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Giderler" sheetId="2" state="visible" r:id="rId4"/>
    <sheet name="Bakımlar" sheetId="3" state="visible" r:id="rId5"/>
    <sheet name="Özet" sheetId="4" state="visible" r:id="rId6"/>
    <sheet name="Listele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<sst xmlns="http://schemas.openxmlformats.org/spreadsheetml/2006/main" count="116" uniqueCount="99">
  <si>
    <t xml:space="preserve">EXCEL KLİNİĞİ</t>
  </si>
  <si>
    <t xml:space="preserve">KONTAK  |  Araç gider ve yakıt takibi</t>
  </si>
  <si>
    <t xml:space="preserve">Aracın sana kilometre başına kaça geliyor, 100 kilometrede kaç litre yakıyor, hangi bakımın zamanı geldi.</t>
  </si>
  <si>
    <t xml:space="preserve">NASIL KULLANILIR</t>
  </si>
  <si>
    <t xml:space="preserve">1. Listeler</t>
  </si>
  <si>
    <t xml:space="preserve">Aracının plakasını yaz.</t>
  </si>
  <si>
    <t xml:space="preserve">2. Giderler</t>
  </si>
  <si>
    <t xml:space="preserve">Her yakıt alımında tarihi, kilometreyi, litreyi ve tutarı gir. Diğer masraflarda kilometre ve litre boş kalabilir.</t>
  </si>
  <si>
    <t xml:space="preserve">3. Bakımlar</t>
  </si>
  <si>
    <t xml:space="preserve">Düzenli bakımları ve aralıklarını yaz; zamanı gelen kırmızı olur.</t>
  </si>
  <si>
    <t xml:space="preserve">4. Özet</t>
  </si>
  <si>
    <t xml:space="preserve">Aylık yakıt ve masraf, ortalama tüketim ve kilometre başına maliyet.</t>
  </si>
  <si>
    <t xml:space="preserve">BİLMEN GEREKENLER</t>
  </si>
  <si>
    <t xml:space="preserve">Tüketim hesabı</t>
  </si>
  <si>
    <t xml:space="preserve">İki yakıt alımı arasındaki kilometreye bölünür. Doğru sonuç için her seferinde depoyu aynı seviyeye kadar doldur ve hiçbir alımı atlama.</t>
  </si>
  <si>
    <t xml:space="preserve">Km başına maliyet</t>
  </si>
  <si>
    <t xml:space="preserve">Bütün giderlerin, kayıtlardaki en düşük ve en yüksek kilometre arasındaki farka bölümüdür.</t>
  </si>
  <si>
    <t xml:space="preserve">Kapasite</t>
  </si>
  <si>
    <t xml:space="preserve">Giderler: 1000 satır; Bakımlar: 40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</si>
  <si>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</si>
  <si>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</si>
  <si>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</si>
  <si>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</si>
  <si>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</si>
  <si>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Giderler</t>
  </si>
  <si>
    <t xml:space="preserve">Her yakıt alımını ve masrafı bir satır yaz. Yakıtta kilometreyi ve litreyi de gir.</t>
  </si>
  <si>
    <t xml:space="preserve">Tarih</t>
  </si>
  <si>
    <t xml:space="preserve">Araç</t>
  </si>
  <si>
    <t xml:space="preserve">Tür</t>
  </si>
  <si>
    <t xml:space="preserve">Kilometre</t>
  </si>
  <si>
    <t xml:space="preserve">Litre</t>
  </si>
  <si>
    <t xml:space="preserve">Tutar (₺)</t>
  </si>
  <si>
    <t xml:space="preserve">Açıklama</t>
  </si>
  <si>
    <t xml:space="preserve">y</t>
  </si>
  <si>
    <t xml:space="preserve">Gidilen km</t>
  </si>
  <si>
    <t xml:space="preserve">Litre / 100 km</t>
  </si>
  <si>
    <t xml:space="preserve">Km başına yakıt (₺)</t>
  </si>
  <si>
    <t xml:space="preserve">34 ABC 123</t>
  </si>
  <si>
    <t xml:space="preserve">Yakıt</t>
  </si>
  <si>
    <t xml:space="preserve">Sigorta</t>
  </si>
  <si>
    <t xml:space="preserve">Otopark ve geçiş</t>
  </si>
  <si>
    <t xml:space="preserve">Bakım Hatırlatma</t>
  </si>
  <si>
    <t xml:space="preserve">Düzenli bakımları, en son ne zaman ve kaç kilometrede yapıldığını yaz.</t>
  </si>
  <si>
    <t xml:space="preserve">İş</t>
  </si>
  <si>
    <t xml:space="preserve">Son yapılan</t>
  </si>
  <si>
    <t xml:space="preserve">Son kilometre</t>
  </si>
  <si>
    <t xml:space="preserve">Aralık (ay)</t>
  </si>
  <si>
    <t xml:space="preserve">Aralık (km)</t>
  </si>
  <si>
    <t xml:space="preserve">Sonraki tarih</t>
  </si>
  <si>
    <t xml:space="preserve">Sonraki km</t>
  </si>
  <si>
    <t xml:space="preserve">Durum</t>
  </si>
  <si>
    <t xml:space="preserve">Yağ değişimi</t>
  </si>
  <si>
    <t xml:space="preserve">Muayene</t>
  </si>
  <si>
    <t xml:space="preserve">Lastik değişimi (kışlık)</t>
  </si>
  <si>
    <t xml:space="preserve">Triger seti</t>
  </si>
  <si>
    <t xml:space="preserve">Özet</t>
  </si>
  <si>
    <t xml:space="preserve">Bu sayfada yalnızca yılı değiştir.</t>
  </si>
  <si>
    <t xml:space="preserve">Yıl</t>
  </si>
  <si>
    <t xml:space="preserve">Yıl gideri</t>
  </si>
  <si>
    <t xml:space="preserve">Ortalama litre / 100 km</t>
  </si>
  <si>
    <t xml:space="preserve">Km başına toplam maliyet (₺)</t>
  </si>
  <si>
    <t xml:space="preserve">Aylık tablo</t>
  </si>
  <si>
    <t xml:space="preserve">Gider türüne göre (seçili yıl)</t>
  </si>
  <si>
    <t xml:space="preserve">Ay</t>
  </si>
  <si>
    <t xml:space="preserve">Yakıt (₺)</t>
  </si>
  <si>
    <t xml:space="preserve">Diğer giderler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</si>
  <si>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</si>
  <si>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</si>
  <si>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</si>
  <si>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</si>
  <si>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</si>
  <si>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</si>
  <si>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</si>
  <si>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</si>
  <si>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</si>
  <si>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</si>
  <si>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</si>
  <si>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</si>
  <si>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</si>
  <si>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Listeler</t>
  </si>
  <si>
    <t xml:space="preserve">Açılır listelerde çıkan seçenekler. Sarı hücrelere kendi seçeneklerini yaz.</t>
  </si>
  <si>
    <t xml:space="preserve">Gider türü</t>
  </si>
  <si>
    <t xml:space="preserve">Bakım</t>
  </si>
  <si>
    <t xml:space="preserve">Vergi</t>
  </si>
  <si>
    <t xml:space="preserve">Lastik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</si>
  <si>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</si>
  <si>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</si>
  <si>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</si>
  <si>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Plakayı paylaşmak zorunda değilsin. Yapay zekanın verdiği rakamları dosyadaki özet sayfasıyla karşılaştır.</t>
  </si>
  <si>
    <t xml:space="preserve">Ne için</t>
  </si>
  <si>
    <t xml:space="preserve">Komut (kopyala, yapıştır)</t>
  </si>
  <si>
    <t xml:space="preserve">Tüketim yorumu</t>
  </si>
  <si>
    <t xml:space="preserve">[Giderler sayfası] Litre / 100 km değerlerime bak. Hangi dönemde tüketim artmış, olası nedenleri neler?</t>
  </si>
  <si>
    <t xml:space="preserve">Yıllık maliyet</t>
  </si>
  <si>
    <t xml:space="preserve">[Özet sayfası] Aracın bana yıllık toplam maliyetini ve aylık ortalamasını çıkar.</t>
  </si>
  <si>
    <t xml:space="preserve">Bakım planı</t>
  </si>
  <si>
    <t xml:space="preserve">[Bakımlar sayfası] Önümüzdeki altı ayda yapılacak bakımları sırala ve her biri için kenara ayırmam gereken tutarı sor.</t>
  </si>
  <si>
    <t xml:space="preserve">Tasarruf</t>
  </si>
  <si>
    <t xml:space="preserve">Yakıt tüketimini düşürmek için sürüş ve bakım açısından uygulanabilir beş öneri ver.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</si>
</sst>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.mm\.yyyy"/>
    <numFmt numFmtId="166" formatCode="#,##0;[RED]\-#,##0;\-"/>
    <numFmt numFmtId="167" formatCode="#,##0.00"/>
    <numFmt numFmtId="168" formatCode="#,##0.00&quot; ₺&quot;"/>
    <numFmt numFmtId="169" formatCode="0.0"/>
    <numFmt numFmtId="170" formatCode="0.00"/>
    <numFmt numFmtId="171" formatCode="0"/>
    <numFmt numFmtId="172" formatCode="#,##0.00&quot; ₺&quot;;[RED]\-#,##0.00&quot; ₺&quot;;\-"/>
    <numFmt numFmtId="173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2:C12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6" min="4" style="0" width="14"/>
    <col collapsed="false" customWidth="true" hidden="false" outlineLevel="0" max="7" min="7" style="0" width="26"/>
    <col collapsed="false" customWidth="true" hidden="true" outlineLevel="0" max="8" min="8" style="0" width="14"/>
    <col collapsed="false" customWidth="true" hidden="false" outlineLevel="0" max="11" min="9" style="0" width="14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0" t="s">
        <v>32</v>
      </c>
      <c r="H4" s="11" t="s">
        <v>33</v>
      </c>
      <c r="I4" s="11" t="s">
        <v>34</v>
      </c>
      <c r="J4" s="11" t="s">
        <v>35</v>
      </c>
      <c r="K4" s="11" t="s">
        <v>36</v>
      </c>
    </row>
    <row r="5" customFormat="false" ht="15" hidden="false" customHeight="false" outlineLevel="0" collapsed="false">
      <c r="A5" s="12" t="n">
        <v>46266</v>
      </c>
      <c r="B5" s="13" t="s">
        <v>37</v>
      </c>
      <c r="C5" s="13" t="s">
        <v>38</v>
      </c>
      <c r="D5" s="14" t="n">
        <v>10000</v>
      </c>
      <c r="E5" s="15" t="n">
        <v>40</v>
      </c>
      <c r="F5" s="16" t="n">
        <v>2000</v>
      </c>
      <c r="G5" s="17"/>
      <c r="H5" s="18" t="n">
        <f aca="false">IF(AND(C5="Yakıt",D5&lt;&gt;""),SUMPRODUCT(MAX(($B$5:$B$1004=B5)*($C$5:$C$1004="Yakıt")*($D$5:$D$1004&lt;D5)*$D$5:$D$1004)),0)</f>
        <v>0</v>
      </c>
      <c r="I5" s="18" t="str">
        <f aca="false">IF(H5&gt;0,D5-H5,"")</f>
        <v/>
      </c>
      <c r="J5" s="19" t="str">
        <f aca="false">IF(OR(I5="",E5=""),"",E5/I5*100)</f>
        <v/>
      </c>
      <c r="K5" s="20" t="str">
        <f aca="false">IF(I5="","",F5/I5)</f>
        <v/>
      </c>
    </row>
    <row r="6" customFormat="false" ht="15" hidden="false" customHeight="false" outlineLevel="0" collapsed="false">
      <c r="A6" s="12" t="n">
        <v>46277</v>
      </c>
      <c r="B6" s="13" t="s">
        <v>37</v>
      </c>
      <c r="C6" s="13" t="s">
        <v>38</v>
      </c>
      <c r="D6" s="14" t="n">
        <v>10600</v>
      </c>
      <c r="E6" s="15" t="n">
        <v>42</v>
      </c>
      <c r="F6" s="16" t="n">
        <v>2100</v>
      </c>
      <c r="G6" s="17"/>
      <c r="H6" s="18" t="n">
        <f aca="false">IF(AND(C6="Yakıt",D6&lt;&gt;""),SUMPRODUCT(MAX(($B$5:$B$1004=B6)*($C$5:$C$1004="Yakıt")*($D$5:$D$1004&lt;D6)*$D$5:$D$1004)),0)</f>
        <v>10000</v>
      </c>
      <c r="I6" s="18" t="n">
        <f aca="false">IF(H6&gt;0,D6-H6,"")</f>
        <v>600</v>
      </c>
      <c r="J6" s="19" t="n">
        <f aca="false">IF(OR(I6="",E6=""),"",E6/I6*100)</f>
        <v>7</v>
      </c>
      <c r="K6" s="20" t="n">
        <f aca="false">IF(I6="","",F6/I6)</f>
        <v>3.5</v>
      </c>
    </row>
    <row r="7" customFormat="false" ht="15" hidden="false" customHeight="false" outlineLevel="0" collapsed="false">
      <c r="A7" s="12" t="n">
        <v>46280</v>
      </c>
      <c r="B7" s="13" t="s">
        <v>37</v>
      </c>
      <c r="C7" s="13" t="s">
        <v>39</v>
      </c>
      <c r="D7" s="14"/>
      <c r="E7" s="15"/>
      <c r="F7" s="16" t="n">
        <v>9000</v>
      </c>
      <c r="G7" s="17"/>
      <c r="H7" s="18" t="n">
        <f aca="false">IF(AND(C7="Yakıt",D7&lt;&gt;""),SUMPRODUCT(MAX(($B$5:$B$1004=B7)*($C$5:$C$1004="Yakıt")*($D$5:$D$1004&lt;D7)*$D$5:$D$1004)),0)</f>
        <v>0</v>
      </c>
      <c r="I7" s="18" t="str">
        <f aca="false">IF(H7&gt;0,D7-H7,"")</f>
        <v/>
      </c>
      <c r="J7" s="19" t="str">
        <f aca="false">IF(OR(I7="",E7=""),"",E7/I7*100)</f>
        <v/>
      </c>
      <c r="K7" s="20" t="str">
        <f aca="false">IF(I7="","",F7/I7)</f>
        <v/>
      </c>
    </row>
    <row r="8" customFormat="false" ht="15" hidden="false" customHeight="false" outlineLevel="0" collapsed="false">
      <c r="A8" s="12" t="n">
        <v>46297</v>
      </c>
      <c r="B8" s="13" t="s">
        <v>37</v>
      </c>
      <c r="C8" s="13" t="s">
        <v>38</v>
      </c>
      <c r="D8" s="14" t="n">
        <v>11250</v>
      </c>
      <c r="E8" s="15" t="n">
        <v>45.5</v>
      </c>
      <c r="F8" s="16" t="n">
        <v>2300</v>
      </c>
      <c r="G8" s="17"/>
      <c r="H8" s="18" t="n">
        <f aca="false">IF(AND(C8="Yakıt",D8&lt;&gt;""),SUMPRODUCT(MAX(($B$5:$B$1004=B8)*($C$5:$C$1004="Yakıt")*($D$5:$D$1004&lt;D8)*$D$5:$D$1004)),0)</f>
        <v>10600</v>
      </c>
      <c r="I8" s="18" t="n">
        <f aca="false">IF(H8&gt;0,D8-H8,"")</f>
        <v>650</v>
      </c>
      <c r="J8" s="19" t="n">
        <f aca="false">IF(OR(I8="",E8=""),"",E8/I8*100)</f>
        <v>7</v>
      </c>
      <c r="K8" s="20" t="n">
        <f aca="false">IF(I8="","",F8/I8)</f>
        <v>3.53846153846154</v>
      </c>
    </row>
    <row r="9" customFormat="false" ht="15" hidden="false" customHeight="false" outlineLevel="0" collapsed="false">
      <c r="A9" s="12" t="n">
        <v>46298</v>
      </c>
      <c r="B9" s="13" t="s">
        <v>37</v>
      </c>
      <c r="C9" s="13" t="s">
        <v>40</v>
      </c>
      <c r="D9" s="14"/>
      <c r="E9" s="15"/>
      <c r="F9" s="16" t="n">
        <v>350</v>
      </c>
      <c r="G9" s="17"/>
      <c r="H9" s="18" t="n">
        <f aca="false">IF(AND(C9="Yakıt",D9&lt;&gt;""),SUMPRODUCT(MAX(($B$5:$B$1004=B9)*($C$5:$C$1004="Yakıt")*($D$5:$D$1004&lt;D9)*$D$5:$D$1004)),0)</f>
        <v>0</v>
      </c>
      <c r="I9" s="18" t="str">
        <f aca="false">IF(H9&gt;0,D9-H9,"")</f>
        <v/>
      </c>
      <c r="J9" s="19" t="str">
        <f aca="false">IF(OR(I9="",E9=""),"",E9/I9*100)</f>
        <v/>
      </c>
      <c r="K9" s="20" t="str">
        <f aca="false">IF(I9="","",F9/I9)</f>
        <v/>
      </c>
    </row>
    <row r="10" customFormat="false" ht="15" hidden="false" customHeight="false" outlineLevel="0" collapsed="false">
      <c r="A10" s="12"/>
      <c r="B10" s="13"/>
      <c r="C10" s="13"/>
      <c r="D10" s="14"/>
      <c r="E10" s="15"/>
      <c r="F10" s="16"/>
      <c r="G10" s="17"/>
      <c r="H10" s="18" t="n">
        <f aca="false">IF(AND(C10="Yakıt",D10&lt;&gt;""),SUMPRODUCT(MAX(($B$5:$B$1004=B10)*($C$5:$C$1004="Yakıt")*($D$5:$D$1004&lt;D10)*$D$5:$D$1004)),0)</f>
        <v>0</v>
      </c>
      <c r="I10" s="18" t="str">
        <f aca="false">IF(H10&gt;0,D10-H10,"")</f>
        <v/>
      </c>
      <c r="J10" s="19" t="str">
        <f aca="false">IF(OR(I10="",E10=""),"",E10/I10*100)</f>
        <v/>
      </c>
      <c r="K10" s="20" t="str">
        <f aca="false">IF(I10="","",F10/I10)</f>
        <v/>
      </c>
    </row>
    <row r="11" customFormat="false" ht="15" hidden="false" customHeight="false" outlineLevel="0" collapsed="false">
      <c r="A11" s="12"/>
      <c r="B11" s="13"/>
      <c r="C11" s="13"/>
      <c r="D11" s="14"/>
      <c r="E11" s="15"/>
      <c r="F11" s="16"/>
      <c r="G11" s="17"/>
      <c r="H11" s="18" t="n">
        <f aca="false">IF(AND(C11="Yakıt",D11&lt;&gt;""),SUMPRODUCT(MAX(($B$5:$B$1004=B11)*($C$5:$C$1004="Yakıt")*($D$5:$D$1004&lt;D11)*$D$5:$D$1004)),0)</f>
        <v>0</v>
      </c>
      <c r="I11" s="18" t="str">
        <f aca="false">IF(H11&gt;0,D11-H11,"")</f>
        <v/>
      </c>
      <c r="J11" s="19" t="str">
        <f aca="false">IF(OR(I11="",E11=""),"",E11/I11*100)</f>
        <v/>
      </c>
      <c r="K11" s="20" t="str">
        <f aca="false">IF(I11="","",F11/I11)</f>
        <v/>
      </c>
    </row>
    <row r="12" customFormat="false" ht="15" hidden="false" customHeight="false" outlineLevel="0" collapsed="false">
      <c r="A12" s="12"/>
      <c r="B12" s="13"/>
      <c r="C12" s="13"/>
      <c r="D12" s="14"/>
      <c r="E12" s="15"/>
      <c r="F12" s="16"/>
      <c r="G12" s="17"/>
      <c r="H12" s="18" t="n">
        <f aca="false">IF(AND(C12="Yakıt",D12&lt;&gt;""),SUMPRODUCT(MAX(($B$5:$B$1004=B12)*($C$5:$C$1004="Yakıt")*($D$5:$D$1004&lt;D12)*$D$5:$D$1004)),0)</f>
        <v>0</v>
      </c>
      <c r="I12" s="18" t="str">
        <f aca="false">IF(H12&gt;0,D12-H12,"")</f>
        <v/>
      </c>
      <c r="J12" s="19" t="str">
        <f aca="false">IF(OR(I12="",E12=""),"",E12/I12*100)</f>
        <v/>
      </c>
      <c r="K12" s="20" t="str">
        <f aca="false">IF(I12="","",F12/I12)</f>
        <v/>
      </c>
    </row>
    <row r="13" customFormat="false" ht="15" hidden="false" customHeight="false" outlineLevel="0" collapsed="false">
      <c r="A13" s="12"/>
      <c r="B13" s="13"/>
      <c r="C13" s="13"/>
      <c r="D13" s="14"/>
      <c r="E13" s="15"/>
      <c r="F13" s="16"/>
      <c r="G13" s="17"/>
      <c r="H13" s="18" t="n">
        <f aca="false">IF(AND(C13="Yakıt",D13&lt;&gt;""),SUMPRODUCT(MAX(($B$5:$B$1004=B13)*($C$5:$C$1004="Yakıt")*($D$5:$D$1004&lt;D13)*$D$5:$D$1004)),0)</f>
        <v>0</v>
      </c>
      <c r="I13" s="18" t="str">
        <f aca="false">IF(H13&gt;0,D13-H13,"")</f>
        <v/>
      </c>
      <c r="J13" s="19" t="str">
        <f aca="false">IF(OR(I13="",E13=""),"",E13/I13*100)</f>
        <v/>
      </c>
      <c r="K13" s="20" t="str">
        <f aca="false">IF(I13="","",F13/I13)</f>
        <v/>
      </c>
    </row>
    <row r="14" customFormat="false" ht="15" hidden="false" customHeight="false" outlineLevel="0" collapsed="false">
      <c r="A14" s="12"/>
      <c r="B14" s="13"/>
      <c r="C14" s="13"/>
      <c r="D14" s="14"/>
      <c r="E14" s="15"/>
      <c r="F14" s="16"/>
      <c r="G14" s="17"/>
      <c r="H14" s="18" t="n">
        <f aca="false">IF(AND(C14="Yakıt",D14&lt;&gt;""),SUMPRODUCT(MAX(($B$5:$B$1004=B14)*($C$5:$C$1004="Yakıt")*($D$5:$D$1004&lt;D14)*$D$5:$D$1004)),0)</f>
        <v>0</v>
      </c>
      <c r="I14" s="18" t="str">
        <f aca="false">IF(H14&gt;0,D14-H14,"")</f>
        <v/>
      </c>
      <c r="J14" s="19" t="str">
        <f aca="false">IF(OR(I14="",E14=""),"",E14/I14*100)</f>
        <v/>
      </c>
      <c r="K14" s="20" t="str">
        <f aca="false">IF(I14="","",F14/I14)</f>
        <v/>
      </c>
    </row>
    <row r="15" customFormat="false" ht="15" hidden="false" customHeight="false" outlineLevel="0" collapsed="false">
      <c r="A15" s="12"/>
      <c r="B15" s="13"/>
      <c r="C15" s="13"/>
      <c r="D15" s="14"/>
      <c r="E15" s="15"/>
      <c r="F15" s="16"/>
      <c r="G15" s="17"/>
      <c r="H15" s="18" t="n">
        <f aca="false">IF(AND(C15="Yakıt",D15&lt;&gt;""),SUMPRODUCT(MAX(($B$5:$B$1004=B15)*($C$5:$C$1004="Yakıt")*($D$5:$D$1004&lt;D15)*$D$5:$D$1004)),0)</f>
        <v>0</v>
      </c>
      <c r="I15" s="18" t="str">
        <f aca="false">IF(H15&gt;0,D15-H15,"")</f>
        <v/>
      </c>
      <c r="J15" s="19" t="str">
        <f aca="false">IF(OR(I15="",E15=""),"",E15/I15*100)</f>
        <v/>
      </c>
      <c r="K15" s="20" t="str">
        <f aca="false">IF(I15="","",F15/I15)</f>
        <v/>
      </c>
    </row>
    <row r="16" customFormat="false" ht="15" hidden="false" customHeight="false" outlineLevel="0" collapsed="false">
      <c r="A16" s="12"/>
      <c r="B16" s="13"/>
      <c r="C16" s="13"/>
      <c r="D16" s="14"/>
      <c r="E16" s="15"/>
      <c r="F16" s="16"/>
      <c r="G16" s="17"/>
      <c r="H16" s="18" t="n">
        <f aca="false">IF(AND(C16="Yakıt",D16&lt;&gt;""),SUMPRODUCT(MAX(($B$5:$B$1004=B16)*($C$5:$C$1004="Yakıt")*($D$5:$D$1004&lt;D16)*$D$5:$D$1004)),0)</f>
        <v>0</v>
      </c>
      <c r="I16" s="18" t="str">
        <f aca="false">IF(H16&gt;0,D16-H16,"")</f>
        <v/>
      </c>
      <c r="J16" s="19" t="str">
        <f aca="false">IF(OR(I16="",E16=""),"",E16/I16*100)</f>
        <v/>
      </c>
      <c r="K16" s="20" t="str">
        <f aca="false">IF(I16="","",F16/I16)</f>
        <v/>
      </c>
    </row>
    <row r="17" customFormat="false" ht="15" hidden="false" customHeight="false" outlineLevel="0" collapsed="false">
      <c r="A17" s="12"/>
      <c r="B17" s="13"/>
      <c r="C17" s="13"/>
      <c r="D17" s="14"/>
      <c r="E17" s="15"/>
      <c r="F17" s="16"/>
      <c r="G17" s="17"/>
      <c r="H17" s="18" t="n">
        <f aca="false">IF(AND(C17="Yakıt",D17&lt;&gt;""),SUMPRODUCT(MAX(($B$5:$B$1004=B17)*($C$5:$C$1004="Yakıt")*($D$5:$D$1004&lt;D17)*$D$5:$D$1004)),0)</f>
        <v>0</v>
      </c>
      <c r="I17" s="18" t="str">
        <f aca="false">IF(H17&gt;0,D17-H17,"")</f>
        <v/>
      </c>
      <c r="J17" s="19" t="str">
        <f aca="false">IF(OR(I17="",E17=""),"",E17/I17*100)</f>
        <v/>
      </c>
      <c r="K17" s="20" t="str">
        <f aca="false">IF(I17="","",F17/I17)</f>
        <v/>
      </c>
    </row>
    <row r="18" customFormat="false" ht="15" hidden="false" customHeight="false" outlineLevel="0" collapsed="false">
      <c r="A18" s="12"/>
      <c r="B18" s="13"/>
      <c r="C18" s="13"/>
      <c r="D18" s="14"/>
      <c r="E18" s="15"/>
      <c r="F18" s="16"/>
      <c r="G18" s="17"/>
      <c r="H18" s="18" t="n">
        <f aca="false">IF(AND(C18="Yakıt",D18&lt;&gt;""),SUMPRODUCT(MAX(($B$5:$B$1004=B18)*($C$5:$C$1004="Yakıt")*($D$5:$D$1004&lt;D18)*$D$5:$D$1004)),0)</f>
        <v>0</v>
      </c>
      <c r="I18" s="18" t="str">
        <f aca="false">IF(H18&gt;0,D18-H18,"")</f>
        <v/>
      </c>
      <c r="J18" s="19" t="str">
        <f aca="false">IF(OR(I18="",E18=""),"",E18/I18*100)</f>
        <v/>
      </c>
      <c r="K18" s="20" t="str">
        <f aca="false">IF(I18="","",F18/I18)</f>
        <v/>
      </c>
    </row>
    <row r="19" customFormat="false" ht="15" hidden="false" customHeight="false" outlineLevel="0" collapsed="false">
      <c r="A19" s="12"/>
      <c r="B19" s="13"/>
      <c r="C19" s="13"/>
      <c r="D19" s="14"/>
      <c r="E19" s="15"/>
      <c r="F19" s="16"/>
      <c r="G19" s="17"/>
      <c r="H19" s="18" t="n">
        <f aca="false">IF(AND(C19="Yakıt",D19&lt;&gt;""),SUMPRODUCT(MAX(($B$5:$B$1004=B19)*($C$5:$C$1004="Yakıt")*($D$5:$D$1004&lt;D19)*$D$5:$D$1004)),0)</f>
        <v>0</v>
      </c>
      <c r="I19" s="18" t="str">
        <f aca="false">IF(H19&gt;0,D19-H19,"")</f>
        <v/>
      </c>
      <c r="J19" s="19" t="str">
        <f aca="false">IF(OR(I19="",E19=""),"",E19/I19*100)</f>
        <v/>
      </c>
      <c r="K19" s="20" t="str">
        <f aca="false">IF(I19="","",F19/I19)</f>
        <v/>
      </c>
    </row>
    <row r="20" customFormat="false" ht="15" hidden="false" customHeight="false" outlineLevel="0" collapsed="false">
      <c r="A20" s="12"/>
      <c r="B20" s="13"/>
      <c r="C20" s="13"/>
      <c r="D20" s="14"/>
      <c r="E20" s="15"/>
      <c r="F20" s="16"/>
      <c r="G20" s="17"/>
      <c r="H20" s="18" t="n">
        <f aca="false">IF(AND(C20="Yakıt",D20&lt;&gt;""),SUMPRODUCT(MAX(($B$5:$B$1004=B20)*($C$5:$C$1004="Yakıt")*($D$5:$D$1004&lt;D20)*$D$5:$D$1004)),0)</f>
        <v>0</v>
      </c>
      <c r="I20" s="18" t="str">
        <f aca="false">IF(H20&gt;0,D20-H20,"")</f>
        <v/>
      </c>
      <c r="J20" s="19" t="str">
        <f aca="false">IF(OR(I20="",E20=""),"",E20/I20*100)</f>
        <v/>
      </c>
      <c r="K20" s="20" t="str">
        <f aca="false">IF(I20="","",F20/I20)</f>
        <v/>
      </c>
    </row>
    <row r="21" customFormat="false" ht="15" hidden="false" customHeight="false" outlineLevel="0" collapsed="false">
      <c r="A21" s="12"/>
      <c r="B21" s="13"/>
      <c r="C21" s="13"/>
      <c r="D21" s="14"/>
      <c r="E21" s="15"/>
      <c r="F21" s="16"/>
      <c r="G21" s="17"/>
      <c r="H21" s="18" t="n">
        <f aca="false">IF(AND(C21="Yakıt",D21&lt;&gt;""),SUMPRODUCT(MAX(($B$5:$B$1004=B21)*($C$5:$C$1004="Yakıt")*($D$5:$D$1004&lt;D21)*$D$5:$D$1004)),0)</f>
        <v>0</v>
      </c>
      <c r="I21" s="18" t="str">
        <f aca="false">IF(H21&gt;0,D21-H21,"")</f>
        <v/>
      </c>
      <c r="J21" s="19" t="str">
        <f aca="false">IF(OR(I21="",E21=""),"",E21/I21*100)</f>
        <v/>
      </c>
      <c r="K21" s="20" t="str">
        <f aca="false">IF(I21="","",F21/I21)</f>
        <v/>
      </c>
    </row>
    <row r="22" customFormat="false" ht="15" hidden="false" customHeight="false" outlineLevel="0" collapsed="false">
      <c r="A22" s="12"/>
      <c r="B22" s="13"/>
      <c r="C22" s="13"/>
      <c r="D22" s="14"/>
      <c r="E22" s="15"/>
      <c r="F22" s="16"/>
      <c r="G22" s="17"/>
      <c r="H22" s="18" t="n">
        <f aca="false">IF(AND(C22="Yakıt",D22&lt;&gt;""),SUMPRODUCT(MAX(($B$5:$B$1004=B22)*($C$5:$C$1004="Yakıt")*($D$5:$D$1004&lt;D22)*$D$5:$D$1004)),0)</f>
        <v>0</v>
      </c>
      <c r="I22" s="18" t="str">
        <f aca="false">IF(H22&gt;0,D22-H22,"")</f>
        <v/>
      </c>
      <c r="J22" s="19" t="str">
        <f aca="false">IF(OR(I22="",E22=""),"",E22/I22*100)</f>
        <v/>
      </c>
      <c r="K22" s="20" t="str">
        <f aca="false">IF(I22="","",F22/I22)</f>
        <v/>
      </c>
    </row>
    <row r="23" customFormat="false" ht="15" hidden="false" customHeight="false" outlineLevel="0" collapsed="false">
      <c r="A23" s="12"/>
      <c r="B23" s="13"/>
      <c r="C23" s="13"/>
      <c r="D23" s="14"/>
      <c r="E23" s="15"/>
      <c r="F23" s="16"/>
      <c r="G23" s="17"/>
      <c r="H23" s="18" t="n">
        <f aca="false">IF(AND(C23="Yakıt",D23&lt;&gt;""),SUMPRODUCT(MAX(($B$5:$B$1004=B23)*($C$5:$C$1004="Yakıt")*($D$5:$D$1004&lt;D23)*$D$5:$D$1004)),0)</f>
        <v>0</v>
      </c>
      <c r="I23" s="18" t="str">
        <f aca="false">IF(H23&gt;0,D23-H23,"")</f>
        <v/>
      </c>
      <c r="J23" s="19" t="str">
        <f aca="false">IF(OR(I23="",E23=""),"",E23/I23*100)</f>
        <v/>
      </c>
      <c r="K23" s="20" t="str">
        <f aca="false">IF(I23="","",F23/I23)</f>
        <v/>
      </c>
    </row>
    <row r="24" customFormat="false" ht="15" hidden="false" customHeight="false" outlineLevel="0" collapsed="false">
      <c r="A24" s="12"/>
      <c r="B24" s="13"/>
      <c r="C24" s="13"/>
      <c r="D24" s="14"/>
      <c r="E24" s="15"/>
      <c r="F24" s="16"/>
      <c r="G24" s="17"/>
      <c r="H24" s="18" t="n">
        <f aca="false">IF(AND(C24="Yakıt",D24&lt;&gt;""),SUMPRODUCT(MAX(($B$5:$B$1004=B24)*($C$5:$C$1004="Yakıt")*($D$5:$D$1004&lt;D24)*$D$5:$D$1004)),0)</f>
        <v>0</v>
      </c>
      <c r="I24" s="18" t="str">
        <f aca="false">IF(H24&gt;0,D24-H24,"")</f>
        <v/>
      </c>
      <c r="J24" s="19" t="str">
        <f aca="false">IF(OR(I24="",E24=""),"",E24/I24*100)</f>
        <v/>
      </c>
      <c r="K24" s="20" t="str">
        <f aca="false">IF(I24="","",F24/I24)</f>
        <v/>
      </c>
    </row>
    <row r="25" customFormat="false" ht="15" hidden="false" customHeight="false" outlineLevel="0" collapsed="false">
      <c r="A25" s="12"/>
      <c r="B25" s="13"/>
      <c r="C25" s="13"/>
      <c r="D25" s="14"/>
      <c r="E25" s="15"/>
      <c r="F25" s="16"/>
      <c r="G25" s="17"/>
      <c r="H25" s="18" t="n">
        <f aca="false">IF(AND(C25="Yakıt",D25&lt;&gt;""),SUMPRODUCT(MAX(($B$5:$B$1004=B25)*($C$5:$C$1004="Yakıt")*($D$5:$D$1004&lt;D25)*$D$5:$D$1004)),0)</f>
        <v>0</v>
      </c>
      <c r="I25" s="18" t="str">
        <f aca="false">IF(H25&gt;0,D25-H25,"")</f>
        <v/>
      </c>
      <c r="J25" s="19" t="str">
        <f aca="false">IF(OR(I25="",E25=""),"",E25/I25*100)</f>
        <v/>
      </c>
      <c r="K25" s="20" t="str">
        <f aca="false">IF(I25="","",F25/I25)</f>
        <v/>
      </c>
    </row>
    <row r="26" customFormat="false" ht="15" hidden="false" customHeight="false" outlineLevel="0" collapsed="false">
      <c r="A26" s="12"/>
      <c r="B26" s="13"/>
      <c r="C26" s="13"/>
      <c r="D26" s="14"/>
      <c r="E26" s="15"/>
      <c r="F26" s="16"/>
      <c r="G26" s="17"/>
      <c r="H26" s="18" t="n">
        <f aca="false">IF(AND(C26="Yakıt",D26&lt;&gt;""),SUMPRODUCT(MAX(($B$5:$B$1004=B26)*($C$5:$C$1004="Yakıt")*($D$5:$D$1004&lt;D26)*$D$5:$D$1004)),0)</f>
        <v>0</v>
      </c>
      <c r="I26" s="18" t="str">
        <f aca="false">IF(H26&gt;0,D26-H26,"")</f>
        <v/>
      </c>
      <c r="J26" s="19" t="str">
        <f aca="false">IF(OR(I26="",E26=""),"",E26/I26*100)</f>
        <v/>
      </c>
      <c r="K26" s="20" t="str">
        <f aca="false">IF(I26="","",F26/I26)</f>
        <v/>
      </c>
    </row>
    <row r="27" customFormat="false" ht="15" hidden="false" customHeight="false" outlineLevel="0" collapsed="false">
      <c r="A27" s="12"/>
      <c r="B27" s="13"/>
      <c r="C27" s="13"/>
      <c r="D27" s="14"/>
      <c r="E27" s="15"/>
      <c r="F27" s="16"/>
      <c r="G27" s="17"/>
      <c r="H27" s="18" t="n">
        <f aca="false">IF(AND(C27="Yakıt",D27&lt;&gt;""),SUMPRODUCT(MAX(($B$5:$B$1004=B27)*($C$5:$C$1004="Yakıt")*($D$5:$D$1004&lt;D27)*$D$5:$D$1004)),0)</f>
        <v>0</v>
      </c>
      <c r="I27" s="18" t="str">
        <f aca="false">IF(H27&gt;0,D27-H27,"")</f>
        <v/>
      </c>
      <c r="J27" s="19" t="str">
        <f aca="false">IF(OR(I27="",E27=""),"",E27/I27*100)</f>
        <v/>
      </c>
      <c r="K27" s="20" t="str">
        <f aca="false">IF(I27="","",F27/I27)</f>
        <v/>
      </c>
    </row>
    <row r="28" customFormat="false" ht="15" hidden="false" customHeight="false" outlineLevel="0" collapsed="false">
      <c r="A28" s="12"/>
      <c r="B28" s="13"/>
      <c r="C28" s="13"/>
      <c r="D28" s="14"/>
      <c r="E28" s="15"/>
      <c r="F28" s="16"/>
      <c r="G28" s="17"/>
      <c r="H28" s="18" t="n">
        <f aca="false">IF(AND(C28="Yakıt",D28&lt;&gt;""),SUMPRODUCT(MAX(($B$5:$B$1004=B28)*($C$5:$C$1004="Yakıt")*($D$5:$D$1004&lt;D28)*$D$5:$D$1004)),0)</f>
        <v>0</v>
      </c>
      <c r="I28" s="18" t="str">
        <f aca="false">IF(H28&gt;0,D28-H28,"")</f>
        <v/>
      </c>
      <c r="J28" s="19" t="str">
        <f aca="false">IF(OR(I28="",E28=""),"",E28/I28*100)</f>
        <v/>
      </c>
      <c r="K28" s="20" t="str">
        <f aca="false">IF(I28="","",F28/I28)</f>
        <v/>
      </c>
    </row>
    <row r="29" customFormat="false" ht="15" hidden="false" customHeight="false" outlineLevel="0" collapsed="false">
      <c r="A29" s="12"/>
      <c r="B29" s="13"/>
      <c r="C29" s="13"/>
      <c r="D29" s="14"/>
      <c r="E29" s="15"/>
      <c r="F29" s="16"/>
      <c r="G29" s="17"/>
      <c r="H29" s="18" t="n">
        <f aca="false">IF(AND(C29="Yakıt",D29&lt;&gt;""),SUMPRODUCT(MAX(($B$5:$B$1004=B29)*($C$5:$C$1004="Yakıt")*($D$5:$D$1004&lt;D29)*$D$5:$D$1004)),0)</f>
        <v>0</v>
      </c>
      <c r="I29" s="18" t="str">
        <f aca="false">IF(H29&gt;0,D29-H29,"")</f>
        <v/>
      </c>
      <c r="J29" s="19" t="str">
        <f aca="false">IF(OR(I29="",E29=""),"",E29/I29*100)</f>
        <v/>
      </c>
      <c r="K29" s="20" t="str">
        <f aca="false">IF(I29="","",F29/I29)</f>
        <v/>
      </c>
    </row>
    <row r="30" customFormat="false" ht="15" hidden="false" customHeight="false" outlineLevel="0" collapsed="false">
      <c r="A30" s="12"/>
      <c r="B30" s="13"/>
      <c r="C30" s="13"/>
      <c r="D30" s="14"/>
      <c r="E30" s="15"/>
      <c r="F30" s="16"/>
      <c r="G30" s="17"/>
      <c r="H30" s="18" t="n">
        <f aca="false">IF(AND(C30="Yakıt",D30&lt;&gt;""),SUMPRODUCT(MAX(($B$5:$B$1004=B30)*($C$5:$C$1004="Yakıt")*($D$5:$D$1004&lt;D30)*$D$5:$D$1004)),0)</f>
        <v>0</v>
      </c>
      <c r="I30" s="18" t="str">
        <f aca="false">IF(H30&gt;0,D30-H30,"")</f>
        <v/>
      </c>
      <c r="J30" s="19" t="str">
        <f aca="false">IF(OR(I30="",E30=""),"",E30/I30*100)</f>
        <v/>
      </c>
      <c r="K30" s="20" t="str">
        <f aca="false">IF(I30="","",F30/I30)</f>
        <v/>
      </c>
    </row>
    <row r="31" customFormat="false" ht="15" hidden="false" customHeight="false" outlineLevel="0" collapsed="false">
      <c r="A31" s="12"/>
      <c r="B31" s="13"/>
      <c r="C31" s="13"/>
      <c r="D31" s="14"/>
      <c r="E31" s="15"/>
      <c r="F31" s="16"/>
      <c r="G31" s="17"/>
      <c r="H31" s="18" t="n">
        <f aca="false">IF(AND(C31="Yakıt",D31&lt;&gt;""),SUMPRODUCT(MAX(($B$5:$B$1004=B31)*($C$5:$C$1004="Yakıt")*($D$5:$D$1004&lt;D31)*$D$5:$D$1004)),0)</f>
        <v>0</v>
      </c>
      <c r="I31" s="18" t="str">
        <f aca="false">IF(H31&gt;0,D31-H31,"")</f>
        <v/>
      </c>
      <c r="J31" s="19" t="str">
        <f aca="false">IF(OR(I31="",E31=""),"",E31/I31*100)</f>
        <v/>
      </c>
      <c r="K31" s="20" t="str">
        <f aca="false">IF(I31="","",F31/I31)</f>
        <v/>
      </c>
    </row>
    <row r="32" customFormat="false" ht="15" hidden="false" customHeight="false" outlineLevel="0" collapsed="false">
      <c r="A32" s="12"/>
      <c r="B32" s="13"/>
      <c r="C32" s="13"/>
      <c r="D32" s="14"/>
      <c r="E32" s="15"/>
      <c r="F32" s="16"/>
      <c r="G32" s="17"/>
      <c r="H32" s="18" t="n">
        <f aca="false">IF(AND(C32="Yakıt",D32&lt;&gt;""),SUMPRODUCT(MAX(($B$5:$B$1004=B32)*($C$5:$C$1004="Yakıt")*($D$5:$D$1004&lt;D32)*$D$5:$D$1004)),0)</f>
        <v>0</v>
      </c>
      <c r="I32" s="18" t="str">
        <f aca="false">IF(H32&gt;0,D32-H32,"")</f>
        <v/>
      </c>
      <c r="J32" s="19" t="str">
        <f aca="false">IF(OR(I32="",E32=""),"",E32/I32*100)</f>
        <v/>
      </c>
      <c r="K32" s="20" t="str">
        <f aca="false">IF(I32="","",F32/I32)</f>
        <v/>
      </c>
    </row>
    <row r="33" customFormat="false" ht="15" hidden="false" customHeight="false" outlineLevel="0" collapsed="false">
      <c r="A33" s="12"/>
      <c r="B33" s="13"/>
      <c r="C33" s="13"/>
      <c r="D33" s="14"/>
      <c r="E33" s="15"/>
      <c r="F33" s="16"/>
      <c r="G33" s="17"/>
      <c r="H33" s="18" t="n">
        <f aca="false">IF(AND(C33="Yakıt",D33&lt;&gt;""),SUMPRODUCT(MAX(($B$5:$B$1004=B33)*($C$5:$C$1004="Yakıt")*($D$5:$D$1004&lt;D33)*$D$5:$D$1004)),0)</f>
        <v>0</v>
      </c>
      <c r="I33" s="18" t="str">
        <f aca="false">IF(H33&gt;0,D33-H33,"")</f>
        <v/>
      </c>
      <c r="J33" s="19" t="str">
        <f aca="false">IF(OR(I33="",E33=""),"",E33/I33*100)</f>
        <v/>
      </c>
      <c r="K33" s="20" t="str">
        <f aca="false">IF(I33="","",F33/I33)</f>
        <v/>
      </c>
    </row>
    <row r="34" customFormat="false" ht="15" hidden="false" customHeight="false" outlineLevel="0" collapsed="false">
      <c r="A34" s="12"/>
      <c r="B34" s="13"/>
      <c r="C34" s="13"/>
      <c r="D34" s="14"/>
      <c r="E34" s="15"/>
      <c r="F34" s="16"/>
      <c r="G34" s="17"/>
      <c r="H34" s="18" t="n">
        <f aca="false">IF(AND(C34="Yakıt",D34&lt;&gt;""),SUMPRODUCT(MAX(($B$5:$B$1004=B34)*($C$5:$C$1004="Yakıt")*($D$5:$D$1004&lt;D34)*$D$5:$D$1004)),0)</f>
        <v>0</v>
      </c>
      <c r="I34" s="18" t="str">
        <f aca="false">IF(H34&gt;0,D34-H34,"")</f>
        <v/>
      </c>
      <c r="J34" s="19" t="str">
        <f aca="false">IF(OR(I34="",E34=""),"",E34/I34*100)</f>
        <v/>
      </c>
      <c r="K34" s="20" t="str">
        <f aca="false">IF(I34="","",F34/I34)</f>
        <v/>
      </c>
    </row>
    <row r="35" customFormat="false" ht="15" hidden="false" customHeight="false" outlineLevel="0" collapsed="false">
      <c r="A35" s="12"/>
      <c r="B35" s="13"/>
      <c r="C35" s="13"/>
      <c r="D35" s="14"/>
      <c r="E35" s="15"/>
      <c r="F35" s="16"/>
      <c r="G35" s="17"/>
      <c r="H35" s="18" t="n">
        <f aca="false">IF(AND(C35="Yakıt",D35&lt;&gt;""),SUMPRODUCT(MAX(($B$5:$B$1004=B35)*($C$5:$C$1004="Yakıt")*($D$5:$D$1004&lt;D35)*$D$5:$D$1004)),0)</f>
        <v>0</v>
      </c>
      <c r="I35" s="18" t="str">
        <f aca="false">IF(H35&gt;0,D35-H35,"")</f>
        <v/>
      </c>
      <c r="J35" s="19" t="str">
        <f aca="false">IF(OR(I35="",E35=""),"",E35/I35*100)</f>
        <v/>
      </c>
      <c r="K35" s="20" t="str">
        <f aca="false">IF(I35="","",F35/I35)</f>
        <v/>
      </c>
    </row>
    <row r="36" customFormat="false" ht="15" hidden="false" customHeight="false" outlineLevel="0" collapsed="false">
      <c r="A36" s="12"/>
      <c r="B36" s="13"/>
      <c r="C36" s="13"/>
      <c r="D36" s="14"/>
      <c r="E36" s="15"/>
      <c r="F36" s="16"/>
      <c r="G36" s="17"/>
      <c r="H36" s="18" t="n">
        <f aca="false">IF(AND(C36="Yakıt",D36&lt;&gt;""),SUMPRODUCT(MAX(($B$5:$B$1004=B36)*($C$5:$C$1004="Yakıt")*($D$5:$D$1004&lt;D36)*$D$5:$D$1004)),0)</f>
        <v>0</v>
      </c>
      <c r="I36" s="18" t="str">
        <f aca="false">IF(H36&gt;0,D36-H36,"")</f>
        <v/>
      </c>
      <c r="J36" s="19" t="str">
        <f aca="false">IF(OR(I36="",E36=""),"",E36/I36*100)</f>
        <v/>
      </c>
      <c r="K36" s="20" t="str">
        <f aca="false">IF(I36="","",F36/I36)</f>
        <v/>
      </c>
    </row>
    <row r="37" customFormat="false" ht="15" hidden="false" customHeight="false" outlineLevel="0" collapsed="false">
      <c r="A37" s="12"/>
      <c r="B37" s="13"/>
      <c r="C37" s="13"/>
      <c r="D37" s="14"/>
      <c r="E37" s="15"/>
      <c r="F37" s="16"/>
      <c r="G37" s="17"/>
      <c r="H37" s="18" t="n">
        <f aca="false">IF(AND(C37="Yakıt",D37&lt;&gt;""),SUMPRODUCT(MAX(($B$5:$B$1004=B37)*($C$5:$C$1004="Yakıt")*($D$5:$D$1004&lt;D37)*$D$5:$D$1004)),0)</f>
        <v>0</v>
      </c>
      <c r="I37" s="18" t="str">
        <f aca="false">IF(H37&gt;0,D37-H37,"")</f>
        <v/>
      </c>
      <c r="J37" s="19" t="str">
        <f aca="false">IF(OR(I37="",E37=""),"",E37/I37*100)</f>
        <v/>
      </c>
      <c r="K37" s="20" t="str">
        <f aca="false">IF(I37="","",F37/I37)</f>
        <v/>
      </c>
    </row>
    <row r="38" customFormat="false" ht="15" hidden="false" customHeight="false" outlineLevel="0" collapsed="false">
      <c r="A38" s="12"/>
      <c r="B38" s="13"/>
      <c r="C38" s="13"/>
      <c r="D38" s="14"/>
      <c r="E38" s="15"/>
      <c r="F38" s="16"/>
      <c r="G38" s="17"/>
      <c r="H38" s="18" t="n">
        <f aca="false">IF(AND(C38="Yakıt",D38&lt;&gt;""),SUMPRODUCT(MAX(($B$5:$B$1004=B38)*($C$5:$C$1004="Yakıt")*($D$5:$D$1004&lt;D38)*$D$5:$D$1004)),0)</f>
        <v>0</v>
      </c>
      <c r="I38" s="18" t="str">
        <f aca="false">IF(H38&gt;0,D38-H38,"")</f>
        <v/>
      </c>
      <c r="J38" s="19" t="str">
        <f aca="false">IF(OR(I38="",E38=""),"",E38/I38*100)</f>
        <v/>
      </c>
      <c r="K38" s="20" t="str">
        <f aca="false">IF(I38="","",F38/I38)</f>
        <v/>
      </c>
    </row>
    <row r="39" customFormat="false" ht="15" hidden="false" customHeight="false" outlineLevel="0" collapsed="false">
      <c r="A39" s="12"/>
      <c r="B39" s="13"/>
      <c r="C39" s="13"/>
      <c r="D39" s="14"/>
      <c r="E39" s="15"/>
      <c r="F39" s="16"/>
      <c r="G39" s="17"/>
      <c r="H39" s="18" t="n">
        <f aca="false">IF(AND(C39="Yakıt",D39&lt;&gt;""),SUMPRODUCT(MAX(($B$5:$B$1004=B39)*($C$5:$C$1004="Yakıt")*($D$5:$D$1004&lt;D39)*$D$5:$D$1004)),0)</f>
        <v>0</v>
      </c>
      <c r="I39" s="18" t="str">
        <f aca="false">IF(H39&gt;0,D39-H39,"")</f>
        <v/>
      </c>
      <c r="J39" s="19" t="str">
        <f aca="false">IF(OR(I39="",E39=""),"",E39/I39*100)</f>
        <v/>
      </c>
      <c r="K39" s="20" t="str">
        <f aca="false">IF(I39="","",F39/I39)</f>
        <v/>
      </c>
    </row>
    <row r="40" customFormat="false" ht="15" hidden="false" customHeight="false" outlineLevel="0" collapsed="false">
      <c r="A40" s="12"/>
      <c r="B40" s="13"/>
      <c r="C40" s="13"/>
      <c r="D40" s="14"/>
      <c r="E40" s="15"/>
      <c r="F40" s="16"/>
      <c r="G40" s="17"/>
      <c r="H40" s="18" t="n">
        <f aca="false">IF(AND(C40="Yakıt",D40&lt;&gt;""),SUMPRODUCT(MAX(($B$5:$B$1004=B40)*($C$5:$C$1004="Yakıt")*($D$5:$D$1004&lt;D40)*$D$5:$D$1004)),0)</f>
        <v>0</v>
      </c>
      <c r="I40" s="18" t="str">
        <f aca="false">IF(H40&gt;0,D40-H40,"")</f>
        <v/>
      </c>
      <c r="J40" s="19" t="str">
        <f aca="false">IF(OR(I40="",E40=""),"",E40/I40*100)</f>
        <v/>
      </c>
      <c r="K40" s="20" t="str">
        <f aca="false">IF(I40="","",F40/I40)</f>
        <v/>
      </c>
    </row>
    <row r="41" customFormat="false" ht="15" hidden="false" customHeight="false" outlineLevel="0" collapsed="false">
      <c r="A41" s="12"/>
      <c r="B41" s="13"/>
      <c r="C41" s="13"/>
      <c r="D41" s="14"/>
      <c r="E41" s="15"/>
      <c r="F41" s="16"/>
      <c r="G41" s="17"/>
      <c r="H41" s="18" t="n">
        <f aca="false">IF(AND(C41="Yakıt",D41&lt;&gt;""),SUMPRODUCT(MAX(($B$5:$B$1004=B41)*($C$5:$C$1004="Yakıt")*($D$5:$D$1004&lt;D41)*$D$5:$D$1004)),0)</f>
        <v>0</v>
      </c>
      <c r="I41" s="18" t="str">
        <f aca="false">IF(H41&gt;0,D41-H41,"")</f>
        <v/>
      </c>
      <c r="J41" s="19" t="str">
        <f aca="false">IF(OR(I41="",E41=""),"",E41/I41*100)</f>
        <v/>
      </c>
      <c r="K41" s="20" t="str">
        <f aca="false">IF(I41="","",F41/I41)</f>
        <v/>
      </c>
    </row>
    <row r="42" customFormat="false" ht="15" hidden="false" customHeight="false" outlineLevel="0" collapsed="false">
      <c r="A42" s="12"/>
      <c r="B42" s="13"/>
      <c r="C42" s="13"/>
      <c r="D42" s="14"/>
      <c r="E42" s="15"/>
      <c r="F42" s="16"/>
      <c r="G42" s="17"/>
      <c r="H42" s="18" t="n">
        <f aca="false">IF(AND(C42="Yakıt",D42&lt;&gt;""),SUMPRODUCT(MAX(($B$5:$B$1004=B42)*($C$5:$C$1004="Yakıt")*($D$5:$D$1004&lt;D42)*$D$5:$D$1004)),0)</f>
        <v>0</v>
      </c>
      <c r="I42" s="18" t="str">
        <f aca="false">IF(H42&gt;0,D42-H42,"")</f>
        <v/>
      </c>
      <c r="J42" s="19" t="str">
        <f aca="false">IF(OR(I42="",E42=""),"",E42/I42*100)</f>
        <v/>
      </c>
      <c r="K42" s="20" t="str">
        <f aca="false">IF(I42="","",F42/I42)</f>
        <v/>
      </c>
    </row>
    <row r="43" customFormat="false" ht="15" hidden="false" customHeight="false" outlineLevel="0" collapsed="false">
      <c r="A43" s="12"/>
      <c r="B43" s="13"/>
      <c r="C43" s="13"/>
      <c r="D43" s="14"/>
      <c r="E43" s="15"/>
      <c r="F43" s="16"/>
      <c r="G43" s="17"/>
      <c r="H43" s="18" t="n">
        <f aca="false">IF(AND(C43="Yakıt",D43&lt;&gt;""),SUMPRODUCT(MAX(($B$5:$B$1004=B43)*($C$5:$C$1004="Yakıt")*($D$5:$D$1004&lt;D43)*$D$5:$D$1004)),0)</f>
        <v>0</v>
      </c>
      <c r="I43" s="18" t="str">
        <f aca="false">IF(H43&gt;0,D43-H43,"")</f>
        <v/>
      </c>
      <c r="J43" s="19" t="str">
        <f aca="false">IF(OR(I43="",E43=""),"",E43/I43*100)</f>
        <v/>
      </c>
      <c r="K43" s="20" t="str">
        <f aca="false">IF(I43="","",F43/I43)</f>
        <v/>
      </c>
    </row>
    <row r="44" customFormat="false" ht="15" hidden="false" customHeight="false" outlineLevel="0" collapsed="false">
      <c r="A44" s="12"/>
      <c r="B44" s="13"/>
      <c r="C44" s="13"/>
      <c r="D44" s="14"/>
      <c r="E44" s="15"/>
      <c r="F44" s="16"/>
      <c r="G44" s="17"/>
      <c r="H44" s="18" t="n">
        <f aca="false">IF(AND(C44="Yakıt",D44&lt;&gt;""),SUMPRODUCT(MAX(($B$5:$B$1004=B44)*($C$5:$C$1004="Yakıt")*($D$5:$D$1004&lt;D44)*$D$5:$D$1004)),0)</f>
        <v>0</v>
      </c>
      <c r="I44" s="18" t="str">
        <f aca="false">IF(H44&gt;0,D44-H44,"")</f>
        <v/>
      </c>
      <c r="J44" s="19" t="str">
        <f aca="false">IF(OR(I44="",E44=""),"",E44/I44*100)</f>
        <v/>
      </c>
      <c r="K44" s="20" t="str">
        <f aca="false">IF(I44="","",F44/I44)</f>
        <v/>
      </c>
    </row>
    <row r="45" customFormat="false" ht="15" hidden="false" customHeight="false" outlineLevel="0" collapsed="false">
      <c r="A45" s="12"/>
      <c r="B45" s="13"/>
      <c r="C45" s="13"/>
      <c r="D45" s="14"/>
      <c r="E45" s="15"/>
      <c r="F45" s="16"/>
      <c r="G45" s="17"/>
      <c r="H45" s="18" t="n">
        <f aca="false">IF(AND(C45="Yakıt",D45&lt;&gt;""),SUMPRODUCT(MAX(($B$5:$B$1004=B45)*($C$5:$C$1004="Yakıt")*($D$5:$D$1004&lt;D45)*$D$5:$D$1004)),0)</f>
        <v>0</v>
      </c>
      <c r="I45" s="18" t="str">
        <f aca="false">IF(H45&gt;0,D45-H45,"")</f>
        <v/>
      </c>
      <c r="J45" s="19" t="str">
        <f aca="false">IF(OR(I45="",E45=""),"",E45/I45*100)</f>
        <v/>
      </c>
      <c r="K45" s="20" t="str">
        <f aca="false">IF(I45="","",F45/I45)</f>
        <v/>
      </c>
    </row>
    <row r="46" customFormat="false" ht="15" hidden="false" customHeight="false" outlineLevel="0" collapsed="false">
      <c r="A46" s="12"/>
      <c r="B46" s="13"/>
      <c r="C46" s="13"/>
      <c r="D46" s="14"/>
      <c r="E46" s="15"/>
      <c r="F46" s="16"/>
      <c r="G46" s="17"/>
      <c r="H46" s="18" t="n">
        <f aca="false">IF(AND(C46="Yakıt",D46&lt;&gt;""),SUMPRODUCT(MAX(($B$5:$B$1004=B46)*($C$5:$C$1004="Yakıt")*($D$5:$D$1004&lt;D46)*$D$5:$D$1004)),0)</f>
        <v>0</v>
      </c>
      <c r="I46" s="18" t="str">
        <f aca="false">IF(H46&gt;0,D46-H46,"")</f>
        <v/>
      </c>
      <c r="J46" s="19" t="str">
        <f aca="false">IF(OR(I46="",E46=""),"",E46/I46*100)</f>
        <v/>
      </c>
      <c r="K46" s="20" t="str">
        <f aca="false">IF(I46="","",F46/I46)</f>
        <v/>
      </c>
    </row>
    <row r="47" customFormat="false" ht="15" hidden="false" customHeight="false" outlineLevel="0" collapsed="false">
      <c r="A47" s="12"/>
      <c r="B47" s="13"/>
      <c r="C47" s="13"/>
      <c r="D47" s="14"/>
      <c r="E47" s="15"/>
      <c r="F47" s="16"/>
      <c r="G47" s="17"/>
      <c r="H47" s="18" t="n">
        <f aca="false">IF(AND(C47="Yakıt",D47&lt;&gt;""),SUMPRODUCT(MAX(($B$5:$B$1004=B47)*($C$5:$C$1004="Yakıt")*($D$5:$D$1004&lt;D47)*$D$5:$D$1004)),0)</f>
        <v>0</v>
      </c>
      <c r="I47" s="18" t="str">
        <f aca="false">IF(H47&gt;0,D47-H47,"")</f>
        <v/>
      </c>
      <c r="J47" s="19" t="str">
        <f aca="false">IF(OR(I47="",E47=""),"",E47/I47*100)</f>
        <v/>
      </c>
      <c r="K47" s="20" t="str">
        <f aca="false">IF(I47="","",F47/I47)</f>
        <v/>
      </c>
    </row>
    <row r="48" customFormat="false" ht="15" hidden="false" customHeight="false" outlineLevel="0" collapsed="false">
      <c r="A48" s="12"/>
      <c r="B48" s="13"/>
      <c r="C48" s="13"/>
      <c r="D48" s="14"/>
      <c r="E48" s="15"/>
      <c r="F48" s="16"/>
      <c r="G48" s="17"/>
      <c r="H48" s="18" t="n">
        <f aca="false">IF(AND(C48="Yakıt",D48&lt;&gt;""),SUMPRODUCT(MAX(($B$5:$B$1004=B48)*($C$5:$C$1004="Yakıt")*($D$5:$D$1004&lt;D48)*$D$5:$D$1004)),0)</f>
        <v>0</v>
      </c>
      <c r="I48" s="18" t="str">
        <f aca="false">IF(H48&gt;0,D48-H48,"")</f>
        <v/>
      </c>
      <c r="J48" s="19" t="str">
        <f aca="false">IF(OR(I48="",E48=""),"",E48/I48*100)</f>
        <v/>
      </c>
      <c r="K48" s="20" t="str">
        <f aca="false">IF(I48="","",F48/I48)</f>
        <v/>
      </c>
    </row>
    <row r="49" customFormat="false" ht="15" hidden="false" customHeight="false" outlineLevel="0" collapsed="false">
      <c r="A49" s="12"/>
      <c r="B49" s="13"/>
      <c r="C49" s="13"/>
      <c r="D49" s="14"/>
      <c r="E49" s="15"/>
      <c r="F49" s="16"/>
      <c r="G49" s="17"/>
      <c r="H49" s="18" t="n">
        <f aca="false">IF(AND(C49="Yakıt",D49&lt;&gt;""),SUMPRODUCT(MAX(($B$5:$B$1004=B49)*($C$5:$C$1004="Yakıt")*($D$5:$D$1004&lt;D49)*$D$5:$D$1004)),0)</f>
        <v>0</v>
      </c>
      <c r="I49" s="18" t="str">
        <f aca="false">IF(H49&gt;0,D49-H49,"")</f>
        <v/>
      </c>
      <c r="J49" s="19" t="str">
        <f aca="false">IF(OR(I49="",E49=""),"",E49/I49*100)</f>
        <v/>
      </c>
      <c r="K49" s="20" t="str">
        <f aca="false">IF(I49="","",F49/I49)</f>
        <v/>
      </c>
    </row>
    <row r="50" customFormat="false" ht="15" hidden="false" customHeight="false" outlineLevel="0" collapsed="false">
      <c r="A50" s="12"/>
      <c r="B50" s="13"/>
      <c r="C50" s="13"/>
      <c r="D50" s="14"/>
      <c r="E50" s="15"/>
      <c r="F50" s="16"/>
      <c r="G50" s="17"/>
      <c r="H50" s="18" t="n">
        <f aca="false">IF(AND(C50="Yakıt",D50&lt;&gt;""),SUMPRODUCT(MAX(($B$5:$B$1004=B50)*($C$5:$C$1004="Yakıt")*($D$5:$D$1004&lt;D50)*$D$5:$D$1004)),0)</f>
        <v>0</v>
      </c>
      <c r="I50" s="18" t="str">
        <f aca="false">IF(H50&gt;0,D50-H50,"")</f>
        <v/>
      </c>
      <c r="J50" s="19" t="str">
        <f aca="false">IF(OR(I50="",E50=""),"",E50/I50*100)</f>
        <v/>
      </c>
      <c r="K50" s="20" t="str">
        <f aca="false">IF(I50="","",F50/I50)</f>
        <v/>
      </c>
    </row>
    <row r="51" customFormat="false" ht="15" hidden="false" customHeight="false" outlineLevel="0" collapsed="false">
      <c r="A51" s="12"/>
      <c r="B51" s="13"/>
      <c r="C51" s="13"/>
      <c r="D51" s="14"/>
      <c r="E51" s="15"/>
      <c r="F51" s="16"/>
      <c r="G51" s="17"/>
      <c r="H51" s="18" t="n">
        <f aca="false">IF(AND(C51="Yakıt",D51&lt;&gt;""),SUMPRODUCT(MAX(($B$5:$B$1004=B51)*($C$5:$C$1004="Yakıt")*($D$5:$D$1004&lt;D51)*$D$5:$D$1004)),0)</f>
        <v>0</v>
      </c>
      <c r="I51" s="18" t="str">
        <f aca="false">IF(H51&gt;0,D51-H51,"")</f>
        <v/>
      </c>
      <c r="J51" s="19" t="str">
        <f aca="false">IF(OR(I51="",E51=""),"",E51/I51*100)</f>
        <v/>
      </c>
      <c r="K51" s="20" t="str">
        <f aca="false">IF(I51="","",F51/I51)</f>
        <v/>
      </c>
    </row>
    <row r="52" customFormat="false" ht="15" hidden="false" customHeight="false" outlineLevel="0" collapsed="false">
      <c r="A52" s="12"/>
      <c r="B52" s="13"/>
      <c r="C52" s="13"/>
      <c r="D52" s="14"/>
      <c r="E52" s="15"/>
      <c r="F52" s="16"/>
      <c r="G52" s="17"/>
      <c r="H52" s="18" t="n">
        <f aca="false">IF(AND(C52="Yakıt",D52&lt;&gt;""),SUMPRODUCT(MAX(($B$5:$B$1004=B52)*($C$5:$C$1004="Yakıt")*($D$5:$D$1004&lt;D52)*$D$5:$D$1004)),0)</f>
        <v>0</v>
      </c>
      <c r="I52" s="18" t="str">
        <f aca="false">IF(H52&gt;0,D52-H52,"")</f>
        <v/>
      </c>
      <c r="J52" s="19" t="str">
        <f aca="false">IF(OR(I52="",E52=""),"",E52/I52*100)</f>
        <v/>
      </c>
      <c r="K52" s="20" t="str">
        <f aca="false">IF(I52="","",F52/I52)</f>
        <v/>
      </c>
    </row>
    <row r="53" customFormat="false" ht="15" hidden="false" customHeight="false" outlineLevel="0" collapsed="false">
      <c r="A53" s="12"/>
      <c r="B53" s="13"/>
      <c r="C53" s="13"/>
      <c r="D53" s="14"/>
      <c r="E53" s="15"/>
      <c r="F53" s="16"/>
      <c r="G53" s="17"/>
      <c r="H53" s="18" t="n">
        <f aca="false">IF(AND(C53="Yakıt",D53&lt;&gt;""),SUMPRODUCT(MAX(($B$5:$B$1004=B53)*($C$5:$C$1004="Yakıt")*($D$5:$D$1004&lt;D53)*$D$5:$D$1004)),0)</f>
        <v>0</v>
      </c>
      <c r="I53" s="18" t="str">
        <f aca="false">IF(H53&gt;0,D53-H53,"")</f>
        <v/>
      </c>
      <c r="J53" s="19" t="str">
        <f aca="false">IF(OR(I53="",E53=""),"",E53/I53*100)</f>
        <v/>
      </c>
      <c r="K53" s="20" t="str">
        <f aca="false">IF(I53="","",F53/I53)</f>
        <v/>
      </c>
    </row>
    <row r="54" customFormat="false" ht="15" hidden="false" customHeight="false" outlineLevel="0" collapsed="false">
      <c r="A54" s="12"/>
      <c r="B54" s="13"/>
      <c r="C54" s="13"/>
      <c r="D54" s="14"/>
      <c r="E54" s="15"/>
      <c r="F54" s="16"/>
      <c r="G54" s="17"/>
      <c r="H54" s="18" t="n">
        <f aca="false">IF(AND(C54="Yakıt",D54&lt;&gt;""),SUMPRODUCT(MAX(($B$5:$B$1004=B54)*($C$5:$C$1004="Yakıt")*($D$5:$D$1004&lt;D54)*$D$5:$D$1004)),0)</f>
        <v>0</v>
      </c>
      <c r="I54" s="18" t="str">
        <f aca="false">IF(H54&gt;0,D54-H54,"")</f>
        <v/>
      </c>
      <c r="J54" s="19" t="str">
        <f aca="false">IF(OR(I54="",E54=""),"",E54/I54*100)</f>
        <v/>
      </c>
      <c r="K54" s="20" t="str">
        <f aca="false">IF(I54="","",F54/I54)</f>
        <v/>
      </c>
    </row>
    <row r="55" customFormat="false" ht="15" hidden="false" customHeight="false" outlineLevel="0" collapsed="false">
      <c r="A55" s="12"/>
      <c r="B55" s="13"/>
      <c r="C55" s="13"/>
      <c r="D55" s="14"/>
      <c r="E55" s="15"/>
      <c r="F55" s="16"/>
      <c r="G55" s="17"/>
      <c r="H55" s="18" t="n">
        <f aca="false">IF(AND(C55="Yakıt",D55&lt;&gt;""),SUMPRODUCT(MAX(($B$5:$B$1004=B55)*($C$5:$C$1004="Yakıt")*($D$5:$D$1004&lt;D55)*$D$5:$D$1004)),0)</f>
        <v>0</v>
      </c>
      <c r="I55" s="18" t="str">
        <f aca="false">IF(H55&gt;0,D55-H55,"")</f>
        <v/>
      </c>
      <c r="J55" s="19" t="str">
        <f aca="false">IF(OR(I55="",E55=""),"",E55/I55*100)</f>
        <v/>
      </c>
      <c r="K55" s="20" t="str">
        <f aca="false">IF(I55="","",F55/I55)</f>
        <v/>
      </c>
    </row>
    <row r="56" customFormat="false" ht="15" hidden="false" customHeight="false" outlineLevel="0" collapsed="false">
      <c r="A56" s="12"/>
      <c r="B56" s="13"/>
      <c r="C56" s="13"/>
      <c r="D56" s="14"/>
      <c r="E56" s="15"/>
      <c r="F56" s="16"/>
      <c r="G56" s="17"/>
      <c r="H56" s="18" t="n">
        <f aca="false">IF(AND(C56="Yakıt",D56&lt;&gt;""),SUMPRODUCT(MAX(($B$5:$B$1004=B56)*($C$5:$C$1004="Yakıt")*($D$5:$D$1004&lt;D56)*$D$5:$D$1004)),0)</f>
        <v>0</v>
      </c>
      <c r="I56" s="18" t="str">
        <f aca="false">IF(H56&gt;0,D56-H56,"")</f>
        <v/>
      </c>
      <c r="J56" s="19" t="str">
        <f aca="false">IF(OR(I56="",E56=""),"",E56/I56*100)</f>
        <v/>
      </c>
      <c r="K56" s="20" t="str">
        <f aca="false">IF(I56="","",F56/I56)</f>
        <v/>
      </c>
    </row>
    <row r="57" customFormat="false" ht="15" hidden="false" customHeight="false" outlineLevel="0" collapsed="false">
      <c r="A57" s="12"/>
      <c r="B57" s="13"/>
      <c r="C57" s="13"/>
      <c r="D57" s="14"/>
      <c r="E57" s="15"/>
      <c r="F57" s="16"/>
      <c r="G57" s="17"/>
      <c r="H57" s="18" t="n">
        <f aca="false">IF(AND(C57="Yakıt",D57&lt;&gt;""),SUMPRODUCT(MAX(($B$5:$B$1004=B57)*($C$5:$C$1004="Yakıt")*($D$5:$D$1004&lt;D57)*$D$5:$D$1004)),0)</f>
        <v>0</v>
      </c>
      <c r="I57" s="18" t="str">
        <f aca="false">IF(H57&gt;0,D57-H57,"")</f>
        <v/>
      </c>
      <c r="J57" s="19" t="str">
        <f aca="false">IF(OR(I57="",E57=""),"",E57/I57*100)</f>
        <v/>
      </c>
      <c r="K57" s="20" t="str">
        <f aca="false">IF(I57="","",F57/I57)</f>
        <v/>
      </c>
    </row>
    <row r="58" customFormat="false" ht="15" hidden="false" customHeight="false" outlineLevel="0" collapsed="false">
      <c r="A58" s="12"/>
      <c r="B58" s="13"/>
      <c r="C58" s="13"/>
      <c r="D58" s="14"/>
      <c r="E58" s="15"/>
      <c r="F58" s="16"/>
      <c r="G58" s="17"/>
      <c r="H58" s="18" t="n">
        <f aca="false">IF(AND(C58="Yakıt",D58&lt;&gt;""),SUMPRODUCT(MAX(($B$5:$B$1004=B58)*($C$5:$C$1004="Yakıt")*($D$5:$D$1004&lt;D58)*$D$5:$D$1004)),0)</f>
        <v>0</v>
      </c>
      <c r="I58" s="18" t="str">
        <f aca="false">IF(H58&gt;0,D58-H58,"")</f>
        <v/>
      </c>
      <c r="J58" s="19" t="str">
        <f aca="false">IF(OR(I58="",E58=""),"",E58/I58*100)</f>
        <v/>
      </c>
      <c r="K58" s="20" t="str">
        <f aca="false">IF(I58="","",F58/I58)</f>
        <v/>
      </c>
    </row>
    <row r="59" customFormat="false" ht="15" hidden="false" customHeight="false" outlineLevel="0" collapsed="false">
      <c r="A59" s="12"/>
      <c r="B59" s="13"/>
      <c r="C59" s="13"/>
      <c r="D59" s="14"/>
      <c r="E59" s="15"/>
      <c r="F59" s="16"/>
      <c r="G59" s="17"/>
      <c r="H59" s="18" t="n">
        <f aca="false">IF(AND(C59="Yakıt",D59&lt;&gt;""),SUMPRODUCT(MAX(($B$5:$B$1004=B59)*($C$5:$C$1004="Yakıt")*($D$5:$D$1004&lt;D59)*$D$5:$D$1004)),0)</f>
        <v>0</v>
      </c>
      <c r="I59" s="18" t="str">
        <f aca="false">IF(H59&gt;0,D59-H59,"")</f>
        <v/>
      </c>
      <c r="J59" s="19" t="str">
        <f aca="false">IF(OR(I59="",E59=""),"",E59/I59*100)</f>
        <v/>
      </c>
      <c r="K59" s="20" t="str">
        <f aca="false">IF(I59="","",F59/I59)</f>
        <v/>
      </c>
    </row>
    <row r="60" customFormat="false" ht="15" hidden="false" customHeight="false" outlineLevel="0" collapsed="false">
      <c r="A60" s="12"/>
      <c r="B60" s="13"/>
      <c r="C60" s="13"/>
      <c r="D60" s="14"/>
      <c r="E60" s="15"/>
      <c r="F60" s="16"/>
      <c r="G60" s="17"/>
      <c r="H60" s="18" t="n">
        <f aca="false">IF(AND(C60="Yakıt",D60&lt;&gt;""),SUMPRODUCT(MAX(($B$5:$B$1004=B60)*($C$5:$C$1004="Yakıt")*($D$5:$D$1004&lt;D60)*$D$5:$D$1004)),0)</f>
        <v>0</v>
      </c>
      <c r="I60" s="18" t="str">
        <f aca="false">IF(H60&gt;0,D60-H60,"")</f>
        <v/>
      </c>
      <c r="J60" s="19" t="str">
        <f aca="false">IF(OR(I60="",E60=""),"",E60/I60*100)</f>
        <v/>
      </c>
      <c r="K60" s="20" t="str">
        <f aca="false">IF(I60="","",F60/I60)</f>
        <v/>
      </c>
    </row>
    <row r="61" customFormat="false" ht="15" hidden="false" customHeight="false" outlineLevel="0" collapsed="false">
      <c r="A61" s="12"/>
      <c r="B61" s="13"/>
      <c r="C61" s="13"/>
      <c r="D61" s="14"/>
      <c r="E61" s="15"/>
      <c r="F61" s="16"/>
      <c r="G61" s="17"/>
      <c r="H61" s="18" t="n">
        <f aca="false">IF(AND(C61="Yakıt",D61&lt;&gt;""),SUMPRODUCT(MAX(($B$5:$B$1004=B61)*($C$5:$C$1004="Yakıt")*($D$5:$D$1004&lt;D61)*$D$5:$D$1004)),0)</f>
        <v>0</v>
      </c>
      <c r="I61" s="18" t="str">
        <f aca="false">IF(H61&gt;0,D61-H61,"")</f>
        <v/>
      </c>
      <c r="J61" s="19" t="str">
        <f aca="false">IF(OR(I61="",E61=""),"",E61/I61*100)</f>
        <v/>
      </c>
      <c r="K61" s="20" t="str">
        <f aca="false">IF(I61="","",F61/I61)</f>
        <v/>
      </c>
    </row>
    <row r="62" customFormat="false" ht="15" hidden="false" customHeight="false" outlineLevel="0" collapsed="false">
      <c r="A62" s="12"/>
      <c r="B62" s="13"/>
      <c r="C62" s="13"/>
      <c r="D62" s="14"/>
      <c r="E62" s="15"/>
      <c r="F62" s="16"/>
      <c r="G62" s="17"/>
      <c r="H62" s="18" t="n">
        <f aca="false">IF(AND(C62="Yakıt",D62&lt;&gt;""),SUMPRODUCT(MAX(($B$5:$B$1004=B62)*($C$5:$C$1004="Yakıt")*($D$5:$D$1004&lt;D62)*$D$5:$D$1004)),0)</f>
        <v>0</v>
      </c>
      <c r="I62" s="18" t="str">
        <f aca="false">IF(H62&gt;0,D62-H62,"")</f>
        <v/>
      </c>
      <c r="J62" s="19" t="str">
        <f aca="false">IF(OR(I62="",E62=""),"",E62/I62*100)</f>
        <v/>
      </c>
      <c r="K62" s="20" t="str">
        <f aca="false">IF(I62="","",F62/I62)</f>
        <v/>
      </c>
    </row>
    <row r="63" customFormat="false" ht="15" hidden="false" customHeight="false" outlineLevel="0" collapsed="false">
      <c r="A63" s="12"/>
      <c r="B63" s="13"/>
      <c r="C63" s="13"/>
      <c r="D63" s="14"/>
      <c r="E63" s="15"/>
      <c r="F63" s="16"/>
      <c r="G63" s="17"/>
      <c r="H63" s="18" t="n">
        <f aca="false">IF(AND(C63="Yakıt",D63&lt;&gt;""),SUMPRODUCT(MAX(($B$5:$B$1004=B63)*($C$5:$C$1004="Yakıt")*($D$5:$D$1004&lt;D63)*$D$5:$D$1004)),0)</f>
        <v>0</v>
      </c>
      <c r="I63" s="18" t="str">
        <f aca="false">IF(H63&gt;0,D63-H63,"")</f>
        <v/>
      </c>
      <c r="J63" s="19" t="str">
        <f aca="false">IF(OR(I63="",E63=""),"",E63/I63*100)</f>
        <v/>
      </c>
      <c r="K63" s="20" t="str">
        <f aca="false">IF(I63="","",F63/I63)</f>
        <v/>
      </c>
    </row>
    <row r="64" customFormat="false" ht="15" hidden="false" customHeight="false" outlineLevel="0" collapsed="false">
      <c r="A64" s="12"/>
      <c r="B64" s="13"/>
      <c r="C64" s="13"/>
      <c r="D64" s="14"/>
      <c r="E64" s="15"/>
      <c r="F64" s="16"/>
      <c r="G64" s="17"/>
      <c r="H64" s="18" t="n">
        <f aca="false">IF(AND(C64="Yakıt",D64&lt;&gt;""),SUMPRODUCT(MAX(($B$5:$B$1004=B64)*($C$5:$C$1004="Yakıt")*($D$5:$D$1004&lt;D64)*$D$5:$D$1004)),0)</f>
        <v>0</v>
      </c>
      <c r="I64" s="18" t="str">
        <f aca="false">IF(H64&gt;0,D64-H64,"")</f>
        <v/>
      </c>
      <c r="J64" s="19" t="str">
        <f aca="false">IF(OR(I64="",E64=""),"",E64/I64*100)</f>
        <v/>
      </c>
      <c r="K64" s="20" t="str">
        <f aca="false">IF(I64="","",F64/I64)</f>
        <v/>
      </c>
    </row>
    <row r="65" customFormat="false" ht="15" hidden="false" customHeight="false" outlineLevel="0" collapsed="false">
      <c r="A65" s="12"/>
      <c r="B65" s="13"/>
      <c r="C65" s="13"/>
      <c r="D65" s="14"/>
      <c r="E65" s="15"/>
      <c r="F65" s="16"/>
      <c r="G65" s="17"/>
      <c r="H65" s="18" t="n">
        <f aca="false">IF(AND(C65="Yakıt",D65&lt;&gt;""),SUMPRODUCT(MAX(($B$5:$B$1004=B65)*($C$5:$C$1004="Yakıt")*($D$5:$D$1004&lt;D65)*$D$5:$D$1004)),0)</f>
        <v>0</v>
      </c>
      <c r="I65" s="18" t="str">
        <f aca="false">IF(H65&gt;0,D65-H65,"")</f>
        <v/>
      </c>
      <c r="J65" s="19" t="str">
        <f aca="false">IF(OR(I65="",E65=""),"",E65/I65*100)</f>
        <v/>
      </c>
      <c r="K65" s="20" t="str">
        <f aca="false">IF(I65="","",F65/I65)</f>
        <v/>
      </c>
    </row>
    <row r="66" customFormat="false" ht="15" hidden="false" customHeight="false" outlineLevel="0" collapsed="false">
      <c r="A66" s="12"/>
      <c r="B66" s="13"/>
      <c r="C66" s="13"/>
      <c r="D66" s="14"/>
      <c r="E66" s="15"/>
      <c r="F66" s="16"/>
      <c r="G66" s="17"/>
      <c r="H66" s="18" t="n">
        <f aca="false">IF(AND(C66="Yakıt",D66&lt;&gt;""),SUMPRODUCT(MAX(($B$5:$B$1004=B66)*($C$5:$C$1004="Yakıt")*($D$5:$D$1004&lt;D66)*$D$5:$D$1004)),0)</f>
        <v>0</v>
      </c>
      <c r="I66" s="18" t="str">
        <f aca="false">IF(H66&gt;0,D66-H66,"")</f>
        <v/>
      </c>
      <c r="J66" s="19" t="str">
        <f aca="false">IF(OR(I66="",E66=""),"",E66/I66*100)</f>
        <v/>
      </c>
      <c r="K66" s="20" t="str">
        <f aca="false">IF(I66="","",F66/I66)</f>
        <v/>
      </c>
    </row>
    <row r="67" customFormat="false" ht="15" hidden="false" customHeight="false" outlineLevel="0" collapsed="false">
      <c r="A67" s="12"/>
      <c r="B67" s="13"/>
      <c r="C67" s="13"/>
      <c r="D67" s="14"/>
      <c r="E67" s="15"/>
      <c r="F67" s="16"/>
      <c r="G67" s="17"/>
      <c r="H67" s="18" t="n">
        <f aca="false">IF(AND(C67="Yakıt",D67&lt;&gt;""),SUMPRODUCT(MAX(($B$5:$B$1004=B67)*($C$5:$C$1004="Yakıt")*($D$5:$D$1004&lt;D67)*$D$5:$D$1004)),0)</f>
        <v>0</v>
      </c>
      <c r="I67" s="18" t="str">
        <f aca="false">IF(H67&gt;0,D67-H67,"")</f>
        <v/>
      </c>
      <c r="J67" s="19" t="str">
        <f aca="false">IF(OR(I67="",E67=""),"",E67/I67*100)</f>
        <v/>
      </c>
      <c r="K67" s="20" t="str">
        <f aca="false">IF(I67="","",F67/I67)</f>
        <v/>
      </c>
    </row>
    <row r="68" customFormat="false" ht="15" hidden="false" customHeight="false" outlineLevel="0" collapsed="false">
      <c r="A68" s="12"/>
      <c r="B68" s="13"/>
      <c r="C68" s="13"/>
      <c r="D68" s="14"/>
      <c r="E68" s="15"/>
      <c r="F68" s="16"/>
      <c r="G68" s="17"/>
      <c r="H68" s="18" t="n">
        <f aca="false">IF(AND(C68="Yakıt",D68&lt;&gt;""),SUMPRODUCT(MAX(($B$5:$B$1004=B68)*($C$5:$C$1004="Yakıt")*($D$5:$D$1004&lt;D68)*$D$5:$D$1004)),0)</f>
        <v>0</v>
      </c>
      <c r="I68" s="18" t="str">
        <f aca="false">IF(H68&gt;0,D68-H68,"")</f>
        <v/>
      </c>
      <c r="J68" s="19" t="str">
        <f aca="false">IF(OR(I68="",E68=""),"",E68/I68*100)</f>
        <v/>
      </c>
      <c r="K68" s="20" t="str">
        <f aca="false">IF(I68="","",F68/I68)</f>
        <v/>
      </c>
    </row>
    <row r="69" customFormat="false" ht="15" hidden="false" customHeight="false" outlineLevel="0" collapsed="false">
      <c r="A69" s="12"/>
      <c r="B69" s="13"/>
      <c r="C69" s="13"/>
      <c r="D69" s="14"/>
      <c r="E69" s="15"/>
      <c r="F69" s="16"/>
      <c r="G69" s="17"/>
      <c r="H69" s="18" t="n">
        <f aca="false">IF(AND(C69="Yakıt",D69&lt;&gt;""),SUMPRODUCT(MAX(($B$5:$B$1004=B69)*($C$5:$C$1004="Yakıt")*($D$5:$D$1004&lt;D69)*$D$5:$D$1004)),0)</f>
        <v>0</v>
      </c>
      <c r="I69" s="18" t="str">
        <f aca="false">IF(H69&gt;0,D69-H69,"")</f>
        <v/>
      </c>
      <c r="J69" s="19" t="str">
        <f aca="false">IF(OR(I69="",E69=""),"",E69/I69*100)</f>
        <v/>
      </c>
      <c r="K69" s="20" t="str">
        <f aca="false">IF(I69="","",F69/I69)</f>
        <v/>
      </c>
    </row>
    <row r="70" customFormat="false" ht="15" hidden="false" customHeight="false" outlineLevel="0" collapsed="false">
      <c r="A70" s="12"/>
      <c r="B70" s="13"/>
      <c r="C70" s="13"/>
      <c r="D70" s="14"/>
      <c r="E70" s="15"/>
      <c r="F70" s="16"/>
      <c r="G70" s="17"/>
      <c r="H70" s="18" t="n">
        <f aca="false">IF(AND(C70="Yakıt",D70&lt;&gt;""),SUMPRODUCT(MAX(($B$5:$B$1004=B70)*($C$5:$C$1004="Yakıt")*($D$5:$D$1004&lt;D70)*$D$5:$D$1004)),0)</f>
        <v>0</v>
      </c>
      <c r="I70" s="18" t="str">
        <f aca="false">IF(H70&gt;0,D70-H70,"")</f>
        <v/>
      </c>
      <c r="J70" s="19" t="str">
        <f aca="false">IF(OR(I70="",E70=""),"",E70/I70*100)</f>
        <v/>
      </c>
      <c r="K70" s="20" t="str">
        <f aca="false">IF(I70="","",F70/I70)</f>
        <v/>
      </c>
    </row>
    <row r="71" customFormat="false" ht="15" hidden="false" customHeight="false" outlineLevel="0" collapsed="false">
      <c r="A71" s="12"/>
      <c r="B71" s="13"/>
      <c r="C71" s="13"/>
      <c r="D71" s="14"/>
      <c r="E71" s="15"/>
      <c r="F71" s="16"/>
      <c r="G71" s="17"/>
      <c r="H71" s="18" t="n">
        <f aca="false">IF(AND(C71="Yakıt",D71&lt;&gt;""),SUMPRODUCT(MAX(($B$5:$B$1004=B71)*($C$5:$C$1004="Yakıt")*($D$5:$D$1004&lt;D71)*$D$5:$D$1004)),0)</f>
        <v>0</v>
      </c>
      <c r="I71" s="18" t="str">
        <f aca="false">IF(H71&gt;0,D71-H71,"")</f>
        <v/>
      </c>
      <c r="J71" s="19" t="str">
        <f aca="false">IF(OR(I71="",E71=""),"",E71/I71*100)</f>
        <v/>
      </c>
      <c r="K71" s="20" t="str">
        <f aca="false">IF(I71="","",F71/I71)</f>
        <v/>
      </c>
    </row>
    <row r="72" customFormat="false" ht="15" hidden="false" customHeight="false" outlineLevel="0" collapsed="false">
      <c r="A72" s="12"/>
      <c r="B72" s="13"/>
      <c r="C72" s="13"/>
      <c r="D72" s="14"/>
      <c r="E72" s="15"/>
      <c r="F72" s="16"/>
      <c r="G72" s="17"/>
      <c r="H72" s="18" t="n">
        <f aca="false">IF(AND(C72="Yakıt",D72&lt;&gt;""),SUMPRODUCT(MAX(($B$5:$B$1004=B72)*($C$5:$C$1004="Yakıt")*($D$5:$D$1004&lt;D72)*$D$5:$D$1004)),0)</f>
        <v>0</v>
      </c>
      <c r="I72" s="18" t="str">
        <f aca="false">IF(H72&gt;0,D72-H72,"")</f>
        <v/>
      </c>
      <c r="J72" s="19" t="str">
        <f aca="false">IF(OR(I72="",E72=""),"",E72/I72*100)</f>
        <v/>
      </c>
      <c r="K72" s="20" t="str">
        <f aca="false">IF(I72="","",F72/I72)</f>
        <v/>
      </c>
    </row>
    <row r="73" customFormat="false" ht="15" hidden="false" customHeight="false" outlineLevel="0" collapsed="false">
      <c r="A73" s="12"/>
      <c r="B73" s="13"/>
      <c r="C73" s="13"/>
      <c r="D73" s="14"/>
      <c r="E73" s="15"/>
      <c r="F73" s="16"/>
      <c r="G73" s="17"/>
      <c r="H73" s="18" t="n">
        <f aca="false">IF(AND(C73="Yakıt",D73&lt;&gt;""),SUMPRODUCT(MAX(($B$5:$B$1004=B73)*($C$5:$C$1004="Yakıt")*($D$5:$D$1004&lt;D73)*$D$5:$D$1004)),0)</f>
        <v>0</v>
      </c>
      <c r="I73" s="18" t="str">
        <f aca="false">IF(H73&gt;0,D73-H73,"")</f>
        <v/>
      </c>
      <c r="J73" s="19" t="str">
        <f aca="false">IF(OR(I73="",E73=""),"",E73/I73*100)</f>
        <v/>
      </c>
      <c r="K73" s="20" t="str">
        <f aca="false">IF(I73="","",F73/I73)</f>
        <v/>
      </c>
    </row>
    <row r="74" customFormat="false" ht="15" hidden="false" customHeight="false" outlineLevel="0" collapsed="false">
      <c r="A74" s="12"/>
      <c r="B74" s="13"/>
      <c r="C74" s="13"/>
      <c r="D74" s="14"/>
      <c r="E74" s="15"/>
      <c r="F74" s="16"/>
      <c r="G74" s="17"/>
      <c r="H74" s="18" t="n">
        <f aca="false">IF(AND(C74="Yakıt",D74&lt;&gt;""),SUMPRODUCT(MAX(($B$5:$B$1004=B74)*($C$5:$C$1004="Yakıt")*($D$5:$D$1004&lt;D74)*$D$5:$D$1004)),0)</f>
        <v>0</v>
      </c>
      <c r="I74" s="18" t="str">
        <f aca="false">IF(H74&gt;0,D74-H74,"")</f>
        <v/>
      </c>
      <c r="J74" s="19" t="str">
        <f aca="false">IF(OR(I74="",E74=""),"",E74/I74*100)</f>
        <v/>
      </c>
      <c r="K74" s="20" t="str">
        <f aca="false">IF(I74="","",F74/I74)</f>
        <v/>
      </c>
    </row>
    <row r="75" customFormat="false" ht="15" hidden="false" customHeight="false" outlineLevel="0" collapsed="false">
      <c r="A75" s="12"/>
      <c r="B75" s="13"/>
      <c r="C75" s="13"/>
      <c r="D75" s="14"/>
      <c r="E75" s="15"/>
      <c r="F75" s="16"/>
      <c r="G75" s="17"/>
      <c r="H75" s="18" t="n">
        <f aca="false">IF(AND(C75="Yakıt",D75&lt;&gt;""),SUMPRODUCT(MAX(($B$5:$B$1004=B75)*($C$5:$C$1004="Yakıt")*($D$5:$D$1004&lt;D75)*$D$5:$D$1004)),0)</f>
        <v>0</v>
      </c>
      <c r="I75" s="18" t="str">
        <f aca="false">IF(H75&gt;0,D75-H75,"")</f>
        <v/>
      </c>
      <c r="J75" s="19" t="str">
        <f aca="false">IF(OR(I75="",E75=""),"",E75/I75*100)</f>
        <v/>
      </c>
      <c r="K75" s="20" t="str">
        <f aca="false">IF(I75="","",F75/I75)</f>
        <v/>
      </c>
    </row>
    <row r="76" customFormat="false" ht="15" hidden="false" customHeight="false" outlineLevel="0" collapsed="false">
      <c r="A76" s="12"/>
      <c r="B76" s="13"/>
      <c r="C76" s="13"/>
      <c r="D76" s="14"/>
      <c r="E76" s="15"/>
      <c r="F76" s="16"/>
      <c r="G76" s="17"/>
      <c r="H76" s="18" t="n">
        <f aca="false">IF(AND(C76="Yakıt",D76&lt;&gt;""),SUMPRODUCT(MAX(($B$5:$B$1004=B76)*($C$5:$C$1004="Yakıt")*($D$5:$D$1004&lt;D76)*$D$5:$D$1004)),0)</f>
        <v>0</v>
      </c>
      <c r="I76" s="18" t="str">
        <f aca="false">IF(H76&gt;0,D76-H76,"")</f>
        <v/>
      </c>
      <c r="J76" s="19" t="str">
        <f aca="false">IF(OR(I76="",E76=""),"",E76/I76*100)</f>
        <v/>
      </c>
      <c r="K76" s="20" t="str">
        <f aca="false">IF(I76="","",F76/I76)</f>
        <v/>
      </c>
    </row>
    <row r="77" customFormat="false" ht="15" hidden="false" customHeight="false" outlineLevel="0" collapsed="false">
      <c r="A77" s="12"/>
      <c r="B77" s="13"/>
      <c r="C77" s="13"/>
      <c r="D77" s="14"/>
      <c r="E77" s="15"/>
      <c r="F77" s="16"/>
      <c r="G77" s="17"/>
      <c r="H77" s="18" t="n">
        <f aca="false">IF(AND(C77="Yakıt",D77&lt;&gt;""),SUMPRODUCT(MAX(($B$5:$B$1004=B77)*($C$5:$C$1004="Yakıt")*($D$5:$D$1004&lt;D77)*$D$5:$D$1004)),0)</f>
        <v>0</v>
      </c>
      <c r="I77" s="18" t="str">
        <f aca="false">IF(H77&gt;0,D77-H77,"")</f>
        <v/>
      </c>
      <c r="J77" s="19" t="str">
        <f aca="false">IF(OR(I77="",E77=""),"",E77/I77*100)</f>
        <v/>
      </c>
      <c r="K77" s="20" t="str">
        <f aca="false">IF(I77="","",F77/I77)</f>
        <v/>
      </c>
    </row>
    <row r="78" customFormat="false" ht="15" hidden="false" customHeight="false" outlineLevel="0" collapsed="false">
      <c r="A78" s="12"/>
      <c r="B78" s="13"/>
      <c r="C78" s="13"/>
      <c r="D78" s="14"/>
      <c r="E78" s="15"/>
      <c r="F78" s="16"/>
      <c r="G78" s="17"/>
      <c r="H78" s="18" t="n">
        <f aca="false">IF(AND(C78="Yakıt",D78&lt;&gt;""),SUMPRODUCT(MAX(($B$5:$B$1004=B78)*($C$5:$C$1004="Yakıt")*($D$5:$D$1004&lt;D78)*$D$5:$D$1004)),0)</f>
        <v>0</v>
      </c>
      <c r="I78" s="18" t="str">
        <f aca="false">IF(H78&gt;0,D78-H78,"")</f>
        <v/>
      </c>
      <c r="J78" s="19" t="str">
        <f aca="false">IF(OR(I78="",E78=""),"",E78/I78*100)</f>
        <v/>
      </c>
      <c r="K78" s="20" t="str">
        <f aca="false">IF(I78="","",F78/I78)</f>
        <v/>
      </c>
    </row>
    <row r="79" customFormat="false" ht="15" hidden="false" customHeight="false" outlineLevel="0" collapsed="false">
      <c r="A79" s="12"/>
      <c r="B79" s="13"/>
      <c r="C79" s="13"/>
      <c r="D79" s="14"/>
      <c r="E79" s="15"/>
      <c r="F79" s="16"/>
      <c r="G79" s="17"/>
      <c r="H79" s="18" t="n">
        <f aca="false">IF(AND(C79="Yakıt",D79&lt;&gt;""),SUMPRODUCT(MAX(($B$5:$B$1004=B79)*($C$5:$C$1004="Yakıt")*($D$5:$D$1004&lt;D79)*$D$5:$D$1004)),0)</f>
        <v>0</v>
      </c>
      <c r="I79" s="18" t="str">
        <f aca="false">IF(H79&gt;0,D79-H79,"")</f>
        <v/>
      </c>
      <c r="J79" s="19" t="str">
        <f aca="false">IF(OR(I79="",E79=""),"",E79/I79*100)</f>
        <v/>
      </c>
      <c r="K79" s="20" t="str">
        <f aca="false">IF(I79="","",F79/I79)</f>
        <v/>
      </c>
    </row>
    <row r="80" customFormat="false" ht="15" hidden="false" customHeight="false" outlineLevel="0" collapsed="false">
      <c r="A80" s="12"/>
      <c r="B80" s="13"/>
      <c r="C80" s="13"/>
      <c r="D80" s="14"/>
      <c r="E80" s="15"/>
      <c r="F80" s="16"/>
      <c r="G80" s="17"/>
      <c r="H80" s="18" t="n">
        <f aca="false">IF(AND(C80="Yakıt",D80&lt;&gt;""),SUMPRODUCT(MAX(($B$5:$B$1004=B80)*($C$5:$C$1004="Yakıt")*($D$5:$D$1004&lt;D80)*$D$5:$D$1004)),0)</f>
        <v>0</v>
      </c>
      <c r="I80" s="18" t="str">
        <f aca="false">IF(H80&gt;0,D80-H80,"")</f>
        <v/>
      </c>
      <c r="J80" s="19" t="str">
        <f aca="false">IF(OR(I80="",E80=""),"",E80/I80*100)</f>
        <v/>
      </c>
      <c r="K80" s="20" t="str">
        <f aca="false">IF(I80="","",F80/I80)</f>
        <v/>
      </c>
    </row>
    <row r="81" customFormat="false" ht="15" hidden="false" customHeight="false" outlineLevel="0" collapsed="false">
      <c r="A81" s="12"/>
      <c r="B81" s="13"/>
      <c r="C81" s="13"/>
      <c r="D81" s="14"/>
      <c r="E81" s="15"/>
      <c r="F81" s="16"/>
      <c r="G81" s="17"/>
      <c r="H81" s="18" t="n">
        <f aca="false">IF(AND(C81="Yakıt",D81&lt;&gt;""),SUMPRODUCT(MAX(($B$5:$B$1004=B81)*($C$5:$C$1004="Yakıt")*($D$5:$D$1004&lt;D81)*$D$5:$D$1004)),0)</f>
        <v>0</v>
      </c>
      <c r="I81" s="18" t="str">
        <f aca="false">IF(H81&gt;0,D81-H81,"")</f>
        <v/>
      </c>
      <c r="J81" s="19" t="str">
        <f aca="false">IF(OR(I81="",E81=""),"",E81/I81*100)</f>
        <v/>
      </c>
      <c r="K81" s="20" t="str">
        <f aca="false">IF(I81="","",F81/I81)</f>
        <v/>
      </c>
    </row>
    <row r="82" customFormat="false" ht="15" hidden="false" customHeight="false" outlineLevel="0" collapsed="false">
      <c r="A82" s="12"/>
      <c r="B82" s="13"/>
      <c r="C82" s="13"/>
      <c r="D82" s="14"/>
      <c r="E82" s="15"/>
      <c r="F82" s="16"/>
      <c r="G82" s="17"/>
      <c r="H82" s="18" t="n">
        <f aca="false">IF(AND(C82="Yakıt",D82&lt;&gt;""),SUMPRODUCT(MAX(($B$5:$B$1004=B82)*($C$5:$C$1004="Yakıt")*($D$5:$D$1004&lt;D82)*$D$5:$D$1004)),0)</f>
        <v>0</v>
      </c>
      <c r="I82" s="18" t="str">
        <f aca="false">IF(H82&gt;0,D82-H82,"")</f>
        <v/>
      </c>
      <c r="J82" s="19" t="str">
        <f aca="false">IF(OR(I82="",E82=""),"",E82/I82*100)</f>
        <v/>
      </c>
      <c r="K82" s="20" t="str">
        <f aca="false">IF(I82="","",F82/I82)</f>
        <v/>
      </c>
    </row>
    <row r="83" customFormat="false" ht="15" hidden="false" customHeight="false" outlineLevel="0" collapsed="false">
      <c r="A83" s="12"/>
      <c r="B83" s="13"/>
      <c r="C83" s="13"/>
      <c r="D83" s="14"/>
      <c r="E83" s="15"/>
      <c r="F83" s="16"/>
      <c r="G83" s="17"/>
      <c r="H83" s="18" t="n">
        <f aca="false">IF(AND(C83="Yakıt",D83&lt;&gt;""),SUMPRODUCT(MAX(($B$5:$B$1004=B83)*($C$5:$C$1004="Yakıt")*($D$5:$D$1004&lt;D83)*$D$5:$D$1004)),0)</f>
        <v>0</v>
      </c>
      <c r="I83" s="18" t="str">
        <f aca="false">IF(H83&gt;0,D83-H83,"")</f>
        <v/>
      </c>
      <c r="J83" s="19" t="str">
        <f aca="false">IF(OR(I83="",E83=""),"",E83/I83*100)</f>
        <v/>
      </c>
      <c r="K83" s="20" t="str">
        <f aca="false">IF(I83="","",F83/I83)</f>
        <v/>
      </c>
    </row>
    <row r="84" customFormat="false" ht="15" hidden="false" customHeight="false" outlineLevel="0" collapsed="false">
      <c r="A84" s="12"/>
      <c r="B84" s="13"/>
      <c r="C84" s="13"/>
      <c r="D84" s="14"/>
      <c r="E84" s="15"/>
      <c r="F84" s="16"/>
      <c r="G84" s="17"/>
      <c r="H84" s="18" t="n">
        <f aca="false">IF(AND(C84="Yakıt",D84&lt;&gt;""),SUMPRODUCT(MAX(($B$5:$B$1004=B84)*($C$5:$C$1004="Yakıt")*($D$5:$D$1004&lt;D84)*$D$5:$D$1004)),0)</f>
        <v>0</v>
      </c>
      <c r="I84" s="18" t="str">
        <f aca="false">IF(H84&gt;0,D84-H84,"")</f>
        <v/>
      </c>
      <c r="J84" s="19" t="str">
        <f aca="false">IF(OR(I84="",E84=""),"",E84/I84*100)</f>
        <v/>
      </c>
      <c r="K84" s="20" t="str">
        <f aca="false">IF(I84="","",F84/I84)</f>
        <v/>
      </c>
    </row>
    <row r="85" customFormat="false" ht="15" hidden="false" customHeight="false" outlineLevel="0" collapsed="false">
      <c r="A85" s="12"/>
      <c r="B85" s="13"/>
      <c r="C85" s="13"/>
      <c r="D85" s="14"/>
      <c r="E85" s="15"/>
      <c r="F85" s="16"/>
      <c r="G85" s="17"/>
      <c r="H85" s="18" t="n">
        <f aca="false">IF(AND(C85="Yakıt",D85&lt;&gt;""),SUMPRODUCT(MAX(($B$5:$B$1004=B85)*($C$5:$C$1004="Yakıt")*($D$5:$D$1004&lt;D85)*$D$5:$D$1004)),0)</f>
        <v>0</v>
      </c>
      <c r="I85" s="18" t="str">
        <f aca="false">IF(H85&gt;0,D85-H85,"")</f>
        <v/>
      </c>
      <c r="J85" s="19" t="str">
        <f aca="false">IF(OR(I85="",E85=""),"",E85/I85*100)</f>
        <v/>
      </c>
      <c r="K85" s="20" t="str">
        <f aca="false">IF(I85="","",F85/I85)</f>
        <v/>
      </c>
    </row>
    <row r="86" customFormat="false" ht="15" hidden="false" customHeight="false" outlineLevel="0" collapsed="false">
      <c r="A86" s="12"/>
      <c r="B86" s="13"/>
      <c r="C86" s="13"/>
      <c r="D86" s="14"/>
      <c r="E86" s="15"/>
      <c r="F86" s="16"/>
      <c r="G86" s="17"/>
      <c r="H86" s="18" t="n">
        <f aca="false">IF(AND(C86="Yakıt",D86&lt;&gt;""),SUMPRODUCT(MAX(($B$5:$B$1004=B86)*($C$5:$C$1004="Yakıt")*($D$5:$D$1004&lt;D86)*$D$5:$D$1004)),0)</f>
        <v>0</v>
      </c>
      <c r="I86" s="18" t="str">
        <f aca="false">IF(H86&gt;0,D86-H86,"")</f>
        <v/>
      </c>
      <c r="J86" s="19" t="str">
        <f aca="false">IF(OR(I86="",E86=""),"",E86/I86*100)</f>
        <v/>
      </c>
      <c r="K86" s="20" t="str">
        <f aca="false">IF(I86="","",F86/I86)</f>
        <v/>
      </c>
    </row>
    <row r="87" customFormat="false" ht="15" hidden="false" customHeight="false" outlineLevel="0" collapsed="false">
      <c r="A87" s="12"/>
      <c r="B87" s="13"/>
      <c r="C87" s="13"/>
      <c r="D87" s="14"/>
      <c r="E87" s="15"/>
      <c r="F87" s="16"/>
      <c r="G87" s="17"/>
      <c r="H87" s="18" t="n">
        <f aca="false">IF(AND(C87="Yakıt",D87&lt;&gt;""),SUMPRODUCT(MAX(($B$5:$B$1004=B87)*($C$5:$C$1004="Yakıt")*($D$5:$D$1004&lt;D87)*$D$5:$D$1004)),0)</f>
        <v>0</v>
      </c>
      <c r="I87" s="18" t="str">
        <f aca="false">IF(H87&gt;0,D87-H87,"")</f>
        <v/>
      </c>
      <c r="J87" s="19" t="str">
        <f aca="false">IF(OR(I87="",E87=""),"",E87/I87*100)</f>
        <v/>
      </c>
      <c r="K87" s="20" t="str">
        <f aca="false">IF(I87="","",F87/I87)</f>
        <v/>
      </c>
    </row>
    <row r="88" customFormat="false" ht="15" hidden="false" customHeight="false" outlineLevel="0" collapsed="false">
      <c r="A88" s="12"/>
      <c r="B88" s="13"/>
      <c r="C88" s="13"/>
      <c r="D88" s="14"/>
      <c r="E88" s="15"/>
      <c r="F88" s="16"/>
      <c r="G88" s="17"/>
      <c r="H88" s="18" t="n">
        <f aca="false">IF(AND(C88="Yakıt",D88&lt;&gt;""),SUMPRODUCT(MAX(($B$5:$B$1004=B88)*($C$5:$C$1004="Yakıt")*($D$5:$D$1004&lt;D88)*$D$5:$D$1004)),0)</f>
        <v>0</v>
      </c>
      <c r="I88" s="18" t="str">
        <f aca="false">IF(H88&gt;0,D88-H88,"")</f>
        <v/>
      </c>
      <c r="J88" s="19" t="str">
        <f aca="false">IF(OR(I88="",E88=""),"",E88/I88*100)</f>
        <v/>
      </c>
      <c r="K88" s="20" t="str">
        <f aca="false">IF(I88="","",F88/I88)</f>
        <v/>
      </c>
    </row>
    <row r="89" customFormat="false" ht="15" hidden="false" customHeight="false" outlineLevel="0" collapsed="false">
      <c r="A89" s="12"/>
      <c r="B89" s="13"/>
      <c r="C89" s="13"/>
      <c r="D89" s="14"/>
      <c r="E89" s="15"/>
      <c r="F89" s="16"/>
      <c r="G89" s="17"/>
      <c r="H89" s="18" t="n">
        <f aca="false">IF(AND(C89="Yakıt",D89&lt;&gt;""),SUMPRODUCT(MAX(($B$5:$B$1004=B89)*($C$5:$C$1004="Yakıt")*($D$5:$D$1004&lt;D89)*$D$5:$D$1004)),0)</f>
        <v>0</v>
      </c>
      <c r="I89" s="18" t="str">
        <f aca="false">IF(H89&gt;0,D89-H89,"")</f>
        <v/>
      </c>
      <c r="J89" s="19" t="str">
        <f aca="false">IF(OR(I89="",E89=""),"",E89/I89*100)</f>
        <v/>
      </c>
      <c r="K89" s="20" t="str">
        <f aca="false">IF(I89="","",F89/I89)</f>
        <v/>
      </c>
    </row>
    <row r="90" customFormat="false" ht="15" hidden="false" customHeight="false" outlineLevel="0" collapsed="false">
      <c r="A90" s="12"/>
      <c r="B90" s="13"/>
      <c r="C90" s="13"/>
      <c r="D90" s="14"/>
      <c r="E90" s="15"/>
      <c r="F90" s="16"/>
      <c r="G90" s="17"/>
      <c r="H90" s="18" t="n">
        <f aca="false">IF(AND(C90="Yakıt",D90&lt;&gt;""),SUMPRODUCT(MAX(($B$5:$B$1004=B90)*($C$5:$C$1004="Yakıt")*($D$5:$D$1004&lt;D90)*$D$5:$D$1004)),0)</f>
        <v>0</v>
      </c>
      <c r="I90" s="18" t="str">
        <f aca="false">IF(H90&gt;0,D90-H90,"")</f>
        <v/>
      </c>
      <c r="J90" s="19" t="str">
        <f aca="false">IF(OR(I90="",E90=""),"",E90/I90*100)</f>
        <v/>
      </c>
      <c r="K90" s="20" t="str">
        <f aca="false">IF(I90="","",F90/I90)</f>
        <v/>
      </c>
    </row>
    <row r="91" customFormat="false" ht="15" hidden="false" customHeight="false" outlineLevel="0" collapsed="false">
      <c r="A91" s="12"/>
      <c r="B91" s="13"/>
      <c r="C91" s="13"/>
      <c r="D91" s="14"/>
      <c r="E91" s="15"/>
      <c r="F91" s="16"/>
      <c r="G91" s="17"/>
      <c r="H91" s="18" t="n">
        <f aca="false">IF(AND(C91="Yakıt",D91&lt;&gt;""),SUMPRODUCT(MAX(($B$5:$B$1004=B91)*($C$5:$C$1004="Yakıt")*($D$5:$D$1004&lt;D91)*$D$5:$D$1004)),0)</f>
        <v>0</v>
      </c>
      <c r="I91" s="18" t="str">
        <f aca="false">IF(H91&gt;0,D91-H91,"")</f>
        <v/>
      </c>
      <c r="J91" s="19" t="str">
        <f aca="false">IF(OR(I91="",E91=""),"",E91/I91*100)</f>
        <v/>
      </c>
      <c r="K91" s="20" t="str">
        <f aca="false">IF(I91="","",F91/I91)</f>
        <v/>
      </c>
    </row>
    <row r="92" customFormat="false" ht="15" hidden="false" customHeight="false" outlineLevel="0" collapsed="false">
      <c r="A92" s="12"/>
      <c r="B92" s="13"/>
      <c r="C92" s="13"/>
      <c r="D92" s="14"/>
      <c r="E92" s="15"/>
      <c r="F92" s="16"/>
      <c r="G92" s="17"/>
      <c r="H92" s="18" t="n">
        <f aca="false">IF(AND(C92="Yakıt",D92&lt;&gt;""),SUMPRODUCT(MAX(($B$5:$B$1004=B92)*($C$5:$C$1004="Yakıt")*($D$5:$D$1004&lt;D92)*$D$5:$D$1004)),0)</f>
        <v>0</v>
      </c>
      <c r="I92" s="18" t="str">
        <f aca="false">IF(H92&gt;0,D92-H92,"")</f>
        <v/>
      </c>
      <c r="J92" s="19" t="str">
        <f aca="false">IF(OR(I92="",E92=""),"",E92/I92*100)</f>
        <v/>
      </c>
      <c r="K92" s="20" t="str">
        <f aca="false">IF(I92="","",F92/I92)</f>
        <v/>
      </c>
    </row>
    <row r="93" customFormat="false" ht="15" hidden="false" customHeight="false" outlineLevel="0" collapsed="false">
      <c r="A93" s="12"/>
      <c r="B93" s="13"/>
      <c r="C93" s="13"/>
      <c r="D93" s="14"/>
      <c r="E93" s="15"/>
      <c r="F93" s="16"/>
      <c r="G93" s="17"/>
      <c r="H93" s="18" t="n">
        <f aca="false">IF(AND(C93="Yakıt",D93&lt;&gt;""),SUMPRODUCT(MAX(($B$5:$B$1004=B93)*($C$5:$C$1004="Yakıt")*($D$5:$D$1004&lt;D93)*$D$5:$D$1004)),0)</f>
        <v>0</v>
      </c>
      <c r="I93" s="18" t="str">
        <f aca="false">IF(H93&gt;0,D93-H93,"")</f>
        <v/>
      </c>
      <c r="J93" s="19" t="str">
        <f aca="false">IF(OR(I93="",E93=""),"",E93/I93*100)</f>
        <v/>
      </c>
      <c r="K93" s="20" t="str">
        <f aca="false">IF(I93="","",F93/I93)</f>
        <v/>
      </c>
    </row>
    <row r="94" customFormat="false" ht="15" hidden="false" customHeight="false" outlineLevel="0" collapsed="false">
      <c r="A94" s="12"/>
      <c r="B94" s="13"/>
      <c r="C94" s="13"/>
      <c r="D94" s="14"/>
      <c r="E94" s="15"/>
      <c r="F94" s="16"/>
      <c r="G94" s="17"/>
      <c r="H94" s="18" t="n">
        <f aca="false">IF(AND(C94="Yakıt",D94&lt;&gt;""),SUMPRODUCT(MAX(($B$5:$B$1004=B94)*($C$5:$C$1004="Yakıt")*($D$5:$D$1004&lt;D94)*$D$5:$D$1004)),0)</f>
        <v>0</v>
      </c>
      <c r="I94" s="18" t="str">
        <f aca="false">IF(H94&gt;0,D94-H94,"")</f>
        <v/>
      </c>
      <c r="J94" s="19" t="str">
        <f aca="false">IF(OR(I94="",E94=""),"",E94/I94*100)</f>
        <v/>
      </c>
      <c r="K94" s="20" t="str">
        <f aca="false">IF(I94="","",F94/I94)</f>
        <v/>
      </c>
    </row>
    <row r="95" customFormat="false" ht="15" hidden="false" customHeight="false" outlineLevel="0" collapsed="false">
      <c r="A95" s="12"/>
      <c r="B95" s="13"/>
      <c r="C95" s="13"/>
      <c r="D95" s="14"/>
      <c r="E95" s="15"/>
      <c r="F95" s="16"/>
      <c r="G95" s="17"/>
      <c r="H95" s="18" t="n">
        <f aca="false">IF(AND(C95="Yakıt",D95&lt;&gt;""),SUMPRODUCT(MAX(($B$5:$B$1004=B95)*($C$5:$C$1004="Yakıt")*($D$5:$D$1004&lt;D95)*$D$5:$D$1004)),0)</f>
        <v>0</v>
      </c>
      <c r="I95" s="18" t="str">
        <f aca="false">IF(H95&gt;0,D95-H95,"")</f>
        <v/>
      </c>
      <c r="J95" s="19" t="str">
        <f aca="false">IF(OR(I95="",E95=""),"",E95/I95*100)</f>
        <v/>
      </c>
      <c r="K95" s="20" t="str">
        <f aca="false">IF(I95="","",F95/I95)</f>
        <v/>
      </c>
    </row>
    <row r="96" customFormat="false" ht="15" hidden="false" customHeight="false" outlineLevel="0" collapsed="false">
      <c r="A96" s="12"/>
      <c r="B96" s="13"/>
      <c r="C96" s="13"/>
      <c r="D96" s="14"/>
      <c r="E96" s="15"/>
      <c r="F96" s="16"/>
      <c r="G96" s="17"/>
      <c r="H96" s="18" t="n">
        <f aca="false">IF(AND(C96="Yakıt",D96&lt;&gt;""),SUMPRODUCT(MAX(($B$5:$B$1004=B96)*($C$5:$C$1004="Yakıt")*($D$5:$D$1004&lt;D96)*$D$5:$D$1004)),0)</f>
        <v>0</v>
      </c>
      <c r="I96" s="18" t="str">
        <f aca="false">IF(H96&gt;0,D96-H96,"")</f>
        <v/>
      </c>
      <c r="J96" s="19" t="str">
        <f aca="false">IF(OR(I96="",E96=""),"",E96/I96*100)</f>
        <v/>
      </c>
      <c r="K96" s="20" t="str">
        <f aca="false">IF(I96="","",F96/I96)</f>
        <v/>
      </c>
    </row>
    <row r="97" customFormat="false" ht="15" hidden="false" customHeight="false" outlineLevel="0" collapsed="false">
      <c r="A97" s="12"/>
      <c r="B97" s="13"/>
      <c r="C97" s="13"/>
      <c r="D97" s="14"/>
      <c r="E97" s="15"/>
      <c r="F97" s="16"/>
      <c r="G97" s="17"/>
      <c r="H97" s="18" t="n">
        <f aca="false">IF(AND(C97="Yakıt",D97&lt;&gt;""),SUMPRODUCT(MAX(($B$5:$B$1004=B97)*($C$5:$C$1004="Yakıt")*($D$5:$D$1004&lt;D97)*$D$5:$D$1004)),0)</f>
        <v>0</v>
      </c>
      <c r="I97" s="18" t="str">
        <f aca="false">IF(H97&gt;0,D97-H97,"")</f>
        <v/>
      </c>
      <c r="J97" s="19" t="str">
        <f aca="false">IF(OR(I97="",E97=""),"",E97/I97*100)</f>
        <v/>
      </c>
      <c r="K97" s="20" t="str">
        <f aca="false">IF(I97="","",F97/I97)</f>
        <v/>
      </c>
    </row>
    <row r="98" customFormat="false" ht="15" hidden="false" customHeight="false" outlineLevel="0" collapsed="false">
      <c r="A98" s="12"/>
      <c r="B98" s="13"/>
      <c r="C98" s="13"/>
      <c r="D98" s="14"/>
      <c r="E98" s="15"/>
      <c r="F98" s="16"/>
      <c r="G98" s="17"/>
      <c r="H98" s="18" t="n">
        <f aca="false">IF(AND(C98="Yakıt",D98&lt;&gt;""),SUMPRODUCT(MAX(($B$5:$B$1004=B98)*($C$5:$C$1004="Yakıt")*($D$5:$D$1004&lt;D98)*$D$5:$D$1004)),0)</f>
        <v>0</v>
      </c>
      <c r="I98" s="18" t="str">
        <f aca="false">IF(H98&gt;0,D98-H98,"")</f>
        <v/>
      </c>
      <c r="J98" s="19" t="str">
        <f aca="false">IF(OR(I98="",E98=""),"",E98/I98*100)</f>
        <v/>
      </c>
      <c r="K98" s="20" t="str">
        <f aca="false">IF(I98="","",F98/I98)</f>
        <v/>
      </c>
    </row>
    <row r="99" customFormat="false" ht="15" hidden="false" customHeight="false" outlineLevel="0" collapsed="false">
      <c r="A99" s="12"/>
      <c r="B99" s="13"/>
      <c r="C99" s="13"/>
      <c r="D99" s="14"/>
      <c r="E99" s="15"/>
      <c r="F99" s="16"/>
      <c r="G99" s="17"/>
      <c r="H99" s="18" t="n">
        <f aca="false">IF(AND(C99="Yakıt",D99&lt;&gt;""),SUMPRODUCT(MAX(($B$5:$B$1004=B99)*($C$5:$C$1004="Yakıt")*($D$5:$D$1004&lt;D99)*$D$5:$D$1004)),0)</f>
        <v>0</v>
      </c>
      <c r="I99" s="18" t="str">
        <f aca="false">IF(H99&gt;0,D99-H99,"")</f>
        <v/>
      </c>
      <c r="J99" s="19" t="str">
        <f aca="false">IF(OR(I99="",E99=""),"",E99/I99*100)</f>
        <v/>
      </c>
      <c r="K99" s="20" t="str">
        <f aca="false">IF(I99="","",F99/I99)</f>
        <v/>
      </c>
    </row>
    <row r="100" customFormat="false" ht="15" hidden="false" customHeight="false" outlineLevel="0" collapsed="false">
      <c r="A100" s="12"/>
      <c r="B100" s="13"/>
      <c r="C100" s="13"/>
      <c r="D100" s="14"/>
      <c r="E100" s="15"/>
      <c r="F100" s="16"/>
      <c r="G100" s="17"/>
      <c r="H100" s="18" t="n">
        <f aca="false">IF(AND(C100="Yakıt",D100&lt;&gt;""),SUMPRODUCT(MAX(($B$5:$B$1004=B100)*($C$5:$C$1004="Yakıt")*($D$5:$D$1004&lt;D100)*$D$5:$D$1004)),0)</f>
        <v>0</v>
      </c>
      <c r="I100" s="18" t="str">
        <f aca="false">IF(H100&gt;0,D100-H100,"")</f>
        <v/>
      </c>
      <c r="J100" s="19" t="str">
        <f aca="false">IF(OR(I100="",E100=""),"",E100/I100*100)</f>
        <v/>
      </c>
      <c r="K100" s="20" t="str">
        <f aca="false">IF(I100="","",F100/I100)</f>
        <v/>
      </c>
    </row>
    <row r="101" customFormat="false" ht="15" hidden="false" customHeight="false" outlineLevel="0" collapsed="false">
      <c r="A101" s="12"/>
      <c r="B101" s="13"/>
      <c r="C101" s="13"/>
      <c r="D101" s="14"/>
      <c r="E101" s="15"/>
      <c r="F101" s="16"/>
      <c r="G101" s="17"/>
      <c r="H101" s="18" t="n">
        <f aca="false">IF(AND(C101="Yakıt",D101&lt;&gt;""),SUMPRODUCT(MAX(($B$5:$B$1004=B101)*($C$5:$C$1004="Yakıt")*($D$5:$D$1004&lt;D101)*$D$5:$D$1004)),0)</f>
        <v>0</v>
      </c>
      <c r="I101" s="18" t="str">
        <f aca="false">IF(H101&gt;0,D101-H101,"")</f>
        <v/>
      </c>
      <c r="J101" s="19" t="str">
        <f aca="false">IF(OR(I101="",E101=""),"",E101/I101*100)</f>
        <v/>
      </c>
      <c r="K101" s="20" t="str">
        <f aca="false">IF(I101="","",F101/I101)</f>
        <v/>
      </c>
    </row>
    <row r="102" customFormat="false" ht="15" hidden="false" customHeight="false" outlineLevel="0" collapsed="false">
      <c r="A102" s="12"/>
      <c r="B102" s="13"/>
      <c r="C102" s="13"/>
      <c r="D102" s="14"/>
      <c r="E102" s="15"/>
      <c r="F102" s="16"/>
      <c r="G102" s="17"/>
      <c r="H102" s="18" t="n">
        <f aca="false">IF(AND(C102="Yakıt",D102&lt;&gt;""),SUMPRODUCT(MAX(($B$5:$B$1004=B102)*($C$5:$C$1004="Yakıt")*($D$5:$D$1004&lt;D102)*$D$5:$D$1004)),0)</f>
        <v>0</v>
      </c>
      <c r="I102" s="18" t="str">
        <f aca="false">IF(H102&gt;0,D102-H102,"")</f>
        <v/>
      </c>
      <c r="J102" s="19" t="str">
        <f aca="false">IF(OR(I102="",E102=""),"",E102/I102*100)</f>
        <v/>
      </c>
      <c r="K102" s="20" t="str">
        <f aca="false">IF(I102="","",F102/I102)</f>
        <v/>
      </c>
    </row>
    <row r="103" customFormat="false" ht="15" hidden="false" customHeight="false" outlineLevel="0" collapsed="false">
      <c r="A103" s="12"/>
      <c r="B103" s="13"/>
      <c r="C103" s="13"/>
      <c r="D103" s="14"/>
      <c r="E103" s="15"/>
      <c r="F103" s="16"/>
      <c r="G103" s="17"/>
      <c r="H103" s="18" t="n">
        <f aca="false">IF(AND(C103="Yakıt",D103&lt;&gt;""),SUMPRODUCT(MAX(($B$5:$B$1004=B103)*($C$5:$C$1004="Yakıt")*($D$5:$D$1004&lt;D103)*$D$5:$D$1004)),0)</f>
        <v>0</v>
      </c>
      <c r="I103" s="18" t="str">
        <f aca="false">IF(H103&gt;0,D103-H103,"")</f>
        <v/>
      </c>
      <c r="J103" s="19" t="str">
        <f aca="false">IF(OR(I103="",E103=""),"",E103/I103*100)</f>
        <v/>
      </c>
      <c r="K103" s="20" t="str">
        <f aca="false">IF(I103="","",F103/I103)</f>
        <v/>
      </c>
    </row>
    <row r="104" customFormat="false" ht="15" hidden="false" customHeight="false" outlineLevel="0" collapsed="false">
      <c r="A104" s="12"/>
      <c r="B104" s="13"/>
      <c r="C104" s="13"/>
      <c r="D104" s="14"/>
      <c r="E104" s="15"/>
      <c r="F104" s="16"/>
      <c r="G104" s="17"/>
      <c r="H104" s="18" t="n">
        <f aca="false">IF(AND(C104="Yakıt",D104&lt;&gt;""),SUMPRODUCT(MAX(($B$5:$B$1004=B104)*($C$5:$C$1004="Yakıt")*($D$5:$D$1004&lt;D104)*$D$5:$D$1004)),0)</f>
        <v>0</v>
      </c>
      <c r="I104" s="18" t="str">
        <f aca="false">IF(H104&gt;0,D104-H104,"")</f>
        <v/>
      </c>
      <c r="J104" s="19" t="str">
        <f aca="false">IF(OR(I104="",E104=""),"",E104/I104*100)</f>
        <v/>
      </c>
      <c r="K104" s="20" t="str">
        <f aca="false">IF(I104="","",F104/I104)</f>
        <v/>
      </c>
    </row>
    <row r="105" customFormat="false" ht="15" hidden="false" customHeight="false" outlineLevel="0" collapsed="false">
      <c r="A105" s="12"/>
      <c r="B105" s="13"/>
      <c r="C105" s="13"/>
      <c r="D105" s="14"/>
      <c r="E105" s="15"/>
      <c r="F105" s="16"/>
      <c r="G105" s="17"/>
      <c r="H105" s="18" t="n">
        <f aca="false">IF(AND(C105="Yakıt",D105&lt;&gt;""),SUMPRODUCT(MAX(($B$5:$B$1004=B105)*($C$5:$C$1004="Yakıt")*($D$5:$D$1004&lt;D105)*$D$5:$D$1004)),0)</f>
        <v>0</v>
      </c>
      <c r="I105" s="18" t="str">
        <f aca="false">IF(H105&gt;0,D105-H105,"")</f>
        <v/>
      </c>
      <c r="J105" s="19" t="str">
        <f aca="false">IF(OR(I105="",E105=""),"",E105/I105*100)</f>
        <v/>
      </c>
      <c r="K105" s="20" t="str">
        <f aca="false">IF(I105="","",F105/I105)</f>
        <v/>
      </c>
    </row>
    <row r="106" customFormat="false" ht="15" hidden="false" customHeight="false" outlineLevel="0" collapsed="false">
      <c r="A106" s="12"/>
      <c r="B106" s="13"/>
      <c r="C106" s="13"/>
      <c r="D106" s="14"/>
      <c r="E106" s="15"/>
      <c r="F106" s="16"/>
      <c r="G106" s="17"/>
      <c r="H106" s="18" t="n">
        <f aca="false">IF(AND(C106="Yakıt",D106&lt;&gt;""),SUMPRODUCT(MAX(($B$5:$B$1004=B106)*($C$5:$C$1004="Yakıt")*($D$5:$D$1004&lt;D106)*$D$5:$D$1004)),0)</f>
        <v>0</v>
      </c>
      <c r="I106" s="18" t="str">
        <f aca="false">IF(H106&gt;0,D106-H106,"")</f>
        <v/>
      </c>
      <c r="J106" s="19" t="str">
        <f aca="false">IF(OR(I106="",E106=""),"",E106/I106*100)</f>
        <v/>
      </c>
      <c r="K106" s="20" t="str">
        <f aca="false">IF(I106="","",F106/I106)</f>
        <v/>
      </c>
    </row>
    <row r="107" customFormat="false" ht="15" hidden="false" customHeight="false" outlineLevel="0" collapsed="false">
      <c r="A107" s="12"/>
      <c r="B107" s="13"/>
      <c r="C107" s="13"/>
      <c r="D107" s="14"/>
      <c r="E107" s="15"/>
      <c r="F107" s="16"/>
      <c r="G107" s="17"/>
      <c r="H107" s="18" t="n">
        <f aca="false">IF(AND(C107="Yakıt",D107&lt;&gt;""),SUMPRODUCT(MAX(($B$5:$B$1004=B107)*($C$5:$C$1004="Yakıt")*($D$5:$D$1004&lt;D107)*$D$5:$D$1004)),0)</f>
        <v>0</v>
      </c>
      <c r="I107" s="18" t="str">
        <f aca="false">IF(H107&gt;0,D107-H107,"")</f>
        <v/>
      </c>
      <c r="J107" s="19" t="str">
        <f aca="false">IF(OR(I107="",E107=""),"",E107/I107*100)</f>
        <v/>
      </c>
      <c r="K107" s="20" t="str">
        <f aca="false">IF(I107="","",F107/I107)</f>
        <v/>
      </c>
    </row>
    <row r="108" customFormat="false" ht="15" hidden="false" customHeight="false" outlineLevel="0" collapsed="false">
      <c r="A108" s="12"/>
      <c r="B108" s="13"/>
      <c r="C108" s="13"/>
      <c r="D108" s="14"/>
      <c r="E108" s="15"/>
      <c r="F108" s="16"/>
      <c r="G108" s="17"/>
      <c r="H108" s="18" t="n">
        <f aca="false">IF(AND(C108="Yakıt",D108&lt;&gt;""),SUMPRODUCT(MAX(($B$5:$B$1004=B108)*($C$5:$C$1004="Yakıt")*($D$5:$D$1004&lt;D108)*$D$5:$D$1004)),0)</f>
        <v>0</v>
      </c>
      <c r="I108" s="18" t="str">
        <f aca="false">IF(H108&gt;0,D108-H108,"")</f>
        <v/>
      </c>
      <c r="J108" s="19" t="str">
        <f aca="false">IF(OR(I108="",E108=""),"",E108/I108*100)</f>
        <v/>
      </c>
      <c r="K108" s="20" t="str">
        <f aca="false">IF(I108="","",F108/I108)</f>
        <v/>
      </c>
    </row>
    <row r="109" customFormat="false" ht="15" hidden="false" customHeight="false" outlineLevel="0" collapsed="false">
      <c r="A109" s="12"/>
      <c r="B109" s="13"/>
      <c r="C109" s="13"/>
      <c r="D109" s="14"/>
      <c r="E109" s="15"/>
      <c r="F109" s="16"/>
      <c r="G109" s="17"/>
      <c r="H109" s="18" t="n">
        <f aca="false">IF(AND(C109="Yakıt",D109&lt;&gt;""),SUMPRODUCT(MAX(($B$5:$B$1004=B109)*($C$5:$C$1004="Yakıt")*($D$5:$D$1004&lt;D109)*$D$5:$D$1004)),0)</f>
        <v>0</v>
      </c>
      <c r="I109" s="18" t="str">
        <f aca="false">IF(H109&gt;0,D109-H109,"")</f>
        <v/>
      </c>
      <c r="J109" s="19" t="str">
        <f aca="false">IF(OR(I109="",E109=""),"",E109/I109*100)</f>
        <v/>
      </c>
      <c r="K109" s="20" t="str">
        <f aca="false">IF(I109="","",F109/I109)</f>
        <v/>
      </c>
    </row>
    <row r="110" customFormat="false" ht="15" hidden="false" customHeight="false" outlineLevel="0" collapsed="false">
      <c r="A110" s="12"/>
      <c r="B110" s="13"/>
      <c r="C110" s="13"/>
      <c r="D110" s="14"/>
      <c r="E110" s="15"/>
      <c r="F110" s="16"/>
      <c r="G110" s="17"/>
      <c r="H110" s="18" t="n">
        <f aca="false">IF(AND(C110="Yakıt",D110&lt;&gt;""),SUMPRODUCT(MAX(($B$5:$B$1004=B110)*($C$5:$C$1004="Yakıt")*($D$5:$D$1004&lt;D110)*$D$5:$D$1004)),0)</f>
        <v>0</v>
      </c>
      <c r="I110" s="18" t="str">
        <f aca="false">IF(H110&gt;0,D110-H110,"")</f>
        <v/>
      </c>
      <c r="J110" s="19" t="str">
        <f aca="false">IF(OR(I110="",E110=""),"",E110/I110*100)</f>
        <v/>
      </c>
      <c r="K110" s="20" t="str">
        <f aca="false">IF(I110="","",F110/I110)</f>
        <v/>
      </c>
    </row>
    <row r="111" customFormat="false" ht="15" hidden="false" customHeight="false" outlineLevel="0" collapsed="false">
      <c r="A111" s="12"/>
      <c r="B111" s="13"/>
      <c r="C111" s="13"/>
      <c r="D111" s="14"/>
      <c r="E111" s="15"/>
      <c r="F111" s="16"/>
      <c r="G111" s="17"/>
      <c r="H111" s="18" t="n">
        <f aca="false">IF(AND(C111="Yakıt",D111&lt;&gt;""),SUMPRODUCT(MAX(($B$5:$B$1004=B111)*($C$5:$C$1004="Yakıt")*($D$5:$D$1004&lt;D111)*$D$5:$D$1004)),0)</f>
        <v>0</v>
      </c>
      <c r="I111" s="18" t="str">
        <f aca="false">IF(H111&gt;0,D111-H111,"")</f>
        <v/>
      </c>
      <c r="J111" s="19" t="str">
        <f aca="false">IF(OR(I111="",E111=""),"",E111/I111*100)</f>
        <v/>
      </c>
      <c r="K111" s="20" t="str">
        <f aca="false">IF(I111="","",F111/I111)</f>
        <v/>
      </c>
    </row>
    <row r="112" customFormat="false" ht="15" hidden="false" customHeight="false" outlineLevel="0" collapsed="false">
      <c r="A112" s="12"/>
      <c r="B112" s="13"/>
      <c r="C112" s="13"/>
      <c r="D112" s="14"/>
      <c r="E112" s="15"/>
      <c r="F112" s="16"/>
      <c r="G112" s="17"/>
      <c r="H112" s="18" t="n">
        <f aca="false">IF(AND(C112="Yakıt",D112&lt;&gt;""),SUMPRODUCT(MAX(($B$5:$B$1004=B112)*($C$5:$C$1004="Yakıt")*($D$5:$D$1004&lt;D112)*$D$5:$D$1004)),0)</f>
        <v>0</v>
      </c>
      <c r="I112" s="18" t="str">
        <f aca="false">IF(H112&gt;0,D112-H112,"")</f>
        <v/>
      </c>
      <c r="J112" s="19" t="str">
        <f aca="false">IF(OR(I112="",E112=""),"",E112/I112*100)</f>
        <v/>
      </c>
      <c r="K112" s="20" t="str">
        <f aca="false">IF(I112="","",F112/I112)</f>
        <v/>
      </c>
    </row>
    <row r="113" customFormat="false" ht="15" hidden="false" customHeight="false" outlineLevel="0" collapsed="false">
      <c r="A113" s="12"/>
      <c r="B113" s="13"/>
      <c r="C113" s="13"/>
      <c r="D113" s="14"/>
      <c r="E113" s="15"/>
      <c r="F113" s="16"/>
      <c r="G113" s="17"/>
      <c r="H113" s="18" t="n">
        <f aca="false">IF(AND(C113="Yakıt",D113&lt;&gt;""),SUMPRODUCT(MAX(($B$5:$B$1004=B113)*($C$5:$C$1004="Yakıt")*($D$5:$D$1004&lt;D113)*$D$5:$D$1004)),0)</f>
        <v>0</v>
      </c>
      <c r="I113" s="18" t="str">
        <f aca="false">IF(H113&gt;0,D113-H113,"")</f>
        <v/>
      </c>
      <c r="J113" s="19" t="str">
        <f aca="false">IF(OR(I113="",E113=""),"",E113/I113*100)</f>
        <v/>
      </c>
      <c r="K113" s="20" t="str">
        <f aca="false">IF(I113="","",F113/I113)</f>
        <v/>
      </c>
    </row>
    <row r="114" customFormat="false" ht="15" hidden="false" customHeight="false" outlineLevel="0" collapsed="false">
      <c r="A114" s="12"/>
      <c r="B114" s="13"/>
      <c r="C114" s="13"/>
      <c r="D114" s="14"/>
      <c r="E114" s="15"/>
      <c r="F114" s="16"/>
      <c r="G114" s="17"/>
      <c r="H114" s="18" t="n">
        <f aca="false">IF(AND(C114="Yakıt",D114&lt;&gt;""),SUMPRODUCT(MAX(($B$5:$B$1004=B114)*($C$5:$C$1004="Yakıt")*($D$5:$D$1004&lt;D114)*$D$5:$D$1004)),0)</f>
        <v>0</v>
      </c>
      <c r="I114" s="18" t="str">
        <f aca="false">IF(H114&gt;0,D114-H114,"")</f>
        <v/>
      </c>
      <c r="J114" s="19" t="str">
        <f aca="false">IF(OR(I114="",E114=""),"",E114/I114*100)</f>
        <v/>
      </c>
      <c r="K114" s="20" t="str">
        <f aca="false">IF(I114="","",F114/I114)</f>
        <v/>
      </c>
    </row>
    <row r="115" customFormat="false" ht="15" hidden="false" customHeight="false" outlineLevel="0" collapsed="false">
      <c r="A115" s="12"/>
      <c r="B115" s="13"/>
      <c r="C115" s="13"/>
      <c r="D115" s="14"/>
      <c r="E115" s="15"/>
      <c r="F115" s="16"/>
      <c r="G115" s="17"/>
      <c r="H115" s="18" t="n">
        <f aca="false">IF(AND(C115="Yakıt",D115&lt;&gt;""),SUMPRODUCT(MAX(($B$5:$B$1004=B115)*($C$5:$C$1004="Yakıt")*($D$5:$D$1004&lt;D115)*$D$5:$D$1004)),0)</f>
        <v>0</v>
      </c>
      <c r="I115" s="18" t="str">
        <f aca="false">IF(H115&gt;0,D115-H115,"")</f>
        <v/>
      </c>
      <c r="J115" s="19" t="str">
        <f aca="false">IF(OR(I115="",E115=""),"",E115/I115*100)</f>
        <v/>
      </c>
      <c r="K115" s="20" t="str">
        <f aca="false">IF(I115="","",F115/I115)</f>
        <v/>
      </c>
    </row>
    <row r="116" customFormat="false" ht="15" hidden="false" customHeight="false" outlineLevel="0" collapsed="false">
      <c r="A116" s="12"/>
      <c r="B116" s="13"/>
      <c r="C116" s="13"/>
      <c r="D116" s="14"/>
      <c r="E116" s="15"/>
      <c r="F116" s="16"/>
      <c r="G116" s="17"/>
      <c r="H116" s="18" t="n">
        <f aca="false">IF(AND(C116="Yakıt",D116&lt;&gt;""),SUMPRODUCT(MAX(($B$5:$B$1004=B116)*($C$5:$C$1004="Yakıt")*($D$5:$D$1004&lt;D116)*$D$5:$D$1004)),0)</f>
        <v>0</v>
      </c>
      <c r="I116" s="18" t="str">
        <f aca="false">IF(H116&gt;0,D116-H116,"")</f>
        <v/>
      </c>
      <c r="J116" s="19" t="str">
        <f aca="false">IF(OR(I116="",E116=""),"",E116/I116*100)</f>
        <v/>
      </c>
      <c r="K116" s="20" t="str">
        <f aca="false">IF(I116="","",F116/I116)</f>
        <v/>
      </c>
    </row>
    <row r="117" customFormat="false" ht="15" hidden="false" customHeight="false" outlineLevel="0" collapsed="false">
      <c r="A117" s="12"/>
      <c r="B117" s="13"/>
      <c r="C117" s="13"/>
      <c r="D117" s="14"/>
      <c r="E117" s="15"/>
      <c r="F117" s="16"/>
      <c r="G117" s="17"/>
      <c r="H117" s="18" t="n">
        <f aca="false">IF(AND(C117="Yakıt",D117&lt;&gt;""),SUMPRODUCT(MAX(($B$5:$B$1004=B117)*($C$5:$C$1004="Yakıt")*($D$5:$D$1004&lt;D117)*$D$5:$D$1004)),0)</f>
        <v>0</v>
      </c>
      <c r="I117" s="18" t="str">
        <f aca="false">IF(H117&gt;0,D117-H117,"")</f>
        <v/>
      </c>
      <c r="J117" s="19" t="str">
        <f aca="false">IF(OR(I117="",E117=""),"",E117/I117*100)</f>
        <v/>
      </c>
      <c r="K117" s="20" t="str">
        <f aca="false">IF(I117="","",F117/I117)</f>
        <v/>
      </c>
    </row>
    <row r="118" customFormat="false" ht="15" hidden="false" customHeight="false" outlineLevel="0" collapsed="false">
      <c r="A118" s="12"/>
      <c r="B118" s="13"/>
      <c r="C118" s="13"/>
      <c r="D118" s="14"/>
      <c r="E118" s="15"/>
      <c r="F118" s="16"/>
      <c r="G118" s="17"/>
      <c r="H118" s="18" t="n">
        <f aca="false">IF(AND(C118="Yakıt",D118&lt;&gt;""),SUMPRODUCT(MAX(($B$5:$B$1004=B118)*($C$5:$C$1004="Yakıt")*($D$5:$D$1004&lt;D118)*$D$5:$D$1004)),0)</f>
        <v>0</v>
      </c>
      <c r="I118" s="18" t="str">
        <f aca="false">IF(H118&gt;0,D118-H118,"")</f>
        <v/>
      </c>
      <c r="J118" s="19" t="str">
        <f aca="false">IF(OR(I118="",E118=""),"",E118/I118*100)</f>
        <v/>
      </c>
      <c r="K118" s="20" t="str">
        <f aca="false">IF(I118="","",F118/I118)</f>
        <v/>
      </c>
    </row>
    <row r="119" customFormat="false" ht="15" hidden="false" customHeight="false" outlineLevel="0" collapsed="false">
      <c r="A119" s="12"/>
      <c r="B119" s="13"/>
      <c r="C119" s="13"/>
      <c r="D119" s="14"/>
      <c r="E119" s="15"/>
      <c r="F119" s="16"/>
      <c r="G119" s="17"/>
      <c r="H119" s="18" t="n">
        <f aca="false">IF(AND(C119="Yakıt",D119&lt;&gt;""),SUMPRODUCT(MAX(($B$5:$B$1004=B119)*($C$5:$C$1004="Yakıt")*($D$5:$D$1004&lt;D119)*$D$5:$D$1004)),0)</f>
        <v>0</v>
      </c>
      <c r="I119" s="18" t="str">
        <f aca="false">IF(H119&gt;0,D119-H119,"")</f>
        <v/>
      </c>
      <c r="J119" s="19" t="str">
        <f aca="false">IF(OR(I119="",E119=""),"",E119/I119*100)</f>
        <v/>
      </c>
      <c r="K119" s="20" t="str">
        <f aca="false">IF(I119="","",F119/I119)</f>
        <v/>
      </c>
    </row>
    <row r="120" customFormat="false" ht="15" hidden="false" customHeight="false" outlineLevel="0" collapsed="false">
      <c r="A120" s="12"/>
      <c r="B120" s="13"/>
      <c r="C120" s="13"/>
      <c r="D120" s="14"/>
      <c r="E120" s="15"/>
      <c r="F120" s="16"/>
      <c r="G120" s="17"/>
      <c r="H120" s="18" t="n">
        <f aca="false">IF(AND(C120="Yakıt",D120&lt;&gt;""),SUMPRODUCT(MAX(($B$5:$B$1004=B120)*($C$5:$C$1004="Yakıt")*($D$5:$D$1004&lt;D120)*$D$5:$D$1004)),0)</f>
        <v>0</v>
      </c>
      <c r="I120" s="18" t="str">
        <f aca="false">IF(H120&gt;0,D120-H120,"")</f>
        <v/>
      </c>
      <c r="J120" s="19" t="str">
        <f aca="false">IF(OR(I120="",E120=""),"",E120/I120*100)</f>
        <v/>
      </c>
      <c r="K120" s="20" t="str">
        <f aca="false">IF(I120="","",F120/I120)</f>
        <v/>
      </c>
    </row>
    <row r="121" customFormat="false" ht="15" hidden="false" customHeight="false" outlineLevel="0" collapsed="false">
      <c r="A121" s="12"/>
      <c r="B121" s="13"/>
      <c r="C121" s="13"/>
      <c r="D121" s="14"/>
      <c r="E121" s="15"/>
      <c r="F121" s="16"/>
      <c r="G121" s="17"/>
      <c r="H121" s="18" t="n">
        <f aca="false">IF(AND(C121="Yakıt",D121&lt;&gt;""),SUMPRODUCT(MAX(($B$5:$B$1004=B121)*($C$5:$C$1004="Yakıt")*($D$5:$D$1004&lt;D121)*$D$5:$D$1004)),0)</f>
        <v>0</v>
      </c>
      <c r="I121" s="18" t="str">
        <f aca="false">IF(H121&gt;0,D121-H121,"")</f>
        <v/>
      </c>
      <c r="J121" s="19" t="str">
        <f aca="false">IF(OR(I121="",E121=""),"",E121/I121*100)</f>
        <v/>
      </c>
      <c r="K121" s="20" t="str">
        <f aca="false">IF(I121="","",F121/I121)</f>
        <v/>
      </c>
    </row>
    <row r="122" customFormat="false" ht="15" hidden="false" customHeight="false" outlineLevel="0" collapsed="false">
      <c r="A122" s="12"/>
      <c r="B122" s="13"/>
      <c r="C122" s="13"/>
      <c r="D122" s="14"/>
      <c r="E122" s="15"/>
      <c r="F122" s="16"/>
      <c r="G122" s="17"/>
      <c r="H122" s="18" t="n">
        <f aca="false">IF(AND(C122="Yakıt",D122&lt;&gt;""),SUMPRODUCT(MAX(($B$5:$B$1004=B122)*($C$5:$C$1004="Yakıt")*($D$5:$D$1004&lt;D122)*$D$5:$D$1004)),0)</f>
        <v>0</v>
      </c>
      <c r="I122" s="18" t="str">
        <f aca="false">IF(H122&gt;0,D122-H122,"")</f>
        <v/>
      </c>
      <c r="J122" s="19" t="str">
        <f aca="false">IF(OR(I122="",E122=""),"",E122/I122*100)</f>
        <v/>
      </c>
      <c r="K122" s="20" t="str">
        <f aca="false">IF(I122="","",F122/I122)</f>
        <v/>
      </c>
    </row>
    <row r="123" customFormat="false" ht="15" hidden="false" customHeight="false" outlineLevel="0" collapsed="false">
      <c r="A123" s="12"/>
      <c r="B123" s="13"/>
      <c r="C123" s="13"/>
      <c r="D123" s="14"/>
      <c r="E123" s="15"/>
      <c r="F123" s="16"/>
      <c r="G123" s="17"/>
      <c r="H123" s="18" t="n">
        <f aca="false">IF(AND(C123="Yakıt",D123&lt;&gt;""),SUMPRODUCT(MAX(($B$5:$B$1004=B123)*($C$5:$C$1004="Yakıt")*($D$5:$D$1004&lt;D123)*$D$5:$D$1004)),0)</f>
        <v>0</v>
      </c>
      <c r="I123" s="18" t="str">
        <f aca="false">IF(H123&gt;0,D123-H123,"")</f>
        <v/>
      </c>
      <c r="J123" s="19" t="str">
        <f aca="false">IF(OR(I123="",E123=""),"",E123/I123*100)</f>
        <v/>
      </c>
      <c r="K123" s="20" t="str">
        <f aca="false">IF(I123="","",F123/I123)</f>
        <v/>
      </c>
    </row>
    <row r="124" customFormat="false" ht="15" hidden="false" customHeight="false" outlineLevel="0" collapsed="false">
      <c r="A124" s="12"/>
      <c r="B124" s="13"/>
      <c r="C124" s="13"/>
      <c r="D124" s="14"/>
      <c r="E124" s="15"/>
      <c r="F124" s="16"/>
      <c r="G124" s="17"/>
      <c r="H124" s="18" t="n">
        <f aca="false">IF(AND(C124="Yakıt",D124&lt;&gt;""),SUMPRODUCT(MAX(($B$5:$B$1004=B124)*($C$5:$C$1004="Yakıt")*($D$5:$D$1004&lt;D124)*$D$5:$D$1004)),0)</f>
        <v>0</v>
      </c>
      <c r="I124" s="18" t="str">
        <f aca="false">IF(H124&gt;0,D124-H124,"")</f>
        <v/>
      </c>
      <c r="J124" s="19" t="str">
        <f aca="false">IF(OR(I124="",E124=""),"",E124/I124*100)</f>
        <v/>
      </c>
      <c r="K124" s="20" t="str">
        <f aca="false">IF(I124="","",F124/I124)</f>
        <v/>
      </c>
    </row>
    <row r="125" customFormat="false" ht="15" hidden="false" customHeight="false" outlineLevel="0" collapsed="false">
      <c r="A125" s="12"/>
      <c r="B125" s="13"/>
      <c r="C125" s="13"/>
      <c r="D125" s="14"/>
      <c r="E125" s="15"/>
      <c r="F125" s="16"/>
      <c r="G125" s="17"/>
      <c r="H125" s="18" t="n">
        <f aca="false">IF(AND(C125="Yakıt",D125&lt;&gt;""),SUMPRODUCT(MAX(($B$5:$B$1004=B125)*($C$5:$C$1004="Yakıt")*($D$5:$D$1004&lt;D125)*$D$5:$D$1004)),0)</f>
        <v>0</v>
      </c>
      <c r="I125" s="18" t="str">
        <f aca="false">IF(H125&gt;0,D125-H125,"")</f>
        <v/>
      </c>
      <c r="J125" s="19" t="str">
        <f aca="false">IF(OR(I125="",E125=""),"",E125/I125*100)</f>
        <v/>
      </c>
      <c r="K125" s="20" t="str">
        <f aca="false">IF(I125="","",F125/I125)</f>
        <v/>
      </c>
    </row>
    <row r="126" customFormat="false" ht="15" hidden="false" customHeight="false" outlineLevel="0" collapsed="false">
      <c r="A126" s="12"/>
      <c r="B126" s="13"/>
      <c r="C126" s="13"/>
      <c r="D126" s="14"/>
      <c r="E126" s="15"/>
      <c r="F126" s="16"/>
      <c r="G126" s="17"/>
      <c r="H126" s="18" t="n">
        <f aca="false">IF(AND(C126="Yakıt",D126&lt;&gt;""),SUMPRODUCT(MAX(($B$5:$B$1004=B126)*($C$5:$C$1004="Yakıt")*($D$5:$D$1004&lt;D126)*$D$5:$D$1004)),0)</f>
        <v>0</v>
      </c>
      <c r="I126" s="18" t="str">
        <f aca="false">IF(H126&gt;0,D126-H126,"")</f>
        <v/>
      </c>
      <c r="J126" s="19" t="str">
        <f aca="false">IF(OR(I126="",E126=""),"",E126/I126*100)</f>
        <v/>
      </c>
      <c r="K126" s="20" t="str">
        <f aca="false">IF(I126="","",F126/I126)</f>
        <v/>
      </c>
    </row>
    <row r="127" customFormat="false" ht="15" hidden="false" customHeight="false" outlineLevel="0" collapsed="false">
      <c r="A127" s="12"/>
      <c r="B127" s="13"/>
      <c r="C127" s="13"/>
      <c r="D127" s="14"/>
      <c r="E127" s="15"/>
      <c r="F127" s="16"/>
      <c r="G127" s="17"/>
      <c r="H127" s="18" t="n">
        <f aca="false">IF(AND(C127="Yakıt",D127&lt;&gt;""),SUMPRODUCT(MAX(($B$5:$B$1004=B127)*($C$5:$C$1004="Yakıt")*($D$5:$D$1004&lt;D127)*$D$5:$D$1004)),0)</f>
        <v>0</v>
      </c>
      <c r="I127" s="18" t="str">
        <f aca="false">IF(H127&gt;0,D127-H127,"")</f>
        <v/>
      </c>
      <c r="J127" s="19" t="str">
        <f aca="false">IF(OR(I127="",E127=""),"",E127/I127*100)</f>
        <v/>
      </c>
      <c r="K127" s="20" t="str">
        <f aca="false">IF(I127="","",F127/I127)</f>
        <v/>
      </c>
    </row>
    <row r="128" customFormat="false" ht="15" hidden="false" customHeight="false" outlineLevel="0" collapsed="false">
      <c r="A128" s="12"/>
      <c r="B128" s="13"/>
      <c r="C128" s="13"/>
      <c r="D128" s="14"/>
      <c r="E128" s="15"/>
      <c r="F128" s="16"/>
      <c r="G128" s="17"/>
      <c r="H128" s="18" t="n">
        <f aca="false">IF(AND(C128="Yakıt",D128&lt;&gt;""),SUMPRODUCT(MAX(($B$5:$B$1004=B128)*($C$5:$C$1004="Yakıt")*($D$5:$D$1004&lt;D128)*$D$5:$D$1004)),0)</f>
        <v>0</v>
      </c>
      <c r="I128" s="18" t="str">
        <f aca="false">IF(H128&gt;0,D128-H128,"")</f>
        <v/>
      </c>
      <c r="J128" s="19" t="str">
        <f aca="false">IF(OR(I128="",E128=""),"",E128/I128*100)</f>
        <v/>
      </c>
      <c r="K128" s="20" t="str">
        <f aca="false">IF(I128="","",F128/I128)</f>
        <v/>
      </c>
    </row>
    <row r="129" customFormat="false" ht="15" hidden="false" customHeight="false" outlineLevel="0" collapsed="false">
      <c r="A129" s="12"/>
      <c r="B129" s="13"/>
      <c r="C129" s="13"/>
      <c r="D129" s="14"/>
      <c r="E129" s="15"/>
      <c r="F129" s="16"/>
      <c r="G129" s="17"/>
      <c r="H129" s="18" t="n">
        <f aca="false">IF(AND(C129="Yakıt",D129&lt;&gt;""),SUMPRODUCT(MAX(($B$5:$B$1004=B129)*($C$5:$C$1004="Yakıt")*($D$5:$D$1004&lt;D129)*$D$5:$D$1004)),0)</f>
        <v>0</v>
      </c>
      <c r="I129" s="18" t="str">
        <f aca="false">IF(H129&gt;0,D129-H129,"")</f>
        <v/>
      </c>
      <c r="J129" s="19" t="str">
        <f aca="false">IF(OR(I129="",E129=""),"",E129/I129*100)</f>
        <v/>
      </c>
      <c r="K129" s="20" t="str">
        <f aca="false">IF(I129="","",F129/I129)</f>
        <v/>
      </c>
    </row>
    <row r="130" customFormat="false" ht="15" hidden="false" customHeight="false" outlineLevel="0" collapsed="false">
      <c r="A130" s="12"/>
      <c r="B130" s="13"/>
      <c r="C130" s="13"/>
      <c r="D130" s="14"/>
      <c r="E130" s="15"/>
      <c r="F130" s="16"/>
      <c r="G130" s="17"/>
      <c r="H130" s="18" t="n">
        <f aca="false">IF(AND(C130="Yakıt",D130&lt;&gt;""),SUMPRODUCT(MAX(($B$5:$B$1004=B130)*($C$5:$C$1004="Yakıt")*($D$5:$D$1004&lt;D130)*$D$5:$D$1004)),0)</f>
        <v>0</v>
      </c>
      <c r="I130" s="18" t="str">
        <f aca="false">IF(H130&gt;0,D130-H130,"")</f>
        <v/>
      </c>
      <c r="J130" s="19" t="str">
        <f aca="false">IF(OR(I130="",E130=""),"",E130/I130*100)</f>
        <v/>
      </c>
      <c r="K130" s="20" t="str">
        <f aca="false">IF(I130="","",F130/I130)</f>
        <v/>
      </c>
    </row>
    <row r="131" customFormat="false" ht="15" hidden="false" customHeight="false" outlineLevel="0" collapsed="false">
      <c r="A131" s="12"/>
      <c r="B131" s="13"/>
      <c r="C131" s="13"/>
      <c r="D131" s="14"/>
      <c r="E131" s="15"/>
      <c r="F131" s="16"/>
      <c r="G131" s="17"/>
      <c r="H131" s="18" t="n">
        <f aca="false">IF(AND(C131="Yakıt",D131&lt;&gt;""),SUMPRODUCT(MAX(($B$5:$B$1004=B131)*($C$5:$C$1004="Yakıt")*($D$5:$D$1004&lt;D131)*$D$5:$D$1004)),0)</f>
        <v>0</v>
      </c>
      <c r="I131" s="18" t="str">
        <f aca="false">IF(H131&gt;0,D131-H131,"")</f>
        <v/>
      </c>
      <c r="J131" s="19" t="str">
        <f aca="false">IF(OR(I131="",E131=""),"",E131/I131*100)</f>
        <v/>
      </c>
      <c r="K131" s="20" t="str">
        <f aca="false">IF(I131="","",F131/I131)</f>
        <v/>
      </c>
    </row>
    <row r="132" customFormat="false" ht="15" hidden="false" customHeight="false" outlineLevel="0" collapsed="false">
      <c r="A132" s="12"/>
      <c r="B132" s="13"/>
      <c r="C132" s="13"/>
      <c r="D132" s="14"/>
      <c r="E132" s="15"/>
      <c r="F132" s="16"/>
      <c r="G132" s="17"/>
      <c r="H132" s="18" t="n">
        <f aca="false">IF(AND(C132="Yakıt",D132&lt;&gt;""),SUMPRODUCT(MAX(($B$5:$B$1004=B132)*($C$5:$C$1004="Yakıt")*($D$5:$D$1004&lt;D132)*$D$5:$D$1004)),0)</f>
        <v>0</v>
      </c>
      <c r="I132" s="18" t="str">
        <f aca="false">IF(H132&gt;0,D132-H132,"")</f>
        <v/>
      </c>
      <c r="J132" s="19" t="str">
        <f aca="false">IF(OR(I132="",E132=""),"",E132/I132*100)</f>
        <v/>
      </c>
      <c r="K132" s="20" t="str">
        <f aca="false">IF(I132="","",F132/I132)</f>
        <v/>
      </c>
    </row>
    <row r="133" customFormat="false" ht="15" hidden="false" customHeight="false" outlineLevel="0" collapsed="false">
      <c r="A133" s="12"/>
      <c r="B133" s="13"/>
      <c r="C133" s="13"/>
      <c r="D133" s="14"/>
      <c r="E133" s="15"/>
      <c r="F133" s="16"/>
      <c r="G133" s="17"/>
      <c r="H133" s="18" t="n">
        <f aca="false">IF(AND(C133="Yakıt",D133&lt;&gt;""),SUMPRODUCT(MAX(($B$5:$B$1004=B133)*($C$5:$C$1004="Yakıt")*($D$5:$D$1004&lt;D133)*$D$5:$D$1004)),0)</f>
        <v>0</v>
      </c>
      <c r="I133" s="18" t="str">
        <f aca="false">IF(H133&gt;0,D133-H133,"")</f>
        <v/>
      </c>
      <c r="J133" s="19" t="str">
        <f aca="false">IF(OR(I133="",E133=""),"",E133/I133*100)</f>
        <v/>
      </c>
      <c r="K133" s="20" t="str">
        <f aca="false">IF(I133="","",F133/I133)</f>
        <v/>
      </c>
    </row>
    <row r="134" customFormat="false" ht="15" hidden="false" customHeight="false" outlineLevel="0" collapsed="false">
      <c r="A134" s="12"/>
      <c r="B134" s="13"/>
      <c r="C134" s="13"/>
      <c r="D134" s="14"/>
      <c r="E134" s="15"/>
      <c r="F134" s="16"/>
      <c r="G134" s="17"/>
      <c r="H134" s="18" t="n">
        <f aca="false">IF(AND(C134="Yakıt",D134&lt;&gt;""),SUMPRODUCT(MAX(($B$5:$B$1004=B134)*($C$5:$C$1004="Yakıt")*($D$5:$D$1004&lt;D134)*$D$5:$D$1004)),0)</f>
        <v>0</v>
      </c>
      <c r="I134" s="18" t="str">
        <f aca="false">IF(H134&gt;0,D134-H134,"")</f>
        <v/>
      </c>
      <c r="J134" s="19" t="str">
        <f aca="false">IF(OR(I134="",E134=""),"",E134/I134*100)</f>
        <v/>
      </c>
      <c r="K134" s="20" t="str">
        <f aca="false">IF(I134="","",F134/I134)</f>
        <v/>
      </c>
    </row>
    <row r="135" customFormat="false" ht="15" hidden="false" customHeight="false" outlineLevel="0" collapsed="false">
      <c r="A135" s="12"/>
      <c r="B135" s="13"/>
      <c r="C135" s="13"/>
      <c r="D135" s="14"/>
      <c r="E135" s="15"/>
      <c r="F135" s="16"/>
      <c r="G135" s="17"/>
      <c r="H135" s="18" t="n">
        <f aca="false">IF(AND(C135="Yakıt",D135&lt;&gt;""),SUMPRODUCT(MAX(($B$5:$B$1004=B135)*($C$5:$C$1004="Yakıt")*($D$5:$D$1004&lt;D135)*$D$5:$D$1004)),0)</f>
        <v>0</v>
      </c>
      <c r="I135" s="18" t="str">
        <f aca="false">IF(H135&gt;0,D135-H135,"")</f>
        <v/>
      </c>
      <c r="J135" s="19" t="str">
        <f aca="false">IF(OR(I135="",E135=""),"",E135/I135*100)</f>
        <v/>
      </c>
      <c r="K135" s="20" t="str">
        <f aca="false">IF(I135="","",F135/I135)</f>
        <v/>
      </c>
    </row>
    <row r="136" customFormat="false" ht="15" hidden="false" customHeight="false" outlineLevel="0" collapsed="false">
      <c r="A136" s="12"/>
      <c r="B136" s="13"/>
      <c r="C136" s="13"/>
      <c r="D136" s="14"/>
      <c r="E136" s="15"/>
      <c r="F136" s="16"/>
      <c r="G136" s="17"/>
      <c r="H136" s="18" t="n">
        <f aca="false">IF(AND(C136="Yakıt",D136&lt;&gt;""),SUMPRODUCT(MAX(($B$5:$B$1004=B136)*($C$5:$C$1004="Yakıt")*($D$5:$D$1004&lt;D136)*$D$5:$D$1004)),0)</f>
        <v>0</v>
      </c>
      <c r="I136" s="18" t="str">
        <f aca="false">IF(H136&gt;0,D136-H136,"")</f>
        <v/>
      </c>
      <c r="J136" s="19" t="str">
        <f aca="false">IF(OR(I136="",E136=""),"",E136/I136*100)</f>
        <v/>
      </c>
      <c r="K136" s="20" t="str">
        <f aca="false">IF(I136="","",F136/I136)</f>
        <v/>
      </c>
    </row>
    <row r="137" customFormat="false" ht="15" hidden="false" customHeight="false" outlineLevel="0" collapsed="false">
      <c r="A137" s="12"/>
      <c r="B137" s="13"/>
      <c r="C137" s="13"/>
      <c r="D137" s="14"/>
      <c r="E137" s="15"/>
      <c r="F137" s="16"/>
      <c r="G137" s="17"/>
      <c r="H137" s="18" t="n">
        <f aca="false">IF(AND(C137="Yakıt",D137&lt;&gt;""),SUMPRODUCT(MAX(($B$5:$B$1004=B137)*($C$5:$C$1004="Yakıt")*($D$5:$D$1004&lt;D137)*$D$5:$D$1004)),0)</f>
        <v>0</v>
      </c>
      <c r="I137" s="18" t="str">
        <f aca="false">IF(H137&gt;0,D137-H137,"")</f>
        <v/>
      </c>
      <c r="J137" s="19" t="str">
        <f aca="false">IF(OR(I137="",E137=""),"",E137/I137*100)</f>
        <v/>
      </c>
      <c r="K137" s="20" t="str">
        <f aca="false">IF(I137="","",F137/I137)</f>
        <v/>
      </c>
    </row>
    <row r="138" customFormat="false" ht="15" hidden="false" customHeight="false" outlineLevel="0" collapsed="false">
      <c r="A138" s="12"/>
      <c r="B138" s="13"/>
      <c r="C138" s="13"/>
      <c r="D138" s="14"/>
      <c r="E138" s="15"/>
      <c r="F138" s="16"/>
      <c r="G138" s="17"/>
      <c r="H138" s="18" t="n">
        <f aca="false">IF(AND(C138="Yakıt",D138&lt;&gt;""),SUMPRODUCT(MAX(($B$5:$B$1004=B138)*($C$5:$C$1004="Yakıt")*($D$5:$D$1004&lt;D138)*$D$5:$D$1004)),0)</f>
        <v>0</v>
      </c>
      <c r="I138" s="18" t="str">
        <f aca="false">IF(H138&gt;0,D138-H138,"")</f>
        <v/>
      </c>
      <c r="J138" s="19" t="str">
        <f aca="false">IF(OR(I138="",E138=""),"",E138/I138*100)</f>
        <v/>
      </c>
      <c r="K138" s="20" t="str">
        <f aca="false">IF(I138="","",F138/I138)</f>
        <v/>
      </c>
    </row>
    <row r="139" customFormat="false" ht="15" hidden="false" customHeight="false" outlineLevel="0" collapsed="false">
      <c r="A139" s="12"/>
      <c r="B139" s="13"/>
      <c r="C139" s="13"/>
      <c r="D139" s="14"/>
      <c r="E139" s="15"/>
      <c r="F139" s="16"/>
      <c r="G139" s="17"/>
      <c r="H139" s="18" t="n">
        <f aca="false">IF(AND(C139="Yakıt",D139&lt;&gt;""),SUMPRODUCT(MAX(($B$5:$B$1004=B139)*($C$5:$C$1004="Yakıt")*($D$5:$D$1004&lt;D139)*$D$5:$D$1004)),0)</f>
        <v>0</v>
      </c>
      <c r="I139" s="18" t="str">
        <f aca="false">IF(H139&gt;0,D139-H139,"")</f>
        <v/>
      </c>
      <c r="J139" s="19" t="str">
        <f aca="false">IF(OR(I139="",E139=""),"",E139/I139*100)</f>
        <v/>
      </c>
      <c r="K139" s="20" t="str">
        <f aca="false">IF(I139="","",F139/I139)</f>
        <v/>
      </c>
    </row>
    <row r="140" customFormat="false" ht="15" hidden="false" customHeight="false" outlineLevel="0" collapsed="false">
      <c r="A140" s="12"/>
      <c r="B140" s="13"/>
      <c r="C140" s="13"/>
      <c r="D140" s="14"/>
      <c r="E140" s="15"/>
      <c r="F140" s="16"/>
      <c r="G140" s="17"/>
      <c r="H140" s="18" t="n">
        <f aca="false">IF(AND(C140="Yakıt",D140&lt;&gt;""),SUMPRODUCT(MAX(($B$5:$B$1004=B140)*($C$5:$C$1004="Yakıt")*($D$5:$D$1004&lt;D140)*$D$5:$D$1004)),0)</f>
        <v>0</v>
      </c>
      <c r="I140" s="18" t="str">
        <f aca="false">IF(H140&gt;0,D140-H140,"")</f>
        <v/>
      </c>
      <c r="J140" s="19" t="str">
        <f aca="false">IF(OR(I140="",E140=""),"",E140/I140*100)</f>
        <v/>
      </c>
      <c r="K140" s="20" t="str">
        <f aca="false">IF(I140="","",F140/I140)</f>
        <v/>
      </c>
    </row>
    <row r="141" customFormat="false" ht="15" hidden="false" customHeight="false" outlineLevel="0" collapsed="false">
      <c r="A141" s="12"/>
      <c r="B141" s="13"/>
      <c r="C141" s="13"/>
      <c r="D141" s="14"/>
      <c r="E141" s="15"/>
      <c r="F141" s="16"/>
      <c r="G141" s="17"/>
      <c r="H141" s="18" t="n">
        <f aca="false">IF(AND(C141="Yakıt",D141&lt;&gt;""),SUMPRODUCT(MAX(($B$5:$B$1004=B141)*($C$5:$C$1004="Yakıt")*($D$5:$D$1004&lt;D141)*$D$5:$D$1004)),0)</f>
        <v>0</v>
      </c>
      <c r="I141" s="18" t="str">
        <f aca="false">IF(H141&gt;0,D141-H141,"")</f>
        <v/>
      </c>
      <c r="J141" s="19" t="str">
        <f aca="false">IF(OR(I141="",E141=""),"",E141/I141*100)</f>
        <v/>
      </c>
      <c r="K141" s="20" t="str">
        <f aca="false">IF(I141="","",F141/I141)</f>
        <v/>
      </c>
    </row>
    <row r="142" customFormat="false" ht="15" hidden="false" customHeight="false" outlineLevel="0" collapsed="false">
      <c r="A142" s="12"/>
      <c r="B142" s="13"/>
      <c r="C142" s="13"/>
      <c r="D142" s="14"/>
      <c r="E142" s="15"/>
      <c r="F142" s="16"/>
      <c r="G142" s="17"/>
      <c r="H142" s="18" t="n">
        <f aca="false">IF(AND(C142="Yakıt",D142&lt;&gt;""),SUMPRODUCT(MAX(($B$5:$B$1004=B142)*($C$5:$C$1004="Yakıt")*($D$5:$D$1004&lt;D142)*$D$5:$D$1004)),0)</f>
        <v>0</v>
      </c>
      <c r="I142" s="18" t="str">
        <f aca="false">IF(H142&gt;0,D142-H142,"")</f>
        <v/>
      </c>
      <c r="J142" s="19" t="str">
        <f aca="false">IF(OR(I142="",E142=""),"",E142/I142*100)</f>
        <v/>
      </c>
      <c r="K142" s="20" t="str">
        <f aca="false">IF(I142="","",F142/I142)</f>
        <v/>
      </c>
    </row>
    <row r="143" customFormat="false" ht="15" hidden="false" customHeight="false" outlineLevel="0" collapsed="false">
      <c r="A143" s="12"/>
      <c r="B143" s="13"/>
      <c r="C143" s="13"/>
      <c r="D143" s="14"/>
      <c r="E143" s="15"/>
      <c r="F143" s="16"/>
      <c r="G143" s="17"/>
      <c r="H143" s="18" t="n">
        <f aca="false">IF(AND(C143="Yakıt",D143&lt;&gt;""),SUMPRODUCT(MAX(($B$5:$B$1004=B143)*($C$5:$C$1004="Yakıt")*($D$5:$D$1004&lt;D143)*$D$5:$D$1004)),0)</f>
        <v>0</v>
      </c>
      <c r="I143" s="18" t="str">
        <f aca="false">IF(H143&gt;0,D143-H143,"")</f>
        <v/>
      </c>
      <c r="J143" s="19" t="str">
        <f aca="false">IF(OR(I143="",E143=""),"",E143/I143*100)</f>
        <v/>
      </c>
      <c r="K143" s="20" t="str">
        <f aca="false">IF(I143="","",F143/I143)</f>
        <v/>
      </c>
    </row>
    <row r="144" customFormat="false" ht="15" hidden="false" customHeight="false" outlineLevel="0" collapsed="false">
      <c r="A144" s="12"/>
      <c r="B144" s="13"/>
      <c r="C144" s="13"/>
      <c r="D144" s="14"/>
      <c r="E144" s="15"/>
      <c r="F144" s="16"/>
      <c r="G144" s="17"/>
      <c r="H144" s="18" t="n">
        <f aca="false">IF(AND(C144="Yakıt",D144&lt;&gt;""),SUMPRODUCT(MAX(($B$5:$B$1004=B144)*($C$5:$C$1004="Yakıt")*($D$5:$D$1004&lt;D144)*$D$5:$D$1004)),0)</f>
        <v>0</v>
      </c>
      <c r="I144" s="18" t="str">
        <f aca="false">IF(H144&gt;0,D144-H144,"")</f>
        <v/>
      </c>
      <c r="J144" s="19" t="str">
        <f aca="false">IF(OR(I144="",E144=""),"",E144/I144*100)</f>
        <v/>
      </c>
      <c r="K144" s="20" t="str">
        <f aca="false">IF(I144="","",F144/I144)</f>
        <v/>
      </c>
    </row>
    <row r="145" customFormat="false" ht="15" hidden="false" customHeight="false" outlineLevel="0" collapsed="false">
      <c r="A145" s="12"/>
      <c r="B145" s="13"/>
      <c r="C145" s="13"/>
      <c r="D145" s="14"/>
      <c r="E145" s="15"/>
      <c r="F145" s="16"/>
      <c r="G145" s="17"/>
      <c r="H145" s="18" t="n">
        <f aca="false">IF(AND(C145="Yakıt",D145&lt;&gt;""),SUMPRODUCT(MAX(($B$5:$B$1004=B145)*($C$5:$C$1004="Yakıt")*($D$5:$D$1004&lt;D145)*$D$5:$D$1004)),0)</f>
        <v>0</v>
      </c>
      <c r="I145" s="18" t="str">
        <f aca="false">IF(H145&gt;0,D145-H145,"")</f>
        <v/>
      </c>
      <c r="J145" s="19" t="str">
        <f aca="false">IF(OR(I145="",E145=""),"",E145/I145*100)</f>
        <v/>
      </c>
      <c r="K145" s="20" t="str">
        <f aca="false">IF(I145="","",F145/I145)</f>
        <v/>
      </c>
    </row>
    <row r="146" customFormat="false" ht="15" hidden="false" customHeight="false" outlineLevel="0" collapsed="false">
      <c r="A146" s="12"/>
      <c r="B146" s="13"/>
      <c r="C146" s="13"/>
      <c r="D146" s="14"/>
      <c r="E146" s="15"/>
      <c r="F146" s="16"/>
      <c r="G146" s="17"/>
      <c r="H146" s="18" t="n">
        <f aca="false">IF(AND(C146="Yakıt",D146&lt;&gt;""),SUMPRODUCT(MAX(($B$5:$B$1004=B146)*($C$5:$C$1004="Yakıt")*($D$5:$D$1004&lt;D146)*$D$5:$D$1004)),0)</f>
        <v>0</v>
      </c>
      <c r="I146" s="18" t="str">
        <f aca="false">IF(H146&gt;0,D146-H146,"")</f>
        <v/>
      </c>
      <c r="J146" s="19" t="str">
        <f aca="false">IF(OR(I146="",E146=""),"",E146/I146*100)</f>
        <v/>
      </c>
      <c r="K146" s="20" t="str">
        <f aca="false">IF(I146="","",F146/I146)</f>
        <v/>
      </c>
    </row>
    <row r="147" customFormat="false" ht="15" hidden="false" customHeight="false" outlineLevel="0" collapsed="false">
      <c r="A147" s="12"/>
      <c r="B147" s="13"/>
      <c r="C147" s="13"/>
      <c r="D147" s="14"/>
      <c r="E147" s="15"/>
      <c r="F147" s="16"/>
      <c r="G147" s="17"/>
      <c r="H147" s="18" t="n">
        <f aca="false">IF(AND(C147="Yakıt",D147&lt;&gt;""),SUMPRODUCT(MAX(($B$5:$B$1004=B147)*($C$5:$C$1004="Yakıt")*($D$5:$D$1004&lt;D147)*$D$5:$D$1004)),0)</f>
        <v>0</v>
      </c>
      <c r="I147" s="18" t="str">
        <f aca="false">IF(H147&gt;0,D147-H147,"")</f>
        <v/>
      </c>
      <c r="J147" s="19" t="str">
        <f aca="false">IF(OR(I147="",E147=""),"",E147/I147*100)</f>
        <v/>
      </c>
      <c r="K147" s="20" t="str">
        <f aca="false">IF(I147="","",F147/I147)</f>
        <v/>
      </c>
    </row>
    <row r="148" customFormat="false" ht="15" hidden="false" customHeight="false" outlineLevel="0" collapsed="false">
      <c r="A148" s="12"/>
      <c r="B148" s="13"/>
      <c r="C148" s="13"/>
      <c r="D148" s="14"/>
      <c r="E148" s="15"/>
      <c r="F148" s="16"/>
      <c r="G148" s="17"/>
      <c r="H148" s="18" t="n">
        <f aca="false">IF(AND(C148="Yakıt",D148&lt;&gt;""),SUMPRODUCT(MAX(($B$5:$B$1004=B148)*($C$5:$C$1004="Yakıt")*($D$5:$D$1004&lt;D148)*$D$5:$D$1004)),0)</f>
        <v>0</v>
      </c>
      <c r="I148" s="18" t="str">
        <f aca="false">IF(H148&gt;0,D148-H148,"")</f>
        <v/>
      </c>
      <c r="J148" s="19" t="str">
        <f aca="false">IF(OR(I148="",E148=""),"",E148/I148*100)</f>
        <v/>
      </c>
      <c r="K148" s="20" t="str">
        <f aca="false">IF(I148="","",F148/I148)</f>
        <v/>
      </c>
    </row>
    <row r="149" customFormat="false" ht="15" hidden="false" customHeight="false" outlineLevel="0" collapsed="false">
      <c r="A149" s="12"/>
      <c r="B149" s="13"/>
      <c r="C149" s="13"/>
      <c r="D149" s="14"/>
      <c r="E149" s="15"/>
      <c r="F149" s="16"/>
      <c r="G149" s="17"/>
      <c r="H149" s="18" t="n">
        <f aca="false">IF(AND(C149="Yakıt",D149&lt;&gt;""),SUMPRODUCT(MAX(($B$5:$B$1004=B149)*($C$5:$C$1004="Yakıt")*($D$5:$D$1004&lt;D149)*$D$5:$D$1004)),0)</f>
        <v>0</v>
      </c>
      <c r="I149" s="18" t="str">
        <f aca="false">IF(H149&gt;0,D149-H149,"")</f>
        <v/>
      </c>
      <c r="J149" s="19" t="str">
        <f aca="false">IF(OR(I149="",E149=""),"",E149/I149*100)</f>
        <v/>
      </c>
      <c r="K149" s="20" t="str">
        <f aca="false">IF(I149="","",F149/I149)</f>
        <v/>
      </c>
    </row>
    <row r="150" customFormat="false" ht="15" hidden="false" customHeight="false" outlineLevel="0" collapsed="false">
      <c r="A150" s="12"/>
      <c r="B150" s="13"/>
      <c r="C150" s="13"/>
      <c r="D150" s="14"/>
      <c r="E150" s="15"/>
      <c r="F150" s="16"/>
      <c r="G150" s="17"/>
      <c r="H150" s="18" t="n">
        <f aca="false">IF(AND(C150="Yakıt",D150&lt;&gt;""),SUMPRODUCT(MAX(($B$5:$B$1004=B150)*($C$5:$C$1004="Yakıt")*($D$5:$D$1004&lt;D150)*$D$5:$D$1004)),0)</f>
        <v>0</v>
      </c>
      <c r="I150" s="18" t="str">
        <f aca="false">IF(H150&gt;0,D150-H150,"")</f>
        <v/>
      </c>
      <c r="J150" s="19" t="str">
        <f aca="false">IF(OR(I150="",E150=""),"",E150/I150*100)</f>
        <v/>
      </c>
      <c r="K150" s="20" t="str">
        <f aca="false">IF(I150="","",F150/I150)</f>
        <v/>
      </c>
    </row>
    <row r="151" customFormat="false" ht="15" hidden="false" customHeight="false" outlineLevel="0" collapsed="false">
      <c r="A151" s="12"/>
      <c r="B151" s="13"/>
      <c r="C151" s="13"/>
      <c r="D151" s="14"/>
      <c r="E151" s="15"/>
      <c r="F151" s="16"/>
      <c r="G151" s="17"/>
      <c r="H151" s="18" t="n">
        <f aca="false">IF(AND(C151="Yakıt",D151&lt;&gt;""),SUMPRODUCT(MAX(($B$5:$B$1004=B151)*($C$5:$C$1004="Yakıt")*($D$5:$D$1004&lt;D151)*$D$5:$D$1004)),0)</f>
        <v>0</v>
      </c>
      <c r="I151" s="18" t="str">
        <f aca="false">IF(H151&gt;0,D151-H151,"")</f>
        <v/>
      </c>
      <c r="J151" s="19" t="str">
        <f aca="false">IF(OR(I151="",E151=""),"",E151/I151*100)</f>
        <v/>
      </c>
      <c r="K151" s="20" t="str">
        <f aca="false">IF(I151="","",F151/I151)</f>
        <v/>
      </c>
    </row>
    <row r="152" customFormat="false" ht="15" hidden="false" customHeight="false" outlineLevel="0" collapsed="false">
      <c r="A152" s="12"/>
      <c r="B152" s="13"/>
      <c r="C152" s="13"/>
      <c r="D152" s="14"/>
      <c r="E152" s="15"/>
      <c r="F152" s="16"/>
      <c r="G152" s="17"/>
      <c r="H152" s="18" t="n">
        <f aca="false">IF(AND(C152="Yakıt",D152&lt;&gt;""),SUMPRODUCT(MAX(($B$5:$B$1004=B152)*($C$5:$C$1004="Yakıt")*($D$5:$D$1004&lt;D152)*$D$5:$D$1004)),0)</f>
        <v>0</v>
      </c>
      <c r="I152" s="18" t="str">
        <f aca="false">IF(H152&gt;0,D152-H152,"")</f>
        <v/>
      </c>
      <c r="J152" s="19" t="str">
        <f aca="false">IF(OR(I152="",E152=""),"",E152/I152*100)</f>
        <v/>
      </c>
      <c r="K152" s="20" t="str">
        <f aca="false">IF(I152="","",F152/I152)</f>
        <v/>
      </c>
    </row>
    <row r="153" customFormat="false" ht="15" hidden="false" customHeight="false" outlineLevel="0" collapsed="false">
      <c r="A153" s="12"/>
      <c r="B153" s="13"/>
      <c r="C153" s="13"/>
      <c r="D153" s="14"/>
      <c r="E153" s="15"/>
      <c r="F153" s="16"/>
      <c r="G153" s="17"/>
      <c r="H153" s="18" t="n">
        <f aca="false">IF(AND(C153="Yakıt",D153&lt;&gt;""),SUMPRODUCT(MAX(($B$5:$B$1004=B153)*($C$5:$C$1004="Yakıt")*($D$5:$D$1004&lt;D153)*$D$5:$D$1004)),0)</f>
        <v>0</v>
      </c>
      <c r="I153" s="18" t="str">
        <f aca="false">IF(H153&gt;0,D153-H153,"")</f>
        <v/>
      </c>
      <c r="J153" s="19" t="str">
        <f aca="false">IF(OR(I153="",E153=""),"",E153/I153*100)</f>
        <v/>
      </c>
      <c r="K153" s="20" t="str">
        <f aca="false">IF(I153="","",F153/I153)</f>
        <v/>
      </c>
    </row>
    <row r="154" customFormat="false" ht="15" hidden="false" customHeight="false" outlineLevel="0" collapsed="false">
      <c r="A154" s="12"/>
      <c r="B154" s="13"/>
      <c r="C154" s="13"/>
      <c r="D154" s="14"/>
      <c r="E154" s="15"/>
      <c r="F154" s="16"/>
      <c r="G154" s="17"/>
      <c r="H154" s="18" t="n">
        <f aca="false">IF(AND(C154="Yakıt",D154&lt;&gt;""),SUMPRODUCT(MAX(($B$5:$B$1004=B154)*($C$5:$C$1004="Yakıt")*($D$5:$D$1004&lt;D154)*$D$5:$D$1004)),0)</f>
        <v>0</v>
      </c>
      <c r="I154" s="18" t="str">
        <f aca="false">IF(H154&gt;0,D154-H154,"")</f>
        <v/>
      </c>
      <c r="J154" s="19" t="str">
        <f aca="false">IF(OR(I154="",E154=""),"",E154/I154*100)</f>
        <v/>
      </c>
      <c r="K154" s="20" t="str">
        <f aca="false">IF(I154="","",F154/I154)</f>
        <v/>
      </c>
    </row>
    <row r="155" customFormat="false" ht="15" hidden="false" customHeight="false" outlineLevel="0" collapsed="false">
      <c r="A155" s="12"/>
      <c r="B155" s="13"/>
      <c r="C155" s="13"/>
      <c r="D155" s="14"/>
      <c r="E155" s="15"/>
      <c r="F155" s="16"/>
      <c r="G155" s="17"/>
      <c r="H155" s="18" t="n">
        <f aca="false">IF(AND(C155="Yakıt",D155&lt;&gt;""),SUMPRODUCT(MAX(($B$5:$B$1004=B155)*($C$5:$C$1004="Yakıt")*($D$5:$D$1004&lt;D155)*$D$5:$D$1004)),0)</f>
        <v>0</v>
      </c>
      <c r="I155" s="18" t="str">
        <f aca="false">IF(H155&gt;0,D155-H155,"")</f>
        <v/>
      </c>
      <c r="J155" s="19" t="str">
        <f aca="false">IF(OR(I155="",E155=""),"",E155/I155*100)</f>
        <v/>
      </c>
      <c r="K155" s="20" t="str">
        <f aca="false">IF(I155="","",F155/I155)</f>
        <v/>
      </c>
    </row>
    <row r="156" customFormat="false" ht="15" hidden="false" customHeight="false" outlineLevel="0" collapsed="false">
      <c r="A156" s="12"/>
      <c r="B156" s="13"/>
      <c r="C156" s="13"/>
      <c r="D156" s="14"/>
      <c r="E156" s="15"/>
      <c r="F156" s="16"/>
      <c r="G156" s="17"/>
      <c r="H156" s="18" t="n">
        <f aca="false">IF(AND(C156="Yakıt",D156&lt;&gt;""),SUMPRODUCT(MAX(($B$5:$B$1004=B156)*($C$5:$C$1004="Yakıt")*($D$5:$D$1004&lt;D156)*$D$5:$D$1004)),0)</f>
        <v>0</v>
      </c>
      <c r="I156" s="18" t="str">
        <f aca="false">IF(H156&gt;0,D156-H156,"")</f>
        <v/>
      </c>
      <c r="J156" s="19" t="str">
        <f aca="false">IF(OR(I156="",E156=""),"",E156/I156*100)</f>
        <v/>
      </c>
      <c r="K156" s="20" t="str">
        <f aca="false">IF(I156="","",F156/I156)</f>
        <v/>
      </c>
    </row>
    <row r="157" customFormat="false" ht="15" hidden="false" customHeight="false" outlineLevel="0" collapsed="false">
      <c r="A157" s="12"/>
      <c r="B157" s="13"/>
      <c r="C157" s="13"/>
      <c r="D157" s="14"/>
      <c r="E157" s="15"/>
      <c r="F157" s="16"/>
      <c r="G157" s="17"/>
      <c r="H157" s="18" t="n">
        <f aca="false">IF(AND(C157="Yakıt",D157&lt;&gt;""),SUMPRODUCT(MAX(($B$5:$B$1004=B157)*($C$5:$C$1004="Yakıt")*($D$5:$D$1004&lt;D157)*$D$5:$D$1004)),0)</f>
        <v>0</v>
      </c>
      <c r="I157" s="18" t="str">
        <f aca="false">IF(H157&gt;0,D157-H157,"")</f>
        <v/>
      </c>
      <c r="J157" s="19" t="str">
        <f aca="false">IF(OR(I157="",E157=""),"",E157/I157*100)</f>
        <v/>
      </c>
      <c r="K157" s="20" t="str">
        <f aca="false">IF(I157="","",F157/I157)</f>
        <v/>
      </c>
    </row>
    <row r="158" customFormat="false" ht="15" hidden="false" customHeight="false" outlineLevel="0" collapsed="false">
      <c r="A158" s="12"/>
      <c r="B158" s="13"/>
      <c r="C158" s="13"/>
      <c r="D158" s="14"/>
      <c r="E158" s="15"/>
      <c r="F158" s="16"/>
      <c r="G158" s="17"/>
      <c r="H158" s="18" t="n">
        <f aca="false">IF(AND(C158="Yakıt",D158&lt;&gt;""),SUMPRODUCT(MAX(($B$5:$B$1004=B158)*($C$5:$C$1004="Yakıt")*($D$5:$D$1004&lt;D158)*$D$5:$D$1004)),0)</f>
        <v>0</v>
      </c>
      <c r="I158" s="18" t="str">
        <f aca="false">IF(H158&gt;0,D158-H158,"")</f>
        <v/>
      </c>
      <c r="J158" s="19" t="str">
        <f aca="false">IF(OR(I158="",E158=""),"",E158/I158*100)</f>
        <v/>
      </c>
      <c r="K158" s="20" t="str">
        <f aca="false">IF(I158="","",F158/I158)</f>
        <v/>
      </c>
    </row>
    <row r="159" customFormat="false" ht="15" hidden="false" customHeight="false" outlineLevel="0" collapsed="false">
      <c r="A159" s="12"/>
      <c r="B159" s="13"/>
      <c r="C159" s="13"/>
      <c r="D159" s="14"/>
      <c r="E159" s="15"/>
      <c r="F159" s="16"/>
      <c r="G159" s="17"/>
      <c r="H159" s="18" t="n">
        <f aca="false">IF(AND(C159="Yakıt",D159&lt;&gt;""),SUMPRODUCT(MAX(($B$5:$B$1004=B159)*($C$5:$C$1004="Yakıt")*($D$5:$D$1004&lt;D159)*$D$5:$D$1004)),0)</f>
        <v>0</v>
      </c>
      <c r="I159" s="18" t="str">
        <f aca="false">IF(H159&gt;0,D159-H159,"")</f>
        <v/>
      </c>
      <c r="J159" s="19" t="str">
        <f aca="false">IF(OR(I159="",E159=""),"",E159/I159*100)</f>
        <v/>
      </c>
      <c r="K159" s="20" t="str">
        <f aca="false">IF(I159="","",F159/I159)</f>
        <v/>
      </c>
    </row>
    <row r="160" customFormat="false" ht="15" hidden="false" customHeight="false" outlineLevel="0" collapsed="false">
      <c r="A160" s="12"/>
      <c r="B160" s="13"/>
      <c r="C160" s="13"/>
      <c r="D160" s="14"/>
      <c r="E160" s="15"/>
      <c r="F160" s="16"/>
      <c r="G160" s="17"/>
      <c r="H160" s="18" t="n">
        <f aca="false">IF(AND(C160="Yakıt",D160&lt;&gt;""),SUMPRODUCT(MAX(($B$5:$B$1004=B160)*($C$5:$C$1004="Yakıt")*($D$5:$D$1004&lt;D160)*$D$5:$D$1004)),0)</f>
        <v>0</v>
      </c>
      <c r="I160" s="18" t="str">
        <f aca="false">IF(H160&gt;0,D160-H160,"")</f>
        <v/>
      </c>
      <c r="J160" s="19" t="str">
        <f aca="false">IF(OR(I160="",E160=""),"",E160/I160*100)</f>
        <v/>
      </c>
      <c r="K160" s="20" t="str">
        <f aca="false">IF(I160="","",F160/I160)</f>
        <v/>
      </c>
    </row>
    <row r="161" customFormat="false" ht="15" hidden="false" customHeight="false" outlineLevel="0" collapsed="false">
      <c r="A161" s="12"/>
      <c r="B161" s="13"/>
      <c r="C161" s="13"/>
      <c r="D161" s="14"/>
      <c r="E161" s="15"/>
      <c r="F161" s="16"/>
      <c r="G161" s="17"/>
      <c r="H161" s="18" t="n">
        <f aca="false">IF(AND(C161="Yakıt",D161&lt;&gt;""),SUMPRODUCT(MAX(($B$5:$B$1004=B161)*($C$5:$C$1004="Yakıt")*($D$5:$D$1004&lt;D161)*$D$5:$D$1004)),0)</f>
        <v>0</v>
      </c>
      <c r="I161" s="18" t="str">
        <f aca="false">IF(H161&gt;0,D161-H161,"")</f>
        <v/>
      </c>
      <c r="J161" s="19" t="str">
        <f aca="false">IF(OR(I161="",E161=""),"",E161/I161*100)</f>
        <v/>
      </c>
      <c r="K161" s="20" t="str">
        <f aca="false">IF(I161="","",F161/I161)</f>
        <v/>
      </c>
    </row>
    <row r="162" customFormat="false" ht="15" hidden="false" customHeight="false" outlineLevel="0" collapsed="false">
      <c r="A162" s="12"/>
      <c r="B162" s="13"/>
      <c r="C162" s="13"/>
      <c r="D162" s="14"/>
      <c r="E162" s="15"/>
      <c r="F162" s="16"/>
      <c r="G162" s="17"/>
      <c r="H162" s="18" t="n">
        <f aca="false">IF(AND(C162="Yakıt",D162&lt;&gt;""),SUMPRODUCT(MAX(($B$5:$B$1004=B162)*($C$5:$C$1004="Yakıt")*($D$5:$D$1004&lt;D162)*$D$5:$D$1004)),0)</f>
        <v>0</v>
      </c>
      <c r="I162" s="18" t="str">
        <f aca="false">IF(H162&gt;0,D162-H162,"")</f>
        <v/>
      </c>
      <c r="J162" s="19" t="str">
        <f aca="false">IF(OR(I162="",E162=""),"",E162/I162*100)</f>
        <v/>
      </c>
      <c r="K162" s="20" t="str">
        <f aca="false">IF(I162="","",F162/I162)</f>
        <v/>
      </c>
    </row>
    <row r="163" customFormat="false" ht="15" hidden="false" customHeight="false" outlineLevel="0" collapsed="false">
      <c r="A163" s="12"/>
      <c r="B163" s="13"/>
      <c r="C163" s="13"/>
      <c r="D163" s="14"/>
      <c r="E163" s="15"/>
      <c r="F163" s="16"/>
      <c r="G163" s="17"/>
      <c r="H163" s="18" t="n">
        <f aca="false">IF(AND(C163="Yakıt",D163&lt;&gt;""),SUMPRODUCT(MAX(($B$5:$B$1004=B163)*($C$5:$C$1004="Yakıt")*($D$5:$D$1004&lt;D163)*$D$5:$D$1004)),0)</f>
        <v>0</v>
      </c>
      <c r="I163" s="18" t="str">
        <f aca="false">IF(H163&gt;0,D163-H163,"")</f>
        <v/>
      </c>
      <c r="J163" s="19" t="str">
        <f aca="false">IF(OR(I163="",E163=""),"",E163/I163*100)</f>
        <v/>
      </c>
      <c r="K163" s="20" t="str">
        <f aca="false">IF(I163="","",F163/I163)</f>
        <v/>
      </c>
    </row>
    <row r="164" customFormat="false" ht="15" hidden="false" customHeight="false" outlineLevel="0" collapsed="false">
      <c r="A164" s="12"/>
      <c r="B164" s="13"/>
      <c r="C164" s="13"/>
      <c r="D164" s="14"/>
      <c r="E164" s="15"/>
      <c r="F164" s="16"/>
      <c r="G164" s="17"/>
      <c r="H164" s="18" t="n">
        <f aca="false">IF(AND(C164="Yakıt",D164&lt;&gt;""),SUMPRODUCT(MAX(($B$5:$B$1004=B164)*($C$5:$C$1004="Yakıt")*($D$5:$D$1004&lt;D164)*$D$5:$D$1004)),0)</f>
        <v>0</v>
      </c>
      <c r="I164" s="18" t="str">
        <f aca="false">IF(H164&gt;0,D164-H164,"")</f>
        <v/>
      </c>
      <c r="J164" s="19" t="str">
        <f aca="false">IF(OR(I164="",E164=""),"",E164/I164*100)</f>
        <v/>
      </c>
      <c r="K164" s="20" t="str">
        <f aca="false">IF(I164="","",F164/I164)</f>
        <v/>
      </c>
    </row>
    <row r="165" customFormat="false" ht="15" hidden="false" customHeight="false" outlineLevel="0" collapsed="false">
      <c r="A165" s="12"/>
      <c r="B165" s="13"/>
      <c r="C165" s="13"/>
      <c r="D165" s="14"/>
      <c r="E165" s="15"/>
      <c r="F165" s="16"/>
      <c r="G165" s="17"/>
      <c r="H165" s="18" t="n">
        <f aca="false">IF(AND(C165="Yakıt",D165&lt;&gt;""),SUMPRODUCT(MAX(($B$5:$B$1004=B165)*($C$5:$C$1004="Yakıt")*($D$5:$D$1004&lt;D165)*$D$5:$D$1004)),0)</f>
        <v>0</v>
      </c>
      <c r="I165" s="18" t="str">
        <f aca="false">IF(H165&gt;0,D165-H165,"")</f>
        <v/>
      </c>
      <c r="J165" s="19" t="str">
        <f aca="false">IF(OR(I165="",E165=""),"",E165/I165*100)</f>
        <v/>
      </c>
      <c r="K165" s="20" t="str">
        <f aca="false">IF(I165="","",F165/I165)</f>
        <v/>
      </c>
    </row>
    <row r="166" customFormat="false" ht="15" hidden="false" customHeight="false" outlineLevel="0" collapsed="false">
      <c r="A166" s="12"/>
      <c r="B166" s="13"/>
      <c r="C166" s="13"/>
      <c r="D166" s="14"/>
      <c r="E166" s="15"/>
      <c r="F166" s="16"/>
      <c r="G166" s="17"/>
      <c r="H166" s="18" t="n">
        <f aca="false">IF(AND(C166="Yakıt",D166&lt;&gt;""),SUMPRODUCT(MAX(($B$5:$B$1004=B166)*($C$5:$C$1004="Yakıt")*($D$5:$D$1004&lt;D166)*$D$5:$D$1004)),0)</f>
        <v>0</v>
      </c>
      <c r="I166" s="18" t="str">
        <f aca="false">IF(H166&gt;0,D166-H166,"")</f>
        <v/>
      </c>
      <c r="J166" s="19" t="str">
        <f aca="false">IF(OR(I166="",E166=""),"",E166/I166*100)</f>
        <v/>
      </c>
      <c r="K166" s="20" t="str">
        <f aca="false">IF(I166="","",F166/I166)</f>
        <v/>
      </c>
    </row>
    <row r="167" customFormat="false" ht="15" hidden="false" customHeight="false" outlineLevel="0" collapsed="false">
      <c r="A167" s="12"/>
      <c r="B167" s="13"/>
      <c r="C167" s="13"/>
      <c r="D167" s="14"/>
      <c r="E167" s="15"/>
      <c r="F167" s="16"/>
      <c r="G167" s="17"/>
      <c r="H167" s="18" t="n">
        <f aca="false">IF(AND(C167="Yakıt",D167&lt;&gt;""),SUMPRODUCT(MAX(($B$5:$B$1004=B167)*($C$5:$C$1004="Yakıt")*($D$5:$D$1004&lt;D167)*$D$5:$D$1004)),0)</f>
        <v>0</v>
      </c>
      <c r="I167" s="18" t="str">
        <f aca="false">IF(H167&gt;0,D167-H167,"")</f>
        <v/>
      </c>
      <c r="J167" s="19" t="str">
        <f aca="false">IF(OR(I167="",E167=""),"",E167/I167*100)</f>
        <v/>
      </c>
      <c r="K167" s="20" t="str">
        <f aca="false">IF(I167="","",F167/I167)</f>
        <v/>
      </c>
    </row>
    <row r="168" customFormat="false" ht="15" hidden="false" customHeight="false" outlineLevel="0" collapsed="false">
      <c r="A168" s="12"/>
      <c r="B168" s="13"/>
      <c r="C168" s="13"/>
      <c r="D168" s="14"/>
      <c r="E168" s="15"/>
      <c r="F168" s="16"/>
      <c r="G168" s="17"/>
      <c r="H168" s="18" t="n">
        <f aca="false">IF(AND(C168="Yakıt",D168&lt;&gt;""),SUMPRODUCT(MAX(($B$5:$B$1004=B168)*($C$5:$C$1004="Yakıt")*($D$5:$D$1004&lt;D168)*$D$5:$D$1004)),0)</f>
        <v>0</v>
      </c>
      <c r="I168" s="18" t="str">
        <f aca="false">IF(H168&gt;0,D168-H168,"")</f>
        <v/>
      </c>
      <c r="J168" s="19" t="str">
        <f aca="false">IF(OR(I168="",E168=""),"",E168/I168*100)</f>
        <v/>
      </c>
      <c r="K168" s="20" t="str">
        <f aca="false">IF(I168="","",F168/I168)</f>
        <v/>
      </c>
    </row>
    <row r="169" customFormat="false" ht="15" hidden="false" customHeight="false" outlineLevel="0" collapsed="false">
      <c r="A169" s="12"/>
      <c r="B169" s="13"/>
      <c r="C169" s="13"/>
      <c r="D169" s="14"/>
      <c r="E169" s="15"/>
      <c r="F169" s="16"/>
      <c r="G169" s="17"/>
      <c r="H169" s="18" t="n">
        <f aca="false">IF(AND(C169="Yakıt",D169&lt;&gt;""),SUMPRODUCT(MAX(($B$5:$B$1004=B169)*($C$5:$C$1004="Yakıt")*($D$5:$D$1004&lt;D169)*$D$5:$D$1004)),0)</f>
        <v>0</v>
      </c>
      <c r="I169" s="18" t="str">
        <f aca="false">IF(H169&gt;0,D169-H169,"")</f>
        <v/>
      </c>
      <c r="J169" s="19" t="str">
        <f aca="false">IF(OR(I169="",E169=""),"",E169/I169*100)</f>
        <v/>
      </c>
      <c r="K169" s="20" t="str">
        <f aca="false">IF(I169="","",F169/I169)</f>
        <v/>
      </c>
    </row>
    <row r="170" customFormat="false" ht="15" hidden="false" customHeight="false" outlineLevel="0" collapsed="false">
      <c r="A170" s="12"/>
      <c r="B170" s="13"/>
      <c r="C170" s="13"/>
      <c r="D170" s="14"/>
      <c r="E170" s="15"/>
      <c r="F170" s="16"/>
      <c r="G170" s="17"/>
      <c r="H170" s="18" t="n">
        <f aca="false">IF(AND(C170="Yakıt",D170&lt;&gt;""),SUMPRODUCT(MAX(($B$5:$B$1004=B170)*($C$5:$C$1004="Yakıt")*($D$5:$D$1004&lt;D170)*$D$5:$D$1004)),0)</f>
        <v>0</v>
      </c>
      <c r="I170" s="18" t="str">
        <f aca="false">IF(H170&gt;0,D170-H170,"")</f>
        <v/>
      </c>
      <c r="J170" s="19" t="str">
        <f aca="false">IF(OR(I170="",E170=""),"",E170/I170*100)</f>
        <v/>
      </c>
      <c r="K170" s="20" t="str">
        <f aca="false">IF(I170="","",F170/I170)</f>
        <v/>
      </c>
    </row>
    <row r="171" customFormat="false" ht="15" hidden="false" customHeight="false" outlineLevel="0" collapsed="false">
      <c r="A171" s="12"/>
      <c r="B171" s="13"/>
      <c r="C171" s="13"/>
      <c r="D171" s="14"/>
      <c r="E171" s="15"/>
      <c r="F171" s="16"/>
      <c r="G171" s="17"/>
      <c r="H171" s="18" t="n">
        <f aca="false">IF(AND(C171="Yakıt",D171&lt;&gt;""),SUMPRODUCT(MAX(($B$5:$B$1004=B171)*($C$5:$C$1004="Yakıt")*($D$5:$D$1004&lt;D171)*$D$5:$D$1004)),0)</f>
        <v>0</v>
      </c>
      <c r="I171" s="18" t="str">
        <f aca="false">IF(H171&gt;0,D171-H171,"")</f>
        <v/>
      </c>
      <c r="J171" s="19" t="str">
        <f aca="false">IF(OR(I171="",E171=""),"",E171/I171*100)</f>
        <v/>
      </c>
      <c r="K171" s="20" t="str">
        <f aca="false">IF(I171="","",F171/I171)</f>
        <v/>
      </c>
    </row>
    <row r="172" customFormat="false" ht="15" hidden="false" customHeight="false" outlineLevel="0" collapsed="false">
      <c r="A172" s="12"/>
      <c r="B172" s="13"/>
      <c r="C172" s="13"/>
      <c r="D172" s="14"/>
      <c r="E172" s="15"/>
      <c r="F172" s="16"/>
      <c r="G172" s="17"/>
      <c r="H172" s="18" t="n">
        <f aca="false">IF(AND(C172="Yakıt",D172&lt;&gt;""),SUMPRODUCT(MAX(($B$5:$B$1004=B172)*($C$5:$C$1004="Yakıt")*($D$5:$D$1004&lt;D172)*$D$5:$D$1004)),0)</f>
        <v>0</v>
      </c>
      <c r="I172" s="18" t="str">
        <f aca="false">IF(H172&gt;0,D172-H172,"")</f>
        <v/>
      </c>
      <c r="J172" s="19" t="str">
        <f aca="false">IF(OR(I172="",E172=""),"",E172/I172*100)</f>
        <v/>
      </c>
      <c r="K172" s="20" t="str">
        <f aca="false">IF(I172="","",F172/I172)</f>
        <v/>
      </c>
    </row>
    <row r="173" customFormat="false" ht="15" hidden="false" customHeight="false" outlineLevel="0" collapsed="false">
      <c r="A173" s="12"/>
      <c r="B173" s="13"/>
      <c r="C173" s="13"/>
      <c r="D173" s="14"/>
      <c r="E173" s="15"/>
      <c r="F173" s="16"/>
      <c r="G173" s="17"/>
      <c r="H173" s="18" t="n">
        <f aca="false">IF(AND(C173="Yakıt",D173&lt;&gt;""),SUMPRODUCT(MAX(($B$5:$B$1004=B173)*($C$5:$C$1004="Yakıt")*($D$5:$D$1004&lt;D173)*$D$5:$D$1004)),0)</f>
        <v>0</v>
      </c>
      <c r="I173" s="18" t="str">
        <f aca="false">IF(H173&gt;0,D173-H173,"")</f>
        <v/>
      </c>
      <c r="J173" s="19" t="str">
        <f aca="false">IF(OR(I173="",E173=""),"",E173/I173*100)</f>
        <v/>
      </c>
      <c r="K173" s="20" t="str">
        <f aca="false">IF(I173="","",F173/I173)</f>
        <v/>
      </c>
    </row>
    <row r="174" customFormat="false" ht="15" hidden="false" customHeight="false" outlineLevel="0" collapsed="false">
      <c r="A174" s="12"/>
      <c r="B174" s="13"/>
      <c r="C174" s="13"/>
      <c r="D174" s="14"/>
      <c r="E174" s="15"/>
      <c r="F174" s="16"/>
      <c r="G174" s="17"/>
      <c r="H174" s="18" t="n">
        <f aca="false">IF(AND(C174="Yakıt",D174&lt;&gt;""),SUMPRODUCT(MAX(($B$5:$B$1004=B174)*($C$5:$C$1004="Yakıt")*($D$5:$D$1004&lt;D174)*$D$5:$D$1004)),0)</f>
        <v>0</v>
      </c>
      <c r="I174" s="18" t="str">
        <f aca="false">IF(H174&gt;0,D174-H174,"")</f>
        <v/>
      </c>
      <c r="J174" s="19" t="str">
        <f aca="false">IF(OR(I174="",E174=""),"",E174/I174*100)</f>
        <v/>
      </c>
      <c r="K174" s="20" t="str">
        <f aca="false">IF(I174="","",F174/I174)</f>
        <v/>
      </c>
    </row>
    <row r="175" customFormat="false" ht="15" hidden="false" customHeight="false" outlineLevel="0" collapsed="false">
      <c r="A175" s="12"/>
      <c r="B175" s="13"/>
      <c r="C175" s="13"/>
      <c r="D175" s="14"/>
      <c r="E175" s="15"/>
      <c r="F175" s="16"/>
      <c r="G175" s="17"/>
      <c r="H175" s="18" t="n">
        <f aca="false">IF(AND(C175="Yakıt",D175&lt;&gt;""),SUMPRODUCT(MAX(($B$5:$B$1004=B175)*($C$5:$C$1004="Yakıt")*($D$5:$D$1004&lt;D175)*$D$5:$D$1004)),0)</f>
        <v>0</v>
      </c>
      <c r="I175" s="18" t="str">
        <f aca="false">IF(H175&gt;0,D175-H175,"")</f>
        <v/>
      </c>
      <c r="J175" s="19" t="str">
        <f aca="false">IF(OR(I175="",E175=""),"",E175/I175*100)</f>
        <v/>
      </c>
      <c r="K175" s="20" t="str">
        <f aca="false">IF(I175="","",F175/I175)</f>
        <v/>
      </c>
    </row>
    <row r="176" customFormat="false" ht="15" hidden="false" customHeight="false" outlineLevel="0" collapsed="false">
      <c r="A176" s="12"/>
      <c r="B176" s="13"/>
      <c r="C176" s="13"/>
      <c r="D176" s="14"/>
      <c r="E176" s="15"/>
      <c r="F176" s="16"/>
      <c r="G176" s="17"/>
      <c r="H176" s="18" t="n">
        <f aca="false">IF(AND(C176="Yakıt",D176&lt;&gt;""),SUMPRODUCT(MAX(($B$5:$B$1004=B176)*($C$5:$C$1004="Yakıt")*($D$5:$D$1004&lt;D176)*$D$5:$D$1004)),0)</f>
        <v>0</v>
      </c>
      <c r="I176" s="18" t="str">
        <f aca="false">IF(H176&gt;0,D176-H176,"")</f>
        <v/>
      </c>
      <c r="J176" s="19" t="str">
        <f aca="false">IF(OR(I176="",E176=""),"",E176/I176*100)</f>
        <v/>
      </c>
      <c r="K176" s="20" t="str">
        <f aca="false">IF(I176="","",F176/I176)</f>
        <v/>
      </c>
    </row>
    <row r="177" customFormat="false" ht="15" hidden="false" customHeight="false" outlineLevel="0" collapsed="false">
      <c r="A177" s="12"/>
      <c r="B177" s="13"/>
      <c r="C177" s="13"/>
      <c r="D177" s="14"/>
      <c r="E177" s="15"/>
      <c r="F177" s="16"/>
      <c r="G177" s="17"/>
      <c r="H177" s="18" t="n">
        <f aca="false">IF(AND(C177="Yakıt",D177&lt;&gt;""),SUMPRODUCT(MAX(($B$5:$B$1004=B177)*($C$5:$C$1004="Yakıt")*($D$5:$D$1004&lt;D177)*$D$5:$D$1004)),0)</f>
        <v>0</v>
      </c>
      <c r="I177" s="18" t="str">
        <f aca="false">IF(H177&gt;0,D177-H177,"")</f>
        <v/>
      </c>
      <c r="J177" s="19" t="str">
        <f aca="false">IF(OR(I177="",E177=""),"",E177/I177*100)</f>
        <v/>
      </c>
      <c r="K177" s="20" t="str">
        <f aca="false">IF(I177="","",F177/I177)</f>
        <v/>
      </c>
    </row>
    <row r="178" customFormat="false" ht="15" hidden="false" customHeight="false" outlineLevel="0" collapsed="false">
      <c r="A178" s="12"/>
      <c r="B178" s="13"/>
      <c r="C178" s="13"/>
      <c r="D178" s="14"/>
      <c r="E178" s="15"/>
      <c r="F178" s="16"/>
      <c r="G178" s="17"/>
      <c r="H178" s="18" t="n">
        <f aca="false">IF(AND(C178="Yakıt",D178&lt;&gt;""),SUMPRODUCT(MAX(($B$5:$B$1004=B178)*($C$5:$C$1004="Yakıt")*($D$5:$D$1004&lt;D178)*$D$5:$D$1004)),0)</f>
        <v>0</v>
      </c>
      <c r="I178" s="18" t="str">
        <f aca="false">IF(H178&gt;0,D178-H178,"")</f>
        <v/>
      </c>
      <c r="J178" s="19" t="str">
        <f aca="false">IF(OR(I178="",E178=""),"",E178/I178*100)</f>
        <v/>
      </c>
      <c r="K178" s="20" t="str">
        <f aca="false">IF(I178="","",F178/I178)</f>
        <v/>
      </c>
    </row>
    <row r="179" customFormat="false" ht="15" hidden="false" customHeight="false" outlineLevel="0" collapsed="false">
      <c r="A179" s="12"/>
      <c r="B179" s="13"/>
      <c r="C179" s="13"/>
      <c r="D179" s="14"/>
      <c r="E179" s="15"/>
      <c r="F179" s="16"/>
      <c r="G179" s="17"/>
      <c r="H179" s="18" t="n">
        <f aca="false">IF(AND(C179="Yakıt",D179&lt;&gt;""),SUMPRODUCT(MAX(($B$5:$B$1004=B179)*($C$5:$C$1004="Yakıt")*($D$5:$D$1004&lt;D179)*$D$5:$D$1004)),0)</f>
        <v>0</v>
      </c>
      <c r="I179" s="18" t="str">
        <f aca="false">IF(H179&gt;0,D179-H179,"")</f>
        <v/>
      </c>
      <c r="J179" s="19" t="str">
        <f aca="false">IF(OR(I179="",E179=""),"",E179/I179*100)</f>
        <v/>
      </c>
      <c r="K179" s="20" t="str">
        <f aca="false">IF(I179="","",F179/I179)</f>
        <v/>
      </c>
    </row>
    <row r="180" customFormat="false" ht="15" hidden="false" customHeight="false" outlineLevel="0" collapsed="false">
      <c r="A180" s="12"/>
      <c r="B180" s="13"/>
      <c r="C180" s="13"/>
      <c r="D180" s="14"/>
      <c r="E180" s="15"/>
      <c r="F180" s="16"/>
      <c r="G180" s="17"/>
      <c r="H180" s="18" t="n">
        <f aca="false">IF(AND(C180="Yakıt",D180&lt;&gt;""),SUMPRODUCT(MAX(($B$5:$B$1004=B180)*($C$5:$C$1004="Yakıt")*($D$5:$D$1004&lt;D180)*$D$5:$D$1004)),0)</f>
        <v>0</v>
      </c>
      <c r="I180" s="18" t="str">
        <f aca="false">IF(H180&gt;0,D180-H180,"")</f>
        <v/>
      </c>
      <c r="J180" s="19" t="str">
        <f aca="false">IF(OR(I180="",E180=""),"",E180/I180*100)</f>
        <v/>
      </c>
      <c r="K180" s="20" t="str">
        <f aca="false">IF(I180="","",F180/I180)</f>
        <v/>
      </c>
    </row>
    <row r="181" customFormat="false" ht="15" hidden="false" customHeight="false" outlineLevel="0" collapsed="false">
      <c r="A181" s="12"/>
      <c r="B181" s="13"/>
      <c r="C181" s="13"/>
      <c r="D181" s="14"/>
      <c r="E181" s="15"/>
      <c r="F181" s="16"/>
      <c r="G181" s="17"/>
      <c r="H181" s="18" t="n">
        <f aca="false">IF(AND(C181="Yakıt",D181&lt;&gt;""),SUMPRODUCT(MAX(($B$5:$B$1004=B181)*($C$5:$C$1004="Yakıt")*($D$5:$D$1004&lt;D181)*$D$5:$D$1004)),0)</f>
        <v>0</v>
      </c>
      <c r="I181" s="18" t="str">
        <f aca="false">IF(H181&gt;0,D181-H181,"")</f>
        <v/>
      </c>
      <c r="J181" s="19" t="str">
        <f aca="false">IF(OR(I181="",E181=""),"",E181/I181*100)</f>
        <v/>
      </c>
      <c r="K181" s="20" t="str">
        <f aca="false">IF(I181="","",F181/I181)</f>
        <v/>
      </c>
    </row>
    <row r="182" customFormat="false" ht="15" hidden="false" customHeight="false" outlineLevel="0" collapsed="false">
      <c r="A182" s="12"/>
      <c r="B182" s="13"/>
      <c r="C182" s="13"/>
      <c r="D182" s="14"/>
      <c r="E182" s="15"/>
      <c r="F182" s="16"/>
      <c r="G182" s="17"/>
      <c r="H182" s="18" t="n">
        <f aca="false">IF(AND(C182="Yakıt",D182&lt;&gt;""),SUMPRODUCT(MAX(($B$5:$B$1004=B182)*($C$5:$C$1004="Yakıt")*($D$5:$D$1004&lt;D182)*$D$5:$D$1004)),0)</f>
        <v>0</v>
      </c>
      <c r="I182" s="18" t="str">
        <f aca="false">IF(H182&gt;0,D182-H182,"")</f>
        <v/>
      </c>
      <c r="J182" s="19" t="str">
        <f aca="false">IF(OR(I182="",E182=""),"",E182/I182*100)</f>
        <v/>
      </c>
      <c r="K182" s="20" t="str">
        <f aca="false">IF(I182="","",F182/I182)</f>
        <v/>
      </c>
    </row>
    <row r="183" customFormat="false" ht="15" hidden="false" customHeight="false" outlineLevel="0" collapsed="false">
      <c r="A183" s="12"/>
      <c r="B183" s="13"/>
      <c r="C183" s="13"/>
      <c r="D183" s="14"/>
      <c r="E183" s="15"/>
      <c r="F183" s="16"/>
      <c r="G183" s="17"/>
      <c r="H183" s="18" t="n">
        <f aca="false">IF(AND(C183="Yakıt",D183&lt;&gt;""),SUMPRODUCT(MAX(($B$5:$B$1004=B183)*($C$5:$C$1004="Yakıt")*($D$5:$D$1004&lt;D183)*$D$5:$D$1004)),0)</f>
        <v>0</v>
      </c>
      <c r="I183" s="18" t="str">
        <f aca="false">IF(H183&gt;0,D183-H183,"")</f>
        <v/>
      </c>
      <c r="J183" s="19" t="str">
        <f aca="false">IF(OR(I183="",E183=""),"",E183/I183*100)</f>
        <v/>
      </c>
      <c r="K183" s="20" t="str">
        <f aca="false">IF(I183="","",F183/I183)</f>
        <v/>
      </c>
    </row>
    <row r="184" customFormat="false" ht="15" hidden="false" customHeight="false" outlineLevel="0" collapsed="false">
      <c r="A184" s="12"/>
      <c r="B184" s="13"/>
      <c r="C184" s="13"/>
      <c r="D184" s="14"/>
      <c r="E184" s="15"/>
      <c r="F184" s="16"/>
      <c r="G184" s="17"/>
      <c r="H184" s="18" t="n">
        <f aca="false">IF(AND(C184="Yakıt",D184&lt;&gt;""),SUMPRODUCT(MAX(($B$5:$B$1004=B184)*($C$5:$C$1004="Yakıt")*($D$5:$D$1004&lt;D184)*$D$5:$D$1004)),0)</f>
        <v>0</v>
      </c>
      <c r="I184" s="18" t="str">
        <f aca="false">IF(H184&gt;0,D184-H184,"")</f>
        <v/>
      </c>
      <c r="J184" s="19" t="str">
        <f aca="false">IF(OR(I184="",E184=""),"",E184/I184*100)</f>
        <v/>
      </c>
      <c r="K184" s="20" t="str">
        <f aca="false">IF(I184="","",F184/I184)</f>
        <v/>
      </c>
    </row>
    <row r="185" customFormat="false" ht="15" hidden="false" customHeight="false" outlineLevel="0" collapsed="false">
      <c r="A185" s="12"/>
      <c r="B185" s="13"/>
      <c r="C185" s="13"/>
      <c r="D185" s="14"/>
      <c r="E185" s="15"/>
      <c r="F185" s="16"/>
      <c r="G185" s="17"/>
      <c r="H185" s="18" t="n">
        <f aca="false">IF(AND(C185="Yakıt",D185&lt;&gt;""),SUMPRODUCT(MAX(($B$5:$B$1004=B185)*($C$5:$C$1004="Yakıt")*($D$5:$D$1004&lt;D185)*$D$5:$D$1004)),0)</f>
        <v>0</v>
      </c>
      <c r="I185" s="18" t="str">
        <f aca="false">IF(H185&gt;0,D185-H185,"")</f>
        <v/>
      </c>
      <c r="J185" s="19" t="str">
        <f aca="false">IF(OR(I185="",E185=""),"",E185/I185*100)</f>
        <v/>
      </c>
      <c r="K185" s="20" t="str">
        <f aca="false">IF(I185="","",F185/I185)</f>
        <v/>
      </c>
    </row>
    <row r="186" customFormat="false" ht="15" hidden="false" customHeight="false" outlineLevel="0" collapsed="false">
      <c r="A186" s="12"/>
      <c r="B186" s="13"/>
      <c r="C186" s="13"/>
      <c r="D186" s="14"/>
      <c r="E186" s="15"/>
      <c r="F186" s="16"/>
      <c r="G186" s="17"/>
      <c r="H186" s="18" t="n">
        <f aca="false">IF(AND(C186="Yakıt",D186&lt;&gt;""),SUMPRODUCT(MAX(($B$5:$B$1004=B186)*($C$5:$C$1004="Yakıt")*($D$5:$D$1004&lt;D186)*$D$5:$D$1004)),0)</f>
        <v>0</v>
      </c>
      <c r="I186" s="18" t="str">
        <f aca="false">IF(H186&gt;0,D186-H186,"")</f>
        <v/>
      </c>
      <c r="J186" s="19" t="str">
        <f aca="false">IF(OR(I186="",E186=""),"",E186/I186*100)</f>
        <v/>
      </c>
      <c r="K186" s="20" t="str">
        <f aca="false">IF(I186="","",F186/I186)</f>
        <v/>
      </c>
    </row>
    <row r="187" customFormat="false" ht="15" hidden="false" customHeight="false" outlineLevel="0" collapsed="false">
      <c r="A187" s="12"/>
      <c r="B187" s="13"/>
      <c r="C187" s="13"/>
      <c r="D187" s="14"/>
      <c r="E187" s="15"/>
      <c r="F187" s="16"/>
      <c r="G187" s="17"/>
      <c r="H187" s="18" t="n">
        <f aca="false">IF(AND(C187="Yakıt",D187&lt;&gt;""),SUMPRODUCT(MAX(($B$5:$B$1004=B187)*($C$5:$C$1004="Yakıt")*($D$5:$D$1004&lt;D187)*$D$5:$D$1004)),0)</f>
        <v>0</v>
      </c>
      <c r="I187" s="18" t="str">
        <f aca="false">IF(H187&gt;0,D187-H187,"")</f>
        <v/>
      </c>
      <c r="J187" s="19" t="str">
        <f aca="false">IF(OR(I187="",E187=""),"",E187/I187*100)</f>
        <v/>
      </c>
      <c r="K187" s="20" t="str">
        <f aca="false">IF(I187="","",F187/I187)</f>
        <v/>
      </c>
    </row>
    <row r="188" customFormat="false" ht="15" hidden="false" customHeight="false" outlineLevel="0" collapsed="false">
      <c r="A188" s="12"/>
      <c r="B188" s="13"/>
      <c r="C188" s="13"/>
      <c r="D188" s="14"/>
      <c r="E188" s="15"/>
      <c r="F188" s="16"/>
      <c r="G188" s="17"/>
      <c r="H188" s="18" t="n">
        <f aca="false">IF(AND(C188="Yakıt",D188&lt;&gt;""),SUMPRODUCT(MAX(($B$5:$B$1004=B188)*($C$5:$C$1004="Yakıt")*($D$5:$D$1004&lt;D188)*$D$5:$D$1004)),0)</f>
        <v>0</v>
      </c>
      <c r="I188" s="18" t="str">
        <f aca="false">IF(H188&gt;0,D188-H188,"")</f>
        <v/>
      </c>
      <c r="J188" s="19" t="str">
        <f aca="false">IF(OR(I188="",E188=""),"",E188/I188*100)</f>
        <v/>
      </c>
      <c r="K188" s="20" t="str">
        <f aca="false">IF(I188="","",F188/I188)</f>
        <v/>
      </c>
    </row>
    <row r="189" customFormat="false" ht="15" hidden="false" customHeight="false" outlineLevel="0" collapsed="false">
      <c r="A189" s="12"/>
      <c r="B189" s="13"/>
      <c r="C189" s="13"/>
      <c r="D189" s="14"/>
      <c r="E189" s="15"/>
      <c r="F189" s="16"/>
      <c r="G189" s="17"/>
      <c r="H189" s="18" t="n">
        <f aca="false">IF(AND(C189="Yakıt",D189&lt;&gt;""),SUMPRODUCT(MAX(($B$5:$B$1004=B189)*($C$5:$C$1004="Yakıt")*($D$5:$D$1004&lt;D189)*$D$5:$D$1004)),0)</f>
        <v>0</v>
      </c>
      <c r="I189" s="18" t="str">
        <f aca="false">IF(H189&gt;0,D189-H189,"")</f>
        <v/>
      </c>
      <c r="J189" s="19" t="str">
        <f aca="false">IF(OR(I189="",E189=""),"",E189/I189*100)</f>
        <v/>
      </c>
      <c r="K189" s="20" t="str">
        <f aca="false">IF(I189="","",F189/I189)</f>
        <v/>
      </c>
    </row>
    <row r="190" customFormat="false" ht="15" hidden="false" customHeight="false" outlineLevel="0" collapsed="false">
      <c r="A190" s="12"/>
      <c r="B190" s="13"/>
      <c r="C190" s="13"/>
      <c r="D190" s="14"/>
      <c r="E190" s="15"/>
      <c r="F190" s="16"/>
      <c r="G190" s="17"/>
      <c r="H190" s="18" t="n">
        <f aca="false">IF(AND(C190="Yakıt",D190&lt;&gt;""),SUMPRODUCT(MAX(($B$5:$B$1004=B190)*($C$5:$C$1004="Yakıt")*($D$5:$D$1004&lt;D190)*$D$5:$D$1004)),0)</f>
        <v>0</v>
      </c>
      <c r="I190" s="18" t="str">
        <f aca="false">IF(H190&gt;0,D190-H190,"")</f>
        <v/>
      </c>
      <c r="J190" s="19" t="str">
        <f aca="false">IF(OR(I190="",E190=""),"",E190/I190*100)</f>
        <v/>
      </c>
      <c r="K190" s="20" t="str">
        <f aca="false">IF(I190="","",F190/I190)</f>
        <v/>
      </c>
    </row>
    <row r="191" customFormat="false" ht="15" hidden="false" customHeight="false" outlineLevel="0" collapsed="false">
      <c r="A191" s="12"/>
      <c r="B191" s="13"/>
      <c r="C191" s="13"/>
      <c r="D191" s="14"/>
      <c r="E191" s="15"/>
      <c r="F191" s="16"/>
      <c r="G191" s="17"/>
      <c r="H191" s="18" t="n">
        <f aca="false">IF(AND(C191="Yakıt",D191&lt;&gt;""),SUMPRODUCT(MAX(($B$5:$B$1004=B191)*($C$5:$C$1004="Yakıt")*($D$5:$D$1004&lt;D191)*$D$5:$D$1004)),0)</f>
        <v>0</v>
      </c>
      <c r="I191" s="18" t="str">
        <f aca="false">IF(H191&gt;0,D191-H191,"")</f>
        <v/>
      </c>
      <c r="J191" s="19" t="str">
        <f aca="false">IF(OR(I191="",E191=""),"",E191/I191*100)</f>
        <v/>
      </c>
      <c r="K191" s="20" t="str">
        <f aca="false">IF(I191="","",F191/I191)</f>
        <v/>
      </c>
    </row>
    <row r="192" customFormat="false" ht="15" hidden="false" customHeight="false" outlineLevel="0" collapsed="false">
      <c r="A192" s="12"/>
      <c r="B192" s="13"/>
      <c r="C192" s="13"/>
      <c r="D192" s="14"/>
      <c r="E192" s="15"/>
      <c r="F192" s="16"/>
      <c r="G192" s="17"/>
      <c r="H192" s="18" t="n">
        <f aca="false">IF(AND(C192="Yakıt",D192&lt;&gt;""),SUMPRODUCT(MAX(($B$5:$B$1004=B192)*($C$5:$C$1004="Yakıt")*($D$5:$D$1004&lt;D192)*$D$5:$D$1004)),0)</f>
        <v>0</v>
      </c>
      <c r="I192" s="18" t="str">
        <f aca="false">IF(H192&gt;0,D192-H192,"")</f>
        <v/>
      </c>
      <c r="J192" s="19" t="str">
        <f aca="false">IF(OR(I192="",E192=""),"",E192/I192*100)</f>
        <v/>
      </c>
      <c r="K192" s="20" t="str">
        <f aca="false">IF(I192="","",F192/I192)</f>
        <v/>
      </c>
    </row>
    <row r="193" customFormat="false" ht="15" hidden="false" customHeight="false" outlineLevel="0" collapsed="false">
      <c r="A193" s="12"/>
      <c r="B193" s="13"/>
      <c r="C193" s="13"/>
      <c r="D193" s="14"/>
      <c r="E193" s="15"/>
      <c r="F193" s="16"/>
      <c r="G193" s="17"/>
      <c r="H193" s="18" t="n">
        <f aca="false">IF(AND(C193="Yakıt",D193&lt;&gt;""),SUMPRODUCT(MAX(($B$5:$B$1004=B193)*($C$5:$C$1004="Yakıt")*($D$5:$D$1004&lt;D193)*$D$5:$D$1004)),0)</f>
        <v>0</v>
      </c>
      <c r="I193" s="18" t="str">
        <f aca="false">IF(H193&gt;0,D193-H193,"")</f>
        <v/>
      </c>
      <c r="J193" s="19" t="str">
        <f aca="false">IF(OR(I193="",E193=""),"",E193/I193*100)</f>
        <v/>
      </c>
      <c r="K193" s="20" t="str">
        <f aca="false">IF(I193="","",F193/I193)</f>
        <v/>
      </c>
    </row>
    <row r="194" customFormat="false" ht="15" hidden="false" customHeight="false" outlineLevel="0" collapsed="false">
      <c r="A194" s="12"/>
      <c r="B194" s="13"/>
      <c r="C194" s="13"/>
      <c r="D194" s="14"/>
      <c r="E194" s="15"/>
      <c r="F194" s="16"/>
      <c r="G194" s="17"/>
      <c r="H194" s="18" t="n">
        <f aca="false">IF(AND(C194="Yakıt",D194&lt;&gt;""),SUMPRODUCT(MAX(($B$5:$B$1004=B194)*($C$5:$C$1004="Yakıt")*($D$5:$D$1004&lt;D194)*$D$5:$D$1004)),0)</f>
        <v>0</v>
      </c>
      <c r="I194" s="18" t="str">
        <f aca="false">IF(H194&gt;0,D194-H194,"")</f>
        <v/>
      </c>
      <c r="J194" s="19" t="str">
        <f aca="false">IF(OR(I194="",E194=""),"",E194/I194*100)</f>
        <v/>
      </c>
      <c r="K194" s="20" t="str">
        <f aca="false">IF(I194="","",F194/I194)</f>
        <v/>
      </c>
    </row>
    <row r="195" customFormat="false" ht="15" hidden="false" customHeight="false" outlineLevel="0" collapsed="false">
      <c r="A195" s="12"/>
      <c r="B195" s="13"/>
      <c r="C195" s="13"/>
      <c r="D195" s="14"/>
      <c r="E195" s="15"/>
      <c r="F195" s="16"/>
      <c r="G195" s="17"/>
      <c r="H195" s="18" t="n">
        <f aca="false">IF(AND(C195="Yakıt",D195&lt;&gt;""),SUMPRODUCT(MAX(($B$5:$B$1004=B195)*($C$5:$C$1004="Yakıt")*($D$5:$D$1004&lt;D195)*$D$5:$D$1004)),0)</f>
        <v>0</v>
      </c>
      <c r="I195" s="18" t="str">
        <f aca="false">IF(H195&gt;0,D195-H195,"")</f>
        <v/>
      </c>
      <c r="J195" s="19" t="str">
        <f aca="false">IF(OR(I195="",E195=""),"",E195/I195*100)</f>
        <v/>
      </c>
      <c r="K195" s="20" t="str">
        <f aca="false">IF(I195="","",F195/I195)</f>
        <v/>
      </c>
    </row>
    <row r="196" customFormat="false" ht="15" hidden="false" customHeight="false" outlineLevel="0" collapsed="false">
      <c r="A196" s="12"/>
      <c r="B196" s="13"/>
      <c r="C196" s="13"/>
      <c r="D196" s="14"/>
      <c r="E196" s="15"/>
      <c r="F196" s="16"/>
      <c r="G196" s="17"/>
      <c r="H196" s="18" t="n">
        <f aca="false">IF(AND(C196="Yakıt",D196&lt;&gt;""),SUMPRODUCT(MAX(($B$5:$B$1004=B196)*($C$5:$C$1004="Yakıt")*($D$5:$D$1004&lt;D196)*$D$5:$D$1004)),0)</f>
        <v>0</v>
      </c>
      <c r="I196" s="18" t="str">
        <f aca="false">IF(H196&gt;0,D196-H196,"")</f>
        <v/>
      </c>
      <c r="J196" s="19" t="str">
        <f aca="false">IF(OR(I196="",E196=""),"",E196/I196*100)</f>
        <v/>
      </c>
      <c r="K196" s="20" t="str">
        <f aca="false">IF(I196="","",F196/I196)</f>
        <v/>
      </c>
    </row>
    <row r="197" customFormat="false" ht="15" hidden="false" customHeight="false" outlineLevel="0" collapsed="false">
      <c r="A197" s="12"/>
      <c r="B197" s="13"/>
      <c r="C197" s="13"/>
      <c r="D197" s="14"/>
      <c r="E197" s="15"/>
      <c r="F197" s="16"/>
      <c r="G197" s="17"/>
      <c r="H197" s="18" t="n">
        <f aca="false">IF(AND(C197="Yakıt",D197&lt;&gt;""),SUMPRODUCT(MAX(($B$5:$B$1004=B197)*($C$5:$C$1004="Yakıt")*($D$5:$D$1004&lt;D197)*$D$5:$D$1004)),0)</f>
        <v>0</v>
      </c>
      <c r="I197" s="18" t="str">
        <f aca="false">IF(H197&gt;0,D197-H197,"")</f>
        <v/>
      </c>
      <c r="J197" s="19" t="str">
        <f aca="false">IF(OR(I197="",E197=""),"",E197/I197*100)</f>
        <v/>
      </c>
      <c r="K197" s="20" t="str">
        <f aca="false">IF(I197="","",F197/I197)</f>
        <v/>
      </c>
    </row>
    <row r="198" customFormat="false" ht="15" hidden="false" customHeight="false" outlineLevel="0" collapsed="false">
      <c r="A198" s="12"/>
      <c r="B198" s="13"/>
      <c r="C198" s="13"/>
      <c r="D198" s="14"/>
      <c r="E198" s="15"/>
      <c r="F198" s="16"/>
      <c r="G198" s="17"/>
      <c r="H198" s="18" t="n">
        <f aca="false">IF(AND(C198="Yakıt",D198&lt;&gt;""),SUMPRODUCT(MAX(($B$5:$B$1004=B198)*($C$5:$C$1004="Yakıt")*($D$5:$D$1004&lt;D198)*$D$5:$D$1004)),0)</f>
        <v>0</v>
      </c>
      <c r="I198" s="18" t="str">
        <f aca="false">IF(H198&gt;0,D198-H198,"")</f>
        <v/>
      </c>
      <c r="J198" s="19" t="str">
        <f aca="false">IF(OR(I198="",E198=""),"",E198/I198*100)</f>
        <v/>
      </c>
      <c r="K198" s="20" t="str">
        <f aca="false">IF(I198="","",F198/I198)</f>
        <v/>
      </c>
    </row>
    <row r="199" customFormat="false" ht="15" hidden="false" customHeight="false" outlineLevel="0" collapsed="false">
      <c r="A199" s="12"/>
      <c r="B199" s="13"/>
      <c r="C199" s="13"/>
      <c r="D199" s="14"/>
      <c r="E199" s="15"/>
      <c r="F199" s="16"/>
      <c r="G199" s="17"/>
      <c r="H199" s="18" t="n">
        <f aca="false">IF(AND(C199="Yakıt",D199&lt;&gt;""),SUMPRODUCT(MAX(($B$5:$B$1004=B199)*($C$5:$C$1004="Yakıt")*($D$5:$D$1004&lt;D199)*$D$5:$D$1004)),0)</f>
        <v>0</v>
      </c>
      <c r="I199" s="18" t="str">
        <f aca="false">IF(H199&gt;0,D199-H199,"")</f>
        <v/>
      </c>
      <c r="J199" s="19" t="str">
        <f aca="false">IF(OR(I199="",E199=""),"",E199/I199*100)</f>
        <v/>
      </c>
      <c r="K199" s="20" t="str">
        <f aca="false">IF(I199="","",F199/I199)</f>
        <v/>
      </c>
    </row>
    <row r="200" customFormat="false" ht="15" hidden="false" customHeight="false" outlineLevel="0" collapsed="false">
      <c r="A200" s="12"/>
      <c r="B200" s="13"/>
      <c r="C200" s="13"/>
      <c r="D200" s="14"/>
      <c r="E200" s="15"/>
      <c r="F200" s="16"/>
      <c r="G200" s="17"/>
      <c r="H200" s="18" t="n">
        <f aca="false">IF(AND(C200="Yakıt",D200&lt;&gt;""),SUMPRODUCT(MAX(($B$5:$B$1004=B200)*($C$5:$C$1004="Yakıt")*($D$5:$D$1004&lt;D200)*$D$5:$D$1004)),0)</f>
        <v>0</v>
      </c>
      <c r="I200" s="18" t="str">
        <f aca="false">IF(H200&gt;0,D200-H200,"")</f>
        <v/>
      </c>
      <c r="J200" s="19" t="str">
        <f aca="false">IF(OR(I200="",E200=""),"",E200/I200*100)</f>
        <v/>
      </c>
      <c r="K200" s="20" t="str">
        <f aca="false">IF(I200="","",F200/I200)</f>
        <v/>
      </c>
    </row>
    <row r="201" customFormat="false" ht="15" hidden="false" customHeight="false" outlineLevel="0" collapsed="false">
      <c r="A201" s="12"/>
      <c r="B201" s="13"/>
      <c r="C201" s="13"/>
      <c r="D201" s="14"/>
      <c r="E201" s="15"/>
      <c r="F201" s="16"/>
      <c r="G201" s="17"/>
      <c r="H201" s="18" t="n">
        <f aca="false">IF(AND(C201="Yakıt",D201&lt;&gt;""),SUMPRODUCT(MAX(($B$5:$B$1004=B201)*($C$5:$C$1004="Yakıt")*($D$5:$D$1004&lt;D201)*$D$5:$D$1004)),0)</f>
        <v>0</v>
      </c>
      <c r="I201" s="18" t="str">
        <f aca="false">IF(H201&gt;0,D201-H201,"")</f>
        <v/>
      </c>
      <c r="J201" s="19" t="str">
        <f aca="false">IF(OR(I201="",E201=""),"",E201/I201*100)</f>
        <v/>
      </c>
      <c r="K201" s="20" t="str">
        <f aca="false">IF(I201="","",F201/I201)</f>
        <v/>
      </c>
    </row>
    <row r="202" customFormat="false" ht="15" hidden="false" customHeight="false" outlineLevel="0" collapsed="false">
      <c r="A202" s="12"/>
      <c r="B202" s="13"/>
      <c r="C202" s="13"/>
      <c r="D202" s="14"/>
      <c r="E202" s="15"/>
      <c r="F202" s="16"/>
      <c r="G202" s="17"/>
      <c r="H202" s="18" t="n">
        <f aca="false">IF(AND(C202="Yakıt",D202&lt;&gt;""),SUMPRODUCT(MAX(($B$5:$B$1004=B202)*($C$5:$C$1004="Yakıt")*($D$5:$D$1004&lt;D202)*$D$5:$D$1004)),0)</f>
        <v>0</v>
      </c>
      <c r="I202" s="18" t="str">
        <f aca="false">IF(H202&gt;0,D202-H202,"")</f>
        <v/>
      </c>
      <c r="J202" s="19" t="str">
        <f aca="false">IF(OR(I202="",E202=""),"",E202/I202*100)</f>
        <v/>
      </c>
      <c r="K202" s="20" t="str">
        <f aca="false">IF(I202="","",F202/I202)</f>
        <v/>
      </c>
    </row>
    <row r="203" customFormat="false" ht="15" hidden="false" customHeight="false" outlineLevel="0" collapsed="false">
      <c r="A203" s="12"/>
      <c r="B203" s="13"/>
      <c r="C203" s="13"/>
      <c r="D203" s="14"/>
      <c r="E203" s="15"/>
      <c r="F203" s="16"/>
      <c r="G203" s="17"/>
      <c r="H203" s="18" t="n">
        <f aca="false">IF(AND(C203="Yakıt",D203&lt;&gt;""),SUMPRODUCT(MAX(($B$5:$B$1004=B203)*($C$5:$C$1004="Yakıt")*($D$5:$D$1004&lt;D203)*$D$5:$D$1004)),0)</f>
        <v>0</v>
      </c>
      <c r="I203" s="18" t="str">
        <f aca="false">IF(H203&gt;0,D203-H203,"")</f>
        <v/>
      </c>
      <c r="J203" s="19" t="str">
        <f aca="false">IF(OR(I203="",E203=""),"",E203/I203*100)</f>
        <v/>
      </c>
      <c r="K203" s="20" t="str">
        <f aca="false">IF(I203="","",F203/I203)</f>
        <v/>
      </c>
    </row>
    <row r="204" customFormat="false" ht="15" hidden="false" customHeight="false" outlineLevel="0" collapsed="false">
      <c r="A204" s="12"/>
      <c r="B204" s="13"/>
      <c r="C204" s="13"/>
      <c r="D204" s="14"/>
      <c r="E204" s="15"/>
      <c r="F204" s="16"/>
      <c r="G204" s="17"/>
      <c r="H204" s="18" t="n">
        <f aca="false">IF(AND(C204="Yakıt",D204&lt;&gt;""),SUMPRODUCT(MAX(($B$5:$B$1004=B204)*($C$5:$C$1004="Yakıt")*($D$5:$D$1004&lt;D204)*$D$5:$D$1004)),0)</f>
        <v>0</v>
      </c>
      <c r="I204" s="18" t="str">
        <f aca="false">IF(H204&gt;0,D204-H204,"")</f>
        <v/>
      </c>
      <c r="J204" s="19" t="str">
        <f aca="false">IF(OR(I204="",E204=""),"",E204/I204*100)</f>
        <v/>
      </c>
      <c r="K204" s="20" t="str">
        <f aca="false">IF(I204="","",F204/I204)</f>
        <v/>
      </c>
    </row>
    <row r="205" customFormat="false" ht="15" hidden="false" customHeight="false" outlineLevel="0" collapsed="false">
      <c r="A205" s="12"/>
      <c r="B205" s="13"/>
      <c r="C205" s="13"/>
      <c r="D205" s="14"/>
      <c r="E205" s="15"/>
      <c r="F205" s="16"/>
      <c r="G205" s="17"/>
      <c r="H205" s="18" t="n">
        <f aca="false">IF(AND(C205="Yakıt",D205&lt;&gt;""),SUMPRODUCT(MAX(($B$5:$B$1004=B205)*($C$5:$C$1004="Yakıt")*($D$5:$D$1004&lt;D205)*$D$5:$D$1004)),0)</f>
        <v>0</v>
      </c>
      <c r="I205" s="18" t="str">
        <f aca="false">IF(H205&gt;0,D205-H205,"")</f>
        <v/>
      </c>
      <c r="J205" s="19" t="str">
        <f aca="false">IF(OR(I205="",E205=""),"",E205/I205*100)</f>
        <v/>
      </c>
      <c r="K205" s="20" t="str">
        <f aca="false">IF(I205="","",F205/I205)</f>
        <v/>
      </c>
    </row>
    <row r="206" customFormat="false" ht="15" hidden="false" customHeight="false" outlineLevel="0" collapsed="false">
      <c r="A206" s="12"/>
      <c r="B206" s="13"/>
      <c r="C206" s="13"/>
      <c r="D206" s="14"/>
      <c r="E206" s="15"/>
      <c r="F206" s="16"/>
      <c r="G206" s="17"/>
      <c r="H206" s="18" t="n">
        <f aca="false">IF(AND(C206="Yakıt",D206&lt;&gt;""),SUMPRODUCT(MAX(($B$5:$B$1004=B206)*($C$5:$C$1004="Yakıt")*($D$5:$D$1004&lt;D206)*$D$5:$D$1004)),0)</f>
        <v>0</v>
      </c>
      <c r="I206" s="18" t="str">
        <f aca="false">IF(H206&gt;0,D206-H206,"")</f>
        <v/>
      </c>
      <c r="J206" s="19" t="str">
        <f aca="false">IF(OR(I206="",E206=""),"",E206/I206*100)</f>
        <v/>
      </c>
      <c r="K206" s="20" t="str">
        <f aca="false">IF(I206="","",F206/I206)</f>
        <v/>
      </c>
    </row>
    <row r="207" customFormat="false" ht="15" hidden="false" customHeight="false" outlineLevel="0" collapsed="false">
      <c r="A207" s="12"/>
      <c r="B207" s="13"/>
      <c r="C207" s="13"/>
      <c r="D207" s="14"/>
      <c r="E207" s="15"/>
      <c r="F207" s="16"/>
      <c r="G207" s="17"/>
      <c r="H207" s="18" t="n">
        <f aca="false">IF(AND(C207="Yakıt",D207&lt;&gt;""),SUMPRODUCT(MAX(($B$5:$B$1004=B207)*($C$5:$C$1004="Yakıt")*($D$5:$D$1004&lt;D207)*$D$5:$D$1004)),0)</f>
        <v>0</v>
      </c>
      <c r="I207" s="18" t="str">
        <f aca="false">IF(H207&gt;0,D207-H207,"")</f>
        <v/>
      </c>
      <c r="J207" s="19" t="str">
        <f aca="false">IF(OR(I207="",E207=""),"",E207/I207*100)</f>
        <v/>
      </c>
      <c r="K207" s="20" t="str">
        <f aca="false">IF(I207="","",F207/I207)</f>
        <v/>
      </c>
    </row>
    <row r="208" customFormat="false" ht="15" hidden="false" customHeight="false" outlineLevel="0" collapsed="false">
      <c r="A208" s="12"/>
      <c r="B208" s="13"/>
      <c r="C208" s="13"/>
      <c r="D208" s="14"/>
      <c r="E208" s="15"/>
      <c r="F208" s="16"/>
      <c r="G208" s="17"/>
      <c r="H208" s="18" t="n">
        <f aca="false">IF(AND(C208="Yakıt",D208&lt;&gt;""),SUMPRODUCT(MAX(($B$5:$B$1004=B208)*($C$5:$C$1004="Yakıt")*($D$5:$D$1004&lt;D208)*$D$5:$D$1004)),0)</f>
        <v>0</v>
      </c>
      <c r="I208" s="18" t="str">
        <f aca="false">IF(H208&gt;0,D208-H208,"")</f>
        <v/>
      </c>
      <c r="J208" s="19" t="str">
        <f aca="false">IF(OR(I208="",E208=""),"",E208/I208*100)</f>
        <v/>
      </c>
      <c r="K208" s="20" t="str">
        <f aca="false">IF(I208="","",F208/I208)</f>
        <v/>
      </c>
    </row>
    <row r="209" customFormat="false" ht="15" hidden="false" customHeight="false" outlineLevel="0" collapsed="false">
      <c r="A209" s="12"/>
      <c r="B209" s="13"/>
      <c r="C209" s="13"/>
      <c r="D209" s="14"/>
      <c r="E209" s="15"/>
      <c r="F209" s="16"/>
      <c r="G209" s="17"/>
      <c r="H209" s="18" t="n">
        <f aca="false">IF(AND(C209="Yakıt",D209&lt;&gt;""),SUMPRODUCT(MAX(($B$5:$B$1004=B209)*($C$5:$C$1004="Yakıt")*($D$5:$D$1004&lt;D209)*$D$5:$D$1004)),0)</f>
        <v>0</v>
      </c>
      <c r="I209" s="18" t="str">
        <f aca="false">IF(H209&gt;0,D209-H209,"")</f>
        <v/>
      </c>
      <c r="J209" s="19" t="str">
        <f aca="false">IF(OR(I209="",E209=""),"",E209/I209*100)</f>
        <v/>
      </c>
      <c r="K209" s="20" t="str">
        <f aca="false">IF(I209="","",F209/I209)</f>
        <v/>
      </c>
    </row>
    <row r="210" customFormat="false" ht="15" hidden="false" customHeight="false" outlineLevel="0" collapsed="false">
      <c r="A210" s="12"/>
      <c r="B210" s="13"/>
      <c r="C210" s="13"/>
      <c r="D210" s="14"/>
      <c r="E210" s="15"/>
      <c r="F210" s="16"/>
      <c r="G210" s="17"/>
      <c r="H210" s="18" t="n">
        <f aca="false">IF(AND(C210="Yakıt",D210&lt;&gt;""),SUMPRODUCT(MAX(($B$5:$B$1004=B210)*($C$5:$C$1004="Yakıt")*($D$5:$D$1004&lt;D210)*$D$5:$D$1004)),0)</f>
        <v>0</v>
      </c>
      <c r="I210" s="18" t="str">
        <f aca="false">IF(H210&gt;0,D210-H210,"")</f>
        <v/>
      </c>
      <c r="J210" s="19" t="str">
        <f aca="false">IF(OR(I210="",E210=""),"",E210/I210*100)</f>
        <v/>
      </c>
      <c r="K210" s="20" t="str">
        <f aca="false">IF(I210="","",F210/I210)</f>
        <v/>
      </c>
    </row>
    <row r="211" customFormat="false" ht="15" hidden="false" customHeight="false" outlineLevel="0" collapsed="false">
      <c r="A211" s="12"/>
      <c r="B211" s="13"/>
      <c r="C211" s="13"/>
      <c r="D211" s="14"/>
      <c r="E211" s="15"/>
      <c r="F211" s="16"/>
      <c r="G211" s="17"/>
      <c r="H211" s="18" t="n">
        <f aca="false">IF(AND(C211="Yakıt",D211&lt;&gt;""),SUMPRODUCT(MAX(($B$5:$B$1004=B211)*($C$5:$C$1004="Yakıt")*($D$5:$D$1004&lt;D211)*$D$5:$D$1004)),0)</f>
        <v>0</v>
      </c>
      <c r="I211" s="18" t="str">
        <f aca="false">IF(H211&gt;0,D211-H211,"")</f>
        <v/>
      </c>
      <c r="J211" s="19" t="str">
        <f aca="false">IF(OR(I211="",E211=""),"",E211/I211*100)</f>
        <v/>
      </c>
      <c r="K211" s="20" t="str">
        <f aca="false">IF(I211="","",F211/I211)</f>
        <v/>
      </c>
    </row>
    <row r="212" customFormat="false" ht="15" hidden="false" customHeight="false" outlineLevel="0" collapsed="false">
      <c r="A212" s="12"/>
      <c r="B212" s="13"/>
      <c r="C212" s="13"/>
      <c r="D212" s="14"/>
      <c r="E212" s="15"/>
      <c r="F212" s="16"/>
      <c r="G212" s="17"/>
      <c r="H212" s="18" t="n">
        <f aca="false">IF(AND(C212="Yakıt",D212&lt;&gt;""),SUMPRODUCT(MAX(($B$5:$B$1004=B212)*($C$5:$C$1004="Yakıt")*($D$5:$D$1004&lt;D212)*$D$5:$D$1004)),0)</f>
        <v>0</v>
      </c>
      <c r="I212" s="18" t="str">
        <f aca="false">IF(H212&gt;0,D212-H212,"")</f>
        <v/>
      </c>
      <c r="J212" s="19" t="str">
        <f aca="false">IF(OR(I212="",E212=""),"",E212/I212*100)</f>
        <v/>
      </c>
      <c r="K212" s="20" t="str">
        <f aca="false">IF(I212="","",F212/I212)</f>
        <v/>
      </c>
    </row>
    <row r="213" customFormat="false" ht="15" hidden="false" customHeight="false" outlineLevel="0" collapsed="false">
      <c r="A213" s="12"/>
      <c r="B213" s="13"/>
      <c r="C213" s="13"/>
      <c r="D213" s="14"/>
      <c r="E213" s="15"/>
      <c r="F213" s="16"/>
      <c r="G213" s="17"/>
      <c r="H213" s="18" t="n">
        <f aca="false">IF(AND(C213="Yakıt",D213&lt;&gt;""),SUMPRODUCT(MAX(($B$5:$B$1004=B213)*($C$5:$C$1004="Yakıt")*($D$5:$D$1004&lt;D213)*$D$5:$D$1004)),0)</f>
        <v>0</v>
      </c>
      <c r="I213" s="18" t="str">
        <f aca="false">IF(H213&gt;0,D213-H213,"")</f>
        <v/>
      </c>
      <c r="J213" s="19" t="str">
        <f aca="false">IF(OR(I213="",E213=""),"",E213/I213*100)</f>
        <v/>
      </c>
      <c r="K213" s="20" t="str">
        <f aca="false">IF(I213="","",F213/I213)</f>
        <v/>
      </c>
    </row>
    <row r="214" customFormat="false" ht="15" hidden="false" customHeight="false" outlineLevel="0" collapsed="false">
      <c r="A214" s="12"/>
      <c r="B214" s="13"/>
      <c r="C214" s="13"/>
      <c r="D214" s="14"/>
      <c r="E214" s="15"/>
      <c r="F214" s="16"/>
      <c r="G214" s="17"/>
      <c r="H214" s="18" t="n">
        <f aca="false">IF(AND(C214="Yakıt",D214&lt;&gt;""),SUMPRODUCT(MAX(($B$5:$B$1004=B214)*($C$5:$C$1004="Yakıt")*($D$5:$D$1004&lt;D214)*$D$5:$D$1004)),0)</f>
        <v>0</v>
      </c>
      <c r="I214" s="18" t="str">
        <f aca="false">IF(H214&gt;0,D214-H214,"")</f>
        <v/>
      </c>
      <c r="J214" s="19" t="str">
        <f aca="false">IF(OR(I214="",E214=""),"",E214/I214*100)</f>
        <v/>
      </c>
      <c r="K214" s="20" t="str">
        <f aca="false">IF(I214="","",F214/I214)</f>
        <v/>
      </c>
    </row>
    <row r="215" customFormat="false" ht="15" hidden="false" customHeight="false" outlineLevel="0" collapsed="false">
      <c r="A215" s="12"/>
      <c r="B215" s="13"/>
      <c r="C215" s="13"/>
      <c r="D215" s="14"/>
      <c r="E215" s="15"/>
      <c r="F215" s="16"/>
      <c r="G215" s="17"/>
      <c r="H215" s="18" t="n">
        <f aca="false">IF(AND(C215="Yakıt",D215&lt;&gt;""),SUMPRODUCT(MAX(($B$5:$B$1004=B215)*($C$5:$C$1004="Yakıt")*($D$5:$D$1004&lt;D215)*$D$5:$D$1004)),0)</f>
        <v>0</v>
      </c>
      <c r="I215" s="18" t="str">
        <f aca="false">IF(H215&gt;0,D215-H215,"")</f>
        <v/>
      </c>
      <c r="J215" s="19" t="str">
        <f aca="false">IF(OR(I215="",E215=""),"",E215/I215*100)</f>
        <v/>
      </c>
      <c r="K215" s="20" t="str">
        <f aca="false">IF(I215="","",F215/I215)</f>
        <v/>
      </c>
    </row>
    <row r="216" customFormat="false" ht="15" hidden="false" customHeight="false" outlineLevel="0" collapsed="false">
      <c r="A216" s="12"/>
      <c r="B216" s="13"/>
      <c r="C216" s="13"/>
      <c r="D216" s="14"/>
      <c r="E216" s="15"/>
      <c r="F216" s="16"/>
      <c r="G216" s="17"/>
      <c r="H216" s="18" t="n">
        <f aca="false">IF(AND(C216="Yakıt",D216&lt;&gt;""),SUMPRODUCT(MAX(($B$5:$B$1004=B216)*($C$5:$C$1004="Yakıt")*($D$5:$D$1004&lt;D216)*$D$5:$D$1004)),0)</f>
        <v>0</v>
      </c>
      <c r="I216" s="18" t="str">
        <f aca="false">IF(H216&gt;0,D216-H216,"")</f>
        <v/>
      </c>
      <c r="J216" s="19" t="str">
        <f aca="false">IF(OR(I216="",E216=""),"",E216/I216*100)</f>
        <v/>
      </c>
      <c r="K216" s="20" t="str">
        <f aca="false">IF(I216="","",F216/I216)</f>
        <v/>
      </c>
    </row>
    <row r="217" customFormat="false" ht="15" hidden="false" customHeight="false" outlineLevel="0" collapsed="false">
      <c r="A217" s="12"/>
      <c r="B217" s="13"/>
      <c r="C217" s="13"/>
      <c r="D217" s="14"/>
      <c r="E217" s="15"/>
      <c r="F217" s="16"/>
      <c r="G217" s="17"/>
      <c r="H217" s="18" t="n">
        <f aca="false">IF(AND(C217="Yakıt",D217&lt;&gt;""),SUMPRODUCT(MAX(($B$5:$B$1004=B217)*($C$5:$C$1004="Yakıt")*($D$5:$D$1004&lt;D217)*$D$5:$D$1004)),0)</f>
        <v>0</v>
      </c>
      <c r="I217" s="18" t="str">
        <f aca="false">IF(H217&gt;0,D217-H217,"")</f>
        <v/>
      </c>
      <c r="J217" s="19" t="str">
        <f aca="false">IF(OR(I217="",E217=""),"",E217/I217*100)</f>
        <v/>
      </c>
      <c r="K217" s="20" t="str">
        <f aca="false">IF(I217="","",F217/I217)</f>
        <v/>
      </c>
    </row>
    <row r="218" customFormat="false" ht="15" hidden="false" customHeight="false" outlineLevel="0" collapsed="false">
      <c r="A218" s="12"/>
      <c r="B218" s="13"/>
      <c r="C218" s="13"/>
      <c r="D218" s="14"/>
      <c r="E218" s="15"/>
      <c r="F218" s="16"/>
      <c r="G218" s="17"/>
      <c r="H218" s="18" t="n">
        <f aca="false">IF(AND(C218="Yakıt",D218&lt;&gt;""),SUMPRODUCT(MAX(($B$5:$B$1004=B218)*($C$5:$C$1004="Yakıt")*($D$5:$D$1004&lt;D218)*$D$5:$D$1004)),0)</f>
        <v>0</v>
      </c>
      <c r="I218" s="18" t="str">
        <f aca="false">IF(H218&gt;0,D218-H218,"")</f>
        <v/>
      </c>
      <c r="J218" s="19" t="str">
        <f aca="false">IF(OR(I218="",E218=""),"",E218/I218*100)</f>
        <v/>
      </c>
      <c r="K218" s="20" t="str">
        <f aca="false">IF(I218="","",F218/I218)</f>
        <v/>
      </c>
    </row>
    <row r="219" customFormat="false" ht="15" hidden="false" customHeight="false" outlineLevel="0" collapsed="false">
      <c r="A219" s="12"/>
      <c r="B219" s="13"/>
      <c r="C219" s="13"/>
      <c r="D219" s="14"/>
      <c r="E219" s="15"/>
      <c r="F219" s="16"/>
      <c r="G219" s="17"/>
      <c r="H219" s="18" t="n">
        <f aca="false">IF(AND(C219="Yakıt",D219&lt;&gt;""),SUMPRODUCT(MAX(($B$5:$B$1004=B219)*($C$5:$C$1004="Yakıt")*($D$5:$D$1004&lt;D219)*$D$5:$D$1004)),0)</f>
        <v>0</v>
      </c>
      <c r="I219" s="18" t="str">
        <f aca="false">IF(H219&gt;0,D219-H219,"")</f>
        <v/>
      </c>
      <c r="J219" s="19" t="str">
        <f aca="false">IF(OR(I219="",E219=""),"",E219/I219*100)</f>
        <v/>
      </c>
      <c r="K219" s="20" t="str">
        <f aca="false">IF(I219="","",F219/I219)</f>
        <v/>
      </c>
    </row>
    <row r="220" customFormat="false" ht="15" hidden="false" customHeight="false" outlineLevel="0" collapsed="false">
      <c r="A220" s="12"/>
      <c r="B220" s="13"/>
      <c r="C220" s="13"/>
      <c r="D220" s="14"/>
      <c r="E220" s="15"/>
      <c r="F220" s="16"/>
      <c r="G220" s="17"/>
      <c r="H220" s="18" t="n">
        <f aca="false">IF(AND(C220="Yakıt",D220&lt;&gt;""),SUMPRODUCT(MAX(($B$5:$B$1004=B220)*($C$5:$C$1004="Yakıt")*($D$5:$D$1004&lt;D220)*$D$5:$D$1004)),0)</f>
        <v>0</v>
      </c>
      <c r="I220" s="18" t="str">
        <f aca="false">IF(H220&gt;0,D220-H220,"")</f>
        <v/>
      </c>
      <c r="J220" s="19" t="str">
        <f aca="false">IF(OR(I220="",E220=""),"",E220/I220*100)</f>
        <v/>
      </c>
      <c r="K220" s="20" t="str">
        <f aca="false">IF(I220="","",F220/I220)</f>
        <v/>
      </c>
    </row>
    <row r="221" customFormat="false" ht="15" hidden="false" customHeight="false" outlineLevel="0" collapsed="false">
      <c r="A221" s="12"/>
      <c r="B221" s="13"/>
      <c r="C221" s="13"/>
      <c r="D221" s="14"/>
      <c r="E221" s="15"/>
      <c r="F221" s="16"/>
      <c r="G221" s="17"/>
      <c r="H221" s="18" t="n">
        <f aca="false">IF(AND(C221="Yakıt",D221&lt;&gt;""),SUMPRODUCT(MAX(($B$5:$B$1004=B221)*($C$5:$C$1004="Yakıt")*($D$5:$D$1004&lt;D221)*$D$5:$D$1004)),0)</f>
        <v>0</v>
      </c>
      <c r="I221" s="18" t="str">
        <f aca="false">IF(H221&gt;0,D221-H221,"")</f>
        <v/>
      </c>
      <c r="J221" s="19" t="str">
        <f aca="false">IF(OR(I221="",E221=""),"",E221/I221*100)</f>
        <v/>
      </c>
      <c r="K221" s="20" t="str">
        <f aca="false">IF(I221="","",F221/I221)</f>
        <v/>
      </c>
    </row>
    <row r="222" customFormat="false" ht="15" hidden="false" customHeight="false" outlineLevel="0" collapsed="false">
      <c r="A222" s="12"/>
      <c r="B222" s="13"/>
      <c r="C222" s="13"/>
      <c r="D222" s="14"/>
      <c r="E222" s="15"/>
      <c r="F222" s="16"/>
      <c r="G222" s="17"/>
      <c r="H222" s="18" t="n">
        <f aca="false">IF(AND(C222="Yakıt",D222&lt;&gt;""),SUMPRODUCT(MAX(($B$5:$B$1004=B222)*($C$5:$C$1004="Yakıt")*($D$5:$D$1004&lt;D222)*$D$5:$D$1004)),0)</f>
        <v>0</v>
      </c>
      <c r="I222" s="18" t="str">
        <f aca="false">IF(H222&gt;0,D222-H222,"")</f>
        <v/>
      </c>
      <c r="J222" s="19" t="str">
        <f aca="false">IF(OR(I222="",E222=""),"",E222/I222*100)</f>
        <v/>
      </c>
      <c r="K222" s="20" t="str">
        <f aca="false">IF(I222="","",F222/I222)</f>
        <v/>
      </c>
    </row>
    <row r="223" customFormat="false" ht="15" hidden="false" customHeight="false" outlineLevel="0" collapsed="false">
      <c r="A223" s="12"/>
      <c r="B223" s="13"/>
      <c r="C223" s="13"/>
      <c r="D223" s="14"/>
      <c r="E223" s="15"/>
      <c r="F223" s="16"/>
      <c r="G223" s="17"/>
      <c r="H223" s="18" t="n">
        <f aca="false">IF(AND(C223="Yakıt",D223&lt;&gt;""),SUMPRODUCT(MAX(($B$5:$B$1004=B223)*($C$5:$C$1004="Yakıt")*($D$5:$D$1004&lt;D223)*$D$5:$D$1004)),0)</f>
        <v>0</v>
      </c>
      <c r="I223" s="18" t="str">
        <f aca="false">IF(H223&gt;0,D223-H223,"")</f>
        <v/>
      </c>
      <c r="J223" s="19" t="str">
        <f aca="false">IF(OR(I223="",E223=""),"",E223/I223*100)</f>
        <v/>
      </c>
      <c r="K223" s="20" t="str">
        <f aca="false">IF(I223="","",F223/I223)</f>
        <v/>
      </c>
    </row>
    <row r="224" customFormat="false" ht="15" hidden="false" customHeight="false" outlineLevel="0" collapsed="false">
      <c r="A224" s="12"/>
      <c r="B224" s="13"/>
      <c r="C224" s="13"/>
      <c r="D224" s="14"/>
      <c r="E224" s="15"/>
      <c r="F224" s="16"/>
      <c r="G224" s="17"/>
      <c r="H224" s="18" t="n">
        <f aca="false">IF(AND(C224="Yakıt",D224&lt;&gt;""),SUMPRODUCT(MAX(($B$5:$B$1004=B224)*($C$5:$C$1004="Yakıt")*($D$5:$D$1004&lt;D224)*$D$5:$D$1004)),0)</f>
        <v>0</v>
      </c>
      <c r="I224" s="18" t="str">
        <f aca="false">IF(H224&gt;0,D224-H224,"")</f>
        <v/>
      </c>
      <c r="J224" s="19" t="str">
        <f aca="false">IF(OR(I224="",E224=""),"",E224/I224*100)</f>
        <v/>
      </c>
      <c r="K224" s="20" t="str">
        <f aca="false">IF(I224="","",F224/I224)</f>
        <v/>
      </c>
    </row>
    <row r="225" customFormat="false" ht="15" hidden="false" customHeight="false" outlineLevel="0" collapsed="false">
      <c r="A225" s="12"/>
      <c r="B225" s="13"/>
      <c r="C225" s="13"/>
      <c r="D225" s="14"/>
      <c r="E225" s="15"/>
      <c r="F225" s="16"/>
      <c r="G225" s="17"/>
      <c r="H225" s="18" t="n">
        <f aca="false">IF(AND(C225="Yakıt",D225&lt;&gt;""),SUMPRODUCT(MAX(($B$5:$B$1004=B225)*($C$5:$C$1004="Yakıt")*($D$5:$D$1004&lt;D225)*$D$5:$D$1004)),0)</f>
        <v>0</v>
      </c>
      <c r="I225" s="18" t="str">
        <f aca="false">IF(H225&gt;0,D225-H225,"")</f>
        <v/>
      </c>
      <c r="J225" s="19" t="str">
        <f aca="false">IF(OR(I225="",E225=""),"",E225/I225*100)</f>
        <v/>
      </c>
      <c r="K225" s="20" t="str">
        <f aca="false">IF(I225="","",F225/I225)</f>
        <v/>
      </c>
    </row>
    <row r="226" customFormat="false" ht="15" hidden="false" customHeight="false" outlineLevel="0" collapsed="false">
      <c r="A226" s="12"/>
      <c r="B226" s="13"/>
      <c r="C226" s="13"/>
      <c r="D226" s="14"/>
      <c r="E226" s="15"/>
      <c r="F226" s="16"/>
      <c r="G226" s="17"/>
      <c r="H226" s="18" t="n">
        <f aca="false">IF(AND(C226="Yakıt",D226&lt;&gt;""),SUMPRODUCT(MAX(($B$5:$B$1004=B226)*($C$5:$C$1004="Yakıt")*($D$5:$D$1004&lt;D226)*$D$5:$D$1004)),0)</f>
        <v>0</v>
      </c>
      <c r="I226" s="18" t="str">
        <f aca="false">IF(H226&gt;0,D226-H226,"")</f>
        <v/>
      </c>
      <c r="J226" s="19" t="str">
        <f aca="false">IF(OR(I226="",E226=""),"",E226/I226*100)</f>
        <v/>
      </c>
      <c r="K226" s="20" t="str">
        <f aca="false">IF(I226="","",F226/I226)</f>
        <v/>
      </c>
    </row>
    <row r="227" customFormat="false" ht="15" hidden="false" customHeight="false" outlineLevel="0" collapsed="false">
      <c r="A227" s="12"/>
      <c r="B227" s="13"/>
      <c r="C227" s="13"/>
      <c r="D227" s="14"/>
      <c r="E227" s="15"/>
      <c r="F227" s="16"/>
      <c r="G227" s="17"/>
      <c r="H227" s="18" t="n">
        <f aca="false">IF(AND(C227="Yakıt",D227&lt;&gt;""),SUMPRODUCT(MAX(($B$5:$B$1004=B227)*($C$5:$C$1004="Yakıt")*($D$5:$D$1004&lt;D227)*$D$5:$D$1004)),0)</f>
        <v>0</v>
      </c>
      <c r="I227" s="18" t="str">
        <f aca="false">IF(H227&gt;0,D227-H227,"")</f>
        <v/>
      </c>
      <c r="J227" s="19" t="str">
        <f aca="false">IF(OR(I227="",E227=""),"",E227/I227*100)</f>
        <v/>
      </c>
      <c r="K227" s="20" t="str">
        <f aca="false">IF(I227="","",F227/I227)</f>
        <v/>
      </c>
    </row>
    <row r="228" customFormat="false" ht="15" hidden="false" customHeight="false" outlineLevel="0" collapsed="false">
      <c r="A228" s="12"/>
      <c r="B228" s="13"/>
      <c r="C228" s="13"/>
      <c r="D228" s="14"/>
      <c r="E228" s="15"/>
      <c r="F228" s="16"/>
      <c r="G228" s="17"/>
      <c r="H228" s="18" t="n">
        <f aca="false">IF(AND(C228="Yakıt",D228&lt;&gt;""),SUMPRODUCT(MAX(($B$5:$B$1004=B228)*($C$5:$C$1004="Yakıt")*($D$5:$D$1004&lt;D228)*$D$5:$D$1004)),0)</f>
        <v>0</v>
      </c>
      <c r="I228" s="18" t="str">
        <f aca="false">IF(H228&gt;0,D228-H228,"")</f>
        <v/>
      </c>
      <c r="J228" s="19" t="str">
        <f aca="false">IF(OR(I228="",E228=""),"",E228/I228*100)</f>
        <v/>
      </c>
      <c r="K228" s="20" t="str">
        <f aca="false">IF(I228="","",F228/I228)</f>
        <v/>
      </c>
    </row>
    <row r="229" customFormat="false" ht="15" hidden="false" customHeight="false" outlineLevel="0" collapsed="false">
      <c r="A229" s="12"/>
      <c r="B229" s="13"/>
      <c r="C229" s="13"/>
      <c r="D229" s="14"/>
      <c r="E229" s="15"/>
      <c r="F229" s="16"/>
      <c r="G229" s="17"/>
      <c r="H229" s="18" t="n">
        <f aca="false">IF(AND(C229="Yakıt",D229&lt;&gt;""),SUMPRODUCT(MAX(($B$5:$B$1004=B229)*($C$5:$C$1004="Yakıt")*($D$5:$D$1004&lt;D229)*$D$5:$D$1004)),0)</f>
        <v>0</v>
      </c>
      <c r="I229" s="18" t="str">
        <f aca="false">IF(H229&gt;0,D229-H229,"")</f>
        <v/>
      </c>
      <c r="J229" s="19" t="str">
        <f aca="false">IF(OR(I229="",E229=""),"",E229/I229*100)</f>
        <v/>
      </c>
      <c r="K229" s="20" t="str">
        <f aca="false">IF(I229="","",F229/I229)</f>
        <v/>
      </c>
    </row>
    <row r="230" customFormat="false" ht="15" hidden="false" customHeight="false" outlineLevel="0" collapsed="false">
      <c r="A230" s="12"/>
      <c r="B230" s="13"/>
      <c r="C230" s="13"/>
      <c r="D230" s="14"/>
      <c r="E230" s="15"/>
      <c r="F230" s="16"/>
      <c r="G230" s="17"/>
      <c r="H230" s="18" t="n">
        <f aca="false">IF(AND(C230="Yakıt",D230&lt;&gt;""),SUMPRODUCT(MAX(($B$5:$B$1004=B230)*($C$5:$C$1004="Yakıt")*($D$5:$D$1004&lt;D230)*$D$5:$D$1004)),0)</f>
        <v>0</v>
      </c>
      <c r="I230" s="18" t="str">
        <f aca="false">IF(H230&gt;0,D230-H230,"")</f>
        <v/>
      </c>
      <c r="J230" s="19" t="str">
        <f aca="false">IF(OR(I230="",E230=""),"",E230/I230*100)</f>
        <v/>
      </c>
      <c r="K230" s="20" t="str">
        <f aca="false">IF(I230="","",F230/I230)</f>
        <v/>
      </c>
    </row>
    <row r="231" customFormat="false" ht="15" hidden="false" customHeight="false" outlineLevel="0" collapsed="false">
      <c r="A231" s="12"/>
      <c r="B231" s="13"/>
      <c r="C231" s="13"/>
      <c r="D231" s="14"/>
      <c r="E231" s="15"/>
      <c r="F231" s="16"/>
      <c r="G231" s="17"/>
      <c r="H231" s="18" t="n">
        <f aca="false">IF(AND(C231="Yakıt",D231&lt;&gt;""),SUMPRODUCT(MAX(($B$5:$B$1004=B231)*($C$5:$C$1004="Yakıt")*($D$5:$D$1004&lt;D231)*$D$5:$D$1004)),0)</f>
        <v>0</v>
      </c>
      <c r="I231" s="18" t="str">
        <f aca="false">IF(H231&gt;0,D231-H231,"")</f>
        <v/>
      </c>
      <c r="J231" s="19" t="str">
        <f aca="false">IF(OR(I231="",E231=""),"",E231/I231*100)</f>
        <v/>
      </c>
      <c r="K231" s="20" t="str">
        <f aca="false">IF(I231="","",F231/I231)</f>
        <v/>
      </c>
    </row>
    <row r="232" customFormat="false" ht="15" hidden="false" customHeight="false" outlineLevel="0" collapsed="false">
      <c r="A232" s="12"/>
      <c r="B232" s="13"/>
      <c r="C232" s="13"/>
      <c r="D232" s="14"/>
      <c r="E232" s="15"/>
      <c r="F232" s="16"/>
      <c r="G232" s="17"/>
      <c r="H232" s="18" t="n">
        <f aca="false">IF(AND(C232="Yakıt",D232&lt;&gt;""),SUMPRODUCT(MAX(($B$5:$B$1004=B232)*($C$5:$C$1004="Yakıt")*($D$5:$D$1004&lt;D232)*$D$5:$D$1004)),0)</f>
        <v>0</v>
      </c>
      <c r="I232" s="18" t="str">
        <f aca="false">IF(H232&gt;0,D232-H232,"")</f>
        <v/>
      </c>
      <c r="J232" s="19" t="str">
        <f aca="false">IF(OR(I232="",E232=""),"",E232/I232*100)</f>
        <v/>
      </c>
      <c r="K232" s="20" t="str">
        <f aca="false">IF(I232="","",F232/I232)</f>
        <v/>
      </c>
    </row>
    <row r="233" customFormat="false" ht="15" hidden="false" customHeight="false" outlineLevel="0" collapsed="false">
      <c r="A233" s="12"/>
      <c r="B233" s="13"/>
      <c r="C233" s="13"/>
      <c r="D233" s="14"/>
      <c r="E233" s="15"/>
      <c r="F233" s="16"/>
      <c r="G233" s="17"/>
      <c r="H233" s="18" t="n">
        <f aca="false">IF(AND(C233="Yakıt",D233&lt;&gt;""),SUMPRODUCT(MAX(($B$5:$B$1004=B233)*($C$5:$C$1004="Yakıt")*($D$5:$D$1004&lt;D233)*$D$5:$D$1004)),0)</f>
        <v>0</v>
      </c>
      <c r="I233" s="18" t="str">
        <f aca="false">IF(H233&gt;0,D233-H233,"")</f>
        <v/>
      </c>
      <c r="J233" s="19" t="str">
        <f aca="false">IF(OR(I233="",E233=""),"",E233/I233*100)</f>
        <v/>
      </c>
      <c r="K233" s="20" t="str">
        <f aca="false">IF(I233="","",F233/I233)</f>
        <v/>
      </c>
    </row>
    <row r="234" customFormat="false" ht="15" hidden="false" customHeight="false" outlineLevel="0" collapsed="false">
      <c r="A234" s="12"/>
      <c r="B234" s="13"/>
      <c r="C234" s="13"/>
      <c r="D234" s="14"/>
      <c r="E234" s="15"/>
      <c r="F234" s="16"/>
      <c r="G234" s="17"/>
      <c r="H234" s="18" t="n">
        <f aca="false">IF(AND(C234="Yakıt",D234&lt;&gt;""),SUMPRODUCT(MAX(($B$5:$B$1004=B234)*($C$5:$C$1004="Yakıt")*($D$5:$D$1004&lt;D234)*$D$5:$D$1004)),0)</f>
        <v>0</v>
      </c>
      <c r="I234" s="18" t="str">
        <f aca="false">IF(H234&gt;0,D234-H234,"")</f>
        <v/>
      </c>
      <c r="J234" s="19" t="str">
        <f aca="false">IF(OR(I234="",E234=""),"",E234/I234*100)</f>
        <v/>
      </c>
      <c r="K234" s="20" t="str">
        <f aca="false">IF(I234="","",F234/I234)</f>
        <v/>
      </c>
    </row>
    <row r="235" customFormat="false" ht="15" hidden="false" customHeight="false" outlineLevel="0" collapsed="false">
      <c r="A235" s="12"/>
      <c r="B235" s="13"/>
      <c r="C235" s="13"/>
      <c r="D235" s="14"/>
      <c r="E235" s="15"/>
      <c r="F235" s="16"/>
      <c r="G235" s="17"/>
      <c r="H235" s="18" t="n">
        <f aca="false">IF(AND(C235="Yakıt",D235&lt;&gt;""),SUMPRODUCT(MAX(($B$5:$B$1004=B235)*($C$5:$C$1004="Yakıt")*($D$5:$D$1004&lt;D235)*$D$5:$D$1004)),0)</f>
        <v>0</v>
      </c>
      <c r="I235" s="18" t="str">
        <f aca="false">IF(H235&gt;0,D235-H235,"")</f>
        <v/>
      </c>
      <c r="J235" s="19" t="str">
        <f aca="false">IF(OR(I235="",E235=""),"",E235/I235*100)</f>
        <v/>
      </c>
      <c r="K235" s="20" t="str">
        <f aca="false">IF(I235="","",F235/I235)</f>
        <v/>
      </c>
    </row>
    <row r="236" customFormat="false" ht="15" hidden="false" customHeight="false" outlineLevel="0" collapsed="false">
      <c r="A236" s="12"/>
      <c r="B236" s="13"/>
      <c r="C236" s="13"/>
      <c r="D236" s="14"/>
      <c r="E236" s="15"/>
      <c r="F236" s="16"/>
      <c r="G236" s="17"/>
      <c r="H236" s="18" t="n">
        <f aca="false">IF(AND(C236="Yakıt",D236&lt;&gt;""),SUMPRODUCT(MAX(($B$5:$B$1004=B236)*($C$5:$C$1004="Yakıt")*($D$5:$D$1004&lt;D236)*$D$5:$D$1004)),0)</f>
        <v>0</v>
      </c>
      <c r="I236" s="18" t="str">
        <f aca="false">IF(H236&gt;0,D236-H236,"")</f>
        <v/>
      </c>
      <c r="J236" s="19" t="str">
        <f aca="false">IF(OR(I236="",E236=""),"",E236/I236*100)</f>
        <v/>
      </c>
      <c r="K236" s="20" t="str">
        <f aca="false">IF(I236="","",F236/I236)</f>
        <v/>
      </c>
    </row>
    <row r="237" customFormat="false" ht="15" hidden="false" customHeight="false" outlineLevel="0" collapsed="false">
      <c r="A237" s="12"/>
      <c r="B237" s="13"/>
      <c r="C237" s="13"/>
      <c r="D237" s="14"/>
      <c r="E237" s="15"/>
      <c r="F237" s="16"/>
      <c r="G237" s="17"/>
      <c r="H237" s="18" t="n">
        <f aca="false">IF(AND(C237="Yakıt",D237&lt;&gt;""),SUMPRODUCT(MAX(($B$5:$B$1004=B237)*($C$5:$C$1004="Yakıt")*($D$5:$D$1004&lt;D237)*$D$5:$D$1004)),0)</f>
        <v>0</v>
      </c>
      <c r="I237" s="18" t="str">
        <f aca="false">IF(H237&gt;0,D237-H237,"")</f>
        <v/>
      </c>
      <c r="J237" s="19" t="str">
        <f aca="false">IF(OR(I237="",E237=""),"",E237/I237*100)</f>
        <v/>
      </c>
      <c r="K237" s="20" t="str">
        <f aca="false">IF(I237="","",F237/I237)</f>
        <v/>
      </c>
    </row>
    <row r="238" customFormat="false" ht="15" hidden="false" customHeight="false" outlineLevel="0" collapsed="false">
      <c r="A238" s="12"/>
      <c r="B238" s="13"/>
      <c r="C238" s="13"/>
      <c r="D238" s="14"/>
      <c r="E238" s="15"/>
      <c r="F238" s="16"/>
      <c r="G238" s="17"/>
      <c r="H238" s="18" t="n">
        <f aca="false">IF(AND(C238="Yakıt",D238&lt;&gt;""),SUMPRODUCT(MAX(($B$5:$B$1004=B238)*($C$5:$C$1004="Yakıt")*($D$5:$D$1004&lt;D238)*$D$5:$D$1004)),0)</f>
        <v>0</v>
      </c>
      <c r="I238" s="18" t="str">
        <f aca="false">IF(H238&gt;0,D238-H238,"")</f>
        <v/>
      </c>
      <c r="J238" s="19" t="str">
        <f aca="false">IF(OR(I238="",E238=""),"",E238/I238*100)</f>
        <v/>
      </c>
      <c r="K238" s="20" t="str">
        <f aca="false">IF(I238="","",F238/I238)</f>
        <v/>
      </c>
    </row>
    <row r="239" customFormat="false" ht="15" hidden="false" customHeight="false" outlineLevel="0" collapsed="false">
      <c r="A239" s="12"/>
      <c r="B239" s="13"/>
      <c r="C239" s="13"/>
      <c r="D239" s="14"/>
      <c r="E239" s="15"/>
      <c r="F239" s="16"/>
      <c r="G239" s="17"/>
      <c r="H239" s="18" t="n">
        <f aca="false">IF(AND(C239="Yakıt",D239&lt;&gt;""),SUMPRODUCT(MAX(($B$5:$B$1004=B239)*($C$5:$C$1004="Yakıt")*($D$5:$D$1004&lt;D239)*$D$5:$D$1004)),0)</f>
        <v>0</v>
      </c>
      <c r="I239" s="18" t="str">
        <f aca="false">IF(H239&gt;0,D239-H239,"")</f>
        <v/>
      </c>
      <c r="J239" s="19" t="str">
        <f aca="false">IF(OR(I239="",E239=""),"",E239/I239*100)</f>
        <v/>
      </c>
      <c r="K239" s="20" t="str">
        <f aca="false">IF(I239="","",F239/I239)</f>
        <v/>
      </c>
    </row>
    <row r="240" customFormat="false" ht="15" hidden="false" customHeight="false" outlineLevel="0" collapsed="false">
      <c r="A240" s="12"/>
      <c r="B240" s="13"/>
      <c r="C240" s="13"/>
      <c r="D240" s="14"/>
      <c r="E240" s="15"/>
      <c r="F240" s="16"/>
      <c r="G240" s="17"/>
      <c r="H240" s="18" t="n">
        <f aca="false">IF(AND(C240="Yakıt",D240&lt;&gt;""),SUMPRODUCT(MAX(($B$5:$B$1004=B240)*($C$5:$C$1004="Yakıt")*($D$5:$D$1004&lt;D240)*$D$5:$D$1004)),0)</f>
        <v>0</v>
      </c>
      <c r="I240" s="18" t="str">
        <f aca="false">IF(H240&gt;0,D240-H240,"")</f>
        <v/>
      </c>
      <c r="J240" s="19" t="str">
        <f aca="false">IF(OR(I240="",E240=""),"",E240/I240*100)</f>
        <v/>
      </c>
      <c r="K240" s="20" t="str">
        <f aca="false">IF(I240="","",F240/I240)</f>
        <v/>
      </c>
    </row>
    <row r="241" customFormat="false" ht="15" hidden="false" customHeight="false" outlineLevel="0" collapsed="false">
      <c r="A241" s="12"/>
      <c r="B241" s="13"/>
      <c r="C241" s="13"/>
      <c r="D241" s="14"/>
      <c r="E241" s="15"/>
      <c r="F241" s="16"/>
      <c r="G241" s="17"/>
      <c r="H241" s="18" t="n">
        <f aca="false">IF(AND(C241="Yakıt",D241&lt;&gt;""),SUMPRODUCT(MAX(($B$5:$B$1004=B241)*($C$5:$C$1004="Yakıt")*($D$5:$D$1004&lt;D241)*$D$5:$D$1004)),0)</f>
        <v>0</v>
      </c>
      <c r="I241" s="18" t="str">
        <f aca="false">IF(H241&gt;0,D241-H241,"")</f>
        <v/>
      </c>
      <c r="J241" s="19" t="str">
        <f aca="false">IF(OR(I241="",E241=""),"",E241/I241*100)</f>
        <v/>
      </c>
      <c r="K241" s="20" t="str">
        <f aca="false">IF(I241="","",F241/I241)</f>
        <v/>
      </c>
    </row>
    <row r="242" customFormat="false" ht="15" hidden="false" customHeight="false" outlineLevel="0" collapsed="false">
      <c r="A242" s="12"/>
      <c r="B242" s="13"/>
      <c r="C242" s="13"/>
      <c r="D242" s="14"/>
      <c r="E242" s="15"/>
      <c r="F242" s="16"/>
      <c r="G242" s="17"/>
      <c r="H242" s="18" t="n">
        <f aca="false">IF(AND(C242="Yakıt",D242&lt;&gt;""),SUMPRODUCT(MAX(($B$5:$B$1004=B242)*($C$5:$C$1004="Yakıt")*($D$5:$D$1004&lt;D242)*$D$5:$D$1004)),0)</f>
        <v>0</v>
      </c>
      <c r="I242" s="18" t="str">
        <f aca="false">IF(H242&gt;0,D242-H242,"")</f>
        <v/>
      </c>
      <c r="J242" s="19" t="str">
        <f aca="false">IF(OR(I242="",E242=""),"",E242/I242*100)</f>
        <v/>
      </c>
      <c r="K242" s="20" t="str">
        <f aca="false">IF(I242="","",F242/I242)</f>
        <v/>
      </c>
    </row>
    <row r="243" customFormat="false" ht="15" hidden="false" customHeight="false" outlineLevel="0" collapsed="false">
      <c r="A243" s="12"/>
      <c r="B243" s="13"/>
      <c r="C243" s="13"/>
      <c r="D243" s="14"/>
      <c r="E243" s="15"/>
      <c r="F243" s="16"/>
      <c r="G243" s="17"/>
      <c r="H243" s="18" t="n">
        <f aca="false">IF(AND(C243="Yakıt",D243&lt;&gt;""),SUMPRODUCT(MAX(($B$5:$B$1004=B243)*($C$5:$C$1004="Yakıt")*($D$5:$D$1004&lt;D243)*$D$5:$D$1004)),0)</f>
        <v>0</v>
      </c>
      <c r="I243" s="18" t="str">
        <f aca="false">IF(H243&gt;0,D243-H243,"")</f>
        <v/>
      </c>
      <c r="J243" s="19" t="str">
        <f aca="false">IF(OR(I243="",E243=""),"",E243/I243*100)</f>
        <v/>
      </c>
      <c r="K243" s="20" t="str">
        <f aca="false">IF(I243="","",F243/I243)</f>
        <v/>
      </c>
    </row>
    <row r="244" customFormat="false" ht="15" hidden="false" customHeight="false" outlineLevel="0" collapsed="false">
      <c r="A244" s="12"/>
      <c r="B244" s="13"/>
      <c r="C244" s="13"/>
      <c r="D244" s="14"/>
      <c r="E244" s="15"/>
      <c r="F244" s="16"/>
      <c r="G244" s="17"/>
      <c r="H244" s="18" t="n">
        <f aca="false">IF(AND(C244="Yakıt",D244&lt;&gt;""),SUMPRODUCT(MAX(($B$5:$B$1004=B244)*($C$5:$C$1004="Yakıt")*($D$5:$D$1004&lt;D244)*$D$5:$D$1004)),0)</f>
        <v>0</v>
      </c>
      <c r="I244" s="18" t="str">
        <f aca="false">IF(H244&gt;0,D244-H244,"")</f>
        <v/>
      </c>
      <c r="J244" s="19" t="str">
        <f aca="false">IF(OR(I244="",E244=""),"",E244/I244*100)</f>
        <v/>
      </c>
      <c r="K244" s="20" t="str">
        <f aca="false">IF(I244="","",F244/I244)</f>
        <v/>
      </c>
    </row>
    <row r="245" customFormat="false" ht="15" hidden="false" customHeight="false" outlineLevel="0" collapsed="false">
      <c r="A245" s="12"/>
      <c r="B245" s="13"/>
      <c r="C245" s="13"/>
      <c r="D245" s="14"/>
      <c r="E245" s="15"/>
      <c r="F245" s="16"/>
      <c r="G245" s="17"/>
      <c r="H245" s="18" t="n">
        <f aca="false">IF(AND(C245="Yakıt",D245&lt;&gt;""),SUMPRODUCT(MAX(($B$5:$B$1004=B245)*($C$5:$C$1004="Yakıt")*($D$5:$D$1004&lt;D245)*$D$5:$D$1004)),0)</f>
        <v>0</v>
      </c>
      <c r="I245" s="18" t="str">
        <f aca="false">IF(H245&gt;0,D245-H245,"")</f>
        <v/>
      </c>
      <c r="J245" s="19" t="str">
        <f aca="false">IF(OR(I245="",E245=""),"",E245/I245*100)</f>
        <v/>
      </c>
      <c r="K245" s="20" t="str">
        <f aca="false">IF(I245="","",F245/I245)</f>
        <v/>
      </c>
    </row>
    <row r="246" customFormat="false" ht="15" hidden="false" customHeight="false" outlineLevel="0" collapsed="false">
      <c r="A246" s="12"/>
      <c r="B246" s="13"/>
      <c r="C246" s="13"/>
      <c r="D246" s="14"/>
      <c r="E246" s="15"/>
      <c r="F246" s="16"/>
      <c r="G246" s="17"/>
      <c r="H246" s="18" t="n">
        <f aca="false">IF(AND(C246="Yakıt",D246&lt;&gt;""),SUMPRODUCT(MAX(($B$5:$B$1004=B246)*($C$5:$C$1004="Yakıt")*($D$5:$D$1004&lt;D246)*$D$5:$D$1004)),0)</f>
        <v>0</v>
      </c>
      <c r="I246" s="18" t="str">
        <f aca="false">IF(H246&gt;0,D246-H246,"")</f>
        <v/>
      </c>
      <c r="J246" s="19" t="str">
        <f aca="false">IF(OR(I246="",E246=""),"",E246/I246*100)</f>
        <v/>
      </c>
      <c r="K246" s="20" t="str">
        <f aca="false">IF(I246="","",F246/I246)</f>
        <v/>
      </c>
    </row>
    <row r="247" customFormat="false" ht="15" hidden="false" customHeight="false" outlineLevel="0" collapsed="false">
      <c r="A247" s="12"/>
      <c r="B247" s="13"/>
      <c r="C247" s="13"/>
      <c r="D247" s="14"/>
      <c r="E247" s="15"/>
      <c r="F247" s="16"/>
      <c r="G247" s="17"/>
      <c r="H247" s="18" t="n">
        <f aca="false">IF(AND(C247="Yakıt",D247&lt;&gt;""),SUMPRODUCT(MAX(($B$5:$B$1004=B247)*($C$5:$C$1004="Yakıt")*($D$5:$D$1004&lt;D247)*$D$5:$D$1004)),0)</f>
        <v>0</v>
      </c>
      <c r="I247" s="18" t="str">
        <f aca="false">IF(H247&gt;0,D247-H247,"")</f>
        <v/>
      </c>
      <c r="J247" s="19" t="str">
        <f aca="false">IF(OR(I247="",E247=""),"",E247/I247*100)</f>
        <v/>
      </c>
      <c r="K247" s="20" t="str">
        <f aca="false">IF(I247="","",F247/I247)</f>
        <v/>
      </c>
    </row>
    <row r="248" customFormat="false" ht="15" hidden="false" customHeight="false" outlineLevel="0" collapsed="false">
      <c r="A248" s="12"/>
      <c r="B248" s="13"/>
      <c r="C248" s="13"/>
      <c r="D248" s="14"/>
      <c r="E248" s="15"/>
      <c r="F248" s="16"/>
      <c r="G248" s="17"/>
      <c r="H248" s="18" t="n">
        <f aca="false">IF(AND(C248="Yakıt",D248&lt;&gt;""),SUMPRODUCT(MAX(($B$5:$B$1004=B248)*($C$5:$C$1004="Yakıt")*($D$5:$D$1004&lt;D248)*$D$5:$D$1004)),0)</f>
        <v>0</v>
      </c>
      <c r="I248" s="18" t="str">
        <f aca="false">IF(H248&gt;0,D248-H248,"")</f>
        <v/>
      </c>
      <c r="J248" s="19" t="str">
        <f aca="false">IF(OR(I248="",E248=""),"",E248/I248*100)</f>
        <v/>
      </c>
      <c r="K248" s="20" t="str">
        <f aca="false">IF(I248="","",F248/I248)</f>
        <v/>
      </c>
    </row>
    <row r="249" customFormat="false" ht="15" hidden="false" customHeight="false" outlineLevel="0" collapsed="false">
      <c r="A249" s="12"/>
      <c r="B249" s="13"/>
      <c r="C249" s="13"/>
      <c r="D249" s="14"/>
      <c r="E249" s="15"/>
      <c r="F249" s="16"/>
      <c r="G249" s="17"/>
      <c r="H249" s="18" t="n">
        <f aca="false">IF(AND(C249="Yakıt",D249&lt;&gt;""),SUMPRODUCT(MAX(($B$5:$B$1004=B249)*($C$5:$C$1004="Yakıt")*($D$5:$D$1004&lt;D249)*$D$5:$D$1004)),0)</f>
        <v>0</v>
      </c>
      <c r="I249" s="18" t="str">
        <f aca="false">IF(H249&gt;0,D249-H249,"")</f>
        <v/>
      </c>
      <c r="J249" s="19" t="str">
        <f aca="false">IF(OR(I249="",E249=""),"",E249/I249*100)</f>
        <v/>
      </c>
      <c r="K249" s="20" t="str">
        <f aca="false">IF(I249="","",F249/I249)</f>
        <v/>
      </c>
    </row>
    <row r="250" customFormat="false" ht="15" hidden="false" customHeight="false" outlineLevel="0" collapsed="false">
      <c r="A250" s="12"/>
      <c r="B250" s="13"/>
      <c r="C250" s="13"/>
      <c r="D250" s="14"/>
      <c r="E250" s="15"/>
      <c r="F250" s="16"/>
      <c r="G250" s="17"/>
      <c r="H250" s="18" t="n">
        <f aca="false">IF(AND(C250="Yakıt",D250&lt;&gt;""),SUMPRODUCT(MAX(($B$5:$B$1004=B250)*($C$5:$C$1004="Yakıt")*($D$5:$D$1004&lt;D250)*$D$5:$D$1004)),0)</f>
        <v>0</v>
      </c>
      <c r="I250" s="18" t="str">
        <f aca="false">IF(H250&gt;0,D250-H250,"")</f>
        <v/>
      </c>
      <c r="J250" s="19" t="str">
        <f aca="false">IF(OR(I250="",E250=""),"",E250/I250*100)</f>
        <v/>
      </c>
      <c r="K250" s="20" t="str">
        <f aca="false">IF(I250="","",F250/I250)</f>
        <v/>
      </c>
    </row>
    <row r="251" customFormat="false" ht="15" hidden="false" customHeight="false" outlineLevel="0" collapsed="false">
      <c r="A251" s="12"/>
      <c r="B251" s="13"/>
      <c r="C251" s="13"/>
      <c r="D251" s="14"/>
      <c r="E251" s="15"/>
      <c r="F251" s="16"/>
      <c r="G251" s="17"/>
      <c r="H251" s="18" t="n">
        <f aca="false">IF(AND(C251="Yakıt",D251&lt;&gt;""),SUMPRODUCT(MAX(($B$5:$B$1004=B251)*($C$5:$C$1004="Yakıt")*($D$5:$D$1004&lt;D251)*$D$5:$D$1004)),0)</f>
        <v>0</v>
      </c>
      <c r="I251" s="18" t="str">
        <f aca="false">IF(H251&gt;0,D251-H251,"")</f>
        <v/>
      </c>
      <c r="J251" s="19" t="str">
        <f aca="false">IF(OR(I251="",E251=""),"",E251/I251*100)</f>
        <v/>
      </c>
      <c r="K251" s="20" t="str">
        <f aca="false">IF(I251="","",F251/I251)</f>
        <v/>
      </c>
    </row>
    <row r="252" customFormat="false" ht="15" hidden="false" customHeight="false" outlineLevel="0" collapsed="false">
      <c r="A252" s="12"/>
      <c r="B252" s="13"/>
      <c r="C252" s="13"/>
      <c r="D252" s="14"/>
      <c r="E252" s="15"/>
      <c r="F252" s="16"/>
      <c r="G252" s="17"/>
      <c r="H252" s="18" t="n">
        <f aca="false">IF(AND(C252="Yakıt",D252&lt;&gt;""),SUMPRODUCT(MAX(($B$5:$B$1004=B252)*($C$5:$C$1004="Yakıt")*($D$5:$D$1004&lt;D252)*$D$5:$D$1004)),0)</f>
        <v>0</v>
      </c>
      <c r="I252" s="18" t="str">
        <f aca="false">IF(H252&gt;0,D252-H252,"")</f>
        <v/>
      </c>
      <c r="J252" s="19" t="str">
        <f aca="false">IF(OR(I252="",E252=""),"",E252/I252*100)</f>
        <v/>
      </c>
      <c r="K252" s="20" t="str">
        <f aca="false">IF(I252="","",F252/I252)</f>
        <v/>
      </c>
    </row>
    <row r="253" customFormat="false" ht="15" hidden="false" customHeight="false" outlineLevel="0" collapsed="false">
      <c r="A253" s="12"/>
      <c r="B253" s="13"/>
      <c r="C253" s="13"/>
      <c r="D253" s="14"/>
      <c r="E253" s="15"/>
      <c r="F253" s="16"/>
      <c r="G253" s="17"/>
      <c r="H253" s="18" t="n">
        <f aca="false">IF(AND(C253="Yakıt",D253&lt;&gt;""),SUMPRODUCT(MAX(($B$5:$B$1004=B253)*($C$5:$C$1004="Yakıt")*($D$5:$D$1004&lt;D253)*$D$5:$D$1004)),0)</f>
        <v>0</v>
      </c>
      <c r="I253" s="18" t="str">
        <f aca="false">IF(H253&gt;0,D253-H253,"")</f>
        <v/>
      </c>
      <c r="J253" s="19" t="str">
        <f aca="false">IF(OR(I253="",E253=""),"",E253/I253*100)</f>
        <v/>
      </c>
      <c r="K253" s="20" t="str">
        <f aca="false">IF(I253="","",F253/I253)</f>
        <v/>
      </c>
    </row>
    <row r="254" customFormat="false" ht="15" hidden="false" customHeight="false" outlineLevel="0" collapsed="false">
      <c r="A254" s="12"/>
      <c r="B254" s="13"/>
      <c r="C254" s="13"/>
      <c r="D254" s="14"/>
      <c r="E254" s="15"/>
      <c r="F254" s="16"/>
      <c r="G254" s="17"/>
      <c r="H254" s="18" t="n">
        <f aca="false">IF(AND(C254="Yakıt",D254&lt;&gt;""),SUMPRODUCT(MAX(($B$5:$B$1004=B254)*($C$5:$C$1004="Yakıt")*($D$5:$D$1004&lt;D254)*$D$5:$D$1004)),0)</f>
        <v>0</v>
      </c>
      <c r="I254" s="18" t="str">
        <f aca="false">IF(H254&gt;0,D254-H254,"")</f>
        <v/>
      </c>
      <c r="J254" s="19" t="str">
        <f aca="false">IF(OR(I254="",E254=""),"",E254/I254*100)</f>
        <v/>
      </c>
      <c r="K254" s="20" t="str">
        <f aca="false">IF(I254="","",F254/I254)</f>
        <v/>
      </c>
    </row>
    <row r="255" customFormat="false" ht="15" hidden="false" customHeight="false" outlineLevel="0" collapsed="false">
      <c r="A255" s="12"/>
      <c r="B255" s="13"/>
      <c r="C255" s="13"/>
      <c r="D255" s="14"/>
      <c r="E255" s="15"/>
      <c r="F255" s="16"/>
      <c r="G255" s="17"/>
      <c r="H255" s="18" t="n">
        <f aca="false">IF(AND(C255="Yakıt",D255&lt;&gt;""),SUMPRODUCT(MAX(($B$5:$B$1004=B255)*($C$5:$C$1004="Yakıt")*($D$5:$D$1004&lt;D255)*$D$5:$D$1004)),0)</f>
        <v>0</v>
      </c>
      <c r="I255" s="18" t="str">
        <f aca="false">IF(H255&gt;0,D255-H255,"")</f>
        <v/>
      </c>
      <c r="J255" s="19" t="str">
        <f aca="false">IF(OR(I255="",E255=""),"",E255/I255*100)</f>
        <v/>
      </c>
      <c r="K255" s="20" t="str">
        <f aca="false">IF(I255="","",F255/I255)</f>
        <v/>
      </c>
    </row>
    <row r="256" customFormat="false" ht="15" hidden="false" customHeight="false" outlineLevel="0" collapsed="false">
      <c r="A256" s="12"/>
      <c r="B256" s="13"/>
      <c r="C256" s="13"/>
      <c r="D256" s="14"/>
      <c r="E256" s="15"/>
      <c r="F256" s="16"/>
      <c r="G256" s="17"/>
      <c r="H256" s="18" t="n">
        <f aca="false">IF(AND(C256="Yakıt",D256&lt;&gt;""),SUMPRODUCT(MAX(($B$5:$B$1004=B256)*($C$5:$C$1004="Yakıt")*($D$5:$D$1004&lt;D256)*$D$5:$D$1004)),0)</f>
        <v>0</v>
      </c>
      <c r="I256" s="18" t="str">
        <f aca="false">IF(H256&gt;0,D256-H256,"")</f>
        <v/>
      </c>
      <c r="J256" s="19" t="str">
        <f aca="false">IF(OR(I256="",E256=""),"",E256/I256*100)</f>
        <v/>
      </c>
      <c r="K256" s="20" t="str">
        <f aca="false">IF(I256="","",F256/I256)</f>
        <v/>
      </c>
    </row>
    <row r="257" customFormat="false" ht="15" hidden="false" customHeight="false" outlineLevel="0" collapsed="false">
      <c r="A257" s="12"/>
      <c r="B257" s="13"/>
      <c r="C257" s="13"/>
      <c r="D257" s="14"/>
      <c r="E257" s="15"/>
      <c r="F257" s="16"/>
      <c r="G257" s="17"/>
      <c r="H257" s="18" t="n">
        <f aca="false">IF(AND(C257="Yakıt",D257&lt;&gt;""),SUMPRODUCT(MAX(($B$5:$B$1004=B257)*($C$5:$C$1004="Yakıt")*($D$5:$D$1004&lt;D257)*$D$5:$D$1004)),0)</f>
        <v>0</v>
      </c>
      <c r="I257" s="18" t="str">
        <f aca="false">IF(H257&gt;0,D257-H257,"")</f>
        <v/>
      </c>
      <c r="J257" s="19" t="str">
        <f aca="false">IF(OR(I257="",E257=""),"",E257/I257*100)</f>
        <v/>
      </c>
      <c r="K257" s="20" t="str">
        <f aca="false">IF(I257="","",F257/I257)</f>
        <v/>
      </c>
    </row>
    <row r="258" customFormat="false" ht="15" hidden="false" customHeight="false" outlineLevel="0" collapsed="false">
      <c r="A258" s="12"/>
      <c r="B258" s="13"/>
      <c r="C258" s="13"/>
      <c r="D258" s="14"/>
      <c r="E258" s="15"/>
      <c r="F258" s="16"/>
      <c r="G258" s="17"/>
      <c r="H258" s="18" t="n">
        <f aca="false">IF(AND(C258="Yakıt",D258&lt;&gt;""),SUMPRODUCT(MAX(($B$5:$B$1004=B258)*($C$5:$C$1004="Yakıt")*($D$5:$D$1004&lt;D258)*$D$5:$D$1004)),0)</f>
        <v>0</v>
      </c>
      <c r="I258" s="18" t="str">
        <f aca="false">IF(H258&gt;0,D258-H258,"")</f>
        <v/>
      </c>
      <c r="J258" s="19" t="str">
        <f aca="false">IF(OR(I258="",E258=""),"",E258/I258*100)</f>
        <v/>
      </c>
      <c r="K258" s="20" t="str">
        <f aca="false">IF(I258="","",F258/I258)</f>
        <v/>
      </c>
    </row>
    <row r="259" customFormat="false" ht="15" hidden="false" customHeight="false" outlineLevel="0" collapsed="false">
      <c r="A259" s="12"/>
      <c r="B259" s="13"/>
      <c r="C259" s="13"/>
      <c r="D259" s="14"/>
      <c r="E259" s="15"/>
      <c r="F259" s="16"/>
      <c r="G259" s="17"/>
      <c r="H259" s="18" t="n">
        <f aca="false">IF(AND(C259="Yakıt",D259&lt;&gt;""),SUMPRODUCT(MAX(($B$5:$B$1004=B259)*($C$5:$C$1004="Yakıt")*($D$5:$D$1004&lt;D259)*$D$5:$D$1004)),0)</f>
        <v>0</v>
      </c>
      <c r="I259" s="18" t="str">
        <f aca="false">IF(H259&gt;0,D259-H259,"")</f>
        <v/>
      </c>
      <c r="J259" s="19" t="str">
        <f aca="false">IF(OR(I259="",E259=""),"",E259/I259*100)</f>
        <v/>
      </c>
      <c r="K259" s="20" t="str">
        <f aca="false">IF(I259="","",F259/I259)</f>
        <v/>
      </c>
    </row>
    <row r="260" customFormat="false" ht="15" hidden="false" customHeight="false" outlineLevel="0" collapsed="false">
      <c r="A260" s="12"/>
      <c r="B260" s="13"/>
      <c r="C260" s="13"/>
      <c r="D260" s="14"/>
      <c r="E260" s="15"/>
      <c r="F260" s="16"/>
      <c r="G260" s="17"/>
      <c r="H260" s="18" t="n">
        <f aca="false">IF(AND(C260="Yakıt",D260&lt;&gt;""),SUMPRODUCT(MAX(($B$5:$B$1004=B260)*($C$5:$C$1004="Yakıt")*($D$5:$D$1004&lt;D260)*$D$5:$D$1004)),0)</f>
        <v>0</v>
      </c>
      <c r="I260" s="18" t="str">
        <f aca="false">IF(H260&gt;0,D260-H260,"")</f>
        <v/>
      </c>
      <c r="J260" s="19" t="str">
        <f aca="false">IF(OR(I260="",E260=""),"",E260/I260*100)</f>
        <v/>
      </c>
      <c r="K260" s="20" t="str">
        <f aca="false">IF(I260="","",F260/I260)</f>
        <v/>
      </c>
    </row>
    <row r="261" customFormat="false" ht="15" hidden="false" customHeight="false" outlineLevel="0" collapsed="false">
      <c r="A261" s="12"/>
      <c r="B261" s="13"/>
      <c r="C261" s="13"/>
      <c r="D261" s="14"/>
      <c r="E261" s="15"/>
      <c r="F261" s="16"/>
      <c r="G261" s="17"/>
      <c r="H261" s="18" t="n">
        <f aca="false">IF(AND(C261="Yakıt",D261&lt;&gt;""),SUMPRODUCT(MAX(($B$5:$B$1004=B261)*($C$5:$C$1004="Yakıt")*($D$5:$D$1004&lt;D261)*$D$5:$D$1004)),0)</f>
        <v>0</v>
      </c>
      <c r="I261" s="18" t="str">
        <f aca="false">IF(H261&gt;0,D261-H261,"")</f>
        <v/>
      </c>
      <c r="J261" s="19" t="str">
        <f aca="false">IF(OR(I261="",E261=""),"",E261/I261*100)</f>
        <v/>
      </c>
      <c r="K261" s="20" t="str">
        <f aca="false">IF(I261="","",F261/I261)</f>
        <v/>
      </c>
    </row>
    <row r="262" customFormat="false" ht="15" hidden="false" customHeight="false" outlineLevel="0" collapsed="false">
      <c r="A262" s="12"/>
      <c r="B262" s="13"/>
      <c r="C262" s="13"/>
      <c r="D262" s="14"/>
      <c r="E262" s="15"/>
      <c r="F262" s="16"/>
      <c r="G262" s="17"/>
      <c r="H262" s="18" t="n">
        <f aca="false">IF(AND(C262="Yakıt",D262&lt;&gt;""),SUMPRODUCT(MAX(($B$5:$B$1004=B262)*($C$5:$C$1004="Yakıt")*($D$5:$D$1004&lt;D262)*$D$5:$D$1004)),0)</f>
        <v>0</v>
      </c>
      <c r="I262" s="18" t="str">
        <f aca="false">IF(H262&gt;0,D262-H262,"")</f>
        <v/>
      </c>
      <c r="J262" s="19" t="str">
        <f aca="false">IF(OR(I262="",E262=""),"",E262/I262*100)</f>
        <v/>
      </c>
      <c r="K262" s="20" t="str">
        <f aca="false">IF(I262="","",F262/I262)</f>
        <v/>
      </c>
    </row>
    <row r="263" customFormat="false" ht="15" hidden="false" customHeight="false" outlineLevel="0" collapsed="false">
      <c r="A263" s="12"/>
      <c r="B263" s="13"/>
      <c r="C263" s="13"/>
      <c r="D263" s="14"/>
      <c r="E263" s="15"/>
      <c r="F263" s="16"/>
      <c r="G263" s="17"/>
      <c r="H263" s="18" t="n">
        <f aca="false">IF(AND(C263="Yakıt",D263&lt;&gt;""),SUMPRODUCT(MAX(($B$5:$B$1004=B263)*($C$5:$C$1004="Yakıt")*($D$5:$D$1004&lt;D263)*$D$5:$D$1004)),0)</f>
        <v>0</v>
      </c>
      <c r="I263" s="18" t="str">
        <f aca="false">IF(H263&gt;0,D263-H263,"")</f>
        <v/>
      </c>
      <c r="J263" s="19" t="str">
        <f aca="false">IF(OR(I263="",E263=""),"",E263/I263*100)</f>
        <v/>
      </c>
      <c r="K263" s="20" t="str">
        <f aca="false">IF(I263="","",F263/I263)</f>
        <v/>
      </c>
    </row>
    <row r="264" customFormat="false" ht="15" hidden="false" customHeight="false" outlineLevel="0" collapsed="false">
      <c r="A264" s="12"/>
      <c r="B264" s="13"/>
      <c r="C264" s="13"/>
      <c r="D264" s="14"/>
      <c r="E264" s="15"/>
      <c r="F264" s="16"/>
      <c r="G264" s="17"/>
      <c r="H264" s="18" t="n">
        <f aca="false">IF(AND(C264="Yakıt",D264&lt;&gt;""),SUMPRODUCT(MAX(($B$5:$B$1004=B264)*($C$5:$C$1004="Yakıt")*($D$5:$D$1004&lt;D264)*$D$5:$D$1004)),0)</f>
        <v>0</v>
      </c>
      <c r="I264" s="18" t="str">
        <f aca="false">IF(H264&gt;0,D264-H264,"")</f>
        <v/>
      </c>
      <c r="J264" s="19" t="str">
        <f aca="false">IF(OR(I264="",E264=""),"",E264/I264*100)</f>
        <v/>
      </c>
      <c r="K264" s="20" t="str">
        <f aca="false">IF(I264="","",F264/I264)</f>
        <v/>
      </c>
    </row>
    <row r="265" customFormat="false" ht="15" hidden="false" customHeight="false" outlineLevel="0" collapsed="false">
      <c r="A265" s="12"/>
      <c r="B265" s="13"/>
      <c r="C265" s="13"/>
      <c r="D265" s="14"/>
      <c r="E265" s="15"/>
      <c r="F265" s="16"/>
      <c r="G265" s="17"/>
      <c r="H265" s="18" t="n">
        <f aca="false">IF(AND(C265="Yakıt",D265&lt;&gt;""),SUMPRODUCT(MAX(($B$5:$B$1004=B265)*($C$5:$C$1004="Yakıt")*($D$5:$D$1004&lt;D265)*$D$5:$D$1004)),0)</f>
        <v>0</v>
      </c>
      <c r="I265" s="18" t="str">
        <f aca="false">IF(H265&gt;0,D265-H265,"")</f>
        <v/>
      </c>
      <c r="J265" s="19" t="str">
        <f aca="false">IF(OR(I265="",E265=""),"",E265/I265*100)</f>
        <v/>
      </c>
      <c r="K265" s="20" t="str">
        <f aca="false">IF(I265="","",F265/I265)</f>
        <v/>
      </c>
    </row>
    <row r="266" customFormat="false" ht="15" hidden="false" customHeight="false" outlineLevel="0" collapsed="false">
      <c r="A266" s="12"/>
      <c r="B266" s="13"/>
      <c r="C266" s="13"/>
      <c r="D266" s="14"/>
      <c r="E266" s="15"/>
      <c r="F266" s="16"/>
      <c r="G266" s="17"/>
      <c r="H266" s="18" t="n">
        <f aca="false">IF(AND(C266="Yakıt",D266&lt;&gt;""),SUMPRODUCT(MAX(($B$5:$B$1004=B266)*($C$5:$C$1004="Yakıt")*($D$5:$D$1004&lt;D266)*$D$5:$D$1004)),0)</f>
        <v>0</v>
      </c>
      <c r="I266" s="18" t="str">
        <f aca="false">IF(H266&gt;0,D266-H266,"")</f>
        <v/>
      </c>
      <c r="J266" s="19" t="str">
        <f aca="false">IF(OR(I266="",E266=""),"",E266/I266*100)</f>
        <v/>
      </c>
      <c r="K266" s="20" t="str">
        <f aca="false">IF(I266="","",F266/I266)</f>
        <v/>
      </c>
    </row>
    <row r="267" customFormat="false" ht="15" hidden="false" customHeight="false" outlineLevel="0" collapsed="false">
      <c r="A267" s="12"/>
      <c r="B267" s="13"/>
      <c r="C267" s="13"/>
      <c r="D267" s="14"/>
      <c r="E267" s="15"/>
      <c r="F267" s="16"/>
      <c r="G267" s="17"/>
      <c r="H267" s="18" t="n">
        <f aca="false">IF(AND(C267="Yakıt",D267&lt;&gt;""),SUMPRODUCT(MAX(($B$5:$B$1004=B267)*($C$5:$C$1004="Yakıt")*($D$5:$D$1004&lt;D267)*$D$5:$D$1004)),0)</f>
        <v>0</v>
      </c>
      <c r="I267" s="18" t="str">
        <f aca="false">IF(H267&gt;0,D267-H267,"")</f>
        <v/>
      </c>
      <c r="J267" s="19" t="str">
        <f aca="false">IF(OR(I267="",E267=""),"",E267/I267*100)</f>
        <v/>
      </c>
      <c r="K267" s="20" t="str">
        <f aca="false">IF(I267="","",F267/I267)</f>
        <v/>
      </c>
    </row>
    <row r="268" customFormat="false" ht="15" hidden="false" customHeight="false" outlineLevel="0" collapsed="false">
      <c r="A268" s="12"/>
      <c r="B268" s="13"/>
      <c r="C268" s="13"/>
      <c r="D268" s="14"/>
      <c r="E268" s="15"/>
      <c r="F268" s="16"/>
      <c r="G268" s="17"/>
      <c r="H268" s="18" t="n">
        <f aca="false">IF(AND(C268="Yakıt",D268&lt;&gt;""),SUMPRODUCT(MAX(($B$5:$B$1004=B268)*($C$5:$C$1004="Yakıt")*($D$5:$D$1004&lt;D268)*$D$5:$D$1004)),0)</f>
        <v>0</v>
      </c>
      <c r="I268" s="18" t="str">
        <f aca="false">IF(H268&gt;0,D268-H268,"")</f>
        <v/>
      </c>
      <c r="J268" s="19" t="str">
        <f aca="false">IF(OR(I268="",E268=""),"",E268/I268*100)</f>
        <v/>
      </c>
      <c r="K268" s="20" t="str">
        <f aca="false">IF(I268="","",F268/I268)</f>
        <v/>
      </c>
    </row>
    <row r="269" customFormat="false" ht="15" hidden="false" customHeight="false" outlineLevel="0" collapsed="false">
      <c r="A269" s="12"/>
      <c r="B269" s="13"/>
      <c r="C269" s="13"/>
      <c r="D269" s="14"/>
      <c r="E269" s="15"/>
      <c r="F269" s="16"/>
      <c r="G269" s="17"/>
      <c r="H269" s="18" t="n">
        <f aca="false">IF(AND(C269="Yakıt",D269&lt;&gt;""),SUMPRODUCT(MAX(($B$5:$B$1004=B269)*($C$5:$C$1004="Yakıt")*($D$5:$D$1004&lt;D269)*$D$5:$D$1004)),0)</f>
        <v>0</v>
      </c>
      <c r="I269" s="18" t="str">
        <f aca="false">IF(H269&gt;0,D269-H269,"")</f>
        <v/>
      </c>
      <c r="J269" s="19" t="str">
        <f aca="false">IF(OR(I269="",E269=""),"",E269/I269*100)</f>
        <v/>
      </c>
      <c r="K269" s="20" t="str">
        <f aca="false">IF(I269="","",F269/I269)</f>
        <v/>
      </c>
    </row>
    <row r="270" customFormat="false" ht="15" hidden="false" customHeight="false" outlineLevel="0" collapsed="false">
      <c r="A270" s="12"/>
      <c r="B270" s="13"/>
      <c r="C270" s="13"/>
      <c r="D270" s="14"/>
      <c r="E270" s="15"/>
      <c r="F270" s="16"/>
      <c r="G270" s="17"/>
      <c r="H270" s="18" t="n">
        <f aca="false">IF(AND(C270="Yakıt",D270&lt;&gt;""),SUMPRODUCT(MAX(($B$5:$B$1004=B270)*($C$5:$C$1004="Yakıt")*($D$5:$D$1004&lt;D270)*$D$5:$D$1004)),0)</f>
        <v>0</v>
      </c>
      <c r="I270" s="18" t="str">
        <f aca="false">IF(H270&gt;0,D270-H270,"")</f>
        <v/>
      </c>
      <c r="J270" s="19" t="str">
        <f aca="false">IF(OR(I270="",E270=""),"",E270/I270*100)</f>
        <v/>
      </c>
      <c r="K270" s="20" t="str">
        <f aca="false">IF(I270="","",F270/I270)</f>
        <v/>
      </c>
    </row>
    <row r="271" customFormat="false" ht="15" hidden="false" customHeight="false" outlineLevel="0" collapsed="false">
      <c r="A271" s="12"/>
      <c r="B271" s="13"/>
      <c r="C271" s="13"/>
      <c r="D271" s="14"/>
      <c r="E271" s="15"/>
      <c r="F271" s="16"/>
      <c r="G271" s="17"/>
      <c r="H271" s="18" t="n">
        <f aca="false">IF(AND(C271="Yakıt",D271&lt;&gt;""),SUMPRODUCT(MAX(($B$5:$B$1004=B271)*($C$5:$C$1004="Yakıt")*($D$5:$D$1004&lt;D271)*$D$5:$D$1004)),0)</f>
        <v>0</v>
      </c>
      <c r="I271" s="18" t="str">
        <f aca="false">IF(H271&gt;0,D271-H271,"")</f>
        <v/>
      </c>
      <c r="J271" s="19" t="str">
        <f aca="false">IF(OR(I271="",E271=""),"",E271/I271*100)</f>
        <v/>
      </c>
      <c r="K271" s="20" t="str">
        <f aca="false">IF(I271="","",F271/I271)</f>
        <v/>
      </c>
    </row>
    <row r="272" customFormat="false" ht="15" hidden="false" customHeight="false" outlineLevel="0" collapsed="false">
      <c r="A272" s="12"/>
      <c r="B272" s="13"/>
      <c r="C272" s="13"/>
      <c r="D272" s="14"/>
      <c r="E272" s="15"/>
      <c r="F272" s="16"/>
      <c r="G272" s="17"/>
      <c r="H272" s="18" t="n">
        <f aca="false">IF(AND(C272="Yakıt",D272&lt;&gt;""),SUMPRODUCT(MAX(($B$5:$B$1004=B272)*($C$5:$C$1004="Yakıt")*($D$5:$D$1004&lt;D272)*$D$5:$D$1004)),0)</f>
        <v>0</v>
      </c>
      <c r="I272" s="18" t="str">
        <f aca="false">IF(H272&gt;0,D272-H272,"")</f>
        <v/>
      </c>
      <c r="J272" s="19" t="str">
        <f aca="false">IF(OR(I272="",E272=""),"",E272/I272*100)</f>
        <v/>
      </c>
      <c r="K272" s="20" t="str">
        <f aca="false">IF(I272="","",F272/I272)</f>
        <v/>
      </c>
    </row>
    <row r="273" customFormat="false" ht="15" hidden="false" customHeight="false" outlineLevel="0" collapsed="false">
      <c r="A273" s="12"/>
      <c r="B273" s="13"/>
      <c r="C273" s="13"/>
      <c r="D273" s="14"/>
      <c r="E273" s="15"/>
      <c r="F273" s="16"/>
      <c r="G273" s="17"/>
      <c r="H273" s="18" t="n">
        <f aca="false">IF(AND(C273="Yakıt",D273&lt;&gt;""),SUMPRODUCT(MAX(($B$5:$B$1004=B273)*($C$5:$C$1004="Yakıt")*($D$5:$D$1004&lt;D273)*$D$5:$D$1004)),0)</f>
        <v>0</v>
      </c>
      <c r="I273" s="18" t="str">
        <f aca="false">IF(H273&gt;0,D273-H273,"")</f>
        <v/>
      </c>
      <c r="J273" s="19" t="str">
        <f aca="false">IF(OR(I273="",E273=""),"",E273/I273*100)</f>
        <v/>
      </c>
      <c r="K273" s="20" t="str">
        <f aca="false">IF(I273="","",F273/I273)</f>
        <v/>
      </c>
    </row>
    <row r="274" customFormat="false" ht="15" hidden="false" customHeight="false" outlineLevel="0" collapsed="false">
      <c r="A274" s="12"/>
      <c r="B274" s="13"/>
      <c r="C274" s="13"/>
      <c r="D274" s="14"/>
      <c r="E274" s="15"/>
      <c r="F274" s="16"/>
      <c r="G274" s="17"/>
      <c r="H274" s="18" t="n">
        <f aca="false">IF(AND(C274="Yakıt",D274&lt;&gt;""),SUMPRODUCT(MAX(($B$5:$B$1004=B274)*($C$5:$C$1004="Yakıt")*($D$5:$D$1004&lt;D274)*$D$5:$D$1004)),0)</f>
        <v>0</v>
      </c>
      <c r="I274" s="18" t="str">
        <f aca="false">IF(H274&gt;0,D274-H274,"")</f>
        <v/>
      </c>
      <c r="J274" s="19" t="str">
        <f aca="false">IF(OR(I274="",E274=""),"",E274/I274*100)</f>
        <v/>
      </c>
      <c r="K274" s="20" t="str">
        <f aca="false">IF(I274="","",F274/I274)</f>
        <v/>
      </c>
    </row>
    <row r="275" customFormat="false" ht="15" hidden="false" customHeight="false" outlineLevel="0" collapsed="false">
      <c r="A275" s="12"/>
      <c r="B275" s="13"/>
      <c r="C275" s="13"/>
      <c r="D275" s="14"/>
      <c r="E275" s="15"/>
      <c r="F275" s="16"/>
      <c r="G275" s="17"/>
      <c r="H275" s="18" t="n">
        <f aca="false">IF(AND(C275="Yakıt",D275&lt;&gt;""),SUMPRODUCT(MAX(($B$5:$B$1004=B275)*($C$5:$C$1004="Yakıt")*($D$5:$D$1004&lt;D275)*$D$5:$D$1004)),0)</f>
        <v>0</v>
      </c>
      <c r="I275" s="18" t="str">
        <f aca="false">IF(H275&gt;0,D275-H275,"")</f>
        <v/>
      </c>
      <c r="J275" s="19" t="str">
        <f aca="false">IF(OR(I275="",E275=""),"",E275/I275*100)</f>
        <v/>
      </c>
      <c r="K275" s="20" t="str">
        <f aca="false">IF(I275="","",F275/I275)</f>
        <v/>
      </c>
    </row>
    <row r="276" customFormat="false" ht="15" hidden="false" customHeight="false" outlineLevel="0" collapsed="false">
      <c r="A276" s="12"/>
      <c r="B276" s="13"/>
      <c r="C276" s="13"/>
      <c r="D276" s="14"/>
      <c r="E276" s="15"/>
      <c r="F276" s="16"/>
      <c r="G276" s="17"/>
      <c r="H276" s="18" t="n">
        <f aca="false">IF(AND(C276="Yakıt",D276&lt;&gt;""),SUMPRODUCT(MAX(($B$5:$B$1004=B276)*($C$5:$C$1004="Yakıt")*($D$5:$D$1004&lt;D276)*$D$5:$D$1004)),0)</f>
        <v>0</v>
      </c>
      <c r="I276" s="18" t="str">
        <f aca="false">IF(H276&gt;0,D276-H276,"")</f>
        <v/>
      </c>
      <c r="J276" s="19" t="str">
        <f aca="false">IF(OR(I276="",E276=""),"",E276/I276*100)</f>
        <v/>
      </c>
      <c r="K276" s="20" t="str">
        <f aca="false">IF(I276="","",F276/I276)</f>
        <v/>
      </c>
    </row>
    <row r="277" customFormat="false" ht="15" hidden="false" customHeight="false" outlineLevel="0" collapsed="false">
      <c r="A277" s="12"/>
      <c r="B277" s="13"/>
      <c r="C277" s="13"/>
      <c r="D277" s="14"/>
      <c r="E277" s="15"/>
      <c r="F277" s="16"/>
      <c r="G277" s="17"/>
      <c r="H277" s="18" t="n">
        <f aca="false">IF(AND(C277="Yakıt",D277&lt;&gt;""),SUMPRODUCT(MAX(($B$5:$B$1004=B277)*($C$5:$C$1004="Yakıt")*($D$5:$D$1004&lt;D277)*$D$5:$D$1004)),0)</f>
        <v>0</v>
      </c>
      <c r="I277" s="18" t="str">
        <f aca="false">IF(H277&gt;0,D277-H277,"")</f>
        <v/>
      </c>
      <c r="J277" s="19" t="str">
        <f aca="false">IF(OR(I277="",E277=""),"",E277/I277*100)</f>
        <v/>
      </c>
      <c r="K277" s="20" t="str">
        <f aca="false">IF(I277="","",F277/I277)</f>
        <v/>
      </c>
    </row>
    <row r="278" customFormat="false" ht="15" hidden="false" customHeight="false" outlineLevel="0" collapsed="false">
      <c r="A278" s="12"/>
      <c r="B278" s="13"/>
      <c r="C278" s="13"/>
      <c r="D278" s="14"/>
      <c r="E278" s="15"/>
      <c r="F278" s="16"/>
      <c r="G278" s="17"/>
      <c r="H278" s="18" t="n">
        <f aca="false">IF(AND(C278="Yakıt",D278&lt;&gt;""),SUMPRODUCT(MAX(($B$5:$B$1004=B278)*($C$5:$C$1004="Yakıt")*($D$5:$D$1004&lt;D278)*$D$5:$D$1004)),0)</f>
        <v>0</v>
      </c>
      <c r="I278" s="18" t="str">
        <f aca="false">IF(H278&gt;0,D278-H278,"")</f>
        <v/>
      </c>
      <c r="J278" s="19" t="str">
        <f aca="false">IF(OR(I278="",E278=""),"",E278/I278*100)</f>
        <v/>
      </c>
      <c r="K278" s="20" t="str">
        <f aca="false">IF(I278="","",F278/I278)</f>
        <v/>
      </c>
    </row>
    <row r="279" customFormat="false" ht="15" hidden="false" customHeight="false" outlineLevel="0" collapsed="false">
      <c r="A279" s="12"/>
      <c r="B279" s="13"/>
      <c r="C279" s="13"/>
      <c r="D279" s="14"/>
      <c r="E279" s="15"/>
      <c r="F279" s="16"/>
      <c r="G279" s="17"/>
      <c r="H279" s="18" t="n">
        <f aca="false">IF(AND(C279="Yakıt",D279&lt;&gt;""),SUMPRODUCT(MAX(($B$5:$B$1004=B279)*($C$5:$C$1004="Yakıt")*($D$5:$D$1004&lt;D279)*$D$5:$D$1004)),0)</f>
        <v>0</v>
      </c>
      <c r="I279" s="18" t="str">
        <f aca="false">IF(H279&gt;0,D279-H279,"")</f>
        <v/>
      </c>
      <c r="J279" s="19" t="str">
        <f aca="false">IF(OR(I279="",E279=""),"",E279/I279*100)</f>
        <v/>
      </c>
      <c r="K279" s="20" t="str">
        <f aca="false">IF(I279="","",F279/I279)</f>
        <v/>
      </c>
    </row>
    <row r="280" customFormat="false" ht="15" hidden="false" customHeight="false" outlineLevel="0" collapsed="false">
      <c r="A280" s="12"/>
      <c r="B280" s="13"/>
      <c r="C280" s="13"/>
      <c r="D280" s="14"/>
      <c r="E280" s="15"/>
      <c r="F280" s="16"/>
      <c r="G280" s="17"/>
      <c r="H280" s="18" t="n">
        <f aca="false">IF(AND(C280="Yakıt",D280&lt;&gt;""),SUMPRODUCT(MAX(($B$5:$B$1004=B280)*($C$5:$C$1004="Yakıt")*($D$5:$D$1004&lt;D280)*$D$5:$D$1004)),0)</f>
        <v>0</v>
      </c>
      <c r="I280" s="18" t="str">
        <f aca="false">IF(H280&gt;0,D280-H280,"")</f>
        <v/>
      </c>
      <c r="J280" s="19" t="str">
        <f aca="false">IF(OR(I280="",E280=""),"",E280/I280*100)</f>
        <v/>
      </c>
      <c r="K280" s="20" t="str">
        <f aca="false">IF(I280="","",F280/I280)</f>
        <v/>
      </c>
    </row>
    <row r="281" customFormat="false" ht="15" hidden="false" customHeight="false" outlineLevel="0" collapsed="false">
      <c r="A281" s="12"/>
      <c r="B281" s="13"/>
      <c r="C281" s="13"/>
      <c r="D281" s="14"/>
      <c r="E281" s="15"/>
      <c r="F281" s="16"/>
      <c r="G281" s="17"/>
      <c r="H281" s="18" t="n">
        <f aca="false">IF(AND(C281="Yakıt",D281&lt;&gt;""),SUMPRODUCT(MAX(($B$5:$B$1004=B281)*($C$5:$C$1004="Yakıt")*($D$5:$D$1004&lt;D281)*$D$5:$D$1004)),0)</f>
        <v>0</v>
      </c>
      <c r="I281" s="18" t="str">
        <f aca="false">IF(H281&gt;0,D281-H281,"")</f>
        <v/>
      </c>
      <c r="J281" s="19" t="str">
        <f aca="false">IF(OR(I281="",E281=""),"",E281/I281*100)</f>
        <v/>
      </c>
      <c r="K281" s="20" t="str">
        <f aca="false">IF(I281="","",F281/I281)</f>
        <v/>
      </c>
    </row>
    <row r="282" customFormat="false" ht="15" hidden="false" customHeight="false" outlineLevel="0" collapsed="false">
      <c r="A282" s="12"/>
      <c r="B282" s="13"/>
      <c r="C282" s="13"/>
      <c r="D282" s="14"/>
      <c r="E282" s="15"/>
      <c r="F282" s="16"/>
      <c r="G282" s="17"/>
      <c r="H282" s="18" t="n">
        <f aca="false">IF(AND(C282="Yakıt",D282&lt;&gt;""),SUMPRODUCT(MAX(($B$5:$B$1004=B282)*($C$5:$C$1004="Yakıt")*($D$5:$D$1004&lt;D282)*$D$5:$D$1004)),0)</f>
        <v>0</v>
      </c>
      <c r="I282" s="18" t="str">
        <f aca="false">IF(H282&gt;0,D282-H282,"")</f>
        <v/>
      </c>
      <c r="J282" s="19" t="str">
        <f aca="false">IF(OR(I282="",E282=""),"",E282/I282*100)</f>
        <v/>
      </c>
      <c r="K282" s="20" t="str">
        <f aca="false">IF(I282="","",F282/I282)</f>
        <v/>
      </c>
    </row>
    <row r="283" customFormat="false" ht="15" hidden="false" customHeight="false" outlineLevel="0" collapsed="false">
      <c r="A283" s="12"/>
      <c r="B283" s="13"/>
      <c r="C283" s="13"/>
      <c r="D283" s="14"/>
      <c r="E283" s="15"/>
      <c r="F283" s="16"/>
      <c r="G283" s="17"/>
      <c r="H283" s="18" t="n">
        <f aca="false">IF(AND(C283="Yakıt",D283&lt;&gt;""),SUMPRODUCT(MAX(($B$5:$B$1004=B283)*($C$5:$C$1004="Yakıt")*($D$5:$D$1004&lt;D283)*$D$5:$D$1004)),0)</f>
        <v>0</v>
      </c>
      <c r="I283" s="18" t="str">
        <f aca="false">IF(H283&gt;0,D283-H283,"")</f>
        <v/>
      </c>
      <c r="J283" s="19" t="str">
        <f aca="false">IF(OR(I283="",E283=""),"",E283/I283*100)</f>
        <v/>
      </c>
      <c r="K283" s="20" t="str">
        <f aca="false">IF(I283="","",F283/I283)</f>
        <v/>
      </c>
    </row>
    <row r="284" customFormat="false" ht="15" hidden="false" customHeight="false" outlineLevel="0" collapsed="false">
      <c r="A284" s="12"/>
      <c r="B284" s="13"/>
      <c r="C284" s="13"/>
      <c r="D284" s="14"/>
      <c r="E284" s="15"/>
      <c r="F284" s="16"/>
      <c r="G284" s="17"/>
      <c r="H284" s="18" t="n">
        <f aca="false">IF(AND(C284="Yakıt",D284&lt;&gt;""),SUMPRODUCT(MAX(($B$5:$B$1004=B284)*($C$5:$C$1004="Yakıt")*($D$5:$D$1004&lt;D284)*$D$5:$D$1004)),0)</f>
        <v>0</v>
      </c>
      <c r="I284" s="18" t="str">
        <f aca="false">IF(H284&gt;0,D284-H284,"")</f>
        <v/>
      </c>
      <c r="J284" s="19" t="str">
        <f aca="false">IF(OR(I284="",E284=""),"",E284/I284*100)</f>
        <v/>
      </c>
      <c r="K284" s="20" t="str">
        <f aca="false">IF(I284="","",F284/I284)</f>
        <v/>
      </c>
    </row>
    <row r="285" customFormat="false" ht="15" hidden="false" customHeight="false" outlineLevel="0" collapsed="false">
      <c r="A285" s="12"/>
      <c r="B285" s="13"/>
      <c r="C285" s="13"/>
      <c r="D285" s="14"/>
      <c r="E285" s="15"/>
      <c r="F285" s="16"/>
      <c r="G285" s="17"/>
      <c r="H285" s="18" t="n">
        <f aca="false">IF(AND(C285="Yakıt",D285&lt;&gt;""),SUMPRODUCT(MAX(($B$5:$B$1004=B285)*($C$5:$C$1004="Yakıt")*($D$5:$D$1004&lt;D285)*$D$5:$D$1004)),0)</f>
        <v>0</v>
      </c>
      <c r="I285" s="18" t="str">
        <f aca="false">IF(H285&gt;0,D285-H285,"")</f>
        <v/>
      </c>
      <c r="J285" s="19" t="str">
        <f aca="false">IF(OR(I285="",E285=""),"",E285/I285*100)</f>
        <v/>
      </c>
      <c r="K285" s="20" t="str">
        <f aca="false">IF(I285="","",F285/I285)</f>
        <v/>
      </c>
    </row>
    <row r="286" customFormat="false" ht="15" hidden="false" customHeight="false" outlineLevel="0" collapsed="false">
      <c r="A286" s="12"/>
      <c r="B286" s="13"/>
      <c r="C286" s="13"/>
      <c r="D286" s="14"/>
      <c r="E286" s="15"/>
      <c r="F286" s="16"/>
      <c r="G286" s="17"/>
      <c r="H286" s="18" t="n">
        <f aca="false">IF(AND(C286="Yakıt",D286&lt;&gt;""),SUMPRODUCT(MAX(($B$5:$B$1004=B286)*($C$5:$C$1004="Yakıt")*($D$5:$D$1004&lt;D286)*$D$5:$D$1004)),0)</f>
        <v>0</v>
      </c>
      <c r="I286" s="18" t="str">
        <f aca="false">IF(H286&gt;0,D286-H286,"")</f>
        <v/>
      </c>
      <c r="J286" s="19" t="str">
        <f aca="false">IF(OR(I286="",E286=""),"",E286/I286*100)</f>
        <v/>
      </c>
      <c r="K286" s="20" t="str">
        <f aca="false">IF(I286="","",F286/I286)</f>
        <v/>
      </c>
    </row>
    <row r="287" customFormat="false" ht="15" hidden="false" customHeight="false" outlineLevel="0" collapsed="false">
      <c r="A287" s="12"/>
      <c r="B287" s="13"/>
      <c r="C287" s="13"/>
      <c r="D287" s="14"/>
      <c r="E287" s="15"/>
      <c r="F287" s="16"/>
      <c r="G287" s="17"/>
      <c r="H287" s="18" t="n">
        <f aca="false">IF(AND(C287="Yakıt",D287&lt;&gt;""),SUMPRODUCT(MAX(($B$5:$B$1004=B287)*($C$5:$C$1004="Yakıt")*($D$5:$D$1004&lt;D287)*$D$5:$D$1004)),0)</f>
        <v>0</v>
      </c>
      <c r="I287" s="18" t="str">
        <f aca="false">IF(H287&gt;0,D287-H287,"")</f>
        <v/>
      </c>
      <c r="J287" s="19" t="str">
        <f aca="false">IF(OR(I287="",E287=""),"",E287/I287*100)</f>
        <v/>
      </c>
      <c r="K287" s="20" t="str">
        <f aca="false">IF(I287="","",F287/I287)</f>
        <v/>
      </c>
    </row>
    <row r="288" customFormat="false" ht="15" hidden="false" customHeight="false" outlineLevel="0" collapsed="false">
      <c r="A288" s="12"/>
      <c r="B288" s="13"/>
      <c r="C288" s="13"/>
      <c r="D288" s="14"/>
      <c r="E288" s="15"/>
      <c r="F288" s="16"/>
      <c r="G288" s="17"/>
      <c r="H288" s="18" t="n">
        <f aca="false">IF(AND(C288="Yakıt",D288&lt;&gt;""),SUMPRODUCT(MAX(($B$5:$B$1004=B288)*($C$5:$C$1004="Yakıt")*($D$5:$D$1004&lt;D288)*$D$5:$D$1004)),0)</f>
        <v>0</v>
      </c>
      <c r="I288" s="18" t="str">
        <f aca="false">IF(H288&gt;0,D288-H288,"")</f>
        <v/>
      </c>
      <c r="J288" s="19" t="str">
        <f aca="false">IF(OR(I288="",E288=""),"",E288/I288*100)</f>
        <v/>
      </c>
      <c r="K288" s="20" t="str">
        <f aca="false">IF(I288="","",F288/I288)</f>
        <v/>
      </c>
    </row>
    <row r="289" customFormat="false" ht="15" hidden="false" customHeight="false" outlineLevel="0" collapsed="false">
      <c r="A289" s="12"/>
      <c r="B289" s="13"/>
      <c r="C289" s="13"/>
      <c r="D289" s="14"/>
      <c r="E289" s="15"/>
      <c r="F289" s="16"/>
      <c r="G289" s="17"/>
      <c r="H289" s="18" t="n">
        <f aca="false">IF(AND(C289="Yakıt",D289&lt;&gt;""),SUMPRODUCT(MAX(($B$5:$B$1004=B289)*($C$5:$C$1004="Yakıt")*($D$5:$D$1004&lt;D289)*$D$5:$D$1004)),0)</f>
        <v>0</v>
      </c>
      <c r="I289" s="18" t="str">
        <f aca="false">IF(H289&gt;0,D289-H289,"")</f>
        <v/>
      </c>
      <c r="J289" s="19" t="str">
        <f aca="false">IF(OR(I289="",E289=""),"",E289/I289*100)</f>
        <v/>
      </c>
      <c r="K289" s="20" t="str">
        <f aca="false">IF(I289="","",F289/I289)</f>
        <v/>
      </c>
    </row>
    <row r="290" customFormat="false" ht="15" hidden="false" customHeight="false" outlineLevel="0" collapsed="false">
      <c r="A290" s="12"/>
      <c r="B290" s="13"/>
      <c r="C290" s="13"/>
      <c r="D290" s="14"/>
      <c r="E290" s="15"/>
      <c r="F290" s="16"/>
      <c r="G290" s="17"/>
      <c r="H290" s="18" t="n">
        <f aca="false">IF(AND(C290="Yakıt",D290&lt;&gt;""),SUMPRODUCT(MAX(($B$5:$B$1004=B290)*($C$5:$C$1004="Yakıt")*($D$5:$D$1004&lt;D290)*$D$5:$D$1004)),0)</f>
        <v>0</v>
      </c>
      <c r="I290" s="18" t="str">
        <f aca="false">IF(H290&gt;0,D290-H290,"")</f>
        <v/>
      </c>
      <c r="J290" s="19" t="str">
        <f aca="false">IF(OR(I290="",E290=""),"",E290/I290*100)</f>
        <v/>
      </c>
      <c r="K290" s="20" t="str">
        <f aca="false">IF(I290="","",F290/I290)</f>
        <v/>
      </c>
    </row>
    <row r="291" customFormat="false" ht="15" hidden="false" customHeight="false" outlineLevel="0" collapsed="false">
      <c r="A291" s="12"/>
      <c r="B291" s="13"/>
      <c r="C291" s="13"/>
      <c r="D291" s="14"/>
      <c r="E291" s="15"/>
      <c r="F291" s="16"/>
      <c r="G291" s="17"/>
      <c r="H291" s="18" t="n">
        <f aca="false">IF(AND(C291="Yakıt",D291&lt;&gt;""),SUMPRODUCT(MAX(($B$5:$B$1004=B291)*($C$5:$C$1004="Yakıt")*($D$5:$D$1004&lt;D291)*$D$5:$D$1004)),0)</f>
        <v>0</v>
      </c>
      <c r="I291" s="18" t="str">
        <f aca="false">IF(H291&gt;0,D291-H291,"")</f>
        <v/>
      </c>
      <c r="J291" s="19" t="str">
        <f aca="false">IF(OR(I291="",E291=""),"",E291/I291*100)</f>
        <v/>
      </c>
      <c r="K291" s="20" t="str">
        <f aca="false">IF(I291="","",F291/I291)</f>
        <v/>
      </c>
    </row>
    <row r="292" customFormat="false" ht="15" hidden="false" customHeight="false" outlineLevel="0" collapsed="false">
      <c r="A292" s="12"/>
      <c r="B292" s="13"/>
      <c r="C292" s="13"/>
      <c r="D292" s="14"/>
      <c r="E292" s="15"/>
      <c r="F292" s="16"/>
      <c r="G292" s="17"/>
      <c r="H292" s="18" t="n">
        <f aca="false">IF(AND(C292="Yakıt",D292&lt;&gt;""),SUMPRODUCT(MAX(($B$5:$B$1004=B292)*($C$5:$C$1004="Yakıt")*($D$5:$D$1004&lt;D292)*$D$5:$D$1004)),0)</f>
        <v>0</v>
      </c>
      <c r="I292" s="18" t="str">
        <f aca="false">IF(H292&gt;0,D292-H292,"")</f>
        <v/>
      </c>
      <c r="J292" s="19" t="str">
        <f aca="false">IF(OR(I292="",E292=""),"",E292/I292*100)</f>
        <v/>
      </c>
      <c r="K292" s="20" t="str">
        <f aca="false">IF(I292="","",F292/I292)</f>
        <v/>
      </c>
    </row>
    <row r="293" customFormat="false" ht="15" hidden="false" customHeight="false" outlineLevel="0" collapsed="false">
      <c r="A293" s="12"/>
      <c r="B293" s="13"/>
      <c r="C293" s="13"/>
      <c r="D293" s="14"/>
      <c r="E293" s="15"/>
      <c r="F293" s="16"/>
      <c r="G293" s="17"/>
      <c r="H293" s="18" t="n">
        <f aca="false">IF(AND(C293="Yakıt",D293&lt;&gt;""),SUMPRODUCT(MAX(($B$5:$B$1004=B293)*($C$5:$C$1004="Yakıt")*($D$5:$D$1004&lt;D293)*$D$5:$D$1004)),0)</f>
        <v>0</v>
      </c>
      <c r="I293" s="18" t="str">
        <f aca="false">IF(H293&gt;0,D293-H293,"")</f>
        <v/>
      </c>
      <c r="J293" s="19" t="str">
        <f aca="false">IF(OR(I293="",E293=""),"",E293/I293*100)</f>
        <v/>
      </c>
      <c r="K293" s="20" t="str">
        <f aca="false">IF(I293="","",F293/I293)</f>
        <v/>
      </c>
    </row>
    <row r="294" customFormat="false" ht="15" hidden="false" customHeight="false" outlineLevel="0" collapsed="false">
      <c r="A294" s="12"/>
      <c r="B294" s="13"/>
      <c r="C294" s="13"/>
      <c r="D294" s="14"/>
      <c r="E294" s="15"/>
      <c r="F294" s="16"/>
      <c r="G294" s="17"/>
      <c r="H294" s="18" t="n">
        <f aca="false">IF(AND(C294="Yakıt",D294&lt;&gt;""),SUMPRODUCT(MAX(($B$5:$B$1004=B294)*($C$5:$C$1004="Yakıt")*($D$5:$D$1004&lt;D294)*$D$5:$D$1004)),0)</f>
        <v>0</v>
      </c>
      <c r="I294" s="18" t="str">
        <f aca="false">IF(H294&gt;0,D294-H294,"")</f>
        <v/>
      </c>
      <c r="J294" s="19" t="str">
        <f aca="false">IF(OR(I294="",E294=""),"",E294/I294*100)</f>
        <v/>
      </c>
      <c r="K294" s="20" t="str">
        <f aca="false">IF(I294="","",F294/I294)</f>
        <v/>
      </c>
    </row>
    <row r="295" customFormat="false" ht="15" hidden="false" customHeight="false" outlineLevel="0" collapsed="false">
      <c r="A295" s="12"/>
      <c r="B295" s="13"/>
      <c r="C295" s="13"/>
      <c r="D295" s="14"/>
      <c r="E295" s="15"/>
      <c r="F295" s="16"/>
      <c r="G295" s="17"/>
      <c r="H295" s="18" t="n">
        <f aca="false">IF(AND(C295="Yakıt",D295&lt;&gt;""),SUMPRODUCT(MAX(($B$5:$B$1004=B295)*($C$5:$C$1004="Yakıt")*($D$5:$D$1004&lt;D295)*$D$5:$D$1004)),0)</f>
        <v>0</v>
      </c>
      <c r="I295" s="18" t="str">
        <f aca="false">IF(H295&gt;0,D295-H295,"")</f>
        <v/>
      </c>
      <c r="J295" s="19" t="str">
        <f aca="false">IF(OR(I295="",E295=""),"",E295/I295*100)</f>
        <v/>
      </c>
      <c r="K295" s="20" t="str">
        <f aca="false">IF(I295="","",F295/I295)</f>
        <v/>
      </c>
    </row>
    <row r="296" customFormat="false" ht="15" hidden="false" customHeight="false" outlineLevel="0" collapsed="false">
      <c r="A296" s="12"/>
      <c r="B296" s="13"/>
      <c r="C296" s="13"/>
      <c r="D296" s="14"/>
      <c r="E296" s="15"/>
      <c r="F296" s="16"/>
      <c r="G296" s="17"/>
      <c r="H296" s="18" t="n">
        <f aca="false">IF(AND(C296="Yakıt",D296&lt;&gt;""),SUMPRODUCT(MAX(($B$5:$B$1004=B296)*($C$5:$C$1004="Yakıt")*($D$5:$D$1004&lt;D296)*$D$5:$D$1004)),0)</f>
        <v>0</v>
      </c>
      <c r="I296" s="18" t="str">
        <f aca="false">IF(H296&gt;0,D296-H296,"")</f>
        <v/>
      </c>
      <c r="J296" s="19" t="str">
        <f aca="false">IF(OR(I296="",E296=""),"",E296/I296*100)</f>
        <v/>
      </c>
      <c r="K296" s="20" t="str">
        <f aca="false">IF(I296="","",F296/I296)</f>
        <v/>
      </c>
    </row>
    <row r="297" customFormat="false" ht="15" hidden="false" customHeight="false" outlineLevel="0" collapsed="false">
      <c r="A297" s="12"/>
      <c r="B297" s="13"/>
      <c r="C297" s="13"/>
      <c r="D297" s="14"/>
      <c r="E297" s="15"/>
      <c r="F297" s="16"/>
      <c r="G297" s="17"/>
      <c r="H297" s="18" t="n">
        <f aca="false">IF(AND(C297="Yakıt",D297&lt;&gt;""),SUMPRODUCT(MAX(($B$5:$B$1004=B297)*($C$5:$C$1004="Yakıt")*($D$5:$D$1004&lt;D297)*$D$5:$D$1004)),0)</f>
        <v>0</v>
      </c>
      <c r="I297" s="18" t="str">
        <f aca="false">IF(H297&gt;0,D297-H297,"")</f>
        <v/>
      </c>
      <c r="J297" s="19" t="str">
        <f aca="false">IF(OR(I297="",E297=""),"",E297/I297*100)</f>
        <v/>
      </c>
      <c r="K297" s="20" t="str">
        <f aca="false">IF(I297="","",F297/I297)</f>
        <v/>
      </c>
    </row>
    <row r="298" customFormat="false" ht="15" hidden="false" customHeight="false" outlineLevel="0" collapsed="false">
      <c r="A298" s="12"/>
      <c r="B298" s="13"/>
      <c r="C298" s="13"/>
      <c r="D298" s="14"/>
      <c r="E298" s="15"/>
      <c r="F298" s="16"/>
      <c r="G298" s="17"/>
      <c r="H298" s="18" t="n">
        <f aca="false">IF(AND(C298="Yakıt",D298&lt;&gt;""),SUMPRODUCT(MAX(($B$5:$B$1004=B298)*($C$5:$C$1004="Yakıt")*($D$5:$D$1004&lt;D298)*$D$5:$D$1004)),0)</f>
        <v>0</v>
      </c>
      <c r="I298" s="18" t="str">
        <f aca="false">IF(H298&gt;0,D298-H298,"")</f>
        <v/>
      </c>
      <c r="J298" s="19" t="str">
        <f aca="false">IF(OR(I298="",E298=""),"",E298/I298*100)</f>
        <v/>
      </c>
      <c r="K298" s="20" t="str">
        <f aca="false">IF(I298="","",F298/I298)</f>
        <v/>
      </c>
    </row>
    <row r="299" customFormat="false" ht="15" hidden="false" customHeight="false" outlineLevel="0" collapsed="false">
      <c r="A299" s="12"/>
      <c r="B299" s="13"/>
      <c r="C299" s="13"/>
      <c r="D299" s="14"/>
      <c r="E299" s="15"/>
      <c r="F299" s="16"/>
      <c r="G299" s="17"/>
      <c r="H299" s="18" t="n">
        <f aca="false">IF(AND(C299="Yakıt",D299&lt;&gt;""),SUMPRODUCT(MAX(($B$5:$B$1004=B299)*($C$5:$C$1004="Yakıt")*($D$5:$D$1004&lt;D299)*$D$5:$D$1004)),0)</f>
        <v>0</v>
      </c>
      <c r="I299" s="18" t="str">
        <f aca="false">IF(H299&gt;0,D299-H299,"")</f>
        <v/>
      </c>
      <c r="J299" s="19" t="str">
        <f aca="false">IF(OR(I299="",E299=""),"",E299/I299*100)</f>
        <v/>
      </c>
      <c r="K299" s="20" t="str">
        <f aca="false">IF(I299="","",F299/I299)</f>
        <v/>
      </c>
    </row>
    <row r="300" customFormat="false" ht="15" hidden="false" customHeight="false" outlineLevel="0" collapsed="false">
      <c r="A300" s="12"/>
      <c r="B300" s="13"/>
      <c r="C300" s="13"/>
      <c r="D300" s="14"/>
      <c r="E300" s="15"/>
      <c r="F300" s="16"/>
      <c r="G300" s="17"/>
      <c r="H300" s="18" t="n">
        <f aca="false">IF(AND(C300="Yakıt",D300&lt;&gt;""),SUMPRODUCT(MAX(($B$5:$B$1004=B300)*($C$5:$C$1004="Yakıt")*($D$5:$D$1004&lt;D300)*$D$5:$D$1004)),0)</f>
        <v>0</v>
      </c>
      <c r="I300" s="18" t="str">
        <f aca="false">IF(H300&gt;0,D300-H300,"")</f>
        <v/>
      </c>
      <c r="J300" s="19" t="str">
        <f aca="false">IF(OR(I300="",E300=""),"",E300/I300*100)</f>
        <v/>
      </c>
      <c r="K300" s="20" t="str">
        <f aca="false">IF(I300="","",F300/I300)</f>
        <v/>
      </c>
    </row>
    <row r="301" customFormat="false" ht="15" hidden="false" customHeight="false" outlineLevel="0" collapsed="false">
      <c r="A301" s="12"/>
      <c r="B301" s="13"/>
      <c r="C301" s="13"/>
      <c r="D301" s="14"/>
      <c r="E301" s="15"/>
      <c r="F301" s="16"/>
      <c r="G301" s="17"/>
      <c r="H301" s="18" t="n">
        <f aca="false">IF(AND(C301="Yakıt",D301&lt;&gt;""),SUMPRODUCT(MAX(($B$5:$B$1004=B301)*($C$5:$C$1004="Yakıt")*($D$5:$D$1004&lt;D301)*$D$5:$D$1004)),0)</f>
        <v>0</v>
      </c>
      <c r="I301" s="18" t="str">
        <f aca="false">IF(H301&gt;0,D301-H301,"")</f>
        <v/>
      </c>
      <c r="J301" s="19" t="str">
        <f aca="false">IF(OR(I301="",E301=""),"",E301/I301*100)</f>
        <v/>
      </c>
      <c r="K301" s="20" t="str">
        <f aca="false">IF(I301="","",F301/I301)</f>
        <v/>
      </c>
    </row>
    <row r="302" customFormat="false" ht="15" hidden="false" customHeight="false" outlineLevel="0" collapsed="false">
      <c r="A302" s="12"/>
      <c r="B302" s="13"/>
      <c r="C302" s="13"/>
      <c r="D302" s="14"/>
      <c r="E302" s="15"/>
      <c r="F302" s="16"/>
      <c r="G302" s="17"/>
      <c r="H302" s="18" t="n">
        <f aca="false">IF(AND(C302="Yakıt",D302&lt;&gt;""),SUMPRODUCT(MAX(($B$5:$B$1004=B302)*($C$5:$C$1004="Yakıt")*($D$5:$D$1004&lt;D302)*$D$5:$D$1004)),0)</f>
        <v>0</v>
      </c>
      <c r="I302" s="18" t="str">
        <f aca="false">IF(H302&gt;0,D302-H302,"")</f>
        <v/>
      </c>
      <c r="J302" s="19" t="str">
        <f aca="false">IF(OR(I302="",E302=""),"",E302/I302*100)</f>
        <v/>
      </c>
      <c r="K302" s="20" t="str">
        <f aca="false">IF(I302="","",F302/I302)</f>
        <v/>
      </c>
    </row>
    <row r="303" customFormat="false" ht="15" hidden="false" customHeight="false" outlineLevel="0" collapsed="false">
      <c r="A303" s="12"/>
      <c r="B303" s="13"/>
      <c r="C303" s="13"/>
      <c r="D303" s="14"/>
      <c r="E303" s="15"/>
      <c r="F303" s="16"/>
      <c r="G303" s="17"/>
      <c r="H303" s="18" t="n">
        <f aca="false">IF(AND(C303="Yakıt",D303&lt;&gt;""),SUMPRODUCT(MAX(($B$5:$B$1004=B303)*($C$5:$C$1004="Yakıt")*($D$5:$D$1004&lt;D303)*$D$5:$D$1004)),0)</f>
        <v>0</v>
      </c>
      <c r="I303" s="18" t="str">
        <f aca="false">IF(H303&gt;0,D303-H303,"")</f>
        <v/>
      </c>
      <c r="J303" s="19" t="str">
        <f aca="false">IF(OR(I303="",E303=""),"",E303/I303*100)</f>
        <v/>
      </c>
      <c r="K303" s="20" t="str">
        <f aca="false">IF(I303="","",F303/I303)</f>
        <v/>
      </c>
    </row>
    <row r="304" customFormat="false" ht="15" hidden="false" customHeight="false" outlineLevel="0" collapsed="false">
      <c r="A304" s="12"/>
      <c r="B304" s="13"/>
      <c r="C304" s="13"/>
      <c r="D304" s="14"/>
      <c r="E304" s="15"/>
      <c r="F304" s="16"/>
      <c r="G304" s="17"/>
      <c r="H304" s="18" t="n">
        <f aca="false">IF(AND(C304="Yakıt",D304&lt;&gt;""),SUMPRODUCT(MAX(($B$5:$B$1004=B304)*($C$5:$C$1004="Yakıt")*($D$5:$D$1004&lt;D304)*$D$5:$D$1004)),0)</f>
        <v>0</v>
      </c>
      <c r="I304" s="18" t="str">
        <f aca="false">IF(H304&gt;0,D304-H304,"")</f>
        <v/>
      </c>
      <c r="J304" s="19" t="str">
        <f aca="false">IF(OR(I304="",E304=""),"",E304/I304*100)</f>
        <v/>
      </c>
      <c r="K304" s="20" t="str">
        <f aca="false">IF(I304="","",F304/I304)</f>
        <v/>
      </c>
    </row>
    <row r="305" customFormat="false" ht="15" hidden="false" customHeight="false" outlineLevel="0" collapsed="false">
      <c r="A305" s="12"/>
      <c r="B305" s="13"/>
      <c r="C305" s="13"/>
      <c r="D305" s="14"/>
      <c r="E305" s="15"/>
      <c r="F305" s="16"/>
      <c r="G305" s="17"/>
      <c r="H305" s="18" t="n">
        <f aca="false">IF(AND(C305="Yakıt",D305&lt;&gt;""),SUMPRODUCT(MAX(($B$5:$B$1004=B305)*($C$5:$C$1004="Yakıt")*($D$5:$D$1004&lt;D305)*$D$5:$D$1004)),0)</f>
        <v>0</v>
      </c>
      <c r="I305" s="18" t="str">
        <f aca="false">IF(H305&gt;0,D305-H305,"")</f>
        <v/>
      </c>
      <c r="J305" s="19" t="str">
        <f aca="false">IF(OR(I305="",E305=""),"",E305/I305*100)</f>
        <v/>
      </c>
      <c r="K305" s="20" t="str">
        <f aca="false">IF(I305="","",F305/I305)</f>
        <v/>
      </c>
    </row>
    <row r="306" customFormat="false" ht="15" hidden="false" customHeight="false" outlineLevel="0" collapsed="false">
      <c r="A306" s="12"/>
      <c r="B306" s="13"/>
      <c r="C306" s="13"/>
      <c r="D306" s="14"/>
      <c r="E306" s="15"/>
      <c r="F306" s="16"/>
      <c r="G306" s="17"/>
      <c r="H306" s="18" t="n">
        <f aca="false">IF(AND(C306="Yakıt",D306&lt;&gt;""),SUMPRODUCT(MAX(($B$5:$B$1004=B306)*($C$5:$C$1004="Yakıt")*($D$5:$D$1004&lt;D306)*$D$5:$D$1004)),0)</f>
        <v>0</v>
      </c>
      <c r="I306" s="18" t="str">
        <f aca="false">IF(H306&gt;0,D306-H306,"")</f>
        <v/>
      </c>
      <c r="J306" s="19" t="str">
        <f aca="false">IF(OR(I306="",E306=""),"",E306/I306*100)</f>
        <v/>
      </c>
      <c r="K306" s="20" t="str">
        <f aca="false">IF(I306="","",F306/I306)</f>
        <v/>
      </c>
    </row>
    <row r="307" customFormat="false" ht="15" hidden="false" customHeight="false" outlineLevel="0" collapsed="false">
      <c r="A307" s="12"/>
      <c r="B307" s="13"/>
      <c r="C307" s="13"/>
      <c r="D307" s="14"/>
      <c r="E307" s="15"/>
      <c r="F307" s="16"/>
      <c r="G307" s="17"/>
      <c r="H307" s="18" t="n">
        <f aca="false">IF(AND(C307="Yakıt",D307&lt;&gt;""),SUMPRODUCT(MAX(($B$5:$B$1004=B307)*($C$5:$C$1004="Yakıt")*($D$5:$D$1004&lt;D307)*$D$5:$D$1004)),0)</f>
        <v>0</v>
      </c>
      <c r="I307" s="18" t="str">
        <f aca="false">IF(H307&gt;0,D307-H307,"")</f>
        <v/>
      </c>
      <c r="J307" s="19" t="str">
        <f aca="false">IF(OR(I307="",E307=""),"",E307/I307*100)</f>
        <v/>
      </c>
      <c r="K307" s="20" t="str">
        <f aca="false">IF(I307="","",F307/I307)</f>
        <v/>
      </c>
    </row>
    <row r="308" customFormat="false" ht="15" hidden="false" customHeight="false" outlineLevel="0" collapsed="false">
      <c r="A308" s="12"/>
      <c r="B308" s="13"/>
      <c r="C308" s="13"/>
      <c r="D308" s="14"/>
      <c r="E308" s="15"/>
      <c r="F308" s="16"/>
      <c r="G308" s="17"/>
      <c r="H308" s="18" t="n">
        <f aca="false">IF(AND(C308="Yakıt",D308&lt;&gt;""),SUMPRODUCT(MAX(($B$5:$B$1004=B308)*($C$5:$C$1004="Yakıt")*($D$5:$D$1004&lt;D308)*$D$5:$D$1004)),0)</f>
        <v>0</v>
      </c>
      <c r="I308" s="18" t="str">
        <f aca="false">IF(H308&gt;0,D308-H308,"")</f>
        <v/>
      </c>
      <c r="J308" s="19" t="str">
        <f aca="false">IF(OR(I308="",E308=""),"",E308/I308*100)</f>
        <v/>
      </c>
      <c r="K308" s="20" t="str">
        <f aca="false">IF(I308="","",F308/I308)</f>
        <v/>
      </c>
    </row>
    <row r="309" customFormat="false" ht="15" hidden="false" customHeight="false" outlineLevel="0" collapsed="false">
      <c r="A309" s="12"/>
      <c r="B309" s="13"/>
      <c r="C309" s="13"/>
      <c r="D309" s="14"/>
      <c r="E309" s="15"/>
      <c r="F309" s="16"/>
      <c r="G309" s="17"/>
      <c r="H309" s="18" t="n">
        <f aca="false">IF(AND(C309="Yakıt",D309&lt;&gt;""),SUMPRODUCT(MAX(($B$5:$B$1004=B309)*($C$5:$C$1004="Yakıt")*($D$5:$D$1004&lt;D309)*$D$5:$D$1004)),0)</f>
        <v>0</v>
      </c>
      <c r="I309" s="18" t="str">
        <f aca="false">IF(H309&gt;0,D309-H309,"")</f>
        <v/>
      </c>
      <c r="J309" s="19" t="str">
        <f aca="false">IF(OR(I309="",E309=""),"",E309/I309*100)</f>
        <v/>
      </c>
      <c r="K309" s="20" t="str">
        <f aca="false">IF(I309="","",F309/I309)</f>
        <v/>
      </c>
    </row>
    <row r="310" customFormat="false" ht="15" hidden="false" customHeight="false" outlineLevel="0" collapsed="false">
      <c r="A310" s="12"/>
      <c r="B310" s="13"/>
      <c r="C310" s="13"/>
      <c r="D310" s="14"/>
      <c r="E310" s="15"/>
      <c r="F310" s="16"/>
      <c r="G310" s="17"/>
      <c r="H310" s="18" t="n">
        <f aca="false">IF(AND(C310="Yakıt",D310&lt;&gt;""),SUMPRODUCT(MAX(($B$5:$B$1004=B310)*($C$5:$C$1004="Yakıt")*($D$5:$D$1004&lt;D310)*$D$5:$D$1004)),0)</f>
        <v>0</v>
      </c>
      <c r="I310" s="18" t="str">
        <f aca="false">IF(H310&gt;0,D310-H310,"")</f>
        <v/>
      </c>
      <c r="J310" s="19" t="str">
        <f aca="false">IF(OR(I310="",E310=""),"",E310/I310*100)</f>
        <v/>
      </c>
      <c r="K310" s="20" t="str">
        <f aca="false">IF(I310="","",F310/I310)</f>
        <v/>
      </c>
    </row>
    <row r="311" customFormat="false" ht="15" hidden="false" customHeight="false" outlineLevel="0" collapsed="false">
      <c r="A311" s="12"/>
      <c r="B311" s="13"/>
      <c r="C311" s="13"/>
      <c r="D311" s="14"/>
      <c r="E311" s="15"/>
      <c r="F311" s="16"/>
      <c r="G311" s="17"/>
      <c r="H311" s="18" t="n">
        <f aca="false">IF(AND(C311="Yakıt",D311&lt;&gt;""),SUMPRODUCT(MAX(($B$5:$B$1004=B311)*($C$5:$C$1004="Yakıt")*($D$5:$D$1004&lt;D311)*$D$5:$D$1004)),0)</f>
        <v>0</v>
      </c>
      <c r="I311" s="18" t="str">
        <f aca="false">IF(H311&gt;0,D311-H311,"")</f>
        <v/>
      </c>
      <c r="J311" s="19" t="str">
        <f aca="false">IF(OR(I311="",E311=""),"",E311/I311*100)</f>
        <v/>
      </c>
      <c r="K311" s="20" t="str">
        <f aca="false">IF(I311="","",F311/I311)</f>
        <v/>
      </c>
    </row>
    <row r="312" customFormat="false" ht="15" hidden="false" customHeight="false" outlineLevel="0" collapsed="false">
      <c r="A312" s="12"/>
      <c r="B312" s="13"/>
      <c r="C312" s="13"/>
      <c r="D312" s="14"/>
      <c r="E312" s="15"/>
      <c r="F312" s="16"/>
      <c r="G312" s="17"/>
      <c r="H312" s="18" t="n">
        <f aca="false">IF(AND(C312="Yakıt",D312&lt;&gt;""),SUMPRODUCT(MAX(($B$5:$B$1004=B312)*($C$5:$C$1004="Yakıt")*($D$5:$D$1004&lt;D312)*$D$5:$D$1004)),0)</f>
        <v>0</v>
      </c>
      <c r="I312" s="18" t="str">
        <f aca="false">IF(H312&gt;0,D312-H312,"")</f>
        <v/>
      </c>
      <c r="J312" s="19" t="str">
        <f aca="false">IF(OR(I312="",E312=""),"",E312/I312*100)</f>
        <v/>
      </c>
      <c r="K312" s="20" t="str">
        <f aca="false">IF(I312="","",F312/I312)</f>
        <v/>
      </c>
    </row>
    <row r="313" customFormat="false" ht="15" hidden="false" customHeight="false" outlineLevel="0" collapsed="false">
      <c r="A313" s="12"/>
      <c r="B313" s="13"/>
      <c r="C313" s="13"/>
      <c r="D313" s="14"/>
      <c r="E313" s="15"/>
      <c r="F313" s="16"/>
      <c r="G313" s="17"/>
      <c r="H313" s="18" t="n">
        <f aca="false">IF(AND(C313="Yakıt",D313&lt;&gt;""),SUMPRODUCT(MAX(($B$5:$B$1004=B313)*($C$5:$C$1004="Yakıt")*($D$5:$D$1004&lt;D313)*$D$5:$D$1004)),0)</f>
        <v>0</v>
      </c>
      <c r="I313" s="18" t="str">
        <f aca="false">IF(H313&gt;0,D313-H313,"")</f>
        <v/>
      </c>
      <c r="J313" s="19" t="str">
        <f aca="false">IF(OR(I313="",E313=""),"",E313/I313*100)</f>
        <v/>
      </c>
      <c r="K313" s="20" t="str">
        <f aca="false">IF(I313="","",F313/I313)</f>
        <v/>
      </c>
    </row>
    <row r="314" customFormat="false" ht="15" hidden="false" customHeight="false" outlineLevel="0" collapsed="false">
      <c r="A314" s="12"/>
      <c r="B314" s="13"/>
      <c r="C314" s="13"/>
      <c r="D314" s="14"/>
      <c r="E314" s="15"/>
      <c r="F314" s="16"/>
      <c r="G314" s="17"/>
      <c r="H314" s="18" t="n">
        <f aca="false">IF(AND(C314="Yakıt",D314&lt;&gt;""),SUMPRODUCT(MAX(($B$5:$B$1004=B314)*($C$5:$C$1004="Yakıt")*($D$5:$D$1004&lt;D314)*$D$5:$D$1004)),0)</f>
        <v>0</v>
      </c>
      <c r="I314" s="18" t="str">
        <f aca="false">IF(H314&gt;0,D314-H314,"")</f>
        <v/>
      </c>
      <c r="J314" s="19" t="str">
        <f aca="false">IF(OR(I314="",E314=""),"",E314/I314*100)</f>
        <v/>
      </c>
      <c r="K314" s="20" t="str">
        <f aca="false">IF(I314="","",F314/I314)</f>
        <v/>
      </c>
    </row>
    <row r="315" customFormat="false" ht="15" hidden="false" customHeight="false" outlineLevel="0" collapsed="false">
      <c r="A315" s="12"/>
      <c r="B315" s="13"/>
      <c r="C315" s="13"/>
      <c r="D315" s="14"/>
      <c r="E315" s="15"/>
      <c r="F315" s="16"/>
      <c r="G315" s="17"/>
      <c r="H315" s="18" t="n">
        <f aca="false">IF(AND(C315="Yakıt",D315&lt;&gt;""),SUMPRODUCT(MAX(($B$5:$B$1004=B315)*($C$5:$C$1004="Yakıt")*($D$5:$D$1004&lt;D315)*$D$5:$D$1004)),0)</f>
        <v>0</v>
      </c>
      <c r="I315" s="18" t="str">
        <f aca="false">IF(H315&gt;0,D315-H315,"")</f>
        <v/>
      </c>
      <c r="J315" s="19" t="str">
        <f aca="false">IF(OR(I315="",E315=""),"",E315/I315*100)</f>
        <v/>
      </c>
      <c r="K315" s="20" t="str">
        <f aca="false">IF(I315="","",F315/I315)</f>
        <v/>
      </c>
    </row>
    <row r="316" customFormat="false" ht="15" hidden="false" customHeight="false" outlineLevel="0" collapsed="false">
      <c r="A316" s="12"/>
      <c r="B316" s="13"/>
      <c r="C316" s="13"/>
      <c r="D316" s="14"/>
      <c r="E316" s="15"/>
      <c r="F316" s="16"/>
      <c r="G316" s="17"/>
      <c r="H316" s="18" t="n">
        <f aca="false">IF(AND(C316="Yakıt",D316&lt;&gt;""),SUMPRODUCT(MAX(($B$5:$B$1004=B316)*($C$5:$C$1004="Yakıt")*($D$5:$D$1004&lt;D316)*$D$5:$D$1004)),0)</f>
        <v>0</v>
      </c>
      <c r="I316" s="18" t="str">
        <f aca="false">IF(H316&gt;0,D316-H316,"")</f>
        <v/>
      </c>
      <c r="J316" s="19" t="str">
        <f aca="false">IF(OR(I316="",E316=""),"",E316/I316*100)</f>
        <v/>
      </c>
      <c r="K316" s="20" t="str">
        <f aca="false">IF(I316="","",F316/I316)</f>
        <v/>
      </c>
    </row>
    <row r="317" customFormat="false" ht="15" hidden="false" customHeight="false" outlineLevel="0" collapsed="false">
      <c r="A317" s="12"/>
      <c r="B317" s="13"/>
      <c r="C317" s="13"/>
      <c r="D317" s="14"/>
      <c r="E317" s="15"/>
      <c r="F317" s="16"/>
      <c r="G317" s="17"/>
      <c r="H317" s="18" t="n">
        <f aca="false">IF(AND(C317="Yakıt",D317&lt;&gt;""),SUMPRODUCT(MAX(($B$5:$B$1004=B317)*($C$5:$C$1004="Yakıt")*($D$5:$D$1004&lt;D317)*$D$5:$D$1004)),0)</f>
        <v>0</v>
      </c>
      <c r="I317" s="18" t="str">
        <f aca="false">IF(H317&gt;0,D317-H317,"")</f>
        <v/>
      </c>
      <c r="J317" s="19" t="str">
        <f aca="false">IF(OR(I317="",E317=""),"",E317/I317*100)</f>
        <v/>
      </c>
      <c r="K317" s="20" t="str">
        <f aca="false">IF(I317="","",F317/I317)</f>
        <v/>
      </c>
    </row>
    <row r="318" customFormat="false" ht="15" hidden="false" customHeight="false" outlineLevel="0" collapsed="false">
      <c r="A318" s="12"/>
      <c r="B318" s="13"/>
      <c r="C318" s="13"/>
      <c r="D318" s="14"/>
      <c r="E318" s="15"/>
      <c r="F318" s="16"/>
      <c r="G318" s="17"/>
      <c r="H318" s="18" t="n">
        <f aca="false">IF(AND(C318="Yakıt",D318&lt;&gt;""),SUMPRODUCT(MAX(($B$5:$B$1004=B318)*($C$5:$C$1004="Yakıt")*($D$5:$D$1004&lt;D318)*$D$5:$D$1004)),0)</f>
        <v>0</v>
      </c>
      <c r="I318" s="18" t="str">
        <f aca="false">IF(H318&gt;0,D318-H318,"")</f>
        <v/>
      </c>
      <c r="J318" s="19" t="str">
        <f aca="false">IF(OR(I318="",E318=""),"",E318/I318*100)</f>
        <v/>
      </c>
      <c r="K318" s="20" t="str">
        <f aca="false">IF(I318="","",F318/I318)</f>
        <v/>
      </c>
    </row>
    <row r="319" customFormat="false" ht="15" hidden="false" customHeight="false" outlineLevel="0" collapsed="false">
      <c r="A319" s="12"/>
      <c r="B319" s="13"/>
      <c r="C319" s="13"/>
      <c r="D319" s="14"/>
      <c r="E319" s="15"/>
      <c r="F319" s="16"/>
      <c r="G319" s="17"/>
      <c r="H319" s="18" t="n">
        <f aca="false">IF(AND(C319="Yakıt",D319&lt;&gt;""),SUMPRODUCT(MAX(($B$5:$B$1004=B319)*($C$5:$C$1004="Yakıt")*($D$5:$D$1004&lt;D319)*$D$5:$D$1004)),0)</f>
        <v>0</v>
      </c>
      <c r="I319" s="18" t="str">
        <f aca="false">IF(H319&gt;0,D319-H319,"")</f>
        <v/>
      </c>
      <c r="J319" s="19" t="str">
        <f aca="false">IF(OR(I319="",E319=""),"",E319/I319*100)</f>
        <v/>
      </c>
      <c r="K319" s="20" t="str">
        <f aca="false">IF(I319="","",F319/I319)</f>
        <v/>
      </c>
    </row>
    <row r="320" customFormat="false" ht="15" hidden="false" customHeight="false" outlineLevel="0" collapsed="false">
      <c r="A320" s="12"/>
      <c r="B320" s="13"/>
      <c r="C320" s="13"/>
      <c r="D320" s="14"/>
      <c r="E320" s="15"/>
      <c r="F320" s="16"/>
      <c r="G320" s="17"/>
      <c r="H320" s="18" t="n">
        <f aca="false">IF(AND(C320="Yakıt",D320&lt;&gt;""),SUMPRODUCT(MAX(($B$5:$B$1004=B320)*($C$5:$C$1004="Yakıt")*($D$5:$D$1004&lt;D320)*$D$5:$D$1004)),0)</f>
        <v>0</v>
      </c>
      <c r="I320" s="18" t="str">
        <f aca="false">IF(H320&gt;0,D320-H320,"")</f>
        <v/>
      </c>
      <c r="J320" s="19" t="str">
        <f aca="false">IF(OR(I320="",E320=""),"",E320/I320*100)</f>
        <v/>
      </c>
      <c r="K320" s="20" t="str">
        <f aca="false">IF(I320="","",F320/I320)</f>
        <v/>
      </c>
    </row>
    <row r="321" customFormat="false" ht="15" hidden="false" customHeight="false" outlineLevel="0" collapsed="false">
      <c r="A321" s="12"/>
      <c r="B321" s="13"/>
      <c r="C321" s="13"/>
      <c r="D321" s="14"/>
      <c r="E321" s="15"/>
      <c r="F321" s="16"/>
      <c r="G321" s="17"/>
      <c r="H321" s="18" t="n">
        <f aca="false">IF(AND(C321="Yakıt",D321&lt;&gt;""),SUMPRODUCT(MAX(($B$5:$B$1004=B321)*($C$5:$C$1004="Yakıt")*($D$5:$D$1004&lt;D321)*$D$5:$D$1004)),0)</f>
        <v>0</v>
      </c>
      <c r="I321" s="18" t="str">
        <f aca="false">IF(H321&gt;0,D321-H321,"")</f>
        <v/>
      </c>
      <c r="J321" s="19" t="str">
        <f aca="false">IF(OR(I321="",E321=""),"",E321/I321*100)</f>
        <v/>
      </c>
      <c r="K321" s="20" t="str">
        <f aca="false">IF(I321="","",F321/I321)</f>
        <v/>
      </c>
    </row>
    <row r="322" customFormat="false" ht="15" hidden="false" customHeight="false" outlineLevel="0" collapsed="false">
      <c r="A322" s="12"/>
      <c r="B322" s="13"/>
      <c r="C322" s="13"/>
      <c r="D322" s="14"/>
      <c r="E322" s="15"/>
      <c r="F322" s="16"/>
      <c r="G322" s="17"/>
      <c r="H322" s="18" t="n">
        <f aca="false">IF(AND(C322="Yakıt",D322&lt;&gt;""),SUMPRODUCT(MAX(($B$5:$B$1004=B322)*($C$5:$C$1004="Yakıt")*($D$5:$D$1004&lt;D322)*$D$5:$D$1004)),0)</f>
        <v>0</v>
      </c>
      <c r="I322" s="18" t="str">
        <f aca="false">IF(H322&gt;0,D322-H322,"")</f>
        <v/>
      </c>
      <c r="J322" s="19" t="str">
        <f aca="false">IF(OR(I322="",E322=""),"",E322/I322*100)</f>
        <v/>
      </c>
      <c r="K322" s="20" t="str">
        <f aca="false">IF(I322="","",F322/I322)</f>
        <v/>
      </c>
    </row>
    <row r="323" customFormat="false" ht="15" hidden="false" customHeight="false" outlineLevel="0" collapsed="false">
      <c r="A323" s="12"/>
      <c r="B323" s="13"/>
      <c r="C323" s="13"/>
      <c r="D323" s="14"/>
      <c r="E323" s="15"/>
      <c r="F323" s="16"/>
      <c r="G323" s="17"/>
      <c r="H323" s="18" t="n">
        <f aca="false">IF(AND(C323="Yakıt",D323&lt;&gt;""),SUMPRODUCT(MAX(($B$5:$B$1004=B323)*($C$5:$C$1004="Yakıt")*($D$5:$D$1004&lt;D323)*$D$5:$D$1004)),0)</f>
        <v>0</v>
      </c>
      <c r="I323" s="18" t="str">
        <f aca="false">IF(H323&gt;0,D323-H323,"")</f>
        <v/>
      </c>
      <c r="J323" s="19" t="str">
        <f aca="false">IF(OR(I323="",E323=""),"",E323/I323*100)</f>
        <v/>
      </c>
      <c r="K323" s="20" t="str">
        <f aca="false">IF(I323="","",F323/I323)</f>
        <v/>
      </c>
    </row>
    <row r="324" customFormat="false" ht="15" hidden="false" customHeight="false" outlineLevel="0" collapsed="false">
      <c r="A324" s="12"/>
      <c r="B324" s="13"/>
      <c r="C324" s="13"/>
      <c r="D324" s="14"/>
      <c r="E324" s="15"/>
      <c r="F324" s="16"/>
      <c r="G324" s="17"/>
      <c r="H324" s="18" t="n">
        <f aca="false">IF(AND(C324="Yakıt",D324&lt;&gt;""),SUMPRODUCT(MAX(($B$5:$B$1004=B324)*($C$5:$C$1004="Yakıt")*($D$5:$D$1004&lt;D324)*$D$5:$D$1004)),0)</f>
        <v>0</v>
      </c>
      <c r="I324" s="18" t="str">
        <f aca="false">IF(H324&gt;0,D324-H324,"")</f>
        <v/>
      </c>
      <c r="J324" s="19" t="str">
        <f aca="false">IF(OR(I324="",E324=""),"",E324/I324*100)</f>
        <v/>
      </c>
      <c r="K324" s="20" t="str">
        <f aca="false">IF(I324="","",F324/I324)</f>
        <v/>
      </c>
    </row>
    <row r="325" customFormat="false" ht="15" hidden="false" customHeight="false" outlineLevel="0" collapsed="false">
      <c r="A325" s="12"/>
      <c r="B325" s="13"/>
      <c r="C325" s="13"/>
      <c r="D325" s="14"/>
      <c r="E325" s="15"/>
      <c r="F325" s="16"/>
      <c r="G325" s="17"/>
      <c r="H325" s="18" t="n">
        <f aca="false">IF(AND(C325="Yakıt",D325&lt;&gt;""),SUMPRODUCT(MAX(($B$5:$B$1004=B325)*($C$5:$C$1004="Yakıt")*($D$5:$D$1004&lt;D325)*$D$5:$D$1004)),0)</f>
        <v>0</v>
      </c>
      <c r="I325" s="18" t="str">
        <f aca="false">IF(H325&gt;0,D325-H325,"")</f>
        <v/>
      </c>
      <c r="J325" s="19" t="str">
        <f aca="false">IF(OR(I325="",E325=""),"",E325/I325*100)</f>
        <v/>
      </c>
      <c r="K325" s="20" t="str">
        <f aca="false">IF(I325="","",F325/I325)</f>
        <v/>
      </c>
    </row>
    <row r="326" customFormat="false" ht="15" hidden="false" customHeight="false" outlineLevel="0" collapsed="false">
      <c r="A326" s="12"/>
      <c r="B326" s="13"/>
      <c r="C326" s="13"/>
      <c r="D326" s="14"/>
      <c r="E326" s="15"/>
      <c r="F326" s="16"/>
      <c r="G326" s="17"/>
      <c r="H326" s="18" t="n">
        <f aca="false">IF(AND(C326="Yakıt",D326&lt;&gt;""),SUMPRODUCT(MAX(($B$5:$B$1004=B326)*($C$5:$C$1004="Yakıt")*($D$5:$D$1004&lt;D326)*$D$5:$D$1004)),0)</f>
        <v>0</v>
      </c>
      <c r="I326" s="18" t="str">
        <f aca="false">IF(H326&gt;0,D326-H326,"")</f>
        <v/>
      </c>
      <c r="J326" s="19" t="str">
        <f aca="false">IF(OR(I326="",E326=""),"",E326/I326*100)</f>
        <v/>
      </c>
      <c r="K326" s="20" t="str">
        <f aca="false">IF(I326="","",F326/I326)</f>
        <v/>
      </c>
    </row>
    <row r="327" customFormat="false" ht="15" hidden="false" customHeight="false" outlineLevel="0" collapsed="false">
      <c r="A327" s="12"/>
      <c r="B327" s="13"/>
      <c r="C327" s="13"/>
      <c r="D327" s="14"/>
      <c r="E327" s="15"/>
      <c r="F327" s="16"/>
      <c r="G327" s="17"/>
      <c r="H327" s="18" t="n">
        <f aca="false">IF(AND(C327="Yakıt",D327&lt;&gt;""),SUMPRODUCT(MAX(($B$5:$B$1004=B327)*($C$5:$C$1004="Yakıt")*($D$5:$D$1004&lt;D327)*$D$5:$D$1004)),0)</f>
        <v>0</v>
      </c>
      <c r="I327" s="18" t="str">
        <f aca="false">IF(H327&gt;0,D327-H327,"")</f>
        <v/>
      </c>
      <c r="J327" s="19" t="str">
        <f aca="false">IF(OR(I327="",E327=""),"",E327/I327*100)</f>
        <v/>
      </c>
      <c r="K327" s="20" t="str">
        <f aca="false">IF(I327="","",F327/I327)</f>
        <v/>
      </c>
    </row>
    <row r="328" customFormat="false" ht="15" hidden="false" customHeight="false" outlineLevel="0" collapsed="false">
      <c r="A328" s="12"/>
      <c r="B328" s="13"/>
      <c r="C328" s="13"/>
      <c r="D328" s="14"/>
      <c r="E328" s="15"/>
      <c r="F328" s="16"/>
      <c r="G328" s="17"/>
      <c r="H328" s="18" t="n">
        <f aca="false">IF(AND(C328="Yakıt",D328&lt;&gt;""),SUMPRODUCT(MAX(($B$5:$B$1004=B328)*($C$5:$C$1004="Yakıt")*($D$5:$D$1004&lt;D328)*$D$5:$D$1004)),0)</f>
        <v>0</v>
      </c>
      <c r="I328" s="18" t="str">
        <f aca="false">IF(H328&gt;0,D328-H328,"")</f>
        <v/>
      </c>
      <c r="J328" s="19" t="str">
        <f aca="false">IF(OR(I328="",E328=""),"",E328/I328*100)</f>
        <v/>
      </c>
      <c r="K328" s="20" t="str">
        <f aca="false">IF(I328="","",F328/I328)</f>
        <v/>
      </c>
    </row>
    <row r="329" customFormat="false" ht="15" hidden="false" customHeight="false" outlineLevel="0" collapsed="false">
      <c r="A329" s="12"/>
      <c r="B329" s="13"/>
      <c r="C329" s="13"/>
      <c r="D329" s="14"/>
      <c r="E329" s="15"/>
      <c r="F329" s="16"/>
      <c r="G329" s="17"/>
      <c r="H329" s="18" t="n">
        <f aca="false">IF(AND(C329="Yakıt",D329&lt;&gt;""),SUMPRODUCT(MAX(($B$5:$B$1004=B329)*($C$5:$C$1004="Yakıt")*($D$5:$D$1004&lt;D329)*$D$5:$D$1004)),0)</f>
        <v>0</v>
      </c>
      <c r="I329" s="18" t="str">
        <f aca="false">IF(H329&gt;0,D329-H329,"")</f>
        <v/>
      </c>
      <c r="J329" s="19" t="str">
        <f aca="false">IF(OR(I329="",E329=""),"",E329/I329*100)</f>
        <v/>
      </c>
      <c r="K329" s="20" t="str">
        <f aca="false">IF(I329="","",F329/I329)</f>
        <v/>
      </c>
    </row>
    <row r="330" customFormat="false" ht="15" hidden="false" customHeight="false" outlineLevel="0" collapsed="false">
      <c r="A330" s="12"/>
      <c r="B330" s="13"/>
      <c r="C330" s="13"/>
      <c r="D330" s="14"/>
      <c r="E330" s="15"/>
      <c r="F330" s="16"/>
      <c r="G330" s="17"/>
      <c r="H330" s="18" t="n">
        <f aca="false">IF(AND(C330="Yakıt",D330&lt;&gt;""),SUMPRODUCT(MAX(($B$5:$B$1004=B330)*($C$5:$C$1004="Yakıt")*($D$5:$D$1004&lt;D330)*$D$5:$D$1004)),0)</f>
        <v>0</v>
      </c>
      <c r="I330" s="18" t="str">
        <f aca="false">IF(H330&gt;0,D330-H330,"")</f>
        <v/>
      </c>
      <c r="J330" s="19" t="str">
        <f aca="false">IF(OR(I330="",E330=""),"",E330/I330*100)</f>
        <v/>
      </c>
      <c r="K330" s="20" t="str">
        <f aca="false">IF(I330="","",F330/I330)</f>
        <v/>
      </c>
    </row>
    <row r="331" customFormat="false" ht="15" hidden="false" customHeight="false" outlineLevel="0" collapsed="false">
      <c r="A331" s="12"/>
      <c r="B331" s="13"/>
      <c r="C331" s="13"/>
      <c r="D331" s="14"/>
      <c r="E331" s="15"/>
      <c r="F331" s="16"/>
      <c r="G331" s="17"/>
      <c r="H331" s="18" t="n">
        <f aca="false">IF(AND(C331="Yakıt",D331&lt;&gt;""),SUMPRODUCT(MAX(($B$5:$B$1004=B331)*($C$5:$C$1004="Yakıt")*($D$5:$D$1004&lt;D331)*$D$5:$D$1004)),0)</f>
        <v>0</v>
      </c>
      <c r="I331" s="18" t="str">
        <f aca="false">IF(H331&gt;0,D331-H331,"")</f>
        <v/>
      </c>
      <c r="J331" s="19" t="str">
        <f aca="false">IF(OR(I331="",E331=""),"",E331/I331*100)</f>
        <v/>
      </c>
      <c r="K331" s="20" t="str">
        <f aca="false">IF(I331="","",F331/I331)</f>
        <v/>
      </c>
    </row>
    <row r="332" customFormat="false" ht="15" hidden="false" customHeight="false" outlineLevel="0" collapsed="false">
      <c r="A332" s="12"/>
      <c r="B332" s="13"/>
      <c r="C332" s="13"/>
      <c r="D332" s="14"/>
      <c r="E332" s="15"/>
      <c r="F332" s="16"/>
      <c r="G332" s="17"/>
      <c r="H332" s="18" t="n">
        <f aca="false">IF(AND(C332="Yakıt",D332&lt;&gt;""),SUMPRODUCT(MAX(($B$5:$B$1004=B332)*($C$5:$C$1004="Yakıt")*($D$5:$D$1004&lt;D332)*$D$5:$D$1004)),0)</f>
        <v>0</v>
      </c>
      <c r="I332" s="18" t="str">
        <f aca="false">IF(H332&gt;0,D332-H332,"")</f>
        <v/>
      </c>
      <c r="J332" s="19" t="str">
        <f aca="false">IF(OR(I332="",E332=""),"",E332/I332*100)</f>
        <v/>
      </c>
      <c r="K332" s="20" t="str">
        <f aca="false">IF(I332="","",F332/I332)</f>
        <v/>
      </c>
    </row>
    <row r="333" customFormat="false" ht="15" hidden="false" customHeight="false" outlineLevel="0" collapsed="false">
      <c r="A333" s="12"/>
      <c r="B333" s="13"/>
      <c r="C333" s="13"/>
      <c r="D333" s="14"/>
      <c r="E333" s="15"/>
      <c r="F333" s="16"/>
      <c r="G333" s="17"/>
      <c r="H333" s="18" t="n">
        <f aca="false">IF(AND(C333="Yakıt",D333&lt;&gt;""),SUMPRODUCT(MAX(($B$5:$B$1004=B333)*($C$5:$C$1004="Yakıt")*($D$5:$D$1004&lt;D333)*$D$5:$D$1004)),0)</f>
        <v>0</v>
      </c>
      <c r="I333" s="18" t="str">
        <f aca="false">IF(H333&gt;0,D333-H333,"")</f>
        <v/>
      </c>
      <c r="J333" s="19" t="str">
        <f aca="false">IF(OR(I333="",E333=""),"",E333/I333*100)</f>
        <v/>
      </c>
      <c r="K333" s="20" t="str">
        <f aca="false">IF(I333="","",F333/I333)</f>
        <v/>
      </c>
    </row>
    <row r="334" customFormat="false" ht="15" hidden="false" customHeight="false" outlineLevel="0" collapsed="false">
      <c r="A334" s="12"/>
      <c r="B334" s="13"/>
      <c r="C334" s="13"/>
      <c r="D334" s="14"/>
      <c r="E334" s="15"/>
      <c r="F334" s="16"/>
      <c r="G334" s="17"/>
      <c r="H334" s="18" t="n">
        <f aca="false">IF(AND(C334="Yakıt",D334&lt;&gt;""),SUMPRODUCT(MAX(($B$5:$B$1004=B334)*($C$5:$C$1004="Yakıt")*($D$5:$D$1004&lt;D334)*$D$5:$D$1004)),0)</f>
        <v>0</v>
      </c>
      <c r="I334" s="18" t="str">
        <f aca="false">IF(H334&gt;0,D334-H334,"")</f>
        <v/>
      </c>
      <c r="J334" s="19" t="str">
        <f aca="false">IF(OR(I334="",E334=""),"",E334/I334*100)</f>
        <v/>
      </c>
      <c r="K334" s="20" t="str">
        <f aca="false">IF(I334="","",F334/I334)</f>
        <v/>
      </c>
    </row>
    <row r="335" customFormat="false" ht="15" hidden="false" customHeight="false" outlineLevel="0" collapsed="false">
      <c r="A335" s="12"/>
      <c r="B335" s="13"/>
      <c r="C335" s="13"/>
      <c r="D335" s="14"/>
      <c r="E335" s="15"/>
      <c r="F335" s="16"/>
      <c r="G335" s="17"/>
      <c r="H335" s="18" t="n">
        <f aca="false">IF(AND(C335="Yakıt",D335&lt;&gt;""),SUMPRODUCT(MAX(($B$5:$B$1004=B335)*($C$5:$C$1004="Yakıt")*($D$5:$D$1004&lt;D335)*$D$5:$D$1004)),0)</f>
        <v>0</v>
      </c>
      <c r="I335" s="18" t="str">
        <f aca="false">IF(H335&gt;0,D335-H335,"")</f>
        <v/>
      </c>
      <c r="J335" s="19" t="str">
        <f aca="false">IF(OR(I335="",E335=""),"",E335/I335*100)</f>
        <v/>
      </c>
      <c r="K335" s="20" t="str">
        <f aca="false">IF(I335="","",F335/I335)</f>
        <v/>
      </c>
    </row>
    <row r="336" customFormat="false" ht="15" hidden="false" customHeight="false" outlineLevel="0" collapsed="false">
      <c r="A336" s="12"/>
      <c r="B336" s="13"/>
      <c r="C336" s="13"/>
      <c r="D336" s="14"/>
      <c r="E336" s="15"/>
      <c r="F336" s="16"/>
      <c r="G336" s="17"/>
      <c r="H336" s="18" t="n">
        <f aca="false">IF(AND(C336="Yakıt",D336&lt;&gt;""),SUMPRODUCT(MAX(($B$5:$B$1004=B336)*($C$5:$C$1004="Yakıt")*($D$5:$D$1004&lt;D336)*$D$5:$D$1004)),0)</f>
        <v>0</v>
      </c>
      <c r="I336" s="18" t="str">
        <f aca="false">IF(H336&gt;0,D336-H336,"")</f>
        <v/>
      </c>
      <c r="J336" s="19" t="str">
        <f aca="false">IF(OR(I336="",E336=""),"",E336/I336*100)</f>
        <v/>
      </c>
      <c r="K336" s="20" t="str">
        <f aca="false">IF(I336="","",F336/I336)</f>
        <v/>
      </c>
    </row>
    <row r="337" customFormat="false" ht="15" hidden="false" customHeight="false" outlineLevel="0" collapsed="false">
      <c r="A337" s="12"/>
      <c r="B337" s="13"/>
      <c r="C337" s="13"/>
      <c r="D337" s="14"/>
      <c r="E337" s="15"/>
      <c r="F337" s="16"/>
      <c r="G337" s="17"/>
      <c r="H337" s="18" t="n">
        <f aca="false">IF(AND(C337="Yakıt",D337&lt;&gt;""),SUMPRODUCT(MAX(($B$5:$B$1004=B337)*($C$5:$C$1004="Yakıt")*($D$5:$D$1004&lt;D337)*$D$5:$D$1004)),0)</f>
        <v>0</v>
      </c>
      <c r="I337" s="18" t="str">
        <f aca="false">IF(H337&gt;0,D337-H337,"")</f>
        <v/>
      </c>
      <c r="J337" s="19" t="str">
        <f aca="false">IF(OR(I337="",E337=""),"",E337/I337*100)</f>
        <v/>
      </c>
      <c r="K337" s="20" t="str">
        <f aca="false">IF(I337="","",F337/I337)</f>
        <v/>
      </c>
    </row>
    <row r="338" customFormat="false" ht="15" hidden="false" customHeight="false" outlineLevel="0" collapsed="false">
      <c r="A338" s="12"/>
      <c r="B338" s="13"/>
      <c r="C338" s="13"/>
      <c r="D338" s="14"/>
      <c r="E338" s="15"/>
      <c r="F338" s="16"/>
      <c r="G338" s="17"/>
      <c r="H338" s="18" t="n">
        <f aca="false">IF(AND(C338="Yakıt",D338&lt;&gt;""),SUMPRODUCT(MAX(($B$5:$B$1004=B338)*($C$5:$C$1004="Yakıt")*($D$5:$D$1004&lt;D338)*$D$5:$D$1004)),0)</f>
        <v>0</v>
      </c>
      <c r="I338" s="18" t="str">
        <f aca="false">IF(H338&gt;0,D338-H338,"")</f>
        <v/>
      </c>
      <c r="J338" s="19" t="str">
        <f aca="false">IF(OR(I338="",E338=""),"",E338/I338*100)</f>
        <v/>
      </c>
      <c r="K338" s="20" t="str">
        <f aca="false">IF(I338="","",F338/I338)</f>
        <v/>
      </c>
    </row>
    <row r="339" customFormat="false" ht="15" hidden="false" customHeight="false" outlineLevel="0" collapsed="false">
      <c r="A339" s="12"/>
      <c r="B339" s="13"/>
      <c r="C339" s="13"/>
      <c r="D339" s="14"/>
      <c r="E339" s="15"/>
      <c r="F339" s="16"/>
      <c r="G339" s="17"/>
      <c r="H339" s="18" t="n">
        <f aca="false">IF(AND(C339="Yakıt",D339&lt;&gt;""),SUMPRODUCT(MAX(($B$5:$B$1004=B339)*($C$5:$C$1004="Yakıt")*($D$5:$D$1004&lt;D339)*$D$5:$D$1004)),0)</f>
        <v>0</v>
      </c>
      <c r="I339" s="18" t="str">
        <f aca="false">IF(H339&gt;0,D339-H339,"")</f>
        <v/>
      </c>
      <c r="J339" s="19" t="str">
        <f aca="false">IF(OR(I339="",E339=""),"",E339/I339*100)</f>
        <v/>
      </c>
      <c r="K339" s="20" t="str">
        <f aca="false">IF(I339="","",F339/I339)</f>
        <v/>
      </c>
    </row>
    <row r="340" customFormat="false" ht="15" hidden="false" customHeight="false" outlineLevel="0" collapsed="false">
      <c r="A340" s="12"/>
      <c r="B340" s="13"/>
      <c r="C340" s="13"/>
      <c r="D340" s="14"/>
      <c r="E340" s="15"/>
      <c r="F340" s="16"/>
      <c r="G340" s="17"/>
      <c r="H340" s="18" t="n">
        <f aca="false">IF(AND(C340="Yakıt",D340&lt;&gt;""),SUMPRODUCT(MAX(($B$5:$B$1004=B340)*($C$5:$C$1004="Yakıt")*($D$5:$D$1004&lt;D340)*$D$5:$D$1004)),0)</f>
        <v>0</v>
      </c>
      <c r="I340" s="18" t="str">
        <f aca="false">IF(H340&gt;0,D340-H340,"")</f>
        <v/>
      </c>
      <c r="J340" s="19" t="str">
        <f aca="false">IF(OR(I340="",E340=""),"",E340/I340*100)</f>
        <v/>
      </c>
      <c r="K340" s="20" t="str">
        <f aca="false">IF(I340="","",F340/I340)</f>
        <v/>
      </c>
    </row>
    <row r="341" customFormat="false" ht="15" hidden="false" customHeight="false" outlineLevel="0" collapsed="false">
      <c r="A341" s="12"/>
      <c r="B341" s="13"/>
      <c r="C341" s="13"/>
      <c r="D341" s="14"/>
      <c r="E341" s="15"/>
      <c r="F341" s="16"/>
      <c r="G341" s="17"/>
      <c r="H341" s="18" t="n">
        <f aca="false">IF(AND(C341="Yakıt",D341&lt;&gt;""),SUMPRODUCT(MAX(($B$5:$B$1004=B341)*($C$5:$C$1004="Yakıt")*($D$5:$D$1004&lt;D341)*$D$5:$D$1004)),0)</f>
        <v>0</v>
      </c>
      <c r="I341" s="18" t="str">
        <f aca="false">IF(H341&gt;0,D341-H341,"")</f>
        <v/>
      </c>
      <c r="J341" s="19" t="str">
        <f aca="false">IF(OR(I341="",E341=""),"",E341/I341*100)</f>
        <v/>
      </c>
      <c r="K341" s="20" t="str">
        <f aca="false">IF(I341="","",F341/I341)</f>
        <v/>
      </c>
    </row>
    <row r="342" customFormat="false" ht="15" hidden="false" customHeight="false" outlineLevel="0" collapsed="false">
      <c r="A342" s="12"/>
      <c r="B342" s="13"/>
      <c r="C342" s="13"/>
      <c r="D342" s="14"/>
      <c r="E342" s="15"/>
      <c r="F342" s="16"/>
      <c r="G342" s="17"/>
      <c r="H342" s="18" t="n">
        <f aca="false">IF(AND(C342="Yakıt",D342&lt;&gt;""),SUMPRODUCT(MAX(($B$5:$B$1004=B342)*($C$5:$C$1004="Yakıt")*($D$5:$D$1004&lt;D342)*$D$5:$D$1004)),0)</f>
        <v>0</v>
      </c>
      <c r="I342" s="18" t="str">
        <f aca="false">IF(H342&gt;0,D342-H342,"")</f>
        <v/>
      </c>
      <c r="J342" s="19" t="str">
        <f aca="false">IF(OR(I342="",E342=""),"",E342/I342*100)</f>
        <v/>
      </c>
      <c r="K342" s="20" t="str">
        <f aca="false">IF(I342="","",F342/I342)</f>
        <v/>
      </c>
    </row>
    <row r="343" customFormat="false" ht="15" hidden="false" customHeight="false" outlineLevel="0" collapsed="false">
      <c r="A343" s="12"/>
      <c r="B343" s="13"/>
      <c r="C343" s="13"/>
      <c r="D343" s="14"/>
      <c r="E343" s="15"/>
      <c r="F343" s="16"/>
      <c r="G343" s="17"/>
      <c r="H343" s="18" t="n">
        <f aca="false">IF(AND(C343="Yakıt",D343&lt;&gt;""),SUMPRODUCT(MAX(($B$5:$B$1004=B343)*($C$5:$C$1004="Yakıt")*($D$5:$D$1004&lt;D343)*$D$5:$D$1004)),0)</f>
        <v>0</v>
      </c>
      <c r="I343" s="18" t="str">
        <f aca="false">IF(H343&gt;0,D343-H343,"")</f>
        <v/>
      </c>
      <c r="J343" s="19" t="str">
        <f aca="false">IF(OR(I343="",E343=""),"",E343/I343*100)</f>
        <v/>
      </c>
      <c r="K343" s="20" t="str">
        <f aca="false">IF(I343="","",F343/I343)</f>
        <v/>
      </c>
    </row>
    <row r="344" customFormat="false" ht="15" hidden="false" customHeight="false" outlineLevel="0" collapsed="false">
      <c r="A344" s="12"/>
      <c r="B344" s="13"/>
      <c r="C344" s="13"/>
      <c r="D344" s="14"/>
      <c r="E344" s="15"/>
      <c r="F344" s="16"/>
      <c r="G344" s="17"/>
      <c r="H344" s="18" t="n">
        <f aca="false">IF(AND(C344="Yakıt",D344&lt;&gt;""),SUMPRODUCT(MAX(($B$5:$B$1004=B344)*($C$5:$C$1004="Yakıt")*($D$5:$D$1004&lt;D344)*$D$5:$D$1004)),0)</f>
        <v>0</v>
      </c>
      <c r="I344" s="18" t="str">
        <f aca="false">IF(H344&gt;0,D344-H344,"")</f>
        <v/>
      </c>
      <c r="J344" s="19" t="str">
        <f aca="false">IF(OR(I344="",E344=""),"",E344/I344*100)</f>
        <v/>
      </c>
      <c r="K344" s="20" t="str">
        <f aca="false">IF(I344="","",F344/I344)</f>
        <v/>
      </c>
    </row>
    <row r="345" customFormat="false" ht="15" hidden="false" customHeight="false" outlineLevel="0" collapsed="false">
      <c r="A345" s="12"/>
      <c r="B345" s="13"/>
      <c r="C345" s="13"/>
      <c r="D345" s="14"/>
      <c r="E345" s="15"/>
      <c r="F345" s="16"/>
      <c r="G345" s="17"/>
      <c r="H345" s="18" t="n">
        <f aca="false">IF(AND(C345="Yakıt",D345&lt;&gt;""),SUMPRODUCT(MAX(($B$5:$B$1004=B345)*($C$5:$C$1004="Yakıt")*($D$5:$D$1004&lt;D345)*$D$5:$D$1004)),0)</f>
        <v>0</v>
      </c>
      <c r="I345" s="18" t="str">
        <f aca="false">IF(H345&gt;0,D345-H345,"")</f>
        <v/>
      </c>
      <c r="J345" s="19" t="str">
        <f aca="false">IF(OR(I345="",E345=""),"",E345/I345*100)</f>
        <v/>
      </c>
      <c r="K345" s="20" t="str">
        <f aca="false">IF(I345="","",F345/I345)</f>
        <v/>
      </c>
    </row>
    <row r="346" customFormat="false" ht="15" hidden="false" customHeight="false" outlineLevel="0" collapsed="false">
      <c r="A346" s="12"/>
      <c r="B346" s="13"/>
      <c r="C346" s="13"/>
      <c r="D346" s="14"/>
      <c r="E346" s="15"/>
      <c r="F346" s="16"/>
      <c r="G346" s="17"/>
      <c r="H346" s="18" t="n">
        <f aca="false">IF(AND(C346="Yakıt",D346&lt;&gt;""),SUMPRODUCT(MAX(($B$5:$B$1004=B346)*($C$5:$C$1004="Yakıt")*($D$5:$D$1004&lt;D346)*$D$5:$D$1004)),0)</f>
        <v>0</v>
      </c>
      <c r="I346" s="18" t="str">
        <f aca="false">IF(H346&gt;0,D346-H346,"")</f>
        <v/>
      </c>
      <c r="J346" s="19" t="str">
        <f aca="false">IF(OR(I346="",E346=""),"",E346/I346*100)</f>
        <v/>
      </c>
      <c r="K346" s="20" t="str">
        <f aca="false">IF(I346="","",F346/I346)</f>
        <v/>
      </c>
    </row>
    <row r="347" customFormat="false" ht="15" hidden="false" customHeight="false" outlineLevel="0" collapsed="false">
      <c r="A347" s="12"/>
      <c r="B347" s="13"/>
      <c r="C347" s="13"/>
      <c r="D347" s="14"/>
      <c r="E347" s="15"/>
      <c r="F347" s="16"/>
      <c r="G347" s="17"/>
      <c r="H347" s="18" t="n">
        <f aca="false">IF(AND(C347="Yakıt",D347&lt;&gt;""),SUMPRODUCT(MAX(($B$5:$B$1004=B347)*($C$5:$C$1004="Yakıt")*($D$5:$D$1004&lt;D347)*$D$5:$D$1004)),0)</f>
        <v>0</v>
      </c>
      <c r="I347" s="18" t="str">
        <f aca="false">IF(H347&gt;0,D347-H347,"")</f>
        <v/>
      </c>
      <c r="J347" s="19" t="str">
        <f aca="false">IF(OR(I347="",E347=""),"",E347/I347*100)</f>
        <v/>
      </c>
      <c r="K347" s="20" t="str">
        <f aca="false">IF(I347="","",F347/I347)</f>
        <v/>
      </c>
    </row>
    <row r="348" customFormat="false" ht="15" hidden="false" customHeight="false" outlineLevel="0" collapsed="false">
      <c r="A348" s="12"/>
      <c r="B348" s="13"/>
      <c r="C348" s="13"/>
      <c r="D348" s="14"/>
      <c r="E348" s="15"/>
      <c r="F348" s="16"/>
      <c r="G348" s="17"/>
      <c r="H348" s="18" t="n">
        <f aca="false">IF(AND(C348="Yakıt",D348&lt;&gt;""),SUMPRODUCT(MAX(($B$5:$B$1004=B348)*($C$5:$C$1004="Yakıt")*($D$5:$D$1004&lt;D348)*$D$5:$D$1004)),0)</f>
        <v>0</v>
      </c>
      <c r="I348" s="18" t="str">
        <f aca="false">IF(H348&gt;0,D348-H348,"")</f>
        <v/>
      </c>
      <c r="J348" s="19" t="str">
        <f aca="false">IF(OR(I348="",E348=""),"",E348/I348*100)</f>
        <v/>
      </c>
      <c r="K348" s="20" t="str">
        <f aca="false">IF(I348="","",F348/I348)</f>
        <v/>
      </c>
    </row>
    <row r="349" customFormat="false" ht="15" hidden="false" customHeight="false" outlineLevel="0" collapsed="false">
      <c r="A349" s="12"/>
      <c r="B349" s="13"/>
      <c r="C349" s="13"/>
      <c r="D349" s="14"/>
      <c r="E349" s="15"/>
      <c r="F349" s="16"/>
      <c r="G349" s="17"/>
      <c r="H349" s="18" t="n">
        <f aca="false">IF(AND(C349="Yakıt",D349&lt;&gt;""),SUMPRODUCT(MAX(($B$5:$B$1004=B349)*($C$5:$C$1004="Yakıt")*($D$5:$D$1004&lt;D349)*$D$5:$D$1004)),0)</f>
        <v>0</v>
      </c>
      <c r="I349" s="18" t="str">
        <f aca="false">IF(H349&gt;0,D349-H349,"")</f>
        <v/>
      </c>
      <c r="J349" s="19" t="str">
        <f aca="false">IF(OR(I349="",E349=""),"",E349/I349*100)</f>
        <v/>
      </c>
      <c r="K349" s="20" t="str">
        <f aca="false">IF(I349="","",F349/I349)</f>
        <v/>
      </c>
    </row>
    <row r="350" customFormat="false" ht="15" hidden="false" customHeight="false" outlineLevel="0" collapsed="false">
      <c r="A350" s="12"/>
      <c r="B350" s="13"/>
      <c r="C350" s="13"/>
      <c r="D350" s="14"/>
      <c r="E350" s="15"/>
      <c r="F350" s="16"/>
      <c r="G350" s="17"/>
      <c r="H350" s="18" t="n">
        <f aca="false">IF(AND(C350="Yakıt",D350&lt;&gt;""),SUMPRODUCT(MAX(($B$5:$B$1004=B350)*($C$5:$C$1004="Yakıt")*($D$5:$D$1004&lt;D350)*$D$5:$D$1004)),0)</f>
        <v>0</v>
      </c>
      <c r="I350" s="18" t="str">
        <f aca="false">IF(H350&gt;0,D350-H350,"")</f>
        <v/>
      </c>
      <c r="J350" s="19" t="str">
        <f aca="false">IF(OR(I350="",E350=""),"",E350/I350*100)</f>
        <v/>
      </c>
      <c r="K350" s="20" t="str">
        <f aca="false">IF(I350="","",F350/I350)</f>
        <v/>
      </c>
    </row>
    <row r="351" customFormat="false" ht="15" hidden="false" customHeight="false" outlineLevel="0" collapsed="false">
      <c r="A351" s="12"/>
      <c r="B351" s="13"/>
      <c r="C351" s="13"/>
      <c r="D351" s="14"/>
      <c r="E351" s="15"/>
      <c r="F351" s="16"/>
      <c r="G351" s="17"/>
      <c r="H351" s="18" t="n">
        <f aca="false">IF(AND(C351="Yakıt",D351&lt;&gt;""),SUMPRODUCT(MAX(($B$5:$B$1004=B351)*($C$5:$C$1004="Yakıt")*($D$5:$D$1004&lt;D351)*$D$5:$D$1004)),0)</f>
        <v>0</v>
      </c>
      <c r="I351" s="18" t="str">
        <f aca="false">IF(H351&gt;0,D351-H351,"")</f>
        <v/>
      </c>
      <c r="J351" s="19" t="str">
        <f aca="false">IF(OR(I351="",E351=""),"",E351/I351*100)</f>
        <v/>
      </c>
      <c r="K351" s="20" t="str">
        <f aca="false">IF(I351="","",F351/I351)</f>
        <v/>
      </c>
    </row>
    <row r="352" customFormat="false" ht="15" hidden="false" customHeight="false" outlineLevel="0" collapsed="false">
      <c r="A352" s="12"/>
      <c r="B352" s="13"/>
      <c r="C352" s="13"/>
      <c r="D352" s="14"/>
      <c r="E352" s="15"/>
      <c r="F352" s="16"/>
      <c r="G352" s="17"/>
      <c r="H352" s="18" t="n">
        <f aca="false">IF(AND(C352="Yakıt",D352&lt;&gt;""),SUMPRODUCT(MAX(($B$5:$B$1004=B352)*($C$5:$C$1004="Yakıt")*($D$5:$D$1004&lt;D352)*$D$5:$D$1004)),0)</f>
        <v>0</v>
      </c>
      <c r="I352" s="18" t="str">
        <f aca="false">IF(H352&gt;0,D352-H352,"")</f>
        <v/>
      </c>
      <c r="J352" s="19" t="str">
        <f aca="false">IF(OR(I352="",E352=""),"",E352/I352*100)</f>
        <v/>
      </c>
      <c r="K352" s="20" t="str">
        <f aca="false">IF(I352="","",F352/I352)</f>
        <v/>
      </c>
    </row>
    <row r="353" customFormat="false" ht="15" hidden="false" customHeight="false" outlineLevel="0" collapsed="false">
      <c r="A353" s="12"/>
      <c r="B353" s="13"/>
      <c r="C353" s="13"/>
      <c r="D353" s="14"/>
      <c r="E353" s="15"/>
      <c r="F353" s="16"/>
      <c r="G353" s="17"/>
      <c r="H353" s="18" t="n">
        <f aca="false">IF(AND(C353="Yakıt",D353&lt;&gt;""),SUMPRODUCT(MAX(($B$5:$B$1004=B353)*($C$5:$C$1004="Yakıt")*($D$5:$D$1004&lt;D353)*$D$5:$D$1004)),0)</f>
        <v>0</v>
      </c>
      <c r="I353" s="18" t="str">
        <f aca="false">IF(H353&gt;0,D353-H353,"")</f>
        <v/>
      </c>
      <c r="J353" s="19" t="str">
        <f aca="false">IF(OR(I353="",E353=""),"",E353/I353*100)</f>
        <v/>
      </c>
      <c r="K353" s="20" t="str">
        <f aca="false">IF(I353="","",F353/I353)</f>
        <v/>
      </c>
    </row>
    <row r="354" customFormat="false" ht="15" hidden="false" customHeight="false" outlineLevel="0" collapsed="false">
      <c r="A354" s="12"/>
      <c r="B354" s="13"/>
      <c r="C354" s="13"/>
      <c r="D354" s="14"/>
      <c r="E354" s="15"/>
      <c r="F354" s="16"/>
      <c r="G354" s="17"/>
      <c r="H354" s="18" t="n">
        <f aca="false">IF(AND(C354="Yakıt",D354&lt;&gt;""),SUMPRODUCT(MAX(($B$5:$B$1004=B354)*($C$5:$C$1004="Yakıt")*($D$5:$D$1004&lt;D354)*$D$5:$D$1004)),0)</f>
        <v>0</v>
      </c>
      <c r="I354" s="18" t="str">
        <f aca="false">IF(H354&gt;0,D354-H354,"")</f>
        <v/>
      </c>
      <c r="J354" s="19" t="str">
        <f aca="false">IF(OR(I354="",E354=""),"",E354/I354*100)</f>
        <v/>
      </c>
      <c r="K354" s="20" t="str">
        <f aca="false">IF(I354="","",F354/I354)</f>
        <v/>
      </c>
    </row>
    <row r="355" customFormat="false" ht="15" hidden="false" customHeight="false" outlineLevel="0" collapsed="false">
      <c r="A355" s="12"/>
      <c r="B355" s="13"/>
      <c r="C355" s="13"/>
      <c r="D355" s="14"/>
      <c r="E355" s="15"/>
      <c r="F355" s="16"/>
      <c r="G355" s="17"/>
      <c r="H355" s="18" t="n">
        <f aca="false">IF(AND(C355="Yakıt",D355&lt;&gt;""),SUMPRODUCT(MAX(($B$5:$B$1004=B355)*($C$5:$C$1004="Yakıt")*($D$5:$D$1004&lt;D355)*$D$5:$D$1004)),0)</f>
        <v>0</v>
      </c>
      <c r="I355" s="18" t="str">
        <f aca="false">IF(H355&gt;0,D355-H355,"")</f>
        <v/>
      </c>
      <c r="J355" s="19" t="str">
        <f aca="false">IF(OR(I355="",E355=""),"",E355/I355*100)</f>
        <v/>
      </c>
      <c r="K355" s="20" t="str">
        <f aca="false">IF(I355="","",F355/I355)</f>
        <v/>
      </c>
    </row>
    <row r="356" customFormat="false" ht="15" hidden="false" customHeight="false" outlineLevel="0" collapsed="false">
      <c r="A356" s="12"/>
      <c r="B356" s="13"/>
      <c r="C356" s="13"/>
      <c r="D356" s="14"/>
      <c r="E356" s="15"/>
      <c r="F356" s="16"/>
      <c r="G356" s="17"/>
      <c r="H356" s="18" t="n">
        <f aca="false">IF(AND(C356="Yakıt",D356&lt;&gt;""),SUMPRODUCT(MAX(($B$5:$B$1004=B356)*($C$5:$C$1004="Yakıt")*($D$5:$D$1004&lt;D356)*$D$5:$D$1004)),0)</f>
        <v>0</v>
      </c>
      <c r="I356" s="18" t="str">
        <f aca="false">IF(H356&gt;0,D356-H356,"")</f>
        <v/>
      </c>
      <c r="J356" s="19" t="str">
        <f aca="false">IF(OR(I356="",E356=""),"",E356/I356*100)</f>
        <v/>
      </c>
      <c r="K356" s="20" t="str">
        <f aca="false">IF(I356="","",F356/I356)</f>
        <v/>
      </c>
    </row>
    <row r="357" customFormat="false" ht="15" hidden="false" customHeight="false" outlineLevel="0" collapsed="false">
      <c r="A357" s="12"/>
      <c r="B357" s="13"/>
      <c r="C357" s="13"/>
      <c r="D357" s="14"/>
      <c r="E357" s="15"/>
      <c r="F357" s="16"/>
      <c r="G357" s="17"/>
      <c r="H357" s="18" t="n">
        <f aca="false">IF(AND(C357="Yakıt",D357&lt;&gt;""),SUMPRODUCT(MAX(($B$5:$B$1004=B357)*($C$5:$C$1004="Yakıt")*($D$5:$D$1004&lt;D357)*$D$5:$D$1004)),0)</f>
        <v>0</v>
      </c>
      <c r="I357" s="18" t="str">
        <f aca="false">IF(H357&gt;0,D357-H357,"")</f>
        <v/>
      </c>
      <c r="J357" s="19" t="str">
        <f aca="false">IF(OR(I357="",E357=""),"",E357/I357*100)</f>
        <v/>
      </c>
      <c r="K357" s="20" t="str">
        <f aca="false">IF(I357="","",F357/I357)</f>
        <v/>
      </c>
    </row>
    <row r="358" customFormat="false" ht="15" hidden="false" customHeight="false" outlineLevel="0" collapsed="false">
      <c r="A358" s="12"/>
      <c r="B358" s="13"/>
      <c r="C358" s="13"/>
      <c r="D358" s="14"/>
      <c r="E358" s="15"/>
      <c r="F358" s="16"/>
      <c r="G358" s="17"/>
      <c r="H358" s="18" t="n">
        <f aca="false">IF(AND(C358="Yakıt",D358&lt;&gt;""),SUMPRODUCT(MAX(($B$5:$B$1004=B358)*($C$5:$C$1004="Yakıt")*($D$5:$D$1004&lt;D358)*$D$5:$D$1004)),0)</f>
        <v>0</v>
      </c>
      <c r="I358" s="18" t="str">
        <f aca="false">IF(H358&gt;0,D358-H358,"")</f>
        <v/>
      </c>
      <c r="J358" s="19" t="str">
        <f aca="false">IF(OR(I358="",E358=""),"",E358/I358*100)</f>
        <v/>
      </c>
      <c r="K358" s="20" t="str">
        <f aca="false">IF(I358="","",F358/I358)</f>
        <v/>
      </c>
    </row>
    <row r="359" customFormat="false" ht="15" hidden="false" customHeight="false" outlineLevel="0" collapsed="false">
      <c r="A359" s="12"/>
      <c r="B359" s="13"/>
      <c r="C359" s="13"/>
      <c r="D359" s="14"/>
      <c r="E359" s="15"/>
      <c r="F359" s="16"/>
      <c r="G359" s="17"/>
      <c r="H359" s="18" t="n">
        <f aca="false">IF(AND(C359="Yakıt",D359&lt;&gt;""),SUMPRODUCT(MAX(($B$5:$B$1004=B359)*($C$5:$C$1004="Yakıt")*($D$5:$D$1004&lt;D359)*$D$5:$D$1004)),0)</f>
        <v>0</v>
      </c>
      <c r="I359" s="18" t="str">
        <f aca="false">IF(H359&gt;0,D359-H359,"")</f>
        <v/>
      </c>
      <c r="J359" s="19" t="str">
        <f aca="false">IF(OR(I359="",E359=""),"",E359/I359*100)</f>
        <v/>
      </c>
      <c r="K359" s="20" t="str">
        <f aca="false">IF(I359="","",F359/I359)</f>
        <v/>
      </c>
    </row>
    <row r="360" customFormat="false" ht="15" hidden="false" customHeight="false" outlineLevel="0" collapsed="false">
      <c r="A360" s="12"/>
      <c r="B360" s="13"/>
      <c r="C360" s="13"/>
      <c r="D360" s="14"/>
      <c r="E360" s="15"/>
      <c r="F360" s="16"/>
      <c r="G360" s="17"/>
      <c r="H360" s="18" t="n">
        <f aca="false">IF(AND(C360="Yakıt",D360&lt;&gt;""),SUMPRODUCT(MAX(($B$5:$B$1004=B360)*($C$5:$C$1004="Yakıt")*($D$5:$D$1004&lt;D360)*$D$5:$D$1004)),0)</f>
        <v>0</v>
      </c>
      <c r="I360" s="18" t="str">
        <f aca="false">IF(H360&gt;0,D360-H360,"")</f>
        <v/>
      </c>
      <c r="J360" s="19" t="str">
        <f aca="false">IF(OR(I360="",E360=""),"",E360/I360*100)</f>
        <v/>
      </c>
      <c r="K360" s="20" t="str">
        <f aca="false">IF(I360="","",F360/I360)</f>
        <v/>
      </c>
    </row>
    <row r="361" customFormat="false" ht="15" hidden="false" customHeight="false" outlineLevel="0" collapsed="false">
      <c r="A361" s="12"/>
      <c r="B361" s="13"/>
      <c r="C361" s="13"/>
      <c r="D361" s="14"/>
      <c r="E361" s="15"/>
      <c r="F361" s="16"/>
      <c r="G361" s="17"/>
      <c r="H361" s="18" t="n">
        <f aca="false">IF(AND(C361="Yakıt",D361&lt;&gt;""),SUMPRODUCT(MAX(($B$5:$B$1004=B361)*($C$5:$C$1004="Yakıt")*($D$5:$D$1004&lt;D361)*$D$5:$D$1004)),0)</f>
        <v>0</v>
      </c>
      <c r="I361" s="18" t="str">
        <f aca="false">IF(H361&gt;0,D361-H361,"")</f>
        <v/>
      </c>
      <c r="J361" s="19" t="str">
        <f aca="false">IF(OR(I361="",E361=""),"",E361/I361*100)</f>
        <v/>
      </c>
      <c r="K361" s="20" t="str">
        <f aca="false">IF(I361="","",F361/I361)</f>
        <v/>
      </c>
    </row>
    <row r="362" customFormat="false" ht="15" hidden="false" customHeight="false" outlineLevel="0" collapsed="false">
      <c r="A362" s="12"/>
      <c r="B362" s="13"/>
      <c r="C362" s="13"/>
      <c r="D362" s="14"/>
      <c r="E362" s="15"/>
      <c r="F362" s="16"/>
      <c r="G362" s="17"/>
      <c r="H362" s="18" t="n">
        <f aca="false">IF(AND(C362="Yakıt",D362&lt;&gt;""),SUMPRODUCT(MAX(($B$5:$B$1004=B362)*($C$5:$C$1004="Yakıt")*($D$5:$D$1004&lt;D362)*$D$5:$D$1004)),0)</f>
        <v>0</v>
      </c>
      <c r="I362" s="18" t="str">
        <f aca="false">IF(H362&gt;0,D362-H362,"")</f>
        <v/>
      </c>
      <c r="J362" s="19" t="str">
        <f aca="false">IF(OR(I362="",E362=""),"",E362/I362*100)</f>
        <v/>
      </c>
      <c r="K362" s="20" t="str">
        <f aca="false">IF(I362="","",F362/I362)</f>
        <v/>
      </c>
    </row>
    <row r="363" customFormat="false" ht="15" hidden="false" customHeight="false" outlineLevel="0" collapsed="false">
      <c r="A363" s="12"/>
      <c r="B363" s="13"/>
      <c r="C363" s="13"/>
      <c r="D363" s="14"/>
      <c r="E363" s="15"/>
      <c r="F363" s="16"/>
      <c r="G363" s="17"/>
      <c r="H363" s="18" t="n">
        <f aca="false">IF(AND(C363="Yakıt",D363&lt;&gt;""),SUMPRODUCT(MAX(($B$5:$B$1004=B363)*($C$5:$C$1004="Yakıt")*($D$5:$D$1004&lt;D363)*$D$5:$D$1004)),0)</f>
        <v>0</v>
      </c>
      <c r="I363" s="18" t="str">
        <f aca="false">IF(H363&gt;0,D363-H363,"")</f>
        <v/>
      </c>
      <c r="J363" s="19" t="str">
        <f aca="false">IF(OR(I363="",E363=""),"",E363/I363*100)</f>
        <v/>
      </c>
      <c r="K363" s="20" t="str">
        <f aca="false">IF(I363="","",F363/I363)</f>
        <v/>
      </c>
    </row>
    <row r="364" customFormat="false" ht="15" hidden="false" customHeight="false" outlineLevel="0" collapsed="false">
      <c r="A364" s="12"/>
      <c r="B364" s="13"/>
      <c r="C364" s="13"/>
      <c r="D364" s="14"/>
      <c r="E364" s="15"/>
      <c r="F364" s="16"/>
      <c r="G364" s="17"/>
      <c r="H364" s="18" t="n">
        <f aca="false">IF(AND(C364="Yakıt",D364&lt;&gt;""),SUMPRODUCT(MAX(($B$5:$B$1004=B364)*($C$5:$C$1004="Yakıt")*($D$5:$D$1004&lt;D364)*$D$5:$D$1004)),0)</f>
        <v>0</v>
      </c>
      <c r="I364" s="18" t="str">
        <f aca="false">IF(H364&gt;0,D364-H364,"")</f>
        <v/>
      </c>
      <c r="J364" s="19" t="str">
        <f aca="false">IF(OR(I364="",E364=""),"",E364/I364*100)</f>
        <v/>
      </c>
      <c r="K364" s="20" t="str">
        <f aca="false">IF(I364="","",F364/I364)</f>
        <v/>
      </c>
    </row>
    <row r="365" customFormat="false" ht="15" hidden="false" customHeight="false" outlineLevel="0" collapsed="false">
      <c r="A365" s="12"/>
      <c r="B365" s="13"/>
      <c r="C365" s="13"/>
      <c r="D365" s="14"/>
      <c r="E365" s="15"/>
      <c r="F365" s="16"/>
      <c r="G365" s="17"/>
      <c r="H365" s="18" t="n">
        <f aca="false">IF(AND(C365="Yakıt",D365&lt;&gt;""),SUMPRODUCT(MAX(($B$5:$B$1004=B365)*($C$5:$C$1004="Yakıt")*($D$5:$D$1004&lt;D365)*$D$5:$D$1004)),0)</f>
        <v>0</v>
      </c>
      <c r="I365" s="18" t="str">
        <f aca="false">IF(H365&gt;0,D365-H365,"")</f>
        <v/>
      </c>
      <c r="J365" s="19" t="str">
        <f aca="false">IF(OR(I365="",E365=""),"",E365/I365*100)</f>
        <v/>
      </c>
      <c r="K365" s="20" t="str">
        <f aca="false">IF(I365="","",F365/I365)</f>
        <v/>
      </c>
    </row>
    <row r="366" customFormat="false" ht="15" hidden="false" customHeight="false" outlineLevel="0" collapsed="false">
      <c r="A366" s="12"/>
      <c r="B366" s="13"/>
      <c r="C366" s="13"/>
      <c r="D366" s="14"/>
      <c r="E366" s="15"/>
      <c r="F366" s="16"/>
      <c r="G366" s="17"/>
      <c r="H366" s="18" t="n">
        <f aca="false">IF(AND(C366="Yakıt",D366&lt;&gt;""),SUMPRODUCT(MAX(($B$5:$B$1004=B366)*($C$5:$C$1004="Yakıt")*($D$5:$D$1004&lt;D366)*$D$5:$D$1004)),0)</f>
        <v>0</v>
      </c>
      <c r="I366" s="18" t="str">
        <f aca="false">IF(H366&gt;0,D366-H366,"")</f>
        <v/>
      </c>
      <c r="J366" s="19" t="str">
        <f aca="false">IF(OR(I366="",E366=""),"",E366/I366*100)</f>
        <v/>
      </c>
      <c r="K366" s="20" t="str">
        <f aca="false">IF(I366="","",F366/I366)</f>
        <v/>
      </c>
    </row>
    <row r="367" customFormat="false" ht="15" hidden="false" customHeight="false" outlineLevel="0" collapsed="false">
      <c r="A367" s="12"/>
      <c r="B367" s="13"/>
      <c r="C367" s="13"/>
      <c r="D367" s="14"/>
      <c r="E367" s="15"/>
      <c r="F367" s="16"/>
      <c r="G367" s="17"/>
      <c r="H367" s="18" t="n">
        <f aca="false">IF(AND(C367="Yakıt",D367&lt;&gt;""),SUMPRODUCT(MAX(($B$5:$B$1004=B367)*($C$5:$C$1004="Yakıt")*($D$5:$D$1004&lt;D367)*$D$5:$D$1004)),0)</f>
        <v>0</v>
      </c>
      <c r="I367" s="18" t="str">
        <f aca="false">IF(H367&gt;0,D367-H367,"")</f>
        <v/>
      </c>
      <c r="J367" s="19" t="str">
        <f aca="false">IF(OR(I367="",E367=""),"",E367/I367*100)</f>
        <v/>
      </c>
      <c r="K367" s="20" t="str">
        <f aca="false">IF(I367="","",F367/I367)</f>
        <v/>
      </c>
    </row>
    <row r="368" customFormat="false" ht="15" hidden="false" customHeight="false" outlineLevel="0" collapsed="false">
      <c r="A368" s="12"/>
      <c r="B368" s="13"/>
      <c r="C368" s="13"/>
      <c r="D368" s="14"/>
      <c r="E368" s="15"/>
      <c r="F368" s="16"/>
      <c r="G368" s="17"/>
      <c r="H368" s="18" t="n">
        <f aca="false">IF(AND(C368="Yakıt",D368&lt;&gt;""),SUMPRODUCT(MAX(($B$5:$B$1004=B368)*($C$5:$C$1004="Yakıt")*($D$5:$D$1004&lt;D368)*$D$5:$D$1004)),0)</f>
        <v>0</v>
      </c>
      <c r="I368" s="18" t="str">
        <f aca="false">IF(H368&gt;0,D368-H368,"")</f>
        <v/>
      </c>
      <c r="J368" s="19" t="str">
        <f aca="false">IF(OR(I368="",E368=""),"",E368/I368*100)</f>
        <v/>
      </c>
      <c r="K368" s="20" t="str">
        <f aca="false">IF(I368="","",F368/I368)</f>
        <v/>
      </c>
    </row>
    <row r="369" customFormat="false" ht="15" hidden="false" customHeight="false" outlineLevel="0" collapsed="false">
      <c r="A369" s="12"/>
      <c r="B369" s="13"/>
      <c r="C369" s="13"/>
      <c r="D369" s="14"/>
      <c r="E369" s="15"/>
      <c r="F369" s="16"/>
      <c r="G369" s="17"/>
      <c r="H369" s="18" t="n">
        <f aca="false">IF(AND(C369="Yakıt",D369&lt;&gt;""),SUMPRODUCT(MAX(($B$5:$B$1004=B369)*($C$5:$C$1004="Yakıt")*($D$5:$D$1004&lt;D369)*$D$5:$D$1004)),0)</f>
        <v>0</v>
      </c>
      <c r="I369" s="18" t="str">
        <f aca="false">IF(H369&gt;0,D369-H369,"")</f>
        <v/>
      </c>
      <c r="J369" s="19" t="str">
        <f aca="false">IF(OR(I369="",E369=""),"",E369/I369*100)</f>
        <v/>
      </c>
      <c r="K369" s="20" t="str">
        <f aca="false">IF(I369="","",F369/I369)</f>
        <v/>
      </c>
    </row>
    <row r="370" customFormat="false" ht="15" hidden="false" customHeight="false" outlineLevel="0" collapsed="false">
      <c r="A370" s="12"/>
      <c r="B370" s="13"/>
      <c r="C370" s="13"/>
      <c r="D370" s="14"/>
      <c r="E370" s="15"/>
      <c r="F370" s="16"/>
      <c r="G370" s="17"/>
      <c r="H370" s="18" t="n">
        <f aca="false">IF(AND(C370="Yakıt",D370&lt;&gt;""),SUMPRODUCT(MAX(($B$5:$B$1004=B370)*($C$5:$C$1004="Yakıt")*($D$5:$D$1004&lt;D370)*$D$5:$D$1004)),0)</f>
        <v>0</v>
      </c>
      <c r="I370" s="18" t="str">
        <f aca="false">IF(H370&gt;0,D370-H370,"")</f>
        <v/>
      </c>
      <c r="J370" s="19" t="str">
        <f aca="false">IF(OR(I370="",E370=""),"",E370/I370*100)</f>
        <v/>
      </c>
      <c r="K370" s="20" t="str">
        <f aca="false">IF(I370="","",F370/I370)</f>
        <v/>
      </c>
    </row>
    <row r="371" customFormat="false" ht="15" hidden="false" customHeight="false" outlineLevel="0" collapsed="false">
      <c r="A371" s="12"/>
      <c r="B371" s="13"/>
      <c r="C371" s="13"/>
      <c r="D371" s="14"/>
      <c r="E371" s="15"/>
      <c r="F371" s="16"/>
      <c r="G371" s="17"/>
      <c r="H371" s="18" t="n">
        <f aca="false">IF(AND(C371="Yakıt",D371&lt;&gt;""),SUMPRODUCT(MAX(($B$5:$B$1004=B371)*($C$5:$C$1004="Yakıt")*($D$5:$D$1004&lt;D371)*$D$5:$D$1004)),0)</f>
        <v>0</v>
      </c>
      <c r="I371" s="18" t="str">
        <f aca="false">IF(H371&gt;0,D371-H371,"")</f>
        <v/>
      </c>
      <c r="J371" s="19" t="str">
        <f aca="false">IF(OR(I371="",E371=""),"",E371/I371*100)</f>
        <v/>
      </c>
      <c r="K371" s="20" t="str">
        <f aca="false">IF(I371="","",F371/I371)</f>
        <v/>
      </c>
    </row>
    <row r="372" customFormat="false" ht="15" hidden="false" customHeight="false" outlineLevel="0" collapsed="false">
      <c r="A372" s="12"/>
      <c r="B372" s="13"/>
      <c r="C372" s="13"/>
      <c r="D372" s="14"/>
      <c r="E372" s="15"/>
      <c r="F372" s="16"/>
      <c r="G372" s="17"/>
      <c r="H372" s="18" t="n">
        <f aca="false">IF(AND(C372="Yakıt",D372&lt;&gt;""),SUMPRODUCT(MAX(($B$5:$B$1004=B372)*($C$5:$C$1004="Yakıt")*($D$5:$D$1004&lt;D372)*$D$5:$D$1004)),0)</f>
        <v>0</v>
      </c>
      <c r="I372" s="18" t="str">
        <f aca="false">IF(H372&gt;0,D372-H372,"")</f>
        <v/>
      </c>
      <c r="J372" s="19" t="str">
        <f aca="false">IF(OR(I372="",E372=""),"",E372/I372*100)</f>
        <v/>
      </c>
      <c r="K372" s="20" t="str">
        <f aca="false">IF(I372="","",F372/I372)</f>
        <v/>
      </c>
    </row>
    <row r="373" customFormat="false" ht="15" hidden="false" customHeight="false" outlineLevel="0" collapsed="false">
      <c r="A373" s="12"/>
      <c r="B373" s="13"/>
      <c r="C373" s="13"/>
      <c r="D373" s="14"/>
      <c r="E373" s="15"/>
      <c r="F373" s="16"/>
      <c r="G373" s="17"/>
      <c r="H373" s="18" t="n">
        <f aca="false">IF(AND(C373="Yakıt",D373&lt;&gt;""),SUMPRODUCT(MAX(($B$5:$B$1004=B373)*($C$5:$C$1004="Yakıt")*($D$5:$D$1004&lt;D373)*$D$5:$D$1004)),0)</f>
        <v>0</v>
      </c>
      <c r="I373" s="18" t="str">
        <f aca="false">IF(H373&gt;0,D373-H373,"")</f>
        <v/>
      </c>
      <c r="J373" s="19" t="str">
        <f aca="false">IF(OR(I373="",E373=""),"",E373/I373*100)</f>
        <v/>
      </c>
      <c r="K373" s="20" t="str">
        <f aca="false">IF(I373="","",F373/I373)</f>
        <v/>
      </c>
    </row>
    <row r="374" customFormat="false" ht="15" hidden="false" customHeight="false" outlineLevel="0" collapsed="false">
      <c r="A374" s="12"/>
      <c r="B374" s="13"/>
      <c r="C374" s="13"/>
      <c r="D374" s="14"/>
      <c r="E374" s="15"/>
      <c r="F374" s="16"/>
      <c r="G374" s="17"/>
      <c r="H374" s="18" t="n">
        <f aca="false">IF(AND(C374="Yakıt",D374&lt;&gt;""),SUMPRODUCT(MAX(($B$5:$B$1004=B374)*($C$5:$C$1004="Yakıt")*($D$5:$D$1004&lt;D374)*$D$5:$D$1004)),0)</f>
        <v>0</v>
      </c>
      <c r="I374" s="18" t="str">
        <f aca="false">IF(H374&gt;0,D374-H374,"")</f>
        <v/>
      </c>
      <c r="J374" s="19" t="str">
        <f aca="false">IF(OR(I374="",E374=""),"",E374/I374*100)</f>
        <v/>
      </c>
      <c r="K374" s="20" t="str">
        <f aca="false">IF(I374="","",F374/I374)</f>
        <v/>
      </c>
    </row>
    <row r="375" customFormat="false" ht="15" hidden="false" customHeight="false" outlineLevel="0" collapsed="false">
      <c r="A375" s="12"/>
      <c r="B375" s="13"/>
      <c r="C375" s="13"/>
      <c r="D375" s="14"/>
      <c r="E375" s="15"/>
      <c r="F375" s="16"/>
      <c r="G375" s="17"/>
      <c r="H375" s="18" t="n">
        <f aca="false">IF(AND(C375="Yakıt",D375&lt;&gt;""),SUMPRODUCT(MAX(($B$5:$B$1004=B375)*($C$5:$C$1004="Yakıt")*($D$5:$D$1004&lt;D375)*$D$5:$D$1004)),0)</f>
        <v>0</v>
      </c>
      <c r="I375" s="18" t="str">
        <f aca="false">IF(H375&gt;0,D375-H375,"")</f>
        <v/>
      </c>
      <c r="J375" s="19" t="str">
        <f aca="false">IF(OR(I375="",E375=""),"",E375/I375*100)</f>
        <v/>
      </c>
      <c r="K375" s="20" t="str">
        <f aca="false">IF(I375="","",F375/I375)</f>
        <v/>
      </c>
    </row>
    <row r="376" customFormat="false" ht="15" hidden="false" customHeight="false" outlineLevel="0" collapsed="false">
      <c r="A376" s="12"/>
      <c r="B376" s="13"/>
      <c r="C376" s="13"/>
      <c r="D376" s="14"/>
      <c r="E376" s="15"/>
      <c r="F376" s="16"/>
      <c r="G376" s="17"/>
      <c r="H376" s="18" t="n">
        <f aca="false">IF(AND(C376="Yakıt",D376&lt;&gt;""),SUMPRODUCT(MAX(($B$5:$B$1004=B376)*($C$5:$C$1004="Yakıt")*($D$5:$D$1004&lt;D376)*$D$5:$D$1004)),0)</f>
        <v>0</v>
      </c>
      <c r="I376" s="18" t="str">
        <f aca="false">IF(H376&gt;0,D376-H376,"")</f>
        <v/>
      </c>
      <c r="J376" s="19" t="str">
        <f aca="false">IF(OR(I376="",E376=""),"",E376/I376*100)</f>
        <v/>
      </c>
      <c r="K376" s="20" t="str">
        <f aca="false">IF(I376="","",F376/I376)</f>
        <v/>
      </c>
    </row>
    <row r="377" customFormat="false" ht="15" hidden="false" customHeight="false" outlineLevel="0" collapsed="false">
      <c r="A377" s="12"/>
      <c r="B377" s="13"/>
      <c r="C377" s="13"/>
      <c r="D377" s="14"/>
      <c r="E377" s="15"/>
      <c r="F377" s="16"/>
      <c r="G377" s="17"/>
      <c r="H377" s="18" t="n">
        <f aca="false">IF(AND(C377="Yakıt",D377&lt;&gt;""),SUMPRODUCT(MAX(($B$5:$B$1004=B377)*($C$5:$C$1004="Yakıt")*($D$5:$D$1004&lt;D377)*$D$5:$D$1004)),0)</f>
        <v>0</v>
      </c>
      <c r="I377" s="18" t="str">
        <f aca="false">IF(H377&gt;0,D377-H377,"")</f>
        <v/>
      </c>
      <c r="J377" s="19" t="str">
        <f aca="false">IF(OR(I377="",E377=""),"",E377/I377*100)</f>
        <v/>
      </c>
      <c r="K377" s="20" t="str">
        <f aca="false">IF(I377="","",F377/I377)</f>
        <v/>
      </c>
    </row>
    <row r="378" customFormat="false" ht="15" hidden="false" customHeight="false" outlineLevel="0" collapsed="false">
      <c r="A378" s="12"/>
      <c r="B378" s="13"/>
      <c r="C378" s="13"/>
      <c r="D378" s="14"/>
      <c r="E378" s="15"/>
      <c r="F378" s="16"/>
      <c r="G378" s="17"/>
      <c r="H378" s="18" t="n">
        <f aca="false">IF(AND(C378="Yakıt",D378&lt;&gt;""),SUMPRODUCT(MAX(($B$5:$B$1004=B378)*($C$5:$C$1004="Yakıt")*($D$5:$D$1004&lt;D378)*$D$5:$D$1004)),0)</f>
        <v>0</v>
      </c>
      <c r="I378" s="18" t="str">
        <f aca="false">IF(H378&gt;0,D378-H378,"")</f>
        <v/>
      </c>
      <c r="J378" s="19" t="str">
        <f aca="false">IF(OR(I378="",E378=""),"",E378/I378*100)</f>
        <v/>
      </c>
      <c r="K378" s="20" t="str">
        <f aca="false">IF(I378="","",F378/I378)</f>
        <v/>
      </c>
    </row>
    <row r="379" customFormat="false" ht="15" hidden="false" customHeight="false" outlineLevel="0" collapsed="false">
      <c r="A379" s="12"/>
      <c r="B379" s="13"/>
      <c r="C379" s="13"/>
      <c r="D379" s="14"/>
      <c r="E379" s="15"/>
      <c r="F379" s="16"/>
      <c r="G379" s="17"/>
      <c r="H379" s="18" t="n">
        <f aca="false">IF(AND(C379="Yakıt",D379&lt;&gt;""),SUMPRODUCT(MAX(($B$5:$B$1004=B379)*($C$5:$C$1004="Yakıt")*($D$5:$D$1004&lt;D379)*$D$5:$D$1004)),0)</f>
        <v>0</v>
      </c>
      <c r="I379" s="18" t="str">
        <f aca="false">IF(H379&gt;0,D379-H379,"")</f>
        <v/>
      </c>
      <c r="J379" s="19" t="str">
        <f aca="false">IF(OR(I379="",E379=""),"",E379/I379*100)</f>
        <v/>
      </c>
      <c r="K379" s="20" t="str">
        <f aca="false">IF(I379="","",F379/I379)</f>
        <v/>
      </c>
    </row>
    <row r="380" customFormat="false" ht="15" hidden="false" customHeight="false" outlineLevel="0" collapsed="false">
      <c r="A380" s="12"/>
      <c r="B380" s="13"/>
      <c r="C380" s="13"/>
      <c r="D380" s="14"/>
      <c r="E380" s="15"/>
      <c r="F380" s="16"/>
      <c r="G380" s="17"/>
      <c r="H380" s="18" t="n">
        <f aca="false">IF(AND(C380="Yakıt",D380&lt;&gt;""),SUMPRODUCT(MAX(($B$5:$B$1004=B380)*($C$5:$C$1004="Yakıt")*($D$5:$D$1004&lt;D380)*$D$5:$D$1004)),0)</f>
        <v>0</v>
      </c>
      <c r="I380" s="18" t="str">
        <f aca="false">IF(H380&gt;0,D380-H380,"")</f>
        <v/>
      </c>
      <c r="J380" s="19" t="str">
        <f aca="false">IF(OR(I380="",E380=""),"",E380/I380*100)</f>
        <v/>
      </c>
      <c r="K380" s="20" t="str">
        <f aca="false">IF(I380="","",F380/I380)</f>
        <v/>
      </c>
    </row>
    <row r="381" customFormat="false" ht="15" hidden="false" customHeight="false" outlineLevel="0" collapsed="false">
      <c r="A381" s="12"/>
      <c r="B381" s="13"/>
      <c r="C381" s="13"/>
      <c r="D381" s="14"/>
      <c r="E381" s="15"/>
      <c r="F381" s="16"/>
      <c r="G381" s="17"/>
      <c r="H381" s="18" t="n">
        <f aca="false">IF(AND(C381="Yakıt",D381&lt;&gt;""),SUMPRODUCT(MAX(($B$5:$B$1004=B381)*($C$5:$C$1004="Yakıt")*($D$5:$D$1004&lt;D381)*$D$5:$D$1004)),0)</f>
        <v>0</v>
      </c>
      <c r="I381" s="18" t="str">
        <f aca="false">IF(H381&gt;0,D381-H381,"")</f>
        <v/>
      </c>
      <c r="J381" s="19" t="str">
        <f aca="false">IF(OR(I381="",E381=""),"",E381/I381*100)</f>
        <v/>
      </c>
      <c r="K381" s="20" t="str">
        <f aca="false">IF(I381="","",F381/I381)</f>
        <v/>
      </c>
    </row>
    <row r="382" customFormat="false" ht="15" hidden="false" customHeight="false" outlineLevel="0" collapsed="false">
      <c r="A382" s="12"/>
      <c r="B382" s="13"/>
      <c r="C382" s="13"/>
      <c r="D382" s="14"/>
      <c r="E382" s="15"/>
      <c r="F382" s="16"/>
      <c r="G382" s="17"/>
      <c r="H382" s="18" t="n">
        <f aca="false">IF(AND(C382="Yakıt",D382&lt;&gt;""),SUMPRODUCT(MAX(($B$5:$B$1004=B382)*($C$5:$C$1004="Yakıt")*($D$5:$D$1004&lt;D382)*$D$5:$D$1004)),0)</f>
        <v>0</v>
      </c>
      <c r="I382" s="18" t="str">
        <f aca="false">IF(H382&gt;0,D382-H382,"")</f>
        <v/>
      </c>
      <c r="J382" s="19" t="str">
        <f aca="false">IF(OR(I382="",E382=""),"",E382/I382*100)</f>
        <v/>
      </c>
      <c r="K382" s="20" t="str">
        <f aca="false">IF(I382="","",F382/I382)</f>
        <v/>
      </c>
    </row>
    <row r="383" customFormat="false" ht="15" hidden="false" customHeight="false" outlineLevel="0" collapsed="false">
      <c r="A383" s="12"/>
      <c r="B383" s="13"/>
      <c r="C383" s="13"/>
      <c r="D383" s="14"/>
      <c r="E383" s="15"/>
      <c r="F383" s="16"/>
      <c r="G383" s="17"/>
      <c r="H383" s="18" t="n">
        <f aca="false">IF(AND(C383="Yakıt",D383&lt;&gt;""),SUMPRODUCT(MAX(($B$5:$B$1004=B383)*($C$5:$C$1004="Yakıt")*($D$5:$D$1004&lt;D383)*$D$5:$D$1004)),0)</f>
        <v>0</v>
      </c>
      <c r="I383" s="18" t="str">
        <f aca="false">IF(H383&gt;0,D383-H383,"")</f>
        <v/>
      </c>
      <c r="J383" s="19" t="str">
        <f aca="false">IF(OR(I383="",E383=""),"",E383/I383*100)</f>
        <v/>
      </c>
      <c r="K383" s="20" t="str">
        <f aca="false">IF(I383="","",F383/I383)</f>
        <v/>
      </c>
    </row>
    <row r="384" customFormat="false" ht="15" hidden="false" customHeight="false" outlineLevel="0" collapsed="false">
      <c r="A384" s="12"/>
      <c r="B384" s="13"/>
      <c r="C384" s="13"/>
      <c r="D384" s="14"/>
      <c r="E384" s="15"/>
      <c r="F384" s="16"/>
      <c r="G384" s="17"/>
      <c r="H384" s="18" t="n">
        <f aca="false">IF(AND(C384="Yakıt",D384&lt;&gt;""),SUMPRODUCT(MAX(($B$5:$B$1004=B384)*($C$5:$C$1004="Yakıt")*($D$5:$D$1004&lt;D384)*$D$5:$D$1004)),0)</f>
        <v>0</v>
      </c>
      <c r="I384" s="18" t="str">
        <f aca="false">IF(H384&gt;0,D384-H384,"")</f>
        <v/>
      </c>
      <c r="J384" s="19" t="str">
        <f aca="false">IF(OR(I384="",E384=""),"",E384/I384*100)</f>
        <v/>
      </c>
      <c r="K384" s="20" t="str">
        <f aca="false">IF(I384="","",F384/I384)</f>
        <v/>
      </c>
    </row>
    <row r="385" customFormat="false" ht="15" hidden="false" customHeight="false" outlineLevel="0" collapsed="false">
      <c r="A385" s="12"/>
      <c r="B385" s="13"/>
      <c r="C385" s="13"/>
      <c r="D385" s="14"/>
      <c r="E385" s="15"/>
      <c r="F385" s="16"/>
      <c r="G385" s="17"/>
      <c r="H385" s="18" t="n">
        <f aca="false">IF(AND(C385="Yakıt",D385&lt;&gt;""),SUMPRODUCT(MAX(($B$5:$B$1004=B385)*($C$5:$C$1004="Yakıt")*($D$5:$D$1004&lt;D385)*$D$5:$D$1004)),0)</f>
        <v>0</v>
      </c>
      <c r="I385" s="18" t="str">
        <f aca="false">IF(H385&gt;0,D385-H385,"")</f>
        <v/>
      </c>
      <c r="J385" s="19" t="str">
        <f aca="false">IF(OR(I385="",E385=""),"",E385/I385*100)</f>
        <v/>
      </c>
      <c r="K385" s="20" t="str">
        <f aca="false">IF(I385="","",F385/I385)</f>
        <v/>
      </c>
    </row>
    <row r="386" customFormat="false" ht="15" hidden="false" customHeight="false" outlineLevel="0" collapsed="false">
      <c r="A386" s="12"/>
      <c r="B386" s="13"/>
      <c r="C386" s="13"/>
      <c r="D386" s="14"/>
      <c r="E386" s="15"/>
      <c r="F386" s="16"/>
      <c r="G386" s="17"/>
      <c r="H386" s="18" t="n">
        <f aca="false">IF(AND(C386="Yakıt",D386&lt;&gt;""),SUMPRODUCT(MAX(($B$5:$B$1004=B386)*($C$5:$C$1004="Yakıt")*($D$5:$D$1004&lt;D386)*$D$5:$D$1004)),0)</f>
        <v>0</v>
      </c>
      <c r="I386" s="18" t="str">
        <f aca="false">IF(H386&gt;0,D386-H386,"")</f>
        <v/>
      </c>
      <c r="J386" s="19" t="str">
        <f aca="false">IF(OR(I386="",E386=""),"",E386/I386*100)</f>
        <v/>
      </c>
      <c r="K386" s="20" t="str">
        <f aca="false">IF(I386="","",F386/I386)</f>
        <v/>
      </c>
    </row>
    <row r="387" customFormat="false" ht="15" hidden="false" customHeight="false" outlineLevel="0" collapsed="false">
      <c r="A387" s="12"/>
      <c r="B387" s="13"/>
      <c r="C387" s="13"/>
      <c r="D387" s="14"/>
      <c r="E387" s="15"/>
      <c r="F387" s="16"/>
      <c r="G387" s="17"/>
      <c r="H387" s="18" t="n">
        <f aca="false">IF(AND(C387="Yakıt",D387&lt;&gt;""),SUMPRODUCT(MAX(($B$5:$B$1004=B387)*($C$5:$C$1004="Yakıt")*($D$5:$D$1004&lt;D387)*$D$5:$D$1004)),0)</f>
        <v>0</v>
      </c>
      <c r="I387" s="18" t="str">
        <f aca="false">IF(H387&gt;0,D387-H387,"")</f>
        <v/>
      </c>
      <c r="J387" s="19" t="str">
        <f aca="false">IF(OR(I387="",E387=""),"",E387/I387*100)</f>
        <v/>
      </c>
      <c r="K387" s="20" t="str">
        <f aca="false">IF(I387="","",F387/I387)</f>
        <v/>
      </c>
    </row>
    <row r="388" customFormat="false" ht="15" hidden="false" customHeight="false" outlineLevel="0" collapsed="false">
      <c r="A388" s="12"/>
      <c r="B388" s="13"/>
      <c r="C388" s="13"/>
      <c r="D388" s="14"/>
      <c r="E388" s="15"/>
      <c r="F388" s="16"/>
      <c r="G388" s="17"/>
      <c r="H388" s="18" t="n">
        <f aca="false">IF(AND(C388="Yakıt",D388&lt;&gt;""),SUMPRODUCT(MAX(($B$5:$B$1004=B388)*($C$5:$C$1004="Yakıt")*($D$5:$D$1004&lt;D388)*$D$5:$D$1004)),0)</f>
        <v>0</v>
      </c>
      <c r="I388" s="18" t="str">
        <f aca="false">IF(H388&gt;0,D388-H388,"")</f>
        <v/>
      </c>
      <c r="J388" s="19" t="str">
        <f aca="false">IF(OR(I388="",E388=""),"",E388/I388*100)</f>
        <v/>
      </c>
      <c r="K388" s="20" t="str">
        <f aca="false">IF(I388="","",F388/I388)</f>
        <v/>
      </c>
    </row>
    <row r="389" customFormat="false" ht="15" hidden="false" customHeight="false" outlineLevel="0" collapsed="false">
      <c r="A389" s="12"/>
      <c r="B389" s="13"/>
      <c r="C389" s="13"/>
      <c r="D389" s="14"/>
      <c r="E389" s="15"/>
      <c r="F389" s="16"/>
      <c r="G389" s="17"/>
      <c r="H389" s="18" t="n">
        <f aca="false">IF(AND(C389="Yakıt",D389&lt;&gt;""),SUMPRODUCT(MAX(($B$5:$B$1004=B389)*($C$5:$C$1004="Yakıt")*($D$5:$D$1004&lt;D389)*$D$5:$D$1004)),0)</f>
        <v>0</v>
      </c>
      <c r="I389" s="18" t="str">
        <f aca="false">IF(H389&gt;0,D389-H389,"")</f>
        <v/>
      </c>
      <c r="J389" s="19" t="str">
        <f aca="false">IF(OR(I389="",E389=""),"",E389/I389*100)</f>
        <v/>
      </c>
      <c r="K389" s="20" t="str">
        <f aca="false">IF(I389="","",F389/I389)</f>
        <v/>
      </c>
    </row>
    <row r="390" customFormat="false" ht="15" hidden="false" customHeight="false" outlineLevel="0" collapsed="false">
      <c r="A390" s="12"/>
      <c r="B390" s="13"/>
      <c r="C390" s="13"/>
      <c r="D390" s="14"/>
      <c r="E390" s="15"/>
      <c r="F390" s="16"/>
      <c r="G390" s="17"/>
      <c r="H390" s="18" t="n">
        <f aca="false">IF(AND(C390="Yakıt",D390&lt;&gt;""),SUMPRODUCT(MAX(($B$5:$B$1004=B390)*($C$5:$C$1004="Yakıt")*($D$5:$D$1004&lt;D390)*$D$5:$D$1004)),0)</f>
        <v>0</v>
      </c>
      <c r="I390" s="18" t="str">
        <f aca="false">IF(H390&gt;0,D390-H390,"")</f>
        <v/>
      </c>
      <c r="J390" s="19" t="str">
        <f aca="false">IF(OR(I390="",E390=""),"",E390/I390*100)</f>
        <v/>
      </c>
      <c r="K390" s="20" t="str">
        <f aca="false">IF(I390="","",F390/I390)</f>
        <v/>
      </c>
    </row>
    <row r="391" customFormat="false" ht="15" hidden="false" customHeight="false" outlineLevel="0" collapsed="false">
      <c r="A391" s="12"/>
      <c r="B391" s="13"/>
      <c r="C391" s="13"/>
      <c r="D391" s="14"/>
      <c r="E391" s="15"/>
      <c r="F391" s="16"/>
      <c r="G391" s="17"/>
      <c r="H391" s="18" t="n">
        <f aca="false">IF(AND(C391="Yakıt",D391&lt;&gt;""),SUMPRODUCT(MAX(($B$5:$B$1004=B391)*($C$5:$C$1004="Yakıt")*($D$5:$D$1004&lt;D391)*$D$5:$D$1004)),0)</f>
        <v>0</v>
      </c>
      <c r="I391" s="18" t="str">
        <f aca="false">IF(H391&gt;0,D391-H391,"")</f>
        <v/>
      </c>
      <c r="J391" s="19" t="str">
        <f aca="false">IF(OR(I391="",E391=""),"",E391/I391*100)</f>
        <v/>
      </c>
      <c r="K391" s="20" t="str">
        <f aca="false">IF(I391="","",F391/I391)</f>
        <v/>
      </c>
    </row>
    <row r="392" customFormat="false" ht="15" hidden="false" customHeight="false" outlineLevel="0" collapsed="false">
      <c r="A392" s="12"/>
      <c r="B392" s="13"/>
      <c r="C392" s="13"/>
      <c r="D392" s="14"/>
      <c r="E392" s="15"/>
      <c r="F392" s="16"/>
      <c r="G392" s="17"/>
      <c r="H392" s="18" t="n">
        <f aca="false">IF(AND(C392="Yakıt",D392&lt;&gt;""),SUMPRODUCT(MAX(($B$5:$B$1004=B392)*($C$5:$C$1004="Yakıt")*($D$5:$D$1004&lt;D392)*$D$5:$D$1004)),0)</f>
        <v>0</v>
      </c>
      <c r="I392" s="18" t="str">
        <f aca="false">IF(H392&gt;0,D392-H392,"")</f>
        <v/>
      </c>
      <c r="J392" s="19" t="str">
        <f aca="false">IF(OR(I392="",E392=""),"",E392/I392*100)</f>
        <v/>
      </c>
      <c r="K392" s="20" t="str">
        <f aca="false">IF(I392="","",F392/I392)</f>
        <v/>
      </c>
    </row>
    <row r="393" customFormat="false" ht="15" hidden="false" customHeight="false" outlineLevel="0" collapsed="false">
      <c r="A393" s="12"/>
      <c r="B393" s="13"/>
      <c r="C393" s="13"/>
      <c r="D393" s="14"/>
      <c r="E393" s="15"/>
      <c r="F393" s="16"/>
      <c r="G393" s="17"/>
      <c r="H393" s="18" t="n">
        <f aca="false">IF(AND(C393="Yakıt",D393&lt;&gt;""),SUMPRODUCT(MAX(($B$5:$B$1004=B393)*($C$5:$C$1004="Yakıt")*($D$5:$D$1004&lt;D393)*$D$5:$D$1004)),0)</f>
        <v>0</v>
      </c>
      <c r="I393" s="18" t="str">
        <f aca="false">IF(H393&gt;0,D393-H393,"")</f>
        <v/>
      </c>
      <c r="J393" s="19" t="str">
        <f aca="false">IF(OR(I393="",E393=""),"",E393/I393*100)</f>
        <v/>
      </c>
      <c r="K393" s="20" t="str">
        <f aca="false">IF(I393="","",F393/I393)</f>
        <v/>
      </c>
    </row>
    <row r="394" customFormat="false" ht="15" hidden="false" customHeight="false" outlineLevel="0" collapsed="false">
      <c r="A394" s="12"/>
      <c r="B394" s="13"/>
      <c r="C394" s="13"/>
      <c r="D394" s="14"/>
      <c r="E394" s="15"/>
      <c r="F394" s="16"/>
      <c r="G394" s="17"/>
      <c r="H394" s="18" t="n">
        <f aca="false">IF(AND(C394="Yakıt",D394&lt;&gt;""),SUMPRODUCT(MAX(($B$5:$B$1004=B394)*($C$5:$C$1004="Yakıt")*($D$5:$D$1004&lt;D394)*$D$5:$D$1004)),0)</f>
        <v>0</v>
      </c>
      <c r="I394" s="18" t="str">
        <f aca="false">IF(H394&gt;0,D394-H394,"")</f>
        <v/>
      </c>
      <c r="J394" s="19" t="str">
        <f aca="false">IF(OR(I394="",E394=""),"",E394/I394*100)</f>
        <v/>
      </c>
      <c r="K394" s="20" t="str">
        <f aca="false">IF(I394="","",F394/I394)</f>
        <v/>
      </c>
    </row>
    <row r="395" customFormat="false" ht="15" hidden="false" customHeight="false" outlineLevel="0" collapsed="false">
      <c r="A395" s="12"/>
      <c r="B395" s="13"/>
      <c r="C395" s="13"/>
      <c r="D395" s="14"/>
      <c r="E395" s="15"/>
      <c r="F395" s="16"/>
      <c r="G395" s="17"/>
      <c r="H395" s="18" t="n">
        <f aca="false">IF(AND(C395="Yakıt",D395&lt;&gt;""),SUMPRODUCT(MAX(($B$5:$B$1004=B395)*($C$5:$C$1004="Yakıt")*($D$5:$D$1004&lt;D395)*$D$5:$D$1004)),0)</f>
        <v>0</v>
      </c>
      <c r="I395" s="18" t="str">
        <f aca="false">IF(H395&gt;0,D395-H395,"")</f>
        <v/>
      </c>
      <c r="J395" s="19" t="str">
        <f aca="false">IF(OR(I395="",E395=""),"",E395/I395*100)</f>
        <v/>
      </c>
      <c r="K395" s="20" t="str">
        <f aca="false">IF(I395="","",F395/I395)</f>
        <v/>
      </c>
    </row>
    <row r="396" customFormat="false" ht="15" hidden="false" customHeight="false" outlineLevel="0" collapsed="false">
      <c r="A396" s="12"/>
      <c r="B396" s="13"/>
      <c r="C396" s="13"/>
      <c r="D396" s="14"/>
      <c r="E396" s="15"/>
      <c r="F396" s="16"/>
      <c r="G396" s="17"/>
      <c r="H396" s="18" t="n">
        <f aca="false">IF(AND(C396="Yakıt",D396&lt;&gt;""),SUMPRODUCT(MAX(($B$5:$B$1004=B396)*($C$5:$C$1004="Yakıt")*($D$5:$D$1004&lt;D396)*$D$5:$D$1004)),0)</f>
        <v>0</v>
      </c>
      <c r="I396" s="18" t="str">
        <f aca="false">IF(H396&gt;0,D396-H396,"")</f>
        <v/>
      </c>
      <c r="J396" s="19" t="str">
        <f aca="false">IF(OR(I396="",E396=""),"",E396/I396*100)</f>
        <v/>
      </c>
      <c r="K396" s="20" t="str">
        <f aca="false">IF(I396="","",F396/I396)</f>
        <v/>
      </c>
    </row>
    <row r="397" customFormat="false" ht="15" hidden="false" customHeight="false" outlineLevel="0" collapsed="false">
      <c r="A397" s="12"/>
      <c r="B397" s="13"/>
      <c r="C397" s="13"/>
      <c r="D397" s="14"/>
      <c r="E397" s="15"/>
      <c r="F397" s="16"/>
      <c r="G397" s="17"/>
      <c r="H397" s="18" t="n">
        <f aca="false">IF(AND(C397="Yakıt",D397&lt;&gt;""),SUMPRODUCT(MAX(($B$5:$B$1004=B397)*($C$5:$C$1004="Yakıt")*($D$5:$D$1004&lt;D397)*$D$5:$D$1004)),0)</f>
        <v>0</v>
      </c>
      <c r="I397" s="18" t="str">
        <f aca="false">IF(H397&gt;0,D397-H397,"")</f>
        <v/>
      </c>
      <c r="J397" s="19" t="str">
        <f aca="false">IF(OR(I397="",E397=""),"",E397/I397*100)</f>
        <v/>
      </c>
      <c r="K397" s="20" t="str">
        <f aca="false">IF(I397="","",F397/I397)</f>
        <v/>
      </c>
    </row>
    <row r="398" customFormat="false" ht="15" hidden="false" customHeight="false" outlineLevel="0" collapsed="false">
      <c r="A398" s="12"/>
      <c r="B398" s="13"/>
      <c r="C398" s="13"/>
      <c r="D398" s="14"/>
      <c r="E398" s="15"/>
      <c r="F398" s="16"/>
      <c r="G398" s="17"/>
      <c r="H398" s="18" t="n">
        <f aca="false">IF(AND(C398="Yakıt",D398&lt;&gt;""),SUMPRODUCT(MAX(($B$5:$B$1004=B398)*($C$5:$C$1004="Yakıt")*($D$5:$D$1004&lt;D398)*$D$5:$D$1004)),0)</f>
        <v>0</v>
      </c>
      <c r="I398" s="18" t="str">
        <f aca="false">IF(H398&gt;0,D398-H398,"")</f>
        <v/>
      </c>
      <c r="J398" s="19" t="str">
        <f aca="false">IF(OR(I398="",E398=""),"",E398/I398*100)</f>
        <v/>
      </c>
      <c r="K398" s="20" t="str">
        <f aca="false">IF(I398="","",F398/I398)</f>
        <v/>
      </c>
    </row>
    <row r="399" customFormat="false" ht="15" hidden="false" customHeight="false" outlineLevel="0" collapsed="false">
      <c r="A399" s="12"/>
      <c r="B399" s="13"/>
      <c r="C399" s="13"/>
      <c r="D399" s="14"/>
      <c r="E399" s="15"/>
      <c r="F399" s="16"/>
      <c r="G399" s="17"/>
      <c r="H399" s="18" t="n">
        <f aca="false">IF(AND(C399="Yakıt",D399&lt;&gt;""),SUMPRODUCT(MAX(($B$5:$B$1004=B399)*($C$5:$C$1004="Yakıt")*($D$5:$D$1004&lt;D399)*$D$5:$D$1004)),0)</f>
        <v>0</v>
      </c>
      <c r="I399" s="18" t="str">
        <f aca="false">IF(H399&gt;0,D399-H399,"")</f>
        <v/>
      </c>
      <c r="J399" s="19" t="str">
        <f aca="false">IF(OR(I399="",E399=""),"",E399/I399*100)</f>
        <v/>
      </c>
      <c r="K399" s="20" t="str">
        <f aca="false">IF(I399="","",F399/I399)</f>
        <v/>
      </c>
    </row>
    <row r="400" customFormat="false" ht="15" hidden="false" customHeight="false" outlineLevel="0" collapsed="false">
      <c r="A400" s="12"/>
      <c r="B400" s="13"/>
      <c r="C400" s="13"/>
      <c r="D400" s="14"/>
      <c r="E400" s="15"/>
      <c r="F400" s="16"/>
      <c r="G400" s="17"/>
      <c r="H400" s="18" t="n">
        <f aca="false">IF(AND(C400="Yakıt",D400&lt;&gt;""),SUMPRODUCT(MAX(($B$5:$B$1004=B400)*($C$5:$C$1004="Yakıt")*($D$5:$D$1004&lt;D400)*$D$5:$D$1004)),0)</f>
        <v>0</v>
      </c>
      <c r="I400" s="18" t="str">
        <f aca="false">IF(H400&gt;0,D400-H400,"")</f>
        <v/>
      </c>
      <c r="J400" s="19" t="str">
        <f aca="false">IF(OR(I400="",E400=""),"",E400/I400*100)</f>
        <v/>
      </c>
      <c r="K400" s="20" t="str">
        <f aca="false">IF(I400="","",F400/I400)</f>
        <v/>
      </c>
    </row>
    <row r="401" customFormat="false" ht="15" hidden="false" customHeight="false" outlineLevel="0" collapsed="false">
      <c r="A401" s="12"/>
      <c r="B401" s="13"/>
      <c r="C401" s="13"/>
      <c r="D401" s="14"/>
      <c r="E401" s="15"/>
      <c r="F401" s="16"/>
      <c r="G401" s="17"/>
      <c r="H401" s="18" t="n">
        <f aca="false">IF(AND(C401="Yakıt",D401&lt;&gt;""),SUMPRODUCT(MAX(($B$5:$B$1004=B401)*($C$5:$C$1004="Yakıt")*($D$5:$D$1004&lt;D401)*$D$5:$D$1004)),0)</f>
        <v>0</v>
      </c>
      <c r="I401" s="18" t="str">
        <f aca="false">IF(H401&gt;0,D401-H401,"")</f>
        <v/>
      </c>
      <c r="J401" s="19" t="str">
        <f aca="false">IF(OR(I401="",E401=""),"",E401/I401*100)</f>
        <v/>
      </c>
      <c r="K401" s="20" t="str">
        <f aca="false">IF(I401="","",F401/I401)</f>
        <v/>
      </c>
    </row>
    <row r="402" customFormat="false" ht="15" hidden="false" customHeight="false" outlineLevel="0" collapsed="false">
      <c r="A402" s="12"/>
      <c r="B402" s="13"/>
      <c r="C402" s="13"/>
      <c r="D402" s="14"/>
      <c r="E402" s="15"/>
      <c r="F402" s="16"/>
      <c r="G402" s="17"/>
      <c r="H402" s="18" t="n">
        <f aca="false">IF(AND(C402="Yakıt",D402&lt;&gt;""),SUMPRODUCT(MAX(($B$5:$B$1004=B402)*($C$5:$C$1004="Yakıt")*($D$5:$D$1004&lt;D402)*$D$5:$D$1004)),0)</f>
        <v>0</v>
      </c>
      <c r="I402" s="18" t="str">
        <f aca="false">IF(H402&gt;0,D402-H402,"")</f>
        <v/>
      </c>
      <c r="J402" s="19" t="str">
        <f aca="false">IF(OR(I402="",E402=""),"",E402/I402*100)</f>
        <v/>
      </c>
      <c r="K402" s="20" t="str">
        <f aca="false">IF(I402="","",F402/I402)</f>
        <v/>
      </c>
    </row>
    <row r="403" customFormat="false" ht="15" hidden="false" customHeight="false" outlineLevel="0" collapsed="false">
      <c r="A403" s="12"/>
      <c r="B403" s="13"/>
      <c r="C403" s="13"/>
      <c r="D403" s="14"/>
      <c r="E403" s="15"/>
      <c r="F403" s="16"/>
      <c r="G403" s="17"/>
      <c r="H403" s="18" t="n">
        <f aca="false">IF(AND(C403="Yakıt",D403&lt;&gt;""),SUMPRODUCT(MAX(($B$5:$B$1004=B403)*($C$5:$C$1004="Yakıt")*($D$5:$D$1004&lt;D403)*$D$5:$D$1004)),0)</f>
        <v>0</v>
      </c>
      <c r="I403" s="18" t="str">
        <f aca="false">IF(H403&gt;0,D403-H403,"")</f>
        <v/>
      </c>
      <c r="J403" s="19" t="str">
        <f aca="false">IF(OR(I403="",E403=""),"",E403/I403*100)</f>
        <v/>
      </c>
      <c r="K403" s="20" t="str">
        <f aca="false">IF(I403="","",F403/I403)</f>
        <v/>
      </c>
    </row>
    <row r="404" customFormat="false" ht="15" hidden="false" customHeight="false" outlineLevel="0" collapsed="false">
      <c r="A404" s="12"/>
      <c r="B404" s="13"/>
      <c r="C404" s="13"/>
      <c r="D404" s="14"/>
      <c r="E404" s="15"/>
      <c r="F404" s="16"/>
      <c r="G404" s="17"/>
      <c r="H404" s="18" t="n">
        <f aca="false">IF(AND(C404="Yakıt",D404&lt;&gt;""),SUMPRODUCT(MAX(($B$5:$B$1004=B404)*($C$5:$C$1004="Yakıt")*($D$5:$D$1004&lt;D404)*$D$5:$D$1004)),0)</f>
        <v>0</v>
      </c>
      <c r="I404" s="18" t="str">
        <f aca="false">IF(H404&gt;0,D404-H404,"")</f>
        <v/>
      </c>
      <c r="J404" s="19" t="str">
        <f aca="false">IF(OR(I404="",E404=""),"",E404/I404*100)</f>
        <v/>
      </c>
      <c r="K404" s="20" t="str">
        <f aca="false">IF(I404="","",F404/I404)</f>
        <v/>
      </c>
    </row>
    <row r="405" customFormat="false" ht="15" hidden="false" customHeight="false" outlineLevel="0" collapsed="false">
      <c r="A405" s="12"/>
      <c r="B405" s="13"/>
      <c r="C405" s="13"/>
      <c r="D405" s="14"/>
      <c r="E405" s="15"/>
      <c r="F405" s="16"/>
      <c r="G405" s="17"/>
      <c r="H405" s="18" t="n">
        <f aca="false">IF(AND(C405="Yakıt",D405&lt;&gt;""),SUMPRODUCT(MAX(($B$5:$B$1004=B405)*($C$5:$C$1004="Yakıt")*($D$5:$D$1004&lt;D405)*$D$5:$D$1004)),0)</f>
        <v>0</v>
      </c>
      <c r="I405" s="18" t="str">
        <f aca="false">IF(H405&gt;0,D405-H405,"")</f>
        <v/>
      </c>
      <c r="J405" s="19" t="str">
        <f aca="false">IF(OR(I405="",E405=""),"",E405/I405*100)</f>
        <v/>
      </c>
      <c r="K405" s="20" t="str">
        <f aca="false">IF(I405="","",F405/I405)</f>
        <v/>
      </c>
    </row>
    <row r="406" customFormat="false" ht="15" hidden="false" customHeight="false" outlineLevel="0" collapsed="false">
      <c r="A406" s="12"/>
      <c r="B406" s="13"/>
      <c r="C406" s="13"/>
      <c r="D406" s="14"/>
      <c r="E406" s="15"/>
      <c r="F406" s="16"/>
      <c r="G406" s="17"/>
      <c r="H406" s="18" t="n">
        <f aca="false">IF(AND(C406="Yakıt",D406&lt;&gt;""),SUMPRODUCT(MAX(($B$5:$B$1004=B406)*($C$5:$C$1004="Yakıt")*($D$5:$D$1004&lt;D406)*$D$5:$D$1004)),0)</f>
        <v>0</v>
      </c>
      <c r="I406" s="18" t="str">
        <f aca="false">IF(H406&gt;0,D406-H406,"")</f>
        <v/>
      </c>
      <c r="J406" s="19" t="str">
        <f aca="false">IF(OR(I406="",E406=""),"",E406/I406*100)</f>
        <v/>
      </c>
      <c r="K406" s="20" t="str">
        <f aca="false">IF(I406="","",F406/I406)</f>
        <v/>
      </c>
    </row>
    <row r="407" customFormat="false" ht="15" hidden="false" customHeight="false" outlineLevel="0" collapsed="false">
      <c r="A407" s="12"/>
      <c r="B407" s="13"/>
      <c r="C407" s="13"/>
      <c r="D407" s="14"/>
      <c r="E407" s="15"/>
      <c r="F407" s="16"/>
      <c r="G407" s="17"/>
      <c r="H407" s="18" t="n">
        <f aca="false">IF(AND(C407="Yakıt",D407&lt;&gt;""),SUMPRODUCT(MAX(($B$5:$B$1004=B407)*($C$5:$C$1004="Yakıt")*($D$5:$D$1004&lt;D407)*$D$5:$D$1004)),0)</f>
        <v>0</v>
      </c>
      <c r="I407" s="18" t="str">
        <f aca="false">IF(H407&gt;0,D407-H407,"")</f>
        <v/>
      </c>
      <c r="J407" s="19" t="str">
        <f aca="false">IF(OR(I407="",E407=""),"",E407/I407*100)</f>
        <v/>
      </c>
      <c r="K407" s="20" t="str">
        <f aca="false">IF(I407="","",F407/I407)</f>
        <v/>
      </c>
    </row>
    <row r="408" customFormat="false" ht="15" hidden="false" customHeight="false" outlineLevel="0" collapsed="false">
      <c r="A408" s="12"/>
      <c r="B408" s="13"/>
      <c r="C408" s="13"/>
      <c r="D408" s="14"/>
      <c r="E408" s="15"/>
      <c r="F408" s="16"/>
      <c r="G408" s="17"/>
      <c r="H408" s="18" t="n">
        <f aca="false">IF(AND(C408="Yakıt",D408&lt;&gt;""),SUMPRODUCT(MAX(($B$5:$B$1004=B408)*($C$5:$C$1004="Yakıt")*($D$5:$D$1004&lt;D408)*$D$5:$D$1004)),0)</f>
        <v>0</v>
      </c>
      <c r="I408" s="18" t="str">
        <f aca="false">IF(H408&gt;0,D408-H408,"")</f>
        <v/>
      </c>
      <c r="J408" s="19" t="str">
        <f aca="false">IF(OR(I408="",E408=""),"",E408/I408*100)</f>
        <v/>
      </c>
      <c r="K408" s="20" t="str">
        <f aca="false">IF(I408="","",F408/I408)</f>
        <v/>
      </c>
    </row>
    <row r="409" customFormat="false" ht="15" hidden="false" customHeight="false" outlineLevel="0" collapsed="false">
      <c r="A409" s="12"/>
      <c r="B409" s="13"/>
      <c r="C409" s="13"/>
      <c r="D409" s="14"/>
      <c r="E409" s="15"/>
      <c r="F409" s="16"/>
      <c r="G409" s="17"/>
      <c r="H409" s="18" t="n">
        <f aca="false">IF(AND(C409="Yakıt",D409&lt;&gt;""),SUMPRODUCT(MAX(($B$5:$B$1004=B409)*($C$5:$C$1004="Yakıt")*($D$5:$D$1004&lt;D409)*$D$5:$D$1004)),0)</f>
        <v>0</v>
      </c>
      <c r="I409" s="18" t="str">
        <f aca="false">IF(H409&gt;0,D409-H409,"")</f>
        <v/>
      </c>
      <c r="J409" s="19" t="str">
        <f aca="false">IF(OR(I409="",E409=""),"",E409/I409*100)</f>
        <v/>
      </c>
      <c r="K409" s="20" t="str">
        <f aca="false">IF(I409="","",F409/I409)</f>
        <v/>
      </c>
    </row>
    <row r="410" customFormat="false" ht="15" hidden="false" customHeight="false" outlineLevel="0" collapsed="false">
      <c r="A410" s="12"/>
      <c r="B410" s="13"/>
      <c r="C410" s="13"/>
      <c r="D410" s="14"/>
      <c r="E410" s="15"/>
      <c r="F410" s="16"/>
      <c r="G410" s="17"/>
      <c r="H410" s="18" t="n">
        <f aca="false">IF(AND(C410="Yakıt",D410&lt;&gt;""),SUMPRODUCT(MAX(($B$5:$B$1004=B410)*($C$5:$C$1004="Yakıt")*($D$5:$D$1004&lt;D410)*$D$5:$D$1004)),0)</f>
        <v>0</v>
      </c>
      <c r="I410" s="18" t="str">
        <f aca="false">IF(H410&gt;0,D410-H410,"")</f>
        <v/>
      </c>
      <c r="J410" s="19" t="str">
        <f aca="false">IF(OR(I410="",E410=""),"",E410/I410*100)</f>
        <v/>
      </c>
      <c r="K410" s="20" t="str">
        <f aca="false">IF(I410="","",F410/I410)</f>
        <v/>
      </c>
    </row>
    <row r="411" customFormat="false" ht="15" hidden="false" customHeight="false" outlineLevel="0" collapsed="false">
      <c r="A411" s="12"/>
      <c r="B411" s="13"/>
      <c r="C411" s="13"/>
      <c r="D411" s="14"/>
      <c r="E411" s="15"/>
      <c r="F411" s="16"/>
      <c r="G411" s="17"/>
      <c r="H411" s="18" t="n">
        <f aca="false">IF(AND(C411="Yakıt",D411&lt;&gt;""),SUMPRODUCT(MAX(($B$5:$B$1004=B411)*($C$5:$C$1004="Yakıt")*($D$5:$D$1004&lt;D411)*$D$5:$D$1004)),0)</f>
        <v>0</v>
      </c>
      <c r="I411" s="18" t="str">
        <f aca="false">IF(H411&gt;0,D411-H411,"")</f>
        <v/>
      </c>
      <c r="J411" s="19" t="str">
        <f aca="false">IF(OR(I411="",E411=""),"",E411/I411*100)</f>
        <v/>
      </c>
      <c r="K411" s="20" t="str">
        <f aca="false">IF(I411="","",F411/I411)</f>
        <v/>
      </c>
    </row>
    <row r="412" customFormat="false" ht="15" hidden="false" customHeight="false" outlineLevel="0" collapsed="false">
      <c r="A412" s="12"/>
      <c r="B412" s="13"/>
      <c r="C412" s="13"/>
      <c r="D412" s="14"/>
      <c r="E412" s="15"/>
      <c r="F412" s="16"/>
      <c r="G412" s="17"/>
      <c r="H412" s="18" t="n">
        <f aca="false">IF(AND(C412="Yakıt",D412&lt;&gt;""),SUMPRODUCT(MAX(($B$5:$B$1004=B412)*($C$5:$C$1004="Yakıt")*($D$5:$D$1004&lt;D412)*$D$5:$D$1004)),0)</f>
        <v>0</v>
      </c>
      <c r="I412" s="18" t="str">
        <f aca="false">IF(H412&gt;0,D412-H412,"")</f>
        <v/>
      </c>
      <c r="J412" s="19" t="str">
        <f aca="false">IF(OR(I412="",E412=""),"",E412/I412*100)</f>
        <v/>
      </c>
      <c r="K412" s="20" t="str">
        <f aca="false">IF(I412="","",F412/I412)</f>
        <v/>
      </c>
    </row>
    <row r="413" customFormat="false" ht="15" hidden="false" customHeight="false" outlineLevel="0" collapsed="false">
      <c r="A413" s="12"/>
      <c r="B413" s="13"/>
      <c r="C413" s="13"/>
      <c r="D413" s="14"/>
      <c r="E413" s="15"/>
      <c r="F413" s="16"/>
      <c r="G413" s="17"/>
      <c r="H413" s="18" t="n">
        <f aca="false">IF(AND(C413="Yakıt",D413&lt;&gt;""),SUMPRODUCT(MAX(($B$5:$B$1004=B413)*($C$5:$C$1004="Yakıt")*($D$5:$D$1004&lt;D413)*$D$5:$D$1004)),0)</f>
        <v>0</v>
      </c>
      <c r="I413" s="18" t="str">
        <f aca="false">IF(H413&gt;0,D413-H413,"")</f>
        <v/>
      </c>
      <c r="J413" s="19" t="str">
        <f aca="false">IF(OR(I413="",E413=""),"",E413/I413*100)</f>
        <v/>
      </c>
      <c r="K413" s="20" t="str">
        <f aca="false">IF(I413="","",F413/I413)</f>
        <v/>
      </c>
    </row>
    <row r="414" customFormat="false" ht="15" hidden="false" customHeight="false" outlineLevel="0" collapsed="false">
      <c r="A414" s="12"/>
      <c r="B414" s="13"/>
      <c r="C414" s="13"/>
      <c r="D414" s="14"/>
      <c r="E414" s="15"/>
      <c r="F414" s="16"/>
      <c r="G414" s="17"/>
      <c r="H414" s="18" t="n">
        <f aca="false">IF(AND(C414="Yakıt",D414&lt;&gt;""),SUMPRODUCT(MAX(($B$5:$B$1004=B414)*($C$5:$C$1004="Yakıt")*($D$5:$D$1004&lt;D414)*$D$5:$D$1004)),0)</f>
        <v>0</v>
      </c>
      <c r="I414" s="18" t="str">
        <f aca="false">IF(H414&gt;0,D414-H414,"")</f>
        <v/>
      </c>
      <c r="J414" s="19" t="str">
        <f aca="false">IF(OR(I414="",E414=""),"",E414/I414*100)</f>
        <v/>
      </c>
      <c r="K414" s="20" t="str">
        <f aca="false">IF(I414="","",F414/I414)</f>
        <v/>
      </c>
    </row>
    <row r="415" customFormat="false" ht="15" hidden="false" customHeight="false" outlineLevel="0" collapsed="false">
      <c r="A415" s="12"/>
      <c r="B415" s="13"/>
      <c r="C415" s="13"/>
      <c r="D415" s="14"/>
      <c r="E415" s="15"/>
      <c r="F415" s="16"/>
      <c r="G415" s="17"/>
      <c r="H415" s="18" t="n">
        <f aca="false">IF(AND(C415="Yakıt",D415&lt;&gt;""),SUMPRODUCT(MAX(($B$5:$B$1004=B415)*($C$5:$C$1004="Yakıt")*($D$5:$D$1004&lt;D415)*$D$5:$D$1004)),0)</f>
        <v>0</v>
      </c>
      <c r="I415" s="18" t="str">
        <f aca="false">IF(H415&gt;0,D415-H415,"")</f>
        <v/>
      </c>
      <c r="J415" s="19" t="str">
        <f aca="false">IF(OR(I415="",E415=""),"",E415/I415*100)</f>
        <v/>
      </c>
      <c r="K415" s="20" t="str">
        <f aca="false">IF(I415="","",F415/I415)</f>
        <v/>
      </c>
    </row>
    <row r="416" customFormat="false" ht="15" hidden="false" customHeight="false" outlineLevel="0" collapsed="false">
      <c r="A416" s="12"/>
      <c r="B416" s="13"/>
      <c r="C416" s="13"/>
      <c r="D416" s="14"/>
      <c r="E416" s="15"/>
      <c r="F416" s="16"/>
      <c r="G416" s="17"/>
      <c r="H416" s="18" t="n">
        <f aca="false">IF(AND(C416="Yakıt",D416&lt;&gt;""),SUMPRODUCT(MAX(($B$5:$B$1004=B416)*($C$5:$C$1004="Yakıt")*($D$5:$D$1004&lt;D416)*$D$5:$D$1004)),0)</f>
        <v>0</v>
      </c>
      <c r="I416" s="18" t="str">
        <f aca="false">IF(H416&gt;0,D416-H416,"")</f>
        <v/>
      </c>
      <c r="J416" s="19" t="str">
        <f aca="false">IF(OR(I416="",E416=""),"",E416/I416*100)</f>
        <v/>
      </c>
      <c r="K416" s="20" t="str">
        <f aca="false">IF(I416="","",F416/I416)</f>
        <v/>
      </c>
    </row>
    <row r="417" customFormat="false" ht="15" hidden="false" customHeight="false" outlineLevel="0" collapsed="false">
      <c r="A417" s="12"/>
      <c r="B417" s="13"/>
      <c r="C417" s="13"/>
      <c r="D417" s="14"/>
      <c r="E417" s="15"/>
      <c r="F417" s="16"/>
      <c r="G417" s="17"/>
      <c r="H417" s="18" t="n">
        <f aca="false">IF(AND(C417="Yakıt",D417&lt;&gt;""),SUMPRODUCT(MAX(($B$5:$B$1004=B417)*($C$5:$C$1004="Yakıt")*($D$5:$D$1004&lt;D417)*$D$5:$D$1004)),0)</f>
        <v>0</v>
      </c>
      <c r="I417" s="18" t="str">
        <f aca="false">IF(H417&gt;0,D417-H417,"")</f>
        <v/>
      </c>
      <c r="J417" s="19" t="str">
        <f aca="false">IF(OR(I417="",E417=""),"",E417/I417*100)</f>
        <v/>
      </c>
      <c r="K417" s="20" t="str">
        <f aca="false">IF(I417="","",F417/I417)</f>
        <v/>
      </c>
    </row>
    <row r="418" customFormat="false" ht="15" hidden="false" customHeight="false" outlineLevel="0" collapsed="false">
      <c r="A418" s="12"/>
      <c r="B418" s="13"/>
      <c r="C418" s="13"/>
      <c r="D418" s="14"/>
      <c r="E418" s="15"/>
      <c r="F418" s="16"/>
      <c r="G418" s="17"/>
      <c r="H418" s="18" t="n">
        <f aca="false">IF(AND(C418="Yakıt",D418&lt;&gt;""),SUMPRODUCT(MAX(($B$5:$B$1004=B418)*($C$5:$C$1004="Yakıt")*($D$5:$D$1004&lt;D418)*$D$5:$D$1004)),0)</f>
        <v>0</v>
      </c>
      <c r="I418" s="18" t="str">
        <f aca="false">IF(H418&gt;0,D418-H418,"")</f>
        <v/>
      </c>
      <c r="J418" s="19" t="str">
        <f aca="false">IF(OR(I418="",E418=""),"",E418/I418*100)</f>
        <v/>
      </c>
      <c r="K418" s="20" t="str">
        <f aca="false">IF(I418="","",F418/I418)</f>
        <v/>
      </c>
    </row>
    <row r="419" customFormat="false" ht="15" hidden="false" customHeight="false" outlineLevel="0" collapsed="false">
      <c r="A419" s="12"/>
      <c r="B419" s="13"/>
      <c r="C419" s="13"/>
      <c r="D419" s="14"/>
      <c r="E419" s="15"/>
      <c r="F419" s="16"/>
      <c r="G419" s="17"/>
      <c r="H419" s="18" t="n">
        <f aca="false">IF(AND(C419="Yakıt",D419&lt;&gt;""),SUMPRODUCT(MAX(($B$5:$B$1004=B419)*($C$5:$C$1004="Yakıt")*($D$5:$D$1004&lt;D419)*$D$5:$D$1004)),0)</f>
        <v>0</v>
      </c>
      <c r="I419" s="18" t="str">
        <f aca="false">IF(H419&gt;0,D419-H419,"")</f>
        <v/>
      </c>
      <c r="J419" s="19" t="str">
        <f aca="false">IF(OR(I419="",E419=""),"",E419/I419*100)</f>
        <v/>
      </c>
      <c r="K419" s="20" t="str">
        <f aca="false">IF(I419="","",F419/I419)</f>
        <v/>
      </c>
    </row>
    <row r="420" customFormat="false" ht="15" hidden="false" customHeight="false" outlineLevel="0" collapsed="false">
      <c r="A420" s="12"/>
      <c r="B420" s="13"/>
      <c r="C420" s="13"/>
      <c r="D420" s="14"/>
      <c r="E420" s="15"/>
      <c r="F420" s="16"/>
      <c r="G420" s="17"/>
      <c r="H420" s="18" t="n">
        <f aca="false">IF(AND(C420="Yakıt",D420&lt;&gt;""),SUMPRODUCT(MAX(($B$5:$B$1004=B420)*($C$5:$C$1004="Yakıt")*($D$5:$D$1004&lt;D420)*$D$5:$D$1004)),0)</f>
        <v>0</v>
      </c>
      <c r="I420" s="18" t="str">
        <f aca="false">IF(H420&gt;0,D420-H420,"")</f>
        <v/>
      </c>
      <c r="J420" s="19" t="str">
        <f aca="false">IF(OR(I420="",E420=""),"",E420/I420*100)</f>
        <v/>
      </c>
      <c r="K420" s="20" t="str">
        <f aca="false">IF(I420="","",F420/I420)</f>
        <v/>
      </c>
    </row>
    <row r="421" customFormat="false" ht="15" hidden="false" customHeight="false" outlineLevel="0" collapsed="false">
      <c r="A421" s="12"/>
      <c r="B421" s="13"/>
      <c r="C421" s="13"/>
      <c r="D421" s="14"/>
      <c r="E421" s="15"/>
      <c r="F421" s="16"/>
      <c r="G421" s="17"/>
      <c r="H421" s="18" t="n">
        <f aca="false">IF(AND(C421="Yakıt",D421&lt;&gt;""),SUMPRODUCT(MAX(($B$5:$B$1004=B421)*($C$5:$C$1004="Yakıt")*($D$5:$D$1004&lt;D421)*$D$5:$D$1004)),0)</f>
        <v>0</v>
      </c>
      <c r="I421" s="18" t="str">
        <f aca="false">IF(H421&gt;0,D421-H421,"")</f>
        <v/>
      </c>
      <c r="J421" s="19" t="str">
        <f aca="false">IF(OR(I421="",E421=""),"",E421/I421*100)</f>
        <v/>
      </c>
      <c r="K421" s="20" t="str">
        <f aca="false">IF(I421="","",F421/I421)</f>
        <v/>
      </c>
    </row>
    <row r="422" customFormat="false" ht="15" hidden="false" customHeight="false" outlineLevel="0" collapsed="false">
      <c r="A422" s="12"/>
      <c r="B422" s="13"/>
      <c r="C422" s="13"/>
      <c r="D422" s="14"/>
      <c r="E422" s="15"/>
      <c r="F422" s="16"/>
      <c r="G422" s="17"/>
      <c r="H422" s="18" t="n">
        <f aca="false">IF(AND(C422="Yakıt",D422&lt;&gt;""),SUMPRODUCT(MAX(($B$5:$B$1004=B422)*($C$5:$C$1004="Yakıt")*($D$5:$D$1004&lt;D422)*$D$5:$D$1004)),0)</f>
        <v>0</v>
      </c>
      <c r="I422" s="18" t="str">
        <f aca="false">IF(H422&gt;0,D422-H422,"")</f>
        <v/>
      </c>
      <c r="J422" s="19" t="str">
        <f aca="false">IF(OR(I422="",E422=""),"",E422/I422*100)</f>
        <v/>
      </c>
      <c r="K422" s="20" t="str">
        <f aca="false">IF(I422="","",F422/I422)</f>
        <v/>
      </c>
    </row>
    <row r="423" customFormat="false" ht="15" hidden="false" customHeight="false" outlineLevel="0" collapsed="false">
      <c r="A423" s="12"/>
      <c r="B423" s="13"/>
      <c r="C423" s="13"/>
      <c r="D423" s="14"/>
      <c r="E423" s="15"/>
      <c r="F423" s="16"/>
      <c r="G423" s="17"/>
      <c r="H423" s="18" t="n">
        <f aca="false">IF(AND(C423="Yakıt",D423&lt;&gt;""),SUMPRODUCT(MAX(($B$5:$B$1004=B423)*($C$5:$C$1004="Yakıt")*($D$5:$D$1004&lt;D423)*$D$5:$D$1004)),0)</f>
        <v>0</v>
      </c>
      <c r="I423" s="18" t="str">
        <f aca="false">IF(H423&gt;0,D423-H423,"")</f>
        <v/>
      </c>
      <c r="J423" s="19" t="str">
        <f aca="false">IF(OR(I423="",E423=""),"",E423/I423*100)</f>
        <v/>
      </c>
      <c r="K423" s="20" t="str">
        <f aca="false">IF(I423="","",F423/I423)</f>
        <v/>
      </c>
    </row>
    <row r="424" customFormat="false" ht="15" hidden="false" customHeight="false" outlineLevel="0" collapsed="false">
      <c r="A424" s="12"/>
      <c r="B424" s="13"/>
      <c r="C424" s="13"/>
      <c r="D424" s="14"/>
      <c r="E424" s="15"/>
      <c r="F424" s="16"/>
      <c r="G424" s="17"/>
      <c r="H424" s="18" t="n">
        <f aca="false">IF(AND(C424="Yakıt",D424&lt;&gt;""),SUMPRODUCT(MAX(($B$5:$B$1004=B424)*($C$5:$C$1004="Yakıt")*($D$5:$D$1004&lt;D424)*$D$5:$D$1004)),0)</f>
        <v>0</v>
      </c>
      <c r="I424" s="18" t="str">
        <f aca="false">IF(H424&gt;0,D424-H424,"")</f>
        <v/>
      </c>
      <c r="J424" s="19" t="str">
        <f aca="false">IF(OR(I424="",E424=""),"",E424/I424*100)</f>
        <v/>
      </c>
      <c r="K424" s="20" t="str">
        <f aca="false">IF(I424="","",F424/I424)</f>
        <v/>
      </c>
    </row>
    <row r="425" customFormat="false" ht="15" hidden="false" customHeight="false" outlineLevel="0" collapsed="false">
      <c r="A425" s="12"/>
      <c r="B425" s="13"/>
      <c r="C425" s="13"/>
      <c r="D425" s="14"/>
      <c r="E425" s="15"/>
      <c r="F425" s="16"/>
      <c r="G425" s="17"/>
      <c r="H425" s="18" t="n">
        <f aca="false">IF(AND(C425="Yakıt",D425&lt;&gt;""),SUMPRODUCT(MAX(($B$5:$B$1004=B425)*($C$5:$C$1004="Yakıt")*($D$5:$D$1004&lt;D425)*$D$5:$D$1004)),0)</f>
        <v>0</v>
      </c>
      <c r="I425" s="18" t="str">
        <f aca="false">IF(H425&gt;0,D425-H425,"")</f>
        <v/>
      </c>
      <c r="J425" s="19" t="str">
        <f aca="false">IF(OR(I425="",E425=""),"",E425/I425*100)</f>
        <v/>
      </c>
      <c r="K425" s="20" t="str">
        <f aca="false">IF(I425="","",F425/I425)</f>
        <v/>
      </c>
    </row>
    <row r="426" customFormat="false" ht="15" hidden="false" customHeight="false" outlineLevel="0" collapsed="false">
      <c r="A426" s="12"/>
      <c r="B426" s="13"/>
      <c r="C426" s="13"/>
      <c r="D426" s="14"/>
      <c r="E426" s="15"/>
      <c r="F426" s="16"/>
      <c r="G426" s="17"/>
      <c r="H426" s="18" t="n">
        <f aca="false">IF(AND(C426="Yakıt",D426&lt;&gt;""),SUMPRODUCT(MAX(($B$5:$B$1004=B426)*($C$5:$C$1004="Yakıt")*($D$5:$D$1004&lt;D426)*$D$5:$D$1004)),0)</f>
        <v>0</v>
      </c>
      <c r="I426" s="18" t="str">
        <f aca="false">IF(H426&gt;0,D426-H426,"")</f>
        <v/>
      </c>
      <c r="J426" s="19" t="str">
        <f aca="false">IF(OR(I426="",E426=""),"",E426/I426*100)</f>
        <v/>
      </c>
      <c r="K426" s="20" t="str">
        <f aca="false">IF(I426="","",F426/I426)</f>
        <v/>
      </c>
    </row>
    <row r="427" customFormat="false" ht="15" hidden="false" customHeight="false" outlineLevel="0" collapsed="false">
      <c r="A427" s="12"/>
      <c r="B427" s="13"/>
      <c r="C427" s="13"/>
      <c r="D427" s="14"/>
      <c r="E427" s="15"/>
      <c r="F427" s="16"/>
      <c r="G427" s="17"/>
      <c r="H427" s="18" t="n">
        <f aca="false">IF(AND(C427="Yakıt",D427&lt;&gt;""),SUMPRODUCT(MAX(($B$5:$B$1004=B427)*($C$5:$C$1004="Yakıt")*($D$5:$D$1004&lt;D427)*$D$5:$D$1004)),0)</f>
        <v>0</v>
      </c>
      <c r="I427" s="18" t="str">
        <f aca="false">IF(H427&gt;0,D427-H427,"")</f>
        <v/>
      </c>
      <c r="J427" s="19" t="str">
        <f aca="false">IF(OR(I427="",E427=""),"",E427/I427*100)</f>
        <v/>
      </c>
      <c r="K427" s="20" t="str">
        <f aca="false">IF(I427="","",F427/I427)</f>
        <v/>
      </c>
    </row>
    <row r="428" customFormat="false" ht="15" hidden="false" customHeight="false" outlineLevel="0" collapsed="false">
      <c r="A428" s="12"/>
      <c r="B428" s="13"/>
      <c r="C428" s="13"/>
      <c r="D428" s="14"/>
      <c r="E428" s="15"/>
      <c r="F428" s="16"/>
      <c r="G428" s="17"/>
      <c r="H428" s="18" t="n">
        <f aca="false">IF(AND(C428="Yakıt",D428&lt;&gt;""),SUMPRODUCT(MAX(($B$5:$B$1004=B428)*($C$5:$C$1004="Yakıt")*($D$5:$D$1004&lt;D428)*$D$5:$D$1004)),0)</f>
        <v>0</v>
      </c>
      <c r="I428" s="18" t="str">
        <f aca="false">IF(H428&gt;0,D428-H428,"")</f>
        <v/>
      </c>
      <c r="J428" s="19" t="str">
        <f aca="false">IF(OR(I428="",E428=""),"",E428/I428*100)</f>
        <v/>
      </c>
      <c r="K428" s="20" t="str">
        <f aca="false">IF(I428="","",F428/I428)</f>
        <v/>
      </c>
    </row>
    <row r="429" customFormat="false" ht="15" hidden="false" customHeight="false" outlineLevel="0" collapsed="false">
      <c r="A429" s="12"/>
      <c r="B429" s="13"/>
      <c r="C429" s="13"/>
      <c r="D429" s="14"/>
      <c r="E429" s="15"/>
      <c r="F429" s="16"/>
      <c r="G429" s="17"/>
      <c r="H429" s="18" t="n">
        <f aca="false">IF(AND(C429="Yakıt",D429&lt;&gt;""),SUMPRODUCT(MAX(($B$5:$B$1004=B429)*($C$5:$C$1004="Yakıt")*($D$5:$D$1004&lt;D429)*$D$5:$D$1004)),0)</f>
        <v>0</v>
      </c>
      <c r="I429" s="18" t="str">
        <f aca="false">IF(H429&gt;0,D429-H429,"")</f>
        <v/>
      </c>
      <c r="J429" s="19" t="str">
        <f aca="false">IF(OR(I429="",E429=""),"",E429/I429*100)</f>
        <v/>
      </c>
      <c r="K429" s="20" t="str">
        <f aca="false">IF(I429="","",F429/I429)</f>
        <v/>
      </c>
    </row>
    <row r="430" customFormat="false" ht="15" hidden="false" customHeight="false" outlineLevel="0" collapsed="false">
      <c r="A430" s="12"/>
      <c r="B430" s="13"/>
      <c r="C430" s="13"/>
      <c r="D430" s="14"/>
      <c r="E430" s="15"/>
      <c r="F430" s="16"/>
      <c r="G430" s="17"/>
      <c r="H430" s="18" t="n">
        <f aca="false">IF(AND(C430="Yakıt",D430&lt;&gt;""),SUMPRODUCT(MAX(($B$5:$B$1004=B430)*($C$5:$C$1004="Yakıt")*($D$5:$D$1004&lt;D430)*$D$5:$D$1004)),0)</f>
        <v>0</v>
      </c>
      <c r="I430" s="18" t="str">
        <f aca="false">IF(H430&gt;0,D430-H430,"")</f>
        <v/>
      </c>
      <c r="J430" s="19" t="str">
        <f aca="false">IF(OR(I430="",E430=""),"",E430/I430*100)</f>
        <v/>
      </c>
      <c r="K430" s="20" t="str">
        <f aca="false">IF(I430="","",F430/I430)</f>
        <v/>
      </c>
    </row>
    <row r="431" customFormat="false" ht="15" hidden="false" customHeight="false" outlineLevel="0" collapsed="false">
      <c r="A431" s="12"/>
      <c r="B431" s="13"/>
      <c r="C431" s="13"/>
      <c r="D431" s="14"/>
      <c r="E431" s="15"/>
      <c r="F431" s="16"/>
      <c r="G431" s="17"/>
      <c r="H431" s="18" t="n">
        <f aca="false">IF(AND(C431="Yakıt",D431&lt;&gt;""),SUMPRODUCT(MAX(($B$5:$B$1004=B431)*($C$5:$C$1004="Yakıt")*($D$5:$D$1004&lt;D431)*$D$5:$D$1004)),0)</f>
        <v>0</v>
      </c>
      <c r="I431" s="18" t="str">
        <f aca="false">IF(H431&gt;0,D431-H431,"")</f>
        <v/>
      </c>
      <c r="J431" s="19" t="str">
        <f aca="false">IF(OR(I431="",E431=""),"",E431/I431*100)</f>
        <v/>
      </c>
      <c r="K431" s="20" t="str">
        <f aca="false">IF(I431="","",F431/I431)</f>
        <v/>
      </c>
    </row>
    <row r="432" customFormat="false" ht="15" hidden="false" customHeight="false" outlineLevel="0" collapsed="false">
      <c r="A432" s="12"/>
      <c r="B432" s="13"/>
      <c r="C432" s="13"/>
      <c r="D432" s="14"/>
      <c r="E432" s="15"/>
      <c r="F432" s="16"/>
      <c r="G432" s="17"/>
      <c r="H432" s="18" t="n">
        <f aca="false">IF(AND(C432="Yakıt",D432&lt;&gt;""),SUMPRODUCT(MAX(($B$5:$B$1004=B432)*($C$5:$C$1004="Yakıt")*($D$5:$D$1004&lt;D432)*$D$5:$D$1004)),0)</f>
        <v>0</v>
      </c>
      <c r="I432" s="18" t="str">
        <f aca="false">IF(H432&gt;0,D432-H432,"")</f>
        <v/>
      </c>
      <c r="J432" s="19" t="str">
        <f aca="false">IF(OR(I432="",E432=""),"",E432/I432*100)</f>
        <v/>
      </c>
      <c r="K432" s="20" t="str">
        <f aca="false">IF(I432="","",F432/I432)</f>
        <v/>
      </c>
    </row>
    <row r="433" customFormat="false" ht="15" hidden="false" customHeight="false" outlineLevel="0" collapsed="false">
      <c r="A433" s="12"/>
      <c r="B433" s="13"/>
      <c r="C433" s="13"/>
      <c r="D433" s="14"/>
      <c r="E433" s="15"/>
      <c r="F433" s="16"/>
      <c r="G433" s="17"/>
      <c r="H433" s="18" t="n">
        <f aca="false">IF(AND(C433="Yakıt",D433&lt;&gt;""),SUMPRODUCT(MAX(($B$5:$B$1004=B433)*($C$5:$C$1004="Yakıt")*($D$5:$D$1004&lt;D433)*$D$5:$D$1004)),0)</f>
        <v>0</v>
      </c>
      <c r="I433" s="18" t="str">
        <f aca="false">IF(H433&gt;0,D433-H433,"")</f>
        <v/>
      </c>
      <c r="J433" s="19" t="str">
        <f aca="false">IF(OR(I433="",E433=""),"",E433/I433*100)</f>
        <v/>
      </c>
      <c r="K433" s="20" t="str">
        <f aca="false">IF(I433="","",F433/I433)</f>
        <v/>
      </c>
    </row>
    <row r="434" customFormat="false" ht="15" hidden="false" customHeight="false" outlineLevel="0" collapsed="false">
      <c r="A434" s="12"/>
      <c r="B434" s="13"/>
      <c r="C434" s="13"/>
      <c r="D434" s="14"/>
      <c r="E434" s="15"/>
      <c r="F434" s="16"/>
      <c r="G434" s="17"/>
      <c r="H434" s="18" t="n">
        <f aca="false">IF(AND(C434="Yakıt",D434&lt;&gt;""),SUMPRODUCT(MAX(($B$5:$B$1004=B434)*($C$5:$C$1004="Yakıt")*($D$5:$D$1004&lt;D434)*$D$5:$D$1004)),0)</f>
        <v>0</v>
      </c>
      <c r="I434" s="18" t="str">
        <f aca="false">IF(H434&gt;0,D434-H434,"")</f>
        <v/>
      </c>
      <c r="J434" s="19" t="str">
        <f aca="false">IF(OR(I434="",E434=""),"",E434/I434*100)</f>
        <v/>
      </c>
      <c r="K434" s="20" t="str">
        <f aca="false">IF(I434="","",F434/I434)</f>
        <v/>
      </c>
    </row>
    <row r="435" customFormat="false" ht="15" hidden="false" customHeight="false" outlineLevel="0" collapsed="false">
      <c r="A435" s="12"/>
      <c r="B435" s="13"/>
      <c r="C435" s="13"/>
      <c r="D435" s="14"/>
      <c r="E435" s="15"/>
      <c r="F435" s="16"/>
      <c r="G435" s="17"/>
      <c r="H435" s="18" t="n">
        <f aca="false">IF(AND(C435="Yakıt",D435&lt;&gt;""),SUMPRODUCT(MAX(($B$5:$B$1004=B435)*($C$5:$C$1004="Yakıt")*($D$5:$D$1004&lt;D435)*$D$5:$D$1004)),0)</f>
        <v>0</v>
      </c>
      <c r="I435" s="18" t="str">
        <f aca="false">IF(H435&gt;0,D435-H435,"")</f>
        <v/>
      </c>
      <c r="J435" s="19" t="str">
        <f aca="false">IF(OR(I435="",E435=""),"",E435/I435*100)</f>
        <v/>
      </c>
      <c r="K435" s="20" t="str">
        <f aca="false">IF(I435="","",F435/I435)</f>
        <v/>
      </c>
    </row>
    <row r="436" customFormat="false" ht="15" hidden="false" customHeight="false" outlineLevel="0" collapsed="false">
      <c r="A436" s="12"/>
      <c r="B436" s="13"/>
      <c r="C436" s="13"/>
      <c r="D436" s="14"/>
      <c r="E436" s="15"/>
      <c r="F436" s="16"/>
      <c r="G436" s="17"/>
      <c r="H436" s="18" t="n">
        <f aca="false">IF(AND(C436="Yakıt",D436&lt;&gt;""),SUMPRODUCT(MAX(($B$5:$B$1004=B436)*($C$5:$C$1004="Yakıt")*($D$5:$D$1004&lt;D436)*$D$5:$D$1004)),0)</f>
        <v>0</v>
      </c>
      <c r="I436" s="18" t="str">
        <f aca="false">IF(H436&gt;0,D436-H436,"")</f>
        <v/>
      </c>
      <c r="J436" s="19" t="str">
        <f aca="false">IF(OR(I436="",E436=""),"",E436/I436*100)</f>
        <v/>
      </c>
      <c r="K436" s="20" t="str">
        <f aca="false">IF(I436="","",F436/I436)</f>
        <v/>
      </c>
    </row>
    <row r="437" customFormat="false" ht="15" hidden="false" customHeight="false" outlineLevel="0" collapsed="false">
      <c r="A437" s="12"/>
      <c r="B437" s="13"/>
      <c r="C437" s="13"/>
      <c r="D437" s="14"/>
      <c r="E437" s="15"/>
      <c r="F437" s="16"/>
      <c r="G437" s="17"/>
      <c r="H437" s="18" t="n">
        <f aca="false">IF(AND(C437="Yakıt",D437&lt;&gt;""),SUMPRODUCT(MAX(($B$5:$B$1004=B437)*($C$5:$C$1004="Yakıt")*($D$5:$D$1004&lt;D437)*$D$5:$D$1004)),0)</f>
        <v>0</v>
      </c>
      <c r="I437" s="18" t="str">
        <f aca="false">IF(H437&gt;0,D437-H437,"")</f>
        <v/>
      </c>
      <c r="J437" s="19" t="str">
        <f aca="false">IF(OR(I437="",E437=""),"",E437/I437*100)</f>
        <v/>
      </c>
      <c r="K437" s="20" t="str">
        <f aca="false">IF(I437="","",F437/I437)</f>
        <v/>
      </c>
    </row>
    <row r="438" customFormat="false" ht="15" hidden="false" customHeight="false" outlineLevel="0" collapsed="false">
      <c r="A438" s="12"/>
      <c r="B438" s="13"/>
      <c r="C438" s="13"/>
      <c r="D438" s="14"/>
      <c r="E438" s="15"/>
      <c r="F438" s="16"/>
      <c r="G438" s="17"/>
      <c r="H438" s="18" t="n">
        <f aca="false">IF(AND(C438="Yakıt",D438&lt;&gt;""),SUMPRODUCT(MAX(($B$5:$B$1004=B438)*($C$5:$C$1004="Yakıt")*($D$5:$D$1004&lt;D438)*$D$5:$D$1004)),0)</f>
        <v>0</v>
      </c>
      <c r="I438" s="18" t="str">
        <f aca="false">IF(H438&gt;0,D438-H438,"")</f>
        <v/>
      </c>
      <c r="J438" s="19" t="str">
        <f aca="false">IF(OR(I438="",E438=""),"",E438/I438*100)</f>
        <v/>
      </c>
      <c r="K438" s="20" t="str">
        <f aca="false">IF(I438="","",F438/I438)</f>
        <v/>
      </c>
    </row>
    <row r="439" customFormat="false" ht="15" hidden="false" customHeight="false" outlineLevel="0" collapsed="false">
      <c r="A439" s="12"/>
      <c r="B439" s="13"/>
      <c r="C439" s="13"/>
      <c r="D439" s="14"/>
      <c r="E439" s="15"/>
      <c r="F439" s="16"/>
      <c r="G439" s="17"/>
      <c r="H439" s="18" t="n">
        <f aca="false">IF(AND(C439="Yakıt",D439&lt;&gt;""),SUMPRODUCT(MAX(($B$5:$B$1004=B439)*($C$5:$C$1004="Yakıt")*($D$5:$D$1004&lt;D439)*$D$5:$D$1004)),0)</f>
        <v>0</v>
      </c>
      <c r="I439" s="18" t="str">
        <f aca="false">IF(H439&gt;0,D439-H439,"")</f>
        <v/>
      </c>
      <c r="J439" s="19" t="str">
        <f aca="false">IF(OR(I439="",E439=""),"",E439/I439*100)</f>
        <v/>
      </c>
      <c r="K439" s="20" t="str">
        <f aca="false">IF(I439="","",F439/I439)</f>
        <v/>
      </c>
    </row>
    <row r="440" customFormat="false" ht="15" hidden="false" customHeight="false" outlineLevel="0" collapsed="false">
      <c r="A440" s="12"/>
      <c r="B440" s="13"/>
      <c r="C440" s="13"/>
      <c r="D440" s="14"/>
      <c r="E440" s="15"/>
      <c r="F440" s="16"/>
      <c r="G440" s="17"/>
      <c r="H440" s="18" t="n">
        <f aca="false">IF(AND(C440="Yakıt",D440&lt;&gt;""),SUMPRODUCT(MAX(($B$5:$B$1004=B440)*($C$5:$C$1004="Yakıt")*($D$5:$D$1004&lt;D440)*$D$5:$D$1004)),0)</f>
        <v>0</v>
      </c>
      <c r="I440" s="18" t="str">
        <f aca="false">IF(H440&gt;0,D440-H440,"")</f>
        <v/>
      </c>
      <c r="J440" s="19" t="str">
        <f aca="false">IF(OR(I440="",E440=""),"",E440/I440*100)</f>
        <v/>
      </c>
      <c r="K440" s="20" t="str">
        <f aca="false">IF(I440="","",F440/I440)</f>
        <v/>
      </c>
    </row>
    <row r="441" customFormat="false" ht="15" hidden="false" customHeight="false" outlineLevel="0" collapsed="false">
      <c r="A441" s="12"/>
      <c r="B441" s="13"/>
      <c r="C441" s="13"/>
      <c r="D441" s="14"/>
      <c r="E441" s="15"/>
      <c r="F441" s="16"/>
      <c r="G441" s="17"/>
      <c r="H441" s="18" t="n">
        <f aca="false">IF(AND(C441="Yakıt",D441&lt;&gt;""),SUMPRODUCT(MAX(($B$5:$B$1004=B441)*($C$5:$C$1004="Yakıt")*($D$5:$D$1004&lt;D441)*$D$5:$D$1004)),0)</f>
        <v>0</v>
      </c>
      <c r="I441" s="18" t="str">
        <f aca="false">IF(H441&gt;0,D441-H441,"")</f>
        <v/>
      </c>
      <c r="J441" s="19" t="str">
        <f aca="false">IF(OR(I441="",E441=""),"",E441/I441*100)</f>
        <v/>
      </c>
      <c r="K441" s="20" t="str">
        <f aca="false">IF(I441="","",F441/I441)</f>
        <v/>
      </c>
    </row>
    <row r="442" customFormat="false" ht="15" hidden="false" customHeight="false" outlineLevel="0" collapsed="false">
      <c r="A442" s="12"/>
      <c r="B442" s="13"/>
      <c r="C442" s="13"/>
      <c r="D442" s="14"/>
      <c r="E442" s="15"/>
      <c r="F442" s="16"/>
      <c r="G442" s="17"/>
      <c r="H442" s="18" t="n">
        <f aca="false">IF(AND(C442="Yakıt",D442&lt;&gt;""),SUMPRODUCT(MAX(($B$5:$B$1004=B442)*($C$5:$C$1004="Yakıt")*($D$5:$D$1004&lt;D442)*$D$5:$D$1004)),0)</f>
        <v>0</v>
      </c>
      <c r="I442" s="18" t="str">
        <f aca="false">IF(H442&gt;0,D442-H442,"")</f>
        <v/>
      </c>
      <c r="J442" s="19" t="str">
        <f aca="false">IF(OR(I442="",E442=""),"",E442/I442*100)</f>
        <v/>
      </c>
      <c r="K442" s="20" t="str">
        <f aca="false">IF(I442="","",F442/I442)</f>
        <v/>
      </c>
    </row>
    <row r="443" customFormat="false" ht="15" hidden="false" customHeight="false" outlineLevel="0" collapsed="false">
      <c r="A443" s="12"/>
      <c r="B443" s="13"/>
      <c r="C443" s="13"/>
      <c r="D443" s="14"/>
      <c r="E443" s="15"/>
      <c r="F443" s="16"/>
      <c r="G443" s="17"/>
      <c r="H443" s="18" t="n">
        <f aca="false">IF(AND(C443="Yakıt",D443&lt;&gt;""),SUMPRODUCT(MAX(($B$5:$B$1004=B443)*($C$5:$C$1004="Yakıt")*($D$5:$D$1004&lt;D443)*$D$5:$D$1004)),0)</f>
        <v>0</v>
      </c>
      <c r="I443" s="18" t="str">
        <f aca="false">IF(H443&gt;0,D443-H443,"")</f>
        <v/>
      </c>
      <c r="J443" s="19" t="str">
        <f aca="false">IF(OR(I443="",E443=""),"",E443/I443*100)</f>
        <v/>
      </c>
      <c r="K443" s="20" t="str">
        <f aca="false">IF(I443="","",F443/I443)</f>
        <v/>
      </c>
    </row>
    <row r="444" customFormat="false" ht="15" hidden="false" customHeight="false" outlineLevel="0" collapsed="false">
      <c r="A444" s="12"/>
      <c r="B444" s="13"/>
      <c r="C444" s="13"/>
      <c r="D444" s="14"/>
      <c r="E444" s="15"/>
      <c r="F444" s="16"/>
      <c r="G444" s="17"/>
      <c r="H444" s="18" t="n">
        <f aca="false">IF(AND(C444="Yakıt",D444&lt;&gt;""),SUMPRODUCT(MAX(($B$5:$B$1004=B444)*($C$5:$C$1004="Yakıt")*($D$5:$D$1004&lt;D444)*$D$5:$D$1004)),0)</f>
        <v>0</v>
      </c>
      <c r="I444" s="18" t="str">
        <f aca="false">IF(H444&gt;0,D444-H444,"")</f>
        <v/>
      </c>
      <c r="J444" s="19" t="str">
        <f aca="false">IF(OR(I444="",E444=""),"",E444/I444*100)</f>
        <v/>
      </c>
      <c r="K444" s="20" t="str">
        <f aca="false">IF(I444="","",F444/I444)</f>
        <v/>
      </c>
    </row>
    <row r="445" customFormat="false" ht="15" hidden="false" customHeight="false" outlineLevel="0" collapsed="false">
      <c r="A445" s="12"/>
      <c r="B445" s="13"/>
      <c r="C445" s="13"/>
      <c r="D445" s="14"/>
      <c r="E445" s="15"/>
      <c r="F445" s="16"/>
      <c r="G445" s="17"/>
      <c r="H445" s="18" t="n">
        <f aca="false">IF(AND(C445="Yakıt",D445&lt;&gt;""),SUMPRODUCT(MAX(($B$5:$B$1004=B445)*($C$5:$C$1004="Yakıt")*($D$5:$D$1004&lt;D445)*$D$5:$D$1004)),0)</f>
        <v>0</v>
      </c>
      <c r="I445" s="18" t="str">
        <f aca="false">IF(H445&gt;0,D445-H445,"")</f>
        <v/>
      </c>
      <c r="J445" s="19" t="str">
        <f aca="false">IF(OR(I445="",E445=""),"",E445/I445*100)</f>
        <v/>
      </c>
      <c r="K445" s="20" t="str">
        <f aca="false">IF(I445="","",F445/I445)</f>
        <v/>
      </c>
    </row>
    <row r="446" customFormat="false" ht="15" hidden="false" customHeight="false" outlineLevel="0" collapsed="false">
      <c r="A446" s="12"/>
      <c r="B446" s="13"/>
      <c r="C446" s="13"/>
      <c r="D446" s="14"/>
      <c r="E446" s="15"/>
      <c r="F446" s="16"/>
      <c r="G446" s="17"/>
      <c r="H446" s="18" t="n">
        <f aca="false">IF(AND(C446="Yakıt",D446&lt;&gt;""),SUMPRODUCT(MAX(($B$5:$B$1004=B446)*($C$5:$C$1004="Yakıt")*($D$5:$D$1004&lt;D446)*$D$5:$D$1004)),0)</f>
        <v>0</v>
      </c>
      <c r="I446" s="18" t="str">
        <f aca="false">IF(H446&gt;0,D446-H446,"")</f>
        <v/>
      </c>
      <c r="J446" s="19" t="str">
        <f aca="false">IF(OR(I446="",E446=""),"",E446/I446*100)</f>
        <v/>
      </c>
      <c r="K446" s="20" t="str">
        <f aca="false">IF(I446="","",F446/I446)</f>
        <v/>
      </c>
    </row>
    <row r="447" customFormat="false" ht="15" hidden="false" customHeight="false" outlineLevel="0" collapsed="false">
      <c r="A447" s="12"/>
      <c r="B447" s="13"/>
      <c r="C447" s="13"/>
      <c r="D447" s="14"/>
      <c r="E447" s="15"/>
      <c r="F447" s="16"/>
      <c r="G447" s="17"/>
      <c r="H447" s="18" t="n">
        <f aca="false">IF(AND(C447="Yakıt",D447&lt;&gt;""),SUMPRODUCT(MAX(($B$5:$B$1004=B447)*($C$5:$C$1004="Yakıt")*($D$5:$D$1004&lt;D447)*$D$5:$D$1004)),0)</f>
        <v>0</v>
      </c>
      <c r="I447" s="18" t="str">
        <f aca="false">IF(H447&gt;0,D447-H447,"")</f>
        <v/>
      </c>
      <c r="J447" s="19" t="str">
        <f aca="false">IF(OR(I447="",E447=""),"",E447/I447*100)</f>
        <v/>
      </c>
      <c r="K447" s="20" t="str">
        <f aca="false">IF(I447="","",F447/I447)</f>
        <v/>
      </c>
    </row>
    <row r="448" customFormat="false" ht="15" hidden="false" customHeight="false" outlineLevel="0" collapsed="false">
      <c r="A448" s="12"/>
      <c r="B448" s="13"/>
      <c r="C448" s="13"/>
      <c r="D448" s="14"/>
      <c r="E448" s="15"/>
      <c r="F448" s="16"/>
      <c r="G448" s="17"/>
      <c r="H448" s="18" t="n">
        <f aca="false">IF(AND(C448="Yakıt",D448&lt;&gt;""),SUMPRODUCT(MAX(($B$5:$B$1004=B448)*($C$5:$C$1004="Yakıt")*($D$5:$D$1004&lt;D448)*$D$5:$D$1004)),0)</f>
        <v>0</v>
      </c>
      <c r="I448" s="18" t="str">
        <f aca="false">IF(H448&gt;0,D448-H448,"")</f>
        <v/>
      </c>
      <c r="J448" s="19" t="str">
        <f aca="false">IF(OR(I448="",E448=""),"",E448/I448*100)</f>
        <v/>
      </c>
      <c r="K448" s="20" t="str">
        <f aca="false">IF(I448="","",F448/I448)</f>
        <v/>
      </c>
    </row>
    <row r="449" customFormat="false" ht="15" hidden="false" customHeight="false" outlineLevel="0" collapsed="false">
      <c r="A449" s="12"/>
      <c r="B449" s="13"/>
      <c r="C449" s="13"/>
      <c r="D449" s="14"/>
      <c r="E449" s="15"/>
      <c r="F449" s="16"/>
      <c r="G449" s="17"/>
      <c r="H449" s="18" t="n">
        <f aca="false">IF(AND(C449="Yakıt",D449&lt;&gt;""),SUMPRODUCT(MAX(($B$5:$B$1004=B449)*($C$5:$C$1004="Yakıt")*($D$5:$D$1004&lt;D449)*$D$5:$D$1004)),0)</f>
        <v>0</v>
      </c>
      <c r="I449" s="18" t="str">
        <f aca="false">IF(H449&gt;0,D449-H449,"")</f>
        <v/>
      </c>
      <c r="J449" s="19" t="str">
        <f aca="false">IF(OR(I449="",E449=""),"",E449/I449*100)</f>
        <v/>
      </c>
      <c r="K449" s="20" t="str">
        <f aca="false">IF(I449="","",F449/I449)</f>
        <v/>
      </c>
    </row>
    <row r="450" customFormat="false" ht="15" hidden="false" customHeight="false" outlineLevel="0" collapsed="false">
      <c r="A450" s="12"/>
      <c r="B450" s="13"/>
      <c r="C450" s="13"/>
      <c r="D450" s="14"/>
      <c r="E450" s="15"/>
      <c r="F450" s="16"/>
      <c r="G450" s="17"/>
      <c r="H450" s="18" t="n">
        <f aca="false">IF(AND(C450="Yakıt",D450&lt;&gt;""),SUMPRODUCT(MAX(($B$5:$B$1004=B450)*($C$5:$C$1004="Yakıt")*($D$5:$D$1004&lt;D450)*$D$5:$D$1004)),0)</f>
        <v>0</v>
      </c>
      <c r="I450" s="18" t="str">
        <f aca="false">IF(H450&gt;0,D450-H450,"")</f>
        <v/>
      </c>
      <c r="J450" s="19" t="str">
        <f aca="false">IF(OR(I450="",E450=""),"",E450/I450*100)</f>
        <v/>
      </c>
      <c r="K450" s="20" t="str">
        <f aca="false">IF(I450="","",F450/I450)</f>
        <v/>
      </c>
    </row>
    <row r="451" customFormat="false" ht="15" hidden="false" customHeight="false" outlineLevel="0" collapsed="false">
      <c r="A451" s="12"/>
      <c r="B451" s="13"/>
      <c r="C451" s="13"/>
      <c r="D451" s="14"/>
      <c r="E451" s="15"/>
      <c r="F451" s="16"/>
      <c r="G451" s="17"/>
      <c r="H451" s="18" t="n">
        <f aca="false">IF(AND(C451="Yakıt",D451&lt;&gt;""),SUMPRODUCT(MAX(($B$5:$B$1004=B451)*($C$5:$C$1004="Yakıt")*($D$5:$D$1004&lt;D451)*$D$5:$D$1004)),0)</f>
        <v>0</v>
      </c>
      <c r="I451" s="18" t="str">
        <f aca="false">IF(H451&gt;0,D451-H451,"")</f>
        <v/>
      </c>
      <c r="J451" s="19" t="str">
        <f aca="false">IF(OR(I451="",E451=""),"",E451/I451*100)</f>
        <v/>
      </c>
      <c r="K451" s="20" t="str">
        <f aca="false">IF(I451="","",F451/I451)</f>
        <v/>
      </c>
    </row>
    <row r="452" customFormat="false" ht="15" hidden="false" customHeight="false" outlineLevel="0" collapsed="false">
      <c r="A452" s="12"/>
      <c r="B452" s="13"/>
      <c r="C452" s="13"/>
      <c r="D452" s="14"/>
      <c r="E452" s="15"/>
      <c r="F452" s="16"/>
      <c r="G452" s="17"/>
      <c r="H452" s="18" t="n">
        <f aca="false">IF(AND(C452="Yakıt",D452&lt;&gt;""),SUMPRODUCT(MAX(($B$5:$B$1004=B452)*($C$5:$C$1004="Yakıt")*($D$5:$D$1004&lt;D452)*$D$5:$D$1004)),0)</f>
        <v>0</v>
      </c>
      <c r="I452" s="18" t="str">
        <f aca="false">IF(H452&gt;0,D452-H452,"")</f>
        <v/>
      </c>
      <c r="J452" s="19" t="str">
        <f aca="false">IF(OR(I452="",E452=""),"",E452/I452*100)</f>
        <v/>
      </c>
      <c r="K452" s="20" t="str">
        <f aca="false">IF(I452="","",F452/I452)</f>
        <v/>
      </c>
    </row>
    <row r="453" customFormat="false" ht="15" hidden="false" customHeight="false" outlineLevel="0" collapsed="false">
      <c r="A453" s="12"/>
      <c r="B453" s="13"/>
      <c r="C453" s="13"/>
      <c r="D453" s="14"/>
      <c r="E453" s="15"/>
      <c r="F453" s="16"/>
      <c r="G453" s="17"/>
      <c r="H453" s="18" t="n">
        <f aca="false">IF(AND(C453="Yakıt",D453&lt;&gt;""),SUMPRODUCT(MAX(($B$5:$B$1004=B453)*($C$5:$C$1004="Yakıt")*($D$5:$D$1004&lt;D453)*$D$5:$D$1004)),0)</f>
        <v>0</v>
      </c>
      <c r="I453" s="18" t="str">
        <f aca="false">IF(H453&gt;0,D453-H453,"")</f>
        <v/>
      </c>
      <c r="J453" s="19" t="str">
        <f aca="false">IF(OR(I453="",E453=""),"",E453/I453*100)</f>
        <v/>
      </c>
      <c r="K453" s="20" t="str">
        <f aca="false">IF(I453="","",F453/I453)</f>
        <v/>
      </c>
    </row>
    <row r="454" customFormat="false" ht="15" hidden="false" customHeight="false" outlineLevel="0" collapsed="false">
      <c r="A454" s="12"/>
      <c r="B454" s="13"/>
      <c r="C454" s="13"/>
      <c r="D454" s="14"/>
      <c r="E454" s="15"/>
      <c r="F454" s="16"/>
      <c r="G454" s="17"/>
      <c r="H454" s="18" t="n">
        <f aca="false">IF(AND(C454="Yakıt",D454&lt;&gt;""),SUMPRODUCT(MAX(($B$5:$B$1004=B454)*($C$5:$C$1004="Yakıt")*($D$5:$D$1004&lt;D454)*$D$5:$D$1004)),0)</f>
        <v>0</v>
      </c>
      <c r="I454" s="18" t="str">
        <f aca="false">IF(H454&gt;0,D454-H454,"")</f>
        <v/>
      </c>
      <c r="J454" s="19" t="str">
        <f aca="false">IF(OR(I454="",E454=""),"",E454/I454*100)</f>
        <v/>
      </c>
      <c r="K454" s="20" t="str">
        <f aca="false">IF(I454="","",F454/I454)</f>
        <v/>
      </c>
    </row>
    <row r="455" customFormat="false" ht="15" hidden="false" customHeight="false" outlineLevel="0" collapsed="false">
      <c r="A455" s="12"/>
      <c r="B455" s="13"/>
      <c r="C455" s="13"/>
      <c r="D455" s="14"/>
      <c r="E455" s="15"/>
      <c r="F455" s="16"/>
      <c r="G455" s="17"/>
      <c r="H455" s="18" t="n">
        <f aca="false">IF(AND(C455="Yakıt",D455&lt;&gt;""),SUMPRODUCT(MAX(($B$5:$B$1004=B455)*($C$5:$C$1004="Yakıt")*($D$5:$D$1004&lt;D455)*$D$5:$D$1004)),0)</f>
        <v>0</v>
      </c>
      <c r="I455" s="18" t="str">
        <f aca="false">IF(H455&gt;0,D455-H455,"")</f>
        <v/>
      </c>
      <c r="J455" s="19" t="str">
        <f aca="false">IF(OR(I455="",E455=""),"",E455/I455*100)</f>
        <v/>
      </c>
      <c r="K455" s="20" t="str">
        <f aca="false">IF(I455="","",F455/I455)</f>
        <v/>
      </c>
    </row>
    <row r="456" customFormat="false" ht="15" hidden="false" customHeight="false" outlineLevel="0" collapsed="false">
      <c r="A456" s="12"/>
      <c r="B456" s="13"/>
      <c r="C456" s="13"/>
      <c r="D456" s="14"/>
      <c r="E456" s="15"/>
      <c r="F456" s="16"/>
      <c r="G456" s="17"/>
      <c r="H456" s="18" t="n">
        <f aca="false">IF(AND(C456="Yakıt",D456&lt;&gt;""),SUMPRODUCT(MAX(($B$5:$B$1004=B456)*($C$5:$C$1004="Yakıt")*($D$5:$D$1004&lt;D456)*$D$5:$D$1004)),0)</f>
        <v>0</v>
      </c>
      <c r="I456" s="18" t="str">
        <f aca="false">IF(H456&gt;0,D456-H456,"")</f>
        <v/>
      </c>
      <c r="J456" s="19" t="str">
        <f aca="false">IF(OR(I456="",E456=""),"",E456/I456*100)</f>
        <v/>
      </c>
      <c r="K456" s="20" t="str">
        <f aca="false">IF(I456="","",F456/I456)</f>
        <v/>
      </c>
    </row>
    <row r="457" customFormat="false" ht="15" hidden="false" customHeight="false" outlineLevel="0" collapsed="false">
      <c r="A457" s="12"/>
      <c r="B457" s="13"/>
      <c r="C457" s="13"/>
      <c r="D457" s="14"/>
      <c r="E457" s="15"/>
      <c r="F457" s="16"/>
      <c r="G457" s="17"/>
      <c r="H457" s="18" t="n">
        <f aca="false">IF(AND(C457="Yakıt",D457&lt;&gt;""),SUMPRODUCT(MAX(($B$5:$B$1004=B457)*($C$5:$C$1004="Yakıt")*($D$5:$D$1004&lt;D457)*$D$5:$D$1004)),0)</f>
        <v>0</v>
      </c>
      <c r="I457" s="18" t="str">
        <f aca="false">IF(H457&gt;0,D457-H457,"")</f>
        <v/>
      </c>
      <c r="J457" s="19" t="str">
        <f aca="false">IF(OR(I457="",E457=""),"",E457/I457*100)</f>
        <v/>
      </c>
      <c r="K457" s="20" t="str">
        <f aca="false">IF(I457="","",F457/I457)</f>
        <v/>
      </c>
    </row>
    <row r="458" customFormat="false" ht="15" hidden="false" customHeight="false" outlineLevel="0" collapsed="false">
      <c r="A458" s="12"/>
      <c r="B458" s="13"/>
      <c r="C458" s="13"/>
      <c r="D458" s="14"/>
      <c r="E458" s="15"/>
      <c r="F458" s="16"/>
      <c r="G458" s="17"/>
      <c r="H458" s="18" t="n">
        <f aca="false">IF(AND(C458="Yakıt",D458&lt;&gt;""),SUMPRODUCT(MAX(($B$5:$B$1004=B458)*($C$5:$C$1004="Yakıt")*($D$5:$D$1004&lt;D458)*$D$5:$D$1004)),0)</f>
        <v>0</v>
      </c>
      <c r="I458" s="18" t="str">
        <f aca="false">IF(H458&gt;0,D458-H458,"")</f>
        <v/>
      </c>
      <c r="J458" s="19" t="str">
        <f aca="false">IF(OR(I458="",E458=""),"",E458/I458*100)</f>
        <v/>
      </c>
      <c r="K458" s="20" t="str">
        <f aca="false">IF(I458="","",F458/I458)</f>
        <v/>
      </c>
    </row>
    <row r="459" customFormat="false" ht="15" hidden="false" customHeight="false" outlineLevel="0" collapsed="false">
      <c r="A459" s="12"/>
      <c r="B459" s="13"/>
      <c r="C459" s="13"/>
      <c r="D459" s="14"/>
      <c r="E459" s="15"/>
      <c r="F459" s="16"/>
      <c r="G459" s="17"/>
      <c r="H459" s="18" t="n">
        <f aca="false">IF(AND(C459="Yakıt",D459&lt;&gt;""),SUMPRODUCT(MAX(($B$5:$B$1004=B459)*($C$5:$C$1004="Yakıt")*($D$5:$D$1004&lt;D459)*$D$5:$D$1004)),0)</f>
        <v>0</v>
      </c>
      <c r="I459" s="18" t="str">
        <f aca="false">IF(H459&gt;0,D459-H459,"")</f>
        <v/>
      </c>
      <c r="J459" s="19" t="str">
        <f aca="false">IF(OR(I459="",E459=""),"",E459/I459*100)</f>
        <v/>
      </c>
      <c r="K459" s="20" t="str">
        <f aca="false">IF(I459="","",F459/I459)</f>
        <v/>
      </c>
    </row>
    <row r="460" customFormat="false" ht="15" hidden="false" customHeight="false" outlineLevel="0" collapsed="false">
      <c r="A460" s="12"/>
      <c r="B460" s="13"/>
      <c r="C460" s="13"/>
      <c r="D460" s="14"/>
      <c r="E460" s="15"/>
      <c r="F460" s="16"/>
      <c r="G460" s="17"/>
      <c r="H460" s="18" t="n">
        <f aca="false">IF(AND(C460="Yakıt",D460&lt;&gt;""),SUMPRODUCT(MAX(($B$5:$B$1004=B460)*($C$5:$C$1004="Yakıt")*($D$5:$D$1004&lt;D460)*$D$5:$D$1004)),0)</f>
        <v>0</v>
      </c>
      <c r="I460" s="18" t="str">
        <f aca="false">IF(H460&gt;0,D460-H460,"")</f>
        <v/>
      </c>
      <c r="J460" s="19" t="str">
        <f aca="false">IF(OR(I460="",E460=""),"",E460/I460*100)</f>
        <v/>
      </c>
      <c r="K460" s="20" t="str">
        <f aca="false">IF(I460="","",F460/I460)</f>
        <v/>
      </c>
    </row>
    <row r="461" customFormat="false" ht="15" hidden="false" customHeight="false" outlineLevel="0" collapsed="false">
      <c r="A461" s="12"/>
      <c r="B461" s="13"/>
      <c r="C461" s="13"/>
      <c r="D461" s="14"/>
      <c r="E461" s="15"/>
      <c r="F461" s="16"/>
      <c r="G461" s="17"/>
      <c r="H461" s="18" t="n">
        <f aca="false">IF(AND(C461="Yakıt",D461&lt;&gt;""),SUMPRODUCT(MAX(($B$5:$B$1004=B461)*($C$5:$C$1004="Yakıt")*($D$5:$D$1004&lt;D461)*$D$5:$D$1004)),0)</f>
        <v>0</v>
      </c>
      <c r="I461" s="18" t="str">
        <f aca="false">IF(H461&gt;0,D461-H461,"")</f>
        <v/>
      </c>
      <c r="J461" s="19" t="str">
        <f aca="false">IF(OR(I461="",E461=""),"",E461/I461*100)</f>
        <v/>
      </c>
      <c r="K461" s="20" t="str">
        <f aca="false">IF(I461="","",F461/I461)</f>
        <v/>
      </c>
    </row>
    <row r="462" customFormat="false" ht="15" hidden="false" customHeight="false" outlineLevel="0" collapsed="false">
      <c r="A462" s="12"/>
      <c r="B462" s="13"/>
      <c r="C462" s="13"/>
      <c r="D462" s="14"/>
      <c r="E462" s="15"/>
      <c r="F462" s="16"/>
      <c r="G462" s="17"/>
      <c r="H462" s="18" t="n">
        <f aca="false">IF(AND(C462="Yakıt",D462&lt;&gt;""),SUMPRODUCT(MAX(($B$5:$B$1004=B462)*($C$5:$C$1004="Yakıt")*($D$5:$D$1004&lt;D462)*$D$5:$D$1004)),0)</f>
        <v>0</v>
      </c>
      <c r="I462" s="18" t="str">
        <f aca="false">IF(H462&gt;0,D462-H462,"")</f>
        <v/>
      </c>
      <c r="J462" s="19" t="str">
        <f aca="false">IF(OR(I462="",E462=""),"",E462/I462*100)</f>
        <v/>
      </c>
      <c r="K462" s="20" t="str">
        <f aca="false">IF(I462="","",F462/I462)</f>
        <v/>
      </c>
    </row>
    <row r="463" customFormat="false" ht="15" hidden="false" customHeight="false" outlineLevel="0" collapsed="false">
      <c r="A463" s="12"/>
      <c r="B463" s="13"/>
      <c r="C463" s="13"/>
      <c r="D463" s="14"/>
      <c r="E463" s="15"/>
      <c r="F463" s="16"/>
      <c r="G463" s="17"/>
      <c r="H463" s="18" t="n">
        <f aca="false">IF(AND(C463="Yakıt",D463&lt;&gt;""),SUMPRODUCT(MAX(($B$5:$B$1004=B463)*($C$5:$C$1004="Yakıt")*($D$5:$D$1004&lt;D463)*$D$5:$D$1004)),0)</f>
        <v>0</v>
      </c>
      <c r="I463" s="18" t="str">
        <f aca="false">IF(H463&gt;0,D463-H463,"")</f>
        <v/>
      </c>
      <c r="J463" s="19" t="str">
        <f aca="false">IF(OR(I463="",E463=""),"",E463/I463*100)</f>
        <v/>
      </c>
      <c r="K463" s="20" t="str">
        <f aca="false">IF(I463="","",F463/I463)</f>
        <v/>
      </c>
    </row>
    <row r="464" customFormat="false" ht="15" hidden="false" customHeight="false" outlineLevel="0" collapsed="false">
      <c r="A464" s="12"/>
      <c r="B464" s="13"/>
      <c r="C464" s="13"/>
      <c r="D464" s="14"/>
      <c r="E464" s="15"/>
      <c r="F464" s="16"/>
      <c r="G464" s="17"/>
      <c r="H464" s="18" t="n">
        <f aca="false">IF(AND(C464="Yakıt",D464&lt;&gt;""),SUMPRODUCT(MAX(($B$5:$B$1004=B464)*($C$5:$C$1004="Yakıt")*($D$5:$D$1004&lt;D464)*$D$5:$D$1004)),0)</f>
        <v>0</v>
      </c>
      <c r="I464" s="18" t="str">
        <f aca="false">IF(H464&gt;0,D464-H464,"")</f>
        <v/>
      </c>
      <c r="J464" s="19" t="str">
        <f aca="false">IF(OR(I464="",E464=""),"",E464/I464*100)</f>
        <v/>
      </c>
      <c r="K464" s="20" t="str">
        <f aca="false">IF(I464="","",F464/I464)</f>
        <v/>
      </c>
    </row>
    <row r="465" customFormat="false" ht="15" hidden="false" customHeight="false" outlineLevel="0" collapsed="false">
      <c r="A465" s="12"/>
      <c r="B465" s="13"/>
      <c r="C465" s="13"/>
      <c r="D465" s="14"/>
      <c r="E465" s="15"/>
      <c r="F465" s="16"/>
      <c r="G465" s="17"/>
      <c r="H465" s="18" t="n">
        <f aca="false">IF(AND(C465="Yakıt",D465&lt;&gt;""),SUMPRODUCT(MAX(($B$5:$B$1004=B465)*($C$5:$C$1004="Yakıt")*($D$5:$D$1004&lt;D465)*$D$5:$D$1004)),0)</f>
        <v>0</v>
      </c>
      <c r="I465" s="18" t="str">
        <f aca="false">IF(H465&gt;0,D465-H465,"")</f>
        <v/>
      </c>
      <c r="J465" s="19" t="str">
        <f aca="false">IF(OR(I465="",E465=""),"",E465/I465*100)</f>
        <v/>
      </c>
      <c r="K465" s="20" t="str">
        <f aca="false">IF(I465="","",F465/I465)</f>
        <v/>
      </c>
    </row>
    <row r="466" customFormat="false" ht="15" hidden="false" customHeight="false" outlineLevel="0" collapsed="false">
      <c r="A466" s="12"/>
      <c r="B466" s="13"/>
      <c r="C466" s="13"/>
      <c r="D466" s="14"/>
      <c r="E466" s="15"/>
      <c r="F466" s="16"/>
      <c r="G466" s="17"/>
      <c r="H466" s="18" t="n">
        <f aca="false">IF(AND(C466="Yakıt",D466&lt;&gt;""),SUMPRODUCT(MAX(($B$5:$B$1004=B466)*($C$5:$C$1004="Yakıt")*($D$5:$D$1004&lt;D466)*$D$5:$D$1004)),0)</f>
        <v>0</v>
      </c>
      <c r="I466" s="18" t="str">
        <f aca="false">IF(H466&gt;0,D466-H466,"")</f>
        <v/>
      </c>
      <c r="J466" s="19" t="str">
        <f aca="false">IF(OR(I466="",E466=""),"",E466/I466*100)</f>
        <v/>
      </c>
      <c r="K466" s="20" t="str">
        <f aca="false">IF(I466="","",F466/I466)</f>
        <v/>
      </c>
    </row>
    <row r="467" customFormat="false" ht="15" hidden="false" customHeight="false" outlineLevel="0" collapsed="false">
      <c r="A467" s="12"/>
      <c r="B467" s="13"/>
      <c r="C467" s="13"/>
      <c r="D467" s="14"/>
      <c r="E467" s="15"/>
      <c r="F467" s="16"/>
      <c r="G467" s="17"/>
      <c r="H467" s="18" t="n">
        <f aca="false">IF(AND(C467="Yakıt",D467&lt;&gt;""),SUMPRODUCT(MAX(($B$5:$B$1004=B467)*($C$5:$C$1004="Yakıt")*($D$5:$D$1004&lt;D467)*$D$5:$D$1004)),0)</f>
        <v>0</v>
      </c>
      <c r="I467" s="18" t="str">
        <f aca="false">IF(H467&gt;0,D467-H467,"")</f>
        <v/>
      </c>
      <c r="J467" s="19" t="str">
        <f aca="false">IF(OR(I467="",E467=""),"",E467/I467*100)</f>
        <v/>
      </c>
      <c r="K467" s="20" t="str">
        <f aca="false">IF(I467="","",F467/I467)</f>
        <v/>
      </c>
    </row>
    <row r="468" customFormat="false" ht="15" hidden="false" customHeight="false" outlineLevel="0" collapsed="false">
      <c r="A468" s="12"/>
      <c r="B468" s="13"/>
      <c r="C468" s="13"/>
      <c r="D468" s="14"/>
      <c r="E468" s="15"/>
      <c r="F468" s="16"/>
      <c r="G468" s="17"/>
      <c r="H468" s="18" t="n">
        <f aca="false">IF(AND(C468="Yakıt",D468&lt;&gt;""),SUMPRODUCT(MAX(($B$5:$B$1004=B468)*($C$5:$C$1004="Yakıt")*($D$5:$D$1004&lt;D468)*$D$5:$D$1004)),0)</f>
        <v>0</v>
      </c>
      <c r="I468" s="18" t="str">
        <f aca="false">IF(H468&gt;0,D468-H468,"")</f>
        <v/>
      </c>
      <c r="J468" s="19" t="str">
        <f aca="false">IF(OR(I468="",E468=""),"",E468/I468*100)</f>
        <v/>
      </c>
      <c r="K468" s="20" t="str">
        <f aca="false">IF(I468="","",F468/I468)</f>
        <v/>
      </c>
    </row>
    <row r="469" customFormat="false" ht="15" hidden="false" customHeight="false" outlineLevel="0" collapsed="false">
      <c r="A469" s="12"/>
      <c r="B469" s="13"/>
      <c r="C469" s="13"/>
      <c r="D469" s="14"/>
      <c r="E469" s="15"/>
      <c r="F469" s="16"/>
      <c r="G469" s="17"/>
      <c r="H469" s="18" t="n">
        <f aca="false">IF(AND(C469="Yakıt",D469&lt;&gt;""),SUMPRODUCT(MAX(($B$5:$B$1004=B469)*($C$5:$C$1004="Yakıt")*($D$5:$D$1004&lt;D469)*$D$5:$D$1004)),0)</f>
        <v>0</v>
      </c>
      <c r="I469" s="18" t="str">
        <f aca="false">IF(H469&gt;0,D469-H469,"")</f>
        <v/>
      </c>
      <c r="J469" s="19" t="str">
        <f aca="false">IF(OR(I469="",E469=""),"",E469/I469*100)</f>
        <v/>
      </c>
      <c r="K469" s="20" t="str">
        <f aca="false">IF(I469="","",F469/I469)</f>
        <v/>
      </c>
    </row>
    <row r="470" customFormat="false" ht="15" hidden="false" customHeight="false" outlineLevel="0" collapsed="false">
      <c r="A470" s="12"/>
      <c r="B470" s="13"/>
      <c r="C470" s="13"/>
      <c r="D470" s="14"/>
      <c r="E470" s="15"/>
      <c r="F470" s="16"/>
      <c r="G470" s="17"/>
      <c r="H470" s="18" t="n">
        <f aca="false">IF(AND(C470="Yakıt",D470&lt;&gt;""),SUMPRODUCT(MAX(($B$5:$B$1004=B470)*($C$5:$C$1004="Yakıt")*($D$5:$D$1004&lt;D470)*$D$5:$D$1004)),0)</f>
        <v>0</v>
      </c>
      <c r="I470" s="18" t="str">
        <f aca="false">IF(H470&gt;0,D470-H470,"")</f>
        <v/>
      </c>
      <c r="J470" s="19" t="str">
        <f aca="false">IF(OR(I470="",E470=""),"",E470/I470*100)</f>
        <v/>
      </c>
      <c r="K470" s="20" t="str">
        <f aca="false">IF(I470="","",F470/I470)</f>
        <v/>
      </c>
    </row>
    <row r="471" customFormat="false" ht="15" hidden="false" customHeight="false" outlineLevel="0" collapsed="false">
      <c r="A471" s="12"/>
      <c r="B471" s="13"/>
      <c r="C471" s="13"/>
      <c r="D471" s="14"/>
      <c r="E471" s="15"/>
      <c r="F471" s="16"/>
      <c r="G471" s="17"/>
      <c r="H471" s="18" t="n">
        <f aca="false">IF(AND(C471="Yakıt",D471&lt;&gt;""),SUMPRODUCT(MAX(($B$5:$B$1004=B471)*($C$5:$C$1004="Yakıt")*($D$5:$D$1004&lt;D471)*$D$5:$D$1004)),0)</f>
        <v>0</v>
      </c>
      <c r="I471" s="18" t="str">
        <f aca="false">IF(H471&gt;0,D471-H471,"")</f>
        <v/>
      </c>
      <c r="J471" s="19" t="str">
        <f aca="false">IF(OR(I471="",E471=""),"",E471/I471*100)</f>
        <v/>
      </c>
      <c r="K471" s="20" t="str">
        <f aca="false">IF(I471="","",F471/I471)</f>
        <v/>
      </c>
    </row>
    <row r="472" customFormat="false" ht="15" hidden="false" customHeight="false" outlineLevel="0" collapsed="false">
      <c r="A472" s="12"/>
      <c r="B472" s="13"/>
      <c r="C472" s="13"/>
      <c r="D472" s="14"/>
      <c r="E472" s="15"/>
      <c r="F472" s="16"/>
      <c r="G472" s="17"/>
      <c r="H472" s="18" t="n">
        <f aca="false">IF(AND(C472="Yakıt",D472&lt;&gt;""),SUMPRODUCT(MAX(($B$5:$B$1004=B472)*($C$5:$C$1004="Yakıt")*($D$5:$D$1004&lt;D472)*$D$5:$D$1004)),0)</f>
        <v>0</v>
      </c>
      <c r="I472" s="18" t="str">
        <f aca="false">IF(H472&gt;0,D472-H472,"")</f>
        <v/>
      </c>
      <c r="J472" s="19" t="str">
        <f aca="false">IF(OR(I472="",E472=""),"",E472/I472*100)</f>
        <v/>
      </c>
      <c r="K472" s="20" t="str">
        <f aca="false">IF(I472="","",F472/I472)</f>
        <v/>
      </c>
    </row>
    <row r="473" customFormat="false" ht="15" hidden="false" customHeight="false" outlineLevel="0" collapsed="false">
      <c r="A473" s="12"/>
      <c r="B473" s="13"/>
      <c r="C473" s="13"/>
      <c r="D473" s="14"/>
      <c r="E473" s="15"/>
      <c r="F473" s="16"/>
      <c r="G473" s="17"/>
      <c r="H473" s="18" t="n">
        <f aca="false">IF(AND(C473="Yakıt",D473&lt;&gt;""),SUMPRODUCT(MAX(($B$5:$B$1004=B473)*($C$5:$C$1004="Yakıt")*($D$5:$D$1004&lt;D473)*$D$5:$D$1004)),0)</f>
        <v>0</v>
      </c>
      <c r="I473" s="18" t="str">
        <f aca="false">IF(H473&gt;0,D473-H473,"")</f>
        <v/>
      </c>
      <c r="J473" s="19" t="str">
        <f aca="false">IF(OR(I473="",E473=""),"",E473/I473*100)</f>
        <v/>
      </c>
      <c r="K473" s="20" t="str">
        <f aca="false">IF(I473="","",F473/I473)</f>
        <v/>
      </c>
    </row>
    <row r="474" customFormat="false" ht="15" hidden="false" customHeight="false" outlineLevel="0" collapsed="false">
      <c r="A474" s="12"/>
      <c r="B474" s="13"/>
      <c r="C474" s="13"/>
      <c r="D474" s="14"/>
      <c r="E474" s="15"/>
      <c r="F474" s="16"/>
      <c r="G474" s="17"/>
      <c r="H474" s="18" t="n">
        <f aca="false">IF(AND(C474="Yakıt",D474&lt;&gt;""),SUMPRODUCT(MAX(($B$5:$B$1004=B474)*($C$5:$C$1004="Yakıt")*($D$5:$D$1004&lt;D474)*$D$5:$D$1004)),0)</f>
        <v>0</v>
      </c>
      <c r="I474" s="18" t="str">
        <f aca="false">IF(H474&gt;0,D474-H474,"")</f>
        <v/>
      </c>
      <c r="J474" s="19" t="str">
        <f aca="false">IF(OR(I474="",E474=""),"",E474/I474*100)</f>
        <v/>
      </c>
      <c r="K474" s="20" t="str">
        <f aca="false">IF(I474="","",F474/I474)</f>
        <v/>
      </c>
    </row>
    <row r="475" customFormat="false" ht="15" hidden="false" customHeight="false" outlineLevel="0" collapsed="false">
      <c r="A475" s="12"/>
      <c r="B475" s="13"/>
      <c r="C475" s="13"/>
      <c r="D475" s="14"/>
      <c r="E475" s="15"/>
      <c r="F475" s="16"/>
      <c r="G475" s="17"/>
      <c r="H475" s="18" t="n">
        <f aca="false">IF(AND(C475="Yakıt",D475&lt;&gt;""),SUMPRODUCT(MAX(($B$5:$B$1004=B475)*($C$5:$C$1004="Yakıt")*($D$5:$D$1004&lt;D475)*$D$5:$D$1004)),0)</f>
        <v>0</v>
      </c>
      <c r="I475" s="18" t="str">
        <f aca="false">IF(H475&gt;0,D475-H475,"")</f>
        <v/>
      </c>
      <c r="J475" s="19" t="str">
        <f aca="false">IF(OR(I475="",E475=""),"",E475/I475*100)</f>
        <v/>
      </c>
      <c r="K475" s="20" t="str">
        <f aca="false">IF(I475="","",F475/I475)</f>
        <v/>
      </c>
    </row>
    <row r="476" customFormat="false" ht="15" hidden="false" customHeight="false" outlineLevel="0" collapsed="false">
      <c r="A476" s="12"/>
      <c r="B476" s="13"/>
      <c r="C476" s="13"/>
      <c r="D476" s="14"/>
      <c r="E476" s="15"/>
      <c r="F476" s="16"/>
      <c r="G476" s="17"/>
      <c r="H476" s="18" t="n">
        <f aca="false">IF(AND(C476="Yakıt",D476&lt;&gt;""),SUMPRODUCT(MAX(($B$5:$B$1004=B476)*($C$5:$C$1004="Yakıt")*($D$5:$D$1004&lt;D476)*$D$5:$D$1004)),0)</f>
        <v>0</v>
      </c>
      <c r="I476" s="18" t="str">
        <f aca="false">IF(H476&gt;0,D476-H476,"")</f>
        <v/>
      </c>
      <c r="J476" s="19" t="str">
        <f aca="false">IF(OR(I476="",E476=""),"",E476/I476*100)</f>
        <v/>
      </c>
      <c r="K476" s="20" t="str">
        <f aca="false">IF(I476="","",F476/I476)</f>
        <v/>
      </c>
    </row>
    <row r="477" customFormat="false" ht="15" hidden="false" customHeight="false" outlineLevel="0" collapsed="false">
      <c r="A477" s="12"/>
      <c r="B477" s="13"/>
      <c r="C477" s="13"/>
      <c r="D477" s="14"/>
      <c r="E477" s="15"/>
      <c r="F477" s="16"/>
      <c r="G477" s="17"/>
      <c r="H477" s="18" t="n">
        <f aca="false">IF(AND(C477="Yakıt",D477&lt;&gt;""),SUMPRODUCT(MAX(($B$5:$B$1004=B477)*($C$5:$C$1004="Yakıt")*($D$5:$D$1004&lt;D477)*$D$5:$D$1004)),0)</f>
        <v>0</v>
      </c>
      <c r="I477" s="18" t="str">
        <f aca="false">IF(H477&gt;0,D477-H477,"")</f>
        <v/>
      </c>
      <c r="J477" s="19" t="str">
        <f aca="false">IF(OR(I477="",E477=""),"",E477/I477*100)</f>
        <v/>
      </c>
      <c r="K477" s="20" t="str">
        <f aca="false">IF(I477="","",F477/I477)</f>
        <v/>
      </c>
    </row>
    <row r="478" customFormat="false" ht="15" hidden="false" customHeight="false" outlineLevel="0" collapsed="false">
      <c r="A478" s="12"/>
      <c r="B478" s="13"/>
      <c r="C478" s="13"/>
      <c r="D478" s="14"/>
      <c r="E478" s="15"/>
      <c r="F478" s="16"/>
      <c r="G478" s="17"/>
      <c r="H478" s="18" t="n">
        <f aca="false">IF(AND(C478="Yakıt",D478&lt;&gt;""),SUMPRODUCT(MAX(($B$5:$B$1004=B478)*($C$5:$C$1004="Yakıt")*($D$5:$D$1004&lt;D478)*$D$5:$D$1004)),0)</f>
        <v>0</v>
      </c>
      <c r="I478" s="18" t="str">
        <f aca="false">IF(H478&gt;0,D478-H478,"")</f>
        <v/>
      </c>
      <c r="J478" s="19" t="str">
        <f aca="false">IF(OR(I478="",E478=""),"",E478/I478*100)</f>
        <v/>
      </c>
      <c r="K478" s="20" t="str">
        <f aca="false">IF(I478="","",F478/I478)</f>
        <v/>
      </c>
    </row>
    <row r="479" customFormat="false" ht="15" hidden="false" customHeight="false" outlineLevel="0" collapsed="false">
      <c r="A479" s="12"/>
      <c r="B479" s="13"/>
      <c r="C479" s="13"/>
      <c r="D479" s="14"/>
      <c r="E479" s="15"/>
      <c r="F479" s="16"/>
      <c r="G479" s="17"/>
      <c r="H479" s="18" t="n">
        <f aca="false">IF(AND(C479="Yakıt",D479&lt;&gt;""),SUMPRODUCT(MAX(($B$5:$B$1004=B479)*($C$5:$C$1004="Yakıt")*($D$5:$D$1004&lt;D479)*$D$5:$D$1004)),0)</f>
        <v>0</v>
      </c>
      <c r="I479" s="18" t="str">
        <f aca="false">IF(H479&gt;0,D479-H479,"")</f>
        <v/>
      </c>
      <c r="J479" s="19" t="str">
        <f aca="false">IF(OR(I479="",E479=""),"",E479/I479*100)</f>
        <v/>
      </c>
      <c r="K479" s="20" t="str">
        <f aca="false">IF(I479="","",F479/I479)</f>
        <v/>
      </c>
    </row>
    <row r="480" customFormat="false" ht="15" hidden="false" customHeight="false" outlineLevel="0" collapsed="false">
      <c r="A480" s="12"/>
      <c r="B480" s="13"/>
      <c r="C480" s="13"/>
      <c r="D480" s="14"/>
      <c r="E480" s="15"/>
      <c r="F480" s="16"/>
      <c r="G480" s="17"/>
      <c r="H480" s="18" t="n">
        <f aca="false">IF(AND(C480="Yakıt",D480&lt;&gt;""),SUMPRODUCT(MAX(($B$5:$B$1004=B480)*($C$5:$C$1004="Yakıt")*($D$5:$D$1004&lt;D480)*$D$5:$D$1004)),0)</f>
        <v>0</v>
      </c>
      <c r="I480" s="18" t="str">
        <f aca="false">IF(H480&gt;0,D480-H480,"")</f>
        <v/>
      </c>
      <c r="J480" s="19" t="str">
        <f aca="false">IF(OR(I480="",E480=""),"",E480/I480*100)</f>
        <v/>
      </c>
      <c r="K480" s="20" t="str">
        <f aca="false">IF(I480="","",F480/I480)</f>
        <v/>
      </c>
    </row>
    <row r="481" customFormat="false" ht="15" hidden="false" customHeight="false" outlineLevel="0" collapsed="false">
      <c r="A481" s="12"/>
      <c r="B481" s="13"/>
      <c r="C481" s="13"/>
      <c r="D481" s="14"/>
      <c r="E481" s="15"/>
      <c r="F481" s="16"/>
      <c r="G481" s="17"/>
      <c r="H481" s="18" t="n">
        <f aca="false">IF(AND(C481="Yakıt",D481&lt;&gt;""),SUMPRODUCT(MAX(($B$5:$B$1004=B481)*($C$5:$C$1004="Yakıt")*($D$5:$D$1004&lt;D481)*$D$5:$D$1004)),0)</f>
        <v>0</v>
      </c>
      <c r="I481" s="18" t="str">
        <f aca="false">IF(H481&gt;0,D481-H481,"")</f>
        <v/>
      </c>
      <c r="J481" s="19" t="str">
        <f aca="false">IF(OR(I481="",E481=""),"",E481/I481*100)</f>
        <v/>
      </c>
      <c r="K481" s="20" t="str">
        <f aca="false">IF(I481="","",F481/I481)</f>
        <v/>
      </c>
    </row>
    <row r="482" customFormat="false" ht="15" hidden="false" customHeight="false" outlineLevel="0" collapsed="false">
      <c r="A482" s="12"/>
      <c r="B482" s="13"/>
      <c r="C482" s="13"/>
      <c r="D482" s="14"/>
      <c r="E482" s="15"/>
      <c r="F482" s="16"/>
      <c r="G482" s="17"/>
      <c r="H482" s="18" t="n">
        <f aca="false">IF(AND(C482="Yakıt",D482&lt;&gt;""),SUMPRODUCT(MAX(($B$5:$B$1004=B482)*($C$5:$C$1004="Yakıt")*($D$5:$D$1004&lt;D482)*$D$5:$D$1004)),0)</f>
        <v>0</v>
      </c>
      <c r="I482" s="18" t="str">
        <f aca="false">IF(H482&gt;0,D482-H482,"")</f>
        <v/>
      </c>
      <c r="J482" s="19" t="str">
        <f aca="false">IF(OR(I482="",E482=""),"",E482/I482*100)</f>
        <v/>
      </c>
      <c r="K482" s="20" t="str">
        <f aca="false">IF(I482="","",F482/I482)</f>
        <v/>
      </c>
    </row>
    <row r="483" customFormat="false" ht="15" hidden="false" customHeight="false" outlineLevel="0" collapsed="false">
      <c r="A483" s="12"/>
      <c r="B483" s="13"/>
      <c r="C483" s="13"/>
      <c r="D483" s="14"/>
      <c r="E483" s="15"/>
      <c r="F483" s="16"/>
      <c r="G483" s="17"/>
      <c r="H483" s="18" t="n">
        <f aca="false">IF(AND(C483="Yakıt",D483&lt;&gt;""),SUMPRODUCT(MAX(($B$5:$B$1004=B483)*($C$5:$C$1004="Yakıt")*($D$5:$D$1004&lt;D483)*$D$5:$D$1004)),0)</f>
        <v>0</v>
      </c>
      <c r="I483" s="18" t="str">
        <f aca="false">IF(H483&gt;0,D483-H483,"")</f>
        <v/>
      </c>
      <c r="J483" s="19" t="str">
        <f aca="false">IF(OR(I483="",E483=""),"",E483/I483*100)</f>
        <v/>
      </c>
      <c r="K483" s="20" t="str">
        <f aca="false">IF(I483="","",F483/I483)</f>
        <v/>
      </c>
    </row>
    <row r="484" customFormat="false" ht="15" hidden="false" customHeight="false" outlineLevel="0" collapsed="false">
      <c r="A484" s="12"/>
      <c r="B484" s="13"/>
      <c r="C484" s="13"/>
      <c r="D484" s="14"/>
      <c r="E484" s="15"/>
      <c r="F484" s="16"/>
      <c r="G484" s="17"/>
      <c r="H484" s="18" t="n">
        <f aca="false">IF(AND(C484="Yakıt",D484&lt;&gt;""),SUMPRODUCT(MAX(($B$5:$B$1004=B484)*($C$5:$C$1004="Yakıt")*($D$5:$D$1004&lt;D484)*$D$5:$D$1004)),0)</f>
        <v>0</v>
      </c>
      <c r="I484" s="18" t="str">
        <f aca="false">IF(H484&gt;0,D484-H484,"")</f>
        <v/>
      </c>
      <c r="J484" s="19" t="str">
        <f aca="false">IF(OR(I484="",E484=""),"",E484/I484*100)</f>
        <v/>
      </c>
      <c r="K484" s="20" t="str">
        <f aca="false">IF(I484="","",F484/I484)</f>
        <v/>
      </c>
    </row>
    <row r="485" customFormat="false" ht="15" hidden="false" customHeight="false" outlineLevel="0" collapsed="false">
      <c r="A485" s="12"/>
      <c r="B485" s="13"/>
      <c r="C485" s="13"/>
      <c r="D485" s="14"/>
      <c r="E485" s="15"/>
      <c r="F485" s="16"/>
      <c r="G485" s="17"/>
      <c r="H485" s="18" t="n">
        <f aca="false">IF(AND(C485="Yakıt",D485&lt;&gt;""),SUMPRODUCT(MAX(($B$5:$B$1004=B485)*($C$5:$C$1004="Yakıt")*($D$5:$D$1004&lt;D485)*$D$5:$D$1004)),0)</f>
        <v>0</v>
      </c>
      <c r="I485" s="18" t="str">
        <f aca="false">IF(H485&gt;0,D485-H485,"")</f>
        <v/>
      </c>
      <c r="J485" s="19" t="str">
        <f aca="false">IF(OR(I485="",E485=""),"",E485/I485*100)</f>
        <v/>
      </c>
      <c r="K485" s="20" t="str">
        <f aca="false">IF(I485="","",F485/I485)</f>
        <v/>
      </c>
    </row>
    <row r="486" customFormat="false" ht="15" hidden="false" customHeight="false" outlineLevel="0" collapsed="false">
      <c r="A486" s="12"/>
      <c r="B486" s="13"/>
      <c r="C486" s="13"/>
      <c r="D486" s="14"/>
      <c r="E486" s="15"/>
      <c r="F486" s="16"/>
      <c r="G486" s="17"/>
      <c r="H486" s="18" t="n">
        <f aca="false">IF(AND(C486="Yakıt",D486&lt;&gt;""),SUMPRODUCT(MAX(($B$5:$B$1004=B486)*($C$5:$C$1004="Yakıt")*($D$5:$D$1004&lt;D486)*$D$5:$D$1004)),0)</f>
        <v>0</v>
      </c>
      <c r="I486" s="18" t="str">
        <f aca="false">IF(H486&gt;0,D486-H486,"")</f>
        <v/>
      </c>
      <c r="J486" s="19" t="str">
        <f aca="false">IF(OR(I486="",E486=""),"",E486/I486*100)</f>
        <v/>
      </c>
      <c r="K486" s="20" t="str">
        <f aca="false">IF(I486="","",F486/I486)</f>
        <v/>
      </c>
    </row>
    <row r="487" customFormat="false" ht="15" hidden="false" customHeight="false" outlineLevel="0" collapsed="false">
      <c r="A487" s="12"/>
      <c r="B487" s="13"/>
      <c r="C487" s="13"/>
      <c r="D487" s="14"/>
      <c r="E487" s="15"/>
      <c r="F487" s="16"/>
      <c r="G487" s="17"/>
      <c r="H487" s="18" t="n">
        <f aca="false">IF(AND(C487="Yakıt",D487&lt;&gt;""),SUMPRODUCT(MAX(($B$5:$B$1004=B487)*($C$5:$C$1004="Yakıt")*($D$5:$D$1004&lt;D487)*$D$5:$D$1004)),0)</f>
        <v>0</v>
      </c>
      <c r="I487" s="18" t="str">
        <f aca="false">IF(H487&gt;0,D487-H487,"")</f>
        <v/>
      </c>
      <c r="J487" s="19" t="str">
        <f aca="false">IF(OR(I487="",E487=""),"",E487/I487*100)</f>
        <v/>
      </c>
      <c r="K487" s="20" t="str">
        <f aca="false">IF(I487="","",F487/I487)</f>
        <v/>
      </c>
    </row>
    <row r="488" customFormat="false" ht="15" hidden="false" customHeight="false" outlineLevel="0" collapsed="false">
      <c r="A488" s="12"/>
      <c r="B488" s="13"/>
      <c r="C488" s="13"/>
      <c r="D488" s="14"/>
      <c r="E488" s="15"/>
      <c r="F488" s="16"/>
      <c r="G488" s="17"/>
      <c r="H488" s="18" t="n">
        <f aca="false">IF(AND(C488="Yakıt",D488&lt;&gt;""),SUMPRODUCT(MAX(($B$5:$B$1004=B488)*($C$5:$C$1004="Yakıt")*($D$5:$D$1004&lt;D488)*$D$5:$D$1004)),0)</f>
        <v>0</v>
      </c>
      <c r="I488" s="18" t="str">
        <f aca="false">IF(H488&gt;0,D488-H488,"")</f>
        <v/>
      </c>
      <c r="J488" s="19" t="str">
        <f aca="false">IF(OR(I488="",E488=""),"",E488/I488*100)</f>
        <v/>
      </c>
      <c r="K488" s="20" t="str">
        <f aca="false">IF(I488="","",F488/I488)</f>
        <v/>
      </c>
    </row>
    <row r="489" customFormat="false" ht="15" hidden="false" customHeight="false" outlineLevel="0" collapsed="false">
      <c r="A489" s="12"/>
      <c r="B489" s="13"/>
      <c r="C489" s="13"/>
      <c r="D489" s="14"/>
      <c r="E489" s="15"/>
      <c r="F489" s="16"/>
      <c r="G489" s="17"/>
      <c r="H489" s="18" t="n">
        <f aca="false">IF(AND(C489="Yakıt",D489&lt;&gt;""),SUMPRODUCT(MAX(($B$5:$B$1004=B489)*($C$5:$C$1004="Yakıt")*($D$5:$D$1004&lt;D489)*$D$5:$D$1004)),0)</f>
        <v>0</v>
      </c>
      <c r="I489" s="18" t="str">
        <f aca="false">IF(H489&gt;0,D489-H489,"")</f>
        <v/>
      </c>
      <c r="J489" s="19" t="str">
        <f aca="false">IF(OR(I489="",E489=""),"",E489/I489*100)</f>
        <v/>
      </c>
      <c r="K489" s="20" t="str">
        <f aca="false">IF(I489="","",F489/I489)</f>
        <v/>
      </c>
    </row>
    <row r="490" customFormat="false" ht="15" hidden="false" customHeight="false" outlineLevel="0" collapsed="false">
      <c r="A490" s="12"/>
      <c r="B490" s="13"/>
      <c r="C490" s="13"/>
      <c r="D490" s="14"/>
      <c r="E490" s="15"/>
      <c r="F490" s="16"/>
      <c r="G490" s="17"/>
      <c r="H490" s="18" t="n">
        <f aca="false">IF(AND(C490="Yakıt",D490&lt;&gt;""),SUMPRODUCT(MAX(($B$5:$B$1004=B490)*($C$5:$C$1004="Yakıt")*($D$5:$D$1004&lt;D490)*$D$5:$D$1004)),0)</f>
        <v>0</v>
      </c>
      <c r="I490" s="18" t="str">
        <f aca="false">IF(H490&gt;0,D490-H490,"")</f>
        <v/>
      </c>
      <c r="J490" s="19" t="str">
        <f aca="false">IF(OR(I490="",E490=""),"",E490/I490*100)</f>
        <v/>
      </c>
      <c r="K490" s="20" t="str">
        <f aca="false">IF(I490="","",F490/I490)</f>
        <v/>
      </c>
    </row>
    <row r="491" customFormat="false" ht="15" hidden="false" customHeight="false" outlineLevel="0" collapsed="false">
      <c r="A491" s="12"/>
      <c r="B491" s="13"/>
      <c r="C491" s="13"/>
      <c r="D491" s="14"/>
      <c r="E491" s="15"/>
      <c r="F491" s="16"/>
      <c r="G491" s="17"/>
      <c r="H491" s="18" t="n">
        <f aca="false">IF(AND(C491="Yakıt",D491&lt;&gt;""),SUMPRODUCT(MAX(($B$5:$B$1004=B491)*($C$5:$C$1004="Yakıt")*($D$5:$D$1004&lt;D491)*$D$5:$D$1004)),0)</f>
        <v>0</v>
      </c>
      <c r="I491" s="18" t="str">
        <f aca="false">IF(H491&gt;0,D491-H491,"")</f>
        <v/>
      </c>
      <c r="J491" s="19" t="str">
        <f aca="false">IF(OR(I491="",E491=""),"",E491/I491*100)</f>
        <v/>
      </c>
      <c r="K491" s="20" t="str">
        <f aca="false">IF(I491="","",F491/I491)</f>
        <v/>
      </c>
    </row>
    <row r="492" customFormat="false" ht="15" hidden="false" customHeight="false" outlineLevel="0" collapsed="false">
      <c r="A492" s="12"/>
      <c r="B492" s="13"/>
      <c r="C492" s="13"/>
      <c r="D492" s="14"/>
      <c r="E492" s="15"/>
      <c r="F492" s="16"/>
      <c r="G492" s="17"/>
      <c r="H492" s="18" t="n">
        <f aca="false">IF(AND(C492="Yakıt",D492&lt;&gt;""),SUMPRODUCT(MAX(($B$5:$B$1004=B492)*($C$5:$C$1004="Yakıt")*($D$5:$D$1004&lt;D492)*$D$5:$D$1004)),0)</f>
        <v>0</v>
      </c>
      <c r="I492" s="18" t="str">
        <f aca="false">IF(H492&gt;0,D492-H492,"")</f>
        <v/>
      </c>
      <c r="J492" s="19" t="str">
        <f aca="false">IF(OR(I492="",E492=""),"",E492/I492*100)</f>
        <v/>
      </c>
      <c r="K492" s="20" t="str">
        <f aca="false">IF(I492="","",F492/I492)</f>
        <v/>
      </c>
    </row>
    <row r="493" customFormat="false" ht="15" hidden="false" customHeight="false" outlineLevel="0" collapsed="false">
      <c r="A493" s="12"/>
      <c r="B493" s="13"/>
      <c r="C493" s="13"/>
      <c r="D493" s="14"/>
      <c r="E493" s="15"/>
      <c r="F493" s="16"/>
      <c r="G493" s="17"/>
      <c r="H493" s="18" t="n">
        <f aca="false">IF(AND(C493="Yakıt",D493&lt;&gt;""),SUMPRODUCT(MAX(($B$5:$B$1004=B493)*($C$5:$C$1004="Yakıt")*($D$5:$D$1004&lt;D493)*$D$5:$D$1004)),0)</f>
        <v>0</v>
      </c>
      <c r="I493" s="18" t="str">
        <f aca="false">IF(H493&gt;0,D493-H493,"")</f>
        <v/>
      </c>
      <c r="J493" s="19" t="str">
        <f aca="false">IF(OR(I493="",E493=""),"",E493/I493*100)</f>
        <v/>
      </c>
      <c r="K493" s="20" t="str">
        <f aca="false">IF(I493="","",F493/I493)</f>
        <v/>
      </c>
    </row>
    <row r="494" customFormat="false" ht="15" hidden="false" customHeight="false" outlineLevel="0" collapsed="false">
      <c r="A494" s="12"/>
      <c r="B494" s="13"/>
      <c r="C494" s="13"/>
      <c r="D494" s="14"/>
      <c r="E494" s="15"/>
      <c r="F494" s="16"/>
      <c r="G494" s="17"/>
      <c r="H494" s="18" t="n">
        <f aca="false">IF(AND(C494="Yakıt",D494&lt;&gt;""),SUMPRODUCT(MAX(($B$5:$B$1004=B494)*($C$5:$C$1004="Yakıt")*($D$5:$D$1004&lt;D494)*$D$5:$D$1004)),0)</f>
        <v>0</v>
      </c>
      <c r="I494" s="18" t="str">
        <f aca="false">IF(H494&gt;0,D494-H494,"")</f>
        <v/>
      </c>
      <c r="J494" s="19" t="str">
        <f aca="false">IF(OR(I494="",E494=""),"",E494/I494*100)</f>
        <v/>
      </c>
      <c r="K494" s="20" t="str">
        <f aca="false">IF(I494="","",F494/I494)</f>
        <v/>
      </c>
    </row>
    <row r="495" customFormat="false" ht="15" hidden="false" customHeight="false" outlineLevel="0" collapsed="false">
      <c r="A495" s="12"/>
      <c r="B495" s="13"/>
      <c r="C495" s="13"/>
      <c r="D495" s="14"/>
      <c r="E495" s="15"/>
      <c r="F495" s="16"/>
      <c r="G495" s="17"/>
      <c r="H495" s="18" t="n">
        <f aca="false">IF(AND(C495="Yakıt",D495&lt;&gt;""),SUMPRODUCT(MAX(($B$5:$B$1004=B495)*($C$5:$C$1004="Yakıt")*($D$5:$D$1004&lt;D495)*$D$5:$D$1004)),0)</f>
        <v>0</v>
      </c>
      <c r="I495" s="18" t="str">
        <f aca="false">IF(H495&gt;0,D495-H495,"")</f>
        <v/>
      </c>
      <c r="J495" s="19" t="str">
        <f aca="false">IF(OR(I495="",E495=""),"",E495/I495*100)</f>
        <v/>
      </c>
      <c r="K495" s="20" t="str">
        <f aca="false">IF(I495="","",F495/I495)</f>
        <v/>
      </c>
    </row>
    <row r="496" customFormat="false" ht="15" hidden="false" customHeight="false" outlineLevel="0" collapsed="false">
      <c r="A496" s="12"/>
      <c r="B496" s="13"/>
      <c r="C496" s="13"/>
      <c r="D496" s="14"/>
      <c r="E496" s="15"/>
      <c r="F496" s="16"/>
      <c r="G496" s="17"/>
      <c r="H496" s="18" t="n">
        <f aca="false">IF(AND(C496="Yakıt",D496&lt;&gt;""),SUMPRODUCT(MAX(($B$5:$B$1004=B496)*($C$5:$C$1004="Yakıt")*($D$5:$D$1004&lt;D496)*$D$5:$D$1004)),0)</f>
        <v>0</v>
      </c>
      <c r="I496" s="18" t="str">
        <f aca="false">IF(H496&gt;0,D496-H496,"")</f>
        <v/>
      </c>
      <c r="J496" s="19" t="str">
        <f aca="false">IF(OR(I496="",E496=""),"",E496/I496*100)</f>
        <v/>
      </c>
      <c r="K496" s="20" t="str">
        <f aca="false">IF(I496="","",F496/I496)</f>
        <v/>
      </c>
    </row>
    <row r="497" customFormat="false" ht="15" hidden="false" customHeight="false" outlineLevel="0" collapsed="false">
      <c r="A497" s="12"/>
      <c r="B497" s="13"/>
      <c r="C497" s="13"/>
      <c r="D497" s="14"/>
      <c r="E497" s="15"/>
      <c r="F497" s="16"/>
      <c r="G497" s="17"/>
      <c r="H497" s="18" t="n">
        <f aca="false">IF(AND(C497="Yakıt",D497&lt;&gt;""),SUMPRODUCT(MAX(($B$5:$B$1004=B497)*($C$5:$C$1004="Yakıt")*($D$5:$D$1004&lt;D497)*$D$5:$D$1004)),0)</f>
        <v>0</v>
      </c>
      <c r="I497" s="18" t="str">
        <f aca="false">IF(H497&gt;0,D497-H497,"")</f>
        <v/>
      </c>
      <c r="J497" s="19" t="str">
        <f aca="false">IF(OR(I497="",E497=""),"",E497/I497*100)</f>
        <v/>
      </c>
      <c r="K497" s="20" t="str">
        <f aca="false">IF(I497="","",F497/I497)</f>
        <v/>
      </c>
    </row>
    <row r="498" customFormat="false" ht="15" hidden="false" customHeight="false" outlineLevel="0" collapsed="false">
      <c r="A498" s="12"/>
      <c r="B498" s="13"/>
      <c r="C498" s="13"/>
      <c r="D498" s="14"/>
      <c r="E498" s="15"/>
      <c r="F498" s="16"/>
      <c r="G498" s="17"/>
      <c r="H498" s="18" t="n">
        <f aca="false">IF(AND(C498="Yakıt",D498&lt;&gt;""),SUMPRODUCT(MAX(($B$5:$B$1004=B498)*($C$5:$C$1004="Yakıt")*($D$5:$D$1004&lt;D498)*$D$5:$D$1004)),0)</f>
        <v>0</v>
      </c>
      <c r="I498" s="18" t="str">
        <f aca="false">IF(H498&gt;0,D498-H498,"")</f>
        <v/>
      </c>
      <c r="J498" s="19" t="str">
        <f aca="false">IF(OR(I498="",E498=""),"",E498/I498*100)</f>
        <v/>
      </c>
      <c r="K498" s="20" t="str">
        <f aca="false">IF(I498="","",F498/I498)</f>
        <v/>
      </c>
    </row>
    <row r="499" customFormat="false" ht="15" hidden="false" customHeight="false" outlineLevel="0" collapsed="false">
      <c r="A499" s="12"/>
      <c r="B499" s="13"/>
      <c r="C499" s="13"/>
      <c r="D499" s="14"/>
      <c r="E499" s="15"/>
      <c r="F499" s="16"/>
      <c r="G499" s="17"/>
      <c r="H499" s="18" t="n">
        <f aca="false">IF(AND(C499="Yakıt",D499&lt;&gt;""),SUMPRODUCT(MAX(($B$5:$B$1004=B499)*($C$5:$C$1004="Yakıt")*($D$5:$D$1004&lt;D499)*$D$5:$D$1004)),0)</f>
        <v>0</v>
      </c>
      <c r="I499" s="18" t="str">
        <f aca="false">IF(H499&gt;0,D499-H499,"")</f>
        <v/>
      </c>
      <c r="J499" s="19" t="str">
        <f aca="false">IF(OR(I499="",E499=""),"",E499/I499*100)</f>
        <v/>
      </c>
      <c r="K499" s="20" t="str">
        <f aca="false">IF(I499="","",F499/I499)</f>
        <v/>
      </c>
    </row>
    <row r="500" customFormat="false" ht="15" hidden="false" customHeight="false" outlineLevel="0" collapsed="false">
      <c r="A500" s="12"/>
      <c r="B500" s="13"/>
      <c r="C500" s="13"/>
      <c r="D500" s="14"/>
      <c r="E500" s="15"/>
      <c r="F500" s="16"/>
      <c r="G500" s="17"/>
      <c r="H500" s="18" t="n">
        <f aca="false">IF(AND(C500="Yakıt",D500&lt;&gt;""),SUMPRODUCT(MAX(($B$5:$B$1004=B500)*($C$5:$C$1004="Yakıt")*($D$5:$D$1004&lt;D500)*$D$5:$D$1004)),0)</f>
        <v>0</v>
      </c>
      <c r="I500" s="18" t="str">
        <f aca="false">IF(H500&gt;0,D500-H500,"")</f>
        <v/>
      </c>
      <c r="J500" s="19" t="str">
        <f aca="false">IF(OR(I500="",E500=""),"",E500/I500*100)</f>
        <v/>
      </c>
      <c r="K500" s="20" t="str">
        <f aca="false">IF(I500="","",F500/I500)</f>
        <v/>
      </c>
    </row>
    <row r="501" customFormat="false" ht="15" hidden="false" customHeight="false" outlineLevel="0" collapsed="false">
      <c r="A501" s="12"/>
      <c r="B501" s="13"/>
      <c r="C501" s="13"/>
      <c r="D501" s="14"/>
      <c r="E501" s="15"/>
      <c r="F501" s="16"/>
      <c r="G501" s="17"/>
      <c r="H501" s="18" t="n">
        <f aca="false">IF(AND(C501="Yakıt",D501&lt;&gt;""),SUMPRODUCT(MAX(($B$5:$B$1004=B501)*($C$5:$C$1004="Yakıt")*($D$5:$D$1004&lt;D501)*$D$5:$D$1004)),0)</f>
        <v>0</v>
      </c>
      <c r="I501" s="18" t="str">
        <f aca="false">IF(H501&gt;0,D501-H501,"")</f>
        <v/>
      </c>
      <c r="J501" s="19" t="str">
        <f aca="false">IF(OR(I501="",E501=""),"",E501/I501*100)</f>
        <v/>
      </c>
      <c r="K501" s="20" t="str">
        <f aca="false">IF(I501="","",F501/I501)</f>
        <v/>
      </c>
    </row>
    <row r="502" customFormat="false" ht="15" hidden="false" customHeight="false" outlineLevel="0" collapsed="false">
      <c r="A502" s="12"/>
      <c r="B502" s="13"/>
      <c r="C502" s="13"/>
      <c r="D502" s="14"/>
      <c r="E502" s="15"/>
      <c r="F502" s="16"/>
      <c r="G502" s="17"/>
      <c r="H502" s="18" t="n">
        <f aca="false">IF(AND(C502="Yakıt",D502&lt;&gt;""),SUMPRODUCT(MAX(($B$5:$B$1004=B502)*($C$5:$C$1004="Yakıt")*($D$5:$D$1004&lt;D502)*$D$5:$D$1004)),0)</f>
        <v>0</v>
      </c>
      <c r="I502" s="18" t="str">
        <f aca="false">IF(H502&gt;0,D502-H502,"")</f>
        <v/>
      </c>
      <c r="J502" s="19" t="str">
        <f aca="false">IF(OR(I502="",E502=""),"",E502/I502*100)</f>
        <v/>
      </c>
      <c r="K502" s="20" t="str">
        <f aca="false">IF(I502="","",F502/I502)</f>
        <v/>
      </c>
    </row>
    <row r="503" customFormat="false" ht="15" hidden="false" customHeight="false" outlineLevel="0" collapsed="false">
      <c r="A503" s="12"/>
      <c r="B503" s="13"/>
      <c r="C503" s="13"/>
      <c r="D503" s="14"/>
      <c r="E503" s="15"/>
      <c r="F503" s="16"/>
      <c r="G503" s="17"/>
      <c r="H503" s="18" t="n">
        <f aca="false">IF(AND(C503="Yakıt",D503&lt;&gt;""),SUMPRODUCT(MAX(($B$5:$B$1004=B503)*($C$5:$C$1004="Yakıt")*($D$5:$D$1004&lt;D503)*$D$5:$D$1004)),0)</f>
        <v>0</v>
      </c>
      <c r="I503" s="18" t="str">
        <f aca="false">IF(H503&gt;0,D503-H503,"")</f>
        <v/>
      </c>
      <c r="J503" s="19" t="str">
        <f aca="false">IF(OR(I503="",E503=""),"",E503/I503*100)</f>
        <v/>
      </c>
      <c r="K503" s="20" t="str">
        <f aca="false">IF(I503="","",F503/I503)</f>
        <v/>
      </c>
    </row>
    <row r="504" customFormat="false" ht="15" hidden="false" customHeight="false" outlineLevel="0" collapsed="false">
      <c r="A504" s="12"/>
      <c r="B504" s="13"/>
      <c r="C504" s="13"/>
      <c r="D504" s="14"/>
      <c r="E504" s="15"/>
      <c r="F504" s="16"/>
      <c r="G504" s="17"/>
      <c r="H504" s="18" t="n">
        <f aca="false">IF(AND(C504="Yakıt",D504&lt;&gt;""),SUMPRODUCT(MAX(($B$5:$B$1004=B504)*($C$5:$C$1004="Yakıt")*($D$5:$D$1004&lt;D504)*$D$5:$D$1004)),0)</f>
        <v>0</v>
      </c>
      <c r="I504" s="18" t="str">
        <f aca="false">IF(H504&gt;0,D504-H504,"")</f>
        <v/>
      </c>
      <c r="J504" s="19" t="str">
        <f aca="false">IF(OR(I504="",E504=""),"",E504/I504*100)</f>
        <v/>
      </c>
      <c r="K504" s="20" t="str">
        <f aca="false">IF(I504="","",F504/I504)</f>
        <v/>
      </c>
    </row>
    <row r="505" customFormat="false" ht="15" hidden="false" customHeight="false" outlineLevel="0" collapsed="false">
      <c r="A505" s="12"/>
      <c r="B505" s="13"/>
      <c r="C505" s="13"/>
      <c r="D505" s="14"/>
      <c r="E505" s="15"/>
      <c r="F505" s="16"/>
      <c r="G505" s="17"/>
      <c r="H505" s="18" t="n">
        <f aca="false">IF(AND(C505="Yakıt",D505&lt;&gt;""),SUMPRODUCT(MAX(($B$5:$B$1004=B505)*($C$5:$C$1004="Yakıt")*($D$5:$D$1004&lt;D505)*$D$5:$D$1004)),0)</f>
        <v>0</v>
      </c>
      <c r="I505" s="18" t="str">
        <f aca="false">IF(H505&gt;0,D505-H505,"")</f>
        <v/>
      </c>
      <c r="J505" s="19" t="str">
        <f aca="false">IF(OR(I505="",E505=""),"",E505/I505*100)</f>
        <v/>
      </c>
      <c r="K505" s="20" t="str">
        <f aca="false">IF(I505="","",F505/I505)</f>
        <v/>
      </c>
    </row>
    <row r="506" customFormat="false" ht="15" hidden="false" customHeight="false" outlineLevel="0" collapsed="false">
      <c r="A506" s="12"/>
      <c r="B506" s="13"/>
      <c r="C506" s="13"/>
      <c r="D506" s="14"/>
      <c r="E506" s="15"/>
      <c r="F506" s="16"/>
      <c r="G506" s="17"/>
      <c r="H506" s="18" t="n">
        <f aca="false">IF(AND(C506="Yakıt",D506&lt;&gt;""),SUMPRODUCT(MAX(($B$5:$B$1004=B506)*($C$5:$C$1004="Yakıt")*($D$5:$D$1004&lt;D506)*$D$5:$D$1004)),0)</f>
        <v>0</v>
      </c>
      <c r="I506" s="18" t="str">
        <f aca="false">IF(H506&gt;0,D506-H506,"")</f>
        <v/>
      </c>
      <c r="J506" s="19" t="str">
        <f aca="false">IF(OR(I506="",E506=""),"",E506/I506*100)</f>
        <v/>
      </c>
      <c r="K506" s="20" t="str">
        <f aca="false">IF(I506="","",F506/I506)</f>
        <v/>
      </c>
    </row>
    <row r="507" customFormat="false" ht="15" hidden="false" customHeight="false" outlineLevel="0" collapsed="false">
      <c r="A507" s="12"/>
      <c r="B507" s="13"/>
      <c r="C507" s="13"/>
      <c r="D507" s="14"/>
      <c r="E507" s="15"/>
      <c r="F507" s="16"/>
      <c r="G507" s="17"/>
      <c r="H507" s="18" t="n">
        <f aca="false">IF(AND(C507="Yakıt",D507&lt;&gt;""),SUMPRODUCT(MAX(($B$5:$B$1004=B507)*($C$5:$C$1004="Yakıt")*($D$5:$D$1004&lt;D507)*$D$5:$D$1004)),0)</f>
        <v>0</v>
      </c>
      <c r="I507" s="18" t="str">
        <f aca="false">IF(H507&gt;0,D507-H507,"")</f>
        <v/>
      </c>
      <c r="J507" s="19" t="str">
        <f aca="false">IF(OR(I507="",E507=""),"",E507/I507*100)</f>
        <v/>
      </c>
      <c r="K507" s="20" t="str">
        <f aca="false">IF(I507="","",F507/I507)</f>
        <v/>
      </c>
    </row>
    <row r="508" customFormat="false" ht="15" hidden="false" customHeight="false" outlineLevel="0" collapsed="false">
      <c r="A508" s="12"/>
      <c r="B508" s="13"/>
      <c r="C508" s="13"/>
      <c r="D508" s="14"/>
      <c r="E508" s="15"/>
      <c r="F508" s="16"/>
      <c r="G508" s="17"/>
      <c r="H508" s="18" t="n">
        <f aca="false">IF(AND(C508="Yakıt",D508&lt;&gt;""),SUMPRODUCT(MAX(($B$5:$B$1004=B508)*($C$5:$C$1004="Yakıt")*($D$5:$D$1004&lt;D508)*$D$5:$D$1004)),0)</f>
        <v>0</v>
      </c>
      <c r="I508" s="18" t="str">
        <f aca="false">IF(H508&gt;0,D508-H508,"")</f>
        <v/>
      </c>
      <c r="J508" s="19" t="str">
        <f aca="false">IF(OR(I508="",E508=""),"",E508/I508*100)</f>
        <v/>
      </c>
      <c r="K508" s="20" t="str">
        <f aca="false">IF(I508="","",F508/I508)</f>
        <v/>
      </c>
    </row>
    <row r="509" customFormat="false" ht="15" hidden="false" customHeight="false" outlineLevel="0" collapsed="false">
      <c r="A509" s="12"/>
      <c r="B509" s="13"/>
      <c r="C509" s="13"/>
      <c r="D509" s="14"/>
      <c r="E509" s="15"/>
      <c r="F509" s="16"/>
      <c r="G509" s="17"/>
      <c r="H509" s="18" t="n">
        <f aca="false">IF(AND(C509="Yakıt",D509&lt;&gt;""),SUMPRODUCT(MAX(($B$5:$B$1004=B509)*($C$5:$C$1004="Yakıt")*($D$5:$D$1004&lt;D509)*$D$5:$D$1004)),0)</f>
        <v>0</v>
      </c>
      <c r="I509" s="18" t="str">
        <f aca="false">IF(H509&gt;0,D509-H509,"")</f>
        <v/>
      </c>
      <c r="J509" s="19" t="str">
        <f aca="false">IF(OR(I509="",E509=""),"",E509/I509*100)</f>
        <v/>
      </c>
      <c r="K509" s="20" t="str">
        <f aca="false">IF(I509="","",F509/I509)</f>
        <v/>
      </c>
    </row>
    <row r="510" customFormat="false" ht="15" hidden="false" customHeight="false" outlineLevel="0" collapsed="false">
      <c r="A510" s="12"/>
      <c r="B510" s="13"/>
      <c r="C510" s="13"/>
      <c r="D510" s="14"/>
      <c r="E510" s="15"/>
      <c r="F510" s="16"/>
      <c r="G510" s="17"/>
      <c r="H510" s="18" t="n">
        <f aca="false">IF(AND(C510="Yakıt",D510&lt;&gt;""),SUMPRODUCT(MAX(($B$5:$B$1004=B510)*($C$5:$C$1004="Yakıt")*($D$5:$D$1004&lt;D510)*$D$5:$D$1004)),0)</f>
        <v>0</v>
      </c>
      <c r="I510" s="18" t="str">
        <f aca="false">IF(H510&gt;0,D510-H510,"")</f>
        <v/>
      </c>
      <c r="J510" s="19" t="str">
        <f aca="false">IF(OR(I510="",E510=""),"",E510/I510*100)</f>
        <v/>
      </c>
      <c r="K510" s="20" t="str">
        <f aca="false">IF(I510="","",F510/I510)</f>
        <v/>
      </c>
    </row>
    <row r="511" customFormat="false" ht="15" hidden="false" customHeight="false" outlineLevel="0" collapsed="false">
      <c r="A511" s="12"/>
      <c r="B511" s="13"/>
      <c r="C511" s="13"/>
      <c r="D511" s="14"/>
      <c r="E511" s="15"/>
      <c r="F511" s="16"/>
      <c r="G511" s="17"/>
      <c r="H511" s="18" t="n">
        <f aca="false">IF(AND(C511="Yakıt",D511&lt;&gt;""),SUMPRODUCT(MAX(($B$5:$B$1004=B511)*($C$5:$C$1004="Yakıt")*($D$5:$D$1004&lt;D511)*$D$5:$D$1004)),0)</f>
        <v>0</v>
      </c>
      <c r="I511" s="18" t="str">
        <f aca="false">IF(H511&gt;0,D511-H511,"")</f>
        <v/>
      </c>
      <c r="J511" s="19" t="str">
        <f aca="false">IF(OR(I511="",E511=""),"",E511/I511*100)</f>
        <v/>
      </c>
      <c r="K511" s="20" t="str">
        <f aca="false">IF(I511="","",F511/I511)</f>
        <v/>
      </c>
    </row>
    <row r="512" customFormat="false" ht="15" hidden="false" customHeight="false" outlineLevel="0" collapsed="false">
      <c r="A512" s="12"/>
      <c r="B512" s="13"/>
      <c r="C512" s="13"/>
      <c r="D512" s="14"/>
      <c r="E512" s="15"/>
      <c r="F512" s="16"/>
      <c r="G512" s="17"/>
      <c r="H512" s="18" t="n">
        <f aca="false">IF(AND(C512="Yakıt",D512&lt;&gt;""),SUMPRODUCT(MAX(($B$5:$B$1004=B512)*($C$5:$C$1004="Yakıt")*($D$5:$D$1004&lt;D512)*$D$5:$D$1004)),0)</f>
        <v>0</v>
      </c>
      <c r="I512" s="18" t="str">
        <f aca="false">IF(H512&gt;0,D512-H512,"")</f>
        <v/>
      </c>
      <c r="J512" s="19" t="str">
        <f aca="false">IF(OR(I512="",E512=""),"",E512/I512*100)</f>
        <v/>
      </c>
      <c r="K512" s="20" t="str">
        <f aca="false">IF(I512="","",F512/I512)</f>
        <v/>
      </c>
    </row>
    <row r="513" customFormat="false" ht="15" hidden="false" customHeight="false" outlineLevel="0" collapsed="false">
      <c r="A513" s="12"/>
      <c r="B513" s="13"/>
      <c r="C513" s="13"/>
      <c r="D513" s="14"/>
      <c r="E513" s="15"/>
      <c r="F513" s="16"/>
      <c r="G513" s="17"/>
      <c r="H513" s="18" t="n">
        <f aca="false">IF(AND(C513="Yakıt",D513&lt;&gt;""),SUMPRODUCT(MAX(($B$5:$B$1004=B513)*($C$5:$C$1004="Yakıt")*($D$5:$D$1004&lt;D513)*$D$5:$D$1004)),0)</f>
        <v>0</v>
      </c>
      <c r="I513" s="18" t="str">
        <f aca="false">IF(H513&gt;0,D513-H513,"")</f>
        <v/>
      </c>
      <c r="J513" s="19" t="str">
        <f aca="false">IF(OR(I513="",E513=""),"",E513/I513*100)</f>
        <v/>
      </c>
      <c r="K513" s="20" t="str">
        <f aca="false">IF(I513="","",F513/I513)</f>
        <v/>
      </c>
    </row>
    <row r="514" customFormat="false" ht="15" hidden="false" customHeight="false" outlineLevel="0" collapsed="false">
      <c r="A514" s="12"/>
      <c r="B514" s="13"/>
      <c r="C514" s="13"/>
      <c r="D514" s="14"/>
      <c r="E514" s="15"/>
      <c r="F514" s="16"/>
      <c r="G514" s="17"/>
      <c r="H514" s="18" t="n">
        <f aca="false">IF(AND(C514="Yakıt",D514&lt;&gt;""),SUMPRODUCT(MAX(($B$5:$B$1004=B514)*($C$5:$C$1004="Yakıt")*($D$5:$D$1004&lt;D514)*$D$5:$D$1004)),0)</f>
        <v>0</v>
      </c>
      <c r="I514" s="18" t="str">
        <f aca="false">IF(H514&gt;0,D514-H514,"")</f>
        <v/>
      </c>
      <c r="J514" s="19" t="str">
        <f aca="false">IF(OR(I514="",E514=""),"",E514/I514*100)</f>
        <v/>
      </c>
      <c r="K514" s="20" t="str">
        <f aca="false">IF(I514="","",F514/I514)</f>
        <v/>
      </c>
    </row>
    <row r="515" customFormat="false" ht="15" hidden="false" customHeight="false" outlineLevel="0" collapsed="false">
      <c r="A515" s="12"/>
      <c r="B515" s="13"/>
      <c r="C515" s="13"/>
      <c r="D515" s="14"/>
      <c r="E515" s="15"/>
      <c r="F515" s="16"/>
      <c r="G515" s="17"/>
      <c r="H515" s="18" t="n">
        <f aca="false">IF(AND(C515="Yakıt",D515&lt;&gt;""),SUMPRODUCT(MAX(($B$5:$B$1004=B515)*($C$5:$C$1004="Yakıt")*($D$5:$D$1004&lt;D515)*$D$5:$D$1004)),0)</f>
        <v>0</v>
      </c>
      <c r="I515" s="18" t="str">
        <f aca="false">IF(H515&gt;0,D515-H515,"")</f>
        <v/>
      </c>
      <c r="J515" s="19" t="str">
        <f aca="false">IF(OR(I515="",E515=""),"",E515/I515*100)</f>
        <v/>
      </c>
      <c r="K515" s="20" t="str">
        <f aca="false">IF(I515="","",F515/I515)</f>
        <v/>
      </c>
    </row>
    <row r="516" customFormat="false" ht="15" hidden="false" customHeight="false" outlineLevel="0" collapsed="false">
      <c r="A516" s="12"/>
      <c r="B516" s="13"/>
      <c r="C516" s="13"/>
      <c r="D516" s="14"/>
      <c r="E516" s="15"/>
      <c r="F516" s="16"/>
      <c r="G516" s="17"/>
      <c r="H516" s="18" t="n">
        <f aca="false">IF(AND(C516="Yakıt",D516&lt;&gt;""),SUMPRODUCT(MAX(($B$5:$B$1004=B516)*($C$5:$C$1004="Yakıt")*($D$5:$D$1004&lt;D516)*$D$5:$D$1004)),0)</f>
        <v>0</v>
      </c>
      <c r="I516" s="18" t="str">
        <f aca="false">IF(H516&gt;0,D516-H516,"")</f>
        <v/>
      </c>
      <c r="J516" s="19" t="str">
        <f aca="false">IF(OR(I516="",E516=""),"",E516/I516*100)</f>
        <v/>
      </c>
      <c r="K516" s="20" t="str">
        <f aca="false">IF(I516="","",F516/I516)</f>
        <v/>
      </c>
    </row>
    <row r="517" customFormat="false" ht="15" hidden="false" customHeight="false" outlineLevel="0" collapsed="false">
      <c r="A517" s="12"/>
      <c r="B517" s="13"/>
      <c r="C517" s="13"/>
      <c r="D517" s="14"/>
      <c r="E517" s="15"/>
      <c r="F517" s="16"/>
      <c r="G517" s="17"/>
      <c r="H517" s="18" t="n">
        <f aca="false">IF(AND(C517="Yakıt",D517&lt;&gt;""),SUMPRODUCT(MAX(($B$5:$B$1004=B517)*($C$5:$C$1004="Yakıt")*($D$5:$D$1004&lt;D517)*$D$5:$D$1004)),0)</f>
        <v>0</v>
      </c>
      <c r="I517" s="18" t="str">
        <f aca="false">IF(H517&gt;0,D517-H517,"")</f>
        <v/>
      </c>
      <c r="J517" s="19" t="str">
        <f aca="false">IF(OR(I517="",E517=""),"",E517/I517*100)</f>
        <v/>
      </c>
      <c r="K517" s="20" t="str">
        <f aca="false">IF(I517="","",F517/I517)</f>
        <v/>
      </c>
    </row>
    <row r="518" customFormat="false" ht="15" hidden="false" customHeight="false" outlineLevel="0" collapsed="false">
      <c r="A518" s="12"/>
      <c r="B518" s="13"/>
      <c r="C518" s="13"/>
      <c r="D518" s="14"/>
      <c r="E518" s="15"/>
      <c r="F518" s="16"/>
      <c r="G518" s="17"/>
      <c r="H518" s="18" t="n">
        <f aca="false">IF(AND(C518="Yakıt",D518&lt;&gt;""),SUMPRODUCT(MAX(($B$5:$B$1004=B518)*($C$5:$C$1004="Yakıt")*($D$5:$D$1004&lt;D518)*$D$5:$D$1004)),0)</f>
        <v>0</v>
      </c>
      <c r="I518" s="18" t="str">
        <f aca="false">IF(H518&gt;0,D518-H518,"")</f>
        <v/>
      </c>
      <c r="J518" s="19" t="str">
        <f aca="false">IF(OR(I518="",E518=""),"",E518/I518*100)</f>
        <v/>
      </c>
      <c r="K518" s="20" t="str">
        <f aca="false">IF(I518="","",F518/I518)</f>
        <v/>
      </c>
    </row>
    <row r="519" customFormat="false" ht="15" hidden="false" customHeight="false" outlineLevel="0" collapsed="false">
      <c r="A519" s="12"/>
      <c r="B519" s="13"/>
      <c r="C519" s="13"/>
      <c r="D519" s="14"/>
      <c r="E519" s="15"/>
      <c r="F519" s="16"/>
      <c r="G519" s="17"/>
      <c r="H519" s="18" t="n">
        <f aca="false">IF(AND(C519="Yakıt",D519&lt;&gt;""),SUMPRODUCT(MAX(($B$5:$B$1004=B519)*($C$5:$C$1004="Yakıt")*($D$5:$D$1004&lt;D519)*$D$5:$D$1004)),0)</f>
        <v>0</v>
      </c>
      <c r="I519" s="18" t="str">
        <f aca="false">IF(H519&gt;0,D519-H519,"")</f>
        <v/>
      </c>
      <c r="J519" s="19" t="str">
        <f aca="false">IF(OR(I519="",E519=""),"",E519/I519*100)</f>
        <v/>
      </c>
      <c r="K519" s="20" t="str">
        <f aca="false">IF(I519="","",F519/I519)</f>
        <v/>
      </c>
    </row>
    <row r="520" customFormat="false" ht="15" hidden="false" customHeight="false" outlineLevel="0" collapsed="false">
      <c r="A520" s="12"/>
      <c r="B520" s="13"/>
      <c r="C520" s="13"/>
      <c r="D520" s="14"/>
      <c r="E520" s="15"/>
      <c r="F520" s="16"/>
      <c r="G520" s="17"/>
      <c r="H520" s="18" t="n">
        <f aca="false">IF(AND(C520="Yakıt",D520&lt;&gt;""),SUMPRODUCT(MAX(($B$5:$B$1004=B520)*($C$5:$C$1004="Yakıt")*($D$5:$D$1004&lt;D520)*$D$5:$D$1004)),0)</f>
        <v>0</v>
      </c>
      <c r="I520" s="18" t="str">
        <f aca="false">IF(H520&gt;0,D520-H520,"")</f>
        <v/>
      </c>
      <c r="J520" s="19" t="str">
        <f aca="false">IF(OR(I520="",E520=""),"",E520/I520*100)</f>
        <v/>
      </c>
      <c r="K520" s="20" t="str">
        <f aca="false">IF(I520="","",F520/I520)</f>
        <v/>
      </c>
    </row>
    <row r="521" customFormat="false" ht="15" hidden="false" customHeight="false" outlineLevel="0" collapsed="false">
      <c r="A521" s="12"/>
      <c r="B521" s="13"/>
      <c r="C521" s="13"/>
      <c r="D521" s="14"/>
      <c r="E521" s="15"/>
      <c r="F521" s="16"/>
      <c r="G521" s="17"/>
      <c r="H521" s="18" t="n">
        <f aca="false">IF(AND(C521="Yakıt",D521&lt;&gt;""),SUMPRODUCT(MAX(($B$5:$B$1004=B521)*($C$5:$C$1004="Yakıt")*($D$5:$D$1004&lt;D521)*$D$5:$D$1004)),0)</f>
        <v>0</v>
      </c>
      <c r="I521" s="18" t="str">
        <f aca="false">IF(H521&gt;0,D521-H521,"")</f>
        <v/>
      </c>
      <c r="J521" s="19" t="str">
        <f aca="false">IF(OR(I521="",E521=""),"",E521/I521*100)</f>
        <v/>
      </c>
      <c r="K521" s="20" t="str">
        <f aca="false">IF(I521="","",F521/I521)</f>
        <v/>
      </c>
    </row>
    <row r="522" customFormat="false" ht="15" hidden="false" customHeight="false" outlineLevel="0" collapsed="false">
      <c r="A522" s="12"/>
      <c r="B522" s="13"/>
      <c r="C522" s="13"/>
      <c r="D522" s="14"/>
      <c r="E522" s="15"/>
      <c r="F522" s="16"/>
      <c r="G522" s="17"/>
      <c r="H522" s="18" t="n">
        <f aca="false">IF(AND(C522="Yakıt",D522&lt;&gt;""),SUMPRODUCT(MAX(($B$5:$B$1004=B522)*($C$5:$C$1004="Yakıt")*($D$5:$D$1004&lt;D522)*$D$5:$D$1004)),0)</f>
        <v>0</v>
      </c>
      <c r="I522" s="18" t="str">
        <f aca="false">IF(H522&gt;0,D522-H522,"")</f>
        <v/>
      </c>
      <c r="J522" s="19" t="str">
        <f aca="false">IF(OR(I522="",E522=""),"",E522/I522*100)</f>
        <v/>
      </c>
      <c r="K522" s="20" t="str">
        <f aca="false">IF(I522="","",F522/I522)</f>
        <v/>
      </c>
    </row>
    <row r="523" customFormat="false" ht="15" hidden="false" customHeight="false" outlineLevel="0" collapsed="false">
      <c r="A523" s="12"/>
      <c r="B523" s="13"/>
      <c r="C523" s="13"/>
      <c r="D523" s="14"/>
      <c r="E523" s="15"/>
      <c r="F523" s="16"/>
      <c r="G523" s="17"/>
      <c r="H523" s="18" t="n">
        <f aca="false">IF(AND(C523="Yakıt",D523&lt;&gt;""),SUMPRODUCT(MAX(($B$5:$B$1004=B523)*($C$5:$C$1004="Yakıt")*($D$5:$D$1004&lt;D523)*$D$5:$D$1004)),0)</f>
        <v>0</v>
      </c>
      <c r="I523" s="18" t="str">
        <f aca="false">IF(H523&gt;0,D523-H523,"")</f>
        <v/>
      </c>
      <c r="J523" s="19" t="str">
        <f aca="false">IF(OR(I523="",E523=""),"",E523/I523*100)</f>
        <v/>
      </c>
      <c r="K523" s="20" t="str">
        <f aca="false">IF(I523="","",F523/I523)</f>
        <v/>
      </c>
    </row>
    <row r="524" customFormat="false" ht="15" hidden="false" customHeight="false" outlineLevel="0" collapsed="false">
      <c r="A524" s="12"/>
      <c r="B524" s="13"/>
      <c r="C524" s="13"/>
      <c r="D524" s="14"/>
      <c r="E524" s="15"/>
      <c r="F524" s="16"/>
      <c r="G524" s="17"/>
      <c r="H524" s="18" t="n">
        <f aca="false">IF(AND(C524="Yakıt",D524&lt;&gt;""),SUMPRODUCT(MAX(($B$5:$B$1004=B524)*($C$5:$C$1004="Yakıt")*($D$5:$D$1004&lt;D524)*$D$5:$D$1004)),0)</f>
        <v>0</v>
      </c>
      <c r="I524" s="18" t="str">
        <f aca="false">IF(H524&gt;0,D524-H524,"")</f>
        <v/>
      </c>
      <c r="J524" s="19" t="str">
        <f aca="false">IF(OR(I524="",E524=""),"",E524/I524*100)</f>
        <v/>
      </c>
      <c r="K524" s="20" t="str">
        <f aca="false">IF(I524="","",F524/I524)</f>
        <v/>
      </c>
    </row>
    <row r="525" customFormat="false" ht="15" hidden="false" customHeight="false" outlineLevel="0" collapsed="false">
      <c r="A525" s="12"/>
      <c r="B525" s="13"/>
      <c r="C525" s="13"/>
      <c r="D525" s="14"/>
      <c r="E525" s="15"/>
      <c r="F525" s="16"/>
      <c r="G525" s="17"/>
      <c r="H525" s="18" t="n">
        <f aca="false">IF(AND(C525="Yakıt",D525&lt;&gt;""),SUMPRODUCT(MAX(($B$5:$B$1004=B525)*($C$5:$C$1004="Yakıt")*($D$5:$D$1004&lt;D525)*$D$5:$D$1004)),0)</f>
        <v>0</v>
      </c>
      <c r="I525" s="18" t="str">
        <f aca="false">IF(H525&gt;0,D525-H525,"")</f>
        <v/>
      </c>
      <c r="J525" s="19" t="str">
        <f aca="false">IF(OR(I525="",E525=""),"",E525/I525*100)</f>
        <v/>
      </c>
      <c r="K525" s="20" t="str">
        <f aca="false">IF(I525="","",F525/I525)</f>
        <v/>
      </c>
    </row>
    <row r="526" customFormat="false" ht="15" hidden="false" customHeight="false" outlineLevel="0" collapsed="false">
      <c r="A526" s="12"/>
      <c r="B526" s="13"/>
      <c r="C526" s="13"/>
      <c r="D526" s="14"/>
      <c r="E526" s="15"/>
      <c r="F526" s="16"/>
      <c r="G526" s="17"/>
      <c r="H526" s="18" t="n">
        <f aca="false">IF(AND(C526="Yakıt",D526&lt;&gt;""),SUMPRODUCT(MAX(($B$5:$B$1004=B526)*($C$5:$C$1004="Yakıt")*($D$5:$D$1004&lt;D526)*$D$5:$D$1004)),0)</f>
        <v>0</v>
      </c>
      <c r="I526" s="18" t="str">
        <f aca="false">IF(H526&gt;0,D526-H526,"")</f>
        <v/>
      </c>
      <c r="J526" s="19" t="str">
        <f aca="false">IF(OR(I526="",E526=""),"",E526/I526*100)</f>
        <v/>
      </c>
      <c r="K526" s="20" t="str">
        <f aca="false">IF(I526="","",F526/I526)</f>
        <v/>
      </c>
    </row>
    <row r="527" customFormat="false" ht="15" hidden="false" customHeight="false" outlineLevel="0" collapsed="false">
      <c r="A527" s="12"/>
      <c r="B527" s="13"/>
      <c r="C527" s="13"/>
      <c r="D527" s="14"/>
      <c r="E527" s="15"/>
      <c r="F527" s="16"/>
      <c r="G527" s="17"/>
      <c r="H527" s="18" t="n">
        <f aca="false">IF(AND(C527="Yakıt",D527&lt;&gt;""),SUMPRODUCT(MAX(($B$5:$B$1004=B527)*($C$5:$C$1004="Yakıt")*($D$5:$D$1004&lt;D527)*$D$5:$D$1004)),0)</f>
        <v>0</v>
      </c>
      <c r="I527" s="18" t="str">
        <f aca="false">IF(H527&gt;0,D527-H527,"")</f>
        <v/>
      </c>
      <c r="J527" s="19" t="str">
        <f aca="false">IF(OR(I527="",E527=""),"",E527/I527*100)</f>
        <v/>
      </c>
      <c r="K527" s="20" t="str">
        <f aca="false">IF(I527="","",F527/I527)</f>
        <v/>
      </c>
    </row>
    <row r="528" customFormat="false" ht="15" hidden="false" customHeight="false" outlineLevel="0" collapsed="false">
      <c r="A528" s="12"/>
      <c r="B528" s="13"/>
      <c r="C528" s="13"/>
      <c r="D528" s="14"/>
      <c r="E528" s="15"/>
      <c r="F528" s="16"/>
      <c r="G528" s="17"/>
      <c r="H528" s="18" t="n">
        <f aca="false">IF(AND(C528="Yakıt",D528&lt;&gt;""),SUMPRODUCT(MAX(($B$5:$B$1004=B528)*($C$5:$C$1004="Yakıt")*($D$5:$D$1004&lt;D528)*$D$5:$D$1004)),0)</f>
        <v>0</v>
      </c>
      <c r="I528" s="18" t="str">
        <f aca="false">IF(H528&gt;0,D528-H528,"")</f>
        <v/>
      </c>
      <c r="J528" s="19" t="str">
        <f aca="false">IF(OR(I528="",E528=""),"",E528/I528*100)</f>
        <v/>
      </c>
      <c r="K528" s="20" t="str">
        <f aca="false">IF(I528="","",F528/I528)</f>
        <v/>
      </c>
    </row>
    <row r="529" customFormat="false" ht="15" hidden="false" customHeight="false" outlineLevel="0" collapsed="false">
      <c r="A529" s="12"/>
      <c r="B529" s="13"/>
      <c r="C529" s="13"/>
      <c r="D529" s="14"/>
      <c r="E529" s="15"/>
      <c r="F529" s="16"/>
      <c r="G529" s="17"/>
      <c r="H529" s="18" t="n">
        <f aca="false">IF(AND(C529="Yakıt",D529&lt;&gt;""),SUMPRODUCT(MAX(($B$5:$B$1004=B529)*($C$5:$C$1004="Yakıt")*($D$5:$D$1004&lt;D529)*$D$5:$D$1004)),0)</f>
        <v>0</v>
      </c>
      <c r="I529" s="18" t="str">
        <f aca="false">IF(H529&gt;0,D529-H529,"")</f>
        <v/>
      </c>
      <c r="J529" s="19" t="str">
        <f aca="false">IF(OR(I529="",E529=""),"",E529/I529*100)</f>
        <v/>
      </c>
      <c r="K529" s="20" t="str">
        <f aca="false">IF(I529="","",F529/I529)</f>
        <v/>
      </c>
    </row>
    <row r="530" customFormat="false" ht="15" hidden="false" customHeight="false" outlineLevel="0" collapsed="false">
      <c r="A530" s="12"/>
      <c r="B530" s="13"/>
      <c r="C530" s="13"/>
      <c r="D530" s="14"/>
      <c r="E530" s="15"/>
      <c r="F530" s="16"/>
      <c r="G530" s="17"/>
      <c r="H530" s="18" t="n">
        <f aca="false">IF(AND(C530="Yakıt",D530&lt;&gt;""),SUMPRODUCT(MAX(($B$5:$B$1004=B530)*($C$5:$C$1004="Yakıt")*($D$5:$D$1004&lt;D530)*$D$5:$D$1004)),0)</f>
        <v>0</v>
      </c>
      <c r="I530" s="18" t="str">
        <f aca="false">IF(H530&gt;0,D530-H530,"")</f>
        <v/>
      </c>
      <c r="J530" s="19" t="str">
        <f aca="false">IF(OR(I530="",E530=""),"",E530/I530*100)</f>
        <v/>
      </c>
      <c r="K530" s="20" t="str">
        <f aca="false">IF(I530="","",F530/I530)</f>
        <v/>
      </c>
    </row>
    <row r="531" customFormat="false" ht="15" hidden="false" customHeight="false" outlineLevel="0" collapsed="false">
      <c r="A531" s="12"/>
      <c r="B531" s="13"/>
      <c r="C531" s="13"/>
      <c r="D531" s="14"/>
      <c r="E531" s="15"/>
      <c r="F531" s="16"/>
      <c r="G531" s="17"/>
      <c r="H531" s="18" t="n">
        <f aca="false">IF(AND(C531="Yakıt",D531&lt;&gt;""),SUMPRODUCT(MAX(($B$5:$B$1004=B531)*($C$5:$C$1004="Yakıt")*($D$5:$D$1004&lt;D531)*$D$5:$D$1004)),0)</f>
        <v>0</v>
      </c>
      <c r="I531" s="18" t="str">
        <f aca="false">IF(H531&gt;0,D531-H531,"")</f>
        <v/>
      </c>
      <c r="J531" s="19" t="str">
        <f aca="false">IF(OR(I531="",E531=""),"",E531/I531*100)</f>
        <v/>
      </c>
      <c r="K531" s="20" t="str">
        <f aca="false">IF(I531="","",F531/I531)</f>
        <v/>
      </c>
    </row>
    <row r="532" customFormat="false" ht="15" hidden="false" customHeight="false" outlineLevel="0" collapsed="false">
      <c r="A532" s="12"/>
      <c r="B532" s="13"/>
      <c r="C532" s="13"/>
      <c r="D532" s="14"/>
      <c r="E532" s="15"/>
      <c r="F532" s="16"/>
      <c r="G532" s="17"/>
      <c r="H532" s="18" t="n">
        <f aca="false">IF(AND(C532="Yakıt",D532&lt;&gt;""),SUMPRODUCT(MAX(($B$5:$B$1004=B532)*($C$5:$C$1004="Yakıt")*($D$5:$D$1004&lt;D532)*$D$5:$D$1004)),0)</f>
        <v>0</v>
      </c>
      <c r="I532" s="18" t="str">
        <f aca="false">IF(H532&gt;0,D532-H532,"")</f>
        <v/>
      </c>
      <c r="J532" s="19" t="str">
        <f aca="false">IF(OR(I532="",E532=""),"",E532/I532*100)</f>
        <v/>
      </c>
      <c r="K532" s="20" t="str">
        <f aca="false">IF(I532="","",F532/I532)</f>
        <v/>
      </c>
    </row>
    <row r="533" customFormat="false" ht="15" hidden="false" customHeight="false" outlineLevel="0" collapsed="false">
      <c r="A533" s="12"/>
      <c r="B533" s="13"/>
      <c r="C533" s="13"/>
      <c r="D533" s="14"/>
      <c r="E533" s="15"/>
      <c r="F533" s="16"/>
      <c r="G533" s="17"/>
      <c r="H533" s="18" t="n">
        <f aca="false">IF(AND(C533="Yakıt",D533&lt;&gt;""),SUMPRODUCT(MAX(($B$5:$B$1004=B533)*($C$5:$C$1004="Yakıt")*($D$5:$D$1004&lt;D533)*$D$5:$D$1004)),0)</f>
        <v>0</v>
      </c>
      <c r="I533" s="18" t="str">
        <f aca="false">IF(H533&gt;0,D533-H533,"")</f>
        <v/>
      </c>
      <c r="J533" s="19" t="str">
        <f aca="false">IF(OR(I533="",E533=""),"",E533/I533*100)</f>
        <v/>
      </c>
      <c r="K533" s="20" t="str">
        <f aca="false">IF(I533="","",F533/I533)</f>
        <v/>
      </c>
    </row>
    <row r="534" customFormat="false" ht="15" hidden="false" customHeight="false" outlineLevel="0" collapsed="false">
      <c r="A534" s="12"/>
      <c r="B534" s="13"/>
      <c r="C534" s="13"/>
      <c r="D534" s="14"/>
      <c r="E534" s="15"/>
      <c r="F534" s="16"/>
      <c r="G534" s="17"/>
      <c r="H534" s="18" t="n">
        <f aca="false">IF(AND(C534="Yakıt",D534&lt;&gt;""),SUMPRODUCT(MAX(($B$5:$B$1004=B534)*($C$5:$C$1004="Yakıt")*($D$5:$D$1004&lt;D534)*$D$5:$D$1004)),0)</f>
        <v>0</v>
      </c>
      <c r="I534" s="18" t="str">
        <f aca="false">IF(H534&gt;0,D534-H534,"")</f>
        <v/>
      </c>
      <c r="J534" s="19" t="str">
        <f aca="false">IF(OR(I534="",E534=""),"",E534/I534*100)</f>
        <v/>
      </c>
      <c r="K534" s="20" t="str">
        <f aca="false">IF(I534="","",F534/I534)</f>
        <v/>
      </c>
    </row>
    <row r="535" customFormat="false" ht="15" hidden="false" customHeight="false" outlineLevel="0" collapsed="false">
      <c r="A535" s="12"/>
      <c r="B535" s="13"/>
      <c r="C535" s="13"/>
      <c r="D535" s="14"/>
      <c r="E535" s="15"/>
      <c r="F535" s="16"/>
      <c r="G535" s="17"/>
      <c r="H535" s="18" t="n">
        <f aca="false">IF(AND(C535="Yakıt",D535&lt;&gt;""),SUMPRODUCT(MAX(($B$5:$B$1004=B535)*($C$5:$C$1004="Yakıt")*($D$5:$D$1004&lt;D535)*$D$5:$D$1004)),0)</f>
        <v>0</v>
      </c>
      <c r="I535" s="18" t="str">
        <f aca="false">IF(H535&gt;0,D535-H535,"")</f>
        <v/>
      </c>
      <c r="J535" s="19" t="str">
        <f aca="false">IF(OR(I535="",E535=""),"",E535/I535*100)</f>
        <v/>
      </c>
      <c r="K535" s="20" t="str">
        <f aca="false">IF(I535="","",F535/I535)</f>
        <v/>
      </c>
    </row>
    <row r="536" customFormat="false" ht="15" hidden="false" customHeight="false" outlineLevel="0" collapsed="false">
      <c r="A536" s="12"/>
      <c r="B536" s="13"/>
      <c r="C536" s="13"/>
      <c r="D536" s="14"/>
      <c r="E536" s="15"/>
      <c r="F536" s="16"/>
      <c r="G536" s="17"/>
      <c r="H536" s="18" t="n">
        <f aca="false">IF(AND(C536="Yakıt",D536&lt;&gt;""),SUMPRODUCT(MAX(($B$5:$B$1004=B536)*($C$5:$C$1004="Yakıt")*($D$5:$D$1004&lt;D536)*$D$5:$D$1004)),0)</f>
        <v>0</v>
      </c>
      <c r="I536" s="18" t="str">
        <f aca="false">IF(H536&gt;0,D536-H536,"")</f>
        <v/>
      </c>
      <c r="J536" s="19" t="str">
        <f aca="false">IF(OR(I536="",E536=""),"",E536/I536*100)</f>
        <v/>
      </c>
      <c r="K536" s="20" t="str">
        <f aca="false">IF(I536="","",F536/I536)</f>
        <v/>
      </c>
    </row>
    <row r="537" customFormat="false" ht="15" hidden="false" customHeight="false" outlineLevel="0" collapsed="false">
      <c r="A537" s="12"/>
      <c r="B537" s="13"/>
      <c r="C537" s="13"/>
      <c r="D537" s="14"/>
      <c r="E537" s="15"/>
      <c r="F537" s="16"/>
      <c r="G537" s="17"/>
      <c r="H537" s="18" t="n">
        <f aca="false">IF(AND(C537="Yakıt",D537&lt;&gt;""),SUMPRODUCT(MAX(($B$5:$B$1004=B537)*($C$5:$C$1004="Yakıt")*($D$5:$D$1004&lt;D537)*$D$5:$D$1004)),0)</f>
        <v>0</v>
      </c>
      <c r="I537" s="18" t="str">
        <f aca="false">IF(H537&gt;0,D537-H537,"")</f>
        <v/>
      </c>
      <c r="J537" s="19" t="str">
        <f aca="false">IF(OR(I537="",E537=""),"",E537/I537*100)</f>
        <v/>
      </c>
      <c r="K537" s="20" t="str">
        <f aca="false">IF(I537="","",F537/I537)</f>
        <v/>
      </c>
    </row>
    <row r="538" customFormat="false" ht="15" hidden="false" customHeight="false" outlineLevel="0" collapsed="false">
      <c r="A538" s="12"/>
      <c r="B538" s="13"/>
      <c r="C538" s="13"/>
      <c r="D538" s="14"/>
      <c r="E538" s="15"/>
      <c r="F538" s="16"/>
      <c r="G538" s="17"/>
      <c r="H538" s="18" t="n">
        <f aca="false">IF(AND(C538="Yakıt",D538&lt;&gt;""),SUMPRODUCT(MAX(($B$5:$B$1004=B538)*($C$5:$C$1004="Yakıt")*($D$5:$D$1004&lt;D538)*$D$5:$D$1004)),0)</f>
        <v>0</v>
      </c>
      <c r="I538" s="18" t="str">
        <f aca="false">IF(H538&gt;0,D538-H538,"")</f>
        <v/>
      </c>
      <c r="J538" s="19" t="str">
        <f aca="false">IF(OR(I538="",E538=""),"",E538/I538*100)</f>
        <v/>
      </c>
      <c r="K538" s="20" t="str">
        <f aca="false">IF(I538="","",F538/I538)</f>
        <v/>
      </c>
    </row>
    <row r="539" customFormat="false" ht="15" hidden="false" customHeight="false" outlineLevel="0" collapsed="false">
      <c r="A539" s="12"/>
      <c r="B539" s="13"/>
      <c r="C539" s="13"/>
      <c r="D539" s="14"/>
      <c r="E539" s="15"/>
      <c r="F539" s="16"/>
      <c r="G539" s="17"/>
      <c r="H539" s="18" t="n">
        <f aca="false">IF(AND(C539="Yakıt",D539&lt;&gt;""),SUMPRODUCT(MAX(($B$5:$B$1004=B539)*($C$5:$C$1004="Yakıt")*($D$5:$D$1004&lt;D539)*$D$5:$D$1004)),0)</f>
        <v>0</v>
      </c>
      <c r="I539" s="18" t="str">
        <f aca="false">IF(H539&gt;0,D539-H539,"")</f>
        <v/>
      </c>
      <c r="J539" s="19" t="str">
        <f aca="false">IF(OR(I539="",E539=""),"",E539/I539*100)</f>
        <v/>
      </c>
      <c r="K539" s="20" t="str">
        <f aca="false">IF(I539="","",F539/I539)</f>
        <v/>
      </c>
    </row>
    <row r="540" customFormat="false" ht="15" hidden="false" customHeight="false" outlineLevel="0" collapsed="false">
      <c r="A540" s="12"/>
      <c r="B540" s="13"/>
      <c r="C540" s="13"/>
      <c r="D540" s="14"/>
      <c r="E540" s="15"/>
      <c r="F540" s="16"/>
      <c r="G540" s="17"/>
      <c r="H540" s="18" t="n">
        <f aca="false">IF(AND(C540="Yakıt",D540&lt;&gt;""),SUMPRODUCT(MAX(($B$5:$B$1004=B540)*($C$5:$C$1004="Yakıt")*($D$5:$D$1004&lt;D540)*$D$5:$D$1004)),0)</f>
        <v>0</v>
      </c>
      <c r="I540" s="18" t="str">
        <f aca="false">IF(H540&gt;0,D540-H540,"")</f>
        <v/>
      </c>
      <c r="J540" s="19" t="str">
        <f aca="false">IF(OR(I540="",E540=""),"",E540/I540*100)</f>
        <v/>
      </c>
      <c r="K540" s="20" t="str">
        <f aca="false">IF(I540="","",F540/I540)</f>
        <v/>
      </c>
    </row>
    <row r="541" customFormat="false" ht="15" hidden="false" customHeight="false" outlineLevel="0" collapsed="false">
      <c r="A541" s="12"/>
      <c r="B541" s="13"/>
      <c r="C541" s="13"/>
      <c r="D541" s="14"/>
      <c r="E541" s="15"/>
      <c r="F541" s="16"/>
      <c r="G541" s="17"/>
      <c r="H541" s="18" t="n">
        <f aca="false">IF(AND(C541="Yakıt",D541&lt;&gt;""),SUMPRODUCT(MAX(($B$5:$B$1004=B541)*($C$5:$C$1004="Yakıt")*($D$5:$D$1004&lt;D541)*$D$5:$D$1004)),0)</f>
        <v>0</v>
      </c>
      <c r="I541" s="18" t="str">
        <f aca="false">IF(H541&gt;0,D541-H541,"")</f>
        <v/>
      </c>
      <c r="J541" s="19" t="str">
        <f aca="false">IF(OR(I541="",E541=""),"",E541/I541*100)</f>
        <v/>
      </c>
      <c r="K541" s="20" t="str">
        <f aca="false">IF(I541="","",F541/I541)</f>
        <v/>
      </c>
    </row>
    <row r="542" customFormat="false" ht="15" hidden="false" customHeight="false" outlineLevel="0" collapsed="false">
      <c r="A542" s="12"/>
      <c r="B542" s="13"/>
      <c r="C542" s="13"/>
      <c r="D542" s="14"/>
      <c r="E542" s="15"/>
      <c r="F542" s="16"/>
      <c r="G542" s="17"/>
      <c r="H542" s="18" t="n">
        <f aca="false">IF(AND(C542="Yakıt",D542&lt;&gt;""),SUMPRODUCT(MAX(($B$5:$B$1004=B542)*($C$5:$C$1004="Yakıt")*($D$5:$D$1004&lt;D542)*$D$5:$D$1004)),0)</f>
        <v>0</v>
      </c>
      <c r="I542" s="18" t="str">
        <f aca="false">IF(H542&gt;0,D542-H542,"")</f>
        <v/>
      </c>
      <c r="J542" s="19" t="str">
        <f aca="false">IF(OR(I542="",E542=""),"",E542/I542*100)</f>
        <v/>
      </c>
      <c r="K542" s="20" t="str">
        <f aca="false">IF(I542="","",F542/I542)</f>
        <v/>
      </c>
    </row>
    <row r="543" customFormat="false" ht="15" hidden="false" customHeight="false" outlineLevel="0" collapsed="false">
      <c r="A543" s="12"/>
      <c r="B543" s="13"/>
      <c r="C543" s="13"/>
      <c r="D543" s="14"/>
      <c r="E543" s="15"/>
      <c r="F543" s="16"/>
      <c r="G543" s="17"/>
      <c r="H543" s="18" t="n">
        <f aca="false">IF(AND(C543="Yakıt",D543&lt;&gt;""),SUMPRODUCT(MAX(($B$5:$B$1004=B543)*($C$5:$C$1004="Yakıt")*($D$5:$D$1004&lt;D543)*$D$5:$D$1004)),0)</f>
        <v>0</v>
      </c>
      <c r="I543" s="18" t="str">
        <f aca="false">IF(H543&gt;0,D543-H543,"")</f>
        <v/>
      </c>
      <c r="J543" s="19" t="str">
        <f aca="false">IF(OR(I543="",E543=""),"",E543/I543*100)</f>
        <v/>
      </c>
      <c r="K543" s="20" t="str">
        <f aca="false">IF(I543="","",F543/I543)</f>
        <v/>
      </c>
    </row>
    <row r="544" customFormat="false" ht="15" hidden="false" customHeight="false" outlineLevel="0" collapsed="false">
      <c r="A544" s="12"/>
      <c r="B544" s="13"/>
      <c r="C544" s="13"/>
      <c r="D544" s="14"/>
      <c r="E544" s="15"/>
      <c r="F544" s="16"/>
      <c r="G544" s="17"/>
      <c r="H544" s="18" t="n">
        <f aca="false">IF(AND(C544="Yakıt",D544&lt;&gt;""),SUMPRODUCT(MAX(($B$5:$B$1004=B544)*($C$5:$C$1004="Yakıt")*($D$5:$D$1004&lt;D544)*$D$5:$D$1004)),0)</f>
        <v>0</v>
      </c>
      <c r="I544" s="18" t="str">
        <f aca="false">IF(H544&gt;0,D544-H544,"")</f>
        <v/>
      </c>
      <c r="J544" s="19" t="str">
        <f aca="false">IF(OR(I544="",E544=""),"",E544/I544*100)</f>
        <v/>
      </c>
      <c r="K544" s="20" t="str">
        <f aca="false">IF(I544="","",F544/I544)</f>
        <v/>
      </c>
    </row>
    <row r="545" customFormat="false" ht="15" hidden="false" customHeight="false" outlineLevel="0" collapsed="false">
      <c r="A545" s="12"/>
      <c r="B545" s="13"/>
      <c r="C545" s="13"/>
      <c r="D545" s="14"/>
      <c r="E545" s="15"/>
      <c r="F545" s="16"/>
      <c r="G545" s="17"/>
      <c r="H545" s="18" t="n">
        <f aca="false">IF(AND(C545="Yakıt",D545&lt;&gt;""),SUMPRODUCT(MAX(($B$5:$B$1004=B545)*($C$5:$C$1004="Yakıt")*($D$5:$D$1004&lt;D545)*$D$5:$D$1004)),0)</f>
        <v>0</v>
      </c>
      <c r="I545" s="18" t="str">
        <f aca="false">IF(H545&gt;0,D545-H545,"")</f>
        <v/>
      </c>
      <c r="J545" s="19" t="str">
        <f aca="false">IF(OR(I545="",E545=""),"",E545/I545*100)</f>
        <v/>
      </c>
      <c r="K545" s="20" t="str">
        <f aca="false">IF(I545="","",F545/I545)</f>
        <v/>
      </c>
    </row>
    <row r="546" customFormat="false" ht="15" hidden="false" customHeight="false" outlineLevel="0" collapsed="false">
      <c r="A546" s="12"/>
      <c r="B546" s="13"/>
      <c r="C546" s="13"/>
      <c r="D546" s="14"/>
      <c r="E546" s="15"/>
      <c r="F546" s="16"/>
      <c r="G546" s="17"/>
      <c r="H546" s="18" t="n">
        <f aca="false">IF(AND(C546="Yakıt",D546&lt;&gt;""),SUMPRODUCT(MAX(($B$5:$B$1004=B546)*($C$5:$C$1004="Yakıt")*($D$5:$D$1004&lt;D546)*$D$5:$D$1004)),0)</f>
        <v>0</v>
      </c>
      <c r="I546" s="18" t="str">
        <f aca="false">IF(H546&gt;0,D546-H546,"")</f>
        <v/>
      </c>
      <c r="J546" s="19" t="str">
        <f aca="false">IF(OR(I546="",E546=""),"",E546/I546*100)</f>
        <v/>
      </c>
      <c r="K546" s="20" t="str">
        <f aca="false">IF(I546="","",F546/I546)</f>
        <v/>
      </c>
    </row>
    <row r="547" customFormat="false" ht="15" hidden="false" customHeight="false" outlineLevel="0" collapsed="false">
      <c r="A547" s="12"/>
      <c r="B547" s="13"/>
      <c r="C547" s="13"/>
      <c r="D547" s="14"/>
      <c r="E547" s="15"/>
      <c r="F547" s="16"/>
      <c r="G547" s="17"/>
      <c r="H547" s="18" t="n">
        <f aca="false">IF(AND(C547="Yakıt",D547&lt;&gt;""),SUMPRODUCT(MAX(($B$5:$B$1004=B547)*($C$5:$C$1004="Yakıt")*($D$5:$D$1004&lt;D547)*$D$5:$D$1004)),0)</f>
        <v>0</v>
      </c>
      <c r="I547" s="18" t="str">
        <f aca="false">IF(H547&gt;0,D547-H547,"")</f>
        <v/>
      </c>
      <c r="J547" s="19" t="str">
        <f aca="false">IF(OR(I547="",E547=""),"",E547/I547*100)</f>
        <v/>
      </c>
      <c r="K547" s="20" t="str">
        <f aca="false">IF(I547="","",F547/I547)</f>
        <v/>
      </c>
    </row>
    <row r="548" customFormat="false" ht="15" hidden="false" customHeight="false" outlineLevel="0" collapsed="false">
      <c r="A548" s="12"/>
      <c r="B548" s="13"/>
      <c r="C548" s="13"/>
      <c r="D548" s="14"/>
      <c r="E548" s="15"/>
      <c r="F548" s="16"/>
      <c r="G548" s="17"/>
      <c r="H548" s="18" t="n">
        <f aca="false">IF(AND(C548="Yakıt",D548&lt;&gt;""),SUMPRODUCT(MAX(($B$5:$B$1004=B548)*($C$5:$C$1004="Yakıt")*($D$5:$D$1004&lt;D548)*$D$5:$D$1004)),0)</f>
        <v>0</v>
      </c>
      <c r="I548" s="18" t="str">
        <f aca="false">IF(H548&gt;0,D548-H548,"")</f>
        <v/>
      </c>
      <c r="J548" s="19" t="str">
        <f aca="false">IF(OR(I548="",E548=""),"",E548/I548*100)</f>
        <v/>
      </c>
      <c r="K548" s="20" t="str">
        <f aca="false">IF(I548="","",F548/I548)</f>
        <v/>
      </c>
    </row>
    <row r="549" customFormat="false" ht="15" hidden="false" customHeight="false" outlineLevel="0" collapsed="false">
      <c r="A549" s="12"/>
      <c r="B549" s="13"/>
      <c r="C549" s="13"/>
      <c r="D549" s="14"/>
      <c r="E549" s="15"/>
      <c r="F549" s="16"/>
      <c r="G549" s="17"/>
      <c r="H549" s="18" t="n">
        <f aca="false">IF(AND(C549="Yakıt",D549&lt;&gt;""),SUMPRODUCT(MAX(($B$5:$B$1004=B549)*($C$5:$C$1004="Yakıt")*($D$5:$D$1004&lt;D549)*$D$5:$D$1004)),0)</f>
        <v>0</v>
      </c>
      <c r="I549" s="18" t="str">
        <f aca="false">IF(H549&gt;0,D549-H549,"")</f>
        <v/>
      </c>
      <c r="J549" s="19" t="str">
        <f aca="false">IF(OR(I549="",E549=""),"",E549/I549*100)</f>
        <v/>
      </c>
      <c r="K549" s="20" t="str">
        <f aca="false">IF(I549="","",F549/I549)</f>
        <v/>
      </c>
    </row>
    <row r="550" customFormat="false" ht="15" hidden="false" customHeight="false" outlineLevel="0" collapsed="false">
      <c r="A550" s="12"/>
      <c r="B550" s="13"/>
      <c r="C550" s="13"/>
      <c r="D550" s="14"/>
      <c r="E550" s="15"/>
      <c r="F550" s="16"/>
      <c r="G550" s="17"/>
      <c r="H550" s="18" t="n">
        <f aca="false">IF(AND(C550="Yakıt",D550&lt;&gt;""),SUMPRODUCT(MAX(($B$5:$B$1004=B550)*($C$5:$C$1004="Yakıt")*($D$5:$D$1004&lt;D550)*$D$5:$D$1004)),0)</f>
        <v>0</v>
      </c>
      <c r="I550" s="18" t="str">
        <f aca="false">IF(H550&gt;0,D550-H550,"")</f>
        <v/>
      </c>
      <c r="J550" s="19" t="str">
        <f aca="false">IF(OR(I550="",E550=""),"",E550/I550*100)</f>
        <v/>
      </c>
      <c r="K550" s="20" t="str">
        <f aca="false">IF(I550="","",F550/I550)</f>
        <v/>
      </c>
    </row>
    <row r="551" customFormat="false" ht="15" hidden="false" customHeight="false" outlineLevel="0" collapsed="false">
      <c r="A551" s="12"/>
      <c r="B551" s="13"/>
      <c r="C551" s="13"/>
      <c r="D551" s="14"/>
      <c r="E551" s="15"/>
      <c r="F551" s="16"/>
      <c r="G551" s="17"/>
      <c r="H551" s="18" t="n">
        <f aca="false">IF(AND(C551="Yakıt",D551&lt;&gt;""),SUMPRODUCT(MAX(($B$5:$B$1004=B551)*($C$5:$C$1004="Yakıt")*($D$5:$D$1004&lt;D551)*$D$5:$D$1004)),0)</f>
        <v>0</v>
      </c>
      <c r="I551" s="18" t="str">
        <f aca="false">IF(H551&gt;0,D551-H551,"")</f>
        <v/>
      </c>
      <c r="J551" s="19" t="str">
        <f aca="false">IF(OR(I551="",E551=""),"",E551/I551*100)</f>
        <v/>
      </c>
      <c r="K551" s="20" t="str">
        <f aca="false">IF(I551="","",F551/I551)</f>
        <v/>
      </c>
    </row>
    <row r="552" customFormat="false" ht="15" hidden="false" customHeight="false" outlineLevel="0" collapsed="false">
      <c r="A552" s="12"/>
      <c r="B552" s="13"/>
      <c r="C552" s="13"/>
      <c r="D552" s="14"/>
      <c r="E552" s="15"/>
      <c r="F552" s="16"/>
      <c r="G552" s="17"/>
      <c r="H552" s="18" t="n">
        <f aca="false">IF(AND(C552="Yakıt",D552&lt;&gt;""),SUMPRODUCT(MAX(($B$5:$B$1004=B552)*($C$5:$C$1004="Yakıt")*($D$5:$D$1004&lt;D552)*$D$5:$D$1004)),0)</f>
        <v>0</v>
      </c>
      <c r="I552" s="18" t="str">
        <f aca="false">IF(H552&gt;0,D552-H552,"")</f>
        <v/>
      </c>
      <c r="J552" s="19" t="str">
        <f aca="false">IF(OR(I552="",E552=""),"",E552/I552*100)</f>
        <v/>
      </c>
      <c r="K552" s="20" t="str">
        <f aca="false">IF(I552="","",F552/I552)</f>
        <v/>
      </c>
    </row>
    <row r="553" customFormat="false" ht="15" hidden="false" customHeight="false" outlineLevel="0" collapsed="false">
      <c r="A553" s="12"/>
      <c r="B553" s="13"/>
      <c r="C553" s="13"/>
      <c r="D553" s="14"/>
      <c r="E553" s="15"/>
      <c r="F553" s="16"/>
      <c r="G553" s="17"/>
      <c r="H553" s="18" t="n">
        <f aca="false">IF(AND(C553="Yakıt",D553&lt;&gt;""),SUMPRODUCT(MAX(($B$5:$B$1004=B553)*($C$5:$C$1004="Yakıt")*($D$5:$D$1004&lt;D553)*$D$5:$D$1004)),0)</f>
        <v>0</v>
      </c>
      <c r="I553" s="18" t="str">
        <f aca="false">IF(H553&gt;0,D553-H553,"")</f>
        <v/>
      </c>
      <c r="J553" s="19" t="str">
        <f aca="false">IF(OR(I553="",E553=""),"",E553/I553*100)</f>
        <v/>
      </c>
      <c r="K553" s="20" t="str">
        <f aca="false">IF(I553="","",F553/I553)</f>
        <v/>
      </c>
    </row>
    <row r="554" customFormat="false" ht="15" hidden="false" customHeight="false" outlineLevel="0" collapsed="false">
      <c r="A554" s="12"/>
      <c r="B554" s="13"/>
      <c r="C554" s="13"/>
      <c r="D554" s="14"/>
      <c r="E554" s="15"/>
      <c r="F554" s="16"/>
      <c r="G554" s="17"/>
      <c r="H554" s="18" t="n">
        <f aca="false">IF(AND(C554="Yakıt",D554&lt;&gt;""),SUMPRODUCT(MAX(($B$5:$B$1004=B554)*($C$5:$C$1004="Yakıt")*($D$5:$D$1004&lt;D554)*$D$5:$D$1004)),0)</f>
        <v>0</v>
      </c>
      <c r="I554" s="18" t="str">
        <f aca="false">IF(H554&gt;0,D554-H554,"")</f>
        <v/>
      </c>
      <c r="J554" s="19" t="str">
        <f aca="false">IF(OR(I554="",E554=""),"",E554/I554*100)</f>
        <v/>
      </c>
      <c r="K554" s="20" t="str">
        <f aca="false">IF(I554="","",F554/I554)</f>
        <v/>
      </c>
    </row>
    <row r="555" customFormat="false" ht="15" hidden="false" customHeight="false" outlineLevel="0" collapsed="false">
      <c r="A555" s="12"/>
      <c r="B555" s="13"/>
      <c r="C555" s="13"/>
      <c r="D555" s="14"/>
      <c r="E555" s="15"/>
      <c r="F555" s="16"/>
      <c r="G555" s="17"/>
      <c r="H555" s="18" t="n">
        <f aca="false">IF(AND(C555="Yakıt",D555&lt;&gt;""),SUMPRODUCT(MAX(($B$5:$B$1004=B555)*($C$5:$C$1004="Yakıt")*($D$5:$D$1004&lt;D555)*$D$5:$D$1004)),0)</f>
        <v>0</v>
      </c>
      <c r="I555" s="18" t="str">
        <f aca="false">IF(H555&gt;0,D555-H555,"")</f>
        <v/>
      </c>
      <c r="J555" s="19" t="str">
        <f aca="false">IF(OR(I555="",E555=""),"",E555/I555*100)</f>
        <v/>
      </c>
      <c r="K555" s="20" t="str">
        <f aca="false">IF(I555="","",F555/I555)</f>
        <v/>
      </c>
    </row>
    <row r="556" customFormat="false" ht="15" hidden="false" customHeight="false" outlineLevel="0" collapsed="false">
      <c r="A556" s="12"/>
      <c r="B556" s="13"/>
      <c r="C556" s="13"/>
      <c r="D556" s="14"/>
      <c r="E556" s="15"/>
      <c r="F556" s="16"/>
      <c r="G556" s="17"/>
      <c r="H556" s="18" t="n">
        <f aca="false">IF(AND(C556="Yakıt",D556&lt;&gt;""),SUMPRODUCT(MAX(($B$5:$B$1004=B556)*($C$5:$C$1004="Yakıt")*($D$5:$D$1004&lt;D556)*$D$5:$D$1004)),0)</f>
        <v>0</v>
      </c>
      <c r="I556" s="18" t="str">
        <f aca="false">IF(H556&gt;0,D556-H556,"")</f>
        <v/>
      </c>
      <c r="J556" s="19" t="str">
        <f aca="false">IF(OR(I556="",E556=""),"",E556/I556*100)</f>
        <v/>
      </c>
      <c r="K556" s="20" t="str">
        <f aca="false">IF(I556="","",F556/I556)</f>
        <v/>
      </c>
    </row>
    <row r="557" customFormat="false" ht="15" hidden="false" customHeight="false" outlineLevel="0" collapsed="false">
      <c r="A557" s="12"/>
      <c r="B557" s="13"/>
      <c r="C557" s="13"/>
      <c r="D557" s="14"/>
      <c r="E557" s="15"/>
      <c r="F557" s="16"/>
      <c r="G557" s="17"/>
      <c r="H557" s="18" t="n">
        <f aca="false">IF(AND(C557="Yakıt",D557&lt;&gt;""),SUMPRODUCT(MAX(($B$5:$B$1004=B557)*($C$5:$C$1004="Yakıt")*($D$5:$D$1004&lt;D557)*$D$5:$D$1004)),0)</f>
        <v>0</v>
      </c>
      <c r="I557" s="18" t="str">
        <f aca="false">IF(H557&gt;0,D557-H557,"")</f>
        <v/>
      </c>
      <c r="J557" s="19" t="str">
        <f aca="false">IF(OR(I557="",E557=""),"",E557/I557*100)</f>
        <v/>
      </c>
      <c r="K557" s="20" t="str">
        <f aca="false">IF(I557="","",F557/I557)</f>
        <v/>
      </c>
    </row>
    <row r="558" customFormat="false" ht="15" hidden="false" customHeight="false" outlineLevel="0" collapsed="false">
      <c r="A558" s="12"/>
      <c r="B558" s="13"/>
      <c r="C558" s="13"/>
      <c r="D558" s="14"/>
      <c r="E558" s="15"/>
      <c r="F558" s="16"/>
      <c r="G558" s="17"/>
      <c r="H558" s="18" t="n">
        <f aca="false">IF(AND(C558="Yakıt",D558&lt;&gt;""),SUMPRODUCT(MAX(($B$5:$B$1004=B558)*($C$5:$C$1004="Yakıt")*($D$5:$D$1004&lt;D558)*$D$5:$D$1004)),0)</f>
        <v>0</v>
      </c>
      <c r="I558" s="18" t="str">
        <f aca="false">IF(H558&gt;0,D558-H558,"")</f>
        <v/>
      </c>
      <c r="J558" s="19" t="str">
        <f aca="false">IF(OR(I558="",E558=""),"",E558/I558*100)</f>
        <v/>
      </c>
      <c r="K558" s="20" t="str">
        <f aca="false">IF(I558="","",F558/I558)</f>
        <v/>
      </c>
    </row>
    <row r="559" customFormat="false" ht="15" hidden="false" customHeight="false" outlineLevel="0" collapsed="false">
      <c r="A559" s="12"/>
      <c r="B559" s="13"/>
      <c r="C559" s="13"/>
      <c r="D559" s="14"/>
      <c r="E559" s="15"/>
      <c r="F559" s="16"/>
      <c r="G559" s="17"/>
      <c r="H559" s="18" t="n">
        <f aca="false">IF(AND(C559="Yakıt",D559&lt;&gt;""),SUMPRODUCT(MAX(($B$5:$B$1004=B559)*($C$5:$C$1004="Yakıt")*($D$5:$D$1004&lt;D559)*$D$5:$D$1004)),0)</f>
        <v>0</v>
      </c>
      <c r="I559" s="18" t="str">
        <f aca="false">IF(H559&gt;0,D559-H559,"")</f>
        <v/>
      </c>
      <c r="J559" s="19" t="str">
        <f aca="false">IF(OR(I559="",E559=""),"",E559/I559*100)</f>
        <v/>
      </c>
      <c r="K559" s="20" t="str">
        <f aca="false">IF(I559="","",F559/I559)</f>
        <v/>
      </c>
    </row>
    <row r="560" customFormat="false" ht="15" hidden="false" customHeight="false" outlineLevel="0" collapsed="false">
      <c r="A560" s="12"/>
      <c r="B560" s="13"/>
      <c r="C560" s="13"/>
      <c r="D560" s="14"/>
      <c r="E560" s="15"/>
      <c r="F560" s="16"/>
      <c r="G560" s="17"/>
      <c r="H560" s="18" t="n">
        <f aca="false">IF(AND(C560="Yakıt",D560&lt;&gt;""),SUMPRODUCT(MAX(($B$5:$B$1004=B560)*($C$5:$C$1004="Yakıt")*($D$5:$D$1004&lt;D560)*$D$5:$D$1004)),0)</f>
        <v>0</v>
      </c>
      <c r="I560" s="18" t="str">
        <f aca="false">IF(H560&gt;0,D560-H560,"")</f>
        <v/>
      </c>
      <c r="J560" s="19" t="str">
        <f aca="false">IF(OR(I560="",E560=""),"",E560/I560*100)</f>
        <v/>
      </c>
      <c r="K560" s="20" t="str">
        <f aca="false">IF(I560="","",F560/I560)</f>
        <v/>
      </c>
    </row>
    <row r="561" customFormat="false" ht="15" hidden="false" customHeight="false" outlineLevel="0" collapsed="false">
      <c r="A561" s="12"/>
      <c r="B561" s="13"/>
      <c r="C561" s="13"/>
      <c r="D561" s="14"/>
      <c r="E561" s="15"/>
      <c r="F561" s="16"/>
      <c r="G561" s="17"/>
      <c r="H561" s="18" t="n">
        <f aca="false">IF(AND(C561="Yakıt",D561&lt;&gt;""),SUMPRODUCT(MAX(($B$5:$B$1004=B561)*($C$5:$C$1004="Yakıt")*($D$5:$D$1004&lt;D561)*$D$5:$D$1004)),0)</f>
        <v>0</v>
      </c>
      <c r="I561" s="18" t="str">
        <f aca="false">IF(H561&gt;0,D561-H561,"")</f>
        <v/>
      </c>
      <c r="J561" s="19" t="str">
        <f aca="false">IF(OR(I561="",E561=""),"",E561/I561*100)</f>
        <v/>
      </c>
      <c r="K561" s="20" t="str">
        <f aca="false">IF(I561="","",F561/I561)</f>
        <v/>
      </c>
    </row>
    <row r="562" customFormat="false" ht="15" hidden="false" customHeight="false" outlineLevel="0" collapsed="false">
      <c r="A562" s="12"/>
      <c r="B562" s="13"/>
      <c r="C562" s="13"/>
      <c r="D562" s="14"/>
      <c r="E562" s="15"/>
      <c r="F562" s="16"/>
      <c r="G562" s="17"/>
      <c r="H562" s="18" t="n">
        <f aca="false">IF(AND(C562="Yakıt",D562&lt;&gt;""),SUMPRODUCT(MAX(($B$5:$B$1004=B562)*($C$5:$C$1004="Yakıt")*($D$5:$D$1004&lt;D562)*$D$5:$D$1004)),0)</f>
        <v>0</v>
      </c>
      <c r="I562" s="18" t="str">
        <f aca="false">IF(H562&gt;0,D562-H562,"")</f>
        <v/>
      </c>
      <c r="J562" s="19" t="str">
        <f aca="false">IF(OR(I562="",E562=""),"",E562/I562*100)</f>
        <v/>
      </c>
      <c r="K562" s="20" t="str">
        <f aca="false">IF(I562="","",F562/I562)</f>
        <v/>
      </c>
    </row>
    <row r="563" customFormat="false" ht="15" hidden="false" customHeight="false" outlineLevel="0" collapsed="false">
      <c r="A563" s="12"/>
      <c r="B563" s="13"/>
      <c r="C563" s="13"/>
      <c r="D563" s="14"/>
      <c r="E563" s="15"/>
      <c r="F563" s="16"/>
      <c r="G563" s="17"/>
      <c r="H563" s="18" t="n">
        <f aca="false">IF(AND(C563="Yakıt",D563&lt;&gt;""),SUMPRODUCT(MAX(($B$5:$B$1004=B563)*($C$5:$C$1004="Yakıt")*($D$5:$D$1004&lt;D563)*$D$5:$D$1004)),0)</f>
        <v>0</v>
      </c>
      <c r="I563" s="18" t="str">
        <f aca="false">IF(H563&gt;0,D563-H563,"")</f>
        <v/>
      </c>
      <c r="J563" s="19" t="str">
        <f aca="false">IF(OR(I563="",E563=""),"",E563/I563*100)</f>
        <v/>
      </c>
      <c r="K563" s="20" t="str">
        <f aca="false">IF(I563="","",F563/I563)</f>
        <v/>
      </c>
    </row>
    <row r="564" customFormat="false" ht="15" hidden="false" customHeight="false" outlineLevel="0" collapsed="false">
      <c r="A564" s="12"/>
      <c r="B564" s="13"/>
      <c r="C564" s="13"/>
      <c r="D564" s="14"/>
      <c r="E564" s="15"/>
      <c r="F564" s="16"/>
      <c r="G564" s="17"/>
      <c r="H564" s="18" t="n">
        <f aca="false">IF(AND(C564="Yakıt",D564&lt;&gt;""),SUMPRODUCT(MAX(($B$5:$B$1004=B564)*($C$5:$C$1004="Yakıt")*($D$5:$D$1004&lt;D564)*$D$5:$D$1004)),0)</f>
        <v>0</v>
      </c>
      <c r="I564" s="18" t="str">
        <f aca="false">IF(H564&gt;0,D564-H564,"")</f>
        <v/>
      </c>
      <c r="J564" s="19" t="str">
        <f aca="false">IF(OR(I564="",E564=""),"",E564/I564*100)</f>
        <v/>
      </c>
      <c r="K564" s="20" t="str">
        <f aca="false">IF(I564="","",F564/I564)</f>
        <v/>
      </c>
    </row>
    <row r="565" customFormat="false" ht="15" hidden="false" customHeight="false" outlineLevel="0" collapsed="false">
      <c r="A565" s="12"/>
      <c r="B565" s="13"/>
      <c r="C565" s="13"/>
      <c r="D565" s="14"/>
      <c r="E565" s="15"/>
      <c r="F565" s="16"/>
      <c r="G565" s="17"/>
      <c r="H565" s="18" t="n">
        <f aca="false">IF(AND(C565="Yakıt",D565&lt;&gt;""),SUMPRODUCT(MAX(($B$5:$B$1004=B565)*($C$5:$C$1004="Yakıt")*($D$5:$D$1004&lt;D565)*$D$5:$D$1004)),0)</f>
        <v>0</v>
      </c>
      <c r="I565" s="18" t="str">
        <f aca="false">IF(H565&gt;0,D565-H565,"")</f>
        <v/>
      </c>
      <c r="J565" s="19" t="str">
        <f aca="false">IF(OR(I565="",E565=""),"",E565/I565*100)</f>
        <v/>
      </c>
      <c r="K565" s="20" t="str">
        <f aca="false">IF(I565="","",F565/I565)</f>
        <v/>
      </c>
    </row>
    <row r="566" customFormat="false" ht="15" hidden="false" customHeight="false" outlineLevel="0" collapsed="false">
      <c r="A566" s="12"/>
      <c r="B566" s="13"/>
      <c r="C566" s="13"/>
      <c r="D566" s="14"/>
      <c r="E566" s="15"/>
      <c r="F566" s="16"/>
      <c r="G566" s="17"/>
      <c r="H566" s="18" t="n">
        <f aca="false">IF(AND(C566="Yakıt",D566&lt;&gt;""),SUMPRODUCT(MAX(($B$5:$B$1004=B566)*($C$5:$C$1004="Yakıt")*($D$5:$D$1004&lt;D566)*$D$5:$D$1004)),0)</f>
        <v>0</v>
      </c>
      <c r="I566" s="18" t="str">
        <f aca="false">IF(H566&gt;0,D566-H566,"")</f>
        <v/>
      </c>
      <c r="J566" s="19" t="str">
        <f aca="false">IF(OR(I566="",E566=""),"",E566/I566*100)</f>
        <v/>
      </c>
      <c r="K566" s="20" t="str">
        <f aca="false">IF(I566="","",F566/I566)</f>
        <v/>
      </c>
    </row>
    <row r="567" customFormat="false" ht="15" hidden="false" customHeight="false" outlineLevel="0" collapsed="false">
      <c r="A567" s="12"/>
      <c r="B567" s="13"/>
      <c r="C567" s="13"/>
      <c r="D567" s="14"/>
      <c r="E567" s="15"/>
      <c r="F567" s="16"/>
      <c r="G567" s="17"/>
      <c r="H567" s="18" t="n">
        <f aca="false">IF(AND(C567="Yakıt",D567&lt;&gt;""),SUMPRODUCT(MAX(($B$5:$B$1004=B567)*($C$5:$C$1004="Yakıt")*($D$5:$D$1004&lt;D567)*$D$5:$D$1004)),0)</f>
        <v>0</v>
      </c>
      <c r="I567" s="18" t="str">
        <f aca="false">IF(H567&gt;0,D567-H567,"")</f>
        <v/>
      </c>
      <c r="J567" s="19" t="str">
        <f aca="false">IF(OR(I567="",E567=""),"",E567/I567*100)</f>
        <v/>
      </c>
      <c r="K567" s="20" t="str">
        <f aca="false">IF(I567="","",F567/I567)</f>
        <v/>
      </c>
    </row>
    <row r="568" customFormat="false" ht="15" hidden="false" customHeight="false" outlineLevel="0" collapsed="false">
      <c r="A568" s="12"/>
      <c r="B568" s="13"/>
      <c r="C568" s="13"/>
      <c r="D568" s="14"/>
      <c r="E568" s="15"/>
      <c r="F568" s="16"/>
      <c r="G568" s="17"/>
      <c r="H568" s="18" t="n">
        <f aca="false">IF(AND(C568="Yakıt",D568&lt;&gt;""),SUMPRODUCT(MAX(($B$5:$B$1004=B568)*($C$5:$C$1004="Yakıt")*($D$5:$D$1004&lt;D568)*$D$5:$D$1004)),0)</f>
        <v>0</v>
      </c>
      <c r="I568" s="18" t="str">
        <f aca="false">IF(H568&gt;0,D568-H568,"")</f>
        <v/>
      </c>
      <c r="J568" s="19" t="str">
        <f aca="false">IF(OR(I568="",E568=""),"",E568/I568*100)</f>
        <v/>
      </c>
      <c r="K568" s="20" t="str">
        <f aca="false">IF(I568="","",F568/I568)</f>
        <v/>
      </c>
    </row>
    <row r="569" customFormat="false" ht="15" hidden="false" customHeight="false" outlineLevel="0" collapsed="false">
      <c r="A569" s="12"/>
      <c r="B569" s="13"/>
      <c r="C569" s="13"/>
      <c r="D569" s="14"/>
      <c r="E569" s="15"/>
      <c r="F569" s="16"/>
      <c r="G569" s="17"/>
      <c r="H569" s="18" t="n">
        <f aca="false">IF(AND(C569="Yakıt",D569&lt;&gt;""),SUMPRODUCT(MAX(($B$5:$B$1004=B569)*($C$5:$C$1004="Yakıt")*($D$5:$D$1004&lt;D569)*$D$5:$D$1004)),0)</f>
        <v>0</v>
      </c>
      <c r="I569" s="18" t="str">
        <f aca="false">IF(H569&gt;0,D569-H569,"")</f>
        <v/>
      </c>
      <c r="J569" s="19" t="str">
        <f aca="false">IF(OR(I569="",E569=""),"",E569/I569*100)</f>
        <v/>
      </c>
      <c r="K569" s="20" t="str">
        <f aca="false">IF(I569="","",F569/I569)</f>
        <v/>
      </c>
    </row>
    <row r="570" customFormat="false" ht="15" hidden="false" customHeight="false" outlineLevel="0" collapsed="false">
      <c r="A570" s="12"/>
      <c r="B570" s="13"/>
      <c r="C570" s="13"/>
      <c r="D570" s="14"/>
      <c r="E570" s="15"/>
      <c r="F570" s="16"/>
      <c r="G570" s="17"/>
      <c r="H570" s="18" t="n">
        <f aca="false">IF(AND(C570="Yakıt",D570&lt;&gt;""),SUMPRODUCT(MAX(($B$5:$B$1004=B570)*($C$5:$C$1004="Yakıt")*($D$5:$D$1004&lt;D570)*$D$5:$D$1004)),0)</f>
        <v>0</v>
      </c>
      <c r="I570" s="18" t="str">
        <f aca="false">IF(H570&gt;0,D570-H570,"")</f>
        <v/>
      </c>
      <c r="J570" s="19" t="str">
        <f aca="false">IF(OR(I570="",E570=""),"",E570/I570*100)</f>
        <v/>
      </c>
      <c r="K570" s="20" t="str">
        <f aca="false">IF(I570="","",F570/I570)</f>
        <v/>
      </c>
    </row>
    <row r="571" customFormat="false" ht="15" hidden="false" customHeight="false" outlineLevel="0" collapsed="false">
      <c r="A571" s="12"/>
      <c r="B571" s="13"/>
      <c r="C571" s="13"/>
      <c r="D571" s="14"/>
      <c r="E571" s="15"/>
      <c r="F571" s="16"/>
      <c r="G571" s="17"/>
      <c r="H571" s="18" t="n">
        <f aca="false">IF(AND(C571="Yakıt",D571&lt;&gt;""),SUMPRODUCT(MAX(($B$5:$B$1004=B571)*($C$5:$C$1004="Yakıt")*($D$5:$D$1004&lt;D571)*$D$5:$D$1004)),0)</f>
        <v>0</v>
      </c>
      <c r="I571" s="18" t="str">
        <f aca="false">IF(H571&gt;0,D571-H571,"")</f>
        <v/>
      </c>
      <c r="J571" s="19" t="str">
        <f aca="false">IF(OR(I571="",E571=""),"",E571/I571*100)</f>
        <v/>
      </c>
      <c r="K571" s="20" t="str">
        <f aca="false">IF(I571="","",F571/I571)</f>
        <v/>
      </c>
    </row>
    <row r="572" customFormat="false" ht="15" hidden="false" customHeight="false" outlineLevel="0" collapsed="false">
      <c r="A572" s="12"/>
      <c r="B572" s="13"/>
      <c r="C572" s="13"/>
      <c r="D572" s="14"/>
      <c r="E572" s="15"/>
      <c r="F572" s="16"/>
      <c r="G572" s="17"/>
      <c r="H572" s="18" t="n">
        <f aca="false">IF(AND(C572="Yakıt",D572&lt;&gt;""),SUMPRODUCT(MAX(($B$5:$B$1004=B572)*($C$5:$C$1004="Yakıt")*($D$5:$D$1004&lt;D572)*$D$5:$D$1004)),0)</f>
        <v>0</v>
      </c>
      <c r="I572" s="18" t="str">
        <f aca="false">IF(H572&gt;0,D572-H572,"")</f>
        <v/>
      </c>
      <c r="J572" s="19" t="str">
        <f aca="false">IF(OR(I572="",E572=""),"",E572/I572*100)</f>
        <v/>
      </c>
      <c r="K572" s="20" t="str">
        <f aca="false">IF(I572="","",F572/I572)</f>
        <v/>
      </c>
    </row>
    <row r="573" customFormat="false" ht="15" hidden="false" customHeight="false" outlineLevel="0" collapsed="false">
      <c r="A573" s="12"/>
      <c r="B573" s="13"/>
      <c r="C573" s="13"/>
      <c r="D573" s="14"/>
      <c r="E573" s="15"/>
      <c r="F573" s="16"/>
      <c r="G573" s="17"/>
      <c r="H573" s="18" t="n">
        <f aca="false">IF(AND(C573="Yakıt",D573&lt;&gt;""),SUMPRODUCT(MAX(($B$5:$B$1004=B573)*($C$5:$C$1004="Yakıt")*($D$5:$D$1004&lt;D573)*$D$5:$D$1004)),0)</f>
        <v>0</v>
      </c>
      <c r="I573" s="18" t="str">
        <f aca="false">IF(H573&gt;0,D573-H573,"")</f>
        <v/>
      </c>
      <c r="J573" s="19" t="str">
        <f aca="false">IF(OR(I573="",E573=""),"",E573/I573*100)</f>
        <v/>
      </c>
      <c r="K573" s="20" t="str">
        <f aca="false">IF(I573="","",F573/I573)</f>
        <v/>
      </c>
    </row>
    <row r="574" customFormat="false" ht="15" hidden="false" customHeight="false" outlineLevel="0" collapsed="false">
      <c r="A574" s="12"/>
      <c r="B574" s="13"/>
      <c r="C574" s="13"/>
      <c r="D574" s="14"/>
      <c r="E574" s="15"/>
      <c r="F574" s="16"/>
      <c r="G574" s="17"/>
      <c r="H574" s="18" t="n">
        <f aca="false">IF(AND(C574="Yakıt",D574&lt;&gt;""),SUMPRODUCT(MAX(($B$5:$B$1004=B574)*($C$5:$C$1004="Yakıt")*($D$5:$D$1004&lt;D574)*$D$5:$D$1004)),0)</f>
        <v>0</v>
      </c>
      <c r="I574" s="18" t="str">
        <f aca="false">IF(H574&gt;0,D574-H574,"")</f>
        <v/>
      </c>
      <c r="J574" s="19" t="str">
        <f aca="false">IF(OR(I574="",E574=""),"",E574/I574*100)</f>
        <v/>
      </c>
      <c r="K574" s="20" t="str">
        <f aca="false">IF(I574="","",F574/I574)</f>
        <v/>
      </c>
    </row>
    <row r="575" customFormat="false" ht="15" hidden="false" customHeight="false" outlineLevel="0" collapsed="false">
      <c r="A575" s="12"/>
      <c r="B575" s="13"/>
      <c r="C575" s="13"/>
      <c r="D575" s="14"/>
      <c r="E575" s="15"/>
      <c r="F575" s="16"/>
      <c r="G575" s="17"/>
      <c r="H575" s="18" t="n">
        <f aca="false">IF(AND(C575="Yakıt",D575&lt;&gt;""),SUMPRODUCT(MAX(($B$5:$B$1004=B575)*($C$5:$C$1004="Yakıt")*($D$5:$D$1004&lt;D575)*$D$5:$D$1004)),0)</f>
        <v>0</v>
      </c>
      <c r="I575" s="18" t="str">
        <f aca="false">IF(H575&gt;0,D575-H575,"")</f>
        <v/>
      </c>
      <c r="J575" s="19" t="str">
        <f aca="false">IF(OR(I575="",E575=""),"",E575/I575*100)</f>
        <v/>
      </c>
      <c r="K575" s="20" t="str">
        <f aca="false">IF(I575="","",F575/I575)</f>
        <v/>
      </c>
    </row>
    <row r="576" customFormat="false" ht="15" hidden="false" customHeight="false" outlineLevel="0" collapsed="false">
      <c r="A576" s="12"/>
      <c r="B576" s="13"/>
      <c r="C576" s="13"/>
      <c r="D576" s="14"/>
      <c r="E576" s="15"/>
      <c r="F576" s="16"/>
      <c r="G576" s="17"/>
      <c r="H576" s="18" t="n">
        <f aca="false">IF(AND(C576="Yakıt",D576&lt;&gt;""),SUMPRODUCT(MAX(($B$5:$B$1004=B576)*($C$5:$C$1004="Yakıt")*($D$5:$D$1004&lt;D576)*$D$5:$D$1004)),0)</f>
        <v>0</v>
      </c>
      <c r="I576" s="18" t="str">
        <f aca="false">IF(H576&gt;0,D576-H576,"")</f>
        <v/>
      </c>
      <c r="J576" s="19" t="str">
        <f aca="false">IF(OR(I576="",E576=""),"",E576/I576*100)</f>
        <v/>
      </c>
      <c r="K576" s="20" t="str">
        <f aca="false">IF(I576="","",F576/I576)</f>
        <v/>
      </c>
    </row>
    <row r="577" customFormat="false" ht="15" hidden="false" customHeight="false" outlineLevel="0" collapsed="false">
      <c r="A577" s="12"/>
      <c r="B577" s="13"/>
      <c r="C577" s="13"/>
      <c r="D577" s="14"/>
      <c r="E577" s="15"/>
      <c r="F577" s="16"/>
      <c r="G577" s="17"/>
      <c r="H577" s="18" t="n">
        <f aca="false">IF(AND(C577="Yakıt",D577&lt;&gt;""),SUMPRODUCT(MAX(($B$5:$B$1004=B577)*($C$5:$C$1004="Yakıt")*($D$5:$D$1004&lt;D577)*$D$5:$D$1004)),0)</f>
        <v>0</v>
      </c>
      <c r="I577" s="18" t="str">
        <f aca="false">IF(H577&gt;0,D577-H577,"")</f>
        <v/>
      </c>
      <c r="J577" s="19" t="str">
        <f aca="false">IF(OR(I577="",E577=""),"",E577/I577*100)</f>
        <v/>
      </c>
      <c r="K577" s="20" t="str">
        <f aca="false">IF(I577="","",F577/I577)</f>
        <v/>
      </c>
    </row>
    <row r="578" customFormat="false" ht="15" hidden="false" customHeight="false" outlineLevel="0" collapsed="false">
      <c r="A578" s="12"/>
      <c r="B578" s="13"/>
      <c r="C578" s="13"/>
      <c r="D578" s="14"/>
      <c r="E578" s="15"/>
      <c r="F578" s="16"/>
      <c r="G578" s="17"/>
      <c r="H578" s="18" t="n">
        <f aca="false">IF(AND(C578="Yakıt",D578&lt;&gt;""),SUMPRODUCT(MAX(($B$5:$B$1004=B578)*($C$5:$C$1004="Yakıt")*($D$5:$D$1004&lt;D578)*$D$5:$D$1004)),0)</f>
        <v>0</v>
      </c>
      <c r="I578" s="18" t="str">
        <f aca="false">IF(H578&gt;0,D578-H578,"")</f>
        <v/>
      </c>
      <c r="J578" s="19" t="str">
        <f aca="false">IF(OR(I578="",E578=""),"",E578/I578*100)</f>
        <v/>
      </c>
      <c r="K578" s="20" t="str">
        <f aca="false">IF(I578="","",F578/I578)</f>
        <v/>
      </c>
    </row>
    <row r="579" customFormat="false" ht="15" hidden="false" customHeight="false" outlineLevel="0" collapsed="false">
      <c r="A579" s="12"/>
      <c r="B579" s="13"/>
      <c r="C579" s="13"/>
      <c r="D579" s="14"/>
      <c r="E579" s="15"/>
      <c r="F579" s="16"/>
      <c r="G579" s="17"/>
      <c r="H579" s="18" t="n">
        <f aca="false">IF(AND(C579="Yakıt",D579&lt;&gt;""),SUMPRODUCT(MAX(($B$5:$B$1004=B579)*($C$5:$C$1004="Yakıt")*($D$5:$D$1004&lt;D579)*$D$5:$D$1004)),0)</f>
        <v>0</v>
      </c>
      <c r="I579" s="18" t="str">
        <f aca="false">IF(H579&gt;0,D579-H579,"")</f>
        <v/>
      </c>
      <c r="J579" s="19" t="str">
        <f aca="false">IF(OR(I579="",E579=""),"",E579/I579*100)</f>
        <v/>
      </c>
      <c r="K579" s="20" t="str">
        <f aca="false">IF(I579="","",F579/I579)</f>
        <v/>
      </c>
    </row>
    <row r="580" customFormat="false" ht="15" hidden="false" customHeight="false" outlineLevel="0" collapsed="false">
      <c r="A580" s="12"/>
      <c r="B580" s="13"/>
      <c r="C580" s="13"/>
      <c r="D580" s="14"/>
      <c r="E580" s="15"/>
      <c r="F580" s="16"/>
      <c r="G580" s="17"/>
      <c r="H580" s="18" t="n">
        <f aca="false">IF(AND(C580="Yakıt",D580&lt;&gt;""),SUMPRODUCT(MAX(($B$5:$B$1004=B580)*($C$5:$C$1004="Yakıt")*($D$5:$D$1004&lt;D580)*$D$5:$D$1004)),0)</f>
        <v>0</v>
      </c>
      <c r="I580" s="18" t="str">
        <f aca="false">IF(H580&gt;0,D580-H580,"")</f>
        <v/>
      </c>
      <c r="J580" s="19" t="str">
        <f aca="false">IF(OR(I580="",E580=""),"",E580/I580*100)</f>
        <v/>
      </c>
      <c r="K580" s="20" t="str">
        <f aca="false">IF(I580="","",F580/I580)</f>
        <v/>
      </c>
    </row>
    <row r="581" customFormat="false" ht="15" hidden="false" customHeight="false" outlineLevel="0" collapsed="false">
      <c r="A581" s="12"/>
      <c r="B581" s="13"/>
      <c r="C581" s="13"/>
      <c r="D581" s="14"/>
      <c r="E581" s="15"/>
      <c r="F581" s="16"/>
      <c r="G581" s="17"/>
      <c r="H581" s="18" t="n">
        <f aca="false">IF(AND(C581="Yakıt",D581&lt;&gt;""),SUMPRODUCT(MAX(($B$5:$B$1004=B581)*($C$5:$C$1004="Yakıt")*($D$5:$D$1004&lt;D581)*$D$5:$D$1004)),0)</f>
        <v>0</v>
      </c>
      <c r="I581" s="18" t="str">
        <f aca="false">IF(H581&gt;0,D581-H581,"")</f>
        <v/>
      </c>
      <c r="J581" s="19" t="str">
        <f aca="false">IF(OR(I581="",E581=""),"",E581/I581*100)</f>
        <v/>
      </c>
      <c r="K581" s="20" t="str">
        <f aca="false">IF(I581="","",F581/I581)</f>
        <v/>
      </c>
    </row>
    <row r="582" customFormat="false" ht="15" hidden="false" customHeight="false" outlineLevel="0" collapsed="false">
      <c r="A582" s="12"/>
      <c r="B582" s="13"/>
      <c r="C582" s="13"/>
      <c r="D582" s="14"/>
      <c r="E582" s="15"/>
      <c r="F582" s="16"/>
      <c r="G582" s="17"/>
      <c r="H582" s="18" t="n">
        <f aca="false">IF(AND(C582="Yakıt",D582&lt;&gt;""),SUMPRODUCT(MAX(($B$5:$B$1004=B582)*($C$5:$C$1004="Yakıt")*($D$5:$D$1004&lt;D582)*$D$5:$D$1004)),0)</f>
        <v>0</v>
      </c>
      <c r="I582" s="18" t="str">
        <f aca="false">IF(H582&gt;0,D582-H582,"")</f>
        <v/>
      </c>
      <c r="J582" s="19" t="str">
        <f aca="false">IF(OR(I582="",E582=""),"",E582/I582*100)</f>
        <v/>
      </c>
      <c r="K582" s="20" t="str">
        <f aca="false">IF(I582="","",F582/I582)</f>
        <v/>
      </c>
    </row>
    <row r="583" customFormat="false" ht="15" hidden="false" customHeight="false" outlineLevel="0" collapsed="false">
      <c r="A583" s="12"/>
      <c r="B583" s="13"/>
      <c r="C583" s="13"/>
      <c r="D583" s="14"/>
      <c r="E583" s="15"/>
      <c r="F583" s="16"/>
      <c r="G583" s="17"/>
      <c r="H583" s="18" t="n">
        <f aca="false">IF(AND(C583="Yakıt",D583&lt;&gt;""),SUMPRODUCT(MAX(($B$5:$B$1004=B583)*($C$5:$C$1004="Yakıt")*($D$5:$D$1004&lt;D583)*$D$5:$D$1004)),0)</f>
        <v>0</v>
      </c>
      <c r="I583" s="18" t="str">
        <f aca="false">IF(H583&gt;0,D583-H583,"")</f>
        <v/>
      </c>
      <c r="J583" s="19" t="str">
        <f aca="false">IF(OR(I583="",E583=""),"",E583/I583*100)</f>
        <v/>
      </c>
      <c r="K583" s="20" t="str">
        <f aca="false">IF(I583="","",F583/I583)</f>
        <v/>
      </c>
    </row>
    <row r="584" customFormat="false" ht="15" hidden="false" customHeight="false" outlineLevel="0" collapsed="false">
      <c r="A584" s="12"/>
      <c r="B584" s="13"/>
      <c r="C584" s="13"/>
      <c r="D584" s="14"/>
      <c r="E584" s="15"/>
      <c r="F584" s="16"/>
      <c r="G584" s="17"/>
      <c r="H584" s="18" t="n">
        <f aca="false">IF(AND(C584="Yakıt",D584&lt;&gt;""),SUMPRODUCT(MAX(($B$5:$B$1004=B584)*($C$5:$C$1004="Yakıt")*($D$5:$D$1004&lt;D584)*$D$5:$D$1004)),0)</f>
        <v>0</v>
      </c>
      <c r="I584" s="18" t="str">
        <f aca="false">IF(H584&gt;0,D584-H584,"")</f>
        <v/>
      </c>
      <c r="J584" s="19" t="str">
        <f aca="false">IF(OR(I584="",E584=""),"",E584/I584*100)</f>
        <v/>
      </c>
      <c r="K584" s="20" t="str">
        <f aca="false">IF(I584="","",F584/I584)</f>
        <v/>
      </c>
    </row>
    <row r="585" customFormat="false" ht="15" hidden="false" customHeight="false" outlineLevel="0" collapsed="false">
      <c r="A585" s="12"/>
      <c r="B585" s="13"/>
      <c r="C585" s="13"/>
      <c r="D585" s="14"/>
      <c r="E585" s="15"/>
      <c r="F585" s="16"/>
      <c r="G585" s="17"/>
      <c r="H585" s="18" t="n">
        <f aca="false">IF(AND(C585="Yakıt",D585&lt;&gt;""),SUMPRODUCT(MAX(($B$5:$B$1004=B585)*($C$5:$C$1004="Yakıt")*($D$5:$D$1004&lt;D585)*$D$5:$D$1004)),0)</f>
        <v>0</v>
      </c>
      <c r="I585" s="18" t="str">
        <f aca="false">IF(H585&gt;0,D585-H585,"")</f>
        <v/>
      </c>
      <c r="J585" s="19" t="str">
        <f aca="false">IF(OR(I585="",E585=""),"",E585/I585*100)</f>
        <v/>
      </c>
      <c r="K585" s="20" t="str">
        <f aca="false">IF(I585="","",F585/I585)</f>
        <v/>
      </c>
    </row>
    <row r="586" customFormat="false" ht="15" hidden="false" customHeight="false" outlineLevel="0" collapsed="false">
      <c r="A586" s="12"/>
      <c r="B586" s="13"/>
      <c r="C586" s="13"/>
      <c r="D586" s="14"/>
      <c r="E586" s="15"/>
      <c r="F586" s="16"/>
      <c r="G586" s="17"/>
      <c r="H586" s="18" t="n">
        <f aca="false">IF(AND(C586="Yakıt",D586&lt;&gt;""),SUMPRODUCT(MAX(($B$5:$B$1004=B586)*($C$5:$C$1004="Yakıt")*($D$5:$D$1004&lt;D586)*$D$5:$D$1004)),0)</f>
        <v>0</v>
      </c>
      <c r="I586" s="18" t="str">
        <f aca="false">IF(H586&gt;0,D586-H586,"")</f>
        <v/>
      </c>
      <c r="J586" s="19" t="str">
        <f aca="false">IF(OR(I586="",E586=""),"",E586/I586*100)</f>
        <v/>
      </c>
      <c r="K586" s="20" t="str">
        <f aca="false">IF(I586="","",F586/I586)</f>
        <v/>
      </c>
    </row>
    <row r="587" customFormat="false" ht="15" hidden="false" customHeight="false" outlineLevel="0" collapsed="false">
      <c r="A587" s="12"/>
      <c r="B587" s="13"/>
      <c r="C587" s="13"/>
      <c r="D587" s="14"/>
      <c r="E587" s="15"/>
      <c r="F587" s="16"/>
      <c r="G587" s="17"/>
      <c r="H587" s="18" t="n">
        <f aca="false">IF(AND(C587="Yakıt",D587&lt;&gt;""),SUMPRODUCT(MAX(($B$5:$B$1004=B587)*($C$5:$C$1004="Yakıt")*($D$5:$D$1004&lt;D587)*$D$5:$D$1004)),0)</f>
        <v>0</v>
      </c>
      <c r="I587" s="18" t="str">
        <f aca="false">IF(H587&gt;0,D587-H587,"")</f>
        <v/>
      </c>
      <c r="J587" s="19" t="str">
        <f aca="false">IF(OR(I587="",E587=""),"",E587/I587*100)</f>
        <v/>
      </c>
      <c r="K587" s="20" t="str">
        <f aca="false">IF(I587="","",F587/I587)</f>
        <v/>
      </c>
    </row>
    <row r="588" customFormat="false" ht="15" hidden="false" customHeight="false" outlineLevel="0" collapsed="false">
      <c r="A588" s="12"/>
      <c r="B588" s="13"/>
      <c r="C588" s="13"/>
      <c r="D588" s="14"/>
      <c r="E588" s="15"/>
      <c r="F588" s="16"/>
      <c r="G588" s="17"/>
      <c r="H588" s="18" t="n">
        <f aca="false">IF(AND(C588="Yakıt",D588&lt;&gt;""),SUMPRODUCT(MAX(($B$5:$B$1004=B588)*($C$5:$C$1004="Yakıt")*($D$5:$D$1004&lt;D588)*$D$5:$D$1004)),0)</f>
        <v>0</v>
      </c>
      <c r="I588" s="18" t="str">
        <f aca="false">IF(H588&gt;0,D588-H588,"")</f>
        <v/>
      </c>
      <c r="J588" s="19" t="str">
        <f aca="false">IF(OR(I588="",E588=""),"",E588/I588*100)</f>
        <v/>
      </c>
      <c r="K588" s="20" t="str">
        <f aca="false">IF(I588="","",F588/I588)</f>
        <v/>
      </c>
    </row>
    <row r="589" customFormat="false" ht="15" hidden="false" customHeight="false" outlineLevel="0" collapsed="false">
      <c r="A589" s="12"/>
      <c r="B589" s="13"/>
      <c r="C589" s="13"/>
      <c r="D589" s="14"/>
      <c r="E589" s="15"/>
      <c r="F589" s="16"/>
      <c r="G589" s="17"/>
      <c r="H589" s="18" t="n">
        <f aca="false">IF(AND(C589="Yakıt",D589&lt;&gt;""),SUMPRODUCT(MAX(($B$5:$B$1004=B589)*($C$5:$C$1004="Yakıt")*($D$5:$D$1004&lt;D589)*$D$5:$D$1004)),0)</f>
        <v>0</v>
      </c>
      <c r="I589" s="18" t="str">
        <f aca="false">IF(H589&gt;0,D589-H589,"")</f>
        <v/>
      </c>
      <c r="J589" s="19" t="str">
        <f aca="false">IF(OR(I589="",E589=""),"",E589/I589*100)</f>
        <v/>
      </c>
      <c r="K589" s="20" t="str">
        <f aca="false">IF(I589="","",F589/I589)</f>
        <v/>
      </c>
    </row>
    <row r="590" customFormat="false" ht="15" hidden="false" customHeight="false" outlineLevel="0" collapsed="false">
      <c r="A590" s="12"/>
      <c r="B590" s="13"/>
      <c r="C590" s="13"/>
      <c r="D590" s="14"/>
      <c r="E590" s="15"/>
      <c r="F590" s="16"/>
      <c r="G590" s="17"/>
      <c r="H590" s="18" t="n">
        <f aca="false">IF(AND(C590="Yakıt",D590&lt;&gt;""),SUMPRODUCT(MAX(($B$5:$B$1004=B590)*($C$5:$C$1004="Yakıt")*($D$5:$D$1004&lt;D590)*$D$5:$D$1004)),0)</f>
        <v>0</v>
      </c>
      <c r="I590" s="18" t="str">
        <f aca="false">IF(H590&gt;0,D590-H590,"")</f>
        <v/>
      </c>
      <c r="J590" s="19" t="str">
        <f aca="false">IF(OR(I590="",E590=""),"",E590/I590*100)</f>
        <v/>
      </c>
      <c r="K590" s="20" t="str">
        <f aca="false">IF(I590="","",F590/I590)</f>
        <v/>
      </c>
    </row>
    <row r="591" customFormat="false" ht="15" hidden="false" customHeight="false" outlineLevel="0" collapsed="false">
      <c r="A591" s="12"/>
      <c r="B591" s="13"/>
      <c r="C591" s="13"/>
      <c r="D591" s="14"/>
      <c r="E591" s="15"/>
      <c r="F591" s="16"/>
      <c r="G591" s="17"/>
      <c r="H591" s="18" t="n">
        <f aca="false">IF(AND(C591="Yakıt",D591&lt;&gt;""),SUMPRODUCT(MAX(($B$5:$B$1004=B591)*($C$5:$C$1004="Yakıt")*($D$5:$D$1004&lt;D591)*$D$5:$D$1004)),0)</f>
        <v>0</v>
      </c>
      <c r="I591" s="18" t="str">
        <f aca="false">IF(H591&gt;0,D591-H591,"")</f>
        <v/>
      </c>
      <c r="J591" s="19" t="str">
        <f aca="false">IF(OR(I591="",E591=""),"",E591/I591*100)</f>
        <v/>
      </c>
      <c r="K591" s="20" t="str">
        <f aca="false">IF(I591="","",F591/I591)</f>
        <v/>
      </c>
    </row>
    <row r="592" customFormat="false" ht="15" hidden="false" customHeight="false" outlineLevel="0" collapsed="false">
      <c r="A592" s="12"/>
      <c r="B592" s="13"/>
      <c r="C592" s="13"/>
      <c r="D592" s="14"/>
      <c r="E592" s="15"/>
      <c r="F592" s="16"/>
      <c r="G592" s="17"/>
      <c r="H592" s="18" t="n">
        <f aca="false">IF(AND(C592="Yakıt",D592&lt;&gt;""),SUMPRODUCT(MAX(($B$5:$B$1004=B592)*($C$5:$C$1004="Yakıt")*($D$5:$D$1004&lt;D592)*$D$5:$D$1004)),0)</f>
        <v>0</v>
      </c>
      <c r="I592" s="18" t="str">
        <f aca="false">IF(H592&gt;0,D592-H592,"")</f>
        <v/>
      </c>
      <c r="J592" s="19" t="str">
        <f aca="false">IF(OR(I592="",E592=""),"",E592/I592*100)</f>
        <v/>
      </c>
      <c r="K592" s="20" t="str">
        <f aca="false">IF(I592="","",F592/I592)</f>
        <v/>
      </c>
    </row>
    <row r="593" customFormat="false" ht="15" hidden="false" customHeight="false" outlineLevel="0" collapsed="false">
      <c r="A593" s="12"/>
      <c r="B593" s="13"/>
      <c r="C593" s="13"/>
      <c r="D593" s="14"/>
      <c r="E593" s="15"/>
      <c r="F593" s="16"/>
      <c r="G593" s="17"/>
      <c r="H593" s="18" t="n">
        <f aca="false">IF(AND(C593="Yakıt",D593&lt;&gt;""),SUMPRODUCT(MAX(($B$5:$B$1004=B593)*($C$5:$C$1004="Yakıt")*($D$5:$D$1004&lt;D593)*$D$5:$D$1004)),0)</f>
        <v>0</v>
      </c>
      <c r="I593" s="18" t="str">
        <f aca="false">IF(H593&gt;0,D593-H593,"")</f>
        <v/>
      </c>
      <c r="J593" s="19" t="str">
        <f aca="false">IF(OR(I593="",E593=""),"",E593/I593*100)</f>
        <v/>
      </c>
      <c r="K593" s="20" t="str">
        <f aca="false">IF(I593="","",F593/I593)</f>
        <v/>
      </c>
    </row>
    <row r="594" customFormat="false" ht="15" hidden="false" customHeight="false" outlineLevel="0" collapsed="false">
      <c r="A594" s="12"/>
      <c r="B594" s="13"/>
      <c r="C594" s="13"/>
      <c r="D594" s="14"/>
      <c r="E594" s="15"/>
      <c r="F594" s="16"/>
      <c r="G594" s="17"/>
      <c r="H594" s="18" t="n">
        <f aca="false">IF(AND(C594="Yakıt",D594&lt;&gt;""),SUMPRODUCT(MAX(($B$5:$B$1004=B594)*($C$5:$C$1004="Yakıt")*($D$5:$D$1004&lt;D594)*$D$5:$D$1004)),0)</f>
        <v>0</v>
      </c>
      <c r="I594" s="18" t="str">
        <f aca="false">IF(H594&gt;0,D594-H594,"")</f>
        <v/>
      </c>
      <c r="J594" s="19" t="str">
        <f aca="false">IF(OR(I594="",E594=""),"",E594/I594*100)</f>
        <v/>
      </c>
      <c r="K594" s="20" t="str">
        <f aca="false">IF(I594="","",F594/I594)</f>
        <v/>
      </c>
    </row>
    <row r="595" customFormat="false" ht="15" hidden="false" customHeight="false" outlineLevel="0" collapsed="false">
      <c r="A595" s="12"/>
      <c r="B595" s="13"/>
      <c r="C595" s="13"/>
      <c r="D595" s="14"/>
      <c r="E595" s="15"/>
      <c r="F595" s="16"/>
      <c r="G595" s="17"/>
      <c r="H595" s="18" t="n">
        <f aca="false">IF(AND(C595="Yakıt",D595&lt;&gt;""),SUMPRODUCT(MAX(($B$5:$B$1004=B595)*($C$5:$C$1004="Yakıt")*($D$5:$D$1004&lt;D595)*$D$5:$D$1004)),0)</f>
        <v>0</v>
      </c>
      <c r="I595" s="18" t="str">
        <f aca="false">IF(H595&gt;0,D595-H595,"")</f>
        <v/>
      </c>
      <c r="J595" s="19" t="str">
        <f aca="false">IF(OR(I595="",E595=""),"",E595/I595*100)</f>
        <v/>
      </c>
      <c r="K595" s="20" t="str">
        <f aca="false">IF(I595="","",F595/I595)</f>
        <v/>
      </c>
    </row>
    <row r="596" customFormat="false" ht="15" hidden="false" customHeight="false" outlineLevel="0" collapsed="false">
      <c r="A596" s="12"/>
      <c r="B596" s="13"/>
      <c r="C596" s="13"/>
      <c r="D596" s="14"/>
      <c r="E596" s="15"/>
      <c r="F596" s="16"/>
      <c r="G596" s="17"/>
      <c r="H596" s="18" t="n">
        <f aca="false">IF(AND(C596="Yakıt",D596&lt;&gt;""),SUMPRODUCT(MAX(($B$5:$B$1004=B596)*($C$5:$C$1004="Yakıt")*($D$5:$D$1004&lt;D596)*$D$5:$D$1004)),0)</f>
        <v>0</v>
      </c>
      <c r="I596" s="18" t="str">
        <f aca="false">IF(H596&gt;0,D596-H596,"")</f>
        <v/>
      </c>
      <c r="J596" s="19" t="str">
        <f aca="false">IF(OR(I596="",E596=""),"",E596/I596*100)</f>
        <v/>
      </c>
      <c r="K596" s="20" t="str">
        <f aca="false">IF(I596="","",F596/I596)</f>
        <v/>
      </c>
    </row>
    <row r="597" customFormat="false" ht="15" hidden="false" customHeight="false" outlineLevel="0" collapsed="false">
      <c r="A597" s="12"/>
      <c r="B597" s="13"/>
      <c r="C597" s="13"/>
      <c r="D597" s="14"/>
      <c r="E597" s="15"/>
      <c r="F597" s="16"/>
      <c r="G597" s="17"/>
      <c r="H597" s="18" t="n">
        <f aca="false">IF(AND(C597="Yakıt",D597&lt;&gt;""),SUMPRODUCT(MAX(($B$5:$B$1004=B597)*($C$5:$C$1004="Yakıt")*($D$5:$D$1004&lt;D597)*$D$5:$D$1004)),0)</f>
        <v>0</v>
      </c>
      <c r="I597" s="18" t="str">
        <f aca="false">IF(H597&gt;0,D597-H597,"")</f>
        <v/>
      </c>
      <c r="J597" s="19" t="str">
        <f aca="false">IF(OR(I597="",E597=""),"",E597/I597*100)</f>
        <v/>
      </c>
      <c r="K597" s="20" t="str">
        <f aca="false">IF(I597="","",F597/I597)</f>
        <v/>
      </c>
    </row>
    <row r="598" customFormat="false" ht="15" hidden="false" customHeight="false" outlineLevel="0" collapsed="false">
      <c r="A598" s="12"/>
      <c r="B598" s="13"/>
      <c r="C598" s="13"/>
      <c r="D598" s="14"/>
      <c r="E598" s="15"/>
      <c r="F598" s="16"/>
      <c r="G598" s="17"/>
      <c r="H598" s="18" t="n">
        <f aca="false">IF(AND(C598="Yakıt",D598&lt;&gt;""),SUMPRODUCT(MAX(($B$5:$B$1004=B598)*($C$5:$C$1004="Yakıt")*($D$5:$D$1004&lt;D598)*$D$5:$D$1004)),0)</f>
        <v>0</v>
      </c>
      <c r="I598" s="18" t="str">
        <f aca="false">IF(H598&gt;0,D598-H598,"")</f>
        <v/>
      </c>
      <c r="J598" s="19" t="str">
        <f aca="false">IF(OR(I598="",E598=""),"",E598/I598*100)</f>
        <v/>
      </c>
      <c r="K598" s="20" t="str">
        <f aca="false">IF(I598="","",F598/I598)</f>
        <v/>
      </c>
    </row>
    <row r="599" customFormat="false" ht="15" hidden="false" customHeight="false" outlineLevel="0" collapsed="false">
      <c r="A599" s="12"/>
      <c r="B599" s="13"/>
      <c r="C599" s="13"/>
      <c r="D599" s="14"/>
      <c r="E599" s="15"/>
      <c r="F599" s="16"/>
      <c r="G599" s="17"/>
      <c r="H599" s="18" t="n">
        <f aca="false">IF(AND(C599="Yakıt",D599&lt;&gt;""),SUMPRODUCT(MAX(($B$5:$B$1004=B599)*($C$5:$C$1004="Yakıt")*($D$5:$D$1004&lt;D599)*$D$5:$D$1004)),0)</f>
        <v>0</v>
      </c>
      <c r="I599" s="18" t="str">
        <f aca="false">IF(H599&gt;0,D599-H599,"")</f>
        <v/>
      </c>
      <c r="J599" s="19" t="str">
        <f aca="false">IF(OR(I599="",E599=""),"",E599/I599*100)</f>
        <v/>
      </c>
      <c r="K599" s="20" t="str">
        <f aca="false">IF(I599="","",F599/I599)</f>
        <v/>
      </c>
    </row>
    <row r="600" customFormat="false" ht="15" hidden="false" customHeight="false" outlineLevel="0" collapsed="false">
      <c r="A600" s="12"/>
      <c r="B600" s="13"/>
      <c r="C600" s="13"/>
      <c r="D600" s="14"/>
      <c r="E600" s="15"/>
      <c r="F600" s="16"/>
      <c r="G600" s="17"/>
      <c r="H600" s="18" t="n">
        <f aca="false">IF(AND(C600="Yakıt",D600&lt;&gt;""),SUMPRODUCT(MAX(($B$5:$B$1004=B600)*($C$5:$C$1004="Yakıt")*($D$5:$D$1004&lt;D600)*$D$5:$D$1004)),0)</f>
        <v>0</v>
      </c>
      <c r="I600" s="18" t="str">
        <f aca="false">IF(H600&gt;0,D600-H600,"")</f>
        <v/>
      </c>
      <c r="J600" s="19" t="str">
        <f aca="false">IF(OR(I600="",E600=""),"",E600/I600*100)</f>
        <v/>
      </c>
      <c r="K600" s="20" t="str">
        <f aca="false">IF(I600="","",F600/I600)</f>
        <v/>
      </c>
    </row>
    <row r="601" customFormat="false" ht="15" hidden="false" customHeight="false" outlineLevel="0" collapsed="false">
      <c r="A601" s="12"/>
      <c r="B601" s="13"/>
      <c r="C601" s="13"/>
      <c r="D601" s="14"/>
      <c r="E601" s="15"/>
      <c r="F601" s="16"/>
      <c r="G601" s="17"/>
      <c r="H601" s="18" t="n">
        <f aca="false">IF(AND(C601="Yakıt",D601&lt;&gt;""),SUMPRODUCT(MAX(($B$5:$B$1004=B601)*($C$5:$C$1004="Yakıt")*($D$5:$D$1004&lt;D601)*$D$5:$D$1004)),0)</f>
        <v>0</v>
      </c>
      <c r="I601" s="18" t="str">
        <f aca="false">IF(H601&gt;0,D601-H601,"")</f>
        <v/>
      </c>
      <c r="J601" s="19" t="str">
        <f aca="false">IF(OR(I601="",E601=""),"",E601/I601*100)</f>
        <v/>
      </c>
      <c r="K601" s="20" t="str">
        <f aca="false">IF(I601="","",F601/I601)</f>
        <v/>
      </c>
    </row>
    <row r="602" customFormat="false" ht="15" hidden="false" customHeight="false" outlineLevel="0" collapsed="false">
      <c r="A602" s="12"/>
      <c r="B602" s="13"/>
      <c r="C602" s="13"/>
      <c r="D602" s="14"/>
      <c r="E602" s="15"/>
      <c r="F602" s="16"/>
      <c r="G602" s="17"/>
      <c r="H602" s="18" t="n">
        <f aca="false">IF(AND(C602="Yakıt",D602&lt;&gt;""),SUMPRODUCT(MAX(($B$5:$B$1004=B602)*($C$5:$C$1004="Yakıt")*($D$5:$D$1004&lt;D602)*$D$5:$D$1004)),0)</f>
        <v>0</v>
      </c>
      <c r="I602" s="18" t="str">
        <f aca="false">IF(H602&gt;0,D602-H602,"")</f>
        <v/>
      </c>
      <c r="J602" s="19" t="str">
        <f aca="false">IF(OR(I602="",E602=""),"",E602/I602*100)</f>
        <v/>
      </c>
      <c r="K602" s="20" t="str">
        <f aca="false">IF(I602="","",F602/I602)</f>
        <v/>
      </c>
    </row>
    <row r="603" customFormat="false" ht="15" hidden="false" customHeight="false" outlineLevel="0" collapsed="false">
      <c r="A603" s="12"/>
      <c r="B603" s="13"/>
      <c r="C603" s="13"/>
      <c r="D603" s="14"/>
      <c r="E603" s="15"/>
      <c r="F603" s="16"/>
      <c r="G603" s="17"/>
      <c r="H603" s="18" t="n">
        <f aca="false">IF(AND(C603="Yakıt",D603&lt;&gt;""),SUMPRODUCT(MAX(($B$5:$B$1004=B603)*($C$5:$C$1004="Yakıt")*($D$5:$D$1004&lt;D603)*$D$5:$D$1004)),0)</f>
        <v>0</v>
      </c>
      <c r="I603" s="18" t="str">
        <f aca="false">IF(H603&gt;0,D603-H603,"")</f>
        <v/>
      </c>
      <c r="J603" s="19" t="str">
        <f aca="false">IF(OR(I603="",E603=""),"",E603/I603*100)</f>
        <v/>
      </c>
      <c r="K603" s="20" t="str">
        <f aca="false">IF(I603="","",F603/I603)</f>
        <v/>
      </c>
    </row>
    <row r="604" customFormat="false" ht="15" hidden="false" customHeight="false" outlineLevel="0" collapsed="false">
      <c r="A604" s="12"/>
      <c r="B604" s="13"/>
      <c r="C604" s="13"/>
      <c r="D604" s="14"/>
      <c r="E604" s="15"/>
      <c r="F604" s="16"/>
      <c r="G604" s="17"/>
      <c r="H604" s="18" t="n">
        <f aca="false">IF(AND(C604="Yakıt",D604&lt;&gt;""),SUMPRODUCT(MAX(($B$5:$B$1004=B604)*($C$5:$C$1004="Yakıt")*($D$5:$D$1004&lt;D604)*$D$5:$D$1004)),0)</f>
        <v>0</v>
      </c>
      <c r="I604" s="18" t="str">
        <f aca="false">IF(H604&gt;0,D604-H604,"")</f>
        <v/>
      </c>
      <c r="J604" s="19" t="str">
        <f aca="false">IF(OR(I604="",E604=""),"",E604/I604*100)</f>
        <v/>
      </c>
      <c r="K604" s="20" t="str">
        <f aca="false">IF(I604="","",F604/I604)</f>
        <v/>
      </c>
    </row>
    <row r="605" customFormat="false" ht="15" hidden="false" customHeight="false" outlineLevel="0" collapsed="false">
      <c r="A605" s="12"/>
      <c r="B605" s="13"/>
      <c r="C605" s="13"/>
      <c r="D605" s="14"/>
      <c r="E605" s="15"/>
      <c r="F605" s="16"/>
      <c r="G605" s="17"/>
      <c r="H605" s="18" t="n">
        <f aca="false">IF(AND(C605="Yakıt",D605&lt;&gt;""),SUMPRODUCT(MAX(($B$5:$B$1004=B605)*($C$5:$C$1004="Yakıt")*($D$5:$D$1004&lt;D605)*$D$5:$D$1004)),0)</f>
        <v>0</v>
      </c>
      <c r="I605" s="18" t="str">
        <f aca="false">IF(H605&gt;0,D605-H605,"")</f>
        <v/>
      </c>
      <c r="J605" s="19" t="str">
        <f aca="false">IF(OR(I605="",E605=""),"",E605/I605*100)</f>
        <v/>
      </c>
      <c r="K605" s="20" t="str">
        <f aca="false">IF(I605="","",F605/I605)</f>
        <v/>
      </c>
    </row>
    <row r="606" customFormat="false" ht="15" hidden="false" customHeight="false" outlineLevel="0" collapsed="false">
      <c r="A606" s="12"/>
      <c r="B606" s="13"/>
      <c r="C606" s="13"/>
      <c r="D606" s="14"/>
      <c r="E606" s="15"/>
      <c r="F606" s="16"/>
      <c r="G606" s="17"/>
      <c r="H606" s="18" t="n">
        <f aca="false">IF(AND(C606="Yakıt",D606&lt;&gt;""),SUMPRODUCT(MAX(($B$5:$B$1004=B606)*($C$5:$C$1004="Yakıt")*($D$5:$D$1004&lt;D606)*$D$5:$D$1004)),0)</f>
        <v>0</v>
      </c>
      <c r="I606" s="18" t="str">
        <f aca="false">IF(H606&gt;0,D606-H606,"")</f>
        <v/>
      </c>
      <c r="J606" s="19" t="str">
        <f aca="false">IF(OR(I606="",E606=""),"",E606/I606*100)</f>
        <v/>
      </c>
      <c r="K606" s="20" t="str">
        <f aca="false">IF(I606="","",F606/I606)</f>
        <v/>
      </c>
    </row>
    <row r="607" customFormat="false" ht="15" hidden="false" customHeight="false" outlineLevel="0" collapsed="false">
      <c r="A607" s="12"/>
      <c r="B607" s="13"/>
      <c r="C607" s="13"/>
      <c r="D607" s="14"/>
      <c r="E607" s="15"/>
      <c r="F607" s="16"/>
      <c r="G607" s="17"/>
      <c r="H607" s="18" t="n">
        <f aca="false">IF(AND(C607="Yakıt",D607&lt;&gt;""),SUMPRODUCT(MAX(($B$5:$B$1004=B607)*($C$5:$C$1004="Yakıt")*($D$5:$D$1004&lt;D607)*$D$5:$D$1004)),0)</f>
        <v>0</v>
      </c>
      <c r="I607" s="18" t="str">
        <f aca="false">IF(H607&gt;0,D607-H607,"")</f>
        <v/>
      </c>
      <c r="J607" s="19" t="str">
        <f aca="false">IF(OR(I607="",E607=""),"",E607/I607*100)</f>
        <v/>
      </c>
      <c r="K607" s="20" t="str">
        <f aca="false">IF(I607="","",F607/I607)</f>
        <v/>
      </c>
    </row>
    <row r="608" customFormat="false" ht="15" hidden="false" customHeight="false" outlineLevel="0" collapsed="false">
      <c r="A608" s="12"/>
      <c r="B608" s="13"/>
      <c r="C608" s="13"/>
      <c r="D608" s="14"/>
      <c r="E608" s="15"/>
      <c r="F608" s="16"/>
      <c r="G608" s="17"/>
      <c r="H608" s="18" t="n">
        <f aca="false">IF(AND(C608="Yakıt",D608&lt;&gt;""),SUMPRODUCT(MAX(($B$5:$B$1004=B608)*($C$5:$C$1004="Yakıt")*($D$5:$D$1004&lt;D608)*$D$5:$D$1004)),0)</f>
        <v>0</v>
      </c>
      <c r="I608" s="18" t="str">
        <f aca="false">IF(H608&gt;0,D608-H608,"")</f>
        <v/>
      </c>
      <c r="J608" s="19" t="str">
        <f aca="false">IF(OR(I608="",E608=""),"",E608/I608*100)</f>
        <v/>
      </c>
      <c r="K608" s="20" t="str">
        <f aca="false">IF(I608="","",F608/I608)</f>
        <v/>
      </c>
    </row>
    <row r="609" customFormat="false" ht="15" hidden="false" customHeight="false" outlineLevel="0" collapsed="false">
      <c r="A609" s="12"/>
      <c r="B609" s="13"/>
      <c r="C609" s="13"/>
      <c r="D609" s="14"/>
      <c r="E609" s="15"/>
      <c r="F609" s="16"/>
      <c r="G609" s="17"/>
      <c r="H609" s="18" t="n">
        <f aca="false">IF(AND(C609="Yakıt",D609&lt;&gt;""),SUMPRODUCT(MAX(($B$5:$B$1004=B609)*($C$5:$C$1004="Yakıt")*($D$5:$D$1004&lt;D609)*$D$5:$D$1004)),0)</f>
        <v>0</v>
      </c>
      <c r="I609" s="18" t="str">
        <f aca="false">IF(H609&gt;0,D609-H609,"")</f>
        <v/>
      </c>
      <c r="J609" s="19" t="str">
        <f aca="false">IF(OR(I609="",E609=""),"",E609/I609*100)</f>
        <v/>
      </c>
      <c r="K609" s="20" t="str">
        <f aca="false">IF(I609="","",F609/I609)</f>
        <v/>
      </c>
    </row>
    <row r="610" customFormat="false" ht="15" hidden="false" customHeight="false" outlineLevel="0" collapsed="false">
      <c r="A610" s="12"/>
      <c r="B610" s="13"/>
      <c r="C610" s="13"/>
      <c r="D610" s="14"/>
      <c r="E610" s="15"/>
      <c r="F610" s="16"/>
      <c r="G610" s="17"/>
      <c r="H610" s="18" t="n">
        <f aca="false">IF(AND(C610="Yakıt",D610&lt;&gt;""),SUMPRODUCT(MAX(($B$5:$B$1004=B610)*($C$5:$C$1004="Yakıt")*($D$5:$D$1004&lt;D610)*$D$5:$D$1004)),0)</f>
        <v>0</v>
      </c>
      <c r="I610" s="18" t="str">
        <f aca="false">IF(H610&gt;0,D610-H610,"")</f>
        <v/>
      </c>
      <c r="J610" s="19" t="str">
        <f aca="false">IF(OR(I610="",E610=""),"",E610/I610*100)</f>
        <v/>
      </c>
      <c r="K610" s="20" t="str">
        <f aca="false">IF(I610="","",F610/I610)</f>
        <v/>
      </c>
    </row>
    <row r="611" customFormat="false" ht="15" hidden="false" customHeight="false" outlineLevel="0" collapsed="false">
      <c r="A611" s="12"/>
      <c r="B611" s="13"/>
      <c r="C611" s="13"/>
      <c r="D611" s="14"/>
      <c r="E611" s="15"/>
      <c r="F611" s="16"/>
      <c r="G611" s="17"/>
      <c r="H611" s="18" t="n">
        <f aca="false">IF(AND(C611="Yakıt",D611&lt;&gt;""),SUMPRODUCT(MAX(($B$5:$B$1004=B611)*($C$5:$C$1004="Yakıt")*($D$5:$D$1004&lt;D611)*$D$5:$D$1004)),0)</f>
        <v>0</v>
      </c>
      <c r="I611" s="18" t="str">
        <f aca="false">IF(H611&gt;0,D611-H611,"")</f>
        <v/>
      </c>
      <c r="J611" s="19" t="str">
        <f aca="false">IF(OR(I611="",E611=""),"",E611/I611*100)</f>
        <v/>
      </c>
      <c r="K611" s="20" t="str">
        <f aca="false">IF(I611="","",F611/I611)</f>
        <v/>
      </c>
    </row>
    <row r="612" customFormat="false" ht="15" hidden="false" customHeight="false" outlineLevel="0" collapsed="false">
      <c r="A612" s="12"/>
      <c r="B612" s="13"/>
      <c r="C612" s="13"/>
      <c r="D612" s="14"/>
      <c r="E612" s="15"/>
      <c r="F612" s="16"/>
      <c r="G612" s="17"/>
      <c r="H612" s="18" t="n">
        <f aca="false">IF(AND(C612="Yakıt",D612&lt;&gt;""),SUMPRODUCT(MAX(($B$5:$B$1004=B612)*($C$5:$C$1004="Yakıt")*($D$5:$D$1004&lt;D612)*$D$5:$D$1004)),0)</f>
        <v>0</v>
      </c>
      <c r="I612" s="18" t="str">
        <f aca="false">IF(H612&gt;0,D612-H612,"")</f>
        <v/>
      </c>
      <c r="J612" s="19" t="str">
        <f aca="false">IF(OR(I612="",E612=""),"",E612/I612*100)</f>
        <v/>
      </c>
      <c r="K612" s="20" t="str">
        <f aca="false">IF(I612="","",F612/I612)</f>
        <v/>
      </c>
    </row>
    <row r="613" customFormat="false" ht="15" hidden="false" customHeight="false" outlineLevel="0" collapsed="false">
      <c r="A613" s="12"/>
      <c r="B613" s="13"/>
      <c r="C613" s="13"/>
      <c r="D613" s="14"/>
      <c r="E613" s="15"/>
      <c r="F613" s="16"/>
      <c r="G613" s="17"/>
      <c r="H613" s="18" t="n">
        <f aca="false">IF(AND(C613="Yakıt",D613&lt;&gt;""),SUMPRODUCT(MAX(($B$5:$B$1004=B613)*($C$5:$C$1004="Yakıt")*($D$5:$D$1004&lt;D613)*$D$5:$D$1004)),0)</f>
        <v>0</v>
      </c>
      <c r="I613" s="18" t="str">
        <f aca="false">IF(H613&gt;0,D613-H613,"")</f>
        <v/>
      </c>
      <c r="J613" s="19" t="str">
        <f aca="false">IF(OR(I613="",E613=""),"",E613/I613*100)</f>
        <v/>
      </c>
      <c r="K613" s="20" t="str">
        <f aca="false">IF(I613="","",F613/I613)</f>
        <v/>
      </c>
    </row>
    <row r="614" customFormat="false" ht="15" hidden="false" customHeight="false" outlineLevel="0" collapsed="false">
      <c r="A614" s="12"/>
      <c r="B614" s="13"/>
      <c r="C614" s="13"/>
      <c r="D614" s="14"/>
      <c r="E614" s="15"/>
      <c r="F614" s="16"/>
      <c r="G614" s="17"/>
      <c r="H614" s="18" t="n">
        <f aca="false">IF(AND(C614="Yakıt",D614&lt;&gt;""),SUMPRODUCT(MAX(($B$5:$B$1004=B614)*($C$5:$C$1004="Yakıt")*($D$5:$D$1004&lt;D614)*$D$5:$D$1004)),0)</f>
        <v>0</v>
      </c>
      <c r="I614" s="18" t="str">
        <f aca="false">IF(H614&gt;0,D614-H614,"")</f>
        <v/>
      </c>
      <c r="J614" s="19" t="str">
        <f aca="false">IF(OR(I614="",E614=""),"",E614/I614*100)</f>
        <v/>
      </c>
      <c r="K614" s="20" t="str">
        <f aca="false">IF(I614="","",F614/I614)</f>
        <v/>
      </c>
    </row>
    <row r="615" customFormat="false" ht="15" hidden="false" customHeight="false" outlineLevel="0" collapsed="false">
      <c r="A615" s="12"/>
      <c r="B615" s="13"/>
      <c r="C615" s="13"/>
      <c r="D615" s="14"/>
      <c r="E615" s="15"/>
      <c r="F615" s="16"/>
      <c r="G615" s="17"/>
      <c r="H615" s="18" t="n">
        <f aca="false">IF(AND(C615="Yakıt",D615&lt;&gt;""),SUMPRODUCT(MAX(($B$5:$B$1004=B615)*($C$5:$C$1004="Yakıt")*($D$5:$D$1004&lt;D615)*$D$5:$D$1004)),0)</f>
        <v>0</v>
      </c>
      <c r="I615" s="18" t="str">
        <f aca="false">IF(H615&gt;0,D615-H615,"")</f>
        <v/>
      </c>
      <c r="J615" s="19" t="str">
        <f aca="false">IF(OR(I615="",E615=""),"",E615/I615*100)</f>
        <v/>
      </c>
      <c r="K615" s="20" t="str">
        <f aca="false">IF(I615="","",F615/I615)</f>
        <v/>
      </c>
    </row>
    <row r="616" customFormat="false" ht="15" hidden="false" customHeight="false" outlineLevel="0" collapsed="false">
      <c r="A616" s="12"/>
      <c r="B616" s="13"/>
      <c r="C616" s="13"/>
      <c r="D616" s="14"/>
      <c r="E616" s="15"/>
      <c r="F616" s="16"/>
      <c r="G616" s="17"/>
      <c r="H616" s="18" t="n">
        <f aca="false">IF(AND(C616="Yakıt",D616&lt;&gt;""),SUMPRODUCT(MAX(($B$5:$B$1004=B616)*($C$5:$C$1004="Yakıt")*($D$5:$D$1004&lt;D616)*$D$5:$D$1004)),0)</f>
        <v>0</v>
      </c>
      <c r="I616" s="18" t="str">
        <f aca="false">IF(H616&gt;0,D616-H616,"")</f>
        <v/>
      </c>
      <c r="J616" s="19" t="str">
        <f aca="false">IF(OR(I616="",E616=""),"",E616/I616*100)</f>
        <v/>
      </c>
      <c r="K616" s="20" t="str">
        <f aca="false">IF(I616="","",F616/I616)</f>
        <v/>
      </c>
    </row>
    <row r="617" customFormat="false" ht="15" hidden="false" customHeight="false" outlineLevel="0" collapsed="false">
      <c r="A617" s="12"/>
      <c r="B617" s="13"/>
      <c r="C617" s="13"/>
      <c r="D617" s="14"/>
      <c r="E617" s="15"/>
      <c r="F617" s="16"/>
      <c r="G617" s="17"/>
      <c r="H617" s="18" t="n">
        <f aca="false">IF(AND(C617="Yakıt",D617&lt;&gt;""),SUMPRODUCT(MAX(($B$5:$B$1004=B617)*($C$5:$C$1004="Yakıt")*($D$5:$D$1004&lt;D617)*$D$5:$D$1004)),0)</f>
        <v>0</v>
      </c>
      <c r="I617" s="18" t="str">
        <f aca="false">IF(H617&gt;0,D617-H617,"")</f>
        <v/>
      </c>
      <c r="J617" s="19" t="str">
        <f aca="false">IF(OR(I617="",E617=""),"",E617/I617*100)</f>
        <v/>
      </c>
      <c r="K617" s="20" t="str">
        <f aca="false">IF(I617="","",F617/I617)</f>
        <v/>
      </c>
    </row>
    <row r="618" customFormat="false" ht="15" hidden="false" customHeight="false" outlineLevel="0" collapsed="false">
      <c r="A618" s="12"/>
      <c r="B618" s="13"/>
      <c r="C618" s="13"/>
      <c r="D618" s="14"/>
      <c r="E618" s="15"/>
      <c r="F618" s="16"/>
      <c r="G618" s="17"/>
      <c r="H618" s="18" t="n">
        <f aca="false">IF(AND(C618="Yakıt",D618&lt;&gt;""),SUMPRODUCT(MAX(($B$5:$B$1004=B618)*($C$5:$C$1004="Yakıt")*($D$5:$D$1004&lt;D618)*$D$5:$D$1004)),0)</f>
        <v>0</v>
      </c>
      <c r="I618" s="18" t="str">
        <f aca="false">IF(H618&gt;0,D618-H618,"")</f>
        <v/>
      </c>
      <c r="J618" s="19" t="str">
        <f aca="false">IF(OR(I618="",E618=""),"",E618/I618*100)</f>
        <v/>
      </c>
      <c r="K618" s="20" t="str">
        <f aca="false">IF(I618="","",F618/I618)</f>
        <v/>
      </c>
    </row>
    <row r="619" customFormat="false" ht="15" hidden="false" customHeight="false" outlineLevel="0" collapsed="false">
      <c r="A619" s="12"/>
      <c r="B619" s="13"/>
      <c r="C619" s="13"/>
      <c r="D619" s="14"/>
      <c r="E619" s="15"/>
      <c r="F619" s="16"/>
      <c r="G619" s="17"/>
      <c r="H619" s="18" t="n">
        <f aca="false">IF(AND(C619="Yakıt",D619&lt;&gt;""),SUMPRODUCT(MAX(($B$5:$B$1004=B619)*($C$5:$C$1004="Yakıt")*($D$5:$D$1004&lt;D619)*$D$5:$D$1004)),0)</f>
        <v>0</v>
      </c>
      <c r="I619" s="18" t="str">
        <f aca="false">IF(H619&gt;0,D619-H619,"")</f>
        <v/>
      </c>
      <c r="J619" s="19" t="str">
        <f aca="false">IF(OR(I619="",E619=""),"",E619/I619*100)</f>
        <v/>
      </c>
      <c r="K619" s="20" t="str">
        <f aca="false">IF(I619="","",F619/I619)</f>
        <v/>
      </c>
    </row>
    <row r="620" customFormat="false" ht="15" hidden="false" customHeight="false" outlineLevel="0" collapsed="false">
      <c r="A620" s="12"/>
      <c r="B620" s="13"/>
      <c r="C620" s="13"/>
      <c r="D620" s="14"/>
      <c r="E620" s="15"/>
      <c r="F620" s="16"/>
      <c r="G620" s="17"/>
      <c r="H620" s="18" t="n">
        <f aca="false">IF(AND(C620="Yakıt",D620&lt;&gt;""),SUMPRODUCT(MAX(($B$5:$B$1004=B620)*($C$5:$C$1004="Yakıt")*($D$5:$D$1004&lt;D620)*$D$5:$D$1004)),0)</f>
        <v>0</v>
      </c>
      <c r="I620" s="18" t="str">
        <f aca="false">IF(H620&gt;0,D620-H620,"")</f>
        <v/>
      </c>
      <c r="J620" s="19" t="str">
        <f aca="false">IF(OR(I620="",E620=""),"",E620/I620*100)</f>
        <v/>
      </c>
      <c r="K620" s="20" t="str">
        <f aca="false">IF(I620="","",F620/I620)</f>
        <v/>
      </c>
    </row>
    <row r="621" customFormat="false" ht="15" hidden="false" customHeight="false" outlineLevel="0" collapsed="false">
      <c r="A621" s="12"/>
      <c r="B621" s="13"/>
      <c r="C621" s="13"/>
      <c r="D621" s="14"/>
      <c r="E621" s="15"/>
      <c r="F621" s="16"/>
      <c r="G621" s="17"/>
      <c r="H621" s="18" t="n">
        <f aca="false">IF(AND(C621="Yakıt",D621&lt;&gt;""),SUMPRODUCT(MAX(($B$5:$B$1004=B621)*($C$5:$C$1004="Yakıt")*($D$5:$D$1004&lt;D621)*$D$5:$D$1004)),0)</f>
        <v>0</v>
      </c>
      <c r="I621" s="18" t="str">
        <f aca="false">IF(H621&gt;0,D621-H621,"")</f>
        <v/>
      </c>
      <c r="J621" s="19" t="str">
        <f aca="false">IF(OR(I621="",E621=""),"",E621/I621*100)</f>
        <v/>
      </c>
      <c r="K621" s="20" t="str">
        <f aca="false">IF(I621="","",F621/I621)</f>
        <v/>
      </c>
    </row>
    <row r="622" customFormat="false" ht="15" hidden="false" customHeight="false" outlineLevel="0" collapsed="false">
      <c r="A622" s="12"/>
      <c r="B622" s="13"/>
      <c r="C622" s="13"/>
      <c r="D622" s="14"/>
      <c r="E622" s="15"/>
      <c r="F622" s="16"/>
      <c r="G622" s="17"/>
      <c r="H622" s="18" t="n">
        <f aca="false">IF(AND(C622="Yakıt",D622&lt;&gt;""),SUMPRODUCT(MAX(($B$5:$B$1004=B622)*($C$5:$C$1004="Yakıt")*($D$5:$D$1004&lt;D622)*$D$5:$D$1004)),0)</f>
        <v>0</v>
      </c>
      <c r="I622" s="18" t="str">
        <f aca="false">IF(H622&gt;0,D622-H622,"")</f>
        <v/>
      </c>
      <c r="J622" s="19" t="str">
        <f aca="false">IF(OR(I622="",E622=""),"",E622/I622*100)</f>
        <v/>
      </c>
      <c r="K622" s="20" t="str">
        <f aca="false">IF(I622="","",F622/I622)</f>
        <v/>
      </c>
    </row>
    <row r="623" customFormat="false" ht="15" hidden="false" customHeight="false" outlineLevel="0" collapsed="false">
      <c r="A623" s="12"/>
      <c r="B623" s="13"/>
      <c r="C623" s="13"/>
      <c r="D623" s="14"/>
      <c r="E623" s="15"/>
      <c r="F623" s="16"/>
      <c r="G623" s="17"/>
      <c r="H623" s="18" t="n">
        <f aca="false">IF(AND(C623="Yakıt",D623&lt;&gt;""),SUMPRODUCT(MAX(($B$5:$B$1004=B623)*($C$5:$C$1004="Yakıt")*($D$5:$D$1004&lt;D623)*$D$5:$D$1004)),0)</f>
        <v>0</v>
      </c>
      <c r="I623" s="18" t="str">
        <f aca="false">IF(H623&gt;0,D623-H623,"")</f>
        <v/>
      </c>
      <c r="J623" s="19" t="str">
        <f aca="false">IF(OR(I623="",E623=""),"",E623/I623*100)</f>
        <v/>
      </c>
      <c r="K623" s="20" t="str">
        <f aca="false">IF(I623="","",F623/I623)</f>
        <v/>
      </c>
    </row>
    <row r="624" customFormat="false" ht="15" hidden="false" customHeight="false" outlineLevel="0" collapsed="false">
      <c r="A624" s="12"/>
      <c r="B624" s="13"/>
      <c r="C624" s="13"/>
      <c r="D624" s="14"/>
      <c r="E624" s="15"/>
      <c r="F624" s="16"/>
      <c r="G624" s="17"/>
      <c r="H624" s="18" t="n">
        <f aca="false">IF(AND(C624="Yakıt",D624&lt;&gt;""),SUMPRODUCT(MAX(($B$5:$B$1004=B624)*($C$5:$C$1004="Yakıt")*($D$5:$D$1004&lt;D624)*$D$5:$D$1004)),0)</f>
        <v>0</v>
      </c>
      <c r="I624" s="18" t="str">
        <f aca="false">IF(H624&gt;0,D624-H624,"")</f>
        <v/>
      </c>
      <c r="J624" s="19" t="str">
        <f aca="false">IF(OR(I624="",E624=""),"",E624/I624*100)</f>
        <v/>
      </c>
      <c r="K624" s="20" t="str">
        <f aca="false">IF(I624="","",F624/I624)</f>
        <v/>
      </c>
    </row>
    <row r="625" customFormat="false" ht="15" hidden="false" customHeight="false" outlineLevel="0" collapsed="false">
      <c r="A625" s="12"/>
      <c r="B625" s="13"/>
      <c r="C625" s="13"/>
      <c r="D625" s="14"/>
      <c r="E625" s="15"/>
      <c r="F625" s="16"/>
      <c r="G625" s="17"/>
      <c r="H625" s="18" t="n">
        <f aca="false">IF(AND(C625="Yakıt",D625&lt;&gt;""),SUMPRODUCT(MAX(($B$5:$B$1004=B625)*($C$5:$C$1004="Yakıt")*($D$5:$D$1004&lt;D625)*$D$5:$D$1004)),0)</f>
        <v>0</v>
      </c>
      <c r="I625" s="18" t="str">
        <f aca="false">IF(H625&gt;0,D625-H625,"")</f>
        <v/>
      </c>
      <c r="J625" s="19" t="str">
        <f aca="false">IF(OR(I625="",E625=""),"",E625/I625*100)</f>
        <v/>
      </c>
      <c r="K625" s="20" t="str">
        <f aca="false">IF(I625="","",F625/I625)</f>
        <v/>
      </c>
    </row>
    <row r="626" customFormat="false" ht="15" hidden="false" customHeight="false" outlineLevel="0" collapsed="false">
      <c r="A626" s="12"/>
      <c r="B626" s="13"/>
      <c r="C626" s="13"/>
      <c r="D626" s="14"/>
      <c r="E626" s="15"/>
      <c r="F626" s="16"/>
      <c r="G626" s="17"/>
      <c r="H626" s="18" t="n">
        <f aca="false">IF(AND(C626="Yakıt",D626&lt;&gt;""),SUMPRODUCT(MAX(($B$5:$B$1004=B626)*($C$5:$C$1004="Yakıt")*($D$5:$D$1004&lt;D626)*$D$5:$D$1004)),0)</f>
        <v>0</v>
      </c>
      <c r="I626" s="18" t="str">
        <f aca="false">IF(H626&gt;0,D626-H626,"")</f>
        <v/>
      </c>
      <c r="J626" s="19" t="str">
        <f aca="false">IF(OR(I626="",E626=""),"",E626/I626*100)</f>
        <v/>
      </c>
      <c r="K626" s="20" t="str">
        <f aca="false">IF(I626="","",F626/I626)</f>
        <v/>
      </c>
    </row>
    <row r="627" customFormat="false" ht="15" hidden="false" customHeight="false" outlineLevel="0" collapsed="false">
      <c r="A627" s="12"/>
      <c r="B627" s="13"/>
      <c r="C627" s="13"/>
      <c r="D627" s="14"/>
      <c r="E627" s="15"/>
      <c r="F627" s="16"/>
      <c r="G627" s="17"/>
      <c r="H627" s="18" t="n">
        <f aca="false">IF(AND(C627="Yakıt",D627&lt;&gt;""),SUMPRODUCT(MAX(($B$5:$B$1004=B627)*($C$5:$C$1004="Yakıt")*($D$5:$D$1004&lt;D627)*$D$5:$D$1004)),0)</f>
        <v>0</v>
      </c>
      <c r="I627" s="18" t="str">
        <f aca="false">IF(H627&gt;0,D627-H627,"")</f>
        <v/>
      </c>
      <c r="J627" s="19" t="str">
        <f aca="false">IF(OR(I627="",E627=""),"",E627/I627*100)</f>
        <v/>
      </c>
      <c r="K627" s="20" t="str">
        <f aca="false">IF(I627="","",F627/I627)</f>
        <v/>
      </c>
    </row>
    <row r="628" customFormat="false" ht="15" hidden="false" customHeight="false" outlineLevel="0" collapsed="false">
      <c r="A628" s="12"/>
      <c r="B628" s="13"/>
      <c r="C628" s="13"/>
      <c r="D628" s="14"/>
      <c r="E628" s="15"/>
      <c r="F628" s="16"/>
      <c r="G628" s="17"/>
      <c r="H628" s="18" t="n">
        <f aca="false">IF(AND(C628="Yakıt",D628&lt;&gt;""),SUMPRODUCT(MAX(($B$5:$B$1004=B628)*($C$5:$C$1004="Yakıt")*($D$5:$D$1004&lt;D628)*$D$5:$D$1004)),0)</f>
        <v>0</v>
      </c>
      <c r="I628" s="18" t="str">
        <f aca="false">IF(H628&gt;0,D628-H628,"")</f>
        <v/>
      </c>
      <c r="J628" s="19" t="str">
        <f aca="false">IF(OR(I628="",E628=""),"",E628/I628*100)</f>
        <v/>
      </c>
      <c r="K628" s="20" t="str">
        <f aca="false">IF(I628="","",F628/I628)</f>
        <v/>
      </c>
    </row>
    <row r="629" customFormat="false" ht="15" hidden="false" customHeight="false" outlineLevel="0" collapsed="false">
      <c r="A629" s="12"/>
      <c r="B629" s="13"/>
      <c r="C629" s="13"/>
      <c r="D629" s="14"/>
      <c r="E629" s="15"/>
      <c r="F629" s="16"/>
      <c r="G629" s="17"/>
      <c r="H629" s="18" t="n">
        <f aca="false">IF(AND(C629="Yakıt",D629&lt;&gt;""),SUMPRODUCT(MAX(($B$5:$B$1004=B629)*($C$5:$C$1004="Yakıt")*($D$5:$D$1004&lt;D629)*$D$5:$D$1004)),0)</f>
        <v>0</v>
      </c>
      <c r="I629" s="18" t="str">
        <f aca="false">IF(H629&gt;0,D629-H629,"")</f>
        <v/>
      </c>
      <c r="J629" s="19" t="str">
        <f aca="false">IF(OR(I629="",E629=""),"",E629/I629*100)</f>
        <v/>
      </c>
      <c r="K629" s="20" t="str">
        <f aca="false">IF(I629="","",F629/I629)</f>
        <v/>
      </c>
    </row>
    <row r="630" customFormat="false" ht="15" hidden="false" customHeight="false" outlineLevel="0" collapsed="false">
      <c r="A630" s="12"/>
      <c r="B630" s="13"/>
      <c r="C630" s="13"/>
      <c r="D630" s="14"/>
      <c r="E630" s="15"/>
      <c r="F630" s="16"/>
      <c r="G630" s="17"/>
      <c r="H630" s="18" t="n">
        <f aca="false">IF(AND(C630="Yakıt",D630&lt;&gt;""),SUMPRODUCT(MAX(($B$5:$B$1004=B630)*($C$5:$C$1004="Yakıt")*($D$5:$D$1004&lt;D630)*$D$5:$D$1004)),0)</f>
        <v>0</v>
      </c>
      <c r="I630" s="18" t="str">
        <f aca="false">IF(H630&gt;0,D630-H630,"")</f>
        <v/>
      </c>
      <c r="J630" s="19" t="str">
        <f aca="false">IF(OR(I630="",E630=""),"",E630/I630*100)</f>
        <v/>
      </c>
      <c r="K630" s="20" t="str">
        <f aca="false">IF(I630="","",F630/I630)</f>
        <v/>
      </c>
    </row>
    <row r="631" customFormat="false" ht="15" hidden="false" customHeight="false" outlineLevel="0" collapsed="false">
      <c r="A631" s="12"/>
      <c r="B631" s="13"/>
      <c r="C631" s="13"/>
      <c r="D631" s="14"/>
      <c r="E631" s="15"/>
      <c r="F631" s="16"/>
      <c r="G631" s="17"/>
      <c r="H631" s="18" t="n">
        <f aca="false">IF(AND(C631="Yakıt",D631&lt;&gt;""),SUMPRODUCT(MAX(($B$5:$B$1004=B631)*($C$5:$C$1004="Yakıt")*($D$5:$D$1004&lt;D631)*$D$5:$D$1004)),0)</f>
        <v>0</v>
      </c>
      <c r="I631" s="18" t="str">
        <f aca="false">IF(H631&gt;0,D631-H631,"")</f>
        <v/>
      </c>
      <c r="J631" s="19" t="str">
        <f aca="false">IF(OR(I631="",E631=""),"",E631/I631*100)</f>
        <v/>
      </c>
      <c r="K631" s="20" t="str">
        <f aca="false">IF(I631="","",F631/I631)</f>
        <v/>
      </c>
    </row>
    <row r="632" customFormat="false" ht="15" hidden="false" customHeight="false" outlineLevel="0" collapsed="false">
      <c r="A632" s="12"/>
      <c r="B632" s="13"/>
      <c r="C632" s="13"/>
      <c r="D632" s="14"/>
      <c r="E632" s="15"/>
      <c r="F632" s="16"/>
      <c r="G632" s="17"/>
      <c r="H632" s="18" t="n">
        <f aca="false">IF(AND(C632="Yakıt",D632&lt;&gt;""),SUMPRODUCT(MAX(($B$5:$B$1004=B632)*($C$5:$C$1004="Yakıt")*($D$5:$D$1004&lt;D632)*$D$5:$D$1004)),0)</f>
        <v>0</v>
      </c>
      <c r="I632" s="18" t="str">
        <f aca="false">IF(H632&gt;0,D632-H632,"")</f>
        <v/>
      </c>
      <c r="J632" s="19" t="str">
        <f aca="false">IF(OR(I632="",E632=""),"",E632/I632*100)</f>
        <v/>
      </c>
      <c r="K632" s="20" t="str">
        <f aca="false">IF(I632="","",F632/I632)</f>
        <v/>
      </c>
    </row>
    <row r="633" customFormat="false" ht="15" hidden="false" customHeight="false" outlineLevel="0" collapsed="false">
      <c r="A633" s="12"/>
      <c r="B633" s="13"/>
      <c r="C633" s="13"/>
      <c r="D633" s="14"/>
      <c r="E633" s="15"/>
      <c r="F633" s="16"/>
      <c r="G633" s="17"/>
      <c r="H633" s="18" t="n">
        <f aca="false">IF(AND(C633="Yakıt",D633&lt;&gt;""),SUMPRODUCT(MAX(($B$5:$B$1004=B633)*($C$5:$C$1004="Yakıt")*($D$5:$D$1004&lt;D633)*$D$5:$D$1004)),0)</f>
        <v>0</v>
      </c>
      <c r="I633" s="18" t="str">
        <f aca="false">IF(H633&gt;0,D633-H633,"")</f>
        <v/>
      </c>
      <c r="J633" s="19" t="str">
        <f aca="false">IF(OR(I633="",E633=""),"",E633/I633*100)</f>
        <v/>
      </c>
      <c r="K633" s="20" t="str">
        <f aca="false">IF(I633="","",F633/I633)</f>
        <v/>
      </c>
    </row>
    <row r="634" customFormat="false" ht="15" hidden="false" customHeight="false" outlineLevel="0" collapsed="false">
      <c r="A634" s="12"/>
      <c r="B634" s="13"/>
      <c r="C634" s="13"/>
      <c r="D634" s="14"/>
      <c r="E634" s="15"/>
      <c r="F634" s="16"/>
      <c r="G634" s="17"/>
      <c r="H634" s="18" t="n">
        <f aca="false">IF(AND(C634="Yakıt",D634&lt;&gt;""),SUMPRODUCT(MAX(($B$5:$B$1004=B634)*($C$5:$C$1004="Yakıt")*($D$5:$D$1004&lt;D634)*$D$5:$D$1004)),0)</f>
        <v>0</v>
      </c>
      <c r="I634" s="18" t="str">
        <f aca="false">IF(H634&gt;0,D634-H634,"")</f>
        <v/>
      </c>
      <c r="J634" s="19" t="str">
        <f aca="false">IF(OR(I634="",E634=""),"",E634/I634*100)</f>
        <v/>
      </c>
      <c r="K634" s="20" t="str">
        <f aca="false">IF(I634="","",F634/I634)</f>
        <v/>
      </c>
    </row>
    <row r="635" customFormat="false" ht="15" hidden="false" customHeight="false" outlineLevel="0" collapsed="false">
      <c r="A635" s="12"/>
      <c r="B635" s="13"/>
      <c r="C635" s="13"/>
      <c r="D635" s="14"/>
      <c r="E635" s="15"/>
      <c r="F635" s="16"/>
      <c r="G635" s="17"/>
      <c r="H635" s="18" t="n">
        <f aca="false">IF(AND(C635="Yakıt",D635&lt;&gt;""),SUMPRODUCT(MAX(($B$5:$B$1004=B635)*($C$5:$C$1004="Yakıt")*($D$5:$D$1004&lt;D635)*$D$5:$D$1004)),0)</f>
        <v>0</v>
      </c>
      <c r="I635" s="18" t="str">
        <f aca="false">IF(H635&gt;0,D635-H635,"")</f>
        <v/>
      </c>
      <c r="J635" s="19" t="str">
        <f aca="false">IF(OR(I635="",E635=""),"",E635/I635*100)</f>
        <v/>
      </c>
      <c r="K635" s="20" t="str">
        <f aca="false">IF(I635="","",F635/I635)</f>
        <v/>
      </c>
    </row>
    <row r="636" customFormat="false" ht="15" hidden="false" customHeight="false" outlineLevel="0" collapsed="false">
      <c r="A636" s="12"/>
      <c r="B636" s="13"/>
      <c r="C636" s="13"/>
      <c r="D636" s="14"/>
      <c r="E636" s="15"/>
      <c r="F636" s="16"/>
      <c r="G636" s="17"/>
      <c r="H636" s="18" t="n">
        <f aca="false">IF(AND(C636="Yakıt",D636&lt;&gt;""),SUMPRODUCT(MAX(($B$5:$B$1004=B636)*($C$5:$C$1004="Yakıt")*($D$5:$D$1004&lt;D636)*$D$5:$D$1004)),0)</f>
        <v>0</v>
      </c>
      <c r="I636" s="18" t="str">
        <f aca="false">IF(H636&gt;0,D636-H636,"")</f>
        <v/>
      </c>
      <c r="J636" s="19" t="str">
        <f aca="false">IF(OR(I636="",E636=""),"",E636/I636*100)</f>
        <v/>
      </c>
      <c r="K636" s="20" t="str">
        <f aca="false">IF(I636="","",F636/I636)</f>
        <v/>
      </c>
    </row>
    <row r="637" customFormat="false" ht="15" hidden="false" customHeight="false" outlineLevel="0" collapsed="false">
      <c r="A637" s="12"/>
      <c r="B637" s="13"/>
      <c r="C637" s="13"/>
      <c r="D637" s="14"/>
      <c r="E637" s="15"/>
      <c r="F637" s="16"/>
      <c r="G637" s="17"/>
      <c r="H637" s="18" t="n">
        <f aca="false">IF(AND(C637="Yakıt",D637&lt;&gt;""),SUMPRODUCT(MAX(($B$5:$B$1004=B637)*($C$5:$C$1004="Yakıt")*($D$5:$D$1004&lt;D637)*$D$5:$D$1004)),0)</f>
        <v>0</v>
      </c>
      <c r="I637" s="18" t="str">
        <f aca="false">IF(H637&gt;0,D637-H637,"")</f>
        <v/>
      </c>
      <c r="J637" s="19" t="str">
        <f aca="false">IF(OR(I637="",E637=""),"",E637/I637*100)</f>
        <v/>
      </c>
      <c r="K637" s="20" t="str">
        <f aca="false">IF(I637="","",F637/I637)</f>
        <v/>
      </c>
    </row>
    <row r="638" customFormat="false" ht="15" hidden="false" customHeight="false" outlineLevel="0" collapsed="false">
      <c r="A638" s="12"/>
      <c r="B638" s="13"/>
      <c r="C638" s="13"/>
      <c r="D638" s="14"/>
      <c r="E638" s="15"/>
      <c r="F638" s="16"/>
      <c r="G638" s="17"/>
      <c r="H638" s="18" t="n">
        <f aca="false">IF(AND(C638="Yakıt",D638&lt;&gt;""),SUMPRODUCT(MAX(($B$5:$B$1004=B638)*($C$5:$C$1004="Yakıt")*($D$5:$D$1004&lt;D638)*$D$5:$D$1004)),0)</f>
        <v>0</v>
      </c>
      <c r="I638" s="18" t="str">
        <f aca="false">IF(H638&gt;0,D638-H638,"")</f>
        <v/>
      </c>
      <c r="J638" s="19" t="str">
        <f aca="false">IF(OR(I638="",E638=""),"",E638/I638*100)</f>
        <v/>
      </c>
      <c r="K638" s="20" t="str">
        <f aca="false">IF(I638="","",F638/I638)</f>
        <v/>
      </c>
    </row>
    <row r="639" customFormat="false" ht="15" hidden="false" customHeight="false" outlineLevel="0" collapsed="false">
      <c r="A639" s="12"/>
      <c r="B639" s="13"/>
      <c r="C639" s="13"/>
      <c r="D639" s="14"/>
      <c r="E639" s="15"/>
      <c r="F639" s="16"/>
      <c r="G639" s="17"/>
      <c r="H639" s="18" t="n">
        <f aca="false">IF(AND(C639="Yakıt",D639&lt;&gt;""),SUMPRODUCT(MAX(($B$5:$B$1004=B639)*($C$5:$C$1004="Yakıt")*($D$5:$D$1004&lt;D639)*$D$5:$D$1004)),0)</f>
        <v>0</v>
      </c>
      <c r="I639" s="18" t="str">
        <f aca="false">IF(H639&gt;0,D639-H639,"")</f>
        <v/>
      </c>
      <c r="J639" s="19" t="str">
        <f aca="false">IF(OR(I639="",E639=""),"",E639/I639*100)</f>
        <v/>
      </c>
      <c r="K639" s="20" t="str">
        <f aca="false">IF(I639="","",F639/I639)</f>
        <v/>
      </c>
    </row>
    <row r="640" customFormat="false" ht="15" hidden="false" customHeight="false" outlineLevel="0" collapsed="false">
      <c r="A640" s="12"/>
      <c r="B640" s="13"/>
      <c r="C640" s="13"/>
      <c r="D640" s="14"/>
      <c r="E640" s="15"/>
      <c r="F640" s="16"/>
      <c r="G640" s="17"/>
      <c r="H640" s="18" t="n">
        <f aca="false">IF(AND(C640="Yakıt",D640&lt;&gt;""),SUMPRODUCT(MAX(($B$5:$B$1004=B640)*($C$5:$C$1004="Yakıt")*($D$5:$D$1004&lt;D640)*$D$5:$D$1004)),0)</f>
        <v>0</v>
      </c>
      <c r="I640" s="18" t="str">
        <f aca="false">IF(H640&gt;0,D640-H640,"")</f>
        <v/>
      </c>
      <c r="J640" s="19" t="str">
        <f aca="false">IF(OR(I640="",E640=""),"",E640/I640*100)</f>
        <v/>
      </c>
      <c r="K640" s="20" t="str">
        <f aca="false">IF(I640="","",F640/I640)</f>
        <v/>
      </c>
    </row>
    <row r="641" customFormat="false" ht="15" hidden="false" customHeight="false" outlineLevel="0" collapsed="false">
      <c r="A641" s="12"/>
      <c r="B641" s="13"/>
      <c r="C641" s="13"/>
      <c r="D641" s="14"/>
      <c r="E641" s="15"/>
      <c r="F641" s="16"/>
      <c r="G641" s="17"/>
      <c r="H641" s="18" t="n">
        <f aca="false">IF(AND(C641="Yakıt",D641&lt;&gt;""),SUMPRODUCT(MAX(($B$5:$B$1004=B641)*($C$5:$C$1004="Yakıt")*($D$5:$D$1004&lt;D641)*$D$5:$D$1004)),0)</f>
        <v>0</v>
      </c>
      <c r="I641" s="18" t="str">
        <f aca="false">IF(H641&gt;0,D641-H641,"")</f>
        <v/>
      </c>
      <c r="J641" s="19" t="str">
        <f aca="false">IF(OR(I641="",E641=""),"",E641/I641*100)</f>
        <v/>
      </c>
      <c r="K641" s="20" t="str">
        <f aca="false">IF(I641="","",F641/I641)</f>
        <v/>
      </c>
    </row>
    <row r="642" customFormat="false" ht="15" hidden="false" customHeight="false" outlineLevel="0" collapsed="false">
      <c r="A642" s="12"/>
      <c r="B642" s="13"/>
      <c r="C642" s="13"/>
      <c r="D642" s="14"/>
      <c r="E642" s="15"/>
      <c r="F642" s="16"/>
      <c r="G642" s="17"/>
      <c r="H642" s="18" t="n">
        <f aca="false">IF(AND(C642="Yakıt",D642&lt;&gt;""),SUMPRODUCT(MAX(($B$5:$B$1004=B642)*($C$5:$C$1004="Yakıt")*($D$5:$D$1004&lt;D642)*$D$5:$D$1004)),0)</f>
        <v>0</v>
      </c>
      <c r="I642" s="18" t="str">
        <f aca="false">IF(H642&gt;0,D642-H642,"")</f>
        <v/>
      </c>
      <c r="J642" s="19" t="str">
        <f aca="false">IF(OR(I642="",E642=""),"",E642/I642*100)</f>
        <v/>
      </c>
      <c r="K642" s="20" t="str">
        <f aca="false">IF(I642="","",F642/I642)</f>
        <v/>
      </c>
    </row>
    <row r="643" customFormat="false" ht="15" hidden="false" customHeight="false" outlineLevel="0" collapsed="false">
      <c r="A643" s="12"/>
      <c r="B643" s="13"/>
      <c r="C643" s="13"/>
      <c r="D643" s="14"/>
      <c r="E643" s="15"/>
      <c r="F643" s="16"/>
      <c r="G643" s="17"/>
      <c r="H643" s="18" t="n">
        <f aca="false">IF(AND(C643="Yakıt",D643&lt;&gt;""),SUMPRODUCT(MAX(($B$5:$B$1004=B643)*($C$5:$C$1004="Yakıt")*($D$5:$D$1004&lt;D643)*$D$5:$D$1004)),0)</f>
        <v>0</v>
      </c>
      <c r="I643" s="18" t="str">
        <f aca="false">IF(H643&gt;0,D643-H643,"")</f>
        <v/>
      </c>
      <c r="J643" s="19" t="str">
        <f aca="false">IF(OR(I643="",E643=""),"",E643/I643*100)</f>
        <v/>
      </c>
      <c r="K643" s="20" t="str">
        <f aca="false">IF(I643="","",F643/I643)</f>
        <v/>
      </c>
    </row>
    <row r="644" customFormat="false" ht="15" hidden="false" customHeight="false" outlineLevel="0" collapsed="false">
      <c r="A644" s="12"/>
      <c r="B644" s="13"/>
      <c r="C644" s="13"/>
      <c r="D644" s="14"/>
      <c r="E644" s="15"/>
      <c r="F644" s="16"/>
      <c r="G644" s="17"/>
      <c r="H644" s="18" t="n">
        <f aca="false">IF(AND(C644="Yakıt",D644&lt;&gt;""),SUMPRODUCT(MAX(($B$5:$B$1004=B644)*($C$5:$C$1004="Yakıt")*($D$5:$D$1004&lt;D644)*$D$5:$D$1004)),0)</f>
        <v>0</v>
      </c>
      <c r="I644" s="18" t="str">
        <f aca="false">IF(H644&gt;0,D644-H644,"")</f>
        <v/>
      </c>
      <c r="J644" s="19" t="str">
        <f aca="false">IF(OR(I644="",E644=""),"",E644/I644*100)</f>
        <v/>
      </c>
      <c r="K644" s="20" t="str">
        <f aca="false">IF(I644="","",F644/I644)</f>
        <v/>
      </c>
    </row>
    <row r="645" customFormat="false" ht="15" hidden="false" customHeight="false" outlineLevel="0" collapsed="false">
      <c r="A645" s="12"/>
      <c r="B645" s="13"/>
      <c r="C645" s="13"/>
      <c r="D645" s="14"/>
      <c r="E645" s="15"/>
      <c r="F645" s="16"/>
      <c r="G645" s="17"/>
      <c r="H645" s="18" t="n">
        <f aca="false">IF(AND(C645="Yakıt",D645&lt;&gt;""),SUMPRODUCT(MAX(($B$5:$B$1004=B645)*($C$5:$C$1004="Yakıt")*($D$5:$D$1004&lt;D645)*$D$5:$D$1004)),0)</f>
        <v>0</v>
      </c>
      <c r="I645" s="18" t="str">
        <f aca="false">IF(H645&gt;0,D645-H645,"")</f>
        <v/>
      </c>
      <c r="J645" s="19" t="str">
        <f aca="false">IF(OR(I645="",E645=""),"",E645/I645*100)</f>
        <v/>
      </c>
      <c r="K645" s="20" t="str">
        <f aca="false">IF(I645="","",F645/I645)</f>
        <v/>
      </c>
    </row>
    <row r="646" customFormat="false" ht="15" hidden="false" customHeight="false" outlineLevel="0" collapsed="false">
      <c r="A646" s="12"/>
      <c r="B646" s="13"/>
      <c r="C646" s="13"/>
      <c r="D646" s="14"/>
      <c r="E646" s="15"/>
      <c r="F646" s="16"/>
      <c r="G646" s="17"/>
      <c r="H646" s="18" t="n">
        <f aca="false">IF(AND(C646="Yakıt",D646&lt;&gt;""),SUMPRODUCT(MAX(($B$5:$B$1004=B646)*($C$5:$C$1004="Yakıt")*($D$5:$D$1004&lt;D646)*$D$5:$D$1004)),0)</f>
        <v>0</v>
      </c>
      <c r="I646" s="18" t="str">
        <f aca="false">IF(H646&gt;0,D646-H646,"")</f>
        <v/>
      </c>
      <c r="J646" s="19" t="str">
        <f aca="false">IF(OR(I646="",E646=""),"",E646/I646*100)</f>
        <v/>
      </c>
      <c r="K646" s="20" t="str">
        <f aca="false">IF(I646="","",F646/I646)</f>
        <v/>
      </c>
    </row>
    <row r="647" customFormat="false" ht="15" hidden="false" customHeight="false" outlineLevel="0" collapsed="false">
      <c r="A647" s="12"/>
      <c r="B647" s="13"/>
      <c r="C647" s="13"/>
      <c r="D647" s="14"/>
      <c r="E647" s="15"/>
      <c r="F647" s="16"/>
      <c r="G647" s="17"/>
      <c r="H647" s="18" t="n">
        <f aca="false">IF(AND(C647="Yakıt",D647&lt;&gt;""),SUMPRODUCT(MAX(($B$5:$B$1004=B647)*($C$5:$C$1004="Yakıt")*($D$5:$D$1004&lt;D647)*$D$5:$D$1004)),0)</f>
        <v>0</v>
      </c>
      <c r="I647" s="18" t="str">
        <f aca="false">IF(H647&gt;0,D647-H647,"")</f>
        <v/>
      </c>
      <c r="J647" s="19" t="str">
        <f aca="false">IF(OR(I647="",E647=""),"",E647/I647*100)</f>
        <v/>
      </c>
      <c r="K647" s="20" t="str">
        <f aca="false">IF(I647="","",F647/I647)</f>
        <v/>
      </c>
    </row>
    <row r="648" customFormat="false" ht="15" hidden="false" customHeight="false" outlineLevel="0" collapsed="false">
      <c r="A648" s="12"/>
      <c r="B648" s="13"/>
      <c r="C648" s="13"/>
      <c r="D648" s="14"/>
      <c r="E648" s="15"/>
      <c r="F648" s="16"/>
      <c r="G648" s="17"/>
      <c r="H648" s="18" t="n">
        <f aca="false">IF(AND(C648="Yakıt",D648&lt;&gt;""),SUMPRODUCT(MAX(($B$5:$B$1004=B648)*($C$5:$C$1004="Yakıt")*($D$5:$D$1004&lt;D648)*$D$5:$D$1004)),0)</f>
        <v>0</v>
      </c>
      <c r="I648" s="18" t="str">
        <f aca="false">IF(H648&gt;0,D648-H648,"")</f>
        <v/>
      </c>
      <c r="J648" s="19" t="str">
        <f aca="false">IF(OR(I648="",E648=""),"",E648/I648*100)</f>
        <v/>
      </c>
      <c r="K648" s="20" t="str">
        <f aca="false">IF(I648="","",F648/I648)</f>
        <v/>
      </c>
    </row>
    <row r="649" customFormat="false" ht="15" hidden="false" customHeight="false" outlineLevel="0" collapsed="false">
      <c r="A649" s="12"/>
      <c r="B649" s="13"/>
      <c r="C649" s="13"/>
      <c r="D649" s="14"/>
      <c r="E649" s="15"/>
      <c r="F649" s="16"/>
      <c r="G649" s="17"/>
      <c r="H649" s="18" t="n">
        <f aca="false">IF(AND(C649="Yakıt",D649&lt;&gt;""),SUMPRODUCT(MAX(($B$5:$B$1004=B649)*($C$5:$C$1004="Yakıt")*($D$5:$D$1004&lt;D649)*$D$5:$D$1004)),0)</f>
        <v>0</v>
      </c>
      <c r="I649" s="18" t="str">
        <f aca="false">IF(H649&gt;0,D649-H649,"")</f>
        <v/>
      </c>
      <c r="J649" s="19" t="str">
        <f aca="false">IF(OR(I649="",E649=""),"",E649/I649*100)</f>
        <v/>
      </c>
      <c r="K649" s="20" t="str">
        <f aca="false">IF(I649="","",F649/I649)</f>
        <v/>
      </c>
    </row>
    <row r="650" customFormat="false" ht="15" hidden="false" customHeight="false" outlineLevel="0" collapsed="false">
      <c r="A650" s="12"/>
      <c r="B650" s="13"/>
      <c r="C650" s="13"/>
      <c r="D650" s="14"/>
      <c r="E650" s="15"/>
      <c r="F650" s="16"/>
      <c r="G650" s="17"/>
      <c r="H650" s="18" t="n">
        <f aca="false">IF(AND(C650="Yakıt",D650&lt;&gt;""),SUMPRODUCT(MAX(($B$5:$B$1004=B650)*($C$5:$C$1004="Yakıt")*($D$5:$D$1004&lt;D650)*$D$5:$D$1004)),0)</f>
        <v>0</v>
      </c>
      <c r="I650" s="18" t="str">
        <f aca="false">IF(H650&gt;0,D650-H650,"")</f>
        <v/>
      </c>
      <c r="J650" s="19" t="str">
        <f aca="false">IF(OR(I650="",E650=""),"",E650/I650*100)</f>
        <v/>
      </c>
      <c r="K650" s="20" t="str">
        <f aca="false">IF(I650="","",F650/I650)</f>
        <v/>
      </c>
    </row>
    <row r="651" customFormat="false" ht="15" hidden="false" customHeight="false" outlineLevel="0" collapsed="false">
      <c r="A651" s="12"/>
      <c r="B651" s="13"/>
      <c r="C651" s="13"/>
      <c r="D651" s="14"/>
      <c r="E651" s="15"/>
      <c r="F651" s="16"/>
      <c r="G651" s="17"/>
      <c r="H651" s="18" t="n">
        <f aca="false">IF(AND(C651="Yakıt",D651&lt;&gt;""),SUMPRODUCT(MAX(($B$5:$B$1004=B651)*($C$5:$C$1004="Yakıt")*($D$5:$D$1004&lt;D651)*$D$5:$D$1004)),0)</f>
        <v>0</v>
      </c>
      <c r="I651" s="18" t="str">
        <f aca="false">IF(H651&gt;0,D651-H651,"")</f>
        <v/>
      </c>
      <c r="J651" s="19" t="str">
        <f aca="false">IF(OR(I651="",E651=""),"",E651/I651*100)</f>
        <v/>
      </c>
      <c r="K651" s="20" t="str">
        <f aca="false">IF(I651="","",F651/I651)</f>
        <v/>
      </c>
    </row>
    <row r="652" customFormat="false" ht="15" hidden="false" customHeight="false" outlineLevel="0" collapsed="false">
      <c r="A652" s="12"/>
      <c r="B652" s="13"/>
      <c r="C652" s="13"/>
      <c r="D652" s="14"/>
      <c r="E652" s="15"/>
      <c r="F652" s="16"/>
      <c r="G652" s="17"/>
      <c r="H652" s="18" t="n">
        <f aca="false">IF(AND(C652="Yakıt",D652&lt;&gt;""),SUMPRODUCT(MAX(($B$5:$B$1004=B652)*($C$5:$C$1004="Yakıt")*($D$5:$D$1004&lt;D652)*$D$5:$D$1004)),0)</f>
        <v>0</v>
      </c>
      <c r="I652" s="18" t="str">
        <f aca="false">IF(H652&gt;0,D652-H652,"")</f>
        <v/>
      </c>
      <c r="J652" s="19" t="str">
        <f aca="false">IF(OR(I652="",E652=""),"",E652/I652*100)</f>
        <v/>
      </c>
      <c r="K652" s="20" t="str">
        <f aca="false">IF(I652="","",F652/I652)</f>
        <v/>
      </c>
    </row>
    <row r="653" customFormat="false" ht="15" hidden="false" customHeight="false" outlineLevel="0" collapsed="false">
      <c r="A653" s="12"/>
      <c r="B653" s="13"/>
      <c r="C653" s="13"/>
      <c r="D653" s="14"/>
      <c r="E653" s="15"/>
      <c r="F653" s="16"/>
      <c r="G653" s="17"/>
      <c r="H653" s="18" t="n">
        <f aca="false">IF(AND(C653="Yakıt",D653&lt;&gt;""),SUMPRODUCT(MAX(($B$5:$B$1004=B653)*($C$5:$C$1004="Yakıt")*($D$5:$D$1004&lt;D653)*$D$5:$D$1004)),0)</f>
        <v>0</v>
      </c>
      <c r="I653" s="18" t="str">
        <f aca="false">IF(H653&gt;0,D653-H653,"")</f>
        <v/>
      </c>
      <c r="J653" s="19" t="str">
        <f aca="false">IF(OR(I653="",E653=""),"",E653/I653*100)</f>
        <v/>
      </c>
      <c r="K653" s="20" t="str">
        <f aca="false">IF(I653="","",F653/I653)</f>
        <v/>
      </c>
    </row>
    <row r="654" customFormat="false" ht="15" hidden="false" customHeight="false" outlineLevel="0" collapsed="false">
      <c r="A654" s="12"/>
      <c r="B654" s="13"/>
      <c r="C654" s="13"/>
      <c r="D654" s="14"/>
      <c r="E654" s="15"/>
      <c r="F654" s="16"/>
      <c r="G654" s="17"/>
      <c r="H654" s="18" t="n">
        <f aca="false">IF(AND(C654="Yakıt",D654&lt;&gt;""),SUMPRODUCT(MAX(($B$5:$B$1004=B654)*($C$5:$C$1004="Yakıt")*($D$5:$D$1004&lt;D654)*$D$5:$D$1004)),0)</f>
        <v>0</v>
      </c>
      <c r="I654" s="18" t="str">
        <f aca="false">IF(H654&gt;0,D654-H654,"")</f>
        <v/>
      </c>
      <c r="J654" s="19" t="str">
        <f aca="false">IF(OR(I654="",E654=""),"",E654/I654*100)</f>
        <v/>
      </c>
      <c r="K654" s="20" t="str">
        <f aca="false">IF(I654="","",F654/I654)</f>
        <v/>
      </c>
    </row>
    <row r="655" customFormat="false" ht="15" hidden="false" customHeight="false" outlineLevel="0" collapsed="false">
      <c r="A655" s="12"/>
      <c r="B655" s="13"/>
      <c r="C655" s="13"/>
      <c r="D655" s="14"/>
      <c r="E655" s="15"/>
      <c r="F655" s="16"/>
      <c r="G655" s="17"/>
      <c r="H655" s="18" t="n">
        <f aca="false">IF(AND(C655="Yakıt",D655&lt;&gt;""),SUMPRODUCT(MAX(($B$5:$B$1004=B655)*($C$5:$C$1004="Yakıt")*($D$5:$D$1004&lt;D655)*$D$5:$D$1004)),0)</f>
        <v>0</v>
      </c>
      <c r="I655" s="18" t="str">
        <f aca="false">IF(H655&gt;0,D655-H655,"")</f>
        <v/>
      </c>
      <c r="J655" s="19" t="str">
        <f aca="false">IF(OR(I655="",E655=""),"",E655/I655*100)</f>
        <v/>
      </c>
      <c r="K655" s="20" t="str">
        <f aca="false">IF(I655="","",F655/I655)</f>
        <v/>
      </c>
    </row>
    <row r="656" customFormat="false" ht="15" hidden="false" customHeight="false" outlineLevel="0" collapsed="false">
      <c r="A656" s="12"/>
      <c r="B656" s="13"/>
      <c r="C656" s="13"/>
      <c r="D656" s="14"/>
      <c r="E656" s="15"/>
      <c r="F656" s="16"/>
      <c r="G656" s="17"/>
      <c r="H656" s="18" t="n">
        <f aca="false">IF(AND(C656="Yakıt",D656&lt;&gt;""),SUMPRODUCT(MAX(($B$5:$B$1004=B656)*($C$5:$C$1004="Yakıt")*($D$5:$D$1004&lt;D656)*$D$5:$D$1004)),0)</f>
        <v>0</v>
      </c>
      <c r="I656" s="18" t="str">
        <f aca="false">IF(H656&gt;0,D656-H656,"")</f>
        <v/>
      </c>
      <c r="J656" s="19" t="str">
        <f aca="false">IF(OR(I656="",E656=""),"",E656/I656*100)</f>
        <v/>
      </c>
      <c r="K656" s="20" t="str">
        <f aca="false">IF(I656="","",F656/I656)</f>
        <v/>
      </c>
    </row>
    <row r="657" customFormat="false" ht="15" hidden="false" customHeight="false" outlineLevel="0" collapsed="false">
      <c r="A657" s="12"/>
      <c r="B657" s="13"/>
      <c r="C657" s="13"/>
      <c r="D657" s="14"/>
      <c r="E657" s="15"/>
      <c r="F657" s="16"/>
      <c r="G657" s="17"/>
      <c r="H657" s="18" t="n">
        <f aca="false">IF(AND(C657="Yakıt",D657&lt;&gt;""),SUMPRODUCT(MAX(($B$5:$B$1004=B657)*($C$5:$C$1004="Yakıt")*($D$5:$D$1004&lt;D657)*$D$5:$D$1004)),0)</f>
        <v>0</v>
      </c>
      <c r="I657" s="18" t="str">
        <f aca="false">IF(H657&gt;0,D657-H657,"")</f>
        <v/>
      </c>
      <c r="J657" s="19" t="str">
        <f aca="false">IF(OR(I657="",E657=""),"",E657/I657*100)</f>
        <v/>
      </c>
      <c r="K657" s="20" t="str">
        <f aca="false">IF(I657="","",F657/I657)</f>
        <v/>
      </c>
    </row>
    <row r="658" customFormat="false" ht="15" hidden="false" customHeight="false" outlineLevel="0" collapsed="false">
      <c r="A658" s="12"/>
      <c r="B658" s="13"/>
      <c r="C658" s="13"/>
      <c r="D658" s="14"/>
      <c r="E658" s="15"/>
      <c r="F658" s="16"/>
      <c r="G658" s="17"/>
      <c r="H658" s="18" t="n">
        <f aca="false">IF(AND(C658="Yakıt",D658&lt;&gt;""),SUMPRODUCT(MAX(($B$5:$B$1004=B658)*($C$5:$C$1004="Yakıt")*($D$5:$D$1004&lt;D658)*$D$5:$D$1004)),0)</f>
        <v>0</v>
      </c>
      <c r="I658" s="18" t="str">
        <f aca="false">IF(H658&gt;0,D658-H658,"")</f>
        <v/>
      </c>
      <c r="J658" s="19" t="str">
        <f aca="false">IF(OR(I658="",E658=""),"",E658/I658*100)</f>
        <v/>
      </c>
      <c r="K658" s="20" t="str">
        <f aca="false">IF(I658="","",F658/I658)</f>
        <v/>
      </c>
    </row>
    <row r="659" customFormat="false" ht="15" hidden="false" customHeight="false" outlineLevel="0" collapsed="false">
      <c r="A659" s="12"/>
      <c r="B659" s="13"/>
      <c r="C659" s="13"/>
      <c r="D659" s="14"/>
      <c r="E659" s="15"/>
      <c r="F659" s="16"/>
      <c r="G659" s="17"/>
      <c r="H659" s="18" t="n">
        <f aca="false">IF(AND(C659="Yakıt",D659&lt;&gt;""),SUMPRODUCT(MAX(($B$5:$B$1004=B659)*($C$5:$C$1004="Yakıt")*($D$5:$D$1004&lt;D659)*$D$5:$D$1004)),0)</f>
        <v>0</v>
      </c>
      <c r="I659" s="18" t="str">
        <f aca="false">IF(H659&gt;0,D659-H659,"")</f>
        <v/>
      </c>
      <c r="J659" s="19" t="str">
        <f aca="false">IF(OR(I659="",E659=""),"",E659/I659*100)</f>
        <v/>
      </c>
      <c r="K659" s="20" t="str">
        <f aca="false">IF(I659="","",F659/I659)</f>
        <v/>
      </c>
    </row>
    <row r="660" customFormat="false" ht="15" hidden="false" customHeight="false" outlineLevel="0" collapsed="false">
      <c r="A660" s="12"/>
      <c r="B660" s="13"/>
      <c r="C660" s="13"/>
      <c r="D660" s="14"/>
      <c r="E660" s="15"/>
      <c r="F660" s="16"/>
      <c r="G660" s="17"/>
      <c r="H660" s="18" t="n">
        <f aca="false">IF(AND(C660="Yakıt",D660&lt;&gt;""),SUMPRODUCT(MAX(($B$5:$B$1004=B660)*($C$5:$C$1004="Yakıt")*($D$5:$D$1004&lt;D660)*$D$5:$D$1004)),0)</f>
        <v>0</v>
      </c>
      <c r="I660" s="18" t="str">
        <f aca="false">IF(H660&gt;0,D660-H660,"")</f>
        <v/>
      </c>
      <c r="J660" s="19" t="str">
        <f aca="false">IF(OR(I660="",E660=""),"",E660/I660*100)</f>
        <v/>
      </c>
      <c r="K660" s="20" t="str">
        <f aca="false">IF(I660="","",F660/I660)</f>
        <v/>
      </c>
    </row>
    <row r="661" customFormat="false" ht="15" hidden="false" customHeight="false" outlineLevel="0" collapsed="false">
      <c r="A661" s="12"/>
      <c r="B661" s="13"/>
      <c r="C661" s="13"/>
      <c r="D661" s="14"/>
      <c r="E661" s="15"/>
      <c r="F661" s="16"/>
      <c r="G661" s="17"/>
      <c r="H661" s="18" t="n">
        <f aca="false">IF(AND(C661="Yakıt",D661&lt;&gt;""),SUMPRODUCT(MAX(($B$5:$B$1004=B661)*($C$5:$C$1004="Yakıt")*($D$5:$D$1004&lt;D661)*$D$5:$D$1004)),0)</f>
        <v>0</v>
      </c>
      <c r="I661" s="18" t="str">
        <f aca="false">IF(H661&gt;0,D661-H661,"")</f>
        <v/>
      </c>
      <c r="J661" s="19" t="str">
        <f aca="false">IF(OR(I661="",E661=""),"",E661/I661*100)</f>
        <v/>
      </c>
      <c r="K661" s="20" t="str">
        <f aca="false">IF(I661="","",F661/I661)</f>
        <v/>
      </c>
    </row>
    <row r="662" customFormat="false" ht="15" hidden="false" customHeight="false" outlineLevel="0" collapsed="false">
      <c r="A662" s="12"/>
      <c r="B662" s="13"/>
      <c r="C662" s="13"/>
      <c r="D662" s="14"/>
      <c r="E662" s="15"/>
      <c r="F662" s="16"/>
      <c r="G662" s="17"/>
      <c r="H662" s="18" t="n">
        <f aca="false">IF(AND(C662="Yakıt",D662&lt;&gt;""),SUMPRODUCT(MAX(($B$5:$B$1004=B662)*($C$5:$C$1004="Yakıt")*($D$5:$D$1004&lt;D662)*$D$5:$D$1004)),0)</f>
        <v>0</v>
      </c>
      <c r="I662" s="18" t="str">
        <f aca="false">IF(H662&gt;0,D662-H662,"")</f>
        <v/>
      </c>
      <c r="J662" s="19" t="str">
        <f aca="false">IF(OR(I662="",E662=""),"",E662/I662*100)</f>
        <v/>
      </c>
      <c r="K662" s="20" t="str">
        <f aca="false">IF(I662="","",F662/I662)</f>
        <v/>
      </c>
    </row>
    <row r="663" customFormat="false" ht="15" hidden="false" customHeight="false" outlineLevel="0" collapsed="false">
      <c r="A663" s="12"/>
      <c r="B663" s="13"/>
      <c r="C663" s="13"/>
      <c r="D663" s="14"/>
      <c r="E663" s="15"/>
      <c r="F663" s="16"/>
      <c r="G663" s="17"/>
      <c r="H663" s="18" t="n">
        <f aca="false">IF(AND(C663="Yakıt",D663&lt;&gt;""),SUMPRODUCT(MAX(($B$5:$B$1004=B663)*($C$5:$C$1004="Yakıt")*($D$5:$D$1004&lt;D663)*$D$5:$D$1004)),0)</f>
        <v>0</v>
      </c>
      <c r="I663" s="18" t="str">
        <f aca="false">IF(H663&gt;0,D663-H663,"")</f>
        <v/>
      </c>
      <c r="J663" s="19" t="str">
        <f aca="false">IF(OR(I663="",E663=""),"",E663/I663*100)</f>
        <v/>
      </c>
      <c r="K663" s="20" t="str">
        <f aca="false">IF(I663="","",F663/I663)</f>
        <v/>
      </c>
    </row>
    <row r="664" customFormat="false" ht="15" hidden="false" customHeight="false" outlineLevel="0" collapsed="false">
      <c r="A664" s="12"/>
      <c r="B664" s="13"/>
      <c r="C664" s="13"/>
      <c r="D664" s="14"/>
      <c r="E664" s="15"/>
      <c r="F664" s="16"/>
      <c r="G664" s="17"/>
      <c r="H664" s="18" t="n">
        <f aca="false">IF(AND(C664="Yakıt",D664&lt;&gt;""),SUMPRODUCT(MAX(($B$5:$B$1004=B664)*($C$5:$C$1004="Yakıt")*($D$5:$D$1004&lt;D664)*$D$5:$D$1004)),0)</f>
        <v>0</v>
      </c>
      <c r="I664" s="18" t="str">
        <f aca="false">IF(H664&gt;0,D664-H664,"")</f>
        <v/>
      </c>
      <c r="J664" s="19" t="str">
        <f aca="false">IF(OR(I664="",E664=""),"",E664/I664*100)</f>
        <v/>
      </c>
      <c r="K664" s="20" t="str">
        <f aca="false">IF(I664="","",F664/I664)</f>
        <v/>
      </c>
    </row>
    <row r="665" customFormat="false" ht="15" hidden="false" customHeight="false" outlineLevel="0" collapsed="false">
      <c r="A665" s="12"/>
      <c r="B665" s="13"/>
      <c r="C665" s="13"/>
      <c r="D665" s="14"/>
      <c r="E665" s="15"/>
      <c r="F665" s="16"/>
      <c r="G665" s="17"/>
      <c r="H665" s="18" t="n">
        <f aca="false">IF(AND(C665="Yakıt",D665&lt;&gt;""),SUMPRODUCT(MAX(($B$5:$B$1004=B665)*($C$5:$C$1004="Yakıt")*($D$5:$D$1004&lt;D665)*$D$5:$D$1004)),0)</f>
        <v>0</v>
      </c>
      <c r="I665" s="18" t="str">
        <f aca="false">IF(H665&gt;0,D665-H665,"")</f>
        <v/>
      </c>
      <c r="J665" s="19" t="str">
        <f aca="false">IF(OR(I665="",E665=""),"",E665/I665*100)</f>
        <v/>
      </c>
      <c r="K665" s="20" t="str">
        <f aca="false">IF(I665="","",F665/I665)</f>
        <v/>
      </c>
    </row>
    <row r="666" customFormat="false" ht="15" hidden="false" customHeight="false" outlineLevel="0" collapsed="false">
      <c r="A666" s="12"/>
      <c r="B666" s="13"/>
      <c r="C666" s="13"/>
      <c r="D666" s="14"/>
      <c r="E666" s="15"/>
      <c r="F666" s="16"/>
      <c r="G666" s="17"/>
      <c r="H666" s="18" t="n">
        <f aca="false">IF(AND(C666="Yakıt",D666&lt;&gt;""),SUMPRODUCT(MAX(($B$5:$B$1004=B666)*($C$5:$C$1004="Yakıt")*($D$5:$D$1004&lt;D666)*$D$5:$D$1004)),0)</f>
        <v>0</v>
      </c>
      <c r="I666" s="18" t="str">
        <f aca="false">IF(H666&gt;0,D666-H666,"")</f>
        <v/>
      </c>
      <c r="J666" s="19" t="str">
        <f aca="false">IF(OR(I666="",E666=""),"",E666/I666*100)</f>
        <v/>
      </c>
      <c r="K666" s="20" t="str">
        <f aca="false">IF(I666="","",F666/I666)</f>
        <v/>
      </c>
    </row>
    <row r="667" customFormat="false" ht="15" hidden="false" customHeight="false" outlineLevel="0" collapsed="false">
      <c r="A667" s="12"/>
      <c r="B667" s="13"/>
      <c r="C667" s="13"/>
      <c r="D667" s="14"/>
      <c r="E667" s="15"/>
      <c r="F667" s="16"/>
      <c r="G667" s="17"/>
      <c r="H667" s="18" t="n">
        <f aca="false">IF(AND(C667="Yakıt",D667&lt;&gt;""),SUMPRODUCT(MAX(($B$5:$B$1004=B667)*($C$5:$C$1004="Yakıt")*($D$5:$D$1004&lt;D667)*$D$5:$D$1004)),0)</f>
        <v>0</v>
      </c>
      <c r="I667" s="18" t="str">
        <f aca="false">IF(H667&gt;0,D667-H667,"")</f>
        <v/>
      </c>
      <c r="J667" s="19" t="str">
        <f aca="false">IF(OR(I667="",E667=""),"",E667/I667*100)</f>
        <v/>
      </c>
      <c r="K667" s="20" t="str">
        <f aca="false">IF(I667="","",F667/I667)</f>
        <v/>
      </c>
    </row>
    <row r="668" customFormat="false" ht="15" hidden="false" customHeight="false" outlineLevel="0" collapsed="false">
      <c r="A668" s="12"/>
      <c r="B668" s="13"/>
      <c r="C668" s="13"/>
      <c r="D668" s="14"/>
      <c r="E668" s="15"/>
      <c r="F668" s="16"/>
      <c r="G668" s="17"/>
      <c r="H668" s="18" t="n">
        <f aca="false">IF(AND(C668="Yakıt",D668&lt;&gt;""),SUMPRODUCT(MAX(($B$5:$B$1004=B668)*($C$5:$C$1004="Yakıt")*($D$5:$D$1004&lt;D668)*$D$5:$D$1004)),0)</f>
        <v>0</v>
      </c>
      <c r="I668" s="18" t="str">
        <f aca="false">IF(H668&gt;0,D668-H668,"")</f>
        <v/>
      </c>
      <c r="J668" s="19" t="str">
        <f aca="false">IF(OR(I668="",E668=""),"",E668/I668*100)</f>
        <v/>
      </c>
      <c r="K668" s="20" t="str">
        <f aca="false">IF(I668="","",F668/I668)</f>
        <v/>
      </c>
    </row>
    <row r="669" customFormat="false" ht="15" hidden="false" customHeight="false" outlineLevel="0" collapsed="false">
      <c r="A669" s="12"/>
      <c r="B669" s="13"/>
      <c r="C669" s="13"/>
      <c r="D669" s="14"/>
      <c r="E669" s="15"/>
      <c r="F669" s="16"/>
      <c r="G669" s="17"/>
      <c r="H669" s="18" t="n">
        <f aca="false">IF(AND(C669="Yakıt",D669&lt;&gt;""),SUMPRODUCT(MAX(($B$5:$B$1004=B669)*($C$5:$C$1004="Yakıt")*($D$5:$D$1004&lt;D669)*$D$5:$D$1004)),0)</f>
        <v>0</v>
      </c>
      <c r="I669" s="18" t="str">
        <f aca="false">IF(H669&gt;0,D669-H669,"")</f>
        <v/>
      </c>
      <c r="J669" s="19" t="str">
        <f aca="false">IF(OR(I669="",E669=""),"",E669/I669*100)</f>
        <v/>
      </c>
      <c r="K669" s="20" t="str">
        <f aca="false">IF(I669="","",F669/I669)</f>
        <v/>
      </c>
    </row>
    <row r="670" customFormat="false" ht="15" hidden="false" customHeight="false" outlineLevel="0" collapsed="false">
      <c r="A670" s="12"/>
      <c r="B670" s="13"/>
      <c r="C670" s="13"/>
      <c r="D670" s="14"/>
      <c r="E670" s="15"/>
      <c r="F670" s="16"/>
      <c r="G670" s="17"/>
      <c r="H670" s="18" t="n">
        <f aca="false">IF(AND(C670="Yakıt",D670&lt;&gt;""),SUMPRODUCT(MAX(($B$5:$B$1004=B670)*($C$5:$C$1004="Yakıt")*($D$5:$D$1004&lt;D670)*$D$5:$D$1004)),0)</f>
        <v>0</v>
      </c>
      <c r="I670" s="18" t="str">
        <f aca="false">IF(H670&gt;0,D670-H670,"")</f>
        <v/>
      </c>
      <c r="J670" s="19" t="str">
        <f aca="false">IF(OR(I670="",E670=""),"",E670/I670*100)</f>
        <v/>
      </c>
      <c r="K670" s="20" t="str">
        <f aca="false">IF(I670="","",F670/I670)</f>
        <v/>
      </c>
    </row>
    <row r="671" customFormat="false" ht="15" hidden="false" customHeight="false" outlineLevel="0" collapsed="false">
      <c r="A671" s="12"/>
      <c r="B671" s="13"/>
      <c r="C671" s="13"/>
      <c r="D671" s="14"/>
      <c r="E671" s="15"/>
      <c r="F671" s="16"/>
      <c r="G671" s="17"/>
      <c r="H671" s="18" t="n">
        <f aca="false">IF(AND(C671="Yakıt",D671&lt;&gt;""),SUMPRODUCT(MAX(($B$5:$B$1004=B671)*($C$5:$C$1004="Yakıt")*($D$5:$D$1004&lt;D671)*$D$5:$D$1004)),0)</f>
        <v>0</v>
      </c>
      <c r="I671" s="18" t="str">
        <f aca="false">IF(H671&gt;0,D671-H671,"")</f>
        <v/>
      </c>
      <c r="J671" s="19" t="str">
        <f aca="false">IF(OR(I671="",E671=""),"",E671/I671*100)</f>
        <v/>
      </c>
      <c r="K671" s="20" t="str">
        <f aca="false">IF(I671="","",F671/I671)</f>
        <v/>
      </c>
    </row>
    <row r="672" customFormat="false" ht="15" hidden="false" customHeight="false" outlineLevel="0" collapsed="false">
      <c r="A672" s="12"/>
      <c r="B672" s="13"/>
      <c r="C672" s="13"/>
      <c r="D672" s="14"/>
      <c r="E672" s="15"/>
      <c r="F672" s="16"/>
      <c r="G672" s="17"/>
      <c r="H672" s="18" t="n">
        <f aca="false">IF(AND(C672="Yakıt",D672&lt;&gt;""),SUMPRODUCT(MAX(($B$5:$B$1004=B672)*($C$5:$C$1004="Yakıt")*($D$5:$D$1004&lt;D672)*$D$5:$D$1004)),0)</f>
        <v>0</v>
      </c>
      <c r="I672" s="18" t="str">
        <f aca="false">IF(H672&gt;0,D672-H672,"")</f>
        <v/>
      </c>
      <c r="J672" s="19" t="str">
        <f aca="false">IF(OR(I672="",E672=""),"",E672/I672*100)</f>
        <v/>
      </c>
      <c r="K672" s="20" t="str">
        <f aca="false">IF(I672="","",F672/I672)</f>
        <v/>
      </c>
    </row>
    <row r="673" customFormat="false" ht="15" hidden="false" customHeight="false" outlineLevel="0" collapsed="false">
      <c r="A673" s="12"/>
      <c r="B673" s="13"/>
      <c r="C673" s="13"/>
      <c r="D673" s="14"/>
      <c r="E673" s="15"/>
      <c r="F673" s="16"/>
      <c r="G673" s="17"/>
      <c r="H673" s="18" t="n">
        <f aca="false">IF(AND(C673="Yakıt",D673&lt;&gt;""),SUMPRODUCT(MAX(($B$5:$B$1004=B673)*($C$5:$C$1004="Yakıt")*($D$5:$D$1004&lt;D673)*$D$5:$D$1004)),0)</f>
        <v>0</v>
      </c>
      <c r="I673" s="18" t="str">
        <f aca="false">IF(H673&gt;0,D673-H673,"")</f>
        <v/>
      </c>
      <c r="J673" s="19" t="str">
        <f aca="false">IF(OR(I673="",E673=""),"",E673/I673*100)</f>
        <v/>
      </c>
      <c r="K673" s="20" t="str">
        <f aca="false">IF(I673="","",F673/I673)</f>
        <v/>
      </c>
    </row>
    <row r="674" customFormat="false" ht="15" hidden="false" customHeight="false" outlineLevel="0" collapsed="false">
      <c r="A674" s="12"/>
      <c r="B674" s="13"/>
      <c r="C674" s="13"/>
      <c r="D674" s="14"/>
      <c r="E674" s="15"/>
      <c r="F674" s="16"/>
      <c r="G674" s="17"/>
      <c r="H674" s="18" t="n">
        <f aca="false">IF(AND(C674="Yakıt",D674&lt;&gt;""),SUMPRODUCT(MAX(($B$5:$B$1004=B674)*($C$5:$C$1004="Yakıt")*($D$5:$D$1004&lt;D674)*$D$5:$D$1004)),0)</f>
        <v>0</v>
      </c>
      <c r="I674" s="18" t="str">
        <f aca="false">IF(H674&gt;0,D674-H674,"")</f>
        <v/>
      </c>
      <c r="J674" s="19" t="str">
        <f aca="false">IF(OR(I674="",E674=""),"",E674/I674*100)</f>
        <v/>
      </c>
      <c r="K674" s="20" t="str">
        <f aca="false">IF(I674="","",F674/I674)</f>
        <v/>
      </c>
    </row>
    <row r="675" customFormat="false" ht="15" hidden="false" customHeight="false" outlineLevel="0" collapsed="false">
      <c r="A675" s="12"/>
      <c r="B675" s="13"/>
      <c r="C675" s="13"/>
      <c r="D675" s="14"/>
      <c r="E675" s="15"/>
      <c r="F675" s="16"/>
      <c r="G675" s="17"/>
      <c r="H675" s="18" t="n">
        <f aca="false">IF(AND(C675="Yakıt",D675&lt;&gt;""),SUMPRODUCT(MAX(($B$5:$B$1004=B675)*($C$5:$C$1004="Yakıt")*($D$5:$D$1004&lt;D675)*$D$5:$D$1004)),0)</f>
        <v>0</v>
      </c>
      <c r="I675" s="18" t="str">
        <f aca="false">IF(H675&gt;0,D675-H675,"")</f>
        <v/>
      </c>
      <c r="J675" s="19" t="str">
        <f aca="false">IF(OR(I675="",E675=""),"",E675/I675*100)</f>
        <v/>
      </c>
      <c r="K675" s="20" t="str">
        <f aca="false">IF(I675="","",F675/I675)</f>
        <v/>
      </c>
    </row>
    <row r="676" customFormat="false" ht="15" hidden="false" customHeight="false" outlineLevel="0" collapsed="false">
      <c r="A676" s="12"/>
      <c r="B676" s="13"/>
      <c r="C676" s="13"/>
      <c r="D676" s="14"/>
      <c r="E676" s="15"/>
      <c r="F676" s="16"/>
      <c r="G676" s="17"/>
      <c r="H676" s="18" t="n">
        <f aca="false">IF(AND(C676="Yakıt",D676&lt;&gt;""),SUMPRODUCT(MAX(($B$5:$B$1004=B676)*($C$5:$C$1004="Yakıt")*($D$5:$D$1004&lt;D676)*$D$5:$D$1004)),0)</f>
        <v>0</v>
      </c>
      <c r="I676" s="18" t="str">
        <f aca="false">IF(H676&gt;0,D676-H676,"")</f>
        <v/>
      </c>
      <c r="J676" s="19" t="str">
        <f aca="false">IF(OR(I676="",E676=""),"",E676/I676*100)</f>
        <v/>
      </c>
      <c r="K676" s="20" t="str">
        <f aca="false">IF(I676="","",F676/I676)</f>
        <v/>
      </c>
    </row>
    <row r="677" customFormat="false" ht="15" hidden="false" customHeight="false" outlineLevel="0" collapsed="false">
      <c r="A677" s="12"/>
      <c r="B677" s="13"/>
      <c r="C677" s="13"/>
      <c r="D677" s="14"/>
      <c r="E677" s="15"/>
      <c r="F677" s="16"/>
      <c r="G677" s="17"/>
      <c r="H677" s="18" t="n">
        <f aca="false">IF(AND(C677="Yakıt",D677&lt;&gt;""),SUMPRODUCT(MAX(($B$5:$B$1004=B677)*($C$5:$C$1004="Yakıt")*($D$5:$D$1004&lt;D677)*$D$5:$D$1004)),0)</f>
        <v>0</v>
      </c>
      <c r="I677" s="18" t="str">
        <f aca="false">IF(H677&gt;0,D677-H677,"")</f>
        <v/>
      </c>
      <c r="J677" s="19" t="str">
        <f aca="false">IF(OR(I677="",E677=""),"",E677/I677*100)</f>
        <v/>
      </c>
      <c r="K677" s="20" t="str">
        <f aca="false">IF(I677="","",F677/I677)</f>
        <v/>
      </c>
    </row>
    <row r="678" customFormat="false" ht="15" hidden="false" customHeight="false" outlineLevel="0" collapsed="false">
      <c r="A678" s="12"/>
      <c r="B678" s="13"/>
      <c r="C678" s="13"/>
      <c r="D678" s="14"/>
      <c r="E678" s="15"/>
      <c r="F678" s="16"/>
      <c r="G678" s="17"/>
      <c r="H678" s="18" t="n">
        <f aca="false">IF(AND(C678="Yakıt",D678&lt;&gt;""),SUMPRODUCT(MAX(($B$5:$B$1004=B678)*($C$5:$C$1004="Yakıt")*($D$5:$D$1004&lt;D678)*$D$5:$D$1004)),0)</f>
        <v>0</v>
      </c>
      <c r="I678" s="18" t="str">
        <f aca="false">IF(H678&gt;0,D678-H678,"")</f>
        <v/>
      </c>
      <c r="J678" s="19" t="str">
        <f aca="false">IF(OR(I678="",E678=""),"",E678/I678*100)</f>
        <v/>
      </c>
      <c r="K678" s="20" t="str">
        <f aca="false">IF(I678="","",F678/I678)</f>
        <v/>
      </c>
    </row>
    <row r="679" customFormat="false" ht="15" hidden="false" customHeight="false" outlineLevel="0" collapsed="false">
      <c r="A679" s="12"/>
      <c r="B679" s="13"/>
      <c r="C679" s="13"/>
      <c r="D679" s="14"/>
      <c r="E679" s="15"/>
      <c r="F679" s="16"/>
      <c r="G679" s="17"/>
      <c r="H679" s="18" t="n">
        <f aca="false">IF(AND(C679="Yakıt",D679&lt;&gt;""),SUMPRODUCT(MAX(($B$5:$B$1004=B679)*($C$5:$C$1004="Yakıt")*($D$5:$D$1004&lt;D679)*$D$5:$D$1004)),0)</f>
        <v>0</v>
      </c>
      <c r="I679" s="18" t="str">
        <f aca="false">IF(H679&gt;0,D679-H679,"")</f>
        <v/>
      </c>
      <c r="J679" s="19" t="str">
        <f aca="false">IF(OR(I679="",E679=""),"",E679/I679*100)</f>
        <v/>
      </c>
      <c r="K679" s="20" t="str">
        <f aca="false">IF(I679="","",F679/I679)</f>
        <v/>
      </c>
    </row>
    <row r="680" customFormat="false" ht="15" hidden="false" customHeight="false" outlineLevel="0" collapsed="false">
      <c r="A680" s="12"/>
      <c r="B680" s="13"/>
      <c r="C680" s="13"/>
      <c r="D680" s="14"/>
      <c r="E680" s="15"/>
      <c r="F680" s="16"/>
      <c r="G680" s="17"/>
      <c r="H680" s="18" t="n">
        <f aca="false">IF(AND(C680="Yakıt",D680&lt;&gt;""),SUMPRODUCT(MAX(($B$5:$B$1004=B680)*($C$5:$C$1004="Yakıt")*($D$5:$D$1004&lt;D680)*$D$5:$D$1004)),0)</f>
        <v>0</v>
      </c>
      <c r="I680" s="18" t="str">
        <f aca="false">IF(H680&gt;0,D680-H680,"")</f>
        <v/>
      </c>
      <c r="J680" s="19" t="str">
        <f aca="false">IF(OR(I680="",E680=""),"",E680/I680*100)</f>
        <v/>
      </c>
      <c r="K680" s="20" t="str">
        <f aca="false">IF(I680="","",F680/I680)</f>
        <v/>
      </c>
    </row>
    <row r="681" customFormat="false" ht="15" hidden="false" customHeight="false" outlineLevel="0" collapsed="false">
      <c r="A681" s="12"/>
      <c r="B681" s="13"/>
      <c r="C681" s="13"/>
      <c r="D681" s="14"/>
      <c r="E681" s="15"/>
      <c r="F681" s="16"/>
      <c r="G681" s="17"/>
      <c r="H681" s="18" t="n">
        <f aca="false">IF(AND(C681="Yakıt",D681&lt;&gt;""),SUMPRODUCT(MAX(($B$5:$B$1004=B681)*($C$5:$C$1004="Yakıt")*($D$5:$D$1004&lt;D681)*$D$5:$D$1004)),0)</f>
        <v>0</v>
      </c>
      <c r="I681" s="18" t="str">
        <f aca="false">IF(H681&gt;0,D681-H681,"")</f>
        <v/>
      </c>
      <c r="J681" s="19" t="str">
        <f aca="false">IF(OR(I681="",E681=""),"",E681/I681*100)</f>
        <v/>
      </c>
      <c r="K681" s="20" t="str">
        <f aca="false">IF(I681="","",F681/I681)</f>
        <v/>
      </c>
    </row>
    <row r="682" customFormat="false" ht="15" hidden="false" customHeight="false" outlineLevel="0" collapsed="false">
      <c r="A682" s="12"/>
      <c r="B682" s="13"/>
      <c r="C682" s="13"/>
      <c r="D682" s="14"/>
      <c r="E682" s="15"/>
      <c r="F682" s="16"/>
      <c r="G682" s="17"/>
      <c r="H682" s="18" t="n">
        <f aca="false">IF(AND(C682="Yakıt",D682&lt;&gt;""),SUMPRODUCT(MAX(($B$5:$B$1004=B682)*($C$5:$C$1004="Yakıt")*($D$5:$D$1004&lt;D682)*$D$5:$D$1004)),0)</f>
        <v>0</v>
      </c>
      <c r="I682" s="18" t="str">
        <f aca="false">IF(H682&gt;0,D682-H682,"")</f>
        <v/>
      </c>
      <c r="J682" s="19" t="str">
        <f aca="false">IF(OR(I682="",E682=""),"",E682/I682*100)</f>
        <v/>
      </c>
      <c r="K682" s="20" t="str">
        <f aca="false">IF(I682="","",F682/I682)</f>
        <v/>
      </c>
    </row>
    <row r="683" customFormat="false" ht="15" hidden="false" customHeight="false" outlineLevel="0" collapsed="false">
      <c r="A683" s="12"/>
      <c r="B683" s="13"/>
      <c r="C683" s="13"/>
      <c r="D683" s="14"/>
      <c r="E683" s="15"/>
      <c r="F683" s="16"/>
      <c r="G683" s="17"/>
      <c r="H683" s="18" t="n">
        <f aca="false">IF(AND(C683="Yakıt",D683&lt;&gt;""),SUMPRODUCT(MAX(($B$5:$B$1004=B683)*($C$5:$C$1004="Yakıt")*($D$5:$D$1004&lt;D683)*$D$5:$D$1004)),0)</f>
        <v>0</v>
      </c>
      <c r="I683" s="18" t="str">
        <f aca="false">IF(H683&gt;0,D683-H683,"")</f>
        <v/>
      </c>
      <c r="J683" s="19" t="str">
        <f aca="false">IF(OR(I683="",E683=""),"",E683/I683*100)</f>
        <v/>
      </c>
      <c r="K683" s="20" t="str">
        <f aca="false">IF(I683="","",F683/I683)</f>
        <v/>
      </c>
    </row>
    <row r="684" customFormat="false" ht="15" hidden="false" customHeight="false" outlineLevel="0" collapsed="false">
      <c r="A684" s="12"/>
      <c r="B684" s="13"/>
      <c r="C684" s="13"/>
      <c r="D684" s="14"/>
      <c r="E684" s="15"/>
      <c r="F684" s="16"/>
      <c r="G684" s="17"/>
      <c r="H684" s="18" t="n">
        <f aca="false">IF(AND(C684="Yakıt",D684&lt;&gt;""),SUMPRODUCT(MAX(($B$5:$B$1004=B684)*($C$5:$C$1004="Yakıt")*($D$5:$D$1004&lt;D684)*$D$5:$D$1004)),0)</f>
        <v>0</v>
      </c>
      <c r="I684" s="18" t="str">
        <f aca="false">IF(H684&gt;0,D684-H684,"")</f>
        <v/>
      </c>
      <c r="J684" s="19" t="str">
        <f aca="false">IF(OR(I684="",E684=""),"",E684/I684*100)</f>
        <v/>
      </c>
      <c r="K684" s="20" t="str">
        <f aca="false">IF(I684="","",F684/I684)</f>
        <v/>
      </c>
    </row>
    <row r="685" customFormat="false" ht="15" hidden="false" customHeight="false" outlineLevel="0" collapsed="false">
      <c r="A685" s="12"/>
      <c r="B685" s="13"/>
      <c r="C685" s="13"/>
      <c r="D685" s="14"/>
      <c r="E685" s="15"/>
      <c r="F685" s="16"/>
      <c r="G685" s="17"/>
      <c r="H685" s="18" t="n">
        <f aca="false">IF(AND(C685="Yakıt",D685&lt;&gt;""),SUMPRODUCT(MAX(($B$5:$B$1004=B685)*($C$5:$C$1004="Yakıt")*($D$5:$D$1004&lt;D685)*$D$5:$D$1004)),0)</f>
        <v>0</v>
      </c>
      <c r="I685" s="18" t="str">
        <f aca="false">IF(H685&gt;0,D685-H685,"")</f>
        <v/>
      </c>
      <c r="J685" s="19" t="str">
        <f aca="false">IF(OR(I685="",E685=""),"",E685/I685*100)</f>
        <v/>
      </c>
      <c r="K685" s="20" t="str">
        <f aca="false">IF(I685="","",F685/I685)</f>
        <v/>
      </c>
    </row>
    <row r="686" customFormat="false" ht="15" hidden="false" customHeight="false" outlineLevel="0" collapsed="false">
      <c r="A686" s="12"/>
      <c r="B686" s="13"/>
      <c r="C686" s="13"/>
      <c r="D686" s="14"/>
      <c r="E686" s="15"/>
      <c r="F686" s="16"/>
      <c r="G686" s="17"/>
      <c r="H686" s="18" t="n">
        <f aca="false">IF(AND(C686="Yakıt",D686&lt;&gt;""),SUMPRODUCT(MAX(($B$5:$B$1004=B686)*($C$5:$C$1004="Yakıt")*($D$5:$D$1004&lt;D686)*$D$5:$D$1004)),0)</f>
        <v>0</v>
      </c>
      <c r="I686" s="18" t="str">
        <f aca="false">IF(H686&gt;0,D686-H686,"")</f>
        <v/>
      </c>
      <c r="J686" s="19" t="str">
        <f aca="false">IF(OR(I686="",E686=""),"",E686/I686*100)</f>
        <v/>
      </c>
      <c r="K686" s="20" t="str">
        <f aca="false">IF(I686="","",F686/I686)</f>
        <v/>
      </c>
    </row>
    <row r="687" customFormat="false" ht="15" hidden="false" customHeight="false" outlineLevel="0" collapsed="false">
      <c r="A687" s="12"/>
      <c r="B687" s="13"/>
      <c r="C687" s="13"/>
      <c r="D687" s="14"/>
      <c r="E687" s="15"/>
      <c r="F687" s="16"/>
      <c r="G687" s="17"/>
      <c r="H687" s="18" t="n">
        <f aca="false">IF(AND(C687="Yakıt",D687&lt;&gt;""),SUMPRODUCT(MAX(($B$5:$B$1004=B687)*($C$5:$C$1004="Yakıt")*($D$5:$D$1004&lt;D687)*$D$5:$D$1004)),0)</f>
        <v>0</v>
      </c>
      <c r="I687" s="18" t="str">
        <f aca="false">IF(H687&gt;0,D687-H687,"")</f>
        <v/>
      </c>
      <c r="J687" s="19" t="str">
        <f aca="false">IF(OR(I687="",E687=""),"",E687/I687*100)</f>
        <v/>
      </c>
      <c r="K687" s="20" t="str">
        <f aca="false">IF(I687="","",F687/I687)</f>
        <v/>
      </c>
    </row>
    <row r="688" customFormat="false" ht="15" hidden="false" customHeight="false" outlineLevel="0" collapsed="false">
      <c r="A688" s="12"/>
      <c r="B688" s="13"/>
      <c r="C688" s="13"/>
      <c r="D688" s="14"/>
      <c r="E688" s="15"/>
      <c r="F688" s="16"/>
      <c r="G688" s="17"/>
      <c r="H688" s="18" t="n">
        <f aca="false">IF(AND(C688="Yakıt",D688&lt;&gt;""),SUMPRODUCT(MAX(($B$5:$B$1004=B688)*($C$5:$C$1004="Yakıt")*($D$5:$D$1004&lt;D688)*$D$5:$D$1004)),0)</f>
        <v>0</v>
      </c>
      <c r="I688" s="18" t="str">
        <f aca="false">IF(H688&gt;0,D688-H688,"")</f>
        <v/>
      </c>
      <c r="J688" s="19" t="str">
        <f aca="false">IF(OR(I688="",E688=""),"",E688/I688*100)</f>
        <v/>
      </c>
      <c r="K688" s="20" t="str">
        <f aca="false">IF(I688="","",F688/I688)</f>
        <v/>
      </c>
    </row>
    <row r="689" customFormat="false" ht="15" hidden="false" customHeight="false" outlineLevel="0" collapsed="false">
      <c r="A689" s="12"/>
      <c r="B689" s="13"/>
      <c r="C689" s="13"/>
      <c r="D689" s="14"/>
      <c r="E689" s="15"/>
      <c r="F689" s="16"/>
      <c r="G689" s="17"/>
      <c r="H689" s="18" t="n">
        <f aca="false">IF(AND(C689="Yakıt",D689&lt;&gt;""),SUMPRODUCT(MAX(($B$5:$B$1004=B689)*($C$5:$C$1004="Yakıt")*($D$5:$D$1004&lt;D689)*$D$5:$D$1004)),0)</f>
        <v>0</v>
      </c>
      <c r="I689" s="18" t="str">
        <f aca="false">IF(H689&gt;0,D689-H689,"")</f>
        <v/>
      </c>
      <c r="J689" s="19" t="str">
        <f aca="false">IF(OR(I689="",E689=""),"",E689/I689*100)</f>
        <v/>
      </c>
      <c r="K689" s="20" t="str">
        <f aca="false">IF(I689="","",F689/I689)</f>
        <v/>
      </c>
    </row>
    <row r="690" customFormat="false" ht="15" hidden="false" customHeight="false" outlineLevel="0" collapsed="false">
      <c r="A690" s="12"/>
      <c r="B690" s="13"/>
      <c r="C690" s="13"/>
      <c r="D690" s="14"/>
      <c r="E690" s="15"/>
      <c r="F690" s="16"/>
      <c r="G690" s="17"/>
      <c r="H690" s="18" t="n">
        <f aca="false">IF(AND(C690="Yakıt",D690&lt;&gt;""),SUMPRODUCT(MAX(($B$5:$B$1004=B690)*($C$5:$C$1004="Yakıt")*($D$5:$D$1004&lt;D690)*$D$5:$D$1004)),0)</f>
        <v>0</v>
      </c>
      <c r="I690" s="18" t="str">
        <f aca="false">IF(H690&gt;0,D690-H690,"")</f>
        <v/>
      </c>
      <c r="J690" s="19" t="str">
        <f aca="false">IF(OR(I690="",E690=""),"",E690/I690*100)</f>
        <v/>
      </c>
      <c r="K690" s="20" t="str">
        <f aca="false">IF(I690="","",F690/I690)</f>
        <v/>
      </c>
    </row>
    <row r="691" customFormat="false" ht="15" hidden="false" customHeight="false" outlineLevel="0" collapsed="false">
      <c r="A691" s="12"/>
      <c r="B691" s="13"/>
      <c r="C691" s="13"/>
      <c r="D691" s="14"/>
      <c r="E691" s="15"/>
      <c r="F691" s="16"/>
      <c r="G691" s="17"/>
      <c r="H691" s="18" t="n">
        <f aca="false">IF(AND(C691="Yakıt",D691&lt;&gt;""),SUMPRODUCT(MAX(($B$5:$B$1004=B691)*($C$5:$C$1004="Yakıt")*($D$5:$D$1004&lt;D691)*$D$5:$D$1004)),0)</f>
        <v>0</v>
      </c>
      <c r="I691" s="18" t="str">
        <f aca="false">IF(H691&gt;0,D691-H691,"")</f>
        <v/>
      </c>
      <c r="J691" s="19" t="str">
        <f aca="false">IF(OR(I691="",E691=""),"",E691/I691*100)</f>
        <v/>
      </c>
      <c r="K691" s="20" t="str">
        <f aca="false">IF(I691="","",F691/I691)</f>
        <v/>
      </c>
    </row>
    <row r="692" customFormat="false" ht="15" hidden="false" customHeight="false" outlineLevel="0" collapsed="false">
      <c r="A692" s="12"/>
      <c r="B692" s="13"/>
      <c r="C692" s="13"/>
      <c r="D692" s="14"/>
      <c r="E692" s="15"/>
      <c r="F692" s="16"/>
      <c r="G692" s="17"/>
      <c r="H692" s="18" t="n">
        <f aca="false">IF(AND(C692="Yakıt",D692&lt;&gt;""),SUMPRODUCT(MAX(($B$5:$B$1004=B692)*($C$5:$C$1004="Yakıt")*($D$5:$D$1004&lt;D692)*$D$5:$D$1004)),0)</f>
        <v>0</v>
      </c>
      <c r="I692" s="18" t="str">
        <f aca="false">IF(H692&gt;0,D692-H692,"")</f>
        <v/>
      </c>
      <c r="J692" s="19" t="str">
        <f aca="false">IF(OR(I692="",E692=""),"",E692/I692*100)</f>
        <v/>
      </c>
      <c r="K692" s="20" t="str">
        <f aca="false">IF(I692="","",F692/I692)</f>
        <v/>
      </c>
    </row>
    <row r="693" customFormat="false" ht="15" hidden="false" customHeight="false" outlineLevel="0" collapsed="false">
      <c r="A693" s="12"/>
      <c r="B693" s="13"/>
      <c r="C693" s="13"/>
      <c r="D693" s="14"/>
      <c r="E693" s="15"/>
      <c r="F693" s="16"/>
      <c r="G693" s="17"/>
      <c r="H693" s="18" t="n">
        <f aca="false">IF(AND(C693="Yakıt",D693&lt;&gt;""),SUMPRODUCT(MAX(($B$5:$B$1004=B693)*($C$5:$C$1004="Yakıt")*($D$5:$D$1004&lt;D693)*$D$5:$D$1004)),0)</f>
        <v>0</v>
      </c>
      <c r="I693" s="18" t="str">
        <f aca="false">IF(H693&gt;0,D693-H693,"")</f>
        <v/>
      </c>
      <c r="J693" s="19" t="str">
        <f aca="false">IF(OR(I693="",E693=""),"",E693/I693*100)</f>
        <v/>
      </c>
      <c r="K693" s="20" t="str">
        <f aca="false">IF(I693="","",F693/I693)</f>
        <v/>
      </c>
    </row>
    <row r="694" customFormat="false" ht="15" hidden="false" customHeight="false" outlineLevel="0" collapsed="false">
      <c r="A694" s="12"/>
      <c r="B694" s="13"/>
      <c r="C694" s="13"/>
      <c r="D694" s="14"/>
      <c r="E694" s="15"/>
      <c r="F694" s="16"/>
      <c r="G694" s="17"/>
      <c r="H694" s="18" t="n">
        <f aca="false">IF(AND(C694="Yakıt",D694&lt;&gt;""),SUMPRODUCT(MAX(($B$5:$B$1004=B694)*($C$5:$C$1004="Yakıt")*($D$5:$D$1004&lt;D694)*$D$5:$D$1004)),0)</f>
        <v>0</v>
      </c>
      <c r="I694" s="18" t="str">
        <f aca="false">IF(H694&gt;0,D694-H694,"")</f>
        <v/>
      </c>
      <c r="J694" s="19" t="str">
        <f aca="false">IF(OR(I694="",E694=""),"",E694/I694*100)</f>
        <v/>
      </c>
      <c r="K694" s="20" t="str">
        <f aca="false">IF(I694="","",F694/I694)</f>
        <v/>
      </c>
    </row>
    <row r="695" customFormat="false" ht="15" hidden="false" customHeight="false" outlineLevel="0" collapsed="false">
      <c r="A695" s="12"/>
      <c r="B695" s="13"/>
      <c r="C695" s="13"/>
      <c r="D695" s="14"/>
      <c r="E695" s="15"/>
      <c r="F695" s="16"/>
      <c r="G695" s="17"/>
      <c r="H695" s="18" t="n">
        <f aca="false">IF(AND(C695="Yakıt",D695&lt;&gt;""),SUMPRODUCT(MAX(($B$5:$B$1004=B695)*($C$5:$C$1004="Yakıt")*($D$5:$D$1004&lt;D695)*$D$5:$D$1004)),0)</f>
        <v>0</v>
      </c>
      <c r="I695" s="18" t="str">
        <f aca="false">IF(H695&gt;0,D695-H695,"")</f>
        <v/>
      </c>
      <c r="J695" s="19" t="str">
        <f aca="false">IF(OR(I695="",E695=""),"",E695/I695*100)</f>
        <v/>
      </c>
      <c r="K695" s="20" t="str">
        <f aca="false">IF(I695="","",F695/I695)</f>
        <v/>
      </c>
    </row>
    <row r="696" customFormat="false" ht="15" hidden="false" customHeight="false" outlineLevel="0" collapsed="false">
      <c r="A696" s="12"/>
      <c r="B696" s="13"/>
      <c r="C696" s="13"/>
      <c r="D696" s="14"/>
      <c r="E696" s="15"/>
      <c r="F696" s="16"/>
      <c r="G696" s="17"/>
      <c r="H696" s="18" t="n">
        <f aca="false">IF(AND(C696="Yakıt",D696&lt;&gt;""),SUMPRODUCT(MAX(($B$5:$B$1004=B696)*($C$5:$C$1004="Yakıt")*($D$5:$D$1004&lt;D696)*$D$5:$D$1004)),0)</f>
        <v>0</v>
      </c>
      <c r="I696" s="18" t="str">
        <f aca="false">IF(H696&gt;0,D696-H696,"")</f>
        <v/>
      </c>
      <c r="J696" s="19" t="str">
        <f aca="false">IF(OR(I696="",E696=""),"",E696/I696*100)</f>
        <v/>
      </c>
      <c r="K696" s="20" t="str">
        <f aca="false">IF(I696="","",F696/I696)</f>
        <v/>
      </c>
    </row>
    <row r="697" customFormat="false" ht="15" hidden="false" customHeight="false" outlineLevel="0" collapsed="false">
      <c r="A697" s="12"/>
      <c r="B697" s="13"/>
      <c r="C697" s="13"/>
      <c r="D697" s="14"/>
      <c r="E697" s="15"/>
      <c r="F697" s="16"/>
      <c r="G697" s="17"/>
      <c r="H697" s="18" t="n">
        <f aca="false">IF(AND(C697="Yakıt",D697&lt;&gt;""),SUMPRODUCT(MAX(($B$5:$B$1004=B697)*($C$5:$C$1004="Yakıt")*($D$5:$D$1004&lt;D697)*$D$5:$D$1004)),0)</f>
        <v>0</v>
      </c>
      <c r="I697" s="18" t="str">
        <f aca="false">IF(H697&gt;0,D697-H697,"")</f>
        <v/>
      </c>
      <c r="J697" s="19" t="str">
        <f aca="false">IF(OR(I697="",E697=""),"",E697/I697*100)</f>
        <v/>
      </c>
      <c r="K697" s="20" t="str">
        <f aca="false">IF(I697="","",F697/I697)</f>
        <v/>
      </c>
    </row>
    <row r="698" customFormat="false" ht="15" hidden="false" customHeight="false" outlineLevel="0" collapsed="false">
      <c r="A698" s="12"/>
      <c r="B698" s="13"/>
      <c r="C698" s="13"/>
      <c r="D698" s="14"/>
      <c r="E698" s="15"/>
      <c r="F698" s="16"/>
      <c r="G698" s="17"/>
      <c r="H698" s="18" t="n">
        <f aca="false">IF(AND(C698="Yakıt",D698&lt;&gt;""),SUMPRODUCT(MAX(($B$5:$B$1004=B698)*($C$5:$C$1004="Yakıt")*($D$5:$D$1004&lt;D698)*$D$5:$D$1004)),0)</f>
        <v>0</v>
      </c>
      <c r="I698" s="18" t="str">
        <f aca="false">IF(H698&gt;0,D698-H698,"")</f>
        <v/>
      </c>
      <c r="J698" s="19" t="str">
        <f aca="false">IF(OR(I698="",E698=""),"",E698/I698*100)</f>
        <v/>
      </c>
      <c r="K698" s="20" t="str">
        <f aca="false">IF(I698="","",F698/I698)</f>
        <v/>
      </c>
    </row>
    <row r="699" customFormat="false" ht="15" hidden="false" customHeight="false" outlineLevel="0" collapsed="false">
      <c r="A699" s="12"/>
      <c r="B699" s="13"/>
      <c r="C699" s="13"/>
      <c r="D699" s="14"/>
      <c r="E699" s="15"/>
      <c r="F699" s="16"/>
      <c r="G699" s="17"/>
      <c r="H699" s="18" t="n">
        <f aca="false">IF(AND(C699="Yakıt",D699&lt;&gt;""),SUMPRODUCT(MAX(($B$5:$B$1004=B699)*($C$5:$C$1004="Yakıt")*($D$5:$D$1004&lt;D699)*$D$5:$D$1004)),0)</f>
        <v>0</v>
      </c>
      <c r="I699" s="18" t="str">
        <f aca="false">IF(H699&gt;0,D699-H699,"")</f>
        <v/>
      </c>
      <c r="J699" s="19" t="str">
        <f aca="false">IF(OR(I699="",E699=""),"",E699/I699*100)</f>
        <v/>
      </c>
      <c r="K699" s="20" t="str">
        <f aca="false">IF(I699="","",F699/I699)</f>
        <v/>
      </c>
    </row>
    <row r="700" customFormat="false" ht="15" hidden="false" customHeight="false" outlineLevel="0" collapsed="false">
      <c r="A700" s="12"/>
      <c r="B700" s="13"/>
      <c r="C700" s="13"/>
      <c r="D700" s="14"/>
      <c r="E700" s="15"/>
      <c r="F700" s="16"/>
      <c r="G700" s="17"/>
      <c r="H700" s="18" t="n">
        <f aca="false">IF(AND(C700="Yakıt",D700&lt;&gt;""),SUMPRODUCT(MAX(($B$5:$B$1004=B700)*($C$5:$C$1004="Yakıt")*($D$5:$D$1004&lt;D700)*$D$5:$D$1004)),0)</f>
        <v>0</v>
      </c>
      <c r="I700" s="18" t="str">
        <f aca="false">IF(H700&gt;0,D700-H700,"")</f>
        <v/>
      </c>
      <c r="J700" s="19" t="str">
        <f aca="false">IF(OR(I700="",E700=""),"",E700/I700*100)</f>
        <v/>
      </c>
      <c r="K700" s="20" t="str">
        <f aca="false">IF(I700="","",F700/I700)</f>
        <v/>
      </c>
    </row>
    <row r="701" customFormat="false" ht="15" hidden="false" customHeight="false" outlineLevel="0" collapsed="false">
      <c r="A701" s="12"/>
      <c r="B701" s="13"/>
      <c r="C701" s="13"/>
      <c r="D701" s="14"/>
      <c r="E701" s="15"/>
      <c r="F701" s="16"/>
      <c r="G701" s="17"/>
      <c r="H701" s="18" t="n">
        <f aca="false">IF(AND(C701="Yakıt",D701&lt;&gt;""),SUMPRODUCT(MAX(($B$5:$B$1004=B701)*($C$5:$C$1004="Yakıt")*($D$5:$D$1004&lt;D701)*$D$5:$D$1004)),0)</f>
        <v>0</v>
      </c>
      <c r="I701" s="18" t="str">
        <f aca="false">IF(H701&gt;0,D701-H701,"")</f>
        <v/>
      </c>
      <c r="J701" s="19" t="str">
        <f aca="false">IF(OR(I701="",E701=""),"",E701/I701*100)</f>
        <v/>
      </c>
      <c r="K701" s="20" t="str">
        <f aca="false">IF(I701="","",F701/I701)</f>
        <v/>
      </c>
    </row>
    <row r="702" customFormat="false" ht="15" hidden="false" customHeight="false" outlineLevel="0" collapsed="false">
      <c r="A702" s="12"/>
      <c r="B702" s="13"/>
      <c r="C702" s="13"/>
      <c r="D702" s="14"/>
      <c r="E702" s="15"/>
      <c r="F702" s="16"/>
      <c r="G702" s="17"/>
      <c r="H702" s="18" t="n">
        <f aca="false">IF(AND(C702="Yakıt",D702&lt;&gt;""),SUMPRODUCT(MAX(($B$5:$B$1004=B702)*($C$5:$C$1004="Yakıt")*($D$5:$D$1004&lt;D702)*$D$5:$D$1004)),0)</f>
        <v>0</v>
      </c>
      <c r="I702" s="18" t="str">
        <f aca="false">IF(H702&gt;0,D702-H702,"")</f>
        <v/>
      </c>
      <c r="J702" s="19" t="str">
        <f aca="false">IF(OR(I702="",E702=""),"",E702/I702*100)</f>
        <v/>
      </c>
      <c r="K702" s="20" t="str">
        <f aca="false">IF(I702="","",F702/I702)</f>
        <v/>
      </c>
    </row>
    <row r="703" customFormat="false" ht="15" hidden="false" customHeight="false" outlineLevel="0" collapsed="false">
      <c r="A703" s="12"/>
      <c r="B703" s="13"/>
      <c r="C703" s="13"/>
      <c r="D703" s="14"/>
      <c r="E703" s="15"/>
      <c r="F703" s="16"/>
      <c r="G703" s="17"/>
      <c r="H703" s="18" t="n">
        <f aca="false">IF(AND(C703="Yakıt",D703&lt;&gt;""),SUMPRODUCT(MAX(($B$5:$B$1004=B703)*($C$5:$C$1004="Yakıt")*($D$5:$D$1004&lt;D703)*$D$5:$D$1004)),0)</f>
        <v>0</v>
      </c>
      <c r="I703" s="18" t="str">
        <f aca="false">IF(H703&gt;0,D703-H703,"")</f>
        <v/>
      </c>
      <c r="J703" s="19" t="str">
        <f aca="false">IF(OR(I703="",E703=""),"",E703/I703*100)</f>
        <v/>
      </c>
      <c r="K703" s="20" t="str">
        <f aca="false">IF(I703="","",F703/I703)</f>
        <v/>
      </c>
    </row>
    <row r="704" customFormat="false" ht="15" hidden="false" customHeight="false" outlineLevel="0" collapsed="false">
      <c r="A704" s="12"/>
      <c r="B704" s="13"/>
      <c r="C704" s="13"/>
      <c r="D704" s="14"/>
      <c r="E704" s="15"/>
      <c r="F704" s="16"/>
      <c r="G704" s="17"/>
      <c r="H704" s="18" t="n">
        <f aca="false">IF(AND(C704="Yakıt",D704&lt;&gt;""),SUMPRODUCT(MAX(($B$5:$B$1004=B704)*($C$5:$C$1004="Yakıt")*($D$5:$D$1004&lt;D704)*$D$5:$D$1004)),0)</f>
        <v>0</v>
      </c>
      <c r="I704" s="18" t="str">
        <f aca="false">IF(H704&gt;0,D704-H704,"")</f>
        <v/>
      </c>
      <c r="J704" s="19" t="str">
        <f aca="false">IF(OR(I704="",E704=""),"",E704/I704*100)</f>
        <v/>
      </c>
      <c r="K704" s="20" t="str">
        <f aca="false">IF(I704="","",F704/I704)</f>
        <v/>
      </c>
    </row>
    <row r="705" customFormat="false" ht="15" hidden="false" customHeight="false" outlineLevel="0" collapsed="false">
      <c r="A705" s="12"/>
      <c r="B705" s="13"/>
      <c r="C705" s="13"/>
      <c r="D705" s="14"/>
      <c r="E705" s="15"/>
      <c r="F705" s="16"/>
      <c r="G705" s="17"/>
      <c r="H705" s="18" t="n">
        <f aca="false">IF(AND(C705="Yakıt",D705&lt;&gt;""),SUMPRODUCT(MAX(($B$5:$B$1004=B705)*($C$5:$C$1004="Yakıt")*($D$5:$D$1004&lt;D705)*$D$5:$D$1004)),0)</f>
        <v>0</v>
      </c>
      <c r="I705" s="18" t="str">
        <f aca="false">IF(H705&gt;0,D705-H705,"")</f>
        <v/>
      </c>
      <c r="J705" s="19" t="str">
        <f aca="false">IF(OR(I705="",E705=""),"",E705/I705*100)</f>
        <v/>
      </c>
      <c r="K705" s="20" t="str">
        <f aca="false">IF(I705="","",F705/I705)</f>
        <v/>
      </c>
    </row>
    <row r="706" customFormat="false" ht="15" hidden="false" customHeight="false" outlineLevel="0" collapsed="false">
      <c r="A706" s="12"/>
      <c r="B706" s="13"/>
      <c r="C706" s="13"/>
      <c r="D706" s="14"/>
      <c r="E706" s="15"/>
      <c r="F706" s="16"/>
      <c r="G706" s="17"/>
      <c r="H706" s="18" t="n">
        <f aca="false">IF(AND(C706="Yakıt",D706&lt;&gt;""),SUMPRODUCT(MAX(($B$5:$B$1004=B706)*($C$5:$C$1004="Yakıt")*($D$5:$D$1004&lt;D706)*$D$5:$D$1004)),0)</f>
        <v>0</v>
      </c>
      <c r="I706" s="18" t="str">
        <f aca="false">IF(H706&gt;0,D706-H706,"")</f>
        <v/>
      </c>
      <c r="J706" s="19" t="str">
        <f aca="false">IF(OR(I706="",E706=""),"",E706/I706*100)</f>
        <v/>
      </c>
      <c r="K706" s="20" t="str">
        <f aca="false">IF(I706="","",F706/I706)</f>
        <v/>
      </c>
    </row>
    <row r="707" customFormat="false" ht="15" hidden="false" customHeight="false" outlineLevel="0" collapsed="false">
      <c r="A707" s="12"/>
      <c r="B707" s="13"/>
      <c r="C707" s="13"/>
      <c r="D707" s="14"/>
      <c r="E707" s="15"/>
      <c r="F707" s="16"/>
      <c r="G707" s="17"/>
      <c r="H707" s="18" t="n">
        <f aca="false">IF(AND(C707="Yakıt",D707&lt;&gt;""),SUMPRODUCT(MAX(($B$5:$B$1004=B707)*($C$5:$C$1004="Yakıt")*($D$5:$D$1004&lt;D707)*$D$5:$D$1004)),0)</f>
        <v>0</v>
      </c>
      <c r="I707" s="18" t="str">
        <f aca="false">IF(H707&gt;0,D707-H707,"")</f>
        <v/>
      </c>
      <c r="J707" s="19" t="str">
        <f aca="false">IF(OR(I707="",E707=""),"",E707/I707*100)</f>
        <v/>
      </c>
      <c r="K707" s="20" t="str">
        <f aca="false">IF(I707="","",F707/I707)</f>
        <v/>
      </c>
    </row>
    <row r="708" customFormat="false" ht="15" hidden="false" customHeight="false" outlineLevel="0" collapsed="false">
      <c r="A708" s="12"/>
      <c r="B708" s="13"/>
      <c r="C708" s="13"/>
      <c r="D708" s="14"/>
      <c r="E708" s="15"/>
      <c r="F708" s="16"/>
      <c r="G708" s="17"/>
      <c r="H708" s="18" t="n">
        <f aca="false">IF(AND(C708="Yakıt",D708&lt;&gt;""),SUMPRODUCT(MAX(($B$5:$B$1004=B708)*($C$5:$C$1004="Yakıt")*($D$5:$D$1004&lt;D708)*$D$5:$D$1004)),0)</f>
        <v>0</v>
      </c>
      <c r="I708" s="18" t="str">
        <f aca="false">IF(H708&gt;0,D708-H708,"")</f>
        <v/>
      </c>
      <c r="J708" s="19" t="str">
        <f aca="false">IF(OR(I708="",E708=""),"",E708/I708*100)</f>
        <v/>
      </c>
      <c r="K708" s="20" t="str">
        <f aca="false">IF(I708="","",F708/I708)</f>
        <v/>
      </c>
    </row>
    <row r="709" customFormat="false" ht="15" hidden="false" customHeight="false" outlineLevel="0" collapsed="false">
      <c r="A709" s="12"/>
      <c r="B709" s="13"/>
      <c r="C709" s="13"/>
      <c r="D709" s="14"/>
      <c r="E709" s="15"/>
      <c r="F709" s="16"/>
      <c r="G709" s="17"/>
      <c r="H709" s="18" t="n">
        <f aca="false">IF(AND(C709="Yakıt",D709&lt;&gt;""),SUMPRODUCT(MAX(($B$5:$B$1004=B709)*($C$5:$C$1004="Yakıt")*($D$5:$D$1004&lt;D709)*$D$5:$D$1004)),0)</f>
        <v>0</v>
      </c>
      <c r="I709" s="18" t="str">
        <f aca="false">IF(H709&gt;0,D709-H709,"")</f>
        <v/>
      </c>
      <c r="J709" s="19" t="str">
        <f aca="false">IF(OR(I709="",E709=""),"",E709/I709*100)</f>
        <v/>
      </c>
      <c r="K709" s="20" t="str">
        <f aca="false">IF(I709="","",F709/I709)</f>
        <v/>
      </c>
    </row>
    <row r="710" customFormat="false" ht="15" hidden="false" customHeight="false" outlineLevel="0" collapsed="false">
      <c r="A710" s="12"/>
      <c r="B710" s="13"/>
      <c r="C710" s="13"/>
      <c r="D710" s="14"/>
      <c r="E710" s="15"/>
      <c r="F710" s="16"/>
      <c r="G710" s="17"/>
      <c r="H710" s="18" t="n">
        <f aca="false">IF(AND(C710="Yakıt",D710&lt;&gt;""),SUMPRODUCT(MAX(($B$5:$B$1004=B710)*($C$5:$C$1004="Yakıt")*($D$5:$D$1004&lt;D710)*$D$5:$D$1004)),0)</f>
        <v>0</v>
      </c>
      <c r="I710" s="18" t="str">
        <f aca="false">IF(H710&gt;0,D710-H710,"")</f>
        <v/>
      </c>
      <c r="J710" s="19" t="str">
        <f aca="false">IF(OR(I710="",E710=""),"",E710/I710*100)</f>
        <v/>
      </c>
      <c r="K710" s="20" t="str">
        <f aca="false">IF(I710="","",F710/I710)</f>
        <v/>
      </c>
    </row>
    <row r="711" customFormat="false" ht="15" hidden="false" customHeight="false" outlineLevel="0" collapsed="false">
      <c r="A711" s="12"/>
      <c r="B711" s="13"/>
      <c r="C711" s="13"/>
      <c r="D711" s="14"/>
      <c r="E711" s="15"/>
      <c r="F711" s="16"/>
      <c r="G711" s="17"/>
      <c r="H711" s="18" t="n">
        <f aca="false">IF(AND(C711="Yakıt",D711&lt;&gt;""),SUMPRODUCT(MAX(($B$5:$B$1004=B711)*($C$5:$C$1004="Yakıt")*($D$5:$D$1004&lt;D711)*$D$5:$D$1004)),0)</f>
        <v>0</v>
      </c>
      <c r="I711" s="18" t="str">
        <f aca="false">IF(H711&gt;0,D711-H711,"")</f>
        <v/>
      </c>
      <c r="J711" s="19" t="str">
        <f aca="false">IF(OR(I711="",E711=""),"",E711/I711*100)</f>
        <v/>
      </c>
      <c r="K711" s="20" t="str">
        <f aca="false">IF(I711="","",F711/I711)</f>
        <v/>
      </c>
    </row>
    <row r="712" customFormat="false" ht="15" hidden="false" customHeight="false" outlineLevel="0" collapsed="false">
      <c r="A712" s="12"/>
      <c r="B712" s="13"/>
      <c r="C712" s="13"/>
      <c r="D712" s="14"/>
      <c r="E712" s="15"/>
      <c r="F712" s="16"/>
      <c r="G712" s="17"/>
      <c r="H712" s="18" t="n">
        <f aca="false">IF(AND(C712="Yakıt",D712&lt;&gt;""),SUMPRODUCT(MAX(($B$5:$B$1004=B712)*($C$5:$C$1004="Yakıt")*($D$5:$D$1004&lt;D712)*$D$5:$D$1004)),0)</f>
        <v>0</v>
      </c>
      <c r="I712" s="18" t="str">
        <f aca="false">IF(H712&gt;0,D712-H712,"")</f>
        <v/>
      </c>
      <c r="J712" s="19" t="str">
        <f aca="false">IF(OR(I712="",E712=""),"",E712/I712*100)</f>
        <v/>
      </c>
      <c r="K712" s="20" t="str">
        <f aca="false">IF(I712="","",F712/I712)</f>
        <v/>
      </c>
    </row>
    <row r="713" customFormat="false" ht="15" hidden="false" customHeight="false" outlineLevel="0" collapsed="false">
      <c r="A713" s="12"/>
      <c r="B713" s="13"/>
      <c r="C713" s="13"/>
      <c r="D713" s="14"/>
      <c r="E713" s="15"/>
      <c r="F713" s="16"/>
      <c r="G713" s="17"/>
      <c r="H713" s="18" t="n">
        <f aca="false">IF(AND(C713="Yakıt",D713&lt;&gt;""),SUMPRODUCT(MAX(($B$5:$B$1004=B713)*($C$5:$C$1004="Yakıt")*($D$5:$D$1004&lt;D713)*$D$5:$D$1004)),0)</f>
        <v>0</v>
      </c>
      <c r="I713" s="18" t="str">
        <f aca="false">IF(H713&gt;0,D713-H713,"")</f>
        <v/>
      </c>
      <c r="J713" s="19" t="str">
        <f aca="false">IF(OR(I713="",E713=""),"",E713/I713*100)</f>
        <v/>
      </c>
      <c r="K713" s="20" t="str">
        <f aca="false">IF(I713="","",F713/I713)</f>
        <v/>
      </c>
    </row>
    <row r="714" customFormat="false" ht="15" hidden="false" customHeight="false" outlineLevel="0" collapsed="false">
      <c r="A714" s="12"/>
      <c r="B714" s="13"/>
      <c r="C714" s="13"/>
      <c r="D714" s="14"/>
      <c r="E714" s="15"/>
      <c r="F714" s="16"/>
      <c r="G714" s="17"/>
      <c r="H714" s="18" t="n">
        <f aca="false">IF(AND(C714="Yakıt",D714&lt;&gt;""),SUMPRODUCT(MAX(($B$5:$B$1004=B714)*($C$5:$C$1004="Yakıt")*($D$5:$D$1004&lt;D714)*$D$5:$D$1004)),0)</f>
        <v>0</v>
      </c>
      <c r="I714" s="18" t="str">
        <f aca="false">IF(H714&gt;0,D714-H714,"")</f>
        <v/>
      </c>
      <c r="J714" s="19" t="str">
        <f aca="false">IF(OR(I714="",E714=""),"",E714/I714*100)</f>
        <v/>
      </c>
      <c r="K714" s="20" t="str">
        <f aca="false">IF(I714="","",F714/I714)</f>
        <v/>
      </c>
    </row>
    <row r="715" customFormat="false" ht="15" hidden="false" customHeight="false" outlineLevel="0" collapsed="false">
      <c r="A715" s="12"/>
      <c r="B715" s="13"/>
      <c r="C715" s="13"/>
      <c r="D715" s="14"/>
      <c r="E715" s="15"/>
      <c r="F715" s="16"/>
      <c r="G715" s="17"/>
      <c r="H715" s="18" t="n">
        <f aca="false">IF(AND(C715="Yakıt",D715&lt;&gt;""),SUMPRODUCT(MAX(($B$5:$B$1004=B715)*($C$5:$C$1004="Yakıt")*($D$5:$D$1004&lt;D715)*$D$5:$D$1004)),0)</f>
        <v>0</v>
      </c>
      <c r="I715" s="18" t="str">
        <f aca="false">IF(H715&gt;0,D715-H715,"")</f>
        <v/>
      </c>
      <c r="J715" s="19" t="str">
        <f aca="false">IF(OR(I715="",E715=""),"",E715/I715*100)</f>
        <v/>
      </c>
      <c r="K715" s="20" t="str">
        <f aca="false">IF(I715="","",F715/I715)</f>
        <v/>
      </c>
    </row>
    <row r="716" customFormat="false" ht="15" hidden="false" customHeight="false" outlineLevel="0" collapsed="false">
      <c r="A716" s="12"/>
      <c r="B716" s="13"/>
      <c r="C716" s="13"/>
      <c r="D716" s="14"/>
      <c r="E716" s="15"/>
      <c r="F716" s="16"/>
      <c r="G716" s="17"/>
      <c r="H716" s="18" t="n">
        <f aca="false">IF(AND(C716="Yakıt",D716&lt;&gt;""),SUMPRODUCT(MAX(($B$5:$B$1004=B716)*($C$5:$C$1004="Yakıt")*($D$5:$D$1004&lt;D716)*$D$5:$D$1004)),0)</f>
        <v>0</v>
      </c>
      <c r="I716" s="18" t="str">
        <f aca="false">IF(H716&gt;0,D716-H716,"")</f>
        <v/>
      </c>
      <c r="J716" s="19" t="str">
        <f aca="false">IF(OR(I716="",E716=""),"",E716/I716*100)</f>
        <v/>
      </c>
      <c r="K716" s="20" t="str">
        <f aca="false">IF(I716="","",F716/I716)</f>
        <v/>
      </c>
    </row>
    <row r="717" customFormat="false" ht="15" hidden="false" customHeight="false" outlineLevel="0" collapsed="false">
      <c r="A717" s="12"/>
      <c r="B717" s="13"/>
      <c r="C717" s="13"/>
      <c r="D717" s="14"/>
      <c r="E717" s="15"/>
      <c r="F717" s="16"/>
      <c r="G717" s="17"/>
      <c r="H717" s="18" t="n">
        <f aca="false">IF(AND(C717="Yakıt",D717&lt;&gt;""),SUMPRODUCT(MAX(($B$5:$B$1004=B717)*($C$5:$C$1004="Yakıt")*($D$5:$D$1004&lt;D717)*$D$5:$D$1004)),0)</f>
        <v>0</v>
      </c>
      <c r="I717" s="18" t="str">
        <f aca="false">IF(H717&gt;0,D717-H717,"")</f>
        <v/>
      </c>
      <c r="J717" s="19" t="str">
        <f aca="false">IF(OR(I717="",E717=""),"",E717/I717*100)</f>
        <v/>
      </c>
      <c r="K717" s="20" t="str">
        <f aca="false">IF(I717="","",F717/I717)</f>
        <v/>
      </c>
    </row>
    <row r="718" customFormat="false" ht="15" hidden="false" customHeight="false" outlineLevel="0" collapsed="false">
      <c r="A718" s="12"/>
      <c r="B718" s="13"/>
      <c r="C718" s="13"/>
      <c r="D718" s="14"/>
      <c r="E718" s="15"/>
      <c r="F718" s="16"/>
      <c r="G718" s="17"/>
      <c r="H718" s="18" t="n">
        <f aca="false">IF(AND(C718="Yakıt",D718&lt;&gt;""),SUMPRODUCT(MAX(($B$5:$B$1004=B718)*($C$5:$C$1004="Yakıt")*($D$5:$D$1004&lt;D718)*$D$5:$D$1004)),0)</f>
        <v>0</v>
      </c>
      <c r="I718" s="18" t="str">
        <f aca="false">IF(H718&gt;0,D718-H718,"")</f>
        <v/>
      </c>
      <c r="J718" s="19" t="str">
        <f aca="false">IF(OR(I718="",E718=""),"",E718/I718*100)</f>
        <v/>
      </c>
      <c r="K718" s="20" t="str">
        <f aca="false">IF(I718="","",F718/I718)</f>
        <v/>
      </c>
    </row>
    <row r="719" customFormat="false" ht="15" hidden="false" customHeight="false" outlineLevel="0" collapsed="false">
      <c r="A719" s="12"/>
      <c r="B719" s="13"/>
      <c r="C719" s="13"/>
      <c r="D719" s="14"/>
      <c r="E719" s="15"/>
      <c r="F719" s="16"/>
      <c r="G719" s="17"/>
      <c r="H719" s="18" t="n">
        <f aca="false">IF(AND(C719="Yakıt",D719&lt;&gt;""),SUMPRODUCT(MAX(($B$5:$B$1004=B719)*($C$5:$C$1004="Yakıt")*($D$5:$D$1004&lt;D719)*$D$5:$D$1004)),0)</f>
        <v>0</v>
      </c>
      <c r="I719" s="18" t="str">
        <f aca="false">IF(H719&gt;0,D719-H719,"")</f>
        <v/>
      </c>
      <c r="J719" s="19" t="str">
        <f aca="false">IF(OR(I719="",E719=""),"",E719/I719*100)</f>
        <v/>
      </c>
      <c r="K719" s="20" t="str">
        <f aca="false">IF(I719="","",F719/I719)</f>
        <v/>
      </c>
    </row>
    <row r="720" customFormat="false" ht="15" hidden="false" customHeight="false" outlineLevel="0" collapsed="false">
      <c r="A720" s="12"/>
      <c r="B720" s="13"/>
      <c r="C720" s="13"/>
      <c r="D720" s="14"/>
      <c r="E720" s="15"/>
      <c r="F720" s="16"/>
      <c r="G720" s="17"/>
      <c r="H720" s="18" t="n">
        <f aca="false">IF(AND(C720="Yakıt",D720&lt;&gt;""),SUMPRODUCT(MAX(($B$5:$B$1004=B720)*($C$5:$C$1004="Yakıt")*($D$5:$D$1004&lt;D720)*$D$5:$D$1004)),0)</f>
        <v>0</v>
      </c>
      <c r="I720" s="18" t="str">
        <f aca="false">IF(H720&gt;0,D720-H720,"")</f>
        <v/>
      </c>
      <c r="J720" s="19" t="str">
        <f aca="false">IF(OR(I720="",E720=""),"",E720/I720*100)</f>
        <v/>
      </c>
      <c r="K720" s="20" t="str">
        <f aca="false">IF(I720="","",F720/I720)</f>
        <v/>
      </c>
    </row>
    <row r="721" customFormat="false" ht="15" hidden="false" customHeight="false" outlineLevel="0" collapsed="false">
      <c r="A721" s="12"/>
      <c r="B721" s="13"/>
      <c r="C721" s="13"/>
      <c r="D721" s="14"/>
      <c r="E721" s="15"/>
      <c r="F721" s="16"/>
      <c r="G721" s="17"/>
      <c r="H721" s="18" t="n">
        <f aca="false">IF(AND(C721="Yakıt",D721&lt;&gt;""),SUMPRODUCT(MAX(($B$5:$B$1004=B721)*($C$5:$C$1004="Yakıt")*($D$5:$D$1004&lt;D721)*$D$5:$D$1004)),0)</f>
        <v>0</v>
      </c>
      <c r="I721" s="18" t="str">
        <f aca="false">IF(H721&gt;0,D721-H721,"")</f>
        <v/>
      </c>
      <c r="J721" s="19" t="str">
        <f aca="false">IF(OR(I721="",E721=""),"",E721/I721*100)</f>
        <v/>
      </c>
      <c r="K721" s="20" t="str">
        <f aca="false">IF(I721="","",F721/I721)</f>
        <v/>
      </c>
    </row>
    <row r="722" customFormat="false" ht="15" hidden="false" customHeight="false" outlineLevel="0" collapsed="false">
      <c r="A722" s="12"/>
      <c r="B722" s="13"/>
      <c r="C722" s="13"/>
      <c r="D722" s="14"/>
      <c r="E722" s="15"/>
      <c r="F722" s="16"/>
      <c r="G722" s="17"/>
      <c r="H722" s="18" t="n">
        <f aca="false">IF(AND(C722="Yakıt",D722&lt;&gt;""),SUMPRODUCT(MAX(($B$5:$B$1004=B722)*($C$5:$C$1004="Yakıt")*($D$5:$D$1004&lt;D722)*$D$5:$D$1004)),0)</f>
        <v>0</v>
      </c>
      <c r="I722" s="18" t="str">
        <f aca="false">IF(H722&gt;0,D722-H722,"")</f>
        <v/>
      </c>
      <c r="J722" s="19" t="str">
        <f aca="false">IF(OR(I722="",E722=""),"",E722/I722*100)</f>
        <v/>
      </c>
      <c r="K722" s="20" t="str">
        <f aca="false">IF(I722="","",F722/I722)</f>
        <v/>
      </c>
    </row>
    <row r="723" customFormat="false" ht="15" hidden="false" customHeight="false" outlineLevel="0" collapsed="false">
      <c r="A723" s="12"/>
      <c r="B723" s="13"/>
      <c r="C723" s="13"/>
      <c r="D723" s="14"/>
      <c r="E723" s="15"/>
      <c r="F723" s="16"/>
      <c r="G723" s="17"/>
      <c r="H723" s="18" t="n">
        <f aca="false">IF(AND(C723="Yakıt",D723&lt;&gt;""),SUMPRODUCT(MAX(($B$5:$B$1004=B723)*($C$5:$C$1004="Yakıt")*($D$5:$D$1004&lt;D723)*$D$5:$D$1004)),0)</f>
        <v>0</v>
      </c>
      <c r="I723" s="18" t="str">
        <f aca="false">IF(H723&gt;0,D723-H723,"")</f>
        <v/>
      </c>
      <c r="J723" s="19" t="str">
        <f aca="false">IF(OR(I723="",E723=""),"",E723/I723*100)</f>
        <v/>
      </c>
      <c r="K723" s="20" t="str">
        <f aca="false">IF(I723="","",F723/I723)</f>
        <v/>
      </c>
    </row>
    <row r="724" customFormat="false" ht="15" hidden="false" customHeight="false" outlineLevel="0" collapsed="false">
      <c r="A724" s="12"/>
      <c r="B724" s="13"/>
      <c r="C724" s="13"/>
      <c r="D724" s="14"/>
      <c r="E724" s="15"/>
      <c r="F724" s="16"/>
      <c r="G724" s="17"/>
      <c r="H724" s="18" t="n">
        <f aca="false">IF(AND(C724="Yakıt",D724&lt;&gt;""),SUMPRODUCT(MAX(($B$5:$B$1004=B724)*($C$5:$C$1004="Yakıt")*($D$5:$D$1004&lt;D724)*$D$5:$D$1004)),0)</f>
        <v>0</v>
      </c>
      <c r="I724" s="18" t="str">
        <f aca="false">IF(H724&gt;0,D724-H724,"")</f>
        <v/>
      </c>
      <c r="J724" s="19" t="str">
        <f aca="false">IF(OR(I724="",E724=""),"",E724/I724*100)</f>
        <v/>
      </c>
      <c r="K724" s="20" t="str">
        <f aca="false">IF(I724="","",F724/I724)</f>
        <v/>
      </c>
    </row>
    <row r="725" customFormat="false" ht="15" hidden="false" customHeight="false" outlineLevel="0" collapsed="false">
      <c r="A725" s="12"/>
      <c r="B725" s="13"/>
      <c r="C725" s="13"/>
      <c r="D725" s="14"/>
      <c r="E725" s="15"/>
      <c r="F725" s="16"/>
      <c r="G725" s="17"/>
      <c r="H725" s="18" t="n">
        <f aca="false">IF(AND(C725="Yakıt",D725&lt;&gt;""),SUMPRODUCT(MAX(($B$5:$B$1004=B725)*($C$5:$C$1004="Yakıt")*($D$5:$D$1004&lt;D725)*$D$5:$D$1004)),0)</f>
        <v>0</v>
      </c>
      <c r="I725" s="18" t="str">
        <f aca="false">IF(H725&gt;0,D725-H725,"")</f>
        <v/>
      </c>
      <c r="J725" s="19" t="str">
        <f aca="false">IF(OR(I725="",E725=""),"",E725/I725*100)</f>
        <v/>
      </c>
      <c r="K725" s="20" t="str">
        <f aca="false">IF(I725="","",F725/I725)</f>
        <v/>
      </c>
    </row>
    <row r="726" customFormat="false" ht="15" hidden="false" customHeight="false" outlineLevel="0" collapsed="false">
      <c r="A726" s="12"/>
      <c r="B726" s="13"/>
      <c r="C726" s="13"/>
      <c r="D726" s="14"/>
      <c r="E726" s="15"/>
      <c r="F726" s="16"/>
      <c r="G726" s="17"/>
      <c r="H726" s="18" t="n">
        <f aca="false">IF(AND(C726="Yakıt",D726&lt;&gt;""),SUMPRODUCT(MAX(($B$5:$B$1004=B726)*($C$5:$C$1004="Yakıt")*($D$5:$D$1004&lt;D726)*$D$5:$D$1004)),0)</f>
        <v>0</v>
      </c>
      <c r="I726" s="18" t="str">
        <f aca="false">IF(H726&gt;0,D726-H726,"")</f>
        <v/>
      </c>
      <c r="J726" s="19" t="str">
        <f aca="false">IF(OR(I726="",E726=""),"",E726/I726*100)</f>
        <v/>
      </c>
      <c r="K726" s="20" t="str">
        <f aca="false">IF(I726="","",F726/I726)</f>
        <v/>
      </c>
    </row>
    <row r="727" customFormat="false" ht="15" hidden="false" customHeight="false" outlineLevel="0" collapsed="false">
      <c r="A727" s="12"/>
      <c r="B727" s="13"/>
      <c r="C727" s="13"/>
      <c r="D727" s="14"/>
      <c r="E727" s="15"/>
      <c r="F727" s="16"/>
      <c r="G727" s="17"/>
      <c r="H727" s="18" t="n">
        <f aca="false">IF(AND(C727="Yakıt",D727&lt;&gt;""),SUMPRODUCT(MAX(($B$5:$B$1004=B727)*($C$5:$C$1004="Yakıt")*($D$5:$D$1004&lt;D727)*$D$5:$D$1004)),0)</f>
        <v>0</v>
      </c>
      <c r="I727" s="18" t="str">
        <f aca="false">IF(H727&gt;0,D727-H727,"")</f>
        <v/>
      </c>
      <c r="J727" s="19" t="str">
        <f aca="false">IF(OR(I727="",E727=""),"",E727/I727*100)</f>
        <v/>
      </c>
      <c r="K727" s="20" t="str">
        <f aca="false">IF(I727="","",F727/I727)</f>
        <v/>
      </c>
    </row>
    <row r="728" customFormat="false" ht="15" hidden="false" customHeight="false" outlineLevel="0" collapsed="false">
      <c r="A728" s="12"/>
      <c r="B728" s="13"/>
      <c r="C728" s="13"/>
      <c r="D728" s="14"/>
      <c r="E728" s="15"/>
      <c r="F728" s="16"/>
      <c r="G728" s="17"/>
      <c r="H728" s="18" t="n">
        <f aca="false">IF(AND(C728="Yakıt",D728&lt;&gt;""),SUMPRODUCT(MAX(($B$5:$B$1004=B728)*($C$5:$C$1004="Yakıt")*($D$5:$D$1004&lt;D728)*$D$5:$D$1004)),0)</f>
        <v>0</v>
      </c>
      <c r="I728" s="18" t="str">
        <f aca="false">IF(H728&gt;0,D728-H728,"")</f>
        <v/>
      </c>
      <c r="J728" s="19" t="str">
        <f aca="false">IF(OR(I728="",E728=""),"",E728/I728*100)</f>
        <v/>
      </c>
      <c r="K728" s="20" t="str">
        <f aca="false">IF(I728="","",F728/I728)</f>
        <v/>
      </c>
    </row>
    <row r="729" customFormat="false" ht="15" hidden="false" customHeight="false" outlineLevel="0" collapsed="false">
      <c r="A729" s="12"/>
      <c r="B729" s="13"/>
      <c r="C729" s="13"/>
      <c r="D729" s="14"/>
      <c r="E729" s="15"/>
      <c r="F729" s="16"/>
      <c r="G729" s="17"/>
      <c r="H729" s="18" t="n">
        <f aca="false">IF(AND(C729="Yakıt",D729&lt;&gt;""),SUMPRODUCT(MAX(($B$5:$B$1004=B729)*($C$5:$C$1004="Yakıt")*($D$5:$D$1004&lt;D729)*$D$5:$D$1004)),0)</f>
        <v>0</v>
      </c>
      <c r="I729" s="18" t="str">
        <f aca="false">IF(H729&gt;0,D729-H729,"")</f>
        <v/>
      </c>
      <c r="J729" s="19" t="str">
        <f aca="false">IF(OR(I729="",E729=""),"",E729/I729*100)</f>
        <v/>
      </c>
      <c r="K729" s="20" t="str">
        <f aca="false">IF(I729="","",F729/I729)</f>
        <v/>
      </c>
    </row>
    <row r="730" customFormat="false" ht="15" hidden="false" customHeight="false" outlineLevel="0" collapsed="false">
      <c r="A730" s="12"/>
      <c r="B730" s="13"/>
      <c r="C730" s="13"/>
      <c r="D730" s="14"/>
      <c r="E730" s="15"/>
      <c r="F730" s="16"/>
      <c r="G730" s="17"/>
      <c r="H730" s="18" t="n">
        <f aca="false">IF(AND(C730="Yakıt",D730&lt;&gt;""),SUMPRODUCT(MAX(($B$5:$B$1004=B730)*($C$5:$C$1004="Yakıt")*($D$5:$D$1004&lt;D730)*$D$5:$D$1004)),0)</f>
        <v>0</v>
      </c>
      <c r="I730" s="18" t="str">
        <f aca="false">IF(H730&gt;0,D730-H730,"")</f>
        <v/>
      </c>
      <c r="J730" s="19" t="str">
        <f aca="false">IF(OR(I730="",E730=""),"",E730/I730*100)</f>
        <v/>
      </c>
      <c r="K730" s="20" t="str">
        <f aca="false">IF(I730="","",F730/I730)</f>
        <v/>
      </c>
    </row>
    <row r="731" customFormat="false" ht="15" hidden="false" customHeight="false" outlineLevel="0" collapsed="false">
      <c r="A731" s="12"/>
      <c r="B731" s="13"/>
      <c r="C731" s="13"/>
      <c r="D731" s="14"/>
      <c r="E731" s="15"/>
      <c r="F731" s="16"/>
      <c r="G731" s="17"/>
      <c r="H731" s="18" t="n">
        <f aca="false">IF(AND(C731="Yakıt",D731&lt;&gt;""),SUMPRODUCT(MAX(($B$5:$B$1004=B731)*($C$5:$C$1004="Yakıt")*($D$5:$D$1004&lt;D731)*$D$5:$D$1004)),0)</f>
        <v>0</v>
      </c>
      <c r="I731" s="18" t="str">
        <f aca="false">IF(H731&gt;0,D731-H731,"")</f>
        <v/>
      </c>
      <c r="J731" s="19" t="str">
        <f aca="false">IF(OR(I731="",E731=""),"",E731/I731*100)</f>
        <v/>
      </c>
      <c r="K731" s="20" t="str">
        <f aca="false">IF(I731="","",F731/I731)</f>
        <v/>
      </c>
    </row>
    <row r="732" customFormat="false" ht="15" hidden="false" customHeight="false" outlineLevel="0" collapsed="false">
      <c r="A732" s="12"/>
      <c r="B732" s="13"/>
      <c r="C732" s="13"/>
      <c r="D732" s="14"/>
      <c r="E732" s="15"/>
      <c r="F732" s="16"/>
      <c r="G732" s="17"/>
      <c r="H732" s="18" t="n">
        <f aca="false">IF(AND(C732="Yakıt",D732&lt;&gt;""),SUMPRODUCT(MAX(($B$5:$B$1004=B732)*($C$5:$C$1004="Yakıt")*($D$5:$D$1004&lt;D732)*$D$5:$D$1004)),0)</f>
        <v>0</v>
      </c>
      <c r="I732" s="18" t="str">
        <f aca="false">IF(H732&gt;0,D732-H732,"")</f>
        <v/>
      </c>
      <c r="J732" s="19" t="str">
        <f aca="false">IF(OR(I732="",E732=""),"",E732/I732*100)</f>
        <v/>
      </c>
      <c r="K732" s="20" t="str">
        <f aca="false">IF(I732="","",F732/I732)</f>
        <v/>
      </c>
    </row>
    <row r="733" customFormat="false" ht="15" hidden="false" customHeight="false" outlineLevel="0" collapsed="false">
      <c r="A733" s="12"/>
      <c r="B733" s="13"/>
      <c r="C733" s="13"/>
      <c r="D733" s="14"/>
      <c r="E733" s="15"/>
      <c r="F733" s="16"/>
      <c r="G733" s="17"/>
      <c r="H733" s="18" t="n">
        <f aca="false">IF(AND(C733="Yakıt",D733&lt;&gt;""),SUMPRODUCT(MAX(($B$5:$B$1004=B733)*($C$5:$C$1004="Yakıt")*($D$5:$D$1004&lt;D733)*$D$5:$D$1004)),0)</f>
        <v>0</v>
      </c>
      <c r="I733" s="18" t="str">
        <f aca="false">IF(H733&gt;0,D733-H733,"")</f>
        <v/>
      </c>
      <c r="J733" s="19" t="str">
        <f aca="false">IF(OR(I733="",E733=""),"",E733/I733*100)</f>
        <v/>
      </c>
      <c r="K733" s="20" t="str">
        <f aca="false">IF(I733="","",F733/I733)</f>
        <v/>
      </c>
    </row>
    <row r="734" customFormat="false" ht="15" hidden="false" customHeight="false" outlineLevel="0" collapsed="false">
      <c r="A734" s="12"/>
      <c r="B734" s="13"/>
      <c r="C734" s="13"/>
      <c r="D734" s="14"/>
      <c r="E734" s="15"/>
      <c r="F734" s="16"/>
      <c r="G734" s="17"/>
      <c r="H734" s="18" t="n">
        <f aca="false">IF(AND(C734="Yakıt",D734&lt;&gt;""),SUMPRODUCT(MAX(($B$5:$B$1004=B734)*($C$5:$C$1004="Yakıt")*($D$5:$D$1004&lt;D734)*$D$5:$D$1004)),0)</f>
        <v>0</v>
      </c>
      <c r="I734" s="18" t="str">
        <f aca="false">IF(H734&gt;0,D734-H734,"")</f>
        <v/>
      </c>
      <c r="J734" s="19" t="str">
        <f aca="false">IF(OR(I734="",E734=""),"",E734/I734*100)</f>
        <v/>
      </c>
      <c r="K734" s="20" t="str">
        <f aca="false">IF(I734="","",F734/I734)</f>
        <v/>
      </c>
    </row>
    <row r="735" customFormat="false" ht="15" hidden="false" customHeight="false" outlineLevel="0" collapsed="false">
      <c r="A735" s="12"/>
      <c r="B735" s="13"/>
      <c r="C735" s="13"/>
      <c r="D735" s="14"/>
      <c r="E735" s="15"/>
      <c r="F735" s="16"/>
      <c r="G735" s="17"/>
      <c r="H735" s="18" t="n">
        <f aca="false">IF(AND(C735="Yakıt",D735&lt;&gt;""),SUMPRODUCT(MAX(($B$5:$B$1004=B735)*($C$5:$C$1004="Yakıt")*($D$5:$D$1004&lt;D735)*$D$5:$D$1004)),0)</f>
        <v>0</v>
      </c>
      <c r="I735" s="18" t="str">
        <f aca="false">IF(H735&gt;0,D735-H735,"")</f>
        <v/>
      </c>
      <c r="J735" s="19" t="str">
        <f aca="false">IF(OR(I735="",E735=""),"",E735/I735*100)</f>
        <v/>
      </c>
      <c r="K735" s="20" t="str">
        <f aca="false">IF(I735="","",F735/I735)</f>
        <v/>
      </c>
    </row>
    <row r="736" customFormat="false" ht="15" hidden="false" customHeight="false" outlineLevel="0" collapsed="false">
      <c r="A736" s="12"/>
      <c r="B736" s="13"/>
      <c r="C736" s="13"/>
      <c r="D736" s="14"/>
      <c r="E736" s="15"/>
      <c r="F736" s="16"/>
      <c r="G736" s="17"/>
      <c r="H736" s="18" t="n">
        <f aca="false">IF(AND(C736="Yakıt",D736&lt;&gt;""),SUMPRODUCT(MAX(($B$5:$B$1004=B736)*($C$5:$C$1004="Yakıt")*($D$5:$D$1004&lt;D736)*$D$5:$D$1004)),0)</f>
        <v>0</v>
      </c>
      <c r="I736" s="18" t="str">
        <f aca="false">IF(H736&gt;0,D736-H736,"")</f>
        <v/>
      </c>
      <c r="J736" s="19" t="str">
        <f aca="false">IF(OR(I736="",E736=""),"",E736/I736*100)</f>
        <v/>
      </c>
      <c r="K736" s="20" t="str">
        <f aca="false">IF(I736="","",F736/I736)</f>
        <v/>
      </c>
    </row>
    <row r="737" customFormat="false" ht="15" hidden="false" customHeight="false" outlineLevel="0" collapsed="false">
      <c r="A737" s="12"/>
      <c r="B737" s="13"/>
      <c r="C737" s="13"/>
      <c r="D737" s="14"/>
      <c r="E737" s="15"/>
      <c r="F737" s="16"/>
      <c r="G737" s="17"/>
      <c r="H737" s="18" t="n">
        <f aca="false">IF(AND(C737="Yakıt",D737&lt;&gt;""),SUMPRODUCT(MAX(($B$5:$B$1004=B737)*($C$5:$C$1004="Yakıt")*($D$5:$D$1004&lt;D737)*$D$5:$D$1004)),0)</f>
        <v>0</v>
      </c>
      <c r="I737" s="18" t="str">
        <f aca="false">IF(H737&gt;0,D737-H737,"")</f>
        <v/>
      </c>
      <c r="J737" s="19" t="str">
        <f aca="false">IF(OR(I737="",E737=""),"",E737/I737*100)</f>
        <v/>
      </c>
      <c r="K737" s="20" t="str">
        <f aca="false">IF(I737="","",F737/I737)</f>
        <v/>
      </c>
    </row>
    <row r="738" customFormat="false" ht="15" hidden="false" customHeight="false" outlineLevel="0" collapsed="false">
      <c r="A738" s="12"/>
      <c r="B738" s="13"/>
      <c r="C738" s="13"/>
      <c r="D738" s="14"/>
      <c r="E738" s="15"/>
      <c r="F738" s="16"/>
      <c r="G738" s="17"/>
      <c r="H738" s="18" t="n">
        <f aca="false">IF(AND(C738="Yakıt",D738&lt;&gt;""),SUMPRODUCT(MAX(($B$5:$B$1004=B738)*($C$5:$C$1004="Yakıt")*($D$5:$D$1004&lt;D738)*$D$5:$D$1004)),0)</f>
        <v>0</v>
      </c>
      <c r="I738" s="18" t="str">
        <f aca="false">IF(H738&gt;0,D738-H738,"")</f>
        <v/>
      </c>
      <c r="J738" s="19" t="str">
        <f aca="false">IF(OR(I738="",E738=""),"",E738/I738*100)</f>
        <v/>
      </c>
      <c r="K738" s="20" t="str">
        <f aca="false">IF(I738="","",F738/I738)</f>
        <v/>
      </c>
    </row>
    <row r="739" customFormat="false" ht="15" hidden="false" customHeight="false" outlineLevel="0" collapsed="false">
      <c r="A739" s="12"/>
      <c r="B739" s="13"/>
      <c r="C739" s="13"/>
      <c r="D739" s="14"/>
      <c r="E739" s="15"/>
      <c r="F739" s="16"/>
      <c r="G739" s="17"/>
      <c r="H739" s="18" t="n">
        <f aca="false">IF(AND(C739="Yakıt",D739&lt;&gt;""),SUMPRODUCT(MAX(($B$5:$B$1004=B739)*($C$5:$C$1004="Yakıt")*($D$5:$D$1004&lt;D739)*$D$5:$D$1004)),0)</f>
        <v>0</v>
      </c>
      <c r="I739" s="18" t="str">
        <f aca="false">IF(H739&gt;0,D739-H739,"")</f>
        <v/>
      </c>
      <c r="J739" s="19" t="str">
        <f aca="false">IF(OR(I739="",E739=""),"",E739/I739*100)</f>
        <v/>
      </c>
      <c r="K739" s="20" t="str">
        <f aca="false">IF(I739="","",F739/I739)</f>
        <v/>
      </c>
    </row>
    <row r="740" customFormat="false" ht="15" hidden="false" customHeight="false" outlineLevel="0" collapsed="false">
      <c r="A740" s="12"/>
      <c r="B740" s="13"/>
      <c r="C740" s="13"/>
      <c r="D740" s="14"/>
      <c r="E740" s="15"/>
      <c r="F740" s="16"/>
      <c r="G740" s="17"/>
      <c r="H740" s="18" t="n">
        <f aca="false">IF(AND(C740="Yakıt",D740&lt;&gt;""),SUMPRODUCT(MAX(($B$5:$B$1004=B740)*($C$5:$C$1004="Yakıt")*($D$5:$D$1004&lt;D740)*$D$5:$D$1004)),0)</f>
        <v>0</v>
      </c>
      <c r="I740" s="18" t="str">
        <f aca="false">IF(H740&gt;0,D740-H740,"")</f>
        <v/>
      </c>
      <c r="J740" s="19" t="str">
        <f aca="false">IF(OR(I740="",E740=""),"",E740/I740*100)</f>
        <v/>
      </c>
      <c r="K740" s="20" t="str">
        <f aca="false">IF(I740="","",F740/I740)</f>
        <v/>
      </c>
    </row>
    <row r="741" customFormat="false" ht="15" hidden="false" customHeight="false" outlineLevel="0" collapsed="false">
      <c r="A741" s="12"/>
      <c r="B741" s="13"/>
      <c r="C741" s="13"/>
      <c r="D741" s="14"/>
      <c r="E741" s="15"/>
      <c r="F741" s="16"/>
      <c r="G741" s="17"/>
      <c r="H741" s="18" t="n">
        <f aca="false">IF(AND(C741="Yakıt",D741&lt;&gt;""),SUMPRODUCT(MAX(($B$5:$B$1004=B741)*($C$5:$C$1004="Yakıt")*($D$5:$D$1004&lt;D741)*$D$5:$D$1004)),0)</f>
        <v>0</v>
      </c>
      <c r="I741" s="18" t="str">
        <f aca="false">IF(H741&gt;0,D741-H741,"")</f>
        <v/>
      </c>
      <c r="J741" s="19" t="str">
        <f aca="false">IF(OR(I741="",E741=""),"",E741/I741*100)</f>
        <v/>
      </c>
      <c r="K741" s="20" t="str">
        <f aca="false">IF(I741="","",F741/I741)</f>
        <v/>
      </c>
    </row>
    <row r="742" customFormat="false" ht="15" hidden="false" customHeight="false" outlineLevel="0" collapsed="false">
      <c r="A742" s="12"/>
      <c r="B742" s="13"/>
      <c r="C742" s="13"/>
      <c r="D742" s="14"/>
      <c r="E742" s="15"/>
      <c r="F742" s="16"/>
      <c r="G742" s="17"/>
      <c r="H742" s="18" t="n">
        <f aca="false">IF(AND(C742="Yakıt",D742&lt;&gt;""),SUMPRODUCT(MAX(($B$5:$B$1004=B742)*($C$5:$C$1004="Yakıt")*($D$5:$D$1004&lt;D742)*$D$5:$D$1004)),0)</f>
        <v>0</v>
      </c>
      <c r="I742" s="18" t="str">
        <f aca="false">IF(H742&gt;0,D742-H742,"")</f>
        <v/>
      </c>
      <c r="J742" s="19" t="str">
        <f aca="false">IF(OR(I742="",E742=""),"",E742/I742*100)</f>
        <v/>
      </c>
      <c r="K742" s="20" t="str">
        <f aca="false">IF(I742="","",F742/I742)</f>
        <v/>
      </c>
    </row>
    <row r="743" customFormat="false" ht="15" hidden="false" customHeight="false" outlineLevel="0" collapsed="false">
      <c r="A743" s="12"/>
      <c r="B743" s="13"/>
      <c r="C743" s="13"/>
      <c r="D743" s="14"/>
      <c r="E743" s="15"/>
      <c r="F743" s="16"/>
      <c r="G743" s="17"/>
      <c r="H743" s="18" t="n">
        <f aca="false">IF(AND(C743="Yakıt",D743&lt;&gt;""),SUMPRODUCT(MAX(($B$5:$B$1004=B743)*($C$5:$C$1004="Yakıt")*($D$5:$D$1004&lt;D743)*$D$5:$D$1004)),0)</f>
        <v>0</v>
      </c>
      <c r="I743" s="18" t="str">
        <f aca="false">IF(H743&gt;0,D743-H743,"")</f>
        <v/>
      </c>
      <c r="J743" s="19" t="str">
        <f aca="false">IF(OR(I743="",E743=""),"",E743/I743*100)</f>
        <v/>
      </c>
      <c r="K743" s="20" t="str">
        <f aca="false">IF(I743="","",F743/I743)</f>
        <v/>
      </c>
    </row>
    <row r="744" customFormat="false" ht="15" hidden="false" customHeight="false" outlineLevel="0" collapsed="false">
      <c r="A744" s="12"/>
      <c r="B744" s="13"/>
      <c r="C744" s="13"/>
      <c r="D744" s="14"/>
      <c r="E744" s="15"/>
      <c r="F744" s="16"/>
      <c r="G744" s="17"/>
      <c r="H744" s="18" t="n">
        <f aca="false">IF(AND(C744="Yakıt",D744&lt;&gt;""),SUMPRODUCT(MAX(($B$5:$B$1004=B744)*($C$5:$C$1004="Yakıt")*($D$5:$D$1004&lt;D744)*$D$5:$D$1004)),0)</f>
        <v>0</v>
      </c>
      <c r="I744" s="18" t="str">
        <f aca="false">IF(H744&gt;0,D744-H744,"")</f>
        <v/>
      </c>
      <c r="J744" s="19" t="str">
        <f aca="false">IF(OR(I744="",E744=""),"",E744/I744*100)</f>
        <v/>
      </c>
      <c r="K744" s="20" t="str">
        <f aca="false">IF(I744="","",F744/I744)</f>
        <v/>
      </c>
    </row>
    <row r="745" customFormat="false" ht="15" hidden="false" customHeight="false" outlineLevel="0" collapsed="false">
      <c r="A745" s="12"/>
      <c r="B745" s="13"/>
      <c r="C745" s="13"/>
      <c r="D745" s="14"/>
      <c r="E745" s="15"/>
      <c r="F745" s="16"/>
      <c r="G745" s="17"/>
      <c r="H745" s="18" t="n">
        <f aca="false">IF(AND(C745="Yakıt",D745&lt;&gt;""),SUMPRODUCT(MAX(($B$5:$B$1004=B745)*($C$5:$C$1004="Yakıt")*($D$5:$D$1004&lt;D745)*$D$5:$D$1004)),0)</f>
        <v>0</v>
      </c>
      <c r="I745" s="18" t="str">
        <f aca="false">IF(H745&gt;0,D745-H745,"")</f>
        <v/>
      </c>
      <c r="J745" s="19" t="str">
        <f aca="false">IF(OR(I745="",E745=""),"",E745/I745*100)</f>
        <v/>
      </c>
      <c r="K745" s="20" t="str">
        <f aca="false">IF(I745="","",F745/I745)</f>
        <v/>
      </c>
    </row>
    <row r="746" customFormat="false" ht="15" hidden="false" customHeight="false" outlineLevel="0" collapsed="false">
      <c r="A746" s="12"/>
      <c r="B746" s="13"/>
      <c r="C746" s="13"/>
      <c r="D746" s="14"/>
      <c r="E746" s="15"/>
      <c r="F746" s="16"/>
      <c r="G746" s="17"/>
      <c r="H746" s="18" t="n">
        <f aca="false">IF(AND(C746="Yakıt",D746&lt;&gt;""),SUMPRODUCT(MAX(($B$5:$B$1004=B746)*($C$5:$C$1004="Yakıt")*($D$5:$D$1004&lt;D746)*$D$5:$D$1004)),0)</f>
        <v>0</v>
      </c>
      <c r="I746" s="18" t="str">
        <f aca="false">IF(H746&gt;0,D746-H746,"")</f>
        <v/>
      </c>
      <c r="J746" s="19" t="str">
        <f aca="false">IF(OR(I746="",E746=""),"",E746/I746*100)</f>
        <v/>
      </c>
      <c r="K746" s="20" t="str">
        <f aca="false">IF(I746="","",F746/I746)</f>
        <v/>
      </c>
    </row>
    <row r="747" customFormat="false" ht="15" hidden="false" customHeight="false" outlineLevel="0" collapsed="false">
      <c r="A747" s="12"/>
      <c r="B747" s="13"/>
      <c r="C747" s="13"/>
      <c r="D747" s="14"/>
      <c r="E747" s="15"/>
      <c r="F747" s="16"/>
      <c r="G747" s="17"/>
      <c r="H747" s="18" t="n">
        <f aca="false">IF(AND(C747="Yakıt",D747&lt;&gt;""),SUMPRODUCT(MAX(($B$5:$B$1004=B747)*($C$5:$C$1004="Yakıt")*($D$5:$D$1004&lt;D747)*$D$5:$D$1004)),0)</f>
        <v>0</v>
      </c>
      <c r="I747" s="18" t="str">
        <f aca="false">IF(H747&gt;0,D747-H747,"")</f>
        <v/>
      </c>
      <c r="J747" s="19" t="str">
        <f aca="false">IF(OR(I747="",E747=""),"",E747/I747*100)</f>
        <v/>
      </c>
      <c r="K747" s="20" t="str">
        <f aca="false">IF(I747="","",F747/I747)</f>
        <v/>
      </c>
    </row>
    <row r="748" customFormat="false" ht="15" hidden="false" customHeight="false" outlineLevel="0" collapsed="false">
      <c r="A748" s="12"/>
      <c r="B748" s="13"/>
      <c r="C748" s="13"/>
      <c r="D748" s="14"/>
      <c r="E748" s="15"/>
      <c r="F748" s="16"/>
      <c r="G748" s="17"/>
      <c r="H748" s="18" t="n">
        <f aca="false">IF(AND(C748="Yakıt",D748&lt;&gt;""),SUMPRODUCT(MAX(($B$5:$B$1004=B748)*($C$5:$C$1004="Yakıt")*($D$5:$D$1004&lt;D748)*$D$5:$D$1004)),0)</f>
        <v>0</v>
      </c>
      <c r="I748" s="18" t="str">
        <f aca="false">IF(H748&gt;0,D748-H748,"")</f>
        <v/>
      </c>
      <c r="J748" s="19" t="str">
        <f aca="false">IF(OR(I748="",E748=""),"",E748/I748*100)</f>
        <v/>
      </c>
      <c r="K748" s="20" t="str">
        <f aca="false">IF(I748="","",F748/I748)</f>
        <v/>
      </c>
    </row>
    <row r="749" customFormat="false" ht="15" hidden="false" customHeight="false" outlineLevel="0" collapsed="false">
      <c r="A749" s="12"/>
      <c r="B749" s="13"/>
      <c r="C749" s="13"/>
      <c r="D749" s="14"/>
      <c r="E749" s="15"/>
      <c r="F749" s="16"/>
      <c r="G749" s="17"/>
      <c r="H749" s="18" t="n">
        <f aca="false">IF(AND(C749="Yakıt",D749&lt;&gt;""),SUMPRODUCT(MAX(($B$5:$B$1004=B749)*($C$5:$C$1004="Yakıt")*($D$5:$D$1004&lt;D749)*$D$5:$D$1004)),0)</f>
        <v>0</v>
      </c>
      <c r="I749" s="18" t="str">
        <f aca="false">IF(H749&gt;0,D749-H749,"")</f>
        <v/>
      </c>
      <c r="J749" s="19" t="str">
        <f aca="false">IF(OR(I749="",E749=""),"",E749/I749*100)</f>
        <v/>
      </c>
      <c r="K749" s="20" t="str">
        <f aca="false">IF(I749="","",F749/I749)</f>
        <v/>
      </c>
    </row>
    <row r="750" customFormat="false" ht="15" hidden="false" customHeight="false" outlineLevel="0" collapsed="false">
      <c r="A750" s="12"/>
      <c r="B750" s="13"/>
      <c r="C750" s="13"/>
      <c r="D750" s="14"/>
      <c r="E750" s="15"/>
      <c r="F750" s="16"/>
      <c r="G750" s="17"/>
      <c r="H750" s="18" t="n">
        <f aca="false">IF(AND(C750="Yakıt",D750&lt;&gt;""),SUMPRODUCT(MAX(($B$5:$B$1004=B750)*($C$5:$C$1004="Yakıt")*($D$5:$D$1004&lt;D750)*$D$5:$D$1004)),0)</f>
        <v>0</v>
      </c>
      <c r="I750" s="18" t="str">
        <f aca="false">IF(H750&gt;0,D750-H750,"")</f>
        <v/>
      </c>
      <c r="J750" s="19" t="str">
        <f aca="false">IF(OR(I750="",E750=""),"",E750/I750*100)</f>
        <v/>
      </c>
      <c r="K750" s="20" t="str">
        <f aca="false">IF(I750="","",F750/I750)</f>
        <v/>
      </c>
    </row>
    <row r="751" customFormat="false" ht="15" hidden="false" customHeight="false" outlineLevel="0" collapsed="false">
      <c r="A751" s="12"/>
      <c r="B751" s="13"/>
      <c r="C751" s="13"/>
      <c r="D751" s="14"/>
      <c r="E751" s="15"/>
      <c r="F751" s="16"/>
      <c r="G751" s="17"/>
      <c r="H751" s="18" t="n">
        <f aca="false">IF(AND(C751="Yakıt",D751&lt;&gt;""),SUMPRODUCT(MAX(($B$5:$B$1004=B751)*($C$5:$C$1004="Yakıt")*($D$5:$D$1004&lt;D751)*$D$5:$D$1004)),0)</f>
        <v>0</v>
      </c>
      <c r="I751" s="18" t="str">
        <f aca="false">IF(H751&gt;0,D751-H751,"")</f>
        <v/>
      </c>
      <c r="J751" s="19" t="str">
        <f aca="false">IF(OR(I751="",E751=""),"",E751/I751*100)</f>
        <v/>
      </c>
      <c r="K751" s="20" t="str">
        <f aca="false">IF(I751="","",F751/I751)</f>
        <v/>
      </c>
    </row>
    <row r="752" customFormat="false" ht="15" hidden="false" customHeight="false" outlineLevel="0" collapsed="false">
      <c r="A752" s="12"/>
      <c r="B752" s="13"/>
      <c r="C752" s="13"/>
      <c r="D752" s="14"/>
      <c r="E752" s="15"/>
      <c r="F752" s="16"/>
      <c r="G752" s="17"/>
      <c r="H752" s="18" t="n">
        <f aca="false">IF(AND(C752="Yakıt",D752&lt;&gt;""),SUMPRODUCT(MAX(($B$5:$B$1004=B752)*($C$5:$C$1004="Yakıt")*($D$5:$D$1004&lt;D752)*$D$5:$D$1004)),0)</f>
        <v>0</v>
      </c>
      <c r="I752" s="18" t="str">
        <f aca="false">IF(H752&gt;0,D752-H752,"")</f>
        <v/>
      </c>
      <c r="J752" s="19" t="str">
        <f aca="false">IF(OR(I752="",E752=""),"",E752/I752*100)</f>
        <v/>
      </c>
      <c r="K752" s="20" t="str">
        <f aca="false">IF(I752="","",F752/I752)</f>
        <v/>
      </c>
    </row>
    <row r="753" customFormat="false" ht="15" hidden="false" customHeight="false" outlineLevel="0" collapsed="false">
      <c r="A753" s="12"/>
      <c r="B753" s="13"/>
      <c r="C753" s="13"/>
      <c r="D753" s="14"/>
      <c r="E753" s="15"/>
      <c r="F753" s="16"/>
      <c r="G753" s="17"/>
      <c r="H753" s="18" t="n">
        <f aca="false">IF(AND(C753="Yakıt",D753&lt;&gt;""),SUMPRODUCT(MAX(($B$5:$B$1004=B753)*($C$5:$C$1004="Yakıt")*($D$5:$D$1004&lt;D753)*$D$5:$D$1004)),0)</f>
        <v>0</v>
      </c>
      <c r="I753" s="18" t="str">
        <f aca="false">IF(H753&gt;0,D753-H753,"")</f>
        <v/>
      </c>
      <c r="J753" s="19" t="str">
        <f aca="false">IF(OR(I753="",E753=""),"",E753/I753*100)</f>
        <v/>
      </c>
      <c r="K753" s="20" t="str">
        <f aca="false">IF(I753="","",F753/I753)</f>
        <v/>
      </c>
    </row>
    <row r="754" customFormat="false" ht="15" hidden="false" customHeight="false" outlineLevel="0" collapsed="false">
      <c r="A754" s="12"/>
      <c r="B754" s="13"/>
      <c r="C754" s="13"/>
      <c r="D754" s="14"/>
      <c r="E754" s="15"/>
      <c r="F754" s="16"/>
      <c r="G754" s="17"/>
      <c r="H754" s="18" t="n">
        <f aca="false">IF(AND(C754="Yakıt",D754&lt;&gt;""),SUMPRODUCT(MAX(($B$5:$B$1004=B754)*($C$5:$C$1004="Yakıt")*($D$5:$D$1004&lt;D754)*$D$5:$D$1004)),0)</f>
        <v>0</v>
      </c>
      <c r="I754" s="18" t="str">
        <f aca="false">IF(H754&gt;0,D754-H754,"")</f>
        <v/>
      </c>
      <c r="J754" s="19" t="str">
        <f aca="false">IF(OR(I754="",E754=""),"",E754/I754*100)</f>
        <v/>
      </c>
      <c r="K754" s="20" t="str">
        <f aca="false">IF(I754="","",F754/I754)</f>
        <v/>
      </c>
    </row>
    <row r="755" customFormat="false" ht="15" hidden="false" customHeight="false" outlineLevel="0" collapsed="false">
      <c r="A755" s="12"/>
      <c r="B755" s="13"/>
      <c r="C755" s="13"/>
      <c r="D755" s="14"/>
      <c r="E755" s="15"/>
      <c r="F755" s="16"/>
      <c r="G755" s="17"/>
      <c r="H755" s="18" t="n">
        <f aca="false">IF(AND(C755="Yakıt",D755&lt;&gt;""),SUMPRODUCT(MAX(($B$5:$B$1004=B755)*($C$5:$C$1004="Yakıt")*($D$5:$D$1004&lt;D755)*$D$5:$D$1004)),0)</f>
        <v>0</v>
      </c>
      <c r="I755" s="18" t="str">
        <f aca="false">IF(H755&gt;0,D755-H755,"")</f>
        <v/>
      </c>
      <c r="J755" s="19" t="str">
        <f aca="false">IF(OR(I755="",E755=""),"",E755/I755*100)</f>
        <v/>
      </c>
      <c r="K755" s="20" t="str">
        <f aca="false">IF(I755="","",F755/I755)</f>
        <v/>
      </c>
    </row>
    <row r="756" customFormat="false" ht="15" hidden="false" customHeight="false" outlineLevel="0" collapsed="false">
      <c r="A756" s="12"/>
      <c r="B756" s="13"/>
      <c r="C756" s="13"/>
      <c r="D756" s="14"/>
      <c r="E756" s="15"/>
      <c r="F756" s="16"/>
      <c r="G756" s="17"/>
      <c r="H756" s="18" t="n">
        <f aca="false">IF(AND(C756="Yakıt",D756&lt;&gt;""),SUMPRODUCT(MAX(($B$5:$B$1004=B756)*($C$5:$C$1004="Yakıt")*($D$5:$D$1004&lt;D756)*$D$5:$D$1004)),0)</f>
        <v>0</v>
      </c>
      <c r="I756" s="18" t="str">
        <f aca="false">IF(H756&gt;0,D756-H756,"")</f>
        <v/>
      </c>
      <c r="J756" s="19" t="str">
        <f aca="false">IF(OR(I756="",E756=""),"",E756/I756*100)</f>
        <v/>
      </c>
      <c r="K756" s="20" t="str">
        <f aca="false">IF(I756="","",F756/I756)</f>
        <v/>
      </c>
    </row>
    <row r="757" customFormat="false" ht="15" hidden="false" customHeight="false" outlineLevel="0" collapsed="false">
      <c r="A757" s="12"/>
      <c r="B757" s="13"/>
      <c r="C757" s="13"/>
      <c r="D757" s="14"/>
      <c r="E757" s="15"/>
      <c r="F757" s="16"/>
      <c r="G757" s="17"/>
      <c r="H757" s="18" t="n">
        <f aca="false">IF(AND(C757="Yakıt",D757&lt;&gt;""),SUMPRODUCT(MAX(($B$5:$B$1004=B757)*($C$5:$C$1004="Yakıt")*($D$5:$D$1004&lt;D757)*$D$5:$D$1004)),0)</f>
        <v>0</v>
      </c>
      <c r="I757" s="18" t="str">
        <f aca="false">IF(H757&gt;0,D757-H757,"")</f>
        <v/>
      </c>
      <c r="J757" s="19" t="str">
        <f aca="false">IF(OR(I757="",E757=""),"",E757/I757*100)</f>
        <v/>
      </c>
      <c r="K757" s="20" t="str">
        <f aca="false">IF(I757="","",F757/I757)</f>
        <v/>
      </c>
    </row>
    <row r="758" customFormat="false" ht="15" hidden="false" customHeight="false" outlineLevel="0" collapsed="false">
      <c r="A758" s="12"/>
      <c r="B758" s="13"/>
      <c r="C758" s="13"/>
      <c r="D758" s="14"/>
      <c r="E758" s="15"/>
      <c r="F758" s="16"/>
      <c r="G758" s="17"/>
      <c r="H758" s="18" t="n">
        <f aca="false">IF(AND(C758="Yakıt",D758&lt;&gt;""),SUMPRODUCT(MAX(($B$5:$B$1004=B758)*($C$5:$C$1004="Yakıt")*($D$5:$D$1004&lt;D758)*$D$5:$D$1004)),0)</f>
        <v>0</v>
      </c>
      <c r="I758" s="18" t="str">
        <f aca="false">IF(H758&gt;0,D758-H758,"")</f>
        <v/>
      </c>
      <c r="J758" s="19" t="str">
        <f aca="false">IF(OR(I758="",E758=""),"",E758/I758*100)</f>
        <v/>
      </c>
      <c r="K758" s="20" t="str">
        <f aca="false">IF(I758="","",F758/I758)</f>
        <v/>
      </c>
    </row>
    <row r="759" customFormat="false" ht="15" hidden="false" customHeight="false" outlineLevel="0" collapsed="false">
      <c r="A759" s="12"/>
      <c r="B759" s="13"/>
      <c r="C759" s="13"/>
      <c r="D759" s="14"/>
      <c r="E759" s="15"/>
      <c r="F759" s="16"/>
      <c r="G759" s="17"/>
      <c r="H759" s="18" t="n">
        <f aca="false">IF(AND(C759="Yakıt",D759&lt;&gt;""),SUMPRODUCT(MAX(($B$5:$B$1004=B759)*($C$5:$C$1004="Yakıt")*($D$5:$D$1004&lt;D759)*$D$5:$D$1004)),0)</f>
        <v>0</v>
      </c>
      <c r="I759" s="18" t="str">
        <f aca="false">IF(H759&gt;0,D759-H759,"")</f>
        <v/>
      </c>
      <c r="J759" s="19" t="str">
        <f aca="false">IF(OR(I759="",E759=""),"",E759/I759*100)</f>
        <v/>
      </c>
      <c r="K759" s="20" t="str">
        <f aca="false">IF(I759="","",F759/I759)</f>
        <v/>
      </c>
    </row>
    <row r="760" customFormat="false" ht="15" hidden="false" customHeight="false" outlineLevel="0" collapsed="false">
      <c r="A760" s="12"/>
      <c r="B760" s="13"/>
      <c r="C760" s="13"/>
      <c r="D760" s="14"/>
      <c r="E760" s="15"/>
      <c r="F760" s="16"/>
      <c r="G760" s="17"/>
      <c r="H760" s="18" t="n">
        <f aca="false">IF(AND(C760="Yakıt",D760&lt;&gt;""),SUMPRODUCT(MAX(($B$5:$B$1004=B760)*($C$5:$C$1004="Yakıt")*($D$5:$D$1004&lt;D760)*$D$5:$D$1004)),0)</f>
        <v>0</v>
      </c>
      <c r="I760" s="18" t="str">
        <f aca="false">IF(H760&gt;0,D760-H760,"")</f>
        <v/>
      </c>
      <c r="J760" s="19" t="str">
        <f aca="false">IF(OR(I760="",E760=""),"",E760/I760*100)</f>
        <v/>
      </c>
      <c r="K760" s="20" t="str">
        <f aca="false">IF(I760="","",F760/I760)</f>
        <v/>
      </c>
    </row>
    <row r="761" customFormat="false" ht="15" hidden="false" customHeight="false" outlineLevel="0" collapsed="false">
      <c r="A761" s="12"/>
      <c r="B761" s="13"/>
      <c r="C761" s="13"/>
      <c r="D761" s="14"/>
      <c r="E761" s="15"/>
      <c r="F761" s="16"/>
      <c r="G761" s="17"/>
      <c r="H761" s="18" t="n">
        <f aca="false">IF(AND(C761="Yakıt",D761&lt;&gt;""),SUMPRODUCT(MAX(($B$5:$B$1004=B761)*($C$5:$C$1004="Yakıt")*($D$5:$D$1004&lt;D761)*$D$5:$D$1004)),0)</f>
        <v>0</v>
      </c>
      <c r="I761" s="18" t="str">
        <f aca="false">IF(H761&gt;0,D761-H761,"")</f>
        <v/>
      </c>
      <c r="J761" s="19" t="str">
        <f aca="false">IF(OR(I761="",E761=""),"",E761/I761*100)</f>
        <v/>
      </c>
      <c r="K761" s="20" t="str">
        <f aca="false">IF(I761="","",F761/I761)</f>
        <v/>
      </c>
    </row>
    <row r="762" customFormat="false" ht="15" hidden="false" customHeight="false" outlineLevel="0" collapsed="false">
      <c r="A762" s="12"/>
      <c r="B762" s="13"/>
      <c r="C762" s="13"/>
      <c r="D762" s="14"/>
      <c r="E762" s="15"/>
      <c r="F762" s="16"/>
      <c r="G762" s="17"/>
      <c r="H762" s="18" t="n">
        <f aca="false">IF(AND(C762="Yakıt",D762&lt;&gt;""),SUMPRODUCT(MAX(($B$5:$B$1004=B762)*($C$5:$C$1004="Yakıt")*($D$5:$D$1004&lt;D762)*$D$5:$D$1004)),0)</f>
        <v>0</v>
      </c>
      <c r="I762" s="18" t="str">
        <f aca="false">IF(H762&gt;0,D762-H762,"")</f>
        <v/>
      </c>
      <c r="J762" s="19" t="str">
        <f aca="false">IF(OR(I762="",E762=""),"",E762/I762*100)</f>
        <v/>
      </c>
      <c r="K762" s="20" t="str">
        <f aca="false">IF(I762="","",F762/I762)</f>
        <v/>
      </c>
    </row>
    <row r="763" customFormat="false" ht="15" hidden="false" customHeight="false" outlineLevel="0" collapsed="false">
      <c r="A763" s="12"/>
      <c r="B763" s="13"/>
      <c r="C763" s="13"/>
      <c r="D763" s="14"/>
      <c r="E763" s="15"/>
      <c r="F763" s="16"/>
      <c r="G763" s="17"/>
      <c r="H763" s="18" t="n">
        <f aca="false">IF(AND(C763="Yakıt",D763&lt;&gt;""),SUMPRODUCT(MAX(($B$5:$B$1004=B763)*($C$5:$C$1004="Yakıt")*($D$5:$D$1004&lt;D763)*$D$5:$D$1004)),0)</f>
        <v>0</v>
      </c>
      <c r="I763" s="18" t="str">
        <f aca="false">IF(H763&gt;0,D763-H763,"")</f>
        <v/>
      </c>
      <c r="J763" s="19" t="str">
        <f aca="false">IF(OR(I763="",E763=""),"",E763/I763*100)</f>
        <v/>
      </c>
      <c r="K763" s="20" t="str">
        <f aca="false">IF(I763="","",F763/I763)</f>
        <v/>
      </c>
    </row>
    <row r="764" customFormat="false" ht="15" hidden="false" customHeight="false" outlineLevel="0" collapsed="false">
      <c r="A764" s="12"/>
      <c r="B764" s="13"/>
      <c r="C764" s="13"/>
      <c r="D764" s="14"/>
      <c r="E764" s="15"/>
      <c r="F764" s="16"/>
      <c r="G764" s="17"/>
      <c r="H764" s="18" t="n">
        <f aca="false">IF(AND(C764="Yakıt",D764&lt;&gt;""),SUMPRODUCT(MAX(($B$5:$B$1004=B764)*($C$5:$C$1004="Yakıt")*($D$5:$D$1004&lt;D764)*$D$5:$D$1004)),0)</f>
        <v>0</v>
      </c>
      <c r="I764" s="18" t="str">
        <f aca="false">IF(H764&gt;0,D764-H764,"")</f>
        <v/>
      </c>
      <c r="J764" s="19" t="str">
        <f aca="false">IF(OR(I764="",E764=""),"",E764/I764*100)</f>
        <v/>
      </c>
      <c r="K764" s="20" t="str">
        <f aca="false">IF(I764="","",F764/I764)</f>
        <v/>
      </c>
    </row>
    <row r="765" customFormat="false" ht="15" hidden="false" customHeight="false" outlineLevel="0" collapsed="false">
      <c r="A765" s="12"/>
      <c r="B765" s="13"/>
      <c r="C765" s="13"/>
      <c r="D765" s="14"/>
      <c r="E765" s="15"/>
      <c r="F765" s="16"/>
      <c r="G765" s="17"/>
      <c r="H765" s="18" t="n">
        <f aca="false">IF(AND(C765="Yakıt",D765&lt;&gt;""),SUMPRODUCT(MAX(($B$5:$B$1004=B765)*($C$5:$C$1004="Yakıt")*($D$5:$D$1004&lt;D765)*$D$5:$D$1004)),0)</f>
        <v>0</v>
      </c>
      <c r="I765" s="18" t="str">
        <f aca="false">IF(H765&gt;0,D765-H765,"")</f>
        <v/>
      </c>
      <c r="J765" s="19" t="str">
        <f aca="false">IF(OR(I765="",E765=""),"",E765/I765*100)</f>
        <v/>
      </c>
      <c r="K765" s="20" t="str">
        <f aca="false">IF(I765="","",F765/I765)</f>
        <v/>
      </c>
    </row>
    <row r="766" customFormat="false" ht="15" hidden="false" customHeight="false" outlineLevel="0" collapsed="false">
      <c r="A766" s="12"/>
      <c r="B766" s="13"/>
      <c r="C766" s="13"/>
      <c r="D766" s="14"/>
      <c r="E766" s="15"/>
      <c r="F766" s="16"/>
      <c r="G766" s="17"/>
      <c r="H766" s="18" t="n">
        <f aca="false">IF(AND(C766="Yakıt",D766&lt;&gt;""),SUMPRODUCT(MAX(($B$5:$B$1004=B766)*($C$5:$C$1004="Yakıt")*($D$5:$D$1004&lt;D766)*$D$5:$D$1004)),0)</f>
        <v>0</v>
      </c>
      <c r="I766" s="18" t="str">
        <f aca="false">IF(H766&gt;0,D766-H766,"")</f>
        <v/>
      </c>
      <c r="J766" s="19" t="str">
        <f aca="false">IF(OR(I766="",E766=""),"",E766/I766*100)</f>
        <v/>
      </c>
      <c r="K766" s="20" t="str">
        <f aca="false">IF(I766="","",F766/I766)</f>
        <v/>
      </c>
    </row>
    <row r="767" customFormat="false" ht="15" hidden="false" customHeight="false" outlineLevel="0" collapsed="false">
      <c r="A767" s="12"/>
      <c r="B767" s="13"/>
      <c r="C767" s="13"/>
      <c r="D767" s="14"/>
      <c r="E767" s="15"/>
      <c r="F767" s="16"/>
      <c r="G767" s="17"/>
      <c r="H767" s="18" t="n">
        <f aca="false">IF(AND(C767="Yakıt",D767&lt;&gt;""),SUMPRODUCT(MAX(($B$5:$B$1004=B767)*($C$5:$C$1004="Yakıt")*($D$5:$D$1004&lt;D767)*$D$5:$D$1004)),0)</f>
        <v>0</v>
      </c>
      <c r="I767" s="18" t="str">
        <f aca="false">IF(H767&gt;0,D767-H767,"")</f>
        <v/>
      </c>
      <c r="J767" s="19" t="str">
        <f aca="false">IF(OR(I767="",E767=""),"",E767/I767*100)</f>
        <v/>
      </c>
      <c r="K767" s="20" t="str">
        <f aca="false">IF(I767="","",F767/I767)</f>
        <v/>
      </c>
    </row>
    <row r="768" customFormat="false" ht="15" hidden="false" customHeight="false" outlineLevel="0" collapsed="false">
      <c r="A768" s="12"/>
      <c r="B768" s="13"/>
      <c r="C768" s="13"/>
      <c r="D768" s="14"/>
      <c r="E768" s="15"/>
      <c r="F768" s="16"/>
      <c r="G768" s="17"/>
      <c r="H768" s="18" t="n">
        <f aca="false">IF(AND(C768="Yakıt",D768&lt;&gt;""),SUMPRODUCT(MAX(($B$5:$B$1004=B768)*($C$5:$C$1004="Yakıt")*($D$5:$D$1004&lt;D768)*$D$5:$D$1004)),0)</f>
        <v>0</v>
      </c>
      <c r="I768" s="18" t="str">
        <f aca="false">IF(H768&gt;0,D768-H768,"")</f>
        <v/>
      </c>
      <c r="J768" s="19" t="str">
        <f aca="false">IF(OR(I768="",E768=""),"",E768/I768*100)</f>
        <v/>
      </c>
      <c r="K768" s="20" t="str">
        <f aca="false">IF(I768="","",F768/I768)</f>
        <v/>
      </c>
    </row>
    <row r="769" customFormat="false" ht="15" hidden="false" customHeight="false" outlineLevel="0" collapsed="false">
      <c r="A769" s="12"/>
      <c r="B769" s="13"/>
      <c r="C769" s="13"/>
      <c r="D769" s="14"/>
      <c r="E769" s="15"/>
      <c r="F769" s="16"/>
      <c r="G769" s="17"/>
      <c r="H769" s="18" t="n">
        <f aca="false">IF(AND(C769="Yakıt",D769&lt;&gt;""),SUMPRODUCT(MAX(($B$5:$B$1004=B769)*($C$5:$C$1004="Yakıt")*($D$5:$D$1004&lt;D769)*$D$5:$D$1004)),0)</f>
        <v>0</v>
      </c>
      <c r="I769" s="18" t="str">
        <f aca="false">IF(H769&gt;0,D769-H769,"")</f>
        <v/>
      </c>
      <c r="J769" s="19" t="str">
        <f aca="false">IF(OR(I769="",E769=""),"",E769/I769*100)</f>
        <v/>
      </c>
      <c r="K769" s="20" t="str">
        <f aca="false">IF(I769="","",F769/I769)</f>
        <v/>
      </c>
    </row>
    <row r="770" customFormat="false" ht="15" hidden="false" customHeight="false" outlineLevel="0" collapsed="false">
      <c r="A770" s="12"/>
      <c r="B770" s="13"/>
      <c r="C770" s="13"/>
      <c r="D770" s="14"/>
      <c r="E770" s="15"/>
      <c r="F770" s="16"/>
      <c r="G770" s="17"/>
      <c r="H770" s="18" t="n">
        <f aca="false">IF(AND(C770="Yakıt",D770&lt;&gt;""),SUMPRODUCT(MAX(($B$5:$B$1004=B770)*($C$5:$C$1004="Yakıt")*($D$5:$D$1004&lt;D770)*$D$5:$D$1004)),0)</f>
        <v>0</v>
      </c>
      <c r="I770" s="18" t="str">
        <f aca="false">IF(H770&gt;0,D770-H770,"")</f>
        <v/>
      </c>
      <c r="J770" s="19" t="str">
        <f aca="false">IF(OR(I770="",E770=""),"",E770/I770*100)</f>
        <v/>
      </c>
      <c r="K770" s="20" t="str">
        <f aca="false">IF(I770="","",F770/I770)</f>
        <v/>
      </c>
    </row>
    <row r="771" customFormat="false" ht="15" hidden="false" customHeight="false" outlineLevel="0" collapsed="false">
      <c r="A771" s="12"/>
      <c r="B771" s="13"/>
      <c r="C771" s="13"/>
      <c r="D771" s="14"/>
      <c r="E771" s="15"/>
      <c r="F771" s="16"/>
      <c r="G771" s="17"/>
      <c r="H771" s="18" t="n">
        <f aca="false">IF(AND(C771="Yakıt",D771&lt;&gt;""),SUMPRODUCT(MAX(($B$5:$B$1004=B771)*($C$5:$C$1004="Yakıt")*($D$5:$D$1004&lt;D771)*$D$5:$D$1004)),0)</f>
        <v>0</v>
      </c>
      <c r="I771" s="18" t="str">
        <f aca="false">IF(H771&gt;0,D771-H771,"")</f>
        <v/>
      </c>
      <c r="J771" s="19" t="str">
        <f aca="false">IF(OR(I771="",E771=""),"",E771/I771*100)</f>
        <v/>
      </c>
      <c r="K771" s="20" t="str">
        <f aca="false">IF(I771="","",F771/I771)</f>
        <v/>
      </c>
    </row>
    <row r="772" customFormat="false" ht="15" hidden="false" customHeight="false" outlineLevel="0" collapsed="false">
      <c r="A772" s="12"/>
      <c r="B772" s="13"/>
      <c r="C772" s="13"/>
      <c r="D772" s="14"/>
      <c r="E772" s="15"/>
      <c r="F772" s="16"/>
      <c r="G772" s="17"/>
      <c r="H772" s="18" t="n">
        <f aca="false">IF(AND(C772="Yakıt",D772&lt;&gt;""),SUMPRODUCT(MAX(($B$5:$B$1004=B772)*($C$5:$C$1004="Yakıt")*($D$5:$D$1004&lt;D772)*$D$5:$D$1004)),0)</f>
        <v>0</v>
      </c>
      <c r="I772" s="18" t="str">
        <f aca="false">IF(H772&gt;0,D772-H772,"")</f>
        <v/>
      </c>
      <c r="J772" s="19" t="str">
        <f aca="false">IF(OR(I772="",E772=""),"",E772/I772*100)</f>
        <v/>
      </c>
      <c r="K772" s="20" t="str">
        <f aca="false">IF(I772="","",F772/I772)</f>
        <v/>
      </c>
    </row>
    <row r="773" customFormat="false" ht="15" hidden="false" customHeight="false" outlineLevel="0" collapsed="false">
      <c r="A773" s="12"/>
      <c r="B773" s="13"/>
      <c r="C773" s="13"/>
      <c r="D773" s="14"/>
      <c r="E773" s="15"/>
      <c r="F773" s="16"/>
      <c r="G773" s="17"/>
      <c r="H773" s="18" t="n">
        <f aca="false">IF(AND(C773="Yakıt",D773&lt;&gt;""),SUMPRODUCT(MAX(($B$5:$B$1004=B773)*($C$5:$C$1004="Yakıt")*($D$5:$D$1004&lt;D773)*$D$5:$D$1004)),0)</f>
        <v>0</v>
      </c>
      <c r="I773" s="18" t="str">
        <f aca="false">IF(H773&gt;0,D773-H773,"")</f>
        <v/>
      </c>
      <c r="J773" s="19" t="str">
        <f aca="false">IF(OR(I773="",E773=""),"",E773/I773*100)</f>
        <v/>
      </c>
      <c r="K773" s="20" t="str">
        <f aca="false">IF(I773="","",F773/I773)</f>
        <v/>
      </c>
    </row>
    <row r="774" customFormat="false" ht="15" hidden="false" customHeight="false" outlineLevel="0" collapsed="false">
      <c r="A774" s="12"/>
      <c r="B774" s="13"/>
      <c r="C774" s="13"/>
      <c r="D774" s="14"/>
      <c r="E774" s="15"/>
      <c r="F774" s="16"/>
      <c r="G774" s="17"/>
      <c r="H774" s="18" t="n">
        <f aca="false">IF(AND(C774="Yakıt",D774&lt;&gt;""),SUMPRODUCT(MAX(($B$5:$B$1004=B774)*($C$5:$C$1004="Yakıt")*($D$5:$D$1004&lt;D774)*$D$5:$D$1004)),0)</f>
        <v>0</v>
      </c>
      <c r="I774" s="18" t="str">
        <f aca="false">IF(H774&gt;0,D774-H774,"")</f>
        <v/>
      </c>
      <c r="J774" s="19" t="str">
        <f aca="false">IF(OR(I774="",E774=""),"",E774/I774*100)</f>
        <v/>
      </c>
      <c r="K774" s="20" t="str">
        <f aca="false">IF(I774="","",F774/I774)</f>
        <v/>
      </c>
    </row>
    <row r="775" customFormat="false" ht="15" hidden="false" customHeight="false" outlineLevel="0" collapsed="false">
      <c r="A775" s="12"/>
      <c r="B775" s="13"/>
      <c r="C775" s="13"/>
      <c r="D775" s="14"/>
      <c r="E775" s="15"/>
      <c r="F775" s="16"/>
      <c r="G775" s="17"/>
      <c r="H775" s="18" t="n">
        <f aca="false">IF(AND(C775="Yakıt",D775&lt;&gt;""),SUMPRODUCT(MAX(($B$5:$B$1004=B775)*($C$5:$C$1004="Yakıt")*($D$5:$D$1004&lt;D775)*$D$5:$D$1004)),0)</f>
        <v>0</v>
      </c>
      <c r="I775" s="18" t="str">
        <f aca="false">IF(H775&gt;0,D775-H775,"")</f>
        <v/>
      </c>
      <c r="J775" s="19" t="str">
        <f aca="false">IF(OR(I775="",E775=""),"",E775/I775*100)</f>
        <v/>
      </c>
      <c r="K775" s="20" t="str">
        <f aca="false">IF(I775="","",F775/I775)</f>
        <v/>
      </c>
    </row>
    <row r="776" customFormat="false" ht="15" hidden="false" customHeight="false" outlineLevel="0" collapsed="false">
      <c r="A776" s="12"/>
      <c r="B776" s="13"/>
      <c r="C776" s="13"/>
      <c r="D776" s="14"/>
      <c r="E776" s="15"/>
      <c r="F776" s="16"/>
      <c r="G776" s="17"/>
      <c r="H776" s="18" t="n">
        <f aca="false">IF(AND(C776="Yakıt",D776&lt;&gt;""),SUMPRODUCT(MAX(($B$5:$B$1004=B776)*($C$5:$C$1004="Yakıt")*($D$5:$D$1004&lt;D776)*$D$5:$D$1004)),0)</f>
        <v>0</v>
      </c>
      <c r="I776" s="18" t="str">
        <f aca="false">IF(H776&gt;0,D776-H776,"")</f>
        <v/>
      </c>
      <c r="J776" s="19" t="str">
        <f aca="false">IF(OR(I776="",E776=""),"",E776/I776*100)</f>
        <v/>
      </c>
      <c r="K776" s="20" t="str">
        <f aca="false">IF(I776="","",F776/I776)</f>
        <v/>
      </c>
    </row>
    <row r="777" customFormat="false" ht="15" hidden="false" customHeight="false" outlineLevel="0" collapsed="false">
      <c r="A777" s="12"/>
      <c r="B777" s="13"/>
      <c r="C777" s="13"/>
      <c r="D777" s="14"/>
      <c r="E777" s="15"/>
      <c r="F777" s="16"/>
      <c r="G777" s="17"/>
      <c r="H777" s="18" t="n">
        <f aca="false">IF(AND(C777="Yakıt",D777&lt;&gt;""),SUMPRODUCT(MAX(($B$5:$B$1004=B777)*($C$5:$C$1004="Yakıt")*($D$5:$D$1004&lt;D777)*$D$5:$D$1004)),0)</f>
        <v>0</v>
      </c>
      <c r="I777" s="18" t="str">
        <f aca="false">IF(H777&gt;0,D777-H777,"")</f>
        <v/>
      </c>
      <c r="J777" s="19" t="str">
        <f aca="false">IF(OR(I777="",E777=""),"",E777/I777*100)</f>
        <v/>
      </c>
      <c r="K777" s="20" t="str">
        <f aca="false">IF(I777="","",F777/I777)</f>
        <v/>
      </c>
    </row>
    <row r="778" customFormat="false" ht="15" hidden="false" customHeight="false" outlineLevel="0" collapsed="false">
      <c r="A778" s="12"/>
      <c r="B778" s="13"/>
      <c r="C778" s="13"/>
      <c r="D778" s="14"/>
      <c r="E778" s="15"/>
      <c r="F778" s="16"/>
      <c r="G778" s="17"/>
      <c r="H778" s="18" t="n">
        <f aca="false">IF(AND(C778="Yakıt",D778&lt;&gt;""),SUMPRODUCT(MAX(($B$5:$B$1004=B778)*($C$5:$C$1004="Yakıt")*($D$5:$D$1004&lt;D778)*$D$5:$D$1004)),0)</f>
        <v>0</v>
      </c>
      <c r="I778" s="18" t="str">
        <f aca="false">IF(H778&gt;0,D778-H778,"")</f>
        <v/>
      </c>
      <c r="J778" s="19" t="str">
        <f aca="false">IF(OR(I778="",E778=""),"",E778/I778*100)</f>
        <v/>
      </c>
      <c r="K778" s="20" t="str">
        <f aca="false">IF(I778="","",F778/I778)</f>
        <v/>
      </c>
    </row>
    <row r="779" customFormat="false" ht="15" hidden="false" customHeight="false" outlineLevel="0" collapsed="false">
      <c r="A779" s="12"/>
      <c r="B779" s="13"/>
      <c r="C779" s="13"/>
      <c r="D779" s="14"/>
      <c r="E779" s="15"/>
      <c r="F779" s="16"/>
      <c r="G779" s="17"/>
      <c r="H779" s="18" t="n">
        <f aca="false">IF(AND(C779="Yakıt",D779&lt;&gt;""),SUMPRODUCT(MAX(($B$5:$B$1004=B779)*($C$5:$C$1004="Yakıt")*($D$5:$D$1004&lt;D779)*$D$5:$D$1004)),0)</f>
        <v>0</v>
      </c>
      <c r="I779" s="18" t="str">
        <f aca="false">IF(H779&gt;0,D779-H779,"")</f>
        <v/>
      </c>
      <c r="J779" s="19" t="str">
        <f aca="false">IF(OR(I779="",E779=""),"",E779/I779*100)</f>
        <v/>
      </c>
      <c r="K779" s="20" t="str">
        <f aca="false">IF(I779="","",F779/I779)</f>
        <v/>
      </c>
    </row>
    <row r="780" customFormat="false" ht="15" hidden="false" customHeight="false" outlineLevel="0" collapsed="false">
      <c r="A780" s="12"/>
      <c r="B780" s="13"/>
      <c r="C780" s="13"/>
      <c r="D780" s="14"/>
      <c r="E780" s="15"/>
      <c r="F780" s="16"/>
      <c r="G780" s="17"/>
      <c r="H780" s="18" t="n">
        <f aca="false">IF(AND(C780="Yakıt",D780&lt;&gt;""),SUMPRODUCT(MAX(($B$5:$B$1004=B780)*($C$5:$C$1004="Yakıt")*($D$5:$D$1004&lt;D780)*$D$5:$D$1004)),0)</f>
        <v>0</v>
      </c>
      <c r="I780" s="18" t="str">
        <f aca="false">IF(H780&gt;0,D780-H780,"")</f>
        <v/>
      </c>
      <c r="J780" s="19" t="str">
        <f aca="false">IF(OR(I780="",E780=""),"",E780/I780*100)</f>
        <v/>
      </c>
      <c r="K780" s="20" t="str">
        <f aca="false">IF(I780="","",F780/I780)</f>
        <v/>
      </c>
    </row>
    <row r="781" customFormat="false" ht="15" hidden="false" customHeight="false" outlineLevel="0" collapsed="false">
      <c r="A781" s="12"/>
      <c r="B781" s="13"/>
      <c r="C781" s="13"/>
      <c r="D781" s="14"/>
      <c r="E781" s="15"/>
      <c r="F781" s="16"/>
      <c r="G781" s="17"/>
      <c r="H781" s="18" t="n">
        <f aca="false">IF(AND(C781="Yakıt",D781&lt;&gt;""),SUMPRODUCT(MAX(($B$5:$B$1004=B781)*($C$5:$C$1004="Yakıt")*($D$5:$D$1004&lt;D781)*$D$5:$D$1004)),0)</f>
        <v>0</v>
      </c>
      <c r="I781" s="18" t="str">
        <f aca="false">IF(H781&gt;0,D781-H781,"")</f>
        <v/>
      </c>
      <c r="J781" s="19" t="str">
        <f aca="false">IF(OR(I781="",E781=""),"",E781/I781*100)</f>
        <v/>
      </c>
      <c r="K781" s="20" t="str">
        <f aca="false">IF(I781="","",F781/I781)</f>
        <v/>
      </c>
    </row>
    <row r="782" customFormat="false" ht="15" hidden="false" customHeight="false" outlineLevel="0" collapsed="false">
      <c r="A782" s="12"/>
      <c r="B782" s="13"/>
      <c r="C782" s="13"/>
      <c r="D782" s="14"/>
      <c r="E782" s="15"/>
      <c r="F782" s="16"/>
      <c r="G782" s="17"/>
      <c r="H782" s="18" t="n">
        <f aca="false">IF(AND(C782="Yakıt",D782&lt;&gt;""),SUMPRODUCT(MAX(($B$5:$B$1004=B782)*($C$5:$C$1004="Yakıt")*($D$5:$D$1004&lt;D782)*$D$5:$D$1004)),0)</f>
        <v>0</v>
      </c>
      <c r="I782" s="18" t="str">
        <f aca="false">IF(H782&gt;0,D782-H782,"")</f>
        <v/>
      </c>
      <c r="J782" s="19" t="str">
        <f aca="false">IF(OR(I782="",E782=""),"",E782/I782*100)</f>
        <v/>
      </c>
      <c r="K782" s="20" t="str">
        <f aca="false">IF(I782="","",F782/I782)</f>
        <v/>
      </c>
    </row>
    <row r="783" customFormat="false" ht="15" hidden="false" customHeight="false" outlineLevel="0" collapsed="false">
      <c r="A783" s="12"/>
      <c r="B783" s="13"/>
      <c r="C783" s="13"/>
      <c r="D783" s="14"/>
      <c r="E783" s="15"/>
      <c r="F783" s="16"/>
      <c r="G783" s="17"/>
      <c r="H783" s="18" t="n">
        <f aca="false">IF(AND(C783="Yakıt",D783&lt;&gt;""),SUMPRODUCT(MAX(($B$5:$B$1004=B783)*($C$5:$C$1004="Yakıt")*($D$5:$D$1004&lt;D783)*$D$5:$D$1004)),0)</f>
        <v>0</v>
      </c>
      <c r="I783" s="18" t="str">
        <f aca="false">IF(H783&gt;0,D783-H783,"")</f>
        <v/>
      </c>
      <c r="J783" s="19" t="str">
        <f aca="false">IF(OR(I783="",E783=""),"",E783/I783*100)</f>
        <v/>
      </c>
      <c r="K783" s="20" t="str">
        <f aca="false">IF(I783="","",F783/I783)</f>
        <v/>
      </c>
    </row>
    <row r="784" customFormat="false" ht="15" hidden="false" customHeight="false" outlineLevel="0" collapsed="false">
      <c r="A784" s="12"/>
      <c r="B784" s="13"/>
      <c r="C784" s="13"/>
      <c r="D784" s="14"/>
      <c r="E784" s="15"/>
      <c r="F784" s="16"/>
      <c r="G784" s="17"/>
      <c r="H784" s="18" t="n">
        <f aca="false">IF(AND(C784="Yakıt",D784&lt;&gt;""),SUMPRODUCT(MAX(($B$5:$B$1004=B784)*($C$5:$C$1004="Yakıt")*($D$5:$D$1004&lt;D784)*$D$5:$D$1004)),0)</f>
        <v>0</v>
      </c>
      <c r="I784" s="18" t="str">
        <f aca="false">IF(H784&gt;0,D784-H784,"")</f>
        <v/>
      </c>
      <c r="J784" s="19" t="str">
        <f aca="false">IF(OR(I784="",E784=""),"",E784/I784*100)</f>
        <v/>
      </c>
      <c r="K784" s="20" t="str">
        <f aca="false">IF(I784="","",F784/I784)</f>
        <v/>
      </c>
    </row>
    <row r="785" customFormat="false" ht="15" hidden="false" customHeight="false" outlineLevel="0" collapsed="false">
      <c r="A785" s="12"/>
      <c r="B785" s="13"/>
      <c r="C785" s="13"/>
      <c r="D785" s="14"/>
      <c r="E785" s="15"/>
      <c r="F785" s="16"/>
      <c r="G785" s="17"/>
      <c r="H785" s="18" t="n">
        <f aca="false">IF(AND(C785="Yakıt",D785&lt;&gt;""),SUMPRODUCT(MAX(($B$5:$B$1004=B785)*($C$5:$C$1004="Yakıt")*($D$5:$D$1004&lt;D785)*$D$5:$D$1004)),0)</f>
        <v>0</v>
      </c>
      <c r="I785" s="18" t="str">
        <f aca="false">IF(H785&gt;0,D785-H785,"")</f>
        <v/>
      </c>
      <c r="J785" s="19" t="str">
        <f aca="false">IF(OR(I785="",E785=""),"",E785/I785*100)</f>
        <v/>
      </c>
      <c r="K785" s="20" t="str">
        <f aca="false">IF(I785="","",F785/I785)</f>
        <v/>
      </c>
    </row>
    <row r="786" customFormat="false" ht="15" hidden="false" customHeight="false" outlineLevel="0" collapsed="false">
      <c r="A786" s="12"/>
      <c r="B786" s="13"/>
      <c r="C786" s="13"/>
      <c r="D786" s="14"/>
      <c r="E786" s="15"/>
      <c r="F786" s="16"/>
      <c r="G786" s="17"/>
      <c r="H786" s="18" t="n">
        <f aca="false">IF(AND(C786="Yakıt",D786&lt;&gt;""),SUMPRODUCT(MAX(($B$5:$B$1004=B786)*($C$5:$C$1004="Yakıt")*($D$5:$D$1004&lt;D786)*$D$5:$D$1004)),0)</f>
        <v>0</v>
      </c>
      <c r="I786" s="18" t="str">
        <f aca="false">IF(H786&gt;0,D786-H786,"")</f>
        <v/>
      </c>
      <c r="J786" s="19" t="str">
        <f aca="false">IF(OR(I786="",E786=""),"",E786/I786*100)</f>
        <v/>
      </c>
      <c r="K786" s="20" t="str">
        <f aca="false">IF(I786="","",F786/I786)</f>
        <v/>
      </c>
    </row>
    <row r="787" customFormat="false" ht="15" hidden="false" customHeight="false" outlineLevel="0" collapsed="false">
      <c r="A787" s="12"/>
      <c r="B787" s="13"/>
      <c r="C787" s="13"/>
      <c r="D787" s="14"/>
      <c r="E787" s="15"/>
      <c r="F787" s="16"/>
      <c r="G787" s="17"/>
      <c r="H787" s="18" t="n">
        <f aca="false">IF(AND(C787="Yakıt",D787&lt;&gt;""),SUMPRODUCT(MAX(($B$5:$B$1004=B787)*($C$5:$C$1004="Yakıt")*($D$5:$D$1004&lt;D787)*$D$5:$D$1004)),0)</f>
        <v>0</v>
      </c>
      <c r="I787" s="18" t="str">
        <f aca="false">IF(H787&gt;0,D787-H787,"")</f>
        <v/>
      </c>
      <c r="J787" s="19" t="str">
        <f aca="false">IF(OR(I787="",E787=""),"",E787/I787*100)</f>
        <v/>
      </c>
      <c r="K787" s="20" t="str">
        <f aca="false">IF(I787="","",F787/I787)</f>
        <v/>
      </c>
    </row>
    <row r="788" customFormat="false" ht="15" hidden="false" customHeight="false" outlineLevel="0" collapsed="false">
      <c r="A788" s="12"/>
      <c r="B788" s="13"/>
      <c r="C788" s="13"/>
      <c r="D788" s="14"/>
      <c r="E788" s="15"/>
      <c r="F788" s="16"/>
      <c r="G788" s="17"/>
      <c r="H788" s="18" t="n">
        <f aca="false">IF(AND(C788="Yakıt",D788&lt;&gt;""),SUMPRODUCT(MAX(($B$5:$B$1004=B788)*($C$5:$C$1004="Yakıt")*($D$5:$D$1004&lt;D788)*$D$5:$D$1004)),0)</f>
        <v>0</v>
      </c>
      <c r="I788" s="18" t="str">
        <f aca="false">IF(H788&gt;0,D788-H788,"")</f>
        <v/>
      </c>
      <c r="J788" s="19" t="str">
        <f aca="false">IF(OR(I788="",E788=""),"",E788/I788*100)</f>
        <v/>
      </c>
      <c r="K788" s="20" t="str">
        <f aca="false">IF(I788="","",F788/I788)</f>
        <v/>
      </c>
    </row>
    <row r="789" customFormat="false" ht="15" hidden="false" customHeight="false" outlineLevel="0" collapsed="false">
      <c r="A789" s="12"/>
      <c r="B789" s="13"/>
      <c r="C789" s="13"/>
      <c r="D789" s="14"/>
      <c r="E789" s="15"/>
      <c r="F789" s="16"/>
      <c r="G789" s="17"/>
      <c r="H789" s="18" t="n">
        <f aca="false">IF(AND(C789="Yakıt",D789&lt;&gt;""),SUMPRODUCT(MAX(($B$5:$B$1004=B789)*($C$5:$C$1004="Yakıt")*($D$5:$D$1004&lt;D789)*$D$5:$D$1004)),0)</f>
        <v>0</v>
      </c>
      <c r="I789" s="18" t="str">
        <f aca="false">IF(H789&gt;0,D789-H789,"")</f>
        <v/>
      </c>
      <c r="J789" s="19" t="str">
        <f aca="false">IF(OR(I789="",E789=""),"",E789/I789*100)</f>
        <v/>
      </c>
      <c r="K789" s="20" t="str">
        <f aca="false">IF(I789="","",F789/I789)</f>
        <v/>
      </c>
    </row>
    <row r="790" customFormat="false" ht="15" hidden="false" customHeight="false" outlineLevel="0" collapsed="false">
      <c r="A790" s="12"/>
      <c r="B790" s="13"/>
      <c r="C790" s="13"/>
      <c r="D790" s="14"/>
      <c r="E790" s="15"/>
      <c r="F790" s="16"/>
      <c r="G790" s="17"/>
      <c r="H790" s="18" t="n">
        <f aca="false">IF(AND(C790="Yakıt",D790&lt;&gt;""),SUMPRODUCT(MAX(($B$5:$B$1004=B790)*($C$5:$C$1004="Yakıt")*($D$5:$D$1004&lt;D790)*$D$5:$D$1004)),0)</f>
        <v>0</v>
      </c>
      <c r="I790" s="18" t="str">
        <f aca="false">IF(H790&gt;0,D790-H790,"")</f>
        <v/>
      </c>
      <c r="J790" s="19" t="str">
        <f aca="false">IF(OR(I790="",E790=""),"",E790/I790*100)</f>
        <v/>
      </c>
      <c r="K790" s="20" t="str">
        <f aca="false">IF(I790="","",F790/I790)</f>
        <v/>
      </c>
    </row>
    <row r="791" customFormat="false" ht="15" hidden="false" customHeight="false" outlineLevel="0" collapsed="false">
      <c r="A791" s="12"/>
      <c r="B791" s="13"/>
      <c r="C791" s="13"/>
      <c r="D791" s="14"/>
      <c r="E791" s="15"/>
      <c r="F791" s="16"/>
      <c r="G791" s="17"/>
      <c r="H791" s="18" t="n">
        <f aca="false">IF(AND(C791="Yakıt",D791&lt;&gt;""),SUMPRODUCT(MAX(($B$5:$B$1004=B791)*($C$5:$C$1004="Yakıt")*($D$5:$D$1004&lt;D791)*$D$5:$D$1004)),0)</f>
        <v>0</v>
      </c>
      <c r="I791" s="18" t="str">
        <f aca="false">IF(H791&gt;0,D791-H791,"")</f>
        <v/>
      </c>
      <c r="J791" s="19" t="str">
        <f aca="false">IF(OR(I791="",E791=""),"",E791/I791*100)</f>
        <v/>
      </c>
      <c r="K791" s="20" t="str">
        <f aca="false">IF(I791="","",F791/I791)</f>
        <v/>
      </c>
    </row>
    <row r="792" customFormat="false" ht="15" hidden="false" customHeight="false" outlineLevel="0" collapsed="false">
      <c r="A792" s="12"/>
      <c r="B792" s="13"/>
      <c r="C792" s="13"/>
      <c r="D792" s="14"/>
      <c r="E792" s="15"/>
      <c r="F792" s="16"/>
      <c r="G792" s="17"/>
      <c r="H792" s="18" t="n">
        <f aca="false">IF(AND(C792="Yakıt",D792&lt;&gt;""),SUMPRODUCT(MAX(($B$5:$B$1004=B792)*($C$5:$C$1004="Yakıt")*($D$5:$D$1004&lt;D792)*$D$5:$D$1004)),0)</f>
        <v>0</v>
      </c>
      <c r="I792" s="18" t="str">
        <f aca="false">IF(H792&gt;0,D792-H792,"")</f>
        <v/>
      </c>
      <c r="J792" s="19" t="str">
        <f aca="false">IF(OR(I792="",E792=""),"",E792/I792*100)</f>
        <v/>
      </c>
      <c r="K792" s="20" t="str">
        <f aca="false">IF(I792="","",F792/I792)</f>
        <v/>
      </c>
    </row>
    <row r="793" customFormat="false" ht="15" hidden="false" customHeight="false" outlineLevel="0" collapsed="false">
      <c r="A793" s="12"/>
      <c r="B793" s="13"/>
      <c r="C793" s="13"/>
      <c r="D793" s="14"/>
      <c r="E793" s="15"/>
      <c r="F793" s="16"/>
      <c r="G793" s="17"/>
      <c r="H793" s="18" t="n">
        <f aca="false">IF(AND(C793="Yakıt",D793&lt;&gt;""),SUMPRODUCT(MAX(($B$5:$B$1004=B793)*($C$5:$C$1004="Yakıt")*($D$5:$D$1004&lt;D793)*$D$5:$D$1004)),0)</f>
        <v>0</v>
      </c>
      <c r="I793" s="18" t="str">
        <f aca="false">IF(H793&gt;0,D793-H793,"")</f>
        <v/>
      </c>
      <c r="J793" s="19" t="str">
        <f aca="false">IF(OR(I793="",E793=""),"",E793/I793*100)</f>
        <v/>
      </c>
      <c r="K793" s="20" t="str">
        <f aca="false">IF(I793="","",F793/I793)</f>
        <v/>
      </c>
    </row>
    <row r="794" customFormat="false" ht="15" hidden="false" customHeight="false" outlineLevel="0" collapsed="false">
      <c r="A794" s="12"/>
      <c r="B794" s="13"/>
      <c r="C794" s="13"/>
      <c r="D794" s="14"/>
      <c r="E794" s="15"/>
      <c r="F794" s="16"/>
      <c r="G794" s="17"/>
      <c r="H794" s="18" t="n">
        <f aca="false">IF(AND(C794="Yakıt",D794&lt;&gt;""),SUMPRODUCT(MAX(($B$5:$B$1004=B794)*($C$5:$C$1004="Yakıt")*($D$5:$D$1004&lt;D794)*$D$5:$D$1004)),0)</f>
        <v>0</v>
      </c>
      <c r="I794" s="18" t="str">
        <f aca="false">IF(H794&gt;0,D794-H794,"")</f>
        <v/>
      </c>
      <c r="J794" s="19" t="str">
        <f aca="false">IF(OR(I794="",E794=""),"",E794/I794*100)</f>
        <v/>
      </c>
      <c r="K794" s="20" t="str">
        <f aca="false">IF(I794="","",F794/I794)</f>
        <v/>
      </c>
    </row>
    <row r="795" customFormat="false" ht="15" hidden="false" customHeight="false" outlineLevel="0" collapsed="false">
      <c r="A795" s="12"/>
      <c r="B795" s="13"/>
      <c r="C795" s="13"/>
      <c r="D795" s="14"/>
      <c r="E795" s="15"/>
      <c r="F795" s="16"/>
      <c r="G795" s="17"/>
      <c r="H795" s="18" t="n">
        <f aca="false">IF(AND(C795="Yakıt",D795&lt;&gt;""),SUMPRODUCT(MAX(($B$5:$B$1004=B795)*($C$5:$C$1004="Yakıt")*($D$5:$D$1004&lt;D795)*$D$5:$D$1004)),0)</f>
        <v>0</v>
      </c>
      <c r="I795" s="18" t="str">
        <f aca="false">IF(H795&gt;0,D795-H795,"")</f>
        <v/>
      </c>
      <c r="J795" s="19" t="str">
        <f aca="false">IF(OR(I795="",E795=""),"",E795/I795*100)</f>
        <v/>
      </c>
      <c r="K795" s="20" t="str">
        <f aca="false">IF(I795="","",F795/I795)</f>
        <v/>
      </c>
    </row>
    <row r="796" customFormat="false" ht="15" hidden="false" customHeight="false" outlineLevel="0" collapsed="false">
      <c r="A796" s="12"/>
      <c r="B796" s="13"/>
      <c r="C796" s="13"/>
      <c r="D796" s="14"/>
      <c r="E796" s="15"/>
      <c r="F796" s="16"/>
      <c r="G796" s="17"/>
      <c r="H796" s="18" t="n">
        <f aca="false">IF(AND(C796="Yakıt",D796&lt;&gt;""),SUMPRODUCT(MAX(($B$5:$B$1004=B796)*($C$5:$C$1004="Yakıt")*($D$5:$D$1004&lt;D796)*$D$5:$D$1004)),0)</f>
        <v>0</v>
      </c>
      <c r="I796" s="18" t="str">
        <f aca="false">IF(H796&gt;0,D796-H796,"")</f>
        <v/>
      </c>
      <c r="J796" s="19" t="str">
        <f aca="false">IF(OR(I796="",E796=""),"",E796/I796*100)</f>
        <v/>
      </c>
      <c r="K796" s="20" t="str">
        <f aca="false">IF(I796="","",F796/I796)</f>
        <v/>
      </c>
    </row>
    <row r="797" customFormat="false" ht="15" hidden="false" customHeight="false" outlineLevel="0" collapsed="false">
      <c r="A797" s="12"/>
      <c r="B797" s="13"/>
      <c r="C797" s="13"/>
      <c r="D797" s="14"/>
      <c r="E797" s="15"/>
      <c r="F797" s="16"/>
      <c r="G797" s="17"/>
      <c r="H797" s="18" t="n">
        <f aca="false">IF(AND(C797="Yakıt",D797&lt;&gt;""),SUMPRODUCT(MAX(($B$5:$B$1004=B797)*($C$5:$C$1004="Yakıt")*($D$5:$D$1004&lt;D797)*$D$5:$D$1004)),0)</f>
        <v>0</v>
      </c>
      <c r="I797" s="18" t="str">
        <f aca="false">IF(H797&gt;0,D797-H797,"")</f>
        <v/>
      </c>
      <c r="J797" s="19" t="str">
        <f aca="false">IF(OR(I797="",E797=""),"",E797/I797*100)</f>
        <v/>
      </c>
      <c r="K797" s="20" t="str">
        <f aca="false">IF(I797="","",F797/I797)</f>
        <v/>
      </c>
    </row>
    <row r="798" customFormat="false" ht="15" hidden="false" customHeight="false" outlineLevel="0" collapsed="false">
      <c r="A798" s="12"/>
      <c r="B798" s="13"/>
      <c r="C798" s="13"/>
      <c r="D798" s="14"/>
      <c r="E798" s="15"/>
      <c r="F798" s="16"/>
      <c r="G798" s="17"/>
      <c r="H798" s="18" t="n">
        <f aca="false">IF(AND(C798="Yakıt",D798&lt;&gt;""),SUMPRODUCT(MAX(($B$5:$B$1004=B798)*($C$5:$C$1004="Yakıt")*($D$5:$D$1004&lt;D798)*$D$5:$D$1004)),0)</f>
        <v>0</v>
      </c>
      <c r="I798" s="18" t="str">
        <f aca="false">IF(H798&gt;0,D798-H798,"")</f>
        <v/>
      </c>
      <c r="J798" s="19" t="str">
        <f aca="false">IF(OR(I798="",E798=""),"",E798/I798*100)</f>
        <v/>
      </c>
      <c r="K798" s="20" t="str">
        <f aca="false">IF(I798="","",F798/I798)</f>
        <v/>
      </c>
    </row>
    <row r="799" customFormat="false" ht="15" hidden="false" customHeight="false" outlineLevel="0" collapsed="false">
      <c r="A799" s="12"/>
      <c r="B799" s="13"/>
      <c r="C799" s="13"/>
      <c r="D799" s="14"/>
      <c r="E799" s="15"/>
      <c r="F799" s="16"/>
      <c r="G799" s="17"/>
      <c r="H799" s="18" t="n">
        <f aca="false">IF(AND(C799="Yakıt",D799&lt;&gt;""),SUMPRODUCT(MAX(($B$5:$B$1004=B799)*($C$5:$C$1004="Yakıt")*($D$5:$D$1004&lt;D799)*$D$5:$D$1004)),0)</f>
        <v>0</v>
      </c>
      <c r="I799" s="18" t="str">
        <f aca="false">IF(H799&gt;0,D799-H799,"")</f>
        <v/>
      </c>
      <c r="J799" s="19" t="str">
        <f aca="false">IF(OR(I799="",E799=""),"",E799/I799*100)</f>
        <v/>
      </c>
      <c r="K799" s="20" t="str">
        <f aca="false">IF(I799="","",F799/I799)</f>
        <v/>
      </c>
    </row>
    <row r="800" customFormat="false" ht="15" hidden="false" customHeight="false" outlineLevel="0" collapsed="false">
      <c r="A800" s="12"/>
      <c r="B800" s="13"/>
      <c r="C800" s="13"/>
      <c r="D800" s="14"/>
      <c r="E800" s="15"/>
      <c r="F800" s="16"/>
      <c r="G800" s="17"/>
      <c r="H800" s="18" t="n">
        <f aca="false">IF(AND(C800="Yakıt",D800&lt;&gt;""),SUMPRODUCT(MAX(($B$5:$B$1004=B800)*($C$5:$C$1004="Yakıt")*($D$5:$D$1004&lt;D800)*$D$5:$D$1004)),0)</f>
        <v>0</v>
      </c>
      <c r="I800" s="18" t="str">
        <f aca="false">IF(H800&gt;0,D800-H800,"")</f>
        <v/>
      </c>
      <c r="J800" s="19" t="str">
        <f aca="false">IF(OR(I800="",E800=""),"",E800/I800*100)</f>
        <v/>
      </c>
      <c r="K800" s="20" t="str">
        <f aca="false">IF(I800="","",F800/I800)</f>
        <v/>
      </c>
    </row>
    <row r="801" customFormat="false" ht="15" hidden="false" customHeight="false" outlineLevel="0" collapsed="false">
      <c r="A801" s="12"/>
      <c r="B801" s="13"/>
      <c r="C801" s="13"/>
      <c r="D801" s="14"/>
      <c r="E801" s="15"/>
      <c r="F801" s="16"/>
      <c r="G801" s="17"/>
      <c r="H801" s="18" t="n">
        <f aca="false">IF(AND(C801="Yakıt",D801&lt;&gt;""),SUMPRODUCT(MAX(($B$5:$B$1004=B801)*($C$5:$C$1004="Yakıt")*($D$5:$D$1004&lt;D801)*$D$5:$D$1004)),0)</f>
        <v>0</v>
      </c>
      <c r="I801" s="18" t="str">
        <f aca="false">IF(H801&gt;0,D801-H801,"")</f>
        <v/>
      </c>
      <c r="J801" s="19" t="str">
        <f aca="false">IF(OR(I801="",E801=""),"",E801/I801*100)</f>
        <v/>
      </c>
      <c r="K801" s="20" t="str">
        <f aca="false">IF(I801="","",F801/I801)</f>
        <v/>
      </c>
    </row>
    <row r="802" customFormat="false" ht="15" hidden="false" customHeight="false" outlineLevel="0" collapsed="false">
      <c r="A802" s="12"/>
      <c r="B802" s="13"/>
      <c r="C802" s="13"/>
      <c r="D802" s="14"/>
      <c r="E802" s="15"/>
      <c r="F802" s="16"/>
      <c r="G802" s="17"/>
      <c r="H802" s="18" t="n">
        <f aca="false">IF(AND(C802="Yakıt",D802&lt;&gt;""),SUMPRODUCT(MAX(($B$5:$B$1004=B802)*($C$5:$C$1004="Yakıt")*($D$5:$D$1004&lt;D802)*$D$5:$D$1004)),0)</f>
        <v>0</v>
      </c>
      <c r="I802" s="18" t="str">
        <f aca="false">IF(H802&gt;0,D802-H802,"")</f>
        <v/>
      </c>
      <c r="J802" s="19" t="str">
        <f aca="false">IF(OR(I802="",E802=""),"",E802/I802*100)</f>
        <v/>
      </c>
      <c r="K802" s="20" t="str">
        <f aca="false">IF(I802="","",F802/I802)</f>
        <v/>
      </c>
    </row>
    <row r="803" customFormat="false" ht="15" hidden="false" customHeight="false" outlineLevel="0" collapsed="false">
      <c r="A803" s="12"/>
      <c r="B803" s="13"/>
      <c r="C803" s="13"/>
      <c r="D803" s="14"/>
      <c r="E803" s="15"/>
      <c r="F803" s="16"/>
      <c r="G803" s="17"/>
      <c r="H803" s="18" t="n">
        <f aca="false">IF(AND(C803="Yakıt",D803&lt;&gt;""),SUMPRODUCT(MAX(($B$5:$B$1004=B803)*($C$5:$C$1004="Yakıt")*($D$5:$D$1004&lt;D803)*$D$5:$D$1004)),0)</f>
        <v>0</v>
      </c>
      <c r="I803" s="18" t="str">
        <f aca="false">IF(H803&gt;0,D803-H803,"")</f>
        <v/>
      </c>
      <c r="J803" s="19" t="str">
        <f aca="false">IF(OR(I803="",E803=""),"",E803/I803*100)</f>
        <v/>
      </c>
      <c r="K803" s="20" t="str">
        <f aca="false">IF(I803="","",F803/I803)</f>
        <v/>
      </c>
    </row>
    <row r="804" customFormat="false" ht="15" hidden="false" customHeight="false" outlineLevel="0" collapsed="false">
      <c r="A804" s="12"/>
      <c r="B804" s="13"/>
      <c r="C804" s="13"/>
      <c r="D804" s="14"/>
      <c r="E804" s="15"/>
      <c r="F804" s="16"/>
      <c r="G804" s="17"/>
      <c r="H804" s="18" t="n">
        <f aca="false">IF(AND(C804="Yakıt",D804&lt;&gt;""),SUMPRODUCT(MAX(($B$5:$B$1004=B804)*($C$5:$C$1004="Yakıt")*($D$5:$D$1004&lt;D804)*$D$5:$D$1004)),0)</f>
        <v>0</v>
      </c>
      <c r="I804" s="18" t="str">
        <f aca="false">IF(H804&gt;0,D804-H804,"")</f>
        <v/>
      </c>
      <c r="J804" s="19" t="str">
        <f aca="false">IF(OR(I804="",E804=""),"",E804/I804*100)</f>
        <v/>
      </c>
      <c r="K804" s="20" t="str">
        <f aca="false">IF(I804="","",F804/I804)</f>
        <v/>
      </c>
    </row>
    <row r="805" customFormat="false" ht="15" hidden="false" customHeight="false" outlineLevel="0" collapsed="false">
      <c r="A805" s="12"/>
      <c r="B805" s="13"/>
      <c r="C805" s="13"/>
      <c r="D805" s="14"/>
      <c r="E805" s="15"/>
      <c r="F805" s="16"/>
      <c r="G805" s="17"/>
      <c r="H805" s="18" t="n">
        <f aca="false">IF(AND(C805="Yakıt",D805&lt;&gt;""),SUMPRODUCT(MAX(($B$5:$B$1004=B805)*($C$5:$C$1004="Yakıt")*($D$5:$D$1004&lt;D805)*$D$5:$D$1004)),0)</f>
        <v>0</v>
      </c>
      <c r="I805" s="18" t="str">
        <f aca="false">IF(H805&gt;0,D805-H805,"")</f>
        <v/>
      </c>
      <c r="J805" s="19" t="str">
        <f aca="false">IF(OR(I805="",E805=""),"",E805/I805*100)</f>
        <v/>
      </c>
      <c r="K805" s="20" t="str">
        <f aca="false">IF(I805="","",F805/I805)</f>
        <v/>
      </c>
    </row>
    <row r="806" customFormat="false" ht="15" hidden="false" customHeight="false" outlineLevel="0" collapsed="false">
      <c r="A806" s="12"/>
      <c r="B806" s="13"/>
      <c r="C806" s="13"/>
      <c r="D806" s="14"/>
      <c r="E806" s="15"/>
      <c r="F806" s="16"/>
      <c r="G806" s="17"/>
      <c r="H806" s="18" t="n">
        <f aca="false">IF(AND(C806="Yakıt",D806&lt;&gt;""),SUMPRODUCT(MAX(($B$5:$B$1004=B806)*($C$5:$C$1004="Yakıt")*($D$5:$D$1004&lt;D806)*$D$5:$D$1004)),0)</f>
        <v>0</v>
      </c>
      <c r="I806" s="18" t="str">
        <f aca="false">IF(H806&gt;0,D806-H806,"")</f>
        <v/>
      </c>
      <c r="J806" s="19" t="str">
        <f aca="false">IF(OR(I806="",E806=""),"",E806/I806*100)</f>
        <v/>
      </c>
      <c r="K806" s="20" t="str">
        <f aca="false">IF(I806="","",F806/I806)</f>
        <v/>
      </c>
    </row>
    <row r="807" customFormat="false" ht="15" hidden="false" customHeight="false" outlineLevel="0" collapsed="false">
      <c r="A807" s="12"/>
      <c r="B807" s="13"/>
      <c r="C807" s="13"/>
      <c r="D807" s="14"/>
      <c r="E807" s="15"/>
      <c r="F807" s="16"/>
      <c r="G807" s="17"/>
      <c r="H807" s="18" t="n">
        <f aca="false">IF(AND(C807="Yakıt",D807&lt;&gt;""),SUMPRODUCT(MAX(($B$5:$B$1004=B807)*($C$5:$C$1004="Yakıt")*($D$5:$D$1004&lt;D807)*$D$5:$D$1004)),0)</f>
        <v>0</v>
      </c>
      <c r="I807" s="18" t="str">
        <f aca="false">IF(H807&gt;0,D807-H807,"")</f>
        <v/>
      </c>
      <c r="J807" s="19" t="str">
        <f aca="false">IF(OR(I807="",E807=""),"",E807/I807*100)</f>
        <v/>
      </c>
      <c r="K807" s="20" t="str">
        <f aca="false">IF(I807="","",F807/I807)</f>
        <v/>
      </c>
    </row>
    <row r="808" customFormat="false" ht="15" hidden="false" customHeight="false" outlineLevel="0" collapsed="false">
      <c r="A808" s="12"/>
      <c r="B808" s="13"/>
      <c r="C808" s="13"/>
      <c r="D808" s="14"/>
      <c r="E808" s="15"/>
      <c r="F808" s="16"/>
      <c r="G808" s="17"/>
      <c r="H808" s="18" t="n">
        <f aca="false">IF(AND(C808="Yakıt",D808&lt;&gt;""),SUMPRODUCT(MAX(($B$5:$B$1004=B808)*($C$5:$C$1004="Yakıt")*($D$5:$D$1004&lt;D808)*$D$5:$D$1004)),0)</f>
        <v>0</v>
      </c>
      <c r="I808" s="18" t="str">
        <f aca="false">IF(H808&gt;0,D808-H808,"")</f>
        <v/>
      </c>
      <c r="J808" s="19" t="str">
        <f aca="false">IF(OR(I808="",E808=""),"",E808/I808*100)</f>
        <v/>
      </c>
      <c r="K808" s="20" t="str">
        <f aca="false">IF(I808="","",F808/I808)</f>
        <v/>
      </c>
    </row>
    <row r="809" customFormat="false" ht="15" hidden="false" customHeight="false" outlineLevel="0" collapsed="false">
      <c r="A809" s="12"/>
      <c r="B809" s="13"/>
      <c r="C809" s="13"/>
      <c r="D809" s="14"/>
      <c r="E809" s="15"/>
      <c r="F809" s="16"/>
      <c r="G809" s="17"/>
      <c r="H809" s="18" t="n">
        <f aca="false">IF(AND(C809="Yakıt",D809&lt;&gt;""),SUMPRODUCT(MAX(($B$5:$B$1004=B809)*($C$5:$C$1004="Yakıt")*($D$5:$D$1004&lt;D809)*$D$5:$D$1004)),0)</f>
        <v>0</v>
      </c>
      <c r="I809" s="18" t="str">
        <f aca="false">IF(H809&gt;0,D809-H809,"")</f>
        <v/>
      </c>
      <c r="J809" s="19" t="str">
        <f aca="false">IF(OR(I809="",E809=""),"",E809/I809*100)</f>
        <v/>
      </c>
      <c r="K809" s="20" t="str">
        <f aca="false">IF(I809="","",F809/I809)</f>
        <v/>
      </c>
    </row>
    <row r="810" customFormat="false" ht="15" hidden="false" customHeight="false" outlineLevel="0" collapsed="false">
      <c r="A810" s="12"/>
      <c r="B810" s="13"/>
      <c r="C810" s="13"/>
      <c r="D810" s="14"/>
      <c r="E810" s="15"/>
      <c r="F810" s="16"/>
      <c r="G810" s="17"/>
      <c r="H810" s="18" t="n">
        <f aca="false">IF(AND(C810="Yakıt",D810&lt;&gt;""),SUMPRODUCT(MAX(($B$5:$B$1004=B810)*($C$5:$C$1004="Yakıt")*($D$5:$D$1004&lt;D810)*$D$5:$D$1004)),0)</f>
        <v>0</v>
      </c>
      <c r="I810" s="18" t="str">
        <f aca="false">IF(H810&gt;0,D810-H810,"")</f>
        <v/>
      </c>
      <c r="J810" s="19" t="str">
        <f aca="false">IF(OR(I810="",E810=""),"",E810/I810*100)</f>
        <v/>
      </c>
      <c r="K810" s="20" t="str">
        <f aca="false">IF(I810="","",F810/I810)</f>
        <v/>
      </c>
    </row>
    <row r="811" customFormat="false" ht="15" hidden="false" customHeight="false" outlineLevel="0" collapsed="false">
      <c r="A811" s="12"/>
      <c r="B811" s="13"/>
      <c r="C811" s="13"/>
      <c r="D811" s="14"/>
      <c r="E811" s="15"/>
      <c r="F811" s="16"/>
      <c r="G811" s="17"/>
      <c r="H811" s="18" t="n">
        <f aca="false">IF(AND(C811="Yakıt",D811&lt;&gt;""),SUMPRODUCT(MAX(($B$5:$B$1004=B811)*($C$5:$C$1004="Yakıt")*($D$5:$D$1004&lt;D811)*$D$5:$D$1004)),0)</f>
        <v>0</v>
      </c>
      <c r="I811" s="18" t="str">
        <f aca="false">IF(H811&gt;0,D811-H811,"")</f>
        <v/>
      </c>
      <c r="J811" s="19" t="str">
        <f aca="false">IF(OR(I811="",E811=""),"",E811/I811*100)</f>
        <v/>
      </c>
      <c r="K811" s="20" t="str">
        <f aca="false">IF(I811="","",F811/I811)</f>
        <v/>
      </c>
    </row>
    <row r="812" customFormat="false" ht="15" hidden="false" customHeight="false" outlineLevel="0" collapsed="false">
      <c r="A812" s="12"/>
      <c r="B812" s="13"/>
      <c r="C812" s="13"/>
      <c r="D812" s="14"/>
      <c r="E812" s="15"/>
      <c r="F812" s="16"/>
      <c r="G812" s="17"/>
      <c r="H812" s="18" t="n">
        <f aca="false">IF(AND(C812="Yakıt",D812&lt;&gt;""),SUMPRODUCT(MAX(($B$5:$B$1004=B812)*($C$5:$C$1004="Yakıt")*($D$5:$D$1004&lt;D812)*$D$5:$D$1004)),0)</f>
        <v>0</v>
      </c>
      <c r="I812" s="18" t="str">
        <f aca="false">IF(H812&gt;0,D812-H812,"")</f>
        <v/>
      </c>
      <c r="J812" s="19" t="str">
        <f aca="false">IF(OR(I812="",E812=""),"",E812/I812*100)</f>
        <v/>
      </c>
      <c r="K812" s="20" t="str">
        <f aca="false">IF(I812="","",F812/I812)</f>
        <v/>
      </c>
    </row>
    <row r="813" customFormat="false" ht="15" hidden="false" customHeight="false" outlineLevel="0" collapsed="false">
      <c r="A813" s="12"/>
      <c r="B813" s="13"/>
      <c r="C813" s="13"/>
      <c r="D813" s="14"/>
      <c r="E813" s="15"/>
      <c r="F813" s="16"/>
      <c r="G813" s="17"/>
      <c r="H813" s="18" t="n">
        <f aca="false">IF(AND(C813="Yakıt",D813&lt;&gt;""),SUMPRODUCT(MAX(($B$5:$B$1004=B813)*($C$5:$C$1004="Yakıt")*($D$5:$D$1004&lt;D813)*$D$5:$D$1004)),0)</f>
        <v>0</v>
      </c>
      <c r="I813" s="18" t="str">
        <f aca="false">IF(H813&gt;0,D813-H813,"")</f>
        <v/>
      </c>
      <c r="J813" s="19" t="str">
        <f aca="false">IF(OR(I813="",E813=""),"",E813/I813*100)</f>
        <v/>
      </c>
      <c r="K813" s="20" t="str">
        <f aca="false">IF(I813="","",F813/I813)</f>
        <v/>
      </c>
    </row>
    <row r="814" customFormat="false" ht="15" hidden="false" customHeight="false" outlineLevel="0" collapsed="false">
      <c r="A814" s="12"/>
      <c r="B814" s="13"/>
      <c r="C814" s="13"/>
      <c r="D814" s="14"/>
      <c r="E814" s="15"/>
      <c r="F814" s="16"/>
      <c r="G814" s="17"/>
      <c r="H814" s="18" t="n">
        <f aca="false">IF(AND(C814="Yakıt",D814&lt;&gt;""),SUMPRODUCT(MAX(($B$5:$B$1004=B814)*($C$5:$C$1004="Yakıt")*($D$5:$D$1004&lt;D814)*$D$5:$D$1004)),0)</f>
        <v>0</v>
      </c>
      <c r="I814" s="18" t="str">
        <f aca="false">IF(H814&gt;0,D814-H814,"")</f>
        <v/>
      </c>
      <c r="J814" s="19" t="str">
        <f aca="false">IF(OR(I814="",E814=""),"",E814/I814*100)</f>
        <v/>
      </c>
      <c r="K814" s="20" t="str">
        <f aca="false">IF(I814="","",F814/I814)</f>
        <v/>
      </c>
    </row>
    <row r="815" customFormat="false" ht="15" hidden="false" customHeight="false" outlineLevel="0" collapsed="false">
      <c r="A815" s="12"/>
      <c r="B815" s="13"/>
      <c r="C815" s="13"/>
      <c r="D815" s="14"/>
      <c r="E815" s="15"/>
      <c r="F815" s="16"/>
      <c r="G815" s="17"/>
      <c r="H815" s="18" t="n">
        <f aca="false">IF(AND(C815="Yakıt",D815&lt;&gt;""),SUMPRODUCT(MAX(($B$5:$B$1004=B815)*($C$5:$C$1004="Yakıt")*($D$5:$D$1004&lt;D815)*$D$5:$D$1004)),0)</f>
        <v>0</v>
      </c>
      <c r="I815" s="18" t="str">
        <f aca="false">IF(H815&gt;0,D815-H815,"")</f>
        <v/>
      </c>
      <c r="J815" s="19" t="str">
        <f aca="false">IF(OR(I815="",E815=""),"",E815/I815*100)</f>
        <v/>
      </c>
      <c r="K815" s="20" t="str">
        <f aca="false">IF(I815="","",F815/I815)</f>
        <v/>
      </c>
    </row>
    <row r="816" customFormat="false" ht="15" hidden="false" customHeight="false" outlineLevel="0" collapsed="false">
      <c r="A816" s="12"/>
      <c r="B816" s="13"/>
      <c r="C816" s="13"/>
      <c r="D816" s="14"/>
      <c r="E816" s="15"/>
      <c r="F816" s="16"/>
      <c r="G816" s="17"/>
      <c r="H816" s="18" t="n">
        <f aca="false">IF(AND(C816="Yakıt",D816&lt;&gt;""),SUMPRODUCT(MAX(($B$5:$B$1004=B816)*($C$5:$C$1004="Yakıt")*($D$5:$D$1004&lt;D816)*$D$5:$D$1004)),0)</f>
        <v>0</v>
      </c>
      <c r="I816" s="18" t="str">
        <f aca="false">IF(H816&gt;0,D816-H816,"")</f>
        <v/>
      </c>
      <c r="J816" s="19" t="str">
        <f aca="false">IF(OR(I816="",E816=""),"",E816/I816*100)</f>
        <v/>
      </c>
      <c r="K816" s="20" t="str">
        <f aca="false">IF(I816="","",F816/I816)</f>
        <v/>
      </c>
    </row>
    <row r="817" customFormat="false" ht="15" hidden="false" customHeight="false" outlineLevel="0" collapsed="false">
      <c r="A817" s="12"/>
      <c r="B817" s="13"/>
      <c r="C817" s="13"/>
      <c r="D817" s="14"/>
      <c r="E817" s="15"/>
      <c r="F817" s="16"/>
      <c r="G817" s="17"/>
      <c r="H817" s="18" t="n">
        <f aca="false">IF(AND(C817="Yakıt",D817&lt;&gt;""),SUMPRODUCT(MAX(($B$5:$B$1004=B817)*($C$5:$C$1004="Yakıt")*($D$5:$D$1004&lt;D817)*$D$5:$D$1004)),0)</f>
        <v>0</v>
      </c>
      <c r="I817" s="18" t="str">
        <f aca="false">IF(H817&gt;0,D817-H817,"")</f>
        <v/>
      </c>
      <c r="J817" s="19" t="str">
        <f aca="false">IF(OR(I817="",E817=""),"",E817/I817*100)</f>
        <v/>
      </c>
      <c r="K817" s="20" t="str">
        <f aca="false">IF(I817="","",F817/I817)</f>
        <v/>
      </c>
    </row>
    <row r="818" customFormat="false" ht="15" hidden="false" customHeight="false" outlineLevel="0" collapsed="false">
      <c r="A818" s="12"/>
      <c r="B818" s="13"/>
      <c r="C818" s="13"/>
      <c r="D818" s="14"/>
      <c r="E818" s="15"/>
      <c r="F818" s="16"/>
      <c r="G818" s="17"/>
      <c r="H818" s="18" t="n">
        <f aca="false">IF(AND(C818="Yakıt",D818&lt;&gt;""),SUMPRODUCT(MAX(($B$5:$B$1004=B818)*($C$5:$C$1004="Yakıt")*($D$5:$D$1004&lt;D818)*$D$5:$D$1004)),0)</f>
        <v>0</v>
      </c>
      <c r="I818" s="18" t="str">
        <f aca="false">IF(H818&gt;0,D818-H818,"")</f>
        <v/>
      </c>
      <c r="J818" s="19" t="str">
        <f aca="false">IF(OR(I818="",E818=""),"",E818/I818*100)</f>
        <v/>
      </c>
      <c r="K818" s="20" t="str">
        <f aca="false">IF(I818="","",F818/I818)</f>
        <v/>
      </c>
    </row>
    <row r="819" customFormat="false" ht="15" hidden="false" customHeight="false" outlineLevel="0" collapsed="false">
      <c r="A819" s="12"/>
      <c r="B819" s="13"/>
      <c r="C819" s="13"/>
      <c r="D819" s="14"/>
      <c r="E819" s="15"/>
      <c r="F819" s="16"/>
      <c r="G819" s="17"/>
      <c r="H819" s="18" t="n">
        <f aca="false">IF(AND(C819="Yakıt",D819&lt;&gt;""),SUMPRODUCT(MAX(($B$5:$B$1004=B819)*($C$5:$C$1004="Yakıt")*($D$5:$D$1004&lt;D819)*$D$5:$D$1004)),0)</f>
        <v>0</v>
      </c>
      <c r="I819" s="18" t="str">
        <f aca="false">IF(H819&gt;0,D819-H819,"")</f>
        <v/>
      </c>
      <c r="J819" s="19" t="str">
        <f aca="false">IF(OR(I819="",E819=""),"",E819/I819*100)</f>
        <v/>
      </c>
      <c r="K819" s="20" t="str">
        <f aca="false">IF(I819="","",F819/I819)</f>
        <v/>
      </c>
    </row>
    <row r="820" customFormat="false" ht="15" hidden="false" customHeight="false" outlineLevel="0" collapsed="false">
      <c r="A820" s="12"/>
      <c r="B820" s="13"/>
      <c r="C820" s="13"/>
      <c r="D820" s="14"/>
      <c r="E820" s="15"/>
      <c r="F820" s="16"/>
      <c r="G820" s="17"/>
      <c r="H820" s="18" t="n">
        <f aca="false">IF(AND(C820="Yakıt",D820&lt;&gt;""),SUMPRODUCT(MAX(($B$5:$B$1004=B820)*($C$5:$C$1004="Yakıt")*($D$5:$D$1004&lt;D820)*$D$5:$D$1004)),0)</f>
        <v>0</v>
      </c>
      <c r="I820" s="18" t="str">
        <f aca="false">IF(H820&gt;0,D820-H820,"")</f>
        <v/>
      </c>
      <c r="J820" s="19" t="str">
        <f aca="false">IF(OR(I820="",E820=""),"",E820/I820*100)</f>
        <v/>
      </c>
      <c r="K820" s="20" t="str">
        <f aca="false">IF(I820="","",F820/I820)</f>
        <v/>
      </c>
    </row>
    <row r="821" customFormat="false" ht="15" hidden="false" customHeight="false" outlineLevel="0" collapsed="false">
      <c r="A821" s="12"/>
      <c r="B821" s="13"/>
      <c r="C821" s="13"/>
      <c r="D821" s="14"/>
      <c r="E821" s="15"/>
      <c r="F821" s="16"/>
      <c r="G821" s="17"/>
      <c r="H821" s="18" t="n">
        <f aca="false">IF(AND(C821="Yakıt",D821&lt;&gt;""),SUMPRODUCT(MAX(($B$5:$B$1004=B821)*($C$5:$C$1004="Yakıt")*($D$5:$D$1004&lt;D821)*$D$5:$D$1004)),0)</f>
        <v>0</v>
      </c>
      <c r="I821" s="18" t="str">
        <f aca="false">IF(H821&gt;0,D821-H821,"")</f>
        <v/>
      </c>
      <c r="J821" s="19" t="str">
        <f aca="false">IF(OR(I821="",E821=""),"",E821/I821*100)</f>
        <v/>
      </c>
      <c r="K821" s="20" t="str">
        <f aca="false">IF(I821="","",F821/I821)</f>
        <v/>
      </c>
    </row>
    <row r="822" customFormat="false" ht="15" hidden="false" customHeight="false" outlineLevel="0" collapsed="false">
      <c r="A822" s="12"/>
      <c r="B822" s="13"/>
      <c r="C822" s="13"/>
      <c r="D822" s="14"/>
      <c r="E822" s="15"/>
      <c r="F822" s="16"/>
      <c r="G822" s="17"/>
      <c r="H822" s="18" t="n">
        <f aca="false">IF(AND(C822="Yakıt",D822&lt;&gt;""),SUMPRODUCT(MAX(($B$5:$B$1004=B822)*($C$5:$C$1004="Yakıt")*($D$5:$D$1004&lt;D822)*$D$5:$D$1004)),0)</f>
        <v>0</v>
      </c>
      <c r="I822" s="18" t="str">
        <f aca="false">IF(H822&gt;0,D822-H822,"")</f>
        <v/>
      </c>
      <c r="J822" s="19" t="str">
        <f aca="false">IF(OR(I822="",E822=""),"",E822/I822*100)</f>
        <v/>
      </c>
      <c r="K822" s="20" t="str">
        <f aca="false">IF(I822="","",F822/I822)</f>
        <v/>
      </c>
    </row>
    <row r="823" customFormat="false" ht="15" hidden="false" customHeight="false" outlineLevel="0" collapsed="false">
      <c r="A823" s="12"/>
      <c r="B823" s="13"/>
      <c r="C823" s="13"/>
      <c r="D823" s="14"/>
      <c r="E823" s="15"/>
      <c r="F823" s="16"/>
      <c r="G823" s="17"/>
      <c r="H823" s="18" t="n">
        <f aca="false">IF(AND(C823="Yakıt",D823&lt;&gt;""),SUMPRODUCT(MAX(($B$5:$B$1004=B823)*($C$5:$C$1004="Yakıt")*($D$5:$D$1004&lt;D823)*$D$5:$D$1004)),0)</f>
        <v>0</v>
      </c>
      <c r="I823" s="18" t="str">
        <f aca="false">IF(H823&gt;0,D823-H823,"")</f>
        <v/>
      </c>
      <c r="J823" s="19" t="str">
        <f aca="false">IF(OR(I823="",E823=""),"",E823/I823*100)</f>
        <v/>
      </c>
      <c r="K823" s="20" t="str">
        <f aca="false">IF(I823="","",F823/I823)</f>
        <v/>
      </c>
    </row>
    <row r="824" customFormat="false" ht="15" hidden="false" customHeight="false" outlineLevel="0" collapsed="false">
      <c r="A824" s="12"/>
      <c r="B824" s="13"/>
      <c r="C824" s="13"/>
      <c r="D824" s="14"/>
      <c r="E824" s="15"/>
      <c r="F824" s="16"/>
      <c r="G824" s="17"/>
      <c r="H824" s="18" t="n">
        <f aca="false">IF(AND(C824="Yakıt",D824&lt;&gt;""),SUMPRODUCT(MAX(($B$5:$B$1004=B824)*($C$5:$C$1004="Yakıt")*($D$5:$D$1004&lt;D824)*$D$5:$D$1004)),0)</f>
        <v>0</v>
      </c>
      <c r="I824" s="18" t="str">
        <f aca="false">IF(H824&gt;0,D824-H824,"")</f>
        <v/>
      </c>
      <c r="J824" s="19" t="str">
        <f aca="false">IF(OR(I824="",E824=""),"",E824/I824*100)</f>
        <v/>
      </c>
      <c r="K824" s="20" t="str">
        <f aca="false">IF(I824="","",F824/I824)</f>
        <v/>
      </c>
    </row>
    <row r="825" customFormat="false" ht="15" hidden="false" customHeight="false" outlineLevel="0" collapsed="false">
      <c r="A825" s="12"/>
      <c r="B825" s="13"/>
      <c r="C825" s="13"/>
      <c r="D825" s="14"/>
      <c r="E825" s="15"/>
      <c r="F825" s="16"/>
      <c r="G825" s="17"/>
      <c r="H825" s="18" t="n">
        <f aca="false">IF(AND(C825="Yakıt",D825&lt;&gt;""),SUMPRODUCT(MAX(($B$5:$B$1004=B825)*($C$5:$C$1004="Yakıt")*($D$5:$D$1004&lt;D825)*$D$5:$D$1004)),0)</f>
        <v>0</v>
      </c>
      <c r="I825" s="18" t="str">
        <f aca="false">IF(H825&gt;0,D825-H825,"")</f>
        <v/>
      </c>
      <c r="J825" s="19" t="str">
        <f aca="false">IF(OR(I825="",E825=""),"",E825/I825*100)</f>
        <v/>
      </c>
      <c r="K825" s="20" t="str">
        <f aca="false">IF(I825="","",F825/I825)</f>
        <v/>
      </c>
    </row>
    <row r="826" customFormat="false" ht="15" hidden="false" customHeight="false" outlineLevel="0" collapsed="false">
      <c r="A826" s="12"/>
      <c r="B826" s="13"/>
      <c r="C826" s="13"/>
      <c r="D826" s="14"/>
      <c r="E826" s="15"/>
      <c r="F826" s="16"/>
      <c r="G826" s="17"/>
      <c r="H826" s="18" t="n">
        <f aca="false">IF(AND(C826="Yakıt",D826&lt;&gt;""),SUMPRODUCT(MAX(($B$5:$B$1004=B826)*($C$5:$C$1004="Yakıt")*($D$5:$D$1004&lt;D826)*$D$5:$D$1004)),0)</f>
        <v>0</v>
      </c>
      <c r="I826" s="18" t="str">
        <f aca="false">IF(H826&gt;0,D826-H826,"")</f>
        <v/>
      </c>
      <c r="J826" s="19" t="str">
        <f aca="false">IF(OR(I826="",E826=""),"",E826/I826*100)</f>
        <v/>
      </c>
      <c r="K826" s="20" t="str">
        <f aca="false">IF(I826="","",F826/I826)</f>
        <v/>
      </c>
    </row>
    <row r="827" customFormat="false" ht="15" hidden="false" customHeight="false" outlineLevel="0" collapsed="false">
      <c r="A827" s="12"/>
      <c r="B827" s="13"/>
      <c r="C827" s="13"/>
      <c r="D827" s="14"/>
      <c r="E827" s="15"/>
      <c r="F827" s="16"/>
      <c r="G827" s="17"/>
      <c r="H827" s="18" t="n">
        <f aca="false">IF(AND(C827="Yakıt",D827&lt;&gt;""),SUMPRODUCT(MAX(($B$5:$B$1004=B827)*($C$5:$C$1004="Yakıt")*($D$5:$D$1004&lt;D827)*$D$5:$D$1004)),0)</f>
        <v>0</v>
      </c>
      <c r="I827" s="18" t="str">
        <f aca="false">IF(H827&gt;0,D827-H827,"")</f>
        <v/>
      </c>
      <c r="J827" s="19" t="str">
        <f aca="false">IF(OR(I827="",E827=""),"",E827/I827*100)</f>
        <v/>
      </c>
      <c r="K827" s="20" t="str">
        <f aca="false">IF(I827="","",F827/I827)</f>
        <v/>
      </c>
    </row>
    <row r="828" customFormat="false" ht="15" hidden="false" customHeight="false" outlineLevel="0" collapsed="false">
      <c r="A828" s="12"/>
      <c r="B828" s="13"/>
      <c r="C828" s="13"/>
      <c r="D828" s="14"/>
      <c r="E828" s="15"/>
      <c r="F828" s="16"/>
      <c r="G828" s="17"/>
      <c r="H828" s="18" t="n">
        <f aca="false">IF(AND(C828="Yakıt",D828&lt;&gt;""),SUMPRODUCT(MAX(($B$5:$B$1004=B828)*($C$5:$C$1004="Yakıt")*($D$5:$D$1004&lt;D828)*$D$5:$D$1004)),0)</f>
        <v>0</v>
      </c>
      <c r="I828" s="18" t="str">
        <f aca="false">IF(H828&gt;0,D828-H828,"")</f>
        <v/>
      </c>
      <c r="J828" s="19" t="str">
        <f aca="false">IF(OR(I828="",E828=""),"",E828/I828*100)</f>
        <v/>
      </c>
      <c r="K828" s="20" t="str">
        <f aca="false">IF(I828="","",F828/I828)</f>
        <v/>
      </c>
    </row>
    <row r="829" customFormat="false" ht="15" hidden="false" customHeight="false" outlineLevel="0" collapsed="false">
      <c r="A829" s="12"/>
      <c r="B829" s="13"/>
      <c r="C829" s="13"/>
      <c r="D829" s="14"/>
      <c r="E829" s="15"/>
      <c r="F829" s="16"/>
      <c r="G829" s="17"/>
      <c r="H829" s="18" t="n">
        <f aca="false">IF(AND(C829="Yakıt",D829&lt;&gt;""),SUMPRODUCT(MAX(($B$5:$B$1004=B829)*($C$5:$C$1004="Yakıt")*($D$5:$D$1004&lt;D829)*$D$5:$D$1004)),0)</f>
        <v>0</v>
      </c>
      <c r="I829" s="18" t="str">
        <f aca="false">IF(H829&gt;0,D829-H829,"")</f>
        <v/>
      </c>
      <c r="J829" s="19" t="str">
        <f aca="false">IF(OR(I829="",E829=""),"",E829/I829*100)</f>
        <v/>
      </c>
      <c r="K829" s="20" t="str">
        <f aca="false">IF(I829="","",F829/I829)</f>
        <v/>
      </c>
    </row>
    <row r="830" customFormat="false" ht="15" hidden="false" customHeight="false" outlineLevel="0" collapsed="false">
      <c r="A830" s="12"/>
      <c r="B830" s="13"/>
      <c r="C830" s="13"/>
      <c r="D830" s="14"/>
      <c r="E830" s="15"/>
      <c r="F830" s="16"/>
      <c r="G830" s="17"/>
      <c r="H830" s="18" t="n">
        <f aca="false">IF(AND(C830="Yakıt",D830&lt;&gt;""),SUMPRODUCT(MAX(($B$5:$B$1004=B830)*($C$5:$C$1004="Yakıt")*($D$5:$D$1004&lt;D830)*$D$5:$D$1004)),0)</f>
        <v>0</v>
      </c>
      <c r="I830" s="18" t="str">
        <f aca="false">IF(H830&gt;0,D830-H830,"")</f>
        <v/>
      </c>
      <c r="J830" s="19" t="str">
        <f aca="false">IF(OR(I830="",E830=""),"",E830/I830*100)</f>
        <v/>
      </c>
      <c r="K830" s="20" t="str">
        <f aca="false">IF(I830="","",F830/I830)</f>
        <v/>
      </c>
    </row>
    <row r="831" customFormat="false" ht="15" hidden="false" customHeight="false" outlineLevel="0" collapsed="false">
      <c r="A831" s="12"/>
      <c r="B831" s="13"/>
      <c r="C831" s="13"/>
      <c r="D831" s="14"/>
      <c r="E831" s="15"/>
      <c r="F831" s="16"/>
      <c r="G831" s="17"/>
      <c r="H831" s="18" t="n">
        <f aca="false">IF(AND(C831="Yakıt",D831&lt;&gt;""),SUMPRODUCT(MAX(($B$5:$B$1004=B831)*($C$5:$C$1004="Yakıt")*($D$5:$D$1004&lt;D831)*$D$5:$D$1004)),0)</f>
        <v>0</v>
      </c>
      <c r="I831" s="18" t="str">
        <f aca="false">IF(H831&gt;0,D831-H831,"")</f>
        <v/>
      </c>
      <c r="J831" s="19" t="str">
        <f aca="false">IF(OR(I831="",E831=""),"",E831/I831*100)</f>
        <v/>
      </c>
      <c r="K831" s="20" t="str">
        <f aca="false">IF(I831="","",F831/I831)</f>
        <v/>
      </c>
    </row>
    <row r="832" customFormat="false" ht="15" hidden="false" customHeight="false" outlineLevel="0" collapsed="false">
      <c r="A832" s="12"/>
      <c r="B832" s="13"/>
      <c r="C832" s="13"/>
      <c r="D832" s="14"/>
      <c r="E832" s="15"/>
      <c r="F832" s="16"/>
      <c r="G832" s="17"/>
      <c r="H832" s="18" t="n">
        <f aca="false">IF(AND(C832="Yakıt",D832&lt;&gt;""),SUMPRODUCT(MAX(($B$5:$B$1004=B832)*($C$5:$C$1004="Yakıt")*($D$5:$D$1004&lt;D832)*$D$5:$D$1004)),0)</f>
        <v>0</v>
      </c>
      <c r="I832" s="18" t="str">
        <f aca="false">IF(H832&gt;0,D832-H832,"")</f>
        <v/>
      </c>
      <c r="J832" s="19" t="str">
        <f aca="false">IF(OR(I832="",E832=""),"",E832/I832*100)</f>
        <v/>
      </c>
      <c r="K832" s="20" t="str">
        <f aca="false">IF(I832="","",F832/I832)</f>
        <v/>
      </c>
    </row>
    <row r="833" customFormat="false" ht="15" hidden="false" customHeight="false" outlineLevel="0" collapsed="false">
      <c r="A833" s="12"/>
      <c r="B833" s="13"/>
      <c r="C833" s="13"/>
      <c r="D833" s="14"/>
      <c r="E833" s="15"/>
      <c r="F833" s="16"/>
      <c r="G833" s="17"/>
      <c r="H833" s="18" t="n">
        <f aca="false">IF(AND(C833="Yakıt",D833&lt;&gt;""),SUMPRODUCT(MAX(($B$5:$B$1004=B833)*($C$5:$C$1004="Yakıt")*($D$5:$D$1004&lt;D833)*$D$5:$D$1004)),0)</f>
        <v>0</v>
      </c>
      <c r="I833" s="18" t="str">
        <f aca="false">IF(H833&gt;0,D833-H833,"")</f>
        <v/>
      </c>
      <c r="J833" s="19" t="str">
        <f aca="false">IF(OR(I833="",E833=""),"",E833/I833*100)</f>
        <v/>
      </c>
      <c r="K833" s="20" t="str">
        <f aca="false">IF(I833="","",F833/I833)</f>
        <v/>
      </c>
    </row>
    <row r="834" customFormat="false" ht="15" hidden="false" customHeight="false" outlineLevel="0" collapsed="false">
      <c r="A834" s="12"/>
      <c r="B834" s="13"/>
      <c r="C834" s="13"/>
      <c r="D834" s="14"/>
      <c r="E834" s="15"/>
      <c r="F834" s="16"/>
      <c r="G834" s="17"/>
      <c r="H834" s="18" t="n">
        <f aca="false">IF(AND(C834="Yakıt",D834&lt;&gt;""),SUMPRODUCT(MAX(($B$5:$B$1004=B834)*($C$5:$C$1004="Yakıt")*($D$5:$D$1004&lt;D834)*$D$5:$D$1004)),0)</f>
        <v>0</v>
      </c>
      <c r="I834" s="18" t="str">
        <f aca="false">IF(H834&gt;0,D834-H834,"")</f>
        <v/>
      </c>
      <c r="J834" s="19" t="str">
        <f aca="false">IF(OR(I834="",E834=""),"",E834/I834*100)</f>
        <v/>
      </c>
      <c r="K834" s="20" t="str">
        <f aca="false">IF(I834="","",F834/I834)</f>
        <v/>
      </c>
    </row>
    <row r="835" customFormat="false" ht="15" hidden="false" customHeight="false" outlineLevel="0" collapsed="false">
      <c r="A835" s="12"/>
      <c r="B835" s="13"/>
      <c r="C835" s="13"/>
      <c r="D835" s="14"/>
      <c r="E835" s="15"/>
      <c r="F835" s="16"/>
      <c r="G835" s="17"/>
      <c r="H835" s="18" t="n">
        <f aca="false">IF(AND(C835="Yakıt",D835&lt;&gt;""),SUMPRODUCT(MAX(($B$5:$B$1004=B835)*($C$5:$C$1004="Yakıt")*($D$5:$D$1004&lt;D835)*$D$5:$D$1004)),0)</f>
        <v>0</v>
      </c>
      <c r="I835" s="18" t="str">
        <f aca="false">IF(H835&gt;0,D835-H835,"")</f>
        <v/>
      </c>
      <c r="J835" s="19" t="str">
        <f aca="false">IF(OR(I835="",E835=""),"",E835/I835*100)</f>
        <v/>
      </c>
      <c r="K835" s="20" t="str">
        <f aca="false">IF(I835="","",F835/I835)</f>
        <v/>
      </c>
    </row>
    <row r="836" customFormat="false" ht="15" hidden="false" customHeight="false" outlineLevel="0" collapsed="false">
      <c r="A836" s="12"/>
      <c r="B836" s="13"/>
      <c r="C836" s="13"/>
      <c r="D836" s="14"/>
      <c r="E836" s="15"/>
      <c r="F836" s="16"/>
      <c r="G836" s="17"/>
      <c r="H836" s="18" t="n">
        <f aca="false">IF(AND(C836="Yakıt",D836&lt;&gt;""),SUMPRODUCT(MAX(($B$5:$B$1004=B836)*($C$5:$C$1004="Yakıt")*($D$5:$D$1004&lt;D836)*$D$5:$D$1004)),0)</f>
        <v>0</v>
      </c>
      <c r="I836" s="18" t="str">
        <f aca="false">IF(H836&gt;0,D836-H836,"")</f>
        <v/>
      </c>
      <c r="J836" s="19" t="str">
        <f aca="false">IF(OR(I836="",E836=""),"",E836/I836*100)</f>
        <v/>
      </c>
      <c r="K836" s="20" t="str">
        <f aca="false">IF(I836="","",F836/I836)</f>
        <v/>
      </c>
    </row>
    <row r="837" customFormat="false" ht="15" hidden="false" customHeight="false" outlineLevel="0" collapsed="false">
      <c r="A837" s="12"/>
      <c r="B837" s="13"/>
      <c r="C837" s="13"/>
      <c r="D837" s="14"/>
      <c r="E837" s="15"/>
      <c r="F837" s="16"/>
      <c r="G837" s="17"/>
      <c r="H837" s="18" t="n">
        <f aca="false">IF(AND(C837="Yakıt",D837&lt;&gt;""),SUMPRODUCT(MAX(($B$5:$B$1004=B837)*($C$5:$C$1004="Yakıt")*($D$5:$D$1004&lt;D837)*$D$5:$D$1004)),0)</f>
        <v>0</v>
      </c>
      <c r="I837" s="18" t="str">
        <f aca="false">IF(H837&gt;0,D837-H837,"")</f>
        <v/>
      </c>
      <c r="J837" s="19" t="str">
        <f aca="false">IF(OR(I837="",E837=""),"",E837/I837*100)</f>
        <v/>
      </c>
      <c r="K837" s="20" t="str">
        <f aca="false">IF(I837="","",F837/I837)</f>
        <v/>
      </c>
    </row>
    <row r="838" customFormat="false" ht="15" hidden="false" customHeight="false" outlineLevel="0" collapsed="false">
      <c r="A838" s="12"/>
      <c r="B838" s="13"/>
      <c r="C838" s="13"/>
      <c r="D838" s="14"/>
      <c r="E838" s="15"/>
      <c r="F838" s="16"/>
      <c r="G838" s="17"/>
      <c r="H838" s="18" t="n">
        <f aca="false">IF(AND(C838="Yakıt",D838&lt;&gt;""),SUMPRODUCT(MAX(($B$5:$B$1004=B838)*($C$5:$C$1004="Yakıt")*($D$5:$D$1004&lt;D838)*$D$5:$D$1004)),0)</f>
        <v>0</v>
      </c>
      <c r="I838" s="18" t="str">
        <f aca="false">IF(H838&gt;0,D838-H838,"")</f>
        <v/>
      </c>
      <c r="J838" s="19" t="str">
        <f aca="false">IF(OR(I838="",E838=""),"",E838/I838*100)</f>
        <v/>
      </c>
      <c r="K838" s="20" t="str">
        <f aca="false">IF(I838="","",F838/I838)</f>
        <v/>
      </c>
    </row>
    <row r="839" customFormat="false" ht="15" hidden="false" customHeight="false" outlineLevel="0" collapsed="false">
      <c r="A839" s="12"/>
      <c r="B839" s="13"/>
      <c r="C839" s="13"/>
      <c r="D839" s="14"/>
      <c r="E839" s="15"/>
      <c r="F839" s="16"/>
      <c r="G839" s="17"/>
      <c r="H839" s="18" t="n">
        <f aca="false">IF(AND(C839="Yakıt",D839&lt;&gt;""),SUMPRODUCT(MAX(($B$5:$B$1004=B839)*($C$5:$C$1004="Yakıt")*($D$5:$D$1004&lt;D839)*$D$5:$D$1004)),0)</f>
        <v>0</v>
      </c>
      <c r="I839" s="18" t="str">
        <f aca="false">IF(H839&gt;0,D839-H839,"")</f>
        <v/>
      </c>
      <c r="J839" s="19" t="str">
        <f aca="false">IF(OR(I839="",E839=""),"",E839/I839*100)</f>
        <v/>
      </c>
      <c r="K839" s="20" t="str">
        <f aca="false">IF(I839="","",F839/I839)</f>
        <v/>
      </c>
    </row>
    <row r="840" customFormat="false" ht="15" hidden="false" customHeight="false" outlineLevel="0" collapsed="false">
      <c r="A840" s="12"/>
      <c r="B840" s="13"/>
      <c r="C840" s="13"/>
      <c r="D840" s="14"/>
      <c r="E840" s="15"/>
      <c r="F840" s="16"/>
      <c r="G840" s="17"/>
      <c r="H840" s="18" t="n">
        <f aca="false">IF(AND(C840="Yakıt",D840&lt;&gt;""),SUMPRODUCT(MAX(($B$5:$B$1004=B840)*($C$5:$C$1004="Yakıt")*($D$5:$D$1004&lt;D840)*$D$5:$D$1004)),0)</f>
        <v>0</v>
      </c>
      <c r="I840" s="18" t="str">
        <f aca="false">IF(H840&gt;0,D840-H840,"")</f>
        <v/>
      </c>
      <c r="J840" s="19" t="str">
        <f aca="false">IF(OR(I840="",E840=""),"",E840/I840*100)</f>
        <v/>
      </c>
      <c r="K840" s="20" t="str">
        <f aca="false">IF(I840="","",F840/I840)</f>
        <v/>
      </c>
    </row>
    <row r="841" customFormat="false" ht="15" hidden="false" customHeight="false" outlineLevel="0" collapsed="false">
      <c r="A841" s="12"/>
      <c r="B841" s="13"/>
      <c r="C841" s="13"/>
      <c r="D841" s="14"/>
      <c r="E841" s="15"/>
      <c r="F841" s="16"/>
      <c r="G841" s="17"/>
      <c r="H841" s="18" t="n">
        <f aca="false">IF(AND(C841="Yakıt",D841&lt;&gt;""),SUMPRODUCT(MAX(($B$5:$B$1004=B841)*($C$5:$C$1004="Yakıt")*($D$5:$D$1004&lt;D841)*$D$5:$D$1004)),0)</f>
        <v>0</v>
      </c>
      <c r="I841" s="18" t="str">
        <f aca="false">IF(H841&gt;0,D841-H841,"")</f>
        <v/>
      </c>
      <c r="J841" s="19" t="str">
        <f aca="false">IF(OR(I841="",E841=""),"",E841/I841*100)</f>
        <v/>
      </c>
      <c r="K841" s="20" t="str">
        <f aca="false">IF(I841="","",F841/I841)</f>
        <v/>
      </c>
    </row>
    <row r="842" customFormat="false" ht="15" hidden="false" customHeight="false" outlineLevel="0" collapsed="false">
      <c r="A842" s="12"/>
      <c r="B842" s="13"/>
      <c r="C842" s="13"/>
      <c r="D842" s="14"/>
      <c r="E842" s="15"/>
      <c r="F842" s="16"/>
      <c r="G842" s="17"/>
      <c r="H842" s="18" t="n">
        <f aca="false">IF(AND(C842="Yakıt",D842&lt;&gt;""),SUMPRODUCT(MAX(($B$5:$B$1004=B842)*($C$5:$C$1004="Yakıt")*($D$5:$D$1004&lt;D842)*$D$5:$D$1004)),0)</f>
        <v>0</v>
      </c>
      <c r="I842" s="18" t="str">
        <f aca="false">IF(H842&gt;0,D842-H842,"")</f>
        <v/>
      </c>
      <c r="J842" s="19" t="str">
        <f aca="false">IF(OR(I842="",E842=""),"",E842/I842*100)</f>
        <v/>
      </c>
      <c r="K842" s="20" t="str">
        <f aca="false">IF(I842="","",F842/I842)</f>
        <v/>
      </c>
    </row>
    <row r="843" customFormat="false" ht="15" hidden="false" customHeight="false" outlineLevel="0" collapsed="false">
      <c r="A843" s="12"/>
      <c r="B843" s="13"/>
      <c r="C843" s="13"/>
      <c r="D843" s="14"/>
      <c r="E843" s="15"/>
      <c r="F843" s="16"/>
      <c r="G843" s="17"/>
      <c r="H843" s="18" t="n">
        <f aca="false">IF(AND(C843="Yakıt",D843&lt;&gt;""),SUMPRODUCT(MAX(($B$5:$B$1004=B843)*($C$5:$C$1004="Yakıt")*($D$5:$D$1004&lt;D843)*$D$5:$D$1004)),0)</f>
        <v>0</v>
      </c>
      <c r="I843" s="18" t="str">
        <f aca="false">IF(H843&gt;0,D843-H843,"")</f>
        <v/>
      </c>
      <c r="J843" s="19" t="str">
        <f aca="false">IF(OR(I843="",E843=""),"",E843/I843*100)</f>
        <v/>
      </c>
      <c r="K843" s="20" t="str">
        <f aca="false">IF(I843="","",F843/I843)</f>
        <v/>
      </c>
    </row>
    <row r="844" customFormat="false" ht="15" hidden="false" customHeight="false" outlineLevel="0" collapsed="false">
      <c r="A844" s="12"/>
      <c r="B844" s="13"/>
      <c r="C844" s="13"/>
      <c r="D844" s="14"/>
      <c r="E844" s="15"/>
      <c r="F844" s="16"/>
      <c r="G844" s="17"/>
      <c r="H844" s="18" t="n">
        <f aca="false">IF(AND(C844="Yakıt",D844&lt;&gt;""),SUMPRODUCT(MAX(($B$5:$B$1004=B844)*($C$5:$C$1004="Yakıt")*($D$5:$D$1004&lt;D844)*$D$5:$D$1004)),0)</f>
        <v>0</v>
      </c>
      <c r="I844" s="18" t="str">
        <f aca="false">IF(H844&gt;0,D844-H844,"")</f>
        <v/>
      </c>
      <c r="J844" s="19" t="str">
        <f aca="false">IF(OR(I844="",E844=""),"",E844/I844*100)</f>
        <v/>
      </c>
      <c r="K844" s="20" t="str">
        <f aca="false">IF(I844="","",F844/I844)</f>
        <v/>
      </c>
    </row>
    <row r="845" customFormat="false" ht="15" hidden="false" customHeight="false" outlineLevel="0" collapsed="false">
      <c r="A845" s="12"/>
      <c r="B845" s="13"/>
      <c r="C845" s="13"/>
      <c r="D845" s="14"/>
      <c r="E845" s="15"/>
      <c r="F845" s="16"/>
      <c r="G845" s="17"/>
      <c r="H845" s="18" t="n">
        <f aca="false">IF(AND(C845="Yakıt",D845&lt;&gt;""),SUMPRODUCT(MAX(($B$5:$B$1004=B845)*($C$5:$C$1004="Yakıt")*($D$5:$D$1004&lt;D845)*$D$5:$D$1004)),0)</f>
        <v>0</v>
      </c>
      <c r="I845" s="18" t="str">
        <f aca="false">IF(H845&gt;0,D845-H845,"")</f>
        <v/>
      </c>
      <c r="J845" s="19" t="str">
        <f aca="false">IF(OR(I845="",E845=""),"",E845/I845*100)</f>
        <v/>
      </c>
      <c r="K845" s="20" t="str">
        <f aca="false">IF(I845="","",F845/I845)</f>
        <v/>
      </c>
    </row>
    <row r="846" customFormat="false" ht="15" hidden="false" customHeight="false" outlineLevel="0" collapsed="false">
      <c r="A846" s="12"/>
      <c r="B846" s="13"/>
      <c r="C846" s="13"/>
      <c r="D846" s="14"/>
      <c r="E846" s="15"/>
      <c r="F846" s="16"/>
      <c r="G846" s="17"/>
      <c r="H846" s="18" t="n">
        <f aca="false">IF(AND(C846="Yakıt",D846&lt;&gt;""),SUMPRODUCT(MAX(($B$5:$B$1004=B846)*($C$5:$C$1004="Yakıt")*($D$5:$D$1004&lt;D846)*$D$5:$D$1004)),0)</f>
        <v>0</v>
      </c>
      <c r="I846" s="18" t="str">
        <f aca="false">IF(H846&gt;0,D846-H846,"")</f>
        <v/>
      </c>
      <c r="J846" s="19" t="str">
        <f aca="false">IF(OR(I846="",E846=""),"",E846/I846*100)</f>
        <v/>
      </c>
      <c r="K846" s="20" t="str">
        <f aca="false">IF(I846="","",F846/I846)</f>
        <v/>
      </c>
    </row>
    <row r="847" customFormat="false" ht="15" hidden="false" customHeight="false" outlineLevel="0" collapsed="false">
      <c r="A847" s="12"/>
      <c r="B847" s="13"/>
      <c r="C847" s="13"/>
      <c r="D847" s="14"/>
      <c r="E847" s="15"/>
      <c r="F847" s="16"/>
      <c r="G847" s="17"/>
      <c r="H847" s="18" t="n">
        <f aca="false">IF(AND(C847="Yakıt",D847&lt;&gt;""),SUMPRODUCT(MAX(($B$5:$B$1004=B847)*($C$5:$C$1004="Yakıt")*($D$5:$D$1004&lt;D847)*$D$5:$D$1004)),0)</f>
        <v>0</v>
      </c>
      <c r="I847" s="18" t="str">
        <f aca="false">IF(H847&gt;0,D847-H847,"")</f>
        <v/>
      </c>
      <c r="J847" s="19" t="str">
        <f aca="false">IF(OR(I847="",E847=""),"",E847/I847*100)</f>
        <v/>
      </c>
      <c r="K847" s="20" t="str">
        <f aca="false">IF(I847="","",F847/I847)</f>
        <v/>
      </c>
    </row>
    <row r="848" customFormat="false" ht="15" hidden="false" customHeight="false" outlineLevel="0" collapsed="false">
      <c r="A848" s="12"/>
      <c r="B848" s="13"/>
      <c r="C848" s="13"/>
      <c r="D848" s="14"/>
      <c r="E848" s="15"/>
      <c r="F848" s="16"/>
      <c r="G848" s="17"/>
      <c r="H848" s="18" t="n">
        <f aca="false">IF(AND(C848="Yakıt",D848&lt;&gt;""),SUMPRODUCT(MAX(($B$5:$B$1004=B848)*($C$5:$C$1004="Yakıt")*($D$5:$D$1004&lt;D848)*$D$5:$D$1004)),0)</f>
        <v>0</v>
      </c>
      <c r="I848" s="18" t="str">
        <f aca="false">IF(H848&gt;0,D848-H848,"")</f>
        <v/>
      </c>
      <c r="J848" s="19" t="str">
        <f aca="false">IF(OR(I848="",E848=""),"",E848/I848*100)</f>
        <v/>
      </c>
      <c r="K848" s="20" t="str">
        <f aca="false">IF(I848="","",F848/I848)</f>
        <v/>
      </c>
    </row>
    <row r="849" customFormat="false" ht="15" hidden="false" customHeight="false" outlineLevel="0" collapsed="false">
      <c r="A849" s="12"/>
      <c r="B849" s="13"/>
      <c r="C849" s="13"/>
      <c r="D849" s="14"/>
      <c r="E849" s="15"/>
      <c r="F849" s="16"/>
      <c r="G849" s="17"/>
      <c r="H849" s="18" t="n">
        <f aca="false">IF(AND(C849="Yakıt",D849&lt;&gt;""),SUMPRODUCT(MAX(($B$5:$B$1004=B849)*($C$5:$C$1004="Yakıt")*($D$5:$D$1004&lt;D849)*$D$5:$D$1004)),0)</f>
        <v>0</v>
      </c>
      <c r="I849" s="18" t="str">
        <f aca="false">IF(H849&gt;0,D849-H849,"")</f>
        <v/>
      </c>
      <c r="J849" s="19" t="str">
        <f aca="false">IF(OR(I849="",E849=""),"",E849/I849*100)</f>
        <v/>
      </c>
      <c r="K849" s="20" t="str">
        <f aca="false">IF(I849="","",F849/I849)</f>
        <v/>
      </c>
    </row>
    <row r="850" customFormat="false" ht="15" hidden="false" customHeight="false" outlineLevel="0" collapsed="false">
      <c r="A850" s="12"/>
      <c r="B850" s="13"/>
      <c r="C850" s="13"/>
      <c r="D850" s="14"/>
      <c r="E850" s="15"/>
      <c r="F850" s="16"/>
      <c r="G850" s="17"/>
      <c r="H850" s="18" t="n">
        <f aca="false">IF(AND(C850="Yakıt",D850&lt;&gt;""),SUMPRODUCT(MAX(($B$5:$B$1004=B850)*($C$5:$C$1004="Yakıt")*($D$5:$D$1004&lt;D850)*$D$5:$D$1004)),0)</f>
        <v>0</v>
      </c>
      <c r="I850" s="18" t="str">
        <f aca="false">IF(H850&gt;0,D850-H850,"")</f>
        <v/>
      </c>
      <c r="J850" s="19" t="str">
        <f aca="false">IF(OR(I850="",E850=""),"",E850/I850*100)</f>
        <v/>
      </c>
      <c r="K850" s="20" t="str">
        <f aca="false">IF(I850="","",F850/I850)</f>
        <v/>
      </c>
    </row>
    <row r="851" customFormat="false" ht="15" hidden="false" customHeight="false" outlineLevel="0" collapsed="false">
      <c r="A851" s="12"/>
      <c r="B851" s="13"/>
      <c r="C851" s="13"/>
      <c r="D851" s="14"/>
      <c r="E851" s="15"/>
      <c r="F851" s="16"/>
      <c r="G851" s="17"/>
      <c r="H851" s="18" t="n">
        <f aca="false">IF(AND(C851="Yakıt",D851&lt;&gt;""),SUMPRODUCT(MAX(($B$5:$B$1004=B851)*($C$5:$C$1004="Yakıt")*($D$5:$D$1004&lt;D851)*$D$5:$D$1004)),0)</f>
        <v>0</v>
      </c>
      <c r="I851" s="18" t="str">
        <f aca="false">IF(H851&gt;0,D851-H851,"")</f>
        <v/>
      </c>
      <c r="J851" s="19" t="str">
        <f aca="false">IF(OR(I851="",E851=""),"",E851/I851*100)</f>
        <v/>
      </c>
      <c r="K851" s="20" t="str">
        <f aca="false">IF(I851="","",F851/I851)</f>
        <v/>
      </c>
    </row>
    <row r="852" customFormat="false" ht="15" hidden="false" customHeight="false" outlineLevel="0" collapsed="false">
      <c r="A852" s="12"/>
      <c r="B852" s="13"/>
      <c r="C852" s="13"/>
      <c r="D852" s="14"/>
      <c r="E852" s="15"/>
      <c r="F852" s="16"/>
      <c r="G852" s="17"/>
      <c r="H852" s="18" t="n">
        <f aca="false">IF(AND(C852="Yakıt",D852&lt;&gt;""),SUMPRODUCT(MAX(($B$5:$B$1004=B852)*($C$5:$C$1004="Yakıt")*($D$5:$D$1004&lt;D852)*$D$5:$D$1004)),0)</f>
        <v>0</v>
      </c>
      <c r="I852" s="18" t="str">
        <f aca="false">IF(H852&gt;0,D852-H852,"")</f>
        <v/>
      </c>
      <c r="J852" s="19" t="str">
        <f aca="false">IF(OR(I852="",E852=""),"",E852/I852*100)</f>
        <v/>
      </c>
      <c r="K852" s="20" t="str">
        <f aca="false">IF(I852="","",F852/I852)</f>
        <v/>
      </c>
    </row>
    <row r="853" customFormat="false" ht="15" hidden="false" customHeight="false" outlineLevel="0" collapsed="false">
      <c r="A853" s="12"/>
      <c r="B853" s="13"/>
      <c r="C853" s="13"/>
      <c r="D853" s="14"/>
      <c r="E853" s="15"/>
      <c r="F853" s="16"/>
      <c r="G853" s="17"/>
      <c r="H853" s="18" t="n">
        <f aca="false">IF(AND(C853="Yakıt",D853&lt;&gt;""),SUMPRODUCT(MAX(($B$5:$B$1004=B853)*($C$5:$C$1004="Yakıt")*($D$5:$D$1004&lt;D853)*$D$5:$D$1004)),0)</f>
        <v>0</v>
      </c>
      <c r="I853" s="18" t="str">
        <f aca="false">IF(H853&gt;0,D853-H853,"")</f>
        <v/>
      </c>
      <c r="J853" s="19" t="str">
        <f aca="false">IF(OR(I853="",E853=""),"",E853/I853*100)</f>
        <v/>
      </c>
      <c r="K853" s="20" t="str">
        <f aca="false">IF(I853="","",F853/I853)</f>
        <v/>
      </c>
    </row>
    <row r="854" customFormat="false" ht="15" hidden="false" customHeight="false" outlineLevel="0" collapsed="false">
      <c r="A854" s="12"/>
      <c r="B854" s="13"/>
      <c r="C854" s="13"/>
      <c r="D854" s="14"/>
      <c r="E854" s="15"/>
      <c r="F854" s="16"/>
      <c r="G854" s="17"/>
      <c r="H854" s="18" t="n">
        <f aca="false">IF(AND(C854="Yakıt",D854&lt;&gt;""),SUMPRODUCT(MAX(($B$5:$B$1004=B854)*($C$5:$C$1004="Yakıt")*($D$5:$D$1004&lt;D854)*$D$5:$D$1004)),0)</f>
        <v>0</v>
      </c>
      <c r="I854" s="18" t="str">
        <f aca="false">IF(H854&gt;0,D854-H854,"")</f>
        <v/>
      </c>
      <c r="J854" s="19" t="str">
        <f aca="false">IF(OR(I854="",E854=""),"",E854/I854*100)</f>
        <v/>
      </c>
      <c r="K854" s="20" t="str">
        <f aca="false">IF(I854="","",F854/I854)</f>
        <v/>
      </c>
    </row>
    <row r="855" customFormat="false" ht="15" hidden="false" customHeight="false" outlineLevel="0" collapsed="false">
      <c r="A855" s="12"/>
      <c r="B855" s="13"/>
      <c r="C855" s="13"/>
      <c r="D855" s="14"/>
      <c r="E855" s="15"/>
      <c r="F855" s="16"/>
      <c r="G855" s="17"/>
      <c r="H855" s="18" t="n">
        <f aca="false">IF(AND(C855="Yakıt",D855&lt;&gt;""),SUMPRODUCT(MAX(($B$5:$B$1004=B855)*($C$5:$C$1004="Yakıt")*($D$5:$D$1004&lt;D855)*$D$5:$D$1004)),0)</f>
        <v>0</v>
      </c>
      <c r="I855" s="18" t="str">
        <f aca="false">IF(H855&gt;0,D855-H855,"")</f>
        <v/>
      </c>
      <c r="J855" s="19" t="str">
        <f aca="false">IF(OR(I855="",E855=""),"",E855/I855*100)</f>
        <v/>
      </c>
      <c r="K855" s="20" t="str">
        <f aca="false">IF(I855="","",F855/I855)</f>
        <v/>
      </c>
    </row>
    <row r="856" customFormat="false" ht="15" hidden="false" customHeight="false" outlineLevel="0" collapsed="false">
      <c r="A856" s="12"/>
      <c r="B856" s="13"/>
      <c r="C856" s="13"/>
      <c r="D856" s="14"/>
      <c r="E856" s="15"/>
      <c r="F856" s="16"/>
      <c r="G856" s="17"/>
      <c r="H856" s="18" t="n">
        <f aca="false">IF(AND(C856="Yakıt",D856&lt;&gt;""),SUMPRODUCT(MAX(($B$5:$B$1004=B856)*($C$5:$C$1004="Yakıt")*($D$5:$D$1004&lt;D856)*$D$5:$D$1004)),0)</f>
        <v>0</v>
      </c>
      <c r="I856" s="18" t="str">
        <f aca="false">IF(H856&gt;0,D856-H856,"")</f>
        <v/>
      </c>
      <c r="J856" s="19" t="str">
        <f aca="false">IF(OR(I856="",E856=""),"",E856/I856*100)</f>
        <v/>
      </c>
      <c r="K856" s="20" t="str">
        <f aca="false">IF(I856="","",F856/I856)</f>
        <v/>
      </c>
    </row>
    <row r="857" customFormat="false" ht="15" hidden="false" customHeight="false" outlineLevel="0" collapsed="false">
      <c r="A857" s="12"/>
      <c r="B857" s="13"/>
      <c r="C857" s="13"/>
      <c r="D857" s="14"/>
      <c r="E857" s="15"/>
      <c r="F857" s="16"/>
      <c r="G857" s="17"/>
      <c r="H857" s="18" t="n">
        <f aca="false">IF(AND(C857="Yakıt",D857&lt;&gt;""),SUMPRODUCT(MAX(($B$5:$B$1004=B857)*($C$5:$C$1004="Yakıt")*($D$5:$D$1004&lt;D857)*$D$5:$D$1004)),0)</f>
        <v>0</v>
      </c>
      <c r="I857" s="18" t="str">
        <f aca="false">IF(H857&gt;0,D857-H857,"")</f>
        <v/>
      </c>
      <c r="J857" s="19" t="str">
        <f aca="false">IF(OR(I857="",E857=""),"",E857/I857*100)</f>
        <v/>
      </c>
      <c r="K857" s="20" t="str">
        <f aca="false">IF(I857="","",F857/I857)</f>
        <v/>
      </c>
    </row>
    <row r="858" customFormat="false" ht="15" hidden="false" customHeight="false" outlineLevel="0" collapsed="false">
      <c r="A858" s="12"/>
      <c r="B858" s="13"/>
      <c r="C858" s="13"/>
      <c r="D858" s="14"/>
      <c r="E858" s="15"/>
      <c r="F858" s="16"/>
      <c r="G858" s="17"/>
      <c r="H858" s="18" t="n">
        <f aca="false">IF(AND(C858="Yakıt",D858&lt;&gt;""),SUMPRODUCT(MAX(($B$5:$B$1004=B858)*($C$5:$C$1004="Yakıt")*($D$5:$D$1004&lt;D858)*$D$5:$D$1004)),0)</f>
        <v>0</v>
      </c>
      <c r="I858" s="18" t="str">
        <f aca="false">IF(H858&gt;0,D858-H858,"")</f>
        <v/>
      </c>
      <c r="J858" s="19" t="str">
        <f aca="false">IF(OR(I858="",E858=""),"",E858/I858*100)</f>
        <v/>
      </c>
      <c r="K858" s="20" t="str">
        <f aca="false">IF(I858="","",F858/I858)</f>
        <v/>
      </c>
    </row>
    <row r="859" customFormat="false" ht="15" hidden="false" customHeight="false" outlineLevel="0" collapsed="false">
      <c r="A859" s="12"/>
      <c r="B859" s="13"/>
      <c r="C859" s="13"/>
      <c r="D859" s="14"/>
      <c r="E859" s="15"/>
      <c r="F859" s="16"/>
      <c r="G859" s="17"/>
      <c r="H859" s="18" t="n">
        <f aca="false">IF(AND(C859="Yakıt",D859&lt;&gt;""),SUMPRODUCT(MAX(($B$5:$B$1004=B859)*($C$5:$C$1004="Yakıt")*($D$5:$D$1004&lt;D859)*$D$5:$D$1004)),0)</f>
        <v>0</v>
      </c>
      <c r="I859" s="18" t="str">
        <f aca="false">IF(H859&gt;0,D859-H859,"")</f>
        <v/>
      </c>
      <c r="J859" s="19" t="str">
        <f aca="false">IF(OR(I859="",E859=""),"",E859/I859*100)</f>
        <v/>
      </c>
      <c r="K859" s="20" t="str">
        <f aca="false">IF(I859="","",F859/I859)</f>
        <v/>
      </c>
    </row>
    <row r="860" customFormat="false" ht="15" hidden="false" customHeight="false" outlineLevel="0" collapsed="false">
      <c r="A860" s="12"/>
      <c r="B860" s="13"/>
      <c r="C860" s="13"/>
      <c r="D860" s="14"/>
      <c r="E860" s="15"/>
      <c r="F860" s="16"/>
      <c r="G860" s="17"/>
      <c r="H860" s="18" t="n">
        <f aca="false">IF(AND(C860="Yakıt",D860&lt;&gt;""),SUMPRODUCT(MAX(($B$5:$B$1004=B860)*($C$5:$C$1004="Yakıt")*($D$5:$D$1004&lt;D860)*$D$5:$D$1004)),0)</f>
        <v>0</v>
      </c>
      <c r="I860" s="18" t="str">
        <f aca="false">IF(H860&gt;0,D860-H860,"")</f>
        <v/>
      </c>
      <c r="J860" s="19" t="str">
        <f aca="false">IF(OR(I860="",E860=""),"",E860/I860*100)</f>
        <v/>
      </c>
      <c r="K860" s="20" t="str">
        <f aca="false">IF(I860="","",F860/I860)</f>
        <v/>
      </c>
    </row>
    <row r="861" customFormat="false" ht="15" hidden="false" customHeight="false" outlineLevel="0" collapsed="false">
      <c r="A861" s="12"/>
      <c r="B861" s="13"/>
      <c r="C861" s="13"/>
      <c r="D861" s="14"/>
      <c r="E861" s="15"/>
      <c r="F861" s="16"/>
      <c r="G861" s="17"/>
      <c r="H861" s="18" t="n">
        <f aca="false">IF(AND(C861="Yakıt",D861&lt;&gt;""),SUMPRODUCT(MAX(($B$5:$B$1004=B861)*($C$5:$C$1004="Yakıt")*($D$5:$D$1004&lt;D861)*$D$5:$D$1004)),0)</f>
        <v>0</v>
      </c>
      <c r="I861" s="18" t="str">
        <f aca="false">IF(H861&gt;0,D861-H861,"")</f>
        <v/>
      </c>
      <c r="J861" s="19" t="str">
        <f aca="false">IF(OR(I861="",E861=""),"",E861/I861*100)</f>
        <v/>
      </c>
      <c r="K861" s="20" t="str">
        <f aca="false">IF(I861="","",F861/I861)</f>
        <v/>
      </c>
    </row>
    <row r="862" customFormat="false" ht="15" hidden="false" customHeight="false" outlineLevel="0" collapsed="false">
      <c r="A862" s="12"/>
      <c r="B862" s="13"/>
      <c r="C862" s="13"/>
      <c r="D862" s="14"/>
      <c r="E862" s="15"/>
      <c r="F862" s="16"/>
      <c r="G862" s="17"/>
      <c r="H862" s="18" t="n">
        <f aca="false">IF(AND(C862="Yakıt",D862&lt;&gt;""),SUMPRODUCT(MAX(($B$5:$B$1004=B862)*($C$5:$C$1004="Yakıt")*($D$5:$D$1004&lt;D862)*$D$5:$D$1004)),0)</f>
        <v>0</v>
      </c>
      <c r="I862" s="18" t="str">
        <f aca="false">IF(H862&gt;0,D862-H862,"")</f>
        <v/>
      </c>
      <c r="J862" s="19" t="str">
        <f aca="false">IF(OR(I862="",E862=""),"",E862/I862*100)</f>
        <v/>
      </c>
      <c r="K862" s="20" t="str">
        <f aca="false">IF(I862="","",F862/I862)</f>
        <v/>
      </c>
    </row>
    <row r="863" customFormat="false" ht="15" hidden="false" customHeight="false" outlineLevel="0" collapsed="false">
      <c r="A863" s="12"/>
      <c r="B863" s="13"/>
      <c r="C863" s="13"/>
      <c r="D863" s="14"/>
      <c r="E863" s="15"/>
      <c r="F863" s="16"/>
      <c r="G863" s="17"/>
      <c r="H863" s="18" t="n">
        <f aca="false">IF(AND(C863="Yakıt",D863&lt;&gt;""),SUMPRODUCT(MAX(($B$5:$B$1004=B863)*($C$5:$C$1004="Yakıt")*($D$5:$D$1004&lt;D863)*$D$5:$D$1004)),0)</f>
        <v>0</v>
      </c>
      <c r="I863" s="18" t="str">
        <f aca="false">IF(H863&gt;0,D863-H863,"")</f>
        <v/>
      </c>
      <c r="J863" s="19" t="str">
        <f aca="false">IF(OR(I863="",E863=""),"",E863/I863*100)</f>
        <v/>
      </c>
      <c r="K863" s="20" t="str">
        <f aca="false">IF(I863="","",F863/I863)</f>
        <v/>
      </c>
    </row>
    <row r="864" customFormat="false" ht="15" hidden="false" customHeight="false" outlineLevel="0" collapsed="false">
      <c r="A864" s="12"/>
      <c r="B864" s="13"/>
      <c r="C864" s="13"/>
      <c r="D864" s="14"/>
      <c r="E864" s="15"/>
      <c r="F864" s="16"/>
      <c r="G864" s="17"/>
      <c r="H864" s="18" t="n">
        <f aca="false">IF(AND(C864="Yakıt",D864&lt;&gt;""),SUMPRODUCT(MAX(($B$5:$B$1004=B864)*($C$5:$C$1004="Yakıt")*($D$5:$D$1004&lt;D864)*$D$5:$D$1004)),0)</f>
        <v>0</v>
      </c>
      <c r="I864" s="18" t="str">
        <f aca="false">IF(H864&gt;0,D864-H864,"")</f>
        <v/>
      </c>
      <c r="J864" s="19" t="str">
        <f aca="false">IF(OR(I864="",E864=""),"",E864/I864*100)</f>
        <v/>
      </c>
      <c r="K864" s="20" t="str">
        <f aca="false">IF(I864="","",F864/I864)</f>
        <v/>
      </c>
    </row>
    <row r="865" customFormat="false" ht="15" hidden="false" customHeight="false" outlineLevel="0" collapsed="false">
      <c r="A865" s="12"/>
      <c r="B865" s="13"/>
      <c r="C865" s="13"/>
      <c r="D865" s="14"/>
      <c r="E865" s="15"/>
      <c r="F865" s="16"/>
      <c r="G865" s="17"/>
      <c r="H865" s="18" t="n">
        <f aca="false">IF(AND(C865="Yakıt",D865&lt;&gt;""),SUMPRODUCT(MAX(($B$5:$B$1004=B865)*($C$5:$C$1004="Yakıt")*($D$5:$D$1004&lt;D865)*$D$5:$D$1004)),0)</f>
        <v>0</v>
      </c>
      <c r="I865" s="18" t="str">
        <f aca="false">IF(H865&gt;0,D865-H865,"")</f>
        <v/>
      </c>
      <c r="J865" s="19" t="str">
        <f aca="false">IF(OR(I865="",E865=""),"",E865/I865*100)</f>
        <v/>
      </c>
      <c r="K865" s="20" t="str">
        <f aca="false">IF(I865="","",F865/I865)</f>
        <v/>
      </c>
    </row>
    <row r="866" customFormat="false" ht="15" hidden="false" customHeight="false" outlineLevel="0" collapsed="false">
      <c r="A866" s="12"/>
      <c r="B866" s="13"/>
      <c r="C866" s="13"/>
      <c r="D866" s="14"/>
      <c r="E866" s="15"/>
      <c r="F866" s="16"/>
      <c r="G866" s="17"/>
      <c r="H866" s="18" t="n">
        <f aca="false">IF(AND(C866="Yakıt",D866&lt;&gt;""),SUMPRODUCT(MAX(($B$5:$B$1004=B866)*($C$5:$C$1004="Yakıt")*($D$5:$D$1004&lt;D866)*$D$5:$D$1004)),0)</f>
        <v>0</v>
      </c>
      <c r="I866" s="18" t="str">
        <f aca="false">IF(H866&gt;0,D866-H866,"")</f>
        <v/>
      </c>
      <c r="J866" s="19" t="str">
        <f aca="false">IF(OR(I866="",E866=""),"",E866/I866*100)</f>
        <v/>
      </c>
      <c r="K866" s="20" t="str">
        <f aca="false">IF(I866="","",F866/I866)</f>
        <v/>
      </c>
    </row>
    <row r="867" customFormat="false" ht="15" hidden="false" customHeight="false" outlineLevel="0" collapsed="false">
      <c r="A867" s="12"/>
      <c r="B867" s="13"/>
      <c r="C867" s="13"/>
      <c r="D867" s="14"/>
      <c r="E867" s="15"/>
      <c r="F867" s="16"/>
      <c r="G867" s="17"/>
      <c r="H867" s="18" t="n">
        <f aca="false">IF(AND(C867="Yakıt",D867&lt;&gt;""),SUMPRODUCT(MAX(($B$5:$B$1004=B867)*($C$5:$C$1004="Yakıt")*($D$5:$D$1004&lt;D867)*$D$5:$D$1004)),0)</f>
        <v>0</v>
      </c>
      <c r="I867" s="18" t="str">
        <f aca="false">IF(H867&gt;0,D867-H867,"")</f>
        <v/>
      </c>
      <c r="J867" s="19" t="str">
        <f aca="false">IF(OR(I867="",E867=""),"",E867/I867*100)</f>
        <v/>
      </c>
      <c r="K867" s="20" t="str">
        <f aca="false">IF(I867="","",F867/I867)</f>
        <v/>
      </c>
    </row>
    <row r="868" customFormat="false" ht="15" hidden="false" customHeight="false" outlineLevel="0" collapsed="false">
      <c r="A868" s="12"/>
      <c r="B868" s="13"/>
      <c r="C868" s="13"/>
      <c r="D868" s="14"/>
      <c r="E868" s="15"/>
      <c r="F868" s="16"/>
      <c r="G868" s="17"/>
      <c r="H868" s="18" t="n">
        <f aca="false">IF(AND(C868="Yakıt",D868&lt;&gt;""),SUMPRODUCT(MAX(($B$5:$B$1004=B868)*($C$5:$C$1004="Yakıt")*($D$5:$D$1004&lt;D868)*$D$5:$D$1004)),0)</f>
        <v>0</v>
      </c>
      <c r="I868" s="18" t="str">
        <f aca="false">IF(H868&gt;0,D868-H868,"")</f>
        <v/>
      </c>
      <c r="J868" s="19" t="str">
        <f aca="false">IF(OR(I868="",E868=""),"",E868/I868*100)</f>
        <v/>
      </c>
      <c r="K868" s="20" t="str">
        <f aca="false">IF(I868="","",F868/I868)</f>
        <v/>
      </c>
    </row>
    <row r="869" customFormat="false" ht="15" hidden="false" customHeight="false" outlineLevel="0" collapsed="false">
      <c r="A869" s="12"/>
      <c r="B869" s="13"/>
      <c r="C869" s="13"/>
      <c r="D869" s="14"/>
      <c r="E869" s="15"/>
      <c r="F869" s="16"/>
      <c r="G869" s="17"/>
      <c r="H869" s="18" t="n">
        <f aca="false">IF(AND(C869="Yakıt",D869&lt;&gt;""),SUMPRODUCT(MAX(($B$5:$B$1004=B869)*($C$5:$C$1004="Yakıt")*($D$5:$D$1004&lt;D869)*$D$5:$D$1004)),0)</f>
        <v>0</v>
      </c>
      <c r="I869" s="18" t="str">
        <f aca="false">IF(H869&gt;0,D869-H869,"")</f>
        <v/>
      </c>
      <c r="J869" s="19" t="str">
        <f aca="false">IF(OR(I869="",E869=""),"",E869/I869*100)</f>
        <v/>
      </c>
      <c r="K869" s="20" t="str">
        <f aca="false">IF(I869="","",F869/I869)</f>
        <v/>
      </c>
    </row>
    <row r="870" customFormat="false" ht="15" hidden="false" customHeight="false" outlineLevel="0" collapsed="false">
      <c r="A870" s="12"/>
      <c r="B870" s="13"/>
      <c r="C870" s="13"/>
      <c r="D870" s="14"/>
      <c r="E870" s="15"/>
      <c r="F870" s="16"/>
      <c r="G870" s="17"/>
      <c r="H870" s="18" t="n">
        <f aca="false">IF(AND(C870="Yakıt",D870&lt;&gt;""),SUMPRODUCT(MAX(($B$5:$B$1004=B870)*($C$5:$C$1004="Yakıt")*($D$5:$D$1004&lt;D870)*$D$5:$D$1004)),0)</f>
        <v>0</v>
      </c>
      <c r="I870" s="18" t="str">
        <f aca="false">IF(H870&gt;0,D870-H870,"")</f>
        <v/>
      </c>
      <c r="J870" s="19" t="str">
        <f aca="false">IF(OR(I870="",E870=""),"",E870/I870*100)</f>
        <v/>
      </c>
      <c r="K870" s="20" t="str">
        <f aca="false">IF(I870="","",F870/I870)</f>
        <v/>
      </c>
    </row>
    <row r="871" customFormat="false" ht="15" hidden="false" customHeight="false" outlineLevel="0" collapsed="false">
      <c r="A871" s="12"/>
      <c r="B871" s="13"/>
      <c r="C871" s="13"/>
      <c r="D871" s="14"/>
      <c r="E871" s="15"/>
      <c r="F871" s="16"/>
      <c r="G871" s="17"/>
      <c r="H871" s="18" t="n">
        <f aca="false">IF(AND(C871="Yakıt",D871&lt;&gt;""),SUMPRODUCT(MAX(($B$5:$B$1004=B871)*($C$5:$C$1004="Yakıt")*($D$5:$D$1004&lt;D871)*$D$5:$D$1004)),0)</f>
        <v>0</v>
      </c>
      <c r="I871" s="18" t="str">
        <f aca="false">IF(H871&gt;0,D871-H871,"")</f>
        <v/>
      </c>
      <c r="J871" s="19" t="str">
        <f aca="false">IF(OR(I871="",E871=""),"",E871/I871*100)</f>
        <v/>
      </c>
      <c r="K871" s="20" t="str">
        <f aca="false">IF(I871="","",F871/I871)</f>
        <v/>
      </c>
    </row>
    <row r="872" customFormat="false" ht="15" hidden="false" customHeight="false" outlineLevel="0" collapsed="false">
      <c r="A872" s="12"/>
      <c r="B872" s="13"/>
      <c r="C872" s="13"/>
      <c r="D872" s="14"/>
      <c r="E872" s="15"/>
      <c r="F872" s="16"/>
      <c r="G872" s="17"/>
      <c r="H872" s="18" t="n">
        <f aca="false">IF(AND(C872="Yakıt",D872&lt;&gt;""),SUMPRODUCT(MAX(($B$5:$B$1004=B872)*($C$5:$C$1004="Yakıt")*($D$5:$D$1004&lt;D872)*$D$5:$D$1004)),0)</f>
        <v>0</v>
      </c>
      <c r="I872" s="18" t="str">
        <f aca="false">IF(H872&gt;0,D872-H872,"")</f>
        <v/>
      </c>
      <c r="J872" s="19" t="str">
        <f aca="false">IF(OR(I872="",E872=""),"",E872/I872*100)</f>
        <v/>
      </c>
      <c r="K872" s="20" t="str">
        <f aca="false">IF(I872="","",F872/I872)</f>
        <v/>
      </c>
    </row>
    <row r="873" customFormat="false" ht="15" hidden="false" customHeight="false" outlineLevel="0" collapsed="false">
      <c r="A873" s="12"/>
      <c r="B873" s="13"/>
      <c r="C873" s="13"/>
      <c r="D873" s="14"/>
      <c r="E873" s="15"/>
      <c r="F873" s="16"/>
      <c r="G873" s="17"/>
      <c r="H873" s="18" t="n">
        <f aca="false">IF(AND(C873="Yakıt",D873&lt;&gt;""),SUMPRODUCT(MAX(($B$5:$B$1004=B873)*($C$5:$C$1004="Yakıt")*($D$5:$D$1004&lt;D873)*$D$5:$D$1004)),0)</f>
        <v>0</v>
      </c>
      <c r="I873" s="18" t="str">
        <f aca="false">IF(H873&gt;0,D873-H873,"")</f>
        <v/>
      </c>
      <c r="J873" s="19" t="str">
        <f aca="false">IF(OR(I873="",E873=""),"",E873/I873*100)</f>
        <v/>
      </c>
      <c r="K873" s="20" t="str">
        <f aca="false">IF(I873="","",F873/I873)</f>
        <v/>
      </c>
    </row>
    <row r="874" customFormat="false" ht="15" hidden="false" customHeight="false" outlineLevel="0" collapsed="false">
      <c r="A874" s="12"/>
      <c r="B874" s="13"/>
      <c r="C874" s="13"/>
      <c r="D874" s="14"/>
      <c r="E874" s="15"/>
      <c r="F874" s="16"/>
      <c r="G874" s="17"/>
      <c r="H874" s="18" t="n">
        <f aca="false">IF(AND(C874="Yakıt",D874&lt;&gt;""),SUMPRODUCT(MAX(($B$5:$B$1004=B874)*($C$5:$C$1004="Yakıt")*($D$5:$D$1004&lt;D874)*$D$5:$D$1004)),0)</f>
        <v>0</v>
      </c>
      <c r="I874" s="18" t="str">
        <f aca="false">IF(H874&gt;0,D874-H874,"")</f>
        <v/>
      </c>
      <c r="J874" s="19" t="str">
        <f aca="false">IF(OR(I874="",E874=""),"",E874/I874*100)</f>
        <v/>
      </c>
      <c r="K874" s="20" t="str">
        <f aca="false">IF(I874="","",F874/I874)</f>
        <v/>
      </c>
    </row>
    <row r="875" customFormat="false" ht="15" hidden="false" customHeight="false" outlineLevel="0" collapsed="false">
      <c r="A875" s="12"/>
      <c r="B875" s="13"/>
      <c r="C875" s="13"/>
      <c r="D875" s="14"/>
      <c r="E875" s="15"/>
      <c r="F875" s="16"/>
      <c r="G875" s="17"/>
      <c r="H875" s="18" t="n">
        <f aca="false">IF(AND(C875="Yakıt",D875&lt;&gt;""),SUMPRODUCT(MAX(($B$5:$B$1004=B875)*($C$5:$C$1004="Yakıt")*($D$5:$D$1004&lt;D875)*$D$5:$D$1004)),0)</f>
        <v>0</v>
      </c>
      <c r="I875" s="18" t="str">
        <f aca="false">IF(H875&gt;0,D875-H875,"")</f>
        <v/>
      </c>
      <c r="J875" s="19" t="str">
        <f aca="false">IF(OR(I875="",E875=""),"",E875/I875*100)</f>
        <v/>
      </c>
      <c r="K875" s="20" t="str">
        <f aca="false">IF(I875="","",F875/I875)</f>
        <v/>
      </c>
    </row>
    <row r="876" customFormat="false" ht="15" hidden="false" customHeight="false" outlineLevel="0" collapsed="false">
      <c r="A876" s="12"/>
      <c r="B876" s="13"/>
      <c r="C876" s="13"/>
      <c r="D876" s="14"/>
      <c r="E876" s="15"/>
      <c r="F876" s="16"/>
      <c r="G876" s="17"/>
      <c r="H876" s="18" t="n">
        <f aca="false">IF(AND(C876="Yakıt",D876&lt;&gt;""),SUMPRODUCT(MAX(($B$5:$B$1004=B876)*($C$5:$C$1004="Yakıt")*($D$5:$D$1004&lt;D876)*$D$5:$D$1004)),0)</f>
        <v>0</v>
      </c>
      <c r="I876" s="18" t="str">
        <f aca="false">IF(H876&gt;0,D876-H876,"")</f>
        <v/>
      </c>
      <c r="J876" s="19" t="str">
        <f aca="false">IF(OR(I876="",E876=""),"",E876/I876*100)</f>
        <v/>
      </c>
      <c r="K876" s="20" t="str">
        <f aca="false">IF(I876="","",F876/I876)</f>
        <v/>
      </c>
    </row>
    <row r="877" customFormat="false" ht="15" hidden="false" customHeight="false" outlineLevel="0" collapsed="false">
      <c r="A877" s="12"/>
      <c r="B877" s="13"/>
      <c r="C877" s="13"/>
      <c r="D877" s="14"/>
      <c r="E877" s="15"/>
      <c r="F877" s="16"/>
      <c r="G877" s="17"/>
      <c r="H877" s="18" t="n">
        <f aca="false">IF(AND(C877="Yakıt",D877&lt;&gt;""),SUMPRODUCT(MAX(($B$5:$B$1004=B877)*($C$5:$C$1004="Yakıt")*($D$5:$D$1004&lt;D877)*$D$5:$D$1004)),0)</f>
        <v>0</v>
      </c>
      <c r="I877" s="18" t="str">
        <f aca="false">IF(H877&gt;0,D877-H877,"")</f>
        <v/>
      </c>
      <c r="J877" s="19" t="str">
        <f aca="false">IF(OR(I877="",E877=""),"",E877/I877*100)</f>
        <v/>
      </c>
      <c r="K877" s="20" t="str">
        <f aca="false">IF(I877="","",F877/I877)</f>
        <v/>
      </c>
    </row>
    <row r="878" customFormat="false" ht="15" hidden="false" customHeight="false" outlineLevel="0" collapsed="false">
      <c r="A878" s="12"/>
      <c r="B878" s="13"/>
      <c r="C878" s="13"/>
      <c r="D878" s="14"/>
      <c r="E878" s="15"/>
      <c r="F878" s="16"/>
      <c r="G878" s="17"/>
      <c r="H878" s="18" t="n">
        <f aca="false">IF(AND(C878="Yakıt",D878&lt;&gt;""),SUMPRODUCT(MAX(($B$5:$B$1004=B878)*($C$5:$C$1004="Yakıt")*($D$5:$D$1004&lt;D878)*$D$5:$D$1004)),0)</f>
        <v>0</v>
      </c>
      <c r="I878" s="18" t="str">
        <f aca="false">IF(H878&gt;0,D878-H878,"")</f>
        <v/>
      </c>
      <c r="J878" s="19" t="str">
        <f aca="false">IF(OR(I878="",E878=""),"",E878/I878*100)</f>
        <v/>
      </c>
      <c r="K878" s="20" t="str">
        <f aca="false">IF(I878="","",F878/I878)</f>
        <v/>
      </c>
    </row>
    <row r="879" customFormat="false" ht="15" hidden="false" customHeight="false" outlineLevel="0" collapsed="false">
      <c r="A879" s="12"/>
      <c r="B879" s="13"/>
      <c r="C879" s="13"/>
      <c r="D879" s="14"/>
      <c r="E879" s="15"/>
      <c r="F879" s="16"/>
      <c r="G879" s="17"/>
      <c r="H879" s="18" t="n">
        <f aca="false">IF(AND(C879="Yakıt",D879&lt;&gt;""),SUMPRODUCT(MAX(($B$5:$B$1004=B879)*($C$5:$C$1004="Yakıt")*($D$5:$D$1004&lt;D879)*$D$5:$D$1004)),0)</f>
        <v>0</v>
      </c>
      <c r="I879" s="18" t="str">
        <f aca="false">IF(H879&gt;0,D879-H879,"")</f>
        <v/>
      </c>
      <c r="J879" s="19" t="str">
        <f aca="false">IF(OR(I879="",E879=""),"",E879/I879*100)</f>
        <v/>
      </c>
      <c r="K879" s="20" t="str">
        <f aca="false">IF(I879="","",F879/I879)</f>
        <v/>
      </c>
    </row>
    <row r="880" customFormat="false" ht="15" hidden="false" customHeight="false" outlineLevel="0" collapsed="false">
      <c r="A880" s="12"/>
      <c r="B880" s="13"/>
      <c r="C880" s="13"/>
      <c r="D880" s="14"/>
      <c r="E880" s="15"/>
      <c r="F880" s="16"/>
      <c r="G880" s="17"/>
      <c r="H880" s="18" t="n">
        <f aca="false">IF(AND(C880="Yakıt",D880&lt;&gt;""),SUMPRODUCT(MAX(($B$5:$B$1004=B880)*($C$5:$C$1004="Yakıt")*($D$5:$D$1004&lt;D880)*$D$5:$D$1004)),0)</f>
        <v>0</v>
      </c>
      <c r="I880" s="18" t="str">
        <f aca="false">IF(H880&gt;0,D880-H880,"")</f>
        <v/>
      </c>
      <c r="J880" s="19" t="str">
        <f aca="false">IF(OR(I880="",E880=""),"",E880/I880*100)</f>
        <v/>
      </c>
      <c r="K880" s="20" t="str">
        <f aca="false">IF(I880="","",F880/I880)</f>
        <v/>
      </c>
    </row>
    <row r="881" customFormat="false" ht="15" hidden="false" customHeight="false" outlineLevel="0" collapsed="false">
      <c r="A881" s="12"/>
      <c r="B881" s="13"/>
      <c r="C881" s="13"/>
      <c r="D881" s="14"/>
      <c r="E881" s="15"/>
      <c r="F881" s="16"/>
      <c r="G881" s="17"/>
      <c r="H881" s="18" t="n">
        <f aca="false">IF(AND(C881="Yakıt",D881&lt;&gt;""),SUMPRODUCT(MAX(($B$5:$B$1004=B881)*($C$5:$C$1004="Yakıt")*($D$5:$D$1004&lt;D881)*$D$5:$D$1004)),0)</f>
        <v>0</v>
      </c>
      <c r="I881" s="18" t="str">
        <f aca="false">IF(H881&gt;0,D881-H881,"")</f>
        <v/>
      </c>
      <c r="J881" s="19" t="str">
        <f aca="false">IF(OR(I881="",E881=""),"",E881/I881*100)</f>
        <v/>
      </c>
      <c r="K881" s="20" t="str">
        <f aca="false">IF(I881="","",F881/I881)</f>
        <v/>
      </c>
    </row>
    <row r="882" customFormat="false" ht="15" hidden="false" customHeight="false" outlineLevel="0" collapsed="false">
      <c r="A882" s="12"/>
      <c r="B882" s="13"/>
      <c r="C882" s="13"/>
      <c r="D882" s="14"/>
      <c r="E882" s="15"/>
      <c r="F882" s="16"/>
      <c r="G882" s="17"/>
      <c r="H882" s="18" t="n">
        <f aca="false">IF(AND(C882="Yakıt",D882&lt;&gt;""),SUMPRODUCT(MAX(($B$5:$B$1004=B882)*($C$5:$C$1004="Yakıt")*($D$5:$D$1004&lt;D882)*$D$5:$D$1004)),0)</f>
        <v>0</v>
      </c>
      <c r="I882" s="18" t="str">
        <f aca="false">IF(H882&gt;0,D882-H882,"")</f>
        <v/>
      </c>
      <c r="J882" s="19" t="str">
        <f aca="false">IF(OR(I882="",E882=""),"",E882/I882*100)</f>
        <v/>
      </c>
      <c r="K882" s="20" t="str">
        <f aca="false">IF(I882="","",F882/I882)</f>
        <v/>
      </c>
    </row>
    <row r="883" customFormat="false" ht="15" hidden="false" customHeight="false" outlineLevel="0" collapsed="false">
      <c r="A883" s="12"/>
      <c r="B883" s="13"/>
      <c r="C883" s="13"/>
      <c r="D883" s="14"/>
      <c r="E883" s="15"/>
      <c r="F883" s="16"/>
      <c r="G883" s="17"/>
      <c r="H883" s="18" t="n">
        <f aca="false">IF(AND(C883="Yakıt",D883&lt;&gt;""),SUMPRODUCT(MAX(($B$5:$B$1004=B883)*($C$5:$C$1004="Yakıt")*($D$5:$D$1004&lt;D883)*$D$5:$D$1004)),0)</f>
        <v>0</v>
      </c>
      <c r="I883" s="18" t="str">
        <f aca="false">IF(H883&gt;0,D883-H883,"")</f>
        <v/>
      </c>
      <c r="J883" s="19" t="str">
        <f aca="false">IF(OR(I883="",E883=""),"",E883/I883*100)</f>
        <v/>
      </c>
      <c r="K883" s="20" t="str">
        <f aca="false">IF(I883="","",F883/I883)</f>
        <v/>
      </c>
    </row>
    <row r="884" customFormat="false" ht="15" hidden="false" customHeight="false" outlineLevel="0" collapsed="false">
      <c r="A884" s="12"/>
      <c r="B884" s="13"/>
      <c r="C884" s="13"/>
      <c r="D884" s="14"/>
      <c r="E884" s="15"/>
      <c r="F884" s="16"/>
      <c r="G884" s="17"/>
      <c r="H884" s="18" t="n">
        <f aca="false">IF(AND(C884="Yakıt",D884&lt;&gt;""),SUMPRODUCT(MAX(($B$5:$B$1004=B884)*($C$5:$C$1004="Yakıt")*($D$5:$D$1004&lt;D884)*$D$5:$D$1004)),0)</f>
        <v>0</v>
      </c>
      <c r="I884" s="18" t="str">
        <f aca="false">IF(H884&gt;0,D884-H884,"")</f>
        <v/>
      </c>
      <c r="J884" s="19" t="str">
        <f aca="false">IF(OR(I884="",E884=""),"",E884/I884*100)</f>
        <v/>
      </c>
      <c r="K884" s="20" t="str">
        <f aca="false">IF(I884="","",F884/I884)</f>
        <v/>
      </c>
    </row>
    <row r="885" customFormat="false" ht="15" hidden="false" customHeight="false" outlineLevel="0" collapsed="false">
      <c r="A885" s="12"/>
      <c r="B885" s="13"/>
      <c r="C885" s="13"/>
      <c r="D885" s="14"/>
      <c r="E885" s="15"/>
      <c r="F885" s="16"/>
      <c r="G885" s="17"/>
      <c r="H885" s="18" t="n">
        <f aca="false">IF(AND(C885="Yakıt",D885&lt;&gt;""),SUMPRODUCT(MAX(($B$5:$B$1004=B885)*($C$5:$C$1004="Yakıt")*($D$5:$D$1004&lt;D885)*$D$5:$D$1004)),0)</f>
        <v>0</v>
      </c>
      <c r="I885" s="18" t="str">
        <f aca="false">IF(H885&gt;0,D885-H885,"")</f>
        <v/>
      </c>
      <c r="J885" s="19" t="str">
        <f aca="false">IF(OR(I885="",E885=""),"",E885/I885*100)</f>
        <v/>
      </c>
      <c r="K885" s="20" t="str">
        <f aca="false">IF(I885="","",F885/I885)</f>
        <v/>
      </c>
    </row>
    <row r="886" customFormat="false" ht="15" hidden="false" customHeight="false" outlineLevel="0" collapsed="false">
      <c r="A886" s="12"/>
      <c r="B886" s="13"/>
      <c r="C886" s="13"/>
      <c r="D886" s="14"/>
      <c r="E886" s="15"/>
      <c r="F886" s="16"/>
      <c r="G886" s="17"/>
      <c r="H886" s="18" t="n">
        <f aca="false">IF(AND(C886="Yakıt",D886&lt;&gt;""),SUMPRODUCT(MAX(($B$5:$B$1004=B886)*($C$5:$C$1004="Yakıt")*($D$5:$D$1004&lt;D886)*$D$5:$D$1004)),0)</f>
        <v>0</v>
      </c>
      <c r="I886" s="18" t="str">
        <f aca="false">IF(H886&gt;0,D886-H886,"")</f>
        <v/>
      </c>
      <c r="J886" s="19" t="str">
        <f aca="false">IF(OR(I886="",E886=""),"",E886/I886*100)</f>
        <v/>
      </c>
      <c r="K886" s="20" t="str">
        <f aca="false">IF(I886="","",F886/I886)</f>
        <v/>
      </c>
    </row>
    <row r="887" customFormat="false" ht="15" hidden="false" customHeight="false" outlineLevel="0" collapsed="false">
      <c r="A887" s="12"/>
      <c r="B887" s="13"/>
      <c r="C887" s="13"/>
      <c r="D887" s="14"/>
      <c r="E887" s="15"/>
      <c r="F887" s="16"/>
      <c r="G887" s="17"/>
      <c r="H887" s="18" t="n">
        <f aca="false">IF(AND(C887="Yakıt",D887&lt;&gt;""),SUMPRODUCT(MAX(($B$5:$B$1004=B887)*($C$5:$C$1004="Yakıt")*($D$5:$D$1004&lt;D887)*$D$5:$D$1004)),0)</f>
        <v>0</v>
      </c>
      <c r="I887" s="18" t="str">
        <f aca="false">IF(H887&gt;0,D887-H887,"")</f>
        <v/>
      </c>
      <c r="J887" s="19" t="str">
        <f aca="false">IF(OR(I887="",E887=""),"",E887/I887*100)</f>
        <v/>
      </c>
      <c r="K887" s="20" t="str">
        <f aca="false">IF(I887="","",F887/I887)</f>
        <v/>
      </c>
    </row>
    <row r="888" customFormat="false" ht="15" hidden="false" customHeight="false" outlineLevel="0" collapsed="false">
      <c r="A888" s="12"/>
      <c r="B888" s="13"/>
      <c r="C888" s="13"/>
      <c r="D888" s="14"/>
      <c r="E888" s="15"/>
      <c r="F888" s="16"/>
      <c r="G888" s="17"/>
      <c r="H888" s="18" t="n">
        <f aca="false">IF(AND(C888="Yakıt",D888&lt;&gt;""),SUMPRODUCT(MAX(($B$5:$B$1004=B888)*($C$5:$C$1004="Yakıt")*($D$5:$D$1004&lt;D888)*$D$5:$D$1004)),0)</f>
        <v>0</v>
      </c>
      <c r="I888" s="18" t="str">
        <f aca="false">IF(H888&gt;0,D888-H888,"")</f>
        <v/>
      </c>
      <c r="J888" s="19" t="str">
        <f aca="false">IF(OR(I888="",E888=""),"",E888/I888*100)</f>
        <v/>
      </c>
      <c r="K888" s="20" t="str">
        <f aca="false">IF(I888="","",F888/I888)</f>
        <v/>
      </c>
    </row>
    <row r="889" customFormat="false" ht="15" hidden="false" customHeight="false" outlineLevel="0" collapsed="false">
      <c r="A889" s="12"/>
      <c r="B889" s="13"/>
      <c r="C889" s="13"/>
      <c r="D889" s="14"/>
      <c r="E889" s="15"/>
      <c r="F889" s="16"/>
      <c r="G889" s="17"/>
      <c r="H889" s="18" t="n">
        <f aca="false">IF(AND(C889="Yakıt",D889&lt;&gt;""),SUMPRODUCT(MAX(($B$5:$B$1004=B889)*($C$5:$C$1004="Yakıt")*($D$5:$D$1004&lt;D889)*$D$5:$D$1004)),0)</f>
        <v>0</v>
      </c>
      <c r="I889" s="18" t="str">
        <f aca="false">IF(H889&gt;0,D889-H889,"")</f>
        <v/>
      </c>
      <c r="J889" s="19" t="str">
        <f aca="false">IF(OR(I889="",E889=""),"",E889/I889*100)</f>
        <v/>
      </c>
      <c r="K889" s="20" t="str">
        <f aca="false">IF(I889="","",F889/I889)</f>
        <v/>
      </c>
    </row>
    <row r="890" customFormat="false" ht="15" hidden="false" customHeight="false" outlineLevel="0" collapsed="false">
      <c r="A890" s="12"/>
      <c r="B890" s="13"/>
      <c r="C890" s="13"/>
      <c r="D890" s="14"/>
      <c r="E890" s="15"/>
      <c r="F890" s="16"/>
      <c r="G890" s="17"/>
      <c r="H890" s="18" t="n">
        <f aca="false">IF(AND(C890="Yakıt",D890&lt;&gt;""),SUMPRODUCT(MAX(($B$5:$B$1004=B890)*($C$5:$C$1004="Yakıt")*($D$5:$D$1004&lt;D890)*$D$5:$D$1004)),0)</f>
        <v>0</v>
      </c>
      <c r="I890" s="18" t="str">
        <f aca="false">IF(H890&gt;0,D890-H890,"")</f>
        <v/>
      </c>
      <c r="J890" s="19" t="str">
        <f aca="false">IF(OR(I890="",E890=""),"",E890/I890*100)</f>
        <v/>
      </c>
      <c r="K890" s="20" t="str">
        <f aca="false">IF(I890="","",F890/I890)</f>
        <v/>
      </c>
    </row>
    <row r="891" customFormat="false" ht="15" hidden="false" customHeight="false" outlineLevel="0" collapsed="false">
      <c r="A891" s="12"/>
      <c r="B891" s="13"/>
      <c r="C891" s="13"/>
      <c r="D891" s="14"/>
      <c r="E891" s="15"/>
      <c r="F891" s="16"/>
      <c r="G891" s="17"/>
      <c r="H891" s="18" t="n">
        <f aca="false">IF(AND(C891="Yakıt",D891&lt;&gt;""),SUMPRODUCT(MAX(($B$5:$B$1004=B891)*($C$5:$C$1004="Yakıt")*($D$5:$D$1004&lt;D891)*$D$5:$D$1004)),0)</f>
        <v>0</v>
      </c>
      <c r="I891" s="18" t="str">
        <f aca="false">IF(H891&gt;0,D891-H891,"")</f>
        <v/>
      </c>
      <c r="J891" s="19" t="str">
        <f aca="false">IF(OR(I891="",E891=""),"",E891/I891*100)</f>
        <v/>
      </c>
      <c r="K891" s="20" t="str">
        <f aca="false">IF(I891="","",F891/I891)</f>
        <v/>
      </c>
    </row>
    <row r="892" customFormat="false" ht="15" hidden="false" customHeight="false" outlineLevel="0" collapsed="false">
      <c r="A892" s="12"/>
      <c r="B892" s="13"/>
      <c r="C892" s="13"/>
      <c r="D892" s="14"/>
      <c r="E892" s="15"/>
      <c r="F892" s="16"/>
      <c r="G892" s="17"/>
      <c r="H892" s="18" t="n">
        <f aca="false">IF(AND(C892="Yakıt",D892&lt;&gt;""),SUMPRODUCT(MAX(($B$5:$B$1004=B892)*($C$5:$C$1004="Yakıt")*($D$5:$D$1004&lt;D892)*$D$5:$D$1004)),0)</f>
        <v>0</v>
      </c>
      <c r="I892" s="18" t="str">
        <f aca="false">IF(H892&gt;0,D892-H892,"")</f>
        <v/>
      </c>
      <c r="J892" s="19" t="str">
        <f aca="false">IF(OR(I892="",E892=""),"",E892/I892*100)</f>
        <v/>
      </c>
      <c r="K892" s="20" t="str">
        <f aca="false">IF(I892="","",F892/I892)</f>
        <v/>
      </c>
    </row>
    <row r="893" customFormat="false" ht="15" hidden="false" customHeight="false" outlineLevel="0" collapsed="false">
      <c r="A893" s="12"/>
      <c r="B893" s="13"/>
      <c r="C893" s="13"/>
      <c r="D893" s="14"/>
      <c r="E893" s="15"/>
      <c r="F893" s="16"/>
      <c r="G893" s="17"/>
      <c r="H893" s="18" t="n">
        <f aca="false">IF(AND(C893="Yakıt",D893&lt;&gt;""),SUMPRODUCT(MAX(($B$5:$B$1004=B893)*($C$5:$C$1004="Yakıt")*($D$5:$D$1004&lt;D893)*$D$5:$D$1004)),0)</f>
        <v>0</v>
      </c>
      <c r="I893" s="18" t="str">
        <f aca="false">IF(H893&gt;0,D893-H893,"")</f>
        <v/>
      </c>
      <c r="J893" s="19" t="str">
        <f aca="false">IF(OR(I893="",E893=""),"",E893/I893*100)</f>
        <v/>
      </c>
      <c r="K893" s="20" t="str">
        <f aca="false">IF(I893="","",F893/I893)</f>
        <v/>
      </c>
    </row>
    <row r="894" customFormat="false" ht="15" hidden="false" customHeight="false" outlineLevel="0" collapsed="false">
      <c r="A894" s="12"/>
      <c r="B894" s="13"/>
      <c r="C894" s="13"/>
      <c r="D894" s="14"/>
      <c r="E894" s="15"/>
      <c r="F894" s="16"/>
      <c r="G894" s="17"/>
      <c r="H894" s="18" t="n">
        <f aca="false">IF(AND(C894="Yakıt",D894&lt;&gt;""),SUMPRODUCT(MAX(($B$5:$B$1004=B894)*($C$5:$C$1004="Yakıt")*($D$5:$D$1004&lt;D894)*$D$5:$D$1004)),0)</f>
        <v>0</v>
      </c>
      <c r="I894" s="18" t="str">
        <f aca="false">IF(H894&gt;0,D894-H894,"")</f>
        <v/>
      </c>
      <c r="J894" s="19" t="str">
        <f aca="false">IF(OR(I894="",E894=""),"",E894/I894*100)</f>
        <v/>
      </c>
      <c r="K894" s="20" t="str">
        <f aca="false">IF(I894="","",F894/I894)</f>
        <v/>
      </c>
    </row>
    <row r="895" customFormat="false" ht="15" hidden="false" customHeight="false" outlineLevel="0" collapsed="false">
      <c r="A895" s="12"/>
      <c r="B895" s="13"/>
      <c r="C895" s="13"/>
      <c r="D895" s="14"/>
      <c r="E895" s="15"/>
      <c r="F895" s="16"/>
      <c r="G895" s="17"/>
      <c r="H895" s="18" t="n">
        <f aca="false">IF(AND(C895="Yakıt",D895&lt;&gt;""),SUMPRODUCT(MAX(($B$5:$B$1004=B895)*($C$5:$C$1004="Yakıt")*($D$5:$D$1004&lt;D895)*$D$5:$D$1004)),0)</f>
        <v>0</v>
      </c>
      <c r="I895" s="18" t="str">
        <f aca="false">IF(H895&gt;0,D895-H895,"")</f>
        <v/>
      </c>
      <c r="J895" s="19" t="str">
        <f aca="false">IF(OR(I895="",E895=""),"",E895/I895*100)</f>
        <v/>
      </c>
      <c r="K895" s="20" t="str">
        <f aca="false">IF(I895="","",F895/I895)</f>
        <v/>
      </c>
    </row>
    <row r="896" customFormat="false" ht="15" hidden="false" customHeight="false" outlineLevel="0" collapsed="false">
      <c r="A896" s="12"/>
      <c r="B896" s="13"/>
      <c r="C896" s="13"/>
      <c r="D896" s="14"/>
      <c r="E896" s="15"/>
      <c r="F896" s="16"/>
      <c r="G896" s="17"/>
      <c r="H896" s="18" t="n">
        <f aca="false">IF(AND(C896="Yakıt",D896&lt;&gt;""),SUMPRODUCT(MAX(($B$5:$B$1004=B896)*($C$5:$C$1004="Yakıt")*($D$5:$D$1004&lt;D896)*$D$5:$D$1004)),0)</f>
        <v>0</v>
      </c>
      <c r="I896" s="18" t="str">
        <f aca="false">IF(H896&gt;0,D896-H896,"")</f>
        <v/>
      </c>
      <c r="J896" s="19" t="str">
        <f aca="false">IF(OR(I896="",E896=""),"",E896/I896*100)</f>
        <v/>
      </c>
      <c r="K896" s="20" t="str">
        <f aca="false">IF(I896="","",F896/I896)</f>
        <v/>
      </c>
    </row>
    <row r="897" customFormat="false" ht="15" hidden="false" customHeight="false" outlineLevel="0" collapsed="false">
      <c r="A897" s="12"/>
      <c r="B897" s="13"/>
      <c r="C897" s="13"/>
      <c r="D897" s="14"/>
      <c r="E897" s="15"/>
      <c r="F897" s="16"/>
      <c r="G897" s="17"/>
      <c r="H897" s="18" t="n">
        <f aca="false">IF(AND(C897="Yakıt",D897&lt;&gt;""),SUMPRODUCT(MAX(($B$5:$B$1004=B897)*($C$5:$C$1004="Yakıt")*($D$5:$D$1004&lt;D897)*$D$5:$D$1004)),0)</f>
        <v>0</v>
      </c>
      <c r="I897" s="18" t="str">
        <f aca="false">IF(H897&gt;0,D897-H897,"")</f>
        <v/>
      </c>
      <c r="J897" s="19" t="str">
        <f aca="false">IF(OR(I897="",E897=""),"",E897/I897*100)</f>
        <v/>
      </c>
      <c r="K897" s="20" t="str">
        <f aca="false">IF(I897="","",F897/I897)</f>
        <v/>
      </c>
    </row>
    <row r="898" customFormat="false" ht="15" hidden="false" customHeight="false" outlineLevel="0" collapsed="false">
      <c r="A898" s="12"/>
      <c r="B898" s="13"/>
      <c r="C898" s="13"/>
      <c r="D898" s="14"/>
      <c r="E898" s="15"/>
      <c r="F898" s="16"/>
      <c r="G898" s="17"/>
      <c r="H898" s="18" t="n">
        <f aca="false">IF(AND(C898="Yakıt",D898&lt;&gt;""),SUMPRODUCT(MAX(($B$5:$B$1004=B898)*($C$5:$C$1004="Yakıt")*($D$5:$D$1004&lt;D898)*$D$5:$D$1004)),0)</f>
        <v>0</v>
      </c>
      <c r="I898" s="18" t="str">
        <f aca="false">IF(H898&gt;0,D898-H898,"")</f>
        <v/>
      </c>
      <c r="J898" s="19" t="str">
        <f aca="false">IF(OR(I898="",E898=""),"",E898/I898*100)</f>
        <v/>
      </c>
      <c r="K898" s="20" t="str">
        <f aca="false">IF(I898="","",F898/I898)</f>
        <v/>
      </c>
    </row>
    <row r="899" customFormat="false" ht="15" hidden="false" customHeight="false" outlineLevel="0" collapsed="false">
      <c r="A899" s="12"/>
      <c r="B899" s="13"/>
      <c r="C899" s="13"/>
      <c r="D899" s="14"/>
      <c r="E899" s="15"/>
      <c r="F899" s="16"/>
      <c r="G899" s="17"/>
      <c r="H899" s="18" t="n">
        <f aca="false">IF(AND(C899="Yakıt",D899&lt;&gt;""),SUMPRODUCT(MAX(($B$5:$B$1004=B899)*($C$5:$C$1004="Yakıt")*($D$5:$D$1004&lt;D899)*$D$5:$D$1004)),0)</f>
        <v>0</v>
      </c>
      <c r="I899" s="18" t="str">
        <f aca="false">IF(H899&gt;0,D899-H899,"")</f>
        <v/>
      </c>
      <c r="J899" s="19" t="str">
        <f aca="false">IF(OR(I899="",E899=""),"",E899/I899*100)</f>
        <v/>
      </c>
      <c r="K899" s="20" t="str">
        <f aca="false">IF(I899="","",F899/I899)</f>
        <v/>
      </c>
    </row>
    <row r="900" customFormat="false" ht="15" hidden="false" customHeight="false" outlineLevel="0" collapsed="false">
      <c r="A900" s="12"/>
      <c r="B900" s="13"/>
      <c r="C900" s="13"/>
      <c r="D900" s="14"/>
      <c r="E900" s="15"/>
      <c r="F900" s="16"/>
      <c r="G900" s="17"/>
      <c r="H900" s="18" t="n">
        <f aca="false">IF(AND(C900="Yakıt",D900&lt;&gt;""),SUMPRODUCT(MAX(($B$5:$B$1004=B900)*($C$5:$C$1004="Yakıt")*($D$5:$D$1004&lt;D900)*$D$5:$D$1004)),0)</f>
        <v>0</v>
      </c>
      <c r="I900" s="18" t="str">
        <f aca="false">IF(H900&gt;0,D900-H900,"")</f>
        <v/>
      </c>
      <c r="J900" s="19" t="str">
        <f aca="false">IF(OR(I900="",E900=""),"",E900/I900*100)</f>
        <v/>
      </c>
      <c r="K900" s="20" t="str">
        <f aca="false">IF(I900="","",F900/I900)</f>
        <v/>
      </c>
    </row>
    <row r="901" customFormat="false" ht="15" hidden="false" customHeight="false" outlineLevel="0" collapsed="false">
      <c r="A901" s="12"/>
      <c r="B901" s="13"/>
      <c r="C901" s="13"/>
      <c r="D901" s="14"/>
      <c r="E901" s="15"/>
      <c r="F901" s="16"/>
      <c r="G901" s="17"/>
      <c r="H901" s="18" t="n">
        <f aca="false">IF(AND(C901="Yakıt",D901&lt;&gt;""),SUMPRODUCT(MAX(($B$5:$B$1004=B901)*($C$5:$C$1004="Yakıt")*($D$5:$D$1004&lt;D901)*$D$5:$D$1004)),0)</f>
        <v>0</v>
      </c>
      <c r="I901" s="18" t="str">
        <f aca="false">IF(H901&gt;0,D901-H901,"")</f>
        <v/>
      </c>
      <c r="J901" s="19" t="str">
        <f aca="false">IF(OR(I901="",E901=""),"",E901/I901*100)</f>
        <v/>
      </c>
      <c r="K901" s="20" t="str">
        <f aca="false">IF(I901="","",F901/I901)</f>
        <v/>
      </c>
    </row>
    <row r="902" customFormat="false" ht="15" hidden="false" customHeight="false" outlineLevel="0" collapsed="false">
      <c r="A902" s="12"/>
      <c r="B902" s="13"/>
      <c r="C902" s="13"/>
      <c r="D902" s="14"/>
      <c r="E902" s="15"/>
      <c r="F902" s="16"/>
      <c r="G902" s="17"/>
      <c r="H902" s="18" t="n">
        <f aca="false">IF(AND(C902="Yakıt",D902&lt;&gt;""),SUMPRODUCT(MAX(($B$5:$B$1004=B902)*($C$5:$C$1004="Yakıt")*($D$5:$D$1004&lt;D902)*$D$5:$D$1004)),0)</f>
        <v>0</v>
      </c>
      <c r="I902" s="18" t="str">
        <f aca="false">IF(H902&gt;0,D902-H902,"")</f>
        <v/>
      </c>
      <c r="J902" s="19" t="str">
        <f aca="false">IF(OR(I902="",E902=""),"",E902/I902*100)</f>
        <v/>
      </c>
      <c r="K902" s="20" t="str">
        <f aca="false">IF(I902="","",F902/I902)</f>
        <v/>
      </c>
    </row>
    <row r="903" customFormat="false" ht="15" hidden="false" customHeight="false" outlineLevel="0" collapsed="false">
      <c r="A903" s="12"/>
      <c r="B903" s="13"/>
      <c r="C903" s="13"/>
      <c r="D903" s="14"/>
      <c r="E903" s="15"/>
      <c r="F903" s="16"/>
      <c r="G903" s="17"/>
      <c r="H903" s="18" t="n">
        <f aca="false">IF(AND(C903="Yakıt",D903&lt;&gt;""),SUMPRODUCT(MAX(($B$5:$B$1004=B903)*($C$5:$C$1004="Yakıt")*($D$5:$D$1004&lt;D903)*$D$5:$D$1004)),0)</f>
        <v>0</v>
      </c>
      <c r="I903" s="18" t="str">
        <f aca="false">IF(H903&gt;0,D903-H903,"")</f>
        <v/>
      </c>
      <c r="J903" s="19" t="str">
        <f aca="false">IF(OR(I903="",E903=""),"",E903/I903*100)</f>
        <v/>
      </c>
      <c r="K903" s="20" t="str">
        <f aca="false">IF(I903="","",F903/I903)</f>
        <v/>
      </c>
    </row>
    <row r="904" customFormat="false" ht="15" hidden="false" customHeight="false" outlineLevel="0" collapsed="false">
      <c r="A904" s="12"/>
      <c r="B904" s="13"/>
      <c r="C904" s="13"/>
      <c r="D904" s="14"/>
      <c r="E904" s="15"/>
      <c r="F904" s="16"/>
      <c r="G904" s="17"/>
      <c r="H904" s="18" t="n">
        <f aca="false">IF(AND(C904="Yakıt",D904&lt;&gt;""),SUMPRODUCT(MAX(($B$5:$B$1004=B904)*($C$5:$C$1004="Yakıt")*($D$5:$D$1004&lt;D904)*$D$5:$D$1004)),0)</f>
        <v>0</v>
      </c>
      <c r="I904" s="18" t="str">
        <f aca="false">IF(H904&gt;0,D904-H904,"")</f>
        <v/>
      </c>
      <c r="J904" s="19" t="str">
        <f aca="false">IF(OR(I904="",E904=""),"",E904/I904*100)</f>
        <v/>
      </c>
      <c r="K904" s="20" t="str">
        <f aca="false">IF(I904="","",F904/I904)</f>
        <v/>
      </c>
    </row>
    <row r="905" customFormat="false" ht="15" hidden="false" customHeight="false" outlineLevel="0" collapsed="false">
      <c r="A905" s="12"/>
      <c r="B905" s="13"/>
      <c r="C905" s="13"/>
      <c r="D905" s="14"/>
      <c r="E905" s="15"/>
      <c r="F905" s="16"/>
      <c r="G905" s="17"/>
      <c r="H905" s="18" t="n">
        <f aca="false">IF(AND(C905="Yakıt",D905&lt;&gt;""),SUMPRODUCT(MAX(($B$5:$B$1004=B905)*($C$5:$C$1004="Yakıt")*($D$5:$D$1004&lt;D905)*$D$5:$D$1004)),0)</f>
        <v>0</v>
      </c>
      <c r="I905" s="18" t="str">
        <f aca="false">IF(H905&gt;0,D905-H905,"")</f>
        <v/>
      </c>
      <c r="J905" s="19" t="str">
        <f aca="false">IF(OR(I905="",E905=""),"",E905/I905*100)</f>
        <v/>
      </c>
      <c r="K905" s="20" t="str">
        <f aca="false">IF(I905="","",F905/I905)</f>
        <v/>
      </c>
    </row>
    <row r="906" customFormat="false" ht="15" hidden="false" customHeight="false" outlineLevel="0" collapsed="false">
      <c r="A906" s="12"/>
      <c r="B906" s="13"/>
      <c r="C906" s="13"/>
      <c r="D906" s="14"/>
      <c r="E906" s="15"/>
      <c r="F906" s="16"/>
      <c r="G906" s="17"/>
      <c r="H906" s="18" t="n">
        <f aca="false">IF(AND(C906="Yakıt",D906&lt;&gt;""),SUMPRODUCT(MAX(($B$5:$B$1004=B906)*($C$5:$C$1004="Yakıt")*($D$5:$D$1004&lt;D906)*$D$5:$D$1004)),0)</f>
        <v>0</v>
      </c>
      <c r="I906" s="18" t="str">
        <f aca="false">IF(H906&gt;0,D906-H906,"")</f>
        <v/>
      </c>
      <c r="J906" s="19" t="str">
        <f aca="false">IF(OR(I906="",E906=""),"",E906/I906*100)</f>
        <v/>
      </c>
      <c r="K906" s="20" t="str">
        <f aca="false">IF(I906="","",F906/I906)</f>
        <v/>
      </c>
    </row>
    <row r="907" customFormat="false" ht="15" hidden="false" customHeight="false" outlineLevel="0" collapsed="false">
      <c r="A907" s="12"/>
      <c r="B907" s="13"/>
      <c r="C907" s="13"/>
      <c r="D907" s="14"/>
      <c r="E907" s="15"/>
      <c r="F907" s="16"/>
      <c r="G907" s="17"/>
      <c r="H907" s="18" t="n">
        <f aca="false">IF(AND(C907="Yakıt",D907&lt;&gt;""),SUMPRODUCT(MAX(($B$5:$B$1004=B907)*($C$5:$C$1004="Yakıt")*($D$5:$D$1004&lt;D907)*$D$5:$D$1004)),0)</f>
        <v>0</v>
      </c>
      <c r="I907" s="18" t="str">
        <f aca="false">IF(H907&gt;0,D907-H907,"")</f>
        <v/>
      </c>
      <c r="J907" s="19" t="str">
        <f aca="false">IF(OR(I907="",E907=""),"",E907/I907*100)</f>
        <v/>
      </c>
      <c r="K907" s="20" t="str">
        <f aca="false">IF(I907="","",F907/I907)</f>
        <v/>
      </c>
    </row>
    <row r="908" customFormat="false" ht="15" hidden="false" customHeight="false" outlineLevel="0" collapsed="false">
      <c r="A908" s="12"/>
      <c r="B908" s="13"/>
      <c r="C908" s="13"/>
      <c r="D908" s="14"/>
      <c r="E908" s="15"/>
      <c r="F908" s="16"/>
      <c r="G908" s="17"/>
      <c r="H908" s="18" t="n">
        <f aca="false">IF(AND(C908="Yakıt",D908&lt;&gt;""),SUMPRODUCT(MAX(($B$5:$B$1004=B908)*($C$5:$C$1004="Yakıt")*($D$5:$D$1004&lt;D908)*$D$5:$D$1004)),0)</f>
        <v>0</v>
      </c>
      <c r="I908" s="18" t="str">
        <f aca="false">IF(H908&gt;0,D908-H908,"")</f>
        <v/>
      </c>
      <c r="J908" s="19" t="str">
        <f aca="false">IF(OR(I908="",E908=""),"",E908/I908*100)</f>
        <v/>
      </c>
      <c r="K908" s="20" t="str">
        <f aca="false">IF(I908="","",F908/I908)</f>
        <v/>
      </c>
    </row>
    <row r="909" customFormat="false" ht="15" hidden="false" customHeight="false" outlineLevel="0" collapsed="false">
      <c r="A909" s="12"/>
      <c r="B909" s="13"/>
      <c r="C909" s="13"/>
      <c r="D909" s="14"/>
      <c r="E909" s="15"/>
      <c r="F909" s="16"/>
      <c r="G909" s="17"/>
      <c r="H909" s="18" t="n">
        <f aca="false">IF(AND(C909="Yakıt",D909&lt;&gt;""),SUMPRODUCT(MAX(($B$5:$B$1004=B909)*($C$5:$C$1004="Yakıt")*($D$5:$D$1004&lt;D909)*$D$5:$D$1004)),0)</f>
        <v>0</v>
      </c>
      <c r="I909" s="18" t="str">
        <f aca="false">IF(H909&gt;0,D909-H909,"")</f>
        <v/>
      </c>
      <c r="J909" s="19" t="str">
        <f aca="false">IF(OR(I909="",E909=""),"",E909/I909*100)</f>
        <v/>
      </c>
      <c r="K909" s="20" t="str">
        <f aca="false">IF(I909="","",F909/I909)</f>
        <v/>
      </c>
    </row>
    <row r="910" customFormat="false" ht="15" hidden="false" customHeight="false" outlineLevel="0" collapsed="false">
      <c r="A910" s="12"/>
      <c r="B910" s="13"/>
      <c r="C910" s="13"/>
      <c r="D910" s="14"/>
      <c r="E910" s="15"/>
      <c r="F910" s="16"/>
      <c r="G910" s="17"/>
      <c r="H910" s="18" t="n">
        <f aca="false">IF(AND(C910="Yakıt",D910&lt;&gt;""),SUMPRODUCT(MAX(($B$5:$B$1004=B910)*($C$5:$C$1004="Yakıt")*($D$5:$D$1004&lt;D910)*$D$5:$D$1004)),0)</f>
        <v>0</v>
      </c>
      <c r="I910" s="18" t="str">
        <f aca="false">IF(H910&gt;0,D910-H910,"")</f>
        <v/>
      </c>
      <c r="J910" s="19" t="str">
        <f aca="false">IF(OR(I910="",E910=""),"",E910/I910*100)</f>
        <v/>
      </c>
      <c r="K910" s="20" t="str">
        <f aca="false">IF(I910="","",F910/I910)</f>
        <v/>
      </c>
    </row>
    <row r="911" customFormat="false" ht="15" hidden="false" customHeight="false" outlineLevel="0" collapsed="false">
      <c r="A911" s="12"/>
      <c r="B911" s="13"/>
      <c r="C911" s="13"/>
      <c r="D911" s="14"/>
      <c r="E911" s="15"/>
      <c r="F911" s="16"/>
      <c r="G911" s="17"/>
      <c r="H911" s="18" t="n">
        <f aca="false">IF(AND(C911="Yakıt",D911&lt;&gt;""),SUMPRODUCT(MAX(($B$5:$B$1004=B911)*($C$5:$C$1004="Yakıt")*($D$5:$D$1004&lt;D911)*$D$5:$D$1004)),0)</f>
        <v>0</v>
      </c>
      <c r="I911" s="18" t="str">
        <f aca="false">IF(H911&gt;0,D911-H911,"")</f>
        <v/>
      </c>
      <c r="J911" s="19" t="str">
        <f aca="false">IF(OR(I911="",E911=""),"",E911/I911*100)</f>
        <v/>
      </c>
      <c r="K911" s="20" t="str">
        <f aca="false">IF(I911="","",F911/I911)</f>
        <v/>
      </c>
    </row>
    <row r="912" customFormat="false" ht="15" hidden="false" customHeight="false" outlineLevel="0" collapsed="false">
      <c r="A912" s="12"/>
      <c r="B912" s="13"/>
      <c r="C912" s="13"/>
      <c r="D912" s="14"/>
      <c r="E912" s="15"/>
      <c r="F912" s="16"/>
      <c r="G912" s="17"/>
      <c r="H912" s="18" t="n">
        <f aca="false">IF(AND(C912="Yakıt",D912&lt;&gt;""),SUMPRODUCT(MAX(($B$5:$B$1004=B912)*($C$5:$C$1004="Yakıt")*($D$5:$D$1004&lt;D912)*$D$5:$D$1004)),0)</f>
        <v>0</v>
      </c>
      <c r="I912" s="18" t="str">
        <f aca="false">IF(H912&gt;0,D912-H912,"")</f>
        <v/>
      </c>
      <c r="J912" s="19" t="str">
        <f aca="false">IF(OR(I912="",E912=""),"",E912/I912*100)</f>
        <v/>
      </c>
      <c r="K912" s="20" t="str">
        <f aca="false">IF(I912="","",F912/I912)</f>
        <v/>
      </c>
    </row>
    <row r="913" customFormat="false" ht="15" hidden="false" customHeight="false" outlineLevel="0" collapsed="false">
      <c r="A913" s="12"/>
      <c r="B913" s="13"/>
      <c r="C913" s="13"/>
      <c r="D913" s="14"/>
      <c r="E913" s="15"/>
      <c r="F913" s="16"/>
      <c r="G913" s="17"/>
      <c r="H913" s="18" t="n">
        <f aca="false">IF(AND(C913="Yakıt",D913&lt;&gt;""),SUMPRODUCT(MAX(($B$5:$B$1004=B913)*($C$5:$C$1004="Yakıt")*($D$5:$D$1004&lt;D913)*$D$5:$D$1004)),0)</f>
        <v>0</v>
      </c>
      <c r="I913" s="18" t="str">
        <f aca="false">IF(H913&gt;0,D913-H913,"")</f>
        <v/>
      </c>
      <c r="J913" s="19" t="str">
        <f aca="false">IF(OR(I913="",E913=""),"",E913/I913*100)</f>
        <v/>
      </c>
      <c r="K913" s="20" t="str">
        <f aca="false">IF(I913="","",F913/I913)</f>
        <v/>
      </c>
    </row>
    <row r="914" customFormat="false" ht="15" hidden="false" customHeight="false" outlineLevel="0" collapsed="false">
      <c r="A914" s="12"/>
      <c r="B914" s="13"/>
      <c r="C914" s="13"/>
      <c r="D914" s="14"/>
      <c r="E914" s="15"/>
      <c r="F914" s="16"/>
      <c r="G914" s="17"/>
      <c r="H914" s="18" t="n">
        <f aca="false">IF(AND(C914="Yakıt",D914&lt;&gt;""),SUMPRODUCT(MAX(($B$5:$B$1004=B914)*($C$5:$C$1004="Yakıt")*($D$5:$D$1004&lt;D914)*$D$5:$D$1004)),0)</f>
        <v>0</v>
      </c>
      <c r="I914" s="18" t="str">
        <f aca="false">IF(H914&gt;0,D914-H914,"")</f>
        <v/>
      </c>
      <c r="J914" s="19" t="str">
        <f aca="false">IF(OR(I914="",E914=""),"",E914/I914*100)</f>
        <v/>
      </c>
      <c r="K914" s="20" t="str">
        <f aca="false">IF(I914="","",F914/I914)</f>
        <v/>
      </c>
    </row>
    <row r="915" customFormat="false" ht="15" hidden="false" customHeight="false" outlineLevel="0" collapsed="false">
      <c r="A915" s="12"/>
      <c r="B915" s="13"/>
      <c r="C915" s="13"/>
      <c r="D915" s="14"/>
      <c r="E915" s="15"/>
      <c r="F915" s="16"/>
      <c r="G915" s="17"/>
      <c r="H915" s="18" t="n">
        <f aca="false">IF(AND(C915="Yakıt",D915&lt;&gt;""),SUMPRODUCT(MAX(($B$5:$B$1004=B915)*($C$5:$C$1004="Yakıt")*($D$5:$D$1004&lt;D915)*$D$5:$D$1004)),0)</f>
        <v>0</v>
      </c>
      <c r="I915" s="18" t="str">
        <f aca="false">IF(H915&gt;0,D915-H915,"")</f>
        <v/>
      </c>
      <c r="J915" s="19" t="str">
        <f aca="false">IF(OR(I915="",E915=""),"",E915/I915*100)</f>
        <v/>
      </c>
      <c r="K915" s="20" t="str">
        <f aca="false">IF(I915="","",F915/I915)</f>
        <v/>
      </c>
    </row>
    <row r="916" customFormat="false" ht="15" hidden="false" customHeight="false" outlineLevel="0" collapsed="false">
      <c r="A916" s="12"/>
      <c r="B916" s="13"/>
      <c r="C916" s="13"/>
      <c r="D916" s="14"/>
      <c r="E916" s="15"/>
      <c r="F916" s="16"/>
      <c r="G916" s="17"/>
      <c r="H916" s="18" t="n">
        <f aca="false">IF(AND(C916="Yakıt",D916&lt;&gt;""),SUMPRODUCT(MAX(($B$5:$B$1004=B916)*($C$5:$C$1004="Yakıt")*($D$5:$D$1004&lt;D916)*$D$5:$D$1004)),0)</f>
        <v>0</v>
      </c>
      <c r="I916" s="18" t="str">
        <f aca="false">IF(H916&gt;0,D916-H916,"")</f>
        <v/>
      </c>
      <c r="J916" s="19" t="str">
        <f aca="false">IF(OR(I916="",E916=""),"",E916/I916*100)</f>
        <v/>
      </c>
      <c r="K916" s="20" t="str">
        <f aca="false">IF(I916="","",F916/I916)</f>
        <v/>
      </c>
    </row>
    <row r="917" customFormat="false" ht="15" hidden="false" customHeight="false" outlineLevel="0" collapsed="false">
      <c r="A917" s="12"/>
      <c r="B917" s="13"/>
      <c r="C917" s="13"/>
      <c r="D917" s="14"/>
      <c r="E917" s="15"/>
      <c r="F917" s="16"/>
      <c r="G917" s="17"/>
      <c r="H917" s="18" t="n">
        <f aca="false">IF(AND(C917="Yakıt",D917&lt;&gt;""),SUMPRODUCT(MAX(($B$5:$B$1004=B917)*($C$5:$C$1004="Yakıt")*($D$5:$D$1004&lt;D917)*$D$5:$D$1004)),0)</f>
        <v>0</v>
      </c>
      <c r="I917" s="18" t="str">
        <f aca="false">IF(H917&gt;0,D917-H917,"")</f>
        <v/>
      </c>
      <c r="J917" s="19" t="str">
        <f aca="false">IF(OR(I917="",E917=""),"",E917/I917*100)</f>
        <v/>
      </c>
      <c r="K917" s="20" t="str">
        <f aca="false">IF(I917="","",F917/I917)</f>
        <v/>
      </c>
    </row>
    <row r="918" customFormat="false" ht="15" hidden="false" customHeight="false" outlineLevel="0" collapsed="false">
      <c r="A918" s="12"/>
      <c r="B918" s="13"/>
      <c r="C918" s="13"/>
      <c r="D918" s="14"/>
      <c r="E918" s="15"/>
      <c r="F918" s="16"/>
      <c r="G918" s="17"/>
      <c r="H918" s="18" t="n">
        <f aca="false">IF(AND(C918="Yakıt",D918&lt;&gt;""),SUMPRODUCT(MAX(($B$5:$B$1004=B918)*($C$5:$C$1004="Yakıt")*($D$5:$D$1004&lt;D918)*$D$5:$D$1004)),0)</f>
        <v>0</v>
      </c>
      <c r="I918" s="18" t="str">
        <f aca="false">IF(H918&gt;0,D918-H918,"")</f>
        <v/>
      </c>
      <c r="J918" s="19" t="str">
        <f aca="false">IF(OR(I918="",E918=""),"",E918/I918*100)</f>
        <v/>
      </c>
      <c r="K918" s="20" t="str">
        <f aca="false">IF(I918="","",F918/I918)</f>
        <v/>
      </c>
    </row>
    <row r="919" customFormat="false" ht="15" hidden="false" customHeight="false" outlineLevel="0" collapsed="false">
      <c r="A919" s="12"/>
      <c r="B919" s="13"/>
      <c r="C919" s="13"/>
      <c r="D919" s="14"/>
      <c r="E919" s="15"/>
      <c r="F919" s="16"/>
      <c r="G919" s="17"/>
      <c r="H919" s="18" t="n">
        <f aca="false">IF(AND(C919="Yakıt",D919&lt;&gt;""),SUMPRODUCT(MAX(($B$5:$B$1004=B919)*($C$5:$C$1004="Yakıt")*($D$5:$D$1004&lt;D919)*$D$5:$D$1004)),0)</f>
        <v>0</v>
      </c>
      <c r="I919" s="18" t="str">
        <f aca="false">IF(H919&gt;0,D919-H919,"")</f>
        <v/>
      </c>
      <c r="J919" s="19" t="str">
        <f aca="false">IF(OR(I919="",E919=""),"",E919/I919*100)</f>
        <v/>
      </c>
      <c r="K919" s="20" t="str">
        <f aca="false">IF(I919="","",F919/I919)</f>
        <v/>
      </c>
    </row>
    <row r="920" customFormat="false" ht="15" hidden="false" customHeight="false" outlineLevel="0" collapsed="false">
      <c r="A920" s="12"/>
      <c r="B920" s="13"/>
      <c r="C920" s="13"/>
      <c r="D920" s="14"/>
      <c r="E920" s="15"/>
      <c r="F920" s="16"/>
      <c r="G920" s="17"/>
      <c r="H920" s="18" t="n">
        <f aca="false">IF(AND(C920="Yakıt",D920&lt;&gt;""),SUMPRODUCT(MAX(($B$5:$B$1004=B920)*($C$5:$C$1004="Yakıt")*($D$5:$D$1004&lt;D920)*$D$5:$D$1004)),0)</f>
        <v>0</v>
      </c>
      <c r="I920" s="18" t="str">
        <f aca="false">IF(H920&gt;0,D920-H920,"")</f>
        <v/>
      </c>
      <c r="J920" s="19" t="str">
        <f aca="false">IF(OR(I920="",E920=""),"",E920/I920*100)</f>
        <v/>
      </c>
      <c r="K920" s="20" t="str">
        <f aca="false">IF(I920="","",F920/I920)</f>
        <v/>
      </c>
    </row>
    <row r="921" customFormat="false" ht="15" hidden="false" customHeight="false" outlineLevel="0" collapsed="false">
      <c r="A921" s="12"/>
      <c r="B921" s="13"/>
      <c r="C921" s="13"/>
      <c r="D921" s="14"/>
      <c r="E921" s="15"/>
      <c r="F921" s="16"/>
      <c r="G921" s="17"/>
      <c r="H921" s="18" t="n">
        <f aca="false">IF(AND(C921="Yakıt",D921&lt;&gt;""),SUMPRODUCT(MAX(($B$5:$B$1004=B921)*($C$5:$C$1004="Yakıt")*($D$5:$D$1004&lt;D921)*$D$5:$D$1004)),0)</f>
        <v>0</v>
      </c>
      <c r="I921" s="18" t="str">
        <f aca="false">IF(H921&gt;0,D921-H921,"")</f>
        <v/>
      </c>
      <c r="J921" s="19" t="str">
        <f aca="false">IF(OR(I921="",E921=""),"",E921/I921*100)</f>
        <v/>
      </c>
      <c r="K921" s="20" t="str">
        <f aca="false">IF(I921="","",F921/I921)</f>
        <v/>
      </c>
    </row>
    <row r="922" customFormat="false" ht="15" hidden="false" customHeight="false" outlineLevel="0" collapsed="false">
      <c r="A922" s="12"/>
      <c r="B922" s="13"/>
      <c r="C922" s="13"/>
      <c r="D922" s="14"/>
      <c r="E922" s="15"/>
      <c r="F922" s="16"/>
      <c r="G922" s="17"/>
      <c r="H922" s="18" t="n">
        <f aca="false">IF(AND(C922="Yakıt",D922&lt;&gt;""),SUMPRODUCT(MAX(($B$5:$B$1004=B922)*($C$5:$C$1004="Yakıt")*($D$5:$D$1004&lt;D922)*$D$5:$D$1004)),0)</f>
        <v>0</v>
      </c>
      <c r="I922" s="18" t="str">
        <f aca="false">IF(H922&gt;0,D922-H922,"")</f>
        <v/>
      </c>
      <c r="J922" s="19" t="str">
        <f aca="false">IF(OR(I922="",E922=""),"",E922/I922*100)</f>
        <v/>
      </c>
      <c r="K922" s="20" t="str">
        <f aca="false">IF(I922="","",F922/I922)</f>
        <v/>
      </c>
    </row>
    <row r="923" customFormat="false" ht="15" hidden="false" customHeight="false" outlineLevel="0" collapsed="false">
      <c r="A923" s="12"/>
      <c r="B923" s="13"/>
      <c r="C923" s="13"/>
      <c r="D923" s="14"/>
      <c r="E923" s="15"/>
      <c r="F923" s="16"/>
      <c r="G923" s="17"/>
      <c r="H923" s="18" t="n">
        <f aca="false">IF(AND(C923="Yakıt",D923&lt;&gt;""),SUMPRODUCT(MAX(($B$5:$B$1004=B923)*($C$5:$C$1004="Yakıt")*($D$5:$D$1004&lt;D923)*$D$5:$D$1004)),0)</f>
        <v>0</v>
      </c>
      <c r="I923" s="18" t="str">
        <f aca="false">IF(H923&gt;0,D923-H923,"")</f>
        <v/>
      </c>
      <c r="J923" s="19" t="str">
        <f aca="false">IF(OR(I923="",E923=""),"",E923/I923*100)</f>
        <v/>
      </c>
      <c r="K923" s="20" t="str">
        <f aca="false">IF(I923="","",F923/I923)</f>
        <v/>
      </c>
    </row>
    <row r="924" customFormat="false" ht="15" hidden="false" customHeight="false" outlineLevel="0" collapsed="false">
      <c r="A924" s="12"/>
      <c r="B924" s="13"/>
      <c r="C924" s="13"/>
      <c r="D924" s="14"/>
      <c r="E924" s="15"/>
      <c r="F924" s="16"/>
      <c r="G924" s="17"/>
      <c r="H924" s="18" t="n">
        <f aca="false">IF(AND(C924="Yakıt",D924&lt;&gt;""),SUMPRODUCT(MAX(($B$5:$B$1004=B924)*($C$5:$C$1004="Yakıt")*($D$5:$D$1004&lt;D924)*$D$5:$D$1004)),0)</f>
        <v>0</v>
      </c>
      <c r="I924" s="18" t="str">
        <f aca="false">IF(H924&gt;0,D924-H924,"")</f>
        <v/>
      </c>
      <c r="J924" s="19" t="str">
        <f aca="false">IF(OR(I924="",E924=""),"",E924/I924*100)</f>
        <v/>
      </c>
      <c r="K924" s="20" t="str">
        <f aca="false">IF(I924="","",F924/I924)</f>
        <v/>
      </c>
    </row>
    <row r="925" customFormat="false" ht="15" hidden="false" customHeight="false" outlineLevel="0" collapsed="false">
      <c r="A925" s="12"/>
      <c r="B925" s="13"/>
      <c r="C925" s="13"/>
      <c r="D925" s="14"/>
      <c r="E925" s="15"/>
      <c r="F925" s="16"/>
      <c r="G925" s="17"/>
      <c r="H925" s="18" t="n">
        <f aca="false">IF(AND(C925="Yakıt",D925&lt;&gt;""),SUMPRODUCT(MAX(($B$5:$B$1004=B925)*($C$5:$C$1004="Yakıt")*($D$5:$D$1004&lt;D925)*$D$5:$D$1004)),0)</f>
        <v>0</v>
      </c>
      <c r="I925" s="18" t="str">
        <f aca="false">IF(H925&gt;0,D925-H925,"")</f>
        <v/>
      </c>
      <c r="J925" s="19" t="str">
        <f aca="false">IF(OR(I925="",E925=""),"",E925/I925*100)</f>
        <v/>
      </c>
      <c r="K925" s="20" t="str">
        <f aca="false">IF(I925="","",F925/I925)</f>
        <v/>
      </c>
    </row>
    <row r="926" customFormat="false" ht="15" hidden="false" customHeight="false" outlineLevel="0" collapsed="false">
      <c r="A926" s="12"/>
      <c r="B926" s="13"/>
      <c r="C926" s="13"/>
      <c r="D926" s="14"/>
      <c r="E926" s="15"/>
      <c r="F926" s="16"/>
      <c r="G926" s="17"/>
      <c r="H926" s="18" t="n">
        <f aca="false">IF(AND(C926="Yakıt",D926&lt;&gt;""),SUMPRODUCT(MAX(($B$5:$B$1004=B926)*($C$5:$C$1004="Yakıt")*($D$5:$D$1004&lt;D926)*$D$5:$D$1004)),0)</f>
        <v>0</v>
      </c>
      <c r="I926" s="18" t="str">
        <f aca="false">IF(H926&gt;0,D926-H926,"")</f>
        <v/>
      </c>
      <c r="J926" s="19" t="str">
        <f aca="false">IF(OR(I926="",E926=""),"",E926/I926*100)</f>
        <v/>
      </c>
      <c r="K926" s="20" t="str">
        <f aca="false">IF(I926="","",F926/I926)</f>
        <v/>
      </c>
    </row>
    <row r="927" customFormat="false" ht="15" hidden="false" customHeight="false" outlineLevel="0" collapsed="false">
      <c r="A927" s="12"/>
      <c r="B927" s="13"/>
      <c r="C927" s="13"/>
      <c r="D927" s="14"/>
      <c r="E927" s="15"/>
      <c r="F927" s="16"/>
      <c r="G927" s="17"/>
      <c r="H927" s="18" t="n">
        <f aca="false">IF(AND(C927="Yakıt",D927&lt;&gt;""),SUMPRODUCT(MAX(($B$5:$B$1004=B927)*($C$5:$C$1004="Yakıt")*($D$5:$D$1004&lt;D927)*$D$5:$D$1004)),0)</f>
        <v>0</v>
      </c>
      <c r="I927" s="18" t="str">
        <f aca="false">IF(H927&gt;0,D927-H927,"")</f>
        <v/>
      </c>
      <c r="J927" s="19" t="str">
        <f aca="false">IF(OR(I927="",E927=""),"",E927/I927*100)</f>
        <v/>
      </c>
      <c r="K927" s="20" t="str">
        <f aca="false">IF(I927="","",F927/I927)</f>
        <v/>
      </c>
    </row>
    <row r="928" customFormat="false" ht="15" hidden="false" customHeight="false" outlineLevel="0" collapsed="false">
      <c r="A928" s="12"/>
      <c r="B928" s="13"/>
      <c r="C928" s="13"/>
      <c r="D928" s="14"/>
      <c r="E928" s="15"/>
      <c r="F928" s="16"/>
      <c r="G928" s="17"/>
      <c r="H928" s="18" t="n">
        <f aca="false">IF(AND(C928="Yakıt",D928&lt;&gt;""),SUMPRODUCT(MAX(($B$5:$B$1004=B928)*($C$5:$C$1004="Yakıt")*($D$5:$D$1004&lt;D928)*$D$5:$D$1004)),0)</f>
        <v>0</v>
      </c>
      <c r="I928" s="18" t="str">
        <f aca="false">IF(H928&gt;0,D928-H928,"")</f>
        <v/>
      </c>
      <c r="J928" s="19" t="str">
        <f aca="false">IF(OR(I928="",E928=""),"",E928/I928*100)</f>
        <v/>
      </c>
      <c r="K928" s="20" t="str">
        <f aca="false">IF(I928="","",F928/I928)</f>
        <v/>
      </c>
    </row>
    <row r="929" customFormat="false" ht="15" hidden="false" customHeight="false" outlineLevel="0" collapsed="false">
      <c r="A929" s="12"/>
      <c r="B929" s="13"/>
      <c r="C929" s="13"/>
      <c r="D929" s="14"/>
      <c r="E929" s="15"/>
      <c r="F929" s="16"/>
      <c r="G929" s="17"/>
      <c r="H929" s="18" t="n">
        <f aca="false">IF(AND(C929="Yakıt",D929&lt;&gt;""),SUMPRODUCT(MAX(($B$5:$B$1004=B929)*($C$5:$C$1004="Yakıt")*($D$5:$D$1004&lt;D929)*$D$5:$D$1004)),0)</f>
        <v>0</v>
      </c>
      <c r="I929" s="18" t="str">
        <f aca="false">IF(H929&gt;0,D929-H929,"")</f>
        <v/>
      </c>
      <c r="J929" s="19" t="str">
        <f aca="false">IF(OR(I929="",E929=""),"",E929/I929*100)</f>
        <v/>
      </c>
      <c r="K929" s="20" t="str">
        <f aca="false">IF(I929="","",F929/I929)</f>
        <v/>
      </c>
    </row>
    <row r="930" customFormat="false" ht="15" hidden="false" customHeight="false" outlineLevel="0" collapsed="false">
      <c r="A930" s="12"/>
      <c r="B930" s="13"/>
      <c r="C930" s="13"/>
      <c r="D930" s="14"/>
      <c r="E930" s="15"/>
      <c r="F930" s="16"/>
      <c r="G930" s="17"/>
      <c r="H930" s="18" t="n">
        <f aca="false">IF(AND(C930="Yakıt",D930&lt;&gt;""),SUMPRODUCT(MAX(($B$5:$B$1004=B930)*($C$5:$C$1004="Yakıt")*($D$5:$D$1004&lt;D930)*$D$5:$D$1004)),0)</f>
        <v>0</v>
      </c>
      <c r="I930" s="18" t="str">
        <f aca="false">IF(H930&gt;0,D930-H930,"")</f>
        <v/>
      </c>
      <c r="J930" s="19" t="str">
        <f aca="false">IF(OR(I930="",E930=""),"",E930/I930*100)</f>
        <v/>
      </c>
      <c r="K930" s="20" t="str">
        <f aca="false">IF(I930="","",F930/I930)</f>
        <v/>
      </c>
    </row>
    <row r="931" customFormat="false" ht="15" hidden="false" customHeight="false" outlineLevel="0" collapsed="false">
      <c r="A931" s="12"/>
      <c r="B931" s="13"/>
      <c r="C931" s="13"/>
      <c r="D931" s="14"/>
      <c r="E931" s="15"/>
      <c r="F931" s="16"/>
      <c r="G931" s="17"/>
      <c r="H931" s="18" t="n">
        <f aca="false">IF(AND(C931="Yakıt",D931&lt;&gt;""),SUMPRODUCT(MAX(($B$5:$B$1004=B931)*($C$5:$C$1004="Yakıt")*($D$5:$D$1004&lt;D931)*$D$5:$D$1004)),0)</f>
        <v>0</v>
      </c>
      <c r="I931" s="18" t="str">
        <f aca="false">IF(H931&gt;0,D931-H931,"")</f>
        <v/>
      </c>
      <c r="J931" s="19" t="str">
        <f aca="false">IF(OR(I931="",E931=""),"",E931/I931*100)</f>
        <v/>
      </c>
      <c r="K931" s="20" t="str">
        <f aca="false">IF(I931="","",F931/I931)</f>
        <v/>
      </c>
    </row>
    <row r="932" customFormat="false" ht="15" hidden="false" customHeight="false" outlineLevel="0" collapsed="false">
      <c r="A932" s="12"/>
      <c r="B932" s="13"/>
      <c r="C932" s="13"/>
      <c r="D932" s="14"/>
      <c r="E932" s="15"/>
      <c r="F932" s="16"/>
      <c r="G932" s="17"/>
      <c r="H932" s="18" t="n">
        <f aca="false">IF(AND(C932="Yakıt",D932&lt;&gt;""),SUMPRODUCT(MAX(($B$5:$B$1004=B932)*($C$5:$C$1004="Yakıt")*($D$5:$D$1004&lt;D932)*$D$5:$D$1004)),0)</f>
        <v>0</v>
      </c>
      <c r="I932" s="18" t="str">
        <f aca="false">IF(H932&gt;0,D932-H932,"")</f>
        <v/>
      </c>
      <c r="J932" s="19" t="str">
        <f aca="false">IF(OR(I932="",E932=""),"",E932/I932*100)</f>
        <v/>
      </c>
      <c r="K932" s="20" t="str">
        <f aca="false">IF(I932="","",F932/I932)</f>
        <v/>
      </c>
    </row>
    <row r="933" customFormat="false" ht="15" hidden="false" customHeight="false" outlineLevel="0" collapsed="false">
      <c r="A933" s="12"/>
      <c r="B933" s="13"/>
      <c r="C933" s="13"/>
      <c r="D933" s="14"/>
      <c r="E933" s="15"/>
      <c r="F933" s="16"/>
      <c r="G933" s="17"/>
      <c r="H933" s="18" t="n">
        <f aca="false">IF(AND(C933="Yakıt",D933&lt;&gt;""),SUMPRODUCT(MAX(($B$5:$B$1004=B933)*($C$5:$C$1004="Yakıt")*($D$5:$D$1004&lt;D933)*$D$5:$D$1004)),0)</f>
        <v>0</v>
      </c>
      <c r="I933" s="18" t="str">
        <f aca="false">IF(H933&gt;0,D933-H933,"")</f>
        <v/>
      </c>
      <c r="J933" s="19" t="str">
        <f aca="false">IF(OR(I933="",E933=""),"",E933/I933*100)</f>
        <v/>
      </c>
      <c r="K933" s="20" t="str">
        <f aca="false">IF(I933="","",F933/I933)</f>
        <v/>
      </c>
    </row>
    <row r="934" customFormat="false" ht="15" hidden="false" customHeight="false" outlineLevel="0" collapsed="false">
      <c r="A934" s="12"/>
      <c r="B934" s="13"/>
      <c r="C934" s="13"/>
      <c r="D934" s="14"/>
      <c r="E934" s="15"/>
      <c r="F934" s="16"/>
      <c r="G934" s="17"/>
      <c r="H934" s="18" t="n">
        <f aca="false">IF(AND(C934="Yakıt",D934&lt;&gt;""),SUMPRODUCT(MAX(($B$5:$B$1004=B934)*($C$5:$C$1004="Yakıt")*($D$5:$D$1004&lt;D934)*$D$5:$D$1004)),0)</f>
        <v>0</v>
      </c>
      <c r="I934" s="18" t="str">
        <f aca="false">IF(H934&gt;0,D934-H934,"")</f>
        <v/>
      </c>
      <c r="J934" s="19" t="str">
        <f aca="false">IF(OR(I934="",E934=""),"",E934/I934*100)</f>
        <v/>
      </c>
      <c r="K934" s="20" t="str">
        <f aca="false">IF(I934="","",F934/I934)</f>
        <v/>
      </c>
    </row>
    <row r="935" customFormat="false" ht="15" hidden="false" customHeight="false" outlineLevel="0" collapsed="false">
      <c r="A935" s="12"/>
      <c r="B935" s="13"/>
      <c r="C935" s="13"/>
      <c r="D935" s="14"/>
      <c r="E935" s="15"/>
      <c r="F935" s="16"/>
      <c r="G935" s="17"/>
      <c r="H935" s="18" t="n">
        <f aca="false">IF(AND(C935="Yakıt",D935&lt;&gt;""),SUMPRODUCT(MAX(($B$5:$B$1004=B935)*($C$5:$C$1004="Yakıt")*($D$5:$D$1004&lt;D935)*$D$5:$D$1004)),0)</f>
        <v>0</v>
      </c>
      <c r="I935" s="18" t="str">
        <f aca="false">IF(H935&gt;0,D935-H935,"")</f>
        <v/>
      </c>
      <c r="J935" s="19" t="str">
        <f aca="false">IF(OR(I935="",E935=""),"",E935/I935*100)</f>
        <v/>
      </c>
      <c r="K935" s="20" t="str">
        <f aca="false">IF(I935="","",F935/I935)</f>
        <v/>
      </c>
    </row>
    <row r="936" customFormat="false" ht="15" hidden="false" customHeight="false" outlineLevel="0" collapsed="false">
      <c r="A936" s="12"/>
      <c r="B936" s="13"/>
      <c r="C936" s="13"/>
      <c r="D936" s="14"/>
      <c r="E936" s="15"/>
      <c r="F936" s="16"/>
      <c r="G936" s="17"/>
      <c r="H936" s="18" t="n">
        <f aca="false">IF(AND(C936="Yakıt",D936&lt;&gt;""),SUMPRODUCT(MAX(($B$5:$B$1004=B936)*($C$5:$C$1004="Yakıt")*($D$5:$D$1004&lt;D936)*$D$5:$D$1004)),0)</f>
        <v>0</v>
      </c>
      <c r="I936" s="18" t="str">
        <f aca="false">IF(H936&gt;0,D936-H936,"")</f>
        <v/>
      </c>
      <c r="J936" s="19" t="str">
        <f aca="false">IF(OR(I936="",E936=""),"",E936/I936*100)</f>
        <v/>
      </c>
      <c r="K936" s="20" t="str">
        <f aca="false">IF(I936="","",F936/I936)</f>
        <v/>
      </c>
    </row>
    <row r="937" customFormat="false" ht="15" hidden="false" customHeight="false" outlineLevel="0" collapsed="false">
      <c r="A937" s="12"/>
      <c r="B937" s="13"/>
      <c r="C937" s="13"/>
      <c r="D937" s="14"/>
      <c r="E937" s="15"/>
      <c r="F937" s="16"/>
      <c r="G937" s="17"/>
      <c r="H937" s="18" t="n">
        <f aca="false">IF(AND(C937="Yakıt",D937&lt;&gt;""),SUMPRODUCT(MAX(($B$5:$B$1004=B937)*($C$5:$C$1004="Yakıt")*($D$5:$D$1004&lt;D937)*$D$5:$D$1004)),0)</f>
        <v>0</v>
      </c>
      <c r="I937" s="18" t="str">
        <f aca="false">IF(H937&gt;0,D937-H937,"")</f>
        <v/>
      </c>
      <c r="J937" s="19" t="str">
        <f aca="false">IF(OR(I937="",E937=""),"",E937/I937*100)</f>
        <v/>
      </c>
      <c r="K937" s="20" t="str">
        <f aca="false">IF(I937="","",F937/I937)</f>
        <v/>
      </c>
    </row>
    <row r="938" customFormat="false" ht="15" hidden="false" customHeight="false" outlineLevel="0" collapsed="false">
      <c r="A938" s="12"/>
      <c r="B938" s="13"/>
      <c r="C938" s="13"/>
      <c r="D938" s="14"/>
      <c r="E938" s="15"/>
      <c r="F938" s="16"/>
      <c r="G938" s="17"/>
      <c r="H938" s="18" t="n">
        <f aca="false">IF(AND(C938="Yakıt",D938&lt;&gt;""),SUMPRODUCT(MAX(($B$5:$B$1004=B938)*($C$5:$C$1004="Yakıt")*($D$5:$D$1004&lt;D938)*$D$5:$D$1004)),0)</f>
        <v>0</v>
      </c>
      <c r="I938" s="18" t="str">
        <f aca="false">IF(H938&gt;0,D938-H938,"")</f>
        <v/>
      </c>
      <c r="J938" s="19" t="str">
        <f aca="false">IF(OR(I938="",E938=""),"",E938/I938*100)</f>
        <v/>
      </c>
      <c r="K938" s="20" t="str">
        <f aca="false">IF(I938="","",F938/I938)</f>
        <v/>
      </c>
    </row>
    <row r="939" customFormat="false" ht="15" hidden="false" customHeight="false" outlineLevel="0" collapsed="false">
      <c r="A939" s="12"/>
      <c r="B939" s="13"/>
      <c r="C939" s="13"/>
      <c r="D939" s="14"/>
      <c r="E939" s="15"/>
      <c r="F939" s="16"/>
      <c r="G939" s="17"/>
      <c r="H939" s="18" t="n">
        <f aca="false">IF(AND(C939="Yakıt",D939&lt;&gt;""),SUMPRODUCT(MAX(($B$5:$B$1004=B939)*($C$5:$C$1004="Yakıt")*($D$5:$D$1004&lt;D939)*$D$5:$D$1004)),0)</f>
        <v>0</v>
      </c>
      <c r="I939" s="18" t="str">
        <f aca="false">IF(H939&gt;0,D939-H939,"")</f>
        <v/>
      </c>
      <c r="J939" s="19" t="str">
        <f aca="false">IF(OR(I939="",E939=""),"",E939/I939*100)</f>
        <v/>
      </c>
      <c r="K939" s="20" t="str">
        <f aca="false">IF(I939="","",F939/I939)</f>
        <v/>
      </c>
    </row>
    <row r="940" customFormat="false" ht="15" hidden="false" customHeight="false" outlineLevel="0" collapsed="false">
      <c r="A940" s="12"/>
      <c r="B940" s="13"/>
      <c r="C940" s="13"/>
      <c r="D940" s="14"/>
      <c r="E940" s="15"/>
      <c r="F940" s="16"/>
      <c r="G940" s="17"/>
      <c r="H940" s="18" t="n">
        <f aca="false">IF(AND(C940="Yakıt",D940&lt;&gt;""),SUMPRODUCT(MAX(($B$5:$B$1004=B940)*($C$5:$C$1004="Yakıt")*($D$5:$D$1004&lt;D940)*$D$5:$D$1004)),0)</f>
        <v>0</v>
      </c>
      <c r="I940" s="18" t="str">
        <f aca="false">IF(H940&gt;0,D940-H940,"")</f>
        <v/>
      </c>
      <c r="J940" s="19" t="str">
        <f aca="false">IF(OR(I940="",E940=""),"",E940/I940*100)</f>
        <v/>
      </c>
      <c r="K940" s="20" t="str">
        <f aca="false">IF(I940="","",F940/I940)</f>
        <v/>
      </c>
    </row>
    <row r="941" customFormat="false" ht="15" hidden="false" customHeight="false" outlineLevel="0" collapsed="false">
      <c r="A941" s="12"/>
      <c r="B941" s="13"/>
      <c r="C941" s="13"/>
      <c r="D941" s="14"/>
      <c r="E941" s="15"/>
      <c r="F941" s="16"/>
      <c r="G941" s="17"/>
      <c r="H941" s="18" t="n">
        <f aca="false">IF(AND(C941="Yakıt",D941&lt;&gt;""),SUMPRODUCT(MAX(($B$5:$B$1004=B941)*($C$5:$C$1004="Yakıt")*($D$5:$D$1004&lt;D941)*$D$5:$D$1004)),0)</f>
        <v>0</v>
      </c>
      <c r="I941" s="18" t="str">
        <f aca="false">IF(H941&gt;0,D941-H941,"")</f>
        <v/>
      </c>
      <c r="J941" s="19" t="str">
        <f aca="false">IF(OR(I941="",E941=""),"",E941/I941*100)</f>
        <v/>
      </c>
      <c r="K941" s="20" t="str">
        <f aca="false">IF(I941="","",F941/I941)</f>
        <v/>
      </c>
    </row>
    <row r="942" customFormat="false" ht="15" hidden="false" customHeight="false" outlineLevel="0" collapsed="false">
      <c r="A942" s="12"/>
      <c r="B942" s="13"/>
      <c r="C942" s="13"/>
      <c r="D942" s="14"/>
      <c r="E942" s="15"/>
      <c r="F942" s="16"/>
      <c r="G942" s="17"/>
      <c r="H942" s="18" t="n">
        <f aca="false">IF(AND(C942="Yakıt",D942&lt;&gt;""),SUMPRODUCT(MAX(($B$5:$B$1004=B942)*($C$5:$C$1004="Yakıt")*($D$5:$D$1004&lt;D942)*$D$5:$D$1004)),0)</f>
        <v>0</v>
      </c>
      <c r="I942" s="18" t="str">
        <f aca="false">IF(H942&gt;0,D942-H942,"")</f>
        <v/>
      </c>
      <c r="J942" s="19" t="str">
        <f aca="false">IF(OR(I942="",E942=""),"",E942/I942*100)</f>
        <v/>
      </c>
      <c r="K942" s="20" t="str">
        <f aca="false">IF(I942="","",F942/I942)</f>
        <v/>
      </c>
    </row>
    <row r="943" customFormat="false" ht="15" hidden="false" customHeight="false" outlineLevel="0" collapsed="false">
      <c r="A943" s="12"/>
      <c r="B943" s="13"/>
      <c r="C943" s="13"/>
      <c r="D943" s="14"/>
      <c r="E943" s="15"/>
      <c r="F943" s="16"/>
      <c r="G943" s="17"/>
      <c r="H943" s="18" t="n">
        <f aca="false">IF(AND(C943="Yakıt",D943&lt;&gt;""),SUMPRODUCT(MAX(($B$5:$B$1004=B943)*($C$5:$C$1004="Yakıt")*($D$5:$D$1004&lt;D943)*$D$5:$D$1004)),0)</f>
        <v>0</v>
      </c>
      <c r="I943" s="18" t="str">
        <f aca="false">IF(H943&gt;0,D943-H943,"")</f>
        <v/>
      </c>
      <c r="J943" s="19" t="str">
        <f aca="false">IF(OR(I943="",E943=""),"",E943/I943*100)</f>
        <v/>
      </c>
      <c r="K943" s="20" t="str">
        <f aca="false">IF(I943="","",F943/I943)</f>
        <v/>
      </c>
    </row>
    <row r="944" customFormat="false" ht="15" hidden="false" customHeight="false" outlineLevel="0" collapsed="false">
      <c r="A944" s="12"/>
      <c r="B944" s="13"/>
      <c r="C944" s="13"/>
      <c r="D944" s="14"/>
      <c r="E944" s="15"/>
      <c r="F944" s="16"/>
      <c r="G944" s="17"/>
      <c r="H944" s="18" t="n">
        <f aca="false">IF(AND(C944="Yakıt",D944&lt;&gt;""),SUMPRODUCT(MAX(($B$5:$B$1004=B944)*($C$5:$C$1004="Yakıt")*($D$5:$D$1004&lt;D944)*$D$5:$D$1004)),0)</f>
        <v>0</v>
      </c>
      <c r="I944" s="18" t="str">
        <f aca="false">IF(H944&gt;0,D944-H944,"")</f>
        <v/>
      </c>
      <c r="J944" s="19" t="str">
        <f aca="false">IF(OR(I944="",E944=""),"",E944/I944*100)</f>
        <v/>
      </c>
      <c r="K944" s="20" t="str">
        <f aca="false">IF(I944="","",F944/I944)</f>
        <v/>
      </c>
    </row>
    <row r="945" customFormat="false" ht="15" hidden="false" customHeight="false" outlineLevel="0" collapsed="false">
      <c r="A945" s="12"/>
      <c r="B945" s="13"/>
      <c r="C945" s="13"/>
      <c r="D945" s="14"/>
      <c r="E945" s="15"/>
      <c r="F945" s="16"/>
      <c r="G945" s="17"/>
      <c r="H945" s="18" t="n">
        <f aca="false">IF(AND(C945="Yakıt",D945&lt;&gt;""),SUMPRODUCT(MAX(($B$5:$B$1004=B945)*($C$5:$C$1004="Yakıt")*($D$5:$D$1004&lt;D945)*$D$5:$D$1004)),0)</f>
        <v>0</v>
      </c>
      <c r="I945" s="18" t="str">
        <f aca="false">IF(H945&gt;0,D945-H945,"")</f>
        <v/>
      </c>
      <c r="J945" s="19" t="str">
        <f aca="false">IF(OR(I945="",E945=""),"",E945/I945*100)</f>
        <v/>
      </c>
      <c r="K945" s="20" t="str">
        <f aca="false">IF(I945="","",F945/I945)</f>
        <v/>
      </c>
    </row>
    <row r="946" customFormat="false" ht="15" hidden="false" customHeight="false" outlineLevel="0" collapsed="false">
      <c r="A946" s="12"/>
      <c r="B946" s="13"/>
      <c r="C946" s="13"/>
      <c r="D946" s="14"/>
      <c r="E946" s="15"/>
      <c r="F946" s="16"/>
      <c r="G946" s="17"/>
      <c r="H946" s="18" t="n">
        <f aca="false">IF(AND(C946="Yakıt",D946&lt;&gt;""),SUMPRODUCT(MAX(($B$5:$B$1004=B946)*($C$5:$C$1004="Yakıt")*($D$5:$D$1004&lt;D946)*$D$5:$D$1004)),0)</f>
        <v>0</v>
      </c>
      <c r="I946" s="18" t="str">
        <f aca="false">IF(H946&gt;0,D946-H946,"")</f>
        <v/>
      </c>
      <c r="J946" s="19" t="str">
        <f aca="false">IF(OR(I946="",E946=""),"",E946/I946*100)</f>
        <v/>
      </c>
      <c r="K946" s="20" t="str">
        <f aca="false">IF(I946="","",F946/I946)</f>
        <v/>
      </c>
    </row>
    <row r="947" customFormat="false" ht="15" hidden="false" customHeight="false" outlineLevel="0" collapsed="false">
      <c r="A947" s="12"/>
      <c r="B947" s="13"/>
      <c r="C947" s="13"/>
      <c r="D947" s="14"/>
      <c r="E947" s="15"/>
      <c r="F947" s="16"/>
      <c r="G947" s="17"/>
      <c r="H947" s="18" t="n">
        <f aca="false">IF(AND(C947="Yakıt",D947&lt;&gt;""),SUMPRODUCT(MAX(($B$5:$B$1004=B947)*($C$5:$C$1004="Yakıt")*($D$5:$D$1004&lt;D947)*$D$5:$D$1004)),0)</f>
        <v>0</v>
      </c>
      <c r="I947" s="18" t="str">
        <f aca="false">IF(H947&gt;0,D947-H947,"")</f>
        <v/>
      </c>
      <c r="J947" s="19" t="str">
        <f aca="false">IF(OR(I947="",E947=""),"",E947/I947*100)</f>
        <v/>
      </c>
      <c r="K947" s="20" t="str">
        <f aca="false">IF(I947="","",F947/I947)</f>
        <v/>
      </c>
    </row>
    <row r="948" customFormat="false" ht="15" hidden="false" customHeight="false" outlineLevel="0" collapsed="false">
      <c r="A948" s="12"/>
      <c r="B948" s="13"/>
      <c r="C948" s="13"/>
      <c r="D948" s="14"/>
      <c r="E948" s="15"/>
      <c r="F948" s="16"/>
      <c r="G948" s="17"/>
      <c r="H948" s="18" t="n">
        <f aca="false">IF(AND(C948="Yakıt",D948&lt;&gt;""),SUMPRODUCT(MAX(($B$5:$B$1004=B948)*($C$5:$C$1004="Yakıt")*($D$5:$D$1004&lt;D948)*$D$5:$D$1004)),0)</f>
        <v>0</v>
      </c>
      <c r="I948" s="18" t="str">
        <f aca="false">IF(H948&gt;0,D948-H948,"")</f>
        <v/>
      </c>
      <c r="J948" s="19" t="str">
        <f aca="false">IF(OR(I948="",E948=""),"",E948/I948*100)</f>
        <v/>
      </c>
      <c r="K948" s="20" t="str">
        <f aca="false">IF(I948="","",F948/I948)</f>
        <v/>
      </c>
    </row>
    <row r="949" customFormat="false" ht="15" hidden="false" customHeight="false" outlineLevel="0" collapsed="false">
      <c r="A949" s="12"/>
      <c r="B949" s="13"/>
      <c r="C949" s="13"/>
      <c r="D949" s="14"/>
      <c r="E949" s="15"/>
      <c r="F949" s="16"/>
      <c r="G949" s="17"/>
      <c r="H949" s="18" t="n">
        <f aca="false">IF(AND(C949="Yakıt",D949&lt;&gt;""),SUMPRODUCT(MAX(($B$5:$B$1004=B949)*($C$5:$C$1004="Yakıt")*($D$5:$D$1004&lt;D949)*$D$5:$D$1004)),0)</f>
        <v>0</v>
      </c>
      <c r="I949" s="18" t="str">
        <f aca="false">IF(H949&gt;0,D949-H949,"")</f>
        <v/>
      </c>
      <c r="J949" s="19" t="str">
        <f aca="false">IF(OR(I949="",E949=""),"",E949/I949*100)</f>
        <v/>
      </c>
      <c r="K949" s="20" t="str">
        <f aca="false">IF(I949="","",F949/I949)</f>
        <v/>
      </c>
    </row>
    <row r="950" customFormat="false" ht="15" hidden="false" customHeight="false" outlineLevel="0" collapsed="false">
      <c r="A950" s="12"/>
      <c r="B950" s="13"/>
      <c r="C950" s="13"/>
      <c r="D950" s="14"/>
      <c r="E950" s="15"/>
      <c r="F950" s="16"/>
      <c r="G950" s="17"/>
      <c r="H950" s="18" t="n">
        <f aca="false">IF(AND(C950="Yakıt",D950&lt;&gt;""),SUMPRODUCT(MAX(($B$5:$B$1004=B950)*($C$5:$C$1004="Yakıt")*($D$5:$D$1004&lt;D950)*$D$5:$D$1004)),0)</f>
        <v>0</v>
      </c>
      <c r="I950" s="18" t="str">
        <f aca="false">IF(H950&gt;0,D950-H950,"")</f>
        <v/>
      </c>
      <c r="J950" s="19" t="str">
        <f aca="false">IF(OR(I950="",E950=""),"",E950/I950*100)</f>
        <v/>
      </c>
      <c r="K950" s="20" t="str">
        <f aca="false">IF(I950="","",F950/I950)</f>
        <v/>
      </c>
    </row>
    <row r="951" customFormat="false" ht="15" hidden="false" customHeight="false" outlineLevel="0" collapsed="false">
      <c r="A951" s="12"/>
      <c r="B951" s="13"/>
      <c r="C951" s="13"/>
      <c r="D951" s="14"/>
      <c r="E951" s="15"/>
      <c r="F951" s="16"/>
      <c r="G951" s="17"/>
      <c r="H951" s="18" t="n">
        <f aca="false">IF(AND(C951="Yakıt",D951&lt;&gt;""),SUMPRODUCT(MAX(($B$5:$B$1004=B951)*($C$5:$C$1004="Yakıt")*($D$5:$D$1004&lt;D951)*$D$5:$D$1004)),0)</f>
        <v>0</v>
      </c>
      <c r="I951" s="18" t="str">
        <f aca="false">IF(H951&gt;0,D951-H951,"")</f>
        <v/>
      </c>
      <c r="J951" s="19" t="str">
        <f aca="false">IF(OR(I951="",E951=""),"",E951/I951*100)</f>
        <v/>
      </c>
      <c r="K951" s="20" t="str">
        <f aca="false">IF(I951="","",F951/I951)</f>
        <v/>
      </c>
    </row>
    <row r="952" customFormat="false" ht="15" hidden="false" customHeight="false" outlineLevel="0" collapsed="false">
      <c r="A952" s="12"/>
      <c r="B952" s="13"/>
      <c r="C952" s="13"/>
      <c r="D952" s="14"/>
      <c r="E952" s="15"/>
      <c r="F952" s="16"/>
      <c r="G952" s="17"/>
      <c r="H952" s="18" t="n">
        <f aca="false">IF(AND(C952="Yakıt",D952&lt;&gt;""),SUMPRODUCT(MAX(($B$5:$B$1004=B952)*($C$5:$C$1004="Yakıt")*($D$5:$D$1004&lt;D952)*$D$5:$D$1004)),0)</f>
        <v>0</v>
      </c>
      <c r="I952" s="18" t="str">
        <f aca="false">IF(H952&gt;0,D952-H952,"")</f>
        <v/>
      </c>
      <c r="J952" s="19" t="str">
        <f aca="false">IF(OR(I952="",E952=""),"",E952/I952*100)</f>
        <v/>
      </c>
      <c r="K952" s="20" t="str">
        <f aca="false">IF(I952="","",F952/I952)</f>
        <v/>
      </c>
    </row>
    <row r="953" customFormat="false" ht="15" hidden="false" customHeight="false" outlineLevel="0" collapsed="false">
      <c r="A953" s="12"/>
      <c r="B953" s="13"/>
      <c r="C953" s="13"/>
      <c r="D953" s="14"/>
      <c r="E953" s="15"/>
      <c r="F953" s="16"/>
      <c r="G953" s="17"/>
      <c r="H953" s="18" t="n">
        <f aca="false">IF(AND(C953="Yakıt",D953&lt;&gt;""),SUMPRODUCT(MAX(($B$5:$B$1004=B953)*($C$5:$C$1004="Yakıt")*($D$5:$D$1004&lt;D953)*$D$5:$D$1004)),0)</f>
        <v>0</v>
      </c>
      <c r="I953" s="18" t="str">
        <f aca="false">IF(H953&gt;0,D953-H953,"")</f>
        <v/>
      </c>
      <c r="J953" s="19" t="str">
        <f aca="false">IF(OR(I953="",E953=""),"",E953/I953*100)</f>
        <v/>
      </c>
      <c r="K953" s="20" t="str">
        <f aca="false">IF(I953="","",F953/I953)</f>
        <v/>
      </c>
    </row>
    <row r="954" customFormat="false" ht="15" hidden="false" customHeight="false" outlineLevel="0" collapsed="false">
      <c r="A954" s="12"/>
      <c r="B954" s="13"/>
      <c r="C954" s="13"/>
      <c r="D954" s="14"/>
      <c r="E954" s="15"/>
      <c r="F954" s="16"/>
      <c r="G954" s="17"/>
      <c r="H954" s="18" t="n">
        <f aca="false">IF(AND(C954="Yakıt",D954&lt;&gt;""),SUMPRODUCT(MAX(($B$5:$B$1004=B954)*($C$5:$C$1004="Yakıt")*($D$5:$D$1004&lt;D954)*$D$5:$D$1004)),0)</f>
        <v>0</v>
      </c>
      <c r="I954" s="18" t="str">
        <f aca="false">IF(H954&gt;0,D954-H954,"")</f>
        <v/>
      </c>
      <c r="J954" s="19" t="str">
        <f aca="false">IF(OR(I954="",E954=""),"",E954/I954*100)</f>
        <v/>
      </c>
      <c r="K954" s="20" t="str">
        <f aca="false">IF(I954="","",F954/I954)</f>
        <v/>
      </c>
    </row>
    <row r="955" customFormat="false" ht="15" hidden="false" customHeight="false" outlineLevel="0" collapsed="false">
      <c r="A955" s="12"/>
      <c r="B955" s="13"/>
      <c r="C955" s="13"/>
      <c r="D955" s="14"/>
      <c r="E955" s="15"/>
      <c r="F955" s="16"/>
      <c r="G955" s="17"/>
      <c r="H955" s="18" t="n">
        <f aca="false">IF(AND(C955="Yakıt",D955&lt;&gt;""),SUMPRODUCT(MAX(($B$5:$B$1004=B955)*($C$5:$C$1004="Yakıt")*($D$5:$D$1004&lt;D955)*$D$5:$D$1004)),0)</f>
        <v>0</v>
      </c>
      <c r="I955" s="18" t="str">
        <f aca="false">IF(H955&gt;0,D955-H955,"")</f>
        <v/>
      </c>
      <c r="J955" s="19" t="str">
        <f aca="false">IF(OR(I955="",E955=""),"",E955/I955*100)</f>
        <v/>
      </c>
      <c r="K955" s="20" t="str">
        <f aca="false">IF(I955="","",F955/I955)</f>
        <v/>
      </c>
    </row>
    <row r="956" customFormat="false" ht="15" hidden="false" customHeight="false" outlineLevel="0" collapsed="false">
      <c r="A956" s="12"/>
      <c r="B956" s="13"/>
      <c r="C956" s="13"/>
      <c r="D956" s="14"/>
      <c r="E956" s="15"/>
      <c r="F956" s="16"/>
      <c r="G956" s="17"/>
      <c r="H956" s="18" t="n">
        <f aca="false">IF(AND(C956="Yakıt",D956&lt;&gt;""),SUMPRODUCT(MAX(($B$5:$B$1004=B956)*($C$5:$C$1004="Yakıt")*($D$5:$D$1004&lt;D956)*$D$5:$D$1004)),0)</f>
        <v>0</v>
      </c>
      <c r="I956" s="18" t="str">
        <f aca="false">IF(H956&gt;0,D956-H956,"")</f>
        <v/>
      </c>
      <c r="J956" s="19" t="str">
        <f aca="false">IF(OR(I956="",E956=""),"",E956/I956*100)</f>
        <v/>
      </c>
      <c r="K956" s="20" t="str">
        <f aca="false">IF(I956="","",F956/I956)</f>
        <v/>
      </c>
    </row>
    <row r="957" customFormat="false" ht="15" hidden="false" customHeight="false" outlineLevel="0" collapsed="false">
      <c r="A957" s="12"/>
      <c r="B957" s="13"/>
      <c r="C957" s="13"/>
      <c r="D957" s="14"/>
      <c r="E957" s="15"/>
      <c r="F957" s="16"/>
      <c r="G957" s="17"/>
      <c r="H957" s="18" t="n">
        <f aca="false">IF(AND(C957="Yakıt",D957&lt;&gt;""),SUMPRODUCT(MAX(($B$5:$B$1004=B957)*($C$5:$C$1004="Yakıt")*($D$5:$D$1004&lt;D957)*$D$5:$D$1004)),0)</f>
        <v>0</v>
      </c>
      <c r="I957" s="18" t="str">
        <f aca="false">IF(H957&gt;0,D957-H957,"")</f>
        <v/>
      </c>
      <c r="J957" s="19" t="str">
        <f aca="false">IF(OR(I957="",E957=""),"",E957/I957*100)</f>
        <v/>
      </c>
      <c r="K957" s="20" t="str">
        <f aca="false">IF(I957="","",F957/I957)</f>
        <v/>
      </c>
    </row>
    <row r="958" customFormat="false" ht="15" hidden="false" customHeight="false" outlineLevel="0" collapsed="false">
      <c r="A958" s="12"/>
      <c r="B958" s="13"/>
      <c r="C958" s="13"/>
      <c r="D958" s="14"/>
      <c r="E958" s="15"/>
      <c r="F958" s="16"/>
      <c r="G958" s="17"/>
      <c r="H958" s="18" t="n">
        <f aca="false">IF(AND(C958="Yakıt",D958&lt;&gt;""),SUMPRODUCT(MAX(($B$5:$B$1004=B958)*($C$5:$C$1004="Yakıt")*($D$5:$D$1004&lt;D958)*$D$5:$D$1004)),0)</f>
        <v>0</v>
      </c>
      <c r="I958" s="18" t="str">
        <f aca="false">IF(H958&gt;0,D958-H958,"")</f>
        <v/>
      </c>
      <c r="J958" s="19" t="str">
        <f aca="false">IF(OR(I958="",E958=""),"",E958/I958*100)</f>
        <v/>
      </c>
      <c r="K958" s="20" t="str">
        <f aca="false">IF(I958="","",F958/I958)</f>
        <v/>
      </c>
    </row>
    <row r="959" customFormat="false" ht="15" hidden="false" customHeight="false" outlineLevel="0" collapsed="false">
      <c r="A959" s="12"/>
      <c r="B959" s="13"/>
      <c r="C959" s="13"/>
      <c r="D959" s="14"/>
      <c r="E959" s="15"/>
      <c r="F959" s="16"/>
      <c r="G959" s="17"/>
      <c r="H959" s="18" t="n">
        <f aca="false">IF(AND(C959="Yakıt",D959&lt;&gt;""),SUMPRODUCT(MAX(($B$5:$B$1004=B959)*($C$5:$C$1004="Yakıt")*($D$5:$D$1004&lt;D959)*$D$5:$D$1004)),0)</f>
        <v>0</v>
      </c>
      <c r="I959" s="18" t="str">
        <f aca="false">IF(H959&gt;0,D959-H959,"")</f>
        <v/>
      </c>
      <c r="J959" s="19" t="str">
        <f aca="false">IF(OR(I959="",E959=""),"",E959/I959*100)</f>
        <v/>
      </c>
      <c r="K959" s="20" t="str">
        <f aca="false">IF(I959="","",F959/I959)</f>
        <v/>
      </c>
    </row>
    <row r="960" customFormat="false" ht="15" hidden="false" customHeight="false" outlineLevel="0" collapsed="false">
      <c r="A960" s="12"/>
      <c r="B960" s="13"/>
      <c r="C960" s="13"/>
      <c r="D960" s="14"/>
      <c r="E960" s="15"/>
      <c r="F960" s="16"/>
      <c r="G960" s="17"/>
      <c r="H960" s="18" t="n">
        <f aca="false">IF(AND(C960="Yakıt",D960&lt;&gt;""),SUMPRODUCT(MAX(($B$5:$B$1004=B960)*($C$5:$C$1004="Yakıt")*($D$5:$D$1004&lt;D960)*$D$5:$D$1004)),0)</f>
        <v>0</v>
      </c>
      <c r="I960" s="18" t="str">
        <f aca="false">IF(H960&gt;0,D960-H960,"")</f>
        <v/>
      </c>
      <c r="J960" s="19" t="str">
        <f aca="false">IF(OR(I960="",E960=""),"",E960/I960*100)</f>
        <v/>
      </c>
      <c r="K960" s="20" t="str">
        <f aca="false">IF(I960="","",F960/I960)</f>
        <v/>
      </c>
    </row>
    <row r="961" customFormat="false" ht="15" hidden="false" customHeight="false" outlineLevel="0" collapsed="false">
      <c r="A961" s="12"/>
      <c r="B961" s="13"/>
      <c r="C961" s="13"/>
      <c r="D961" s="14"/>
      <c r="E961" s="15"/>
      <c r="F961" s="16"/>
      <c r="G961" s="17"/>
      <c r="H961" s="18" t="n">
        <f aca="false">IF(AND(C961="Yakıt",D961&lt;&gt;""),SUMPRODUCT(MAX(($B$5:$B$1004=B961)*($C$5:$C$1004="Yakıt")*($D$5:$D$1004&lt;D961)*$D$5:$D$1004)),0)</f>
        <v>0</v>
      </c>
      <c r="I961" s="18" t="str">
        <f aca="false">IF(H961&gt;0,D961-H961,"")</f>
        <v/>
      </c>
      <c r="J961" s="19" t="str">
        <f aca="false">IF(OR(I961="",E961=""),"",E961/I961*100)</f>
        <v/>
      </c>
      <c r="K961" s="20" t="str">
        <f aca="false">IF(I961="","",F961/I961)</f>
        <v/>
      </c>
    </row>
    <row r="962" customFormat="false" ht="15" hidden="false" customHeight="false" outlineLevel="0" collapsed="false">
      <c r="A962" s="12"/>
      <c r="B962" s="13"/>
      <c r="C962" s="13"/>
      <c r="D962" s="14"/>
      <c r="E962" s="15"/>
      <c r="F962" s="16"/>
      <c r="G962" s="17"/>
      <c r="H962" s="18" t="n">
        <f aca="false">IF(AND(C962="Yakıt",D962&lt;&gt;""),SUMPRODUCT(MAX(($B$5:$B$1004=B962)*($C$5:$C$1004="Yakıt")*($D$5:$D$1004&lt;D962)*$D$5:$D$1004)),0)</f>
        <v>0</v>
      </c>
      <c r="I962" s="18" t="str">
        <f aca="false">IF(H962&gt;0,D962-H962,"")</f>
        <v/>
      </c>
      <c r="J962" s="19" t="str">
        <f aca="false">IF(OR(I962="",E962=""),"",E962/I962*100)</f>
        <v/>
      </c>
      <c r="K962" s="20" t="str">
        <f aca="false">IF(I962="","",F962/I962)</f>
        <v/>
      </c>
    </row>
    <row r="963" customFormat="false" ht="15" hidden="false" customHeight="false" outlineLevel="0" collapsed="false">
      <c r="A963" s="12"/>
      <c r="B963" s="13"/>
      <c r="C963" s="13"/>
      <c r="D963" s="14"/>
      <c r="E963" s="15"/>
      <c r="F963" s="16"/>
      <c r="G963" s="17"/>
      <c r="H963" s="18" t="n">
        <f aca="false">IF(AND(C963="Yakıt",D963&lt;&gt;""),SUMPRODUCT(MAX(($B$5:$B$1004=B963)*($C$5:$C$1004="Yakıt")*($D$5:$D$1004&lt;D963)*$D$5:$D$1004)),0)</f>
        <v>0</v>
      </c>
      <c r="I963" s="18" t="str">
        <f aca="false">IF(H963&gt;0,D963-H963,"")</f>
        <v/>
      </c>
      <c r="J963" s="19" t="str">
        <f aca="false">IF(OR(I963="",E963=""),"",E963/I963*100)</f>
        <v/>
      </c>
      <c r="K963" s="20" t="str">
        <f aca="false">IF(I963="","",F963/I963)</f>
        <v/>
      </c>
    </row>
    <row r="964" customFormat="false" ht="15" hidden="false" customHeight="false" outlineLevel="0" collapsed="false">
      <c r="A964" s="12"/>
      <c r="B964" s="13"/>
      <c r="C964" s="13"/>
      <c r="D964" s="14"/>
      <c r="E964" s="15"/>
      <c r="F964" s="16"/>
      <c r="G964" s="17"/>
      <c r="H964" s="18" t="n">
        <f aca="false">IF(AND(C964="Yakıt",D964&lt;&gt;""),SUMPRODUCT(MAX(($B$5:$B$1004=B964)*($C$5:$C$1004="Yakıt")*($D$5:$D$1004&lt;D964)*$D$5:$D$1004)),0)</f>
        <v>0</v>
      </c>
      <c r="I964" s="18" t="str">
        <f aca="false">IF(H964&gt;0,D964-H964,"")</f>
        <v/>
      </c>
      <c r="J964" s="19" t="str">
        <f aca="false">IF(OR(I964="",E964=""),"",E964/I964*100)</f>
        <v/>
      </c>
      <c r="K964" s="20" t="str">
        <f aca="false">IF(I964="","",F964/I964)</f>
        <v/>
      </c>
    </row>
    <row r="965" customFormat="false" ht="15" hidden="false" customHeight="false" outlineLevel="0" collapsed="false">
      <c r="A965" s="12"/>
      <c r="B965" s="13"/>
      <c r="C965" s="13"/>
      <c r="D965" s="14"/>
      <c r="E965" s="15"/>
      <c r="F965" s="16"/>
      <c r="G965" s="17"/>
      <c r="H965" s="18" t="n">
        <f aca="false">IF(AND(C965="Yakıt",D965&lt;&gt;""),SUMPRODUCT(MAX(($B$5:$B$1004=B965)*($C$5:$C$1004="Yakıt")*($D$5:$D$1004&lt;D965)*$D$5:$D$1004)),0)</f>
        <v>0</v>
      </c>
      <c r="I965" s="18" t="str">
        <f aca="false">IF(H965&gt;0,D965-H965,"")</f>
        <v/>
      </c>
      <c r="J965" s="19" t="str">
        <f aca="false">IF(OR(I965="",E965=""),"",E965/I965*100)</f>
        <v/>
      </c>
      <c r="K965" s="20" t="str">
        <f aca="false">IF(I965="","",F965/I965)</f>
        <v/>
      </c>
    </row>
    <row r="966" customFormat="false" ht="15" hidden="false" customHeight="false" outlineLevel="0" collapsed="false">
      <c r="A966" s="12"/>
      <c r="B966" s="13"/>
      <c r="C966" s="13"/>
      <c r="D966" s="14"/>
      <c r="E966" s="15"/>
      <c r="F966" s="16"/>
      <c r="G966" s="17"/>
      <c r="H966" s="18" t="n">
        <f aca="false">IF(AND(C966="Yakıt",D966&lt;&gt;""),SUMPRODUCT(MAX(($B$5:$B$1004=B966)*($C$5:$C$1004="Yakıt")*($D$5:$D$1004&lt;D966)*$D$5:$D$1004)),0)</f>
        <v>0</v>
      </c>
      <c r="I966" s="18" t="str">
        <f aca="false">IF(H966&gt;0,D966-H966,"")</f>
        <v/>
      </c>
      <c r="J966" s="19" t="str">
        <f aca="false">IF(OR(I966="",E966=""),"",E966/I966*100)</f>
        <v/>
      </c>
      <c r="K966" s="20" t="str">
        <f aca="false">IF(I966="","",F966/I966)</f>
        <v/>
      </c>
    </row>
    <row r="967" customFormat="false" ht="15" hidden="false" customHeight="false" outlineLevel="0" collapsed="false">
      <c r="A967" s="12"/>
      <c r="B967" s="13"/>
      <c r="C967" s="13"/>
      <c r="D967" s="14"/>
      <c r="E967" s="15"/>
      <c r="F967" s="16"/>
      <c r="G967" s="17"/>
      <c r="H967" s="18" t="n">
        <f aca="false">IF(AND(C967="Yakıt",D967&lt;&gt;""),SUMPRODUCT(MAX(($B$5:$B$1004=B967)*($C$5:$C$1004="Yakıt")*($D$5:$D$1004&lt;D967)*$D$5:$D$1004)),0)</f>
        <v>0</v>
      </c>
      <c r="I967" s="18" t="str">
        <f aca="false">IF(H967&gt;0,D967-H967,"")</f>
        <v/>
      </c>
      <c r="J967" s="19" t="str">
        <f aca="false">IF(OR(I967="",E967=""),"",E967/I967*100)</f>
        <v/>
      </c>
      <c r="K967" s="20" t="str">
        <f aca="false">IF(I967="","",F967/I967)</f>
        <v/>
      </c>
    </row>
    <row r="968" customFormat="false" ht="15" hidden="false" customHeight="false" outlineLevel="0" collapsed="false">
      <c r="A968" s="12"/>
      <c r="B968" s="13"/>
      <c r="C968" s="13"/>
      <c r="D968" s="14"/>
      <c r="E968" s="15"/>
      <c r="F968" s="16"/>
      <c r="G968" s="17"/>
      <c r="H968" s="18" t="n">
        <f aca="false">IF(AND(C968="Yakıt",D968&lt;&gt;""),SUMPRODUCT(MAX(($B$5:$B$1004=B968)*($C$5:$C$1004="Yakıt")*($D$5:$D$1004&lt;D968)*$D$5:$D$1004)),0)</f>
        <v>0</v>
      </c>
      <c r="I968" s="18" t="str">
        <f aca="false">IF(H968&gt;0,D968-H968,"")</f>
        <v/>
      </c>
      <c r="J968" s="19" t="str">
        <f aca="false">IF(OR(I968="",E968=""),"",E968/I968*100)</f>
        <v/>
      </c>
      <c r="K968" s="20" t="str">
        <f aca="false">IF(I968="","",F968/I968)</f>
        <v/>
      </c>
    </row>
    <row r="969" customFormat="false" ht="15" hidden="false" customHeight="false" outlineLevel="0" collapsed="false">
      <c r="A969" s="12"/>
      <c r="B969" s="13"/>
      <c r="C969" s="13"/>
      <c r="D969" s="14"/>
      <c r="E969" s="15"/>
      <c r="F969" s="16"/>
      <c r="G969" s="17"/>
      <c r="H969" s="18" t="n">
        <f aca="false">IF(AND(C969="Yakıt",D969&lt;&gt;""),SUMPRODUCT(MAX(($B$5:$B$1004=B969)*($C$5:$C$1004="Yakıt")*($D$5:$D$1004&lt;D969)*$D$5:$D$1004)),0)</f>
        <v>0</v>
      </c>
      <c r="I969" s="18" t="str">
        <f aca="false">IF(H969&gt;0,D969-H969,"")</f>
        <v/>
      </c>
      <c r="J969" s="19" t="str">
        <f aca="false">IF(OR(I969="",E969=""),"",E969/I969*100)</f>
        <v/>
      </c>
      <c r="K969" s="20" t="str">
        <f aca="false">IF(I969="","",F969/I969)</f>
        <v/>
      </c>
    </row>
    <row r="970" customFormat="false" ht="15" hidden="false" customHeight="false" outlineLevel="0" collapsed="false">
      <c r="A970" s="12"/>
      <c r="B970" s="13"/>
      <c r="C970" s="13"/>
      <c r="D970" s="14"/>
      <c r="E970" s="15"/>
      <c r="F970" s="16"/>
      <c r="G970" s="17"/>
      <c r="H970" s="18" t="n">
        <f aca="false">IF(AND(C970="Yakıt",D970&lt;&gt;""),SUMPRODUCT(MAX(($B$5:$B$1004=B970)*($C$5:$C$1004="Yakıt")*($D$5:$D$1004&lt;D970)*$D$5:$D$1004)),0)</f>
        <v>0</v>
      </c>
      <c r="I970" s="18" t="str">
        <f aca="false">IF(H970&gt;0,D970-H970,"")</f>
        <v/>
      </c>
      <c r="J970" s="19" t="str">
        <f aca="false">IF(OR(I970="",E970=""),"",E970/I970*100)</f>
        <v/>
      </c>
      <c r="K970" s="20" t="str">
        <f aca="false">IF(I970="","",F970/I970)</f>
        <v/>
      </c>
    </row>
    <row r="971" customFormat="false" ht="15" hidden="false" customHeight="false" outlineLevel="0" collapsed="false">
      <c r="A971" s="12"/>
      <c r="B971" s="13"/>
      <c r="C971" s="13"/>
      <c r="D971" s="14"/>
      <c r="E971" s="15"/>
      <c r="F971" s="16"/>
      <c r="G971" s="17"/>
      <c r="H971" s="18" t="n">
        <f aca="false">IF(AND(C971="Yakıt",D971&lt;&gt;""),SUMPRODUCT(MAX(($B$5:$B$1004=B971)*($C$5:$C$1004="Yakıt")*($D$5:$D$1004&lt;D971)*$D$5:$D$1004)),0)</f>
        <v>0</v>
      </c>
      <c r="I971" s="18" t="str">
        <f aca="false">IF(H971&gt;0,D971-H971,"")</f>
        <v/>
      </c>
      <c r="J971" s="19" t="str">
        <f aca="false">IF(OR(I971="",E971=""),"",E971/I971*100)</f>
        <v/>
      </c>
      <c r="K971" s="20" t="str">
        <f aca="false">IF(I971="","",F971/I971)</f>
        <v/>
      </c>
    </row>
    <row r="972" customFormat="false" ht="15" hidden="false" customHeight="false" outlineLevel="0" collapsed="false">
      <c r="A972" s="12"/>
      <c r="B972" s="13"/>
      <c r="C972" s="13"/>
      <c r="D972" s="14"/>
      <c r="E972" s="15"/>
      <c r="F972" s="16"/>
      <c r="G972" s="17"/>
      <c r="H972" s="18" t="n">
        <f aca="false">IF(AND(C972="Yakıt",D972&lt;&gt;""),SUMPRODUCT(MAX(($B$5:$B$1004=B972)*($C$5:$C$1004="Yakıt")*($D$5:$D$1004&lt;D972)*$D$5:$D$1004)),0)</f>
        <v>0</v>
      </c>
      <c r="I972" s="18" t="str">
        <f aca="false">IF(H972&gt;0,D972-H972,"")</f>
        <v/>
      </c>
      <c r="J972" s="19" t="str">
        <f aca="false">IF(OR(I972="",E972=""),"",E972/I972*100)</f>
        <v/>
      </c>
      <c r="K972" s="20" t="str">
        <f aca="false">IF(I972="","",F972/I972)</f>
        <v/>
      </c>
    </row>
    <row r="973" customFormat="false" ht="15" hidden="false" customHeight="false" outlineLevel="0" collapsed="false">
      <c r="A973" s="12"/>
      <c r="B973" s="13"/>
      <c r="C973" s="13"/>
      <c r="D973" s="14"/>
      <c r="E973" s="15"/>
      <c r="F973" s="16"/>
      <c r="G973" s="17"/>
      <c r="H973" s="18" t="n">
        <f aca="false">IF(AND(C973="Yakıt",D973&lt;&gt;""),SUMPRODUCT(MAX(($B$5:$B$1004=B973)*($C$5:$C$1004="Yakıt")*($D$5:$D$1004&lt;D973)*$D$5:$D$1004)),0)</f>
        <v>0</v>
      </c>
      <c r="I973" s="18" t="str">
        <f aca="false">IF(H973&gt;0,D973-H973,"")</f>
        <v/>
      </c>
      <c r="J973" s="19" t="str">
        <f aca="false">IF(OR(I973="",E973=""),"",E973/I973*100)</f>
        <v/>
      </c>
      <c r="K973" s="20" t="str">
        <f aca="false">IF(I973="","",F973/I973)</f>
        <v/>
      </c>
    </row>
    <row r="974" customFormat="false" ht="15" hidden="false" customHeight="false" outlineLevel="0" collapsed="false">
      <c r="A974" s="12"/>
      <c r="B974" s="13"/>
      <c r="C974" s="13"/>
      <c r="D974" s="14"/>
      <c r="E974" s="15"/>
      <c r="F974" s="16"/>
      <c r="G974" s="17"/>
      <c r="H974" s="18" t="n">
        <f aca="false">IF(AND(C974="Yakıt",D974&lt;&gt;""),SUMPRODUCT(MAX(($B$5:$B$1004=B974)*($C$5:$C$1004="Yakıt")*($D$5:$D$1004&lt;D974)*$D$5:$D$1004)),0)</f>
        <v>0</v>
      </c>
      <c r="I974" s="18" t="str">
        <f aca="false">IF(H974&gt;0,D974-H974,"")</f>
        <v/>
      </c>
      <c r="J974" s="19" t="str">
        <f aca="false">IF(OR(I974="",E974=""),"",E974/I974*100)</f>
        <v/>
      </c>
      <c r="K974" s="20" t="str">
        <f aca="false">IF(I974="","",F974/I974)</f>
        <v/>
      </c>
    </row>
    <row r="975" customFormat="false" ht="15" hidden="false" customHeight="false" outlineLevel="0" collapsed="false">
      <c r="A975" s="12"/>
      <c r="B975" s="13"/>
      <c r="C975" s="13"/>
      <c r="D975" s="14"/>
      <c r="E975" s="15"/>
      <c r="F975" s="16"/>
      <c r="G975" s="17"/>
      <c r="H975" s="18" t="n">
        <f aca="false">IF(AND(C975="Yakıt",D975&lt;&gt;""),SUMPRODUCT(MAX(($B$5:$B$1004=B975)*($C$5:$C$1004="Yakıt")*($D$5:$D$1004&lt;D975)*$D$5:$D$1004)),0)</f>
        <v>0</v>
      </c>
      <c r="I975" s="18" t="str">
        <f aca="false">IF(H975&gt;0,D975-H975,"")</f>
        <v/>
      </c>
      <c r="J975" s="19" t="str">
        <f aca="false">IF(OR(I975="",E975=""),"",E975/I975*100)</f>
        <v/>
      </c>
      <c r="K975" s="20" t="str">
        <f aca="false">IF(I975="","",F975/I975)</f>
        <v/>
      </c>
    </row>
    <row r="976" customFormat="false" ht="15" hidden="false" customHeight="false" outlineLevel="0" collapsed="false">
      <c r="A976" s="12"/>
      <c r="B976" s="13"/>
      <c r="C976" s="13"/>
      <c r="D976" s="14"/>
      <c r="E976" s="15"/>
      <c r="F976" s="16"/>
      <c r="G976" s="17"/>
      <c r="H976" s="18" t="n">
        <f aca="false">IF(AND(C976="Yakıt",D976&lt;&gt;""),SUMPRODUCT(MAX(($B$5:$B$1004=B976)*($C$5:$C$1004="Yakıt")*($D$5:$D$1004&lt;D976)*$D$5:$D$1004)),0)</f>
        <v>0</v>
      </c>
      <c r="I976" s="18" t="str">
        <f aca="false">IF(H976&gt;0,D976-H976,"")</f>
        <v/>
      </c>
      <c r="J976" s="19" t="str">
        <f aca="false">IF(OR(I976="",E976=""),"",E976/I976*100)</f>
        <v/>
      </c>
      <c r="K976" s="20" t="str">
        <f aca="false">IF(I976="","",F976/I976)</f>
        <v/>
      </c>
    </row>
    <row r="977" customFormat="false" ht="15" hidden="false" customHeight="false" outlineLevel="0" collapsed="false">
      <c r="A977" s="12"/>
      <c r="B977" s="13"/>
      <c r="C977" s="13"/>
      <c r="D977" s="14"/>
      <c r="E977" s="15"/>
      <c r="F977" s="16"/>
      <c r="G977" s="17"/>
      <c r="H977" s="18" t="n">
        <f aca="false">IF(AND(C977="Yakıt",D977&lt;&gt;""),SUMPRODUCT(MAX(($B$5:$B$1004=B977)*($C$5:$C$1004="Yakıt")*($D$5:$D$1004&lt;D977)*$D$5:$D$1004)),0)</f>
        <v>0</v>
      </c>
      <c r="I977" s="18" t="str">
        <f aca="false">IF(H977&gt;0,D977-H977,"")</f>
        <v/>
      </c>
      <c r="J977" s="19" t="str">
        <f aca="false">IF(OR(I977="",E977=""),"",E977/I977*100)</f>
        <v/>
      </c>
      <c r="K977" s="20" t="str">
        <f aca="false">IF(I977="","",F977/I977)</f>
        <v/>
      </c>
    </row>
    <row r="978" customFormat="false" ht="15" hidden="false" customHeight="false" outlineLevel="0" collapsed="false">
      <c r="A978" s="12"/>
      <c r="B978" s="13"/>
      <c r="C978" s="13"/>
      <c r="D978" s="14"/>
      <c r="E978" s="15"/>
      <c r="F978" s="16"/>
      <c r="G978" s="17"/>
      <c r="H978" s="18" t="n">
        <f aca="false">IF(AND(C978="Yakıt",D978&lt;&gt;""),SUMPRODUCT(MAX(($B$5:$B$1004=B978)*($C$5:$C$1004="Yakıt")*($D$5:$D$1004&lt;D978)*$D$5:$D$1004)),0)</f>
        <v>0</v>
      </c>
      <c r="I978" s="18" t="str">
        <f aca="false">IF(H978&gt;0,D978-H978,"")</f>
        <v/>
      </c>
      <c r="J978" s="19" t="str">
        <f aca="false">IF(OR(I978="",E978=""),"",E978/I978*100)</f>
        <v/>
      </c>
      <c r="K978" s="20" t="str">
        <f aca="false">IF(I978="","",F978/I978)</f>
        <v/>
      </c>
    </row>
    <row r="979" customFormat="false" ht="15" hidden="false" customHeight="false" outlineLevel="0" collapsed="false">
      <c r="A979" s="12"/>
      <c r="B979" s="13"/>
      <c r="C979" s="13"/>
      <c r="D979" s="14"/>
      <c r="E979" s="15"/>
      <c r="F979" s="16"/>
      <c r="G979" s="17"/>
      <c r="H979" s="18" t="n">
        <f aca="false">IF(AND(C979="Yakıt",D979&lt;&gt;""),SUMPRODUCT(MAX(($B$5:$B$1004=B979)*($C$5:$C$1004="Yakıt")*($D$5:$D$1004&lt;D979)*$D$5:$D$1004)),0)</f>
        <v>0</v>
      </c>
      <c r="I979" s="18" t="str">
        <f aca="false">IF(H979&gt;0,D979-H979,"")</f>
        <v/>
      </c>
      <c r="J979" s="19" t="str">
        <f aca="false">IF(OR(I979="",E979=""),"",E979/I979*100)</f>
        <v/>
      </c>
      <c r="K979" s="20" t="str">
        <f aca="false">IF(I979="","",F979/I979)</f>
        <v/>
      </c>
    </row>
    <row r="980" customFormat="false" ht="15" hidden="false" customHeight="false" outlineLevel="0" collapsed="false">
      <c r="A980" s="12"/>
      <c r="B980" s="13"/>
      <c r="C980" s="13"/>
      <c r="D980" s="14"/>
      <c r="E980" s="15"/>
      <c r="F980" s="16"/>
      <c r="G980" s="17"/>
      <c r="H980" s="18" t="n">
        <f aca="false">IF(AND(C980="Yakıt",D980&lt;&gt;""),SUMPRODUCT(MAX(($B$5:$B$1004=B980)*($C$5:$C$1004="Yakıt")*($D$5:$D$1004&lt;D980)*$D$5:$D$1004)),0)</f>
        <v>0</v>
      </c>
      <c r="I980" s="18" t="str">
        <f aca="false">IF(H980&gt;0,D980-H980,"")</f>
        <v/>
      </c>
      <c r="J980" s="19" t="str">
        <f aca="false">IF(OR(I980="",E980=""),"",E980/I980*100)</f>
        <v/>
      </c>
      <c r="K980" s="20" t="str">
        <f aca="false">IF(I980="","",F980/I980)</f>
        <v/>
      </c>
    </row>
    <row r="981" customFormat="false" ht="15" hidden="false" customHeight="false" outlineLevel="0" collapsed="false">
      <c r="A981" s="12"/>
      <c r="B981" s="13"/>
      <c r="C981" s="13"/>
      <c r="D981" s="14"/>
      <c r="E981" s="15"/>
      <c r="F981" s="16"/>
      <c r="G981" s="17"/>
      <c r="H981" s="18" t="n">
        <f aca="false">IF(AND(C981="Yakıt",D981&lt;&gt;""),SUMPRODUCT(MAX(($B$5:$B$1004=B981)*($C$5:$C$1004="Yakıt")*($D$5:$D$1004&lt;D981)*$D$5:$D$1004)),0)</f>
        <v>0</v>
      </c>
      <c r="I981" s="18" t="str">
        <f aca="false">IF(H981&gt;0,D981-H981,"")</f>
        <v/>
      </c>
      <c r="J981" s="19" t="str">
        <f aca="false">IF(OR(I981="",E981=""),"",E981/I981*100)</f>
        <v/>
      </c>
      <c r="K981" s="20" t="str">
        <f aca="false">IF(I981="","",F981/I981)</f>
        <v/>
      </c>
    </row>
    <row r="982" customFormat="false" ht="15" hidden="false" customHeight="false" outlineLevel="0" collapsed="false">
      <c r="A982" s="12"/>
      <c r="B982" s="13"/>
      <c r="C982" s="13"/>
      <c r="D982" s="14"/>
      <c r="E982" s="15"/>
      <c r="F982" s="16"/>
      <c r="G982" s="17"/>
      <c r="H982" s="18" t="n">
        <f aca="false">IF(AND(C982="Yakıt",D982&lt;&gt;""),SUMPRODUCT(MAX(($B$5:$B$1004=B982)*($C$5:$C$1004="Yakıt")*($D$5:$D$1004&lt;D982)*$D$5:$D$1004)),0)</f>
        <v>0</v>
      </c>
      <c r="I982" s="18" t="str">
        <f aca="false">IF(H982&gt;0,D982-H982,"")</f>
        <v/>
      </c>
      <c r="J982" s="19" t="str">
        <f aca="false">IF(OR(I982="",E982=""),"",E982/I982*100)</f>
        <v/>
      </c>
      <c r="K982" s="20" t="str">
        <f aca="false">IF(I982="","",F982/I982)</f>
        <v/>
      </c>
    </row>
    <row r="983" customFormat="false" ht="15" hidden="false" customHeight="false" outlineLevel="0" collapsed="false">
      <c r="A983" s="12"/>
      <c r="B983" s="13"/>
      <c r="C983" s="13"/>
      <c r="D983" s="14"/>
      <c r="E983" s="15"/>
      <c r="F983" s="16"/>
      <c r="G983" s="17"/>
      <c r="H983" s="18" t="n">
        <f aca="false">IF(AND(C983="Yakıt",D983&lt;&gt;""),SUMPRODUCT(MAX(($B$5:$B$1004=B983)*($C$5:$C$1004="Yakıt")*($D$5:$D$1004&lt;D983)*$D$5:$D$1004)),0)</f>
        <v>0</v>
      </c>
      <c r="I983" s="18" t="str">
        <f aca="false">IF(H983&gt;0,D983-H983,"")</f>
        <v/>
      </c>
      <c r="J983" s="19" t="str">
        <f aca="false">IF(OR(I983="",E983=""),"",E983/I983*100)</f>
        <v/>
      </c>
      <c r="K983" s="20" t="str">
        <f aca="false">IF(I983="","",F983/I983)</f>
        <v/>
      </c>
    </row>
    <row r="984" customFormat="false" ht="15" hidden="false" customHeight="false" outlineLevel="0" collapsed="false">
      <c r="A984" s="12"/>
      <c r="B984" s="13"/>
      <c r="C984" s="13"/>
      <c r="D984" s="14"/>
      <c r="E984" s="15"/>
      <c r="F984" s="16"/>
      <c r="G984" s="17"/>
      <c r="H984" s="18" t="n">
        <f aca="false">IF(AND(C984="Yakıt",D984&lt;&gt;""),SUMPRODUCT(MAX(($B$5:$B$1004=B984)*($C$5:$C$1004="Yakıt")*($D$5:$D$1004&lt;D984)*$D$5:$D$1004)),0)</f>
        <v>0</v>
      </c>
      <c r="I984" s="18" t="str">
        <f aca="false">IF(H984&gt;0,D984-H984,"")</f>
        <v/>
      </c>
      <c r="J984" s="19" t="str">
        <f aca="false">IF(OR(I984="",E984=""),"",E984/I984*100)</f>
        <v/>
      </c>
      <c r="K984" s="20" t="str">
        <f aca="false">IF(I984="","",F984/I984)</f>
        <v/>
      </c>
    </row>
    <row r="985" customFormat="false" ht="15" hidden="false" customHeight="false" outlineLevel="0" collapsed="false">
      <c r="A985" s="12"/>
      <c r="B985" s="13"/>
      <c r="C985" s="13"/>
      <c r="D985" s="14"/>
      <c r="E985" s="15"/>
      <c r="F985" s="16"/>
      <c r="G985" s="17"/>
      <c r="H985" s="18" t="n">
        <f aca="false">IF(AND(C985="Yakıt",D985&lt;&gt;""),SUMPRODUCT(MAX(($B$5:$B$1004=B985)*($C$5:$C$1004="Yakıt")*($D$5:$D$1004&lt;D985)*$D$5:$D$1004)),0)</f>
        <v>0</v>
      </c>
      <c r="I985" s="18" t="str">
        <f aca="false">IF(H985&gt;0,D985-H985,"")</f>
        <v/>
      </c>
      <c r="J985" s="19" t="str">
        <f aca="false">IF(OR(I985="",E985=""),"",E985/I985*100)</f>
        <v/>
      </c>
      <c r="K985" s="20" t="str">
        <f aca="false">IF(I985="","",F985/I985)</f>
        <v/>
      </c>
    </row>
    <row r="986" customFormat="false" ht="15" hidden="false" customHeight="false" outlineLevel="0" collapsed="false">
      <c r="A986" s="12"/>
      <c r="B986" s="13"/>
      <c r="C986" s="13"/>
      <c r="D986" s="14"/>
      <c r="E986" s="15"/>
      <c r="F986" s="16"/>
      <c r="G986" s="17"/>
      <c r="H986" s="18" t="n">
        <f aca="false">IF(AND(C986="Yakıt",D986&lt;&gt;""),SUMPRODUCT(MAX(($B$5:$B$1004=B986)*($C$5:$C$1004="Yakıt")*($D$5:$D$1004&lt;D986)*$D$5:$D$1004)),0)</f>
        <v>0</v>
      </c>
      <c r="I986" s="18" t="str">
        <f aca="false">IF(H986&gt;0,D986-H986,"")</f>
        <v/>
      </c>
      <c r="J986" s="19" t="str">
        <f aca="false">IF(OR(I986="",E986=""),"",E986/I986*100)</f>
        <v/>
      </c>
      <c r="K986" s="20" t="str">
        <f aca="false">IF(I986="","",F986/I986)</f>
        <v/>
      </c>
    </row>
    <row r="987" customFormat="false" ht="15" hidden="false" customHeight="false" outlineLevel="0" collapsed="false">
      <c r="A987" s="12"/>
      <c r="B987" s="13"/>
      <c r="C987" s="13"/>
      <c r="D987" s="14"/>
      <c r="E987" s="15"/>
      <c r="F987" s="16"/>
      <c r="G987" s="17"/>
      <c r="H987" s="18" t="n">
        <f aca="false">IF(AND(C987="Yakıt",D987&lt;&gt;""),SUMPRODUCT(MAX(($B$5:$B$1004=B987)*($C$5:$C$1004="Yakıt")*($D$5:$D$1004&lt;D987)*$D$5:$D$1004)),0)</f>
        <v>0</v>
      </c>
      <c r="I987" s="18" t="str">
        <f aca="false">IF(H987&gt;0,D987-H987,"")</f>
        <v/>
      </c>
      <c r="J987" s="19" t="str">
        <f aca="false">IF(OR(I987="",E987=""),"",E987/I987*100)</f>
        <v/>
      </c>
      <c r="K987" s="20" t="str">
        <f aca="false">IF(I987="","",F987/I987)</f>
        <v/>
      </c>
    </row>
    <row r="988" customFormat="false" ht="15" hidden="false" customHeight="false" outlineLevel="0" collapsed="false">
      <c r="A988" s="12"/>
      <c r="B988" s="13"/>
      <c r="C988" s="13"/>
      <c r="D988" s="14"/>
      <c r="E988" s="15"/>
      <c r="F988" s="16"/>
      <c r="G988" s="17"/>
      <c r="H988" s="18" t="n">
        <f aca="false">IF(AND(C988="Yakıt",D988&lt;&gt;""),SUMPRODUCT(MAX(($B$5:$B$1004=B988)*($C$5:$C$1004="Yakıt")*($D$5:$D$1004&lt;D988)*$D$5:$D$1004)),0)</f>
        <v>0</v>
      </c>
      <c r="I988" s="18" t="str">
        <f aca="false">IF(H988&gt;0,D988-H988,"")</f>
        <v/>
      </c>
      <c r="J988" s="19" t="str">
        <f aca="false">IF(OR(I988="",E988=""),"",E988/I988*100)</f>
        <v/>
      </c>
      <c r="K988" s="20" t="str">
        <f aca="false">IF(I988="","",F988/I988)</f>
        <v/>
      </c>
    </row>
    <row r="989" customFormat="false" ht="15" hidden="false" customHeight="false" outlineLevel="0" collapsed="false">
      <c r="A989" s="12"/>
      <c r="B989" s="13"/>
      <c r="C989" s="13"/>
      <c r="D989" s="14"/>
      <c r="E989" s="15"/>
      <c r="F989" s="16"/>
      <c r="G989" s="17"/>
      <c r="H989" s="18" t="n">
        <f aca="false">IF(AND(C989="Yakıt",D989&lt;&gt;""),SUMPRODUCT(MAX(($B$5:$B$1004=B989)*($C$5:$C$1004="Yakıt")*($D$5:$D$1004&lt;D989)*$D$5:$D$1004)),0)</f>
        <v>0</v>
      </c>
      <c r="I989" s="18" t="str">
        <f aca="false">IF(H989&gt;0,D989-H989,"")</f>
        <v/>
      </c>
      <c r="J989" s="19" t="str">
        <f aca="false">IF(OR(I989="",E989=""),"",E989/I989*100)</f>
        <v/>
      </c>
      <c r="K989" s="20" t="str">
        <f aca="false">IF(I989="","",F989/I989)</f>
        <v/>
      </c>
    </row>
    <row r="990" customFormat="false" ht="15" hidden="false" customHeight="false" outlineLevel="0" collapsed="false">
      <c r="A990" s="12"/>
      <c r="B990" s="13"/>
      <c r="C990" s="13"/>
      <c r="D990" s="14"/>
      <c r="E990" s="15"/>
      <c r="F990" s="16"/>
      <c r="G990" s="17"/>
      <c r="H990" s="18" t="n">
        <f aca="false">IF(AND(C990="Yakıt",D990&lt;&gt;""),SUMPRODUCT(MAX(($B$5:$B$1004=B990)*($C$5:$C$1004="Yakıt")*($D$5:$D$1004&lt;D990)*$D$5:$D$1004)),0)</f>
        <v>0</v>
      </c>
      <c r="I990" s="18" t="str">
        <f aca="false">IF(H990&gt;0,D990-H990,"")</f>
        <v/>
      </c>
      <c r="J990" s="19" t="str">
        <f aca="false">IF(OR(I990="",E990=""),"",E990/I990*100)</f>
        <v/>
      </c>
      <c r="K990" s="20" t="str">
        <f aca="false">IF(I990="","",F990/I990)</f>
        <v/>
      </c>
    </row>
    <row r="991" customFormat="false" ht="15" hidden="false" customHeight="false" outlineLevel="0" collapsed="false">
      <c r="A991" s="12"/>
      <c r="B991" s="13"/>
      <c r="C991" s="13"/>
      <c r="D991" s="14"/>
      <c r="E991" s="15"/>
      <c r="F991" s="16"/>
      <c r="G991" s="17"/>
      <c r="H991" s="18" t="n">
        <f aca="false">IF(AND(C991="Yakıt",D991&lt;&gt;""),SUMPRODUCT(MAX(($B$5:$B$1004=B991)*($C$5:$C$1004="Yakıt")*($D$5:$D$1004&lt;D991)*$D$5:$D$1004)),0)</f>
        <v>0</v>
      </c>
      <c r="I991" s="18" t="str">
        <f aca="false">IF(H991&gt;0,D991-H991,"")</f>
        <v/>
      </c>
      <c r="J991" s="19" t="str">
        <f aca="false">IF(OR(I991="",E991=""),"",E991/I991*100)</f>
        <v/>
      </c>
      <c r="K991" s="20" t="str">
        <f aca="false">IF(I991="","",F991/I991)</f>
        <v/>
      </c>
    </row>
    <row r="992" customFormat="false" ht="15" hidden="false" customHeight="false" outlineLevel="0" collapsed="false">
      <c r="A992" s="12"/>
      <c r="B992" s="13"/>
      <c r="C992" s="13"/>
      <c r="D992" s="14"/>
      <c r="E992" s="15"/>
      <c r="F992" s="16"/>
      <c r="G992" s="17"/>
      <c r="H992" s="18" t="n">
        <f aca="false">IF(AND(C992="Yakıt",D992&lt;&gt;""),SUMPRODUCT(MAX(($B$5:$B$1004=B992)*($C$5:$C$1004="Yakıt")*($D$5:$D$1004&lt;D992)*$D$5:$D$1004)),0)</f>
        <v>0</v>
      </c>
      <c r="I992" s="18" t="str">
        <f aca="false">IF(H992&gt;0,D992-H992,"")</f>
        <v/>
      </c>
      <c r="J992" s="19" t="str">
        <f aca="false">IF(OR(I992="",E992=""),"",E992/I992*100)</f>
        <v/>
      </c>
      <c r="K992" s="20" t="str">
        <f aca="false">IF(I992="","",F992/I992)</f>
        <v/>
      </c>
    </row>
    <row r="993" customFormat="false" ht="15" hidden="false" customHeight="false" outlineLevel="0" collapsed="false">
      <c r="A993" s="12"/>
      <c r="B993" s="13"/>
      <c r="C993" s="13"/>
      <c r="D993" s="14"/>
      <c r="E993" s="15"/>
      <c r="F993" s="16"/>
      <c r="G993" s="17"/>
      <c r="H993" s="18" t="n">
        <f aca="false">IF(AND(C993="Yakıt",D993&lt;&gt;""),SUMPRODUCT(MAX(($B$5:$B$1004=B993)*($C$5:$C$1004="Yakıt")*($D$5:$D$1004&lt;D993)*$D$5:$D$1004)),0)</f>
        <v>0</v>
      </c>
      <c r="I993" s="18" t="str">
        <f aca="false">IF(H993&gt;0,D993-H993,"")</f>
        <v/>
      </c>
      <c r="J993" s="19" t="str">
        <f aca="false">IF(OR(I993="",E993=""),"",E993/I993*100)</f>
        <v/>
      </c>
      <c r="K993" s="20" t="str">
        <f aca="false">IF(I993="","",F993/I993)</f>
        <v/>
      </c>
    </row>
    <row r="994" customFormat="false" ht="15" hidden="false" customHeight="false" outlineLevel="0" collapsed="false">
      <c r="A994" s="12"/>
      <c r="B994" s="13"/>
      <c r="C994" s="13"/>
      <c r="D994" s="14"/>
      <c r="E994" s="15"/>
      <c r="F994" s="16"/>
      <c r="G994" s="17"/>
      <c r="H994" s="18" t="n">
        <f aca="false">IF(AND(C994="Yakıt",D994&lt;&gt;""),SUMPRODUCT(MAX(($B$5:$B$1004=B994)*($C$5:$C$1004="Yakıt")*($D$5:$D$1004&lt;D994)*$D$5:$D$1004)),0)</f>
        <v>0</v>
      </c>
      <c r="I994" s="18" t="str">
        <f aca="false">IF(H994&gt;0,D994-H994,"")</f>
        <v/>
      </c>
      <c r="J994" s="19" t="str">
        <f aca="false">IF(OR(I994="",E994=""),"",E994/I994*100)</f>
        <v/>
      </c>
      <c r="K994" s="20" t="str">
        <f aca="false">IF(I994="","",F994/I994)</f>
        <v/>
      </c>
    </row>
    <row r="995" customFormat="false" ht="15" hidden="false" customHeight="false" outlineLevel="0" collapsed="false">
      <c r="A995" s="12"/>
      <c r="B995" s="13"/>
      <c r="C995" s="13"/>
      <c r="D995" s="14"/>
      <c r="E995" s="15"/>
      <c r="F995" s="16"/>
      <c r="G995" s="17"/>
      <c r="H995" s="18" t="n">
        <f aca="false">IF(AND(C995="Yakıt",D995&lt;&gt;""),SUMPRODUCT(MAX(($B$5:$B$1004=B995)*($C$5:$C$1004="Yakıt")*($D$5:$D$1004&lt;D995)*$D$5:$D$1004)),0)</f>
        <v>0</v>
      </c>
      <c r="I995" s="18" t="str">
        <f aca="false">IF(H995&gt;0,D995-H995,"")</f>
        <v/>
      </c>
      <c r="J995" s="19" t="str">
        <f aca="false">IF(OR(I995="",E995=""),"",E995/I995*100)</f>
        <v/>
      </c>
      <c r="K995" s="20" t="str">
        <f aca="false">IF(I995="","",F995/I995)</f>
        <v/>
      </c>
    </row>
    <row r="996" customFormat="false" ht="15" hidden="false" customHeight="false" outlineLevel="0" collapsed="false">
      <c r="A996" s="12"/>
      <c r="B996" s="13"/>
      <c r="C996" s="13"/>
      <c r="D996" s="14"/>
      <c r="E996" s="15"/>
      <c r="F996" s="16"/>
      <c r="G996" s="17"/>
      <c r="H996" s="18" t="n">
        <f aca="false">IF(AND(C996="Yakıt",D996&lt;&gt;""),SUMPRODUCT(MAX(($B$5:$B$1004=B996)*($C$5:$C$1004="Yakıt")*($D$5:$D$1004&lt;D996)*$D$5:$D$1004)),0)</f>
        <v>0</v>
      </c>
      <c r="I996" s="18" t="str">
        <f aca="false">IF(H996&gt;0,D996-H996,"")</f>
        <v/>
      </c>
      <c r="J996" s="19" t="str">
        <f aca="false">IF(OR(I996="",E996=""),"",E996/I996*100)</f>
        <v/>
      </c>
      <c r="K996" s="20" t="str">
        <f aca="false">IF(I996="","",F996/I996)</f>
        <v/>
      </c>
    </row>
    <row r="997" customFormat="false" ht="15" hidden="false" customHeight="false" outlineLevel="0" collapsed="false">
      <c r="A997" s="12"/>
      <c r="B997" s="13"/>
      <c r="C997" s="13"/>
      <c r="D997" s="14"/>
      <c r="E997" s="15"/>
      <c r="F997" s="16"/>
      <c r="G997" s="17"/>
      <c r="H997" s="18" t="n">
        <f aca="false">IF(AND(C997="Yakıt",D997&lt;&gt;""),SUMPRODUCT(MAX(($B$5:$B$1004=B997)*($C$5:$C$1004="Yakıt")*($D$5:$D$1004&lt;D997)*$D$5:$D$1004)),0)</f>
        <v>0</v>
      </c>
      <c r="I997" s="18" t="str">
        <f aca="false">IF(H997&gt;0,D997-H997,"")</f>
        <v/>
      </c>
      <c r="J997" s="19" t="str">
        <f aca="false">IF(OR(I997="",E997=""),"",E997/I997*100)</f>
        <v/>
      </c>
      <c r="K997" s="20" t="str">
        <f aca="false">IF(I997="","",F997/I997)</f>
        <v/>
      </c>
    </row>
    <row r="998" customFormat="false" ht="15" hidden="false" customHeight="false" outlineLevel="0" collapsed="false">
      <c r="A998" s="12"/>
      <c r="B998" s="13"/>
      <c r="C998" s="13"/>
      <c r="D998" s="14"/>
      <c r="E998" s="15"/>
      <c r="F998" s="16"/>
      <c r="G998" s="17"/>
      <c r="H998" s="18" t="n">
        <f aca="false">IF(AND(C998="Yakıt",D998&lt;&gt;""),SUMPRODUCT(MAX(($B$5:$B$1004=B998)*($C$5:$C$1004="Yakıt")*($D$5:$D$1004&lt;D998)*$D$5:$D$1004)),0)</f>
        <v>0</v>
      </c>
      <c r="I998" s="18" t="str">
        <f aca="false">IF(H998&gt;0,D998-H998,"")</f>
        <v/>
      </c>
      <c r="J998" s="19" t="str">
        <f aca="false">IF(OR(I998="",E998=""),"",E998/I998*100)</f>
        <v/>
      </c>
      <c r="K998" s="20" t="str">
        <f aca="false">IF(I998="","",F998/I998)</f>
        <v/>
      </c>
    </row>
    <row r="999" customFormat="false" ht="15" hidden="false" customHeight="false" outlineLevel="0" collapsed="false">
      <c r="A999" s="12"/>
      <c r="B999" s="13"/>
      <c r="C999" s="13"/>
      <c r="D999" s="14"/>
      <c r="E999" s="15"/>
      <c r="F999" s="16"/>
      <c r="G999" s="17"/>
      <c r="H999" s="18" t="n">
        <f aca="false">IF(AND(C999="Yakıt",D999&lt;&gt;""),SUMPRODUCT(MAX(($B$5:$B$1004=B999)*($C$5:$C$1004="Yakıt")*($D$5:$D$1004&lt;D999)*$D$5:$D$1004)),0)</f>
        <v>0</v>
      </c>
      <c r="I999" s="18" t="str">
        <f aca="false">IF(H999&gt;0,D999-H999,"")</f>
        <v/>
      </c>
      <c r="J999" s="19" t="str">
        <f aca="false">IF(OR(I999="",E999=""),"",E999/I999*100)</f>
        <v/>
      </c>
      <c r="K999" s="20" t="str">
        <f aca="false">IF(I999="","",F999/I999)</f>
        <v/>
      </c>
    </row>
    <row r="1000" customFormat="false" ht="15" hidden="false" customHeight="false" outlineLevel="0" collapsed="false">
      <c r="A1000" s="12"/>
      <c r="B1000" s="13"/>
      <c r="C1000" s="13"/>
      <c r="D1000" s="14"/>
      <c r="E1000" s="15"/>
      <c r="F1000" s="16"/>
      <c r="G1000" s="17"/>
      <c r="H1000" s="18" t="n">
        <f aca="false">IF(AND(C1000="Yakıt",D1000&lt;&gt;""),SUMPRODUCT(MAX(($B$5:$B$1004=B1000)*($C$5:$C$1004="Yakıt")*($D$5:$D$1004&lt;D1000)*$D$5:$D$1004)),0)</f>
        <v>0</v>
      </c>
      <c r="I1000" s="18" t="str">
        <f aca="false">IF(H1000&gt;0,D1000-H1000,"")</f>
        <v/>
      </c>
      <c r="J1000" s="19" t="str">
        <f aca="false">IF(OR(I1000="",E1000=""),"",E1000/I1000*100)</f>
        <v/>
      </c>
      <c r="K1000" s="20" t="str">
        <f aca="false">IF(I1000="","",F1000/I1000)</f>
        <v/>
      </c>
    </row>
    <row r="1001" customFormat="false" ht="15" hidden="false" customHeight="false" outlineLevel="0" collapsed="false">
      <c r="A1001" s="12"/>
      <c r="B1001" s="13"/>
      <c r="C1001" s="13"/>
      <c r="D1001" s="14"/>
      <c r="E1001" s="15"/>
      <c r="F1001" s="16"/>
      <c r="G1001" s="17"/>
      <c r="H1001" s="18" t="n">
        <f aca="false">IF(AND(C1001="Yakıt",D1001&lt;&gt;""),SUMPRODUCT(MAX(($B$5:$B$1004=B1001)*($C$5:$C$1004="Yakıt")*($D$5:$D$1004&lt;D1001)*$D$5:$D$1004)),0)</f>
        <v>0</v>
      </c>
      <c r="I1001" s="18" t="str">
        <f aca="false">IF(H1001&gt;0,D1001-H1001,"")</f>
        <v/>
      </c>
      <c r="J1001" s="19" t="str">
        <f aca="false">IF(OR(I1001="",E1001=""),"",E1001/I1001*100)</f>
        <v/>
      </c>
      <c r="K1001" s="20" t="str">
        <f aca="false">IF(I1001="","",F1001/I1001)</f>
        <v/>
      </c>
    </row>
    <row r="1002" customFormat="false" ht="15" hidden="false" customHeight="false" outlineLevel="0" collapsed="false">
      <c r="A1002" s="12"/>
      <c r="B1002" s="13"/>
      <c r="C1002" s="13"/>
      <c r="D1002" s="14"/>
      <c r="E1002" s="15"/>
      <c r="F1002" s="16"/>
      <c r="G1002" s="17"/>
      <c r="H1002" s="18" t="n">
        <f aca="false">IF(AND(C1002="Yakıt",D1002&lt;&gt;""),SUMPRODUCT(MAX(($B$5:$B$1004=B1002)*($C$5:$C$1004="Yakıt")*($D$5:$D$1004&lt;D1002)*$D$5:$D$1004)),0)</f>
        <v>0</v>
      </c>
      <c r="I1002" s="18" t="str">
        <f aca="false">IF(H1002&gt;0,D1002-H1002,"")</f>
        <v/>
      </c>
      <c r="J1002" s="19" t="str">
        <f aca="false">IF(OR(I1002="",E1002=""),"",E1002/I1002*100)</f>
        <v/>
      </c>
      <c r="K1002" s="20" t="str">
        <f aca="false">IF(I1002="","",F1002/I1002)</f>
        <v/>
      </c>
    </row>
    <row r="1003" customFormat="false" ht="15" hidden="false" customHeight="false" outlineLevel="0" collapsed="false">
      <c r="A1003" s="12"/>
      <c r="B1003" s="13"/>
      <c r="C1003" s="13"/>
      <c r="D1003" s="14"/>
      <c r="E1003" s="15"/>
      <c r="F1003" s="16"/>
      <c r="G1003" s="17"/>
      <c r="H1003" s="18" t="n">
        <f aca="false">IF(AND(C1003="Yakıt",D1003&lt;&gt;""),SUMPRODUCT(MAX(($B$5:$B$1004=B1003)*($C$5:$C$1004="Yakıt")*($D$5:$D$1004&lt;D1003)*$D$5:$D$1004)),0)</f>
        <v>0</v>
      </c>
      <c r="I1003" s="18" t="str">
        <f aca="false">IF(H1003&gt;0,D1003-H1003,"")</f>
        <v/>
      </c>
      <c r="J1003" s="19" t="str">
        <f aca="false">IF(OR(I1003="",E1003=""),"",E1003/I1003*100)</f>
        <v/>
      </c>
      <c r="K1003" s="20" t="str">
        <f aca="false">IF(I1003="","",F1003/I1003)</f>
        <v/>
      </c>
    </row>
    <row r="1004" customFormat="false" ht="15" hidden="false" customHeight="false" outlineLevel="0" collapsed="false">
      <c r="A1004" s="12"/>
      <c r="B1004" s="13"/>
      <c r="C1004" s="13"/>
      <c r="D1004" s="14"/>
      <c r="E1004" s="15"/>
      <c r="F1004" s="16"/>
      <c r="G1004" s="17"/>
      <c r="H1004" s="18" t="n">
        <f aca="false">IF(AND(C1004="Yakıt",D1004&lt;&gt;""),SUMPRODUCT(MAX(($B$5:$B$1004=B1004)*($C$5:$C$1004="Yakıt")*($D$5:$D$1004&lt;D1004)*$D$5:$D$1004)),0)</f>
        <v>0</v>
      </c>
      <c r="I1004" s="18" t="str">
        <f aca="false">IF(H1004&gt;0,D1004-H1004,"")</f>
        <v/>
      </c>
      <c r="J1004" s="19" t="str">
        <f aca="false">IF(OR(I1004="",E1004=""),"",E1004/I1004*100)</f>
        <v/>
      </c>
      <c r="K1004" s="20" t="str">
        <f aca="false">IF(I1004="","",F1004/I1004)</f>
        <v/>
      </c>
    </row>
  </sheetData>
  <dataValidations count="4">
    <dataValidation allowBlank="true" error="Geçerli bir tarih gir (örnek: 05.10.2026)." errorStyle="stop" errorTitle="Kontrol" operator="greaterThan" showDropDown="false" showErrorMessage="true" showInputMessage="false" sqref="A5:A100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F10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B5:B1004" type="list">
      <formula1>Listeler!$A$5:$A$34</formula1>
      <formula2>0</formula2>
    </dataValidation>
    <dataValidation allowBlank="true" error="Listeden seç." errorStyle="stop" errorTitle="Kontrol" operator="between" showDropDown="false" showErrorMessage="true" showInputMessage="false" sqref="C5:C1004" type="list">
      <formula1>Listeler!$B$5:$B$34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8" t="s">
        <v>41</v>
      </c>
    </row>
    <row r="2" customFormat="false" ht="15" hidden="false" customHeight="false" outlineLevel="0" collapsed="false">
      <c r="A2" s="9" t="s">
        <v>42</v>
      </c>
    </row>
    <row r="4" customFormat="false" ht="27.75" hidden="false" customHeight="true" outlineLevel="0" collapsed="false">
      <c r="A4" s="10" t="s">
        <v>43</v>
      </c>
      <c r="B4" s="10" t="s">
        <v>44</v>
      </c>
      <c r="C4" s="10" t="s">
        <v>45</v>
      </c>
      <c r="D4" s="10" t="s">
        <v>46</v>
      </c>
      <c r="E4" s="10" t="s">
        <v>47</v>
      </c>
      <c r="F4" s="11" t="s">
        <v>48</v>
      </c>
      <c r="G4" s="11" t="s">
        <v>49</v>
      </c>
      <c r="H4" s="11" t="s">
        <v>50</v>
      </c>
    </row>
    <row r="5" customFormat="false" ht="15" hidden="false" customHeight="false" outlineLevel="0" collapsed="false">
      <c r="A5" s="17" t="s">
        <v>51</v>
      </c>
      <c r="B5" s="12" t="n">
        <v>46091</v>
      </c>
      <c r="C5" s="14" t="n">
        <v>4000</v>
      </c>
      <c r="D5" s="14" t="n">
        <v>12</v>
      </c>
      <c r="E5" s="14" t="n">
        <v>10000</v>
      </c>
      <c r="F5" s="21" t="n">
        <f aca="false">IF(OR(A5="",B5="",D5=""),"",EDATE(B5,D5))</f>
        <v>46456</v>
      </c>
      <c r="G5" s="18" t="n">
        <f aca="false">IF(OR(A5="",C5="",E5=""),"",C5+E5)</f>
        <v>14000</v>
      </c>
      <c r="H5" s="22" t="str">
        <f aca="true">IF(A5="","",IF(OR(AND(F5&lt;&gt;"",F5&lt;=TODAY()),AND(G5&lt;&gt;"",G5&lt;=MAX(Giderler!$D$5:$D$1004))),"Zamanı geldi",IF(OR(AND(F5&lt;&gt;"",F5&lt;=TODAY()+30),AND(G5&lt;&gt;"",G5&lt;=MAX(Giderler!$D$5:$D$1004)+1000)),"Yaklaşıyor","Var")))</f>
        <v>Var</v>
      </c>
    </row>
    <row r="6" customFormat="false" ht="15" hidden="false" customHeight="false" outlineLevel="0" collapsed="false">
      <c r="A6" s="17" t="s">
        <v>52</v>
      </c>
      <c r="B6" s="12" t="n">
        <v>45585</v>
      </c>
      <c r="C6" s="14"/>
      <c r="D6" s="14" t="n">
        <v>24</v>
      </c>
      <c r="E6" s="14"/>
      <c r="F6" s="21" t="n">
        <f aca="false">IF(OR(A6="",B6="",D6=""),"",EDATE(B6,D6))</f>
        <v>46315</v>
      </c>
      <c r="G6" s="18" t="str">
        <f aca="false">IF(OR(A6="",C6="",E6=""),"",C6+E6)</f>
        <v/>
      </c>
      <c r="H6" s="22" t="str">
        <f aca="true">IF(A6="","",IF(OR(AND(F6&lt;&gt;"",F6&lt;=TODAY()),AND(G6&lt;&gt;"",G6&lt;=MAX(Giderler!$D$5:$D$1004))),"Zamanı geldi",IF(OR(AND(F6&lt;&gt;"",F6&lt;=TODAY()+30),AND(G6&lt;&gt;"",G6&lt;=MAX(Giderler!$D$5:$D$1004)+1000)),"Yaklaşıyor","Var")))</f>
        <v>Yaklaşıyor</v>
      </c>
    </row>
    <row r="7" customFormat="false" ht="15" hidden="false" customHeight="false" outlineLevel="0" collapsed="false">
      <c r="A7" s="17" t="s">
        <v>53</v>
      </c>
      <c r="B7" s="12" t="n">
        <v>45976</v>
      </c>
      <c r="C7" s="14"/>
      <c r="D7" s="14" t="n">
        <v>12</v>
      </c>
      <c r="E7" s="14"/>
      <c r="F7" s="21" t="n">
        <f aca="false">IF(OR(A7="",B7="",D7=""),"",EDATE(B7,D7))</f>
        <v>46341</v>
      </c>
      <c r="G7" s="18" t="str">
        <f aca="false">IF(OR(A7="",C7="",E7=""),"",C7+E7)</f>
        <v/>
      </c>
      <c r="H7" s="22" t="str">
        <f aca="true">IF(A7="","",IF(OR(AND(F7&lt;&gt;"",F7&lt;=TODAY()),AND(G7&lt;&gt;"",G7&lt;=MAX(Giderler!$D$5:$D$1004))),"Zamanı geldi",IF(OR(AND(F7&lt;&gt;"",F7&lt;=TODAY()+30),AND(G7&lt;&gt;"",G7&lt;=MAX(Giderler!$D$5:$D$1004)+1000)),"Yaklaşıyor","Var")))</f>
        <v>Var</v>
      </c>
    </row>
    <row r="8" customFormat="false" ht="15" hidden="false" customHeight="false" outlineLevel="0" collapsed="false">
      <c r="A8" s="17" t="s">
        <v>54</v>
      </c>
      <c r="B8" s="12" t="n">
        <v>45047</v>
      </c>
      <c r="C8" s="14" t="n">
        <v>1000</v>
      </c>
      <c r="D8" s="14" t="n">
        <v>60</v>
      </c>
      <c r="E8" s="14" t="n">
        <v>90000</v>
      </c>
      <c r="F8" s="21" t="n">
        <f aca="false">IF(OR(A8="",B8="",D8=""),"",EDATE(B8,D8))</f>
        <v>46874</v>
      </c>
      <c r="G8" s="18" t="n">
        <f aca="false">IF(OR(A8="",C8="",E8=""),"",C8+E8)</f>
        <v>91000</v>
      </c>
      <c r="H8" s="22" t="str">
        <f aca="true">IF(A8="","",IF(OR(AND(F8&lt;&gt;"",F8&lt;=TODAY()),AND(G8&lt;&gt;"",G8&lt;=MAX(Giderler!$D$5:$D$1004))),"Zamanı geldi",IF(OR(AND(F8&lt;&gt;"",F8&lt;=TODAY()+30),AND(G8&lt;&gt;"",G8&lt;=MAX(Giderler!$D$5:$D$1004)+1000)),"Yaklaşıyor","Var")))</f>
        <v>Var</v>
      </c>
    </row>
    <row r="9" customFormat="false" ht="15" hidden="false" customHeight="false" outlineLevel="0" collapsed="false">
      <c r="A9" s="17"/>
      <c r="B9" s="12"/>
      <c r="C9" s="14"/>
      <c r="D9" s="14"/>
      <c r="E9" s="14"/>
      <c r="F9" s="21" t="str">
        <f aca="false">IF(OR(A9="",B9="",D9=""),"",EDATE(B9,D9))</f>
        <v/>
      </c>
      <c r="G9" s="18" t="str">
        <f aca="false">IF(OR(A9="",C9="",E9=""),"",C9+E9)</f>
        <v/>
      </c>
      <c r="H9" s="22" t="str">
        <f aca="true">IF(A9="","",IF(OR(AND(F9&lt;&gt;"",F9&lt;=TODAY()),AND(G9&lt;&gt;"",G9&lt;=MAX(Giderler!$D$5:$D$1004))),"Zamanı geldi",IF(OR(AND(F9&lt;&gt;"",F9&lt;=TODAY()+30),AND(G9&lt;&gt;"",G9&lt;=MAX(Giderler!$D$5:$D$1004)+1000)),"Yaklaşıyor","Var")))</f>
        <v/>
      </c>
    </row>
    <row r="10" customFormat="false" ht="15" hidden="false" customHeight="false" outlineLevel="0" collapsed="false">
      <c r="A10" s="17"/>
      <c r="B10" s="12"/>
      <c r="C10" s="14"/>
      <c r="D10" s="14"/>
      <c r="E10" s="14"/>
      <c r="F10" s="21" t="str">
        <f aca="false">IF(OR(A10="",B10="",D10=""),"",EDATE(B10,D10))</f>
        <v/>
      </c>
      <c r="G10" s="18" t="str">
        <f aca="false">IF(OR(A10="",C10="",E10=""),"",C10+E10)</f>
        <v/>
      </c>
      <c r="H10" s="22" t="str">
        <f aca="true">IF(A10="","",IF(OR(AND(F10&lt;&gt;"",F10&lt;=TODAY()),AND(G10&lt;&gt;"",G10&lt;=MAX(Giderler!$D$5:$D$1004))),"Zamanı geldi",IF(OR(AND(F10&lt;&gt;"",F10&lt;=TODAY()+30),AND(G10&lt;&gt;"",G10&lt;=MAX(Giderler!$D$5:$D$1004)+1000)),"Yaklaşıyor","Var")))</f>
        <v/>
      </c>
    </row>
    <row r="11" customFormat="false" ht="15" hidden="false" customHeight="false" outlineLevel="0" collapsed="false">
      <c r="A11" s="17"/>
      <c r="B11" s="12"/>
      <c r="C11" s="14"/>
      <c r="D11" s="14"/>
      <c r="E11" s="14"/>
      <c r="F11" s="21" t="str">
        <f aca="false">IF(OR(A11="",B11="",D11=""),"",EDATE(B11,D11))</f>
        <v/>
      </c>
      <c r="G11" s="18" t="str">
        <f aca="false">IF(OR(A11="",C11="",E11=""),"",C11+E11)</f>
        <v/>
      </c>
      <c r="H11" s="22" t="str">
        <f aca="true">IF(A11="","",IF(OR(AND(F11&lt;&gt;"",F11&lt;=TODAY()),AND(G11&lt;&gt;"",G11&lt;=MAX(Giderler!$D$5:$D$1004))),"Zamanı geldi",IF(OR(AND(F11&lt;&gt;"",F11&lt;=TODAY()+30),AND(G11&lt;&gt;"",G11&lt;=MAX(Giderler!$D$5:$D$1004)+1000)),"Yaklaşıyor","Var")))</f>
        <v/>
      </c>
    </row>
    <row r="12" customFormat="false" ht="15" hidden="false" customHeight="false" outlineLevel="0" collapsed="false">
      <c r="A12" s="17"/>
      <c r="B12" s="12"/>
      <c r="C12" s="14"/>
      <c r="D12" s="14"/>
      <c r="E12" s="14"/>
      <c r="F12" s="21" t="str">
        <f aca="false">IF(OR(A12="",B12="",D12=""),"",EDATE(B12,D12))</f>
        <v/>
      </c>
      <c r="G12" s="18" t="str">
        <f aca="false">IF(OR(A12="",C12="",E12=""),"",C12+E12)</f>
        <v/>
      </c>
      <c r="H12" s="22" t="str">
        <f aca="true">IF(A12="","",IF(OR(AND(F12&lt;&gt;"",F12&lt;=TODAY()),AND(G12&lt;&gt;"",G12&lt;=MAX(Giderler!$D$5:$D$1004))),"Zamanı geldi",IF(OR(AND(F12&lt;&gt;"",F12&lt;=TODAY()+30),AND(G12&lt;&gt;"",G12&lt;=MAX(Giderler!$D$5:$D$1004)+1000)),"Yaklaşıyor","Var")))</f>
        <v/>
      </c>
    </row>
    <row r="13" customFormat="false" ht="15" hidden="false" customHeight="false" outlineLevel="0" collapsed="false">
      <c r="A13" s="17"/>
      <c r="B13" s="12"/>
      <c r="C13" s="14"/>
      <c r="D13" s="14"/>
      <c r="E13" s="14"/>
      <c r="F13" s="21" t="str">
        <f aca="false">IF(OR(A13="",B13="",D13=""),"",EDATE(B13,D13))</f>
        <v/>
      </c>
      <c r="G13" s="18" t="str">
        <f aca="false">IF(OR(A13="",C13="",E13=""),"",C13+E13)</f>
        <v/>
      </c>
      <c r="H13" s="22" t="str">
        <f aca="true">IF(A13="","",IF(OR(AND(F13&lt;&gt;"",F13&lt;=TODAY()),AND(G13&lt;&gt;"",G13&lt;=MAX(Giderler!$D$5:$D$1004))),"Zamanı geldi",IF(OR(AND(F13&lt;&gt;"",F13&lt;=TODAY()+30),AND(G13&lt;&gt;"",G13&lt;=MAX(Giderler!$D$5:$D$1004)+1000)),"Yaklaşıyor","Var")))</f>
        <v/>
      </c>
    </row>
    <row r="14" customFormat="false" ht="15" hidden="false" customHeight="false" outlineLevel="0" collapsed="false">
      <c r="A14" s="17"/>
      <c r="B14" s="12"/>
      <c r="C14" s="14"/>
      <c r="D14" s="14"/>
      <c r="E14" s="14"/>
      <c r="F14" s="21" t="str">
        <f aca="false">IF(OR(A14="",B14="",D14=""),"",EDATE(B14,D14))</f>
        <v/>
      </c>
      <c r="G14" s="18" t="str">
        <f aca="false">IF(OR(A14="",C14="",E14=""),"",C14+E14)</f>
        <v/>
      </c>
      <c r="H14" s="22" t="str">
        <f aca="true">IF(A14="","",IF(OR(AND(F14&lt;&gt;"",F14&lt;=TODAY()),AND(G14&lt;&gt;"",G14&lt;=MAX(Giderler!$D$5:$D$1004))),"Zamanı geldi",IF(OR(AND(F14&lt;&gt;"",F14&lt;=TODAY()+30),AND(G14&lt;&gt;"",G14&lt;=MAX(Giderler!$D$5:$D$1004)+1000)),"Yaklaşıyor","Var")))</f>
        <v/>
      </c>
    </row>
    <row r="15" customFormat="false" ht="15" hidden="false" customHeight="false" outlineLevel="0" collapsed="false">
      <c r="A15" s="17"/>
      <c r="B15" s="12"/>
      <c r="C15" s="14"/>
      <c r="D15" s="14"/>
      <c r="E15" s="14"/>
      <c r="F15" s="21" t="str">
        <f aca="false">IF(OR(A15="",B15="",D15=""),"",EDATE(B15,D15))</f>
        <v/>
      </c>
      <c r="G15" s="18" t="str">
        <f aca="false">IF(OR(A15="",C15="",E15=""),"",C15+E15)</f>
        <v/>
      </c>
      <c r="H15" s="22" t="str">
        <f aca="true">IF(A15="","",IF(OR(AND(F15&lt;&gt;"",F15&lt;=TODAY()),AND(G15&lt;&gt;"",G15&lt;=MAX(Giderler!$D$5:$D$1004))),"Zamanı geldi",IF(OR(AND(F15&lt;&gt;"",F15&lt;=TODAY()+30),AND(G15&lt;&gt;"",G15&lt;=MAX(Giderler!$D$5:$D$1004)+1000)),"Yaklaşıyor","Var")))</f>
        <v/>
      </c>
    </row>
    <row r="16" customFormat="false" ht="15" hidden="false" customHeight="false" outlineLevel="0" collapsed="false">
      <c r="A16" s="17"/>
      <c r="B16" s="12"/>
      <c r="C16" s="14"/>
      <c r="D16" s="14"/>
      <c r="E16" s="14"/>
      <c r="F16" s="21" t="str">
        <f aca="false">IF(OR(A16="",B16="",D16=""),"",EDATE(B16,D16))</f>
        <v/>
      </c>
      <c r="G16" s="18" t="str">
        <f aca="false">IF(OR(A16="",C16="",E16=""),"",C16+E16)</f>
        <v/>
      </c>
      <c r="H16" s="22" t="str">
        <f aca="true">IF(A16="","",IF(OR(AND(F16&lt;&gt;"",F16&lt;=TODAY()),AND(G16&lt;&gt;"",G16&lt;=MAX(Giderler!$D$5:$D$1004))),"Zamanı geldi",IF(OR(AND(F16&lt;&gt;"",F16&lt;=TODAY()+30),AND(G16&lt;&gt;"",G16&lt;=MAX(Giderler!$D$5:$D$1004)+1000)),"Yaklaşıyor","Var")))</f>
        <v/>
      </c>
    </row>
    <row r="17" customFormat="false" ht="15" hidden="false" customHeight="false" outlineLevel="0" collapsed="false">
      <c r="A17" s="17"/>
      <c r="B17" s="12"/>
      <c r="C17" s="14"/>
      <c r="D17" s="14"/>
      <c r="E17" s="14"/>
      <c r="F17" s="21" t="str">
        <f aca="false">IF(OR(A17="",B17="",D17=""),"",EDATE(B17,D17))</f>
        <v/>
      </c>
      <c r="G17" s="18" t="str">
        <f aca="false">IF(OR(A17="",C17="",E17=""),"",C17+E17)</f>
        <v/>
      </c>
      <c r="H17" s="22" t="str">
        <f aca="true">IF(A17="","",IF(OR(AND(F17&lt;&gt;"",F17&lt;=TODAY()),AND(G17&lt;&gt;"",G17&lt;=MAX(Giderler!$D$5:$D$1004))),"Zamanı geldi",IF(OR(AND(F17&lt;&gt;"",F17&lt;=TODAY()+30),AND(G17&lt;&gt;"",G17&lt;=MAX(Giderler!$D$5:$D$1004)+1000)),"Yaklaşıyor","Var")))</f>
        <v/>
      </c>
    </row>
    <row r="18" customFormat="false" ht="15" hidden="false" customHeight="false" outlineLevel="0" collapsed="false">
      <c r="A18" s="17"/>
      <c r="B18" s="12"/>
      <c r="C18" s="14"/>
      <c r="D18" s="14"/>
      <c r="E18" s="14"/>
      <c r="F18" s="21" t="str">
        <f aca="false">IF(OR(A18="",B18="",D18=""),"",EDATE(B18,D18))</f>
        <v/>
      </c>
      <c r="G18" s="18" t="str">
        <f aca="false">IF(OR(A18="",C18="",E18=""),"",C18+E18)</f>
        <v/>
      </c>
      <c r="H18" s="22" t="str">
        <f aca="true">IF(A18="","",IF(OR(AND(F18&lt;&gt;"",F18&lt;=TODAY()),AND(G18&lt;&gt;"",G18&lt;=MAX(Giderler!$D$5:$D$1004))),"Zamanı geldi",IF(OR(AND(F18&lt;&gt;"",F18&lt;=TODAY()+30),AND(G18&lt;&gt;"",G18&lt;=MAX(Giderler!$D$5:$D$1004)+1000)),"Yaklaşıyor","Var")))</f>
        <v/>
      </c>
    </row>
    <row r="19" customFormat="false" ht="15" hidden="false" customHeight="false" outlineLevel="0" collapsed="false">
      <c r="A19" s="17"/>
      <c r="B19" s="12"/>
      <c r="C19" s="14"/>
      <c r="D19" s="14"/>
      <c r="E19" s="14"/>
      <c r="F19" s="21" t="str">
        <f aca="false">IF(OR(A19="",B19="",D19=""),"",EDATE(B19,D19))</f>
        <v/>
      </c>
      <c r="G19" s="18" t="str">
        <f aca="false">IF(OR(A19="",C19="",E19=""),"",C19+E19)</f>
        <v/>
      </c>
      <c r="H19" s="22" t="str">
        <f aca="true">IF(A19="","",IF(OR(AND(F19&lt;&gt;"",F19&lt;=TODAY()),AND(G19&lt;&gt;"",G19&lt;=MAX(Giderler!$D$5:$D$1004))),"Zamanı geldi",IF(OR(AND(F19&lt;&gt;"",F19&lt;=TODAY()+30),AND(G19&lt;&gt;"",G19&lt;=MAX(Giderler!$D$5:$D$1004)+1000)),"Yaklaşıyor","Var")))</f>
        <v/>
      </c>
    </row>
    <row r="20" customFormat="false" ht="15" hidden="false" customHeight="false" outlineLevel="0" collapsed="false">
      <c r="A20" s="17"/>
      <c r="B20" s="12"/>
      <c r="C20" s="14"/>
      <c r="D20" s="14"/>
      <c r="E20" s="14"/>
      <c r="F20" s="21" t="str">
        <f aca="false">IF(OR(A20="",B20="",D20=""),"",EDATE(B20,D20))</f>
        <v/>
      </c>
      <c r="G20" s="18" t="str">
        <f aca="false">IF(OR(A20="",C20="",E20=""),"",C20+E20)</f>
        <v/>
      </c>
      <c r="H20" s="22" t="str">
        <f aca="true">IF(A20="","",IF(OR(AND(F20&lt;&gt;"",F20&lt;=TODAY()),AND(G20&lt;&gt;"",G20&lt;=MAX(Giderler!$D$5:$D$1004))),"Zamanı geldi",IF(OR(AND(F20&lt;&gt;"",F20&lt;=TODAY()+30),AND(G20&lt;&gt;"",G20&lt;=MAX(Giderler!$D$5:$D$1004)+1000)),"Yaklaşıyor","Var")))</f>
        <v/>
      </c>
    </row>
    <row r="21" customFormat="false" ht="15" hidden="false" customHeight="false" outlineLevel="0" collapsed="false">
      <c r="A21" s="17"/>
      <c r="B21" s="12"/>
      <c r="C21" s="14"/>
      <c r="D21" s="14"/>
      <c r="E21" s="14"/>
      <c r="F21" s="21" t="str">
        <f aca="false">IF(OR(A21="",B21="",D21=""),"",EDATE(B21,D21))</f>
        <v/>
      </c>
      <c r="G21" s="18" t="str">
        <f aca="false">IF(OR(A21="",C21="",E21=""),"",C21+E21)</f>
        <v/>
      </c>
      <c r="H21" s="22" t="str">
        <f aca="true">IF(A21="","",IF(OR(AND(F21&lt;&gt;"",F21&lt;=TODAY()),AND(G21&lt;&gt;"",G21&lt;=MAX(Giderler!$D$5:$D$1004))),"Zamanı geldi",IF(OR(AND(F21&lt;&gt;"",F21&lt;=TODAY()+30),AND(G21&lt;&gt;"",G21&lt;=MAX(Giderler!$D$5:$D$1004)+1000)),"Yaklaşıyor","Var")))</f>
        <v/>
      </c>
    </row>
    <row r="22" customFormat="false" ht="15" hidden="false" customHeight="false" outlineLevel="0" collapsed="false">
      <c r="A22" s="17"/>
      <c r="B22" s="12"/>
      <c r="C22" s="14"/>
      <c r="D22" s="14"/>
      <c r="E22" s="14"/>
      <c r="F22" s="21" t="str">
        <f aca="false">IF(OR(A22="",B22="",D22=""),"",EDATE(B22,D22))</f>
        <v/>
      </c>
      <c r="G22" s="18" t="str">
        <f aca="false">IF(OR(A22="",C22="",E22=""),"",C22+E22)</f>
        <v/>
      </c>
      <c r="H22" s="22" t="str">
        <f aca="true">IF(A22="","",IF(OR(AND(F22&lt;&gt;"",F22&lt;=TODAY()),AND(G22&lt;&gt;"",G22&lt;=MAX(Giderler!$D$5:$D$1004))),"Zamanı geldi",IF(OR(AND(F22&lt;&gt;"",F22&lt;=TODAY()+30),AND(G22&lt;&gt;"",G22&lt;=MAX(Giderler!$D$5:$D$1004)+1000)),"Yaklaşıyor","Var")))</f>
        <v/>
      </c>
    </row>
    <row r="23" customFormat="false" ht="15" hidden="false" customHeight="false" outlineLevel="0" collapsed="false">
      <c r="A23" s="17"/>
      <c r="B23" s="12"/>
      <c r="C23" s="14"/>
      <c r="D23" s="14"/>
      <c r="E23" s="14"/>
      <c r="F23" s="21" t="str">
        <f aca="false">IF(OR(A23="",B23="",D23=""),"",EDATE(B23,D23))</f>
        <v/>
      </c>
      <c r="G23" s="18" t="str">
        <f aca="false">IF(OR(A23="",C23="",E23=""),"",C23+E23)</f>
        <v/>
      </c>
      <c r="H23" s="22" t="str">
        <f aca="true">IF(A23="","",IF(OR(AND(F23&lt;&gt;"",F23&lt;=TODAY()),AND(G23&lt;&gt;"",G23&lt;=MAX(Giderler!$D$5:$D$1004))),"Zamanı geldi",IF(OR(AND(F23&lt;&gt;"",F23&lt;=TODAY()+30),AND(G23&lt;&gt;"",G23&lt;=MAX(Giderler!$D$5:$D$1004)+1000)),"Yaklaşıyor","Var")))</f>
        <v/>
      </c>
    </row>
    <row r="24" customFormat="false" ht="15" hidden="false" customHeight="false" outlineLevel="0" collapsed="false">
      <c r="A24" s="17"/>
      <c r="B24" s="12"/>
      <c r="C24" s="14"/>
      <c r="D24" s="14"/>
      <c r="E24" s="14"/>
      <c r="F24" s="21" t="str">
        <f aca="false">IF(OR(A24="",B24="",D24=""),"",EDATE(B24,D24))</f>
        <v/>
      </c>
      <c r="G24" s="18" t="str">
        <f aca="false">IF(OR(A24="",C24="",E24=""),"",C24+E24)</f>
        <v/>
      </c>
      <c r="H24" s="22" t="str">
        <f aca="true">IF(A24="","",IF(OR(AND(F24&lt;&gt;"",F24&lt;=TODAY()),AND(G24&lt;&gt;"",G24&lt;=MAX(Giderler!$D$5:$D$1004))),"Zamanı geldi",IF(OR(AND(F24&lt;&gt;"",F24&lt;=TODAY()+30),AND(G24&lt;&gt;"",G24&lt;=MAX(Giderler!$D$5:$D$1004)+1000)),"Yaklaşıyor","Var")))</f>
        <v/>
      </c>
    </row>
    <row r="25" customFormat="false" ht="15" hidden="false" customHeight="false" outlineLevel="0" collapsed="false">
      <c r="A25" s="17"/>
      <c r="B25" s="12"/>
      <c r="C25" s="14"/>
      <c r="D25" s="14"/>
      <c r="E25" s="14"/>
      <c r="F25" s="21" t="str">
        <f aca="false">IF(OR(A25="",B25="",D25=""),"",EDATE(B25,D25))</f>
        <v/>
      </c>
      <c r="G25" s="18" t="str">
        <f aca="false">IF(OR(A25="",C25="",E25=""),"",C25+E25)</f>
        <v/>
      </c>
      <c r="H25" s="22" t="str">
        <f aca="true">IF(A25="","",IF(OR(AND(F25&lt;&gt;"",F25&lt;=TODAY()),AND(G25&lt;&gt;"",G25&lt;=MAX(Giderler!$D$5:$D$1004))),"Zamanı geldi",IF(OR(AND(F25&lt;&gt;"",F25&lt;=TODAY()+30),AND(G25&lt;&gt;"",G25&lt;=MAX(Giderler!$D$5:$D$1004)+1000)),"Yaklaşıyor","Var")))</f>
        <v/>
      </c>
    </row>
    <row r="26" customFormat="false" ht="15" hidden="false" customHeight="false" outlineLevel="0" collapsed="false">
      <c r="A26" s="17"/>
      <c r="B26" s="12"/>
      <c r="C26" s="14"/>
      <c r="D26" s="14"/>
      <c r="E26" s="14"/>
      <c r="F26" s="21" t="str">
        <f aca="false">IF(OR(A26="",B26="",D26=""),"",EDATE(B26,D26))</f>
        <v/>
      </c>
      <c r="G26" s="18" t="str">
        <f aca="false">IF(OR(A26="",C26="",E26=""),"",C26+E26)</f>
        <v/>
      </c>
      <c r="H26" s="22" t="str">
        <f aca="true">IF(A26="","",IF(OR(AND(F26&lt;&gt;"",F26&lt;=TODAY()),AND(G26&lt;&gt;"",G26&lt;=MAX(Giderler!$D$5:$D$1004))),"Zamanı geldi",IF(OR(AND(F26&lt;&gt;"",F26&lt;=TODAY()+30),AND(G26&lt;&gt;"",G26&lt;=MAX(Giderler!$D$5:$D$1004)+1000)),"Yaklaşıyor","Var")))</f>
        <v/>
      </c>
    </row>
    <row r="27" customFormat="false" ht="15" hidden="false" customHeight="false" outlineLevel="0" collapsed="false">
      <c r="A27" s="17"/>
      <c r="B27" s="12"/>
      <c r="C27" s="14"/>
      <c r="D27" s="14"/>
      <c r="E27" s="14"/>
      <c r="F27" s="21" t="str">
        <f aca="false">IF(OR(A27="",B27="",D27=""),"",EDATE(B27,D27))</f>
        <v/>
      </c>
      <c r="G27" s="18" t="str">
        <f aca="false">IF(OR(A27="",C27="",E27=""),"",C27+E27)</f>
        <v/>
      </c>
      <c r="H27" s="22" t="str">
        <f aca="true">IF(A27="","",IF(OR(AND(F27&lt;&gt;"",F27&lt;=TODAY()),AND(G27&lt;&gt;"",G27&lt;=MAX(Giderler!$D$5:$D$1004))),"Zamanı geldi",IF(OR(AND(F27&lt;&gt;"",F27&lt;=TODAY()+30),AND(G27&lt;&gt;"",G27&lt;=MAX(Giderler!$D$5:$D$1004)+1000)),"Yaklaşıyor","Var")))</f>
        <v/>
      </c>
    </row>
    <row r="28" customFormat="false" ht="15" hidden="false" customHeight="false" outlineLevel="0" collapsed="false">
      <c r="A28" s="17"/>
      <c r="B28" s="12"/>
      <c r="C28" s="14"/>
      <c r="D28" s="14"/>
      <c r="E28" s="14"/>
      <c r="F28" s="21" t="str">
        <f aca="false">IF(OR(A28="",B28="",D28=""),"",EDATE(B28,D28))</f>
        <v/>
      </c>
      <c r="G28" s="18" t="str">
        <f aca="false">IF(OR(A28="",C28="",E28=""),"",C28+E28)</f>
        <v/>
      </c>
      <c r="H28" s="22" t="str">
        <f aca="true">IF(A28="","",IF(OR(AND(F28&lt;&gt;"",F28&lt;=TODAY()),AND(G28&lt;&gt;"",G28&lt;=MAX(Giderler!$D$5:$D$1004))),"Zamanı geldi",IF(OR(AND(F28&lt;&gt;"",F28&lt;=TODAY()+30),AND(G28&lt;&gt;"",G28&lt;=MAX(Giderler!$D$5:$D$1004)+1000)),"Yaklaşıyor","Var")))</f>
        <v/>
      </c>
    </row>
    <row r="29" customFormat="false" ht="15" hidden="false" customHeight="false" outlineLevel="0" collapsed="false">
      <c r="A29" s="17"/>
      <c r="B29" s="12"/>
      <c r="C29" s="14"/>
      <c r="D29" s="14"/>
      <c r="E29" s="14"/>
      <c r="F29" s="21" t="str">
        <f aca="false">IF(OR(A29="",B29="",D29=""),"",EDATE(B29,D29))</f>
        <v/>
      </c>
      <c r="G29" s="18" t="str">
        <f aca="false">IF(OR(A29="",C29="",E29=""),"",C29+E29)</f>
        <v/>
      </c>
      <c r="H29" s="22" t="str">
        <f aca="true">IF(A29="","",IF(OR(AND(F29&lt;&gt;"",F29&lt;=TODAY()),AND(G29&lt;&gt;"",G29&lt;=MAX(Giderler!$D$5:$D$1004))),"Zamanı geldi",IF(OR(AND(F29&lt;&gt;"",F29&lt;=TODAY()+30),AND(G29&lt;&gt;"",G29&lt;=MAX(Giderler!$D$5:$D$1004)+1000)),"Yaklaşıyor","Var")))</f>
        <v/>
      </c>
    </row>
    <row r="30" customFormat="false" ht="15" hidden="false" customHeight="false" outlineLevel="0" collapsed="false">
      <c r="A30" s="17"/>
      <c r="B30" s="12"/>
      <c r="C30" s="14"/>
      <c r="D30" s="14"/>
      <c r="E30" s="14"/>
      <c r="F30" s="21" t="str">
        <f aca="false">IF(OR(A30="",B30="",D30=""),"",EDATE(B30,D30))</f>
        <v/>
      </c>
      <c r="G30" s="18" t="str">
        <f aca="false">IF(OR(A30="",C30="",E30=""),"",C30+E30)</f>
        <v/>
      </c>
      <c r="H30" s="22" t="str">
        <f aca="true">IF(A30="","",IF(OR(AND(F30&lt;&gt;"",F30&lt;=TODAY()),AND(G30&lt;&gt;"",G30&lt;=MAX(Giderler!$D$5:$D$1004))),"Zamanı geldi",IF(OR(AND(F30&lt;&gt;"",F30&lt;=TODAY()+30),AND(G30&lt;&gt;"",G30&lt;=MAX(Giderler!$D$5:$D$1004)+1000)),"Yaklaşıyor","Var")))</f>
        <v/>
      </c>
    </row>
    <row r="31" customFormat="false" ht="15" hidden="false" customHeight="false" outlineLevel="0" collapsed="false">
      <c r="A31" s="17"/>
      <c r="B31" s="12"/>
      <c r="C31" s="14"/>
      <c r="D31" s="14"/>
      <c r="E31" s="14"/>
      <c r="F31" s="21" t="str">
        <f aca="false">IF(OR(A31="",B31="",D31=""),"",EDATE(B31,D31))</f>
        <v/>
      </c>
      <c r="G31" s="18" t="str">
        <f aca="false">IF(OR(A31="",C31="",E31=""),"",C31+E31)</f>
        <v/>
      </c>
      <c r="H31" s="22" t="str">
        <f aca="true">IF(A31="","",IF(OR(AND(F31&lt;&gt;"",F31&lt;=TODAY()),AND(G31&lt;&gt;"",G31&lt;=MAX(Giderler!$D$5:$D$1004))),"Zamanı geldi",IF(OR(AND(F31&lt;&gt;"",F31&lt;=TODAY()+30),AND(G31&lt;&gt;"",G31&lt;=MAX(Giderler!$D$5:$D$1004)+1000)),"Yaklaşıyor","Var")))</f>
        <v/>
      </c>
    </row>
    <row r="32" customFormat="false" ht="15" hidden="false" customHeight="false" outlineLevel="0" collapsed="false">
      <c r="A32" s="17"/>
      <c r="B32" s="12"/>
      <c r="C32" s="14"/>
      <c r="D32" s="14"/>
      <c r="E32" s="14"/>
      <c r="F32" s="21" t="str">
        <f aca="false">IF(OR(A32="",B32="",D32=""),"",EDATE(B32,D32))</f>
        <v/>
      </c>
      <c r="G32" s="18" t="str">
        <f aca="false">IF(OR(A32="",C32="",E32=""),"",C32+E32)</f>
        <v/>
      </c>
      <c r="H32" s="22" t="str">
        <f aca="true">IF(A32="","",IF(OR(AND(F32&lt;&gt;"",F32&lt;=TODAY()),AND(G32&lt;&gt;"",G32&lt;=MAX(Giderler!$D$5:$D$1004))),"Zamanı geldi",IF(OR(AND(F32&lt;&gt;"",F32&lt;=TODAY()+30),AND(G32&lt;&gt;"",G32&lt;=MAX(Giderler!$D$5:$D$1004)+1000)),"Yaklaşıyor","Var")))</f>
        <v/>
      </c>
    </row>
    <row r="33" customFormat="false" ht="15" hidden="false" customHeight="false" outlineLevel="0" collapsed="false">
      <c r="A33" s="17"/>
      <c r="B33" s="12"/>
      <c r="C33" s="14"/>
      <c r="D33" s="14"/>
      <c r="E33" s="14"/>
      <c r="F33" s="21" t="str">
        <f aca="false">IF(OR(A33="",B33="",D33=""),"",EDATE(B33,D33))</f>
        <v/>
      </c>
      <c r="G33" s="18" t="str">
        <f aca="false">IF(OR(A33="",C33="",E33=""),"",C33+E33)</f>
        <v/>
      </c>
      <c r="H33" s="22" t="str">
        <f aca="true">IF(A33="","",IF(OR(AND(F33&lt;&gt;"",F33&lt;=TODAY()),AND(G33&lt;&gt;"",G33&lt;=MAX(Giderler!$D$5:$D$1004))),"Zamanı geldi",IF(OR(AND(F33&lt;&gt;"",F33&lt;=TODAY()+30),AND(G33&lt;&gt;"",G33&lt;=MAX(Giderler!$D$5:$D$1004)+1000)),"Yaklaşıyor","Var")))</f>
        <v/>
      </c>
    </row>
    <row r="34" customFormat="false" ht="15" hidden="false" customHeight="false" outlineLevel="0" collapsed="false">
      <c r="A34" s="17"/>
      <c r="B34" s="12"/>
      <c r="C34" s="14"/>
      <c r="D34" s="14"/>
      <c r="E34" s="14"/>
      <c r="F34" s="21" t="str">
        <f aca="false">IF(OR(A34="",B34="",D34=""),"",EDATE(B34,D34))</f>
        <v/>
      </c>
      <c r="G34" s="18" t="str">
        <f aca="false">IF(OR(A34="",C34="",E34=""),"",C34+E34)</f>
        <v/>
      </c>
      <c r="H34" s="22" t="str">
        <f aca="true">IF(A34="","",IF(OR(AND(F34&lt;&gt;"",F34&lt;=TODAY()),AND(G34&lt;&gt;"",G34&lt;=MAX(Giderler!$D$5:$D$1004))),"Zamanı geldi",IF(OR(AND(F34&lt;&gt;"",F34&lt;=TODAY()+30),AND(G34&lt;&gt;"",G34&lt;=MAX(Giderler!$D$5:$D$1004)+1000)),"Yaklaşıyor","Var")))</f>
        <v/>
      </c>
    </row>
    <row r="35" customFormat="false" ht="15" hidden="false" customHeight="false" outlineLevel="0" collapsed="false">
      <c r="A35" s="17"/>
      <c r="B35" s="12"/>
      <c r="C35" s="14"/>
      <c r="D35" s="14"/>
      <c r="E35" s="14"/>
      <c r="F35" s="21" t="str">
        <f aca="false">IF(OR(A35="",B35="",D35=""),"",EDATE(B35,D35))</f>
        <v/>
      </c>
      <c r="G35" s="18" t="str">
        <f aca="false">IF(OR(A35="",C35="",E35=""),"",C35+E35)</f>
        <v/>
      </c>
      <c r="H35" s="22" t="str">
        <f aca="true">IF(A35="","",IF(OR(AND(F35&lt;&gt;"",F35&lt;=TODAY()),AND(G35&lt;&gt;"",G35&lt;=MAX(Giderler!$D$5:$D$1004))),"Zamanı geldi",IF(OR(AND(F35&lt;&gt;"",F35&lt;=TODAY()+30),AND(G35&lt;&gt;"",G35&lt;=MAX(Giderler!$D$5:$D$1004)+1000)),"Yaklaşıyor","Var")))</f>
        <v/>
      </c>
    </row>
    <row r="36" customFormat="false" ht="15" hidden="false" customHeight="false" outlineLevel="0" collapsed="false">
      <c r="A36" s="17"/>
      <c r="B36" s="12"/>
      <c r="C36" s="14"/>
      <c r="D36" s="14"/>
      <c r="E36" s="14"/>
      <c r="F36" s="21" t="str">
        <f aca="false">IF(OR(A36="",B36="",D36=""),"",EDATE(B36,D36))</f>
        <v/>
      </c>
      <c r="G36" s="18" t="str">
        <f aca="false">IF(OR(A36="",C36="",E36=""),"",C36+E36)</f>
        <v/>
      </c>
      <c r="H36" s="22" t="str">
        <f aca="true">IF(A36="","",IF(OR(AND(F36&lt;&gt;"",F36&lt;=TODAY()),AND(G36&lt;&gt;"",G36&lt;=MAX(Giderler!$D$5:$D$1004))),"Zamanı geldi",IF(OR(AND(F36&lt;&gt;"",F36&lt;=TODAY()+30),AND(G36&lt;&gt;"",G36&lt;=MAX(Giderler!$D$5:$D$1004)+1000)),"Yaklaşıyor","Var")))</f>
        <v/>
      </c>
    </row>
    <row r="37" customFormat="false" ht="15" hidden="false" customHeight="false" outlineLevel="0" collapsed="false">
      <c r="A37" s="17"/>
      <c r="B37" s="12"/>
      <c r="C37" s="14"/>
      <c r="D37" s="14"/>
      <c r="E37" s="14"/>
      <c r="F37" s="21" t="str">
        <f aca="false">IF(OR(A37="",B37="",D37=""),"",EDATE(B37,D37))</f>
        <v/>
      </c>
      <c r="G37" s="18" t="str">
        <f aca="false">IF(OR(A37="",C37="",E37=""),"",C37+E37)</f>
        <v/>
      </c>
      <c r="H37" s="22" t="str">
        <f aca="true">IF(A37="","",IF(OR(AND(F37&lt;&gt;"",F37&lt;=TODAY()),AND(G37&lt;&gt;"",G37&lt;=MAX(Giderler!$D$5:$D$1004))),"Zamanı geldi",IF(OR(AND(F37&lt;&gt;"",F37&lt;=TODAY()+30),AND(G37&lt;&gt;"",G37&lt;=MAX(Giderler!$D$5:$D$1004)+1000)),"Yaklaşıyor","Var")))</f>
        <v/>
      </c>
    </row>
    <row r="38" customFormat="false" ht="15" hidden="false" customHeight="false" outlineLevel="0" collapsed="false">
      <c r="A38" s="17"/>
      <c r="B38" s="12"/>
      <c r="C38" s="14"/>
      <c r="D38" s="14"/>
      <c r="E38" s="14"/>
      <c r="F38" s="21" t="str">
        <f aca="false">IF(OR(A38="",B38="",D38=""),"",EDATE(B38,D38))</f>
        <v/>
      </c>
      <c r="G38" s="18" t="str">
        <f aca="false">IF(OR(A38="",C38="",E38=""),"",C38+E38)</f>
        <v/>
      </c>
      <c r="H38" s="22" t="str">
        <f aca="true">IF(A38="","",IF(OR(AND(F38&lt;&gt;"",F38&lt;=TODAY()),AND(G38&lt;&gt;"",G38&lt;=MAX(Giderler!$D$5:$D$1004))),"Zamanı geldi",IF(OR(AND(F38&lt;&gt;"",F38&lt;=TODAY()+30),AND(G38&lt;&gt;"",G38&lt;=MAX(Giderler!$D$5:$D$1004)+1000)),"Yaklaşıyor","Var")))</f>
        <v/>
      </c>
    </row>
    <row r="39" customFormat="false" ht="15" hidden="false" customHeight="false" outlineLevel="0" collapsed="false">
      <c r="A39" s="17"/>
      <c r="B39" s="12"/>
      <c r="C39" s="14"/>
      <c r="D39" s="14"/>
      <c r="E39" s="14"/>
      <c r="F39" s="21" t="str">
        <f aca="false">IF(OR(A39="",B39="",D39=""),"",EDATE(B39,D39))</f>
        <v/>
      </c>
      <c r="G39" s="18" t="str">
        <f aca="false">IF(OR(A39="",C39="",E39=""),"",C39+E39)</f>
        <v/>
      </c>
      <c r="H39" s="22" t="str">
        <f aca="true">IF(A39="","",IF(OR(AND(F39&lt;&gt;"",F39&lt;=TODAY()),AND(G39&lt;&gt;"",G39&lt;=MAX(Giderler!$D$5:$D$1004))),"Zamanı geldi",IF(OR(AND(F39&lt;&gt;"",F39&lt;=TODAY()+30),AND(G39&lt;&gt;"",G39&lt;=MAX(Giderler!$D$5:$D$1004)+1000)),"Yaklaşıyor","Var")))</f>
        <v/>
      </c>
    </row>
    <row r="40" customFormat="false" ht="15" hidden="false" customHeight="false" outlineLevel="0" collapsed="false">
      <c r="A40" s="17"/>
      <c r="B40" s="12"/>
      <c r="C40" s="14"/>
      <c r="D40" s="14"/>
      <c r="E40" s="14"/>
      <c r="F40" s="21" t="str">
        <f aca="false">IF(OR(A40="",B40="",D40=""),"",EDATE(B40,D40))</f>
        <v/>
      </c>
      <c r="G40" s="18" t="str">
        <f aca="false">IF(OR(A40="",C40="",E40=""),"",C40+E40)</f>
        <v/>
      </c>
      <c r="H40" s="22" t="str">
        <f aca="true">IF(A40="","",IF(OR(AND(F40&lt;&gt;"",F40&lt;=TODAY()),AND(G40&lt;&gt;"",G40&lt;=MAX(Giderler!$D$5:$D$1004))),"Zamanı geldi",IF(OR(AND(F40&lt;&gt;"",F40&lt;=TODAY()+30),AND(G40&lt;&gt;"",G40&lt;=MAX(Giderler!$D$5:$D$1004)+1000)),"Yaklaşıyor","Var")))</f>
        <v/>
      </c>
    </row>
    <row r="41" customFormat="false" ht="15" hidden="false" customHeight="false" outlineLevel="0" collapsed="false">
      <c r="A41" s="17"/>
      <c r="B41" s="12"/>
      <c r="C41" s="14"/>
      <c r="D41" s="14"/>
      <c r="E41" s="14"/>
      <c r="F41" s="21" t="str">
        <f aca="false">IF(OR(A41="",B41="",D41=""),"",EDATE(B41,D41))</f>
        <v/>
      </c>
      <c r="G41" s="18" t="str">
        <f aca="false">IF(OR(A41="",C41="",E41=""),"",C41+E41)</f>
        <v/>
      </c>
      <c r="H41" s="22" t="str">
        <f aca="true">IF(A41="","",IF(OR(AND(F41&lt;&gt;"",F41&lt;=TODAY()),AND(G41&lt;&gt;"",G41&lt;=MAX(Giderler!$D$5:$D$1004))),"Zamanı geldi",IF(OR(AND(F41&lt;&gt;"",F41&lt;=TODAY()+30),AND(G41&lt;&gt;"",G41&lt;=MAX(Giderler!$D$5:$D$1004)+1000)),"Yaklaşıyor","Var")))</f>
        <v/>
      </c>
    </row>
    <row r="42" customFormat="false" ht="15" hidden="false" customHeight="false" outlineLevel="0" collapsed="false">
      <c r="A42" s="17"/>
      <c r="B42" s="12"/>
      <c r="C42" s="14"/>
      <c r="D42" s="14"/>
      <c r="E42" s="14"/>
      <c r="F42" s="21" t="str">
        <f aca="false">IF(OR(A42="",B42="",D42=""),"",EDATE(B42,D42))</f>
        <v/>
      </c>
      <c r="G42" s="18" t="str">
        <f aca="false">IF(OR(A42="",C42="",E42=""),"",C42+E42)</f>
        <v/>
      </c>
      <c r="H42" s="22" t="str">
        <f aca="true">IF(A42="","",IF(OR(AND(F42&lt;&gt;"",F42&lt;=TODAY()),AND(G42&lt;&gt;"",G42&lt;=MAX(Giderler!$D$5:$D$1004))),"Zamanı geldi",IF(OR(AND(F42&lt;&gt;"",F42&lt;=TODAY()+30),AND(G42&lt;&gt;"",G42&lt;=MAX(Giderler!$D$5:$D$1004)+1000)),"Yaklaşıyor","Var")))</f>
        <v/>
      </c>
    </row>
    <row r="43" customFormat="false" ht="15" hidden="false" customHeight="false" outlineLevel="0" collapsed="false">
      <c r="A43" s="17"/>
      <c r="B43" s="12"/>
      <c r="C43" s="14"/>
      <c r="D43" s="14"/>
      <c r="E43" s="14"/>
      <c r="F43" s="21" t="str">
        <f aca="false">IF(OR(A43="",B43="",D43=""),"",EDATE(B43,D43))</f>
        <v/>
      </c>
      <c r="G43" s="18" t="str">
        <f aca="false">IF(OR(A43="",C43="",E43=""),"",C43+E43)</f>
        <v/>
      </c>
      <c r="H43" s="22" t="str">
        <f aca="true">IF(A43="","",IF(OR(AND(F43&lt;&gt;"",F43&lt;=TODAY()),AND(G43&lt;&gt;"",G43&lt;=MAX(Giderler!$D$5:$D$1004))),"Zamanı geldi",IF(OR(AND(F43&lt;&gt;"",F43&lt;=TODAY()+30),AND(G43&lt;&gt;"",G43&lt;=MAX(Giderler!$D$5:$D$1004)+1000)),"Yaklaşıyor","Var")))</f>
        <v/>
      </c>
    </row>
    <row r="44" customFormat="false" ht="15" hidden="false" customHeight="false" outlineLevel="0" collapsed="false">
      <c r="A44" s="17"/>
      <c r="B44" s="12"/>
      <c r="C44" s="14"/>
      <c r="D44" s="14"/>
      <c r="E44" s="14"/>
      <c r="F44" s="21" t="str">
        <f aca="false">IF(OR(A44="",B44="",D44=""),"",EDATE(B44,D44))</f>
        <v/>
      </c>
      <c r="G44" s="18" t="str">
        <f aca="false">IF(OR(A44="",C44="",E44=""),"",C44+E44)</f>
        <v/>
      </c>
      <c r="H44" s="22" t="str">
        <f aca="true">IF(A44="","",IF(OR(AND(F44&lt;&gt;"",F44&lt;=TODAY()),AND(G44&lt;&gt;"",G44&lt;=MAX(Giderler!$D$5:$D$1004))),"Zamanı geldi",IF(OR(AND(F44&lt;&gt;"",F44&lt;=TODAY()+30),AND(G44&lt;&gt;"",G44&lt;=MAX(Giderler!$D$5:$D$1004)+1000)),"Yaklaşıyor","Var")))</f>
        <v/>
      </c>
    </row>
  </sheetData>
  <conditionalFormatting sqref="H5:H44">
    <cfRule type="cellIs" priority="2" operator="equal" aboveAverage="0" equalAverage="0" bottom="0" percent="0" rank="0" text="" dxfId="0">
      <formula>"Zamanı geldi"</formula>
    </cfRule>
    <cfRule type="cellIs" priority="3" operator="equal" aboveAverage="0" equalAverage="0" bottom="0" percent="0" rank="0" text="" dxfId="1">
      <formula>"Yaklaşıyor"</formula>
    </cfRule>
  </conditionalFormatting>
  <dataValidations count="2">
    <dataValidation allowBlank="true" error="Geçerli bir tarih gir (örnek: 05.10.2026)." errorStyle="stop" errorTitle="Kontrol" operator="greaterThan" showDropDown="false" showErrorMessage="true" showInputMessage="false" sqref="B5:B4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E4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55</v>
      </c>
    </row>
    <row r="2" customFormat="false" ht="15" hidden="false" customHeight="false" outlineLevel="0" collapsed="false">
      <c r="A2" s="9" t="s">
        <v>56</v>
      </c>
    </row>
    <row r="3" customFormat="false" ht="15" hidden="false" customHeight="false" outlineLevel="0" collapsed="false">
      <c r="B3" s="23" t="s">
        <v>57</v>
      </c>
      <c r="C3" s="24" t="n">
        <v>2026</v>
      </c>
    </row>
    <row r="5" customFormat="false" ht="30" hidden="false" customHeight="true" outlineLevel="0" collapsed="false">
      <c r="B5" s="25" t="s">
        <v>58</v>
      </c>
      <c r="C5" s="25" t="s">
        <v>38</v>
      </c>
      <c r="D5" s="25" t="s">
        <v>30</v>
      </c>
      <c r="E5" s="25" t="s">
        <v>59</v>
      </c>
      <c r="F5" s="25" t="s">
        <v>60</v>
      </c>
    </row>
    <row r="6" customFormat="false" ht="27.75" hidden="false" customHeight="true" outlineLevel="0" collapsed="false">
      <c r="B6" s="26" t="n">
        <f aca="false">C23+D23</f>
        <v>15750</v>
      </c>
      <c r="C6" s="26" t="n">
        <f aca="false">C23</f>
        <v>6400</v>
      </c>
      <c r="D6" s="27" t="n">
        <f aca="false">E23</f>
        <v>127.5</v>
      </c>
      <c r="E6" s="28" t="n">
        <f aca="false">IF(SUM(Giderler!$I$5:$I$1004)=0,0,SUMIFS(Giderler!$E$5:$E$1004,Giderler!$I$5:$I$1004,"&gt;0")/SUM(Giderler!$I$5:$I$1004)*100)</f>
        <v>7</v>
      </c>
      <c r="F6" s="29" t="n">
        <f aca="false">IF(MAX(Giderler!$D$5:$D$1004)-MIN(Giderler!$D$5:$D$1004)&lt;=0,0,SUM(Giderler!$F$5:$F$1004)/(MAX(Giderler!$D$5:$D$1004)-MIN(Giderler!$D$5:$D$1004)))</f>
        <v>12.6</v>
      </c>
    </row>
    <row r="9" customFormat="false" ht="15" hidden="false" customHeight="false" outlineLevel="0" collapsed="false">
      <c r="B9" s="30" t="s">
        <v>61</v>
      </c>
      <c r="I9" s="30" t="s">
        <v>62</v>
      </c>
    </row>
    <row r="10" customFormat="false" ht="21.75" hidden="false" customHeight="true" outlineLevel="0" collapsed="false">
      <c r="B10" s="10" t="s">
        <v>63</v>
      </c>
      <c r="C10" s="10" t="s">
        <v>64</v>
      </c>
      <c r="D10" s="10" t="s">
        <v>65</v>
      </c>
      <c r="E10" s="10" t="s">
        <v>30</v>
      </c>
      <c r="I10" s="10" t="s">
        <v>28</v>
      </c>
      <c r="J10" s="10" t="s">
        <v>31</v>
      </c>
    </row>
    <row r="11" customFormat="false" ht="15" hidden="false" customHeight="false" outlineLevel="0" collapsed="false">
      <c r="B11" s="31" t="s">
        <v>66</v>
      </c>
      <c r="C11" s="32" t="n">
        <f aca="false">SUMIFS(Giderler!$F$5:$F$1004,Giderler!$A$5:$A$1004,"&gt;="&amp;DATE($C$3,1,1),Giderler!$A$5:$A$1004,"&lt;"&amp;DATE($C$3,2,1),Giderler!$C$5:$C$1004,"Yakıt")</f>
        <v>0</v>
      </c>
      <c r="D11" s="32" t="n">
        <f aca="false">SUMIFS(Giderler!$F$5:$F$1004,Giderler!$A$5:$A$1004,"&gt;="&amp;DATE($C$3,1,1),Giderler!$A$5:$A$1004,"&lt;"&amp;DATE($C$3,2,1))-C11</f>
        <v>0</v>
      </c>
      <c r="E11" s="33" t="n">
        <f aca="false">SUMIFS(Giderler!$E$5:$E$1004,Giderler!$A$5:$A$1004,"&gt;="&amp;DATE($C$3,1,1),Giderler!$A$5:$A$1004,"&lt;"&amp;DATE($C$3,2,1))</f>
        <v>0</v>
      </c>
      <c r="I11" s="31" t="str">
        <f aca="false">IF(Listeler!B5="","",Listeler!B5)</f>
        <v>Yakıt</v>
      </c>
      <c r="J11" s="32" t="n">
        <f aca="false">IF(I11="","",SUMIFS(Giderler!$F$5:$F$1004,Giderler!$C$5:$C$1004,I11,Giderler!$A$5:$A$1004,"&gt;="&amp;DATE($C$3,1,1),Giderler!$A$5:$A$1004,"&lt;"&amp;DATE($C$3+1,1,1)))</f>
        <v>6400</v>
      </c>
    </row>
    <row r="12" customFormat="false" ht="15" hidden="false" customHeight="false" outlineLevel="0" collapsed="false">
      <c r="B12" s="34" t="s">
        <v>67</v>
      </c>
      <c r="C12" s="35" t="n">
        <f aca="false">SUMIFS(Giderler!$F$5:$F$1004,Giderler!$A$5:$A$1004,"&gt;="&amp;DATE($C$3,2,1),Giderler!$A$5:$A$1004,"&lt;"&amp;DATE($C$3,3,1),Giderler!$C$5:$C$1004,"Yakıt")</f>
        <v>0</v>
      </c>
      <c r="D12" s="35" t="n">
        <f aca="false">SUMIFS(Giderler!$F$5:$F$1004,Giderler!$A$5:$A$1004,"&gt;="&amp;DATE($C$3,2,1),Giderler!$A$5:$A$1004,"&lt;"&amp;DATE($C$3,3,1))-C12</f>
        <v>0</v>
      </c>
      <c r="E12" s="36" t="n">
        <f aca="false">SUMIFS(Giderler!$E$5:$E$1004,Giderler!$A$5:$A$1004,"&gt;="&amp;DATE($C$3,2,1),Giderler!$A$5:$A$1004,"&lt;"&amp;DATE($C$3,3,1))</f>
        <v>0</v>
      </c>
      <c r="I12" s="34" t="str">
        <f aca="false">IF(Listeler!B6="","",Listeler!B6)</f>
        <v>Bakım</v>
      </c>
      <c r="J12" s="35" t="n">
        <f aca="false">IF(I12="","",SUMIFS(Giderler!$F$5:$F$1004,Giderler!$C$5:$C$1004,I12,Giderler!$A$5:$A$1004,"&gt;="&amp;DATE($C$3,1,1),Giderler!$A$5:$A$1004,"&lt;"&amp;DATE($C$3+1,1,1)))</f>
        <v>0</v>
      </c>
    </row>
    <row r="13" customFormat="false" ht="15" hidden="false" customHeight="false" outlineLevel="0" collapsed="false">
      <c r="B13" s="31" t="s">
        <v>68</v>
      </c>
      <c r="C13" s="32" t="n">
        <f aca="false">SUMIFS(Giderler!$F$5:$F$1004,Giderler!$A$5:$A$1004,"&gt;="&amp;DATE($C$3,3,1),Giderler!$A$5:$A$1004,"&lt;"&amp;DATE($C$3,4,1),Giderler!$C$5:$C$1004,"Yakıt")</f>
        <v>0</v>
      </c>
      <c r="D13" s="32" t="n">
        <f aca="false">SUMIFS(Giderler!$F$5:$F$1004,Giderler!$A$5:$A$1004,"&gt;="&amp;DATE($C$3,3,1),Giderler!$A$5:$A$1004,"&lt;"&amp;DATE($C$3,4,1))-C13</f>
        <v>0</v>
      </c>
      <c r="E13" s="33" t="n">
        <f aca="false">SUMIFS(Giderler!$E$5:$E$1004,Giderler!$A$5:$A$1004,"&gt;="&amp;DATE($C$3,3,1),Giderler!$A$5:$A$1004,"&lt;"&amp;DATE($C$3,4,1))</f>
        <v>0</v>
      </c>
      <c r="I13" s="31" t="str">
        <f aca="false">IF(Listeler!B7="","",Listeler!B7)</f>
        <v>Sigorta</v>
      </c>
      <c r="J13" s="32" t="n">
        <f aca="false">IF(I13="","",SUMIFS(Giderler!$F$5:$F$1004,Giderler!$C$5:$C$1004,I13,Giderler!$A$5:$A$1004,"&gt;="&amp;DATE($C$3,1,1),Giderler!$A$5:$A$1004,"&lt;"&amp;DATE($C$3+1,1,1)))</f>
        <v>9000</v>
      </c>
    </row>
    <row r="14" customFormat="false" ht="15" hidden="false" customHeight="false" outlineLevel="0" collapsed="false">
      <c r="B14" s="34" t="s">
        <v>69</v>
      </c>
      <c r="C14" s="35" t="n">
        <f aca="false">SUMIFS(Giderler!$F$5:$F$1004,Giderler!$A$5:$A$1004,"&gt;="&amp;DATE($C$3,4,1),Giderler!$A$5:$A$1004,"&lt;"&amp;DATE($C$3,5,1),Giderler!$C$5:$C$1004,"Yakıt")</f>
        <v>0</v>
      </c>
      <c r="D14" s="35" t="n">
        <f aca="false">SUMIFS(Giderler!$F$5:$F$1004,Giderler!$A$5:$A$1004,"&gt;="&amp;DATE($C$3,4,1),Giderler!$A$5:$A$1004,"&lt;"&amp;DATE($C$3,5,1))-C14</f>
        <v>0</v>
      </c>
      <c r="E14" s="36" t="n">
        <f aca="false">SUMIFS(Giderler!$E$5:$E$1004,Giderler!$A$5:$A$1004,"&gt;="&amp;DATE($C$3,4,1),Giderler!$A$5:$A$1004,"&lt;"&amp;DATE($C$3,5,1))</f>
        <v>0</v>
      </c>
      <c r="I14" s="34" t="str">
        <f aca="false">IF(Listeler!B8="","",Listeler!B8)</f>
        <v>Vergi</v>
      </c>
      <c r="J14" s="35" t="n">
        <f aca="false">IF(I14="","",SUMIFS(Giderler!$F$5:$F$1004,Giderler!$C$5:$C$1004,I14,Giderler!$A$5:$A$1004,"&gt;="&amp;DATE($C$3,1,1),Giderler!$A$5:$A$1004,"&lt;"&amp;DATE($C$3+1,1,1)))</f>
        <v>0</v>
      </c>
    </row>
    <row r="15" customFormat="false" ht="15" hidden="false" customHeight="false" outlineLevel="0" collapsed="false">
      <c r="B15" s="31" t="s">
        <v>70</v>
      </c>
      <c r="C15" s="32" t="n">
        <f aca="false">SUMIFS(Giderler!$F$5:$F$1004,Giderler!$A$5:$A$1004,"&gt;="&amp;DATE($C$3,5,1),Giderler!$A$5:$A$1004,"&lt;"&amp;DATE($C$3,6,1),Giderler!$C$5:$C$1004,"Yakıt")</f>
        <v>0</v>
      </c>
      <c r="D15" s="32" t="n">
        <f aca="false">SUMIFS(Giderler!$F$5:$F$1004,Giderler!$A$5:$A$1004,"&gt;="&amp;DATE($C$3,5,1),Giderler!$A$5:$A$1004,"&lt;"&amp;DATE($C$3,6,1))-C15</f>
        <v>0</v>
      </c>
      <c r="E15" s="33" t="n">
        <f aca="false">SUMIFS(Giderler!$E$5:$E$1004,Giderler!$A$5:$A$1004,"&gt;="&amp;DATE($C$3,5,1),Giderler!$A$5:$A$1004,"&lt;"&amp;DATE($C$3,6,1))</f>
        <v>0</v>
      </c>
      <c r="I15" s="31" t="str">
        <f aca="false">IF(Listeler!B9="","",Listeler!B9)</f>
        <v>Muayene</v>
      </c>
      <c r="J15" s="32" t="n">
        <f aca="false">IF(I15="","",SUMIFS(Giderler!$F$5:$F$1004,Giderler!$C$5:$C$1004,I15,Giderler!$A$5:$A$1004,"&gt;="&amp;DATE($C$3,1,1),Giderler!$A$5:$A$1004,"&lt;"&amp;DATE($C$3+1,1,1)))</f>
        <v>0</v>
      </c>
    </row>
    <row r="16" customFormat="false" ht="15" hidden="false" customHeight="false" outlineLevel="0" collapsed="false">
      <c r="B16" s="34" t="s">
        <v>71</v>
      </c>
      <c r="C16" s="35" t="n">
        <f aca="false">SUMIFS(Giderler!$F$5:$F$1004,Giderler!$A$5:$A$1004,"&gt;="&amp;DATE($C$3,6,1),Giderler!$A$5:$A$1004,"&lt;"&amp;DATE($C$3,7,1),Giderler!$C$5:$C$1004,"Yakıt")</f>
        <v>0</v>
      </c>
      <c r="D16" s="35" t="n">
        <f aca="false">SUMIFS(Giderler!$F$5:$F$1004,Giderler!$A$5:$A$1004,"&gt;="&amp;DATE($C$3,6,1),Giderler!$A$5:$A$1004,"&lt;"&amp;DATE($C$3,7,1))-C16</f>
        <v>0</v>
      </c>
      <c r="E16" s="36" t="n">
        <f aca="false">SUMIFS(Giderler!$E$5:$E$1004,Giderler!$A$5:$A$1004,"&gt;="&amp;DATE($C$3,6,1),Giderler!$A$5:$A$1004,"&lt;"&amp;DATE($C$3,7,1))</f>
        <v>0</v>
      </c>
      <c r="I16" s="34" t="str">
        <f aca="false">IF(Listeler!B10="","",Listeler!B10)</f>
        <v>Lastik</v>
      </c>
      <c r="J16" s="35" t="n">
        <f aca="false">IF(I16="","",SUMIFS(Giderler!$F$5:$F$1004,Giderler!$C$5:$C$1004,I16,Giderler!$A$5:$A$1004,"&gt;="&amp;DATE($C$3,1,1),Giderler!$A$5:$A$1004,"&lt;"&amp;DATE($C$3+1,1,1)))</f>
        <v>0</v>
      </c>
    </row>
    <row r="17" customFormat="false" ht="15" hidden="false" customHeight="false" outlineLevel="0" collapsed="false">
      <c r="B17" s="31" t="s">
        <v>72</v>
      </c>
      <c r="C17" s="32" t="n">
        <f aca="false">SUMIFS(Giderler!$F$5:$F$1004,Giderler!$A$5:$A$1004,"&gt;="&amp;DATE($C$3,7,1),Giderler!$A$5:$A$1004,"&lt;"&amp;DATE($C$3,8,1),Giderler!$C$5:$C$1004,"Yakıt")</f>
        <v>0</v>
      </c>
      <c r="D17" s="32" t="n">
        <f aca="false">SUMIFS(Giderler!$F$5:$F$1004,Giderler!$A$5:$A$1004,"&gt;="&amp;DATE($C$3,7,1),Giderler!$A$5:$A$1004,"&lt;"&amp;DATE($C$3,8,1))-C17</f>
        <v>0</v>
      </c>
      <c r="E17" s="33" t="n">
        <f aca="false">SUMIFS(Giderler!$E$5:$E$1004,Giderler!$A$5:$A$1004,"&gt;="&amp;DATE($C$3,7,1),Giderler!$A$5:$A$1004,"&lt;"&amp;DATE($C$3,8,1))</f>
        <v>0</v>
      </c>
      <c r="I17" s="31" t="str">
        <f aca="false">IF(Listeler!B11="","",Listeler!B11)</f>
        <v>Otopark ve geçiş</v>
      </c>
      <c r="J17" s="32" t="n">
        <f aca="false">IF(I17="","",SUMIFS(Giderler!$F$5:$F$1004,Giderler!$C$5:$C$1004,I17,Giderler!$A$5:$A$1004,"&gt;="&amp;DATE($C$3,1,1),Giderler!$A$5:$A$1004,"&lt;"&amp;DATE($C$3+1,1,1)))</f>
        <v>350</v>
      </c>
    </row>
    <row r="18" customFormat="false" ht="15" hidden="false" customHeight="false" outlineLevel="0" collapsed="false">
      <c r="B18" s="34" t="s">
        <v>73</v>
      </c>
      <c r="C18" s="35" t="n">
        <f aca="false">SUMIFS(Giderler!$F$5:$F$1004,Giderler!$A$5:$A$1004,"&gt;="&amp;DATE($C$3,8,1),Giderler!$A$5:$A$1004,"&lt;"&amp;DATE($C$3,9,1),Giderler!$C$5:$C$1004,"Yakıt")</f>
        <v>0</v>
      </c>
      <c r="D18" s="35" t="n">
        <f aca="false">SUMIFS(Giderler!$F$5:$F$1004,Giderler!$A$5:$A$1004,"&gt;="&amp;DATE($C$3,8,1),Giderler!$A$5:$A$1004,"&lt;"&amp;DATE($C$3,9,1))-C18</f>
        <v>0</v>
      </c>
      <c r="E18" s="36" t="n">
        <f aca="false">SUMIFS(Giderler!$E$5:$E$1004,Giderler!$A$5:$A$1004,"&gt;="&amp;DATE($C$3,8,1),Giderler!$A$5:$A$1004,"&lt;"&amp;DATE($C$3,9,1))</f>
        <v>0</v>
      </c>
      <c r="I18" s="34" t="str">
        <f aca="false">IF(Listeler!B12="","",Listeler!B12)</f>
        <v>Diğer</v>
      </c>
      <c r="J18" s="35" t="n">
        <f aca="false">IF(I18="","",SUMIFS(Giderler!$F$5:$F$1004,Giderler!$C$5:$C$1004,I18,Giderler!$A$5:$A$1004,"&gt;="&amp;DATE($C$3,1,1),Giderler!$A$5:$A$1004,"&lt;"&amp;DATE($C$3+1,1,1)))</f>
        <v>0</v>
      </c>
    </row>
    <row r="19" customFormat="false" ht="15" hidden="false" customHeight="false" outlineLevel="0" collapsed="false">
      <c r="B19" s="31" t="s">
        <v>74</v>
      </c>
      <c r="C19" s="32" t="n">
        <f aca="false">SUMIFS(Giderler!$F$5:$F$1004,Giderler!$A$5:$A$1004,"&gt;="&amp;DATE($C$3,9,1),Giderler!$A$5:$A$1004,"&lt;"&amp;DATE($C$3,10,1),Giderler!$C$5:$C$1004,"Yakıt")</f>
        <v>4100</v>
      </c>
      <c r="D19" s="32" t="n">
        <f aca="false">SUMIFS(Giderler!$F$5:$F$1004,Giderler!$A$5:$A$1004,"&gt;="&amp;DATE($C$3,9,1),Giderler!$A$5:$A$1004,"&lt;"&amp;DATE($C$3,10,1))-C19</f>
        <v>9000</v>
      </c>
      <c r="E19" s="33" t="n">
        <f aca="false">SUMIFS(Giderler!$E$5:$E$1004,Giderler!$A$5:$A$1004,"&gt;="&amp;DATE($C$3,9,1),Giderler!$A$5:$A$1004,"&lt;"&amp;DATE($C$3,10,1))</f>
        <v>82</v>
      </c>
      <c r="I19" s="31" t="str">
        <f aca="false">IF(Listeler!B13="","",Listeler!B13)</f>
        <v/>
      </c>
      <c r="J19" s="32" t="str">
        <f aca="false">IF(I19="","",SUMIFS(Giderler!$F$5:$F$1004,Giderler!$C$5:$C$1004,I19,Giderler!$A$5:$A$1004,"&gt;="&amp;DATE($C$3,1,1),Giderler!$A$5:$A$1004,"&lt;"&amp;DATE($C$3+1,1,1)))</f>
        <v/>
      </c>
    </row>
    <row r="20" customFormat="false" ht="15" hidden="false" customHeight="false" outlineLevel="0" collapsed="false">
      <c r="B20" s="34" t="s">
        <v>75</v>
      </c>
      <c r="C20" s="35" t="n">
        <f aca="false">SUMIFS(Giderler!$F$5:$F$1004,Giderler!$A$5:$A$1004,"&gt;="&amp;DATE($C$3,10,1),Giderler!$A$5:$A$1004,"&lt;"&amp;DATE($C$3,11,1),Giderler!$C$5:$C$1004,"Yakıt")</f>
        <v>2300</v>
      </c>
      <c r="D20" s="35" t="n">
        <f aca="false">SUMIFS(Giderler!$F$5:$F$1004,Giderler!$A$5:$A$1004,"&gt;="&amp;DATE($C$3,10,1),Giderler!$A$5:$A$1004,"&lt;"&amp;DATE($C$3,11,1))-C20</f>
        <v>350</v>
      </c>
      <c r="E20" s="36" t="n">
        <f aca="false">SUMIFS(Giderler!$E$5:$E$1004,Giderler!$A$5:$A$1004,"&gt;="&amp;DATE($C$3,10,1),Giderler!$A$5:$A$1004,"&lt;"&amp;DATE($C$3,11,1))</f>
        <v>45.5</v>
      </c>
      <c r="I20" s="34" t="str">
        <f aca="false">IF(Listeler!B14="","",Listeler!B14)</f>
        <v/>
      </c>
      <c r="J20" s="35" t="str">
        <f aca="false">IF(I20="","",SUMIFS(Giderler!$F$5:$F$1004,Giderler!$C$5:$C$1004,I20,Giderler!$A$5:$A$1004,"&gt;="&amp;DATE($C$3,1,1),Giderler!$A$5:$A$1004,"&lt;"&amp;DATE($C$3+1,1,1)))</f>
        <v/>
      </c>
    </row>
    <row r="21" customFormat="false" ht="15" hidden="false" customHeight="false" outlineLevel="0" collapsed="false">
      <c r="B21" s="31" t="s">
        <v>76</v>
      </c>
      <c r="C21" s="32" t="n">
        <f aca="false">SUMIFS(Giderler!$F$5:$F$1004,Giderler!$A$5:$A$1004,"&gt;="&amp;DATE($C$3,11,1),Giderler!$A$5:$A$1004,"&lt;"&amp;DATE($C$3,12,1),Giderler!$C$5:$C$1004,"Yakıt")</f>
        <v>0</v>
      </c>
      <c r="D21" s="32" t="n">
        <f aca="false">SUMIFS(Giderler!$F$5:$F$1004,Giderler!$A$5:$A$1004,"&gt;="&amp;DATE($C$3,11,1),Giderler!$A$5:$A$1004,"&lt;"&amp;DATE($C$3,12,1))-C21</f>
        <v>0</v>
      </c>
      <c r="E21" s="33" t="n">
        <f aca="false">SUMIFS(Giderler!$E$5:$E$1004,Giderler!$A$5:$A$1004,"&gt;="&amp;DATE($C$3,11,1),Giderler!$A$5:$A$1004,"&lt;"&amp;DATE($C$3,12,1))</f>
        <v>0</v>
      </c>
    </row>
    <row r="22" customFormat="false" ht="15" hidden="false" customHeight="false" outlineLevel="0" collapsed="false">
      <c r="B22" s="34" t="s">
        <v>77</v>
      </c>
      <c r="C22" s="35" t="n">
        <f aca="false">SUMIFS(Giderler!$F$5:$F$1004,Giderler!$A$5:$A$1004,"&gt;="&amp;DATE($C$3,12,1),Giderler!$A$5:$A$1004,"&lt;"&amp;DATE($C$3,13,1),Giderler!$C$5:$C$1004,"Yakıt")</f>
        <v>0</v>
      </c>
      <c r="D22" s="35" t="n">
        <f aca="false">SUMIFS(Giderler!$F$5:$F$1004,Giderler!$A$5:$A$1004,"&gt;="&amp;DATE($C$3,12,1),Giderler!$A$5:$A$1004,"&lt;"&amp;DATE($C$3,13,1))-C22</f>
        <v>0</v>
      </c>
      <c r="E22" s="36" t="n">
        <f aca="false">SUMIFS(Giderler!$E$5:$E$1004,Giderler!$A$5:$A$1004,"&gt;="&amp;DATE($C$3,12,1),Giderler!$A$5:$A$1004,"&lt;"&amp;DATE($C$3,13,1))</f>
        <v>0</v>
      </c>
    </row>
    <row r="23" customFormat="false" ht="15" hidden="false" customHeight="false" outlineLevel="0" collapsed="false">
      <c r="B23" s="37" t="s">
        <v>78</v>
      </c>
      <c r="C23" s="38" t="n">
        <f aca="false">SUM(C11:C22)</f>
        <v>6400</v>
      </c>
      <c r="D23" s="38" t="n">
        <f aca="false">SUM(D11:D22)</f>
        <v>9350</v>
      </c>
      <c r="E23" s="39" t="n">
        <f aca="false">SUM(E11:E22)</f>
        <v>127.5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9.7" hidden="false" customHeight="false" outlineLevel="0" collapsed="false">
      <c r="A1" s="8" t="s">
        <v>79</v>
      </c>
    </row>
    <row r="2" customFormat="false" ht="15" hidden="false" customHeight="false" outlineLevel="0" collapsed="false">
      <c r="A2" s="9" t="s">
        <v>80</v>
      </c>
    </row>
    <row r="4" customFormat="false" ht="21.75" hidden="false" customHeight="true" outlineLevel="0" collapsed="false">
      <c r="A4" s="10" t="s">
        <v>27</v>
      </c>
      <c r="B4" s="10" t="s">
        <v>81</v>
      </c>
    </row>
    <row r="5" customFormat="false" ht="15" hidden="false" customHeight="false" outlineLevel="0" collapsed="false">
      <c r="A5" s="17" t="s">
        <v>37</v>
      </c>
      <c r="B5" s="17" t="s">
        <v>38</v>
      </c>
    </row>
    <row r="6" customFormat="false" ht="15" hidden="false" customHeight="false" outlineLevel="0" collapsed="false">
      <c r="A6" s="17"/>
      <c r="B6" s="17" t="s">
        <v>82</v>
      </c>
    </row>
    <row r="7" customFormat="false" ht="15" hidden="false" customHeight="false" outlineLevel="0" collapsed="false">
      <c r="A7" s="17"/>
      <c r="B7" s="17" t="s">
        <v>39</v>
      </c>
    </row>
    <row r="8" customFormat="false" ht="15" hidden="false" customHeight="false" outlineLevel="0" collapsed="false">
      <c r="A8" s="17"/>
      <c r="B8" s="17" t="s">
        <v>83</v>
      </c>
    </row>
    <row r="9" customFormat="false" ht="15" hidden="false" customHeight="false" outlineLevel="0" collapsed="false">
      <c r="A9" s="17"/>
      <c r="B9" s="17" t="s">
        <v>52</v>
      </c>
    </row>
    <row r="10" customFormat="false" ht="15" hidden="false" customHeight="false" outlineLevel="0" collapsed="false">
      <c r="A10" s="17"/>
      <c r="B10" s="17" t="s">
        <v>84</v>
      </c>
    </row>
    <row r="11" customFormat="false" ht="15" hidden="false" customHeight="false" outlineLevel="0" collapsed="false">
      <c r="A11" s="17"/>
      <c r="B11" s="17" t="s">
        <v>40</v>
      </c>
    </row>
    <row r="12" customFormat="false" ht="15" hidden="false" customHeight="false" outlineLevel="0" collapsed="false">
      <c r="A12" s="17"/>
      <c r="B12" s="17" t="s">
        <v>85</v>
      </c>
    </row>
    <row r="13" customFormat="false" ht="15" hidden="false" customHeight="false" outlineLevel="0" collapsed="false">
      <c r="A13" s="17"/>
      <c r="B13" s="17"/>
    </row>
    <row r="14" customFormat="false" ht="15" hidden="false" customHeight="false" outlineLevel="0" collapsed="false">
      <c r="A14" s="17"/>
      <c r="B14" s="17"/>
    </row>
    <row r="15" customFormat="false" ht="15" hidden="false" customHeight="false" outlineLevel="0" collapsed="false">
      <c r="A15" s="17"/>
      <c r="B15" s="17"/>
    </row>
    <row r="16" customFormat="false" ht="15" hidden="false" customHeight="false" outlineLevel="0" collapsed="false">
      <c r="A16" s="17"/>
      <c r="B16" s="17"/>
    </row>
    <row r="17" customFormat="false" ht="15" hidden="false" customHeight="false" outlineLevel="0" collapsed="false">
      <c r="A17" s="17"/>
      <c r="B17" s="17"/>
    </row>
    <row r="18" customFormat="false" ht="15" hidden="false" customHeight="false" outlineLevel="0" collapsed="false">
      <c r="A18" s="17"/>
      <c r="B18" s="17"/>
    </row>
    <row r="19" customFormat="false" ht="15" hidden="false" customHeight="false" outlineLevel="0" collapsed="false">
      <c r="A19" s="17"/>
      <c r="B19" s="17"/>
    </row>
    <row r="20" customFormat="false" ht="15" hidden="false" customHeight="false" outlineLevel="0" collapsed="false">
      <c r="A20" s="17"/>
      <c r="B20" s="17"/>
    </row>
    <row r="21" customFormat="false" ht="15" hidden="false" customHeight="false" outlineLevel="0" collapsed="false">
      <c r="A21" s="17"/>
      <c r="B21" s="17"/>
    </row>
    <row r="22" customFormat="false" ht="15" hidden="false" customHeight="false" outlineLevel="0" collapsed="false">
      <c r="A22" s="17"/>
      <c r="B22" s="17"/>
    </row>
    <row r="23" customFormat="false" ht="15" hidden="false" customHeight="false" outlineLevel="0" collapsed="false">
      <c r="A23" s="17"/>
      <c r="B23" s="17"/>
    </row>
    <row r="24" customFormat="false" ht="15" hidden="false" customHeight="false" outlineLevel="0" collapsed="false">
      <c r="A24" s="17"/>
      <c r="B24" s="17"/>
    </row>
    <row r="25" customFormat="false" ht="15" hidden="false" customHeight="false" outlineLevel="0" collapsed="false">
      <c r="A25" s="17"/>
      <c r="B25" s="17"/>
    </row>
    <row r="26" customFormat="false" ht="15" hidden="false" customHeight="false" outlineLevel="0" collapsed="false">
      <c r="A26" s="17"/>
      <c r="B26" s="17"/>
    </row>
    <row r="27" customFormat="false" ht="15" hidden="false" customHeight="false" outlineLevel="0" collapsed="false">
      <c r="A27" s="17"/>
      <c r="B27" s="17"/>
    </row>
    <row r="28" customFormat="false" ht="15" hidden="false" customHeight="false" outlineLevel="0" collapsed="false">
      <c r="A28" s="17"/>
      <c r="B28" s="17"/>
    </row>
    <row r="29" customFormat="false" ht="15" hidden="false" customHeight="false" outlineLevel="0" collapsed="false">
      <c r="A29" s="17"/>
      <c r="B29" s="17"/>
    </row>
    <row r="30" customFormat="false" ht="15" hidden="false" customHeight="false" outlineLevel="0" collapsed="false">
      <c r="A30" s="17"/>
      <c r="B30" s="17"/>
    </row>
    <row r="31" customFormat="false" ht="15" hidden="false" customHeight="false" outlineLevel="0" collapsed="false">
      <c r="A31" s="17"/>
      <c r="B31" s="17"/>
    </row>
    <row r="32" customFormat="false" ht="15" hidden="false" customHeight="false" outlineLevel="0" collapsed="false">
      <c r="A32" s="17"/>
      <c r="B32" s="17"/>
    </row>
    <row r="33" customFormat="false" ht="15" hidden="false" customHeight="false" outlineLevel="0" collapsed="false">
      <c r="A33" s="17"/>
      <c r="B33" s="17"/>
    </row>
    <row r="34" customFormat="false" ht="15" hidden="false" customHeight="false" outlineLevel="0" collapsed="false">
      <c r="A34" s="17"/>
      <c r="B34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86</v>
      </c>
    </row>
    <row r="2" customFormat="false" ht="30" hidden="false" customHeight="true" outlineLevel="0" collapsed="false">
      <c r="B2" s="40" t="s">
        <v>87</v>
      </c>
      <c r="C2" s="40"/>
    </row>
    <row r="3" customFormat="false" ht="31.5" hidden="false" customHeight="true" outlineLevel="0" collapsed="false">
      <c r="B3" s="41" t="s">
        <v>88</v>
      </c>
      <c r="C3" s="41"/>
    </row>
    <row r="5" customFormat="false" ht="15" hidden="false" customHeight="false" outlineLevel="0" collapsed="false">
      <c r="B5" s="42" t="s">
        <v>89</v>
      </c>
      <c r="C5" s="42" t="s">
        <v>90</v>
      </c>
    </row>
    <row r="6" customFormat="false" ht="31.5" hidden="false" customHeight="true" outlineLevel="0" collapsed="false">
      <c r="B6" s="43" t="s">
        <v>91</v>
      </c>
      <c r="C6" s="44" t="s">
        <v>92</v>
      </c>
    </row>
    <row r="7" customFormat="false" ht="31.5" hidden="false" customHeight="true" outlineLevel="0" collapsed="false">
      <c r="B7" s="45" t="s">
        <v>93</v>
      </c>
      <c r="C7" s="46" t="s">
        <v>94</v>
      </c>
    </row>
    <row r="8" customFormat="false" ht="31.5" hidden="false" customHeight="true" outlineLevel="0" collapsed="false">
      <c r="B8" s="43" t="s">
        <v>95</v>
      </c>
      <c r="C8" s="44" t="s">
        <v>96</v>
      </c>
    </row>
    <row r="9" customFormat="false" ht="31.5" hidden="false" customHeight="true" outlineLevel="0" collapsed="false">
      <c r="B9" s="45" t="s">
        <v>97</v>
      </c>
      <c r="C9" s="46" t="s">
        <v>98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