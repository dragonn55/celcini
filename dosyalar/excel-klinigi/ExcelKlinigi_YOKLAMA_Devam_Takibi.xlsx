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Yoklama" sheetId="2" state="visible" r:id="rId4"/>
    <sheet name="Özet" sheetId="3" state="visible" r:id="rId5"/>
    <sheet name="AI Komut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<sst xmlns="http://schemas.openxmlformats.org/spreadsheetml/2006/main" count="78" uniqueCount="62">
  <si>
    <t xml:space="preserve">EXCEL KLİNİĞİ</t>
  </si>
  <si>
    <t xml:space="preserve">YOKLAMA  |  Sınıf yoklama ve devam takibi</t>
  </si>
  <si>
    <t xml:space="preserve">Her derste kim geldi, kim gelmedi; devamsızlık sınırına yaklaşan öğrenciyi geç olmadan gör.</t>
  </si>
  <si>
    <t xml:space="preserve">NASIL KULLANILIR</t>
  </si>
  <si>
    <t xml:space="preserve">1. Yoklama</t>
  </si>
  <si>
    <t xml:space="preserve">Öğrencileri alt alta, ders tarihlerini üst satıra yaz.</t>
  </si>
  <si>
    <t xml:space="preserve">2. İşaretle</t>
  </si>
  <si>
    <t xml:space="preserve">Her ders için X (geldi), D (devamsız), G (geç), İ (izinli) yaz ya da listeden seç.</t>
  </si>
  <si>
    <t xml:space="preserve">3. Özet</t>
  </si>
  <si>
    <t xml:space="preserve">Ortalama devam, sınırı aşanlar ve en çok devamsızlığı olanlar.</t>
  </si>
  <si>
    <t xml:space="preserve">BİLMEN GEREKENLER</t>
  </si>
  <si>
    <t xml:space="preserve">Devam oranı</t>
  </si>
  <si>
    <t xml:space="preserve">Geldi ve geç sayılan derslerin, o öğrenci için işaretlenmiş bütün derslere oranıdır.</t>
  </si>
  <si>
    <t xml:space="preserve">Sınır</t>
  </si>
  <si>
    <t xml:space="preserve">Devamsız ders oranı sınırı aşarsa Sınırı aştı, sınırın yüzde 70'ini geçerse Sınıra yakın yazar. İzinli dersler devamsız sayılmaz.</t>
  </si>
  <si>
    <t xml:space="preserve">Tek sınıf</t>
  </si>
  <si>
    <t xml:space="preserve">Bir dosya bir sınıfı ya da grubu tutar.</t>
  </si>
  <si>
    <t xml:space="preserve">Kapasite</t>
  </si>
  <si>
    <t xml:space="preserve">40 öğrenci, 60 ders.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</si>
  <si>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</si>
  <si>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</si>
  <si>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</si>
  <si>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</si>
  <si>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</si>
  <si>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Yoklama</t>
  </si>
  <si>
    <t xml:space="preserve">Üst satıra ders tarihlerini yaz. Her öğrenci için X geldi, D devamsız, G geç, İ izinli.</t>
  </si>
  <si>
    <t xml:space="preserve">Devamsızlık sınırı</t>
  </si>
  <si>
    <t xml:space="preserve">Öğrenci</t>
  </si>
  <si>
    <t xml:space="preserve">Devamsız</t>
  </si>
  <si>
    <t xml:space="preserve">Geç</t>
  </si>
  <si>
    <t xml:space="preserve">İzinli</t>
  </si>
  <si>
    <t xml:space="preserve">Devam</t>
  </si>
  <si>
    <t xml:space="preserve">Uyarı</t>
  </si>
  <si>
    <t xml:space="preserve">Öğrenci Alfa</t>
  </si>
  <si>
    <t xml:space="preserve">X</t>
  </si>
  <si>
    <t xml:space="preserve">Öğrenci Beta</t>
  </si>
  <si>
    <t xml:space="preserve">D</t>
  </si>
  <si>
    <t xml:space="preserve">Öğrenci Gama</t>
  </si>
  <si>
    <t xml:space="preserve">G</t>
  </si>
  <si>
    <t xml:space="preserve">İ</t>
  </si>
  <si>
    <t xml:space="preserve">Öğrenci Delta</t>
  </si>
  <si>
    <t xml:space="preserve">GELEN</t>
  </si>
  <si>
    <t xml:space="preserve">Özet</t>
  </si>
  <si>
    <t xml:space="preserve">Bu sayfaya yazma.</t>
  </si>
  <si>
    <t xml:space="preserve">İşlenen ders</t>
  </si>
  <si>
    <t xml:space="preserve">Ortalama devam</t>
  </si>
  <si>
    <t xml:space="preserve">Sınırı aşan</t>
  </si>
  <si>
    <t xml:space="preserve">Sınıra yakın</t>
  </si>
  <si>
    <t xml:space="preserve">En çok devamsızlığı olan 5 öğrenci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</si>
  <si>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</si>
  <si>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</si>
  <si>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Öğrenci adlarını takma adla ya da numarayla değiştir. Yapay zekanın verdiği rakamları dosyadaki özet sayfasıyla karşılaştır.</t>
  </si>
  <si>
    <t xml:space="preserve">Ne için</t>
  </si>
  <si>
    <t xml:space="preserve">Komut (kopyala, yapıştır)</t>
  </si>
  <si>
    <t xml:space="preserve">Veli mesajı</t>
  </si>
  <si>
    <t xml:space="preserve">Devamsızlığı sınıra yaklaşan öğrencinin velisine gönderilecek kısa ve yapıcı bir bilgilendirme yaz.</t>
  </si>
  <si>
    <t xml:space="preserve">Örüntü</t>
  </si>
  <si>
    <t xml:space="preserve">[Yoklama sayfası] Devamsızlığın yoğunlaştığı dersleri ya da haftaları bul.</t>
  </si>
  <si>
    <t xml:space="preserve">Özet rapor</t>
  </si>
  <si>
    <t xml:space="preserve">[Özet sayfası] Sınıfın devam durumunu yöneticiye sunmak için üç cümlelik özet yaz.</t>
  </si>
  <si>
    <t xml:space="preserve">Katılım</t>
  </si>
  <si>
    <t xml:space="preserve">Derse katılımı artırmak için uygulanabilir beş öneri ver.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</si>
</sst>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dd\.mm"/>
    <numFmt numFmtId="167" formatCode="General"/>
    <numFmt numFmtId="168" formatCode="#,##0;[RED]\-#,##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B1F23"/>
      <name val="Arial"/>
      <family val="0"/>
      <charset val="1"/>
    </font>
    <font>
      <sz val="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67" min="8" style="0" width="5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3" customFormat="false" ht="15" hidden="false" customHeight="false" outlineLevel="0" collapsed="false">
      <c r="B3" s="10" t="s">
        <v>26</v>
      </c>
      <c r="C3" s="11" t="n">
        <v>0.3</v>
      </c>
    </row>
    <row r="5" customFormat="false" ht="39.75" hidden="false" customHeight="true" outlineLevel="0" collapsed="false">
      <c r="B5" s="12" t="s">
        <v>27</v>
      </c>
      <c r="C5" s="13" t="s">
        <v>28</v>
      </c>
      <c r="D5" s="13" t="s">
        <v>29</v>
      </c>
      <c r="E5" s="13" t="s">
        <v>30</v>
      </c>
      <c r="F5" s="13" t="s">
        <v>31</v>
      </c>
      <c r="G5" s="13" t="s">
        <v>32</v>
      </c>
      <c r="H5" s="14" t="n">
        <v>46279</v>
      </c>
      <c r="I5" s="14" t="n">
        <v>46286</v>
      </c>
      <c r="J5" s="14" t="n">
        <v>46293</v>
      </c>
      <c r="K5" s="14" t="n">
        <v>46300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customFormat="false" ht="15" hidden="false" customHeight="false" outlineLevel="0" collapsed="false">
      <c r="A6" s="15" t="n">
        <f aca="false">IF(B6="","",C6+ROW()/1000000)</f>
        <v>6E-006</v>
      </c>
      <c r="B6" s="16" t="s">
        <v>33</v>
      </c>
      <c r="C6" s="17" t="n">
        <f aca="false">IF(B6="","",COUNTIF(H6:BO6,"D"))</f>
        <v>0</v>
      </c>
      <c r="D6" s="17" t="n">
        <f aca="false">IF(B6="","",COUNTIF(H6:BO6,"G"))</f>
        <v>0</v>
      </c>
      <c r="E6" s="17" t="n">
        <f aca="false">IF(B6="","",COUNTIF(H6:BO6,"İ"))</f>
        <v>0</v>
      </c>
      <c r="F6" s="18" t="n">
        <f aca="false">IF(OR(B6="",COUNTA(H6:BO6)=0),"",(COUNTIF(H6:BO6,"X")+COUNTIF(H6:BO6,"G"))/COUNTA(H6:BO6))</f>
        <v>1</v>
      </c>
      <c r="G6" s="19" t="str">
        <f aca="false">IF(OR(B6="",COUNTA(H6:BO6)=0),"",IF(C6/COUNTA(H6:BO6)&gt;$C$3,"Sınırı aştı",IF(C6/COUNTA(H6:BO6)&gt;$C$3*0.7,"Sınıra yakın","")))</f>
        <v/>
      </c>
      <c r="H6" s="20" t="s">
        <v>34</v>
      </c>
      <c r="I6" s="20" t="s">
        <v>34</v>
      </c>
      <c r="J6" s="20" t="s">
        <v>34</v>
      </c>
      <c r="K6" s="20" t="s">
        <v>34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</row>
    <row r="7" customFormat="false" ht="15" hidden="false" customHeight="false" outlineLevel="0" collapsed="false">
      <c r="A7" s="15" t="n">
        <f aca="false">IF(B7="","",C7+ROW()/1000000)</f>
        <v>2.000007</v>
      </c>
      <c r="B7" s="16" t="s">
        <v>35</v>
      </c>
      <c r="C7" s="17" t="n">
        <f aca="false">IF(B7="","",COUNTIF(H7:BO7,"D"))</f>
        <v>2</v>
      </c>
      <c r="D7" s="17" t="n">
        <f aca="false">IF(B7="","",COUNTIF(H7:BO7,"G"))</f>
        <v>0</v>
      </c>
      <c r="E7" s="17" t="n">
        <f aca="false">IF(B7="","",COUNTIF(H7:BO7,"İ"))</f>
        <v>0</v>
      </c>
      <c r="F7" s="18" t="n">
        <f aca="false">IF(OR(B7="",COUNTA(H7:BO7)=0),"",(COUNTIF(H7:BO7,"X")+COUNTIF(H7:BO7,"G"))/COUNTA(H7:BO7))</f>
        <v>0.5</v>
      </c>
      <c r="G7" s="19" t="str">
        <f aca="false">IF(OR(B7="",COUNTA(H7:BO7)=0),"",IF(C7/COUNTA(H7:BO7)&gt;$C$3,"Sınırı aştı",IF(C7/COUNTA(H7:BO7)&gt;$C$3*0.7,"Sınıra yakın","")))</f>
        <v>Sınırı aştı</v>
      </c>
      <c r="H7" s="20" t="s">
        <v>34</v>
      </c>
      <c r="I7" s="20" t="s">
        <v>36</v>
      </c>
      <c r="J7" s="20" t="s">
        <v>36</v>
      </c>
      <c r="K7" s="20" t="s">
        <v>34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</row>
    <row r="8" customFormat="false" ht="15" hidden="false" customHeight="false" outlineLevel="0" collapsed="false">
      <c r="A8" s="15" t="n">
        <f aca="false">IF(B8="","",C8+ROW()/1000000)</f>
        <v>1.000008</v>
      </c>
      <c r="B8" s="16" t="s">
        <v>37</v>
      </c>
      <c r="C8" s="17" t="n">
        <f aca="false">IF(B8="","",COUNTIF(H8:BO8,"D"))</f>
        <v>1</v>
      </c>
      <c r="D8" s="17" t="n">
        <f aca="false">IF(B8="","",COUNTIF(H8:BO8,"G"))</f>
        <v>1</v>
      </c>
      <c r="E8" s="17" t="n">
        <f aca="false">IF(B8="","",COUNTIF(H8:BO8,"İ"))</f>
        <v>1</v>
      </c>
      <c r="F8" s="18" t="n">
        <f aca="false">IF(OR(B8="",COUNTA(H8:BO8)=0),"",(COUNTIF(H8:BO8,"X")+COUNTIF(H8:BO8,"G"))/COUNTA(H8:BO8))</f>
        <v>0.5</v>
      </c>
      <c r="G8" s="19" t="str">
        <f aca="false">IF(OR(B8="",COUNTA(H8:BO8)=0),"",IF(C8/COUNTA(H8:BO8)&gt;$C$3,"Sınırı aştı",IF(C8/COUNTA(H8:BO8)&gt;$C$3*0.7,"Sınıra yakın","")))</f>
        <v>Sınıra yakın</v>
      </c>
      <c r="H8" s="20" t="s">
        <v>38</v>
      </c>
      <c r="I8" s="20" t="s">
        <v>34</v>
      </c>
      <c r="J8" s="20" t="s">
        <v>39</v>
      </c>
      <c r="K8" s="20" t="s">
        <v>36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</row>
    <row r="9" customFormat="false" ht="15" hidden="false" customHeight="false" outlineLevel="0" collapsed="false">
      <c r="A9" s="15" t="n">
        <f aca="false">IF(B9="","",C9+ROW()/1000000)</f>
        <v>3.000009</v>
      </c>
      <c r="B9" s="16" t="s">
        <v>40</v>
      </c>
      <c r="C9" s="17" t="n">
        <f aca="false">IF(B9="","",COUNTIF(H9:BO9,"D"))</f>
        <v>3</v>
      </c>
      <c r="D9" s="17" t="n">
        <f aca="false">IF(B9="","",COUNTIF(H9:BO9,"G"))</f>
        <v>0</v>
      </c>
      <c r="E9" s="17" t="n">
        <f aca="false">IF(B9="","",COUNTIF(H9:BO9,"İ"))</f>
        <v>0</v>
      </c>
      <c r="F9" s="18" t="n">
        <f aca="false">IF(OR(B9="",COUNTA(H9:BO9)=0),"",(COUNTIF(H9:BO9,"X")+COUNTIF(H9:BO9,"G"))/COUNTA(H9:BO9))</f>
        <v>0.25</v>
      </c>
      <c r="G9" s="19" t="str">
        <f aca="false">IF(OR(B9="",COUNTA(H9:BO9)=0),"",IF(C9/COUNTA(H9:BO9)&gt;$C$3,"Sınırı aştı",IF(C9/COUNTA(H9:BO9)&gt;$C$3*0.7,"Sınıra yakın","")))</f>
        <v>Sınırı aştı</v>
      </c>
      <c r="H9" s="20" t="s">
        <v>36</v>
      </c>
      <c r="I9" s="20" t="s">
        <v>36</v>
      </c>
      <c r="J9" s="20" t="s">
        <v>34</v>
      </c>
      <c r="K9" s="20" t="s">
        <v>36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</row>
    <row r="10" customFormat="false" ht="15" hidden="false" customHeight="false" outlineLevel="0" collapsed="false">
      <c r="A10" s="15" t="str">
        <f aca="false">IF(B10="","",C10+ROW()/1000000)</f>
        <v/>
      </c>
      <c r="B10" s="16"/>
      <c r="C10" s="17" t="str">
        <f aca="false">IF(B10="","",COUNTIF(H10:BO10,"D"))</f>
        <v/>
      </c>
      <c r="D10" s="17" t="str">
        <f aca="false">IF(B10="","",COUNTIF(H10:BO10,"G"))</f>
        <v/>
      </c>
      <c r="E10" s="17" t="str">
        <f aca="false">IF(B10="","",COUNTIF(H10:BO10,"İ"))</f>
        <v/>
      </c>
      <c r="F10" s="18" t="str">
        <f aca="false">IF(OR(B10="",COUNTA(H10:BO10)=0),"",(COUNTIF(H10:BO10,"X")+COUNTIF(H10:BO10,"G"))/COUNTA(H10:BO10))</f>
        <v/>
      </c>
      <c r="G10" s="19" t="str">
        <f aca="false">IF(OR(B10="",COUNTA(H10:BO10)=0),"",IF(C10/COUNTA(H10:BO10)&gt;$C$3,"Sınırı aştı",IF(C10/COUNTA(H10:BO10)&gt;$C$3*0.7,"Sınıra yakın","")))</f>
        <v/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</row>
    <row r="11" customFormat="false" ht="15" hidden="false" customHeight="false" outlineLevel="0" collapsed="false">
      <c r="A11" s="15" t="str">
        <f aca="false">IF(B11="","",C11+ROW()/1000000)</f>
        <v/>
      </c>
      <c r="B11" s="16"/>
      <c r="C11" s="17" t="str">
        <f aca="false">IF(B11="","",COUNTIF(H11:BO11,"D"))</f>
        <v/>
      </c>
      <c r="D11" s="17" t="str">
        <f aca="false">IF(B11="","",COUNTIF(H11:BO11,"G"))</f>
        <v/>
      </c>
      <c r="E11" s="17" t="str">
        <f aca="false">IF(B11="","",COUNTIF(H11:BO11,"İ"))</f>
        <v/>
      </c>
      <c r="F11" s="18" t="str">
        <f aca="false">IF(OR(B11="",COUNTA(H11:BO11)=0),"",(COUNTIF(H11:BO11,"X")+COUNTIF(H11:BO11,"G"))/COUNTA(H11:BO11))</f>
        <v/>
      </c>
      <c r="G11" s="19" t="str">
        <f aca="false">IF(OR(B11="",COUNTA(H11:BO11)=0),"",IF(C11/COUNTA(H11:BO11)&gt;$C$3,"Sınırı aştı",IF(C11/COUNTA(H11:BO11)&gt;$C$3*0.7,"Sınıra yakın","")))</f>
        <v/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</row>
    <row r="12" customFormat="false" ht="15" hidden="false" customHeight="false" outlineLevel="0" collapsed="false">
      <c r="A12" s="15" t="str">
        <f aca="false">IF(B12="","",C12+ROW()/1000000)</f>
        <v/>
      </c>
      <c r="B12" s="16"/>
      <c r="C12" s="17" t="str">
        <f aca="false">IF(B12="","",COUNTIF(H12:BO12,"D"))</f>
        <v/>
      </c>
      <c r="D12" s="17" t="str">
        <f aca="false">IF(B12="","",COUNTIF(H12:BO12,"G"))</f>
        <v/>
      </c>
      <c r="E12" s="17" t="str">
        <f aca="false">IF(B12="","",COUNTIF(H12:BO12,"İ"))</f>
        <v/>
      </c>
      <c r="F12" s="18" t="str">
        <f aca="false">IF(OR(B12="",COUNTA(H12:BO12)=0),"",(COUNTIF(H12:BO12,"X")+COUNTIF(H12:BO12,"G"))/COUNTA(H12:BO12))</f>
        <v/>
      </c>
      <c r="G12" s="19" t="str">
        <f aca="false">IF(OR(B12="",COUNTA(H12:BO12)=0),"",IF(C12/COUNTA(H12:BO12)&gt;$C$3,"Sınırı aştı",IF(C12/COUNTA(H12:BO12)&gt;$C$3*0.7,"Sınıra yakın","")))</f>
        <v/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</row>
    <row r="13" customFormat="false" ht="15" hidden="false" customHeight="false" outlineLevel="0" collapsed="false">
      <c r="A13" s="15" t="str">
        <f aca="false">IF(B13="","",C13+ROW()/1000000)</f>
        <v/>
      </c>
      <c r="B13" s="16"/>
      <c r="C13" s="17" t="str">
        <f aca="false">IF(B13="","",COUNTIF(H13:BO13,"D"))</f>
        <v/>
      </c>
      <c r="D13" s="17" t="str">
        <f aca="false">IF(B13="","",COUNTIF(H13:BO13,"G"))</f>
        <v/>
      </c>
      <c r="E13" s="17" t="str">
        <f aca="false">IF(B13="","",COUNTIF(H13:BO13,"İ"))</f>
        <v/>
      </c>
      <c r="F13" s="18" t="str">
        <f aca="false">IF(OR(B13="",COUNTA(H13:BO13)=0),"",(COUNTIF(H13:BO13,"X")+COUNTIF(H13:BO13,"G"))/COUNTA(H13:BO13))</f>
        <v/>
      </c>
      <c r="G13" s="19" t="str">
        <f aca="false">IF(OR(B13="",COUNTA(H13:BO13)=0),"",IF(C13/COUNTA(H13:BO13)&gt;$C$3,"Sınırı aştı",IF(C13/COUNTA(H13:BO13)&gt;$C$3*0.7,"Sınıra yakın","")))</f>
        <v/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</row>
    <row r="14" customFormat="false" ht="15" hidden="false" customHeight="false" outlineLevel="0" collapsed="false">
      <c r="A14" s="15" t="str">
        <f aca="false">IF(B14="","",C14+ROW()/1000000)</f>
        <v/>
      </c>
      <c r="B14" s="16"/>
      <c r="C14" s="17" t="str">
        <f aca="false">IF(B14="","",COUNTIF(H14:BO14,"D"))</f>
        <v/>
      </c>
      <c r="D14" s="17" t="str">
        <f aca="false">IF(B14="","",COUNTIF(H14:BO14,"G"))</f>
        <v/>
      </c>
      <c r="E14" s="17" t="str">
        <f aca="false">IF(B14="","",COUNTIF(H14:BO14,"İ"))</f>
        <v/>
      </c>
      <c r="F14" s="18" t="str">
        <f aca="false">IF(OR(B14="",COUNTA(H14:BO14)=0),"",(COUNTIF(H14:BO14,"X")+COUNTIF(H14:BO14,"G"))/COUNTA(H14:BO14))</f>
        <v/>
      </c>
      <c r="G14" s="19" t="str">
        <f aca="false">IF(OR(B14="",COUNTA(H14:BO14)=0),"",IF(C14/COUNTA(H14:BO14)&gt;$C$3,"Sınırı aştı",IF(C14/COUNTA(H14:BO14)&gt;$C$3*0.7,"Sınıra yakın","")))</f>
        <v/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</row>
    <row r="15" customFormat="false" ht="15" hidden="false" customHeight="false" outlineLevel="0" collapsed="false">
      <c r="A15" s="15" t="str">
        <f aca="false">IF(B15="","",C15+ROW()/1000000)</f>
        <v/>
      </c>
      <c r="B15" s="16"/>
      <c r="C15" s="17" t="str">
        <f aca="false">IF(B15="","",COUNTIF(H15:BO15,"D"))</f>
        <v/>
      </c>
      <c r="D15" s="17" t="str">
        <f aca="false">IF(B15="","",COUNTIF(H15:BO15,"G"))</f>
        <v/>
      </c>
      <c r="E15" s="17" t="str">
        <f aca="false">IF(B15="","",COUNTIF(H15:BO15,"İ"))</f>
        <v/>
      </c>
      <c r="F15" s="18" t="str">
        <f aca="false">IF(OR(B15="",COUNTA(H15:BO15)=0),"",(COUNTIF(H15:BO15,"X")+COUNTIF(H15:BO15,"G"))/COUNTA(H15:BO15))</f>
        <v/>
      </c>
      <c r="G15" s="19" t="str">
        <f aca="false">IF(OR(B15="",COUNTA(H15:BO15)=0),"",IF(C15/COUNTA(H15:BO15)&gt;$C$3,"Sınırı aştı",IF(C15/COUNTA(H15:BO15)&gt;$C$3*0.7,"Sınıra yakın","")))</f>
        <v/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</row>
    <row r="16" customFormat="false" ht="15" hidden="false" customHeight="false" outlineLevel="0" collapsed="false">
      <c r="A16" s="15" t="str">
        <f aca="false">IF(B16="","",C16+ROW()/1000000)</f>
        <v/>
      </c>
      <c r="B16" s="16"/>
      <c r="C16" s="17" t="str">
        <f aca="false">IF(B16="","",COUNTIF(H16:BO16,"D"))</f>
        <v/>
      </c>
      <c r="D16" s="17" t="str">
        <f aca="false">IF(B16="","",COUNTIF(H16:BO16,"G"))</f>
        <v/>
      </c>
      <c r="E16" s="17" t="str">
        <f aca="false">IF(B16="","",COUNTIF(H16:BO16,"İ"))</f>
        <v/>
      </c>
      <c r="F16" s="18" t="str">
        <f aca="false">IF(OR(B16="",COUNTA(H16:BO16)=0),"",(COUNTIF(H16:BO16,"X")+COUNTIF(H16:BO16,"G"))/COUNTA(H16:BO16))</f>
        <v/>
      </c>
      <c r="G16" s="19" t="str">
        <f aca="false">IF(OR(B16="",COUNTA(H16:BO16)=0),"",IF(C16/COUNTA(H16:BO16)&gt;$C$3,"Sınırı aştı",IF(C16/COUNTA(H16:BO16)&gt;$C$3*0.7,"Sınıra yakın","")))</f>
        <v/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</row>
    <row r="17" customFormat="false" ht="15" hidden="false" customHeight="false" outlineLevel="0" collapsed="false">
      <c r="A17" s="15" t="str">
        <f aca="false">IF(B17="","",C17+ROW()/1000000)</f>
        <v/>
      </c>
      <c r="B17" s="16"/>
      <c r="C17" s="17" t="str">
        <f aca="false">IF(B17="","",COUNTIF(H17:BO17,"D"))</f>
        <v/>
      </c>
      <c r="D17" s="17" t="str">
        <f aca="false">IF(B17="","",COUNTIF(H17:BO17,"G"))</f>
        <v/>
      </c>
      <c r="E17" s="17" t="str">
        <f aca="false">IF(B17="","",COUNTIF(H17:BO17,"İ"))</f>
        <v/>
      </c>
      <c r="F17" s="18" t="str">
        <f aca="false">IF(OR(B17="",COUNTA(H17:BO17)=0),"",(COUNTIF(H17:BO17,"X")+COUNTIF(H17:BO17,"G"))/COUNTA(H17:BO17))</f>
        <v/>
      </c>
      <c r="G17" s="19" t="str">
        <f aca="false">IF(OR(B17="",COUNTA(H17:BO17)=0),"",IF(C17/COUNTA(H17:BO17)&gt;$C$3,"Sınırı aştı",IF(C17/COUNTA(H17:BO17)&gt;$C$3*0.7,"Sınıra yakın","")))</f>
        <v/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</row>
    <row r="18" customFormat="false" ht="15" hidden="false" customHeight="false" outlineLevel="0" collapsed="false">
      <c r="A18" s="15" t="str">
        <f aca="false">IF(B18="","",C18+ROW()/1000000)</f>
        <v/>
      </c>
      <c r="B18" s="16"/>
      <c r="C18" s="17" t="str">
        <f aca="false">IF(B18="","",COUNTIF(H18:BO18,"D"))</f>
        <v/>
      </c>
      <c r="D18" s="17" t="str">
        <f aca="false">IF(B18="","",COUNTIF(H18:BO18,"G"))</f>
        <v/>
      </c>
      <c r="E18" s="17" t="str">
        <f aca="false">IF(B18="","",COUNTIF(H18:BO18,"İ"))</f>
        <v/>
      </c>
      <c r="F18" s="18" t="str">
        <f aca="false">IF(OR(B18="",COUNTA(H18:BO18)=0),"",(COUNTIF(H18:BO18,"X")+COUNTIF(H18:BO18,"G"))/COUNTA(H18:BO18))</f>
        <v/>
      </c>
      <c r="G18" s="19" t="str">
        <f aca="false">IF(OR(B18="",COUNTA(H18:BO18)=0),"",IF(C18/COUNTA(H18:BO18)&gt;$C$3,"Sınırı aştı",IF(C18/COUNTA(H18:BO18)&gt;$C$3*0.7,"Sınıra yakın","")))</f>
        <v/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</row>
    <row r="19" customFormat="false" ht="15" hidden="false" customHeight="false" outlineLevel="0" collapsed="false">
      <c r="A19" s="15" t="str">
        <f aca="false">IF(B19="","",C19+ROW()/1000000)</f>
        <v/>
      </c>
      <c r="B19" s="16"/>
      <c r="C19" s="17" t="str">
        <f aca="false">IF(B19="","",COUNTIF(H19:BO19,"D"))</f>
        <v/>
      </c>
      <c r="D19" s="17" t="str">
        <f aca="false">IF(B19="","",COUNTIF(H19:BO19,"G"))</f>
        <v/>
      </c>
      <c r="E19" s="17" t="str">
        <f aca="false">IF(B19="","",COUNTIF(H19:BO19,"İ"))</f>
        <v/>
      </c>
      <c r="F19" s="18" t="str">
        <f aca="false">IF(OR(B19="",COUNTA(H19:BO19)=0),"",(COUNTIF(H19:BO19,"X")+COUNTIF(H19:BO19,"G"))/COUNTA(H19:BO19))</f>
        <v/>
      </c>
      <c r="G19" s="19" t="str">
        <f aca="false">IF(OR(B19="",COUNTA(H19:BO19)=0),"",IF(C19/COUNTA(H19:BO19)&gt;$C$3,"Sınırı aştı",IF(C19/COUNTA(H19:BO19)&gt;$C$3*0.7,"Sınıra yakın","")))</f>
        <v/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</row>
    <row r="20" customFormat="false" ht="15" hidden="false" customHeight="false" outlineLevel="0" collapsed="false">
      <c r="A20" s="15" t="str">
        <f aca="false">IF(B20="","",C20+ROW()/1000000)</f>
        <v/>
      </c>
      <c r="B20" s="16"/>
      <c r="C20" s="17" t="str">
        <f aca="false">IF(B20="","",COUNTIF(H20:BO20,"D"))</f>
        <v/>
      </c>
      <c r="D20" s="17" t="str">
        <f aca="false">IF(B20="","",COUNTIF(H20:BO20,"G"))</f>
        <v/>
      </c>
      <c r="E20" s="17" t="str">
        <f aca="false">IF(B20="","",COUNTIF(H20:BO20,"İ"))</f>
        <v/>
      </c>
      <c r="F20" s="18" t="str">
        <f aca="false">IF(OR(B20="",COUNTA(H20:BO20)=0),"",(COUNTIF(H20:BO20,"X")+COUNTIF(H20:BO20,"G"))/COUNTA(H20:BO20))</f>
        <v/>
      </c>
      <c r="G20" s="19" t="str">
        <f aca="false">IF(OR(B20="",COUNTA(H20:BO20)=0),"",IF(C20/COUNTA(H20:BO20)&gt;$C$3,"Sınırı aştı",IF(C20/COUNTA(H20:BO20)&gt;$C$3*0.7,"Sınıra yakın","")))</f>
        <v/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</row>
    <row r="21" customFormat="false" ht="15" hidden="false" customHeight="false" outlineLevel="0" collapsed="false">
      <c r="A21" s="15" t="str">
        <f aca="false">IF(B21="","",C21+ROW()/1000000)</f>
        <v/>
      </c>
      <c r="B21" s="16"/>
      <c r="C21" s="17" t="str">
        <f aca="false">IF(B21="","",COUNTIF(H21:BO21,"D"))</f>
        <v/>
      </c>
      <c r="D21" s="17" t="str">
        <f aca="false">IF(B21="","",COUNTIF(H21:BO21,"G"))</f>
        <v/>
      </c>
      <c r="E21" s="17" t="str">
        <f aca="false">IF(B21="","",COUNTIF(H21:BO21,"İ"))</f>
        <v/>
      </c>
      <c r="F21" s="18" t="str">
        <f aca="false">IF(OR(B21="",COUNTA(H21:BO21)=0),"",(COUNTIF(H21:BO21,"X")+COUNTIF(H21:BO21,"G"))/COUNTA(H21:BO21))</f>
        <v/>
      </c>
      <c r="G21" s="19" t="str">
        <f aca="false">IF(OR(B21="",COUNTA(H21:BO21)=0),"",IF(C21/COUNTA(H21:BO21)&gt;$C$3,"Sınırı aştı",IF(C21/COUNTA(H21:BO21)&gt;$C$3*0.7,"Sınıra yakın","")))</f>
        <v/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</row>
    <row r="22" customFormat="false" ht="15" hidden="false" customHeight="false" outlineLevel="0" collapsed="false">
      <c r="A22" s="15" t="str">
        <f aca="false">IF(B22="","",C22+ROW()/1000000)</f>
        <v/>
      </c>
      <c r="B22" s="16"/>
      <c r="C22" s="17" t="str">
        <f aca="false">IF(B22="","",COUNTIF(H22:BO22,"D"))</f>
        <v/>
      </c>
      <c r="D22" s="17" t="str">
        <f aca="false">IF(B22="","",COUNTIF(H22:BO22,"G"))</f>
        <v/>
      </c>
      <c r="E22" s="17" t="str">
        <f aca="false">IF(B22="","",COUNTIF(H22:BO22,"İ"))</f>
        <v/>
      </c>
      <c r="F22" s="18" t="str">
        <f aca="false">IF(OR(B22="",COUNTA(H22:BO22)=0),"",(COUNTIF(H22:BO22,"X")+COUNTIF(H22:BO22,"G"))/COUNTA(H22:BO22))</f>
        <v/>
      </c>
      <c r="G22" s="19" t="str">
        <f aca="false">IF(OR(B22="",COUNTA(H22:BO22)=0),"",IF(C22/COUNTA(H22:BO22)&gt;$C$3,"Sınırı aştı",IF(C22/COUNTA(H22:BO22)&gt;$C$3*0.7,"Sınıra yakın","")))</f>
        <v/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</row>
    <row r="23" customFormat="false" ht="15" hidden="false" customHeight="false" outlineLevel="0" collapsed="false">
      <c r="A23" s="15" t="str">
        <f aca="false">IF(B23="","",C23+ROW()/1000000)</f>
        <v/>
      </c>
      <c r="B23" s="16"/>
      <c r="C23" s="17" t="str">
        <f aca="false">IF(B23="","",COUNTIF(H23:BO23,"D"))</f>
        <v/>
      </c>
      <c r="D23" s="17" t="str">
        <f aca="false">IF(B23="","",COUNTIF(H23:BO23,"G"))</f>
        <v/>
      </c>
      <c r="E23" s="17" t="str">
        <f aca="false">IF(B23="","",COUNTIF(H23:BO23,"İ"))</f>
        <v/>
      </c>
      <c r="F23" s="18" t="str">
        <f aca="false">IF(OR(B23="",COUNTA(H23:BO23)=0),"",(COUNTIF(H23:BO23,"X")+COUNTIF(H23:BO23,"G"))/COUNTA(H23:BO23))</f>
        <v/>
      </c>
      <c r="G23" s="19" t="str">
        <f aca="false">IF(OR(B23="",COUNTA(H23:BO23)=0),"",IF(C23/COUNTA(H23:BO23)&gt;$C$3,"Sınırı aştı",IF(C23/COUNTA(H23:BO23)&gt;$C$3*0.7,"Sınıra yakın","")))</f>
        <v/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</row>
    <row r="24" customFormat="false" ht="15" hidden="false" customHeight="false" outlineLevel="0" collapsed="false">
      <c r="A24" s="15" t="str">
        <f aca="false">IF(B24="","",C24+ROW()/1000000)</f>
        <v/>
      </c>
      <c r="B24" s="16"/>
      <c r="C24" s="17" t="str">
        <f aca="false">IF(B24="","",COUNTIF(H24:BO24,"D"))</f>
        <v/>
      </c>
      <c r="D24" s="17" t="str">
        <f aca="false">IF(B24="","",COUNTIF(H24:BO24,"G"))</f>
        <v/>
      </c>
      <c r="E24" s="17" t="str">
        <f aca="false">IF(B24="","",COUNTIF(H24:BO24,"İ"))</f>
        <v/>
      </c>
      <c r="F24" s="18" t="str">
        <f aca="false">IF(OR(B24="",COUNTA(H24:BO24)=0),"",(COUNTIF(H24:BO24,"X")+COUNTIF(H24:BO24,"G"))/COUNTA(H24:BO24))</f>
        <v/>
      </c>
      <c r="G24" s="19" t="str">
        <f aca="false">IF(OR(B24="",COUNTA(H24:BO24)=0),"",IF(C24/COUNTA(H24:BO24)&gt;$C$3,"Sınırı aştı",IF(C24/COUNTA(H24:BO24)&gt;$C$3*0.7,"Sınıra yakın","")))</f>
        <v/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</row>
    <row r="25" customFormat="false" ht="15" hidden="false" customHeight="false" outlineLevel="0" collapsed="false">
      <c r="A25" s="15" t="str">
        <f aca="false">IF(B25="","",C25+ROW()/1000000)</f>
        <v/>
      </c>
      <c r="B25" s="16"/>
      <c r="C25" s="17" t="str">
        <f aca="false">IF(B25="","",COUNTIF(H25:BO25,"D"))</f>
        <v/>
      </c>
      <c r="D25" s="17" t="str">
        <f aca="false">IF(B25="","",COUNTIF(H25:BO25,"G"))</f>
        <v/>
      </c>
      <c r="E25" s="17" t="str">
        <f aca="false">IF(B25="","",COUNTIF(H25:BO25,"İ"))</f>
        <v/>
      </c>
      <c r="F25" s="18" t="str">
        <f aca="false">IF(OR(B25="",COUNTA(H25:BO25)=0),"",(COUNTIF(H25:BO25,"X")+COUNTIF(H25:BO25,"G"))/COUNTA(H25:BO25))</f>
        <v/>
      </c>
      <c r="G25" s="19" t="str">
        <f aca="false">IF(OR(B25="",COUNTA(H25:BO25)=0),"",IF(C25/COUNTA(H25:BO25)&gt;$C$3,"Sınırı aştı",IF(C25/COUNTA(H25:BO25)&gt;$C$3*0.7,"Sınıra yakın","")))</f>
        <v/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</row>
    <row r="26" customFormat="false" ht="15" hidden="false" customHeight="false" outlineLevel="0" collapsed="false">
      <c r="A26" s="15" t="str">
        <f aca="false">IF(B26="","",C26+ROW()/1000000)</f>
        <v/>
      </c>
      <c r="B26" s="16"/>
      <c r="C26" s="17" t="str">
        <f aca="false">IF(B26="","",COUNTIF(H26:BO26,"D"))</f>
        <v/>
      </c>
      <c r="D26" s="17" t="str">
        <f aca="false">IF(B26="","",COUNTIF(H26:BO26,"G"))</f>
        <v/>
      </c>
      <c r="E26" s="17" t="str">
        <f aca="false">IF(B26="","",COUNTIF(H26:BO26,"İ"))</f>
        <v/>
      </c>
      <c r="F26" s="18" t="str">
        <f aca="false">IF(OR(B26="",COUNTA(H26:BO26)=0),"",(COUNTIF(H26:BO26,"X")+COUNTIF(H26:BO26,"G"))/COUNTA(H26:BO26))</f>
        <v/>
      </c>
      <c r="G26" s="19" t="str">
        <f aca="false">IF(OR(B26="",COUNTA(H26:BO26)=0),"",IF(C26/COUNTA(H26:BO26)&gt;$C$3,"Sınırı aştı",IF(C26/COUNTA(H26:BO26)&gt;$C$3*0.7,"Sınıra yakın","")))</f>
        <v/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</row>
    <row r="27" customFormat="false" ht="15" hidden="false" customHeight="false" outlineLevel="0" collapsed="false">
      <c r="A27" s="15" t="str">
        <f aca="false">IF(B27="","",C27+ROW()/1000000)</f>
        <v/>
      </c>
      <c r="B27" s="16"/>
      <c r="C27" s="17" t="str">
        <f aca="false">IF(B27="","",COUNTIF(H27:BO27,"D"))</f>
        <v/>
      </c>
      <c r="D27" s="17" t="str">
        <f aca="false">IF(B27="","",COUNTIF(H27:BO27,"G"))</f>
        <v/>
      </c>
      <c r="E27" s="17" t="str">
        <f aca="false">IF(B27="","",COUNTIF(H27:BO27,"İ"))</f>
        <v/>
      </c>
      <c r="F27" s="18" t="str">
        <f aca="false">IF(OR(B27="",COUNTA(H27:BO27)=0),"",(COUNTIF(H27:BO27,"X")+COUNTIF(H27:BO27,"G"))/COUNTA(H27:BO27))</f>
        <v/>
      </c>
      <c r="G27" s="19" t="str">
        <f aca="false">IF(OR(B27="",COUNTA(H27:BO27)=0),"",IF(C27/COUNTA(H27:BO27)&gt;$C$3,"Sınırı aştı",IF(C27/COUNTA(H27:BO27)&gt;$C$3*0.7,"Sınıra yakın","")))</f>
        <v/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</row>
    <row r="28" customFormat="false" ht="15" hidden="false" customHeight="false" outlineLevel="0" collapsed="false">
      <c r="A28" s="15" t="str">
        <f aca="false">IF(B28="","",C28+ROW()/1000000)</f>
        <v/>
      </c>
      <c r="B28" s="16"/>
      <c r="C28" s="17" t="str">
        <f aca="false">IF(B28="","",COUNTIF(H28:BO28,"D"))</f>
        <v/>
      </c>
      <c r="D28" s="17" t="str">
        <f aca="false">IF(B28="","",COUNTIF(H28:BO28,"G"))</f>
        <v/>
      </c>
      <c r="E28" s="17" t="str">
        <f aca="false">IF(B28="","",COUNTIF(H28:BO28,"İ"))</f>
        <v/>
      </c>
      <c r="F28" s="18" t="str">
        <f aca="false">IF(OR(B28="",COUNTA(H28:BO28)=0),"",(COUNTIF(H28:BO28,"X")+COUNTIF(H28:BO28,"G"))/COUNTA(H28:BO28))</f>
        <v/>
      </c>
      <c r="G28" s="19" t="str">
        <f aca="false">IF(OR(B28="",COUNTA(H28:BO28)=0),"",IF(C28/COUNTA(H28:BO28)&gt;$C$3,"Sınırı aştı",IF(C28/COUNTA(H28:BO28)&gt;$C$3*0.7,"Sınıra yakın","")))</f>
        <v/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</row>
    <row r="29" customFormat="false" ht="15" hidden="false" customHeight="false" outlineLevel="0" collapsed="false">
      <c r="A29" s="15" t="str">
        <f aca="false">IF(B29="","",C29+ROW()/1000000)</f>
        <v/>
      </c>
      <c r="B29" s="16"/>
      <c r="C29" s="17" t="str">
        <f aca="false">IF(B29="","",COUNTIF(H29:BO29,"D"))</f>
        <v/>
      </c>
      <c r="D29" s="17" t="str">
        <f aca="false">IF(B29="","",COUNTIF(H29:BO29,"G"))</f>
        <v/>
      </c>
      <c r="E29" s="17" t="str">
        <f aca="false">IF(B29="","",COUNTIF(H29:BO29,"İ"))</f>
        <v/>
      </c>
      <c r="F29" s="18" t="str">
        <f aca="false">IF(OR(B29="",COUNTA(H29:BO29)=0),"",(COUNTIF(H29:BO29,"X")+COUNTIF(H29:BO29,"G"))/COUNTA(H29:BO29))</f>
        <v/>
      </c>
      <c r="G29" s="19" t="str">
        <f aca="false">IF(OR(B29="",COUNTA(H29:BO29)=0),"",IF(C29/COUNTA(H29:BO29)&gt;$C$3,"Sınırı aştı",IF(C29/COUNTA(H29:BO29)&gt;$C$3*0.7,"Sınıra yakın","")))</f>
        <v/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</row>
    <row r="30" customFormat="false" ht="15" hidden="false" customHeight="false" outlineLevel="0" collapsed="false">
      <c r="A30" s="15" t="str">
        <f aca="false">IF(B30="","",C30+ROW()/1000000)</f>
        <v/>
      </c>
      <c r="B30" s="16"/>
      <c r="C30" s="17" t="str">
        <f aca="false">IF(B30="","",COUNTIF(H30:BO30,"D"))</f>
        <v/>
      </c>
      <c r="D30" s="17" t="str">
        <f aca="false">IF(B30="","",COUNTIF(H30:BO30,"G"))</f>
        <v/>
      </c>
      <c r="E30" s="17" t="str">
        <f aca="false">IF(B30="","",COUNTIF(H30:BO30,"İ"))</f>
        <v/>
      </c>
      <c r="F30" s="18" t="str">
        <f aca="false">IF(OR(B30="",COUNTA(H30:BO30)=0),"",(COUNTIF(H30:BO30,"X")+COUNTIF(H30:BO30,"G"))/COUNTA(H30:BO30))</f>
        <v/>
      </c>
      <c r="G30" s="19" t="str">
        <f aca="false">IF(OR(B30="",COUNTA(H30:BO30)=0),"",IF(C30/COUNTA(H30:BO30)&gt;$C$3,"Sınırı aştı",IF(C30/COUNTA(H30:BO30)&gt;$C$3*0.7,"Sınıra yakın","")))</f>
        <v/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</row>
    <row r="31" customFormat="false" ht="15" hidden="false" customHeight="false" outlineLevel="0" collapsed="false">
      <c r="A31" s="15" t="str">
        <f aca="false">IF(B31="","",C31+ROW()/1000000)</f>
        <v/>
      </c>
      <c r="B31" s="16"/>
      <c r="C31" s="17" t="str">
        <f aca="false">IF(B31="","",COUNTIF(H31:BO31,"D"))</f>
        <v/>
      </c>
      <c r="D31" s="17" t="str">
        <f aca="false">IF(B31="","",COUNTIF(H31:BO31,"G"))</f>
        <v/>
      </c>
      <c r="E31" s="17" t="str">
        <f aca="false">IF(B31="","",COUNTIF(H31:BO31,"İ"))</f>
        <v/>
      </c>
      <c r="F31" s="18" t="str">
        <f aca="false">IF(OR(B31="",COUNTA(H31:BO31)=0),"",(COUNTIF(H31:BO31,"X")+COUNTIF(H31:BO31,"G"))/COUNTA(H31:BO31))</f>
        <v/>
      </c>
      <c r="G31" s="19" t="str">
        <f aca="false">IF(OR(B31="",COUNTA(H31:BO31)=0),"",IF(C31/COUNTA(H31:BO31)&gt;$C$3,"Sınırı aştı",IF(C31/COUNTA(H31:BO31)&gt;$C$3*0.7,"Sınıra yakın","")))</f>
        <v/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</row>
    <row r="32" customFormat="false" ht="15" hidden="false" customHeight="false" outlineLevel="0" collapsed="false">
      <c r="A32" s="15" t="str">
        <f aca="false">IF(B32="","",C32+ROW()/1000000)</f>
        <v/>
      </c>
      <c r="B32" s="16"/>
      <c r="C32" s="17" t="str">
        <f aca="false">IF(B32="","",COUNTIF(H32:BO32,"D"))</f>
        <v/>
      </c>
      <c r="D32" s="17" t="str">
        <f aca="false">IF(B32="","",COUNTIF(H32:BO32,"G"))</f>
        <v/>
      </c>
      <c r="E32" s="17" t="str">
        <f aca="false">IF(B32="","",COUNTIF(H32:BO32,"İ"))</f>
        <v/>
      </c>
      <c r="F32" s="18" t="str">
        <f aca="false">IF(OR(B32="",COUNTA(H32:BO32)=0),"",(COUNTIF(H32:BO32,"X")+COUNTIF(H32:BO32,"G"))/COUNTA(H32:BO32))</f>
        <v/>
      </c>
      <c r="G32" s="19" t="str">
        <f aca="false">IF(OR(B32="",COUNTA(H32:BO32)=0),"",IF(C32/COUNTA(H32:BO32)&gt;$C$3,"Sınırı aştı",IF(C32/COUNTA(H32:BO32)&gt;$C$3*0.7,"Sınıra yakın","")))</f>
        <v/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</row>
    <row r="33" customFormat="false" ht="15" hidden="false" customHeight="false" outlineLevel="0" collapsed="false">
      <c r="A33" s="15" t="str">
        <f aca="false">IF(B33="","",C33+ROW()/1000000)</f>
        <v/>
      </c>
      <c r="B33" s="16"/>
      <c r="C33" s="17" t="str">
        <f aca="false">IF(B33="","",COUNTIF(H33:BO33,"D"))</f>
        <v/>
      </c>
      <c r="D33" s="17" t="str">
        <f aca="false">IF(B33="","",COUNTIF(H33:BO33,"G"))</f>
        <v/>
      </c>
      <c r="E33" s="17" t="str">
        <f aca="false">IF(B33="","",COUNTIF(H33:BO33,"İ"))</f>
        <v/>
      </c>
      <c r="F33" s="18" t="str">
        <f aca="false">IF(OR(B33="",COUNTA(H33:BO33)=0),"",(COUNTIF(H33:BO33,"X")+COUNTIF(H33:BO33,"G"))/COUNTA(H33:BO33))</f>
        <v/>
      </c>
      <c r="G33" s="19" t="str">
        <f aca="false">IF(OR(B33="",COUNTA(H33:BO33)=0),"",IF(C33/COUNTA(H33:BO33)&gt;$C$3,"Sınırı aştı",IF(C33/COUNTA(H33:BO33)&gt;$C$3*0.7,"Sınıra yakın","")))</f>
        <v/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</row>
    <row r="34" customFormat="false" ht="15" hidden="false" customHeight="false" outlineLevel="0" collapsed="false">
      <c r="A34" s="15" t="str">
        <f aca="false">IF(B34="","",C34+ROW()/1000000)</f>
        <v/>
      </c>
      <c r="B34" s="16"/>
      <c r="C34" s="17" t="str">
        <f aca="false">IF(B34="","",COUNTIF(H34:BO34,"D"))</f>
        <v/>
      </c>
      <c r="D34" s="17" t="str">
        <f aca="false">IF(B34="","",COUNTIF(H34:BO34,"G"))</f>
        <v/>
      </c>
      <c r="E34" s="17" t="str">
        <f aca="false">IF(B34="","",COUNTIF(H34:BO34,"İ"))</f>
        <v/>
      </c>
      <c r="F34" s="18" t="str">
        <f aca="false">IF(OR(B34="",COUNTA(H34:BO34)=0),"",(COUNTIF(H34:BO34,"X")+COUNTIF(H34:BO34,"G"))/COUNTA(H34:BO34))</f>
        <v/>
      </c>
      <c r="G34" s="19" t="str">
        <f aca="false">IF(OR(B34="",COUNTA(H34:BO34)=0),"",IF(C34/COUNTA(H34:BO34)&gt;$C$3,"Sınırı aştı",IF(C34/COUNTA(H34:BO34)&gt;$C$3*0.7,"Sınıra yakın","")))</f>
        <v/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</row>
    <row r="35" customFormat="false" ht="15" hidden="false" customHeight="false" outlineLevel="0" collapsed="false">
      <c r="A35" s="15" t="str">
        <f aca="false">IF(B35="","",C35+ROW()/1000000)</f>
        <v/>
      </c>
      <c r="B35" s="16"/>
      <c r="C35" s="17" t="str">
        <f aca="false">IF(B35="","",COUNTIF(H35:BO35,"D"))</f>
        <v/>
      </c>
      <c r="D35" s="17" t="str">
        <f aca="false">IF(B35="","",COUNTIF(H35:BO35,"G"))</f>
        <v/>
      </c>
      <c r="E35" s="17" t="str">
        <f aca="false">IF(B35="","",COUNTIF(H35:BO35,"İ"))</f>
        <v/>
      </c>
      <c r="F35" s="18" t="str">
        <f aca="false">IF(OR(B35="",COUNTA(H35:BO35)=0),"",(COUNTIF(H35:BO35,"X")+COUNTIF(H35:BO35,"G"))/COUNTA(H35:BO35))</f>
        <v/>
      </c>
      <c r="G35" s="19" t="str">
        <f aca="false">IF(OR(B35="",COUNTA(H35:BO35)=0),"",IF(C35/COUNTA(H35:BO35)&gt;$C$3,"Sınırı aştı",IF(C35/COUNTA(H35:BO35)&gt;$C$3*0.7,"Sınıra yakın","")))</f>
        <v/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</row>
    <row r="36" customFormat="false" ht="15" hidden="false" customHeight="false" outlineLevel="0" collapsed="false">
      <c r="A36" s="15" t="str">
        <f aca="false">IF(B36="","",C36+ROW()/1000000)</f>
        <v/>
      </c>
      <c r="B36" s="16"/>
      <c r="C36" s="17" t="str">
        <f aca="false">IF(B36="","",COUNTIF(H36:BO36,"D"))</f>
        <v/>
      </c>
      <c r="D36" s="17" t="str">
        <f aca="false">IF(B36="","",COUNTIF(H36:BO36,"G"))</f>
        <v/>
      </c>
      <c r="E36" s="17" t="str">
        <f aca="false">IF(B36="","",COUNTIF(H36:BO36,"İ"))</f>
        <v/>
      </c>
      <c r="F36" s="18" t="str">
        <f aca="false">IF(OR(B36="",COUNTA(H36:BO36)=0),"",(COUNTIF(H36:BO36,"X")+COUNTIF(H36:BO36,"G"))/COUNTA(H36:BO36))</f>
        <v/>
      </c>
      <c r="G36" s="19" t="str">
        <f aca="false">IF(OR(B36="",COUNTA(H36:BO36)=0),"",IF(C36/COUNTA(H36:BO36)&gt;$C$3,"Sınırı aştı",IF(C36/COUNTA(H36:BO36)&gt;$C$3*0.7,"Sınıra yakın","")))</f>
        <v/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</row>
    <row r="37" customFormat="false" ht="15" hidden="false" customHeight="false" outlineLevel="0" collapsed="false">
      <c r="A37" s="15" t="str">
        <f aca="false">IF(B37="","",C37+ROW()/1000000)</f>
        <v/>
      </c>
      <c r="B37" s="16"/>
      <c r="C37" s="17" t="str">
        <f aca="false">IF(B37="","",COUNTIF(H37:BO37,"D"))</f>
        <v/>
      </c>
      <c r="D37" s="17" t="str">
        <f aca="false">IF(B37="","",COUNTIF(H37:BO37,"G"))</f>
        <v/>
      </c>
      <c r="E37" s="17" t="str">
        <f aca="false">IF(B37="","",COUNTIF(H37:BO37,"İ"))</f>
        <v/>
      </c>
      <c r="F37" s="18" t="str">
        <f aca="false">IF(OR(B37="",COUNTA(H37:BO37)=0),"",(COUNTIF(H37:BO37,"X")+COUNTIF(H37:BO37,"G"))/COUNTA(H37:BO37))</f>
        <v/>
      </c>
      <c r="G37" s="19" t="str">
        <f aca="false">IF(OR(B37="",COUNTA(H37:BO37)=0),"",IF(C37/COUNTA(H37:BO37)&gt;$C$3,"Sınırı aştı",IF(C37/COUNTA(H37:BO37)&gt;$C$3*0.7,"Sınıra yakın","")))</f>
        <v/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</row>
    <row r="38" customFormat="false" ht="15" hidden="false" customHeight="false" outlineLevel="0" collapsed="false">
      <c r="A38" s="15" t="str">
        <f aca="false">IF(B38="","",C38+ROW()/1000000)</f>
        <v/>
      </c>
      <c r="B38" s="16"/>
      <c r="C38" s="17" t="str">
        <f aca="false">IF(B38="","",COUNTIF(H38:BO38,"D"))</f>
        <v/>
      </c>
      <c r="D38" s="17" t="str">
        <f aca="false">IF(B38="","",COUNTIF(H38:BO38,"G"))</f>
        <v/>
      </c>
      <c r="E38" s="17" t="str">
        <f aca="false">IF(B38="","",COUNTIF(H38:BO38,"İ"))</f>
        <v/>
      </c>
      <c r="F38" s="18" t="str">
        <f aca="false">IF(OR(B38="",COUNTA(H38:BO38)=0),"",(COUNTIF(H38:BO38,"X")+COUNTIF(H38:BO38,"G"))/COUNTA(H38:BO38))</f>
        <v/>
      </c>
      <c r="G38" s="19" t="str">
        <f aca="false">IF(OR(B38="",COUNTA(H38:BO38)=0),"",IF(C38/COUNTA(H38:BO38)&gt;$C$3,"Sınırı aştı",IF(C38/COUNTA(H38:BO38)&gt;$C$3*0.7,"Sınıra yakın","")))</f>
        <v/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</row>
    <row r="39" customFormat="false" ht="15" hidden="false" customHeight="false" outlineLevel="0" collapsed="false">
      <c r="A39" s="15" t="str">
        <f aca="false">IF(B39="","",C39+ROW()/1000000)</f>
        <v/>
      </c>
      <c r="B39" s="16"/>
      <c r="C39" s="17" t="str">
        <f aca="false">IF(B39="","",COUNTIF(H39:BO39,"D"))</f>
        <v/>
      </c>
      <c r="D39" s="17" t="str">
        <f aca="false">IF(B39="","",COUNTIF(H39:BO39,"G"))</f>
        <v/>
      </c>
      <c r="E39" s="17" t="str">
        <f aca="false">IF(B39="","",COUNTIF(H39:BO39,"İ"))</f>
        <v/>
      </c>
      <c r="F39" s="18" t="str">
        <f aca="false">IF(OR(B39="",COUNTA(H39:BO39)=0),"",(COUNTIF(H39:BO39,"X")+COUNTIF(H39:BO39,"G"))/COUNTA(H39:BO39))</f>
        <v/>
      </c>
      <c r="G39" s="19" t="str">
        <f aca="false">IF(OR(B39="",COUNTA(H39:BO39)=0),"",IF(C39/COUNTA(H39:BO39)&gt;$C$3,"Sınırı aştı",IF(C39/COUNTA(H39:BO39)&gt;$C$3*0.7,"Sınıra yakın","")))</f>
        <v/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</row>
    <row r="40" customFormat="false" ht="15" hidden="false" customHeight="false" outlineLevel="0" collapsed="false">
      <c r="A40" s="15" t="str">
        <f aca="false">IF(B40="","",C40+ROW()/1000000)</f>
        <v/>
      </c>
      <c r="B40" s="16"/>
      <c r="C40" s="17" t="str">
        <f aca="false">IF(B40="","",COUNTIF(H40:BO40,"D"))</f>
        <v/>
      </c>
      <c r="D40" s="17" t="str">
        <f aca="false">IF(B40="","",COUNTIF(H40:BO40,"G"))</f>
        <v/>
      </c>
      <c r="E40" s="17" t="str">
        <f aca="false">IF(B40="","",COUNTIF(H40:BO40,"İ"))</f>
        <v/>
      </c>
      <c r="F40" s="18" t="str">
        <f aca="false">IF(OR(B40="",COUNTA(H40:BO40)=0),"",(COUNTIF(H40:BO40,"X")+COUNTIF(H40:BO40,"G"))/COUNTA(H40:BO40))</f>
        <v/>
      </c>
      <c r="G40" s="19" t="str">
        <f aca="false">IF(OR(B40="",COUNTA(H40:BO40)=0),"",IF(C40/COUNTA(H40:BO40)&gt;$C$3,"Sınırı aştı",IF(C40/COUNTA(H40:BO40)&gt;$C$3*0.7,"Sınıra yakın","")))</f>
        <v/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</row>
    <row r="41" customFormat="false" ht="15" hidden="false" customHeight="false" outlineLevel="0" collapsed="false">
      <c r="A41" s="15" t="str">
        <f aca="false">IF(B41="","",C41+ROW()/1000000)</f>
        <v/>
      </c>
      <c r="B41" s="16"/>
      <c r="C41" s="17" t="str">
        <f aca="false">IF(B41="","",COUNTIF(H41:BO41,"D"))</f>
        <v/>
      </c>
      <c r="D41" s="17" t="str">
        <f aca="false">IF(B41="","",COUNTIF(H41:BO41,"G"))</f>
        <v/>
      </c>
      <c r="E41" s="17" t="str">
        <f aca="false">IF(B41="","",COUNTIF(H41:BO41,"İ"))</f>
        <v/>
      </c>
      <c r="F41" s="18" t="str">
        <f aca="false">IF(OR(B41="",COUNTA(H41:BO41)=0),"",(COUNTIF(H41:BO41,"X")+COUNTIF(H41:BO41,"G"))/COUNTA(H41:BO41))</f>
        <v/>
      </c>
      <c r="G41" s="19" t="str">
        <f aca="false">IF(OR(B41="",COUNTA(H41:BO41)=0),"",IF(C41/COUNTA(H41:BO41)&gt;$C$3,"Sınırı aştı",IF(C41/COUNTA(H41:BO41)&gt;$C$3*0.7,"Sınıra yakın","")))</f>
        <v/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</row>
    <row r="42" customFormat="false" ht="15" hidden="false" customHeight="false" outlineLevel="0" collapsed="false">
      <c r="A42" s="15" t="str">
        <f aca="false">IF(B42="","",C42+ROW()/1000000)</f>
        <v/>
      </c>
      <c r="B42" s="16"/>
      <c r="C42" s="17" t="str">
        <f aca="false">IF(B42="","",COUNTIF(H42:BO42,"D"))</f>
        <v/>
      </c>
      <c r="D42" s="17" t="str">
        <f aca="false">IF(B42="","",COUNTIF(H42:BO42,"G"))</f>
        <v/>
      </c>
      <c r="E42" s="17" t="str">
        <f aca="false">IF(B42="","",COUNTIF(H42:BO42,"İ"))</f>
        <v/>
      </c>
      <c r="F42" s="18" t="str">
        <f aca="false">IF(OR(B42="",COUNTA(H42:BO42)=0),"",(COUNTIF(H42:BO42,"X")+COUNTIF(H42:BO42,"G"))/COUNTA(H42:BO42))</f>
        <v/>
      </c>
      <c r="G42" s="19" t="str">
        <f aca="false">IF(OR(B42="",COUNTA(H42:BO42)=0),"",IF(C42/COUNTA(H42:BO42)&gt;$C$3,"Sınırı aştı",IF(C42/COUNTA(H42:BO42)&gt;$C$3*0.7,"Sınıra yakın","")))</f>
        <v/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</row>
    <row r="43" customFormat="false" ht="15" hidden="false" customHeight="false" outlineLevel="0" collapsed="false">
      <c r="A43" s="15" t="str">
        <f aca="false">IF(B43="","",C43+ROW()/1000000)</f>
        <v/>
      </c>
      <c r="B43" s="16"/>
      <c r="C43" s="17" t="str">
        <f aca="false">IF(B43="","",COUNTIF(H43:BO43,"D"))</f>
        <v/>
      </c>
      <c r="D43" s="17" t="str">
        <f aca="false">IF(B43="","",COUNTIF(H43:BO43,"G"))</f>
        <v/>
      </c>
      <c r="E43" s="17" t="str">
        <f aca="false">IF(B43="","",COUNTIF(H43:BO43,"İ"))</f>
        <v/>
      </c>
      <c r="F43" s="18" t="str">
        <f aca="false">IF(OR(B43="",COUNTA(H43:BO43)=0),"",(COUNTIF(H43:BO43,"X")+COUNTIF(H43:BO43,"G"))/COUNTA(H43:BO43))</f>
        <v/>
      </c>
      <c r="G43" s="19" t="str">
        <f aca="false">IF(OR(B43="",COUNTA(H43:BO43)=0),"",IF(C43/COUNTA(H43:BO43)&gt;$C$3,"Sınırı aştı",IF(C43/COUNTA(H43:BO43)&gt;$C$3*0.7,"Sınıra yakın","")))</f>
        <v/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</row>
    <row r="44" customFormat="false" ht="15" hidden="false" customHeight="false" outlineLevel="0" collapsed="false">
      <c r="A44" s="15" t="str">
        <f aca="false">IF(B44="","",C44+ROW()/1000000)</f>
        <v/>
      </c>
      <c r="B44" s="16"/>
      <c r="C44" s="17" t="str">
        <f aca="false">IF(B44="","",COUNTIF(H44:BO44,"D"))</f>
        <v/>
      </c>
      <c r="D44" s="17" t="str">
        <f aca="false">IF(B44="","",COUNTIF(H44:BO44,"G"))</f>
        <v/>
      </c>
      <c r="E44" s="17" t="str">
        <f aca="false">IF(B44="","",COUNTIF(H44:BO44,"İ"))</f>
        <v/>
      </c>
      <c r="F44" s="18" t="str">
        <f aca="false">IF(OR(B44="",COUNTA(H44:BO44)=0),"",(COUNTIF(H44:BO44,"X")+COUNTIF(H44:BO44,"G"))/COUNTA(H44:BO44))</f>
        <v/>
      </c>
      <c r="G44" s="19" t="str">
        <f aca="false">IF(OR(B44="",COUNTA(H44:BO44)=0),"",IF(C44/COUNTA(H44:BO44)&gt;$C$3,"Sınırı aştı",IF(C44/COUNTA(H44:BO44)&gt;$C$3*0.7,"Sınıra yakın","")))</f>
        <v/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</row>
    <row r="45" customFormat="false" ht="15" hidden="false" customHeight="false" outlineLevel="0" collapsed="false">
      <c r="A45" s="15" t="str">
        <f aca="false">IF(B45="","",C45+ROW()/1000000)</f>
        <v/>
      </c>
      <c r="B45" s="16"/>
      <c r="C45" s="17" t="str">
        <f aca="false">IF(B45="","",COUNTIF(H45:BO45,"D"))</f>
        <v/>
      </c>
      <c r="D45" s="17" t="str">
        <f aca="false">IF(B45="","",COUNTIF(H45:BO45,"G"))</f>
        <v/>
      </c>
      <c r="E45" s="17" t="str">
        <f aca="false">IF(B45="","",COUNTIF(H45:BO45,"İ"))</f>
        <v/>
      </c>
      <c r="F45" s="18" t="str">
        <f aca="false">IF(OR(B45="",COUNTA(H45:BO45)=0),"",(COUNTIF(H45:BO45,"X")+COUNTIF(H45:BO45,"G"))/COUNTA(H45:BO45))</f>
        <v/>
      </c>
      <c r="G45" s="19" t="str">
        <f aca="false">IF(OR(B45="",COUNTA(H45:BO45)=0),"",IF(C45/COUNTA(H45:BO45)&gt;$C$3,"Sınırı aştı",IF(C45/COUNTA(H45:BO45)&gt;$C$3*0.7,"Sınıra yakın","")))</f>
        <v/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</row>
    <row r="46" customFormat="false" ht="15" hidden="false" customHeight="false" outlineLevel="0" collapsed="false">
      <c r="B46" s="10" t="s">
        <v>41</v>
      </c>
      <c r="H46" s="21" t="n">
        <f aca="false">IF(H5="","",COUNTIF(H6:H45,"X")+COUNTIF(H6:H45,"G"))</f>
        <v>3</v>
      </c>
      <c r="I46" s="21" t="n">
        <f aca="false">IF(I5="","",COUNTIF(I6:I45,"X")+COUNTIF(I6:I45,"G"))</f>
        <v>2</v>
      </c>
      <c r="J46" s="21" t="n">
        <f aca="false">IF(J5="","",COUNTIF(J6:J45,"X")+COUNTIF(J6:J45,"G"))</f>
        <v>2</v>
      </c>
      <c r="K46" s="21" t="n">
        <f aca="false">IF(K5="","",COUNTIF(K6:K45,"X")+COUNTIF(K6:K45,"G"))</f>
        <v>2</v>
      </c>
      <c r="L46" s="21" t="str">
        <f aca="false">IF(L5="","",COUNTIF(L6:L45,"X")+COUNTIF(L6:L45,"G"))</f>
        <v/>
      </c>
      <c r="M46" s="21" t="str">
        <f aca="false">IF(M5="","",COUNTIF(M6:M45,"X")+COUNTIF(M6:M45,"G"))</f>
        <v/>
      </c>
      <c r="N46" s="21" t="str">
        <f aca="false">IF(N5="","",COUNTIF(N6:N45,"X")+COUNTIF(N6:N45,"G"))</f>
        <v/>
      </c>
      <c r="O46" s="21" t="str">
        <f aca="false">IF(O5="","",COUNTIF(O6:O45,"X")+COUNTIF(O6:O45,"G"))</f>
        <v/>
      </c>
      <c r="P46" s="21" t="str">
        <f aca="false">IF(P5="","",COUNTIF(P6:P45,"X")+COUNTIF(P6:P45,"G"))</f>
        <v/>
      </c>
      <c r="Q46" s="21" t="str">
        <f aca="false">IF(Q5="","",COUNTIF(Q6:Q45,"X")+COUNTIF(Q6:Q45,"G"))</f>
        <v/>
      </c>
      <c r="R46" s="21" t="str">
        <f aca="false">IF(R5="","",COUNTIF(R6:R45,"X")+COUNTIF(R6:R45,"G"))</f>
        <v/>
      </c>
      <c r="S46" s="21" t="str">
        <f aca="false">IF(S5="","",COUNTIF(S6:S45,"X")+COUNTIF(S6:S45,"G"))</f>
        <v/>
      </c>
      <c r="T46" s="21" t="str">
        <f aca="false">IF(T5="","",COUNTIF(T6:T45,"X")+COUNTIF(T6:T45,"G"))</f>
        <v/>
      </c>
      <c r="U46" s="21" t="str">
        <f aca="false">IF(U5="","",COUNTIF(U6:U45,"X")+COUNTIF(U6:U45,"G"))</f>
        <v/>
      </c>
      <c r="V46" s="21" t="str">
        <f aca="false">IF(V5="","",COUNTIF(V6:V45,"X")+COUNTIF(V6:V45,"G"))</f>
        <v/>
      </c>
      <c r="W46" s="21" t="str">
        <f aca="false">IF(W5="","",COUNTIF(W6:W45,"X")+COUNTIF(W6:W45,"G"))</f>
        <v/>
      </c>
      <c r="X46" s="21" t="str">
        <f aca="false">IF(X5="","",COUNTIF(X6:X45,"X")+COUNTIF(X6:X45,"G"))</f>
        <v/>
      </c>
      <c r="Y46" s="21" t="str">
        <f aca="false">IF(Y5="","",COUNTIF(Y6:Y45,"X")+COUNTIF(Y6:Y45,"G"))</f>
        <v/>
      </c>
      <c r="Z46" s="21" t="str">
        <f aca="false">IF(Z5="","",COUNTIF(Z6:Z45,"X")+COUNTIF(Z6:Z45,"G"))</f>
        <v/>
      </c>
      <c r="AA46" s="21" t="str">
        <f aca="false">IF(AA5="","",COUNTIF(AA6:AA45,"X")+COUNTIF(AA6:AA45,"G"))</f>
        <v/>
      </c>
      <c r="AB46" s="21" t="str">
        <f aca="false">IF(AB5="","",COUNTIF(AB6:AB45,"X")+COUNTIF(AB6:AB45,"G"))</f>
        <v/>
      </c>
      <c r="AC46" s="21" t="str">
        <f aca="false">IF(AC5="","",COUNTIF(AC6:AC45,"X")+COUNTIF(AC6:AC45,"G"))</f>
        <v/>
      </c>
      <c r="AD46" s="21" t="str">
        <f aca="false">IF(AD5="","",COUNTIF(AD6:AD45,"X")+COUNTIF(AD6:AD45,"G"))</f>
        <v/>
      </c>
      <c r="AE46" s="21" t="str">
        <f aca="false">IF(AE5="","",COUNTIF(AE6:AE45,"X")+COUNTIF(AE6:AE45,"G"))</f>
        <v/>
      </c>
      <c r="AF46" s="21" t="str">
        <f aca="false">IF(AF5="","",COUNTIF(AF6:AF45,"X")+COUNTIF(AF6:AF45,"G"))</f>
        <v/>
      </c>
      <c r="AG46" s="21" t="str">
        <f aca="false">IF(AG5="","",COUNTIF(AG6:AG45,"X")+COUNTIF(AG6:AG45,"G"))</f>
        <v/>
      </c>
      <c r="AH46" s="21" t="str">
        <f aca="false">IF(AH5="","",COUNTIF(AH6:AH45,"X")+COUNTIF(AH6:AH45,"G"))</f>
        <v/>
      </c>
      <c r="AI46" s="21" t="str">
        <f aca="false">IF(AI5="","",COUNTIF(AI6:AI45,"X")+COUNTIF(AI6:AI45,"G"))</f>
        <v/>
      </c>
      <c r="AJ46" s="21" t="str">
        <f aca="false">IF(AJ5="","",COUNTIF(AJ6:AJ45,"X")+COUNTIF(AJ6:AJ45,"G"))</f>
        <v/>
      </c>
      <c r="AK46" s="21" t="str">
        <f aca="false">IF(AK5="","",COUNTIF(AK6:AK45,"X")+COUNTIF(AK6:AK45,"G"))</f>
        <v/>
      </c>
      <c r="AL46" s="21" t="str">
        <f aca="false">IF(AL5="","",COUNTIF(AL6:AL45,"X")+COUNTIF(AL6:AL45,"G"))</f>
        <v/>
      </c>
      <c r="AM46" s="21" t="str">
        <f aca="false">IF(AM5="","",COUNTIF(AM6:AM45,"X")+COUNTIF(AM6:AM45,"G"))</f>
        <v/>
      </c>
      <c r="AN46" s="21" t="str">
        <f aca="false">IF(AN5="","",COUNTIF(AN6:AN45,"X")+COUNTIF(AN6:AN45,"G"))</f>
        <v/>
      </c>
      <c r="AO46" s="21" t="str">
        <f aca="false">IF(AO5="","",COUNTIF(AO6:AO45,"X")+COUNTIF(AO6:AO45,"G"))</f>
        <v/>
      </c>
      <c r="AP46" s="21" t="str">
        <f aca="false">IF(AP5="","",COUNTIF(AP6:AP45,"X")+COUNTIF(AP6:AP45,"G"))</f>
        <v/>
      </c>
      <c r="AQ46" s="21" t="str">
        <f aca="false">IF(AQ5="","",COUNTIF(AQ6:AQ45,"X")+COUNTIF(AQ6:AQ45,"G"))</f>
        <v/>
      </c>
      <c r="AR46" s="21" t="str">
        <f aca="false">IF(AR5="","",COUNTIF(AR6:AR45,"X")+COUNTIF(AR6:AR45,"G"))</f>
        <v/>
      </c>
      <c r="AS46" s="21" t="str">
        <f aca="false">IF(AS5="","",COUNTIF(AS6:AS45,"X")+COUNTIF(AS6:AS45,"G"))</f>
        <v/>
      </c>
      <c r="AT46" s="21" t="str">
        <f aca="false">IF(AT5="","",COUNTIF(AT6:AT45,"X")+COUNTIF(AT6:AT45,"G"))</f>
        <v/>
      </c>
      <c r="AU46" s="21" t="str">
        <f aca="false">IF(AU5="","",COUNTIF(AU6:AU45,"X")+COUNTIF(AU6:AU45,"G"))</f>
        <v/>
      </c>
      <c r="AV46" s="21" t="str">
        <f aca="false">IF(AV5="","",COUNTIF(AV6:AV45,"X")+COUNTIF(AV6:AV45,"G"))</f>
        <v/>
      </c>
      <c r="AW46" s="21" t="str">
        <f aca="false">IF(AW5="","",COUNTIF(AW6:AW45,"X")+COUNTIF(AW6:AW45,"G"))</f>
        <v/>
      </c>
      <c r="AX46" s="21" t="str">
        <f aca="false">IF(AX5="","",COUNTIF(AX6:AX45,"X")+COUNTIF(AX6:AX45,"G"))</f>
        <v/>
      </c>
      <c r="AY46" s="21" t="str">
        <f aca="false">IF(AY5="","",COUNTIF(AY6:AY45,"X")+COUNTIF(AY6:AY45,"G"))</f>
        <v/>
      </c>
      <c r="AZ46" s="21" t="str">
        <f aca="false">IF(AZ5="","",COUNTIF(AZ6:AZ45,"X")+COUNTIF(AZ6:AZ45,"G"))</f>
        <v/>
      </c>
      <c r="BA46" s="21" t="str">
        <f aca="false">IF(BA5="","",COUNTIF(BA6:BA45,"X")+COUNTIF(BA6:BA45,"G"))</f>
        <v/>
      </c>
      <c r="BB46" s="21" t="str">
        <f aca="false">IF(BB5="","",COUNTIF(BB6:BB45,"X")+COUNTIF(BB6:BB45,"G"))</f>
        <v/>
      </c>
      <c r="BC46" s="21" t="str">
        <f aca="false">IF(BC5="","",COUNTIF(BC6:BC45,"X")+COUNTIF(BC6:BC45,"G"))</f>
        <v/>
      </c>
      <c r="BD46" s="21" t="str">
        <f aca="false">IF(BD5="","",COUNTIF(BD6:BD45,"X")+COUNTIF(BD6:BD45,"G"))</f>
        <v/>
      </c>
      <c r="BE46" s="21" t="str">
        <f aca="false">IF(BE5="","",COUNTIF(BE6:BE45,"X")+COUNTIF(BE6:BE45,"G"))</f>
        <v/>
      </c>
      <c r="BF46" s="21" t="str">
        <f aca="false">IF(BF5="","",COUNTIF(BF6:BF45,"X")+COUNTIF(BF6:BF45,"G"))</f>
        <v/>
      </c>
      <c r="BG46" s="21" t="str">
        <f aca="false">IF(BG5="","",COUNTIF(BG6:BG45,"X")+COUNTIF(BG6:BG45,"G"))</f>
        <v/>
      </c>
      <c r="BH46" s="21" t="str">
        <f aca="false">IF(BH5="","",COUNTIF(BH6:BH45,"X")+COUNTIF(BH6:BH45,"G"))</f>
        <v/>
      </c>
      <c r="BI46" s="21" t="str">
        <f aca="false">IF(BI5="","",COUNTIF(BI6:BI45,"X")+COUNTIF(BI6:BI45,"G"))</f>
        <v/>
      </c>
      <c r="BJ46" s="21" t="str">
        <f aca="false">IF(BJ5="","",COUNTIF(BJ6:BJ45,"X")+COUNTIF(BJ6:BJ45,"G"))</f>
        <v/>
      </c>
      <c r="BK46" s="21" t="str">
        <f aca="false">IF(BK5="","",COUNTIF(BK6:BK45,"X")+COUNTIF(BK6:BK45,"G"))</f>
        <v/>
      </c>
      <c r="BL46" s="21" t="str">
        <f aca="false">IF(BL5="","",COUNTIF(BL6:BL45,"X")+COUNTIF(BL6:BL45,"G"))</f>
        <v/>
      </c>
      <c r="BM46" s="21" t="str">
        <f aca="false">IF(BM5="","",COUNTIF(BM6:BM45,"X")+COUNTIF(BM6:BM45,"G"))</f>
        <v/>
      </c>
      <c r="BN46" s="21" t="str">
        <f aca="false">IF(BN5="","",COUNTIF(BN6:BN45,"X")+COUNTIF(BN6:BN45,"G"))</f>
        <v/>
      </c>
      <c r="BO46" s="21" t="str">
        <f aca="false">IF(BO5="","",COUNTIF(BO6:BO45,"X")+COUNTIF(BO6:BO45,"G"))</f>
        <v/>
      </c>
    </row>
  </sheetData>
  <conditionalFormatting sqref="G6:G45">
    <cfRule type="cellIs" priority="2" operator="equal" aboveAverage="0" equalAverage="0" bottom="0" percent="0" rank="0" text="" dxfId="0">
      <formula>"Sınırı aştı"</formula>
    </cfRule>
    <cfRule type="cellIs" priority="3" operator="equal" aboveAverage="0" equalAverage="0" bottom="0" percent="0" rank="0" text="" dxfId="1">
      <formula>"Sınıra yakın"</formula>
    </cfRule>
  </conditionalFormatting>
  <conditionalFormatting sqref="H6:BO45">
    <cfRule type="cellIs" priority="4" operator="equal" aboveAverage="0" equalAverage="0" bottom="0" percent="0" rank="0" text="" dxfId="0">
      <formula>"D"</formula>
    </cfRule>
    <cfRule type="cellIs" priority="5" operator="equal" aboveAverage="0" equalAverage="0" bottom="0" percent="0" rank="0" text="" dxfId="1">
      <formula>"G"</formula>
    </cfRule>
  </conditionalFormatting>
  <dataValidations count="2">
    <dataValidation allowBlank="true" error="Listeden seç." errorStyle="stop" errorTitle="Kontrol" operator="between" showDropDown="false" showErrorMessage="true" showInputMessage="false" sqref="H6:BO45" type="list">
      <formula1>"X,D,G,İ"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H5:BO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42</v>
      </c>
    </row>
    <row r="2" customFormat="false" ht="15" hidden="false" customHeight="false" outlineLevel="0" collapsed="false">
      <c r="A2" s="9" t="s">
        <v>43</v>
      </c>
    </row>
    <row r="5" customFormat="false" ht="30" hidden="false" customHeight="true" outlineLevel="0" collapsed="false">
      <c r="B5" s="22" t="s">
        <v>27</v>
      </c>
      <c r="C5" s="22" t="s">
        <v>44</v>
      </c>
      <c r="D5" s="22" t="s">
        <v>45</v>
      </c>
      <c r="E5" s="22" t="s">
        <v>46</v>
      </c>
      <c r="F5" s="22" t="s">
        <v>47</v>
      </c>
    </row>
    <row r="6" customFormat="false" ht="27.75" hidden="false" customHeight="true" outlineLevel="0" collapsed="false">
      <c r="B6" s="23" t="n">
        <f aca="false">COUNTA(Yoklama!B6:B45)</f>
        <v>4</v>
      </c>
      <c r="C6" s="23" t="n">
        <f aca="false">COUNT(Yoklama!H5:BO5)</f>
        <v>4</v>
      </c>
      <c r="D6" s="24" t="n">
        <f aca="false">IFERROR(AVERAGE(Yoklama!F6:F45),0)</f>
        <v>0.5625</v>
      </c>
      <c r="E6" s="25" t="n">
        <f aca="false">COUNTIF(Yoklama!G6:G45,"Sınırı aştı")</f>
        <v>2</v>
      </c>
      <c r="F6" s="23" t="n">
        <f aca="false">COUNTIF(Yoklama!G6:G45,"Sınıra yakın")</f>
        <v>1</v>
      </c>
    </row>
    <row r="8" customFormat="false" ht="15" hidden="false" customHeight="false" outlineLevel="0" collapsed="false">
      <c r="B8" s="26" t="s">
        <v>48</v>
      </c>
    </row>
    <row r="9" customFormat="false" ht="21.75" hidden="false" customHeight="true" outlineLevel="0" collapsed="false">
      <c r="B9" s="12" t="s">
        <v>27</v>
      </c>
      <c r="C9" s="12" t="s">
        <v>28</v>
      </c>
      <c r="D9" s="12" t="s">
        <v>31</v>
      </c>
    </row>
    <row r="10" customFormat="false" ht="15" hidden="false" customHeight="false" outlineLevel="0" collapsed="false">
      <c r="B10" s="27" t="str">
        <f aca="false">IFERROR(INDEX(Yoklama!$B$6:$B$45,MATCH(LARGE(Yoklama!$A$6:$A$45,1),Yoklama!$A$6:$A$45,0))&amp;"","")</f>
        <v>Öğrenci Delta</v>
      </c>
      <c r="C10" s="28" t="n">
        <f aca="false">IF(B10="","",INDEX(Yoklama!$C$6:$C$45,MATCH(LARGE(Yoklama!$A$6:$A$45,1),Yoklama!$A$6:$A$45,0)))</f>
        <v>3</v>
      </c>
      <c r="D10" s="29" t="n">
        <f aca="false">IF(B10="","",INDEX(Yoklama!$F$6:$F$45,MATCH(LARGE(Yoklama!$A$6:$A$45,1),Yoklama!$A$6:$A$45,0)))</f>
        <v>0.25</v>
      </c>
    </row>
    <row r="11" customFormat="false" ht="15" hidden="false" customHeight="false" outlineLevel="0" collapsed="false">
      <c r="B11" s="30" t="str">
        <f aca="false">IFERROR(INDEX(Yoklama!$B$6:$B$45,MATCH(LARGE(Yoklama!$A$6:$A$45,2),Yoklama!$A$6:$A$45,0))&amp;"","")</f>
        <v>Öğrenci Beta</v>
      </c>
      <c r="C11" s="31" t="n">
        <f aca="false">IF(B11="","",INDEX(Yoklama!$C$6:$C$45,MATCH(LARGE(Yoklama!$A$6:$A$45,2),Yoklama!$A$6:$A$45,0)))</f>
        <v>2</v>
      </c>
      <c r="D11" s="32" t="n">
        <f aca="false">IF(B11="","",INDEX(Yoklama!$F$6:$F$45,MATCH(LARGE(Yoklama!$A$6:$A$45,2),Yoklama!$A$6:$A$45,0)))</f>
        <v>0.5</v>
      </c>
    </row>
    <row r="12" customFormat="false" ht="15" hidden="false" customHeight="false" outlineLevel="0" collapsed="false">
      <c r="B12" s="27" t="str">
        <f aca="false">IFERROR(INDEX(Yoklama!$B$6:$B$45,MATCH(LARGE(Yoklama!$A$6:$A$45,3),Yoklama!$A$6:$A$45,0))&amp;"","")</f>
        <v>Öğrenci Gama</v>
      </c>
      <c r="C12" s="28" t="n">
        <f aca="false">IF(B12="","",INDEX(Yoklama!$C$6:$C$45,MATCH(LARGE(Yoklama!$A$6:$A$45,3),Yoklama!$A$6:$A$45,0)))</f>
        <v>1</v>
      </c>
      <c r="D12" s="29" t="n">
        <f aca="false">IF(B12="","",INDEX(Yoklama!$F$6:$F$45,MATCH(LARGE(Yoklama!$A$6:$A$45,3),Yoklama!$A$6:$A$45,0)))</f>
        <v>0.5</v>
      </c>
    </row>
    <row r="13" customFormat="false" ht="15" hidden="false" customHeight="false" outlineLevel="0" collapsed="false">
      <c r="B13" s="30" t="str">
        <f aca="false">IFERROR(INDEX(Yoklama!$B$6:$B$45,MATCH(LARGE(Yoklama!$A$6:$A$45,4),Yoklama!$A$6:$A$45,0))&amp;"","")</f>
        <v>Öğrenci Alfa</v>
      </c>
      <c r="C13" s="31" t="n">
        <f aca="false">IF(B13="","",INDEX(Yoklama!$C$6:$C$45,MATCH(LARGE(Yoklama!$A$6:$A$45,4),Yoklama!$A$6:$A$45,0)))</f>
        <v>0</v>
      </c>
      <c r="D13" s="32" t="n">
        <f aca="false">IF(B13="","",INDEX(Yoklama!$F$6:$F$45,MATCH(LARGE(Yoklama!$A$6:$A$45,4),Yoklama!$A$6:$A$45,0)))</f>
        <v>1</v>
      </c>
    </row>
    <row r="14" customFormat="false" ht="15" hidden="false" customHeight="false" outlineLevel="0" collapsed="false">
      <c r="B14" s="27" t="str">
        <f aca="false">IFERROR(INDEX(Yoklama!$B$6:$B$45,MATCH(LARGE(Yoklama!$A$6:$A$45,5),Yoklama!$A$6:$A$45,0))&amp;"","")</f>
        <v/>
      </c>
      <c r="C14" s="28" t="str">
        <f aca="false">IF(B14="","",INDEX(Yoklama!$C$6:$C$45,MATCH(LARGE(Yoklama!$A$6:$A$45,5),Yoklama!$A$6:$A$45,0)))</f>
        <v/>
      </c>
      <c r="D14" s="29" t="str">
        <f aca="false">IF(B14="","",INDEX(Yoklama!$F$6:$F$45,MATCH(LARGE(Yoklama!$A$6:$A$45,5),Yoklama!$A$6:$A$45,0)))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49</v>
      </c>
    </row>
    <row r="2" customFormat="false" ht="30" hidden="false" customHeight="true" outlineLevel="0" collapsed="false">
      <c r="B2" s="33" t="s">
        <v>50</v>
      </c>
      <c r="C2" s="33"/>
    </row>
    <row r="3" customFormat="false" ht="31.5" hidden="false" customHeight="true" outlineLevel="0" collapsed="false">
      <c r="B3" s="34" t="s">
        <v>51</v>
      </c>
      <c r="C3" s="34"/>
    </row>
    <row r="5" customFormat="false" ht="15" hidden="false" customHeight="false" outlineLevel="0" collapsed="false">
      <c r="B5" s="35" t="s">
        <v>52</v>
      </c>
      <c r="C5" s="35" t="s">
        <v>53</v>
      </c>
    </row>
    <row r="6" customFormat="false" ht="31.5" hidden="false" customHeight="true" outlineLevel="0" collapsed="false">
      <c r="B6" s="36" t="s">
        <v>54</v>
      </c>
      <c r="C6" s="37" t="s">
        <v>55</v>
      </c>
    </row>
    <row r="7" customFormat="false" ht="31.5" hidden="false" customHeight="true" outlineLevel="0" collapsed="false">
      <c r="B7" s="38" t="s">
        <v>56</v>
      </c>
      <c r="C7" s="39" t="s">
        <v>57</v>
      </c>
    </row>
    <row r="8" customFormat="false" ht="31.5" hidden="false" customHeight="true" outlineLevel="0" collapsed="false">
      <c r="B8" s="36" t="s">
        <v>58</v>
      </c>
      <c r="C8" s="37" t="s">
        <v>59</v>
      </c>
    </row>
    <row r="9" customFormat="false" ht="31.5" hidden="false" customHeight="true" outlineLevel="0" collapsed="false">
      <c r="B9" s="38" t="s">
        <v>60</v>
      </c>
      <c r="C9" s="39" t="s">
        <v>61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2026-10-04T22:00:04Z</dcterms:created>
  <dc:creator>openpyxl</dc:creator>
  <dc:description/>
  <dc:language>en-US</dc:language>
  <cp:lastModifiedBy/>
  <dcterms:modified xsi:type="dcterms:W3CDTF">2026-10-04T22:00:04Z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