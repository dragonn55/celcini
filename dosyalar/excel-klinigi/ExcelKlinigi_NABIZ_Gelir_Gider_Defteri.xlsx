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Kayıtlar" sheetId="2" state="visible" r:id="rId4"/>
    <sheet name="Özet" sheetId="3" state="visible" r:id="rId5"/>
    <sheet name="Kategoriler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<sst xmlns="http://schemas.openxmlformats.org/spreadsheetml/2006/main" count="153" uniqueCount="123">
  <si>
    <t xml:space="preserve">EXCEL KLİNİĞİ</t>
  </si>
  <si>
    <t xml:space="preserve">NABIZ  |  Gelir Gider Defteri</t>
  </si>
  <si>
    <t xml:space="preserve">Esnaf, serbest çalışan ve ev bütçesi için. Kaydı gir, özet kendiliğinden çıksın.</t>
  </si>
  <si>
    <t xml:space="preserve">NASIL KULLANILIR</t>
  </si>
  <si>
    <t xml:space="preserve">1. Kategoriler</t>
  </si>
  <si>
    <t xml:space="preserve">Kendi gelir ve gider kategorilerini yaz. Listeye eklediğin her kategori, kayıt girerken açılır listede görünür.</t>
  </si>
  <si>
    <t xml:space="preserve">2. Kayıtlar</t>
  </si>
  <si>
    <t xml:space="preserve">Her gelir ya da gider için bir satır gir: tarih, tür, kategori, açıklama, tutar, ödeme şekli. Tutarı her zaman artı sayı olarak yaz.</t>
  </si>
  <si>
    <t xml:space="preserve">3. Özet</t>
  </si>
  <si>
    <t xml:space="preserve">Yılı seç. Aylık gelir, gider, net ve kategori dağılımı kendiliğinden hesaplanır. Bu sayfada yıldan başka hiçbir hücreye dokunma.</t>
  </si>
  <si>
    <t xml:space="preserve">4. AI Komutları</t>
  </si>
  <si>
    <t xml:space="preserve">Kayıtlarını bir yapay zeka asistanına yapıştırıp kullanabileceğin hazır komutlar.</t>
  </si>
  <si>
    <t xml:space="preserve">RENKLER</t>
  </si>
  <si>
    <t xml:space="preserve">Sarı hücre</t>
  </si>
  <si>
    <t xml:space="preserve">Senin dolduracağın hücre.</t>
  </si>
  <si>
    <t xml:space="preserve">Beyaz / yeşil hücre</t>
  </si>
  <si>
    <t xml:space="preserve">Formül ya da başlık. Değiştirme, kendiliğinden hesaplanır.</t>
  </si>
  <si>
    <t xml:space="preserve">ÖNEMLİ</t>
  </si>
  <si>
    <t xml:space="preserve">Örnek kayıtlar</t>
  </si>
  <si>
    <t xml:space="preserve">Kayıtlar sayfasındaki 8 satır örnektir. Kullanmaya başlamadan önce seçip sil (yalnızca A-F sütunlarındaki içeriği).</t>
  </si>
  <si>
    <t xml:space="preserve">Kapasite</t>
  </si>
  <si>
    <t xml:space="preserve">Kayıtlar sayfası 500 satıra kadar hesaplanır. Dolunca dosyanın boş bir kopyasıyla yeni yıla başla.</t>
  </si>
  <si>
    <t xml:space="preserve">Kategori adı değişirse</t>
  </si>
  <si>
    <t xml:space="preserve">Bir kategorinin adını sonradan değiştirirsen eski kayıtlardaki ad aynı kalır. Eski kayıtları da güncelle, yoksa özet dağılımında görünmez.</t>
  </si>
  <si>
    <t xml:space="preserve">Kayıtlar</t>
  </si>
  <si>
    <t xml:space="preserve">Her satıra bir gelir ya da gider. Tutarı artı sayı olarak gir; tür sütunu gelir mi gider mi olduğunu belirler.</t>
  </si>
  <si>
    <t xml:space="preserve">Tarih</t>
  </si>
  <si>
    <t xml:space="preserve">Tür</t>
  </si>
  <si>
    <t xml:space="preserve">Kategori</t>
  </si>
  <si>
    <t xml:space="preserve">Açıklama</t>
  </si>
  <si>
    <t xml:space="preserve">Tutar (₺)</t>
  </si>
  <si>
    <t xml:space="preserve">Ödeme Şekli</t>
  </si>
  <si>
    <t xml:space="preserve">Gelir</t>
  </si>
  <si>
    <t xml:space="preserve">Satış</t>
  </si>
  <si>
    <t xml:space="preserve">Örnek: Eylül satışları</t>
  </si>
  <si>
    <t xml:space="preserve">Havale / EFT</t>
  </si>
  <si>
    <t xml:space="preserve">Gider</t>
  </si>
  <si>
    <t xml:space="preserve">Kira</t>
  </si>
  <si>
    <t xml:space="preserve">Örnek: Dükkân kirası</t>
  </si>
  <si>
    <t xml:space="preserve">Faturalar</t>
  </si>
  <si>
    <t xml:space="preserve">Örnek: Elektrik faturası</t>
  </si>
  <si>
    <t xml:space="preserve">Banka Kartı</t>
  </si>
  <si>
    <t xml:space="preserve">Malzeme / Stok</t>
  </si>
  <si>
    <t xml:space="preserve">Örnek: Ürün alımı</t>
  </si>
  <si>
    <t xml:space="preserve">Kredi Kartı</t>
  </si>
  <si>
    <t xml:space="preserve">Örnek: Ekim ilk hafta satışları</t>
  </si>
  <si>
    <t xml:space="preserve">Nakit</t>
  </si>
  <si>
    <t xml:space="preserve">İnternet / Telefon</t>
  </si>
  <si>
    <t xml:space="preserve">Örnek: İnternet faturası</t>
  </si>
  <si>
    <t xml:space="preserve">Hizmet Geliri</t>
  </si>
  <si>
    <t xml:space="preserve">Örnek: Kurulum hizmeti</t>
  </si>
  <si>
    <t xml:space="preserve">Özet</t>
  </si>
  <si>
    <t xml:space="preserve">Yıl</t>
  </si>
  <si>
    <t xml:space="preserve">← Görmek istediğin yılı yaz</t>
  </si>
  <si>
    <t xml:space="preserve">Toplam Gelir</t>
  </si>
  <si>
    <t xml:space="preserve">Toplam Gider</t>
  </si>
  <si>
    <t xml:space="preserve">Net (Kalan)</t>
  </si>
  <si>
    <t xml:space="preserve">Kalan / Gelir</t>
  </si>
  <si>
    <t xml:space="preserve">Aylık Ort. Gider</t>
  </si>
  <si>
    <t xml:space="preserve">Aylık Tablo</t>
  </si>
  <si>
    <t xml:space="preserve">Gider Dağılımı</t>
  </si>
  <si>
    <t xml:space="preserve">Gelir Dağılımı</t>
  </si>
  <si>
    <t xml:space="preserve">Ay</t>
  </si>
  <si>
    <t xml:space="preserve">Net</t>
  </si>
  <si>
    <t xml:space="preserve">Birikimli Net</t>
  </si>
  <si>
    <t xml:space="preserve">Tutar</t>
  </si>
  <si>
    <t xml:space="preserve">Pay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</si>
  <si>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</si>
  <si>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</si>
  <si>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</si>
  <si>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</si>
  <si>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</si>
  <si>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</si>
  <si>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</si>
  <si>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</si>
  <si>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</si>
  <si>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</si>
  <si>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</si>
  <si>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</si>
  <si>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</si>
  <si>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Kategoriler</t>
  </si>
  <si>
    <t xml:space="preserve">Sarı hücrelere kendi kategorilerini yaz. Boş bıraktıkların listede görünmez.</t>
  </si>
  <si>
    <t xml:space="preserve">Gelir Kategorileri</t>
  </si>
  <si>
    <t xml:space="preserve">Gider Kategorileri</t>
  </si>
  <si>
    <t xml:space="preserve">Maaş</t>
  </si>
  <si>
    <t xml:space="preserve">Kira Geliri</t>
  </si>
  <si>
    <t xml:space="preserve">Market / Gıda</t>
  </si>
  <si>
    <t xml:space="preserve">Faiz / Yatırım</t>
  </si>
  <si>
    <t xml:space="preserve">Ulaşım / Yakıt</t>
  </si>
  <si>
    <t xml:space="preserve">Diğer Gelir</t>
  </si>
  <si>
    <t xml:space="preserve">Personel</t>
  </si>
  <si>
    <t xml:space="preserve">Vergi / SGK</t>
  </si>
  <si>
    <t xml:space="preserve">Reklam / Tanıtım</t>
  </si>
  <si>
    <t xml:space="preserve">Kargo</t>
  </si>
  <si>
    <t xml:space="preserve">Sağlık</t>
  </si>
  <si>
    <t xml:space="preserve">Eğitim</t>
  </si>
  <si>
    <t xml:space="preserve">Eğlence</t>
  </si>
  <si>
    <t xml:space="preserve">Diğer Gider</t>
  </si>
  <si>
    <t xml:space="preserve">Yapay Zeka Komutları</t>
  </si>
  <si>
    <t xml:space="preserve">Kayıtlar sayfasında başlık satırıyla birlikte kayıtlarını seç, kopyala, kullandığın yapay zeka asistanına yapıştır ve altına aşağıdaki komutlardan birini ekle.</t>
  </si>
  <si>
    <t xml:space="preserve">Dikkat: Açıklama sütununda kişi adı, IBAN, kimlik numarası gibi bilgiler varsa yapıştırmadan önce sil. Yapay zekanın verdiği rakamları Özet sayfasıyla karşılaştır.</t>
  </si>
  <si>
    <t xml:space="preserve">Ne için</t>
  </si>
  <si>
    <t xml:space="preserve">Komut (kopyala, yapıştır)</t>
  </si>
  <si>
    <t xml:space="preserve">Genel durum</t>
  </si>
  <si>
    <t xml:space="preserve">Yukarıdaki tablo benim gelir gider kayıtlarım. Toplam gelir, toplam gider ve kalanı ay ay hesapla, sonra durumumu üç cümleyle özetle.</t>
  </si>
  <si>
    <t xml:space="preserve">En büyük giderler</t>
  </si>
  <si>
    <t xml:space="preserve">Bu kayıtlara göre en çok para harcadığım 3 kategoriyi tutarları ve toplam gider içindeki paylarıyla listele.</t>
  </si>
  <si>
    <t xml:space="preserve">Tasarruf fikri</t>
  </si>
  <si>
    <t xml:space="preserve">Bu giderlerden hangilerini azaltabilirim? Her öneri için aylık kaç lira kazanacağımı tahmini olarak yaz. Yalnızca tablodaki verilere dayan.</t>
  </si>
  <si>
    <t xml:space="preserve">Aylar arası fark</t>
  </si>
  <si>
    <t xml:space="preserve">Son iki ayı karşılaştır. Hangi kategoride ne kadar artış ya da azalış var? En büyük üç değişikliği yaz.</t>
  </si>
  <si>
    <t xml:space="preserve">Sabit ve değişken gider</t>
  </si>
  <si>
    <t xml:space="preserve">Giderlerimi her ay tekrar eden sabit giderler ve aydan aya değişen giderler diye ikiye ayır, ikisinin toplamını ver.</t>
  </si>
  <si>
    <t xml:space="preserve">Olağan dışı kayıt</t>
  </si>
  <si>
    <t xml:space="preserve">Bu kayıtlarda alışılmadık derecede yüksek ya da tekrar girilmiş gibi görünen satır var mı? Varsa tarihini ve tutarını göster.</t>
  </si>
  <si>
    <t xml:space="preserve">Gelecek ay tahmini</t>
  </si>
  <si>
    <t xml:space="preserve">Geçmiş aylara bakarak gelecek ay için gelir ve gider tahmini yap. Tahmini hangi varsayıma dayandırdığını bir cümleyle açıkla.</t>
  </si>
  <si>
    <t xml:space="preserve">Bütçe önerisi</t>
  </si>
  <si>
    <t xml:space="preserve">Aylık gelirimi temel alarak her gider kategorisi için bir üst sınır öner. Sonucu kategori ve tutar sütunlu tablo olarak ver.</t>
  </si>
  <si>
    <t xml:space="preserve">Ödeme şekli</t>
  </si>
  <si>
    <t xml:space="preserve">Harcamalarımın ne kadarı nakit, ne kadarı kart, ne kadarı havale? Yüzdeleriyle göster.</t>
  </si>
  <si>
    <t xml:space="preserve">Kategori düzeltme</t>
  </si>
  <si>
    <t xml:space="preserve">Açıklamalara bakarak yanlış kategoriye girilmiş olabilecek kayıtları bul ve doğru kategoriyi öner.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</si>
</sst>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.mm\.yyyy"/>
    <numFmt numFmtId="166" formatCode="#,##0.00&quot; ₺&quot;"/>
    <numFmt numFmtId="167" formatCode="0"/>
    <numFmt numFmtId="168" formatCode="#,##0.00&quot; ₺&quot;;[RED]\-#,##0.00&quot; ₺&quot;;\-"/>
    <numFmt numFmtId="169" formatCode="0.0%;[RED]\-0.0%;\-"/>
    <numFmt numFmtId="170" formatCode="0%;\-0%;\-"/>
    <numFmt numFmtId="171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B4231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6F43"/>
        <bgColor rgb="FF008080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F6F43"/>
      </font>
    </dxf>
    <dxf>
      <font>
        <name val="Arial"/>
        <charset val="1"/>
        <family val="0"/>
        <b val="1"/>
        <color rgb="FFB42318"/>
      </font>
    </dxf>
    <dxf>
      <fill>
        <patternFill>
          <bgColor rgb="FFFDE2E0"/>
        </patternFill>
      </fill>
    </dxf>
    <dxf>
      <font>
        <name val="Arial"/>
        <charset val="1"/>
        <family val="0"/>
        <b val="1"/>
        <color rgb="FFB42318"/>
        <sz val="12"/>
      </font>
    </dxf>
  </dxfs>
  <colors>
    <indexedColors>
      <rgbColor rgb="FF000000"/>
      <rgbColor rgb="FFFFFFFF"/>
      <rgbColor rgb="FFD92D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D9D9D9"/>
      <rgbColor rgb="FF878787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Aylık Gelir ve Gider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Özet!C9</c:f>
              <c:strCache>
                <c:ptCount val="1"/>
                <c:pt idx="0">
                  <c:v>Gelir</c:v>
                </c:pt>
              </c:strCache>
            </c:strRef>
          </c:tx>
          <c:spPr>
            <a:solidFill>
              <a:srgbClr val="1f6f4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Özet!$B$10:$B$21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Özet!$C$10:$C$21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42000</c:v>
                </c:pt>
                <c:pt idx="9">
                  <c:v>18500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Özet!D9</c:f>
              <c:strCache>
                <c:ptCount val="1"/>
                <c:pt idx="0">
                  <c:v>Gider</c:v>
                </c:pt>
              </c:strCache>
            </c:strRef>
          </c:tx>
          <c:spPr>
            <a:solidFill>
              <a:srgbClr val="d92d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Özet!$B$10:$B$21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Özet!$D$10:$D$21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23350</c:v>
                </c:pt>
                <c:pt idx="9">
                  <c:v>12650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757431"/>
        <c:axId val="30950778"/>
      </c:barChart>
      <c:catAx>
        <c:axId val="7757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50778"/>
        <c:crosses val="autoZero"/>
        <c:auto val="1"/>
        <c:lblAlgn val="ctr"/>
        <c:lblOffset val="100"/>
        <c:noMultiLvlLbl val="0"/>
      </c:catAx>
      <c:valAx>
        <c:axId val="3095077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74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131040</xdr:rowOff>
    </xdr:from>
    <xdr:to>
      <xdr:col>5</xdr:col>
      <xdr:colOff>749160</xdr:colOff>
      <xdr:row>36</xdr:row>
      <xdr:rowOff>163440</xdr:rowOff>
    </xdr:to>
    <xdr:graphicFrame>
      <xdr:nvGraphicFramePr>
        <xdr:cNvPr id="0" name="Chart 1"/>
        <xdr:cNvGraphicFramePr/>
      </xdr:nvGraphicFramePr>
      <xdr:xfrm>
        <a:off x="211320" y="4543560"/>
        <a:ext cx="5471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7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30" hidden="false" customHeight="true" outlineLevel="0" collapsed="false">
      <c r="B7" s="5" t="s">
        <v>4</v>
      </c>
      <c r="C7" s="6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0" customFormat="false" ht="30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18" hidden="false" customHeight="true" outlineLevel="0" collapsed="false">
      <c r="B13" s="7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30" hidden="false" customHeight="true" outlineLevel="0" collapsed="false">
      <c r="B17" s="5" t="s">
        <v>18</v>
      </c>
      <c r="C17" s="6" t="s">
        <v>19</v>
      </c>
    </row>
    <row r="18" customFormat="false" ht="30" hidden="false" customHeight="true" outlineLevel="0" collapsed="false">
      <c r="B18" s="5" t="s">
        <v>20</v>
      </c>
      <c r="C18" s="6" t="s">
        <v>21</v>
      </c>
    </row>
    <row r="19" customFormat="false" ht="30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2:C12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1.7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</row>
    <row r="5" customFormat="false" ht="15" hidden="false" customHeight="false" outlineLevel="0" collapsed="false">
      <c r="A5" s="11" t="n">
        <v>46266</v>
      </c>
      <c r="B5" s="12" t="s">
        <v>32</v>
      </c>
      <c r="C5" s="13" t="s">
        <v>33</v>
      </c>
      <c r="D5" s="13" t="s">
        <v>34</v>
      </c>
      <c r="E5" s="14" t="n">
        <v>42000</v>
      </c>
      <c r="F5" s="13" t="s">
        <v>35</v>
      </c>
    </row>
    <row r="6" customFormat="false" ht="15" hidden="false" customHeight="false" outlineLevel="0" collapsed="false">
      <c r="A6" s="11" t="n">
        <v>46268</v>
      </c>
      <c r="B6" s="12" t="s">
        <v>36</v>
      </c>
      <c r="C6" s="13" t="s">
        <v>37</v>
      </c>
      <c r="D6" s="13" t="s">
        <v>38</v>
      </c>
      <c r="E6" s="14" t="n">
        <v>12000</v>
      </c>
      <c r="F6" s="13" t="s">
        <v>35</v>
      </c>
    </row>
    <row r="7" customFormat="false" ht="15" hidden="false" customHeight="false" outlineLevel="0" collapsed="false">
      <c r="A7" s="11" t="n">
        <v>46275</v>
      </c>
      <c r="B7" s="12" t="s">
        <v>36</v>
      </c>
      <c r="C7" s="13" t="s">
        <v>39</v>
      </c>
      <c r="D7" s="13" t="s">
        <v>40</v>
      </c>
      <c r="E7" s="14" t="n">
        <v>1850</v>
      </c>
      <c r="F7" s="13" t="s">
        <v>41</v>
      </c>
    </row>
    <row r="8" customFormat="false" ht="15" hidden="false" customHeight="false" outlineLevel="0" collapsed="false">
      <c r="A8" s="11" t="n">
        <v>46280</v>
      </c>
      <c r="B8" s="12" t="s">
        <v>36</v>
      </c>
      <c r="C8" s="13" t="s">
        <v>42</v>
      </c>
      <c r="D8" s="13" t="s">
        <v>43</v>
      </c>
      <c r="E8" s="14" t="n">
        <v>9500</v>
      </c>
      <c r="F8" s="13" t="s">
        <v>44</v>
      </c>
    </row>
    <row r="9" customFormat="false" ht="15" hidden="false" customHeight="false" outlineLevel="0" collapsed="false">
      <c r="A9" s="11" t="n">
        <v>46296</v>
      </c>
      <c r="B9" s="12" t="s">
        <v>32</v>
      </c>
      <c r="C9" s="13" t="s">
        <v>33</v>
      </c>
      <c r="D9" s="13" t="s">
        <v>45</v>
      </c>
      <c r="E9" s="14" t="n">
        <v>15500</v>
      </c>
      <c r="F9" s="13" t="s">
        <v>46</v>
      </c>
    </row>
    <row r="10" customFormat="false" ht="15" hidden="false" customHeight="false" outlineLevel="0" collapsed="false">
      <c r="A10" s="11" t="n">
        <v>46297</v>
      </c>
      <c r="B10" s="12" t="s">
        <v>36</v>
      </c>
      <c r="C10" s="13" t="s">
        <v>37</v>
      </c>
      <c r="D10" s="13" t="s">
        <v>38</v>
      </c>
      <c r="E10" s="14" t="n">
        <v>12000</v>
      </c>
      <c r="F10" s="13" t="s">
        <v>35</v>
      </c>
    </row>
    <row r="11" customFormat="false" ht="15" hidden="false" customHeight="false" outlineLevel="0" collapsed="false">
      <c r="A11" s="11" t="n">
        <v>46298</v>
      </c>
      <c r="B11" s="12" t="s">
        <v>36</v>
      </c>
      <c r="C11" s="13" t="s">
        <v>47</v>
      </c>
      <c r="D11" s="13" t="s">
        <v>48</v>
      </c>
      <c r="E11" s="14" t="n">
        <v>650</v>
      </c>
      <c r="F11" s="13" t="s">
        <v>41</v>
      </c>
    </row>
    <row r="12" customFormat="false" ht="15" hidden="false" customHeight="false" outlineLevel="0" collapsed="false">
      <c r="A12" s="11" t="n">
        <v>46299</v>
      </c>
      <c r="B12" s="12" t="s">
        <v>32</v>
      </c>
      <c r="C12" s="13" t="s">
        <v>49</v>
      </c>
      <c r="D12" s="13" t="s">
        <v>50</v>
      </c>
      <c r="E12" s="14" t="n">
        <v>3000</v>
      </c>
      <c r="F12" s="13" t="s">
        <v>35</v>
      </c>
    </row>
    <row r="13" customFormat="false" ht="15" hidden="false" customHeight="false" outlineLevel="0" collapsed="false">
      <c r="A13" s="11"/>
      <c r="B13" s="12"/>
      <c r="C13" s="13"/>
      <c r="D13" s="13"/>
      <c r="E13" s="14"/>
      <c r="F13" s="13"/>
    </row>
    <row r="14" customFormat="false" ht="15" hidden="false" customHeight="false" outlineLevel="0" collapsed="false">
      <c r="A14" s="11"/>
      <c r="B14" s="12"/>
      <c r="C14" s="13"/>
      <c r="D14" s="13"/>
      <c r="E14" s="14"/>
      <c r="F14" s="13"/>
    </row>
    <row r="15" customFormat="false" ht="15" hidden="false" customHeight="false" outlineLevel="0" collapsed="false">
      <c r="A15" s="11"/>
      <c r="B15" s="12"/>
      <c r="C15" s="13"/>
      <c r="D15" s="13"/>
      <c r="E15" s="14"/>
      <c r="F15" s="13"/>
    </row>
    <row r="16" customFormat="false" ht="15" hidden="false" customHeight="false" outlineLevel="0" collapsed="false">
      <c r="A16" s="11"/>
      <c r="B16" s="12"/>
      <c r="C16" s="13"/>
      <c r="D16" s="13"/>
      <c r="E16" s="14"/>
      <c r="F16" s="13"/>
    </row>
    <row r="17" customFormat="false" ht="15" hidden="false" customHeight="false" outlineLevel="0" collapsed="false">
      <c r="A17" s="11"/>
      <c r="B17" s="12"/>
      <c r="C17" s="13"/>
      <c r="D17" s="13"/>
      <c r="E17" s="14"/>
      <c r="F17" s="13"/>
    </row>
    <row r="18" customFormat="false" ht="15" hidden="false" customHeight="false" outlineLevel="0" collapsed="false">
      <c r="A18" s="11"/>
      <c r="B18" s="12"/>
      <c r="C18" s="13"/>
      <c r="D18" s="13"/>
      <c r="E18" s="14"/>
      <c r="F18" s="13"/>
    </row>
    <row r="19" customFormat="false" ht="15" hidden="false" customHeight="false" outlineLevel="0" collapsed="false">
      <c r="A19" s="11"/>
      <c r="B19" s="12"/>
      <c r="C19" s="13"/>
      <c r="D19" s="13"/>
      <c r="E19" s="14"/>
      <c r="F19" s="13"/>
    </row>
    <row r="20" customFormat="false" ht="15" hidden="false" customHeight="false" outlineLevel="0" collapsed="false">
      <c r="A20" s="11"/>
      <c r="B20" s="12"/>
      <c r="C20" s="13"/>
      <c r="D20" s="13"/>
      <c r="E20" s="14"/>
      <c r="F20" s="13"/>
    </row>
    <row r="21" customFormat="false" ht="15" hidden="false" customHeight="false" outlineLevel="0" collapsed="false">
      <c r="A21" s="11"/>
      <c r="B21" s="12"/>
      <c r="C21" s="13"/>
      <c r="D21" s="13"/>
      <c r="E21" s="14"/>
      <c r="F21" s="13"/>
    </row>
    <row r="22" customFormat="false" ht="15" hidden="false" customHeight="false" outlineLevel="0" collapsed="false">
      <c r="A22" s="11"/>
      <c r="B22" s="12"/>
      <c r="C22" s="13"/>
      <c r="D22" s="13"/>
      <c r="E22" s="14"/>
      <c r="F22" s="13"/>
    </row>
    <row r="23" customFormat="false" ht="15" hidden="false" customHeight="false" outlineLevel="0" collapsed="false">
      <c r="A23" s="11"/>
      <c r="B23" s="12"/>
      <c r="C23" s="13"/>
      <c r="D23" s="13"/>
      <c r="E23" s="14"/>
      <c r="F23" s="13"/>
    </row>
    <row r="24" customFormat="false" ht="15" hidden="false" customHeight="false" outlineLevel="0" collapsed="false">
      <c r="A24" s="11"/>
      <c r="B24" s="12"/>
      <c r="C24" s="13"/>
      <c r="D24" s="13"/>
      <c r="E24" s="14"/>
      <c r="F24" s="13"/>
    </row>
    <row r="25" customFormat="false" ht="15" hidden="false" customHeight="false" outlineLevel="0" collapsed="false">
      <c r="A25" s="11"/>
      <c r="B25" s="12"/>
      <c r="C25" s="13"/>
      <c r="D25" s="13"/>
      <c r="E25" s="14"/>
      <c r="F25" s="13"/>
    </row>
    <row r="26" customFormat="false" ht="15" hidden="false" customHeight="false" outlineLevel="0" collapsed="false">
      <c r="A26" s="11"/>
      <c r="B26" s="12"/>
      <c r="C26" s="13"/>
      <c r="D26" s="13"/>
      <c r="E26" s="14"/>
      <c r="F26" s="13"/>
    </row>
    <row r="27" customFormat="false" ht="15" hidden="false" customHeight="false" outlineLevel="0" collapsed="false">
      <c r="A27" s="11"/>
      <c r="B27" s="12"/>
      <c r="C27" s="13"/>
      <c r="D27" s="13"/>
      <c r="E27" s="14"/>
      <c r="F27" s="13"/>
    </row>
    <row r="28" customFormat="false" ht="15" hidden="false" customHeight="false" outlineLevel="0" collapsed="false">
      <c r="A28" s="11"/>
      <c r="B28" s="12"/>
      <c r="C28" s="13"/>
      <c r="D28" s="13"/>
      <c r="E28" s="14"/>
      <c r="F28" s="13"/>
    </row>
    <row r="29" customFormat="false" ht="15" hidden="false" customHeight="false" outlineLevel="0" collapsed="false">
      <c r="A29" s="11"/>
      <c r="B29" s="12"/>
      <c r="C29" s="13"/>
      <c r="D29" s="13"/>
      <c r="E29" s="14"/>
      <c r="F29" s="13"/>
    </row>
    <row r="30" customFormat="false" ht="15" hidden="false" customHeight="false" outlineLevel="0" collapsed="false">
      <c r="A30" s="11"/>
      <c r="B30" s="12"/>
      <c r="C30" s="13"/>
      <c r="D30" s="13"/>
      <c r="E30" s="14"/>
      <c r="F30" s="13"/>
    </row>
    <row r="31" customFormat="false" ht="15" hidden="false" customHeight="false" outlineLevel="0" collapsed="false">
      <c r="A31" s="11"/>
      <c r="B31" s="12"/>
      <c r="C31" s="13"/>
      <c r="D31" s="13"/>
      <c r="E31" s="14"/>
      <c r="F31" s="13"/>
    </row>
    <row r="32" customFormat="false" ht="15" hidden="false" customHeight="false" outlineLevel="0" collapsed="false">
      <c r="A32" s="11"/>
      <c r="B32" s="12"/>
      <c r="C32" s="13"/>
      <c r="D32" s="13"/>
      <c r="E32" s="14"/>
      <c r="F32" s="13"/>
    </row>
    <row r="33" customFormat="false" ht="15" hidden="false" customHeight="false" outlineLevel="0" collapsed="false">
      <c r="A33" s="11"/>
      <c r="B33" s="12"/>
      <c r="C33" s="13"/>
      <c r="D33" s="13"/>
      <c r="E33" s="14"/>
      <c r="F33" s="13"/>
    </row>
    <row r="34" customFormat="false" ht="15" hidden="false" customHeight="false" outlineLevel="0" collapsed="false">
      <c r="A34" s="11"/>
      <c r="B34" s="12"/>
      <c r="C34" s="13"/>
      <c r="D34" s="13"/>
      <c r="E34" s="14"/>
      <c r="F34" s="13"/>
    </row>
    <row r="35" customFormat="false" ht="15" hidden="false" customHeight="false" outlineLevel="0" collapsed="false">
      <c r="A35" s="11"/>
      <c r="B35" s="12"/>
      <c r="C35" s="13"/>
      <c r="D35" s="13"/>
      <c r="E35" s="14"/>
      <c r="F35" s="13"/>
    </row>
    <row r="36" customFormat="false" ht="15" hidden="false" customHeight="false" outlineLevel="0" collapsed="false">
      <c r="A36" s="11"/>
      <c r="B36" s="12"/>
      <c r="C36" s="13"/>
      <c r="D36" s="13"/>
      <c r="E36" s="14"/>
      <c r="F36" s="13"/>
    </row>
    <row r="37" customFormat="false" ht="15" hidden="false" customHeight="false" outlineLevel="0" collapsed="false">
      <c r="A37" s="11"/>
      <c r="B37" s="12"/>
      <c r="C37" s="13"/>
      <c r="D37" s="13"/>
      <c r="E37" s="14"/>
      <c r="F37" s="13"/>
    </row>
    <row r="38" customFormat="false" ht="15" hidden="false" customHeight="false" outlineLevel="0" collapsed="false">
      <c r="A38" s="11"/>
      <c r="B38" s="12"/>
      <c r="C38" s="13"/>
      <c r="D38" s="13"/>
      <c r="E38" s="14"/>
      <c r="F38" s="13"/>
    </row>
    <row r="39" customFormat="false" ht="15" hidden="false" customHeight="false" outlineLevel="0" collapsed="false">
      <c r="A39" s="11"/>
      <c r="B39" s="12"/>
      <c r="C39" s="13"/>
      <c r="D39" s="13"/>
      <c r="E39" s="14"/>
      <c r="F39" s="13"/>
    </row>
    <row r="40" customFormat="false" ht="15" hidden="false" customHeight="false" outlineLevel="0" collapsed="false">
      <c r="A40" s="11"/>
      <c r="B40" s="12"/>
      <c r="C40" s="13"/>
      <c r="D40" s="13"/>
      <c r="E40" s="14"/>
      <c r="F40" s="13"/>
    </row>
    <row r="41" customFormat="false" ht="15" hidden="false" customHeight="false" outlineLevel="0" collapsed="false">
      <c r="A41" s="11"/>
      <c r="B41" s="12"/>
      <c r="C41" s="13"/>
      <c r="D41" s="13"/>
      <c r="E41" s="14"/>
      <c r="F41" s="13"/>
    </row>
    <row r="42" customFormat="false" ht="15" hidden="false" customHeight="false" outlineLevel="0" collapsed="false">
      <c r="A42" s="11"/>
      <c r="B42" s="12"/>
      <c r="C42" s="13"/>
      <c r="D42" s="13"/>
      <c r="E42" s="14"/>
      <c r="F42" s="13"/>
    </row>
    <row r="43" customFormat="false" ht="15" hidden="false" customHeight="false" outlineLevel="0" collapsed="false">
      <c r="A43" s="11"/>
      <c r="B43" s="12"/>
      <c r="C43" s="13"/>
      <c r="D43" s="13"/>
      <c r="E43" s="14"/>
      <c r="F43" s="13"/>
    </row>
    <row r="44" customFormat="false" ht="15" hidden="false" customHeight="false" outlineLevel="0" collapsed="false">
      <c r="A44" s="11"/>
      <c r="B44" s="12"/>
      <c r="C44" s="13"/>
      <c r="D44" s="13"/>
      <c r="E44" s="14"/>
      <c r="F44" s="13"/>
    </row>
    <row r="45" customFormat="false" ht="15" hidden="false" customHeight="false" outlineLevel="0" collapsed="false">
      <c r="A45" s="11"/>
      <c r="B45" s="12"/>
      <c r="C45" s="13"/>
      <c r="D45" s="13"/>
      <c r="E45" s="14"/>
      <c r="F45" s="13"/>
    </row>
    <row r="46" customFormat="false" ht="15" hidden="false" customHeight="false" outlineLevel="0" collapsed="false">
      <c r="A46" s="11"/>
      <c r="B46" s="12"/>
      <c r="C46" s="13"/>
      <c r="D46" s="13"/>
      <c r="E46" s="14"/>
      <c r="F46" s="13"/>
    </row>
    <row r="47" customFormat="false" ht="15" hidden="false" customHeight="false" outlineLevel="0" collapsed="false">
      <c r="A47" s="11"/>
      <c r="B47" s="12"/>
      <c r="C47" s="13"/>
      <c r="D47" s="13"/>
      <c r="E47" s="14"/>
      <c r="F47" s="13"/>
    </row>
    <row r="48" customFormat="false" ht="15" hidden="false" customHeight="false" outlineLevel="0" collapsed="false">
      <c r="A48" s="11"/>
      <c r="B48" s="12"/>
      <c r="C48" s="13"/>
      <c r="D48" s="13"/>
      <c r="E48" s="14"/>
      <c r="F48" s="13"/>
    </row>
    <row r="49" customFormat="false" ht="15" hidden="false" customHeight="false" outlineLevel="0" collapsed="false">
      <c r="A49" s="11"/>
      <c r="B49" s="12"/>
      <c r="C49" s="13"/>
      <c r="D49" s="13"/>
      <c r="E49" s="14"/>
      <c r="F49" s="13"/>
    </row>
    <row r="50" customFormat="false" ht="15" hidden="false" customHeight="false" outlineLevel="0" collapsed="false">
      <c r="A50" s="11"/>
      <c r="B50" s="12"/>
      <c r="C50" s="13"/>
      <c r="D50" s="13"/>
      <c r="E50" s="14"/>
      <c r="F50" s="13"/>
    </row>
    <row r="51" customFormat="false" ht="15" hidden="false" customHeight="false" outlineLevel="0" collapsed="false">
      <c r="A51" s="11"/>
      <c r="B51" s="12"/>
      <c r="C51" s="13"/>
      <c r="D51" s="13"/>
      <c r="E51" s="14"/>
      <c r="F51" s="13"/>
    </row>
    <row r="52" customFormat="false" ht="15" hidden="false" customHeight="false" outlineLevel="0" collapsed="false">
      <c r="A52" s="11"/>
      <c r="B52" s="12"/>
      <c r="C52" s="13"/>
      <c r="D52" s="13"/>
      <c r="E52" s="14"/>
      <c r="F52" s="13"/>
    </row>
    <row r="53" customFormat="false" ht="15" hidden="false" customHeight="false" outlineLevel="0" collapsed="false">
      <c r="A53" s="11"/>
      <c r="B53" s="12"/>
      <c r="C53" s="13"/>
      <c r="D53" s="13"/>
      <c r="E53" s="14"/>
      <c r="F53" s="13"/>
    </row>
    <row r="54" customFormat="false" ht="15" hidden="false" customHeight="false" outlineLevel="0" collapsed="false">
      <c r="A54" s="11"/>
      <c r="B54" s="12"/>
      <c r="C54" s="13"/>
      <c r="D54" s="13"/>
      <c r="E54" s="14"/>
      <c r="F54" s="13"/>
    </row>
    <row r="55" customFormat="false" ht="15" hidden="false" customHeight="false" outlineLevel="0" collapsed="false">
      <c r="A55" s="11"/>
      <c r="B55" s="12"/>
      <c r="C55" s="13"/>
      <c r="D55" s="13"/>
      <c r="E55" s="14"/>
      <c r="F55" s="13"/>
    </row>
    <row r="56" customFormat="false" ht="15" hidden="false" customHeight="false" outlineLevel="0" collapsed="false">
      <c r="A56" s="11"/>
      <c r="B56" s="12"/>
      <c r="C56" s="13"/>
      <c r="D56" s="13"/>
      <c r="E56" s="14"/>
      <c r="F56" s="13"/>
    </row>
    <row r="57" customFormat="false" ht="15" hidden="false" customHeight="false" outlineLevel="0" collapsed="false">
      <c r="A57" s="11"/>
      <c r="B57" s="12"/>
      <c r="C57" s="13"/>
      <c r="D57" s="13"/>
      <c r="E57" s="14"/>
      <c r="F57" s="13"/>
    </row>
    <row r="58" customFormat="false" ht="15" hidden="false" customHeight="false" outlineLevel="0" collapsed="false">
      <c r="A58" s="11"/>
      <c r="B58" s="12"/>
      <c r="C58" s="13"/>
      <c r="D58" s="13"/>
      <c r="E58" s="14"/>
      <c r="F58" s="13"/>
    </row>
    <row r="59" customFormat="false" ht="15" hidden="false" customHeight="false" outlineLevel="0" collapsed="false">
      <c r="A59" s="11"/>
      <c r="B59" s="12"/>
      <c r="C59" s="13"/>
      <c r="D59" s="13"/>
      <c r="E59" s="14"/>
      <c r="F59" s="13"/>
    </row>
    <row r="60" customFormat="false" ht="15" hidden="false" customHeight="false" outlineLevel="0" collapsed="false">
      <c r="A60" s="11"/>
      <c r="B60" s="12"/>
      <c r="C60" s="13"/>
      <c r="D60" s="13"/>
      <c r="E60" s="14"/>
      <c r="F60" s="13"/>
    </row>
    <row r="61" customFormat="false" ht="15" hidden="false" customHeight="false" outlineLevel="0" collapsed="false">
      <c r="A61" s="11"/>
      <c r="B61" s="12"/>
      <c r="C61" s="13"/>
      <c r="D61" s="13"/>
      <c r="E61" s="14"/>
      <c r="F61" s="13"/>
    </row>
    <row r="62" customFormat="false" ht="15" hidden="false" customHeight="false" outlineLevel="0" collapsed="false">
      <c r="A62" s="11"/>
      <c r="B62" s="12"/>
      <c r="C62" s="13"/>
      <c r="D62" s="13"/>
      <c r="E62" s="14"/>
      <c r="F62" s="13"/>
    </row>
    <row r="63" customFormat="false" ht="15" hidden="false" customHeight="false" outlineLevel="0" collapsed="false">
      <c r="A63" s="11"/>
      <c r="B63" s="12"/>
      <c r="C63" s="13"/>
      <c r="D63" s="13"/>
      <c r="E63" s="14"/>
      <c r="F63" s="13"/>
    </row>
    <row r="64" customFormat="false" ht="15" hidden="false" customHeight="false" outlineLevel="0" collapsed="false">
      <c r="A64" s="11"/>
      <c r="B64" s="12"/>
      <c r="C64" s="13"/>
      <c r="D64" s="13"/>
      <c r="E64" s="14"/>
      <c r="F64" s="13"/>
    </row>
    <row r="65" customFormat="false" ht="15" hidden="false" customHeight="false" outlineLevel="0" collapsed="false">
      <c r="A65" s="11"/>
      <c r="B65" s="12"/>
      <c r="C65" s="13"/>
      <c r="D65" s="13"/>
      <c r="E65" s="14"/>
      <c r="F65" s="13"/>
    </row>
    <row r="66" customFormat="false" ht="15" hidden="false" customHeight="false" outlineLevel="0" collapsed="false">
      <c r="A66" s="11"/>
      <c r="B66" s="12"/>
      <c r="C66" s="13"/>
      <c r="D66" s="13"/>
      <c r="E66" s="14"/>
      <c r="F66" s="13"/>
    </row>
    <row r="67" customFormat="false" ht="15" hidden="false" customHeight="false" outlineLevel="0" collapsed="false">
      <c r="A67" s="11"/>
      <c r="B67" s="12"/>
      <c r="C67" s="13"/>
      <c r="D67" s="13"/>
      <c r="E67" s="14"/>
      <c r="F67" s="13"/>
    </row>
    <row r="68" customFormat="false" ht="15" hidden="false" customHeight="false" outlineLevel="0" collapsed="false">
      <c r="A68" s="11"/>
      <c r="B68" s="12"/>
      <c r="C68" s="13"/>
      <c r="D68" s="13"/>
      <c r="E68" s="14"/>
      <c r="F68" s="13"/>
    </row>
    <row r="69" customFormat="false" ht="15" hidden="false" customHeight="false" outlineLevel="0" collapsed="false">
      <c r="A69" s="11"/>
      <c r="B69" s="12"/>
      <c r="C69" s="13"/>
      <c r="D69" s="13"/>
      <c r="E69" s="14"/>
      <c r="F69" s="13"/>
    </row>
    <row r="70" customFormat="false" ht="15" hidden="false" customHeight="false" outlineLevel="0" collapsed="false">
      <c r="A70" s="11"/>
      <c r="B70" s="12"/>
      <c r="C70" s="13"/>
      <c r="D70" s="13"/>
      <c r="E70" s="14"/>
      <c r="F70" s="13"/>
    </row>
    <row r="71" customFormat="false" ht="15" hidden="false" customHeight="false" outlineLevel="0" collapsed="false">
      <c r="A71" s="11"/>
      <c r="B71" s="12"/>
      <c r="C71" s="13"/>
      <c r="D71" s="13"/>
      <c r="E71" s="14"/>
      <c r="F71" s="13"/>
    </row>
    <row r="72" customFormat="false" ht="15" hidden="false" customHeight="false" outlineLevel="0" collapsed="false">
      <c r="A72" s="11"/>
      <c r="B72" s="12"/>
      <c r="C72" s="13"/>
      <c r="D72" s="13"/>
      <c r="E72" s="14"/>
      <c r="F72" s="13"/>
    </row>
    <row r="73" customFormat="false" ht="15" hidden="false" customHeight="false" outlineLevel="0" collapsed="false">
      <c r="A73" s="11"/>
      <c r="B73" s="12"/>
      <c r="C73" s="13"/>
      <c r="D73" s="13"/>
      <c r="E73" s="14"/>
      <c r="F73" s="13"/>
    </row>
    <row r="74" customFormat="false" ht="15" hidden="false" customHeight="false" outlineLevel="0" collapsed="false">
      <c r="A74" s="11"/>
      <c r="B74" s="12"/>
      <c r="C74" s="13"/>
      <c r="D74" s="13"/>
      <c r="E74" s="14"/>
      <c r="F74" s="13"/>
    </row>
    <row r="75" customFormat="false" ht="15" hidden="false" customHeight="false" outlineLevel="0" collapsed="false">
      <c r="A75" s="11"/>
      <c r="B75" s="12"/>
      <c r="C75" s="13"/>
      <c r="D75" s="13"/>
      <c r="E75" s="14"/>
      <c r="F75" s="13"/>
    </row>
    <row r="76" customFormat="false" ht="15" hidden="false" customHeight="false" outlineLevel="0" collapsed="false">
      <c r="A76" s="11"/>
      <c r="B76" s="12"/>
      <c r="C76" s="13"/>
      <c r="D76" s="13"/>
      <c r="E76" s="14"/>
      <c r="F76" s="13"/>
    </row>
    <row r="77" customFormat="false" ht="15" hidden="false" customHeight="false" outlineLevel="0" collapsed="false">
      <c r="A77" s="11"/>
      <c r="B77" s="12"/>
      <c r="C77" s="13"/>
      <c r="D77" s="13"/>
      <c r="E77" s="14"/>
      <c r="F77" s="13"/>
    </row>
    <row r="78" customFormat="false" ht="15" hidden="false" customHeight="false" outlineLevel="0" collapsed="false">
      <c r="A78" s="11"/>
      <c r="B78" s="12"/>
      <c r="C78" s="13"/>
      <c r="D78" s="13"/>
      <c r="E78" s="14"/>
      <c r="F78" s="13"/>
    </row>
    <row r="79" customFormat="false" ht="15" hidden="false" customHeight="false" outlineLevel="0" collapsed="false">
      <c r="A79" s="11"/>
      <c r="B79" s="12"/>
      <c r="C79" s="13"/>
      <c r="D79" s="13"/>
      <c r="E79" s="14"/>
      <c r="F79" s="13"/>
    </row>
    <row r="80" customFormat="false" ht="15" hidden="false" customHeight="false" outlineLevel="0" collapsed="false">
      <c r="A80" s="11"/>
      <c r="B80" s="12"/>
      <c r="C80" s="13"/>
      <c r="D80" s="13"/>
      <c r="E80" s="14"/>
      <c r="F80" s="13"/>
    </row>
    <row r="81" customFormat="false" ht="15" hidden="false" customHeight="false" outlineLevel="0" collapsed="false">
      <c r="A81" s="11"/>
      <c r="B81" s="12"/>
      <c r="C81" s="13"/>
      <c r="D81" s="13"/>
      <c r="E81" s="14"/>
      <c r="F81" s="13"/>
    </row>
    <row r="82" customFormat="false" ht="15" hidden="false" customHeight="false" outlineLevel="0" collapsed="false">
      <c r="A82" s="11"/>
      <c r="B82" s="12"/>
      <c r="C82" s="13"/>
      <c r="D82" s="13"/>
      <c r="E82" s="14"/>
      <c r="F82" s="13"/>
    </row>
    <row r="83" customFormat="false" ht="15" hidden="false" customHeight="false" outlineLevel="0" collapsed="false">
      <c r="A83" s="11"/>
      <c r="B83" s="12"/>
      <c r="C83" s="13"/>
      <c r="D83" s="13"/>
      <c r="E83" s="14"/>
      <c r="F83" s="13"/>
    </row>
    <row r="84" customFormat="false" ht="15" hidden="false" customHeight="false" outlineLevel="0" collapsed="false">
      <c r="A84" s="11"/>
      <c r="B84" s="12"/>
      <c r="C84" s="13"/>
      <c r="D84" s="13"/>
      <c r="E84" s="14"/>
      <c r="F84" s="13"/>
    </row>
    <row r="85" customFormat="false" ht="15" hidden="false" customHeight="false" outlineLevel="0" collapsed="false">
      <c r="A85" s="11"/>
      <c r="B85" s="12"/>
      <c r="C85" s="13"/>
      <c r="D85" s="13"/>
      <c r="E85" s="14"/>
      <c r="F85" s="13"/>
    </row>
    <row r="86" customFormat="false" ht="15" hidden="false" customHeight="false" outlineLevel="0" collapsed="false">
      <c r="A86" s="11"/>
      <c r="B86" s="12"/>
      <c r="C86" s="13"/>
      <c r="D86" s="13"/>
      <c r="E86" s="14"/>
      <c r="F86" s="13"/>
    </row>
    <row r="87" customFormat="false" ht="15" hidden="false" customHeight="false" outlineLevel="0" collapsed="false">
      <c r="A87" s="11"/>
      <c r="B87" s="12"/>
      <c r="C87" s="13"/>
      <c r="D87" s="13"/>
      <c r="E87" s="14"/>
      <c r="F87" s="13"/>
    </row>
    <row r="88" customFormat="false" ht="15" hidden="false" customHeight="false" outlineLevel="0" collapsed="false">
      <c r="A88" s="11"/>
      <c r="B88" s="12"/>
      <c r="C88" s="13"/>
      <c r="D88" s="13"/>
      <c r="E88" s="14"/>
      <c r="F88" s="13"/>
    </row>
    <row r="89" customFormat="false" ht="15" hidden="false" customHeight="false" outlineLevel="0" collapsed="false">
      <c r="A89" s="11"/>
      <c r="B89" s="12"/>
      <c r="C89" s="13"/>
      <c r="D89" s="13"/>
      <c r="E89" s="14"/>
      <c r="F89" s="13"/>
    </row>
    <row r="90" customFormat="false" ht="15" hidden="false" customHeight="false" outlineLevel="0" collapsed="false">
      <c r="A90" s="11"/>
      <c r="B90" s="12"/>
      <c r="C90" s="13"/>
      <c r="D90" s="13"/>
      <c r="E90" s="14"/>
      <c r="F90" s="13"/>
    </row>
    <row r="91" customFormat="false" ht="15" hidden="false" customHeight="false" outlineLevel="0" collapsed="false">
      <c r="A91" s="11"/>
      <c r="B91" s="12"/>
      <c r="C91" s="13"/>
      <c r="D91" s="13"/>
      <c r="E91" s="14"/>
      <c r="F91" s="13"/>
    </row>
    <row r="92" customFormat="false" ht="15" hidden="false" customHeight="false" outlineLevel="0" collapsed="false">
      <c r="A92" s="11"/>
      <c r="B92" s="12"/>
      <c r="C92" s="13"/>
      <c r="D92" s="13"/>
      <c r="E92" s="14"/>
      <c r="F92" s="13"/>
    </row>
    <row r="93" customFormat="false" ht="15" hidden="false" customHeight="false" outlineLevel="0" collapsed="false">
      <c r="A93" s="11"/>
      <c r="B93" s="12"/>
      <c r="C93" s="13"/>
      <c r="D93" s="13"/>
      <c r="E93" s="14"/>
      <c r="F93" s="13"/>
    </row>
    <row r="94" customFormat="false" ht="15" hidden="false" customHeight="false" outlineLevel="0" collapsed="false">
      <c r="A94" s="11"/>
      <c r="B94" s="12"/>
      <c r="C94" s="13"/>
      <c r="D94" s="13"/>
      <c r="E94" s="14"/>
      <c r="F94" s="13"/>
    </row>
    <row r="95" customFormat="false" ht="15" hidden="false" customHeight="false" outlineLevel="0" collapsed="false">
      <c r="A95" s="11"/>
      <c r="B95" s="12"/>
      <c r="C95" s="13"/>
      <c r="D95" s="13"/>
      <c r="E95" s="14"/>
      <c r="F95" s="13"/>
    </row>
    <row r="96" customFormat="false" ht="15" hidden="false" customHeight="false" outlineLevel="0" collapsed="false">
      <c r="A96" s="11"/>
      <c r="B96" s="12"/>
      <c r="C96" s="13"/>
      <c r="D96" s="13"/>
      <c r="E96" s="14"/>
      <c r="F96" s="13"/>
    </row>
    <row r="97" customFormat="false" ht="15" hidden="false" customHeight="false" outlineLevel="0" collapsed="false">
      <c r="A97" s="11"/>
      <c r="B97" s="12"/>
      <c r="C97" s="13"/>
      <c r="D97" s="13"/>
      <c r="E97" s="14"/>
      <c r="F97" s="13"/>
    </row>
    <row r="98" customFormat="false" ht="15" hidden="false" customHeight="false" outlineLevel="0" collapsed="false">
      <c r="A98" s="11"/>
      <c r="B98" s="12"/>
      <c r="C98" s="13"/>
      <c r="D98" s="13"/>
      <c r="E98" s="14"/>
      <c r="F98" s="13"/>
    </row>
    <row r="99" customFormat="false" ht="15" hidden="false" customHeight="false" outlineLevel="0" collapsed="false">
      <c r="A99" s="11"/>
      <c r="B99" s="12"/>
      <c r="C99" s="13"/>
      <c r="D99" s="13"/>
      <c r="E99" s="14"/>
      <c r="F99" s="13"/>
    </row>
    <row r="100" customFormat="false" ht="15" hidden="false" customHeight="false" outlineLevel="0" collapsed="false">
      <c r="A100" s="11"/>
      <c r="B100" s="12"/>
      <c r="C100" s="13"/>
      <c r="D100" s="13"/>
      <c r="E100" s="14"/>
      <c r="F100" s="13"/>
    </row>
    <row r="101" customFormat="false" ht="15" hidden="false" customHeight="false" outlineLevel="0" collapsed="false">
      <c r="A101" s="11"/>
      <c r="B101" s="12"/>
      <c r="C101" s="13"/>
      <c r="D101" s="13"/>
      <c r="E101" s="14"/>
      <c r="F101" s="13"/>
    </row>
    <row r="102" customFormat="false" ht="15" hidden="false" customHeight="false" outlineLevel="0" collapsed="false">
      <c r="A102" s="11"/>
      <c r="B102" s="12"/>
      <c r="C102" s="13"/>
      <c r="D102" s="13"/>
      <c r="E102" s="14"/>
      <c r="F102" s="13"/>
    </row>
    <row r="103" customFormat="false" ht="15" hidden="false" customHeight="false" outlineLevel="0" collapsed="false">
      <c r="A103" s="11"/>
      <c r="B103" s="12"/>
      <c r="C103" s="13"/>
      <c r="D103" s="13"/>
      <c r="E103" s="14"/>
      <c r="F103" s="13"/>
    </row>
    <row r="104" customFormat="false" ht="15" hidden="false" customHeight="false" outlineLevel="0" collapsed="false">
      <c r="A104" s="11"/>
      <c r="B104" s="12"/>
      <c r="C104" s="13"/>
      <c r="D104" s="13"/>
      <c r="E104" s="14"/>
      <c r="F104" s="13"/>
    </row>
    <row r="105" customFormat="false" ht="15" hidden="false" customHeight="false" outlineLevel="0" collapsed="false">
      <c r="A105" s="11"/>
      <c r="B105" s="12"/>
      <c r="C105" s="13"/>
      <c r="D105" s="13"/>
      <c r="E105" s="14"/>
      <c r="F105" s="13"/>
    </row>
    <row r="106" customFormat="false" ht="15" hidden="false" customHeight="false" outlineLevel="0" collapsed="false">
      <c r="A106" s="11"/>
      <c r="B106" s="12"/>
      <c r="C106" s="13"/>
      <c r="D106" s="13"/>
      <c r="E106" s="14"/>
      <c r="F106" s="13"/>
    </row>
    <row r="107" customFormat="false" ht="15" hidden="false" customHeight="false" outlineLevel="0" collapsed="false">
      <c r="A107" s="11"/>
      <c r="B107" s="12"/>
      <c r="C107" s="13"/>
      <c r="D107" s="13"/>
      <c r="E107" s="14"/>
      <c r="F107" s="13"/>
    </row>
    <row r="108" customFormat="false" ht="15" hidden="false" customHeight="false" outlineLevel="0" collapsed="false">
      <c r="A108" s="11"/>
      <c r="B108" s="12"/>
      <c r="C108" s="13"/>
      <c r="D108" s="13"/>
      <c r="E108" s="14"/>
      <c r="F108" s="13"/>
    </row>
    <row r="109" customFormat="false" ht="15" hidden="false" customHeight="false" outlineLevel="0" collapsed="false">
      <c r="A109" s="11"/>
      <c r="B109" s="12"/>
      <c r="C109" s="13"/>
      <c r="D109" s="13"/>
      <c r="E109" s="14"/>
      <c r="F109" s="13"/>
    </row>
    <row r="110" customFormat="false" ht="15" hidden="false" customHeight="false" outlineLevel="0" collapsed="false">
      <c r="A110" s="11"/>
      <c r="B110" s="12"/>
      <c r="C110" s="13"/>
      <c r="D110" s="13"/>
      <c r="E110" s="14"/>
      <c r="F110" s="13"/>
    </row>
    <row r="111" customFormat="false" ht="15" hidden="false" customHeight="false" outlineLevel="0" collapsed="false">
      <c r="A111" s="11"/>
      <c r="B111" s="12"/>
      <c r="C111" s="13"/>
      <c r="D111" s="13"/>
      <c r="E111" s="14"/>
      <c r="F111" s="13"/>
    </row>
    <row r="112" customFormat="false" ht="15" hidden="false" customHeight="false" outlineLevel="0" collapsed="false">
      <c r="A112" s="11"/>
      <c r="B112" s="12"/>
      <c r="C112" s="13"/>
      <c r="D112" s="13"/>
      <c r="E112" s="14"/>
      <c r="F112" s="13"/>
    </row>
    <row r="113" customFormat="false" ht="15" hidden="false" customHeight="false" outlineLevel="0" collapsed="false">
      <c r="A113" s="11"/>
      <c r="B113" s="12"/>
      <c r="C113" s="13"/>
      <c r="D113" s="13"/>
      <c r="E113" s="14"/>
      <c r="F113" s="13"/>
    </row>
    <row r="114" customFormat="false" ht="15" hidden="false" customHeight="false" outlineLevel="0" collapsed="false">
      <c r="A114" s="11"/>
      <c r="B114" s="12"/>
      <c r="C114" s="13"/>
      <c r="D114" s="13"/>
      <c r="E114" s="14"/>
      <c r="F114" s="13"/>
    </row>
    <row r="115" customFormat="false" ht="15" hidden="false" customHeight="false" outlineLevel="0" collapsed="false">
      <c r="A115" s="11"/>
      <c r="B115" s="12"/>
      <c r="C115" s="13"/>
      <c r="D115" s="13"/>
      <c r="E115" s="14"/>
      <c r="F115" s="13"/>
    </row>
    <row r="116" customFormat="false" ht="15" hidden="false" customHeight="false" outlineLevel="0" collapsed="false">
      <c r="A116" s="11"/>
      <c r="B116" s="12"/>
      <c r="C116" s="13"/>
      <c r="D116" s="13"/>
      <c r="E116" s="14"/>
      <c r="F116" s="13"/>
    </row>
    <row r="117" customFormat="false" ht="15" hidden="false" customHeight="false" outlineLevel="0" collapsed="false">
      <c r="A117" s="11"/>
      <c r="B117" s="12"/>
      <c r="C117" s="13"/>
      <c r="D117" s="13"/>
      <c r="E117" s="14"/>
      <c r="F117" s="13"/>
    </row>
    <row r="118" customFormat="false" ht="15" hidden="false" customHeight="false" outlineLevel="0" collapsed="false">
      <c r="A118" s="11"/>
      <c r="B118" s="12"/>
      <c r="C118" s="13"/>
      <c r="D118" s="13"/>
      <c r="E118" s="14"/>
      <c r="F118" s="13"/>
    </row>
    <row r="119" customFormat="false" ht="15" hidden="false" customHeight="false" outlineLevel="0" collapsed="false">
      <c r="A119" s="11"/>
      <c r="B119" s="12"/>
      <c r="C119" s="13"/>
      <c r="D119" s="13"/>
      <c r="E119" s="14"/>
      <c r="F119" s="13"/>
    </row>
    <row r="120" customFormat="false" ht="15" hidden="false" customHeight="false" outlineLevel="0" collapsed="false">
      <c r="A120" s="11"/>
      <c r="B120" s="12"/>
      <c r="C120" s="13"/>
      <c r="D120" s="13"/>
      <c r="E120" s="14"/>
      <c r="F120" s="13"/>
    </row>
    <row r="121" customFormat="false" ht="15" hidden="false" customHeight="false" outlineLevel="0" collapsed="false">
      <c r="A121" s="11"/>
      <c r="B121" s="12"/>
      <c r="C121" s="13"/>
      <c r="D121" s="13"/>
      <c r="E121" s="14"/>
      <c r="F121" s="13"/>
    </row>
    <row r="122" customFormat="false" ht="15" hidden="false" customHeight="false" outlineLevel="0" collapsed="false">
      <c r="A122" s="11"/>
      <c r="B122" s="12"/>
      <c r="C122" s="13"/>
      <c r="D122" s="13"/>
      <c r="E122" s="14"/>
      <c r="F122" s="13"/>
    </row>
    <row r="123" customFormat="false" ht="15" hidden="false" customHeight="false" outlineLevel="0" collapsed="false">
      <c r="A123" s="11"/>
      <c r="B123" s="12"/>
      <c r="C123" s="13"/>
      <c r="D123" s="13"/>
      <c r="E123" s="14"/>
      <c r="F123" s="13"/>
    </row>
    <row r="124" customFormat="false" ht="15" hidden="false" customHeight="false" outlineLevel="0" collapsed="false">
      <c r="A124" s="11"/>
      <c r="B124" s="12"/>
      <c r="C124" s="13"/>
      <c r="D124" s="13"/>
      <c r="E124" s="14"/>
      <c r="F124" s="13"/>
    </row>
    <row r="125" customFormat="false" ht="15" hidden="false" customHeight="false" outlineLevel="0" collapsed="false">
      <c r="A125" s="11"/>
      <c r="B125" s="12"/>
      <c r="C125" s="13"/>
      <c r="D125" s="13"/>
      <c r="E125" s="14"/>
      <c r="F125" s="13"/>
    </row>
    <row r="126" customFormat="false" ht="15" hidden="false" customHeight="false" outlineLevel="0" collapsed="false">
      <c r="A126" s="11"/>
      <c r="B126" s="12"/>
      <c r="C126" s="13"/>
      <c r="D126" s="13"/>
      <c r="E126" s="14"/>
      <c r="F126" s="13"/>
    </row>
    <row r="127" customFormat="false" ht="15" hidden="false" customHeight="false" outlineLevel="0" collapsed="false">
      <c r="A127" s="11"/>
      <c r="B127" s="12"/>
      <c r="C127" s="13"/>
      <c r="D127" s="13"/>
      <c r="E127" s="14"/>
      <c r="F127" s="13"/>
    </row>
    <row r="128" customFormat="false" ht="15" hidden="false" customHeight="false" outlineLevel="0" collapsed="false">
      <c r="A128" s="11"/>
      <c r="B128" s="12"/>
      <c r="C128" s="13"/>
      <c r="D128" s="13"/>
      <c r="E128" s="14"/>
      <c r="F128" s="13"/>
    </row>
    <row r="129" customFormat="false" ht="15" hidden="false" customHeight="false" outlineLevel="0" collapsed="false">
      <c r="A129" s="11"/>
      <c r="B129" s="12"/>
      <c r="C129" s="13"/>
      <c r="D129" s="13"/>
      <c r="E129" s="14"/>
      <c r="F129" s="13"/>
    </row>
    <row r="130" customFormat="false" ht="15" hidden="false" customHeight="false" outlineLevel="0" collapsed="false">
      <c r="A130" s="11"/>
      <c r="B130" s="12"/>
      <c r="C130" s="13"/>
      <c r="D130" s="13"/>
      <c r="E130" s="14"/>
      <c r="F130" s="13"/>
    </row>
    <row r="131" customFormat="false" ht="15" hidden="false" customHeight="false" outlineLevel="0" collapsed="false">
      <c r="A131" s="11"/>
      <c r="B131" s="12"/>
      <c r="C131" s="13"/>
      <c r="D131" s="13"/>
      <c r="E131" s="14"/>
      <c r="F131" s="13"/>
    </row>
    <row r="132" customFormat="false" ht="15" hidden="false" customHeight="false" outlineLevel="0" collapsed="false">
      <c r="A132" s="11"/>
      <c r="B132" s="12"/>
      <c r="C132" s="13"/>
      <c r="D132" s="13"/>
      <c r="E132" s="14"/>
      <c r="F132" s="13"/>
    </row>
    <row r="133" customFormat="false" ht="15" hidden="false" customHeight="false" outlineLevel="0" collapsed="false">
      <c r="A133" s="11"/>
      <c r="B133" s="12"/>
      <c r="C133" s="13"/>
      <c r="D133" s="13"/>
      <c r="E133" s="14"/>
      <c r="F133" s="13"/>
    </row>
    <row r="134" customFormat="false" ht="15" hidden="false" customHeight="false" outlineLevel="0" collapsed="false">
      <c r="A134" s="11"/>
      <c r="B134" s="12"/>
      <c r="C134" s="13"/>
      <c r="D134" s="13"/>
      <c r="E134" s="14"/>
      <c r="F134" s="13"/>
    </row>
    <row r="135" customFormat="false" ht="15" hidden="false" customHeight="false" outlineLevel="0" collapsed="false">
      <c r="A135" s="11"/>
      <c r="B135" s="12"/>
      <c r="C135" s="13"/>
      <c r="D135" s="13"/>
      <c r="E135" s="14"/>
      <c r="F135" s="13"/>
    </row>
    <row r="136" customFormat="false" ht="15" hidden="false" customHeight="false" outlineLevel="0" collapsed="false">
      <c r="A136" s="11"/>
      <c r="B136" s="12"/>
      <c r="C136" s="13"/>
      <c r="D136" s="13"/>
      <c r="E136" s="14"/>
      <c r="F136" s="13"/>
    </row>
    <row r="137" customFormat="false" ht="15" hidden="false" customHeight="false" outlineLevel="0" collapsed="false">
      <c r="A137" s="11"/>
      <c r="B137" s="12"/>
      <c r="C137" s="13"/>
      <c r="D137" s="13"/>
      <c r="E137" s="14"/>
      <c r="F137" s="13"/>
    </row>
    <row r="138" customFormat="false" ht="15" hidden="false" customHeight="false" outlineLevel="0" collapsed="false">
      <c r="A138" s="11"/>
      <c r="B138" s="12"/>
      <c r="C138" s="13"/>
      <c r="D138" s="13"/>
      <c r="E138" s="14"/>
      <c r="F138" s="13"/>
    </row>
    <row r="139" customFormat="false" ht="15" hidden="false" customHeight="false" outlineLevel="0" collapsed="false">
      <c r="A139" s="11"/>
      <c r="B139" s="12"/>
      <c r="C139" s="13"/>
      <c r="D139" s="13"/>
      <c r="E139" s="14"/>
      <c r="F139" s="13"/>
    </row>
    <row r="140" customFormat="false" ht="15" hidden="false" customHeight="false" outlineLevel="0" collapsed="false">
      <c r="A140" s="11"/>
      <c r="B140" s="12"/>
      <c r="C140" s="13"/>
      <c r="D140" s="13"/>
      <c r="E140" s="14"/>
      <c r="F140" s="13"/>
    </row>
    <row r="141" customFormat="false" ht="15" hidden="false" customHeight="false" outlineLevel="0" collapsed="false">
      <c r="A141" s="11"/>
      <c r="B141" s="12"/>
      <c r="C141" s="13"/>
      <c r="D141" s="13"/>
      <c r="E141" s="14"/>
      <c r="F141" s="13"/>
    </row>
    <row r="142" customFormat="false" ht="15" hidden="false" customHeight="false" outlineLevel="0" collapsed="false">
      <c r="A142" s="11"/>
      <c r="B142" s="12"/>
      <c r="C142" s="13"/>
      <c r="D142" s="13"/>
      <c r="E142" s="14"/>
      <c r="F142" s="13"/>
    </row>
    <row r="143" customFormat="false" ht="15" hidden="false" customHeight="false" outlineLevel="0" collapsed="false">
      <c r="A143" s="11"/>
      <c r="B143" s="12"/>
      <c r="C143" s="13"/>
      <c r="D143" s="13"/>
      <c r="E143" s="14"/>
      <c r="F143" s="13"/>
    </row>
    <row r="144" customFormat="false" ht="15" hidden="false" customHeight="false" outlineLevel="0" collapsed="false">
      <c r="A144" s="11"/>
      <c r="B144" s="12"/>
      <c r="C144" s="13"/>
      <c r="D144" s="13"/>
      <c r="E144" s="14"/>
      <c r="F144" s="13"/>
    </row>
    <row r="145" customFormat="false" ht="15" hidden="false" customHeight="false" outlineLevel="0" collapsed="false">
      <c r="A145" s="11"/>
      <c r="B145" s="12"/>
      <c r="C145" s="13"/>
      <c r="D145" s="13"/>
      <c r="E145" s="14"/>
      <c r="F145" s="13"/>
    </row>
    <row r="146" customFormat="false" ht="15" hidden="false" customHeight="false" outlineLevel="0" collapsed="false">
      <c r="A146" s="11"/>
      <c r="B146" s="12"/>
      <c r="C146" s="13"/>
      <c r="D146" s="13"/>
      <c r="E146" s="14"/>
      <c r="F146" s="13"/>
    </row>
    <row r="147" customFormat="false" ht="15" hidden="false" customHeight="false" outlineLevel="0" collapsed="false">
      <c r="A147" s="11"/>
      <c r="B147" s="12"/>
      <c r="C147" s="13"/>
      <c r="D147" s="13"/>
      <c r="E147" s="14"/>
      <c r="F147" s="13"/>
    </row>
    <row r="148" customFormat="false" ht="15" hidden="false" customHeight="false" outlineLevel="0" collapsed="false">
      <c r="A148" s="11"/>
      <c r="B148" s="12"/>
      <c r="C148" s="13"/>
      <c r="D148" s="13"/>
      <c r="E148" s="14"/>
      <c r="F148" s="13"/>
    </row>
    <row r="149" customFormat="false" ht="15" hidden="false" customHeight="false" outlineLevel="0" collapsed="false">
      <c r="A149" s="11"/>
      <c r="B149" s="12"/>
      <c r="C149" s="13"/>
      <c r="D149" s="13"/>
      <c r="E149" s="14"/>
      <c r="F149" s="13"/>
    </row>
    <row r="150" customFormat="false" ht="15" hidden="false" customHeight="false" outlineLevel="0" collapsed="false">
      <c r="A150" s="11"/>
      <c r="B150" s="12"/>
      <c r="C150" s="13"/>
      <c r="D150" s="13"/>
      <c r="E150" s="14"/>
      <c r="F150" s="13"/>
    </row>
    <row r="151" customFormat="false" ht="15" hidden="false" customHeight="false" outlineLevel="0" collapsed="false">
      <c r="A151" s="11"/>
      <c r="B151" s="12"/>
      <c r="C151" s="13"/>
      <c r="D151" s="13"/>
      <c r="E151" s="14"/>
      <c r="F151" s="13"/>
    </row>
    <row r="152" customFormat="false" ht="15" hidden="false" customHeight="false" outlineLevel="0" collapsed="false">
      <c r="A152" s="11"/>
      <c r="B152" s="12"/>
      <c r="C152" s="13"/>
      <c r="D152" s="13"/>
      <c r="E152" s="14"/>
      <c r="F152" s="13"/>
    </row>
    <row r="153" customFormat="false" ht="15" hidden="false" customHeight="false" outlineLevel="0" collapsed="false">
      <c r="A153" s="11"/>
      <c r="B153" s="12"/>
      <c r="C153" s="13"/>
      <c r="D153" s="13"/>
      <c r="E153" s="14"/>
      <c r="F153" s="13"/>
    </row>
    <row r="154" customFormat="false" ht="15" hidden="false" customHeight="false" outlineLevel="0" collapsed="false">
      <c r="A154" s="11"/>
      <c r="B154" s="12"/>
      <c r="C154" s="13"/>
      <c r="D154" s="13"/>
      <c r="E154" s="14"/>
      <c r="F154" s="13"/>
    </row>
    <row r="155" customFormat="false" ht="15" hidden="false" customHeight="false" outlineLevel="0" collapsed="false">
      <c r="A155" s="11"/>
      <c r="B155" s="12"/>
      <c r="C155" s="13"/>
      <c r="D155" s="13"/>
      <c r="E155" s="14"/>
      <c r="F155" s="13"/>
    </row>
    <row r="156" customFormat="false" ht="15" hidden="false" customHeight="false" outlineLevel="0" collapsed="false">
      <c r="A156" s="11"/>
      <c r="B156" s="12"/>
      <c r="C156" s="13"/>
      <c r="D156" s="13"/>
      <c r="E156" s="14"/>
      <c r="F156" s="13"/>
    </row>
    <row r="157" customFormat="false" ht="15" hidden="false" customHeight="false" outlineLevel="0" collapsed="false">
      <c r="A157" s="11"/>
      <c r="B157" s="12"/>
      <c r="C157" s="13"/>
      <c r="D157" s="13"/>
      <c r="E157" s="14"/>
      <c r="F157" s="13"/>
    </row>
    <row r="158" customFormat="false" ht="15" hidden="false" customHeight="false" outlineLevel="0" collapsed="false">
      <c r="A158" s="11"/>
      <c r="B158" s="12"/>
      <c r="C158" s="13"/>
      <c r="D158" s="13"/>
      <c r="E158" s="14"/>
      <c r="F158" s="13"/>
    </row>
    <row r="159" customFormat="false" ht="15" hidden="false" customHeight="false" outlineLevel="0" collapsed="false">
      <c r="A159" s="11"/>
      <c r="B159" s="12"/>
      <c r="C159" s="13"/>
      <c r="D159" s="13"/>
      <c r="E159" s="14"/>
      <c r="F159" s="13"/>
    </row>
    <row r="160" customFormat="false" ht="15" hidden="false" customHeight="false" outlineLevel="0" collapsed="false">
      <c r="A160" s="11"/>
      <c r="B160" s="12"/>
      <c r="C160" s="13"/>
      <c r="D160" s="13"/>
      <c r="E160" s="14"/>
      <c r="F160" s="13"/>
    </row>
    <row r="161" customFormat="false" ht="15" hidden="false" customHeight="false" outlineLevel="0" collapsed="false">
      <c r="A161" s="11"/>
      <c r="B161" s="12"/>
      <c r="C161" s="13"/>
      <c r="D161" s="13"/>
      <c r="E161" s="14"/>
      <c r="F161" s="13"/>
    </row>
    <row r="162" customFormat="false" ht="15" hidden="false" customHeight="false" outlineLevel="0" collapsed="false">
      <c r="A162" s="11"/>
      <c r="B162" s="12"/>
      <c r="C162" s="13"/>
      <c r="D162" s="13"/>
      <c r="E162" s="14"/>
      <c r="F162" s="13"/>
    </row>
    <row r="163" customFormat="false" ht="15" hidden="false" customHeight="false" outlineLevel="0" collapsed="false">
      <c r="A163" s="11"/>
      <c r="B163" s="12"/>
      <c r="C163" s="13"/>
      <c r="D163" s="13"/>
      <c r="E163" s="14"/>
      <c r="F163" s="13"/>
    </row>
    <row r="164" customFormat="false" ht="15" hidden="false" customHeight="false" outlineLevel="0" collapsed="false">
      <c r="A164" s="11"/>
      <c r="B164" s="12"/>
      <c r="C164" s="13"/>
      <c r="D164" s="13"/>
      <c r="E164" s="14"/>
      <c r="F164" s="13"/>
    </row>
    <row r="165" customFormat="false" ht="15" hidden="false" customHeight="false" outlineLevel="0" collapsed="false">
      <c r="A165" s="11"/>
      <c r="B165" s="12"/>
      <c r="C165" s="13"/>
      <c r="D165" s="13"/>
      <c r="E165" s="14"/>
      <c r="F165" s="13"/>
    </row>
    <row r="166" customFormat="false" ht="15" hidden="false" customHeight="false" outlineLevel="0" collapsed="false">
      <c r="A166" s="11"/>
      <c r="B166" s="12"/>
      <c r="C166" s="13"/>
      <c r="D166" s="13"/>
      <c r="E166" s="14"/>
      <c r="F166" s="13"/>
    </row>
    <row r="167" customFormat="false" ht="15" hidden="false" customHeight="false" outlineLevel="0" collapsed="false">
      <c r="A167" s="11"/>
      <c r="B167" s="12"/>
      <c r="C167" s="13"/>
      <c r="D167" s="13"/>
      <c r="E167" s="14"/>
      <c r="F167" s="13"/>
    </row>
    <row r="168" customFormat="false" ht="15" hidden="false" customHeight="false" outlineLevel="0" collapsed="false">
      <c r="A168" s="11"/>
      <c r="B168" s="12"/>
      <c r="C168" s="13"/>
      <c r="D168" s="13"/>
      <c r="E168" s="14"/>
      <c r="F168" s="13"/>
    </row>
    <row r="169" customFormat="false" ht="15" hidden="false" customHeight="false" outlineLevel="0" collapsed="false">
      <c r="A169" s="11"/>
      <c r="B169" s="12"/>
      <c r="C169" s="13"/>
      <c r="D169" s="13"/>
      <c r="E169" s="14"/>
      <c r="F169" s="13"/>
    </row>
    <row r="170" customFormat="false" ht="15" hidden="false" customHeight="false" outlineLevel="0" collapsed="false">
      <c r="A170" s="11"/>
      <c r="B170" s="12"/>
      <c r="C170" s="13"/>
      <c r="D170" s="13"/>
      <c r="E170" s="14"/>
      <c r="F170" s="13"/>
    </row>
    <row r="171" customFormat="false" ht="15" hidden="false" customHeight="false" outlineLevel="0" collapsed="false">
      <c r="A171" s="11"/>
      <c r="B171" s="12"/>
      <c r="C171" s="13"/>
      <c r="D171" s="13"/>
      <c r="E171" s="14"/>
      <c r="F171" s="13"/>
    </row>
    <row r="172" customFormat="false" ht="15" hidden="false" customHeight="false" outlineLevel="0" collapsed="false">
      <c r="A172" s="11"/>
      <c r="B172" s="12"/>
      <c r="C172" s="13"/>
      <c r="D172" s="13"/>
      <c r="E172" s="14"/>
      <c r="F172" s="13"/>
    </row>
    <row r="173" customFormat="false" ht="15" hidden="false" customHeight="false" outlineLevel="0" collapsed="false">
      <c r="A173" s="11"/>
      <c r="B173" s="12"/>
      <c r="C173" s="13"/>
      <c r="D173" s="13"/>
      <c r="E173" s="14"/>
      <c r="F173" s="13"/>
    </row>
    <row r="174" customFormat="false" ht="15" hidden="false" customHeight="false" outlineLevel="0" collapsed="false">
      <c r="A174" s="11"/>
      <c r="B174" s="12"/>
      <c r="C174" s="13"/>
      <c r="D174" s="13"/>
      <c r="E174" s="14"/>
      <c r="F174" s="13"/>
    </row>
    <row r="175" customFormat="false" ht="15" hidden="false" customHeight="false" outlineLevel="0" collapsed="false">
      <c r="A175" s="11"/>
      <c r="B175" s="12"/>
      <c r="C175" s="13"/>
      <c r="D175" s="13"/>
      <c r="E175" s="14"/>
      <c r="F175" s="13"/>
    </row>
    <row r="176" customFormat="false" ht="15" hidden="false" customHeight="false" outlineLevel="0" collapsed="false">
      <c r="A176" s="11"/>
      <c r="B176" s="12"/>
      <c r="C176" s="13"/>
      <c r="D176" s="13"/>
      <c r="E176" s="14"/>
      <c r="F176" s="13"/>
    </row>
    <row r="177" customFormat="false" ht="15" hidden="false" customHeight="false" outlineLevel="0" collapsed="false">
      <c r="A177" s="11"/>
      <c r="B177" s="12"/>
      <c r="C177" s="13"/>
      <c r="D177" s="13"/>
      <c r="E177" s="14"/>
      <c r="F177" s="13"/>
    </row>
    <row r="178" customFormat="false" ht="15" hidden="false" customHeight="false" outlineLevel="0" collapsed="false">
      <c r="A178" s="11"/>
      <c r="B178" s="12"/>
      <c r="C178" s="13"/>
      <c r="D178" s="13"/>
      <c r="E178" s="14"/>
      <c r="F178" s="13"/>
    </row>
    <row r="179" customFormat="false" ht="15" hidden="false" customHeight="false" outlineLevel="0" collapsed="false">
      <c r="A179" s="11"/>
      <c r="B179" s="12"/>
      <c r="C179" s="13"/>
      <c r="D179" s="13"/>
      <c r="E179" s="14"/>
      <c r="F179" s="13"/>
    </row>
    <row r="180" customFormat="false" ht="15" hidden="false" customHeight="false" outlineLevel="0" collapsed="false">
      <c r="A180" s="11"/>
      <c r="B180" s="12"/>
      <c r="C180" s="13"/>
      <c r="D180" s="13"/>
      <c r="E180" s="14"/>
      <c r="F180" s="13"/>
    </row>
    <row r="181" customFormat="false" ht="15" hidden="false" customHeight="false" outlineLevel="0" collapsed="false">
      <c r="A181" s="11"/>
      <c r="B181" s="12"/>
      <c r="C181" s="13"/>
      <c r="D181" s="13"/>
      <c r="E181" s="14"/>
      <c r="F181" s="13"/>
    </row>
    <row r="182" customFormat="false" ht="15" hidden="false" customHeight="false" outlineLevel="0" collapsed="false">
      <c r="A182" s="11"/>
      <c r="B182" s="12"/>
      <c r="C182" s="13"/>
      <c r="D182" s="13"/>
      <c r="E182" s="14"/>
      <c r="F182" s="13"/>
    </row>
    <row r="183" customFormat="false" ht="15" hidden="false" customHeight="false" outlineLevel="0" collapsed="false">
      <c r="A183" s="11"/>
      <c r="B183" s="12"/>
      <c r="C183" s="13"/>
      <c r="D183" s="13"/>
      <c r="E183" s="14"/>
      <c r="F183" s="13"/>
    </row>
    <row r="184" customFormat="false" ht="15" hidden="false" customHeight="false" outlineLevel="0" collapsed="false">
      <c r="A184" s="11"/>
      <c r="B184" s="12"/>
      <c r="C184" s="13"/>
      <c r="D184" s="13"/>
      <c r="E184" s="14"/>
      <c r="F184" s="13"/>
    </row>
    <row r="185" customFormat="false" ht="15" hidden="false" customHeight="false" outlineLevel="0" collapsed="false">
      <c r="A185" s="11"/>
      <c r="B185" s="12"/>
      <c r="C185" s="13"/>
      <c r="D185" s="13"/>
      <c r="E185" s="14"/>
      <c r="F185" s="13"/>
    </row>
    <row r="186" customFormat="false" ht="15" hidden="false" customHeight="false" outlineLevel="0" collapsed="false">
      <c r="A186" s="11"/>
      <c r="B186" s="12"/>
      <c r="C186" s="13"/>
      <c r="D186" s="13"/>
      <c r="E186" s="14"/>
      <c r="F186" s="13"/>
    </row>
    <row r="187" customFormat="false" ht="15" hidden="false" customHeight="false" outlineLevel="0" collapsed="false">
      <c r="A187" s="11"/>
      <c r="B187" s="12"/>
      <c r="C187" s="13"/>
      <c r="D187" s="13"/>
      <c r="E187" s="14"/>
      <c r="F187" s="13"/>
    </row>
    <row r="188" customFormat="false" ht="15" hidden="false" customHeight="false" outlineLevel="0" collapsed="false">
      <c r="A188" s="11"/>
      <c r="B188" s="12"/>
      <c r="C188" s="13"/>
      <c r="D188" s="13"/>
      <c r="E188" s="14"/>
      <c r="F188" s="13"/>
    </row>
    <row r="189" customFormat="false" ht="15" hidden="false" customHeight="false" outlineLevel="0" collapsed="false">
      <c r="A189" s="11"/>
      <c r="B189" s="12"/>
      <c r="C189" s="13"/>
      <c r="D189" s="13"/>
      <c r="E189" s="14"/>
      <c r="F189" s="13"/>
    </row>
    <row r="190" customFormat="false" ht="15" hidden="false" customHeight="false" outlineLevel="0" collapsed="false">
      <c r="A190" s="11"/>
      <c r="B190" s="12"/>
      <c r="C190" s="13"/>
      <c r="D190" s="13"/>
      <c r="E190" s="14"/>
      <c r="F190" s="13"/>
    </row>
    <row r="191" customFormat="false" ht="15" hidden="false" customHeight="false" outlineLevel="0" collapsed="false">
      <c r="A191" s="11"/>
      <c r="B191" s="12"/>
      <c r="C191" s="13"/>
      <c r="D191" s="13"/>
      <c r="E191" s="14"/>
      <c r="F191" s="13"/>
    </row>
    <row r="192" customFormat="false" ht="15" hidden="false" customHeight="false" outlineLevel="0" collapsed="false">
      <c r="A192" s="11"/>
      <c r="B192" s="12"/>
      <c r="C192" s="13"/>
      <c r="D192" s="13"/>
      <c r="E192" s="14"/>
      <c r="F192" s="13"/>
    </row>
    <row r="193" customFormat="false" ht="15" hidden="false" customHeight="false" outlineLevel="0" collapsed="false">
      <c r="A193" s="11"/>
      <c r="B193" s="12"/>
      <c r="C193" s="13"/>
      <c r="D193" s="13"/>
      <c r="E193" s="14"/>
      <c r="F193" s="13"/>
    </row>
    <row r="194" customFormat="false" ht="15" hidden="false" customHeight="false" outlineLevel="0" collapsed="false">
      <c r="A194" s="11"/>
      <c r="B194" s="12"/>
      <c r="C194" s="13"/>
      <c r="D194" s="13"/>
      <c r="E194" s="14"/>
      <c r="F194" s="13"/>
    </row>
    <row r="195" customFormat="false" ht="15" hidden="false" customHeight="false" outlineLevel="0" collapsed="false">
      <c r="A195" s="11"/>
      <c r="B195" s="12"/>
      <c r="C195" s="13"/>
      <c r="D195" s="13"/>
      <c r="E195" s="14"/>
      <c r="F195" s="13"/>
    </row>
    <row r="196" customFormat="false" ht="15" hidden="false" customHeight="false" outlineLevel="0" collapsed="false">
      <c r="A196" s="11"/>
      <c r="B196" s="12"/>
      <c r="C196" s="13"/>
      <c r="D196" s="13"/>
      <c r="E196" s="14"/>
      <c r="F196" s="13"/>
    </row>
    <row r="197" customFormat="false" ht="15" hidden="false" customHeight="false" outlineLevel="0" collapsed="false">
      <c r="A197" s="11"/>
      <c r="B197" s="12"/>
      <c r="C197" s="13"/>
      <c r="D197" s="13"/>
      <c r="E197" s="14"/>
      <c r="F197" s="13"/>
    </row>
    <row r="198" customFormat="false" ht="15" hidden="false" customHeight="false" outlineLevel="0" collapsed="false">
      <c r="A198" s="11"/>
      <c r="B198" s="12"/>
      <c r="C198" s="13"/>
      <c r="D198" s="13"/>
      <c r="E198" s="14"/>
      <c r="F198" s="13"/>
    </row>
    <row r="199" customFormat="false" ht="15" hidden="false" customHeight="false" outlineLevel="0" collapsed="false">
      <c r="A199" s="11"/>
      <c r="B199" s="12"/>
      <c r="C199" s="13"/>
      <c r="D199" s="13"/>
      <c r="E199" s="14"/>
      <c r="F199" s="13"/>
    </row>
    <row r="200" customFormat="false" ht="15" hidden="false" customHeight="false" outlineLevel="0" collapsed="false">
      <c r="A200" s="11"/>
      <c r="B200" s="12"/>
      <c r="C200" s="13"/>
      <c r="D200" s="13"/>
      <c r="E200" s="14"/>
      <c r="F200" s="13"/>
    </row>
    <row r="201" customFormat="false" ht="15" hidden="false" customHeight="false" outlineLevel="0" collapsed="false">
      <c r="A201" s="11"/>
      <c r="B201" s="12"/>
      <c r="C201" s="13"/>
      <c r="D201" s="13"/>
      <c r="E201" s="14"/>
      <c r="F201" s="13"/>
    </row>
    <row r="202" customFormat="false" ht="15" hidden="false" customHeight="false" outlineLevel="0" collapsed="false">
      <c r="A202" s="11"/>
      <c r="B202" s="12"/>
      <c r="C202" s="13"/>
      <c r="D202" s="13"/>
      <c r="E202" s="14"/>
      <c r="F202" s="13"/>
    </row>
    <row r="203" customFormat="false" ht="15" hidden="false" customHeight="false" outlineLevel="0" collapsed="false">
      <c r="A203" s="11"/>
      <c r="B203" s="12"/>
      <c r="C203" s="13"/>
      <c r="D203" s="13"/>
      <c r="E203" s="14"/>
      <c r="F203" s="13"/>
    </row>
    <row r="204" customFormat="false" ht="15" hidden="false" customHeight="false" outlineLevel="0" collapsed="false">
      <c r="A204" s="11"/>
      <c r="B204" s="12"/>
      <c r="C204" s="13"/>
      <c r="D204" s="13"/>
      <c r="E204" s="14"/>
      <c r="F204" s="13"/>
    </row>
    <row r="205" customFormat="false" ht="15" hidden="false" customHeight="false" outlineLevel="0" collapsed="false">
      <c r="A205" s="11"/>
      <c r="B205" s="12"/>
      <c r="C205" s="13"/>
      <c r="D205" s="13"/>
      <c r="E205" s="14"/>
      <c r="F205" s="13"/>
    </row>
    <row r="206" customFormat="false" ht="15" hidden="false" customHeight="false" outlineLevel="0" collapsed="false">
      <c r="A206" s="11"/>
      <c r="B206" s="12"/>
      <c r="C206" s="13"/>
      <c r="D206" s="13"/>
      <c r="E206" s="14"/>
      <c r="F206" s="13"/>
    </row>
    <row r="207" customFormat="false" ht="15" hidden="false" customHeight="false" outlineLevel="0" collapsed="false">
      <c r="A207" s="11"/>
      <c r="B207" s="12"/>
      <c r="C207" s="13"/>
      <c r="D207" s="13"/>
      <c r="E207" s="14"/>
      <c r="F207" s="13"/>
    </row>
    <row r="208" customFormat="false" ht="15" hidden="false" customHeight="false" outlineLevel="0" collapsed="false">
      <c r="A208" s="11"/>
      <c r="B208" s="12"/>
      <c r="C208" s="13"/>
      <c r="D208" s="13"/>
      <c r="E208" s="14"/>
      <c r="F208" s="13"/>
    </row>
    <row r="209" customFormat="false" ht="15" hidden="false" customHeight="false" outlineLevel="0" collapsed="false">
      <c r="A209" s="11"/>
      <c r="B209" s="12"/>
      <c r="C209" s="13"/>
      <c r="D209" s="13"/>
      <c r="E209" s="14"/>
      <c r="F209" s="13"/>
    </row>
    <row r="210" customFormat="false" ht="15" hidden="false" customHeight="false" outlineLevel="0" collapsed="false">
      <c r="A210" s="11"/>
      <c r="B210" s="12"/>
      <c r="C210" s="13"/>
      <c r="D210" s="13"/>
      <c r="E210" s="14"/>
      <c r="F210" s="13"/>
    </row>
    <row r="211" customFormat="false" ht="15" hidden="false" customHeight="false" outlineLevel="0" collapsed="false">
      <c r="A211" s="11"/>
      <c r="B211" s="12"/>
      <c r="C211" s="13"/>
      <c r="D211" s="13"/>
      <c r="E211" s="14"/>
      <c r="F211" s="13"/>
    </row>
    <row r="212" customFormat="false" ht="15" hidden="false" customHeight="false" outlineLevel="0" collapsed="false">
      <c r="A212" s="11"/>
      <c r="B212" s="12"/>
      <c r="C212" s="13"/>
      <c r="D212" s="13"/>
      <c r="E212" s="14"/>
      <c r="F212" s="13"/>
    </row>
    <row r="213" customFormat="false" ht="15" hidden="false" customHeight="false" outlineLevel="0" collapsed="false">
      <c r="A213" s="11"/>
      <c r="B213" s="12"/>
      <c r="C213" s="13"/>
      <c r="D213" s="13"/>
      <c r="E213" s="14"/>
      <c r="F213" s="13"/>
    </row>
    <row r="214" customFormat="false" ht="15" hidden="false" customHeight="false" outlineLevel="0" collapsed="false">
      <c r="A214" s="11"/>
      <c r="B214" s="12"/>
      <c r="C214" s="13"/>
      <c r="D214" s="13"/>
      <c r="E214" s="14"/>
      <c r="F214" s="13"/>
    </row>
    <row r="215" customFormat="false" ht="15" hidden="false" customHeight="false" outlineLevel="0" collapsed="false">
      <c r="A215" s="11"/>
      <c r="B215" s="12"/>
      <c r="C215" s="13"/>
      <c r="D215" s="13"/>
      <c r="E215" s="14"/>
      <c r="F215" s="13"/>
    </row>
    <row r="216" customFormat="false" ht="15" hidden="false" customHeight="false" outlineLevel="0" collapsed="false">
      <c r="A216" s="11"/>
      <c r="B216" s="12"/>
      <c r="C216" s="13"/>
      <c r="D216" s="13"/>
      <c r="E216" s="14"/>
      <c r="F216" s="13"/>
    </row>
    <row r="217" customFormat="false" ht="15" hidden="false" customHeight="false" outlineLevel="0" collapsed="false">
      <c r="A217" s="11"/>
      <c r="B217" s="12"/>
      <c r="C217" s="13"/>
      <c r="D217" s="13"/>
      <c r="E217" s="14"/>
      <c r="F217" s="13"/>
    </row>
    <row r="218" customFormat="false" ht="15" hidden="false" customHeight="false" outlineLevel="0" collapsed="false">
      <c r="A218" s="11"/>
      <c r="B218" s="12"/>
      <c r="C218" s="13"/>
      <c r="D218" s="13"/>
      <c r="E218" s="14"/>
      <c r="F218" s="13"/>
    </row>
    <row r="219" customFormat="false" ht="15" hidden="false" customHeight="false" outlineLevel="0" collapsed="false">
      <c r="A219" s="11"/>
      <c r="B219" s="12"/>
      <c r="C219" s="13"/>
      <c r="D219" s="13"/>
      <c r="E219" s="14"/>
      <c r="F219" s="13"/>
    </row>
    <row r="220" customFormat="false" ht="15" hidden="false" customHeight="false" outlineLevel="0" collapsed="false">
      <c r="A220" s="11"/>
      <c r="B220" s="12"/>
      <c r="C220" s="13"/>
      <c r="D220" s="13"/>
      <c r="E220" s="14"/>
      <c r="F220" s="13"/>
    </row>
    <row r="221" customFormat="false" ht="15" hidden="false" customHeight="false" outlineLevel="0" collapsed="false">
      <c r="A221" s="11"/>
      <c r="B221" s="12"/>
      <c r="C221" s="13"/>
      <c r="D221" s="13"/>
      <c r="E221" s="14"/>
      <c r="F221" s="13"/>
    </row>
    <row r="222" customFormat="false" ht="15" hidden="false" customHeight="false" outlineLevel="0" collapsed="false">
      <c r="A222" s="11"/>
      <c r="B222" s="12"/>
      <c r="C222" s="13"/>
      <c r="D222" s="13"/>
      <c r="E222" s="14"/>
      <c r="F222" s="13"/>
    </row>
    <row r="223" customFormat="false" ht="15" hidden="false" customHeight="false" outlineLevel="0" collapsed="false">
      <c r="A223" s="11"/>
      <c r="B223" s="12"/>
      <c r="C223" s="13"/>
      <c r="D223" s="13"/>
      <c r="E223" s="14"/>
      <c r="F223" s="13"/>
    </row>
    <row r="224" customFormat="false" ht="15" hidden="false" customHeight="false" outlineLevel="0" collapsed="false">
      <c r="A224" s="11"/>
      <c r="B224" s="12"/>
      <c r="C224" s="13"/>
      <c r="D224" s="13"/>
      <c r="E224" s="14"/>
      <c r="F224" s="13"/>
    </row>
    <row r="225" customFormat="false" ht="15" hidden="false" customHeight="false" outlineLevel="0" collapsed="false">
      <c r="A225" s="11"/>
      <c r="B225" s="12"/>
      <c r="C225" s="13"/>
      <c r="D225" s="13"/>
      <c r="E225" s="14"/>
      <c r="F225" s="13"/>
    </row>
    <row r="226" customFormat="false" ht="15" hidden="false" customHeight="false" outlineLevel="0" collapsed="false">
      <c r="A226" s="11"/>
      <c r="B226" s="12"/>
      <c r="C226" s="13"/>
      <c r="D226" s="13"/>
      <c r="E226" s="14"/>
      <c r="F226" s="13"/>
    </row>
    <row r="227" customFormat="false" ht="15" hidden="false" customHeight="false" outlineLevel="0" collapsed="false">
      <c r="A227" s="11"/>
      <c r="B227" s="12"/>
      <c r="C227" s="13"/>
      <c r="D227" s="13"/>
      <c r="E227" s="14"/>
      <c r="F227" s="13"/>
    </row>
    <row r="228" customFormat="false" ht="15" hidden="false" customHeight="false" outlineLevel="0" collapsed="false">
      <c r="A228" s="11"/>
      <c r="B228" s="12"/>
      <c r="C228" s="13"/>
      <c r="D228" s="13"/>
      <c r="E228" s="14"/>
      <c r="F228" s="13"/>
    </row>
    <row r="229" customFormat="false" ht="15" hidden="false" customHeight="false" outlineLevel="0" collapsed="false">
      <c r="A229" s="11"/>
      <c r="B229" s="12"/>
      <c r="C229" s="13"/>
      <c r="D229" s="13"/>
      <c r="E229" s="14"/>
      <c r="F229" s="13"/>
    </row>
    <row r="230" customFormat="false" ht="15" hidden="false" customHeight="false" outlineLevel="0" collapsed="false">
      <c r="A230" s="11"/>
      <c r="B230" s="12"/>
      <c r="C230" s="13"/>
      <c r="D230" s="13"/>
      <c r="E230" s="14"/>
      <c r="F230" s="13"/>
    </row>
    <row r="231" customFormat="false" ht="15" hidden="false" customHeight="false" outlineLevel="0" collapsed="false">
      <c r="A231" s="11"/>
      <c r="B231" s="12"/>
      <c r="C231" s="13"/>
      <c r="D231" s="13"/>
      <c r="E231" s="14"/>
      <c r="F231" s="13"/>
    </row>
    <row r="232" customFormat="false" ht="15" hidden="false" customHeight="false" outlineLevel="0" collapsed="false">
      <c r="A232" s="11"/>
      <c r="B232" s="12"/>
      <c r="C232" s="13"/>
      <c r="D232" s="13"/>
      <c r="E232" s="14"/>
      <c r="F232" s="13"/>
    </row>
    <row r="233" customFormat="false" ht="15" hidden="false" customHeight="false" outlineLevel="0" collapsed="false">
      <c r="A233" s="11"/>
      <c r="B233" s="12"/>
      <c r="C233" s="13"/>
      <c r="D233" s="13"/>
      <c r="E233" s="14"/>
      <c r="F233" s="13"/>
    </row>
    <row r="234" customFormat="false" ht="15" hidden="false" customHeight="false" outlineLevel="0" collapsed="false">
      <c r="A234" s="11"/>
      <c r="B234" s="12"/>
      <c r="C234" s="13"/>
      <c r="D234" s="13"/>
      <c r="E234" s="14"/>
      <c r="F234" s="13"/>
    </row>
    <row r="235" customFormat="false" ht="15" hidden="false" customHeight="false" outlineLevel="0" collapsed="false">
      <c r="A235" s="11"/>
      <c r="B235" s="12"/>
      <c r="C235" s="13"/>
      <c r="D235" s="13"/>
      <c r="E235" s="14"/>
      <c r="F235" s="13"/>
    </row>
    <row r="236" customFormat="false" ht="15" hidden="false" customHeight="false" outlineLevel="0" collapsed="false">
      <c r="A236" s="11"/>
      <c r="B236" s="12"/>
      <c r="C236" s="13"/>
      <c r="D236" s="13"/>
      <c r="E236" s="14"/>
      <c r="F236" s="13"/>
    </row>
    <row r="237" customFormat="false" ht="15" hidden="false" customHeight="false" outlineLevel="0" collapsed="false">
      <c r="A237" s="11"/>
      <c r="B237" s="12"/>
      <c r="C237" s="13"/>
      <c r="D237" s="13"/>
      <c r="E237" s="14"/>
      <c r="F237" s="13"/>
    </row>
    <row r="238" customFormat="false" ht="15" hidden="false" customHeight="false" outlineLevel="0" collapsed="false">
      <c r="A238" s="11"/>
      <c r="B238" s="12"/>
      <c r="C238" s="13"/>
      <c r="D238" s="13"/>
      <c r="E238" s="14"/>
      <c r="F238" s="13"/>
    </row>
    <row r="239" customFormat="false" ht="15" hidden="false" customHeight="false" outlineLevel="0" collapsed="false">
      <c r="A239" s="11"/>
      <c r="B239" s="12"/>
      <c r="C239" s="13"/>
      <c r="D239" s="13"/>
      <c r="E239" s="14"/>
      <c r="F239" s="13"/>
    </row>
    <row r="240" customFormat="false" ht="15" hidden="false" customHeight="false" outlineLevel="0" collapsed="false">
      <c r="A240" s="11"/>
      <c r="B240" s="12"/>
      <c r="C240" s="13"/>
      <c r="D240" s="13"/>
      <c r="E240" s="14"/>
      <c r="F240" s="13"/>
    </row>
    <row r="241" customFormat="false" ht="15" hidden="false" customHeight="false" outlineLevel="0" collapsed="false">
      <c r="A241" s="11"/>
      <c r="B241" s="12"/>
      <c r="C241" s="13"/>
      <c r="D241" s="13"/>
      <c r="E241" s="14"/>
      <c r="F241" s="13"/>
    </row>
    <row r="242" customFormat="false" ht="15" hidden="false" customHeight="false" outlineLevel="0" collapsed="false">
      <c r="A242" s="11"/>
      <c r="B242" s="12"/>
      <c r="C242" s="13"/>
      <c r="D242" s="13"/>
      <c r="E242" s="14"/>
      <c r="F242" s="13"/>
    </row>
    <row r="243" customFormat="false" ht="15" hidden="false" customHeight="false" outlineLevel="0" collapsed="false">
      <c r="A243" s="11"/>
      <c r="B243" s="12"/>
      <c r="C243" s="13"/>
      <c r="D243" s="13"/>
      <c r="E243" s="14"/>
      <c r="F243" s="13"/>
    </row>
    <row r="244" customFormat="false" ht="15" hidden="false" customHeight="false" outlineLevel="0" collapsed="false">
      <c r="A244" s="11"/>
      <c r="B244" s="12"/>
      <c r="C244" s="13"/>
      <c r="D244" s="13"/>
      <c r="E244" s="14"/>
      <c r="F244" s="13"/>
    </row>
    <row r="245" customFormat="false" ht="15" hidden="false" customHeight="false" outlineLevel="0" collapsed="false">
      <c r="A245" s="11"/>
      <c r="B245" s="12"/>
      <c r="C245" s="13"/>
      <c r="D245" s="13"/>
      <c r="E245" s="14"/>
      <c r="F245" s="13"/>
    </row>
    <row r="246" customFormat="false" ht="15" hidden="false" customHeight="false" outlineLevel="0" collapsed="false">
      <c r="A246" s="11"/>
      <c r="B246" s="12"/>
      <c r="C246" s="13"/>
      <c r="D246" s="13"/>
      <c r="E246" s="14"/>
      <c r="F246" s="13"/>
    </row>
    <row r="247" customFormat="false" ht="15" hidden="false" customHeight="false" outlineLevel="0" collapsed="false">
      <c r="A247" s="11"/>
      <c r="B247" s="12"/>
      <c r="C247" s="13"/>
      <c r="D247" s="13"/>
      <c r="E247" s="14"/>
      <c r="F247" s="13"/>
    </row>
    <row r="248" customFormat="false" ht="15" hidden="false" customHeight="false" outlineLevel="0" collapsed="false">
      <c r="A248" s="11"/>
      <c r="B248" s="12"/>
      <c r="C248" s="13"/>
      <c r="D248" s="13"/>
      <c r="E248" s="14"/>
      <c r="F248" s="13"/>
    </row>
    <row r="249" customFormat="false" ht="15" hidden="false" customHeight="false" outlineLevel="0" collapsed="false">
      <c r="A249" s="11"/>
      <c r="B249" s="12"/>
      <c r="C249" s="13"/>
      <c r="D249" s="13"/>
      <c r="E249" s="14"/>
      <c r="F249" s="13"/>
    </row>
    <row r="250" customFormat="false" ht="15" hidden="false" customHeight="false" outlineLevel="0" collapsed="false">
      <c r="A250" s="11"/>
      <c r="B250" s="12"/>
      <c r="C250" s="13"/>
      <c r="D250" s="13"/>
      <c r="E250" s="14"/>
      <c r="F250" s="13"/>
    </row>
    <row r="251" customFormat="false" ht="15" hidden="false" customHeight="false" outlineLevel="0" collapsed="false">
      <c r="A251" s="11"/>
      <c r="B251" s="12"/>
      <c r="C251" s="13"/>
      <c r="D251" s="13"/>
      <c r="E251" s="14"/>
      <c r="F251" s="13"/>
    </row>
    <row r="252" customFormat="false" ht="15" hidden="false" customHeight="false" outlineLevel="0" collapsed="false">
      <c r="A252" s="11"/>
      <c r="B252" s="12"/>
      <c r="C252" s="13"/>
      <c r="D252" s="13"/>
      <c r="E252" s="14"/>
      <c r="F252" s="13"/>
    </row>
    <row r="253" customFormat="false" ht="15" hidden="false" customHeight="false" outlineLevel="0" collapsed="false">
      <c r="A253" s="11"/>
      <c r="B253" s="12"/>
      <c r="C253" s="13"/>
      <c r="D253" s="13"/>
      <c r="E253" s="14"/>
      <c r="F253" s="13"/>
    </row>
    <row r="254" customFormat="false" ht="15" hidden="false" customHeight="false" outlineLevel="0" collapsed="false">
      <c r="A254" s="11"/>
      <c r="B254" s="12"/>
      <c r="C254" s="13"/>
      <c r="D254" s="13"/>
      <c r="E254" s="14"/>
      <c r="F254" s="13"/>
    </row>
    <row r="255" customFormat="false" ht="15" hidden="false" customHeight="false" outlineLevel="0" collapsed="false">
      <c r="A255" s="11"/>
      <c r="B255" s="12"/>
      <c r="C255" s="13"/>
      <c r="D255" s="13"/>
      <c r="E255" s="14"/>
      <c r="F255" s="13"/>
    </row>
    <row r="256" customFormat="false" ht="15" hidden="false" customHeight="false" outlineLevel="0" collapsed="false">
      <c r="A256" s="11"/>
      <c r="B256" s="12"/>
      <c r="C256" s="13"/>
      <c r="D256" s="13"/>
      <c r="E256" s="14"/>
      <c r="F256" s="13"/>
    </row>
    <row r="257" customFormat="false" ht="15" hidden="false" customHeight="false" outlineLevel="0" collapsed="false">
      <c r="A257" s="11"/>
      <c r="B257" s="12"/>
      <c r="C257" s="13"/>
      <c r="D257" s="13"/>
      <c r="E257" s="14"/>
      <c r="F257" s="13"/>
    </row>
    <row r="258" customFormat="false" ht="15" hidden="false" customHeight="false" outlineLevel="0" collapsed="false">
      <c r="A258" s="11"/>
      <c r="B258" s="12"/>
      <c r="C258" s="13"/>
      <c r="D258" s="13"/>
      <c r="E258" s="14"/>
      <c r="F258" s="13"/>
    </row>
    <row r="259" customFormat="false" ht="15" hidden="false" customHeight="false" outlineLevel="0" collapsed="false">
      <c r="A259" s="11"/>
      <c r="B259" s="12"/>
      <c r="C259" s="13"/>
      <c r="D259" s="13"/>
      <c r="E259" s="14"/>
      <c r="F259" s="13"/>
    </row>
    <row r="260" customFormat="false" ht="15" hidden="false" customHeight="false" outlineLevel="0" collapsed="false">
      <c r="A260" s="11"/>
      <c r="B260" s="12"/>
      <c r="C260" s="13"/>
      <c r="D260" s="13"/>
      <c r="E260" s="14"/>
      <c r="F260" s="13"/>
    </row>
    <row r="261" customFormat="false" ht="15" hidden="false" customHeight="false" outlineLevel="0" collapsed="false">
      <c r="A261" s="11"/>
      <c r="B261" s="12"/>
      <c r="C261" s="13"/>
      <c r="D261" s="13"/>
      <c r="E261" s="14"/>
      <c r="F261" s="13"/>
    </row>
    <row r="262" customFormat="false" ht="15" hidden="false" customHeight="false" outlineLevel="0" collapsed="false">
      <c r="A262" s="11"/>
      <c r="B262" s="12"/>
      <c r="C262" s="13"/>
      <c r="D262" s="13"/>
      <c r="E262" s="14"/>
      <c r="F262" s="13"/>
    </row>
    <row r="263" customFormat="false" ht="15" hidden="false" customHeight="false" outlineLevel="0" collapsed="false">
      <c r="A263" s="11"/>
      <c r="B263" s="12"/>
      <c r="C263" s="13"/>
      <c r="D263" s="13"/>
      <c r="E263" s="14"/>
      <c r="F263" s="13"/>
    </row>
    <row r="264" customFormat="false" ht="15" hidden="false" customHeight="false" outlineLevel="0" collapsed="false">
      <c r="A264" s="11"/>
      <c r="B264" s="12"/>
      <c r="C264" s="13"/>
      <c r="D264" s="13"/>
      <c r="E264" s="14"/>
      <c r="F264" s="13"/>
    </row>
    <row r="265" customFormat="false" ht="15" hidden="false" customHeight="false" outlineLevel="0" collapsed="false">
      <c r="A265" s="11"/>
      <c r="B265" s="12"/>
      <c r="C265" s="13"/>
      <c r="D265" s="13"/>
      <c r="E265" s="14"/>
      <c r="F265" s="13"/>
    </row>
    <row r="266" customFormat="false" ht="15" hidden="false" customHeight="false" outlineLevel="0" collapsed="false">
      <c r="A266" s="11"/>
      <c r="B266" s="12"/>
      <c r="C266" s="13"/>
      <c r="D266" s="13"/>
      <c r="E266" s="14"/>
      <c r="F266" s="13"/>
    </row>
    <row r="267" customFormat="false" ht="15" hidden="false" customHeight="false" outlineLevel="0" collapsed="false">
      <c r="A267" s="11"/>
      <c r="B267" s="12"/>
      <c r="C267" s="13"/>
      <c r="D267" s="13"/>
      <c r="E267" s="14"/>
      <c r="F267" s="13"/>
    </row>
    <row r="268" customFormat="false" ht="15" hidden="false" customHeight="false" outlineLevel="0" collapsed="false">
      <c r="A268" s="11"/>
      <c r="B268" s="12"/>
      <c r="C268" s="13"/>
      <c r="D268" s="13"/>
      <c r="E268" s="14"/>
      <c r="F268" s="13"/>
    </row>
    <row r="269" customFormat="false" ht="15" hidden="false" customHeight="false" outlineLevel="0" collapsed="false">
      <c r="A269" s="11"/>
      <c r="B269" s="12"/>
      <c r="C269" s="13"/>
      <c r="D269" s="13"/>
      <c r="E269" s="14"/>
      <c r="F269" s="13"/>
    </row>
    <row r="270" customFormat="false" ht="15" hidden="false" customHeight="false" outlineLevel="0" collapsed="false">
      <c r="A270" s="11"/>
      <c r="B270" s="12"/>
      <c r="C270" s="13"/>
      <c r="D270" s="13"/>
      <c r="E270" s="14"/>
      <c r="F270" s="13"/>
    </row>
    <row r="271" customFormat="false" ht="15" hidden="false" customHeight="false" outlineLevel="0" collapsed="false">
      <c r="A271" s="11"/>
      <c r="B271" s="12"/>
      <c r="C271" s="13"/>
      <c r="D271" s="13"/>
      <c r="E271" s="14"/>
      <c r="F271" s="13"/>
    </row>
    <row r="272" customFormat="false" ht="15" hidden="false" customHeight="false" outlineLevel="0" collapsed="false">
      <c r="A272" s="11"/>
      <c r="B272" s="12"/>
      <c r="C272" s="13"/>
      <c r="D272" s="13"/>
      <c r="E272" s="14"/>
      <c r="F272" s="13"/>
    </row>
    <row r="273" customFormat="false" ht="15" hidden="false" customHeight="false" outlineLevel="0" collapsed="false">
      <c r="A273" s="11"/>
      <c r="B273" s="12"/>
      <c r="C273" s="13"/>
      <c r="D273" s="13"/>
      <c r="E273" s="14"/>
      <c r="F273" s="13"/>
    </row>
    <row r="274" customFormat="false" ht="15" hidden="false" customHeight="false" outlineLevel="0" collapsed="false">
      <c r="A274" s="11"/>
      <c r="B274" s="12"/>
      <c r="C274" s="13"/>
      <c r="D274" s="13"/>
      <c r="E274" s="14"/>
      <c r="F274" s="13"/>
    </row>
    <row r="275" customFormat="false" ht="15" hidden="false" customHeight="false" outlineLevel="0" collapsed="false">
      <c r="A275" s="11"/>
      <c r="B275" s="12"/>
      <c r="C275" s="13"/>
      <c r="D275" s="13"/>
      <c r="E275" s="14"/>
      <c r="F275" s="13"/>
    </row>
    <row r="276" customFormat="false" ht="15" hidden="false" customHeight="false" outlineLevel="0" collapsed="false">
      <c r="A276" s="11"/>
      <c r="B276" s="12"/>
      <c r="C276" s="13"/>
      <c r="D276" s="13"/>
      <c r="E276" s="14"/>
      <c r="F276" s="13"/>
    </row>
    <row r="277" customFormat="false" ht="15" hidden="false" customHeight="false" outlineLevel="0" collapsed="false">
      <c r="A277" s="11"/>
      <c r="B277" s="12"/>
      <c r="C277" s="13"/>
      <c r="D277" s="13"/>
      <c r="E277" s="14"/>
      <c r="F277" s="13"/>
    </row>
    <row r="278" customFormat="false" ht="15" hidden="false" customHeight="false" outlineLevel="0" collapsed="false">
      <c r="A278" s="11"/>
      <c r="B278" s="12"/>
      <c r="C278" s="13"/>
      <c r="D278" s="13"/>
      <c r="E278" s="14"/>
      <c r="F278" s="13"/>
    </row>
    <row r="279" customFormat="false" ht="15" hidden="false" customHeight="false" outlineLevel="0" collapsed="false">
      <c r="A279" s="11"/>
      <c r="B279" s="12"/>
      <c r="C279" s="13"/>
      <c r="D279" s="13"/>
      <c r="E279" s="14"/>
      <c r="F279" s="13"/>
    </row>
    <row r="280" customFormat="false" ht="15" hidden="false" customHeight="false" outlineLevel="0" collapsed="false">
      <c r="A280" s="11"/>
      <c r="B280" s="12"/>
      <c r="C280" s="13"/>
      <c r="D280" s="13"/>
      <c r="E280" s="14"/>
      <c r="F280" s="13"/>
    </row>
    <row r="281" customFormat="false" ht="15" hidden="false" customHeight="false" outlineLevel="0" collapsed="false">
      <c r="A281" s="11"/>
      <c r="B281" s="12"/>
      <c r="C281" s="13"/>
      <c r="D281" s="13"/>
      <c r="E281" s="14"/>
      <c r="F281" s="13"/>
    </row>
    <row r="282" customFormat="false" ht="15" hidden="false" customHeight="false" outlineLevel="0" collapsed="false">
      <c r="A282" s="11"/>
      <c r="B282" s="12"/>
      <c r="C282" s="13"/>
      <c r="D282" s="13"/>
      <c r="E282" s="14"/>
      <c r="F282" s="13"/>
    </row>
    <row r="283" customFormat="false" ht="15" hidden="false" customHeight="false" outlineLevel="0" collapsed="false">
      <c r="A283" s="11"/>
      <c r="B283" s="12"/>
      <c r="C283" s="13"/>
      <c r="D283" s="13"/>
      <c r="E283" s="14"/>
      <c r="F283" s="13"/>
    </row>
    <row r="284" customFormat="false" ht="15" hidden="false" customHeight="false" outlineLevel="0" collapsed="false">
      <c r="A284" s="11"/>
      <c r="B284" s="12"/>
      <c r="C284" s="13"/>
      <c r="D284" s="13"/>
      <c r="E284" s="14"/>
      <c r="F284" s="13"/>
    </row>
    <row r="285" customFormat="false" ht="15" hidden="false" customHeight="false" outlineLevel="0" collapsed="false">
      <c r="A285" s="11"/>
      <c r="B285" s="12"/>
      <c r="C285" s="13"/>
      <c r="D285" s="13"/>
      <c r="E285" s="14"/>
      <c r="F285" s="13"/>
    </row>
    <row r="286" customFormat="false" ht="15" hidden="false" customHeight="false" outlineLevel="0" collapsed="false">
      <c r="A286" s="11"/>
      <c r="B286" s="12"/>
      <c r="C286" s="13"/>
      <c r="D286" s="13"/>
      <c r="E286" s="14"/>
      <c r="F286" s="13"/>
    </row>
    <row r="287" customFormat="false" ht="15" hidden="false" customHeight="false" outlineLevel="0" collapsed="false">
      <c r="A287" s="11"/>
      <c r="B287" s="12"/>
      <c r="C287" s="13"/>
      <c r="D287" s="13"/>
      <c r="E287" s="14"/>
      <c r="F287" s="13"/>
    </row>
    <row r="288" customFormat="false" ht="15" hidden="false" customHeight="false" outlineLevel="0" collapsed="false">
      <c r="A288" s="11"/>
      <c r="B288" s="12"/>
      <c r="C288" s="13"/>
      <c r="D288" s="13"/>
      <c r="E288" s="14"/>
      <c r="F288" s="13"/>
    </row>
    <row r="289" customFormat="false" ht="15" hidden="false" customHeight="false" outlineLevel="0" collapsed="false">
      <c r="A289" s="11"/>
      <c r="B289" s="12"/>
      <c r="C289" s="13"/>
      <c r="D289" s="13"/>
      <c r="E289" s="14"/>
      <c r="F289" s="13"/>
    </row>
    <row r="290" customFormat="false" ht="15" hidden="false" customHeight="false" outlineLevel="0" collapsed="false">
      <c r="A290" s="11"/>
      <c r="B290" s="12"/>
      <c r="C290" s="13"/>
      <c r="D290" s="13"/>
      <c r="E290" s="14"/>
      <c r="F290" s="13"/>
    </row>
    <row r="291" customFormat="false" ht="15" hidden="false" customHeight="false" outlineLevel="0" collapsed="false">
      <c r="A291" s="11"/>
      <c r="B291" s="12"/>
      <c r="C291" s="13"/>
      <c r="D291" s="13"/>
      <c r="E291" s="14"/>
      <c r="F291" s="13"/>
    </row>
    <row r="292" customFormat="false" ht="15" hidden="false" customHeight="false" outlineLevel="0" collapsed="false">
      <c r="A292" s="11"/>
      <c r="B292" s="12"/>
      <c r="C292" s="13"/>
      <c r="D292" s="13"/>
      <c r="E292" s="14"/>
      <c r="F292" s="13"/>
    </row>
    <row r="293" customFormat="false" ht="15" hidden="false" customHeight="false" outlineLevel="0" collapsed="false">
      <c r="A293" s="11"/>
      <c r="B293" s="12"/>
      <c r="C293" s="13"/>
      <c r="D293" s="13"/>
      <c r="E293" s="14"/>
      <c r="F293" s="13"/>
    </row>
    <row r="294" customFormat="false" ht="15" hidden="false" customHeight="false" outlineLevel="0" collapsed="false">
      <c r="A294" s="11"/>
      <c r="B294" s="12"/>
      <c r="C294" s="13"/>
      <c r="D294" s="13"/>
      <c r="E294" s="14"/>
      <c r="F294" s="13"/>
    </row>
    <row r="295" customFormat="false" ht="15" hidden="false" customHeight="false" outlineLevel="0" collapsed="false">
      <c r="A295" s="11"/>
      <c r="B295" s="12"/>
      <c r="C295" s="13"/>
      <c r="D295" s="13"/>
      <c r="E295" s="14"/>
      <c r="F295" s="13"/>
    </row>
    <row r="296" customFormat="false" ht="15" hidden="false" customHeight="false" outlineLevel="0" collapsed="false">
      <c r="A296" s="11"/>
      <c r="B296" s="12"/>
      <c r="C296" s="13"/>
      <c r="D296" s="13"/>
      <c r="E296" s="14"/>
      <c r="F296" s="13"/>
    </row>
    <row r="297" customFormat="false" ht="15" hidden="false" customHeight="false" outlineLevel="0" collapsed="false">
      <c r="A297" s="11"/>
      <c r="B297" s="12"/>
      <c r="C297" s="13"/>
      <c r="D297" s="13"/>
      <c r="E297" s="14"/>
      <c r="F297" s="13"/>
    </row>
    <row r="298" customFormat="false" ht="15" hidden="false" customHeight="false" outlineLevel="0" collapsed="false">
      <c r="A298" s="11"/>
      <c r="B298" s="12"/>
      <c r="C298" s="13"/>
      <c r="D298" s="13"/>
      <c r="E298" s="14"/>
      <c r="F298" s="13"/>
    </row>
    <row r="299" customFormat="false" ht="15" hidden="false" customHeight="false" outlineLevel="0" collapsed="false">
      <c r="A299" s="11"/>
      <c r="B299" s="12"/>
      <c r="C299" s="13"/>
      <c r="D299" s="13"/>
      <c r="E299" s="14"/>
      <c r="F299" s="13"/>
    </row>
    <row r="300" customFormat="false" ht="15" hidden="false" customHeight="false" outlineLevel="0" collapsed="false">
      <c r="A300" s="11"/>
      <c r="B300" s="12"/>
      <c r="C300" s="13"/>
      <c r="D300" s="13"/>
      <c r="E300" s="14"/>
      <c r="F300" s="13"/>
    </row>
    <row r="301" customFormat="false" ht="15" hidden="false" customHeight="false" outlineLevel="0" collapsed="false">
      <c r="A301" s="11"/>
      <c r="B301" s="12"/>
      <c r="C301" s="13"/>
      <c r="D301" s="13"/>
      <c r="E301" s="14"/>
      <c r="F301" s="13"/>
    </row>
    <row r="302" customFormat="false" ht="15" hidden="false" customHeight="false" outlineLevel="0" collapsed="false">
      <c r="A302" s="11"/>
      <c r="B302" s="12"/>
      <c r="C302" s="13"/>
      <c r="D302" s="13"/>
      <c r="E302" s="14"/>
      <c r="F302" s="13"/>
    </row>
    <row r="303" customFormat="false" ht="15" hidden="false" customHeight="false" outlineLevel="0" collapsed="false">
      <c r="A303" s="11"/>
      <c r="B303" s="12"/>
      <c r="C303" s="13"/>
      <c r="D303" s="13"/>
      <c r="E303" s="14"/>
      <c r="F303" s="13"/>
    </row>
    <row r="304" customFormat="false" ht="15" hidden="false" customHeight="false" outlineLevel="0" collapsed="false">
      <c r="A304" s="11"/>
      <c r="B304" s="12"/>
      <c r="C304" s="13"/>
      <c r="D304" s="13"/>
      <c r="E304" s="14"/>
      <c r="F304" s="13"/>
    </row>
    <row r="305" customFormat="false" ht="15" hidden="false" customHeight="false" outlineLevel="0" collapsed="false">
      <c r="A305" s="11"/>
      <c r="B305" s="12"/>
      <c r="C305" s="13"/>
      <c r="D305" s="13"/>
      <c r="E305" s="14"/>
      <c r="F305" s="13"/>
    </row>
    <row r="306" customFormat="false" ht="15" hidden="false" customHeight="false" outlineLevel="0" collapsed="false">
      <c r="A306" s="11"/>
      <c r="B306" s="12"/>
      <c r="C306" s="13"/>
      <c r="D306" s="13"/>
      <c r="E306" s="14"/>
      <c r="F306" s="13"/>
    </row>
    <row r="307" customFormat="false" ht="15" hidden="false" customHeight="false" outlineLevel="0" collapsed="false">
      <c r="A307" s="11"/>
      <c r="B307" s="12"/>
      <c r="C307" s="13"/>
      <c r="D307" s="13"/>
      <c r="E307" s="14"/>
      <c r="F307" s="13"/>
    </row>
    <row r="308" customFormat="false" ht="15" hidden="false" customHeight="false" outlineLevel="0" collapsed="false">
      <c r="A308" s="11"/>
      <c r="B308" s="12"/>
      <c r="C308" s="13"/>
      <c r="D308" s="13"/>
      <c r="E308" s="14"/>
      <c r="F308" s="13"/>
    </row>
    <row r="309" customFormat="false" ht="15" hidden="false" customHeight="false" outlineLevel="0" collapsed="false">
      <c r="A309" s="11"/>
      <c r="B309" s="12"/>
      <c r="C309" s="13"/>
      <c r="D309" s="13"/>
      <c r="E309" s="14"/>
      <c r="F309" s="13"/>
    </row>
    <row r="310" customFormat="false" ht="15" hidden="false" customHeight="false" outlineLevel="0" collapsed="false">
      <c r="A310" s="11"/>
      <c r="B310" s="12"/>
      <c r="C310" s="13"/>
      <c r="D310" s="13"/>
      <c r="E310" s="14"/>
      <c r="F310" s="13"/>
    </row>
    <row r="311" customFormat="false" ht="15" hidden="false" customHeight="false" outlineLevel="0" collapsed="false">
      <c r="A311" s="11"/>
      <c r="B311" s="12"/>
      <c r="C311" s="13"/>
      <c r="D311" s="13"/>
      <c r="E311" s="14"/>
      <c r="F311" s="13"/>
    </row>
    <row r="312" customFormat="false" ht="15" hidden="false" customHeight="false" outlineLevel="0" collapsed="false">
      <c r="A312" s="11"/>
      <c r="B312" s="12"/>
      <c r="C312" s="13"/>
      <c r="D312" s="13"/>
      <c r="E312" s="14"/>
      <c r="F312" s="13"/>
    </row>
    <row r="313" customFormat="false" ht="15" hidden="false" customHeight="false" outlineLevel="0" collapsed="false">
      <c r="A313" s="11"/>
      <c r="B313" s="12"/>
      <c r="C313" s="13"/>
      <c r="D313" s="13"/>
      <c r="E313" s="14"/>
      <c r="F313" s="13"/>
    </row>
    <row r="314" customFormat="false" ht="15" hidden="false" customHeight="false" outlineLevel="0" collapsed="false">
      <c r="A314" s="11"/>
      <c r="B314" s="12"/>
      <c r="C314" s="13"/>
      <c r="D314" s="13"/>
      <c r="E314" s="14"/>
      <c r="F314" s="13"/>
    </row>
    <row r="315" customFormat="false" ht="15" hidden="false" customHeight="false" outlineLevel="0" collapsed="false">
      <c r="A315" s="11"/>
      <c r="B315" s="12"/>
      <c r="C315" s="13"/>
      <c r="D315" s="13"/>
      <c r="E315" s="14"/>
      <c r="F315" s="13"/>
    </row>
    <row r="316" customFormat="false" ht="15" hidden="false" customHeight="false" outlineLevel="0" collapsed="false">
      <c r="A316" s="11"/>
      <c r="B316" s="12"/>
      <c r="C316" s="13"/>
      <c r="D316" s="13"/>
      <c r="E316" s="14"/>
      <c r="F316" s="13"/>
    </row>
    <row r="317" customFormat="false" ht="15" hidden="false" customHeight="false" outlineLevel="0" collapsed="false">
      <c r="A317" s="11"/>
      <c r="B317" s="12"/>
      <c r="C317" s="13"/>
      <c r="D317" s="13"/>
      <c r="E317" s="14"/>
      <c r="F317" s="13"/>
    </row>
    <row r="318" customFormat="false" ht="15" hidden="false" customHeight="false" outlineLevel="0" collapsed="false">
      <c r="A318" s="11"/>
      <c r="B318" s="12"/>
      <c r="C318" s="13"/>
      <c r="D318" s="13"/>
      <c r="E318" s="14"/>
      <c r="F318" s="13"/>
    </row>
    <row r="319" customFormat="false" ht="15" hidden="false" customHeight="false" outlineLevel="0" collapsed="false">
      <c r="A319" s="11"/>
      <c r="B319" s="12"/>
      <c r="C319" s="13"/>
      <c r="D319" s="13"/>
      <c r="E319" s="14"/>
      <c r="F319" s="13"/>
    </row>
    <row r="320" customFormat="false" ht="15" hidden="false" customHeight="false" outlineLevel="0" collapsed="false">
      <c r="A320" s="11"/>
      <c r="B320" s="12"/>
      <c r="C320" s="13"/>
      <c r="D320" s="13"/>
      <c r="E320" s="14"/>
      <c r="F320" s="13"/>
    </row>
    <row r="321" customFormat="false" ht="15" hidden="false" customHeight="false" outlineLevel="0" collapsed="false">
      <c r="A321" s="11"/>
      <c r="B321" s="12"/>
      <c r="C321" s="13"/>
      <c r="D321" s="13"/>
      <c r="E321" s="14"/>
      <c r="F321" s="13"/>
    </row>
    <row r="322" customFormat="false" ht="15" hidden="false" customHeight="false" outlineLevel="0" collapsed="false">
      <c r="A322" s="11"/>
      <c r="B322" s="12"/>
      <c r="C322" s="13"/>
      <c r="D322" s="13"/>
      <c r="E322" s="14"/>
      <c r="F322" s="13"/>
    </row>
    <row r="323" customFormat="false" ht="15" hidden="false" customHeight="false" outlineLevel="0" collapsed="false">
      <c r="A323" s="11"/>
      <c r="B323" s="12"/>
      <c r="C323" s="13"/>
      <c r="D323" s="13"/>
      <c r="E323" s="14"/>
      <c r="F323" s="13"/>
    </row>
    <row r="324" customFormat="false" ht="15" hidden="false" customHeight="false" outlineLevel="0" collapsed="false">
      <c r="A324" s="11"/>
      <c r="B324" s="12"/>
      <c r="C324" s="13"/>
      <c r="D324" s="13"/>
      <c r="E324" s="14"/>
      <c r="F324" s="13"/>
    </row>
    <row r="325" customFormat="false" ht="15" hidden="false" customHeight="false" outlineLevel="0" collapsed="false">
      <c r="A325" s="11"/>
      <c r="B325" s="12"/>
      <c r="C325" s="13"/>
      <c r="D325" s="13"/>
      <c r="E325" s="14"/>
      <c r="F325" s="13"/>
    </row>
    <row r="326" customFormat="false" ht="15" hidden="false" customHeight="false" outlineLevel="0" collapsed="false">
      <c r="A326" s="11"/>
      <c r="B326" s="12"/>
      <c r="C326" s="13"/>
      <c r="D326" s="13"/>
      <c r="E326" s="14"/>
      <c r="F326" s="13"/>
    </row>
    <row r="327" customFormat="false" ht="15" hidden="false" customHeight="false" outlineLevel="0" collapsed="false">
      <c r="A327" s="11"/>
      <c r="B327" s="12"/>
      <c r="C327" s="13"/>
      <c r="D327" s="13"/>
      <c r="E327" s="14"/>
      <c r="F327" s="13"/>
    </row>
    <row r="328" customFormat="false" ht="15" hidden="false" customHeight="false" outlineLevel="0" collapsed="false">
      <c r="A328" s="11"/>
      <c r="B328" s="12"/>
      <c r="C328" s="13"/>
      <c r="D328" s="13"/>
      <c r="E328" s="14"/>
      <c r="F328" s="13"/>
    </row>
    <row r="329" customFormat="false" ht="15" hidden="false" customHeight="false" outlineLevel="0" collapsed="false">
      <c r="A329" s="11"/>
      <c r="B329" s="12"/>
      <c r="C329" s="13"/>
      <c r="D329" s="13"/>
      <c r="E329" s="14"/>
      <c r="F329" s="13"/>
    </row>
    <row r="330" customFormat="false" ht="15" hidden="false" customHeight="false" outlineLevel="0" collapsed="false">
      <c r="A330" s="11"/>
      <c r="B330" s="12"/>
      <c r="C330" s="13"/>
      <c r="D330" s="13"/>
      <c r="E330" s="14"/>
      <c r="F330" s="13"/>
    </row>
    <row r="331" customFormat="false" ht="15" hidden="false" customHeight="false" outlineLevel="0" collapsed="false">
      <c r="A331" s="11"/>
      <c r="B331" s="12"/>
      <c r="C331" s="13"/>
      <c r="D331" s="13"/>
      <c r="E331" s="14"/>
      <c r="F331" s="13"/>
    </row>
    <row r="332" customFormat="false" ht="15" hidden="false" customHeight="false" outlineLevel="0" collapsed="false">
      <c r="A332" s="11"/>
      <c r="B332" s="12"/>
      <c r="C332" s="13"/>
      <c r="D332" s="13"/>
      <c r="E332" s="14"/>
      <c r="F332" s="13"/>
    </row>
    <row r="333" customFormat="false" ht="15" hidden="false" customHeight="false" outlineLevel="0" collapsed="false">
      <c r="A333" s="11"/>
      <c r="B333" s="12"/>
      <c r="C333" s="13"/>
      <c r="D333" s="13"/>
      <c r="E333" s="14"/>
      <c r="F333" s="13"/>
    </row>
    <row r="334" customFormat="false" ht="15" hidden="false" customHeight="false" outlineLevel="0" collapsed="false">
      <c r="A334" s="11"/>
      <c r="B334" s="12"/>
      <c r="C334" s="13"/>
      <c r="D334" s="13"/>
      <c r="E334" s="14"/>
      <c r="F334" s="13"/>
    </row>
    <row r="335" customFormat="false" ht="15" hidden="false" customHeight="false" outlineLevel="0" collapsed="false">
      <c r="A335" s="11"/>
      <c r="B335" s="12"/>
      <c r="C335" s="13"/>
      <c r="D335" s="13"/>
      <c r="E335" s="14"/>
      <c r="F335" s="13"/>
    </row>
    <row r="336" customFormat="false" ht="15" hidden="false" customHeight="false" outlineLevel="0" collapsed="false">
      <c r="A336" s="11"/>
      <c r="B336" s="12"/>
      <c r="C336" s="13"/>
      <c r="D336" s="13"/>
      <c r="E336" s="14"/>
      <c r="F336" s="13"/>
    </row>
    <row r="337" customFormat="false" ht="15" hidden="false" customHeight="false" outlineLevel="0" collapsed="false">
      <c r="A337" s="11"/>
      <c r="B337" s="12"/>
      <c r="C337" s="13"/>
      <c r="D337" s="13"/>
      <c r="E337" s="14"/>
      <c r="F337" s="13"/>
    </row>
    <row r="338" customFormat="false" ht="15" hidden="false" customHeight="false" outlineLevel="0" collapsed="false">
      <c r="A338" s="11"/>
      <c r="B338" s="12"/>
      <c r="C338" s="13"/>
      <c r="D338" s="13"/>
      <c r="E338" s="14"/>
      <c r="F338" s="13"/>
    </row>
    <row r="339" customFormat="false" ht="15" hidden="false" customHeight="false" outlineLevel="0" collapsed="false">
      <c r="A339" s="11"/>
      <c r="B339" s="12"/>
      <c r="C339" s="13"/>
      <c r="D339" s="13"/>
      <c r="E339" s="14"/>
      <c r="F339" s="13"/>
    </row>
    <row r="340" customFormat="false" ht="15" hidden="false" customHeight="false" outlineLevel="0" collapsed="false">
      <c r="A340" s="11"/>
      <c r="B340" s="12"/>
      <c r="C340" s="13"/>
      <c r="D340" s="13"/>
      <c r="E340" s="14"/>
      <c r="F340" s="13"/>
    </row>
    <row r="341" customFormat="false" ht="15" hidden="false" customHeight="false" outlineLevel="0" collapsed="false">
      <c r="A341" s="11"/>
      <c r="B341" s="12"/>
      <c r="C341" s="13"/>
      <c r="D341" s="13"/>
      <c r="E341" s="14"/>
      <c r="F341" s="13"/>
    </row>
    <row r="342" customFormat="false" ht="15" hidden="false" customHeight="false" outlineLevel="0" collapsed="false">
      <c r="A342" s="11"/>
      <c r="B342" s="12"/>
      <c r="C342" s="13"/>
      <c r="D342" s="13"/>
      <c r="E342" s="14"/>
      <c r="F342" s="13"/>
    </row>
    <row r="343" customFormat="false" ht="15" hidden="false" customHeight="false" outlineLevel="0" collapsed="false">
      <c r="A343" s="11"/>
      <c r="B343" s="12"/>
      <c r="C343" s="13"/>
      <c r="D343" s="13"/>
      <c r="E343" s="14"/>
      <c r="F343" s="13"/>
    </row>
    <row r="344" customFormat="false" ht="15" hidden="false" customHeight="false" outlineLevel="0" collapsed="false">
      <c r="A344" s="11"/>
      <c r="B344" s="12"/>
      <c r="C344" s="13"/>
      <c r="D344" s="13"/>
      <c r="E344" s="14"/>
      <c r="F344" s="13"/>
    </row>
    <row r="345" customFormat="false" ht="15" hidden="false" customHeight="false" outlineLevel="0" collapsed="false">
      <c r="A345" s="11"/>
      <c r="B345" s="12"/>
      <c r="C345" s="13"/>
      <c r="D345" s="13"/>
      <c r="E345" s="14"/>
      <c r="F345" s="13"/>
    </row>
    <row r="346" customFormat="false" ht="15" hidden="false" customHeight="false" outlineLevel="0" collapsed="false">
      <c r="A346" s="11"/>
      <c r="B346" s="12"/>
      <c r="C346" s="13"/>
      <c r="D346" s="13"/>
      <c r="E346" s="14"/>
      <c r="F346" s="13"/>
    </row>
    <row r="347" customFormat="false" ht="15" hidden="false" customHeight="false" outlineLevel="0" collapsed="false">
      <c r="A347" s="11"/>
      <c r="B347" s="12"/>
      <c r="C347" s="13"/>
      <c r="D347" s="13"/>
      <c r="E347" s="14"/>
      <c r="F347" s="13"/>
    </row>
    <row r="348" customFormat="false" ht="15" hidden="false" customHeight="false" outlineLevel="0" collapsed="false">
      <c r="A348" s="11"/>
      <c r="B348" s="12"/>
      <c r="C348" s="13"/>
      <c r="D348" s="13"/>
      <c r="E348" s="14"/>
      <c r="F348" s="13"/>
    </row>
    <row r="349" customFormat="false" ht="15" hidden="false" customHeight="false" outlineLevel="0" collapsed="false">
      <c r="A349" s="11"/>
      <c r="B349" s="12"/>
      <c r="C349" s="13"/>
      <c r="D349" s="13"/>
      <c r="E349" s="14"/>
      <c r="F349" s="13"/>
    </row>
    <row r="350" customFormat="false" ht="15" hidden="false" customHeight="false" outlineLevel="0" collapsed="false">
      <c r="A350" s="11"/>
      <c r="B350" s="12"/>
      <c r="C350" s="13"/>
      <c r="D350" s="13"/>
      <c r="E350" s="14"/>
      <c r="F350" s="13"/>
    </row>
    <row r="351" customFormat="false" ht="15" hidden="false" customHeight="false" outlineLevel="0" collapsed="false">
      <c r="A351" s="11"/>
      <c r="B351" s="12"/>
      <c r="C351" s="13"/>
      <c r="D351" s="13"/>
      <c r="E351" s="14"/>
      <c r="F351" s="13"/>
    </row>
    <row r="352" customFormat="false" ht="15" hidden="false" customHeight="false" outlineLevel="0" collapsed="false">
      <c r="A352" s="11"/>
      <c r="B352" s="12"/>
      <c r="C352" s="13"/>
      <c r="D352" s="13"/>
      <c r="E352" s="14"/>
      <c r="F352" s="13"/>
    </row>
    <row r="353" customFormat="false" ht="15" hidden="false" customHeight="false" outlineLevel="0" collapsed="false">
      <c r="A353" s="11"/>
      <c r="B353" s="12"/>
      <c r="C353" s="13"/>
      <c r="D353" s="13"/>
      <c r="E353" s="14"/>
      <c r="F353" s="13"/>
    </row>
    <row r="354" customFormat="false" ht="15" hidden="false" customHeight="false" outlineLevel="0" collapsed="false">
      <c r="A354" s="11"/>
      <c r="B354" s="12"/>
      <c r="C354" s="13"/>
      <c r="D354" s="13"/>
      <c r="E354" s="14"/>
      <c r="F354" s="13"/>
    </row>
    <row r="355" customFormat="false" ht="15" hidden="false" customHeight="false" outlineLevel="0" collapsed="false">
      <c r="A355" s="11"/>
      <c r="B355" s="12"/>
      <c r="C355" s="13"/>
      <c r="D355" s="13"/>
      <c r="E355" s="14"/>
      <c r="F355" s="13"/>
    </row>
    <row r="356" customFormat="false" ht="15" hidden="false" customHeight="false" outlineLevel="0" collapsed="false">
      <c r="A356" s="11"/>
      <c r="B356" s="12"/>
      <c r="C356" s="13"/>
      <c r="D356" s="13"/>
      <c r="E356" s="14"/>
      <c r="F356" s="13"/>
    </row>
    <row r="357" customFormat="false" ht="15" hidden="false" customHeight="false" outlineLevel="0" collapsed="false">
      <c r="A357" s="11"/>
      <c r="B357" s="12"/>
      <c r="C357" s="13"/>
      <c r="D357" s="13"/>
      <c r="E357" s="14"/>
      <c r="F357" s="13"/>
    </row>
    <row r="358" customFormat="false" ht="15" hidden="false" customHeight="false" outlineLevel="0" collapsed="false">
      <c r="A358" s="11"/>
      <c r="B358" s="12"/>
      <c r="C358" s="13"/>
      <c r="D358" s="13"/>
      <c r="E358" s="14"/>
      <c r="F358" s="13"/>
    </row>
    <row r="359" customFormat="false" ht="15" hidden="false" customHeight="false" outlineLevel="0" collapsed="false">
      <c r="A359" s="11"/>
      <c r="B359" s="12"/>
      <c r="C359" s="13"/>
      <c r="D359" s="13"/>
      <c r="E359" s="14"/>
      <c r="F359" s="13"/>
    </row>
    <row r="360" customFormat="false" ht="15" hidden="false" customHeight="false" outlineLevel="0" collapsed="false">
      <c r="A360" s="11"/>
      <c r="B360" s="12"/>
      <c r="C360" s="13"/>
      <c r="D360" s="13"/>
      <c r="E360" s="14"/>
      <c r="F360" s="13"/>
    </row>
    <row r="361" customFormat="false" ht="15" hidden="false" customHeight="false" outlineLevel="0" collapsed="false">
      <c r="A361" s="11"/>
      <c r="B361" s="12"/>
      <c r="C361" s="13"/>
      <c r="D361" s="13"/>
      <c r="E361" s="14"/>
      <c r="F361" s="13"/>
    </row>
    <row r="362" customFormat="false" ht="15" hidden="false" customHeight="false" outlineLevel="0" collapsed="false">
      <c r="A362" s="11"/>
      <c r="B362" s="12"/>
      <c r="C362" s="13"/>
      <c r="D362" s="13"/>
      <c r="E362" s="14"/>
      <c r="F362" s="13"/>
    </row>
    <row r="363" customFormat="false" ht="15" hidden="false" customHeight="false" outlineLevel="0" collapsed="false">
      <c r="A363" s="11"/>
      <c r="B363" s="12"/>
      <c r="C363" s="13"/>
      <c r="D363" s="13"/>
      <c r="E363" s="14"/>
      <c r="F363" s="13"/>
    </row>
    <row r="364" customFormat="false" ht="15" hidden="false" customHeight="false" outlineLevel="0" collapsed="false">
      <c r="A364" s="11"/>
      <c r="B364" s="12"/>
      <c r="C364" s="13"/>
      <c r="D364" s="13"/>
      <c r="E364" s="14"/>
      <c r="F364" s="13"/>
    </row>
    <row r="365" customFormat="false" ht="15" hidden="false" customHeight="false" outlineLevel="0" collapsed="false">
      <c r="A365" s="11"/>
      <c r="B365" s="12"/>
      <c r="C365" s="13"/>
      <c r="D365" s="13"/>
      <c r="E365" s="14"/>
      <c r="F365" s="13"/>
    </row>
    <row r="366" customFormat="false" ht="15" hidden="false" customHeight="false" outlineLevel="0" collapsed="false">
      <c r="A366" s="11"/>
      <c r="B366" s="12"/>
      <c r="C366" s="13"/>
      <c r="D366" s="13"/>
      <c r="E366" s="14"/>
      <c r="F366" s="13"/>
    </row>
    <row r="367" customFormat="false" ht="15" hidden="false" customHeight="false" outlineLevel="0" collapsed="false">
      <c r="A367" s="11"/>
      <c r="B367" s="12"/>
      <c r="C367" s="13"/>
      <c r="D367" s="13"/>
      <c r="E367" s="14"/>
      <c r="F367" s="13"/>
    </row>
    <row r="368" customFormat="false" ht="15" hidden="false" customHeight="false" outlineLevel="0" collapsed="false">
      <c r="A368" s="11"/>
      <c r="B368" s="12"/>
      <c r="C368" s="13"/>
      <c r="D368" s="13"/>
      <c r="E368" s="14"/>
      <c r="F368" s="13"/>
    </row>
    <row r="369" customFormat="false" ht="15" hidden="false" customHeight="false" outlineLevel="0" collapsed="false">
      <c r="A369" s="11"/>
      <c r="B369" s="12"/>
      <c r="C369" s="13"/>
      <c r="D369" s="13"/>
      <c r="E369" s="14"/>
      <c r="F369" s="13"/>
    </row>
    <row r="370" customFormat="false" ht="15" hidden="false" customHeight="false" outlineLevel="0" collapsed="false">
      <c r="A370" s="11"/>
      <c r="B370" s="12"/>
      <c r="C370" s="13"/>
      <c r="D370" s="13"/>
      <c r="E370" s="14"/>
      <c r="F370" s="13"/>
    </row>
    <row r="371" customFormat="false" ht="15" hidden="false" customHeight="false" outlineLevel="0" collapsed="false">
      <c r="A371" s="11"/>
      <c r="B371" s="12"/>
      <c r="C371" s="13"/>
      <c r="D371" s="13"/>
      <c r="E371" s="14"/>
      <c r="F371" s="13"/>
    </row>
    <row r="372" customFormat="false" ht="15" hidden="false" customHeight="false" outlineLevel="0" collapsed="false">
      <c r="A372" s="11"/>
      <c r="B372" s="12"/>
      <c r="C372" s="13"/>
      <c r="D372" s="13"/>
      <c r="E372" s="14"/>
      <c r="F372" s="13"/>
    </row>
    <row r="373" customFormat="false" ht="15" hidden="false" customHeight="false" outlineLevel="0" collapsed="false">
      <c r="A373" s="11"/>
      <c r="B373" s="12"/>
      <c r="C373" s="13"/>
      <c r="D373" s="13"/>
      <c r="E373" s="14"/>
      <c r="F373" s="13"/>
    </row>
    <row r="374" customFormat="false" ht="15" hidden="false" customHeight="false" outlineLevel="0" collapsed="false">
      <c r="A374" s="11"/>
      <c r="B374" s="12"/>
      <c r="C374" s="13"/>
      <c r="D374" s="13"/>
      <c r="E374" s="14"/>
      <c r="F374" s="13"/>
    </row>
    <row r="375" customFormat="false" ht="15" hidden="false" customHeight="false" outlineLevel="0" collapsed="false">
      <c r="A375" s="11"/>
      <c r="B375" s="12"/>
      <c r="C375" s="13"/>
      <c r="D375" s="13"/>
      <c r="E375" s="14"/>
      <c r="F375" s="13"/>
    </row>
    <row r="376" customFormat="false" ht="15" hidden="false" customHeight="false" outlineLevel="0" collapsed="false">
      <c r="A376" s="11"/>
      <c r="B376" s="12"/>
      <c r="C376" s="13"/>
      <c r="D376" s="13"/>
      <c r="E376" s="14"/>
      <c r="F376" s="13"/>
    </row>
    <row r="377" customFormat="false" ht="15" hidden="false" customHeight="false" outlineLevel="0" collapsed="false">
      <c r="A377" s="11"/>
      <c r="B377" s="12"/>
      <c r="C377" s="13"/>
      <c r="D377" s="13"/>
      <c r="E377" s="14"/>
      <c r="F377" s="13"/>
    </row>
    <row r="378" customFormat="false" ht="15" hidden="false" customHeight="false" outlineLevel="0" collapsed="false">
      <c r="A378" s="11"/>
      <c r="B378" s="12"/>
      <c r="C378" s="13"/>
      <c r="D378" s="13"/>
      <c r="E378" s="14"/>
      <c r="F378" s="13"/>
    </row>
    <row r="379" customFormat="false" ht="15" hidden="false" customHeight="false" outlineLevel="0" collapsed="false">
      <c r="A379" s="11"/>
      <c r="B379" s="12"/>
      <c r="C379" s="13"/>
      <c r="D379" s="13"/>
      <c r="E379" s="14"/>
      <c r="F379" s="13"/>
    </row>
    <row r="380" customFormat="false" ht="15" hidden="false" customHeight="false" outlineLevel="0" collapsed="false">
      <c r="A380" s="11"/>
      <c r="B380" s="12"/>
      <c r="C380" s="13"/>
      <c r="D380" s="13"/>
      <c r="E380" s="14"/>
      <c r="F380" s="13"/>
    </row>
    <row r="381" customFormat="false" ht="15" hidden="false" customHeight="false" outlineLevel="0" collapsed="false">
      <c r="A381" s="11"/>
      <c r="B381" s="12"/>
      <c r="C381" s="13"/>
      <c r="D381" s="13"/>
      <c r="E381" s="14"/>
      <c r="F381" s="13"/>
    </row>
    <row r="382" customFormat="false" ht="15" hidden="false" customHeight="false" outlineLevel="0" collapsed="false">
      <c r="A382" s="11"/>
      <c r="B382" s="12"/>
      <c r="C382" s="13"/>
      <c r="D382" s="13"/>
      <c r="E382" s="14"/>
      <c r="F382" s="13"/>
    </row>
    <row r="383" customFormat="false" ht="15" hidden="false" customHeight="false" outlineLevel="0" collapsed="false">
      <c r="A383" s="11"/>
      <c r="B383" s="12"/>
      <c r="C383" s="13"/>
      <c r="D383" s="13"/>
      <c r="E383" s="14"/>
      <c r="F383" s="13"/>
    </row>
    <row r="384" customFormat="false" ht="15" hidden="false" customHeight="false" outlineLevel="0" collapsed="false">
      <c r="A384" s="11"/>
      <c r="B384" s="12"/>
      <c r="C384" s="13"/>
      <c r="D384" s="13"/>
      <c r="E384" s="14"/>
      <c r="F384" s="13"/>
    </row>
    <row r="385" customFormat="false" ht="15" hidden="false" customHeight="false" outlineLevel="0" collapsed="false">
      <c r="A385" s="11"/>
      <c r="B385" s="12"/>
      <c r="C385" s="13"/>
      <c r="D385" s="13"/>
      <c r="E385" s="14"/>
      <c r="F385" s="13"/>
    </row>
    <row r="386" customFormat="false" ht="15" hidden="false" customHeight="false" outlineLevel="0" collapsed="false">
      <c r="A386" s="11"/>
      <c r="B386" s="12"/>
      <c r="C386" s="13"/>
      <c r="D386" s="13"/>
      <c r="E386" s="14"/>
      <c r="F386" s="13"/>
    </row>
    <row r="387" customFormat="false" ht="15" hidden="false" customHeight="false" outlineLevel="0" collapsed="false">
      <c r="A387" s="11"/>
      <c r="B387" s="12"/>
      <c r="C387" s="13"/>
      <c r="D387" s="13"/>
      <c r="E387" s="14"/>
      <c r="F387" s="13"/>
    </row>
    <row r="388" customFormat="false" ht="15" hidden="false" customHeight="false" outlineLevel="0" collapsed="false">
      <c r="A388" s="11"/>
      <c r="B388" s="12"/>
      <c r="C388" s="13"/>
      <c r="D388" s="13"/>
      <c r="E388" s="14"/>
      <c r="F388" s="13"/>
    </row>
    <row r="389" customFormat="false" ht="15" hidden="false" customHeight="false" outlineLevel="0" collapsed="false">
      <c r="A389" s="11"/>
      <c r="B389" s="12"/>
      <c r="C389" s="13"/>
      <c r="D389" s="13"/>
      <c r="E389" s="14"/>
      <c r="F389" s="13"/>
    </row>
    <row r="390" customFormat="false" ht="15" hidden="false" customHeight="false" outlineLevel="0" collapsed="false">
      <c r="A390" s="11"/>
      <c r="B390" s="12"/>
      <c r="C390" s="13"/>
      <c r="D390" s="13"/>
      <c r="E390" s="14"/>
      <c r="F390" s="13"/>
    </row>
    <row r="391" customFormat="false" ht="15" hidden="false" customHeight="false" outlineLevel="0" collapsed="false">
      <c r="A391" s="11"/>
      <c r="B391" s="12"/>
      <c r="C391" s="13"/>
      <c r="D391" s="13"/>
      <c r="E391" s="14"/>
      <c r="F391" s="13"/>
    </row>
    <row r="392" customFormat="false" ht="15" hidden="false" customHeight="false" outlineLevel="0" collapsed="false">
      <c r="A392" s="11"/>
      <c r="B392" s="12"/>
      <c r="C392" s="13"/>
      <c r="D392" s="13"/>
      <c r="E392" s="14"/>
      <c r="F392" s="13"/>
    </row>
    <row r="393" customFormat="false" ht="15" hidden="false" customHeight="false" outlineLevel="0" collapsed="false">
      <c r="A393" s="11"/>
      <c r="B393" s="12"/>
      <c r="C393" s="13"/>
      <c r="D393" s="13"/>
      <c r="E393" s="14"/>
      <c r="F393" s="13"/>
    </row>
    <row r="394" customFormat="false" ht="15" hidden="false" customHeight="false" outlineLevel="0" collapsed="false">
      <c r="A394" s="11"/>
      <c r="B394" s="12"/>
      <c r="C394" s="13"/>
      <c r="D394" s="13"/>
      <c r="E394" s="14"/>
      <c r="F394" s="13"/>
    </row>
    <row r="395" customFormat="false" ht="15" hidden="false" customHeight="false" outlineLevel="0" collapsed="false">
      <c r="A395" s="11"/>
      <c r="B395" s="12"/>
      <c r="C395" s="13"/>
      <c r="D395" s="13"/>
      <c r="E395" s="14"/>
      <c r="F395" s="13"/>
    </row>
    <row r="396" customFormat="false" ht="15" hidden="false" customHeight="false" outlineLevel="0" collapsed="false">
      <c r="A396" s="11"/>
      <c r="B396" s="12"/>
      <c r="C396" s="13"/>
      <c r="D396" s="13"/>
      <c r="E396" s="14"/>
      <c r="F396" s="13"/>
    </row>
    <row r="397" customFormat="false" ht="15" hidden="false" customHeight="false" outlineLevel="0" collapsed="false">
      <c r="A397" s="11"/>
      <c r="B397" s="12"/>
      <c r="C397" s="13"/>
      <c r="D397" s="13"/>
      <c r="E397" s="14"/>
      <c r="F397" s="13"/>
    </row>
    <row r="398" customFormat="false" ht="15" hidden="false" customHeight="false" outlineLevel="0" collapsed="false">
      <c r="A398" s="11"/>
      <c r="B398" s="12"/>
      <c r="C398" s="13"/>
      <c r="D398" s="13"/>
      <c r="E398" s="14"/>
      <c r="F398" s="13"/>
    </row>
    <row r="399" customFormat="false" ht="15" hidden="false" customHeight="false" outlineLevel="0" collapsed="false">
      <c r="A399" s="11"/>
      <c r="B399" s="12"/>
      <c r="C399" s="13"/>
      <c r="D399" s="13"/>
      <c r="E399" s="14"/>
      <c r="F399" s="13"/>
    </row>
    <row r="400" customFormat="false" ht="15" hidden="false" customHeight="false" outlineLevel="0" collapsed="false">
      <c r="A400" s="11"/>
      <c r="B400" s="12"/>
      <c r="C400" s="13"/>
      <c r="D400" s="13"/>
      <c r="E400" s="14"/>
      <c r="F400" s="13"/>
    </row>
    <row r="401" customFormat="false" ht="15" hidden="false" customHeight="false" outlineLevel="0" collapsed="false">
      <c r="A401" s="11"/>
      <c r="B401" s="12"/>
      <c r="C401" s="13"/>
      <c r="D401" s="13"/>
      <c r="E401" s="14"/>
      <c r="F401" s="13"/>
    </row>
    <row r="402" customFormat="false" ht="15" hidden="false" customHeight="false" outlineLevel="0" collapsed="false">
      <c r="A402" s="11"/>
      <c r="B402" s="12"/>
      <c r="C402" s="13"/>
      <c r="D402" s="13"/>
      <c r="E402" s="14"/>
      <c r="F402" s="13"/>
    </row>
    <row r="403" customFormat="false" ht="15" hidden="false" customHeight="false" outlineLevel="0" collapsed="false">
      <c r="A403" s="11"/>
      <c r="B403" s="12"/>
      <c r="C403" s="13"/>
      <c r="D403" s="13"/>
      <c r="E403" s="14"/>
      <c r="F403" s="13"/>
    </row>
    <row r="404" customFormat="false" ht="15" hidden="false" customHeight="false" outlineLevel="0" collapsed="false">
      <c r="A404" s="11"/>
      <c r="B404" s="12"/>
      <c r="C404" s="13"/>
      <c r="D404" s="13"/>
      <c r="E404" s="14"/>
      <c r="F404" s="13"/>
    </row>
    <row r="405" customFormat="false" ht="15" hidden="false" customHeight="false" outlineLevel="0" collapsed="false">
      <c r="A405" s="11"/>
      <c r="B405" s="12"/>
      <c r="C405" s="13"/>
      <c r="D405" s="13"/>
      <c r="E405" s="14"/>
      <c r="F405" s="13"/>
    </row>
    <row r="406" customFormat="false" ht="15" hidden="false" customHeight="false" outlineLevel="0" collapsed="false">
      <c r="A406" s="11"/>
      <c r="B406" s="12"/>
      <c r="C406" s="13"/>
      <c r="D406" s="13"/>
      <c r="E406" s="14"/>
      <c r="F406" s="13"/>
    </row>
    <row r="407" customFormat="false" ht="15" hidden="false" customHeight="false" outlineLevel="0" collapsed="false">
      <c r="A407" s="11"/>
      <c r="B407" s="12"/>
      <c r="C407" s="13"/>
      <c r="D407" s="13"/>
      <c r="E407" s="14"/>
      <c r="F407" s="13"/>
    </row>
    <row r="408" customFormat="false" ht="15" hidden="false" customHeight="false" outlineLevel="0" collapsed="false">
      <c r="A408" s="11"/>
      <c r="B408" s="12"/>
      <c r="C408" s="13"/>
      <c r="D408" s="13"/>
      <c r="E408" s="14"/>
      <c r="F408" s="13"/>
    </row>
    <row r="409" customFormat="false" ht="15" hidden="false" customHeight="false" outlineLevel="0" collapsed="false">
      <c r="A409" s="11"/>
      <c r="B409" s="12"/>
      <c r="C409" s="13"/>
      <c r="D409" s="13"/>
      <c r="E409" s="14"/>
      <c r="F409" s="13"/>
    </row>
    <row r="410" customFormat="false" ht="15" hidden="false" customHeight="false" outlineLevel="0" collapsed="false">
      <c r="A410" s="11"/>
      <c r="B410" s="12"/>
      <c r="C410" s="13"/>
      <c r="D410" s="13"/>
      <c r="E410" s="14"/>
      <c r="F410" s="13"/>
    </row>
    <row r="411" customFormat="false" ht="15" hidden="false" customHeight="false" outlineLevel="0" collapsed="false">
      <c r="A411" s="11"/>
      <c r="B411" s="12"/>
      <c r="C411" s="13"/>
      <c r="D411" s="13"/>
      <c r="E411" s="14"/>
      <c r="F411" s="13"/>
    </row>
    <row r="412" customFormat="false" ht="15" hidden="false" customHeight="false" outlineLevel="0" collapsed="false">
      <c r="A412" s="11"/>
      <c r="B412" s="12"/>
      <c r="C412" s="13"/>
      <c r="D412" s="13"/>
      <c r="E412" s="14"/>
      <c r="F412" s="13"/>
    </row>
    <row r="413" customFormat="false" ht="15" hidden="false" customHeight="false" outlineLevel="0" collapsed="false">
      <c r="A413" s="11"/>
      <c r="B413" s="12"/>
      <c r="C413" s="13"/>
      <c r="D413" s="13"/>
      <c r="E413" s="14"/>
      <c r="F413" s="13"/>
    </row>
    <row r="414" customFormat="false" ht="15" hidden="false" customHeight="false" outlineLevel="0" collapsed="false">
      <c r="A414" s="11"/>
      <c r="B414" s="12"/>
      <c r="C414" s="13"/>
      <c r="D414" s="13"/>
      <c r="E414" s="14"/>
      <c r="F414" s="13"/>
    </row>
    <row r="415" customFormat="false" ht="15" hidden="false" customHeight="false" outlineLevel="0" collapsed="false">
      <c r="A415" s="11"/>
      <c r="B415" s="12"/>
      <c r="C415" s="13"/>
      <c r="D415" s="13"/>
      <c r="E415" s="14"/>
      <c r="F415" s="13"/>
    </row>
    <row r="416" customFormat="false" ht="15" hidden="false" customHeight="false" outlineLevel="0" collapsed="false">
      <c r="A416" s="11"/>
      <c r="B416" s="12"/>
      <c r="C416" s="13"/>
      <c r="D416" s="13"/>
      <c r="E416" s="14"/>
      <c r="F416" s="13"/>
    </row>
    <row r="417" customFormat="false" ht="15" hidden="false" customHeight="false" outlineLevel="0" collapsed="false">
      <c r="A417" s="11"/>
      <c r="B417" s="12"/>
      <c r="C417" s="13"/>
      <c r="D417" s="13"/>
      <c r="E417" s="14"/>
      <c r="F417" s="13"/>
    </row>
    <row r="418" customFormat="false" ht="15" hidden="false" customHeight="false" outlineLevel="0" collapsed="false">
      <c r="A418" s="11"/>
      <c r="B418" s="12"/>
      <c r="C418" s="13"/>
      <c r="D418" s="13"/>
      <c r="E418" s="14"/>
      <c r="F418" s="13"/>
    </row>
    <row r="419" customFormat="false" ht="15" hidden="false" customHeight="false" outlineLevel="0" collapsed="false">
      <c r="A419" s="11"/>
      <c r="B419" s="12"/>
      <c r="C419" s="13"/>
      <c r="D419" s="13"/>
      <c r="E419" s="14"/>
      <c r="F419" s="13"/>
    </row>
    <row r="420" customFormat="false" ht="15" hidden="false" customHeight="false" outlineLevel="0" collapsed="false">
      <c r="A420" s="11"/>
      <c r="B420" s="12"/>
      <c r="C420" s="13"/>
      <c r="D420" s="13"/>
      <c r="E420" s="14"/>
      <c r="F420" s="13"/>
    </row>
    <row r="421" customFormat="false" ht="15" hidden="false" customHeight="false" outlineLevel="0" collapsed="false">
      <c r="A421" s="11"/>
      <c r="B421" s="12"/>
      <c r="C421" s="13"/>
      <c r="D421" s="13"/>
      <c r="E421" s="14"/>
      <c r="F421" s="13"/>
    </row>
    <row r="422" customFormat="false" ht="15" hidden="false" customHeight="false" outlineLevel="0" collapsed="false">
      <c r="A422" s="11"/>
      <c r="B422" s="12"/>
      <c r="C422" s="13"/>
      <c r="D422" s="13"/>
      <c r="E422" s="14"/>
      <c r="F422" s="13"/>
    </row>
    <row r="423" customFormat="false" ht="15" hidden="false" customHeight="false" outlineLevel="0" collapsed="false">
      <c r="A423" s="11"/>
      <c r="B423" s="12"/>
      <c r="C423" s="13"/>
      <c r="D423" s="13"/>
      <c r="E423" s="14"/>
      <c r="F423" s="13"/>
    </row>
    <row r="424" customFormat="false" ht="15" hidden="false" customHeight="false" outlineLevel="0" collapsed="false">
      <c r="A424" s="11"/>
      <c r="B424" s="12"/>
      <c r="C424" s="13"/>
      <c r="D424" s="13"/>
      <c r="E424" s="14"/>
      <c r="F424" s="13"/>
    </row>
    <row r="425" customFormat="false" ht="15" hidden="false" customHeight="false" outlineLevel="0" collapsed="false">
      <c r="A425" s="11"/>
      <c r="B425" s="12"/>
      <c r="C425" s="13"/>
      <c r="D425" s="13"/>
      <c r="E425" s="14"/>
      <c r="F425" s="13"/>
    </row>
    <row r="426" customFormat="false" ht="15" hidden="false" customHeight="false" outlineLevel="0" collapsed="false">
      <c r="A426" s="11"/>
      <c r="B426" s="12"/>
      <c r="C426" s="13"/>
      <c r="D426" s="13"/>
      <c r="E426" s="14"/>
      <c r="F426" s="13"/>
    </row>
    <row r="427" customFormat="false" ht="15" hidden="false" customHeight="false" outlineLevel="0" collapsed="false">
      <c r="A427" s="11"/>
      <c r="B427" s="12"/>
      <c r="C427" s="13"/>
      <c r="D427" s="13"/>
      <c r="E427" s="14"/>
      <c r="F427" s="13"/>
    </row>
    <row r="428" customFormat="false" ht="15" hidden="false" customHeight="false" outlineLevel="0" collapsed="false">
      <c r="A428" s="11"/>
      <c r="B428" s="12"/>
      <c r="C428" s="13"/>
      <c r="D428" s="13"/>
      <c r="E428" s="14"/>
      <c r="F428" s="13"/>
    </row>
    <row r="429" customFormat="false" ht="15" hidden="false" customHeight="false" outlineLevel="0" collapsed="false">
      <c r="A429" s="11"/>
      <c r="B429" s="12"/>
      <c r="C429" s="13"/>
      <c r="D429" s="13"/>
      <c r="E429" s="14"/>
      <c r="F429" s="13"/>
    </row>
    <row r="430" customFormat="false" ht="15" hidden="false" customHeight="false" outlineLevel="0" collapsed="false">
      <c r="A430" s="11"/>
      <c r="B430" s="12"/>
      <c r="C430" s="13"/>
      <c r="D430" s="13"/>
      <c r="E430" s="14"/>
      <c r="F430" s="13"/>
    </row>
    <row r="431" customFormat="false" ht="15" hidden="false" customHeight="false" outlineLevel="0" collapsed="false">
      <c r="A431" s="11"/>
      <c r="B431" s="12"/>
      <c r="C431" s="13"/>
      <c r="D431" s="13"/>
      <c r="E431" s="14"/>
      <c r="F431" s="13"/>
    </row>
    <row r="432" customFormat="false" ht="15" hidden="false" customHeight="false" outlineLevel="0" collapsed="false">
      <c r="A432" s="11"/>
      <c r="B432" s="12"/>
      <c r="C432" s="13"/>
      <c r="D432" s="13"/>
      <c r="E432" s="14"/>
      <c r="F432" s="13"/>
    </row>
    <row r="433" customFormat="false" ht="15" hidden="false" customHeight="false" outlineLevel="0" collapsed="false">
      <c r="A433" s="11"/>
      <c r="B433" s="12"/>
      <c r="C433" s="13"/>
      <c r="D433" s="13"/>
      <c r="E433" s="14"/>
      <c r="F433" s="13"/>
    </row>
    <row r="434" customFormat="false" ht="15" hidden="false" customHeight="false" outlineLevel="0" collapsed="false">
      <c r="A434" s="11"/>
      <c r="B434" s="12"/>
      <c r="C434" s="13"/>
      <c r="D434" s="13"/>
      <c r="E434" s="14"/>
      <c r="F434" s="13"/>
    </row>
    <row r="435" customFormat="false" ht="15" hidden="false" customHeight="false" outlineLevel="0" collapsed="false">
      <c r="A435" s="11"/>
      <c r="B435" s="12"/>
      <c r="C435" s="13"/>
      <c r="D435" s="13"/>
      <c r="E435" s="14"/>
      <c r="F435" s="13"/>
    </row>
    <row r="436" customFormat="false" ht="15" hidden="false" customHeight="false" outlineLevel="0" collapsed="false">
      <c r="A436" s="11"/>
      <c r="B436" s="12"/>
      <c r="C436" s="13"/>
      <c r="D436" s="13"/>
      <c r="E436" s="14"/>
      <c r="F436" s="13"/>
    </row>
    <row r="437" customFormat="false" ht="15" hidden="false" customHeight="false" outlineLevel="0" collapsed="false">
      <c r="A437" s="11"/>
      <c r="B437" s="12"/>
      <c r="C437" s="13"/>
      <c r="D437" s="13"/>
      <c r="E437" s="14"/>
      <c r="F437" s="13"/>
    </row>
    <row r="438" customFormat="false" ht="15" hidden="false" customHeight="false" outlineLevel="0" collapsed="false">
      <c r="A438" s="11"/>
      <c r="B438" s="12"/>
      <c r="C438" s="13"/>
      <c r="D438" s="13"/>
      <c r="E438" s="14"/>
      <c r="F438" s="13"/>
    </row>
    <row r="439" customFormat="false" ht="15" hidden="false" customHeight="false" outlineLevel="0" collapsed="false">
      <c r="A439" s="11"/>
      <c r="B439" s="12"/>
      <c r="C439" s="13"/>
      <c r="D439" s="13"/>
      <c r="E439" s="14"/>
      <c r="F439" s="13"/>
    </row>
    <row r="440" customFormat="false" ht="15" hidden="false" customHeight="false" outlineLevel="0" collapsed="false">
      <c r="A440" s="11"/>
      <c r="B440" s="12"/>
      <c r="C440" s="13"/>
      <c r="D440" s="13"/>
      <c r="E440" s="14"/>
      <c r="F440" s="13"/>
    </row>
    <row r="441" customFormat="false" ht="15" hidden="false" customHeight="false" outlineLevel="0" collapsed="false">
      <c r="A441" s="11"/>
      <c r="B441" s="12"/>
      <c r="C441" s="13"/>
      <c r="D441" s="13"/>
      <c r="E441" s="14"/>
      <c r="F441" s="13"/>
    </row>
    <row r="442" customFormat="false" ht="15" hidden="false" customHeight="false" outlineLevel="0" collapsed="false">
      <c r="A442" s="11"/>
      <c r="B442" s="12"/>
      <c r="C442" s="13"/>
      <c r="D442" s="13"/>
      <c r="E442" s="14"/>
      <c r="F442" s="13"/>
    </row>
    <row r="443" customFormat="false" ht="15" hidden="false" customHeight="false" outlineLevel="0" collapsed="false">
      <c r="A443" s="11"/>
      <c r="B443" s="12"/>
      <c r="C443" s="13"/>
      <c r="D443" s="13"/>
      <c r="E443" s="14"/>
      <c r="F443" s="13"/>
    </row>
    <row r="444" customFormat="false" ht="15" hidden="false" customHeight="false" outlineLevel="0" collapsed="false">
      <c r="A444" s="11"/>
      <c r="B444" s="12"/>
      <c r="C444" s="13"/>
      <c r="D444" s="13"/>
      <c r="E444" s="14"/>
      <c r="F444" s="13"/>
    </row>
    <row r="445" customFormat="false" ht="15" hidden="false" customHeight="false" outlineLevel="0" collapsed="false">
      <c r="A445" s="11"/>
      <c r="B445" s="12"/>
      <c r="C445" s="13"/>
      <c r="D445" s="13"/>
      <c r="E445" s="14"/>
      <c r="F445" s="13"/>
    </row>
    <row r="446" customFormat="false" ht="15" hidden="false" customHeight="false" outlineLevel="0" collapsed="false">
      <c r="A446" s="11"/>
      <c r="B446" s="12"/>
      <c r="C446" s="13"/>
      <c r="D446" s="13"/>
      <c r="E446" s="14"/>
      <c r="F446" s="13"/>
    </row>
    <row r="447" customFormat="false" ht="15" hidden="false" customHeight="false" outlineLevel="0" collapsed="false">
      <c r="A447" s="11"/>
      <c r="B447" s="12"/>
      <c r="C447" s="13"/>
      <c r="D447" s="13"/>
      <c r="E447" s="14"/>
      <c r="F447" s="13"/>
    </row>
    <row r="448" customFormat="false" ht="15" hidden="false" customHeight="false" outlineLevel="0" collapsed="false">
      <c r="A448" s="11"/>
      <c r="B448" s="12"/>
      <c r="C448" s="13"/>
      <c r="D448" s="13"/>
      <c r="E448" s="14"/>
      <c r="F448" s="13"/>
    </row>
    <row r="449" customFormat="false" ht="15" hidden="false" customHeight="false" outlineLevel="0" collapsed="false">
      <c r="A449" s="11"/>
      <c r="B449" s="12"/>
      <c r="C449" s="13"/>
      <c r="D449" s="13"/>
      <c r="E449" s="14"/>
      <c r="F449" s="13"/>
    </row>
    <row r="450" customFormat="false" ht="15" hidden="false" customHeight="false" outlineLevel="0" collapsed="false">
      <c r="A450" s="11"/>
      <c r="B450" s="12"/>
      <c r="C450" s="13"/>
      <c r="D450" s="13"/>
      <c r="E450" s="14"/>
      <c r="F450" s="13"/>
    </row>
    <row r="451" customFormat="false" ht="15" hidden="false" customHeight="false" outlineLevel="0" collapsed="false">
      <c r="A451" s="11"/>
      <c r="B451" s="12"/>
      <c r="C451" s="13"/>
      <c r="D451" s="13"/>
      <c r="E451" s="14"/>
      <c r="F451" s="13"/>
    </row>
    <row r="452" customFormat="false" ht="15" hidden="false" customHeight="false" outlineLevel="0" collapsed="false">
      <c r="A452" s="11"/>
      <c r="B452" s="12"/>
      <c r="C452" s="13"/>
      <c r="D452" s="13"/>
      <c r="E452" s="14"/>
      <c r="F452" s="13"/>
    </row>
    <row r="453" customFormat="false" ht="15" hidden="false" customHeight="false" outlineLevel="0" collapsed="false">
      <c r="A453" s="11"/>
      <c r="B453" s="12"/>
      <c r="C453" s="13"/>
      <c r="D453" s="13"/>
      <c r="E453" s="14"/>
      <c r="F453" s="13"/>
    </row>
    <row r="454" customFormat="false" ht="15" hidden="false" customHeight="false" outlineLevel="0" collapsed="false">
      <c r="A454" s="11"/>
      <c r="B454" s="12"/>
      <c r="C454" s="13"/>
      <c r="D454" s="13"/>
      <c r="E454" s="14"/>
      <c r="F454" s="13"/>
    </row>
    <row r="455" customFormat="false" ht="15" hidden="false" customHeight="false" outlineLevel="0" collapsed="false">
      <c r="A455" s="11"/>
      <c r="B455" s="12"/>
      <c r="C455" s="13"/>
      <c r="D455" s="13"/>
      <c r="E455" s="14"/>
      <c r="F455" s="13"/>
    </row>
    <row r="456" customFormat="false" ht="15" hidden="false" customHeight="false" outlineLevel="0" collapsed="false">
      <c r="A456" s="11"/>
      <c r="B456" s="12"/>
      <c r="C456" s="13"/>
      <c r="D456" s="13"/>
      <c r="E456" s="14"/>
      <c r="F456" s="13"/>
    </row>
    <row r="457" customFormat="false" ht="15" hidden="false" customHeight="false" outlineLevel="0" collapsed="false">
      <c r="A457" s="11"/>
      <c r="B457" s="12"/>
      <c r="C457" s="13"/>
      <c r="D457" s="13"/>
      <c r="E457" s="14"/>
      <c r="F457" s="13"/>
    </row>
    <row r="458" customFormat="false" ht="15" hidden="false" customHeight="false" outlineLevel="0" collapsed="false">
      <c r="A458" s="11"/>
      <c r="B458" s="12"/>
      <c r="C458" s="13"/>
      <c r="D458" s="13"/>
      <c r="E458" s="14"/>
      <c r="F458" s="13"/>
    </row>
    <row r="459" customFormat="false" ht="15" hidden="false" customHeight="false" outlineLevel="0" collapsed="false">
      <c r="A459" s="11"/>
      <c r="B459" s="12"/>
      <c r="C459" s="13"/>
      <c r="D459" s="13"/>
      <c r="E459" s="14"/>
      <c r="F459" s="13"/>
    </row>
    <row r="460" customFormat="false" ht="15" hidden="false" customHeight="false" outlineLevel="0" collapsed="false">
      <c r="A460" s="11"/>
      <c r="B460" s="12"/>
      <c r="C460" s="13"/>
      <c r="D460" s="13"/>
      <c r="E460" s="14"/>
      <c r="F460" s="13"/>
    </row>
    <row r="461" customFormat="false" ht="15" hidden="false" customHeight="false" outlineLevel="0" collapsed="false">
      <c r="A461" s="11"/>
      <c r="B461" s="12"/>
      <c r="C461" s="13"/>
      <c r="D461" s="13"/>
      <c r="E461" s="14"/>
      <c r="F461" s="13"/>
    </row>
    <row r="462" customFormat="false" ht="15" hidden="false" customHeight="false" outlineLevel="0" collapsed="false">
      <c r="A462" s="11"/>
      <c r="B462" s="12"/>
      <c r="C462" s="13"/>
      <c r="D462" s="13"/>
      <c r="E462" s="14"/>
      <c r="F462" s="13"/>
    </row>
    <row r="463" customFormat="false" ht="15" hidden="false" customHeight="false" outlineLevel="0" collapsed="false">
      <c r="A463" s="11"/>
      <c r="B463" s="12"/>
      <c r="C463" s="13"/>
      <c r="D463" s="13"/>
      <c r="E463" s="14"/>
      <c r="F463" s="13"/>
    </row>
    <row r="464" customFormat="false" ht="15" hidden="false" customHeight="false" outlineLevel="0" collapsed="false">
      <c r="A464" s="11"/>
      <c r="B464" s="12"/>
      <c r="C464" s="13"/>
      <c r="D464" s="13"/>
      <c r="E464" s="14"/>
      <c r="F464" s="13"/>
    </row>
    <row r="465" customFormat="false" ht="15" hidden="false" customHeight="false" outlineLevel="0" collapsed="false">
      <c r="A465" s="11"/>
      <c r="B465" s="12"/>
      <c r="C465" s="13"/>
      <c r="D465" s="13"/>
      <c r="E465" s="14"/>
      <c r="F465" s="13"/>
    </row>
    <row r="466" customFormat="false" ht="15" hidden="false" customHeight="false" outlineLevel="0" collapsed="false">
      <c r="A466" s="11"/>
      <c r="B466" s="12"/>
      <c r="C466" s="13"/>
      <c r="D466" s="13"/>
      <c r="E466" s="14"/>
      <c r="F466" s="13"/>
    </row>
    <row r="467" customFormat="false" ht="15" hidden="false" customHeight="false" outlineLevel="0" collapsed="false">
      <c r="A467" s="11"/>
      <c r="B467" s="12"/>
      <c r="C467" s="13"/>
      <c r="D467" s="13"/>
      <c r="E467" s="14"/>
      <c r="F467" s="13"/>
    </row>
    <row r="468" customFormat="false" ht="15" hidden="false" customHeight="false" outlineLevel="0" collapsed="false">
      <c r="A468" s="11"/>
      <c r="B468" s="12"/>
      <c r="C468" s="13"/>
      <c r="D468" s="13"/>
      <c r="E468" s="14"/>
      <c r="F468" s="13"/>
    </row>
    <row r="469" customFormat="false" ht="15" hidden="false" customHeight="false" outlineLevel="0" collapsed="false">
      <c r="A469" s="11"/>
      <c r="B469" s="12"/>
      <c r="C469" s="13"/>
      <c r="D469" s="13"/>
      <c r="E469" s="14"/>
      <c r="F469" s="13"/>
    </row>
    <row r="470" customFormat="false" ht="15" hidden="false" customHeight="false" outlineLevel="0" collapsed="false">
      <c r="A470" s="11"/>
      <c r="B470" s="12"/>
      <c r="C470" s="13"/>
      <c r="D470" s="13"/>
      <c r="E470" s="14"/>
      <c r="F470" s="13"/>
    </row>
    <row r="471" customFormat="false" ht="15" hidden="false" customHeight="false" outlineLevel="0" collapsed="false">
      <c r="A471" s="11"/>
      <c r="B471" s="12"/>
      <c r="C471" s="13"/>
      <c r="D471" s="13"/>
      <c r="E471" s="14"/>
      <c r="F471" s="13"/>
    </row>
    <row r="472" customFormat="false" ht="15" hidden="false" customHeight="false" outlineLevel="0" collapsed="false">
      <c r="A472" s="11"/>
      <c r="B472" s="12"/>
      <c r="C472" s="13"/>
      <c r="D472" s="13"/>
      <c r="E472" s="14"/>
      <c r="F472" s="13"/>
    </row>
    <row r="473" customFormat="false" ht="15" hidden="false" customHeight="false" outlineLevel="0" collapsed="false">
      <c r="A473" s="11"/>
      <c r="B473" s="12"/>
      <c r="C473" s="13"/>
      <c r="D473" s="13"/>
      <c r="E473" s="14"/>
      <c r="F473" s="13"/>
    </row>
    <row r="474" customFormat="false" ht="15" hidden="false" customHeight="false" outlineLevel="0" collapsed="false">
      <c r="A474" s="11"/>
      <c r="B474" s="12"/>
      <c r="C474" s="13"/>
      <c r="D474" s="13"/>
      <c r="E474" s="14"/>
      <c r="F474" s="13"/>
    </row>
    <row r="475" customFormat="false" ht="15" hidden="false" customHeight="false" outlineLevel="0" collapsed="false">
      <c r="A475" s="11"/>
      <c r="B475" s="12"/>
      <c r="C475" s="13"/>
      <c r="D475" s="13"/>
      <c r="E475" s="14"/>
      <c r="F475" s="13"/>
    </row>
    <row r="476" customFormat="false" ht="15" hidden="false" customHeight="false" outlineLevel="0" collapsed="false">
      <c r="A476" s="11"/>
      <c r="B476" s="12"/>
      <c r="C476" s="13"/>
      <c r="D476" s="13"/>
      <c r="E476" s="14"/>
      <c r="F476" s="13"/>
    </row>
    <row r="477" customFormat="false" ht="15" hidden="false" customHeight="false" outlineLevel="0" collapsed="false">
      <c r="A477" s="11"/>
      <c r="B477" s="12"/>
      <c r="C477" s="13"/>
      <c r="D477" s="13"/>
      <c r="E477" s="14"/>
      <c r="F477" s="13"/>
    </row>
    <row r="478" customFormat="false" ht="15" hidden="false" customHeight="false" outlineLevel="0" collapsed="false">
      <c r="A478" s="11"/>
      <c r="B478" s="12"/>
      <c r="C478" s="13"/>
      <c r="D478" s="13"/>
      <c r="E478" s="14"/>
      <c r="F478" s="13"/>
    </row>
    <row r="479" customFormat="false" ht="15" hidden="false" customHeight="false" outlineLevel="0" collapsed="false">
      <c r="A479" s="11"/>
      <c r="B479" s="12"/>
      <c r="C479" s="13"/>
      <c r="D479" s="13"/>
      <c r="E479" s="14"/>
      <c r="F479" s="13"/>
    </row>
    <row r="480" customFormat="false" ht="15" hidden="false" customHeight="false" outlineLevel="0" collapsed="false">
      <c r="A480" s="11"/>
      <c r="B480" s="12"/>
      <c r="C480" s="13"/>
      <c r="D480" s="13"/>
      <c r="E480" s="14"/>
      <c r="F480" s="13"/>
    </row>
    <row r="481" customFormat="false" ht="15" hidden="false" customHeight="false" outlineLevel="0" collapsed="false">
      <c r="A481" s="11"/>
      <c r="B481" s="12"/>
      <c r="C481" s="13"/>
      <c r="D481" s="13"/>
      <c r="E481" s="14"/>
      <c r="F481" s="13"/>
    </row>
    <row r="482" customFormat="false" ht="15" hidden="false" customHeight="false" outlineLevel="0" collapsed="false">
      <c r="A482" s="11"/>
      <c r="B482" s="12"/>
      <c r="C482" s="13"/>
      <c r="D482" s="13"/>
      <c r="E482" s="14"/>
      <c r="F482" s="13"/>
    </row>
    <row r="483" customFormat="false" ht="15" hidden="false" customHeight="false" outlineLevel="0" collapsed="false">
      <c r="A483" s="11"/>
      <c r="B483" s="12"/>
      <c r="C483" s="13"/>
      <c r="D483" s="13"/>
      <c r="E483" s="14"/>
      <c r="F483" s="13"/>
    </row>
    <row r="484" customFormat="false" ht="15" hidden="false" customHeight="false" outlineLevel="0" collapsed="false">
      <c r="A484" s="11"/>
      <c r="B484" s="12"/>
      <c r="C484" s="13"/>
      <c r="D484" s="13"/>
      <c r="E484" s="14"/>
      <c r="F484" s="13"/>
    </row>
    <row r="485" customFormat="false" ht="15" hidden="false" customHeight="false" outlineLevel="0" collapsed="false">
      <c r="A485" s="11"/>
      <c r="B485" s="12"/>
      <c r="C485" s="13"/>
      <c r="D485" s="13"/>
      <c r="E485" s="14"/>
      <c r="F485" s="13"/>
    </row>
    <row r="486" customFormat="false" ht="15" hidden="false" customHeight="false" outlineLevel="0" collapsed="false">
      <c r="A486" s="11"/>
      <c r="B486" s="12"/>
      <c r="C486" s="13"/>
      <c r="D486" s="13"/>
      <c r="E486" s="14"/>
      <c r="F486" s="13"/>
    </row>
    <row r="487" customFormat="false" ht="15" hidden="false" customHeight="false" outlineLevel="0" collapsed="false">
      <c r="A487" s="11"/>
      <c r="B487" s="12"/>
      <c r="C487" s="13"/>
      <c r="D487" s="13"/>
      <c r="E487" s="14"/>
      <c r="F487" s="13"/>
    </row>
    <row r="488" customFormat="false" ht="15" hidden="false" customHeight="false" outlineLevel="0" collapsed="false">
      <c r="A488" s="11"/>
      <c r="B488" s="12"/>
      <c r="C488" s="13"/>
      <c r="D488" s="13"/>
      <c r="E488" s="14"/>
      <c r="F488" s="13"/>
    </row>
    <row r="489" customFormat="false" ht="15" hidden="false" customHeight="false" outlineLevel="0" collapsed="false">
      <c r="A489" s="11"/>
      <c r="B489" s="12"/>
      <c r="C489" s="13"/>
      <c r="D489" s="13"/>
      <c r="E489" s="14"/>
      <c r="F489" s="13"/>
    </row>
    <row r="490" customFormat="false" ht="15" hidden="false" customHeight="false" outlineLevel="0" collapsed="false">
      <c r="A490" s="11"/>
      <c r="B490" s="12"/>
      <c r="C490" s="13"/>
      <c r="D490" s="13"/>
      <c r="E490" s="14"/>
      <c r="F490" s="13"/>
    </row>
    <row r="491" customFormat="false" ht="15" hidden="false" customHeight="false" outlineLevel="0" collapsed="false">
      <c r="A491" s="11"/>
      <c r="B491" s="12"/>
      <c r="C491" s="13"/>
      <c r="D491" s="13"/>
      <c r="E491" s="14"/>
      <c r="F491" s="13"/>
    </row>
    <row r="492" customFormat="false" ht="15" hidden="false" customHeight="false" outlineLevel="0" collapsed="false">
      <c r="A492" s="11"/>
      <c r="B492" s="12"/>
      <c r="C492" s="13"/>
      <c r="D492" s="13"/>
      <c r="E492" s="14"/>
      <c r="F492" s="13"/>
    </row>
    <row r="493" customFormat="false" ht="15" hidden="false" customHeight="false" outlineLevel="0" collapsed="false">
      <c r="A493" s="11"/>
      <c r="B493" s="12"/>
      <c r="C493" s="13"/>
      <c r="D493" s="13"/>
      <c r="E493" s="14"/>
      <c r="F493" s="13"/>
    </row>
    <row r="494" customFormat="false" ht="15" hidden="false" customHeight="false" outlineLevel="0" collapsed="false">
      <c r="A494" s="11"/>
      <c r="B494" s="12"/>
      <c r="C494" s="13"/>
      <c r="D494" s="13"/>
      <c r="E494" s="14"/>
      <c r="F494" s="13"/>
    </row>
    <row r="495" customFormat="false" ht="15" hidden="false" customHeight="false" outlineLevel="0" collapsed="false">
      <c r="A495" s="11"/>
      <c r="B495" s="12"/>
      <c r="C495" s="13"/>
      <c r="D495" s="13"/>
      <c r="E495" s="14"/>
      <c r="F495" s="13"/>
    </row>
    <row r="496" customFormat="false" ht="15" hidden="false" customHeight="false" outlineLevel="0" collapsed="false">
      <c r="A496" s="11"/>
      <c r="B496" s="12"/>
      <c r="C496" s="13"/>
      <c r="D496" s="13"/>
      <c r="E496" s="14"/>
      <c r="F496" s="13"/>
    </row>
    <row r="497" customFormat="false" ht="15" hidden="false" customHeight="false" outlineLevel="0" collapsed="false">
      <c r="A497" s="11"/>
      <c r="B497" s="12"/>
      <c r="C497" s="13"/>
      <c r="D497" s="13"/>
      <c r="E497" s="14"/>
      <c r="F497" s="13"/>
    </row>
    <row r="498" customFormat="false" ht="15" hidden="false" customHeight="false" outlineLevel="0" collapsed="false">
      <c r="A498" s="11"/>
      <c r="B498" s="12"/>
      <c r="C498" s="13"/>
      <c r="D498" s="13"/>
      <c r="E498" s="14"/>
      <c r="F498" s="13"/>
    </row>
    <row r="499" customFormat="false" ht="15" hidden="false" customHeight="false" outlineLevel="0" collapsed="false">
      <c r="A499" s="11"/>
      <c r="B499" s="12"/>
      <c r="C499" s="13"/>
      <c r="D499" s="13"/>
      <c r="E499" s="14"/>
      <c r="F499" s="13"/>
    </row>
    <row r="500" customFormat="false" ht="15" hidden="false" customHeight="false" outlineLevel="0" collapsed="false">
      <c r="A500" s="11"/>
      <c r="B500" s="12"/>
      <c r="C500" s="13"/>
      <c r="D500" s="13"/>
      <c r="E500" s="14"/>
      <c r="F500" s="13"/>
    </row>
    <row r="501" customFormat="false" ht="15" hidden="false" customHeight="false" outlineLevel="0" collapsed="false">
      <c r="A501" s="11"/>
      <c r="B501" s="12"/>
      <c r="C501" s="13"/>
      <c r="D501" s="13"/>
      <c r="E501" s="14"/>
      <c r="F501" s="13"/>
    </row>
    <row r="502" customFormat="false" ht="15" hidden="false" customHeight="false" outlineLevel="0" collapsed="false">
      <c r="A502" s="11"/>
      <c r="B502" s="12"/>
      <c r="C502" s="13"/>
      <c r="D502" s="13"/>
      <c r="E502" s="14"/>
      <c r="F502" s="13"/>
    </row>
    <row r="503" customFormat="false" ht="15" hidden="false" customHeight="false" outlineLevel="0" collapsed="false">
      <c r="A503" s="11"/>
      <c r="B503" s="12"/>
      <c r="C503" s="13"/>
      <c r="D503" s="13"/>
      <c r="E503" s="14"/>
      <c r="F503" s="13"/>
    </row>
    <row r="504" customFormat="false" ht="15" hidden="false" customHeight="false" outlineLevel="0" collapsed="false">
      <c r="A504" s="11"/>
      <c r="B504" s="12"/>
      <c r="C504" s="13"/>
      <c r="D504" s="13"/>
      <c r="E504" s="14"/>
      <c r="F504" s="13"/>
    </row>
  </sheetData>
  <conditionalFormatting sqref="B5:B504">
    <cfRule type="cellIs" priority="2" operator="equal" aboveAverage="0" equalAverage="0" bottom="0" percent="0" rank="0" text="" dxfId="0">
      <formula>"Gelir"</formula>
    </cfRule>
    <cfRule type="cellIs" priority="3" operator="equal" aboveAverage="0" equalAverage="0" bottom="0" percent="0" rank="0" text="" dxfId="1">
      <formula>"Gider"</formula>
    </cfRule>
  </conditionalFormatting>
  <conditionalFormatting sqref="A5:F504">
    <cfRule type="expression" priority="4" aboveAverage="0" equalAverage="0" bottom="0" percent="0" rank="0" text="" dxfId="2">
      <formula>AND($E5&lt;&gt;"",OR($A5="",$B5=""))</formula>
    </cfRule>
  </conditionalFormatting>
  <dataValidations count="5">
    <dataValidation allowBlank="true" error="Geçerli bir tarih gir (örnek: 04.10.2026)." errorStyle="stop" errorTitle="Tarih" operator="greaterThan" showDropDown="false" showErrorMessage="true" showInputMessage="false" sqref="A5:A504" type="date">
      <formula1>36526</formula1>
      <formula2>0</formula2>
    </dataValidation>
    <dataValidation allowBlank="true" error="Listeden Gelir ya da Gider seç." errorStyle="stop" errorTitle="Tür" operator="between" showDropDown="false" showErrorMessage="true" showInputMessage="false" sqref="B5:B504" type="list">
      <formula1>"Gelir,Gider"</formula1>
      <formula2>0</formula2>
    </dataValidation>
    <dataValidation allowBlank="true" error="Kategoriyi listeden seç. Yeni kategori için Kategoriler sayfasına ekle." errorStyle="stop" errorTitle="Kategori" operator="between" showDropDown="false" showErrorMessage="true" showInputMessage="false" sqref="C5:C504" type="list">
      <formula1>IF($B5="Gelir",Kategoriler!$A$4:$A$15,Kategoriler!$C$4:$C$23)</formula1>
      <formula2>0</formula2>
    </dataValidation>
    <dataValidation allowBlank="true" error="Tutarı sıfırdan büyük bir sayı olarak gir." errorStyle="stop" errorTitle="Tutar" operator="greaterThan" showDropDown="false" showErrorMessage="true" showInputMessage="false" sqref="E5:E504" type="decimal">
      <formula1>0</formula1>
      <formula2>0</formula2>
    </dataValidation>
    <dataValidation allowBlank="true" errorStyle="stop" operator="between" showDropDown="false" showErrorMessage="false" showInputMessage="false" sqref="F5:F504" type="list">
      <formula1>Kategoriler!$E$4:$E$9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17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7"/>
    <col collapsed="false" customWidth="true" hidden="false" outlineLevel="0" max="10" min="10" style="0" width="9"/>
    <col collapsed="false" customWidth="true" hidden="false" outlineLevel="0" max="11" min="11" style="0" width="3"/>
    <col collapsed="false" customWidth="true" hidden="false" outlineLevel="0" max="12" min="12" style="0" width="22"/>
    <col collapsed="false" customWidth="true" hidden="false" outlineLevel="0" max="13" min="13" style="0" width="17"/>
    <col collapsed="false" customWidth="true" hidden="false" outlineLevel="0" max="14" min="14" style="0" width="9"/>
  </cols>
  <sheetData>
    <row r="1" customFormat="false" ht="19.7" hidden="false" customHeight="false" outlineLevel="0" collapsed="false">
      <c r="B1" s="8" t="s">
        <v>51</v>
      </c>
    </row>
    <row r="3" customFormat="false" ht="15" hidden="false" customHeight="false" outlineLevel="0" collapsed="false">
      <c r="B3" s="15" t="s">
        <v>52</v>
      </c>
      <c r="C3" s="16" t="n">
        <v>2026</v>
      </c>
      <c r="D3" s="9" t="s">
        <v>53</v>
      </c>
    </row>
    <row r="5" customFormat="false" ht="15" hidden="false" customHeight="false" outlineLevel="0" collapsed="false">
      <c r="B5" s="17" t="s">
        <v>54</v>
      </c>
      <c r="C5" s="17" t="s">
        <v>55</v>
      </c>
      <c r="D5" s="17" t="s">
        <v>56</v>
      </c>
      <c r="E5" s="17" t="s">
        <v>57</v>
      </c>
      <c r="F5" s="17" t="s">
        <v>58</v>
      </c>
    </row>
    <row r="6" customFormat="false" ht="27.75" hidden="false" customHeight="true" outlineLevel="0" collapsed="false">
      <c r="B6" s="18" t="n">
        <f aca="false">C22</f>
        <v>60500</v>
      </c>
      <c r="C6" s="18" t="n">
        <f aca="false">D22</f>
        <v>36000</v>
      </c>
      <c r="D6" s="18" t="n">
        <f aca="false">E22</f>
        <v>24500</v>
      </c>
      <c r="E6" s="19" t="n">
        <f aca="false">IF(C22=0,0,E22/C22)</f>
        <v>0.40495867768595</v>
      </c>
      <c r="F6" s="18" t="n">
        <f aca="false">IF(COUNTIF(D10:D21,"&gt;0")=0,0,D22/COUNTIF(D10:D21,"&gt;0"))</f>
        <v>18000</v>
      </c>
    </row>
    <row r="8" customFormat="false" ht="15" hidden="false" customHeight="false" outlineLevel="0" collapsed="false">
      <c r="B8" s="20" t="s">
        <v>59</v>
      </c>
      <c r="H8" s="20" t="s">
        <v>60</v>
      </c>
      <c r="L8" s="20" t="s">
        <v>61</v>
      </c>
    </row>
    <row r="9" customFormat="false" ht="15" hidden="false" customHeight="false" outlineLevel="0" collapsed="false">
      <c r="B9" s="21" t="s">
        <v>62</v>
      </c>
      <c r="C9" s="21" t="s">
        <v>32</v>
      </c>
      <c r="D9" s="21" t="s">
        <v>36</v>
      </c>
      <c r="E9" s="21" t="s">
        <v>63</v>
      </c>
      <c r="F9" s="21" t="s">
        <v>64</v>
      </c>
      <c r="H9" s="21" t="s">
        <v>28</v>
      </c>
      <c r="I9" s="21" t="s">
        <v>65</v>
      </c>
      <c r="J9" s="21" t="s">
        <v>66</v>
      </c>
      <c r="L9" s="21" t="s">
        <v>28</v>
      </c>
      <c r="M9" s="21" t="s">
        <v>65</v>
      </c>
      <c r="N9" s="21" t="s">
        <v>66</v>
      </c>
    </row>
    <row r="10" customFormat="false" ht="15" hidden="false" customHeight="false" outlineLevel="0" collapsed="false">
      <c r="B10" s="22" t="s">
        <v>67</v>
      </c>
      <c r="C10" s="23" t="n">
        <f aca="false">SUMIFS(Kayıtlar!$E$5:$E$504,Kayıtlar!$B$5:$B$504,"Gelir",Kayıtlar!$A$5:$A$504,"&gt;="&amp;DATE($C$3,1,1),Kayıtlar!$A$5:$A$504,"&lt;"&amp;DATE($C$3,2,1))</f>
        <v>0</v>
      </c>
      <c r="D10" s="23" t="n">
        <f aca="false">SUMIFS(Kayıtlar!$E$5:$E$504,Kayıtlar!$B$5:$B$504,"Gider",Kayıtlar!$A$5:$A$504,"&gt;="&amp;DATE($C$3,1,1),Kayıtlar!$A$5:$A$504,"&lt;"&amp;DATE($C$3,2,1))</f>
        <v>0</v>
      </c>
      <c r="E10" s="23" t="n">
        <f aca="false">C10-D10</f>
        <v>0</v>
      </c>
      <c r="F10" s="23" t="n">
        <f aca="false">E10</f>
        <v>0</v>
      </c>
      <c r="H10" s="22" t="str">
        <f aca="false">IF(Kategoriler!C4="","",Kategoriler!C4)</f>
        <v>Kira</v>
      </c>
      <c r="I10" s="23" t="n">
        <f aca="false">IF(H10="","",SUMIFS(Kayıtlar!$E$5:$E$504,Kayıtlar!$B$5:$B$504,"Gider",Kayıtlar!$C$5:$C$504,H10,Kayıtlar!$A$5:$A$504,"&gt;="&amp;DATE($C$3,1,1),Kayıtlar!$A$5:$A$504,"&lt;"&amp;DATE($C$3+1,1,1)))</f>
        <v>24000</v>
      </c>
      <c r="J10" s="24" t="n">
        <f aca="false">IF(OR(H10="",$D$22=0),"",I10/$D$22)</f>
        <v>0.666666666666667</v>
      </c>
      <c r="L10" s="22" t="str">
        <f aca="false">IF(Kategoriler!A4="","",Kategoriler!A4)</f>
        <v>Satış</v>
      </c>
      <c r="M10" s="23" t="n">
        <f aca="false">IF(L10="","",SUMIFS(Kayıtlar!$E$5:$E$504,Kayıtlar!$B$5:$B$504,"Gelir",Kayıtlar!$C$5:$C$504,L10,Kayıtlar!$A$5:$A$504,"&gt;="&amp;DATE($C$3,1,1),Kayıtlar!$A$5:$A$504,"&lt;"&amp;DATE($C$3+1,1,1)))</f>
        <v>57500</v>
      </c>
      <c r="N10" s="24" t="n">
        <f aca="false">IF(OR(L10="",$C$22=0),"",M10/$C$22)</f>
        <v>0.950413223140496</v>
      </c>
    </row>
    <row r="11" customFormat="false" ht="15" hidden="false" customHeight="false" outlineLevel="0" collapsed="false">
      <c r="B11" s="25" t="s">
        <v>68</v>
      </c>
      <c r="C11" s="26" t="n">
        <f aca="false">SUMIFS(Kayıtlar!$E$5:$E$504,Kayıtlar!$B$5:$B$504,"Gelir",Kayıtlar!$A$5:$A$504,"&gt;="&amp;DATE($C$3,2,1),Kayıtlar!$A$5:$A$504,"&lt;"&amp;DATE($C$3,3,1))</f>
        <v>0</v>
      </c>
      <c r="D11" s="26" t="n">
        <f aca="false">SUMIFS(Kayıtlar!$E$5:$E$504,Kayıtlar!$B$5:$B$504,"Gider",Kayıtlar!$A$5:$A$504,"&gt;="&amp;DATE($C$3,2,1),Kayıtlar!$A$5:$A$504,"&lt;"&amp;DATE($C$3,3,1))</f>
        <v>0</v>
      </c>
      <c r="E11" s="26" t="n">
        <f aca="false">C11-D11</f>
        <v>0</v>
      </c>
      <c r="F11" s="26" t="n">
        <f aca="false">F10+E11</f>
        <v>0</v>
      </c>
      <c r="H11" s="25" t="str">
        <f aca="false">IF(Kategoriler!C5="","",Kategoriler!C5)</f>
        <v>Faturalar</v>
      </c>
      <c r="I11" s="26" t="n">
        <f aca="false">IF(H11="","",SUMIFS(Kayıtlar!$E$5:$E$504,Kayıtlar!$B$5:$B$504,"Gider",Kayıtlar!$C$5:$C$504,H11,Kayıtlar!$A$5:$A$504,"&gt;="&amp;DATE($C$3,1,1),Kayıtlar!$A$5:$A$504,"&lt;"&amp;DATE($C$3+1,1,1)))</f>
        <v>1850</v>
      </c>
      <c r="J11" s="27" t="n">
        <f aca="false">IF(OR(H11="",$D$22=0),"",I11/$D$22)</f>
        <v>0.0513888888888889</v>
      </c>
      <c r="L11" s="25" t="str">
        <f aca="false">IF(Kategoriler!A5="","",Kategoriler!A5)</f>
        <v>Hizmet Geliri</v>
      </c>
      <c r="M11" s="26" t="n">
        <f aca="false">IF(L11="","",SUMIFS(Kayıtlar!$E$5:$E$504,Kayıtlar!$B$5:$B$504,"Gelir",Kayıtlar!$C$5:$C$504,L11,Kayıtlar!$A$5:$A$504,"&gt;="&amp;DATE($C$3,1,1),Kayıtlar!$A$5:$A$504,"&lt;"&amp;DATE($C$3+1,1,1)))</f>
        <v>3000</v>
      </c>
      <c r="N11" s="27" t="n">
        <f aca="false">IF(OR(L11="",$C$22=0),"",M11/$C$22)</f>
        <v>0.0495867768595041</v>
      </c>
    </row>
    <row r="12" customFormat="false" ht="15" hidden="false" customHeight="false" outlineLevel="0" collapsed="false">
      <c r="B12" s="22" t="s">
        <v>69</v>
      </c>
      <c r="C12" s="23" t="n">
        <f aca="false">SUMIFS(Kayıtlar!$E$5:$E$504,Kayıtlar!$B$5:$B$504,"Gelir",Kayıtlar!$A$5:$A$504,"&gt;="&amp;DATE($C$3,3,1),Kayıtlar!$A$5:$A$504,"&lt;"&amp;DATE($C$3,4,1))</f>
        <v>0</v>
      </c>
      <c r="D12" s="23" t="n">
        <f aca="false">SUMIFS(Kayıtlar!$E$5:$E$504,Kayıtlar!$B$5:$B$504,"Gider",Kayıtlar!$A$5:$A$504,"&gt;="&amp;DATE($C$3,3,1),Kayıtlar!$A$5:$A$504,"&lt;"&amp;DATE($C$3,4,1))</f>
        <v>0</v>
      </c>
      <c r="E12" s="23" t="n">
        <f aca="false">C12-D12</f>
        <v>0</v>
      </c>
      <c r="F12" s="23" t="n">
        <f aca="false">F11+E12</f>
        <v>0</v>
      </c>
      <c r="H12" s="22" t="str">
        <f aca="false">IF(Kategoriler!C6="","",Kategoriler!C6)</f>
        <v>İnternet / Telefon</v>
      </c>
      <c r="I12" s="23" t="n">
        <f aca="false">IF(H12="","",SUMIFS(Kayıtlar!$E$5:$E$504,Kayıtlar!$B$5:$B$504,"Gider",Kayıtlar!$C$5:$C$504,H12,Kayıtlar!$A$5:$A$504,"&gt;="&amp;DATE($C$3,1,1),Kayıtlar!$A$5:$A$504,"&lt;"&amp;DATE($C$3+1,1,1)))</f>
        <v>650</v>
      </c>
      <c r="J12" s="24" t="n">
        <f aca="false">IF(OR(H12="",$D$22=0),"",I12/$D$22)</f>
        <v>0.0180555555555556</v>
      </c>
      <c r="L12" s="22" t="str">
        <f aca="false">IF(Kategoriler!A6="","",Kategoriler!A6)</f>
        <v>Maaş</v>
      </c>
      <c r="M12" s="23" t="n">
        <f aca="false">IF(L12="","",SUMIFS(Kayıtlar!$E$5:$E$504,Kayıtlar!$B$5:$B$504,"Gelir",Kayıtlar!$C$5:$C$504,L12,Kayıtlar!$A$5:$A$504,"&gt;="&amp;DATE($C$3,1,1),Kayıtlar!$A$5:$A$504,"&lt;"&amp;DATE($C$3+1,1,1)))</f>
        <v>0</v>
      </c>
      <c r="N12" s="24" t="n">
        <f aca="false">IF(OR(L12="",$C$22=0),"",M12/$C$22)</f>
        <v>0</v>
      </c>
    </row>
    <row r="13" customFormat="false" ht="15" hidden="false" customHeight="false" outlineLevel="0" collapsed="false">
      <c r="B13" s="25" t="s">
        <v>70</v>
      </c>
      <c r="C13" s="26" t="n">
        <f aca="false">SUMIFS(Kayıtlar!$E$5:$E$504,Kayıtlar!$B$5:$B$504,"Gelir",Kayıtlar!$A$5:$A$504,"&gt;="&amp;DATE($C$3,4,1),Kayıtlar!$A$5:$A$504,"&lt;"&amp;DATE($C$3,5,1))</f>
        <v>0</v>
      </c>
      <c r="D13" s="26" t="n">
        <f aca="false">SUMIFS(Kayıtlar!$E$5:$E$504,Kayıtlar!$B$5:$B$504,"Gider",Kayıtlar!$A$5:$A$504,"&gt;="&amp;DATE($C$3,4,1),Kayıtlar!$A$5:$A$504,"&lt;"&amp;DATE($C$3,5,1))</f>
        <v>0</v>
      </c>
      <c r="E13" s="26" t="n">
        <f aca="false">C13-D13</f>
        <v>0</v>
      </c>
      <c r="F13" s="26" t="n">
        <f aca="false">F12+E13</f>
        <v>0</v>
      </c>
      <c r="H13" s="25" t="str">
        <f aca="false">IF(Kategoriler!C7="","",Kategoriler!C7)</f>
        <v>Market / Gıda</v>
      </c>
      <c r="I13" s="26" t="n">
        <f aca="false">IF(H13="","",SUMIFS(Kayıtlar!$E$5:$E$504,Kayıtlar!$B$5:$B$504,"Gider",Kayıtlar!$C$5:$C$504,H13,Kayıtlar!$A$5:$A$504,"&gt;="&amp;DATE($C$3,1,1),Kayıtlar!$A$5:$A$504,"&lt;"&amp;DATE($C$3+1,1,1)))</f>
        <v>0</v>
      </c>
      <c r="J13" s="27" t="n">
        <f aca="false">IF(OR(H13="",$D$22=0),"",I13/$D$22)</f>
        <v>0</v>
      </c>
      <c r="L13" s="25" t="str">
        <f aca="false">IF(Kategoriler!A7="","",Kategoriler!A7)</f>
        <v>Kira Geliri</v>
      </c>
      <c r="M13" s="26" t="n">
        <f aca="false">IF(L13="","",SUMIFS(Kayıtlar!$E$5:$E$504,Kayıtlar!$B$5:$B$504,"Gelir",Kayıtlar!$C$5:$C$504,L13,Kayıtlar!$A$5:$A$504,"&gt;="&amp;DATE($C$3,1,1),Kayıtlar!$A$5:$A$504,"&lt;"&amp;DATE($C$3+1,1,1)))</f>
        <v>0</v>
      </c>
      <c r="N13" s="27" t="n">
        <f aca="false">IF(OR(L13="",$C$22=0),"",M13/$C$22)</f>
        <v>0</v>
      </c>
    </row>
    <row r="14" customFormat="false" ht="15" hidden="false" customHeight="false" outlineLevel="0" collapsed="false">
      <c r="B14" s="22" t="s">
        <v>71</v>
      </c>
      <c r="C14" s="23" t="n">
        <f aca="false">SUMIFS(Kayıtlar!$E$5:$E$504,Kayıtlar!$B$5:$B$504,"Gelir",Kayıtlar!$A$5:$A$504,"&gt;="&amp;DATE($C$3,5,1),Kayıtlar!$A$5:$A$504,"&lt;"&amp;DATE($C$3,6,1))</f>
        <v>0</v>
      </c>
      <c r="D14" s="23" t="n">
        <f aca="false">SUMIFS(Kayıtlar!$E$5:$E$504,Kayıtlar!$B$5:$B$504,"Gider",Kayıtlar!$A$5:$A$504,"&gt;="&amp;DATE($C$3,5,1),Kayıtlar!$A$5:$A$504,"&lt;"&amp;DATE($C$3,6,1))</f>
        <v>0</v>
      </c>
      <c r="E14" s="23" t="n">
        <f aca="false">C14-D14</f>
        <v>0</v>
      </c>
      <c r="F14" s="23" t="n">
        <f aca="false">F13+E14</f>
        <v>0</v>
      </c>
      <c r="H14" s="22" t="str">
        <f aca="false">IF(Kategoriler!C8="","",Kategoriler!C8)</f>
        <v>Ulaşım / Yakıt</v>
      </c>
      <c r="I14" s="23" t="n">
        <f aca="false">IF(H14="","",SUMIFS(Kayıtlar!$E$5:$E$504,Kayıtlar!$B$5:$B$504,"Gider",Kayıtlar!$C$5:$C$504,H14,Kayıtlar!$A$5:$A$504,"&gt;="&amp;DATE($C$3,1,1),Kayıtlar!$A$5:$A$504,"&lt;"&amp;DATE($C$3+1,1,1)))</f>
        <v>0</v>
      </c>
      <c r="J14" s="24" t="n">
        <f aca="false">IF(OR(H14="",$D$22=0),"",I14/$D$22)</f>
        <v>0</v>
      </c>
      <c r="L14" s="22" t="str">
        <f aca="false">IF(Kategoriler!A8="","",Kategoriler!A8)</f>
        <v>Faiz / Yatırım</v>
      </c>
      <c r="M14" s="23" t="n">
        <f aca="false">IF(L14="","",SUMIFS(Kayıtlar!$E$5:$E$504,Kayıtlar!$B$5:$B$504,"Gelir",Kayıtlar!$C$5:$C$504,L14,Kayıtlar!$A$5:$A$504,"&gt;="&amp;DATE($C$3,1,1),Kayıtlar!$A$5:$A$504,"&lt;"&amp;DATE($C$3+1,1,1)))</f>
        <v>0</v>
      </c>
      <c r="N14" s="24" t="n">
        <f aca="false">IF(OR(L14="",$C$22=0),"",M14/$C$22)</f>
        <v>0</v>
      </c>
    </row>
    <row r="15" customFormat="false" ht="15" hidden="false" customHeight="false" outlineLevel="0" collapsed="false">
      <c r="B15" s="25" t="s">
        <v>72</v>
      </c>
      <c r="C15" s="26" t="n">
        <f aca="false">SUMIFS(Kayıtlar!$E$5:$E$504,Kayıtlar!$B$5:$B$504,"Gelir",Kayıtlar!$A$5:$A$504,"&gt;="&amp;DATE($C$3,6,1),Kayıtlar!$A$5:$A$504,"&lt;"&amp;DATE($C$3,7,1))</f>
        <v>0</v>
      </c>
      <c r="D15" s="26" t="n">
        <f aca="false">SUMIFS(Kayıtlar!$E$5:$E$504,Kayıtlar!$B$5:$B$504,"Gider",Kayıtlar!$A$5:$A$504,"&gt;="&amp;DATE($C$3,6,1),Kayıtlar!$A$5:$A$504,"&lt;"&amp;DATE($C$3,7,1))</f>
        <v>0</v>
      </c>
      <c r="E15" s="26" t="n">
        <f aca="false">C15-D15</f>
        <v>0</v>
      </c>
      <c r="F15" s="26" t="n">
        <f aca="false">F14+E15</f>
        <v>0</v>
      </c>
      <c r="H15" s="25" t="str">
        <f aca="false">IF(Kategoriler!C9="","",Kategoriler!C9)</f>
        <v>Malzeme / Stok</v>
      </c>
      <c r="I15" s="26" t="n">
        <f aca="false">IF(H15="","",SUMIFS(Kayıtlar!$E$5:$E$504,Kayıtlar!$B$5:$B$504,"Gider",Kayıtlar!$C$5:$C$504,H15,Kayıtlar!$A$5:$A$504,"&gt;="&amp;DATE($C$3,1,1),Kayıtlar!$A$5:$A$504,"&lt;"&amp;DATE($C$3+1,1,1)))</f>
        <v>9500</v>
      </c>
      <c r="J15" s="27" t="n">
        <f aca="false">IF(OR(H15="",$D$22=0),"",I15/$D$22)</f>
        <v>0.263888888888889</v>
      </c>
      <c r="L15" s="25" t="str">
        <f aca="false">IF(Kategoriler!A9="","",Kategoriler!A9)</f>
        <v>Diğer Gelir</v>
      </c>
      <c r="M15" s="26" t="n">
        <f aca="false">IF(L15="","",SUMIFS(Kayıtlar!$E$5:$E$504,Kayıtlar!$B$5:$B$504,"Gelir",Kayıtlar!$C$5:$C$504,L15,Kayıtlar!$A$5:$A$504,"&gt;="&amp;DATE($C$3,1,1),Kayıtlar!$A$5:$A$504,"&lt;"&amp;DATE($C$3+1,1,1)))</f>
        <v>0</v>
      </c>
      <c r="N15" s="27" t="n">
        <f aca="false">IF(OR(L15="",$C$22=0),"",M15/$C$22)</f>
        <v>0</v>
      </c>
    </row>
    <row r="16" customFormat="false" ht="15" hidden="false" customHeight="false" outlineLevel="0" collapsed="false">
      <c r="B16" s="22" t="s">
        <v>73</v>
      </c>
      <c r="C16" s="23" t="n">
        <f aca="false">SUMIFS(Kayıtlar!$E$5:$E$504,Kayıtlar!$B$5:$B$504,"Gelir",Kayıtlar!$A$5:$A$504,"&gt;="&amp;DATE($C$3,7,1),Kayıtlar!$A$5:$A$504,"&lt;"&amp;DATE($C$3,8,1))</f>
        <v>0</v>
      </c>
      <c r="D16" s="23" t="n">
        <f aca="false">SUMIFS(Kayıtlar!$E$5:$E$504,Kayıtlar!$B$5:$B$504,"Gider",Kayıtlar!$A$5:$A$504,"&gt;="&amp;DATE($C$3,7,1),Kayıtlar!$A$5:$A$504,"&lt;"&amp;DATE($C$3,8,1))</f>
        <v>0</v>
      </c>
      <c r="E16" s="23" t="n">
        <f aca="false">C16-D16</f>
        <v>0</v>
      </c>
      <c r="F16" s="23" t="n">
        <f aca="false">F15+E16</f>
        <v>0</v>
      </c>
      <c r="H16" s="22" t="str">
        <f aca="false">IF(Kategoriler!C10="","",Kategoriler!C10)</f>
        <v>Personel</v>
      </c>
      <c r="I16" s="23" t="n">
        <f aca="false">IF(H16="","",SUMIFS(Kayıtlar!$E$5:$E$504,Kayıtlar!$B$5:$B$504,"Gider",Kayıtlar!$C$5:$C$504,H16,Kayıtlar!$A$5:$A$504,"&gt;="&amp;DATE($C$3,1,1),Kayıtlar!$A$5:$A$504,"&lt;"&amp;DATE($C$3+1,1,1)))</f>
        <v>0</v>
      </c>
      <c r="J16" s="24" t="n">
        <f aca="false">IF(OR(H16="",$D$22=0),"",I16/$D$22)</f>
        <v>0</v>
      </c>
      <c r="L16" s="22" t="str">
        <f aca="false">IF(Kategoriler!A10="","",Kategoriler!A10)</f>
        <v/>
      </c>
      <c r="M16" s="23" t="str">
        <f aca="false">IF(L16="","",SUMIFS(Kayıtlar!$E$5:$E$504,Kayıtlar!$B$5:$B$504,"Gelir",Kayıtlar!$C$5:$C$504,L16,Kayıtlar!$A$5:$A$504,"&gt;="&amp;DATE($C$3,1,1),Kayıtlar!$A$5:$A$504,"&lt;"&amp;DATE($C$3+1,1,1)))</f>
        <v/>
      </c>
      <c r="N16" s="24" t="str">
        <f aca="false">IF(OR(L16="",$C$22=0),"",M16/$C$22)</f>
        <v/>
      </c>
    </row>
    <row r="17" customFormat="false" ht="15" hidden="false" customHeight="false" outlineLevel="0" collapsed="false">
      <c r="B17" s="25" t="s">
        <v>74</v>
      </c>
      <c r="C17" s="26" t="n">
        <f aca="false">SUMIFS(Kayıtlar!$E$5:$E$504,Kayıtlar!$B$5:$B$504,"Gelir",Kayıtlar!$A$5:$A$504,"&gt;="&amp;DATE($C$3,8,1),Kayıtlar!$A$5:$A$504,"&lt;"&amp;DATE($C$3,9,1))</f>
        <v>0</v>
      </c>
      <c r="D17" s="26" t="n">
        <f aca="false">SUMIFS(Kayıtlar!$E$5:$E$504,Kayıtlar!$B$5:$B$504,"Gider",Kayıtlar!$A$5:$A$504,"&gt;="&amp;DATE($C$3,8,1),Kayıtlar!$A$5:$A$504,"&lt;"&amp;DATE($C$3,9,1))</f>
        <v>0</v>
      </c>
      <c r="E17" s="26" t="n">
        <f aca="false">C17-D17</f>
        <v>0</v>
      </c>
      <c r="F17" s="26" t="n">
        <f aca="false">F16+E17</f>
        <v>0</v>
      </c>
      <c r="H17" s="25" t="str">
        <f aca="false">IF(Kategoriler!C11="","",Kategoriler!C11)</f>
        <v>Vergi / SGK</v>
      </c>
      <c r="I17" s="26" t="n">
        <f aca="false">IF(H17="","",SUMIFS(Kayıtlar!$E$5:$E$504,Kayıtlar!$B$5:$B$504,"Gider",Kayıtlar!$C$5:$C$504,H17,Kayıtlar!$A$5:$A$504,"&gt;="&amp;DATE($C$3,1,1),Kayıtlar!$A$5:$A$504,"&lt;"&amp;DATE($C$3+1,1,1)))</f>
        <v>0</v>
      </c>
      <c r="J17" s="27" t="n">
        <f aca="false">IF(OR(H17="",$D$22=0),"",I17/$D$22)</f>
        <v>0</v>
      </c>
      <c r="L17" s="25" t="str">
        <f aca="false">IF(Kategoriler!A11="","",Kategoriler!A11)</f>
        <v/>
      </c>
      <c r="M17" s="26" t="str">
        <f aca="false">IF(L17="","",SUMIFS(Kayıtlar!$E$5:$E$504,Kayıtlar!$B$5:$B$504,"Gelir",Kayıtlar!$C$5:$C$504,L17,Kayıtlar!$A$5:$A$504,"&gt;="&amp;DATE($C$3,1,1),Kayıtlar!$A$5:$A$504,"&lt;"&amp;DATE($C$3+1,1,1)))</f>
        <v/>
      </c>
      <c r="N17" s="27" t="str">
        <f aca="false">IF(OR(L17="",$C$22=0),"",M17/$C$22)</f>
        <v/>
      </c>
    </row>
    <row r="18" customFormat="false" ht="15" hidden="false" customHeight="false" outlineLevel="0" collapsed="false">
      <c r="B18" s="22" t="s">
        <v>75</v>
      </c>
      <c r="C18" s="23" t="n">
        <f aca="false">SUMIFS(Kayıtlar!$E$5:$E$504,Kayıtlar!$B$5:$B$504,"Gelir",Kayıtlar!$A$5:$A$504,"&gt;="&amp;DATE($C$3,9,1),Kayıtlar!$A$5:$A$504,"&lt;"&amp;DATE($C$3,10,1))</f>
        <v>42000</v>
      </c>
      <c r="D18" s="23" t="n">
        <f aca="false">SUMIFS(Kayıtlar!$E$5:$E$504,Kayıtlar!$B$5:$B$504,"Gider",Kayıtlar!$A$5:$A$504,"&gt;="&amp;DATE($C$3,9,1),Kayıtlar!$A$5:$A$504,"&lt;"&amp;DATE($C$3,10,1))</f>
        <v>23350</v>
      </c>
      <c r="E18" s="23" t="n">
        <f aca="false">C18-D18</f>
        <v>18650</v>
      </c>
      <c r="F18" s="23" t="n">
        <f aca="false">F17+E18</f>
        <v>18650</v>
      </c>
      <c r="H18" s="22" t="str">
        <f aca="false">IF(Kategoriler!C12="","",Kategoriler!C12)</f>
        <v>Reklam / Tanıtım</v>
      </c>
      <c r="I18" s="23" t="n">
        <f aca="false">IF(H18="","",SUMIFS(Kayıtlar!$E$5:$E$504,Kayıtlar!$B$5:$B$504,"Gider",Kayıtlar!$C$5:$C$504,H18,Kayıtlar!$A$5:$A$504,"&gt;="&amp;DATE($C$3,1,1),Kayıtlar!$A$5:$A$504,"&lt;"&amp;DATE($C$3+1,1,1)))</f>
        <v>0</v>
      </c>
      <c r="J18" s="24" t="n">
        <f aca="false">IF(OR(H18="",$D$22=0),"",I18/$D$22)</f>
        <v>0</v>
      </c>
      <c r="L18" s="22" t="str">
        <f aca="false">IF(Kategoriler!A12="","",Kategoriler!A12)</f>
        <v/>
      </c>
      <c r="M18" s="23" t="str">
        <f aca="false">IF(L18="","",SUMIFS(Kayıtlar!$E$5:$E$504,Kayıtlar!$B$5:$B$504,"Gelir",Kayıtlar!$C$5:$C$504,L18,Kayıtlar!$A$5:$A$504,"&gt;="&amp;DATE($C$3,1,1),Kayıtlar!$A$5:$A$504,"&lt;"&amp;DATE($C$3+1,1,1)))</f>
        <v/>
      </c>
      <c r="N18" s="24" t="str">
        <f aca="false">IF(OR(L18="",$C$22=0),"",M18/$C$22)</f>
        <v/>
      </c>
    </row>
    <row r="19" customFormat="false" ht="15" hidden="false" customHeight="false" outlineLevel="0" collapsed="false">
      <c r="B19" s="25" t="s">
        <v>76</v>
      </c>
      <c r="C19" s="26" t="n">
        <f aca="false">SUMIFS(Kayıtlar!$E$5:$E$504,Kayıtlar!$B$5:$B$504,"Gelir",Kayıtlar!$A$5:$A$504,"&gt;="&amp;DATE($C$3,10,1),Kayıtlar!$A$5:$A$504,"&lt;"&amp;DATE($C$3,11,1))</f>
        <v>18500</v>
      </c>
      <c r="D19" s="26" t="n">
        <f aca="false">SUMIFS(Kayıtlar!$E$5:$E$504,Kayıtlar!$B$5:$B$504,"Gider",Kayıtlar!$A$5:$A$504,"&gt;="&amp;DATE($C$3,10,1),Kayıtlar!$A$5:$A$504,"&lt;"&amp;DATE($C$3,11,1))</f>
        <v>12650</v>
      </c>
      <c r="E19" s="26" t="n">
        <f aca="false">C19-D19</f>
        <v>5850</v>
      </c>
      <c r="F19" s="26" t="n">
        <f aca="false">F18+E19</f>
        <v>24500</v>
      </c>
      <c r="H19" s="25" t="str">
        <f aca="false">IF(Kategoriler!C13="","",Kategoriler!C13)</f>
        <v>Kargo</v>
      </c>
      <c r="I19" s="26" t="n">
        <f aca="false">IF(H19="","",SUMIFS(Kayıtlar!$E$5:$E$504,Kayıtlar!$B$5:$B$504,"Gider",Kayıtlar!$C$5:$C$504,H19,Kayıtlar!$A$5:$A$504,"&gt;="&amp;DATE($C$3,1,1),Kayıtlar!$A$5:$A$504,"&lt;"&amp;DATE($C$3+1,1,1)))</f>
        <v>0</v>
      </c>
      <c r="J19" s="27" t="n">
        <f aca="false">IF(OR(H19="",$D$22=0),"",I19/$D$22)</f>
        <v>0</v>
      </c>
      <c r="L19" s="25" t="str">
        <f aca="false">IF(Kategoriler!A13="","",Kategoriler!A13)</f>
        <v/>
      </c>
      <c r="M19" s="26" t="str">
        <f aca="false">IF(L19="","",SUMIFS(Kayıtlar!$E$5:$E$504,Kayıtlar!$B$5:$B$504,"Gelir",Kayıtlar!$C$5:$C$504,L19,Kayıtlar!$A$5:$A$504,"&gt;="&amp;DATE($C$3,1,1),Kayıtlar!$A$5:$A$504,"&lt;"&amp;DATE($C$3+1,1,1)))</f>
        <v/>
      </c>
      <c r="N19" s="27" t="str">
        <f aca="false">IF(OR(L19="",$C$22=0),"",M19/$C$22)</f>
        <v/>
      </c>
    </row>
    <row r="20" customFormat="false" ht="15" hidden="false" customHeight="false" outlineLevel="0" collapsed="false">
      <c r="B20" s="22" t="s">
        <v>77</v>
      </c>
      <c r="C20" s="23" t="n">
        <f aca="false">SUMIFS(Kayıtlar!$E$5:$E$504,Kayıtlar!$B$5:$B$504,"Gelir",Kayıtlar!$A$5:$A$504,"&gt;="&amp;DATE($C$3,11,1),Kayıtlar!$A$5:$A$504,"&lt;"&amp;DATE($C$3,12,1))</f>
        <v>0</v>
      </c>
      <c r="D20" s="23" t="n">
        <f aca="false">SUMIFS(Kayıtlar!$E$5:$E$504,Kayıtlar!$B$5:$B$504,"Gider",Kayıtlar!$A$5:$A$504,"&gt;="&amp;DATE($C$3,11,1),Kayıtlar!$A$5:$A$504,"&lt;"&amp;DATE($C$3,12,1))</f>
        <v>0</v>
      </c>
      <c r="E20" s="23" t="n">
        <f aca="false">C20-D20</f>
        <v>0</v>
      </c>
      <c r="F20" s="23" t="n">
        <f aca="false">F19+E20</f>
        <v>24500</v>
      </c>
      <c r="H20" s="22" t="str">
        <f aca="false">IF(Kategoriler!C14="","",Kategoriler!C14)</f>
        <v>Sağlık</v>
      </c>
      <c r="I20" s="23" t="n">
        <f aca="false">IF(H20="","",SUMIFS(Kayıtlar!$E$5:$E$504,Kayıtlar!$B$5:$B$504,"Gider",Kayıtlar!$C$5:$C$504,H20,Kayıtlar!$A$5:$A$504,"&gt;="&amp;DATE($C$3,1,1),Kayıtlar!$A$5:$A$504,"&lt;"&amp;DATE($C$3+1,1,1)))</f>
        <v>0</v>
      </c>
      <c r="J20" s="24" t="n">
        <f aca="false">IF(OR(H20="",$D$22=0),"",I20/$D$22)</f>
        <v>0</v>
      </c>
      <c r="L20" s="22" t="str">
        <f aca="false">IF(Kategoriler!A14="","",Kategoriler!A14)</f>
        <v/>
      </c>
      <c r="M20" s="23" t="str">
        <f aca="false">IF(L20="","",SUMIFS(Kayıtlar!$E$5:$E$504,Kayıtlar!$B$5:$B$504,"Gelir",Kayıtlar!$C$5:$C$504,L20,Kayıtlar!$A$5:$A$504,"&gt;="&amp;DATE($C$3,1,1),Kayıtlar!$A$5:$A$504,"&lt;"&amp;DATE($C$3+1,1,1)))</f>
        <v/>
      </c>
      <c r="N20" s="24" t="str">
        <f aca="false">IF(OR(L20="",$C$22=0),"",M20/$C$22)</f>
        <v/>
      </c>
    </row>
    <row r="21" customFormat="false" ht="15" hidden="false" customHeight="false" outlineLevel="0" collapsed="false">
      <c r="B21" s="25" t="s">
        <v>78</v>
      </c>
      <c r="C21" s="26" t="n">
        <f aca="false">SUMIFS(Kayıtlar!$E$5:$E$504,Kayıtlar!$B$5:$B$504,"Gelir",Kayıtlar!$A$5:$A$504,"&gt;="&amp;DATE($C$3,12,1),Kayıtlar!$A$5:$A$504,"&lt;"&amp;DATE($C$3,13,1))</f>
        <v>0</v>
      </c>
      <c r="D21" s="26" t="n">
        <f aca="false">SUMIFS(Kayıtlar!$E$5:$E$504,Kayıtlar!$B$5:$B$504,"Gider",Kayıtlar!$A$5:$A$504,"&gt;="&amp;DATE($C$3,12,1),Kayıtlar!$A$5:$A$504,"&lt;"&amp;DATE($C$3,13,1))</f>
        <v>0</v>
      </c>
      <c r="E21" s="26" t="n">
        <f aca="false">C21-D21</f>
        <v>0</v>
      </c>
      <c r="F21" s="26" t="n">
        <f aca="false">F20+E21</f>
        <v>24500</v>
      </c>
      <c r="H21" s="25" t="str">
        <f aca="false">IF(Kategoriler!C15="","",Kategoriler!C15)</f>
        <v>Eğitim</v>
      </c>
      <c r="I21" s="26" t="n">
        <f aca="false">IF(H21="","",SUMIFS(Kayıtlar!$E$5:$E$504,Kayıtlar!$B$5:$B$504,"Gider",Kayıtlar!$C$5:$C$504,H21,Kayıtlar!$A$5:$A$504,"&gt;="&amp;DATE($C$3,1,1),Kayıtlar!$A$5:$A$504,"&lt;"&amp;DATE($C$3+1,1,1)))</f>
        <v>0</v>
      </c>
      <c r="J21" s="27" t="n">
        <f aca="false">IF(OR(H21="",$D$22=0),"",I21/$D$22)</f>
        <v>0</v>
      </c>
      <c r="L21" s="25" t="str">
        <f aca="false">IF(Kategoriler!A15="","",Kategoriler!A15)</f>
        <v/>
      </c>
      <c r="M21" s="26" t="str">
        <f aca="false">IF(L21="","",SUMIFS(Kayıtlar!$E$5:$E$504,Kayıtlar!$B$5:$B$504,"Gelir",Kayıtlar!$C$5:$C$504,L21,Kayıtlar!$A$5:$A$504,"&gt;="&amp;DATE($C$3,1,1),Kayıtlar!$A$5:$A$504,"&lt;"&amp;DATE($C$3+1,1,1)))</f>
        <v/>
      </c>
      <c r="N21" s="27" t="str">
        <f aca="false">IF(OR(L21="",$C$22=0),"",M21/$C$22)</f>
        <v/>
      </c>
    </row>
    <row r="22" customFormat="false" ht="15" hidden="false" customHeight="false" outlineLevel="0" collapsed="false">
      <c r="B22" s="28" t="s">
        <v>79</v>
      </c>
      <c r="C22" s="29" t="n">
        <f aca="false">SUM(C10:C21)</f>
        <v>60500</v>
      </c>
      <c r="D22" s="29" t="n">
        <f aca="false">SUM(D10:D21)</f>
        <v>36000</v>
      </c>
      <c r="E22" s="29" t="n">
        <f aca="false">SUM(E10:E21)</f>
        <v>24500</v>
      </c>
      <c r="F22" s="29" t="n">
        <f aca="false">F21</f>
        <v>24500</v>
      </c>
      <c r="H22" s="22" t="str">
        <f aca="false">IF(Kategoriler!C16="","",Kategoriler!C16)</f>
        <v>Eğlence</v>
      </c>
      <c r="I22" s="23" t="n">
        <f aca="false">IF(H22="","",SUMIFS(Kayıtlar!$E$5:$E$504,Kayıtlar!$B$5:$B$504,"Gider",Kayıtlar!$C$5:$C$504,H22,Kayıtlar!$A$5:$A$504,"&gt;="&amp;DATE($C$3,1,1),Kayıtlar!$A$5:$A$504,"&lt;"&amp;DATE($C$3+1,1,1)))</f>
        <v>0</v>
      </c>
      <c r="J22" s="24" t="n">
        <f aca="false">IF(OR(H22="",$D$22=0),"",I22/$D$22)</f>
        <v>0</v>
      </c>
    </row>
    <row r="23" customFormat="false" ht="15" hidden="false" customHeight="false" outlineLevel="0" collapsed="false">
      <c r="H23" s="25" t="str">
        <f aca="false">IF(Kategoriler!C17="","",Kategoriler!C17)</f>
        <v>Diğer Gider</v>
      </c>
      <c r="I23" s="26" t="n">
        <f aca="false">IF(H23="","",SUMIFS(Kayıtlar!$E$5:$E$504,Kayıtlar!$B$5:$B$504,"Gider",Kayıtlar!$C$5:$C$504,H23,Kayıtlar!$A$5:$A$504,"&gt;="&amp;DATE($C$3,1,1),Kayıtlar!$A$5:$A$504,"&lt;"&amp;DATE($C$3+1,1,1)))</f>
        <v>0</v>
      </c>
      <c r="J23" s="27" t="n">
        <f aca="false">IF(OR(H23="",$D$22=0),"",I23/$D$22)</f>
        <v>0</v>
      </c>
    </row>
    <row r="24" customFormat="false" ht="15" hidden="false" customHeight="false" outlineLevel="0" collapsed="false">
      <c r="H24" s="22" t="str">
        <f aca="false">IF(Kategoriler!C18="","",Kategoriler!C18)</f>
        <v/>
      </c>
      <c r="I24" s="23" t="str">
        <f aca="false">IF(H24="","",SUMIFS(Kayıtlar!$E$5:$E$504,Kayıtlar!$B$5:$B$504,"Gider",Kayıtlar!$C$5:$C$504,H24,Kayıtlar!$A$5:$A$504,"&gt;="&amp;DATE($C$3,1,1),Kayıtlar!$A$5:$A$504,"&lt;"&amp;DATE($C$3+1,1,1)))</f>
        <v/>
      </c>
      <c r="J24" s="24" t="str">
        <f aca="false">IF(OR(H24="",$D$22=0),"",I24/$D$22)</f>
        <v/>
      </c>
    </row>
    <row r="25" customFormat="false" ht="15" hidden="false" customHeight="false" outlineLevel="0" collapsed="false">
      <c r="H25" s="25" t="str">
        <f aca="false">IF(Kategoriler!C19="","",Kategoriler!C19)</f>
        <v/>
      </c>
      <c r="I25" s="26" t="str">
        <f aca="false">IF(H25="","",SUMIFS(Kayıtlar!$E$5:$E$504,Kayıtlar!$B$5:$B$504,"Gider",Kayıtlar!$C$5:$C$504,H25,Kayıtlar!$A$5:$A$504,"&gt;="&amp;DATE($C$3,1,1),Kayıtlar!$A$5:$A$504,"&lt;"&amp;DATE($C$3+1,1,1)))</f>
        <v/>
      </c>
      <c r="J25" s="27" t="str">
        <f aca="false">IF(OR(H25="",$D$22=0),"",I25/$D$22)</f>
        <v/>
      </c>
    </row>
    <row r="26" customFormat="false" ht="15" hidden="false" customHeight="false" outlineLevel="0" collapsed="false">
      <c r="H26" s="22" t="str">
        <f aca="false">IF(Kategoriler!C20="","",Kategoriler!C20)</f>
        <v/>
      </c>
      <c r="I26" s="23" t="str">
        <f aca="false">IF(H26="","",SUMIFS(Kayıtlar!$E$5:$E$504,Kayıtlar!$B$5:$B$504,"Gider",Kayıtlar!$C$5:$C$504,H26,Kayıtlar!$A$5:$A$504,"&gt;="&amp;DATE($C$3,1,1),Kayıtlar!$A$5:$A$504,"&lt;"&amp;DATE($C$3+1,1,1)))</f>
        <v/>
      </c>
      <c r="J26" s="24" t="str">
        <f aca="false">IF(OR(H26="",$D$22=0),"",I26/$D$22)</f>
        <v/>
      </c>
    </row>
    <row r="27" customFormat="false" ht="15" hidden="false" customHeight="false" outlineLevel="0" collapsed="false">
      <c r="H27" s="25" t="str">
        <f aca="false">IF(Kategoriler!C21="","",Kategoriler!C21)</f>
        <v/>
      </c>
      <c r="I27" s="26" t="str">
        <f aca="false">IF(H27="","",SUMIFS(Kayıtlar!$E$5:$E$504,Kayıtlar!$B$5:$B$504,"Gider",Kayıtlar!$C$5:$C$504,H27,Kayıtlar!$A$5:$A$504,"&gt;="&amp;DATE($C$3,1,1),Kayıtlar!$A$5:$A$504,"&lt;"&amp;DATE($C$3+1,1,1)))</f>
        <v/>
      </c>
      <c r="J27" s="27" t="str">
        <f aca="false">IF(OR(H27="",$D$22=0),"",I27/$D$22)</f>
        <v/>
      </c>
    </row>
    <row r="28" customFormat="false" ht="15" hidden="false" customHeight="false" outlineLevel="0" collapsed="false">
      <c r="H28" s="22" t="str">
        <f aca="false">IF(Kategoriler!C22="","",Kategoriler!C22)</f>
        <v/>
      </c>
      <c r="I28" s="23" t="str">
        <f aca="false">IF(H28="","",SUMIFS(Kayıtlar!$E$5:$E$504,Kayıtlar!$B$5:$B$504,"Gider",Kayıtlar!$C$5:$C$504,H28,Kayıtlar!$A$5:$A$504,"&gt;="&amp;DATE($C$3,1,1),Kayıtlar!$A$5:$A$504,"&lt;"&amp;DATE($C$3+1,1,1)))</f>
        <v/>
      </c>
      <c r="J28" s="24" t="str">
        <f aca="false">IF(OR(H28="",$D$22=0),"",I28/$D$22)</f>
        <v/>
      </c>
    </row>
    <row r="29" customFormat="false" ht="15" hidden="false" customHeight="false" outlineLevel="0" collapsed="false">
      <c r="H29" s="25" t="str">
        <f aca="false">IF(Kategoriler!C23="","",Kategoriler!C23)</f>
        <v/>
      </c>
      <c r="I29" s="26" t="str">
        <f aca="false">IF(H29="","",SUMIFS(Kayıtlar!$E$5:$E$504,Kayıtlar!$B$5:$B$504,"Gider",Kayıtlar!$C$5:$C$504,H29,Kayıtlar!$A$5:$A$504,"&gt;="&amp;DATE($C$3,1,1),Kayıtlar!$A$5:$A$504,"&lt;"&amp;DATE($C$3+1,1,1)))</f>
        <v/>
      </c>
      <c r="J29" s="27" t="str">
        <f aca="false">IF(OR(H29="",$D$22=0),"",I29/$D$22)</f>
        <v/>
      </c>
    </row>
  </sheetData>
  <conditionalFormatting sqref="E10:F22">
    <cfRule type="cellIs" priority="2" operator="lessThan" aboveAverage="0" equalAverage="0" bottom="0" percent="0" rank="0" text="" dxfId="1">
      <formula>0</formula>
    </cfRule>
  </conditionalFormatting>
  <conditionalFormatting sqref="D6">
    <cfRule type="cellIs" priority="3" operator="lessThan" aboveAverage="0" equalAverage="0" bottom="0" percent="0" rank="0" text="" dxfId="3">
      <formula>0</formula>
    </cfRule>
  </conditionalFormatting>
  <dataValidations count="1">
    <dataValidation allowBlank="false" error="2000 ile 2100 arasında bir yıl yaz." errorStyle="stop" operator="between" showDropDown="false" showErrorMessage="true" showInputMessage="false" sqref="C3" type="whole">
      <formula1>2000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"/>
    <col collapsed="false" customWidth="true" hidden="false" outlineLevel="0" max="3" min="3" style="0" width="32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3"/>
  </cols>
  <sheetData>
    <row r="1" customFormat="false" ht="19.7" hidden="false" customHeight="false" outlineLevel="0" collapsed="false">
      <c r="A1" s="8" t="s">
        <v>80</v>
      </c>
    </row>
    <row r="2" customFormat="false" ht="15" hidden="false" customHeight="false" outlineLevel="0" collapsed="false">
      <c r="A2" s="9" t="s">
        <v>81</v>
      </c>
    </row>
    <row r="3" customFormat="false" ht="15" hidden="false" customHeight="false" outlineLevel="0" collapsed="false">
      <c r="A3" s="30" t="s">
        <v>82</v>
      </c>
      <c r="C3" s="30" t="s">
        <v>83</v>
      </c>
      <c r="E3" s="30" t="s">
        <v>31</v>
      </c>
    </row>
    <row r="4" customFormat="false" ht="15" hidden="false" customHeight="false" outlineLevel="0" collapsed="false">
      <c r="A4" s="31" t="s">
        <v>33</v>
      </c>
      <c r="C4" s="31" t="s">
        <v>37</v>
      </c>
      <c r="E4" s="31" t="s">
        <v>46</v>
      </c>
    </row>
    <row r="5" customFormat="false" ht="15" hidden="false" customHeight="false" outlineLevel="0" collapsed="false">
      <c r="A5" s="31" t="s">
        <v>49</v>
      </c>
      <c r="C5" s="31" t="s">
        <v>39</v>
      </c>
      <c r="E5" s="31" t="s">
        <v>41</v>
      </c>
    </row>
    <row r="6" customFormat="false" ht="15" hidden="false" customHeight="false" outlineLevel="0" collapsed="false">
      <c r="A6" s="31" t="s">
        <v>84</v>
      </c>
      <c r="C6" s="31" t="s">
        <v>47</v>
      </c>
      <c r="E6" s="31" t="s">
        <v>44</v>
      </c>
    </row>
    <row r="7" customFormat="false" ht="15" hidden="false" customHeight="false" outlineLevel="0" collapsed="false">
      <c r="A7" s="31" t="s">
        <v>85</v>
      </c>
      <c r="C7" s="31" t="s">
        <v>86</v>
      </c>
      <c r="E7" s="31" t="s">
        <v>35</v>
      </c>
    </row>
    <row r="8" customFormat="false" ht="15" hidden="false" customHeight="false" outlineLevel="0" collapsed="false">
      <c r="A8" s="31" t="s">
        <v>87</v>
      </c>
      <c r="C8" s="31" t="s">
        <v>88</v>
      </c>
      <c r="E8" s="31"/>
    </row>
    <row r="9" customFormat="false" ht="15" hidden="false" customHeight="false" outlineLevel="0" collapsed="false">
      <c r="A9" s="31" t="s">
        <v>89</v>
      </c>
      <c r="C9" s="31" t="s">
        <v>42</v>
      </c>
      <c r="E9" s="31"/>
    </row>
    <row r="10" customFormat="false" ht="15" hidden="false" customHeight="false" outlineLevel="0" collapsed="false">
      <c r="A10" s="31"/>
      <c r="C10" s="31" t="s">
        <v>90</v>
      </c>
    </row>
    <row r="11" customFormat="false" ht="15" hidden="false" customHeight="false" outlineLevel="0" collapsed="false">
      <c r="A11" s="31"/>
      <c r="C11" s="31" t="s">
        <v>91</v>
      </c>
    </row>
    <row r="12" customFormat="false" ht="15" hidden="false" customHeight="false" outlineLevel="0" collapsed="false">
      <c r="A12" s="31"/>
      <c r="C12" s="31" t="s">
        <v>92</v>
      </c>
    </row>
    <row r="13" customFormat="false" ht="15" hidden="false" customHeight="false" outlineLevel="0" collapsed="false">
      <c r="A13" s="31"/>
      <c r="C13" s="31" t="s">
        <v>93</v>
      </c>
    </row>
    <row r="14" customFormat="false" ht="15" hidden="false" customHeight="false" outlineLevel="0" collapsed="false">
      <c r="A14" s="31"/>
      <c r="C14" s="31" t="s">
        <v>94</v>
      </c>
    </row>
    <row r="15" customFormat="false" ht="15" hidden="false" customHeight="false" outlineLevel="0" collapsed="false">
      <c r="A15" s="31"/>
      <c r="C15" s="31" t="s">
        <v>95</v>
      </c>
    </row>
    <row r="16" customFormat="false" ht="15" hidden="false" customHeight="false" outlineLevel="0" collapsed="false">
      <c r="C16" s="31" t="s">
        <v>96</v>
      </c>
    </row>
    <row r="17" customFormat="false" ht="15" hidden="false" customHeight="false" outlineLevel="0" collapsed="false">
      <c r="C17" s="31" t="s">
        <v>97</v>
      </c>
    </row>
    <row r="18" customFormat="false" ht="15" hidden="false" customHeight="false" outlineLevel="0" collapsed="false">
      <c r="C18" s="31"/>
    </row>
    <row r="19" customFormat="false" ht="15" hidden="false" customHeight="false" outlineLevel="0" collapsed="false">
      <c r="C19" s="31"/>
    </row>
    <row r="20" customFormat="false" ht="15" hidden="false" customHeight="false" outlineLevel="0" collapsed="false">
      <c r="C20" s="31"/>
    </row>
    <row r="21" customFormat="false" ht="15" hidden="false" customHeight="false" outlineLevel="0" collapsed="false">
      <c r="C21" s="31"/>
    </row>
    <row r="22" customFormat="false" ht="15" hidden="false" customHeight="false" outlineLevel="0" collapsed="false">
      <c r="C22" s="31"/>
    </row>
    <row r="23" customFormat="false" ht="15" hidden="false" customHeight="false" outlineLevel="0" collapsed="false">
      <c r="C23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2"/>
  </cols>
  <sheetData>
    <row r="1" customFormat="false" ht="19.7" hidden="false" customHeight="false" outlineLevel="0" collapsed="false">
      <c r="B1" s="8" t="s">
        <v>98</v>
      </c>
    </row>
    <row r="2" customFormat="false" ht="30" hidden="false" customHeight="true" outlineLevel="0" collapsed="false">
      <c r="B2" s="32" t="s">
        <v>99</v>
      </c>
      <c r="C2" s="32"/>
    </row>
    <row r="3" customFormat="false" ht="30" hidden="false" customHeight="true" outlineLevel="0" collapsed="false">
      <c r="B3" s="33" t="s">
        <v>100</v>
      </c>
      <c r="C3" s="33"/>
    </row>
    <row r="5" customFormat="false" ht="15" hidden="false" customHeight="false" outlineLevel="0" collapsed="false">
      <c r="B5" s="30" t="s">
        <v>101</v>
      </c>
      <c r="C5" s="30" t="s">
        <v>102</v>
      </c>
    </row>
    <row r="6" customFormat="false" ht="31.5" hidden="false" customHeight="true" outlineLevel="0" collapsed="false">
      <c r="B6" s="34" t="s">
        <v>103</v>
      </c>
      <c r="C6" s="35" t="s">
        <v>104</v>
      </c>
    </row>
    <row r="7" customFormat="false" ht="31.5" hidden="false" customHeight="true" outlineLevel="0" collapsed="false">
      <c r="B7" s="36" t="s">
        <v>105</v>
      </c>
      <c r="C7" s="37" t="s">
        <v>106</v>
      </c>
    </row>
    <row r="8" customFormat="false" ht="31.5" hidden="false" customHeight="true" outlineLevel="0" collapsed="false">
      <c r="B8" s="34" t="s">
        <v>107</v>
      </c>
      <c r="C8" s="35" t="s">
        <v>108</v>
      </c>
    </row>
    <row r="9" customFormat="false" ht="31.5" hidden="false" customHeight="true" outlineLevel="0" collapsed="false">
      <c r="B9" s="36" t="s">
        <v>109</v>
      </c>
      <c r="C9" s="37" t="s">
        <v>110</v>
      </c>
    </row>
    <row r="10" customFormat="false" ht="31.5" hidden="false" customHeight="true" outlineLevel="0" collapsed="false">
      <c r="B10" s="34" t="s">
        <v>111</v>
      </c>
      <c r="C10" s="35" t="s">
        <v>112</v>
      </c>
    </row>
    <row r="11" customFormat="false" ht="31.5" hidden="false" customHeight="true" outlineLevel="0" collapsed="false">
      <c r="B11" s="36" t="s">
        <v>113</v>
      </c>
      <c r="C11" s="37" t="s">
        <v>114</v>
      </c>
    </row>
    <row r="12" customFormat="false" ht="31.5" hidden="false" customHeight="true" outlineLevel="0" collapsed="false">
      <c r="B12" s="34" t="s">
        <v>115</v>
      </c>
      <c r="C12" s="35" t="s">
        <v>116</v>
      </c>
    </row>
    <row r="13" customFormat="false" ht="31.5" hidden="false" customHeight="true" outlineLevel="0" collapsed="false">
      <c r="B13" s="36" t="s">
        <v>117</v>
      </c>
      <c r="C13" s="37" t="s">
        <v>118</v>
      </c>
    </row>
    <row r="14" customFormat="false" ht="31.5" hidden="false" customHeight="true" outlineLevel="0" collapsed="false">
      <c r="B14" s="34" t="s">
        <v>119</v>
      </c>
      <c r="C14" s="35" t="s">
        <v>120</v>
      </c>
    </row>
    <row r="15" customFormat="false" ht="31.5" hidden="false" customHeight="true" outlineLevel="0" collapsed="false">
      <c r="B15" s="36" t="s">
        <v>121</v>
      </c>
      <c r="C15" s="37" t="s">
        <v>122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2026-10-04T18:00:00Z</dcterms:created>
  <dc:creator>openpyxl</dc:creator>
  <dc:description/>
  <dc:language>en-US</dc:language>
  <cp:lastModifiedBy/>
  <dcterms:modified xsi:type="dcterms:W3CDTF">2026-10-04T18:00:02Z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