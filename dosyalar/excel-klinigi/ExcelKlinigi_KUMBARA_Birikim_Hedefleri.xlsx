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Hedefler" sheetId="2" state="visible" r:id="rId4"/>
    <sheet name="Hareketler" sheetId="3" state="visible" r:id="rId5"/>
    <sheet name="Özet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<sst xmlns="http://schemas.openxmlformats.org/spreadsheetml/2006/main" count="90" uniqueCount="83">
  <si>
    <t xml:space="preserve">EXCEL KLİNİĞİ</t>
  </si>
  <si>
    <t xml:space="preserve">KUMBARA  |  Birikim hedefleri</t>
  </si>
  <si>
    <t xml:space="preserve">Tatil, araba, acil durum fonu: her hedefte neredesin, yetişmek için ayda ne ayırman gerek.</t>
  </si>
  <si>
    <t xml:space="preserve">NASIL KULLANILIR</t>
  </si>
  <si>
    <t xml:space="preserve">1. Hedefler</t>
  </si>
  <si>
    <t xml:space="preserve">Hedeflerini, tutarını, tarihini ve elindeki başlangıç tutarını yaz.</t>
  </si>
  <si>
    <t xml:space="preserve">2. Hareketler</t>
  </si>
  <si>
    <t xml:space="preserve">Hedefe para koydukça ya da aldıkça bir satır gir.</t>
  </si>
  <si>
    <t xml:space="preserve">3. Hedefler sayfasına dön</t>
  </si>
  <si>
    <t xml:space="preserve">İlerleme, kalan tutar ve yetişmek için ayda gereken tutar hesaplanır.</t>
  </si>
  <si>
    <t xml:space="preserve">BİLMEN GEREKENLER</t>
  </si>
  <si>
    <t xml:space="preserve">Aylık gereken</t>
  </si>
  <si>
    <t xml:space="preserve">Kalan tutarın, bugünden hedef tarihine kadar kalan ay sayısına bölümüdür. Faiz ya da getiri hesaba katılmaz.</t>
  </si>
  <si>
    <t xml:space="preserve">Hedef adı</t>
  </si>
  <si>
    <t xml:space="preserve">Bir hedefin adını değiştirirsen eski hareketlerdeki adı da değiştir.</t>
  </si>
  <si>
    <t xml:space="preserve">Kapasite</t>
  </si>
  <si>
    <t xml:space="preserve">Hedefler: 20 satır; Hareketler: 1000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</si>
  <si>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</si>
  <si>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</si>
  <si>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</si>
  <si>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</si>
  <si>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</si>
  <si>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Hedefler</t>
  </si>
  <si>
    <t xml:space="preserve">Her hedefin tutarını ve tarihini yaz. Başlangıçta elinde olan tutarı da ekle.</t>
  </si>
  <si>
    <t xml:space="preserve">Hedef</t>
  </si>
  <si>
    <t xml:space="preserve">Hedef tutar (₺)</t>
  </si>
  <si>
    <t xml:space="preserve">Hedef tarihi</t>
  </si>
  <si>
    <t xml:space="preserve">Başlangıç tutarı (₺)</t>
  </si>
  <si>
    <t xml:space="preserve">Biriken (₺)</t>
  </si>
  <si>
    <t xml:space="preserve">İlerleme</t>
  </si>
  <si>
    <t xml:space="preserve">Kalan (₺)</t>
  </si>
  <si>
    <t xml:space="preserve">Kalan ay</t>
  </si>
  <si>
    <t xml:space="preserve">Aylık gereken (₺)</t>
  </si>
  <si>
    <t xml:space="preserve">Durum</t>
  </si>
  <si>
    <t xml:space="preserve">Acil durum fonu</t>
  </si>
  <si>
    <t xml:space="preserve">Yaz tatili</t>
  </si>
  <si>
    <t xml:space="preserve">Yeni bilgisayar</t>
  </si>
  <si>
    <t xml:space="preserve">Hareketler</t>
  </si>
  <si>
    <t xml:space="preserve">Hedefe para koyduğunda Yatırma, aldığında Çekme yaz.</t>
  </si>
  <si>
    <t xml:space="preserve">Tarih</t>
  </si>
  <si>
    <t xml:space="preserve">Tür</t>
  </si>
  <si>
    <t xml:space="preserve">Tutar (₺)</t>
  </si>
  <si>
    <t xml:space="preserve">Not</t>
  </si>
  <si>
    <t xml:space="preserve">Net (₺)</t>
  </si>
  <si>
    <t xml:space="preserve">Yatırma</t>
  </si>
  <si>
    <t xml:space="preserve">Çekme</t>
  </si>
  <si>
    <t xml:space="preserve">Özet</t>
  </si>
  <si>
    <t xml:space="preserve">Bu sayfada yalnızca yılı değiştir.</t>
  </si>
  <si>
    <t xml:space="preserve">Yıl</t>
  </si>
  <si>
    <t xml:space="preserve">Toplam hedef</t>
  </si>
  <si>
    <t xml:space="preserve">Biriken</t>
  </si>
  <si>
    <t xml:space="preserve">Genel ilerleme</t>
  </si>
  <si>
    <t xml:space="preserve">Bu yıl net yatırılan</t>
  </si>
  <si>
    <t xml:space="preserve">Aylık gereken toplam</t>
  </si>
  <si>
    <t xml:space="preserve">Aylık tablo</t>
  </si>
  <si>
    <t xml:space="preserve">Ay</t>
  </si>
  <si>
    <t xml:space="preserve">Net yatırılan (₺)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</si>
  <si>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</si>
  <si>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</si>
  <si>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</si>
  <si>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</si>
  <si>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</si>
  <si>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</si>
  <si>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</si>
  <si>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</si>
  <si>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</si>
  <si>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</si>
  <si>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</si>
  <si>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</si>
  <si>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</si>
  <si>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</si>
  <si>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</si>
  <si>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Hesap numarası ve banka bilgisi paylaşma. Yapay zekanın verdiği rakamları dosyadaki özet sayfasıyla karşılaştır.</t>
  </si>
  <si>
    <t xml:space="preserve">Ne için</t>
  </si>
  <si>
    <t xml:space="preserve">Komut (kopyala, yapıştır)</t>
  </si>
  <si>
    <t xml:space="preserve">Öncelik</t>
  </si>
  <si>
    <t xml:space="preserve">[Hedefler sayfası] Aylık [tutar] ayırabiliyorum. Bu parayı hedefler arasında nasıl dağıtmalıyım?</t>
  </si>
  <si>
    <t xml:space="preserve">Gerçekçilik</t>
  </si>
  <si>
    <t xml:space="preserve">[Hedefler sayfası] Hangi hedefin tarihi gerçekçi değil? Yeni tarih öner.</t>
  </si>
  <si>
    <t xml:space="preserve">Motivasyon</t>
  </si>
  <si>
    <t xml:space="preserve">Birikim alışkanlığını sürdürmek için otomatik düzen kurmanın üç yolunu anlat.</t>
  </si>
  <si>
    <t xml:space="preserve">Ara hedef</t>
  </si>
  <si>
    <t xml:space="preserve">En büyük hedefimi üç ara basamağa böl.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</si>
</sst>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₺&quot;"/>
    <numFmt numFmtId="166" formatCode="dd\.mm\.yyyy"/>
    <numFmt numFmtId="167" formatCode="#,##0.00&quot; ₺&quot;;[RED]\-#,##0.00&quot; ₺&quot;;\-"/>
    <numFmt numFmtId="168" formatCode="0%"/>
    <numFmt numFmtId="169" formatCode="#,##0;[RED]\-#,##0;\-"/>
    <numFmt numFmtId="170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F6F43"/>
      </font>
      <fill>
        <patternFill>
          <bgColor rgb="FFE8F5EE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2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DE2E0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30" hidden="false" customHeight="true" outlineLevel="0" collapsed="false">
      <c r="B12" s="5" t="s">
        <v>11</v>
      </c>
      <c r="C12" s="6" t="s">
        <v>12</v>
      </c>
    </row>
    <row r="13" customFormat="false" ht="18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8" min="5" style="0" width="14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1" t="s">
        <v>28</v>
      </c>
      <c r="F4" s="11" t="s">
        <v>29</v>
      </c>
      <c r="G4" s="11" t="s">
        <v>30</v>
      </c>
      <c r="H4" s="11" t="s">
        <v>31</v>
      </c>
      <c r="I4" s="11" t="s">
        <v>32</v>
      </c>
      <c r="J4" s="11" t="s">
        <v>33</v>
      </c>
    </row>
    <row r="5" customFormat="false" ht="15" hidden="false" customHeight="false" outlineLevel="0" collapsed="false">
      <c r="A5" s="12" t="s">
        <v>34</v>
      </c>
      <c r="B5" s="13" t="n">
        <v>100000</v>
      </c>
      <c r="C5" s="14" t="n">
        <v>46568</v>
      </c>
      <c r="D5" s="13" t="n">
        <v>10000</v>
      </c>
      <c r="E5" s="15" t="n">
        <f aca="false">IF(A5="","",D5+SUMIFS(Hareketler!$F$5:$F$1004,Hareketler!$B$5:$B$1004,A5))</f>
        <v>32000</v>
      </c>
      <c r="F5" s="16" t="n">
        <f aca="false">IF(OR(A5="",B5=0),"",E5/B5)</f>
        <v>0.32</v>
      </c>
      <c r="G5" s="15" t="n">
        <f aca="false">IF(A5="","",MAX(0,B5-E5))</f>
        <v>68000</v>
      </c>
      <c r="H5" s="17" t="n">
        <f aca="true">IF(OR(A5="",C5=""),"",MAX(0,(YEAR(C5)-YEAR(TODAY()))*12+MONTH(C5)-MONTH(TODAY())))</f>
        <v>8</v>
      </c>
      <c r="I5" s="15" t="n">
        <f aca="false">IF(OR(A5="",H5=""),"",IF(G5=0,0,IF(H5=0,G5,G5/H5)))</f>
        <v>8500</v>
      </c>
      <c r="J5" s="18" t="str">
        <f aca="true">IF(A5="","",IF(G5=0,"Tamamlandı",IF(AND(C5&lt;&gt;"",C5&lt;TODAY()),"Süre doldu","Sürüyor")))</f>
        <v>Sürüyor</v>
      </c>
    </row>
    <row r="6" customFormat="false" ht="15" hidden="false" customHeight="false" outlineLevel="0" collapsed="false">
      <c r="A6" s="12" t="s">
        <v>35</v>
      </c>
      <c r="B6" s="13" t="n">
        <v>60000</v>
      </c>
      <c r="C6" s="14" t="n">
        <v>46539</v>
      </c>
      <c r="D6" s="13" t="n">
        <v>0</v>
      </c>
      <c r="E6" s="15" t="n">
        <f aca="false">IF(A6="","",D6+SUMIFS(Hareketler!$F$5:$F$1004,Hareketler!$B$5:$B$1004,A6))</f>
        <v>12000</v>
      </c>
      <c r="F6" s="16" t="n">
        <f aca="false">IF(OR(A6="",B6=0),"",E6/B6)</f>
        <v>0.2</v>
      </c>
      <c r="G6" s="15" t="n">
        <f aca="false">IF(A6="","",MAX(0,B6-E6))</f>
        <v>48000</v>
      </c>
      <c r="H6" s="17" t="n">
        <f aca="true">IF(OR(A6="",C6=""),"",MAX(0,(YEAR(C6)-YEAR(TODAY()))*12+MONTH(C6)-MONTH(TODAY())))</f>
        <v>8</v>
      </c>
      <c r="I6" s="15" t="n">
        <f aca="false">IF(OR(A6="",H6=""),"",IF(G6=0,0,IF(H6=0,G6,G6/H6)))</f>
        <v>6000</v>
      </c>
      <c r="J6" s="18" t="str">
        <f aca="true">IF(A6="","",IF(G6=0,"Tamamlandı",IF(AND(C6&lt;&gt;"",C6&lt;TODAY()),"Süre doldu","Sürüyor")))</f>
        <v>Sürüyor</v>
      </c>
    </row>
    <row r="7" customFormat="false" ht="15" hidden="false" customHeight="false" outlineLevel="0" collapsed="false">
      <c r="A7" s="12" t="s">
        <v>36</v>
      </c>
      <c r="B7" s="13" t="n">
        <v>45000</v>
      </c>
      <c r="C7" s="14" t="n">
        <v>46266</v>
      </c>
      <c r="D7" s="13" t="n">
        <v>45000</v>
      </c>
      <c r="E7" s="15" t="n">
        <f aca="false">IF(A7="","",D7+SUMIFS(Hareketler!$F$5:$F$1004,Hareketler!$B$5:$B$1004,A7))</f>
        <v>45000</v>
      </c>
      <c r="F7" s="16" t="n">
        <f aca="false">IF(OR(A7="",B7=0),"",E7/B7)</f>
        <v>1</v>
      </c>
      <c r="G7" s="15" t="n">
        <f aca="false">IF(A7="","",MAX(0,B7-E7))</f>
        <v>0</v>
      </c>
      <c r="H7" s="17" t="n">
        <f aca="true">IF(OR(A7="",C7=""),"",MAX(0,(YEAR(C7)-YEAR(TODAY()))*12+MONTH(C7)-MONTH(TODAY())))</f>
        <v>0</v>
      </c>
      <c r="I7" s="15" t="n">
        <f aca="false">IF(OR(A7="",H7=""),"",IF(G7=0,0,IF(H7=0,G7,G7/H7)))</f>
        <v>0</v>
      </c>
      <c r="J7" s="18" t="str">
        <f aca="true">IF(A7="","",IF(G7=0,"Tamamlandı",IF(AND(C7&lt;&gt;"",C7&lt;TODAY()),"Süre doldu","Sürüyor")))</f>
        <v>Tamamlandı</v>
      </c>
    </row>
    <row r="8" customFormat="false" ht="15" hidden="false" customHeight="false" outlineLevel="0" collapsed="false">
      <c r="A8" s="12"/>
      <c r="B8" s="13"/>
      <c r="C8" s="14"/>
      <c r="D8" s="13"/>
      <c r="E8" s="15" t="str">
        <f aca="false">IF(A8="","",D8+SUMIFS(Hareketler!$F$5:$F$1004,Hareketler!$B$5:$B$1004,A8))</f>
        <v/>
      </c>
      <c r="F8" s="16" t="str">
        <f aca="false">IF(OR(A8="",B8=0),"",E8/B8)</f>
        <v/>
      </c>
      <c r="G8" s="15" t="str">
        <f aca="false">IF(A8="","",MAX(0,B8-E8))</f>
        <v/>
      </c>
      <c r="H8" s="17" t="str">
        <f aca="true">IF(OR(A8="",C8=""),"",MAX(0,(YEAR(C8)-YEAR(TODAY()))*12+MONTH(C8)-MONTH(TODAY())))</f>
        <v/>
      </c>
      <c r="I8" s="15" t="str">
        <f aca="false">IF(OR(A8="",H8=""),"",IF(G8=0,0,IF(H8=0,G8,G8/H8)))</f>
        <v/>
      </c>
      <c r="J8" s="18" t="str">
        <f aca="true">IF(A8="","",IF(G8=0,"Tamamlandı",IF(AND(C8&lt;&gt;"",C8&lt;TODAY()),"Süre doldu","Sürüyor")))</f>
        <v/>
      </c>
    </row>
    <row r="9" customFormat="false" ht="15" hidden="false" customHeight="false" outlineLevel="0" collapsed="false">
      <c r="A9" s="12"/>
      <c r="B9" s="13"/>
      <c r="C9" s="14"/>
      <c r="D9" s="13"/>
      <c r="E9" s="15" t="str">
        <f aca="false">IF(A9="","",D9+SUMIFS(Hareketler!$F$5:$F$1004,Hareketler!$B$5:$B$1004,A9))</f>
        <v/>
      </c>
      <c r="F9" s="16" t="str">
        <f aca="false">IF(OR(A9="",B9=0),"",E9/B9)</f>
        <v/>
      </c>
      <c r="G9" s="15" t="str">
        <f aca="false">IF(A9="","",MAX(0,B9-E9))</f>
        <v/>
      </c>
      <c r="H9" s="17" t="str">
        <f aca="true">IF(OR(A9="",C9=""),"",MAX(0,(YEAR(C9)-YEAR(TODAY()))*12+MONTH(C9)-MONTH(TODAY())))</f>
        <v/>
      </c>
      <c r="I9" s="15" t="str">
        <f aca="false">IF(OR(A9="",H9=""),"",IF(G9=0,0,IF(H9=0,G9,G9/H9)))</f>
        <v/>
      </c>
      <c r="J9" s="18" t="str">
        <f aca="true">IF(A9="","",IF(G9=0,"Tamamlandı",IF(AND(C9&lt;&gt;"",C9&lt;TODAY()),"Süre doldu","Sürüyor")))</f>
        <v/>
      </c>
    </row>
    <row r="10" customFormat="false" ht="15" hidden="false" customHeight="false" outlineLevel="0" collapsed="false">
      <c r="A10" s="12"/>
      <c r="B10" s="13"/>
      <c r="C10" s="14"/>
      <c r="D10" s="13"/>
      <c r="E10" s="15" t="str">
        <f aca="false">IF(A10="","",D10+SUMIFS(Hareketler!$F$5:$F$1004,Hareketler!$B$5:$B$1004,A10))</f>
        <v/>
      </c>
      <c r="F10" s="16" t="str">
        <f aca="false">IF(OR(A10="",B10=0),"",E10/B10)</f>
        <v/>
      </c>
      <c r="G10" s="15" t="str">
        <f aca="false">IF(A10="","",MAX(0,B10-E10))</f>
        <v/>
      </c>
      <c r="H10" s="17" t="str">
        <f aca="true">IF(OR(A10="",C10=""),"",MAX(0,(YEAR(C10)-YEAR(TODAY()))*12+MONTH(C10)-MONTH(TODAY())))</f>
        <v/>
      </c>
      <c r="I10" s="15" t="str">
        <f aca="false">IF(OR(A10="",H10=""),"",IF(G10=0,0,IF(H10=0,G10,G10/H10)))</f>
        <v/>
      </c>
      <c r="J10" s="18" t="str">
        <f aca="true">IF(A10="","",IF(G10=0,"Tamamlandı",IF(AND(C10&lt;&gt;"",C10&lt;TODAY()),"Süre doldu","Sürüyor")))</f>
        <v/>
      </c>
    </row>
    <row r="11" customFormat="false" ht="15" hidden="false" customHeight="false" outlineLevel="0" collapsed="false">
      <c r="A11" s="12"/>
      <c r="B11" s="13"/>
      <c r="C11" s="14"/>
      <c r="D11" s="13"/>
      <c r="E11" s="15" t="str">
        <f aca="false">IF(A11="","",D11+SUMIFS(Hareketler!$F$5:$F$1004,Hareketler!$B$5:$B$1004,A11))</f>
        <v/>
      </c>
      <c r="F11" s="16" t="str">
        <f aca="false">IF(OR(A11="",B11=0),"",E11/B11)</f>
        <v/>
      </c>
      <c r="G11" s="15" t="str">
        <f aca="false">IF(A11="","",MAX(0,B11-E11))</f>
        <v/>
      </c>
      <c r="H11" s="17" t="str">
        <f aca="true">IF(OR(A11="",C11=""),"",MAX(0,(YEAR(C11)-YEAR(TODAY()))*12+MONTH(C11)-MONTH(TODAY())))</f>
        <v/>
      </c>
      <c r="I11" s="15" t="str">
        <f aca="false">IF(OR(A11="",H11=""),"",IF(G11=0,0,IF(H11=0,G11,G11/H11)))</f>
        <v/>
      </c>
      <c r="J11" s="18" t="str">
        <f aca="true">IF(A11="","",IF(G11=0,"Tamamlandı",IF(AND(C11&lt;&gt;"",C11&lt;TODAY()),"Süre doldu","Sürüyor")))</f>
        <v/>
      </c>
    </row>
    <row r="12" customFormat="false" ht="15" hidden="false" customHeight="false" outlineLevel="0" collapsed="false">
      <c r="A12" s="12"/>
      <c r="B12" s="13"/>
      <c r="C12" s="14"/>
      <c r="D12" s="13"/>
      <c r="E12" s="15" t="str">
        <f aca="false">IF(A12="","",D12+SUMIFS(Hareketler!$F$5:$F$1004,Hareketler!$B$5:$B$1004,A12))</f>
        <v/>
      </c>
      <c r="F12" s="16" t="str">
        <f aca="false">IF(OR(A12="",B12=0),"",E12/B12)</f>
        <v/>
      </c>
      <c r="G12" s="15" t="str">
        <f aca="false">IF(A12="","",MAX(0,B12-E12))</f>
        <v/>
      </c>
      <c r="H12" s="17" t="str">
        <f aca="true">IF(OR(A12="",C12=""),"",MAX(0,(YEAR(C12)-YEAR(TODAY()))*12+MONTH(C12)-MONTH(TODAY())))</f>
        <v/>
      </c>
      <c r="I12" s="15" t="str">
        <f aca="false">IF(OR(A12="",H12=""),"",IF(G12=0,0,IF(H12=0,G12,G12/H12)))</f>
        <v/>
      </c>
      <c r="J12" s="18" t="str">
        <f aca="true">IF(A12="","",IF(G12=0,"Tamamlandı",IF(AND(C12&lt;&gt;"",C12&lt;TODAY()),"Süre doldu","Sürüyor")))</f>
        <v/>
      </c>
    </row>
    <row r="13" customFormat="false" ht="15" hidden="false" customHeight="false" outlineLevel="0" collapsed="false">
      <c r="A13" s="12"/>
      <c r="B13" s="13"/>
      <c r="C13" s="14"/>
      <c r="D13" s="13"/>
      <c r="E13" s="15" t="str">
        <f aca="false">IF(A13="","",D13+SUMIFS(Hareketler!$F$5:$F$1004,Hareketler!$B$5:$B$1004,A13))</f>
        <v/>
      </c>
      <c r="F13" s="16" t="str">
        <f aca="false">IF(OR(A13="",B13=0),"",E13/B13)</f>
        <v/>
      </c>
      <c r="G13" s="15" t="str">
        <f aca="false">IF(A13="","",MAX(0,B13-E13))</f>
        <v/>
      </c>
      <c r="H13" s="17" t="str">
        <f aca="true">IF(OR(A13="",C13=""),"",MAX(0,(YEAR(C13)-YEAR(TODAY()))*12+MONTH(C13)-MONTH(TODAY())))</f>
        <v/>
      </c>
      <c r="I13" s="15" t="str">
        <f aca="false">IF(OR(A13="",H13=""),"",IF(G13=0,0,IF(H13=0,G13,G13/H13)))</f>
        <v/>
      </c>
      <c r="J13" s="18" t="str">
        <f aca="true">IF(A13="","",IF(G13=0,"Tamamlandı",IF(AND(C13&lt;&gt;"",C13&lt;TODAY()),"Süre doldu","Sürüyor")))</f>
        <v/>
      </c>
    </row>
    <row r="14" customFormat="false" ht="15" hidden="false" customHeight="false" outlineLevel="0" collapsed="false">
      <c r="A14" s="12"/>
      <c r="B14" s="13"/>
      <c r="C14" s="14"/>
      <c r="D14" s="13"/>
      <c r="E14" s="15" t="str">
        <f aca="false">IF(A14="","",D14+SUMIFS(Hareketler!$F$5:$F$1004,Hareketler!$B$5:$B$1004,A14))</f>
        <v/>
      </c>
      <c r="F14" s="16" t="str">
        <f aca="false">IF(OR(A14="",B14=0),"",E14/B14)</f>
        <v/>
      </c>
      <c r="G14" s="15" t="str">
        <f aca="false">IF(A14="","",MAX(0,B14-E14))</f>
        <v/>
      </c>
      <c r="H14" s="17" t="str">
        <f aca="true">IF(OR(A14="",C14=""),"",MAX(0,(YEAR(C14)-YEAR(TODAY()))*12+MONTH(C14)-MONTH(TODAY())))</f>
        <v/>
      </c>
      <c r="I14" s="15" t="str">
        <f aca="false">IF(OR(A14="",H14=""),"",IF(G14=0,0,IF(H14=0,G14,G14/H14)))</f>
        <v/>
      </c>
      <c r="J14" s="18" t="str">
        <f aca="true">IF(A14="","",IF(G14=0,"Tamamlandı",IF(AND(C14&lt;&gt;"",C14&lt;TODAY()),"Süre doldu","Sürüyor")))</f>
        <v/>
      </c>
    </row>
    <row r="15" customFormat="false" ht="15" hidden="false" customHeight="false" outlineLevel="0" collapsed="false">
      <c r="A15" s="12"/>
      <c r="B15" s="13"/>
      <c r="C15" s="14"/>
      <c r="D15" s="13"/>
      <c r="E15" s="15" t="str">
        <f aca="false">IF(A15="","",D15+SUMIFS(Hareketler!$F$5:$F$1004,Hareketler!$B$5:$B$1004,A15))</f>
        <v/>
      </c>
      <c r="F15" s="16" t="str">
        <f aca="false">IF(OR(A15="",B15=0),"",E15/B15)</f>
        <v/>
      </c>
      <c r="G15" s="15" t="str">
        <f aca="false">IF(A15="","",MAX(0,B15-E15))</f>
        <v/>
      </c>
      <c r="H15" s="17" t="str">
        <f aca="true">IF(OR(A15="",C15=""),"",MAX(0,(YEAR(C15)-YEAR(TODAY()))*12+MONTH(C15)-MONTH(TODAY())))</f>
        <v/>
      </c>
      <c r="I15" s="15" t="str">
        <f aca="false">IF(OR(A15="",H15=""),"",IF(G15=0,0,IF(H15=0,G15,G15/H15)))</f>
        <v/>
      </c>
      <c r="J15" s="18" t="str">
        <f aca="true">IF(A15="","",IF(G15=0,"Tamamlandı",IF(AND(C15&lt;&gt;"",C15&lt;TODAY()),"Süre doldu","Sürüyor")))</f>
        <v/>
      </c>
    </row>
    <row r="16" customFormat="false" ht="15" hidden="false" customHeight="false" outlineLevel="0" collapsed="false">
      <c r="A16" s="12"/>
      <c r="B16" s="13"/>
      <c r="C16" s="14"/>
      <c r="D16" s="13"/>
      <c r="E16" s="15" t="str">
        <f aca="false">IF(A16="","",D16+SUMIFS(Hareketler!$F$5:$F$1004,Hareketler!$B$5:$B$1004,A16))</f>
        <v/>
      </c>
      <c r="F16" s="16" t="str">
        <f aca="false">IF(OR(A16="",B16=0),"",E16/B16)</f>
        <v/>
      </c>
      <c r="G16" s="15" t="str">
        <f aca="false">IF(A16="","",MAX(0,B16-E16))</f>
        <v/>
      </c>
      <c r="H16" s="17" t="str">
        <f aca="true">IF(OR(A16="",C16=""),"",MAX(0,(YEAR(C16)-YEAR(TODAY()))*12+MONTH(C16)-MONTH(TODAY())))</f>
        <v/>
      </c>
      <c r="I16" s="15" t="str">
        <f aca="false">IF(OR(A16="",H16=""),"",IF(G16=0,0,IF(H16=0,G16,G16/H16)))</f>
        <v/>
      </c>
      <c r="J16" s="18" t="str">
        <f aca="true">IF(A16="","",IF(G16=0,"Tamamlandı",IF(AND(C16&lt;&gt;"",C16&lt;TODAY()),"Süre doldu","Sürüyor")))</f>
        <v/>
      </c>
    </row>
    <row r="17" customFormat="false" ht="15" hidden="false" customHeight="false" outlineLevel="0" collapsed="false">
      <c r="A17" s="12"/>
      <c r="B17" s="13"/>
      <c r="C17" s="14"/>
      <c r="D17" s="13"/>
      <c r="E17" s="15" t="str">
        <f aca="false">IF(A17="","",D17+SUMIFS(Hareketler!$F$5:$F$1004,Hareketler!$B$5:$B$1004,A17))</f>
        <v/>
      </c>
      <c r="F17" s="16" t="str">
        <f aca="false">IF(OR(A17="",B17=0),"",E17/B17)</f>
        <v/>
      </c>
      <c r="G17" s="15" t="str">
        <f aca="false">IF(A17="","",MAX(0,B17-E17))</f>
        <v/>
      </c>
      <c r="H17" s="17" t="str">
        <f aca="true">IF(OR(A17="",C17=""),"",MAX(0,(YEAR(C17)-YEAR(TODAY()))*12+MONTH(C17)-MONTH(TODAY())))</f>
        <v/>
      </c>
      <c r="I17" s="15" t="str">
        <f aca="false">IF(OR(A17="",H17=""),"",IF(G17=0,0,IF(H17=0,G17,G17/H17)))</f>
        <v/>
      </c>
      <c r="J17" s="18" t="str">
        <f aca="true">IF(A17="","",IF(G17=0,"Tamamlandı",IF(AND(C17&lt;&gt;"",C17&lt;TODAY()),"Süre doldu","Sürüyor")))</f>
        <v/>
      </c>
    </row>
    <row r="18" customFormat="false" ht="15" hidden="false" customHeight="false" outlineLevel="0" collapsed="false">
      <c r="A18" s="12"/>
      <c r="B18" s="13"/>
      <c r="C18" s="14"/>
      <c r="D18" s="13"/>
      <c r="E18" s="15" t="str">
        <f aca="false">IF(A18="","",D18+SUMIFS(Hareketler!$F$5:$F$1004,Hareketler!$B$5:$B$1004,A18))</f>
        <v/>
      </c>
      <c r="F18" s="16" t="str">
        <f aca="false">IF(OR(A18="",B18=0),"",E18/B18)</f>
        <v/>
      </c>
      <c r="G18" s="15" t="str">
        <f aca="false">IF(A18="","",MAX(0,B18-E18))</f>
        <v/>
      </c>
      <c r="H18" s="17" t="str">
        <f aca="true">IF(OR(A18="",C18=""),"",MAX(0,(YEAR(C18)-YEAR(TODAY()))*12+MONTH(C18)-MONTH(TODAY())))</f>
        <v/>
      </c>
      <c r="I18" s="15" t="str">
        <f aca="false">IF(OR(A18="",H18=""),"",IF(G18=0,0,IF(H18=0,G18,G18/H18)))</f>
        <v/>
      </c>
      <c r="J18" s="18" t="str">
        <f aca="true">IF(A18="","",IF(G18=0,"Tamamlandı",IF(AND(C18&lt;&gt;"",C18&lt;TODAY()),"Süre doldu","Sürüyor")))</f>
        <v/>
      </c>
    </row>
    <row r="19" customFormat="false" ht="15" hidden="false" customHeight="false" outlineLevel="0" collapsed="false">
      <c r="A19" s="12"/>
      <c r="B19" s="13"/>
      <c r="C19" s="14"/>
      <c r="D19" s="13"/>
      <c r="E19" s="15" t="str">
        <f aca="false">IF(A19="","",D19+SUMIFS(Hareketler!$F$5:$F$1004,Hareketler!$B$5:$B$1004,A19))</f>
        <v/>
      </c>
      <c r="F19" s="16" t="str">
        <f aca="false">IF(OR(A19="",B19=0),"",E19/B19)</f>
        <v/>
      </c>
      <c r="G19" s="15" t="str">
        <f aca="false">IF(A19="","",MAX(0,B19-E19))</f>
        <v/>
      </c>
      <c r="H19" s="17" t="str">
        <f aca="true">IF(OR(A19="",C19=""),"",MAX(0,(YEAR(C19)-YEAR(TODAY()))*12+MONTH(C19)-MONTH(TODAY())))</f>
        <v/>
      </c>
      <c r="I19" s="15" t="str">
        <f aca="false">IF(OR(A19="",H19=""),"",IF(G19=0,0,IF(H19=0,G19,G19/H19)))</f>
        <v/>
      </c>
      <c r="J19" s="18" t="str">
        <f aca="true">IF(A19="","",IF(G19=0,"Tamamlandı",IF(AND(C19&lt;&gt;"",C19&lt;TODAY()),"Süre doldu","Sürüyor")))</f>
        <v/>
      </c>
    </row>
    <row r="20" customFormat="false" ht="15" hidden="false" customHeight="false" outlineLevel="0" collapsed="false">
      <c r="A20" s="12"/>
      <c r="B20" s="13"/>
      <c r="C20" s="14"/>
      <c r="D20" s="13"/>
      <c r="E20" s="15" t="str">
        <f aca="false">IF(A20="","",D20+SUMIFS(Hareketler!$F$5:$F$1004,Hareketler!$B$5:$B$1004,A20))</f>
        <v/>
      </c>
      <c r="F20" s="16" t="str">
        <f aca="false">IF(OR(A20="",B20=0),"",E20/B20)</f>
        <v/>
      </c>
      <c r="G20" s="15" t="str">
        <f aca="false">IF(A20="","",MAX(0,B20-E20))</f>
        <v/>
      </c>
      <c r="H20" s="17" t="str">
        <f aca="true">IF(OR(A20="",C20=""),"",MAX(0,(YEAR(C20)-YEAR(TODAY()))*12+MONTH(C20)-MONTH(TODAY())))</f>
        <v/>
      </c>
      <c r="I20" s="15" t="str">
        <f aca="false">IF(OR(A20="",H20=""),"",IF(G20=0,0,IF(H20=0,G20,G20/H20)))</f>
        <v/>
      </c>
      <c r="J20" s="18" t="str">
        <f aca="true">IF(A20="","",IF(G20=0,"Tamamlandı",IF(AND(C20&lt;&gt;"",C20&lt;TODAY()),"Süre doldu","Sürüyor")))</f>
        <v/>
      </c>
    </row>
    <row r="21" customFormat="false" ht="15" hidden="false" customHeight="false" outlineLevel="0" collapsed="false">
      <c r="A21" s="12"/>
      <c r="B21" s="13"/>
      <c r="C21" s="14"/>
      <c r="D21" s="13"/>
      <c r="E21" s="15" t="str">
        <f aca="false">IF(A21="","",D21+SUMIFS(Hareketler!$F$5:$F$1004,Hareketler!$B$5:$B$1004,A21))</f>
        <v/>
      </c>
      <c r="F21" s="16" t="str">
        <f aca="false">IF(OR(A21="",B21=0),"",E21/B21)</f>
        <v/>
      </c>
      <c r="G21" s="15" t="str">
        <f aca="false">IF(A21="","",MAX(0,B21-E21))</f>
        <v/>
      </c>
      <c r="H21" s="17" t="str">
        <f aca="true">IF(OR(A21="",C21=""),"",MAX(0,(YEAR(C21)-YEAR(TODAY()))*12+MONTH(C21)-MONTH(TODAY())))</f>
        <v/>
      </c>
      <c r="I21" s="15" t="str">
        <f aca="false">IF(OR(A21="",H21=""),"",IF(G21=0,0,IF(H21=0,G21,G21/H21)))</f>
        <v/>
      </c>
      <c r="J21" s="18" t="str">
        <f aca="true">IF(A21="","",IF(G21=0,"Tamamlandı",IF(AND(C21&lt;&gt;"",C21&lt;TODAY()),"Süre doldu","Sürüyor")))</f>
        <v/>
      </c>
    </row>
    <row r="22" customFormat="false" ht="15" hidden="false" customHeight="false" outlineLevel="0" collapsed="false">
      <c r="A22" s="12"/>
      <c r="B22" s="13"/>
      <c r="C22" s="14"/>
      <c r="D22" s="13"/>
      <c r="E22" s="15" t="str">
        <f aca="false">IF(A22="","",D22+SUMIFS(Hareketler!$F$5:$F$1004,Hareketler!$B$5:$B$1004,A22))</f>
        <v/>
      </c>
      <c r="F22" s="16" t="str">
        <f aca="false">IF(OR(A22="",B22=0),"",E22/B22)</f>
        <v/>
      </c>
      <c r="G22" s="15" t="str">
        <f aca="false">IF(A22="","",MAX(0,B22-E22))</f>
        <v/>
      </c>
      <c r="H22" s="17" t="str">
        <f aca="true">IF(OR(A22="",C22=""),"",MAX(0,(YEAR(C22)-YEAR(TODAY()))*12+MONTH(C22)-MONTH(TODAY())))</f>
        <v/>
      </c>
      <c r="I22" s="15" t="str">
        <f aca="false">IF(OR(A22="",H22=""),"",IF(G22=0,0,IF(H22=0,G22,G22/H22)))</f>
        <v/>
      </c>
      <c r="J22" s="18" t="str">
        <f aca="true">IF(A22="","",IF(G22=0,"Tamamlandı",IF(AND(C22&lt;&gt;"",C22&lt;TODAY()),"Süre doldu","Sürüyor")))</f>
        <v/>
      </c>
    </row>
    <row r="23" customFormat="false" ht="15" hidden="false" customHeight="false" outlineLevel="0" collapsed="false">
      <c r="A23" s="12"/>
      <c r="B23" s="13"/>
      <c r="C23" s="14"/>
      <c r="D23" s="13"/>
      <c r="E23" s="15" t="str">
        <f aca="false">IF(A23="","",D23+SUMIFS(Hareketler!$F$5:$F$1004,Hareketler!$B$5:$B$1004,A23))</f>
        <v/>
      </c>
      <c r="F23" s="16" t="str">
        <f aca="false">IF(OR(A23="",B23=0),"",E23/B23)</f>
        <v/>
      </c>
      <c r="G23" s="15" t="str">
        <f aca="false">IF(A23="","",MAX(0,B23-E23))</f>
        <v/>
      </c>
      <c r="H23" s="17" t="str">
        <f aca="true">IF(OR(A23="",C23=""),"",MAX(0,(YEAR(C23)-YEAR(TODAY()))*12+MONTH(C23)-MONTH(TODAY())))</f>
        <v/>
      </c>
      <c r="I23" s="15" t="str">
        <f aca="false">IF(OR(A23="",H23=""),"",IF(G23=0,0,IF(H23=0,G23,G23/H23)))</f>
        <v/>
      </c>
      <c r="J23" s="18" t="str">
        <f aca="true">IF(A23="","",IF(G23=0,"Tamamlandı",IF(AND(C23&lt;&gt;"",C23&lt;TODAY()),"Süre doldu","Sürüyor")))</f>
        <v/>
      </c>
    </row>
    <row r="24" customFormat="false" ht="15" hidden="false" customHeight="false" outlineLevel="0" collapsed="false">
      <c r="A24" s="12"/>
      <c r="B24" s="13"/>
      <c r="C24" s="14"/>
      <c r="D24" s="13"/>
      <c r="E24" s="15" t="str">
        <f aca="false">IF(A24="","",D24+SUMIFS(Hareketler!$F$5:$F$1004,Hareketler!$B$5:$B$1004,A24))</f>
        <v/>
      </c>
      <c r="F24" s="16" t="str">
        <f aca="false">IF(OR(A24="",B24=0),"",E24/B24)</f>
        <v/>
      </c>
      <c r="G24" s="15" t="str">
        <f aca="false">IF(A24="","",MAX(0,B24-E24))</f>
        <v/>
      </c>
      <c r="H24" s="17" t="str">
        <f aca="true">IF(OR(A24="",C24=""),"",MAX(0,(YEAR(C24)-YEAR(TODAY()))*12+MONTH(C24)-MONTH(TODAY())))</f>
        <v/>
      </c>
      <c r="I24" s="15" t="str">
        <f aca="false">IF(OR(A24="",H24=""),"",IF(G24=0,0,IF(H24=0,G24,G24/H24)))</f>
        <v/>
      </c>
      <c r="J24" s="18" t="str">
        <f aca="true">IF(A24="","",IF(G24=0,"Tamamlandı",IF(AND(C24&lt;&gt;"",C24&lt;TODAY()),"Süre doldu","Sürüyor")))</f>
        <v/>
      </c>
    </row>
  </sheetData>
  <conditionalFormatting sqref="J5:J24">
    <cfRule type="cellIs" priority="2" operator="equal" aboveAverage="0" equalAverage="0" bottom="0" percent="0" rank="0" text="" dxfId="0">
      <formula>"Tamamlandı"</formula>
    </cfRule>
    <cfRule type="cellIs" priority="3" operator="equal" aboveAverage="0" equalAverage="0" bottom="0" percent="0" rank="0" text="" dxfId="1">
      <formula>"Süre doldu"</formula>
    </cfRule>
  </conditionalFormatting>
  <conditionalFormatting sqref="F5:F24">
    <cfRule type="expression" priority="4" aboveAverage="0" equalAverage="0" bottom="0" percent="0" rank="0" text="" dxfId="0">
      <formula>AND(ISNUMBER(F5),F5&gt;=1)</formula>
    </cfRule>
  </conditionalFormatting>
  <dataValidations count="3">
    <dataValidation allowBlank="true" error="Sıfır ya da daha büyük bir sayı gir." errorStyle="stop" errorTitle="Kontrol" operator="greaterThanOrEqual" showDropDown="false" showErrorMessage="true" showInputMessage="false" sqref="B5:B24 D5:D2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C5:C24" type="date">
      <formula1>36526</formula1>
      <formula2>0</formula2>
    </dataValidation>
    <dataValidation allowBlank="true" error="Bu ad zaten var. Her ad bir kez girilebilir." errorStyle="stop" errorTitle="Kontrol" operator="between" showDropDown="false" showErrorMessage="true" showInputMessage="false" sqref="A5:A24" type="custom">
      <formula1>COUNTIF($A$5:$A$24,A5)=1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8" t="s">
        <v>37</v>
      </c>
    </row>
    <row r="2" customFormat="false" ht="15" hidden="false" customHeight="false" outlineLevel="0" collapsed="false">
      <c r="A2" s="9" t="s">
        <v>38</v>
      </c>
    </row>
    <row r="4" customFormat="false" ht="27.75" hidden="false" customHeight="true" outlineLevel="0" collapsed="false">
      <c r="A4" s="10" t="s">
        <v>39</v>
      </c>
      <c r="B4" s="10" t="s">
        <v>24</v>
      </c>
      <c r="C4" s="10" t="s">
        <v>40</v>
      </c>
      <c r="D4" s="10" t="s">
        <v>41</v>
      </c>
      <c r="E4" s="10" t="s">
        <v>42</v>
      </c>
      <c r="F4" s="11" t="s">
        <v>43</v>
      </c>
    </row>
    <row r="5" customFormat="false" ht="15" hidden="false" customHeight="false" outlineLevel="0" collapsed="false">
      <c r="A5" s="14" t="n">
        <v>46239</v>
      </c>
      <c r="B5" s="19" t="s">
        <v>34</v>
      </c>
      <c r="C5" s="19" t="s">
        <v>44</v>
      </c>
      <c r="D5" s="13" t="n">
        <v>20000</v>
      </c>
      <c r="E5" s="12"/>
      <c r="F5" s="15" t="n">
        <f aca="false">IF(D5="","",IF(C5="Çekme",-D5,D5))</f>
        <v>20000</v>
      </c>
    </row>
    <row r="6" customFormat="false" ht="15" hidden="false" customHeight="false" outlineLevel="0" collapsed="false">
      <c r="A6" s="14" t="n">
        <v>46270</v>
      </c>
      <c r="B6" s="19" t="s">
        <v>34</v>
      </c>
      <c r="C6" s="19" t="s">
        <v>44</v>
      </c>
      <c r="D6" s="13" t="n">
        <v>5000</v>
      </c>
      <c r="E6" s="12"/>
      <c r="F6" s="15" t="n">
        <f aca="false">IF(D6="","",IF(C6="Çekme",-D6,D6))</f>
        <v>5000</v>
      </c>
    </row>
    <row r="7" customFormat="false" ht="15" hidden="false" customHeight="false" outlineLevel="0" collapsed="false">
      <c r="A7" s="14" t="n">
        <v>46285</v>
      </c>
      <c r="B7" s="19" t="s">
        <v>34</v>
      </c>
      <c r="C7" s="19" t="s">
        <v>45</v>
      </c>
      <c r="D7" s="13" t="n">
        <v>3000</v>
      </c>
      <c r="E7" s="12"/>
      <c r="F7" s="15" t="n">
        <f aca="false">IF(D7="","",IF(C7="Çekme",-D7,D7))</f>
        <v>-3000</v>
      </c>
    </row>
    <row r="8" customFormat="false" ht="15" hidden="false" customHeight="false" outlineLevel="0" collapsed="false">
      <c r="A8" s="14" t="n">
        <v>46270</v>
      </c>
      <c r="B8" s="19" t="s">
        <v>35</v>
      </c>
      <c r="C8" s="19" t="s">
        <v>44</v>
      </c>
      <c r="D8" s="13" t="n">
        <v>12000</v>
      </c>
      <c r="E8" s="12"/>
      <c r="F8" s="15" t="n">
        <f aca="false">IF(D8="","",IF(C8="Çekme",-D8,D8))</f>
        <v>12000</v>
      </c>
    </row>
    <row r="9" customFormat="false" ht="15" hidden="false" customHeight="false" outlineLevel="0" collapsed="false">
      <c r="A9" s="14"/>
      <c r="B9" s="19"/>
      <c r="C9" s="19"/>
      <c r="D9" s="13"/>
      <c r="E9" s="12"/>
      <c r="F9" s="15" t="str">
        <f aca="false">IF(D9="","",IF(C9="Çekme",-D9,D9))</f>
        <v/>
      </c>
    </row>
    <row r="10" customFormat="false" ht="15" hidden="false" customHeight="false" outlineLevel="0" collapsed="false">
      <c r="A10" s="14"/>
      <c r="B10" s="19"/>
      <c r="C10" s="19"/>
      <c r="D10" s="13"/>
      <c r="E10" s="12"/>
      <c r="F10" s="15" t="str">
        <f aca="false">IF(D10="","",IF(C10="Çekme",-D10,D10))</f>
        <v/>
      </c>
    </row>
    <row r="11" customFormat="false" ht="15" hidden="false" customHeight="false" outlineLevel="0" collapsed="false">
      <c r="A11" s="14"/>
      <c r="B11" s="19"/>
      <c r="C11" s="19"/>
      <c r="D11" s="13"/>
      <c r="E11" s="12"/>
      <c r="F11" s="15" t="str">
        <f aca="false">IF(D11="","",IF(C11="Çekme",-D11,D11))</f>
        <v/>
      </c>
    </row>
    <row r="12" customFormat="false" ht="15" hidden="false" customHeight="false" outlineLevel="0" collapsed="false">
      <c r="A12" s="14"/>
      <c r="B12" s="19"/>
      <c r="C12" s="19"/>
      <c r="D12" s="13"/>
      <c r="E12" s="12"/>
      <c r="F12" s="15" t="str">
        <f aca="false">IF(D12="","",IF(C12="Çekme",-D12,D12))</f>
        <v/>
      </c>
    </row>
    <row r="13" customFormat="false" ht="15" hidden="false" customHeight="false" outlineLevel="0" collapsed="false">
      <c r="A13" s="14"/>
      <c r="B13" s="19"/>
      <c r="C13" s="19"/>
      <c r="D13" s="13"/>
      <c r="E13" s="12"/>
      <c r="F13" s="15" t="str">
        <f aca="false">IF(D13="","",IF(C13="Çekme",-D13,D13))</f>
        <v/>
      </c>
    </row>
    <row r="14" customFormat="false" ht="15" hidden="false" customHeight="false" outlineLevel="0" collapsed="false">
      <c r="A14" s="14"/>
      <c r="B14" s="19"/>
      <c r="C14" s="19"/>
      <c r="D14" s="13"/>
      <c r="E14" s="12"/>
      <c r="F14" s="15" t="str">
        <f aca="false">IF(D14="","",IF(C14="Çekme",-D14,D14))</f>
        <v/>
      </c>
    </row>
    <row r="15" customFormat="false" ht="15" hidden="false" customHeight="false" outlineLevel="0" collapsed="false">
      <c r="A15" s="14"/>
      <c r="B15" s="19"/>
      <c r="C15" s="19"/>
      <c r="D15" s="13"/>
      <c r="E15" s="12"/>
      <c r="F15" s="15" t="str">
        <f aca="false">IF(D15="","",IF(C15="Çekme",-D15,D15))</f>
        <v/>
      </c>
    </row>
    <row r="16" customFormat="false" ht="15" hidden="false" customHeight="false" outlineLevel="0" collapsed="false">
      <c r="A16" s="14"/>
      <c r="B16" s="19"/>
      <c r="C16" s="19"/>
      <c r="D16" s="13"/>
      <c r="E16" s="12"/>
      <c r="F16" s="15" t="str">
        <f aca="false">IF(D16="","",IF(C16="Çekme",-D16,D16))</f>
        <v/>
      </c>
    </row>
    <row r="17" customFormat="false" ht="15" hidden="false" customHeight="false" outlineLevel="0" collapsed="false">
      <c r="A17" s="14"/>
      <c r="B17" s="19"/>
      <c r="C17" s="19"/>
      <c r="D17" s="13"/>
      <c r="E17" s="12"/>
      <c r="F17" s="15" t="str">
        <f aca="false">IF(D17="","",IF(C17="Çekme",-D17,D17))</f>
        <v/>
      </c>
    </row>
    <row r="18" customFormat="false" ht="15" hidden="false" customHeight="false" outlineLevel="0" collapsed="false">
      <c r="A18" s="14"/>
      <c r="B18" s="19"/>
      <c r="C18" s="19"/>
      <c r="D18" s="13"/>
      <c r="E18" s="12"/>
      <c r="F18" s="15" t="str">
        <f aca="false">IF(D18="","",IF(C18="Çekme",-D18,D18))</f>
        <v/>
      </c>
    </row>
    <row r="19" customFormat="false" ht="15" hidden="false" customHeight="false" outlineLevel="0" collapsed="false">
      <c r="A19" s="14"/>
      <c r="B19" s="19"/>
      <c r="C19" s="19"/>
      <c r="D19" s="13"/>
      <c r="E19" s="12"/>
      <c r="F19" s="15" t="str">
        <f aca="false">IF(D19="","",IF(C19="Çekme",-D19,D19))</f>
        <v/>
      </c>
    </row>
    <row r="20" customFormat="false" ht="15" hidden="false" customHeight="false" outlineLevel="0" collapsed="false">
      <c r="A20" s="14"/>
      <c r="B20" s="19"/>
      <c r="C20" s="19"/>
      <c r="D20" s="13"/>
      <c r="E20" s="12"/>
      <c r="F20" s="15" t="str">
        <f aca="false">IF(D20="","",IF(C20="Çekme",-D20,D20))</f>
        <v/>
      </c>
    </row>
    <row r="21" customFormat="false" ht="15" hidden="false" customHeight="false" outlineLevel="0" collapsed="false">
      <c r="A21" s="14"/>
      <c r="B21" s="19"/>
      <c r="C21" s="19"/>
      <c r="D21" s="13"/>
      <c r="E21" s="12"/>
      <c r="F21" s="15" t="str">
        <f aca="false">IF(D21="","",IF(C21="Çekme",-D21,D21))</f>
        <v/>
      </c>
    </row>
    <row r="22" customFormat="false" ht="15" hidden="false" customHeight="false" outlineLevel="0" collapsed="false">
      <c r="A22" s="14"/>
      <c r="B22" s="19"/>
      <c r="C22" s="19"/>
      <c r="D22" s="13"/>
      <c r="E22" s="12"/>
      <c r="F22" s="15" t="str">
        <f aca="false">IF(D22="","",IF(C22="Çekme",-D22,D22))</f>
        <v/>
      </c>
    </row>
    <row r="23" customFormat="false" ht="15" hidden="false" customHeight="false" outlineLevel="0" collapsed="false">
      <c r="A23" s="14"/>
      <c r="B23" s="19"/>
      <c r="C23" s="19"/>
      <c r="D23" s="13"/>
      <c r="E23" s="12"/>
      <c r="F23" s="15" t="str">
        <f aca="false">IF(D23="","",IF(C23="Çekme",-D23,D23))</f>
        <v/>
      </c>
    </row>
    <row r="24" customFormat="false" ht="15" hidden="false" customHeight="false" outlineLevel="0" collapsed="false">
      <c r="A24" s="14"/>
      <c r="B24" s="19"/>
      <c r="C24" s="19"/>
      <c r="D24" s="13"/>
      <c r="E24" s="12"/>
      <c r="F24" s="15" t="str">
        <f aca="false">IF(D24="","",IF(C24="Çekme",-D24,D24))</f>
        <v/>
      </c>
    </row>
    <row r="25" customFormat="false" ht="15" hidden="false" customHeight="false" outlineLevel="0" collapsed="false">
      <c r="A25" s="14"/>
      <c r="B25" s="19"/>
      <c r="C25" s="19"/>
      <c r="D25" s="13"/>
      <c r="E25" s="12"/>
      <c r="F25" s="15" t="str">
        <f aca="false">IF(D25="","",IF(C25="Çekme",-D25,D25))</f>
        <v/>
      </c>
    </row>
    <row r="26" customFormat="false" ht="15" hidden="false" customHeight="false" outlineLevel="0" collapsed="false">
      <c r="A26" s="14"/>
      <c r="B26" s="19"/>
      <c r="C26" s="19"/>
      <c r="D26" s="13"/>
      <c r="E26" s="12"/>
      <c r="F26" s="15" t="str">
        <f aca="false">IF(D26="","",IF(C26="Çekme",-D26,D26))</f>
        <v/>
      </c>
    </row>
    <row r="27" customFormat="false" ht="15" hidden="false" customHeight="false" outlineLevel="0" collapsed="false">
      <c r="A27" s="14"/>
      <c r="B27" s="19"/>
      <c r="C27" s="19"/>
      <c r="D27" s="13"/>
      <c r="E27" s="12"/>
      <c r="F27" s="15" t="str">
        <f aca="false">IF(D27="","",IF(C27="Çekme",-D27,D27))</f>
        <v/>
      </c>
    </row>
    <row r="28" customFormat="false" ht="15" hidden="false" customHeight="false" outlineLevel="0" collapsed="false">
      <c r="A28" s="14"/>
      <c r="B28" s="19"/>
      <c r="C28" s="19"/>
      <c r="D28" s="13"/>
      <c r="E28" s="12"/>
      <c r="F28" s="15" t="str">
        <f aca="false">IF(D28="","",IF(C28="Çekme",-D28,D28))</f>
        <v/>
      </c>
    </row>
    <row r="29" customFormat="false" ht="15" hidden="false" customHeight="false" outlineLevel="0" collapsed="false">
      <c r="A29" s="14"/>
      <c r="B29" s="19"/>
      <c r="C29" s="19"/>
      <c r="D29" s="13"/>
      <c r="E29" s="12"/>
      <c r="F29" s="15" t="str">
        <f aca="false">IF(D29="","",IF(C29="Çekme",-D29,D29))</f>
        <v/>
      </c>
    </row>
    <row r="30" customFormat="false" ht="15" hidden="false" customHeight="false" outlineLevel="0" collapsed="false">
      <c r="A30" s="14"/>
      <c r="B30" s="19"/>
      <c r="C30" s="19"/>
      <c r="D30" s="13"/>
      <c r="E30" s="12"/>
      <c r="F30" s="15" t="str">
        <f aca="false">IF(D30="","",IF(C30="Çekme",-D30,D30))</f>
        <v/>
      </c>
    </row>
    <row r="31" customFormat="false" ht="15" hidden="false" customHeight="false" outlineLevel="0" collapsed="false">
      <c r="A31" s="14"/>
      <c r="B31" s="19"/>
      <c r="C31" s="19"/>
      <c r="D31" s="13"/>
      <c r="E31" s="12"/>
      <c r="F31" s="15" t="str">
        <f aca="false">IF(D31="","",IF(C31="Çekme",-D31,D31))</f>
        <v/>
      </c>
    </row>
    <row r="32" customFormat="false" ht="15" hidden="false" customHeight="false" outlineLevel="0" collapsed="false">
      <c r="A32" s="14"/>
      <c r="B32" s="19"/>
      <c r="C32" s="19"/>
      <c r="D32" s="13"/>
      <c r="E32" s="12"/>
      <c r="F32" s="15" t="str">
        <f aca="false">IF(D32="","",IF(C32="Çekme",-D32,D32))</f>
        <v/>
      </c>
    </row>
    <row r="33" customFormat="false" ht="15" hidden="false" customHeight="false" outlineLevel="0" collapsed="false">
      <c r="A33" s="14"/>
      <c r="B33" s="19"/>
      <c r="C33" s="19"/>
      <c r="D33" s="13"/>
      <c r="E33" s="12"/>
      <c r="F33" s="15" t="str">
        <f aca="false">IF(D33="","",IF(C33="Çekme",-D33,D33))</f>
        <v/>
      </c>
    </row>
    <row r="34" customFormat="false" ht="15" hidden="false" customHeight="false" outlineLevel="0" collapsed="false">
      <c r="A34" s="14"/>
      <c r="B34" s="19"/>
      <c r="C34" s="19"/>
      <c r="D34" s="13"/>
      <c r="E34" s="12"/>
      <c r="F34" s="15" t="str">
        <f aca="false">IF(D34="","",IF(C34="Çekme",-D34,D34))</f>
        <v/>
      </c>
    </row>
    <row r="35" customFormat="false" ht="15" hidden="false" customHeight="false" outlineLevel="0" collapsed="false">
      <c r="A35" s="14"/>
      <c r="B35" s="19"/>
      <c r="C35" s="19"/>
      <c r="D35" s="13"/>
      <c r="E35" s="12"/>
      <c r="F35" s="15" t="str">
        <f aca="false">IF(D35="","",IF(C35="Çekme",-D35,D35))</f>
        <v/>
      </c>
    </row>
    <row r="36" customFormat="false" ht="15" hidden="false" customHeight="false" outlineLevel="0" collapsed="false">
      <c r="A36" s="14"/>
      <c r="B36" s="19"/>
      <c r="C36" s="19"/>
      <c r="D36" s="13"/>
      <c r="E36" s="12"/>
      <c r="F36" s="15" t="str">
        <f aca="false">IF(D36="","",IF(C36="Çekme",-D36,D36))</f>
        <v/>
      </c>
    </row>
    <row r="37" customFormat="false" ht="15" hidden="false" customHeight="false" outlineLevel="0" collapsed="false">
      <c r="A37" s="14"/>
      <c r="B37" s="19"/>
      <c r="C37" s="19"/>
      <c r="D37" s="13"/>
      <c r="E37" s="12"/>
      <c r="F37" s="15" t="str">
        <f aca="false">IF(D37="","",IF(C37="Çekme",-D37,D37))</f>
        <v/>
      </c>
    </row>
    <row r="38" customFormat="false" ht="15" hidden="false" customHeight="false" outlineLevel="0" collapsed="false">
      <c r="A38" s="14"/>
      <c r="B38" s="19"/>
      <c r="C38" s="19"/>
      <c r="D38" s="13"/>
      <c r="E38" s="12"/>
      <c r="F38" s="15" t="str">
        <f aca="false">IF(D38="","",IF(C38="Çekme",-D38,D38))</f>
        <v/>
      </c>
    </row>
    <row r="39" customFormat="false" ht="15" hidden="false" customHeight="false" outlineLevel="0" collapsed="false">
      <c r="A39" s="14"/>
      <c r="B39" s="19"/>
      <c r="C39" s="19"/>
      <c r="D39" s="13"/>
      <c r="E39" s="12"/>
      <c r="F39" s="15" t="str">
        <f aca="false">IF(D39="","",IF(C39="Çekme",-D39,D39))</f>
        <v/>
      </c>
    </row>
    <row r="40" customFormat="false" ht="15" hidden="false" customHeight="false" outlineLevel="0" collapsed="false">
      <c r="A40" s="14"/>
      <c r="B40" s="19"/>
      <c r="C40" s="19"/>
      <c r="D40" s="13"/>
      <c r="E40" s="12"/>
      <c r="F40" s="15" t="str">
        <f aca="false">IF(D40="","",IF(C40="Çekme",-D40,D40))</f>
        <v/>
      </c>
    </row>
    <row r="41" customFormat="false" ht="15" hidden="false" customHeight="false" outlineLevel="0" collapsed="false">
      <c r="A41" s="14"/>
      <c r="B41" s="19"/>
      <c r="C41" s="19"/>
      <c r="D41" s="13"/>
      <c r="E41" s="12"/>
      <c r="F41" s="15" t="str">
        <f aca="false">IF(D41="","",IF(C41="Çekme",-D41,D41))</f>
        <v/>
      </c>
    </row>
    <row r="42" customFormat="false" ht="15" hidden="false" customHeight="false" outlineLevel="0" collapsed="false">
      <c r="A42" s="14"/>
      <c r="B42" s="19"/>
      <c r="C42" s="19"/>
      <c r="D42" s="13"/>
      <c r="E42" s="12"/>
      <c r="F42" s="15" t="str">
        <f aca="false">IF(D42="","",IF(C42="Çekme",-D42,D42))</f>
        <v/>
      </c>
    </row>
    <row r="43" customFormat="false" ht="15" hidden="false" customHeight="false" outlineLevel="0" collapsed="false">
      <c r="A43" s="14"/>
      <c r="B43" s="19"/>
      <c r="C43" s="19"/>
      <c r="D43" s="13"/>
      <c r="E43" s="12"/>
      <c r="F43" s="15" t="str">
        <f aca="false">IF(D43="","",IF(C43="Çekme",-D43,D43))</f>
        <v/>
      </c>
    </row>
    <row r="44" customFormat="false" ht="15" hidden="false" customHeight="false" outlineLevel="0" collapsed="false">
      <c r="A44" s="14"/>
      <c r="B44" s="19"/>
      <c r="C44" s="19"/>
      <c r="D44" s="13"/>
      <c r="E44" s="12"/>
      <c r="F44" s="15" t="str">
        <f aca="false">IF(D44="","",IF(C44="Çekme",-D44,D44))</f>
        <v/>
      </c>
    </row>
    <row r="45" customFormat="false" ht="15" hidden="false" customHeight="false" outlineLevel="0" collapsed="false">
      <c r="A45" s="14"/>
      <c r="B45" s="19"/>
      <c r="C45" s="19"/>
      <c r="D45" s="13"/>
      <c r="E45" s="12"/>
      <c r="F45" s="15" t="str">
        <f aca="false">IF(D45="","",IF(C45="Çekme",-D45,D45))</f>
        <v/>
      </c>
    </row>
    <row r="46" customFormat="false" ht="15" hidden="false" customHeight="false" outlineLevel="0" collapsed="false">
      <c r="A46" s="14"/>
      <c r="B46" s="19"/>
      <c r="C46" s="19"/>
      <c r="D46" s="13"/>
      <c r="E46" s="12"/>
      <c r="F46" s="15" t="str">
        <f aca="false">IF(D46="","",IF(C46="Çekme",-D46,D46))</f>
        <v/>
      </c>
    </row>
    <row r="47" customFormat="false" ht="15" hidden="false" customHeight="false" outlineLevel="0" collapsed="false">
      <c r="A47" s="14"/>
      <c r="B47" s="19"/>
      <c r="C47" s="19"/>
      <c r="D47" s="13"/>
      <c r="E47" s="12"/>
      <c r="F47" s="15" t="str">
        <f aca="false">IF(D47="","",IF(C47="Çekme",-D47,D47))</f>
        <v/>
      </c>
    </row>
    <row r="48" customFormat="false" ht="15" hidden="false" customHeight="false" outlineLevel="0" collapsed="false">
      <c r="A48" s="14"/>
      <c r="B48" s="19"/>
      <c r="C48" s="19"/>
      <c r="D48" s="13"/>
      <c r="E48" s="12"/>
      <c r="F48" s="15" t="str">
        <f aca="false">IF(D48="","",IF(C48="Çekme",-D48,D48))</f>
        <v/>
      </c>
    </row>
    <row r="49" customFormat="false" ht="15" hidden="false" customHeight="false" outlineLevel="0" collapsed="false">
      <c r="A49" s="14"/>
      <c r="B49" s="19"/>
      <c r="C49" s="19"/>
      <c r="D49" s="13"/>
      <c r="E49" s="12"/>
      <c r="F49" s="15" t="str">
        <f aca="false">IF(D49="","",IF(C49="Çekme",-D49,D49))</f>
        <v/>
      </c>
    </row>
    <row r="50" customFormat="false" ht="15" hidden="false" customHeight="false" outlineLevel="0" collapsed="false">
      <c r="A50" s="14"/>
      <c r="B50" s="19"/>
      <c r="C50" s="19"/>
      <c r="D50" s="13"/>
      <c r="E50" s="12"/>
      <c r="F50" s="15" t="str">
        <f aca="false">IF(D50="","",IF(C50="Çekme",-D50,D50))</f>
        <v/>
      </c>
    </row>
    <row r="51" customFormat="false" ht="15" hidden="false" customHeight="false" outlineLevel="0" collapsed="false">
      <c r="A51" s="14"/>
      <c r="B51" s="19"/>
      <c r="C51" s="19"/>
      <c r="D51" s="13"/>
      <c r="E51" s="12"/>
      <c r="F51" s="15" t="str">
        <f aca="false">IF(D51="","",IF(C51="Çekme",-D51,D51))</f>
        <v/>
      </c>
    </row>
    <row r="52" customFormat="false" ht="15" hidden="false" customHeight="false" outlineLevel="0" collapsed="false">
      <c r="A52" s="14"/>
      <c r="B52" s="19"/>
      <c r="C52" s="19"/>
      <c r="D52" s="13"/>
      <c r="E52" s="12"/>
      <c r="F52" s="15" t="str">
        <f aca="false">IF(D52="","",IF(C52="Çekme",-D52,D52))</f>
        <v/>
      </c>
    </row>
    <row r="53" customFormat="false" ht="15" hidden="false" customHeight="false" outlineLevel="0" collapsed="false">
      <c r="A53" s="14"/>
      <c r="B53" s="19"/>
      <c r="C53" s="19"/>
      <c r="D53" s="13"/>
      <c r="E53" s="12"/>
      <c r="F53" s="15" t="str">
        <f aca="false">IF(D53="","",IF(C53="Çekme",-D53,D53))</f>
        <v/>
      </c>
    </row>
    <row r="54" customFormat="false" ht="15" hidden="false" customHeight="false" outlineLevel="0" collapsed="false">
      <c r="A54" s="14"/>
      <c r="B54" s="19"/>
      <c r="C54" s="19"/>
      <c r="D54" s="13"/>
      <c r="E54" s="12"/>
      <c r="F54" s="15" t="str">
        <f aca="false">IF(D54="","",IF(C54="Çekme",-D54,D54))</f>
        <v/>
      </c>
    </row>
    <row r="55" customFormat="false" ht="15" hidden="false" customHeight="false" outlineLevel="0" collapsed="false">
      <c r="A55" s="14"/>
      <c r="B55" s="19"/>
      <c r="C55" s="19"/>
      <c r="D55" s="13"/>
      <c r="E55" s="12"/>
      <c r="F55" s="15" t="str">
        <f aca="false">IF(D55="","",IF(C55="Çekme",-D55,D55))</f>
        <v/>
      </c>
    </row>
    <row r="56" customFormat="false" ht="15" hidden="false" customHeight="false" outlineLevel="0" collapsed="false">
      <c r="A56" s="14"/>
      <c r="B56" s="19"/>
      <c r="C56" s="19"/>
      <c r="D56" s="13"/>
      <c r="E56" s="12"/>
      <c r="F56" s="15" t="str">
        <f aca="false">IF(D56="","",IF(C56="Çekme",-D56,D56))</f>
        <v/>
      </c>
    </row>
    <row r="57" customFormat="false" ht="15" hidden="false" customHeight="false" outlineLevel="0" collapsed="false">
      <c r="A57" s="14"/>
      <c r="B57" s="19"/>
      <c r="C57" s="19"/>
      <c r="D57" s="13"/>
      <c r="E57" s="12"/>
      <c r="F57" s="15" t="str">
        <f aca="false">IF(D57="","",IF(C57="Çekme",-D57,D57))</f>
        <v/>
      </c>
    </row>
    <row r="58" customFormat="false" ht="15" hidden="false" customHeight="false" outlineLevel="0" collapsed="false">
      <c r="A58" s="14"/>
      <c r="B58" s="19"/>
      <c r="C58" s="19"/>
      <c r="D58" s="13"/>
      <c r="E58" s="12"/>
      <c r="F58" s="15" t="str">
        <f aca="false">IF(D58="","",IF(C58="Çekme",-D58,D58))</f>
        <v/>
      </c>
    </row>
    <row r="59" customFormat="false" ht="15" hidden="false" customHeight="false" outlineLevel="0" collapsed="false">
      <c r="A59" s="14"/>
      <c r="B59" s="19"/>
      <c r="C59" s="19"/>
      <c r="D59" s="13"/>
      <c r="E59" s="12"/>
      <c r="F59" s="15" t="str">
        <f aca="false">IF(D59="","",IF(C59="Çekme",-D59,D59))</f>
        <v/>
      </c>
    </row>
    <row r="60" customFormat="false" ht="15" hidden="false" customHeight="false" outlineLevel="0" collapsed="false">
      <c r="A60" s="14"/>
      <c r="B60" s="19"/>
      <c r="C60" s="19"/>
      <c r="D60" s="13"/>
      <c r="E60" s="12"/>
      <c r="F60" s="15" t="str">
        <f aca="false">IF(D60="","",IF(C60="Çekme",-D60,D60))</f>
        <v/>
      </c>
    </row>
    <row r="61" customFormat="false" ht="15" hidden="false" customHeight="false" outlineLevel="0" collapsed="false">
      <c r="A61" s="14"/>
      <c r="B61" s="19"/>
      <c r="C61" s="19"/>
      <c r="D61" s="13"/>
      <c r="E61" s="12"/>
      <c r="F61" s="15" t="str">
        <f aca="false">IF(D61="","",IF(C61="Çekme",-D61,D61))</f>
        <v/>
      </c>
    </row>
    <row r="62" customFormat="false" ht="15" hidden="false" customHeight="false" outlineLevel="0" collapsed="false">
      <c r="A62" s="14"/>
      <c r="B62" s="19"/>
      <c r="C62" s="19"/>
      <c r="D62" s="13"/>
      <c r="E62" s="12"/>
      <c r="F62" s="15" t="str">
        <f aca="false">IF(D62="","",IF(C62="Çekme",-D62,D62))</f>
        <v/>
      </c>
    </row>
    <row r="63" customFormat="false" ht="15" hidden="false" customHeight="false" outlineLevel="0" collapsed="false">
      <c r="A63" s="14"/>
      <c r="B63" s="19"/>
      <c r="C63" s="19"/>
      <c r="D63" s="13"/>
      <c r="E63" s="12"/>
      <c r="F63" s="15" t="str">
        <f aca="false">IF(D63="","",IF(C63="Çekme",-D63,D63))</f>
        <v/>
      </c>
    </row>
    <row r="64" customFormat="false" ht="15" hidden="false" customHeight="false" outlineLevel="0" collapsed="false">
      <c r="A64" s="14"/>
      <c r="B64" s="19"/>
      <c r="C64" s="19"/>
      <c r="D64" s="13"/>
      <c r="E64" s="12"/>
      <c r="F64" s="15" t="str">
        <f aca="false">IF(D64="","",IF(C64="Çekme",-D64,D64))</f>
        <v/>
      </c>
    </row>
    <row r="65" customFormat="false" ht="15" hidden="false" customHeight="false" outlineLevel="0" collapsed="false">
      <c r="A65" s="14"/>
      <c r="B65" s="19"/>
      <c r="C65" s="19"/>
      <c r="D65" s="13"/>
      <c r="E65" s="12"/>
      <c r="F65" s="15" t="str">
        <f aca="false">IF(D65="","",IF(C65="Çekme",-D65,D65))</f>
        <v/>
      </c>
    </row>
    <row r="66" customFormat="false" ht="15" hidden="false" customHeight="false" outlineLevel="0" collapsed="false">
      <c r="A66" s="14"/>
      <c r="B66" s="19"/>
      <c r="C66" s="19"/>
      <c r="D66" s="13"/>
      <c r="E66" s="12"/>
      <c r="F66" s="15" t="str">
        <f aca="false">IF(D66="","",IF(C66="Çekme",-D66,D66))</f>
        <v/>
      </c>
    </row>
    <row r="67" customFormat="false" ht="15" hidden="false" customHeight="false" outlineLevel="0" collapsed="false">
      <c r="A67" s="14"/>
      <c r="B67" s="19"/>
      <c r="C67" s="19"/>
      <c r="D67" s="13"/>
      <c r="E67" s="12"/>
      <c r="F67" s="15" t="str">
        <f aca="false">IF(D67="","",IF(C67="Çekme",-D67,D67))</f>
        <v/>
      </c>
    </row>
    <row r="68" customFormat="false" ht="15" hidden="false" customHeight="false" outlineLevel="0" collapsed="false">
      <c r="A68" s="14"/>
      <c r="B68" s="19"/>
      <c r="C68" s="19"/>
      <c r="D68" s="13"/>
      <c r="E68" s="12"/>
      <c r="F68" s="15" t="str">
        <f aca="false">IF(D68="","",IF(C68="Çekme",-D68,D68))</f>
        <v/>
      </c>
    </row>
    <row r="69" customFormat="false" ht="15" hidden="false" customHeight="false" outlineLevel="0" collapsed="false">
      <c r="A69" s="14"/>
      <c r="B69" s="19"/>
      <c r="C69" s="19"/>
      <c r="D69" s="13"/>
      <c r="E69" s="12"/>
      <c r="F69" s="15" t="str">
        <f aca="false">IF(D69="","",IF(C69="Çekme",-D69,D69))</f>
        <v/>
      </c>
    </row>
    <row r="70" customFormat="false" ht="15" hidden="false" customHeight="false" outlineLevel="0" collapsed="false">
      <c r="A70" s="14"/>
      <c r="B70" s="19"/>
      <c r="C70" s="19"/>
      <c r="D70" s="13"/>
      <c r="E70" s="12"/>
      <c r="F70" s="15" t="str">
        <f aca="false">IF(D70="","",IF(C70="Çekme",-D70,D70))</f>
        <v/>
      </c>
    </row>
    <row r="71" customFormat="false" ht="15" hidden="false" customHeight="false" outlineLevel="0" collapsed="false">
      <c r="A71" s="14"/>
      <c r="B71" s="19"/>
      <c r="C71" s="19"/>
      <c r="D71" s="13"/>
      <c r="E71" s="12"/>
      <c r="F71" s="15" t="str">
        <f aca="false">IF(D71="","",IF(C71="Çekme",-D71,D71))</f>
        <v/>
      </c>
    </row>
    <row r="72" customFormat="false" ht="15" hidden="false" customHeight="false" outlineLevel="0" collapsed="false">
      <c r="A72" s="14"/>
      <c r="B72" s="19"/>
      <c r="C72" s="19"/>
      <c r="D72" s="13"/>
      <c r="E72" s="12"/>
      <c r="F72" s="15" t="str">
        <f aca="false">IF(D72="","",IF(C72="Çekme",-D72,D72))</f>
        <v/>
      </c>
    </row>
    <row r="73" customFormat="false" ht="15" hidden="false" customHeight="false" outlineLevel="0" collapsed="false">
      <c r="A73" s="14"/>
      <c r="B73" s="19"/>
      <c r="C73" s="19"/>
      <c r="D73" s="13"/>
      <c r="E73" s="12"/>
      <c r="F73" s="15" t="str">
        <f aca="false">IF(D73="","",IF(C73="Çekme",-D73,D73))</f>
        <v/>
      </c>
    </row>
    <row r="74" customFormat="false" ht="15" hidden="false" customHeight="false" outlineLevel="0" collapsed="false">
      <c r="A74" s="14"/>
      <c r="B74" s="19"/>
      <c r="C74" s="19"/>
      <c r="D74" s="13"/>
      <c r="E74" s="12"/>
      <c r="F74" s="15" t="str">
        <f aca="false">IF(D74="","",IF(C74="Çekme",-D74,D74))</f>
        <v/>
      </c>
    </row>
    <row r="75" customFormat="false" ht="15" hidden="false" customHeight="false" outlineLevel="0" collapsed="false">
      <c r="A75" s="14"/>
      <c r="B75" s="19"/>
      <c r="C75" s="19"/>
      <c r="D75" s="13"/>
      <c r="E75" s="12"/>
      <c r="F75" s="15" t="str">
        <f aca="false">IF(D75="","",IF(C75="Çekme",-D75,D75))</f>
        <v/>
      </c>
    </row>
    <row r="76" customFormat="false" ht="15" hidden="false" customHeight="false" outlineLevel="0" collapsed="false">
      <c r="A76" s="14"/>
      <c r="B76" s="19"/>
      <c r="C76" s="19"/>
      <c r="D76" s="13"/>
      <c r="E76" s="12"/>
      <c r="F76" s="15" t="str">
        <f aca="false">IF(D76="","",IF(C76="Çekme",-D76,D76))</f>
        <v/>
      </c>
    </row>
    <row r="77" customFormat="false" ht="15" hidden="false" customHeight="false" outlineLevel="0" collapsed="false">
      <c r="A77" s="14"/>
      <c r="B77" s="19"/>
      <c r="C77" s="19"/>
      <c r="D77" s="13"/>
      <c r="E77" s="12"/>
      <c r="F77" s="15" t="str">
        <f aca="false">IF(D77="","",IF(C77="Çekme",-D77,D77))</f>
        <v/>
      </c>
    </row>
    <row r="78" customFormat="false" ht="15" hidden="false" customHeight="false" outlineLevel="0" collapsed="false">
      <c r="A78" s="14"/>
      <c r="B78" s="19"/>
      <c r="C78" s="19"/>
      <c r="D78" s="13"/>
      <c r="E78" s="12"/>
      <c r="F78" s="15" t="str">
        <f aca="false">IF(D78="","",IF(C78="Çekme",-D78,D78))</f>
        <v/>
      </c>
    </row>
    <row r="79" customFormat="false" ht="15" hidden="false" customHeight="false" outlineLevel="0" collapsed="false">
      <c r="A79" s="14"/>
      <c r="B79" s="19"/>
      <c r="C79" s="19"/>
      <c r="D79" s="13"/>
      <c r="E79" s="12"/>
      <c r="F79" s="15" t="str">
        <f aca="false">IF(D79="","",IF(C79="Çekme",-D79,D79))</f>
        <v/>
      </c>
    </row>
    <row r="80" customFormat="false" ht="15" hidden="false" customHeight="false" outlineLevel="0" collapsed="false">
      <c r="A80" s="14"/>
      <c r="B80" s="19"/>
      <c r="C80" s="19"/>
      <c r="D80" s="13"/>
      <c r="E80" s="12"/>
      <c r="F80" s="15" t="str">
        <f aca="false">IF(D80="","",IF(C80="Çekme",-D80,D80))</f>
        <v/>
      </c>
    </row>
    <row r="81" customFormat="false" ht="15" hidden="false" customHeight="false" outlineLevel="0" collapsed="false">
      <c r="A81" s="14"/>
      <c r="B81" s="19"/>
      <c r="C81" s="19"/>
      <c r="D81" s="13"/>
      <c r="E81" s="12"/>
      <c r="F81" s="15" t="str">
        <f aca="false">IF(D81="","",IF(C81="Çekme",-D81,D81))</f>
        <v/>
      </c>
    </row>
    <row r="82" customFormat="false" ht="15" hidden="false" customHeight="false" outlineLevel="0" collapsed="false">
      <c r="A82" s="14"/>
      <c r="B82" s="19"/>
      <c r="C82" s="19"/>
      <c r="D82" s="13"/>
      <c r="E82" s="12"/>
      <c r="F82" s="15" t="str">
        <f aca="false">IF(D82="","",IF(C82="Çekme",-D82,D82))</f>
        <v/>
      </c>
    </row>
    <row r="83" customFormat="false" ht="15" hidden="false" customHeight="false" outlineLevel="0" collapsed="false">
      <c r="A83" s="14"/>
      <c r="B83" s="19"/>
      <c r="C83" s="19"/>
      <c r="D83" s="13"/>
      <c r="E83" s="12"/>
      <c r="F83" s="15" t="str">
        <f aca="false">IF(D83="","",IF(C83="Çekme",-D83,D83))</f>
        <v/>
      </c>
    </row>
    <row r="84" customFormat="false" ht="15" hidden="false" customHeight="false" outlineLevel="0" collapsed="false">
      <c r="A84" s="14"/>
      <c r="B84" s="19"/>
      <c r="C84" s="19"/>
      <c r="D84" s="13"/>
      <c r="E84" s="12"/>
      <c r="F84" s="15" t="str">
        <f aca="false">IF(D84="","",IF(C84="Çekme",-D84,D84))</f>
        <v/>
      </c>
    </row>
    <row r="85" customFormat="false" ht="15" hidden="false" customHeight="false" outlineLevel="0" collapsed="false">
      <c r="A85" s="14"/>
      <c r="B85" s="19"/>
      <c r="C85" s="19"/>
      <c r="D85" s="13"/>
      <c r="E85" s="12"/>
      <c r="F85" s="15" t="str">
        <f aca="false">IF(D85="","",IF(C85="Çekme",-D85,D85))</f>
        <v/>
      </c>
    </row>
    <row r="86" customFormat="false" ht="15" hidden="false" customHeight="false" outlineLevel="0" collapsed="false">
      <c r="A86" s="14"/>
      <c r="B86" s="19"/>
      <c r="C86" s="19"/>
      <c r="D86" s="13"/>
      <c r="E86" s="12"/>
      <c r="F86" s="15" t="str">
        <f aca="false">IF(D86="","",IF(C86="Çekme",-D86,D86))</f>
        <v/>
      </c>
    </row>
    <row r="87" customFormat="false" ht="15" hidden="false" customHeight="false" outlineLevel="0" collapsed="false">
      <c r="A87" s="14"/>
      <c r="B87" s="19"/>
      <c r="C87" s="19"/>
      <c r="D87" s="13"/>
      <c r="E87" s="12"/>
      <c r="F87" s="15" t="str">
        <f aca="false">IF(D87="","",IF(C87="Çekme",-D87,D87))</f>
        <v/>
      </c>
    </row>
    <row r="88" customFormat="false" ht="15" hidden="false" customHeight="false" outlineLevel="0" collapsed="false">
      <c r="A88" s="14"/>
      <c r="B88" s="19"/>
      <c r="C88" s="19"/>
      <c r="D88" s="13"/>
      <c r="E88" s="12"/>
      <c r="F88" s="15" t="str">
        <f aca="false">IF(D88="","",IF(C88="Çekme",-D88,D88))</f>
        <v/>
      </c>
    </row>
    <row r="89" customFormat="false" ht="15" hidden="false" customHeight="false" outlineLevel="0" collapsed="false">
      <c r="A89" s="14"/>
      <c r="B89" s="19"/>
      <c r="C89" s="19"/>
      <c r="D89" s="13"/>
      <c r="E89" s="12"/>
      <c r="F89" s="15" t="str">
        <f aca="false">IF(D89="","",IF(C89="Çekme",-D89,D89))</f>
        <v/>
      </c>
    </row>
    <row r="90" customFormat="false" ht="15" hidden="false" customHeight="false" outlineLevel="0" collapsed="false">
      <c r="A90" s="14"/>
      <c r="B90" s="19"/>
      <c r="C90" s="19"/>
      <c r="D90" s="13"/>
      <c r="E90" s="12"/>
      <c r="F90" s="15" t="str">
        <f aca="false">IF(D90="","",IF(C90="Çekme",-D90,D90))</f>
        <v/>
      </c>
    </row>
    <row r="91" customFormat="false" ht="15" hidden="false" customHeight="false" outlineLevel="0" collapsed="false">
      <c r="A91" s="14"/>
      <c r="B91" s="19"/>
      <c r="C91" s="19"/>
      <c r="D91" s="13"/>
      <c r="E91" s="12"/>
      <c r="F91" s="15" t="str">
        <f aca="false">IF(D91="","",IF(C91="Çekme",-D91,D91))</f>
        <v/>
      </c>
    </row>
    <row r="92" customFormat="false" ht="15" hidden="false" customHeight="false" outlineLevel="0" collapsed="false">
      <c r="A92" s="14"/>
      <c r="B92" s="19"/>
      <c r="C92" s="19"/>
      <c r="D92" s="13"/>
      <c r="E92" s="12"/>
      <c r="F92" s="15" t="str">
        <f aca="false">IF(D92="","",IF(C92="Çekme",-D92,D92))</f>
        <v/>
      </c>
    </row>
    <row r="93" customFormat="false" ht="15" hidden="false" customHeight="false" outlineLevel="0" collapsed="false">
      <c r="A93" s="14"/>
      <c r="B93" s="19"/>
      <c r="C93" s="19"/>
      <c r="D93" s="13"/>
      <c r="E93" s="12"/>
      <c r="F93" s="15" t="str">
        <f aca="false">IF(D93="","",IF(C93="Çekme",-D93,D93))</f>
        <v/>
      </c>
    </row>
    <row r="94" customFormat="false" ht="15" hidden="false" customHeight="false" outlineLevel="0" collapsed="false">
      <c r="A94" s="14"/>
      <c r="B94" s="19"/>
      <c r="C94" s="19"/>
      <c r="D94" s="13"/>
      <c r="E94" s="12"/>
      <c r="F94" s="15" t="str">
        <f aca="false">IF(D94="","",IF(C94="Çekme",-D94,D94))</f>
        <v/>
      </c>
    </row>
    <row r="95" customFormat="false" ht="15" hidden="false" customHeight="false" outlineLevel="0" collapsed="false">
      <c r="A95" s="14"/>
      <c r="B95" s="19"/>
      <c r="C95" s="19"/>
      <c r="D95" s="13"/>
      <c r="E95" s="12"/>
      <c r="F95" s="15" t="str">
        <f aca="false">IF(D95="","",IF(C95="Çekme",-D95,D95))</f>
        <v/>
      </c>
    </row>
    <row r="96" customFormat="false" ht="15" hidden="false" customHeight="false" outlineLevel="0" collapsed="false">
      <c r="A96" s="14"/>
      <c r="B96" s="19"/>
      <c r="C96" s="19"/>
      <c r="D96" s="13"/>
      <c r="E96" s="12"/>
      <c r="F96" s="15" t="str">
        <f aca="false">IF(D96="","",IF(C96="Çekme",-D96,D96))</f>
        <v/>
      </c>
    </row>
    <row r="97" customFormat="false" ht="15" hidden="false" customHeight="false" outlineLevel="0" collapsed="false">
      <c r="A97" s="14"/>
      <c r="B97" s="19"/>
      <c r="C97" s="19"/>
      <c r="D97" s="13"/>
      <c r="E97" s="12"/>
      <c r="F97" s="15" t="str">
        <f aca="false">IF(D97="","",IF(C97="Çekme",-D97,D97))</f>
        <v/>
      </c>
    </row>
    <row r="98" customFormat="false" ht="15" hidden="false" customHeight="false" outlineLevel="0" collapsed="false">
      <c r="A98" s="14"/>
      <c r="B98" s="19"/>
      <c r="C98" s="19"/>
      <c r="D98" s="13"/>
      <c r="E98" s="12"/>
      <c r="F98" s="15" t="str">
        <f aca="false">IF(D98="","",IF(C98="Çekme",-D98,D98))</f>
        <v/>
      </c>
    </row>
    <row r="99" customFormat="false" ht="15" hidden="false" customHeight="false" outlineLevel="0" collapsed="false">
      <c r="A99" s="14"/>
      <c r="B99" s="19"/>
      <c r="C99" s="19"/>
      <c r="D99" s="13"/>
      <c r="E99" s="12"/>
      <c r="F99" s="15" t="str">
        <f aca="false">IF(D99="","",IF(C99="Çekme",-D99,D99))</f>
        <v/>
      </c>
    </row>
    <row r="100" customFormat="false" ht="15" hidden="false" customHeight="false" outlineLevel="0" collapsed="false">
      <c r="A100" s="14"/>
      <c r="B100" s="19"/>
      <c r="C100" s="19"/>
      <c r="D100" s="13"/>
      <c r="E100" s="12"/>
      <c r="F100" s="15" t="str">
        <f aca="false">IF(D100="","",IF(C100="Çekme",-D100,D100))</f>
        <v/>
      </c>
    </row>
    <row r="101" customFormat="false" ht="15" hidden="false" customHeight="false" outlineLevel="0" collapsed="false">
      <c r="A101" s="14"/>
      <c r="B101" s="19"/>
      <c r="C101" s="19"/>
      <c r="D101" s="13"/>
      <c r="E101" s="12"/>
      <c r="F101" s="15" t="str">
        <f aca="false">IF(D101="","",IF(C101="Çekme",-D101,D101))</f>
        <v/>
      </c>
    </row>
    <row r="102" customFormat="false" ht="15" hidden="false" customHeight="false" outlineLevel="0" collapsed="false">
      <c r="A102" s="14"/>
      <c r="B102" s="19"/>
      <c r="C102" s="19"/>
      <c r="D102" s="13"/>
      <c r="E102" s="12"/>
      <c r="F102" s="15" t="str">
        <f aca="false">IF(D102="","",IF(C102="Çekme",-D102,D102))</f>
        <v/>
      </c>
    </row>
    <row r="103" customFormat="false" ht="15" hidden="false" customHeight="false" outlineLevel="0" collapsed="false">
      <c r="A103" s="14"/>
      <c r="B103" s="19"/>
      <c r="C103" s="19"/>
      <c r="D103" s="13"/>
      <c r="E103" s="12"/>
      <c r="F103" s="15" t="str">
        <f aca="false">IF(D103="","",IF(C103="Çekme",-D103,D103))</f>
        <v/>
      </c>
    </row>
    <row r="104" customFormat="false" ht="15" hidden="false" customHeight="false" outlineLevel="0" collapsed="false">
      <c r="A104" s="14"/>
      <c r="B104" s="19"/>
      <c r="C104" s="19"/>
      <c r="D104" s="13"/>
      <c r="E104" s="12"/>
      <c r="F104" s="15" t="str">
        <f aca="false">IF(D104="","",IF(C104="Çekme",-D104,D104))</f>
        <v/>
      </c>
    </row>
    <row r="105" customFormat="false" ht="15" hidden="false" customHeight="false" outlineLevel="0" collapsed="false">
      <c r="A105" s="14"/>
      <c r="B105" s="19"/>
      <c r="C105" s="19"/>
      <c r="D105" s="13"/>
      <c r="E105" s="12"/>
      <c r="F105" s="15" t="str">
        <f aca="false">IF(D105="","",IF(C105="Çekme",-D105,D105))</f>
        <v/>
      </c>
    </row>
    <row r="106" customFormat="false" ht="15" hidden="false" customHeight="false" outlineLevel="0" collapsed="false">
      <c r="A106" s="14"/>
      <c r="B106" s="19"/>
      <c r="C106" s="19"/>
      <c r="D106" s="13"/>
      <c r="E106" s="12"/>
      <c r="F106" s="15" t="str">
        <f aca="false">IF(D106="","",IF(C106="Çekme",-D106,D106))</f>
        <v/>
      </c>
    </row>
    <row r="107" customFormat="false" ht="15" hidden="false" customHeight="false" outlineLevel="0" collapsed="false">
      <c r="A107" s="14"/>
      <c r="B107" s="19"/>
      <c r="C107" s="19"/>
      <c r="D107" s="13"/>
      <c r="E107" s="12"/>
      <c r="F107" s="15" t="str">
        <f aca="false">IF(D107="","",IF(C107="Çekme",-D107,D107))</f>
        <v/>
      </c>
    </row>
    <row r="108" customFormat="false" ht="15" hidden="false" customHeight="false" outlineLevel="0" collapsed="false">
      <c r="A108" s="14"/>
      <c r="B108" s="19"/>
      <c r="C108" s="19"/>
      <c r="D108" s="13"/>
      <c r="E108" s="12"/>
      <c r="F108" s="15" t="str">
        <f aca="false">IF(D108="","",IF(C108="Çekme",-D108,D108))</f>
        <v/>
      </c>
    </row>
    <row r="109" customFormat="false" ht="15" hidden="false" customHeight="false" outlineLevel="0" collapsed="false">
      <c r="A109" s="14"/>
      <c r="B109" s="19"/>
      <c r="C109" s="19"/>
      <c r="D109" s="13"/>
      <c r="E109" s="12"/>
      <c r="F109" s="15" t="str">
        <f aca="false">IF(D109="","",IF(C109="Çekme",-D109,D109))</f>
        <v/>
      </c>
    </row>
    <row r="110" customFormat="false" ht="15" hidden="false" customHeight="false" outlineLevel="0" collapsed="false">
      <c r="A110" s="14"/>
      <c r="B110" s="19"/>
      <c r="C110" s="19"/>
      <c r="D110" s="13"/>
      <c r="E110" s="12"/>
      <c r="F110" s="15" t="str">
        <f aca="false">IF(D110="","",IF(C110="Çekme",-D110,D110))</f>
        <v/>
      </c>
    </row>
    <row r="111" customFormat="false" ht="15" hidden="false" customHeight="false" outlineLevel="0" collapsed="false">
      <c r="A111" s="14"/>
      <c r="B111" s="19"/>
      <c r="C111" s="19"/>
      <c r="D111" s="13"/>
      <c r="E111" s="12"/>
      <c r="F111" s="15" t="str">
        <f aca="false">IF(D111="","",IF(C111="Çekme",-D111,D111))</f>
        <v/>
      </c>
    </row>
    <row r="112" customFormat="false" ht="15" hidden="false" customHeight="false" outlineLevel="0" collapsed="false">
      <c r="A112" s="14"/>
      <c r="B112" s="19"/>
      <c r="C112" s="19"/>
      <c r="D112" s="13"/>
      <c r="E112" s="12"/>
      <c r="F112" s="15" t="str">
        <f aca="false">IF(D112="","",IF(C112="Çekme",-D112,D112))</f>
        <v/>
      </c>
    </row>
    <row r="113" customFormat="false" ht="15" hidden="false" customHeight="false" outlineLevel="0" collapsed="false">
      <c r="A113" s="14"/>
      <c r="B113" s="19"/>
      <c r="C113" s="19"/>
      <c r="D113" s="13"/>
      <c r="E113" s="12"/>
      <c r="F113" s="15" t="str">
        <f aca="false">IF(D113="","",IF(C113="Çekme",-D113,D113))</f>
        <v/>
      </c>
    </row>
    <row r="114" customFormat="false" ht="15" hidden="false" customHeight="false" outlineLevel="0" collapsed="false">
      <c r="A114" s="14"/>
      <c r="B114" s="19"/>
      <c r="C114" s="19"/>
      <c r="D114" s="13"/>
      <c r="E114" s="12"/>
      <c r="F114" s="15" t="str">
        <f aca="false">IF(D114="","",IF(C114="Çekme",-D114,D114))</f>
        <v/>
      </c>
    </row>
    <row r="115" customFormat="false" ht="15" hidden="false" customHeight="false" outlineLevel="0" collapsed="false">
      <c r="A115" s="14"/>
      <c r="B115" s="19"/>
      <c r="C115" s="19"/>
      <c r="D115" s="13"/>
      <c r="E115" s="12"/>
      <c r="F115" s="15" t="str">
        <f aca="false">IF(D115="","",IF(C115="Çekme",-D115,D115))</f>
        <v/>
      </c>
    </row>
    <row r="116" customFormat="false" ht="15" hidden="false" customHeight="false" outlineLevel="0" collapsed="false">
      <c r="A116" s="14"/>
      <c r="B116" s="19"/>
      <c r="C116" s="19"/>
      <c r="D116" s="13"/>
      <c r="E116" s="12"/>
      <c r="F116" s="15" t="str">
        <f aca="false">IF(D116="","",IF(C116="Çekme",-D116,D116))</f>
        <v/>
      </c>
    </row>
    <row r="117" customFormat="false" ht="15" hidden="false" customHeight="false" outlineLevel="0" collapsed="false">
      <c r="A117" s="14"/>
      <c r="B117" s="19"/>
      <c r="C117" s="19"/>
      <c r="D117" s="13"/>
      <c r="E117" s="12"/>
      <c r="F117" s="15" t="str">
        <f aca="false">IF(D117="","",IF(C117="Çekme",-D117,D117))</f>
        <v/>
      </c>
    </row>
    <row r="118" customFormat="false" ht="15" hidden="false" customHeight="false" outlineLevel="0" collapsed="false">
      <c r="A118" s="14"/>
      <c r="B118" s="19"/>
      <c r="C118" s="19"/>
      <c r="D118" s="13"/>
      <c r="E118" s="12"/>
      <c r="F118" s="15" t="str">
        <f aca="false">IF(D118="","",IF(C118="Çekme",-D118,D118))</f>
        <v/>
      </c>
    </row>
    <row r="119" customFormat="false" ht="15" hidden="false" customHeight="false" outlineLevel="0" collapsed="false">
      <c r="A119" s="14"/>
      <c r="B119" s="19"/>
      <c r="C119" s="19"/>
      <c r="D119" s="13"/>
      <c r="E119" s="12"/>
      <c r="F119" s="15" t="str">
        <f aca="false">IF(D119="","",IF(C119="Çekme",-D119,D119))</f>
        <v/>
      </c>
    </row>
    <row r="120" customFormat="false" ht="15" hidden="false" customHeight="false" outlineLevel="0" collapsed="false">
      <c r="A120" s="14"/>
      <c r="B120" s="19"/>
      <c r="C120" s="19"/>
      <c r="D120" s="13"/>
      <c r="E120" s="12"/>
      <c r="F120" s="15" t="str">
        <f aca="false">IF(D120="","",IF(C120="Çekme",-D120,D120))</f>
        <v/>
      </c>
    </row>
    <row r="121" customFormat="false" ht="15" hidden="false" customHeight="false" outlineLevel="0" collapsed="false">
      <c r="A121" s="14"/>
      <c r="B121" s="19"/>
      <c r="C121" s="19"/>
      <c r="D121" s="13"/>
      <c r="E121" s="12"/>
      <c r="F121" s="15" t="str">
        <f aca="false">IF(D121="","",IF(C121="Çekme",-D121,D121))</f>
        <v/>
      </c>
    </row>
    <row r="122" customFormat="false" ht="15" hidden="false" customHeight="false" outlineLevel="0" collapsed="false">
      <c r="A122" s="14"/>
      <c r="B122" s="19"/>
      <c r="C122" s="19"/>
      <c r="D122" s="13"/>
      <c r="E122" s="12"/>
      <c r="F122" s="15" t="str">
        <f aca="false">IF(D122="","",IF(C122="Çekme",-D122,D122))</f>
        <v/>
      </c>
    </row>
    <row r="123" customFormat="false" ht="15" hidden="false" customHeight="false" outlineLevel="0" collapsed="false">
      <c r="A123" s="14"/>
      <c r="B123" s="19"/>
      <c r="C123" s="19"/>
      <c r="D123" s="13"/>
      <c r="E123" s="12"/>
      <c r="F123" s="15" t="str">
        <f aca="false">IF(D123="","",IF(C123="Çekme",-D123,D123))</f>
        <v/>
      </c>
    </row>
    <row r="124" customFormat="false" ht="15" hidden="false" customHeight="false" outlineLevel="0" collapsed="false">
      <c r="A124" s="14"/>
      <c r="B124" s="19"/>
      <c r="C124" s="19"/>
      <c r="D124" s="13"/>
      <c r="E124" s="12"/>
      <c r="F124" s="15" t="str">
        <f aca="false">IF(D124="","",IF(C124="Çekme",-D124,D124))</f>
        <v/>
      </c>
    </row>
    <row r="125" customFormat="false" ht="15" hidden="false" customHeight="false" outlineLevel="0" collapsed="false">
      <c r="A125" s="14"/>
      <c r="B125" s="19"/>
      <c r="C125" s="19"/>
      <c r="D125" s="13"/>
      <c r="E125" s="12"/>
      <c r="F125" s="15" t="str">
        <f aca="false">IF(D125="","",IF(C125="Çekme",-D125,D125))</f>
        <v/>
      </c>
    </row>
    <row r="126" customFormat="false" ht="15" hidden="false" customHeight="false" outlineLevel="0" collapsed="false">
      <c r="A126" s="14"/>
      <c r="B126" s="19"/>
      <c r="C126" s="19"/>
      <c r="D126" s="13"/>
      <c r="E126" s="12"/>
      <c r="F126" s="15" t="str">
        <f aca="false">IF(D126="","",IF(C126="Çekme",-D126,D126))</f>
        <v/>
      </c>
    </row>
    <row r="127" customFormat="false" ht="15" hidden="false" customHeight="false" outlineLevel="0" collapsed="false">
      <c r="A127" s="14"/>
      <c r="B127" s="19"/>
      <c r="C127" s="19"/>
      <c r="D127" s="13"/>
      <c r="E127" s="12"/>
      <c r="F127" s="15" t="str">
        <f aca="false">IF(D127="","",IF(C127="Çekme",-D127,D127))</f>
        <v/>
      </c>
    </row>
    <row r="128" customFormat="false" ht="15" hidden="false" customHeight="false" outlineLevel="0" collapsed="false">
      <c r="A128" s="14"/>
      <c r="B128" s="19"/>
      <c r="C128" s="19"/>
      <c r="D128" s="13"/>
      <c r="E128" s="12"/>
      <c r="F128" s="15" t="str">
        <f aca="false">IF(D128="","",IF(C128="Çekme",-D128,D128))</f>
        <v/>
      </c>
    </row>
    <row r="129" customFormat="false" ht="15" hidden="false" customHeight="false" outlineLevel="0" collapsed="false">
      <c r="A129" s="14"/>
      <c r="B129" s="19"/>
      <c r="C129" s="19"/>
      <c r="D129" s="13"/>
      <c r="E129" s="12"/>
      <c r="F129" s="15" t="str">
        <f aca="false">IF(D129="","",IF(C129="Çekme",-D129,D129))</f>
        <v/>
      </c>
    </row>
    <row r="130" customFormat="false" ht="15" hidden="false" customHeight="false" outlineLevel="0" collapsed="false">
      <c r="A130" s="14"/>
      <c r="B130" s="19"/>
      <c r="C130" s="19"/>
      <c r="D130" s="13"/>
      <c r="E130" s="12"/>
      <c r="F130" s="15" t="str">
        <f aca="false">IF(D130="","",IF(C130="Çekme",-D130,D130))</f>
        <v/>
      </c>
    </row>
    <row r="131" customFormat="false" ht="15" hidden="false" customHeight="false" outlineLevel="0" collapsed="false">
      <c r="A131" s="14"/>
      <c r="B131" s="19"/>
      <c r="C131" s="19"/>
      <c r="D131" s="13"/>
      <c r="E131" s="12"/>
      <c r="F131" s="15" t="str">
        <f aca="false">IF(D131="","",IF(C131="Çekme",-D131,D131))</f>
        <v/>
      </c>
    </row>
    <row r="132" customFormat="false" ht="15" hidden="false" customHeight="false" outlineLevel="0" collapsed="false">
      <c r="A132" s="14"/>
      <c r="B132" s="19"/>
      <c r="C132" s="19"/>
      <c r="D132" s="13"/>
      <c r="E132" s="12"/>
      <c r="F132" s="15" t="str">
        <f aca="false">IF(D132="","",IF(C132="Çekme",-D132,D132))</f>
        <v/>
      </c>
    </row>
    <row r="133" customFormat="false" ht="15" hidden="false" customHeight="false" outlineLevel="0" collapsed="false">
      <c r="A133" s="14"/>
      <c r="B133" s="19"/>
      <c r="C133" s="19"/>
      <c r="D133" s="13"/>
      <c r="E133" s="12"/>
      <c r="F133" s="15" t="str">
        <f aca="false">IF(D133="","",IF(C133="Çekme",-D133,D133))</f>
        <v/>
      </c>
    </row>
    <row r="134" customFormat="false" ht="15" hidden="false" customHeight="false" outlineLevel="0" collapsed="false">
      <c r="A134" s="14"/>
      <c r="B134" s="19"/>
      <c r="C134" s="19"/>
      <c r="D134" s="13"/>
      <c r="E134" s="12"/>
      <c r="F134" s="15" t="str">
        <f aca="false">IF(D134="","",IF(C134="Çekme",-D134,D134))</f>
        <v/>
      </c>
    </row>
    <row r="135" customFormat="false" ht="15" hidden="false" customHeight="false" outlineLevel="0" collapsed="false">
      <c r="A135" s="14"/>
      <c r="B135" s="19"/>
      <c r="C135" s="19"/>
      <c r="D135" s="13"/>
      <c r="E135" s="12"/>
      <c r="F135" s="15" t="str">
        <f aca="false">IF(D135="","",IF(C135="Çekme",-D135,D135))</f>
        <v/>
      </c>
    </row>
    <row r="136" customFormat="false" ht="15" hidden="false" customHeight="false" outlineLevel="0" collapsed="false">
      <c r="A136" s="14"/>
      <c r="B136" s="19"/>
      <c r="C136" s="19"/>
      <c r="D136" s="13"/>
      <c r="E136" s="12"/>
      <c r="F136" s="15" t="str">
        <f aca="false">IF(D136="","",IF(C136="Çekme",-D136,D136))</f>
        <v/>
      </c>
    </row>
    <row r="137" customFormat="false" ht="15" hidden="false" customHeight="false" outlineLevel="0" collapsed="false">
      <c r="A137" s="14"/>
      <c r="B137" s="19"/>
      <c r="C137" s="19"/>
      <c r="D137" s="13"/>
      <c r="E137" s="12"/>
      <c r="F137" s="15" t="str">
        <f aca="false">IF(D137="","",IF(C137="Çekme",-D137,D137))</f>
        <v/>
      </c>
    </row>
    <row r="138" customFormat="false" ht="15" hidden="false" customHeight="false" outlineLevel="0" collapsed="false">
      <c r="A138" s="14"/>
      <c r="B138" s="19"/>
      <c r="C138" s="19"/>
      <c r="D138" s="13"/>
      <c r="E138" s="12"/>
      <c r="F138" s="15" t="str">
        <f aca="false">IF(D138="","",IF(C138="Çekme",-D138,D138))</f>
        <v/>
      </c>
    </row>
    <row r="139" customFormat="false" ht="15" hidden="false" customHeight="false" outlineLevel="0" collapsed="false">
      <c r="A139" s="14"/>
      <c r="B139" s="19"/>
      <c r="C139" s="19"/>
      <c r="D139" s="13"/>
      <c r="E139" s="12"/>
      <c r="F139" s="15" t="str">
        <f aca="false">IF(D139="","",IF(C139="Çekme",-D139,D139))</f>
        <v/>
      </c>
    </row>
    <row r="140" customFormat="false" ht="15" hidden="false" customHeight="false" outlineLevel="0" collapsed="false">
      <c r="A140" s="14"/>
      <c r="B140" s="19"/>
      <c r="C140" s="19"/>
      <c r="D140" s="13"/>
      <c r="E140" s="12"/>
      <c r="F140" s="15" t="str">
        <f aca="false">IF(D140="","",IF(C140="Çekme",-D140,D140))</f>
        <v/>
      </c>
    </row>
    <row r="141" customFormat="false" ht="15" hidden="false" customHeight="false" outlineLevel="0" collapsed="false">
      <c r="A141" s="14"/>
      <c r="B141" s="19"/>
      <c r="C141" s="19"/>
      <c r="D141" s="13"/>
      <c r="E141" s="12"/>
      <c r="F141" s="15" t="str">
        <f aca="false">IF(D141="","",IF(C141="Çekme",-D141,D141))</f>
        <v/>
      </c>
    </row>
    <row r="142" customFormat="false" ht="15" hidden="false" customHeight="false" outlineLevel="0" collapsed="false">
      <c r="A142" s="14"/>
      <c r="B142" s="19"/>
      <c r="C142" s="19"/>
      <c r="D142" s="13"/>
      <c r="E142" s="12"/>
      <c r="F142" s="15" t="str">
        <f aca="false">IF(D142="","",IF(C142="Çekme",-D142,D142))</f>
        <v/>
      </c>
    </row>
    <row r="143" customFormat="false" ht="15" hidden="false" customHeight="false" outlineLevel="0" collapsed="false">
      <c r="A143" s="14"/>
      <c r="B143" s="19"/>
      <c r="C143" s="19"/>
      <c r="D143" s="13"/>
      <c r="E143" s="12"/>
      <c r="F143" s="15" t="str">
        <f aca="false">IF(D143="","",IF(C143="Çekme",-D143,D143))</f>
        <v/>
      </c>
    </row>
    <row r="144" customFormat="false" ht="15" hidden="false" customHeight="false" outlineLevel="0" collapsed="false">
      <c r="A144" s="14"/>
      <c r="B144" s="19"/>
      <c r="C144" s="19"/>
      <c r="D144" s="13"/>
      <c r="E144" s="12"/>
      <c r="F144" s="15" t="str">
        <f aca="false">IF(D144="","",IF(C144="Çekme",-D144,D144))</f>
        <v/>
      </c>
    </row>
    <row r="145" customFormat="false" ht="15" hidden="false" customHeight="false" outlineLevel="0" collapsed="false">
      <c r="A145" s="14"/>
      <c r="B145" s="19"/>
      <c r="C145" s="19"/>
      <c r="D145" s="13"/>
      <c r="E145" s="12"/>
      <c r="F145" s="15" t="str">
        <f aca="false">IF(D145="","",IF(C145="Çekme",-D145,D145))</f>
        <v/>
      </c>
    </row>
    <row r="146" customFormat="false" ht="15" hidden="false" customHeight="false" outlineLevel="0" collapsed="false">
      <c r="A146" s="14"/>
      <c r="B146" s="19"/>
      <c r="C146" s="19"/>
      <c r="D146" s="13"/>
      <c r="E146" s="12"/>
      <c r="F146" s="15" t="str">
        <f aca="false">IF(D146="","",IF(C146="Çekme",-D146,D146))</f>
        <v/>
      </c>
    </row>
    <row r="147" customFormat="false" ht="15" hidden="false" customHeight="false" outlineLevel="0" collapsed="false">
      <c r="A147" s="14"/>
      <c r="B147" s="19"/>
      <c r="C147" s="19"/>
      <c r="D147" s="13"/>
      <c r="E147" s="12"/>
      <c r="F147" s="15" t="str">
        <f aca="false">IF(D147="","",IF(C147="Çekme",-D147,D147))</f>
        <v/>
      </c>
    </row>
    <row r="148" customFormat="false" ht="15" hidden="false" customHeight="false" outlineLevel="0" collapsed="false">
      <c r="A148" s="14"/>
      <c r="B148" s="19"/>
      <c r="C148" s="19"/>
      <c r="D148" s="13"/>
      <c r="E148" s="12"/>
      <c r="F148" s="15" t="str">
        <f aca="false">IF(D148="","",IF(C148="Çekme",-D148,D148))</f>
        <v/>
      </c>
    </row>
    <row r="149" customFormat="false" ht="15" hidden="false" customHeight="false" outlineLevel="0" collapsed="false">
      <c r="A149" s="14"/>
      <c r="B149" s="19"/>
      <c r="C149" s="19"/>
      <c r="D149" s="13"/>
      <c r="E149" s="12"/>
      <c r="F149" s="15" t="str">
        <f aca="false">IF(D149="","",IF(C149="Çekme",-D149,D149))</f>
        <v/>
      </c>
    </row>
    <row r="150" customFormat="false" ht="15" hidden="false" customHeight="false" outlineLevel="0" collapsed="false">
      <c r="A150" s="14"/>
      <c r="B150" s="19"/>
      <c r="C150" s="19"/>
      <c r="D150" s="13"/>
      <c r="E150" s="12"/>
      <c r="F150" s="15" t="str">
        <f aca="false">IF(D150="","",IF(C150="Çekme",-D150,D150))</f>
        <v/>
      </c>
    </row>
    <row r="151" customFormat="false" ht="15" hidden="false" customHeight="false" outlineLevel="0" collapsed="false">
      <c r="A151" s="14"/>
      <c r="B151" s="19"/>
      <c r="C151" s="19"/>
      <c r="D151" s="13"/>
      <c r="E151" s="12"/>
      <c r="F151" s="15" t="str">
        <f aca="false">IF(D151="","",IF(C151="Çekme",-D151,D151))</f>
        <v/>
      </c>
    </row>
    <row r="152" customFormat="false" ht="15" hidden="false" customHeight="false" outlineLevel="0" collapsed="false">
      <c r="A152" s="14"/>
      <c r="B152" s="19"/>
      <c r="C152" s="19"/>
      <c r="D152" s="13"/>
      <c r="E152" s="12"/>
      <c r="F152" s="15" t="str">
        <f aca="false">IF(D152="","",IF(C152="Çekme",-D152,D152))</f>
        <v/>
      </c>
    </row>
    <row r="153" customFormat="false" ht="15" hidden="false" customHeight="false" outlineLevel="0" collapsed="false">
      <c r="A153" s="14"/>
      <c r="B153" s="19"/>
      <c r="C153" s="19"/>
      <c r="D153" s="13"/>
      <c r="E153" s="12"/>
      <c r="F153" s="15" t="str">
        <f aca="false">IF(D153="","",IF(C153="Çekme",-D153,D153))</f>
        <v/>
      </c>
    </row>
    <row r="154" customFormat="false" ht="15" hidden="false" customHeight="false" outlineLevel="0" collapsed="false">
      <c r="A154" s="14"/>
      <c r="B154" s="19"/>
      <c r="C154" s="19"/>
      <c r="D154" s="13"/>
      <c r="E154" s="12"/>
      <c r="F154" s="15" t="str">
        <f aca="false">IF(D154="","",IF(C154="Çekme",-D154,D154))</f>
        <v/>
      </c>
    </row>
    <row r="155" customFormat="false" ht="15" hidden="false" customHeight="false" outlineLevel="0" collapsed="false">
      <c r="A155" s="14"/>
      <c r="B155" s="19"/>
      <c r="C155" s="19"/>
      <c r="D155" s="13"/>
      <c r="E155" s="12"/>
      <c r="F155" s="15" t="str">
        <f aca="false">IF(D155="","",IF(C155="Çekme",-D155,D155))</f>
        <v/>
      </c>
    </row>
    <row r="156" customFormat="false" ht="15" hidden="false" customHeight="false" outlineLevel="0" collapsed="false">
      <c r="A156" s="14"/>
      <c r="B156" s="19"/>
      <c r="C156" s="19"/>
      <c r="D156" s="13"/>
      <c r="E156" s="12"/>
      <c r="F156" s="15" t="str">
        <f aca="false">IF(D156="","",IF(C156="Çekme",-D156,D156))</f>
        <v/>
      </c>
    </row>
    <row r="157" customFormat="false" ht="15" hidden="false" customHeight="false" outlineLevel="0" collapsed="false">
      <c r="A157" s="14"/>
      <c r="B157" s="19"/>
      <c r="C157" s="19"/>
      <c r="D157" s="13"/>
      <c r="E157" s="12"/>
      <c r="F157" s="15" t="str">
        <f aca="false">IF(D157="","",IF(C157="Çekme",-D157,D157))</f>
        <v/>
      </c>
    </row>
    <row r="158" customFormat="false" ht="15" hidden="false" customHeight="false" outlineLevel="0" collapsed="false">
      <c r="A158" s="14"/>
      <c r="B158" s="19"/>
      <c r="C158" s="19"/>
      <c r="D158" s="13"/>
      <c r="E158" s="12"/>
      <c r="F158" s="15" t="str">
        <f aca="false">IF(D158="","",IF(C158="Çekme",-D158,D158))</f>
        <v/>
      </c>
    </row>
    <row r="159" customFormat="false" ht="15" hidden="false" customHeight="false" outlineLevel="0" collapsed="false">
      <c r="A159" s="14"/>
      <c r="B159" s="19"/>
      <c r="C159" s="19"/>
      <c r="D159" s="13"/>
      <c r="E159" s="12"/>
      <c r="F159" s="15" t="str">
        <f aca="false">IF(D159="","",IF(C159="Çekme",-D159,D159))</f>
        <v/>
      </c>
    </row>
    <row r="160" customFormat="false" ht="15" hidden="false" customHeight="false" outlineLevel="0" collapsed="false">
      <c r="A160" s="14"/>
      <c r="B160" s="19"/>
      <c r="C160" s="19"/>
      <c r="D160" s="13"/>
      <c r="E160" s="12"/>
      <c r="F160" s="15" t="str">
        <f aca="false">IF(D160="","",IF(C160="Çekme",-D160,D160))</f>
        <v/>
      </c>
    </row>
    <row r="161" customFormat="false" ht="15" hidden="false" customHeight="false" outlineLevel="0" collapsed="false">
      <c r="A161" s="14"/>
      <c r="B161" s="19"/>
      <c r="C161" s="19"/>
      <c r="D161" s="13"/>
      <c r="E161" s="12"/>
      <c r="F161" s="15" t="str">
        <f aca="false">IF(D161="","",IF(C161="Çekme",-D161,D161))</f>
        <v/>
      </c>
    </row>
    <row r="162" customFormat="false" ht="15" hidden="false" customHeight="false" outlineLevel="0" collapsed="false">
      <c r="A162" s="14"/>
      <c r="B162" s="19"/>
      <c r="C162" s="19"/>
      <c r="D162" s="13"/>
      <c r="E162" s="12"/>
      <c r="F162" s="15" t="str">
        <f aca="false">IF(D162="","",IF(C162="Çekme",-D162,D162))</f>
        <v/>
      </c>
    </row>
    <row r="163" customFormat="false" ht="15" hidden="false" customHeight="false" outlineLevel="0" collapsed="false">
      <c r="A163" s="14"/>
      <c r="B163" s="19"/>
      <c r="C163" s="19"/>
      <c r="D163" s="13"/>
      <c r="E163" s="12"/>
      <c r="F163" s="15" t="str">
        <f aca="false">IF(D163="","",IF(C163="Çekme",-D163,D163))</f>
        <v/>
      </c>
    </row>
    <row r="164" customFormat="false" ht="15" hidden="false" customHeight="false" outlineLevel="0" collapsed="false">
      <c r="A164" s="14"/>
      <c r="B164" s="19"/>
      <c r="C164" s="19"/>
      <c r="D164" s="13"/>
      <c r="E164" s="12"/>
      <c r="F164" s="15" t="str">
        <f aca="false">IF(D164="","",IF(C164="Çekme",-D164,D164))</f>
        <v/>
      </c>
    </row>
    <row r="165" customFormat="false" ht="15" hidden="false" customHeight="false" outlineLevel="0" collapsed="false">
      <c r="A165" s="14"/>
      <c r="B165" s="19"/>
      <c r="C165" s="19"/>
      <c r="D165" s="13"/>
      <c r="E165" s="12"/>
      <c r="F165" s="15" t="str">
        <f aca="false">IF(D165="","",IF(C165="Çekme",-D165,D165))</f>
        <v/>
      </c>
    </row>
    <row r="166" customFormat="false" ht="15" hidden="false" customHeight="false" outlineLevel="0" collapsed="false">
      <c r="A166" s="14"/>
      <c r="B166" s="19"/>
      <c r="C166" s="19"/>
      <c r="D166" s="13"/>
      <c r="E166" s="12"/>
      <c r="F166" s="15" t="str">
        <f aca="false">IF(D166="","",IF(C166="Çekme",-D166,D166))</f>
        <v/>
      </c>
    </row>
    <row r="167" customFormat="false" ht="15" hidden="false" customHeight="false" outlineLevel="0" collapsed="false">
      <c r="A167" s="14"/>
      <c r="B167" s="19"/>
      <c r="C167" s="19"/>
      <c r="D167" s="13"/>
      <c r="E167" s="12"/>
      <c r="F167" s="15" t="str">
        <f aca="false">IF(D167="","",IF(C167="Çekme",-D167,D167))</f>
        <v/>
      </c>
    </row>
    <row r="168" customFormat="false" ht="15" hidden="false" customHeight="false" outlineLevel="0" collapsed="false">
      <c r="A168" s="14"/>
      <c r="B168" s="19"/>
      <c r="C168" s="19"/>
      <c r="D168" s="13"/>
      <c r="E168" s="12"/>
      <c r="F168" s="15" t="str">
        <f aca="false">IF(D168="","",IF(C168="Çekme",-D168,D168))</f>
        <v/>
      </c>
    </row>
    <row r="169" customFormat="false" ht="15" hidden="false" customHeight="false" outlineLevel="0" collapsed="false">
      <c r="A169" s="14"/>
      <c r="B169" s="19"/>
      <c r="C169" s="19"/>
      <c r="D169" s="13"/>
      <c r="E169" s="12"/>
      <c r="F169" s="15" t="str">
        <f aca="false">IF(D169="","",IF(C169="Çekme",-D169,D169))</f>
        <v/>
      </c>
    </row>
    <row r="170" customFormat="false" ht="15" hidden="false" customHeight="false" outlineLevel="0" collapsed="false">
      <c r="A170" s="14"/>
      <c r="B170" s="19"/>
      <c r="C170" s="19"/>
      <c r="D170" s="13"/>
      <c r="E170" s="12"/>
      <c r="F170" s="15" t="str">
        <f aca="false">IF(D170="","",IF(C170="Çekme",-D170,D170))</f>
        <v/>
      </c>
    </row>
    <row r="171" customFormat="false" ht="15" hidden="false" customHeight="false" outlineLevel="0" collapsed="false">
      <c r="A171" s="14"/>
      <c r="B171" s="19"/>
      <c r="C171" s="19"/>
      <c r="D171" s="13"/>
      <c r="E171" s="12"/>
      <c r="F171" s="15" t="str">
        <f aca="false">IF(D171="","",IF(C171="Çekme",-D171,D171))</f>
        <v/>
      </c>
    </row>
    <row r="172" customFormat="false" ht="15" hidden="false" customHeight="false" outlineLevel="0" collapsed="false">
      <c r="A172" s="14"/>
      <c r="B172" s="19"/>
      <c r="C172" s="19"/>
      <c r="D172" s="13"/>
      <c r="E172" s="12"/>
      <c r="F172" s="15" t="str">
        <f aca="false">IF(D172="","",IF(C172="Çekme",-D172,D172))</f>
        <v/>
      </c>
    </row>
    <row r="173" customFormat="false" ht="15" hidden="false" customHeight="false" outlineLevel="0" collapsed="false">
      <c r="A173" s="14"/>
      <c r="B173" s="19"/>
      <c r="C173" s="19"/>
      <c r="D173" s="13"/>
      <c r="E173" s="12"/>
      <c r="F173" s="15" t="str">
        <f aca="false">IF(D173="","",IF(C173="Çekme",-D173,D173))</f>
        <v/>
      </c>
    </row>
    <row r="174" customFormat="false" ht="15" hidden="false" customHeight="false" outlineLevel="0" collapsed="false">
      <c r="A174" s="14"/>
      <c r="B174" s="19"/>
      <c r="C174" s="19"/>
      <c r="D174" s="13"/>
      <c r="E174" s="12"/>
      <c r="F174" s="15" t="str">
        <f aca="false">IF(D174="","",IF(C174="Çekme",-D174,D174))</f>
        <v/>
      </c>
    </row>
    <row r="175" customFormat="false" ht="15" hidden="false" customHeight="false" outlineLevel="0" collapsed="false">
      <c r="A175" s="14"/>
      <c r="B175" s="19"/>
      <c r="C175" s="19"/>
      <c r="D175" s="13"/>
      <c r="E175" s="12"/>
      <c r="F175" s="15" t="str">
        <f aca="false">IF(D175="","",IF(C175="Çekme",-D175,D175))</f>
        <v/>
      </c>
    </row>
    <row r="176" customFormat="false" ht="15" hidden="false" customHeight="false" outlineLevel="0" collapsed="false">
      <c r="A176" s="14"/>
      <c r="B176" s="19"/>
      <c r="C176" s="19"/>
      <c r="D176" s="13"/>
      <c r="E176" s="12"/>
      <c r="F176" s="15" t="str">
        <f aca="false">IF(D176="","",IF(C176="Çekme",-D176,D176))</f>
        <v/>
      </c>
    </row>
    <row r="177" customFormat="false" ht="15" hidden="false" customHeight="false" outlineLevel="0" collapsed="false">
      <c r="A177" s="14"/>
      <c r="B177" s="19"/>
      <c r="C177" s="19"/>
      <c r="D177" s="13"/>
      <c r="E177" s="12"/>
      <c r="F177" s="15" t="str">
        <f aca="false">IF(D177="","",IF(C177="Çekme",-D177,D177))</f>
        <v/>
      </c>
    </row>
    <row r="178" customFormat="false" ht="15" hidden="false" customHeight="false" outlineLevel="0" collapsed="false">
      <c r="A178" s="14"/>
      <c r="B178" s="19"/>
      <c r="C178" s="19"/>
      <c r="D178" s="13"/>
      <c r="E178" s="12"/>
      <c r="F178" s="15" t="str">
        <f aca="false">IF(D178="","",IF(C178="Çekme",-D178,D178))</f>
        <v/>
      </c>
    </row>
    <row r="179" customFormat="false" ht="15" hidden="false" customHeight="false" outlineLevel="0" collapsed="false">
      <c r="A179" s="14"/>
      <c r="B179" s="19"/>
      <c r="C179" s="19"/>
      <c r="D179" s="13"/>
      <c r="E179" s="12"/>
      <c r="F179" s="15" t="str">
        <f aca="false">IF(D179="","",IF(C179="Çekme",-D179,D179))</f>
        <v/>
      </c>
    </row>
    <row r="180" customFormat="false" ht="15" hidden="false" customHeight="false" outlineLevel="0" collapsed="false">
      <c r="A180" s="14"/>
      <c r="B180" s="19"/>
      <c r="C180" s="19"/>
      <c r="D180" s="13"/>
      <c r="E180" s="12"/>
      <c r="F180" s="15" t="str">
        <f aca="false">IF(D180="","",IF(C180="Çekme",-D180,D180))</f>
        <v/>
      </c>
    </row>
    <row r="181" customFormat="false" ht="15" hidden="false" customHeight="false" outlineLevel="0" collapsed="false">
      <c r="A181" s="14"/>
      <c r="B181" s="19"/>
      <c r="C181" s="19"/>
      <c r="D181" s="13"/>
      <c r="E181" s="12"/>
      <c r="F181" s="15" t="str">
        <f aca="false">IF(D181="","",IF(C181="Çekme",-D181,D181))</f>
        <v/>
      </c>
    </row>
    <row r="182" customFormat="false" ht="15" hidden="false" customHeight="false" outlineLevel="0" collapsed="false">
      <c r="A182" s="14"/>
      <c r="B182" s="19"/>
      <c r="C182" s="19"/>
      <c r="D182" s="13"/>
      <c r="E182" s="12"/>
      <c r="F182" s="15" t="str">
        <f aca="false">IF(D182="","",IF(C182="Çekme",-D182,D182))</f>
        <v/>
      </c>
    </row>
    <row r="183" customFormat="false" ht="15" hidden="false" customHeight="false" outlineLevel="0" collapsed="false">
      <c r="A183" s="14"/>
      <c r="B183" s="19"/>
      <c r="C183" s="19"/>
      <c r="D183" s="13"/>
      <c r="E183" s="12"/>
      <c r="F183" s="15" t="str">
        <f aca="false">IF(D183="","",IF(C183="Çekme",-D183,D183))</f>
        <v/>
      </c>
    </row>
    <row r="184" customFormat="false" ht="15" hidden="false" customHeight="false" outlineLevel="0" collapsed="false">
      <c r="A184" s="14"/>
      <c r="B184" s="19"/>
      <c r="C184" s="19"/>
      <c r="D184" s="13"/>
      <c r="E184" s="12"/>
      <c r="F184" s="15" t="str">
        <f aca="false">IF(D184="","",IF(C184="Çekme",-D184,D184))</f>
        <v/>
      </c>
    </row>
    <row r="185" customFormat="false" ht="15" hidden="false" customHeight="false" outlineLevel="0" collapsed="false">
      <c r="A185" s="14"/>
      <c r="B185" s="19"/>
      <c r="C185" s="19"/>
      <c r="D185" s="13"/>
      <c r="E185" s="12"/>
      <c r="F185" s="15" t="str">
        <f aca="false">IF(D185="","",IF(C185="Çekme",-D185,D185))</f>
        <v/>
      </c>
    </row>
    <row r="186" customFormat="false" ht="15" hidden="false" customHeight="false" outlineLevel="0" collapsed="false">
      <c r="A186" s="14"/>
      <c r="B186" s="19"/>
      <c r="C186" s="19"/>
      <c r="D186" s="13"/>
      <c r="E186" s="12"/>
      <c r="F186" s="15" t="str">
        <f aca="false">IF(D186="","",IF(C186="Çekme",-D186,D186))</f>
        <v/>
      </c>
    </row>
    <row r="187" customFormat="false" ht="15" hidden="false" customHeight="false" outlineLevel="0" collapsed="false">
      <c r="A187" s="14"/>
      <c r="B187" s="19"/>
      <c r="C187" s="19"/>
      <c r="D187" s="13"/>
      <c r="E187" s="12"/>
      <c r="F187" s="15" t="str">
        <f aca="false">IF(D187="","",IF(C187="Çekme",-D187,D187))</f>
        <v/>
      </c>
    </row>
    <row r="188" customFormat="false" ht="15" hidden="false" customHeight="false" outlineLevel="0" collapsed="false">
      <c r="A188" s="14"/>
      <c r="B188" s="19"/>
      <c r="C188" s="19"/>
      <c r="D188" s="13"/>
      <c r="E188" s="12"/>
      <c r="F188" s="15" t="str">
        <f aca="false">IF(D188="","",IF(C188="Çekme",-D188,D188))</f>
        <v/>
      </c>
    </row>
    <row r="189" customFormat="false" ht="15" hidden="false" customHeight="false" outlineLevel="0" collapsed="false">
      <c r="A189" s="14"/>
      <c r="B189" s="19"/>
      <c r="C189" s="19"/>
      <c r="D189" s="13"/>
      <c r="E189" s="12"/>
      <c r="F189" s="15" t="str">
        <f aca="false">IF(D189="","",IF(C189="Çekme",-D189,D189))</f>
        <v/>
      </c>
    </row>
    <row r="190" customFormat="false" ht="15" hidden="false" customHeight="false" outlineLevel="0" collapsed="false">
      <c r="A190" s="14"/>
      <c r="B190" s="19"/>
      <c r="C190" s="19"/>
      <c r="D190" s="13"/>
      <c r="E190" s="12"/>
      <c r="F190" s="15" t="str">
        <f aca="false">IF(D190="","",IF(C190="Çekme",-D190,D190))</f>
        <v/>
      </c>
    </row>
    <row r="191" customFormat="false" ht="15" hidden="false" customHeight="false" outlineLevel="0" collapsed="false">
      <c r="A191" s="14"/>
      <c r="B191" s="19"/>
      <c r="C191" s="19"/>
      <c r="D191" s="13"/>
      <c r="E191" s="12"/>
      <c r="F191" s="15" t="str">
        <f aca="false">IF(D191="","",IF(C191="Çekme",-D191,D191))</f>
        <v/>
      </c>
    </row>
    <row r="192" customFormat="false" ht="15" hidden="false" customHeight="false" outlineLevel="0" collapsed="false">
      <c r="A192" s="14"/>
      <c r="B192" s="19"/>
      <c r="C192" s="19"/>
      <c r="D192" s="13"/>
      <c r="E192" s="12"/>
      <c r="F192" s="15" t="str">
        <f aca="false">IF(D192="","",IF(C192="Çekme",-D192,D192))</f>
        <v/>
      </c>
    </row>
    <row r="193" customFormat="false" ht="15" hidden="false" customHeight="false" outlineLevel="0" collapsed="false">
      <c r="A193" s="14"/>
      <c r="B193" s="19"/>
      <c r="C193" s="19"/>
      <c r="D193" s="13"/>
      <c r="E193" s="12"/>
      <c r="F193" s="15" t="str">
        <f aca="false">IF(D193="","",IF(C193="Çekme",-D193,D193))</f>
        <v/>
      </c>
    </row>
    <row r="194" customFormat="false" ht="15" hidden="false" customHeight="false" outlineLevel="0" collapsed="false">
      <c r="A194" s="14"/>
      <c r="B194" s="19"/>
      <c r="C194" s="19"/>
      <c r="D194" s="13"/>
      <c r="E194" s="12"/>
      <c r="F194" s="15" t="str">
        <f aca="false">IF(D194="","",IF(C194="Çekme",-D194,D194))</f>
        <v/>
      </c>
    </row>
    <row r="195" customFormat="false" ht="15" hidden="false" customHeight="false" outlineLevel="0" collapsed="false">
      <c r="A195" s="14"/>
      <c r="B195" s="19"/>
      <c r="C195" s="19"/>
      <c r="D195" s="13"/>
      <c r="E195" s="12"/>
      <c r="F195" s="15" t="str">
        <f aca="false">IF(D195="","",IF(C195="Çekme",-D195,D195))</f>
        <v/>
      </c>
    </row>
    <row r="196" customFormat="false" ht="15" hidden="false" customHeight="false" outlineLevel="0" collapsed="false">
      <c r="A196" s="14"/>
      <c r="B196" s="19"/>
      <c r="C196" s="19"/>
      <c r="D196" s="13"/>
      <c r="E196" s="12"/>
      <c r="F196" s="15" t="str">
        <f aca="false">IF(D196="","",IF(C196="Çekme",-D196,D196))</f>
        <v/>
      </c>
    </row>
    <row r="197" customFormat="false" ht="15" hidden="false" customHeight="false" outlineLevel="0" collapsed="false">
      <c r="A197" s="14"/>
      <c r="B197" s="19"/>
      <c r="C197" s="19"/>
      <c r="D197" s="13"/>
      <c r="E197" s="12"/>
      <c r="F197" s="15" t="str">
        <f aca="false">IF(D197="","",IF(C197="Çekme",-D197,D197))</f>
        <v/>
      </c>
    </row>
    <row r="198" customFormat="false" ht="15" hidden="false" customHeight="false" outlineLevel="0" collapsed="false">
      <c r="A198" s="14"/>
      <c r="B198" s="19"/>
      <c r="C198" s="19"/>
      <c r="D198" s="13"/>
      <c r="E198" s="12"/>
      <c r="F198" s="15" t="str">
        <f aca="false">IF(D198="","",IF(C198="Çekme",-D198,D198))</f>
        <v/>
      </c>
    </row>
    <row r="199" customFormat="false" ht="15" hidden="false" customHeight="false" outlineLevel="0" collapsed="false">
      <c r="A199" s="14"/>
      <c r="B199" s="19"/>
      <c r="C199" s="19"/>
      <c r="D199" s="13"/>
      <c r="E199" s="12"/>
      <c r="F199" s="15" t="str">
        <f aca="false">IF(D199="","",IF(C199="Çekme",-D199,D199))</f>
        <v/>
      </c>
    </row>
    <row r="200" customFormat="false" ht="15" hidden="false" customHeight="false" outlineLevel="0" collapsed="false">
      <c r="A200" s="14"/>
      <c r="B200" s="19"/>
      <c r="C200" s="19"/>
      <c r="D200" s="13"/>
      <c r="E200" s="12"/>
      <c r="F200" s="15" t="str">
        <f aca="false">IF(D200="","",IF(C200="Çekme",-D200,D200))</f>
        <v/>
      </c>
    </row>
    <row r="201" customFormat="false" ht="15" hidden="false" customHeight="false" outlineLevel="0" collapsed="false">
      <c r="A201" s="14"/>
      <c r="B201" s="19"/>
      <c r="C201" s="19"/>
      <c r="D201" s="13"/>
      <c r="E201" s="12"/>
      <c r="F201" s="15" t="str">
        <f aca="false">IF(D201="","",IF(C201="Çekme",-D201,D201))</f>
        <v/>
      </c>
    </row>
    <row r="202" customFormat="false" ht="15" hidden="false" customHeight="false" outlineLevel="0" collapsed="false">
      <c r="A202" s="14"/>
      <c r="B202" s="19"/>
      <c r="C202" s="19"/>
      <c r="D202" s="13"/>
      <c r="E202" s="12"/>
      <c r="F202" s="15" t="str">
        <f aca="false">IF(D202="","",IF(C202="Çekme",-D202,D202))</f>
        <v/>
      </c>
    </row>
    <row r="203" customFormat="false" ht="15" hidden="false" customHeight="false" outlineLevel="0" collapsed="false">
      <c r="A203" s="14"/>
      <c r="B203" s="19"/>
      <c r="C203" s="19"/>
      <c r="D203" s="13"/>
      <c r="E203" s="12"/>
      <c r="F203" s="15" t="str">
        <f aca="false">IF(D203="","",IF(C203="Çekme",-D203,D203))</f>
        <v/>
      </c>
    </row>
    <row r="204" customFormat="false" ht="15" hidden="false" customHeight="false" outlineLevel="0" collapsed="false">
      <c r="A204" s="14"/>
      <c r="B204" s="19"/>
      <c r="C204" s="19"/>
      <c r="D204" s="13"/>
      <c r="E204" s="12"/>
      <c r="F204" s="15" t="str">
        <f aca="false">IF(D204="","",IF(C204="Çekme",-D204,D204))</f>
        <v/>
      </c>
    </row>
    <row r="205" customFormat="false" ht="15" hidden="false" customHeight="false" outlineLevel="0" collapsed="false">
      <c r="A205" s="14"/>
      <c r="B205" s="19"/>
      <c r="C205" s="19"/>
      <c r="D205" s="13"/>
      <c r="E205" s="12"/>
      <c r="F205" s="15" t="str">
        <f aca="false">IF(D205="","",IF(C205="Çekme",-D205,D205))</f>
        <v/>
      </c>
    </row>
    <row r="206" customFormat="false" ht="15" hidden="false" customHeight="false" outlineLevel="0" collapsed="false">
      <c r="A206" s="14"/>
      <c r="B206" s="19"/>
      <c r="C206" s="19"/>
      <c r="D206" s="13"/>
      <c r="E206" s="12"/>
      <c r="F206" s="15" t="str">
        <f aca="false">IF(D206="","",IF(C206="Çekme",-D206,D206))</f>
        <v/>
      </c>
    </row>
    <row r="207" customFormat="false" ht="15" hidden="false" customHeight="false" outlineLevel="0" collapsed="false">
      <c r="A207" s="14"/>
      <c r="B207" s="19"/>
      <c r="C207" s="19"/>
      <c r="D207" s="13"/>
      <c r="E207" s="12"/>
      <c r="F207" s="15" t="str">
        <f aca="false">IF(D207="","",IF(C207="Çekme",-D207,D207))</f>
        <v/>
      </c>
    </row>
    <row r="208" customFormat="false" ht="15" hidden="false" customHeight="false" outlineLevel="0" collapsed="false">
      <c r="A208" s="14"/>
      <c r="B208" s="19"/>
      <c r="C208" s="19"/>
      <c r="D208" s="13"/>
      <c r="E208" s="12"/>
      <c r="F208" s="15" t="str">
        <f aca="false">IF(D208="","",IF(C208="Çekme",-D208,D208))</f>
        <v/>
      </c>
    </row>
    <row r="209" customFormat="false" ht="15" hidden="false" customHeight="false" outlineLevel="0" collapsed="false">
      <c r="A209" s="14"/>
      <c r="B209" s="19"/>
      <c r="C209" s="19"/>
      <c r="D209" s="13"/>
      <c r="E209" s="12"/>
      <c r="F209" s="15" t="str">
        <f aca="false">IF(D209="","",IF(C209="Çekme",-D209,D209))</f>
        <v/>
      </c>
    </row>
    <row r="210" customFormat="false" ht="15" hidden="false" customHeight="false" outlineLevel="0" collapsed="false">
      <c r="A210" s="14"/>
      <c r="B210" s="19"/>
      <c r="C210" s="19"/>
      <c r="D210" s="13"/>
      <c r="E210" s="12"/>
      <c r="F210" s="15" t="str">
        <f aca="false">IF(D210="","",IF(C210="Çekme",-D210,D210))</f>
        <v/>
      </c>
    </row>
    <row r="211" customFormat="false" ht="15" hidden="false" customHeight="false" outlineLevel="0" collapsed="false">
      <c r="A211" s="14"/>
      <c r="B211" s="19"/>
      <c r="C211" s="19"/>
      <c r="D211" s="13"/>
      <c r="E211" s="12"/>
      <c r="F211" s="15" t="str">
        <f aca="false">IF(D211="","",IF(C211="Çekme",-D211,D211))</f>
        <v/>
      </c>
    </row>
    <row r="212" customFormat="false" ht="15" hidden="false" customHeight="false" outlineLevel="0" collapsed="false">
      <c r="A212" s="14"/>
      <c r="B212" s="19"/>
      <c r="C212" s="19"/>
      <c r="D212" s="13"/>
      <c r="E212" s="12"/>
      <c r="F212" s="15" t="str">
        <f aca="false">IF(D212="","",IF(C212="Çekme",-D212,D212))</f>
        <v/>
      </c>
    </row>
    <row r="213" customFormat="false" ht="15" hidden="false" customHeight="false" outlineLevel="0" collapsed="false">
      <c r="A213" s="14"/>
      <c r="B213" s="19"/>
      <c r="C213" s="19"/>
      <c r="D213" s="13"/>
      <c r="E213" s="12"/>
      <c r="F213" s="15" t="str">
        <f aca="false">IF(D213="","",IF(C213="Çekme",-D213,D213))</f>
        <v/>
      </c>
    </row>
    <row r="214" customFormat="false" ht="15" hidden="false" customHeight="false" outlineLevel="0" collapsed="false">
      <c r="A214" s="14"/>
      <c r="B214" s="19"/>
      <c r="C214" s="19"/>
      <c r="D214" s="13"/>
      <c r="E214" s="12"/>
      <c r="F214" s="15" t="str">
        <f aca="false">IF(D214="","",IF(C214="Çekme",-D214,D214))</f>
        <v/>
      </c>
    </row>
    <row r="215" customFormat="false" ht="15" hidden="false" customHeight="false" outlineLevel="0" collapsed="false">
      <c r="A215" s="14"/>
      <c r="B215" s="19"/>
      <c r="C215" s="19"/>
      <c r="D215" s="13"/>
      <c r="E215" s="12"/>
      <c r="F215" s="15" t="str">
        <f aca="false">IF(D215="","",IF(C215="Çekme",-D215,D215))</f>
        <v/>
      </c>
    </row>
    <row r="216" customFormat="false" ht="15" hidden="false" customHeight="false" outlineLevel="0" collapsed="false">
      <c r="A216" s="14"/>
      <c r="B216" s="19"/>
      <c r="C216" s="19"/>
      <c r="D216" s="13"/>
      <c r="E216" s="12"/>
      <c r="F216" s="15" t="str">
        <f aca="false">IF(D216="","",IF(C216="Çekme",-D216,D216))</f>
        <v/>
      </c>
    </row>
    <row r="217" customFormat="false" ht="15" hidden="false" customHeight="false" outlineLevel="0" collapsed="false">
      <c r="A217" s="14"/>
      <c r="B217" s="19"/>
      <c r="C217" s="19"/>
      <c r="D217" s="13"/>
      <c r="E217" s="12"/>
      <c r="F217" s="15" t="str">
        <f aca="false">IF(D217="","",IF(C217="Çekme",-D217,D217))</f>
        <v/>
      </c>
    </row>
    <row r="218" customFormat="false" ht="15" hidden="false" customHeight="false" outlineLevel="0" collapsed="false">
      <c r="A218" s="14"/>
      <c r="B218" s="19"/>
      <c r="C218" s="19"/>
      <c r="D218" s="13"/>
      <c r="E218" s="12"/>
      <c r="F218" s="15" t="str">
        <f aca="false">IF(D218="","",IF(C218="Çekme",-D218,D218))</f>
        <v/>
      </c>
    </row>
    <row r="219" customFormat="false" ht="15" hidden="false" customHeight="false" outlineLevel="0" collapsed="false">
      <c r="A219" s="14"/>
      <c r="B219" s="19"/>
      <c r="C219" s="19"/>
      <c r="D219" s="13"/>
      <c r="E219" s="12"/>
      <c r="F219" s="15" t="str">
        <f aca="false">IF(D219="","",IF(C219="Çekme",-D219,D219))</f>
        <v/>
      </c>
    </row>
    <row r="220" customFormat="false" ht="15" hidden="false" customHeight="false" outlineLevel="0" collapsed="false">
      <c r="A220" s="14"/>
      <c r="B220" s="19"/>
      <c r="C220" s="19"/>
      <c r="D220" s="13"/>
      <c r="E220" s="12"/>
      <c r="F220" s="15" t="str">
        <f aca="false">IF(D220="","",IF(C220="Çekme",-D220,D220))</f>
        <v/>
      </c>
    </row>
    <row r="221" customFormat="false" ht="15" hidden="false" customHeight="false" outlineLevel="0" collapsed="false">
      <c r="A221" s="14"/>
      <c r="B221" s="19"/>
      <c r="C221" s="19"/>
      <c r="D221" s="13"/>
      <c r="E221" s="12"/>
      <c r="F221" s="15" t="str">
        <f aca="false">IF(D221="","",IF(C221="Çekme",-D221,D221))</f>
        <v/>
      </c>
    </row>
    <row r="222" customFormat="false" ht="15" hidden="false" customHeight="false" outlineLevel="0" collapsed="false">
      <c r="A222" s="14"/>
      <c r="B222" s="19"/>
      <c r="C222" s="19"/>
      <c r="D222" s="13"/>
      <c r="E222" s="12"/>
      <c r="F222" s="15" t="str">
        <f aca="false">IF(D222="","",IF(C222="Çekme",-D222,D222))</f>
        <v/>
      </c>
    </row>
    <row r="223" customFormat="false" ht="15" hidden="false" customHeight="false" outlineLevel="0" collapsed="false">
      <c r="A223" s="14"/>
      <c r="B223" s="19"/>
      <c r="C223" s="19"/>
      <c r="D223" s="13"/>
      <c r="E223" s="12"/>
      <c r="F223" s="15" t="str">
        <f aca="false">IF(D223="","",IF(C223="Çekme",-D223,D223))</f>
        <v/>
      </c>
    </row>
    <row r="224" customFormat="false" ht="15" hidden="false" customHeight="false" outlineLevel="0" collapsed="false">
      <c r="A224" s="14"/>
      <c r="B224" s="19"/>
      <c r="C224" s="19"/>
      <c r="D224" s="13"/>
      <c r="E224" s="12"/>
      <c r="F224" s="15" t="str">
        <f aca="false">IF(D224="","",IF(C224="Çekme",-D224,D224))</f>
        <v/>
      </c>
    </row>
    <row r="225" customFormat="false" ht="15" hidden="false" customHeight="false" outlineLevel="0" collapsed="false">
      <c r="A225" s="14"/>
      <c r="B225" s="19"/>
      <c r="C225" s="19"/>
      <c r="D225" s="13"/>
      <c r="E225" s="12"/>
      <c r="F225" s="15" t="str">
        <f aca="false">IF(D225="","",IF(C225="Çekme",-D225,D225))</f>
        <v/>
      </c>
    </row>
    <row r="226" customFormat="false" ht="15" hidden="false" customHeight="false" outlineLevel="0" collapsed="false">
      <c r="A226" s="14"/>
      <c r="B226" s="19"/>
      <c r="C226" s="19"/>
      <c r="D226" s="13"/>
      <c r="E226" s="12"/>
      <c r="F226" s="15" t="str">
        <f aca="false">IF(D226="","",IF(C226="Çekme",-D226,D226))</f>
        <v/>
      </c>
    </row>
    <row r="227" customFormat="false" ht="15" hidden="false" customHeight="false" outlineLevel="0" collapsed="false">
      <c r="A227" s="14"/>
      <c r="B227" s="19"/>
      <c r="C227" s="19"/>
      <c r="D227" s="13"/>
      <c r="E227" s="12"/>
      <c r="F227" s="15" t="str">
        <f aca="false">IF(D227="","",IF(C227="Çekme",-D227,D227))</f>
        <v/>
      </c>
    </row>
    <row r="228" customFormat="false" ht="15" hidden="false" customHeight="false" outlineLevel="0" collapsed="false">
      <c r="A228" s="14"/>
      <c r="B228" s="19"/>
      <c r="C228" s="19"/>
      <c r="D228" s="13"/>
      <c r="E228" s="12"/>
      <c r="F228" s="15" t="str">
        <f aca="false">IF(D228="","",IF(C228="Çekme",-D228,D228))</f>
        <v/>
      </c>
    </row>
    <row r="229" customFormat="false" ht="15" hidden="false" customHeight="false" outlineLevel="0" collapsed="false">
      <c r="A229" s="14"/>
      <c r="B229" s="19"/>
      <c r="C229" s="19"/>
      <c r="D229" s="13"/>
      <c r="E229" s="12"/>
      <c r="F229" s="15" t="str">
        <f aca="false">IF(D229="","",IF(C229="Çekme",-D229,D229))</f>
        <v/>
      </c>
    </row>
    <row r="230" customFormat="false" ht="15" hidden="false" customHeight="false" outlineLevel="0" collapsed="false">
      <c r="A230" s="14"/>
      <c r="B230" s="19"/>
      <c r="C230" s="19"/>
      <c r="D230" s="13"/>
      <c r="E230" s="12"/>
      <c r="F230" s="15" t="str">
        <f aca="false">IF(D230="","",IF(C230="Çekme",-D230,D230))</f>
        <v/>
      </c>
    </row>
    <row r="231" customFormat="false" ht="15" hidden="false" customHeight="false" outlineLevel="0" collapsed="false">
      <c r="A231" s="14"/>
      <c r="B231" s="19"/>
      <c r="C231" s="19"/>
      <c r="D231" s="13"/>
      <c r="E231" s="12"/>
      <c r="F231" s="15" t="str">
        <f aca="false">IF(D231="","",IF(C231="Çekme",-D231,D231))</f>
        <v/>
      </c>
    </row>
    <row r="232" customFormat="false" ht="15" hidden="false" customHeight="false" outlineLevel="0" collapsed="false">
      <c r="A232" s="14"/>
      <c r="B232" s="19"/>
      <c r="C232" s="19"/>
      <c r="D232" s="13"/>
      <c r="E232" s="12"/>
      <c r="F232" s="15" t="str">
        <f aca="false">IF(D232="","",IF(C232="Çekme",-D232,D232))</f>
        <v/>
      </c>
    </row>
    <row r="233" customFormat="false" ht="15" hidden="false" customHeight="false" outlineLevel="0" collapsed="false">
      <c r="A233" s="14"/>
      <c r="B233" s="19"/>
      <c r="C233" s="19"/>
      <c r="D233" s="13"/>
      <c r="E233" s="12"/>
      <c r="F233" s="15" t="str">
        <f aca="false">IF(D233="","",IF(C233="Çekme",-D233,D233))</f>
        <v/>
      </c>
    </row>
    <row r="234" customFormat="false" ht="15" hidden="false" customHeight="false" outlineLevel="0" collapsed="false">
      <c r="A234" s="14"/>
      <c r="B234" s="19"/>
      <c r="C234" s="19"/>
      <c r="D234" s="13"/>
      <c r="E234" s="12"/>
      <c r="F234" s="15" t="str">
        <f aca="false">IF(D234="","",IF(C234="Çekme",-D234,D234))</f>
        <v/>
      </c>
    </row>
    <row r="235" customFormat="false" ht="15" hidden="false" customHeight="false" outlineLevel="0" collapsed="false">
      <c r="A235" s="14"/>
      <c r="B235" s="19"/>
      <c r="C235" s="19"/>
      <c r="D235" s="13"/>
      <c r="E235" s="12"/>
      <c r="F235" s="15" t="str">
        <f aca="false">IF(D235="","",IF(C235="Çekme",-D235,D235))</f>
        <v/>
      </c>
    </row>
    <row r="236" customFormat="false" ht="15" hidden="false" customHeight="false" outlineLevel="0" collapsed="false">
      <c r="A236" s="14"/>
      <c r="B236" s="19"/>
      <c r="C236" s="19"/>
      <c r="D236" s="13"/>
      <c r="E236" s="12"/>
      <c r="F236" s="15" t="str">
        <f aca="false">IF(D236="","",IF(C236="Çekme",-D236,D236))</f>
        <v/>
      </c>
    </row>
    <row r="237" customFormat="false" ht="15" hidden="false" customHeight="false" outlineLevel="0" collapsed="false">
      <c r="A237" s="14"/>
      <c r="B237" s="19"/>
      <c r="C237" s="19"/>
      <c r="D237" s="13"/>
      <c r="E237" s="12"/>
      <c r="F237" s="15" t="str">
        <f aca="false">IF(D237="","",IF(C237="Çekme",-D237,D237))</f>
        <v/>
      </c>
    </row>
    <row r="238" customFormat="false" ht="15" hidden="false" customHeight="false" outlineLevel="0" collapsed="false">
      <c r="A238" s="14"/>
      <c r="B238" s="19"/>
      <c r="C238" s="19"/>
      <c r="D238" s="13"/>
      <c r="E238" s="12"/>
      <c r="F238" s="15" t="str">
        <f aca="false">IF(D238="","",IF(C238="Çekme",-D238,D238))</f>
        <v/>
      </c>
    </row>
    <row r="239" customFormat="false" ht="15" hidden="false" customHeight="false" outlineLevel="0" collapsed="false">
      <c r="A239" s="14"/>
      <c r="B239" s="19"/>
      <c r="C239" s="19"/>
      <c r="D239" s="13"/>
      <c r="E239" s="12"/>
      <c r="F239" s="15" t="str">
        <f aca="false">IF(D239="","",IF(C239="Çekme",-D239,D239))</f>
        <v/>
      </c>
    </row>
    <row r="240" customFormat="false" ht="15" hidden="false" customHeight="false" outlineLevel="0" collapsed="false">
      <c r="A240" s="14"/>
      <c r="B240" s="19"/>
      <c r="C240" s="19"/>
      <c r="D240" s="13"/>
      <c r="E240" s="12"/>
      <c r="F240" s="15" t="str">
        <f aca="false">IF(D240="","",IF(C240="Çekme",-D240,D240))</f>
        <v/>
      </c>
    </row>
    <row r="241" customFormat="false" ht="15" hidden="false" customHeight="false" outlineLevel="0" collapsed="false">
      <c r="A241" s="14"/>
      <c r="B241" s="19"/>
      <c r="C241" s="19"/>
      <c r="D241" s="13"/>
      <c r="E241" s="12"/>
      <c r="F241" s="15" t="str">
        <f aca="false">IF(D241="","",IF(C241="Çekme",-D241,D241))</f>
        <v/>
      </c>
    </row>
    <row r="242" customFormat="false" ht="15" hidden="false" customHeight="false" outlineLevel="0" collapsed="false">
      <c r="A242" s="14"/>
      <c r="B242" s="19"/>
      <c r="C242" s="19"/>
      <c r="D242" s="13"/>
      <c r="E242" s="12"/>
      <c r="F242" s="15" t="str">
        <f aca="false">IF(D242="","",IF(C242="Çekme",-D242,D242))</f>
        <v/>
      </c>
    </row>
    <row r="243" customFormat="false" ht="15" hidden="false" customHeight="false" outlineLevel="0" collapsed="false">
      <c r="A243" s="14"/>
      <c r="B243" s="19"/>
      <c r="C243" s="19"/>
      <c r="D243" s="13"/>
      <c r="E243" s="12"/>
      <c r="F243" s="15" t="str">
        <f aca="false">IF(D243="","",IF(C243="Çekme",-D243,D243))</f>
        <v/>
      </c>
    </row>
    <row r="244" customFormat="false" ht="15" hidden="false" customHeight="false" outlineLevel="0" collapsed="false">
      <c r="A244" s="14"/>
      <c r="B244" s="19"/>
      <c r="C244" s="19"/>
      <c r="D244" s="13"/>
      <c r="E244" s="12"/>
      <c r="F244" s="15" t="str">
        <f aca="false">IF(D244="","",IF(C244="Çekme",-D244,D244))</f>
        <v/>
      </c>
    </row>
    <row r="245" customFormat="false" ht="15" hidden="false" customHeight="false" outlineLevel="0" collapsed="false">
      <c r="A245" s="14"/>
      <c r="B245" s="19"/>
      <c r="C245" s="19"/>
      <c r="D245" s="13"/>
      <c r="E245" s="12"/>
      <c r="F245" s="15" t="str">
        <f aca="false">IF(D245="","",IF(C245="Çekme",-D245,D245))</f>
        <v/>
      </c>
    </row>
    <row r="246" customFormat="false" ht="15" hidden="false" customHeight="false" outlineLevel="0" collapsed="false">
      <c r="A246" s="14"/>
      <c r="B246" s="19"/>
      <c r="C246" s="19"/>
      <c r="D246" s="13"/>
      <c r="E246" s="12"/>
      <c r="F246" s="15" t="str">
        <f aca="false">IF(D246="","",IF(C246="Çekme",-D246,D246))</f>
        <v/>
      </c>
    </row>
    <row r="247" customFormat="false" ht="15" hidden="false" customHeight="false" outlineLevel="0" collapsed="false">
      <c r="A247" s="14"/>
      <c r="B247" s="19"/>
      <c r="C247" s="19"/>
      <c r="D247" s="13"/>
      <c r="E247" s="12"/>
      <c r="F247" s="15" t="str">
        <f aca="false">IF(D247="","",IF(C247="Çekme",-D247,D247))</f>
        <v/>
      </c>
    </row>
    <row r="248" customFormat="false" ht="15" hidden="false" customHeight="false" outlineLevel="0" collapsed="false">
      <c r="A248" s="14"/>
      <c r="B248" s="19"/>
      <c r="C248" s="19"/>
      <c r="D248" s="13"/>
      <c r="E248" s="12"/>
      <c r="F248" s="15" t="str">
        <f aca="false">IF(D248="","",IF(C248="Çekme",-D248,D248))</f>
        <v/>
      </c>
    </row>
    <row r="249" customFormat="false" ht="15" hidden="false" customHeight="false" outlineLevel="0" collapsed="false">
      <c r="A249" s="14"/>
      <c r="B249" s="19"/>
      <c r="C249" s="19"/>
      <c r="D249" s="13"/>
      <c r="E249" s="12"/>
      <c r="F249" s="15" t="str">
        <f aca="false">IF(D249="","",IF(C249="Çekme",-D249,D249))</f>
        <v/>
      </c>
    </row>
    <row r="250" customFormat="false" ht="15" hidden="false" customHeight="false" outlineLevel="0" collapsed="false">
      <c r="A250" s="14"/>
      <c r="B250" s="19"/>
      <c r="C250" s="19"/>
      <c r="D250" s="13"/>
      <c r="E250" s="12"/>
      <c r="F250" s="15" t="str">
        <f aca="false">IF(D250="","",IF(C250="Çekme",-D250,D250))</f>
        <v/>
      </c>
    </row>
    <row r="251" customFormat="false" ht="15" hidden="false" customHeight="false" outlineLevel="0" collapsed="false">
      <c r="A251" s="14"/>
      <c r="B251" s="19"/>
      <c r="C251" s="19"/>
      <c r="D251" s="13"/>
      <c r="E251" s="12"/>
      <c r="F251" s="15" t="str">
        <f aca="false">IF(D251="","",IF(C251="Çekme",-D251,D251))</f>
        <v/>
      </c>
    </row>
    <row r="252" customFormat="false" ht="15" hidden="false" customHeight="false" outlineLevel="0" collapsed="false">
      <c r="A252" s="14"/>
      <c r="B252" s="19"/>
      <c r="C252" s="19"/>
      <c r="D252" s="13"/>
      <c r="E252" s="12"/>
      <c r="F252" s="15" t="str">
        <f aca="false">IF(D252="","",IF(C252="Çekme",-D252,D252))</f>
        <v/>
      </c>
    </row>
    <row r="253" customFormat="false" ht="15" hidden="false" customHeight="false" outlineLevel="0" collapsed="false">
      <c r="A253" s="14"/>
      <c r="B253" s="19"/>
      <c r="C253" s="19"/>
      <c r="D253" s="13"/>
      <c r="E253" s="12"/>
      <c r="F253" s="15" t="str">
        <f aca="false">IF(D253="","",IF(C253="Çekme",-D253,D253))</f>
        <v/>
      </c>
    </row>
    <row r="254" customFormat="false" ht="15" hidden="false" customHeight="false" outlineLevel="0" collapsed="false">
      <c r="A254" s="14"/>
      <c r="B254" s="19"/>
      <c r="C254" s="19"/>
      <c r="D254" s="13"/>
      <c r="E254" s="12"/>
      <c r="F254" s="15" t="str">
        <f aca="false">IF(D254="","",IF(C254="Çekme",-D254,D254))</f>
        <v/>
      </c>
    </row>
    <row r="255" customFormat="false" ht="15" hidden="false" customHeight="false" outlineLevel="0" collapsed="false">
      <c r="A255" s="14"/>
      <c r="B255" s="19"/>
      <c r="C255" s="19"/>
      <c r="D255" s="13"/>
      <c r="E255" s="12"/>
      <c r="F255" s="15" t="str">
        <f aca="false">IF(D255="","",IF(C255="Çekme",-D255,D255))</f>
        <v/>
      </c>
    </row>
    <row r="256" customFormat="false" ht="15" hidden="false" customHeight="false" outlineLevel="0" collapsed="false">
      <c r="A256" s="14"/>
      <c r="B256" s="19"/>
      <c r="C256" s="19"/>
      <c r="D256" s="13"/>
      <c r="E256" s="12"/>
      <c r="F256" s="15" t="str">
        <f aca="false">IF(D256="","",IF(C256="Çekme",-D256,D256))</f>
        <v/>
      </c>
    </row>
    <row r="257" customFormat="false" ht="15" hidden="false" customHeight="false" outlineLevel="0" collapsed="false">
      <c r="A257" s="14"/>
      <c r="B257" s="19"/>
      <c r="C257" s="19"/>
      <c r="D257" s="13"/>
      <c r="E257" s="12"/>
      <c r="F257" s="15" t="str">
        <f aca="false">IF(D257="","",IF(C257="Çekme",-D257,D257))</f>
        <v/>
      </c>
    </row>
    <row r="258" customFormat="false" ht="15" hidden="false" customHeight="false" outlineLevel="0" collapsed="false">
      <c r="A258" s="14"/>
      <c r="B258" s="19"/>
      <c r="C258" s="19"/>
      <c r="D258" s="13"/>
      <c r="E258" s="12"/>
      <c r="F258" s="15" t="str">
        <f aca="false">IF(D258="","",IF(C258="Çekme",-D258,D258))</f>
        <v/>
      </c>
    </row>
    <row r="259" customFormat="false" ht="15" hidden="false" customHeight="false" outlineLevel="0" collapsed="false">
      <c r="A259" s="14"/>
      <c r="B259" s="19"/>
      <c r="C259" s="19"/>
      <c r="D259" s="13"/>
      <c r="E259" s="12"/>
      <c r="F259" s="15" t="str">
        <f aca="false">IF(D259="","",IF(C259="Çekme",-D259,D259))</f>
        <v/>
      </c>
    </row>
    <row r="260" customFormat="false" ht="15" hidden="false" customHeight="false" outlineLevel="0" collapsed="false">
      <c r="A260" s="14"/>
      <c r="B260" s="19"/>
      <c r="C260" s="19"/>
      <c r="D260" s="13"/>
      <c r="E260" s="12"/>
      <c r="F260" s="15" t="str">
        <f aca="false">IF(D260="","",IF(C260="Çekme",-D260,D260))</f>
        <v/>
      </c>
    </row>
    <row r="261" customFormat="false" ht="15" hidden="false" customHeight="false" outlineLevel="0" collapsed="false">
      <c r="A261" s="14"/>
      <c r="B261" s="19"/>
      <c r="C261" s="19"/>
      <c r="D261" s="13"/>
      <c r="E261" s="12"/>
      <c r="F261" s="15" t="str">
        <f aca="false">IF(D261="","",IF(C261="Çekme",-D261,D261))</f>
        <v/>
      </c>
    </row>
    <row r="262" customFormat="false" ht="15" hidden="false" customHeight="false" outlineLevel="0" collapsed="false">
      <c r="A262" s="14"/>
      <c r="B262" s="19"/>
      <c r="C262" s="19"/>
      <c r="D262" s="13"/>
      <c r="E262" s="12"/>
      <c r="F262" s="15" t="str">
        <f aca="false">IF(D262="","",IF(C262="Çekme",-D262,D262))</f>
        <v/>
      </c>
    </row>
    <row r="263" customFormat="false" ht="15" hidden="false" customHeight="false" outlineLevel="0" collapsed="false">
      <c r="A263" s="14"/>
      <c r="B263" s="19"/>
      <c r="C263" s="19"/>
      <c r="D263" s="13"/>
      <c r="E263" s="12"/>
      <c r="F263" s="15" t="str">
        <f aca="false">IF(D263="","",IF(C263="Çekme",-D263,D263))</f>
        <v/>
      </c>
    </row>
    <row r="264" customFormat="false" ht="15" hidden="false" customHeight="false" outlineLevel="0" collapsed="false">
      <c r="A264" s="14"/>
      <c r="B264" s="19"/>
      <c r="C264" s="19"/>
      <c r="D264" s="13"/>
      <c r="E264" s="12"/>
      <c r="F264" s="15" t="str">
        <f aca="false">IF(D264="","",IF(C264="Çekme",-D264,D264))</f>
        <v/>
      </c>
    </row>
    <row r="265" customFormat="false" ht="15" hidden="false" customHeight="false" outlineLevel="0" collapsed="false">
      <c r="A265" s="14"/>
      <c r="B265" s="19"/>
      <c r="C265" s="19"/>
      <c r="D265" s="13"/>
      <c r="E265" s="12"/>
      <c r="F265" s="15" t="str">
        <f aca="false">IF(D265="","",IF(C265="Çekme",-D265,D265))</f>
        <v/>
      </c>
    </row>
    <row r="266" customFormat="false" ht="15" hidden="false" customHeight="false" outlineLevel="0" collapsed="false">
      <c r="A266" s="14"/>
      <c r="B266" s="19"/>
      <c r="C266" s="19"/>
      <c r="D266" s="13"/>
      <c r="E266" s="12"/>
      <c r="F266" s="15" t="str">
        <f aca="false">IF(D266="","",IF(C266="Çekme",-D266,D266))</f>
        <v/>
      </c>
    </row>
    <row r="267" customFormat="false" ht="15" hidden="false" customHeight="false" outlineLevel="0" collapsed="false">
      <c r="A267" s="14"/>
      <c r="B267" s="19"/>
      <c r="C267" s="19"/>
      <c r="D267" s="13"/>
      <c r="E267" s="12"/>
      <c r="F267" s="15" t="str">
        <f aca="false">IF(D267="","",IF(C267="Çekme",-D267,D267))</f>
        <v/>
      </c>
    </row>
    <row r="268" customFormat="false" ht="15" hidden="false" customHeight="false" outlineLevel="0" collapsed="false">
      <c r="A268" s="14"/>
      <c r="B268" s="19"/>
      <c r="C268" s="19"/>
      <c r="D268" s="13"/>
      <c r="E268" s="12"/>
      <c r="F268" s="15" t="str">
        <f aca="false">IF(D268="","",IF(C268="Çekme",-D268,D268))</f>
        <v/>
      </c>
    </row>
    <row r="269" customFormat="false" ht="15" hidden="false" customHeight="false" outlineLevel="0" collapsed="false">
      <c r="A269" s="14"/>
      <c r="B269" s="19"/>
      <c r="C269" s="19"/>
      <c r="D269" s="13"/>
      <c r="E269" s="12"/>
      <c r="F269" s="15" t="str">
        <f aca="false">IF(D269="","",IF(C269="Çekme",-D269,D269))</f>
        <v/>
      </c>
    </row>
    <row r="270" customFormat="false" ht="15" hidden="false" customHeight="false" outlineLevel="0" collapsed="false">
      <c r="A270" s="14"/>
      <c r="B270" s="19"/>
      <c r="C270" s="19"/>
      <c r="D270" s="13"/>
      <c r="E270" s="12"/>
      <c r="F270" s="15" t="str">
        <f aca="false">IF(D270="","",IF(C270="Çekme",-D270,D270))</f>
        <v/>
      </c>
    </row>
    <row r="271" customFormat="false" ht="15" hidden="false" customHeight="false" outlineLevel="0" collapsed="false">
      <c r="A271" s="14"/>
      <c r="B271" s="19"/>
      <c r="C271" s="19"/>
      <c r="D271" s="13"/>
      <c r="E271" s="12"/>
      <c r="F271" s="15" t="str">
        <f aca="false">IF(D271="","",IF(C271="Çekme",-D271,D271))</f>
        <v/>
      </c>
    </row>
    <row r="272" customFormat="false" ht="15" hidden="false" customHeight="false" outlineLevel="0" collapsed="false">
      <c r="A272" s="14"/>
      <c r="B272" s="19"/>
      <c r="C272" s="19"/>
      <c r="D272" s="13"/>
      <c r="E272" s="12"/>
      <c r="F272" s="15" t="str">
        <f aca="false">IF(D272="","",IF(C272="Çekme",-D272,D272))</f>
        <v/>
      </c>
    </row>
    <row r="273" customFormat="false" ht="15" hidden="false" customHeight="false" outlineLevel="0" collapsed="false">
      <c r="A273" s="14"/>
      <c r="B273" s="19"/>
      <c r="C273" s="19"/>
      <c r="D273" s="13"/>
      <c r="E273" s="12"/>
      <c r="F273" s="15" t="str">
        <f aca="false">IF(D273="","",IF(C273="Çekme",-D273,D273))</f>
        <v/>
      </c>
    </row>
    <row r="274" customFormat="false" ht="15" hidden="false" customHeight="false" outlineLevel="0" collapsed="false">
      <c r="A274" s="14"/>
      <c r="B274" s="19"/>
      <c r="C274" s="19"/>
      <c r="D274" s="13"/>
      <c r="E274" s="12"/>
      <c r="F274" s="15" t="str">
        <f aca="false">IF(D274="","",IF(C274="Çekme",-D274,D274))</f>
        <v/>
      </c>
    </row>
    <row r="275" customFormat="false" ht="15" hidden="false" customHeight="false" outlineLevel="0" collapsed="false">
      <c r="A275" s="14"/>
      <c r="B275" s="19"/>
      <c r="C275" s="19"/>
      <c r="D275" s="13"/>
      <c r="E275" s="12"/>
      <c r="F275" s="15" t="str">
        <f aca="false">IF(D275="","",IF(C275="Çekme",-D275,D275))</f>
        <v/>
      </c>
    </row>
    <row r="276" customFormat="false" ht="15" hidden="false" customHeight="false" outlineLevel="0" collapsed="false">
      <c r="A276" s="14"/>
      <c r="B276" s="19"/>
      <c r="C276" s="19"/>
      <c r="D276" s="13"/>
      <c r="E276" s="12"/>
      <c r="F276" s="15" t="str">
        <f aca="false">IF(D276="","",IF(C276="Çekme",-D276,D276))</f>
        <v/>
      </c>
    </row>
    <row r="277" customFormat="false" ht="15" hidden="false" customHeight="false" outlineLevel="0" collapsed="false">
      <c r="A277" s="14"/>
      <c r="B277" s="19"/>
      <c r="C277" s="19"/>
      <c r="D277" s="13"/>
      <c r="E277" s="12"/>
      <c r="F277" s="15" t="str">
        <f aca="false">IF(D277="","",IF(C277="Çekme",-D277,D277))</f>
        <v/>
      </c>
    </row>
    <row r="278" customFormat="false" ht="15" hidden="false" customHeight="false" outlineLevel="0" collapsed="false">
      <c r="A278" s="14"/>
      <c r="B278" s="19"/>
      <c r="C278" s="19"/>
      <c r="D278" s="13"/>
      <c r="E278" s="12"/>
      <c r="F278" s="15" t="str">
        <f aca="false">IF(D278="","",IF(C278="Çekme",-D278,D278))</f>
        <v/>
      </c>
    </row>
    <row r="279" customFormat="false" ht="15" hidden="false" customHeight="false" outlineLevel="0" collapsed="false">
      <c r="A279" s="14"/>
      <c r="B279" s="19"/>
      <c r="C279" s="19"/>
      <c r="D279" s="13"/>
      <c r="E279" s="12"/>
      <c r="F279" s="15" t="str">
        <f aca="false">IF(D279="","",IF(C279="Çekme",-D279,D279))</f>
        <v/>
      </c>
    </row>
    <row r="280" customFormat="false" ht="15" hidden="false" customHeight="false" outlineLevel="0" collapsed="false">
      <c r="A280" s="14"/>
      <c r="B280" s="19"/>
      <c r="C280" s="19"/>
      <c r="D280" s="13"/>
      <c r="E280" s="12"/>
      <c r="F280" s="15" t="str">
        <f aca="false">IF(D280="","",IF(C280="Çekme",-D280,D280))</f>
        <v/>
      </c>
    </row>
    <row r="281" customFormat="false" ht="15" hidden="false" customHeight="false" outlineLevel="0" collapsed="false">
      <c r="A281" s="14"/>
      <c r="B281" s="19"/>
      <c r="C281" s="19"/>
      <c r="D281" s="13"/>
      <c r="E281" s="12"/>
      <c r="F281" s="15" t="str">
        <f aca="false">IF(D281="","",IF(C281="Çekme",-D281,D281))</f>
        <v/>
      </c>
    </row>
    <row r="282" customFormat="false" ht="15" hidden="false" customHeight="false" outlineLevel="0" collapsed="false">
      <c r="A282" s="14"/>
      <c r="B282" s="19"/>
      <c r="C282" s="19"/>
      <c r="D282" s="13"/>
      <c r="E282" s="12"/>
      <c r="F282" s="15" t="str">
        <f aca="false">IF(D282="","",IF(C282="Çekme",-D282,D282))</f>
        <v/>
      </c>
    </row>
    <row r="283" customFormat="false" ht="15" hidden="false" customHeight="false" outlineLevel="0" collapsed="false">
      <c r="A283" s="14"/>
      <c r="B283" s="19"/>
      <c r="C283" s="19"/>
      <c r="D283" s="13"/>
      <c r="E283" s="12"/>
      <c r="F283" s="15" t="str">
        <f aca="false">IF(D283="","",IF(C283="Çekme",-D283,D283))</f>
        <v/>
      </c>
    </row>
    <row r="284" customFormat="false" ht="15" hidden="false" customHeight="false" outlineLevel="0" collapsed="false">
      <c r="A284" s="14"/>
      <c r="B284" s="19"/>
      <c r="C284" s="19"/>
      <c r="D284" s="13"/>
      <c r="E284" s="12"/>
      <c r="F284" s="15" t="str">
        <f aca="false">IF(D284="","",IF(C284="Çekme",-D284,D284))</f>
        <v/>
      </c>
    </row>
    <row r="285" customFormat="false" ht="15" hidden="false" customHeight="false" outlineLevel="0" collapsed="false">
      <c r="A285" s="14"/>
      <c r="B285" s="19"/>
      <c r="C285" s="19"/>
      <c r="D285" s="13"/>
      <c r="E285" s="12"/>
      <c r="F285" s="15" t="str">
        <f aca="false">IF(D285="","",IF(C285="Çekme",-D285,D285))</f>
        <v/>
      </c>
    </row>
    <row r="286" customFormat="false" ht="15" hidden="false" customHeight="false" outlineLevel="0" collapsed="false">
      <c r="A286" s="14"/>
      <c r="B286" s="19"/>
      <c r="C286" s="19"/>
      <c r="D286" s="13"/>
      <c r="E286" s="12"/>
      <c r="F286" s="15" t="str">
        <f aca="false">IF(D286="","",IF(C286="Çekme",-D286,D286))</f>
        <v/>
      </c>
    </row>
    <row r="287" customFormat="false" ht="15" hidden="false" customHeight="false" outlineLevel="0" collapsed="false">
      <c r="A287" s="14"/>
      <c r="B287" s="19"/>
      <c r="C287" s="19"/>
      <c r="D287" s="13"/>
      <c r="E287" s="12"/>
      <c r="F287" s="15" t="str">
        <f aca="false">IF(D287="","",IF(C287="Çekme",-D287,D287))</f>
        <v/>
      </c>
    </row>
    <row r="288" customFormat="false" ht="15" hidden="false" customHeight="false" outlineLevel="0" collapsed="false">
      <c r="A288" s="14"/>
      <c r="B288" s="19"/>
      <c r="C288" s="19"/>
      <c r="D288" s="13"/>
      <c r="E288" s="12"/>
      <c r="F288" s="15" t="str">
        <f aca="false">IF(D288="","",IF(C288="Çekme",-D288,D288))</f>
        <v/>
      </c>
    </row>
    <row r="289" customFormat="false" ht="15" hidden="false" customHeight="false" outlineLevel="0" collapsed="false">
      <c r="A289" s="14"/>
      <c r="B289" s="19"/>
      <c r="C289" s="19"/>
      <c r="D289" s="13"/>
      <c r="E289" s="12"/>
      <c r="F289" s="15" t="str">
        <f aca="false">IF(D289="","",IF(C289="Çekme",-D289,D289))</f>
        <v/>
      </c>
    </row>
    <row r="290" customFormat="false" ht="15" hidden="false" customHeight="false" outlineLevel="0" collapsed="false">
      <c r="A290" s="14"/>
      <c r="B290" s="19"/>
      <c r="C290" s="19"/>
      <c r="D290" s="13"/>
      <c r="E290" s="12"/>
      <c r="F290" s="15" t="str">
        <f aca="false">IF(D290="","",IF(C290="Çekme",-D290,D290))</f>
        <v/>
      </c>
    </row>
    <row r="291" customFormat="false" ht="15" hidden="false" customHeight="false" outlineLevel="0" collapsed="false">
      <c r="A291" s="14"/>
      <c r="B291" s="19"/>
      <c r="C291" s="19"/>
      <c r="D291" s="13"/>
      <c r="E291" s="12"/>
      <c r="F291" s="15" t="str">
        <f aca="false">IF(D291="","",IF(C291="Çekme",-D291,D291))</f>
        <v/>
      </c>
    </row>
    <row r="292" customFormat="false" ht="15" hidden="false" customHeight="false" outlineLevel="0" collapsed="false">
      <c r="A292" s="14"/>
      <c r="B292" s="19"/>
      <c r="C292" s="19"/>
      <c r="D292" s="13"/>
      <c r="E292" s="12"/>
      <c r="F292" s="15" t="str">
        <f aca="false">IF(D292="","",IF(C292="Çekme",-D292,D292))</f>
        <v/>
      </c>
    </row>
    <row r="293" customFormat="false" ht="15" hidden="false" customHeight="false" outlineLevel="0" collapsed="false">
      <c r="A293" s="14"/>
      <c r="B293" s="19"/>
      <c r="C293" s="19"/>
      <c r="D293" s="13"/>
      <c r="E293" s="12"/>
      <c r="F293" s="15" t="str">
        <f aca="false">IF(D293="","",IF(C293="Çekme",-D293,D293))</f>
        <v/>
      </c>
    </row>
    <row r="294" customFormat="false" ht="15" hidden="false" customHeight="false" outlineLevel="0" collapsed="false">
      <c r="A294" s="14"/>
      <c r="B294" s="19"/>
      <c r="C294" s="19"/>
      <c r="D294" s="13"/>
      <c r="E294" s="12"/>
      <c r="F294" s="15" t="str">
        <f aca="false">IF(D294="","",IF(C294="Çekme",-D294,D294))</f>
        <v/>
      </c>
    </row>
    <row r="295" customFormat="false" ht="15" hidden="false" customHeight="false" outlineLevel="0" collapsed="false">
      <c r="A295" s="14"/>
      <c r="B295" s="19"/>
      <c r="C295" s="19"/>
      <c r="D295" s="13"/>
      <c r="E295" s="12"/>
      <c r="F295" s="15" t="str">
        <f aca="false">IF(D295="","",IF(C295="Çekme",-D295,D295))</f>
        <v/>
      </c>
    </row>
    <row r="296" customFormat="false" ht="15" hidden="false" customHeight="false" outlineLevel="0" collapsed="false">
      <c r="A296" s="14"/>
      <c r="B296" s="19"/>
      <c r="C296" s="19"/>
      <c r="D296" s="13"/>
      <c r="E296" s="12"/>
      <c r="F296" s="15" t="str">
        <f aca="false">IF(D296="","",IF(C296="Çekme",-D296,D296))</f>
        <v/>
      </c>
    </row>
    <row r="297" customFormat="false" ht="15" hidden="false" customHeight="false" outlineLevel="0" collapsed="false">
      <c r="A297" s="14"/>
      <c r="B297" s="19"/>
      <c r="C297" s="19"/>
      <c r="D297" s="13"/>
      <c r="E297" s="12"/>
      <c r="F297" s="15" t="str">
        <f aca="false">IF(D297="","",IF(C297="Çekme",-D297,D297))</f>
        <v/>
      </c>
    </row>
    <row r="298" customFormat="false" ht="15" hidden="false" customHeight="false" outlineLevel="0" collapsed="false">
      <c r="A298" s="14"/>
      <c r="B298" s="19"/>
      <c r="C298" s="19"/>
      <c r="D298" s="13"/>
      <c r="E298" s="12"/>
      <c r="F298" s="15" t="str">
        <f aca="false">IF(D298="","",IF(C298="Çekme",-D298,D298))</f>
        <v/>
      </c>
    </row>
    <row r="299" customFormat="false" ht="15" hidden="false" customHeight="false" outlineLevel="0" collapsed="false">
      <c r="A299" s="14"/>
      <c r="B299" s="19"/>
      <c r="C299" s="19"/>
      <c r="D299" s="13"/>
      <c r="E299" s="12"/>
      <c r="F299" s="15" t="str">
        <f aca="false">IF(D299="","",IF(C299="Çekme",-D299,D299))</f>
        <v/>
      </c>
    </row>
    <row r="300" customFormat="false" ht="15" hidden="false" customHeight="false" outlineLevel="0" collapsed="false">
      <c r="A300" s="14"/>
      <c r="B300" s="19"/>
      <c r="C300" s="19"/>
      <c r="D300" s="13"/>
      <c r="E300" s="12"/>
      <c r="F300" s="15" t="str">
        <f aca="false">IF(D300="","",IF(C300="Çekme",-D300,D300))</f>
        <v/>
      </c>
    </row>
    <row r="301" customFormat="false" ht="15" hidden="false" customHeight="false" outlineLevel="0" collapsed="false">
      <c r="A301" s="14"/>
      <c r="B301" s="19"/>
      <c r="C301" s="19"/>
      <c r="D301" s="13"/>
      <c r="E301" s="12"/>
      <c r="F301" s="15" t="str">
        <f aca="false">IF(D301="","",IF(C301="Çekme",-D301,D301))</f>
        <v/>
      </c>
    </row>
    <row r="302" customFormat="false" ht="15" hidden="false" customHeight="false" outlineLevel="0" collapsed="false">
      <c r="A302" s="14"/>
      <c r="B302" s="19"/>
      <c r="C302" s="19"/>
      <c r="D302" s="13"/>
      <c r="E302" s="12"/>
      <c r="F302" s="15" t="str">
        <f aca="false">IF(D302="","",IF(C302="Çekme",-D302,D302))</f>
        <v/>
      </c>
    </row>
    <row r="303" customFormat="false" ht="15" hidden="false" customHeight="false" outlineLevel="0" collapsed="false">
      <c r="A303" s="14"/>
      <c r="B303" s="19"/>
      <c r="C303" s="19"/>
      <c r="D303" s="13"/>
      <c r="E303" s="12"/>
      <c r="F303" s="15" t="str">
        <f aca="false">IF(D303="","",IF(C303="Çekme",-D303,D303))</f>
        <v/>
      </c>
    </row>
    <row r="304" customFormat="false" ht="15" hidden="false" customHeight="false" outlineLevel="0" collapsed="false">
      <c r="A304" s="14"/>
      <c r="B304" s="19"/>
      <c r="C304" s="19"/>
      <c r="D304" s="13"/>
      <c r="E304" s="12"/>
      <c r="F304" s="15" t="str">
        <f aca="false">IF(D304="","",IF(C304="Çekme",-D304,D304))</f>
        <v/>
      </c>
    </row>
    <row r="305" customFormat="false" ht="15" hidden="false" customHeight="false" outlineLevel="0" collapsed="false">
      <c r="A305" s="14"/>
      <c r="B305" s="19"/>
      <c r="C305" s="19"/>
      <c r="D305" s="13"/>
      <c r="E305" s="12"/>
      <c r="F305" s="15" t="str">
        <f aca="false">IF(D305="","",IF(C305="Çekme",-D305,D305))</f>
        <v/>
      </c>
    </row>
    <row r="306" customFormat="false" ht="15" hidden="false" customHeight="false" outlineLevel="0" collapsed="false">
      <c r="A306" s="14"/>
      <c r="B306" s="19"/>
      <c r="C306" s="19"/>
      <c r="D306" s="13"/>
      <c r="E306" s="12"/>
      <c r="F306" s="15" t="str">
        <f aca="false">IF(D306="","",IF(C306="Çekme",-D306,D306))</f>
        <v/>
      </c>
    </row>
    <row r="307" customFormat="false" ht="15" hidden="false" customHeight="false" outlineLevel="0" collapsed="false">
      <c r="A307" s="14"/>
      <c r="B307" s="19"/>
      <c r="C307" s="19"/>
      <c r="D307" s="13"/>
      <c r="E307" s="12"/>
      <c r="F307" s="15" t="str">
        <f aca="false">IF(D307="","",IF(C307="Çekme",-D307,D307))</f>
        <v/>
      </c>
    </row>
    <row r="308" customFormat="false" ht="15" hidden="false" customHeight="false" outlineLevel="0" collapsed="false">
      <c r="A308" s="14"/>
      <c r="B308" s="19"/>
      <c r="C308" s="19"/>
      <c r="D308" s="13"/>
      <c r="E308" s="12"/>
      <c r="F308" s="15" t="str">
        <f aca="false">IF(D308="","",IF(C308="Çekme",-D308,D308))</f>
        <v/>
      </c>
    </row>
    <row r="309" customFormat="false" ht="15" hidden="false" customHeight="false" outlineLevel="0" collapsed="false">
      <c r="A309" s="14"/>
      <c r="B309" s="19"/>
      <c r="C309" s="19"/>
      <c r="D309" s="13"/>
      <c r="E309" s="12"/>
      <c r="F309" s="15" t="str">
        <f aca="false">IF(D309="","",IF(C309="Çekme",-D309,D309))</f>
        <v/>
      </c>
    </row>
    <row r="310" customFormat="false" ht="15" hidden="false" customHeight="false" outlineLevel="0" collapsed="false">
      <c r="A310" s="14"/>
      <c r="B310" s="19"/>
      <c r="C310" s="19"/>
      <c r="D310" s="13"/>
      <c r="E310" s="12"/>
      <c r="F310" s="15" t="str">
        <f aca="false">IF(D310="","",IF(C310="Çekme",-D310,D310))</f>
        <v/>
      </c>
    </row>
    <row r="311" customFormat="false" ht="15" hidden="false" customHeight="false" outlineLevel="0" collapsed="false">
      <c r="A311" s="14"/>
      <c r="B311" s="19"/>
      <c r="C311" s="19"/>
      <c r="D311" s="13"/>
      <c r="E311" s="12"/>
      <c r="F311" s="15" t="str">
        <f aca="false">IF(D311="","",IF(C311="Çekme",-D311,D311))</f>
        <v/>
      </c>
    </row>
    <row r="312" customFormat="false" ht="15" hidden="false" customHeight="false" outlineLevel="0" collapsed="false">
      <c r="A312" s="14"/>
      <c r="B312" s="19"/>
      <c r="C312" s="19"/>
      <c r="D312" s="13"/>
      <c r="E312" s="12"/>
      <c r="F312" s="15" t="str">
        <f aca="false">IF(D312="","",IF(C312="Çekme",-D312,D312))</f>
        <v/>
      </c>
    </row>
    <row r="313" customFormat="false" ht="15" hidden="false" customHeight="false" outlineLevel="0" collapsed="false">
      <c r="A313" s="14"/>
      <c r="B313" s="19"/>
      <c r="C313" s="19"/>
      <c r="D313" s="13"/>
      <c r="E313" s="12"/>
      <c r="F313" s="15" t="str">
        <f aca="false">IF(D313="","",IF(C313="Çekme",-D313,D313))</f>
        <v/>
      </c>
    </row>
    <row r="314" customFormat="false" ht="15" hidden="false" customHeight="false" outlineLevel="0" collapsed="false">
      <c r="A314" s="14"/>
      <c r="B314" s="19"/>
      <c r="C314" s="19"/>
      <c r="D314" s="13"/>
      <c r="E314" s="12"/>
      <c r="F314" s="15" t="str">
        <f aca="false">IF(D314="","",IF(C314="Çekme",-D314,D314))</f>
        <v/>
      </c>
    </row>
    <row r="315" customFormat="false" ht="15" hidden="false" customHeight="false" outlineLevel="0" collapsed="false">
      <c r="A315" s="14"/>
      <c r="B315" s="19"/>
      <c r="C315" s="19"/>
      <c r="D315" s="13"/>
      <c r="E315" s="12"/>
      <c r="F315" s="15" t="str">
        <f aca="false">IF(D315="","",IF(C315="Çekme",-D315,D315))</f>
        <v/>
      </c>
    </row>
    <row r="316" customFormat="false" ht="15" hidden="false" customHeight="false" outlineLevel="0" collapsed="false">
      <c r="A316" s="14"/>
      <c r="B316" s="19"/>
      <c r="C316" s="19"/>
      <c r="D316" s="13"/>
      <c r="E316" s="12"/>
      <c r="F316" s="15" t="str">
        <f aca="false">IF(D316="","",IF(C316="Çekme",-D316,D316))</f>
        <v/>
      </c>
    </row>
    <row r="317" customFormat="false" ht="15" hidden="false" customHeight="false" outlineLevel="0" collapsed="false">
      <c r="A317" s="14"/>
      <c r="B317" s="19"/>
      <c r="C317" s="19"/>
      <c r="D317" s="13"/>
      <c r="E317" s="12"/>
      <c r="F317" s="15" t="str">
        <f aca="false">IF(D317="","",IF(C317="Çekme",-D317,D317))</f>
        <v/>
      </c>
    </row>
    <row r="318" customFormat="false" ht="15" hidden="false" customHeight="false" outlineLevel="0" collapsed="false">
      <c r="A318" s="14"/>
      <c r="B318" s="19"/>
      <c r="C318" s="19"/>
      <c r="D318" s="13"/>
      <c r="E318" s="12"/>
      <c r="F318" s="15" t="str">
        <f aca="false">IF(D318="","",IF(C318="Çekme",-D318,D318))</f>
        <v/>
      </c>
    </row>
    <row r="319" customFormat="false" ht="15" hidden="false" customHeight="false" outlineLevel="0" collapsed="false">
      <c r="A319" s="14"/>
      <c r="B319" s="19"/>
      <c r="C319" s="19"/>
      <c r="D319" s="13"/>
      <c r="E319" s="12"/>
      <c r="F319" s="15" t="str">
        <f aca="false">IF(D319="","",IF(C319="Çekme",-D319,D319))</f>
        <v/>
      </c>
    </row>
    <row r="320" customFormat="false" ht="15" hidden="false" customHeight="false" outlineLevel="0" collapsed="false">
      <c r="A320" s="14"/>
      <c r="B320" s="19"/>
      <c r="C320" s="19"/>
      <c r="D320" s="13"/>
      <c r="E320" s="12"/>
      <c r="F320" s="15" t="str">
        <f aca="false">IF(D320="","",IF(C320="Çekme",-D320,D320))</f>
        <v/>
      </c>
    </row>
    <row r="321" customFormat="false" ht="15" hidden="false" customHeight="false" outlineLevel="0" collapsed="false">
      <c r="A321" s="14"/>
      <c r="B321" s="19"/>
      <c r="C321" s="19"/>
      <c r="D321" s="13"/>
      <c r="E321" s="12"/>
      <c r="F321" s="15" t="str">
        <f aca="false">IF(D321="","",IF(C321="Çekme",-D321,D321))</f>
        <v/>
      </c>
    </row>
    <row r="322" customFormat="false" ht="15" hidden="false" customHeight="false" outlineLevel="0" collapsed="false">
      <c r="A322" s="14"/>
      <c r="B322" s="19"/>
      <c r="C322" s="19"/>
      <c r="D322" s="13"/>
      <c r="E322" s="12"/>
      <c r="F322" s="15" t="str">
        <f aca="false">IF(D322="","",IF(C322="Çekme",-D322,D322))</f>
        <v/>
      </c>
    </row>
    <row r="323" customFormat="false" ht="15" hidden="false" customHeight="false" outlineLevel="0" collapsed="false">
      <c r="A323" s="14"/>
      <c r="B323" s="19"/>
      <c r="C323" s="19"/>
      <c r="D323" s="13"/>
      <c r="E323" s="12"/>
      <c r="F323" s="15" t="str">
        <f aca="false">IF(D323="","",IF(C323="Çekme",-D323,D323))</f>
        <v/>
      </c>
    </row>
    <row r="324" customFormat="false" ht="15" hidden="false" customHeight="false" outlineLevel="0" collapsed="false">
      <c r="A324" s="14"/>
      <c r="B324" s="19"/>
      <c r="C324" s="19"/>
      <c r="D324" s="13"/>
      <c r="E324" s="12"/>
      <c r="F324" s="15" t="str">
        <f aca="false">IF(D324="","",IF(C324="Çekme",-D324,D324))</f>
        <v/>
      </c>
    </row>
    <row r="325" customFormat="false" ht="15" hidden="false" customHeight="false" outlineLevel="0" collapsed="false">
      <c r="A325" s="14"/>
      <c r="B325" s="19"/>
      <c r="C325" s="19"/>
      <c r="D325" s="13"/>
      <c r="E325" s="12"/>
      <c r="F325" s="15" t="str">
        <f aca="false">IF(D325="","",IF(C325="Çekme",-D325,D325))</f>
        <v/>
      </c>
    </row>
    <row r="326" customFormat="false" ht="15" hidden="false" customHeight="false" outlineLevel="0" collapsed="false">
      <c r="A326" s="14"/>
      <c r="B326" s="19"/>
      <c r="C326" s="19"/>
      <c r="D326" s="13"/>
      <c r="E326" s="12"/>
      <c r="F326" s="15" t="str">
        <f aca="false">IF(D326="","",IF(C326="Çekme",-D326,D326))</f>
        <v/>
      </c>
    </row>
    <row r="327" customFormat="false" ht="15" hidden="false" customHeight="false" outlineLevel="0" collapsed="false">
      <c r="A327" s="14"/>
      <c r="B327" s="19"/>
      <c r="C327" s="19"/>
      <c r="D327" s="13"/>
      <c r="E327" s="12"/>
      <c r="F327" s="15" t="str">
        <f aca="false">IF(D327="","",IF(C327="Çekme",-D327,D327))</f>
        <v/>
      </c>
    </row>
    <row r="328" customFormat="false" ht="15" hidden="false" customHeight="false" outlineLevel="0" collapsed="false">
      <c r="A328" s="14"/>
      <c r="B328" s="19"/>
      <c r="C328" s="19"/>
      <c r="D328" s="13"/>
      <c r="E328" s="12"/>
      <c r="F328" s="15" t="str">
        <f aca="false">IF(D328="","",IF(C328="Çekme",-D328,D328))</f>
        <v/>
      </c>
    </row>
    <row r="329" customFormat="false" ht="15" hidden="false" customHeight="false" outlineLevel="0" collapsed="false">
      <c r="A329" s="14"/>
      <c r="B329" s="19"/>
      <c r="C329" s="19"/>
      <c r="D329" s="13"/>
      <c r="E329" s="12"/>
      <c r="F329" s="15" t="str">
        <f aca="false">IF(D329="","",IF(C329="Çekme",-D329,D329))</f>
        <v/>
      </c>
    </row>
    <row r="330" customFormat="false" ht="15" hidden="false" customHeight="false" outlineLevel="0" collapsed="false">
      <c r="A330" s="14"/>
      <c r="B330" s="19"/>
      <c r="C330" s="19"/>
      <c r="D330" s="13"/>
      <c r="E330" s="12"/>
      <c r="F330" s="15" t="str">
        <f aca="false">IF(D330="","",IF(C330="Çekme",-D330,D330))</f>
        <v/>
      </c>
    </row>
    <row r="331" customFormat="false" ht="15" hidden="false" customHeight="false" outlineLevel="0" collapsed="false">
      <c r="A331" s="14"/>
      <c r="B331" s="19"/>
      <c r="C331" s="19"/>
      <c r="D331" s="13"/>
      <c r="E331" s="12"/>
      <c r="F331" s="15" t="str">
        <f aca="false">IF(D331="","",IF(C331="Çekme",-D331,D331))</f>
        <v/>
      </c>
    </row>
    <row r="332" customFormat="false" ht="15" hidden="false" customHeight="false" outlineLevel="0" collapsed="false">
      <c r="A332" s="14"/>
      <c r="B332" s="19"/>
      <c r="C332" s="19"/>
      <c r="D332" s="13"/>
      <c r="E332" s="12"/>
      <c r="F332" s="15" t="str">
        <f aca="false">IF(D332="","",IF(C332="Çekme",-D332,D332))</f>
        <v/>
      </c>
    </row>
    <row r="333" customFormat="false" ht="15" hidden="false" customHeight="false" outlineLevel="0" collapsed="false">
      <c r="A333" s="14"/>
      <c r="B333" s="19"/>
      <c r="C333" s="19"/>
      <c r="D333" s="13"/>
      <c r="E333" s="12"/>
      <c r="F333" s="15" t="str">
        <f aca="false">IF(D333="","",IF(C333="Çekme",-D333,D333))</f>
        <v/>
      </c>
    </row>
    <row r="334" customFormat="false" ht="15" hidden="false" customHeight="false" outlineLevel="0" collapsed="false">
      <c r="A334" s="14"/>
      <c r="B334" s="19"/>
      <c r="C334" s="19"/>
      <c r="D334" s="13"/>
      <c r="E334" s="12"/>
      <c r="F334" s="15" t="str">
        <f aca="false">IF(D334="","",IF(C334="Çekme",-D334,D334))</f>
        <v/>
      </c>
    </row>
    <row r="335" customFormat="false" ht="15" hidden="false" customHeight="false" outlineLevel="0" collapsed="false">
      <c r="A335" s="14"/>
      <c r="B335" s="19"/>
      <c r="C335" s="19"/>
      <c r="D335" s="13"/>
      <c r="E335" s="12"/>
      <c r="F335" s="15" t="str">
        <f aca="false">IF(D335="","",IF(C335="Çekme",-D335,D335))</f>
        <v/>
      </c>
    </row>
    <row r="336" customFormat="false" ht="15" hidden="false" customHeight="false" outlineLevel="0" collapsed="false">
      <c r="A336" s="14"/>
      <c r="B336" s="19"/>
      <c r="C336" s="19"/>
      <c r="D336" s="13"/>
      <c r="E336" s="12"/>
      <c r="F336" s="15" t="str">
        <f aca="false">IF(D336="","",IF(C336="Çekme",-D336,D336))</f>
        <v/>
      </c>
    </row>
    <row r="337" customFormat="false" ht="15" hidden="false" customHeight="false" outlineLevel="0" collapsed="false">
      <c r="A337" s="14"/>
      <c r="B337" s="19"/>
      <c r="C337" s="19"/>
      <c r="D337" s="13"/>
      <c r="E337" s="12"/>
      <c r="F337" s="15" t="str">
        <f aca="false">IF(D337="","",IF(C337="Çekme",-D337,D337))</f>
        <v/>
      </c>
    </row>
    <row r="338" customFormat="false" ht="15" hidden="false" customHeight="false" outlineLevel="0" collapsed="false">
      <c r="A338" s="14"/>
      <c r="B338" s="19"/>
      <c r="C338" s="19"/>
      <c r="D338" s="13"/>
      <c r="E338" s="12"/>
      <c r="F338" s="15" t="str">
        <f aca="false">IF(D338="","",IF(C338="Çekme",-D338,D338))</f>
        <v/>
      </c>
    </row>
    <row r="339" customFormat="false" ht="15" hidden="false" customHeight="false" outlineLevel="0" collapsed="false">
      <c r="A339" s="14"/>
      <c r="B339" s="19"/>
      <c r="C339" s="19"/>
      <c r="D339" s="13"/>
      <c r="E339" s="12"/>
      <c r="F339" s="15" t="str">
        <f aca="false">IF(D339="","",IF(C339="Çekme",-D339,D339))</f>
        <v/>
      </c>
    </row>
    <row r="340" customFormat="false" ht="15" hidden="false" customHeight="false" outlineLevel="0" collapsed="false">
      <c r="A340" s="14"/>
      <c r="B340" s="19"/>
      <c r="C340" s="19"/>
      <c r="D340" s="13"/>
      <c r="E340" s="12"/>
      <c r="F340" s="15" t="str">
        <f aca="false">IF(D340="","",IF(C340="Çekme",-D340,D340))</f>
        <v/>
      </c>
    </row>
    <row r="341" customFormat="false" ht="15" hidden="false" customHeight="false" outlineLevel="0" collapsed="false">
      <c r="A341" s="14"/>
      <c r="B341" s="19"/>
      <c r="C341" s="19"/>
      <c r="D341" s="13"/>
      <c r="E341" s="12"/>
      <c r="F341" s="15" t="str">
        <f aca="false">IF(D341="","",IF(C341="Çekme",-D341,D341))</f>
        <v/>
      </c>
    </row>
    <row r="342" customFormat="false" ht="15" hidden="false" customHeight="false" outlineLevel="0" collapsed="false">
      <c r="A342" s="14"/>
      <c r="B342" s="19"/>
      <c r="C342" s="19"/>
      <c r="D342" s="13"/>
      <c r="E342" s="12"/>
      <c r="F342" s="15" t="str">
        <f aca="false">IF(D342="","",IF(C342="Çekme",-D342,D342))</f>
        <v/>
      </c>
    </row>
    <row r="343" customFormat="false" ht="15" hidden="false" customHeight="false" outlineLevel="0" collapsed="false">
      <c r="A343" s="14"/>
      <c r="B343" s="19"/>
      <c r="C343" s="19"/>
      <c r="D343" s="13"/>
      <c r="E343" s="12"/>
      <c r="F343" s="15" t="str">
        <f aca="false">IF(D343="","",IF(C343="Çekme",-D343,D343))</f>
        <v/>
      </c>
    </row>
    <row r="344" customFormat="false" ht="15" hidden="false" customHeight="false" outlineLevel="0" collapsed="false">
      <c r="A344" s="14"/>
      <c r="B344" s="19"/>
      <c r="C344" s="19"/>
      <c r="D344" s="13"/>
      <c r="E344" s="12"/>
      <c r="F344" s="15" t="str">
        <f aca="false">IF(D344="","",IF(C344="Çekme",-D344,D344))</f>
        <v/>
      </c>
    </row>
    <row r="345" customFormat="false" ht="15" hidden="false" customHeight="false" outlineLevel="0" collapsed="false">
      <c r="A345" s="14"/>
      <c r="B345" s="19"/>
      <c r="C345" s="19"/>
      <c r="D345" s="13"/>
      <c r="E345" s="12"/>
      <c r="F345" s="15" t="str">
        <f aca="false">IF(D345="","",IF(C345="Çekme",-D345,D345))</f>
        <v/>
      </c>
    </row>
    <row r="346" customFormat="false" ht="15" hidden="false" customHeight="false" outlineLevel="0" collapsed="false">
      <c r="A346" s="14"/>
      <c r="B346" s="19"/>
      <c r="C346" s="19"/>
      <c r="D346" s="13"/>
      <c r="E346" s="12"/>
      <c r="F346" s="15" t="str">
        <f aca="false">IF(D346="","",IF(C346="Çekme",-D346,D346))</f>
        <v/>
      </c>
    </row>
    <row r="347" customFormat="false" ht="15" hidden="false" customHeight="false" outlineLevel="0" collapsed="false">
      <c r="A347" s="14"/>
      <c r="B347" s="19"/>
      <c r="C347" s="19"/>
      <c r="D347" s="13"/>
      <c r="E347" s="12"/>
      <c r="F347" s="15" t="str">
        <f aca="false">IF(D347="","",IF(C347="Çekme",-D347,D347))</f>
        <v/>
      </c>
    </row>
    <row r="348" customFormat="false" ht="15" hidden="false" customHeight="false" outlineLevel="0" collapsed="false">
      <c r="A348" s="14"/>
      <c r="B348" s="19"/>
      <c r="C348" s="19"/>
      <c r="D348" s="13"/>
      <c r="E348" s="12"/>
      <c r="F348" s="15" t="str">
        <f aca="false">IF(D348="","",IF(C348="Çekme",-D348,D348))</f>
        <v/>
      </c>
    </row>
    <row r="349" customFormat="false" ht="15" hidden="false" customHeight="false" outlineLevel="0" collapsed="false">
      <c r="A349" s="14"/>
      <c r="B349" s="19"/>
      <c r="C349" s="19"/>
      <c r="D349" s="13"/>
      <c r="E349" s="12"/>
      <c r="F349" s="15" t="str">
        <f aca="false">IF(D349="","",IF(C349="Çekme",-D349,D349))</f>
        <v/>
      </c>
    </row>
    <row r="350" customFormat="false" ht="15" hidden="false" customHeight="false" outlineLevel="0" collapsed="false">
      <c r="A350" s="14"/>
      <c r="B350" s="19"/>
      <c r="C350" s="19"/>
      <c r="D350" s="13"/>
      <c r="E350" s="12"/>
      <c r="F350" s="15" t="str">
        <f aca="false">IF(D350="","",IF(C350="Çekme",-D350,D350))</f>
        <v/>
      </c>
    </row>
    <row r="351" customFormat="false" ht="15" hidden="false" customHeight="false" outlineLevel="0" collapsed="false">
      <c r="A351" s="14"/>
      <c r="B351" s="19"/>
      <c r="C351" s="19"/>
      <c r="D351" s="13"/>
      <c r="E351" s="12"/>
      <c r="F351" s="15" t="str">
        <f aca="false">IF(D351="","",IF(C351="Çekme",-D351,D351))</f>
        <v/>
      </c>
    </row>
    <row r="352" customFormat="false" ht="15" hidden="false" customHeight="false" outlineLevel="0" collapsed="false">
      <c r="A352" s="14"/>
      <c r="B352" s="19"/>
      <c r="C352" s="19"/>
      <c r="D352" s="13"/>
      <c r="E352" s="12"/>
      <c r="F352" s="15" t="str">
        <f aca="false">IF(D352="","",IF(C352="Çekme",-D352,D352))</f>
        <v/>
      </c>
    </row>
    <row r="353" customFormat="false" ht="15" hidden="false" customHeight="false" outlineLevel="0" collapsed="false">
      <c r="A353" s="14"/>
      <c r="B353" s="19"/>
      <c r="C353" s="19"/>
      <c r="D353" s="13"/>
      <c r="E353" s="12"/>
      <c r="F353" s="15" t="str">
        <f aca="false">IF(D353="","",IF(C353="Çekme",-D353,D353))</f>
        <v/>
      </c>
    </row>
    <row r="354" customFormat="false" ht="15" hidden="false" customHeight="false" outlineLevel="0" collapsed="false">
      <c r="A354" s="14"/>
      <c r="B354" s="19"/>
      <c r="C354" s="19"/>
      <c r="D354" s="13"/>
      <c r="E354" s="12"/>
      <c r="F354" s="15" t="str">
        <f aca="false">IF(D354="","",IF(C354="Çekme",-D354,D354))</f>
        <v/>
      </c>
    </row>
    <row r="355" customFormat="false" ht="15" hidden="false" customHeight="false" outlineLevel="0" collapsed="false">
      <c r="A355" s="14"/>
      <c r="B355" s="19"/>
      <c r="C355" s="19"/>
      <c r="D355" s="13"/>
      <c r="E355" s="12"/>
      <c r="F355" s="15" t="str">
        <f aca="false">IF(D355="","",IF(C355="Çekme",-D355,D355))</f>
        <v/>
      </c>
    </row>
    <row r="356" customFormat="false" ht="15" hidden="false" customHeight="false" outlineLevel="0" collapsed="false">
      <c r="A356" s="14"/>
      <c r="B356" s="19"/>
      <c r="C356" s="19"/>
      <c r="D356" s="13"/>
      <c r="E356" s="12"/>
      <c r="F356" s="15" t="str">
        <f aca="false">IF(D356="","",IF(C356="Çekme",-D356,D356))</f>
        <v/>
      </c>
    </row>
    <row r="357" customFormat="false" ht="15" hidden="false" customHeight="false" outlineLevel="0" collapsed="false">
      <c r="A357" s="14"/>
      <c r="B357" s="19"/>
      <c r="C357" s="19"/>
      <c r="D357" s="13"/>
      <c r="E357" s="12"/>
      <c r="F357" s="15" t="str">
        <f aca="false">IF(D357="","",IF(C357="Çekme",-D357,D357))</f>
        <v/>
      </c>
    </row>
    <row r="358" customFormat="false" ht="15" hidden="false" customHeight="false" outlineLevel="0" collapsed="false">
      <c r="A358" s="14"/>
      <c r="B358" s="19"/>
      <c r="C358" s="19"/>
      <c r="D358" s="13"/>
      <c r="E358" s="12"/>
      <c r="F358" s="15" t="str">
        <f aca="false">IF(D358="","",IF(C358="Çekme",-D358,D358))</f>
        <v/>
      </c>
    </row>
    <row r="359" customFormat="false" ht="15" hidden="false" customHeight="false" outlineLevel="0" collapsed="false">
      <c r="A359" s="14"/>
      <c r="B359" s="19"/>
      <c r="C359" s="19"/>
      <c r="D359" s="13"/>
      <c r="E359" s="12"/>
      <c r="F359" s="15" t="str">
        <f aca="false">IF(D359="","",IF(C359="Çekme",-D359,D359))</f>
        <v/>
      </c>
    </row>
    <row r="360" customFormat="false" ht="15" hidden="false" customHeight="false" outlineLevel="0" collapsed="false">
      <c r="A360" s="14"/>
      <c r="B360" s="19"/>
      <c r="C360" s="19"/>
      <c r="D360" s="13"/>
      <c r="E360" s="12"/>
      <c r="F360" s="15" t="str">
        <f aca="false">IF(D360="","",IF(C360="Çekme",-D360,D360))</f>
        <v/>
      </c>
    </row>
    <row r="361" customFormat="false" ht="15" hidden="false" customHeight="false" outlineLevel="0" collapsed="false">
      <c r="A361" s="14"/>
      <c r="B361" s="19"/>
      <c r="C361" s="19"/>
      <c r="D361" s="13"/>
      <c r="E361" s="12"/>
      <c r="F361" s="15" t="str">
        <f aca="false">IF(D361="","",IF(C361="Çekme",-D361,D361))</f>
        <v/>
      </c>
    </row>
    <row r="362" customFormat="false" ht="15" hidden="false" customHeight="false" outlineLevel="0" collapsed="false">
      <c r="A362" s="14"/>
      <c r="B362" s="19"/>
      <c r="C362" s="19"/>
      <c r="D362" s="13"/>
      <c r="E362" s="12"/>
      <c r="F362" s="15" t="str">
        <f aca="false">IF(D362="","",IF(C362="Çekme",-D362,D362))</f>
        <v/>
      </c>
    </row>
    <row r="363" customFormat="false" ht="15" hidden="false" customHeight="false" outlineLevel="0" collapsed="false">
      <c r="A363" s="14"/>
      <c r="B363" s="19"/>
      <c r="C363" s="19"/>
      <c r="D363" s="13"/>
      <c r="E363" s="12"/>
      <c r="F363" s="15" t="str">
        <f aca="false">IF(D363="","",IF(C363="Çekme",-D363,D363))</f>
        <v/>
      </c>
    </row>
    <row r="364" customFormat="false" ht="15" hidden="false" customHeight="false" outlineLevel="0" collapsed="false">
      <c r="A364" s="14"/>
      <c r="B364" s="19"/>
      <c r="C364" s="19"/>
      <c r="D364" s="13"/>
      <c r="E364" s="12"/>
      <c r="F364" s="15" t="str">
        <f aca="false">IF(D364="","",IF(C364="Çekme",-D364,D364))</f>
        <v/>
      </c>
    </row>
    <row r="365" customFormat="false" ht="15" hidden="false" customHeight="false" outlineLevel="0" collapsed="false">
      <c r="A365" s="14"/>
      <c r="B365" s="19"/>
      <c r="C365" s="19"/>
      <c r="D365" s="13"/>
      <c r="E365" s="12"/>
      <c r="F365" s="15" t="str">
        <f aca="false">IF(D365="","",IF(C365="Çekme",-D365,D365))</f>
        <v/>
      </c>
    </row>
    <row r="366" customFormat="false" ht="15" hidden="false" customHeight="false" outlineLevel="0" collapsed="false">
      <c r="A366" s="14"/>
      <c r="B366" s="19"/>
      <c r="C366" s="19"/>
      <c r="D366" s="13"/>
      <c r="E366" s="12"/>
      <c r="F366" s="15" t="str">
        <f aca="false">IF(D366="","",IF(C366="Çekme",-D366,D366))</f>
        <v/>
      </c>
    </row>
    <row r="367" customFormat="false" ht="15" hidden="false" customHeight="false" outlineLevel="0" collapsed="false">
      <c r="A367" s="14"/>
      <c r="B367" s="19"/>
      <c r="C367" s="19"/>
      <c r="D367" s="13"/>
      <c r="E367" s="12"/>
      <c r="F367" s="15" t="str">
        <f aca="false">IF(D367="","",IF(C367="Çekme",-D367,D367))</f>
        <v/>
      </c>
    </row>
    <row r="368" customFormat="false" ht="15" hidden="false" customHeight="false" outlineLevel="0" collapsed="false">
      <c r="A368" s="14"/>
      <c r="B368" s="19"/>
      <c r="C368" s="19"/>
      <c r="D368" s="13"/>
      <c r="E368" s="12"/>
      <c r="F368" s="15" t="str">
        <f aca="false">IF(D368="","",IF(C368="Çekme",-D368,D368))</f>
        <v/>
      </c>
    </row>
    <row r="369" customFormat="false" ht="15" hidden="false" customHeight="false" outlineLevel="0" collapsed="false">
      <c r="A369" s="14"/>
      <c r="B369" s="19"/>
      <c r="C369" s="19"/>
      <c r="D369" s="13"/>
      <c r="E369" s="12"/>
      <c r="F369" s="15" t="str">
        <f aca="false">IF(D369="","",IF(C369="Çekme",-D369,D369))</f>
        <v/>
      </c>
    </row>
    <row r="370" customFormat="false" ht="15" hidden="false" customHeight="false" outlineLevel="0" collapsed="false">
      <c r="A370" s="14"/>
      <c r="B370" s="19"/>
      <c r="C370" s="19"/>
      <c r="D370" s="13"/>
      <c r="E370" s="12"/>
      <c r="F370" s="15" t="str">
        <f aca="false">IF(D370="","",IF(C370="Çekme",-D370,D370))</f>
        <v/>
      </c>
    </row>
    <row r="371" customFormat="false" ht="15" hidden="false" customHeight="false" outlineLevel="0" collapsed="false">
      <c r="A371" s="14"/>
      <c r="B371" s="19"/>
      <c r="C371" s="19"/>
      <c r="D371" s="13"/>
      <c r="E371" s="12"/>
      <c r="F371" s="15" t="str">
        <f aca="false">IF(D371="","",IF(C371="Çekme",-D371,D371))</f>
        <v/>
      </c>
    </row>
    <row r="372" customFormat="false" ht="15" hidden="false" customHeight="false" outlineLevel="0" collapsed="false">
      <c r="A372" s="14"/>
      <c r="B372" s="19"/>
      <c r="C372" s="19"/>
      <c r="D372" s="13"/>
      <c r="E372" s="12"/>
      <c r="F372" s="15" t="str">
        <f aca="false">IF(D372="","",IF(C372="Çekme",-D372,D372))</f>
        <v/>
      </c>
    </row>
    <row r="373" customFormat="false" ht="15" hidden="false" customHeight="false" outlineLevel="0" collapsed="false">
      <c r="A373" s="14"/>
      <c r="B373" s="19"/>
      <c r="C373" s="19"/>
      <c r="D373" s="13"/>
      <c r="E373" s="12"/>
      <c r="F373" s="15" t="str">
        <f aca="false">IF(D373="","",IF(C373="Çekme",-D373,D373))</f>
        <v/>
      </c>
    </row>
    <row r="374" customFormat="false" ht="15" hidden="false" customHeight="false" outlineLevel="0" collapsed="false">
      <c r="A374" s="14"/>
      <c r="B374" s="19"/>
      <c r="C374" s="19"/>
      <c r="D374" s="13"/>
      <c r="E374" s="12"/>
      <c r="F374" s="15" t="str">
        <f aca="false">IF(D374="","",IF(C374="Çekme",-D374,D374))</f>
        <v/>
      </c>
    </row>
    <row r="375" customFormat="false" ht="15" hidden="false" customHeight="false" outlineLevel="0" collapsed="false">
      <c r="A375" s="14"/>
      <c r="B375" s="19"/>
      <c r="C375" s="19"/>
      <c r="D375" s="13"/>
      <c r="E375" s="12"/>
      <c r="F375" s="15" t="str">
        <f aca="false">IF(D375="","",IF(C375="Çekme",-D375,D375))</f>
        <v/>
      </c>
    </row>
    <row r="376" customFormat="false" ht="15" hidden="false" customHeight="false" outlineLevel="0" collapsed="false">
      <c r="A376" s="14"/>
      <c r="B376" s="19"/>
      <c r="C376" s="19"/>
      <c r="D376" s="13"/>
      <c r="E376" s="12"/>
      <c r="F376" s="15" t="str">
        <f aca="false">IF(D376="","",IF(C376="Çekme",-D376,D376))</f>
        <v/>
      </c>
    </row>
    <row r="377" customFormat="false" ht="15" hidden="false" customHeight="false" outlineLevel="0" collapsed="false">
      <c r="A377" s="14"/>
      <c r="B377" s="19"/>
      <c r="C377" s="19"/>
      <c r="D377" s="13"/>
      <c r="E377" s="12"/>
      <c r="F377" s="15" t="str">
        <f aca="false">IF(D377="","",IF(C377="Çekme",-D377,D377))</f>
        <v/>
      </c>
    </row>
    <row r="378" customFormat="false" ht="15" hidden="false" customHeight="false" outlineLevel="0" collapsed="false">
      <c r="A378" s="14"/>
      <c r="B378" s="19"/>
      <c r="C378" s="19"/>
      <c r="D378" s="13"/>
      <c r="E378" s="12"/>
      <c r="F378" s="15" t="str">
        <f aca="false">IF(D378="","",IF(C378="Çekme",-D378,D378))</f>
        <v/>
      </c>
    </row>
    <row r="379" customFormat="false" ht="15" hidden="false" customHeight="false" outlineLevel="0" collapsed="false">
      <c r="A379" s="14"/>
      <c r="B379" s="19"/>
      <c r="C379" s="19"/>
      <c r="D379" s="13"/>
      <c r="E379" s="12"/>
      <c r="F379" s="15" t="str">
        <f aca="false">IF(D379="","",IF(C379="Çekme",-D379,D379))</f>
        <v/>
      </c>
    </row>
    <row r="380" customFormat="false" ht="15" hidden="false" customHeight="false" outlineLevel="0" collapsed="false">
      <c r="A380" s="14"/>
      <c r="B380" s="19"/>
      <c r="C380" s="19"/>
      <c r="D380" s="13"/>
      <c r="E380" s="12"/>
      <c r="F380" s="15" t="str">
        <f aca="false">IF(D380="","",IF(C380="Çekme",-D380,D380))</f>
        <v/>
      </c>
    </row>
    <row r="381" customFormat="false" ht="15" hidden="false" customHeight="false" outlineLevel="0" collapsed="false">
      <c r="A381" s="14"/>
      <c r="B381" s="19"/>
      <c r="C381" s="19"/>
      <c r="D381" s="13"/>
      <c r="E381" s="12"/>
      <c r="F381" s="15" t="str">
        <f aca="false">IF(D381="","",IF(C381="Çekme",-D381,D381))</f>
        <v/>
      </c>
    </row>
    <row r="382" customFormat="false" ht="15" hidden="false" customHeight="false" outlineLevel="0" collapsed="false">
      <c r="A382" s="14"/>
      <c r="B382" s="19"/>
      <c r="C382" s="19"/>
      <c r="D382" s="13"/>
      <c r="E382" s="12"/>
      <c r="F382" s="15" t="str">
        <f aca="false">IF(D382="","",IF(C382="Çekme",-D382,D382))</f>
        <v/>
      </c>
    </row>
    <row r="383" customFormat="false" ht="15" hidden="false" customHeight="false" outlineLevel="0" collapsed="false">
      <c r="A383" s="14"/>
      <c r="B383" s="19"/>
      <c r="C383" s="19"/>
      <c r="D383" s="13"/>
      <c r="E383" s="12"/>
      <c r="F383" s="15" t="str">
        <f aca="false">IF(D383="","",IF(C383="Çekme",-D383,D383))</f>
        <v/>
      </c>
    </row>
    <row r="384" customFormat="false" ht="15" hidden="false" customHeight="false" outlineLevel="0" collapsed="false">
      <c r="A384" s="14"/>
      <c r="B384" s="19"/>
      <c r="C384" s="19"/>
      <c r="D384" s="13"/>
      <c r="E384" s="12"/>
      <c r="F384" s="15" t="str">
        <f aca="false">IF(D384="","",IF(C384="Çekme",-D384,D384))</f>
        <v/>
      </c>
    </row>
    <row r="385" customFormat="false" ht="15" hidden="false" customHeight="false" outlineLevel="0" collapsed="false">
      <c r="A385" s="14"/>
      <c r="B385" s="19"/>
      <c r="C385" s="19"/>
      <c r="D385" s="13"/>
      <c r="E385" s="12"/>
      <c r="F385" s="15" t="str">
        <f aca="false">IF(D385="","",IF(C385="Çekme",-D385,D385))</f>
        <v/>
      </c>
    </row>
    <row r="386" customFormat="false" ht="15" hidden="false" customHeight="false" outlineLevel="0" collapsed="false">
      <c r="A386" s="14"/>
      <c r="B386" s="19"/>
      <c r="C386" s="19"/>
      <c r="D386" s="13"/>
      <c r="E386" s="12"/>
      <c r="F386" s="15" t="str">
        <f aca="false">IF(D386="","",IF(C386="Çekme",-D386,D386))</f>
        <v/>
      </c>
    </row>
    <row r="387" customFormat="false" ht="15" hidden="false" customHeight="false" outlineLevel="0" collapsed="false">
      <c r="A387" s="14"/>
      <c r="B387" s="19"/>
      <c r="C387" s="19"/>
      <c r="D387" s="13"/>
      <c r="E387" s="12"/>
      <c r="F387" s="15" t="str">
        <f aca="false">IF(D387="","",IF(C387="Çekme",-D387,D387))</f>
        <v/>
      </c>
    </row>
    <row r="388" customFormat="false" ht="15" hidden="false" customHeight="false" outlineLevel="0" collapsed="false">
      <c r="A388" s="14"/>
      <c r="B388" s="19"/>
      <c r="C388" s="19"/>
      <c r="D388" s="13"/>
      <c r="E388" s="12"/>
      <c r="F388" s="15" t="str">
        <f aca="false">IF(D388="","",IF(C388="Çekme",-D388,D388))</f>
        <v/>
      </c>
    </row>
    <row r="389" customFormat="false" ht="15" hidden="false" customHeight="false" outlineLevel="0" collapsed="false">
      <c r="A389" s="14"/>
      <c r="B389" s="19"/>
      <c r="C389" s="19"/>
      <c r="D389" s="13"/>
      <c r="E389" s="12"/>
      <c r="F389" s="15" t="str">
        <f aca="false">IF(D389="","",IF(C389="Çekme",-D389,D389))</f>
        <v/>
      </c>
    </row>
    <row r="390" customFormat="false" ht="15" hidden="false" customHeight="false" outlineLevel="0" collapsed="false">
      <c r="A390" s="14"/>
      <c r="B390" s="19"/>
      <c r="C390" s="19"/>
      <c r="D390" s="13"/>
      <c r="E390" s="12"/>
      <c r="F390" s="15" t="str">
        <f aca="false">IF(D390="","",IF(C390="Çekme",-D390,D390))</f>
        <v/>
      </c>
    </row>
    <row r="391" customFormat="false" ht="15" hidden="false" customHeight="false" outlineLevel="0" collapsed="false">
      <c r="A391" s="14"/>
      <c r="B391" s="19"/>
      <c r="C391" s="19"/>
      <c r="D391" s="13"/>
      <c r="E391" s="12"/>
      <c r="F391" s="15" t="str">
        <f aca="false">IF(D391="","",IF(C391="Çekme",-D391,D391))</f>
        <v/>
      </c>
    </row>
    <row r="392" customFormat="false" ht="15" hidden="false" customHeight="false" outlineLevel="0" collapsed="false">
      <c r="A392" s="14"/>
      <c r="B392" s="19"/>
      <c r="C392" s="19"/>
      <c r="D392" s="13"/>
      <c r="E392" s="12"/>
      <c r="F392" s="15" t="str">
        <f aca="false">IF(D392="","",IF(C392="Çekme",-D392,D392))</f>
        <v/>
      </c>
    </row>
    <row r="393" customFormat="false" ht="15" hidden="false" customHeight="false" outlineLevel="0" collapsed="false">
      <c r="A393" s="14"/>
      <c r="B393" s="19"/>
      <c r="C393" s="19"/>
      <c r="D393" s="13"/>
      <c r="E393" s="12"/>
      <c r="F393" s="15" t="str">
        <f aca="false">IF(D393="","",IF(C393="Çekme",-D393,D393))</f>
        <v/>
      </c>
    </row>
    <row r="394" customFormat="false" ht="15" hidden="false" customHeight="false" outlineLevel="0" collapsed="false">
      <c r="A394" s="14"/>
      <c r="B394" s="19"/>
      <c r="C394" s="19"/>
      <c r="D394" s="13"/>
      <c r="E394" s="12"/>
      <c r="F394" s="15" t="str">
        <f aca="false">IF(D394="","",IF(C394="Çekme",-D394,D394))</f>
        <v/>
      </c>
    </row>
    <row r="395" customFormat="false" ht="15" hidden="false" customHeight="false" outlineLevel="0" collapsed="false">
      <c r="A395" s="14"/>
      <c r="B395" s="19"/>
      <c r="C395" s="19"/>
      <c r="D395" s="13"/>
      <c r="E395" s="12"/>
      <c r="F395" s="15" t="str">
        <f aca="false">IF(D395="","",IF(C395="Çekme",-D395,D395))</f>
        <v/>
      </c>
    </row>
    <row r="396" customFormat="false" ht="15" hidden="false" customHeight="false" outlineLevel="0" collapsed="false">
      <c r="A396" s="14"/>
      <c r="B396" s="19"/>
      <c r="C396" s="19"/>
      <c r="D396" s="13"/>
      <c r="E396" s="12"/>
      <c r="F396" s="15" t="str">
        <f aca="false">IF(D396="","",IF(C396="Çekme",-D396,D396))</f>
        <v/>
      </c>
    </row>
    <row r="397" customFormat="false" ht="15" hidden="false" customHeight="false" outlineLevel="0" collapsed="false">
      <c r="A397" s="14"/>
      <c r="B397" s="19"/>
      <c r="C397" s="19"/>
      <c r="D397" s="13"/>
      <c r="E397" s="12"/>
      <c r="F397" s="15" t="str">
        <f aca="false">IF(D397="","",IF(C397="Çekme",-D397,D397))</f>
        <v/>
      </c>
    </row>
    <row r="398" customFormat="false" ht="15" hidden="false" customHeight="false" outlineLevel="0" collapsed="false">
      <c r="A398" s="14"/>
      <c r="B398" s="19"/>
      <c r="C398" s="19"/>
      <c r="D398" s="13"/>
      <c r="E398" s="12"/>
      <c r="F398" s="15" t="str">
        <f aca="false">IF(D398="","",IF(C398="Çekme",-D398,D398))</f>
        <v/>
      </c>
    </row>
    <row r="399" customFormat="false" ht="15" hidden="false" customHeight="false" outlineLevel="0" collapsed="false">
      <c r="A399" s="14"/>
      <c r="B399" s="19"/>
      <c r="C399" s="19"/>
      <c r="D399" s="13"/>
      <c r="E399" s="12"/>
      <c r="F399" s="15" t="str">
        <f aca="false">IF(D399="","",IF(C399="Çekme",-D399,D399))</f>
        <v/>
      </c>
    </row>
    <row r="400" customFormat="false" ht="15" hidden="false" customHeight="false" outlineLevel="0" collapsed="false">
      <c r="A400" s="14"/>
      <c r="B400" s="19"/>
      <c r="C400" s="19"/>
      <c r="D400" s="13"/>
      <c r="E400" s="12"/>
      <c r="F400" s="15" t="str">
        <f aca="false">IF(D400="","",IF(C400="Çekme",-D400,D400))</f>
        <v/>
      </c>
    </row>
    <row r="401" customFormat="false" ht="15" hidden="false" customHeight="false" outlineLevel="0" collapsed="false">
      <c r="A401" s="14"/>
      <c r="B401" s="19"/>
      <c r="C401" s="19"/>
      <c r="D401" s="13"/>
      <c r="E401" s="12"/>
      <c r="F401" s="15" t="str">
        <f aca="false">IF(D401="","",IF(C401="Çekme",-D401,D401))</f>
        <v/>
      </c>
    </row>
    <row r="402" customFormat="false" ht="15" hidden="false" customHeight="false" outlineLevel="0" collapsed="false">
      <c r="A402" s="14"/>
      <c r="B402" s="19"/>
      <c r="C402" s="19"/>
      <c r="D402" s="13"/>
      <c r="E402" s="12"/>
      <c r="F402" s="15" t="str">
        <f aca="false">IF(D402="","",IF(C402="Çekme",-D402,D402))</f>
        <v/>
      </c>
    </row>
    <row r="403" customFormat="false" ht="15" hidden="false" customHeight="false" outlineLevel="0" collapsed="false">
      <c r="A403" s="14"/>
      <c r="B403" s="19"/>
      <c r="C403" s="19"/>
      <c r="D403" s="13"/>
      <c r="E403" s="12"/>
      <c r="F403" s="15" t="str">
        <f aca="false">IF(D403="","",IF(C403="Çekme",-D403,D403))</f>
        <v/>
      </c>
    </row>
    <row r="404" customFormat="false" ht="15" hidden="false" customHeight="false" outlineLevel="0" collapsed="false">
      <c r="A404" s="14"/>
      <c r="B404" s="19"/>
      <c r="C404" s="19"/>
      <c r="D404" s="13"/>
      <c r="E404" s="12"/>
      <c r="F404" s="15" t="str">
        <f aca="false">IF(D404="","",IF(C404="Çekme",-D404,D404))</f>
        <v/>
      </c>
    </row>
    <row r="405" customFormat="false" ht="15" hidden="false" customHeight="false" outlineLevel="0" collapsed="false">
      <c r="A405" s="14"/>
      <c r="B405" s="19"/>
      <c r="C405" s="19"/>
      <c r="D405" s="13"/>
      <c r="E405" s="12"/>
      <c r="F405" s="15" t="str">
        <f aca="false">IF(D405="","",IF(C405="Çekme",-D405,D405))</f>
        <v/>
      </c>
    </row>
    <row r="406" customFormat="false" ht="15" hidden="false" customHeight="false" outlineLevel="0" collapsed="false">
      <c r="A406" s="14"/>
      <c r="B406" s="19"/>
      <c r="C406" s="19"/>
      <c r="D406" s="13"/>
      <c r="E406" s="12"/>
      <c r="F406" s="15" t="str">
        <f aca="false">IF(D406="","",IF(C406="Çekme",-D406,D406))</f>
        <v/>
      </c>
    </row>
    <row r="407" customFormat="false" ht="15" hidden="false" customHeight="false" outlineLevel="0" collapsed="false">
      <c r="A407" s="14"/>
      <c r="B407" s="19"/>
      <c r="C407" s="19"/>
      <c r="D407" s="13"/>
      <c r="E407" s="12"/>
      <c r="F407" s="15" t="str">
        <f aca="false">IF(D407="","",IF(C407="Çekme",-D407,D407))</f>
        <v/>
      </c>
    </row>
    <row r="408" customFormat="false" ht="15" hidden="false" customHeight="false" outlineLevel="0" collapsed="false">
      <c r="A408" s="14"/>
      <c r="B408" s="19"/>
      <c r="C408" s="19"/>
      <c r="D408" s="13"/>
      <c r="E408" s="12"/>
      <c r="F408" s="15" t="str">
        <f aca="false">IF(D408="","",IF(C408="Çekme",-D408,D408))</f>
        <v/>
      </c>
    </row>
    <row r="409" customFormat="false" ht="15" hidden="false" customHeight="false" outlineLevel="0" collapsed="false">
      <c r="A409" s="14"/>
      <c r="B409" s="19"/>
      <c r="C409" s="19"/>
      <c r="D409" s="13"/>
      <c r="E409" s="12"/>
      <c r="F409" s="15" t="str">
        <f aca="false">IF(D409="","",IF(C409="Çekme",-D409,D409))</f>
        <v/>
      </c>
    </row>
    <row r="410" customFormat="false" ht="15" hidden="false" customHeight="false" outlineLevel="0" collapsed="false">
      <c r="A410" s="14"/>
      <c r="B410" s="19"/>
      <c r="C410" s="19"/>
      <c r="D410" s="13"/>
      <c r="E410" s="12"/>
      <c r="F410" s="15" t="str">
        <f aca="false">IF(D410="","",IF(C410="Çekme",-D410,D410))</f>
        <v/>
      </c>
    </row>
    <row r="411" customFormat="false" ht="15" hidden="false" customHeight="false" outlineLevel="0" collapsed="false">
      <c r="A411" s="14"/>
      <c r="B411" s="19"/>
      <c r="C411" s="19"/>
      <c r="D411" s="13"/>
      <c r="E411" s="12"/>
      <c r="F411" s="15" t="str">
        <f aca="false">IF(D411="","",IF(C411="Çekme",-D411,D411))</f>
        <v/>
      </c>
    </row>
    <row r="412" customFormat="false" ht="15" hidden="false" customHeight="false" outlineLevel="0" collapsed="false">
      <c r="A412" s="14"/>
      <c r="B412" s="19"/>
      <c r="C412" s="19"/>
      <c r="D412" s="13"/>
      <c r="E412" s="12"/>
      <c r="F412" s="15" t="str">
        <f aca="false">IF(D412="","",IF(C412="Çekme",-D412,D412))</f>
        <v/>
      </c>
    </row>
    <row r="413" customFormat="false" ht="15" hidden="false" customHeight="false" outlineLevel="0" collapsed="false">
      <c r="A413" s="14"/>
      <c r="B413" s="19"/>
      <c r="C413" s="19"/>
      <c r="D413" s="13"/>
      <c r="E413" s="12"/>
      <c r="F413" s="15" t="str">
        <f aca="false">IF(D413="","",IF(C413="Çekme",-D413,D413))</f>
        <v/>
      </c>
    </row>
    <row r="414" customFormat="false" ht="15" hidden="false" customHeight="false" outlineLevel="0" collapsed="false">
      <c r="A414" s="14"/>
      <c r="B414" s="19"/>
      <c r="C414" s="19"/>
      <c r="D414" s="13"/>
      <c r="E414" s="12"/>
      <c r="F414" s="15" t="str">
        <f aca="false">IF(D414="","",IF(C414="Çekme",-D414,D414))</f>
        <v/>
      </c>
    </row>
    <row r="415" customFormat="false" ht="15" hidden="false" customHeight="false" outlineLevel="0" collapsed="false">
      <c r="A415" s="14"/>
      <c r="B415" s="19"/>
      <c r="C415" s="19"/>
      <c r="D415" s="13"/>
      <c r="E415" s="12"/>
      <c r="F415" s="15" t="str">
        <f aca="false">IF(D415="","",IF(C415="Çekme",-D415,D415))</f>
        <v/>
      </c>
    </row>
    <row r="416" customFormat="false" ht="15" hidden="false" customHeight="false" outlineLevel="0" collapsed="false">
      <c r="A416" s="14"/>
      <c r="B416" s="19"/>
      <c r="C416" s="19"/>
      <c r="D416" s="13"/>
      <c r="E416" s="12"/>
      <c r="F416" s="15" t="str">
        <f aca="false">IF(D416="","",IF(C416="Çekme",-D416,D416))</f>
        <v/>
      </c>
    </row>
    <row r="417" customFormat="false" ht="15" hidden="false" customHeight="false" outlineLevel="0" collapsed="false">
      <c r="A417" s="14"/>
      <c r="B417" s="19"/>
      <c r="C417" s="19"/>
      <c r="D417" s="13"/>
      <c r="E417" s="12"/>
      <c r="F417" s="15" t="str">
        <f aca="false">IF(D417="","",IF(C417="Çekme",-D417,D417))</f>
        <v/>
      </c>
    </row>
    <row r="418" customFormat="false" ht="15" hidden="false" customHeight="false" outlineLevel="0" collapsed="false">
      <c r="A418" s="14"/>
      <c r="B418" s="19"/>
      <c r="C418" s="19"/>
      <c r="D418" s="13"/>
      <c r="E418" s="12"/>
      <c r="F418" s="15" t="str">
        <f aca="false">IF(D418="","",IF(C418="Çekme",-D418,D418))</f>
        <v/>
      </c>
    </row>
    <row r="419" customFormat="false" ht="15" hidden="false" customHeight="false" outlineLevel="0" collapsed="false">
      <c r="A419" s="14"/>
      <c r="B419" s="19"/>
      <c r="C419" s="19"/>
      <c r="D419" s="13"/>
      <c r="E419" s="12"/>
      <c r="F419" s="15" t="str">
        <f aca="false">IF(D419="","",IF(C419="Çekme",-D419,D419))</f>
        <v/>
      </c>
    </row>
    <row r="420" customFormat="false" ht="15" hidden="false" customHeight="false" outlineLevel="0" collapsed="false">
      <c r="A420" s="14"/>
      <c r="B420" s="19"/>
      <c r="C420" s="19"/>
      <c r="D420" s="13"/>
      <c r="E420" s="12"/>
      <c r="F420" s="15" t="str">
        <f aca="false">IF(D420="","",IF(C420="Çekme",-D420,D420))</f>
        <v/>
      </c>
    </row>
    <row r="421" customFormat="false" ht="15" hidden="false" customHeight="false" outlineLevel="0" collapsed="false">
      <c r="A421" s="14"/>
      <c r="B421" s="19"/>
      <c r="C421" s="19"/>
      <c r="D421" s="13"/>
      <c r="E421" s="12"/>
      <c r="F421" s="15" t="str">
        <f aca="false">IF(D421="","",IF(C421="Çekme",-D421,D421))</f>
        <v/>
      </c>
    </row>
    <row r="422" customFormat="false" ht="15" hidden="false" customHeight="false" outlineLevel="0" collapsed="false">
      <c r="A422" s="14"/>
      <c r="B422" s="19"/>
      <c r="C422" s="19"/>
      <c r="D422" s="13"/>
      <c r="E422" s="12"/>
      <c r="F422" s="15" t="str">
        <f aca="false">IF(D422="","",IF(C422="Çekme",-D422,D422))</f>
        <v/>
      </c>
    </row>
    <row r="423" customFormat="false" ht="15" hidden="false" customHeight="false" outlineLevel="0" collapsed="false">
      <c r="A423" s="14"/>
      <c r="B423" s="19"/>
      <c r="C423" s="19"/>
      <c r="D423" s="13"/>
      <c r="E423" s="12"/>
      <c r="F423" s="15" t="str">
        <f aca="false">IF(D423="","",IF(C423="Çekme",-D423,D423))</f>
        <v/>
      </c>
    </row>
    <row r="424" customFormat="false" ht="15" hidden="false" customHeight="false" outlineLevel="0" collapsed="false">
      <c r="A424" s="14"/>
      <c r="B424" s="19"/>
      <c r="C424" s="19"/>
      <c r="D424" s="13"/>
      <c r="E424" s="12"/>
      <c r="F424" s="15" t="str">
        <f aca="false">IF(D424="","",IF(C424="Çekme",-D424,D424))</f>
        <v/>
      </c>
    </row>
    <row r="425" customFormat="false" ht="15" hidden="false" customHeight="false" outlineLevel="0" collapsed="false">
      <c r="A425" s="14"/>
      <c r="B425" s="19"/>
      <c r="C425" s="19"/>
      <c r="D425" s="13"/>
      <c r="E425" s="12"/>
      <c r="F425" s="15" t="str">
        <f aca="false">IF(D425="","",IF(C425="Çekme",-D425,D425))</f>
        <v/>
      </c>
    </row>
    <row r="426" customFormat="false" ht="15" hidden="false" customHeight="false" outlineLevel="0" collapsed="false">
      <c r="A426" s="14"/>
      <c r="B426" s="19"/>
      <c r="C426" s="19"/>
      <c r="D426" s="13"/>
      <c r="E426" s="12"/>
      <c r="F426" s="15" t="str">
        <f aca="false">IF(D426="","",IF(C426="Çekme",-D426,D426))</f>
        <v/>
      </c>
    </row>
    <row r="427" customFormat="false" ht="15" hidden="false" customHeight="false" outlineLevel="0" collapsed="false">
      <c r="A427" s="14"/>
      <c r="B427" s="19"/>
      <c r="C427" s="19"/>
      <c r="D427" s="13"/>
      <c r="E427" s="12"/>
      <c r="F427" s="15" t="str">
        <f aca="false">IF(D427="","",IF(C427="Çekme",-D427,D427))</f>
        <v/>
      </c>
    </row>
    <row r="428" customFormat="false" ht="15" hidden="false" customHeight="false" outlineLevel="0" collapsed="false">
      <c r="A428" s="14"/>
      <c r="B428" s="19"/>
      <c r="C428" s="19"/>
      <c r="D428" s="13"/>
      <c r="E428" s="12"/>
      <c r="F428" s="15" t="str">
        <f aca="false">IF(D428="","",IF(C428="Çekme",-D428,D428))</f>
        <v/>
      </c>
    </row>
    <row r="429" customFormat="false" ht="15" hidden="false" customHeight="false" outlineLevel="0" collapsed="false">
      <c r="A429" s="14"/>
      <c r="B429" s="19"/>
      <c r="C429" s="19"/>
      <c r="D429" s="13"/>
      <c r="E429" s="12"/>
      <c r="F429" s="15" t="str">
        <f aca="false">IF(D429="","",IF(C429="Çekme",-D429,D429))</f>
        <v/>
      </c>
    </row>
    <row r="430" customFormat="false" ht="15" hidden="false" customHeight="false" outlineLevel="0" collapsed="false">
      <c r="A430" s="14"/>
      <c r="B430" s="19"/>
      <c r="C430" s="19"/>
      <c r="D430" s="13"/>
      <c r="E430" s="12"/>
      <c r="F430" s="15" t="str">
        <f aca="false">IF(D430="","",IF(C430="Çekme",-D430,D430))</f>
        <v/>
      </c>
    </row>
    <row r="431" customFormat="false" ht="15" hidden="false" customHeight="false" outlineLevel="0" collapsed="false">
      <c r="A431" s="14"/>
      <c r="B431" s="19"/>
      <c r="C431" s="19"/>
      <c r="D431" s="13"/>
      <c r="E431" s="12"/>
      <c r="F431" s="15" t="str">
        <f aca="false">IF(D431="","",IF(C431="Çekme",-D431,D431))</f>
        <v/>
      </c>
    </row>
    <row r="432" customFormat="false" ht="15" hidden="false" customHeight="false" outlineLevel="0" collapsed="false">
      <c r="A432" s="14"/>
      <c r="B432" s="19"/>
      <c r="C432" s="19"/>
      <c r="D432" s="13"/>
      <c r="E432" s="12"/>
      <c r="F432" s="15" t="str">
        <f aca="false">IF(D432="","",IF(C432="Çekme",-D432,D432))</f>
        <v/>
      </c>
    </row>
    <row r="433" customFormat="false" ht="15" hidden="false" customHeight="false" outlineLevel="0" collapsed="false">
      <c r="A433" s="14"/>
      <c r="B433" s="19"/>
      <c r="C433" s="19"/>
      <c r="D433" s="13"/>
      <c r="E433" s="12"/>
      <c r="F433" s="15" t="str">
        <f aca="false">IF(D433="","",IF(C433="Çekme",-D433,D433))</f>
        <v/>
      </c>
    </row>
    <row r="434" customFormat="false" ht="15" hidden="false" customHeight="false" outlineLevel="0" collapsed="false">
      <c r="A434" s="14"/>
      <c r="B434" s="19"/>
      <c r="C434" s="19"/>
      <c r="D434" s="13"/>
      <c r="E434" s="12"/>
      <c r="F434" s="15" t="str">
        <f aca="false">IF(D434="","",IF(C434="Çekme",-D434,D434))</f>
        <v/>
      </c>
    </row>
    <row r="435" customFormat="false" ht="15" hidden="false" customHeight="false" outlineLevel="0" collapsed="false">
      <c r="A435" s="14"/>
      <c r="B435" s="19"/>
      <c r="C435" s="19"/>
      <c r="D435" s="13"/>
      <c r="E435" s="12"/>
      <c r="F435" s="15" t="str">
        <f aca="false">IF(D435="","",IF(C435="Çekme",-D435,D435))</f>
        <v/>
      </c>
    </row>
    <row r="436" customFormat="false" ht="15" hidden="false" customHeight="false" outlineLevel="0" collapsed="false">
      <c r="A436" s="14"/>
      <c r="B436" s="19"/>
      <c r="C436" s="19"/>
      <c r="D436" s="13"/>
      <c r="E436" s="12"/>
      <c r="F436" s="15" t="str">
        <f aca="false">IF(D436="","",IF(C436="Çekme",-D436,D436))</f>
        <v/>
      </c>
    </row>
    <row r="437" customFormat="false" ht="15" hidden="false" customHeight="false" outlineLevel="0" collapsed="false">
      <c r="A437" s="14"/>
      <c r="B437" s="19"/>
      <c r="C437" s="19"/>
      <c r="D437" s="13"/>
      <c r="E437" s="12"/>
      <c r="F437" s="15" t="str">
        <f aca="false">IF(D437="","",IF(C437="Çekme",-D437,D437))</f>
        <v/>
      </c>
    </row>
    <row r="438" customFormat="false" ht="15" hidden="false" customHeight="false" outlineLevel="0" collapsed="false">
      <c r="A438" s="14"/>
      <c r="B438" s="19"/>
      <c r="C438" s="19"/>
      <c r="D438" s="13"/>
      <c r="E438" s="12"/>
      <c r="F438" s="15" t="str">
        <f aca="false">IF(D438="","",IF(C438="Çekme",-D438,D438))</f>
        <v/>
      </c>
    </row>
    <row r="439" customFormat="false" ht="15" hidden="false" customHeight="false" outlineLevel="0" collapsed="false">
      <c r="A439" s="14"/>
      <c r="B439" s="19"/>
      <c r="C439" s="19"/>
      <c r="D439" s="13"/>
      <c r="E439" s="12"/>
      <c r="F439" s="15" t="str">
        <f aca="false">IF(D439="","",IF(C439="Çekme",-D439,D439))</f>
        <v/>
      </c>
    </row>
    <row r="440" customFormat="false" ht="15" hidden="false" customHeight="false" outlineLevel="0" collapsed="false">
      <c r="A440" s="14"/>
      <c r="B440" s="19"/>
      <c r="C440" s="19"/>
      <c r="D440" s="13"/>
      <c r="E440" s="12"/>
      <c r="F440" s="15" t="str">
        <f aca="false">IF(D440="","",IF(C440="Çekme",-D440,D440))</f>
        <v/>
      </c>
    </row>
    <row r="441" customFormat="false" ht="15" hidden="false" customHeight="false" outlineLevel="0" collapsed="false">
      <c r="A441" s="14"/>
      <c r="B441" s="19"/>
      <c r="C441" s="19"/>
      <c r="D441" s="13"/>
      <c r="E441" s="12"/>
      <c r="F441" s="15" t="str">
        <f aca="false">IF(D441="","",IF(C441="Çekme",-D441,D441))</f>
        <v/>
      </c>
    </row>
    <row r="442" customFormat="false" ht="15" hidden="false" customHeight="false" outlineLevel="0" collapsed="false">
      <c r="A442" s="14"/>
      <c r="B442" s="19"/>
      <c r="C442" s="19"/>
      <c r="D442" s="13"/>
      <c r="E442" s="12"/>
      <c r="F442" s="15" t="str">
        <f aca="false">IF(D442="","",IF(C442="Çekme",-D442,D442))</f>
        <v/>
      </c>
    </row>
    <row r="443" customFormat="false" ht="15" hidden="false" customHeight="false" outlineLevel="0" collapsed="false">
      <c r="A443" s="14"/>
      <c r="B443" s="19"/>
      <c r="C443" s="19"/>
      <c r="D443" s="13"/>
      <c r="E443" s="12"/>
      <c r="F443" s="15" t="str">
        <f aca="false">IF(D443="","",IF(C443="Çekme",-D443,D443))</f>
        <v/>
      </c>
    </row>
    <row r="444" customFormat="false" ht="15" hidden="false" customHeight="false" outlineLevel="0" collapsed="false">
      <c r="A444" s="14"/>
      <c r="B444" s="19"/>
      <c r="C444" s="19"/>
      <c r="D444" s="13"/>
      <c r="E444" s="12"/>
      <c r="F444" s="15" t="str">
        <f aca="false">IF(D444="","",IF(C444="Çekme",-D444,D444))</f>
        <v/>
      </c>
    </row>
    <row r="445" customFormat="false" ht="15" hidden="false" customHeight="false" outlineLevel="0" collapsed="false">
      <c r="A445" s="14"/>
      <c r="B445" s="19"/>
      <c r="C445" s="19"/>
      <c r="D445" s="13"/>
      <c r="E445" s="12"/>
      <c r="F445" s="15" t="str">
        <f aca="false">IF(D445="","",IF(C445="Çekme",-D445,D445))</f>
        <v/>
      </c>
    </row>
    <row r="446" customFormat="false" ht="15" hidden="false" customHeight="false" outlineLevel="0" collapsed="false">
      <c r="A446" s="14"/>
      <c r="B446" s="19"/>
      <c r="C446" s="19"/>
      <c r="D446" s="13"/>
      <c r="E446" s="12"/>
      <c r="F446" s="15" t="str">
        <f aca="false">IF(D446="","",IF(C446="Çekme",-D446,D446))</f>
        <v/>
      </c>
    </row>
    <row r="447" customFormat="false" ht="15" hidden="false" customHeight="false" outlineLevel="0" collapsed="false">
      <c r="A447" s="14"/>
      <c r="B447" s="19"/>
      <c r="C447" s="19"/>
      <c r="D447" s="13"/>
      <c r="E447" s="12"/>
      <c r="F447" s="15" t="str">
        <f aca="false">IF(D447="","",IF(C447="Çekme",-D447,D447))</f>
        <v/>
      </c>
    </row>
    <row r="448" customFormat="false" ht="15" hidden="false" customHeight="false" outlineLevel="0" collapsed="false">
      <c r="A448" s="14"/>
      <c r="B448" s="19"/>
      <c r="C448" s="19"/>
      <c r="D448" s="13"/>
      <c r="E448" s="12"/>
      <c r="F448" s="15" t="str">
        <f aca="false">IF(D448="","",IF(C448="Çekme",-D448,D448))</f>
        <v/>
      </c>
    </row>
    <row r="449" customFormat="false" ht="15" hidden="false" customHeight="false" outlineLevel="0" collapsed="false">
      <c r="A449" s="14"/>
      <c r="B449" s="19"/>
      <c r="C449" s="19"/>
      <c r="D449" s="13"/>
      <c r="E449" s="12"/>
      <c r="F449" s="15" t="str">
        <f aca="false">IF(D449="","",IF(C449="Çekme",-D449,D449))</f>
        <v/>
      </c>
    </row>
    <row r="450" customFormat="false" ht="15" hidden="false" customHeight="false" outlineLevel="0" collapsed="false">
      <c r="A450" s="14"/>
      <c r="B450" s="19"/>
      <c r="C450" s="19"/>
      <c r="D450" s="13"/>
      <c r="E450" s="12"/>
      <c r="F450" s="15" t="str">
        <f aca="false">IF(D450="","",IF(C450="Çekme",-D450,D450))</f>
        <v/>
      </c>
    </row>
    <row r="451" customFormat="false" ht="15" hidden="false" customHeight="false" outlineLevel="0" collapsed="false">
      <c r="A451" s="14"/>
      <c r="B451" s="19"/>
      <c r="C451" s="19"/>
      <c r="D451" s="13"/>
      <c r="E451" s="12"/>
      <c r="F451" s="15" t="str">
        <f aca="false">IF(D451="","",IF(C451="Çekme",-D451,D451))</f>
        <v/>
      </c>
    </row>
    <row r="452" customFormat="false" ht="15" hidden="false" customHeight="false" outlineLevel="0" collapsed="false">
      <c r="A452" s="14"/>
      <c r="B452" s="19"/>
      <c r="C452" s="19"/>
      <c r="D452" s="13"/>
      <c r="E452" s="12"/>
      <c r="F452" s="15" t="str">
        <f aca="false">IF(D452="","",IF(C452="Çekme",-D452,D452))</f>
        <v/>
      </c>
    </row>
    <row r="453" customFormat="false" ht="15" hidden="false" customHeight="false" outlineLevel="0" collapsed="false">
      <c r="A453" s="14"/>
      <c r="B453" s="19"/>
      <c r="C453" s="19"/>
      <c r="D453" s="13"/>
      <c r="E453" s="12"/>
      <c r="F453" s="15" t="str">
        <f aca="false">IF(D453="","",IF(C453="Çekme",-D453,D453))</f>
        <v/>
      </c>
    </row>
    <row r="454" customFormat="false" ht="15" hidden="false" customHeight="false" outlineLevel="0" collapsed="false">
      <c r="A454" s="14"/>
      <c r="B454" s="19"/>
      <c r="C454" s="19"/>
      <c r="D454" s="13"/>
      <c r="E454" s="12"/>
      <c r="F454" s="15" t="str">
        <f aca="false">IF(D454="","",IF(C454="Çekme",-D454,D454))</f>
        <v/>
      </c>
    </row>
    <row r="455" customFormat="false" ht="15" hidden="false" customHeight="false" outlineLevel="0" collapsed="false">
      <c r="A455" s="14"/>
      <c r="B455" s="19"/>
      <c r="C455" s="19"/>
      <c r="D455" s="13"/>
      <c r="E455" s="12"/>
      <c r="F455" s="15" t="str">
        <f aca="false">IF(D455="","",IF(C455="Çekme",-D455,D455))</f>
        <v/>
      </c>
    </row>
    <row r="456" customFormat="false" ht="15" hidden="false" customHeight="false" outlineLevel="0" collapsed="false">
      <c r="A456" s="14"/>
      <c r="B456" s="19"/>
      <c r="C456" s="19"/>
      <c r="D456" s="13"/>
      <c r="E456" s="12"/>
      <c r="F456" s="15" t="str">
        <f aca="false">IF(D456="","",IF(C456="Çekme",-D456,D456))</f>
        <v/>
      </c>
    </row>
    <row r="457" customFormat="false" ht="15" hidden="false" customHeight="false" outlineLevel="0" collapsed="false">
      <c r="A457" s="14"/>
      <c r="B457" s="19"/>
      <c r="C457" s="19"/>
      <c r="D457" s="13"/>
      <c r="E457" s="12"/>
      <c r="F457" s="15" t="str">
        <f aca="false">IF(D457="","",IF(C457="Çekme",-D457,D457))</f>
        <v/>
      </c>
    </row>
    <row r="458" customFormat="false" ht="15" hidden="false" customHeight="false" outlineLevel="0" collapsed="false">
      <c r="A458" s="14"/>
      <c r="B458" s="19"/>
      <c r="C458" s="19"/>
      <c r="D458" s="13"/>
      <c r="E458" s="12"/>
      <c r="F458" s="15" t="str">
        <f aca="false">IF(D458="","",IF(C458="Çekme",-D458,D458))</f>
        <v/>
      </c>
    </row>
    <row r="459" customFormat="false" ht="15" hidden="false" customHeight="false" outlineLevel="0" collapsed="false">
      <c r="A459" s="14"/>
      <c r="B459" s="19"/>
      <c r="C459" s="19"/>
      <c r="D459" s="13"/>
      <c r="E459" s="12"/>
      <c r="F459" s="15" t="str">
        <f aca="false">IF(D459="","",IF(C459="Çekme",-D459,D459))</f>
        <v/>
      </c>
    </row>
    <row r="460" customFormat="false" ht="15" hidden="false" customHeight="false" outlineLevel="0" collapsed="false">
      <c r="A460" s="14"/>
      <c r="B460" s="19"/>
      <c r="C460" s="19"/>
      <c r="D460" s="13"/>
      <c r="E460" s="12"/>
      <c r="F460" s="15" t="str">
        <f aca="false">IF(D460="","",IF(C460="Çekme",-D460,D460))</f>
        <v/>
      </c>
    </row>
    <row r="461" customFormat="false" ht="15" hidden="false" customHeight="false" outlineLevel="0" collapsed="false">
      <c r="A461" s="14"/>
      <c r="B461" s="19"/>
      <c r="C461" s="19"/>
      <c r="D461" s="13"/>
      <c r="E461" s="12"/>
      <c r="F461" s="15" t="str">
        <f aca="false">IF(D461="","",IF(C461="Çekme",-D461,D461))</f>
        <v/>
      </c>
    </row>
    <row r="462" customFormat="false" ht="15" hidden="false" customHeight="false" outlineLevel="0" collapsed="false">
      <c r="A462" s="14"/>
      <c r="B462" s="19"/>
      <c r="C462" s="19"/>
      <c r="D462" s="13"/>
      <c r="E462" s="12"/>
      <c r="F462" s="15" t="str">
        <f aca="false">IF(D462="","",IF(C462="Çekme",-D462,D462))</f>
        <v/>
      </c>
    </row>
    <row r="463" customFormat="false" ht="15" hidden="false" customHeight="false" outlineLevel="0" collapsed="false">
      <c r="A463" s="14"/>
      <c r="B463" s="19"/>
      <c r="C463" s="19"/>
      <c r="D463" s="13"/>
      <c r="E463" s="12"/>
      <c r="F463" s="15" t="str">
        <f aca="false">IF(D463="","",IF(C463="Çekme",-D463,D463))</f>
        <v/>
      </c>
    </row>
    <row r="464" customFormat="false" ht="15" hidden="false" customHeight="false" outlineLevel="0" collapsed="false">
      <c r="A464" s="14"/>
      <c r="B464" s="19"/>
      <c r="C464" s="19"/>
      <c r="D464" s="13"/>
      <c r="E464" s="12"/>
      <c r="F464" s="15" t="str">
        <f aca="false">IF(D464="","",IF(C464="Çekme",-D464,D464))</f>
        <v/>
      </c>
    </row>
    <row r="465" customFormat="false" ht="15" hidden="false" customHeight="false" outlineLevel="0" collapsed="false">
      <c r="A465" s="14"/>
      <c r="B465" s="19"/>
      <c r="C465" s="19"/>
      <c r="D465" s="13"/>
      <c r="E465" s="12"/>
      <c r="F465" s="15" t="str">
        <f aca="false">IF(D465="","",IF(C465="Çekme",-D465,D465))</f>
        <v/>
      </c>
    </row>
    <row r="466" customFormat="false" ht="15" hidden="false" customHeight="false" outlineLevel="0" collapsed="false">
      <c r="A466" s="14"/>
      <c r="B466" s="19"/>
      <c r="C466" s="19"/>
      <c r="D466" s="13"/>
      <c r="E466" s="12"/>
      <c r="F466" s="15" t="str">
        <f aca="false">IF(D466="","",IF(C466="Çekme",-D466,D466))</f>
        <v/>
      </c>
    </row>
    <row r="467" customFormat="false" ht="15" hidden="false" customHeight="false" outlineLevel="0" collapsed="false">
      <c r="A467" s="14"/>
      <c r="B467" s="19"/>
      <c r="C467" s="19"/>
      <c r="D467" s="13"/>
      <c r="E467" s="12"/>
      <c r="F467" s="15" t="str">
        <f aca="false">IF(D467="","",IF(C467="Çekme",-D467,D467))</f>
        <v/>
      </c>
    </row>
    <row r="468" customFormat="false" ht="15" hidden="false" customHeight="false" outlineLevel="0" collapsed="false">
      <c r="A468" s="14"/>
      <c r="B468" s="19"/>
      <c r="C468" s="19"/>
      <c r="D468" s="13"/>
      <c r="E468" s="12"/>
      <c r="F468" s="15" t="str">
        <f aca="false">IF(D468="","",IF(C468="Çekme",-D468,D468))</f>
        <v/>
      </c>
    </row>
    <row r="469" customFormat="false" ht="15" hidden="false" customHeight="false" outlineLevel="0" collapsed="false">
      <c r="A469" s="14"/>
      <c r="B469" s="19"/>
      <c r="C469" s="19"/>
      <c r="D469" s="13"/>
      <c r="E469" s="12"/>
      <c r="F469" s="15" t="str">
        <f aca="false">IF(D469="","",IF(C469="Çekme",-D469,D469))</f>
        <v/>
      </c>
    </row>
    <row r="470" customFormat="false" ht="15" hidden="false" customHeight="false" outlineLevel="0" collapsed="false">
      <c r="A470" s="14"/>
      <c r="B470" s="19"/>
      <c r="C470" s="19"/>
      <c r="D470" s="13"/>
      <c r="E470" s="12"/>
      <c r="F470" s="15" t="str">
        <f aca="false">IF(D470="","",IF(C470="Çekme",-D470,D470))</f>
        <v/>
      </c>
    </row>
    <row r="471" customFormat="false" ht="15" hidden="false" customHeight="false" outlineLevel="0" collapsed="false">
      <c r="A471" s="14"/>
      <c r="B471" s="19"/>
      <c r="C471" s="19"/>
      <c r="D471" s="13"/>
      <c r="E471" s="12"/>
      <c r="F471" s="15" t="str">
        <f aca="false">IF(D471="","",IF(C471="Çekme",-D471,D471))</f>
        <v/>
      </c>
    </row>
    <row r="472" customFormat="false" ht="15" hidden="false" customHeight="false" outlineLevel="0" collapsed="false">
      <c r="A472" s="14"/>
      <c r="B472" s="19"/>
      <c r="C472" s="19"/>
      <c r="D472" s="13"/>
      <c r="E472" s="12"/>
      <c r="F472" s="15" t="str">
        <f aca="false">IF(D472="","",IF(C472="Çekme",-D472,D472))</f>
        <v/>
      </c>
    </row>
    <row r="473" customFormat="false" ht="15" hidden="false" customHeight="false" outlineLevel="0" collapsed="false">
      <c r="A473" s="14"/>
      <c r="B473" s="19"/>
      <c r="C473" s="19"/>
      <c r="D473" s="13"/>
      <c r="E473" s="12"/>
      <c r="F473" s="15" t="str">
        <f aca="false">IF(D473="","",IF(C473="Çekme",-D473,D473))</f>
        <v/>
      </c>
    </row>
    <row r="474" customFormat="false" ht="15" hidden="false" customHeight="false" outlineLevel="0" collapsed="false">
      <c r="A474" s="14"/>
      <c r="B474" s="19"/>
      <c r="C474" s="19"/>
      <c r="D474" s="13"/>
      <c r="E474" s="12"/>
      <c r="F474" s="15" t="str">
        <f aca="false">IF(D474="","",IF(C474="Çekme",-D474,D474))</f>
        <v/>
      </c>
    </row>
    <row r="475" customFormat="false" ht="15" hidden="false" customHeight="false" outlineLevel="0" collapsed="false">
      <c r="A475" s="14"/>
      <c r="B475" s="19"/>
      <c r="C475" s="19"/>
      <c r="D475" s="13"/>
      <c r="E475" s="12"/>
      <c r="F475" s="15" t="str">
        <f aca="false">IF(D475="","",IF(C475="Çekme",-D475,D475))</f>
        <v/>
      </c>
    </row>
    <row r="476" customFormat="false" ht="15" hidden="false" customHeight="false" outlineLevel="0" collapsed="false">
      <c r="A476" s="14"/>
      <c r="B476" s="19"/>
      <c r="C476" s="19"/>
      <c r="D476" s="13"/>
      <c r="E476" s="12"/>
      <c r="F476" s="15" t="str">
        <f aca="false">IF(D476="","",IF(C476="Çekme",-D476,D476))</f>
        <v/>
      </c>
    </row>
    <row r="477" customFormat="false" ht="15" hidden="false" customHeight="false" outlineLevel="0" collapsed="false">
      <c r="A477" s="14"/>
      <c r="B477" s="19"/>
      <c r="C477" s="19"/>
      <c r="D477" s="13"/>
      <c r="E477" s="12"/>
      <c r="F477" s="15" t="str">
        <f aca="false">IF(D477="","",IF(C477="Çekme",-D477,D477))</f>
        <v/>
      </c>
    </row>
    <row r="478" customFormat="false" ht="15" hidden="false" customHeight="false" outlineLevel="0" collapsed="false">
      <c r="A478" s="14"/>
      <c r="B478" s="19"/>
      <c r="C478" s="19"/>
      <c r="D478" s="13"/>
      <c r="E478" s="12"/>
      <c r="F478" s="15" t="str">
        <f aca="false">IF(D478="","",IF(C478="Çekme",-D478,D478))</f>
        <v/>
      </c>
    </row>
    <row r="479" customFormat="false" ht="15" hidden="false" customHeight="false" outlineLevel="0" collapsed="false">
      <c r="A479" s="14"/>
      <c r="B479" s="19"/>
      <c r="C479" s="19"/>
      <c r="D479" s="13"/>
      <c r="E479" s="12"/>
      <c r="F479" s="15" t="str">
        <f aca="false">IF(D479="","",IF(C479="Çekme",-D479,D479))</f>
        <v/>
      </c>
    </row>
    <row r="480" customFormat="false" ht="15" hidden="false" customHeight="false" outlineLevel="0" collapsed="false">
      <c r="A480" s="14"/>
      <c r="B480" s="19"/>
      <c r="C480" s="19"/>
      <c r="D480" s="13"/>
      <c r="E480" s="12"/>
      <c r="F480" s="15" t="str">
        <f aca="false">IF(D480="","",IF(C480="Çekme",-D480,D480))</f>
        <v/>
      </c>
    </row>
    <row r="481" customFormat="false" ht="15" hidden="false" customHeight="false" outlineLevel="0" collapsed="false">
      <c r="A481" s="14"/>
      <c r="B481" s="19"/>
      <c r="C481" s="19"/>
      <c r="D481" s="13"/>
      <c r="E481" s="12"/>
      <c r="F481" s="15" t="str">
        <f aca="false">IF(D481="","",IF(C481="Çekme",-D481,D481))</f>
        <v/>
      </c>
    </row>
    <row r="482" customFormat="false" ht="15" hidden="false" customHeight="false" outlineLevel="0" collapsed="false">
      <c r="A482" s="14"/>
      <c r="B482" s="19"/>
      <c r="C482" s="19"/>
      <c r="D482" s="13"/>
      <c r="E482" s="12"/>
      <c r="F482" s="15" t="str">
        <f aca="false">IF(D482="","",IF(C482="Çekme",-D482,D482))</f>
        <v/>
      </c>
    </row>
    <row r="483" customFormat="false" ht="15" hidden="false" customHeight="false" outlineLevel="0" collapsed="false">
      <c r="A483" s="14"/>
      <c r="B483" s="19"/>
      <c r="C483" s="19"/>
      <c r="D483" s="13"/>
      <c r="E483" s="12"/>
      <c r="F483" s="15" t="str">
        <f aca="false">IF(D483="","",IF(C483="Çekme",-D483,D483))</f>
        <v/>
      </c>
    </row>
    <row r="484" customFormat="false" ht="15" hidden="false" customHeight="false" outlineLevel="0" collapsed="false">
      <c r="A484" s="14"/>
      <c r="B484" s="19"/>
      <c r="C484" s="19"/>
      <c r="D484" s="13"/>
      <c r="E484" s="12"/>
      <c r="F484" s="15" t="str">
        <f aca="false">IF(D484="","",IF(C484="Çekme",-D484,D484))</f>
        <v/>
      </c>
    </row>
    <row r="485" customFormat="false" ht="15" hidden="false" customHeight="false" outlineLevel="0" collapsed="false">
      <c r="A485" s="14"/>
      <c r="B485" s="19"/>
      <c r="C485" s="19"/>
      <c r="D485" s="13"/>
      <c r="E485" s="12"/>
      <c r="F485" s="15" t="str">
        <f aca="false">IF(D485="","",IF(C485="Çekme",-D485,D485))</f>
        <v/>
      </c>
    </row>
    <row r="486" customFormat="false" ht="15" hidden="false" customHeight="false" outlineLevel="0" collapsed="false">
      <c r="A486" s="14"/>
      <c r="B486" s="19"/>
      <c r="C486" s="19"/>
      <c r="D486" s="13"/>
      <c r="E486" s="12"/>
      <c r="F486" s="15" t="str">
        <f aca="false">IF(D486="","",IF(C486="Çekme",-D486,D486))</f>
        <v/>
      </c>
    </row>
    <row r="487" customFormat="false" ht="15" hidden="false" customHeight="false" outlineLevel="0" collapsed="false">
      <c r="A487" s="14"/>
      <c r="B487" s="19"/>
      <c r="C487" s="19"/>
      <c r="D487" s="13"/>
      <c r="E487" s="12"/>
      <c r="F487" s="15" t="str">
        <f aca="false">IF(D487="","",IF(C487="Çekme",-D487,D487))</f>
        <v/>
      </c>
    </row>
    <row r="488" customFormat="false" ht="15" hidden="false" customHeight="false" outlineLevel="0" collapsed="false">
      <c r="A488" s="14"/>
      <c r="B488" s="19"/>
      <c r="C488" s="19"/>
      <c r="D488" s="13"/>
      <c r="E488" s="12"/>
      <c r="F488" s="15" t="str">
        <f aca="false">IF(D488="","",IF(C488="Çekme",-D488,D488))</f>
        <v/>
      </c>
    </row>
    <row r="489" customFormat="false" ht="15" hidden="false" customHeight="false" outlineLevel="0" collapsed="false">
      <c r="A489" s="14"/>
      <c r="B489" s="19"/>
      <c r="C489" s="19"/>
      <c r="D489" s="13"/>
      <c r="E489" s="12"/>
      <c r="F489" s="15" t="str">
        <f aca="false">IF(D489="","",IF(C489="Çekme",-D489,D489))</f>
        <v/>
      </c>
    </row>
    <row r="490" customFormat="false" ht="15" hidden="false" customHeight="false" outlineLevel="0" collapsed="false">
      <c r="A490" s="14"/>
      <c r="B490" s="19"/>
      <c r="C490" s="19"/>
      <c r="D490" s="13"/>
      <c r="E490" s="12"/>
      <c r="F490" s="15" t="str">
        <f aca="false">IF(D490="","",IF(C490="Çekme",-D490,D490))</f>
        <v/>
      </c>
    </row>
    <row r="491" customFormat="false" ht="15" hidden="false" customHeight="false" outlineLevel="0" collapsed="false">
      <c r="A491" s="14"/>
      <c r="B491" s="19"/>
      <c r="C491" s="19"/>
      <c r="D491" s="13"/>
      <c r="E491" s="12"/>
      <c r="F491" s="15" t="str">
        <f aca="false">IF(D491="","",IF(C491="Çekme",-D491,D491))</f>
        <v/>
      </c>
    </row>
    <row r="492" customFormat="false" ht="15" hidden="false" customHeight="false" outlineLevel="0" collapsed="false">
      <c r="A492" s="14"/>
      <c r="B492" s="19"/>
      <c r="C492" s="19"/>
      <c r="D492" s="13"/>
      <c r="E492" s="12"/>
      <c r="F492" s="15" t="str">
        <f aca="false">IF(D492="","",IF(C492="Çekme",-D492,D492))</f>
        <v/>
      </c>
    </row>
    <row r="493" customFormat="false" ht="15" hidden="false" customHeight="false" outlineLevel="0" collapsed="false">
      <c r="A493" s="14"/>
      <c r="B493" s="19"/>
      <c r="C493" s="19"/>
      <c r="D493" s="13"/>
      <c r="E493" s="12"/>
      <c r="F493" s="15" t="str">
        <f aca="false">IF(D493="","",IF(C493="Çekme",-D493,D493))</f>
        <v/>
      </c>
    </row>
    <row r="494" customFormat="false" ht="15" hidden="false" customHeight="false" outlineLevel="0" collapsed="false">
      <c r="A494" s="14"/>
      <c r="B494" s="19"/>
      <c r="C494" s="19"/>
      <c r="D494" s="13"/>
      <c r="E494" s="12"/>
      <c r="F494" s="15" t="str">
        <f aca="false">IF(D494="","",IF(C494="Çekme",-D494,D494))</f>
        <v/>
      </c>
    </row>
    <row r="495" customFormat="false" ht="15" hidden="false" customHeight="false" outlineLevel="0" collapsed="false">
      <c r="A495" s="14"/>
      <c r="B495" s="19"/>
      <c r="C495" s="19"/>
      <c r="D495" s="13"/>
      <c r="E495" s="12"/>
      <c r="F495" s="15" t="str">
        <f aca="false">IF(D495="","",IF(C495="Çekme",-D495,D495))</f>
        <v/>
      </c>
    </row>
    <row r="496" customFormat="false" ht="15" hidden="false" customHeight="false" outlineLevel="0" collapsed="false">
      <c r="A496" s="14"/>
      <c r="B496" s="19"/>
      <c r="C496" s="19"/>
      <c r="D496" s="13"/>
      <c r="E496" s="12"/>
      <c r="F496" s="15" t="str">
        <f aca="false">IF(D496="","",IF(C496="Çekme",-D496,D496))</f>
        <v/>
      </c>
    </row>
    <row r="497" customFormat="false" ht="15" hidden="false" customHeight="false" outlineLevel="0" collapsed="false">
      <c r="A497" s="14"/>
      <c r="B497" s="19"/>
      <c r="C497" s="19"/>
      <c r="D497" s="13"/>
      <c r="E497" s="12"/>
      <c r="F497" s="15" t="str">
        <f aca="false">IF(D497="","",IF(C497="Çekme",-D497,D497))</f>
        <v/>
      </c>
    </row>
    <row r="498" customFormat="false" ht="15" hidden="false" customHeight="false" outlineLevel="0" collapsed="false">
      <c r="A498" s="14"/>
      <c r="B498" s="19"/>
      <c r="C498" s="19"/>
      <c r="D498" s="13"/>
      <c r="E498" s="12"/>
      <c r="F498" s="15" t="str">
        <f aca="false">IF(D498="","",IF(C498="Çekme",-D498,D498))</f>
        <v/>
      </c>
    </row>
    <row r="499" customFormat="false" ht="15" hidden="false" customHeight="false" outlineLevel="0" collapsed="false">
      <c r="A499" s="14"/>
      <c r="B499" s="19"/>
      <c r="C499" s="19"/>
      <c r="D499" s="13"/>
      <c r="E499" s="12"/>
      <c r="F499" s="15" t="str">
        <f aca="false">IF(D499="","",IF(C499="Çekme",-D499,D499))</f>
        <v/>
      </c>
    </row>
    <row r="500" customFormat="false" ht="15" hidden="false" customHeight="false" outlineLevel="0" collapsed="false">
      <c r="A500" s="14"/>
      <c r="B500" s="19"/>
      <c r="C500" s="19"/>
      <c r="D500" s="13"/>
      <c r="E500" s="12"/>
      <c r="F500" s="15" t="str">
        <f aca="false">IF(D500="","",IF(C500="Çekme",-D500,D500))</f>
        <v/>
      </c>
    </row>
    <row r="501" customFormat="false" ht="15" hidden="false" customHeight="false" outlineLevel="0" collapsed="false">
      <c r="A501" s="14"/>
      <c r="B501" s="19"/>
      <c r="C501" s="19"/>
      <c r="D501" s="13"/>
      <c r="E501" s="12"/>
      <c r="F501" s="15" t="str">
        <f aca="false">IF(D501="","",IF(C501="Çekme",-D501,D501))</f>
        <v/>
      </c>
    </row>
    <row r="502" customFormat="false" ht="15" hidden="false" customHeight="false" outlineLevel="0" collapsed="false">
      <c r="A502" s="14"/>
      <c r="B502" s="19"/>
      <c r="C502" s="19"/>
      <c r="D502" s="13"/>
      <c r="E502" s="12"/>
      <c r="F502" s="15" t="str">
        <f aca="false">IF(D502="","",IF(C502="Çekme",-D502,D502))</f>
        <v/>
      </c>
    </row>
    <row r="503" customFormat="false" ht="15" hidden="false" customHeight="false" outlineLevel="0" collapsed="false">
      <c r="A503" s="14"/>
      <c r="B503" s="19"/>
      <c r="C503" s="19"/>
      <c r="D503" s="13"/>
      <c r="E503" s="12"/>
      <c r="F503" s="15" t="str">
        <f aca="false">IF(D503="","",IF(C503="Çekme",-D503,D503))</f>
        <v/>
      </c>
    </row>
    <row r="504" customFormat="false" ht="15" hidden="false" customHeight="false" outlineLevel="0" collapsed="false">
      <c r="A504" s="14"/>
      <c r="B504" s="19"/>
      <c r="C504" s="19"/>
      <c r="D504" s="13"/>
      <c r="E504" s="12"/>
      <c r="F504" s="15" t="str">
        <f aca="false">IF(D504="","",IF(C504="Çekme",-D504,D504))</f>
        <v/>
      </c>
    </row>
    <row r="505" customFormat="false" ht="15" hidden="false" customHeight="false" outlineLevel="0" collapsed="false">
      <c r="A505" s="14"/>
      <c r="B505" s="19"/>
      <c r="C505" s="19"/>
      <c r="D505" s="13"/>
      <c r="E505" s="12"/>
      <c r="F505" s="15" t="str">
        <f aca="false">IF(D505="","",IF(C505="Çekme",-D505,D505))</f>
        <v/>
      </c>
    </row>
    <row r="506" customFormat="false" ht="15" hidden="false" customHeight="false" outlineLevel="0" collapsed="false">
      <c r="A506" s="14"/>
      <c r="B506" s="19"/>
      <c r="C506" s="19"/>
      <c r="D506" s="13"/>
      <c r="E506" s="12"/>
      <c r="F506" s="15" t="str">
        <f aca="false">IF(D506="","",IF(C506="Çekme",-D506,D506))</f>
        <v/>
      </c>
    </row>
    <row r="507" customFormat="false" ht="15" hidden="false" customHeight="false" outlineLevel="0" collapsed="false">
      <c r="A507" s="14"/>
      <c r="B507" s="19"/>
      <c r="C507" s="19"/>
      <c r="D507" s="13"/>
      <c r="E507" s="12"/>
      <c r="F507" s="15" t="str">
        <f aca="false">IF(D507="","",IF(C507="Çekme",-D507,D507))</f>
        <v/>
      </c>
    </row>
    <row r="508" customFormat="false" ht="15" hidden="false" customHeight="false" outlineLevel="0" collapsed="false">
      <c r="A508" s="14"/>
      <c r="B508" s="19"/>
      <c r="C508" s="19"/>
      <c r="D508" s="13"/>
      <c r="E508" s="12"/>
      <c r="F508" s="15" t="str">
        <f aca="false">IF(D508="","",IF(C508="Çekme",-D508,D508))</f>
        <v/>
      </c>
    </row>
    <row r="509" customFormat="false" ht="15" hidden="false" customHeight="false" outlineLevel="0" collapsed="false">
      <c r="A509" s="14"/>
      <c r="B509" s="19"/>
      <c r="C509" s="19"/>
      <c r="D509" s="13"/>
      <c r="E509" s="12"/>
      <c r="F509" s="15" t="str">
        <f aca="false">IF(D509="","",IF(C509="Çekme",-D509,D509))</f>
        <v/>
      </c>
    </row>
    <row r="510" customFormat="false" ht="15" hidden="false" customHeight="false" outlineLevel="0" collapsed="false">
      <c r="A510" s="14"/>
      <c r="B510" s="19"/>
      <c r="C510" s="19"/>
      <c r="D510" s="13"/>
      <c r="E510" s="12"/>
      <c r="F510" s="15" t="str">
        <f aca="false">IF(D510="","",IF(C510="Çekme",-D510,D510))</f>
        <v/>
      </c>
    </row>
    <row r="511" customFormat="false" ht="15" hidden="false" customHeight="false" outlineLevel="0" collapsed="false">
      <c r="A511" s="14"/>
      <c r="B511" s="19"/>
      <c r="C511" s="19"/>
      <c r="D511" s="13"/>
      <c r="E511" s="12"/>
      <c r="F511" s="15" t="str">
        <f aca="false">IF(D511="","",IF(C511="Çekme",-D511,D511))</f>
        <v/>
      </c>
    </row>
    <row r="512" customFormat="false" ht="15" hidden="false" customHeight="false" outlineLevel="0" collapsed="false">
      <c r="A512" s="14"/>
      <c r="B512" s="19"/>
      <c r="C512" s="19"/>
      <c r="D512" s="13"/>
      <c r="E512" s="12"/>
      <c r="F512" s="15" t="str">
        <f aca="false">IF(D512="","",IF(C512="Çekme",-D512,D512))</f>
        <v/>
      </c>
    </row>
    <row r="513" customFormat="false" ht="15" hidden="false" customHeight="false" outlineLevel="0" collapsed="false">
      <c r="A513" s="14"/>
      <c r="B513" s="19"/>
      <c r="C513" s="19"/>
      <c r="D513" s="13"/>
      <c r="E513" s="12"/>
      <c r="F513" s="15" t="str">
        <f aca="false">IF(D513="","",IF(C513="Çekme",-D513,D513))</f>
        <v/>
      </c>
    </row>
    <row r="514" customFormat="false" ht="15" hidden="false" customHeight="false" outlineLevel="0" collapsed="false">
      <c r="A514" s="14"/>
      <c r="B514" s="19"/>
      <c r="C514" s="19"/>
      <c r="D514" s="13"/>
      <c r="E514" s="12"/>
      <c r="F514" s="15" t="str">
        <f aca="false">IF(D514="","",IF(C514="Çekme",-D514,D514))</f>
        <v/>
      </c>
    </row>
    <row r="515" customFormat="false" ht="15" hidden="false" customHeight="false" outlineLevel="0" collapsed="false">
      <c r="A515" s="14"/>
      <c r="B515" s="19"/>
      <c r="C515" s="19"/>
      <c r="D515" s="13"/>
      <c r="E515" s="12"/>
      <c r="F515" s="15" t="str">
        <f aca="false">IF(D515="","",IF(C515="Çekme",-D515,D515))</f>
        <v/>
      </c>
    </row>
    <row r="516" customFormat="false" ht="15" hidden="false" customHeight="false" outlineLevel="0" collapsed="false">
      <c r="A516" s="14"/>
      <c r="B516" s="19"/>
      <c r="C516" s="19"/>
      <c r="D516" s="13"/>
      <c r="E516" s="12"/>
      <c r="F516" s="15" t="str">
        <f aca="false">IF(D516="","",IF(C516="Çekme",-D516,D516))</f>
        <v/>
      </c>
    </row>
    <row r="517" customFormat="false" ht="15" hidden="false" customHeight="false" outlineLevel="0" collapsed="false">
      <c r="A517" s="14"/>
      <c r="B517" s="19"/>
      <c r="C517" s="19"/>
      <c r="D517" s="13"/>
      <c r="E517" s="12"/>
      <c r="F517" s="15" t="str">
        <f aca="false">IF(D517="","",IF(C517="Çekme",-D517,D517))</f>
        <v/>
      </c>
    </row>
    <row r="518" customFormat="false" ht="15" hidden="false" customHeight="false" outlineLevel="0" collapsed="false">
      <c r="A518" s="14"/>
      <c r="B518" s="19"/>
      <c r="C518" s="19"/>
      <c r="D518" s="13"/>
      <c r="E518" s="12"/>
      <c r="F518" s="15" t="str">
        <f aca="false">IF(D518="","",IF(C518="Çekme",-D518,D518))</f>
        <v/>
      </c>
    </row>
    <row r="519" customFormat="false" ht="15" hidden="false" customHeight="false" outlineLevel="0" collapsed="false">
      <c r="A519" s="14"/>
      <c r="B519" s="19"/>
      <c r="C519" s="19"/>
      <c r="D519" s="13"/>
      <c r="E519" s="12"/>
      <c r="F519" s="15" t="str">
        <f aca="false">IF(D519="","",IF(C519="Çekme",-D519,D519))</f>
        <v/>
      </c>
    </row>
    <row r="520" customFormat="false" ht="15" hidden="false" customHeight="false" outlineLevel="0" collapsed="false">
      <c r="A520" s="14"/>
      <c r="B520" s="19"/>
      <c r="C520" s="19"/>
      <c r="D520" s="13"/>
      <c r="E520" s="12"/>
      <c r="F520" s="15" t="str">
        <f aca="false">IF(D520="","",IF(C520="Çekme",-D520,D520))</f>
        <v/>
      </c>
    </row>
    <row r="521" customFormat="false" ht="15" hidden="false" customHeight="false" outlineLevel="0" collapsed="false">
      <c r="A521" s="14"/>
      <c r="B521" s="19"/>
      <c r="C521" s="19"/>
      <c r="D521" s="13"/>
      <c r="E521" s="12"/>
      <c r="F521" s="15" t="str">
        <f aca="false">IF(D521="","",IF(C521="Çekme",-D521,D521))</f>
        <v/>
      </c>
    </row>
    <row r="522" customFormat="false" ht="15" hidden="false" customHeight="false" outlineLevel="0" collapsed="false">
      <c r="A522" s="14"/>
      <c r="B522" s="19"/>
      <c r="C522" s="19"/>
      <c r="D522" s="13"/>
      <c r="E522" s="12"/>
      <c r="F522" s="15" t="str">
        <f aca="false">IF(D522="","",IF(C522="Çekme",-D522,D522))</f>
        <v/>
      </c>
    </row>
    <row r="523" customFormat="false" ht="15" hidden="false" customHeight="false" outlineLevel="0" collapsed="false">
      <c r="A523" s="14"/>
      <c r="B523" s="19"/>
      <c r="C523" s="19"/>
      <c r="D523" s="13"/>
      <c r="E523" s="12"/>
      <c r="F523" s="15" t="str">
        <f aca="false">IF(D523="","",IF(C523="Çekme",-D523,D523))</f>
        <v/>
      </c>
    </row>
    <row r="524" customFormat="false" ht="15" hidden="false" customHeight="false" outlineLevel="0" collapsed="false">
      <c r="A524" s="14"/>
      <c r="B524" s="19"/>
      <c r="C524" s="19"/>
      <c r="D524" s="13"/>
      <c r="E524" s="12"/>
      <c r="F524" s="15" t="str">
        <f aca="false">IF(D524="","",IF(C524="Çekme",-D524,D524))</f>
        <v/>
      </c>
    </row>
    <row r="525" customFormat="false" ht="15" hidden="false" customHeight="false" outlineLevel="0" collapsed="false">
      <c r="A525" s="14"/>
      <c r="B525" s="19"/>
      <c r="C525" s="19"/>
      <c r="D525" s="13"/>
      <c r="E525" s="12"/>
      <c r="F525" s="15" t="str">
        <f aca="false">IF(D525="","",IF(C525="Çekme",-D525,D525))</f>
        <v/>
      </c>
    </row>
    <row r="526" customFormat="false" ht="15" hidden="false" customHeight="false" outlineLevel="0" collapsed="false">
      <c r="A526" s="14"/>
      <c r="B526" s="19"/>
      <c r="C526" s="19"/>
      <c r="D526" s="13"/>
      <c r="E526" s="12"/>
      <c r="F526" s="15" t="str">
        <f aca="false">IF(D526="","",IF(C526="Çekme",-D526,D526))</f>
        <v/>
      </c>
    </row>
    <row r="527" customFormat="false" ht="15" hidden="false" customHeight="false" outlineLevel="0" collapsed="false">
      <c r="A527" s="14"/>
      <c r="B527" s="19"/>
      <c r="C527" s="19"/>
      <c r="D527" s="13"/>
      <c r="E527" s="12"/>
      <c r="F527" s="15" t="str">
        <f aca="false">IF(D527="","",IF(C527="Çekme",-D527,D527))</f>
        <v/>
      </c>
    </row>
    <row r="528" customFormat="false" ht="15" hidden="false" customHeight="false" outlineLevel="0" collapsed="false">
      <c r="A528" s="14"/>
      <c r="B528" s="19"/>
      <c r="C528" s="19"/>
      <c r="D528" s="13"/>
      <c r="E528" s="12"/>
      <c r="F528" s="15" t="str">
        <f aca="false">IF(D528="","",IF(C528="Çekme",-D528,D528))</f>
        <v/>
      </c>
    </row>
    <row r="529" customFormat="false" ht="15" hidden="false" customHeight="false" outlineLevel="0" collapsed="false">
      <c r="A529" s="14"/>
      <c r="B529" s="19"/>
      <c r="C529" s="19"/>
      <c r="D529" s="13"/>
      <c r="E529" s="12"/>
      <c r="F529" s="15" t="str">
        <f aca="false">IF(D529="","",IF(C529="Çekme",-D529,D529))</f>
        <v/>
      </c>
    </row>
    <row r="530" customFormat="false" ht="15" hidden="false" customHeight="false" outlineLevel="0" collapsed="false">
      <c r="A530" s="14"/>
      <c r="B530" s="19"/>
      <c r="C530" s="19"/>
      <c r="D530" s="13"/>
      <c r="E530" s="12"/>
      <c r="F530" s="15" t="str">
        <f aca="false">IF(D530="","",IF(C530="Çekme",-D530,D530))</f>
        <v/>
      </c>
    </row>
    <row r="531" customFormat="false" ht="15" hidden="false" customHeight="false" outlineLevel="0" collapsed="false">
      <c r="A531" s="14"/>
      <c r="B531" s="19"/>
      <c r="C531" s="19"/>
      <c r="D531" s="13"/>
      <c r="E531" s="12"/>
      <c r="F531" s="15" t="str">
        <f aca="false">IF(D531="","",IF(C531="Çekme",-D531,D531))</f>
        <v/>
      </c>
    </row>
    <row r="532" customFormat="false" ht="15" hidden="false" customHeight="false" outlineLevel="0" collapsed="false">
      <c r="A532" s="14"/>
      <c r="B532" s="19"/>
      <c r="C532" s="19"/>
      <c r="D532" s="13"/>
      <c r="E532" s="12"/>
      <c r="F532" s="15" t="str">
        <f aca="false">IF(D532="","",IF(C532="Çekme",-D532,D532))</f>
        <v/>
      </c>
    </row>
    <row r="533" customFormat="false" ht="15" hidden="false" customHeight="false" outlineLevel="0" collapsed="false">
      <c r="A533" s="14"/>
      <c r="B533" s="19"/>
      <c r="C533" s="19"/>
      <c r="D533" s="13"/>
      <c r="E533" s="12"/>
      <c r="F533" s="15" t="str">
        <f aca="false">IF(D533="","",IF(C533="Çekme",-D533,D533))</f>
        <v/>
      </c>
    </row>
    <row r="534" customFormat="false" ht="15" hidden="false" customHeight="false" outlineLevel="0" collapsed="false">
      <c r="A534" s="14"/>
      <c r="B534" s="19"/>
      <c r="C534" s="19"/>
      <c r="D534" s="13"/>
      <c r="E534" s="12"/>
      <c r="F534" s="15" t="str">
        <f aca="false">IF(D534="","",IF(C534="Çekme",-D534,D534))</f>
        <v/>
      </c>
    </row>
    <row r="535" customFormat="false" ht="15" hidden="false" customHeight="false" outlineLevel="0" collapsed="false">
      <c r="A535" s="14"/>
      <c r="B535" s="19"/>
      <c r="C535" s="19"/>
      <c r="D535" s="13"/>
      <c r="E535" s="12"/>
      <c r="F535" s="15" t="str">
        <f aca="false">IF(D535="","",IF(C535="Çekme",-D535,D535))</f>
        <v/>
      </c>
    </row>
    <row r="536" customFormat="false" ht="15" hidden="false" customHeight="false" outlineLevel="0" collapsed="false">
      <c r="A536" s="14"/>
      <c r="B536" s="19"/>
      <c r="C536" s="19"/>
      <c r="D536" s="13"/>
      <c r="E536" s="12"/>
      <c r="F536" s="15" t="str">
        <f aca="false">IF(D536="","",IF(C536="Çekme",-D536,D536))</f>
        <v/>
      </c>
    </row>
    <row r="537" customFormat="false" ht="15" hidden="false" customHeight="false" outlineLevel="0" collapsed="false">
      <c r="A537" s="14"/>
      <c r="B537" s="19"/>
      <c r="C537" s="19"/>
      <c r="D537" s="13"/>
      <c r="E537" s="12"/>
      <c r="F537" s="15" t="str">
        <f aca="false">IF(D537="","",IF(C537="Çekme",-D537,D537))</f>
        <v/>
      </c>
    </row>
    <row r="538" customFormat="false" ht="15" hidden="false" customHeight="false" outlineLevel="0" collapsed="false">
      <c r="A538" s="14"/>
      <c r="B538" s="19"/>
      <c r="C538" s="19"/>
      <c r="D538" s="13"/>
      <c r="E538" s="12"/>
      <c r="F538" s="15" t="str">
        <f aca="false">IF(D538="","",IF(C538="Çekme",-D538,D538))</f>
        <v/>
      </c>
    </row>
    <row r="539" customFormat="false" ht="15" hidden="false" customHeight="false" outlineLevel="0" collapsed="false">
      <c r="A539" s="14"/>
      <c r="B539" s="19"/>
      <c r="C539" s="19"/>
      <c r="D539" s="13"/>
      <c r="E539" s="12"/>
      <c r="F539" s="15" t="str">
        <f aca="false">IF(D539="","",IF(C539="Çekme",-D539,D539))</f>
        <v/>
      </c>
    </row>
    <row r="540" customFormat="false" ht="15" hidden="false" customHeight="false" outlineLevel="0" collapsed="false">
      <c r="A540" s="14"/>
      <c r="B540" s="19"/>
      <c r="C540" s="19"/>
      <c r="D540" s="13"/>
      <c r="E540" s="12"/>
      <c r="F540" s="15" t="str">
        <f aca="false">IF(D540="","",IF(C540="Çekme",-D540,D540))</f>
        <v/>
      </c>
    </row>
    <row r="541" customFormat="false" ht="15" hidden="false" customHeight="false" outlineLevel="0" collapsed="false">
      <c r="A541" s="14"/>
      <c r="B541" s="19"/>
      <c r="C541" s="19"/>
      <c r="D541" s="13"/>
      <c r="E541" s="12"/>
      <c r="F541" s="15" t="str">
        <f aca="false">IF(D541="","",IF(C541="Çekme",-D541,D541))</f>
        <v/>
      </c>
    </row>
    <row r="542" customFormat="false" ht="15" hidden="false" customHeight="false" outlineLevel="0" collapsed="false">
      <c r="A542" s="14"/>
      <c r="B542" s="19"/>
      <c r="C542" s="19"/>
      <c r="D542" s="13"/>
      <c r="E542" s="12"/>
      <c r="F542" s="15" t="str">
        <f aca="false">IF(D542="","",IF(C542="Çekme",-D542,D542))</f>
        <v/>
      </c>
    </row>
    <row r="543" customFormat="false" ht="15" hidden="false" customHeight="false" outlineLevel="0" collapsed="false">
      <c r="A543" s="14"/>
      <c r="B543" s="19"/>
      <c r="C543" s="19"/>
      <c r="D543" s="13"/>
      <c r="E543" s="12"/>
      <c r="F543" s="15" t="str">
        <f aca="false">IF(D543="","",IF(C543="Çekme",-D543,D543))</f>
        <v/>
      </c>
    </row>
    <row r="544" customFormat="false" ht="15" hidden="false" customHeight="false" outlineLevel="0" collapsed="false">
      <c r="A544" s="14"/>
      <c r="B544" s="19"/>
      <c r="C544" s="19"/>
      <c r="D544" s="13"/>
      <c r="E544" s="12"/>
      <c r="F544" s="15" t="str">
        <f aca="false">IF(D544="","",IF(C544="Çekme",-D544,D544))</f>
        <v/>
      </c>
    </row>
    <row r="545" customFormat="false" ht="15" hidden="false" customHeight="false" outlineLevel="0" collapsed="false">
      <c r="A545" s="14"/>
      <c r="B545" s="19"/>
      <c r="C545" s="19"/>
      <c r="D545" s="13"/>
      <c r="E545" s="12"/>
      <c r="F545" s="15" t="str">
        <f aca="false">IF(D545="","",IF(C545="Çekme",-D545,D545))</f>
        <v/>
      </c>
    </row>
    <row r="546" customFormat="false" ht="15" hidden="false" customHeight="false" outlineLevel="0" collapsed="false">
      <c r="A546" s="14"/>
      <c r="B546" s="19"/>
      <c r="C546" s="19"/>
      <c r="D546" s="13"/>
      <c r="E546" s="12"/>
      <c r="F546" s="15" t="str">
        <f aca="false">IF(D546="","",IF(C546="Çekme",-D546,D546))</f>
        <v/>
      </c>
    </row>
    <row r="547" customFormat="false" ht="15" hidden="false" customHeight="false" outlineLevel="0" collapsed="false">
      <c r="A547" s="14"/>
      <c r="B547" s="19"/>
      <c r="C547" s="19"/>
      <c r="D547" s="13"/>
      <c r="E547" s="12"/>
      <c r="F547" s="15" t="str">
        <f aca="false">IF(D547="","",IF(C547="Çekme",-D547,D547))</f>
        <v/>
      </c>
    </row>
    <row r="548" customFormat="false" ht="15" hidden="false" customHeight="false" outlineLevel="0" collapsed="false">
      <c r="A548" s="14"/>
      <c r="B548" s="19"/>
      <c r="C548" s="19"/>
      <c r="D548" s="13"/>
      <c r="E548" s="12"/>
      <c r="F548" s="15" t="str">
        <f aca="false">IF(D548="","",IF(C548="Çekme",-D548,D548))</f>
        <v/>
      </c>
    </row>
    <row r="549" customFormat="false" ht="15" hidden="false" customHeight="false" outlineLevel="0" collapsed="false">
      <c r="A549" s="14"/>
      <c r="B549" s="19"/>
      <c r="C549" s="19"/>
      <c r="D549" s="13"/>
      <c r="E549" s="12"/>
      <c r="F549" s="15" t="str">
        <f aca="false">IF(D549="","",IF(C549="Çekme",-D549,D549))</f>
        <v/>
      </c>
    </row>
    <row r="550" customFormat="false" ht="15" hidden="false" customHeight="false" outlineLevel="0" collapsed="false">
      <c r="A550" s="14"/>
      <c r="B550" s="19"/>
      <c r="C550" s="19"/>
      <c r="D550" s="13"/>
      <c r="E550" s="12"/>
      <c r="F550" s="15" t="str">
        <f aca="false">IF(D550="","",IF(C550="Çekme",-D550,D550))</f>
        <v/>
      </c>
    </row>
    <row r="551" customFormat="false" ht="15" hidden="false" customHeight="false" outlineLevel="0" collapsed="false">
      <c r="A551" s="14"/>
      <c r="B551" s="19"/>
      <c r="C551" s="19"/>
      <c r="D551" s="13"/>
      <c r="E551" s="12"/>
      <c r="F551" s="15" t="str">
        <f aca="false">IF(D551="","",IF(C551="Çekme",-D551,D551))</f>
        <v/>
      </c>
    </row>
    <row r="552" customFormat="false" ht="15" hidden="false" customHeight="false" outlineLevel="0" collapsed="false">
      <c r="A552" s="14"/>
      <c r="B552" s="19"/>
      <c r="C552" s="19"/>
      <c r="D552" s="13"/>
      <c r="E552" s="12"/>
      <c r="F552" s="15" t="str">
        <f aca="false">IF(D552="","",IF(C552="Çekme",-D552,D552))</f>
        <v/>
      </c>
    </row>
    <row r="553" customFormat="false" ht="15" hidden="false" customHeight="false" outlineLevel="0" collapsed="false">
      <c r="A553" s="14"/>
      <c r="B553" s="19"/>
      <c r="C553" s="19"/>
      <c r="D553" s="13"/>
      <c r="E553" s="12"/>
      <c r="F553" s="15" t="str">
        <f aca="false">IF(D553="","",IF(C553="Çekme",-D553,D553))</f>
        <v/>
      </c>
    </row>
    <row r="554" customFormat="false" ht="15" hidden="false" customHeight="false" outlineLevel="0" collapsed="false">
      <c r="A554" s="14"/>
      <c r="B554" s="19"/>
      <c r="C554" s="19"/>
      <c r="D554" s="13"/>
      <c r="E554" s="12"/>
      <c r="F554" s="15" t="str">
        <f aca="false">IF(D554="","",IF(C554="Çekme",-D554,D554))</f>
        <v/>
      </c>
    </row>
    <row r="555" customFormat="false" ht="15" hidden="false" customHeight="false" outlineLevel="0" collapsed="false">
      <c r="A555" s="14"/>
      <c r="B555" s="19"/>
      <c r="C555" s="19"/>
      <c r="D555" s="13"/>
      <c r="E555" s="12"/>
      <c r="F555" s="15" t="str">
        <f aca="false">IF(D555="","",IF(C555="Çekme",-D555,D555))</f>
        <v/>
      </c>
    </row>
    <row r="556" customFormat="false" ht="15" hidden="false" customHeight="false" outlineLevel="0" collapsed="false">
      <c r="A556" s="14"/>
      <c r="B556" s="19"/>
      <c r="C556" s="19"/>
      <c r="D556" s="13"/>
      <c r="E556" s="12"/>
      <c r="F556" s="15" t="str">
        <f aca="false">IF(D556="","",IF(C556="Çekme",-D556,D556))</f>
        <v/>
      </c>
    </row>
    <row r="557" customFormat="false" ht="15" hidden="false" customHeight="false" outlineLevel="0" collapsed="false">
      <c r="A557" s="14"/>
      <c r="B557" s="19"/>
      <c r="C557" s="19"/>
      <c r="D557" s="13"/>
      <c r="E557" s="12"/>
      <c r="F557" s="15" t="str">
        <f aca="false">IF(D557="","",IF(C557="Çekme",-D557,D557))</f>
        <v/>
      </c>
    </row>
    <row r="558" customFormat="false" ht="15" hidden="false" customHeight="false" outlineLevel="0" collapsed="false">
      <c r="A558" s="14"/>
      <c r="B558" s="19"/>
      <c r="C558" s="19"/>
      <c r="D558" s="13"/>
      <c r="E558" s="12"/>
      <c r="F558" s="15" t="str">
        <f aca="false">IF(D558="","",IF(C558="Çekme",-D558,D558))</f>
        <v/>
      </c>
    </row>
    <row r="559" customFormat="false" ht="15" hidden="false" customHeight="false" outlineLevel="0" collapsed="false">
      <c r="A559" s="14"/>
      <c r="B559" s="19"/>
      <c r="C559" s="19"/>
      <c r="D559" s="13"/>
      <c r="E559" s="12"/>
      <c r="F559" s="15" t="str">
        <f aca="false">IF(D559="","",IF(C559="Çekme",-D559,D559))</f>
        <v/>
      </c>
    </row>
    <row r="560" customFormat="false" ht="15" hidden="false" customHeight="false" outlineLevel="0" collapsed="false">
      <c r="A560" s="14"/>
      <c r="B560" s="19"/>
      <c r="C560" s="19"/>
      <c r="D560" s="13"/>
      <c r="E560" s="12"/>
      <c r="F560" s="15" t="str">
        <f aca="false">IF(D560="","",IF(C560="Çekme",-D560,D560))</f>
        <v/>
      </c>
    </row>
    <row r="561" customFormat="false" ht="15" hidden="false" customHeight="false" outlineLevel="0" collapsed="false">
      <c r="A561" s="14"/>
      <c r="B561" s="19"/>
      <c r="C561" s="19"/>
      <c r="D561" s="13"/>
      <c r="E561" s="12"/>
      <c r="F561" s="15" t="str">
        <f aca="false">IF(D561="","",IF(C561="Çekme",-D561,D561))</f>
        <v/>
      </c>
    </row>
    <row r="562" customFormat="false" ht="15" hidden="false" customHeight="false" outlineLevel="0" collapsed="false">
      <c r="A562" s="14"/>
      <c r="B562" s="19"/>
      <c r="C562" s="19"/>
      <c r="D562" s="13"/>
      <c r="E562" s="12"/>
      <c r="F562" s="15" t="str">
        <f aca="false">IF(D562="","",IF(C562="Çekme",-D562,D562))</f>
        <v/>
      </c>
    </row>
    <row r="563" customFormat="false" ht="15" hidden="false" customHeight="false" outlineLevel="0" collapsed="false">
      <c r="A563" s="14"/>
      <c r="B563" s="19"/>
      <c r="C563" s="19"/>
      <c r="D563" s="13"/>
      <c r="E563" s="12"/>
      <c r="F563" s="15" t="str">
        <f aca="false">IF(D563="","",IF(C563="Çekme",-D563,D563))</f>
        <v/>
      </c>
    </row>
    <row r="564" customFormat="false" ht="15" hidden="false" customHeight="false" outlineLevel="0" collapsed="false">
      <c r="A564" s="14"/>
      <c r="B564" s="19"/>
      <c r="C564" s="19"/>
      <c r="D564" s="13"/>
      <c r="E564" s="12"/>
      <c r="F564" s="15" t="str">
        <f aca="false">IF(D564="","",IF(C564="Çekme",-D564,D564))</f>
        <v/>
      </c>
    </row>
    <row r="565" customFormat="false" ht="15" hidden="false" customHeight="false" outlineLevel="0" collapsed="false">
      <c r="A565" s="14"/>
      <c r="B565" s="19"/>
      <c r="C565" s="19"/>
      <c r="D565" s="13"/>
      <c r="E565" s="12"/>
      <c r="F565" s="15" t="str">
        <f aca="false">IF(D565="","",IF(C565="Çekme",-D565,D565))</f>
        <v/>
      </c>
    </row>
    <row r="566" customFormat="false" ht="15" hidden="false" customHeight="false" outlineLevel="0" collapsed="false">
      <c r="A566" s="14"/>
      <c r="B566" s="19"/>
      <c r="C566" s="19"/>
      <c r="D566" s="13"/>
      <c r="E566" s="12"/>
      <c r="F566" s="15" t="str">
        <f aca="false">IF(D566="","",IF(C566="Çekme",-D566,D566))</f>
        <v/>
      </c>
    </row>
    <row r="567" customFormat="false" ht="15" hidden="false" customHeight="false" outlineLevel="0" collapsed="false">
      <c r="A567" s="14"/>
      <c r="B567" s="19"/>
      <c r="C567" s="19"/>
      <c r="D567" s="13"/>
      <c r="E567" s="12"/>
      <c r="F567" s="15" t="str">
        <f aca="false">IF(D567="","",IF(C567="Çekme",-D567,D567))</f>
        <v/>
      </c>
    </row>
    <row r="568" customFormat="false" ht="15" hidden="false" customHeight="false" outlineLevel="0" collapsed="false">
      <c r="A568" s="14"/>
      <c r="B568" s="19"/>
      <c r="C568" s="19"/>
      <c r="D568" s="13"/>
      <c r="E568" s="12"/>
      <c r="F568" s="15" t="str">
        <f aca="false">IF(D568="","",IF(C568="Çekme",-D568,D568))</f>
        <v/>
      </c>
    </row>
    <row r="569" customFormat="false" ht="15" hidden="false" customHeight="false" outlineLevel="0" collapsed="false">
      <c r="A569" s="14"/>
      <c r="B569" s="19"/>
      <c r="C569" s="19"/>
      <c r="D569" s="13"/>
      <c r="E569" s="12"/>
      <c r="F569" s="15" t="str">
        <f aca="false">IF(D569="","",IF(C569="Çekme",-D569,D569))</f>
        <v/>
      </c>
    </row>
    <row r="570" customFormat="false" ht="15" hidden="false" customHeight="false" outlineLevel="0" collapsed="false">
      <c r="A570" s="14"/>
      <c r="B570" s="19"/>
      <c r="C570" s="19"/>
      <c r="D570" s="13"/>
      <c r="E570" s="12"/>
      <c r="F570" s="15" t="str">
        <f aca="false">IF(D570="","",IF(C570="Çekme",-D570,D570))</f>
        <v/>
      </c>
    </row>
    <row r="571" customFormat="false" ht="15" hidden="false" customHeight="false" outlineLevel="0" collapsed="false">
      <c r="A571" s="14"/>
      <c r="B571" s="19"/>
      <c r="C571" s="19"/>
      <c r="D571" s="13"/>
      <c r="E571" s="12"/>
      <c r="F571" s="15" t="str">
        <f aca="false">IF(D571="","",IF(C571="Çekme",-D571,D571))</f>
        <v/>
      </c>
    </row>
    <row r="572" customFormat="false" ht="15" hidden="false" customHeight="false" outlineLevel="0" collapsed="false">
      <c r="A572" s="14"/>
      <c r="B572" s="19"/>
      <c r="C572" s="19"/>
      <c r="D572" s="13"/>
      <c r="E572" s="12"/>
      <c r="F572" s="15" t="str">
        <f aca="false">IF(D572="","",IF(C572="Çekme",-D572,D572))</f>
        <v/>
      </c>
    </row>
    <row r="573" customFormat="false" ht="15" hidden="false" customHeight="false" outlineLevel="0" collapsed="false">
      <c r="A573" s="14"/>
      <c r="B573" s="19"/>
      <c r="C573" s="19"/>
      <c r="D573" s="13"/>
      <c r="E573" s="12"/>
      <c r="F573" s="15" t="str">
        <f aca="false">IF(D573="","",IF(C573="Çekme",-D573,D573))</f>
        <v/>
      </c>
    </row>
    <row r="574" customFormat="false" ht="15" hidden="false" customHeight="false" outlineLevel="0" collapsed="false">
      <c r="A574" s="14"/>
      <c r="B574" s="19"/>
      <c r="C574" s="19"/>
      <c r="D574" s="13"/>
      <c r="E574" s="12"/>
      <c r="F574" s="15" t="str">
        <f aca="false">IF(D574="","",IF(C574="Çekme",-D574,D574))</f>
        <v/>
      </c>
    </row>
    <row r="575" customFormat="false" ht="15" hidden="false" customHeight="false" outlineLevel="0" collapsed="false">
      <c r="A575" s="14"/>
      <c r="B575" s="19"/>
      <c r="C575" s="19"/>
      <c r="D575" s="13"/>
      <c r="E575" s="12"/>
      <c r="F575" s="15" t="str">
        <f aca="false">IF(D575="","",IF(C575="Çekme",-D575,D575))</f>
        <v/>
      </c>
    </row>
    <row r="576" customFormat="false" ht="15" hidden="false" customHeight="false" outlineLevel="0" collapsed="false">
      <c r="A576" s="14"/>
      <c r="B576" s="19"/>
      <c r="C576" s="19"/>
      <c r="D576" s="13"/>
      <c r="E576" s="12"/>
      <c r="F576" s="15" t="str">
        <f aca="false">IF(D576="","",IF(C576="Çekme",-D576,D576))</f>
        <v/>
      </c>
    </row>
    <row r="577" customFormat="false" ht="15" hidden="false" customHeight="false" outlineLevel="0" collapsed="false">
      <c r="A577" s="14"/>
      <c r="B577" s="19"/>
      <c r="C577" s="19"/>
      <c r="D577" s="13"/>
      <c r="E577" s="12"/>
      <c r="F577" s="15" t="str">
        <f aca="false">IF(D577="","",IF(C577="Çekme",-D577,D577))</f>
        <v/>
      </c>
    </row>
    <row r="578" customFormat="false" ht="15" hidden="false" customHeight="false" outlineLevel="0" collapsed="false">
      <c r="A578" s="14"/>
      <c r="B578" s="19"/>
      <c r="C578" s="19"/>
      <c r="D578" s="13"/>
      <c r="E578" s="12"/>
      <c r="F578" s="15" t="str">
        <f aca="false">IF(D578="","",IF(C578="Çekme",-D578,D578))</f>
        <v/>
      </c>
    </row>
    <row r="579" customFormat="false" ht="15" hidden="false" customHeight="false" outlineLevel="0" collapsed="false">
      <c r="A579" s="14"/>
      <c r="B579" s="19"/>
      <c r="C579" s="19"/>
      <c r="D579" s="13"/>
      <c r="E579" s="12"/>
      <c r="F579" s="15" t="str">
        <f aca="false">IF(D579="","",IF(C579="Çekme",-D579,D579))</f>
        <v/>
      </c>
    </row>
    <row r="580" customFormat="false" ht="15" hidden="false" customHeight="false" outlineLevel="0" collapsed="false">
      <c r="A580" s="14"/>
      <c r="B580" s="19"/>
      <c r="C580" s="19"/>
      <c r="D580" s="13"/>
      <c r="E580" s="12"/>
      <c r="F580" s="15" t="str">
        <f aca="false">IF(D580="","",IF(C580="Çekme",-D580,D580))</f>
        <v/>
      </c>
    </row>
    <row r="581" customFormat="false" ht="15" hidden="false" customHeight="false" outlineLevel="0" collapsed="false">
      <c r="A581" s="14"/>
      <c r="B581" s="19"/>
      <c r="C581" s="19"/>
      <c r="D581" s="13"/>
      <c r="E581" s="12"/>
      <c r="F581" s="15" t="str">
        <f aca="false">IF(D581="","",IF(C581="Çekme",-D581,D581))</f>
        <v/>
      </c>
    </row>
    <row r="582" customFormat="false" ht="15" hidden="false" customHeight="false" outlineLevel="0" collapsed="false">
      <c r="A582" s="14"/>
      <c r="B582" s="19"/>
      <c r="C582" s="19"/>
      <c r="D582" s="13"/>
      <c r="E582" s="12"/>
      <c r="F582" s="15" t="str">
        <f aca="false">IF(D582="","",IF(C582="Çekme",-D582,D582))</f>
        <v/>
      </c>
    </row>
    <row r="583" customFormat="false" ht="15" hidden="false" customHeight="false" outlineLevel="0" collapsed="false">
      <c r="A583" s="14"/>
      <c r="B583" s="19"/>
      <c r="C583" s="19"/>
      <c r="D583" s="13"/>
      <c r="E583" s="12"/>
      <c r="F583" s="15" t="str">
        <f aca="false">IF(D583="","",IF(C583="Çekme",-D583,D583))</f>
        <v/>
      </c>
    </row>
    <row r="584" customFormat="false" ht="15" hidden="false" customHeight="false" outlineLevel="0" collapsed="false">
      <c r="A584" s="14"/>
      <c r="B584" s="19"/>
      <c r="C584" s="19"/>
      <c r="D584" s="13"/>
      <c r="E584" s="12"/>
      <c r="F584" s="15" t="str">
        <f aca="false">IF(D584="","",IF(C584="Çekme",-D584,D584))</f>
        <v/>
      </c>
    </row>
    <row r="585" customFormat="false" ht="15" hidden="false" customHeight="false" outlineLevel="0" collapsed="false">
      <c r="A585" s="14"/>
      <c r="B585" s="19"/>
      <c r="C585" s="19"/>
      <c r="D585" s="13"/>
      <c r="E585" s="12"/>
      <c r="F585" s="15" t="str">
        <f aca="false">IF(D585="","",IF(C585="Çekme",-D585,D585))</f>
        <v/>
      </c>
    </row>
    <row r="586" customFormat="false" ht="15" hidden="false" customHeight="false" outlineLevel="0" collapsed="false">
      <c r="A586" s="14"/>
      <c r="B586" s="19"/>
      <c r="C586" s="19"/>
      <c r="D586" s="13"/>
      <c r="E586" s="12"/>
      <c r="F586" s="15" t="str">
        <f aca="false">IF(D586="","",IF(C586="Çekme",-D586,D586))</f>
        <v/>
      </c>
    </row>
    <row r="587" customFormat="false" ht="15" hidden="false" customHeight="false" outlineLevel="0" collapsed="false">
      <c r="A587" s="14"/>
      <c r="B587" s="19"/>
      <c r="C587" s="19"/>
      <c r="D587" s="13"/>
      <c r="E587" s="12"/>
      <c r="F587" s="15" t="str">
        <f aca="false">IF(D587="","",IF(C587="Çekme",-D587,D587))</f>
        <v/>
      </c>
    </row>
    <row r="588" customFormat="false" ht="15" hidden="false" customHeight="false" outlineLevel="0" collapsed="false">
      <c r="A588" s="14"/>
      <c r="B588" s="19"/>
      <c r="C588" s="19"/>
      <c r="D588" s="13"/>
      <c r="E588" s="12"/>
      <c r="F588" s="15" t="str">
        <f aca="false">IF(D588="","",IF(C588="Çekme",-D588,D588))</f>
        <v/>
      </c>
    </row>
    <row r="589" customFormat="false" ht="15" hidden="false" customHeight="false" outlineLevel="0" collapsed="false">
      <c r="A589" s="14"/>
      <c r="B589" s="19"/>
      <c r="C589" s="19"/>
      <c r="D589" s="13"/>
      <c r="E589" s="12"/>
      <c r="F589" s="15" t="str">
        <f aca="false">IF(D589="","",IF(C589="Çekme",-D589,D589))</f>
        <v/>
      </c>
    </row>
    <row r="590" customFormat="false" ht="15" hidden="false" customHeight="false" outlineLevel="0" collapsed="false">
      <c r="A590" s="14"/>
      <c r="B590" s="19"/>
      <c r="C590" s="19"/>
      <c r="D590" s="13"/>
      <c r="E590" s="12"/>
      <c r="F590" s="15" t="str">
        <f aca="false">IF(D590="","",IF(C590="Çekme",-D590,D590))</f>
        <v/>
      </c>
    </row>
    <row r="591" customFormat="false" ht="15" hidden="false" customHeight="false" outlineLevel="0" collapsed="false">
      <c r="A591" s="14"/>
      <c r="B591" s="19"/>
      <c r="C591" s="19"/>
      <c r="D591" s="13"/>
      <c r="E591" s="12"/>
      <c r="F591" s="15" t="str">
        <f aca="false">IF(D591="","",IF(C591="Çekme",-D591,D591))</f>
        <v/>
      </c>
    </row>
    <row r="592" customFormat="false" ht="15" hidden="false" customHeight="false" outlineLevel="0" collapsed="false">
      <c r="A592" s="14"/>
      <c r="B592" s="19"/>
      <c r="C592" s="19"/>
      <c r="D592" s="13"/>
      <c r="E592" s="12"/>
      <c r="F592" s="15" t="str">
        <f aca="false">IF(D592="","",IF(C592="Çekme",-D592,D592))</f>
        <v/>
      </c>
    </row>
    <row r="593" customFormat="false" ht="15" hidden="false" customHeight="false" outlineLevel="0" collapsed="false">
      <c r="A593" s="14"/>
      <c r="B593" s="19"/>
      <c r="C593" s="19"/>
      <c r="D593" s="13"/>
      <c r="E593" s="12"/>
      <c r="F593" s="15" t="str">
        <f aca="false">IF(D593="","",IF(C593="Çekme",-D593,D593))</f>
        <v/>
      </c>
    </row>
    <row r="594" customFormat="false" ht="15" hidden="false" customHeight="false" outlineLevel="0" collapsed="false">
      <c r="A594" s="14"/>
      <c r="B594" s="19"/>
      <c r="C594" s="19"/>
      <c r="D594" s="13"/>
      <c r="E594" s="12"/>
      <c r="F594" s="15" t="str">
        <f aca="false">IF(D594="","",IF(C594="Çekme",-D594,D594))</f>
        <v/>
      </c>
    </row>
    <row r="595" customFormat="false" ht="15" hidden="false" customHeight="false" outlineLevel="0" collapsed="false">
      <c r="A595" s="14"/>
      <c r="B595" s="19"/>
      <c r="C595" s="19"/>
      <c r="D595" s="13"/>
      <c r="E595" s="12"/>
      <c r="F595" s="15" t="str">
        <f aca="false">IF(D595="","",IF(C595="Çekme",-D595,D595))</f>
        <v/>
      </c>
    </row>
    <row r="596" customFormat="false" ht="15" hidden="false" customHeight="false" outlineLevel="0" collapsed="false">
      <c r="A596" s="14"/>
      <c r="B596" s="19"/>
      <c r="C596" s="19"/>
      <c r="D596" s="13"/>
      <c r="E596" s="12"/>
      <c r="F596" s="15" t="str">
        <f aca="false">IF(D596="","",IF(C596="Çekme",-D596,D596))</f>
        <v/>
      </c>
    </row>
    <row r="597" customFormat="false" ht="15" hidden="false" customHeight="false" outlineLevel="0" collapsed="false">
      <c r="A597" s="14"/>
      <c r="B597" s="19"/>
      <c r="C597" s="19"/>
      <c r="D597" s="13"/>
      <c r="E597" s="12"/>
      <c r="F597" s="15" t="str">
        <f aca="false">IF(D597="","",IF(C597="Çekme",-D597,D597))</f>
        <v/>
      </c>
    </row>
    <row r="598" customFormat="false" ht="15" hidden="false" customHeight="false" outlineLevel="0" collapsed="false">
      <c r="A598" s="14"/>
      <c r="B598" s="19"/>
      <c r="C598" s="19"/>
      <c r="D598" s="13"/>
      <c r="E598" s="12"/>
      <c r="F598" s="15" t="str">
        <f aca="false">IF(D598="","",IF(C598="Çekme",-D598,D598))</f>
        <v/>
      </c>
    </row>
    <row r="599" customFormat="false" ht="15" hidden="false" customHeight="false" outlineLevel="0" collapsed="false">
      <c r="A599" s="14"/>
      <c r="B599" s="19"/>
      <c r="C599" s="19"/>
      <c r="D599" s="13"/>
      <c r="E599" s="12"/>
      <c r="F599" s="15" t="str">
        <f aca="false">IF(D599="","",IF(C599="Çekme",-D599,D599))</f>
        <v/>
      </c>
    </row>
    <row r="600" customFormat="false" ht="15" hidden="false" customHeight="false" outlineLevel="0" collapsed="false">
      <c r="A600" s="14"/>
      <c r="B600" s="19"/>
      <c r="C600" s="19"/>
      <c r="D600" s="13"/>
      <c r="E600" s="12"/>
      <c r="F600" s="15" t="str">
        <f aca="false">IF(D600="","",IF(C600="Çekme",-D600,D600))</f>
        <v/>
      </c>
    </row>
    <row r="601" customFormat="false" ht="15" hidden="false" customHeight="false" outlineLevel="0" collapsed="false">
      <c r="A601" s="14"/>
      <c r="B601" s="19"/>
      <c r="C601" s="19"/>
      <c r="D601" s="13"/>
      <c r="E601" s="12"/>
      <c r="F601" s="15" t="str">
        <f aca="false">IF(D601="","",IF(C601="Çekme",-D601,D601))</f>
        <v/>
      </c>
    </row>
    <row r="602" customFormat="false" ht="15" hidden="false" customHeight="false" outlineLevel="0" collapsed="false">
      <c r="A602" s="14"/>
      <c r="B602" s="19"/>
      <c r="C602" s="19"/>
      <c r="D602" s="13"/>
      <c r="E602" s="12"/>
      <c r="F602" s="15" t="str">
        <f aca="false">IF(D602="","",IF(C602="Çekme",-D602,D602))</f>
        <v/>
      </c>
    </row>
    <row r="603" customFormat="false" ht="15" hidden="false" customHeight="false" outlineLevel="0" collapsed="false">
      <c r="A603" s="14"/>
      <c r="B603" s="19"/>
      <c r="C603" s="19"/>
      <c r="D603" s="13"/>
      <c r="E603" s="12"/>
      <c r="F603" s="15" t="str">
        <f aca="false">IF(D603="","",IF(C603="Çekme",-D603,D603))</f>
        <v/>
      </c>
    </row>
    <row r="604" customFormat="false" ht="15" hidden="false" customHeight="false" outlineLevel="0" collapsed="false">
      <c r="A604" s="14"/>
      <c r="B604" s="19"/>
      <c r="C604" s="19"/>
      <c r="D604" s="13"/>
      <c r="E604" s="12"/>
      <c r="F604" s="15" t="str">
        <f aca="false">IF(D604="","",IF(C604="Çekme",-D604,D604))</f>
        <v/>
      </c>
    </row>
    <row r="605" customFormat="false" ht="15" hidden="false" customHeight="false" outlineLevel="0" collapsed="false">
      <c r="A605" s="14"/>
      <c r="B605" s="19"/>
      <c r="C605" s="19"/>
      <c r="D605" s="13"/>
      <c r="E605" s="12"/>
      <c r="F605" s="15" t="str">
        <f aca="false">IF(D605="","",IF(C605="Çekme",-D605,D605))</f>
        <v/>
      </c>
    </row>
    <row r="606" customFormat="false" ht="15" hidden="false" customHeight="false" outlineLevel="0" collapsed="false">
      <c r="A606" s="14"/>
      <c r="B606" s="19"/>
      <c r="C606" s="19"/>
      <c r="D606" s="13"/>
      <c r="E606" s="12"/>
      <c r="F606" s="15" t="str">
        <f aca="false">IF(D606="","",IF(C606="Çekme",-D606,D606))</f>
        <v/>
      </c>
    </row>
    <row r="607" customFormat="false" ht="15" hidden="false" customHeight="false" outlineLevel="0" collapsed="false">
      <c r="A607" s="14"/>
      <c r="B607" s="19"/>
      <c r="C607" s="19"/>
      <c r="D607" s="13"/>
      <c r="E607" s="12"/>
      <c r="F607" s="15" t="str">
        <f aca="false">IF(D607="","",IF(C607="Çekme",-D607,D607))</f>
        <v/>
      </c>
    </row>
    <row r="608" customFormat="false" ht="15" hidden="false" customHeight="false" outlineLevel="0" collapsed="false">
      <c r="A608" s="14"/>
      <c r="B608" s="19"/>
      <c r="C608" s="19"/>
      <c r="D608" s="13"/>
      <c r="E608" s="12"/>
      <c r="F608" s="15" t="str">
        <f aca="false">IF(D608="","",IF(C608="Çekme",-D608,D608))</f>
        <v/>
      </c>
    </row>
    <row r="609" customFormat="false" ht="15" hidden="false" customHeight="false" outlineLevel="0" collapsed="false">
      <c r="A609" s="14"/>
      <c r="B609" s="19"/>
      <c r="C609" s="19"/>
      <c r="D609" s="13"/>
      <c r="E609" s="12"/>
      <c r="F609" s="15" t="str">
        <f aca="false">IF(D609="","",IF(C609="Çekme",-D609,D609))</f>
        <v/>
      </c>
    </row>
    <row r="610" customFormat="false" ht="15" hidden="false" customHeight="false" outlineLevel="0" collapsed="false">
      <c r="A610" s="14"/>
      <c r="B610" s="19"/>
      <c r="C610" s="19"/>
      <c r="D610" s="13"/>
      <c r="E610" s="12"/>
      <c r="F610" s="15" t="str">
        <f aca="false">IF(D610="","",IF(C610="Çekme",-D610,D610))</f>
        <v/>
      </c>
    </row>
    <row r="611" customFormat="false" ht="15" hidden="false" customHeight="false" outlineLevel="0" collapsed="false">
      <c r="A611" s="14"/>
      <c r="B611" s="19"/>
      <c r="C611" s="19"/>
      <c r="D611" s="13"/>
      <c r="E611" s="12"/>
      <c r="F611" s="15" t="str">
        <f aca="false">IF(D611="","",IF(C611="Çekme",-D611,D611))</f>
        <v/>
      </c>
    </row>
    <row r="612" customFormat="false" ht="15" hidden="false" customHeight="false" outlineLevel="0" collapsed="false">
      <c r="A612" s="14"/>
      <c r="B612" s="19"/>
      <c r="C612" s="19"/>
      <c r="D612" s="13"/>
      <c r="E612" s="12"/>
      <c r="F612" s="15" t="str">
        <f aca="false">IF(D612="","",IF(C612="Çekme",-D612,D612))</f>
        <v/>
      </c>
    </row>
    <row r="613" customFormat="false" ht="15" hidden="false" customHeight="false" outlineLevel="0" collapsed="false">
      <c r="A613" s="14"/>
      <c r="B613" s="19"/>
      <c r="C613" s="19"/>
      <c r="D613" s="13"/>
      <c r="E613" s="12"/>
      <c r="F613" s="15" t="str">
        <f aca="false">IF(D613="","",IF(C613="Çekme",-D613,D613))</f>
        <v/>
      </c>
    </row>
    <row r="614" customFormat="false" ht="15" hidden="false" customHeight="false" outlineLevel="0" collapsed="false">
      <c r="A614" s="14"/>
      <c r="B614" s="19"/>
      <c r="C614" s="19"/>
      <c r="D614" s="13"/>
      <c r="E614" s="12"/>
      <c r="F614" s="15" t="str">
        <f aca="false">IF(D614="","",IF(C614="Çekme",-D614,D614))</f>
        <v/>
      </c>
    </row>
    <row r="615" customFormat="false" ht="15" hidden="false" customHeight="false" outlineLevel="0" collapsed="false">
      <c r="A615" s="14"/>
      <c r="B615" s="19"/>
      <c r="C615" s="19"/>
      <c r="D615" s="13"/>
      <c r="E615" s="12"/>
      <c r="F615" s="15" t="str">
        <f aca="false">IF(D615="","",IF(C615="Çekme",-D615,D615))</f>
        <v/>
      </c>
    </row>
    <row r="616" customFormat="false" ht="15" hidden="false" customHeight="false" outlineLevel="0" collapsed="false">
      <c r="A616" s="14"/>
      <c r="B616" s="19"/>
      <c r="C616" s="19"/>
      <c r="D616" s="13"/>
      <c r="E616" s="12"/>
      <c r="F616" s="15" t="str">
        <f aca="false">IF(D616="","",IF(C616="Çekme",-D616,D616))</f>
        <v/>
      </c>
    </row>
    <row r="617" customFormat="false" ht="15" hidden="false" customHeight="false" outlineLevel="0" collapsed="false">
      <c r="A617" s="14"/>
      <c r="B617" s="19"/>
      <c r="C617" s="19"/>
      <c r="D617" s="13"/>
      <c r="E617" s="12"/>
      <c r="F617" s="15" t="str">
        <f aca="false">IF(D617="","",IF(C617="Çekme",-D617,D617))</f>
        <v/>
      </c>
    </row>
    <row r="618" customFormat="false" ht="15" hidden="false" customHeight="false" outlineLevel="0" collapsed="false">
      <c r="A618" s="14"/>
      <c r="B618" s="19"/>
      <c r="C618" s="19"/>
      <c r="D618" s="13"/>
      <c r="E618" s="12"/>
      <c r="F618" s="15" t="str">
        <f aca="false">IF(D618="","",IF(C618="Çekme",-D618,D618))</f>
        <v/>
      </c>
    </row>
    <row r="619" customFormat="false" ht="15" hidden="false" customHeight="false" outlineLevel="0" collapsed="false">
      <c r="A619" s="14"/>
      <c r="B619" s="19"/>
      <c r="C619" s="19"/>
      <c r="D619" s="13"/>
      <c r="E619" s="12"/>
      <c r="F619" s="15" t="str">
        <f aca="false">IF(D619="","",IF(C619="Çekme",-D619,D619))</f>
        <v/>
      </c>
    </row>
    <row r="620" customFormat="false" ht="15" hidden="false" customHeight="false" outlineLevel="0" collapsed="false">
      <c r="A620" s="14"/>
      <c r="B620" s="19"/>
      <c r="C620" s="19"/>
      <c r="D620" s="13"/>
      <c r="E620" s="12"/>
      <c r="F620" s="15" t="str">
        <f aca="false">IF(D620="","",IF(C620="Çekme",-D620,D620))</f>
        <v/>
      </c>
    </row>
    <row r="621" customFormat="false" ht="15" hidden="false" customHeight="false" outlineLevel="0" collapsed="false">
      <c r="A621" s="14"/>
      <c r="B621" s="19"/>
      <c r="C621" s="19"/>
      <c r="D621" s="13"/>
      <c r="E621" s="12"/>
      <c r="F621" s="15" t="str">
        <f aca="false">IF(D621="","",IF(C621="Çekme",-D621,D621))</f>
        <v/>
      </c>
    </row>
    <row r="622" customFormat="false" ht="15" hidden="false" customHeight="false" outlineLevel="0" collapsed="false">
      <c r="A622" s="14"/>
      <c r="B622" s="19"/>
      <c r="C622" s="19"/>
      <c r="D622" s="13"/>
      <c r="E622" s="12"/>
      <c r="F622" s="15" t="str">
        <f aca="false">IF(D622="","",IF(C622="Çekme",-D622,D622))</f>
        <v/>
      </c>
    </row>
    <row r="623" customFormat="false" ht="15" hidden="false" customHeight="false" outlineLevel="0" collapsed="false">
      <c r="A623" s="14"/>
      <c r="B623" s="19"/>
      <c r="C623" s="19"/>
      <c r="D623" s="13"/>
      <c r="E623" s="12"/>
      <c r="F623" s="15" t="str">
        <f aca="false">IF(D623="","",IF(C623="Çekme",-D623,D623))</f>
        <v/>
      </c>
    </row>
    <row r="624" customFormat="false" ht="15" hidden="false" customHeight="false" outlineLevel="0" collapsed="false">
      <c r="A624" s="14"/>
      <c r="B624" s="19"/>
      <c r="C624" s="19"/>
      <c r="D624" s="13"/>
      <c r="E624" s="12"/>
      <c r="F624" s="15" t="str">
        <f aca="false">IF(D624="","",IF(C624="Çekme",-D624,D624))</f>
        <v/>
      </c>
    </row>
    <row r="625" customFormat="false" ht="15" hidden="false" customHeight="false" outlineLevel="0" collapsed="false">
      <c r="A625" s="14"/>
      <c r="B625" s="19"/>
      <c r="C625" s="19"/>
      <c r="D625" s="13"/>
      <c r="E625" s="12"/>
      <c r="F625" s="15" t="str">
        <f aca="false">IF(D625="","",IF(C625="Çekme",-D625,D625))</f>
        <v/>
      </c>
    </row>
    <row r="626" customFormat="false" ht="15" hidden="false" customHeight="false" outlineLevel="0" collapsed="false">
      <c r="A626" s="14"/>
      <c r="B626" s="19"/>
      <c r="C626" s="19"/>
      <c r="D626" s="13"/>
      <c r="E626" s="12"/>
      <c r="F626" s="15" t="str">
        <f aca="false">IF(D626="","",IF(C626="Çekme",-D626,D626))</f>
        <v/>
      </c>
    </row>
    <row r="627" customFormat="false" ht="15" hidden="false" customHeight="false" outlineLevel="0" collapsed="false">
      <c r="A627" s="14"/>
      <c r="B627" s="19"/>
      <c r="C627" s="19"/>
      <c r="D627" s="13"/>
      <c r="E627" s="12"/>
      <c r="F627" s="15" t="str">
        <f aca="false">IF(D627="","",IF(C627="Çekme",-D627,D627))</f>
        <v/>
      </c>
    </row>
    <row r="628" customFormat="false" ht="15" hidden="false" customHeight="false" outlineLevel="0" collapsed="false">
      <c r="A628" s="14"/>
      <c r="B628" s="19"/>
      <c r="C628" s="19"/>
      <c r="D628" s="13"/>
      <c r="E628" s="12"/>
      <c r="F628" s="15" t="str">
        <f aca="false">IF(D628="","",IF(C628="Çekme",-D628,D628))</f>
        <v/>
      </c>
    </row>
    <row r="629" customFormat="false" ht="15" hidden="false" customHeight="false" outlineLevel="0" collapsed="false">
      <c r="A629" s="14"/>
      <c r="B629" s="19"/>
      <c r="C629" s="19"/>
      <c r="D629" s="13"/>
      <c r="E629" s="12"/>
      <c r="F629" s="15" t="str">
        <f aca="false">IF(D629="","",IF(C629="Çekme",-D629,D629))</f>
        <v/>
      </c>
    </row>
    <row r="630" customFormat="false" ht="15" hidden="false" customHeight="false" outlineLevel="0" collapsed="false">
      <c r="A630" s="14"/>
      <c r="B630" s="19"/>
      <c r="C630" s="19"/>
      <c r="D630" s="13"/>
      <c r="E630" s="12"/>
      <c r="F630" s="15" t="str">
        <f aca="false">IF(D630="","",IF(C630="Çekme",-D630,D630))</f>
        <v/>
      </c>
    </row>
    <row r="631" customFormat="false" ht="15" hidden="false" customHeight="false" outlineLevel="0" collapsed="false">
      <c r="A631" s="14"/>
      <c r="B631" s="19"/>
      <c r="C631" s="19"/>
      <c r="D631" s="13"/>
      <c r="E631" s="12"/>
      <c r="F631" s="15" t="str">
        <f aca="false">IF(D631="","",IF(C631="Çekme",-D631,D631))</f>
        <v/>
      </c>
    </row>
    <row r="632" customFormat="false" ht="15" hidden="false" customHeight="false" outlineLevel="0" collapsed="false">
      <c r="A632" s="14"/>
      <c r="B632" s="19"/>
      <c r="C632" s="19"/>
      <c r="D632" s="13"/>
      <c r="E632" s="12"/>
      <c r="F632" s="15" t="str">
        <f aca="false">IF(D632="","",IF(C632="Çekme",-D632,D632))</f>
        <v/>
      </c>
    </row>
    <row r="633" customFormat="false" ht="15" hidden="false" customHeight="false" outlineLevel="0" collapsed="false">
      <c r="A633" s="14"/>
      <c r="B633" s="19"/>
      <c r="C633" s="19"/>
      <c r="D633" s="13"/>
      <c r="E633" s="12"/>
      <c r="F633" s="15" t="str">
        <f aca="false">IF(D633="","",IF(C633="Çekme",-D633,D633))</f>
        <v/>
      </c>
    </row>
    <row r="634" customFormat="false" ht="15" hidden="false" customHeight="false" outlineLevel="0" collapsed="false">
      <c r="A634" s="14"/>
      <c r="B634" s="19"/>
      <c r="C634" s="19"/>
      <c r="D634" s="13"/>
      <c r="E634" s="12"/>
      <c r="F634" s="15" t="str">
        <f aca="false">IF(D634="","",IF(C634="Çekme",-D634,D634))</f>
        <v/>
      </c>
    </row>
    <row r="635" customFormat="false" ht="15" hidden="false" customHeight="false" outlineLevel="0" collapsed="false">
      <c r="A635" s="14"/>
      <c r="B635" s="19"/>
      <c r="C635" s="19"/>
      <c r="D635" s="13"/>
      <c r="E635" s="12"/>
      <c r="F635" s="15" t="str">
        <f aca="false">IF(D635="","",IF(C635="Çekme",-D635,D635))</f>
        <v/>
      </c>
    </row>
    <row r="636" customFormat="false" ht="15" hidden="false" customHeight="false" outlineLevel="0" collapsed="false">
      <c r="A636" s="14"/>
      <c r="B636" s="19"/>
      <c r="C636" s="19"/>
      <c r="D636" s="13"/>
      <c r="E636" s="12"/>
      <c r="F636" s="15" t="str">
        <f aca="false">IF(D636="","",IF(C636="Çekme",-D636,D636))</f>
        <v/>
      </c>
    </row>
    <row r="637" customFormat="false" ht="15" hidden="false" customHeight="false" outlineLevel="0" collapsed="false">
      <c r="A637" s="14"/>
      <c r="B637" s="19"/>
      <c r="C637" s="19"/>
      <c r="D637" s="13"/>
      <c r="E637" s="12"/>
      <c r="F637" s="15" t="str">
        <f aca="false">IF(D637="","",IF(C637="Çekme",-D637,D637))</f>
        <v/>
      </c>
    </row>
    <row r="638" customFormat="false" ht="15" hidden="false" customHeight="false" outlineLevel="0" collapsed="false">
      <c r="A638" s="14"/>
      <c r="B638" s="19"/>
      <c r="C638" s="19"/>
      <c r="D638" s="13"/>
      <c r="E638" s="12"/>
      <c r="F638" s="15" t="str">
        <f aca="false">IF(D638="","",IF(C638="Çekme",-D638,D638))</f>
        <v/>
      </c>
    </row>
    <row r="639" customFormat="false" ht="15" hidden="false" customHeight="false" outlineLevel="0" collapsed="false">
      <c r="A639" s="14"/>
      <c r="B639" s="19"/>
      <c r="C639" s="19"/>
      <c r="D639" s="13"/>
      <c r="E639" s="12"/>
      <c r="F639" s="15" t="str">
        <f aca="false">IF(D639="","",IF(C639="Çekme",-D639,D639))</f>
        <v/>
      </c>
    </row>
    <row r="640" customFormat="false" ht="15" hidden="false" customHeight="false" outlineLevel="0" collapsed="false">
      <c r="A640" s="14"/>
      <c r="B640" s="19"/>
      <c r="C640" s="19"/>
      <c r="D640" s="13"/>
      <c r="E640" s="12"/>
      <c r="F640" s="15" t="str">
        <f aca="false">IF(D640="","",IF(C640="Çekme",-D640,D640))</f>
        <v/>
      </c>
    </row>
    <row r="641" customFormat="false" ht="15" hidden="false" customHeight="false" outlineLevel="0" collapsed="false">
      <c r="A641" s="14"/>
      <c r="B641" s="19"/>
      <c r="C641" s="19"/>
      <c r="D641" s="13"/>
      <c r="E641" s="12"/>
      <c r="F641" s="15" t="str">
        <f aca="false">IF(D641="","",IF(C641="Çekme",-D641,D641))</f>
        <v/>
      </c>
    </row>
    <row r="642" customFormat="false" ht="15" hidden="false" customHeight="false" outlineLevel="0" collapsed="false">
      <c r="A642" s="14"/>
      <c r="B642" s="19"/>
      <c r="C642" s="19"/>
      <c r="D642" s="13"/>
      <c r="E642" s="12"/>
      <c r="F642" s="15" t="str">
        <f aca="false">IF(D642="","",IF(C642="Çekme",-D642,D642))</f>
        <v/>
      </c>
    </row>
    <row r="643" customFormat="false" ht="15" hidden="false" customHeight="false" outlineLevel="0" collapsed="false">
      <c r="A643" s="14"/>
      <c r="B643" s="19"/>
      <c r="C643" s="19"/>
      <c r="D643" s="13"/>
      <c r="E643" s="12"/>
      <c r="F643" s="15" t="str">
        <f aca="false">IF(D643="","",IF(C643="Çekme",-D643,D643))</f>
        <v/>
      </c>
    </row>
    <row r="644" customFormat="false" ht="15" hidden="false" customHeight="false" outlineLevel="0" collapsed="false">
      <c r="A644" s="14"/>
      <c r="B644" s="19"/>
      <c r="C644" s="19"/>
      <c r="D644" s="13"/>
      <c r="E644" s="12"/>
      <c r="F644" s="15" t="str">
        <f aca="false">IF(D644="","",IF(C644="Çekme",-D644,D644))</f>
        <v/>
      </c>
    </row>
    <row r="645" customFormat="false" ht="15" hidden="false" customHeight="false" outlineLevel="0" collapsed="false">
      <c r="A645" s="14"/>
      <c r="B645" s="19"/>
      <c r="C645" s="19"/>
      <c r="D645" s="13"/>
      <c r="E645" s="12"/>
      <c r="F645" s="15" t="str">
        <f aca="false">IF(D645="","",IF(C645="Çekme",-D645,D645))</f>
        <v/>
      </c>
    </row>
    <row r="646" customFormat="false" ht="15" hidden="false" customHeight="false" outlineLevel="0" collapsed="false">
      <c r="A646" s="14"/>
      <c r="B646" s="19"/>
      <c r="C646" s="19"/>
      <c r="D646" s="13"/>
      <c r="E646" s="12"/>
      <c r="F646" s="15" t="str">
        <f aca="false">IF(D646="","",IF(C646="Çekme",-D646,D646))</f>
        <v/>
      </c>
    </row>
    <row r="647" customFormat="false" ht="15" hidden="false" customHeight="false" outlineLevel="0" collapsed="false">
      <c r="A647" s="14"/>
      <c r="B647" s="19"/>
      <c r="C647" s="19"/>
      <c r="D647" s="13"/>
      <c r="E647" s="12"/>
      <c r="F647" s="15" t="str">
        <f aca="false">IF(D647="","",IF(C647="Çekme",-D647,D647))</f>
        <v/>
      </c>
    </row>
    <row r="648" customFormat="false" ht="15" hidden="false" customHeight="false" outlineLevel="0" collapsed="false">
      <c r="A648" s="14"/>
      <c r="B648" s="19"/>
      <c r="C648" s="19"/>
      <c r="D648" s="13"/>
      <c r="E648" s="12"/>
      <c r="F648" s="15" t="str">
        <f aca="false">IF(D648="","",IF(C648="Çekme",-D648,D648))</f>
        <v/>
      </c>
    </row>
    <row r="649" customFormat="false" ht="15" hidden="false" customHeight="false" outlineLevel="0" collapsed="false">
      <c r="A649" s="14"/>
      <c r="B649" s="19"/>
      <c r="C649" s="19"/>
      <c r="D649" s="13"/>
      <c r="E649" s="12"/>
      <c r="F649" s="15" t="str">
        <f aca="false">IF(D649="","",IF(C649="Çekme",-D649,D649))</f>
        <v/>
      </c>
    </row>
    <row r="650" customFormat="false" ht="15" hidden="false" customHeight="false" outlineLevel="0" collapsed="false">
      <c r="A650" s="14"/>
      <c r="B650" s="19"/>
      <c r="C650" s="19"/>
      <c r="D650" s="13"/>
      <c r="E650" s="12"/>
      <c r="F650" s="15" t="str">
        <f aca="false">IF(D650="","",IF(C650="Çekme",-D650,D650))</f>
        <v/>
      </c>
    </row>
    <row r="651" customFormat="false" ht="15" hidden="false" customHeight="false" outlineLevel="0" collapsed="false">
      <c r="A651" s="14"/>
      <c r="B651" s="19"/>
      <c r="C651" s="19"/>
      <c r="D651" s="13"/>
      <c r="E651" s="12"/>
      <c r="F651" s="15" t="str">
        <f aca="false">IF(D651="","",IF(C651="Çekme",-D651,D651))</f>
        <v/>
      </c>
    </row>
    <row r="652" customFormat="false" ht="15" hidden="false" customHeight="false" outlineLevel="0" collapsed="false">
      <c r="A652" s="14"/>
      <c r="B652" s="19"/>
      <c r="C652" s="19"/>
      <c r="D652" s="13"/>
      <c r="E652" s="12"/>
      <c r="F652" s="15" t="str">
        <f aca="false">IF(D652="","",IF(C652="Çekme",-D652,D652))</f>
        <v/>
      </c>
    </row>
    <row r="653" customFormat="false" ht="15" hidden="false" customHeight="false" outlineLevel="0" collapsed="false">
      <c r="A653" s="14"/>
      <c r="B653" s="19"/>
      <c r="C653" s="19"/>
      <c r="D653" s="13"/>
      <c r="E653" s="12"/>
      <c r="F653" s="15" t="str">
        <f aca="false">IF(D653="","",IF(C653="Çekme",-D653,D653))</f>
        <v/>
      </c>
    </row>
    <row r="654" customFormat="false" ht="15" hidden="false" customHeight="false" outlineLevel="0" collapsed="false">
      <c r="A654" s="14"/>
      <c r="B654" s="19"/>
      <c r="C654" s="19"/>
      <c r="D654" s="13"/>
      <c r="E654" s="12"/>
      <c r="F654" s="15" t="str">
        <f aca="false">IF(D654="","",IF(C654="Çekme",-D654,D654))</f>
        <v/>
      </c>
    </row>
    <row r="655" customFormat="false" ht="15" hidden="false" customHeight="false" outlineLevel="0" collapsed="false">
      <c r="A655" s="14"/>
      <c r="B655" s="19"/>
      <c r="C655" s="19"/>
      <c r="D655" s="13"/>
      <c r="E655" s="12"/>
      <c r="F655" s="15" t="str">
        <f aca="false">IF(D655="","",IF(C655="Çekme",-D655,D655))</f>
        <v/>
      </c>
    </row>
    <row r="656" customFormat="false" ht="15" hidden="false" customHeight="false" outlineLevel="0" collapsed="false">
      <c r="A656" s="14"/>
      <c r="B656" s="19"/>
      <c r="C656" s="19"/>
      <c r="D656" s="13"/>
      <c r="E656" s="12"/>
      <c r="F656" s="15" t="str">
        <f aca="false">IF(D656="","",IF(C656="Çekme",-D656,D656))</f>
        <v/>
      </c>
    </row>
    <row r="657" customFormat="false" ht="15" hidden="false" customHeight="false" outlineLevel="0" collapsed="false">
      <c r="A657" s="14"/>
      <c r="B657" s="19"/>
      <c r="C657" s="19"/>
      <c r="D657" s="13"/>
      <c r="E657" s="12"/>
      <c r="F657" s="15" t="str">
        <f aca="false">IF(D657="","",IF(C657="Çekme",-D657,D657))</f>
        <v/>
      </c>
    </row>
    <row r="658" customFormat="false" ht="15" hidden="false" customHeight="false" outlineLevel="0" collapsed="false">
      <c r="A658" s="14"/>
      <c r="B658" s="19"/>
      <c r="C658" s="19"/>
      <c r="D658" s="13"/>
      <c r="E658" s="12"/>
      <c r="F658" s="15" t="str">
        <f aca="false">IF(D658="","",IF(C658="Çekme",-D658,D658))</f>
        <v/>
      </c>
    </row>
    <row r="659" customFormat="false" ht="15" hidden="false" customHeight="false" outlineLevel="0" collapsed="false">
      <c r="A659" s="14"/>
      <c r="B659" s="19"/>
      <c r="C659" s="19"/>
      <c r="D659" s="13"/>
      <c r="E659" s="12"/>
      <c r="F659" s="15" t="str">
        <f aca="false">IF(D659="","",IF(C659="Çekme",-D659,D659))</f>
        <v/>
      </c>
    </row>
    <row r="660" customFormat="false" ht="15" hidden="false" customHeight="false" outlineLevel="0" collapsed="false">
      <c r="A660" s="14"/>
      <c r="B660" s="19"/>
      <c r="C660" s="19"/>
      <c r="D660" s="13"/>
      <c r="E660" s="12"/>
      <c r="F660" s="15" t="str">
        <f aca="false">IF(D660="","",IF(C660="Çekme",-D660,D660))</f>
        <v/>
      </c>
    </row>
    <row r="661" customFormat="false" ht="15" hidden="false" customHeight="false" outlineLevel="0" collapsed="false">
      <c r="A661" s="14"/>
      <c r="B661" s="19"/>
      <c r="C661" s="19"/>
      <c r="D661" s="13"/>
      <c r="E661" s="12"/>
      <c r="F661" s="15" t="str">
        <f aca="false">IF(D661="","",IF(C661="Çekme",-D661,D661))</f>
        <v/>
      </c>
    </row>
    <row r="662" customFormat="false" ht="15" hidden="false" customHeight="false" outlineLevel="0" collapsed="false">
      <c r="A662" s="14"/>
      <c r="B662" s="19"/>
      <c r="C662" s="19"/>
      <c r="D662" s="13"/>
      <c r="E662" s="12"/>
      <c r="F662" s="15" t="str">
        <f aca="false">IF(D662="","",IF(C662="Çekme",-D662,D662))</f>
        <v/>
      </c>
    </row>
    <row r="663" customFormat="false" ht="15" hidden="false" customHeight="false" outlineLevel="0" collapsed="false">
      <c r="A663" s="14"/>
      <c r="B663" s="19"/>
      <c r="C663" s="19"/>
      <c r="D663" s="13"/>
      <c r="E663" s="12"/>
      <c r="F663" s="15" t="str">
        <f aca="false">IF(D663="","",IF(C663="Çekme",-D663,D663))</f>
        <v/>
      </c>
    </row>
    <row r="664" customFormat="false" ht="15" hidden="false" customHeight="false" outlineLevel="0" collapsed="false">
      <c r="A664" s="14"/>
      <c r="B664" s="19"/>
      <c r="C664" s="19"/>
      <c r="D664" s="13"/>
      <c r="E664" s="12"/>
      <c r="F664" s="15" t="str">
        <f aca="false">IF(D664="","",IF(C664="Çekme",-D664,D664))</f>
        <v/>
      </c>
    </row>
    <row r="665" customFormat="false" ht="15" hidden="false" customHeight="false" outlineLevel="0" collapsed="false">
      <c r="A665" s="14"/>
      <c r="B665" s="19"/>
      <c r="C665" s="19"/>
      <c r="D665" s="13"/>
      <c r="E665" s="12"/>
      <c r="F665" s="15" t="str">
        <f aca="false">IF(D665="","",IF(C665="Çekme",-D665,D665))</f>
        <v/>
      </c>
    </row>
    <row r="666" customFormat="false" ht="15" hidden="false" customHeight="false" outlineLevel="0" collapsed="false">
      <c r="A666" s="14"/>
      <c r="B666" s="19"/>
      <c r="C666" s="19"/>
      <c r="D666" s="13"/>
      <c r="E666" s="12"/>
      <c r="F666" s="15" t="str">
        <f aca="false">IF(D666="","",IF(C666="Çekme",-D666,D666))</f>
        <v/>
      </c>
    </row>
    <row r="667" customFormat="false" ht="15" hidden="false" customHeight="false" outlineLevel="0" collapsed="false">
      <c r="A667" s="14"/>
      <c r="B667" s="19"/>
      <c r="C667" s="19"/>
      <c r="D667" s="13"/>
      <c r="E667" s="12"/>
      <c r="F667" s="15" t="str">
        <f aca="false">IF(D667="","",IF(C667="Çekme",-D667,D667))</f>
        <v/>
      </c>
    </row>
    <row r="668" customFormat="false" ht="15" hidden="false" customHeight="false" outlineLevel="0" collapsed="false">
      <c r="A668" s="14"/>
      <c r="B668" s="19"/>
      <c r="C668" s="19"/>
      <c r="D668" s="13"/>
      <c r="E668" s="12"/>
      <c r="F668" s="15" t="str">
        <f aca="false">IF(D668="","",IF(C668="Çekme",-D668,D668))</f>
        <v/>
      </c>
    </row>
    <row r="669" customFormat="false" ht="15" hidden="false" customHeight="false" outlineLevel="0" collapsed="false">
      <c r="A669" s="14"/>
      <c r="B669" s="19"/>
      <c r="C669" s="19"/>
      <c r="D669" s="13"/>
      <c r="E669" s="12"/>
      <c r="F669" s="15" t="str">
        <f aca="false">IF(D669="","",IF(C669="Çekme",-D669,D669))</f>
        <v/>
      </c>
    </row>
    <row r="670" customFormat="false" ht="15" hidden="false" customHeight="false" outlineLevel="0" collapsed="false">
      <c r="A670" s="14"/>
      <c r="B670" s="19"/>
      <c r="C670" s="19"/>
      <c r="D670" s="13"/>
      <c r="E670" s="12"/>
      <c r="F670" s="15" t="str">
        <f aca="false">IF(D670="","",IF(C670="Çekme",-D670,D670))</f>
        <v/>
      </c>
    </row>
    <row r="671" customFormat="false" ht="15" hidden="false" customHeight="false" outlineLevel="0" collapsed="false">
      <c r="A671" s="14"/>
      <c r="B671" s="19"/>
      <c r="C671" s="19"/>
      <c r="D671" s="13"/>
      <c r="E671" s="12"/>
      <c r="F671" s="15" t="str">
        <f aca="false">IF(D671="","",IF(C671="Çekme",-D671,D671))</f>
        <v/>
      </c>
    </row>
    <row r="672" customFormat="false" ht="15" hidden="false" customHeight="false" outlineLevel="0" collapsed="false">
      <c r="A672" s="14"/>
      <c r="B672" s="19"/>
      <c r="C672" s="19"/>
      <c r="D672" s="13"/>
      <c r="E672" s="12"/>
      <c r="F672" s="15" t="str">
        <f aca="false">IF(D672="","",IF(C672="Çekme",-D672,D672))</f>
        <v/>
      </c>
    </row>
    <row r="673" customFormat="false" ht="15" hidden="false" customHeight="false" outlineLevel="0" collapsed="false">
      <c r="A673" s="14"/>
      <c r="B673" s="19"/>
      <c r="C673" s="19"/>
      <c r="D673" s="13"/>
      <c r="E673" s="12"/>
      <c r="F673" s="15" t="str">
        <f aca="false">IF(D673="","",IF(C673="Çekme",-D673,D673))</f>
        <v/>
      </c>
    </row>
    <row r="674" customFormat="false" ht="15" hidden="false" customHeight="false" outlineLevel="0" collapsed="false">
      <c r="A674" s="14"/>
      <c r="B674" s="19"/>
      <c r="C674" s="19"/>
      <c r="D674" s="13"/>
      <c r="E674" s="12"/>
      <c r="F674" s="15" t="str">
        <f aca="false">IF(D674="","",IF(C674="Çekme",-D674,D674))</f>
        <v/>
      </c>
    </row>
    <row r="675" customFormat="false" ht="15" hidden="false" customHeight="false" outlineLevel="0" collapsed="false">
      <c r="A675" s="14"/>
      <c r="B675" s="19"/>
      <c r="C675" s="19"/>
      <c r="D675" s="13"/>
      <c r="E675" s="12"/>
      <c r="F675" s="15" t="str">
        <f aca="false">IF(D675="","",IF(C675="Çekme",-D675,D675))</f>
        <v/>
      </c>
    </row>
    <row r="676" customFormat="false" ht="15" hidden="false" customHeight="false" outlineLevel="0" collapsed="false">
      <c r="A676" s="14"/>
      <c r="B676" s="19"/>
      <c r="C676" s="19"/>
      <c r="D676" s="13"/>
      <c r="E676" s="12"/>
      <c r="F676" s="15" t="str">
        <f aca="false">IF(D676="","",IF(C676="Çekme",-D676,D676))</f>
        <v/>
      </c>
    </row>
    <row r="677" customFormat="false" ht="15" hidden="false" customHeight="false" outlineLevel="0" collapsed="false">
      <c r="A677" s="14"/>
      <c r="B677" s="19"/>
      <c r="C677" s="19"/>
      <c r="D677" s="13"/>
      <c r="E677" s="12"/>
      <c r="F677" s="15" t="str">
        <f aca="false">IF(D677="","",IF(C677="Çekme",-D677,D677))</f>
        <v/>
      </c>
    </row>
    <row r="678" customFormat="false" ht="15" hidden="false" customHeight="false" outlineLevel="0" collapsed="false">
      <c r="A678" s="14"/>
      <c r="B678" s="19"/>
      <c r="C678" s="19"/>
      <c r="D678" s="13"/>
      <c r="E678" s="12"/>
      <c r="F678" s="15" t="str">
        <f aca="false">IF(D678="","",IF(C678="Çekme",-D678,D678))</f>
        <v/>
      </c>
    </row>
    <row r="679" customFormat="false" ht="15" hidden="false" customHeight="false" outlineLevel="0" collapsed="false">
      <c r="A679" s="14"/>
      <c r="B679" s="19"/>
      <c r="C679" s="19"/>
      <c r="D679" s="13"/>
      <c r="E679" s="12"/>
      <c r="F679" s="15" t="str">
        <f aca="false">IF(D679="","",IF(C679="Çekme",-D679,D679))</f>
        <v/>
      </c>
    </row>
    <row r="680" customFormat="false" ht="15" hidden="false" customHeight="false" outlineLevel="0" collapsed="false">
      <c r="A680" s="14"/>
      <c r="B680" s="19"/>
      <c r="C680" s="19"/>
      <c r="D680" s="13"/>
      <c r="E680" s="12"/>
      <c r="F680" s="15" t="str">
        <f aca="false">IF(D680="","",IF(C680="Çekme",-D680,D680))</f>
        <v/>
      </c>
    </row>
    <row r="681" customFormat="false" ht="15" hidden="false" customHeight="false" outlineLevel="0" collapsed="false">
      <c r="A681" s="14"/>
      <c r="B681" s="19"/>
      <c r="C681" s="19"/>
      <c r="D681" s="13"/>
      <c r="E681" s="12"/>
      <c r="F681" s="15" t="str">
        <f aca="false">IF(D681="","",IF(C681="Çekme",-D681,D681))</f>
        <v/>
      </c>
    </row>
    <row r="682" customFormat="false" ht="15" hidden="false" customHeight="false" outlineLevel="0" collapsed="false">
      <c r="A682" s="14"/>
      <c r="B682" s="19"/>
      <c r="C682" s="19"/>
      <c r="D682" s="13"/>
      <c r="E682" s="12"/>
      <c r="F682" s="15" t="str">
        <f aca="false">IF(D682="","",IF(C682="Çekme",-D682,D682))</f>
        <v/>
      </c>
    </row>
    <row r="683" customFormat="false" ht="15" hidden="false" customHeight="false" outlineLevel="0" collapsed="false">
      <c r="A683" s="14"/>
      <c r="B683" s="19"/>
      <c r="C683" s="19"/>
      <c r="D683" s="13"/>
      <c r="E683" s="12"/>
      <c r="F683" s="15" t="str">
        <f aca="false">IF(D683="","",IF(C683="Çekme",-D683,D683))</f>
        <v/>
      </c>
    </row>
    <row r="684" customFormat="false" ht="15" hidden="false" customHeight="false" outlineLevel="0" collapsed="false">
      <c r="A684" s="14"/>
      <c r="B684" s="19"/>
      <c r="C684" s="19"/>
      <c r="D684" s="13"/>
      <c r="E684" s="12"/>
      <c r="F684" s="15" t="str">
        <f aca="false">IF(D684="","",IF(C684="Çekme",-D684,D684))</f>
        <v/>
      </c>
    </row>
    <row r="685" customFormat="false" ht="15" hidden="false" customHeight="false" outlineLevel="0" collapsed="false">
      <c r="A685" s="14"/>
      <c r="B685" s="19"/>
      <c r="C685" s="19"/>
      <c r="D685" s="13"/>
      <c r="E685" s="12"/>
      <c r="F685" s="15" t="str">
        <f aca="false">IF(D685="","",IF(C685="Çekme",-D685,D685))</f>
        <v/>
      </c>
    </row>
    <row r="686" customFormat="false" ht="15" hidden="false" customHeight="false" outlineLevel="0" collapsed="false">
      <c r="A686" s="14"/>
      <c r="B686" s="19"/>
      <c r="C686" s="19"/>
      <c r="D686" s="13"/>
      <c r="E686" s="12"/>
      <c r="F686" s="15" t="str">
        <f aca="false">IF(D686="","",IF(C686="Çekme",-D686,D686))</f>
        <v/>
      </c>
    </row>
    <row r="687" customFormat="false" ht="15" hidden="false" customHeight="false" outlineLevel="0" collapsed="false">
      <c r="A687" s="14"/>
      <c r="B687" s="19"/>
      <c r="C687" s="19"/>
      <c r="D687" s="13"/>
      <c r="E687" s="12"/>
      <c r="F687" s="15" t="str">
        <f aca="false">IF(D687="","",IF(C687="Çekme",-D687,D687))</f>
        <v/>
      </c>
    </row>
    <row r="688" customFormat="false" ht="15" hidden="false" customHeight="false" outlineLevel="0" collapsed="false">
      <c r="A688" s="14"/>
      <c r="B688" s="19"/>
      <c r="C688" s="19"/>
      <c r="D688" s="13"/>
      <c r="E688" s="12"/>
      <c r="F688" s="15" t="str">
        <f aca="false">IF(D688="","",IF(C688="Çekme",-D688,D688))</f>
        <v/>
      </c>
    </row>
    <row r="689" customFormat="false" ht="15" hidden="false" customHeight="false" outlineLevel="0" collapsed="false">
      <c r="A689" s="14"/>
      <c r="B689" s="19"/>
      <c r="C689" s="19"/>
      <c r="D689" s="13"/>
      <c r="E689" s="12"/>
      <c r="F689" s="15" t="str">
        <f aca="false">IF(D689="","",IF(C689="Çekme",-D689,D689))</f>
        <v/>
      </c>
    </row>
    <row r="690" customFormat="false" ht="15" hidden="false" customHeight="false" outlineLevel="0" collapsed="false">
      <c r="A690" s="14"/>
      <c r="B690" s="19"/>
      <c r="C690" s="19"/>
      <c r="D690" s="13"/>
      <c r="E690" s="12"/>
      <c r="F690" s="15" t="str">
        <f aca="false">IF(D690="","",IF(C690="Çekme",-D690,D690))</f>
        <v/>
      </c>
    </row>
    <row r="691" customFormat="false" ht="15" hidden="false" customHeight="false" outlineLevel="0" collapsed="false">
      <c r="A691" s="14"/>
      <c r="B691" s="19"/>
      <c r="C691" s="19"/>
      <c r="D691" s="13"/>
      <c r="E691" s="12"/>
      <c r="F691" s="15" t="str">
        <f aca="false">IF(D691="","",IF(C691="Çekme",-D691,D691))</f>
        <v/>
      </c>
    </row>
    <row r="692" customFormat="false" ht="15" hidden="false" customHeight="false" outlineLevel="0" collapsed="false">
      <c r="A692" s="14"/>
      <c r="B692" s="19"/>
      <c r="C692" s="19"/>
      <c r="D692" s="13"/>
      <c r="E692" s="12"/>
      <c r="F692" s="15" t="str">
        <f aca="false">IF(D692="","",IF(C692="Çekme",-D692,D692))</f>
        <v/>
      </c>
    </row>
    <row r="693" customFormat="false" ht="15" hidden="false" customHeight="false" outlineLevel="0" collapsed="false">
      <c r="A693" s="14"/>
      <c r="B693" s="19"/>
      <c r="C693" s="19"/>
      <c r="D693" s="13"/>
      <c r="E693" s="12"/>
      <c r="F693" s="15" t="str">
        <f aca="false">IF(D693="","",IF(C693="Çekme",-D693,D693))</f>
        <v/>
      </c>
    </row>
    <row r="694" customFormat="false" ht="15" hidden="false" customHeight="false" outlineLevel="0" collapsed="false">
      <c r="A694" s="14"/>
      <c r="B694" s="19"/>
      <c r="C694" s="19"/>
      <c r="D694" s="13"/>
      <c r="E694" s="12"/>
      <c r="F694" s="15" t="str">
        <f aca="false">IF(D694="","",IF(C694="Çekme",-D694,D694))</f>
        <v/>
      </c>
    </row>
    <row r="695" customFormat="false" ht="15" hidden="false" customHeight="false" outlineLevel="0" collapsed="false">
      <c r="A695" s="14"/>
      <c r="B695" s="19"/>
      <c r="C695" s="19"/>
      <c r="D695" s="13"/>
      <c r="E695" s="12"/>
      <c r="F695" s="15" t="str">
        <f aca="false">IF(D695="","",IF(C695="Çekme",-D695,D695))</f>
        <v/>
      </c>
    </row>
    <row r="696" customFormat="false" ht="15" hidden="false" customHeight="false" outlineLevel="0" collapsed="false">
      <c r="A696" s="14"/>
      <c r="B696" s="19"/>
      <c r="C696" s="19"/>
      <c r="D696" s="13"/>
      <c r="E696" s="12"/>
      <c r="F696" s="15" t="str">
        <f aca="false">IF(D696="","",IF(C696="Çekme",-D696,D696))</f>
        <v/>
      </c>
    </row>
    <row r="697" customFormat="false" ht="15" hidden="false" customHeight="false" outlineLevel="0" collapsed="false">
      <c r="A697" s="14"/>
      <c r="B697" s="19"/>
      <c r="C697" s="19"/>
      <c r="D697" s="13"/>
      <c r="E697" s="12"/>
      <c r="F697" s="15" t="str">
        <f aca="false">IF(D697="","",IF(C697="Çekme",-D697,D697))</f>
        <v/>
      </c>
    </row>
    <row r="698" customFormat="false" ht="15" hidden="false" customHeight="false" outlineLevel="0" collapsed="false">
      <c r="A698" s="14"/>
      <c r="B698" s="19"/>
      <c r="C698" s="19"/>
      <c r="D698" s="13"/>
      <c r="E698" s="12"/>
      <c r="F698" s="15" t="str">
        <f aca="false">IF(D698="","",IF(C698="Çekme",-D698,D698))</f>
        <v/>
      </c>
    </row>
    <row r="699" customFormat="false" ht="15" hidden="false" customHeight="false" outlineLevel="0" collapsed="false">
      <c r="A699" s="14"/>
      <c r="B699" s="19"/>
      <c r="C699" s="19"/>
      <c r="D699" s="13"/>
      <c r="E699" s="12"/>
      <c r="F699" s="15" t="str">
        <f aca="false">IF(D699="","",IF(C699="Çekme",-D699,D699))</f>
        <v/>
      </c>
    </row>
    <row r="700" customFormat="false" ht="15" hidden="false" customHeight="false" outlineLevel="0" collapsed="false">
      <c r="A700" s="14"/>
      <c r="B700" s="19"/>
      <c r="C700" s="19"/>
      <c r="D700" s="13"/>
      <c r="E700" s="12"/>
      <c r="F700" s="15" t="str">
        <f aca="false">IF(D700="","",IF(C700="Çekme",-D700,D700))</f>
        <v/>
      </c>
    </row>
    <row r="701" customFormat="false" ht="15" hidden="false" customHeight="false" outlineLevel="0" collapsed="false">
      <c r="A701" s="14"/>
      <c r="B701" s="19"/>
      <c r="C701" s="19"/>
      <c r="D701" s="13"/>
      <c r="E701" s="12"/>
      <c r="F701" s="15" t="str">
        <f aca="false">IF(D701="","",IF(C701="Çekme",-D701,D701))</f>
        <v/>
      </c>
    </row>
    <row r="702" customFormat="false" ht="15" hidden="false" customHeight="false" outlineLevel="0" collapsed="false">
      <c r="A702" s="14"/>
      <c r="B702" s="19"/>
      <c r="C702" s="19"/>
      <c r="D702" s="13"/>
      <c r="E702" s="12"/>
      <c r="F702" s="15" t="str">
        <f aca="false">IF(D702="","",IF(C702="Çekme",-D702,D702))</f>
        <v/>
      </c>
    </row>
    <row r="703" customFormat="false" ht="15" hidden="false" customHeight="false" outlineLevel="0" collapsed="false">
      <c r="A703" s="14"/>
      <c r="B703" s="19"/>
      <c r="C703" s="19"/>
      <c r="D703" s="13"/>
      <c r="E703" s="12"/>
      <c r="F703" s="15" t="str">
        <f aca="false">IF(D703="","",IF(C703="Çekme",-D703,D703))</f>
        <v/>
      </c>
    </row>
    <row r="704" customFormat="false" ht="15" hidden="false" customHeight="false" outlineLevel="0" collapsed="false">
      <c r="A704" s="14"/>
      <c r="B704" s="19"/>
      <c r="C704" s="19"/>
      <c r="D704" s="13"/>
      <c r="E704" s="12"/>
      <c r="F704" s="15" t="str">
        <f aca="false">IF(D704="","",IF(C704="Çekme",-D704,D704))</f>
        <v/>
      </c>
    </row>
    <row r="705" customFormat="false" ht="15" hidden="false" customHeight="false" outlineLevel="0" collapsed="false">
      <c r="A705" s="14"/>
      <c r="B705" s="19"/>
      <c r="C705" s="19"/>
      <c r="D705" s="13"/>
      <c r="E705" s="12"/>
      <c r="F705" s="15" t="str">
        <f aca="false">IF(D705="","",IF(C705="Çekme",-D705,D705))</f>
        <v/>
      </c>
    </row>
    <row r="706" customFormat="false" ht="15" hidden="false" customHeight="false" outlineLevel="0" collapsed="false">
      <c r="A706" s="14"/>
      <c r="B706" s="19"/>
      <c r="C706" s="19"/>
      <c r="D706" s="13"/>
      <c r="E706" s="12"/>
      <c r="F706" s="15" t="str">
        <f aca="false">IF(D706="","",IF(C706="Çekme",-D706,D706))</f>
        <v/>
      </c>
    </row>
    <row r="707" customFormat="false" ht="15" hidden="false" customHeight="false" outlineLevel="0" collapsed="false">
      <c r="A707" s="14"/>
      <c r="B707" s="19"/>
      <c r="C707" s="19"/>
      <c r="D707" s="13"/>
      <c r="E707" s="12"/>
      <c r="F707" s="15" t="str">
        <f aca="false">IF(D707="","",IF(C707="Çekme",-D707,D707))</f>
        <v/>
      </c>
    </row>
    <row r="708" customFormat="false" ht="15" hidden="false" customHeight="false" outlineLevel="0" collapsed="false">
      <c r="A708" s="14"/>
      <c r="B708" s="19"/>
      <c r="C708" s="19"/>
      <c r="D708" s="13"/>
      <c r="E708" s="12"/>
      <c r="F708" s="15" t="str">
        <f aca="false">IF(D708="","",IF(C708="Çekme",-D708,D708))</f>
        <v/>
      </c>
    </row>
    <row r="709" customFormat="false" ht="15" hidden="false" customHeight="false" outlineLevel="0" collapsed="false">
      <c r="A709" s="14"/>
      <c r="B709" s="19"/>
      <c r="C709" s="19"/>
      <c r="D709" s="13"/>
      <c r="E709" s="12"/>
      <c r="F709" s="15" t="str">
        <f aca="false">IF(D709="","",IF(C709="Çekme",-D709,D709))</f>
        <v/>
      </c>
    </row>
    <row r="710" customFormat="false" ht="15" hidden="false" customHeight="false" outlineLevel="0" collapsed="false">
      <c r="A710" s="14"/>
      <c r="B710" s="19"/>
      <c r="C710" s="19"/>
      <c r="D710" s="13"/>
      <c r="E710" s="12"/>
      <c r="F710" s="15" t="str">
        <f aca="false">IF(D710="","",IF(C710="Çekme",-D710,D710))</f>
        <v/>
      </c>
    </row>
    <row r="711" customFormat="false" ht="15" hidden="false" customHeight="false" outlineLevel="0" collapsed="false">
      <c r="A711" s="14"/>
      <c r="B711" s="19"/>
      <c r="C711" s="19"/>
      <c r="D711" s="13"/>
      <c r="E711" s="12"/>
      <c r="F711" s="15" t="str">
        <f aca="false">IF(D711="","",IF(C711="Çekme",-D711,D711))</f>
        <v/>
      </c>
    </row>
    <row r="712" customFormat="false" ht="15" hidden="false" customHeight="false" outlineLevel="0" collapsed="false">
      <c r="A712" s="14"/>
      <c r="B712" s="19"/>
      <c r="C712" s="19"/>
      <c r="D712" s="13"/>
      <c r="E712" s="12"/>
      <c r="F712" s="15" t="str">
        <f aca="false">IF(D712="","",IF(C712="Çekme",-D712,D712))</f>
        <v/>
      </c>
    </row>
    <row r="713" customFormat="false" ht="15" hidden="false" customHeight="false" outlineLevel="0" collapsed="false">
      <c r="A713" s="14"/>
      <c r="B713" s="19"/>
      <c r="C713" s="19"/>
      <c r="D713" s="13"/>
      <c r="E713" s="12"/>
      <c r="F713" s="15" t="str">
        <f aca="false">IF(D713="","",IF(C713="Çekme",-D713,D713))</f>
        <v/>
      </c>
    </row>
    <row r="714" customFormat="false" ht="15" hidden="false" customHeight="false" outlineLevel="0" collapsed="false">
      <c r="A714" s="14"/>
      <c r="B714" s="19"/>
      <c r="C714" s="19"/>
      <c r="D714" s="13"/>
      <c r="E714" s="12"/>
      <c r="F714" s="15" t="str">
        <f aca="false">IF(D714="","",IF(C714="Çekme",-D714,D714))</f>
        <v/>
      </c>
    </row>
    <row r="715" customFormat="false" ht="15" hidden="false" customHeight="false" outlineLevel="0" collapsed="false">
      <c r="A715" s="14"/>
      <c r="B715" s="19"/>
      <c r="C715" s="19"/>
      <c r="D715" s="13"/>
      <c r="E715" s="12"/>
      <c r="F715" s="15" t="str">
        <f aca="false">IF(D715="","",IF(C715="Çekme",-D715,D715))</f>
        <v/>
      </c>
    </row>
    <row r="716" customFormat="false" ht="15" hidden="false" customHeight="false" outlineLevel="0" collapsed="false">
      <c r="A716" s="14"/>
      <c r="B716" s="19"/>
      <c r="C716" s="19"/>
      <c r="D716" s="13"/>
      <c r="E716" s="12"/>
      <c r="F716" s="15" t="str">
        <f aca="false">IF(D716="","",IF(C716="Çekme",-D716,D716))</f>
        <v/>
      </c>
    </row>
    <row r="717" customFormat="false" ht="15" hidden="false" customHeight="false" outlineLevel="0" collapsed="false">
      <c r="A717" s="14"/>
      <c r="B717" s="19"/>
      <c r="C717" s="19"/>
      <c r="D717" s="13"/>
      <c r="E717" s="12"/>
      <c r="F717" s="15" t="str">
        <f aca="false">IF(D717="","",IF(C717="Çekme",-D717,D717))</f>
        <v/>
      </c>
    </row>
    <row r="718" customFormat="false" ht="15" hidden="false" customHeight="false" outlineLevel="0" collapsed="false">
      <c r="A718" s="14"/>
      <c r="B718" s="19"/>
      <c r="C718" s="19"/>
      <c r="D718" s="13"/>
      <c r="E718" s="12"/>
      <c r="F718" s="15" t="str">
        <f aca="false">IF(D718="","",IF(C718="Çekme",-D718,D718))</f>
        <v/>
      </c>
    </row>
    <row r="719" customFormat="false" ht="15" hidden="false" customHeight="false" outlineLevel="0" collapsed="false">
      <c r="A719" s="14"/>
      <c r="B719" s="19"/>
      <c r="C719" s="19"/>
      <c r="D719" s="13"/>
      <c r="E719" s="12"/>
      <c r="F719" s="15" t="str">
        <f aca="false">IF(D719="","",IF(C719="Çekme",-D719,D719))</f>
        <v/>
      </c>
    </row>
    <row r="720" customFormat="false" ht="15" hidden="false" customHeight="false" outlineLevel="0" collapsed="false">
      <c r="A720" s="14"/>
      <c r="B720" s="19"/>
      <c r="C720" s="19"/>
      <c r="D720" s="13"/>
      <c r="E720" s="12"/>
      <c r="F720" s="15" t="str">
        <f aca="false">IF(D720="","",IF(C720="Çekme",-D720,D720))</f>
        <v/>
      </c>
    </row>
    <row r="721" customFormat="false" ht="15" hidden="false" customHeight="false" outlineLevel="0" collapsed="false">
      <c r="A721" s="14"/>
      <c r="B721" s="19"/>
      <c r="C721" s="19"/>
      <c r="D721" s="13"/>
      <c r="E721" s="12"/>
      <c r="F721" s="15" t="str">
        <f aca="false">IF(D721="","",IF(C721="Çekme",-D721,D721))</f>
        <v/>
      </c>
    </row>
    <row r="722" customFormat="false" ht="15" hidden="false" customHeight="false" outlineLevel="0" collapsed="false">
      <c r="A722" s="14"/>
      <c r="B722" s="19"/>
      <c r="C722" s="19"/>
      <c r="D722" s="13"/>
      <c r="E722" s="12"/>
      <c r="F722" s="15" t="str">
        <f aca="false">IF(D722="","",IF(C722="Çekme",-D722,D722))</f>
        <v/>
      </c>
    </row>
    <row r="723" customFormat="false" ht="15" hidden="false" customHeight="false" outlineLevel="0" collapsed="false">
      <c r="A723" s="14"/>
      <c r="B723" s="19"/>
      <c r="C723" s="19"/>
      <c r="D723" s="13"/>
      <c r="E723" s="12"/>
      <c r="F723" s="15" t="str">
        <f aca="false">IF(D723="","",IF(C723="Çekme",-D723,D723))</f>
        <v/>
      </c>
    </row>
    <row r="724" customFormat="false" ht="15" hidden="false" customHeight="false" outlineLevel="0" collapsed="false">
      <c r="A724" s="14"/>
      <c r="B724" s="19"/>
      <c r="C724" s="19"/>
      <c r="D724" s="13"/>
      <c r="E724" s="12"/>
      <c r="F724" s="15" t="str">
        <f aca="false">IF(D724="","",IF(C724="Çekme",-D724,D724))</f>
        <v/>
      </c>
    </row>
    <row r="725" customFormat="false" ht="15" hidden="false" customHeight="false" outlineLevel="0" collapsed="false">
      <c r="A725" s="14"/>
      <c r="B725" s="19"/>
      <c r="C725" s="19"/>
      <c r="D725" s="13"/>
      <c r="E725" s="12"/>
      <c r="F725" s="15" t="str">
        <f aca="false">IF(D725="","",IF(C725="Çekme",-D725,D725))</f>
        <v/>
      </c>
    </row>
    <row r="726" customFormat="false" ht="15" hidden="false" customHeight="false" outlineLevel="0" collapsed="false">
      <c r="A726" s="14"/>
      <c r="B726" s="19"/>
      <c r="C726" s="19"/>
      <c r="D726" s="13"/>
      <c r="E726" s="12"/>
      <c r="F726" s="15" t="str">
        <f aca="false">IF(D726="","",IF(C726="Çekme",-D726,D726))</f>
        <v/>
      </c>
    </row>
    <row r="727" customFormat="false" ht="15" hidden="false" customHeight="false" outlineLevel="0" collapsed="false">
      <c r="A727" s="14"/>
      <c r="B727" s="19"/>
      <c r="C727" s="19"/>
      <c r="D727" s="13"/>
      <c r="E727" s="12"/>
      <c r="F727" s="15" t="str">
        <f aca="false">IF(D727="","",IF(C727="Çekme",-D727,D727))</f>
        <v/>
      </c>
    </row>
    <row r="728" customFormat="false" ht="15" hidden="false" customHeight="false" outlineLevel="0" collapsed="false">
      <c r="A728" s="14"/>
      <c r="B728" s="19"/>
      <c r="C728" s="19"/>
      <c r="D728" s="13"/>
      <c r="E728" s="12"/>
      <c r="F728" s="15" t="str">
        <f aca="false">IF(D728="","",IF(C728="Çekme",-D728,D728))</f>
        <v/>
      </c>
    </row>
    <row r="729" customFormat="false" ht="15" hidden="false" customHeight="false" outlineLevel="0" collapsed="false">
      <c r="A729" s="14"/>
      <c r="B729" s="19"/>
      <c r="C729" s="19"/>
      <c r="D729" s="13"/>
      <c r="E729" s="12"/>
      <c r="F729" s="15" t="str">
        <f aca="false">IF(D729="","",IF(C729="Çekme",-D729,D729))</f>
        <v/>
      </c>
    </row>
    <row r="730" customFormat="false" ht="15" hidden="false" customHeight="false" outlineLevel="0" collapsed="false">
      <c r="A730" s="14"/>
      <c r="B730" s="19"/>
      <c r="C730" s="19"/>
      <c r="D730" s="13"/>
      <c r="E730" s="12"/>
      <c r="F730" s="15" t="str">
        <f aca="false">IF(D730="","",IF(C730="Çekme",-D730,D730))</f>
        <v/>
      </c>
    </row>
    <row r="731" customFormat="false" ht="15" hidden="false" customHeight="false" outlineLevel="0" collapsed="false">
      <c r="A731" s="14"/>
      <c r="B731" s="19"/>
      <c r="C731" s="19"/>
      <c r="D731" s="13"/>
      <c r="E731" s="12"/>
      <c r="F731" s="15" t="str">
        <f aca="false">IF(D731="","",IF(C731="Çekme",-D731,D731))</f>
        <v/>
      </c>
    </row>
    <row r="732" customFormat="false" ht="15" hidden="false" customHeight="false" outlineLevel="0" collapsed="false">
      <c r="A732" s="14"/>
      <c r="B732" s="19"/>
      <c r="C732" s="19"/>
      <c r="D732" s="13"/>
      <c r="E732" s="12"/>
      <c r="F732" s="15" t="str">
        <f aca="false">IF(D732="","",IF(C732="Çekme",-D732,D732))</f>
        <v/>
      </c>
    </row>
    <row r="733" customFormat="false" ht="15" hidden="false" customHeight="false" outlineLevel="0" collapsed="false">
      <c r="A733" s="14"/>
      <c r="B733" s="19"/>
      <c r="C733" s="19"/>
      <c r="D733" s="13"/>
      <c r="E733" s="12"/>
      <c r="F733" s="15" t="str">
        <f aca="false">IF(D733="","",IF(C733="Çekme",-D733,D733))</f>
        <v/>
      </c>
    </row>
    <row r="734" customFormat="false" ht="15" hidden="false" customHeight="false" outlineLevel="0" collapsed="false">
      <c r="A734" s="14"/>
      <c r="B734" s="19"/>
      <c r="C734" s="19"/>
      <c r="D734" s="13"/>
      <c r="E734" s="12"/>
      <c r="F734" s="15" t="str">
        <f aca="false">IF(D734="","",IF(C734="Çekme",-D734,D734))</f>
        <v/>
      </c>
    </row>
    <row r="735" customFormat="false" ht="15" hidden="false" customHeight="false" outlineLevel="0" collapsed="false">
      <c r="A735" s="14"/>
      <c r="B735" s="19"/>
      <c r="C735" s="19"/>
      <c r="D735" s="13"/>
      <c r="E735" s="12"/>
      <c r="F735" s="15" t="str">
        <f aca="false">IF(D735="","",IF(C735="Çekme",-D735,D735))</f>
        <v/>
      </c>
    </row>
    <row r="736" customFormat="false" ht="15" hidden="false" customHeight="false" outlineLevel="0" collapsed="false">
      <c r="A736" s="14"/>
      <c r="B736" s="19"/>
      <c r="C736" s="19"/>
      <c r="D736" s="13"/>
      <c r="E736" s="12"/>
      <c r="F736" s="15" t="str">
        <f aca="false">IF(D736="","",IF(C736="Çekme",-D736,D736))</f>
        <v/>
      </c>
    </row>
    <row r="737" customFormat="false" ht="15" hidden="false" customHeight="false" outlineLevel="0" collapsed="false">
      <c r="A737" s="14"/>
      <c r="B737" s="19"/>
      <c r="C737" s="19"/>
      <c r="D737" s="13"/>
      <c r="E737" s="12"/>
      <c r="F737" s="15" t="str">
        <f aca="false">IF(D737="","",IF(C737="Çekme",-D737,D737))</f>
        <v/>
      </c>
    </row>
    <row r="738" customFormat="false" ht="15" hidden="false" customHeight="false" outlineLevel="0" collapsed="false">
      <c r="A738" s="14"/>
      <c r="B738" s="19"/>
      <c r="C738" s="19"/>
      <c r="D738" s="13"/>
      <c r="E738" s="12"/>
      <c r="F738" s="15" t="str">
        <f aca="false">IF(D738="","",IF(C738="Çekme",-D738,D738))</f>
        <v/>
      </c>
    </row>
    <row r="739" customFormat="false" ht="15" hidden="false" customHeight="false" outlineLevel="0" collapsed="false">
      <c r="A739" s="14"/>
      <c r="B739" s="19"/>
      <c r="C739" s="19"/>
      <c r="D739" s="13"/>
      <c r="E739" s="12"/>
      <c r="F739" s="15" t="str">
        <f aca="false">IF(D739="","",IF(C739="Çekme",-D739,D739))</f>
        <v/>
      </c>
    </row>
    <row r="740" customFormat="false" ht="15" hidden="false" customHeight="false" outlineLevel="0" collapsed="false">
      <c r="A740" s="14"/>
      <c r="B740" s="19"/>
      <c r="C740" s="19"/>
      <c r="D740" s="13"/>
      <c r="E740" s="12"/>
      <c r="F740" s="15" t="str">
        <f aca="false">IF(D740="","",IF(C740="Çekme",-D740,D740))</f>
        <v/>
      </c>
    </row>
    <row r="741" customFormat="false" ht="15" hidden="false" customHeight="false" outlineLevel="0" collapsed="false">
      <c r="A741" s="14"/>
      <c r="B741" s="19"/>
      <c r="C741" s="19"/>
      <c r="D741" s="13"/>
      <c r="E741" s="12"/>
      <c r="F741" s="15" t="str">
        <f aca="false">IF(D741="","",IF(C741="Çekme",-D741,D741))</f>
        <v/>
      </c>
    </row>
    <row r="742" customFormat="false" ht="15" hidden="false" customHeight="false" outlineLevel="0" collapsed="false">
      <c r="A742" s="14"/>
      <c r="B742" s="19"/>
      <c r="C742" s="19"/>
      <c r="D742" s="13"/>
      <c r="E742" s="12"/>
      <c r="F742" s="15" t="str">
        <f aca="false">IF(D742="","",IF(C742="Çekme",-D742,D742))</f>
        <v/>
      </c>
    </row>
    <row r="743" customFormat="false" ht="15" hidden="false" customHeight="false" outlineLevel="0" collapsed="false">
      <c r="A743" s="14"/>
      <c r="B743" s="19"/>
      <c r="C743" s="19"/>
      <c r="D743" s="13"/>
      <c r="E743" s="12"/>
      <c r="F743" s="15" t="str">
        <f aca="false">IF(D743="","",IF(C743="Çekme",-D743,D743))</f>
        <v/>
      </c>
    </row>
    <row r="744" customFormat="false" ht="15" hidden="false" customHeight="false" outlineLevel="0" collapsed="false">
      <c r="A744" s="14"/>
      <c r="B744" s="19"/>
      <c r="C744" s="19"/>
      <c r="D744" s="13"/>
      <c r="E744" s="12"/>
      <c r="F744" s="15" t="str">
        <f aca="false">IF(D744="","",IF(C744="Çekme",-D744,D744))</f>
        <v/>
      </c>
    </row>
    <row r="745" customFormat="false" ht="15" hidden="false" customHeight="false" outlineLevel="0" collapsed="false">
      <c r="A745" s="14"/>
      <c r="B745" s="19"/>
      <c r="C745" s="19"/>
      <c r="D745" s="13"/>
      <c r="E745" s="12"/>
      <c r="F745" s="15" t="str">
        <f aca="false">IF(D745="","",IF(C745="Çekme",-D745,D745))</f>
        <v/>
      </c>
    </row>
    <row r="746" customFormat="false" ht="15" hidden="false" customHeight="false" outlineLevel="0" collapsed="false">
      <c r="A746" s="14"/>
      <c r="B746" s="19"/>
      <c r="C746" s="19"/>
      <c r="D746" s="13"/>
      <c r="E746" s="12"/>
      <c r="F746" s="15" t="str">
        <f aca="false">IF(D746="","",IF(C746="Çekme",-D746,D746))</f>
        <v/>
      </c>
    </row>
    <row r="747" customFormat="false" ht="15" hidden="false" customHeight="false" outlineLevel="0" collapsed="false">
      <c r="A747" s="14"/>
      <c r="B747" s="19"/>
      <c r="C747" s="19"/>
      <c r="D747" s="13"/>
      <c r="E747" s="12"/>
      <c r="F747" s="15" t="str">
        <f aca="false">IF(D747="","",IF(C747="Çekme",-D747,D747))</f>
        <v/>
      </c>
    </row>
    <row r="748" customFormat="false" ht="15" hidden="false" customHeight="false" outlineLevel="0" collapsed="false">
      <c r="A748" s="14"/>
      <c r="B748" s="19"/>
      <c r="C748" s="19"/>
      <c r="D748" s="13"/>
      <c r="E748" s="12"/>
      <c r="F748" s="15" t="str">
        <f aca="false">IF(D748="","",IF(C748="Çekme",-D748,D748))</f>
        <v/>
      </c>
    </row>
    <row r="749" customFormat="false" ht="15" hidden="false" customHeight="false" outlineLevel="0" collapsed="false">
      <c r="A749" s="14"/>
      <c r="B749" s="19"/>
      <c r="C749" s="19"/>
      <c r="D749" s="13"/>
      <c r="E749" s="12"/>
      <c r="F749" s="15" t="str">
        <f aca="false">IF(D749="","",IF(C749="Çekme",-D749,D749))</f>
        <v/>
      </c>
    </row>
    <row r="750" customFormat="false" ht="15" hidden="false" customHeight="false" outlineLevel="0" collapsed="false">
      <c r="A750" s="14"/>
      <c r="B750" s="19"/>
      <c r="C750" s="19"/>
      <c r="D750" s="13"/>
      <c r="E750" s="12"/>
      <c r="F750" s="15" t="str">
        <f aca="false">IF(D750="","",IF(C750="Çekme",-D750,D750))</f>
        <v/>
      </c>
    </row>
    <row r="751" customFormat="false" ht="15" hidden="false" customHeight="false" outlineLevel="0" collapsed="false">
      <c r="A751" s="14"/>
      <c r="B751" s="19"/>
      <c r="C751" s="19"/>
      <c r="D751" s="13"/>
      <c r="E751" s="12"/>
      <c r="F751" s="15" t="str">
        <f aca="false">IF(D751="","",IF(C751="Çekme",-D751,D751))</f>
        <v/>
      </c>
    </row>
    <row r="752" customFormat="false" ht="15" hidden="false" customHeight="false" outlineLevel="0" collapsed="false">
      <c r="A752" s="14"/>
      <c r="B752" s="19"/>
      <c r="C752" s="19"/>
      <c r="D752" s="13"/>
      <c r="E752" s="12"/>
      <c r="F752" s="15" t="str">
        <f aca="false">IF(D752="","",IF(C752="Çekme",-D752,D752))</f>
        <v/>
      </c>
    </row>
    <row r="753" customFormat="false" ht="15" hidden="false" customHeight="false" outlineLevel="0" collapsed="false">
      <c r="A753" s="14"/>
      <c r="B753" s="19"/>
      <c r="C753" s="19"/>
      <c r="D753" s="13"/>
      <c r="E753" s="12"/>
      <c r="F753" s="15" t="str">
        <f aca="false">IF(D753="","",IF(C753="Çekme",-D753,D753))</f>
        <v/>
      </c>
    </row>
    <row r="754" customFormat="false" ht="15" hidden="false" customHeight="false" outlineLevel="0" collapsed="false">
      <c r="A754" s="14"/>
      <c r="B754" s="19"/>
      <c r="C754" s="19"/>
      <c r="D754" s="13"/>
      <c r="E754" s="12"/>
      <c r="F754" s="15" t="str">
        <f aca="false">IF(D754="","",IF(C754="Çekme",-D754,D754))</f>
        <v/>
      </c>
    </row>
    <row r="755" customFormat="false" ht="15" hidden="false" customHeight="false" outlineLevel="0" collapsed="false">
      <c r="A755" s="14"/>
      <c r="B755" s="19"/>
      <c r="C755" s="19"/>
      <c r="D755" s="13"/>
      <c r="E755" s="12"/>
      <c r="F755" s="15" t="str">
        <f aca="false">IF(D755="","",IF(C755="Çekme",-D755,D755))</f>
        <v/>
      </c>
    </row>
    <row r="756" customFormat="false" ht="15" hidden="false" customHeight="false" outlineLevel="0" collapsed="false">
      <c r="A756" s="14"/>
      <c r="B756" s="19"/>
      <c r="C756" s="19"/>
      <c r="D756" s="13"/>
      <c r="E756" s="12"/>
      <c r="F756" s="15" t="str">
        <f aca="false">IF(D756="","",IF(C756="Çekme",-D756,D756))</f>
        <v/>
      </c>
    </row>
    <row r="757" customFormat="false" ht="15" hidden="false" customHeight="false" outlineLevel="0" collapsed="false">
      <c r="A757" s="14"/>
      <c r="B757" s="19"/>
      <c r="C757" s="19"/>
      <c r="D757" s="13"/>
      <c r="E757" s="12"/>
      <c r="F757" s="15" t="str">
        <f aca="false">IF(D757="","",IF(C757="Çekme",-D757,D757))</f>
        <v/>
      </c>
    </row>
    <row r="758" customFormat="false" ht="15" hidden="false" customHeight="false" outlineLevel="0" collapsed="false">
      <c r="A758" s="14"/>
      <c r="B758" s="19"/>
      <c r="C758" s="19"/>
      <c r="D758" s="13"/>
      <c r="E758" s="12"/>
      <c r="F758" s="15" t="str">
        <f aca="false">IF(D758="","",IF(C758="Çekme",-D758,D758))</f>
        <v/>
      </c>
    </row>
    <row r="759" customFormat="false" ht="15" hidden="false" customHeight="false" outlineLevel="0" collapsed="false">
      <c r="A759" s="14"/>
      <c r="B759" s="19"/>
      <c r="C759" s="19"/>
      <c r="D759" s="13"/>
      <c r="E759" s="12"/>
      <c r="F759" s="15" t="str">
        <f aca="false">IF(D759="","",IF(C759="Çekme",-D759,D759))</f>
        <v/>
      </c>
    </row>
    <row r="760" customFormat="false" ht="15" hidden="false" customHeight="false" outlineLevel="0" collapsed="false">
      <c r="A760" s="14"/>
      <c r="B760" s="19"/>
      <c r="C760" s="19"/>
      <c r="D760" s="13"/>
      <c r="E760" s="12"/>
      <c r="F760" s="15" t="str">
        <f aca="false">IF(D760="","",IF(C760="Çekme",-D760,D760))</f>
        <v/>
      </c>
    </row>
    <row r="761" customFormat="false" ht="15" hidden="false" customHeight="false" outlineLevel="0" collapsed="false">
      <c r="A761" s="14"/>
      <c r="B761" s="19"/>
      <c r="C761" s="19"/>
      <c r="D761" s="13"/>
      <c r="E761" s="12"/>
      <c r="F761" s="15" t="str">
        <f aca="false">IF(D761="","",IF(C761="Çekme",-D761,D761))</f>
        <v/>
      </c>
    </row>
    <row r="762" customFormat="false" ht="15" hidden="false" customHeight="false" outlineLevel="0" collapsed="false">
      <c r="A762" s="14"/>
      <c r="B762" s="19"/>
      <c r="C762" s="19"/>
      <c r="D762" s="13"/>
      <c r="E762" s="12"/>
      <c r="F762" s="15" t="str">
        <f aca="false">IF(D762="","",IF(C762="Çekme",-D762,D762))</f>
        <v/>
      </c>
    </row>
    <row r="763" customFormat="false" ht="15" hidden="false" customHeight="false" outlineLevel="0" collapsed="false">
      <c r="A763" s="14"/>
      <c r="B763" s="19"/>
      <c r="C763" s="19"/>
      <c r="D763" s="13"/>
      <c r="E763" s="12"/>
      <c r="F763" s="15" t="str">
        <f aca="false">IF(D763="","",IF(C763="Çekme",-D763,D763))</f>
        <v/>
      </c>
    </row>
    <row r="764" customFormat="false" ht="15" hidden="false" customHeight="false" outlineLevel="0" collapsed="false">
      <c r="A764" s="14"/>
      <c r="B764" s="19"/>
      <c r="C764" s="19"/>
      <c r="D764" s="13"/>
      <c r="E764" s="12"/>
      <c r="F764" s="15" t="str">
        <f aca="false">IF(D764="","",IF(C764="Çekme",-D764,D764))</f>
        <v/>
      </c>
    </row>
    <row r="765" customFormat="false" ht="15" hidden="false" customHeight="false" outlineLevel="0" collapsed="false">
      <c r="A765" s="14"/>
      <c r="B765" s="19"/>
      <c r="C765" s="19"/>
      <c r="D765" s="13"/>
      <c r="E765" s="12"/>
      <c r="F765" s="15" t="str">
        <f aca="false">IF(D765="","",IF(C765="Çekme",-D765,D765))</f>
        <v/>
      </c>
    </row>
    <row r="766" customFormat="false" ht="15" hidden="false" customHeight="false" outlineLevel="0" collapsed="false">
      <c r="A766" s="14"/>
      <c r="B766" s="19"/>
      <c r="C766" s="19"/>
      <c r="D766" s="13"/>
      <c r="E766" s="12"/>
      <c r="F766" s="15" t="str">
        <f aca="false">IF(D766="","",IF(C766="Çekme",-D766,D766))</f>
        <v/>
      </c>
    </row>
    <row r="767" customFormat="false" ht="15" hidden="false" customHeight="false" outlineLevel="0" collapsed="false">
      <c r="A767" s="14"/>
      <c r="B767" s="19"/>
      <c r="C767" s="19"/>
      <c r="D767" s="13"/>
      <c r="E767" s="12"/>
      <c r="F767" s="15" t="str">
        <f aca="false">IF(D767="","",IF(C767="Çekme",-D767,D767))</f>
        <v/>
      </c>
    </row>
    <row r="768" customFormat="false" ht="15" hidden="false" customHeight="false" outlineLevel="0" collapsed="false">
      <c r="A768" s="14"/>
      <c r="B768" s="19"/>
      <c r="C768" s="19"/>
      <c r="D768" s="13"/>
      <c r="E768" s="12"/>
      <c r="F768" s="15" t="str">
        <f aca="false">IF(D768="","",IF(C768="Çekme",-D768,D768))</f>
        <v/>
      </c>
    </row>
    <row r="769" customFormat="false" ht="15" hidden="false" customHeight="false" outlineLevel="0" collapsed="false">
      <c r="A769" s="14"/>
      <c r="B769" s="19"/>
      <c r="C769" s="19"/>
      <c r="D769" s="13"/>
      <c r="E769" s="12"/>
      <c r="F769" s="15" t="str">
        <f aca="false">IF(D769="","",IF(C769="Çekme",-D769,D769))</f>
        <v/>
      </c>
    </row>
    <row r="770" customFormat="false" ht="15" hidden="false" customHeight="false" outlineLevel="0" collapsed="false">
      <c r="A770" s="14"/>
      <c r="B770" s="19"/>
      <c r="C770" s="19"/>
      <c r="D770" s="13"/>
      <c r="E770" s="12"/>
      <c r="F770" s="15" t="str">
        <f aca="false">IF(D770="","",IF(C770="Çekme",-D770,D770))</f>
        <v/>
      </c>
    </row>
    <row r="771" customFormat="false" ht="15" hidden="false" customHeight="false" outlineLevel="0" collapsed="false">
      <c r="A771" s="14"/>
      <c r="B771" s="19"/>
      <c r="C771" s="19"/>
      <c r="D771" s="13"/>
      <c r="E771" s="12"/>
      <c r="F771" s="15" t="str">
        <f aca="false">IF(D771="","",IF(C771="Çekme",-D771,D771))</f>
        <v/>
      </c>
    </row>
    <row r="772" customFormat="false" ht="15" hidden="false" customHeight="false" outlineLevel="0" collapsed="false">
      <c r="A772" s="14"/>
      <c r="B772" s="19"/>
      <c r="C772" s="19"/>
      <c r="D772" s="13"/>
      <c r="E772" s="12"/>
      <c r="F772" s="15" t="str">
        <f aca="false">IF(D772="","",IF(C772="Çekme",-D772,D772))</f>
        <v/>
      </c>
    </row>
    <row r="773" customFormat="false" ht="15" hidden="false" customHeight="false" outlineLevel="0" collapsed="false">
      <c r="A773" s="14"/>
      <c r="B773" s="19"/>
      <c r="C773" s="19"/>
      <c r="D773" s="13"/>
      <c r="E773" s="12"/>
      <c r="F773" s="15" t="str">
        <f aca="false">IF(D773="","",IF(C773="Çekme",-D773,D773))</f>
        <v/>
      </c>
    </row>
    <row r="774" customFormat="false" ht="15" hidden="false" customHeight="false" outlineLevel="0" collapsed="false">
      <c r="A774" s="14"/>
      <c r="B774" s="19"/>
      <c r="C774" s="19"/>
      <c r="D774" s="13"/>
      <c r="E774" s="12"/>
      <c r="F774" s="15" t="str">
        <f aca="false">IF(D774="","",IF(C774="Çekme",-D774,D774))</f>
        <v/>
      </c>
    </row>
    <row r="775" customFormat="false" ht="15" hidden="false" customHeight="false" outlineLevel="0" collapsed="false">
      <c r="A775" s="14"/>
      <c r="B775" s="19"/>
      <c r="C775" s="19"/>
      <c r="D775" s="13"/>
      <c r="E775" s="12"/>
      <c r="F775" s="15" t="str">
        <f aca="false">IF(D775="","",IF(C775="Çekme",-D775,D775))</f>
        <v/>
      </c>
    </row>
    <row r="776" customFormat="false" ht="15" hidden="false" customHeight="false" outlineLevel="0" collapsed="false">
      <c r="A776" s="14"/>
      <c r="B776" s="19"/>
      <c r="C776" s="19"/>
      <c r="D776" s="13"/>
      <c r="E776" s="12"/>
      <c r="F776" s="15" t="str">
        <f aca="false">IF(D776="","",IF(C776="Çekme",-D776,D776))</f>
        <v/>
      </c>
    </row>
    <row r="777" customFormat="false" ht="15" hidden="false" customHeight="false" outlineLevel="0" collapsed="false">
      <c r="A777" s="14"/>
      <c r="B777" s="19"/>
      <c r="C777" s="19"/>
      <c r="D777" s="13"/>
      <c r="E777" s="12"/>
      <c r="F777" s="15" t="str">
        <f aca="false">IF(D777="","",IF(C777="Çekme",-D777,D777))</f>
        <v/>
      </c>
    </row>
    <row r="778" customFormat="false" ht="15" hidden="false" customHeight="false" outlineLevel="0" collapsed="false">
      <c r="A778" s="14"/>
      <c r="B778" s="19"/>
      <c r="C778" s="19"/>
      <c r="D778" s="13"/>
      <c r="E778" s="12"/>
      <c r="F778" s="15" t="str">
        <f aca="false">IF(D778="","",IF(C778="Çekme",-D778,D778))</f>
        <v/>
      </c>
    </row>
    <row r="779" customFormat="false" ht="15" hidden="false" customHeight="false" outlineLevel="0" collapsed="false">
      <c r="A779" s="14"/>
      <c r="B779" s="19"/>
      <c r="C779" s="19"/>
      <c r="D779" s="13"/>
      <c r="E779" s="12"/>
      <c r="F779" s="15" t="str">
        <f aca="false">IF(D779="","",IF(C779="Çekme",-D779,D779))</f>
        <v/>
      </c>
    </row>
    <row r="780" customFormat="false" ht="15" hidden="false" customHeight="false" outlineLevel="0" collapsed="false">
      <c r="A780" s="14"/>
      <c r="B780" s="19"/>
      <c r="C780" s="19"/>
      <c r="D780" s="13"/>
      <c r="E780" s="12"/>
      <c r="F780" s="15" t="str">
        <f aca="false">IF(D780="","",IF(C780="Çekme",-D780,D780))</f>
        <v/>
      </c>
    </row>
    <row r="781" customFormat="false" ht="15" hidden="false" customHeight="false" outlineLevel="0" collapsed="false">
      <c r="A781" s="14"/>
      <c r="B781" s="19"/>
      <c r="C781" s="19"/>
      <c r="D781" s="13"/>
      <c r="E781" s="12"/>
      <c r="F781" s="15" t="str">
        <f aca="false">IF(D781="","",IF(C781="Çekme",-D781,D781))</f>
        <v/>
      </c>
    </row>
    <row r="782" customFormat="false" ht="15" hidden="false" customHeight="false" outlineLevel="0" collapsed="false">
      <c r="A782" s="14"/>
      <c r="B782" s="19"/>
      <c r="C782" s="19"/>
      <c r="D782" s="13"/>
      <c r="E782" s="12"/>
      <c r="F782" s="15" t="str">
        <f aca="false">IF(D782="","",IF(C782="Çekme",-D782,D782))</f>
        <v/>
      </c>
    </row>
    <row r="783" customFormat="false" ht="15" hidden="false" customHeight="false" outlineLevel="0" collapsed="false">
      <c r="A783" s="14"/>
      <c r="B783" s="19"/>
      <c r="C783" s="19"/>
      <c r="D783" s="13"/>
      <c r="E783" s="12"/>
      <c r="F783" s="15" t="str">
        <f aca="false">IF(D783="","",IF(C783="Çekme",-D783,D783))</f>
        <v/>
      </c>
    </row>
    <row r="784" customFormat="false" ht="15" hidden="false" customHeight="false" outlineLevel="0" collapsed="false">
      <c r="A784" s="14"/>
      <c r="B784" s="19"/>
      <c r="C784" s="19"/>
      <c r="D784" s="13"/>
      <c r="E784" s="12"/>
      <c r="F784" s="15" t="str">
        <f aca="false">IF(D784="","",IF(C784="Çekme",-D784,D784))</f>
        <v/>
      </c>
    </row>
    <row r="785" customFormat="false" ht="15" hidden="false" customHeight="false" outlineLevel="0" collapsed="false">
      <c r="A785" s="14"/>
      <c r="B785" s="19"/>
      <c r="C785" s="19"/>
      <c r="D785" s="13"/>
      <c r="E785" s="12"/>
      <c r="F785" s="15" t="str">
        <f aca="false">IF(D785="","",IF(C785="Çekme",-D785,D785))</f>
        <v/>
      </c>
    </row>
    <row r="786" customFormat="false" ht="15" hidden="false" customHeight="false" outlineLevel="0" collapsed="false">
      <c r="A786" s="14"/>
      <c r="B786" s="19"/>
      <c r="C786" s="19"/>
      <c r="D786" s="13"/>
      <c r="E786" s="12"/>
      <c r="F786" s="15" t="str">
        <f aca="false">IF(D786="","",IF(C786="Çekme",-D786,D786))</f>
        <v/>
      </c>
    </row>
    <row r="787" customFormat="false" ht="15" hidden="false" customHeight="false" outlineLevel="0" collapsed="false">
      <c r="A787" s="14"/>
      <c r="B787" s="19"/>
      <c r="C787" s="19"/>
      <c r="D787" s="13"/>
      <c r="E787" s="12"/>
      <c r="F787" s="15" t="str">
        <f aca="false">IF(D787="","",IF(C787="Çekme",-D787,D787))</f>
        <v/>
      </c>
    </row>
    <row r="788" customFormat="false" ht="15" hidden="false" customHeight="false" outlineLevel="0" collapsed="false">
      <c r="A788" s="14"/>
      <c r="B788" s="19"/>
      <c r="C788" s="19"/>
      <c r="D788" s="13"/>
      <c r="E788" s="12"/>
      <c r="F788" s="15" t="str">
        <f aca="false">IF(D788="","",IF(C788="Çekme",-D788,D788))</f>
        <v/>
      </c>
    </row>
    <row r="789" customFormat="false" ht="15" hidden="false" customHeight="false" outlineLevel="0" collapsed="false">
      <c r="A789" s="14"/>
      <c r="B789" s="19"/>
      <c r="C789" s="19"/>
      <c r="D789" s="13"/>
      <c r="E789" s="12"/>
      <c r="F789" s="15" t="str">
        <f aca="false">IF(D789="","",IF(C789="Çekme",-D789,D789))</f>
        <v/>
      </c>
    </row>
    <row r="790" customFormat="false" ht="15" hidden="false" customHeight="false" outlineLevel="0" collapsed="false">
      <c r="A790" s="14"/>
      <c r="B790" s="19"/>
      <c r="C790" s="19"/>
      <c r="D790" s="13"/>
      <c r="E790" s="12"/>
      <c r="F790" s="15" t="str">
        <f aca="false">IF(D790="","",IF(C790="Çekme",-D790,D790))</f>
        <v/>
      </c>
    </row>
    <row r="791" customFormat="false" ht="15" hidden="false" customHeight="false" outlineLevel="0" collapsed="false">
      <c r="A791" s="14"/>
      <c r="B791" s="19"/>
      <c r="C791" s="19"/>
      <c r="D791" s="13"/>
      <c r="E791" s="12"/>
      <c r="F791" s="15" t="str">
        <f aca="false">IF(D791="","",IF(C791="Çekme",-D791,D791))</f>
        <v/>
      </c>
    </row>
    <row r="792" customFormat="false" ht="15" hidden="false" customHeight="false" outlineLevel="0" collapsed="false">
      <c r="A792" s="14"/>
      <c r="B792" s="19"/>
      <c r="C792" s="19"/>
      <c r="D792" s="13"/>
      <c r="E792" s="12"/>
      <c r="F792" s="15" t="str">
        <f aca="false">IF(D792="","",IF(C792="Çekme",-D792,D792))</f>
        <v/>
      </c>
    </row>
    <row r="793" customFormat="false" ht="15" hidden="false" customHeight="false" outlineLevel="0" collapsed="false">
      <c r="A793" s="14"/>
      <c r="B793" s="19"/>
      <c r="C793" s="19"/>
      <c r="D793" s="13"/>
      <c r="E793" s="12"/>
      <c r="F793" s="15" t="str">
        <f aca="false">IF(D793="","",IF(C793="Çekme",-D793,D793))</f>
        <v/>
      </c>
    </row>
    <row r="794" customFormat="false" ht="15" hidden="false" customHeight="false" outlineLevel="0" collapsed="false">
      <c r="A794" s="14"/>
      <c r="B794" s="19"/>
      <c r="C794" s="19"/>
      <c r="D794" s="13"/>
      <c r="E794" s="12"/>
      <c r="F794" s="15" t="str">
        <f aca="false">IF(D794="","",IF(C794="Çekme",-D794,D794))</f>
        <v/>
      </c>
    </row>
    <row r="795" customFormat="false" ht="15" hidden="false" customHeight="false" outlineLevel="0" collapsed="false">
      <c r="A795" s="14"/>
      <c r="B795" s="19"/>
      <c r="C795" s="19"/>
      <c r="D795" s="13"/>
      <c r="E795" s="12"/>
      <c r="F795" s="15" t="str">
        <f aca="false">IF(D795="","",IF(C795="Çekme",-D795,D795))</f>
        <v/>
      </c>
    </row>
    <row r="796" customFormat="false" ht="15" hidden="false" customHeight="false" outlineLevel="0" collapsed="false">
      <c r="A796" s="14"/>
      <c r="B796" s="19"/>
      <c r="C796" s="19"/>
      <c r="D796" s="13"/>
      <c r="E796" s="12"/>
      <c r="F796" s="15" t="str">
        <f aca="false">IF(D796="","",IF(C796="Çekme",-D796,D796))</f>
        <v/>
      </c>
    </row>
    <row r="797" customFormat="false" ht="15" hidden="false" customHeight="false" outlineLevel="0" collapsed="false">
      <c r="A797" s="14"/>
      <c r="B797" s="19"/>
      <c r="C797" s="19"/>
      <c r="D797" s="13"/>
      <c r="E797" s="12"/>
      <c r="F797" s="15" t="str">
        <f aca="false">IF(D797="","",IF(C797="Çekme",-D797,D797))</f>
        <v/>
      </c>
    </row>
    <row r="798" customFormat="false" ht="15" hidden="false" customHeight="false" outlineLevel="0" collapsed="false">
      <c r="A798" s="14"/>
      <c r="B798" s="19"/>
      <c r="C798" s="19"/>
      <c r="D798" s="13"/>
      <c r="E798" s="12"/>
      <c r="F798" s="15" t="str">
        <f aca="false">IF(D798="","",IF(C798="Çekme",-D798,D798))</f>
        <v/>
      </c>
    </row>
    <row r="799" customFormat="false" ht="15" hidden="false" customHeight="false" outlineLevel="0" collapsed="false">
      <c r="A799" s="14"/>
      <c r="B799" s="19"/>
      <c r="C799" s="19"/>
      <c r="D799" s="13"/>
      <c r="E799" s="12"/>
      <c r="F799" s="15" t="str">
        <f aca="false">IF(D799="","",IF(C799="Çekme",-D799,D799))</f>
        <v/>
      </c>
    </row>
    <row r="800" customFormat="false" ht="15" hidden="false" customHeight="false" outlineLevel="0" collapsed="false">
      <c r="A800" s="14"/>
      <c r="B800" s="19"/>
      <c r="C800" s="19"/>
      <c r="D800" s="13"/>
      <c r="E800" s="12"/>
      <c r="F800" s="15" t="str">
        <f aca="false">IF(D800="","",IF(C800="Çekme",-D800,D800))</f>
        <v/>
      </c>
    </row>
    <row r="801" customFormat="false" ht="15" hidden="false" customHeight="false" outlineLevel="0" collapsed="false">
      <c r="A801" s="14"/>
      <c r="B801" s="19"/>
      <c r="C801" s="19"/>
      <c r="D801" s="13"/>
      <c r="E801" s="12"/>
      <c r="F801" s="15" t="str">
        <f aca="false">IF(D801="","",IF(C801="Çekme",-D801,D801))</f>
        <v/>
      </c>
    </row>
    <row r="802" customFormat="false" ht="15" hidden="false" customHeight="false" outlineLevel="0" collapsed="false">
      <c r="A802" s="14"/>
      <c r="B802" s="19"/>
      <c r="C802" s="19"/>
      <c r="D802" s="13"/>
      <c r="E802" s="12"/>
      <c r="F802" s="15" t="str">
        <f aca="false">IF(D802="","",IF(C802="Çekme",-D802,D802))</f>
        <v/>
      </c>
    </row>
    <row r="803" customFormat="false" ht="15" hidden="false" customHeight="false" outlineLevel="0" collapsed="false">
      <c r="A803" s="14"/>
      <c r="B803" s="19"/>
      <c r="C803" s="19"/>
      <c r="D803" s="13"/>
      <c r="E803" s="12"/>
      <c r="F803" s="15" t="str">
        <f aca="false">IF(D803="","",IF(C803="Çekme",-D803,D803))</f>
        <v/>
      </c>
    </row>
    <row r="804" customFormat="false" ht="15" hidden="false" customHeight="false" outlineLevel="0" collapsed="false">
      <c r="A804" s="14"/>
      <c r="B804" s="19"/>
      <c r="C804" s="19"/>
      <c r="D804" s="13"/>
      <c r="E804" s="12"/>
      <c r="F804" s="15" t="str">
        <f aca="false">IF(D804="","",IF(C804="Çekme",-D804,D804))</f>
        <v/>
      </c>
    </row>
    <row r="805" customFormat="false" ht="15" hidden="false" customHeight="false" outlineLevel="0" collapsed="false">
      <c r="A805" s="14"/>
      <c r="B805" s="19"/>
      <c r="C805" s="19"/>
      <c r="D805" s="13"/>
      <c r="E805" s="12"/>
      <c r="F805" s="15" t="str">
        <f aca="false">IF(D805="","",IF(C805="Çekme",-D805,D805))</f>
        <v/>
      </c>
    </row>
    <row r="806" customFormat="false" ht="15" hidden="false" customHeight="false" outlineLevel="0" collapsed="false">
      <c r="A806" s="14"/>
      <c r="B806" s="19"/>
      <c r="C806" s="19"/>
      <c r="D806" s="13"/>
      <c r="E806" s="12"/>
      <c r="F806" s="15" t="str">
        <f aca="false">IF(D806="","",IF(C806="Çekme",-D806,D806))</f>
        <v/>
      </c>
    </row>
    <row r="807" customFormat="false" ht="15" hidden="false" customHeight="false" outlineLevel="0" collapsed="false">
      <c r="A807" s="14"/>
      <c r="B807" s="19"/>
      <c r="C807" s="19"/>
      <c r="D807" s="13"/>
      <c r="E807" s="12"/>
      <c r="F807" s="15" t="str">
        <f aca="false">IF(D807="","",IF(C807="Çekme",-D807,D807))</f>
        <v/>
      </c>
    </row>
    <row r="808" customFormat="false" ht="15" hidden="false" customHeight="false" outlineLevel="0" collapsed="false">
      <c r="A808" s="14"/>
      <c r="B808" s="19"/>
      <c r="C808" s="19"/>
      <c r="D808" s="13"/>
      <c r="E808" s="12"/>
      <c r="F808" s="15" t="str">
        <f aca="false">IF(D808="","",IF(C808="Çekme",-D808,D808))</f>
        <v/>
      </c>
    </row>
    <row r="809" customFormat="false" ht="15" hidden="false" customHeight="false" outlineLevel="0" collapsed="false">
      <c r="A809" s="14"/>
      <c r="B809" s="19"/>
      <c r="C809" s="19"/>
      <c r="D809" s="13"/>
      <c r="E809" s="12"/>
      <c r="F809" s="15" t="str">
        <f aca="false">IF(D809="","",IF(C809="Çekme",-D809,D809))</f>
        <v/>
      </c>
    </row>
    <row r="810" customFormat="false" ht="15" hidden="false" customHeight="false" outlineLevel="0" collapsed="false">
      <c r="A810" s="14"/>
      <c r="B810" s="19"/>
      <c r="C810" s="19"/>
      <c r="D810" s="13"/>
      <c r="E810" s="12"/>
      <c r="F810" s="15" t="str">
        <f aca="false">IF(D810="","",IF(C810="Çekme",-D810,D810))</f>
        <v/>
      </c>
    </row>
    <row r="811" customFormat="false" ht="15" hidden="false" customHeight="false" outlineLevel="0" collapsed="false">
      <c r="A811" s="14"/>
      <c r="B811" s="19"/>
      <c r="C811" s="19"/>
      <c r="D811" s="13"/>
      <c r="E811" s="12"/>
      <c r="F811" s="15" t="str">
        <f aca="false">IF(D811="","",IF(C811="Çekme",-D811,D811))</f>
        <v/>
      </c>
    </row>
    <row r="812" customFormat="false" ht="15" hidden="false" customHeight="false" outlineLevel="0" collapsed="false">
      <c r="A812" s="14"/>
      <c r="B812" s="19"/>
      <c r="C812" s="19"/>
      <c r="D812" s="13"/>
      <c r="E812" s="12"/>
      <c r="F812" s="15" t="str">
        <f aca="false">IF(D812="","",IF(C812="Çekme",-D812,D812))</f>
        <v/>
      </c>
    </row>
    <row r="813" customFormat="false" ht="15" hidden="false" customHeight="false" outlineLevel="0" collapsed="false">
      <c r="A813" s="14"/>
      <c r="B813" s="19"/>
      <c r="C813" s="19"/>
      <c r="D813" s="13"/>
      <c r="E813" s="12"/>
      <c r="F813" s="15" t="str">
        <f aca="false">IF(D813="","",IF(C813="Çekme",-D813,D813))</f>
        <v/>
      </c>
    </row>
    <row r="814" customFormat="false" ht="15" hidden="false" customHeight="false" outlineLevel="0" collapsed="false">
      <c r="A814" s="14"/>
      <c r="B814" s="19"/>
      <c r="C814" s="19"/>
      <c r="D814" s="13"/>
      <c r="E814" s="12"/>
      <c r="F814" s="15" t="str">
        <f aca="false">IF(D814="","",IF(C814="Çekme",-D814,D814))</f>
        <v/>
      </c>
    </row>
    <row r="815" customFormat="false" ht="15" hidden="false" customHeight="false" outlineLevel="0" collapsed="false">
      <c r="A815" s="14"/>
      <c r="B815" s="19"/>
      <c r="C815" s="19"/>
      <c r="D815" s="13"/>
      <c r="E815" s="12"/>
      <c r="F815" s="15" t="str">
        <f aca="false">IF(D815="","",IF(C815="Çekme",-D815,D815))</f>
        <v/>
      </c>
    </row>
    <row r="816" customFormat="false" ht="15" hidden="false" customHeight="false" outlineLevel="0" collapsed="false">
      <c r="A816" s="14"/>
      <c r="B816" s="19"/>
      <c r="C816" s="19"/>
      <c r="D816" s="13"/>
      <c r="E816" s="12"/>
      <c r="F816" s="15" t="str">
        <f aca="false">IF(D816="","",IF(C816="Çekme",-D816,D816))</f>
        <v/>
      </c>
    </row>
    <row r="817" customFormat="false" ht="15" hidden="false" customHeight="false" outlineLevel="0" collapsed="false">
      <c r="A817" s="14"/>
      <c r="B817" s="19"/>
      <c r="C817" s="19"/>
      <c r="D817" s="13"/>
      <c r="E817" s="12"/>
      <c r="F817" s="15" t="str">
        <f aca="false">IF(D817="","",IF(C817="Çekme",-D817,D817))</f>
        <v/>
      </c>
    </row>
    <row r="818" customFormat="false" ht="15" hidden="false" customHeight="false" outlineLevel="0" collapsed="false">
      <c r="A818" s="14"/>
      <c r="B818" s="19"/>
      <c r="C818" s="19"/>
      <c r="D818" s="13"/>
      <c r="E818" s="12"/>
      <c r="F818" s="15" t="str">
        <f aca="false">IF(D818="","",IF(C818="Çekme",-D818,D818))</f>
        <v/>
      </c>
    </row>
    <row r="819" customFormat="false" ht="15" hidden="false" customHeight="false" outlineLevel="0" collapsed="false">
      <c r="A819" s="14"/>
      <c r="B819" s="19"/>
      <c r="C819" s="19"/>
      <c r="D819" s="13"/>
      <c r="E819" s="12"/>
      <c r="F819" s="15" t="str">
        <f aca="false">IF(D819="","",IF(C819="Çekme",-D819,D819))</f>
        <v/>
      </c>
    </row>
    <row r="820" customFormat="false" ht="15" hidden="false" customHeight="false" outlineLevel="0" collapsed="false">
      <c r="A820" s="14"/>
      <c r="B820" s="19"/>
      <c r="C820" s="19"/>
      <c r="D820" s="13"/>
      <c r="E820" s="12"/>
      <c r="F820" s="15" t="str">
        <f aca="false">IF(D820="","",IF(C820="Çekme",-D820,D820))</f>
        <v/>
      </c>
    </row>
    <row r="821" customFormat="false" ht="15" hidden="false" customHeight="false" outlineLevel="0" collapsed="false">
      <c r="A821" s="14"/>
      <c r="B821" s="19"/>
      <c r="C821" s="19"/>
      <c r="D821" s="13"/>
      <c r="E821" s="12"/>
      <c r="F821" s="15" t="str">
        <f aca="false">IF(D821="","",IF(C821="Çekme",-D821,D821))</f>
        <v/>
      </c>
    </row>
    <row r="822" customFormat="false" ht="15" hidden="false" customHeight="false" outlineLevel="0" collapsed="false">
      <c r="A822" s="14"/>
      <c r="B822" s="19"/>
      <c r="C822" s="19"/>
      <c r="D822" s="13"/>
      <c r="E822" s="12"/>
      <c r="F822" s="15" t="str">
        <f aca="false">IF(D822="","",IF(C822="Çekme",-D822,D822))</f>
        <v/>
      </c>
    </row>
    <row r="823" customFormat="false" ht="15" hidden="false" customHeight="false" outlineLevel="0" collapsed="false">
      <c r="A823" s="14"/>
      <c r="B823" s="19"/>
      <c r="C823" s="19"/>
      <c r="D823" s="13"/>
      <c r="E823" s="12"/>
      <c r="F823" s="15" t="str">
        <f aca="false">IF(D823="","",IF(C823="Çekme",-D823,D823))</f>
        <v/>
      </c>
    </row>
    <row r="824" customFormat="false" ht="15" hidden="false" customHeight="false" outlineLevel="0" collapsed="false">
      <c r="A824" s="14"/>
      <c r="B824" s="19"/>
      <c r="C824" s="19"/>
      <c r="D824" s="13"/>
      <c r="E824" s="12"/>
      <c r="F824" s="15" t="str">
        <f aca="false">IF(D824="","",IF(C824="Çekme",-D824,D824))</f>
        <v/>
      </c>
    </row>
    <row r="825" customFormat="false" ht="15" hidden="false" customHeight="false" outlineLevel="0" collapsed="false">
      <c r="A825" s="14"/>
      <c r="B825" s="19"/>
      <c r="C825" s="19"/>
      <c r="D825" s="13"/>
      <c r="E825" s="12"/>
      <c r="F825" s="15" t="str">
        <f aca="false">IF(D825="","",IF(C825="Çekme",-D825,D825))</f>
        <v/>
      </c>
    </row>
    <row r="826" customFormat="false" ht="15" hidden="false" customHeight="false" outlineLevel="0" collapsed="false">
      <c r="A826" s="14"/>
      <c r="B826" s="19"/>
      <c r="C826" s="19"/>
      <c r="D826" s="13"/>
      <c r="E826" s="12"/>
      <c r="F826" s="15" t="str">
        <f aca="false">IF(D826="","",IF(C826="Çekme",-D826,D826))</f>
        <v/>
      </c>
    </row>
    <row r="827" customFormat="false" ht="15" hidden="false" customHeight="false" outlineLevel="0" collapsed="false">
      <c r="A827" s="14"/>
      <c r="B827" s="19"/>
      <c r="C827" s="19"/>
      <c r="D827" s="13"/>
      <c r="E827" s="12"/>
      <c r="F827" s="15" t="str">
        <f aca="false">IF(D827="","",IF(C827="Çekme",-D827,D827))</f>
        <v/>
      </c>
    </row>
    <row r="828" customFormat="false" ht="15" hidden="false" customHeight="false" outlineLevel="0" collapsed="false">
      <c r="A828" s="14"/>
      <c r="B828" s="19"/>
      <c r="C828" s="19"/>
      <c r="D828" s="13"/>
      <c r="E828" s="12"/>
      <c r="F828" s="15" t="str">
        <f aca="false">IF(D828="","",IF(C828="Çekme",-D828,D828))</f>
        <v/>
      </c>
    </row>
    <row r="829" customFormat="false" ht="15" hidden="false" customHeight="false" outlineLevel="0" collapsed="false">
      <c r="A829" s="14"/>
      <c r="B829" s="19"/>
      <c r="C829" s="19"/>
      <c r="D829" s="13"/>
      <c r="E829" s="12"/>
      <c r="F829" s="15" t="str">
        <f aca="false">IF(D829="","",IF(C829="Çekme",-D829,D829))</f>
        <v/>
      </c>
    </row>
    <row r="830" customFormat="false" ht="15" hidden="false" customHeight="false" outlineLevel="0" collapsed="false">
      <c r="A830" s="14"/>
      <c r="B830" s="19"/>
      <c r="C830" s="19"/>
      <c r="D830" s="13"/>
      <c r="E830" s="12"/>
      <c r="F830" s="15" t="str">
        <f aca="false">IF(D830="","",IF(C830="Çekme",-D830,D830))</f>
        <v/>
      </c>
    </row>
    <row r="831" customFormat="false" ht="15" hidden="false" customHeight="false" outlineLevel="0" collapsed="false">
      <c r="A831" s="14"/>
      <c r="B831" s="19"/>
      <c r="C831" s="19"/>
      <c r="D831" s="13"/>
      <c r="E831" s="12"/>
      <c r="F831" s="15" t="str">
        <f aca="false">IF(D831="","",IF(C831="Çekme",-D831,D831))</f>
        <v/>
      </c>
    </row>
    <row r="832" customFormat="false" ht="15" hidden="false" customHeight="false" outlineLevel="0" collapsed="false">
      <c r="A832" s="14"/>
      <c r="B832" s="19"/>
      <c r="C832" s="19"/>
      <c r="D832" s="13"/>
      <c r="E832" s="12"/>
      <c r="F832" s="15" t="str">
        <f aca="false">IF(D832="","",IF(C832="Çekme",-D832,D832))</f>
        <v/>
      </c>
    </row>
    <row r="833" customFormat="false" ht="15" hidden="false" customHeight="false" outlineLevel="0" collapsed="false">
      <c r="A833" s="14"/>
      <c r="B833" s="19"/>
      <c r="C833" s="19"/>
      <c r="D833" s="13"/>
      <c r="E833" s="12"/>
      <c r="F833" s="15" t="str">
        <f aca="false">IF(D833="","",IF(C833="Çekme",-D833,D833))</f>
        <v/>
      </c>
    </row>
    <row r="834" customFormat="false" ht="15" hidden="false" customHeight="false" outlineLevel="0" collapsed="false">
      <c r="A834" s="14"/>
      <c r="B834" s="19"/>
      <c r="C834" s="19"/>
      <c r="D834" s="13"/>
      <c r="E834" s="12"/>
      <c r="F834" s="15" t="str">
        <f aca="false">IF(D834="","",IF(C834="Çekme",-D834,D834))</f>
        <v/>
      </c>
    </row>
    <row r="835" customFormat="false" ht="15" hidden="false" customHeight="false" outlineLevel="0" collapsed="false">
      <c r="A835" s="14"/>
      <c r="B835" s="19"/>
      <c r="C835" s="19"/>
      <c r="D835" s="13"/>
      <c r="E835" s="12"/>
      <c r="F835" s="15" t="str">
        <f aca="false">IF(D835="","",IF(C835="Çekme",-D835,D835))</f>
        <v/>
      </c>
    </row>
    <row r="836" customFormat="false" ht="15" hidden="false" customHeight="false" outlineLevel="0" collapsed="false">
      <c r="A836" s="14"/>
      <c r="B836" s="19"/>
      <c r="C836" s="19"/>
      <c r="D836" s="13"/>
      <c r="E836" s="12"/>
      <c r="F836" s="15" t="str">
        <f aca="false">IF(D836="","",IF(C836="Çekme",-D836,D836))</f>
        <v/>
      </c>
    </row>
    <row r="837" customFormat="false" ht="15" hidden="false" customHeight="false" outlineLevel="0" collapsed="false">
      <c r="A837" s="14"/>
      <c r="B837" s="19"/>
      <c r="C837" s="19"/>
      <c r="D837" s="13"/>
      <c r="E837" s="12"/>
      <c r="F837" s="15" t="str">
        <f aca="false">IF(D837="","",IF(C837="Çekme",-D837,D837))</f>
        <v/>
      </c>
    </row>
    <row r="838" customFormat="false" ht="15" hidden="false" customHeight="false" outlineLevel="0" collapsed="false">
      <c r="A838" s="14"/>
      <c r="B838" s="19"/>
      <c r="C838" s="19"/>
      <c r="D838" s="13"/>
      <c r="E838" s="12"/>
      <c r="F838" s="15" t="str">
        <f aca="false">IF(D838="","",IF(C838="Çekme",-D838,D838))</f>
        <v/>
      </c>
    </row>
    <row r="839" customFormat="false" ht="15" hidden="false" customHeight="false" outlineLevel="0" collapsed="false">
      <c r="A839" s="14"/>
      <c r="B839" s="19"/>
      <c r="C839" s="19"/>
      <c r="D839" s="13"/>
      <c r="E839" s="12"/>
      <c r="F839" s="15" t="str">
        <f aca="false">IF(D839="","",IF(C839="Çekme",-D839,D839))</f>
        <v/>
      </c>
    </row>
    <row r="840" customFormat="false" ht="15" hidden="false" customHeight="false" outlineLevel="0" collapsed="false">
      <c r="A840" s="14"/>
      <c r="B840" s="19"/>
      <c r="C840" s="19"/>
      <c r="D840" s="13"/>
      <c r="E840" s="12"/>
      <c r="F840" s="15" t="str">
        <f aca="false">IF(D840="","",IF(C840="Çekme",-D840,D840))</f>
        <v/>
      </c>
    </row>
    <row r="841" customFormat="false" ht="15" hidden="false" customHeight="false" outlineLevel="0" collapsed="false">
      <c r="A841" s="14"/>
      <c r="B841" s="19"/>
      <c r="C841" s="19"/>
      <c r="D841" s="13"/>
      <c r="E841" s="12"/>
      <c r="F841" s="15" t="str">
        <f aca="false">IF(D841="","",IF(C841="Çekme",-D841,D841))</f>
        <v/>
      </c>
    </row>
    <row r="842" customFormat="false" ht="15" hidden="false" customHeight="false" outlineLevel="0" collapsed="false">
      <c r="A842" s="14"/>
      <c r="B842" s="19"/>
      <c r="C842" s="19"/>
      <c r="D842" s="13"/>
      <c r="E842" s="12"/>
      <c r="F842" s="15" t="str">
        <f aca="false">IF(D842="","",IF(C842="Çekme",-D842,D842))</f>
        <v/>
      </c>
    </row>
    <row r="843" customFormat="false" ht="15" hidden="false" customHeight="false" outlineLevel="0" collapsed="false">
      <c r="A843" s="14"/>
      <c r="B843" s="19"/>
      <c r="C843" s="19"/>
      <c r="D843" s="13"/>
      <c r="E843" s="12"/>
      <c r="F843" s="15" t="str">
        <f aca="false">IF(D843="","",IF(C843="Çekme",-D843,D843))</f>
        <v/>
      </c>
    </row>
    <row r="844" customFormat="false" ht="15" hidden="false" customHeight="false" outlineLevel="0" collapsed="false">
      <c r="A844" s="14"/>
      <c r="B844" s="19"/>
      <c r="C844" s="19"/>
      <c r="D844" s="13"/>
      <c r="E844" s="12"/>
      <c r="F844" s="15" t="str">
        <f aca="false">IF(D844="","",IF(C844="Çekme",-D844,D844))</f>
        <v/>
      </c>
    </row>
    <row r="845" customFormat="false" ht="15" hidden="false" customHeight="false" outlineLevel="0" collapsed="false">
      <c r="A845" s="14"/>
      <c r="B845" s="19"/>
      <c r="C845" s="19"/>
      <c r="D845" s="13"/>
      <c r="E845" s="12"/>
      <c r="F845" s="15" t="str">
        <f aca="false">IF(D845="","",IF(C845="Çekme",-D845,D845))</f>
        <v/>
      </c>
    </row>
    <row r="846" customFormat="false" ht="15" hidden="false" customHeight="false" outlineLevel="0" collapsed="false">
      <c r="A846" s="14"/>
      <c r="B846" s="19"/>
      <c r="C846" s="19"/>
      <c r="D846" s="13"/>
      <c r="E846" s="12"/>
      <c r="F846" s="15" t="str">
        <f aca="false">IF(D846="","",IF(C846="Çekme",-D846,D846))</f>
        <v/>
      </c>
    </row>
    <row r="847" customFormat="false" ht="15" hidden="false" customHeight="false" outlineLevel="0" collapsed="false">
      <c r="A847" s="14"/>
      <c r="B847" s="19"/>
      <c r="C847" s="19"/>
      <c r="D847" s="13"/>
      <c r="E847" s="12"/>
      <c r="F847" s="15" t="str">
        <f aca="false">IF(D847="","",IF(C847="Çekme",-D847,D847))</f>
        <v/>
      </c>
    </row>
    <row r="848" customFormat="false" ht="15" hidden="false" customHeight="false" outlineLevel="0" collapsed="false">
      <c r="A848" s="14"/>
      <c r="B848" s="19"/>
      <c r="C848" s="19"/>
      <c r="D848" s="13"/>
      <c r="E848" s="12"/>
      <c r="F848" s="15" t="str">
        <f aca="false">IF(D848="","",IF(C848="Çekme",-D848,D848))</f>
        <v/>
      </c>
    </row>
    <row r="849" customFormat="false" ht="15" hidden="false" customHeight="false" outlineLevel="0" collapsed="false">
      <c r="A849" s="14"/>
      <c r="B849" s="19"/>
      <c r="C849" s="19"/>
      <c r="D849" s="13"/>
      <c r="E849" s="12"/>
      <c r="F849" s="15" t="str">
        <f aca="false">IF(D849="","",IF(C849="Çekme",-D849,D849))</f>
        <v/>
      </c>
    </row>
    <row r="850" customFormat="false" ht="15" hidden="false" customHeight="false" outlineLevel="0" collapsed="false">
      <c r="A850" s="14"/>
      <c r="B850" s="19"/>
      <c r="C850" s="19"/>
      <c r="D850" s="13"/>
      <c r="E850" s="12"/>
      <c r="F850" s="15" t="str">
        <f aca="false">IF(D850="","",IF(C850="Çekme",-D850,D850))</f>
        <v/>
      </c>
    </row>
    <row r="851" customFormat="false" ht="15" hidden="false" customHeight="false" outlineLevel="0" collapsed="false">
      <c r="A851" s="14"/>
      <c r="B851" s="19"/>
      <c r="C851" s="19"/>
      <c r="D851" s="13"/>
      <c r="E851" s="12"/>
      <c r="F851" s="15" t="str">
        <f aca="false">IF(D851="","",IF(C851="Çekme",-D851,D851))</f>
        <v/>
      </c>
    </row>
    <row r="852" customFormat="false" ht="15" hidden="false" customHeight="false" outlineLevel="0" collapsed="false">
      <c r="A852" s="14"/>
      <c r="B852" s="19"/>
      <c r="C852" s="19"/>
      <c r="D852" s="13"/>
      <c r="E852" s="12"/>
      <c r="F852" s="15" t="str">
        <f aca="false">IF(D852="","",IF(C852="Çekme",-D852,D852))</f>
        <v/>
      </c>
    </row>
    <row r="853" customFormat="false" ht="15" hidden="false" customHeight="false" outlineLevel="0" collapsed="false">
      <c r="A853" s="14"/>
      <c r="B853" s="19"/>
      <c r="C853" s="19"/>
      <c r="D853" s="13"/>
      <c r="E853" s="12"/>
      <c r="F853" s="15" t="str">
        <f aca="false">IF(D853="","",IF(C853="Çekme",-D853,D853))</f>
        <v/>
      </c>
    </row>
    <row r="854" customFormat="false" ht="15" hidden="false" customHeight="false" outlineLevel="0" collapsed="false">
      <c r="A854" s="14"/>
      <c r="B854" s="19"/>
      <c r="C854" s="19"/>
      <c r="D854" s="13"/>
      <c r="E854" s="12"/>
      <c r="F854" s="15" t="str">
        <f aca="false">IF(D854="","",IF(C854="Çekme",-D854,D854))</f>
        <v/>
      </c>
    </row>
    <row r="855" customFormat="false" ht="15" hidden="false" customHeight="false" outlineLevel="0" collapsed="false">
      <c r="A855" s="14"/>
      <c r="B855" s="19"/>
      <c r="C855" s="19"/>
      <c r="D855" s="13"/>
      <c r="E855" s="12"/>
      <c r="F855" s="15" t="str">
        <f aca="false">IF(D855="","",IF(C855="Çekme",-D855,D855))</f>
        <v/>
      </c>
    </row>
    <row r="856" customFormat="false" ht="15" hidden="false" customHeight="false" outlineLevel="0" collapsed="false">
      <c r="A856" s="14"/>
      <c r="B856" s="19"/>
      <c r="C856" s="19"/>
      <c r="D856" s="13"/>
      <c r="E856" s="12"/>
      <c r="F856" s="15" t="str">
        <f aca="false">IF(D856="","",IF(C856="Çekme",-D856,D856))</f>
        <v/>
      </c>
    </row>
    <row r="857" customFormat="false" ht="15" hidden="false" customHeight="false" outlineLevel="0" collapsed="false">
      <c r="A857" s="14"/>
      <c r="B857" s="19"/>
      <c r="C857" s="19"/>
      <c r="D857" s="13"/>
      <c r="E857" s="12"/>
      <c r="F857" s="15" t="str">
        <f aca="false">IF(D857="","",IF(C857="Çekme",-D857,D857))</f>
        <v/>
      </c>
    </row>
    <row r="858" customFormat="false" ht="15" hidden="false" customHeight="false" outlineLevel="0" collapsed="false">
      <c r="A858" s="14"/>
      <c r="B858" s="19"/>
      <c r="C858" s="19"/>
      <c r="D858" s="13"/>
      <c r="E858" s="12"/>
      <c r="F858" s="15" t="str">
        <f aca="false">IF(D858="","",IF(C858="Çekme",-D858,D858))</f>
        <v/>
      </c>
    </row>
    <row r="859" customFormat="false" ht="15" hidden="false" customHeight="false" outlineLevel="0" collapsed="false">
      <c r="A859" s="14"/>
      <c r="B859" s="19"/>
      <c r="C859" s="19"/>
      <c r="D859" s="13"/>
      <c r="E859" s="12"/>
      <c r="F859" s="15" t="str">
        <f aca="false">IF(D859="","",IF(C859="Çekme",-D859,D859))</f>
        <v/>
      </c>
    </row>
    <row r="860" customFormat="false" ht="15" hidden="false" customHeight="false" outlineLevel="0" collapsed="false">
      <c r="A860" s="14"/>
      <c r="B860" s="19"/>
      <c r="C860" s="19"/>
      <c r="D860" s="13"/>
      <c r="E860" s="12"/>
      <c r="F860" s="15" t="str">
        <f aca="false">IF(D860="","",IF(C860="Çekme",-D860,D860))</f>
        <v/>
      </c>
    </row>
    <row r="861" customFormat="false" ht="15" hidden="false" customHeight="false" outlineLevel="0" collapsed="false">
      <c r="A861" s="14"/>
      <c r="B861" s="19"/>
      <c r="C861" s="19"/>
      <c r="D861" s="13"/>
      <c r="E861" s="12"/>
      <c r="F861" s="15" t="str">
        <f aca="false">IF(D861="","",IF(C861="Çekme",-D861,D861))</f>
        <v/>
      </c>
    </row>
    <row r="862" customFormat="false" ht="15" hidden="false" customHeight="false" outlineLevel="0" collapsed="false">
      <c r="A862" s="14"/>
      <c r="B862" s="19"/>
      <c r="C862" s="19"/>
      <c r="D862" s="13"/>
      <c r="E862" s="12"/>
      <c r="F862" s="15" t="str">
        <f aca="false">IF(D862="","",IF(C862="Çekme",-D862,D862))</f>
        <v/>
      </c>
    </row>
    <row r="863" customFormat="false" ht="15" hidden="false" customHeight="false" outlineLevel="0" collapsed="false">
      <c r="A863" s="14"/>
      <c r="B863" s="19"/>
      <c r="C863" s="19"/>
      <c r="D863" s="13"/>
      <c r="E863" s="12"/>
      <c r="F863" s="15" t="str">
        <f aca="false">IF(D863="","",IF(C863="Çekme",-D863,D863))</f>
        <v/>
      </c>
    </row>
    <row r="864" customFormat="false" ht="15" hidden="false" customHeight="false" outlineLevel="0" collapsed="false">
      <c r="A864" s="14"/>
      <c r="B864" s="19"/>
      <c r="C864" s="19"/>
      <c r="D864" s="13"/>
      <c r="E864" s="12"/>
      <c r="F864" s="15" t="str">
        <f aca="false">IF(D864="","",IF(C864="Çekme",-D864,D864))</f>
        <v/>
      </c>
    </row>
    <row r="865" customFormat="false" ht="15" hidden="false" customHeight="false" outlineLevel="0" collapsed="false">
      <c r="A865" s="14"/>
      <c r="B865" s="19"/>
      <c r="C865" s="19"/>
      <c r="D865" s="13"/>
      <c r="E865" s="12"/>
      <c r="F865" s="15" t="str">
        <f aca="false">IF(D865="","",IF(C865="Çekme",-D865,D865))</f>
        <v/>
      </c>
    </row>
    <row r="866" customFormat="false" ht="15" hidden="false" customHeight="false" outlineLevel="0" collapsed="false">
      <c r="A866" s="14"/>
      <c r="B866" s="19"/>
      <c r="C866" s="19"/>
      <c r="D866" s="13"/>
      <c r="E866" s="12"/>
      <c r="F866" s="15" t="str">
        <f aca="false">IF(D866="","",IF(C866="Çekme",-D866,D866))</f>
        <v/>
      </c>
    </row>
    <row r="867" customFormat="false" ht="15" hidden="false" customHeight="false" outlineLevel="0" collapsed="false">
      <c r="A867" s="14"/>
      <c r="B867" s="19"/>
      <c r="C867" s="19"/>
      <c r="D867" s="13"/>
      <c r="E867" s="12"/>
      <c r="F867" s="15" t="str">
        <f aca="false">IF(D867="","",IF(C867="Çekme",-D867,D867))</f>
        <v/>
      </c>
    </row>
    <row r="868" customFormat="false" ht="15" hidden="false" customHeight="false" outlineLevel="0" collapsed="false">
      <c r="A868" s="14"/>
      <c r="B868" s="19"/>
      <c r="C868" s="19"/>
      <c r="D868" s="13"/>
      <c r="E868" s="12"/>
      <c r="F868" s="15" t="str">
        <f aca="false">IF(D868="","",IF(C868="Çekme",-D868,D868))</f>
        <v/>
      </c>
    </row>
    <row r="869" customFormat="false" ht="15" hidden="false" customHeight="false" outlineLevel="0" collapsed="false">
      <c r="A869" s="14"/>
      <c r="B869" s="19"/>
      <c r="C869" s="19"/>
      <c r="D869" s="13"/>
      <c r="E869" s="12"/>
      <c r="F869" s="15" t="str">
        <f aca="false">IF(D869="","",IF(C869="Çekme",-D869,D869))</f>
        <v/>
      </c>
    </row>
    <row r="870" customFormat="false" ht="15" hidden="false" customHeight="false" outlineLevel="0" collapsed="false">
      <c r="A870" s="14"/>
      <c r="B870" s="19"/>
      <c r="C870" s="19"/>
      <c r="D870" s="13"/>
      <c r="E870" s="12"/>
      <c r="F870" s="15" t="str">
        <f aca="false">IF(D870="","",IF(C870="Çekme",-D870,D870))</f>
        <v/>
      </c>
    </row>
    <row r="871" customFormat="false" ht="15" hidden="false" customHeight="false" outlineLevel="0" collapsed="false">
      <c r="A871" s="14"/>
      <c r="B871" s="19"/>
      <c r="C871" s="19"/>
      <c r="D871" s="13"/>
      <c r="E871" s="12"/>
      <c r="F871" s="15" t="str">
        <f aca="false">IF(D871="","",IF(C871="Çekme",-D871,D871))</f>
        <v/>
      </c>
    </row>
    <row r="872" customFormat="false" ht="15" hidden="false" customHeight="false" outlineLevel="0" collapsed="false">
      <c r="A872" s="14"/>
      <c r="B872" s="19"/>
      <c r="C872" s="19"/>
      <c r="D872" s="13"/>
      <c r="E872" s="12"/>
      <c r="F872" s="15" t="str">
        <f aca="false">IF(D872="","",IF(C872="Çekme",-D872,D872))</f>
        <v/>
      </c>
    </row>
    <row r="873" customFormat="false" ht="15" hidden="false" customHeight="false" outlineLevel="0" collapsed="false">
      <c r="A873" s="14"/>
      <c r="B873" s="19"/>
      <c r="C873" s="19"/>
      <c r="D873" s="13"/>
      <c r="E873" s="12"/>
      <c r="F873" s="15" t="str">
        <f aca="false">IF(D873="","",IF(C873="Çekme",-D873,D873))</f>
        <v/>
      </c>
    </row>
    <row r="874" customFormat="false" ht="15" hidden="false" customHeight="false" outlineLevel="0" collapsed="false">
      <c r="A874" s="14"/>
      <c r="B874" s="19"/>
      <c r="C874" s="19"/>
      <c r="D874" s="13"/>
      <c r="E874" s="12"/>
      <c r="F874" s="15" t="str">
        <f aca="false">IF(D874="","",IF(C874="Çekme",-D874,D874))</f>
        <v/>
      </c>
    </row>
    <row r="875" customFormat="false" ht="15" hidden="false" customHeight="false" outlineLevel="0" collapsed="false">
      <c r="A875" s="14"/>
      <c r="B875" s="19"/>
      <c r="C875" s="19"/>
      <c r="D875" s="13"/>
      <c r="E875" s="12"/>
      <c r="F875" s="15" t="str">
        <f aca="false">IF(D875="","",IF(C875="Çekme",-D875,D875))</f>
        <v/>
      </c>
    </row>
    <row r="876" customFormat="false" ht="15" hidden="false" customHeight="false" outlineLevel="0" collapsed="false">
      <c r="A876" s="14"/>
      <c r="B876" s="19"/>
      <c r="C876" s="19"/>
      <c r="D876" s="13"/>
      <c r="E876" s="12"/>
      <c r="F876" s="15" t="str">
        <f aca="false">IF(D876="","",IF(C876="Çekme",-D876,D876))</f>
        <v/>
      </c>
    </row>
    <row r="877" customFormat="false" ht="15" hidden="false" customHeight="false" outlineLevel="0" collapsed="false">
      <c r="A877" s="14"/>
      <c r="B877" s="19"/>
      <c r="C877" s="19"/>
      <c r="D877" s="13"/>
      <c r="E877" s="12"/>
      <c r="F877" s="15" t="str">
        <f aca="false">IF(D877="","",IF(C877="Çekme",-D877,D877))</f>
        <v/>
      </c>
    </row>
    <row r="878" customFormat="false" ht="15" hidden="false" customHeight="false" outlineLevel="0" collapsed="false">
      <c r="A878" s="14"/>
      <c r="B878" s="19"/>
      <c r="C878" s="19"/>
      <c r="D878" s="13"/>
      <c r="E878" s="12"/>
      <c r="F878" s="15" t="str">
        <f aca="false">IF(D878="","",IF(C878="Çekme",-D878,D878))</f>
        <v/>
      </c>
    </row>
    <row r="879" customFormat="false" ht="15" hidden="false" customHeight="false" outlineLevel="0" collapsed="false">
      <c r="A879" s="14"/>
      <c r="B879" s="19"/>
      <c r="C879" s="19"/>
      <c r="D879" s="13"/>
      <c r="E879" s="12"/>
      <c r="F879" s="15" t="str">
        <f aca="false">IF(D879="","",IF(C879="Çekme",-D879,D879))</f>
        <v/>
      </c>
    </row>
    <row r="880" customFormat="false" ht="15" hidden="false" customHeight="false" outlineLevel="0" collapsed="false">
      <c r="A880" s="14"/>
      <c r="B880" s="19"/>
      <c r="C880" s="19"/>
      <c r="D880" s="13"/>
      <c r="E880" s="12"/>
      <c r="F880" s="15" t="str">
        <f aca="false">IF(D880="","",IF(C880="Çekme",-D880,D880))</f>
        <v/>
      </c>
    </row>
    <row r="881" customFormat="false" ht="15" hidden="false" customHeight="false" outlineLevel="0" collapsed="false">
      <c r="A881" s="14"/>
      <c r="B881" s="19"/>
      <c r="C881" s="19"/>
      <c r="D881" s="13"/>
      <c r="E881" s="12"/>
      <c r="F881" s="15" t="str">
        <f aca="false">IF(D881="","",IF(C881="Çekme",-D881,D881))</f>
        <v/>
      </c>
    </row>
    <row r="882" customFormat="false" ht="15" hidden="false" customHeight="false" outlineLevel="0" collapsed="false">
      <c r="A882" s="14"/>
      <c r="B882" s="19"/>
      <c r="C882" s="19"/>
      <c r="D882" s="13"/>
      <c r="E882" s="12"/>
      <c r="F882" s="15" t="str">
        <f aca="false">IF(D882="","",IF(C882="Çekme",-D882,D882))</f>
        <v/>
      </c>
    </row>
    <row r="883" customFormat="false" ht="15" hidden="false" customHeight="false" outlineLevel="0" collapsed="false">
      <c r="A883" s="14"/>
      <c r="B883" s="19"/>
      <c r="C883" s="19"/>
      <c r="D883" s="13"/>
      <c r="E883" s="12"/>
      <c r="F883" s="15" t="str">
        <f aca="false">IF(D883="","",IF(C883="Çekme",-D883,D883))</f>
        <v/>
      </c>
    </row>
    <row r="884" customFormat="false" ht="15" hidden="false" customHeight="false" outlineLevel="0" collapsed="false">
      <c r="A884" s="14"/>
      <c r="B884" s="19"/>
      <c r="C884" s="19"/>
      <c r="D884" s="13"/>
      <c r="E884" s="12"/>
      <c r="F884" s="15" t="str">
        <f aca="false">IF(D884="","",IF(C884="Çekme",-D884,D884))</f>
        <v/>
      </c>
    </row>
    <row r="885" customFormat="false" ht="15" hidden="false" customHeight="false" outlineLevel="0" collapsed="false">
      <c r="A885" s="14"/>
      <c r="B885" s="19"/>
      <c r="C885" s="19"/>
      <c r="D885" s="13"/>
      <c r="E885" s="12"/>
      <c r="F885" s="15" t="str">
        <f aca="false">IF(D885="","",IF(C885="Çekme",-D885,D885))</f>
        <v/>
      </c>
    </row>
    <row r="886" customFormat="false" ht="15" hidden="false" customHeight="false" outlineLevel="0" collapsed="false">
      <c r="A886" s="14"/>
      <c r="B886" s="19"/>
      <c r="C886" s="19"/>
      <c r="D886" s="13"/>
      <c r="E886" s="12"/>
      <c r="F886" s="15" t="str">
        <f aca="false">IF(D886="","",IF(C886="Çekme",-D886,D886))</f>
        <v/>
      </c>
    </row>
    <row r="887" customFormat="false" ht="15" hidden="false" customHeight="false" outlineLevel="0" collapsed="false">
      <c r="A887" s="14"/>
      <c r="B887" s="19"/>
      <c r="C887" s="19"/>
      <c r="D887" s="13"/>
      <c r="E887" s="12"/>
      <c r="F887" s="15" t="str">
        <f aca="false">IF(D887="","",IF(C887="Çekme",-D887,D887))</f>
        <v/>
      </c>
    </row>
    <row r="888" customFormat="false" ht="15" hidden="false" customHeight="false" outlineLevel="0" collapsed="false">
      <c r="A888" s="14"/>
      <c r="B888" s="19"/>
      <c r="C888" s="19"/>
      <c r="D888" s="13"/>
      <c r="E888" s="12"/>
      <c r="F888" s="15" t="str">
        <f aca="false">IF(D888="","",IF(C888="Çekme",-D888,D888))</f>
        <v/>
      </c>
    </row>
    <row r="889" customFormat="false" ht="15" hidden="false" customHeight="false" outlineLevel="0" collapsed="false">
      <c r="A889" s="14"/>
      <c r="B889" s="19"/>
      <c r="C889" s="19"/>
      <c r="D889" s="13"/>
      <c r="E889" s="12"/>
      <c r="F889" s="15" t="str">
        <f aca="false">IF(D889="","",IF(C889="Çekme",-D889,D889))</f>
        <v/>
      </c>
    </row>
    <row r="890" customFormat="false" ht="15" hidden="false" customHeight="false" outlineLevel="0" collapsed="false">
      <c r="A890" s="14"/>
      <c r="B890" s="19"/>
      <c r="C890" s="19"/>
      <c r="D890" s="13"/>
      <c r="E890" s="12"/>
      <c r="F890" s="15" t="str">
        <f aca="false">IF(D890="","",IF(C890="Çekme",-D890,D890))</f>
        <v/>
      </c>
    </row>
    <row r="891" customFormat="false" ht="15" hidden="false" customHeight="false" outlineLevel="0" collapsed="false">
      <c r="A891" s="14"/>
      <c r="B891" s="19"/>
      <c r="C891" s="19"/>
      <c r="D891" s="13"/>
      <c r="E891" s="12"/>
      <c r="F891" s="15" t="str">
        <f aca="false">IF(D891="","",IF(C891="Çekme",-D891,D891))</f>
        <v/>
      </c>
    </row>
    <row r="892" customFormat="false" ht="15" hidden="false" customHeight="false" outlineLevel="0" collapsed="false">
      <c r="A892" s="14"/>
      <c r="B892" s="19"/>
      <c r="C892" s="19"/>
      <c r="D892" s="13"/>
      <c r="E892" s="12"/>
      <c r="F892" s="15" t="str">
        <f aca="false">IF(D892="","",IF(C892="Çekme",-D892,D892))</f>
        <v/>
      </c>
    </row>
    <row r="893" customFormat="false" ht="15" hidden="false" customHeight="false" outlineLevel="0" collapsed="false">
      <c r="A893" s="14"/>
      <c r="B893" s="19"/>
      <c r="C893" s="19"/>
      <c r="D893" s="13"/>
      <c r="E893" s="12"/>
      <c r="F893" s="15" t="str">
        <f aca="false">IF(D893="","",IF(C893="Çekme",-D893,D893))</f>
        <v/>
      </c>
    </row>
    <row r="894" customFormat="false" ht="15" hidden="false" customHeight="false" outlineLevel="0" collapsed="false">
      <c r="A894" s="14"/>
      <c r="B894" s="19"/>
      <c r="C894" s="19"/>
      <c r="D894" s="13"/>
      <c r="E894" s="12"/>
      <c r="F894" s="15" t="str">
        <f aca="false">IF(D894="","",IF(C894="Çekme",-D894,D894))</f>
        <v/>
      </c>
    </row>
    <row r="895" customFormat="false" ht="15" hidden="false" customHeight="false" outlineLevel="0" collapsed="false">
      <c r="A895" s="14"/>
      <c r="B895" s="19"/>
      <c r="C895" s="19"/>
      <c r="D895" s="13"/>
      <c r="E895" s="12"/>
      <c r="F895" s="15" t="str">
        <f aca="false">IF(D895="","",IF(C895="Çekme",-D895,D895))</f>
        <v/>
      </c>
    </row>
    <row r="896" customFormat="false" ht="15" hidden="false" customHeight="false" outlineLevel="0" collapsed="false">
      <c r="A896" s="14"/>
      <c r="B896" s="19"/>
      <c r="C896" s="19"/>
      <c r="D896" s="13"/>
      <c r="E896" s="12"/>
      <c r="F896" s="15" t="str">
        <f aca="false">IF(D896="","",IF(C896="Çekme",-D896,D896))</f>
        <v/>
      </c>
    </row>
    <row r="897" customFormat="false" ht="15" hidden="false" customHeight="false" outlineLevel="0" collapsed="false">
      <c r="A897" s="14"/>
      <c r="B897" s="19"/>
      <c r="C897" s="19"/>
      <c r="D897" s="13"/>
      <c r="E897" s="12"/>
      <c r="F897" s="15" t="str">
        <f aca="false">IF(D897="","",IF(C897="Çekme",-D897,D897))</f>
        <v/>
      </c>
    </row>
    <row r="898" customFormat="false" ht="15" hidden="false" customHeight="false" outlineLevel="0" collapsed="false">
      <c r="A898" s="14"/>
      <c r="B898" s="19"/>
      <c r="C898" s="19"/>
      <c r="D898" s="13"/>
      <c r="E898" s="12"/>
      <c r="F898" s="15" t="str">
        <f aca="false">IF(D898="","",IF(C898="Çekme",-D898,D898))</f>
        <v/>
      </c>
    </row>
    <row r="899" customFormat="false" ht="15" hidden="false" customHeight="false" outlineLevel="0" collapsed="false">
      <c r="A899" s="14"/>
      <c r="B899" s="19"/>
      <c r="C899" s="19"/>
      <c r="D899" s="13"/>
      <c r="E899" s="12"/>
      <c r="F899" s="15" t="str">
        <f aca="false">IF(D899="","",IF(C899="Çekme",-D899,D899))</f>
        <v/>
      </c>
    </row>
    <row r="900" customFormat="false" ht="15" hidden="false" customHeight="false" outlineLevel="0" collapsed="false">
      <c r="A900" s="14"/>
      <c r="B900" s="19"/>
      <c r="C900" s="19"/>
      <c r="D900" s="13"/>
      <c r="E900" s="12"/>
      <c r="F900" s="15" t="str">
        <f aca="false">IF(D900="","",IF(C900="Çekme",-D900,D900))</f>
        <v/>
      </c>
    </row>
    <row r="901" customFormat="false" ht="15" hidden="false" customHeight="false" outlineLevel="0" collapsed="false">
      <c r="A901" s="14"/>
      <c r="B901" s="19"/>
      <c r="C901" s="19"/>
      <c r="D901" s="13"/>
      <c r="E901" s="12"/>
      <c r="F901" s="15" t="str">
        <f aca="false">IF(D901="","",IF(C901="Çekme",-D901,D901))</f>
        <v/>
      </c>
    </row>
    <row r="902" customFormat="false" ht="15" hidden="false" customHeight="false" outlineLevel="0" collapsed="false">
      <c r="A902" s="14"/>
      <c r="B902" s="19"/>
      <c r="C902" s="19"/>
      <c r="D902" s="13"/>
      <c r="E902" s="12"/>
      <c r="F902" s="15" t="str">
        <f aca="false">IF(D902="","",IF(C902="Çekme",-D902,D902))</f>
        <v/>
      </c>
    </row>
    <row r="903" customFormat="false" ht="15" hidden="false" customHeight="false" outlineLevel="0" collapsed="false">
      <c r="A903" s="14"/>
      <c r="B903" s="19"/>
      <c r="C903" s="19"/>
      <c r="D903" s="13"/>
      <c r="E903" s="12"/>
      <c r="F903" s="15" t="str">
        <f aca="false">IF(D903="","",IF(C903="Çekme",-D903,D903))</f>
        <v/>
      </c>
    </row>
    <row r="904" customFormat="false" ht="15" hidden="false" customHeight="false" outlineLevel="0" collapsed="false">
      <c r="A904" s="14"/>
      <c r="B904" s="19"/>
      <c r="C904" s="19"/>
      <c r="D904" s="13"/>
      <c r="E904" s="12"/>
      <c r="F904" s="15" t="str">
        <f aca="false">IF(D904="","",IF(C904="Çekme",-D904,D904))</f>
        <v/>
      </c>
    </row>
    <row r="905" customFormat="false" ht="15" hidden="false" customHeight="false" outlineLevel="0" collapsed="false">
      <c r="A905" s="14"/>
      <c r="B905" s="19"/>
      <c r="C905" s="19"/>
      <c r="D905" s="13"/>
      <c r="E905" s="12"/>
      <c r="F905" s="15" t="str">
        <f aca="false">IF(D905="","",IF(C905="Çekme",-D905,D905))</f>
        <v/>
      </c>
    </row>
    <row r="906" customFormat="false" ht="15" hidden="false" customHeight="false" outlineLevel="0" collapsed="false">
      <c r="A906" s="14"/>
      <c r="B906" s="19"/>
      <c r="C906" s="19"/>
      <c r="D906" s="13"/>
      <c r="E906" s="12"/>
      <c r="F906" s="15" t="str">
        <f aca="false">IF(D906="","",IF(C906="Çekme",-D906,D906))</f>
        <v/>
      </c>
    </row>
    <row r="907" customFormat="false" ht="15" hidden="false" customHeight="false" outlineLevel="0" collapsed="false">
      <c r="A907" s="14"/>
      <c r="B907" s="19"/>
      <c r="C907" s="19"/>
      <c r="D907" s="13"/>
      <c r="E907" s="12"/>
      <c r="F907" s="15" t="str">
        <f aca="false">IF(D907="","",IF(C907="Çekme",-D907,D907))</f>
        <v/>
      </c>
    </row>
    <row r="908" customFormat="false" ht="15" hidden="false" customHeight="false" outlineLevel="0" collapsed="false">
      <c r="A908" s="14"/>
      <c r="B908" s="19"/>
      <c r="C908" s="19"/>
      <c r="D908" s="13"/>
      <c r="E908" s="12"/>
      <c r="F908" s="15" t="str">
        <f aca="false">IF(D908="","",IF(C908="Çekme",-D908,D908))</f>
        <v/>
      </c>
    </row>
    <row r="909" customFormat="false" ht="15" hidden="false" customHeight="false" outlineLevel="0" collapsed="false">
      <c r="A909" s="14"/>
      <c r="B909" s="19"/>
      <c r="C909" s="19"/>
      <c r="D909" s="13"/>
      <c r="E909" s="12"/>
      <c r="F909" s="15" t="str">
        <f aca="false">IF(D909="","",IF(C909="Çekme",-D909,D909))</f>
        <v/>
      </c>
    </row>
    <row r="910" customFormat="false" ht="15" hidden="false" customHeight="false" outlineLevel="0" collapsed="false">
      <c r="A910" s="14"/>
      <c r="B910" s="19"/>
      <c r="C910" s="19"/>
      <c r="D910" s="13"/>
      <c r="E910" s="12"/>
      <c r="F910" s="15" t="str">
        <f aca="false">IF(D910="","",IF(C910="Çekme",-D910,D910))</f>
        <v/>
      </c>
    </row>
    <row r="911" customFormat="false" ht="15" hidden="false" customHeight="false" outlineLevel="0" collapsed="false">
      <c r="A911" s="14"/>
      <c r="B911" s="19"/>
      <c r="C911" s="19"/>
      <c r="D911" s="13"/>
      <c r="E911" s="12"/>
      <c r="F911" s="15" t="str">
        <f aca="false">IF(D911="","",IF(C911="Çekme",-D911,D911))</f>
        <v/>
      </c>
    </row>
    <row r="912" customFormat="false" ht="15" hidden="false" customHeight="false" outlineLevel="0" collapsed="false">
      <c r="A912" s="14"/>
      <c r="B912" s="19"/>
      <c r="C912" s="19"/>
      <c r="D912" s="13"/>
      <c r="E912" s="12"/>
      <c r="F912" s="15" t="str">
        <f aca="false">IF(D912="","",IF(C912="Çekme",-D912,D912))</f>
        <v/>
      </c>
    </row>
    <row r="913" customFormat="false" ht="15" hidden="false" customHeight="false" outlineLevel="0" collapsed="false">
      <c r="A913" s="14"/>
      <c r="B913" s="19"/>
      <c r="C913" s="19"/>
      <c r="D913" s="13"/>
      <c r="E913" s="12"/>
      <c r="F913" s="15" t="str">
        <f aca="false">IF(D913="","",IF(C913="Çekme",-D913,D913))</f>
        <v/>
      </c>
    </row>
    <row r="914" customFormat="false" ht="15" hidden="false" customHeight="false" outlineLevel="0" collapsed="false">
      <c r="A914" s="14"/>
      <c r="B914" s="19"/>
      <c r="C914" s="19"/>
      <c r="D914" s="13"/>
      <c r="E914" s="12"/>
      <c r="F914" s="15" t="str">
        <f aca="false">IF(D914="","",IF(C914="Çekme",-D914,D914))</f>
        <v/>
      </c>
    </row>
    <row r="915" customFormat="false" ht="15" hidden="false" customHeight="false" outlineLevel="0" collapsed="false">
      <c r="A915" s="14"/>
      <c r="B915" s="19"/>
      <c r="C915" s="19"/>
      <c r="D915" s="13"/>
      <c r="E915" s="12"/>
      <c r="F915" s="15" t="str">
        <f aca="false">IF(D915="","",IF(C915="Çekme",-D915,D915))</f>
        <v/>
      </c>
    </row>
    <row r="916" customFormat="false" ht="15" hidden="false" customHeight="false" outlineLevel="0" collapsed="false">
      <c r="A916" s="14"/>
      <c r="B916" s="19"/>
      <c r="C916" s="19"/>
      <c r="D916" s="13"/>
      <c r="E916" s="12"/>
      <c r="F916" s="15" t="str">
        <f aca="false">IF(D916="","",IF(C916="Çekme",-D916,D916))</f>
        <v/>
      </c>
    </row>
    <row r="917" customFormat="false" ht="15" hidden="false" customHeight="false" outlineLevel="0" collapsed="false">
      <c r="A917" s="14"/>
      <c r="B917" s="19"/>
      <c r="C917" s="19"/>
      <c r="D917" s="13"/>
      <c r="E917" s="12"/>
      <c r="F917" s="15" t="str">
        <f aca="false">IF(D917="","",IF(C917="Çekme",-D917,D917))</f>
        <v/>
      </c>
    </row>
    <row r="918" customFormat="false" ht="15" hidden="false" customHeight="false" outlineLevel="0" collapsed="false">
      <c r="A918" s="14"/>
      <c r="B918" s="19"/>
      <c r="C918" s="19"/>
      <c r="D918" s="13"/>
      <c r="E918" s="12"/>
      <c r="F918" s="15" t="str">
        <f aca="false">IF(D918="","",IF(C918="Çekme",-D918,D918))</f>
        <v/>
      </c>
    </row>
    <row r="919" customFormat="false" ht="15" hidden="false" customHeight="false" outlineLevel="0" collapsed="false">
      <c r="A919" s="14"/>
      <c r="B919" s="19"/>
      <c r="C919" s="19"/>
      <c r="D919" s="13"/>
      <c r="E919" s="12"/>
      <c r="F919" s="15" t="str">
        <f aca="false">IF(D919="","",IF(C919="Çekme",-D919,D919))</f>
        <v/>
      </c>
    </row>
    <row r="920" customFormat="false" ht="15" hidden="false" customHeight="false" outlineLevel="0" collapsed="false">
      <c r="A920" s="14"/>
      <c r="B920" s="19"/>
      <c r="C920" s="19"/>
      <c r="D920" s="13"/>
      <c r="E920" s="12"/>
      <c r="F920" s="15" t="str">
        <f aca="false">IF(D920="","",IF(C920="Çekme",-D920,D920))</f>
        <v/>
      </c>
    </row>
    <row r="921" customFormat="false" ht="15" hidden="false" customHeight="false" outlineLevel="0" collapsed="false">
      <c r="A921" s="14"/>
      <c r="B921" s="19"/>
      <c r="C921" s="19"/>
      <c r="D921" s="13"/>
      <c r="E921" s="12"/>
      <c r="F921" s="15" t="str">
        <f aca="false">IF(D921="","",IF(C921="Çekme",-D921,D921))</f>
        <v/>
      </c>
    </row>
    <row r="922" customFormat="false" ht="15" hidden="false" customHeight="false" outlineLevel="0" collapsed="false">
      <c r="A922" s="14"/>
      <c r="B922" s="19"/>
      <c r="C922" s="19"/>
      <c r="D922" s="13"/>
      <c r="E922" s="12"/>
      <c r="F922" s="15" t="str">
        <f aca="false">IF(D922="","",IF(C922="Çekme",-D922,D922))</f>
        <v/>
      </c>
    </row>
    <row r="923" customFormat="false" ht="15" hidden="false" customHeight="false" outlineLevel="0" collapsed="false">
      <c r="A923" s="14"/>
      <c r="B923" s="19"/>
      <c r="C923" s="19"/>
      <c r="D923" s="13"/>
      <c r="E923" s="12"/>
      <c r="F923" s="15" t="str">
        <f aca="false">IF(D923="","",IF(C923="Çekme",-D923,D923))</f>
        <v/>
      </c>
    </row>
    <row r="924" customFormat="false" ht="15" hidden="false" customHeight="false" outlineLevel="0" collapsed="false">
      <c r="A924" s="14"/>
      <c r="B924" s="19"/>
      <c r="C924" s="19"/>
      <c r="D924" s="13"/>
      <c r="E924" s="12"/>
      <c r="F924" s="15" t="str">
        <f aca="false">IF(D924="","",IF(C924="Çekme",-D924,D924))</f>
        <v/>
      </c>
    </row>
    <row r="925" customFormat="false" ht="15" hidden="false" customHeight="false" outlineLevel="0" collapsed="false">
      <c r="A925" s="14"/>
      <c r="B925" s="19"/>
      <c r="C925" s="19"/>
      <c r="D925" s="13"/>
      <c r="E925" s="12"/>
      <c r="F925" s="15" t="str">
        <f aca="false">IF(D925="","",IF(C925="Çekme",-D925,D925))</f>
        <v/>
      </c>
    </row>
    <row r="926" customFormat="false" ht="15" hidden="false" customHeight="false" outlineLevel="0" collapsed="false">
      <c r="A926" s="14"/>
      <c r="B926" s="19"/>
      <c r="C926" s="19"/>
      <c r="D926" s="13"/>
      <c r="E926" s="12"/>
      <c r="F926" s="15" t="str">
        <f aca="false">IF(D926="","",IF(C926="Çekme",-D926,D926))</f>
        <v/>
      </c>
    </row>
    <row r="927" customFormat="false" ht="15" hidden="false" customHeight="false" outlineLevel="0" collapsed="false">
      <c r="A927" s="14"/>
      <c r="B927" s="19"/>
      <c r="C927" s="19"/>
      <c r="D927" s="13"/>
      <c r="E927" s="12"/>
      <c r="F927" s="15" t="str">
        <f aca="false">IF(D927="","",IF(C927="Çekme",-D927,D927))</f>
        <v/>
      </c>
    </row>
    <row r="928" customFormat="false" ht="15" hidden="false" customHeight="false" outlineLevel="0" collapsed="false">
      <c r="A928" s="14"/>
      <c r="B928" s="19"/>
      <c r="C928" s="19"/>
      <c r="D928" s="13"/>
      <c r="E928" s="12"/>
      <c r="F928" s="15" t="str">
        <f aca="false">IF(D928="","",IF(C928="Çekme",-D928,D928))</f>
        <v/>
      </c>
    </row>
    <row r="929" customFormat="false" ht="15" hidden="false" customHeight="false" outlineLevel="0" collapsed="false">
      <c r="A929" s="14"/>
      <c r="B929" s="19"/>
      <c r="C929" s="19"/>
      <c r="D929" s="13"/>
      <c r="E929" s="12"/>
      <c r="F929" s="15" t="str">
        <f aca="false">IF(D929="","",IF(C929="Çekme",-D929,D929))</f>
        <v/>
      </c>
    </row>
    <row r="930" customFormat="false" ht="15" hidden="false" customHeight="false" outlineLevel="0" collapsed="false">
      <c r="A930" s="14"/>
      <c r="B930" s="19"/>
      <c r="C930" s="19"/>
      <c r="D930" s="13"/>
      <c r="E930" s="12"/>
      <c r="F930" s="15" t="str">
        <f aca="false">IF(D930="","",IF(C930="Çekme",-D930,D930))</f>
        <v/>
      </c>
    </row>
    <row r="931" customFormat="false" ht="15" hidden="false" customHeight="false" outlineLevel="0" collapsed="false">
      <c r="A931" s="14"/>
      <c r="B931" s="19"/>
      <c r="C931" s="19"/>
      <c r="D931" s="13"/>
      <c r="E931" s="12"/>
      <c r="F931" s="15" t="str">
        <f aca="false">IF(D931="","",IF(C931="Çekme",-D931,D931))</f>
        <v/>
      </c>
    </row>
    <row r="932" customFormat="false" ht="15" hidden="false" customHeight="false" outlineLevel="0" collapsed="false">
      <c r="A932" s="14"/>
      <c r="B932" s="19"/>
      <c r="C932" s="19"/>
      <c r="D932" s="13"/>
      <c r="E932" s="12"/>
      <c r="F932" s="15" t="str">
        <f aca="false">IF(D932="","",IF(C932="Çekme",-D932,D932))</f>
        <v/>
      </c>
    </row>
    <row r="933" customFormat="false" ht="15" hidden="false" customHeight="false" outlineLevel="0" collapsed="false">
      <c r="A933" s="14"/>
      <c r="B933" s="19"/>
      <c r="C933" s="19"/>
      <c r="D933" s="13"/>
      <c r="E933" s="12"/>
      <c r="F933" s="15" t="str">
        <f aca="false">IF(D933="","",IF(C933="Çekme",-D933,D933))</f>
        <v/>
      </c>
    </row>
    <row r="934" customFormat="false" ht="15" hidden="false" customHeight="false" outlineLevel="0" collapsed="false">
      <c r="A934" s="14"/>
      <c r="B934" s="19"/>
      <c r="C934" s="19"/>
      <c r="D934" s="13"/>
      <c r="E934" s="12"/>
      <c r="F934" s="15" t="str">
        <f aca="false">IF(D934="","",IF(C934="Çekme",-D934,D934))</f>
        <v/>
      </c>
    </row>
    <row r="935" customFormat="false" ht="15" hidden="false" customHeight="false" outlineLevel="0" collapsed="false">
      <c r="A935" s="14"/>
      <c r="B935" s="19"/>
      <c r="C935" s="19"/>
      <c r="D935" s="13"/>
      <c r="E935" s="12"/>
      <c r="F935" s="15" t="str">
        <f aca="false">IF(D935="","",IF(C935="Çekme",-D935,D935))</f>
        <v/>
      </c>
    </row>
    <row r="936" customFormat="false" ht="15" hidden="false" customHeight="false" outlineLevel="0" collapsed="false">
      <c r="A936" s="14"/>
      <c r="B936" s="19"/>
      <c r="C936" s="19"/>
      <c r="D936" s="13"/>
      <c r="E936" s="12"/>
      <c r="F936" s="15" t="str">
        <f aca="false">IF(D936="","",IF(C936="Çekme",-D936,D936))</f>
        <v/>
      </c>
    </row>
    <row r="937" customFormat="false" ht="15" hidden="false" customHeight="false" outlineLevel="0" collapsed="false">
      <c r="A937" s="14"/>
      <c r="B937" s="19"/>
      <c r="C937" s="19"/>
      <c r="D937" s="13"/>
      <c r="E937" s="12"/>
      <c r="F937" s="15" t="str">
        <f aca="false">IF(D937="","",IF(C937="Çekme",-D937,D937))</f>
        <v/>
      </c>
    </row>
    <row r="938" customFormat="false" ht="15" hidden="false" customHeight="false" outlineLevel="0" collapsed="false">
      <c r="A938" s="14"/>
      <c r="B938" s="19"/>
      <c r="C938" s="19"/>
      <c r="D938" s="13"/>
      <c r="E938" s="12"/>
      <c r="F938" s="15" t="str">
        <f aca="false">IF(D938="","",IF(C938="Çekme",-D938,D938))</f>
        <v/>
      </c>
    </row>
    <row r="939" customFormat="false" ht="15" hidden="false" customHeight="false" outlineLevel="0" collapsed="false">
      <c r="A939" s="14"/>
      <c r="B939" s="19"/>
      <c r="C939" s="19"/>
      <c r="D939" s="13"/>
      <c r="E939" s="12"/>
      <c r="F939" s="15" t="str">
        <f aca="false">IF(D939="","",IF(C939="Çekme",-D939,D939))</f>
        <v/>
      </c>
    </row>
    <row r="940" customFormat="false" ht="15" hidden="false" customHeight="false" outlineLevel="0" collapsed="false">
      <c r="A940" s="14"/>
      <c r="B940" s="19"/>
      <c r="C940" s="19"/>
      <c r="D940" s="13"/>
      <c r="E940" s="12"/>
      <c r="F940" s="15" t="str">
        <f aca="false">IF(D940="","",IF(C940="Çekme",-D940,D940))</f>
        <v/>
      </c>
    </row>
    <row r="941" customFormat="false" ht="15" hidden="false" customHeight="false" outlineLevel="0" collapsed="false">
      <c r="A941" s="14"/>
      <c r="B941" s="19"/>
      <c r="C941" s="19"/>
      <c r="D941" s="13"/>
      <c r="E941" s="12"/>
      <c r="F941" s="15" t="str">
        <f aca="false">IF(D941="","",IF(C941="Çekme",-D941,D941))</f>
        <v/>
      </c>
    </row>
    <row r="942" customFormat="false" ht="15" hidden="false" customHeight="false" outlineLevel="0" collapsed="false">
      <c r="A942" s="14"/>
      <c r="B942" s="19"/>
      <c r="C942" s="19"/>
      <c r="D942" s="13"/>
      <c r="E942" s="12"/>
      <c r="F942" s="15" t="str">
        <f aca="false">IF(D942="","",IF(C942="Çekme",-D942,D942))</f>
        <v/>
      </c>
    </row>
    <row r="943" customFormat="false" ht="15" hidden="false" customHeight="false" outlineLevel="0" collapsed="false">
      <c r="A943" s="14"/>
      <c r="B943" s="19"/>
      <c r="C943" s="19"/>
      <c r="D943" s="13"/>
      <c r="E943" s="12"/>
      <c r="F943" s="15" t="str">
        <f aca="false">IF(D943="","",IF(C943="Çekme",-D943,D943))</f>
        <v/>
      </c>
    </row>
    <row r="944" customFormat="false" ht="15" hidden="false" customHeight="false" outlineLevel="0" collapsed="false">
      <c r="A944" s="14"/>
      <c r="B944" s="19"/>
      <c r="C944" s="19"/>
      <c r="D944" s="13"/>
      <c r="E944" s="12"/>
      <c r="F944" s="15" t="str">
        <f aca="false">IF(D944="","",IF(C944="Çekme",-D944,D944))</f>
        <v/>
      </c>
    </row>
    <row r="945" customFormat="false" ht="15" hidden="false" customHeight="false" outlineLevel="0" collapsed="false">
      <c r="A945" s="14"/>
      <c r="B945" s="19"/>
      <c r="C945" s="19"/>
      <c r="D945" s="13"/>
      <c r="E945" s="12"/>
      <c r="F945" s="15" t="str">
        <f aca="false">IF(D945="","",IF(C945="Çekme",-D945,D945))</f>
        <v/>
      </c>
    </row>
    <row r="946" customFormat="false" ht="15" hidden="false" customHeight="false" outlineLevel="0" collapsed="false">
      <c r="A946" s="14"/>
      <c r="B946" s="19"/>
      <c r="C946" s="19"/>
      <c r="D946" s="13"/>
      <c r="E946" s="12"/>
      <c r="F946" s="15" t="str">
        <f aca="false">IF(D946="","",IF(C946="Çekme",-D946,D946))</f>
        <v/>
      </c>
    </row>
    <row r="947" customFormat="false" ht="15" hidden="false" customHeight="false" outlineLevel="0" collapsed="false">
      <c r="A947" s="14"/>
      <c r="B947" s="19"/>
      <c r="C947" s="19"/>
      <c r="D947" s="13"/>
      <c r="E947" s="12"/>
      <c r="F947" s="15" t="str">
        <f aca="false">IF(D947="","",IF(C947="Çekme",-D947,D947))</f>
        <v/>
      </c>
    </row>
    <row r="948" customFormat="false" ht="15" hidden="false" customHeight="false" outlineLevel="0" collapsed="false">
      <c r="A948" s="14"/>
      <c r="B948" s="19"/>
      <c r="C948" s="19"/>
      <c r="D948" s="13"/>
      <c r="E948" s="12"/>
      <c r="F948" s="15" t="str">
        <f aca="false">IF(D948="","",IF(C948="Çekme",-D948,D948))</f>
        <v/>
      </c>
    </row>
    <row r="949" customFormat="false" ht="15" hidden="false" customHeight="false" outlineLevel="0" collapsed="false">
      <c r="A949" s="14"/>
      <c r="B949" s="19"/>
      <c r="C949" s="19"/>
      <c r="D949" s="13"/>
      <c r="E949" s="12"/>
      <c r="F949" s="15" t="str">
        <f aca="false">IF(D949="","",IF(C949="Çekme",-D949,D949))</f>
        <v/>
      </c>
    </row>
    <row r="950" customFormat="false" ht="15" hidden="false" customHeight="false" outlineLevel="0" collapsed="false">
      <c r="A950" s="14"/>
      <c r="B950" s="19"/>
      <c r="C950" s="19"/>
      <c r="D950" s="13"/>
      <c r="E950" s="12"/>
      <c r="F950" s="15" t="str">
        <f aca="false">IF(D950="","",IF(C950="Çekme",-D950,D950))</f>
        <v/>
      </c>
    </row>
    <row r="951" customFormat="false" ht="15" hidden="false" customHeight="false" outlineLevel="0" collapsed="false">
      <c r="A951" s="14"/>
      <c r="B951" s="19"/>
      <c r="C951" s="19"/>
      <c r="D951" s="13"/>
      <c r="E951" s="12"/>
      <c r="F951" s="15" t="str">
        <f aca="false">IF(D951="","",IF(C951="Çekme",-D951,D951))</f>
        <v/>
      </c>
    </row>
    <row r="952" customFormat="false" ht="15" hidden="false" customHeight="false" outlineLevel="0" collapsed="false">
      <c r="A952" s="14"/>
      <c r="B952" s="19"/>
      <c r="C952" s="19"/>
      <c r="D952" s="13"/>
      <c r="E952" s="12"/>
      <c r="F952" s="15" t="str">
        <f aca="false">IF(D952="","",IF(C952="Çekme",-D952,D952))</f>
        <v/>
      </c>
    </row>
    <row r="953" customFormat="false" ht="15" hidden="false" customHeight="false" outlineLevel="0" collapsed="false">
      <c r="A953" s="14"/>
      <c r="B953" s="19"/>
      <c r="C953" s="19"/>
      <c r="D953" s="13"/>
      <c r="E953" s="12"/>
      <c r="F953" s="15" t="str">
        <f aca="false">IF(D953="","",IF(C953="Çekme",-D953,D953))</f>
        <v/>
      </c>
    </row>
    <row r="954" customFormat="false" ht="15" hidden="false" customHeight="false" outlineLevel="0" collapsed="false">
      <c r="A954" s="14"/>
      <c r="B954" s="19"/>
      <c r="C954" s="19"/>
      <c r="D954" s="13"/>
      <c r="E954" s="12"/>
      <c r="F954" s="15" t="str">
        <f aca="false">IF(D954="","",IF(C954="Çekme",-D954,D954))</f>
        <v/>
      </c>
    </row>
    <row r="955" customFormat="false" ht="15" hidden="false" customHeight="false" outlineLevel="0" collapsed="false">
      <c r="A955" s="14"/>
      <c r="B955" s="19"/>
      <c r="C955" s="19"/>
      <c r="D955" s="13"/>
      <c r="E955" s="12"/>
      <c r="F955" s="15" t="str">
        <f aca="false">IF(D955="","",IF(C955="Çekme",-D955,D955))</f>
        <v/>
      </c>
    </row>
    <row r="956" customFormat="false" ht="15" hidden="false" customHeight="false" outlineLevel="0" collapsed="false">
      <c r="A956" s="14"/>
      <c r="B956" s="19"/>
      <c r="C956" s="19"/>
      <c r="D956" s="13"/>
      <c r="E956" s="12"/>
      <c r="F956" s="15" t="str">
        <f aca="false">IF(D956="","",IF(C956="Çekme",-D956,D956))</f>
        <v/>
      </c>
    </row>
    <row r="957" customFormat="false" ht="15" hidden="false" customHeight="false" outlineLevel="0" collapsed="false">
      <c r="A957" s="14"/>
      <c r="B957" s="19"/>
      <c r="C957" s="19"/>
      <c r="D957" s="13"/>
      <c r="E957" s="12"/>
      <c r="F957" s="15" t="str">
        <f aca="false">IF(D957="","",IF(C957="Çekme",-D957,D957))</f>
        <v/>
      </c>
    </row>
    <row r="958" customFormat="false" ht="15" hidden="false" customHeight="false" outlineLevel="0" collapsed="false">
      <c r="A958" s="14"/>
      <c r="B958" s="19"/>
      <c r="C958" s="19"/>
      <c r="D958" s="13"/>
      <c r="E958" s="12"/>
      <c r="F958" s="15" t="str">
        <f aca="false">IF(D958="","",IF(C958="Çekme",-D958,D958))</f>
        <v/>
      </c>
    </row>
    <row r="959" customFormat="false" ht="15" hidden="false" customHeight="false" outlineLevel="0" collapsed="false">
      <c r="A959" s="14"/>
      <c r="B959" s="19"/>
      <c r="C959" s="19"/>
      <c r="D959" s="13"/>
      <c r="E959" s="12"/>
      <c r="F959" s="15" t="str">
        <f aca="false">IF(D959="","",IF(C959="Çekme",-D959,D959))</f>
        <v/>
      </c>
    </row>
    <row r="960" customFormat="false" ht="15" hidden="false" customHeight="false" outlineLevel="0" collapsed="false">
      <c r="A960" s="14"/>
      <c r="B960" s="19"/>
      <c r="C960" s="19"/>
      <c r="D960" s="13"/>
      <c r="E960" s="12"/>
      <c r="F960" s="15" t="str">
        <f aca="false">IF(D960="","",IF(C960="Çekme",-D960,D960))</f>
        <v/>
      </c>
    </row>
    <row r="961" customFormat="false" ht="15" hidden="false" customHeight="false" outlineLevel="0" collapsed="false">
      <c r="A961" s="14"/>
      <c r="B961" s="19"/>
      <c r="C961" s="19"/>
      <c r="D961" s="13"/>
      <c r="E961" s="12"/>
      <c r="F961" s="15" t="str">
        <f aca="false">IF(D961="","",IF(C961="Çekme",-D961,D961))</f>
        <v/>
      </c>
    </row>
    <row r="962" customFormat="false" ht="15" hidden="false" customHeight="false" outlineLevel="0" collapsed="false">
      <c r="A962" s="14"/>
      <c r="B962" s="19"/>
      <c r="C962" s="19"/>
      <c r="D962" s="13"/>
      <c r="E962" s="12"/>
      <c r="F962" s="15" t="str">
        <f aca="false">IF(D962="","",IF(C962="Çekme",-D962,D962))</f>
        <v/>
      </c>
    </row>
    <row r="963" customFormat="false" ht="15" hidden="false" customHeight="false" outlineLevel="0" collapsed="false">
      <c r="A963" s="14"/>
      <c r="B963" s="19"/>
      <c r="C963" s="19"/>
      <c r="D963" s="13"/>
      <c r="E963" s="12"/>
      <c r="F963" s="15" t="str">
        <f aca="false">IF(D963="","",IF(C963="Çekme",-D963,D963))</f>
        <v/>
      </c>
    </row>
    <row r="964" customFormat="false" ht="15" hidden="false" customHeight="false" outlineLevel="0" collapsed="false">
      <c r="A964" s="14"/>
      <c r="B964" s="19"/>
      <c r="C964" s="19"/>
      <c r="D964" s="13"/>
      <c r="E964" s="12"/>
      <c r="F964" s="15" t="str">
        <f aca="false">IF(D964="","",IF(C964="Çekme",-D964,D964))</f>
        <v/>
      </c>
    </row>
    <row r="965" customFormat="false" ht="15" hidden="false" customHeight="false" outlineLevel="0" collapsed="false">
      <c r="A965" s="14"/>
      <c r="B965" s="19"/>
      <c r="C965" s="19"/>
      <c r="D965" s="13"/>
      <c r="E965" s="12"/>
      <c r="F965" s="15" t="str">
        <f aca="false">IF(D965="","",IF(C965="Çekme",-D965,D965))</f>
        <v/>
      </c>
    </row>
    <row r="966" customFormat="false" ht="15" hidden="false" customHeight="false" outlineLevel="0" collapsed="false">
      <c r="A966" s="14"/>
      <c r="B966" s="19"/>
      <c r="C966" s="19"/>
      <c r="D966" s="13"/>
      <c r="E966" s="12"/>
      <c r="F966" s="15" t="str">
        <f aca="false">IF(D966="","",IF(C966="Çekme",-D966,D966))</f>
        <v/>
      </c>
    </row>
    <row r="967" customFormat="false" ht="15" hidden="false" customHeight="false" outlineLevel="0" collapsed="false">
      <c r="A967" s="14"/>
      <c r="B967" s="19"/>
      <c r="C967" s="19"/>
      <c r="D967" s="13"/>
      <c r="E967" s="12"/>
      <c r="F967" s="15" t="str">
        <f aca="false">IF(D967="","",IF(C967="Çekme",-D967,D967))</f>
        <v/>
      </c>
    </row>
    <row r="968" customFormat="false" ht="15" hidden="false" customHeight="false" outlineLevel="0" collapsed="false">
      <c r="A968" s="14"/>
      <c r="B968" s="19"/>
      <c r="C968" s="19"/>
      <c r="D968" s="13"/>
      <c r="E968" s="12"/>
      <c r="F968" s="15" t="str">
        <f aca="false">IF(D968="","",IF(C968="Çekme",-D968,D968))</f>
        <v/>
      </c>
    </row>
    <row r="969" customFormat="false" ht="15" hidden="false" customHeight="false" outlineLevel="0" collapsed="false">
      <c r="A969" s="14"/>
      <c r="B969" s="19"/>
      <c r="C969" s="19"/>
      <c r="D969" s="13"/>
      <c r="E969" s="12"/>
      <c r="F969" s="15" t="str">
        <f aca="false">IF(D969="","",IF(C969="Çekme",-D969,D969))</f>
        <v/>
      </c>
    </row>
    <row r="970" customFormat="false" ht="15" hidden="false" customHeight="false" outlineLevel="0" collapsed="false">
      <c r="A970" s="14"/>
      <c r="B970" s="19"/>
      <c r="C970" s="19"/>
      <c r="D970" s="13"/>
      <c r="E970" s="12"/>
      <c r="F970" s="15" t="str">
        <f aca="false">IF(D970="","",IF(C970="Çekme",-D970,D970))</f>
        <v/>
      </c>
    </row>
    <row r="971" customFormat="false" ht="15" hidden="false" customHeight="false" outlineLevel="0" collapsed="false">
      <c r="A971" s="14"/>
      <c r="B971" s="19"/>
      <c r="C971" s="19"/>
      <c r="D971" s="13"/>
      <c r="E971" s="12"/>
      <c r="F971" s="15" t="str">
        <f aca="false">IF(D971="","",IF(C971="Çekme",-D971,D971))</f>
        <v/>
      </c>
    </row>
    <row r="972" customFormat="false" ht="15" hidden="false" customHeight="false" outlineLevel="0" collapsed="false">
      <c r="A972" s="14"/>
      <c r="B972" s="19"/>
      <c r="C972" s="19"/>
      <c r="D972" s="13"/>
      <c r="E972" s="12"/>
      <c r="F972" s="15" t="str">
        <f aca="false">IF(D972="","",IF(C972="Çekme",-D972,D972))</f>
        <v/>
      </c>
    </row>
    <row r="973" customFormat="false" ht="15" hidden="false" customHeight="false" outlineLevel="0" collapsed="false">
      <c r="A973" s="14"/>
      <c r="B973" s="19"/>
      <c r="C973" s="19"/>
      <c r="D973" s="13"/>
      <c r="E973" s="12"/>
      <c r="F973" s="15" t="str">
        <f aca="false">IF(D973="","",IF(C973="Çekme",-D973,D973))</f>
        <v/>
      </c>
    </row>
    <row r="974" customFormat="false" ht="15" hidden="false" customHeight="false" outlineLevel="0" collapsed="false">
      <c r="A974" s="14"/>
      <c r="B974" s="19"/>
      <c r="C974" s="19"/>
      <c r="D974" s="13"/>
      <c r="E974" s="12"/>
      <c r="F974" s="15" t="str">
        <f aca="false">IF(D974="","",IF(C974="Çekme",-D974,D974))</f>
        <v/>
      </c>
    </row>
    <row r="975" customFormat="false" ht="15" hidden="false" customHeight="false" outlineLevel="0" collapsed="false">
      <c r="A975" s="14"/>
      <c r="B975" s="19"/>
      <c r="C975" s="19"/>
      <c r="D975" s="13"/>
      <c r="E975" s="12"/>
      <c r="F975" s="15" t="str">
        <f aca="false">IF(D975="","",IF(C975="Çekme",-D975,D975))</f>
        <v/>
      </c>
    </row>
    <row r="976" customFormat="false" ht="15" hidden="false" customHeight="false" outlineLevel="0" collapsed="false">
      <c r="A976" s="14"/>
      <c r="B976" s="19"/>
      <c r="C976" s="19"/>
      <c r="D976" s="13"/>
      <c r="E976" s="12"/>
      <c r="F976" s="15" t="str">
        <f aca="false">IF(D976="","",IF(C976="Çekme",-D976,D976))</f>
        <v/>
      </c>
    </row>
    <row r="977" customFormat="false" ht="15" hidden="false" customHeight="false" outlineLevel="0" collapsed="false">
      <c r="A977" s="14"/>
      <c r="B977" s="19"/>
      <c r="C977" s="19"/>
      <c r="D977" s="13"/>
      <c r="E977" s="12"/>
      <c r="F977" s="15" t="str">
        <f aca="false">IF(D977="","",IF(C977="Çekme",-D977,D977))</f>
        <v/>
      </c>
    </row>
    <row r="978" customFormat="false" ht="15" hidden="false" customHeight="false" outlineLevel="0" collapsed="false">
      <c r="A978" s="14"/>
      <c r="B978" s="19"/>
      <c r="C978" s="19"/>
      <c r="D978" s="13"/>
      <c r="E978" s="12"/>
      <c r="F978" s="15" t="str">
        <f aca="false">IF(D978="","",IF(C978="Çekme",-D978,D978))</f>
        <v/>
      </c>
    </row>
    <row r="979" customFormat="false" ht="15" hidden="false" customHeight="false" outlineLevel="0" collapsed="false">
      <c r="A979" s="14"/>
      <c r="B979" s="19"/>
      <c r="C979" s="19"/>
      <c r="D979" s="13"/>
      <c r="E979" s="12"/>
      <c r="F979" s="15" t="str">
        <f aca="false">IF(D979="","",IF(C979="Çekme",-D979,D979))</f>
        <v/>
      </c>
    </row>
    <row r="980" customFormat="false" ht="15" hidden="false" customHeight="false" outlineLevel="0" collapsed="false">
      <c r="A980" s="14"/>
      <c r="B980" s="19"/>
      <c r="C980" s="19"/>
      <c r="D980" s="13"/>
      <c r="E980" s="12"/>
      <c r="F980" s="15" t="str">
        <f aca="false">IF(D980="","",IF(C980="Çekme",-D980,D980))</f>
        <v/>
      </c>
    </row>
    <row r="981" customFormat="false" ht="15" hidden="false" customHeight="false" outlineLevel="0" collapsed="false">
      <c r="A981" s="14"/>
      <c r="B981" s="19"/>
      <c r="C981" s="19"/>
      <c r="D981" s="13"/>
      <c r="E981" s="12"/>
      <c r="F981" s="15" t="str">
        <f aca="false">IF(D981="","",IF(C981="Çekme",-D981,D981))</f>
        <v/>
      </c>
    </row>
    <row r="982" customFormat="false" ht="15" hidden="false" customHeight="false" outlineLevel="0" collapsed="false">
      <c r="A982" s="14"/>
      <c r="B982" s="19"/>
      <c r="C982" s="19"/>
      <c r="D982" s="13"/>
      <c r="E982" s="12"/>
      <c r="F982" s="15" t="str">
        <f aca="false">IF(D982="","",IF(C982="Çekme",-D982,D982))</f>
        <v/>
      </c>
    </row>
    <row r="983" customFormat="false" ht="15" hidden="false" customHeight="false" outlineLevel="0" collapsed="false">
      <c r="A983" s="14"/>
      <c r="B983" s="19"/>
      <c r="C983" s="19"/>
      <c r="D983" s="13"/>
      <c r="E983" s="12"/>
      <c r="F983" s="15" t="str">
        <f aca="false">IF(D983="","",IF(C983="Çekme",-D983,D983))</f>
        <v/>
      </c>
    </row>
    <row r="984" customFormat="false" ht="15" hidden="false" customHeight="false" outlineLevel="0" collapsed="false">
      <c r="A984" s="14"/>
      <c r="B984" s="19"/>
      <c r="C984" s="19"/>
      <c r="D984" s="13"/>
      <c r="E984" s="12"/>
      <c r="F984" s="15" t="str">
        <f aca="false">IF(D984="","",IF(C984="Çekme",-D984,D984))</f>
        <v/>
      </c>
    </row>
    <row r="985" customFormat="false" ht="15" hidden="false" customHeight="false" outlineLevel="0" collapsed="false">
      <c r="A985" s="14"/>
      <c r="B985" s="19"/>
      <c r="C985" s="19"/>
      <c r="D985" s="13"/>
      <c r="E985" s="12"/>
      <c r="F985" s="15" t="str">
        <f aca="false">IF(D985="","",IF(C985="Çekme",-D985,D985))</f>
        <v/>
      </c>
    </row>
    <row r="986" customFormat="false" ht="15" hidden="false" customHeight="false" outlineLevel="0" collapsed="false">
      <c r="A986" s="14"/>
      <c r="B986" s="19"/>
      <c r="C986" s="19"/>
      <c r="D986" s="13"/>
      <c r="E986" s="12"/>
      <c r="F986" s="15" t="str">
        <f aca="false">IF(D986="","",IF(C986="Çekme",-D986,D986))</f>
        <v/>
      </c>
    </row>
    <row r="987" customFormat="false" ht="15" hidden="false" customHeight="false" outlineLevel="0" collapsed="false">
      <c r="A987" s="14"/>
      <c r="B987" s="19"/>
      <c r="C987" s="19"/>
      <c r="D987" s="13"/>
      <c r="E987" s="12"/>
      <c r="F987" s="15" t="str">
        <f aca="false">IF(D987="","",IF(C987="Çekme",-D987,D987))</f>
        <v/>
      </c>
    </row>
    <row r="988" customFormat="false" ht="15" hidden="false" customHeight="false" outlineLevel="0" collapsed="false">
      <c r="A988" s="14"/>
      <c r="B988" s="19"/>
      <c r="C988" s="19"/>
      <c r="D988" s="13"/>
      <c r="E988" s="12"/>
      <c r="F988" s="15" t="str">
        <f aca="false">IF(D988="","",IF(C988="Çekme",-D988,D988))</f>
        <v/>
      </c>
    </row>
    <row r="989" customFormat="false" ht="15" hidden="false" customHeight="false" outlineLevel="0" collapsed="false">
      <c r="A989" s="14"/>
      <c r="B989" s="19"/>
      <c r="C989" s="19"/>
      <c r="D989" s="13"/>
      <c r="E989" s="12"/>
      <c r="F989" s="15" t="str">
        <f aca="false">IF(D989="","",IF(C989="Çekme",-D989,D989))</f>
        <v/>
      </c>
    </row>
    <row r="990" customFormat="false" ht="15" hidden="false" customHeight="false" outlineLevel="0" collapsed="false">
      <c r="A990" s="14"/>
      <c r="B990" s="19"/>
      <c r="C990" s="19"/>
      <c r="D990" s="13"/>
      <c r="E990" s="12"/>
      <c r="F990" s="15" t="str">
        <f aca="false">IF(D990="","",IF(C990="Çekme",-D990,D990))</f>
        <v/>
      </c>
    </row>
    <row r="991" customFormat="false" ht="15" hidden="false" customHeight="false" outlineLevel="0" collapsed="false">
      <c r="A991" s="14"/>
      <c r="B991" s="19"/>
      <c r="C991" s="19"/>
      <c r="D991" s="13"/>
      <c r="E991" s="12"/>
      <c r="F991" s="15" t="str">
        <f aca="false">IF(D991="","",IF(C991="Çekme",-D991,D991))</f>
        <v/>
      </c>
    </row>
    <row r="992" customFormat="false" ht="15" hidden="false" customHeight="false" outlineLevel="0" collapsed="false">
      <c r="A992" s="14"/>
      <c r="B992" s="19"/>
      <c r="C992" s="19"/>
      <c r="D992" s="13"/>
      <c r="E992" s="12"/>
      <c r="F992" s="15" t="str">
        <f aca="false">IF(D992="","",IF(C992="Çekme",-D992,D992))</f>
        <v/>
      </c>
    </row>
    <row r="993" customFormat="false" ht="15" hidden="false" customHeight="false" outlineLevel="0" collapsed="false">
      <c r="A993" s="14"/>
      <c r="B993" s="19"/>
      <c r="C993" s="19"/>
      <c r="D993" s="13"/>
      <c r="E993" s="12"/>
      <c r="F993" s="15" t="str">
        <f aca="false">IF(D993="","",IF(C993="Çekme",-D993,D993))</f>
        <v/>
      </c>
    </row>
    <row r="994" customFormat="false" ht="15" hidden="false" customHeight="false" outlineLevel="0" collapsed="false">
      <c r="A994" s="14"/>
      <c r="B994" s="19"/>
      <c r="C994" s="19"/>
      <c r="D994" s="13"/>
      <c r="E994" s="12"/>
      <c r="F994" s="15" t="str">
        <f aca="false">IF(D994="","",IF(C994="Çekme",-D994,D994))</f>
        <v/>
      </c>
    </row>
    <row r="995" customFormat="false" ht="15" hidden="false" customHeight="false" outlineLevel="0" collapsed="false">
      <c r="A995" s="14"/>
      <c r="B995" s="19"/>
      <c r="C995" s="19"/>
      <c r="D995" s="13"/>
      <c r="E995" s="12"/>
      <c r="F995" s="15" t="str">
        <f aca="false">IF(D995="","",IF(C995="Çekme",-D995,D995))</f>
        <v/>
      </c>
    </row>
    <row r="996" customFormat="false" ht="15" hidden="false" customHeight="false" outlineLevel="0" collapsed="false">
      <c r="A996" s="14"/>
      <c r="B996" s="19"/>
      <c r="C996" s="19"/>
      <c r="D996" s="13"/>
      <c r="E996" s="12"/>
      <c r="F996" s="15" t="str">
        <f aca="false">IF(D996="","",IF(C996="Çekme",-D996,D996))</f>
        <v/>
      </c>
    </row>
    <row r="997" customFormat="false" ht="15" hidden="false" customHeight="false" outlineLevel="0" collapsed="false">
      <c r="A997" s="14"/>
      <c r="B997" s="19"/>
      <c r="C997" s="19"/>
      <c r="D997" s="13"/>
      <c r="E997" s="12"/>
      <c r="F997" s="15" t="str">
        <f aca="false">IF(D997="","",IF(C997="Çekme",-D997,D997))</f>
        <v/>
      </c>
    </row>
    <row r="998" customFormat="false" ht="15" hidden="false" customHeight="false" outlineLevel="0" collapsed="false">
      <c r="A998" s="14"/>
      <c r="B998" s="19"/>
      <c r="C998" s="19"/>
      <c r="D998" s="13"/>
      <c r="E998" s="12"/>
      <c r="F998" s="15" t="str">
        <f aca="false">IF(D998="","",IF(C998="Çekme",-D998,D998))</f>
        <v/>
      </c>
    </row>
    <row r="999" customFormat="false" ht="15" hidden="false" customHeight="false" outlineLevel="0" collapsed="false">
      <c r="A999" s="14"/>
      <c r="B999" s="19"/>
      <c r="C999" s="19"/>
      <c r="D999" s="13"/>
      <c r="E999" s="12"/>
      <c r="F999" s="15" t="str">
        <f aca="false">IF(D999="","",IF(C999="Çekme",-D999,D999))</f>
        <v/>
      </c>
    </row>
    <row r="1000" customFormat="false" ht="15" hidden="false" customHeight="false" outlineLevel="0" collapsed="false">
      <c r="A1000" s="14"/>
      <c r="B1000" s="19"/>
      <c r="C1000" s="19"/>
      <c r="D1000" s="13"/>
      <c r="E1000" s="12"/>
      <c r="F1000" s="15" t="str">
        <f aca="false">IF(D1000="","",IF(C1000="Çekme",-D1000,D1000))</f>
        <v/>
      </c>
    </row>
    <row r="1001" customFormat="false" ht="15" hidden="false" customHeight="false" outlineLevel="0" collapsed="false">
      <c r="A1001" s="14"/>
      <c r="B1001" s="19"/>
      <c r="C1001" s="19"/>
      <c r="D1001" s="13"/>
      <c r="E1001" s="12"/>
      <c r="F1001" s="15" t="str">
        <f aca="false">IF(D1001="","",IF(C1001="Çekme",-D1001,D1001))</f>
        <v/>
      </c>
    </row>
    <row r="1002" customFormat="false" ht="15" hidden="false" customHeight="false" outlineLevel="0" collapsed="false">
      <c r="A1002" s="14"/>
      <c r="B1002" s="19"/>
      <c r="C1002" s="19"/>
      <c r="D1002" s="13"/>
      <c r="E1002" s="12"/>
      <c r="F1002" s="15" t="str">
        <f aca="false">IF(D1002="","",IF(C1002="Çekme",-D1002,D1002))</f>
        <v/>
      </c>
    </row>
    <row r="1003" customFormat="false" ht="15" hidden="false" customHeight="false" outlineLevel="0" collapsed="false">
      <c r="A1003" s="14"/>
      <c r="B1003" s="19"/>
      <c r="C1003" s="19"/>
      <c r="D1003" s="13"/>
      <c r="E1003" s="12"/>
      <c r="F1003" s="15" t="str">
        <f aca="false">IF(D1003="","",IF(C1003="Çekme",-D1003,D1003))</f>
        <v/>
      </c>
    </row>
    <row r="1004" customFormat="false" ht="15" hidden="false" customHeight="false" outlineLevel="0" collapsed="false">
      <c r="A1004" s="14"/>
      <c r="B1004" s="19"/>
      <c r="C1004" s="19"/>
      <c r="D1004" s="13"/>
      <c r="E1004" s="12"/>
      <c r="F1004" s="15" t="str">
        <f aca="false">IF(D1004="","",IF(C1004="Çekme",-D1004,D1004))</f>
        <v/>
      </c>
    </row>
  </sheetData>
  <dataValidations count="4">
    <dataValidation allowBlank="true" error="Sıfır ya da daha büyük bir sayı gir." errorStyle="stop" errorTitle="Kontrol" operator="greaterThanOrEqual" showDropDown="false" showErrorMessage="true" showInputMessage="false" sqref="D5:D1004" type="decimal">
      <formula1>0</formula1>
      <formula2>0</formula2>
    </dataValidation>
    <dataValidation allowBlank="true" error="Geçerli bir tarih gir (örnek: 05.10.2026)." errorStyle="stop" errorTitle="Kontrol" operator="greaterThan" showDropDown="false" showErrorMessage="true" showInputMessage="false" sqref="A5:A10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1004" type="list">
      <formula1>Hedefler!$A$5:$A$24</formula1>
      <formula2>0</formula2>
    </dataValidation>
    <dataValidation allowBlank="true" error="Listeden seç." errorStyle="stop" errorTitle="Kontrol" operator="between" showDropDown="false" showErrorMessage="true" showInputMessage="false" sqref="C5:C1004" type="list">
      <formula1>"Yatırma,Çekme"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46</v>
      </c>
    </row>
    <row r="2" customFormat="false" ht="15" hidden="false" customHeight="false" outlineLevel="0" collapsed="false">
      <c r="A2" s="9" t="s">
        <v>47</v>
      </c>
    </row>
    <row r="3" customFormat="false" ht="15" hidden="false" customHeight="false" outlineLevel="0" collapsed="false">
      <c r="B3" s="20" t="s">
        <v>48</v>
      </c>
      <c r="C3" s="21" t="n">
        <v>2026</v>
      </c>
    </row>
    <row r="5" customFormat="false" ht="30" hidden="false" customHeight="true" outlineLevel="0" collapsed="false">
      <c r="B5" s="22" t="s">
        <v>49</v>
      </c>
      <c r="C5" s="22" t="s">
        <v>50</v>
      </c>
      <c r="D5" s="22" t="s">
        <v>51</v>
      </c>
      <c r="E5" s="22" t="s">
        <v>52</v>
      </c>
      <c r="F5" s="22" t="s">
        <v>53</v>
      </c>
    </row>
    <row r="6" customFormat="false" ht="27.75" hidden="false" customHeight="true" outlineLevel="0" collapsed="false">
      <c r="B6" s="23" t="n">
        <f aca="false">SUM(Hedefler!$B$5:$B$24)</f>
        <v>205000</v>
      </c>
      <c r="C6" s="23" t="n">
        <f aca="false">SUM(Hedefler!$E$5:$E$24)</f>
        <v>89000</v>
      </c>
      <c r="D6" s="24" t="n">
        <f aca="false">IF(B6=0,0,C6/B6)</f>
        <v>0.434146341463415</v>
      </c>
      <c r="E6" s="23" t="n">
        <f aca="false">C23</f>
        <v>34000</v>
      </c>
      <c r="F6" s="23" t="n">
        <f aca="false">SUM(Hedefler!$I$5:$I$24)</f>
        <v>14500</v>
      </c>
    </row>
    <row r="9" customFormat="false" ht="15" hidden="false" customHeight="false" outlineLevel="0" collapsed="false">
      <c r="B9" s="25" t="s">
        <v>54</v>
      </c>
    </row>
    <row r="10" customFormat="false" ht="21.75" hidden="false" customHeight="true" outlineLevel="0" collapsed="false">
      <c r="B10" s="10" t="s">
        <v>55</v>
      </c>
      <c r="C10" s="10" t="s">
        <v>56</v>
      </c>
    </row>
    <row r="11" customFormat="false" ht="15" hidden="false" customHeight="false" outlineLevel="0" collapsed="false">
      <c r="B11" s="26" t="s">
        <v>57</v>
      </c>
      <c r="C11" s="15" t="n">
        <f aca="false">SUMIFS(Hareketler!$F$5:$F$1004,Hareketler!$A$5:$A$1004,"&gt;="&amp;DATE($C$3,1,1),Hareketler!$A$5:$A$1004,"&lt;"&amp;DATE($C$3,2,1))</f>
        <v>0</v>
      </c>
    </row>
    <row r="12" customFormat="false" ht="15" hidden="false" customHeight="false" outlineLevel="0" collapsed="false">
      <c r="B12" s="27" t="s">
        <v>58</v>
      </c>
      <c r="C12" s="28" t="n">
        <f aca="false">SUMIFS(Hareketler!$F$5:$F$1004,Hareketler!$A$5:$A$1004,"&gt;="&amp;DATE($C$3,2,1),Hareketler!$A$5:$A$1004,"&lt;"&amp;DATE($C$3,3,1))</f>
        <v>0</v>
      </c>
    </row>
    <row r="13" customFormat="false" ht="15" hidden="false" customHeight="false" outlineLevel="0" collapsed="false">
      <c r="B13" s="26" t="s">
        <v>59</v>
      </c>
      <c r="C13" s="15" t="n">
        <f aca="false">SUMIFS(Hareketler!$F$5:$F$1004,Hareketler!$A$5:$A$1004,"&gt;="&amp;DATE($C$3,3,1),Hareketler!$A$5:$A$1004,"&lt;"&amp;DATE($C$3,4,1))</f>
        <v>0</v>
      </c>
    </row>
    <row r="14" customFormat="false" ht="15" hidden="false" customHeight="false" outlineLevel="0" collapsed="false">
      <c r="B14" s="27" t="s">
        <v>60</v>
      </c>
      <c r="C14" s="28" t="n">
        <f aca="false">SUMIFS(Hareketler!$F$5:$F$1004,Hareketler!$A$5:$A$1004,"&gt;="&amp;DATE($C$3,4,1),Hareketler!$A$5:$A$1004,"&lt;"&amp;DATE($C$3,5,1))</f>
        <v>0</v>
      </c>
    </row>
    <row r="15" customFormat="false" ht="15" hidden="false" customHeight="false" outlineLevel="0" collapsed="false">
      <c r="B15" s="26" t="s">
        <v>61</v>
      </c>
      <c r="C15" s="15" t="n">
        <f aca="false">SUMIFS(Hareketler!$F$5:$F$1004,Hareketler!$A$5:$A$1004,"&gt;="&amp;DATE($C$3,5,1),Hareketler!$A$5:$A$1004,"&lt;"&amp;DATE($C$3,6,1))</f>
        <v>0</v>
      </c>
    </row>
    <row r="16" customFormat="false" ht="15" hidden="false" customHeight="false" outlineLevel="0" collapsed="false">
      <c r="B16" s="27" t="s">
        <v>62</v>
      </c>
      <c r="C16" s="28" t="n">
        <f aca="false">SUMIFS(Hareketler!$F$5:$F$1004,Hareketler!$A$5:$A$1004,"&gt;="&amp;DATE($C$3,6,1),Hareketler!$A$5:$A$1004,"&lt;"&amp;DATE($C$3,7,1))</f>
        <v>0</v>
      </c>
    </row>
    <row r="17" customFormat="false" ht="15" hidden="false" customHeight="false" outlineLevel="0" collapsed="false">
      <c r="B17" s="26" t="s">
        <v>63</v>
      </c>
      <c r="C17" s="15" t="n">
        <f aca="false">SUMIFS(Hareketler!$F$5:$F$1004,Hareketler!$A$5:$A$1004,"&gt;="&amp;DATE($C$3,7,1),Hareketler!$A$5:$A$1004,"&lt;"&amp;DATE($C$3,8,1))</f>
        <v>0</v>
      </c>
    </row>
    <row r="18" customFormat="false" ht="15" hidden="false" customHeight="false" outlineLevel="0" collapsed="false">
      <c r="B18" s="27" t="s">
        <v>64</v>
      </c>
      <c r="C18" s="28" t="n">
        <f aca="false">SUMIFS(Hareketler!$F$5:$F$1004,Hareketler!$A$5:$A$1004,"&gt;="&amp;DATE($C$3,8,1),Hareketler!$A$5:$A$1004,"&lt;"&amp;DATE($C$3,9,1))</f>
        <v>20000</v>
      </c>
    </row>
    <row r="19" customFormat="false" ht="15" hidden="false" customHeight="false" outlineLevel="0" collapsed="false">
      <c r="B19" s="26" t="s">
        <v>65</v>
      </c>
      <c r="C19" s="15" t="n">
        <f aca="false">SUMIFS(Hareketler!$F$5:$F$1004,Hareketler!$A$5:$A$1004,"&gt;="&amp;DATE($C$3,9,1),Hareketler!$A$5:$A$1004,"&lt;"&amp;DATE($C$3,10,1))</f>
        <v>14000</v>
      </c>
    </row>
    <row r="20" customFormat="false" ht="15" hidden="false" customHeight="false" outlineLevel="0" collapsed="false">
      <c r="B20" s="27" t="s">
        <v>66</v>
      </c>
      <c r="C20" s="28" t="n">
        <f aca="false">SUMIFS(Hareketler!$F$5:$F$1004,Hareketler!$A$5:$A$1004,"&gt;="&amp;DATE($C$3,10,1),Hareketler!$A$5:$A$1004,"&lt;"&amp;DATE($C$3,11,1))</f>
        <v>0</v>
      </c>
    </row>
    <row r="21" customFormat="false" ht="15" hidden="false" customHeight="false" outlineLevel="0" collapsed="false">
      <c r="B21" s="26" t="s">
        <v>67</v>
      </c>
      <c r="C21" s="15" t="n">
        <f aca="false">SUMIFS(Hareketler!$F$5:$F$1004,Hareketler!$A$5:$A$1004,"&gt;="&amp;DATE($C$3,11,1),Hareketler!$A$5:$A$1004,"&lt;"&amp;DATE($C$3,12,1))</f>
        <v>0</v>
      </c>
    </row>
    <row r="22" customFormat="false" ht="15" hidden="false" customHeight="false" outlineLevel="0" collapsed="false">
      <c r="B22" s="27" t="s">
        <v>68</v>
      </c>
      <c r="C22" s="28" t="n">
        <f aca="false">SUMIFS(Hareketler!$F$5:$F$1004,Hareketler!$A$5:$A$1004,"&gt;="&amp;DATE($C$3,12,1),Hareketler!$A$5:$A$1004,"&lt;"&amp;DATE($C$3,13,1))</f>
        <v>0</v>
      </c>
    </row>
    <row r="23" customFormat="false" ht="15" hidden="false" customHeight="false" outlineLevel="0" collapsed="false">
      <c r="B23" s="29" t="s">
        <v>69</v>
      </c>
      <c r="C23" s="30" t="n">
        <f aca="false">SUM(C11:C22)</f>
        <v>34000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70</v>
      </c>
    </row>
    <row r="2" customFormat="false" ht="30" hidden="false" customHeight="true" outlineLevel="0" collapsed="false">
      <c r="B2" s="31" t="s">
        <v>71</v>
      </c>
      <c r="C2" s="31"/>
    </row>
    <row r="3" customFormat="false" ht="31.5" hidden="false" customHeight="true" outlineLevel="0" collapsed="false">
      <c r="B3" s="32" t="s">
        <v>72</v>
      </c>
      <c r="C3" s="32"/>
    </row>
    <row r="5" customFormat="false" ht="15" hidden="false" customHeight="false" outlineLevel="0" collapsed="false">
      <c r="B5" s="33" t="s">
        <v>73</v>
      </c>
      <c r="C5" s="33" t="s">
        <v>74</v>
      </c>
    </row>
    <row r="6" customFormat="false" ht="31.5" hidden="false" customHeight="true" outlineLevel="0" collapsed="false">
      <c r="B6" s="34" t="s">
        <v>75</v>
      </c>
      <c r="C6" s="35" t="s">
        <v>76</v>
      </c>
    </row>
    <row r="7" customFormat="false" ht="31.5" hidden="false" customHeight="true" outlineLevel="0" collapsed="false">
      <c r="B7" s="36" t="s">
        <v>77</v>
      </c>
      <c r="C7" s="37" t="s">
        <v>78</v>
      </c>
    </row>
    <row r="8" customFormat="false" ht="31.5" hidden="false" customHeight="true" outlineLevel="0" collapsed="false">
      <c r="B8" s="34" t="s">
        <v>79</v>
      </c>
      <c r="C8" s="35" t="s">
        <v>80</v>
      </c>
    </row>
    <row r="9" customFormat="false" ht="31.5" hidden="false" customHeight="true" outlineLevel="0" collapsed="false">
      <c r="B9" s="36" t="s">
        <v>81</v>
      </c>
      <c r="C9" s="37" t="s">
        <v>82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2026-10-04T22:00:05Z</dcterms:created>
  <dc:creator>openpyxl</dc:creator>
  <dc:description/>
  <dc:language>en-US</dc:language>
  <cp:lastModifiedBy/>
  <dcterms:modified xsi:type="dcterms:W3CDTF">2026-10-04T22:00:05Z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