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İş Emirleri" sheetId="2" state="visible" r:id="rId4"/>
    <sheet name="Özet" sheetId="3" state="visible" r:id="rId5"/>
    <sheet name="AI Komutlar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<sst xmlns="http://schemas.openxmlformats.org/spreadsheetml/2006/main" count="102" uniqueCount="96">
  <si>
    <t xml:space="preserve">EXCEL KLİNİĞİ</t>
  </si>
  <si>
    <t xml:space="preserve">SERVİS  |  Teknik servis iş emri takibi</t>
  </si>
  <si>
    <t xml:space="preserve">Hangi cihaz kimde, ne zamandır bekliyor, hazır olanı kim almadı, kimden tahsilat kaldı.</t>
  </si>
  <si>
    <t xml:space="preserve">NASIL KULLANILIR</t>
  </si>
  <si>
    <t xml:space="preserve">1. İş Emirleri</t>
  </si>
  <si>
    <t xml:space="preserve">Cihazı kabul ederken tarihi, müşteriyi, cihazı ve arızayı yaz.</t>
  </si>
  <si>
    <t xml:space="preserve">2. Güncelle</t>
  </si>
  <si>
    <t xml:space="preserve">İş ilerledikçe durumu, parça ve işçilik tutarını, alınan ödemeyi ve teslim tarihini gir.</t>
  </si>
  <si>
    <t xml:space="preserve">3. Özet</t>
  </si>
  <si>
    <t xml:space="preserve">Açık işler, hazır olup alınmayanlar, tahsil edilmemiş tutar ve aylık ciro.</t>
  </si>
  <si>
    <t xml:space="preserve">BİLMEN GEREKENLER</t>
  </si>
  <si>
    <t xml:space="preserve">Açık iş</t>
  </si>
  <si>
    <t xml:space="preserve">Durumu Bekliyor, Parça bekleniyor ya da Hazır olan iştir.</t>
  </si>
  <si>
    <t xml:space="preserve">Ciro</t>
  </si>
  <si>
    <t xml:space="preserve">Yalnızca Teslim edildi durumundaki işler, teslim tarihindeki aya yazılır.</t>
  </si>
  <si>
    <t xml:space="preserve">Kapasite</t>
  </si>
  <si>
    <t xml:space="preserve">İş Emirleri: 1500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</si>
  <si>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</si>
  <si>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</si>
  <si>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</si>
  <si>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</si>
  <si>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</si>
  <si>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İş Emirleri</t>
  </si>
  <si>
    <t xml:space="preserve">Kabul ettiğin her cihaz bir satır. Durumu ilerledikçe güncelle.</t>
  </si>
  <si>
    <t xml:space="preserve">Kabul tarihi</t>
  </si>
  <si>
    <t xml:space="preserve">Müşteri</t>
  </si>
  <si>
    <t xml:space="preserve">Telefon</t>
  </si>
  <si>
    <t xml:space="preserve">Cihaz</t>
  </si>
  <si>
    <t xml:space="preserve">Arıza</t>
  </si>
  <si>
    <t xml:space="preserve">Durum</t>
  </si>
  <si>
    <t xml:space="preserve">Parça (₺)</t>
  </si>
  <si>
    <t xml:space="preserve">İşçilik (₺)</t>
  </si>
  <si>
    <t xml:space="preserve">Alınan ödeme (₺)</t>
  </si>
  <si>
    <t xml:space="preserve">Teslim tarihi</t>
  </si>
  <si>
    <t xml:space="preserve">Toplam (₺)</t>
  </si>
  <si>
    <t xml:space="preserve">Kalan (₺)</t>
  </si>
  <si>
    <t xml:space="preserve">Gün</t>
  </si>
  <si>
    <t xml:space="preserve">Uyarı</t>
  </si>
  <si>
    <t xml:space="preserve">y</t>
  </si>
  <si>
    <t xml:space="preserve">Müşteri Alfa</t>
  </si>
  <si>
    <t xml:space="preserve">Çamaşır makinesi</t>
  </si>
  <si>
    <t xml:space="preserve">Su almıyor</t>
  </si>
  <si>
    <t xml:space="preserve">Parça bekleniyor</t>
  </si>
  <si>
    <t xml:space="preserve">Müşteri Beta</t>
  </si>
  <si>
    <t xml:space="preserve">Ekran kırık</t>
  </si>
  <si>
    <t xml:space="preserve">Hazır</t>
  </si>
  <si>
    <t xml:space="preserve">Müşteri Gama</t>
  </si>
  <si>
    <t xml:space="preserve">Laptop</t>
  </si>
  <si>
    <t xml:space="preserve">Açılmıyor</t>
  </si>
  <si>
    <t xml:space="preserve">Teslim edildi</t>
  </si>
  <si>
    <t xml:space="preserve">Müşteri Delta</t>
  </si>
  <si>
    <t xml:space="preserve">Televizyon</t>
  </si>
  <si>
    <t xml:space="preserve">Görüntü yok</t>
  </si>
  <si>
    <t xml:space="preserve">Müşteri Epsilon</t>
  </si>
  <si>
    <t xml:space="preserve">Süpürge</t>
  </si>
  <si>
    <t xml:space="preserve">Çekmiyor</t>
  </si>
  <si>
    <t xml:space="preserve">Bekliyor</t>
  </si>
  <si>
    <t xml:space="preserve">Özet</t>
  </si>
  <si>
    <t xml:space="preserve">Bu sayfada yalnızca yılı değiştir.</t>
  </si>
  <si>
    <t xml:space="preserve">Yıl</t>
  </si>
  <si>
    <t xml:space="preserve">Hazır, teslim bekleyen</t>
  </si>
  <si>
    <t xml:space="preserve">7 günü geçen</t>
  </si>
  <si>
    <t xml:space="preserve">Tahsil edilmemiş</t>
  </si>
  <si>
    <t xml:space="preserve">Ortalama teslim süresi (gün)</t>
  </si>
  <si>
    <t xml:space="preserve">Aylık tablo</t>
  </si>
  <si>
    <t xml:space="preserve">En eski 10 açık iş</t>
  </si>
  <si>
    <t xml:space="preserve">Ay</t>
  </si>
  <si>
    <t xml:space="preserve">Teslim edilen iş</t>
  </si>
  <si>
    <t xml:space="preserve">Ciro (₺)</t>
  </si>
  <si>
    <t xml:space="preserve">Kabul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</si>
  <si>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</si>
  <si>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</si>
  <si>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</si>
  <si>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</si>
  <si>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</si>
  <si>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</si>
  <si>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</si>
  <si>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</si>
  <si>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</si>
  <si>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</si>
  <si>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</si>
  <si>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</si>
  <si>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</si>
  <si>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</si>
  <si>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</si>
  <si>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adlarını ve telefonlarını paylaşma. Yapay zekanın verdiği rakamları dosyadaki özet sayfasıyla karşılaştır.</t>
  </si>
  <si>
    <t xml:space="preserve">Ne için</t>
  </si>
  <si>
    <t xml:space="preserve">Komut (kopyala, yapıştır)</t>
  </si>
  <si>
    <t xml:space="preserve">Hazır bildirimi</t>
  </si>
  <si>
    <t xml:space="preserve">Cihazı hazır olan müşteriye gönderilecek kısa bir bilgilendirme mesajı yaz; tutar için boşluk bırak.</t>
  </si>
  <si>
    <t xml:space="preserve">Geciken işler</t>
  </si>
  <si>
    <t xml:space="preserve">[Özet sayfasındaki açık işler] Hangi işler neden bekliyor olabilir? Müşteriye durum bildirmek için kısa mesajlar yaz.</t>
  </si>
  <si>
    <t xml:space="preserve">Arıza dağılımı</t>
  </si>
  <si>
    <t xml:space="preserve">[İş Emirleri sayfası] En sık gelen cihaz ve arıza türlerini çıkar; stokta tutmam gereken parçaları öner.</t>
  </si>
  <si>
    <t xml:space="preserve">Tahsilat</t>
  </si>
  <si>
    <t xml:space="preserve">Ödemesi kalan müşterilere gönderilecek kibar bir hatırlatma yaz.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</si>
</sst>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#,##0.00&quot; ₺&quot;"/>
    <numFmt numFmtId="167" formatCode="#,##0.00&quot; ₺&quot;;[RED]\-#,##0.00&quot; ₺&quot;;\-"/>
    <numFmt numFmtId="168" formatCode="#,##0;[RED]\-#,##0;\-"/>
    <numFmt numFmtId="169" formatCode="mm/dd/yy"/>
    <numFmt numFmtId="170" formatCode="0"/>
    <numFmt numFmtId="171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O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4" min="10" style="0" width="14"/>
    <col collapsed="false" customWidth="true" hidden="true" outlineLevel="0" max="15" min="15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38</v>
      </c>
    </row>
    <row r="5" customFormat="false" ht="15" hidden="false" customHeight="false" outlineLevel="0" collapsed="false">
      <c r="A5" s="12" t="n">
        <v>46287</v>
      </c>
      <c r="B5" s="13" t="s">
        <v>39</v>
      </c>
      <c r="C5" s="13"/>
      <c r="D5" s="13" t="s">
        <v>40</v>
      </c>
      <c r="E5" s="13" t="s">
        <v>41</v>
      </c>
      <c r="F5" s="14" t="s">
        <v>42</v>
      </c>
      <c r="G5" s="15" t="n">
        <v>1800</v>
      </c>
      <c r="H5" s="15" t="n">
        <v>900</v>
      </c>
      <c r="I5" s="15" t="n">
        <v>0</v>
      </c>
      <c r="J5" s="12"/>
      <c r="K5" s="16" t="n">
        <f aca="false">IF(A5="","",G5+H5)</f>
        <v>2700</v>
      </c>
      <c r="L5" s="16" t="n">
        <f aca="false">IF(A5="","",IF(F5="İade edildi",0,K5-I5))</f>
        <v>2700</v>
      </c>
      <c r="M5" s="17" t="n">
        <f aca="true">IF(A5="","",IF(J5&lt;&gt;"",J5-A5,TODAY()-A5))</f>
        <v>12</v>
      </c>
      <c r="N5" s="18" t="str">
        <f aca="false">IF(A5="","",IF(AND(OR(F5="Bekliyor",F5="Parça bekleniyor",F5="Hazır"),M5&gt;7),"7 günü geçti",""))</f>
        <v>7 günü geçti</v>
      </c>
      <c r="O5" s="19" t="n">
        <f aca="false">IF(AND(A5&lt;&gt;"",OR(F5="Bekliyor",F5="Parça bekleniyor",F5="Hazır")),A5+ROW()/1000000,"")</f>
        <v>46287.000005</v>
      </c>
    </row>
    <row r="6" customFormat="false" ht="15" hidden="false" customHeight="false" outlineLevel="0" collapsed="false">
      <c r="A6" s="12" t="n">
        <v>46296</v>
      </c>
      <c r="B6" s="13" t="s">
        <v>43</v>
      </c>
      <c r="C6" s="13"/>
      <c r="D6" s="13" t="s">
        <v>26</v>
      </c>
      <c r="E6" s="13" t="s">
        <v>44</v>
      </c>
      <c r="F6" s="14" t="s">
        <v>45</v>
      </c>
      <c r="G6" s="15" t="n">
        <v>2500</v>
      </c>
      <c r="H6" s="15" t="n">
        <v>600</v>
      </c>
      <c r="I6" s="15" t="n">
        <v>1000</v>
      </c>
      <c r="J6" s="12"/>
      <c r="K6" s="16" t="n">
        <f aca="false">IF(A6="","",G6+H6)</f>
        <v>3100</v>
      </c>
      <c r="L6" s="16" t="n">
        <f aca="false">IF(A6="","",IF(F6="İade edildi",0,K6-I6))</f>
        <v>2100</v>
      </c>
      <c r="M6" s="17" t="n">
        <f aca="true">IF(A6="","",IF(J6&lt;&gt;"",J6-A6,TODAY()-A6))</f>
        <v>3</v>
      </c>
      <c r="N6" s="18" t="str">
        <f aca="false">IF(A6="","",IF(AND(OR(F6="Bekliyor",F6="Parça bekleniyor",F6="Hazır"),M6&gt;7),"7 günü geçti",""))</f>
        <v/>
      </c>
      <c r="O6" s="19" t="n">
        <f aca="false">IF(AND(A6&lt;&gt;"",OR(F6="Bekliyor",F6="Parça bekleniyor",F6="Hazır")),A6+ROW()/1000000,"")</f>
        <v>46296.000006</v>
      </c>
    </row>
    <row r="7" customFormat="false" ht="15" hidden="false" customHeight="false" outlineLevel="0" collapsed="false">
      <c r="A7" s="12" t="n">
        <v>46275</v>
      </c>
      <c r="B7" s="13" t="s">
        <v>46</v>
      </c>
      <c r="C7" s="13"/>
      <c r="D7" s="13" t="s">
        <v>47</v>
      </c>
      <c r="E7" s="13" t="s">
        <v>48</v>
      </c>
      <c r="F7" s="14" t="s">
        <v>49</v>
      </c>
      <c r="G7" s="15" t="n">
        <v>3200</v>
      </c>
      <c r="H7" s="15" t="n">
        <v>1500</v>
      </c>
      <c r="I7" s="15" t="n">
        <v>4700</v>
      </c>
      <c r="J7" s="12" t="n">
        <v>46281</v>
      </c>
      <c r="K7" s="16" t="n">
        <f aca="false">IF(A7="","",G7+H7)</f>
        <v>4700</v>
      </c>
      <c r="L7" s="16" t="n">
        <f aca="false">IF(A7="","",IF(F7="İade edildi",0,K7-I7))</f>
        <v>0</v>
      </c>
      <c r="M7" s="17" t="n">
        <f aca="true">IF(A7="","",IF(J7&lt;&gt;"",J7-A7,TODAY()-A7))</f>
        <v>6</v>
      </c>
      <c r="N7" s="18" t="str">
        <f aca="false">IF(A7="","",IF(AND(OR(F7="Bekliyor",F7="Parça bekleniyor",F7="Hazır"),M7&gt;7),"7 günü geçti",""))</f>
        <v/>
      </c>
      <c r="O7" s="18" t="str">
        <f aca="false">IF(AND(A7&lt;&gt;"",OR(F7="Bekliyor",F7="Parça bekleniyor",F7="Hazır")),A7+ROW()/1000000,"")</f>
        <v/>
      </c>
    </row>
    <row r="8" customFormat="false" ht="15" hidden="false" customHeight="false" outlineLevel="0" collapsed="false">
      <c r="A8" s="12" t="n">
        <v>46285</v>
      </c>
      <c r="B8" s="13" t="s">
        <v>50</v>
      </c>
      <c r="C8" s="13"/>
      <c r="D8" s="13" t="s">
        <v>51</v>
      </c>
      <c r="E8" s="13" t="s">
        <v>52</v>
      </c>
      <c r="F8" s="14" t="s">
        <v>49</v>
      </c>
      <c r="G8" s="15" t="n">
        <v>0</v>
      </c>
      <c r="H8" s="15" t="n">
        <v>1200</v>
      </c>
      <c r="I8" s="15" t="n">
        <v>1000</v>
      </c>
      <c r="J8" s="12" t="n">
        <v>46287</v>
      </c>
      <c r="K8" s="16" t="n">
        <f aca="false">IF(A8="","",G8+H8)</f>
        <v>1200</v>
      </c>
      <c r="L8" s="16" t="n">
        <f aca="false">IF(A8="","",IF(F8="İade edildi",0,K8-I8))</f>
        <v>200</v>
      </c>
      <c r="M8" s="17" t="n">
        <f aca="true">IF(A8="","",IF(J8&lt;&gt;"",J8-A8,TODAY()-A8))</f>
        <v>2</v>
      </c>
      <c r="N8" s="18" t="str">
        <f aca="false">IF(A8="","",IF(AND(OR(F8="Bekliyor",F8="Parça bekleniyor",F8="Hazır"),M8&gt;7),"7 günü geçti",""))</f>
        <v/>
      </c>
      <c r="O8" s="18" t="str">
        <f aca="false">IF(AND(A8&lt;&gt;"",OR(F8="Bekliyor",F8="Parça bekleniyor",F8="Hazır")),A8+ROW()/1000000,"")</f>
        <v/>
      </c>
    </row>
    <row r="9" customFormat="false" ht="15" hidden="false" customHeight="false" outlineLevel="0" collapsed="false">
      <c r="A9" s="12" t="n">
        <v>46298</v>
      </c>
      <c r="B9" s="13" t="s">
        <v>53</v>
      </c>
      <c r="C9" s="13"/>
      <c r="D9" s="13" t="s">
        <v>54</v>
      </c>
      <c r="E9" s="13" t="s">
        <v>55</v>
      </c>
      <c r="F9" s="14" t="s">
        <v>56</v>
      </c>
      <c r="G9" s="15" t="n">
        <v>0</v>
      </c>
      <c r="H9" s="15" t="n">
        <v>0</v>
      </c>
      <c r="I9" s="15" t="n">
        <v>0</v>
      </c>
      <c r="J9" s="12"/>
      <c r="K9" s="16" t="n">
        <f aca="false">IF(A9="","",G9+H9)</f>
        <v>0</v>
      </c>
      <c r="L9" s="16" t="n">
        <f aca="false">IF(A9="","",IF(F9="İade edildi",0,K9-I9))</f>
        <v>0</v>
      </c>
      <c r="M9" s="17" t="n">
        <f aca="true">IF(A9="","",IF(J9&lt;&gt;"",J9-A9,TODAY()-A9))</f>
        <v>1</v>
      </c>
      <c r="N9" s="18" t="str">
        <f aca="false">IF(A9="","",IF(AND(OR(F9="Bekliyor",F9="Parça bekleniyor",F9="Hazır"),M9&gt;7),"7 günü geçti",""))</f>
        <v/>
      </c>
      <c r="O9" s="19" t="n">
        <f aca="false">IF(AND(A9&lt;&gt;"",OR(F9="Bekliyor",F9="Parça bekleniyor",F9="Hazır")),A9+ROW()/1000000,"")</f>
        <v>46298.000009</v>
      </c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4"/>
      <c r="G10" s="15"/>
      <c r="H10" s="15"/>
      <c r="I10" s="15"/>
      <c r="J10" s="12"/>
      <c r="K10" s="16" t="str">
        <f aca="false">IF(A10="","",G10+H10)</f>
        <v/>
      </c>
      <c r="L10" s="16" t="str">
        <f aca="false">IF(A10="","",IF(F10="İade edildi",0,K10-I10))</f>
        <v/>
      </c>
      <c r="M10" s="17" t="str">
        <f aca="true">IF(A10="","",IF(J10&lt;&gt;"",J10-A10,TODAY()-A10))</f>
        <v/>
      </c>
      <c r="N10" s="18" t="str">
        <f aca="false">IF(A10="","",IF(AND(OR(F10="Bekliyor",F10="Parça bekleniyor",F10="Hazır"),M10&gt;7),"7 günü geçti",""))</f>
        <v/>
      </c>
      <c r="O10" s="18" t="str">
        <f aca="false">IF(AND(A10&lt;&gt;"",OR(F10="Bekliyor",F10="Parça bekleniyor",F10="Hazır")),A10+ROW()/1000000,"")</f>
        <v/>
      </c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4"/>
      <c r="G11" s="15"/>
      <c r="H11" s="15"/>
      <c r="I11" s="15"/>
      <c r="J11" s="12"/>
      <c r="K11" s="16" t="str">
        <f aca="false">IF(A11="","",G11+H11)</f>
        <v/>
      </c>
      <c r="L11" s="16" t="str">
        <f aca="false">IF(A11="","",IF(F11="İade edildi",0,K11-I11))</f>
        <v/>
      </c>
      <c r="M11" s="17" t="str">
        <f aca="true">IF(A11="","",IF(J11&lt;&gt;"",J11-A11,TODAY()-A11))</f>
        <v/>
      </c>
      <c r="N11" s="18" t="str">
        <f aca="false">IF(A11="","",IF(AND(OR(F11="Bekliyor",F11="Parça bekleniyor",F11="Hazır"),M11&gt;7),"7 günü geçti",""))</f>
        <v/>
      </c>
      <c r="O11" s="18" t="str">
        <f aca="false">IF(AND(A11&lt;&gt;"",OR(F11="Bekliyor",F11="Parça bekleniyor",F11="Hazır")),A11+ROW()/1000000,"")</f>
        <v/>
      </c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4"/>
      <c r="G12" s="15"/>
      <c r="H12" s="15"/>
      <c r="I12" s="15"/>
      <c r="J12" s="12"/>
      <c r="K12" s="16" t="str">
        <f aca="false">IF(A12="","",G12+H12)</f>
        <v/>
      </c>
      <c r="L12" s="16" t="str">
        <f aca="false">IF(A12="","",IF(F12="İade edildi",0,K12-I12))</f>
        <v/>
      </c>
      <c r="M12" s="17" t="str">
        <f aca="true">IF(A12="","",IF(J12&lt;&gt;"",J12-A12,TODAY()-A12))</f>
        <v/>
      </c>
      <c r="N12" s="18" t="str">
        <f aca="false">IF(A12="","",IF(AND(OR(F12="Bekliyor",F12="Parça bekleniyor",F12="Hazır"),M12&gt;7),"7 günü geçti",""))</f>
        <v/>
      </c>
      <c r="O12" s="18" t="str">
        <f aca="false">IF(AND(A12&lt;&gt;"",OR(F12="Bekliyor",F12="Parça bekleniyor",F12="Hazır")),A12+ROW()/1000000,"")</f>
        <v/>
      </c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4"/>
      <c r="G13" s="15"/>
      <c r="H13" s="15"/>
      <c r="I13" s="15"/>
      <c r="J13" s="12"/>
      <c r="K13" s="16" t="str">
        <f aca="false">IF(A13="","",G13+H13)</f>
        <v/>
      </c>
      <c r="L13" s="16" t="str">
        <f aca="false">IF(A13="","",IF(F13="İade edildi",0,K13-I13))</f>
        <v/>
      </c>
      <c r="M13" s="17" t="str">
        <f aca="true">IF(A13="","",IF(J13&lt;&gt;"",J13-A13,TODAY()-A13))</f>
        <v/>
      </c>
      <c r="N13" s="18" t="str">
        <f aca="false">IF(A13="","",IF(AND(OR(F13="Bekliyor",F13="Parça bekleniyor",F13="Hazır"),M13&gt;7),"7 günü geçti",""))</f>
        <v/>
      </c>
      <c r="O13" s="18" t="str">
        <f aca="false">IF(AND(A13&lt;&gt;"",OR(F13="Bekliyor",F13="Parça bekleniyor",F13="Hazır")),A13+ROW()/1000000,"")</f>
        <v/>
      </c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4"/>
      <c r="G14" s="15"/>
      <c r="H14" s="15"/>
      <c r="I14" s="15"/>
      <c r="J14" s="12"/>
      <c r="K14" s="16" t="str">
        <f aca="false">IF(A14="","",G14+H14)</f>
        <v/>
      </c>
      <c r="L14" s="16" t="str">
        <f aca="false">IF(A14="","",IF(F14="İade edildi",0,K14-I14))</f>
        <v/>
      </c>
      <c r="M14" s="17" t="str">
        <f aca="true">IF(A14="","",IF(J14&lt;&gt;"",J14-A14,TODAY()-A14))</f>
        <v/>
      </c>
      <c r="N14" s="18" t="str">
        <f aca="false">IF(A14="","",IF(AND(OR(F14="Bekliyor",F14="Parça bekleniyor",F14="Hazır"),M14&gt;7),"7 günü geçti",""))</f>
        <v/>
      </c>
      <c r="O14" s="18" t="str">
        <f aca="false">IF(AND(A14&lt;&gt;"",OR(F14="Bekliyor",F14="Parça bekleniyor",F14="Hazır")),A14+ROW()/1000000,"")</f>
        <v/>
      </c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4"/>
      <c r="G15" s="15"/>
      <c r="H15" s="15"/>
      <c r="I15" s="15"/>
      <c r="J15" s="12"/>
      <c r="K15" s="16" t="str">
        <f aca="false">IF(A15="","",G15+H15)</f>
        <v/>
      </c>
      <c r="L15" s="16" t="str">
        <f aca="false">IF(A15="","",IF(F15="İade edildi",0,K15-I15))</f>
        <v/>
      </c>
      <c r="M15" s="17" t="str">
        <f aca="true">IF(A15="","",IF(J15&lt;&gt;"",J15-A15,TODAY()-A15))</f>
        <v/>
      </c>
      <c r="N15" s="18" t="str">
        <f aca="false">IF(A15="","",IF(AND(OR(F15="Bekliyor",F15="Parça bekleniyor",F15="Hazır"),M15&gt;7),"7 günü geçti",""))</f>
        <v/>
      </c>
      <c r="O15" s="18" t="str">
        <f aca="false">IF(AND(A15&lt;&gt;"",OR(F15="Bekliyor",F15="Parça bekleniyor",F15="Hazır")),A15+ROW()/1000000,"")</f>
        <v/>
      </c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4"/>
      <c r="G16" s="15"/>
      <c r="H16" s="15"/>
      <c r="I16" s="15"/>
      <c r="J16" s="12"/>
      <c r="K16" s="16" t="str">
        <f aca="false">IF(A16="","",G16+H16)</f>
        <v/>
      </c>
      <c r="L16" s="16" t="str">
        <f aca="false">IF(A16="","",IF(F16="İade edildi",0,K16-I16))</f>
        <v/>
      </c>
      <c r="M16" s="17" t="str">
        <f aca="true">IF(A16="","",IF(J16&lt;&gt;"",J16-A16,TODAY()-A16))</f>
        <v/>
      </c>
      <c r="N16" s="18" t="str">
        <f aca="false">IF(A16="","",IF(AND(OR(F16="Bekliyor",F16="Parça bekleniyor",F16="Hazır"),M16&gt;7),"7 günü geçti",""))</f>
        <v/>
      </c>
      <c r="O16" s="18" t="str">
        <f aca="false">IF(AND(A16&lt;&gt;"",OR(F16="Bekliyor",F16="Parça bekleniyor",F16="Hazır")),A16+ROW()/1000000,"")</f>
        <v/>
      </c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4"/>
      <c r="G17" s="15"/>
      <c r="H17" s="15"/>
      <c r="I17" s="15"/>
      <c r="J17" s="12"/>
      <c r="K17" s="16" t="str">
        <f aca="false">IF(A17="","",G17+H17)</f>
        <v/>
      </c>
      <c r="L17" s="16" t="str">
        <f aca="false">IF(A17="","",IF(F17="İade edildi",0,K17-I17))</f>
        <v/>
      </c>
      <c r="M17" s="17" t="str">
        <f aca="true">IF(A17="","",IF(J17&lt;&gt;"",J17-A17,TODAY()-A17))</f>
        <v/>
      </c>
      <c r="N17" s="18" t="str">
        <f aca="false">IF(A17="","",IF(AND(OR(F17="Bekliyor",F17="Parça bekleniyor",F17="Hazır"),M17&gt;7),"7 günü geçti",""))</f>
        <v/>
      </c>
      <c r="O17" s="18" t="str">
        <f aca="false">IF(AND(A17&lt;&gt;"",OR(F17="Bekliyor",F17="Parça bekleniyor",F17="Hazır")),A17+ROW()/1000000,"")</f>
        <v/>
      </c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4"/>
      <c r="G18" s="15"/>
      <c r="H18" s="15"/>
      <c r="I18" s="15"/>
      <c r="J18" s="12"/>
      <c r="K18" s="16" t="str">
        <f aca="false">IF(A18="","",G18+H18)</f>
        <v/>
      </c>
      <c r="L18" s="16" t="str">
        <f aca="false">IF(A18="","",IF(F18="İade edildi",0,K18-I18))</f>
        <v/>
      </c>
      <c r="M18" s="17" t="str">
        <f aca="true">IF(A18="","",IF(J18&lt;&gt;"",J18-A18,TODAY()-A18))</f>
        <v/>
      </c>
      <c r="N18" s="18" t="str">
        <f aca="false">IF(A18="","",IF(AND(OR(F18="Bekliyor",F18="Parça bekleniyor",F18="Hazır"),M18&gt;7),"7 günü geçti",""))</f>
        <v/>
      </c>
      <c r="O18" s="18" t="str">
        <f aca="false">IF(AND(A18&lt;&gt;"",OR(F18="Bekliyor",F18="Parça bekleniyor",F18="Hazır")),A18+ROW()/1000000,"")</f>
        <v/>
      </c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4"/>
      <c r="G19" s="15"/>
      <c r="H19" s="15"/>
      <c r="I19" s="15"/>
      <c r="J19" s="12"/>
      <c r="K19" s="16" t="str">
        <f aca="false">IF(A19="","",G19+H19)</f>
        <v/>
      </c>
      <c r="L19" s="16" t="str">
        <f aca="false">IF(A19="","",IF(F19="İade edildi",0,K19-I19))</f>
        <v/>
      </c>
      <c r="M19" s="17" t="str">
        <f aca="true">IF(A19="","",IF(J19&lt;&gt;"",J19-A19,TODAY()-A19))</f>
        <v/>
      </c>
      <c r="N19" s="18" t="str">
        <f aca="false">IF(A19="","",IF(AND(OR(F19="Bekliyor",F19="Parça bekleniyor",F19="Hazır"),M19&gt;7),"7 günü geçti",""))</f>
        <v/>
      </c>
      <c r="O19" s="18" t="str">
        <f aca="false">IF(AND(A19&lt;&gt;"",OR(F19="Bekliyor",F19="Parça bekleniyor",F19="Hazır")),A19+ROW()/1000000,"")</f>
        <v/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4"/>
      <c r="G20" s="15"/>
      <c r="H20" s="15"/>
      <c r="I20" s="15"/>
      <c r="J20" s="12"/>
      <c r="K20" s="16" t="str">
        <f aca="false">IF(A20="","",G20+H20)</f>
        <v/>
      </c>
      <c r="L20" s="16" t="str">
        <f aca="false">IF(A20="","",IF(F20="İade edildi",0,K20-I20))</f>
        <v/>
      </c>
      <c r="M20" s="17" t="str">
        <f aca="true">IF(A20="","",IF(J20&lt;&gt;"",J20-A20,TODAY()-A20))</f>
        <v/>
      </c>
      <c r="N20" s="18" t="str">
        <f aca="false">IF(A20="","",IF(AND(OR(F20="Bekliyor",F20="Parça bekleniyor",F20="Hazır"),M20&gt;7),"7 günü geçti",""))</f>
        <v/>
      </c>
      <c r="O20" s="18" t="str">
        <f aca="false">IF(AND(A20&lt;&gt;"",OR(F20="Bekliyor",F20="Parça bekleniyor",F20="Hazır")),A20+ROW()/1000000,"")</f>
        <v/>
      </c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4"/>
      <c r="G21" s="15"/>
      <c r="H21" s="15"/>
      <c r="I21" s="15"/>
      <c r="J21" s="12"/>
      <c r="K21" s="16" t="str">
        <f aca="false">IF(A21="","",G21+H21)</f>
        <v/>
      </c>
      <c r="L21" s="16" t="str">
        <f aca="false">IF(A21="","",IF(F21="İade edildi",0,K21-I21))</f>
        <v/>
      </c>
      <c r="M21" s="17" t="str">
        <f aca="true">IF(A21="","",IF(J21&lt;&gt;"",J21-A21,TODAY()-A21))</f>
        <v/>
      </c>
      <c r="N21" s="18" t="str">
        <f aca="false">IF(A21="","",IF(AND(OR(F21="Bekliyor",F21="Parça bekleniyor",F21="Hazır"),M21&gt;7),"7 günü geçti",""))</f>
        <v/>
      </c>
      <c r="O21" s="18" t="str">
        <f aca="false">IF(AND(A21&lt;&gt;"",OR(F21="Bekliyor",F21="Parça bekleniyor",F21="Hazır")),A21+ROW()/1000000,"")</f>
        <v/>
      </c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4"/>
      <c r="G22" s="15"/>
      <c r="H22" s="15"/>
      <c r="I22" s="15"/>
      <c r="J22" s="12"/>
      <c r="K22" s="16" t="str">
        <f aca="false">IF(A22="","",G22+H22)</f>
        <v/>
      </c>
      <c r="L22" s="16" t="str">
        <f aca="false">IF(A22="","",IF(F22="İade edildi",0,K22-I22))</f>
        <v/>
      </c>
      <c r="M22" s="17" t="str">
        <f aca="true">IF(A22="","",IF(J22&lt;&gt;"",J22-A22,TODAY()-A22))</f>
        <v/>
      </c>
      <c r="N22" s="18" t="str">
        <f aca="false">IF(A22="","",IF(AND(OR(F22="Bekliyor",F22="Parça bekleniyor",F22="Hazır"),M22&gt;7),"7 günü geçti",""))</f>
        <v/>
      </c>
      <c r="O22" s="18" t="str">
        <f aca="false">IF(AND(A22&lt;&gt;"",OR(F22="Bekliyor",F22="Parça bekleniyor",F22="Hazır")),A22+ROW()/1000000,"")</f>
        <v/>
      </c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4"/>
      <c r="G23" s="15"/>
      <c r="H23" s="15"/>
      <c r="I23" s="15"/>
      <c r="J23" s="12"/>
      <c r="K23" s="16" t="str">
        <f aca="false">IF(A23="","",G23+H23)</f>
        <v/>
      </c>
      <c r="L23" s="16" t="str">
        <f aca="false">IF(A23="","",IF(F23="İade edildi",0,K23-I23))</f>
        <v/>
      </c>
      <c r="M23" s="17" t="str">
        <f aca="true">IF(A23="","",IF(J23&lt;&gt;"",J23-A23,TODAY()-A23))</f>
        <v/>
      </c>
      <c r="N23" s="18" t="str">
        <f aca="false">IF(A23="","",IF(AND(OR(F23="Bekliyor",F23="Parça bekleniyor",F23="Hazır"),M23&gt;7),"7 günü geçti",""))</f>
        <v/>
      </c>
      <c r="O23" s="18" t="str">
        <f aca="false">IF(AND(A23&lt;&gt;"",OR(F23="Bekliyor",F23="Parça bekleniyor",F23="Hazır")),A23+ROW()/1000000,"")</f>
        <v/>
      </c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4"/>
      <c r="G24" s="15"/>
      <c r="H24" s="15"/>
      <c r="I24" s="15"/>
      <c r="J24" s="12"/>
      <c r="K24" s="16" t="str">
        <f aca="false">IF(A24="","",G24+H24)</f>
        <v/>
      </c>
      <c r="L24" s="16" t="str">
        <f aca="false">IF(A24="","",IF(F24="İade edildi",0,K24-I24))</f>
        <v/>
      </c>
      <c r="M24" s="17" t="str">
        <f aca="true">IF(A24="","",IF(J24&lt;&gt;"",J24-A24,TODAY()-A24))</f>
        <v/>
      </c>
      <c r="N24" s="18" t="str">
        <f aca="false">IF(A24="","",IF(AND(OR(F24="Bekliyor",F24="Parça bekleniyor",F24="Hazır"),M24&gt;7),"7 günü geçti",""))</f>
        <v/>
      </c>
      <c r="O24" s="18" t="str">
        <f aca="false">IF(AND(A24&lt;&gt;"",OR(F24="Bekliyor",F24="Parça bekleniyor",F24="Hazır")),A24+ROW()/1000000,"")</f>
        <v/>
      </c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4"/>
      <c r="G25" s="15"/>
      <c r="H25" s="15"/>
      <c r="I25" s="15"/>
      <c r="J25" s="12"/>
      <c r="K25" s="16" t="str">
        <f aca="false">IF(A25="","",G25+H25)</f>
        <v/>
      </c>
      <c r="L25" s="16" t="str">
        <f aca="false">IF(A25="","",IF(F25="İade edildi",0,K25-I25))</f>
        <v/>
      </c>
      <c r="M25" s="17" t="str">
        <f aca="true">IF(A25="","",IF(J25&lt;&gt;"",J25-A25,TODAY()-A25))</f>
        <v/>
      </c>
      <c r="N25" s="18" t="str">
        <f aca="false">IF(A25="","",IF(AND(OR(F25="Bekliyor",F25="Parça bekleniyor",F25="Hazır"),M25&gt;7),"7 günü geçti",""))</f>
        <v/>
      </c>
      <c r="O25" s="18" t="str">
        <f aca="false">IF(AND(A25&lt;&gt;"",OR(F25="Bekliyor",F25="Parça bekleniyor",F25="Hazır")),A25+ROW()/1000000,"")</f>
        <v/>
      </c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4"/>
      <c r="G26" s="15"/>
      <c r="H26" s="15"/>
      <c r="I26" s="15"/>
      <c r="J26" s="12"/>
      <c r="K26" s="16" t="str">
        <f aca="false">IF(A26="","",G26+H26)</f>
        <v/>
      </c>
      <c r="L26" s="16" t="str">
        <f aca="false">IF(A26="","",IF(F26="İade edildi",0,K26-I26))</f>
        <v/>
      </c>
      <c r="M26" s="17" t="str">
        <f aca="true">IF(A26="","",IF(J26&lt;&gt;"",J26-A26,TODAY()-A26))</f>
        <v/>
      </c>
      <c r="N26" s="18" t="str">
        <f aca="false">IF(A26="","",IF(AND(OR(F26="Bekliyor",F26="Parça bekleniyor",F26="Hazır"),M26&gt;7),"7 günü geçti",""))</f>
        <v/>
      </c>
      <c r="O26" s="18" t="str">
        <f aca="false">IF(AND(A26&lt;&gt;"",OR(F26="Bekliyor",F26="Parça bekleniyor",F26="Hazır")),A26+ROW()/1000000,"")</f>
        <v/>
      </c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4"/>
      <c r="G27" s="15"/>
      <c r="H27" s="15"/>
      <c r="I27" s="15"/>
      <c r="J27" s="12"/>
      <c r="K27" s="16" t="str">
        <f aca="false">IF(A27="","",G27+H27)</f>
        <v/>
      </c>
      <c r="L27" s="16" t="str">
        <f aca="false">IF(A27="","",IF(F27="İade edildi",0,K27-I27))</f>
        <v/>
      </c>
      <c r="M27" s="17" t="str">
        <f aca="true">IF(A27="","",IF(J27&lt;&gt;"",J27-A27,TODAY()-A27))</f>
        <v/>
      </c>
      <c r="N27" s="18" t="str">
        <f aca="false">IF(A27="","",IF(AND(OR(F27="Bekliyor",F27="Parça bekleniyor",F27="Hazır"),M27&gt;7),"7 günü geçti",""))</f>
        <v/>
      </c>
      <c r="O27" s="18" t="str">
        <f aca="false">IF(AND(A27&lt;&gt;"",OR(F27="Bekliyor",F27="Parça bekleniyor",F27="Hazır")),A27+ROW()/1000000,"")</f>
        <v/>
      </c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4"/>
      <c r="G28" s="15"/>
      <c r="H28" s="15"/>
      <c r="I28" s="15"/>
      <c r="J28" s="12"/>
      <c r="K28" s="16" t="str">
        <f aca="false">IF(A28="","",G28+H28)</f>
        <v/>
      </c>
      <c r="L28" s="16" t="str">
        <f aca="false">IF(A28="","",IF(F28="İade edildi",0,K28-I28))</f>
        <v/>
      </c>
      <c r="M28" s="17" t="str">
        <f aca="true">IF(A28="","",IF(J28&lt;&gt;"",J28-A28,TODAY()-A28))</f>
        <v/>
      </c>
      <c r="N28" s="18" t="str">
        <f aca="false">IF(A28="","",IF(AND(OR(F28="Bekliyor",F28="Parça bekleniyor",F28="Hazır"),M28&gt;7),"7 günü geçti",""))</f>
        <v/>
      </c>
      <c r="O28" s="18" t="str">
        <f aca="false">IF(AND(A28&lt;&gt;"",OR(F28="Bekliyor",F28="Parça bekleniyor",F28="Hazır")),A28+ROW()/1000000,"")</f>
        <v/>
      </c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4"/>
      <c r="G29" s="15"/>
      <c r="H29" s="15"/>
      <c r="I29" s="15"/>
      <c r="J29" s="12"/>
      <c r="K29" s="16" t="str">
        <f aca="false">IF(A29="","",G29+H29)</f>
        <v/>
      </c>
      <c r="L29" s="16" t="str">
        <f aca="false">IF(A29="","",IF(F29="İade edildi",0,K29-I29))</f>
        <v/>
      </c>
      <c r="M29" s="17" t="str">
        <f aca="true">IF(A29="","",IF(J29&lt;&gt;"",J29-A29,TODAY()-A29))</f>
        <v/>
      </c>
      <c r="N29" s="18" t="str">
        <f aca="false">IF(A29="","",IF(AND(OR(F29="Bekliyor",F29="Parça bekleniyor",F29="Hazır"),M29&gt;7),"7 günü geçti",""))</f>
        <v/>
      </c>
      <c r="O29" s="18" t="str">
        <f aca="false">IF(AND(A29&lt;&gt;"",OR(F29="Bekliyor",F29="Parça bekleniyor",F29="Hazır")),A29+ROW()/1000000,"")</f>
        <v/>
      </c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4"/>
      <c r="G30" s="15"/>
      <c r="H30" s="15"/>
      <c r="I30" s="15"/>
      <c r="J30" s="12"/>
      <c r="K30" s="16" t="str">
        <f aca="false">IF(A30="","",G30+H30)</f>
        <v/>
      </c>
      <c r="L30" s="16" t="str">
        <f aca="false">IF(A30="","",IF(F30="İade edildi",0,K30-I30))</f>
        <v/>
      </c>
      <c r="M30" s="17" t="str">
        <f aca="true">IF(A30="","",IF(J30&lt;&gt;"",J30-A30,TODAY()-A30))</f>
        <v/>
      </c>
      <c r="N30" s="18" t="str">
        <f aca="false">IF(A30="","",IF(AND(OR(F30="Bekliyor",F30="Parça bekleniyor",F30="Hazır"),M30&gt;7),"7 günü geçti",""))</f>
        <v/>
      </c>
      <c r="O30" s="18" t="str">
        <f aca="false">IF(AND(A30&lt;&gt;"",OR(F30="Bekliyor",F30="Parça bekleniyor",F30="Hazır")),A30+ROW()/1000000,"")</f>
        <v/>
      </c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4"/>
      <c r="G31" s="15"/>
      <c r="H31" s="15"/>
      <c r="I31" s="15"/>
      <c r="J31" s="12"/>
      <c r="K31" s="16" t="str">
        <f aca="false">IF(A31="","",G31+H31)</f>
        <v/>
      </c>
      <c r="L31" s="16" t="str">
        <f aca="false">IF(A31="","",IF(F31="İade edildi",0,K31-I31))</f>
        <v/>
      </c>
      <c r="M31" s="17" t="str">
        <f aca="true">IF(A31="","",IF(J31&lt;&gt;"",J31-A31,TODAY()-A31))</f>
        <v/>
      </c>
      <c r="N31" s="18" t="str">
        <f aca="false">IF(A31="","",IF(AND(OR(F31="Bekliyor",F31="Parça bekleniyor",F31="Hazır"),M31&gt;7),"7 günü geçti",""))</f>
        <v/>
      </c>
      <c r="O31" s="18" t="str">
        <f aca="false">IF(AND(A31&lt;&gt;"",OR(F31="Bekliyor",F31="Parça bekleniyor",F31="Hazır")),A31+ROW()/1000000,"")</f>
        <v/>
      </c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4"/>
      <c r="G32" s="15"/>
      <c r="H32" s="15"/>
      <c r="I32" s="15"/>
      <c r="J32" s="12"/>
      <c r="K32" s="16" t="str">
        <f aca="false">IF(A32="","",G32+H32)</f>
        <v/>
      </c>
      <c r="L32" s="16" t="str">
        <f aca="false">IF(A32="","",IF(F32="İade edildi",0,K32-I32))</f>
        <v/>
      </c>
      <c r="M32" s="17" t="str">
        <f aca="true">IF(A32="","",IF(J32&lt;&gt;"",J32-A32,TODAY()-A32))</f>
        <v/>
      </c>
      <c r="N32" s="18" t="str">
        <f aca="false">IF(A32="","",IF(AND(OR(F32="Bekliyor",F32="Parça bekleniyor",F32="Hazır"),M32&gt;7),"7 günü geçti",""))</f>
        <v/>
      </c>
      <c r="O32" s="18" t="str">
        <f aca="false">IF(AND(A32&lt;&gt;"",OR(F32="Bekliyor",F32="Parça bekleniyor",F32="Hazır")),A32+ROW()/1000000,"")</f>
        <v/>
      </c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4"/>
      <c r="G33" s="15"/>
      <c r="H33" s="15"/>
      <c r="I33" s="15"/>
      <c r="J33" s="12"/>
      <c r="K33" s="16" t="str">
        <f aca="false">IF(A33="","",G33+H33)</f>
        <v/>
      </c>
      <c r="L33" s="16" t="str">
        <f aca="false">IF(A33="","",IF(F33="İade edildi",0,K33-I33))</f>
        <v/>
      </c>
      <c r="M33" s="17" t="str">
        <f aca="true">IF(A33="","",IF(J33&lt;&gt;"",J33-A33,TODAY()-A33))</f>
        <v/>
      </c>
      <c r="N33" s="18" t="str">
        <f aca="false">IF(A33="","",IF(AND(OR(F33="Bekliyor",F33="Parça bekleniyor",F33="Hazır"),M33&gt;7),"7 günü geçti",""))</f>
        <v/>
      </c>
      <c r="O33" s="18" t="str">
        <f aca="false">IF(AND(A33&lt;&gt;"",OR(F33="Bekliyor",F33="Parça bekleniyor",F33="Hazır")),A33+ROW()/1000000,"")</f>
        <v/>
      </c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4"/>
      <c r="G34" s="15"/>
      <c r="H34" s="15"/>
      <c r="I34" s="15"/>
      <c r="J34" s="12"/>
      <c r="K34" s="16" t="str">
        <f aca="false">IF(A34="","",G34+H34)</f>
        <v/>
      </c>
      <c r="L34" s="16" t="str">
        <f aca="false">IF(A34="","",IF(F34="İade edildi",0,K34-I34))</f>
        <v/>
      </c>
      <c r="M34" s="17" t="str">
        <f aca="true">IF(A34="","",IF(J34&lt;&gt;"",J34-A34,TODAY()-A34))</f>
        <v/>
      </c>
      <c r="N34" s="18" t="str">
        <f aca="false">IF(A34="","",IF(AND(OR(F34="Bekliyor",F34="Parça bekleniyor",F34="Hazır"),M34&gt;7),"7 günü geçti",""))</f>
        <v/>
      </c>
      <c r="O34" s="18" t="str">
        <f aca="false">IF(AND(A34&lt;&gt;"",OR(F34="Bekliyor",F34="Parça bekleniyor",F34="Hazır")),A34+ROW()/1000000,"")</f>
        <v/>
      </c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4"/>
      <c r="G35" s="15"/>
      <c r="H35" s="15"/>
      <c r="I35" s="15"/>
      <c r="J35" s="12"/>
      <c r="K35" s="16" t="str">
        <f aca="false">IF(A35="","",G35+H35)</f>
        <v/>
      </c>
      <c r="L35" s="16" t="str">
        <f aca="false">IF(A35="","",IF(F35="İade edildi",0,K35-I35))</f>
        <v/>
      </c>
      <c r="M35" s="17" t="str">
        <f aca="true">IF(A35="","",IF(J35&lt;&gt;"",J35-A35,TODAY()-A35))</f>
        <v/>
      </c>
      <c r="N35" s="18" t="str">
        <f aca="false">IF(A35="","",IF(AND(OR(F35="Bekliyor",F35="Parça bekleniyor",F35="Hazır"),M35&gt;7),"7 günü geçti",""))</f>
        <v/>
      </c>
      <c r="O35" s="18" t="str">
        <f aca="false">IF(AND(A35&lt;&gt;"",OR(F35="Bekliyor",F35="Parça bekleniyor",F35="Hazır")),A35+ROW()/1000000,"")</f>
        <v/>
      </c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4"/>
      <c r="G36" s="15"/>
      <c r="H36" s="15"/>
      <c r="I36" s="15"/>
      <c r="J36" s="12"/>
      <c r="K36" s="16" t="str">
        <f aca="false">IF(A36="","",G36+H36)</f>
        <v/>
      </c>
      <c r="L36" s="16" t="str">
        <f aca="false">IF(A36="","",IF(F36="İade edildi",0,K36-I36))</f>
        <v/>
      </c>
      <c r="M36" s="17" t="str">
        <f aca="true">IF(A36="","",IF(J36&lt;&gt;"",J36-A36,TODAY()-A36))</f>
        <v/>
      </c>
      <c r="N36" s="18" t="str">
        <f aca="false">IF(A36="","",IF(AND(OR(F36="Bekliyor",F36="Parça bekleniyor",F36="Hazır"),M36&gt;7),"7 günü geçti",""))</f>
        <v/>
      </c>
      <c r="O36" s="18" t="str">
        <f aca="false">IF(AND(A36&lt;&gt;"",OR(F36="Bekliyor",F36="Parça bekleniyor",F36="Hazır")),A36+ROW()/1000000,"")</f>
        <v/>
      </c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4"/>
      <c r="G37" s="15"/>
      <c r="H37" s="15"/>
      <c r="I37" s="15"/>
      <c r="J37" s="12"/>
      <c r="K37" s="16" t="str">
        <f aca="false">IF(A37="","",G37+H37)</f>
        <v/>
      </c>
      <c r="L37" s="16" t="str">
        <f aca="false">IF(A37="","",IF(F37="İade edildi",0,K37-I37))</f>
        <v/>
      </c>
      <c r="M37" s="17" t="str">
        <f aca="true">IF(A37="","",IF(J37&lt;&gt;"",J37-A37,TODAY()-A37))</f>
        <v/>
      </c>
      <c r="N37" s="18" t="str">
        <f aca="false">IF(A37="","",IF(AND(OR(F37="Bekliyor",F37="Parça bekleniyor",F37="Hazır"),M37&gt;7),"7 günü geçti",""))</f>
        <v/>
      </c>
      <c r="O37" s="18" t="str">
        <f aca="false">IF(AND(A37&lt;&gt;"",OR(F37="Bekliyor",F37="Parça bekleniyor",F37="Hazır")),A37+ROW()/1000000,"")</f>
        <v/>
      </c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4"/>
      <c r="G38" s="15"/>
      <c r="H38" s="15"/>
      <c r="I38" s="15"/>
      <c r="J38" s="12"/>
      <c r="K38" s="16" t="str">
        <f aca="false">IF(A38="","",G38+H38)</f>
        <v/>
      </c>
      <c r="L38" s="16" t="str">
        <f aca="false">IF(A38="","",IF(F38="İade edildi",0,K38-I38))</f>
        <v/>
      </c>
      <c r="M38" s="17" t="str">
        <f aca="true">IF(A38="","",IF(J38&lt;&gt;"",J38-A38,TODAY()-A38))</f>
        <v/>
      </c>
      <c r="N38" s="18" t="str">
        <f aca="false">IF(A38="","",IF(AND(OR(F38="Bekliyor",F38="Parça bekleniyor",F38="Hazır"),M38&gt;7),"7 günü geçti",""))</f>
        <v/>
      </c>
      <c r="O38" s="18" t="str">
        <f aca="false">IF(AND(A38&lt;&gt;"",OR(F38="Bekliyor",F38="Parça bekleniyor",F38="Hazır")),A38+ROW()/1000000,"")</f>
        <v/>
      </c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4"/>
      <c r="G39" s="15"/>
      <c r="H39" s="15"/>
      <c r="I39" s="15"/>
      <c r="J39" s="12"/>
      <c r="K39" s="16" t="str">
        <f aca="false">IF(A39="","",G39+H39)</f>
        <v/>
      </c>
      <c r="L39" s="16" t="str">
        <f aca="false">IF(A39="","",IF(F39="İade edildi",0,K39-I39))</f>
        <v/>
      </c>
      <c r="M39" s="17" t="str">
        <f aca="true">IF(A39="","",IF(J39&lt;&gt;"",J39-A39,TODAY()-A39))</f>
        <v/>
      </c>
      <c r="N39" s="18" t="str">
        <f aca="false">IF(A39="","",IF(AND(OR(F39="Bekliyor",F39="Parça bekleniyor",F39="Hazır"),M39&gt;7),"7 günü geçti",""))</f>
        <v/>
      </c>
      <c r="O39" s="18" t="str">
        <f aca="false">IF(AND(A39&lt;&gt;"",OR(F39="Bekliyor",F39="Parça bekleniyor",F39="Hazır")),A39+ROW()/1000000,"")</f>
        <v/>
      </c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4"/>
      <c r="G40" s="15"/>
      <c r="H40" s="15"/>
      <c r="I40" s="15"/>
      <c r="J40" s="12"/>
      <c r="K40" s="16" t="str">
        <f aca="false">IF(A40="","",G40+H40)</f>
        <v/>
      </c>
      <c r="L40" s="16" t="str">
        <f aca="false">IF(A40="","",IF(F40="İade edildi",0,K40-I40))</f>
        <v/>
      </c>
      <c r="M40" s="17" t="str">
        <f aca="true">IF(A40="","",IF(J40&lt;&gt;"",J40-A40,TODAY()-A40))</f>
        <v/>
      </c>
      <c r="N40" s="18" t="str">
        <f aca="false">IF(A40="","",IF(AND(OR(F40="Bekliyor",F40="Parça bekleniyor",F40="Hazır"),M40&gt;7),"7 günü geçti",""))</f>
        <v/>
      </c>
      <c r="O40" s="18" t="str">
        <f aca="false">IF(AND(A40&lt;&gt;"",OR(F40="Bekliyor",F40="Parça bekleniyor",F40="Hazır")),A40+ROW()/1000000,"")</f>
        <v/>
      </c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4"/>
      <c r="G41" s="15"/>
      <c r="H41" s="15"/>
      <c r="I41" s="15"/>
      <c r="J41" s="12"/>
      <c r="K41" s="16" t="str">
        <f aca="false">IF(A41="","",G41+H41)</f>
        <v/>
      </c>
      <c r="L41" s="16" t="str">
        <f aca="false">IF(A41="","",IF(F41="İade edildi",0,K41-I41))</f>
        <v/>
      </c>
      <c r="M41" s="17" t="str">
        <f aca="true">IF(A41="","",IF(J41&lt;&gt;"",J41-A41,TODAY()-A41))</f>
        <v/>
      </c>
      <c r="N41" s="18" t="str">
        <f aca="false">IF(A41="","",IF(AND(OR(F41="Bekliyor",F41="Parça bekleniyor",F41="Hazır"),M41&gt;7),"7 günü geçti",""))</f>
        <v/>
      </c>
      <c r="O41" s="18" t="str">
        <f aca="false">IF(AND(A41&lt;&gt;"",OR(F41="Bekliyor",F41="Parça bekleniyor",F41="Hazır")),A41+ROW()/1000000,"")</f>
        <v/>
      </c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4"/>
      <c r="G42" s="15"/>
      <c r="H42" s="15"/>
      <c r="I42" s="15"/>
      <c r="J42" s="12"/>
      <c r="K42" s="16" t="str">
        <f aca="false">IF(A42="","",G42+H42)</f>
        <v/>
      </c>
      <c r="L42" s="16" t="str">
        <f aca="false">IF(A42="","",IF(F42="İade edildi",0,K42-I42))</f>
        <v/>
      </c>
      <c r="M42" s="17" t="str">
        <f aca="true">IF(A42="","",IF(J42&lt;&gt;"",J42-A42,TODAY()-A42))</f>
        <v/>
      </c>
      <c r="N42" s="18" t="str">
        <f aca="false">IF(A42="","",IF(AND(OR(F42="Bekliyor",F42="Parça bekleniyor",F42="Hazır"),M42&gt;7),"7 günü geçti",""))</f>
        <v/>
      </c>
      <c r="O42" s="18" t="str">
        <f aca="false">IF(AND(A42&lt;&gt;"",OR(F42="Bekliyor",F42="Parça bekleniyor",F42="Hazır")),A42+ROW()/1000000,"")</f>
        <v/>
      </c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4"/>
      <c r="G43" s="15"/>
      <c r="H43" s="15"/>
      <c r="I43" s="15"/>
      <c r="J43" s="12"/>
      <c r="K43" s="16" t="str">
        <f aca="false">IF(A43="","",G43+H43)</f>
        <v/>
      </c>
      <c r="L43" s="16" t="str">
        <f aca="false">IF(A43="","",IF(F43="İade edildi",0,K43-I43))</f>
        <v/>
      </c>
      <c r="M43" s="17" t="str">
        <f aca="true">IF(A43="","",IF(J43&lt;&gt;"",J43-A43,TODAY()-A43))</f>
        <v/>
      </c>
      <c r="N43" s="18" t="str">
        <f aca="false">IF(A43="","",IF(AND(OR(F43="Bekliyor",F43="Parça bekleniyor",F43="Hazır"),M43&gt;7),"7 günü geçti",""))</f>
        <v/>
      </c>
      <c r="O43" s="18" t="str">
        <f aca="false">IF(AND(A43&lt;&gt;"",OR(F43="Bekliyor",F43="Parça bekleniyor",F43="Hazır")),A43+ROW()/1000000,"")</f>
        <v/>
      </c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4"/>
      <c r="G44" s="15"/>
      <c r="H44" s="15"/>
      <c r="I44" s="15"/>
      <c r="J44" s="12"/>
      <c r="K44" s="16" t="str">
        <f aca="false">IF(A44="","",G44+H44)</f>
        <v/>
      </c>
      <c r="L44" s="16" t="str">
        <f aca="false">IF(A44="","",IF(F44="İade edildi",0,K44-I44))</f>
        <v/>
      </c>
      <c r="M44" s="17" t="str">
        <f aca="true">IF(A44="","",IF(J44&lt;&gt;"",J44-A44,TODAY()-A44))</f>
        <v/>
      </c>
      <c r="N44" s="18" t="str">
        <f aca="false">IF(A44="","",IF(AND(OR(F44="Bekliyor",F44="Parça bekleniyor",F44="Hazır"),M44&gt;7),"7 günü geçti",""))</f>
        <v/>
      </c>
      <c r="O44" s="18" t="str">
        <f aca="false">IF(AND(A44&lt;&gt;"",OR(F44="Bekliyor",F44="Parça bekleniyor",F44="Hazır")),A44+ROW()/1000000,"")</f>
        <v/>
      </c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4"/>
      <c r="G45" s="15"/>
      <c r="H45" s="15"/>
      <c r="I45" s="15"/>
      <c r="J45" s="12"/>
      <c r="K45" s="16" t="str">
        <f aca="false">IF(A45="","",G45+H45)</f>
        <v/>
      </c>
      <c r="L45" s="16" t="str">
        <f aca="false">IF(A45="","",IF(F45="İade edildi",0,K45-I45))</f>
        <v/>
      </c>
      <c r="M45" s="17" t="str">
        <f aca="true">IF(A45="","",IF(J45&lt;&gt;"",J45-A45,TODAY()-A45))</f>
        <v/>
      </c>
      <c r="N45" s="18" t="str">
        <f aca="false">IF(A45="","",IF(AND(OR(F45="Bekliyor",F45="Parça bekleniyor",F45="Hazır"),M45&gt;7),"7 günü geçti",""))</f>
        <v/>
      </c>
      <c r="O45" s="18" t="str">
        <f aca="false">IF(AND(A45&lt;&gt;"",OR(F45="Bekliyor",F45="Parça bekleniyor",F45="Hazır")),A45+ROW()/1000000,"")</f>
        <v/>
      </c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4"/>
      <c r="G46" s="15"/>
      <c r="H46" s="15"/>
      <c r="I46" s="15"/>
      <c r="J46" s="12"/>
      <c r="K46" s="16" t="str">
        <f aca="false">IF(A46="","",G46+H46)</f>
        <v/>
      </c>
      <c r="L46" s="16" t="str">
        <f aca="false">IF(A46="","",IF(F46="İade edildi",0,K46-I46))</f>
        <v/>
      </c>
      <c r="M46" s="17" t="str">
        <f aca="true">IF(A46="","",IF(J46&lt;&gt;"",J46-A46,TODAY()-A46))</f>
        <v/>
      </c>
      <c r="N46" s="18" t="str">
        <f aca="false">IF(A46="","",IF(AND(OR(F46="Bekliyor",F46="Parça bekleniyor",F46="Hazır"),M46&gt;7),"7 günü geçti",""))</f>
        <v/>
      </c>
      <c r="O46" s="18" t="str">
        <f aca="false">IF(AND(A46&lt;&gt;"",OR(F46="Bekliyor",F46="Parça bekleniyor",F46="Hazır")),A46+ROW()/1000000,"")</f>
        <v/>
      </c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4"/>
      <c r="G47" s="15"/>
      <c r="H47" s="15"/>
      <c r="I47" s="15"/>
      <c r="J47" s="12"/>
      <c r="K47" s="16" t="str">
        <f aca="false">IF(A47="","",G47+H47)</f>
        <v/>
      </c>
      <c r="L47" s="16" t="str">
        <f aca="false">IF(A47="","",IF(F47="İade edildi",0,K47-I47))</f>
        <v/>
      </c>
      <c r="M47" s="17" t="str">
        <f aca="true">IF(A47="","",IF(J47&lt;&gt;"",J47-A47,TODAY()-A47))</f>
        <v/>
      </c>
      <c r="N47" s="18" t="str">
        <f aca="false">IF(A47="","",IF(AND(OR(F47="Bekliyor",F47="Parça bekleniyor",F47="Hazır"),M47&gt;7),"7 günü geçti",""))</f>
        <v/>
      </c>
      <c r="O47" s="18" t="str">
        <f aca="false">IF(AND(A47&lt;&gt;"",OR(F47="Bekliyor",F47="Parça bekleniyor",F47="Hazır")),A47+ROW()/1000000,"")</f>
        <v/>
      </c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4"/>
      <c r="G48" s="15"/>
      <c r="H48" s="15"/>
      <c r="I48" s="15"/>
      <c r="J48" s="12"/>
      <c r="K48" s="16" t="str">
        <f aca="false">IF(A48="","",G48+H48)</f>
        <v/>
      </c>
      <c r="L48" s="16" t="str">
        <f aca="false">IF(A48="","",IF(F48="İade edildi",0,K48-I48))</f>
        <v/>
      </c>
      <c r="M48" s="17" t="str">
        <f aca="true">IF(A48="","",IF(J48&lt;&gt;"",J48-A48,TODAY()-A48))</f>
        <v/>
      </c>
      <c r="N48" s="18" t="str">
        <f aca="false">IF(A48="","",IF(AND(OR(F48="Bekliyor",F48="Parça bekleniyor",F48="Hazır"),M48&gt;7),"7 günü geçti",""))</f>
        <v/>
      </c>
      <c r="O48" s="18" t="str">
        <f aca="false">IF(AND(A48&lt;&gt;"",OR(F48="Bekliyor",F48="Parça bekleniyor",F48="Hazır")),A48+ROW()/1000000,"")</f>
        <v/>
      </c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4"/>
      <c r="G49" s="15"/>
      <c r="H49" s="15"/>
      <c r="I49" s="15"/>
      <c r="J49" s="12"/>
      <c r="K49" s="16" t="str">
        <f aca="false">IF(A49="","",G49+H49)</f>
        <v/>
      </c>
      <c r="L49" s="16" t="str">
        <f aca="false">IF(A49="","",IF(F49="İade edildi",0,K49-I49))</f>
        <v/>
      </c>
      <c r="M49" s="17" t="str">
        <f aca="true">IF(A49="","",IF(J49&lt;&gt;"",J49-A49,TODAY()-A49))</f>
        <v/>
      </c>
      <c r="N49" s="18" t="str">
        <f aca="false">IF(A49="","",IF(AND(OR(F49="Bekliyor",F49="Parça bekleniyor",F49="Hazır"),M49&gt;7),"7 günü geçti",""))</f>
        <v/>
      </c>
      <c r="O49" s="18" t="str">
        <f aca="false">IF(AND(A49&lt;&gt;"",OR(F49="Bekliyor",F49="Parça bekleniyor",F49="Hazır")),A49+ROW()/1000000,"")</f>
        <v/>
      </c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4"/>
      <c r="G50" s="15"/>
      <c r="H50" s="15"/>
      <c r="I50" s="15"/>
      <c r="J50" s="12"/>
      <c r="K50" s="16" t="str">
        <f aca="false">IF(A50="","",G50+H50)</f>
        <v/>
      </c>
      <c r="L50" s="16" t="str">
        <f aca="false">IF(A50="","",IF(F50="İade edildi",0,K50-I50))</f>
        <v/>
      </c>
      <c r="M50" s="17" t="str">
        <f aca="true">IF(A50="","",IF(J50&lt;&gt;"",J50-A50,TODAY()-A50))</f>
        <v/>
      </c>
      <c r="N50" s="18" t="str">
        <f aca="false">IF(A50="","",IF(AND(OR(F50="Bekliyor",F50="Parça bekleniyor",F50="Hazır"),M50&gt;7),"7 günü geçti",""))</f>
        <v/>
      </c>
      <c r="O50" s="18" t="str">
        <f aca="false">IF(AND(A50&lt;&gt;"",OR(F50="Bekliyor",F50="Parça bekleniyor",F50="Hazır")),A50+ROW()/1000000,"")</f>
        <v/>
      </c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4"/>
      <c r="G51" s="15"/>
      <c r="H51" s="15"/>
      <c r="I51" s="15"/>
      <c r="J51" s="12"/>
      <c r="K51" s="16" t="str">
        <f aca="false">IF(A51="","",G51+H51)</f>
        <v/>
      </c>
      <c r="L51" s="16" t="str">
        <f aca="false">IF(A51="","",IF(F51="İade edildi",0,K51-I51))</f>
        <v/>
      </c>
      <c r="M51" s="17" t="str">
        <f aca="true">IF(A51="","",IF(J51&lt;&gt;"",J51-A51,TODAY()-A51))</f>
        <v/>
      </c>
      <c r="N51" s="18" t="str">
        <f aca="false">IF(A51="","",IF(AND(OR(F51="Bekliyor",F51="Parça bekleniyor",F51="Hazır"),M51&gt;7),"7 günü geçti",""))</f>
        <v/>
      </c>
      <c r="O51" s="18" t="str">
        <f aca="false">IF(AND(A51&lt;&gt;"",OR(F51="Bekliyor",F51="Parça bekleniyor",F51="Hazır")),A51+ROW()/1000000,"")</f>
        <v/>
      </c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4"/>
      <c r="G52" s="15"/>
      <c r="H52" s="15"/>
      <c r="I52" s="15"/>
      <c r="J52" s="12"/>
      <c r="K52" s="16" t="str">
        <f aca="false">IF(A52="","",G52+H52)</f>
        <v/>
      </c>
      <c r="L52" s="16" t="str">
        <f aca="false">IF(A52="","",IF(F52="İade edildi",0,K52-I52))</f>
        <v/>
      </c>
      <c r="M52" s="17" t="str">
        <f aca="true">IF(A52="","",IF(J52&lt;&gt;"",J52-A52,TODAY()-A52))</f>
        <v/>
      </c>
      <c r="N52" s="18" t="str">
        <f aca="false">IF(A52="","",IF(AND(OR(F52="Bekliyor",F52="Parça bekleniyor",F52="Hazır"),M52&gt;7),"7 günü geçti",""))</f>
        <v/>
      </c>
      <c r="O52" s="18" t="str">
        <f aca="false">IF(AND(A52&lt;&gt;"",OR(F52="Bekliyor",F52="Parça bekleniyor",F52="Hazır")),A52+ROW()/1000000,"")</f>
        <v/>
      </c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4"/>
      <c r="G53" s="15"/>
      <c r="H53" s="15"/>
      <c r="I53" s="15"/>
      <c r="J53" s="12"/>
      <c r="K53" s="16" t="str">
        <f aca="false">IF(A53="","",G53+H53)</f>
        <v/>
      </c>
      <c r="L53" s="16" t="str">
        <f aca="false">IF(A53="","",IF(F53="İade edildi",0,K53-I53))</f>
        <v/>
      </c>
      <c r="M53" s="17" t="str">
        <f aca="true">IF(A53="","",IF(J53&lt;&gt;"",J53-A53,TODAY()-A53))</f>
        <v/>
      </c>
      <c r="N53" s="18" t="str">
        <f aca="false">IF(A53="","",IF(AND(OR(F53="Bekliyor",F53="Parça bekleniyor",F53="Hazır"),M53&gt;7),"7 günü geçti",""))</f>
        <v/>
      </c>
      <c r="O53" s="18" t="str">
        <f aca="false">IF(AND(A53&lt;&gt;"",OR(F53="Bekliyor",F53="Parça bekleniyor",F53="Hazır")),A53+ROW()/1000000,"")</f>
        <v/>
      </c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4"/>
      <c r="G54" s="15"/>
      <c r="H54" s="15"/>
      <c r="I54" s="15"/>
      <c r="J54" s="12"/>
      <c r="K54" s="16" t="str">
        <f aca="false">IF(A54="","",G54+H54)</f>
        <v/>
      </c>
      <c r="L54" s="16" t="str">
        <f aca="false">IF(A54="","",IF(F54="İade edildi",0,K54-I54))</f>
        <v/>
      </c>
      <c r="M54" s="17" t="str">
        <f aca="true">IF(A54="","",IF(J54&lt;&gt;"",J54-A54,TODAY()-A54))</f>
        <v/>
      </c>
      <c r="N54" s="18" t="str">
        <f aca="false">IF(A54="","",IF(AND(OR(F54="Bekliyor",F54="Parça bekleniyor",F54="Hazır"),M54&gt;7),"7 günü geçti",""))</f>
        <v/>
      </c>
      <c r="O54" s="18" t="str">
        <f aca="false">IF(AND(A54&lt;&gt;"",OR(F54="Bekliyor",F54="Parça bekleniyor",F54="Hazır")),A54+ROW()/1000000,"")</f>
        <v/>
      </c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4"/>
      <c r="G55" s="15"/>
      <c r="H55" s="15"/>
      <c r="I55" s="15"/>
      <c r="J55" s="12"/>
      <c r="K55" s="16" t="str">
        <f aca="false">IF(A55="","",G55+H55)</f>
        <v/>
      </c>
      <c r="L55" s="16" t="str">
        <f aca="false">IF(A55="","",IF(F55="İade edildi",0,K55-I55))</f>
        <v/>
      </c>
      <c r="M55" s="17" t="str">
        <f aca="true">IF(A55="","",IF(J55&lt;&gt;"",J55-A55,TODAY()-A55))</f>
        <v/>
      </c>
      <c r="N55" s="18" t="str">
        <f aca="false">IF(A55="","",IF(AND(OR(F55="Bekliyor",F55="Parça bekleniyor",F55="Hazır"),M55&gt;7),"7 günü geçti",""))</f>
        <v/>
      </c>
      <c r="O55" s="18" t="str">
        <f aca="false">IF(AND(A55&lt;&gt;"",OR(F55="Bekliyor",F55="Parça bekleniyor",F55="Hazır")),A55+ROW()/1000000,"")</f>
        <v/>
      </c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4"/>
      <c r="G56" s="15"/>
      <c r="H56" s="15"/>
      <c r="I56" s="15"/>
      <c r="J56" s="12"/>
      <c r="K56" s="16" t="str">
        <f aca="false">IF(A56="","",G56+H56)</f>
        <v/>
      </c>
      <c r="L56" s="16" t="str">
        <f aca="false">IF(A56="","",IF(F56="İade edildi",0,K56-I56))</f>
        <v/>
      </c>
      <c r="M56" s="17" t="str">
        <f aca="true">IF(A56="","",IF(J56&lt;&gt;"",J56-A56,TODAY()-A56))</f>
        <v/>
      </c>
      <c r="N56" s="18" t="str">
        <f aca="false">IF(A56="","",IF(AND(OR(F56="Bekliyor",F56="Parça bekleniyor",F56="Hazır"),M56&gt;7),"7 günü geçti",""))</f>
        <v/>
      </c>
      <c r="O56" s="18" t="str">
        <f aca="false">IF(AND(A56&lt;&gt;"",OR(F56="Bekliyor",F56="Parça bekleniyor",F56="Hazır")),A56+ROW()/1000000,"")</f>
        <v/>
      </c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4"/>
      <c r="G57" s="15"/>
      <c r="H57" s="15"/>
      <c r="I57" s="15"/>
      <c r="J57" s="12"/>
      <c r="K57" s="16" t="str">
        <f aca="false">IF(A57="","",G57+H57)</f>
        <v/>
      </c>
      <c r="L57" s="16" t="str">
        <f aca="false">IF(A57="","",IF(F57="İade edildi",0,K57-I57))</f>
        <v/>
      </c>
      <c r="M57" s="17" t="str">
        <f aca="true">IF(A57="","",IF(J57&lt;&gt;"",J57-A57,TODAY()-A57))</f>
        <v/>
      </c>
      <c r="N57" s="18" t="str">
        <f aca="false">IF(A57="","",IF(AND(OR(F57="Bekliyor",F57="Parça bekleniyor",F57="Hazır"),M57&gt;7),"7 günü geçti",""))</f>
        <v/>
      </c>
      <c r="O57" s="18" t="str">
        <f aca="false">IF(AND(A57&lt;&gt;"",OR(F57="Bekliyor",F57="Parça bekleniyor",F57="Hazır")),A57+ROW()/1000000,"")</f>
        <v/>
      </c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4"/>
      <c r="G58" s="15"/>
      <c r="H58" s="15"/>
      <c r="I58" s="15"/>
      <c r="J58" s="12"/>
      <c r="K58" s="16" t="str">
        <f aca="false">IF(A58="","",G58+H58)</f>
        <v/>
      </c>
      <c r="L58" s="16" t="str">
        <f aca="false">IF(A58="","",IF(F58="İade edildi",0,K58-I58))</f>
        <v/>
      </c>
      <c r="M58" s="17" t="str">
        <f aca="true">IF(A58="","",IF(J58&lt;&gt;"",J58-A58,TODAY()-A58))</f>
        <v/>
      </c>
      <c r="N58" s="18" t="str">
        <f aca="false">IF(A58="","",IF(AND(OR(F58="Bekliyor",F58="Parça bekleniyor",F58="Hazır"),M58&gt;7),"7 günü geçti",""))</f>
        <v/>
      </c>
      <c r="O58" s="18" t="str">
        <f aca="false">IF(AND(A58&lt;&gt;"",OR(F58="Bekliyor",F58="Parça bekleniyor",F58="Hazır")),A58+ROW()/1000000,"")</f>
        <v/>
      </c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4"/>
      <c r="G59" s="15"/>
      <c r="H59" s="15"/>
      <c r="I59" s="15"/>
      <c r="J59" s="12"/>
      <c r="K59" s="16" t="str">
        <f aca="false">IF(A59="","",G59+H59)</f>
        <v/>
      </c>
      <c r="L59" s="16" t="str">
        <f aca="false">IF(A59="","",IF(F59="İade edildi",0,K59-I59))</f>
        <v/>
      </c>
      <c r="M59" s="17" t="str">
        <f aca="true">IF(A59="","",IF(J59&lt;&gt;"",J59-A59,TODAY()-A59))</f>
        <v/>
      </c>
      <c r="N59" s="18" t="str">
        <f aca="false">IF(A59="","",IF(AND(OR(F59="Bekliyor",F59="Parça bekleniyor",F59="Hazır"),M59&gt;7),"7 günü geçti",""))</f>
        <v/>
      </c>
      <c r="O59" s="18" t="str">
        <f aca="false">IF(AND(A59&lt;&gt;"",OR(F59="Bekliyor",F59="Parça bekleniyor",F59="Hazır")),A59+ROW()/1000000,"")</f>
        <v/>
      </c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4"/>
      <c r="G60" s="15"/>
      <c r="H60" s="15"/>
      <c r="I60" s="15"/>
      <c r="J60" s="12"/>
      <c r="K60" s="16" t="str">
        <f aca="false">IF(A60="","",G60+H60)</f>
        <v/>
      </c>
      <c r="L60" s="16" t="str">
        <f aca="false">IF(A60="","",IF(F60="İade edildi",0,K60-I60))</f>
        <v/>
      </c>
      <c r="M60" s="17" t="str">
        <f aca="true">IF(A60="","",IF(J60&lt;&gt;"",J60-A60,TODAY()-A60))</f>
        <v/>
      </c>
      <c r="N60" s="18" t="str">
        <f aca="false">IF(A60="","",IF(AND(OR(F60="Bekliyor",F60="Parça bekleniyor",F60="Hazır"),M60&gt;7),"7 günü geçti",""))</f>
        <v/>
      </c>
      <c r="O60" s="18" t="str">
        <f aca="false">IF(AND(A60&lt;&gt;"",OR(F60="Bekliyor",F60="Parça bekleniyor",F60="Hazır")),A60+ROW()/1000000,"")</f>
        <v/>
      </c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4"/>
      <c r="G61" s="15"/>
      <c r="H61" s="15"/>
      <c r="I61" s="15"/>
      <c r="J61" s="12"/>
      <c r="K61" s="16" t="str">
        <f aca="false">IF(A61="","",G61+H61)</f>
        <v/>
      </c>
      <c r="L61" s="16" t="str">
        <f aca="false">IF(A61="","",IF(F61="İade edildi",0,K61-I61))</f>
        <v/>
      </c>
      <c r="M61" s="17" t="str">
        <f aca="true">IF(A61="","",IF(J61&lt;&gt;"",J61-A61,TODAY()-A61))</f>
        <v/>
      </c>
      <c r="N61" s="18" t="str">
        <f aca="false">IF(A61="","",IF(AND(OR(F61="Bekliyor",F61="Parça bekleniyor",F61="Hazır"),M61&gt;7),"7 günü geçti",""))</f>
        <v/>
      </c>
      <c r="O61" s="18" t="str">
        <f aca="false">IF(AND(A61&lt;&gt;"",OR(F61="Bekliyor",F61="Parça bekleniyor",F61="Hazır")),A61+ROW()/1000000,"")</f>
        <v/>
      </c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4"/>
      <c r="G62" s="15"/>
      <c r="H62" s="15"/>
      <c r="I62" s="15"/>
      <c r="J62" s="12"/>
      <c r="K62" s="16" t="str">
        <f aca="false">IF(A62="","",G62+H62)</f>
        <v/>
      </c>
      <c r="L62" s="16" t="str">
        <f aca="false">IF(A62="","",IF(F62="İade edildi",0,K62-I62))</f>
        <v/>
      </c>
      <c r="M62" s="17" t="str">
        <f aca="true">IF(A62="","",IF(J62&lt;&gt;"",J62-A62,TODAY()-A62))</f>
        <v/>
      </c>
      <c r="N62" s="18" t="str">
        <f aca="false">IF(A62="","",IF(AND(OR(F62="Bekliyor",F62="Parça bekleniyor",F62="Hazır"),M62&gt;7),"7 günü geçti",""))</f>
        <v/>
      </c>
      <c r="O62" s="18" t="str">
        <f aca="false">IF(AND(A62&lt;&gt;"",OR(F62="Bekliyor",F62="Parça bekleniyor",F62="Hazır")),A62+ROW()/1000000,"")</f>
        <v/>
      </c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4"/>
      <c r="G63" s="15"/>
      <c r="H63" s="15"/>
      <c r="I63" s="15"/>
      <c r="J63" s="12"/>
      <c r="K63" s="16" t="str">
        <f aca="false">IF(A63="","",G63+H63)</f>
        <v/>
      </c>
      <c r="L63" s="16" t="str">
        <f aca="false">IF(A63="","",IF(F63="İade edildi",0,K63-I63))</f>
        <v/>
      </c>
      <c r="M63" s="17" t="str">
        <f aca="true">IF(A63="","",IF(J63&lt;&gt;"",J63-A63,TODAY()-A63))</f>
        <v/>
      </c>
      <c r="N63" s="18" t="str">
        <f aca="false">IF(A63="","",IF(AND(OR(F63="Bekliyor",F63="Parça bekleniyor",F63="Hazır"),M63&gt;7),"7 günü geçti",""))</f>
        <v/>
      </c>
      <c r="O63" s="18" t="str">
        <f aca="false">IF(AND(A63&lt;&gt;"",OR(F63="Bekliyor",F63="Parça bekleniyor",F63="Hazır")),A63+ROW()/1000000,"")</f>
        <v/>
      </c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4"/>
      <c r="G64" s="15"/>
      <c r="H64" s="15"/>
      <c r="I64" s="15"/>
      <c r="J64" s="12"/>
      <c r="K64" s="16" t="str">
        <f aca="false">IF(A64="","",G64+H64)</f>
        <v/>
      </c>
      <c r="L64" s="16" t="str">
        <f aca="false">IF(A64="","",IF(F64="İade edildi",0,K64-I64))</f>
        <v/>
      </c>
      <c r="M64" s="17" t="str">
        <f aca="true">IF(A64="","",IF(J64&lt;&gt;"",J64-A64,TODAY()-A64))</f>
        <v/>
      </c>
      <c r="N64" s="18" t="str">
        <f aca="false">IF(A64="","",IF(AND(OR(F64="Bekliyor",F64="Parça bekleniyor",F64="Hazır"),M64&gt;7),"7 günü geçti",""))</f>
        <v/>
      </c>
      <c r="O64" s="18" t="str">
        <f aca="false">IF(AND(A64&lt;&gt;"",OR(F64="Bekliyor",F64="Parça bekleniyor",F64="Hazır")),A64+ROW()/1000000,"")</f>
        <v/>
      </c>
    </row>
    <row r="65" customFormat="false" ht="15" hidden="false" customHeight="false" outlineLevel="0" collapsed="false">
      <c r="A65" s="12"/>
      <c r="B65" s="13"/>
      <c r="C65" s="13"/>
      <c r="D65" s="13"/>
      <c r="E65" s="13"/>
      <c r="F65" s="14"/>
      <c r="G65" s="15"/>
      <c r="H65" s="15"/>
      <c r="I65" s="15"/>
      <c r="J65" s="12"/>
      <c r="K65" s="16" t="str">
        <f aca="false">IF(A65="","",G65+H65)</f>
        <v/>
      </c>
      <c r="L65" s="16" t="str">
        <f aca="false">IF(A65="","",IF(F65="İade edildi",0,K65-I65))</f>
        <v/>
      </c>
      <c r="M65" s="17" t="str">
        <f aca="true">IF(A65="","",IF(J65&lt;&gt;"",J65-A65,TODAY()-A65))</f>
        <v/>
      </c>
      <c r="N65" s="18" t="str">
        <f aca="false">IF(A65="","",IF(AND(OR(F65="Bekliyor",F65="Parça bekleniyor",F65="Hazır"),M65&gt;7),"7 günü geçti",""))</f>
        <v/>
      </c>
      <c r="O65" s="18" t="str">
        <f aca="false">IF(AND(A65&lt;&gt;"",OR(F65="Bekliyor",F65="Parça bekleniyor",F65="Hazır")),A65+ROW()/1000000,"")</f>
        <v/>
      </c>
    </row>
    <row r="66" customFormat="false" ht="15" hidden="false" customHeight="false" outlineLevel="0" collapsed="false">
      <c r="A66" s="12"/>
      <c r="B66" s="13"/>
      <c r="C66" s="13"/>
      <c r="D66" s="13"/>
      <c r="E66" s="13"/>
      <c r="F66" s="14"/>
      <c r="G66" s="15"/>
      <c r="H66" s="15"/>
      <c r="I66" s="15"/>
      <c r="J66" s="12"/>
      <c r="K66" s="16" t="str">
        <f aca="false">IF(A66="","",G66+H66)</f>
        <v/>
      </c>
      <c r="L66" s="16" t="str">
        <f aca="false">IF(A66="","",IF(F66="İade edildi",0,K66-I66))</f>
        <v/>
      </c>
      <c r="M66" s="17" t="str">
        <f aca="true">IF(A66="","",IF(J66&lt;&gt;"",J66-A66,TODAY()-A66))</f>
        <v/>
      </c>
      <c r="N66" s="18" t="str">
        <f aca="false">IF(A66="","",IF(AND(OR(F66="Bekliyor",F66="Parça bekleniyor",F66="Hazır"),M66&gt;7),"7 günü geçti",""))</f>
        <v/>
      </c>
      <c r="O66" s="18" t="str">
        <f aca="false">IF(AND(A66&lt;&gt;"",OR(F66="Bekliyor",F66="Parça bekleniyor",F66="Hazır")),A66+ROW()/1000000,"")</f>
        <v/>
      </c>
    </row>
    <row r="67" customFormat="false" ht="15" hidden="false" customHeight="false" outlineLevel="0" collapsed="false">
      <c r="A67" s="12"/>
      <c r="B67" s="13"/>
      <c r="C67" s="13"/>
      <c r="D67" s="13"/>
      <c r="E67" s="13"/>
      <c r="F67" s="14"/>
      <c r="G67" s="15"/>
      <c r="H67" s="15"/>
      <c r="I67" s="15"/>
      <c r="J67" s="12"/>
      <c r="K67" s="16" t="str">
        <f aca="false">IF(A67="","",G67+H67)</f>
        <v/>
      </c>
      <c r="L67" s="16" t="str">
        <f aca="false">IF(A67="","",IF(F67="İade edildi",0,K67-I67))</f>
        <v/>
      </c>
      <c r="M67" s="17" t="str">
        <f aca="true">IF(A67="","",IF(J67&lt;&gt;"",J67-A67,TODAY()-A67))</f>
        <v/>
      </c>
      <c r="N67" s="18" t="str">
        <f aca="false">IF(A67="","",IF(AND(OR(F67="Bekliyor",F67="Parça bekleniyor",F67="Hazır"),M67&gt;7),"7 günü geçti",""))</f>
        <v/>
      </c>
      <c r="O67" s="18" t="str">
        <f aca="false">IF(AND(A67&lt;&gt;"",OR(F67="Bekliyor",F67="Parça bekleniyor",F67="Hazır")),A67+ROW()/1000000,"")</f>
        <v/>
      </c>
    </row>
    <row r="68" customFormat="false" ht="15" hidden="false" customHeight="false" outlineLevel="0" collapsed="false">
      <c r="A68" s="12"/>
      <c r="B68" s="13"/>
      <c r="C68" s="13"/>
      <c r="D68" s="13"/>
      <c r="E68" s="13"/>
      <c r="F68" s="14"/>
      <c r="G68" s="15"/>
      <c r="H68" s="15"/>
      <c r="I68" s="15"/>
      <c r="J68" s="12"/>
      <c r="K68" s="16" t="str">
        <f aca="false">IF(A68="","",G68+H68)</f>
        <v/>
      </c>
      <c r="L68" s="16" t="str">
        <f aca="false">IF(A68="","",IF(F68="İade edildi",0,K68-I68))</f>
        <v/>
      </c>
      <c r="M68" s="17" t="str">
        <f aca="true">IF(A68="","",IF(J68&lt;&gt;"",J68-A68,TODAY()-A68))</f>
        <v/>
      </c>
      <c r="N68" s="18" t="str">
        <f aca="false">IF(A68="","",IF(AND(OR(F68="Bekliyor",F68="Parça bekleniyor",F68="Hazır"),M68&gt;7),"7 günü geçti",""))</f>
        <v/>
      </c>
      <c r="O68" s="18" t="str">
        <f aca="false">IF(AND(A68&lt;&gt;"",OR(F68="Bekliyor",F68="Parça bekleniyor",F68="Hazır")),A68+ROW()/1000000,"")</f>
        <v/>
      </c>
    </row>
    <row r="69" customFormat="false" ht="15" hidden="false" customHeight="false" outlineLevel="0" collapsed="false">
      <c r="A69" s="12"/>
      <c r="B69" s="13"/>
      <c r="C69" s="13"/>
      <c r="D69" s="13"/>
      <c r="E69" s="13"/>
      <c r="F69" s="14"/>
      <c r="G69" s="15"/>
      <c r="H69" s="15"/>
      <c r="I69" s="15"/>
      <c r="J69" s="12"/>
      <c r="K69" s="16" t="str">
        <f aca="false">IF(A69="","",G69+H69)</f>
        <v/>
      </c>
      <c r="L69" s="16" t="str">
        <f aca="false">IF(A69="","",IF(F69="İade edildi",0,K69-I69))</f>
        <v/>
      </c>
      <c r="M69" s="17" t="str">
        <f aca="true">IF(A69="","",IF(J69&lt;&gt;"",J69-A69,TODAY()-A69))</f>
        <v/>
      </c>
      <c r="N69" s="18" t="str">
        <f aca="false">IF(A69="","",IF(AND(OR(F69="Bekliyor",F69="Parça bekleniyor",F69="Hazır"),M69&gt;7),"7 günü geçti",""))</f>
        <v/>
      </c>
      <c r="O69" s="18" t="str">
        <f aca="false">IF(AND(A69&lt;&gt;"",OR(F69="Bekliyor",F69="Parça bekleniyor",F69="Hazır")),A69+ROW()/1000000,"")</f>
        <v/>
      </c>
    </row>
    <row r="70" customFormat="false" ht="15" hidden="false" customHeight="false" outlineLevel="0" collapsed="false">
      <c r="A70" s="12"/>
      <c r="B70" s="13"/>
      <c r="C70" s="13"/>
      <c r="D70" s="13"/>
      <c r="E70" s="13"/>
      <c r="F70" s="14"/>
      <c r="G70" s="15"/>
      <c r="H70" s="15"/>
      <c r="I70" s="15"/>
      <c r="J70" s="12"/>
      <c r="K70" s="16" t="str">
        <f aca="false">IF(A70="","",G70+H70)</f>
        <v/>
      </c>
      <c r="L70" s="16" t="str">
        <f aca="false">IF(A70="","",IF(F70="İade edildi",0,K70-I70))</f>
        <v/>
      </c>
      <c r="M70" s="17" t="str">
        <f aca="true">IF(A70="","",IF(J70&lt;&gt;"",J70-A70,TODAY()-A70))</f>
        <v/>
      </c>
      <c r="N70" s="18" t="str">
        <f aca="false">IF(A70="","",IF(AND(OR(F70="Bekliyor",F70="Parça bekleniyor",F70="Hazır"),M70&gt;7),"7 günü geçti",""))</f>
        <v/>
      </c>
      <c r="O70" s="18" t="str">
        <f aca="false">IF(AND(A70&lt;&gt;"",OR(F70="Bekliyor",F70="Parça bekleniyor",F70="Hazır")),A70+ROW()/1000000,"")</f>
        <v/>
      </c>
    </row>
    <row r="71" customFormat="false" ht="15" hidden="false" customHeight="false" outlineLevel="0" collapsed="false">
      <c r="A71" s="12"/>
      <c r="B71" s="13"/>
      <c r="C71" s="13"/>
      <c r="D71" s="13"/>
      <c r="E71" s="13"/>
      <c r="F71" s="14"/>
      <c r="G71" s="15"/>
      <c r="H71" s="15"/>
      <c r="I71" s="15"/>
      <c r="J71" s="12"/>
      <c r="K71" s="16" t="str">
        <f aca="false">IF(A71="","",G71+H71)</f>
        <v/>
      </c>
      <c r="L71" s="16" t="str">
        <f aca="false">IF(A71="","",IF(F71="İade edildi",0,K71-I71))</f>
        <v/>
      </c>
      <c r="M71" s="17" t="str">
        <f aca="true">IF(A71="","",IF(J71&lt;&gt;"",J71-A71,TODAY()-A71))</f>
        <v/>
      </c>
      <c r="N71" s="18" t="str">
        <f aca="false">IF(A71="","",IF(AND(OR(F71="Bekliyor",F71="Parça bekleniyor",F71="Hazır"),M71&gt;7),"7 günü geçti",""))</f>
        <v/>
      </c>
      <c r="O71" s="18" t="str">
        <f aca="false">IF(AND(A71&lt;&gt;"",OR(F71="Bekliyor",F71="Parça bekleniyor",F71="Hazır")),A71+ROW()/1000000,"")</f>
        <v/>
      </c>
    </row>
    <row r="72" customFormat="false" ht="15" hidden="false" customHeight="false" outlineLevel="0" collapsed="false">
      <c r="A72" s="12"/>
      <c r="B72" s="13"/>
      <c r="C72" s="13"/>
      <c r="D72" s="13"/>
      <c r="E72" s="13"/>
      <c r="F72" s="14"/>
      <c r="G72" s="15"/>
      <c r="H72" s="15"/>
      <c r="I72" s="15"/>
      <c r="J72" s="12"/>
      <c r="K72" s="16" t="str">
        <f aca="false">IF(A72="","",G72+H72)</f>
        <v/>
      </c>
      <c r="L72" s="16" t="str">
        <f aca="false">IF(A72="","",IF(F72="İade edildi",0,K72-I72))</f>
        <v/>
      </c>
      <c r="M72" s="17" t="str">
        <f aca="true">IF(A72="","",IF(J72&lt;&gt;"",J72-A72,TODAY()-A72))</f>
        <v/>
      </c>
      <c r="N72" s="18" t="str">
        <f aca="false">IF(A72="","",IF(AND(OR(F72="Bekliyor",F72="Parça bekleniyor",F72="Hazır"),M72&gt;7),"7 günü geçti",""))</f>
        <v/>
      </c>
      <c r="O72" s="18" t="str">
        <f aca="false">IF(AND(A72&lt;&gt;"",OR(F72="Bekliyor",F72="Parça bekleniyor",F72="Hazır")),A72+ROW()/1000000,"")</f>
        <v/>
      </c>
    </row>
    <row r="73" customFormat="false" ht="15" hidden="false" customHeight="false" outlineLevel="0" collapsed="false">
      <c r="A73" s="12"/>
      <c r="B73" s="13"/>
      <c r="C73" s="13"/>
      <c r="D73" s="13"/>
      <c r="E73" s="13"/>
      <c r="F73" s="14"/>
      <c r="G73" s="15"/>
      <c r="H73" s="15"/>
      <c r="I73" s="15"/>
      <c r="J73" s="12"/>
      <c r="K73" s="16" t="str">
        <f aca="false">IF(A73="","",G73+H73)</f>
        <v/>
      </c>
      <c r="L73" s="16" t="str">
        <f aca="false">IF(A73="","",IF(F73="İade edildi",0,K73-I73))</f>
        <v/>
      </c>
      <c r="M73" s="17" t="str">
        <f aca="true">IF(A73="","",IF(J73&lt;&gt;"",J73-A73,TODAY()-A73))</f>
        <v/>
      </c>
      <c r="N73" s="18" t="str">
        <f aca="false">IF(A73="","",IF(AND(OR(F73="Bekliyor",F73="Parça bekleniyor",F73="Hazır"),M73&gt;7),"7 günü geçti",""))</f>
        <v/>
      </c>
      <c r="O73" s="18" t="str">
        <f aca="false">IF(AND(A73&lt;&gt;"",OR(F73="Bekliyor",F73="Parça bekleniyor",F73="Hazır")),A73+ROW()/1000000,"")</f>
        <v/>
      </c>
    </row>
    <row r="74" customFormat="false" ht="15" hidden="false" customHeight="false" outlineLevel="0" collapsed="false">
      <c r="A74" s="12"/>
      <c r="B74" s="13"/>
      <c r="C74" s="13"/>
      <c r="D74" s="13"/>
      <c r="E74" s="13"/>
      <c r="F74" s="14"/>
      <c r="G74" s="15"/>
      <c r="H74" s="15"/>
      <c r="I74" s="15"/>
      <c r="J74" s="12"/>
      <c r="K74" s="16" t="str">
        <f aca="false">IF(A74="","",G74+H74)</f>
        <v/>
      </c>
      <c r="L74" s="16" t="str">
        <f aca="false">IF(A74="","",IF(F74="İade edildi",0,K74-I74))</f>
        <v/>
      </c>
      <c r="M74" s="17" t="str">
        <f aca="true">IF(A74="","",IF(J74&lt;&gt;"",J74-A74,TODAY()-A74))</f>
        <v/>
      </c>
      <c r="N74" s="18" t="str">
        <f aca="false">IF(A74="","",IF(AND(OR(F74="Bekliyor",F74="Parça bekleniyor",F74="Hazır"),M74&gt;7),"7 günü geçti",""))</f>
        <v/>
      </c>
      <c r="O74" s="18" t="str">
        <f aca="false">IF(AND(A74&lt;&gt;"",OR(F74="Bekliyor",F74="Parça bekleniyor",F74="Hazır")),A74+ROW()/1000000,"")</f>
        <v/>
      </c>
    </row>
    <row r="75" customFormat="false" ht="15" hidden="false" customHeight="false" outlineLevel="0" collapsed="false">
      <c r="A75" s="12"/>
      <c r="B75" s="13"/>
      <c r="C75" s="13"/>
      <c r="D75" s="13"/>
      <c r="E75" s="13"/>
      <c r="F75" s="14"/>
      <c r="G75" s="15"/>
      <c r="H75" s="15"/>
      <c r="I75" s="15"/>
      <c r="J75" s="12"/>
      <c r="K75" s="16" t="str">
        <f aca="false">IF(A75="","",G75+H75)</f>
        <v/>
      </c>
      <c r="L75" s="16" t="str">
        <f aca="false">IF(A75="","",IF(F75="İade edildi",0,K75-I75))</f>
        <v/>
      </c>
      <c r="M75" s="17" t="str">
        <f aca="true">IF(A75="","",IF(J75&lt;&gt;"",J75-A75,TODAY()-A75))</f>
        <v/>
      </c>
      <c r="N75" s="18" t="str">
        <f aca="false">IF(A75="","",IF(AND(OR(F75="Bekliyor",F75="Parça bekleniyor",F75="Hazır"),M75&gt;7),"7 günü geçti",""))</f>
        <v/>
      </c>
      <c r="O75" s="18" t="str">
        <f aca="false">IF(AND(A75&lt;&gt;"",OR(F75="Bekliyor",F75="Parça bekleniyor",F75="Hazır")),A75+ROW()/1000000,"")</f>
        <v/>
      </c>
    </row>
    <row r="76" customFormat="false" ht="15" hidden="false" customHeight="false" outlineLevel="0" collapsed="false">
      <c r="A76" s="12"/>
      <c r="B76" s="13"/>
      <c r="C76" s="13"/>
      <c r="D76" s="13"/>
      <c r="E76" s="13"/>
      <c r="F76" s="14"/>
      <c r="G76" s="15"/>
      <c r="H76" s="15"/>
      <c r="I76" s="15"/>
      <c r="J76" s="12"/>
      <c r="K76" s="16" t="str">
        <f aca="false">IF(A76="","",G76+H76)</f>
        <v/>
      </c>
      <c r="L76" s="16" t="str">
        <f aca="false">IF(A76="","",IF(F76="İade edildi",0,K76-I76))</f>
        <v/>
      </c>
      <c r="M76" s="17" t="str">
        <f aca="true">IF(A76="","",IF(J76&lt;&gt;"",J76-A76,TODAY()-A76))</f>
        <v/>
      </c>
      <c r="N76" s="18" t="str">
        <f aca="false">IF(A76="","",IF(AND(OR(F76="Bekliyor",F76="Parça bekleniyor",F76="Hazır"),M76&gt;7),"7 günü geçti",""))</f>
        <v/>
      </c>
      <c r="O76" s="18" t="str">
        <f aca="false">IF(AND(A76&lt;&gt;"",OR(F76="Bekliyor",F76="Parça bekleniyor",F76="Hazır")),A76+ROW()/1000000,"")</f>
        <v/>
      </c>
    </row>
    <row r="77" customFormat="false" ht="15" hidden="false" customHeight="false" outlineLevel="0" collapsed="false">
      <c r="A77" s="12"/>
      <c r="B77" s="13"/>
      <c r="C77" s="13"/>
      <c r="D77" s="13"/>
      <c r="E77" s="13"/>
      <c r="F77" s="14"/>
      <c r="G77" s="15"/>
      <c r="H77" s="15"/>
      <c r="I77" s="15"/>
      <c r="J77" s="12"/>
      <c r="K77" s="16" t="str">
        <f aca="false">IF(A77="","",G77+H77)</f>
        <v/>
      </c>
      <c r="L77" s="16" t="str">
        <f aca="false">IF(A77="","",IF(F77="İade edildi",0,K77-I77))</f>
        <v/>
      </c>
      <c r="M77" s="17" t="str">
        <f aca="true">IF(A77="","",IF(J77&lt;&gt;"",J77-A77,TODAY()-A77))</f>
        <v/>
      </c>
      <c r="N77" s="18" t="str">
        <f aca="false">IF(A77="","",IF(AND(OR(F77="Bekliyor",F77="Parça bekleniyor",F77="Hazır"),M77&gt;7),"7 günü geçti",""))</f>
        <v/>
      </c>
      <c r="O77" s="18" t="str">
        <f aca="false">IF(AND(A77&lt;&gt;"",OR(F77="Bekliyor",F77="Parça bekleniyor",F77="Hazır")),A77+ROW()/1000000,"")</f>
        <v/>
      </c>
    </row>
    <row r="78" customFormat="false" ht="15" hidden="false" customHeight="false" outlineLevel="0" collapsed="false">
      <c r="A78" s="12"/>
      <c r="B78" s="13"/>
      <c r="C78" s="13"/>
      <c r="D78" s="13"/>
      <c r="E78" s="13"/>
      <c r="F78" s="14"/>
      <c r="G78" s="15"/>
      <c r="H78" s="15"/>
      <c r="I78" s="15"/>
      <c r="J78" s="12"/>
      <c r="K78" s="16" t="str">
        <f aca="false">IF(A78="","",G78+H78)</f>
        <v/>
      </c>
      <c r="L78" s="16" t="str">
        <f aca="false">IF(A78="","",IF(F78="İade edildi",0,K78-I78))</f>
        <v/>
      </c>
      <c r="M78" s="17" t="str">
        <f aca="true">IF(A78="","",IF(J78&lt;&gt;"",J78-A78,TODAY()-A78))</f>
        <v/>
      </c>
      <c r="N78" s="18" t="str">
        <f aca="false">IF(A78="","",IF(AND(OR(F78="Bekliyor",F78="Parça bekleniyor",F78="Hazır"),M78&gt;7),"7 günü geçti",""))</f>
        <v/>
      </c>
      <c r="O78" s="18" t="str">
        <f aca="false">IF(AND(A78&lt;&gt;"",OR(F78="Bekliyor",F78="Parça bekleniyor",F78="Hazır")),A78+ROW()/1000000,"")</f>
        <v/>
      </c>
    </row>
    <row r="79" customFormat="false" ht="15" hidden="false" customHeight="false" outlineLevel="0" collapsed="false">
      <c r="A79" s="12"/>
      <c r="B79" s="13"/>
      <c r="C79" s="13"/>
      <c r="D79" s="13"/>
      <c r="E79" s="13"/>
      <c r="F79" s="14"/>
      <c r="G79" s="15"/>
      <c r="H79" s="15"/>
      <c r="I79" s="15"/>
      <c r="J79" s="12"/>
      <c r="K79" s="16" t="str">
        <f aca="false">IF(A79="","",G79+H79)</f>
        <v/>
      </c>
      <c r="L79" s="16" t="str">
        <f aca="false">IF(A79="","",IF(F79="İade edildi",0,K79-I79))</f>
        <v/>
      </c>
      <c r="M79" s="17" t="str">
        <f aca="true">IF(A79="","",IF(J79&lt;&gt;"",J79-A79,TODAY()-A79))</f>
        <v/>
      </c>
      <c r="N79" s="18" t="str">
        <f aca="false">IF(A79="","",IF(AND(OR(F79="Bekliyor",F79="Parça bekleniyor",F79="Hazır"),M79&gt;7),"7 günü geçti",""))</f>
        <v/>
      </c>
      <c r="O79" s="18" t="str">
        <f aca="false">IF(AND(A79&lt;&gt;"",OR(F79="Bekliyor",F79="Parça bekleniyor",F79="Hazır")),A79+ROW()/1000000,"")</f>
        <v/>
      </c>
    </row>
    <row r="80" customFormat="false" ht="15" hidden="false" customHeight="false" outlineLevel="0" collapsed="false">
      <c r="A80" s="12"/>
      <c r="B80" s="13"/>
      <c r="C80" s="13"/>
      <c r="D80" s="13"/>
      <c r="E80" s="13"/>
      <c r="F80" s="14"/>
      <c r="G80" s="15"/>
      <c r="H80" s="15"/>
      <c r="I80" s="15"/>
      <c r="J80" s="12"/>
      <c r="K80" s="16" t="str">
        <f aca="false">IF(A80="","",G80+H80)</f>
        <v/>
      </c>
      <c r="L80" s="16" t="str">
        <f aca="false">IF(A80="","",IF(F80="İade edildi",0,K80-I80))</f>
        <v/>
      </c>
      <c r="M80" s="17" t="str">
        <f aca="true">IF(A80="","",IF(J80&lt;&gt;"",J80-A80,TODAY()-A80))</f>
        <v/>
      </c>
      <c r="N80" s="18" t="str">
        <f aca="false">IF(A80="","",IF(AND(OR(F80="Bekliyor",F80="Parça bekleniyor",F80="Hazır"),M80&gt;7),"7 günü geçti",""))</f>
        <v/>
      </c>
      <c r="O80" s="18" t="str">
        <f aca="false">IF(AND(A80&lt;&gt;"",OR(F80="Bekliyor",F80="Parça bekleniyor",F80="Hazır")),A80+ROW()/1000000,"")</f>
        <v/>
      </c>
    </row>
    <row r="81" customFormat="false" ht="15" hidden="false" customHeight="false" outlineLevel="0" collapsed="false">
      <c r="A81" s="12"/>
      <c r="B81" s="13"/>
      <c r="C81" s="13"/>
      <c r="D81" s="13"/>
      <c r="E81" s="13"/>
      <c r="F81" s="14"/>
      <c r="G81" s="15"/>
      <c r="H81" s="15"/>
      <c r="I81" s="15"/>
      <c r="J81" s="12"/>
      <c r="K81" s="16" t="str">
        <f aca="false">IF(A81="","",G81+H81)</f>
        <v/>
      </c>
      <c r="L81" s="16" t="str">
        <f aca="false">IF(A81="","",IF(F81="İade edildi",0,K81-I81))</f>
        <v/>
      </c>
      <c r="M81" s="17" t="str">
        <f aca="true">IF(A81="","",IF(J81&lt;&gt;"",J81-A81,TODAY()-A81))</f>
        <v/>
      </c>
      <c r="N81" s="18" t="str">
        <f aca="false">IF(A81="","",IF(AND(OR(F81="Bekliyor",F81="Parça bekleniyor",F81="Hazır"),M81&gt;7),"7 günü geçti",""))</f>
        <v/>
      </c>
      <c r="O81" s="18" t="str">
        <f aca="false">IF(AND(A81&lt;&gt;"",OR(F81="Bekliyor",F81="Parça bekleniyor",F81="Hazır")),A81+ROW()/1000000,"")</f>
        <v/>
      </c>
    </row>
    <row r="82" customFormat="false" ht="15" hidden="false" customHeight="false" outlineLevel="0" collapsed="false">
      <c r="A82" s="12"/>
      <c r="B82" s="13"/>
      <c r="C82" s="13"/>
      <c r="D82" s="13"/>
      <c r="E82" s="13"/>
      <c r="F82" s="14"/>
      <c r="G82" s="15"/>
      <c r="H82" s="15"/>
      <c r="I82" s="15"/>
      <c r="J82" s="12"/>
      <c r="K82" s="16" t="str">
        <f aca="false">IF(A82="","",G82+H82)</f>
        <v/>
      </c>
      <c r="L82" s="16" t="str">
        <f aca="false">IF(A82="","",IF(F82="İade edildi",0,K82-I82))</f>
        <v/>
      </c>
      <c r="M82" s="17" t="str">
        <f aca="true">IF(A82="","",IF(J82&lt;&gt;"",J82-A82,TODAY()-A82))</f>
        <v/>
      </c>
      <c r="N82" s="18" t="str">
        <f aca="false">IF(A82="","",IF(AND(OR(F82="Bekliyor",F82="Parça bekleniyor",F82="Hazır"),M82&gt;7),"7 günü geçti",""))</f>
        <v/>
      </c>
      <c r="O82" s="18" t="str">
        <f aca="false">IF(AND(A82&lt;&gt;"",OR(F82="Bekliyor",F82="Parça bekleniyor",F82="Hazır")),A82+ROW()/1000000,"")</f>
        <v/>
      </c>
    </row>
    <row r="83" customFormat="false" ht="15" hidden="false" customHeight="false" outlineLevel="0" collapsed="false">
      <c r="A83" s="12"/>
      <c r="B83" s="13"/>
      <c r="C83" s="13"/>
      <c r="D83" s="13"/>
      <c r="E83" s="13"/>
      <c r="F83" s="14"/>
      <c r="G83" s="15"/>
      <c r="H83" s="15"/>
      <c r="I83" s="15"/>
      <c r="J83" s="12"/>
      <c r="K83" s="16" t="str">
        <f aca="false">IF(A83="","",G83+H83)</f>
        <v/>
      </c>
      <c r="L83" s="16" t="str">
        <f aca="false">IF(A83="","",IF(F83="İade edildi",0,K83-I83))</f>
        <v/>
      </c>
      <c r="M83" s="17" t="str">
        <f aca="true">IF(A83="","",IF(J83&lt;&gt;"",J83-A83,TODAY()-A83))</f>
        <v/>
      </c>
      <c r="N83" s="18" t="str">
        <f aca="false">IF(A83="","",IF(AND(OR(F83="Bekliyor",F83="Parça bekleniyor",F83="Hazır"),M83&gt;7),"7 günü geçti",""))</f>
        <v/>
      </c>
      <c r="O83" s="18" t="str">
        <f aca="false">IF(AND(A83&lt;&gt;"",OR(F83="Bekliyor",F83="Parça bekleniyor",F83="Hazır")),A83+ROW()/1000000,"")</f>
        <v/>
      </c>
    </row>
    <row r="84" customFormat="false" ht="15" hidden="false" customHeight="false" outlineLevel="0" collapsed="false">
      <c r="A84" s="12"/>
      <c r="B84" s="13"/>
      <c r="C84" s="13"/>
      <c r="D84" s="13"/>
      <c r="E84" s="13"/>
      <c r="F84" s="14"/>
      <c r="G84" s="15"/>
      <c r="H84" s="15"/>
      <c r="I84" s="15"/>
      <c r="J84" s="12"/>
      <c r="K84" s="16" t="str">
        <f aca="false">IF(A84="","",G84+H84)</f>
        <v/>
      </c>
      <c r="L84" s="16" t="str">
        <f aca="false">IF(A84="","",IF(F84="İade edildi",0,K84-I84))</f>
        <v/>
      </c>
      <c r="M84" s="17" t="str">
        <f aca="true">IF(A84="","",IF(J84&lt;&gt;"",J84-A84,TODAY()-A84))</f>
        <v/>
      </c>
      <c r="N84" s="18" t="str">
        <f aca="false">IF(A84="","",IF(AND(OR(F84="Bekliyor",F84="Parça bekleniyor",F84="Hazır"),M84&gt;7),"7 günü geçti",""))</f>
        <v/>
      </c>
      <c r="O84" s="18" t="str">
        <f aca="false">IF(AND(A84&lt;&gt;"",OR(F84="Bekliyor",F84="Parça bekleniyor",F84="Hazır")),A84+ROW()/1000000,"")</f>
        <v/>
      </c>
    </row>
    <row r="85" customFormat="false" ht="15" hidden="false" customHeight="false" outlineLevel="0" collapsed="false">
      <c r="A85" s="12"/>
      <c r="B85" s="13"/>
      <c r="C85" s="13"/>
      <c r="D85" s="13"/>
      <c r="E85" s="13"/>
      <c r="F85" s="14"/>
      <c r="G85" s="15"/>
      <c r="H85" s="15"/>
      <c r="I85" s="15"/>
      <c r="J85" s="12"/>
      <c r="K85" s="16" t="str">
        <f aca="false">IF(A85="","",G85+H85)</f>
        <v/>
      </c>
      <c r="L85" s="16" t="str">
        <f aca="false">IF(A85="","",IF(F85="İade edildi",0,K85-I85))</f>
        <v/>
      </c>
      <c r="M85" s="17" t="str">
        <f aca="true">IF(A85="","",IF(J85&lt;&gt;"",J85-A85,TODAY()-A85))</f>
        <v/>
      </c>
      <c r="N85" s="18" t="str">
        <f aca="false">IF(A85="","",IF(AND(OR(F85="Bekliyor",F85="Parça bekleniyor",F85="Hazır"),M85&gt;7),"7 günü geçti",""))</f>
        <v/>
      </c>
      <c r="O85" s="18" t="str">
        <f aca="false">IF(AND(A85&lt;&gt;"",OR(F85="Bekliyor",F85="Parça bekleniyor",F85="Hazır")),A85+ROW()/1000000,"")</f>
        <v/>
      </c>
    </row>
    <row r="86" customFormat="false" ht="15" hidden="false" customHeight="false" outlineLevel="0" collapsed="false">
      <c r="A86" s="12"/>
      <c r="B86" s="13"/>
      <c r="C86" s="13"/>
      <c r="D86" s="13"/>
      <c r="E86" s="13"/>
      <c r="F86" s="14"/>
      <c r="G86" s="15"/>
      <c r="H86" s="15"/>
      <c r="I86" s="15"/>
      <c r="J86" s="12"/>
      <c r="K86" s="16" t="str">
        <f aca="false">IF(A86="","",G86+H86)</f>
        <v/>
      </c>
      <c r="L86" s="16" t="str">
        <f aca="false">IF(A86="","",IF(F86="İade edildi",0,K86-I86))</f>
        <v/>
      </c>
      <c r="M86" s="17" t="str">
        <f aca="true">IF(A86="","",IF(J86&lt;&gt;"",J86-A86,TODAY()-A86))</f>
        <v/>
      </c>
      <c r="N86" s="18" t="str">
        <f aca="false">IF(A86="","",IF(AND(OR(F86="Bekliyor",F86="Parça bekleniyor",F86="Hazır"),M86&gt;7),"7 günü geçti",""))</f>
        <v/>
      </c>
      <c r="O86" s="18" t="str">
        <f aca="false">IF(AND(A86&lt;&gt;"",OR(F86="Bekliyor",F86="Parça bekleniyor",F86="Hazır")),A86+ROW()/1000000,"")</f>
        <v/>
      </c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4"/>
      <c r="G87" s="15"/>
      <c r="H87" s="15"/>
      <c r="I87" s="15"/>
      <c r="J87" s="12"/>
      <c r="K87" s="16" t="str">
        <f aca="false">IF(A87="","",G87+H87)</f>
        <v/>
      </c>
      <c r="L87" s="16" t="str">
        <f aca="false">IF(A87="","",IF(F87="İade edildi",0,K87-I87))</f>
        <v/>
      </c>
      <c r="M87" s="17" t="str">
        <f aca="true">IF(A87="","",IF(J87&lt;&gt;"",J87-A87,TODAY()-A87))</f>
        <v/>
      </c>
      <c r="N87" s="18" t="str">
        <f aca="false">IF(A87="","",IF(AND(OR(F87="Bekliyor",F87="Parça bekleniyor",F87="Hazır"),M87&gt;7),"7 günü geçti",""))</f>
        <v/>
      </c>
      <c r="O87" s="18" t="str">
        <f aca="false">IF(AND(A87&lt;&gt;"",OR(F87="Bekliyor",F87="Parça bekleniyor",F87="Hazır")),A87+ROW()/1000000,"")</f>
        <v/>
      </c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4"/>
      <c r="G88" s="15"/>
      <c r="H88" s="15"/>
      <c r="I88" s="15"/>
      <c r="J88" s="12"/>
      <c r="K88" s="16" t="str">
        <f aca="false">IF(A88="","",G88+H88)</f>
        <v/>
      </c>
      <c r="L88" s="16" t="str">
        <f aca="false">IF(A88="","",IF(F88="İade edildi",0,K88-I88))</f>
        <v/>
      </c>
      <c r="M88" s="17" t="str">
        <f aca="true">IF(A88="","",IF(J88&lt;&gt;"",J88-A88,TODAY()-A88))</f>
        <v/>
      </c>
      <c r="N88" s="18" t="str">
        <f aca="false">IF(A88="","",IF(AND(OR(F88="Bekliyor",F88="Parça bekleniyor",F88="Hazır"),M88&gt;7),"7 günü geçti",""))</f>
        <v/>
      </c>
      <c r="O88" s="18" t="str">
        <f aca="false">IF(AND(A88&lt;&gt;"",OR(F88="Bekliyor",F88="Parça bekleniyor",F88="Hazır")),A88+ROW()/1000000,"")</f>
        <v/>
      </c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4"/>
      <c r="G89" s="15"/>
      <c r="H89" s="15"/>
      <c r="I89" s="15"/>
      <c r="J89" s="12"/>
      <c r="K89" s="16" t="str">
        <f aca="false">IF(A89="","",G89+H89)</f>
        <v/>
      </c>
      <c r="L89" s="16" t="str">
        <f aca="false">IF(A89="","",IF(F89="İade edildi",0,K89-I89))</f>
        <v/>
      </c>
      <c r="M89" s="17" t="str">
        <f aca="true">IF(A89="","",IF(J89&lt;&gt;"",J89-A89,TODAY()-A89))</f>
        <v/>
      </c>
      <c r="N89" s="18" t="str">
        <f aca="false">IF(A89="","",IF(AND(OR(F89="Bekliyor",F89="Parça bekleniyor",F89="Hazır"),M89&gt;7),"7 günü geçti",""))</f>
        <v/>
      </c>
      <c r="O89" s="18" t="str">
        <f aca="false">IF(AND(A89&lt;&gt;"",OR(F89="Bekliyor",F89="Parça bekleniyor",F89="Hazır")),A89+ROW()/1000000,"")</f>
        <v/>
      </c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4"/>
      <c r="G90" s="15"/>
      <c r="H90" s="15"/>
      <c r="I90" s="15"/>
      <c r="J90" s="12"/>
      <c r="K90" s="16" t="str">
        <f aca="false">IF(A90="","",G90+H90)</f>
        <v/>
      </c>
      <c r="L90" s="16" t="str">
        <f aca="false">IF(A90="","",IF(F90="İade edildi",0,K90-I90))</f>
        <v/>
      </c>
      <c r="M90" s="17" t="str">
        <f aca="true">IF(A90="","",IF(J90&lt;&gt;"",J90-A90,TODAY()-A90))</f>
        <v/>
      </c>
      <c r="N90" s="18" t="str">
        <f aca="false">IF(A90="","",IF(AND(OR(F90="Bekliyor",F90="Parça bekleniyor",F90="Hazır"),M90&gt;7),"7 günü geçti",""))</f>
        <v/>
      </c>
      <c r="O90" s="18" t="str">
        <f aca="false">IF(AND(A90&lt;&gt;"",OR(F90="Bekliyor",F90="Parça bekleniyor",F90="Hazır")),A90+ROW()/1000000,"")</f>
        <v/>
      </c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4"/>
      <c r="G91" s="15"/>
      <c r="H91" s="15"/>
      <c r="I91" s="15"/>
      <c r="J91" s="12"/>
      <c r="K91" s="16" t="str">
        <f aca="false">IF(A91="","",G91+H91)</f>
        <v/>
      </c>
      <c r="L91" s="16" t="str">
        <f aca="false">IF(A91="","",IF(F91="İade edildi",0,K91-I91))</f>
        <v/>
      </c>
      <c r="M91" s="17" t="str">
        <f aca="true">IF(A91="","",IF(J91&lt;&gt;"",J91-A91,TODAY()-A91))</f>
        <v/>
      </c>
      <c r="N91" s="18" t="str">
        <f aca="false">IF(A91="","",IF(AND(OR(F91="Bekliyor",F91="Parça bekleniyor",F91="Hazır"),M91&gt;7),"7 günü geçti",""))</f>
        <v/>
      </c>
      <c r="O91" s="18" t="str">
        <f aca="false">IF(AND(A91&lt;&gt;"",OR(F91="Bekliyor",F91="Parça bekleniyor",F91="Hazır")),A91+ROW()/1000000,"")</f>
        <v/>
      </c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4"/>
      <c r="G92" s="15"/>
      <c r="H92" s="15"/>
      <c r="I92" s="15"/>
      <c r="J92" s="12"/>
      <c r="K92" s="16" t="str">
        <f aca="false">IF(A92="","",G92+H92)</f>
        <v/>
      </c>
      <c r="L92" s="16" t="str">
        <f aca="false">IF(A92="","",IF(F92="İade edildi",0,K92-I92))</f>
        <v/>
      </c>
      <c r="M92" s="17" t="str">
        <f aca="true">IF(A92="","",IF(J92&lt;&gt;"",J92-A92,TODAY()-A92))</f>
        <v/>
      </c>
      <c r="N92" s="18" t="str">
        <f aca="false">IF(A92="","",IF(AND(OR(F92="Bekliyor",F92="Parça bekleniyor",F92="Hazır"),M92&gt;7),"7 günü geçti",""))</f>
        <v/>
      </c>
      <c r="O92" s="18" t="str">
        <f aca="false">IF(AND(A92&lt;&gt;"",OR(F92="Bekliyor",F92="Parça bekleniyor",F92="Hazır")),A92+ROW()/1000000,"")</f>
        <v/>
      </c>
    </row>
    <row r="93" customFormat="false" ht="15" hidden="false" customHeight="false" outlineLevel="0" collapsed="false">
      <c r="A93" s="12"/>
      <c r="B93" s="13"/>
      <c r="C93" s="13"/>
      <c r="D93" s="13"/>
      <c r="E93" s="13"/>
      <c r="F93" s="14"/>
      <c r="G93" s="15"/>
      <c r="H93" s="15"/>
      <c r="I93" s="15"/>
      <c r="J93" s="12"/>
      <c r="K93" s="16" t="str">
        <f aca="false">IF(A93="","",G93+H93)</f>
        <v/>
      </c>
      <c r="L93" s="16" t="str">
        <f aca="false">IF(A93="","",IF(F93="İade edildi",0,K93-I93))</f>
        <v/>
      </c>
      <c r="M93" s="17" t="str">
        <f aca="true">IF(A93="","",IF(J93&lt;&gt;"",J93-A93,TODAY()-A93))</f>
        <v/>
      </c>
      <c r="N93" s="18" t="str">
        <f aca="false">IF(A93="","",IF(AND(OR(F93="Bekliyor",F93="Parça bekleniyor",F93="Hazır"),M93&gt;7),"7 günü geçti",""))</f>
        <v/>
      </c>
      <c r="O93" s="18" t="str">
        <f aca="false">IF(AND(A93&lt;&gt;"",OR(F93="Bekliyor",F93="Parça bekleniyor",F93="Hazır")),A93+ROW()/1000000,"")</f>
        <v/>
      </c>
    </row>
    <row r="94" customFormat="false" ht="15" hidden="false" customHeight="false" outlineLevel="0" collapsed="false">
      <c r="A94" s="12"/>
      <c r="B94" s="13"/>
      <c r="C94" s="13"/>
      <c r="D94" s="13"/>
      <c r="E94" s="13"/>
      <c r="F94" s="14"/>
      <c r="G94" s="15"/>
      <c r="H94" s="15"/>
      <c r="I94" s="15"/>
      <c r="J94" s="12"/>
      <c r="K94" s="16" t="str">
        <f aca="false">IF(A94="","",G94+H94)</f>
        <v/>
      </c>
      <c r="L94" s="16" t="str">
        <f aca="false">IF(A94="","",IF(F94="İade edildi",0,K94-I94))</f>
        <v/>
      </c>
      <c r="M94" s="17" t="str">
        <f aca="true">IF(A94="","",IF(J94&lt;&gt;"",J94-A94,TODAY()-A94))</f>
        <v/>
      </c>
      <c r="N94" s="18" t="str">
        <f aca="false">IF(A94="","",IF(AND(OR(F94="Bekliyor",F94="Parça bekleniyor",F94="Hazır"),M94&gt;7),"7 günü geçti",""))</f>
        <v/>
      </c>
      <c r="O94" s="18" t="str">
        <f aca="false">IF(AND(A94&lt;&gt;"",OR(F94="Bekliyor",F94="Parça bekleniyor",F94="Hazır")),A94+ROW()/1000000,"")</f>
        <v/>
      </c>
    </row>
    <row r="95" customFormat="false" ht="15" hidden="false" customHeight="false" outlineLevel="0" collapsed="false">
      <c r="A95" s="12"/>
      <c r="B95" s="13"/>
      <c r="C95" s="13"/>
      <c r="D95" s="13"/>
      <c r="E95" s="13"/>
      <c r="F95" s="14"/>
      <c r="G95" s="15"/>
      <c r="H95" s="15"/>
      <c r="I95" s="15"/>
      <c r="J95" s="12"/>
      <c r="K95" s="16" t="str">
        <f aca="false">IF(A95="","",G95+H95)</f>
        <v/>
      </c>
      <c r="L95" s="16" t="str">
        <f aca="false">IF(A95="","",IF(F95="İade edildi",0,K95-I95))</f>
        <v/>
      </c>
      <c r="M95" s="17" t="str">
        <f aca="true">IF(A95="","",IF(J95&lt;&gt;"",J95-A95,TODAY()-A95))</f>
        <v/>
      </c>
      <c r="N95" s="18" t="str">
        <f aca="false">IF(A95="","",IF(AND(OR(F95="Bekliyor",F95="Parça bekleniyor",F95="Hazır"),M95&gt;7),"7 günü geçti",""))</f>
        <v/>
      </c>
      <c r="O95" s="18" t="str">
        <f aca="false">IF(AND(A95&lt;&gt;"",OR(F95="Bekliyor",F95="Parça bekleniyor",F95="Hazır")),A95+ROW()/1000000,"")</f>
        <v/>
      </c>
    </row>
    <row r="96" customFormat="false" ht="15" hidden="false" customHeight="false" outlineLevel="0" collapsed="false">
      <c r="A96" s="12"/>
      <c r="B96" s="13"/>
      <c r="C96" s="13"/>
      <c r="D96" s="13"/>
      <c r="E96" s="13"/>
      <c r="F96" s="14"/>
      <c r="G96" s="15"/>
      <c r="H96" s="15"/>
      <c r="I96" s="15"/>
      <c r="J96" s="12"/>
      <c r="K96" s="16" t="str">
        <f aca="false">IF(A96="","",G96+H96)</f>
        <v/>
      </c>
      <c r="L96" s="16" t="str">
        <f aca="false">IF(A96="","",IF(F96="İade edildi",0,K96-I96))</f>
        <v/>
      </c>
      <c r="M96" s="17" t="str">
        <f aca="true">IF(A96="","",IF(J96&lt;&gt;"",J96-A96,TODAY()-A96))</f>
        <v/>
      </c>
      <c r="N96" s="18" t="str">
        <f aca="false">IF(A96="","",IF(AND(OR(F96="Bekliyor",F96="Parça bekleniyor",F96="Hazır"),M96&gt;7),"7 günü geçti",""))</f>
        <v/>
      </c>
      <c r="O96" s="18" t="str">
        <f aca="false">IF(AND(A96&lt;&gt;"",OR(F96="Bekliyor",F96="Parça bekleniyor",F96="Hazır")),A96+ROW()/1000000,"")</f>
        <v/>
      </c>
    </row>
    <row r="97" customFormat="false" ht="15" hidden="false" customHeight="false" outlineLevel="0" collapsed="false">
      <c r="A97" s="12"/>
      <c r="B97" s="13"/>
      <c r="C97" s="13"/>
      <c r="D97" s="13"/>
      <c r="E97" s="13"/>
      <c r="F97" s="14"/>
      <c r="G97" s="15"/>
      <c r="H97" s="15"/>
      <c r="I97" s="15"/>
      <c r="J97" s="12"/>
      <c r="K97" s="16" t="str">
        <f aca="false">IF(A97="","",G97+H97)</f>
        <v/>
      </c>
      <c r="L97" s="16" t="str">
        <f aca="false">IF(A97="","",IF(F97="İade edildi",0,K97-I97))</f>
        <v/>
      </c>
      <c r="M97" s="17" t="str">
        <f aca="true">IF(A97="","",IF(J97&lt;&gt;"",J97-A97,TODAY()-A97))</f>
        <v/>
      </c>
      <c r="N97" s="18" t="str">
        <f aca="false">IF(A97="","",IF(AND(OR(F97="Bekliyor",F97="Parça bekleniyor",F97="Hazır"),M97&gt;7),"7 günü geçti",""))</f>
        <v/>
      </c>
      <c r="O97" s="18" t="str">
        <f aca="false">IF(AND(A97&lt;&gt;"",OR(F97="Bekliyor",F97="Parça bekleniyor",F97="Hazır")),A97+ROW()/1000000,"")</f>
        <v/>
      </c>
    </row>
    <row r="98" customFormat="false" ht="15" hidden="false" customHeight="false" outlineLevel="0" collapsed="false">
      <c r="A98" s="12"/>
      <c r="B98" s="13"/>
      <c r="C98" s="13"/>
      <c r="D98" s="13"/>
      <c r="E98" s="13"/>
      <c r="F98" s="14"/>
      <c r="G98" s="15"/>
      <c r="H98" s="15"/>
      <c r="I98" s="15"/>
      <c r="J98" s="12"/>
      <c r="K98" s="16" t="str">
        <f aca="false">IF(A98="","",G98+H98)</f>
        <v/>
      </c>
      <c r="L98" s="16" t="str">
        <f aca="false">IF(A98="","",IF(F98="İade edildi",0,K98-I98))</f>
        <v/>
      </c>
      <c r="M98" s="17" t="str">
        <f aca="true">IF(A98="","",IF(J98&lt;&gt;"",J98-A98,TODAY()-A98))</f>
        <v/>
      </c>
      <c r="N98" s="18" t="str">
        <f aca="false">IF(A98="","",IF(AND(OR(F98="Bekliyor",F98="Parça bekleniyor",F98="Hazır"),M98&gt;7),"7 günü geçti",""))</f>
        <v/>
      </c>
      <c r="O98" s="18" t="str">
        <f aca="false">IF(AND(A98&lt;&gt;"",OR(F98="Bekliyor",F98="Parça bekleniyor",F98="Hazır")),A98+ROW()/1000000,"")</f>
        <v/>
      </c>
    </row>
    <row r="99" customFormat="false" ht="15" hidden="false" customHeight="false" outlineLevel="0" collapsed="false">
      <c r="A99" s="12"/>
      <c r="B99" s="13"/>
      <c r="C99" s="13"/>
      <c r="D99" s="13"/>
      <c r="E99" s="13"/>
      <c r="F99" s="14"/>
      <c r="G99" s="15"/>
      <c r="H99" s="15"/>
      <c r="I99" s="15"/>
      <c r="J99" s="12"/>
      <c r="K99" s="16" t="str">
        <f aca="false">IF(A99="","",G99+H99)</f>
        <v/>
      </c>
      <c r="L99" s="16" t="str">
        <f aca="false">IF(A99="","",IF(F99="İade edildi",0,K99-I99))</f>
        <v/>
      </c>
      <c r="M99" s="17" t="str">
        <f aca="true">IF(A99="","",IF(J99&lt;&gt;"",J99-A99,TODAY()-A99))</f>
        <v/>
      </c>
      <c r="N99" s="18" t="str">
        <f aca="false">IF(A99="","",IF(AND(OR(F99="Bekliyor",F99="Parça bekleniyor",F99="Hazır"),M99&gt;7),"7 günü geçti",""))</f>
        <v/>
      </c>
      <c r="O99" s="18" t="str">
        <f aca="false">IF(AND(A99&lt;&gt;"",OR(F99="Bekliyor",F99="Parça bekleniyor",F99="Hazır")),A99+ROW()/1000000,"")</f>
        <v/>
      </c>
    </row>
    <row r="100" customFormat="false" ht="15" hidden="false" customHeight="false" outlineLevel="0" collapsed="false">
      <c r="A100" s="12"/>
      <c r="B100" s="13"/>
      <c r="C100" s="13"/>
      <c r="D100" s="13"/>
      <c r="E100" s="13"/>
      <c r="F100" s="14"/>
      <c r="G100" s="15"/>
      <c r="H100" s="15"/>
      <c r="I100" s="15"/>
      <c r="J100" s="12"/>
      <c r="K100" s="16" t="str">
        <f aca="false">IF(A100="","",G100+H100)</f>
        <v/>
      </c>
      <c r="L100" s="16" t="str">
        <f aca="false">IF(A100="","",IF(F100="İade edildi",0,K100-I100))</f>
        <v/>
      </c>
      <c r="M100" s="17" t="str">
        <f aca="true">IF(A100="","",IF(J100&lt;&gt;"",J100-A100,TODAY()-A100))</f>
        <v/>
      </c>
      <c r="N100" s="18" t="str">
        <f aca="false">IF(A100="","",IF(AND(OR(F100="Bekliyor",F100="Parça bekleniyor",F100="Hazır"),M100&gt;7),"7 günü geçti",""))</f>
        <v/>
      </c>
      <c r="O100" s="18" t="str">
        <f aca="false">IF(AND(A100&lt;&gt;"",OR(F100="Bekliyor",F100="Parça bekleniyor",F100="Hazır")),A100+ROW()/1000000,"")</f>
        <v/>
      </c>
    </row>
    <row r="101" customFormat="false" ht="15" hidden="false" customHeight="false" outlineLevel="0" collapsed="false">
      <c r="A101" s="12"/>
      <c r="B101" s="13"/>
      <c r="C101" s="13"/>
      <c r="D101" s="13"/>
      <c r="E101" s="13"/>
      <c r="F101" s="14"/>
      <c r="G101" s="15"/>
      <c r="H101" s="15"/>
      <c r="I101" s="15"/>
      <c r="J101" s="12"/>
      <c r="K101" s="16" t="str">
        <f aca="false">IF(A101="","",G101+H101)</f>
        <v/>
      </c>
      <c r="L101" s="16" t="str">
        <f aca="false">IF(A101="","",IF(F101="İade edildi",0,K101-I101))</f>
        <v/>
      </c>
      <c r="M101" s="17" t="str">
        <f aca="true">IF(A101="","",IF(J101&lt;&gt;"",J101-A101,TODAY()-A101))</f>
        <v/>
      </c>
      <c r="N101" s="18" t="str">
        <f aca="false">IF(A101="","",IF(AND(OR(F101="Bekliyor",F101="Parça bekleniyor",F101="Hazır"),M101&gt;7),"7 günü geçti",""))</f>
        <v/>
      </c>
      <c r="O101" s="18" t="str">
        <f aca="false">IF(AND(A101&lt;&gt;"",OR(F101="Bekliyor",F101="Parça bekleniyor",F101="Hazır")),A101+ROW()/1000000,"")</f>
        <v/>
      </c>
    </row>
    <row r="102" customFormat="false" ht="15" hidden="false" customHeight="false" outlineLevel="0" collapsed="false">
      <c r="A102" s="12"/>
      <c r="B102" s="13"/>
      <c r="C102" s="13"/>
      <c r="D102" s="13"/>
      <c r="E102" s="13"/>
      <c r="F102" s="14"/>
      <c r="G102" s="15"/>
      <c r="H102" s="15"/>
      <c r="I102" s="15"/>
      <c r="J102" s="12"/>
      <c r="K102" s="16" t="str">
        <f aca="false">IF(A102="","",G102+H102)</f>
        <v/>
      </c>
      <c r="L102" s="16" t="str">
        <f aca="false">IF(A102="","",IF(F102="İade edildi",0,K102-I102))</f>
        <v/>
      </c>
      <c r="M102" s="17" t="str">
        <f aca="true">IF(A102="","",IF(J102&lt;&gt;"",J102-A102,TODAY()-A102))</f>
        <v/>
      </c>
      <c r="N102" s="18" t="str">
        <f aca="false">IF(A102="","",IF(AND(OR(F102="Bekliyor",F102="Parça bekleniyor",F102="Hazır"),M102&gt;7),"7 günü geçti",""))</f>
        <v/>
      </c>
      <c r="O102" s="18" t="str">
        <f aca="false">IF(AND(A102&lt;&gt;"",OR(F102="Bekliyor",F102="Parça bekleniyor",F102="Hazır")),A102+ROW()/1000000,"")</f>
        <v/>
      </c>
    </row>
    <row r="103" customFormat="false" ht="15" hidden="false" customHeight="false" outlineLevel="0" collapsed="false">
      <c r="A103" s="12"/>
      <c r="B103" s="13"/>
      <c r="C103" s="13"/>
      <c r="D103" s="13"/>
      <c r="E103" s="13"/>
      <c r="F103" s="14"/>
      <c r="G103" s="15"/>
      <c r="H103" s="15"/>
      <c r="I103" s="15"/>
      <c r="J103" s="12"/>
      <c r="K103" s="16" t="str">
        <f aca="false">IF(A103="","",G103+H103)</f>
        <v/>
      </c>
      <c r="L103" s="16" t="str">
        <f aca="false">IF(A103="","",IF(F103="İade edildi",0,K103-I103))</f>
        <v/>
      </c>
      <c r="M103" s="17" t="str">
        <f aca="true">IF(A103="","",IF(J103&lt;&gt;"",J103-A103,TODAY()-A103))</f>
        <v/>
      </c>
      <c r="N103" s="18" t="str">
        <f aca="false">IF(A103="","",IF(AND(OR(F103="Bekliyor",F103="Parça bekleniyor",F103="Hazır"),M103&gt;7),"7 günü geçti",""))</f>
        <v/>
      </c>
      <c r="O103" s="18" t="str">
        <f aca="false">IF(AND(A103&lt;&gt;"",OR(F103="Bekliyor",F103="Parça bekleniyor",F103="Hazır")),A103+ROW()/1000000,"")</f>
        <v/>
      </c>
    </row>
    <row r="104" customFormat="false" ht="15" hidden="false" customHeight="false" outlineLevel="0" collapsed="false">
      <c r="A104" s="12"/>
      <c r="B104" s="13"/>
      <c r="C104" s="13"/>
      <c r="D104" s="13"/>
      <c r="E104" s="13"/>
      <c r="F104" s="14"/>
      <c r="G104" s="15"/>
      <c r="H104" s="15"/>
      <c r="I104" s="15"/>
      <c r="J104" s="12"/>
      <c r="K104" s="16" t="str">
        <f aca="false">IF(A104="","",G104+H104)</f>
        <v/>
      </c>
      <c r="L104" s="16" t="str">
        <f aca="false">IF(A104="","",IF(F104="İade edildi",0,K104-I104))</f>
        <v/>
      </c>
      <c r="M104" s="17" t="str">
        <f aca="true">IF(A104="","",IF(J104&lt;&gt;"",J104-A104,TODAY()-A104))</f>
        <v/>
      </c>
      <c r="N104" s="18" t="str">
        <f aca="false">IF(A104="","",IF(AND(OR(F104="Bekliyor",F104="Parça bekleniyor",F104="Hazır"),M104&gt;7),"7 günü geçti",""))</f>
        <v/>
      </c>
      <c r="O104" s="18" t="str">
        <f aca="false">IF(AND(A104&lt;&gt;"",OR(F104="Bekliyor",F104="Parça bekleniyor",F104="Hazır")),A104+ROW()/1000000,"")</f>
        <v/>
      </c>
    </row>
    <row r="105" customFormat="false" ht="15" hidden="false" customHeight="false" outlineLevel="0" collapsed="false">
      <c r="A105" s="12"/>
      <c r="B105" s="13"/>
      <c r="C105" s="13"/>
      <c r="D105" s="13"/>
      <c r="E105" s="13"/>
      <c r="F105" s="14"/>
      <c r="G105" s="15"/>
      <c r="H105" s="15"/>
      <c r="I105" s="15"/>
      <c r="J105" s="12"/>
      <c r="K105" s="16" t="str">
        <f aca="false">IF(A105="","",G105+H105)</f>
        <v/>
      </c>
      <c r="L105" s="16" t="str">
        <f aca="false">IF(A105="","",IF(F105="İade edildi",0,K105-I105))</f>
        <v/>
      </c>
      <c r="M105" s="17" t="str">
        <f aca="true">IF(A105="","",IF(J105&lt;&gt;"",J105-A105,TODAY()-A105))</f>
        <v/>
      </c>
      <c r="N105" s="18" t="str">
        <f aca="false">IF(A105="","",IF(AND(OR(F105="Bekliyor",F105="Parça bekleniyor",F105="Hazır"),M105&gt;7),"7 günü geçti",""))</f>
        <v/>
      </c>
      <c r="O105" s="18" t="str">
        <f aca="false">IF(AND(A105&lt;&gt;"",OR(F105="Bekliyor",F105="Parça bekleniyor",F105="Hazır")),A105+ROW()/1000000,"")</f>
        <v/>
      </c>
    </row>
    <row r="106" customFormat="false" ht="15" hidden="false" customHeight="false" outlineLevel="0" collapsed="false">
      <c r="A106" s="12"/>
      <c r="B106" s="13"/>
      <c r="C106" s="13"/>
      <c r="D106" s="13"/>
      <c r="E106" s="13"/>
      <c r="F106" s="14"/>
      <c r="G106" s="15"/>
      <c r="H106" s="15"/>
      <c r="I106" s="15"/>
      <c r="J106" s="12"/>
      <c r="K106" s="16" t="str">
        <f aca="false">IF(A106="","",G106+H106)</f>
        <v/>
      </c>
      <c r="L106" s="16" t="str">
        <f aca="false">IF(A106="","",IF(F106="İade edildi",0,K106-I106))</f>
        <v/>
      </c>
      <c r="M106" s="17" t="str">
        <f aca="true">IF(A106="","",IF(J106&lt;&gt;"",J106-A106,TODAY()-A106))</f>
        <v/>
      </c>
      <c r="N106" s="18" t="str">
        <f aca="false">IF(A106="","",IF(AND(OR(F106="Bekliyor",F106="Parça bekleniyor",F106="Hazır"),M106&gt;7),"7 günü geçti",""))</f>
        <v/>
      </c>
      <c r="O106" s="18" t="str">
        <f aca="false">IF(AND(A106&lt;&gt;"",OR(F106="Bekliyor",F106="Parça bekleniyor",F106="Hazır")),A106+ROW()/1000000,"")</f>
        <v/>
      </c>
    </row>
    <row r="107" customFormat="false" ht="15" hidden="false" customHeight="false" outlineLevel="0" collapsed="false">
      <c r="A107" s="12"/>
      <c r="B107" s="13"/>
      <c r="C107" s="13"/>
      <c r="D107" s="13"/>
      <c r="E107" s="13"/>
      <c r="F107" s="14"/>
      <c r="G107" s="15"/>
      <c r="H107" s="15"/>
      <c r="I107" s="15"/>
      <c r="J107" s="12"/>
      <c r="K107" s="16" t="str">
        <f aca="false">IF(A107="","",G107+H107)</f>
        <v/>
      </c>
      <c r="L107" s="16" t="str">
        <f aca="false">IF(A107="","",IF(F107="İade edildi",0,K107-I107))</f>
        <v/>
      </c>
      <c r="M107" s="17" t="str">
        <f aca="true">IF(A107="","",IF(J107&lt;&gt;"",J107-A107,TODAY()-A107))</f>
        <v/>
      </c>
      <c r="N107" s="18" t="str">
        <f aca="false">IF(A107="","",IF(AND(OR(F107="Bekliyor",F107="Parça bekleniyor",F107="Hazır"),M107&gt;7),"7 günü geçti",""))</f>
        <v/>
      </c>
      <c r="O107" s="18" t="str">
        <f aca="false">IF(AND(A107&lt;&gt;"",OR(F107="Bekliyor",F107="Parça bekleniyor",F107="Hazır")),A107+ROW()/1000000,"")</f>
        <v/>
      </c>
    </row>
    <row r="108" customFormat="false" ht="15" hidden="false" customHeight="false" outlineLevel="0" collapsed="false">
      <c r="A108" s="12"/>
      <c r="B108" s="13"/>
      <c r="C108" s="13"/>
      <c r="D108" s="13"/>
      <c r="E108" s="13"/>
      <c r="F108" s="14"/>
      <c r="G108" s="15"/>
      <c r="H108" s="15"/>
      <c r="I108" s="15"/>
      <c r="J108" s="12"/>
      <c r="K108" s="16" t="str">
        <f aca="false">IF(A108="","",G108+H108)</f>
        <v/>
      </c>
      <c r="L108" s="16" t="str">
        <f aca="false">IF(A108="","",IF(F108="İade edildi",0,K108-I108))</f>
        <v/>
      </c>
      <c r="M108" s="17" t="str">
        <f aca="true">IF(A108="","",IF(J108&lt;&gt;"",J108-A108,TODAY()-A108))</f>
        <v/>
      </c>
      <c r="N108" s="18" t="str">
        <f aca="false">IF(A108="","",IF(AND(OR(F108="Bekliyor",F108="Parça bekleniyor",F108="Hazır"),M108&gt;7),"7 günü geçti",""))</f>
        <v/>
      </c>
      <c r="O108" s="18" t="str">
        <f aca="false">IF(AND(A108&lt;&gt;"",OR(F108="Bekliyor",F108="Parça bekleniyor",F108="Hazır")),A108+ROW()/1000000,"")</f>
        <v/>
      </c>
    </row>
    <row r="109" customFormat="false" ht="15" hidden="false" customHeight="false" outlineLevel="0" collapsed="false">
      <c r="A109" s="12"/>
      <c r="B109" s="13"/>
      <c r="C109" s="13"/>
      <c r="D109" s="13"/>
      <c r="E109" s="13"/>
      <c r="F109" s="14"/>
      <c r="G109" s="15"/>
      <c r="H109" s="15"/>
      <c r="I109" s="15"/>
      <c r="J109" s="12"/>
      <c r="K109" s="16" t="str">
        <f aca="false">IF(A109="","",G109+H109)</f>
        <v/>
      </c>
      <c r="L109" s="16" t="str">
        <f aca="false">IF(A109="","",IF(F109="İade edildi",0,K109-I109))</f>
        <v/>
      </c>
      <c r="M109" s="17" t="str">
        <f aca="true">IF(A109="","",IF(J109&lt;&gt;"",J109-A109,TODAY()-A109))</f>
        <v/>
      </c>
      <c r="N109" s="18" t="str">
        <f aca="false">IF(A109="","",IF(AND(OR(F109="Bekliyor",F109="Parça bekleniyor",F109="Hazır"),M109&gt;7),"7 günü geçti",""))</f>
        <v/>
      </c>
      <c r="O109" s="18" t="str">
        <f aca="false">IF(AND(A109&lt;&gt;"",OR(F109="Bekliyor",F109="Parça bekleniyor",F109="Hazır")),A109+ROW()/1000000,"")</f>
        <v/>
      </c>
    </row>
    <row r="110" customFormat="false" ht="15" hidden="false" customHeight="false" outlineLevel="0" collapsed="false">
      <c r="A110" s="12"/>
      <c r="B110" s="13"/>
      <c r="C110" s="13"/>
      <c r="D110" s="13"/>
      <c r="E110" s="13"/>
      <c r="F110" s="14"/>
      <c r="G110" s="15"/>
      <c r="H110" s="15"/>
      <c r="I110" s="15"/>
      <c r="J110" s="12"/>
      <c r="K110" s="16" t="str">
        <f aca="false">IF(A110="","",G110+H110)</f>
        <v/>
      </c>
      <c r="L110" s="16" t="str">
        <f aca="false">IF(A110="","",IF(F110="İade edildi",0,K110-I110))</f>
        <v/>
      </c>
      <c r="M110" s="17" t="str">
        <f aca="true">IF(A110="","",IF(J110&lt;&gt;"",J110-A110,TODAY()-A110))</f>
        <v/>
      </c>
      <c r="N110" s="18" t="str">
        <f aca="false">IF(A110="","",IF(AND(OR(F110="Bekliyor",F110="Parça bekleniyor",F110="Hazır"),M110&gt;7),"7 günü geçti",""))</f>
        <v/>
      </c>
      <c r="O110" s="18" t="str">
        <f aca="false">IF(AND(A110&lt;&gt;"",OR(F110="Bekliyor",F110="Parça bekleniyor",F110="Hazır")),A110+ROW()/1000000,"")</f>
        <v/>
      </c>
    </row>
    <row r="111" customFormat="false" ht="15" hidden="false" customHeight="false" outlineLevel="0" collapsed="false">
      <c r="A111" s="12"/>
      <c r="B111" s="13"/>
      <c r="C111" s="13"/>
      <c r="D111" s="13"/>
      <c r="E111" s="13"/>
      <c r="F111" s="14"/>
      <c r="G111" s="15"/>
      <c r="H111" s="15"/>
      <c r="I111" s="15"/>
      <c r="J111" s="12"/>
      <c r="K111" s="16" t="str">
        <f aca="false">IF(A111="","",G111+H111)</f>
        <v/>
      </c>
      <c r="L111" s="16" t="str">
        <f aca="false">IF(A111="","",IF(F111="İade edildi",0,K111-I111))</f>
        <v/>
      </c>
      <c r="M111" s="17" t="str">
        <f aca="true">IF(A111="","",IF(J111&lt;&gt;"",J111-A111,TODAY()-A111))</f>
        <v/>
      </c>
      <c r="N111" s="18" t="str">
        <f aca="false">IF(A111="","",IF(AND(OR(F111="Bekliyor",F111="Parça bekleniyor",F111="Hazır"),M111&gt;7),"7 günü geçti",""))</f>
        <v/>
      </c>
      <c r="O111" s="18" t="str">
        <f aca="false">IF(AND(A111&lt;&gt;"",OR(F111="Bekliyor",F111="Parça bekleniyor",F111="Hazır")),A111+ROW()/1000000,"")</f>
        <v/>
      </c>
    </row>
    <row r="112" customFormat="false" ht="15" hidden="false" customHeight="false" outlineLevel="0" collapsed="false">
      <c r="A112" s="12"/>
      <c r="B112" s="13"/>
      <c r="C112" s="13"/>
      <c r="D112" s="13"/>
      <c r="E112" s="13"/>
      <c r="F112" s="14"/>
      <c r="G112" s="15"/>
      <c r="H112" s="15"/>
      <c r="I112" s="15"/>
      <c r="J112" s="12"/>
      <c r="K112" s="16" t="str">
        <f aca="false">IF(A112="","",G112+H112)</f>
        <v/>
      </c>
      <c r="L112" s="16" t="str">
        <f aca="false">IF(A112="","",IF(F112="İade edildi",0,K112-I112))</f>
        <v/>
      </c>
      <c r="M112" s="17" t="str">
        <f aca="true">IF(A112="","",IF(J112&lt;&gt;"",J112-A112,TODAY()-A112))</f>
        <v/>
      </c>
      <c r="N112" s="18" t="str">
        <f aca="false">IF(A112="","",IF(AND(OR(F112="Bekliyor",F112="Parça bekleniyor",F112="Hazır"),M112&gt;7),"7 günü geçti",""))</f>
        <v/>
      </c>
      <c r="O112" s="18" t="str">
        <f aca="false">IF(AND(A112&lt;&gt;"",OR(F112="Bekliyor",F112="Parça bekleniyor",F112="Hazır")),A112+ROW()/1000000,"")</f>
        <v/>
      </c>
    </row>
    <row r="113" customFormat="false" ht="15" hidden="false" customHeight="false" outlineLevel="0" collapsed="false">
      <c r="A113" s="12"/>
      <c r="B113" s="13"/>
      <c r="C113" s="13"/>
      <c r="D113" s="13"/>
      <c r="E113" s="13"/>
      <c r="F113" s="14"/>
      <c r="G113" s="15"/>
      <c r="H113" s="15"/>
      <c r="I113" s="15"/>
      <c r="J113" s="12"/>
      <c r="K113" s="16" t="str">
        <f aca="false">IF(A113="","",G113+H113)</f>
        <v/>
      </c>
      <c r="L113" s="16" t="str">
        <f aca="false">IF(A113="","",IF(F113="İade edildi",0,K113-I113))</f>
        <v/>
      </c>
      <c r="M113" s="17" t="str">
        <f aca="true">IF(A113="","",IF(J113&lt;&gt;"",J113-A113,TODAY()-A113))</f>
        <v/>
      </c>
      <c r="N113" s="18" t="str">
        <f aca="false">IF(A113="","",IF(AND(OR(F113="Bekliyor",F113="Parça bekleniyor",F113="Hazır"),M113&gt;7),"7 günü geçti",""))</f>
        <v/>
      </c>
      <c r="O113" s="18" t="str">
        <f aca="false">IF(AND(A113&lt;&gt;"",OR(F113="Bekliyor",F113="Parça bekleniyor",F113="Hazır")),A113+ROW()/1000000,"")</f>
        <v/>
      </c>
    </row>
    <row r="114" customFormat="false" ht="15" hidden="false" customHeight="false" outlineLevel="0" collapsed="false">
      <c r="A114" s="12"/>
      <c r="B114" s="13"/>
      <c r="C114" s="13"/>
      <c r="D114" s="13"/>
      <c r="E114" s="13"/>
      <c r="F114" s="14"/>
      <c r="G114" s="15"/>
      <c r="H114" s="15"/>
      <c r="I114" s="15"/>
      <c r="J114" s="12"/>
      <c r="K114" s="16" t="str">
        <f aca="false">IF(A114="","",G114+H114)</f>
        <v/>
      </c>
      <c r="L114" s="16" t="str">
        <f aca="false">IF(A114="","",IF(F114="İade edildi",0,K114-I114))</f>
        <v/>
      </c>
      <c r="M114" s="17" t="str">
        <f aca="true">IF(A114="","",IF(J114&lt;&gt;"",J114-A114,TODAY()-A114))</f>
        <v/>
      </c>
      <c r="N114" s="18" t="str">
        <f aca="false">IF(A114="","",IF(AND(OR(F114="Bekliyor",F114="Parça bekleniyor",F114="Hazır"),M114&gt;7),"7 günü geçti",""))</f>
        <v/>
      </c>
      <c r="O114" s="18" t="str">
        <f aca="false">IF(AND(A114&lt;&gt;"",OR(F114="Bekliyor",F114="Parça bekleniyor",F114="Hazır")),A114+ROW()/1000000,"")</f>
        <v/>
      </c>
    </row>
    <row r="115" customFormat="false" ht="15" hidden="false" customHeight="false" outlineLevel="0" collapsed="false">
      <c r="A115" s="12"/>
      <c r="B115" s="13"/>
      <c r="C115" s="13"/>
      <c r="D115" s="13"/>
      <c r="E115" s="13"/>
      <c r="F115" s="14"/>
      <c r="G115" s="15"/>
      <c r="H115" s="15"/>
      <c r="I115" s="15"/>
      <c r="J115" s="12"/>
      <c r="K115" s="16" t="str">
        <f aca="false">IF(A115="","",G115+H115)</f>
        <v/>
      </c>
      <c r="L115" s="16" t="str">
        <f aca="false">IF(A115="","",IF(F115="İade edildi",0,K115-I115))</f>
        <v/>
      </c>
      <c r="M115" s="17" t="str">
        <f aca="true">IF(A115="","",IF(J115&lt;&gt;"",J115-A115,TODAY()-A115))</f>
        <v/>
      </c>
      <c r="N115" s="18" t="str">
        <f aca="false">IF(A115="","",IF(AND(OR(F115="Bekliyor",F115="Parça bekleniyor",F115="Hazır"),M115&gt;7),"7 günü geçti",""))</f>
        <v/>
      </c>
      <c r="O115" s="18" t="str">
        <f aca="false">IF(AND(A115&lt;&gt;"",OR(F115="Bekliyor",F115="Parça bekleniyor",F115="Hazır")),A115+ROW()/1000000,"")</f>
        <v/>
      </c>
    </row>
    <row r="116" customFormat="false" ht="15" hidden="false" customHeight="false" outlineLevel="0" collapsed="false">
      <c r="A116" s="12"/>
      <c r="B116" s="13"/>
      <c r="C116" s="13"/>
      <c r="D116" s="13"/>
      <c r="E116" s="13"/>
      <c r="F116" s="14"/>
      <c r="G116" s="15"/>
      <c r="H116" s="15"/>
      <c r="I116" s="15"/>
      <c r="J116" s="12"/>
      <c r="K116" s="16" t="str">
        <f aca="false">IF(A116="","",G116+H116)</f>
        <v/>
      </c>
      <c r="L116" s="16" t="str">
        <f aca="false">IF(A116="","",IF(F116="İade edildi",0,K116-I116))</f>
        <v/>
      </c>
      <c r="M116" s="17" t="str">
        <f aca="true">IF(A116="","",IF(J116&lt;&gt;"",J116-A116,TODAY()-A116))</f>
        <v/>
      </c>
      <c r="N116" s="18" t="str">
        <f aca="false">IF(A116="","",IF(AND(OR(F116="Bekliyor",F116="Parça bekleniyor",F116="Hazır"),M116&gt;7),"7 günü geçti",""))</f>
        <v/>
      </c>
      <c r="O116" s="18" t="str">
        <f aca="false">IF(AND(A116&lt;&gt;"",OR(F116="Bekliyor",F116="Parça bekleniyor",F116="Hazır")),A116+ROW()/1000000,"")</f>
        <v/>
      </c>
    </row>
    <row r="117" customFormat="false" ht="15" hidden="false" customHeight="false" outlineLevel="0" collapsed="false">
      <c r="A117" s="12"/>
      <c r="B117" s="13"/>
      <c r="C117" s="13"/>
      <c r="D117" s="13"/>
      <c r="E117" s="13"/>
      <c r="F117" s="14"/>
      <c r="G117" s="15"/>
      <c r="H117" s="15"/>
      <c r="I117" s="15"/>
      <c r="J117" s="12"/>
      <c r="K117" s="16" t="str">
        <f aca="false">IF(A117="","",G117+H117)</f>
        <v/>
      </c>
      <c r="L117" s="16" t="str">
        <f aca="false">IF(A117="","",IF(F117="İade edildi",0,K117-I117))</f>
        <v/>
      </c>
      <c r="M117" s="17" t="str">
        <f aca="true">IF(A117="","",IF(J117&lt;&gt;"",J117-A117,TODAY()-A117))</f>
        <v/>
      </c>
      <c r="N117" s="18" t="str">
        <f aca="false">IF(A117="","",IF(AND(OR(F117="Bekliyor",F117="Parça bekleniyor",F117="Hazır"),M117&gt;7),"7 günü geçti",""))</f>
        <v/>
      </c>
      <c r="O117" s="18" t="str">
        <f aca="false">IF(AND(A117&lt;&gt;"",OR(F117="Bekliyor",F117="Parça bekleniyor",F117="Hazır")),A117+ROW()/1000000,"")</f>
        <v/>
      </c>
    </row>
    <row r="118" customFormat="false" ht="15" hidden="false" customHeight="false" outlineLevel="0" collapsed="false">
      <c r="A118" s="12"/>
      <c r="B118" s="13"/>
      <c r="C118" s="13"/>
      <c r="D118" s="13"/>
      <c r="E118" s="13"/>
      <c r="F118" s="14"/>
      <c r="G118" s="15"/>
      <c r="H118" s="15"/>
      <c r="I118" s="15"/>
      <c r="J118" s="12"/>
      <c r="K118" s="16" t="str">
        <f aca="false">IF(A118="","",G118+H118)</f>
        <v/>
      </c>
      <c r="L118" s="16" t="str">
        <f aca="false">IF(A118="","",IF(F118="İade edildi",0,K118-I118))</f>
        <v/>
      </c>
      <c r="M118" s="17" t="str">
        <f aca="true">IF(A118="","",IF(J118&lt;&gt;"",J118-A118,TODAY()-A118))</f>
        <v/>
      </c>
      <c r="N118" s="18" t="str">
        <f aca="false">IF(A118="","",IF(AND(OR(F118="Bekliyor",F118="Parça bekleniyor",F118="Hazır"),M118&gt;7),"7 günü geçti",""))</f>
        <v/>
      </c>
      <c r="O118" s="18" t="str">
        <f aca="false">IF(AND(A118&lt;&gt;"",OR(F118="Bekliyor",F118="Parça bekleniyor",F118="Hazır")),A118+ROW()/1000000,"")</f>
        <v/>
      </c>
    </row>
    <row r="119" customFormat="false" ht="15" hidden="false" customHeight="false" outlineLevel="0" collapsed="false">
      <c r="A119" s="12"/>
      <c r="B119" s="13"/>
      <c r="C119" s="13"/>
      <c r="D119" s="13"/>
      <c r="E119" s="13"/>
      <c r="F119" s="14"/>
      <c r="G119" s="15"/>
      <c r="H119" s="15"/>
      <c r="I119" s="15"/>
      <c r="J119" s="12"/>
      <c r="K119" s="16" t="str">
        <f aca="false">IF(A119="","",G119+H119)</f>
        <v/>
      </c>
      <c r="L119" s="16" t="str">
        <f aca="false">IF(A119="","",IF(F119="İade edildi",0,K119-I119))</f>
        <v/>
      </c>
      <c r="M119" s="17" t="str">
        <f aca="true">IF(A119="","",IF(J119&lt;&gt;"",J119-A119,TODAY()-A119))</f>
        <v/>
      </c>
      <c r="N119" s="18" t="str">
        <f aca="false">IF(A119="","",IF(AND(OR(F119="Bekliyor",F119="Parça bekleniyor",F119="Hazır"),M119&gt;7),"7 günü geçti",""))</f>
        <v/>
      </c>
      <c r="O119" s="18" t="str">
        <f aca="false">IF(AND(A119&lt;&gt;"",OR(F119="Bekliyor",F119="Parça bekleniyor",F119="Hazır")),A119+ROW()/1000000,"")</f>
        <v/>
      </c>
    </row>
    <row r="120" customFormat="false" ht="15" hidden="false" customHeight="false" outlineLevel="0" collapsed="false">
      <c r="A120" s="12"/>
      <c r="B120" s="13"/>
      <c r="C120" s="13"/>
      <c r="D120" s="13"/>
      <c r="E120" s="13"/>
      <c r="F120" s="14"/>
      <c r="G120" s="15"/>
      <c r="H120" s="15"/>
      <c r="I120" s="15"/>
      <c r="J120" s="12"/>
      <c r="K120" s="16" t="str">
        <f aca="false">IF(A120="","",G120+H120)</f>
        <v/>
      </c>
      <c r="L120" s="16" t="str">
        <f aca="false">IF(A120="","",IF(F120="İade edildi",0,K120-I120))</f>
        <v/>
      </c>
      <c r="M120" s="17" t="str">
        <f aca="true">IF(A120="","",IF(J120&lt;&gt;"",J120-A120,TODAY()-A120))</f>
        <v/>
      </c>
      <c r="N120" s="18" t="str">
        <f aca="false">IF(A120="","",IF(AND(OR(F120="Bekliyor",F120="Parça bekleniyor",F120="Hazır"),M120&gt;7),"7 günü geçti",""))</f>
        <v/>
      </c>
      <c r="O120" s="18" t="str">
        <f aca="false">IF(AND(A120&lt;&gt;"",OR(F120="Bekliyor",F120="Parça bekleniyor",F120="Hazır")),A120+ROW()/1000000,"")</f>
        <v/>
      </c>
    </row>
    <row r="121" customFormat="false" ht="15" hidden="false" customHeight="false" outlineLevel="0" collapsed="false">
      <c r="A121" s="12"/>
      <c r="B121" s="13"/>
      <c r="C121" s="13"/>
      <c r="D121" s="13"/>
      <c r="E121" s="13"/>
      <c r="F121" s="14"/>
      <c r="G121" s="15"/>
      <c r="H121" s="15"/>
      <c r="I121" s="15"/>
      <c r="J121" s="12"/>
      <c r="K121" s="16" t="str">
        <f aca="false">IF(A121="","",G121+H121)</f>
        <v/>
      </c>
      <c r="L121" s="16" t="str">
        <f aca="false">IF(A121="","",IF(F121="İade edildi",0,K121-I121))</f>
        <v/>
      </c>
      <c r="M121" s="17" t="str">
        <f aca="true">IF(A121="","",IF(J121&lt;&gt;"",J121-A121,TODAY()-A121))</f>
        <v/>
      </c>
      <c r="N121" s="18" t="str">
        <f aca="false">IF(A121="","",IF(AND(OR(F121="Bekliyor",F121="Parça bekleniyor",F121="Hazır"),M121&gt;7),"7 günü geçti",""))</f>
        <v/>
      </c>
      <c r="O121" s="18" t="str">
        <f aca="false">IF(AND(A121&lt;&gt;"",OR(F121="Bekliyor",F121="Parça bekleniyor",F121="Hazır")),A121+ROW()/1000000,"")</f>
        <v/>
      </c>
    </row>
    <row r="122" customFormat="false" ht="15" hidden="false" customHeight="false" outlineLevel="0" collapsed="false">
      <c r="A122" s="12"/>
      <c r="B122" s="13"/>
      <c r="C122" s="13"/>
      <c r="D122" s="13"/>
      <c r="E122" s="13"/>
      <c r="F122" s="14"/>
      <c r="G122" s="15"/>
      <c r="H122" s="15"/>
      <c r="I122" s="15"/>
      <c r="J122" s="12"/>
      <c r="K122" s="16" t="str">
        <f aca="false">IF(A122="","",G122+H122)</f>
        <v/>
      </c>
      <c r="L122" s="16" t="str">
        <f aca="false">IF(A122="","",IF(F122="İade edildi",0,K122-I122))</f>
        <v/>
      </c>
      <c r="M122" s="17" t="str">
        <f aca="true">IF(A122="","",IF(J122&lt;&gt;"",J122-A122,TODAY()-A122))</f>
        <v/>
      </c>
      <c r="N122" s="18" t="str">
        <f aca="false">IF(A122="","",IF(AND(OR(F122="Bekliyor",F122="Parça bekleniyor",F122="Hazır"),M122&gt;7),"7 günü geçti",""))</f>
        <v/>
      </c>
      <c r="O122" s="18" t="str">
        <f aca="false">IF(AND(A122&lt;&gt;"",OR(F122="Bekliyor",F122="Parça bekleniyor",F122="Hazır")),A122+ROW()/1000000,"")</f>
        <v/>
      </c>
    </row>
    <row r="123" customFormat="false" ht="15" hidden="false" customHeight="false" outlineLevel="0" collapsed="false">
      <c r="A123" s="12"/>
      <c r="B123" s="13"/>
      <c r="C123" s="13"/>
      <c r="D123" s="13"/>
      <c r="E123" s="13"/>
      <c r="F123" s="14"/>
      <c r="G123" s="15"/>
      <c r="H123" s="15"/>
      <c r="I123" s="15"/>
      <c r="J123" s="12"/>
      <c r="K123" s="16" t="str">
        <f aca="false">IF(A123="","",G123+H123)</f>
        <v/>
      </c>
      <c r="L123" s="16" t="str">
        <f aca="false">IF(A123="","",IF(F123="İade edildi",0,K123-I123))</f>
        <v/>
      </c>
      <c r="M123" s="17" t="str">
        <f aca="true">IF(A123="","",IF(J123&lt;&gt;"",J123-A123,TODAY()-A123))</f>
        <v/>
      </c>
      <c r="N123" s="18" t="str">
        <f aca="false">IF(A123="","",IF(AND(OR(F123="Bekliyor",F123="Parça bekleniyor",F123="Hazır"),M123&gt;7),"7 günü geçti",""))</f>
        <v/>
      </c>
      <c r="O123" s="18" t="str">
        <f aca="false">IF(AND(A123&lt;&gt;"",OR(F123="Bekliyor",F123="Parça bekleniyor",F123="Hazır")),A123+ROW()/1000000,"")</f>
        <v/>
      </c>
    </row>
    <row r="124" customFormat="false" ht="15" hidden="false" customHeight="false" outlineLevel="0" collapsed="false">
      <c r="A124" s="12"/>
      <c r="B124" s="13"/>
      <c r="C124" s="13"/>
      <c r="D124" s="13"/>
      <c r="E124" s="13"/>
      <c r="F124" s="14"/>
      <c r="G124" s="15"/>
      <c r="H124" s="15"/>
      <c r="I124" s="15"/>
      <c r="J124" s="12"/>
      <c r="K124" s="16" t="str">
        <f aca="false">IF(A124="","",G124+H124)</f>
        <v/>
      </c>
      <c r="L124" s="16" t="str">
        <f aca="false">IF(A124="","",IF(F124="İade edildi",0,K124-I124))</f>
        <v/>
      </c>
      <c r="M124" s="17" t="str">
        <f aca="true">IF(A124="","",IF(J124&lt;&gt;"",J124-A124,TODAY()-A124))</f>
        <v/>
      </c>
      <c r="N124" s="18" t="str">
        <f aca="false">IF(A124="","",IF(AND(OR(F124="Bekliyor",F124="Parça bekleniyor",F124="Hazır"),M124&gt;7),"7 günü geçti",""))</f>
        <v/>
      </c>
      <c r="O124" s="18" t="str">
        <f aca="false">IF(AND(A124&lt;&gt;"",OR(F124="Bekliyor",F124="Parça bekleniyor",F124="Hazır")),A124+ROW()/1000000,"")</f>
        <v/>
      </c>
    </row>
    <row r="125" customFormat="false" ht="15" hidden="false" customHeight="false" outlineLevel="0" collapsed="false">
      <c r="A125" s="12"/>
      <c r="B125" s="13"/>
      <c r="C125" s="13"/>
      <c r="D125" s="13"/>
      <c r="E125" s="13"/>
      <c r="F125" s="14"/>
      <c r="G125" s="15"/>
      <c r="H125" s="15"/>
      <c r="I125" s="15"/>
      <c r="J125" s="12"/>
      <c r="K125" s="16" t="str">
        <f aca="false">IF(A125="","",G125+H125)</f>
        <v/>
      </c>
      <c r="L125" s="16" t="str">
        <f aca="false">IF(A125="","",IF(F125="İade edildi",0,K125-I125))</f>
        <v/>
      </c>
      <c r="M125" s="17" t="str">
        <f aca="true">IF(A125="","",IF(J125&lt;&gt;"",J125-A125,TODAY()-A125))</f>
        <v/>
      </c>
      <c r="N125" s="18" t="str">
        <f aca="false">IF(A125="","",IF(AND(OR(F125="Bekliyor",F125="Parça bekleniyor",F125="Hazır"),M125&gt;7),"7 günü geçti",""))</f>
        <v/>
      </c>
      <c r="O125" s="18" t="str">
        <f aca="false">IF(AND(A125&lt;&gt;"",OR(F125="Bekliyor",F125="Parça bekleniyor",F125="Hazır")),A125+ROW()/1000000,"")</f>
        <v/>
      </c>
    </row>
    <row r="126" customFormat="false" ht="15" hidden="false" customHeight="false" outlineLevel="0" collapsed="false">
      <c r="A126" s="12"/>
      <c r="B126" s="13"/>
      <c r="C126" s="13"/>
      <c r="D126" s="13"/>
      <c r="E126" s="13"/>
      <c r="F126" s="14"/>
      <c r="G126" s="15"/>
      <c r="H126" s="15"/>
      <c r="I126" s="15"/>
      <c r="J126" s="12"/>
      <c r="K126" s="16" t="str">
        <f aca="false">IF(A126="","",G126+H126)</f>
        <v/>
      </c>
      <c r="L126" s="16" t="str">
        <f aca="false">IF(A126="","",IF(F126="İade edildi",0,K126-I126))</f>
        <v/>
      </c>
      <c r="M126" s="17" t="str">
        <f aca="true">IF(A126="","",IF(J126&lt;&gt;"",J126-A126,TODAY()-A126))</f>
        <v/>
      </c>
      <c r="N126" s="18" t="str">
        <f aca="false">IF(A126="","",IF(AND(OR(F126="Bekliyor",F126="Parça bekleniyor",F126="Hazır"),M126&gt;7),"7 günü geçti",""))</f>
        <v/>
      </c>
      <c r="O126" s="18" t="str">
        <f aca="false">IF(AND(A126&lt;&gt;"",OR(F126="Bekliyor",F126="Parça bekleniyor",F126="Hazır")),A126+ROW()/1000000,"")</f>
        <v/>
      </c>
    </row>
    <row r="127" customFormat="false" ht="15" hidden="false" customHeight="false" outlineLevel="0" collapsed="false">
      <c r="A127" s="12"/>
      <c r="B127" s="13"/>
      <c r="C127" s="13"/>
      <c r="D127" s="13"/>
      <c r="E127" s="13"/>
      <c r="F127" s="14"/>
      <c r="G127" s="15"/>
      <c r="H127" s="15"/>
      <c r="I127" s="15"/>
      <c r="J127" s="12"/>
      <c r="K127" s="16" t="str">
        <f aca="false">IF(A127="","",G127+H127)</f>
        <v/>
      </c>
      <c r="L127" s="16" t="str">
        <f aca="false">IF(A127="","",IF(F127="İade edildi",0,K127-I127))</f>
        <v/>
      </c>
      <c r="M127" s="17" t="str">
        <f aca="true">IF(A127="","",IF(J127&lt;&gt;"",J127-A127,TODAY()-A127))</f>
        <v/>
      </c>
      <c r="N127" s="18" t="str">
        <f aca="false">IF(A127="","",IF(AND(OR(F127="Bekliyor",F127="Parça bekleniyor",F127="Hazır"),M127&gt;7),"7 günü geçti",""))</f>
        <v/>
      </c>
      <c r="O127" s="18" t="str">
        <f aca="false">IF(AND(A127&lt;&gt;"",OR(F127="Bekliyor",F127="Parça bekleniyor",F127="Hazır")),A127+ROW()/1000000,"")</f>
        <v/>
      </c>
    </row>
    <row r="128" customFormat="false" ht="15" hidden="false" customHeight="false" outlineLevel="0" collapsed="false">
      <c r="A128" s="12"/>
      <c r="B128" s="13"/>
      <c r="C128" s="13"/>
      <c r="D128" s="13"/>
      <c r="E128" s="13"/>
      <c r="F128" s="14"/>
      <c r="G128" s="15"/>
      <c r="H128" s="15"/>
      <c r="I128" s="15"/>
      <c r="J128" s="12"/>
      <c r="K128" s="16" t="str">
        <f aca="false">IF(A128="","",G128+H128)</f>
        <v/>
      </c>
      <c r="L128" s="16" t="str">
        <f aca="false">IF(A128="","",IF(F128="İade edildi",0,K128-I128))</f>
        <v/>
      </c>
      <c r="M128" s="17" t="str">
        <f aca="true">IF(A128="","",IF(J128&lt;&gt;"",J128-A128,TODAY()-A128))</f>
        <v/>
      </c>
      <c r="N128" s="18" t="str">
        <f aca="false">IF(A128="","",IF(AND(OR(F128="Bekliyor",F128="Parça bekleniyor",F128="Hazır"),M128&gt;7),"7 günü geçti",""))</f>
        <v/>
      </c>
      <c r="O128" s="18" t="str">
        <f aca="false">IF(AND(A128&lt;&gt;"",OR(F128="Bekliyor",F128="Parça bekleniyor",F128="Hazır")),A128+ROW()/1000000,"")</f>
        <v/>
      </c>
    </row>
    <row r="129" customFormat="false" ht="15" hidden="false" customHeight="false" outlineLevel="0" collapsed="false">
      <c r="A129" s="12"/>
      <c r="B129" s="13"/>
      <c r="C129" s="13"/>
      <c r="D129" s="13"/>
      <c r="E129" s="13"/>
      <c r="F129" s="14"/>
      <c r="G129" s="15"/>
      <c r="H129" s="15"/>
      <c r="I129" s="15"/>
      <c r="J129" s="12"/>
      <c r="K129" s="16" t="str">
        <f aca="false">IF(A129="","",G129+H129)</f>
        <v/>
      </c>
      <c r="L129" s="16" t="str">
        <f aca="false">IF(A129="","",IF(F129="İade edildi",0,K129-I129))</f>
        <v/>
      </c>
      <c r="M129" s="17" t="str">
        <f aca="true">IF(A129="","",IF(J129&lt;&gt;"",J129-A129,TODAY()-A129))</f>
        <v/>
      </c>
      <c r="N129" s="18" t="str">
        <f aca="false">IF(A129="","",IF(AND(OR(F129="Bekliyor",F129="Parça bekleniyor",F129="Hazır"),M129&gt;7),"7 günü geçti",""))</f>
        <v/>
      </c>
      <c r="O129" s="18" t="str">
        <f aca="false">IF(AND(A129&lt;&gt;"",OR(F129="Bekliyor",F129="Parça bekleniyor",F129="Hazır")),A129+ROW()/1000000,"")</f>
        <v/>
      </c>
    </row>
    <row r="130" customFormat="false" ht="15" hidden="false" customHeight="false" outlineLevel="0" collapsed="false">
      <c r="A130" s="12"/>
      <c r="B130" s="13"/>
      <c r="C130" s="13"/>
      <c r="D130" s="13"/>
      <c r="E130" s="13"/>
      <c r="F130" s="14"/>
      <c r="G130" s="15"/>
      <c r="H130" s="15"/>
      <c r="I130" s="15"/>
      <c r="J130" s="12"/>
      <c r="K130" s="16" t="str">
        <f aca="false">IF(A130="","",G130+H130)</f>
        <v/>
      </c>
      <c r="L130" s="16" t="str">
        <f aca="false">IF(A130="","",IF(F130="İade edildi",0,K130-I130))</f>
        <v/>
      </c>
      <c r="M130" s="17" t="str">
        <f aca="true">IF(A130="","",IF(J130&lt;&gt;"",J130-A130,TODAY()-A130))</f>
        <v/>
      </c>
      <c r="N130" s="18" t="str">
        <f aca="false">IF(A130="","",IF(AND(OR(F130="Bekliyor",F130="Parça bekleniyor",F130="Hazır"),M130&gt;7),"7 günü geçti",""))</f>
        <v/>
      </c>
      <c r="O130" s="18" t="str">
        <f aca="false">IF(AND(A130&lt;&gt;"",OR(F130="Bekliyor",F130="Parça bekleniyor",F130="Hazır")),A130+ROW()/1000000,"")</f>
        <v/>
      </c>
    </row>
    <row r="131" customFormat="false" ht="15" hidden="false" customHeight="false" outlineLevel="0" collapsed="false">
      <c r="A131" s="12"/>
      <c r="B131" s="13"/>
      <c r="C131" s="13"/>
      <c r="D131" s="13"/>
      <c r="E131" s="13"/>
      <c r="F131" s="14"/>
      <c r="G131" s="15"/>
      <c r="H131" s="15"/>
      <c r="I131" s="15"/>
      <c r="J131" s="12"/>
      <c r="K131" s="16" t="str">
        <f aca="false">IF(A131="","",G131+H131)</f>
        <v/>
      </c>
      <c r="L131" s="16" t="str">
        <f aca="false">IF(A131="","",IF(F131="İade edildi",0,K131-I131))</f>
        <v/>
      </c>
      <c r="M131" s="17" t="str">
        <f aca="true">IF(A131="","",IF(J131&lt;&gt;"",J131-A131,TODAY()-A131))</f>
        <v/>
      </c>
      <c r="N131" s="18" t="str">
        <f aca="false">IF(A131="","",IF(AND(OR(F131="Bekliyor",F131="Parça bekleniyor",F131="Hazır"),M131&gt;7),"7 günü geçti",""))</f>
        <v/>
      </c>
      <c r="O131" s="18" t="str">
        <f aca="false">IF(AND(A131&lt;&gt;"",OR(F131="Bekliyor",F131="Parça bekleniyor",F131="Hazır")),A131+ROW()/1000000,"")</f>
        <v/>
      </c>
    </row>
    <row r="132" customFormat="false" ht="15" hidden="false" customHeight="false" outlineLevel="0" collapsed="false">
      <c r="A132" s="12"/>
      <c r="B132" s="13"/>
      <c r="C132" s="13"/>
      <c r="D132" s="13"/>
      <c r="E132" s="13"/>
      <c r="F132" s="14"/>
      <c r="G132" s="15"/>
      <c r="H132" s="15"/>
      <c r="I132" s="15"/>
      <c r="J132" s="12"/>
      <c r="K132" s="16" t="str">
        <f aca="false">IF(A132="","",G132+H132)</f>
        <v/>
      </c>
      <c r="L132" s="16" t="str">
        <f aca="false">IF(A132="","",IF(F132="İade edildi",0,K132-I132))</f>
        <v/>
      </c>
      <c r="M132" s="17" t="str">
        <f aca="true">IF(A132="","",IF(J132&lt;&gt;"",J132-A132,TODAY()-A132))</f>
        <v/>
      </c>
      <c r="N132" s="18" t="str">
        <f aca="false">IF(A132="","",IF(AND(OR(F132="Bekliyor",F132="Parça bekleniyor",F132="Hazır"),M132&gt;7),"7 günü geçti",""))</f>
        <v/>
      </c>
      <c r="O132" s="18" t="str">
        <f aca="false">IF(AND(A132&lt;&gt;"",OR(F132="Bekliyor",F132="Parça bekleniyor",F132="Hazır")),A132+ROW()/1000000,"")</f>
        <v/>
      </c>
    </row>
    <row r="133" customFormat="false" ht="15" hidden="false" customHeight="false" outlineLevel="0" collapsed="false">
      <c r="A133" s="12"/>
      <c r="B133" s="13"/>
      <c r="C133" s="13"/>
      <c r="D133" s="13"/>
      <c r="E133" s="13"/>
      <c r="F133" s="14"/>
      <c r="G133" s="15"/>
      <c r="H133" s="15"/>
      <c r="I133" s="15"/>
      <c r="J133" s="12"/>
      <c r="K133" s="16" t="str">
        <f aca="false">IF(A133="","",G133+H133)</f>
        <v/>
      </c>
      <c r="L133" s="16" t="str">
        <f aca="false">IF(A133="","",IF(F133="İade edildi",0,K133-I133))</f>
        <v/>
      </c>
      <c r="M133" s="17" t="str">
        <f aca="true">IF(A133="","",IF(J133&lt;&gt;"",J133-A133,TODAY()-A133))</f>
        <v/>
      </c>
      <c r="N133" s="18" t="str">
        <f aca="false">IF(A133="","",IF(AND(OR(F133="Bekliyor",F133="Parça bekleniyor",F133="Hazır"),M133&gt;7),"7 günü geçti",""))</f>
        <v/>
      </c>
      <c r="O133" s="18" t="str">
        <f aca="false">IF(AND(A133&lt;&gt;"",OR(F133="Bekliyor",F133="Parça bekleniyor",F133="Hazır")),A133+ROW()/1000000,"")</f>
        <v/>
      </c>
    </row>
    <row r="134" customFormat="false" ht="15" hidden="false" customHeight="false" outlineLevel="0" collapsed="false">
      <c r="A134" s="12"/>
      <c r="B134" s="13"/>
      <c r="C134" s="13"/>
      <c r="D134" s="13"/>
      <c r="E134" s="13"/>
      <c r="F134" s="14"/>
      <c r="G134" s="15"/>
      <c r="H134" s="15"/>
      <c r="I134" s="15"/>
      <c r="J134" s="12"/>
      <c r="K134" s="16" t="str">
        <f aca="false">IF(A134="","",G134+H134)</f>
        <v/>
      </c>
      <c r="L134" s="16" t="str">
        <f aca="false">IF(A134="","",IF(F134="İade edildi",0,K134-I134))</f>
        <v/>
      </c>
      <c r="M134" s="17" t="str">
        <f aca="true">IF(A134="","",IF(J134&lt;&gt;"",J134-A134,TODAY()-A134))</f>
        <v/>
      </c>
      <c r="N134" s="18" t="str">
        <f aca="false">IF(A134="","",IF(AND(OR(F134="Bekliyor",F134="Parça bekleniyor",F134="Hazır"),M134&gt;7),"7 günü geçti",""))</f>
        <v/>
      </c>
      <c r="O134" s="18" t="str">
        <f aca="false">IF(AND(A134&lt;&gt;"",OR(F134="Bekliyor",F134="Parça bekleniyor",F134="Hazır")),A134+ROW()/1000000,"")</f>
        <v/>
      </c>
    </row>
    <row r="135" customFormat="false" ht="15" hidden="false" customHeight="false" outlineLevel="0" collapsed="false">
      <c r="A135" s="12"/>
      <c r="B135" s="13"/>
      <c r="C135" s="13"/>
      <c r="D135" s="13"/>
      <c r="E135" s="13"/>
      <c r="F135" s="14"/>
      <c r="G135" s="15"/>
      <c r="H135" s="15"/>
      <c r="I135" s="15"/>
      <c r="J135" s="12"/>
      <c r="K135" s="16" t="str">
        <f aca="false">IF(A135="","",G135+H135)</f>
        <v/>
      </c>
      <c r="L135" s="16" t="str">
        <f aca="false">IF(A135="","",IF(F135="İade edildi",0,K135-I135))</f>
        <v/>
      </c>
      <c r="M135" s="17" t="str">
        <f aca="true">IF(A135="","",IF(J135&lt;&gt;"",J135-A135,TODAY()-A135))</f>
        <v/>
      </c>
      <c r="N135" s="18" t="str">
        <f aca="false">IF(A135="","",IF(AND(OR(F135="Bekliyor",F135="Parça bekleniyor",F135="Hazır"),M135&gt;7),"7 günü geçti",""))</f>
        <v/>
      </c>
      <c r="O135" s="18" t="str">
        <f aca="false">IF(AND(A135&lt;&gt;"",OR(F135="Bekliyor",F135="Parça bekleniyor",F135="Hazır")),A135+ROW()/1000000,"")</f>
        <v/>
      </c>
    </row>
    <row r="136" customFormat="false" ht="15" hidden="false" customHeight="false" outlineLevel="0" collapsed="false">
      <c r="A136" s="12"/>
      <c r="B136" s="13"/>
      <c r="C136" s="13"/>
      <c r="D136" s="13"/>
      <c r="E136" s="13"/>
      <c r="F136" s="14"/>
      <c r="G136" s="15"/>
      <c r="H136" s="15"/>
      <c r="I136" s="15"/>
      <c r="J136" s="12"/>
      <c r="K136" s="16" t="str">
        <f aca="false">IF(A136="","",G136+H136)</f>
        <v/>
      </c>
      <c r="L136" s="16" t="str">
        <f aca="false">IF(A136="","",IF(F136="İade edildi",0,K136-I136))</f>
        <v/>
      </c>
      <c r="M136" s="17" t="str">
        <f aca="true">IF(A136="","",IF(J136&lt;&gt;"",J136-A136,TODAY()-A136))</f>
        <v/>
      </c>
      <c r="N136" s="18" t="str">
        <f aca="false">IF(A136="","",IF(AND(OR(F136="Bekliyor",F136="Parça bekleniyor",F136="Hazır"),M136&gt;7),"7 günü geçti",""))</f>
        <v/>
      </c>
      <c r="O136" s="18" t="str">
        <f aca="false">IF(AND(A136&lt;&gt;"",OR(F136="Bekliyor",F136="Parça bekleniyor",F136="Hazır")),A136+ROW()/1000000,"")</f>
        <v/>
      </c>
    </row>
    <row r="137" customFormat="false" ht="15" hidden="false" customHeight="false" outlineLevel="0" collapsed="false">
      <c r="A137" s="12"/>
      <c r="B137" s="13"/>
      <c r="C137" s="13"/>
      <c r="D137" s="13"/>
      <c r="E137" s="13"/>
      <c r="F137" s="14"/>
      <c r="G137" s="15"/>
      <c r="H137" s="15"/>
      <c r="I137" s="15"/>
      <c r="J137" s="12"/>
      <c r="K137" s="16" t="str">
        <f aca="false">IF(A137="","",G137+H137)</f>
        <v/>
      </c>
      <c r="L137" s="16" t="str">
        <f aca="false">IF(A137="","",IF(F137="İade edildi",0,K137-I137))</f>
        <v/>
      </c>
      <c r="M137" s="17" t="str">
        <f aca="true">IF(A137="","",IF(J137&lt;&gt;"",J137-A137,TODAY()-A137))</f>
        <v/>
      </c>
      <c r="N137" s="18" t="str">
        <f aca="false">IF(A137="","",IF(AND(OR(F137="Bekliyor",F137="Parça bekleniyor",F137="Hazır"),M137&gt;7),"7 günü geçti",""))</f>
        <v/>
      </c>
      <c r="O137" s="18" t="str">
        <f aca="false">IF(AND(A137&lt;&gt;"",OR(F137="Bekliyor",F137="Parça bekleniyor",F137="Hazır")),A137+ROW()/1000000,"")</f>
        <v/>
      </c>
    </row>
    <row r="138" customFormat="false" ht="15" hidden="false" customHeight="false" outlineLevel="0" collapsed="false">
      <c r="A138" s="12"/>
      <c r="B138" s="13"/>
      <c r="C138" s="13"/>
      <c r="D138" s="13"/>
      <c r="E138" s="13"/>
      <c r="F138" s="14"/>
      <c r="G138" s="15"/>
      <c r="H138" s="15"/>
      <c r="I138" s="15"/>
      <c r="J138" s="12"/>
      <c r="K138" s="16" t="str">
        <f aca="false">IF(A138="","",G138+H138)</f>
        <v/>
      </c>
      <c r="L138" s="16" t="str">
        <f aca="false">IF(A138="","",IF(F138="İade edildi",0,K138-I138))</f>
        <v/>
      </c>
      <c r="M138" s="17" t="str">
        <f aca="true">IF(A138="","",IF(J138&lt;&gt;"",J138-A138,TODAY()-A138))</f>
        <v/>
      </c>
      <c r="N138" s="18" t="str">
        <f aca="false">IF(A138="","",IF(AND(OR(F138="Bekliyor",F138="Parça bekleniyor",F138="Hazır"),M138&gt;7),"7 günü geçti",""))</f>
        <v/>
      </c>
      <c r="O138" s="18" t="str">
        <f aca="false">IF(AND(A138&lt;&gt;"",OR(F138="Bekliyor",F138="Parça bekleniyor",F138="Hazır")),A138+ROW()/1000000,"")</f>
        <v/>
      </c>
    </row>
    <row r="139" customFormat="false" ht="15" hidden="false" customHeight="false" outlineLevel="0" collapsed="false">
      <c r="A139" s="12"/>
      <c r="B139" s="13"/>
      <c r="C139" s="13"/>
      <c r="D139" s="13"/>
      <c r="E139" s="13"/>
      <c r="F139" s="14"/>
      <c r="G139" s="15"/>
      <c r="H139" s="15"/>
      <c r="I139" s="15"/>
      <c r="J139" s="12"/>
      <c r="K139" s="16" t="str">
        <f aca="false">IF(A139="","",G139+H139)</f>
        <v/>
      </c>
      <c r="L139" s="16" t="str">
        <f aca="false">IF(A139="","",IF(F139="İade edildi",0,K139-I139))</f>
        <v/>
      </c>
      <c r="M139" s="17" t="str">
        <f aca="true">IF(A139="","",IF(J139&lt;&gt;"",J139-A139,TODAY()-A139))</f>
        <v/>
      </c>
      <c r="N139" s="18" t="str">
        <f aca="false">IF(A139="","",IF(AND(OR(F139="Bekliyor",F139="Parça bekleniyor",F139="Hazır"),M139&gt;7),"7 günü geçti",""))</f>
        <v/>
      </c>
      <c r="O139" s="18" t="str">
        <f aca="false">IF(AND(A139&lt;&gt;"",OR(F139="Bekliyor",F139="Parça bekleniyor",F139="Hazır")),A139+ROW()/1000000,"")</f>
        <v/>
      </c>
    </row>
    <row r="140" customFormat="false" ht="15" hidden="false" customHeight="false" outlineLevel="0" collapsed="false">
      <c r="A140" s="12"/>
      <c r="B140" s="13"/>
      <c r="C140" s="13"/>
      <c r="D140" s="13"/>
      <c r="E140" s="13"/>
      <c r="F140" s="14"/>
      <c r="G140" s="15"/>
      <c r="H140" s="15"/>
      <c r="I140" s="15"/>
      <c r="J140" s="12"/>
      <c r="K140" s="16" t="str">
        <f aca="false">IF(A140="","",G140+H140)</f>
        <v/>
      </c>
      <c r="L140" s="16" t="str">
        <f aca="false">IF(A140="","",IF(F140="İade edildi",0,K140-I140))</f>
        <v/>
      </c>
      <c r="M140" s="17" t="str">
        <f aca="true">IF(A140="","",IF(J140&lt;&gt;"",J140-A140,TODAY()-A140))</f>
        <v/>
      </c>
      <c r="N140" s="18" t="str">
        <f aca="false">IF(A140="","",IF(AND(OR(F140="Bekliyor",F140="Parça bekleniyor",F140="Hazır"),M140&gt;7),"7 günü geçti",""))</f>
        <v/>
      </c>
      <c r="O140" s="18" t="str">
        <f aca="false">IF(AND(A140&lt;&gt;"",OR(F140="Bekliyor",F140="Parça bekleniyor",F140="Hazır")),A140+ROW()/1000000,"")</f>
        <v/>
      </c>
    </row>
    <row r="141" customFormat="false" ht="15" hidden="false" customHeight="false" outlineLevel="0" collapsed="false">
      <c r="A141" s="12"/>
      <c r="B141" s="13"/>
      <c r="C141" s="13"/>
      <c r="D141" s="13"/>
      <c r="E141" s="13"/>
      <c r="F141" s="14"/>
      <c r="G141" s="15"/>
      <c r="H141" s="15"/>
      <c r="I141" s="15"/>
      <c r="J141" s="12"/>
      <c r="K141" s="16" t="str">
        <f aca="false">IF(A141="","",G141+H141)</f>
        <v/>
      </c>
      <c r="L141" s="16" t="str">
        <f aca="false">IF(A141="","",IF(F141="İade edildi",0,K141-I141))</f>
        <v/>
      </c>
      <c r="M141" s="17" t="str">
        <f aca="true">IF(A141="","",IF(J141&lt;&gt;"",J141-A141,TODAY()-A141))</f>
        <v/>
      </c>
      <c r="N141" s="18" t="str">
        <f aca="false">IF(A141="","",IF(AND(OR(F141="Bekliyor",F141="Parça bekleniyor",F141="Hazır"),M141&gt;7),"7 günü geçti",""))</f>
        <v/>
      </c>
      <c r="O141" s="18" t="str">
        <f aca="false">IF(AND(A141&lt;&gt;"",OR(F141="Bekliyor",F141="Parça bekleniyor",F141="Hazır")),A141+ROW()/1000000,"")</f>
        <v/>
      </c>
    </row>
    <row r="142" customFormat="false" ht="15" hidden="false" customHeight="false" outlineLevel="0" collapsed="false">
      <c r="A142" s="12"/>
      <c r="B142" s="13"/>
      <c r="C142" s="13"/>
      <c r="D142" s="13"/>
      <c r="E142" s="13"/>
      <c r="F142" s="14"/>
      <c r="G142" s="15"/>
      <c r="H142" s="15"/>
      <c r="I142" s="15"/>
      <c r="J142" s="12"/>
      <c r="K142" s="16" t="str">
        <f aca="false">IF(A142="","",G142+H142)</f>
        <v/>
      </c>
      <c r="L142" s="16" t="str">
        <f aca="false">IF(A142="","",IF(F142="İade edildi",0,K142-I142))</f>
        <v/>
      </c>
      <c r="M142" s="17" t="str">
        <f aca="true">IF(A142="","",IF(J142&lt;&gt;"",J142-A142,TODAY()-A142))</f>
        <v/>
      </c>
      <c r="N142" s="18" t="str">
        <f aca="false">IF(A142="","",IF(AND(OR(F142="Bekliyor",F142="Parça bekleniyor",F142="Hazır"),M142&gt;7),"7 günü geçti",""))</f>
        <v/>
      </c>
      <c r="O142" s="18" t="str">
        <f aca="false">IF(AND(A142&lt;&gt;"",OR(F142="Bekliyor",F142="Parça bekleniyor",F142="Hazır")),A142+ROW()/1000000,"")</f>
        <v/>
      </c>
    </row>
    <row r="143" customFormat="false" ht="15" hidden="false" customHeight="false" outlineLevel="0" collapsed="false">
      <c r="A143" s="12"/>
      <c r="B143" s="13"/>
      <c r="C143" s="13"/>
      <c r="D143" s="13"/>
      <c r="E143" s="13"/>
      <c r="F143" s="14"/>
      <c r="G143" s="15"/>
      <c r="H143" s="15"/>
      <c r="I143" s="15"/>
      <c r="J143" s="12"/>
      <c r="K143" s="16" t="str">
        <f aca="false">IF(A143="","",G143+H143)</f>
        <v/>
      </c>
      <c r="L143" s="16" t="str">
        <f aca="false">IF(A143="","",IF(F143="İade edildi",0,K143-I143))</f>
        <v/>
      </c>
      <c r="M143" s="17" t="str">
        <f aca="true">IF(A143="","",IF(J143&lt;&gt;"",J143-A143,TODAY()-A143))</f>
        <v/>
      </c>
      <c r="N143" s="18" t="str">
        <f aca="false">IF(A143="","",IF(AND(OR(F143="Bekliyor",F143="Parça bekleniyor",F143="Hazır"),M143&gt;7),"7 günü geçti",""))</f>
        <v/>
      </c>
      <c r="O143" s="18" t="str">
        <f aca="false">IF(AND(A143&lt;&gt;"",OR(F143="Bekliyor",F143="Parça bekleniyor",F143="Hazır")),A143+ROW()/1000000,"")</f>
        <v/>
      </c>
    </row>
    <row r="144" customFormat="false" ht="15" hidden="false" customHeight="false" outlineLevel="0" collapsed="false">
      <c r="A144" s="12"/>
      <c r="B144" s="13"/>
      <c r="C144" s="13"/>
      <c r="D144" s="13"/>
      <c r="E144" s="13"/>
      <c r="F144" s="14"/>
      <c r="G144" s="15"/>
      <c r="H144" s="15"/>
      <c r="I144" s="15"/>
      <c r="J144" s="12"/>
      <c r="K144" s="16" t="str">
        <f aca="false">IF(A144="","",G144+H144)</f>
        <v/>
      </c>
      <c r="L144" s="16" t="str">
        <f aca="false">IF(A144="","",IF(F144="İade edildi",0,K144-I144))</f>
        <v/>
      </c>
      <c r="M144" s="17" t="str">
        <f aca="true">IF(A144="","",IF(J144&lt;&gt;"",J144-A144,TODAY()-A144))</f>
        <v/>
      </c>
      <c r="N144" s="18" t="str">
        <f aca="false">IF(A144="","",IF(AND(OR(F144="Bekliyor",F144="Parça bekleniyor",F144="Hazır"),M144&gt;7),"7 günü geçti",""))</f>
        <v/>
      </c>
      <c r="O144" s="18" t="str">
        <f aca="false">IF(AND(A144&lt;&gt;"",OR(F144="Bekliyor",F144="Parça bekleniyor",F144="Hazır")),A144+ROW()/1000000,"")</f>
        <v/>
      </c>
    </row>
    <row r="145" customFormat="false" ht="15" hidden="false" customHeight="false" outlineLevel="0" collapsed="false">
      <c r="A145" s="12"/>
      <c r="B145" s="13"/>
      <c r="C145" s="13"/>
      <c r="D145" s="13"/>
      <c r="E145" s="13"/>
      <c r="F145" s="14"/>
      <c r="G145" s="15"/>
      <c r="H145" s="15"/>
      <c r="I145" s="15"/>
      <c r="J145" s="12"/>
      <c r="K145" s="16" t="str">
        <f aca="false">IF(A145="","",G145+H145)</f>
        <v/>
      </c>
      <c r="L145" s="16" t="str">
        <f aca="false">IF(A145="","",IF(F145="İade edildi",0,K145-I145))</f>
        <v/>
      </c>
      <c r="M145" s="17" t="str">
        <f aca="true">IF(A145="","",IF(J145&lt;&gt;"",J145-A145,TODAY()-A145))</f>
        <v/>
      </c>
      <c r="N145" s="18" t="str">
        <f aca="false">IF(A145="","",IF(AND(OR(F145="Bekliyor",F145="Parça bekleniyor",F145="Hazır"),M145&gt;7),"7 günü geçti",""))</f>
        <v/>
      </c>
      <c r="O145" s="18" t="str">
        <f aca="false">IF(AND(A145&lt;&gt;"",OR(F145="Bekliyor",F145="Parça bekleniyor",F145="Hazır")),A145+ROW()/1000000,"")</f>
        <v/>
      </c>
    </row>
    <row r="146" customFormat="false" ht="15" hidden="false" customHeight="false" outlineLevel="0" collapsed="false">
      <c r="A146" s="12"/>
      <c r="B146" s="13"/>
      <c r="C146" s="13"/>
      <c r="D146" s="13"/>
      <c r="E146" s="13"/>
      <c r="F146" s="14"/>
      <c r="G146" s="15"/>
      <c r="H146" s="15"/>
      <c r="I146" s="15"/>
      <c r="J146" s="12"/>
      <c r="K146" s="16" t="str">
        <f aca="false">IF(A146="","",G146+H146)</f>
        <v/>
      </c>
      <c r="L146" s="16" t="str">
        <f aca="false">IF(A146="","",IF(F146="İade edildi",0,K146-I146))</f>
        <v/>
      </c>
      <c r="M146" s="17" t="str">
        <f aca="true">IF(A146="","",IF(J146&lt;&gt;"",J146-A146,TODAY()-A146))</f>
        <v/>
      </c>
      <c r="N146" s="18" t="str">
        <f aca="false">IF(A146="","",IF(AND(OR(F146="Bekliyor",F146="Parça bekleniyor",F146="Hazır"),M146&gt;7),"7 günü geçti",""))</f>
        <v/>
      </c>
      <c r="O146" s="18" t="str">
        <f aca="false">IF(AND(A146&lt;&gt;"",OR(F146="Bekliyor",F146="Parça bekleniyor",F146="Hazır")),A146+ROW()/1000000,"")</f>
        <v/>
      </c>
    </row>
    <row r="147" customFormat="false" ht="15" hidden="false" customHeight="false" outlineLevel="0" collapsed="false">
      <c r="A147" s="12"/>
      <c r="B147" s="13"/>
      <c r="C147" s="13"/>
      <c r="D147" s="13"/>
      <c r="E147" s="13"/>
      <c r="F147" s="14"/>
      <c r="G147" s="15"/>
      <c r="H147" s="15"/>
      <c r="I147" s="15"/>
      <c r="J147" s="12"/>
      <c r="K147" s="16" t="str">
        <f aca="false">IF(A147="","",G147+H147)</f>
        <v/>
      </c>
      <c r="L147" s="16" t="str">
        <f aca="false">IF(A147="","",IF(F147="İade edildi",0,K147-I147))</f>
        <v/>
      </c>
      <c r="M147" s="17" t="str">
        <f aca="true">IF(A147="","",IF(J147&lt;&gt;"",J147-A147,TODAY()-A147))</f>
        <v/>
      </c>
      <c r="N147" s="18" t="str">
        <f aca="false">IF(A147="","",IF(AND(OR(F147="Bekliyor",F147="Parça bekleniyor",F147="Hazır"),M147&gt;7),"7 günü geçti",""))</f>
        <v/>
      </c>
      <c r="O147" s="18" t="str">
        <f aca="false">IF(AND(A147&lt;&gt;"",OR(F147="Bekliyor",F147="Parça bekleniyor",F147="Hazır")),A147+ROW()/1000000,"")</f>
        <v/>
      </c>
    </row>
    <row r="148" customFormat="false" ht="15" hidden="false" customHeight="false" outlineLevel="0" collapsed="false">
      <c r="A148" s="12"/>
      <c r="B148" s="13"/>
      <c r="C148" s="13"/>
      <c r="D148" s="13"/>
      <c r="E148" s="13"/>
      <c r="F148" s="14"/>
      <c r="G148" s="15"/>
      <c r="H148" s="15"/>
      <c r="I148" s="15"/>
      <c r="J148" s="12"/>
      <c r="K148" s="16" t="str">
        <f aca="false">IF(A148="","",G148+H148)</f>
        <v/>
      </c>
      <c r="L148" s="16" t="str">
        <f aca="false">IF(A148="","",IF(F148="İade edildi",0,K148-I148))</f>
        <v/>
      </c>
      <c r="M148" s="17" t="str">
        <f aca="true">IF(A148="","",IF(J148&lt;&gt;"",J148-A148,TODAY()-A148))</f>
        <v/>
      </c>
      <c r="N148" s="18" t="str">
        <f aca="false">IF(A148="","",IF(AND(OR(F148="Bekliyor",F148="Parça bekleniyor",F148="Hazır"),M148&gt;7),"7 günü geçti",""))</f>
        <v/>
      </c>
      <c r="O148" s="18" t="str">
        <f aca="false">IF(AND(A148&lt;&gt;"",OR(F148="Bekliyor",F148="Parça bekleniyor",F148="Hazır")),A148+ROW()/1000000,"")</f>
        <v/>
      </c>
    </row>
    <row r="149" customFormat="false" ht="15" hidden="false" customHeight="false" outlineLevel="0" collapsed="false">
      <c r="A149" s="12"/>
      <c r="B149" s="13"/>
      <c r="C149" s="13"/>
      <c r="D149" s="13"/>
      <c r="E149" s="13"/>
      <c r="F149" s="14"/>
      <c r="G149" s="15"/>
      <c r="H149" s="15"/>
      <c r="I149" s="15"/>
      <c r="J149" s="12"/>
      <c r="K149" s="16" t="str">
        <f aca="false">IF(A149="","",G149+H149)</f>
        <v/>
      </c>
      <c r="L149" s="16" t="str">
        <f aca="false">IF(A149="","",IF(F149="İade edildi",0,K149-I149))</f>
        <v/>
      </c>
      <c r="M149" s="17" t="str">
        <f aca="true">IF(A149="","",IF(J149&lt;&gt;"",J149-A149,TODAY()-A149))</f>
        <v/>
      </c>
      <c r="N149" s="18" t="str">
        <f aca="false">IF(A149="","",IF(AND(OR(F149="Bekliyor",F149="Parça bekleniyor",F149="Hazır"),M149&gt;7),"7 günü geçti",""))</f>
        <v/>
      </c>
      <c r="O149" s="18" t="str">
        <f aca="false">IF(AND(A149&lt;&gt;"",OR(F149="Bekliyor",F149="Parça bekleniyor",F149="Hazır")),A149+ROW()/1000000,"")</f>
        <v/>
      </c>
    </row>
    <row r="150" customFormat="false" ht="15" hidden="false" customHeight="false" outlineLevel="0" collapsed="false">
      <c r="A150" s="12"/>
      <c r="B150" s="13"/>
      <c r="C150" s="13"/>
      <c r="D150" s="13"/>
      <c r="E150" s="13"/>
      <c r="F150" s="14"/>
      <c r="G150" s="15"/>
      <c r="H150" s="15"/>
      <c r="I150" s="15"/>
      <c r="J150" s="12"/>
      <c r="K150" s="16" t="str">
        <f aca="false">IF(A150="","",G150+H150)</f>
        <v/>
      </c>
      <c r="L150" s="16" t="str">
        <f aca="false">IF(A150="","",IF(F150="İade edildi",0,K150-I150))</f>
        <v/>
      </c>
      <c r="M150" s="17" t="str">
        <f aca="true">IF(A150="","",IF(J150&lt;&gt;"",J150-A150,TODAY()-A150))</f>
        <v/>
      </c>
      <c r="N150" s="18" t="str">
        <f aca="false">IF(A150="","",IF(AND(OR(F150="Bekliyor",F150="Parça bekleniyor",F150="Hazır"),M150&gt;7),"7 günü geçti",""))</f>
        <v/>
      </c>
      <c r="O150" s="18" t="str">
        <f aca="false">IF(AND(A150&lt;&gt;"",OR(F150="Bekliyor",F150="Parça bekleniyor",F150="Hazır")),A150+ROW()/1000000,"")</f>
        <v/>
      </c>
    </row>
    <row r="151" customFormat="false" ht="15" hidden="false" customHeight="false" outlineLevel="0" collapsed="false">
      <c r="A151" s="12"/>
      <c r="B151" s="13"/>
      <c r="C151" s="13"/>
      <c r="D151" s="13"/>
      <c r="E151" s="13"/>
      <c r="F151" s="14"/>
      <c r="G151" s="15"/>
      <c r="H151" s="15"/>
      <c r="I151" s="15"/>
      <c r="J151" s="12"/>
      <c r="K151" s="16" t="str">
        <f aca="false">IF(A151="","",G151+H151)</f>
        <v/>
      </c>
      <c r="L151" s="16" t="str">
        <f aca="false">IF(A151="","",IF(F151="İade edildi",0,K151-I151))</f>
        <v/>
      </c>
      <c r="M151" s="17" t="str">
        <f aca="true">IF(A151="","",IF(J151&lt;&gt;"",J151-A151,TODAY()-A151))</f>
        <v/>
      </c>
      <c r="N151" s="18" t="str">
        <f aca="false">IF(A151="","",IF(AND(OR(F151="Bekliyor",F151="Parça bekleniyor",F151="Hazır"),M151&gt;7),"7 günü geçti",""))</f>
        <v/>
      </c>
      <c r="O151" s="18" t="str">
        <f aca="false">IF(AND(A151&lt;&gt;"",OR(F151="Bekliyor",F151="Parça bekleniyor",F151="Hazır")),A151+ROW()/1000000,"")</f>
        <v/>
      </c>
    </row>
    <row r="152" customFormat="false" ht="15" hidden="false" customHeight="false" outlineLevel="0" collapsed="false">
      <c r="A152" s="12"/>
      <c r="B152" s="13"/>
      <c r="C152" s="13"/>
      <c r="D152" s="13"/>
      <c r="E152" s="13"/>
      <c r="F152" s="14"/>
      <c r="G152" s="15"/>
      <c r="H152" s="15"/>
      <c r="I152" s="15"/>
      <c r="J152" s="12"/>
      <c r="K152" s="16" t="str">
        <f aca="false">IF(A152="","",G152+H152)</f>
        <v/>
      </c>
      <c r="L152" s="16" t="str">
        <f aca="false">IF(A152="","",IF(F152="İade edildi",0,K152-I152))</f>
        <v/>
      </c>
      <c r="M152" s="17" t="str">
        <f aca="true">IF(A152="","",IF(J152&lt;&gt;"",J152-A152,TODAY()-A152))</f>
        <v/>
      </c>
      <c r="N152" s="18" t="str">
        <f aca="false">IF(A152="","",IF(AND(OR(F152="Bekliyor",F152="Parça bekleniyor",F152="Hazır"),M152&gt;7),"7 günü geçti",""))</f>
        <v/>
      </c>
      <c r="O152" s="18" t="str">
        <f aca="false">IF(AND(A152&lt;&gt;"",OR(F152="Bekliyor",F152="Parça bekleniyor",F152="Hazır")),A152+ROW()/1000000,"")</f>
        <v/>
      </c>
    </row>
    <row r="153" customFormat="false" ht="15" hidden="false" customHeight="false" outlineLevel="0" collapsed="false">
      <c r="A153" s="12"/>
      <c r="B153" s="13"/>
      <c r="C153" s="13"/>
      <c r="D153" s="13"/>
      <c r="E153" s="13"/>
      <c r="F153" s="14"/>
      <c r="G153" s="15"/>
      <c r="H153" s="15"/>
      <c r="I153" s="15"/>
      <c r="J153" s="12"/>
      <c r="K153" s="16" t="str">
        <f aca="false">IF(A153="","",G153+H153)</f>
        <v/>
      </c>
      <c r="L153" s="16" t="str">
        <f aca="false">IF(A153="","",IF(F153="İade edildi",0,K153-I153))</f>
        <v/>
      </c>
      <c r="M153" s="17" t="str">
        <f aca="true">IF(A153="","",IF(J153&lt;&gt;"",J153-A153,TODAY()-A153))</f>
        <v/>
      </c>
      <c r="N153" s="18" t="str">
        <f aca="false">IF(A153="","",IF(AND(OR(F153="Bekliyor",F153="Parça bekleniyor",F153="Hazır"),M153&gt;7),"7 günü geçti",""))</f>
        <v/>
      </c>
      <c r="O153" s="18" t="str">
        <f aca="false">IF(AND(A153&lt;&gt;"",OR(F153="Bekliyor",F153="Parça bekleniyor",F153="Hazır")),A153+ROW()/1000000,"")</f>
        <v/>
      </c>
    </row>
    <row r="154" customFormat="false" ht="15" hidden="false" customHeight="false" outlineLevel="0" collapsed="false">
      <c r="A154" s="12"/>
      <c r="B154" s="13"/>
      <c r="C154" s="13"/>
      <c r="D154" s="13"/>
      <c r="E154" s="13"/>
      <c r="F154" s="14"/>
      <c r="G154" s="15"/>
      <c r="H154" s="15"/>
      <c r="I154" s="15"/>
      <c r="J154" s="12"/>
      <c r="K154" s="16" t="str">
        <f aca="false">IF(A154="","",G154+H154)</f>
        <v/>
      </c>
      <c r="L154" s="16" t="str">
        <f aca="false">IF(A154="","",IF(F154="İade edildi",0,K154-I154))</f>
        <v/>
      </c>
      <c r="M154" s="17" t="str">
        <f aca="true">IF(A154="","",IF(J154&lt;&gt;"",J154-A154,TODAY()-A154))</f>
        <v/>
      </c>
      <c r="N154" s="18" t="str">
        <f aca="false">IF(A154="","",IF(AND(OR(F154="Bekliyor",F154="Parça bekleniyor",F154="Hazır"),M154&gt;7),"7 günü geçti",""))</f>
        <v/>
      </c>
      <c r="O154" s="18" t="str">
        <f aca="false">IF(AND(A154&lt;&gt;"",OR(F154="Bekliyor",F154="Parça bekleniyor",F154="Hazır")),A154+ROW()/1000000,"")</f>
        <v/>
      </c>
    </row>
    <row r="155" customFormat="false" ht="15" hidden="false" customHeight="false" outlineLevel="0" collapsed="false">
      <c r="A155" s="12"/>
      <c r="B155" s="13"/>
      <c r="C155" s="13"/>
      <c r="D155" s="13"/>
      <c r="E155" s="13"/>
      <c r="F155" s="14"/>
      <c r="G155" s="15"/>
      <c r="H155" s="15"/>
      <c r="I155" s="15"/>
      <c r="J155" s="12"/>
      <c r="K155" s="16" t="str">
        <f aca="false">IF(A155="","",G155+H155)</f>
        <v/>
      </c>
      <c r="L155" s="16" t="str">
        <f aca="false">IF(A155="","",IF(F155="İade edildi",0,K155-I155))</f>
        <v/>
      </c>
      <c r="M155" s="17" t="str">
        <f aca="true">IF(A155="","",IF(J155&lt;&gt;"",J155-A155,TODAY()-A155))</f>
        <v/>
      </c>
      <c r="N155" s="18" t="str">
        <f aca="false">IF(A155="","",IF(AND(OR(F155="Bekliyor",F155="Parça bekleniyor",F155="Hazır"),M155&gt;7),"7 günü geçti",""))</f>
        <v/>
      </c>
      <c r="O155" s="18" t="str">
        <f aca="false">IF(AND(A155&lt;&gt;"",OR(F155="Bekliyor",F155="Parça bekleniyor",F155="Hazır")),A155+ROW()/1000000,"")</f>
        <v/>
      </c>
    </row>
    <row r="156" customFormat="false" ht="15" hidden="false" customHeight="false" outlineLevel="0" collapsed="false">
      <c r="A156" s="12"/>
      <c r="B156" s="13"/>
      <c r="C156" s="13"/>
      <c r="D156" s="13"/>
      <c r="E156" s="13"/>
      <c r="F156" s="14"/>
      <c r="G156" s="15"/>
      <c r="H156" s="15"/>
      <c r="I156" s="15"/>
      <c r="J156" s="12"/>
      <c r="K156" s="16" t="str">
        <f aca="false">IF(A156="","",G156+H156)</f>
        <v/>
      </c>
      <c r="L156" s="16" t="str">
        <f aca="false">IF(A156="","",IF(F156="İade edildi",0,K156-I156))</f>
        <v/>
      </c>
      <c r="M156" s="17" t="str">
        <f aca="true">IF(A156="","",IF(J156&lt;&gt;"",J156-A156,TODAY()-A156))</f>
        <v/>
      </c>
      <c r="N156" s="18" t="str">
        <f aca="false">IF(A156="","",IF(AND(OR(F156="Bekliyor",F156="Parça bekleniyor",F156="Hazır"),M156&gt;7),"7 günü geçti",""))</f>
        <v/>
      </c>
      <c r="O156" s="18" t="str">
        <f aca="false">IF(AND(A156&lt;&gt;"",OR(F156="Bekliyor",F156="Parça bekleniyor",F156="Hazır")),A156+ROW()/1000000,"")</f>
        <v/>
      </c>
    </row>
    <row r="157" customFormat="false" ht="15" hidden="false" customHeight="false" outlineLevel="0" collapsed="false">
      <c r="A157" s="12"/>
      <c r="B157" s="13"/>
      <c r="C157" s="13"/>
      <c r="D157" s="13"/>
      <c r="E157" s="13"/>
      <c r="F157" s="14"/>
      <c r="G157" s="15"/>
      <c r="H157" s="15"/>
      <c r="I157" s="15"/>
      <c r="J157" s="12"/>
      <c r="K157" s="16" t="str">
        <f aca="false">IF(A157="","",G157+H157)</f>
        <v/>
      </c>
      <c r="L157" s="16" t="str">
        <f aca="false">IF(A157="","",IF(F157="İade edildi",0,K157-I157))</f>
        <v/>
      </c>
      <c r="M157" s="17" t="str">
        <f aca="true">IF(A157="","",IF(J157&lt;&gt;"",J157-A157,TODAY()-A157))</f>
        <v/>
      </c>
      <c r="N157" s="18" t="str">
        <f aca="false">IF(A157="","",IF(AND(OR(F157="Bekliyor",F157="Parça bekleniyor",F157="Hazır"),M157&gt;7),"7 günü geçti",""))</f>
        <v/>
      </c>
      <c r="O157" s="18" t="str">
        <f aca="false">IF(AND(A157&lt;&gt;"",OR(F157="Bekliyor",F157="Parça bekleniyor",F157="Hazır")),A157+ROW()/1000000,"")</f>
        <v/>
      </c>
    </row>
    <row r="158" customFormat="false" ht="15" hidden="false" customHeight="false" outlineLevel="0" collapsed="false">
      <c r="A158" s="12"/>
      <c r="B158" s="13"/>
      <c r="C158" s="13"/>
      <c r="D158" s="13"/>
      <c r="E158" s="13"/>
      <c r="F158" s="14"/>
      <c r="G158" s="15"/>
      <c r="H158" s="15"/>
      <c r="I158" s="15"/>
      <c r="J158" s="12"/>
      <c r="K158" s="16" t="str">
        <f aca="false">IF(A158="","",G158+H158)</f>
        <v/>
      </c>
      <c r="L158" s="16" t="str">
        <f aca="false">IF(A158="","",IF(F158="İade edildi",0,K158-I158))</f>
        <v/>
      </c>
      <c r="M158" s="17" t="str">
        <f aca="true">IF(A158="","",IF(J158&lt;&gt;"",J158-A158,TODAY()-A158))</f>
        <v/>
      </c>
      <c r="N158" s="18" t="str">
        <f aca="false">IF(A158="","",IF(AND(OR(F158="Bekliyor",F158="Parça bekleniyor",F158="Hazır"),M158&gt;7),"7 günü geçti",""))</f>
        <v/>
      </c>
      <c r="O158" s="18" t="str">
        <f aca="false">IF(AND(A158&lt;&gt;"",OR(F158="Bekliyor",F158="Parça bekleniyor",F158="Hazır")),A158+ROW()/1000000,"")</f>
        <v/>
      </c>
    </row>
    <row r="159" customFormat="false" ht="15" hidden="false" customHeight="false" outlineLevel="0" collapsed="false">
      <c r="A159" s="12"/>
      <c r="B159" s="13"/>
      <c r="C159" s="13"/>
      <c r="D159" s="13"/>
      <c r="E159" s="13"/>
      <c r="F159" s="14"/>
      <c r="G159" s="15"/>
      <c r="H159" s="15"/>
      <c r="I159" s="15"/>
      <c r="J159" s="12"/>
      <c r="K159" s="16" t="str">
        <f aca="false">IF(A159="","",G159+H159)</f>
        <v/>
      </c>
      <c r="L159" s="16" t="str">
        <f aca="false">IF(A159="","",IF(F159="İade edildi",0,K159-I159))</f>
        <v/>
      </c>
      <c r="M159" s="17" t="str">
        <f aca="true">IF(A159="","",IF(J159&lt;&gt;"",J159-A159,TODAY()-A159))</f>
        <v/>
      </c>
      <c r="N159" s="18" t="str">
        <f aca="false">IF(A159="","",IF(AND(OR(F159="Bekliyor",F159="Parça bekleniyor",F159="Hazır"),M159&gt;7),"7 günü geçti",""))</f>
        <v/>
      </c>
      <c r="O159" s="18" t="str">
        <f aca="false">IF(AND(A159&lt;&gt;"",OR(F159="Bekliyor",F159="Parça bekleniyor",F159="Hazır")),A159+ROW()/1000000,"")</f>
        <v/>
      </c>
    </row>
    <row r="160" customFormat="false" ht="15" hidden="false" customHeight="false" outlineLevel="0" collapsed="false">
      <c r="A160" s="12"/>
      <c r="B160" s="13"/>
      <c r="C160" s="13"/>
      <c r="D160" s="13"/>
      <c r="E160" s="13"/>
      <c r="F160" s="14"/>
      <c r="G160" s="15"/>
      <c r="H160" s="15"/>
      <c r="I160" s="15"/>
      <c r="J160" s="12"/>
      <c r="K160" s="16" t="str">
        <f aca="false">IF(A160="","",G160+H160)</f>
        <v/>
      </c>
      <c r="L160" s="16" t="str">
        <f aca="false">IF(A160="","",IF(F160="İade edildi",0,K160-I160))</f>
        <v/>
      </c>
      <c r="M160" s="17" t="str">
        <f aca="true">IF(A160="","",IF(J160&lt;&gt;"",J160-A160,TODAY()-A160))</f>
        <v/>
      </c>
      <c r="N160" s="18" t="str">
        <f aca="false">IF(A160="","",IF(AND(OR(F160="Bekliyor",F160="Parça bekleniyor",F160="Hazır"),M160&gt;7),"7 günü geçti",""))</f>
        <v/>
      </c>
      <c r="O160" s="18" t="str">
        <f aca="false">IF(AND(A160&lt;&gt;"",OR(F160="Bekliyor",F160="Parça bekleniyor",F160="Hazır")),A160+ROW()/1000000,"")</f>
        <v/>
      </c>
    </row>
    <row r="161" customFormat="false" ht="15" hidden="false" customHeight="false" outlineLevel="0" collapsed="false">
      <c r="A161" s="12"/>
      <c r="B161" s="13"/>
      <c r="C161" s="13"/>
      <c r="D161" s="13"/>
      <c r="E161" s="13"/>
      <c r="F161" s="14"/>
      <c r="G161" s="15"/>
      <c r="H161" s="15"/>
      <c r="I161" s="15"/>
      <c r="J161" s="12"/>
      <c r="K161" s="16" t="str">
        <f aca="false">IF(A161="","",G161+H161)</f>
        <v/>
      </c>
      <c r="L161" s="16" t="str">
        <f aca="false">IF(A161="","",IF(F161="İade edildi",0,K161-I161))</f>
        <v/>
      </c>
      <c r="M161" s="17" t="str">
        <f aca="true">IF(A161="","",IF(J161&lt;&gt;"",J161-A161,TODAY()-A161))</f>
        <v/>
      </c>
      <c r="N161" s="18" t="str">
        <f aca="false">IF(A161="","",IF(AND(OR(F161="Bekliyor",F161="Parça bekleniyor",F161="Hazır"),M161&gt;7),"7 günü geçti",""))</f>
        <v/>
      </c>
      <c r="O161" s="18" t="str">
        <f aca="false">IF(AND(A161&lt;&gt;"",OR(F161="Bekliyor",F161="Parça bekleniyor",F161="Hazır")),A161+ROW()/1000000,"")</f>
        <v/>
      </c>
    </row>
    <row r="162" customFormat="false" ht="15" hidden="false" customHeight="false" outlineLevel="0" collapsed="false">
      <c r="A162" s="12"/>
      <c r="B162" s="13"/>
      <c r="C162" s="13"/>
      <c r="D162" s="13"/>
      <c r="E162" s="13"/>
      <c r="F162" s="14"/>
      <c r="G162" s="15"/>
      <c r="H162" s="15"/>
      <c r="I162" s="15"/>
      <c r="J162" s="12"/>
      <c r="K162" s="16" t="str">
        <f aca="false">IF(A162="","",G162+H162)</f>
        <v/>
      </c>
      <c r="L162" s="16" t="str">
        <f aca="false">IF(A162="","",IF(F162="İade edildi",0,K162-I162))</f>
        <v/>
      </c>
      <c r="M162" s="17" t="str">
        <f aca="true">IF(A162="","",IF(J162&lt;&gt;"",J162-A162,TODAY()-A162))</f>
        <v/>
      </c>
      <c r="N162" s="18" t="str">
        <f aca="false">IF(A162="","",IF(AND(OR(F162="Bekliyor",F162="Parça bekleniyor",F162="Hazır"),M162&gt;7),"7 günü geçti",""))</f>
        <v/>
      </c>
      <c r="O162" s="18" t="str">
        <f aca="false">IF(AND(A162&lt;&gt;"",OR(F162="Bekliyor",F162="Parça bekleniyor",F162="Hazır")),A162+ROW()/1000000,"")</f>
        <v/>
      </c>
    </row>
    <row r="163" customFormat="false" ht="15" hidden="false" customHeight="false" outlineLevel="0" collapsed="false">
      <c r="A163" s="12"/>
      <c r="B163" s="13"/>
      <c r="C163" s="13"/>
      <c r="D163" s="13"/>
      <c r="E163" s="13"/>
      <c r="F163" s="14"/>
      <c r="G163" s="15"/>
      <c r="H163" s="15"/>
      <c r="I163" s="15"/>
      <c r="J163" s="12"/>
      <c r="K163" s="16" t="str">
        <f aca="false">IF(A163="","",G163+H163)</f>
        <v/>
      </c>
      <c r="L163" s="16" t="str">
        <f aca="false">IF(A163="","",IF(F163="İade edildi",0,K163-I163))</f>
        <v/>
      </c>
      <c r="M163" s="17" t="str">
        <f aca="true">IF(A163="","",IF(J163&lt;&gt;"",J163-A163,TODAY()-A163))</f>
        <v/>
      </c>
      <c r="N163" s="18" t="str">
        <f aca="false">IF(A163="","",IF(AND(OR(F163="Bekliyor",F163="Parça bekleniyor",F163="Hazır"),M163&gt;7),"7 günü geçti",""))</f>
        <v/>
      </c>
      <c r="O163" s="18" t="str">
        <f aca="false">IF(AND(A163&lt;&gt;"",OR(F163="Bekliyor",F163="Parça bekleniyor",F163="Hazır")),A163+ROW()/1000000,"")</f>
        <v/>
      </c>
    </row>
    <row r="164" customFormat="false" ht="15" hidden="false" customHeight="false" outlineLevel="0" collapsed="false">
      <c r="A164" s="12"/>
      <c r="B164" s="13"/>
      <c r="C164" s="13"/>
      <c r="D164" s="13"/>
      <c r="E164" s="13"/>
      <c r="F164" s="14"/>
      <c r="G164" s="15"/>
      <c r="H164" s="15"/>
      <c r="I164" s="15"/>
      <c r="J164" s="12"/>
      <c r="K164" s="16" t="str">
        <f aca="false">IF(A164="","",G164+H164)</f>
        <v/>
      </c>
      <c r="L164" s="16" t="str">
        <f aca="false">IF(A164="","",IF(F164="İade edildi",0,K164-I164))</f>
        <v/>
      </c>
      <c r="M164" s="17" t="str">
        <f aca="true">IF(A164="","",IF(J164&lt;&gt;"",J164-A164,TODAY()-A164))</f>
        <v/>
      </c>
      <c r="N164" s="18" t="str">
        <f aca="false">IF(A164="","",IF(AND(OR(F164="Bekliyor",F164="Parça bekleniyor",F164="Hazır"),M164&gt;7),"7 günü geçti",""))</f>
        <v/>
      </c>
      <c r="O164" s="18" t="str">
        <f aca="false">IF(AND(A164&lt;&gt;"",OR(F164="Bekliyor",F164="Parça bekleniyor",F164="Hazır")),A164+ROW()/1000000,"")</f>
        <v/>
      </c>
    </row>
    <row r="165" customFormat="false" ht="15" hidden="false" customHeight="false" outlineLevel="0" collapsed="false">
      <c r="A165" s="12"/>
      <c r="B165" s="13"/>
      <c r="C165" s="13"/>
      <c r="D165" s="13"/>
      <c r="E165" s="13"/>
      <c r="F165" s="14"/>
      <c r="G165" s="15"/>
      <c r="H165" s="15"/>
      <c r="I165" s="15"/>
      <c r="J165" s="12"/>
      <c r="K165" s="16" t="str">
        <f aca="false">IF(A165="","",G165+H165)</f>
        <v/>
      </c>
      <c r="L165" s="16" t="str">
        <f aca="false">IF(A165="","",IF(F165="İade edildi",0,K165-I165))</f>
        <v/>
      </c>
      <c r="M165" s="17" t="str">
        <f aca="true">IF(A165="","",IF(J165&lt;&gt;"",J165-A165,TODAY()-A165))</f>
        <v/>
      </c>
      <c r="N165" s="18" t="str">
        <f aca="false">IF(A165="","",IF(AND(OR(F165="Bekliyor",F165="Parça bekleniyor",F165="Hazır"),M165&gt;7),"7 günü geçti",""))</f>
        <v/>
      </c>
      <c r="O165" s="18" t="str">
        <f aca="false">IF(AND(A165&lt;&gt;"",OR(F165="Bekliyor",F165="Parça bekleniyor",F165="Hazır")),A165+ROW()/1000000,"")</f>
        <v/>
      </c>
    </row>
    <row r="166" customFormat="false" ht="15" hidden="false" customHeight="false" outlineLevel="0" collapsed="false">
      <c r="A166" s="12"/>
      <c r="B166" s="13"/>
      <c r="C166" s="13"/>
      <c r="D166" s="13"/>
      <c r="E166" s="13"/>
      <c r="F166" s="14"/>
      <c r="G166" s="15"/>
      <c r="H166" s="15"/>
      <c r="I166" s="15"/>
      <c r="J166" s="12"/>
      <c r="K166" s="16" t="str">
        <f aca="false">IF(A166="","",G166+H166)</f>
        <v/>
      </c>
      <c r="L166" s="16" t="str">
        <f aca="false">IF(A166="","",IF(F166="İade edildi",0,K166-I166))</f>
        <v/>
      </c>
      <c r="M166" s="17" t="str">
        <f aca="true">IF(A166="","",IF(J166&lt;&gt;"",J166-A166,TODAY()-A166))</f>
        <v/>
      </c>
      <c r="N166" s="18" t="str">
        <f aca="false">IF(A166="","",IF(AND(OR(F166="Bekliyor",F166="Parça bekleniyor",F166="Hazır"),M166&gt;7),"7 günü geçti",""))</f>
        <v/>
      </c>
      <c r="O166" s="18" t="str">
        <f aca="false">IF(AND(A166&lt;&gt;"",OR(F166="Bekliyor",F166="Parça bekleniyor",F166="Hazır")),A166+ROW()/1000000,"")</f>
        <v/>
      </c>
    </row>
    <row r="167" customFormat="false" ht="15" hidden="false" customHeight="false" outlineLevel="0" collapsed="false">
      <c r="A167" s="12"/>
      <c r="B167" s="13"/>
      <c r="C167" s="13"/>
      <c r="D167" s="13"/>
      <c r="E167" s="13"/>
      <c r="F167" s="14"/>
      <c r="G167" s="15"/>
      <c r="H167" s="15"/>
      <c r="I167" s="15"/>
      <c r="J167" s="12"/>
      <c r="K167" s="16" t="str">
        <f aca="false">IF(A167="","",G167+H167)</f>
        <v/>
      </c>
      <c r="L167" s="16" t="str">
        <f aca="false">IF(A167="","",IF(F167="İade edildi",0,K167-I167))</f>
        <v/>
      </c>
      <c r="M167" s="17" t="str">
        <f aca="true">IF(A167="","",IF(J167&lt;&gt;"",J167-A167,TODAY()-A167))</f>
        <v/>
      </c>
      <c r="N167" s="18" t="str">
        <f aca="false">IF(A167="","",IF(AND(OR(F167="Bekliyor",F167="Parça bekleniyor",F167="Hazır"),M167&gt;7),"7 günü geçti",""))</f>
        <v/>
      </c>
      <c r="O167" s="18" t="str">
        <f aca="false">IF(AND(A167&lt;&gt;"",OR(F167="Bekliyor",F167="Parça bekleniyor",F167="Hazır")),A167+ROW()/1000000,"")</f>
        <v/>
      </c>
    </row>
    <row r="168" customFormat="false" ht="15" hidden="false" customHeight="false" outlineLevel="0" collapsed="false">
      <c r="A168" s="12"/>
      <c r="B168" s="13"/>
      <c r="C168" s="13"/>
      <c r="D168" s="13"/>
      <c r="E168" s="13"/>
      <c r="F168" s="14"/>
      <c r="G168" s="15"/>
      <c r="H168" s="15"/>
      <c r="I168" s="15"/>
      <c r="J168" s="12"/>
      <c r="K168" s="16" t="str">
        <f aca="false">IF(A168="","",G168+H168)</f>
        <v/>
      </c>
      <c r="L168" s="16" t="str">
        <f aca="false">IF(A168="","",IF(F168="İade edildi",0,K168-I168))</f>
        <v/>
      </c>
      <c r="M168" s="17" t="str">
        <f aca="true">IF(A168="","",IF(J168&lt;&gt;"",J168-A168,TODAY()-A168))</f>
        <v/>
      </c>
      <c r="N168" s="18" t="str">
        <f aca="false">IF(A168="","",IF(AND(OR(F168="Bekliyor",F168="Parça bekleniyor",F168="Hazır"),M168&gt;7),"7 günü geçti",""))</f>
        <v/>
      </c>
      <c r="O168" s="18" t="str">
        <f aca="false">IF(AND(A168&lt;&gt;"",OR(F168="Bekliyor",F168="Parça bekleniyor",F168="Hazır")),A168+ROW()/1000000,"")</f>
        <v/>
      </c>
    </row>
    <row r="169" customFormat="false" ht="15" hidden="false" customHeight="false" outlineLevel="0" collapsed="false">
      <c r="A169" s="12"/>
      <c r="B169" s="13"/>
      <c r="C169" s="13"/>
      <c r="D169" s="13"/>
      <c r="E169" s="13"/>
      <c r="F169" s="14"/>
      <c r="G169" s="15"/>
      <c r="H169" s="15"/>
      <c r="I169" s="15"/>
      <c r="J169" s="12"/>
      <c r="K169" s="16" t="str">
        <f aca="false">IF(A169="","",G169+H169)</f>
        <v/>
      </c>
      <c r="L169" s="16" t="str">
        <f aca="false">IF(A169="","",IF(F169="İade edildi",0,K169-I169))</f>
        <v/>
      </c>
      <c r="M169" s="17" t="str">
        <f aca="true">IF(A169="","",IF(J169&lt;&gt;"",J169-A169,TODAY()-A169))</f>
        <v/>
      </c>
      <c r="N169" s="18" t="str">
        <f aca="false">IF(A169="","",IF(AND(OR(F169="Bekliyor",F169="Parça bekleniyor",F169="Hazır"),M169&gt;7),"7 günü geçti",""))</f>
        <v/>
      </c>
      <c r="O169" s="18" t="str">
        <f aca="false">IF(AND(A169&lt;&gt;"",OR(F169="Bekliyor",F169="Parça bekleniyor",F169="Hazır")),A169+ROW()/1000000,"")</f>
        <v/>
      </c>
    </row>
    <row r="170" customFormat="false" ht="15" hidden="false" customHeight="false" outlineLevel="0" collapsed="false">
      <c r="A170" s="12"/>
      <c r="B170" s="13"/>
      <c r="C170" s="13"/>
      <c r="D170" s="13"/>
      <c r="E170" s="13"/>
      <c r="F170" s="14"/>
      <c r="G170" s="15"/>
      <c r="H170" s="15"/>
      <c r="I170" s="15"/>
      <c r="J170" s="12"/>
      <c r="K170" s="16" t="str">
        <f aca="false">IF(A170="","",G170+H170)</f>
        <v/>
      </c>
      <c r="L170" s="16" t="str">
        <f aca="false">IF(A170="","",IF(F170="İade edildi",0,K170-I170))</f>
        <v/>
      </c>
      <c r="M170" s="17" t="str">
        <f aca="true">IF(A170="","",IF(J170&lt;&gt;"",J170-A170,TODAY()-A170))</f>
        <v/>
      </c>
      <c r="N170" s="18" t="str">
        <f aca="false">IF(A170="","",IF(AND(OR(F170="Bekliyor",F170="Parça bekleniyor",F170="Hazır"),M170&gt;7),"7 günü geçti",""))</f>
        <v/>
      </c>
      <c r="O170" s="18" t="str">
        <f aca="false">IF(AND(A170&lt;&gt;"",OR(F170="Bekliyor",F170="Parça bekleniyor",F170="Hazır")),A170+ROW()/1000000,"")</f>
        <v/>
      </c>
    </row>
    <row r="171" customFormat="false" ht="15" hidden="false" customHeight="false" outlineLevel="0" collapsed="false">
      <c r="A171" s="12"/>
      <c r="B171" s="13"/>
      <c r="C171" s="13"/>
      <c r="D171" s="13"/>
      <c r="E171" s="13"/>
      <c r="F171" s="14"/>
      <c r="G171" s="15"/>
      <c r="H171" s="15"/>
      <c r="I171" s="15"/>
      <c r="J171" s="12"/>
      <c r="K171" s="16" t="str">
        <f aca="false">IF(A171="","",G171+H171)</f>
        <v/>
      </c>
      <c r="L171" s="16" t="str">
        <f aca="false">IF(A171="","",IF(F171="İade edildi",0,K171-I171))</f>
        <v/>
      </c>
      <c r="M171" s="17" t="str">
        <f aca="true">IF(A171="","",IF(J171&lt;&gt;"",J171-A171,TODAY()-A171))</f>
        <v/>
      </c>
      <c r="N171" s="18" t="str">
        <f aca="false">IF(A171="","",IF(AND(OR(F171="Bekliyor",F171="Parça bekleniyor",F171="Hazır"),M171&gt;7),"7 günü geçti",""))</f>
        <v/>
      </c>
      <c r="O171" s="18" t="str">
        <f aca="false">IF(AND(A171&lt;&gt;"",OR(F171="Bekliyor",F171="Parça bekleniyor",F171="Hazır")),A171+ROW()/1000000,"")</f>
        <v/>
      </c>
    </row>
    <row r="172" customFormat="false" ht="15" hidden="false" customHeight="false" outlineLevel="0" collapsed="false">
      <c r="A172" s="12"/>
      <c r="B172" s="13"/>
      <c r="C172" s="13"/>
      <c r="D172" s="13"/>
      <c r="E172" s="13"/>
      <c r="F172" s="14"/>
      <c r="G172" s="15"/>
      <c r="H172" s="15"/>
      <c r="I172" s="15"/>
      <c r="J172" s="12"/>
      <c r="K172" s="16" t="str">
        <f aca="false">IF(A172="","",G172+H172)</f>
        <v/>
      </c>
      <c r="L172" s="16" t="str">
        <f aca="false">IF(A172="","",IF(F172="İade edildi",0,K172-I172))</f>
        <v/>
      </c>
      <c r="M172" s="17" t="str">
        <f aca="true">IF(A172="","",IF(J172&lt;&gt;"",J172-A172,TODAY()-A172))</f>
        <v/>
      </c>
      <c r="N172" s="18" t="str">
        <f aca="false">IF(A172="","",IF(AND(OR(F172="Bekliyor",F172="Parça bekleniyor",F172="Hazır"),M172&gt;7),"7 günü geçti",""))</f>
        <v/>
      </c>
      <c r="O172" s="18" t="str">
        <f aca="false">IF(AND(A172&lt;&gt;"",OR(F172="Bekliyor",F172="Parça bekleniyor",F172="Hazır")),A172+ROW()/1000000,"")</f>
        <v/>
      </c>
    </row>
    <row r="173" customFormat="false" ht="15" hidden="false" customHeight="false" outlineLevel="0" collapsed="false">
      <c r="A173" s="12"/>
      <c r="B173" s="13"/>
      <c r="C173" s="13"/>
      <c r="D173" s="13"/>
      <c r="E173" s="13"/>
      <c r="F173" s="14"/>
      <c r="G173" s="15"/>
      <c r="H173" s="15"/>
      <c r="I173" s="15"/>
      <c r="J173" s="12"/>
      <c r="K173" s="16" t="str">
        <f aca="false">IF(A173="","",G173+H173)</f>
        <v/>
      </c>
      <c r="L173" s="16" t="str">
        <f aca="false">IF(A173="","",IF(F173="İade edildi",0,K173-I173))</f>
        <v/>
      </c>
      <c r="M173" s="17" t="str">
        <f aca="true">IF(A173="","",IF(J173&lt;&gt;"",J173-A173,TODAY()-A173))</f>
        <v/>
      </c>
      <c r="N173" s="18" t="str">
        <f aca="false">IF(A173="","",IF(AND(OR(F173="Bekliyor",F173="Parça bekleniyor",F173="Hazır"),M173&gt;7),"7 günü geçti",""))</f>
        <v/>
      </c>
      <c r="O173" s="18" t="str">
        <f aca="false">IF(AND(A173&lt;&gt;"",OR(F173="Bekliyor",F173="Parça bekleniyor",F173="Hazır")),A173+ROW()/1000000,"")</f>
        <v/>
      </c>
    </row>
    <row r="174" customFormat="false" ht="15" hidden="false" customHeight="false" outlineLevel="0" collapsed="false">
      <c r="A174" s="12"/>
      <c r="B174" s="13"/>
      <c r="C174" s="13"/>
      <c r="D174" s="13"/>
      <c r="E174" s="13"/>
      <c r="F174" s="14"/>
      <c r="G174" s="15"/>
      <c r="H174" s="15"/>
      <c r="I174" s="15"/>
      <c r="J174" s="12"/>
      <c r="K174" s="16" t="str">
        <f aca="false">IF(A174="","",G174+H174)</f>
        <v/>
      </c>
      <c r="L174" s="16" t="str">
        <f aca="false">IF(A174="","",IF(F174="İade edildi",0,K174-I174))</f>
        <v/>
      </c>
      <c r="M174" s="17" t="str">
        <f aca="true">IF(A174="","",IF(J174&lt;&gt;"",J174-A174,TODAY()-A174))</f>
        <v/>
      </c>
      <c r="N174" s="18" t="str">
        <f aca="false">IF(A174="","",IF(AND(OR(F174="Bekliyor",F174="Parça bekleniyor",F174="Hazır"),M174&gt;7),"7 günü geçti",""))</f>
        <v/>
      </c>
      <c r="O174" s="18" t="str">
        <f aca="false">IF(AND(A174&lt;&gt;"",OR(F174="Bekliyor",F174="Parça bekleniyor",F174="Hazır")),A174+ROW()/1000000,"")</f>
        <v/>
      </c>
    </row>
    <row r="175" customFormat="false" ht="15" hidden="false" customHeight="false" outlineLevel="0" collapsed="false">
      <c r="A175" s="12"/>
      <c r="B175" s="13"/>
      <c r="C175" s="13"/>
      <c r="D175" s="13"/>
      <c r="E175" s="13"/>
      <c r="F175" s="14"/>
      <c r="G175" s="15"/>
      <c r="H175" s="15"/>
      <c r="I175" s="15"/>
      <c r="J175" s="12"/>
      <c r="K175" s="16" t="str">
        <f aca="false">IF(A175="","",G175+H175)</f>
        <v/>
      </c>
      <c r="L175" s="16" t="str">
        <f aca="false">IF(A175="","",IF(F175="İade edildi",0,K175-I175))</f>
        <v/>
      </c>
      <c r="M175" s="17" t="str">
        <f aca="true">IF(A175="","",IF(J175&lt;&gt;"",J175-A175,TODAY()-A175))</f>
        <v/>
      </c>
      <c r="N175" s="18" t="str">
        <f aca="false">IF(A175="","",IF(AND(OR(F175="Bekliyor",F175="Parça bekleniyor",F175="Hazır"),M175&gt;7),"7 günü geçti",""))</f>
        <v/>
      </c>
      <c r="O175" s="18" t="str">
        <f aca="false">IF(AND(A175&lt;&gt;"",OR(F175="Bekliyor",F175="Parça bekleniyor",F175="Hazır")),A175+ROW()/1000000,"")</f>
        <v/>
      </c>
    </row>
    <row r="176" customFormat="false" ht="15" hidden="false" customHeight="false" outlineLevel="0" collapsed="false">
      <c r="A176" s="12"/>
      <c r="B176" s="13"/>
      <c r="C176" s="13"/>
      <c r="D176" s="13"/>
      <c r="E176" s="13"/>
      <c r="F176" s="14"/>
      <c r="G176" s="15"/>
      <c r="H176" s="15"/>
      <c r="I176" s="15"/>
      <c r="J176" s="12"/>
      <c r="K176" s="16" t="str">
        <f aca="false">IF(A176="","",G176+H176)</f>
        <v/>
      </c>
      <c r="L176" s="16" t="str">
        <f aca="false">IF(A176="","",IF(F176="İade edildi",0,K176-I176))</f>
        <v/>
      </c>
      <c r="M176" s="17" t="str">
        <f aca="true">IF(A176="","",IF(J176&lt;&gt;"",J176-A176,TODAY()-A176))</f>
        <v/>
      </c>
      <c r="N176" s="18" t="str">
        <f aca="false">IF(A176="","",IF(AND(OR(F176="Bekliyor",F176="Parça bekleniyor",F176="Hazır"),M176&gt;7),"7 günü geçti",""))</f>
        <v/>
      </c>
      <c r="O176" s="18" t="str">
        <f aca="false">IF(AND(A176&lt;&gt;"",OR(F176="Bekliyor",F176="Parça bekleniyor",F176="Hazır")),A176+ROW()/1000000,"")</f>
        <v/>
      </c>
    </row>
    <row r="177" customFormat="false" ht="15" hidden="false" customHeight="false" outlineLevel="0" collapsed="false">
      <c r="A177" s="12"/>
      <c r="B177" s="13"/>
      <c r="C177" s="13"/>
      <c r="D177" s="13"/>
      <c r="E177" s="13"/>
      <c r="F177" s="14"/>
      <c r="G177" s="15"/>
      <c r="H177" s="15"/>
      <c r="I177" s="15"/>
      <c r="J177" s="12"/>
      <c r="K177" s="16" t="str">
        <f aca="false">IF(A177="","",G177+H177)</f>
        <v/>
      </c>
      <c r="L177" s="16" t="str">
        <f aca="false">IF(A177="","",IF(F177="İade edildi",0,K177-I177))</f>
        <v/>
      </c>
      <c r="M177" s="17" t="str">
        <f aca="true">IF(A177="","",IF(J177&lt;&gt;"",J177-A177,TODAY()-A177))</f>
        <v/>
      </c>
      <c r="N177" s="18" t="str">
        <f aca="false">IF(A177="","",IF(AND(OR(F177="Bekliyor",F177="Parça bekleniyor",F177="Hazır"),M177&gt;7),"7 günü geçti",""))</f>
        <v/>
      </c>
      <c r="O177" s="18" t="str">
        <f aca="false">IF(AND(A177&lt;&gt;"",OR(F177="Bekliyor",F177="Parça bekleniyor",F177="Hazır")),A177+ROW()/1000000,"")</f>
        <v/>
      </c>
    </row>
    <row r="178" customFormat="false" ht="15" hidden="false" customHeight="false" outlineLevel="0" collapsed="false">
      <c r="A178" s="12"/>
      <c r="B178" s="13"/>
      <c r="C178" s="13"/>
      <c r="D178" s="13"/>
      <c r="E178" s="13"/>
      <c r="F178" s="14"/>
      <c r="G178" s="15"/>
      <c r="H178" s="15"/>
      <c r="I178" s="15"/>
      <c r="J178" s="12"/>
      <c r="K178" s="16" t="str">
        <f aca="false">IF(A178="","",G178+H178)</f>
        <v/>
      </c>
      <c r="L178" s="16" t="str">
        <f aca="false">IF(A178="","",IF(F178="İade edildi",0,K178-I178))</f>
        <v/>
      </c>
      <c r="M178" s="17" t="str">
        <f aca="true">IF(A178="","",IF(J178&lt;&gt;"",J178-A178,TODAY()-A178))</f>
        <v/>
      </c>
      <c r="N178" s="18" t="str">
        <f aca="false">IF(A178="","",IF(AND(OR(F178="Bekliyor",F178="Parça bekleniyor",F178="Hazır"),M178&gt;7),"7 günü geçti",""))</f>
        <v/>
      </c>
      <c r="O178" s="18" t="str">
        <f aca="false">IF(AND(A178&lt;&gt;"",OR(F178="Bekliyor",F178="Parça bekleniyor",F178="Hazır")),A178+ROW()/1000000,"")</f>
        <v/>
      </c>
    </row>
    <row r="179" customFormat="false" ht="15" hidden="false" customHeight="false" outlineLevel="0" collapsed="false">
      <c r="A179" s="12"/>
      <c r="B179" s="13"/>
      <c r="C179" s="13"/>
      <c r="D179" s="13"/>
      <c r="E179" s="13"/>
      <c r="F179" s="14"/>
      <c r="G179" s="15"/>
      <c r="H179" s="15"/>
      <c r="I179" s="15"/>
      <c r="J179" s="12"/>
      <c r="K179" s="16" t="str">
        <f aca="false">IF(A179="","",G179+H179)</f>
        <v/>
      </c>
      <c r="L179" s="16" t="str">
        <f aca="false">IF(A179="","",IF(F179="İade edildi",0,K179-I179))</f>
        <v/>
      </c>
      <c r="M179" s="17" t="str">
        <f aca="true">IF(A179="","",IF(J179&lt;&gt;"",J179-A179,TODAY()-A179))</f>
        <v/>
      </c>
      <c r="N179" s="18" t="str">
        <f aca="false">IF(A179="","",IF(AND(OR(F179="Bekliyor",F179="Parça bekleniyor",F179="Hazır"),M179&gt;7),"7 günü geçti",""))</f>
        <v/>
      </c>
      <c r="O179" s="18" t="str">
        <f aca="false">IF(AND(A179&lt;&gt;"",OR(F179="Bekliyor",F179="Parça bekleniyor",F179="Hazır")),A179+ROW()/1000000,"")</f>
        <v/>
      </c>
    </row>
    <row r="180" customFormat="false" ht="15" hidden="false" customHeight="false" outlineLevel="0" collapsed="false">
      <c r="A180" s="12"/>
      <c r="B180" s="13"/>
      <c r="C180" s="13"/>
      <c r="D180" s="13"/>
      <c r="E180" s="13"/>
      <c r="F180" s="14"/>
      <c r="G180" s="15"/>
      <c r="H180" s="15"/>
      <c r="I180" s="15"/>
      <c r="J180" s="12"/>
      <c r="K180" s="16" t="str">
        <f aca="false">IF(A180="","",G180+H180)</f>
        <v/>
      </c>
      <c r="L180" s="16" t="str">
        <f aca="false">IF(A180="","",IF(F180="İade edildi",0,K180-I180))</f>
        <v/>
      </c>
      <c r="M180" s="17" t="str">
        <f aca="true">IF(A180="","",IF(J180&lt;&gt;"",J180-A180,TODAY()-A180))</f>
        <v/>
      </c>
      <c r="N180" s="18" t="str">
        <f aca="false">IF(A180="","",IF(AND(OR(F180="Bekliyor",F180="Parça bekleniyor",F180="Hazır"),M180&gt;7),"7 günü geçti",""))</f>
        <v/>
      </c>
      <c r="O180" s="18" t="str">
        <f aca="false">IF(AND(A180&lt;&gt;"",OR(F180="Bekliyor",F180="Parça bekleniyor",F180="Hazır")),A180+ROW()/1000000,"")</f>
        <v/>
      </c>
    </row>
    <row r="181" customFormat="false" ht="15" hidden="false" customHeight="false" outlineLevel="0" collapsed="false">
      <c r="A181" s="12"/>
      <c r="B181" s="13"/>
      <c r="C181" s="13"/>
      <c r="D181" s="13"/>
      <c r="E181" s="13"/>
      <c r="F181" s="14"/>
      <c r="G181" s="15"/>
      <c r="H181" s="15"/>
      <c r="I181" s="15"/>
      <c r="J181" s="12"/>
      <c r="K181" s="16" t="str">
        <f aca="false">IF(A181="","",G181+H181)</f>
        <v/>
      </c>
      <c r="L181" s="16" t="str">
        <f aca="false">IF(A181="","",IF(F181="İade edildi",0,K181-I181))</f>
        <v/>
      </c>
      <c r="M181" s="17" t="str">
        <f aca="true">IF(A181="","",IF(J181&lt;&gt;"",J181-A181,TODAY()-A181))</f>
        <v/>
      </c>
      <c r="N181" s="18" t="str">
        <f aca="false">IF(A181="","",IF(AND(OR(F181="Bekliyor",F181="Parça bekleniyor",F181="Hazır"),M181&gt;7),"7 günü geçti",""))</f>
        <v/>
      </c>
      <c r="O181" s="18" t="str">
        <f aca="false">IF(AND(A181&lt;&gt;"",OR(F181="Bekliyor",F181="Parça bekleniyor",F181="Hazır")),A181+ROW()/1000000,"")</f>
        <v/>
      </c>
    </row>
    <row r="182" customFormat="false" ht="15" hidden="false" customHeight="false" outlineLevel="0" collapsed="false">
      <c r="A182" s="12"/>
      <c r="B182" s="13"/>
      <c r="C182" s="13"/>
      <c r="D182" s="13"/>
      <c r="E182" s="13"/>
      <c r="F182" s="14"/>
      <c r="G182" s="15"/>
      <c r="H182" s="15"/>
      <c r="I182" s="15"/>
      <c r="J182" s="12"/>
      <c r="K182" s="16" t="str">
        <f aca="false">IF(A182="","",G182+H182)</f>
        <v/>
      </c>
      <c r="L182" s="16" t="str">
        <f aca="false">IF(A182="","",IF(F182="İade edildi",0,K182-I182))</f>
        <v/>
      </c>
      <c r="M182" s="17" t="str">
        <f aca="true">IF(A182="","",IF(J182&lt;&gt;"",J182-A182,TODAY()-A182))</f>
        <v/>
      </c>
      <c r="N182" s="18" t="str">
        <f aca="false">IF(A182="","",IF(AND(OR(F182="Bekliyor",F182="Parça bekleniyor",F182="Hazır"),M182&gt;7),"7 günü geçti",""))</f>
        <v/>
      </c>
      <c r="O182" s="18" t="str">
        <f aca="false">IF(AND(A182&lt;&gt;"",OR(F182="Bekliyor",F182="Parça bekleniyor",F182="Hazır")),A182+ROW()/1000000,"")</f>
        <v/>
      </c>
    </row>
    <row r="183" customFormat="false" ht="15" hidden="false" customHeight="false" outlineLevel="0" collapsed="false">
      <c r="A183" s="12"/>
      <c r="B183" s="13"/>
      <c r="C183" s="13"/>
      <c r="D183" s="13"/>
      <c r="E183" s="13"/>
      <c r="F183" s="14"/>
      <c r="G183" s="15"/>
      <c r="H183" s="15"/>
      <c r="I183" s="15"/>
      <c r="J183" s="12"/>
      <c r="K183" s="16" t="str">
        <f aca="false">IF(A183="","",G183+H183)</f>
        <v/>
      </c>
      <c r="L183" s="16" t="str">
        <f aca="false">IF(A183="","",IF(F183="İade edildi",0,K183-I183))</f>
        <v/>
      </c>
      <c r="M183" s="17" t="str">
        <f aca="true">IF(A183="","",IF(J183&lt;&gt;"",J183-A183,TODAY()-A183))</f>
        <v/>
      </c>
      <c r="N183" s="18" t="str">
        <f aca="false">IF(A183="","",IF(AND(OR(F183="Bekliyor",F183="Parça bekleniyor",F183="Hazır"),M183&gt;7),"7 günü geçti",""))</f>
        <v/>
      </c>
      <c r="O183" s="18" t="str">
        <f aca="false">IF(AND(A183&lt;&gt;"",OR(F183="Bekliyor",F183="Parça bekleniyor",F183="Hazır")),A183+ROW()/1000000,"")</f>
        <v/>
      </c>
    </row>
    <row r="184" customFormat="false" ht="15" hidden="false" customHeight="false" outlineLevel="0" collapsed="false">
      <c r="A184" s="12"/>
      <c r="B184" s="13"/>
      <c r="C184" s="13"/>
      <c r="D184" s="13"/>
      <c r="E184" s="13"/>
      <c r="F184" s="14"/>
      <c r="G184" s="15"/>
      <c r="H184" s="15"/>
      <c r="I184" s="15"/>
      <c r="J184" s="12"/>
      <c r="K184" s="16" t="str">
        <f aca="false">IF(A184="","",G184+H184)</f>
        <v/>
      </c>
      <c r="L184" s="16" t="str">
        <f aca="false">IF(A184="","",IF(F184="İade edildi",0,K184-I184))</f>
        <v/>
      </c>
      <c r="M184" s="17" t="str">
        <f aca="true">IF(A184="","",IF(J184&lt;&gt;"",J184-A184,TODAY()-A184))</f>
        <v/>
      </c>
      <c r="N184" s="18" t="str">
        <f aca="false">IF(A184="","",IF(AND(OR(F184="Bekliyor",F184="Parça bekleniyor",F184="Hazır"),M184&gt;7),"7 günü geçti",""))</f>
        <v/>
      </c>
      <c r="O184" s="18" t="str">
        <f aca="false">IF(AND(A184&lt;&gt;"",OR(F184="Bekliyor",F184="Parça bekleniyor",F184="Hazır")),A184+ROW()/1000000,"")</f>
        <v/>
      </c>
    </row>
    <row r="185" customFormat="false" ht="15" hidden="false" customHeight="false" outlineLevel="0" collapsed="false">
      <c r="A185" s="12"/>
      <c r="B185" s="13"/>
      <c r="C185" s="13"/>
      <c r="D185" s="13"/>
      <c r="E185" s="13"/>
      <c r="F185" s="14"/>
      <c r="G185" s="15"/>
      <c r="H185" s="15"/>
      <c r="I185" s="15"/>
      <c r="J185" s="12"/>
      <c r="K185" s="16" t="str">
        <f aca="false">IF(A185="","",G185+H185)</f>
        <v/>
      </c>
      <c r="L185" s="16" t="str">
        <f aca="false">IF(A185="","",IF(F185="İade edildi",0,K185-I185))</f>
        <v/>
      </c>
      <c r="M185" s="17" t="str">
        <f aca="true">IF(A185="","",IF(J185&lt;&gt;"",J185-A185,TODAY()-A185))</f>
        <v/>
      </c>
      <c r="N185" s="18" t="str">
        <f aca="false">IF(A185="","",IF(AND(OR(F185="Bekliyor",F185="Parça bekleniyor",F185="Hazır"),M185&gt;7),"7 günü geçti",""))</f>
        <v/>
      </c>
      <c r="O185" s="18" t="str">
        <f aca="false">IF(AND(A185&lt;&gt;"",OR(F185="Bekliyor",F185="Parça bekleniyor",F185="Hazır")),A185+ROW()/1000000,"")</f>
        <v/>
      </c>
    </row>
    <row r="186" customFormat="false" ht="15" hidden="false" customHeight="false" outlineLevel="0" collapsed="false">
      <c r="A186" s="12"/>
      <c r="B186" s="13"/>
      <c r="C186" s="13"/>
      <c r="D186" s="13"/>
      <c r="E186" s="13"/>
      <c r="F186" s="14"/>
      <c r="G186" s="15"/>
      <c r="H186" s="15"/>
      <c r="I186" s="15"/>
      <c r="J186" s="12"/>
      <c r="K186" s="16" t="str">
        <f aca="false">IF(A186="","",G186+H186)</f>
        <v/>
      </c>
      <c r="L186" s="16" t="str">
        <f aca="false">IF(A186="","",IF(F186="İade edildi",0,K186-I186))</f>
        <v/>
      </c>
      <c r="M186" s="17" t="str">
        <f aca="true">IF(A186="","",IF(J186&lt;&gt;"",J186-A186,TODAY()-A186))</f>
        <v/>
      </c>
      <c r="N186" s="18" t="str">
        <f aca="false">IF(A186="","",IF(AND(OR(F186="Bekliyor",F186="Parça bekleniyor",F186="Hazır"),M186&gt;7),"7 günü geçti",""))</f>
        <v/>
      </c>
      <c r="O186" s="18" t="str">
        <f aca="false">IF(AND(A186&lt;&gt;"",OR(F186="Bekliyor",F186="Parça bekleniyor",F186="Hazır")),A186+ROW()/1000000,"")</f>
        <v/>
      </c>
    </row>
    <row r="187" customFormat="false" ht="15" hidden="false" customHeight="false" outlineLevel="0" collapsed="false">
      <c r="A187" s="12"/>
      <c r="B187" s="13"/>
      <c r="C187" s="13"/>
      <c r="D187" s="13"/>
      <c r="E187" s="13"/>
      <c r="F187" s="14"/>
      <c r="G187" s="15"/>
      <c r="H187" s="15"/>
      <c r="I187" s="15"/>
      <c r="J187" s="12"/>
      <c r="K187" s="16" t="str">
        <f aca="false">IF(A187="","",G187+H187)</f>
        <v/>
      </c>
      <c r="L187" s="16" t="str">
        <f aca="false">IF(A187="","",IF(F187="İade edildi",0,K187-I187))</f>
        <v/>
      </c>
      <c r="M187" s="17" t="str">
        <f aca="true">IF(A187="","",IF(J187&lt;&gt;"",J187-A187,TODAY()-A187))</f>
        <v/>
      </c>
      <c r="N187" s="18" t="str">
        <f aca="false">IF(A187="","",IF(AND(OR(F187="Bekliyor",F187="Parça bekleniyor",F187="Hazır"),M187&gt;7),"7 günü geçti",""))</f>
        <v/>
      </c>
      <c r="O187" s="18" t="str">
        <f aca="false">IF(AND(A187&lt;&gt;"",OR(F187="Bekliyor",F187="Parça bekleniyor",F187="Hazır")),A187+ROW()/1000000,"")</f>
        <v/>
      </c>
    </row>
    <row r="188" customFormat="false" ht="15" hidden="false" customHeight="false" outlineLevel="0" collapsed="false">
      <c r="A188" s="12"/>
      <c r="B188" s="13"/>
      <c r="C188" s="13"/>
      <c r="D188" s="13"/>
      <c r="E188" s="13"/>
      <c r="F188" s="14"/>
      <c r="G188" s="15"/>
      <c r="H188" s="15"/>
      <c r="I188" s="15"/>
      <c r="J188" s="12"/>
      <c r="K188" s="16" t="str">
        <f aca="false">IF(A188="","",G188+H188)</f>
        <v/>
      </c>
      <c r="L188" s="16" t="str">
        <f aca="false">IF(A188="","",IF(F188="İade edildi",0,K188-I188))</f>
        <v/>
      </c>
      <c r="M188" s="17" t="str">
        <f aca="true">IF(A188="","",IF(J188&lt;&gt;"",J188-A188,TODAY()-A188))</f>
        <v/>
      </c>
      <c r="N188" s="18" t="str">
        <f aca="false">IF(A188="","",IF(AND(OR(F188="Bekliyor",F188="Parça bekleniyor",F188="Hazır"),M188&gt;7),"7 günü geçti",""))</f>
        <v/>
      </c>
      <c r="O188" s="18" t="str">
        <f aca="false">IF(AND(A188&lt;&gt;"",OR(F188="Bekliyor",F188="Parça bekleniyor",F188="Hazır")),A188+ROW()/1000000,"")</f>
        <v/>
      </c>
    </row>
    <row r="189" customFormat="false" ht="15" hidden="false" customHeight="false" outlineLevel="0" collapsed="false">
      <c r="A189" s="12"/>
      <c r="B189" s="13"/>
      <c r="C189" s="13"/>
      <c r="D189" s="13"/>
      <c r="E189" s="13"/>
      <c r="F189" s="14"/>
      <c r="G189" s="15"/>
      <c r="H189" s="15"/>
      <c r="I189" s="15"/>
      <c r="J189" s="12"/>
      <c r="K189" s="16" t="str">
        <f aca="false">IF(A189="","",G189+H189)</f>
        <v/>
      </c>
      <c r="L189" s="16" t="str">
        <f aca="false">IF(A189="","",IF(F189="İade edildi",0,K189-I189))</f>
        <v/>
      </c>
      <c r="M189" s="17" t="str">
        <f aca="true">IF(A189="","",IF(J189&lt;&gt;"",J189-A189,TODAY()-A189))</f>
        <v/>
      </c>
      <c r="N189" s="18" t="str">
        <f aca="false">IF(A189="","",IF(AND(OR(F189="Bekliyor",F189="Parça bekleniyor",F189="Hazır"),M189&gt;7),"7 günü geçti",""))</f>
        <v/>
      </c>
      <c r="O189" s="18" t="str">
        <f aca="false">IF(AND(A189&lt;&gt;"",OR(F189="Bekliyor",F189="Parça bekleniyor",F189="Hazır")),A189+ROW()/1000000,"")</f>
        <v/>
      </c>
    </row>
    <row r="190" customFormat="false" ht="15" hidden="false" customHeight="false" outlineLevel="0" collapsed="false">
      <c r="A190" s="12"/>
      <c r="B190" s="13"/>
      <c r="C190" s="13"/>
      <c r="D190" s="13"/>
      <c r="E190" s="13"/>
      <c r="F190" s="14"/>
      <c r="G190" s="15"/>
      <c r="H190" s="15"/>
      <c r="I190" s="15"/>
      <c r="J190" s="12"/>
      <c r="K190" s="16" t="str">
        <f aca="false">IF(A190="","",G190+H190)</f>
        <v/>
      </c>
      <c r="L190" s="16" t="str">
        <f aca="false">IF(A190="","",IF(F190="İade edildi",0,K190-I190))</f>
        <v/>
      </c>
      <c r="M190" s="17" t="str">
        <f aca="true">IF(A190="","",IF(J190&lt;&gt;"",J190-A190,TODAY()-A190))</f>
        <v/>
      </c>
      <c r="N190" s="18" t="str">
        <f aca="false">IF(A190="","",IF(AND(OR(F190="Bekliyor",F190="Parça bekleniyor",F190="Hazır"),M190&gt;7),"7 günü geçti",""))</f>
        <v/>
      </c>
      <c r="O190" s="18" t="str">
        <f aca="false">IF(AND(A190&lt;&gt;"",OR(F190="Bekliyor",F190="Parça bekleniyor",F190="Hazır")),A190+ROW()/1000000,"")</f>
        <v/>
      </c>
    </row>
    <row r="191" customFormat="false" ht="15" hidden="false" customHeight="false" outlineLevel="0" collapsed="false">
      <c r="A191" s="12"/>
      <c r="B191" s="13"/>
      <c r="C191" s="13"/>
      <c r="D191" s="13"/>
      <c r="E191" s="13"/>
      <c r="F191" s="14"/>
      <c r="G191" s="15"/>
      <c r="H191" s="15"/>
      <c r="I191" s="15"/>
      <c r="J191" s="12"/>
      <c r="K191" s="16" t="str">
        <f aca="false">IF(A191="","",G191+H191)</f>
        <v/>
      </c>
      <c r="L191" s="16" t="str">
        <f aca="false">IF(A191="","",IF(F191="İade edildi",0,K191-I191))</f>
        <v/>
      </c>
      <c r="M191" s="17" t="str">
        <f aca="true">IF(A191="","",IF(J191&lt;&gt;"",J191-A191,TODAY()-A191))</f>
        <v/>
      </c>
      <c r="N191" s="18" t="str">
        <f aca="false">IF(A191="","",IF(AND(OR(F191="Bekliyor",F191="Parça bekleniyor",F191="Hazır"),M191&gt;7),"7 günü geçti",""))</f>
        <v/>
      </c>
      <c r="O191" s="18" t="str">
        <f aca="false">IF(AND(A191&lt;&gt;"",OR(F191="Bekliyor",F191="Parça bekleniyor",F191="Hazır")),A191+ROW()/1000000,"")</f>
        <v/>
      </c>
    </row>
    <row r="192" customFormat="false" ht="15" hidden="false" customHeight="false" outlineLevel="0" collapsed="false">
      <c r="A192" s="12"/>
      <c r="B192" s="13"/>
      <c r="C192" s="13"/>
      <c r="D192" s="13"/>
      <c r="E192" s="13"/>
      <c r="F192" s="14"/>
      <c r="G192" s="15"/>
      <c r="H192" s="15"/>
      <c r="I192" s="15"/>
      <c r="J192" s="12"/>
      <c r="K192" s="16" t="str">
        <f aca="false">IF(A192="","",G192+H192)</f>
        <v/>
      </c>
      <c r="L192" s="16" t="str">
        <f aca="false">IF(A192="","",IF(F192="İade edildi",0,K192-I192))</f>
        <v/>
      </c>
      <c r="M192" s="17" t="str">
        <f aca="true">IF(A192="","",IF(J192&lt;&gt;"",J192-A192,TODAY()-A192))</f>
        <v/>
      </c>
      <c r="N192" s="18" t="str">
        <f aca="false">IF(A192="","",IF(AND(OR(F192="Bekliyor",F192="Parça bekleniyor",F192="Hazır"),M192&gt;7),"7 günü geçti",""))</f>
        <v/>
      </c>
      <c r="O192" s="18" t="str">
        <f aca="false">IF(AND(A192&lt;&gt;"",OR(F192="Bekliyor",F192="Parça bekleniyor",F192="Hazır")),A192+ROW()/1000000,"")</f>
        <v/>
      </c>
    </row>
    <row r="193" customFormat="false" ht="15" hidden="false" customHeight="false" outlineLevel="0" collapsed="false">
      <c r="A193" s="12"/>
      <c r="B193" s="13"/>
      <c r="C193" s="13"/>
      <c r="D193" s="13"/>
      <c r="E193" s="13"/>
      <c r="F193" s="14"/>
      <c r="G193" s="15"/>
      <c r="H193" s="15"/>
      <c r="I193" s="15"/>
      <c r="J193" s="12"/>
      <c r="K193" s="16" t="str">
        <f aca="false">IF(A193="","",G193+H193)</f>
        <v/>
      </c>
      <c r="L193" s="16" t="str">
        <f aca="false">IF(A193="","",IF(F193="İade edildi",0,K193-I193))</f>
        <v/>
      </c>
      <c r="M193" s="17" t="str">
        <f aca="true">IF(A193="","",IF(J193&lt;&gt;"",J193-A193,TODAY()-A193))</f>
        <v/>
      </c>
      <c r="N193" s="18" t="str">
        <f aca="false">IF(A193="","",IF(AND(OR(F193="Bekliyor",F193="Parça bekleniyor",F193="Hazır"),M193&gt;7),"7 günü geçti",""))</f>
        <v/>
      </c>
      <c r="O193" s="18" t="str">
        <f aca="false">IF(AND(A193&lt;&gt;"",OR(F193="Bekliyor",F193="Parça bekleniyor",F193="Hazır")),A193+ROW()/1000000,"")</f>
        <v/>
      </c>
    </row>
    <row r="194" customFormat="false" ht="15" hidden="false" customHeight="false" outlineLevel="0" collapsed="false">
      <c r="A194" s="12"/>
      <c r="B194" s="13"/>
      <c r="C194" s="13"/>
      <c r="D194" s="13"/>
      <c r="E194" s="13"/>
      <c r="F194" s="14"/>
      <c r="G194" s="15"/>
      <c r="H194" s="15"/>
      <c r="I194" s="15"/>
      <c r="J194" s="12"/>
      <c r="K194" s="16" t="str">
        <f aca="false">IF(A194="","",G194+H194)</f>
        <v/>
      </c>
      <c r="L194" s="16" t="str">
        <f aca="false">IF(A194="","",IF(F194="İade edildi",0,K194-I194))</f>
        <v/>
      </c>
      <c r="M194" s="17" t="str">
        <f aca="true">IF(A194="","",IF(J194&lt;&gt;"",J194-A194,TODAY()-A194))</f>
        <v/>
      </c>
      <c r="N194" s="18" t="str">
        <f aca="false">IF(A194="","",IF(AND(OR(F194="Bekliyor",F194="Parça bekleniyor",F194="Hazır"),M194&gt;7),"7 günü geçti",""))</f>
        <v/>
      </c>
      <c r="O194" s="18" t="str">
        <f aca="false">IF(AND(A194&lt;&gt;"",OR(F194="Bekliyor",F194="Parça bekleniyor",F194="Hazır")),A194+ROW()/1000000,"")</f>
        <v/>
      </c>
    </row>
    <row r="195" customFormat="false" ht="15" hidden="false" customHeight="false" outlineLevel="0" collapsed="false">
      <c r="A195" s="12"/>
      <c r="B195" s="13"/>
      <c r="C195" s="13"/>
      <c r="D195" s="13"/>
      <c r="E195" s="13"/>
      <c r="F195" s="14"/>
      <c r="G195" s="15"/>
      <c r="H195" s="15"/>
      <c r="I195" s="15"/>
      <c r="J195" s="12"/>
      <c r="K195" s="16" t="str">
        <f aca="false">IF(A195="","",G195+H195)</f>
        <v/>
      </c>
      <c r="L195" s="16" t="str">
        <f aca="false">IF(A195="","",IF(F195="İade edildi",0,K195-I195))</f>
        <v/>
      </c>
      <c r="M195" s="17" t="str">
        <f aca="true">IF(A195="","",IF(J195&lt;&gt;"",J195-A195,TODAY()-A195))</f>
        <v/>
      </c>
      <c r="N195" s="18" t="str">
        <f aca="false">IF(A195="","",IF(AND(OR(F195="Bekliyor",F195="Parça bekleniyor",F195="Hazır"),M195&gt;7),"7 günü geçti",""))</f>
        <v/>
      </c>
      <c r="O195" s="18" t="str">
        <f aca="false">IF(AND(A195&lt;&gt;"",OR(F195="Bekliyor",F195="Parça bekleniyor",F195="Hazır")),A195+ROW()/1000000,"")</f>
        <v/>
      </c>
    </row>
    <row r="196" customFormat="false" ht="15" hidden="false" customHeight="false" outlineLevel="0" collapsed="false">
      <c r="A196" s="12"/>
      <c r="B196" s="13"/>
      <c r="C196" s="13"/>
      <c r="D196" s="13"/>
      <c r="E196" s="13"/>
      <c r="F196" s="14"/>
      <c r="G196" s="15"/>
      <c r="H196" s="15"/>
      <c r="I196" s="15"/>
      <c r="J196" s="12"/>
      <c r="K196" s="16" t="str">
        <f aca="false">IF(A196="","",G196+H196)</f>
        <v/>
      </c>
      <c r="L196" s="16" t="str">
        <f aca="false">IF(A196="","",IF(F196="İade edildi",0,K196-I196))</f>
        <v/>
      </c>
      <c r="M196" s="17" t="str">
        <f aca="true">IF(A196="","",IF(J196&lt;&gt;"",J196-A196,TODAY()-A196))</f>
        <v/>
      </c>
      <c r="N196" s="18" t="str">
        <f aca="false">IF(A196="","",IF(AND(OR(F196="Bekliyor",F196="Parça bekleniyor",F196="Hazır"),M196&gt;7),"7 günü geçti",""))</f>
        <v/>
      </c>
      <c r="O196" s="18" t="str">
        <f aca="false">IF(AND(A196&lt;&gt;"",OR(F196="Bekliyor",F196="Parça bekleniyor",F196="Hazır")),A196+ROW()/1000000,"")</f>
        <v/>
      </c>
    </row>
    <row r="197" customFormat="false" ht="15" hidden="false" customHeight="false" outlineLevel="0" collapsed="false">
      <c r="A197" s="12"/>
      <c r="B197" s="13"/>
      <c r="C197" s="13"/>
      <c r="D197" s="13"/>
      <c r="E197" s="13"/>
      <c r="F197" s="14"/>
      <c r="G197" s="15"/>
      <c r="H197" s="15"/>
      <c r="I197" s="15"/>
      <c r="J197" s="12"/>
      <c r="K197" s="16" t="str">
        <f aca="false">IF(A197="","",G197+H197)</f>
        <v/>
      </c>
      <c r="L197" s="16" t="str">
        <f aca="false">IF(A197="","",IF(F197="İade edildi",0,K197-I197))</f>
        <v/>
      </c>
      <c r="M197" s="17" t="str">
        <f aca="true">IF(A197="","",IF(J197&lt;&gt;"",J197-A197,TODAY()-A197))</f>
        <v/>
      </c>
      <c r="N197" s="18" t="str">
        <f aca="false">IF(A197="","",IF(AND(OR(F197="Bekliyor",F197="Parça bekleniyor",F197="Hazır"),M197&gt;7),"7 günü geçti",""))</f>
        <v/>
      </c>
      <c r="O197" s="18" t="str">
        <f aca="false">IF(AND(A197&lt;&gt;"",OR(F197="Bekliyor",F197="Parça bekleniyor",F197="Hazır")),A197+ROW()/1000000,"")</f>
        <v/>
      </c>
    </row>
    <row r="198" customFormat="false" ht="15" hidden="false" customHeight="false" outlineLevel="0" collapsed="false">
      <c r="A198" s="12"/>
      <c r="B198" s="13"/>
      <c r="C198" s="13"/>
      <c r="D198" s="13"/>
      <c r="E198" s="13"/>
      <c r="F198" s="14"/>
      <c r="G198" s="15"/>
      <c r="H198" s="15"/>
      <c r="I198" s="15"/>
      <c r="J198" s="12"/>
      <c r="K198" s="16" t="str">
        <f aca="false">IF(A198="","",G198+H198)</f>
        <v/>
      </c>
      <c r="L198" s="16" t="str">
        <f aca="false">IF(A198="","",IF(F198="İade edildi",0,K198-I198))</f>
        <v/>
      </c>
      <c r="M198" s="17" t="str">
        <f aca="true">IF(A198="","",IF(J198&lt;&gt;"",J198-A198,TODAY()-A198))</f>
        <v/>
      </c>
      <c r="N198" s="18" t="str">
        <f aca="false">IF(A198="","",IF(AND(OR(F198="Bekliyor",F198="Parça bekleniyor",F198="Hazır"),M198&gt;7),"7 günü geçti",""))</f>
        <v/>
      </c>
      <c r="O198" s="18" t="str">
        <f aca="false">IF(AND(A198&lt;&gt;"",OR(F198="Bekliyor",F198="Parça bekleniyor",F198="Hazır")),A198+ROW()/1000000,"")</f>
        <v/>
      </c>
    </row>
    <row r="199" customFormat="false" ht="15" hidden="false" customHeight="false" outlineLevel="0" collapsed="false">
      <c r="A199" s="12"/>
      <c r="B199" s="13"/>
      <c r="C199" s="13"/>
      <c r="D199" s="13"/>
      <c r="E199" s="13"/>
      <c r="F199" s="14"/>
      <c r="G199" s="15"/>
      <c r="H199" s="15"/>
      <c r="I199" s="15"/>
      <c r="J199" s="12"/>
      <c r="K199" s="16" t="str">
        <f aca="false">IF(A199="","",G199+H199)</f>
        <v/>
      </c>
      <c r="L199" s="16" t="str">
        <f aca="false">IF(A199="","",IF(F199="İade edildi",0,K199-I199))</f>
        <v/>
      </c>
      <c r="M199" s="17" t="str">
        <f aca="true">IF(A199="","",IF(J199&lt;&gt;"",J199-A199,TODAY()-A199))</f>
        <v/>
      </c>
      <c r="N199" s="18" t="str">
        <f aca="false">IF(A199="","",IF(AND(OR(F199="Bekliyor",F199="Parça bekleniyor",F199="Hazır"),M199&gt;7),"7 günü geçti",""))</f>
        <v/>
      </c>
      <c r="O199" s="18" t="str">
        <f aca="false">IF(AND(A199&lt;&gt;"",OR(F199="Bekliyor",F199="Parça bekleniyor",F199="Hazır")),A199+ROW()/1000000,"")</f>
        <v/>
      </c>
    </row>
    <row r="200" customFormat="false" ht="15" hidden="false" customHeight="false" outlineLevel="0" collapsed="false">
      <c r="A200" s="12"/>
      <c r="B200" s="13"/>
      <c r="C200" s="13"/>
      <c r="D200" s="13"/>
      <c r="E200" s="13"/>
      <c r="F200" s="14"/>
      <c r="G200" s="15"/>
      <c r="H200" s="15"/>
      <c r="I200" s="15"/>
      <c r="J200" s="12"/>
      <c r="K200" s="16" t="str">
        <f aca="false">IF(A200="","",G200+H200)</f>
        <v/>
      </c>
      <c r="L200" s="16" t="str">
        <f aca="false">IF(A200="","",IF(F200="İade edildi",0,K200-I200))</f>
        <v/>
      </c>
      <c r="M200" s="17" t="str">
        <f aca="true">IF(A200="","",IF(J200&lt;&gt;"",J200-A200,TODAY()-A200))</f>
        <v/>
      </c>
      <c r="N200" s="18" t="str">
        <f aca="false">IF(A200="","",IF(AND(OR(F200="Bekliyor",F200="Parça bekleniyor",F200="Hazır"),M200&gt;7),"7 günü geçti",""))</f>
        <v/>
      </c>
      <c r="O200" s="18" t="str">
        <f aca="false">IF(AND(A200&lt;&gt;"",OR(F200="Bekliyor",F200="Parça bekleniyor",F200="Hazır")),A200+ROW()/1000000,"")</f>
        <v/>
      </c>
    </row>
    <row r="201" customFormat="false" ht="15" hidden="false" customHeight="false" outlineLevel="0" collapsed="false">
      <c r="A201" s="12"/>
      <c r="B201" s="13"/>
      <c r="C201" s="13"/>
      <c r="D201" s="13"/>
      <c r="E201" s="13"/>
      <c r="F201" s="14"/>
      <c r="G201" s="15"/>
      <c r="H201" s="15"/>
      <c r="I201" s="15"/>
      <c r="J201" s="12"/>
      <c r="K201" s="16" t="str">
        <f aca="false">IF(A201="","",G201+H201)</f>
        <v/>
      </c>
      <c r="L201" s="16" t="str">
        <f aca="false">IF(A201="","",IF(F201="İade edildi",0,K201-I201))</f>
        <v/>
      </c>
      <c r="M201" s="17" t="str">
        <f aca="true">IF(A201="","",IF(J201&lt;&gt;"",J201-A201,TODAY()-A201))</f>
        <v/>
      </c>
      <c r="N201" s="18" t="str">
        <f aca="false">IF(A201="","",IF(AND(OR(F201="Bekliyor",F201="Parça bekleniyor",F201="Hazır"),M201&gt;7),"7 günü geçti",""))</f>
        <v/>
      </c>
      <c r="O201" s="18" t="str">
        <f aca="false">IF(AND(A201&lt;&gt;"",OR(F201="Bekliyor",F201="Parça bekleniyor",F201="Hazır")),A201+ROW()/1000000,"")</f>
        <v/>
      </c>
    </row>
    <row r="202" customFormat="false" ht="15" hidden="false" customHeight="false" outlineLevel="0" collapsed="false">
      <c r="A202" s="12"/>
      <c r="B202" s="13"/>
      <c r="C202" s="13"/>
      <c r="D202" s="13"/>
      <c r="E202" s="13"/>
      <c r="F202" s="14"/>
      <c r="G202" s="15"/>
      <c r="H202" s="15"/>
      <c r="I202" s="15"/>
      <c r="J202" s="12"/>
      <c r="K202" s="16" t="str">
        <f aca="false">IF(A202="","",G202+H202)</f>
        <v/>
      </c>
      <c r="L202" s="16" t="str">
        <f aca="false">IF(A202="","",IF(F202="İade edildi",0,K202-I202))</f>
        <v/>
      </c>
      <c r="M202" s="17" t="str">
        <f aca="true">IF(A202="","",IF(J202&lt;&gt;"",J202-A202,TODAY()-A202))</f>
        <v/>
      </c>
      <c r="N202" s="18" t="str">
        <f aca="false">IF(A202="","",IF(AND(OR(F202="Bekliyor",F202="Parça bekleniyor",F202="Hazır"),M202&gt;7),"7 günü geçti",""))</f>
        <v/>
      </c>
      <c r="O202" s="18" t="str">
        <f aca="false">IF(AND(A202&lt;&gt;"",OR(F202="Bekliyor",F202="Parça bekleniyor",F202="Hazır")),A202+ROW()/1000000,"")</f>
        <v/>
      </c>
    </row>
    <row r="203" customFormat="false" ht="15" hidden="false" customHeight="false" outlineLevel="0" collapsed="false">
      <c r="A203" s="12"/>
      <c r="B203" s="13"/>
      <c r="C203" s="13"/>
      <c r="D203" s="13"/>
      <c r="E203" s="13"/>
      <c r="F203" s="14"/>
      <c r="G203" s="15"/>
      <c r="H203" s="15"/>
      <c r="I203" s="15"/>
      <c r="J203" s="12"/>
      <c r="K203" s="16" t="str">
        <f aca="false">IF(A203="","",G203+H203)</f>
        <v/>
      </c>
      <c r="L203" s="16" t="str">
        <f aca="false">IF(A203="","",IF(F203="İade edildi",0,K203-I203))</f>
        <v/>
      </c>
      <c r="M203" s="17" t="str">
        <f aca="true">IF(A203="","",IF(J203&lt;&gt;"",J203-A203,TODAY()-A203))</f>
        <v/>
      </c>
      <c r="N203" s="18" t="str">
        <f aca="false">IF(A203="","",IF(AND(OR(F203="Bekliyor",F203="Parça bekleniyor",F203="Hazır"),M203&gt;7),"7 günü geçti",""))</f>
        <v/>
      </c>
      <c r="O203" s="18" t="str">
        <f aca="false">IF(AND(A203&lt;&gt;"",OR(F203="Bekliyor",F203="Parça bekleniyor",F203="Hazır")),A203+ROW()/1000000,"")</f>
        <v/>
      </c>
    </row>
    <row r="204" customFormat="false" ht="15" hidden="false" customHeight="false" outlineLevel="0" collapsed="false">
      <c r="A204" s="12"/>
      <c r="B204" s="13"/>
      <c r="C204" s="13"/>
      <c r="D204" s="13"/>
      <c r="E204" s="13"/>
      <c r="F204" s="14"/>
      <c r="G204" s="15"/>
      <c r="H204" s="15"/>
      <c r="I204" s="15"/>
      <c r="J204" s="12"/>
      <c r="K204" s="16" t="str">
        <f aca="false">IF(A204="","",G204+H204)</f>
        <v/>
      </c>
      <c r="L204" s="16" t="str">
        <f aca="false">IF(A204="","",IF(F204="İade edildi",0,K204-I204))</f>
        <v/>
      </c>
      <c r="M204" s="17" t="str">
        <f aca="true">IF(A204="","",IF(J204&lt;&gt;"",J204-A204,TODAY()-A204))</f>
        <v/>
      </c>
      <c r="N204" s="18" t="str">
        <f aca="false">IF(A204="","",IF(AND(OR(F204="Bekliyor",F204="Parça bekleniyor",F204="Hazır"),M204&gt;7),"7 günü geçti",""))</f>
        <v/>
      </c>
      <c r="O204" s="18" t="str">
        <f aca="false">IF(AND(A204&lt;&gt;"",OR(F204="Bekliyor",F204="Parça bekleniyor",F204="Hazır")),A204+ROW()/1000000,"")</f>
        <v/>
      </c>
    </row>
    <row r="205" customFormat="false" ht="15" hidden="false" customHeight="false" outlineLevel="0" collapsed="false">
      <c r="A205" s="12"/>
      <c r="B205" s="13"/>
      <c r="C205" s="13"/>
      <c r="D205" s="13"/>
      <c r="E205" s="13"/>
      <c r="F205" s="14"/>
      <c r="G205" s="15"/>
      <c r="H205" s="15"/>
      <c r="I205" s="15"/>
      <c r="J205" s="12"/>
      <c r="K205" s="16" t="str">
        <f aca="false">IF(A205="","",G205+H205)</f>
        <v/>
      </c>
      <c r="L205" s="16" t="str">
        <f aca="false">IF(A205="","",IF(F205="İade edildi",0,K205-I205))</f>
        <v/>
      </c>
      <c r="M205" s="17" t="str">
        <f aca="true">IF(A205="","",IF(J205&lt;&gt;"",J205-A205,TODAY()-A205))</f>
        <v/>
      </c>
      <c r="N205" s="18" t="str">
        <f aca="false">IF(A205="","",IF(AND(OR(F205="Bekliyor",F205="Parça bekleniyor",F205="Hazır"),M205&gt;7),"7 günü geçti",""))</f>
        <v/>
      </c>
      <c r="O205" s="18" t="str">
        <f aca="false">IF(AND(A205&lt;&gt;"",OR(F205="Bekliyor",F205="Parça bekleniyor",F205="Hazır")),A205+ROW()/1000000,"")</f>
        <v/>
      </c>
    </row>
    <row r="206" customFormat="false" ht="15" hidden="false" customHeight="false" outlineLevel="0" collapsed="false">
      <c r="A206" s="12"/>
      <c r="B206" s="13"/>
      <c r="C206" s="13"/>
      <c r="D206" s="13"/>
      <c r="E206" s="13"/>
      <c r="F206" s="14"/>
      <c r="G206" s="15"/>
      <c r="H206" s="15"/>
      <c r="I206" s="15"/>
      <c r="J206" s="12"/>
      <c r="K206" s="16" t="str">
        <f aca="false">IF(A206="","",G206+H206)</f>
        <v/>
      </c>
      <c r="L206" s="16" t="str">
        <f aca="false">IF(A206="","",IF(F206="İade edildi",0,K206-I206))</f>
        <v/>
      </c>
      <c r="M206" s="17" t="str">
        <f aca="true">IF(A206="","",IF(J206&lt;&gt;"",J206-A206,TODAY()-A206))</f>
        <v/>
      </c>
      <c r="N206" s="18" t="str">
        <f aca="false">IF(A206="","",IF(AND(OR(F206="Bekliyor",F206="Parça bekleniyor",F206="Hazır"),M206&gt;7),"7 günü geçti",""))</f>
        <v/>
      </c>
      <c r="O206" s="18" t="str">
        <f aca="false">IF(AND(A206&lt;&gt;"",OR(F206="Bekliyor",F206="Parça bekleniyor",F206="Hazır")),A206+ROW()/1000000,"")</f>
        <v/>
      </c>
    </row>
    <row r="207" customFormat="false" ht="15" hidden="false" customHeight="false" outlineLevel="0" collapsed="false">
      <c r="A207" s="12"/>
      <c r="B207" s="13"/>
      <c r="C207" s="13"/>
      <c r="D207" s="13"/>
      <c r="E207" s="13"/>
      <c r="F207" s="14"/>
      <c r="G207" s="15"/>
      <c r="H207" s="15"/>
      <c r="I207" s="15"/>
      <c r="J207" s="12"/>
      <c r="K207" s="16" t="str">
        <f aca="false">IF(A207="","",G207+H207)</f>
        <v/>
      </c>
      <c r="L207" s="16" t="str">
        <f aca="false">IF(A207="","",IF(F207="İade edildi",0,K207-I207))</f>
        <v/>
      </c>
      <c r="M207" s="17" t="str">
        <f aca="true">IF(A207="","",IF(J207&lt;&gt;"",J207-A207,TODAY()-A207))</f>
        <v/>
      </c>
      <c r="N207" s="18" t="str">
        <f aca="false">IF(A207="","",IF(AND(OR(F207="Bekliyor",F207="Parça bekleniyor",F207="Hazır"),M207&gt;7),"7 günü geçti",""))</f>
        <v/>
      </c>
      <c r="O207" s="18" t="str">
        <f aca="false">IF(AND(A207&lt;&gt;"",OR(F207="Bekliyor",F207="Parça bekleniyor",F207="Hazır")),A207+ROW()/1000000,"")</f>
        <v/>
      </c>
    </row>
    <row r="208" customFormat="false" ht="15" hidden="false" customHeight="false" outlineLevel="0" collapsed="false">
      <c r="A208" s="12"/>
      <c r="B208" s="13"/>
      <c r="C208" s="13"/>
      <c r="D208" s="13"/>
      <c r="E208" s="13"/>
      <c r="F208" s="14"/>
      <c r="G208" s="15"/>
      <c r="H208" s="15"/>
      <c r="I208" s="15"/>
      <c r="J208" s="12"/>
      <c r="K208" s="16" t="str">
        <f aca="false">IF(A208="","",G208+H208)</f>
        <v/>
      </c>
      <c r="L208" s="16" t="str">
        <f aca="false">IF(A208="","",IF(F208="İade edildi",0,K208-I208))</f>
        <v/>
      </c>
      <c r="M208" s="17" t="str">
        <f aca="true">IF(A208="","",IF(J208&lt;&gt;"",J208-A208,TODAY()-A208))</f>
        <v/>
      </c>
      <c r="N208" s="18" t="str">
        <f aca="false">IF(A208="","",IF(AND(OR(F208="Bekliyor",F208="Parça bekleniyor",F208="Hazır"),M208&gt;7),"7 günü geçti",""))</f>
        <v/>
      </c>
      <c r="O208" s="18" t="str">
        <f aca="false">IF(AND(A208&lt;&gt;"",OR(F208="Bekliyor",F208="Parça bekleniyor",F208="Hazır")),A208+ROW()/1000000,"")</f>
        <v/>
      </c>
    </row>
    <row r="209" customFormat="false" ht="15" hidden="false" customHeight="false" outlineLevel="0" collapsed="false">
      <c r="A209" s="12"/>
      <c r="B209" s="13"/>
      <c r="C209" s="13"/>
      <c r="D209" s="13"/>
      <c r="E209" s="13"/>
      <c r="F209" s="14"/>
      <c r="G209" s="15"/>
      <c r="H209" s="15"/>
      <c r="I209" s="15"/>
      <c r="J209" s="12"/>
      <c r="K209" s="16" t="str">
        <f aca="false">IF(A209="","",G209+H209)</f>
        <v/>
      </c>
      <c r="L209" s="16" t="str">
        <f aca="false">IF(A209="","",IF(F209="İade edildi",0,K209-I209))</f>
        <v/>
      </c>
      <c r="M209" s="17" t="str">
        <f aca="true">IF(A209="","",IF(J209&lt;&gt;"",J209-A209,TODAY()-A209))</f>
        <v/>
      </c>
      <c r="N209" s="18" t="str">
        <f aca="false">IF(A209="","",IF(AND(OR(F209="Bekliyor",F209="Parça bekleniyor",F209="Hazır"),M209&gt;7),"7 günü geçti",""))</f>
        <v/>
      </c>
      <c r="O209" s="18" t="str">
        <f aca="false">IF(AND(A209&lt;&gt;"",OR(F209="Bekliyor",F209="Parça bekleniyor",F209="Hazır")),A209+ROW()/1000000,"")</f>
        <v/>
      </c>
    </row>
    <row r="210" customFormat="false" ht="15" hidden="false" customHeight="false" outlineLevel="0" collapsed="false">
      <c r="A210" s="12"/>
      <c r="B210" s="13"/>
      <c r="C210" s="13"/>
      <c r="D210" s="13"/>
      <c r="E210" s="13"/>
      <c r="F210" s="14"/>
      <c r="G210" s="15"/>
      <c r="H210" s="15"/>
      <c r="I210" s="15"/>
      <c r="J210" s="12"/>
      <c r="K210" s="16" t="str">
        <f aca="false">IF(A210="","",G210+H210)</f>
        <v/>
      </c>
      <c r="L210" s="16" t="str">
        <f aca="false">IF(A210="","",IF(F210="İade edildi",0,K210-I210))</f>
        <v/>
      </c>
      <c r="M210" s="17" t="str">
        <f aca="true">IF(A210="","",IF(J210&lt;&gt;"",J210-A210,TODAY()-A210))</f>
        <v/>
      </c>
      <c r="N210" s="18" t="str">
        <f aca="false">IF(A210="","",IF(AND(OR(F210="Bekliyor",F210="Parça bekleniyor",F210="Hazır"),M210&gt;7),"7 günü geçti",""))</f>
        <v/>
      </c>
      <c r="O210" s="18" t="str">
        <f aca="false">IF(AND(A210&lt;&gt;"",OR(F210="Bekliyor",F210="Parça bekleniyor",F210="Hazır")),A210+ROW()/1000000,"")</f>
        <v/>
      </c>
    </row>
    <row r="211" customFormat="false" ht="15" hidden="false" customHeight="false" outlineLevel="0" collapsed="false">
      <c r="A211" s="12"/>
      <c r="B211" s="13"/>
      <c r="C211" s="13"/>
      <c r="D211" s="13"/>
      <c r="E211" s="13"/>
      <c r="F211" s="14"/>
      <c r="G211" s="15"/>
      <c r="H211" s="15"/>
      <c r="I211" s="15"/>
      <c r="J211" s="12"/>
      <c r="K211" s="16" t="str">
        <f aca="false">IF(A211="","",G211+H211)</f>
        <v/>
      </c>
      <c r="L211" s="16" t="str">
        <f aca="false">IF(A211="","",IF(F211="İade edildi",0,K211-I211))</f>
        <v/>
      </c>
      <c r="M211" s="17" t="str">
        <f aca="true">IF(A211="","",IF(J211&lt;&gt;"",J211-A211,TODAY()-A211))</f>
        <v/>
      </c>
      <c r="N211" s="18" t="str">
        <f aca="false">IF(A211="","",IF(AND(OR(F211="Bekliyor",F211="Parça bekleniyor",F211="Hazır"),M211&gt;7),"7 günü geçti",""))</f>
        <v/>
      </c>
      <c r="O211" s="18" t="str">
        <f aca="false">IF(AND(A211&lt;&gt;"",OR(F211="Bekliyor",F211="Parça bekleniyor",F211="Hazır")),A211+ROW()/1000000,"")</f>
        <v/>
      </c>
    </row>
    <row r="212" customFormat="false" ht="15" hidden="false" customHeight="false" outlineLevel="0" collapsed="false">
      <c r="A212" s="12"/>
      <c r="B212" s="13"/>
      <c r="C212" s="13"/>
      <c r="D212" s="13"/>
      <c r="E212" s="13"/>
      <c r="F212" s="14"/>
      <c r="G212" s="15"/>
      <c r="H212" s="15"/>
      <c r="I212" s="15"/>
      <c r="J212" s="12"/>
      <c r="K212" s="16" t="str">
        <f aca="false">IF(A212="","",G212+H212)</f>
        <v/>
      </c>
      <c r="L212" s="16" t="str">
        <f aca="false">IF(A212="","",IF(F212="İade edildi",0,K212-I212))</f>
        <v/>
      </c>
      <c r="M212" s="17" t="str">
        <f aca="true">IF(A212="","",IF(J212&lt;&gt;"",J212-A212,TODAY()-A212))</f>
        <v/>
      </c>
      <c r="N212" s="18" t="str">
        <f aca="false">IF(A212="","",IF(AND(OR(F212="Bekliyor",F212="Parça bekleniyor",F212="Hazır"),M212&gt;7),"7 günü geçti",""))</f>
        <v/>
      </c>
      <c r="O212" s="18" t="str">
        <f aca="false">IF(AND(A212&lt;&gt;"",OR(F212="Bekliyor",F212="Parça bekleniyor",F212="Hazır")),A212+ROW()/1000000,"")</f>
        <v/>
      </c>
    </row>
    <row r="213" customFormat="false" ht="15" hidden="false" customHeight="false" outlineLevel="0" collapsed="false">
      <c r="A213" s="12"/>
      <c r="B213" s="13"/>
      <c r="C213" s="13"/>
      <c r="D213" s="13"/>
      <c r="E213" s="13"/>
      <c r="F213" s="14"/>
      <c r="G213" s="15"/>
      <c r="H213" s="15"/>
      <c r="I213" s="15"/>
      <c r="J213" s="12"/>
      <c r="K213" s="16" t="str">
        <f aca="false">IF(A213="","",G213+H213)</f>
        <v/>
      </c>
      <c r="L213" s="16" t="str">
        <f aca="false">IF(A213="","",IF(F213="İade edildi",0,K213-I213))</f>
        <v/>
      </c>
      <c r="M213" s="17" t="str">
        <f aca="true">IF(A213="","",IF(J213&lt;&gt;"",J213-A213,TODAY()-A213))</f>
        <v/>
      </c>
      <c r="N213" s="18" t="str">
        <f aca="false">IF(A213="","",IF(AND(OR(F213="Bekliyor",F213="Parça bekleniyor",F213="Hazır"),M213&gt;7),"7 günü geçti",""))</f>
        <v/>
      </c>
      <c r="O213" s="18" t="str">
        <f aca="false">IF(AND(A213&lt;&gt;"",OR(F213="Bekliyor",F213="Parça bekleniyor",F213="Hazır")),A213+ROW()/1000000,"")</f>
        <v/>
      </c>
    </row>
    <row r="214" customFormat="false" ht="15" hidden="false" customHeight="false" outlineLevel="0" collapsed="false">
      <c r="A214" s="12"/>
      <c r="B214" s="13"/>
      <c r="C214" s="13"/>
      <c r="D214" s="13"/>
      <c r="E214" s="13"/>
      <c r="F214" s="14"/>
      <c r="G214" s="15"/>
      <c r="H214" s="15"/>
      <c r="I214" s="15"/>
      <c r="J214" s="12"/>
      <c r="K214" s="16" t="str">
        <f aca="false">IF(A214="","",G214+H214)</f>
        <v/>
      </c>
      <c r="L214" s="16" t="str">
        <f aca="false">IF(A214="","",IF(F214="İade edildi",0,K214-I214))</f>
        <v/>
      </c>
      <c r="M214" s="17" t="str">
        <f aca="true">IF(A214="","",IF(J214&lt;&gt;"",J214-A214,TODAY()-A214))</f>
        <v/>
      </c>
      <c r="N214" s="18" t="str">
        <f aca="false">IF(A214="","",IF(AND(OR(F214="Bekliyor",F214="Parça bekleniyor",F214="Hazır"),M214&gt;7),"7 günü geçti",""))</f>
        <v/>
      </c>
      <c r="O214" s="18" t="str">
        <f aca="false">IF(AND(A214&lt;&gt;"",OR(F214="Bekliyor",F214="Parça bekleniyor",F214="Hazır")),A214+ROW()/1000000,"")</f>
        <v/>
      </c>
    </row>
    <row r="215" customFormat="false" ht="15" hidden="false" customHeight="false" outlineLevel="0" collapsed="false">
      <c r="A215" s="12"/>
      <c r="B215" s="13"/>
      <c r="C215" s="13"/>
      <c r="D215" s="13"/>
      <c r="E215" s="13"/>
      <c r="F215" s="14"/>
      <c r="G215" s="15"/>
      <c r="H215" s="15"/>
      <c r="I215" s="15"/>
      <c r="J215" s="12"/>
      <c r="K215" s="16" t="str">
        <f aca="false">IF(A215="","",G215+H215)</f>
        <v/>
      </c>
      <c r="L215" s="16" t="str">
        <f aca="false">IF(A215="","",IF(F215="İade edildi",0,K215-I215))</f>
        <v/>
      </c>
      <c r="M215" s="17" t="str">
        <f aca="true">IF(A215="","",IF(J215&lt;&gt;"",J215-A215,TODAY()-A215))</f>
        <v/>
      </c>
      <c r="N215" s="18" t="str">
        <f aca="false">IF(A215="","",IF(AND(OR(F215="Bekliyor",F215="Parça bekleniyor",F215="Hazır"),M215&gt;7),"7 günü geçti",""))</f>
        <v/>
      </c>
      <c r="O215" s="18" t="str">
        <f aca="false">IF(AND(A215&lt;&gt;"",OR(F215="Bekliyor",F215="Parça bekleniyor",F215="Hazır")),A215+ROW()/1000000,"")</f>
        <v/>
      </c>
    </row>
    <row r="216" customFormat="false" ht="15" hidden="false" customHeight="false" outlineLevel="0" collapsed="false">
      <c r="A216" s="12"/>
      <c r="B216" s="13"/>
      <c r="C216" s="13"/>
      <c r="D216" s="13"/>
      <c r="E216" s="13"/>
      <c r="F216" s="14"/>
      <c r="G216" s="15"/>
      <c r="H216" s="15"/>
      <c r="I216" s="15"/>
      <c r="J216" s="12"/>
      <c r="K216" s="16" t="str">
        <f aca="false">IF(A216="","",G216+H216)</f>
        <v/>
      </c>
      <c r="L216" s="16" t="str">
        <f aca="false">IF(A216="","",IF(F216="İade edildi",0,K216-I216))</f>
        <v/>
      </c>
      <c r="M216" s="17" t="str">
        <f aca="true">IF(A216="","",IF(J216&lt;&gt;"",J216-A216,TODAY()-A216))</f>
        <v/>
      </c>
      <c r="N216" s="18" t="str">
        <f aca="false">IF(A216="","",IF(AND(OR(F216="Bekliyor",F216="Parça bekleniyor",F216="Hazır"),M216&gt;7),"7 günü geçti",""))</f>
        <v/>
      </c>
      <c r="O216" s="18" t="str">
        <f aca="false">IF(AND(A216&lt;&gt;"",OR(F216="Bekliyor",F216="Parça bekleniyor",F216="Hazır")),A216+ROW()/1000000,"")</f>
        <v/>
      </c>
    </row>
    <row r="217" customFormat="false" ht="15" hidden="false" customHeight="false" outlineLevel="0" collapsed="false">
      <c r="A217" s="12"/>
      <c r="B217" s="13"/>
      <c r="C217" s="13"/>
      <c r="D217" s="13"/>
      <c r="E217" s="13"/>
      <c r="F217" s="14"/>
      <c r="G217" s="15"/>
      <c r="H217" s="15"/>
      <c r="I217" s="15"/>
      <c r="J217" s="12"/>
      <c r="K217" s="16" t="str">
        <f aca="false">IF(A217="","",G217+H217)</f>
        <v/>
      </c>
      <c r="L217" s="16" t="str">
        <f aca="false">IF(A217="","",IF(F217="İade edildi",0,K217-I217))</f>
        <v/>
      </c>
      <c r="M217" s="17" t="str">
        <f aca="true">IF(A217="","",IF(J217&lt;&gt;"",J217-A217,TODAY()-A217))</f>
        <v/>
      </c>
      <c r="N217" s="18" t="str">
        <f aca="false">IF(A217="","",IF(AND(OR(F217="Bekliyor",F217="Parça bekleniyor",F217="Hazır"),M217&gt;7),"7 günü geçti",""))</f>
        <v/>
      </c>
      <c r="O217" s="18" t="str">
        <f aca="false">IF(AND(A217&lt;&gt;"",OR(F217="Bekliyor",F217="Parça bekleniyor",F217="Hazır")),A217+ROW()/1000000,"")</f>
        <v/>
      </c>
    </row>
    <row r="218" customFormat="false" ht="15" hidden="false" customHeight="false" outlineLevel="0" collapsed="false">
      <c r="A218" s="12"/>
      <c r="B218" s="13"/>
      <c r="C218" s="13"/>
      <c r="D218" s="13"/>
      <c r="E218" s="13"/>
      <c r="F218" s="14"/>
      <c r="G218" s="15"/>
      <c r="H218" s="15"/>
      <c r="I218" s="15"/>
      <c r="J218" s="12"/>
      <c r="K218" s="16" t="str">
        <f aca="false">IF(A218="","",G218+H218)</f>
        <v/>
      </c>
      <c r="L218" s="16" t="str">
        <f aca="false">IF(A218="","",IF(F218="İade edildi",0,K218-I218))</f>
        <v/>
      </c>
      <c r="M218" s="17" t="str">
        <f aca="true">IF(A218="","",IF(J218&lt;&gt;"",J218-A218,TODAY()-A218))</f>
        <v/>
      </c>
      <c r="N218" s="18" t="str">
        <f aca="false">IF(A218="","",IF(AND(OR(F218="Bekliyor",F218="Parça bekleniyor",F218="Hazır"),M218&gt;7),"7 günü geçti",""))</f>
        <v/>
      </c>
      <c r="O218" s="18" t="str">
        <f aca="false">IF(AND(A218&lt;&gt;"",OR(F218="Bekliyor",F218="Parça bekleniyor",F218="Hazır")),A218+ROW()/1000000,"")</f>
        <v/>
      </c>
    </row>
    <row r="219" customFormat="false" ht="15" hidden="false" customHeight="false" outlineLevel="0" collapsed="false">
      <c r="A219" s="12"/>
      <c r="B219" s="13"/>
      <c r="C219" s="13"/>
      <c r="D219" s="13"/>
      <c r="E219" s="13"/>
      <c r="F219" s="14"/>
      <c r="G219" s="15"/>
      <c r="H219" s="15"/>
      <c r="I219" s="15"/>
      <c r="J219" s="12"/>
      <c r="K219" s="16" t="str">
        <f aca="false">IF(A219="","",G219+H219)</f>
        <v/>
      </c>
      <c r="L219" s="16" t="str">
        <f aca="false">IF(A219="","",IF(F219="İade edildi",0,K219-I219))</f>
        <v/>
      </c>
      <c r="M219" s="17" t="str">
        <f aca="true">IF(A219="","",IF(J219&lt;&gt;"",J219-A219,TODAY()-A219))</f>
        <v/>
      </c>
      <c r="N219" s="18" t="str">
        <f aca="false">IF(A219="","",IF(AND(OR(F219="Bekliyor",F219="Parça bekleniyor",F219="Hazır"),M219&gt;7),"7 günü geçti",""))</f>
        <v/>
      </c>
      <c r="O219" s="18" t="str">
        <f aca="false">IF(AND(A219&lt;&gt;"",OR(F219="Bekliyor",F219="Parça bekleniyor",F219="Hazır")),A219+ROW()/1000000,"")</f>
        <v/>
      </c>
    </row>
    <row r="220" customFormat="false" ht="15" hidden="false" customHeight="false" outlineLevel="0" collapsed="false">
      <c r="A220" s="12"/>
      <c r="B220" s="13"/>
      <c r="C220" s="13"/>
      <c r="D220" s="13"/>
      <c r="E220" s="13"/>
      <c r="F220" s="14"/>
      <c r="G220" s="15"/>
      <c r="H220" s="15"/>
      <c r="I220" s="15"/>
      <c r="J220" s="12"/>
      <c r="K220" s="16" t="str">
        <f aca="false">IF(A220="","",G220+H220)</f>
        <v/>
      </c>
      <c r="L220" s="16" t="str">
        <f aca="false">IF(A220="","",IF(F220="İade edildi",0,K220-I220))</f>
        <v/>
      </c>
      <c r="M220" s="17" t="str">
        <f aca="true">IF(A220="","",IF(J220&lt;&gt;"",J220-A220,TODAY()-A220))</f>
        <v/>
      </c>
      <c r="N220" s="18" t="str">
        <f aca="false">IF(A220="","",IF(AND(OR(F220="Bekliyor",F220="Parça bekleniyor",F220="Hazır"),M220&gt;7),"7 günü geçti",""))</f>
        <v/>
      </c>
      <c r="O220" s="18" t="str">
        <f aca="false">IF(AND(A220&lt;&gt;"",OR(F220="Bekliyor",F220="Parça bekleniyor",F220="Hazır")),A220+ROW()/1000000,"")</f>
        <v/>
      </c>
    </row>
    <row r="221" customFormat="false" ht="15" hidden="false" customHeight="false" outlineLevel="0" collapsed="false">
      <c r="A221" s="12"/>
      <c r="B221" s="13"/>
      <c r="C221" s="13"/>
      <c r="D221" s="13"/>
      <c r="E221" s="13"/>
      <c r="F221" s="14"/>
      <c r="G221" s="15"/>
      <c r="H221" s="15"/>
      <c r="I221" s="15"/>
      <c r="J221" s="12"/>
      <c r="K221" s="16" t="str">
        <f aca="false">IF(A221="","",G221+H221)</f>
        <v/>
      </c>
      <c r="L221" s="16" t="str">
        <f aca="false">IF(A221="","",IF(F221="İade edildi",0,K221-I221))</f>
        <v/>
      </c>
      <c r="M221" s="17" t="str">
        <f aca="true">IF(A221="","",IF(J221&lt;&gt;"",J221-A221,TODAY()-A221))</f>
        <v/>
      </c>
      <c r="N221" s="18" t="str">
        <f aca="false">IF(A221="","",IF(AND(OR(F221="Bekliyor",F221="Parça bekleniyor",F221="Hazır"),M221&gt;7),"7 günü geçti",""))</f>
        <v/>
      </c>
      <c r="O221" s="18" t="str">
        <f aca="false">IF(AND(A221&lt;&gt;"",OR(F221="Bekliyor",F221="Parça bekleniyor",F221="Hazır")),A221+ROW()/1000000,"")</f>
        <v/>
      </c>
    </row>
    <row r="222" customFormat="false" ht="15" hidden="false" customHeight="false" outlineLevel="0" collapsed="false">
      <c r="A222" s="12"/>
      <c r="B222" s="13"/>
      <c r="C222" s="13"/>
      <c r="D222" s="13"/>
      <c r="E222" s="13"/>
      <c r="F222" s="14"/>
      <c r="G222" s="15"/>
      <c r="H222" s="15"/>
      <c r="I222" s="15"/>
      <c r="J222" s="12"/>
      <c r="K222" s="16" t="str">
        <f aca="false">IF(A222="","",G222+H222)</f>
        <v/>
      </c>
      <c r="L222" s="16" t="str">
        <f aca="false">IF(A222="","",IF(F222="İade edildi",0,K222-I222))</f>
        <v/>
      </c>
      <c r="M222" s="17" t="str">
        <f aca="true">IF(A222="","",IF(J222&lt;&gt;"",J222-A222,TODAY()-A222))</f>
        <v/>
      </c>
      <c r="N222" s="18" t="str">
        <f aca="false">IF(A222="","",IF(AND(OR(F222="Bekliyor",F222="Parça bekleniyor",F222="Hazır"),M222&gt;7),"7 günü geçti",""))</f>
        <v/>
      </c>
      <c r="O222" s="18" t="str">
        <f aca="false">IF(AND(A222&lt;&gt;"",OR(F222="Bekliyor",F222="Parça bekleniyor",F222="Hazır")),A222+ROW()/1000000,"")</f>
        <v/>
      </c>
    </row>
    <row r="223" customFormat="false" ht="15" hidden="false" customHeight="false" outlineLevel="0" collapsed="false">
      <c r="A223" s="12"/>
      <c r="B223" s="13"/>
      <c r="C223" s="13"/>
      <c r="D223" s="13"/>
      <c r="E223" s="13"/>
      <c r="F223" s="14"/>
      <c r="G223" s="15"/>
      <c r="H223" s="15"/>
      <c r="I223" s="15"/>
      <c r="J223" s="12"/>
      <c r="K223" s="16" t="str">
        <f aca="false">IF(A223="","",G223+H223)</f>
        <v/>
      </c>
      <c r="L223" s="16" t="str">
        <f aca="false">IF(A223="","",IF(F223="İade edildi",0,K223-I223))</f>
        <v/>
      </c>
      <c r="M223" s="17" t="str">
        <f aca="true">IF(A223="","",IF(J223&lt;&gt;"",J223-A223,TODAY()-A223))</f>
        <v/>
      </c>
      <c r="N223" s="18" t="str">
        <f aca="false">IF(A223="","",IF(AND(OR(F223="Bekliyor",F223="Parça bekleniyor",F223="Hazır"),M223&gt;7),"7 günü geçti",""))</f>
        <v/>
      </c>
      <c r="O223" s="18" t="str">
        <f aca="false">IF(AND(A223&lt;&gt;"",OR(F223="Bekliyor",F223="Parça bekleniyor",F223="Hazır")),A223+ROW()/1000000,"")</f>
        <v/>
      </c>
    </row>
    <row r="224" customFormat="false" ht="15" hidden="false" customHeight="false" outlineLevel="0" collapsed="false">
      <c r="A224" s="12"/>
      <c r="B224" s="13"/>
      <c r="C224" s="13"/>
      <c r="D224" s="13"/>
      <c r="E224" s="13"/>
      <c r="F224" s="14"/>
      <c r="G224" s="15"/>
      <c r="H224" s="15"/>
      <c r="I224" s="15"/>
      <c r="J224" s="12"/>
      <c r="K224" s="16" t="str">
        <f aca="false">IF(A224="","",G224+H224)</f>
        <v/>
      </c>
      <c r="L224" s="16" t="str">
        <f aca="false">IF(A224="","",IF(F224="İade edildi",0,K224-I224))</f>
        <v/>
      </c>
      <c r="M224" s="17" t="str">
        <f aca="true">IF(A224="","",IF(J224&lt;&gt;"",J224-A224,TODAY()-A224))</f>
        <v/>
      </c>
      <c r="N224" s="18" t="str">
        <f aca="false">IF(A224="","",IF(AND(OR(F224="Bekliyor",F224="Parça bekleniyor",F224="Hazır"),M224&gt;7),"7 günü geçti",""))</f>
        <v/>
      </c>
      <c r="O224" s="18" t="str">
        <f aca="false">IF(AND(A224&lt;&gt;"",OR(F224="Bekliyor",F224="Parça bekleniyor",F224="Hazır")),A224+ROW()/1000000,"")</f>
        <v/>
      </c>
    </row>
    <row r="225" customFormat="false" ht="15" hidden="false" customHeight="false" outlineLevel="0" collapsed="false">
      <c r="A225" s="12"/>
      <c r="B225" s="13"/>
      <c r="C225" s="13"/>
      <c r="D225" s="13"/>
      <c r="E225" s="13"/>
      <c r="F225" s="14"/>
      <c r="G225" s="15"/>
      <c r="H225" s="15"/>
      <c r="I225" s="15"/>
      <c r="J225" s="12"/>
      <c r="K225" s="16" t="str">
        <f aca="false">IF(A225="","",G225+H225)</f>
        <v/>
      </c>
      <c r="L225" s="16" t="str">
        <f aca="false">IF(A225="","",IF(F225="İade edildi",0,K225-I225))</f>
        <v/>
      </c>
      <c r="M225" s="17" t="str">
        <f aca="true">IF(A225="","",IF(J225&lt;&gt;"",J225-A225,TODAY()-A225))</f>
        <v/>
      </c>
      <c r="N225" s="18" t="str">
        <f aca="false">IF(A225="","",IF(AND(OR(F225="Bekliyor",F225="Parça bekleniyor",F225="Hazır"),M225&gt;7),"7 günü geçti",""))</f>
        <v/>
      </c>
      <c r="O225" s="18" t="str">
        <f aca="false">IF(AND(A225&lt;&gt;"",OR(F225="Bekliyor",F225="Parça bekleniyor",F225="Hazır")),A225+ROW()/1000000,"")</f>
        <v/>
      </c>
    </row>
    <row r="226" customFormat="false" ht="15" hidden="false" customHeight="false" outlineLevel="0" collapsed="false">
      <c r="A226" s="12"/>
      <c r="B226" s="13"/>
      <c r="C226" s="13"/>
      <c r="D226" s="13"/>
      <c r="E226" s="13"/>
      <c r="F226" s="14"/>
      <c r="G226" s="15"/>
      <c r="H226" s="15"/>
      <c r="I226" s="15"/>
      <c r="J226" s="12"/>
      <c r="K226" s="16" t="str">
        <f aca="false">IF(A226="","",G226+H226)</f>
        <v/>
      </c>
      <c r="L226" s="16" t="str">
        <f aca="false">IF(A226="","",IF(F226="İade edildi",0,K226-I226))</f>
        <v/>
      </c>
      <c r="M226" s="17" t="str">
        <f aca="true">IF(A226="","",IF(J226&lt;&gt;"",J226-A226,TODAY()-A226))</f>
        <v/>
      </c>
      <c r="N226" s="18" t="str">
        <f aca="false">IF(A226="","",IF(AND(OR(F226="Bekliyor",F226="Parça bekleniyor",F226="Hazır"),M226&gt;7),"7 günü geçti",""))</f>
        <v/>
      </c>
      <c r="O226" s="18" t="str">
        <f aca="false">IF(AND(A226&lt;&gt;"",OR(F226="Bekliyor",F226="Parça bekleniyor",F226="Hazır")),A226+ROW()/1000000,"")</f>
        <v/>
      </c>
    </row>
    <row r="227" customFormat="false" ht="15" hidden="false" customHeight="false" outlineLevel="0" collapsed="false">
      <c r="A227" s="12"/>
      <c r="B227" s="13"/>
      <c r="C227" s="13"/>
      <c r="D227" s="13"/>
      <c r="E227" s="13"/>
      <c r="F227" s="14"/>
      <c r="G227" s="15"/>
      <c r="H227" s="15"/>
      <c r="I227" s="15"/>
      <c r="J227" s="12"/>
      <c r="K227" s="16" t="str">
        <f aca="false">IF(A227="","",G227+H227)</f>
        <v/>
      </c>
      <c r="L227" s="16" t="str">
        <f aca="false">IF(A227="","",IF(F227="İade edildi",0,K227-I227))</f>
        <v/>
      </c>
      <c r="M227" s="17" t="str">
        <f aca="true">IF(A227="","",IF(J227&lt;&gt;"",J227-A227,TODAY()-A227))</f>
        <v/>
      </c>
      <c r="N227" s="18" t="str">
        <f aca="false">IF(A227="","",IF(AND(OR(F227="Bekliyor",F227="Parça bekleniyor",F227="Hazır"),M227&gt;7),"7 günü geçti",""))</f>
        <v/>
      </c>
      <c r="O227" s="18" t="str">
        <f aca="false">IF(AND(A227&lt;&gt;"",OR(F227="Bekliyor",F227="Parça bekleniyor",F227="Hazır")),A227+ROW()/1000000,"")</f>
        <v/>
      </c>
    </row>
    <row r="228" customFormat="false" ht="15" hidden="false" customHeight="false" outlineLevel="0" collapsed="false">
      <c r="A228" s="12"/>
      <c r="B228" s="13"/>
      <c r="C228" s="13"/>
      <c r="D228" s="13"/>
      <c r="E228" s="13"/>
      <c r="F228" s="14"/>
      <c r="G228" s="15"/>
      <c r="H228" s="15"/>
      <c r="I228" s="15"/>
      <c r="J228" s="12"/>
      <c r="K228" s="16" t="str">
        <f aca="false">IF(A228="","",G228+H228)</f>
        <v/>
      </c>
      <c r="L228" s="16" t="str">
        <f aca="false">IF(A228="","",IF(F228="İade edildi",0,K228-I228))</f>
        <v/>
      </c>
      <c r="M228" s="17" t="str">
        <f aca="true">IF(A228="","",IF(J228&lt;&gt;"",J228-A228,TODAY()-A228))</f>
        <v/>
      </c>
      <c r="N228" s="18" t="str">
        <f aca="false">IF(A228="","",IF(AND(OR(F228="Bekliyor",F228="Parça bekleniyor",F228="Hazır"),M228&gt;7),"7 günü geçti",""))</f>
        <v/>
      </c>
      <c r="O228" s="18" t="str">
        <f aca="false">IF(AND(A228&lt;&gt;"",OR(F228="Bekliyor",F228="Parça bekleniyor",F228="Hazır")),A228+ROW()/1000000,"")</f>
        <v/>
      </c>
    </row>
    <row r="229" customFormat="false" ht="15" hidden="false" customHeight="false" outlineLevel="0" collapsed="false">
      <c r="A229" s="12"/>
      <c r="B229" s="13"/>
      <c r="C229" s="13"/>
      <c r="D229" s="13"/>
      <c r="E229" s="13"/>
      <c r="F229" s="14"/>
      <c r="G229" s="15"/>
      <c r="H229" s="15"/>
      <c r="I229" s="15"/>
      <c r="J229" s="12"/>
      <c r="K229" s="16" t="str">
        <f aca="false">IF(A229="","",G229+H229)</f>
        <v/>
      </c>
      <c r="L229" s="16" t="str">
        <f aca="false">IF(A229="","",IF(F229="İade edildi",0,K229-I229))</f>
        <v/>
      </c>
      <c r="M229" s="17" t="str">
        <f aca="true">IF(A229="","",IF(J229&lt;&gt;"",J229-A229,TODAY()-A229))</f>
        <v/>
      </c>
      <c r="N229" s="18" t="str">
        <f aca="false">IF(A229="","",IF(AND(OR(F229="Bekliyor",F229="Parça bekleniyor",F229="Hazır"),M229&gt;7),"7 günü geçti",""))</f>
        <v/>
      </c>
      <c r="O229" s="18" t="str">
        <f aca="false">IF(AND(A229&lt;&gt;"",OR(F229="Bekliyor",F229="Parça bekleniyor",F229="Hazır")),A229+ROW()/1000000,"")</f>
        <v/>
      </c>
    </row>
    <row r="230" customFormat="false" ht="15" hidden="false" customHeight="false" outlineLevel="0" collapsed="false">
      <c r="A230" s="12"/>
      <c r="B230" s="13"/>
      <c r="C230" s="13"/>
      <c r="D230" s="13"/>
      <c r="E230" s="13"/>
      <c r="F230" s="14"/>
      <c r="G230" s="15"/>
      <c r="H230" s="15"/>
      <c r="I230" s="15"/>
      <c r="J230" s="12"/>
      <c r="K230" s="16" t="str">
        <f aca="false">IF(A230="","",G230+H230)</f>
        <v/>
      </c>
      <c r="L230" s="16" t="str">
        <f aca="false">IF(A230="","",IF(F230="İade edildi",0,K230-I230))</f>
        <v/>
      </c>
      <c r="M230" s="17" t="str">
        <f aca="true">IF(A230="","",IF(J230&lt;&gt;"",J230-A230,TODAY()-A230))</f>
        <v/>
      </c>
      <c r="N230" s="18" t="str">
        <f aca="false">IF(A230="","",IF(AND(OR(F230="Bekliyor",F230="Parça bekleniyor",F230="Hazır"),M230&gt;7),"7 günü geçti",""))</f>
        <v/>
      </c>
      <c r="O230" s="18" t="str">
        <f aca="false">IF(AND(A230&lt;&gt;"",OR(F230="Bekliyor",F230="Parça bekleniyor",F230="Hazır")),A230+ROW()/1000000,"")</f>
        <v/>
      </c>
    </row>
    <row r="231" customFormat="false" ht="15" hidden="false" customHeight="false" outlineLevel="0" collapsed="false">
      <c r="A231" s="12"/>
      <c r="B231" s="13"/>
      <c r="C231" s="13"/>
      <c r="D231" s="13"/>
      <c r="E231" s="13"/>
      <c r="F231" s="14"/>
      <c r="G231" s="15"/>
      <c r="H231" s="15"/>
      <c r="I231" s="15"/>
      <c r="J231" s="12"/>
      <c r="K231" s="16" t="str">
        <f aca="false">IF(A231="","",G231+H231)</f>
        <v/>
      </c>
      <c r="L231" s="16" t="str">
        <f aca="false">IF(A231="","",IF(F231="İade edildi",0,K231-I231))</f>
        <v/>
      </c>
      <c r="M231" s="17" t="str">
        <f aca="true">IF(A231="","",IF(J231&lt;&gt;"",J231-A231,TODAY()-A231))</f>
        <v/>
      </c>
      <c r="N231" s="18" t="str">
        <f aca="false">IF(A231="","",IF(AND(OR(F231="Bekliyor",F231="Parça bekleniyor",F231="Hazır"),M231&gt;7),"7 günü geçti",""))</f>
        <v/>
      </c>
      <c r="O231" s="18" t="str">
        <f aca="false">IF(AND(A231&lt;&gt;"",OR(F231="Bekliyor",F231="Parça bekleniyor",F231="Hazır")),A231+ROW()/1000000,"")</f>
        <v/>
      </c>
    </row>
    <row r="232" customFormat="false" ht="15" hidden="false" customHeight="false" outlineLevel="0" collapsed="false">
      <c r="A232" s="12"/>
      <c r="B232" s="13"/>
      <c r="C232" s="13"/>
      <c r="D232" s="13"/>
      <c r="E232" s="13"/>
      <c r="F232" s="14"/>
      <c r="G232" s="15"/>
      <c r="H232" s="15"/>
      <c r="I232" s="15"/>
      <c r="J232" s="12"/>
      <c r="K232" s="16" t="str">
        <f aca="false">IF(A232="","",G232+H232)</f>
        <v/>
      </c>
      <c r="L232" s="16" t="str">
        <f aca="false">IF(A232="","",IF(F232="İade edildi",0,K232-I232))</f>
        <v/>
      </c>
      <c r="M232" s="17" t="str">
        <f aca="true">IF(A232="","",IF(J232&lt;&gt;"",J232-A232,TODAY()-A232))</f>
        <v/>
      </c>
      <c r="N232" s="18" t="str">
        <f aca="false">IF(A232="","",IF(AND(OR(F232="Bekliyor",F232="Parça bekleniyor",F232="Hazır"),M232&gt;7),"7 günü geçti",""))</f>
        <v/>
      </c>
      <c r="O232" s="18" t="str">
        <f aca="false">IF(AND(A232&lt;&gt;"",OR(F232="Bekliyor",F232="Parça bekleniyor",F232="Hazır")),A232+ROW()/1000000,"")</f>
        <v/>
      </c>
    </row>
    <row r="233" customFormat="false" ht="15" hidden="false" customHeight="false" outlineLevel="0" collapsed="false">
      <c r="A233" s="12"/>
      <c r="B233" s="13"/>
      <c r="C233" s="13"/>
      <c r="D233" s="13"/>
      <c r="E233" s="13"/>
      <c r="F233" s="14"/>
      <c r="G233" s="15"/>
      <c r="H233" s="15"/>
      <c r="I233" s="15"/>
      <c r="J233" s="12"/>
      <c r="K233" s="16" t="str">
        <f aca="false">IF(A233="","",G233+H233)</f>
        <v/>
      </c>
      <c r="L233" s="16" t="str">
        <f aca="false">IF(A233="","",IF(F233="İade edildi",0,K233-I233))</f>
        <v/>
      </c>
      <c r="M233" s="17" t="str">
        <f aca="true">IF(A233="","",IF(J233&lt;&gt;"",J233-A233,TODAY()-A233))</f>
        <v/>
      </c>
      <c r="N233" s="18" t="str">
        <f aca="false">IF(A233="","",IF(AND(OR(F233="Bekliyor",F233="Parça bekleniyor",F233="Hazır"),M233&gt;7),"7 günü geçti",""))</f>
        <v/>
      </c>
      <c r="O233" s="18" t="str">
        <f aca="false">IF(AND(A233&lt;&gt;"",OR(F233="Bekliyor",F233="Parça bekleniyor",F233="Hazır")),A233+ROW()/1000000,"")</f>
        <v/>
      </c>
    </row>
    <row r="234" customFormat="false" ht="15" hidden="false" customHeight="false" outlineLevel="0" collapsed="false">
      <c r="A234" s="12"/>
      <c r="B234" s="13"/>
      <c r="C234" s="13"/>
      <c r="D234" s="13"/>
      <c r="E234" s="13"/>
      <c r="F234" s="14"/>
      <c r="G234" s="15"/>
      <c r="H234" s="15"/>
      <c r="I234" s="15"/>
      <c r="J234" s="12"/>
      <c r="K234" s="16" t="str">
        <f aca="false">IF(A234="","",G234+H234)</f>
        <v/>
      </c>
      <c r="L234" s="16" t="str">
        <f aca="false">IF(A234="","",IF(F234="İade edildi",0,K234-I234))</f>
        <v/>
      </c>
      <c r="M234" s="17" t="str">
        <f aca="true">IF(A234="","",IF(J234&lt;&gt;"",J234-A234,TODAY()-A234))</f>
        <v/>
      </c>
      <c r="N234" s="18" t="str">
        <f aca="false">IF(A234="","",IF(AND(OR(F234="Bekliyor",F234="Parça bekleniyor",F234="Hazır"),M234&gt;7),"7 günü geçti",""))</f>
        <v/>
      </c>
      <c r="O234" s="18" t="str">
        <f aca="false">IF(AND(A234&lt;&gt;"",OR(F234="Bekliyor",F234="Parça bekleniyor",F234="Hazır")),A234+ROW()/1000000,"")</f>
        <v/>
      </c>
    </row>
    <row r="235" customFormat="false" ht="15" hidden="false" customHeight="false" outlineLevel="0" collapsed="false">
      <c r="A235" s="12"/>
      <c r="B235" s="13"/>
      <c r="C235" s="13"/>
      <c r="D235" s="13"/>
      <c r="E235" s="13"/>
      <c r="F235" s="14"/>
      <c r="G235" s="15"/>
      <c r="H235" s="15"/>
      <c r="I235" s="15"/>
      <c r="J235" s="12"/>
      <c r="K235" s="16" t="str">
        <f aca="false">IF(A235="","",G235+H235)</f>
        <v/>
      </c>
      <c r="L235" s="16" t="str">
        <f aca="false">IF(A235="","",IF(F235="İade edildi",0,K235-I235))</f>
        <v/>
      </c>
      <c r="M235" s="17" t="str">
        <f aca="true">IF(A235="","",IF(J235&lt;&gt;"",J235-A235,TODAY()-A235))</f>
        <v/>
      </c>
      <c r="N235" s="18" t="str">
        <f aca="false">IF(A235="","",IF(AND(OR(F235="Bekliyor",F235="Parça bekleniyor",F235="Hazır"),M235&gt;7),"7 günü geçti",""))</f>
        <v/>
      </c>
      <c r="O235" s="18" t="str">
        <f aca="false">IF(AND(A235&lt;&gt;"",OR(F235="Bekliyor",F235="Parça bekleniyor",F235="Hazır")),A235+ROW()/1000000,"")</f>
        <v/>
      </c>
    </row>
    <row r="236" customFormat="false" ht="15" hidden="false" customHeight="false" outlineLevel="0" collapsed="false">
      <c r="A236" s="12"/>
      <c r="B236" s="13"/>
      <c r="C236" s="13"/>
      <c r="D236" s="13"/>
      <c r="E236" s="13"/>
      <c r="F236" s="14"/>
      <c r="G236" s="15"/>
      <c r="H236" s="15"/>
      <c r="I236" s="15"/>
      <c r="J236" s="12"/>
      <c r="K236" s="16" t="str">
        <f aca="false">IF(A236="","",G236+H236)</f>
        <v/>
      </c>
      <c r="L236" s="16" t="str">
        <f aca="false">IF(A236="","",IF(F236="İade edildi",0,K236-I236))</f>
        <v/>
      </c>
      <c r="M236" s="17" t="str">
        <f aca="true">IF(A236="","",IF(J236&lt;&gt;"",J236-A236,TODAY()-A236))</f>
        <v/>
      </c>
      <c r="N236" s="18" t="str">
        <f aca="false">IF(A236="","",IF(AND(OR(F236="Bekliyor",F236="Parça bekleniyor",F236="Hazır"),M236&gt;7),"7 günü geçti",""))</f>
        <v/>
      </c>
      <c r="O236" s="18" t="str">
        <f aca="false">IF(AND(A236&lt;&gt;"",OR(F236="Bekliyor",F236="Parça bekleniyor",F236="Hazır")),A236+ROW()/1000000,"")</f>
        <v/>
      </c>
    </row>
    <row r="237" customFormat="false" ht="15" hidden="false" customHeight="false" outlineLevel="0" collapsed="false">
      <c r="A237" s="12"/>
      <c r="B237" s="13"/>
      <c r="C237" s="13"/>
      <c r="D237" s="13"/>
      <c r="E237" s="13"/>
      <c r="F237" s="14"/>
      <c r="G237" s="15"/>
      <c r="H237" s="15"/>
      <c r="I237" s="15"/>
      <c r="J237" s="12"/>
      <c r="K237" s="16" t="str">
        <f aca="false">IF(A237="","",G237+H237)</f>
        <v/>
      </c>
      <c r="L237" s="16" t="str">
        <f aca="false">IF(A237="","",IF(F237="İade edildi",0,K237-I237))</f>
        <v/>
      </c>
      <c r="M237" s="17" t="str">
        <f aca="true">IF(A237="","",IF(J237&lt;&gt;"",J237-A237,TODAY()-A237))</f>
        <v/>
      </c>
      <c r="N237" s="18" t="str">
        <f aca="false">IF(A237="","",IF(AND(OR(F237="Bekliyor",F237="Parça bekleniyor",F237="Hazır"),M237&gt;7),"7 günü geçti",""))</f>
        <v/>
      </c>
      <c r="O237" s="18" t="str">
        <f aca="false">IF(AND(A237&lt;&gt;"",OR(F237="Bekliyor",F237="Parça bekleniyor",F237="Hazır")),A237+ROW()/1000000,"")</f>
        <v/>
      </c>
    </row>
    <row r="238" customFormat="false" ht="15" hidden="false" customHeight="false" outlineLevel="0" collapsed="false">
      <c r="A238" s="12"/>
      <c r="B238" s="13"/>
      <c r="C238" s="13"/>
      <c r="D238" s="13"/>
      <c r="E238" s="13"/>
      <c r="F238" s="14"/>
      <c r="G238" s="15"/>
      <c r="H238" s="15"/>
      <c r="I238" s="15"/>
      <c r="J238" s="12"/>
      <c r="K238" s="16" t="str">
        <f aca="false">IF(A238="","",G238+H238)</f>
        <v/>
      </c>
      <c r="L238" s="16" t="str">
        <f aca="false">IF(A238="","",IF(F238="İade edildi",0,K238-I238))</f>
        <v/>
      </c>
      <c r="M238" s="17" t="str">
        <f aca="true">IF(A238="","",IF(J238&lt;&gt;"",J238-A238,TODAY()-A238))</f>
        <v/>
      </c>
      <c r="N238" s="18" t="str">
        <f aca="false">IF(A238="","",IF(AND(OR(F238="Bekliyor",F238="Parça bekleniyor",F238="Hazır"),M238&gt;7),"7 günü geçti",""))</f>
        <v/>
      </c>
      <c r="O238" s="18" t="str">
        <f aca="false">IF(AND(A238&lt;&gt;"",OR(F238="Bekliyor",F238="Parça bekleniyor",F238="Hazır")),A238+ROW()/1000000,"")</f>
        <v/>
      </c>
    </row>
    <row r="239" customFormat="false" ht="15" hidden="false" customHeight="false" outlineLevel="0" collapsed="false">
      <c r="A239" s="12"/>
      <c r="B239" s="13"/>
      <c r="C239" s="13"/>
      <c r="D239" s="13"/>
      <c r="E239" s="13"/>
      <c r="F239" s="14"/>
      <c r="G239" s="15"/>
      <c r="H239" s="15"/>
      <c r="I239" s="15"/>
      <c r="J239" s="12"/>
      <c r="K239" s="16" t="str">
        <f aca="false">IF(A239="","",G239+H239)</f>
        <v/>
      </c>
      <c r="L239" s="16" t="str">
        <f aca="false">IF(A239="","",IF(F239="İade edildi",0,K239-I239))</f>
        <v/>
      </c>
      <c r="M239" s="17" t="str">
        <f aca="true">IF(A239="","",IF(J239&lt;&gt;"",J239-A239,TODAY()-A239))</f>
        <v/>
      </c>
      <c r="N239" s="18" t="str">
        <f aca="false">IF(A239="","",IF(AND(OR(F239="Bekliyor",F239="Parça bekleniyor",F239="Hazır"),M239&gt;7),"7 günü geçti",""))</f>
        <v/>
      </c>
      <c r="O239" s="18" t="str">
        <f aca="false">IF(AND(A239&lt;&gt;"",OR(F239="Bekliyor",F239="Parça bekleniyor",F239="Hazır")),A239+ROW()/1000000,"")</f>
        <v/>
      </c>
    </row>
    <row r="240" customFormat="false" ht="15" hidden="false" customHeight="false" outlineLevel="0" collapsed="false">
      <c r="A240" s="12"/>
      <c r="B240" s="13"/>
      <c r="C240" s="13"/>
      <c r="D240" s="13"/>
      <c r="E240" s="13"/>
      <c r="F240" s="14"/>
      <c r="G240" s="15"/>
      <c r="H240" s="15"/>
      <c r="I240" s="15"/>
      <c r="J240" s="12"/>
      <c r="K240" s="16" t="str">
        <f aca="false">IF(A240="","",G240+H240)</f>
        <v/>
      </c>
      <c r="L240" s="16" t="str">
        <f aca="false">IF(A240="","",IF(F240="İade edildi",0,K240-I240))</f>
        <v/>
      </c>
      <c r="M240" s="17" t="str">
        <f aca="true">IF(A240="","",IF(J240&lt;&gt;"",J240-A240,TODAY()-A240))</f>
        <v/>
      </c>
      <c r="N240" s="18" t="str">
        <f aca="false">IF(A240="","",IF(AND(OR(F240="Bekliyor",F240="Parça bekleniyor",F240="Hazır"),M240&gt;7),"7 günü geçti",""))</f>
        <v/>
      </c>
      <c r="O240" s="18" t="str">
        <f aca="false">IF(AND(A240&lt;&gt;"",OR(F240="Bekliyor",F240="Parça bekleniyor",F240="Hazır")),A240+ROW()/1000000,"")</f>
        <v/>
      </c>
    </row>
    <row r="241" customFormat="false" ht="15" hidden="false" customHeight="false" outlineLevel="0" collapsed="false">
      <c r="A241" s="12"/>
      <c r="B241" s="13"/>
      <c r="C241" s="13"/>
      <c r="D241" s="13"/>
      <c r="E241" s="13"/>
      <c r="F241" s="14"/>
      <c r="G241" s="15"/>
      <c r="H241" s="15"/>
      <c r="I241" s="15"/>
      <c r="J241" s="12"/>
      <c r="K241" s="16" t="str">
        <f aca="false">IF(A241="","",G241+H241)</f>
        <v/>
      </c>
      <c r="L241" s="16" t="str">
        <f aca="false">IF(A241="","",IF(F241="İade edildi",0,K241-I241))</f>
        <v/>
      </c>
      <c r="M241" s="17" t="str">
        <f aca="true">IF(A241="","",IF(J241&lt;&gt;"",J241-A241,TODAY()-A241))</f>
        <v/>
      </c>
      <c r="N241" s="18" t="str">
        <f aca="false">IF(A241="","",IF(AND(OR(F241="Bekliyor",F241="Parça bekleniyor",F241="Hazır"),M241&gt;7),"7 günü geçti",""))</f>
        <v/>
      </c>
      <c r="O241" s="18" t="str">
        <f aca="false">IF(AND(A241&lt;&gt;"",OR(F241="Bekliyor",F241="Parça bekleniyor",F241="Hazır")),A241+ROW()/1000000,"")</f>
        <v/>
      </c>
    </row>
    <row r="242" customFormat="false" ht="15" hidden="false" customHeight="false" outlineLevel="0" collapsed="false">
      <c r="A242" s="12"/>
      <c r="B242" s="13"/>
      <c r="C242" s="13"/>
      <c r="D242" s="13"/>
      <c r="E242" s="13"/>
      <c r="F242" s="14"/>
      <c r="G242" s="15"/>
      <c r="H242" s="15"/>
      <c r="I242" s="15"/>
      <c r="J242" s="12"/>
      <c r="K242" s="16" t="str">
        <f aca="false">IF(A242="","",G242+H242)</f>
        <v/>
      </c>
      <c r="L242" s="16" t="str">
        <f aca="false">IF(A242="","",IF(F242="İade edildi",0,K242-I242))</f>
        <v/>
      </c>
      <c r="M242" s="17" t="str">
        <f aca="true">IF(A242="","",IF(J242&lt;&gt;"",J242-A242,TODAY()-A242))</f>
        <v/>
      </c>
      <c r="N242" s="18" t="str">
        <f aca="false">IF(A242="","",IF(AND(OR(F242="Bekliyor",F242="Parça bekleniyor",F242="Hazır"),M242&gt;7),"7 günü geçti",""))</f>
        <v/>
      </c>
      <c r="O242" s="18" t="str">
        <f aca="false">IF(AND(A242&lt;&gt;"",OR(F242="Bekliyor",F242="Parça bekleniyor",F242="Hazır")),A242+ROW()/1000000,"")</f>
        <v/>
      </c>
    </row>
    <row r="243" customFormat="false" ht="15" hidden="false" customHeight="false" outlineLevel="0" collapsed="false">
      <c r="A243" s="12"/>
      <c r="B243" s="13"/>
      <c r="C243" s="13"/>
      <c r="D243" s="13"/>
      <c r="E243" s="13"/>
      <c r="F243" s="14"/>
      <c r="G243" s="15"/>
      <c r="H243" s="15"/>
      <c r="I243" s="15"/>
      <c r="J243" s="12"/>
      <c r="K243" s="16" t="str">
        <f aca="false">IF(A243="","",G243+H243)</f>
        <v/>
      </c>
      <c r="L243" s="16" t="str">
        <f aca="false">IF(A243="","",IF(F243="İade edildi",0,K243-I243))</f>
        <v/>
      </c>
      <c r="M243" s="17" t="str">
        <f aca="true">IF(A243="","",IF(J243&lt;&gt;"",J243-A243,TODAY()-A243))</f>
        <v/>
      </c>
      <c r="N243" s="18" t="str">
        <f aca="false">IF(A243="","",IF(AND(OR(F243="Bekliyor",F243="Parça bekleniyor",F243="Hazır"),M243&gt;7),"7 günü geçti",""))</f>
        <v/>
      </c>
      <c r="O243" s="18" t="str">
        <f aca="false">IF(AND(A243&lt;&gt;"",OR(F243="Bekliyor",F243="Parça bekleniyor",F243="Hazır")),A243+ROW()/1000000,"")</f>
        <v/>
      </c>
    </row>
    <row r="244" customFormat="false" ht="15" hidden="false" customHeight="false" outlineLevel="0" collapsed="false">
      <c r="A244" s="12"/>
      <c r="B244" s="13"/>
      <c r="C244" s="13"/>
      <c r="D244" s="13"/>
      <c r="E244" s="13"/>
      <c r="F244" s="14"/>
      <c r="G244" s="15"/>
      <c r="H244" s="15"/>
      <c r="I244" s="15"/>
      <c r="J244" s="12"/>
      <c r="K244" s="16" t="str">
        <f aca="false">IF(A244="","",G244+H244)</f>
        <v/>
      </c>
      <c r="L244" s="16" t="str">
        <f aca="false">IF(A244="","",IF(F244="İade edildi",0,K244-I244))</f>
        <v/>
      </c>
      <c r="M244" s="17" t="str">
        <f aca="true">IF(A244="","",IF(J244&lt;&gt;"",J244-A244,TODAY()-A244))</f>
        <v/>
      </c>
      <c r="N244" s="18" t="str">
        <f aca="false">IF(A244="","",IF(AND(OR(F244="Bekliyor",F244="Parça bekleniyor",F244="Hazır"),M244&gt;7),"7 günü geçti",""))</f>
        <v/>
      </c>
      <c r="O244" s="18" t="str">
        <f aca="false">IF(AND(A244&lt;&gt;"",OR(F244="Bekliyor",F244="Parça bekleniyor",F244="Hazır")),A244+ROW()/1000000,"")</f>
        <v/>
      </c>
    </row>
    <row r="245" customFormat="false" ht="15" hidden="false" customHeight="false" outlineLevel="0" collapsed="false">
      <c r="A245" s="12"/>
      <c r="B245" s="13"/>
      <c r="C245" s="13"/>
      <c r="D245" s="13"/>
      <c r="E245" s="13"/>
      <c r="F245" s="14"/>
      <c r="G245" s="15"/>
      <c r="H245" s="15"/>
      <c r="I245" s="15"/>
      <c r="J245" s="12"/>
      <c r="K245" s="16" t="str">
        <f aca="false">IF(A245="","",G245+H245)</f>
        <v/>
      </c>
      <c r="L245" s="16" t="str">
        <f aca="false">IF(A245="","",IF(F245="İade edildi",0,K245-I245))</f>
        <v/>
      </c>
      <c r="M245" s="17" t="str">
        <f aca="true">IF(A245="","",IF(J245&lt;&gt;"",J245-A245,TODAY()-A245))</f>
        <v/>
      </c>
      <c r="N245" s="18" t="str">
        <f aca="false">IF(A245="","",IF(AND(OR(F245="Bekliyor",F245="Parça bekleniyor",F245="Hazır"),M245&gt;7),"7 günü geçti",""))</f>
        <v/>
      </c>
      <c r="O245" s="18" t="str">
        <f aca="false">IF(AND(A245&lt;&gt;"",OR(F245="Bekliyor",F245="Parça bekleniyor",F245="Hazır")),A245+ROW()/1000000,"")</f>
        <v/>
      </c>
    </row>
    <row r="246" customFormat="false" ht="15" hidden="false" customHeight="false" outlineLevel="0" collapsed="false">
      <c r="A246" s="12"/>
      <c r="B246" s="13"/>
      <c r="C246" s="13"/>
      <c r="D246" s="13"/>
      <c r="E246" s="13"/>
      <c r="F246" s="14"/>
      <c r="G246" s="15"/>
      <c r="H246" s="15"/>
      <c r="I246" s="15"/>
      <c r="J246" s="12"/>
      <c r="K246" s="16" t="str">
        <f aca="false">IF(A246="","",G246+H246)</f>
        <v/>
      </c>
      <c r="L246" s="16" t="str">
        <f aca="false">IF(A246="","",IF(F246="İade edildi",0,K246-I246))</f>
        <v/>
      </c>
      <c r="M246" s="17" t="str">
        <f aca="true">IF(A246="","",IF(J246&lt;&gt;"",J246-A246,TODAY()-A246))</f>
        <v/>
      </c>
      <c r="N246" s="18" t="str">
        <f aca="false">IF(A246="","",IF(AND(OR(F246="Bekliyor",F246="Parça bekleniyor",F246="Hazır"),M246&gt;7),"7 günü geçti",""))</f>
        <v/>
      </c>
      <c r="O246" s="18" t="str">
        <f aca="false">IF(AND(A246&lt;&gt;"",OR(F246="Bekliyor",F246="Parça bekleniyor",F246="Hazır")),A246+ROW()/1000000,"")</f>
        <v/>
      </c>
    </row>
    <row r="247" customFormat="false" ht="15" hidden="false" customHeight="false" outlineLevel="0" collapsed="false">
      <c r="A247" s="12"/>
      <c r="B247" s="13"/>
      <c r="C247" s="13"/>
      <c r="D247" s="13"/>
      <c r="E247" s="13"/>
      <c r="F247" s="14"/>
      <c r="G247" s="15"/>
      <c r="H247" s="15"/>
      <c r="I247" s="15"/>
      <c r="J247" s="12"/>
      <c r="K247" s="16" t="str">
        <f aca="false">IF(A247="","",G247+H247)</f>
        <v/>
      </c>
      <c r="L247" s="16" t="str">
        <f aca="false">IF(A247="","",IF(F247="İade edildi",0,K247-I247))</f>
        <v/>
      </c>
      <c r="M247" s="17" t="str">
        <f aca="true">IF(A247="","",IF(J247&lt;&gt;"",J247-A247,TODAY()-A247))</f>
        <v/>
      </c>
      <c r="N247" s="18" t="str">
        <f aca="false">IF(A247="","",IF(AND(OR(F247="Bekliyor",F247="Parça bekleniyor",F247="Hazır"),M247&gt;7),"7 günü geçti",""))</f>
        <v/>
      </c>
      <c r="O247" s="18" t="str">
        <f aca="false">IF(AND(A247&lt;&gt;"",OR(F247="Bekliyor",F247="Parça bekleniyor",F247="Hazır")),A247+ROW()/1000000,"")</f>
        <v/>
      </c>
    </row>
    <row r="248" customFormat="false" ht="15" hidden="false" customHeight="false" outlineLevel="0" collapsed="false">
      <c r="A248" s="12"/>
      <c r="B248" s="13"/>
      <c r="C248" s="13"/>
      <c r="D248" s="13"/>
      <c r="E248" s="13"/>
      <c r="F248" s="14"/>
      <c r="G248" s="15"/>
      <c r="H248" s="15"/>
      <c r="I248" s="15"/>
      <c r="J248" s="12"/>
      <c r="K248" s="16" t="str">
        <f aca="false">IF(A248="","",G248+H248)</f>
        <v/>
      </c>
      <c r="L248" s="16" t="str">
        <f aca="false">IF(A248="","",IF(F248="İade edildi",0,K248-I248))</f>
        <v/>
      </c>
      <c r="M248" s="17" t="str">
        <f aca="true">IF(A248="","",IF(J248&lt;&gt;"",J248-A248,TODAY()-A248))</f>
        <v/>
      </c>
      <c r="N248" s="18" t="str">
        <f aca="false">IF(A248="","",IF(AND(OR(F248="Bekliyor",F248="Parça bekleniyor",F248="Hazır"),M248&gt;7),"7 günü geçti",""))</f>
        <v/>
      </c>
      <c r="O248" s="18" t="str">
        <f aca="false">IF(AND(A248&lt;&gt;"",OR(F248="Bekliyor",F248="Parça bekleniyor",F248="Hazır")),A248+ROW()/1000000,"")</f>
        <v/>
      </c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4"/>
      <c r="G249" s="15"/>
      <c r="H249" s="15"/>
      <c r="I249" s="15"/>
      <c r="J249" s="12"/>
      <c r="K249" s="16" t="str">
        <f aca="false">IF(A249="","",G249+H249)</f>
        <v/>
      </c>
      <c r="L249" s="16" t="str">
        <f aca="false">IF(A249="","",IF(F249="İade edildi",0,K249-I249))</f>
        <v/>
      </c>
      <c r="M249" s="17" t="str">
        <f aca="true">IF(A249="","",IF(J249&lt;&gt;"",J249-A249,TODAY()-A249))</f>
        <v/>
      </c>
      <c r="N249" s="18" t="str">
        <f aca="false">IF(A249="","",IF(AND(OR(F249="Bekliyor",F249="Parça bekleniyor",F249="Hazır"),M249&gt;7),"7 günü geçti",""))</f>
        <v/>
      </c>
      <c r="O249" s="18" t="str">
        <f aca="false">IF(AND(A249&lt;&gt;"",OR(F249="Bekliyor",F249="Parça bekleniyor",F249="Hazır")),A249+ROW()/1000000,"")</f>
        <v/>
      </c>
    </row>
    <row r="250" customFormat="false" ht="15" hidden="false" customHeight="false" outlineLevel="0" collapsed="false">
      <c r="A250" s="12"/>
      <c r="B250" s="13"/>
      <c r="C250" s="13"/>
      <c r="D250" s="13"/>
      <c r="E250" s="13"/>
      <c r="F250" s="14"/>
      <c r="G250" s="15"/>
      <c r="H250" s="15"/>
      <c r="I250" s="15"/>
      <c r="J250" s="12"/>
      <c r="K250" s="16" t="str">
        <f aca="false">IF(A250="","",G250+H250)</f>
        <v/>
      </c>
      <c r="L250" s="16" t="str">
        <f aca="false">IF(A250="","",IF(F250="İade edildi",0,K250-I250))</f>
        <v/>
      </c>
      <c r="M250" s="17" t="str">
        <f aca="true">IF(A250="","",IF(J250&lt;&gt;"",J250-A250,TODAY()-A250))</f>
        <v/>
      </c>
      <c r="N250" s="18" t="str">
        <f aca="false">IF(A250="","",IF(AND(OR(F250="Bekliyor",F250="Parça bekleniyor",F250="Hazır"),M250&gt;7),"7 günü geçti",""))</f>
        <v/>
      </c>
      <c r="O250" s="18" t="str">
        <f aca="false">IF(AND(A250&lt;&gt;"",OR(F250="Bekliyor",F250="Parça bekleniyor",F250="Hazır")),A250+ROW()/1000000,"")</f>
        <v/>
      </c>
    </row>
    <row r="251" customFormat="false" ht="15" hidden="false" customHeight="false" outlineLevel="0" collapsed="false">
      <c r="A251" s="12"/>
      <c r="B251" s="13"/>
      <c r="C251" s="13"/>
      <c r="D251" s="13"/>
      <c r="E251" s="13"/>
      <c r="F251" s="14"/>
      <c r="G251" s="15"/>
      <c r="H251" s="15"/>
      <c r="I251" s="15"/>
      <c r="J251" s="12"/>
      <c r="K251" s="16" t="str">
        <f aca="false">IF(A251="","",G251+H251)</f>
        <v/>
      </c>
      <c r="L251" s="16" t="str">
        <f aca="false">IF(A251="","",IF(F251="İade edildi",0,K251-I251))</f>
        <v/>
      </c>
      <c r="M251" s="17" t="str">
        <f aca="true">IF(A251="","",IF(J251&lt;&gt;"",J251-A251,TODAY()-A251))</f>
        <v/>
      </c>
      <c r="N251" s="18" t="str">
        <f aca="false">IF(A251="","",IF(AND(OR(F251="Bekliyor",F251="Parça bekleniyor",F251="Hazır"),M251&gt;7),"7 günü geçti",""))</f>
        <v/>
      </c>
      <c r="O251" s="18" t="str">
        <f aca="false">IF(AND(A251&lt;&gt;"",OR(F251="Bekliyor",F251="Parça bekleniyor",F251="Hazır")),A251+ROW()/1000000,"")</f>
        <v/>
      </c>
    </row>
    <row r="252" customFormat="false" ht="15" hidden="false" customHeight="false" outlineLevel="0" collapsed="false">
      <c r="A252" s="12"/>
      <c r="B252" s="13"/>
      <c r="C252" s="13"/>
      <c r="D252" s="13"/>
      <c r="E252" s="13"/>
      <c r="F252" s="14"/>
      <c r="G252" s="15"/>
      <c r="H252" s="15"/>
      <c r="I252" s="15"/>
      <c r="J252" s="12"/>
      <c r="K252" s="16" t="str">
        <f aca="false">IF(A252="","",G252+H252)</f>
        <v/>
      </c>
      <c r="L252" s="16" t="str">
        <f aca="false">IF(A252="","",IF(F252="İade edildi",0,K252-I252))</f>
        <v/>
      </c>
      <c r="M252" s="17" t="str">
        <f aca="true">IF(A252="","",IF(J252&lt;&gt;"",J252-A252,TODAY()-A252))</f>
        <v/>
      </c>
      <c r="N252" s="18" t="str">
        <f aca="false">IF(A252="","",IF(AND(OR(F252="Bekliyor",F252="Parça bekleniyor",F252="Hazır"),M252&gt;7),"7 günü geçti",""))</f>
        <v/>
      </c>
      <c r="O252" s="18" t="str">
        <f aca="false">IF(AND(A252&lt;&gt;"",OR(F252="Bekliyor",F252="Parça bekleniyor",F252="Hazır")),A252+ROW()/1000000,"")</f>
        <v/>
      </c>
    </row>
    <row r="253" customFormat="false" ht="15" hidden="false" customHeight="false" outlineLevel="0" collapsed="false">
      <c r="A253" s="12"/>
      <c r="B253" s="13"/>
      <c r="C253" s="13"/>
      <c r="D253" s="13"/>
      <c r="E253" s="13"/>
      <c r="F253" s="14"/>
      <c r="G253" s="15"/>
      <c r="H253" s="15"/>
      <c r="I253" s="15"/>
      <c r="J253" s="12"/>
      <c r="K253" s="16" t="str">
        <f aca="false">IF(A253="","",G253+H253)</f>
        <v/>
      </c>
      <c r="L253" s="16" t="str">
        <f aca="false">IF(A253="","",IF(F253="İade edildi",0,K253-I253))</f>
        <v/>
      </c>
      <c r="M253" s="17" t="str">
        <f aca="true">IF(A253="","",IF(J253&lt;&gt;"",J253-A253,TODAY()-A253))</f>
        <v/>
      </c>
      <c r="N253" s="18" t="str">
        <f aca="false">IF(A253="","",IF(AND(OR(F253="Bekliyor",F253="Parça bekleniyor",F253="Hazır"),M253&gt;7),"7 günü geçti",""))</f>
        <v/>
      </c>
      <c r="O253" s="18" t="str">
        <f aca="false">IF(AND(A253&lt;&gt;"",OR(F253="Bekliyor",F253="Parça bekleniyor",F253="Hazır")),A253+ROW()/1000000,"")</f>
        <v/>
      </c>
    </row>
    <row r="254" customFormat="false" ht="15" hidden="false" customHeight="false" outlineLevel="0" collapsed="false">
      <c r="A254" s="12"/>
      <c r="B254" s="13"/>
      <c r="C254" s="13"/>
      <c r="D254" s="13"/>
      <c r="E254" s="13"/>
      <c r="F254" s="14"/>
      <c r="G254" s="15"/>
      <c r="H254" s="15"/>
      <c r="I254" s="15"/>
      <c r="J254" s="12"/>
      <c r="K254" s="16" t="str">
        <f aca="false">IF(A254="","",G254+H254)</f>
        <v/>
      </c>
      <c r="L254" s="16" t="str">
        <f aca="false">IF(A254="","",IF(F254="İade edildi",0,K254-I254))</f>
        <v/>
      </c>
      <c r="M254" s="17" t="str">
        <f aca="true">IF(A254="","",IF(J254&lt;&gt;"",J254-A254,TODAY()-A254))</f>
        <v/>
      </c>
      <c r="N254" s="18" t="str">
        <f aca="false">IF(A254="","",IF(AND(OR(F254="Bekliyor",F254="Parça bekleniyor",F254="Hazır"),M254&gt;7),"7 günü geçti",""))</f>
        <v/>
      </c>
      <c r="O254" s="18" t="str">
        <f aca="false">IF(AND(A254&lt;&gt;"",OR(F254="Bekliyor",F254="Parça bekleniyor",F254="Hazır")),A254+ROW()/1000000,"")</f>
        <v/>
      </c>
    </row>
    <row r="255" customFormat="false" ht="15" hidden="false" customHeight="false" outlineLevel="0" collapsed="false">
      <c r="A255" s="12"/>
      <c r="B255" s="13"/>
      <c r="C255" s="13"/>
      <c r="D255" s="13"/>
      <c r="E255" s="13"/>
      <c r="F255" s="14"/>
      <c r="G255" s="15"/>
      <c r="H255" s="15"/>
      <c r="I255" s="15"/>
      <c r="J255" s="12"/>
      <c r="K255" s="16" t="str">
        <f aca="false">IF(A255="","",G255+H255)</f>
        <v/>
      </c>
      <c r="L255" s="16" t="str">
        <f aca="false">IF(A255="","",IF(F255="İade edildi",0,K255-I255))</f>
        <v/>
      </c>
      <c r="M255" s="17" t="str">
        <f aca="true">IF(A255="","",IF(J255&lt;&gt;"",J255-A255,TODAY()-A255))</f>
        <v/>
      </c>
      <c r="N255" s="18" t="str">
        <f aca="false">IF(A255="","",IF(AND(OR(F255="Bekliyor",F255="Parça bekleniyor",F255="Hazır"),M255&gt;7),"7 günü geçti",""))</f>
        <v/>
      </c>
      <c r="O255" s="18" t="str">
        <f aca="false">IF(AND(A255&lt;&gt;"",OR(F255="Bekliyor",F255="Parça bekleniyor",F255="Hazır")),A255+ROW()/1000000,"")</f>
        <v/>
      </c>
    </row>
    <row r="256" customFormat="false" ht="15" hidden="false" customHeight="false" outlineLevel="0" collapsed="false">
      <c r="A256" s="12"/>
      <c r="B256" s="13"/>
      <c r="C256" s="13"/>
      <c r="D256" s="13"/>
      <c r="E256" s="13"/>
      <c r="F256" s="14"/>
      <c r="G256" s="15"/>
      <c r="H256" s="15"/>
      <c r="I256" s="15"/>
      <c r="J256" s="12"/>
      <c r="K256" s="16" t="str">
        <f aca="false">IF(A256="","",G256+H256)</f>
        <v/>
      </c>
      <c r="L256" s="16" t="str">
        <f aca="false">IF(A256="","",IF(F256="İade edildi",0,K256-I256))</f>
        <v/>
      </c>
      <c r="M256" s="17" t="str">
        <f aca="true">IF(A256="","",IF(J256&lt;&gt;"",J256-A256,TODAY()-A256))</f>
        <v/>
      </c>
      <c r="N256" s="18" t="str">
        <f aca="false">IF(A256="","",IF(AND(OR(F256="Bekliyor",F256="Parça bekleniyor",F256="Hazır"),M256&gt;7),"7 günü geçti",""))</f>
        <v/>
      </c>
      <c r="O256" s="18" t="str">
        <f aca="false">IF(AND(A256&lt;&gt;"",OR(F256="Bekliyor",F256="Parça bekleniyor",F256="Hazır")),A256+ROW()/1000000,"")</f>
        <v/>
      </c>
    </row>
    <row r="257" customFormat="false" ht="15" hidden="false" customHeight="false" outlineLevel="0" collapsed="false">
      <c r="A257" s="12"/>
      <c r="B257" s="13"/>
      <c r="C257" s="13"/>
      <c r="D257" s="13"/>
      <c r="E257" s="13"/>
      <c r="F257" s="14"/>
      <c r="G257" s="15"/>
      <c r="H257" s="15"/>
      <c r="I257" s="15"/>
      <c r="J257" s="12"/>
      <c r="K257" s="16" t="str">
        <f aca="false">IF(A257="","",G257+H257)</f>
        <v/>
      </c>
      <c r="L257" s="16" t="str">
        <f aca="false">IF(A257="","",IF(F257="İade edildi",0,K257-I257))</f>
        <v/>
      </c>
      <c r="M257" s="17" t="str">
        <f aca="true">IF(A257="","",IF(J257&lt;&gt;"",J257-A257,TODAY()-A257))</f>
        <v/>
      </c>
      <c r="N257" s="18" t="str">
        <f aca="false">IF(A257="","",IF(AND(OR(F257="Bekliyor",F257="Parça bekleniyor",F257="Hazır"),M257&gt;7),"7 günü geçti",""))</f>
        <v/>
      </c>
      <c r="O257" s="18" t="str">
        <f aca="false">IF(AND(A257&lt;&gt;"",OR(F257="Bekliyor",F257="Parça bekleniyor",F257="Hazır")),A257+ROW()/1000000,"")</f>
        <v/>
      </c>
    </row>
    <row r="258" customFormat="false" ht="15" hidden="false" customHeight="false" outlineLevel="0" collapsed="false">
      <c r="A258" s="12"/>
      <c r="B258" s="13"/>
      <c r="C258" s="13"/>
      <c r="D258" s="13"/>
      <c r="E258" s="13"/>
      <c r="F258" s="14"/>
      <c r="G258" s="15"/>
      <c r="H258" s="15"/>
      <c r="I258" s="15"/>
      <c r="J258" s="12"/>
      <c r="K258" s="16" t="str">
        <f aca="false">IF(A258="","",G258+H258)</f>
        <v/>
      </c>
      <c r="L258" s="16" t="str">
        <f aca="false">IF(A258="","",IF(F258="İade edildi",0,K258-I258))</f>
        <v/>
      </c>
      <c r="M258" s="17" t="str">
        <f aca="true">IF(A258="","",IF(J258&lt;&gt;"",J258-A258,TODAY()-A258))</f>
        <v/>
      </c>
      <c r="N258" s="18" t="str">
        <f aca="false">IF(A258="","",IF(AND(OR(F258="Bekliyor",F258="Parça bekleniyor",F258="Hazır"),M258&gt;7),"7 günü geçti",""))</f>
        <v/>
      </c>
      <c r="O258" s="18" t="str">
        <f aca="false">IF(AND(A258&lt;&gt;"",OR(F258="Bekliyor",F258="Parça bekleniyor",F258="Hazır")),A258+ROW()/1000000,"")</f>
        <v/>
      </c>
    </row>
    <row r="259" customFormat="false" ht="15" hidden="false" customHeight="false" outlineLevel="0" collapsed="false">
      <c r="A259" s="12"/>
      <c r="B259" s="13"/>
      <c r="C259" s="13"/>
      <c r="D259" s="13"/>
      <c r="E259" s="13"/>
      <c r="F259" s="14"/>
      <c r="G259" s="15"/>
      <c r="H259" s="15"/>
      <c r="I259" s="15"/>
      <c r="J259" s="12"/>
      <c r="K259" s="16" t="str">
        <f aca="false">IF(A259="","",G259+H259)</f>
        <v/>
      </c>
      <c r="L259" s="16" t="str">
        <f aca="false">IF(A259="","",IF(F259="İade edildi",0,K259-I259))</f>
        <v/>
      </c>
      <c r="M259" s="17" t="str">
        <f aca="true">IF(A259="","",IF(J259&lt;&gt;"",J259-A259,TODAY()-A259))</f>
        <v/>
      </c>
      <c r="N259" s="18" t="str">
        <f aca="false">IF(A259="","",IF(AND(OR(F259="Bekliyor",F259="Parça bekleniyor",F259="Hazır"),M259&gt;7),"7 günü geçti",""))</f>
        <v/>
      </c>
      <c r="O259" s="18" t="str">
        <f aca="false">IF(AND(A259&lt;&gt;"",OR(F259="Bekliyor",F259="Parça bekleniyor",F259="Hazır")),A259+ROW()/1000000,"")</f>
        <v/>
      </c>
    </row>
    <row r="260" customFormat="false" ht="15" hidden="false" customHeight="false" outlineLevel="0" collapsed="false">
      <c r="A260" s="12"/>
      <c r="B260" s="13"/>
      <c r="C260" s="13"/>
      <c r="D260" s="13"/>
      <c r="E260" s="13"/>
      <c r="F260" s="14"/>
      <c r="G260" s="15"/>
      <c r="H260" s="15"/>
      <c r="I260" s="15"/>
      <c r="J260" s="12"/>
      <c r="K260" s="16" t="str">
        <f aca="false">IF(A260="","",G260+H260)</f>
        <v/>
      </c>
      <c r="L260" s="16" t="str">
        <f aca="false">IF(A260="","",IF(F260="İade edildi",0,K260-I260))</f>
        <v/>
      </c>
      <c r="M260" s="17" t="str">
        <f aca="true">IF(A260="","",IF(J260&lt;&gt;"",J260-A260,TODAY()-A260))</f>
        <v/>
      </c>
      <c r="N260" s="18" t="str">
        <f aca="false">IF(A260="","",IF(AND(OR(F260="Bekliyor",F260="Parça bekleniyor",F260="Hazır"),M260&gt;7),"7 günü geçti",""))</f>
        <v/>
      </c>
      <c r="O260" s="18" t="str">
        <f aca="false">IF(AND(A260&lt;&gt;"",OR(F260="Bekliyor",F260="Parça bekleniyor",F260="Hazır")),A260+ROW()/1000000,"")</f>
        <v/>
      </c>
    </row>
    <row r="261" customFormat="false" ht="15" hidden="false" customHeight="false" outlineLevel="0" collapsed="false">
      <c r="A261" s="12"/>
      <c r="B261" s="13"/>
      <c r="C261" s="13"/>
      <c r="D261" s="13"/>
      <c r="E261" s="13"/>
      <c r="F261" s="14"/>
      <c r="G261" s="15"/>
      <c r="H261" s="15"/>
      <c r="I261" s="15"/>
      <c r="J261" s="12"/>
      <c r="K261" s="16" t="str">
        <f aca="false">IF(A261="","",G261+H261)</f>
        <v/>
      </c>
      <c r="L261" s="16" t="str">
        <f aca="false">IF(A261="","",IF(F261="İade edildi",0,K261-I261))</f>
        <v/>
      </c>
      <c r="M261" s="17" t="str">
        <f aca="true">IF(A261="","",IF(J261&lt;&gt;"",J261-A261,TODAY()-A261))</f>
        <v/>
      </c>
      <c r="N261" s="18" t="str">
        <f aca="false">IF(A261="","",IF(AND(OR(F261="Bekliyor",F261="Parça bekleniyor",F261="Hazır"),M261&gt;7),"7 günü geçti",""))</f>
        <v/>
      </c>
      <c r="O261" s="18" t="str">
        <f aca="false">IF(AND(A261&lt;&gt;"",OR(F261="Bekliyor",F261="Parça bekleniyor",F261="Hazır")),A261+ROW()/1000000,"")</f>
        <v/>
      </c>
    </row>
    <row r="262" customFormat="false" ht="15" hidden="false" customHeight="false" outlineLevel="0" collapsed="false">
      <c r="A262" s="12"/>
      <c r="B262" s="13"/>
      <c r="C262" s="13"/>
      <c r="D262" s="13"/>
      <c r="E262" s="13"/>
      <c r="F262" s="14"/>
      <c r="G262" s="15"/>
      <c r="H262" s="15"/>
      <c r="I262" s="15"/>
      <c r="J262" s="12"/>
      <c r="K262" s="16" t="str">
        <f aca="false">IF(A262="","",G262+H262)</f>
        <v/>
      </c>
      <c r="L262" s="16" t="str">
        <f aca="false">IF(A262="","",IF(F262="İade edildi",0,K262-I262))</f>
        <v/>
      </c>
      <c r="M262" s="17" t="str">
        <f aca="true">IF(A262="","",IF(J262&lt;&gt;"",J262-A262,TODAY()-A262))</f>
        <v/>
      </c>
      <c r="N262" s="18" t="str">
        <f aca="false">IF(A262="","",IF(AND(OR(F262="Bekliyor",F262="Parça bekleniyor",F262="Hazır"),M262&gt;7),"7 günü geçti",""))</f>
        <v/>
      </c>
      <c r="O262" s="18" t="str">
        <f aca="false">IF(AND(A262&lt;&gt;"",OR(F262="Bekliyor",F262="Parça bekleniyor",F262="Hazır")),A262+ROW()/1000000,"")</f>
        <v/>
      </c>
    </row>
    <row r="263" customFormat="false" ht="15" hidden="false" customHeight="false" outlineLevel="0" collapsed="false">
      <c r="A263" s="12"/>
      <c r="B263" s="13"/>
      <c r="C263" s="13"/>
      <c r="D263" s="13"/>
      <c r="E263" s="13"/>
      <c r="F263" s="14"/>
      <c r="G263" s="15"/>
      <c r="H263" s="15"/>
      <c r="I263" s="15"/>
      <c r="J263" s="12"/>
      <c r="K263" s="16" t="str">
        <f aca="false">IF(A263="","",G263+H263)</f>
        <v/>
      </c>
      <c r="L263" s="16" t="str">
        <f aca="false">IF(A263="","",IF(F263="İade edildi",0,K263-I263))</f>
        <v/>
      </c>
      <c r="M263" s="17" t="str">
        <f aca="true">IF(A263="","",IF(J263&lt;&gt;"",J263-A263,TODAY()-A263))</f>
        <v/>
      </c>
      <c r="N263" s="18" t="str">
        <f aca="false">IF(A263="","",IF(AND(OR(F263="Bekliyor",F263="Parça bekleniyor",F263="Hazır"),M263&gt;7),"7 günü geçti",""))</f>
        <v/>
      </c>
      <c r="O263" s="18" t="str">
        <f aca="false">IF(AND(A263&lt;&gt;"",OR(F263="Bekliyor",F263="Parça bekleniyor",F263="Hazır")),A263+ROW()/1000000,"")</f>
        <v/>
      </c>
    </row>
    <row r="264" customFormat="false" ht="15" hidden="false" customHeight="false" outlineLevel="0" collapsed="false">
      <c r="A264" s="12"/>
      <c r="B264" s="13"/>
      <c r="C264" s="13"/>
      <c r="D264" s="13"/>
      <c r="E264" s="13"/>
      <c r="F264" s="14"/>
      <c r="G264" s="15"/>
      <c r="H264" s="15"/>
      <c r="I264" s="15"/>
      <c r="J264" s="12"/>
      <c r="K264" s="16" t="str">
        <f aca="false">IF(A264="","",G264+H264)</f>
        <v/>
      </c>
      <c r="L264" s="16" t="str">
        <f aca="false">IF(A264="","",IF(F264="İade edildi",0,K264-I264))</f>
        <v/>
      </c>
      <c r="M264" s="17" t="str">
        <f aca="true">IF(A264="","",IF(J264&lt;&gt;"",J264-A264,TODAY()-A264))</f>
        <v/>
      </c>
      <c r="N264" s="18" t="str">
        <f aca="false">IF(A264="","",IF(AND(OR(F264="Bekliyor",F264="Parça bekleniyor",F264="Hazır"),M264&gt;7),"7 günü geçti",""))</f>
        <v/>
      </c>
      <c r="O264" s="18" t="str">
        <f aca="false">IF(AND(A264&lt;&gt;"",OR(F264="Bekliyor",F264="Parça bekleniyor",F264="Hazır")),A264+ROW()/1000000,"")</f>
        <v/>
      </c>
    </row>
    <row r="265" customFormat="false" ht="15" hidden="false" customHeight="false" outlineLevel="0" collapsed="false">
      <c r="A265" s="12"/>
      <c r="B265" s="13"/>
      <c r="C265" s="13"/>
      <c r="D265" s="13"/>
      <c r="E265" s="13"/>
      <c r="F265" s="14"/>
      <c r="G265" s="15"/>
      <c r="H265" s="15"/>
      <c r="I265" s="15"/>
      <c r="J265" s="12"/>
      <c r="K265" s="16" t="str">
        <f aca="false">IF(A265="","",G265+H265)</f>
        <v/>
      </c>
      <c r="L265" s="16" t="str">
        <f aca="false">IF(A265="","",IF(F265="İade edildi",0,K265-I265))</f>
        <v/>
      </c>
      <c r="M265" s="17" t="str">
        <f aca="true">IF(A265="","",IF(J265&lt;&gt;"",J265-A265,TODAY()-A265))</f>
        <v/>
      </c>
      <c r="N265" s="18" t="str">
        <f aca="false">IF(A265="","",IF(AND(OR(F265="Bekliyor",F265="Parça bekleniyor",F265="Hazır"),M265&gt;7),"7 günü geçti",""))</f>
        <v/>
      </c>
      <c r="O265" s="18" t="str">
        <f aca="false">IF(AND(A265&lt;&gt;"",OR(F265="Bekliyor",F265="Parça bekleniyor",F265="Hazır")),A265+ROW()/1000000,"")</f>
        <v/>
      </c>
    </row>
    <row r="266" customFormat="false" ht="15" hidden="false" customHeight="false" outlineLevel="0" collapsed="false">
      <c r="A266" s="12"/>
      <c r="B266" s="13"/>
      <c r="C266" s="13"/>
      <c r="D266" s="13"/>
      <c r="E266" s="13"/>
      <c r="F266" s="14"/>
      <c r="G266" s="15"/>
      <c r="H266" s="15"/>
      <c r="I266" s="15"/>
      <c r="J266" s="12"/>
      <c r="K266" s="16" t="str">
        <f aca="false">IF(A266="","",G266+H266)</f>
        <v/>
      </c>
      <c r="L266" s="16" t="str">
        <f aca="false">IF(A266="","",IF(F266="İade edildi",0,K266-I266))</f>
        <v/>
      </c>
      <c r="M266" s="17" t="str">
        <f aca="true">IF(A266="","",IF(J266&lt;&gt;"",J266-A266,TODAY()-A266))</f>
        <v/>
      </c>
      <c r="N266" s="18" t="str">
        <f aca="false">IF(A266="","",IF(AND(OR(F266="Bekliyor",F266="Parça bekleniyor",F266="Hazır"),M266&gt;7),"7 günü geçti",""))</f>
        <v/>
      </c>
      <c r="O266" s="18" t="str">
        <f aca="false">IF(AND(A266&lt;&gt;"",OR(F266="Bekliyor",F266="Parça bekleniyor",F266="Hazır")),A266+ROW()/1000000,"")</f>
        <v/>
      </c>
    </row>
    <row r="267" customFormat="false" ht="15" hidden="false" customHeight="false" outlineLevel="0" collapsed="false">
      <c r="A267" s="12"/>
      <c r="B267" s="13"/>
      <c r="C267" s="13"/>
      <c r="D267" s="13"/>
      <c r="E267" s="13"/>
      <c r="F267" s="14"/>
      <c r="G267" s="15"/>
      <c r="H267" s="15"/>
      <c r="I267" s="15"/>
      <c r="J267" s="12"/>
      <c r="K267" s="16" t="str">
        <f aca="false">IF(A267="","",G267+H267)</f>
        <v/>
      </c>
      <c r="L267" s="16" t="str">
        <f aca="false">IF(A267="","",IF(F267="İade edildi",0,K267-I267))</f>
        <v/>
      </c>
      <c r="M267" s="17" t="str">
        <f aca="true">IF(A267="","",IF(J267&lt;&gt;"",J267-A267,TODAY()-A267))</f>
        <v/>
      </c>
      <c r="N267" s="18" t="str">
        <f aca="false">IF(A267="","",IF(AND(OR(F267="Bekliyor",F267="Parça bekleniyor",F267="Hazır"),M267&gt;7),"7 günü geçti",""))</f>
        <v/>
      </c>
      <c r="O267" s="18" t="str">
        <f aca="false">IF(AND(A267&lt;&gt;"",OR(F267="Bekliyor",F267="Parça bekleniyor",F267="Hazır")),A267+ROW()/1000000,"")</f>
        <v/>
      </c>
    </row>
    <row r="268" customFormat="false" ht="15" hidden="false" customHeight="false" outlineLevel="0" collapsed="false">
      <c r="A268" s="12"/>
      <c r="B268" s="13"/>
      <c r="C268" s="13"/>
      <c r="D268" s="13"/>
      <c r="E268" s="13"/>
      <c r="F268" s="14"/>
      <c r="G268" s="15"/>
      <c r="H268" s="15"/>
      <c r="I268" s="15"/>
      <c r="J268" s="12"/>
      <c r="K268" s="16" t="str">
        <f aca="false">IF(A268="","",G268+H268)</f>
        <v/>
      </c>
      <c r="L268" s="16" t="str">
        <f aca="false">IF(A268="","",IF(F268="İade edildi",0,K268-I268))</f>
        <v/>
      </c>
      <c r="M268" s="17" t="str">
        <f aca="true">IF(A268="","",IF(J268&lt;&gt;"",J268-A268,TODAY()-A268))</f>
        <v/>
      </c>
      <c r="N268" s="18" t="str">
        <f aca="false">IF(A268="","",IF(AND(OR(F268="Bekliyor",F268="Parça bekleniyor",F268="Hazır"),M268&gt;7),"7 günü geçti",""))</f>
        <v/>
      </c>
      <c r="O268" s="18" t="str">
        <f aca="false">IF(AND(A268&lt;&gt;"",OR(F268="Bekliyor",F268="Parça bekleniyor",F268="Hazır")),A268+ROW()/1000000,"")</f>
        <v/>
      </c>
    </row>
    <row r="269" customFormat="false" ht="15" hidden="false" customHeight="false" outlineLevel="0" collapsed="false">
      <c r="A269" s="12"/>
      <c r="B269" s="13"/>
      <c r="C269" s="13"/>
      <c r="D269" s="13"/>
      <c r="E269" s="13"/>
      <c r="F269" s="14"/>
      <c r="G269" s="15"/>
      <c r="H269" s="15"/>
      <c r="I269" s="15"/>
      <c r="J269" s="12"/>
      <c r="K269" s="16" t="str">
        <f aca="false">IF(A269="","",G269+H269)</f>
        <v/>
      </c>
      <c r="L269" s="16" t="str">
        <f aca="false">IF(A269="","",IF(F269="İade edildi",0,K269-I269))</f>
        <v/>
      </c>
      <c r="M269" s="17" t="str">
        <f aca="true">IF(A269="","",IF(J269&lt;&gt;"",J269-A269,TODAY()-A269))</f>
        <v/>
      </c>
      <c r="N269" s="18" t="str">
        <f aca="false">IF(A269="","",IF(AND(OR(F269="Bekliyor",F269="Parça bekleniyor",F269="Hazır"),M269&gt;7),"7 günü geçti",""))</f>
        <v/>
      </c>
      <c r="O269" s="18" t="str">
        <f aca="false">IF(AND(A269&lt;&gt;"",OR(F269="Bekliyor",F269="Parça bekleniyor",F269="Hazır")),A269+ROW()/1000000,"")</f>
        <v/>
      </c>
    </row>
    <row r="270" customFormat="false" ht="15" hidden="false" customHeight="false" outlineLevel="0" collapsed="false">
      <c r="A270" s="12"/>
      <c r="B270" s="13"/>
      <c r="C270" s="13"/>
      <c r="D270" s="13"/>
      <c r="E270" s="13"/>
      <c r="F270" s="14"/>
      <c r="G270" s="15"/>
      <c r="H270" s="15"/>
      <c r="I270" s="15"/>
      <c r="J270" s="12"/>
      <c r="K270" s="16" t="str">
        <f aca="false">IF(A270="","",G270+H270)</f>
        <v/>
      </c>
      <c r="L270" s="16" t="str">
        <f aca="false">IF(A270="","",IF(F270="İade edildi",0,K270-I270))</f>
        <v/>
      </c>
      <c r="M270" s="17" t="str">
        <f aca="true">IF(A270="","",IF(J270&lt;&gt;"",J270-A270,TODAY()-A270))</f>
        <v/>
      </c>
      <c r="N270" s="18" t="str">
        <f aca="false">IF(A270="","",IF(AND(OR(F270="Bekliyor",F270="Parça bekleniyor",F270="Hazır"),M270&gt;7),"7 günü geçti",""))</f>
        <v/>
      </c>
      <c r="O270" s="18" t="str">
        <f aca="false">IF(AND(A270&lt;&gt;"",OR(F270="Bekliyor",F270="Parça bekleniyor",F270="Hazır")),A270+ROW()/1000000,"")</f>
        <v/>
      </c>
    </row>
    <row r="271" customFormat="false" ht="15" hidden="false" customHeight="false" outlineLevel="0" collapsed="false">
      <c r="A271" s="12"/>
      <c r="B271" s="13"/>
      <c r="C271" s="13"/>
      <c r="D271" s="13"/>
      <c r="E271" s="13"/>
      <c r="F271" s="14"/>
      <c r="G271" s="15"/>
      <c r="H271" s="15"/>
      <c r="I271" s="15"/>
      <c r="J271" s="12"/>
      <c r="K271" s="16" t="str">
        <f aca="false">IF(A271="","",G271+H271)</f>
        <v/>
      </c>
      <c r="L271" s="16" t="str">
        <f aca="false">IF(A271="","",IF(F271="İade edildi",0,K271-I271))</f>
        <v/>
      </c>
      <c r="M271" s="17" t="str">
        <f aca="true">IF(A271="","",IF(J271&lt;&gt;"",J271-A271,TODAY()-A271))</f>
        <v/>
      </c>
      <c r="N271" s="18" t="str">
        <f aca="false">IF(A271="","",IF(AND(OR(F271="Bekliyor",F271="Parça bekleniyor",F271="Hazır"),M271&gt;7),"7 günü geçti",""))</f>
        <v/>
      </c>
      <c r="O271" s="18" t="str">
        <f aca="false">IF(AND(A271&lt;&gt;"",OR(F271="Bekliyor",F271="Parça bekleniyor",F271="Hazır")),A271+ROW()/1000000,"")</f>
        <v/>
      </c>
    </row>
    <row r="272" customFormat="false" ht="15" hidden="false" customHeight="false" outlineLevel="0" collapsed="false">
      <c r="A272" s="12"/>
      <c r="B272" s="13"/>
      <c r="C272" s="13"/>
      <c r="D272" s="13"/>
      <c r="E272" s="13"/>
      <c r="F272" s="14"/>
      <c r="G272" s="15"/>
      <c r="H272" s="15"/>
      <c r="I272" s="15"/>
      <c r="J272" s="12"/>
      <c r="K272" s="16" t="str">
        <f aca="false">IF(A272="","",G272+H272)</f>
        <v/>
      </c>
      <c r="L272" s="16" t="str">
        <f aca="false">IF(A272="","",IF(F272="İade edildi",0,K272-I272))</f>
        <v/>
      </c>
      <c r="M272" s="17" t="str">
        <f aca="true">IF(A272="","",IF(J272&lt;&gt;"",J272-A272,TODAY()-A272))</f>
        <v/>
      </c>
      <c r="N272" s="18" t="str">
        <f aca="false">IF(A272="","",IF(AND(OR(F272="Bekliyor",F272="Parça bekleniyor",F272="Hazır"),M272&gt;7),"7 günü geçti",""))</f>
        <v/>
      </c>
      <c r="O272" s="18" t="str">
        <f aca="false">IF(AND(A272&lt;&gt;"",OR(F272="Bekliyor",F272="Parça bekleniyor",F272="Hazır")),A272+ROW()/1000000,"")</f>
        <v/>
      </c>
    </row>
    <row r="273" customFormat="false" ht="15" hidden="false" customHeight="false" outlineLevel="0" collapsed="false">
      <c r="A273" s="12"/>
      <c r="B273" s="13"/>
      <c r="C273" s="13"/>
      <c r="D273" s="13"/>
      <c r="E273" s="13"/>
      <c r="F273" s="14"/>
      <c r="G273" s="15"/>
      <c r="H273" s="15"/>
      <c r="I273" s="15"/>
      <c r="J273" s="12"/>
      <c r="K273" s="16" t="str">
        <f aca="false">IF(A273="","",G273+H273)</f>
        <v/>
      </c>
      <c r="L273" s="16" t="str">
        <f aca="false">IF(A273="","",IF(F273="İade edildi",0,K273-I273))</f>
        <v/>
      </c>
      <c r="M273" s="17" t="str">
        <f aca="true">IF(A273="","",IF(J273&lt;&gt;"",J273-A273,TODAY()-A273))</f>
        <v/>
      </c>
      <c r="N273" s="18" t="str">
        <f aca="false">IF(A273="","",IF(AND(OR(F273="Bekliyor",F273="Parça bekleniyor",F273="Hazır"),M273&gt;7),"7 günü geçti",""))</f>
        <v/>
      </c>
      <c r="O273" s="18" t="str">
        <f aca="false">IF(AND(A273&lt;&gt;"",OR(F273="Bekliyor",F273="Parça bekleniyor",F273="Hazır")),A273+ROW()/1000000,"")</f>
        <v/>
      </c>
    </row>
    <row r="274" customFormat="false" ht="15" hidden="false" customHeight="false" outlineLevel="0" collapsed="false">
      <c r="A274" s="12"/>
      <c r="B274" s="13"/>
      <c r="C274" s="13"/>
      <c r="D274" s="13"/>
      <c r="E274" s="13"/>
      <c r="F274" s="14"/>
      <c r="G274" s="15"/>
      <c r="H274" s="15"/>
      <c r="I274" s="15"/>
      <c r="J274" s="12"/>
      <c r="K274" s="16" t="str">
        <f aca="false">IF(A274="","",G274+H274)</f>
        <v/>
      </c>
      <c r="L274" s="16" t="str">
        <f aca="false">IF(A274="","",IF(F274="İade edildi",0,K274-I274))</f>
        <v/>
      </c>
      <c r="M274" s="17" t="str">
        <f aca="true">IF(A274="","",IF(J274&lt;&gt;"",J274-A274,TODAY()-A274))</f>
        <v/>
      </c>
      <c r="N274" s="18" t="str">
        <f aca="false">IF(A274="","",IF(AND(OR(F274="Bekliyor",F274="Parça bekleniyor",F274="Hazır"),M274&gt;7),"7 günü geçti",""))</f>
        <v/>
      </c>
      <c r="O274" s="18" t="str">
        <f aca="false">IF(AND(A274&lt;&gt;"",OR(F274="Bekliyor",F274="Parça bekleniyor",F274="Hazır")),A274+ROW()/1000000,"")</f>
        <v/>
      </c>
    </row>
    <row r="275" customFormat="false" ht="15" hidden="false" customHeight="false" outlineLevel="0" collapsed="false">
      <c r="A275" s="12"/>
      <c r="B275" s="13"/>
      <c r="C275" s="13"/>
      <c r="D275" s="13"/>
      <c r="E275" s="13"/>
      <c r="F275" s="14"/>
      <c r="G275" s="15"/>
      <c r="H275" s="15"/>
      <c r="I275" s="15"/>
      <c r="J275" s="12"/>
      <c r="K275" s="16" t="str">
        <f aca="false">IF(A275="","",G275+H275)</f>
        <v/>
      </c>
      <c r="L275" s="16" t="str">
        <f aca="false">IF(A275="","",IF(F275="İade edildi",0,K275-I275))</f>
        <v/>
      </c>
      <c r="M275" s="17" t="str">
        <f aca="true">IF(A275="","",IF(J275&lt;&gt;"",J275-A275,TODAY()-A275))</f>
        <v/>
      </c>
      <c r="N275" s="18" t="str">
        <f aca="false">IF(A275="","",IF(AND(OR(F275="Bekliyor",F275="Parça bekleniyor",F275="Hazır"),M275&gt;7),"7 günü geçti",""))</f>
        <v/>
      </c>
      <c r="O275" s="18" t="str">
        <f aca="false">IF(AND(A275&lt;&gt;"",OR(F275="Bekliyor",F275="Parça bekleniyor",F275="Hazır")),A275+ROW()/1000000,"")</f>
        <v/>
      </c>
    </row>
    <row r="276" customFormat="false" ht="15" hidden="false" customHeight="false" outlineLevel="0" collapsed="false">
      <c r="A276" s="12"/>
      <c r="B276" s="13"/>
      <c r="C276" s="13"/>
      <c r="D276" s="13"/>
      <c r="E276" s="13"/>
      <c r="F276" s="14"/>
      <c r="G276" s="15"/>
      <c r="H276" s="15"/>
      <c r="I276" s="15"/>
      <c r="J276" s="12"/>
      <c r="K276" s="16" t="str">
        <f aca="false">IF(A276="","",G276+H276)</f>
        <v/>
      </c>
      <c r="L276" s="16" t="str">
        <f aca="false">IF(A276="","",IF(F276="İade edildi",0,K276-I276))</f>
        <v/>
      </c>
      <c r="M276" s="17" t="str">
        <f aca="true">IF(A276="","",IF(J276&lt;&gt;"",J276-A276,TODAY()-A276))</f>
        <v/>
      </c>
      <c r="N276" s="18" t="str">
        <f aca="false">IF(A276="","",IF(AND(OR(F276="Bekliyor",F276="Parça bekleniyor",F276="Hazır"),M276&gt;7),"7 günü geçti",""))</f>
        <v/>
      </c>
      <c r="O276" s="18" t="str">
        <f aca="false">IF(AND(A276&lt;&gt;"",OR(F276="Bekliyor",F276="Parça bekleniyor",F276="Hazır")),A276+ROW()/1000000,"")</f>
        <v/>
      </c>
    </row>
    <row r="277" customFormat="false" ht="15" hidden="false" customHeight="false" outlineLevel="0" collapsed="false">
      <c r="A277" s="12"/>
      <c r="B277" s="13"/>
      <c r="C277" s="13"/>
      <c r="D277" s="13"/>
      <c r="E277" s="13"/>
      <c r="F277" s="14"/>
      <c r="G277" s="15"/>
      <c r="H277" s="15"/>
      <c r="I277" s="15"/>
      <c r="J277" s="12"/>
      <c r="K277" s="16" t="str">
        <f aca="false">IF(A277="","",G277+H277)</f>
        <v/>
      </c>
      <c r="L277" s="16" t="str">
        <f aca="false">IF(A277="","",IF(F277="İade edildi",0,K277-I277))</f>
        <v/>
      </c>
      <c r="M277" s="17" t="str">
        <f aca="true">IF(A277="","",IF(J277&lt;&gt;"",J277-A277,TODAY()-A277))</f>
        <v/>
      </c>
      <c r="N277" s="18" t="str">
        <f aca="false">IF(A277="","",IF(AND(OR(F277="Bekliyor",F277="Parça bekleniyor",F277="Hazır"),M277&gt;7),"7 günü geçti",""))</f>
        <v/>
      </c>
      <c r="O277" s="18" t="str">
        <f aca="false">IF(AND(A277&lt;&gt;"",OR(F277="Bekliyor",F277="Parça bekleniyor",F277="Hazır")),A277+ROW()/1000000,"")</f>
        <v/>
      </c>
    </row>
    <row r="278" customFormat="false" ht="15" hidden="false" customHeight="false" outlineLevel="0" collapsed="false">
      <c r="A278" s="12"/>
      <c r="B278" s="13"/>
      <c r="C278" s="13"/>
      <c r="D278" s="13"/>
      <c r="E278" s="13"/>
      <c r="F278" s="14"/>
      <c r="G278" s="15"/>
      <c r="H278" s="15"/>
      <c r="I278" s="15"/>
      <c r="J278" s="12"/>
      <c r="K278" s="16" t="str">
        <f aca="false">IF(A278="","",G278+H278)</f>
        <v/>
      </c>
      <c r="L278" s="16" t="str">
        <f aca="false">IF(A278="","",IF(F278="İade edildi",0,K278-I278))</f>
        <v/>
      </c>
      <c r="M278" s="17" t="str">
        <f aca="true">IF(A278="","",IF(J278&lt;&gt;"",J278-A278,TODAY()-A278))</f>
        <v/>
      </c>
      <c r="N278" s="18" t="str">
        <f aca="false">IF(A278="","",IF(AND(OR(F278="Bekliyor",F278="Parça bekleniyor",F278="Hazır"),M278&gt;7),"7 günü geçti",""))</f>
        <v/>
      </c>
      <c r="O278" s="18" t="str">
        <f aca="false">IF(AND(A278&lt;&gt;"",OR(F278="Bekliyor",F278="Parça bekleniyor",F278="Hazır")),A278+ROW()/1000000,"")</f>
        <v/>
      </c>
    </row>
    <row r="279" customFormat="false" ht="15" hidden="false" customHeight="false" outlineLevel="0" collapsed="false">
      <c r="A279" s="12"/>
      <c r="B279" s="13"/>
      <c r="C279" s="13"/>
      <c r="D279" s="13"/>
      <c r="E279" s="13"/>
      <c r="F279" s="14"/>
      <c r="G279" s="15"/>
      <c r="H279" s="15"/>
      <c r="I279" s="15"/>
      <c r="J279" s="12"/>
      <c r="K279" s="16" t="str">
        <f aca="false">IF(A279="","",G279+H279)</f>
        <v/>
      </c>
      <c r="L279" s="16" t="str">
        <f aca="false">IF(A279="","",IF(F279="İade edildi",0,K279-I279))</f>
        <v/>
      </c>
      <c r="M279" s="17" t="str">
        <f aca="true">IF(A279="","",IF(J279&lt;&gt;"",J279-A279,TODAY()-A279))</f>
        <v/>
      </c>
      <c r="N279" s="18" t="str">
        <f aca="false">IF(A279="","",IF(AND(OR(F279="Bekliyor",F279="Parça bekleniyor",F279="Hazır"),M279&gt;7),"7 günü geçti",""))</f>
        <v/>
      </c>
      <c r="O279" s="18" t="str">
        <f aca="false">IF(AND(A279&lt;&gt;"",OR(F279="Bekliyor",F279="Parça bekleniyor",F279="Hazır")),A279+ROW()/1000000,"")</f>
        <v/>
      </c>
    </row>
    <row r="280" customFormat="false" ht="15" hidden="false" customHeight="false" outlineLevel="0" collapsed="false">
      <c r="A280" s="12"/>
      <c r="B280" s="13"/>
      <c r="C280" s="13"/>
      <c r="D280" s="13"/>
      <c r="E280" s="13"/>
      <c r="F280" s="14"/>
      <c r="G280" s="15"/>
      <c r="H280" s="15"/>
      <c r="I280" s="15"/>
      <c r="J280" s="12"/>
      <c r="K280" s="16" t="str">
        <f aca="false">IF(A280="","",G280+H280)</f>
        <v/>
      </c>
      <c r="L280" s="16" t="str">
        <f aca="false">IF(A280="","",IF(F280="İade edildi",0,K280-I280))</f>
        <v/>
      </c>
      <c r="M280" s="17" t="str">
        <f aca="true">IF(A280="","",IF(J280&lt;&gt;"",J280-A280,TODAY()-A280))</f>
        <v/>
      </c>
      <c r="N280" s="18" t="str">
        <f aca="false">IF(A280="","",IF(AND(OR(F280="Bekliyor",F280="Parça bekleniyor",F280="Hazır"),M280&gt;7),"7 günü geçti",""))</f>
        <v/>
      </c>
      <c r="O280" s="18" t="str">
        <f aca="false">IF(AND(A280&lt;&gt;"",OR(F280="Bekliyor",F280="Parça bekleniyor",F280="Hazır")),A280+ROW()/1000000,"")</f>
        <v/>
      </c>
    </row>
    <row r="281" customFormat="false" ht="15" hidden="false" customHeight="false" outlineLevel="0" collapsed="false">
      <c r="A281" s="12"/>
      <c r="B281" s="13"/>
      <c r="C281" s="13"/>
      <c r="D281" s="13"/>
      <c r="E281" s="13"/>
      <c r="F281" s="14"/>
      <c r="G281" s="15"/>
      <c r="H281" s="15"/>
      <c r="I281" s="15"/>
      <c r="J281" s="12"/>
      <c r="K281" s="16" t="str">
        <f aca="false">IF(A281="","",G281+H281)</f>
        <v/>
      </c>
      <c r="L281" s="16" t="str">
        <f aca="false">IF(A281="","",IF(F281="İade edildi",0,K281-I281))</f>
        <v/>
      </c>
      <c r="M281" s="17" t="str">
        <f aca="true">IF(A281="","",IF(J281&lt;&gt;"",J281-A281,TODAY()-A281))</f>
        <v/>
      </c>
      <c r="N281" s="18" t="str">
        <f aca="false">IF(A281="","",IF(AND(OR(F281="Bekliyor",F281="Parça bekleniyor",F281="Hazır"),M281&gt;7),"7 günü geçti",""))</f>
        <v/>
      </c>
      <c r="O281" s="18" t="str">
        <f aca="false">IF(AND(A281&lt;&gt;"",OR(F281="Bekliyor",F281="Parça bekleniyor",F281="Hazır")),A281+ROW()/1000000,"")</f>
        <v/>
      </c>
    </row>
    <row r="282" customFormat="false" ht="15" hidden="false" customHeight="false" outlineLevel="0" collapsed="false">
      <c r="A282" s="12"/>
      <c r="B282" s="13"/>
      <c r="C282" s="13"/>
      <c r="D282" s="13"/>
      <c r="E282" s="13"/>
      <c r="F282" s="14"/>
      <c r="G282" s="15"/>
      <c r="H282" s="15"/>
      <c r="I282" s="15"/>
      <c r="J282" s="12"/>
      <c r="K282" s="16" t="str">
        <f aca="false">IF(A282="","",G282+H282)</f>
        <v/>
      </c>
      <c r="L282" s="16" t="str">
        <f aca="false">IF(A282="","",IF(F282="İade edildi",0,K282-I282))</f>
        <v/>
      </c>
      <c r="M282" s="17" t="str">
        <f aca="true">IF(A282="","",IF(J282&lt;&gt;"",J282-A282,TODAY()-A282))</f>
        <v/>
      </c>
      <c r="N282" s="18" t="str">
        <f aca="false">IF(A282="","",IF(AND(OR(F282="Bekliyor",F282="Parça bekleniyor",F282="Hazır"),M282&gt;7),"7 günü geçti",""))</f>
        <v/>
      </c>
      <c r="O282" s="18" t="str">
        <f aca="false">IF(AND(A282&lt;&gt;"",OR(F282="Bekliyor",F282="Parça bekleniyor",F282="Hazır")),A282+ROW()/1000000,"")</f>
        <v/>
      </c>
    </row>
    <row r="283" customFormat="false" ht="15" hidden="false" customHeight="false" outlineLevel="0" collapsed="false">
      <c r="A283" s="12"/>
      <c r="B283" s="13"/>
      <c r="C283" s="13"/>
      <c r="D283" s="13"/>
      <c r="E283" s="13"/>
      <c r="F283" s="14"/>
      <c r="G283" s="15"/>
      <c r="H283" s="15"/>
      <c r="I283" s="15"/>
      <c r="J283" s="12"/>
      <c r="K283" s="16" t="str">
        <f aca="false">IF(A283="","",G283+H283)</f>
        <v/>
      </c>
      <c r="L283" s="16" t="str">
        <f aca="false">IF(A283="","",IF(F283="İade edildi",0,K283-I283))</f>
        <v/>
      </c>
      <c r="M283" s="17" t="str">
        <f aca="true">IF(A283="","",IF(J283&lt;&gt;"",J283-A283,TODAY()-A283))</f>
        <v/>
      </c>
      <c r="N283" s="18" t="str">
        <f aca="false">IF(A283="","",IF(AND(OR(F283="Bekliyor",F283="Parça bekleniyor",F283="Hazır"),M283&gt;7),"7 günü geçti",""))</f>
        <v/>
      </c>
      <c r="O283" s="18" t="str">
        <f aca="false">IF(AND(A283&lt;&gt;"",OR(F283="Bekliyor",F283="Parça bekleniyor",F283="Hazır")),A283+ROW()/1000000,"")</f>
        <v/>
      </c>
    </row>
    <row r="284" customFormat="false" ht="15" hidden="false" customHeight="false" outlineLevel="0" collapsed="false">
      <c r="A284" s="12"/>
      <c r="B284" s="13"/>
      <c r="C284" s="13"/>
      <c r="D284" s="13"/>
      <c r="E284" s="13"/>
      <c r="F284" s="14"/>
      <c r="G284" s="15"/>
      <c r="H284" s="15"/>
      <c r="I284" s="15"/>
      <c r="J284" s="12"/>
      <c r="K284" s="16" t="str">
        <f aca="false">IF(A284="","",G284+H284)</f>
        <v/>
      </c>
      <c r="L284" s="16" t="str">
        <f aca="false">IF(A284="","",IF(F284="İade edildi",0,K284-I284))</f>
        <v/>
      </c>
      <c r="M284" s="17" t="str">
        <f aca="true">IF(A284="","",IF(J284&lt;&gt;"",J284-A284,TODAY()-A284))</f>
        <v/>
      </c>
      <c r="N284" s="18" t="str">
        <f aca="false">IF(A284="","",IF(AND(OR(F284="Bekliyor",F284="Parça bekleniyor",F284="Hazır"),M284&gt;7),"7 günü geçti",""))</f>
        <v/>
      </c>
      <c r="O284" s="18" t="str">
        <f aca="false">IF(AND(A284&lt;&gt;"",OR(F284="Bekliyor",F284="Parça bekleniyor",F284="Hazır")),A284+ROW()/1000000,"")</f>
        <v/>
      </c>
    </row>
    <row r="285" customFormat="false" ht="15" hidden="false" customHeight="false" outlineLevel="0" collapsed="false">
      <c r="A285" s="12"/>
      <c r="B285" s="13"/>
      <c r="C285" s="13"/>
      <c r="D285" s="13"/>
      <c r="E285" s="13"/>
      <c r="F285" s="14"/>
      <c r="G285" s="15"/>
      <c r="H285" s="15"/>
      <c r="I285" s="15"/>
      <c r="J285" s="12"/>
      <c r="K285" s="16" t="str">
        <f aca="false">IF(A285="","",G285+H285)</f>
        <v/>
      </c>
      <c r="L285" s="16" t="str">
        <f aca="false">IF(A285="","",IF(F285="İade edildi",0,K285-I285))</f>
        <v/>
      </c>
      <c r="M285" s="17" t="str">
        <f aca="true">IF(A285="","",IF(J285&lt;&gt;"",J285-A285,TODAY()-A285))</f>
        <v/>
      </c>
      <c r="N285" s="18" t="str">
        <f aca="false">IF(A285="","",IF(AND(OR(F285="Bekliyor",F285="Parça bekleniyor",F285="Hazır"),M285&gt;7),"7 günü geçti",""))</f>
        <v/>
      </c>
      <c r="O285" s="18" t="str">
        <f aca="false">IF(AND(A285&lt;&gt;"",OR(F285="Bekliyor",F285="Parça bekleniyor",F285="Hazır")),A285+ROW()/1000000,"")</f>
        <v/>
      </c>
    </row>
    <row r="286" customFormat="false" ht="15" hidden="false" customHeight="false" outlineLevel="0" collapsed="false">
      <c r="A286" s="12"/>
      <c r="B286" s="13"/>
      <c r="C286" s="13"/>
      <c r="D286" s="13"/>
      <c r="E286" s="13"/>
      <c r="F286" s="14"/>
      <c r="G286" s="15"/>
      <c r="H286" s="15"/>
      <c r="I286" s="15"/>
      <c r="J286" s="12"/>
      <c r="K286" s="16" t="str">
        <f aca="false">IF(A286="","",G286+H286)</f>
        <v/>
      </c>
      <c r="L286" s="16" t="str">
        <f aca="false">IF(A286="","",IF(F286="İade edildi",0,K286-I286))</f>
        <v/>
      </c>
      <c r="M286" s="17" t="str">
        <f aca="true">IF(A286="","",IF(J286&lt;&gt;"",J286-A286,TODAY()-A286))</f>
        <v/>
      </c>
      <c r="N286" s="18" t="str">
        <f aca="false">IF(A286="","",IF(AND(OR(F286="Bekliyor",F286="Parça bekleniyor",F286="Hazır"),M286&gt;7),"7 günü geçti",""))</f>
        <v/>
      </c>
      <c r="O286" s="18" t="str">
        <f aca="false">IF(AND(A286&lt;&gt;"",OR(F286="Bekliyor",F286="Parça bekleniyor",F286="Hazır")),A286+ROW()/1000000,"")</f>
        <v/>
      </c>
    </row>
    <row r="287" customFormat="false" ht="15" hidden="false" customHeight="false" outlineLevel="0" collapsed="false">
      <c r="A287" s="12"/>
      <c r="B287" s="13"/>
      <c r="C287" s="13"/>
      <c r="D287" s="13"/>
      <c r="E287" s="13"/>
      <c r="F287" s="14"/>
      <c r="G287" s="15"/>
      <c r="H287" s="15"/>
      <c r="I287" s="15"/>
      <c r="J287" s="12"/>
      <c r="K287" s="16" t="str">
        <f aca="false">IF(A287="","",G287+H287)</f>
        <v/>
      </c>
      <c r="L287" s="16" t="str">
        <f aca="false">IF(A287="","",IF(F287="İade edildi",0,K287-I287))</f>
        <v/>
      </c>
      <c r="M287" s="17" t="str">
        <f aca="true">IF(A287="","",IF(J287&lt;&gt;"",J287-A287,TODAY()-A287))</f>
        <v/>
      </c>
      <c r="N287" s="18" t="str">
        <f aca="false">IF(A287="","",IF(AND(OR(F287="Bekliyor",F287="Parça bekleniyor",F287="Hazır"),M287&gt;7),"7 günü geçti",""))</f>
        <v/>
      </c>
      <c r="O287" s="18" t="str">
        <f aca="false">IF(AND(A287&lt;&gt;"",OR(F287="Bekliyor",F287="Parça bekleniyor",F287="Hazır")),A287+ROW()/1000000,"")</f>
        <v/>
      </c>
    </row>
    <row r="288" customFormat="false" ht="15" hidden="false" customHeight="false" outlineLevel="0" collapsed="false">
      <c r="A288" s="12"/>
      <c r="B288" s="13"/>
      <c r="C288" s="13"/>
      <c r="D288" s="13"/>
      <c r="E288" s="13"/>
      <c r="F288" s="14"/>
      <c r="G288" s="15"/>
      <c r="H288" s="15"/>
      <c r="I288" s="15"/>
      <c r="J288" s="12"/>
      <c r="K288" s="16" t="str">
        <f aca="false">IF(A288="","",G288+H288)</f>
        <v/>
      </c>
      <c r="L288" s="16" t="str">
        <f aca="false">IF(A288="","",IF(F288="İade edildi",0,K288-I288))</f>
        <v/>
      </c>
      <c r="M288" s="17" t="str">
        <f aca="true">IF(A288="","",IF(J288&lt;&gt;"",J288-A288,TODAY()-A288))</f>
        <v/>
      </c>
      <c r="N288" s="18" t="str">
        <f aca="false">IF(A288="","",IF(AND(OR(F288="Bekliyor",F288="Parça bekleniyor",F288="Hazır"),M288&gt;7),"7 günü geçti",""))</f>
        <v/>
      </c>
      <c r="O288" s="18" t="str">
        <f aca="false">IF(AND(A288&lt;&gt;"",OR(F288="Bekliyor",F288="Parça bekleniyor",F288="Hazır")),A288+ROW()/1000000,"")</f>
        <v/>
      </c>
    </row>
    <row r="289" customFormat="false" ht="15" hidden="false" customHeight="false" outlineLevel="0" collapsed="false">
      <c r="A289" s="12"/>
      <c r="B289" s="13"/>
      <c r="C289" s="13"/>
      <c r="D289" s="13"/>
      <c r="E289" s="13"/>
      <c r="F289" s="14"/>
      <c r="G289" s="15"/>
      <c r="H289" s="15"/>
      <c r="I289" s="15"/>
      <c r="J289" s="12"/>
      <c r="K289" s="16" t="str">
        <f aca="false">IF(A289="","",G289+H289)</f>
        <v/>
      </c>
      <c r="L289" s="16" t="str">
        <f aca="false">IF(A289="","",IF(F289="İade edildi",0,K289-I289))</f>
        <v/>
      </c>
      <c r="M289" s="17" t="str">
        <f aca="true">IF(A289="","",IF(J289&lt;&gt;"",J289-A289,TODAY()-A289))</f>
        <v/>
      </c>
      <c r="N289" s="18" t="str">
        <f aca="false">IF(A289="","",IF(AND(OR(F289="Bekliyor",F289="Parça bekleniyor",F289="Hazır"),M289&gt;7),"7 günü geçti",""))</f>
        <v/>
      </c>
      <c r="O289" s="18" t="str">
        <f aca="false">IF(AND(A289&lt;&gt;"",OR(F289="Bekliyor",F289="Parça bekleniyor",F289="Hazır")),A289+ROW()/1000000,"")</f>
        <v/>
      </c>
    </row>
    <row r="290" customFormat="false" ht="15" hidden="false" customHeight="false" outlineLevel="0" collapsed="false">
      <c r="A290" s="12"/>
      <c r="B290" s="13"/>
      <c r="C290" s="13"/>
      <c r="D290" s="13"/>
      <c r="E290" s="13"/>
      <c r="F290" s="14"/>
      <c r="G290" s="15"/>
      <c r="H290" s="15"/>
      <c r="I290" s="15"/>
      <c r="J290" s="12"/>
      <c r="K290" s="16" t="str">
        <f aca="false">IF(A290="","",G290+H290)</f>
        <v/>
      </c>
      <c r="L290" s="16" t="str">
        <f aca="false">IF(A290="","",IF(F290="İade edildi",0,K290-I290))</f>
        <v/>
      </c>
      <c r="M290" s="17" t="str">
        <f aca="true">IF(A290="","",IF(J290&lt;&gt;"",J290-A290,TODAY()-A290))</f>
        <v/>
      </c>
      <c r="N290" s="18" t="str">
        <f aca="false">IF(A290="","",IF(AND(OR(F290="Bekliyor",F290="Parça bekleniyor",F290="Hazır"),M290&gt;7),"7 günü geçti",""))</f>
        <v/>
      </c>
      <c r="O290" s="18" t="str">
        <f aca="false">IF(AND(A290&lt;&gt;"",OR(F290="Bekliyor",F290="Parça bekleniyor",F290="Hazır")),A290+ROW()/1000000,"")</f>
        <v/>
      </c>
    </row>
    <row r="291" customFormat="false" ht="15" hidden="false" customHeight="false" outlineLevel="0" collapsed="false">
      <c r="A291" s="12"/>
      <c r="B291" s="13"/>
      <c r="C291" s="13"/>
      <c r="D291" s="13"/>
      <c r="E291" s="13"/>
      <c r="F291" s="14"/>
      <c r="G291" s="15"/>
      <c r="H291" s="15"/>
      <c r="I291" s="15"/>
      <c r="J291" s="12"/>
      <c r="K291" s="16" t="str">
        <f aca="false">IF(A291="","",G291+H291)</f>
        <v/>
      </c>
      <c r="L291" s="16" t="str">
        <f aca="false">IF(A291="","",IF(F291="İade edildi",0,K291-I291))</f>
        <v/>
      </c>
      <c r="M291" s="17" t="str">
        <f aca="true">IF(A291="","",IF(J291&lt;&gt;"",J291-A291,TODAY()-A291))</f>
        <v/>
      </c>
      <c r="N291" s="18" t="str">
        <f aca="false">IF(A291="","",IF(AND(OR(F291="Bekliyor",F291="Parça bekleniyor",F291="Hazır"),M291&gt;7),"7 günü geçti",""))</f>
        <v/>
      </c>
      <c r="O291" s="18" t="str">
        <f aca="false">IF(AND(A291&lt;&gt;"",OR(F291="Bekliyor",F291="Parça bekleniyor",F291="Hazır")),A291+ROW()/1000000,"")</f>
        <v/>
      </c>
    </row>
    <row r="292" customFormat="false" ht="15" hidden="false" customHeight="false" outlineLevel="0" collapsed="false">
      <c r="A292" s="12"/>
      <c r="B292" s="13"/>
      <c r="C292" s="13"/>
      <c r="D292" s="13"/>
      <c r="E292" s="13"/>
      <c r="F292" s="14"/>
      <c r="G292" s="15"/>
      <c r="H292" s="15"/>
      <c r="I292" s="15"/>
      <c r="J292" s="12"/>
      <c r="K292" s="16" t="str">
        <f aca="false">IF(A292="","",G292+H292)</f>
        <v/>
      </c>
      <c r="L292" s="16" t="str">
        <f aca="false">IF(A292="","",IF(F292="İade edildi",0,K292-I292))</f>
        <v/>
      </c>
      <c r="M292" s="17" t="str">
        <f aca="true">IF(A292="","",IF(J292&lt;&gt;"",J292-A292,TODAY()-A292))</f>
        <v/>
      </c>
      <c r="N292" s="18" t="str">
        <f aca="false">IF(A292="","",IF(AND(OR(F292="Bekliyor",F292="Parça bekleniyor",F292="Hazır"),M292&gt;7),"7 günü geçti",""))</f>
        <v/>
      </c>
      <c r="O292" s="18" t="str">
        <f aca="false">IF(AND(A292&lt;&gt;"",OR(F292="Bekliyor",F292="Parça bekleniyor",F292="Hazır")),A292+ROW()/1000000,"")</f>
        <v/>
      </c>
    </row>
    <row r="293" customFormat="false" ht="15" hidden="false" customHeight="false" outlineLevel="0" collapsed="false">
      <c r="A293" s="12"/>
      <c r="B293" s="13"/>
      <c r="C293" s="13"/>
      <c r="D293" s="13"/>
      <c r="E293" s="13"/>
      <c r="F293" s="14"/>
      <c r="G293" s="15"/>
      <c r="H293" s="15"/>
      <c r="I293" s="15"/>
      <c r="J293" s="12"/>
      <c r="K293" s="16" t="str">
        <f aca="false">IF(A293="","",G293+H293)</f>
        <v/>
      </c>
      <c r="L293" s="16" t="str">
        <f aca="false">IF(A293="","",IF(F293="İade edildi",0,K293-I293))</f>
        <v/>
      </c>
      <c r="M293" s="17" t="str">
        <f aca="true">IF(A293="","",IF(J293&lt;&gt;"",J293-A293,TODAY()-A293))</f>
        <v/>
      </c>
      <c r="N293" s="18" t="str">
        <f aca="false">IF(A293="","",IF(AND(OR(F293="Bekliyor",F293="Parça bekleniyor",F293="Hazır"),M293&gt;7),"7 günü geçti",""))</f>
        <v/>
      </c>
      <c r="O293" s="18" t="str">
        <f aca="false">IF(AND(A293&lt;&gt;"",OR(F293="Bekliyor",F293="Parça bekleniyor",F293="Hazır")),A293+ROW()/1000000,"")</f>
        <v/>
      </c>
    </row>
    <row r="294" customFormat="false" ht="15" hidden="false" customHeight="false" outlineLevel="0" collapsed="false">
      <c r="A294" s="12"/>
      <c r="B294" s="13"/>
      <c r="C294" s="13"/>
      <c r="D294" s="13"/>
      <c r="E294" s="13"/>
      <c r="F294" s="14"/>
      <c r="G294" s="15"/>
      <c r="H294" s="15"/>
      <c r="I294" s="15"/>
      <c r="J294" s="12"/>
      <c r="K294" s="16" t="str">
        <f aca="false">IF(A294="","",G294+H294)</f>
        <v/>
      </c>
      <c r="L294" s="16" t="str">
        <f aca="false">IF(A294="","",IF(F294="İade edildi",0,K294-I294))</f>
        <v/>
      </c>
      <c r="M294" s="17" t="str">
        <f aca="true">IF(A294="","",IF(J294&lt;&gt;"",J294-A294,TODAY()-A294))</f>
        <v/>
      </c>
      <c r="N294" s="18" t="str">
        <f aca="false">IF(A294="","",IF(AND(OR(F294="Bekliyor",F294="Parça bekleniyor",F294="Hazır"),M294&gt;7),"7 günü geçti",""))</f>
        <v/>
      </c>
      <c r="O294" s="18" t="str">
        <f aca="false">IF(AND(A294&lt;&gt;"",OR(F294="Bekliyor",F294="Parça bekleniyor",F294="Hazır")),A294+ROW()/1000000,"")</f>
        <v/>
      </c>
    </row>
    <row r="295" customFormat="false" ht="15" hidden="false" customHeight="false" outlineLevel="0" collapsed="false">
      <c r="A295" s="12"/>
      <c r="B295" s="13"/>
      <c r="C295" s="13"/>
      <c r="D295" s="13"/>
      <c r="E295" s="13"/>
      <c r="F295" s="14"/>
      <c r="G295" s="15"/>
      <c r="H295" s="15"/>
      <c r="I295" s="15"/>
      <c r="J295" s="12"/>
      <c r="K295" s="16" t="str">
        <f aca="false">IF(A295="","",G295+H295)</f>
        <v/>
      </c>
      <c r="L295" s="16" t="str">
        <f aca="false">IF(A295="","",IF(F295="İade edildi",0,K295-I295))</f>
        <v/>
      </c>
      <c r="M295" s="17" t="str">
        <f aca="true">IF(A295="","",IF(J295&lt;&gt;"",J295-A295,TODAY()-A295))</f>
        <v/>
      </c>
      <c r="N295" s="18" t="str">
        <f aca="false">IF(A295="","",IF(AND(OR(F295="Bekliyor",F295="Parça bekleniyor",F295="Hazır"),M295&gt;7),"7 günü geçti",""))</f>
        <v/>
      </c>
      <c r="O295" s="18" t="str">
        <f aca="false">IF(AND(A295&lt;&gt;"",OR(F295="Bekliyor",F295="Parça bekleniyor",F295="Hazır")),A295+ROW()/1000000,"")</f>
        <v/>
      </c>
    </row>
    <row r="296" customFormat="false" ht="15" hidden="false" customHeight="false" outlineLevel="0" collapsed="false">
      <c r="A296" s="12"/>
      <c r="B296" s="13"/>
      <c r="C296" s="13"/>
      <c r="D296" s="13"/>
      <c r="E296" s="13"/>
      <c r="F296" s="14"/>
      <c r="G296" s="15"/>
      <c r="H296" s="15"/>
      <c r="I296" s="15"/>
      <c r="J296" s="12"/>
      <c r="K296" s="16" t="str">
        <f aca="false">IF(A296="","",G296+H296)</f>
        <v/>
      </c>
      <c r="L296" s="16" t="str">
        <f aca="false">IF(A296="","",IF(F296="İade edildi",0,K296-I296))</f>
        <v/>
      </c>
      <c r="M296" s="17" t="str">
        <f aca="true">IF(A296="","",IF(J296&lt;&gt;"",J296-A296,TODAY()-A296))</f>
        <v/>
      </c>
      <c r="N296" s="18" t="str">
        <f aca="false">IF(A296="","",IF(AND(OR(F296="Bekliyor",F296="Parça bekleniyor",F296="Hazır"),M296&gt;7),"7 günü geçti",""))</f>
        <v/>
      </c>
      <c r="O296" s="18" t="str">
        <f aca="false">IF(AND(A296&lt;&gt;"",OR(F296="Bekliyor",F296="Parça bekleniyor",F296="Hazır")),A296+ROW()/1000000,"")</f>
        <v/>
      </c>
    </row>
    <row r="297" customFormat="false" ht="15" hidden="false" customHeight="false" outlineLevel="0" collapsed="false">
      <c r="A297" s="12"/>
      <c r="B297" s="13"/>
      <c r="C297" s="13"/>
      <c r="D297" s="13"/>
      <c r="E297" s="13"/>
      <c r="F297" s="14"/>
      <c r="G297" s="15"/>
      <c r="H297" s="15"/>
      <c r="I297" s="15"/>
      <c r="J297" s="12"/>
      <c r="K297" s="16" t="str">
        <f aca="false">IF(A297="","",G297+H297)</f>
        <v/>
      </c>
      <c r="L297" s="16" t="str">
        <f aca="false">IF(A297="","",IF(F297="İade edildi",0,K297-I297))</f>
        <v/>
      </c>
      <c r="M297" s="17" t="str">
        <f aca="true">IF(A297="","",IF(J297&lt;&gt;"",J297-A297,TODAY()-A297))</f>
        <v/>
      </c>
      <c r="N297" s="18" t="str">
        <f aca="false">IF(A297="","",IF(AND(OR(F297="Bekliyor",F297="Parça bekleniyor",F297="Hazır"),M297&gt;7),"7 günü geçti",""))</f>
        <v/>
      </c>
      <c r="O297" s="18" t="str">
        <f aca="false">IF(AND(A297&lt;&gt;"",OR(F297="Bekliyor",F297="Parça bekleniyor",F297="Hazır")),A297+ROW()/1000000,"")</f>
        <v/>
      </c>
    </row>
    <row r="298" customFormat="false" ht="15" hidden="false" customHeight="false" outlineLevel="0" collapsed="false">
      <c r="A298" s="12"/>
      <c r="B298" s="13"/>
      <c r="C298" s="13"/>
      <c r="D298" s="13"/>
      <c r="E298" s="13"/>
      <c r="F298" s="14"/>
      <c r="G298" s="15"/>
      <c r="H298" s="15"/>
      <c r="I298" s="15"/>
      <c r="J298" s="12"/>
      <c r="K298" s="16" t="str">
        <f aca="false">IF(A298="","",G298+H298)</f>
        <v/>
      </c>
      <c r="L298" s="16" t="str">
        <f aca="false">IF(A298="","",IF(F298="İade edildi",0,K298-I298))</f>
        <v/>
      </c>
      <c r="M298" s="17" t="str">
        <f aca="true">IF(A298="","",IF(J298&lt;&gt;"",J298-A298,TODAY()-A298))</f>
        <v/>
      </c>
      <c r="N298" s="18" t="str">
        <f aca="false">IF(A298="","",IF(AND(OR(F298="Bekliyor",F298="Parça bekleniyor",F298="Hazır"),M298&gt;7),"7 günü geçti",""))</f>
        <v/>
      </c>
      <c r="O298" s="18" t="str">
        <f aca="false">IF(AND(A298&lt;&gt;"",OR(F298="Bekliyor",F298="Parça bekleniyor",F298="Hazır")),A298+ROW()/1000000,"")</f>
        <v/>
      </c>
    </row>
    <row r="299" customFormat="false" ht="15" hidden="false" customHeight="false" outlineLevel="0" collapsed="false">
      <c r="A299" s="12"/>
      <c r="B299" s="13"/>
      <c r="C299" s="13"/>
      <c r="D299" s="13"/>
      <c r="E299" s="13"/>
      <c r="F299" s="14"/>
      <c r="G299" s="15"/>
      <c r="H299" s="15"/>
      <c r="I299" s="15"/>
      <c r="J299" s="12"/>
      <c r="K299" s="16" t="str">
        <f aca="false">IF(A299="","",G299+H299)</f>
        <v/>
      </c>
      <c r="L299" s="16" t="str">
        <f aca="false">IF(A299="","",IF(F299="İade edildi",0,K299-I299))</f>
        <v/>
      </c>
      <c r="M299" s="17" t="str">
        <f aca="true">IF(A299="","",IF(J299&lt;&gt;"",J299-A299,TODAY()-A299))</f>
        <v/>
      </c>
      <c r="N299" s="18" t="str">
        <f aca="false">IF(A299="","",IF(AND(OR(F299="Bekliyor",F299="Parça bekleniyor",F299="Hazır"),M299&gt;7),"7 günü geçti",""))</f>
        <v/>
      </c>
      <c r="O299" s="18" t="str">
        <f aca="false">IF(AND(A299&lt;&gt;"",OR(F299="Bekliyor",F299="Parça bekleniyor",F299="Hazır")),A299+ROW()/1000000,"")</f>
        <v/>
      </c>
    </row>
    <row r="300" customFormat="false" ht="15" hidden="false" customHeight="false" outlineLevel="0" collapsed="false">
      <c r="A300" s="12"/>
      <c r="B300" s="13"/>
      <c r="C300" s="13"/>
      <c r="D300" s="13"/>
      <c r="E300" s="13"/>
      <c r="F300" s="14"/>
      <c r="G300" s="15"/>
      <c r="H300" s="15"/>
      <c r="I300" s="15"/>
      <c r="J300" s="12"/>
      <c r="K300" s="16" t="str">
        <f aca="false">IF(A300="","",G300+H300)</f>
        <v/>
      </c>
      <c r="L300" s="16" t="str">
        <f aca="false">IF(A300="","",IF(F300="İade edildi",0,K300-I300))</f>
        <v/>
      </c>
      <c r="M300" s="17" t="str">
        <f aca="true">IF(A300="","",IF(J300&lt;&gt;"",J300-A300,TODAY()-A300))</f>
        <v/>
      </c>
      <c r="N300" s="18" t="str">
        <f aca="false">IF(A300="","",IF(AND(OR(F300="Bekliyor",F300="Parça bekleniyor",F300="Hazır"),M300&gt;7),"7 günü geçti",""))</f>
        <v/>
      </c>
      <c r="O300" s="18" t="str">
        <f aca="false">IF(AND(A300&lt;&gt;"",OR(F300="Bekliyor",F300="Parça bekleniyor",F300="Hazır")),A300+ROW()/1000000,"")</f>
        <v/>
      </c>
    </row>
    <row r="301" customFormat="false" ht="15" hidden="false" customHeight="false" outlineLevel="0" collapsed="false">
      <c r="A301" s="12"/>
      <c r="B301" s="13"/>
      <c r="C301" s="13"/>
      <c r="D301" s="13"/>
      <c r="E301" s="13"/>
      <c r="F301" s="14"/>
      <c r="G301" s="15"/>
      <c r="H301" s="15"/>
      <c r="I301" s="15"/>
      <c r="J301" s="12"/>
      <c r="K301" s="16" t="str">
        <f aca="false">IF(A301="","",G301+H301)</f>
        <v/>
      </c>
      <c r="L301" s="16" t="str">
        <f aca="false">IF(A301="","",IF(F301="İade edildi",0,K301-I301))</f>
        <v/>
      </c>
      <c r="M301" s="17" t="str">
        <f aca="true">IF(A301="","",IF(J301&lt;&gt;"",J301-A301,TODAY()-A301))</f>
        <v/>
      </c>
      <c r="N301" s="18" t="str">
        <f aca="false">IF(A301="","",IF(AND(OR(F301="Bekliyor",F301="Parça bekleniyor",F301="Hazır"),M301&gt;7),"7 günü geçti",""))</f>
        <v/>
      </c>
      <c r="O301" s="18" t="str">
        <f aca="false">IF(AND(A301&lt;&gt;"",OR(F301="Bekliyor",F301="Parça bekleniyor",F301="Hazır")),A301+ROW()/1000000,"")</f>
        <v/>
      </c>
    </row>
    <row r="302" customFormat="false" ht="15" hidden="false" customHeight="false" outlineLevel="0" collapsed="false">
      <c r="A302" s="12"/>
      <c r="B302" s="13"/>
      <c r="C302" s="13"/>
      <c r="D302" s="13"/>
      <c r="E302" s="13"/>
      <c r="F302" s="14"/>
      <c r="G302" s="15"/>
      <c r="H302" s="15"/>
      <c r="I302" s="15"/>
      <c r="J302" s="12"/>
      <c r="K302" s="16" t="str">
        <f aca="false">IF(A302="","",G302+H302)</f>
        <v/>
      </c>
      <c r="L302" s="16" t="str">
        <f aca="false">IF(A302="","",IF(F302="İade edildi",0,K302-I302))</f>
        <v/>
      </c>
      <c r="M302" s="17" t="str">
        <f aca="true">IF(A302="","",IF(J302&lt;&gt;"",J302-A302,TODAY()-A302))</f>
        <v/>
      </c>
      <c r="N302" s="18" t="str">
        <f aca="false">IF(A302="","",IF(AND(OR(F302="Bekliyor",F302="Parça bekleniyor",F302="Hazır"),M302&gt;7),"7 günü geçti",""))</f>
        <v/>
      </c>
      <c r="O302" s="18" t="str">
        <f aca="false">IF(AND(A302&lt;&gt;"",OR(F302="Bekliyor",F302="Parça bekleniyor",F302="Hazır")),A302+ROW()/1000000,"")</f>
        <v/>
      </c>
    </row>
    <row r="303" customFormat="false" ht="15" hidden="false" customHeight="false" outlineLevel="0" collapsed="false">
      <c r="A303" s="12"/>
      <c r="B303" s="13"/>
      <c r="C303" s="13"/>
      <c r="D303" s="13"/>
      <c r="E303" s="13"/>
      <c r="F303" s="14"/>
      <c r="G303" s="15"/>
      <c r="H303" s="15"/>
      <c r="I303" s="15"/>
      <c r="J303" s="12"/>
      <c r="K303" s="16" t="str">
        <f aca="false">IF(A303="","",G303+H303)</f>
        <v/>
      </c>
      <c r="L303" s="16" t="str">
        <f aca="false">IF(A303="","",IF(F303="İade edildi",0,K303-I303))</f>
        <v/>
      </c>
      <c r="M303" s="17" t="str">
        <f aca="true">IF(A303="","",IF(J303&lt;&gt;"",J303-A303,TODAY()-A303))</f>
        <v/>
      </c>
      <c r="N303" s="18" t="str">
        <f aca="false">IF(A303="","",IF(AND(OR(F303="Bekliyor",F303="Parça bekleniyor",F303="Hazır"),M303&gt;7),"7 günü geçti",""))</f>
        <v/>
      </c>
      <c r="O303" s="18" t="str">
        <f aca="false">IF(AND(A303&lt;&gt;"",OR(F303="Bekliyor",F303="Parça bekleniyor",F303="Hazır")),A303+ROW()/1000000,"")</f>
        <v/>
      </c>
    </row>
    <row r="304" customFormat="false" ht="15" hidden="false" customHeight="false" outlineLevel="0" collapsed="false">
      <c r="A304" s="12"/>
      <c r="B304" s="13"/>
      <c r="C304" s="13"/>
      <c r="D304" s="13"/>
      <c r="E304" s="13"/>
      <c r="F304" s="14"/>
      <c r="G304" s="15"/>
      <c r="H304" s="15"/>
      <c r="I304" s="15"/>
      <c r="J304" s="12"/>
      <c r="K304" s="16" t="str">
        <f aca="false">IF(A304="","",G304+H304)</f>
        <v/>
      </c>
      <c r="L304" s="16" t="str">
        <f aca="false">IF(A304="","",IF(F304="İade edildi",0,K304-I304))</f>
        <v/>
      </c>
      <c r="M304" s="17" t="str">
        <f aca="true">IF(A304="","",IF(J304&lt;&gt;"",J304-A304,TODAY()-A304))</f>
        <v/>
      </c>
      <c r="N304" s="18" t="str">
        <f aca="false">IF(A304="","",IF(AND(OR(F304="Bekliyor",F304="Parça bekleniyor",F304="Hazır"),M304&gt;7),"7 günü geçti",""))</f>
        <v/>
      </c>
      <c r="O304" s="18" t="str">
        <f aca="false">IF(AND(A304&lt;&gt;"",OR(F304="Bekliyor",F304="Parça bekleniyor",F304="Hazır")),A304+ROW()/1000000,"")</f>
        <v/>
      </c>
    </row>
    <row r="305" customFormat="false" ht="15" hidden="false" customHeight="false" outlineLevel="0" collapsed="false">
      <c r="A305" s="12"/>
      <c r="B305" s="13"/>
      <c r="C305" s="13"/>
      <c r="D305" s="13"/>
      <c r="E305" s="13"/>
      <c r="F305" s="14"/>
      <c r="G305" s="15"/>
      <c r="H305" s="15"/>
      <c r="I305" s="15"/>
      <c r="J305" s="12"/>
      <c r="K305" s="16" t="str">
        <f aca="false">IF(A305="","",G305+H305)</f>
        <v/>
      </c>
      <c r="L305" s="16" t="str">
        <f aca="false">IF(A305="","",IF(F305="İade edildi",0,K305-I305))</f>
        <v/>
      </c>
      <c r="M305" s="17" t="str">
        <f aca="true">IF(A305="","",IF(J305&lt;&gt;"",J305-A305,TODAY()-A305))</f>
        <v/>
      </c>
      <c r="N305" s="18" t="str">
        <f aca="false">IF(A305="","",IF(AND(OR(F305="Bekliyor",F305="Parça bekleniyor",F305="Hazır"),M305&gt;7),"7 günü geçti",""))</f>
        <v/>
      </c>
      <c r="O305" s="18" t="str">
        <f aca="false">IF(AND(A305&lt;&gt;"",OR(F305="Bekliyor",F305="Parça bekleniyor",F305="Hazır")),A305+ROW()/1000000,"")</f>
        <v/>
      </c>
    </row>
    <row r="306" customFormat="false" ht="15" hidden="false" customHeight="false" outlineLevel="0" collapsed="false">
      <c r="A306" s="12"/>
      <c r="B306" s="13"/>
      <c r="C306" s="13"/>
      <c r="D306" s="13"/>
      <c r="E306" s="13"/>
      <c r="F306" s="14"/>
      <c r="G306" s="15"/>
      <c r="H306" s="15"/>
      <c r="I306" s="15"/>
      <c r="J306" s="12"/>
      <c r="K306" s="16" t="str">
        <f aca="false">IF(A306="","",G306+H306)</f>
        <v/>
      </c>
      <c r="L306" s="16" t="str">
        <f aca="false">IF(A306="","",IF(F306="İade edildi",0,K306-I306))</f>
        <v/>
      </c>
      <c r="M306" s="17" t="str">
        <f aca="true">IF(A306="","",IF(J306&lt;&gt;"",J306-A306,TODAY()-A306))</f>
        <v/>
      </c>
      <c r="N306" s="18" t="str">
        <f aca="false">IF(A306="","",IF(AND(OR(F306="Bekliyor",F306="Parça bekleniyor",F306="Hazır"),M306&gt;7),"7 günü geçti",""))</f>
        <v/>
      </c>
      <c r="O306" s="18" t="str">
        <f aca="false">IF(AND(A306&lt;&gt;"",OR(F306="Bekliyor",F306="Parça bekleniyor",F306="Hazır")),A306+ROW()/1000000,"")</f>
        <v/>
      </c>
    </row>
    <row r="307" customFormat="false" ht="15" hidden="false" customHeight="false" outlineLevel="0" collapsed="false">
      <c r="A307" s="12"/>
      <c r="B307" s="13"/>
      <c r="C307" s="13"/>
      <c r="D307" s="13"/>
      <c r="E307" s="13"/>
      <c r="F307" s="14"/>
      <c r="G307" s="15"/>
      <c r="H307" s="15"/>
      <c r="I307" s="15"/>
      <c r="J307" s="12"/>
      <c r="K307" s="16" t="str">
        <f aca="false">IF(A307="","",G307+H307)</f>
        <v/>
      </c>
      <c r="L307" s="16" t="str">
        <f aca="false">IF(A307="","",IF(F307="İade edildi",0,K307-I307))</f>
        <v/>
      </c>
      <c r="M307" s="17" t="str">
        <f aca="true">IF(A307="","",IF(J307&lt;&gt;"",J307-A307,TODAY()-A307))</f>
        <v/>
      </c>
      <c r="N307" s="18" t="str">
        <f aca="false">IF(A307="","",IF(AND(OR(F307="Bekliyor",F307="Parça bekleniyor",F307="Hazır"),M307&gt;7),"7 günü geçti",""))</f>
        <v/>
      </c>
      <c r="O307" s="18" t="str">
        <f aca="false">IF(AND(A307&lt;&gt;"",OR(F307="Bekliyor",F307="Parça bekleniyor",F307="Hazır")),A307+ROW()/1000000,"")</f>
        <v/>
      </c>
    </row>
    <row r="308" customFormat="false" ht="15" hidden="false" customHeight="false" outlineLevel="0" collapsed="false">
      <c r="A308" s="12"/>
      <c r="B308" s="13"/>
      <c r="C308" s="13"/>
      <c r="D308" s="13"/>
      <c r="E308" s="13"/>
      <c r="F308" s="14"/>
      <c r="G308" s="15"/>
      <c r="H308" s="15"/>
      <c r="I308" s="15"/>
      <c r="J308" s="12"/>
      <c r="K308" s="16" t="str">
        <f aca="false">IF(A308="","",G308+H308)</f>
        <v/>
      </c>
      <c r="L308" s="16" t="str">
        <f aca="false">IF(A308="","",IF(F308="İade edildi",0,K308-I308))</f>
        <v/>
      </c>
      <c r="M308" s="17" t="str">
        <f aca="true">IF(A308="","",IF(J308&lt;&gt;"",J308-A308,TODAY()-A308))</f>
        <v/>
      </c>
      <c r="N308" s="18" t="str">
        <f aca="false">IF(A308="","",IF(AND(OR(F308="Bekliyor",F308="Parça bekleniyor",F308="Hazır"),M308&gt;7),"7 günü geçti",""))</f>
        <v/>
      </c>
      <c r="O308" s="18" t="str">
        <f aca="false">IF(AND(A308&lt;&gt;"",OR(F308="Bekliyor",F308="Parça bekleniyor",F308="Hazır")),A308+ROW()/1000000,"")</f>
        <v/>
      </c>
    </row>
    <row r="309" customFormat="false" ht="15" hidden="false" customHeight="false" outlineLevel="0" collapsed="false">
      <c r="A309" s="12"/>
      <c r="B309" s="13"/>
      <c r="C309" s="13"/>
      <c r="D309" s="13"/>
      <c r="E309" s="13"/>
      <c r="F309" s="14"/>
      <c r="G309" s="15"/>
      <c r="H309" s="15"/>
      <c r="I309" s="15"/>
      <c r="J309" s="12"/>
      <c r="K309" s="16" t="str">
        <f aca="false">IF(A309="","",G309+H309)</f>
        <v/>
      </c>
      <c r="L309" s="16" t="str">
        <f aca="false">IF(A309="","",IF(F309="İade edildi",0,K309-I309))</f>
        <v/>
      </c>
      <c r="M309" s="17" t="str">
        <f aca="true">IF(A309="","",IF(J309&lt;&gt;"",J309-A309,TODAY()-A309))</f>
        <v/>
      </c>
      <c r="N309" s="18" t="str">
        <f aca="false">IF(A309="","",IF(AND(OR(F309="Bekliyor",F309="Parça bekleniyor",F309="Hazır"),M309&gt;7),"7 günü geçti",""))</f>
        <v/>
      </c>
      <c r="O309" s="18" t="str">
        <f aca="false">IF(AND(A309&lt;&gt;"",OR(F309="Bekliyor",F309="Parça bekleniyor",F309="Hazır")),A309+ROW()/1000000,"")</f>
        <v/>
      </c>
    </row>
    <row r="310" customFormat="false" ht="15" hidden="false" customHeight="false" outlineLevel="0" collapsed="false">
      <c r="A310" s="12"/>
      <c r="B310" s="13"/>
      <c r="C310" s="13"/>
      <c r="D310" s="13"/>
      <c r="E310" s="13"/>
      <c r="F310" s="14"/>
      <c r="G310" s="15"/>
      <c r="H310" s="15"/>
      <c r="I310" s="15"/>
      <c r="J310" s="12"/>
      <c r="K310" s="16" t="str">
        <f aca="false">IF(A310="","",G310+H310)</f>
        <v/>
      </c>
      <c r="L310" s="16" t="str">
        <f aca="false">IF(A310="","",IF(F310="İade edildi",0,K310-I310))</f>
        <v/>
      </c>
      <c r="M310" s="17" t="str">
        <f aca="true">IF(A310="","",IF(J310&lt;&gt;"",J310-A310,TODAY()-A310))</f>
        <v/>
      </c>
      <c r="N310" s="18" t="str">
        <f aca="false">IF(A310="","",IF(AND(OR(F310="Bekliyor",F310="Parça bekleniyor",F310="Hazır"),M310&gt;7),"7 günü geçti",""))</f>
        <v/>
      </c>
      <c r="O310" s="18" t="str">
        <f aca="false">IF(AND(A310&lt;&gt;"",OR(F310="Bekliyor",F310="Parça bekleniyor",F310="Hazır")),A310+ROW()/1000000,"")</f>
        <v/>
      </c>
    </row>
    <row r="311" customFormat="false" ht="15" hidden="false" customHeight="false" outlineLevel="0" collapsed="false">
      <c r="A311" s="12"/>
      <c r="B311" s="13"/>
      <c r="C311" s="13"/>
      <c r="D311" s="13"/>
      <c r="E311" s="13"/>
      <c r="F311" s="14"/>
      <c r="G311" s="15"/>
      <c r="H311" s="15"/>
      <c r="I311" s="15"/>
      <c r="J311" s="12"/>
      <c r="K311" s="16" t="str">
        <f aca="false">IF(A311="","",G311+H311)</f>
        <v/>
      </c>
      <c r="L311" s="16" t="str">
        <f aca="false">IF(A311="","",IF(F311="İade edildi",0,K311-I311))</f>
        <v/>
      </c>
      <c r="M311" s="17" t="str">
        <f aca="true">IF(A311="","",IF(J311&lt;&gt;"",J311-A311,TODAY()-A311))</f>
        <v/>
      </c>
      <c r="N311" s="18" t="str">
        <f aca="false">IF(A311="","",IF(AND(OR(F311="Bekliyor",F311="Parça bekleniyor",F311="Hazır"),M311&gt;7),"7 günü geçti",""))</f>
        <v/>
      </c>
      <c r="O311" s="18" t="str">
        <f aca="false">IF(AND(A311&lt;&gt;"",OR(F311="Bekliyor",F311="Parça bekleniyor",F311="Hazır")),A311+ROW()/1000000,"")</f>
        <v/>
      </c>
    </row>
    <row r="312" customFormat="false" ht="15" hidden="false" customHeight="false" outlineLevel="0" collapsed="false">
      <c r="A312" s="12"/>
      <c r="B312" s="13"/>
      <c r="C312" s="13"/>
      <c r="D312" s="13"/>
      <c r="E312" s="13"/>
      <c r="F312" s="14"/>
      <c r="G312" s="15"/>
      <c r="H312" s="15"/>
      <c r="I312" s="15"/>
      <c r="J312" s="12"/>
      <c r="K312" s="16" t="str">
        <f aca="false">IF(A312="","",G312+H312)</f>
        <v/>
      </c>
      <c r="L312" s="16" t="str">
        <f aca="false">IF(A312="","",IF(F312="İade edildi",0,K312-I312))</f>
        <v/>
      </c>
      <c r="M312" s="17" t="str">
        <f aca="true">IF(A312="","",IF(J312&lt;&gt;"",J312-A312,TODAY()-A312))</f>
        <v/>
      </c>
      <c r="N312" s="18" t="str">
        <f aca="false">IF(A312="","",IF(AND(OR(F312="Bekliyor",F312="Parça bekleniyor",F312="Hazır"),M312&gt;7),"7 günü geçti",""))</f>
        <v/>
      </c>
      <c r="O312" s="18" t="str">
        <f aca="false">IF(AND(A312&lt;&gt;"",OR(F312="Bekliyor",F312="Parça bekleniyor",F312="Hazır")),A312+ROW()/1000000,"")</f>
        <v/>
      </c>
    </row>
    <row r="313" customFormat="false" ht="15" hidden="false" customHeight="false" outlineLevel="0" collapsed="false">
      <c r="A313" s="12"/>
      <c r="B313" s="13"/>
      <c r="C313" s="13"/>
      <c r="D313" s="13"/>
      <c r="E313" s="13"/>
      <c r="F313" s="14"/>
      <c r="G313" s="15"/>
      <c r="H313" s="15"/>
      <c r="I313" s="15"/>
      <c r="J313" s="12"/>
      <c r="K313" s="16" t="str">
        <f aca="false">IF(A313="","",G313+H313)</f>
        <v/>
      </c>
      <c r="L313" s="16" t="str">
        <f aca="false">IF(A313="","",IF(F313="İade edildi",0,K313-I313))</f>
        <v/>
      </c>
      <c r="M313" s="17" t="str">
        <f aca="true">IF(A313="","",IF(J313&lt;&gt;"",J313-A313,TODAY()-A313))</f>
        <v/>
      </c>
      <c r="N313" s="18" t="str">
        <f aca="false">IF(A313="","",IF(AND(OR(F313="Bekliyor",F313="Parça bekleniyor",F313="Hazır"),M313&gt;7),"7 günü geçti",""))</f>
        <v/>
      </c>
      <c r="O313" s="18" t="str">
        <f aca="false">IF(AND(A313&lt;&gt;"",OR(F313="Bekliyor",F313="Parça bekleniyor",F313="Hazır")),A313+ROW()/1000000,"")</f>
        <v/>
      </c>
    </row>
    <row r="314" customFormat="false" ht="15" hidden="false" customHeight="false" outlineLevel="0" collapsed="false">
      <c r="A314" s="12"/>
      <c r="B314" s="13"/>
      <c r="C314" s="13"/>
      <c r="D314" s="13"/>
      <c r="E314" s="13"/>
      <c r="F314" s="14"/>
      <c r="G314" s="15"/>
      <c r="H314" s="15"/>
      <c r="I314" s="15"/>
      <c r="J314" s="12"/>
      <c r="K314" s="16" t="str">
        <f aca="false">IF(A314="","",G314+H314)</f>
        <v/>
      </c>
      <c r="L314" s="16" t="str">
        <f aca="false">IF(A314="","",IF(F314="İade edildi",0,K314-I314))</f>
        <v/>
      </c>
      <c r="M314" s="17" t="str">
        <f aca="true">IF(A314="","",IF(J314&lt;&gt;"",J314-A314,TODAY()-A314))</f>
        <v/>
      </c>
      <c r="N314" s="18" t="str">
        <f aca="false">IF(A314="","",IF(AND(OR(F314="Bekliyor",F314="Parça bekleniyor",F314="Hazır"),M314&gt;7),"7 günü geçti",""))</f>
        <v/>
      </c>
      <c r="O314" s="18" t="str">
        <f aca="false">IF(AND(A314&lt;&gt;"",OR(F314="Bekliyor",F314="Parça bekleniyor",F314="Hazır")),A314+ROW()/1000000,"")</f>
        <v/>
      </c>
    </row>
    <row r="315" customFormat="false" ht="15" hidden="false" customHeight="false" outlineLevel="0" collapsed="false">
      <c r="A315" s="12"/>
      <c r="B315" s="13"/>
      <c r="C315" s="13"/>
      <c r="D315" s="13"/>
      <c r="E315" s="13"/>
      <c r="F315" s="14"/>
      <c r="G315" s="15"/>
      <c r="H315" s="15"/>
      <c r="I315" s="15"/>
      <c r="J315" s="12"/>
      <c r="K315" s="16" t="str">
        <f aca="false">IF(A315="","",G315+H315)</f>
        <v/>
      </c>
      <c r="L315" s="16" t="str">
        <f aca="false">IF(A315="","",IF(F315="İade edildi",0,K315-I315))</f>
        <v/>
      </c>
      <c r="M315" s="17" t="str">
        <f aca="true">IF(A315="","",IF(J315&lt;&gt;"",J315-A315,TODAY()-A315))</f>
        <v/>
      </c>
      <c r="N315" s="18" t="str">
        <f aca="false">IF(A315="","",IF(AND(OR(F315="Bekliyor",F315="Parça bekleniyor",F315="Hazır"),M315&gt;7),"7 günü geçti",""))</f>
        <v/>
      </c>
      <c r="O315" s="18" t="str">
        <f aca="false">IF(AND(A315&lt;&gt;"",OR(F315="Bekliyor",F315="Parça bekleniyor",F315="Hazır")),A315+ROW()/1000000,"")</f>
        <v/>
      </c>
    </row>
    <row r="316" customFormat="false" ht="15" hidden="false" customHeight="false" outlineLevel="0" collapsed="false">
      <c r="A316" s="12"/>
      <c r="B316" s="13"/>
      <c r="C316" s="13"/>
      <c r="D316" s="13"/>
      <c r="E316" s="13"/>
      <c r="F316" s="14"/>
      <c r="G316" s="15"/>
      <c r="H316" s="15"/>
      <c r="I316" s="15"/>
      <c r="J316" s="12"/>
      <c r="K316" s="16" t="str">
        <f aca="false">IF(A316="","",G316+H316)</f>
        <v/>
      </c>
      <c r="L316" s="16" t="str">
        <f aca="false">IF(A316="","",IF(F316="İade edildi",0,K316-I316))</f>
        <v/>
      </c>
      <c r="M316" s="17" t="str">
        <f aca="true">IF(A316="","",IF(J316&lt;&gt;"",J316-A316,TODAY()-A316))</f>
        <v/>
      </c>
      <c r="N316" s="18" t="str">
        <f aca="false">IF(A316="","",IF(AND(OR(F316="Bekliyor",F316="Parça bekleniyor",F316="Hazır"),M316&gt;7),"7 günü geçti",""))</f>
        <v/>
      </c>
      <c r="O316" s="18" t="str">
        <f aca="false">IF(AND(A316&lt;&gt;"",OR(F316="Bekliyor",F316="Parça bekleniyor",F316="Hazır")),A316+ROW()/1000000,"")</f>
        <v/>
      </c>
    </row>
    <row r="317" customFormat="false" ht="15" hidden="false" customHeight="false" outlineLevel="0" collapsed="false">
      <c r="A317" s="12"/>
      <c r="B317" s="13"/>
      <c r="C317" s="13"/>
      <c r="D317" s="13"/>
      <c r="E317" s="13"/>
      <c r="F317" s="14"/>
      <c r="G317" s="15"/>
      <c r="H317" s="15"/>
      <c r="I317" s="15"/>
      <c r="J317" s="12"/>
      <c r="K317" s="16" t="str">
        <f aca="false">IF(A317="","",G317+H317)</f>
        <v/>
      </c>
      <c r="L317" s="16" t="str">
        <f aca="false">IF(A317="","",IF(F317="İade edildi",0,K317-I317))</f>
        <v/>
      </c>
      <c r="M317" s="17" t="str">
        <f aca="true">IF(A317="","",IF(J317&lt;&gt;"",J317-A317,TODAY()-A317))</f>
        <v/>
      </c>
      <c r="N317" s="18" t="str">
        <f aca="false">IF(A317="","",IF(AND(OR(F317="Bekliyor",F317="Parça bekleniyor",F317="Hazır"),M317&gt;7),"7 günü geçti",""))</f>
        <v/>
      </c>
      <c r="O317" s="18" t="str">
        <f aca="false">IF(AND(A317&lt;&gt;"",OR(F317="Bekliyor",F317="Parça bekleniyor",F317="Hazır")),A317+ROW()/1000000,"")</f>
        <v/>
      </c>
    </row>
    <row r="318" customFormat="false" ht="15" hidden="false" customHeight="false" outlineLevel="0" collapsed="false">
      <c r="A318" s="12"/>
      <c r="B318" s="13"/>
      <c r="C318" s="13"/>
      <c r="D318" s="13"/>
      <c r="E318" s="13"/>
      <c r="F318" s="14"/>
      <c r="G318" s="15"/>
      <c r="H318" s="15"/>
      <c r="I318" s="15"/>
      <c r="J318" s="12"/>
      <c r="K318" s="16" t="str">
        <f aca="false">IF(A318="","",G318+H318)</f>
        <v/>
      </c>
      <c r="L318" s="16" t="str">
        <f aca="false">IF(A318="","",IF(F318="İade edildi",0,K318-I318))</f>
        <v/>
      </c>
      <c r="M318" s="17" t="str">
        <f aca="true">IF(A318="","",IF(J318&lt;&gt;"",J318-A318,TODAY()-A318))</f>
        <v/>
      </c>
      <c r="N318" s="18" t="str">
        <f aca="false">IF(A318="","",IF(AND(OR(F318="Bekliyor",F318="Parça bekleniyor",F318="Hazır"),M318&gt;7),"7 günü geçti",""))</f>
        <v/>
      </c>
      <c r="O318" s="18" t="str">
        <f aca="false">IF(AND(A318&lt;&gt;"",OR(F318="Bekliyor",F318="Parça bekleniyor",F318="Hazır")),A318+ROW()/1000000,"")</f>
        <v/>
      </c>
    </row>
    <row r="319" customFormat="false" ht="15" hidden="false" customHeight="false" outlineLevel="0" collapsed="false">
      <c r="A319" s="12"/>
      <c r="B319" s="13"/>
      <c r="C319" s="13"/>
      <c r="D319" s="13"/>
      <c r="E319" s="13"/>
      <c r="F319" s="14"/>
      <c r="G319" s="15"/>
      <c r="H319" s="15"/>
      <c r="I319" s="15"/>
      <c r="J319" s="12"/>
      <c r="K319" s="16" t="str">
        <f aca="false">IF(A319="","",G319+H319)</f>
        <v/>
      </c>
      <c r="L319" s="16" t="str">
        <f aca="false">IF(A319="","",IF(F319="İade edildi",0,K319-I319))</f>
        <v/>
      </c>
      <c r="M319" s="17" t="str">
        <f aca="true">IF(A319="","",IF(J319&lt;&gt;"",J319-A319,TODAY()-A319))</f>
        <v/>
      </c>
      <c r="N319" s="18" t="str">
        <f aca="false">IF(A319="","",IF(AND(OR(F319="Bekliyor",F319="Parça bekleniyor",F319="Hazır"),M319&gt;7),"7 günü geçti",""))</f>
        <v/>
      </c>
      <c r="O319" s="18" t="str">
        <f aca="false">IF(AND(A319&lt;&gt;"",OR(F319="Bekliyor",F319="Parça bekleniyor",F319="Hazır")),A319+ROW()/1000000,"")</f>
        <v/>
      </c>
    </row>
    <row r="320" customFormat="false" ht="15" hidden="false" customHeight="false" outlineLevel="0" collapsed="false">
      <c r="A320" s="12"/>
      <c r="B320" s="13"/>
      <c r="C320" s="13"/>
      <c r="D320" s="13"/>
      <c r="E320" s="13"/>
      <c r="F320" s="14"/>
      <c r="G320" s="15"/>
      <c r="H320" s="15"/>
      <c r="I320" s="15"/>
      <c r="J320" s="12"/>
      <c r="K320" s="16" t="str">
        <f aca="false">IF(A320="","",G320+H320)</f>
        <v/>
      </c>
      <c r="L320" s="16" t="str">
        <f aca="false">IF(A320="","",IF(F320="İade edildi",0,K320-I320))</f>
        <v/>
      </c>
      <c r="M320" s="17" t="str">
        <f aca="true">IF(A320="","",IF(J320&lt;&gt;"",J320-A320,TODAY()-A320))</f>
        <v/>
      </c>
      <c r="N320" s="18" t="str">
        <f aca="false">IF(A320="","",IF(AND(OR(F320="Bekliyor",F320="Parça bekleniyor",F320="Hazır"),M320&gt;7),"7 günü geçti",""))</f>
        <v/>
      </c>
      <c r="O320" s="18" t="str">
        <f aca="false">IF(AND(A320&lt;&gt;"",OR(F320="Bekliyor",F320="Parça bekleniyor",F320="Hazır")),A320+ROW()/1000000,"")</f>
        <v/>
      </c>
    </row>
    <row r="321" customFormat="false" ht="15" hidden="false" customHeight="false" outlineLevel="0" collapsed="false">
      <c r="A321" s="12"/>
      <c r="B321" s="13"/>
      <c r="C321" s="13"/>
      <c r="D321" s="13"/>
      <c r="E321" s="13"/>
      <c r="F321" s="14"/>
      <c r="G321" s="15"/>
      <c r="H321" s="15"/>
      <c r="I321" s="15"/>
      <c r="J321" s="12"/>
      <c r="K321" s="16" t="str">
        <f aca="false">IF(A321="","",G321+H321)</f>
        <v/>
      </c>
      <c r="L321" s="16" t="str">
        <f aca="false">IF(A321="","",IF(F321="İade edildi",0,K321-I321))</f>
        <v/>
      </c>
      <c r="M321" s="17" t="str">
        <f aca="true">IF(A321="","",IF(J321&lt;&gt;"",J321-A321,TODAY()-A321))</f>
        <v/>
      </c>
      <c r="N321" s="18" t="str">
        <f aca="false">IF(A321="","",IF(AND(OR(F321="Bekliyor",F321="Parça bekleniyor",F321="Hazır"),M321&gt;7),"7 günü geçti",""))</f>
        <v/>
      </c>
      <c r="O321" s="18" t="str">
        <f aca="false">IF(AND(A321&lt;&gt;"",OR(F321="Bekliyor",F321="Parça bekleniyor",F321="Hazır")),A321+ROW()/1000000,"")</f>
        <v/>
      </c>
    </row>
    <row r="322" customFormat="false" ht="15" hidden="false" customHeight="false" outlineLevel="0" collapsed="false">
      <c r="A322" s="12"/>
      <c r="B322" s="13"/>
      <c r="C322" s="13"/>
      <c r="D322" s="13"/>
      <c r="E322" s="13"/>
      <c r="F322" s="14"/>
      <c r="G322" s="15"/>
      <c r="H322" s="15"/>
      <c r="I322" s="15"/>
      <c r="J322" s="12"/>
      <c r="K322" s="16" t="str">
        <f aca="false">IF(A322="","",G322+H322)</f>
        <v/>
      </c>
      <c r="L322" s="16" t="str">
        <f aca="false">IF(A322="","",IF(F322="İade edildi",0,K322-I322))</f>
        <v/>
      </c>
      <c r="M322" s="17" t="str">
        <f aca="true">IF(A322="","",IF(J322&lt;&gt;"",J322-A322,TODAY()-A322))</f>
        <v/>
      </c>
      <c r="N322" s="18" t="str">
        <f aca="false">IF(A322="","",IF(AND(OR(F322="Bekliyor",F322="Parça bekleniyor",F322="Hazır"),M322&gt;7),"7 günü geçti",""))</f>
        <v/>
      </c>
      <c r="O322" s="18" t="str">
        <f aca="false">IF(AND(A322&lt;&gt;"",OR(F322="Bekliyor",F322="Parça bekleniyor",F322="Hazır")),A322+ROW()/1000000,"")</f>
        <v/>
      </c>
    </row>
    <row r="323" customFormat="false" ht="15" hidden="false" customHeight="false" outlineLevel="0" collapsed="false">
      <c r="A323" s="12"/>
      <c r="B323" s="13"/>
      <c r="C323" s="13"/>
      <c r="D323" s="13"/>
      <c r="E323" s="13"/>
      <c r="F323" s="14"/>
      <c r="G323" s="15"/>
      <c r="H323" s="15"/>
      <c r="I323" s="15"/>
      <c r="J323" s="12"/>
      <c r="K323" s="16" t="str">
        <f aca="false">IF(A323="","",G323+H323)</f>
        <v/>
      </c>
      <c r="L323" s="16" t="str">
        <f aca="false">IF(A323="","",IF(F323="İade edildi",0,K323-I323))</f>
        <v/>
      </c>
      <c r="M323" s="17" t="str">
        <f aca="true">IF(A323="","",IF(J323&lt;&gt;"",J323-A323,TODAY()-A323))</f>
        <v/>
      </c>
      <c r="N323" s="18" t="str">
        <f aca="false">IF(A323="","",IF(AND(OR(F323="Bekliyor",F323="Parça bekleniyor",F323="Hazır"),M323&gt;7),"7 günü geçti",""))</f>
        <v/>
      </c>
      <c r="O323" s="18" t="str">
        <f aca="false">IF(AND(A323&lt;&gt;"",OR(F323="Bekliyor",F323="Parça bekleniyor",F323="Hazır")),A323+ROW()/1000000,"")</f>
        <v/>
      </c>
    </row>
    <row r="324" customFormat="false" ht="15" hidden="false" customHeight="false" outlineLevel="0" collapsed="false">
      <c r="A324" s="12"/>
      <c r="B324" s="13"/>
      <c r="C324" s="13"/>
      <c r="D324" s="13"/>
      <c r="E324" s="13"/>
      <c r="F324" s="14"/>
      <c r="G324" s="15"/>
      <c r="H324" s="15"/>
      <c r="I324" s="15"/>
      <c r="J324" s="12"/>
      <c r="K324" s="16" t="str">
        <f aca="false">IF(A324="","",G324+H324)</f>
        <v/>
      </c>
      <c r="L324" s="16" t="str">
        <f aca="false">IF(A324="","",IF(F324="İade edildi",0,K324-I324))</f>
        <v/>
      </c>
      <c r="M324" s="17" t="str">
        <f aca="true">IF(A324="","",IF(J324&lt;&gt;"",J324-A324,TODAY()-A324))</f>
        <v/>
      </c>
      <c r="N324" s="18" t="str">
        <f aca="false">IF(A324="","",IF(AND(OR(F324="Bekliyor",F324="Parça bekleniyor",F324="Hazır"),M324&gt;7),"7 günü geçti",""))</f>
        <v/>
      </c>
      <c r="O324" s="18" t="str">
        <f aca="false">IF(AND(A324&lt;&gt;"",OR(F324="Bekliyor",F324="Parça bekleniyor",F324="Hazır")),A324+ROW()/1000000,"")</f>
        <v/>
      </c>
    </row>
    <row r="325" customFormat="false" ht="15" hidden="false" customHeight="false" outlineLevel="0" collapsed="false">
      <c r="A325" s="12"/>
      <c r="B325" s="13"/>
      <c r="C325" s="13"/>
      <c r="D325" s="13"/>
      <c r="E325" s="13"/>
      <c r="F325" s="14"/>
      <c r="G325" s="15"/>
      <c r="H325" s="15"/>
      <c r="I325" s="15"/>
      <c r="J325" s="12"/>
      <c r="K325" s="16" t="str">
        <f aca="false">IF(A325="","",G325+H325)</f>
        <v/>
      </c>
      <c r="L325" s="16" t="str">
        <f aca="false">IF(A325="","",IF(F325="İade edildi",0,K325-I325))</f>
        <v/>
      </c>
      <c r="M325" s="17" t="str">
        <f aca="true">IF(A325="","",IF(J325&lt;&gt;"",J325-A325,TODAY()-A325))</f>
        <v/>
      </c>
      <c r="N325" s="18" t="str">
        <f aca="false">IF(A325="","",IF(AND(OR(F325="Bekliyor",F325="Parça bekleniyor",F325="Hazır"),M325&gt;7),"7 günü geçti",""))</f>
        <v/>
      </c>
      <c r="O325" s="18" t="str">
        <f aca="false">IF(AND(A325&lt;&gt;"",OR(F325="Bekliyor",F325="Parça bekleniyor",F325="Hazır")),A325+ROW()/1000000,"")</f>
        <v/>
      </c>
    </row>
    <row r="326" customFormat="false" ht="15" hidden="false" customHeight="false" outlineLevel="0" collapsed="false">
      <c r="A326" s="12"/>
      <c r="B326" s="13"/>
      <c r="C326" s="13"/>
      <c r="D326" s="13"/>
      <c r="E326" s="13"/>
      <c r="F326" s="14"/>
      <c r="G326" s="15"/>
      <c r="H326" s="15"/>
      <c r="I326" s="15"/>
      <c r="J326" s="12"/>
      <c r="K326" s="16" t="str">
        <f aca="false">IF(A326="","",G326+H326)</f>
        <v/>
      </c>
      <c r="L326" s="16" t="str">
        <f aca="false">IF(A326="","",IF(F326="İade edildi",0,K326-I326))</f>
        <v/>
      </c>
      <c r="M326" s="17" t="str">
        <f aca="true">IF(A326="","",IF(J326&lt;&gt;"",J326-A326,TODAY()-A326))</f>
        <v/>
      </c>
      <c r="N326" s="18" t="str">
        <f aca="false">IF(A326="","",IF(AND(OR(F326="Bekliyor",F326="Parça bekleniyor",F326="Hazır"),M326&gt;7),"7 günü geçti",""))</f>
        <v/>
      </c>
      <c r="O326" s="18" t="str">
        <f aca="false">IF(AND(A326&lt;&gt;"",OR(F326="Bekliyor",F326="Parça bekleniyor",F326="Hazır")),A326+ROW()/1000000,"")</f>
        <v/>
      </c>
    </row>
    <row r="327" customFormat="false" ht="15" hidden="false" customHeight="false" outlineLevel="0" collapsed="false">
      <c r="A327" s="12"/>
      <c r="B327" s="13"/>
      <c r="C327" s="13"/>
      <c r="D327" s="13"/>
      <c r="E327" s="13"/>
      <c r="F327" s="14"/>
      <c r="G327" s="15"/>
      <c r="H327" s="15"/>
      <c r="I327" s="15"/>
      <c r="J327" s="12"/>
      <c r="K327" s="16" t="str">
        <f aca="false">IF(A327="","",G327+H327)</f>
        <v/>
      </c>
      <c r="L327" s="16" t="str">
        <f aca="false">IF(A327="","",IF(F327="İade edildi",0,K327-I327))</f>
        <v/>
      </c>
      <c r="M327" s="17" t="str">
        <f aca="true">IF(A327="","",IF(J327&lt;&gt;"",J327-A327,TODAY()-A327))</f>
        <v/>
      </c>
      <c r="N327" s="18" t="str">
        <f aca="false">IF(A327="","",IF(AND(OR(F327="Bekliyor",F327="Parça bekleniyor",F327="Hazır"),M327&gt;7),"7 günü geçti",""))</f>
        <v/>
      </c>
      <c r="O327" s="18" t="str">
        <f aca="false">IF(AND(A327&lt;&gt;"",OR(F327="Bekliyor",F327="Parça bekleniyor",F327="Hazır")),A327+ROW()/1000000,"")</f>
        <v/>
      </c>
    </row>
    <row r="328" customFormat="false" ht="15" hidden="false" customHeight="false" outlineLevel="0" collapsed="false">
      <c r="A328" s="12"/>
      <c r="B328" s="13"/>
      <c r="C328" s="13"/>
      <c r="D328" s="13"/>
      <c r="E328" s="13"/>
      <c r="F328" s="14"/>
      <c r="G328" s="15"/>
      <c r="H328" s="15"/>
      <c r="I328" s="15"/>
      <c r="J328" s="12"/>
      <c r="K328" s="16" t="str">
        <f aca="false">IF(A328="","",G328+H328)</f>
        <v/>
      </c>
      <c r="L328" s="16" t="str">
        <f aca="false">IF(A328="","",IF(F328="İade edildi",0,K328-I328))</f>
        <v/>
      </c>
      <c r="M328" s="17" t="str">
        <f aca="true">IF(A328="","",IF(J328&lt;&gt;"",J328-A328,TODAY()-A328))</f>
        <v/>
      </c>
      <c r="N328" s="18" t="str">
        <f aca="false">IF(A328="","",IF(AND(OR(F328="Bekliyor",F328="Parça bekleniyor",F328="Hazır"),M328&gt;7),"7 günü geçti",""))</f>
        <v/>
      </c>
      <c r="O328" s="18" t="str">
        <f aca="false">IF(AND(A328&lt;&gt;"",OR(F328="Bekliyor",F328="Parça bekleniyor",F328="Hazır")),A328+ROW()/1000000,"")</f>
        <v/>
      </c>
    </row>
    <row r="329" customFormat="false" ht="15" hidden="false" customHeight="false" outlineLevel="0" collapsed="false">
      <c r="A329" s="12"/>
      <c r="B329" s="13"/>
      <c r="C329" s="13"/>
      <c r="D329" s="13"/>
      <c r="E329" s="13"/>
      <c r="F329" s="14"/>
      <c r="G329" s="15"/>
      <c r="H329" s="15"/>
      <c r="I329" s="15"/>
      <c r="J329" s="12"/>
      <c r="K329" s="16" t="str">
        <f aca="false">IF(A329="","",G329+H329)</f>
        <v/>
      </c>
      <c r="L329" s="16" t="str">
        <f aca="false">IF(A329="","",IF(F329="İade edildi",0,K329-I329))</f>
        <v/>
      </c>
      <c r="M329" s="17" t="str">
        <f aca="true">IF(A329="","",IF(J329&lt;&gt;"",J329-A329,TODAY()-A329))</f>
        <v/>
      </c>
      <c r="N329" s="18" t="str">
        <f aca="false">IF(A329="","",IF(AND(OR(F329="Bekliyor",F329="Parça bekleniyor",F329="Hazır"),M329&gt;7),"7 günü geçti",""))</f>
        <v/>
      </c>
      <c r="O329" s="18" t="str">
        <f aca="false">IF(AND(A329&lt;&gt;"",OR(F329="Bekliyor",F329="Parça bekleniyor",F329="Hazır")),A329+ROW()/1000000,"")</f>
        <v/>
      </c>
    </row>
    <row r="330" customFormat="false" ht="15" hidden="false" customHeight="false" outlineLevel="0" collapsed="false">
      <c r="A330" s="12"/>
      <c r="B330" s="13"/>
      <c r="C330" s="13"/>
      <c r="D330" s="13"/>
      <c r="E330" s="13"/>
      <c r="F330" s="14"/>
      <c r="G330" s="15"/>
      <c r="H330" s="15"/>
      <c r="I330" s="15"/>
      <c r="J330" s="12"/>
      <c r="K330" s="16" t="str">
        <f aca="false">IF(A330="","",G330+H330)</f>
        <v/>
      </c>
      <c r="L330" s="16" t="str">
        <f aca="false">IF(A330="","",IF(F330="İade edildi",0,K330-I330))</f>
        <v/>
      </c>
      <c r="M330" s="17" t="str">
        <f aca="true">IF(A330="","",IF(J330&lt;&gt;"",J330-A330,TODAY()-A330))</f>
        <v/>
      </c>
      <c r="N330" s="18" t="str">
        <f aca="false">IF(A330="","",IF(AND(OR(F330="Bekliyor",F330="Parça bekleniyor",F330="Hazır"),M330&gt;7),"7 günü geçti",""))</f>
        <v/>
      </c>
      <c r="O330" s="18" t="str">
        <f aca="false">IF(AND(A330&lt;&gt;"",OR(F330="Bekliyor",F330="Parça bekleniyor",F330="Hazır")),A330+ROW()/1000000,"")</f>
        <v/>
      </c>
    </row>
    <row r="331" customFormat="false" ht="15" hidden="false" customHeight="false" outlineLevel="0" collapsed="false">
      <c r="A331" s="12"/>
      <c r="B331" s="13"/>
      <c r="C331" s="13"/>
      <c r="D331" s="13"/>
      <c r="E331" s="13"/>
      <c r="F331" s="14"/>
      <c r="G331" s="15"/>
      <c r="H331" s="15"/>
      <c r="I331" s="15"/>
      <c r="J331" s="12"/>
      <c r="K331" s="16" t="str">
        <f aca="false">IF(A331="","",G331+H331)</f>
        <v/>
      </c>
      <c r="L331" s="16" t="str">
        <f aca="false">IF(A331="","",IF(F331="İade edildi",0,K331-I331))</f>
        <v/>
      </c>
      <c r="M331" s="17" t="str">
        <f aca="true">IF(A331="","",IF(J331&lt;&gt;"",J331-A331,TODAY()-A331))</f>
        <v/>
      </c>
      <c r="N331" s="18" t="str">
        <f aca="false">IF(A331="","",IF(AND(OR(F331="Bekliyor",F331="Parça bekleniyor",F331="Hazır"),M331&gt;7),"7 günü geçti",""))</f>
        <v/>
      </c>
      <c r="O331" s="18" t="str">
        <f aca="false">IF(AND(A331&lt;&gt;"",OR(F331="Bekliyor",F331="Parça bekleniyor",F331="Hazır")),A331+ROW()/1000000,"")</f>
        <v/>
      </c>
    </row>
    <row r="332" customFormat="false" ht="15" hidden="false" customHeight="false" outlineLevel="0" collapsed="false">
      <c r="A332" s="12"/>
      <c r="B332" s="13"/>
      <c r="C332" s="13"/>
      <c r="D332" s="13"/>
      <c r="E332" s="13"/>
      <c r="F332" s="14"/>
      <c r="G332" s="15"/>
      <c r="H332" s="15"/>
      <c r="I332" s="15"/>
      <c r="J332" s="12"/>
      <c r="K332" s="16" t="str">
        <f aca="false">IF(A332="","",G332+H332)</f>
        <v/>
      </c>
      <c r="L332" s="16" t="str">
        <f aca="false">IF(A332="","",IF(F332="İade edildi",0,K332-I332))</f>
        <v/>
      </c>
      <c r="M332" s="17" t="str">
        <f aca="true">IF(A332="","",IF(J332&lt;&gt;"",J332-A332,TODAY()-A332))</f>
        <v/>
      </c>
      <c r="N332" s="18" t="str">
        <f aca="false">IF(A332="","",IF(AND(OR(F332="Bekliyor",F332="Parça bekleniyor",F332="Hazır"),M332&gt;7),"7 günü geçti",""))</f>
        <v/>
      </c>
      <c r="O332" s="18" t="str">
        <f aca="false">IF(AND(A332&lt;&gt;"",OR(F332="Bekliyor",F332="Parça bekleniyor",F332="Hazır")),A332+ROW()/1000000,"")</f>
        <v/>
      </c>
    </row>
    <row r="333" customFormat="false" ht="15" hidden="false" customHeight="false" outlineLevel="0" collapsed="false">
      <c r="A333" s="12"/>
      <c r="B333" s="13"/>
      <c r="C333" s="13"/>
      <c r="D333" s="13"/>
      <c r="E333" s="13"/>
      <c r="F333" s="14"/>
      <c r="G333" s="15"/>
      <c r="H333" s="15"/>
      <c r="I333" s="15"/>
      <c r="J333" s="12"/>
      <c r="K333" s="16" t="str">
        <f aca="false">IF(A333="","",G333+H333)</f>
        <v/>
      </c>
      <c r="L333" s="16" t="str">
        <f aca="false">IF(A333="","",IF(F333="İade edildi",0,K333-I333))</f>
        <v/>
      </c>
      <c r="M333" s="17" t="str">
        <f aca="true">IF(A333="","",IF(J333&lt;&gt;"",J333-A333,TODAY()-A333))</f>
        <v/>
      </c>
      <c r="N333" s="18" t="str">
        <f aca="false">IF(A333="","",IF(AND(OR(F333="Bekliyor",F333="Parça bekleniyor",F333="Hazır"),M333&gt;7),"7 günü geçti",""))</f>
        <v/>
      </c>
      <c r="O333" s="18" t="str">
        <f aca="false">IF(AND(A333&lt;&gt;"",OR(F333="Bekliyor",F333="Parça bekleniyor",F333="Hazır")),A333+ROW()/1000000,"")</f>
        <v/>
      </c>
    </row>
    <row r="334" customFormat="false" ht="15" hidden="false" customHeight="false" outlineLevel="0" collapsed="false">
      <c r="A334" s="12"/>
      <c r="B334" s="13"/>
      <c r="C334" s="13"/>
      <c r="D334" s="13"/>
      <c r="E334" s="13"/>
      <c r="F334" s="14"/>
      <c r="G334" s="15"/>
      <c r="H334" s="15"/>
      <c r="I334" s="15"/>
      <c r="J334" s="12"/>
      <c r="K334" s="16" t="str">
        <f aca="false">IF(A334="","",G334+H334)</f>
        <v/>
      </c>
      <c r="L334" s="16" t="str">
        <f aca="false">IF(A334="","",IF(F334="İade edildi",0,K334-I334))</f>
        <v/>
      </c>
      <c r="M334" s="17" t="str">
        <f aca="true">IF(A334="","",IF(J334&lt;&gt;"",J334-A334,TODAY()-A334))</f>
        <v/>
      </c>
      <c r="N334" s="18" t="str">
        <f aca="false">IF(A334="","",IF(AND(OR(F334="Bekliyor",F334="Parça bekleniyor",F334="Hazır"),M334&gt;7),"7 günü geçti",""))</f>
        <v/>
      </c>
      <c r="O334" s="18" t="str">
        <f aca="false">IF(AND(A334&lt;&gt;"",OR(F334="Bekliyor",F334="Parça bekleniyor",F334="Hazır")),A334+ROW()/1000000,"")</f>
        <v/>
      </c>
    </row>
    <row r="335" customFormat="false" ht="15" hidden="false" customHeight="false" outlineLevel="0" collapsed="false">
      <c r="A335" s="12"/>
      <c r="B335" s="13"/>
      <c r="C335" s="13"/>
      <c r="D335" s="13"/>
      <c r="E335" s="13"/>
      <c r="F335" s="14"/>
      <c r="G335" s="15"/>
      <c r="H335" s="15"/>
      <c r="I335" s="15"/>
      <c r="J335" s="12"/>
      <c r="K335" s="16" t="str">
        <f aca="false">IF(A335="","",G335+H335)</f>
        <v/>
      </c>
      <c r="L335" s="16" t="str">
        <f aca="false">IF(A335="","",IF(F335="İade edildi",0,K335-I335))</f>
        <v/>
      </c>
      <c r="M335" s="17" t="str">
        <f aca="true">IF(A335="","",IF(J335&lt;&gt;"",J335-A335,TODAY()-A335))</f>
        <v/>
      </c>
      <c r="N335" s="18" t="str">
        <f aca="false">IF(A335="","",IF(AND(OR(F335="Bekliyor",F335="Parça bekleniyor",F335="Hazır"),M335&gt;7),"7 günü geçti",""))</f>
        <v/>
      </c>
      <c r="O335" s="18" t="str">
        <f aca="false">IF(AND(A335&lt;&gt;"",OR(F335="Bekliyor",F335="Parça bekleniyor",F335="Hazır")),A335+ROW()/1000000,"")</f>
        <v/>
      </c>
    </row>
    <row r="336" customFormat="false" ht="15" hidden="false" customHeight="false" outlineLevel="0" collapsed="false">
      <c r="A336" s="12"/>
      <c r="B336" s="13"/>
      <c r="C336" s="13"/>
      <c r="D336" s="13"/>
      <c r="E336" s="13"/>
      <c r="F336" s="14"/>
      <c r="G336" s="15"/>
      <c r="H336" s="15"/>
      <c r="I336" s="15"/>
      <c r="J336" s="12"/>
      <c r="K336" s="16" t="str">
        <f aca="false">IF(A336="","",G336+H336)</f>
        <v/>
      </c>
      <c r="L336" s="16" t="str">
        <f aca="false">IF(A336="","",IF(F336="İade edildi",0,K336-I336))</f>
        <v/>
      </c>
      <c r="M336" s="17" t="str">
        <f aca="true">IF(A336="","",IF(J336&lt;&gt;"",J336-A336,TODAY()-A336))</f>
        <v/>
      </c>
      <c r="N336" s="18" t="str">
        <f aca="false">IF(A336="","",IF(AND(OR(F336="Bekliyor",F336="Parça bekleniyor",F336="Hazır"),M336&gt;7),"7 günü geçti",""))</f>
        <v/>
      </c>
      <c r="O336" s="18" t="str">
        <f aca="false">IF(AND(A336&lt;&gt;"",OR(F336="Bekliyor",F336="Parça bekleniyor",F336="Hazır")),A336+ROW()/1000000,"")</f>
        <v/>
      </c>
    </row>
    <row r="337" customFormat="false" ht="15" hidden="false" customHeight="false" outlineLevel="0" collapsed="false">
      <c r="A337" s="12"/>
      <c r="B337" s="13"/>
      <c r="C337" s="13"/>
      <c r="D337" s="13"/>
      <c r="E337" s="13"/>
      <c r="F337" s="14"/>
      <c r="G337" s="15"/>
      <c r="H337" s="15"/>
      <c r="I337" s="15"/>
      <c r="J337" s="12"/>
      <c r="K337" s="16" t="str">
        <f aca="false">IF(A337="","",G337+H337)</f>
        <v/>
      </c>
      <c r="L337" s="16" t="str">
        <f aca="false">IF(A337="","",IF(F337="İade edildi",0,K337-I337))</f>
        <v/>
      </c>
      <c r="M337" s="17" t="str">
        <f aca="true">IF(A337="","",IF(J337&lt;&gt;"",J337-A337,TODAY()-A337))</f>
        <v/>
      </c>
      <c r="N337" s="18" t="str">
        <f aca="false">IF(A337="","",IF(AND(OR(F337="Bekliyor",F337="Parça bekleniyor",F337="Hazır"),M337&gt;7),"7 günü geçti",""))</f>
        <v/>
      </c>
      <c r="O337" s="18" t="str">
        <f aca="false">IF(AND(A337&lt;&gt;"",OR(F337="Bekliyor",F337="Parça bekleniyor",F337="Hazır")),A337+ROW()/1000000,"")</f>
        <v/>
      </c>
    </row>
    <row r="338" customFormat="false" ht="15" hidden="false" customHeight="false" outlineLevel="0" collapsed="false">
      <c r="A338" s="12"/>
      <c r="B338" s="13"/>
      <c r="C338" s="13"/>
      <c r="D338" s="13"/>
      <c r="E338" s="13"/>
      <c r="F338" s="14"/>
      <c r="G338" s="15"/>
      <c r="H338" s="15"/>
      <c r="I338" s="15"/>
      <c r="J338" s="12"/>
      <c r="K338" s="16" t="str">
        <f aca="false">IF(A338="","",G338+H338)</f>
        <v/>
      </c>
      <c r="L338" s="16" t="str">
        <f aca="false">IF(A338="","",IF(F338="İade edildi",0,K338-I338))</f>
        <v/>
      </c>
      <c r="M338" s="17" t="str">
        <f aca="true">IF(A338="","",IF(J338&lt;&gt;"",J338-A338,TODAY()-A338))</f>
        <v/>
      </c>
      <c r="N338" s="18" t="str">
        <f aca="false">IF(A338="","",IF(AND(OR(F338="Bekliyor",F338="Parça bekleniyor",F338="Hazır"),M338&gt;7),"7 günü geçti",""))</f>
        <v/>
      </c>
      <c r="O338" s="18" t="str">
        <f aca="false">IF(AND(A338&lt;&gt;"",OR(F338="Bekliyor",F338="Parça bekleniyor",F338="Hazır")),A338+ROW()/1000000,"")</f>
        <v/>
      </c>
    </row>
    <row r="339" customFormat="false" ht="15" hidden="false" customHeight="false" outlineLevel="0" collapsed="false">
      <c r="A339" s="12"/>
      <c r="B339" s="13"/>
      <c r="C339" s="13"/>
      <c r="D339" s="13"/>
      <c r="E339" s="13"/>
      <c r="F339" s="14"/>
      <c r="G339" s="15"/>
      <c r="H339" s="15"/>
      <c r="I339" s="15"/>
      <c r="J339" s="12"/>
      <c r="K339" s="16" t="str">
        <f aca="false">IF(A339="","",G339+H339)</f>
        <v/>
      </c>
      <c r="L339" s="16" t="str">
        <f aca="false">IF(A339="","",IF(F339="İade edildi",0,K339-I339))</f>
        <v/>
      </c>
      <c r="M339" s="17" t="str">
        <f aca="true">IF(A339="","",IF(J339&lt;&gt;"",J339-A339,TODAY()-A339))</f>
        <v/>
      </c>
      <c r="N339" s="18" t="str">
        <f aca="false">IF(A339="","",IF(AND(OR(F339="Bekliyor",F339="Parça bekleniyor",F339="Hazır"),M339&gt;7),"7 günü geçti",""))</f>
        <v/>
      </c>
      <c r="O339" s="18" t="str">
        <f aca="false">IF(AND(A339&lt;&gt;"",OR(F339="Bekliyor",F339="Parça bekleniyor",F339="Hazır")),A339+ROW()/1000000,"")</f>
        <v/>
      </c>
    </row>
    <row r="340" customFormat="false" ht="15" hidden="false" customHeight="false" outlineLevel="0" collapsed="false">
      <c r="A340" s="12"/>
      <c r="B340" s="13"/>
      <c r="C340" s="13"/>
      <c r="D340" s="13"/>
      <c r="E340" s="13"/>
      <c r="F340" s="14"/>
      <c r="G340" s="15"/>
      <c r="H340" s="15"/>
      <c r="I340" s="15"/>
      <c r="J340" s="12"/>
      <c r="K340" s="16" t="str">
        <f aca="false">IF(A340="","",G340+H340)</f>
        <v/>
      </c>
      <c r="L340" s="16" t="str">
        <f aca="false">IF(A340="","",IF(F340="İade edildi",0,K340-I340))</f>
        <v/>
      </c>
      <c r="M340" s="17" t="str">
        <f aca="true">IF(A340="","",IF(J340&lt;&gt;"",J340-A340,TODAY()-A340))</f>
        <v/>
      </c>
      <c r="N340" s="18" t="str">
        <f aca="false">IF(A340="","",IF(AND(OR(F340="Bekliyor",F340="Parça bekleniyor",F340="Hazır"),M340&gt;7),"7 günü geçti",""))</f>
        <v/>
      </c>
      <c r="O340" s="18" t="str">
        <f aca="false">IF(AND(A340&lt;&gt;"",OR(F340="Bekliyor",F340="Parça bekleniyor",F340="Hazır")),A340+ROW()/1000000,"")</f>
        <v/>
      </c>
    </row>
    <row r="341" customFormat="false" ht="15" hidden="false" customHeight="false" outlineLevel="0" collapsed="false">
      <c r="A341" s="12"/>
      <c r="B341" s="13"/>
      <c r="C341" s="13"/>
      <c r="D341" s="13"/>
      <c r="E341" s="13"/>
      <c r="F341" s="14"/>
      <c r="G341" s="15"/>
      <c r="H341" s="15"/>
      <c r="I341" s="15"/>
      <c r="J341" s="12"/>
      <c r="K341" s="16" t="str">
        <f aca="false">IF(A341="","",G341+H341)</f>
        <v/>
      </c>
      <c r="L341" s="16" t="str">
        <f aca="false">IF(A341="","",IF(F341="İade edildi",0,K341-I341))</f>
        <v/>
      </c>
      <c r="M341" s="17" t="str">
        <f aca="true">IF(A341="","",IF(J341&lt;&gt;"",J341-A341,TODAY()-A341))</f>
        <v/>
      </c>
      <c r="N341" s="18" t="str">
        <f aca="false">IF(A341="","",IF(AND(OR(F341="Bekliyor",F341="Parça bekleniyor",F341="Hazır"),M341&gt;7),"7 günü geçti",""))</f>
        <v/>
      </c>
      <c r="O341" s="18" t="str">
        <f aca="false">IF(AND(A341&lt;&gt;"",OR(F341="Bekliyor",F341="Parça bekleniyor",F341="Hazır")),A341+ROW()/1000000,"")</f>
        <v/>
      </c>
    </row>
    <row r="342" customFormat="false" ht="15" hidden="false" customHeight="false" outlineLevel="0" collapsed="false">
      <c r="A342" s="12"/>
      <c r="B342" s="13"/>
      <c r="C342" s="13"/>
      <c r="D342" s="13"/>
      <c r="E342" s="13"/>
      <c r="F342" s="14"/>
      <c r="G342" s="15"/>
      <c r="H342" s="15"/>
      <c r="I342" s="15"/>
      <c r="J342" s="12"/>
      <c r="K342" s="16" t="str">
        <f aca="false">IF(A342="","",G342+H342)</f>
        <v/>
      </c>
      <c r="L342" s="16" t="str">
        <f aca="false">IF(A342="","",IF(F342="İade edildi",0,K342-I342))</f>
        <v/>
      </c>
      <c r="M342" s="17" t="str">
        <f aca="true">IF(A342="","",IF(J342&lt;&gt;"",J342-A342,TODAY()-A342))</f>
        <v/>
      </c>
      <c r="N342" s="18" t="str">
        <f aca="false">IF(A342="","",IF(AND(OR(F342="Bekliyor",F342="Parça bekleniyor",F342="Hazır"),M342&gt;7),"7 günü geçti",""))</f>
        <v/>
      </c>
      <c r="O342" s="18" t="str">
        <f aca="false">IF(AND(A342&lt;&gt;"",OR(F342="Bekliyor",F342="Parça bekleniyor",F342="Hazır")),A342+ROW()/1000000,"")</f>
        <v/>
      </c>
    </row>
    <row r="343" customFormat="false" ht="15" hidden="false" customHeight="false" outlineLevel="0" collapsed="false">
      <c r="A343" s="12"/>
      <c r="B343" s="13"/>
      <c r="C343" s="13"/>
      <c r="D343" s="13"/>
      <c r="E343" s="13"/>
      <c r="F343" s="14"/>
      <c r="G343" s="15"/>
      <c r="H343" s="15"/>
      <c r="I343" s="15"/>
      <c r="J343" s="12"/>
      <c r="K343" s="16" t="str">
        <f aca="false">IF(A343="","",G343+H343)</f>
        <v/>
      </c>
      <c r="L343" s="16" t="str">
        <f aca="false">IF(A343="","",IF(F343="İade edildi",0,K343-I343))</f>
        <v/>
      </c>
      <c r="M343" s="17" t="str">
        <f aca="true">IF(A343="","",IF(J343&lt;&gt;"",J343-A343,TODAY()-A343))</f>
        <v/>
      </c>
      <c r="N343" s="18" t="str">
        <f aca="false">IF(A343="","",IF(AND(OR(F343="Bekliyor",F343="Parça bekleniyor",F343="Hazır"),M343&gt;7),"7 günü geçti",""))</f>
        <v/>
      </c>
      <c r="O343" s="18" t="str">
        <f aca="false">IF(AND(A343&lt;&gt;"",OR(F343="Bekliyor",F343="Parça bekleniyor",F343="Hazır")),A343+ROW()/1000000,"")</f>
        <v/>
      </c>
    </row>
    <row r="344" customFormat="false" ht="15" hidden="false" customHeight="false" outlineLevel="0" collapsed="false">
      <c r="A344" s="12"/>
      <c r="B344" s="13"/>
      <c r="C344" s="13"/>
      <c r="D344" s="13"/>
      <c r="E344" s="13"/>
      <c r="F344" s="14"/>
      <c r="G344" s="15"/>
      <c r="H344" s="15"/>
      <c r="I344" s="15"/>
      <c r="J344" s="12"/>
      <c r="K344" s="16" t="str">
        <f aca="false">IF(A344="","",G344+H344)</f>
        <v/>
      </c>
      <c r="L344" s="16" t="str">
        <f aca="false">IF(A344="","",IF(F344="İade edildi",0,K344-I344))</f>
        <v/>
      </c>
      <c r="M344" s="17" t="str">
        <f aca="true">IF(A344="","",IF(J344&lt;&gt;"",J344-A344,TODAY()-A344))</f>
        <v/>
      </c>
      <c r="N344" s="18" t="str">
        <f aca="false">IF(A344="","",IF(AND(OR(F344="Bekliyor",F344="Parça bekleniyor",F344="Hazır"),M344&gt;7),"7 günü geçti",""))</f>
        <v/>
      </c>
      <c r="O344" s="18" t="str">
        <f aca="false">IF(AND(A344&lt;&gt;"",OR(F344="Bekliyor",F344="Parça bekleniyor",F344="Hazır")),A344+ROW()/1000000,"")</f>
        <v/>
      </c>
    </row>
    <row r="345" customFormat="false" ht="15" hidden="false" customHeight="false" outlineLevel="0" collapsed="false">
      <c r="A345" s="12"/>
      <c r="B345" s="13"/>
      <c r="C345" s="13"/>
      <c r="D345" s="13"/>
      <c r="E345" s="13"/>
      <c r="F345" s="14"/>
      <c r="G345" s="15"/>
      <c r="H345" s="15"/>
      <c r="I345" s="15"/>
      <c r="J345" s="12"/>
      <c r="K345" s="16" t="str">
        <f aca="false">IF(A345="","",G345+H345)</f>
        <v/>
      </c>
      <c r="L345" s="16" t="str">
        <f aca="false">IF(A345="","",IF(F345="İade edildi",0,K345-I345))</f>
        <v/>
      </c>
      <c r="M345" s="17" t="str">
        <f aca="true">IF(A345="","",IF(J345&lt;&gt;"",J345-A345,TODAY()-A345))</f>
        <v/>
      </c>
      <c r="N345" s="18" t="str">
        <f aca="false">IF(A345="","",IF(AND(OR(F345="Bekliyor",F345="Parça bekleniyor",F345="Hazır"),M345&gt;7),"7 günü geçti",""))</f>
        <v/>
      </c>
      <c r="O345" s="18" t="str">
        <f aca="false">IF(AND(A345&lt;&gt;"",OR(F345="Bekliyor",F345="Parça bekleniyor",F345="Hazır")),A345+ROW()/1000000,"")</f>
        <v/>
      </c>
    </row>
    <row r="346" customFormat="false" ht="15" hidden="false" customHeight="false" outlineLevel="0" collapsed="false">
      <c r="A346" s="12"/>
      <c r="B346" s="13"/>
      <c r="C346" s="13"/>
      <c r="D346" s="13"/>
      <c r="E346" s="13"/>
      <c r="F346" s="14"/>
      <c r="G346" s="15"/>
      <c r="H346" s="15"/>
      <c r="I346" s="15"/>
      <c r="J346" s="12"/>
      <c r="K346" s="16" t="str">
        <f aca="false">IF(A346="","",G346+H346)</f>
        <v/>
      </c>
      <c r="L346" s="16" t="str">
        <f aca="false">IF(A346="","",IF(F346="İade edildi",0,K346-I346))</f>
        <v/>
      </c>
      <c r="M346" s="17" t="str">
        <f aca="true">IF(A346="","",IF(J346&lt;&gt;"",J346-A346,TODAY()-A346))</f>
        <v/>
      </c>
      <c r="N346" s="18" t="str">
        <f aca="false">IF(A346="","",IF(AND(OR(F346="Bekliyor",F346="Parça bekleniyor",F346="Hazır"),M346&gt;7),"7 günü geçti",""))</f>
        <v/>
      </c>
      <c r="O346" s="18" t="str">
        <f aca="false">IF(AND(A346&lt;&gt;"",OR(F346="Bekliyor",F346="Parça bekleniyor",F346="Hazır")),A346+ROW()/1000000,"")</f>
        <v/>
      </c>
    </row>
    <row r="347" customFormat="false" ht="15" hidden="false" customHeight="false" outlineLevel="0" collapsed="false">
      <c r="A347" s="12"/>
      <c r="B347" s="13"/>
      <c r="C347" s="13"/>
      <c r="D347" s="13"/>
      <c r="E347" s="13"/>
      <c r="F347" s="14"/>
      <c r="G347" s="15"/>
      <c r="H347" s="15"/>
      <c r="I347" s="15"/>
      <c r="J347" s="12"/>
      <c r="K347" s="16" t="str">
        <f aca="false">IF(A347="","",G347+H347)</f>
        <v/>
      </c>
      <c r="L347" s="16" t="str">
        <f aca="false">IF(A347="","",IF(F347="İade edildi",0,K347-I347))</f>
        <v/>
      </c>
      <c r="M347" s="17" t="str">
        <f aca="true">IF(A347="","",IF(J347&lt;&gt;"",J347-A347,TODAY()-A347))</f>
        <v/>
      </c>
      <c r="N347" s="18" t="str">
        <f aca="false">IF(A347="","",IF(AND(OR(F347="Bekliyor",F347="Parça bekleniyor",F347="Hazır"),M347&gt;7),"7 günü geçti",""))</f>
        <v/>
      </c>
      <c r="O347" s="18" t="str">
        <f aca="false">IF(AND(A347&lt;&gt;"",OR(F347="Bekliyor",F347="Parça bekleniyor",F347="Hazır")),A347+ROW()/1000000,"")</f>
        <v/>
      </c>
    </row>
    <row r="348" customFormat="false" ht="15" hidden="false" customHeight="false" outlineLevel="0" collapsed="false">
      <c r="A348" s="12"/>
      <c r="B348" s="13"/>
      <c r="C348" s="13"/>
      <c r="D348" s="13"/>
      <c r="E348" s="13"/>
      <c r="F348" s="14"/>
      <c r="G348" s="15"/>
      <c r="H348" s="15"/>
      <c r="I348" s="15"/>
      <c r="J348" s="12"/>
      <c r="K348" s="16" t="str">
        <f aca="false">IF(A348="","",G348+H348)</f>
        <v/>
      </c>
      <c r="L348" s="16" t="str">
        <f aca="false">IF(A348="","",IF(F348="İade edildi",0,K348-I348))</f>
        <v/>
      </c>
      <c r="M348" s="17" t="str">
        <f aca="true">IF(A348="","",IF(J348&lt;&gt;"",J348-A348,TODAY()-A348))</f>
        <v/>
      </c>
      <c r="N348" s="18" t="str">
        <f aca="false">IF(A348="","",IF(AND(OR(F348="Bekliyor",F348="Parça bekleniyor",F348="Hazır"),M348&gt;7),"7 günü geçti",""))</f>
        <v/>
      </c>
      <c r="O348" s="18" t="str">
        <f aca="false">IF(AND(A348&lt;&gt;"",OR(F348="Bekliyor",F348="Parça bekleniyor",F348="Hazır")),A348+ROW()/1000000,"")</f>
        <v/>
      </c>
    </row>
    <row r="349" customFormat="false" ht="15" hidden="false" customHeight="false" outlineLevel="0" collapsed="false">
      <c r="A349" s="12"/>
      <c r="B349" s="13"/>
      <c r="C349" s="13"/>
      <c r="D349" s="13"/>
      <c r="E349" s="13"/>
      <c r="F349" s="14"/>
      <c r="G349" s="15"/>
      <c r="H349" s="15"/>
      <c r="I349" s="15"/>
      <c r="J349" s="12"/>
      <c r="K349" s="16" t="str">
        <f aca="false">IF(A349="","",G349+H349)</f>
        <v/>
      </c>
      <c r="L349" s="16" t="str">
        <f aca="false">IF(A349="","",IF(F349="İade edildi",0,K349-I349))</f>
        <v/>
      </c>
      <c r="M349" s="17" t="str">
        <f aca="true">IF(A349="","",IF(J349&lt;&gt;"",J349-A349,TODAY()-A349))</f>
        <v/>
      </c>
      <c r="N349" s="18" t="str">
        <f aca="false">IF(A349="","",IF(AND(OR(F349="Bekliyor",F349="Parça bekleniyor",F349="Hazır"),M349&gt;7),"7 günü geçti",""))</f>
        <v/>
      </c>
      <c r="O349" s="18" t="str">
        <f aca="false">IF(AND(A349&lt;&gt;"",OR(F349="Bekliyor",F349="Parça bekleniyor",F349="Hazır")),A349+ROW()/1000000,"")</f>
        <v/>
      </c>
    </row>
    <row r="350" customFormat="false" ht="15" hidden="false" customHeight="false" outlineLevel="0" collapsed="false">
      <c r="A350" s="12"/>
      <c r="B350" s="13"/>
      <c r="C350" s="13"/>
      <c r="D350" s="13"/>
      <c r="E350" s="13"/>
      <c r="F350" s="14"/>
      <c r="G350" s="15"/>
      <c r="H350" s="15"/>
      <c r="I350" s="15"/>
      <c r="J350" s="12"/>
      <c r="K350" s="16" t="str">
        <f aca="false">IF(A350="","",G350+H350)</f>
        <v/>
      </c>
      <c r="L350" s="16" t="str">
        <f aca="false">IF(A350="","",IF(F350="İade edildi",0,K350-I350))</f>
        <v/>
      </c>
      <c r="M350" s="17" t="str">
        <f aca="true">IF(A350="","",IF(J350&lt;&gt;"",J350-A350,TODAY()-A350))</f>
        <v/>
      </c>
      <c r="N350" s="18" t="str">
        <f aca="false">IF(A350="","",IF(AND(OR(F350="Bekliyor",F350="Parça bekleniyor",F350="Hazır"),M350&gt;7),"7 günü geçti",""))</f>
        <v/>
      </c>
      <c r="O350" s="18" t="str">
        <f aca="false">IF(AND(A350&lt;&gt;"",OR(F350="Bekliyor",F350="Parça bekleniyor",F350="Hazır")),A350+ROW()/1000000,"")</f>
        <v/>
      </c>
    </row>
    <row r="351" customFormat="false" ht="15" hidden="false" customHeight="false" outlineLevel="0" collapsed="false">
      <c r="A351" s="12"/>
      <c r="B351" s="13"/>
      <c r="C351" s="13"/>
      <c r="D351" s="13"/>
      <c r="E351" s="13"/>
      <c r="F351" s="14"/>
      <c r="G351" s="15"/>
      <c r="H351" s="15"/>
      <c r="I351" s="15"/>
      <c r="J351" s="12"/>
      <c r="K351" s="16" t="str">
        <f aca="false">IF(A351="","",G351+H351)</f>
        <v/>
      </c>
      <c r="L351" s="16" t="str">
        <f aca="false">IF(A351="","",IF(F351="İade edildi",0,K351-I351))</f>
        <v/>
      </c>
      <c r="M351" s="17" t="str">
        <f aca="true">IF(A351="","",IF(J351&lt;&gt;"",J351-A351,TODAY()-A351))</f>
        <v/>
      </c>
      <c r="N351" s="18" t="str">
        <f aca="false">IF(A351="","",IF(AND(OR(F351="Bekliyor",F351="Parça bekleniyor",F351="Hazır"),M351&gt;7),"7 günü geçti",""))</f>
        <v/>
      </c>
      <c r="O351" s="18" t="str">
        <f aca="false">IF(AND(A351&lt;&gt;"",OR(F351="Bekliyor",F351="Parça bekleniyor",F351="Hazır")),A351+ROW()/1000000,"")</f>
        <v/>
      </c>
    </row>
    <row r="352" customFormat="false" ht="15" hidden="false" customHeight="false" outlineLevel="0" collapsed="false">
      <c r="A352" s="12"/>
      <c r="B352" s="13"/>
      <c r="C352" s="13"/>
      <c r="D352" s="13"/>
      <c r="E352" s="13"/>
      <c r="F352" s="14"/>
      <c r="G352" s="15"/>
      <c r="H352" s="15"/>
      <c r="I352" s="15"/>
      <c r="J352" s="12"/>
      <c r="K352" s="16" t="str">
        <f aca="false">IF(A352="","",G352+H352)</f>
        <v/>
      </c>
      <c r="L352" s="16" t="str">
        <f aca="false">IF(A352="","",IF(F352="İade edildi",0,K352-I352))</f>
        <v/>
      </c>
      <c r="M352" s="17" t="str">
        <f aca="true">IF(A352="","",IF(J352&lt;&gt;"",J352-A352,TODAY()-A352))</f>
        <v/>
      </c>
      <c r="N352" s="18" t="str">
        <f aca="false">IF(A352="","",IF(AND(OR(F352="Bekliyor",F352="Parça bekleniyor",F352="Hazır"),M352&gt;7),"7 günü geçti",""))</f>
        <v/>
      </c>
      <c r="O352" s="18" t="str">
        <f aca="false">IF(AND(A352&lt;&gt;"",OR(F352="Bekliyor",F352="Parça bekleniyor",F352="Hazır")),A352+ROW()/1000000,"")</f>
        <v/>
      </c>
    </row>
    <row r="353" customFormat="false" ht="15" hidden="false" customHeight="false" outlineLevel="0" collapsed="false">
      <c r="A353" s="12"/>
      <c r="B353" s="13"/>
      <c r="C353" s="13"/>
      <c r="D353" s="13"/>
      <c r="E353" s="13"/>
      <c r="F353" s="14"/>
      <c r="G353" s="15"/>
      <c r="H353" s="15"/>
      <c r="I353" s="15"/>
      <c r="J353" s="12"/>
      <c r="K353" s="16" t="str">
        <f aca="false">IF(A353="","",G353+H353)</f>
        <v/>
      </c>
      <c r="L353" s="16" t="str">
        <f aca="false">IF(A353="","",IF(F353="İade edildi",0,K353-I353))</f>
        <v/>
      </c>
      <c r="M353" s="17" t="str">
        <f aca="true">IF(A353="","",IF(J353&lt;&gt;"",J353-A353,TODAY()-A353))</f>
        <v/>
      </c>
      <c r="N353" s="18" t="str">
        <f aca="false">IF(A353="","",IF(AND(OR(F353="Bekliyor",F353="Parça bekleniyor",F353="Hazır"),M353&gt;7),"7 günü geçti",""))</f>
        <v/>
      </c>
      <c r="O353" s="18" t="str">
        <f aca="false">IF(AND(A353&lt;&gt;"",OR(F353="Bekliyor",F353="Parça bekleniyor",F353="Hazır")),A353+ROW()/1000000,"")</f>
        <v/>
      </c>
    </row>
    <row r="354" customFormat="false" ht="15" hidden="false" customHeight="false" outlineLevel="0" collapsed="false">
      <c r="A354" s="12"/>
      <c r="B354" s="13"/>
      <c r="C354" s="13"/>
      <c r="D354" s="13"/>
      <c r="E354" s="13"/>
      <c r="F354" s="14"/>
      <c r="G354" s="15"/>
      <c r="H354" s="15"/>
      <c r="I354" s="15"/>
      <c r="J354" s="12"/>
      <c r="K354" s="16" t="str">
        <f aca="false">IF(A354="","",G354+H354)</f>
        <v/>
      </c>
      <c r="L354" s="16" t="str">
        <f aca="false">IF(A354="","",IF(F354="İade edildi",0,K354-I354))</f>
        <v/>
      </c>
      <c r="M354" s="17" t="str">
        <f aca="true">IF(A354="","",IF(J354&lt;&gt;"",J354-A354,TODAY()-A354))</f>
        <v/>
      </c>
      <c r="N354" s="18" t="str">
        <f aca="false">IF(A354="","",IF(AND(OR(F354="Bekliyor",F354="Parça bekleniyor",F354="Hazır"),M354&gt;7),"7 günü geçti",""))</f>
        <v/>
      </c>
      <c r="O354" s="18" t="str">
        <f aca="false">IF(AND(A354&lt;&gt;"",OR(F354="Bekliyor",F354="Parça bekleniyor",F354="Hazır")),A354+ROW()/1000000,"")</f>
        <v/>
      </c>
    </row>
    <row r="355" customFormat="false" ht="15" hidden="false" customHeight="false" outlineLevel="0" collapsed="false">
      <c r="A355" s="12"/>
      <c r="B355" s="13"/>
      <c r="C355" s="13"/>
      <c r="D355" s="13"/>
      <c r="E355" s="13"/>
      <c r="F355" s="14"/>
      <c r="G355" s="15"/>
      <c r="H355" s="15"/>
      <c r="I355" s="15"/>
      <c r="J355" s="12"/>
      <c r="K355" s="16" t="str">
        <f aca="false">IF(A355="","",G355+H355)</f>
        <v/>
      </c>
      <c r="L355" s="16" t="str">
        <f aca="false">IF(A355="","",IF(F355="İade edildi",0,K355-I355))</f>
        <v/>
      </c>
      <c r="M355" s="17" t="str">
        <f aca="true">IF(A355="","",IF(J355&lt;&gt;"",J355-A355,TODAY()-A355))</f>
        <v/>
      </c>
      <c r="N355" s="18" t="str">
        <f aca="false">IF(A355="","",IF(AND(OR(F355="Bekliyor",F355="Parça bekleniyor",F355="Hazır"),M355&gt;7),"7 günü geçti",""))</f>
        <v/>
      </c>
      <c r="O355" s="18" t="str">
        <f aca="false">IF(AND(A355&lt;&gt;"",OR(F355="Bekliyor",F355="Parça bekleniyor",F355="Hazır")),A355+ROW()/1000000,"")</f>
        <v/>
      </c>
    </row>
    <row r="356" customFormat="false" ht="15" hidden="false" customHeight="false" outlineLevel="0" collapsed="false">
      <c r="A356" s="12"/>
      <c r="B356" s="13"/>
      <c r="C356" s="13"/>
      <c r="D356" s="13"/>
      <c r="E356" s="13"/>
      <c r="F356" s="14"/>
      <c r="G356" s="15"/>
      <c r="H356" s="15"/>
      <c r="I356" s="15"/>
      <c r="J356" s="12"/>
      <c r="K356" s="16" t="str">
        <f aca="false">IF(A356="","",G356+H356)</f>
        <v/>
      </c>
      <c r="L356" s="16" t="str">
        <f aca="false">IF(A356="","",IF(F356="İade edildi",0,K356-I356))</f>
        <v/>
      </c>
      <c r="M356" s="17" t="str">
        <f aca="true">IF(A356="","",IF(J356&lt;&gt;"",J356-A356,TODAY()-A356))</f>
        <v/>
      </c>
      <c r="N356" s="18" t="str">
        <f aca="false">IF(A356="","",IF(AND(OR(F356="Bekliyor",F356="Parça bekleniyor",F356="Hazır"),M356&gt;7),"7 günü geçti",""))</f>
        <v/>
      </c>
      <c r="O356" s="18" t="str">
        <f aca="false">IF(AND(A356&lt;&gt;"",OR(F356="Bekliyor",F356="Parça bekleniyor",F356="Hazır")),A356+ROW()/1000000,"")</f>
        <v/>
      </c>
    </row>
    <row r="357" customFormat="false" ht="15" hidden="false" customHeight="false" outlineLevel="0" collapsed="false">
      <c r="A357" s="12"/>
      <c r="B357" s="13"/>
      <c r="C357" s="13"/>
      <c r="D357" s="13"/>
      <c r="E357" s="13"/>
      <c r="F357" s="14"/>
      <c r="G357" s="15"/>
      <c r="H357" s="15"/>
      <c r="I357" s="15"/>
      <c r="J357" s="12"/>
      <c r="K357" s="16" t="str">
        <f aca="false">IF(A357="","",G357+H357)</f>
        <v/>
      </c>
      <c r="L357" s="16" t="str">
        <f aca="false">IF(A357="","",IF(F357="İade edildi",0,K357-I357))</f>
        <v/>
      </c>
      <c r="M357" s="17" t="str">
        <f aca="true">IF(A357="","",IF(J357&lt;&gt;"",J357-A357,TODAY()-A357))</f>
        <v/>
      </c>
      <c r="N357" s="18" t="str">
        <f aca="false">IF(A357="","",IF(AND(OR(F357="Bekliyor",F357="Parça bekleniyor",F357="Hazır"),M357&gt;7),"7 günü geçti",""))</f>
        <v/>
      </c>
      <c r="O357" s="18" t="str">
        <f aca="false">IF(AND(A357&lt;&gt;"",OR(F357="Bekliyor",F357="Parça bekleniyor",F357="Hazır")),A357+ROW()/1000000,"")</f>
        <v/>
      </c>
    </row>
    <row r="358" customFormat="false" ht="15" hidden="false" customHeight="false" outlineLevel="0" collapsed="false">
      <c r="A358" s="12"/>
      <c r="B358" s="13"/>
      <c r="C358" s="13"/>
      <c r="D358" s="13"/>
      <c r="E358" s="13"/>
      <c r="F358" s="14"/>
      <c r="G358" s="15"/>
      <c r="H358" s="15"/>
      <c r="I358" s="15"/>
      <c r="J358" s="12"/>
      <c r="K358" s="16" t="str">
        <f aca="false">IF(A358="","",G358+H358)</f>
        <v/>
      </c>
      <c r="L358" s="16" t="str">
        <f aca="false">IF(A358="","",IF(F358="İade edildi",0,K358-I358))</f>
        <v/>
      </c>
      <c r="M358" s="17" t="str">
        <f aca="true">IF(A358="","",IF(J358&lt;&gt;"",J358-A358,TODAY()-A358))</f>
        <v/>
      </c>
      <c r="N358" s="18" t="str">
        <f aca="false">IF(A358="","",IF(AND(OR(F358="Bekliyor",F358="Parça bekleniyor",F358="Hazır"),M358&gt;7),"7 günü geçti",""))</f>
        <v/>
      </c>
      <c r="O358" s="18" t="str">
        <f aca="false">IF(AND(A358&lt;&gt;"",OR(F358="Bekliyor",F358="Parça bekleniyor",F358="Hazır")),A358+ROW()/1000000,"")</f>
        <v/>
      </c>
    </row>
    <row r="359" customFormat="false" ht="15" hidden="false" customHeight="false" outlineLevel="0" collapsed="false">
      <c r="A359" s="12"/>
      <c r="B359" s="13"/>
      <c r="C359" s="13"/>
      <c r="D359" s="13"/>
      <c r="E359" s="13"/>
      <c r="F359" s="14"/>
      <c r="G359" s="15"/>
      <c r="H359" s="15"/>
      <c r="I359" s="15"/>
      <c r="J359" s="12"/>
      <c r="K359" s="16" t="str">
        <f aca="false">IF(A359="","",G359+H359)</f>
        <v/>
      </c>
      <c r="L359" s="16" t="str">
        <f aca="false">IF(A359="","",IF(F359="İade edildi",0,K359-I359))</f>
        <v/>
      </c>
      <c r="M359" s="17" t="str">
        <f aca="true">IF(A359="","",IF(J359&lt;&gt;"",J359-A359,TODAY()-A359))</f>
        <v/>
      </c>
      <c r="N359" s="18" t="str">
        <f aca="false">IF(A359="","",IF(AND(OR(F359="Bekliyor",F359="Parça bekleniyor",F359="Hazır"),M359&gt;7),"7 günü geçti",""))</f>
        <v/>
      </c>
      <c r="O359" s="18" t="str">
        <f aca="false">IF(AND(A359&lt;&gt;"",OR(F359="Bekliyor",F359="Parça bekleniyor",F359="Hazır")),A359+ROW()/1000000,"")</f>
        <v/>
      </c>
    </row>
    <row r="360" customFormat="false" ht="15" hidden="false" customHeight="false" outlineLevel="0" collapsed="false">
      <c r="A360" s="12"/>
      <c r="B360" s="13"/>
      <c r="C360" s="13"/>
      <c r="D360" s="13"/>
      <c r="E360" s="13"/>
      <c r="F360" s="14"/>
      <c r="G360" s="15"/>
      <c r="H360" s="15"/>
      <c r="I360" s="15"/>
      <c r="J360" s="12"/>
      <c r="K360" s="16" t="str">
        <f aca="false">IF(A360="","",G360+H360)</f>
        <v/>
      </c>
      <c r="L360" s="16" t="str">
        <f aca="false">IF(A360="","",IF(F360="İade edildi",0,K360-I360))</f>
        <v/>
      </c>
      <c r="M360" s="17" t="str">
        <f aca="true">IF(A360="","",IF(J360&lt;&gt;"",J360-A360,TODAY()-A360))</f>
        <v/>
      </c>
      <c r="N360" s="18" t="str">
        <f aca="false">IF(A360="","",IF(AND(OR(F360="Bekliyor",F360="Parça bekleniyor",F360="Hazır"),M360&gt;7),"7 günü geçti",""))</f>
        <v/>
      </c>
      <c r="O360" s="18" t="str">
        <f aca="false">IF(AND(A360&lt;&gt;"",OR(F360="Bekliyor",F360="Parça bekleniyor",F360="Hazır")),A360+ROW()/1000000,"")</f>
        <v/>
      </c>
    </row>
    <row r="361" customFormat="false" ht="15" hidden="false" customHeight="false" outlineLevel="0" collapsed="false">
      <c r="A361" s="12"/>
      <c r="B361" s="13"/>
      <c r="C361" s="13"/>
      <c r="D361" s="13"/>
      <c r="E361" s="13"/>
      <c r="F361" s="14"/>
      <c r="G361" s="15"/>
      <c r="H361" s="15"/>
      <c r="I361" s="15"/>
      <c r="J361" s="12"/>
      <c r="K361" s="16" t="str">
        <f aca="false">IF(A361="","",G361+H361)</f>
        <v/>
      </c>
      <c r="L361" s="16" t="str">
        <f aca="false">IF(A361="","",IF(F361="İade edildi",0,K361-I361))</f>
        <v/>
      </c>
      <c r="M361" s="17" t="str">
        <f aca="true">IF(A361="","",IF(J361&lt;&gt;"",J361-A361,TODAY()-A361))</f>
        <v/>
      </c>
      <c r="N361" s="18" t="str">
        <f aca="false">IF(A361="","",IF(AND(OR(F361="Bekliyor",F361="Parça bekleniyor",F361="Hazır"),M361&gt;7),"7 günü geçti",""))</f>
        <v/>
      </c>
      <c r="O361" s="18" t="str">
        <f aca="false">IF(AND(A361&lt;&gt;"",OR(F361="Bekliyor",F361="Parça bekleniyor",F361="Hazır")),A361+ROW()/1000000,"")</f>
        <v/>
      </c>
    </row>
    <row r="362" customFormat="false" ht="15" hidden="false" customHeight="false" outlineLevel="0" collapsed="false">
      <c r="A362" s="12"/>
      <c r="B362" s="13"/>
      <c r="C362" s="13"/>
      <c r="D362" s="13"/>
      <c r="E362" s="13"/>
      <c r="F362" s="14"/>
      <c r="G362" s="15"/>
      <c r="H362" s="15"/>
      <c r="I362" s="15"/>
      <c r="J362" s="12"/>
      <c r="K362" s="16" t="str">
        <f aca="false">IF(A362="","",G362+H362)</f>
        <v/>
      </c>
      <c r="L362" s="16" t="str">
        <f aca="false">IF(A362="","",IF(F362="İade edildi",0,K362-I362))</f>
        <v/>
      </c>
      <c r="M362" s="17" t="str">
        <f aca="true">IF(A362="","",IF(J362&lt;&gt;"",J362-A362,TODAY()-A362))</f>
        <v/>
      </c>
      <c r="N362" s="18" t="str">
        <f aca="false">IF(A362="","",IF(AND(OR(F362="Bekliyor",F362="Parça bekleniyor",F362="Hazır"),M362&gt;7),"7 günü geçti",""))</f>
        <v/>
      </c>
      <c r="O362" s="18" t="str">
        <f aca="false">IF(AND(A362&lt;&gt;"",OR(F362="Bekliyor",F362="Parça bekleniyor",F362="Hazır")),A362+ROW()/1000000,"")</f>
        <v/>
      </c>
    </row>
    <row r="363" customFormat="false" ht="15" hidden="false" customHeight="false" outlineLevel="0" collapsed="false">
      <c r="A363" s="12"/>
      <c r="B363" s="13"/>
      <c r="C363" s="13"/>
      <c r="D363" s="13"/>
      <c r="E363" s="13"/>
      <c r="F363" s="14"/>
      <c r="G363" s="15"/>
      <c r="H363" s="15"/>
      <c r="I363" s="15"/>
      <c r="J363" s="12"/>
      <c r="K363" s="16" t="str">
        <f aca="false">IF(A363="","",G363+H363)</f>
        <v/>
      </c>
      <c r="L363" s="16" t="str">
        <f aca="false">IF(A363="","",IF(F363="İade edildi",0,K363-I363))</f>
        <v/>
      </c>
      <c r="M363" s="17" t="str">
        <f aca="true">IF(A363="","",IF(J363&lt;&gt;"",J363-A363,TODAY()-A363))</f>
        <v/>
      </c>
      <c r="N363" s="18" t="str">
        <f aca="false">IF(A363="","",IF(AND(OR(F363="Bekliyor",F363="Parça bekleniyor",F363="Hazır"),M363&gt;7),"7 günü geçti",""))</f>
        <v/>
      </c>
      <c r="O363" s="18" t="str">
        <f aca="false">IF(AND(A363&lt;&gt;"",OR(F363="Bekliyor",F363="Parça bekleniyor",F363="Hazır")),A363+ROW()/1000000,"")</f>
        <v/>
      </c>
    </row>
    <row r="364" customFormat="false" ht="15" hidden="false" customHeight="false" outlineLevel="0" collapsed="false">
      <c r="A364" s="12"/>
      <c r="B364" s="13"/>
      <c r="C364" s="13"/>
      <c r="D364" s="13"/>
      <c r="E364" s="13"/>
      <c r="F364" s="14"/>
      <c r="G364" s="15"/>
      <c r="H364" s="15"/>
      <c r="I364" s="15"/>
      <c r="J364" s="12"/>
      <c r="K364" s="16" t="str">
        <f aca="false">IF(A364="","",G364+H364)</f>
        <v/>
      </c>
      <c r="L364" s="16" t="str">
        <f aca="false">IF(A364="","",IF(F364="İade edildi",0,K364-I364))</f>
        <v/>
      </c>
      <c r="M364" s="17" t="str">
        <f aca="true">IF(A364="","",IF(J364&lt;&gt;"",J364-A364,TODAY()-A364))</f>
        <v/>
      </c>
      <c r="N364" s="18" t="str">
        <f aca="false">IF(A364="","",IF(AND(OR(F364="Bekliyor",F364="Parça bekleniyor",F364="Hazır"),M364&gt;7),"7 günü geçti",""))</f>
        <v/>
      </c>
      <c r="O364" s="18" t="str">
        <f aca="false">IF(AND(A364&lt;&gt;"",OR(F364="Bekliyor",F364="Parça bekleniyor",F364="Hazır")),A364+ROW()/1000000,"")</f>
        <v/>
      </c>
    </row>
    <row r="365" customFormat="false" ht="15" hidden="false" customHeight="false" outlineLevel="0" collapsed="false">
      <c r="A365" s="12"/>
      <c r="B365" s="13"/>
      <c r="C365" s="13"/>
      <c r="D365" s="13"/>
      <c r="E365" s="13"/>
      <c r="F365" s="14"/>
      <c r="G365" s="15"/>
      <c r="H365" s="15"/>
      <c r="I365" s="15"/>
      <c r="J365" s="12"/>
      <c r="K365" s="16" t="str">
        <f aca="false">IF(A365="","",G365+H365)</f>
        <v/>
      </c>
      <c r="L365" s="16" t="str">
        <f aca="false">IF(A365="","",IF(F365="İade edildi",0,K365-I365))</f>
        <v/>
      </c>
      <c r="M365" s="17" t="str">
        <f aca="true">IF(A365="","",IF(J365&lt;&gt;"",J365-A365,TODAY()-A365))</f>
        <v/>
      </c>
      <c r="N365" s="18" t="str">
        <f aca="false">IF(A365="","",IF(AND(OR(F365="Bekliyor",F365="Parça bekleniyor",F365="Hazır"),M365&gt;7),"7 günü geçti",""))</f>
        <v/>
      </c>
      <c r="O365" s="18" t="str">
        <f aca="false">IF(AND(A365&lt;&gt;"",OR(F365="Bekliyor",F365="Parça bekleniyor",F365="Hazır")),A365+ROW()/1000000,"")</f>
        <v/>
      </c>
    </row>
    <row r="366" customFormat="false" ht="15" hidden="false" customHeight="false" outlineLevel="0" collapsed="false">
      <c r="A366" s="12"/>
      <c r="B366" s="13"/>
      <c r="C366" s="13"/>
      <c r="D366" s="13"/>
      <c r="E366" s="13"/>
      <c r="F366" s="14"/>
      <c r="G366" s="15"/>
      <c r="H366" s="15"/>
      <c r="I366" s="15"/>
      <c r="J366" s="12"/>
      <c r="K366" s="16" t="str">
        <f aca="false">IF(A366="","",G366+H366)</f>
        <v/>
      </c>
      <c r="L366" s="16" t="str">
        <f aca="false">IF(A366="","",IF(F366="İade edildi",0,K366-I366))</f>
        <v/>
      </c>
      <c r="M366" s="17" t="str">
        <f aca="true">IF(A366="","",IF(J366&lt;&gt;"",J366-A366,TODAY()-A366))</f>
        <v/>
      </c>
      <c r="N366" s="18" t="str">
        <f aca="false">IF(A366="","",IF(AND(OR(F366="Bekliyor",F366="Parça bekleniyor",F366="Hazır"),M366&gt;7),"7 günü geçti",""))</f>
        <v/>
      </c>
      <c r="O366" s="18" t="str">
        <f aca="false">IF(AND(A366&lt;&gt;"",OR(F366="Bekliyor",F366="Parça bekleniyor",F366="Hazır")),A366+ROW()/1000000,"")</f>
        <v/>
      </c>
    </row>
    <row r="367" customFormat="false" ht="15" hidden="false" customHeight="false" outlineLevel="0" collapsed="false">
      <c r="A367" s="12"/>
      <c r="B367" s="13"/>
      <c r="C367" s="13"/>
      <c r="D367" s="13"/>
      <c r="E367" s="13"/>
      <c r="F367" s="14"/>
      <c r="G367" s="15"/>
      <c r="H367" s="15"/>
      <c r="I367" s="15"/>
      <c r="J367" s="12"/>
      <c r="K367" s="16" t="str">
        <f aca="false">IF(A367="","",G367+H367)</f>
        <v/>
      </c>
      <c r="L367" s="16" t="str">
        <f aca="false">IF(A367="","",IF(F367="İade edildi",0,K367-I367))</f>
        <v/>
      </c>
      <c r="M367" s="17" t="str">
        <f aca="true">IF(A367="","",IF(J367&lt;&gt;"",J367-A367,TODAY()-A367))</f>
        <v/>
      </c>
      <c r="N367" s="18" t="str">
        <f aca="false">IF(A367="","",IF(AND(OR(F367="Bekliyor",F367="Parça bekleniyor",F367="Hazır"),M367&gt;7),"7 günü geçti",""))</f>
        <v/>
      </c>
      <c r="O367" s="18" t="str">
        <f aca="false">IF(AND(A367&lt;&gt;"",OR(F367="Bekliyor",F367="Parça bekleniyor",F367="Hazır")),A367+ROW()/1000000,"")</f>
        <v/>
      </c>
    </row>
    <row r="368" customFormat="false" ht="15" hidden="false" customHeight="false" outlineLevel="0" collapsed="false">
      <c r="A368" s="12"/>
      <c r="B368" s="13"/>
      <c r="C368" s="13"/>
      <c r="D368" s="13"/>
      <c r="E368" s="13"/>
      <c r="F368" s="14"/>
      <c r="G368" s="15"/>
      <c r="H368" s="15"/>
      <c r="I368" s="15"/>
      <c r="J368" s="12"/>
      <c r="K368" s="16" t="str">
        <f aca="false">IF(A368="","",G368+H368)</f>
        <v/>
      </c>
      <c r="L368" s="16" t="str">
        <f aca="false">IF(A368="","",IF(F368="İade edildi",0,K368-I368))</f>
        <v/>
      </c>
      <c r="M368" s="17" t="str">
        <f aca="true">IF(A368="","",IF(J368&lt;&gt;"",J368-A368,TODAY()-A368))</f>
        <v/>
      </c>
      <c r="N368" s="18" t="str">
        <f aca="false">IF(A368="","",IF(AND(OR(F368="Bekliyor",F368="Parça bekleniyor",F368="Hazır"),M368&gt;7),"7 günü geçti",""))</f>
        <v/>
      </c>
      <c r="O368" s="18" t="str">
        <f aca="false">IF(AND(A368&lt;&gt;"",OR(F368="Bekliyor",F368="Parça bekleniyor",F368="Hazır")),A368+ROW()/1000000,"")</f>
        <v/>
      </c>
    </row>
    <row r="369" customFormat="false" ht="15" hidden="false" customHeight="false" outlineLevel="0" collapsed="false">
      <c r="A369" s="12"/>
      <c r="B369" s="13"/>
      <c r="C369" s="13"/>
      <c r="D369" s="13"/>
      <c r="E369" s="13"/>
      <c r="F369" s="14"/>
      <c r="G369" s="15"/>
      <c r="H369" s="15"/>
      <c r="I369" s="15"/>
      <c r="J369" s="12"/>
      <c r="K369" s="16" t="str">
        <f aca="false">IF(A369="","",G369+H369)</f>
        <v/>
      </c>
      <c r="L369" s="16" t="str">
        <f aca="false">IF(A369="","",IF(F369="İade edildi",0,K369-I369))</f>
        <v/>
      </c>
      <c r="M369" s="17" t="str">
        <f aca="true">IF(A369="","",IF(J369&lt;&gt;"",J369-A369,TODAY()-A369))</f>
        <v/>
      </c>
      <c r="N369" s="18" t="str">
        <f aca="false">IF(A369="","",IF(AND(OR(F369="Bekliyor",F369="Parça bekleniyor",F369="Hazır"),M369&gt;7),"7 günü geçti",""))</f>
        <v/>
      </c>
      <c r="O369" s="18" t="str">
        <f aca="false">IF(AND(A369&lt;&gt;"",OR(F369="Bekliyor",F369="Parça bekleniyor",F369="Hazır")),A369+ROW()/1000000,"")</f>
        <v/>
      </c>
    </row>
    <row r="370" customFormat="false" ht="15" hidden="false" customHeight="false" outlineLevel="0" collapsed="false">
      <c r="A370" s="12"/>
      <c r="B370" s="13"/>
      <c r="C370" s="13"/>
      <c r="D370" s="13"/>
      <c r="E370" s="13"/>
      <c r="F370" s="14"/>
      <c r="G370" s="15"/>
      <c r="H370" s="15"/>
      <c r="I370" s="15"/>
      <c r="J370" s="12"/>
      <c r="K370" s="16" t="str">
        <f aca="false">IF(A370="","",G370+H370)</f>
        <v/>
      </c>
      <c r="L370" s="16" t="str">
        <f aca="false">IF(A370="","",IF(F370="İade edildi",0,K370-I370))</f>
        <v/>
      </c>
      <c r="M370" s="17" t="str">
        <f aca="true">IF(A370="","",IF(J370&lt;&gt;"",J370-A370,TODAY()-A370))</f>
        <v/>
      </c>
      <c r="N370" s="18" t="str">
        <f aca="false">IF(A370="","",IF(AND(OR(F370="Bekliyor",F370="Parça bekleniyor",F370="Hazır"),M370&gt;7),"7 günü geçti",""))</f>
        <v/>
      </c>
      <c r="O370" s="18" t="str">
        <f aca="false">IF(AND(A370&lt;&gt;"",OR(F370="Bekliyor",F370="Parça bekleniyor",F370="Hazır")),A370+ROW()/1000000,"")</f>
        <v/>
      </c>
    </row>
    <row r="371" customFormat="false" ht="15" hidden="false" customHeight="false" outlineLevel="0" collapsed="false">
      <c r="A371" s="12"/>
      <c r="B371" s="13"/>
      <c r="C371" s="13"/>
      <c r="D371" s="13"/>
      <c r="E371" s="13"/>
      <c r="F371" s="14"/>
      <c r="G371" s="15"/>
      <c r="H371" s="15"/>
      <c r="I371" s="15"/>
      <c r="J371" s="12"/>
      <c r="K371" s="16" t="str">
        <f aca="false">IF(A371="","",G371+H371)</f>
        <v/>
      </c>
      <c r="L371" s="16" t="str">
        <f aca="false">IF(A371="","",IF(F371="İade edildi",0,K371-I371))</f>
        <v/>
      </c>
      <c r="M371" s="17" t="str">
        <f aca="true">IF(A371="","",IF(J371&lt;&gt;"",J371-A371,TODAY()-A371))</f>
        <v/>
      </c>
      <c r="N371" s="18" t="str">
        <f aca="false">IF(A371="","",IF(AND(OR(F371="Bekliyor",F371="Parça bekleniyor",F371="Hazır"),M371&gt;7),"7 günü geçti",""))</f>
        <v/>
      </c>
      <c r="O371" s="18" t="str">
        <f aca="false">IF(AND(A371&lt;&gt;"",OR(F371="Bekliyor",F371="Parça bekleniyor",F371="Hazır")),A371+ROW()/1000000,"")</f>
        <v/>
      </c>
    </row>
    <row r="372" customFormat="false" ht="15" hidden="false" customHeight="false" outlineLevel="0" collapsed="false">
      <c r="A372" s="12"/>
      <c r="B372" s="13"/>
      <c r="C372" s="13"/>
      <c r="D372" s="13"/>
      <c r="E372" s="13"/>
      <c r="F372" s="14"/>
      <c r="G372" s="15"/>
      <c r="H372" s="15"/>
      <c r="I372" s="15"/>
      <c r="J372" s="12"/>
      <c r="K372" s="16" t="str">
        <f aca="false">IF(A372="","",G372+H372)</f>
        <v/>
      </c>
      <c r="L372" s="16" t="str">
        <f aca="false">IF(A372="","",IF(F372="İade edildi",0,K372-I372))</f>
        <v/>
      </c>
      <c r="M372" s="17" t="str">
        <f aca="true">IF(A372="","",IF(J372&lt;&gt;"",J372-A372,TODAY()-A372))</f>
        <v/>
      </c>
      <c r="N372" s="18" t="str">
        <f aca="false">IF(A372="","",IF(AND(OR(F372="Bekliyor",F372="Parça bekleniyor",F372="Hazır"),M372&gt;7),"7 günü geçti",""))</f>
        <v/>
      </c>
      <c r="O372" s="18" t="str">
        <f aca="false">IF(AND(A372&lt;&gt;"",OR(F372="Bekliyor",F372="Parça bekleniyor",F372="Hazır")),A372+ROW()/1000000,"")</f>
        <v/>
      </c>
    </row>
    <row r="373" customFormat="false" ht="15" hidden="false" customHeight="false" outlineLevel="0" collapsed="false">
      <c r="A373" s="12"/>
      <c r="B373" s="13"/>
      <c r="C373" s="13"/>
      <c r="D373" s="13"/>
      <c r="E373" s="13"/>
      <c r="F373" s="14"/>
      <c r="G373" s="15"/>
      <c r="H373" s="15"/>
      <c r="I373" s="15"/>
      <c r="J373" s="12"/>
      <c r="K373" s="16" t="str">
        <f aca="false">IF(A373="","",G373+H373)</f>
        <v/>
      </c>
      <c r="L373" s="16" t="str">
        <f aca="false">IF(A373="","",IF(F373="İade edildi",0,K373-I373))</f>
        <v/>
      </c>
      <c r="M373" s="17" t="str">
        <f aca="true">IF(A373="","",IF(J373&lt;&gt;"",J373-A373,TODAY()-A373))</f>
        <v/>
      </c>
      <c r="N373" s="18" t="str">
        <f aca="false">IF(A373="","",IF(AND(OR(F373="Bekliyor",F373="Parça bekleniyor",F373="Hazır"),M373&gt;7),"7 günü geçti",""))</f>
        <v/>
      </c>
      <c r="O373" s="18" t="str">
        <f aca="false">IF(AND(A373&lt;&gt;"",OR(F373="Bekliyor",F373="Parça bekleniyor",F373="Hazır")),A373+ROW()/1000000,"")</f>
        <v/>
      </c>
    </row>
    <row r="374" customFormat="false" ht="15" hidden="false" customHeight="false" outlineLevel="0" collapsed="false">
      <c r="A374" s="12"/>
      <c r="B374" s="13"/>
      <c r="C374" s="13"/>
      <c r="D374" s="13"/>
      <c r="E374" s="13"/>
      <c r="F374" s="14"/>
      <c r="G374" s="15"/>
      <c r="H374" s="15"/>
      <c r="I374" s="15"/>
      <c r="J374" s="12"/>
      <c r="K374" s="16" t="str">
        <f aca="false">IF(A374="","",G374+H374)</f>
        <v/>
      </c>
      <c r="L374" s="16" t="str">
        <f aca="false">IF(A374="","",IF(F374="İade edildi",0,K374-I374))</f>
        <v/>
      </c>
      <c r="M374" s="17" t="str">
        <f aca="true">IF(A374="","",IF(J374&lt;&gt;"",J374-A374,TODAY()-A374))</f>
        <v/>
      </c>
      <c r="N374" s="18" t="str">
        <f aca="false">IF(A374="","",IF(AND(OR(F374="Bekliyor",F374="Parça bekleniyor",F374="Hazır"),M374&gt;7),"7 günü geçti",""))</f>
        <v/>
      </c>
      <c r="O374" s="18" t="str">
        <f aca="false">IF(AND(A374&lt;&gt;"",OR(F374="Bekliyor",F374="Parça bekleniyor",F374="Hazır")),A374+ROW()/1000000,"")</f>
        <v/>
      </c>
    </row>
    <row r="375" customFormat="false" ht="15" hidden="false" customHeight="false" outlineLevel="0" collapsed="false">
      <c r="A375" s="12"/>
      <c r="B375" s="13"/>
      <c r="C375" s="13"/>
      <c r="D375" s="13"/>
      <c r="E375" s="13"/>
      <c r="F375" s="14"/>
      <c r="G375" s="15"/>
      <c r="H375" s="15"/>
      <c r="I375" s="15"/>
      <c r="J375" s="12"/>
      <c r="K375" s="16" t="str">
        <f aca="false">IF(A375="","",G375+H375)</f>
        <v/>
      </c>
      <c r="L375" s="16" t="str">
        <f aca="false">IF(A375="","",IF(F375="İade edildi",0,K375-I375))</f>
        <v/>
      </c>
      <c r="M375" s="17" t="str">
        <f aca="true">IF(A375="","",IF(J375&lt;&gt;"",J375-A375,TODAY()-A375))</f>
        <v/>
      </c>
      <c r="N375" s="18" t="str">
        <f aca="false">IF(A375="","",IF(AND(OR(F375="Bekliyor",F375="Parça bekleniyor",F375="Hazır"),M375&gt;7),"7 günü geçti",""))</f>
        <v/>
      </c>
      <c r="O375" s="18" t="str">
        <f aca="false">IF(AND(A375&lt;&gt;"",OR(F375="Bekliyor",F375="Parça bekleniyor",F375="Hazır")),A375+ROW()/1000000,"")</f>
        <v/>
      </c>
    </row>
    <row r="376" customFormat="false" ht="15" hidden="false" customHeight="false" outlineLevel="0" collapsed="false">
      <c r="A376" s="12"/>
      <c r="B376" s="13"/>
      <c r="C376" s="13"/>
      <c r="D376" s="13"/>
      <c r="E376" s="13"/>
      <c r="F376" s="14"/>
      <c r="G376" s="15"/>
      <c r="H376" s="15"/>
      <c r="I376" s="15"/>
      <c r="J376" s="12"/>
      <c r="K376" s="16" t="str">
        <f aca="false">IF(A376="","",G376+H376)</f>
        <v/>
      </c>
      <c r="L376" s="16" t="str">
        <f aca="false">IF(A376="","",IF(F376="İade edildi",0,K376-I376))</f>
        <v/>
      </c>
      <c r="M376" s="17" t="str">
        <f aca="true">IF(A376="","",IF(J376&lt;&gt;"",J376-A376,TODAY()-A376))</f>
        <v/>
      </c>
      <c r="N376" s="18" t="str">
        <f aca="false">IF(A376="","",IF(AND(OR(F376="Bekliyor",F376="Parça bekleniyor",F376="Hazır"),M376&gt;7),"7 günü geçti",""))</f>
        <v/>
      </c>
      <c r="O376" s="18" t="str">
        <f aca="false">IF(AND(A376&lt;&gt;"",OR(F376="Bekliyor",F376="Parça bekleniyor",F376="Hazır")),A376+ROW()/1000000,"")</f>
        <v/>
      </c>
    </row>
    <row r="377" customFormat="false" ht="15" hidden="false" customHeight="false" outlineLevel="0" collapsed="false">
      <c r="A377" s="12"/>
      <c r="B377" s="13"/>
      <c r="C377" s="13"/>
      <c r="D377" s="13"/>
      <c r="E377" s="13"/>
      <c r="F377" s="14"/>
      <c r="G377" s="15"/>
      <c r="H377" s="15"/>
      <c r="I377" s="15"/>
      <c r="J377" s="12"/>
      <c r="K377" s="16" t="str">
        <f aca="false">IF(A377="","",G377+H377)</f>
        <v/>
      </c>
      <c r="L377" s="16" t="str">
        <f aca="false">IF(A377="","",IF(F377="İade edildi",0,K377-I377))</f>
        <v/>
      </c>
      <c r="M377" s="17" t="str">
        <f aca="true">IF(A377="","",IF(J377&lt;&gt;"",J377-A377,TODAY()-A377))</f>
        <v/>
      </c>
      <c r="N377" s="18" t="str">
        <f aca="false">IF(A377="","",IF(AND(OR(F377="Bekliyor",F377="Parça bekleniyor",F377="Hazır"),M377&gt;7),"7 günü geçti",""))</f>
        <v/>
      </c>
      <c r="O377" s="18" t="str">
        <f aca="false">IF(AND(A377&lt;&gt;"",OR(F377="Bekliyor",F377="Parça bekleniyor",F377="Hazır")),A377+ROW()/1000000,"")</f>
        <v/>
      </c>
    </row>
    <row r="378" customFormat="false" ht="15" hidden="false" customHeight="false" outlineLevel="0" collapsed="false">
      <c r="A378" s="12"/>
      <c r="B378" s="13"/>
      <c r="C378" s="13"/>
      <c r="D378" s="13"/>
      <c r="E378" s="13"/>
      <c r="F378" s="14"/>
      <c r="G378" s="15"/>
      <c r="H378" s="15"/>
      <c r="I378" s="15"/>
      <c r="J378" s="12"/>
      <c r="K378" s="16" t="str">
        <f aca="false">IF(A378="","",G378+H378)</f>
        <v/>
      </c>
      <c r="L378" s="16" t="str">
        <f aca="false">IF(A378="","",IF(F378="İade edildi",0,K378-I378))</f>
        <v/>
      </c>
      <c r="M378" s="17" t="str">
        <f aca="true">IF(A378="","",IF(J378&lt;&gt;"",J378-A378,TODAY()-A378))</f>
        <v/>
      </c>
      <c r="N378" s="18" t="str">
        <f aca="false">IF(A378="","",IF(AND(OR(F378="Bekliyor",F378="Parça bekleniyor",F378="Hazır"),M378&gt;7),"7 günü geçti",""))</f>
        <v/>
      </c>
      <c r="O378" s="18" t="str">
        <f aca="false">IF(AND(A378&lt;&gt;"",OR(F378="Bekliyor",F378="Parça bekleniyor",F378="Hazır")),A378+ROW()/1000000,"")</f>
        <v/>
      </c>
    </row>
    <row r="379" customFormat="false" ht="15" hidden="false" customHeight="false" outlineLevel="0" collapsed="false">
      <c r="A379" s="12"/>
      <c r="B379" s="13"/>
      <c r="C379" s="13"/>
      <c r="D379" s="13"/>
      <c r="E379" s="13"/>
      <c r="F379" s="14"/>
      <c r="G379" s="15"/>
      <c r="H379" s="15"/>
      <c r="I379" s="15"/>
      <c r="J379" s="12"/>
      <c r="K379" s="16" t="str">
        <f aca="false">IF(A379="","",G379+H379)</f>
        <v/>
      </c>
      <c r="L379" s="16" t="str">
        <f aca="false">IF(A379="","",IF(F379="İade edildi",0,K379-I379))</f>
        <v/>
      </c>
      <c r="M379" s="17" t="str">
        <f aca="true">IF(A379="","",IF(J379&lt;&gt;"",J379-A379,TODAY()-A379))</f>
        <v/>
      </c>
      <c r="N379" s="18" t="str">
        <f aca="false">IF(A379="","",IF(AND(OR(F379="Bekliyor",F379="Parça bekleniyor",F379="Hazır"),M379&gt;7),"7 günü geçti",""))</f>
        <v/>
      </c>
      <c r="O379" s="18" t="str">
        <f aca="false">IF(AND(A379&lt;&gt;"",OR(F379="Bekliyor",F379="Parça bekleniyor",F379="Hazır")),A379+ROW()/1000000,"")</f>
        <v/>
      </c>
    </row>
    <row r="380" customFormat="false" ht="15" hidden="false" customHeight="false" outlineLevel="0" collapsed="false">
      <c r="A380" s="12"/>
      <c r="B380" s="13"/>
      <c r="C380" s="13"/>
      <c r="D380" s="13"/>
      <c r="E380" s="13"/>
      <c r="F380" s="14"/>
      <c r="G380" s="15"/>
      <c r="H380" s="15"/>
      <c r="I380" s="15"/>
      <c r="J380" s="12"/>
      <c r="K380" s="16" t="str">
        <f aca="false">IF(A380="","",G380+H380)</f>
        <v/>
      </c>
      <c r="L380" s="16" t="str">
        <f aca="false">IF(A380="","",IF(F380="İade edildi",0,K380-I380))</f>
        <v/>
      </c>
      <c r="M380" s="17" t="str">
        <f aca="true">IF(A380="","",IF(J380&lt;&gt;"",J380-A380,TODAY()-A380))</f>
        <v/>
      </c>
      <c r="N380" s="18" t="str">
        <f aca="false">IF(A380="","",IF(AND(OR(F380="Bekliyor",F380="Parça bekleniyor",F380="Hazır"),M380&gt;7),"7 günü geçti",""))</f>
        <v/>
      </c>
      <c r="O380" s="18" t="str">
        <f aca="false">IF(AND(A380&lt;&gt;"",OR(F380="Bekliyor",F380="Parça bekleniyor",F380="Hazır")),A380+ROW()/1000000,"")</f>
        <v/>
      </c>
    </row>
    <row r="381" customFormat="false" ht="15" hidden="false" customHeight="false" outlineLevel="0" collapsed="false">
      <c r="A381" s="12"/>
      <c r="B381" s="13"/>
      <c r="C381" s="13"/>
      <c r="D381" s="13"/>
      <c r="E381" s="13"/>
      <c r="F381" s="14"/>
      <c r="G381" s="15"/>
      <c r="H381" s="15"/>
      <c r="I381" s="15"/>
      <c r="J381" s="12"/>
      <c r="K381" s="16" t="str">
        <f aca="false">IF(A381="","",G381+H381)</f>
        <v/>
      </c>
      <c r="L381" s="16" t="str">
        <f aca="false">IF(A381="","",IF(F381="İade edildi",0,K381-I381))</f>
        <v/>
      </c>
      <c r="M381" s="17" t="str">
        <f aca="true">IF(A381="","",IF(J381&lt;&gt;"",J381-A381,TODAY()-A381))</f>
        <v/>
      </c>
      <c r="N381" s="18" t="str">
        <f aca="false">IF(A381="","",IF(AND(OR(F381="Bekliyor",F381="Parça bekleniyor",F381="Hazır"),M381&gt;7),"7 günü geçti",""))</f>
        <v/>
      </c>
      <c r="O381" s="18" t="str">
        <f aca="false">IF(AND(A381&lt;&gt;"",OR(F381="Bekliyor",F381="Parça bekleniyor",F381="Hazır")),A381+ROW()/1000000,"")</f>
        <v/>
      </c>
    </row>
    <row r="382" customFormat="false" ht="15" hidden="false" customHeight="false" outlineLevel="0" collapsed="false">
      <c r="A382" s="12"/>
      <c r="B382" s="13"/>
      <c r="C382" s="13"/>
      <c r="D382" s="13"/>
      <c r="E382" s="13"/>
      <c r="F382" s="14"/>
      <c r="G382" s="15"/>
      <c r="H382" s="15"/>
      <c r="I382" s="15"/>
      <c r="J382" s="12"/>
      <c r="K382" s="16" t="str">
        <f aca="false">IF(A382="","",G382+H382)</f>
        <v/>
      </c>
      <c r="L382" s="16" t="str">
        <f aca="false">IF(A382="","",IF(F382="İade edildi",0,K382-I382))</f>
        <v/>
      </c>
      <c r="M382" s="17" t="str">
        <f aca="true">IF(A382="","",IF(J382&lt;&gt;"",J382-A382,TODAY()-A382))</f>
        <v/>
      </c>
      <c r="N382" s="18" t="str">
        <f aca="false">IF(A382="","",IF(AND(OR(F382="Bekliyor",F382="Parça bekleniyor",F382="Hazır"),M382&gt;7),"7 günü geçti",""))</f>
        <v/>
      </c>
      <c r="O382" s="18" t="str">
        <f aca="false">IF(AND(A382&lt;&gt;"",OR(F382="Bekliyor",F382="Parça bekleniyor",F382="Hazır")),A382+ROW()/1000000,"")</f>
        <v/>
      </c>
    </row>
    <row r="383" customFormat="false" ht="15" hidden="false" customHeight="false" outlineLevel="0" collapsed="false">
      <c r="A383" s="12"/>
      <c r="B383" s="13"/>
      <c r="C383" s="13"/>
      <c r="D383" s="13"/>
      <c r="E383" s="13"/>
      <c r="F383" s="14"/>
      <c r="G383" s="15"/>
      <c r="H383" s="15"/>
      <c r="I383" s="15"/>
      <c r="J383" s="12"/>
      <c r="K383" s="16" t="str">
        <f aca="false">IF(A383="","",G383+H383)</f>
        <v/>
      </c>
      <c r="L383" s="16" t="str">
        <f aca="false">IF(A383="","",IF(F383="İade edildi",0,K383-I383))</f>
        <v/>
      </c>
      <c r="M383" s="17" t="str">
        <f aca="true">IF(A383="","",IF(J383&lt;&gt;"",J383-A383,TODAY()-A383))</f>
        <v/>
      </c>
      <c r="N383" s="18" t="str">
        <f aca="false">IF(A383="","",IF(AND(OR(F383="Bekliyor",F383="Parça bekleniyor",F383="Hazır"),M383&gt;7),"7 günü geçti",""))</f>
        <v/>
      </c>
      <c r="O383" s="18" t="str">
        <f aca="false">IF(AND(A383&lt;&gt;"",OR(F383="Bekliyor",F383="Parça bekleniyor",F383="Hazır")),A383+ROW()/1000000,"")</f>
        <v/>
      </c>
    </row>
    <row r="384" customFormat="false" ht="15" hidden="false" customHeight="false" outlineLevel="0" collapsed="false">
      <c r="A384" s="12"/>
      <c r="B384" s="13"/>
      <c r="C384" s="13"/>
      <c r="D384" s="13"/>
      <c r="E384" s="13"/>
      <c r="F384" s="14"/>
      <c r="G384" s="15"/>
      <c r="H384" s="15"/>
      <c r="I384" s="15"/>
      <c r="J384" s="12"/>
      <c r="K384" s="16" t="str">
        <f aca="false">IF(A384="","",G384+H384)</f>
        <v/>
      </c>
      <c r="L384" s="16" t="str">
        <f aca="false">IF(A384="","",IF(F384="İade edildi",0,K384-I384))</f>
        <v/>
      </c>
      <c r="M384" s="17" t="str">
        <f aca="true">IF(A384="","",IF(J384&lt;&gt;"",J384-A384,TODAY()-A384))</f>
        <v/>
      </c>
      <c r="N384" s="18" t="str">
        <f aca="false">IF(A384="","",IF(AND(OR(F384="Bekliyor",F384="Parça bekleniyor",F384="Hazır"),M384&gt;7),"7 günü geçti",""))</f>
        <v/>
      </c>
      <c r="O384" s="18" t="str">
        <f aca="false">IF(AND(A384&lt;&gt;"",OR(F384="Bekliyor",F384="Parça bekleniyor",F384="Hazır")),A384+ROW()/1000000,"")</f>
        <v/>
      </c>
    </row>
    <row r="385" customFormat="false" ht="15" hidden="false" customHeight="false" outlineLevel="0" collapsed="false">
      <c r="A385" s="12"/>
      <c r="B385" s="13"/>
      <c r="C385" s="13"/>
      <c r="D385" s="13"/>
      <c r="E385" s="13"/>
      <c r="F385" s="14"/>
      <c r="G385" s="15"/>
      <c r="H385" s="15"/>
      <c r="I385" s="15"/>
      <c r="J385" s="12"/>
      <c r="K385" s="16" t="str">
        <f aca="false">IF(A385="","",G385+H385)</f>
        <v/>
      </c>
      <c r="L385" s="16" t="str">
        <f aca="false">IF(A385="","",IF(F385="İade edildi",0,K385-I385))</f>
        <v/>
      </c>
      <c r="M385" s="17" t="str">
        <f aca="true">IF(A385="","",IF(J385&lt;&gt;"",J385-A385,TODAY()-A385))</f>
        <v/>
      </c>
      <c r="N385" s="18" t="str">
        <f aca="false">IF(A385="","",IF(AND(OR(F385="Bekliyor",F385="Parça bekleniyor",F385="Hazır"),M385&gt;7),"7 günü geçti",""))</f>
        <v/>
      </c>
      <c r="O385" s="18" t="str">
        <f aca="false">IF(AND(A385&lt;&gt;"",OR(F385="Bekliyor",F385="Parça bekleniyor",F385="Hazır")),A385+ROW()/1000000,"")</f>
        <v/>
      </c>
    </row>
    <row r="386" customFormat="false" ht="15" hidden="false" customHeight="false" outlineLevel="0" collapsed="false">
      <c r="A386" s="12"/>
      <c r="B386" s="13"/>
      <c r="C386" s="13"/>
      <c r="D386" s="13"/>
      <c r="E386" s="13"/>
      <c r="F386" s="14"/>
      <c r="G386" s="15"/>
      <c r="H386" s="15"/>
      <c r="I386" s="15"/>
      <c r="J386" s="12"/>
      <c r="K386" s="16" t="str">
        <f aca="false">IF(A386="","",G386+H386)</f>
        <v/>
      </c>
      <c r="L386" s="16" t="str">
        <f aca="false">IF(A386="","",IF(F386="İade edildi",0,K386-I386))</f>
        <v/>
      </c>
      <c r="M386" s="17" t="str">
        <f aca="true">IF(A386="","",IF(J386&lt;&gt;"",J386-A386,TODAY()-A386))</f>
        <v/>
      </c>
      <c r="N386" s="18" t="str">
        <f aca="false">IF(A386="","",IF(AND(OR(F386="Bekliyor",F386="Parça bekleniyor",F386="Hazır"),M386&gt;7),"7 günü geçti",""))</f>
        <v/>
      </c>
      <c r="O386" s="18" t="str">
        <f aca="false">IF(AND(A386&lt;&gt;"",OR(F386="Bekliyor",F386="Parça bekleniyor",F386="Hazır")),A386+ROW()/1000000,"")</f>
        <v/>
      </c>
    </row>
    <row r="387" customFormat="false" ht="15" hidden="false" customHeight="false" outlineLevel="0" collapsed="false">
      <c r="A387" s="12"/>
      <c r="B387" s="13"/>
      <c r="C387" s="13"/>
      <c r="D387" s="13"/>
      <c r="E387" s="13"/>
      <c r="F387" s="14"/>
      <c r="G387" s="15"/>
      <c r="H387" s="15"/>
      <c r="I387" s="15"/>
      <c r="J387" s="12"/>
      <c r="K387" s="16" t="str">
        <f aca="false">IF(A387="","",G387+H387)</f>
        <v/>
      </c>
      <c r="L387" s="16" t="str">
        <f aca="false">IF(A387="","",IF(F387="İade edildi",0,K387-I387))</f>
        <v/>
      </c>
      <c r="M387" s="17" t="str">
        <f aca="true">IF(A387="","",IF(J387&lt;&gt;"",J387-A387,TODAY()-A387))</f>
        <v/>
      </c>
      <c r="N387" s="18" t="str">
        <f aca="false">IF(A387="","",IF(AND(OR(F387="Bekliyor",F387="Parça bekleniyor",F387="Hazır"),M387&gt;7),"7 günü geçti",""))</f>
        <v/>
      </c>
      <c r="O387" s="18" t="str">
        <f aca="false">IF(AND(A387&lt;&gt;"",OR(F387="Bekliyor",F387="Parça bekleniyor",F387="Hazır")),A387+ROW()/1000000,"")</f>
        <v/>
      </c>
    </row>
    <row r="388" customFormat="false" ht="15" hidden="false" customHeight="false" outlineLevel="0" collapsed="false">
      <c r="A388" s="12"/>
      <c r="B388" s="13"/>
      <c r="C388" s="13"/>
      <c r="D388" s="13"/>
      <c r="E388" s="13"/>
      <c r="F388" s="14"/>
      <c r="G388" s="15"/>
      <c r="H388" s="15"/>
      <c r="I388" s="15"/>
      <c r="J388" s="12"/>
      <c r="K388" s="16" t="str">
        <f aca="false">IF(A388="","",G388+H388)</f>
        <v/>
      </c>
      <c r="L388" s="16" t="str">
        <f aca="false">IF(A388="","",IF(F388="İade edildi",0,K388-I388))</f>
        <v/>
      </c>
      <c r="M388" s="17" t="str">
        <f aca="true">IF(A388="","",IF(J388&lt;&gt;"",J388-A388,TODAY()-A388))</f>
        <v/>
      </c>
      <c r="N388" s="18" t="str">
        <f aca="false">IF(A388="","",IF(AND(OR(F388="Bekliyor",F388="Parça bekleniyor",F388="Hazır"),M388&gt;7),"7 günü geçti",""))</f>
        <v/>
      </c>
      <c r="O388" s="18" t="str">
        <f aca="false">IF(AND(A388&lt;&gt;"",OR(F388="Bekliyor",F388="Parça bekleniyor",F388="Hazır")),A388+ROW()/1000000,"")</f>
        <v/>
      </c>
    </row>
    <row r="389" customFormat="false" ht="15" hidden="false" customHeight="false" outlineLevel="0" collapsed="false">
      <c r="A389" s="12"/>
      <c r="B389" s="13"/>
      <c r="C389" s="13"/>
      <c r="D389" s="13"/>
      <c r="E389" s="13"/>
      <c r="F389" s="14"/>
      <c r="G389" s="15"/>
      <c r="H389" s="15"/>
      <c r="I389" s="15"/>
      <c r="J389" s="12"/>
      <c r="K389" s="16" t="str">
        <f aca="false">IF(A389="","",G389+H389)</f>
        <v/>
      </c>
      <c r="L389" s="16" t="str">
        <f aca="false">IF(A389="","",IF(F389="İade edildi",0,K389-I389))</f>
        <v/>
      </c>
      <c r="M389" s="17" t="str">
        <f aca="true">IF(A389="","",IF(J389&lt;&gt;"",J389-A389,TODAY()-A389))</f>
        <v/>
      </c>
      <c r="N389" s="18" t="str">
        <f aca="false">IF(A389="","",IF(AND(OR(F389="Bekliyor",F389="Parça bekleniyor",F389="Hazır"),M389&gt;7),"7 günü geçti",""))</f>
        <v/>
      </c>
      <c r="O389" s="18" t="str">
        <f aca="false">IF(AND(A389&lt;&gt;"",OR(F389="Bekliyor",F389="Parça bekleniyor",F389="Hazır")),A389+ROW()/1000000,"")</f>
        <v/>
      </c>
    </row>
    <row r="390" customFormat="false" ht="15" hidden="false" customHeight="false" outlineLevel="0" collapsed="false">
      <c r="A390" s="12"/>
      <c r="B390" s="13"/>
      <c r="C390" s="13"/>
      <c r="D390" s="13"/>
      <c r="E390" s="13"/>
      <c r="F390" s="14"/>
      <c r="G390" s="15"/>
      <c r="H390" s="15"/>
      <c r="I390" s="15"/>
      <c r="J390" s="12"/>
      <c r="K390" s="16" t="str">
        <f aca="false">IF(A390="","",G390+H390)</f>
        <v/>
      </c>
      <c r="L390" s="16" t="str">
        <f aca="false">IF(A390="","",IF(F390="İade edildi",0,K390-I390))</f>
        <v/>
      </c>
      <c r="M390" s="17" t="str">
        <f aca="true">IF(A390="","",IF(J390&lt;&gt;"",J390-A390,TODAY()-A390))</f>
        <v/>
      </c>
      <c r="N390" s="18" t="str">
        <f aca="false">IF(A390="","",IF(AND(OR(F390="Bekliyor",F390="Parça bekleniyor",F390="Hazır"),M390&gt;7),"7 günü geçti",""))</f>
        <v/>
      </c>
      <c r="O390" s="18" t="str">
        <f aca="false">IF(AND(A390&lt;&gt;"",OR(F390="Bekliyor",F390="Parça bekleniyor",F390="Hazır")),A390+ROW()/1000000,"")</f>
        <v/>
      </c>
    </row>
    <row r="391" customFormat="false" ht="15" hidden="false" customHeight="false" outlineLevel="0" collapsed="false">
      <c r="A391" s="12"/>
      <c r="B391" s="13"/>
      <c r="C391" s="13"/>
      <c r="D391" s="13"/>
      <c r="E391" s="13"/>
      <c r="F391" s="14"/>
      <c r="G391" s="15"/>
      <c r="H391" s="15"/>
      <c r="I391" s="15"/>
      <c r="J391" s="12"/>
      <c r="K391" s="16" t="str">
        <f aca="false">IF(A391="","",G391+H391)</f>
        <v/>
      </c>
      <c r="L391" s="16" t="str">
        <f aca="false">IF(A391="","",IF(F391="İade edildi",0,K391-I391))</f>
        <v/>
      </c>
      <c r="M391" s="17" t="str">
        <f aca="true">IF(A391="","",IF(J391&lt;&gt;"",J391-A391,TODAY()-A391))</f>
        <v/>
      </c>
      <c r="N391" s="18" t="str">
        <f aca="false">IF(A391="","",IF(AND(OR(F391="Bekliyor",F391="Parça bekleniyor",F391="Hazır"),M391&gt;7),"7 günü geçti",""))</f>
        <v/>
      </c>
      <c r="O391" s="18" t="str">
        <f aca="false">IF(AND(A391&lt;&gt;"",OR(F391="Bekliyor",F391="Parça bekleniyor",F391="Hazır")),A391+ROW()/1000000,"")</f>
        <v/>
      </c>
    </row>
    <row r="392" customFormat="false" ht="15" hidden="false" customHeight="false" outlineLevel="0" collapsed="false">
      <c r="A392" s="12"/>
      <c r="B392" s="13"/>
      <c r="C392" s="13"/>
      <c r="D392" s="13"/>
      <c r="E392" s="13"/>
      <c r="F392" s="14"/>
      <c r="G392" s="15"/>
      <c r="H392" s="15"/>
      <c r="I392" s="15"/>
      <c r="J392" s="12"/>
      <c r="K392" s="16" t="str">
        <f aca="false">IF(A392="","",G392+H392)</f>
        <v/>
      </c>
      <c r="L392" s="16" t="str">
        <f aca="false">IF(A392="","",IF(F392="İade edildi",0,K392-I392))</f>
        <v/>
      </c>
      <c r="M392" s="17" t="str">
        <f aca="true">IF(A392="","",IF(J392&lt;&gt;"",J392-A392,TODAY()-A392))</f>
        <v/>
      </c>
      <c r="N392" s="18" t="str">
        <f aca="false">IF(A392="","",IF(AND(OR(F392="Bekliyor",F392="Parça bekleniyor",F392="Hazır"),M392&gt;7),"7 günü geçti",""))</f>
        <v/>
      </c>
      <c r="O392" s="18" t="str">
        <f aca="false">IF(AND(A392&lt;&gt;"",OR(F392="Bekliyor",F392="Parça bekleniyor",F392="Hazır")),A392+ROW()/1000000,"")</f>
        <v/>
      </c>
    </row>
    <row r="393" customFormat="false" ht="15" hidden="false" customHeight="false" outlineLevel="0" collapsed="false">
      <c r="A393" s="12"/>
      <c r="B393" s="13"/>
      <c r="C393" s="13"/>
      <c r="D393" s="13"/>
      <c r="E393" s="13"/>
      <c r="F393" s="14"/>
      <c r="G393" s="15"/>
      <c r="H393" s="15"/>
      <c r="I393" s="15"/>
      <c r="J393" s="12"/>
      <c r="K393" s="16" t="str">
        <f aca="false">IF(A393="","",G393+H393)</f>
        <v/>
      </c>
      <c r="L393" s="16" t="str">
        <f aca="false">IF(A393="","",IF(F393="İade edildi",0,K393-I393))</f>
        <v/>
      </c>
      <c r="M393" s="17" t="str">
        <f aca="true">IF(A393="","",IF(J393&lt;&gt;"",J393-A393,TODAY()-A393))</f>
        <v/>
      </c>
      <c r="N393" s="18" t="str">
        <f aca="false">IF(A393="","",IF(AND(OR(F393="Bekliyor",F393="Parça bekleniyor",F393="Hazır"),M393&gt;7),"7 günü geçti",""))</f>
        <v/>
      </c>
      <c r="O393" s="18" t="str">
        <f aca="false">IF(AND(A393&lt;&gt;"",OR(F393="Bekliyor",F393="Parça bekleniyor",F393="Hazır")),A393+ROW()/1000000,"")</f>
        <v/>
      </c>
    </row>
    <row r="394" customFormat="false" ht="15" hidden="false" customHeight="false" outlineLevel="0" collapsed="false">
      <c r="A394" s="12"/>
      <c r="B394" s="13"/>
      <c r="C394" s="13"/>
      <c r="D394" s="13"/>
      <c r="E394" s="13"/>
      <c r="F394" s="14"/>
      <c r="G394" s="15"/>
      <c r="H394" s="15"/>
      <c r="I394" s="15"/>
      <c r="J394" s="12"/>
      <c r="K394" s="16" t="str">
        <f aca="false">IF(A394="","",G394+H394)</f>
        <v/>
      </c>
      <c r="L394" s="16" t="str">
        <f aca="false">IF(A394="","",IF(F394="İade edildi",0,K394-I394))</f>
        <v/>
      </c>
      <c r="M394" s="17" t="str">
        <f aca="true">IF(A394="","",IF(J394&lt;&gt;"",J394-A394,TODAY()-A394))</f>
        <v/>
      </c>
      <c r="N394" s="18" t="str">
        <f aca="false">IF(A394="","",IF(AND(OR(F394="Bekliyor",F394="Parça bekleniyor",F394="Hazır"),M394&gt;7),"7 günü geçti",""))</f>
        <v/>
      </c>
      <c r="O394" s="18" t="str">
        <f aca="false">IF(AND(A394&lt;&gt;"",OR(F394="Bekliyor",F394="Parça bekleniyor",F394="Hazır")),A394+ROW()/1000000,"")</f>
        <v/>
      </c>
    </row>
    <row r="395" customFormat="false" ht="15" hidden="false" customHeight="false" outlineLevel="0" collapsed="false">
      <c r="A395" s="12"/>
      <c r="B395" s="13"/>
      <c r="C395" s="13"/>
      <c r="D395" s="13"/>
      <c r="E395" s="13"/>
      <c r="F395" s="14"/>
      <c r="G395" s="15"/>
      <c r="H395" s="15"/>
      <c r="I395" s="15"/>
      <c r="J395" s="12"/>
      <c r="K395" s="16" t="str">
        <f aca="false">IF(A395="","",G395+H395)</f>
        <v/>
      </c>
      <c r="L395" s="16" t="str">
        <f aca="false">IF(A395="","",IF(F395="İade edildi",0,K395-I395))</f>
        <v/>
      </c>
      <c r="M395" s="17" t="str">
        <f aca="true">IF(A395="","",IF(J395&lt;&gt;"",J395-A395,TODAY()-A395))</f>
        <v/>
      </c>
      <c r="N395" s="18" t="str">
        <f aca="false">IF(A395="","",IF(AND(OR(F395="Bekliyor",F395="Parça bekleniyor",F395="Hazır"),M395&gt;7),"7 günü geçti",""))</f>
        <v/>
      </c>
      <c r="O395" s="18" t="str">
        <f aca="false">IF(AND(A395&lt;&gt;"",OR(F395="Bekliyor",F395="Parça bekleniyor",F395="Hazır")),A395+ROW()/1000000,"")</f>
        <v/>
      </c>
    </row>
    <row r="396" customFormat="false" ht="15" hidden="false" customHeight="false" outlineLevel="0" collapsed="false">
      <c r="A396" s="12"/>
      <c r="B396" s="13"/>
      <c r="C396" s="13"/>
      <c r="D396" s="13"/>
      <c r="E396" s="13"/>
      <c r="F396" s="14"/>
      <c r="G396" s="15"/>
      <c r="H396" s="15"/>
      <c r="I396" s="15"/>
      <c r="J396" s="12"/>
      <c r="K396" s="16" t="str">
        <f aca="false">IF(A396="","",G396+H396)</f>
        <v/>
      </c>
      <c r="L396" s="16" t="str">
        <f aca="false">IF(A396="","",IF(F396="İade edildi",0,K396-I396))</f>
        <v/>
      </c>
      <c r="M396" s="17" t="str">
        <f aca="true">IF(A396="","",IF(J396&lt;&gt;"",J396-A396,TODAY()-A396))</f>
        <v/>
      </c>
      <c r="N396" s="18" t="str">
        <f aca="false">IF(A396="","",IF(AND(OR(F396="Bekliyor",F396="Parça bekleniyor",F396="Hazır"),M396&gt;7),"7 günü geçti",""))</f>
        <v/>
      </c>
      <c r="O396" s="18" t="str">
        <f aca="false">IF(AND(A396&lt;&gt;"",OR(F396="Bekliyor",F396="Parça bekleniyor",F396="Hazır")),A396+ROW()/1000000,"")</f>
        <v/>
      </c>
    </row>
    <row r="397" customFormat="false" ht="15" hidden="false" customHeight="false" outlineLevel="0" collapsed="false">
      <c r="A397" s="12"/>
      <c r="B397" s="13"/>
      <c r="C397" s="13"/>
      <c r="D397" s="13"/>
      <c r="E397" s="13"/>
      <c r="F397" s="14"/>
      <c r="G397" s="15"/>
      <c r="H397" s="15"/>
      <c r="I397" s="15"/>
      <c r="J397" s="12"/>
      <c r="K397" s="16" t="str">
        <f aca="false">IF(A397="","",G397+H397)</f>
        <v/>
      </c>
      <c r="L397" s="16" t="str">
        <f aca="false">IF(A397="","",IF(F397="İade edildi",0,K397-I397))</f>
        <v/>
      </c>
      <c r="M397" s="17" t="str">
        <f aca="true">IF(A397="","",IF(J397&lt;&gt;"",J397-A397,TODAY()-A397))</f>
        <v/>
      </c>
      <c r="N397" s="18" t="str">
        <f aca="false">IF(A397="","",IF(AND(OR(F397="Bekliyor",F397="Parça bekleniyor",F397="Hazır"),M397&gt;7),"7 günü geçti",""))</f>
        <v/>
      </c>
      <c r="O397" s="18" t="str">
        <f aca="false">IF(AND(A397&lt;&gt;"",OR(F397="Bekliyor",F397="Parça bekleniyor",F397="Hazır")),A397+ROW()/1000000,"")</f>
        <v/>
      </c>
    </row>
    <row r="398" customFormat="false" ht="15" hidden="false" customHeight="false" outlineLevel="0" collapsed="false">
      <c r="A398" s="12"/>
      <c r="B398" s="13"/>
      <c r="C398" s="13"/>
      <c r="D398" s="13"/>
      <c r="E398" s="13"/>
      <c r="F398" s="14"/>
      <c r="G398" s="15"/>
      <c r="H398" s="15"/>
      <c r="I398" s="15"/>
      <c r="J398" s="12"/>
      <c r="K398" s="16" t="str">
        <f aca="false">IF(A398="","",G398+H398)</f>
        <v/>
      </c>
      <c r="L398" s="16" t="str">
        <f aca="false">IF(A398="","",IF(F398="İade edildi",0,K398-I398))</f>
        <v/>
      </c>
      <c r="M398" s="17" t="str">
        <f aca="true">IF(A398="","",IF(J398&lt;&gt;"",J398-A398,TODAY()-A398))</f>
        <v/>
      </c>
      <c r="N398" s="18" t="str">
        <f aca="false">IF(A398="","",IF(AND(OR(F398="Bekliyor",F398="Parça bekleniyor",F398="Hazır"),M398&gt;7),"7 günü geçti",""))</f>
        <v/>
      </c>
      <c r="O398" s="18" t="str">
        <f aca="false">IF(AND(A398&lt;&gt;"",OR(F398="Bekliyor",F398="Parça bekleniyor",F398="Hazır")),A398+ROW()/1000000,"")</f>
        <v/>
      </c>
    </row>
    <row r="399" customFormat="false" ht="15" hidden="false" customHeight="false" outlineLevel="0" collapsed="false">
      <c r="A399" s="12"/>
      <c r="B399" s="13"/>
      <c r="C399" s="13"/>
      <c r="D399" s="13"/>
      <c r="E399" s="13"/>
      <c r="F399" s="14"/>
      <c r="G399" s="15"/>
      <c r="H399" s="15"/>
      <c r="I399" s="15"/>
      <c r="J399" s="12"/>
      <c r="K399" s="16" t="str">
        <f aca="false">IF(A399="","",G399+H399)</f>
        <v/>
      </c>
      <c r="L399" s="16" t="str">
        <f aca="false">IF(A399="","",IF(F399="İade edildi",0,K399-I399))</f>
        <v/>
      </c>
      <c r="M399" s="17" t="str">
        <f aca="true">IF(A399="","",IF(J399&lt;&gt;"",J399-A399,TODAY()-A399))</f>
        <v/>
      </c>
      <c r="N399" s="18" t="str">
        <f aca="false">IF(A399="","",IF(AND(OR(F399="Bekliyor",F399="Parça bekleniyor",F399="Hazır"),M399&gt;7),"7 günü geçti",""))</f>
        <v/>
      </c>
      <c r="O399" s="18" t="str">
        <f aca="false">IF(AND(A399&lt;&gt;"",OR(F399="Bekliyor",F399="Parça bekleniyor",F399="Hazır")),A399+ROW()/1000000,"")</f>
        <v/>
      </c>
    </row>
    <row r="400" customFormat="false" ht="15" hidden="false" customHeight="false" outlineLevel="0" collapsed="false">
      <c r="A400" s="12"/>
      <c r="B400" s="13"/>
      <c r="C400" s="13"/>
      <c r="D400" s="13"/>
      <c r="E400" s="13"/>
      <c r="F400" s="14"/>
      <c r="G400" s="15"/>
      <c r="H400" s="15"/>
      <c r="I400" s="15"/>
      <c r="J400" s="12"/>
      <c r="K400" s="16" t="str">
        <f aca="false">IF(A400="","",G400+H400)</f>
        <v/>
      </c>
      <c r="L400" s="16" t="str">
        <f aca="false">IF(A400="","",IF(F400="İade edildi",0,K400-I400))</f>
        <v/>
      </c>
      <c r="M400" s="17" t="str">
        <f aca="true">IF(A400="","",IF(J400&lt;&gt;"",J400-A400,TODAY()-A400))</f>
        <v/>
      </c>
      <c r="N400" s="18" t="str">
        <f aca="false">IF(A400="","",IF(AND(OR(F400="Bekliyor",F400="Parça bekleniyor",F400="Hazır"),M400&gt;7),"7 günü geçti",""))</f>
        <v/>
      </c>
      <c r="O400" s="18" t="str">
        <f aca="false">IF(AND(A400&lt;&gt;"",OR(F400="Bekliyor",F400="Parça bekleniyor",F400="Hazır")),A400+ROW()/1000000,"")</f>
        <v/>
      </c>
    </row>
    <row r="401" customFormat="false" ht="15" hidden="false" customHeight="false" outlineLevel="0" collapsed="false">
      <c r="A401" s="12"/>
      <c r="B401" s="13"/>
      <c r="C401" s="13"/>
      <c r="D401" s="13"/>
      <c r="E401" s="13"/>
      <c r="F401" s="14"/>
      <c r="G401" s="15"/>
      <c r="H401" s="15"/>
      <c r="I401" s="15"/>
      <c r="J401" s="12"/>
      <c r="K401" s="16" t="str">
        <f aca="false">IF(A401="","",G401+H401)</f>
        <v/>
      </c>
      <c r="L401" s="16" t="str">
        <f aca="false">IF(A401="","",IF(F401="İade edildi",0,K401-I401))</f>
        <v/>
      </c>
      <c r="M401" s="17" t="str">
        <f aca="true">IF(A401="","",IF(J401&lt;&gt;"",J401-A401,TODAY()-A401))</f>
        <v/>
      </c>
      <c r="N401" s="18" t="str">
        <f aca="false">IF(A401="","",IF(AND(OR(F401="Bekliyor",F401="Parça bekleniyor",F401="Hazır"),M401&gt;7),"7 günü geçti",""))</f>
        <v/>
      </c>
      <c r="O401" s="18" t="str">
        <f aca="false">IF(AND(A401&lt;&gt;"",OR(F401="Bekliyor",F401="Parça bekleniyor",F401="Hazır")),A401+ROW()/1000000,"")</f>
        <v/>
      </c>
    </row>
    <row r="402" customFormat="false" ht="15" hidden="false" customHeight="false" outlineLevel="0" collapsed="false">
      <c r="A402" s="12"/>
      <c r="B402" s="13"/>
      <c r="C402" s="13"/>
      <c r="D402" s="13"/>
      <c r="E402" s="13"/>
      <c r="F402" s="14"/>
      <c r="G402" s="15"/>
      <c r="H402" s="15"/>
      <c r="I402" s="15"/>
      <c r="J402" s="12"/>
      <c r="K402" s="16" t="str">
        <f aca="false">IF(A402="","",G402+H402)</f>
        <v/>
      </c>
      <c r="L402" s="16" t="str">
        <f aca="false">IF(A402="","",IF(F402="İade edildi",0,K402-I402))</f>
        <v/>
      </c>
      <c r="M402" s="17" t="str">
        <f aca="true">IF(A402="","",IF(J402&lt;&gt;"",J402-A402,TODAY()-A402))</f>
        <v/>
      </c>
      <c r="N402" s="18" t="str">
        <f aca="false">IF(A402="","",IF(AND(OR(F402="Bekliyor",F402="Parça bekleniyor",F402="Hazır"),M402&gt;7),"7 günü geçti",""))</f>
        <v/>
      </c>
      <c r="O402" s="18" t="str">
        <f aca="false">IF(AND(A402&lt;&gt;"",OR(F402="Bekliyor",F402="Parça bekleniyor",F402="Hazır")),A402+ROW()/1000000,"")</f>
        <v/>
      </c>
    </row>
    <row r="403" customFormat="false" ht="15" hidden="false" customHeight="false" outlineLevel="0" collapsed="false">
      <c r="A403" s="12"/>
      <c r="B403" s="13"/>
      <c r="C403" s="13"/>
      <c r="D403" s="13"/>
      <c r="E403" s="13"/>
      <c r="F403" s="14"/>
      <c r="G403" s="15"/>
      <c r="H403" s="15"/>
      <c r="I403" s="15"/>
      <c r="J403" s="12"/>
      <c r="K403" s="16" t="str">
        <f aca="false">IF(A403="","",G403+H403)</f>
        <v/>
      </c>
      <c r="L403" s="16" t="str">
        <f aca="false">IF(A403="","",IF(F403="İade edildi",0,K403-I403))</f>
        <v/>
      </c>
      <c r="M403" s="17" t="str">
        <f aca="true">IF(A403="","",IF(J403&lt;&gt;"",J403-A403,TODAY()-A403))</f>
        <v/>
      </c>
      <c r="N403" s="18" t="str">
        <f aca="false">IF(A403="","",IF(AND(OR(F403="Bekliyor",F403="Parça bekleniyor",F403="Hazır"),M403&gt;7),"7 günü geçti",""))</f>
        <v/>
      </c>
      <c r="O403" s="18" t="str">
        <f aca="false">IF(AND(A403&lt;&gt;"",OR(F403="Bekliyor",F403="Parça bekleniyor",F403="Hazır")),A403+ROW()/1000000,"")</f>
        <v/>
      </c>
    </row>
    <row r="404" customFormat="false" ht="15" hidden="false" customHeight="false" outlineLevel="0" collapsed="false">
      <c r="A404" s="12"/>
      <c r="B404" s="13"/>
      <c r="C404" s="13"/>
      <c r="D404" s="13"/>
      <c r="E404" s="13"/>
      <c r="F404" s="14"/>
      <c r="G404" s="15"/>
      <c r="H404" s="15"/>
      <c r="I404" s="15"/>
      <c r="J404" s="12"/>
      <c r="K404" s="16" t="str">
        <f aca="false">IF(A404="","",G404+H404)</f>
        <v/>
      </c>
      <c r="L404" s="16" t="str">
        <f aca="false">IF(A404="","",IF(F404="İade edildi",0,K404-I404))</f>
        <v/>
      </c>
      <c r="M404" s="17" t="str">
        <f aca="true">IF(A404="","",IF(J404&lt;&gt;"",J404-A404,TODAY()-A404))</f>
        <v/>
      </c>
      <c r="N404" s="18" t="str">
        <f aca="false">IF(A404="","",IF(AND(OR(F404="Bekliyor",F404="Parça bekleniyor",F404="Hazır"),M404&gt;7),"7 günü geçti",""))</f>
        <v/>
      </c>
      <c r="O404" s="18" t="str">
        <f aca="false">IF(AND(A404&lt;&gt;"",OR(F404="Bekliyor",F404="Parça bekleniyor",F404="Hazır")),A404+ROW()/1000000,"")</f>
        <v/>
      </c>
    </row>
    <row r="405" customFormat="false" ht="15" hidden="false" customHeight="false" outlineLevel="0" collapsed="false">
      <c r="A405" s="12"/>
      <c r="B405" s="13"/>
      <c r="C405" s="13"/>
      <c r="D405" s="13"/>
      <c r="E405" s="13"/>
      <c r="F405" s="14"/>
      <c r="G405" s="15"/>
      <c r="H405" s="15"/>
      <c r="I405" s="15"/>
      <c r="J405" s="12"/>
      <c r="K405" s="16" t="str">
        <f aca="false">IF(A405="","",G405+H405)</f>
        <v/>
      </c>
      <c r="L405" s="16" t="str">
        <f aca="false">IF(A405="","",IF(F405="İade edildi",0,K405-I405))</f>
        <v/>
      </c>
      <c r="M405" s="17" t="str">
        <f aca="true">IF(A405="","",IF(J405&lt;&gt;"",J405-A405,TODAY()-A405))</f>
        <v/>
      </c>
      <c r="N405" s="18" t="str">
        <f aca="false">IF(A405="","",IF(AND(OR(F405="Bekliyor",F405="Parça bekleniyor",F405="Hazır"),M405&gt;7),"7 günü geçti",""))</f>
        <v/>
      </c>
      <c r="O405" s="18" t="str">
        <f aca="false">IF(AND(A405&lt;&gt;"",OR(F405="Bekliyor",F405="Parça bekleniyor",F405="Hazır")),A405+ROW()/1000000,"")</f>
        <v/>
      </c>
    </row>
    <row r="406" customFormat="false" ht="15" hidden="false" customHeight="false" outlineLevel="0" collapsed="false">
      <c r="A406" s="12"/>
      <c r="B406" s="13"/>
      <c r="C406" s="13"/>
      <c r="D406" s="13"/>
      <c r="E406" s="13"/>
      <c r="F406" s="14"/>
      <c r="G406" s="15"/>
      <c r="H406" s="15"/>
      <c r="I406" s="15"/>
      <c r="J406" s="12"/>
      <c r="K406" s="16" t="str">
        <f aca="false">IF(A406="","",G406+H406)</f>
        <v/>
      </c>
      <c r="L406" s="16" t="str">
        <f aca="false">IF(A406="","",IF(F406="İade edildi",0,K406-I406))</f>
        <v/>
      </c>
      <c r="M406" s="17" t="str">
        <f aca="true">IF(A406="","",IF(J406&lt;&gt;"",J406-A406,TODAY()-A406))</f>
        <v/>
      </c>
      <c r="N406" s="18" t="str">
        <f aca="false">IF(A406="","",IF(AND(OR(F406="Bekliyor",F406="Parça bekleniyor",F406="Hazır"),M406&gt;7),"7 günü geçti",""))</f>
        <v/>
      </c>
      <c r="O406" s="18" t="str">
        <f aca="false">IF(AND(A406&lt;&gt;"",OR(F406="Bekliyor",F406="Parça bekleniyor",F406="Hazır")),A406+ROW()/1000000,"")</f>
        <v/>
      </c>
    </row>
    <row r="407" customFormat="false" ht="15" hidden="false" customHeight="false" outlineLevel="0" collapsed="false">
      <c r="A407" s="12"/>
      <c r="B407" s="13"/>
      <c r="C407" s="13"/>
      <c r="D407" s="13"/>
      <c r="E407" s="13"/>
      <c r="F407" s="14"/>
      <c r="G407" s="15"/>
      <c r="H407" s="15"/>
      <c r="I407" s="15"/>
      <c r="J407" s="12"/>
      <c r="K407" s="16" t="str">
        <f aca="false">IF(A407="","",G407+H407)</f>
        <v/>
      </c>
      <c r="L407" s="16" t="str">
        <f aca="false">IF(A407="","",IF(F407="İade edildi",0,K407-I407))</f>
        <v/>
      </c>
      <c r="M407" s="17" t="str">
        <f aca="true">IF(A407="","",IF(J407&lt;&gt;"",J407-A407,TODAY()-A407))</f>
        <v/>
      </c>
      <c r="N407" s="18" t="str">
        <f aca="false">IF(A407="","",IF(AND(OR(F407="Bekliyor",F407="Parça bekleniyor",F407="Hazır"),M407&gt;7),"7 günü geçti",""))</f>
        <v/>
      </c>
      <c r="O407" s="18" t="str">
        <f aca="false">IF(AND(A407&lt;&gt;"",OR(F407="Bekliyor",F407="Parça bekleniyor",F407="Hazır")),A407+ROW()/1000000,"")</f>
        <v/>
      </c>
    </row>
    <row r="408" customFormat="false" ht="15" hidden="false" customHeight="false" outlineLevel="0" collapsed="false">
      <c r="A408" s="12"/>
      <c r="B408" s="13"/>
      <c r="C408" s="13"/>
      <c r="D408" s="13"/>
      <c r="E408" s="13"/>
      <c r="F408" s="14"/>
      <c r="G408" s="15"/>
      <c r="H408" s="15"/>
      <c r="I408" s="15"/>
      <c r="J408" s="12"/>
      <c r="K408" s="16" t="str">
        <f aca="false">IF(A408="","",G408+H408)</f>
        <v/>
      </c>
      <c r="L408" s="16" t="str">
        <f aca="false">IF(A408="","",IF(F408="İade edildi",0,K408-I408))</f>
        <v/>
      </c>
      <c r="M408" s="17" t="str">
        <f aca="true">IF(A408="","",IF(J408&lt;&gt;"",J408-A408,TODAY()-A408))</f>
        <v/>
      </c>
      <c r="N408" s="18" t="str">
        <f aca="false">IF(A408="","",IF(AND(OR(F408="Bekliyor",F408="Parça bekleniyor",F408="Hazır"),M408&gt;7),"7 günü geçti",""))</f>
        <v/>
      </c>
      <c r="O408" s="18" t="str">
        <f aca="false">IF(AND(A408&lt;&gt;"",OR(F408="Bekliyor",F408="Parça bekleniyor",F408="Hazır")),A408+ROW()/1000000,"")</f>
        <v/>
      </c>
    </row>
    <row r="409" customFormat="false" ht="15" hidden="false" customHeight="false" outlineLevel="0" collapsed="false">
      <c r="A409" s="12"/>
      <c r="B409" s="13"/>
      <c r="C409" s="13"/>
      <c r="D409" s="13"/>
      <c r="E409" s="13"/>
      <c r="F409" s="14"/>
      <c r="G409" s="15"/>
      <c r="H409" s="15"/>
      <c r="I409" s="15"/>
      <c r="J409" s="12"/>
      <c r="K409" s="16" t="str">
        <f aca="false">IF(A409="","",G409+H409)</f>
        <v/>
      </c>
      <c r="L409" s="16" t="str">
        <f aca="false">IF(A409="","",IF(F409="İade edildi",0,K409-I409))</f>
        <v/>
      </c>
      <c r="M409" s="17" t="str">
        <f aca="true">IF(A409="","",IF(J409&lt;&gt;"",J409-A409,TODAY()-A409))</f>
        <v/>
      </c>
      <c r="N409" s="18" t="str">
        <f aca="false">IF(A409="","",IF(AND(OR(F409="Bekliyor",F409="Parça bekleniyor",F409="Hazır"),M409&gt;7),"7 günü geçti",""))</f>
        <v/>
      </c>
      <c r="O409" s="18" t="str">
        <f aca="false">IF(AND(A409&lt;&gt;"",OR(F409="Bekliyor",F409="Parça bekleniyor",F409="Hazır")),A409+ROW()/1000000,"")</f>
        <v/>
      </c>
    </row>
    <row r="410" customFormat="false" ht="15" hidden="false" customHeight="false" outlineLevel="0" collapsed="false">
      <c r="A410" s="12"/>
      <c r="B410" s="13"/>
      <c r="C410" s="13"/>
      <c r="D410" s="13"/>
      <c r="E410" s="13"/>
      <c r="F410" s="14"/>
      <c r="G410" s="15"/>
      <c r="H410" s="15"/>
      <c r="I410" s="15"/>
      <c r="J410" s="12"/>
      <c r="K410" s="16" t="str">
        <f aca="false">IF(A410="","",G410+H410)</f>
        <v/>
      </c>
      <c r="L410" s="16" t="str">
        <f aca="false">IF(A410="","",IF(F410="İade edildi",0,K410-I410))</f>
        <v/>
      </c>
      <c r="M410" s="17" t="str">
        <f aca="true">IF(A410="","",IF(J410&lt;&gt;"",J410-A410,TODAY()-A410))</f>
        <v/>
      </c>
      <c r="N410" s="18" t="str">
        <f aca="false">IF(A410="","",IF(AND(OR(F410="Bekliyor",F410="Parça bekleniyor",F410="Hazır"),M410&gt;7),"7 günü geçti",""))</f>
        <v/>
      </c>
      <c r="O410" s="18" t="str">
        <f aca="false">IF(AND(A410&lt;&gt;"",OR(F410="Bekliyor",F410="Parça bekleniyor",F410="Hazır")),A410+ROW()/1000000,"")</f>
        <v/>
      </c>
    </row>
    <row r="411" customFormat="false" ht="15" hidden="false" customHeight="false" outlineLevel="0" collapsed="false">
      <c r="A411" s="12"/>
      <c r="B411" s="13"/>
      <c r="C411" s="13"/>
      <c r="D411" s="13"/>
      <c r="E411" s="13"/>
      <c r="F411" s="14"/>
      <c r="G411" s="15"/>
      <c r="H411" s="15"/>
      <c r="I411" s="15"/>
      <c r="J411" s="12"/>
      <c r="K411" s="16" t="str">
        <f aca="false">IF(A411="","",G411+H411)</f>
        <v/>
      </c>
      <c r="L411" s="16" t="str">
        <f aca="false">IF(A411="","",IF(F411="İade edildi",0,K411-I411))</f>
        <v/>
      </c>
      <c r="M411" s="17" t="str">
        <f aca="true">IF(A411="","",IF(J411&lt;&gt;"",J411-A411,TODAY()-A411))</f>
        <v/>
      </c>
      <c r="N411" s="18" t="str">
        <f aca="false">IF(A411="","",IF(AND(OR(F411="Bekliyor",F411="Parça bekleniyor",F411="Hazır"),M411&gt;7),"7 günü geçti",""))</f>
        <v/>
      </c>
      <c r="O411" s="18" t="str">
        <f aca="false">IF(AND(A411&lt;&gt;"",OR(F411="Bekliyor",F411="Parça bekleniyor",F411="Hazır")),A411+ROW()/1000000,"")</f>
        <v/>
      </c>
    </row>
    <row r="412" customFormat="false" ht="15" hidden="false" customHeight="false" outlineLevel="0" collapsed="false">
      <c r="A412" s="12"/>
      <c r="B412" s="13"/>
      <c r="C412" s="13"/>
      <c r="D412" s="13"/>
      <c r="E412" s="13"/>
      <c r="F412" s="14"/>
      <c r="G412" s="15"/>
      <c r="H412" s="15"/>
      <c r="I412" s="15"/>
      <c r="J412" s="12"/>
      <c r="K412" s="16" t="str">
        <f aca="false">IF(A412="","",G412+H412)</f>
        <v/>
      </c>
      <c r="L412" s="16" t="str">
        <f aca="false">IF(A412="","",IF(F412="İade edildi",0,K412-I412))</f>
        <v/>
      </c>
      <c r="M412" s="17" t="str">
        <f aca="true">IF(A412="","",IF(J412&lt;&gt;"",J412-A412,TODAY()-A412))</f>
        <v/>
      </c>
      <c r="N412" s="18" t="str">
        <f aca="false">IF(A412="","",IF(AND(OR(F412="Bekliyor",F412="Parça bekleniyor",F412="Hazır"),M412&gt;7),"7 günü geçti",""))</f>
        <v/>
      </c>
      <c r="O412" s="18" t="str">
        <f aca="false">IF(AND(A412&lt;&gt;"",OR(F412="Bekliyor",F412="Parça bekleniyor",F412="Hazır")),A412+ROW()/1000000,"")</f>
        <v/>
      </c>
    </row>
    <row r="413" customFormat="false" ht="15" hidden="false" customHeight="false" outlineLevel="0" collapsed="false">
      <c r="A413" s="12"/>
      <c r="B413" s="13"/>
      <c r="C413" s="13"/>
      <c r="D413" s="13"/>
      <c r="E413" s="13"/>
      <c r="F413" s="14"/>
      <c r="G413" s="15"/>
      <c r="H413" s="15"/>
      <c r="I413" s="15"/>
      <c r="J413" s="12"/>
      <c r="K413" s="16" t="str">
        <f aca="false">IF(A413="","",G413+H413)</f>
        <v/>
      </c>
      <c r="L413" s="16" t="str">
        <f aca="false">IF(A413="","",IF(F413="İade edildi",0,K413-I413))</f>
        <v/>
      </c>
      <c r="M413" s="17" t="str">
        <f aca="true">IF(A413="","",IF(J413&lt;&gt;"",J413-A413,TODAY()-A413))</f>
        <v/>
      </c>
      <c r="N413" s="18" t="str">
        <f aca="false">IF(A413="","",IF(AND(OR(F413="Bekliyor",F413="Parça bekleniyor",F413="Hazır"),M413&gt;7),"7 günü geçti",""))</f>
        <v/>
      </c>
      <c r="O413" s="18" t="str">
        <f aca="false">IF(AND(A413&lt;&gt;"",OR(F413="Bekliyor",F413="Parça bekleniyor",F413="Hazır")),A413+ROW()/1000000,"")</f>
        <v/>
      </c>
    </row>
    <row r="414" customFormat="false" ht="15" hidden="false" customHeight="false" outlineLevel="0" collapsed="false">
      <c r="A414" s="12"/>
      <c r="B414" s="13"/>
      <c r="C414" s="13"/>
      <c r="D414" s="13"/>
      <c r="E414" s="13"/>
      <c r="F414" s="14"/>
      <c r="G414" s="15"/>
      <c r="H414" s="15"/>
      <c r="I414" s="15"/>
      <c r="J414" s="12"/>
      <c r="K414" s="16" t="str">
        <f aca="false">IF(A414="","",G414+H414)</f>
        <v/>
      </c>
      <c r="L414" s="16" t="str">
        <f aca="false">IF(A414="","",IF(F414="İade edildi",0,K414-I414))</f>
        <v/>
      </c>
      <c r="M414" s="17" t="str">
        <f aca="true">IF(A414="","",IF(J414&lt;&gt;"",J414-A414,TODAY()-A414))</f>
        <v/>
      </c>
      <c r="N414" s="18" t="str">
        <f aca="false">IF(A414="","",IF(AND(OR(F414="Bekliyor",F414="Parça bekleniyor",F414="Hazır"),M414&gt;7),"7 günü geçti",""))</f>
        <v/>
      </c>
      <c r="O414" s="18" t="str">
        <f aca="false">IF(AND(A414&lt;&gt;"",OR(F414="Bekliyor",F414="Parça bekleniyor",F414="Hazır")),A414+ROW()/1000000,"")</f>
        <v/>
      </c>
    </row>
    <row r="415" customFormat="false" ht="15" hidden="false" customHeight="false" outlineLevel="0" collapsed="false">
      <c r="A415" s="12"/>
      <c r="B415" s="13"/>
      <c r="C415" s="13"/>
      <c r="D415" s="13"/>
      <c r="E415" s="13"/>
      <c r="F415" s="14"/>
      <c r="G415" s="15"/>
      <c r="H415" s="15"/>
      <c r="I415" s="15"/>
      <c r="J415" s="12"/>
      <c r="K415" s="16" t="str">
        <f aca="false">IF(A415="","",G415+H415)</f>
        <v/>
      </c>
      <c r="L415" s="16" t="str">
        <f aca="false">IF(A415="","",IF(F415="İade edildi",0,K415-I415))</f>
        <v/>
      </c>
      <c r="M415" s="17" t="str">
        <f aca="true">IF(A415="","",IF(J415&lt;&gt;"",J415-A415,TODAY()-A415))</f>
        <v/>
      </c>
      <c r="N415" s="18" t="str">
        <f aca="false">IF(A415="","",IF(AND(OR(F415="Bekliyor",F415="Parça bekleniyor",F415="Hazır"),M415&gt;7),"7 günü geçti",""))</f>
        <v/>
      </c>
      <c r="O415" s="18" t="str">
        <f aca="false">IF(AND(A415&lt;&gt;"",OR(F415="Bekliyor",F415="Parça bekleniyor",F415="Hazır")),A415+ROW()/1000000,"")</f>
        <v/>
      </c>
    </row>
    <row r="416" customFormat="false" ht="15" hidden="false" customHeight="false" outlineLevel="0" collapsed="false">
      <c r="A416" s="12"/>
      <c r="B416" s="13"/>
      <c r="C416" s="13"/>
      <c r="D416" s="13"/>
      <c r="E416" s="13"/>
      <c r="F416" s="14"/>
      <c r="G416" s="15"/>
      <c r="H416" s="15"/>
      <c r="I416" s="15"/>
      <c r="J416" s="12"/>
      <c r="K416" s="16" t="str">
        <f aca="false">IF(A416="","",G416+H416)</f>
        <v/>
      </c>
      <c r="L416" s="16" t="str">
        <f aca="false">IF(A416="","",IF(F416="İade edildi",0,K416-I416))</f>
        <v/>
      </c>
      <c r="M416" s="17" t="str">
        <f aca="true">IF(A416="","",IF(J416&lt;&gt;"",J416-A416,TODAY()-A416))</f>
        <v/>
      </c>
      <c r="N416" s="18" t="str">
        <f aca="false">IF(A416="","",IF(AND(OR(F416="Bekliyor",F416="Parça bekleniyor",F416="Hazır"),M416&gt;7),"7 günü geçti",""))</f>
        <v/>
      </c>
      <c r="O416" s="18" t="str">
        <f aca="false">IF(AND(A416&lt;&gt;"",OR(F416="Bekliyor",F416="Parça bekleniyor",F416="Hazır")),A416+ROW()/1000000,"")</f>
        <v/>
      </c>
    </row>
    <row r="417" customFormat="false" ht="15" hidden="false" customHeight="false" outlineLevel="0" collapsed="false">
      <c r="A417" s="12"/>
      <c r="B417" s="13"/>
      <c r="C417" s="13"/>
      <c r="D417" s="13"/>
      <c r="E417" s="13"/>
      <c r="F417" s="14"/>
      <c r="G417" s="15"/>
      <c r="H417" s="15"/>
      <c r="I417" s="15"/>
      <c r="J417" s="12"/>
      <c r="K417" s="16" t="str">
        <f aca="false">IF(A417="","",G417+H417)</f>
        <v/>
      </c>
      <c r="L417" s="16" t="str">
        <f aca="false">IF(A417="","",IF(F417="İade edildi",0,K417-I417))</f>
        <v/>
      </c>
      <c r="M417" s="17" t="str">
        <f aca="true">IF(A417="","",IF(J417&lt;&gt;"",J417-A417,TODAY()-A417))</f>
        <v/>
      </c>
      <c r="N417" s="18" t="str">
        <f aca="false">IF(A417="","",IF(AND(OR(F417="Bekliyor",F417="Parça bekleniyor",F417="Hazır"),M417&gt;7),"7 günü geçti",""))</f>
        <v/>
      </c>
      <c r="O417" s="18" t="str">
        <f aca="false">IF(AND(A417&lt;&gt;"",OR(F417="Bekliyor",F417="Parça bekleniyor",F417="Hazır")),A417+ROW()/1000000,"")</f>
        <v/>
      </c>
    </row>
    <row r="418" customFormat="false" ht="15" hidden="false" customHeight="false" outlineLevel="0" collapsed="false">
      <c r="A418" s="12"/>
      <c r="B418" s="13"/>
      <c r="C418" s="13"/>
      <c r="D418" s="13"/>
      <c r="E418" s="13"/>
      <c r="F418" s="14"/>
      <c r="G418" s="15"/>
      <c r="H418" s="15"/>
      <c r="I418" s="15"/>
      <c r="J418" s="12"/>
      <c r="K418" s="16" t="str">
        <f aca="false">IF(A418="","",G418+H418)</f>
        <v/>
      </c>
      <c r="L418" s="16" t="str">
        <f aca="false">IF(A418="","",IF(F418="İade edildi",0,K418-I418))</f>
        <v/>
      </c>
      <c r="M418" s="17" t="str">
        <f aca="true">IF(A418="","",IF(J418&lt;&gt;"",J418-A418,TODAY()-A418))</f>
        <v/>
      </c>
      <c r="N418" s="18" t="str">
        <f aca="false">IF(A418="","",IF(AND(OR(F418="Bekliyor",F418="Parça bekleniyor",F418="Hazır"),M418&gt;7),"7 günü geçti",""))</f>
        <v/>
      </c>
      <c r="O418" s="18" t="str">
        <f aca="false">IF(AND(A418&lt;&gt;"",OR(F418="Bekliyor",F418="Parça bekleniyor",F418="Hazır")),A418+ROW()/1000000,"")</f>
        <v/>
      </c>
    </row>
    <row r="419" customFormat="false" ht="15" hidden="false" customHeight="false" outlineLevel="0" collapsed="false">
      <c r="A419" s="12"/>
      <c r="B419" s="13"/>
      <c r="C419" s="13"/>
      <c r="D419" s="13"/>
      <c r="E419" s="13"/>
      <c r="F419" s="14"/>
      <c r="G419" s="15"/>
      <c r="H419" s="15"/>
      <c r="I419" s="15"/>
      <c r="J419" s="12"/>
      <c r="K419" s="16" t="str">
        <f aca="false">IF(A419="","",G419+H419)</f>
        <v/>
      </c>
      <c r="L419" s="16" t="str">
        <f aca="false">IF(A419="","",IF(F419="İade edildi",0,K419-I419))</f>
        <v/>
      </c>
      <c r="M419" s="17" t="str">
        <f aca="true">IF(A419="","",IF(J419&lt;&gt;"",J419-A419,TODAY()-A419))</f>
        <v/>
      </c>
      <c r="N419" s="18" t="str">
        <f aca="false">IF(A419="","",IF(AND(OR(F419="Bekliyor",F419="Parça bekleniyor",F419="Hazır"),M419&gt;7),"7 günü geçti",""))</f>
        <v/>
      </c>
      <c r="O419" s="18" t="str">
        <f aca="false">IF(AND(A419&lt;&gt;"",OR(F419="Bekliyor",F419="Parça bekleniyor",F419="Hazır")),A419+ROW()/1000000,"")</f>
        <v/>
      </c>
    </row>
    <row r="420" customFormat="false" ht="15" hidden="false" customHeight="false" outlineLevel="0" collapsed="false">
      <c r="A420" s="12"/>
      <c r="B420" s="13"/>
      <c r="C420" s="13"/>
      <c r="D420" s="13"/>
      <c r="E420" s="13"/>
      <c r="F420" s="14"/>
      <c r="G420" s="15"/>
      <c r="H420" s="15"/>
      <c r="I420" s="15"/>
      <c r="J420" s="12"/>
      <c r="K420" s="16" t="str">
        <f aca="false">IF(A420="","",G420+H420)</f>
        <v/>
      </c>
      <c r="L420" s="16" t="str">
        <f aca="false">IF(A420="","",IF(F420="İade edildi",0,K420-I420))</f>
        <v/>
      </c>
      <c r="M420" s="17" t="str">
        <f aca="true">IF(A420="","",IF(J420&lt;&gt;"",J420-A420,TODAY()-A420))</f>
        <v/>
      </c>
      <c r="N420" s="18" t="str">
        <f aca="false">IF(A420="","",IF(AND(OR(F420="Bekliyor",F420="Parça bekleniyor",F420="Hazır"),M420&gt;7),"7 günü geçti",""))</f>
        <v/>
      </c>
      <c r="O420" s="18" t="str">
        <f aca="false">IF(AND(A420&lt;&gt;"",OR(F420="Bekliyor",F420="Parça bekleniyor",F420="Hazır")),A420+ROW()/1000000,"")</f>
        <v/>
      </c>
    </row>
    <row r="421" customFormat="false" ht="15" hidden="false" customHeight="false" outlineLevel="0" collapsed="false">
      <c r="A421" s="12"/>
      <c r="B421" s="13"/>
      <c r="C421" s="13"/>
      <c r="D421" s="13"/>
      <c r="E421" s="13"/>
      <c r="F421" s="14"/>
      <c r="G421" s="15"/>
      <c r="H421" s="15"/>
      <c r="I421" s="15"/>
      <c r="J421" s="12"/>
      <c r="K421" s="16" t="str">
        <f aca="false">IF(A421="","",G421+H421)</f>
        <v/>
      </c>
      <c r="L421" s="16" t="str">
        <f aca="false">IF(A421="","",IF(F421="İade edildi",0,K421-I421))</f>
        <v/>
      </c>
      <c r="M421" s="17" t="str">
        <f aca="true">IF(A421="","",IF(J421&lt;&gt;"",J421-A421,TODAY()-A421))</f>
        <v/>
      </c>
      <c r="N421" s="18" t="str">
        <f aca="false">IF(A421="","",IF(AND(OR(F421="Bekliyor",F421="Parça bekleniyor",F421="Hazır"),M421&gt;7),"7 günü geçti",""))</f>
        <v/>
      </c>
      <c r="O421" s="18" t="str">
        <f aca="false">IF(AND(A421&lt;&gt;"",OR(F421="Bekliyor",F421="Parça bekleniyor",F421="Hazır")),A421+ROW()/1000000,"")</f>
        <v/>
      </c>
    </row>
    <row r="422" customFormat="false" ht="15" hidden="false" customHeight="false" outlineLevel="0" collapsed="false">
      <c r="A422" s="12"/>
      <c r="B422" s="13"/>
      <c r="C422" s="13"/>
      <c r="D422" s="13"/>
      <c r="E422" s="13"/>
      <c r="F422" s="14"/>
      <c r="G422" s="15"/>
      <c r="H422" s="15"/>
      <c r="I422" s="15"/>
      <c r="J422" s="12"/>
      <c r="K422" s="16" t="str">
        <f aca="false">IF(A422="","",G422+H422)</f>
        <v/>
      </c>
      <c r="L422" s="16" t="str">
        <f aca="false">IF(A422="","",IF(F422="İade edildi",0,K422-I422))</f>
        <v/>
      </c>
      <c r="M422" s="17" t="str">
        <f aca="true">IF(A422="","",IF(J422&lt;&gt;"",J422-A422,TODAY()-A422))</f>
        <v/>
      </c>
      <c r="N422" s="18" t="str">
        <f aca="false">IF(A422="","",IF(AND(OR(F422="Bekliyor",F422="Parça bekleniyor",F422="Hazır"),M422&gt;7),"7 günü geçti",""))</f>
        <v/>
      </c>
      <c r="O422" s="18" t="str">
        <f aca="false">IF(AND(A422&lt;&gt;"",OR(F422="Bekliyor",F422="Parça bekleniyor",F422="Hazır")),A422+ROW()/1000000,"")</f>
        <v/>
      </c>
    </row>
    <row r="423" customFormat="false" ht="15" hidden="false" customHeight="false" outlineLevel="0" collapsed="false">
      <c r="A423" s="12"/>
      <c r="B423" s="13"/>
      <c r="C423" s="13"/>
      <c r="D423" s="13"/>
      <c r="E423" s="13"/>
      <c r="F423" s="14"/>
      <c r="G423" s="15"/>
      <c r="H423" s="15"/>
      <c r="I423" s="15"/>
      <c r="J423" s="12"/>
      <c r="K423" s="16" t="str">
        <f aca="false">IF(A423="","",G423+H423)</f>
        <v/>
      </c>
      <c r="L423" s="16" t="str">
        <f aca="false">IF(A423="","",IF(F423="İade edildi",0,K423-I423))</f>
        <v/>
      </c>
      <c r="M423" s="17" t="str">
        <f aca="true">IF(A423="","",IF(J423&lt;&gt;"",J423-A423,TODAY()-A423))</f>
        <v/>
      </c>
      <c r="N423" s="18" t="str">
        <f aca="false">IF(A423="","",IF(AND(OR(F423="Bekliyor",F423="Parça bekleniyor",F423="Hazır"),M423&gt;7),"7 günü geçti",""))</f>
        <v/>
      </c>
      <c r="O423" s="18" t="str">
        <f aca="false">IF(AND(A423&lt;&gt;"",OR(F423="Bekliyor",F423="Parça bekleniyor",F423="Hazır")),A423+ROW()/1000000,"")</f>
        <v/>
      </c>
    </row>
    <row r="424" customFormat="false" ht="15" hidden="false" customHeight="false" outlineLevel="0" collapsed="false">
      <c r="A424" s="12"/>
      <c r="B424" s="13"/>
      <c r="C424" s="13"/>
      <c r="D424" s="13"/>
      <c r="E424" s="13"/>
      <c r="F424" s="14"/>
      <c r="G424" s="15"/>
      <c r="H424" s="15"/>
      <c r="I424" s="15"/>
      <c r="J424" s="12"/>
      <c r="K424" s="16" t="str">
        <f aca="false">IF(A424="","",G424+H424)</f>
        <v/>
      </c>
      <c r="L424" s="16" t="str">
        <f aca="false">IF(A424="","",IF(F424="İade edildi",0,K424-I424))</f>
        <v/>
      </c>
      <c r="M424" s="17" t="str">
        <f aca="true">IF(A424="","",IF(J424&lt;&gt;"",J424-A424,TODAY()-A424))</f>
        <v/>
      </c>
      <c r="N424" s="18" t="str">
        <f aca="false">IF(A424="","",IF(AND(OR(F424="Bekliyor",F424="Parça bekleniyor",F424="Hazır"),M424&gt;7),"7 günü geçti",""))</f>
        <v/>
      </c>
      <c r="O424" s="18" t="str">
        <f aca="false">IF(AND(A424&lt;&gt;"",OR(F424="Bekliyor",F424="Parça bekleniyor",F424="Hazır")),A424+ROW()/1000000,"")</f>
        <v/>
      </c>
    </row>
    <row r="425" customFormat="false" ht="15" hidden="false" customHeight="false" outlineLevel="0" collapsed="false">
      <c r="A425" s="12"/>
      <c r="B425" s="13"/>
      <c r="C425" s="13"/>
      <c r="D425" s="13"/>
      <c r="E425" s="13"/>
      <c r="F425" s="14"/>
      <c r="G425" s="15"/>
      <c r="H425" s="15"/>
      <c r="I425" s="15"/>
      <c r="J425" s="12"/>
      <c r="K425" s="16" t="str">
        <f aca="false">IF(A425="","",G425+H425)</f>
        <v/>
      </c>
      <c r="L425" s="16" t="str">
        <f aca="false">IF(A425="","",IF(F425="İade edildi",0,K425-I425))</f>
        <v/>
      </c>
      <c r="M425" s="17" t="str">
        <f aca="true">IF(A425="","",IF(J425&lt;&gt;"",J425-A425,TODAY()-A425))</f>
        <v/>
      </c>
      <c r="N425" s="18" t="str">
        <f aca="false">IF(A425="","",IF(AND(OR(F425="Bekliyor",F425="Parça bekleniyor",F425="Hazır"),M425&gt;7),"7 günü geçti",""))</f>
        <v/>
      </c>
      <c r="O425" s="18" t="str">
        <f aca="false">IF(AND(A425&lt;&gt;"",OR(F425="Bekliyor",F425="Parça bekleniyor",F425="Hazır")),A425+ROW()/1000000,"")</f>
        <v/>
      </c>
    </row>
    <row r="426" customFormat="false" ht="15" hidden="false" customHeight="false" outlineLevel="0" collapsed="false">
      <c r="A426" s="12"/>
      <c r="B426" s="13"/>
      <c r="C426" s="13"/>
      <c r="D426" s="13"/>
      <c r="E426" s="13"/>
      <c r="F426" s="14"/>
      <c r="G426" s="15"/>
      <c r="H426" s="15"/>
      <c r="I426" s="15"/>
      <c r="J426" s="12"/>
      <c r="K426" s="16" t="str">
        <f aca="false">IF(A426="","",G426+H426)</f>
        <v/>
      </c>
      <c r="L426" s="16" t="str">
        <f aca="false">IF(A426="","",IF(F426="İade edildi",0,K426-I426))</f>
        <v/>
      </c>
      <c r="M426" s="17" t="str">
        <f aca="true">IF(A426="","",IF(J426&lt;&gt;"",J426-A426,TODAY()-A426))</f>
        <v/>
      </c>
      <c r="N426" s="18" t="str">
        <f aca="false">IF(A426="","",IF(AND(OR(F426="Bekliyor",F426="Parça bekleniyor",F426="Hazır"),M426&gt;7),"7 günü geçti",""))</f>
        <v/>
      </c>
      <c r="O426" s="18" t="str">
        <f aca="false">IF(AND(A426&lt;&gt;"",OR(F426="Bekliyor",F426="Parça bekleniyor",F426="Hazır")),A426+ROW()/1000000,"")</f>
        <v/>
      </c>
    </row>
    <row r="427" customFormat="false" ht="15" hidden="false" customHeight="false" outlineLevel="0" collapsed="false">
      <c r="A427" s="12"/>
      <c r="B427" s="13"/>
      <c r="C427" s="13"/>
      <c r="D427" s="13"/>
      <c r="E427" s="13"/>
      <c r="F427" s="14"/>
      <c r="G427" s="15"/>
      <c r="H427" s="15"/>
      <c r="I427" s="15"/>
      <c r="J427" s="12"/>
      <c r="K427" s="16" t="str">
        <f aca="false">IF(A427="","",G427+H427)</f>
        <v/>
      </c>
      <c r="L427" s="16" t="str">
        <f aca="false">IF(A427="","",IF(F427="İade edildi",0,K427-I427))</f>
        <v/>
      </c>
      <c r="M427" s="17" t="str">
        <f aca="true">IF(A427="","",IF(J427&lt;&gt;"",J427-A427,TODAY()-A427))</f>
        <v/>
      </c>
      <c r="N427" s="18" t="str">
        <f aca="false">IF(A427="","",IF(AND(OR(F427="Bekliyor",F427="Parça bekleniyor",F427="Hazır"),M427&gt;7),"7 günü geçti",""))</f>
        <v/>
      </c>
      <c r="O427" s="18" t="str">
        <f aca="false">IF(AND(A427&lt;&gt;"",OR(F427="Bekliyor",F427="Parça bekleniyor",F427="Hazır")),A427+ROW()/1000000,"")</f>
        <v/>
      </c>
    </row>
    <row r="428" customFormat="false" ht="15" hidden="false" customHeight="false" outlineLevel="0" collapsed="false">
      <c r="A428" s="12"/>
      <c r="B428" s="13"/>
      <c r="C428" s="13"/>
      <c r="D428" s="13"/>
      <c r="E428" s="13"/>
      <c r="F428" s="14"/>
      <c r="G428" s="15"/>
      <c r="H428" s="15"/>
      <c r="I428" s="15"/>
      <c r="J428" s="12"/>
      <c r="K428" s="16" t="str">
        <f aca="false">IF(A428="","",G428+H428)</f>
        <v/>
      </c>
      <c r="L428" s="16" t="str">
        <f aca="false">IF(A428="","",IF(F428="İade edildi",0,K428-I428))</f>
        <v/>
      </c>
      <c r="M428" s="17" t="str">
        <f aca="true">IF(A428="","",IF(J428&lt;&gt;"",J428-A428,TODAY()-A428))</f>
        <v/>
      </c>
      <c r="N428" s="18" t="str">
        <f aca="false">IF(A428="","",IF(AND(OR(F428="Bekliyor",F428="Parça bekleniyor",F428="Hazır"),M428&gt;7),"7 günü geçti",""))</f>
        <v/>
      </c>
      <c r="O428" s="18" t="str">
        <f aca="false">IF(AND(A428&lt;&gt;"",OR(F428="Bekliyor",F428="Parça bekleniyor",F428="Hazır")),A428+ROW()/1000000,"")</f>
        <v/>
      </c>
    </row>
    <row r="429" customFormat="false" ht="15" hidden="false" customHeight="false" outlineLevel="0" collapsed="false">
      <c r="A429" s="12"/>
      <c r="B429" s="13"/>
      <c r="C429" s="13"/>
      <c r="D429" s="13"/>
      <c r="E429" s="13"/>
      <c r="F429" s="14"/>
      <c r="G429" s="15"/>
      <c r="H429" s="15"/>
      <c r="I429" s="15"/>
      <c r="J429" s="12"/>
      <c r="K429" s="16" t="str">
        <f aca="false">IF(A429="","",G429+H429)</f>
        <v/>
      </c>
      <c r="L429" s="16" t="str">
        <f aca="false">IF(A429="","",IF(F429="İade edildi",0,K429-I429))</f>
        <v/>
      </c>
      <c r="M429" s="17" t="str">
        <f aca="true">IF(A429="","",IF(J429&lt;&gt;"",J429-A429,TODAY()-A429))</f>
        <v/>
      </c>
      <c r="N429" s="18" t="str">
        <f aca="false">IF(A429="","",IF(AND(OR(F429="Bekliyor",F429="Parça bekleniyor",F429="Hazır"),M429&gt;7),"7 günü geçti",""))</f>
        <v/>
      </c>
      <c r="O429" s="18" t="str">
        <f aca="false">IF(AND(A429&lt;&gt;"",OR(F429="Bekliyor",F429="Parça bekleniyor",F429="Hazır")),A429+ROW()/1000000,"")</f>
        <v/>
      </c>
    </row>
    <row r="430" customFormat="false" ht="15" hidden="false" customHeight="false" outlineLevel="0" collapsed="false">
      <c r="A430" s="12"/>
      <c r="B430" s="13"/>
      <c r="C430" s="13"/>
      <c r="D430" s="13"/>
      <c r="E430" s="13"/>
      <c r="F430" s="14"/>
      <c r="G430" s="15"/>
      <c r="H430" s="15"/>
      <c r="I430" s="15"/>
      <c r="J430" s="12"/>
      <c r="K430" s="16" t="str">
        <f aca="false">IF(A430="","",G430+H430)</f>
        <v/>
      </c>
      <c r="L430" s="16" t="str">
        <f aca="false">IF(A430="","",IF(F430="İade edildi",0,K430-I430))</f>
        <v/>
      </c>
      <c r="M430" s="17" t="str">
        <f aca="true">IF(A430="","",IF(J430&lt;&gt;"",J430-A430,TODAY()-A430))</f>
        <v/>
      </c>
      <c r="N430" s="18" t="str">
        <f aca="false">IF(A430="","",IF(AND(OR(F430="Bekliyor",F430="Parça bekleniyor",F430="Hazır"),M430&gt;7),"7 günü geçti",""))</f>
        <v/>
      </c>
      <c r="O430" s="18" t="str">
        <f aca="false">IF(AND(A430&lt;&gt;"",OR(F430="Bekliyor",F430="Parça bekleniyor",F430="Hazır")),A430+ROW()/1000000,"")</f>
        <v/>
      </c>
    </row>
    <row r="431" customFormat="false" ht="15" hidden="false" customHeight="false" outlineLevel="0" collapsed="false">
      <c r="A431" s="12"/>
      <c r="B431" s="13"/>
      <c r="C431" s="13"/>
      <c r="D431" s="13"/>
      <c r="E431" s="13"/>
      <c r="F431" s="14"/>
      <c r="G431" s="15"/>
      <c r="H431" s="15"/>
      <c r="I431" s="15"/>
      <c r="J431" s="12"/>
      <c r="K431" s="16" t="str">
        <f aca="false">IF(A431="","",G431+H431)</f>
        <v/>
      </c>
      <c r="L431" s="16" t="str">
        <f aca="false">IF(A431="","",IF(F431="İade edildi",0,K431-I431))</f>
        <v/>
      </c>
      <c r="M431" s="17" t="str">
        <f aca="true">IF(A431="","",IF(J431&lt;&gt;"",J431-A431,TODAY()-A431))</f>
        <v/>
      </c>
      <c r="N431" s="18" t="str">
        <f aca="false">IF(A431="","",IF(AND(OR(F431="Bekliyor",F431="Parça bekleniyor",F431="Hazır"),M431&gt;7),"7 günü geçti",""))</f>
        <v/>
      </c>
      <c r="O431" s="18" t="str">
        <f aca="false">IF(AND(A431&lt;&gt;"",OR(F431="Bekliyor",F431="Parça bekleniyor",F431="Hazır")),A431+ROW()/1000000,"")</f>
        <v/>
      </c>
    </row>
    <row r="432" customFormat="false" ht="15" hidden="false" customHeight="false" outlineLevel="0" collapsed="false">
      <c r="A432" s="12"/>
      <c r="B432" s="13"/>
      <c r="C432" s="13"/>
      <c r="D432" s="13"/>
      <c r="E432" s="13"/>
      <c r="F432" s="14"/>
      <c r="G432" s="15"/>
      <c r="H432" s="15"/>
      <c r="I432" s="15"/>
      <c r="J432" s="12"/>
      <c r="K432" s="16" t="str">
        <f aca="false">IF(A432="","",G432+H432)</f>
        <v/>
      </c>
      <c r="L432" s="16" t="str">
        <f aca="false">IF(A432="","",IF(F432="İade edildi",0,K432-I432))</f>
        <v/>
      </c>
      <c r="M432" s="17" t="str">
        <f aca="true">IF(A432="","",IF(J432&lt;&gt;"",J432-A432,TODAY()-A432))</f>
        <v/>
      </c>
      <c r="N432" s="18" t="str">
        <f aca="false">IF(A432="","",IF(AND(OR(F432="Bekliyor",F432="Parça bekleniyor",F432="Hazır"),M432&gt;7),"7 günü geçti",""))</f>
        <v/>
      </c>
      <c r="O432" s="18" t="str">
        <f aca="false">IF(AND(A432&lt;&gt;"",OR(F432="Bekliyor",F432="Parça bekleniyor",F432="Hazır")),A432+ROW()/1000000,"")</f>
        <v/>
      </c>
    </row>
    <row r="433" customFormat="false" ht="15" hidden="false" customHeight="false" outlineLevel="0" collapsed="false">
      <c r="A433" s="12"/>
      <c r="B433" s="13"/>
      <c r="C433" s="13"/>
      <c r="D433" s="13"/>
      <c r="E433" s="13"/>
      <c r="F433" s="14"/>
      <c r="G433" s="15"/>
      <c r="H433" s="15"/>
      <c r="I433" s="15"/>
      <c r="J433" s="12"/>
      <c r="K433" s="16" t="str">
        <f aca="false">IF(A433="","",G433+H433)</f>
        <v/>
      </c>
      <c r="L433" s="16" t="str">
        <f aca="false">IF(A433="","",IF(F433="İade edildi",0,K433-I433))</f>
        <v/>
      </c>
      <c r="M433" s="17" t="str">
        <f aca="true">IF(A433="","",IF(J433&lt;&gt;"",J433-A433,TODAY()-A433))</f>
        <v/>
      </c>
      <c r="N433" s="18" t="str">
        <f aca="false">IF(A433="","",IF(AND(OR(F433="Bekliyor",F433="Parça bekleniyor",F433="Hazır"),M433&gt;7),"7 günü geçti",""))</f>
        <v/>
      </c>
      <c r="O433" s="18" t="str">
        <f aca="false">IF(AND(A433&lt;&gt;"",OR(F433="Bekliyor",F433="Parça bekleniyor",F433="Hazır")),A433+ROW()/1000000,"")</f>
        <v/>
      </c>
    </row>
    <row r="434" customFormat="false" ht="15" hidden="false" customHeight="false" outlineLevel="0" collapsed="false">
      <c r="A434" s="12"/>
      <c r="B434" s="13"/>
      <c r="C434" s="13"/>
      <c r="D434" s="13"/>
      <c r="E434" s="13"/>
      <c r="F434" s="14"/>
      <c r="G434" s="15"/>
      <c r="H434" s="15"/>
      <c r="I434" s="15"/>
      <c r="J434" s="12"/>
      <c r="K434" s="16" t="str">
        <f aca="false">IF(A434="","",G434+H434)</f>
        <v/>
      </c>
      <c r="L434" s="16" t="str">
        <f aca="false">IF(A434="","",IF(F434="İade edildi",0,K434-I434))</f>
        <v/>
      </c>
      <c r="M434" s="17" t="str">
        <f aca="true">IF(A434="","",IF(J434&lt;&gt;"",J434-A434,TODAY()-A434))</f>
        <v/>
      </c>
      <c r="N434" s="18" t="str">
        <f aca="false">IF(A434="","",IF(AND(OR(F434="Bekliyor",F434="Parça bekleniyor",F434="Hazır"),M434&gt;7),"7 günü geçti",""))</f>
        <v/>
      </c>
      <c r="O434" s="18" t="str">
        <f aca="false">IF(AND(A434&lt;&gt;"",OR(F434="Bekliyor",F434="Parça bekleniyor",F434="Hazır")),A434+ROW()/1000000,"")</f>
        <v/>
      </c>
    </row>
    <row r="435" customFormat="false" ht="15" hidden="false" customHeight="false" outlineLevel="0" collapsed="false">
      <c r="A435" s="12"/>
      <c r="B435" s="13"/>
      <c r="C435" s="13"/>
      <c r="D435" s="13"/>
      <c r="E435" s="13"/>
      <c r="F435" s="14"/>
      <c r="G435" s="15"/>
      <c r="H435" s="15"/>
      <c r="I435" s="15"/>
      <c r="J435" s="12"/>
      <c r="K435" s="16" t="str">
        <f aca="false">IF(A435="","",G435+H435)</f>
        <v/>
      </c>
      <c r="L435" s="16" t="str">
        <f aca="false">IF(A435="","",IF(F435="İade edildi",0,K435-I435))</f>
        <v/>
      </c>
      <c r="M435" s="17" t="str">
        <f aca="true">IF(A435="","",IF(J435&lt;&gt;"",J435-A435,TODAY()-A435))</f>
        <v/>
      </c>
      <c r="N435" s="18" t="str">
        <f aca="false">IF(A435="","",IF(AND(OR(F435="Bekliyor",F435="Parça bekleniyor",F435="Hazır"),M435&gt;7),"7 günü geçti",""))</f>
        <v/>
      </c>
      <c r="O435" s="18" t="str">
        <f aca="false">IF(AND(A435&lt;&gt;"",OR(F435="Bekliyor",F435="Parça bekleniyor",F435="Hazır")),A435+ROW()/1000000,"")</f>
        <v/>
      </c>
    </row>
    <row r="436" customFormat="false" ht="15" hidden="false" customHeight="false" outlineLevel="0" collapsed="false">
      <c r="A436" s="12"/>
      <c r="B436" s="13"/>
      <c r="C436" s="13"/>
      <c r="D436" s="13"/>
      <c r="E436" s="13"/>
      <c r="F436" s="14"/>
      <c r="G436" s="15"/>
      <c r="H436" s="15"/>
      <c r="I436" s="15"/>
      <c r="J436" s="12"/>
      <c r="K436" s="16" t="str">
        <f aca="false">IF(A436="","",G436+H436)</f>
        <v/>
      </c>
      <c r="L436" s="16" t="str">
        <f aca="false">IF(A436="","",IF(F436="İade edildi",0,K436-I436))</f>
        <v/>
      </c>
      <c r="M436" s="17" t="str">
        <f aca="true">IF(A436="","",IF(J436&lt;&gt;"",J436-A436,TODAY()-A436))</f>
        <v/>
      </c>
      <c r="N436" s="18" t="str">
        <f aca="false">IF(A436="","",IF(AND(OR(F436="Bekliyor",F436="Parça bekleniyor",F436="Hazır"),M436&gt;7),"7 günü geçti",""))</f>
        <v/>
      </c>
      <c r="O436" s="18" t="str">
        <f aca="false">IF(AND(A436&lt;&gt;"",OR(F436="Bekliyor",F436="Parça bekleniyor",F436="Hazır")),A436+ROW()/1000000,"")</f>
        <v/>
      </c>
    </row>
    <row r="437" customFormat="false" ht="15" hidden="false" customHeight="false" outlineLevel="0" collapsed="false">
      <c r="A437" s="12"/>
      <c r="B437" s="13"/>
      <c r="C437" s="13"/>
      <c r="D437" s="13"/>
      <c r="E437" s="13"/>
      <c r="F437" s="14"/>
      <c r="G437" s="15"/>
      <c r="H437" s="15"/>
      <c r="I437" s="15"/>
      <c r="J437" s="12"/>
      <c r="K437" s="16" t="str">
        <f aca="false">IF(A437="","",G437+H437)</f>
        <v/>
      </c>
      <c r="L437" s="16" t="str">
        <f aca="false">IF(A437="","",IF(F437="İade edildi",0,K437-I437))</f>
        <v/>
      </c>
      <c r="M437" s="17" t="str">
        <f aca="true">IF(A437="","",IF(J437&lt;&gt;"",J437-A437,TODAY()-A437))</f>
        <v/>
      </c>
      <c r="N437" s="18" t="str">
        <f aca="false">IF(A437="","",IF(AND(OR(F437="Bekliyor",F437="Parça bekleniyor",F437="Hazır"),M437&gt;7),"7 günü geçti",""))</f>
        <v/>
      </c>
      <c r="O437" s="18" t="str">
        <f aca="false">IF(AND(A437&lt;&gt;"",OR(F437="Bekliyor",F437="Parça bekleniyor",F437="Hazır")),A437+ROW()/1000000,"")</f>
        <v/>
      </c>
    </row>
    <row r="438" customFormat="false" ht="15" hidden="false" customHeight="false" outlineLevel="0" collapsed="false">
      <c r="A438" s="12"/>
      <c r="B438" s="13"/>
      <c r="C438" s="13"/>
      <c r="D438" s="13"/>
      <c r="E438" s="13"/>
      <c r="F438" s="14"/>
      <c r="G438" s="15"/>
      <c r="H438" s="15"/>
      <c r="I438" s="15"/>
      <c r="J438" s="12"/>
      <c r="K438" s="16" t="str">
        <f aca="false">IF(A438="","",G438+H438)</f>
        <v/>
      </c>
      <c r="L438" s="16" t="str">
        <f aca="false">IF(A438="","",IF(F438="İade edildi",0,K438-I438))</f>
        <v/>
      </c>
      <c r="M438" s="17" t="str">
        <f aca="true">IF(A438="","",IF(J438&lt;&gt;"",J438-A438,TODAY()-A438))</f>
        <v/>
      </c>
      <c r="N438" s="18" t="str">
        <f aca="false">IF(A438="","",IF(AND(OR(F438="Bekliyor",F438="Parça bekleniyor",F438="Hazır"),M438&gt;7),"7 günü geçti",""))</f>
        <v/>
      </c>
      <c r="O438" s="18" t="str">
        <f aca="false">IF(AND(A438&lt;&gt;"",OR(F438="Bekliyor",F438="Parça bekleniyor",F438="Hazır")),A438+ROW()/1000000,"")</f>
        <v/>
      </c>
    </row>
    <row r="439" customFormat="false" ht="15" hidden="false" customHeight="false" outlineLevel="0" collapsed="false">
      <c r="A439" s="12"/>
      <c r="B439" s="13"/>
      <c r="C439" s="13"/>
      <c r="D439" s="13"/>
      <c r="E439" s="13"/>
      <c r="F439" s="14"/>
      <c r="G439" s="15"/>
      <c r="H439" s="15"/>
      <c r="I439" s="15"/>
      <c r="J439" s="12"/>
      <c r="K439" s="16" t="str">
        <f aca="false">IF(A439="","",G439+H439)</f>
        <v/>
      </c>
      <c r="L439" s="16" t="str">
        <f aca="false">IF(A439="","",IF(F439="İade edildi",0,K439-I439))</f>
        <v/>
      </c>
      <c r="M439" s="17" t="str">
        <f aca="true">IF(A439="","",IF(J439&lt;&gt;"",J439-A439,TODAY()-A439))</f>
        <v/>
      </c>
      <c r="N439" s="18" t="str">
        <f aca="false">IF(A439="","",IF(AND(OR(F439="Bekliyor",F439="Parça bekleniyor",F439="Hazır"),M439&gt;7),"7 günü geçti",""))</f>
        <v/>
      </c>
      <c r="O439" s="18" t="str">
        <f aca="false">IF(AND(A439&lt;&gt;"",OR(F439="Bekliyor",F439="Parça bekleniyor",F439="Hazır")),A439+ROW()/1000000,"")</f>
        <v/>
      </c>
    </row>
    <row r="440" customFormat="false" ht="15" hidden="false" customHeight="false" outlineLevel="0" collapsed="false">
      <c r="A440" s="12"/>
      <c r="B440" s="13"/>
      <c r="C440" s="13"/>
      <c r="D440" s="13"/>
      <c r="E440" s="13"/>
      <c r="F440" s="14"/>
      <c r="G440" s="15"/>
      <c r="H440" s="15"/>
      <c r="I440" s="15"/>
      <c r="J440" s="12"/>
      <c r="K440" s="16" t="str">
        <f aca="false">IF(A440="","",G440+H440)</f>
        <v/>
      </c>
      <c r="L440" s="16" t="str">
        <f aca="false">IF(A440="","",IF(F440="İade edildi",0,K440-I440))</f>
        <v/>
      </c>
      <c r="M440" s="17" t="str">
        <f aca="true">IF(A440="","",IF(J440&lt;&gt;"",J440-A440,TODAY()-A440))</f>
        <v/>
      </c>
      <c r="N440" s="18" t="str">
        <f aca="false">IF(A440="","",IF(AND(OR(F440="Bekliyor",F440="Parça bekleniyor",F440="Hazır"),M440&gt;7),"7 günü geçti",""))</f>
        <v/>
      </c>
      <c r="O440" s="18" t="str">
        <f aca="false">IF(AND(A440&lt;&gt;"",OR(F440="Bekliyor",F440="Parça bekleniyor",F440="Hazır")),A440+ROW()/1000000,"")</f>
        <v/>
      </c>
    </row>
    <row r="441" customFormat="false" ht="15" hidden="false" customHeight="false" outlineLevel="0" collapsed="false">
      <c r="A441" s="12"/>
      <c r="B441" s="13"/>
      <c r="C441" s="13"/>
      <c r="D441" s="13"/>
      <c r="E441" s="13"/>
      <c r="F441" s="14"/>
      <c r="G441" s="15"/>
      <c r="H441" s="15"/>
      <c r="I441" s="15"/>
      <c r="J441" s="12"/>
      <c r="K441" s="16" t="str">
        <f aca="false">IF(A441="","",G441+H441)</f>
        <v/>
      </c>
      <c r="L441" s="16" t="str">
        <f aca="false">IF(A441="","",IF(F441="İade edildi",0,K441-I441))</f>
        <v/>
      </c>
      <c r="M441" s="17" t="str">
        <f aca="true">IF(A441="","",IF(J441&lt;&gt;"",J441-A441,TODAY()-A441))</f>
        <v/>
      </c>
      <c r="N441" s="18" t="str">
        <f aca="false">IF(A441="","",IF(AND(OR(F441="Bekliyor",F441="Parça bekleniyor",F441="Hazır"),M441&gt;7),"7 günü geçti",""))</f>
        <v/>
      </c>
      <c r="O441" s="18" t="str">
        <f aca="false">IF(AND(A441&lt;&gt;"",OR(F441="Bekliyor",F441="Parça bekleniyor",F441="Hazır")),A441+ROW()/1000000,"")</f>
        <v/>
      </c>
    </row>
    <row r="442" customFormat="false" ht="15" hidden="false" customHeight="false" outlineLevel="0" collapsed="false">
      <c r="A442" s="12"/>
      <c r="B442" s="13"/>
      <c r="C442" s="13"/>
      <c r="D442" s="13"/>
      <c r="E442" s="13"/>
      <c r="F442" s="14"/>
      <c r="G442" s="15"/>
      <c r="H442" s="15"/>
      <c r="I442" s="15"/>
      <c r="J442" s="12"/>
      <c r="K442" s="16" t="str">
        <f aca="false">IF(A442="","",G442+H442)</f>
        <v/>
      </c>
      <c r="L442" s="16" t="str">
        <f aca="false">IF(A442="","",IF(F442="İade edildi",0,K442-I442))</f>
        <v/>
      </c>
      <c r="M442" s="17" t="str">
        <f aca="true">IF(A442="","",IF(J442&lt;&gt;"",J442-A442,TODAY()-A442))</f>
        <v/>
      </c>
      <c r="N442" s="18" t="str">
        <f aca="false">IF(A442="","",IF(AND(OR(F442="Bekliyor",F442="Parça bekleniyor",F442="Hazır"),M442&gt;7),"7 günü geçti",""))</f>
        <v/>
      </c>
      <c r="O442" s="18" t="str">
        <f aca="false">IF(AND(A442&lt;&gt;"",OR(F442="Bekliyor",F442="Parça bekleniyor",F442="Hazır")),A442+ROW()/1000000,"")</f>
        <v/>
      </c>
    </row>
    <row r="443" customFormat="false" ht="15" hidden="false" customHeight="false" outlineLevel="0" collapsed="false">
      <c r="A443" s="12"/>
      <c r="B443" s="13"/>
      <c r="C443" s="13"/>
      <c r="D443" s="13"/>
      <c r="E443" s="13"/>
      <c r="F443" s="14"/>
      <c r="G443" s="15"/>
      <c r="H443" s="15"/>
      <c r="I443" s="15"/>
      <c r="J443" s="12"/>
      <c r="K443" s="16" t="str">
        <f aca="false">IF(A443="","",G443+H443)</f>
        <v/>
      </c>
      <c r="L443" s="16" t="str">
        <f aca="false">IF(A443="","",IF(F443="İade edildi",0,K443-I443))</f>
        <v/>
      </c>
      <c r="M443" s="17" t="str">
        <f aca="true">IF(A443="","",IF(J443&lt;&gt;"",J443-A443,TODAY()-A443))</f>
        <v/>
      </c>
      <c r="N443" s="18" t="str">
        <f aca="false">IF(A443="","",IF(AND(OR(F443="Bekliyor",F443="Parça bekleniyor",F443="Hazır"),M443&gt;7),"7 günü geçti",""))</f>
        <v/>
      </c>
      <c r="O443" s="18" t="str">
        <f aca="false">IF(AND(A443&lt;&gt;"",OR(F443="Bekliyor",F443="Parça bekleniyor",F443="Hazır")),A443+ROW()/1000000,"")</f>
        <v/>
      </c>
    </row>
    <row r="444" customFormat="false" ht="15" hidden="false" customHeight="false" outlineLevel="0" collapsed="false">
      <c r="A444" s="12"/>
      <c r="B444" s="13"/>
      <c r="C444" s="13"/>
      <c r="D444" s="13"/>
      <c r="E444" s="13"/>
      <c r="F444" s="14"/>
      <c r="G444" s="15"/>
      <c r="H444" s="15"/>
      <c r="I444" s="15"/>
      <c r="J444" s="12"/>
      <c r="K444" s="16" t="str">
        <f aca="false">IF(A444="","",G444+H444)</f>
        <v/>
      </c>
      <c r="L444" s="16" t="str">
        <f aca="false">IF(A444="","",IF(F444="İade edildi",0,K444-I444))</f>
        <v/>
      </c>
      <c r="M444" s="17" t="str">
        <f aca="true">IF(A444="","",IF(J444&lt;&gt;"",J444-A444,TODAY()-A444))</f>
        <v/>
      </c>
      <c r="N444" s="18" t="str">
        <f aca="false">IF(A444="","",IF(AND(OR(F444="Bekliyor",F444="Parça bekleniyor",F444="Hazır"),M444&gt;7),"7 günü geçti",""))</f>
        <v/>
      </c>
      <c r="O444" s="18" t="str">
        <f aca="false">IF(AND(A444&lt;&gt;"",OR(F444="Bekliyor",F444="Parça bekleniyor",F444="Hazır")),A444+ROW()/1000000,"")</f>
        <v/>
      </c>
    </row>
    <row r="445" customFormat="false" ht="15" hidden="false" customHeight="false" outlineLevel="0" collapsed="false">
      <c r="A445" s="12"/>
      <c r="B445" s="13"/>
      <c r="C445" s="13"/>
      <c r="D445" s="13"/>
      <c r="E445" s="13"/>
      <c r="F445" s="14"/>
      <c r="G445" s="15"/>
      <c r="H445" s="15"/>
      <c r="I445" s="15"/>
      <c r="J445" s="12"/>
      <c r="K445" s="16" t="str">
        <f aca="false">IF(A445="","",G445+H445)</f>
        <v/>
      </c>
      <c r="L445" s="16" t="str">
        <f aca="false">IF(A445="","",IF(F445="İade edildi",0,K445-I445))</f>
        <v/>
      </c>
      <c r="M445" s="17" t="str">
        <f aca="true">IF(A445="","",IF(J445&lt;&gt;"",J445-A445,TODAY()-A445))</f>
        <v/>
      </c>
      <c r="N445" s="18" t="str">
        <f aca="false">IF(A445="","",IF(AND(OR(F445="Bekliyor",F445="Parça bekleniyor",F445="Hazır"),M445&gt;7),"7 günü geçti",""))</f>
        <v/>
      </c>
      <c r="O445" s="18" t="str">
        <f aca="false">IF(AND(A445&lt;&gt;"",OR(F445="Bekliyor",F445="Parça bekleniyor",F445="Hazır")),A445+ROW()/1000000,"")</f>
        <v/>
      </c>
    </row>
    <row r="446" customFormat="false" ht="15" hidden="false" customHeight="false" outlineLevel="0" collapsed="false">
      <c r="A446" s="12"/>
      <c r="B446" s="13"/>
      <c r="C446" s="13"/>
      <c r="D446" s="13"/>
      <c r="E446" s="13"/>
      <c r="F446" s="14"/>
      <c r="G446" s="15"/>
      <c r="H446" s="15"/>
      <c r="I446" s="15"/>
      <c r="J446" s="12"/>
      <c r="K446" s="16" t="str">
        <f aca="false">IF(A446="","",G446+H446)</f>
        <v/>
      </c>
      <c r="L446" s="16" t="str">
        <f aca="false">IF(A446="","",IF(F446="İade edildi",0,K446-I446))</f>
        <v/>
      </c>
      <c r="M446" s="17" t="str">
        <f aca="true">IF(A446="","",IF(J446&lt;&gt;"",J446-A446,TODAY()-A446))</f>
        <v/>
      </c>
      <c r="N446" s="18" t="str">
        <f aca="false">IF(A446="","",IF(AND(OR(F446="Bekliyor",F446="Parça bekleniyor",F446="Hazır"),M446&gt;7),"7 günü geçti",""))</f>
        <v/>
      </c>
      <c r="O446" s="18" t="str">
        <f aca="false">IF(AND(A446&lt;&gt;"",OR(F446="Bekliyor",F446="Parça bekleniyor",F446="Hazır")),A446+ROW()/1000000,"")</f>
        <v/>
      </c>
    </row>
    <row r="447" customFormat="false" ht="15" hidden="false" customHeight="false" outlineLevel="0" collapsed="false">
      <c r="A447" s="12"/>
      <c r="B447" s="13"/>
      <c r="C447" s="13"/>
      <c r="D447" s="13"/>
      <c r="E447" s="13"/>
      <c r="F447" s="14"/>
      <c r="G447" s="15"/>
      <c r="H447" s="15"/>
      <c r="I447" s="15"/>
      <c r="J447" s="12"/>
      <c r="K447" s="16" t="str">
        <f aca="false">IF(A447="","",G447+H447)</f>
        <v/>
      </c>
      <c r="L447" s="16" t="str">
        <f aca="false">IF(A447="","",IF(F447="İade edildi",0,K447-I447))</f>
        <v/>
      </c>
      <c r="M447" s="17" t="str">
        <f aca="true">IF(A447="","",IF(J447&lt;&gt;"",J447-A447,TODAY()-A447))</f>
        <v/>
      </c>
      <c r="N447" s="18" t="str">
        <f aca="false">IF(A447="","",IF(AND(OR(F447="Bekliyor",F447="Parça bekleniyor",F447="Hazır"),M447&gt;7),"7 günü geçti",""))</f>
        <v/>
      </c>
      <c r="O447" s="18" t="str">
        <f aca="false">IF(AND(A447&lt;&gt;"",OR(F447="Bekliyor",F447="Parça bekleniyor",F447="Hazır")),A447+ROW()/1000000,"")</f>
        <v/>
      </c>
    </row>
    <row r="448" customFormat="false" ht="15" hidden="false" customHeight="false" outlineLevel="0" collapsed="false">
      <c r="A448" s="12"/>
      <c r="B448" s="13"/>
      <c r="C448" s="13"/>
      <c r="D448" s="13"/>
      <c r="E448" s="13"/>
      <c r="F448" s="14"/>
      <c r="G448" s="15"/>
      <c r="H448" s="15"/>
      <c r="I448" s="15"/>
      <c r="J448" s="12"/>
      <c r="K448" s="16" t="str">
        <f aca="false">IF(A448="","",G448+H448)</f>
        <v/>
      </c>
      <c r="L448" s="16" t="str">
        <f aca="false">IF(A448="","",IF(F448="İade edildi",0,K448-I448))</f>
        <v/>
      </c>
      <c r="M448" s="17" t="str">
        <f aca="true">IF(A448="","",IF(J448&lt;&gt;"",J448-A448,TODAY()-A448))</f>
        <v/>
      </c>
      <c r="N448" s="18" t="str">
        <f aca="false">IF(A448="","",IF(AND(OR(F448="Bekliyor",F448="Parça bekleniyor",F448="Hazır"),M448&gt;7),"7 günü geçti",""))</f>
        <v/>
      </c>
      <c r="O448" s="18" t="str">
        <f aca="false">IF(AND(A448&lt;&gt;"",OR(F448="Bekliyor",F448="Parça bekleniyor",F448="Hazır")),A448+ROW()/1000000,"")</f>
        <v/>
      </c>
    </row>
    <row r="449" customFormat="false" ht="15" hidden="false" customHeight="false" outlineLevel="0" collapsed="false">
      <c r="A449" s="12"/>
      <c r="B449" s="13"/>
      <c r="C449" s="13"/>
      <c r="D449" s="13"/>
      <c r="E449" s="13"/>
      <c r="F449" s="14"/>
      <c r="G449" s="15"/>
      <c r="H449" s="15"/>
      <c r="I449" s="15"/>
      <c r="J449" s="12"/>
      <c r="K449" s="16" t="str">
        <f aca="false">IF(A449="","",G449+H449)</f>
        <v/>
      </c>
      <c r="L449" s="16" t="str">
        <f aca="false">IF(A449="","",IF(F449="İade edildi",0,K449-I449))</f>
        <v/>
      </c>
      <c r="M449" s="17" t="str">
        <f aca="true">IF(A449="","",IF(J449&lt;&gt;"",J449-A449,TODAY()-A449))</f>
        <v/>
      </c>
      <c r="N449" s="18" t="str">
        <f aca="false">IF(A449="","",IF(AND(OR(F449="Bekliyor",F449="Parça bekleniyor",F449="Hazır"),M449&gt;7),"7 günü geçti",""))</f>
        <v/>
      </c>
      <c r="O449" s="18" t="str">
        <f aca="false">IF(AND(A449&lt;&gt;"",OR(F449="Bekliyor",F449="Parça bekleniyor",F449="Hazır")),A449+ROW()/1000000,"")</f>
        <v/>
      </c>
    </row>
    <row r="450" customFormat="false" ht="15" hidden="false" customHeight="false" outlineLevel="0" collapsed="false">
      <c r="A450" s="12"/>
      <c r="B450" s="13"/>
      <c r="C450" s="13"/>
      <c r="D450" s="13"/>
      <c r="E450" s="13"/>
      <c r="F450" s="14"/>
      <c r="G450" s="15"/>
      <c r="H450" s="15"/>
      <c r="I450" s="15"/>
      <c r="J450" s="12"/>
      <c r="K450" s="16" t="str">
        <f aca="false">IF(A450="","",G450+H450)</f>
        <v/>
      </c>
      <c r="L450" s="16" t="str">
        <f aca="false">IF(A450="","",IF(F450="İade edildi",0,K450-I450))</f>
        <v/>
      </c>
      <c r="M450" s="17" t="str">
        <f aca="true">IF(A450="","",IF(J450&lt;&gt;"",J450-A450,TODAY()-A450))</f>
        <v/>
      </c>
      <c r="N450" s="18" t="str">
        <f aca="false">IF(A450="","",IF(AND(OR(F450="Bekliyor",F450="Parça bekleniyor",F450="Hazır"),M450&gt;7),"7 günü geçti",""))</f>
        <v/>
      </c>
      <c r="O450" s="18" t="str">
        <f aca="false">IF(AND(A450&lt;&gt;"",OR(F450="Bekliyor",F450="Parça bekleniyor",F450="Hazır")),A450+ROW()/1000000,"")</f>
        <v/>
      </c>
    </row>
    <row r="451" customFormat="false" ht="15" hidden="false" customHeight="false" outlineLevel="0" collapsed="false">
      <c r="A451" s="12"/>
      <c r="B451" s="13"/>
      <c r="C451" s="13"/>
      <c r="D451" s="13"/>
      <c r="E451" s="13"/>
      <c r="F451" s="14"/>
      <c r="G451" s="15"/>
      <c r="H451" s="15"/>
      <c r="I451" s="15"/>
      <c r="J451" s="12"/>
      <c r="K451" s="16" t="str">
        <f aca="false">IF(A451="","",G451+H451)</f>
        <v/>
      </c>
      <c r="L451" s="16" t="str">
        <f aca="false">IF(A451="","",IF(F451="İade edildi",0,K451-I451))</f>
        <v/>
      </c>
      <c r="M451" s="17" t="str">
        <f aca="true">IF(A451="","",IF(J451&lt;&gt;"",J451-A451,TODAY()-A451))</f>
        <v/>
      </c>
      <c r="N451" s="18" t="str">
        <f aca="false">IF(A451="","",IF(AND(OR(F451="Bekliyor",F451="Parça bekleniyor",F451="Hazır"),M451&gt;7),"7 günü geçti",""))</f>
        <v/>
      </c>
      <c r="O451" s="18" t="str">
        <f aca="false">IF(AND(A451&lt;&gt;"",OR(F451="Bekliyor",F451="Parça bekleniyor",F451="Hazır")),A451+ROW()/1000000,"")</f>
        <v/>
      </c>
    </row>
    <row r="452" customFormat="false" ht="15" hidden="false" customHeight="false" outlineLevel="0" collapsed="false">
      <c r="A452" s="12"/>
      <c r="B452" s="13"/>
      <c r="C452" s="13"/>
      <c r="D452" s="13"/>
      <c r="E452" s="13"/>
      <c r="F452" s="14"/>
      <c r="G452" s="15"/>
      <c r="H452" s="15"/>
      <c r="I452" s="15"/>
      <c r="J452" s="12"/>
      <c r="K452" s="16" t="str">
        <f aca="false">IF(A452="","",G452+H452)</f>
        <v/>
      </c>
      <c r="L452" s="16" t="str">
        <f aca="false">IF(A452="","",IF(F452="İade edildi",0,K452-I452))</f>
        <v/>
      </c>
      <c r="M452" s="17" t="str">
        <f aca="true">IF(A452="","",IF(J452&lt;&gt;"",J452-A452,TODAY()-A452))</f>
        <v/>
      </c>
      <c r="N452" s="18" t="str">
        <f aca="false">IF(A452="","",IF(AND(OR(F452="Bekliyor",F452="Parça bekleniyor",F452="Hazır"),M452&gt;7),"7 günü geçti",""))</f>
        <v/>
      </c>
      <c r="O452" s="18" t="str">
        <f aca="false">IF(AND(A452&lt;&gt;"",OR(F452="Bekliyor",F452="Parça bekleniyor",F452="Hazır")),A452+ROW()/1000000,"")</f>
        <v/>
      </c>
    </row>
    <row r="453" customFormat="false" ht="15" hidden="false" customHeight="false" outlineLevel="0" collapsed="false">
      <c r="A453" s="12"/>
      <c r="B453" s="13"/>
      <c r="C453" s="13"/>
      <c r="D453" s="13"/>
      <c r="E453" s="13"/>
      <c r="F453" s="14"/>
      <c r="G453" s="15"/>
      <c r="H453" s="15"/>
      <c r="I453" s="15"/>
      <c r="J453" s="12"/>
      <c r="K453" s="16" t="str">
        <f aca="false">IF(A453="","",G453+H453)</f>
        <v/>
      </c>
      <c r="L453" s="16" t="str">
        <f aca="false">IF(A453="","",IF(F453="İade edildi",0,K453-I453))</f>
        <v/>
      </c>
      <c r="M453" s="17" t="str">
        <f aca="true">IF(A453="","",IF(J453&lt;&gt;"",J453-A453,TODAY()-A453))</f>
        <v/>
      </c>
      <c r="N453" s="18" t="str">
        <f aca="false">IF(A453="","",IF(AND(OR(F453="Bekliyor",F453="Parça bekleniyor",F453="Hazır"),M453&gt;7),"7 günü geçti",""))</f>
        <v/>
      </c>
      <c r="O453" s="18" t="str">
        <f aca="false">IF(AND(A453&lt;&gt;"",OR(F453="Bekliyor",F453="Parça bekleniyor",F453="Hazır")),A453+ROW()/1000000,"")</f>
        <v/>
      </c>
    </row>
    <row r="454" customFormat="false" ht="15" hidden="false" customHeight="false" outlineLevel="0" collapsed="false">
      <c r="A454" s="12"/>
      <c r="B454" s="13"/>
      <c r="C454" s="13"/>
      <c r="D454" s="13"/>
      <c r="E454" s="13"/>
      <c r="F454" s="14"/>
      <c r="G454" s="15"/>
      <c r="H454" s="15"/>
      <c r="I454" s="15"/>
      <c r="J454" s="12"/>
      <c r="K454" s="16" t="str">
        <f aca="false">IF(A454="","",G454+H454)</f>
        <v/>
      </c>
      <c r="L454" s="16" t="str">
        <f aca="false">IF(A454="","",IF(F454="İade edildi",0,K454-I454))</f>
        <v/>
      </c>
      <c r="M454" s="17" t="str">
        <f aca="true">IF(A454="","",IF(J454&lt;&gt;"",J454-A454,TODAY()-A454))</f>
        <v/>
      </c>
      <c r="N454" s="18" t="str">
        <f aca="false">IF(A454="","",IF(AND(OR(F454="Bekliyor",F454="Parça bekleniyor",F454="Hazır"),M454&gt;7),"7 günü geçti",""))</f>
        <v/>
      </c>
      <c r="O454" s="18" t="str">
        <f aca="false">IF(AND(A454&lt;&gt;"",OR(F454="Bekliyor",F454="Parça bekleniyor",F454="Hazır")),A454+ROW()/1000000,"")</f>
        <v/>
      </c>
    </row>
    <row r="455" customFormat="false" ht="15" hidden="false" customHeight="false" outlineLevel="0" collapsed="false">
      <c r="A455" s="12"/>
      <c r="B455" s="13"/>
      <c r="C455" s="13"/>
      <c r="D455" s="13"/>
      <c r="E455" s="13"/>
      <c r="F455" s="14"/>
      <c r="G455" s="15"/>
      <c r="H455" s="15"/>
      <c r="I455" s="15"/>
      <c r="J455" s="12"/>
      <c r="K455" s="16" t="str">
        <f aca="false">IF(A455="","",G455+H455)</f>
        <v/>
      </c>
      <c r="L455" s="16" t="str">
        <f aca="false">IF(A455="","",IF(F455="İade edildi",0,K455-I455))</f>
        <v/>
      </c>
      <c r="M455" s="17" t="str">
        <f aca="true">IF(A455="","",IF(J455&lt;&gt;"",J455-A455,TODAY()-A455))</f>
        <v/>
      </c>
      <c r="N455" s="18" t="str">
        <f aca="false">IF(A455="","",IF(AND(OR(F455="Bekliyor",F455="Parça bekleniyor",F455="Hazır"),M455&gt;7),"7 günü geçti",""))</f>
        <v/>
      </c>
      <c r="O455" s="18" t="str">
        <f aca="false">IF(AND(A455&lt;&gt;"",OR(F455="Bekliyor",F455="Parça bekleniyor",F455="Hazır")),A455+ROW()/1000000,"")</f>
        <v/>
      </c>
    </row>
    <row r="456" customFormat="false" ht="15" hidden="false" customHeight="false" outlineLevel="0" collapsed="false">
      <c r="A456" s="12"/>
      <c r="B456" s="13"/>
      <c r="C456" s="13"/>
      <c r="D456" s="13"/>
      <c r="E456" s="13"/>
      <c r="F456" s="14"/>
      <c r="G456" s="15"/>
      <c r="H456" s="15"/>
      <c r="I456" s="15"/>
      <c r="J456" s="12"/>
      <c r="K456" s="16" t="str">
        <f aca="false">IF(A456="","",G456+H456)</f>
        <v/>
      </c>
      <c r="L456" s="16" t="str">
        <f aca="false">IF(A456="","",IF(F456="İade edildi",0,K456-I456))</f>
        <v/>
      </c>
      <c r="M456" s="17" t="str">
        <f aca="true">IF(A456="","",IF(J456&lt;&gt;"",J456-A456,TODAY()-A456))</f>
        <v/>
      </c>
      <c r="N456" s="18" t="str">
        <f aca="false">IF(A456="","",IF(AND(OR(F456="Bekliyor",F456="Parça bekleniyor",F456="Hazır"),M456&gt;7),"7 günü geçti",""))</f>
        <v/>
      </c>
      <c r="O456" s="18" t="str">
        <f aca="false">IF(AND(A456&lt;&gt;"",OR(F456="Bekliyor",F456="Parça bekleniyor",F456="Hazır")),A456+ROW()/1000000,"")</f>
        <v/>
      </c>
    </row>
    <row r="457" customFormat="false" ht="15" hidden="false" customHeight="false" outlineLevel="0" collapsed="false">
      <c r="A457" s="12"/>
      <c r="B457" s="13"/>
      <c r="C457" s="13"/>
      <c r="D457" s="13"/>
      <c r="E457" s="13"/>
      <c r="F457" s="14"/>
      <c r="G457" s="15"/>
      <c r="H457" s="15"/>
      <c r="I457" s="15"/>
      <c r="J457" s="12"/>
      <c r="K457" s="16" t="str">
        <f aca="false">IF(A457="","",G457+H457)</f>
        <v/>
      </c>
      <c r="L457" s="16" t="str">
        <f aca="false">IF(A457="","",IF(F457="İade edildi",0,K457-I457))</f>
        <v/>
      </c>
      <c r="M457" s="17" t="str">
        <f aca="true">IF(A457="","",IF(J457&lt;&gt;"",J457-A457,TODAY()-A457))</f>
        <v/>
      </c>
      <c r="N457" s="18" t="str">
        <f aca="false">IF(A457="","",IF(AND(OR(F457="Bekliyor",F457="Parça bekleniyor",F457="Hazır"),M457&gt;7),"7 günü geçti",""))</f>
        <v/>
      </c>
      <c r="O457" s="18" t="str">
        <f aca="false">IF(AND(A457&lt;&gt;"",OR(F457="Bekliyor",F457="Parça bekleniyor",F457="Hazır")),A457+ROW()/1000000,"")</f>
        <v/>
      </c>
    </row>
    <row r="458" customFormat="false" ht="15" hidden="false" customHeight="false" outlineLevel="0" collapsed="false">
      <c r="A458" s="12"/>
      <c r="B458" s="13"/>
      <c r="C458" s="13"/>
      <c r="D458" s="13"/>
      <c r="E458" s="13"/>
      <c r="F458" s="14"/>
      <c r="G458" s="15"/>
      <c r="H458" s="15"/>
      <c r="I458" s="15"/>
      <c r="J458" s="12"/>
      <c r="K458" s="16" t="str">
        <f aca="false">IF(A458="","",G458+H458)</f>
        <v/>
      </c>
      <c r="L458" s="16" t="str">
        <f aca="false">IF(A458="","",IF(F458="İade edildi",0,K458-I458))</f>
        <v/>
      </c>
      <c r="M458" s="17" t="str">
        <f aca="true">IF(A458="","",IF(J458&lt;&gt;"",J458-A458,TODAY()-A458))</f>
        <v/>
      </c>
      <c r="N458" s="18" t="str">
        <f aca="false">IF(A458="","",IF(AND(OR(F458="Bekliyor",F458="Parça bekleniyor",F458="Hazır"),M458&gt;7),"7 günü geçti",""))</f>
        <v/>
      </c>
      <c r="O458" s="18" t="str">
        <f aca="false">IF(AND(A458&lt;&gt;"",OR(F458="Bekliyor",F458="Parça bekleniyor",F458="Hazır")),A458+ROW()/1000000,"")</f>
        <v/>
      </c>
    </row>
    <row r="459" customFormat="false" ht="15" hidden="false" customHeight="false" outlineLevel="0" collapsed="false">
      <c r="A459" s="12"/>
      <c r="B459" s="13"/>
      <c r="C459" s="13"/>
      <c r="D459" s="13"/>
      <c r="E459" s="13"/>
      <c r="F459" s="14"/>
      <c r="G459" s="15"/>
      <c r="H459" s="15"/>
      <c r="I459" s="15"/>
      <c r="J459" s="12"/>
      <c r="K459" s="16" t="str">
        <f aca="false">IF(A459="","",G459+H459)</f>
        <v/>
      </c>
      <c r="L459" s="16" t="str">
        <f aca="false">IF(A459="","",IF(F459="İade edildi",0,K459-I459))</f>
        <v/>
      </c>
      <c r="M459" s="17" t="str">
        <f aca="true">IF(A459="","",IF(J459&lt;&gt;"",J459-A459,TODAY()-A459))</f>
        <v/>
      </c>
      <c r="N459" s="18" t="str">
        <f aca="false">IF(A459="","",IF(AND(OR(F459="Bekliyor",F459="Parça bekleniyor",F459="Hazır"),M459&gt;7),"7 günü geçti",""))</f>
        <v/>
      </c>
      <c r="O459" s="18" t="str">
        <f aca="false">IF(AND(A459&lt;&gt;"",OR(F459="Bekliyor",F459="Parça bekleniyor",F459="Hazır")),A459+ROW()/1000000,"")</f>
        <v/>
      </c>
    </row>
    <row r="460" customFormat="false" ht="15" hidden="false" customHeight="false" outlineLevel="0" collapsed="false">
      <c r="A460" s="12"/>
      <c r="B460" s="13"/>
      <c r="C460" s="13"/>
      <c r="D460" s="13"/>
      <c r="E460" s="13"/>
      <c r="F460" s="14"/>
      <c r="G460" s="15"/>
      <c r="H460" s="15"/>
      <c r="I460" s="15"/>
      <c r="J460" s="12"/>
      <c r="K460" s="16" t="str">
        <f aca="false">IF(A460="","",G460+H460)</f>
        <v/>
      </c>
      <c r="L460" s="16" t="str">
        <f aca="false">IF(A460="","",IF(F460="İade edildi",0,K460-I460))</f>
        <v/>
      </c>
      <c r="M460" s="17" t="str">
        <f aca="true">IF(A460="","",IF(J460&lt;&gt;"",J460-A460,TODAY()-A460))</f>
        <v/>
      </c>
      <c r="N460" s="18" t="str">
        <f aca="false">IF(A460="","",IF(AND(OR(F460="Bekliyor",F460="Parça bekleniyor",F460="Hazır"),M460&gt;7),"7 günü geçti",""))</f>
        <v/>
      </c>
      <c r="O460" s="18" t="str">
        <f aca="false">IF(AND(A460&lt;&gt;"",OR(F460="Bekliyor",F460="Parça bekleniyor",F460="Hazır")),A460+ROW()/1000000,"")</f>
        <v/>
      </c>
    </row>
    <row r="461" customFormat="false" ht="15" hidden="false" customHeight="false" outlineLevel="0" collapsed="false">
      <c r="A461" s="12"/>
      <c r="B461" s="13"/>
      <c r="C461" s="13"/>
      <c r="D461" s="13"/>
      <c r="E461" s="13"/>
      <c r="F461" s="14"/>
      <c r="G461" s="15"/>
      <c r="H461" s="15"/>
      <c r="I461" s="15"/>
      <c r="J461" s="12"/>
      <c r="K461" s="16" t="str">
        <f aca="false">IF(A461="","",G461+H461)</f>
        <v/>
      </c>
      <c r="L461" s="16" t="str">
        <f aca="false">IF(A461="","",IF(F461="İade edildi",0,K461-I461))</f>
        <v/>
      </c>
      <c r="M461" s="17" t="str">
        <f aca="true">IF(A461="","",IF(J461&lt;&gt;"",J461-A461,TODAY()-A461))</f>
        <v/>
      </c>
      <c r="N461" s="18" t="str">
        <f aca="false">IF(A461="","",IF(AND(OR(F461="Bekliyor",F461="Parça bekleniyor",F461="Hazır"),M461&gt;7),"7 günü geçti",""))</f>
        <v/>
      </c>
      <c r="O461" s="18" t="str">
        <f aca="false">IF(AND(A461&lt;&gt;"",OR(F461="Bekliyor",F461="Parça bekleniyor",F461="Hazır")),A461+ROW()/1000000,"")</f>
        <v/>
      </c>
    </row>
    <row r="462" customFormat="false" ht="15" hidden="false" customHeight="false" outlineLevel="0" collapsed="false">
      <c r="A462" s="12"/>
      <c r="B462" s="13"/>
      <c r="C462" s="13"/>
      <c r="D462" s="13"/>
      <c r="E462" s="13"/>
      <c r="F462" s="14"/>
      <c r="G462" s="15"/>
      <c r="H462" s="15"/>
      <c r="I462" s="15"/>
      <c r="J462" s="12"/>
      <c r="K462" s="16" t="str">
        <f aca="false">IF(A462="","",G462+H462)</f>
        <v/>
      </c>
      <c r="L462" s="16" t="str">
        <f aca="false">IF(A462="","",IF(F462="İade edildi",0,K462-I462))</f>
        <v/>
      </c>
      <c r="M462" s="17" t="str">
        <f aca="true">IF(A462="","",IF(J462&lt;&gt;"",J462-A462,TODAY()-A462))</f>
        <v/>
      </c>
      <c r="N462" s="18" t="str">
        <f aca="false">IF(A462="","",IF(AND(OR(F462="Bekliyor",F462="Parça bekleniyor",F462="Hazır"),M462&gt;7),"7 günü geçti",""))</f>
        <v/>
      </c>
      <c r="O462" s="18" t="str">
        <f aca="false">IF(AND(A462&lt;&gt;"",OR(F462="Bekliyor",F462="Parça bekleniyor",F462="Hazır")),A462+ROW()/1000000,"")</f>
        <v/>
      </c>
    </row>
    <row r="463" customFormat="false" ht="15" hidden="false" customHeight="false" outlineLevel="0" collapsed="false">
      <c r="A463" s="12"/>
      <c r="B463" s="13"/>
      <c r="C463" s="13"/>
      <c r="D463" s="13"/>
      <c r="E463" s="13"/>
      <c r="F463" s="14"/>
      <c r="G463" s="15"/>
      <c r="H463" s="15"/>
      <c r="I463" s="15"/>
      <c r="J463" s="12"/>
      <c r="K463" s="16" t="str">
        <f aca="false">IF(A463="","",G463+H463)</f>
        <v/>
      </c>
      <c r="L463" s="16" t="str">
        <f aca="false">IF(A463="","",IF(F463="İade edildi",0,K463-I463))</f>
        <v/>
      </c>
      <c r="M463" s="17" t="str">
        <f aca="true">IF(A463="","",IF(J463&lt;&gt;"",J463-A463,TODAY()-A463))</f>
        <v/>
      </c>
      <c r="N463" s="18" t="str">
        <f aca="false">IF(A463="","",IF(AND(OR(F463="Bekliyor",F463="Parça bekleniyor",F463="Hazır"),M463&gt;7),"7 günü geçti",""))</f>
        <v/>
      </c>
      <c r="O463" s="18" t="str">
        <f aca="false">IF(AND(A463&lt;&gt;"",OR(F463="Bekliyor",F463="Parça bekleniyor",F463="Hazır")),A463+ROW()/1000000,"")</f>
        <v/>
      </c>
    </row>
    <row r="464" customFormat="false" ht="15" hidden="false" customHeight="false" outlineLevel="0" collapsed="false">
      <c r="A464" s="12"/>
      <c r="B464" s="13"/>
      <c r="C464" s="13"/>
      <c r="D464" s="13"/>
      <c r="E464" s="13"/>
      <c r="F464" s="14"/>
      <c r="G464" s="15"/>
      <c r="H464" s="15"/>
      <c r="I464" s="15"/>
      <c r="J464" s="12"/>
      <c r="K464" s="16" t="str">
        <f aca="false">IF(A464="","",G464+H464)</f>
        <v/>
      </c>
      <c r="L464" s="16" t="str">
        <f aca="false">IF(A464="","",IF(F464="İade edildi",0,K464-I464))</f>
        <v/>
      </c>
      <c r="M464" s="17" t="str">
        <f aca="true">IF(A464="","",IF(J464&lt;&gt;"",J464-A464,TODAY()-A464))</f>
        <v/>
      </c>
      <c r="N464" s="18" t="str">
        <f aca="false">IF(A464="","",IF(AND(OR(F464="Bekliyor",F464="Parça bekleniyor",F464="Hazır"),M464&gt;7),"7 günü geçti",""))</f>
        <v/>
      </c>
      <c r="O464" s="18" t="str">
        <f aca="false">IF(AND(A464&lt;&gt;"",OR(F464="Bekliyor",F464="Parça bekleniyor",F464="Hazır")),A464+ROW()/1000000,"")</f>
        <v/>
      </c>
    </row>
    <row r="465" customFormat="false" ht="15" hidden="false" customHeight="false" outlineLevel="0" collapsed="false">
      <c r="A465" s="12"/>
      <c r="B465" s="13"/>
      <c r="C465" s="13"/>
      <c r="D465" s="13"/>
      <c r="E465" s="13"/>
      <c r="F465" s="14"/>
      <c r="G465" s="15"/>
      <c r="H465" s="15"/>
      <c r="I465" s="15"/>
      <c r="J465" s="12"/>
      <c r="K465" s="16" t="str">
        <f aca="false">IF(A465="","",G465+H465)</f>
        <v/>
      </c>
      <c r="L465" s="16" t="str">
        <f aca="false">IF(A465="","",IF(F465="İade edildi",0,K465-I465))</f>
        <v/>
      </c>
      <c r="M465" s="17" t="str">
        <f aca="true">IF(A465="","",IF(J465&lt;&gt;"",J465-A465,TODAY()-A465))</f>
        <v/>
      </c>
      <c r="N465" s="18" t="str">
        <f aca="false">IF(A465="","",IF(AND(OR(F465="Bekliyor",F465="Parça bekleniyor",F465="Hazır"),M465&gt;7),"7 günü geçti",""))</f>
        <v/>
      </c>
      <c r="O465" s="18" t="str">
        <f aca="false">IF(AND(A465&lt;&gt;"",OR(F465="Bekliyor",F465="Parça bekleniyor",F465="Hazır")),A465+ROW()/1000000,"")</f>
        <v/>
      </c>
    </row>
    <row r="466" customFormat="false" ht="15" hidden="false" customHeight="false" outlineLevel="0" collapsed="false">
      <c r="A466" s="12"/>
      <c r="B466" s="13"/>
      <c r="C466" s="13"/>
      <c r="D466" s="13"/>
      <c r="E466" s="13"/>
      <c r="F466" s="14"/>
      <c r="G466" s="15"/>
      <c r="H466" s="15"/>
      <c r="I466" s="15"/>
      <c r="J466" s="12"/>
      <c r="K466" s="16" t="str">
        <f aca="false">IF(A466="","",G466+H466)</f>
        <v/>
      </c>
      <c r="L466" s="16" t="str">
        <f aca="false">IF(A466="","",IF(F466="İade edildi",0,K466-I466))</f>
        <v/>
      </c>
      <c r="M466" s="17" t="str">
        <f aca="true">IF(A466="","",IF(J466&lt;&gt;"",J466-A466,TODAY()-A466))</f>
        <v/>
      </c>
      <c r="N466" s="18" t="str">
        <f aca="false">IF(A466="","",IF(AND(OR(F466="Bekliyor",F466="Parça bekleniyor",F466="Hazır"),M466&gt;7),"7 günü geçti",""))</f>
        <v/>
      </c>
      <c r="O466" s="18" t="str">
        <f aca="false">IF(AND(A466&lt;&gt;"",OR(F466="Bekliyor",F466="Parça bekleniyor",F466="Hazır")),A466+ROW()/1000000,"")</f>
        <v/>
      </c>
    </row>
    <row r="467" customFormat="false" ht="15" hidden="false" customHeight="false" outlineLevel="0" collapsed="false">
      <c r="A467" s="12"/>
      <c r="B467" s="13"/>
      <c r="C467" s="13"/>
      <c r="D467" s="13"/>
      <c r="E467" s="13"/>
      <c r="F467" s="14"/>
      <c r="G467" s="15"/>
      <c r="H467" s="15"/>
      <c r="I467" s="15"/>
      <c r="J467" s="12"/>
      <c r="K467" s="16" t="str">
        <f aca="false">IF(A467="","",G467+H467)</f>
        <v/>
      </c>
      <c r="L467" s="16" t="str">
        <f aca="false">IF(A467="","",IF(F467="İade edildi",0,K467-I467))</f>
        <v/>
      </c>
      <c r="M467" s="17" t="str">
        <f aca="true">IF(A467="","",IF(J467&lt;&gt;"",J467-A467,TODAY()-A467))</f>
        <v/>
      </c>
      <c r="N467" s="18" t="str">
        <f aca="false">IF(A467="","",IF(AND(OR(F467="Bekliyor",F467="Parça bekleniyor",F467="Hazır"),M467&gt;7),"7 günü geçti",""))</f>
        <v/>
      </c>
      <c r="O467" s="18" t="str">
        <f aca="false">IF(AND(A467&lt;&gt;"",OR(F467="Bekliyor",F467="Parça bekleniyor",F467="Hazır")),A467+ROW()/1000000,"")</f>
        <v/>
      </c>
    </row>
    <row r="468" customFormat="false" ht="15" hidden="false" customHeight="false" outlineLevel="0" collapsed="false">
      <c r="A468" s="12"/>
      <c r="B468" s="13"/>
      <c r="C468" s="13"/>
      <c r="D468" s="13"/>
      <c r="E468" s="13"/>
      <c r="F468" s="14"/>
      <c r="G468" s="15"/>
      <c r="H468" s="15"/>
      <c r="I468" s="15"/>
      <c r="J468" s="12"/>
      <c r="K468" s="16" t="str">
        <f aca="false">IF(A468="","",G468+H468)</f>
        <v/>
      </c>
      <c r="L468" s="16" t="str">
        <f aca="false">IF(A468="","",IF(F468="İade edildi",0,K468-I468))</f>
        <v/>
      </c>
      <c r="M468" s="17" t="str">
        <f aca="true">IF(A468="","",IF(J468&lt;&gt;"",J468-A468,TODAY()-A468))</f>
        <v/>
      </c>
      <c r="N468" s="18" t="str">
        <f aca="false">IF(A468="","",IF(AND(OR(F468="Bekliyor",F468="Parça bekleniyor",F468="Hazır"),M468&gt;7),"7 günü geçti",""))</f>
        <v/>
      </c>
      <c r="O468" s="18" t="str">
        <f aca="false">IF(AND(A468&lt;&gt;"",OR(F468="Bekliyor",F468="Parça bekleniyor",F468="Hazır")),A468+ROW()/1000000,"")</f>
        <v/>
      </c>
    </row>
    <row r="469" customFormat="false" ht="15" hidden="false" customHeight="false" outlineLevel="0" collapsed="false">
      <c r="A469" s="12"/>
      <c r="B469" s="13"/>
      <c r="C469" s="13"/>
      <c r="D469" s="13"/>
      <c r="E469" s="13"/>
      <c r="F469" s="14"/>
      <c r="G469" s="15"/>
      <c r="H469" s="15"/>
      <c r="I469" s="15"/>
      <c r="J469" s="12"/>
      <c r="K469" s="16" t="str">
        <f aca="false">IF(A469="","",G469+H469)</f>
        <v/>
      </c>
      <c r="L469" s="16" t="str">
        <f aca="false">IF(A469="","",IF(F469="İade edildi",0,K469-I469))</f>
        <v/>
      </c>
      <c r="M469" s="17" t="str">
        <f aca="true">IF(A469="","",IF(J469&lt;&gt;"",J469-A469,TODAY()-A469))</f>
        <v/>
      </c>
      <c r="N469" s="18" t="str">
        <f aca="false">IF(A469="","",IF(AND(OR(F469="Bekliyor",F469="Parça bekleniyor",F469="Hazır"),M469&gt;7),"7 günü geçti",""))</f>
        <v/>
      </c>
      <c r="O469" s="18" t="str">
        <f aca="false">IF(AND(A469&lt;&gt;"",OR(F469="Bekliyor",F469="Parça bekleniyor",F469="Hazır")),A469+ROW()/1000000,"")</f>
        <v/>
      </c>
    </row>
    <row r="470" customFormat="false" ht="15" hidden="false" customHeight="false" outlineLevel="0" collapsed="false">
      <c r="A470" s="12"/>
      <c r="B470" s="13"/>
      <c r="C470" s="13"/>
      <c r="D470" s="13"/>
      <c r="E470" s="13"/>
      <c r="F470" s="14"/>
      <c r="G470" s="15"/>
      <c r="H470" s="15"/>
      <c r="I470" s="15"/>
      <c r="J470" s="12"/>
      <c r="K470" s="16" t="str">
        <f aca="false">IF(A470="","",G470+H470)</f>
        <v/>
      </c>
      <c r="L470" s="16" t="str">
        <f aca="false">IF(A470="","",IF(F470="İade edildi",0,K470-I470))</f>
        <v/>
      </c>
      <c r="M470" s="17" t="str">
        <f aca="true">IF(A470="","",IF(J470&lt;&gt;"",J470-A470,TODAY()-A470))</f>
        <v/>
      </c>
      <c r="N470" s="18" t="str">
        <f aca="false">IF(A470="","",IF(AND(OR(F470="Bekliyor",F470="Parça bekleniyor",F470="Hazır"),M470&gt;7),"7 günü geçti",""))</f>
        <v/>
      </c>
      <c r="O470" s="18" t="str">
        <f aca="false">IF(AND(A470&lt;&gt;"",OR(F470="Bekliyor",F470="Parça bekleniyor",F470="Hazır")),A470+ROW()/1000000,"")</f>
        <v/>
      </c>
    </row>
    <row r="471" customFormat="false" ht="15" hidden="false" customHeight="false" outlineLevel="0" collapsed="false">
      <c r="A471" s="12"/>
      <c r="B471" s="13"/>
      <c r="C471" s="13"/>
      <c r="D471" s="13"/>
      <c r="E471" s="13"/>
      <c r="F471" s="14"/>
      <c r="G471" s="15"/>
      <c r="H471" s="15"/>
      <c r="I471" s="15"/>
      <c r="J471" s="12"/>
      <c r="K471" s="16" t="str">
        <f aca="false">IF(A471="","",G471+H471)</f>
        <v/>
      </c>
      <c r="L471" s="16" t="str">
        <f aca="false">IF(A471="","",IF(F471="İade edildi",0,K471-I471))</f>
        <v/>
      </c>
      <c r="M471" s="17" t="str">
        <f aca="true">IF(A471="","",IF(J471&lt;&gt;"",J471-A471,TODAY()-A471))</f>
        <v/>
      </c>
      <c r="N471" s="18" t="str">
        <f aca="false">IF(A471="","",IF(AND(OR(F471="Bekliyor",F471="Parça bekleniyor",F471="Hazır"),M471&gt;7),"7 günü geçti",""))</f>
        <v/>
      </c>
      <c r="O471" s="18" t="str">
        <f aca="false">IF(AND(A471&lt;&gt;"",OR(F471="Bekliyor",F471="Parça bekleniyor",F471="Hazır")),A471+ROW()/1000000,"")</f>
        <v/>
      </c>
    </row>
    <row r="472" customFormat="false" ht="15" hidden="false" customHeight="false" outlineLevel="0" collapsed="false">
      <c r="A472" s="12"/>
      <c r="B472" s="13"/>
      <c r="C472" s="13"/>
      <c r="D472" s="13"/>
      <c r="E472" s="13"/>
      <c r="F472" s="14"/>
      <c r="G472" s="15"/>
      <c r="H472" s="15"/>
      <c r="I472" s="15"/>
      <c r="J472" s="12"/>
      <c r="K472" s="16" t="str">
        <f aca="false">IF(A472="","",G472+H472)</f>
        <v/>
      </c>
      <c r="L472" s="16" t="str">
        <f aca="false">IF(A472="","",IF(F472="İade edildi",0,K472-I472))</f>
        <v/>
      </c>
      <c r="M472" s="17" t="str">
        <f aca="true">IF(A472="","",IF(J472&lt;&gt;"",J472-A472,TODAY()-A472))</f>
        <v/>
      </c>
      <c r="N472" s="18" t="str">
        <f aca="false">IF(A472="","",IF(AND(OR(F472="Bekliyor",F472="Parça bekleniyor",F472="Hazır"),M472&gt;7),"7 günü geçti",""))</f>
        <v/>
      </c>
      <c r="O472" s="18" t="str">
        <f aca="false">IF(AND(A472&lt;&gt;"",OR(F472="Bekliyor",F472="Parça bekleniyor",F472="Hazır")),A472+ROW()/1000000,"")</f>
        <v/>
      </c>
    </row>
    <row r="473" customFormat="false" ht="15" hidden="false" customHeight="false" outlineLevel="0" collapsed="false">
      <c r="A473" s="12"/>
      <c r="B473" s="13"/>
      <c r="C473" s="13"/>
      <c r="D473" s="13"/>
      <c r="E473" s="13"/>
      <c r="F473" s="14"/>
      <c r="G473" s="15"/>
      <c r="H473" s="15"/>
      <c r="I473" s="15"/>
      <c r="J473" s="12"/>
      <c r="K473" s="16" t="str">
        <f aca="false">IF(A473="","",G473+H473)</f>
        <v/>
      </c>
      <c r="L473" s="16" t="str">
        <f aca="false">IF(A473="","",IF(F473="İade edildi",0,K473-I473))</f>
        <v/>
      </c>
      <c r="M473" s="17" t="str">
        <f aca="true">IF(A473="","",IF(J473&lt;&gt;"",J473-A473,TODAY()-A473))</f>
        <v/>
      </c>
      <c r="N473" s="18" t="str">
        <f aca="false">IF(A473="","",IF(AND(OR(F473="Bekliyor",F473="Parça bekleniyor",F473="Hazır"),M473&gt;7),"7 günü geçti",""))</f>
        <v/>
      </c>
      <c r="O473" s="18" t="str">
        <f aca="false">IF(AND(A473&lt;&gt;"",OR(F473="Bekliyor",F473="Parça bekleniyor",F473="Hazır")),A473+ROW()/1000000,"")</f>
        <v/>
      </c>
    </row>
    <row r="474" customFormat="false" ht="15" hidden="false" customHeight="false" outlineLevel="0" collapsed="false">
      <c r="A474" s="12"/>
      <c r="B474" s="13"/>
      <c r="C474" s="13"/>
      <c r="D474" s="13"/>
      <c r="E474" s="13"/>
      <c r="F474" s="14"/>
      <c r="G474" s="15"/>
      <c r="H474" s="15"/>
      <c r="I474" s="15"/>
      <c r="J474" s="12"/>
      <c r="K474" s="16" t="str">
        <f aca="false">IF(A474="","",G474+H474)</f>
        <v/>
      </c>
      <c r="L474" s="16" t="str">
        <f aca="false">IF(A474="","",IF(F474="İade edildi",0,K474-I474))</f>
        <v/>
      </c>
      <c r="M474" s="17" t="str">
        <f aca="true">IF(A474="","",IF(J474&lt;&gt;"",J474-A474,TODAY()-A474))</f>
        <v/>
      </c>
      <c r="N474" s="18" t="str">
        <f aca="false">IF(A474="","",IF(AND(OR(F474="Bekliyor",F474="Parça bekleniyor",F474="Hazır"),M474&gt;7),"7 günü geçti",""))</f>
        <v/>
      </c>
      <c r="O474" s="18" t="str">
        <f aca="false">IF(AND(A474&lt;&gt;"",OR(F474="Bekliyor",F474="Parça bekleniyor",F474="Hazır")),A474+ROW()/1000000,"")</f>
        <v/>
      </c>
    </row>
    <row r="475" customFormat="false" ht="15" hidden="false" customHeight="false" outlineLevel="0" collapsed="false">
      <c r="A475" s="12"/>
      <c r="B475" s="13"/>
      <c r="C475" s="13"/>
      <c r="D475" s="13"/>
      <c r="E475" s="13"/>
      <c r="F475" s="14"/>
      <c r="G475" s="15"/>
      <c r="H475" s="15"/>
      <c r="I475" s="15"/>
      <c r="J475" s="12"/>
      <c r="K475" s="16" t="str">
        <f aca="false">IF(A475="","",G475+H475)</f>
        <v/>
      </c>
      <c r="L475" s="16" t="str">
        <f aca="false">IF(A475="","",IF(F475="İade edildi",0,K475-I475))</f>
        <v/>
      </c>
      <c r="M475" s="17" t="str">
        <f aca="true">IF(A475="","",IF(J475&lt;&gt;"",J475-A475,TODAY()-A475))</f>
        <v/>
      </c>
      <c r="N475" s="18" t="str">
        <f aca="false">IF(A475="","",IF(AND(OR(F475="Bekliyor",F475="Parça bekleniyor",F475="Hazır"),M475&gt;7),"7 günü geçti",""))</f>
        <v/>
      </c>
      <c r="O475" s="18" t="str">
        <f aca="false">IF(AND(A475&lt;&gt;"",OR(F475="Bekliyor",F475="Parça bekleniyor",F475="Hazır")),A475+ROW()/1000000,"")</f>
        <v/>
      </c>
    </row>
    <row r="476" customFormat="false" ht="15" hidden="false" customHeight="false" outlineLevel="0" collapsed="false">
      <c r="A476" s="12"/>
      <c r="B476" s="13"/>
      <c r="C476" s="13"/>
      <c r="D476" s="13"/>
      <c r="E476" s="13"/>
      <c r="F476" s="14"/>
      <c r="G476" s="15"/>
      <c r="H476" s="15"/>
      <c r="I476" s="15"/>
      <c r="J476" s="12"/>
      <c r="K476" s="16" t="str">
        <f aca="false">IF(A476="","",G476+H476)</f>
        <v/>
      </c>
      <c r="L476" s="16" t="str">
        <f aca="false">IF(A476="","",IF(F476="İade edildi",0,K476-I476))</f>
        <v/>
      </c>
      <c r="M476" s="17" t="str">
        <f aca="true">IF(A476="","",IF(J476&lt;&gt;"",J476-A476,TODAY()-A476))</f>
        <v/>
      </c>
      <c r="N476" s="18" t="str">
        <f aca="false">IF(A476="","",IF(AND(OR(F476="Bekliyor",F476="Parça bekleniyor",F476="Hazır"),M476&gt;7),"7 günü geçti",""))</f>
        <v/>
      </c>
      <c r="O476" s="18" t="str">
        <f aca="false">IF(AND(A476&lt;&gt;"",OR(F476="Bekliyor",F476="Parça bekleniyor",F476="Hazır")),A476+ROW()/1000000,"")</f>
        <v/>
      </c>
    </row>
    <row r="477" customFormat="false" ht="15" hidden="false" customHeight="false" outlineLevel="0" collapsed="false">
      <c r="A477" s="12"/>
      <c r="B477" s="13"/>
      <c r="C477" s="13"/>
      <c r="D477" s="13"/>
      <c r="E477" s="13"/>
      <c r="F477" s="14"/>
      <c r="G477" s="15"/>
      <c r="H477" s="15"/>
      <c r="I477" s="15"/>
      <c r="J477" s="12"/>
      <c r="K477" s="16" t="str">
        <f aca="false">IF(A477="","",G477+H477)</f>
        <v/>
      </c>
      <c r="L477" s="16" t="str">
        <f aca="false">IF(A477="","",IF(F477="İade edildi",0,K477-I477))</f>
        <v/>
      </c>
      <c r="M477" s="17" t="str">
        <f aca="true">IF(A477="","",IF(J477&lt;&gt;"",J477-A477,TODAY()-A477))</f>
        <v/>
      </c>
      <c r="N477" s="18" t="str">
        <f aca="false">IF(A477="","",IF(AND(OR(F477="Bekliyor",F477="Parça bekleniyor",F477="Hazır"),M477&gt;7),"7 günü geçti",""))</f>
        <v/>
      </c>
      <c r="O477" s="18" t="str">
        <f aca="false">IF(AND(A477&lt;&gt;"",OR(F477="Bekliyor",F477="Parça bekleniyor",F477="Hazır")),A477+ROW()/1000000,"")</f>
        <v/>
      </c>
    </row>
    <row r="478" customFormat="false" ht="15" hidden="false" customHeight="false" outlineLevel="0" collapsed="false">
      <c r="A478" s="12"/>
      <c r="B478" s="13"/>
      <c r="C478" s="13"/>
      <c r="D478" s="13"/>
      <c r="E478" s="13"/>
      <c r="F478" s="14"/>
      <c r="G478" s="15"/>
      <c r="H478" s="15"/>
      <c r="I478" s="15"/>
      <c r="J478" s="12"/>
      <c r="K478" s="16" t="str">
        <f aca="false">IF(A478="","",G478+H478)</f>
        <v/>
      </c>
      <c r="L478" s="16" t="str">
        <f aca="false">IF(A478="","",IF(F478="İade edildi",0,K478-I478))</f>
        <v/>
      </c>
      <c r="M478" s="17" t="str">
        <f aca="true">IF(A478="","",IF(J478&lt;&gt;"",J478-A478,TODAY()-A478))</f>
        <v/>
      </c>
      <c r="N478" s="18" t="str">
        <f aca="false">IF(A478="","",IF(AND(OR(F478="Bekliyor",F478="Parça bekleniyor",F478="Hazır"),M478&gt;7),"7 günü geçti",""))</f>
        <v/>
      </c>
      <c r="O478" s="18" t="str">
        <f aca="false">IF(AND(A478&lt;&gt;"",OR(F478="Bekliyor",F478="Parça bekleniyor",F478="Hazır")),A478+ROW()/1000000,"")</f>
        <v/>
      </c>
    </row>
    <row r="479" customFormat="false" ht="15" hidden="false" customHeight="false" outlineLevel="0" collapsed="false">
      <c r="A479" s="12"/>
      <c r="B479" s="13"/>
      <c r="C479" s="13"/>
      <c r="D479" s="13"/>
      <c r="E479" s="13"/>
      <c r="F479" s="14"/>
      <c r="G479" s="15"/>
      <c r="H479" s="15"/>
      <c r="I479" s="15"/>
      <c r="J479" s="12"/>
      <c r="K479" s="16" t="str">
        <f aca="false">IF(A479="","",G479+H479)</f>
        <v/>
      </c>
      <c r="L479" s="16" t="str">
        <f aca="false">IF(A479="","",IF(F479="İade edildi",0,K479-I479))</f>
        <v/>
      </c>
      <c r="M479" s="17" t="str">
        <f aca="true">IF(A479="","",IF(J479&lt;&gt;"",J479-A479,TODAY()-A479))</f>
        <v/>
      </c>
      <c r="N479" s="18" t="str">
        <f aca="false">IF(A479="","",IF(AND(OR(F479="Bekliyor",F479="Parça bekleniyor",F479="Hazır"),M479&gt;7),"7 günü geçti",""))</f>
        <v/>
      </c>
      <c r="O479" s="18" t="str">
        <f aca="false">IF(AND(A479&lt;&gt;"",OR(F479="Bekliyor",F479="Parça bekleniyor",F479="Hazır")),A479+ROW()/1000000,"")</f>
        <v/>
      </c>
    </row>
    <row r="480" customFormat="false" ht="15" hidden="false" customHeight="false" outlineLevel="0" collapsed="false">
      <c r="A480" s="12"/>
      <c r="B480" s="13"/>
      <c r="C480" s="13"/>
      <c r="D480" s="13"/>
      <c r="E480" s="13"/>
      <c r="F480" s="14"/>
      <c r="G480" s="15"/>
      <c r="H480" s="15"/>
      <c r="I480" s="15"/>
      <c r="J480" s="12"/>
      <c r="K480" s="16" t="str">
        <f aca="false">IF(A480="","",G480+H480)</f>
        <v/>
      </c>
      <c r="L480" s="16" t="str">
        <f aca="false">IF(A480="","",IF(F480="İade edildi",0,K480-I480))</f>
        <v/>
      </c>
      <c r="M480" s="17" t="str">
        <f aca="true">IF(A480="","",IF(J480&lt;&gt;"",J480-A480,TODAY()-A480))</f>
        <v/>
      </c>
      <c r="N480" s="18" t="str">
        <f aca="false">IF(A480="","",IF(AND(OR(F480="Bekliyor",F480="Parça bekleniyor",F480="Hazır"),M480&gt;7),"7 günü geçti",""))</f>
        <v/>
      </c>
      <c r="O480" s="18" t="str">
        <f aca="false">IF(AND(A480&lt;&gt;"",OR(F480="Bekliyor",F480="Parça bekleniyor",F480="Hazır")),A480+ROW()/1000000,"")</f>
        <v/>
      </c>
    </row>
    <row r="481" customFormat="false" ht="15" hidden="false" customHeight="false" outlineLevel="0" collapsed="false">
      <c r="A481" s="12"/>
      <c r="B481" s="13"/>
      <c r="C481" s="13"/>
      <c r="D481" s="13"/>
      <c r="E481" s="13"/>
      <c r="F481" s="14"/>
      <c r="G481" s="15"/>
      <c r="H481" s="15"/>
      <c r="I481" s="15"/>
      <c r="J481" s="12"/>
      <c r="K481" s="16" t="str">
        <f aca="false">IF(A481="","",G481+H481)</f>
        <v/>
      </c>
      <c r="L481" s="16" t="str">
        <f aca="false">IF(A481="","",IF(F481="İade edildi",0,K481-I481))</f>
        <v/>
      </c>
      <c r="M481" s="17" t="str">
        <f aca="true">IF(A481="","",IF(J481&lt;&gt;"",J481-A481,TODAY()-A481))</f>
        <v/>
      </c>
      <c r="N481" s="18" t="str">
        <f aca="false">IF(A481="","",IF(AND(OR(F481="Bekliyor",F481="Parça bekleniyor",F481="Hazır"),M481&gt;7),"7 günü geçti",""))</f>
        <v/>
      </c>
      <c r="O481" s="18" t="str">
        <f aca="false">IF(AND(A481&lt;&gt;"",OR(F481="Bekliyor",F481="Parça bekleniyor",F481="Hazır")),A481+ROW()/1000000,"")</f>
        <v/>
      </c>
    </row>
    <row r="482" customFormat="false" ht="15" hidden="false" customHeight="false" outlineLevel="0" collapsed="false">
      <c r="A482" s="12"/>
      <c r="B482" s="13"/>
      <c r="C482" s="13"/>
      <c r="D482" s="13"/>
      <c r="E482" s="13"/>
      <c r="F482" s="14"/>
      <c r="G482" s="15"/>
      <c r="H482" s="15"/>
      <c r="I482" s="15"/>
      <c r="J482" s="12"/>
      <c r="K482" s="16" t="str">
        <f aca="false">IF(A482="","",G482+H482)</f>
        <v/>
      </c>
      <c r="L482" s="16" t="str">
        <f aca="false">IF(A482="","",IF(F482="İade edildi",0,K482-I482))</f>
        <v/>
      </c>
      <c r="M482" s="17" t="str">
        <f aca="true">IF(A482="","",IF(J482&lt;&gt;"",J482-A482,TODAY()-A482))</f>
        <v/>
      </c>
      <c r="N482" s="18" t="str">
        <f aca="false">IF(A482="","",IF(AND(OR(F482="Bekliyor",F482="Parça bekleniyor",F482="Hazır"),M482&gt;7),"7 günü geçti",""))</f>
        <v/>
      </c>
      <c r="O482" s="18" t="str">
        <f aca="false">IF(AND(A482&lt;&gt;"",OR(F482="Bekliyor",F482="Parça bekleniyor",F482="Hazır")),A482+ROW()/1000000,"")</f>
        <v/>
      </c>
    </row>
    <row r="483" customFormat="false" ht="15" hidden="false" customHeight="false" outlineLevel="0" collapsed="false">
      <c r="A483" s="12"/>
      <c r="B483" s="13"/>
      <c r="C483" s="13"/>
      <c r="D483" s="13"/>
      <c r="E483" s="13"/>
      <c r="F483" s="14"/>
      <c r="G483" s="15"/>
      <c r="H483" s="15"/>
      <c r="I483" s="15"/>
      <c r="J483" s="12"/>
      <c r="K483" s="16" t="str">
        <f aca="false">IF(A483="","",G483+H483)</f>
        <v/>
      </c>
      <c r="L483" s="16" t="str">
        <f aca="false">IF(A483="","",IF(F483="İade edildi",0,K483-I483))</f>
        <v/>
      </c>
      <c r="M483" s="17" t="str">
        <f aca="true">IF(A483="","",IF(J483&lt;&gt;"",J483-A483,TODAY()-A483))</f>
        <v/>
      </c>
      <c r="N483" s="18" t="str">
        <f aca="false">IF(A483="","",IF(AND(OR(F483="Bekliyor",F483="Parça bekleniyor",F483="Hazır"),M483&gt;7),"7 günü geçti",""))</f>
        <v/>
      </c>
      <c r="O483" s="18" t="str">
        <f aca="false">IF(AND(A483&lt;&gt;"",OR(F483="Bekliyor",F483="Parça bekleniyor",F483="Hazır")),A483+ROW()/1000000,"")</f>
        <v/>
      </c>
    </row>
    <row r="484" customFormat="false" ht="15" hidden="false" customHeight="false" outlineLevel="0" collapsed="false">
      <c r="A484" s="12"/>
      <c r="B484" s="13"/>
      <c r="C484" s="13"/>
      <c r="D484" s="13"/>
      <c r="E484" s="13"/>
      <c r="F484" s="14"/>
      <c r="G484" s="15"/>
      <c r="H484" s="15"/>
      <c r="I484" s="15"/>
      <c r="J484" s="12"/>
      <c r="K484" s="16" t="str">
        <f aca="false">IF(A484="","",G484+H484)</f>
        <v/>
      </c>
      <c r="L484" s="16" t="str">
        <f aca="false">IF(A484="","",IF(F484="İade edildi",0,K484-I484))</f>
        <v/>
      </c>
      <c r="M484" s="17" t="str">
        <f aca="true">IF(A484="","",IF(J484&lt;&gt;"",J484-A484,TODAY()-A484))</f>
        <v/>
      </c>
      <c r="N484" s="18" t="str">
        <f aca="false">IF(A484="","",IF(AND(OR(F484="Bekliyor",F484="Parça bekleniyor",F484="Hazır"),M484&gt;7),"7 günü geçti",""))</f>
        <v/>
      </c>
      <c r="O484" s="18" t="str">
        <f aca="false">IF(AND(A484&lt;&gt;"",OR(F484="Bekliyor",F484="Parça bekleniyor",F484="Hazır")),A484+ROW()/1000000,"")</f>
        <v/>
      </c>
    </row>
    <row r="485" customFormat="false" ht="15" hidden="false" customHeight="false" outlineLevel="0" collapsed="false">
      <c r="A485" s="12"/>
      <c r="B485" s="13"/>
      <c r="C485" s="13"/>
      <c r="D485" s="13"/>
      <c r="E485" s="13"/>
      <c r="F485" s="14"/>
      <c r="G485" s="15"/>
      <c r="H485" s="15"/>
      <c r="I485" s="15"/>
      <c r="J485" s="12"/>
      <c r="K485" s="16" t="str">
        <f aca="false">IF(A485="","",G485+H485)</f>
        <v/>
      </c>
      <c r="L485" s="16" t="str">
        <f aca="false">IF(A485="","",IF(F485="İade edildi",0,K485-I485))</f>
        <v/>
      </c>
      <c r="M485" s="17" t="str">
        <f aca="true">IF(A485="","",IF(J485&lt;&gt;"",J485-A485,TODAY()-A485))</f>
        <v/>
      </c>
      <c r="N485" s="18" t="str">
        <f aca="false">IF(A485="","",IF(AND(OR(F485="Bekliyor",F485="Parça bekleniyor",F485="Hazır"),M485&gt;7),"7 günü geçti",""))</f>
        <v/>
      </c>
      <c r="O485" s="18" t="str">
        <f aca="false">IF(AND(A485&lt;&gt;"",OR(F485="Bekliyor",F485="Parça bekleniyor",F485="Hazır")),A485+ROW()/1000000,"")</f>
        <v/>
      </c>
    </row>
    <row r="486" customFormat="false" ht="15" hidden="false" customHeight="false" outlineLevel="0" collapsed="false">
      <c r="A486" s="12"/>
      <c r="B486" s="13"/>
      <c r="C486" s="13"/>
      <c r="D486" s="13"/>
      <c r="E486" s="13"/>
      <c r="F486" s="14"/>
      <c r="G486" s="15"/>
      <c r="H486" s="15"/>
      <c r="I486" s="15"/>
      <c r="J486" s="12"/>
      <c r="K486" s="16" t="str">
        <f aca="false">IF(A486="","",G486+H486)</f>
        <v/>
      </c>
      <c r="L486" s="16" t="str">
        <f aca="false">IF(A486="","",IF(F486="İade edildi",0,K486-I486))</f>
        <v/>
      </c>
      <c r="M486" s="17" t="str">
        <f aca="true">IF(A486="","",IF(J486&lt;&gt;"",J486-A486,TODAY()-A486))</f>
        <v/>
      </c>
      <c r="N486" s="18" t="str">
        <f aca="false">IF(A486="","",IF(AND(OR(F486="Bekliyor",F486="Parça bekleniyor",F486="Hazır"),M486&gt;7),"7 günü geçti",""))</f>
        <v/>
      </c>
      <c r="O486" s="18" t="str">
        <f aca="false">IF(AND(A486&lt;&gt;"",OR(F486="Bekliyor",F486="Parça bekleniyor",F486="Hazır")),A486+ROW()/1000000,"")</f>
        <v/>
      </c>
    </row>
    <row r="487" customFormat="false" ht="15" hidden="false" customHeight="false" outlineLevel="0" collapsed="false">
      <c r="A487" s="12"/>
      <c r="B487" s="13"/>
      <c r="C487" s="13"/>
      <c r="D487" s="13"/>
      <c r="E487" s="13"/>
      <c r="F487" s="14"/>
      <c r="G487" s="15"/>
      <c r="H487" s="15"/>
      <c r="I487" s="15"/>
      <c r="J487" s="12"/>
      <c r="K487" s="16" t="str">
        <f aca="false">IF(A487="","",G487+H487)</f>
        <v/>
      </c>
      <c r="L487" s="16" t="str">
        <f aca="false">IF(A487="","",IF(F487="İade edildi",0,K487-I487))</f>
        <v/>
      </c>
      <c r="M487" s="17" t="str">
        <f aca="true">IF(A487="","",IF(J487&lt;&gt;"",J487-A487,TODAY()-A487))</f>
        <v/>
      </c>
      <c r="N487" s="18" t="str">
        <f aca="false">IF(A487="","",IF(AND(OR(F487="Bekliyor",F487="Parça bekleniyor",F487="Hazır"),M487&gt;7),"7 günü geçti",""))</f>
        <v/>
      </c>
      <c r="O487" s="18" t="str">
        <f aca="false">IF(AND(A487&lt;&gt;"",OR(F487="Bekliyor",F487="Parça bekleniyor",F487="Hazır")),A487+ROW()/1000000,"")</f>
        <v/>
      </c>
    </row>
    <row r="488" customFormat="false" ht="15" hidden="false" customHeight="false" outlineLevel="0" collapsed="false">
      <c r="A488" s="12"/>
      <c r="B488" s="13"/>
      <c r="C488" s="13"/>
      <c r="D488" s="13"/>
      <c r="E488" s="13"/>
      <c r="F488" s="14"/>
      <c r="G488" s="15"/>
      <c r="H488" s="15"/>
      <c r="I488" s="15"/>
      <c r="J488" s="12"/>
      <c r="K488" s="16" t="str">
        <f aca="false">IF(A488="","",G488+H488)</f>
        <v/>
      </c>
      <c r="L488" s="16" t="str">
        <f aca="false">IF(A488="","",IF(F488="İade edildi",0,K488-I488))</f>
        <v/>
      </c>
      <c r="M488" s="17" t="str">
        <f aca="true">IF(A488="","",IF(J488&lt;&gt;"",J488-A488,TODAY()-A488))</f>
        <v/>
      </c>
      <c r="N488" s="18" t="str">
        <f aca="false">IF(A488="","",IF(AND(OR(F488="Bekliyor",F488="Parça bekleniyor",F488="Hazır"),M488&gt;7),"7 günü geçti",""))</f>
        <v/>
      </c>
      <c r="O488" s="18" t="str">
        <f aca="false">IF(AND(A488&lt;&gt;"",OR(F488="Bekliyor",F488="Parça bekleniyor",F488="Hazır")),A488+ROW()/1000000,"")</f>
        <v/>
      </c>
    </row>
    <row r="489" customFormat="false" ht="15" hidden="false" customHeight="false" outlineLevel="0" collapsed="false">
      <c r="A489" s="12"/>
      <c r="B489" s="13"/>
      <c r="C489" s="13"/>
      <c r="D489" s="13"/>
      <c r="E489" s="13"/>
      <c r="F489" s="14"/>
      <c r="G489" s="15"/>
      <c r="H489" s="15"/>
      <c r="I489" s="15"/>
      <c r="J489" s="12"/>
      <c r="K489" s="16" t="str">
        <f aca="false">IF(A489="","",G489+H489)</f>
        <v/>
      </c>
      <c r="L489" s="16" t="str">
        <f aca="false">IF(A489="","",IF(F489="İade edildi",0,K489-I489))</f>
        <v/>
      </c>
      <c r="M489" s="17" t="str">
        <f aca="true">IF(A489="","",IF(J489&lt;&gt;"",J489-A489,TODAY()-A489))</f>
        <v/>
      </c>
      <c r="N489" s="18" t="str">
        <f aca="false">IF(A489="","",IF(AND(OR(F489="Bekliyor",F489="Parça bekleniyor",F489="Hazır"),M489&gt;7),"7 günü geçti",""))</f>
        <v/>
      </c>
      <c r="O489" s="18" t="str">
        <f aca="false">IF(AND(A489&lt;&gt;"",OR(F489="Bekliyor",F489="Parça bekleniyor",F489="Hazır")),A489+ROW()/1000000,"")</f>
        <v/>
      </c>
    </row>
    <row r="490" customFormat="false" ht="15" hidden="false" customHeight="false" outlineLevel="0" collapsed="false">
      <c r="A490" s="12"/>
      <c r="B490" s="13"/>
      <c r="C490" s="13"/>
      <c r="D490" s="13"/>
      <c r="E490" s="13"/>
      <c r="F490" s="14"/>
      <c r="G490" s="15"/>
      <c r="H490" s="15"/>
      <c r="I490" s="15"/>
      <c r="J490" s="12"/>
      <c r="K490" s="16" t="str">
        <f aca="false">IF(A490="","",G490+H490)</f>
        <v/>
      </c>
      <c r="L490" s="16" t="str">
        <f aca="false">IF(A490="","",IF(F490="İade edildi",0,K490-I490))</f>
        <v/>
      </c>
      <c r="M490" s="17" t="str">
        <f aca="true">IF(A490="","",IF(J490&lt;&gt;"",J490-A490,TODAY()-A490))</f>
        <v/>
      </c>
      <c r="N490" s="18" t="str">
        <f aca="false">IF(A490="","",IF(AND(OR(F490="Bekliyor",F490="Parça bekleniyor",F490="Hazır"),M490&gt;7),"7 günü geçti",""))</f>
        <v/>
      </c>
      <c r="O490" s="18" t="str">
        <f aca="false">IF(AND(A490&lt;&gt;"",OR(F490="Bekliyor",F490="Parça bekleniyor",F490="Hazır")),A490+ROW()/1000000,"")</f>
        <v/>
      </c>
    </row>
    <row r="491" customFormat="false" ht="15" hidden="false" customHeight="false" outlineLevel="0" collapsed="false">
      <c r="A491" s="12"/>
      <c r="B491" s="13"/>
      <c r="C491" s="13"/>
      <c r="D491" s="13"/>
      <c r="E491" s="13"/>
      <c r="F491" s="14"/>
      <c r="G491" s="15"/>
      <c r="H491" s="15"/>
      <c r="I491" s="15"/>
      <c r="J491" s="12"/>
      <c r="K491" s="16" t="str">
        <f aca="false">IF(A491="","",G491+H491)</f>
        <v/>
      </c>
      <c r="L491" s="16" t="str">
        <f aca="false">IF(A491="","",IF(F491="İade edildi",0,K491-I491))</f>
        <v/>
      </c>
      <c r="M491" s="17" t="str">
        <f aca="true">IF(A491="","",IF(J491&lt;&gt;"",J491-A491,TODAY()-A491))</f>
        <v/>
      </c>
      <c r="N491" s="18" t="str">
        <f aca="false">IF(A491="","",IF(AND(OR(F491="Bekliyor",F491="Parça bekleniyor",F491="Hazır"),M491&gt;7),"7 günü geçti",""))</f>
        <v/>
      </c>
      <c r="O491" s="18" t="str">
        <f aca="false">IF(AND(A491&lt;&gt;"",OR(F491="Bekliyor",F491="Parça bekleniyor",F491="Hazır")),A491+ROW()/1000000,"")</f>
        <v/>
      </c>
    </row>
    <row r="492" customFormat="false" ht="15" hidden="false" customHeight="false" outlineLevel="0" collapsed="false">
      <c r="A492" s="12"/>
      <c r="B492" s="13"/>
      <c r="C492" s="13"/>
      <c r="D492" s="13"/>
      <c r="E492" s="13"/>
      <c r="F492" s="14"/>
      <c r="G492" s="15"/>
      <c r="H492" s="15"/>
      <c r="I492" s="15"/>
      <c r="J492" s="12"/>
      <c r="K492" s="16" t="str">
        <f aca="false">IF(A492="","",G492+H492)</f>
        <v/>
      </c>
      <c r="L492" s="16" t="str">
        <f aca="false">IF(A492="","",IF(F492="İade edildi",0,K492-I492))</f>
        <v/>
      </c>
      <c r="M492" s="17" t="str">
        <f aca="true">IF(A492="","",IF(J492&lt;&gt;"",J492-A492,TODAY()-A492))</f>
        <v/>
      </c>
      <c r="N492" s="18" t="str">
        <f aca="false">IF(A492="","",IF(AND(OR(F492="Bekliyor",F492="Parça bekleniyor",F492="Hazır"),M492&gt;7),"7 günü geçti",""))</f>
        <v/>
      </c>
      <c r="O492" s="18" t="str">
        <f aca="false">IF(AND(A492&lt;&gt;"",OR(F492="Bekliyor",F492="Parça bekleniyor",F492="Hazır")),A492+ROW()/1000000,"")</f>
        <v/>
      </c>
    </row>
    <row r="493" customFormat="false" ht="15" hidden="false" customHeight="false" outlineLevel="0" collapsed="false">
      <c r="A493" s="12"/>
      <c r="B493" s="13"/>
      <c r="C493" s="13"/>
      <c r="D493" s="13"/>
      <c r="E493" s="13"/>
      <c r="F493" s="14"/>
      <c r="G493" s="15"/>
      <c r="H493" s="15"/>
      <c r="I493" s="15"/>
      <c r="J493" s="12"/>
      <c r="K493" s="16" t="str">
        <f aca="false">IF(A493="","",G493+H493)</f>
        <v/>
      </c>
      <c r="L493" s="16" t="str">
        <f aca="false">IF(A493="","",IF(F493="İade edildi",0,K493-I493))</f>
        <v/>
      </c>
      <c r="M493" s="17" t="str">
        <f aca="true">IF(A493="","",IF(J493&lt;&gt;"",J493-A493,TODAY()-A493))</f>
        <v/>
      </c>
      <c r="N493" s="18" t="str">
        <f aca="false">IF(A493="","",IF(AND(OR(F493="Bekliyor",F493="Parça bekleniyor",F493="Hazır"),M493&gt;7),"7 günü geçti",""))</f>
        <v/>
      </c>
      <c r="O493" s="18" t="str">
        <f aca="false">IF(AND(A493&lt;&gt;"",OR(F493="Bekliyor",F493="Parça bekleniyor",F493="Hazır")),A493+ROW()/1000000,"")</f>
        <v/>
      </c>
    </row>
    <row r="494" customFormat="false" ht="15" hidden="false" customHeight="false" outlineLevel="0" collapsed="false">
      <c r="A494" s="12"/>
      <c r="B494" s="13"/>
      <c r="C494" s="13"/>
      <c r="D494" s="13"/>
      <c r="E494" s="13"/>
      <c r="F494" s="14"/>
      <c r="G494" s="15"/>
      <c r="H494" s="15"/>
      <c r="I494" s="15"/>
      <c r="J494" s="12"/>
      <c r="K494" s="16" t="str">
        <f aca="false">IF(A494="","",G494+H494)</f>
        <v/>
      </c>
      <c r="L494" s="16" t="str">
        <f aca="false">IF(A494="","",IF(F494="İade edildi",0,K494-I494))</f>
        <v/>
      </c>
      <c r="M494" s="17" t="str">
        <f aca="true">IF(A494="","",IF(J494&lt;&gt;"",J494-A494,TODAY()-A494))</f>
        <v/>
      </c>
      <c r="N494" s="18" t="str">
        <f aca="false">IF(A494="","",IF(AND(OR(F494="Bekliyor",F494="Parça bekleniyor",F494="Hazır"),M494&gt;7),"7 günü geçti",""))</f>
        <v/>
      </c>
      <c r="O494" s="18" t="str">
        <f aca="false">IF(AND(A494&lt;&gt;"",OR(F494="Bekliyor",F494="Parça bekleniyor",F494="Hazır")),A494+ROW()/1000000,"")</f>
        <v/>
      </c>
    </row>
    <row r="495" customFormat="false" ht="15" hidden="false" customHeight="false" outlineLevel="0" collapsed="false">
      <c r="A495" s="12"/>
      <c r="B495" s="13"/>
      <c r="C495" s="13"/>
      <c r="D495" s="13"/>
      <c r="E495" s="13"/>
      <c r="F495" s="14"/>
      <c r="G495" s="15"/>
      <c r="H495" s="15"/>
      <c r="I495" s="15"/>
      <c r="J495" s="12"/>
      <c r="K495" s="16" t="str">
        <f aca="false">IF(A495="","",G495+H495)</f>
        <v/>
      </c>
      <c r="L495" s="16" t="str">
        <f aca="false">IF(A495="","",IF(F495="İade edildi",0,K495-I495))</f>
        <v/>
      </c>
      <c r="M495" s="17" t="str">
        <f aca="true">IF(A495="","",IF(J495&lt;&gt;"",J495-A495,TODAY()-A495))</f>
        <v/>
      </c>
      <c r="N495" s="18" t="str">
        <f aca="false">IF(A495="","",IF(AND(OR(F495="Bekliyor",F495="Parça bekleniyor",F495="Hazır"),M495&gt;7),"7 günü geçti",""))</f>
        <v/>
      </c>
      <c r="O495" s="18" t="str">
        <f aca="false">IF(AND(A495&lt;&gt;"",OR(F495="Bekliyor",F495="Parça bekleniyor",F495="Hazır")),A495+ROW()/1000000,"")</f>
        <v/>
      </c>
    </row>
    <row r="496" customFormat="false" ht="15" hidden="false" customHeight="false" outlineLevel="0" collapsed="false">
      <c r="A496" s="12"/>
      <c r="B496" s="13"/>
      <c r="C496" s="13"/>
      <c r="D496" s="13"/>
      <c r="E496" s="13"/>
      <c r="F496" s="14"/>
      <c r="G496" s="15"/>
      <c r="H496" s="15"/>
      <c r="I496" s="15"/>
      <c r="J496" s="12"/>
      <c r="K496" s="16" t="str">
        <f aca="false">IF(A496="","",G496+H496)</f>
        <v/>
      </c>
      <c r="L496" s="16" t="str">
        <f aca="false">IF(A496="","",IF(F496="İade edildi",0,K496-I496))</f>
        <v/>
      </c>
      <c r="M496" s="17" t="str">
        <f aca="true">IF(A496="","",IF(J496&lt;&gt;"",J496-A496,TODAY()-A496))</f>
        <v/>
      </c>
      <c r="N496" s="18" t="str">
        <f aca="false">IF(A496="","",IF(AND(OR(F496="Bekliyor",F496="Parça bekleniyor",F496="Hazır"),M496&gt;7),"7 günü geçti",""))</f>
        <v/>
      </c>
      <c r="O496" s="18" t="str">
        <f aca="false">IF(AND(A496&lt;&gt;"",OR(F496="Bekliyor",F496="Parça bekleniyor",F496="Hazır")),A496+ROW()/1000000,"")</f>
        <v/>
      </c>
    </row>
    <row r="497" customFormat="false" ht="15" hidden="false" customHeight="false" outlineLevel="0" collapsed="false">
      <c r="A497" s="12"/>
      <c r="B497" s="13"/>
      <c r="C497" s="13"/>
      <c r="D497" s="13"/>
      <c r="E497" s="13"/>
      <c r="F497" s="14"/>
      <c r="G497" s="15"/>
      <c r="H497" s="15"/>
      <c r="I497" s="15"/>
      <c r="J497" s="12"/>
      <c r="K497" s="16" t="str">
        <f aca="false">IF(A497="","",G497+H497)</f>
        <v/>
      </c>
      <c r="L497" s="16" t="str">
        <f aca="false">IF(A497="","",IF(F497="İade edildi",0,K497-I497))</f>
        <v/>
      </c>
      <c r="M497" s="17" t="str">
        <f aca="true">IF(A497="","",IF(J497&lt;&gt;"",J497-A497,TODAY()-A497))</f>
        <v/>
      </c>
      <c r="N497" s="18" t="str">
        <f aca="false">IF(A497="","",IF(AND(OR(F497="Bekliyor",F497="Parça bekleniyor",F497="Hazır"),M497&gt;7),"7 günü geçti",""))</f>
        <v/>
      </c>
      <c r="O497" s="18" t="str">
        <f aca="false">IF(AND(A497&lt;&gt;"",OR(F497="Bekliyor",F497="Parça bekleniyor",F497="Hazır")),A497+ROW()/1000000,"")</f>
        <v/>
      </c>
    </row>
    <row r="498" customFormat="false" ht="15" hidden="false" customHeight="false" outlineLevel="0" collapsed="false">
      <c r="A498" s="12"/>
      <c r="B498" s="13"/>
      <c r="C498" s="13"/>
      <c r="D498" s="13"/>
      <c r="E498" s="13"/>
      <c r="F498" s="14"/>
      <c r="G498" s="15"/>
      <c r="H498" s="15"/>
      <c r="I498" s="15"/>
      <c r="J498" s="12"/>
      <c r="K498" s="16" t="str">
        <f aca="false">IF(A498="","",G498+H498)</f>
        <v/>
      </c>
      <c r="L498" s="16" t="str">
        <f aca="false">IF(A498="","",IF(F498="İade edildi",0,K498-I498))</f>
        <v/>
      </c>
      <c r="M498" s="17" t="str">
        <f aca="true">IF(A498="","",IF(J498&lt;&gt;"",J498-A498,TODAY()-A498))</f>
        <v/>
      </c>
      <c r="N498" s="18" t="str">
        <f aca="false">IF(A498="","",IF(AND(OR(F498="Bekliyor",F498="Parça bekleniyor",F498="Hazır"),M498&gt;7),"7 günü geçti",""))</f>
        <v/>
      </c>
      <c r="O498" s="18" t="str">
        <f aca="false">IF(AND(A498&lt;&gt;"",OR(F498="Bekliyor",F498="Parça bekleniyor",F498="Hazır")),A498+ROW()/1000000,"")</f>
        <v/>
      </c>
    </row>
    <row r="499" customFormat="false" ht="15" hidden="false" customHeight="false" outlineLevel="0" collapsed="false">
      <c r="A499" s="12"/>
      <c r="B499" s="13"/>
      <c r="C499" s="13"/>
      <c r="D499" s="13"/>
      <c r="E499" s="13"/>
      <c r="F499" s="14"/>
      <c r="G499" s="15"/>
      <c r="H499" s="15"/>
      <c r="I499" s="15"/>
      <c r="J499" s="12"/>
      <c r="K499" s="16" t="str">
        <f aca="false">IF(A499="","",G499+H499)</f>
        <v/>
      </c>
      <c r="L499" s="16" t="str">
        <f aca="false">IF(A499="","",IF(F499="İade edildi",0,K499-I499))</f>
        <v/>
      </c>
      <c r="M499" s="17" t="str">
        <f aca="true">IF(A499="","",IF(J499&lt;&gt;"",J499-A499,TODAY()-A499))</f>
        <v/>
      </c>
      <c r="N499" s="18" t="str">
        <f aca="false">IF(A499="","",IF(AND(OR(F499="Bekliyor",F499="Parça bekleniyor",F499="Hazır"),M499&gt;7),"7 günü geçti",""))</f>
        <v/>
      </c>
      <c r="O499" s="18" t="str">
        <f aca="false">IF(AND(A499&lt;&gt;"",OR(F499="Bekliyor",F499="Parça bekleniyor",F499="Hazır")),A499+ROW()/1000000,"")</f>
        <v/>
      </c>
    </row>
    <row r="500" customFormat="false" ht="15" hidden="false" customHeight="false" outlineLevel="0" collapsed="false">
      <c r="A500" s="12"/>
      <c r="B500" s="13"/>
      <c r="C500" s="13"/>
      <c r="D500" s="13"/>
      <c r="E500" s="13"/>
      <c r="F500" s="14"/>
      <c r="G500" s="15"/>
      <c r="H500" s="15"/>
      <c r="I500" s="15"/>
      <c r="J500" s="12"/>
      <c r="K500" s="16" t="str">
        <f aca="false">IF(A500="","",G500+H500)</f>
        <v/>
      </c>
      <c r="L500" s="16" t="str">
        <f aca="false">IF(A500="","",IF(F500="İade edildi",0,K500-I500))</f>
        <v/>
      </c>
      <c r="M500" s="17" t="str">
        <f aca="true">IF(A500="","",IF(J500&lt;&gt;"",J500-A500,TODAY()-A500))</f>
        <v/>
      </c>
      <c r="N500" s="18" t="str">
        <f aca="false">IF(A500="","",IF(AND(OR(F500="Bekliyor",F500="Parça bekleniyor",F500="Hazır"),M500&gt;7),"7 günü geçti",""))</f>
        <v/>
      </c>
      <c r="O500" s="18" t="str">
        <f aca="false">IF(AND(A500&lt;&gt;"",OR(F500="Bekliyor",F500="Parça bekleniyor",F500="Hazır")),A500+ROW()/1000000,"")</f>
        <v/>
      </c>
    </row>
    <row r="501" customFormat="false" ht="15" hidden="false" customHeight="false" outlineLevel="0" collapsed="false">
      <c r="A501" s="12"/>
      <c r="B501" s="13"/>
      <c r="C501" s="13"/>
      <c r="D501" s="13"/>
      <c r="E501" s="13"/>
      <c r="F501" s="14"/>
      <c r="G501" s="15"/>
      <c r="H501" s="15"/>
      <c r="I501" s="15"/>
      <c r="J501" s="12"/>
      <c r="K501" s="16" t="str">
        <f aca="false">IF(A501="","",G501+H501)</f>
        <v/>
      </c>
      <c r="L501" s="16" t="str">
        <f aca="false">IF(A501="","",IF(F501="İade edildi",0,K501-I501))</f>
        <v/>
      </c>
      <c r="M501" s="17" t="str">
        <f aca="true">IF(A501="","",IF(J501&lt;&gt;"",J501-A501,TODAY()-A501))</f>
        <v/>
      </c>
      <c r="N501" s="18" t="str">
        <f aca="false">IF(A501="","",IF(AND(OR(F501="Bekliyor",F501="Parça bekleniyor",F501="Hazır"),M501&gt;7),"7 günü geçti",""))</f>
        <v/>
      </c>
      <c r="O501" s="18" t="str">
        <f aca="false">IF(AND(A501&lt;&gt;"",OR(F501="Bekliyor",F501="Parça bekleniyor",F501="Hazır")),A501+ROW()/1000000,"")</f>
        <v/>
      </c>
    </row>
    <row r="502" customFormat="false" ht="15" hidden="false" customHeight="false" outlineLevel="0" collapsed="false">
      <c r="A502" s="12"/>
      <c r="B502" s="13"/>
      <c r="C502" s="13"/>
      <c r="D502" s="13"/>
      <c r="E502" s="13"/>
      <c r="F502" s="14"/>
      <c r="G502" s="15"/>
      <c r="H502" s="15"/>
      <c r="I502" s="15"/>
      <c r="J502" s="12"/>
      <c r="K502" s="16" t="str">
        <f aca="false">IF(A502="","",G502+H502)</f>
        <v/>
      </c>
      <c r="L502" s="16" t="str">
        <f aca="false">IF(A502="","",IF(F502="İade edildi",0,K502-I502))</f>
        <v/>
      </c>
      <c r="M502" s="17" t="str">
        <f aca="true">IF(A502="","",IF(J502&lt;&gt;"",J502-A502,TODAY()-A502))</f>
        <v/>
      </c>
      <c r="N502" s="18" t="str">
        <f aca="false">IF(A502="","",IF(AND(OR(F502="Bekliyor",F502="Parça bekleniyor",F502="Hazır"),M502&gt;7),"7 günü geçti",""))</f>
        <v/>
      </c>
      <c r="O502" s="18" t="str">
        <f aca="false">IF(AND(A502&lt;&gt;"",OR(F502="Bekliyor",F502="Parça bekleniyor",F502="Hazır")),A502+ROW()/1000000,"")</f>
        <v/>
      </c>
    </row>
    <row r="503" customFormat="false" ht="15" hidden="false" customHeight="false" outlineLevel="0" collapsed="false">
      <c r="A503" s="12"/>
      <c r="B503" s="13"/>
      <c r="C503" s="13"/>
      <c r="D503" s="13"/>
      <c r="E503" s="13"/>
      <c r="F503" s="14"/>
      <c r="G503" s="15"/>
      <c r="H503" s="15"/>
      <c r="I503" s="15"/>
      <c r="J503" s="12"/>
      <c r="K503" s="16" t="str">
        <f aca="false">IF(A503="","",G503+H503)</f>
        <v/>
      </c>
      <c r="L503" s="16" t="str">
        <f aca="false">IF(A503="","",IF(F503="İade edildi",0,K503-I503))</f>
        <v/>
      </c>
      <c r="M503" s="17" t="str">
        <f aca="true">IF(A503="","",IF(J503&lt;&gt;"",J503-A503,TODAY()-A503))</f>
        <v/>
      </c>
      <c r="N503" s="18" t="str">
        <f aca="false">IF(A503="","",IF(AND(OR(F503="Bekliyor",F503="Parça bekleniyor",F503="Hazır"),M503&gt;7),"7 günü geçti",""))</f>
        <v/>
      </c>
      <c r="O503" s="18" t="str">
        <f aca="false">IF(AND(A503&lt;&gt;"",OR(F503="Bekliyor",F503="Parça bekleniyor",F503="Hazır")),A503+ROW()/1000000,"")</f>
        <v/>
      </c>
    </row>
    <row r="504" customFormat="false" ht="15" hidden="false" customHeight="false" outlineLevel="0" collapsed="false">
      <c r="A504" s="12"/>
      <c r="B504" s="13"/>
      <c r="C504" s="13"/>
      <c r="D504" s="13"/>
      <c r="E504" s="13"/>
      <c r="F504" s="14"/>
      <c r="G504" s="15"/>
      <c r="H504" s="15"/>
      <c r="I504" s="15"/>
      <c r="J504" s="12"/>
      <c r="K504" s="16" t="str">
        <f aca="false">IF(A504="","",G504+H504)</f>
        <v/>
      </c>
      <c r="L504" s="16" t="str">
        <f aca="false">IF(A504="","",IF(F504="İade edildi",0,K504-I504))</f>
        <v/>
      </c>
      <c r="M504" s="17" t="str">
        <f aca="true">IF(A504="","",IF(J504&lt;&gt;"",J504-A504,TODAY()-A504))</f>
        <v/>
      </c>
      <c r="N504" s="18" t="str">
        <f aca="false">IF(A504="","",IF(AND(OR(F504="Bekliyor",F504="Parça bekleniyor",F504="Hazır"),M504&gt;7),"7 günü geçti",""))</f>
        <v/>
      </c>
      <c r="O504" s="18" t="str">
        <f aca="false">IF(AND(A504&lt;&gt;"",OR(F504="Bekliyor",F504="Parça bekleniyor",F504="Hazır")),A504+ROW()/1000000,"")</f>
        <v/>
      </c>
    </row>
    <row r="505" customFormat="false" ht="15" hidden="false" customHeight="false" outlineLevel="0" collapsed="false">
      <c r="A505" s="12"/>
      <c r="B505" s="13"/>
      <c r="C505" s="13"/>
      <c r="D505" s="13"/>
      <c r="E505" s="13"/>
      <c r="F505" s="14"/>
      <c r="G505" s="15"/>
      <c r="H505" s="15"/>
      <c r="I505" s="15"/>
      <c r="J505" s="12"/>
      <c r="K505" s="16" t="str">
        <f aca="false">IF(A505="","",G505+H505)</f>
        <v/>
      </c>
      <c r="L505" s="16" t="str">
        <f aca="false">IF(A505="","",IF(F505="İade edildi",0,K505-I505))</f>
        <v/>
      </c>
      <c r="M505" s="17" t="str">
        <f aca="true">IF(A505="","",IF(J505&lt;&gt;"",J505-A505,TODAY()-A505))</f>
        <v/>
      </c>
      <c r="N505" s="18" t="str">
        <f aca="false">IF(A505="","",IF(AND(OR(F505="Bekliyor",F505="Parça bekleniyor",F505="Hazır"),M505&gt;7),"7 günü geçti",""))</f>
        <v/>
      </c>
      <c r="O505" s="18" t="str">
        <f aca="false">IF(AND(A505&lt;&gt;"",OR(F505="Bekliyor",F505="Parça bekleniyor",F505="Hazır")),A505+ROW()/1000000,"")</f>
        <v/>
      </c>
    </row>
    <row r="506" customFormat="false" ht="15" hidden="false" customHeight="false" outlineLevel="0" collapsed="false">
      <c r="A506" s="12"/>
      <c r="B506" s="13"/>
      <c r="C506" s="13"/>
      <c r="D506" s="13"/>
      <c r="E506" s="13"/>
      <c r="F506" s="14"/>
      <c r="G506" s="15"/>
      <c r="H506" s="15"/>
      <c r="I506" s="15"/>
      <c r="J506" s="12"/>
      <c r="K506" s="16" t="str">
        <f aca="false">IF(A506="","",G506+H506)</f>
        <v/>
      </c>
      <c r="L506" s="16" t="str">
        <f aca="false">IF(A506="","",IF(F506="İade edildi",0,K506-I506))</f>
        <v/>
      </c>
      <c r="M506" s="17" t="str">
        <f aca="true">IF(A506="","",IF(J506&lt;&gt;"",J506-A506,TODAY()-A506))</f>
        <v/>
      </c>
      <c r="N506" s="18" t="str">
        <f aca="false">IF(A506="","",IF(AND(OR(F506="Bekliyor",F506="Parça bekleniyor",F506="Hazır"),M506&gt;7),"7 günü geçti",""))</f>
        <v/>
      </c>
      <c r="O506" s="18" t="str">
        <f aca="false">IF(AND(A506&lt;&gt;"",OR(F506="Bekliyor",F506="Parça bekleniyor",F506="Hazır")),A506+ROW()/1000000,"")</f>
        <v/>
      </c>
    </row>
    <row r="507" customFormat="false" ht="15" hidden="false" customHeight="false" outlineLevel="0" collapsed="false">
      <c r="A507" s="12"/>
      <c r="B507" s="13"/>
      <c r="C507" s="13"/>
      <c r="D507" s="13"/>
      <c r="E507" s="13"/>
      <c r="F507" s="14"/>
      <c r="G507" s="15"/>
      <c r="H507" s="15"/>
      <c r="I507" s="15"/>
      <c r="J507" s="12"/>
      <c r="K507" s="16" t="str">
        <f aca="false">IF(A507="","",G507+H507)</f>
        <v/>
      </c>
      <c r="L507" s="16" t="str">
        <f aca="false">IF(A507="","",IF(F507="İade edildi",0,K507-I507))</f>
        <v/>
      </c>
      <c r="M507" s="17" t="str">
        <f aca="true">IF(A507="","",IF(J507&lt;&gt;"",J507-A507,TODAY()-A507))</f>
        <v/>
      </c>
      <c r="N507" s="18" t="str">
        <f aca="false">IF(A507="","",IF(AND(OR(F507="Bekliyor",F507="Parça bekleniyor",F507="Hazır"),M507&gt;7),"7 günü geçti",""))</f>
        <v/>
      </c>
      <c r="O507" s="18" t="str">
        <f aca="false">IF(AND(A507&lt;&gt;"",OR(F507="Bekliyor",F507="Parça bekleniyor",F507="Hazır")),A507+ROW()/1000000,"")</f>
        <v/>
      </c>
    </row>
    <row r="508" customFormat="false" ht="15" hidden="false" customHeight="false" outlineLevel="0" collapsed="false">
      <c r="A508" s="12"/>
      <c r="B508" s="13"/>
      <c r="C508" s="13"/>
      <c r="D508" s="13"/>
      <c r="E508" s="13"/>
      <c r="F508" s="14"/>
      <c r="G508" s="15"/>
      <c r="H508" s="15"/>
      <c r="I508" s="15"/>
      <c r="J508" s="12"/>
      <c r="K508" s="16" t="str">
        <f aca="false">IF(A508="","",G508+H508)</f>
        <v/>
      </c>
      <c r="L508" s="16" t="str">
        <f aca="false">IF(A508="","",IF(F508="İade edildi",0,K508-I508))</f>
        <v/>
      </c>
      <c r="M508" s="17" t="str">
        <f aca="true">IF(A508="","",IF(J508&lt;&gt;"",J508-A508,TODAY()-A508))</f>
        <v/>
      </c>
      <c r="N508" s="18" t="str">
        <f aca="false">IF(A508="","",IF(AND(OR(F508="Bekliyor",F508="Parça bekleniyor",F508="Hazır"),M508&gt;7),"7 günü geçti",""))</f>
        <v/>
      </c>
      <c r="O508" s="18" t="str">
        <f aca="false">IF(AND(A508&lt;&gt;"",OR(F508="Bekliyor",F508="Parça bekleniyor",F508="Hazır")),A508+ROW()/1000000,"")</f>
        <v/>
      </c>
    </row>
    <row r="509" customFormat="false" ht="15" hidden="false" customHeight="false" outlineLevel="0" collapsed="false">
      <c r="A509" s="12"/>
      <c r="B509" s="13"/>
      <c r="C509" s="13"/>
      <c r="D509" s="13"/>
      <c r="E509" s="13"/>
      <c r="F509" s="14"/>
      <c r="G509" s="15"/>
      <c r="H509" s="15"/>
      <c r="I509" s="15"/>
      <c r="J509" s="12"/>
      <c r="K509" s="16" t="str">
        <f aca="false">IF(A509="","",G509+H509)</f>
        <v/>
      </c>
      <c r="L509" s="16" t="str">
        <f aca="false">IF(A509="","",IF(F509="İade edildi",0,K509-I509))</f>
        <v/>
      </c>
      <c r="M509" s="17" t="str">
        <f aca="true">IF(A509="","",IF(J509&lt;&gt;"",J509-A509,TODAY()-A509))</f>
        <v/>
      </c>
      <c r="N509" s="18" t="str">
        <f aca="false">IF(A509="","",IF(AND(OR(F509="Bekliyor",F509="Parça bekleniyor",F509="Hazır"),M509&gt;7),"7 günü geçti",""))</f>
        <v/>
      </c>
      <c r="O509" s="18" t="str">
        <f aca="false">IF(AND(A509&lt;&gt;"",OR(F509="Bekliyor",F509="Parça bekleniyor",F509="Hazır")),A509+ROW()/1000000,"")</f>
        <v/>
      </c>
    </row>
    <row r="510" customFormat="false" ht="15" hidden="false" customHeight="false" outlineLevel="0" collapsed="false">
      <c r="A510" s="12"/>
      <c r="B510" s="13"/>
      <c r="C510" s="13"/>
      <c r="D510" s="13"/>
      <c r="E510" s="13"/>
      <c r="F510" s="14"/>
      <c r="G510" s="15"/>
      <c r="H510" s="15"/>
      <c r="I510" s="15"/>
      <c r="J510" s="12"/>
      <c r="K510" s="16" t="str">
        <f aca="false">IF(A510="","",G510+H510)</f>
        <v/>
      </c>
      <c r="L510" s="16" t="str">
        <f aca="false">IF(A510="","",IF(F510="İade edildi",0,K510-I510))</f>
        <v/>
      </c>
      <c r="M510" s="17" t="str">
        <f aca="true">IF(A510="","",IF(J510&lt;&gt;"",J510-A510,TODAY()-A510))</f>
        <v/>
      </c>
      <c r="N510" s="18" t="str">
        <f aca="false">IF(A510="","",IF(AND(OR(F510="Bekliyor",F510="Parça bekleniyor",F510="Hazır"),M510&gt;7),"7 günü geçti",""))</f>
        <v/>
      </c>
      <c r="O510" s="18" t="str">
        <f aca="false">IF(AND(A510&lt;&gt;"",OR(F510="Bekliyor",F510="Parça bekleniyor",F510="Hazır")),A510+ROW()/1000000,"")</f>
        <v/>
      </c>
    </row>
    <row r="511" customFormat="false" ht="15" hidden="false" customHeight="false" outlineLevel="0" collapsed="false">
      <c r="A511" s="12"/>
      <c r="B511" s="13"/>
      <c r="C511" s="13"/>
      <c r="D511" s="13"/>
      <c r="E511" s="13"/>
      <c r="F511" s="14"/>
      <c r="G511" s="15"/>
      <c r="H511" s="15"/>
      <c r="I511" s="15"/>
      <c r="J511" s="12"/>
      <c r="K511" s="16" t="str">
        <f aca="false">IF(A511="","",G511+H511)</f>
        <v/>
      </c>
      <c r="L511" s="16" t="str">
        <f aca="false">IF(A511="","",IF(F511="İade edildi",0,K511-I511))</f>
        <v/>
      </c>
      <c r="M511" s="17" t="str">
        <f aca="true">IF(A511="","",IF(J511&lt;&gt;"",J511-A511,TODAY()-A511))</f>
        <v/>
      </c>
      <c r="N511" s="18" t="str">
        <f aca="false">IF(A511="","",IF(AND(OR(F511="Bekliyor",F511="Parça bekleniyor",F511="Hazır"),M511&gt;7),"7 günü geçti",""))</f>
        <v/>
      </c>
      <c r="O511" s="18" t="str">
        <f aca="false">IF(AND(A511&lt;&gt;"",OR(F511="Bekliyor",F511="Parça bekleniyor",F511="Hazır")),A511+ROW()/1000000,"")</f>
        <v/>
      </c>
    </row>
    <row r="512" customFormat="false" ht="15" hidden="false" customHeight="false" outlineLevel="0" collapsed="false">
      <c r="A512" s="12"/>
      <c r="B512" s="13"/>
      <c r="C512" s="13"/>
      <c r="D512" s="13"/>
      <c r="E512" s="13"/>
      <c r="F512" s="14"/>
      <c r="G512" s="15"/>
      <c r="H512" s="15"/>
      <c r="I512" s="15"/>
      <c r="J512" s="12"/>
      <c r="K512" s="16" t="str">
        <f aca="false">IF(A512="","",G512+H512)</f>
        <v/>
      </c>
      <c r="L512" s="16" t="str">
        <f aca="false">IF(A512="","",IF(F512="İade edildi",0,K512-I512))</f>
        <v/>
      </c>
      <c r="M512" s="17" t="str">
        <f aca="true">IF(A512="","",IF(J512&lt;&gt;"",J512-A512,TODAY()-A512))</f>
        <v/>
      </c>
      <c r="N512" s="18" t="str">
        <f aca="false">IF(A512="","",IF(AND(OR(F512="Bekliyor",F512="Parça bekleniyor",F512="Hazır"),M512&gt;7),"7 günü geçti",""))</f>
        <v/>
      </c>
      <c r="O512" s="18" t="str">
        <f aca="false">IF(AND(A512&lt;&gt;"",OR(F512="Bekliyor",F512="Parça bekleniyor",F512="Hazır")),A512+ROW()/1000000,"")</f>
        <v/>
      </c>
    </row>
    <row r="513" customFormat="false" ht="15" hidden="false" customHeight="false" outlineLevel="0" collapsed="false">
      <c r="A513" s="12"/>
      <c r="B513" s="13"/>
      <c r="C513" s="13"/>
      <c r="D513" s="13"/>
      <c r="E513" s="13"/>
      <c r="F513" s="14"/>
      <c r="G513" s="15"/>
      <c r="H513" s="15"/>
      <c r="I513" s="15"/>
      <c r="J513" s="12"/>
      <c r="K513" s="16" t="str">
        <f aca="false">IF(A513="","",G513+H513)</f>
        <v/>
      </c>
      <c r="L513" s="16" t="str">
        <f aca="false">IF(A513="","",IF(F513="İade edildi",0,K513-I513))</f>
        <v/>
      </c>
      <c r="M513" s="17" t="str">
        <f aca="true">IF(A513="","",IF(J513&lt;&gt;"",J513-A513,TODAY()-A513))</f>
        <v/>
      </c>
      <c r="N513" s="18" t="str">
        <f aca="false">IF(A513="","",IF(AND(OR(F513="Bekliyor",F513="Parça bekleniyor",F513="Hazır"),M513&gt;7),"7 günü geçti",""))</f>
        <v/>
      </c>
      <c r="O513" s="18" t="str">
        <f aca="false">IF(AND(A513&lt;&gt;"",OR(F513="Bekliyor",F513="Parça bekleniyor",F513="Hazır")),A513+ROW()/1000000,"")</f>
        <v/>
      </c>
    </row>
    <row r="514" customFormat="false" ht="15" hidden="false" customHeight="false" outlineLevel="0" collapsed="false">
      <c r="A514" s="12"/>
      <c r="B514" s="13"/>
      <c r="C514" s="13"/>
      <c r="D514" s="13"/>
      <c r="E514" s="13"/>
      <c r="F514" s="14"/>
      <c r="G514" s="15"/>
      <c r="H514" s="15"/>
      <c r="I514" s="15"/>
      <c r="J514" s="12"/>
      <c r="K514" s="16" t="str">
        <f aca="false">IF(A514="","",G514+H514)</f>
        <v/>
      </c>
      <c r="L514" s="16" t="str">
        <f aca="false">IF(A514="","",IF(F514="İade edildi",0,K514-I514))</f>
        <v/>
      </c>
      <c r="M514" s="17" t="str">
        <f aca="true">IF(A514="","",IF(J514&lt;&gt;"",J514-A514,TODAY()-A514))</f>
        <v/>
      </c>
      <c r="N514" s="18" t="str">
        <f aca="false">IF(A514="","",IF(AND(OR(F514="Bekliyor",F514="Parça bekleniyor",F514="Hazır"),M514&gt;7),"7 günü geçti",""))</f>
        <v/>
      </c>
      <c r="O514" s="18" t="str">
        <f aca="false">IF(AND(A514&lt;&gt;"",OR(F514="Bekliyor",F514="Parça bekleniyor",F514="Hazır")),A514+ROW()/1000000,"")</f>
        <v/>
      </c>
    </row>
    <row r="515" customFormat="false" ht="15" hidden="false" customHeight="false" outlineLevel="0" collapsed="false">
      <c r="A515" s="12"/>
      <c r="B515" s="13"/>
      <c r="C515" s="13"/>
      <c r="D515" s="13"/>
      <c r="E515" s="13"/>
      <c r="F515" s="14"/>
      <c r="G515" s="15"/>
      <c r="H515" s="15"/>
      <c r="I515" s="15"/>
      <c r="J515" s="12"/>
      <c r="K515" s="16" t="str">
        <f aca="false">IF(A515="","",G515+H515)</f>
        <v/>
      </c>
      <c r="L515" s="16" t="str">
        <f aca="false">IF(A515="","",IF(F515="İade edildi",0,K515-I515))</f>
        <v/>
      </c>
      <c r="M515" s="17" t="str">
        <f aca="true">IF(A515="","",IF(J515&lt;&gt;"",J515-A515,TODAY()-A515))</f>
        <v/>
      </c>
      <c r="N515" s="18" t="str">
        <f aca="false">IF(A515="","",IF(AND(OR(F515="Bekliyor",F515="Parça bekleniyor",F515="Hazır"),M515&gt;7),"7 günü geçti",""))</f>
        <v/>
      </c>
      <c r="O515" s="18" t="str">
        <f aca="false">IF(AND(A515&lt;&gt;"",OR(F515="Bekliyor",F515="Parça bekleniyor",F515="Hazır")),A515+ROW()/1000000,"")</f>
        <v/>
      </c>
    </row>
    <row r="516" customFormat="false" ht="15" hidden="false" customHeight="false" outlineLevel="0" collapsed="false">
      <c r="A516" s="12"/>
      <c r="B516" s="13"/>
      <c r="C516" s="13"/>
      <c r="D516" s="13"/>
      <c r="E516" s="13"/>
      <c r="F516" s="14"/>
      <c r="G516" s="15"/>
      <c r="H516" s="15"/>
      <c r="I516" s="15"/>
      <c r="J516" s="12"/>
      <c r="K516" s="16" t="str">
        <f aca="false">IF(A516="","",G516+H516)</f>
        <v/>
      </c>
      <c r="L516" s="16" t="str">
        <f aca="false">IF(A516="","",IF(F516="İade edildi",0,K516-I516))</f>
        <v/>
      </c>
      <c r="M516" s="17" t="str">
        <f aca="true">IF(A516="","",IF(J516&lt;&gt;"",J516-A516,TODAY()-A516))</f>
        <v/>
      </c>
      <c r="N516" s="18" t="str">
        <f aca="false">IF(A516="","",IF(AND(OR(F516="Bekliyor",F516="Parça bekleniyor",F516="Hazır"),M516&gt;7),"7 günü geçti",""))</f>
        <v/>
      </c>
      <c r="O516" s="18" t="str">
        <f aca="false">IF(AND(A516&lt;&gt;"",OR(F516="Bekliyor",F516="Parça bekleniyor",F516="Hazır")),A516+ROW()/1000000,"")</f>
        <v/>
      </c>
    </row>
    <row r="517" customFormat="false" ht="15" hidden="false" customHeight="false" outlineLevel="0" collapsed="false">
      <c r="A517" s="12"/>
      <c r="B517" s="13"/>
      <c r="C517" s="13"/>
      <c r="D517" s="13"/>
      <c r="E517" s="13"/>
      <c r="F517" s="14"/>
      <c r="G517" s="15"/>
      <c r="H517" s="15"/>
      <c r="I517" s="15"/>
      <c r="J517" s="12"/>
      <c r="K517" s="16" t="str">
        <f aca="false">IF(A517="","",G517+H517)</f>
        <v/>
      </c>
      <c r="L517" s="16" t="str">
        <f aca="false">IF(A517="","",IF(F517="İade edildi",0,K517-I517))</f>
        <v/>
      </c>
      <c r="M517" s="17" t="str">
        <f aca="true">IF(A517="","",IF(J517&lt;&gt;"",J517-A517,TODAY()-A517))</f>
        <v/>
      </c>
      <c r="N517" s="18" t="str">
        <f aca="false">IF(A517="","",IF(AND(OR(F517="Bekliyor",F517="Parça bekleniyor",F517="Hazır"),M517&gt;7),"7 günü geçti",""))</f>
        <v/>
      </c>
      <c r="O517" s="18" t="str">
        <f aca="false">IF(AND(A517&lt;&gt;"",OR(F517="Bekliyor",F517="Parça bekleniyor",F517="Hazır")),A517+ROW()/1000000,"")</f>
        <v/>
      </c>
    </row>
    <row r="518" customFormat="false" ht="15" hidden="false" customHeight="false" outlineLevel="0" collapsed="false">
      <c r="A518" s="12"/>
      <c r="B518" s="13"/>
      <c r="C518" s="13"/>
      <c r="D518" s="13"/>
      <c r="E518" s="13"/>
      <c r="F518" s="14"/>
      <c r="G518" s="15"/>
      <c r="H518" s="15"/>
      <c r="I518" s="15"/>
      <c r="J518" s="12"/>
      <c r="K518" s="16" t="str">
        <f aca="false">IF(A518="","",G518+H518)</f>
        <v/>
      </c>
      <c r="L518" s="16" t="str">
        <f aca="false">IF(A518="","",IF(F518="İade edildi",0,K518-I518))</f>
        <v/>
      </c>
      <c r="M518" s="17" t="str">
        <f aca="true">IF(A518="","",IF(J518&lt;&gt;"",J518-A518,TODAY()-A518))</f>
        <v/>
      </c>
      <c r="N518" s="18" t="str">
        <f aca="false">IF(A518="","",IF(AND(OR(F518="Bekliyor",F518="Parça bekleniyor",F518="Hazır"),M518&gt;7),"7 günü geçti",""))</f>
        <v/>
      </c>
      <c r="O518" s="18" t="str">
        <f aca="false">IF(AND(A518&lt;&gt;"",OR(F518="Bekliyor",F518="Parça bekleniyor",F518="Hazır")),A518+ROW()/1000000,"")</f>
        <v/>
      </c>
    </row>
    <row r="519" customFormat="false" ht="15" hidden="false" customHeight="false" outlineLevel="0" collapsed="false">
      <c r="A519" s="12"/>
      <c r="B519" s="13"/>
      <c r="C519" s="13"/>
      <c r="D519" s="13"/>
      <c r="E519" s="13"/>
      <c r="F519" s="14"/>
      <c r="G519" s="15"/>
      <c r="H519" s="15"/>
      <c r="I519" s="15"/>
      <c r="J519" s="12"/>
      <c r="K519" s="16" t="str">
        <f aca="false">IF(A519="","",G519+H519)</f>
        <v/>
      </c>
      <c r="L519" s="16" t="str">
        <f aca="false">IF(A519="","",IF(F519="İade edildi",0,K519-I519))</f>
        <v/>
      </c>
      <c r="M519" s="17" t="str">
        <f aca="true">IF(A519="","",IF(J519&lt;&gt;"",J519-A519,TODAY()-A519))</f>
        <v/>
      </c>
      <c r="N519" s="18" t="str">
        <f aca="false">IF(A519="","",IF(AND(OR(F519="Bekliyor",F519="Parça bekleniyor",F519="Hazır"),M519&gt;7),"7 günü geçti",""))</f>
        <v/>
      </c>
      <c r="O519" s="18" t="str">
        <f aca="false">IF(AND(A519&lt;&gt;"",OR(F519="Bekliyor",F519="Parça bekleniyor",F519="Hazır")),A519+ROW()/1000000,"")</f>
        <v/>
      </c>
    </row>
    <row r="520" customFormat="false" ht="15" hidden="false" customHeight="false" outlineLevel="0" collapsed="false">
      <c r="A520" s="12"/>
      <c r="B520" s="13"/>
      <c r="C520" s="13"/>
      <c r="D520" s="13"/>
      <c r="E520" s="13"/>
      <c r="F520" s="14"/>
      <c r="G520" s="15"/>
      <c r="H520" s="15"/>
      <c r="I520" s="15"/>
      <c r="J520" s="12"/>
      <c r="K520" s="16" t="str">
        <f aca="false">IF(A520="","",G520+H520)</f>
        <v/>
      </c>
      <c r="L520" s="16" t="str">
        <f aca="false">IF(A520="","",IF(F520="İade edildi",0,K520-I520))</f>
        <v/>
      </c>
      <c r="M520" s="17" t="str">
        <f aca="true">IF(A520="","",IF(J520&lt;&gt;"",J520-A520,TODAY()-A520))</f>
        <v/>
      </c>
      <c r="N520" s="18" t="str">
        <f aca="false">IF(A520="","",IF(AND(OR(F520="Bekliyor",F520="Parça bekleniyor",F520="Hazır"),M520&gt;7),"7 günü geçti",""))</f>
        <v/>
      </c>
      <c r="O520" s="18" t="str">
        <f aca="false">IF(AND(A520&lt;&gt;"",OR(F520="Bekliyor",F520="Parça bekleniyor",F520="Hazır")),A520+ROW()/1000000,"")</f>
        <v/>
      </c>
    </row>
    <row r="521" customFormat="false" ht="15" hidden="false" customHeight="false" outlineLevel="0" collapsed="false">
      <c r="A521" s="12"/>
      <c r="B521" s="13"/>
      <c r="C521" s="13"/>
      <c r="D521" s="13"/>
      <c r="E521" s="13"/>
      <c r="F521" s="14"/>
      <c r="G521" s="15"/>
      <c r="H521" s="15"/>
      <c r="I521" s="15"/>
      <c r="J521" s="12"/>
      <c r="K521" s="16" t="str">
        <f aca="false">IF(A521="","",G521+H521)</f>
        <v/>
      </c>
      <c r="L521" s="16" t="str">
        <f aca="false">IF(A521="","",IF(F521="İade edildi",0,K521-I521))</f>
        <v/>
      </c>
      <c r="M521" s="17" t="str">
        <f aca="true">IF(A521="","",IF(J521&lt;&gt;"",J521-A521,TODAY()-A521))</f>
        <v/>
      </c>
      <c r="N521" s="18" t="str">
        <f aca="false">IF(A521="","",IF(AND(OR(F521="Bekliyor",F521="Parça bekleniyor",F521="Hazır"),M521&gt;7),"7 günü geçti",""))</f>
        <v/>
      </c>
      <c r="O521" s="18" t="str">
        <f aca="false">IF(AND(A521&lt;&gt;"",OR(F521="Bekliyor",F521="Parça bekleniyor",F521="Hazır")),A521+ROW()/1000000,"")</f>
        <v/>
      </c>
    </row>
    <row r="522" customFormat="false" ht="15" hidden="false" customHeight="false" outlineLevel="0" collapsed="false">
      <c r="A522" s="12"/>
      <c r="B522" s="13"/>
      <c r="C522" s="13"/>
      <c r="D522" s="13"/>
      <c r="E522" s="13"/>
      <c r="F522" s="14"/>
      <c r="G522" s="15"/>
      <c r="H522" s="15"/>
      <c r="I522" s="15"/>
      <c r="J522" s="12"/>
      <c r="K522" s="16" t="str">
        <f aca="false">IF(A522="","",G522+H522)</f>
        <v/>
      </c>
      <c r="L522" s="16" t="str">
        <f aca="false">IF(A522="","",IF(F522="İade edildi",0,K522-I522))</f>
        <v/>
      </c>
      <c r="M522" s="17" t="str">
        <f aca="true">IF(A522="","",IF(J522&lt;&gt;"",J522-A522,TODAY()-A522))</f>
        <v/>
      </c>
      <c r="N522" s="18" t="str">
        <f aca="false">IF(A522="","",IF(AND(OR(F522="Bekliyor",F522="Parça bekleniyor",F522="Hazır"),M522&gt;7),"7 günü geçti",""))</f>
        <v/>
      </c>
      <c r="O522" s="18" t="str">
        <f aca="false">IF(AND(A522&lt;&gt;"",OR(F522="Bekliyor",F522="Parça bekleniyor",F522="Hazır")),A522+ROW()/1000000,"")</f>
        <v/>
      </c>
    </row>
    <row r="523" customFormat="false" ht="15" hidden="false" customHeight="false" outlineLevel="0" collapsed="false">
      <c r="A523" s="12"/>
      <c r="B523" s="13"/>
      <c r="C523" s="13"/>
      <c r="D523" s="13"/>
      <c r="E523" s="13"/>
      <c r="F523" s="14"/>
      <c r="G523" s="15"/>
      <c r="H523" s="15"/>
      <c r="I523" s="15"/>
      <c r="J523" s="12"/>
      <c r="K523" s="16" t="str">
        <f aca="false">IF(A523="","",G523+H523)</f>
        <v/>
      </c>
      <c r="L523" s="16" t="str">
        <f aca="false">IF(A523="","",IF(F523="İade edildi",0,K523-I523))</f>
        <v/>
      </c>
      <c r="M523" s="17" t="str">
        <f aca="true">IF(A523="","",IF(J523&lt;&gt;"",J523-A523,TODAY()-A523))</f>
        <v/>
      </c>
      <c r="N523" s="18" t="str">
        <f aca="false">IF(A523="","",IF(AND(OR(F523="Bekliyor",F523="Parça bekleniyor",F523="Hazır"),M523&gt;7),"7 günü geçti",""))</f>
        <v/>
      </c>
      <c r="O523" s="18" t="str">
        <f aca="false">IF(AND(A523&lt;&gt;"",OR(F523="Bekliyor",F523="Parça bekleniyor",F523="Hazır")),A523+ROW()/1000000,"")</f>
        <v/>
      </c>
    </row>
    <row r="524" customFormat="false" ht="15" hidden="false" customHeight="false" outlineLevel="0" collapsed="false">
      <c r="A524" s="12"/>
      <c r="B524" s="13"/>
      <c r="C524" s="13"/>
      <c r="D524" s="13"/>
      <c r="E524" s="13"/>
      <c r="F524" s="14"/>
      <c r="G524" s="15"/>
      <c r="H524" s="15"/>
      <c r="I524" s="15"/>
      <c r="J524" s="12"/>
      <c r="K524" s="16" t="str">
        <f aca="false">IF(A524="","",G524+H524)</f>
        <v/>
      </c>
      <c r="L524" s="16" t="str">
        <f aca="false">IF(A524="","",IF(F524="İade edildi",0,K524-I524))</f>
        <v/>
      </c>
      <c r="M524" s="17" t="str">
        <f aca="true">IF(A524="","",IF(J524&lt;&gt;"",J524-A524,TODAY()-A524))</f>
        <v/>
      </c>
      <c r="N524" s="18" t="str">
        <f aca="false">IF(A524="","",IF(AND(OR(F524="Bekliyor",F524="Parça bekleniyor",F524="Hazır"),M524&gt;7),"7 günü geçti",""))</f>
        <v/>
      </c>
      <c r="O524" s="18" t="str">
        <f aca="false">IF(AND(A524&lt;&gt;"",OR(F524="Bekliyor",F524="Parça bekleniyor",F524="Hazır")),A524+ROW()/1000000,"")</f>
        <v/>
      </c>
    </row>
    <row r="525" customFormat="false" ht="15" hidden="false" customHeight="false" outlineLevel="0" collapsed="false">
      <c r="A525" s="12"/>
      <c r="B525" s="13"/>
      <c r="C525" s="13"/>
      <c r="D525" s="13"/>
      <c r="E525" s="13"/>
      <c r="F525" s="14"/>
      <c r="G525" s="15"/>
      <c r="H525" s="15"/>
      <c r="I525" s="15"/>
      <c r="J525" s="12"/>
      <c r="K525" s="16" t="str">
        <f aca="false">IF(A525="","",G525+H525)</f>
        <v/>
      </c>
      <c r="L525" s="16" t="str">
        <f aca="false">IF(A525="","",IF(F525="İade edildi",0,K525-I525))</f>
        <v/>
      </c>
      <c r="M525" s="17" t="str">
        <f aca="true">IF(A525="","",IF(J525&lt;&gt;"",J525-A525,TODAY()-A525))</f>
        <v/>
      </c>
      <c r="N525" s="18" t="str">
        <f aca="false">IF(A525="","",IF(AND(OR(F525="Bekliyor",F525="Parça bekleniyor",F525="Hazır"),M525&gt;7),"7 günü geçti",""))</f>
        <v/>
      </c>
      <c r="O525" s="18" t="str">
        <f aca="false">IF(AND(A525&lt;&gt;"",OR(F525="Bekliyor",F525="Parça bekleniyor",F525="Hazır")),A525+ROW()/1000000,"")</f>
        <v/>
      </c>
    </row>
    <row r="526" customFormat="false" ht="15" hidden="false" customHeight="false" outlineLevel="0" collapsed="false">
      <c r="A526" s="12"/>
      <c r="B526" s="13"/>
      <c r="C526" s="13"/>
      <c r="D526" s="13"/>
      <c r="E526" s="13"/>
      <c r="F526" s="14"/>
      <c r="G526" s="15"/>
      <c r="H526" s="15"/>
      <c r="I526" s="15"/>
      <c r="J526" s="12"/>
      <c r="K526" s="16" t="str">
        <f aca="false">IF(A526="","",G526+H526)</f>
        <v/>
      </c>
      <c r="L526" s="16" t="str">
        <f aca="false">IF(A526="","",IF(F526="İade edildi",0,K526-I526))</f>
        <v/>
      </c>
      <c r="M526" s="17" t="str">
        <f aca="true">IF(A526="","",IF(J526&lt;&gt;"",J526-A526,TODAY()-A526))</f>
        <v/>
      </c>
      <c r="N526" s="18" t="str">
        <f aca="false">IF(A526="","",IF(AND(OR(F526="Bekliyor",F526="Parça bekleniyor",F526="Hazır"),M526&gt;7),"7 günü geçti",""))</f>
        <v/>
      </c>
      <c r="O526" s="18" t="str">
        <f aca="false">IF(AND(A526&lt;&gt;"",OR(F526="Bekliyor",F526="Parça bekleniyor",F526="Hazır")),A526+ROW()/1000000,"")</f>
        <v/>
      </c>
    </row>
    <row r="527" customFormat="false" ht="15" hidden="false" customHeight="false" outlineLevel="0" collapsed="false">
      <c r="A527" s="12"/>
      <c r="B527" s="13"/>
      <c r="C527" s="13"/>
      <c r="D527" s="13"/>
      <c r="E527" s="13"/>
      <c r="F527" s="14"/>
      <c r="G527" s="15"/>
      <c r="H527" s="15"/>
      <c r="I527" s="15"/>
      <c r="J527" s="12"/>
      <c r="K527" s="16" t="str">
        <f aca="false">IF(A527="","",G527+H527)</f>
        <v/>
      </c>
      <c r="L527" s="16" t="str">
        <f aca="false">IF(A527="","",IF(F527="İade edildi",0,K527-I527))</f>
        <v/>
      </c>
      <c r="M527" s="17" t="str">
        <f aca="true">IF(A527="","",IF(J527&lt;&gt;"",J527-A527,TODAY()-A527))</f>
        <v/>
      </c>
      <c r="N527" s="18" t="str">
        <f aca="false">IF(A527="","",IF(AND(OR(F527="Bekliyor",F527="Parça bekleniyor",F527="Hazır"),M527&gt;7),"7 günü geçti",""))</f>
        <v/>
      </c>
      <c r="O527" s="18" t="str">
        <f aca="false">IF(AND(A527&lt;&gt;"",OR(F527="Bekliyor",F527="Parça bekleniyor",F527="Hazır")),A527+ROW()/1000000,"")</f>
        <v/>
      </c>
    </row>
    <row r="528" customFormat="false" ht="15" hidden="false" customHeight="false" outlineLevel="0" collapsed="false">
      <c r="A528" s="12"/>
      <c r="B528" s="13"/>
      <c r="C528" s="13"/>
      <c r="D528" s="13"/>
      <c r="E528" s="13"/>
      <c r="F528" s="14"/>
      <c r="G528" s="15"/>
      <c r="H528" s="15"/>
      <c r="I528" s="15"/>
      <c r="J528" s="12"/>
      <c r="K528" s="16" t="str">
        <f aca="false">IF(A528="","",G528+H528)</f>
        <v/>
      </c>
      <c r="L528" s="16" t="str">
        <f aca="false">IF(A528="","",IF(F528="İade edildi",0,K528-I528))</f>
        <v/>
      </c>
      <c r="M528" s="17" t="str">
        <f aca="true">IF(A528="","",IF(J528&lt;&gt;"",J528-A528,TODAY()-A528))</f>
        <v/>
      </c>
      <c r="N528" s="18" t="str">
        <f aca="false">IF(A528="","",IF(AND(OR(F528="Bekliyor",F528="Parça bekleniyor",F528="Hazır"),M528&gt;7),"7 günü geçti",""))</f>
        <v/>
      </c>
      <c r="O528" s="18" t="str">
        <f aca="false">IF(AND(A528&lt;&gt;"",OR(F528="Bekliyor",F528="Parça bekleniyor",F528="Hazır")),A528+ROW()/1000000,"")</f>
        <v/>
      </c>
    </row>
    <row r="529" customFormat="false" ht="15" hidden="false" customHeight="false" outlineLevel="0" collapsed="false">
      <c r="A529" s="12"/>
      <c r="B529" s="13"/>
      <c r="C529" s="13"/>
      <c r="D529" s="13"/>
      <c r="E529" s="13"/>
      <c r="F529" s="14"/>
      <c r="G529" s="15"/>
      <c r="H529" s="15"/>
      <c r="I529" s="15"/>
      <c r="J529" s="12"/>
      <c r="K529" s="16" t="str">
        <f aca="false">IF(A529="","",G529+H529)</f>
        <v/>
      </c>
      <c r="L529" s="16" t="str">
        <f aca="false">IF(A529="","",IF(F529="İade edildi",0,K529-I529))</f>
        <v/>
      </c>
      <c r="M529" s="17" t="str">
        <f aca="true">IF(A529="","",IF(J529&lt;&gt;"",J529-A529,TODAY()-A529))</f>
        <v/>
      </c>
      <c r="N529" s="18" t="str">
        <f aca="false">IF(A529="","",IF(AND(OR(F529="Bekliyor",F529="Parça bekleniyor",F529="Hazır"),M529&gt;7),"7 günü geçti",""))</f>
        <v/>
      </c>
      <c r="O529" s="18" t="str">
        <f aca="false">IF(AND(A529&lt;&gt;"",OR(F529="Bekliyor",F529="Parça bekleniyor",F529="Hazır")),A529+ROW()/1000000,"")</f>
        <v/>
      </c>
    </row>
    <row r="530" customFormat="false" ht="15" hidden="false" customHeight="false" outlineLevel="0" collapsed="false">
      <c r="A530" s="12"/>
      <c r="B530" s="13"/>
      <c r="C530" s="13"/>
      <c r="D530" s="13"/>
      <c r="E530" s="13"/>
      <c r="F530" s="14"/>
      <c r="G530" s="15"/>
      <c r="H530" s="15"/>
      <c r="I530" s="15"/>
      <c r="J530" s="12"/>
      <c r="K530" s="16" t="str">
        <f aca="false">IF(A530="","",G530+H530)</f>
        <v/>
      </c>
      <c r="L530" s="16" t="str">
        <f aca="false">IF(A530="","",IF(F530="İade edildi",0,K530-I530))</f>
        <v/>
      </c>
      <c r="M530" s="17" t="str">
        <f aca="true">IF(A530="","",IF(J530&lt;&gt;"",J530-A530,TODAY()-A530))</f>
        <v/>
      </c>
      <c r="N530" s="18" t="str">
        <f aca="false">IF(A530="","",IF(AND(OR(F530="Bekliyor",F530="Parça bekleniyor",F530="Hazır"),M530&gt;7),"7 günü geçti",""))</f>
        <v/>
      </c>
      <c r="O530" s="18" t="str">
        <f aca="false">IF(AND(A530&lt;&gt;"",OR(F530="Bekliyor",F530="Parça bekleniyor",F530="Hazır")),A530+ROW()/1000000,"")</f>
        <v/>
      </c>
    </row>
    <row r="531" customFormat="false" ht="15" hidden="false" customHeight="false" outlineLevel="0" collapsed="false">
      <c r="A531" s="12"/>
      <c r="B531" s="13"/>
      <c r="C531" s="13"/>
      <c r="D531" s="13"/>
      <c r="E531" s="13"/>
      <c r="F531" s="14"/>
      <c r="G531" s="15"/>
      <c r="H531" s="15"/>
      <c r="I531" s="15"/>
      <c r="J531" s="12"/>
      <c r="K531" s="16" t="str">
        <f aca="false">IF(A531="","",G531+H531)</f>
        <v/>
      </c>
      <c r="L531" s="16" t="str">
        <f aca="false">IF(A531="","",IF(F531="İade edildi",0,K531-I531))</f>
        <v/>
      </c>
      <c r="M531" s="17" t="str">
        <f aca="true">IF(A531="","",IF(J531&lt;&gt;"",J531-A531,TODAY()-A531))</f>
        <v/>
      </c>
      <c r="N531" s="18" t="str">
        <f aca="false">IF(A531="","",IF(AND(OR(F531="Bekliyor",F531="Parça bekleniyor",F531="Hazır"),M531&gt;7),"7 günü geçti",""))</f>
        <v/>
      </c>
      <c r="O531" s="18" t="str">
        <f aca="false">IF(AND(A531&lt;&gt;"",OR(F531="Bekliyor",F531="Parça bekleniyor",F531="Hazır")),A531+ROW()/1000000,"")</f>
        <v/>
      </c>
    </row>
    <row r="532" customFormat="false" ht="15" hidden="false" customHeight="false" outlineLevel="0" collapsed="false">
      <c r="A532" s="12"/>
      <c r="B532" s="13"/>
      <c r="C532" s="13"/>
      <c r="D532" s="13"/>
      <c r="E532" s="13"/>
      <c r="F532" s="14"/>
      <c r="G532" s="15"/>
      <c r="H532" s="15"/>
      <c r="I532" s="15"/>
      <c r="J532" s="12"/>
      <c r="K532" s="16" t="str">
        <f aca="false">IF(A532="","",G532+H532)</f>
        <v/>
      </c>
      <c r="L532" s="16" t="str">
        <f aca="false">IF(A532="","",IF(F532="İade edildi",0,K532-I532))</f>
        <v/>
      </c>
      <c r="M532" s="17" t="str">
        <f aca="true">IF(A532="","",IF(J532&lt;&gt;"",J532-A532,TODAY()-A532))</f>
        <v/>
      </c>
      <c r="N532" s="18" t="str">
        <f aca="false">IF(A532="","",IF(AND(OR(F532="Bekliyor",F532="Parça bekleniyor",F532="Hazır"),M532&gt;7),"7 günü geçti",""))</f>
        <v/>
      </c>
      <c r="O532" s="18" t="str">
        <f aca="false">IF(AND(A532&lt;&gt;"",OR(F532="Bekliyor",F532="Parça bekleniyor",F532="Hazır")),A532+ROW()/1000000,"")</f>
        <v/>
      </c>
    </row>
    <row r="533" customFormat="false" ht="15" hidden="false" customHeight="false" outlineLevel="0" collapsed="false">
      <c r="A533" s="12"/>
      <c r="B533" s="13"/>
      <c r="C533" s="13"/>
      <c r="D533" s="13"/>
      <c r="E533" s="13"/>
      <c r="F533" s="14"/>
      <c r="G533" s="15"/>
      <c r="H533" s="15"/>
      <c r="I533" s="15"/>
      <c r="J533" s="12"/>
      <c r="K533" s="16" t="str">
        <f aca="false">IF(A533="","",G533+H533)</f>
        <v/>
      </c>
      <c r="L533" s="16" t="str">
        <f aca="false">IF(A533="","",IF(F533="İade edildi",0,K533-I533))</f>
        <v/>
      </c>
      <c r="M533" s="17" t="str">
        <f aca="true">IF(A533="","",IF(J533&lt;&gt;"",J533-A533,TODAY()-A533))</f>
        <v/>
      </c>
      <c r="N533" s="18" t="str">
        <f aca="false">IF(A533="","",IF(AND(OR(F533="Bekliyor",F533="Parça bekleniyor",F533="Hazır"),M533&gt;7),"7 günü geçti",""))</f>
        <v/>
      </c>
      <c r="O533" s="18" t="str">
        <f aca="false">IF(AND(A533&lt;&gt;"",OR(F533="Bekliyor",F533="Parça bekleniyor",F533="Hazır")),A533+ROW()/1000000,"")</f>
        <v/>
      </c>
    </row>
    <row r="534" customFormat="false" ht="15" hidden="false" customHeight="false" outlineLevel="0" collapsed="false">
      <c r="A534" s="12"/>
      <c r="B534" s="13"/>
      <c r="C534" s="13"/>
      <c r="D534" s="13"/>
      <c r="E534" s="13"/>
      <c r="F534" s="14"/>
      <c r="G534" s="15"/>
      <c r="H534" s="15"/>
      <c r="I534" s="15"/>
      <c r="J534" s="12"/>
      <c r="K534" s="16" t="str">
        <f aca="false">IF(A534="","",G534+H534)</f>
        <v/>
      </c>
      <c r="L534" s="16" t="str">
        <f aca="false">IF(A534="","",IF(F534="İade edildi",0,K534-I534))</f>
        <v/>
      </c>
      <c r="M534" s="17" t="str">
        <f aca="true">IF(A534="","",IF(J534&lt;&gt;"",J534-A534,TODAY()-A534))</f>
        <v/>
      </c>
      <c r="N534" s="18" t="str">
        <f aca="false">IF(A534="","",IF(AND(OR(F534="Bekliyor",F534="Parça bekleniyor",F534="Hazır"),M534&gt;7),"7 günü geçti",""))</f>
        <v/>
      </c>
      <c r="O534" s="18" t="str">
        <f aca="false">IF(AND(A534&lt;&gt;"",OR(F534="Bekliyor",F534="Parça bekleniyor",F534="Hazır")),A534+ROW()/1000000,"")</f>
        <v/>
      </c>
    </row>
    <row r="535" customFormat="false" ht="15" hidden="false" customHeight="false" outlineLevel="0" collapsed="false">
      <c r="A535" s="12"/>
      <c r="B535" s="13"/>
      <c r="C535" s="13"/>
      <c r="D535" s="13"/>
      <c r="E535" s="13"/>
      <c r="F535" s="14"/>
      <c r="G535" s="15"/>
      <c r="H535" s="15"/>
      <c r="I535" s="15"/>
      <c r="J535" s="12"/>
      <c r="K535" s="16" t="str">
        <f aca="false">IF(A535="","",G535+H535)</f>
        <v/>
      </c>
      <c r="L535" s="16" t="str">
        <f aca="false">IF(A535="","",IF(F535="İade edildi",0,K535-I535))</f>
        <v/>
      </c>
      <c r="M535" s="17" t="str">
        <f aca="true">IF(A535="","",IF(J535&lt;&gt;"",J535-A535,TODAY()-A535))</f>
        <v/>
      </c>
      <c r="N535" s="18" t="str">
        <f aca="false">IF(A535="","",IF(AND(OR(F535="Bekliyor",F535="Parça bekleniyor",F535="Hazır"),M535&gt;7),"7 günü geçti",""))</f>
        <v/>
      </c>
      <c r="O535" s="18" t="str">
        <f aca="false">IF(AND(A535&lt;&gt;"",OR(F535="Bekliyor",F535="Parça bekleniyor",F535="Hazır")),A535+ROW()/1000000,"")</f>
        <v/>
      </c>
    </row>
    <row r="536" customFormat="false" ht="15" hidden="false" customHeight="false" outlineLevel="0" collapsed="false">
      <c r="A536" s="12"/>
      <c r="B536" s="13"/>
      <c r="C536" s="13"/>
      <c r="D536" s="13"/>
      <c r="E536" s="13"/>
      <c r="F536" s="14"/>
      <c r="G536" s="15"/>
      <c r="H536" s="15"/>
      <c r="I536" s="15"/>
      <c r="J536" s="12"/>
      <c r="K536" s="16" t="str">
        <f aca="false">IF(A536="","",G536+H536)</f>
        <v/>
      </c>
      <c r="L536" s="16" t="str">
        <f aca="false">IF(A536="","",IF(F536="İade edildi",0,K536-I536))</f>
        <v/>
      </c>
      <c r="M536" s="17" t="str">
        <f aca="true">IF(A536="","",IF(J536&lt;&gt;"",J536-A536,TODAY()-A536))</f>
        <v/>
      </c>
      <c r="N536" s="18" t="str">
        <f aca="false">IF(A536="","",IF(AND(OR(F536="Bekliyor",F536="Parça bekleniyor",F536="Hazır"),M536&gt;7),"7 günü geçti",""))</f>
        <v/>
      </c>
      <c r="O536" s="18" t="str">
        <f aca="false">IF(AND(A536&lt;&gt;"",OR(F536="Bekliyor",F536="Parça bekleniyor",F536="Hazır")),A536+ROW()/1000000,"")</f>
        <v/>
      </c>
    </row>
    <row r="537" customFormat="false" ht="15" hidden="false" customHeight="false" outlineLevel="0" collapsed="false">
      <c r="A537" s="12"/>
      <c r="B537" s="13"/>
      <c r="C537" s="13"/>
      <c r="D537" s="13"/>
      <c r="E537" s="13"/>
      <c r="F537" s="14"/>
      <c r="G537" s="15"/>
      <c r="H537" s="15"/>
      <c r="I537" s="15"/>
      <c r="J537" s="12"/>
      <c r="K537" s="16" t="str">
        <f aca="false">IF(A537="","",G537+H537)</f>
        <v/>
      </c>
      <c r="L537" s="16" t="str">
        <f aca="false">IF(A537="","",IF(F537="İade edildi",0,K537-I537))</f>
        <v/>
      </c>
      <c r="M537" s="17" t="str">
        <f aca="true">IF(A537="","",IF(J537&lt;&gt;"",J537-A537,TODAY()-A537))</f>
        <v/>
      </c>
      <c r="N537" s="18" t="str">
        <f aca="false">IF(A537="","",IF(AND(OR(F537="Bekliyor",F537="Parça bekleniyor",F537="Hazır"),M537&gt;7),"7 günü geçti",""))</f>
        <v/>
      </c>
      <c r="O537" s="18" t="str">
        <f aca="false">IF(AND(A537&lt;&gt;"",OR(F537="Bekliyor",F537="Parça bekleniyor",F537="Hazır")),A537+ROW()/1000000,"")</f>
        <v/>
      </c>
    </row>
    <row r="538" customFormat="false" ht="15" hidden="false" customHeight="false" outlineLevel="0" collapsed="false">
      <c r="A538" s="12"/>
      <c r="B538" s="13"/>
      <c r="C538" s="13"/>
      <c r="D538" s="13"/>
      <c r="E538" s="13"/>
      <c r="F538" s="14"/>
      <c r="G538" s="15"/>
      <c r="H538" s="15"/>
      <c r="I538" s="15"/>
      <c r="J538" s="12"/>
      <c r="K538" s="16" t="str">
        <f aca="false">IF(A538="","",G538+H538)</f>
        <v/>
      </c>
      <c r="L538" s="16" t="str">
        <f aca="false">IF(A538="","",IF(F538="İade edildi",0,K538-I538))</f>
        <v/>
      </c>
      <c r="M538" s="17" t="str">
        <f aca="true">IF(A538="","",IF(J538&lt;&gt;"",J538-A538,TODAY()-A538))</f>
        <v/>
      </c>
      <c r="N538" s="18" t="str">
        <f aca="false">IF(A538="","",IF(AND(OR(F538="Bekliyor",F538="Parça bekleniyor",F538="Hazır"),M538&gt;7),"7 günü geçti",""))</f>
        <v/>
      </c>
      <c r="O538" s="18" t="str">
        <f aca="false">IF(AND(A538&lt;&gt;"",OR(F538="Bekliyor",F538="Parça bekleniyor",F538="Hazır")),A538+ROW()/1000000,"")</f>
        <v/>
      </c>
    </row>
    <row r="539" customFormat="false" ht="15" hidden="false" customHeight="false" outlineLevel="0" collapsed="false">
      <c r="A539" s="12"/>
      <c r="B539" s="13"/>
      <c r="C539" s="13"/>
      <c r="D539" s="13"/>
      <c r="E539" s="13"/>
      <c r="F539" s="14"/>
      <c r="G539" s="15"/>
      <c r="H539" s="15"/>
      <c r="I539" s="15"/>
      <c r="J539" s="12"/>
      <c r="K539" s="16" t="str">
        <f aca="false">IF(A539="","",G539+H539)</f>
        <v/>
      </c>
      <c r="L539" s="16" t="str">
        <f aca="false">IF(A539="","",IF(F539="İade edildi",0,K539-I539))</f>
        <v/>
      </c>
      <c r="M539" s="17" t="str">
        <f aca="true">IF(A539="","",IF(J539&lt;&gt;"",J539-A539,TODAY()-A539))</f>
        <v/>
      </c>
      <c r="N539" s="18" t="str">
        <f aca="false">IF(A539="","",IF(AND(OR(F539="Bekliyor",F539="Parça bekleniyor",F539="Hazır"),M539&gt;7),"7 günü geçti",""))</f>
        <v/>
      </c>
      <c r="O539" s="18" t="str">
        <f aca="false">IF(AND(A539&lt;&gt;"",OR(F539="Bekliyor",F539="Parça bekleniyor",F539="Hazır")),A539+ROW()/1000000,"")</f>
        <v/>
      </c>
    </row>
    <row r="540" customFormat="false" ht="15" hidden="false" customHeight="false" outlineLevel="0" collapsed="false">
      <c r="A540" s="12"/>
      <c r="B540" s="13"/>
      <c r="C540" s="13"/>
      <c r="D540" s="13"/>
      <c r="E540" s="13"/>
      <c r="F540" s="14"/>
      <c r="G540" s="15"/>
      <c r="H540" s="15"/>
      <c r="I540" s="15"/>
      <c r="J540" s="12"/>
      <c r="K540" s="16" t="str">
        <f aca="false">IF(A540="","",G540+H540)</f>
        <v/>
      </c>
      <c r="L540" s="16" t="str">
        <f aca="false">IF(A540="","",IF(F540="İade edildi",0,K540-I540))</f>
        <v/>
      </c>
      <c r="M540" s="17" t="str">
        <f aca="true">IF(A540="","",IF(J540&lt;&gt;"",J540-A540,TODAY()-A540))</f>
        <v/>
      </c>
      <c r="N540" s="18" t="str">
        <f aca="false">IF(A540="","",IF(AND(OR(F540="Bekliyor",F540="Parça bekleniyor",F540="Hazır"),M540&gt;7),"7 günü geçti",""))</f>
        <v/>
      </c>
      <c r="O540" s="18" t="str">
        <f aca="false">IF(AND(A540&lt;&gt;"",OR(F540="Bekliyor",F540="Parça bekleniyor",F540="Hazır")),A540+ROW()/1000000,"")</f>
        <v/>
      </c>
    </row>
    <row r="541" customFormat="false" ht="15" hidden="false" customHeight="false" outlineLevel="0" collapsed="false">
      <c r="A541" s="12"/>
      <c r="B541" s="13"/>
      <c r="C541" s="13"/>
      <c r="D541" s="13"/>
      <c r="E541" s="13"/>
      <c r="F541" s="14"/>
      <c r="G541" s="15"/>
      <c r="H541" s="15"/>
      <c r="I541" s="15"/>
      <c r="J541" s="12"/>
      <c r="K541" s="16" t="str">
        <f aca="false">IF(A541="","",G541+H541)</f>
        <v/>
      </c>
      <c r="L541" s="16" t="str">
        <f aca="false">IF(A541="","",IF(F541="İade edildi",0,K541-I541))</f>
        <v/>
      </c>
      <c r="M541" s="17" t="str">
        <f aca="true">IF(A541="","",IF(J541&lt;&gt;"",J541-A541,TODAY()-A541))</f>
        <v/>
      </c>
      <c r="N541" s="18" t="str">
        <f aca="false">IF(A541="","",IF(AND(OR(F541="Bekliyor",F541="Parça bekleniyor",F541="Hazır"),M541&gt;7),"7 günü geçti",""))</f>
        <v/>
      </c>
      <c r="O541" s="18" t="str">
        <f aca="false">IF(AND(A541&lt;&gt;"",OR(F541="Bekliyor",F541="Parça bekleniyor",F541="Hazır")),A541+ROW()/1000000,"")</f>
        <v/>
      </c>
    </row>
    <row r="542" customFormat="false" ht="15" hidden="false" customHeight="false" outlineLevel="0" collapsed="false">
      <c r="A542" s="12"/>
      <c r="B542" s="13"/>
      <c r="C542" s="13"/>
      <c r="D542" s="13"/>
      <c r="E542" s="13"/>
      <c r="F542" s="14"/>
      <c r="G542" s="15"/>
      <c r="H542" s="15"/>
      <c r="I542" s="15"/>
      <c r="J542" s="12"/>
      <c r="K542" s="16" t="str">
        <f aca="false">IF(A542="","",G542+H542)</f>
        <v/>
      </c>
      <c r="L542" s="16" t="str">
        <f aca="false">IF(A542="","",IF(F542="İade edildi",0,K542-I542))</f>
        <v/>
      </c>
      <c r="M542" s="17" t="str">
        <f aca="true">IF(A542="","",IF(J542&lt;&gt;"",J542-A542,TODAY()-A542))</f>
        <v/>
      </c>
      <c r="N542" s="18" t="str">
        <f aca="false">IF(A542="","",IF(AND(OR(F542="Bekliyor",F542="Parça bekleniyor",F542="Hazır"),M542&gt;7),"7 günü geçti",""))</f>
        <v/>
      </c>
      <c r="O542" s="18" t="str">
        <f aca="false">IF(AND(A542&lt;&gt;"",OR(F542="Bekliyor",F542="Parça bekleniyor",F542="Hazır")),A542+ROW()/1000000,"")</f>
        <v/>
      </c>
    </row>
    <row r="543" customFormat="false" ht="15" hidden="false" customHeight="false" outlineLevel="0" collapsed="false">
      <c r="A543" s="12"/>
      <c r="B543" s="13"/>
      <c r="C543" s="13"/>
      <c r="D543" s="13"/>
      <c r="E543" s="13"/>
      <c r="F543" s="14"/>
      <c r="G543" s="15"/>
      <c r="H543" s="15"/>
      <c r="I543" s="15"/>
      <c r="J543" s="12"/>
      <c r="K543" s="16" t="str">
        <f aca="false">IF(A543="","",G543+H543)</f>
        <v/>
      </c>
      <c r="L543" s="16" t="str">
        <f aca="false">IF(A543="","",IF(F543="İade edildi",0,K543-I543))</f>
        <v/>
      </c>
      <c r="M543" s="17" t="str">
        <f aca="true">IF(A543="","",IF(J543&lt;&gt;"",J543-A543,TODAY()-A543))</f>
        <v/>
      </c>
      <c r="N543" s="18" t="str">
        <f aca="false">IF(A543="","",IF(AND(OR(F543="Bekliyor",F543="Parça bekleniyor",F543="Hazır"),M543&gt;7),"7 günü geçti",""))</f>
        <v/>
      </c>
      <c r="O543" s="18" t="str">
        <f aca="false">IF(AND(A543&lt;&gt;"",OR(F543="Bekliyor",F543="Parça bekleniyor",F543="Hazır")),A543+ROW()/1000000,"")</f>
        <v/>
      </c>
    </row>
    <row r="544" customFormat="false" ht="15" hidden="false" customHeight="false" outlineLevel="0" collapsed="false">
      <c r="A544" s="12"/>
      <c r="B544" s="13"/>
      <c r="C544" s="13"/>
      <c r="D544" s="13"/>
      <c r="E544" s="13"/>
      <c r="F544" s="14"/>
      <c r="G544" s="15"/>
      <c r="H544" s="15"/>
      <c r="I544" s="15"/>
      <c r="J544" s="12"/>
      <c r="K544" s="16" t="str">
        <f aca="false">IF(A544="","",G544+H544)</f>
        <v/>
      </c>
      <c r="L544" s="16" t="str">
        <f aca="false">IF(A544="","",IF(F544="İade edildi",0,K544-I544))</f>
        <v/>
      </c>
      <c r="M544" s="17" t="str">
        <f aca="true">IF(A544="","",IF(J544&lt;&gt;"",J544-A544,TODAY()-A544))</f>
        <v/>
      </c>
      <c r="N544" s="18" t="str">
        <f aca="false">IF(A544="","",IF(AND(OR(F544="Bekliyor",F544="Parça bekleniyor",F544="Hazır"),M544&gt;7),"7 günü geçti",""))</f>
        <v/>
      </c>
      <c r="O544" s="18" t="str">
        <f aca="false">IF(AND(A544&lt;&gt;"",OR(F544="Bekliyor",F544="Parça bekleniyor",F544="Hazır")),A544+ROW()/1000000,"")</f>
        <v/>
      </c>
    </row>
    <row r="545" customFormat="false" ht="15" hidden="false" customHeight="false" outlineLevel="0" collapsed="false">
      <c r="A545" s="12"/>
      <c r="B545" s="13"/>
      <c r="C545" s="13"/>
      <c r="D545" s="13"/>
      <c r="E545" s="13"/>
      <c r="F545" s="14"/>
      <c r="G545" s="15"/>
      <c r="H545" s="15"/>
      <c r="I545" s="15"/>
      <c r="J545" s="12"/>
      <c r="K545" s="16" t="str">
        <f aca="false">IF(A545="","",G545+H545)</f>
        <v/>
      </c>
      <c r="L545" s="16" t="str">
        <f aca="false">IF(A545="","",IF(F545="İade edildi",0,K545-I545))</f>
        <v/>
      </c>
      <c r="M545" s="17" t="str">
        <f aca="true">IF(A545="","",IF(J545&lt;&gt;"",J545-A545,TODAY()-A545))</f>
        <v/>
      </c>
      <c r="N545" s="18" t="str">
        <f aca="false">IF(A545="","",IF(AND(OR(F545="Bekliyor",F545="Parça bekleniyor",F545="Hazır"),M545&gt;7),"7 günü geçti",""))</f>
        <v/>
      </c>
      <c r="O545" s="18" t="str">
        <f aca="false">IF(AND(A545&lt;&gt;"",OR(F545="Bekliyor",F545="Parça bekleniyor",F545="Hazır")),A545+ROW()/1000000,"")</f>
        <v/>
      </c>
    </row>
    <row r="546" customFormat="false" ht="15" hidden="false" customHeight="false" outlineLevel="0" collapsed="false">
      <c r="A546" s="12"/>
      <c r="B546" s="13"/>
      <c r="C546" s="13"/>
      <c r="D546" s="13"/>
      <c r="E546" s="13"/>
      <c r="F546" s="14"/>
      <c r="G546" s="15"/>
      <c r="H546" s="15"/>
      <c r="I546" s="15"/>
      <c r="J546" s="12"/>
      <c r="K546" s="16" t="str">
        <f aca="false">IF(A546="","",G546+H546)</f>
        <v/>
      </c>
      <c r="L546" s="16" t="str">
        <f aca="false">IF(A546="","",IF(F546="İade edildi",0,K546-I546))</f>
        <v/>
      </c>
      <c r="M546" s="17" t="str">
        <f aca="true">IF(A546="","",IF(J546&lt;&gt;"",J546-A546,TODAY()-A546))</f>
        <v/>
      </c>
      <c r="N546" s="18" t="str">
        <f aca="false">IF(A546="","",IF(AND(OR(F546="Bekliyor",F546="Parça bekleniyor",F546="Hazır"),M546&gt;7),"7 günü geçti",""))</f>
        <v/>
      </c>
      <c r="O546" s="18" t="str">
        <f aca="false">IF(AND(A546&lt;&gt;"",OR(F546="Bekliyor",F546="Parça bekleniyor",F546="Hazır")),A546+ROW()/1000000,"")</f>
        <v/>
      </c>
    </row>
    <row r="547" customFormat="false" ht="15" hidden="false" customHeight="false" outlineLevel="0" collapsed="false">
      <c r="A547" s="12"/>
      <c r="B547" s="13"/>
      <c r="C547" s="13"/>
      <c r="D547" s="13"/>
      <c r="E547" s="13"/>
      <c r="F547" s="14"/>
      <c r="G547" s="15"/>
      <c r="H547" s="15"/>
      <c r="I547" s="15"/>
      <c r="J547" s="12"/>
      <c r="K547" s="16" t="str">
        <f aca="false">IF(A547="","",G547+H547)</f>
        <v/>
      </c>
      <c r="L547" s="16" t="str">
        <f aca="false">IF(A547="","",IF(F547="İade edildi",0,K547-I547))</f>
        <v/>
      </c>
      <c r="M547" s="17" t="str">
        <f aca="true">IF(A547="","",IF(J547&lt;&gt;"",J547-A547,TODAY()-A547))</f>
        <v/>
      </c>
      <c r="N547" s="18" t="str">
        <f aca="false">IF(A547="","",IF(AND(OR(F547="Bekliyor",F547="Parça bekleniyor",F547="Hazır"),M547&gt;7),"7 günü geçti",""))</f>
        <v/>
      </c>
      <c r="O547" s="18" t="str">
        <f aca="false">IF(AND(A547&lt;&gt;"",OR(F547="Bekliyor",F547="Parça bekleniyor",F547="Hazır")),A547+ROW()/1000000,"")</f>
        <v/>
      </c>
    </row>
    <row r="548" customFormat="false" ht="15" hidden="false" customHeight="false" outlineLevel="0" collapsed="false">
      <c r="A548" s="12"/>
      <c r="B548" s="13"/>
      <c r="C548" s="13"/>
      <c r="D548" s="13"/>
      <c r="E548" s="13"/>
      <c r="F548" s="14"/>
      <c r="G548" s="15"/>
      <c r="H548" s="15"/>
      <c r="I548" s="15"/>
      <c r="J548" s="12"/>
      <c r="K548" s="16" t="str">
        <f aca="false">IF(A548="","",G548+H548)</f>
        <v/>
      </c>
      <c r="L548" s="16" t="str">
        <f aca="false">IF(A548="","",IF(F548="İade edildi",0,K548-I548))</f>
        <v/>
      </c>
      <c r="M548" s="17" t="str">
        <f aca="true">IF(A548="","",IF(J548&lt;&gt;"",J548-A548,TODAY()-A548))</f>
        <v/>
      </c>
      <c r="N548" s="18" t="str">
        <f aca="false">IF(A548="","",IF(AND(OR(F548="Bekliyor",F548="Parça bekleniyor",F548="Hazır"),M548&gt;7),"7 günü geçti",""))</f>
        <v/>
      </c>
      <c r="O548" s="18" t="str">
        <f aca="false">IF(AND(A548&lt;&gt;"",OR(F548="Bekliyor",F548="Parça bekleniyor",F548="Hazır")),A548+ROW()/1000000,"")</f>
        <v/>
      </c>
    </row>
    <row r="549" customFormat="false" ht="15" hidden="false" customHeight="false" outlineLevel="0" collapsed="false">
      <c r="A549" s="12"/>
      <c r="B549" s="13"/>
      <c r="C549" s="13"/>
      <c r="D549" s="13"/>
      <c r="E549" s="13"/>
      <c r="F549" s="14"/>
      <c r="G549" s="15"/>
      <c r="H549" s="15"/>
      <c r="I549" s="15"/>
      <c r="J549" s="12"/>
      <c r="K549" s="16" t="str">
        <f aca="false">IF(A549="","",G549+H549)</f>
        <v/>
      </c>
      <c r="L549" s="16" t="str">
        <f aca="false">IF(A549="","",IF(F549="İade edildi",0,K549-I549))</f>
        <v/>
      </c>
      <c r="M549" s="17" t="str">
        <f aca="true">IF(A549="","",IF(J549&lt;&gt;"",J549-A549,TODAY()-A549))</f>
        <v/>
      </c>
      <c r="N549" s="18" t="str">
        <f aca="false">IF(A549="","",IF(AND(OR(F549="Bekliyor",F549="Parça bekleniyor",F549="Hazır"),M549&gt;7),"7 günü geçti",""))</f>
        <v/>
      </c>
      <c r="O549" s="18" t="str">
        <f aca="false">IF(AND(A549&lt;&gt;"",OR(F549="Bekliyor",F549="Parça bekleniyor",F549="Hazır")),A549+ROW()/1000000,"")</f>
        <v/>
      </c>
    </row>
    <row r="550" customFormat="false" ht="15" hidden="false" customHeight="false" outlineLevel="0" collapsed="false">
      <c r="A550" s="12"/>
      <c r="B550" s="13"/>
      <c r="C550" s="13"/>
      <c r="D550" s="13"/>
      <c r="E550" s="13"/>
      <c r="F550" s="14"/>
      <c r="G550" s="15"/>
      <c r="H550" s="15"/>
      <c r="I550" s="15"/>
      <c r="J550" s="12"/>
      <c r="K550" s="16" t="str">
        <f aca="false">IF(A550="","",G550+H550)</f>
        <v/>
      </c>
      <c r="L550" s="16" t="str">
        <f aca="false">IF(A550="","",IF(F550="İade edildi",0,K550-I550))</f>
        <v/>
      </c>
      <c r="M550" s="17" t="str">
        <f aca="true">IF(A550="","",IF(J550&lt;&gt;"",J550-A550,TODAY()-A550))</f>
        <v/>
      </c>
      <c r="N550" s="18" t="str">
        <f aca="false">IF(A550="","",IF(AND(OR(F550="Bekliyor",F550="Parça bekleniyor",F550="Hazır"),M550&gt;7),"7 günü geçti",""))</f>
        <v/>
      </c>
      <c r="O550" s="18" t="str">
        <f aca="false">IF(AND(A550&lt;&gt;"",OR(F550="Bekliyor",F550="Parça bekleniyor",F550="Hazır")),A550+ROW()/1000000,"")</f>
        <v/>
      </c>
    </row>
    <row r="551" customFormat="false" ht="15" hidden="false" customHeight="false" outlineLevel="0" collapsed="false">
      <c r="A551" s="12"/>
      <c r="B551" s="13"/>
      <c r="C551" s="13"/>
      <c r="D551" s="13"/>
      <c r="E551" s="13"/>
      <c r="F551" s="14"/>
      <c r="G551" s="15"/>
      <c r="H551" s="15"/>
      <c r="I551" s="15"/>
      <c r="J551" s="12"/>
      <c r="K551" s="16" t="str">
        <f aca="false">IF(A551="","",G551+H551)</f>
        <v/>
      </c>
      <c r="L551" s="16" t="str">
        <f aca="false">IF(A551="","",IF(F551="İade edildi",0,K551-I551))</f>
        <v/>
      </c>
      <c r="M551" s="17" t="str">
        <f aca="true">IF(A551="","",IF(J551&lt;&gt;"",J551-A551,TODAY()-A551))</f>
        <v/>
      </c>
      <c r="N551" s="18" t="str">
        <f aca="false">IF(A551="","",IF(AND(OR(F551="Bekliyor",F551="Parça bekleniyor",F551="Hazır"),M551&gt;7),"7 günü geçti",""))</f>
        <v/>
      </c>
      <c r="O551" s="18" t="str">
        <f aca="false">IF(AND(A551&lt;&gt;"",OR(F551="Bekliyor",F551="Parça bekleniyor",F551="Hazır")),A551+ROW()/1000000,"")</f>
        <v/>
      </c>
    </row>
    <row r="552" customFormat="false" ht="15" hidden="false" customHeight="false" outlineLevel="0" collapsed="false">
      <c r="A552" s="12"/>
      <c r="B552" s="13"/>
      <c r="C552" s="13"/>
      <c r="D552" s="13"/>
      <c r="E552" s="13"/>
      <c r="F552" s="14"/>
      <c r="G552" s="15"/>
      <c r="H552" s="15"/>
      <c r="I552" s="15"/>
      <c r="J552" s="12"/>
      <c r="K552" s="16" t="str">
        <f aca="false">IF(A552="","",G552+H552)</f>
        <v/>
      </c>
      <c r="L552" s="16" t="str">
        <f aca="false">IF(A552="","",IF(F552="İade edildi",0,K552-I552))</f>
        <v/>
      </c>
      <c r="M552" s="17" t="str">
        <f aca="true">IF(A552="","",IF(J552&lt;&gt;"",J552-A552,TODAY()-A552))</f>
        <v/>
      </c>
      <c r="N552" s="18" t="str">
        <f aca="false">IF(A552="","",IF(AND(OR(F552="Bekliyor",F552="Parça bekleniyor",F552="Hazır"),M552&gt;7),"7 günü geçti",""))</f>
        <v/>
      </c>
      <c r="O552" s="18" t="str">
        <f aca="false">IF(AND(A552&lt;&gt;"",OR(F552="Bekliyor",F552="Parça bekleniyor",F552="Hazır")),A552+ROW()/1000000,"")</f>
        <v/>
      </c>
    </row>
    <row r="553" customFormat="false" ht="15" hidden="false" customHeight="false" outlineLevel="0" collapsed="false">
      <c r="A553" s="12"/>
      <c r="B553" s="13"/>
      <c r="C553" s="13"/>
      <c r="D553" s="13"/>
      <c r="E553" s="13"/>
      <c r="F553" s="14"/>
      <c r="G553" s="15"/>
      <c r="H553" s="15"/>
      <c r="I553" s="15"/>
      <c r="J553" s="12"/>
      <c r="K553" s="16" t="str">
        <f aca="false">IF(A553="","",G553+H553)</f>
        <v/>
      </c>
      <c r="L553" s="16" t="str">
        <f aca="false">IF(A553="","",IF(F553="İade edildi",0,K553-I553))</f>
        <v/>
      </c>
      <c r="M553" s="17" t="str">
        <f aca="true">IF(A553="","",IF(J553&lt;&gt;"",J553-A553,TODAY()-A553))</f>
        <v/>
      </c>
      <c r="N553" s="18" t="str">
        <f aca="false">IF(A553="","",IF(AND(OR(F553="Bekliyor",F553="Parça bekleniyor",F553="Hazır"),M553&gt;7),"7 günü geçti",""))</f>
        <v/>
      </c>
      <c r="O553" s="18" t="str">
        <f aca="false">IF(AND(A553&lt;&gt;"",OR(F553="Bekliyor",F553="Parça bekleniyor",F553="Hazır")),A553+ROW()/1000000,"")</f>
        <v/>
      </c>
    </row>
    <row r="554" customFormat="false" ht="15" hidden="false" customHeight="false" outlineLevel="0" collapsed="false">
      <c r="A554" s="12"/>
      <c r="B554" s="13"/>
      <c r="C554" s="13"/>
      <c r="D554" s="13"/>
      <c r="E554" s="13"/>
      <c r="F554" s="14"/>
      <c r="G554" s="15"/>
      <c r="H554" s="15"/>
      <c r="I554" s="15"/>
      <c r="J554" s="12"/>
      <c r="K554" s="16" t="str">
        <f aca="false">IF(A554="","",G554+H554)</f>
        <v/>
      </c>
      <c r="L554" s="16" t="str">
        <f aca="false">IF(A554="","",IF(F554="İade edildi",0,K554-I554))</f>
        <v/>
      </c>
      <c r="M554" s="17" t="str">
        <f aca="true">IF(A554="","",IF(J554&lt;&gt;"",J554-A554,TODAY()-A554))</f>
        <v/>
      </c>
      <c r="N554" s="18" t="str">
        <f aca="false">IF(A554="","",IF(AND(OR(F554="Bekliyor",F554="Parça bekleniyor",F554="Hazır"),M554&gt;7),"7 günü geçti",""))</f>
        <v/>
      </c>
      <c r="O554" s="18" t="str">
        <f aca="false">IF(AND(A554&lt;&gt;"",OR(F554="Bekliyor",F554="Parça bekleniyor",F554="Hazır")),A554+ROW()/1000000,"")</f>
        <v/>
      </c>
    </row>
    <row r="555" customFormat="false" ht="15" hidden="false" customHeight="false" outlineLevel="0" collapsed="false">
      <c r="A555" s="12"/>
      <c r="B555" s="13"/>
      <c r="C555" s="13"/>
      <c r="D555" s="13"/>
      <c r="E555" s="13"/>
      <c r="F555" s="14"/>
      <c r="G555" s="15"/>
      <c r="H555" s="15"/>
      <c r="I555" s="15"/>
      <c r="J555" s="12"/>
      <c r="K555" s="16" t="str">
        <f aca="false">IF(A555="","",G555+H555)</f>
        <v/>
      </c>
      <c r="L555" s="16" t="str">
        <f aca="false">IF(A555="","",IF(F555="İade edildi",0,K555-I555))</f>
        <v/>
      </c>
      <c r="M555" s="17" t="str">
        <f aca="true">IF(A555="","",IF(J555&lt;&gt;"",J555-A555,TODAY()-A555))</f>
        <v/>
      </c>
      <c r="N555" s="18" t="str">
        <f aca="false">IF(A555="","",IF(AND(OR(F555="Bekliyor",F555="Parça bekleniyor",F555="Hazır"),M555&gt;7),"7 günü geçti",""))</f>
        <v/>
      </c>
      <c r="O555" s="18" t="str">
        <f aca="false">IF(AND(A555&lt;&gt;"",OR(F555="Bekliyor",F555="Parça bekleniyor",F555="Hazır")),A555+ROW()/1000000,"")</f>
        <v/>
      </c>
    </row>
    <row r="556" customFormat="false" ht="15" hidden="false" customHeight="false" outlineLevel="0" collapsed="false">
      <c r="A556" s="12"/>
      <c r="B556" s="13"/>
      <c r="C556" s="13"/>
      <c r="D556" s="13"/>
      <c r="E556" s="13"/>
      <c r="F556" s="14"/>
      <c r="G556" s="15"/>
      <c r="H556" s="15"/>
      <c r="I556" s="15"/>
      <c r="J556" s="12"/>
      <c r="K556" s="16" t="str">
        <f aca="false">IF(A556="","",G556+H556)</f>
        <v/>
      </c>
      <c r="L556" s="16" t="str">
        <f aca="false">IF(A556="","",IF(F556="İade edildi",0,K556-I556))</f>
        <v/>
      </c>
      <c r="M556" s="17" t="str">
        <f aca="true">IF(A556="","",IF(J556&lt;&gt;"",J556-A556,TODAY()-A556))</f>
        <v/>
      </c>
      <c r="N556" s="18" t="str">
        <f aca="false">IF(A556="","",IF(AND(OR(F556="Bekliyor",F556="Parça bekleniyor",F556="Hazır"),M556&gt;7),"7 günü geçti",""))</f>
        <v/>
      </c>
      <c r="O556" s="18" t="str">
        <f aca="false">IF(AND(A556&lt;&gt;"",OR(F556="Bekliyor",F556="Parça bekleniyor",F556="Hazır")),A556+ROW()/1000000,"")</f>
        <v/>
      </c>
    </row>
    <row r="557" customFormat="false" ht="15" hidden="false" customHeight="false" outlineLevel="0" collapsed="false">
      <c r="A557" s="12"/>
      <c r="B557" s="13"/>
      <c r="C557" s="13"/>
      <c r="D557" s="13"/>
      <c r="E557" s="13"/>
      <c r="F557" s="14"/>
      <c r="G557" s="15"/>
      <c r="H557" s="15"/>
      <c r="I557" s="15"/>
      <c r="J557" s="12"/>
      <c r="K557" s="16" t="str">
        <f aca="false">IF(A557="","",G557+H557)</f>
        <v/>
      </c>
      <c r="L557" s="16" t="str">
        <f aca="false">IF(A557="","",IF(F557="İade edildi",0,K557-I557))</f>
        <v/>
      </c>
      <c r="M557" s="17" t="str">
        <f aca="true">IF(A557="","",IF(J557&lt;&gt;"",J557-A557,TODAY()-A557))</f>
        <v/>
      </c>
      <c r="N557" s="18" t="str">
        <f aca="false">IF(A557="","",IF(AND(OR(F557="Bekliyor",F557="Parça bekleniyor",F557="Hazır"),M557&gt;7),"7 günü geçti",""))</f>
        <v/>
      </c>
      <c r="O557" s="18" t="str">
        <f aca="false">IF(AND(A557&lt;&gt;"",OR(F557="Bekliyor",F557="Parça bekleniyor",F557="Hazır")),A557+ROW()/1000000,"")</f>
        <v/>
      </c>
    </row>
    <row r="558" customFormat="false" ht="15" hidden="false" customHeight="false" outlineLevel="0" collapsed="false">
      <c r="A558" s="12"/>
      <c r="B558" s="13"/>
      <c r="C558" s="13"/>
      <c r="D558" s="13"/>
      <c r="E558" s="13"/>
      <c r="F558" s="14"/>
      <c r="G558" s="15"/>
      <c r="H558" s="15"/>
      <c r="I558" s="15"/>
      <c r="J558" s="12"/>
      <c r="K558" s="16" t="str">
        <f aca="false">IF(A558="","",G558+H558)</f>
        <v/>
      </c>
      <c r="L558" s="16" t="str">
        <f aca="false">IF(A558="","",IF(F558="İade edildi",0,K558-I558))</f>
        <v/>
      </c>
      <c r="M558" s="17" t="str">
        <f aca="true">IF(A558="","",IF(J558&lt;&gt;"",J558-A558,TODAY()-A558))</f>
        <v/>
      </c>
      <c r="N558" s="18" t="str">
        <f aca="false">IF(A558="","",IF(AND(OR(F558="Bekliyor",F558="Parça bekleniyor",F558="Hazır"),M558&gt;7),"7 günü geçti",""))</f>
        <v/>
      </c>
      <c r="O558" s="18" t="str">
        <f aca="false">IF(AND(A558&lt;&gt;"",OR(F558="Bekliyor",F558="Parça bekleniyor",F558="Hazır")),A558+ROW()/1000000,"")</f>
        <v/>
      </c>
    </row>
    <row r="559" customFormat="false" ht="15" hidden="false" customHeight="false" outlineLevel="0" collapsed="false">
      <c r="A559" s="12"/>
      <c r="B559" s="13"/>
      <c r="C559" s="13"/>
      <c r="D559" s="13"/>
      <c r="E559" s="13"/>
      <c r="F559" s="14"/>
      <c r="G559" s="15"/>
      <c r="H559" s="15"/>
      <c r="I559" s="15"/>
      <c r="J559" s="12"/>
      <c r="K559" s="16" t="str">
        <f aca="false">IF(A559="","",G559+H559)</f>
        <v/>
      </c>
      <c r="L559" s="16" t="str">
        <f aca="false">IF(A559="","",IF(F559="İade edildi",0,K559-I559))</f>
        <v/>
      </c>
      <c r="M559" s="17" t="str">
        <f aca="true">IF(A559="","",IF(J559&lt;&gt;"",J559-A559,TODAY()-A559))</f>
        <v/>
      </c>
      <c r="N559" s="18" t="str">
        <f aca="false">IF(A559="","",IF(AND(OR(F559="Bekliyor",F559="Parça bekleniyor",F559="Hazır"),M559&gt;7),"7 günü geçti",""))</f>
        <v/>
      </c>
      <c r="O559" s="18" t="str">
        <f aca="false">IF(AND(A559&lt;&gt;"",OR(F559="Bekliyor",F559="Parça bekleniyor",F559="Hazır")),A559+ROW()/1000000,"")</f>
        <v/>
      </c>
    </row>
    <row r="560" customFormat="false" ht="15" hidden="false" customHeight="false" outlineLevel="0" collapsed="false">
      <c r="A560" s="12"/>
      <c r="B560" s="13"/>
      <c r="C560" s="13"/>
      <c r="D560" s="13"/>
      <c r="E560" s="13"/>
      <c r="F560" s="14"/>
      <c r="G560" s="15"/>
      <c r="H560" s="15"/>
      <c r="I560" s="15"/>
      <c r="J560" s="12"/>
      <c r="K560" s="16" t="str">
        <f aca="false">IF(A560="","",G560+H560)</f>
        <v/>
      </c>
      <c r="L560" s="16" t="str">
        <f aca="false">IF(A560="","",IF(F560="İade edildi",0,K560-I560))</f>
        <v/>
      </c>
      <c r="M560" s="17" t="str">
        <f aca="true">IF(A560="","",IF(J560&lt;&gt;"",J560-A560,TODAY()-A560))</f>
        <v/>
      </c>
      <c r="N560" s="18" t="str">
        <f aca="false">IF(A560="","",IF(AND(OR(F560="Bekliyor",F560="Parça bekleniyor",F560="Hazır"),M560&gt;7),"7 günü geçti",""))</f>
        <v/>
      </c>
      <c r="O560" s="18" t="str">
        <f aca="false">IF(AND(A560&lt;&gt;"",OR(F560="Bekliyor",F560="Parça bekleniyor",F560="Hazır")),A560+ROW()/1000000,"")</f>
        <v/>
      </c>
    </row>
    <row r="561" customFormat="false" ht="15" hidden="false" customHeight="false" outlineLevel="0" collapsed="false">
      <c r="A561" s="12"/>
      <c r="B561" s="13"/>
      <c r="C561" s="13"/>
      <c r="D561" s="13"/>
      <c r="E561" s="13"/>
      <c r="F561" s="14"/>
      <c r="G561" s="15"/>
      <c r="H561" s="15"/>
      <c r="I561" s="15"/>
      <c r="J561" s="12"/>
      <c r="K561" s="16" t="str">
        <f aca="false">IF(A561="","",G561+H561)</f>
        <v/>
      </c>
      <c r="L561" s="16" t="str">
        <f aca="false">IF(A561="","",IF(F561="İade edildi",0,K561-I561))</f>
        <v/>
      </c>
      <c r="M561" s="17" t="str">
        <f aca="true">IF(A561="","",IF(J561&lt;&gt;"",J561-A561,TODAY()-A561))</f>
        <v/>
      </c>
      <c r="N561" s="18" t="str">
        <f aca="false">IF(A561="","",IF(AND(OR(F561="Bekliyor",F561="Parça bekleniyor",F561="Hazır"),M561&gt;7),"7 günü geçti",""))</f>
        <v/>
      </c>
      <c r="O561" s="18" t="str">
        <f aca="false">IF(AND(A561&lt;&gt;"",OR(F561="Bekliyor",F561="Parça bekleniyor",F561="Hazır")),A561+ROW()/1000000,"")</f>
        <v/>
      </c>
    </row>
    <row r="562" customFormat="false" ht="15" hidden="false" customHeight="false" outlineLevel="0" collapsed="false">
      <c r="A562" s="12"/>
      <c r="B562" s="13"/>
      <c r="C562" s="13"/>
      <c r="D562" s="13"/>
      <c r="E562" s="13"/>
      <c r="F562" s="14"/>
      <c r="G562" s="15"/>
      <c r="H562" s="15"/>
      <c r="I562" s="15"/>
      <c r="J562" s="12"/>
      <c r="K562" s="16" t="str">
        <f aca="false">IF(A562="","",G562+H562)</f>
        <v/>
      </c>
      <c r="L562" s="16" t="str">
        <f aca="false">IF(A562="","",IF(F562="İade edildi",0,K562-I562))</f>
        <v/>
      </c>
      <c r="M562" s="17" t="str">
        <f aca="true">IF(A562="","",IF(J562&lt;&gt;"",J562-A562,TODAY()-A562))</f>
        <v/>
      </c>
      <c r="N562" s="18" t="str">
        <f aca="false">IF(A562="","",IF(AND(OR(F562="Bekliyor",F562="Parça bekleniyor",F562="Hazır"),M562&gt;7),"7 günü geçti",""))</f>
        <v/>
      </c>
      <c r="O562" s="18" t="str">
        <f aca="false">IF(AND(A562&lt;&gt;"",OR(F562="Bekliyor",F562="Parça bekleniyor",F562="Hazır")),A562+ROW()/1000000,"")</f>
        <v/>
      </c>
    </row>
    <row r="563" customFormat="false" ht="15" hidden="false" customHeight="false" outlineLevel="0" collapsed="false">
      <c r="A563" s="12"/>
      <c r="B563" s="13"/>
      <c r="C563" s="13"/>
      <c r="D563" s="13"/>
      <c r="E563" s="13"/>
      <c r="F563" s="14"/>
      <c r="G563" s="15"/>
      <c r="H563" s="15"/>
      <c r="I563" s="15"/>
      <c r="J563" s="12"/>
      <c r="K563" s="16" t="str">
        <f aca="false">IF(A563="","",G563+H563)</f>
        <v/>
      </c>
      <c r="L563" s="16" t="str">
        <f aca="false">IF(A563="","",IF(F563="İade edildi",0,K563-I563))</f>
        <v/>
      </c>
      <c r="M563" s="17" t="str">
        <f aca="true">IF(A563="","",IF(J563&lt;&gt;"",J563-A563,TODAY()-A563))</f>
        <v/>
      </c>
      <c r="N563" s="18" t="str">
        <f aca="false">IF(A563="","",IF(AND(OR(F563="Bekliyor",F563="Parça bekleniyor",F563="Hazır"),M563&gt;7),"7 günü geçti",""))</f>
        <v/>
      </c>
      <c r="O563" s="18" t="str">
        <f aca="false">IF(AND(A563&lt;&gt;"",OR(F563="Bekliyor",F563="Parça bekleniyor",F563="Hazır")),A563+ROW()/1000000,"")</f>
        <v/>
      </c>
    </row>
    <row r="564" customFormat="false" ht="15" hidden="false" customHeight="false" outlineLevel="0" collapsed="false">
      <c r="A564" s="12"/>
      <c r="B564" s="13"/>
      <c r="C564" s="13"/>
      <c r="D564" s="13"/>
      <c r="E564" s="13"/>
      <c r="F564" s="14"/>
      <c r="G564" s="15"/>
      <c r="H564" s="15"/>
      <c r="I564" s="15"/>
      <c r="J564" s="12"/>
      <c r="K564" s="16" t="str">
        <f aca="false">IF(A564="","",G564+H564)</f>
        <v/>
      </c>
      <c r="L564" s="16" t="str">
        <f aca="false">IF(A564="","",IF(F564="İade edildi",0,K564-I564))</f>
        <v/>
      </c>
      <c r="M564" s="17" t="str">
        <f aca="true">IF(A564="","",IF(J564&lt;&gt;"",J564-A564,TODAY()-A564))</f>
        <v/>
      </c>
      <c r="N564" s="18" t="str">
        <f aca="false">IF(A564="","",IF(AND(OR(F564="Bekliyor",F564="Parça bekleniyor",F564="Hazır"),M564&gt;7),"7 günü geçti",""))</f>
        <v/>
      </c>
      <c r="O564" s="18" t="str">
        <f aca="false">IF(AND(A564&lt;&gt;"",OR(F564="Bekliyor",F564="Parça bekleniyor",F564="Hazır")),A564+ROW()/1000000,"")</f>
        <v/>
      </c>
    </row>
    <row r="565" customFormat="false" ht="15" hidden="false" customHeight="false" outlineLevel="0" collapsed="false">
      <c r="A565" s="12"/>
      <c r="B565" s="13"/>
      <c r="C565" s="13"/>
      <c r="D565" s="13"/>
      <c r="E565" s="13"/>
      <c r="F565" s="14"/>
      <c r="G565" s="15"/>
      <c r="H565" s="15"/>
      <c r="I565" s="15"/>
      <c r="J565" s="12"/>
      <c r="K565" s="16" t="str">
        <f aca="false">IF(A565="","",G565+H565)</f>
        <v/>
      </c>
      <c r="L565" s="16" t="str">
        <f aca="false">IF(A565="","",IF(F565="İade edildi",0,K565-I565))</f>
        <v/>
      </c>
      <c r="M565" s="17" t="str">
        <f aca="true">IF(A565="","",IF(J565&lt;&gt;"",J565-A565,TODAY()-A565))</f>
        <v/>
      </c>
      <c r="N565" s="18" t="str">
        <f aca="false">IF(A565="","",IF(AND(OR(F565="Bekliyor",F565="Parça bekleniyor",F565="Hazır"),M565&gt;7),"7 günü geçti",""))</f>
        <v/>
      </c>
      <c r="O565" s="18" t="str">
        <f aca="false">IF(AND(A565&lt;&gt;"",OR(F565="Bekliyor",F565="Parça bekleniyor",F565="Hazır")),A565+ROW()/1000000,"")</f>
        <v/>
      </c>
    </row>
    <row r="566" customFormat="false" ht="15" hidden="false" customHeight="false" outlineLevel="0" collapsed="false">
      <c r="A566" s="12"/>
      <c r="B566" s="13"/>
      <c r="C566" s="13"/>
      <c r="D566" s="13"/>
      <c r="E566" s="13"/>
      <c r="F566" s="14"/>
      <c r="G566" s="15"/>
      <c r="H566" s="15"/>
      <c r="I566" s="15"/>
      <c r="J566" s="12"/>
      <c r="K566" s="16" t="str">
        <f aca="false">IF(A566="","",G566+H566)</f>
        <v/>
      </c>
      <c r="L566" s="16" t="str">
        <f aca="false">IF(A566="","",IF(F566="İade edildi",0,K566-I566))</f>
        <v/>
      </c>
      <c r="M566" s="17" t="str">
        <f aca="true">IF(A566="","",IF(J566&lt;&gt;"",J566-A566,TODAY()-A566))</f>
        <v/>
      </c>
      <c r="N566" s="18" t="str">
        <f aca="false">IF(A566="","",IF(AND(OR(F566="Bekliyor",F566="Parça bekleniyor",F566="Hazır"),M566&gt;7),"7 günü geçti",""))</f>
        <v/>
      </c>
      <c r="O566" s="18" t="str">
        <f aca="false">IF(AND(A566&lt;&gt;"",OR(F566="Bekliyor",F566="Parça bekleniyor",F566="Hazır")),A566+ROW()/1000000,"")</f>
        <v/>
      </c>
    </row>
    <row r="567" customFormat="false" ht="15" hidden="false" customHeight="false" outlineLevel="0" collapsed="false">
      <c r="A567" s="12"/>
      <c r="B567" s="13"/>
      <c r="C567" s="13"/>
      <c r="D567" s="13"/>
      <c r="E567" s="13"/>
      <c r="F567" s="14"/>
      <c r="G567" s="15"/>
      <c r="H567" s="15"/>
      <c r="I567" s="15"/>
      <c r="J567" s="12"/>
      <c r="K567" s="16" t="str">
        <f aca="false">IF(A567="","",G567+H567)</f>
        <v/>
      </c>
      <c r="L567" s="16" t="str">
        <f aca="false">IF(A567="","",IF(F567="İade edildi",0,K567-I567))</f>
        <v/>
      </c>
      <c r="M567" s="17" t="str">
        <f aca="true">IF(A567="","",IF(J567&lt;&gt;"",J567-A567,TODAY()-A567))</f>
        <v/>
      </c>
      <c r="N567" s="18" t="str">
        <f aca="false">IF(A567="","",IF(AND(OR(F567="Bekliyor",F567="Parça bekleniyor",F567="Hazır"),M567&gt;7),"7 günü geçti",""))</f>
        <v/>
      </c>
      <c r="O567" s="18" t="str">
        <f aca="false">IF(AND(A567&lt;&gt;"",OR(F567="Bekliyor",F567="Parça bekleniyor",F567="Hazır")),A567+ROW()/1000000,"")</f>
        <v/>
      </c>
    </row>
    <row r="568" customFormat="false" ht="15" hidden="false" customHeight="false" outlineLevel="0" collapsed="false">
      <c r="A568" s="12"/>
      <c r="B568" s="13"/>
      <c r="C568" s="13"/>
      <c r="D568" s="13"/>
      <c r="E568" s="13"/>
      <c r="F568" s="14"/>
      <c r="G568" s="15"/>
      <c r="H568" s="15"/>
      <c r="I568" s="15"/>
      <c r="J568" s="12"/>
      <c r="K568" s="16" t="str">
        <f aca="false">IF(A568="","",G568+H568)</f>
        <v/>
      </c>
      <c r="L568" s="16" t="str">
        <f aca="false">IF(A568="","",IF(F568="İade edildi",0,K568-I568))</f>
        <v/>
      </c>
      <c r="M568" s="17" t="str">
        <f aca="true">IF(A568="","",IF(J568&lt;&gt;"",J568-A568,TODAY()-A568))</f>
        <v/>
      </c>
      <c r="N568" s="18" t="str">
        <f aca="false">IF(A568="","",IF(AND(OR(F568="Bekliyor",F568="Parça bekleniyor",F568="Hazır"),M568&gt;7),"7 günü geçti",""))</f>
        <v/>
      </c>
      <c r="O568" s="18" t="str">
        <f aca="false">IF(AND(A568&lt;&gt;"",OR(F568="Bekliyor",F568="Parça bekleniyor",F568="Hazır")),A568+ROW()/1000000,"")</f>
        <v/>
      </c>
    </row>
    <row r="569" customFormat="false" ht="15" hidden="false" customHeight="false" outlineLevel="0" collapsed="false">
      <c r="A569" s="12"/>
      <c r="B569" s="13"/>
      <c r="C569" s="13"/>
      <c r="D569" s="13"/>
      <c r="E569" s="13"/>
      <c r="F569" s="14"/>
      <c r="G569" s="15"/>
      <c r="H569" s="15"/>
      <c r="I569" s="15"/>
      <c r="J569" s="12"/>
      <c r="K569" s="16" t="str">
        <f aca="false">IF(A569="","",G569+H569)</f>
        <v/>
      </c>
      <c r="L569" s="16" t="str">
        <f aca="false">IF(A569="","",IF(F569="İade edildi",0,K569-I569))</f>
        <v/>
      </c>
      <c r="M569" s="17" t="str">
        <f aca="true">IF(A569="","",IF(J569&lt;&gt;"",J569-A569,TODAY()-A569))</f>
        <v/>
      </c>
      <c r="N569" s="18" t="str">
        <f aca="false">IF(A569="","",IF(AND(OR(F569="Bekliyor",F569="Parça bekleniyor",F569="Hazır"),M569&gt;7),"7 günü geçti",""))</f>
        <v/>
      </c>
      <c r="O569" s="18" t="str">
        <f aca="false">IF(AND(A569&lt;&gt;"",OR(F569="Bekliyor",F569="Parça bekleniyor",F569="Hazır")),A569+ROW()/1000000,"")</f>
        <v/>
      </c>
    </row>
    <row r="570" customFormat="false" ht="15" hidden="false" customHeight="false" outlineLevel="0" collapsed="false">
      <c r="A570" s="12"/>
      <c r="B570" s="13"/>
      <c r="C570" s="13"/>
      <c r="D570" s="13"/>
      <c r="E570" s="13"/>
      <c r="F570" s="14"/>
      <c r="G570" s="15"/>
      <c r="H570" s="15"/>
      <c r="I570" s="15"/>
      <c r="J570" s="12"/>
      <c r="K570" s="16" t="str">
        <f aca="false">IF(A570="","",G570+H570)</f>
        <v/>
      </c>
      <c r="L570" s="16" t="str">
        <f aca="false">IF(A570="","",IF(F570="İade edildi",0,K570-I570))</f>
        <v/>
      </c>
      <c r="M570" s="17" t="str">
        <f aca="true">IF(A570="","",IF(J570&lt;&gt;"",J570-A570,TODAY()-A570))</f>
        <v/>
      </c>
      <c r="N570" s="18" t="str">
        <f aca="false">IF(A570="","",IF(AND(OR(F570="Bekliyor",F570="Parça bekleniyor",F570="Hazır"),M570&gt;7),"7 günü geçti",""))</f>
        <v/>
      </c>
      <c r="O570" s="18" t="str">
        <f aca="false">IF(AND(A570&lt;&gt;"",OR(F570="Bekliyor",F570="Parça bekleniyor",F570="Hazır")),A570+ROW()/1000000,"")</f>
        <v/>
      </c>
    </row>
    <row r="571" customFormat="false" ht="15" hidden="false" customHeight="false" outlineLevel="0" collapsed="false">
      <c r="A571" s="12"/>
      <c r="B571" s="13"/>
      <c r="C571" s="13"/>
      <c r="D571" s="13"/>
      <c r="E571" s="13"/>
      <c r="F571" s="14"/>
      <c r="G571" s="15"/>
      <c r="H571" s="15"/>
      <c r="I571" s="15"/>
      <c r="J571" s="12"/>
      <c r="K571" s="16" t="str">
        <f aca="false">IF(A571="","",G571+H571)</f>
        <v/>
      </c>
      <c r="L571" s="16" t="str">
        <f aca="false">IF(A571="","",IF(F571="İade edildi",0,K571-I571))</f>
        <v/>
      </c>
      <c r="M571" s="17" t="str">
        <f aca="true">IF(A571="","",IF(J571&lt;&gt;"",J571-A571,TODAY()-A571))</f>
        <v/>
      </c>
      <c r="N571" s="18" t="str">
        <f aca="false">IF(A571="","",IF(AND(OR(F571="Bekliyor",F571="Parça bekleniyor",F571="Hazır"),M571&gt;7),"7 günü geçti",""))</f>
        <v/>
      </c>
      <c r="O571" s="18" t="str">
        <f aca="false">IF(AND(A571&lt;&gt;"",OR(F571="Bekliyor",F571="Parça bekleniyor",F571="Hazır")),A571+ROW()/1000000,"")</f>
        <v/>
      </c>
    </row>
    <row r="572" customFormat="false" ht="15" hidden="false" customHeight="false" outlineLevel="0" collapsed="false">
      <c r="A572" s="12"/>
      <c r="B572" s="13"/>
      <c r="C572" s="13"/>
      <c r="D572" s="13"/>
      <c r="E572" s="13"/>
      <c r="F572" s="14"/>
      <c r="G572" s="15"/>
      <c r="H572" s="15"/>
      <c r="I572" s="15"/>
      <c r="J572" s="12"/>
      <c r="K572" s="16" t="str">
        <f aca="false">IF(A572="","",G572+H572)</f>
        <v/>
      </c>
      <c r="L572" s="16" t="str">
        <f aca="false">IF(A572="","",IF(F572="İade edildi",0,K572-I572))</f>
        <v/>
      </c>
      <c r="M572" s="17" t="str">
        <f aca="true">IF(A572="","",IF(J572&lt;&gt;"",J572-A572,TODAY()-A572))</f>
        <v/>
      </c>
      <c r="N572" s="18" t="str">
        <f aca="false">IF(A572="","",IF(AND(OR(F572="Bekliyor",F572="Parça bekleniyor",F572="Hazır"),M572&gt;7),"7 günü geçti",""))</f>
        <v/>
      </c>
      <c r="O572" s="18" t="str">
        <f aca="false">IF(AND(A572&lt;&gt;"",OR(F572="Bekliyor",F572="Parça bekleniyor",F572="Hazır")),A572+ROW()/1000000,"")</f>
        <v/>
      </c>
    </row>
    <row r="573" customFormat="false" ht="15" hidden="false" customHeight="false" outlineLevel="0" collapsed="false">
      <c r="A573" s="12"/>
      <c r="B573" s="13"/>
      <c r="C573" s="13"/>
      <c r="D573" s="13"/>
      <c r="E573" s="13"/>
      <c r="F573" s="14"/>
      <c r="G573" s="15"/>
      <c r="H573" s="15"/>
      <c r="I573" s="15"/>
      <c r="J573" s="12"/>
      <c r="K573" s="16" t="str">
        <f aca="false">IF(A573="","",G573+H573)</f>
        <v/>
      </c>
      <c r="L573" s="16" t="str">
        <f aca="false">IF(A573="","",IF(F573="İade edildi",0,K573-I573))</f>
        <v/>
      </c>
      <c r="M573" s="17" t="str">
        <f aca="true">IF(A573="","",IF(J573&lt;&gt;"",J573-A573,TODAY()-A573))</f>
        <v/>
      </c>
      <c r="N573" s="18" t="str">
        <f aca="false">IF(A573="","",IF(AND(OR(F573="Bekliyor",F573="Parça bekleniyor",F573="Hazır"),M573&gt;7),"7 günü geçti",""))</f>
        <v/>
      </c>
      <c r="O573" s="18" t="str">
        <f aca="false">IF(AND(A573&lt;&gt;"",OR(F573="Bekliyor",F573="Parça bekleniyor",F573="Hazır")),A573+ROW()/1000000,"")</f>
        <v/>
      </c>
    </row>
    <row r="574" customFormat="false" ht="15" hidden="false" customHeight="false" outlineLevel="0" collapsed="false">
      <c r="A574" s="12"/>
      <c r="B574" s="13"/>
      <c r="C574" s="13"/>
      <c r="D574" s="13"/>
      <c r="E574" s="13"/>
      <c r="F574" s="14"/>
      <c r="G574" s="15"/>
      <c r="H574" s="15"/>
      <c r="I574" s="15"/>
      <c r="J574" s="12"/>
      <c r="K574" s="16" t="str">
        <f aca="false">IF(A574="","",G574+H574)</f>
        <v/>
      </c>
      <c r="L574" s="16" t="str">
        <f aca="false">IF(A574="","",IF(F574="İade edildi",0,K574-I574))</f>
        <v/>
      </c>
      <c r="M574" s="17" t="str">
        <f aca="true">IF(A574="","",IF(J574&lt;&gt;"",J574-A574,TODAY()-A574))</f>
        <v/>
      </c>
      <c r="N574" s="18" t="str">
        <f aca="false">IF(A574="","",IF(AND(OR(F574="Bekliyor",F574="Parça bekleniyor",F574="Hazır"),M574&gt;7),"7 günü geçti",""))</f>
        <v/>
      </c>
      <c r="O574" s="18" t="str">
        <f aca="false">IF(AND(A574&lt;&gt;"",OR(F574="Bekliyor",F574="Parça bekleniyor",F574="Hazır")),A574+ROW()/1000000,"")</f>
        <v/>
      </c>
    </row>
    <row r="575" customFormat="false" ht="15" hidden="false" customHeight="false" outlineLevel="0" collapsed="false">
      <c r="A575" s="12"/>
      <c r="B575" s="13"/>
      <c r="C575" s="13"/>
      <c r="D575" s="13"/>
      <c r="E575" s="13"/>
      <c r="F575" s="14"/>
      <c r="G575" s="15"/>
      <c r="H575" s="15"/>
      <c r="I575" s="15"/>
      <c r="J575" s="12"/>
      <c r="K575" s="16" t="str">
        <f aca="false">IF(A575="","",G575+H575)</f>
        <v/>
      </c>
      <c r="L575" s="16" t="str">
        <f aca="false">IF(A575="","",IF(F575="İade edildi",0,K575-I575))</f>
        <v/>
      </c>
      <c r="M575" s="17" t="str">
        <f aca="true">IF(A575="","",IF(J575&lt;&gt;"",J575-A575,TODAY()-A575))</f>
        <v/>
      </c>
      <c r="N575" s="18" t="str">
        <f aca="false">IF(A575="","",IF(AND(OR(F575="Bekliyor",F575="Parça bekleniyor",F575="Hazır"),M575&gt;7),"7 günü geçti",""))</f>
        <v/>
      </c>
      <c r="O575" s="18" t="str">
        <f aca="false">IF(AND(A575&lt;&gt;"",OR(F575="Bekliyor",F575="Parça bekleniyor",F575="Hazır")),A575+ROW()/1000000,"")</f>
        <v/>
      </c>
    </row>
    <row r="576" customFormat="false" ht="15" hidden="false" customHeight="false" outlineLevel="0" collapsed="false">
      <c r="A576" s="12"/>
      <c r="B576" s="13"/>
      <c r="C576" s="13"/>
      <c r="D576" s="13"/>
      <c r="E576" s="13"/>
      <c r="F576" s="14"/>
      <c r="G576" s="15"/>
      <c r="H576" s="15"/>
      <c r="I576" s="15"/>
      <c r="J576" s="12"/>
      <c r="K576" s="16" t="str">
        <f aca="false">IF(A576="","",G576+H576)</f>
        <v/>
      </c>
      <c r="L576" s="16" t="str">
        <f aca="false">IF(A576="","",IF(F576="İade edildi",0,K576-I576))</f>
        <v/>
      </c>
      <c r="M576" s="17" t="str">
        <f aca="true">IF(A576="","",IF(J576&lt;&gt;"",J576-A576,TODAY()-A576))</f>
        <v/>
      </c>
      <c r="N576" s="18" t="str">
        <f aca="false">IF(A576="","",IF(AND(OR(F576="Bekliyor",F576="Parça bekleniyor",F576="Hazır"),M576&gt;7),"7 günü geçti",""))</f>
        <v/>
      </c>
      <c r="O576" s="18" t="str">
        <f aca="false">IF(AND(A576&lt;&gt;"",OR(F576="Bekliyor",F576="Parça bekleniyor",F576="Hazır")),A576+ROW()/1000000,"")</f>
        <v/>
      </c>
    </row>
    <row r="577" customFormat="false" ht="15" hidden="false" customHeight="false" outlineLevel="0" collapsed="false">
      <c r="A577" s="12"/>
      <c r="B577" s="13"/>
      <c r="C577" s="13"/>
      <c r="D577" s="13"/>
      <c r="E577" s="13"/>
      <c r="F577" s="14"/>
      <c r="G577" s="15"/>
      <c r="H577" s="15"/>
      <c r="I577" s="15"/>
      <c r="J577" s="12"/>
      <c r="K577" s="16" t="str">
        <f aca="false">IF(A577="","",G577+H577)</f>
        <v/>
      </c>
      <c r="L577" s="16" t="str">
        <f aca="false">IF(A577="","",IF(F577="İade edildi",0,K577-I577))</f>
        <v/>
      </c>
      <c r="M577" s="17" t="str">
        <f aca="true">IF(A577="","",IF(J577&lt;&gt;"",J577-A577,TODAY()-A577))</f>
        <v/>
      </c>
      <c r="N577" s="18" t="str">
        <f aca="false">IF(A577="","",IF(AND(OR(F577="Bekliyor",F577="Parça bekleniyor",F577="Hazır"),M577&gt;7),"7 günü geçti",""))</f>
        <v/>
      </c>
      <c r="O577" s="18" t="str">
        <f aca="false">IF(AND(A577&lt;&gt;"",OR(F577="Bekliyor",F577="Parça bekleniyor",F577="Hazır")),A577+ROW()/1000000,"")</f>
        <v/>
      </c>
    </row>
    <row r="578" customFormat="false" ht="15" hidden="false" customHeight="false" outlineLevel="0" collapsed="false">
      <c r="A578" s="12"/>
      <c r="B578" s="13"/>
      <c r="C578" s="13"/>
      <c r="D578" s="13"/>
      <c r="E578" s="13"/>
      <c r="F578" s="14"/>
      <c r="G578" s="15"/>
      <c r="H578" s="15"/>
      <c r="I578" s="15"/>
      <c r="J578" s="12"/>
      <c r="K578" s="16" t="str">
        <f aca="false">IF(A578="","",G578+H578)</f>
        <v/>
      </c>
      <c r="L578" s="16" t="str">
        <f aca="false">IF(A578="","",IF(F578="İade edildi",0,K578-I578))</f>
        <v/>
      </c>
      <c r="M578" s="17" t="str">
        <f aca="true">IF(A578="","",IF(J578&lt;&gt;"",J578-A578,TODAY()-A578))</f>
        <v/>
      </c>
      <c r="N578" s="18" t="str">
        <f aca="false">IF(A578="","",IF(AND(OR(F578="Bekliyor",F578="Parça bekleniyor",F578="Hazır"),M578&gt;7),"7 günü geçti",""))</f>
        <v/>
      </c>
      <c r="O578" s="18" t="str">
        <f aca="false">IF(AND(A578&lt;&gt;"",OR(F578="Bekliyor",F578="Parça bekleniyor",F578="Hazır")),A578+ROW()/1000000,"")</f>
        <v/>
      </c>
    </row>
    <row r="579" customFormat="false" ht="15" hidden="false" customHeight="false" outlineLevel="0" collapsed="false">
      <c r="A579" s="12"/>
      <c r="B579" s="13"/>
      <c r="C579" s="13"/>
      <c r="D579" s="13"/>
      <c r="E579" s="13"/>
      <c r="F579" s="14"/>
      <c r="G579" s="15"/>
      <c r="H579" s="15"/>
      <c r="I579" s="15"/>
      <c r="J579" s="12"/>
      <c r="K579" s="16" t="str">
        <f aca="false">IF(A579="","",G579+H579)</f>
        <v/>
      </c>
      <c r="L579" s="16" t="str">
        <f aca="false">IF(A579="","",IF(F579="İade edildi",0,K579-I579))</f>
        <v/>
      </c>
      <c r="M579" s="17" t="str">
        <f aca="true">IF(A579="","",IF(J579&lt;&gt;"",J579-A579,TODAY()-A579))</f>
        <v/>
      </c>
      <c r="N579" s="18" t="str">
        <f aca="false">IF(A579="","",IF(AND(OR(F579="Bekliyor",F579="Parça bekleniyor",F579="Hazır"),M579&gt;7),"7 günü geçti",""))</f>
        <v/>
      </c>
      <c r="O579" s="18" t="str">
        <f aca="false">IF(AND(A579&lt;&gt;"",OR(F579="Bekliyor",F579="Parça bekleniyor",F579="Hazır")),A579+ROW()/1000000,"")</f>
        <v/>
      </c>
    </row>
    <row r="580" customFormat="false" ht="15" hidden="false" customHeight="false" outlineLevel="0" collapsed="false">
      <c r="A580" s="12"/>
      <c r="B580" s="13"/>
      <c r="C580" s="13"/>
      <c r="D580" s="13"/>
      <c r="E580" s="13"/>
      <c r="F580" s="14"/>
      <c r="G580" s="15"/>
      <c r="H580" s="15"/>
      <c r="I580" s="15"/>
      <c r="J580" s="12"/>
      <c r="K580" s="16" t="str">
        <f aca="false">IF(A580="","",G580+H580)</f>
        <v/>
      </c>
      <c r="L580" s="16" t="str">
        <f aca="false">IF(A580="","",IF(F580="İade edildi",0,K580-I580))</f>
        <v/>
      </c>
      <c r="M580" s="17" t="str">
        <f aca="true">IF(A580="","",IF(J580&lt;&gt;"",J580-A580,TODAY()-A580))</f>
        <v/>
      </c>
      <c r="N580" s="18" t="str">
        <f aca="false">IF(A580="","",IF(AND(OR(F580="Bekliyor",F580="Parça bekleniyor",F580="Hazır"),M580&gt;7),"7 günü geçti",""))</f>
        <v/>
      </c>
      <c r="O580" s="18" t="str">
        <f aca="false">IF(AND(A580&lt;&gt;"",OR(F580="Bekliyor",F580="Parça bekleniyor",F580="Hazır")),A580+ROW()/1000000,"")</f>
        <v/>
      </c>
    </row>
    <row r="581" customFormat="false" ht="15" hidden="false" customHeight="false" outlineLevel="0" collapsed="false">
      <c r="A581" s="12"/>
      <c r="B581" s="13"/>
      <c r="C581" s="13"/>
      <c r="D581" s="13"/>
      <c r="E581" s="13"/>
      <c r="F581" s="14"/>
      <c r="G581" s="15"/>
      <c r="H581" s="15"/>
      <c r="I581" s="15"/>
      <c r="J581" s="12"/>
      <c r="K581" s="16" t="str">
        <f aca="false">IF(A581="","",G581+H581)</f>
        <v/>
      </c>
      <c r="L581" s="16" t="str">
        <f aca="false">IF(A581="","",IF(F581="İade edildi",0,K581-I581))</f>
        <v/>
      </c>
      <c r="M581" s="17" t="str">
        <f aca="true">IF(A581="","",IF(J581&lt;&gt;"",J581-A581,TODAY()-A581))</f>
        <v/>
      </c>
      <c r="N581" s="18" t="str">
        <f aca="false">IF(A581="","",IF(AND(OR(F581="Bekliyor",F581="Parça bekleniyor",F581="Hazır"),M581&gt;7),"7 günü geçti",""))</f>
        <v/>
      </c>
      <c r="O581" s="18" t="str">
        <f aca="false">IF(AND(A581&lt;&gt;"",OR(F581="Bekliyor",F581="Parça bekleniyor",F581="Hazır")),A581+ROW()/1000000,"")</f>
        <v/>
      </c>
    </row>
    <row r="582" customFormat="false" ht="15" hidden="false" customHeight="false" outlineLevel="0" collapsed="false">
      <c r="A582" s="12"/>
      <c r="B582" s="13"/>
      <c r="C582" s="13"/>
      <c r="D582" s="13"/>
      <c r="E582" s="13"/>
      <c r="F582" s="14"/>
      <c r="G582" s="15"/>
      <c r="H582" s="15"/>
      <c r="I582" s="15"/>
      <c r="J582" s="12"/>
      <c r="K582" s="16" t="str">
        <f aca="false">IF(A582="","",G582+H582)</f>
        <v/>
      </c>
      <c r="L582" s="16" t="str">
        <f aca="false">IF(A582="","",IF(F582="İade edildi",0,K582-I582))</f>
        <v/>
      </c>
      <c r="M582" s="17" t="str">
        <f aca="true">IF(A582="","",IF(J582&lt;&gt;"",J582-A582,TODAY()-A582))</f>
        <v/>
      </c>
      <c r="N582" s="18" t="str">
        <f aca="false">IF(A582="","",IF(AND(OR(F582="Bekliyor",F582="Parça bekleniyor",F582="Hazır"),M582&gt;7),"7 günü geçti",""))</f>
        <v/>
      </c>
      <c r="O582" s="18" t="str">
        <f aca="false">IF(AND(A582&lt;&gt;"",OR(F582="Bekliyor",F582="Parça bekleniyor",F582="Hazır")),A582+ROW()/1000000,"")</f>
        <v/>
      </c>
    </row>
    <row r="583" customFormat="false" ht="15" hidden="false" customHeight="false" outlineLevel="0" collapsed="false">
      <c r="A583" s="12"/>
      <c r="B583" s="13"/>
      <c r="C583" s="13"/>
      <c r="D583" s="13"/>
      <c r="E583" s="13"/>
      <c r="F583" s="14"/>
      <c r="G583" s="15"/>
      <c r="H583" s="15"/>
      <c r="I583" s="15"/>
      <c r="J583" s="12"/>
      <c r="K583" s="16" t="str">
        <f aca="false">IF(A583="","",G583+H583)</f>
        <v/>
      </c>
      <c r="L583" s="16" t="str">
        <f aca="false">IF(A583="","",IF(F583="İade edildi",0,K583-I583))</f>
        <v/>
      </c>
      <c r="M583" s="17" t="str">
        <f aca="true">IF(A583="","",IF(J583&lt;&gt;"",J583-A583,TODAY()-A583))</f>
        <v/>
      </c>
      <c r="N583" s="18" t="str">
        <f aca="false">IF(A583="","",IF(AND(OR(F583="Bekliyor",F583="Parça bekleniyor",F583="Hazır"),M583&gt;7),"7 günü geçti",""))</f>
        <v/>
      </c>
      <c r="O583" s="18" t="str">
        <f aca="false">IF(AND(A583&lt;&gt;"",OR(F583="Bekliyor",F583="Parça bekleniyor",F583="Hazır")),A583+ROW()/1000000,"")</f>
        <v/>
      </c>
    </row>
    <row r="584" customFormat="false" ht="15" hidden="false" customHeight="false" outlineLevel="0" collapsed="false">
      <c r="A584" s="12"/>
      <c r="B584" s="13"/>
      <c r="C584" s="13"/>
      <c r="D584" s="13"/>
      <c r="E584" s="13"/>
      <c r="F584" s="14"/>
      <c r="G584" s="15"/>
      <c r="H584" s="15"/>
      <c r="I584" s="15"/>
      <c r="J584" s="12"/>
      <c r="K584" s="16" t="str">
        <f aca="false">IF(A584="","",G584+H584)</f>
        <v/>
      </c>
      <c r="L584" s="16" t="str">
        <f aca="false">IF(A584="","",IF(F584="İade edildi",0,K584-I584))</f>
        <v/>
      </c>
      <c r="M584" s="17" t="str">
        <f aca="true">IF(A584="","",IF(J584&lt;&gt;"",J584-A584,TODAY()-A584))</f>
        <v/>
      </c>
      <c r="N584" s="18" t="str">
        <f aca="false">IF(A584="","",IF(AND(OR(F584="Bekliyor",F584="Parça bekleniyor",F584="Hazır"),M584&gt;7),"7 günü geçti",""))</f>
        <v/>
      </c>
      <c r="O584" s="18" t="str">
        <f aca="false">IF(AND(A584&lt;&gt;"",OR(F584="Bekliyor",F584="Parça bekleniyor",F584="Hazır")),A584+ROW()/1000000,"")</f>
        <v/>
      </c>
    </row>
    <row r="585" customFormat="false" ht="15" hidden="false" customHeight="false" outlineLevel="0" collapsed="false">
      <c r="A585" s="12"/>
      <c r="B585" s="13"/>
      <c r="C585" s="13"/>
      <c r="D585" s="13"/>
      <c r="E585" s="13"/>
      <c r="F585" s="14"/>
      <c r="G585" s="15"/>
      <c r="H585" s="15"/>
      <c r="I585" s="15"/>
      <c r="J585" s="12"/>
      <c r="K585" s="16" t="str">
        <f aca="false">IF(A585="","",G585+H585)</f>
        <v/>
      </c>
      <c r="L585" s="16" t="str">
        <f aca="false">IF(A585="","",IF(F585="İade edildi",0,K585-I585))</f>
        <v/>
      </c>
      <c r="M585" s="17" t="str">
        <f aca="true">IF(A585="","",IF(J585&lt;&gt;"",J585-A585,TODAY()-A585))</f>
        <v/>
      </c>
      <c r="N585" s="18" t="str">
        <f aca="false">IF(A585="","",IF(AND(OR(F585="Bekliyor",F585="Parça bekleniyor",F585="Hazır"),M585&gt;7),"7 günü geçti",""))</f>
        <v/>
      </c>
      <c r="O585" s="18" t="str">
        <f aca="false">IF(AND(A585&lt;&gt;"",OR(F585="Bekliyor",F585="Parça bekleniyor",F585="Hazır")),A585+ROW()/1000000,"")</f>
        <v/>
      </c>
    </row>
    <row r="586" customFormat="false" ht="15" hidden="false" customHeight="false" outlineLevel="0" collapsed="false">
      <c r="A586" s="12"/>
      <c r="B586" s="13"/>
      <c r="C586" s="13"/>
      <c r="D586" s="13"/>
      <c r="E586" s="13"/>
      <c r="F586" s="14"/>
      <c r="G586" s="15"/>
      <c r="H586" s="15"/>
      <c r="I586" s="15"/>
      <c r="J586" s="12"/>
      <c r="K586" s="16" t="str">
        <f aca="false">IF(A586="","",G586+H586)</f>
        <v/>
      </c>
      <c r="L586" s="16" t="str">
        <f aca="false">IF(A586="","",IF(F586="İade edildi",0,K586-I586))</f>
        <v/>
      </c>
      <c r="M586" s="17" t="str">
        <f aca="true">IF(A586="","",IF(J586&lt;&gt;"",J586-A586,TODAY()-A586))</f>
        <v/>
      </c>
      <c r="N586" s="18" t="str">
        <f aca="false">IF(A586="","",IF(AND(OR(F586="Bekliyor",F586="Parça bekleniyor",F586="Hazır"),M586&gt;7),"7 günü geçti",""))</f>
        <v/>
      </c>
      <c r="O586" s="18" t="str">
        <f aca="false">IF(AND(A586&lt;&gt;"",OR(F586="Bekliyor",F586="Parça bekleniyor",F586="Hazır")),A586+ROW()/1000000,"")</f>
        <v/>
      </c>
    </row>
    <row r="587" customFormat="false" ht="15" hidden="false" customHeight="false" outlineLevel="0" collapsed="false">
      <c r="A587" s="12"/>
      <c r="B587" s="13"/>
      <c r="C587" s="13"/>
      <c r="D587" s="13"/>
      <c r="E587" s="13"/>
      <c r="F587" s="14"/>
      <c r="G587" s="15"/>
      <c r="H587" s="15"/>
      <c r="I587" s="15"/>
      <c r="J587" s="12"/>
      <c r="K587" s="16" t="str">
        <f aca="false">IF(A587="","",G587+H587)</f>
        <v/>
      </c>
      <c r="L587" s="16" t="str">
        <f aca="false">IF(A587="","",IF(F587="İade edildi",0,K587-I587))</f>
        <v/>
      </c>
      <c r="M587" s="17" t="str">
        <f aca="true">IF(A587="","",IF(J587&lt;&gt;"",J587-A587,TODAY()-A587))</f>
        <v/>
      </c>
      <c r="N587" s="18" t="str">
        <f aca="false">IF(A587="","",IF(AND(OR(F587="Bekliyor",F587="Parça bekleniyor",F587="Hazır"),M587&gt;7),"7 günü geçti",""))</f>
        <v/>
      </c>
      <c r="O587" s="18" t="str">
        <f aca="false">IF(AND(A587&lt;&gt;"",OR(F587="Bekliyor",F587="Parça bekleniyor",F587="Hazır")),A587+ROW()/1000000,"")</f>
        <v/>
      </c>
    </row>
    <row r="588" customFormat="false" ht="15" hidden="false" customHeight="false" outlineLevel="0" collapsed="false">
      <c r="A588" s="12"/>
      <c r="B588" s="13"/>
      <c r="C588" s="13"/>
      <c r="D588" s="13"/>
      <c r="E588" s="13"/>
      <c r="F588" s="14"/>
      <c r="G588" s="15"/>
      <c r="H588" s="15"/>
      <c r="I588" s="15"/>
      <c r="J588" s="12"/>
      <c r="K588" s="16" t="str">
        <f aca="false">IF(A588="","",G588+H588)</f>
        <v/>
      </c>
      <c r="L588" s="16" t="str">
        <f aca="false">IF(A588="","",IF(F588="İade edildi",0,K588-I588))</f>
        <v/>
      </c>
      <c r="M588" s="17" t="str">
        <f aca="true">IF(A588="","",IF(J588&lt;&gt;"",J588-A588,TODAY()-A588))</f>
        <v/>
      </c>
      <c r="N588" s="18" t="str">
        <f aca="false">IF(A588="","",IF(AND(OR(F588="Bekliyor",F588="Parça bekleniyor",F588="Hazır"),M588&gt;7),"7 günü geçti",""))</f>
        <v/>
      </c>
      <c r="O588" s="18" t="str">
        <f aca="false">IF(AND(A588&lt;&gt;"",OR(F588="Bekliyor",F588="Parça bekleniyor",F588="Hazır")),A588+ROW()/1000000,"")</f>
        <v/>
      </c>
    </row>
    <row r="589" customFormat="false" ht="15" hidden="false" customHeight="false" outlineLevel="0" collapsed="false">
      <c r="A589" s="12"/>
      <c r="B589" s="13"/>
      <c r="C589" s="13"/>
      <c r="D589" s="13"/>
      <c r="E589" s="13"/>
      <c r="F589" s="14"/>
      <c r="G589" s="15"/>
      <c r="H589" s="15"/>
      <c r="I589" s="15"/>
      <c r="J589" s="12"/>
      <c r="K589" s="16" t="str">
        <f aca="false">IF(A589="","",G589+H589)</f>
        <v/>
      </c>
      <c r="L589" s="16" t="str">
        <f aca="false">IF(A589="","",IF(F589="İade edildi",0,K589-I589))</f>
        <v/>
      </c>
      <c r="M589" s="17" t="str">
        <f aca="true">IF(A589="","",IF(J589&lt;&gt;"",J589-A589,TODAY()-A589))</f>
        <v/>
      </c>
      <c r="N589" s="18" t="str">
        <f aca="false">IF(A589="","",IF(AND(OR(F589="Bekliyor",F589="Parça bekleniyor",F589="Hazır"),M589&gt;7),"7 günü geçti",""))</f>
        <v/>
      </c>
      <c r="O589" s="18" t="str">
        <f aca="false">IF(AND(A589&lt;&gt;"",OR(F589="Bekliyor",F589="Parça bekleniyor",F589="Hazır")),A589+ROW()/1000000,"")</f>
        <v/>
      </c>
    </row>
    <row r="590" customFormat="false" ht="15" hidden="false" customHeight="false" outlineLevel="0" collapsed="false">
      <c r="A590" s="12"/>
      <c r="B590" s="13"/>
      <c r="C590" s="13"/>
      <c r="D590" s="13"/>
      <c r="E590" s="13"/>
      <c r="F590" s="14"/>
      <c r="G590" s="15"/>
      <c r="H590" s="15"/>
      <c r="I590" s="15"/>
      <c r="J590" s="12"/>
      <c r="K590" s="16" t="str">
        <f aca="false">IF(A590="","",G590+H590)</f>
        <v/>
      </c>
      <c r="L590" s="16" t="str">
        <f aca="false">IF(A590="","",IF(F590="İade edildi",0,K590-I590))</f>
        <v/>
      </c>
      <c r="M590" s="17" t="str">
        <f aca="true">IF(A590="","",IF(J590&lt;&gt;"",J590-A590,TODAY()-A590))</f>
        <v/>
      </c>
      <c r="N590" s="18" t="str">
        <f aca="false">IF(A590="","",IF(AND(OR(F590="Bekliyor",F590="Parça bekleniyor",F590="Hazır"),M590&gt;7),"7 günü geçti",""))</f>
        <v/>
      </c>
      <c r="O590" s="18" t="str">
        <f aca="false">IF(AND(A590&lt;&gt;"",OR(F590="Bekliyor",F590="Parça bekleniyor",F590="Hazır")),A590+ROW()/1000000,"")</f>
        <v/>
      </c>
    </row>
    <row r="591" customFormat="false" ht="15" hidden="false" customHeight="false" outlineLevel="0" collapsed="false">
      <c r="A591" s="12"/>
      <c r="B591" s="13"/>
      <c r="C591" s="13"/>
      <c r="D591" s="13"/>
      <c r="E591" s="13"/>
      <c r="F591" s="14"/>
      <c r="G591" s="15"/>
      <c r="H591" s="15"/>
      <c r="I591" s="15"/>
      <c r="J591" s="12"/>
      <c r="K591" s="16" t="str">
        <f aca="false">IF(A591="","",G591+H591)</f>
        <v/>
      </c>
      <c r="L591" s="16" t="str">
        <f aca="false">IF(A591="","",IF(F591="İade edildi",0,K591-I591))</f>
        <v/>
      </c>
      <c r="M591" s="17" t="str">
        <f aca="true">IF(A591="","",IF(J591&lt;&gt;"",J591-A591,TODAY()-A591))</f>
        <v/>
      </c>
      <c r="N591" s="18" t="str">
        <f aca="false">IF(A591="","",IF(AND(OR(F591="Bekliyor",F591="Parça bekleniyor",F591="Hazır"),M591&gt;7),"7 günü geçti",""))</f>
        <v/>
      </c>
      <c r="O591" s="18" t="str">
        <f aca="false">IF(AND(A591&lt;&gt;"",OR(F591="Bekliyor",F591="Parça bekleniyor",F591="Hazır")),A591+ROW()/1000000,"")</f>
        <v/>
      </c>
    </row>
    <row r="592" customFormat="false" ht="15" hidden="false" customHeight="false" outlineLevel="0" collapsed="false">
      <c r="A592" s="12"/>
      <c r="B592" s="13"/>
      <c r="C592" s="13"/>
      <c r="D592" s="13"/>
      <c r="E592" s="13"/>
      <c r="F592" s="14"/>
      <c r="G592" s="15"/>
      <c r="H592" s="15"/>
      <c r="I592" s="15"/>
      <c r="J592" s="12"/>
      <c r="K592" s="16" t="str">
        <f aca="false">IF(A592="","",G592+H592)</f>
        <v/>
      </c>
      <c r="L592" s="16" t="str">
        <f aca="false">IF(A592="","",IF(F592="İade edildi",0,K592-I592))</f>
        <v/>
      </c>
      <c r="M592" s="17" t="str">
        <f aca="true">IF(A592="","",IF(J592&lt;&gt;"",J592-A592,TODAY()-A592))</f>
        <v/>
      </c>
      <c r="N592" s="18" t="str">
        <f aca="false">IF(A592="","",IF(AND(OR(F592="Bekliyor",F592="Parça bekleniyor",F592="Hazır"),M592&gt;7),"7 günü geçti",""))</f>
        <v/>
      </c>
      <c r="O592" s="18" t="str">
        <f aca="false">IF(AND(A592&lt;&gt;"",OR(F592="Bekliyor",F592="Parça bekleniyor",F592="Hazır")),A592+ROW()/1000000,"")</f>
        <v/>
      </c>
    </row>
    <row r="593" customFormat="false" ht="15" hidden="false" customHeight="false" outlineLevel="0" collapsed="false">
      <c r="A593" s="12"/>
      <c r="B593" s="13"/>
      <c r="C593" s="13"/>
      <c r="D593" s="13"/>
      <c r="E593" s="13"/>
      <c r="F593" s="14"/>
      <c r="G593" s="15"/>
      <c r="H593" s="15"/>
      <c r="I593" s="15"/>
      <c r="J593" s="12"/>
      <c r="K593" s="16" t="str">
        <f aca="false">IF(A593="","",G593+H593)</f>
        <v/>
      </c>
      <c r="L593" s="16" t="str">
        <f aca="false">IF(A593="","",IF(F593="İade edildi",0,K593-I593))</f>
        <v/>
      </c>
      <c r="M593" s="17" t="str">
        <f aca="true">IF(A593="","",IF(J593&lt;&gt;"",J593-A593,TODAY()-A593))</f>
        <v/>
      </c>
      <c r="N593" s="18" t="str">
        <f aca="false">IF(A593="","",IF(AND(OR(F593="Bekliyor",F593="Parça bekleniyor",F593="Hazır"),M593&gt;7),"7 günü geçti",""))</f>
        <v/>
      </c>
      <c r="O593" s="18" t="str">
        <f aca="false">IF(AND(A593&lt;&gt;"",OR(F593="Bekliyor",F593="Parça bekleniyor",F593="Hazır")),A593+ROW()/1000000,"")</f>
        <v/>
      </c>
    </row>
    <row r="594" customFormat="false" ht="15" hidden="false" customHeight="false" outlineLevel="0" collapsed="false">
      <c r="A594" s="12"/>
      <c r="B594" s="13"/>
      <c r="C594" s="13"/>
      <c r="D594" s="13"/>
      <c r="E594" s="13"/>
      <c r="F594" s="14"/>
      <c r="G594" s="15"/>
      <c r="H594" s="15"/>
      <c r="I594" s="15"/>
      <c r="J594" s="12"/>
      <c r="K594" s="16" t="str">
        <f aca="false">IF(A594="","",G594+H594)</f>
        <v/>
      </c>
      <c r="L594" s="16" t="str">
        <f aca="false">IF(A594="","",IF(F594="İade edildi",0,K594-I594))</f>
        <v/>
      </c>
      <c r="M594" s="17" t="str">
        <f aca="true">IF(A594="","",IF(J594&lt;&gt;"",J594-A594,TODAY()-A594))</f>
        <v/>
      </c>
      <c r="N594" s="18" t="str">
        <f aca="false">IF(A594="","",IF(AND(OR(F594="Bekliyor",F594="Parça bekleniyor",F594="Hazır"),M594&gt;7),"7 günü geçti",""))</f>
        <v/>
      </c>
      <c r="O594" s="18" t="str">
        <f aca="false">IF(AND(A594&lt;&gt;"",OR(F594="Bekliyor",F594="Parça bekleniyor",F594="Hazır")),A594+ROW()/1000000,"")</f>
        <v/>
      </c>
    </row>
    <row r="595" customFormat="false" ht="15" hidden="false" customHeight="false" outlineLevel="0" collapsed="false">
      <c r="A595" s="12"/>
      <c r="B595" s="13"/>
      <c r="C595" s="13"/>
      <c r="D595" s="13"/>
      <c r="E595" s="13"/>
      <c r="F595" s="14"/>
      <c r="G595" s="15"/>
      <c r="H595" s="15"/>
      <c r="I595" s="15"/>
      <c r="J595" s="12"/>
      <c r="K595" s="16" t="str">
        <f aca="false">IF(A595="","",G595+H595)</f>
        <v/>
      </c>
      <c r="L595" s="16" t="str">
        <f aca="false">IF(A595="","",IF(F595="İade edildi",0,K595-I595))</f>
        <v/>
      </c>
      <c r="M595" s="17" t="str">
        <f aca="true">IF(A595="","",IF(J595&lt;&gt;"",J595-A595,TODAY()-A595))</f>
        <v/>
      </c>
      <c r="N595" s="18" t="str">
        <f aca="false">IF(A595="","",IF(AND(OR(F595="Bekliyor",F595="Parça bekleniyor",F595="Hazır"),M595&gt;7),"7 günü geçti",""))</f>
        <v/>
      </c>
      <c r="O595" s="18" t="str">
        <f aca="false">IF(AND(A595&lt;&gt;"",OR(F595="Bekliyor",F595="Parça bekleniyor",F595="Hazır")),A595+ROW()/1000000,"")</f>
        <v/>
      </c>
    </row>
    <row r="596" customFormat="false" ht="15" hidden="false" customHeight="false" outlineLevel="0" collapsed="false">
      <c r="A596" s="12"/>
      <c r="B596" s="13"/>
      <c r="C596" s="13"/>
      <c r="D596" s="13"/>
      <c r="E596" s="13"/>
      <c r="F596" s="14"/>
      <c r="G596" s="15"/>
      <c r="H596" s="15"/>
      <c r="I596" s="15"/>
      <c r="J596" s="12"/>
      <c r="K596" s="16" t="str">
        <f aca="false">IF(A596="","",G596+H596)</f>
        <v/>
      </c>
      <c r="L596" s="16" t="str">
        <f aca="false">IF(A596="","",IF(F596="İade edildi",0,K596-I596))</f>
        <v/>
      </c>
      <c r="M596" s="17" t="str">
        <f aca="true">IF(A596="","",IF(J596&lt;&gt;"",J596-A596,TODAY()-A596))</f>
        <v/>
      </c>
      <c r="N596" s="18" t="str">
        <f aca="false">IF(A596="","",IF(AND(OR(F596="Bekliyor",F596="Parça bekleniyor",F596="Hazır"),M596&gt;7),"7 günü geçti",""))</f>
        <v/>
      </c>
      <c r="O596" s="18" t="str">
        <f aca="false">IF(AND(A596&lt;&gt;"",OR(F596="Bekliyor",F596="Parça bekleniyor",F596="Hazır")),A596+ROW()/1000000,"")</f>
        <v/>
      </c>
    </row>
    <row r="597" customFormat="false" ht="15" hidden="false" customHeight="false" outlineLevel="0" collapsed="false">
      <c r="A597" s="12"/>
      <c r="B597" s="13"/>
      <c r="C597" s="13"/>
      <c r="D597" s="13"/>
      <c r="E597" s="13"/>
      <c r="F597" s="14"/>
      <c r="G597" s="15"/>
      <c r="H597" s="15"/>
      <c r="I597" s="15"/>
      <c r="J597" s="12"/>
      <c r="K597" s="16" t="str">
        <f aca="false">IF(A597="","",G597+H597)</f>
        <v/>
      </c>
      <c r="L597" s="16" t="str">
        <f aca="false">IF(A597="","",IF(F597="İade edildi",0,K597-I597))</f>
        <v/>
      </c>
      <c r="M597" s="17" t="str">
        <f aca="true">IF(A597="","",IF(J597&lt;&gt;"",J597-A597,TODAY()-A597))</f>
        <v/>
      </c>
      <c r="N597" s="18" t="str">
        <f aca="false">IF(A597="","",IF(AND(OR(F597="Bekliyor",F597="Parça bekleniyor",F597="Hazır"),M597&gt;7),"7 günü geçti",""))</f>
        <v/>
      </c>
      <c r="O597" s="18" t="str">
        <f aca="false">IF(AND(A597&lt;&gt;"",OR(F597="Bekliyor",F597="Parça bekleniyor",F597="Hazır")),A597+ROW()/1000000,"")</f>
        <v/>
      </c>
    </row>
    <row r="598" customFormat="false" ht="15" hidden="false" customHeight="false" outlineLevel="0" collapsed="false">
      <c r="A598" s="12"/>
      <c r="B598" s="13"/>
      <c r="C598" s="13"/>
      <c r="D598" s="13"/>
      <c r="E598" s="13"/>
      <c r="F598" s="14"/>
      <c r="G598" s="15"/>
      <c r="H598" s="15"/>
      <c r="I598" s="15"/>
      <c r="J598" s="12"/>
      <c r="K598" s="16" t="str">
        <f aca="false">IF(A598="","",G598+H598)</f>
        <v/>
      </c>
      <c r="L598" s="16" t="str">
        <f aca="false">IF(A598="","",IF(F598="İade edildi",0,K598-I598))</f>
        <v/>
      </c>
      <c r="M598" s="17" t="str">
        <f aca="true">IF(A598="","",IF(J598&lt;&gt;"",J598-A598,TODAY()-A598))</f>
        <v/>
      </c>
      <c r="N598" s="18" t="str">
        <f aca="false">IF(A598="","",IF(AND(OR(F598="Bekliyor",F598="Parça bekleniyor",F598="Hazır"),M598&gt;7),"7 günü geçti",""))</f>
        <v/>
      </c>
      <c r="O598" s="18" t="str">
        <f aca="false">IF(AND(A598&lt;&gt;"",OR(F598="Bekliyor",F598="Parça bekleniyor",F598="Hazır")),A598+ROW()/1000000,"")</f>
        <v/>
      </c>
    </row>
    <row r="599" customFormat="false" ht="15" hidden="false" customHeight="false" outlineLevel="0" collapsed="false">
      <c r="A599" s="12"/>
      <c r="B599" s="13"/>
      <c r="C599" s="13"/>
      <c r="D599" s="13"/>
      <c r="E599" s="13"/>
      <c r="F599" s="14"/>
      <c r="G599" s="15"/>
      <c r="H599" s="15"/>
      <c r="I599" s="15"/>
      <c r="J599" s="12"/>
      <c r="K599" s="16" t="str">
        <f aca="false">IF(A599="","",G599+H599)</f>
        <v/>
      </c>
      <c r="L599" s="16" t="str">
        <f aca="false">IF(A599="","",IF(F599="İade edildi",0,K599-I599))</f>
        <v/>
      </c>
      <c r="M599" s="17" t="str">
        <f aca="true">IF(A599="","",IF(J599&lt;&gt;"",J599-A599,TODAY()-A599))</f>
        <v/>
      </c>
      <c r="N599" s="18" t="str">
        <f aca="false">IF(A599="","",IF(AND(OR(F599="Bekliyor",F599="Parça bekleniyor",F599="Hazır"),M599&gt;7),"7 günü geçti",""))</f>
        <v/>
      </c>
      <c r="O599" s="18" t="str">
        <f aca="false">IF(AND(A599&lt;&gt;"",OR(F599="Bekliyor",F599="Parça bekleniyor",F599="Hazır")),A599+ROW()/1000000,"")</f>
        <v/>
      </c>
    </row>
    <row r="600" customFormat="false" ht="15" hidden="false" customHeight="false" outlineLevel="0" collapsed="false">
      <c r="A600" s="12"/>
      <c r="B600" s="13"/>
      <c r="C600" s="13"/>
      <c r="D600" s="13"/>
      <c r="E600" s="13"/>
      <c r="F600" s="14"/>
      <c r="G600" s="15"/>
      <c r="H600" s="15"/>
      <c r="I600" s="15"/>
      <c r="J600" s="12"/>
      <c r="K600" s="16" t="str">
        <f aca="false">IF(A600="","",G600+H600)</f>
        <v/>
      </c>
      <c r="L600" s="16" t="str">
        <f aca="false">IF(A600="","",IF(F600="İade edildi",0,K600-I600))</f>
        <v/>
      </c>
      <c r="M600" s="17" t="str">
        <f aca="true">IF(A600="","",IF(J600&lt;&gt;"",J600-A600,TODAY()-A600))</f>
        <v/>
      </c>
      <c r="N600" s="18" t="str">
        <f aca="false">IF(A600="","",IF(AND(OR(F600="Bekliyor",F600="Parça bekleniyor",F600="Hazır"),M600&gt;7),"7 günü geçti",""))</f>
        <v/>
      </c>
      <c r="O600" s="18" t="str">
        <f aca="false">IF(AND(A600&lt;&gt;"",OR(F600="Bekliyor",F600="Parça bekleniyor",F600="Hazır")),A600+ROW()/1000000,"")</f>
        <v/>
      </c>
    </row>
    <row r="601" customFormat="false" ht="15" hidden="false" customHeight="false" outlineLevel="0" collapsed="false">
      <c r="A601" s="12"/>
      <c r="B601" s="13"/>
      <c r="C601" s="13"/>
      <c r="D601" s="13"/>
      <c r="E601" s="13"/>
      <c r="F601" s="14"/>
      <c r="G601" s="15"/>
      <c r="H601" s="15"/>
      <c r="I601" s="15"/>
      <c r="J601" s="12"/>
      <c r="K601" s="16" t="str">
        <f aca="false">IF(A601="","",G601+H601)</f>
        <v/>
      </c>
      <c r="L601" s="16" t="str">
        <f aca="false">IF(A601="","",IF(F601="İade edildi",0,K601-I601))</f>
        <v/>
      </c>
      <c r="M601" s="17" t="str">
        <f aca="true">IF(A601="","",IF(J601&lt;&gt;"",J601-A601,TODAY()-A601))</f>
        <v/>
      </c>
      <c r="N601" s="18" t="str">
        <f aca="false">IF(A601="","",IF(AND(OR(F601="Bekliyor",F601="Parça bekleniyor",F601="Hazır"),M601&gt;7),"7 günü geçti",""))</f>
        <v/>
      </c>
      <c r="O601" s="18" t="str">
        <f aca="false">IF(AND(A601&lt;&gt;"",OR(F601="Bekliyor",F601="Parça bekleniyor",F601="Hazır")),A601+ROW()/1000000,"")</f>
        <v/>
      </c>
    </row>
    <row r="602" customFormat="false" ht="15" hidden="false" customHeight="false" outlineLevel="0" collapsed="false">
      <c r="A602" s="12"/>
      <c r="B602" s="13"/>
      <c r="C602" s="13"/>
      <c r="D602" s="13"/>
      <c r="E602" s="13"/>
      <c r="F602" s="14"/>
      <c r="G602" s="15"/>
      <c r="H602" s="15"/>
      <c r="I602" s="15"/>
      <c r="J602" s="12"/>
      <c r="K602" s="16" t="str">
        <f aca="false">IF(A602="","",G602+H602)</f>
        <v/>
      </c>
      <c r="L602" s="16" t="str">
        <f aca="false">IF(A602="","",IF(F602="İade edildi",0,K602-I602))</f>
        <v/>
      </c>
      <c r="M602" s="17" t="str">
        <f aca="true">IF(A602="","",IF(J602&lt;&gt;"",J602-A602,TODAY()-A602))</f>
        <v/>
      </c>
      <c r="N602" s="18" t="str">
        <f aca="false">IF(A602="","",IF(AND(OR(F602="Bekliyor",F602="Parça bekleniyor",F602="Hazır"),M602&gt;7),"7 günü geçti",""))</f>
        <v/>
      </c>
      <c r="O602" s="18" t="str">
        <f aca="false">IF(AND(A602&lt;&gt;"",OR(F602="Bekliyor",F602="Parça bekleniyor",F602="Hazır")),A602+ROW()/1000000,"")</f>
        <v/>
      </c>
    </row>
    <row r="603" customFormat="false" ht="15" hidden="false" customHeight="false" outlineLevel="0" collapsed="false">
      <c r="A603" s="12"/>
      <c r="B603" s="13"/>
      <c r="C603" s="13"/>
      <c r="D603" s="13"/>
      <c r="E603" s="13"/>
      <c r="F603" s="14"/>
      <c r="G603" s="15"/>
      <c r="H603" s="15"/>
      <c r="I603" s="15"/>
      <c r="J603" s="12"/>
      <c r="K603" s="16" t="str">
        <f aca="false">IF(A603="","",G603+H603)</f>
        <v/>
      </c>
      <c r="L603" s="16" t="str">
        <f aca="false">IF(A603="","",IF(F603="İade edildi",0,K603-I603))</f>
        <v/>
      </c>
      <c r="M603" s="17" t="str">
        <f aca="true">IF(A603="","",IF(J603&lt;&gt;"",J603-A603,TODAY()-A603))</f>
        <v/>
      </c>
      <c r="N603" s="18" t="str">
        <f aca="false">IF(A603="","",IF(AND(OR(F603="Bekliyor",F603="Parça bekleniyor",F603="Hazır"),M603&gt;7),"7 günü geçti",""))</f>
        <v/>
      </c>
      <c r="O603" s="18" t="str">
        <f aca="false">IF(AND(A603&lt;&gt;"",OR(F603="Bekliyor",F603="Parça bekleniyor",F603="Hazır")),A603+ROW()/1000000,"")</f>
        <v/>
      </c>
    </row>
    <row r="604" customFormat="false" ht="15" hidden="false" customHeight="false" outlineLevel="0" collapsed="false">
      <c r="A604" s="12"/>
      <c r="B604" s="13"/>
      <c r="C604" s="13"/>
      <c r="D604" s="13"/>
      <c r="E604" s="13"/>
      <c r="F604" s="14"/>
      <c r="G604" s="15"/>
      <c r="H604" s="15"/>
      <c r="I604" s="15"/>
      <c r="J604" s="12"/>
      <c r="K604" s="16" t="str">
        <f aca="false">IF(A604="","",G604+H604)</f>
        <v/>
      </c>
      <c r="L604" s="16" t="str">
        <f aca="false">IF(A604="","",IF(F604="İade edildi",0,K604-I604))</f>
        <v/>
      </c>
      <c r="M604" s="17" t="str">
        <f aca="true">IF(A604="","",IF(J604&lt;&gt;"",J604-A604,TODAY()-A604))</f>
        <v/>
      </c>
      <c r="N604" s="18" t="str">
        <f aca="false">IF(A604="","",IF(AND(OR(F604="Bekliyor",F604="Parça bekleniyor",F604="Hazır"),M604&gt;7),"7 günü geçti",""))</f>
        <v/>
      </c>
      <c r="O604" s="18" t="str">
        <f aca="false">IF(AND(A604&lt;&gt;"",OR(F604="Bekliyor",F604="Parça bekleniyor",F604="Hazır")),A604+ROW()/1000000,"")</f>
        <v/>
      </c>
    </row>
    <row r="605" customFormat="false" ht="15" hidden="false" customHeight="false" outlineLevel="0" collapsed="false">
      <c r="A605" s="12"/>
      <c r="B605" s="13"/>
      <c r="C605" s="13"/>
      <c r="D605" s="13"/>
      <c r="E605" s="13"/>
      <c r="F605" s="14"/>
      <c r="G605" s="15"/>
      <c r="H605" s="15"/>
      <c r="I605" s="15"/>
      <c r="J605" s="12"/>
      <c r="K605" s="16" t="str">
        <f aca="false">IF(A605="","",G605+H605)</f>
        <v/>
      </c>
      <c r="L605" s="16" t="str">
        <f aca="false">IF(A605="","",IF(F605="İade edildi",0,K605-I605))</f>
        <v/>
      </c>
      <c r="M605" s="17" t="str">
        <f aca="true">IF(A605="","",IF(J605&lt;&gt;"",J605-A605,TODAY()-A605))</f>
        <v/>
      </c>
      <c r="N605" s="18" t="str">
        <f aca="false">IF(A605="","",IF(AND(OR(F605="Bekliyor",F605="Parça bekleniyor",F605="Hazır"),M605&gt;7),"7 günü geçti",""))</f>
        <v/>
      </c>
      <c r="O605" s="18" t="str">
        <f aca="false">IF(AND(A605&lt;&gt;"",OR(F605="Bekliyor",F605="Parça bekleniyor",F605="Hazır")),A605+ROW()/1000000,"")</f>
        <v/>
      </c>
    </row>
    <row r="606" customFormat="false" ht="15" hidden="false" customHeight="false" outlineLevel="0" collapsed="false">
      <c r="A606" s="12"/>
      <c r="B606" s="13"/>
      <c r="C606" s="13"/>
      <c r="D606" s="13"/>
      <c r="E606" s="13"/>
      <c r="F606" s="14"/>
      <c r="G606" s="15"/>
      <c r="H606" s="15"/>
      <c r="I606" s="15"/>
      <c r="J606" s="12"/>
      <c r="K606" s="16" t="str">
        <f aca="false">IF(A606="","",G606+H606)</f>
        <v/>
      </c>
      <c r="L606" s="16" t="str">
        <f aca="false">IF(A606="","",IF(F606="İade edildi",0,K606-I606))</f>
        <v/>
      </c>
      <c r="M606" s="17" t="str">
        <f aca="true">IF(A606="","",IF(J606&lt;&gt;"",J606-A606,TODAY()-A606))</f>
        <v/>
      </c>
      <c r="N606" s="18" t="str">
        <f aca="false">IF(A606="","",IF(AND(OR(F606="Bekliyor",F606="Parça bekleniyor",F606="Hazır"),M606&gt;7),"7 günü geçti",""))</f>
        <v/>
      </c>
      <c r="O606" s="18" t="str">
        <f aca="false">IF(AND(A606&lt;&gt;"",OR(F606="Bekliyor",F606="Parça bekleniyor",F606="Hazır")),A606+ROW()/1000000,"")</f>
        <v/>
      </c>
    </row>
    <row r="607" customFormat="false" ht="15" hidden="false" customHeight="false" outlineLevel="0" collapsed="false">
      <c r="A607" s="12"/>
      <c r="B607" s="13"/>
      <c r="C607" s="13"/>
      <c r="D607" s="13"/>
      <c r="E607" s="13"/>
      <c r="F607" s="14"/>
      <c r="G607" s="15"/>
      <c r="H607" s="15"/>
      <c r="I607" s="15"/>
      <c r="J607" s="12"/>
      <c r="K607" s="16" t="str">
        <f aca="false">IF(A607="","",G607+H607)</f>
        <v/>
      </c>
      <c r="L607" s="16" t="str">
        <f aca="false">IF(A607="","",IF(F607="İade edildi",0,K607-I607))</f>
        <v/>
      </c>
      <c r="M607" s="17" t="str">
        <f aca="true">IF(A607="","",IF(J607&lt;&gt;"",J607-A607,TODAY()-A607))</f>
        <v/>
      </c>
      <c r="N607" s="18" t="str">
        <f aca="false">IF(A607="","",IF(AND(OR(F607="Bekliyor",F607="Parça bekleniyor",F607="Hazır"),M607&gt;7),"7 günü geçti",""))</f>
        <v/>
      </c>
      <c r="O607" s="18" t="str">
        <f aca="false">IF(AND(A607&lt;&gt;"",OR(F607="Bekliyor",F607="Parça bekleniyor",F607="Hazır")),A607+ROW()/1000000,"")</f>
        <v/>
      </c>
    </row>
    <row r="608" customFormat="false" ht="15" hidden="false" customHeight="false" outlineLevel="0" collapsed="false">
      <c r="A608" s="12"/>
      <c r="B608" s="13"/>
      <c r="C608" s="13"/>
      <c r="D608" s="13"/>
      <c r="E608" s="13"/>
      <c r="F608" s="14"/>
      <c r="G608" s="15"/>
      <c r="H608" s="15"/>
      <c r="I608" s="15"/>
      <c r="J608" s="12"/>
      <c r="K608" s="16" t="str">
        <f aca="false">IF(A608="","",G608+H608)</f>
        <v/>
      </c>
      <c r="L608" s="16" t="str">
        <f aca="false">IF(A608="","",IF(F608="İade edildi",0,K608-I608))</f>
        <v/>
      </c>
      <c r="M608" s="17" t="str">
        <f aca="true">IF(A608="","",IF(J608&lt;&gt;"",J608-A608,TODAY()-A608))</f>
        <v/>
      </c>
      <c r="N608" s="18" t="str">
        <f aca="false">IF(A608="","",IF(AND(OR(F608="Bekliyor",F608="Parça bekleniyor",F608="Hazır"),M608&gt;7),"7 günü geçti",""))</f>
        <v/>
      </c>
      <c r="O608" s="18" t="str">
        <f aca="false">IF(AND(A608&lt;&gt;"",OR(F608="Bekliyor",F608="Parça bekleniyor",F608="Hazır")),A608+ROW()/1000000,"")</f>
        <v/>
      </c>
    </row>
    <row r="609" customFormat="false" ht="15" hidden="false" customHeight="false" outlineLevel="0" collapsed="false">
      <c r="A609" s="12"/>
      <c r="B609" s="13"/>
      <c r="C609" s="13"/>
      <c r="D609" s="13"/>
      <c r="E609" s="13"/>
      <c r="F609" s="14"/>
      <c r="G609" s="15"/>
      <c r="H609" s="15"/>
      <c r="I609" s="15"/>
      <c r="J609" s="12"/>
      <c r="K609" s="16" t="str">
        <f aca="false">IF(A609="","",G609+H609)</f>
        <v/>
      </c>
      <c r="L609" s="16" t="str">
        <f aca="false">IF(A609="","",IF(F609="İade edildi",0,K609-I609))</f>
        <v/>
      </c>
      <c r="M609" s="17" t="str">
        <f aca="true">IF(A609="","",IF(J609&lt;&gt;"",J609-A609,TODAY()-A609))</f>
        <v/>
      </c>
      <c r="N609" s="18" t="str">
        <f aca="false">IF(A609="","",IF(AND(OR(F609="Bekliyor",F609="Parça bekleniyor",F609="Hazır"),M609&gt;7),"7 günü geçti",""))</f>
        <v/>
      </c>
      <c r="O609" s="18" t="str">
        <f aca="false">IF(AND(A609&lt;&gt;"",OR(F609="Bekliyor",F609="Parça bekleniyor",F609="Hazır")),A609+ROW()/1000000,"")</f>
        <v/>
      </c>
    </row>
    <row r="610" customFormat="false" ht="15" hidden="false" customHeight="false" outlineLevel="0" collapsed="false">
      <c r="A610" s="12"/>
      <c r="B610" s="13"/>
      <c r="C610" s="13"/>
      <c r="D610" s="13"/>
      <c r="E610" s="13"/>
      <c r="F610" s="14"/>
      <c r="G610" s="15"/>
      <c r="H610" s="15"/>
      <c r="I610" s="15"/>
      <c r="J610" s="12"/>
      <c r="K610" s="16" t="str">
        <f aca="false">IF(A610="","",G610+H610)</f>
        <v/>
      </c>
      <c r="L610" s="16" t="str">
        <f aca="false">IF(A610="","",IF(F610="İade edildi",0,K610-I610))</f>
        <v/>
      </c>
      <c r="M610" s="17" t="str">
        <f aca="true">IF(A610="","",IF(J610&lt;&gt;"",J610-A610,TODAY()-A610))</f>
        <v/>
      </c>
      <c r="N610" s="18" t="str">
        <f aca="false">IF(A610="","",IF(AND(OR(F610="Bekliyor",F610="Parça bekleniyor",F610="Hazır"),M610&gt;7),"7 günü geçti",""))</f>
        <v/>
      </c>
      <c r="O610" s="18" t="str">
        <f aca="false">IF(AND(A610&lt;&gt;"",OR(F610="Bekliyor",F610="Parça bekleniyor",F610="Hazır")),A610+ROW()/1000000,"")</f>
        <v/>
      </c>
    </row>
    <row r="611" customFormat="false" ht="15" hidden="false" customHeight="false" outlineLevel="0" collapsed="false">
      <c r="A611" s="12"/>
      <c r="B611" s="13"/>
      <c r="C611" s="13"/>
      <c r="D611" s="13"/>
      <c r="E611" s="13"/>
      <c r="F611" s="14"/>
      <c r="G611" s="15"/>
      <c r="H611" s="15"/>
      <c r="I611" s="15"/>
      <c r="J611" s="12"/>
      <c r="K611" s="16" t="str">
        <f aca="false">IF(A611="","",G611+H611)</f>
        <v/>
      </c>
      <c r="L611" s="16" t="str">
        <f aca="false">IF(A611="","",IF(F611="İade edildi",0,K611-I611))</f>
        <v/>
      </c>
      <c r="M611" s="17" t="str">
        <f aca="true">IF(A611="","",IF(J611&lt;&gt;"",J611-A611,TODAY()-A611))</f>
        <v/>
      </c>
      <c r="N611" s="18" t="str">
        <f aca="false">IF(A611="","",IF(AND(OR(F611="Bekliyor",F611="Parça bekleniyor",F611="Hazır"),M611&gt;7),"7 günü geçti",""))</f>
        <v/>
      </c>
      <c r="O611" s="18" t="str">
        <f aca="false">IF(AND(A611&lt;&gt;"",OR(F611="Bekliyor",F611="Parça bekleniyor",F611="Hazır")),A611+ROW()/1000000,"")</f>
        <v/>
      </c>
    </row>
    <row r="612" customFormat="false" ht="15" hidden="false" customHeight="false" outlineLevel="0" collapsed="false">
      <c r="A612" s="12"/>
      <c r="B612" s="13"/>
      <c r="C612" s="13"/>
      <c r="D612" s="13"/>
      <c r="E612" s="13"/>
      <c r="F612" s="14"/>
      <c r="G612" s="15"/>
      <c r="H612" s="15"/>
      <c r="I612" s="15"/>
      <c r="J612" s="12"/>
      <c r="K612" s="16" t="str">
        <f aca="false">IF(A612="","",G612+H612)</f>
        <v/>
      </c>
      <c r="L612" s="16" t="str">
        <f aca="false">IF(A612="","",IF(F612="İade edildi",0,K612-I612))</f>
        <v/>
      </c>
      <c r="M612" s="17" t="str">
        <f aca="true">IF(A612="","",IF(J612&lt;&gt;"",J612-A612,TODAY()-A612))</f>
        <v/>
      </c>
      <c r="N612" s="18" t="str">
        <f aca="false">IF(A612="","",IF(AND(OR(F612="Bekliyor",F612="Parça bekleniyor",F612="Hazır"),M612&gt;7),"7 günü geçti",""))</f>
        <v/>
      </c>
      <c r="O612" s="18" t="str">
        <f aca="false">IF(AND(A612&lt;&gt;"",OR(F612="Bekliyor",F612="Parça bekleniyor",F612="Hazır")),A612+ROW()/1000000,"")</f>
        <v/>
      </c>
    </row>
    <row r="613" customFormat="false" ht="15" hidden="false" customHeight="false" outlineLevel="0" collapsed="false">
      <c r="A613" s="12"/>
      <c r="B613" s="13"/>
      <c r="C613" s="13"/>
      <c r="D613" s="13"/>
      <c r="E613" s="13"/>
      <c r="F613" s="14"/>
      <c r="G613" s="15"/>
      <c r="H613" s="15"/>
      <c r="I613" s="15"/>
      <c r="J613" s="12"/>
      <c r="K613" s="16" t="str">
        <f aca="false">IF(A613="","",G613+H613)</f>
        <v/>
      </c>
      <c r="L613" s="16" t="str">
        <f aca="false">IF(A613="","",IF(F613="İade edildi",0,K613-I613))</f>
        <v/>
      </c>
      <c r="M613" s="17" t="str">
        <f aca="true">IF(A613="","",IF(J613&lt;&gt;"",J613-A613,TODAY()-A613))</f>
        <v/>
      </c>
      <c r="N613" s="18" t="str">
        <f aca="false">IF(A613="","",IF(AND(OR(F613="Bekliyor",F613="Parça bekleniyor",F613="Hazır"),M613&gt;7),"7 günü geçti",""))</f>
        <v/>
      </c>
      <c r="O613" s="18" t="str">
        <f aca="false">IF(AND(A613&lt;&gt;"",OR(F613="Bekliyor",F613="Parça bekleniyor",F613="Hazır")),A613+ROW()/1000000,"")</f>
        <v/>
      </c>
    </row>
    <row r="614" customFormat="false" ht="15" hidden="false" customHeight="false" outlineLevel="0" collapsed="false">
      <c r="A614" s="12"/>
      <c r="B614" s="13"/>
      <c r="C614" s="13"/>
      <c r="D614" s="13"/>
      <c r="E614" s="13"/>
      <c r="F614" s="14"/>
      <c r="G614" s="15"/>
      <c r="H614" s="15"/>
      <c r="I614" s="15"/>
      <c r="J614" s="12"/>
      <c r="K614" s="16" t="str">
        <f aca="false">IF(A614="","",G614+H614)</f>
        <v/>
      </c>
      <c r="L614" s="16" t="str">
        <f aca="false">IF(A614="","",IF(F614="İade edildi",0,K614-I614))</f>
        <v/>
      </c>
      <c r="M614" s="17" t="str">
        <f aca="true">IF(A614="","",IF(J614&lt;&gt;"",J614-A614,TODAY()-A614))</f>
        <v/>
      </c>
      <c r="N614" s="18" t="str">
        <f aca="false">IF(A614="","",IF(AND(OR(F614="Bekliyor",F614="Parça bekleniyor",F614="Hazır"),M614&gt;7),"7 günü geçti",""))</f>
        <v/>
      </c>
      <c r="O614" s="18" t="str">
        <f aca="false">IF(AND(A614&lt;&gt;"",OR(F614="Bekliyor",F614="Parça bekleniyor",F614="Hazır")),A614+ROW()/1000000,"")</f>
        <v/>
      </c>
    </row>
    <row r="615" customFormat="false" ht="15" hidden="false" customHeight="false" outlineLevel="0" collapsed="false">
      <c r="A615" s="12"/>
      <c r="B615" s="13"/>
      <c r="C615" s="13"/>
      <c r="D615" s="13"/>
      <c r="E615" s="13"/>
      <c r="F615" s="14"/>
      <c r="G615" s="15"/>
      <c r="H615" s="15"/>
      <c r="I615" s="15"/>
      <c r="J615" s="12"/>
      <c r="K615" s="16" t="str">
        <f aca="false">IF(A615="","",G615+H615)</f>
        <v/>
      </c>
      <c r="L615" s="16" t="str">
        <f aca="false">IF(A615="","",IF(F615="İade edildi",0,K615-I615))</f>
        <v/>
      </c>
      <c r="M615" s="17" t="str">
        <f aca="true">IF(A615="","",IF(J615&lt;&gt;"",J615-A615,TODAY()-A615))</f>
        <v/>
      </c>
      <c r="N615" s="18" t="str">
        <f aca="false">IF(A615="","",IF(AND(OR(F615="Bekliyor",F615="Parça bekleniyor",F615="Hazır"),M615&gt;7),"7 günü geçti",""))</f>
        <v/>
      </c>
      <c r="O615" s="18" t="str">
        <f aca="false">IF(AND(A615&lt;&gt;"",OR(F615="Bekliyor",F615="Parça bekleniyor",F615="Hazır")),A615+ROW()/1000000,"")</f>
        <v/>
      </c>
    </row>
    <row r="616" customFormat="false" ht="15" hidden="false" customHeight="false" outlineLevel="0" collapsed="false">
      <c r="A616" s="12"/>
      <c r="B616" s="13"/>
      <c r="C616" s="13"/>
      <c r="D616" s="13"/>
      <c r="E616" s="13"/>
      <c r="F616" s="14"/>
      <c r="G616" s="15"/>
      <c r="H616" s="15"/>
      <c r="I616" s="15"/>
      <c r="J616" s="12"/>
      <c r="K616" s="16" t="str">
        <f aca="false">IF(A616="","",G616+H616)</f>
        <v/>
      </c>
      <c r="L616" s="16" t="str">
        <f aca="false">IF(A616="","",IF(F616="İade edildi",0,K616-I616))</f>
        <v/>
      </c>
      <c r="M616" s="17" t="str">
        <f aca="true">IF(A616="","",IF(J616&lt;&gt;"",J616-A616,TODAY()-A616))</f>
        <v/>
      </c>
      <c r="N616" s="18" t="str">
        <f aca="false">IF(A616="","",IF(AND(OR(F616="Bekliyor",F616="Parça bekleniyor",F616="Hazır"),M616&gt;7),"7 günü geçti",""))</f>
        <v/>
      </c>
      <c r="O616" s="18" t="str">
        <f aca="false">IF(AND(A616&lt;&gt;"",OR(F616="Bekliyor",F616="Parça bekleniyor",F616="Hazır")),A616+ROW()/1000000,"")</f>
        <v/>
      </c>
    </row>
    <row r="617" customFormat="false" ht="15" hidden="false" customHeight="false" outlineLevel="0" collapsed="false">
      <c r="A617" s="12"/>
      <c r="B617" s="13"/>
      <c r="C617" s="13"/>
      <c r="D617" s="13"/>
      <c r="E617" s="13"/>
      <c r="F617" s="14"/>
      <c r="G617" s="15"/>
      <c r="H617" s="15"/>
      <c r="I617" s="15"/>
      <c r="J617" s="12"/>
      <c r="K617" s="16" t="str">
        <f aca="false">IF(A617="","",G617+H617)</f>
        <v/>
      </c>
      <c r="L617" s="16" t="str">
        <f aca="false">IF(A617="","",IF(F617="İade edildi",0,K617-I617))</f>
        <v/>
      </c>
      <c r="M617" s="17" t="str">
        <f aca="true">IF(A617="","",IF(J617&lt;&gt;"",J617-A617,TODAY()-A617))</f>
        <v/>
      </c>
      <c r="N617" s="18" t="str">
        <f aca="false">IF(A617="","",IF(AND(OR(F617="Bekliyor",F617="Parça bekleniyor",F617="Hazır"),M617&gt;7),"7 günü geçti",""))</f>
        <v/>
      </c>
      <c r="O617" s="18" t="str">
        <f aca="false">IF(AND(A617&lt;&gt;"",OR(F617="Bekliyor",F617="Parça bekleniyor",F617="Hazır")),A617+ROW()/1000000,"")</f>
        <v/>
      </c>
    </row>
    <row r="618" customFormat="false" ht="15" hidden="false" customHeight="false" outlineLevel="0" collapsed="false">
      <c r="A618" s="12"/>
      <c r="B618" s="13"/>
      <c r="C618" s="13"/>
      <c r="D618" s="13"/>
      <c r="E618" s="13"/>
      <c r="F618" s="14"/>
      <c r="G618" s="15"/>
      <c r="H618" s="15"/>
      <c r="I618" s="15"/>
      <c r="J618" s="12"/>
      <c r="K618" s="16" t="str">
        <f aca="false">IF(A618="","",G618+H618)</f>
        <v/>
      </c>
      <c r="L618" s="16" t="str">
        <f aca="false">IF(A618="","",IF(F618="İade edildi",0,K618-I618))</f>
        <v/>
      </c>
      <c r="M618" s="17" t="str">
        <f aca="true">IF(A618="","",IF(J618&lt;&gt;"",J618-A618,TODAY()-A618))</f>
        <v/>
      </c>
      <c r="N618" s="18" t="str">
        <f aca="false">IF(A618="","",IF(AND(OR(F618="Bekliyor",F618="Parça bekleniyor",F618="Hazır"),M618&gt;7),"7 günü geçti",""))</f>
        <v/>
      </c>
      <c r="O618" s="18" t="str">
        <f aca="false">IF(AND(A618&lt;&gt;"",OR(F618="Bekliyor",F618="Parça bekleniyor",F618="Hazır")),A618+ROW()/1000000,"")</f>
        <v/>
      </c>
    </row>
    <row r="619" customFormat="false" ht="15" hidden="false" customHeight="false" outlineLevel="0" collapsed="false">
      <c r="A619" s="12"/>
      <c r="B619" s="13"/>
      <c r="C619" s="13"/>
      <c r="D619" s="13"/>
      <c r="E619" s="13"/>
      <c r="F619" s="14"/>
      <c r="G619" s="15"/>
      <c r="H619" s="15"/>
      <c r="I619" s="15"/>
      <c r="J619" s="12"/>
      <c r="K619" s="16" t="str">
        <f aca="false">IF(A619="","",G619+H619)</f>
        <v/>
      </c>
      <c r="L619" s="16" t="str">
        <f aca="false">IF(A619="","",IF(F619="İade edildi",0,K619-I619))</f>
        <v/>
      </c>
      <c r="M619" s="17" t="str">
        <f aca="true">IF(A619="","",IF(J619&lt;&gt;"",J619-A619,TODAY()-A619))</f>
        <v/>
      </c>
      <c r="N619" s="18" t="str">
        <f aca="false">IF(A619="","",IF(AND(OR(F619="Bekliyor",F619="Parça bekleniyor",F619="Hazır"),M619&gt;7),"7 günü geçti",""))</f>
        <v/>
      </c>
      <c r="O619" s="18" t="str">
        <f aca="false">IF(AND(A619&lt;&gt;"",OR(F619="Bekliyor",F619="Parça bekleniyor",F619="Hazır")),A619+ROW()/1000000,"")</f>
        <v/>
      </c>
    </row>
    <row r="620" customFormat="false" ht="15" hidden="false" customHeight="false" outlineLevel="0" collapsed="false">
      <c r="A620" s="12"/>
      <c r="B620" s="13"/>
      <c r="C620" s="13"/>
      <c r="D620" s="13"/>
      <c r="E620" s="13"/>
      <c r="F620" s="14"/>
      <c r="G620" s="15"/>
      <c r="H620" s="15"/>
      <c r="I620" s="15"/>
      <c r="J620" s="12"/>
      <c r="K620" s="16" t="str">
        <f aca="false">IF(A620="","",G620+H620)</f>
        <v/>
      </c>
      <c r="L620" s="16" t="str">
        <f aca="false">IF(A620="","",IF(F620="İade edildi",0,K620-I620))</f>
        <v/>
      </c>
      <c r="M620" s="17" t="str">
        <f aca="true">IF(A620="","",IF(J620&lt;&gt;"",J620-A620,TODAY()-A620))</f>
        <v/>
      </c>
      <c r="N620" s="18" t="str">
        <f aca="false">IF(A620="","",IF(AND(OR(F620="Bekliyor",F620="Parça bekleniyor",F620="Hazır"),M620&gt;7),"7 günü geçti",""))</f>
        <v/>
      </c>
      <c r="O620" s="18" t="str">
        <f aca="false">IF(AND(A620&lt;&gt;"",OR(F620="Bekliyor",F620="Parça bekleniyor",F620="Hazır")),A620+ROW()/1000000,"")</f>
        <v/>
      </c>
    </row>
    <row r="621" customFormat="false" ht="15" hidden="false" customHeight="false" outlineLevel="0" collapsed="false">
      <c r="A621" s="12"/>
      <c r="B621" s="13"/>
      <c r="C621" s="13"/>
      <c r="D621" s="13"/>
      <c r="E621" s="13"/>
      <c r="F621" s="14"/>
      <c r="G621" s="15"/>
      <c r="H621" s="15"/>
      <c r="I621" s="15"/>
      <c r="J621" s="12"/>
      <c r="K621" s="16" t="str">
        <f aca="false">IF(A621="","",G621+H621)</f>
        <v/>
      </c>
      <c r="L621" s="16" t="str">
        <f aca="false">IF(A621="","",IF(F621="İade edildi",0,K621-I621))</f>
        <v/>
      </c>
      <c r="M621" s="17" t="str">
        <f aca="true">IF(A621="","",IF(J621&lt;&gt;"",J621-A621,TODAY()-A621))</f>
        <v/>
      </c>
      <c r="N621" s="18" t="str">
        <f aca="false">IF(A621="","",IF(AND(OR(F621="Bekliyor",F621="Parça bekleniyor",F621="Hazır"),M621&gt;7),"7 günü geçti",""))</f>
        <v/>
      </c>
      <c r="O621" s="18" t="str">
        <f aca="false">IF(AND(A621&lt;&gt;"",OR(F621="Bekliyor",F621="Parça bekleniyor",F621="Hazır")),A621+ROW()/1000000,"")</f>
        <v/>
      </c>
    </row>
    <row r="622" customFormat="false" ht="15" hidden="false" customHeight="false" outlineLevel="0" collapsed="false">
      <c r="A622" s="12"/>
      <c r="B622" s="13"/>
      <c r="C622" s="13"/>
      <c r="D622" s="13"/>
      <c r="E622" s="13"/>
      <c r="F622" s="14"/>
      <c r="G622" s="15"/>
      <c r="H622" s="15"/>
      <c r="I622" s="15"/>
      <c r="J622" s="12"/>
      <c r="K622" s="16" t="str">
        <f aca="false">IF(A622="","",G622+H622)</f>
        <v/>
      </c>
      <c r="L622" s="16" t="str">
        <f aca="false">IF(A622="","",IF(F622="İade edildi",0,K622-I622))</f>
        <v/>
      </c>
      <c r="M622" s="17" t="str">
        <f aca="true">IF(A622="","",IF(J622&lt;&gt;"",J622-A622,TODAY()-A622))</f>
        <v/>
      </c>
      <c r="N622" s="18" t="str">
        <f aca="false">IF(A622="","",IF(AND(OR(F622="Bekliyor",F622="Parça bekleniyor",F622="Hazır"),M622&gt;7),"7 günü geçti",""))</f>
        <v/>
      </c>
      <c r="O622" s="18" t="str">
        <f aca="false">IF(AND(A622&lt;&gt;"",OR(F622="Bekliyor",F622="Parça bekleniyor",F622="Hazır")),A622+ROW()/1000000,"")</f>
        <v/>
      </c>
    </row>
    <row r="623" customFormat="false" ht="15" hidden="false" customHeight="false" outlineLevel="0" collapsed="false">
      <c r="A623" s="12"/>
      <c r="B623" s="13"/>
      <c r="C623" s="13"/>
      <c r="D623" s="13"/>
      <c r="E623" s="13"/>
      <c r="F623" s="14"/>
      <c r="G623" s="15"/>
      <c r="H623" s="15"/>
      <c r="I623" s="15"/>
      <c r="J623" s="12"/>
      <c r="K623" s="16" t="str">
        <f aca="false">IF(A623="","",G623+H623)</f>
        <v/>
      </c>
      <c r="L623" s="16" t="str">
        <f aca="false">IF(A623="","",IF(F623="İade edildi",0,K623-I623))</f>
        <v/>
      </c>
      <c r="M623" s="17" t="str">
        <f aca="true">IF(A623="","",IF(J623&lt;&gt;"",J623-A623,TODAY()-A623))</f>
        <v/>
      </c>
      <c r="N623" s="18" t="str">
        <f aca="false">IF(A623="","",IF(AND(OR(F623="Bekliyor",F623="Parça bekleniyor",F623="Hazır"),M623&gt;7),"7 günü geçti",""))</f>
        <v/>
      </c>
      <c r="O623" s="18" t="str">
        <f aca="false">IF(AND(A623&lt;&gt;"",OR(F623="Bekliyor",F623="Parça bekleniyor",F623="Hazır")),A623+ROW()/1000000,"")</f>
        <v/>
      </c>
    </row>
    <row r="624" customFormat="false" ht="15" hidden="false" customHeight="false" outlineLevel="0" collapsed="false">
      <c r="A624" s="12"/>
      <c r="B624" s="13"/>
      <c r="C624" s="13"/>
      <c r="D624" s="13"/>
      <c r="E624" s="13"/>
      <c r="F624" s="14"/>
      <c r="G624" s="15"/>
      <c r="H624" s="15"/>
      <c r="I624" s="15"/>
      <c r="J624" s="12"/>
      <c r="K624" s="16" t="str">
        <f aca="false">IF(A624="","",G624+H624)</f>
        <v/>
      </c>
      <c r="L624" s="16" t="str">
        <f aca="false">IF(A624="","",IF(F624="İade edildi",0,K624-I624))</f>
        <v/>
      </c>
      <c r="M624" s="17" t="str">
        <f aca="true">IF(A624="","",IF(J624&lt;&gt;"",J624-A624,TODAY()-A624))</f>
        <v/>
      </c>
      <c r="N624" s="18" t="str">
        <f aca="false">IF(A624="","",IF(AND(OR(F624="Bekliyor",F624="Parça bekleniyor",F624="Hazır"),M624&gt;7),"7 günü geçti",""))</f>
        <v/>
      </c>
      <c r="O624" s="18" t="str">
        <f aca="false">IF(AND(A624&lt;&gt;"",OR(F624="Bekliyor",F624="Parça bekleniyor",F624="Hazır")),A624+ROW()/1000000,"")</f>
        <v/>
      </c>
    </row>
    <row r="625" customFormat="false" ht="15" hidden="false" customHeight="false" outlineLevel="0" collapsed="false">
      <c r="A625" s="12"/>
      <c r="B625" s="13"/>
      <c r="C625" s="13"/>
      <c r="D625" s="13"/>
      <c r="E625" s="13"/>
      <c r="F625" s="14"/>
      <c r="G625" s="15"/>
      <c r="H625" s="15"/>
      <c r="I625" s="15"/>
      <c r="J625" s="12"/>
      <c r="K625" s="16" t="str">
        <f aca="false">IF(A625="","",G625+H625)</f>
        <v/>
      </c>
      <c r="L625" s="16" t="str">
        <f aca="false">IF(A625="","",IF(F625="İade edildi",0,K625-I625))</f>
        <v/>
      </c>
      <c r="M625" s="17" t="str">
        <f aca="true">IF(A625="","",IF(J625&lt;&gt;"",J625-A625,TODAY()-A625))</f>
        <v/>
      </c>
      <c r="N625" s="18" t="str">
        <f aca="false">IF(A625="","",IF(AND(OR(F625="Bekliyor",F625="Parça bekleniyor",F625="Hazır"),M625&gt;7),"7 günü geçti",""))</f>
        <v/>
      </c>
      <c r="O625" s="18" t="str">
        <f aca="false">IF(AND(A625&lt;&gt;"",OR(F625="Bekliyor",F625="Parça bekleniyor",F625="Hazır")),A625+ROW()/1000000,"")</f>
        <v/>
      </c>
    </row>
    <row r="626" customFormat="false" ht="15" hidden="false" customHeight="false" outlineLevel="0" collapsed="false">
      <c r="A626" s="12"/>
      <c r="B626" s="13"/>
      <c r="C626" s="13"/>
      <c r="D626" s="13"/>
      <c r="E626" s="13"/>
      <c r="F626" s="14"/>
      <c r="G626" s="15"/>
      <c r="H626" s="15"/>
      <c r="I626" s="15"/>
      <c r="J626" s="12"/>
      <c r="K626" s="16" t="str">
        <f aca="false">IF(A626="","",G626+H626)</f>
        <v/>
      </c>
      <c r="L626" s="16" t="str">
        <f aca="false">IF(A626="","",IF(F626="İade edildi",0,K626-I626))</f>
        <v/>
      </c>
      <c r="M626" s="17" t="str">
        <f aca="true">IF(A626="","",IF(J626&lt;&gt;"",J626-A626,TODAY()-A626))</f>
        <v/>
      </c>
      <c r="N626" s="18" t="str">
        <f aca="false">IF(A626="","",IF(AND(OR(F626="Bekliyor",F626="Parça bekleniyor",F626="Hazır"),M626&gt;7),"7 günü geçti",""))</f>
        <v/>
      </c>
      <c r="O626" s="18" t="str">
        <f aca="false">IF(AND(A626&lt;&gt;"",OR(F626="Bekliyor",F626="Parça bekleniyor",F626="Hazır")),A626+ROW()/1000000,"")</f>
        <v/>
      </c>
    </row>
    <row r="627" customFormat="false" ht="15" hidden="false" customHeight="false" outlineLevel="0" collapsed="false">
      <c r="A627" s="12"/>
      <c r="B627" s="13"/>
      <c r="C627" s="13"/>
      <c r="D627" s="13"/>
      <c r="E627" s="13"/>
      <c r="F627" s="14"/>
      <c r="G627" s="15"/>
      <c r="H627" s="15"/>
      <c r="I627" s="15"/>
      <c r="J627" s="12"/>
      <c r="K627" s="16" t="str">
        <f aca="false">IF(A627="","",G627+H627)</f>
        <v/>
      </c>
      <c r="L627" s="16" t="str">
        <f aca="false">IF(A627="","",IF(F627="İade edildi",0,K627-I627))</f>
        <v/>
      </c>
      <c r="M627" s="17" t="str">
        <f aca="true">IF(A627="","",IF(J627&lt;&gt;"",J627-A627,TODAY()-A627))</f>
        <v/>
      </c>
      <c r="N627" s="18" t="str">
        <f aca="false">IF(A627="","",IF(AND(OR(F627="Bekliyor",F627="Parça bekleniyor",F627="Hazır"),M627&gt;7),"7 günü geçti",""))</f>
        <v/>
      </c>
      <c r="O627" s="18" t="str">
        <f aca="false">IF(AND(A627&lt;&gt;"",OR(F627="Bekliyor",F627="Parça bekleniyor",F627="Hazır")),A627+ROW()/1000000,"")</f>
        <v/>
      </c>
    </row>
    <row r="628" customFormat="false" ht="15" hidden="false" customHeight="false" outlineLevel="0" collapsed="false">
      <c r="A628" s="12"/>
      <c r="B628" s="13"/>
      <c r="C628" s="13"/>
      <c r="D628" s="13"/>
      <c r="E628" s="13"/>
      <c r="F628" s="14"/>
      <c r="G628" s="15"/>
      <c r="H628" s="15"/>
      <c r="I628" s="15"/>
      <c r="J628" s="12"/>
      <c r="K628" s="16" t="str">
        <f aca="false">IF(A628="","",G628+H628)</f>
        <v/>
      </c>
      <c r="L628" s="16" t="str">
        <f aca="false">IF(A628="","",IF(F628="İade edildi",0,K628-I628))</f>
        <v/>
      </c>
      <c r="M628" s="17" t="str">
        <f aca="true">IF(A628="","",IF(J628&lt;&gt;"",J628-A628,TODAY()-A628))</f>
        <v/>
      </c>
      <c r="N628" s="18" t="str">
        <f aca="false">IF(A628="","",IF(AND(OR(F628="Bekliyor",F628="Parça bekleniyor",F628="Hazır"),M628&gt;7),"7 günü geçti",""))</f>
        <v/>
      </c>
      <c r="O628" s="18" t="str">
        <f aca="false">IF(AND(A628&lt;&gt;"",OR(F628="Bekliyor",F628="Parça bekleniyor",F628="Hazır")),A628+ROW()/1000000,"")</f>
        <v/>
      </c>
    </row>
    <row r="629" customFormat="false" ht="15" hidden="false" customHeight="false" outlineLevel="0" collapsed="false">
      <c r="A629" s="12"/>
      <c r="B629" s="13"/>
      <c r="C629" s="13"/>
      <c r="D629" s="13"/>
      <c r="E629" s="13"/>
      <c r="F629" s="14"/>
      <c r="G629" s="15"/>
      <c r="H629" s="15"/>
      <c r="I629" s="15"/>
      <c r="J629" s="12"/>
      <c r="K629" s="16" t="str">
        <f aca="false">IF(A629="","",G629+H629)</f>
        <v/>
      </c>
      <c r="L629" s="16" t="str">
        <f aca="false">IF(A629="","",IF(F629="İade edildi",0,K629-I629))</f>
        <v/>
      </c>
      <c r="M629" s="17" t="str">
        <f aca="true">IF(A629="","",IF(J629&lt;&gt;"",J629-A629,TODAY()-A629))</f>
        <v/>
      </c>
      <c r="N629" s="18" t="str">
        <f aca="false">IF(A629="","",IF(AND(OR(F629="Bekliyor",F629="Parça bekleniyor",F629="Hazır"),M629&gt;7),"7 günü geçti",""))</f>
        <v/>
      </c>
      <c r="O629" s="18" t="str">
        <f aca="false">IF(AND(A629&lt;&gt;"",OR(F629="Bekliyor",F629="Parça bekleniyor",F629="Hazır")),A629+ROW()/1000000,"")</f>
        <v/>
      </c>
    </row>
    <row r="630" customFormat="false" ht="15" hidden="false" customHeight="false" outlineLevel="0" collapsed="false">
      <c r="A630" s="12"/>
      <c r="B630" s="13"/>
      <c r="C630" s="13"/>
      <c r="D630" s="13"/>
      <c r="E630" s="13"/>
      <c r="F630" s="14"/>
      <c r="G630" s="15"/>
      <c r="H630" s="15"/>
      <c r="I630" s="15"/>
      <c r="J630" s="12"/>
      <c r="K630" s="16" t="str">
        <f aca="false">IF(A630="","",G630+H630)</f>
        <v/>
      </c>
      <c r="L630" s="16" t="str">
        <f aca="false">IF(A630="","",IF(F630="İade edildi",0,K630-I630))</f>
        <v/>
      </c>
      <c r="M630" s="17" t="str">
        <f aca="true">IF(A630="","",IF(J630&lt;&gt;"",J630-A630,TODAY()-A630))</f>
        <v/>
      </c>
      <c r="N630" s="18" t="str">
        <f aca="false">IF(A630="","",IF(AND(OR(F630="Bekliyor",F630="Parça bekleniyor",F630="Hazır"),M630&gt;7),"7 günü geçti",""))</f>
        <v/>
      </c>
      <c r="O630" s="18" t="str">
        <f aca="false">IF(AND(A630&lt;&gt;"",OR(F630="Bekliyor",F630="Parça bekleniyor",F630="Hazır")),A630+ROW()/1000000,"")</f>
        <v/>
      </c>
    </row>
    <row r="631" customFormat="false" ht="15" hidden="false" customHeight="false" outlineLevel="0" collapsed="false">
      <c r="A631" s="12"/>
      <c r="B631" s="13"/>
      <c r="C631" s="13"/>
      <c r="D631" s="13"/>
      <c r="E631" s="13"/>
      <c r="F631" s="14"/>
      <c r="G631" s="15"/>
      <c r="H631" s="15"/>
      <c r="I631" s="15"/>
      <c r="J631" s="12"/>
      <c r="K631" s="16" t="str">
        <f aca="false">IF(A631="","",G631+H631)</f>
        <v/>
      </c>
      <c r="L631" s="16" t="str">
        <f aca="false">IF(A631="","",IF(F631="İade edildi",0,K631-I631))</f>
        <v/>
      </c>
      <c r="M631" s="17" t="str">
        <f aca="true">IF(A631="","",IF(J631&lt;&gt;"",J631-A631,TODAY()-A631))</f>
        <v/>
      </c>
      <c r="N631" s="18" t="str">
        <f aca="false">IF(A631="","",IF(AND(OR(F631="Bekliyor",F631="Parça bekleniyor",F631="Hazır"),M631&gt;7),"7 günü geçti",""))</f>
        <v/>
      </c>
      <c r="O631" s="18" t="str">
        <f aca="false">IF(AND(A631&lt;&gt;"",OR(F631="Bekliyor",F631="Parça bekleniyor",F631="Hazır")),A631+ROW()/1000000,"")</f>
        <v/>
      </c>
    </row>
    <row r="632" customFormat="false" ht="15" hidden="false" customHeight="false" outlineLevel="0" collapsed="false">
      <c r="A632" s="12"/>
      <c r="B632" s="13"/>
      <c r="C632" s="13"/>
      <c r="D632" s="13"/>
      <c r="E632" s="13"/>
      <c r="F632" s="14"/>
      <c r="G632" s="15"/>
      <c r="H632" s="15"/>
      <c r="I632" s="15"/>
      <c r="J632" s="12"/>
      <c r="K632" s="16" t="str">
        <f aca="false">IF(A632="","",G632+H632)</f>
        <v/>
      </c>
      <c r="L632" s="16" t="str">
        <f aca="false">IF(A632="","",IF(F632="İade edildi",0,K632-I632))</f>
        <v/>
      </c>
      <c r="M632" s="17" t="str">
        <f aca="true">IF(A632="","",IF(J632&lt;&gt;"",J632-A632,TODAY()-A632))</f>
        <v/>
      </c>
      <c r="N632" s="18" t="str">
        <f aca="false">IF(A632="","",IF(AND(OR(F632="Bekliyor",F632="Parça bekleniyor",F632="Hazır"),M632&gt;7),"7 günü geçti",""))</f>
        <v/>
      </c>
      <c r="O632" s="18" t="str">
        <f aca="false">IF(AND(A632&lt;&gt;"",OR(F632="Bekliyor",F632="Parça bekleniyor",F632="Hazır")),A632+ROW()/1000000,"")</f>
        <v/>
      </c>
    </row>
    <row r="633" customFormat="false" ht="15" hidden="false" customHeight="false" outlineLevel="0" collapsed="false">
      <c r="A633" s="12"/>
      <c r="B633" s="13"/>
      <c r="C633" s="13"/>
      <c r="D633" s="13"/>
      <c r="E633" s="13"/>
      <c r="F633" s="14"/>
      <c r="G633" s="15"/>
      <c r="H633" s="15"/>
      <c r="I633" s="15"/>
      <c r="J633" s="12"/>
      <c r="K633" s="16" t="str">
        <f aca="false">IF(A633="","",G633+H633)</f>
        <v/>
      </c>
      <c r="L633" s="16" t="str">
        <f aca="false">IF(A633="","",IF(F633="İade edildi",0,K633-I633))</f>
        <v/>
      </c>
      <c r="M633" s="17" t="str">
        <f aca="true">IF(A633="","",IF(J633&lt;&gt;"",J633-A633,TODAY()-A633))</f>
        <v/>
      </c>
      <c r="N633" s="18" t="str">
        <f aca="false">IF(A633="","",IF(AND(OR(F633="Bekliyor",F633="Parça bekleniyor",F633="Hazır"),M633&gt;7),"7 günü geçti",""))</f>
        <v/>
      </c>
      <c r="O633" s="18" t="str">
        <f aca="false">IF(AND(A633&lt;&gt;"",OR(F633="Bekliyor",F633="Parça bekleniyor",F633="Hazır")),A633+ROW()/1000000,"")</f>
        <v/>
      </c>
    </row>
    <row r="634" customFormat="false" ht="15" hidden="false" customHeight="false" outlineLevel="0" collapsed="false">
      <c r="A634" s="12"/>
      <c r="B634" s="13"/>
      <c r="C634" s="13"/>
      <c r="D634" s="13"/>
      <c r="E634" s="13"/>
      <c r="F634" s="14"/>
      <c r="G634" s="15"/>
      <c r="H634" s="15"/>
      <c r="I634" s="15"/>
      <c r="J634" s="12"/>
      <c r="K634" s="16" t="str">
        <f aca="false">IF(A634="","",G634+H634)</f>
        <v/>
      </c>
      <c r="L634" s="16" t="str">
        <f aca="false">IF(A634="","",IF(F634="İade edildi",0,K634-I634))</f>
        <v/>
      </c>
      <c r="M634" s="17" t="str">
        <f aca="true">IF(A634="","",IF(J634&lt;&gt;"",J634-A634,TODAY()-A634))</f>
        <v/>
      </c>
      <c r="N634" s="18" t="str">
        <f aca="false">IF(A634="","",IF(AND(OR(F634="Bekliyor",F634="Parça bekleniyor",F634="Hazır"),M634&gt;7),"7 günü geçti",""))</f>
        <v/>
      </c>
      <c r="O634" s="18" t="str">
        <f aca="false">IF(AND(A634&lt;&gt;"",OR(F634="Bekliyor",F634="Parça bekleniyor",F634="Hazır")),A634+ROW()/1000000,"")</f>
        <v/>
      </c>
    </row>
    <row r="635" customFormat="false" ht="15" hidden="false" customHeight="false" outlineLevel="0" collapsed="false">
      <c r="A635" s="12"/>
      <c r="B635" s="13"/>
      <c r="C635" s="13"/>
      <c r="D635" s="13"/>
      <c r="E635" s="13"/>
      <c r="F635" s="14"/>
      <c r="G635" s="15"/>
      <c r="H635" s="15"/>
      <c r="I635" s="15"/>
      <c r="J635" s="12"/>
      <c r="K635" s="16" t="str">
        <f aca="false">IF(A635="","",G635+H635)</f>
        <v/>
      </c>
      <c r="L635" s="16" t="str">
        <f aca="false">IF(A635="","",IF(F635="İade edildi",0,K635-I635))</f>
        <v/>
      </c>
      <c r="M635" s="17" t="str">
        <f aca="true">IF(A635="","",IF(J635&lt;&gt;"",J635-A635,TODAY()-A635))</f>
        <v/>
      </c>
      <c r="N635" s="18" t="str">
        <f aca="false">IF(A635="","",IF(AND(OR(F635="Bekliyor",F635="Parça bekleniyor",F635="Hazır"),M635&gt;7),"7 günü geçti",""))</f>
        <v/>
      </c>
      <c r="O635" s="18" t="str">
        <f aca="false">IF(AND(A635&lt;&gt;"",OR(F635="Bekliyor",F635="Parça bekleniyor",F635="Hazır")),A635+ROW()/1000000,"")</f>
        <v/>
      </c>
    </row>
    <row r="636" customFormat="false" ht="15" hidden="false" customHeight="false" outlineLevel="0" collapsed="false">
      <c r="A636" s="12"/>
      <c r="B636" s="13"/>
      <c r="C636" s="13"/>
      <c r="D636" s="13"/>
      <c r="E636" s="13"/>
      <c r="F636" s="14"/>
      <c r="G636" s="15"/>
      <c r="H636" s="15"/>
      <c r="I636" s="15"/>
      <c r="J636" s="12"/>
      <c r="K636" s="16" t="str">
        <f aca="false">IF(A636="","",G636+H636)</f>
        <v/>
      </c>
      <c r="L636" s="16" t="str">
        <f aca="false">IF(A636="","",IF(F636="İade edildi",0,K636-I636))</f>
        <v/>
      </c>
      <c r="M636" s="17" t="str">
        <f aca="true">IF(A636="","",IF(J636&lt;&gt;"",J636-A636,TODAY()-A636))</f>
        <v/>
      </c>
      <c r="N636" s="18" t="str">
        <f aca="false">IF(A636="","",IF(AND(OR(F636="Bekliyor",F636="Parça bekleniyor",F636="Hazır"),M636&gt;7),"7 günü geçti",""))</f>
        <v/>
      </c>
      <c r="O636" s="18" t="str">
        <f aca="false">IF(AND(A636&lt;&gt;"",OR(F636="Bekliyor",F636="Parça bekleniyor",F636="Hazır")),A636+ROW()/1000000,"")</f>
        <v/>
      </c>
    </row>
    <row r="637" customFormat="false" ht="15" hidden="false" customHeight="false" outlineLevel="0" collapsed="false">
      <c r="A637" s="12"/>
      <c r="B637" s="13"/>
      <c r="C637" s="13"/>
      <c r="D637" s="13"/>
      <c r="E637" s="13"/>
      <c r="F637" s="14"/>
      <c r="G637" s="15"/>
      <c r="H637" s="15"/>
      <c r="I637" s="15"/>
      <c r="J637" s="12"/>
      <c r="K637" s="16" t="str">
        <f aca="false">IF(A637="","",G637+H637)</f>
        <v/>
      </c>
      <c r="L637" s="16" t="str">
        <f aca="false">IF(A637="","",IF(F637="İade edildi",0,K637-I637))</f>
        <v/>
      </c>
      <c r="M637" s="17" t="str">
        <f aca="true">IF(A637="","",IF(J637&lt;&gt;"",J637-A637,TODAY()-A637))</f>
        <v/>
      </c>
      <c r="N637" s="18" t="str">
        <f aca="false">IF(A637="","",IF(AND(OR(F637="Bekliyor",F637="Parça bekleniyor",F637="Hazır"),M637&gt;7),"7 günü geçti",""))</f>
        <v/>
      </c>
      <c r="O637" s="18" t="str">
        <f aca="false">IF(AND(A637&lt;&gt;"",OR(F637="Bekliyor",F637="Parça bekleniyor",F637="Hazır")),A637+ROW()/1000000,"")</f>
        <v/>
      </c>
    </row>
    <row r="638" customFormat="false" ht="15" hidden="false" customHeight="false" outlineLevel="0" collapsed="false">
      <c r="A638" s="12"/>
      <c r="B638" s="13"/>
      <c r="C638" s="13"/>
      <c r="D638" s="13"/>
      <c r="E638" s="13"/>
      <c r="F638" s="14"/>
      <c r="G638" s="15"/>
      <c r="H638" s="15"/>
      <c r="I638" s="15"/>
      <c r="J638" s="12"/>
      <c r="K638" s="16" t="str">
        <f aca="false">IF(A638="","",G638+H638)</f>
        <v/>
      </c>
      <c r="L638" s="16" t="str">
        <f aca="false">IF(A638="","",IF(F638="İade edildi",0,K638-I638))</f>
        <v/>
      </c>
      <c r="M638" s="17" t="str">
        <f aca="true">IF(A638="","",IF(J638&lt;&gt;"",J638-A638,TODAY()-A638))</f>
        <v/>
      </c>
      <c r="N638" s="18" t="str">
        <f aca="false">IF(A638="","",IF(AND(OR(F638="Bekliyor",F638="Parça bekleniyor",F638="Hazır"),M638&gt;7),"7 günü geçti",""))</f>
        <v/>
      </c>
      <c r="O638" s="18" t="str">
        <f aca="false">IF(AND(A638&lt;&gt;"",OR(F638="Bekliyor",F638="Parça bekleniyor",F638="Hazır")),A638+ROW()/1000000,"")</f>
        <v/>
      </c>
    </row>
    <row r="639" customFormat="false" ht="15" hidden="false" customHeight="false" outlineLevel="0" collapsed="false">
      <c r="A639" s="12"/>
      <c r="B639" s="13"/>
      <c r="C639" s="13"/>
      <c r="D639" s="13"/>
      <c r="E639" s="13"/>
      <c r="F639" s="14"/>
      <c r="G639" s="15"/>
      <c r="H639" s="15"/>
      <c r="I639" s="15"/>
      <c r="J639" s="12"/>
      <c r="K639" s="16" t="str">
        <f aca="false">IF(A639="","",G639+H639)</f>
        <v/>
      </c>
      <c r="L639" s="16" t="str">
        <f aca="false">IF(A639="","",IF(F639="İade edildi",0,K639-I639))</f>
        <v/>
      </c>
      <c r="M639" s="17" t="str">
        <f aca="true">IF(A639="","",IF(J639&lt;&gt;"",J639-A639,TODAY()-A639))</f>
        <v/>
      </c>
      <c r="N639" s="18" t="str">
        <f aca="false">IF(A639="","",IF(AND(OR(F639="Bekliyor",F639="Parça bekleniyor",F639="Hazır"),M639&gt;7),"7 günü geçti",""))</f>
        <v/>
      </c>
      <c r="O639" s="18" t="str">
        <f aca="false">IF(AND(A639&lt;&gt;"",OR(F639="Bekliyor",F639="Parça bekleniyor",F639="Hazır")),A639+ROW()/1000000,"")</f>
        <v/>
      </c>
    </row>
    <row r="640" customFormat="false" ht="15" hidden="false" customHeight="false" outlineLevel="0" collapsed="false">
      <c r="A640" s="12"/>
      <c r="B640" s="13"/>
      <c r="C640" s="13"/>
      <c r="D640" s="13"/>
      <c r="E640" s="13"/>
      <c r="F640" s="14"/>
      <c r="G640" s="15"/>
      <c r="H640" s="15"/>
      <c r="I640" s="15"/>
      <c r="J640" s="12"/>
      <c r="K640" s="16" t="str">
        <f aca="false">IF(A640="","",G640+H640)</f>
        <v/>
      </c>
      <c r="L640" s="16" t="str">
        <f aca="false">IF(A640="","",IF(F640="İade edildi",0,K640-I640))</f>
        <v/>
      </c>
      <c r="M640" s="17" t="str">
        <f aca="true">IF(A640="","",IF(J640&lt;&gt;"",J640-A640,TODAY()-A640))</f>
        <v/>
      </c>
      <c r="N640" s="18" t="str">
        <f aca="false">IF(A640="","",IF(AND(OR(F640="Bekliyor",F640="Parça bekleniyor",F640="Hazır"),M640&gt;7),"7 günü geçti",""))</f>
        <v/>
      </c>
      <c r="O640" s="18" t="str">
        <f aca="false">IF(AND(A640&lt;&gt;"",OR(F640="Bekliyor",F640="Parça bekleniyor",F640="Hazır")),A640+ROW()/1000000,"")</f>
        <v/>
      </c>
    </row>
    <row r="641" customFormat="false" ht="15" hidden="false" customHeight="false" outlineLevel="0" collapsed="false">
      <c r="A641" s="12"/>
      <c r="B641" s="13"/>
      <c r="C641" s="13"/>
      <c r="D641" s="13"/>
      <c r="E641" s="13"/>
      <c r="F641" s="14"/>
      <c r="G641" s="15"/>
      <c r="H641" s="15"/>
      <c r="I641" s="15"/>
      <c r="J641" s="12"/>
      <c r="K641" s="16" t="str">
        <f aca="false">IF(A641="","",G641+H641)</f>
        <v/>
      </c>
      <c r="L641" s="16" t="str">
        <f aca="false">IF(A641="","",IF(F641="İade edildi",0,K641-I641))</f>
        <v/>
      </c>
      <c r="M641" s="17" t="str">
        <f aca="true">IF(A641="","",IF(J641&lt;&gt;"",J641-A641,TODAY()-A641))</f>
        <v/>
      </c>
      <c r="N641" s="18" t="str">
        <f aca="false">IF(A641="","",IF(AND(OR(F641="Bekliyor",F641="Parça bekleniyor",F641="Hazır"),M641&gt;7),"7 günü geçti",""))</f>
        <v/>
      </c>
      <c r="O641" s="18" t="str">
        <f aca="false">IF(AND(A641&lt;&gt;"",OR(F641="Bekliyor",F641="Parça bekleniyor",F641="Hazır")),A641+ROW()/1000000,"")</f>
        <v/>
      </c>
    </row>
    <row r="642" customFormat="false" ht="15" hidden="false" customHeight="false" outlineLevel="0" collapsed="false">
      <c r="A642" s="12"/>
      <c r="B642" s="13"/>
      <c r="C642" s="13"/>
      <c r="D642" s="13"/>
      <c r="E642" s="13"/>
      <c r="F642" s="14"/>
      <c r="G642" s="15"/>
      <c r="H642" s="15"/>
      <c r="I642" s="15"/>
      <c r="J642" s="12"/>
      <c r="K642" s="16" t="str">
        <f aca="false">IF(A642="","",G642+H642)</f>
        <v/>
      </c>
      <c r="L642" s="16" t="str">
        <f aca="false">IF(A642="","",IF(F642="İade edildi",0,K642-I642))</f>
        <v/>
      </c>
      <c r="M642" s="17" t="str">
        <f aca="true">IF(A642="","",IF(J642&lt;&gt;"",J642-A642,TODAY()-A642))</f>
        <v/>
      </c>
      <c r="N642" s="18" t="str">
        <f aca="false">IF(A642="","",IF(AND(OR(F642="Bekliyor",F642="Parça bekleniyor",F642="Hazır"),M642&gt;7),"7 günü geçti",""))</f>
        <v/>
      </c>
      <c r="O642" s="18" t="str">
        <f aca="false">IF(AND(A642&lt;&gt;"",OR(F642="Bekliyor",F642="Parça bekleniyor",F642="Hazır")),A642+ROW()/1000000,"")</f>
        <v/>
      </c>
    </row>
    <row r="643" customFormat="false" ht="15" hidden="false" customHeight="false" outlineLevel="0" collapsed="false">
      <c r="A643" s="12"/>
      <c r="B643" s="13"/>
      <c r="C643" s="13"/>
      <c r="D643" s="13"/>
      <c r="E643" s="13"/>
      <c r="F643" s="14"/>
      <c r="G643" s="15"/>
      <c r="H643" s="15"/>
      <c r="I643" s="15"/>
      <c r="J643" s="12"/>
      <c r="K643" s="16" t="str">
        <f aca="false">IF(A643="","",G643+H643)</f>
        <v/>
      </c>
      <c r="L643" s="16" t="str">
        <f aca="false">IF(A643="","",IF(F643="İade edildi",0,K643-I643))</f>
        <v/>
      </c>
      <c r="M643" s="17" t="str">
        <f aca="true">IF(A643="","",IF(J643&lt;&gt;"",J643-A643,TODAY()-A643))</f>
        <v/>
      </c>
      <c r="N643" s="18" t="str">
        <f aca="false">IF(A643="","",IF(AND(OR(F643="Bekliyor",F643="Parça bekleniyor",F643="Hazır"),M643&gt;7),"7 günü geçti",""))</f>
        <v/>
      </c>
      <c r="O643" s="18" t="str">
        <f aca="false">IF(AND(A643&lt;&gt;"",OR(F643="Bekliyor",F643="Parça bekleniyor",F643="Hazır")),A643+ROW()/1000000,"")</f>
        <v/>
      </c>
    </row>
    <row r="644" customFormat="false" ht="15" hidden="false" customHeight="false" outlineLevel="0" collapsed="false">
      <c r="A644" s="12"/>
      <c r="B644" s="13"/>
      <c r="C644" s="13"/>
      <c r="D644" s="13"/>
      <c r="E644" s="13"/>
      <c r="F644" s="14"/>
      <c r="G644" s="15"/>
      <c r="H644" s="15"/>
      <c r="I644" s="15"/>
      <c r="J644" s="12"/>
      <c r="K644" s="16" t="str">
        <f aca="false">IF(A644="","",G644+H644)</f>
        <v/>
      </c>
      <c r="L644" s="16" t="str">
        <f aca="false">IF(A644="","",IF(F644="İade edildi",0,K644-I644))</f>
        <v/>
      </c>
      <c r="M644" s="17" t="str">
        <f aca="true">IF(A644="","",IF(J644&lt;&gt;"",J644-A644,TODAY()-A644))</f>
        <v/>
      </c>
      <c r="N644" s="18" t="str">
        <f aca="false">IF(A644="","",IF(AND(OR(F644="Bekliyor",F644="Parça bekleniyor",F644="Hazır"),M644&gt;7),"7 günü geçti",""))</f>
        <v/>
      </c>
      <c r="O644" s="18" t="str">
        <f aca="false">IF(AND(A644&lt;&gt;"",OR(F644="Bekliyor",F644="Parça bekleniyor",F644="Hazır")),A644+ROW()/1000000,"")</f>
        <v/>
      </c>
    </row>
    <row r="645" customFormat="false" ht="15" hidden="false" customHeight="false" outlineLevel="0" collapsed="false">
      <c r="A645" s="12"/>
      <c r="B645" s="13"/>
      <c r="C645" s="13"/>
      <c r="D645" s="13"/>
      <c r="E645" s="13"/>
      <c r="F645" s="14"/>
      <c r="G645" s="15"/>
      <c r="H645" s="15"/>
      <c r="I645" s="15"/>
      <c r="J645" s="12"/>
      <c r="K645" s="16" t="str">
        <f aca="false">IF(A645="","",G645+H645)</f>
        <v/>
      </c>
      <c r="L645" s="16" t="str">
        <f aca="false">IF(A645="","",IF(F645="İade edildi",0,K645-I645))</f>
        <v/>
      </c>
      <c r="M645" s="17" t="str">
        <f aca="true">IF(A645="","",IF(J645&lt;&gt;"",J645-A645,TODAY()-A645))</f>
        <v/>
      </c>
      <c r="N645" s="18" t="str">
        <f aca="false">IF(A645="","",IF(AND(OR(F645="Bekliyor",F645="Parça bekleniyor",F645="Hazır"),M645&gt;7),"7 günü geçti",""))</f>
        <v/>
      </c>
      <c r="O645" s="18" t="str">
        <f aca="false">IF(AND(A645&lt;&gt;"",OR(F645="Bekliyor",F645="Parça bekleniyor",F645="Hazır")),A645+ROW()/1000000,"")</f>
        <v/>
      </c>
    </row>
    <row r="646" customFormat="false" ht="15" hidden="false" customHeight="false" outlineLevel="0" collapsed="false">
      <c r="A646" s="12"/>
      <c r="B646" s="13"/>
      <c r="C646" s="13"/>
      <c r="D646" s="13"/>
      <c r="E646" s="13"/>
      <c r="F646" s="14"/>
      <c r="G646" s="15"/>
      <c r="H646" s="15"/>
      <c r="I646" s="15"/>
      <c r="J646" s="12"/>
      <c r="K646" s="16" t="str">
        <f aca="false">IF(A646="","",G646+H646)</f>
        <v/>
      </c>
      <c r="L646" s="16" t="str">
        <f aca="false">IF(A646="","",IF(F646="İade edildi",0,K646-I646))</f>
        <v/>
      </c>
      <c r="M646" s="17" t="str">
        <f aca="true">IF(A646="","",IF(J646&lt;&gt;"",J646-A646,TODAY()-A646))</f>
        <v/>
      </c>
      <c r="N646" s="18" t="str">
        <f aca="false">IF(A646="","",IF(AND(OR(F646="Bekliyor",F646="Parça bekleniyor",F646="Hazır"),M646&gt;7),"7 günü geçti",""))</f>
        <v/>
      </c>
      <c r="O646" s="18" t="str">
        <f aca="false">IF(AND(A646&lt;&gt;"",OR(F646="Bekliyor",F646="Parça bekleniyor",F646="Hazır")),A646+ROW()/1000000,"")</f>
        <v/>
      </c>
    </row>
    <row r="647" customFormat="false" ht="15" hidden="false" customHeight="false" outlineLevel="0" collapsed="false">
      <c r="A647" s="12"/>
      <c r="B647" s="13"/>
      <c r="C647" s="13"/>
      <c r="D647" s="13"/>
      <c r="E647" s="13"/>
      <c r="F647" s="14"/>
      <c r="G647" s="15"/>
      <c r="H647" s="15"/>
      <c r="I647" s="15"/>
      <c r="J647" s="12"/>
      <c r="K647" s="16" t="str">
        <f aca="false">IF(A647="","",G647+H647)</f>
        <v/>
      </c>
      <c r="L647" s="16" t="str">
        <f aca="false">IF(A647="","",IF(F647="İade edildi",0,K647-I647))</f>
        <v/>
      </c>
      <c r="M647" s="17" t="str">
        <f aca="true">IF(A647="","",IF(J647&lt;&gt;"",J647-A647,TODAY()-A647))</f>
        <v/>
      </c>
      <c r="N647" s="18" t="str">
        <f aca="false">IF(A647="","",IF(AND(OR(F647="Bekliyor",F647="Parça bekleniyor",F647="Hazır"),M647&gt;7),"7 günü geçti",""))</f>
        <v/>
      </c>
      <c r="O647" s="18" t="str">
        <f aca="false">IF(AND(A647&lt;&gt;"",OR(F647="Bekliyor",F647="Parça bekleniyor",F647="Hazır")),A647+ROW()/1000000,"")</f>
        <v/>
      </c>
    </row>
    <row r="648" customFormat="false" ht="15" hidden="false" customHeight="false" outlineLevel="0" collapsed="false">
      <c r="A648" s="12"/>
      <c r="B648" s="13"/>
      <c r="C648" s="13"/>
      <c r="D648" s="13"/>
      <c r="E648" s="13"/>
      <c r="F648" s="14"/>
      <c r="G648" s="15"/>
      <c r="H648" s="15"/>
      <c r="I648" s="15"/>
      <c r="J648" s="12"/>
      <c r="K648" s="16" t="str">
        <f aca="false">IF(A648="","",G648+H648)</f>
        <v/>
      </c>
      <c r="L648" s="16" t="str">
        <f aca="false">IF(A648="","",IF(F648="İade edildi",0,K648-I648))</f>
        <v/>
      </c>
      <c r="M648" s="17" t="str">
        <f aca="true">IF(A648="","",IF(J648&lt;&gt;"",J648-A648,TODAY()-A648))</f>
        <v/>
      </c>
      <c r="N648" s="18" t="str">
        <f aca="false">IF(A648="","",IF(AND(OR(F648="Bekliyor",F648="Parça bekleniyor",F648="Hazır"),M648&gt;7),"7 günü geçti",""))</f>
        <v/>
      </c>
      <c r="O648" s="18" t="str">
        <f aca="false">IF(AND(A648&lt;&gt;"",OR(F648="Bekliyor",F648="Parça bekleniyor",F648="Hazır")),A648+ROW()/1000000,"")</f>
        <v/>
      </c>
    </row>
    <row r="649" customFormat="false" ht="15" hidden="false" customHeight="false" outlineLevel="0" collapsed="false">
      <c r="A649" s="12"/>
      <c r="B649" s="13"/>
      <c r="C649" s="13"/>
      <c r="D649" s="13"/>
      <c r="E649" s="13"/>
      <c r="F649" s="14"/>
      <c r="G649" s="15"/>
      <c r="H649" s="15"/>
      <c r="I649" s="15"/>
      <c r="J649" s="12"/>
      <c r="K649" s="16" t="str">
        <f aca="false">IF(A649="","",G649+H649)</f>
        <v/>
      </c>
      <c r="L649" s="16" t="str">
        <f aca="false">IF(A649="","",IF(F649="İade edildi",0,K649-I649))</f>
        <v/>
      </c>
      <c r="M649" s="17" t="str">
        <f aca="true">IF(A649="","",IF(J649&lt;&gt;"",J649-A649,TODAY()-A649))</f>
        <v/>
      </c>
      <c r="N649" s="18" t="str">
        <f aca="false">IF(A649="","",IF(AND(OR(F649="Bekliyor",F649="Parça bekleniyor",F649="Hazır"),M649&gt;7),"7 günü geçti",""))</f>
        <v/>
      </c>
      <c r="O649" s="18" t="str">
        <f aca="false">IF(AND(A649&lt;&gt;"",OR(F649="Bekliyor",F649="Parça bekleniyor",F649="Hazır")),A649+ROW()/1000000,"")</f>
        <v/>
      </c>
    </row>
    <row r="650" customFormat="false" ht="15" hidden="false" customHeight="false" outlineLevel="0" collapsed="false">
      <c r="A650" s="12"/>
      <c r="B650" s="13"/>
      <c r="C650" s="13"/>
      <c r="D650" s="13"/>
      <c r="E650" s="13"/>
      <c r="F650" s="14"/>
      <c r="G650" s="15"/>
      <c r="H650" s="15"/>
      <c r="I650" s="15"/>
      <c r="J650" s="12"/>
      <c r="K650" s="16" t="str">
        <f aca="false">IF(A650="","",G650+H650)</f>
        <v/>
      </c>
      <c r="L650" s="16" t="str">
        <f aca="false">IF(A650="","",IF(F650="İade edildi",0,K650-I650))</f>
        <v/>
      </c>
      <c r="M650" s="17" t="str">
        <f aca="true">IF(A650="","",IF(J650&lt;&gt;"",J650-A650,TODAY()-A650))</f>
        <v/>
      </c>
      <c r="N650" s="18" t="str">
        <f aca="false">IF(A650="","",IF(AND(OR(F650="Bekliyor",F650="Parça bekleniyor",F650="Hazır"),M650&gt;7),"7 günü geçti",""))</f>
        <v/>
      </c>
      <c r="O650" s="18" t="str">
        <f aca="false">IF(AND(A650&lt;&gt;"",OR(F650="Bekliyor",F650="Parça bekleniyor",F650="Hazır")),A650+ROW()/1000000,"")</f>
        <v/>
      </c>
    </row>
    <row r="651" customFormat="false" ht="15" hidden="false" customHeight="false" outlineLevel="0" collapsed="false">
      <c r="A651" s="12"/>
      <c r="B651" s="13"/>
      <c r="C651" s="13"/>
      <c r="D651" s="13"/>
      <c r="E651" s="13"/>
      <c r="F651" s="14"/>
      <c r="G651" s="15"/>
      <c r="H651" s="15"/>
      <c r="I651" s="15"/>
      <c r="J651" s="12"/>
      <c r="K651" s="16" t="str">
        <f aca="false">IF(A651="","",G651+H651)</f>
        <v/>
      </c>
      <c r="L651" s="16" t="str">
        <f aca="false">IF(A651="","",IF(F651="İade edildi",0,K651-I651))</f>
        <v/>
      </c>
      <c r="M651" s="17" t="str">
        <f aca="true">IF(A651="","",IF(J651&lt;&gt;"",J651-A651,TODAY()-A651))</f>
        <v/>
      </c>
      <c r="N651" s="18" t="str">
        <f aca="false">IF(A651="","",IF(AND(OR(F651="Bekliyor",F651="Parça bekleniyor",F651="Hazır"),M651&gt;7),"7 günü geçti",""))</f>
        <v/>
      </c>
      <c r="O651" s="18" t="str">
        <f aca="false">IF(AND(A651&lt;&gt;"",OR(F651="Bekliyor",F651="Parça bekleniyor",F651="Hazır")),A651+ROW()/1000000,"")</f>
        <v/>
      </c>
    </row>
    <row r="652" customFormat="false" ht="15" hidden="false" customHeight="false" outlineLevel="0" collapsed="false">
      <c r="A652" s="12"/>
      <c r="B652" s="13"/>
      <c r="C652" s="13"/>
      <c r="D652" s="13"/>
      <c r="E652" s="13"/>
      <c r="F652" s="14"/>
      <c r="G652" s="15"/>
      <c r="H652" s="15"/>
      <c r="I652" s="15"/>
      <c r="J652" s="12"/>
      <c r="K652" s="16" t="str">
        <f aca="false">IF(A652="","",G652+H652)</f>
        <v/>
      </c>
      <c r="L652" s="16" t="str">
        <f aca="false">IF(A652="","",IF(F652="İade edildi",0,K652-I652))</f>
        <v/>
      </c>
      <c r="M652" s="17" t="str">
        <f aca="true">IF(A652="","",IF(J652&lt;&gt;"",J652-A652,TODAY()-A652))</f>
        <v/>
      </c>
      <c r="N652" s="18" t="str">
        <f aca="false">IF(A652="","",IF(AND(OR(F652="Bekliyor",F652="Parça bekleniyor",F652="Hazır"),M652&gt;7),"7 günü geçti",""))</f>
        <v/>
      </c>
      <c r="O652" s="18" t="str">
        <f aca="false">IF(AND(A652&lt;&gt;"",OR(F652="Bekliyor",F652="Parça bekleniyor",F652="Hazır")),A652+ROW()/1000000,"")</f>
        <v/>
      </c>
    </row>
    <row r="653" customFormat="false" ht="15" hidden="false" customHeight="false" outlineLevel="0" collapsed="false">
      <c r="A653" s="12"/>
      <c r="B653" s="13"/>
      <c r="C653" s="13"/>
      <c r="D653" s="13"/>
      <c r="E653" s="13"/>
      <c r="F653" s="14"/>
      <c r="G653" s="15"/>
      <c r="H653" s="15"/>
      <c r="I653" s="15"/>
      <c r="J653" s="12"/>
      <c r="K653" s="16" t="str">
        <f aca="false">IF(A653="","",G653+H653)</f>
        <v/>
      </c>
      <c r="L653" s="16" t="str">
        <f aca="false">IF(A653="","",IF(F653="İade edildi",0,K653-I653))</f>
        <v/>
      </c>
      <c r="M653" s="17" t="str">
        <f aca="true">IF(A653="","",IF(J653&lt;&gt;"",J653-A653,TODAY()-A653))</f>
        <v/>
      </c>
      <c r="N653" s="18" t="str">
        <f aca="false">IF(A653="","",IF(AND(OR(F653="Bekliyor",F653="Parça bekleniyor",F653="Hazır"),M653&gt;7),"7 günü geçti",""))</f>
        <v/>
      </c>
      <c r="O653" s="18" t="str">
        <f aca="false">IF(AND(A653&lt;&gt;"",OR(F653="Bekliyor",F653="Parça bekleniyor",F653="Hazır")),A653+ROW()/1000000,"")</f>
        <v/>
      </c>
    </row>
    <row r="654" customFormat="false" ht="15" hidden="false" customHeight="false" outlineLevel="0" collapsed="false">
      <c r="A654" s="12"/>
      <c r="B654" s="13"/>
      <c r="C654" s="13"/>
      <c r="D654" s="13"/>
      <c r="E654" s="13"/>
      <c r="F654" s="14"/>
      <c r="G654" s="15"/>
      <c r="H654" s="15"/>
      <c r="I654" s="15"/>
      <c r="J654" s="12"/>
      <c r="K654" s="16" t="str">
        <f aca="false">IF(A654="","",G654+H654)</f>
        <v/>
      </c>
      <c r="L654" s="16" t="str">
        <f aca="false">IF(A654="","",IF(F654="İade edildi",0,K654-I654))</f>
        <v/>
      </c>
      <c r="M654" s="17" t="str">
        <f aca="true">IF(A654="","",IF(J654&lt;&gt;"",J654-A654,TODAY()-A654))</f>
        <v/>
      </c>
      <c r="N654" s="18" t="str">
        <f aca="false">IF(A654="","",IF(AND(OR(F654="Bekliyor",F654="Parça bekleniyor",F654="Hazır"),M654&gt;7),"7 günü geçti",""))</f>
        <v/>
      </c>
      <c r="O654" s="18" t="str">
        <f aca="false">IF(AND(A654&lt;&gt;"",OR(F654="Bekliyor",F654="Parça bekleniyor",F654="Hazır")),A654+ROW()/1000000,"")</f>
        <v/>
      </c>
    </row>
    <row r="655" customFormat="false" ht="15" hidden="false" customHeight="false" outlineLevel="0" collapsed="false">
      <c r="A655" s="12"/>
      <c r="B655" s="13"/>
      <c r="C655" s="13"/>
      <c r="D655" s="13"/>
      <c r="E655" s="13"/>
      <c r="F655" s="14"/>
      <c r="G655" s="15"/>
      <c r="H655" s="15"/>
      <c r="I655" s="15"/>
      <c r="J655" s="12"/>
      <c r="K655" s="16" t="str">
        <f aca="false">IF(A655="","",G655+H655)</f>
        <v/>
      </c>
      <c r="L655" s="16" t="str">
        <f aca="false">IF(A655="","",IF(F655="İade edildi",0,K655-I655))</f>
        <v/>
      </c>
      <c r="M655" s="17" t="str">
        <f aca="true">IF(A655="","",IF(J655&lt;&gt;"",J655-A655,TODAY()-A655))</f>
        <v/>
      </c>
      <c r="N655" s="18" t="str">
        <f aca="false">IF(A655="","",IF(AND(OR(F655="Bekliyor",F655="Parça bekleniyor",F655="Hazır"),M655&gt;7),"7 günü geçti",""))</f>
        <v/>
      </c>
      <c r="O655" s="18" t="str">
        <f aca="false">IF(AND(A655&lt;&gt;"",OR(F655="Bekliyor",F655="Parça bekleniyor",F655="Hazır")),A655+ROW()/1000000,"")</f>
        <v/>
      </c>
    </row>
    <row r="656" customFormat="false" ht="15" hidden="false" customHeight="false" outlineLevel="0" collapsed="false">
      <c r="A656" s="12"/>
      <c r="B656" s="13"/>
      <c r="C656" s="13"/>
      <c r="D656" s="13"/>
      <c r="E656" s="13"/>
      <c r="F656" s="14"/>
      <c r="G656" s="15"/>
      <c r="H656" s="15"/>
      <c r="I656" s="15"/>
      <c r="J656" s="12"/>
      <c r="K656" s="16" t="str">
        <f aca="false">IF(A656="","",G656+H656)</f>
        <v/>
      </c>
      <c r="L656" s="16" t="str">
        <f aca="false">IF(A656="","",IF(F656="İade edildi",0,K656-I656))</f>
        <v/>
      </c>
      <c r="M656" s="17" t="str">
        <f aca="true">IF(A656="","",IF(J656&lt;&gt;"",J656-A656,TODAY()-A656))</f>
        <v/>
      </c>
      <c r="N656" s="18" t="str">
        <f aca="false">IF(A656="","",IF(AND(OR(F656="Bekliyor",F656="Parça bekleniyor",F656="Hazır"),M656&gt;7),"7 günü geçti",""))</f>
        <v/>
      </c>
      <c r="O656" s="18" t="str">
        <f aca="false">IF(AND(A656&lt;&gt;"",OR(F656="Bekliyor",F656="Parça bekleniyor",F656="Hazır")),A656+ROW()/1000000,"")</f>
        <v/>
      </c>
    </row>
    <row r="657" customFormat="false" ht="15" hidden="false" customHeight="false" outlineLevel="0" collapsed="false">
      <c r="A657" s="12"/>
      <c r="B657" s="13"/>
      <c r="C657" s="13"/>
      <c r="D657" s="13"/>
      <c r="E657" s="13"/>
      <c r="F657" s="14"/>
      <c r="G657" s="15"/>
      <c r="H657" s="15"/>
      <c r="I657" s="15"/>
      <c r="J657" s="12"/>
      <c r="K657" s="16" t="str">
        <f aca="false">IF(A657="","",G657+H657)</f>
        <v/>
      </c>
      <c r="L657" s="16" t="str">
        <f aca="false">IF(A657="","",IF(F657="İade edildi",0,K657-I657))</f>
        <v/>
      </c>
      <c r="M657" s="17" t="str">
        <f aca="true">IF(A657="","",IF(J657&lt;&gt;"",J657-A657,TODAY()-A657))</f>
        <v/>
      </c>
      <c r="N657" s="18" t="str">
        <f aca="false">IF(A657="","",IF(AND(OR(F657="Bekliyor",F657="Parça bekleniyor",F657="Hazır"),M657&gt;7),"7 günü geçti",""))</f>
        <v/>
      </c>
      <c r="O657" s="18" t="str">
        <f aca="false">IF(AND(A657&lt;&gt;"",OR(F657="Bekliyor",F657="Parça bekleniyor",F657="Hazır")),A657+ROW()/1000000,"")</f>
        <v/>
      </c>
    </row>
    <row r="658" customFormat="false" ht="15" hidden="false" customHeight="false" outlineLevel="0" collapsed="false">
      <c r="A658" s="12"/>
      <c r="B658" s="13"/>
      <c r="C658" s="13"/>
      <c r="D658" s="13"/>
      <c r="E658" s="13"/>
      <c r="F658" s="14"/>
      <c r="G658" s="15"/>
      <c r="H658" s="15"/>
      <c r="I658" s="15"/>
      <c r="J658" s="12"/>
      <c r="K658" s="16" t="str">
        <f aca="false">IF(A658="","",G658+H658)</f>
        <v/>
      </c>
      <c r="L658" s="16" t="str">
        <f aca="false">IF(A658="","",IF(F658="İade edildi",0,K658-I658))</f>
        <v/>
      </c>
      <c r="M658" s="17" t="str">
        <f aca="true">IF(A658="","",IF(J658&lt;&gt;"",J658-A658,TODAY()-A658))</f>
        <v/>
      </c>
      <c r="N658" s="18" t="str">
        <f aca="false">IF(A658="","",IF(AND(OR(F658="Bekliyor",F658="Parça bekleniyor",F658="Hazır"),M658&gt;7),"7 günü geçti",""))</f>
        <v/>
      </c>
      <c r="O658" s="18" t="str">
        <f aca="false">IF(AND(A658&lt;&gt;"",OR(F658="Bekliyor",F658="Parça bekleniyor",F658="Hazır")),A658+ROW()/1000000,"")</f>
        <v/>
      </c>
    </row>
    <row r="659" customFormat="false" ht="15" hidden="false" customHeight="false" outlineLevel="0" collapsed="false">
      <c r="A659" s="12"/>
      <c r="B659" s="13"/>
      <c r="C659" s="13"/>
      <c r="D659" s="13"/>
      <c r="E659" s="13"/>
      <c r="F659" s="14"/>
      <c r="G659" s="15"/>
      <c r="H659" s="15"/>
      <c r="I659" s="15"/>
      <c r="J659" s="12"/>
      <c r="K659" s="16" t="str">
        <f aca="false">IF(A659="","",G659+H659)</f>
        <v/>
      </c>
      <c r="L659" s="16" t="str">
        <f aca="false">IF(A659="","",IF(F659="İade edildi",0,K659-I659))</f>
        <v/>
      </c>
      <c r="M659" s="17" t="str">
        <f aca="true">IF(A659="","",IF(J659&lt;&gt;"",J659-A659,TODAY()-A659))</f>
        <v/>
      </c>
      <c r="N659" s="18" t="str">
        <f aca="false">IF(A659="","",IF(AND(OR(F659="Bekliyor",F659="Parça bekleniyor",F659="Hazır"),M659&gt;7),"7 günü geçti",""))</f>
        <v/>
      </c>
      <c r="O659" s="18" t="str">
        <f aca="false">IF(AND(A659&lt;&gt;"",OR(F659="Bekliyor",F659="Parça bekleniyor",F659="Hazır")),A659+ROW()/1000000,"")</f>
        <v/>
      </c>
    </row>
    <row r="660" customFormat="false" ht="15" hidden="false" customHeight="false" outlineLevel="0" collapsed="false">
      <c r="A660" s="12"/>
      <c r="B660" s="13"/>
      <c r="C660" s="13"/>
      <c r="D660" s="13"/>
      <c r="E660" s="13"/>
      <c r="F660" s="14"/>
      <c r="G660" s="15"/>
      <c r="H660" s="15"/>
      <c r="I660" s="15"/>
      <c r="J660" s="12"/>
      <c r="K660" s="16" t="str">
        <f aca="false">IF(A660="","",G660+H660)</f>
        <v/>
      </c>
      <c r="L660" s="16" t="str">
        <f aca="false">IF(A660="","",IF(F660="İade edildi",0,K660-I660))</f>
        <v/>
      </c>
      <c r="M660" s="17" t="str">
        <f aca="true">IF(A660="","",IF(J660&lt;&gt;"",J660-A660,TODAY()-A660))</f>
        <v/>
      </c>
      <c r="N660" s="18" t="str">
        <f aca="false">IF(A660="","",IF(AND(OR(F660="Bekliyor",F660="Parça bekleniyor",F660="Hazır"),M660&gt;7),"7 günü geçti",""))</f>
        <v/>
      </c>
      <c r="O660" s="18" t="str">
        <f aca="false">IF(AND(A660&lt;&gt;"",OR(F660="Bekliyor",F660="Parça bekleniyor",F660="Hazır")),A660+ROW()/1000000,"")</f>
        <v/>
      </c>
    </row>
    <row r="661" customFormat="false" ht="15" hidden="false" customHeight="false" outlineLevel="0" collapsed="false">
      <c r="A661" s="12"/>
      <c r="B661" s="13"/>
      <c r="C661" s="13"/>
      <c r="D661" s="13"/>
      <c r="E661" s="13"/>
      <c r="F661" s="14"/>
      <c r="G661" s="15"/>
      <c r="H661" s="15"/>
      <c r="I661" s="15"/>
      <c r="J661" s="12"/>
      <c r="K661" s="16" t="str">
        <f aca="false">IF(A661="","",G661+H661)</f>
        <v/>
      </c>
      <c r="L661" s="16" t="str">
        <f aca="false">IF(A661="","",IF(F661="İade edildi",0,K661-I661))</f>
        <v/>
      </c>
      <c r="M661" s="17" t="str">
        <f aca="true">IF(A661="","",IF(J661&lt;&gt;"",J661-A661,TODAY()-A661))</f>
        <v/>
      </c>
      <c r="N661" s="18" t="str">
        <f aca="false">IF(A661="","",IF(AND(OR(F661="Bekliyor",F661="Parça bekleniyor",F661="Hazır"),M661&gt;7),"7 günü geçti",""))</f>
        <v/>
      </c>
      <c r="O661" s="18" t="str">
        <f aca="false">IF(AND(A661&lt;&gt;"",OR(F661="Bekliyor",F661="Parça bekleniyor",F661="Hazır")),A661+ROW()/1000000,"")</f>
        <v/>
      </c>
    </row>
    <row r="662" customFormat="false" ht="15" hidden="false" customHeight="false" outlineLevel="0" collapsed="false">
      <c r="A662" s="12"/>
      <c r="B662" s="13"/>
      <c r="C662" s="13"/>
      <c r="D662" s="13"/>
      <c r="E662" s="13"/>
      <c r="F662" s="14"/>
      <c r="G662" s="15"/>
      <c r="H662" s="15"/>
      <c r="I662" s="15"/>
      <c r="J662" s="12"/>
      <c r="K662" s="16" t="str">
        <f aca="false">IF(A662="","",G662+H662)</f>
        <v/>
      </c>
      <c r="L662" s="16" t="str">
        <f aca="false">IF(A662="","",IF(F662="İade edildi",0,K662-I662))</f>
        <v/>
      </c>
      <c r="M662" s="17" t="str">
        <f aca="true">IF(A662="","",IF(J662&lt;&gt;"",J662-A662,TODAY()-A662))</f>
        <v/>
      </c>
      <c r="N662" s="18" t="str">
        <f aca="false">IF(A662="","",IF(AND(OR(F662="Bekliyor",F662="Parça bekleniyor",F662="Hazır"),M662&gt;7),"7 günü geçti",""))</f>
        <v/>
      </c>
      <c r="O662" s="18" t="str">
        <f aca="false">IF(AND(A662&lt;&gt;"",OR(F662="Bekliyor",F662="Parça bekleniyor",F662="Hazır")),A662+ROW()/1000000,"")</f>
        <v/>
      </c>
    </row>
    <row r="663" customFormat="false" ht="15" hidden="false" customHeight="false" outlineLevel="0" collapsed="false">
      <c r="A663" s="12"/>
      <c r="B663" s="13"/>
      <c r="C663" s="13"/>
      <c r="D663" s="13"/>
      <c r="E663" s="13"/>
      <c r="F663" s="14"/>
      <c r="G663" s="15"/>
      <c r="H663" s="15"/>
      <c r="I663" s="15"/>
      <c r="J663" s="12"/>
      <c r="K663" s="16" t="str">
        <f aca="false">IF(A663="","",G663+H663)</f>
        <v/>
      </c>
      <c r="L663" s="16" t="str">
        <f aca="false">IF(A663="","",IF(F663="İade edildi",0,K663-I663))</f>
        <v/>
      </c>
      <c r="M663" s="17" t="str">
        <f aca="true">IF(A663="","",IF(J663&lt;&gt;"",J663-A663,TODAY()-A663))</f>
        <v/>
      </c>
      <c r="N663" s="18" t="str">
        <f aca="false">IF(A663="","",IF(AND(OR(F663="Bekliyor",F663="Parça bekleniyor",F663="Hazır"),M663&gt;7),"7 günü geçti",""))</f>
        <v/>
      </c>
      <c r="O663" s="18" t="str">
        <f aca="false">IF(AND(A663&lt;&gt;"",OR(F663="Bekliyor",F663="Parça bekleniyor",F663="Hazır")),A663+ROW()/1000000,"")</f>
        <v/>
      </c>
    </row>
    <row r="664" customFormat="false" ht="15" hidden="false" customHeight="false" outlineLevel="0" collapsed="false">
      <c r="A664" s="12"/>
      <c r="B664" s="13"/>
      <c r="C664" s="13"/>
      <c r="D664" s="13"/>
      <c r="E664" s="13"/>
      <c r="F664" s="14"/>
      <c r="G664" s="15"/>
      <c r="H664" s="15"/>
      <c r="I664" s="15"/>
      <c r="J664" s="12"/>
      <c r="K664" s="16" t="str">
        <f aca="false">IF(A664="","",G664+H664)</f>
        <v/>
      </c>
      <c r="L664" s="16" t="str">
        <f aca="false">IF(A664="","",IF(F664="İade edildi",0,K664-I664))</f>
        <v/>
      </c>
      <c r="M664" s="17" t="str">
        <f aca="true">IF(A664="","",IF(J664&lt;&gt;"",J664-A664,TODAY()-A664))</f>
        <v/>
      </c>
      <c r="N664" s="18" t="str">
        <f aca="false">IF(A664="","",IF(AND(OR(F664="Bekliyor",F664="Parça bekleniyor",F664="Hazır"),M664&gt;7),"7 günü geçti",""))</f>
        <v/>
      </c>
      <c r="O664" s="18" t="str">
        <f aca="false">IF(AND(A664&lt;&gt;"",OR(F664="Bekliyor",F664="Parça bekleniyor",F664="Hazır")),A664+ROW()/1000000,"")</f>
        <v/>
      </c>
    </row>
    <row r="665" customFormat="false" ht="15" hidden="false" customHeight="false" outlineLevel="0" collapsed="false">
      <c r="A665" s="12"/>
      <c r="B665" s="13"/>
      <c r="C665" s="13"/>
      <c r="D665" s="13"/>
      <c r="E665" s="13"/>
      <c r="F665" s="14"/>
      <c r="G665" s="15"/>
      <c r="H665" s="15"/>
      <c r="I665" s="15"/>
      <c r="J665" s="12"/>
      <c r="K665" s="16" t="str">
        <f aca="false">IF(A665="","",G665+H665)</f>
        <v/>
      </c>
      <c r="L665" s="16" t="str">
        <f aca="false">IF(A665="","",IF(F665="İade edildi",0,K665-I665))</f>
        <v/>
      </c>
      <c r="M665" s="17" t="str">
        <f aca="true">IF(A665="","",IF(J665&lt;&gt;"",J665-A665,TODAY()-A665))</f>
        <v/>
      </c>
      <c r="N665" s="18" t="str">
        <f aca="false">IF(A665="","",IF(AND(OR(F665="Bekliyor",F665="Parça bekleniyor",F665="Hazır"),M665&gt;7),"7 günü geçti",""))</f>
        <v/>
      </c>
      <c r="O665" s="18" t="str">
        <f aca="false">IF(AND(A665&lt;&gt;"",OR(F665="Bekliyor",F665="Parça bekleniyor",F665="Hazır")),A665+ROW()/1000000,"")</f>
        <v/>
      </c>
    </row>
    <row r="666" customFormat="false" ht="15" hidden="false" customHeight="false" outlineLevel="0" collapsed="false">
      <c r="A666" s="12"/>
      <c r="B666" s="13"/>
      <c r="C666" s="13"/>
      <c r="D666" s="13"/>
      <c r="E666" s="13"/>
      <c r="F666" s="14"/>
      <c r="G666" s="15"/>
      <c r="H666" s="15"/>
      <c r="I666" s="15"/>
      <c r="J666" s="12"/>
      <c r="K666" s="16" t="str">
        <f aca="false">IF(A666="","",G666+H666)</f>
        <v/>
      </c>
      <c r="L666" s="16" t="str">
        <f aca="false">IF(A666="","",IF(F666="İade edildi",0,K666-I666))</f>
        <v/>
      </c>
      <c r="M666" s="17" t="str">
        <f aca="true">IF(A666="","",IF(J666&lt;&gt;"",J666-A666,TODAY()-A666))</f>
        <v/>
      </c>
      <c r="N666" s="18" t="str">
        <f aca="false">IF(A666="","",IF(AND(OR(F666="Bekliyor",F666="Parça bekleniyor",F666="Hazır"),M666&gt;7),"7 günü geçti",""))</f>
        <v/>
      </c>
      <c r="O666" s="18" t="str">
        <f aca="false">IF(AND(A666&lt;&gt;"",OR(F666="Bekliyor",F666="Parça bekleniyor",F666="Hazır")),A666+ROW()/1000000,"")</f>
        <v/>
      </c>
    </row>
    <row r="667" customFormat="false" ht="15" hidden="false" customHeight="false" outlineLevel="0" collapsed="false">
      <c r="A667" s="12"/>
      <c r="B667" s="13"/>
      <c r="C667" s="13"/>
      <c r="D667" s="13"/>
      <c r="E667" s="13"/>
      <c r="F667" s="14"/>
      <c r="G667" s="15"/>
      <c r="H667" s="15"/>
      <c r="I667" s="15"/>
      <c r="J667" s="12"/>
      <c r="K667" s="16" t="str">
        <f aca="false">IF(A667="","",G667+H667)</f>
        <v/>
      </c>
      <c r="L667" s="16" t="str">
        <f aca="false">IF(A667="","",IF(F667="İade edildi",0,K667-I667))</f>
        <v/>
      </c>
      <c r="M667" s="17" t="str">
        <f aca="true">IF(A667="","",IF(J667&lt;&gt;"",J667-A667,TODAY()-A667))</f>
        <v/>
      </c>
      <c r="N667" s="18" t="str">
        <f aca="false">IF(A667="","",IF(AND(OR(F667="Bekliyor",F667="Parça bekleniyor",F667="Hazır"),M667&gt;7),"7 günü geçti",""))</f>
        <v/>
      </c>
      <c r="O667" s="18" t="str">
        <f aca="false">IF(AND(A667&lt;&gt;"",OR(F667="Bekliyor",F667="Parça bekleniyor",F667="Hazır")),A667+ROW()/1000000,"")</f>
        <v/>
      </c>
    </row>
    <row r="668" customFormat="false" ht="15" hidden="false" customHeight="false" outlineLevel="0" collapsed="false">
      <c r="A668" s="12"/>
      <c r="B668" s="13"/>
      <c r="C668" s="13"/>
      <c r="D668" s="13"/>
      <c r="E668" s="13"/>
      <c r="F668" s="14"/>
      <c r="G668" s="15"/>
      <c r="H668" s="15"/>
      <c r="I668" s="15"/>
      <c r="J668" s="12"/>
      <c r="K668" s="16" t="str">
        <f aca="false">IF(A668="","",G668+H668)</f>
        <v/>
      </c>
      <c r="L668" s="16" t="str">
        <f aca="false">IF(A668="","",IF(F668="İade edildi",0,K668-I668))</f>
        <v/>
      </c>
      <c r="M668" s="17" t="str">
        <f aca="true">IF(A668="","",IF(J668&lt;&gt;"",J668-A668,TODAY()-A668))</f>
        <v/>
      </c>
      <c r="N668" s="18" t="str">
        <f aca="false">IF(A668="","",IF(AND(OR(F668="Bekliyor",F668="Parça bekleniyor",F668="Hazır"),M668&gt;7),"7 günü geçti",""))</f>
        <v/>
      </c>
      <c r="O668" s="18" t="str">
        <f aca="false">IF(AND(A668&lt;&gt;"",OR(F668="Bekliyor",F668="Parça bekleniyor",F668="Hazır")),A668+ROW()/1000000,"")</f>
        <v/>
      </c>
    </row>
    <row r="669" customFormat="false" ht="15" hidden="false" customHeight="false" outlineLevel="0" collapsed="false">
      <c r="A669" s="12"/>
      <c r="B669" s="13"/>
      <c r="C669" s="13"/>
      <c r="D669" s="13"/>
      <c r="E669" s="13"/>
      <c r="F669" s="14"/>
      <c r="G669" s="15"/>
      <c r="H669" s="15"/>
      <c r="I669" s="15"/>
      <c r="J669" s="12"/>
      <c r="K669" s="16" t="str">
        <f aca="false">IF(A669="","",G669+H669)</f>
        <v/>
      </c>
      <c r="L669" s="16" t="str">
        <f aca="false">IF(A669="","",IF(F669="İade edildi",0,K669-I669))</f>
        <v/>
      </c>
      <c r="M669" s="17" t="str">
        <f aca="true">IF(A669="","",IF(J669&lt;&gt;"",J669-A669,TODAY()-A669))</f>
        <v/>
      </c>
      <c r="N669" s="18" t="str">
        <f aca="false">IF(A669="","",IF(AND(OR(F669="Bekliyor",F669="Parça bekleniyor",F669="Hazır"),M669&gt;7),"7 günü geçti",""))</f>
        <v/>
      </c>
      <c r="O669" s="18" t="str">
        <f aca="false">IF(AND(A669&lt;&gt;"",OR(F669="Bekliyor",F669="Parça bekleniyor",F669="Hazır")),A669+ROW()/1000000,"")</f>
        <v/>
      </c>
    </row>
    <row r="670" customFormat="false" ht="15" hidden="false" customHeight="false" outlineLevel="0" collapsed="false">
      <c r="A670" s="12"/>
      <c r="B670" s="13"/>
      <c r="C670" s="13"/>
      <c r="D670" s="13"/>
      <c r="E670" s="13"/>
      <c r="F670" s="14"/>
      <c r="G670" s="15"/>
      <c r="H670" s="15"/>
      <c r="I670" s="15"/>
      <c r="J670" s="12"/>
      <c r="K670" s="16" t="str">
        <f aca="false">IF(A670="","",G670+H670)</f>
        <v/>
      </c>
      <c r="L670" s="16" t="str">
        <f aca="false">IF(A670="","",IF(F670="İade edildi",0,K670-I670))</f>
        <v/>
      </c>
      <c r="M670" s="17" t="str">
        <f aca="true">IF(A670="","",IF(J670&lt;&gt;"",J670-A670,TODAY()-A670))</f>
        <v/>
      </c>
      <c r="N670" s="18" t="str">
        <f aca="false">IF(A670="","",IF(AND(OR(F670="Bekliyor",F670="Parça bekleniyor",F670="Hazır"),M670&gt;7),"7 günü geçti",""))</f>
        <v/>
      </c>
      <c r="O670" s="18" t="str">
        <f aca="false">IF(AND(A670&lt;&gt;"",OR(F670="Bekliyor",F670="Parça bekleniyor",F670="Hazır")),A670+ROW()/1000000,"")</f>
        <v/>
      </c>
    </row>
    <row r="671" customFormat="false" ht="15" hidden="false" customHeight="false" outlineLevel="0" collapsed="false">
      <c r="A671" s="12"/>
      <c r="B671" s="13"/>
      <c r="C671" s="13"/>
      <c r="D671" s="13"/>
      <c r="E671" s="13"/>
      <c r="F671" s="14"/>
      <c r="G671" s="15"/>
      <c r="H671" s="15"/>
      <c r="I671" s="15"/>
      <c r="J671" s="12"/>
      <c r="K671" s="16" t="str">
        <f aca="false">IF(A671="","",G671+H671)</f>
        <v/>
      </c>
      <c r="L671" s="16" t="str">
        <f aca="false">IF(A671="","",IF(F671="İade edildi",0,K671-I671))</f>
        <v/>
      </c>
      <c r="M671" s="17" t="str">
        <f aca="true">IF(A671="","",IF(J671&lt;&gt;"",J671-A671,TODAY()-A671))</f>
        <v/>
      </c>
      <c r="N671" s="18" t="str">
        <f aca="false">IF(A671="","",IF(AND(OR(F671="Bekliyor",F671="Parça bekleniyor",F671="Hazır"),M671&gt;7),"7 günü geçti",""))</f>
        <v/>
      </c>
      <c r="O671" s="18" t="str">
        <f aca="false">IF(AND(A671&lt;&gt;"",OR(F671="Bekliyor",F671="Parça bekleniyor",F671="Hazır")),A671+ROW()/1000000,"")</f>
        <v/>
      </c>
    </row>
    <row r="672" customFormat="false" ht="15" hidden="false" customHeight="false" outlineLevel="0" collapsed="false">
      <c r="A672" s="12"/>
      <c r="B672" s="13"/>
      <c r="C672" s="13"/>
      <c r="D672" s="13"/>
      <c r="E672" s="13"/>
      <c r="F672" s="14"/>
      <c r="G672" s="15"/>
      <c r="H672" s="15"/>
      <c r="I672" s="15"/>
      <c r="J672" s="12"/>
      <c r="K672" s="16" t="str">
        <f aca="false">IF(A672="","",G672+H672)</f>
        <v/>
      </c>
      <c r="L672" s="16" t="str">
        <f aca="false">IF(A672="","",IF(F672="İade edildi",0,K672-I672))</f>
        <v/>
      </c>
      <c r="M672" s="17" t="str">
        <f aca="true">IF(A672="","",IF(J672&lt;&gt;"",J672-A672,TODAY()-A672))</f>
        <v/>
      </c>
      <c r="N672" s="18" t="str">
        <f aca="false">IF(A672="","",IF(AND(OR(F672="Bekliyor",F672="Parça bekleniyor",F672="Hazır"),M672&gt;7),"7 günü geçti",""))</f>
        <v/>
      </c>
      <c r="O672" s="18" t="str">
        <f aca="false">IF(AND(A672&lt;&gt;"",OR(F672="Bekliyor",F672="Parça bekleniyor",F672="Hazır")),A672+ROW()/1000000,"")</f>
        <v/>
      </c>
    </row>
    <row r="673" customFormat="false" ht="15" hidden="false" customHeight="false" outlineLevel="0" collapsed="false">
      <c r="A673" s="12"/>
      <c r="B673" s="13"/>
      <c r="C673" s="13"/>
      <c r="D673" s="13"/>
      <c r="E673" s="13"/>
      <c r="F673" s="14"/>
      <c r="G673" s="15"/>
      <c r="H673" s="15"/>
      <c r="I673" s="15"/>
      <c r="J673" s="12"/>
      <c r="K673" s="16" t="str">
        <f aca="false">IF(A673="","",G673+H673)</f>
        <v/>
      </c>
      <c r="L673" s="16" t="str">
        <f aca="false">IF(A673="","",IF(F673="İade edildi",0,K673-I673))</f>
        <v/>
      </c>
      <c r="M673" s="17" t="str">
        <f aca="true">IF(A673="","",IF(J673&lt;&gt;"",J673-A673,TODAY()-A673))</f>
        <v/>
      </c>
      <c r="N673" s="18" t="str">
        <f aca="false">IF(A673="","",IF(AND(OR(F673="Bekliyor",F673="Parça bekleniyor",F673="Hazır"),M673&gt;7),"7 günü geçti",""))</f>
        <v/>
      </c>
      <c r="O673" s="18" t="str">
        <f aca="false">IF(AND(A673&lt;&gt;"",OR(F673="Bekliyor",F673="Parça bekleniyor",F673="Hazır")),A673+ROW()/1000000,"")</f>
        <v/>
      </c>
    </row>
    <row r="674" customFormat="false" ht="15" hidden="false" customHeight="false" outlineLevel="0" collapsed="false">
      <c r="A674" s="12"/>
      <c r="B674" s="13"/>
      <c r="C674" s="13"/>
      <c r="D674" s="13"/>
      <c r="E674" s="13"/>
      <c r="F674" s="14"/>
      <c r="G674" s="15"/>
      <c r="H674" s="15"/>
      <c r="I674" s="15"/>
      <c r="J674" s="12"/>
      <c r="K674" s="16" t="str">
        <f aca="false">IF(A674="","",G674+H674)</f>
        <v/>
      </c>
      <c r="L674" s="16" t="str">
        <f aca="false">IF(A674="","",IF(F674="İade edildi",0,K674-I674))</f>
        <v/>
      </c>
      <c r="M674" s="17" t="str">
        <f aca="true">IF(A674="","",IF(J674&lt;&gt;"",J674-A674,TODAY()-A674))</f>
        <v/>
      </c>
      <c r="N674" s="18" t="str">
        <f aca="false">IF(A674="","",IF(AND(OR(F674="Bekliyor",F674="Parça bekleniyor",F674="Hazır"),M674&gt;7),"7 günü geçti",""))</f>
        <v/>
      </c>
      <c r="O674" s="18" t="str">
        <f aca="false">IF(AND(A674&lt;&gt;"",OR(F674="Bekliyor",F674="Parça bekleniyor",F674="Hazır")),A674+ROW()/1000000,"")</f>
        <v/>
      </c>
    </row>
    <row r="675" customFormat="false" ht="15" hidden="false" customHeight="false" outlineLevel="0" collapsed="false">
      <c r="A675" s="12"/>
      <c r="B675" s="13"/>
      <c r="C675" s="13"/>
      <c r="D675" s="13"/>
      <c r="E675" s="13"/>
      <c r="F675" s="14"/>
      <c r="G675" s="15"/>
      <c r="H675" s="15"/>
      <c r="I675" s="15"/>
      <c r="J675" s="12"/>
      <c r="K675" s="16" t="str">
        <f aca="false">IF(A675="","",G675+H675)</f>
        <v/>
      </c>
      <c r="L675" s="16" t="str">
        <f aca="false">IF(A675="","",IF(F675="İade edildi",0,K675-I675))</f>
        <v/>
      </c>
      <c r="M675" s="17" t="str">
        <f aca="true">IF(A675="","",IF(J675&lt;&gt;"",J675-A675,TODAY()-A675))</f>
        <v/>
      </c>
      <c r="N675" s="18" t="str">
        <f aca="false">IF(A675="","",IF(AND(OR(F675="Bekliyor",F675="Parça bekleniyor",F675="Hazır"),M675&gt;7),"7 günü geçti",""))</f>
        <v/>
      </c>
      <c r="O675" s="18" t="str">
        <f aca="false">IF(AND(A675&lt;&gt;"",OR(F675="Bekliyor",F675="Parça bekleniyor",F675="Hazır")),A675+ROW()/1000000,"")</f>
        <v/>
      </c>
    </row>
    <row r="676" customFormat="false" ht="15" hidden="false" customHeight="false" outlineLevel="0" collapsed="false">
      <c r="A676" s="12"/>
      <c r="B676" s="13"/>
      <c r="C676" s="13"/>
      <c r="D676" s="13"/>
      <c r="E676" s="13"/>
      <c r="F676" s="14"/>
      <c r="G676" s="15"/>
      <c r="H676" s="15"/>
      <c r="I676" s="15"/>
      <c r="J676" s="12"/>
      <c r="K676" s="16" t="str">
        <f aca="false">IF(A676="","",G676+H676)</f>
        <v/>
      </c>
      <c r="L676" s="16" t="str">
        <f aca="false">IF(A676="","",IF(F676="İade edildi",0,K676-I676))</f>
        <v/>
      </c>
      <c r="M676" s="17" t="str">
        <f aca="true">IF(A676="","",IF(J676&lt;&gt;"",J676-A676,TODAY()-A676))</f>
        <v/>
      </c>
      <c r="N676" s="18" t="str">
        <f aca="false">IF(A676="","",IF(AND(OR(F676="Bekliyor",F676="Parça bekleniyor",F676="Hazır"),M676&gt;7),"7 günü geçti",""))</f>
        <v/>
      </c>
      <c r="O676" s="18" t="str">
        <f aca="false">IF(AND(A676&lt;&gt;"",OR(F676="Bekliyor",F676="Parça bekleniyor",F676="Hazır")),A676+ROW()/1000000,"")</f>
        <v/>
      </c>
    </row>
    <row r="677" customFormat="false" ht="15" hidden="false" customHeight="false" outlineLevel="0" collapsed="false">
      <c r="A677" s="12"/>
      <c r="B677" s="13"/>
      <c r="C677" s="13"/>
      <c r="D677" s="13"/>
      <c r="E677" s="13"/>
      <c r="F677" s="14"/>
      <c r="G677" s="15"/>
      <c r="H677" s="15"/>
      <c r="I677" s="15"/>
      <c r="J677" s="12"/>
      <c r="K677" s="16" t="str">
        <f aca="false">IF(A677="","",G677+H677)</f>
        <v/>
      </c>
      <c r="L677" s="16" t="str">
        <f aca="false">IF(A677="","",IF(F677="İade edildi",0,K677-I677))</f>
        <v/>
      </c>
      <c r="M677" s="17" t="str">
        <f aca="true">IF(A677="","",IF(J677&lt;&gt;"",J677-A677,TODAY()-A677))</f>
        <v/>
      </c>
      <c r="N677" s="18" t="str">
        <f aca="false">IF(A677="","",IF(AND(OR(F677="Bekliyor",F677="Parça bekleniyor",F677="Hazır"),M677&gt;7),"7 günü geçti",""))</f>
        <v/>
      </c>
      <c r="O677" s="18" t="str">
        <f aca="false">IF(AND(A677&lt;&gt;"",OR(F677="Bekliyor",F677="Parça bekleniyor",F677="Hazır")),A677+ROW()/1000000,"")</f>
        <v/>
      </c>
    </row>
    <row r="678" customFormat="false" ht="15" hidden="false" customHeight="false" outlineLevel="0" collapsed="false">
      <c r="A678" s="12"/>
      <c r="B678" s="13"/>
      <c r="C678" s="13"/>
      <c r="D678" s="13"/>
      <c r="E678" s="13"/>
      <c r="F678" s="14"/>
      <c r="G678" s="15"/>
      <c r="H678" s="15"/>
      <c r="I678" s="15"/>
      <c r="J678" s="12"/>
      <c r="K678" s="16" t="str">
        <f aca="false">IF(A678="","",G678+H678)</f>
        <v/>
      </c>
      <c r="L678" s="16" t="str">
        <f aca="false">IF(A678="","",IF(F678="İade edildi",0,K678-I678))</f>
        <v/>
      </c>
      <c r="M678" s="17" t="str">
        <f aca="true">IF(A678="","",IF(J678&lt;&gt;"",J678-A678,TODAY()-A678))</f>
        <v/>
      </c>
      <c r="N678" s="18" t="str">
        <f aca="false">IF(A678="","",IF(AND(OR(F678="Bekliyor",F678="Parça bekleniyor",F678="Hazır"),M678&gt;7),"7 günü geçti",""))</f>
        <v/>
      </c>
      <c r="O678" s="18" t="str">
        <f aca="false">IF(AND(A678&lt;&gt;"",OR(F678="Bekliyor",F678="Parça bekleniyor",F678="Hazır")),A678+ROW()/1000000,"")</f>
        <v/>
      </c>
    </row>
    <row r="679" customFormat="false" ht="15" hidden="false" customHeight="false" outlineLevel="0" collapsed="false">
      <c r="A679" s="12"/>
      <c r="B679" s="13"/>
      <c r="C679" s="13"/>
      <c r="D679" s="13"/>
      <c r="E679" s="13"/>
      <c r="F679" s="14"/>
      <c r="G679" s="15"/>
      <c r="H679" s="15"/>
      <c r="I679" s="15"/>
      <c r="J679" s="12"/>
      <c r="K679" s="16" t="str">
        <f aca="false">IF(A679="","",G679+H679)</f>
        <v/>
      </c>
      <c r="L679" s="16" t="str">
        <f aca="false">IF(A679="","",IF(F679="İade edildi",0,K679-I679))</f>
        <v/>
      </c>
      <c r="M679" s="17" t="str">
        <f aca="true">IF(A679="","",IF(J679&lt;&gt;"",J679-A679,TODAY()-A679))</f>
        <v/>
      </c>
      <c r="N679" s="18" t="str">
        <f aca="false">IF(A679="","",IF(AND(OR(F679="Bekliyor",F679="Parça bekleniyor",F679="Hazır"),M679&gt;7),"7 günü geçti",""))</f>
        <v/>
      </c>
      <c r="O679" s="18" t="str">
        <f aca="false">IF(AND(A679&lt;&gt;"",OR(F679="Bekliyor",F679="Parça bekleniyor",F679="Hazır")),A679+ROW()/1000000,"")</f>
        <v/>
      </c>
    </row>
    <row r="680" customFormat="false" ht="15" hidden="false" customHeight="false" outlineLevel="0" collapsed="false">
      <c r="A680" s="12"/>
      <c r="B680" s="13"/>
      <c r="C680" s="13"/>
      <c r="D680" s="13"/>
      <c r="E680" s="13"/>
      <c r="F680" s="14"/>
      <c r="G680" s="15"/>
      <c r="H680" s="15"/>
      <c r="I680" s="15"/>
      <c r="J680" s="12"/>
      <c r="K680" s="16" t="str">
        <f aca="false">IF(A680="","",G680+H680)</f>
        <v/>
      </c>
      <c r="L680" s="16" t="str">
        <f aca="false">IF(A680="","",IF(F680="İade edildi",0,K680-I680))</f>
        <v/>
      </c>
      <c r="M680" s="17" t="str">
        <f aca="true">IF(A680="","",IF(J680&lt;&gt;"",J680-A680,TODAY()-A680))</f>
        <v/>
      </c>
      <c r="N680" s="18" t="str">
        <f aca="false">IF(A680="","",IF(AND(OR(F680="Bekliyor",F680="Parça bekleniyor",F680="Hazır"),M680&gt;7),"7 günü geçti",""))</f>
        <v/>
      </c>
      <c r="O680" s="18" t="str">
        <f aca="false">IF(AND(A680&lt;&gt;"",OR(F680="Bekliyor",F680="Parça bekleniyor",F680="Hazır")),A680+ROW()/1000000,"")</f>
        <v/>
      </c>
    </row>
    <row r="681" customFormat="false" ht="15" hidden="false" customHeight="false" outlineLevel="0" collapsed="false">
      <c r="A681" s="12"/>
      <c r="B681" s="13"/>
      <c r="C681" s="13"/>
      <c r="D681" s="13"/>
      <c r="E681" s="13"/>
      <c r="F681" s="14"/>
      <c r="G681" s="15"/>
      <c r="H681" s="15"/>
      <c r="I681" s="15"/>
      <c r="J681" s="12"/>
      <c r="K681" s="16" t="str">
        <f aca="false">IF(A681="","",G681+H681)</f>
        <v/>
      </c>
      <c r="L681" s="16" t="str">
        <f aca="false">IF(A681="","",IF(F681="İade edildi",0,K681-I681))</f>
        <v/>
      </c>
      <c r="M681" s="17" t="str">
        <f aca="true">IF(A681="","",IF(J681&lt;&gt;"",J681-A681,TODAY()-A681))</f>
        <v/>
      </c>
      <c r="N681" s="18" t="str">
        <f aca="false">IF(A681="","",IF(AND(OR(F681="Bekliyor",F681="Parça bekleniyor",F681="Hazır"),M681&gt;7),"7 günü geçti",""))</f>
        <v/>
      </c>
      <c r="O681" s="18" t="str">
        <f aca="false">IF(AND(A681&lt;&gt;"",OR(F681="Bekliyor",F681="Parça bekleniyor",F681="Hazır")),A681+ROW()/1000000,"")</f>
        <v/>
      </c>
    </row>
    <row r="682" customFormat="false" ht="15" hidden="false" customHeight="false" outlineLevel="0" collapsed="false">
      <c r="A682" s="12"/>
      <c r="B682" s="13"/>
      <c r="C682" s="13"/>
      <c r="D682" s="13"/>
      <c r="E682" s="13"/>
      <c r="F682" s="14"/>
      <c r="G682" s="15"/>
      <c r="H682" s="15"/>
      <c r="I682" s="15"/>
      <c r="J682" s="12"/>
      <c r="K682" s="16" t="str">
        <f aca="false">IF(A682="","",G682+H682)</f>
        <v/>
      </c>
      <c r="L682" s="16" t="str">
        <f aca="false">IF(A682="","",IF(F682="İade edildi",0,K682-I682))</f>
        <v/>
      </c>
      <c r="M682" s="17" t="str">
        <f aca="true">IF(A682="","",IF(J682&lt;&gt;"",J682-A682,TODAY()-A682))</f>
        <v/>
      </c>
      <c r="N682" s="18" t="str">
        <f aca="false">IF(A682="","",IF(AND(OR(F682="Bekliyor",F682="Parça bekleniyor",F682="Hazır"),M682&gt;7),"7 günü geçti",""))</f>
        <v/>
      </c>
      <c r="O682" s="18" t="str">
        <f aca="false">IF(AND(A682&lt;&gt;"",OR(F682="Bekliyor",F682="Parça bekleniyor",F682="Hazır")),A682+ROW()/1000000,"")</f>
        <v/>
      </c>
    </row>
    <row r="683" customFormat="false" ht="15" hidden="false" customHeight="false" outlineLevel="0" collapsed="false">
      <c r="A683" s="12"/>
      <c r="B683" s="13"/>
      <c r="C683" s="13"/>
      <c r="D683" s="13"/>
      <c r="E683" s="13"/>
      <c r="F683" s="14"/>
      <c r="G683" s="15"/>
      <c r="H683" s="15"/>
      <c r="I683" s="15"/>
      <c r="J683" s="12"/>
      <c r="K683" s="16" t="str">
        <f aca="false">IF(A683="","",G683+H683)</f>
        <v/>
      </c>
      <c r="L683" s="16" t="str">
        <f aca="false">IF(A683="","",IF(F683="İade edildi",0,K683-I683))</f>
        <v/>
      </c>
      <c r="M683" s="17" t="str">
        <f aca="true">IF(A683="","",IF(J683&lt;&gt;"",J683-A683,TODAY()-A683))</f>
        <v/>
      </c>
      <c r="N683" s="18" t="str">
        <f aca="false">IF(A683="","",IF(AND(OR(F683="Bekliyor",F683="Parça bekleniyor",F683="Hazır"),M683&gt;7),"7 günü geçti",""))</f>
        <v/>
      </c>
      <c r="O683" s="18" t="str">
        <f aca="false">IF(AND(A683&lt;&gt;"",OR(F683="Bekliyor",F683="Parça bekleniyor",F683="Hazır")),A683+ROW()/1000000,"")</f>
        <v/>
      </c>
    </row>
    <row r="684" customFormat="false" ht="15" hidden="false" customHeight="false" outlineLevel="0" collapsed="false">
      <c r="A684" s="12"/>
      <c r="B684" s="13"/>
      <c r="C684" s="13"/>
      <c r="D684" s="13"/>
      <c r="E684" s="13"/>
      <c r="F684" s="14"/>
      <c r="G684" s="15"/>
      <c r="H684" s="15"/>
      <c r="I684" s="15"/>
      <c r="J684" s="12"/>
      <c r="K684" s="16" t="str">
        <f aca="false">IF(A684="","",G684+H684)</f>
        <v/>
      </c>
      <c r="L684" s="16" t="str">
        <f aca="false">IF(A684="","",IF(F684="İade edildi",0,K684-I684))</f>
        <v/>
      </c>
      <c r="M684" s="17" t="str">
        <f aca="true">IF(A684="","",IF(J684&lt;&gt;"",J684-A684,TODAY()-A684))</f>
        <v/>
      </c>
      <c r="N684" s="18" t="str">
        <f aca="false">IF(A684="","",IF(AND(OR(F684="Bekliyor",F684="Parça bekleniyor",F684="Hazır"),M684&gt;7),"7 günü geçti",""))</f>
        <v/>
      </c>
      <c r="O684" s="18" t="str">
        <f aca="false">IF(AND(A684&lt;&gt;"",OR(F684="Bekliyor",F684="Parça bekleniyor",F684="Hazır")),A684+ROW()/1000000,"")</f>
        <v/>
      </c>
    </row>
    <row r="685" customFormat="false" ht="15" hidden="false" customHeight="false" outlineLevel="0" collapsed="false">
      <c r="A685" s="12"/>
      <c r="B685" s="13"/>
      <c r="C685" s="13"/>
      <c r="D685" s="13"/>
      <c r="E685" s="13"/>
      <c r="F685" s="14"/>
      <c r="G685" s="15"/>
      <c r="H685" s="15"/>
      <c r="I685" s="15"/>
      <c r="J685" s="12"/>
      <c r="K685" s="16" t="str">
        <f aca="false">IF(A685="","",G685+H685)</f>
        <v/>
      </c>
      <c r="L685" s="16" t="str">
        <f aca="false">IF(A685="","",IF(F685="İade edildi",0,K685-I685))</f>
        <v/>
      </c>
      <c r="M685" s="17" t="str">
        <f aca="true">IF(A685="","",IF(J685&lt;&gt;"",J685-A685,TODAY()-A685))</f>
        <v/>
      </c>
      <c r="N685" s="18" t="str">
        <f aca="false">IF(A685="","",IF(AND(OR(F685="Bekliyor",F685="Parça bekleniyor",F685="Hazır"),M685&gt;7),"7 günü geçti",""))</f>
        <v/>
      </c>
      <c r="O685" s="18" t="str">
        <f aca="false">IF(AND(A685&lt;&gt;"",OR(F685="Bekliyor",F685="Parça bekleniyor",F685="Hazır")),A685+ROW()/1000000,"")</f>
        <v/>
      </c>
    </row>
    <row r="686" customFormat="false" ht="15" hidden="false" customHeight="false" outlineLevel="0" collapsed="false">
      <c r="A686" s="12"/>
      <c r="B686" s="13"/>
      <c r="C686" s="13"/>
      <c r="D686" s="13"/>
      <c r="E686" s="13"/>
      <c r="F686" s="14"/>
      <c r="G686" s="15"/>
      <c r="H686" s="15"/>
      <c r="I686" s="15"/>
      <c r="J686" s="12"/>
      <c r="K686" s="16" t="str">
        <f aca="false">IF(A686="","",G686+H686)</f>
        <v/>
      </c>
      <c r="L686" s="16" t="str">
        <f aca="false">IF(A686="","",IF(F686="İade edildi",0,K686-I686))</f>
        <v/>
      </c>
      <c r="M686" s="17" t="str">
        <f aca="true">IF(A686="","",IF(J686&lt;&gt;"",J686-A686,TODAY()-A686))</f>
        <v/>
      </c>
      <c r="N686" s="18" t="str">
        <f aca="false">IF(A686="","",IF(AND(OR(F686="Bekliyor",F686="Parça bekleniyor",F686="Hazır"),M686&gt;7),"7 günü geçti",""))</f>
        <v/>
      </c>
      <c r="O686" s="18" t="str">
        <f aca="false">IF(AND(A686&lt;&gt;"",OR(F686="Bekliyor",F686="Parça bekleniyor",F686="Hazır")),A686+ROW()/1000000,"")</f>
        <v/>
      </c>
    </row>
    <row r="687" customFormat="false" ht="15" hidden="false" customHeight="false" outlineLevel="0" collapsed="false">
      <c r="A687" s="12"/>
      <c r="B687" s="13"/>
      <c r="C687" s="13"/>
      <c r="D687" s="13"/>
      <c r="E687" s="13"/>
      <c r="F687" s="14"/>
      <c r="G687" s="15"/>
      <c r="H687" s="15"/>
      <c r="I687" s="15"/>
      <c r="J687" s="12"/>
      <c r="K687" s="16" t="str">
        <f aca="false">IF(A687="","",G687+H687)</f>
        <v/>
      </c>
      <c r="L687" s="16" t="str">
        <f aca="false">IF(A687="","",IF(F687="İade edildi",0,K687-I687))</f>
        <v/>
      </c>
      <c r="M687" s="17" t="str">
        <f aca="true">IF(A687="","",IF(J687&lt;&gt;"",J687-A687,TODAY()-A687))</f>
        <v/>
      </c>
      <c r="N687" s="18" t="str">
        <f aca="false">IF(A687="","",IF(AND(OR(F687="Bekliyor",F687="Parça bekleniyor",F687="Hazır"),M687&gt;7),"7 günü geçti",""))</f>
        <v/>
      </c>
      <c r="O687" s="18" t="str">
        <f aca="false">IF(AND(A687&lt;&gt;"",OR(F687="Bekliyor",F687="Parça bekleniyor",F687="Hazır")),A687+ROW()/1000000,"")</f>
        <v/>
      </c>
    </row>
    <row r="688" customFormat="false" ht="15" hidden="false" customHeight="false" outlineLevel="0" collapsed="false">
      <c r="A688" s="12"/>
      <c r="B688" s="13"/>
      <c r="C688" s="13"/>
      <c r="D688" s="13"/>
      <c r="E688" s="13"/>
      <c r="F688" s="14"/>
      <c r="G688" s="15"/>
      <c r="H688" s="15"/>
      <c r="I688" s="15"/>
      <c r="J688" s="12"/>
      <c r="K688" s="16" t="str">
        <f aca="false">IF(A688="","",G688+H688)</f>
        <v/>
      </c>
      <c r="L688" s="16" t="str">
        <f aca="false">IF(A688="","",IF(F688="İade edildi",0,K688-I688))</f>
        <v/>
      </c>
      <c r="M688" s="17" t="str">
        <f aca="true">IF(A688="","",IF(J688&lt;&gt;"",J688-A688,TODAY()-A688))</f>
        <v/>
      </c>
      <c r="N688" s="18" t="str">
        <f aca="false">IF(A688="","",IF(AND(OR(F688="Bekliyor",F688="Parça bekleniyor",F688="Hazır"),M688&gt;7),"7 günü geçti",""))</f>
        <v/>
      </c>
      <c r="O688" s="18" t="str">
        <f aca="false">IF(AND(A688&lt;&gt;"",OR(F688="Bekliyor",F688="Parça bekleniyor",F688="Hazır")),A688+ROW()/1000000,"")</f>
        <v/>
      </c>
    </row>
    <row r="689" customFormat="false" ht="15" hidden="false" customHeight="false" outlineLevel="0" collapsed="false">
      <c r="A689" s="12"/>
      <c r="B689" s="13"/>
      <c r="C689" s="13"/>
      <c r="D689" s="13"/>
      <c r="E689" s="13"/>
      <c r="F689" s="14"/>
      <c r="G689" s="15"/>
      <c r="H689" s="15"/>
      <c r="I689" s="15"/>
      <c r="J689" s="12"/>
      <c r="K689" s="16" t="str">
        <f aca="false">IF(A689="","",G689+H689)</f>
        <v/>
      </c>
      <c r="L689" s="16" t="str">
        <f aca="false">IF(A689="","",IF(F689="İade edildi",0,K689-I689))</f>
        <v/>
      </c>
      <c r="M689" s="17" t="str">
        <f aca="true">IF(A689="","",IF(J689&lt;&gt;"",J689-A689,TODAY()-A689))</f>
        <v/>
      </c>
      <c r="N689" s="18" t="str">
        <f aca="false">IF(A689="","",IF(AND(OR(F689="Bekliyor",F689="Parça bekleniyor",F689="Hazır"),M689&gt;7),"7 günü geçti",""))</f>
        <v/>
      </c>
      <c r="O689" s="18" t="str">
        <f aca="false">IF(AND(A689&lt;&gt;"",OR(F689="Bekliyor",F689="Parça bekleniyor",F689="Hazır")),A689+ROW()/1000000,"")</f>
        <v/>
      </c>
    </row>
    <row r="690" customFormat="false" ht="15" hidden="false" customHeight="false" outlineLevel="0" collapsed="false">
      <c r="A690" s="12"/>
      <c r="B690" s="13"/>
      <c r="C690" s="13"/>
      <c r="D690" s="13"/>
      <c r="E690" s="13"/>
      <c r="F690" s="14"/>
      <c r="G690" s="15"/>
      <c r="H690" s="15"/>
      <c r="I690" s="15"/>
      <c r="J690" s="12"/>
      <c r="K690" s="16" t="str">
        <f aca="false">IF(A690="","",G690+H690)</f>
        <v/>
      </c>
      <c r="L690" s="16" t="str">
        <f aca="false">IF(A690="","",IF(F690="İade edildi",0,K690-I690))</f>
        <v/>
      </c>
      <c r="M690" s="17" t="str">
        <f aca="true">IF(A690="","",IF(J690&lt;&gt;"",J690-A690,TODAY()-A690))</f>
        <v/>
      </c>
      <c r="N690" s="18" t="str">
        <f aca="false">IF(A690="","",IF(AND(OR(F690="Bekliyor",F690="Parça bekleniyor",F690="Hazır"),M690&gt;7),"7 günü geçti",""))</f>
        <v/>
      </c>
      <c r="O690" s="18" t="str">
        <f aca="false">IF(AND(A690&lt;&gt;"",OR(F690="Bekliyor",F690="Parça bekleniyor",F690="Hazır")),A690+ROW()/1000000,"")</f>
        <v/>
      </c>
    </row>
    <row r="691" customFormat="false" ht="15" hidden="false" customHeight="false" outlineLevel="0" collapsed="false">
      <c r="A691" s="12"/>
      <c r="B691" s="13"/>
      <c r="C691" s="13"/>
      <c r="D691" s="13"/>
      <c r="E691" s="13"/>
      <c r="F691" s="14"/>
      <c r="G691" s="15"/>
      <c r="H691" s="15"/>
      <c r="I691" s="15"/>
      <c r="J691" s="12"/>
      <c r="K691" s="16" t="str">
        <f aca="false">IF(A691="","",G691+H691)</f>
        <v/>
      </c>
      <c r="L691" s="16" t="str">
        <f aca="false">IF(A691="","",IF(F691="İade edildi",0,K691-I691))</f>
        <v/>
      </c>
      <c r="M691" s="17" t="str">
        <f aca="true">IF(A691="","",IF(J691&lt;&gt;"",J691-A691,TODAY()-A691))</f>
        <v/>
      </c>
      <c r="N691" s="18" t="str">
        <f aca="false">IF(A691="","",IF(AND(OR(F691="Bekliyor",F691="Parça bekleniyor",F691="Hazır"),M691&gt;7),"7 günü geçti",""))</f>
        <v/>
      </c>
      <c r="O691" s="18" t="str">
        <f aca="false">IF(AND(A691&lt;&gt;"",OR(F691="Bekliyor",F691="Parça bekleniyor",F691="Hazır")),A691+ROW()/1000000,"")</f>
        <v/>
      </c>
    </row>
    <row r="692" customFormat="false" ht="15" hidden="false" customHeight="false" outlineLevel="0" collapsed="false">
      <c r="A692" s="12"/>
      <c r="B692" s="13"/>
      <c r="C692" s="13"/>
      <c r="D692" s="13"/>
      <c r="E692" s="13"/>
      <c r="F692" s="14"/>
      <c r="G692" s="15"/>
      <c r="H692" s="15"/>
      <c r="I692" s="15"/>
      <c r="J692" s="12"/>
      <c r="K692" s="16" t="str">
        <f aca="false">IF(A692="","",G692+H692)</f>
        <v/>
      </c>
      <c r="L692" s="16" t="str">
        <f aca="false">IF(A692="","",IF(F692="İade edildi",0,K692-I692))</f>
        <v/>
      </c>
      <c r="M692" s="17" t="str">
        <f aca="true">IF(A692="","",IF(J692&lt;&gt;"",J692-A692,TODAY()-A692))</f>
        <v/>
      </c>
      <c r="N692" s="18" t="str">
        <f aca="false">IF(A692="","",IF(AND(OR(F692="Bekliyor",F692="Parça bekleniyor",F692="Hazır"),M692&gt;7),"7 günü geçti",""))</f>
        <v/>
      </c>
      <c r="O692" s="18" t="str">
        <f aca="false">IF(AND(A692&lt;&gt;"",OR(F692="Bekliyor",F692="Parça bekleniyor",F692="Hazır")),A692+ROW()/1000000,"")</f>
        <v/>
      </c>
    </row>
    <row r="693" customFormat="false" ht="15" hidden="false" customHeight="false" outlineLevel="0" collapsed="false">
      <c r="A693" s="12"/>
      <c r="B693" s="13"/>
      <c r="C693" s="13"/>
      <c r="D693" s="13"/>
      <c r="E693" s="13"/>
      <c r="F693" s="14"/>
      <c r="G693" s="15"/>
      <c r="H693" s="15"/>
      <c r="I693" s="15"/>
      <c r="J693" s="12"/>
      <c r="K693" s="16" t="str">
        <f aca="false">IF(A693="","",G693+H693)</f>
        <v/>
      </c>
      <c r="L693" s="16" t="str">
        <f aca="false">IF(A693="","",IF(F693="İade edildi",0,K693-I693))</f>
        <v/>
      </c>
      <c r="M693" s="17" t="str">
        <f aca="true">IF(A693="","",IF(J693&lt;&gt;"",J693-A693,TODAY()-A693))</f>
        <v/>
      </c>
      <c r="N693" s="18" t="str">
        <f aca="false">IF(A693="","",IF(AND(OR(F693="Bekliyor",F693="Parça bekleniyor",F693="Hazır"),M693&gt;7),"7 günü geçti",""))</f>
        <v/>
      </c>
      <c r="O693" s="18" t="str">
        <f aca="false">IF(AND(A693&lt;&gt;"",OR(F693="Bekliyor",F693="Parça bekleniyor",F693="Hazır")),A693+ROW()/1000000,"")</f>
        <v/>
      </c>
    </row>
    <row r="694" customFormat="false" ht="15" hidden="false" customHeight="false" outlineLevel="0" collapsed="false">
      <c r="A694" s="12"/>
      <c r="B694" s="13"/>
      <c r="C694" s="13"/>
      <c r="D694" s="13"/>
      <c r="E694" s="13"/>
      <c r="F694" s="14"/>
      <c r="G694" s="15"/>
      <c r="H694" s="15"/>
      <c r="I694" s="15"/>
      <c r="J694" s="12"/>
      <c r="K694" s="16" t="str">
        <f aca="false">IF(A694="","",G694+H694)</f>
        <v/>
      </c>
      <c r="L694" s="16" t="str">
        <f aca="false">IF(A694="","",IF(F694="İade edildi",0,K694-I694))</f>
        <v/>
      </c>
      <c r="M694" s="17" t="str">
        <f aca="true">IF(A694="","",IF(J694&lt;&gt;"",J694-A694,TODAY()-A694))</f>
        <v/>
      </c>
      <c r="N694" s="18" t="str">
        <f aca="false">IF(A694="","",IF(AND(OR(F694="Bekliyor",F694="Parça bekleniyor",F694="Hazır"),M694&gt;7),"7 günü geçti",""))</f>
        <v/>
      </c>
      <c r="O694" s="18" t="str">
        <f aca="false">IF(AND(A694&lt;&gt;"",OR(F694="Bekliyor",F694="Parça bekleniyor",F694="Hazır")),A694+ROW()/1000000,"")</f>
        <v/>
      </c>
    </row>
    <row r="695" customFormat="false" ht="15" hidden="false" customHeight="false" outlineLevel="0" collapsed="false">
      <c r="A695" s="12"/>
      <c r="B695" s="13"/>
      <c r="C695" s="13"/>
      <c r="D695" s="13"/>
      <c r="E695" s="13"/>
      <c r="F695" s="14"/>
      <c r="G695" s="15"/>
      <c r="H695" s="15"/>
      <c r="I695" s="15"/>
      <c r="J695" s="12"/>
      <c r="K695" s="16" t="str">
        <f aca="false">IF(A695="","",G695+H695)</f>
        <v/>
      </c>
      <c r="L695" s="16" t="str">
        <f aca="false">IF(A695="","",IF(F695="İade edildi",0,K695-I695))</f>
        <v/>
      </c>
      <c r="M695" s="17" t="str">
        <f aca="true">IF(A695="","",IF(J695&lt;&gt;"",J695-A695,TODAY()-A695))</f>
        <v/>
      </c>
      <c r="N695" s="18" t="str">
        <f aca="false">IF(A695="","",IF(AND(OR(F695="Bekliyor",F695="Parça bekleniyor",F695="Hazır"),M695&gt;7),"7 günü geçti",""))</f>
        <v/>
      </c>
      <c r="O695" s="18" t="str">
        <f aca="false">IF(AND(A695&lt;&gt;"",OR(F695="Bekliyor",F695="Parça bekleniyor",F695="Hazır")),A695+ROW()/1000000,"")</f>
        <v/>
      </c>
    </row>
    <row r="696" customFormat="false" ht="15" hidden="false" customHeight="false" outlineLevel="0" collapsed="false">
      <c r="A696" s="12"/>
      <c r="B696" s="13"/>
      <c r="C696" s="13"/>
      <c r="D696" s="13"/>
      <c r="E696" s="13"/>
      <c r="F696" s="14"/>
      <c r="G696" s="15"/>
      <c r="H696" s="15"/>
      <c r="I696" s="15"/>
      <c r="J696" s="12"/>
      <c r="K696" s="16" t="str">
        <f aca="false">IF(A696="","",G696+H696)</f>
        <v/>
      </c>
      <c r="L696" s="16" t="str">
        <f aca="false">IF(A696="","",IF(F696="İade edildi",0,K696-I696))</f>
        <v/>
      </c>
      <c r="M696" s="17" t="str">
        <f aca="true">IF(A696="","",IF(J696&lt;&gt;"",J696-A696,TODAY()-A696))</f>
        <v/>
      </c>
      <c r="N696" s="18" t="str">
        <f aca="false">IF(A696="","",IF(AND(OR(F696="Bekliyor",F696="Parça bekleniyor",F696="Hazır"),M696&gt;7),"7 günü geçti",""))</f>
        <v/>
      </c>
      <c r="O696" s="18" t="str">
        <f aca="false">IF(AND(A696&lt;&gt;"",OR(F696="Bekliyor",F696="Parça bekleniyor",F696="Hazır")),A696+ROW()/1000000,"")</f>
        <v/>
      </c>
    </row>
    <row r="697" customFormat="false" ht="15" hidden="false" customHeight="false" outlineLevel="0" collapsed="false">
      <c r="A697" s="12"/>
      <c r="B697" s="13"/>
      <c r="C697" s="13"/>
      <c r="D697" s="13"/>
      <c r="E697" s="13"/>
      <c r="F697" s="14"/>
      <c r="G697" s="15"/>
      <c r="H697" s="15"/>
      <c r="I697" s="15"/>
      <c r="J697" s="12"/>
      <c r="K697" s="16" t="str">
        <f aca="false">IF(A697="","",G697+H697)</f>
        <v/>
      </c>
      <c r="L697" s="16" t="str">
        <f aca="false">IF(A697="","",IF(F697="İade edildi",0,K697-I697))</f>
        <v/>
      </c>
      <c r="M697" s="17" t="str">
        <f aca="true">IF(A697="","",IF(J697&lt;&gt;"",J697-A697,TODAY()-A697))</f>
        <v/>
      </c>
      <c r="N697" s="18" t="str">
        <f aca="false">IF(A697="","",IF(AND(OR(F697="Bekliyor",F697="Parça bekleniyor",F697="Hazır"),M697&gt;7),"7 günü geçti",""))</f>
        <v/>
      </c>
      <c r="O697" s="18" t="str">
        <f aca="false">IF(AND(A697&lt;&gt;"",OR(F697="Bekliyor",F697="Parça bekleniyor",F697="Hazır")),A697+ROW()/1000000,"")</f>
        <v/>
      </c>
    </row>
    <row r="698" customFormat="false" ht="15" hidden="false" customHeight="false" outlineLevel="0" collapsed="false">
      <c r="A698" s="12"/>
      <c r="B698" s="13"/>
      <c r="C698" s="13"/>
      <c r="D698" s="13"/>
      <c r="E698" s="13"/>
      <c r="F698" s="14"/>
      <c r="G698" s="15"/>
      <c r="H698" s="15"/>
      <c r="I698" s="15"/>
      <c r="J698" s="12"/>
      <c r="K698" s="16" t="str">
        <f aca="false">IF(A698="","",G698+H698)</f>
        <v/>
      </c>
      <c r="L698" s="16" t="str">
        <f aca="false">IF(A698="","",IF(F698="İade edildi",0,K698-I698))</f>
        <v/>
      </c>
      <c r="M698" s="17" t="str">
        <f aca="true">IF(A698="","",IF(J698&lt;&gt;"",J698-A698,TODAY()-A698))</f>
        <v/>
      </c>
      <c r="N698" s="18" t="str">
        <f aca="false">IF(A698="","",IF(AND(OR(F698="Bekliyor",F698="Parça bekleniyor",F698="Hazır"),M698&gt;7),"7 günü geçti",""))</f>
        <v/>
      </c>
      <c r="O698" s="18" t="str">
        <f aca="false">IF(AND(A698&lt;&gt;"",OR(F698="Bekliyor",F698="Parça bekleniyor",F698="Hazır")),A698+ROW()/1000000,"")</f>
        <v/>
      </c>
    </row>
    <row r="699" customFormat="false" ht="15" hidden="false" customHeight="false" outlineLevel="0" collapsed="false">
      <c r="A699" s="12"/>
      <c r="B699" s="13"/>
      <c r="C699" s="13"/>
      <c r="D699" s="13"/>
      <c r="E699" s="13"/>
      <c r="F699" s="14"/>
      <c r="G699" s="15"/>
      <c r="H699" s="15"/>
      <c r="I699" s="15"/>
      <c r="J699" s="12"/>
      <c r="K699" s="16" t="str">
        <f aca="false">IF(A699="","",G699+H699)</f>
        <v/>
      </c>
      <c r="L699" s="16" t="str">
        <f aca="false">IF(A699="","",IF(F699="İade edildi",0,K699-I699))</f>
        <v/>
      </c>
      <c r="M699" s="17" t="str">
        <f aca="true">IF(A699="","",IF(J699&lt;&gt;"",J699-A699,TODAY()-A699))</f>
        <v/>
      </c>
      <c r="N699" s="18" t="str">
        <f aca="false">IF(A699="","",IF(AND(OR(F699="Bekliyor",F699="Parça bekleniyor",F699="Hazır"),M699&gt;7),"7 günü geçti",""))</f>
        <v/>
      </c>
      <c r="O699" s="18" t="str">
        <f aca="false">IF(AND(A699&lt;&gt;"",OR(F699="Bekliyor",F699="Parça bekleniyor",F699="Hazır")),A699+ROW()/1000000,"")</f>
        <v/>
      </c>
    </row>
    <row r="700" customFormat="false" ht="15" hidden="false" customHeight="false" outlineLevel="0" collapsed="false">
      <c r="A700" s="12"/>
      <c r="B700" s="13"/>
      <c r="C700" s="13"/>
      <c r="D700" s="13"/>
      <c r="E700" s="13"/>
      <c r="F700" s="14"/>
      <c r="G700" s="15"/>
      <c r="H700" s="15"/>
      <c r="I700" s="15"/>
      <c r="J700" s="12"/>
      <c r="K700" s="16" t="str">
        <f aca="false">IF(A700="","",G700+H700)</f>
        <v/>
      </c>
      <c r="L700" s="16" t="str">
        <f aca="false">IF(A700="","",IF(F700="İade edildi",0,K700-I700))</f>
        <v/>
      </c>
      <c r="M700" s="17" t="str">
        <f aca="true">IF(A700="","",IF(J700&lt;&gt;"",J700-A700,TODAY()-A700))</f>
        <v/>
      </c>
      <c r="N700" s="18" t="str">
        <f aca="false">IF(A700="","",IF(AND(OR(F700="Bekliyor",F700="Parça bekleniyor",F700="Hazır"),M700&gt;7),"7 günü geçti",""))</f>
        <v/>
      </c>
      <c r="O700" s="18" t="str">
        <f aca="false">IF(AND(A700&lt;&gt;"",OR(F700="Bekliyor",F700="Parça bekleniyor",F700="Hazır")),A700+ROW()/1000000,"")</f>
        <v/>
      </c>
    </row>
    <row r="701" customFormat="false" ht="15" hidden="false" customHeight="false" outlineLevel="0" collapsed="false">
      <c r="A701" s="12"/>
      <c r="B701" s="13"/>
      <c r="C701" s="13"/>
      <c r="D701" s="13"/>
      <c r="E701" s="13"/>
      <c r="F701" s="14"/>
      <c r="G701" s="15"/>
      <c r="H701" s="15"/>
      <c r="I701" s="15"/>
      <c r="J701" s="12"/>
      <c r="K701" s="16" t="str">
        <f aca="false">IF(A701="","",G701+H701)</f>
        <v/>
      </c>
      <c r="L701" s="16" t="str">
        <f aca="false">IF(A701="","",IF(F701="İade edildi",0,K701-I701))</f>
        <v/>
      </c>
      <c r="M701" s="17" t="str">
        <f aca="true">IF(A701="","",IF(J701&lt;&gt;"",J701-A701,TODAY()-A701))</f>
        <v/>
      </c>
      <c r="N701" s="18" t="str">
        <f aca="false">IF(A701="","",IF(AND(OR(F701="Bekliyor",F701="Parça bekleniyor",F701="Hazır"),M701&gt;7),"7 günü geçti",""))</f>
        <v/>
      </c>
      <c r="O701" s="18" t="str">
        <f aca="false">IF(AND(A701&lt;&gt;"",OR(F701="Bekliyor",F701="Parça bekleniyor",F701="Hazır")),A701+ROW()/1000000,"")</f>
        <v/>
      </c>
    </row>
    <row r="702" customFormat="false" ht="15" hidden="false" customHeight="false" outlineLevel="0" collapsed="false">
      <c r="A702" s="12"/>
      <c r="B702" s="13"/>
      <c r="C702" s="13"/>
      <c r="D702" s="13"/>
      <c r="E702" s="13"/>
      <c r="F702" s="14"/>
      <c r="G702" s="15"/>
      <c r="H702" s="15"/>
      <c r="I702" s="15"/>
      <c r="J702" s="12"/>
      <c r="K702" s="16" t="str">
        <f aca="false">IF(A702="","",G702+H702)</f>
        <v/>
      </c>
      <c r="L702" s="16" t="str">
        <f aca="false">IF(A702="","",IF(F702="İade edildi",0,K702-I702))</f>
        <v/>
      </c>
      <c r="M702" s="17" t="str">
        <f aca="true">IF(A702="","",IF(J702&lt;&gt;"",J702-A702,TODAY()-A702))</f>
        <v/>
      </c>
      <c r="N702" s="18" t="str">
        <f aca="false">IF(A702="","",IF(AND(OR(F702="Bekliyor",F702="Parça bekleniyor",F702="Hazır"),M702&gt;7),"7 günü geçti",""))</f>
        <v/>
      </c>
      <c r="O702" s="18" t="str">
        <f aca="false">IF(AND(A702&lt;&gt;"",OR(F702="Bekliyor",F702="Parça bekleniyor",F702="Hazır")),A702+ROW()/1000000,"")</f>
        <v/>
      </c>
    </row>
    <row r="703" customFormat="false" ht="15" hidden="false" customHeight="false" outlineLevel="0" collapsed="false">
      <c r="A703" s="12"/>
      <c r="B703" s="13"/>
      <c r="C703" s="13"/>
      <c r="D703" s="13"/>
      <c r="E703" s="13"/>
      <c r="F703" s="14"/>
      <c r="G703" s="15"/>
      <c r="H703" s="15"/>
      <c r="I703" s="15"/>
      <c r="J703" s="12"/>
      <c r="K703" s="16" t="str">
        <f aca="false">IF(A703="","",G703+H703)</f>
        <v/>
      </c>
      <c r="L703" s="16" t="str">
        <f aca="false">IF(A703="","",IF(F703="İade edildi",0,K703-I703))</f>
        <v/>
      </c>
      <c r="M703" s="17" t="str">
        <f aca="true">IF(A703="","",IF(J703&lt;&gt;"",J703-A703,TODAY()-A703))</f>
        <v/>
      </c>
      <c r="N703" s="18" t="str">
        <f aca="false">IF(A703="","",IF(AND(OR(F703="Bekliyor",F703="Parça bekleniyor",F703="Hazır"),M703&gt;7),"7 günü geçti",""))</f>
        <v/>
      </c>
      <c r="O703" s="18" t="str">
        <f aca="false">IF(AND(A703&lt;&gt;"",OR(F703="Bekliyor",F703="Parça bekleniyor",F703="Hazır")),A703+ROW()/1000000,"")</f>
        <v/>
      </c>
    </row>
    <row r="704" customFormat="false" ht="15" hidden="false" customHeight="false" outlineLevel="0" collapsed="false">
      <c r="A704" s="12"/>
      <c r="B704" s="13"/>
      <c r="C704" s="13"/>
      <c r="D704" s="13"/>
      <c r="E704" s="13"/>
      <c r="F704" s="14"/>
      <c r="G704" s="15"/>
      <c r="H704" s="15"/>
      <c r="I704" s="15"/>
      <c r="J704" s="12"/>
      <c r="K704" s="16" t="str">
        <f aca="false">IF(A704="","",G704+H704)</f>
        <v/>
      </c>
      <c r="L704" s="16" t="str">
        <f aca="false">IF(A704="","",IF(F704="İade edildi",0,K704-I704))</f>
        <v/>
      </c>
      <c r="M704" s="17" t="str">
        <f aca="true">IF(A704="","",IF(J704&lt;&gt;"",J704-A704,TODAY()-A704))</f>
        <v/>
      </c>
      <c r="N704" s="18" t="str">
        <f aca="false">IF(A704="","",IF(AND(OR(F704="Bekliyor",F704="Parça bekleniyor",F704="Hazır"),M704&gt;7),"7 günü geçti",""))</f>
        <v/>
      </c>
      <c r="O704" s="18" t="str">
        <f aca="false">IF(AND(A704&lt;&gt;"",OR(F704="Bekliyor",F704="Parça bekleniyor",F704="Hazır")),A704+ROW()/1000000,"")</f>
        <v/>
      </c>
    </row>
    <row r="705" customFormat="false" ht="15" hidden="false" customHeight="false" outlineLevel="0" collapsed="false">
      <c r="A705" s="12"/>
      <c r="B705" s="13"/>
      <c r="C705" s="13"/>
      <c r="D705" s="13"/>
      <c r="E705" s="13"/>
      <c r="F705" s="14"/>
      <c r="G705" s="15"/>
      <c r="H705" s="15"/>
      <c r="I705" s="15"/>
      <c r="J705" s="12"/>
      <c r="K705" s="16" t="str">
        <f aca="false">IF(A705="","",G705+H705)</f>
        <v/>
      </c>
      <c r="L705" s="16" t="str">
        <f aca="false">IF(A705="","",IF(F705="İade edildi",0,K705-I705))</f>
        <v/>
      </c>
      <c r="M705" s="17" t="str">
        <f aca="true">IF(A705="","",IF(J705&lt;&gt;"",J705-A705,TODAY()-A705))</f>
        <v/>
      </c>
      <c r="N705" s="18" t="str">
        <f aca="false">IF(A705="","",IF(AND(OR(F705="Bekliyor",F705="Parça bekleniyor",F705="Hazır"),M705&gt;7),"7 günü geçti",""))</f>
        <v/>
      </c>
      <c r="O705" s="18" t="str">
        <f aca="false">IF(AND(A705&lt;&gt;"",OR(F705="Bekliyor",F705="Parça bekleniyor",F705="Hazır")),A705+ROW()/1000000,"")</f>
        <v/>
      </c>
    </row>
    <row r="706" customFormat="false" ht="15" hidden="false" customHeight="false" outlineLevel="0" collapsed="false">
      <c r="A706" s="12"/>
      <c r="B706" s="13"/>
      <c r="C706" s="13"/>
      <c r="D706" s="13"/>
      <c r="E706" s="13"/>
      <c r="F706" s="14"/>
      <c r="G706" s="15"/>
      <c r="H706" s="15"/>
      <c r="I706" s="15"/>
      <c r="J706" s="12"/>
      <c r="K706" s="16" t="str">
        <f aca="false">IF(A706="","",G706+H706)</f>
        <v/>
      </c>
      <c r="L706" s="16" t="str">
        <f aca="false">IF(A706="","",IF(F706="İade edildi",0,K706-I706))</f>
        <v/>
      </c>
      <c r="M706" s="17" t="str">
        <f aca="true">IF(A706="","",IF(J706&lt;&gt;"",J706-A706,TODAY()-A706))</f>
        <v/>
      </c>
      <c r="N706" s="18" t="str">
        <f aca="false">IF(A706="","",IF(AND(OR(F706="Bekliyor",F706="Parça bekleniyor",F706="Hazır"),M706&gt;7),"7 günü geçti",""))</f>
        <v/>
      </c>
      <c r="O706" s="18" t="str">
        <f aca="false">IF(AND(A706&lt;&gt;"",OR(F706="Bekliyor",F706="Parça bekleniyor",F706="Hazır")),A706+ROW()/1000000,"")</f>
        <v/>
      </c>
    </row>
    <row r="707" customFormat="false" ht="15" hidden="false" customHeight="false" outlineLevel="0" collapsed="false">
      <c r="A707" s="12"/>
      <c r="B707" s="13"/>
      <c r="C707" s="13"/>
      <c r="D707" s="13"/>
      <c r="E707" s="13"/>
      <c r="F707" s="14"/>
      <c r="G707" s="15"/>
      <c r="H707" s="15"/>
      <c r="I707" s="15"/>
      <c r="J707" s="12"/>
      <c r="K707" s="16" t="str">
        <f aca="false">IF(A707="","",G707+H707)</f>
        <v/>
      </c>
      <c r="L707" s="16" t="str">
        <f aca="false">IF(A707="","",IF(F707="İade edildi",0,K707-I707))</f>
        <v/>
      </c>
      <c r="M707" s="17" t="str">
        <f aca="true">IF(A707="","",IF(J707&lt;&gt;"",J707-A707,TODAY()-A707))</f>
        <v/>
      </c>
      <c r="N707" s="18" t="str">
        <f aca="false">IF(A707="","",IF(AND(OR(F707="Bekliyor",F707="Parça bekleniyor",F707="Hazır"),M707&gt;7),"7 günü geçti",""))</f>
        <v/>
      </c>
      <c r="O707" s="18" t="str">
        <f aca="false">IF(AND(A707&lt;&gt;"",OR(F707="Bekliyor",F707="Parça bekleniyor",F707="Hazır")),A707+ROW()/1000000,"")</f>
        <v/>
      </c>
    </row>
    <row r="708" customFormat="false" ht="15" hidden="false" customHeight="false" outlineLevel="0" collapsed="false">
      <c r="A708" s="12"/>
      <c r="B708" s="13"/>
      <c r="C708" s="13"/>
      <c r="D708" s="13"/>
      <c r="E708" s="13"/>
      <c r="F708" s="14"/>
      <c r="G708" s="15"/>
      <c r="H708" s="15"/>
      <c r="I708" s="15"/>
      <c r="J708" s="12"/>
      <c r="K708" s="16" t="str">
        <f aca="false">IF(A708="","",G708+H708)</f>
        <v/>
      </c>
      <c r="L708" s="16" t="str">
        <f aca="false">IF(A708="","",IF(F708="İade edildi",0,K708-I708))</f>
        <v/>
      </c>
      <c r="M708" s="17" t="str">
        <f aca="true">IF(A708="","",IF(J708&lt;&gt;"",J708-A708,TODAY()-A708))</f>
        <v/>
      </c>
      <c r="N708" s="18" t="str">
        <f aca="false">IF(A708="","",IF(AND(OR(F708="Bekliyor",F708="Parça bekleniyor",F708="Hazır"),M708&gt;7),"7 günü geçti",""))</f>
        <v/>
      </c>
      <c r="O708" s="18" t="str">
        <f aca="false">IF(AND(A708&lt;&gt;"",OR(F708="Bekliyor",F708="Parça bekleniyor",F708="Hazır")),A708+ROW()/1000000,"")</f>
        <v/>
      </c>
    </row>
    <row r="709" customFormat="false" ht="15" hidden="false" customHeight="false" outlineLevel="0" collapsed="false">
      <c r="A709" s="12"/>
      <c r="B709" s="13"/>
      <c r="C709" s="13"/>
      <c r="D709" s="13"/>
      <c r="E709" s="13"/>
      <c r="F709" s="14"/>
      <c r="G709" s="15"/>
      <c r="H709" s="15"/>
      <c r="I709" s="15"/>
      <c r="J709" s="12"/>
      <c r="K709" s="16" t="str">
        <f aca="false">IF(A709="","",G709+H709)</f>
        <v/>
      </c>
      <c r="L709" s="16" t="str">
        <f aca="false">IF(A709="","",IF(F709="İade edildi",0,K709-I709))</f>
        <v/>
      </c>
      <c r="M709" s="17" t="str">
        <f aca="true">IF(A709="","",IF(J709&lt;&gt;"",J709-A709,TODAY()-A709))</f>
        <v/>
      </c>
      <c r="N709" s="18" t="str">
        <f aca="false">IF(A709="","",IF(AND(OR(F709="Bekliyor",F709="Parça bekleniyor",F709="Hazır"),M709&gt;7),"7 günü geçti",""))</f>
        <v/>
      </c>
      <c r="O709" s="18" t="str">
        <f aca="false">IF(AND(A709&lt;&gt;"",OR(F709="Bekliyor",F709="Parça bekleniyor",F709="Hazır")),A709+ROW()/1000000,"")</f>
        <v/>
      </c>
    </row>
    <row r="710" customFormat="false" ht="15" hidden="false" customHeight="false" outlineLevel="0" collapsed="false">
      <c r="A710" s="12"/>
      <c r="B710" s="13"/>
      <c r="C710" s="13"/>
      <c r="D710" s="13"/>
      <c r="E710" s="13"/>
      <c r="F710" s="14"/>
      <c r="G710" s="15"/>
      <c r="H710" s="15"/>
      <c r="I710" s="15"/>
      <c r="J710" s="12"/>
      <c r="K710" s="16" t="str">
        <f aca="false">IF(A710="","",G710+H710)</f>
        <v/>
      </c>
      <c r="L710" s="16" t="str">
        <f aca="false">IF(A710="","",IF(F710="İade edildi",0,K710-I710))</f>
        <v/>
      </c>
      <c r="M710" s="17" t="str">
        <f aca="true">IF(A710="","",IF(J710&lt;&gt;"",J710-A710,TODAY()-A710))</f>
        <v/>
      </c>
      <c r="N710" s="18" t="str">
        <f aca="false">IF(A710="","",IF(AND(OR(F710="Bekliyor",F710="Parça bekleniyor",F710="Hazır"),M710&gt;7),"7 günü geçti",""))</f>
        <v/>
      </c>
      <c r="O710" s="18" t="str">
        <f aca="false">IF(AND(A710&lt;&gt;"",OR(F710="Bekliyor",F710="Parça bekleniyor",F710="Hazır")),A710+ROW()/1000000,"")</f>
        <v/>
      </c>
    </row>
    <row r="711" customFormat="false" ht="15" hidden="false" customHeight="false" outlineLevel="0" collapsed="false">
      <c r="A711" s="12"/>
      <c r="B711" s="13"/>
      <c r="C711" s="13"/>
      <c r="D711" s="13"/>
      <c r="E711" s="13"/>
      <c r="F711" s="14"/>
      <c r="G711" s="15"/>
      <c r="H711" s="15"/>
      <c r="I711" s="15"/>
      <c r="J711" s="12"/>
      <c r="K711" s="16" t="str">
        <f aca="false">IF(A711="","",G711+H711)</f>
        <v/>
      </c>
      <c r="L711" s="16" t="str">
        <f aca="false">IF(A711="","",IF(F711="İade edildi",0,K711-I711))</f>
        <v/>
      </c>
      <c r="M711" s="17" t="str">
        <f aca="true">IF(A711="","",IF(J711&lt;&gt;"",J711-A711,TODAY()-A711))</f>
        <v/>
      </c>
      <c r="N711" s="18" t="str">
        <f aca="false">IF(A711="","",IF(AND(OR(F711="Bekliyor",F711="Parça bekleniyor",F711="Hazır"),M711&gt;7),"7 günü geçti",""))</f>
        <v/>
      </c>
      <c r="O711" s="18" t="str">
        <f aca="false">IF(AND(A711&lt;&gt;"",OR(F711="Bekliyor",F711="Parça bekleniyor",F711="Hazır")),A711+ROW()/1000000,"")</f>
        <v/>
      </c>
    </row>
    <row r="712" customFormat="false" ht="15" hidden="false" customHeight="false" outlineLevel="0" collapsed="false">
      <c r="A712" s="12"/>
      <c r="B712" s="13"/>
      <c r="C712" s="13"/>
      <c r="D712" s="13"/>
      <c r="E712" s="13"/>
      <c r="F712" s="14"/>
      <c r="G712" s="15"/>
      <c r="H712" s="15"/>
      <c r="I712" s="15"/>
      <c r="J712" s="12"/>
      <c r="K712" s="16" t="str">
        <f aca="false">IF(A712="","",G712+H712)</f>
        <v/>
      </c>
      <c r="L712" s="16" t="str">
        <f aca="false">IF(A712="","",IF(F712="İade edildi",0,K712-I712))</f>
        <v/>
      </c>
      <c r="M712" s="17" t="str">
        <f aca="true">IF(A712="","",IF(J712&lt;&gt;"",J712-A712,TODAY()-A712))</f>
        <v/>
      </c>
      <c r="N712" s="18" t="str">
        <f aca="false">IF(A712="","",IF(AND(OR(F712="Bekliyor",F712="Parça bekleniyor",F712="Hazır"),M712&gt;7),"7 günü geçti",""))</f>
        <v/>
      </c>
      <c r="O712" s="18" t="str">
        <f aca="false">IF(AND(A712&lt;&gt;"",OR(F712="Bekliyor",F712="Parça bekleniyor",F712="Hazır")),A712+ROW()/1000000,"")</f>
        <v/>
      </c>
    </row>
    <row r="713" customFormat="false" ht="15" hidden="false" customHeight="false" outlineLevel="0" collapsed="false">
      <c r="A713" s="12"/>
      <c r="B713" s="13"/>
      <c r="C713" s="13"/>
      <c r="D713" s="13"/>
      <c r="E713" s="13"/>
      <c r="F713" s="14"/>
      <c r="G713" s="15"/>
      <c r="H713" s="15"/>
      <c r="I713" s="15"/>
      <c r="J713" s="12"/>
      <c r="K713" s="16" t="str">
        <f aca="false">IF(A713="","",G713+H713)</f>
        <v/>
      </c>
      <c r="L713" s="16" t="str">
        <f aca="false">IF(A713="","",IF(F713="İade edildi",0,K713-I713))</f>
        <v/>
      </c>
      <c r="M713" s="17" t="str">
        <f aca="true">IF(A713="","",IF(J713&lt;&gt;"",J713-A713,TODAY()-A713))</f>
        <v/>
      </c>
      <c r="N713" s="18" t="str">
        <f aca="false">IF(A713="","",IF(AND(OR(F713="Bekliyor",F713="Parça bekleniyor",F713="Hazır"),M713&gt;7),"7 günü geçti",""))</f>
        <v/>
      </c>
      <c r="O713" s="18" t="str">
        <f aca="false">IF(AND(A713&lt;&gt;"",OR(F713="Bekliyor",F713="Parça bekleniyor",F713="Hazır")),A713+ROW()/1000000,"")</f>
        <v/>
      </c>
    </row>
    <row r="714" customFormat="false" ht="15" hidden="false" customHeight="false" outlineLevel="0" collapsed="false">
      <c r="A714" s="12"/>
      <c r="B714" s="13"/>
      <c r="C714" s="13"/>
      <c r="D714" s="13"/>
      <c r="E714" s="13"/>
      <c r="F714" s="14"/>
      <c r="G714" s="15"/>
      <c r="H714" s="15"/>
      <c r="I714" s="15"/>
      <c r="J714" s="12"/>
      <c r="K714" s="16" t="str">
        <f aca="false">IF(A714="","",G714+H714)</f>
        <v/>
      </c>
      <c r="L714" s="16" t="str">
        <f aca="false">IF(A714="","",IF(F714="İade edildi",0,K714-I714))</f>
        <v/>
      </c>
      <c r="M714" s="17" t="str">
        <f aca="true">IF(A714="","",IF(J714&lt;&gt;"",J714-A714,TODAY()-A714))</f>
        <v/>
      </c>
      <c r="N714" s="18" t="str">
        <f aca="false">IF(A714="","",IF(AND(OR(F714="Bekliyor",F714="Parça bekleniyor",F714="Hazır"),M714&gt;7),"7 günü geçti",""))</f>
        <v/>
      </c>
      <c r="O714" s="18" t="str">
        <f aca="false">IF(AND(A714&lt;&gt;"",OR(F714="Bekliyor",F714="Parça bekleniyor",F714="Hazır")),A714+ROW()/1000000,"")</f>
        <v/>
      </c>
    </row>
    <row r="715" customFormat="false" ht="15" hidden="false" customHeight="false" outlineLevel="0" collapsed="false">
      <c r="A715" s="12"/>
      <c r="B715" s="13"/>
      <c r="C715" s="13"/>
      <c r="D715" s="13"/>
      <c r="E715" s="13"/>
      <c r="F715" s="14"/>
      <c r="G715" s="15"/>
      <c r="H715" s="15"/>
      <c r="I715" s="15"/>
      <c r="J715" s="12"/>
      <c r="K715" s="16" t="str">
        <f aca="false">IF(A715="","",G715+H715)</f>
        <v/>
      </c>
      <c r="L715" s="16" t="str">
        <f aca="false">IF(A715="","",IF(F715="İade edildi",0,K715-I715))</f>
        <v/>
      </c>
      <c r="M715" s="17" t="str">
        <f aca="true">IF(A715="","",IF(J715&lt;&gt;"",J715-A715,TODAY()-A715))</f>
        <v/>
      </c>
      <c r="N715" s="18" t="str">
        <f aca="false">IF(A715="","",IF(AND(OR(F715="Bekliyor",F715="Parça bekleniyor",F715="Hazır"),M715&gt;7),"7 günü geçti",""))</f>
        <v/>
      </c>
      <c r="O715" s="18" t="str">
        <f aca="false">IF(AND(A715&lt;&gt;"",OR(F715="Bekliyor",F715="Parça bekleniyor",F715="Hazır")),A715+ROW()/1000000,"")</f>
        <v/>
      </c>
    </row>
    <row r="716" customFormat="false" ht="15" hidden="false" customHeight="false" outlineLevel="0" collapsed="false">
      <c r="A716" s="12"/>
      <c r="B716" s="13"/>
      <c r="C716" s="13"/>
      <c r="D716" s="13"/>
      <c r="E716" s="13"/>
      <c r="F716" s="14"/>
      <c r="G716" s="15"/>
      <c r="H716" s="15"/>
      <c r="I716" s="15"/>
      <c r="J716" s="12"/>
      <c r="K716" s="16" t="str">
        <f aca="false">IF(A716="","",G716+H716)</f>
        <v/>
      </c>
      <c r="L716" s="16" t="str">
        <f aca="false">IF(A716="","",IF(F716="İade edildi",0,K716-I716))</f>
        <v/>
      </c>
      <c r="M716" s="17" t="str">
        <f aca="true">IF(A716="","",IF(J716&lt;&gt;"",J716-A716,TODAY()-A716))</f>
        <v/>
      </c>
      <c r="N716" s="18" t="str">
        <f aca="false">IF(A716="","",IF(AND(OR(F716="Bekliyor",F716="Parça bekleniyor",F716="Hazır"),M716&gt;7),"7 günü geçti",""))</f>
        <v/>
      </c>
      <c r="O716" s="18" t="str">
        <f aca="false">IF(AND(A716&lt;&gt;"",OR(F716="Bekliyor",F716="Parça bekleniyor",F716="Hazır")),A716+ROW()/1000000,"")</f>
        <v/>
      </c>
    </row>
    <row r="717" customFormat="false" ht="15" hidden="false" customHeight="false" outlineLevel="0" collapsed="false">
      <c r="A717" s="12"/>
      <c r="B717" s="13"/>
      <c r="C717" s="13"/>
      <c r="D717" s="13"/>
      <c r="E717" s="13"/>
      <c r="F717" s="14"/>
      <c r="G717" s="15"/>
      <c r="H717" s="15"/>
      <c r="I717" s="15"/>
      <c r="J717" s="12"/>
      <c r="K717" s="16" t="str">
        <f aca="false">IF(A717="","",G717+H717)</f>
        <v/>
      </c>
      <c r="L717" s="16" t="str">
        <f aca="false">IF(A717="","",IF(F717="İade edildi",0,K717-I717))</f>
        <v/>
      </c>
      <c r="M717" s="17" t="str">
        <f aca="true">IF(A717="","",IF(J717&lt;&gt;"",J717-A717,TODAY()-A717))</f>
        <v/>
      </c>
      <c r="N717" s="18" t="str">
        <f aca="false">IF(A717="","",IF(AND(OR(F717="Bekliyor",F717="Parça bekleniyor",F717="Hazır"),M717&gt;7),"7 günü geçti",""))</f>
        <v/>
      </c>
      <c r="O717" s="18" t="str">
        <f aca="false">IF(AND(A717&lt;&gt;"",OR(F717="Bekliyor",F717="Parça bekleniyor",F717="Hazır")),A717+ROW()/1000000,"")</f>
        <v/>
      </c>
    </row>
    <row r="718" customFormat="false" ht="15" hidden="false" customHeight="false" outlineLevel="0" collapsed="false">
      <c r="A718" s="12"/>
      <c r="B718" s="13"/>
      <c r="C718" s="13"/>
      <c r="D718" s="13"/>
      <c r="E718" s="13"/>
      <c r="F718" s="14"/>
      <c r="G718" s="15"/>
      <c r="H718" s="15"/>
      <c r="I718" s="15"/>
      <c r="J718" s="12"/>
      <c r="K718" s="16" t="str">
        <f aca="false">IF(A718="","",G718+H718)</f>
        <v/>
      </c>
      <c r="L718" s="16" t="str">
        <f aca="false">IF(A718="","",IF(F718="İade edildi",0,K718-I718))</f>
        <v/>
      </c>
      <c r="M718" s="17" t="str">
        <f aca="true">IF(A718="","",IF(J718&lt;&gt;"",J718-A718,TODAY()-A718))</f>
        <v/>
      </c>
      <c r="N718" s="18" t="str">
        <f aca="false">IF(A718="","",IF(AND(OR(F718="Bekliyor",F718="Parça bekleniyor",F718="Hazır"),M718&gt;7),"7 günü geçti",""))</f>
        <v/>
      </c>
      <c r="O718" s="18" t="str">
        <f aca="false">IF(AND(A718&lt;&gt;"",OR(F718="Bekliyor",F718="Parça bekleniyor",F718="Hazır")),A718+ROW()/1000000,"")</f>
        <v/>
      </c>
    </row>
    <row r="719" customFormat="false" ht="15" hidden="false" customHeight="false" outlineLevel="0" collapsed="false">
      <c r="A719" s="12"/>
      <c r="B719" s="13"/>
      <c r="C719" s="13"/>
      <c r="D719" s="13"/>
      <c r="E719" s="13"/>
      <c r="F719" s="14"/>
      <c r="G719" s="15"/>
      <c r="H719" s="15"/>
      <c r="I719" s="15"/>
      <c r="J719" s="12"/>
      <c r="K719" s="16" t="str">
        <f aca="false">IF(A719="","",G719+H719)</f>
        <v/>
      </c>
      <c r="L719" s="16" t="str">
        <f aca="false">IF(A719="","",IF(F719="İade edildi",0,K719-I719))</f>
        <v/>
      </c>
      <c r="M719" s="17" t="str">
        <f aca="true">IF(A719="","",IF(J719&lt;&gt;"",J719-A719,TODAY()-A719))</f>
        <v/>
      </c>
      <c r="N719" s="18" t="str">
        <f aca="false">IF(A719="","",IF(AND(OR(F719="Bekliyor",F719="Parça bekleniyor",F719="Hazır"),M719&gt;7),"7 günü geçti",""))</f>
        <v/>
      </c>
      <c r="O719" s="18" t="str">
        <f aca="false">IF(AND(A719&lt;&gt;"",OR(F719="Bekliyor",F719="Parça bekleniyor",F719="Hazır")),A719+ROW()/1000000,"")</f>
        <v/>
      </c>
    </row>
    <row r="720" customFormat="false" ht="15" hidden="false" customHeight="false" outlineLevel="0" collapsed="false">
      <c r="A720" s="12"/>
      <c r="B720" s="13"/>
      <c r="C720" s="13"/>
      <c r="D720" s="13"/>
      <c r="E720" s="13"/>
      <c r="F720" s="14"/>
      <c r="G720" s="15"/>
      <c r="H720" s="15"/>
      <c r="I720" s="15"/>
      <c r="J720" s="12"/>
      <c r="K720" s="16" t="str">
        <f aca="false">IF(A720="","",G720+H720)</f>
        <v/>
      </c>
      <c r="L720" s="16" t="str">
        <f aca="false">IF(A720="","",IF(F720="İade edildi",0,K720-I720))</f>
        <v/>
      </c>
      <c r="M720" s="17" t="str">
        <f aca="true">IF(A720="","",IF(J720&lt;&gt;"",J720-A720,TODAY()-A720))</f>
        <v/>
      </c>
      <c r="N720" s="18" t="str">
        <f aca="false">IF(A720="","",IF(AND(OR(F720="Bekliyor",F720="Parça bekleniyor",F720="Hazır"),M720&gt;7),"7 günü geçti",""))</f>
        <v/>
      </c>
      <c r="O720" s="18" t="str">
        <f aca="false">IF(AND(A720&lt;&gt;"",OR(F720="Bekliyor",F720="Parça bekleniyor",F720="Hazır")),A720+ROW()/1000000,"")</f>
        <v/>
      </c>
    </row>
    <row r="721" customFormat="false" ht="15" hidden="false" customHeight="false" outlineLevel="0" collapsed="false">
      <c r="A721" s="12"/>
      <c r="B721" s="13"/>
      <c r="C721" s="13"/>
      <c r="D721" s="13"/>
      <c r="E721" s="13"/>
      <c r="F721" s="14"/>
      <c r="G721" s="15"/>
      <c r="H721" s="15"/>
      <c r="I721" s="15"/>
      <c r="J721" s="12"/>
      <c r="K721" s="16" t="str">
        <f aca="false">IF(A721="","",G721+H721)</f>
        <v/>
      </c>
      <c r="L721" s="16" t="str">
        <f aca="false">IF(A721="","",IF(F721="İade edildi",0,K721-I721))</f>
        <v/>
      </c>
      <c r="M721" s="17" t="str">
        <f aca="true">IF(A721="","",IF(J721&lt;&gt;"",J721-A721,TODAY()-A721))</f>
        <v/>
      </c>
      <c r="N721" s="18" t="str">
        <f aca="false">IF(A721="","",IF(AND(OR(F721="Bekliyor",F721="Parça bekleniyor",F721="Hazır"),M721&gt;7),"7 günü geçti",""))</f>
        <v/>
      </c>
      <c r="O721" s="18" t="str">
        <f aca="false">IF(AND(A721&lt;&gt;"",OR(F721="Bekliyor",F721="Parça bekleniyor",F721="Hazır")),A721+ROW()/1000000,"")</f>
        <v/>
      </c>
    </row>
    <row r="722" customFormat="false" ht="15" hidden="false" customHeight="false" outlineLevel="0" collapsed="false">
      <c r="A722" s="12"/>
      <c r="B722" s="13"/>
      <c r="C722" s="13"/>
      <c r="D722" s="13"/>
      <c r="E722" s="13"/>
      <c r="F722" s="14"/>
      <c r="G722" s="15"/>
      <c r="H722" s="15"/>
      <c r="I722" s="15"/>
      <c r="J722" s="12"/>
      <c r="K722" s="16" t="str">
        <f aca="false">IF(A722="","",G722+H722)</f>
        <v/>
      </c>
      <c r="L722" s="16" t="str">
        <f aca="false">IF(A722="","",IF(F722="İade edildi",0,K722-I722))</f>
        <v/>
      </c>
      <c r="M722" s="17" t="str">
        <f aca="true">IF(A722="","",IF(J722&lt;&gt;"",J722-A722,TODAY()-A722))</f>
        <v/>
      </c>
      <c r="N722" s="18" t="str">
        <f aca="false">IF(A722="","",IF(AND(OR(F722="Bekliyor",F722="Parça bekleniyor",F722="Hazır"),M722&gt;7),"7 günü geçti",""))</f>
        <v/>
      </c>
      <c r="O722" s="18" t="str">
        <f aca="false">IF(AND(A722&lt;&gt;"",OR(F722="Bekliyor",F722="Parça bekleniyor",F722="Hazır")),A722+ROW()/1000000,"")</f>
        <v/>
      </c>
    </row>
    <row r="723" customFormat="false" ht="15" hidden="false" customHeight="false" outlineLevel="0" collapsed="false">
      <c r="A723" s="12"/>
      <c r="B723" s="13"/>
      <c r="C723" s="13"/>
      <c r="D723" s="13"/>
      <c r="E723" s="13"/>
      <c r="F723" s="14"/>
      <c r="G723" s="15"/>
      <c r="H723" s="15"/>
      <c r="I723" s="15"/>
      <c r="J723" s="12"/>
      <c r="K723" s="16" t="str">
        <f aca="false">IF(A723="","",G723+H723)</f>
        <v/>
      </c>
      <c r="L723" s="16" t="str">
        <f aca="false">IF(A723="","",IF(F723="İade edildi",0,K723-I723))</f>
        <v/>
      </c>
      <c r="M723" s="17" t="str">
        <f aca="true">IF(A723="","",IF(J723&lt;&gt;"",J723-A723,TODAY()-A723))</f>
        <v/>
      </c>
      <c r="N723" s="18" t="str">
        <f aca="false">IF(A723="","",IF(AND(OR(F723="Bekliyor",F723="Parça bekleniyor",F723="Hazır"),M723&gt;7),"7 günü geçti",""))</f>
        <v/>
      </c>
      <c r="O723" s="18" t="str">
        <f aca="false">IF(AND(A723&lt;&gt;"",OR(F723="Bekliyor",F723="Parça bekleniyor",F723="Hazır")),A723+ROW()/1000000,"")</f>
        <v/>
      </c>
    </row>
    <row r="724" customFormat="false" ht="15" hidden="false" customHeight="false" outlineLevel="0" collapsed="false">
      <c r="A724" s="12"/>
      <c r="B724" s="13"/>
      <c r="C724" s="13"/>
      <c r="D724" s="13"/>
      <c r="E724" s="13"/>
      <c r="F724" s="14"/>
      <c r="G724" s="15"/>
      <c r="H724" s="15"/>
      <c r="I724" s="15"/>
      <c r="J724" s="12"/>
      <c r="K724" s="16" t="str">
        <f aca="false">IF(A724="","",G724+H724)</f>
        <v/>
      </c>
      <c r="L724" s="16" t="str">
        <f aca="false">IF(A724="","",IF(F724="İade edildi",0,K724-I724))</f>
        <v/>
      </c>
      <c r="M724" s="17" t="str">
        <f aca="true">IF(A724="","",IF(J724&lt;&gt;"",J724-A724,TODAY()-A724))</f>
        <v/>
      </c>
      <c r="N724" s="18" t="str">
        <f aca="false">IF(A724="","",IF(AND(OR(F724="Bekliyor",F724="Parça bekleniyor",F724="Hazır"),M724&gt;7),"7 günü geçti",""))</f>
        <v/>
      </c>
      <c r="O724" s="18" t="str">
        <f aca="false">IF(AND(A724&lt;&gt;"",OR(F724="Bekliyor",F724="Parça bekleniyor",F724="Hazır")),A724+ROW()/1000000,"")</f>
        <v/>
      </c>
    </row>
    <row r="725" customFormat="false" ht="15" hidden="false" customHeight="false" outlineLevel="0" collapsed="false">
      <c r="A725" s="12"/>
      <c r="B725" s="13"/>
      <c r="C725" s="13"/>
      <c r="D725" s="13"/>
      <c r="E725" s="13"/>
      <c r="F725" s="14"/>
      <c r="G725" s="15"/>
      <c r="H725" s="15"/>
      <c r="I725" s="15"/>
      <c r="J725" s="12"/>
      <c r="K725" s="16" t="str">
        <f aca="false">IF(A725="","",G725+H725)</f>
        <v/>
      </c>
      <c r="L725" s="16" t="str">
        <f aca="false">IF(A725="","",IF(F725="İade edildi",0,K725-I725))</f>
        <v/>
      </c>
      <c r="M725" s="17" t="str">
        <f aca="true">IF(A725="","",IF(J725&lt;&gt;"",J725-A725,TODAY()-A725))</f>
        <v/>
      </c>
      <c r="N725" s="18" t="str">
        <f aca="false">IF(A725="","",IF(AND(OR(F725="Bekliyor",F725="Parça bekleniyor",F725="Hazır"),M725&gt;7),"7 günü geçti",""))</f>
        <v/>
      </c>
      <c r="O725" s="18" t="str">
        <f aca="false">IF(AND(A725&lt;&gt;"",OR(F725="Bekliyor",F725="Parça bekleniyor",F725="Hazır")),A725+ROW()/1000000,"")</f>
        <v/>
      </c>
    </row>
    <row r="726" customFormat="false" ht="15" hidden="false" customHeight="false" outlineLevel="0" collapsed="false">
      <c r="A726" s="12"/>
      <c r="B726" s="13"/>
      <c r="C726" s="13"/>
      <c r="D726" s="13"/>
      <c r="E726" s="13"/>
      <c r="F726" s="14"/>
      <c r="G726" s="15"/>
      <c r="H726" s="15"/>
      <c r="I726" s="15"/>
      <c r="J726" s="12"/>
      <c r="K726" s="16" t="str">
        <f aca="false">IF(A726="","",G726+H726)</f>
        <v/>
      </c>
      <c r="L726" s="16" t="str">
        <f aca="false">IF(A726="","",IF(F726="İade edildi",0,K726-I726))</f>
        <v/>
      </c>
      <c r="M726" s="17" t="str">
        <f aca="true">IF(A726="","",IF(J726&lt;&gt;"",J726-A726,TODAY()-A726))</f>
        <v/>
      </c>
      <c r="N726" s="18" t="str">
        <f aca="false">IF(A726="","",IF(AND(OR(F726="Bekliyor",F726="Parça bekleniyor",F726="Hazır"),M726&gt;7),"7 günü geçti",""))</f>
        <v/>
      </c>
      <c r="O726" s="18" t="str">
        <f aca="false">IF(AND(A726&lt;&gt;"",OR(F726="Bekliyor",F726="Parça bekleniyor",F726="Hazır")),A726+ROW()/1000000,"")</f>
        <v/>
      </c>
    </row>
    <row r="727" customFormat="false" ht="15" hidden="false" customHeight="false" outlineLevel="0" collapsed="false">
      <c r="A727" s="12"/>
      <c r="B727" s="13"/>
      <c r="C727" s="13"/>
      <c r="D727" s="13"/>
      <c r="E727" s="13"/>
      <c r="F727" s="14"/>
      <c r="G727" s="15"/>
      <c r="H727" s="15"/>
      <c r="I727" s="15"/>
      <c r="J727" s="12"/>
      <c r="K727" s="16" t="str">
        <f aca="false">IF(A727="","",G727+H727)</f>
        <v/>
      </c>
      <c r="L727" s="16" t="str">
        <f aca="false">IF(A727="","",IF(F727="İade edildi",0,K727-I727))</f>
        <v/>
      </c>
      <c r="M727" s="17" t="str">
        <f aca="true">IF(A727="","",IF(J727&lt;&gt;"",J727-A727,TODAY()-A727))</f>
        <v/>
      </c>
      <c r="N727" s="18" t="str">
        <f aca="false">IF(A727="","",IF(AND(OR(F727="Bekliyor",F727="Parça bekleniyor",F727="Hazır"),M727&gt;7),"7 günü geçti",""))</f>
        <v/>
      </c>
      <c r="O727" s="18" t="str">
        <f aca="false">IF(AND(A727&lt;&gt;"",OR(F727="Bekliyor",F727="Parça bekleniyor",F727="Hazır")),A727+ROW()/1000000,"")</f>
        <v/>
      </c>
    </row>
    <row r="728" customFormat="false" ht="15" hidden="false" customHeight="false" outlineLevel="0" collapsed="false">
      <c r="A728" s="12"/>
      <c r="B728" s="13"/>
      <c r="C728" s="13"/>
      <c r="D728" s="13"/>
      <c r="E728" s="13"/>
      <c r="F728" s="14"/>
      <c r="G728" s="15"/>
      <c r="H728" s="15"/>
      <c r="I728" s="15"/>
      <c r="J728" s="12"/>
      <c r="K728" s="16" t="str">
        <f aca="false">IF(A728="","",G728+H728)</f>
        <v/>
      </c>
      <c r="L728" s="16" t="str">
        <f aca="false">IF(A728="","",IF(F728="İade edildi",0,K728-I728))</f>
        <v/>
      </c>
      <c r="M728" s="17" t="str">
        <f aca="true">IF(A728="","",IF(J728&lt;&gt;"",J728-A728,TODAY()-A728))</f>
        <v/>
      </c>
      <c r="N728" s="18" t="str">
        <f aca="false">IF(A728="","",IF(AND(OR(F728="Bekliyor",F728="Parça bekleniyor",F728="Hazır"),M728&gt;7),"7 günü geçti",""))</f>
        <v/>
      </c>
      <c r="O728" s="18" t="str">
        <f aca="false">IF(AND(A728&lt;&gt;"",OR(F728="Bekliyor",F728="Parça bekleniyor",F728="Hazır")),A728+ROW()/1000000,"")</f>
        <v/>
      </c>
    </row>
    <row r="729" customFormat="false" ht="15" hidden="false" customHeight="false" outlineLevel="0" collapsed="false">
      <c r="A729" s="12"/>
      <c r="B729" s="13"/>
      <c r="C729" s="13"/>
      <c r="D729" s="13"/>
      <c r="E729" s="13"/>
      <c r="F729" s="14"/>
      <c r="G729" s="15"/>
      <c r="H729" s="15"/>
      <c r="I729" s="15"/>
      <c r="J729" s="12"/>
      <c r="K729" s="16" t="str">
        <f aca="false">IF(A729="","",G729+H729)</f>
        <v/>
      </c>
      <c r="L729" s="16" t="str">
        <f aca="false">IF(A729="","",IF(F729="İade edildi",0,K729-I729))</f>
        <v/>
      </c>
      <c r="M729" s="17" t="str">
        <f aca="true">IF(A729="","",IF(J729&lt;&gt;"",J729-A729,TODAY()-A729))</f>
        <v/>
      </c>
      <c r="N729" s="18" t="str">
        <f aca="false">IF(A729="","",IF(AND(OR(F729="Bekliyor",F729="Parça bekleniyor",F729="Hazır"),M729&gt;7),"7 günü geçti",""))</f>
        <v/>
      </c>
      <c r="O729" s="18" t="str">
        <f aca="false">IF(AND(A729&lt;&gt;"",OR(F729="Bekliyor",F729="Parça bekleniyor",F729="Hazır")),A729+ROW()/1000000,"")</f>
        <v/>
      </c>
    </row>
    <row r="730" customFormat="false" ht="15" hidden="false" customHeight="false" outlineLevel="0" collapsed="false">
      <c r="A730" s="12"/>
      <c r="B730" s="13"/>
      <c r="C730" s="13"/>
      <c r="D730" s="13"/>
      <c r="E730" s="13"/>
      <c r="F730" s="14"/>
      <c r="G730" s="15"/>
      <c r="H730" s="15"/>
      <c r="I730" s="15"/>
      <c r="J730" s="12"/>
      <c r="K730" s="16" t="str">
        <f aca="false">IF(A730="","",G730+H730)</f>
        <v/>
      </c>
      <c r="L730" s="16" t="str">
        <f aca="false">IF(A730="","",IF(F730="İade edildi",0,K730-I730))</f>
        <v/>
      </c>
      <c r="M730" s="17" t="str">
        <f aca="true">IF(A730="","",IF(J730&lt;&gt;"",J730-A730,TODAY()-A730))</f>
        <v/>
      </c>
      <c r="N730" s="18" t="str">
        <f aca="false">IF(A730="","",IF(AND(OR(F730="Bekliyor",F730="Parça bekleniyor",F730="Hazır"),M730&gt;7),"7 günü geçti",""))</f>
        <v/>
      </c>
      <c r="O730" s="18" t="str">
        <f aca="false">IF(AND(A730&lt;&gt;"",OR(F730="Bekliyor",F730="Parça bekleniyor",F730="Hazır")),A730+ROW()/1000000,"")</f>
        <v/>
      </c>
    </row>
    <row r="731" customFormat="false" ht="15" hidden="false" customHeight="false" outlineLevel="0" collapsed="false">
      <c r="A731" s="12"/>
      <c r="B731" s="13"/>
      <c r="C731" s="13"/>
      <c r="D731" s="13"/>
      <c r="E731" s="13"/>
      <c r="F731" s="14"/>
      <c r="G731" s="15"/>
      <c r="H731" s="15"/>
      <c r="I731" s="15"/>
      <c r="J731" s="12"/>
      <c r="K731" s="16" t="str">
        <f aca="false">IF(A731="","",G731+H731)</f>
        <v/>
      </c>
      <c r="L731" s="16" t="str">
        <f aca="false">IF(A731="","",IF(F731="İade edildi",0,K731-I731))</f>
        <v/>
      </c>
      <c r="M731" s="17" t="str">
        <f aca="true">IF(A731="","",IF(J731&lt;&gt;"",J731-A731,TODAY()-A731))</f>
        <v/>
      </c>
      <c r="N731" s="18" t="str">
        <f aca="false">IF(A731="","",IF(AND(OR(F731="Bekliyor",F731="Parça bekleniyor",F731="Hazır"),M731&gt;7),"7 günü geçti",""))</f>
        <v/>
      </c>
      <c r="O731" s="18" t="str">
        <f aca="false">IF(AND(A731&lt;&gt;"",OR(F731="Bekliyor",F731="Parça bekleniyor",F731="Hazır")),A731+ROW()/1000000,"")</f>
        <v/>
      </c>
    </row>
    <row r="732" customFormat="false" ht="15" hidden="false" customHeight="false" outlineLevel="0" collapsed="false">
      <c r="A732" s="12"/>
      <c r="B732" s="13"/>
      <c r="C732" s="13"/>
      <c r="D732" s="13"/>
      <c r="E732" s="13"/>
      <c r="F732" s="14"/>
      <c r="G732" s="15"/>
      <c r="H732" s="15"/>
      <c r="I732" s="15"/>
      <c r="J732" s="12"/>
      <c r="K732" s="16" t="str">
        <f aca="false">IF(A732="","",G732+H732)</f>
        <v/>
      </c>
      <c r="L732" s="16" t="str">
        <f aca="false">IF(A732="","",IF(F732="İade edildi",0,K732-I732))</f>
        <v/>
      </c>
      <c r="M732" s="17" t="str">
        <f aca="true">IF(A732="","",IF(J732&lt;&gt;"",J732-A732,TODAY()-A732))</f>
        <v/>
      </c>
      <c r="N732" s="18" t="str">
        <f aca="false">IF(A732="","",IF(AND(OR(F732="Bekliyor",F732="Parça bekleniyor",F732="Hazır"),M732&gt;7),"7 günü geçti",""))</f>
        <v/>
      </c>
      <c r="O732" s="18" t="str">
        <f aca="false">IF(AND(A732&lt;&gt;"",OR(F732="Bekliyor",F732="Parça bekleniyor",F732="Hazır")),A732+ROW()/1000000,"")</f>
        <v/>
      </c>
    </row>
    <row r="733" customFormat="false" ht="15" hidden="false" customHeight="false" outlineLevel="0" collapsed="false">
      <c r="A733" s="12"/>
      <c r="B733" s="13"/>
      <c r="C733" s="13"/>
      <c r="D733" s="13"/>
      <c r="E733" s="13"/>
      <c r="F733" s="14"/>
      <c r="G733" s="15"/>
      <c r="H733" s="15"/>
      <c r="I733" s="15"/>
      <c r="J733" s="12"/>
      <c r="K733" s="16" t="str">
        <f aca="false">IF(A733="","",G733+H733)</f>
        <v/>
      </c>
      <c r="L733" s="16" t="str">
        <f aca="false">IF(A733="","",IF(F733="İade edildi",0,K733-I733))</f>
        <v/>
      </c>
      <c r="M733" s="17" t="str">
        <f aca="true">IF(A733="","",IF(J733&lt;&gt;"",J733-A733,TODAY()-A733))</f>
        <v/>
      </c>
      <c r="N733" s="18" t="str">
        <f aca="false">IF(A733="","",IF(AND(OR(F733="Bekliyor",F733="Parça bekleniyor",F733="Hazır"),M733&gt;7),"7 günü geçti",""))</f>
        <v/>
      </c>
      <c r="O733" s="18" t="str">
        <f aca="false">IF(AND(A733&lt;&gt;"",OR(F733="Bekliyor",F733="Parça bekleniyor",F733="Hazır")),A733+ROW()/1000000,"")</f>
        <v/>
      </c>
    </row>
    <row r="734" customFormat="false" ht="15" hidden="false" customHeight="false" outlineLevel="0" collapsed="false">
      <c r="A734" s="12"/>
      <c r="B734" s="13"/>
      <c r="C734" s="13"/>
      <c r="D734" s="13"/>
      <c r="E734" s="13"/>
      <c r="F734" s="14"/>
      <c r="G734" s="15"/>
      <c r="H734" s="15"/>
      <c r="I734" s="15"/>
      <c r="J734" s="12"/>
      <c r="K734" s="16" t="str">
        <f aca="false">IF(A734="","",G734+H734)</f>
        <v/>
      </c>
      <c r="L734" s="16" t="str">
        <f aca="false">IF(A734="","",IF(F734="İade edildi",0,K734-I734))</f>
        <v/>
      </c>
      <c r="M734" s="17" t="str">
        <f aca="true">IF(A734="","",IF(J734&lt;&gt;"",J734-A734,TODAY()-A734))</f>
        <v/>
      </c>
      <c r="N734" s="18" t="str">
        <f aca="false">IF(A734="","",IF(AND(OR(F734="Bekliyor",F734="Parça bekleniyor",F734="Hazır"),M734&gt;7),"7 günü geçti",""))</f>
        <v/>
      </c>
      <c r="O734" s="18" t="str">
        <f aca="false">IF(AND(A734&lt;&gt;"",OR(F734="Bekliyor",F734="Parça bekleniyor",F734="Hazır")),A734+ROW()/1000000,"")</f>
        <v/>
      </c>
    </row>
    <row r="735" customFormat="false" ht="15" hidden="false" customHeight="false" outlineLevel="0" collapsed="false">
      <c r="A735" s="12"/>
      <c r="B735" s="13"/>
      <c r="C735" s="13"/>
      <c r="D735" s="13"/>
      <c r="E735" s="13"/>
      <c r="F735" s="14"/>
      <c r="G735" s="15"/>
      <c r="H735" s="15"/>
      <c r="I735" s="15"/>
      <c r="J735" s="12"/>
      <c r="K735" s="16" t="str">
        <f aca="false">IF(A735="","",G735+H735)</f>
        <v/>
      </c>
      <c r="L735" s="16" t="str">
        <f aca="false">IF(A735="","",IF(F735="İade edildi",0,K735-I735))</f>
        <v/>
      </c>
      <c r="M735" s="17" t="str">
        <f aca="true">IF(A735="","",IF(J735&lt;&gt;"",J735-A735,TODAY()-A735))</f>
        <v/>
      </c>
      <c r="N735" s="18" t="str">
        <f aca="false">IF(A735="","",IF(AND(OR(F735="Bekliyor",F735="Parça bekleniyor",F735="Hazır"),M735&gt;7),"7 günü geçti",""))</f>
        <v/>
      </c>
      <c r="O735" s="18" t="str">
        <f aca="false">IF(AND(A735&lt;&gt;"",OR(F735="Bekliyor",F735="Parça bekleniyor",F735="Hazır")),A735+ROW()/1000000,"")</f>
        <v/>
      </c>
    </row>
    <row r="736" customFormat="false" ht="15" hidden="false" customHeight="false" outlineLevel="0" collapsed="false">
      <c r="A736" s="12"/>
      <c r="B736" s="13"/>
      <c r="C736" s="13"/>
      <c r="D736" s="13"/>
      <c r="E736" s="13"/>
      <c r="F736" s="14"/>
      <c r="G736" s="15"/>
      <c r="H736" s="15"/>
      <c r="I736" s="15"/>
      <c r="J736" s="12"/>
      <c r="K736" s="16" t="str">
        <f aca="false">IF(A736="","",G736+H736)</f>
        <v/>
      </c>
      <c r="L736" s="16" t="str">
        <f aca="false">IF(A736="","",IF(F736="İade edildi",0,K736-I736))</f>
        <v/>
      </c>
      <c r="M736" s="17" t="str">
        <f aca="true">IF(A736="","",IF(J736&lt;&gt;"",J736-A736,TODAY()-A736))</f>
        <v/>
      </c>
      <c r="N736" s="18" t="str">
        <f aca="false">IF(A736="","",IF(AND(OR(F736="Bekliyor",F736="Parça bekleniyor",F736="Hazır"),M736&gt;7),"7 günü geçti",""))</f>
        <v/>
      </c>
      <c r="O736" s="18" t="str">
        <f aca="false">IF(AND(A736&lt;&gt;"",OR(F736="Bekliyor",F736="Parça bekleniyor",F736="Hazır")),A736+ROW()/1000000,"")</f>
        <v/>
      </c>
    </row>
    <row r="737" customFormat="false" ht="15" hidden="false" customHeight="false" outlineLevel="0" collapsed="false">
      <c r="A737" s="12"/>
      <c r="B737" s="13"/>
      <c r="C737" s="13"/>
      <c r="D737" s="13"/>
      <c r="E737" s="13"/>
      <c r="F737" s="14"/>
      <c r="G737" s="15"/>
      <c r="H737" s="15"/>
      <c r="I737" s="15"/>
      <c r="J737" s="12"/>
      <c r="K737" s="16" t="str">
        <f aca="false">IF(A737="","",G737+H737)</f>
        <v/>
      </c>
      <c r="L737" s="16" t="str">
        <f aca="false">IF(A737="","",IF(F737="İade edildi",0,K737-I737))</f>
        <v/>
      </c>
      <c r="M737" s="17" t="str">
        <f aca="true">IF(A737="","",IF(J737&lt;&gt;"",J737-A737,TODAY()-A737))</f>
        <v/>
      </c>
      <c r="N737" s="18" t="str">
        <f aca="false">IF(A737="","",IF(AND(OR(F737="Bekliyor",F737="Parça bekleniyor",F737="Hazır"),M737&gt;7),"7 günü geçti",""))</f>
        <v/>
      </c>
      <c r="O737" s="18" t="str">
        <f aca="false">IF(AND(A737&lt;&gt;"",OR(F737="Bekliyor",F737="Parça bekleniyor",F737="Hazır")),A737+ROW()/1000000,"")</f>
        <v/>
      </c>
    </row>
    <row r="738" customFormat="false" ht="15" hidden="false" customHeight="false" outlineLevel="0" collapsed="false">
      <c r="A738" s="12"/>
      <c r="B738" s="13"/>
      <c r="C738" s="13"/>
      <c r="D738" s="13"/>
      <c r="E738" s="13"/>
      <c r="F738" s="14"/>
      <c r="G738" s="15"/>
      <c r="H738" s="15"/>
      <c r="I738" s="15"/>
      <c r="J738" s="12"/>
      <c r="K738" s="16" t="str">
        <f aca="false">IF(A738="","",G738+H738)</f>
        <v/>
      </c>
      <c r="L738" s="16" t="str">
        <f aca="false">IF(A738="","",IF(F738="İade edildi",0,K738-I738))</f>
        <v/>
      </c>
      <c r="M738" s="17" t="str">
        <f aca="true">IF(A738="","",IF(J738&lt;&gt;"",J738-A738,TODAY()-A738))</f>
        <v/>
      </c>
      <c r="N738" s="18" t="str">
        <f aca="false">IF(A738="","",IF(AND(OR(F738="Bekliyor",F738="Parça bekleniyor",F738="Hazır"),M738&gt;7),"7 günü geçti",""))</f>
        <v/>
      </c>
      <c r="O738" s="18" t="str">
        <f aca="false">IF(AND(A738&lt;&gt;"",OR(F738="Bekliyor",F738="Parça bekleniyor",F738="Hazır")),A738+ROW()/1000000,"")</f>
        <v/>
      </c>
    </row>
    <row r="739" customFormat="false" ht="15" hidden="false" customHeight="false" outlineLevel="0" collapsed="false">
      <c r="A739" s="12"/>
      <c r="B739" s="13"/>
      <c r="C739" s="13"/>
      <c r="D739" s="13"/>
      <c r="E739" s="13"/>
      <c r="F739" s="14"/>
      <c r="G739" s="15"/>
      <c r="H739" s="15"/>
      <c r="I739" s="15"/>
      <c r="J739" s="12"/>
      <c r="K739" s="16" t="str">
        <f aca="false">IF(A739="","",G739+H739)</f>
        <v/>
      </c>
      <c r="L739" s="16" t="str">
        <f aca="false">IF(A739="","",IF(F739="İade edildi",0,K739-I739))</f>
        <v/>
      </c>
      <c r="M739" s="17" t="str">
        <f aca="true">IF(A739="","",IF(J739&lt;&gt;"",J739-A739,TODAY()-A739))</f>
        <v/>
      </c>
      <c r="N739" s="18" t="str">
        <f aca="false">IF(A739="","",IF(AND(OR(F739="Bekliyor",F739="Parça bekleniyor",F739="Hazır"),M739&gt;7),"7 günü geçti",""))</f>
        <v/>
      </c>
      <c r="O739" s="18" t="str">
        <f aca="false">IF(AND(A739&lt;&gt;"",OR(F739="Bekliyor",F739="Parça bekleniyor",F739="Hazır")),A739+ROW()/1000000,"")</f>
        <v/>
      </c>
    </row>
    <row r="740" customFormat="false" ht="15" hidden="false" customHeight="false" outlineLevel="0" collapsed="false">
      <c r="A740" s="12"/>
      <c r="B740" s="13"/>
      <c r="C740" s="13"/>
      <c r="D740" s="13"/>
      <c r="E740" s="13"/>
      <c r="F740" s="14"/>
      <c r="G740" s="15"/>
      <c r="H740" s="15"/>
      <c r="I740" s="15"/>
      <c r="J740" s="12"/>
      <c r="K740" s="16" t="str">
        <f aca="false">IF(A740="","",G740+H740)</f>
        <v/>
      </c>
      <c r="L740" s="16" t="str">
        <f aca="false">IF(A740="","",IF(F740="İade edildi",0,K740-I740))</f>
        <v/>
      </c>
      <c r="M740" s="17" t="str">
        <f aca="true">IF(A740="","",IF(J740&lt;&gt;"",J740-A740,TODAY()-A740))</f>
        <v/>
      </c>
      <c r="N740" s="18" t="str">
        <f aca="false">IF(A740="","",IF(AND(OR(F740="Bekliyor",F740="Parça bekleniyor",F740="Hazır"),M740&gt;7),"7 günü geçti",""))</f>
        <v/>
      </c>
      <c r="O740" s="18" t="str">
        <f aca="false">IF(AND(A740&lt;&gt;"",OR(F740="Bekliyor",F740="Parça bekleniyor",F740="Hazır")),A740+ROW()/1000000,"")</f>
        <v/>
      </c>
    </row>
    <row r="741" customFormat="false" ht="15" hidden="false" customHeight="false" outlineLevel="0" collapsed="false">
      <c r="A741" s="12"/>
      <c r="B741" s="13"/>
      <c r="C741" s="13"/>
      <c r="D741" s="13"/>
      <c r="E741" s="13"/>
      <c r="F741" s="14"/>
      <c r="G741" s="15"/>
      <c r="H741" s="15"/>
      <c r="I741" s="15"/>
      <c r="J741" s="12"/>
      <c r="K741" s="16" t="str">
        <f aca="false">IF(A741="","",G741+H741)</f>
        <v/>
      </c>
      <c r="L741" s="16" t="str">
        <f aca="false">IF(A741="","",IF(F741="İade edildi",0,K741-I741))</f>
        <v/>
      </c>
      <c r="M741" s="17" t="str">
        <f aca="true">IF(A741="","",IF(J741&lt;&gt;"",J741-A741,TODAY()-A741))</f>
        <v/>
      </c>
      <c r="N741" s="18" t="str">
        <f aca="false">IF(A741="","",IF(AND(OR(F741="Bekliyor",F741="Parça bekleniyor",F741="Hazır"),M741&gt;7),"7 günü geçti",""))</f>
        <v/>
      </c>
      <c r="O741" s="18" t="str">
        <f aca="false">IF(AND(A741&lt;&gt;"",OR(F741="Bekliyor",F741="Parça bekleniyor",F741="Hazır")),A741+ROW()/1000000,"")</f>
        <v/>
      </c>
    </row>
    <row r="742" customFormat="false" ht="15" hidden="false" customHeight="false" outlineLevel="0" collapsed="false">
      <c r="A742" s="12"/>
      <c r="B742" s="13"/>
      <c r="C742" s="13"/>
      <c r="D742" s="13"/>
      <c r="E742" s="13"/>
      <c r="F742" s="14"/>
      <c r="G742" s="15"/>
      <c r="H742" s="15"/>
      <c r="I742" s="15"/>
      <c r="J742" s="12"/>
      <c r="K742" s="16" t="str">
        <f aca="false">IF(A742="","",G742+H742)</f>
        <v/>
      </c>
      <c r="L742" s="16" t="str">
        <f aca="false">IF(A742="","",IF(F742="İade edildi",0,K742-I742))</f>
        <v/>
      </c>
      <c r="M742" s="17" t="str">
        <f aca="true">IF(A742="","",IF(J742&lt;&gt;"",J742-A742,TODAY()-A742))</f>
        <v/>
      </c>
      <c r="N742" s="18" t="str">
        <f aca="false">IF(A742="","",IF(AND(OR(F742="Bekliyor",F742="Parça bekleniyor",F742="Hazır"),M742&gt;7),"7 günü geçti",""))</f>
        <v/>
      </c>
      <c r="O742" s="18" t="str">
        <f aca="false">IF(AND(A742&lt;&gt;"",OR(F742="Bekliyor",F742="Parça bekleniyor",F742="Hazır")),A742+ROW()/1000000,"")</f>
        <v/>
      </c>
    </row>
    <row r="743" customFormat="false" ht="15" hidden="false" customHeight="false" outlineLevel="0" collapsed="false">
      <c r="A743" s="12"/>
      <c r="B743" s="13"/>
      <c r="C743" s="13"/>
      <c r="D743" s="13"/>
      <c r="E743" s="13"/>
      <c r="F743" s="14"/>
      <c r="G743" s="15"/>
      <c r="H743" s="15"/>
      <c r="I743" s="15"/>
      <c r="J743" s="12"/>
      <c r="K743" s="16" t="str">
        <f aca="false">IF(A743="","",G743+H743)</f>
        <v/>
      </c>
      <c r="L743" s="16" t="str">
        <f aca="false">IF(A743="","",IF(F743="İade edildi",0,K743-I743))</f>
        <v/>
      </c>
      <c r="M743" s="17" t="str">
        <f aca="true">IF(A743="","",IF(J743&lt;&gt;"",J743-A743,TODAY()-A743))</f>
        <v/>
      </c>
      <c r="N743" s="18" t="str">
        <f aca="false">IF(A743="","",IF(AND(OR(F743="Bekliyor",F743="Parça bekleniyor",F743="Hazır"),M743&gt;7),"7 günü geçti",""))</f>
        <v/>
      </c>
      <c r="O743" s="18" t="str">
        <f aca="false">IF(AND(A743&lt;&gt;"",OR(F743="Bekliyor",F743="Parça bekleniyor",F743="Hazır")),A743+ROW()/1000000,"")</f>
        <v/>
      </c>
    </row>
    <row r="744" customFormat="false" ht="15" hidden="false" customHeight="false" outlineLevel="0" collapsed="false">
      <c r="A744" s="12"/>
      <c r="B744" s="13"/>
      <c r="C744" s="13"/>
      <c r="D744" s="13"/>
      <c r="E744" s="13"/>
      <c r="F744" s="14"/>
      <c r="G744" s="15"/>
      <c r="H744" s="15"/>
      <c r="I744" s="15"/>
      <c r="J744" s="12"/>
      <c r="K744" s="16" t="str">
        <f aca="false">IF(A744="","",G744+H744)</f>
        <v/>
      </c>
      <c r="L744" s="16" t="str">
        <f aca="false">IF(A744="","",IF(F744="İade edildi",0,K744-I744))</f>
        <v/>
      </c>
      <c r="M744" s="17" t="str">
        <f aca="true">IF(A744="","",IF(J744&lt;&gt;"",J744-A744,TODAY()-A744))</f>
        <v/>
      </c>
      <c r="N744" s="18" t="str">
        <f aca="false">IF(A744="","",IF(AND(OR(F744="Bekliyor",F744="Parça bekleniyor",F744="Hazır"),M744&gt;7),"7 günü geçti",""))</f>
        <v/>
      </c>
      <c r="O744" s="18" t="str">
        <f aca="false">IF(AND(A744&lt;&gt;"",OR(F744="Bekliyor",F744="Parça bekleniyor",F744="Hazır")),A744+ROW()/1000000,"")</f>
        <v/>
      </c>
    </row>
    <row r="745" customFormat="false" ht="15" hidden="false" customHeight="false" outlineLevel="0" collapsed="false">
      <c r="A745" s="12"/>
      <c r="B745" s="13"/>
      <c r="C745" s="13"/>
      <c r="D745" s="13"/>
      <c r="E745" s="13"/>
      <c r="F745" s="14"/>
      <c r="G745" s="15"/>
      <c r="H745" s="15"/>
      <c r="I745" s="15"/>
      <c r="J745" s="12"/>
      <c r="K745" s="16" t="str">
        <f aca="false">IF(A745="","",G745+H745)</f>
        <v/>
      </c>
      <c r="L745" s="16" t="str">
        <f aca="false">IF(A745="","",IF(F745="İade edildi",0,K745-I745))</f>
        <v/>
      </c>
      <c r="M745" s="17" t="str">
        <f aca="true">IF(A745="","",IF(J745&lt;&gt;"",J745-A745,TODAY()-A745))</f>
        <v/>
      </c>
      <c r="N745" s="18" t="str">
        <f aca="false">IF(A745="","",IF(AND(OR(F745="Bekliyor",F745="Parça bekleniyor",F745="Hazır"),M745&gt;7),"7 günü geçti",""))</f>
        <v/>
      </c>
      <c r="O745" s="18" t="str">
        <f aca="false">IF(AND(A745&lt;&gt;"",OR(F745="Bekliyor",F745="Parça bekleniyor",F745="Hazır")),A745+ROW()/1000000,"")</f>
        <v/>
      </c>
    </row>
    <row r="746" customFormat="false" ht="15" hidden="false" customHeight="false" outlineLevel="0" collapsed="false">
      <c r="A746" s="12"/>
      <c r="B746" s="13"/>
      <c r="C746" s="13"/>
      <c r="D746" s="13"/>
      <c r="E746" s="13"/>
      <c r="F746" s="14"/>
      <c r="G746" s="15"/>
      <c r="H746" s="15"/>
      <c r="I746" s="15"/>
      <c r="J746" s="12"/>
      <c r="K746" s="16" t="str">
        <f aca="false">IF(A746="","",G746+H746)</f>
        <v/>
      </c>
      <c r="L746" s="16" t="str">
        <f aca="false">IF(A746="","",IF(F746="İade edildi",0,K746-I746))</f>
        <v/>
      </c>
      <c r="M746" s="17" t="str">
        <f aca="true">IF(A746="","",IF(J746&lt;&gt;"",J746-A746,TODAY()-A746))</f>
        <v/>
      </c>
      <c r="N746" s="18" t="str">
        <f aca="false">IF(A746="","",IF(AND(OR(F746="Bekliyor",F746="Parça bekleniyor",F746="Hazır"),M746&gt;7),"7 günü geçti",""))</f>
        <v/>
      </c>
      <c r="O746" s="18" t="str">
        <f aca="false">IF(AND(A746&lt;&gt;"",OR(F746="Bekliyor",F746="Parça bekleniyor",F746="Hazır")),A746+ROW()/1000000,"")</f>
        <v/>
      </c>
    </row>
    <row r="747" customFormat="false" ht="15" hidden="false" customHeight="false" outlineLevel="0" collapsed="false">
      <c r="A747" s="12"/>
      <c r="B747" s="13"/>
      <c r="C747" s="13"/>
      <c r="D747" s="13"/>
      <c r="E747" s="13"/>
      <c r="F747" s="14"/>
      <c r="G747" s="15"/>
      <c r="H747" s="15"/>
      <c r="I747" s="15"/>
      <c r="J747" s="12"/>
      <c r="K747" s="16" t="str">
        <f aca="false">IF(A747="","",G747+H747)</f>
        <v/>
      </c>
      <c r="L747" s="16" t="str">
        <f aca="false">IF(A747="","",IF(F747="İade edildi",0,K747-I747))</f>
        <v/>
      </c>
      <c r="M747" s="17" t="str">
        <f aca="true">IF(A747="","",IF(J747&lt;&gt;"",J747-A747,TODAY()-A747))</f>
        <v/>
      </c>
      <c r="N747" s="18" t="str">
        <f aca="false">IF(A747="","",IF(AND(OR(F747="Bekliyor",F747="Parça bekleniyor",F747="Hazır"),M747&gt;7),"7 günü geçti",""))</f>
        <v/>
      </c>
      <c r="O747" s="18" t="str">
        <f aca="false">IF(AND(A747&lt;&gt;"",OR(F747="Bekliyor",F747="Parça bekleniyor",F747="Hazır")),A747+ROW()/1000000,"")</f>
        <v/>
      </c>
    </row>
    <row r="748" customFormat="false" ht="15" hidden="false" customHeight="false" outlineLevel="0" collapsed="false">
      <c r="A748" s="12"/>
      <c r="B748" s="13"/>
      <c r="C748" s="13"/>
      <c r="D748" s="13"/>
      <c r="E748" s="13"/>
      <c r="F748" s="14"/>
      <c r="G748" s="15"/>
      <c r="H748" s="15"/>
      <c r="I748" s="15"/>
      <c r="J748" s="12"/>
      <c r="K748" s="16" t="str">
        <f aca="false">IF(A748="","",G748+H748)</f>
        <v/>
      </c>
      <c r="L748" s="16" t="str">
        <f aca="false">IF(A748="","",IF(F748="İade edildi",0,K748-I748))</f>
        <v/>
      </c>
      <c r="M748" s="17" t="str">
        <f aca="true">IF(A748="","",IF(J748&lt;&gt;"",J748-A748,TODAY()-A748))</f>
        <v/>
      </c>
      <c r="N748" s="18" t="str">
        <f aca="false">IF(A748="","",IF(AND(OR(F748="Bekliyor",F748="Parça bekleniyor",F748="Hazır"),M748&gt;7),"7 günü geçti",""))</f>
        <v/>
      </c>
      <c r="O748" s="18" t="str">
        <f aca="false">IF(AND(A748&lt;&gt;"",OR(F748="Bekliyor",F748="Parça bekleniyor",F748="Hazır")),A748+ROW()/1000000,"")</f>
        <v/>
      </c>
    </row>
    <row r="749" customFormat="false" ht="15" hidden="false" customHeight="false" outlineLevel="0" collapsed="false">
      <c r="A749" s="12"/>
      <c r="B749" s="13"/>
      <c r="C749" s="13"/>
      <c r="D749" s="13"/>
      <c r="E749" s="13"/>
      <c r="F749" s="14"/>
      <c r="G749" s="15"/>
      <c r="H749" s="15"/>
      <c r="I749" s="15"/>
      <c r="J749" s="12"/>
      <c r="K749" s="16" t="str">
        <f aca="false">IF(A749="","",G749+H749)</f>
        <v/>
      </c>
      <c r="L749" s="16" t="str">
        <f aca="false">IF(A749="","",IF(F749="İade edildi",0,K749-I749))</f>
        <v/>
      </c>
      <c r="M749" s="17" t="str">
        <f aca="true">IF(A749="","",IF(J749&lt;&gt;"",J749-A749,TODAY()-A749))</f>
        <v/>
      </c>
      <c r="N749" s="18" t="str">
        <f aca="false">IF(A749="","",IF(AND(OR(F749="Bekliyor",F749="Parça bekleniyor",F749="Hazır"),M749&gt;7),"7 günü geçti",""))</f>
        <v/>
      </c>
      <c r="O749" s="18" t="str">
        <f aca="false">IF(AND(A749&lt;&gt;"",OR(F749="Bekliyor",F749="Parça bekleniyor",F749="Hazır")),A749+ROW()/1000000,"")</f>
        <v/>
      </c>
    </row>
    <row r="750" customFormat="false" ht="15" hidden="false" customHeight="false" outlineLevel="0" collapsed="false">
      <c r="A750" s="12"/>
      <c r="B750" s="13"/>
      <c r="C750" s="13"/>
      <c r="D750" s="13"/>
      <c r="E750" s="13"/>
      <c r="F750" s="14"/>
      <c r="G750" s="15"/>
      <c r="H750" s="15"/>
      <c r="I750" s="15"/>
      <c r="J750" s="12"/>
      <c r="K750" s="16" t="str">
        <f aca="false">IF(A750="","",G750+H750)</f>
        <v/>
      </c>
      <c r="L750" s="16" t="str">
        <f aca="false">IF(A750="","",IF(F750="İade edildi",0,K750-I750))</f>
        <v/>
      </c>
      <c r="M750" s="17" t="str">
        <f aca="true">IF(A750="","",IF(J750&lt;&gt;"",J750-A750,TODAY()-A750))</f>
        <v/>
      </c>
      <c r="N750" s="18" t="str">
        <f aca="false">IF(A750="","",IF(AND(OR(F750="Bekliyor",F750="Parça bekleniyor",F750="Hazır"),M750&gt;7),"7 günü geçti",""))</f>
        <v/>
      </c>
      <c r="O750" s="18" t="str">
        <f aca="false">IF(AND(A750&lt;&gt;"",OR(F750="Bekliyor",F750="Parça bekleniyor",F750="Hazır")),A750+ROW()/1000000,"")</f>
        <v/>
      </c>
    </row>
    <row r="751" customFormat="false" ht="15" hidden="false" customHeight="false" outlineLevel="0" collapsed="false">
      <c r="A751" s="12"/>
      <c r="B751" s="13"/>
      <c r="C751" s="13"/>
      <c r="D751" s="13"/>
      <c r="E751" s="13"/>
      <c r="F751" s="14"/>
      <c r="G751" s="15"/>
      <c r="H751" s="15"/>
      <c r="I751" s="15"/>
      <c r="J751" s="12"/>
      <c r="K751" s="16" t="str">
        <f aca="false">IF(A751="","",G751+H751)</f>
        <v/>
      </c>
      <c r="L751" s="16" t="str">
        <f aca="false">IF(A751="","",IF(F751="İade edildi",0,K751-I751))</f>
        <v/>
      </c>
      <c r="M751" s="17" t="str">
        <f aca="true">IF(A751="","",IF(J751&lt;&gt;"",J751-A751,TODAY()-A751))</f>
        <v/>
      </c>
      <c r="N751" s="18" t="str">
        <f aca="false">IF(A751="","",IF(AND(OR(F751="Bekliyor",F751="Parça bekleniyor",F751="Hazır"),M751&gt;7),"7 günü geçti",""))</f>
        <v/>
      </c>
      <c r="O751" s="18" t="str">
        <f aca="false">IF(AND(A751&lt;&gt;"",OR(F751="Bekliyor",F751="Parça bekleniyor",F751="Hazır")),A751+ROW()/1000000,"")</f>
        <v/>
      </c>
    </row>
    <row r="752" customFormat="false" ht="15" hidden="false" customHeight="false" outlineLevel="0" collapsed="false">
      <c r="A752" s="12"/>
      <c r="B752" s="13"/>
      <c r="C752" s="13"/>
      <c r="D752" s="13"/>
      <c r="E752" s="13"/>
      <c r="F752" s="14"/>
      <c r="G752" s="15"/>
      <c r="H752" s="15"/>
      <c r="I752" s="15"/>
      <c r="J752" s="12"/>
      <c r="K752" s="16" t="str">
        <f aca="false">IF(A752="","",G752+H752)</f>
        <v/>
      </c>
      <c r="L752" s="16" t="str">
        <f aca="false">IF(A752="","",IF(F752="İade edildi",0,K752-I752))</f>
        <v/>
      </c>
      <c r="M752" s="17" t="str">
        <f aca="true">IF(A752="","",IF(J752&lt;&gt;"",J752-A752,TODAY()-A752))</f>
        <v/>
      </c>
      <c r="N752" s="18" t="str">
        <f aca="false">IF(A752="","",IF(AND(OR(F752="Bekliyor",F752="Parça bekleniyor",F752="Hazır"),M752&gt;7),"7 günü geçti",""))</f>
        <v/>
      </c>
      <c r="O752" s="18" t="str">
        <f aca="false">IF(AND(A752&lt;&gt;"",OR(F752="Bekliyor",F752="Parça bekleniyor",F752="Hazır")),A752+ROW()/1000000,"")</f>
        <v/>
      </c>
    </row>
    <row r="753" customFormat="false" ht="15" hidden="false" customHeight="false" outlineLevel="0" collapsed="false">
      <c r="A753" s="12"/>
      <c r="B753" s="13"/>
      <c r="C753" s="13"/>
      <c r="D753" s="13"/>
      <c r="E753" s="13"/>
      <c r="F753" s="14"/>
      <c r="G753" s="15"/>
      <c r="H753" s="15"/>
      <c r="I753" s="15"/>
      <c r="J753" s="12"/>
      <c r="K753" s="16" t="str">
        <f aca="false">IF(A753="","",G753+H753)</f>
        <v/>
      </c>
      <c r="L753" s="16" t="str">
        <f aca="false">IF(A753="","",IF(F753="İade edildi",0,K753-I753))</f>
        <v/>
      </c>
      <c r="M753" s="17" t="str">
        <f aca="true">IF(A753="","",IF(J753&lt;&gt;"",J753-A753,TODAY()-A753))</f>
        <v/>
      </c>
      <c r="N753" s="18" t="str">
        <f aca="false">IF(A753="","",IF(AND(OR(F753="Bekliyor",F753="Parça bekleniyor",F753="Hazır"),M753&gt;7),"7 günü geçti",""))</f>
        <v/>
      </c>
      <c r="O753" s="18" t="str">
        <f aca="false">IF(AND(A753&lt;&gt;"",OR(F753="Bekliyor",F753="Parça bekleniyor",F753="Hazır")),A753+ROW()/1000000,"")</f>
        <v/>
      </c>
    </row>
    <row r="754" customFormat="false" ht="15" hidden="false" customHeight="false" outlineLevel="0" collapsed="false">
      <c r="A754" s="12"/>
      <c r="B754" s="13"/>
      <c r="C754" s="13"/>
      <c r="D754" s="13"/>
      <c r="E754" s="13"/>
      <c r="F754" s="14"/>
      <c r="G754" s="15"/>
      <c r="H754" s="15"/>
      <c r="I754" s="15"/>
      <c r="J754" s="12"/>
      <c r="K754" s="16" t="str">
        <f aca="false">IF(A754="","",G754+H754)</f>
        <v/>
      </c>
      <c r="L754" s="16" t="str">
        <f aca="false">IF(A754="","",IF(F754="İade edildi",0,K754-I754))</f>
        <v/>
      </c>
      <c r="M754" s="17" t="str">
        <f aca="true">IF(A754="","",IF(J754&lt;&gt;"",J754-A754,TODAY()-A754))</f>
        <v/>
      </c>
      <c r="N754" s="18" t="str">
        <f aca="false">IF(A754="","",IF(AND(OR(F754="Bekliyor",F754="Parça bekleniyor",F754="Hazır"),M754&gt;7),"7 günü geçti",""))</f>
        <v/>
      </c>
      <c r="O754" s="18" t="str">
        <f aca="false">IF(AND(A754&lt;&gt;"",OR(F754="Bekliyor",F754="Parça bekleniyor",F754="Hazır")),A754+ROW()/1000000,"")</f>
        <v/>
      </c>
    </row>
    <row r="755" customFormat="false" ht="15" hidden="false" customHeight="false" outlineLevel="0" collapsed="false">
      <c r="A755" s="12"/>
      <c r="B755" s="13"/>
      <c r="C755" s="13"/>
      <c r="D755" s="13"/>
      <c r="E755" s="13"/>
      <c r="F755" s="14"/>
      <c r="G755" s="15"/>
      <c r="H755" s="15"/>
      <c r="I755" s="15"/>
      <c r="J755" s="12"/>
      <c r="K755" s="16" t="str">
        <f aca="false">IF(A755="","",G755+H755)</f>
        <v/>
      </c>
      <c r="L755" s="16" t="str">
        <f aca="false">IF(A755="","",IF(F755="İade edildi",0,K755-I755))</f>
        <v/>
      </c>
      <c r="M755" s="17" t="str">
        <f aca="true">IF(A755="","",IF(J755&lt;&gt;"",J755-A755,TODAY()-A755))</f>
        <v/>
      </c>
      <c r="N755" s="18" t="str">
        <f aca="false">IF(A755="","",IF(AND(OR(F755="Bekliyor",F755="Parça bekleniyor",F755="Hazır"),M755&gt;7),"7 günü geçti",""))</f>
        <v/>
      </c>
      <c r="O755" s="18" t="str">
        <f aca="false">IF(AND(A755&lt;&gt;"",OR(F755="Bekliyor",F755="Parça bekleniyor",F755="Hazır")),A755+ROW()/1000000,"")</f>
        <v/>
      </c>
    </row>
    <row r="756" customFormat="false" ht="15" hidden="false" customHeight="false" outlineLevel="0" collapsed="false">
      <c r="A756" s="12"/>
      <c r="B756" s="13"/>
      <c r="C756" s="13"/>
      <c r="D756" s="13"/>
      <c r="E756" s="13"/>
      <c r="F756" s="14"/>
      <c r="G756" s="15"/>
      <c r="H756" s="15"/>
      <c r="I756" s="15"/>
      <c r="J756" s="12"/>
      <c r="K756" s="16" t="str">
        <f aca="false">IF(A756="","",G756+H756)</f>
        <v/>
      </c>
      <c r="L756" s="16" t="str">
        <f aca="false">IF(A756="","",IF(F756="İade edildi",0,K756-I756))</f>
        <v/>
      </c>
      <c r="M756" s="17" t="str">
        <f aca="true">IF(A756="","",IF(J756&lt;&gt;"",J756-A756,TODAY()-A756))</f>
        <v/>
      </c>
      <c r="N756" s="18" t="str">
        <f aca="false">IF(A756="","",IF(AND(OR(F756="Bekliyor",F756="Parça bekleniyor",F756="Hazır"),M756&gt;7),"7 günü geçti",""))</f>
        <v/>
      </c>
      <c r="O756" s="18" t="str">
        <f aca="false">IF(AND(A756&lt;&gt;"",OR(F756="Bekliyor",F756="Parça bekleniyor",F756="Hazır")),A756+ROW()/1000000,"")</f>
        <v/>
      </c>
    </row>
    <row r="757" customFormat="false" ht="15" hidden="false" customHeight="false" outlineLevel="0" collapsed="false">
      <c r="A757" s="12"/>
      <c r="B757" s="13"/>
      <c r="C757" s="13"/>
      <c r="D757" s="13"/>
      <c r="E757" s="13"/>
      <c r="F757" s="14"/>
      <c r="G757" s="15"/>
      <c r="H757" s="15"/>
      <c r="I757" s="15"/>
      <c r="J757" s="12"/>
      <c r="K757" s="16" t="str">
        <f aca="false">IF(A757="","",G757+H757)</f>
        <v/>
      </c>
      <c r="L757" s="16" t="str">
        <f aca="false">IF(A757="","",IF(F757="İade edildi",0,K757-I757))</f>
        <v/>
      </c>
      <c r="M757" s="17" t="str">
        <f aca="true">IF(A757="","",IF(J757&lt;&gt;"",J757-A757,TODAY()-A757))</f>
        <v/>
      </c>
      <c r="N757" s="18" t="str">
        <f aca="false">IF(A757="","",IF(AND(OR(F757="Bekliyor",F757="Parça bekleniyor",F757="Hazır"),M757&gt;7),"7 günü geçti",""))</f>
        <v/>
      </c>
      <c r="O757" s="18" t="str">
        <f aca="false">IF(AND(A757&lt;&gt;"",OR(F757="Bekliyor",F757="Parça bekleniyor",F757="Hazır")),A757+ROW()/1000000,"")</f>
        <v/>
      </c>
    </row>
    <row r="758" customFormat="false" ht="15" hidden="false" customHeight="false" outlineLevel="0" collapsed="false">
      <c r="A758" s="12"/>
      <c r="B758" s="13"/>
      <c r="C758" s="13"/>
      <c r="D758" s="13"/>
      <c r="E758" s="13"/>
      <c r="F758" s="14"/>
      <c r="G758" s="15"/>
      <c r="H758" s="15"/>
      <c r="I758" s="15"/>
      <c r="J758" s="12"/>
      <c r="K758" s="16" t="str">
        <f aca="false">IF(A758="","",G758+H758)</f>
        <v/>
      </c>
      <c r="L758" s="16" t="str">
        <f aca="false">IF(A758="","",IF(F758="İade edildi",0,K758-I758))</f>
        <v/>
      </c>
      <c r="M758" s="17" t="str">
        <f aca="true">IF(A758="","",IF(J758&lt;&gt;"",J758-A758,TODAY()-A758))</f>
        <v/>
      </c>
      <c r="N758" s="18" t="str">
        <f aca="false">IF(A758="","",IF(AND(OR(F758="Bekliyor",F758="Parça bekleniyor",F758="Hazır"),M758&gt;7),"7 günü geçti",""))</f>
        <v/>
      </c>
      <c r="O758" s="18" t="str">
        <f aca="false">IF(AND(A758&lt;&gt;"",OR(F758="Bekliyor",F758="Parça bekleniyor",F758="Hazır")),A758+ROW()/1000000,"")</f>
        <v/>
      </c>
    </row>
    <row r="759" customFormat="false" ht="15" hidden="false" customHeight="false" outlineLevel="0" collapsed="false">
      <c r="A759" s="12"/>
      <c r="B759" s="13"/>
      <c r="C759" s="13"/>
      <c r="D759" s="13"/>
      <c r="E759" s="13"/>
      <c r="F759" s="14"/>
      <c r="G759" s="15"/>
      <c r="H759" s="15"/>
      <c r="I759" s="15"/>
      <c r="J759" s="12"/>
      <c r="K759" s="16" t="str">
        <f aca="false">IF(A759="","",G759+H759)</f>
        <v/>
      </c>
      <c r="L759" s="16" t="str">
        <f aca="false">IF(A759="","",IF(F759="İade edildi",0,K759-I759))</f>
        <v/>
      </c>
      <c r="M759" s="17" t="str">
        <f aca="true">IF(A759="","",IF(J759&lt;&gt;"",J759-A759,TODAY()-A759))</f>
        <v/>
      </c>
      <c r="N759" s="18" t="str">
        <f aca="false">IF(A759="","",IF(AND(OR(F759="Bekliyor",F759="Parça bekleniyor",F759="Hazır"),M759&gt;7),"7 günü geçti",""))</f>
        <v/>
      </c>
      <c r="O759" s="18" t="str">
        <f aca="false">IF(AND(A759&lt;&gt;"",OR(F759="Bekliyor",F759="Parça bekleniyor",F759="Hazır")),A759+ROW()/1000000,"")</f>
        <v/>
      </c>
    </row>
    <row r="760" customFormat="false" ht="15" hidden="false" customHeight="false" outlineLevel="0" collapsed="false">
      <c r="A760" s="12"/>
      <c r="B760" s="13"/>
      <c r="C760" s="13"/>
      <c r="D760" s="13"/>
      <c r="E760" s="13"/>
      <c r="F760" s="14"/>
      <c r="G760" s="15"/>
      <c r="H760" s="15"/>
      <c r="I760" s="15"/>
      <c r="J760" s="12"/>
      <c r="K760" s="16" t="str">
        <f aca="false">IF(A760="","",G760+H760)</f>
        <v/>
      </c>
      <c r="L760" s="16" t="str">
        <f aca="false">IF(A760="","",IF(F760="İade edildi",0,K760-I760))</f>
        <v/>
      </c>
      <c r="M760" s="17" t="str">
        <f aca="true">IF(A760="","",IF(J760&lt;&gt;"",J760-A760,TODAY()-A760))</f>
        <v/>
      </c>
      <c r="N760" s="18" t="str">
        <f aca="false">IF(A760="","",IF(AND(OR(F760="Bekliyor",F760="Parça bekleniyor",F760="Hazır"),M760&gt;7),"7 günü geçti",""))</f>
        <v/>
      </c>
      <c r="O760" s="18" t="str">
        <f aca="false">IF(AND(A760&lt;&gt;"",OR(F760="Bekliyor",F760="Parça bekleniyor",F760="Hazır")),A760+ROW()/1000000,"")</f>
        <v/>
      </c>
    </row>
    <row r="761" customFormat="false" ht="15" hidden="false" customHeight="false" outlineLevel="0" collapsed="false">
      <c r="A761" s="12"/>
      <c r="B761" s="13"/>
      <c r="C761" s="13"/>
      <c r="D761" s="13"/>
      <c r="E761" s="13"/>
      <c r="F761" s="14"/>
      <c r="G761" s="15"/>
      <c r="H761" s="15"/>
      <c r="I761" s="15"/>
      <c r="J761" s="12"/>
      <c r="K761" s="16" t="str">
        <f aca="false">IF(A761="","",G761+H761)</f>
        <v/>
      </c>
      <c r="L761" s="16" t="str">
        <f aca="false">IF(A761="","",IF(F761="İade edildi",0,K761-I761))</f>
        <v/>
      </c>
      <c r="M761" s="17" t="str">
        <f aca="true">IF(A761="","",IF(J761&lt;&gt;"",J761-A761,TODAY()-A761))</f>
        <v/>
      </c>
      <c r="N761" s="18" t="str">
        <f aca="false">IF(A761="","",IF(AND(OR(F761="Bekliyor",F761="Parça bekleniyor",F761="Hazır"),M761&gt;7),"7 günü geçti",""))</f>
        <v/>
      </c>
      <c r="O761" s="18" t="str">
        <f aca="false">IF(AND(A761&lt;&gt;"",OR(F761="Bekliyor",F761="Parça bekleniyor",F761="Hazır")),A761+ROW()/1000000,"")</f>
        <v/>
      </c>
    </row>
    <row r="762" customFormat="false" ht="15" hidden="false" customHeight="false" outlineLevel="0" collapsed="false">
      <c r="A762" s="12"/>
      <c r="B762" s="13"/>
      <c r="C762" s="13"/>
      <c r="D762" s="13"/>
      <c r="E762" s="13"/>
      <c r="F762" s="14"/>
      <c r="G762" s="15"/>
      <c r="H762" s="15"/>
      <c r="I762" s="15"/>
      <c r="J762" s="12"/>
      <c r="K762" s="16" t="str">
        <f aca="false">IF(A762="","",G762+H762)</f>
        <v/>
      </c>
      <c r="L762" s="16" t="str">
        <f aca="false">IF(A762="","",IF(F762="İade edildi",0,K762-I762))</f>
        <v/>
      </c>
      <c r="M762" s="17" t="str">
        <f aca="true">IF(A762="","",IF(J762&lt;&gt;"",J762-A762,TODAY()-A762))</f>
        <v/>
      </c>
      <c r="N762" s="18" t="str">
        <f aca="false">IF(A762="","",IF(AND(OR(F762="Bekliyor",F762="Parça bekleniyor",F762="Hazır"),M762&gt;7),"7 günü geçti",""))</f>
        <v/>
      </c>
      <c r="O762" s="18" t="str">
        <f aca="false">IF(AND(A762&lt;&gt;"",OR(F762="Bekliyor",F762="Parça bekleniyor",F762="Hazır")),A762+ROW()/1000000,"")</f>
        <v/>
      </c>
    </row>
    <row r="763" customFormat="false" ht="15" hidden="false" customHeight="false" outlineLevel="0" collapsed="false">
      <c r="A763" s="12"/>
      <c r="B763" s="13"/>
      <c r="C763" s="13"/>
      <c r="D763" s="13"/>
      <c r="E763" s="13"/>
      <c r="F763" s="14"/>
      <c r="G763" s="15"/>
      <c r="H763" s="15"/>
      <c r="I763" s="15"/>
      <c r="J763" s="12"/>
      <c r="K763" s="16" t="str">
        <f aca="false">IF(A763="","",G763+H763)</f>
        <v/>
      </c>
      <c r="L763" s="16" t="str">
        <f aca="false">IF(A763="","",IF(F763="İade edildi",0,K763-I763))</f>
        <v/>
      </c>
      <c r="M763" s="17" t="str">
        <f aca="true">IF(A763="","",IF(J763&lt;&gt;"",J763-A763,TODAY()-A763))</f>
        <v/>
      </c>
      <c r="N763" s="18" t="str">
        <f aca="false">IF(A763="","",IF(AND(OR(F763="Bekliyor",F763="Parça bekleniyor",F763="Hazır"),M763&gt;7),"7 günü geçti",""))</f>
        <v/>
      </c>
      <c r="O763" s="18" t="str">
        <f aca="false">IF(AND(A763&lt;&gt;"",OR(F763="Bekliyor",F763="Parça bekleniyor",F763="Hazır")),A763+ROW()/1000000,"")</f>
        <v/>
      </c>
    </row>
    <row r="764" customFormat="false" ht="15" hidden="false" customHeight="false" outlineLevel="0" collapsed="false">
      <c r="A764" s="12"/>
      <c r="B764" s="13"/>
      <c r="C764" s="13"/>
      <c r="D764" s="13"/>
      <c r="E764" s="13"/>
      <c r="F764" s="14"/>
      <c r="G764" s="15"/>
      <c r="H764" s="15"/>
      <c r="I764" s="15"/>
      <c r="J764" s="12"/>
      <c r="K764" s="16" t="str">
        <f aca="false">IF(A764="","",G764+H764)</f>
        <v/>
      </c>
      <c r="L764" s="16" t="str">
        <f aca="false">IF(A764="","",IF(F764="İade edildi",0,K764-I764))</f>
        <v/>
      </c>
      <c r="M764" s="17" t="str">
        <f aca="true">IF(A764="","",IF(J764&lt;&gt;"",J764-A764,TODAY()-A764))</f>
        <v/>
      </c>
      <c r="N764" s="18" t="str">
        <f aca="false">IF(A764="","",IF(AND(OR(F764="Bekliyor",F764="Parça bekleniyor",F764="Hazır"),M764&gt;7),"7 günü geçti",""))</f>
        <v/>
      </c>
      <c r="O764" s="18" t="str">
        <f aca="false">IF(AND(A764&lt;&gt;"",OR(F764="Bekliyor",F764="Parça bekleniyor",F764="Hazır")),A764+ROW()/1000000,"")</f>
        <v/>
      </c>
    </row>
    <row r="765" customFormat="false" ht="15" hidden="false" customHeight="false" outlineLevel="0" collapsed="false">
      <c r="A765" s="12"/>
      <c r="B765" s="13"/>
      <c r="C765" s="13"/>
      <c r="D765" s="13"/>
      <c r="E765" s="13"/>
      <c r="F765" s="14"/>
      <c r="G765" s="15"/>
      <c r="H765" s="15"/>
      <c r="I765" s="15"/>
      <c r="J765" s="12"/>
      <c r="K765" s="16" t="str">
        <f aca="false">IF(A765="","",G765+H765)</f>
        <v/>
      </c>
      <c r="L765" s="16" t="str">
        <f aca="false">IF(A765="","",IF(F765="İade edildi",0,K765-I765))</f>
        <v/>
      </c>
      <c r="M765" s="17" t="str">
        <f aca="true">IF(A765="","",IF(J765&lt;&gt;"",J765-A765,TODAY()-A765))</f>
        <v/>
      </c>
      <c r="N765" s="18" t="str">
        <f aca="false">IF(A765="","",IF(AND(OR(F765="Bekliyor",F765="Parça bekleniyor",F765="Hazır"),M765&gt;7),"7 günü geçti",""))</f>
        <v/>
      </c>
      <c r="O765" s="18" t="str">
        <f aca="false">IF(AND(A765&lt;&gt;"",OR(F765="Bekliyor",F765="Parça bekleniyor",F765="Hazır")),A765+ROW()/1000000,"")</f>
        <v/>
      </c>
    </row>
    <row r="766" customFormat="false" ht="15" hidden="false" customHeight="false" outlineLevel="0" collapsed="false">
      <c r="A766" s="12"/>
      <c r="B766" s="13"/>
      <c r="C766" s="13"/>
      <c r="D766" s="13"/>
      <c r="E766" s="13"/>
      <c r="F766" s="14"/>
      <c r="G766" s="15"/>
      <c r="H766" s="15"/>
      <c r="I766" s="15"/>
      <c r="J766" s="12"/>
      <c r="K766" s="16" t="str">
        <f aca="false">IF(A766="","",G766+H766)</f>
        <v/>
      </c>
      <c r="L766" s="16" t="str">
        <f aca="false">IF(A766="","",IF(F766="İade edildi",0,K766-I766))</f>
        <v/>
      </c>
      <c r="M766" s="17" t="str">
        <f aca="true">IF(A766="","",IF(J766&lt;&gt;"",J766-A766,TODAY()-A766))</f>
        <v/>
      </c>
      <c r="N766" s="18" t="str">
        <f aca="false">IF(A766="","",IF(AND(OR(F766="Bekliyor",F766="Parça bekleniyor",F766="Hazır"),M766&gt;7),"7 günü geçti",""))</f>
        <v/>
      </c>
      <c r="O766" s="18" t="str">
        <f aca="false">IF(AND(A766&lt;&gt;"",OR(F766="Bekliyor",F766="Parça bekleniyor",F766="Hazır")),A766+ROW()/1000000,"")</f>
        <v/>
      </c>
    </row>
    <row r="767" customFormat="false" ht="15" hidden="false" customHeight="false" outlineLevel="0" collapsed="false">
      <c r="A767" s="12"/>
      <c r="B767" s="13"/>
      <c r="C767" s="13"/>
      <c r="D767" s="13"/>
      <c r="E767" s="13"/>
      <c r="F767" s="14"/>
      <c r="G767" s="15"/>
      <c r="H767" s="15"/>
      <c r="I767" s="15"/>
      <c r="J767" s="12"/>
      <c r="K767" s="16" t="str">
        <f aca="false">IF(A767="","",G767+H767)</f>
        <v/>
      </c>
      <c r="L767" s="16" t="str">
        <f aca="false">IF(A767="","",IF(F767="İade edildi",0,K767-I767))</f>
        <v/>
      </c>
      <c r="M767" s="17" t="str">
        <f aca="true">IF(A767="","",IF(J767&lt;&gt;"",J767-A767,TODAY()-A767))</f>
        <v/>
      </c>
      <c r="N767" s="18" t="str">
        <f aca="false">IF(A767="","",IF(AND(OR(F767="Bekliyor",F767="Parça bekleniyor",F767="Hazır"),M767&gt;7),"7 günü geçti",""))</f>
        <v/>
      </c>
      <c r="O767" s="18" t="str">
        <f aca="false">IF(AND(A767&lt;&gt;"",OR(F767="Bekliyor",F767="Parça bekleniyor",F767="Hazır")),A767+ROW()/1000000,"")</f>
        <v/>
      </c>
    </row>
    <row r="768" customFormat="false" ht="15" hidden="false" customHeight="false" outlineLevel="0" collapsed="false">
      <c r="A768" s="12"/>
      <c r="B768" s="13"/>
      <c r="C768" s="13"/>
      <c r="D768" s="13"/>
      <c r="E768" s="13"/>
      <c r="F768" s="14"/>
      <c r="G768" s="15"/>
      <c r="H768" s="15"/>
      <c r="I768" s="15"/>
      <c r="J768" s="12"/>
      <c r="K768" s="16" t="str">
        <f aca="false">IF(A768="","",G768+H768)</f>
        <v/>
      </c>
      <c r="L768" s="16" t="str">
        <f aca="false">IF(A768="","",IF(F768="İade edildi",0,K768-I768))</f>
        <v/>
      </c>
      <c r="M768" s="17" t="str">
        <f aca="true">IF(A768="","",IF(J768&lt;&gt;"",J768-A768,TODAY()-A768))</f>
        <v/>
      </c>
      <c r="N768" s="18" t="str">
        <f aca="false">IF(A768="","",IF(AND(OR(F768="Bekliyor",F768="Parça bekleniyor",F768="Hazır"),M768&gt;7),"7 günü geçti",""))</f>
        <v/>
      </c>
      <c r="O768" s="18" t="str">
        <f aca="false">IF(AND(A768&lt;&gt;"",OR(F768="Bekliyor",F768="Parça bekleniyor",F768="Hazır")),A768+ROW()/1000000,"")</f>
        <v/>
      </c>
    </row>
    <row r="769" customFormat="false" ht="15" hidden="false" customHeight="false" outlineLevel="0" collapsed="false">
      <c r="A769" s="12"/>
      <c r="B769" s="13"/>
      <c r="C769" s="13"/>
      <c r="D769" s="13"/>
      <c r="E769" s="13"/>
      <c r="F769" s="14"/>
      <c r="G769" s="15"/>
      <c r="H769" s="15"/>
      <c r="I769" s="15"/>
      <c r="J769" s="12"/>
      <c r="K769" s="16" t="str">
        <f aca="false">IF(A769="","",G769+H769)</f>
        <v/>
      </c>
      <c r="L769" s="16" t="str">
        <f aca="false">IF(A769="","",IF(F769="İade edildi",0,K769-I769))</f>
        <v/>
      </c>
      <c r="M769" s="17" t="str">
        <f aca="true">IF(A769="","",IF(J769&lt;&gt;"",J769-A769,TODAY()-A769))</f>
        <v/>
      </c>
      <c r="N769" s="18" t="str">
        <f aca="false">IF(A769="","",IF(AND(OR(F769="Bekliyor",F769="Parça bekleniyor",F769="Hazır"),M769&gt;7),"7 günü geçti",""))</f>
        <v/>
      </c>
      <c r="O769" s="18" t="str">
        <f aca="false">IF(AND(A769&lt;&gt;"",OR(F769="Bekliyor",F769="Parça bekleniyor",F769="Hazır")),A769+ROW()/1000000,"")</f>
        <v/>
      </c>
    </row>
    <row r="770" customFormat="false" ht="15" hidden="false" customHeight="false" outlineLevel="0" collapsed="false">
      <c r="A770" s="12"/>
      <c r="B770" s="13"/>
      <c r="C770" s="13"/>
      <c r="D770" s="13"/>
      <c r="E770" s="13"/>
      <c r="F770" s="14"/>
      <c r="G770" s="15"/>
      <c r="H770" s="15"/>
      <c r="I770" s="15"/>
      <c r="J770" s="12"/>
      <c r="K770" s="16" t="str">
        <f aca="false">IF(A770="","",G770+H770)</f>
        <v/>
      </c>
      <c r="L770" s="16" t="str">
        <f aca="false">IF(A770="","",IF(F770="İade edildi",0,K770-I770))</f>
        <v/>
      </c>
      <c r="M770" s="17" t="str">
        <f aca="true">IF(A770="","",IF(J770&lt;&gt;"",J770-A770,TODAY()-A770))</f>
        <v/>
      </c>
      <c r="N770" s="18" t="str">
        <f aca="false">IF(A770="","",IF(AND(OR(F770="Bekliyor",F770="Parça bekleniyor",F770="Hazır"),M770&gt;7),"7 günü geçti",""))</f>
        <v/>
      </c>
      <c r="O770" s="18" t="str">
        <f aca="false">IF(AND(A770&lt;&gt;"",OR(F770="Bekliyor",F770="Parça bekleniyor",F770="Hazır")),A770+ROW()/1000000,"")</f>
        <v/>
      </c>
    </row>
    <row r="771" customFormat="false" ht="15" hidden="false" customHeight="false" outlineLevel="0" collapsed="false">
      <c r="A771" s="12"/>
      <c r="B771" s="13"/>
      <c r="C771" s="13"/>
      <c r="D771" s="13"/>
      <c r="E771" s="13"/>
      <c r="F771" s="14"/>
      <c r="G771" s="15"/>
      <c r="H771" s="15"/>
      <c r="I771" s="15"/>
      <c r="J771" s="12"/>
      <c r="K771" s="16" t="str">
        <f aca="false">IF(A771="","",G771+H771)</f>
        <v/>
      </c>
      <c r="L771" s="16" t="str">
        <f aca="false">IF(A771="","",IF(F771="İade edildi",0,K771-I771))</f>
        <v/>
      </c>
      <c r="M771" s="17" t="str">
        <f aca="true">IF(A771="","",IF(J771&lt;&gt;"",J771-A771,TODAY()-A771))</f>
        <v/>
      </c>
      <c r="N771" s="18" t="str">
        <f aca="false">IF(A771="","",IF(AND(OR(F771="Bekliyor",F771="Parça bekleniyor",F771="Hazır"),M771&gt;7),"7 günü geçti",""))</f>
        <v/>
      </c>
      <c r="O771" s="18" t="str">
        <f aca="false">IF(AND(A771&lt;&gt;"",OR(F771="Bekliyor",F771="Parça bekleniyor",F771="Hazır")),A771+ROW()/1000000,"")</f>
        <v/>
      </c>
    </row>
    <row r="772" customFormat="false" ht="15" hidden="false" customHeight="false" outlineLevel="0" collapsed="false">
      <c r="A772" s="12"/>
      <c r="B772" s="13"/>
      <c r="C772" s="13"/>
      <c r="D772" s="13"/>
      <c r="E772" s="13"/>
      <c r="F772" s="14"/>
      <c r="G772" s="15"/>
      <c r="H772" s="15"/>
      <c r="I772" s="15"/>
      <c r="J772" s="12"/>
      <c r="K772" s="16" t="str">
        <f aca="false">IF(A772="","",G772+H772)</f>
        <v/>
      </c>
      <c r="L772" s="16" t="str">
        <f aca="false">IF(A772="","",IF(F772="İade edildi",0,K772-I772))</f>
        <v/>
      </c>
      <c r="M772" s="17" t="str">
        <f aca="true">IF(A772="","",IF(J772&lt;&gt;"",J772-A772,TODAY()-A772))</f>
        <v/>
      </c>
      <c r="N772" s="18" t="str">
        <f aca="false">IF(A772="","",IF(AND(OR(F772="Bekliyor",F772="Parça bekleniyor",F772="Hazır"),M772&gt;7),"7 günü geçti",""))</f>
        <v/>
      </c>
      <c r="O772" s="18" t="str">
        <f aca="false">IF(AND(A772&lt;&gt;"",OR(F772="Bekliyor",F772="Parça bekleniyor",F772="Hazır")),A772+ROW()/1000000,"")</f>
        <v/>
      </c>
    </row>
    <row r="773" customFormat="false" ht="15" hidden="false" customHeight="false" outlineLevel="0" collapsed="false">
      <c r="A773" s="12"/>
      <c r="B773" s="13"/>
      <c r="C773" s="13"/>
      <c r="D773" s="13"/>
      <c r="E773" s="13"/>
      <c r="F773" s="14"/>
      <c r="G773" s="15"/>
      <c r="H773" s="15"/>
      <c r="I773" s="15"/>
      <c r="J773" s="12"/>
      <c r="K773" s="16" t="str">
        <f aca="false">IF(A773="","",G773+H773)</f>
        <v/>
      </c>
      <c r="L773" s="16" t="str">
        <f aca="false">IF(A773="","",IF(F773="İade edildi",0,K773-I773))</f>
        <v/>
      </c>
      <c r="M773" s="17" t="str">
        <f aca="true">IF(A773="","",IF(J773&lt;&gt;"",J773-A773,TODAY()-A773))</f>
        <v/>
      </c>
      <c r="N773" s="18" t="str">
        <f aca="false">IF(A773="","",IF(AND(OR(F773="Bekliyor",F773="Parça bekleniyor",F773="Hazır"),M773&gt;7),"7 günü geçti",""))</f>
        <v/>
      </c>
      <c r="O773" s="18" t="str">
        <f aca="false">IF(AND(A773&lt;&gt;"",OR(F773="Bekliyor",F773="Parça bekleniyor",F773="Hazır")),A773+ROW()/1000000,"")</f>
        <v/>
      </c>
    </row>
    <row r="774" customFormat="false" ht="15" hidden="false" customHeight="false" outlineLevel="0" collapsed="false">
      <c r="A774" s="12"/>
      <c r="B774" s="13"/>
      <c r="C774" s="13"/>
      <c r="D774" s="13"/>
      <c r="E774" s="13"/>
      <c r="F774" s="14"/>
      <c r="G774" s="15"/>
      <c r="H774" s="15"/>
      <c r="I774" s="15"/>
      <c r="J774" s="12"/>
      <c r="K774" s="16" t="str">
        <f aca="false">IF(A774="","",G774+H774)</f>
        <v/>
      </c>
      <c r="L774" s="16" t="str">
        <f aca="false">IF(A774="","",IF(F774="İade edildi",0,K774-I774))</f>
        <v/>
      </c>
      <c r="M774" s="17" t="str">
        <f aca="true">IF(A774="","",IF(J774&lt;&gt;"",J774-A774,TODAY()-A774))</f>
        <v/>
      </c>
      <c r="N774" s="18" t="str">
        <f aca="false">IF(A774="","",IF(AND(OR(F774="Bekliyor",F774="Parça bekleniyor",F774="Hazır"),M774&gt;7),"7 günü geçti",""))</f>
        <v/>
      </c>
      <c r="O774" s="18" t="str">
        <f aca="false">IF(AND(A774&lt;&gt;"",OR(F774="Bekliyor",F774="Parça bekleniyor",F774="Hazır")),A774+ROW()/1000000,"")</f>
        <v/>
      </c>
    </row>
    <row r="775" customFormat="false" ht="15" hidden="false" customHeight="false" outlineLevel="0" collapsed="false">
      <c r="A775" s="12"/>
      <c r="B775" s="13"/>
      <c r="C775" s="13"/>
      <c r="D775" s="13"/>
      <c r="E775" s="13"/>
      <c r="F775" s="14"/>
      <c r="G775" s="15"/>
      <c r="H775" s="15"/>
      <c r="I775" s="15"/>
      <c r="J775" s="12"/>
      <c r="K775" s="16" t="str">
        <f aca="false">IF(A775="","",G775+H775)</f>
        <v/>
      </c>
      <c r="L775" s="16" t="str">
        <f aca="false">IF(A775="","",IF(F775="İade edildi",0,K775-I775))</f>
        <v/>
      </c>
      <c r="M775" s="17" t="str">
        <f aca="true">IF(A775="","",IF(J775&lt;&gt;"",J775-A775,TODAY()-A775))</f>
        <v/>
      </c>
      <c r="N775" s="18" t="str">
        <f aca="false">IF(A775="","",IF(AND(OR(F775="Bekliyor",F775="Parça bekleniyor",F775="Hazır"),M775&gt;7),"7 günü geçti",""))</f>
        <v/>
      </c>
      <c r="O775" s="18" t="str">
        <f aca="false">IF(AND(A775&lt;&gt;"",OR(F775="Bekliyor",F775="Parça bekleniyor",F775="Hazır")),A775+ROW()/1000000,"")</f>
        <v/>
      </c>
    </row>
    <row r="776" customFormat="false" ht="15" hidden="false" customHeight="false" outlineLevel="0" collapsed="false">
      <c r="A776" s="12"/>
      <c r="B776" s="13"/>
      <c r="C776" s="13"/>
      <c r="D776" s="13"/>
      <c r="E776" s="13"/>
      <c r="F776" s="14"/>
      <c r="G776" s="15"/>
      <c r="H776" s="15"/>
      <c r="I776" s="15"/>
      <c r="J776" s="12"/>
      <c r="K776" s="16" t="str">
        <f aca="false">IF(A776="","",G776+H776)</f>
        <v/>
      </c>
      <c r="L776" s="16" t="str">
        <f aca="false">IF(A776="","",IF(F776="İade edildi",0,K776-I776))</f>
        <v/>
      </c>
      <c r="M776" s="17" t="str">
        <f aca="true">IF(A776="","",IF(J776&lt;&gt;"",J776-A776,TODAY()-A776))</f>
        <v/>
      </c>
      <c r="N776" s="18" t="str">
        <f aca="false">IF(A776="","",IF(AND(OR(F776="Bekliyor",F776="Parça bekleniyor",F776="Hazır"),M776&gt;7),"7 günü geçti",""))</f>
        <v/>
      </c>
      <c r="O776" s="18" t="str">
        <f aca="false">IF(AND(A776&lt;&gt;"",OR(F776="Bekliyor",F776="Parça bekleniyor",F776="Hazır")),A776+ROW()/1000000,"")</f>
        <v/>
      </c>
    </row>
    <row r="777" customFormat="false" ht="15" hidden="false" customHeight="false" outlineLevel="0" collapsed="false">
      <c r="A777" s="12"/>
      <c r="B777" s="13"/>
      <c r="C777" s="13"/>
      <c r="D777" s="13"/>
      <c r="E777" s="13"/>
      <c r="F777" s="14"/>
      <c r="G777" s="15"/>
      <c r="H777" s="15"/>
      <c r="I777" s="15"/>
      <c r="J777" s="12"/>
      <c r="K777" s="16" t="str">
        <f aca="false">IF(A777="","",G777+H777)</f>
        <v/>
      </c>
      <c r="L777" s="16" t="str">
        <f aca="false">IF(A777="","",IF(F777="İade edildi",0,K777-I777))</f>
        <v/>
      </c>
      <c r="M777" s="17" t="str">
        <f aca="true">IF(A777="","",IF(J777&lt;&gt;"",J777-A777,TODAY()-A777))</f>
        <v/>
      </c>
      <c r="N777" s="18" t="str">
        <f aca="false">IF(A777="","",IF(AND(OR(F777="Bekliyor",F777="Parça bekleniyor",F777="Hazır"),M777&gt;7),"7 günü geçti",""))</f>
        <v/>
      </c>
      <c r="O777" s="18" t="str">
        <f aca="false">IF(AND(A777&lt;&gt;"",OR(F777="Bekliyor",F777="Parça bekleniyor",F777="Hazır")),A777+ROW()/1000000,"")</f>
        <v/>
      </c>
    </row>
    <row r="778" customFormat="false" ht="15" hidden="false" customHeight="false" outlineLevel="0" collapsed="false">
      <c r="A778" s="12"/>
      <c r="B778" s="13"/>
      <c r="C778" s="13"/>
      <c r="D778" s="13"/>
      <c r="E778" s="13"/>
      <c r="F778" s="14"/>
      <c r="G778" s="15"/>
      <c r="H778" s="15"/>
      <c r="I778" s="15"/>
      <c r="J778" s="12"/>
      <c r="K778" s="16" t="str">
        <f aca="false">IF(A778="","",G778+H778)</f>
        <v/>
      </c>
      <c r="L778" s="16" t="str">
        <f aca="false">IF(A778="","",IF(F778="İade edildi",0,K778-I778))</f>
        <v/>
      </c>
      <c r="M778" s="17" t="str">
        <f aca="true">IF(A778="","",IF(J778&lt;&gt;"",J778-A778,TODAY()-A778))</f>
        <v/>
      </c>
      <c r="N778" s="18" t="str">
        <f aca="false">IF(A778="","",IF(AND(OR(F778="Bekliyor",F778="Parça bekleniyor",F778="Hazır"),M778&gt;7),"7 günü geçti",""))</f>
        <v/>
      </c>
      <c r="O778" s="18" t="str">
        <f aca="false">IF(AND(A778&lt;&gt;"",OR(F778="Bekliyor",F778="Parça bekleniyor",F778="Hazır")),A778+ROW()/1000000,"")</f>
        <v/>
      </c>
    </row>
    <row r="779" customFormat="false" ht="15" hidden="false" customHeight="false" outlineLevel="0" collapsed="false">
      <c r="A779" s="12"/>
      <c r="B779" s="13"/>
      <c r="C779" s="13"/>
      <c r="D779" s="13"/>
      <c r="E779" s="13"/>
      <c r="F779" s="14"/>
      <c r="G779" s="15"/>
      <c r="H779" s="15"/>
      <c r="I779" s="15"/>
      <c r="J779" s="12"/>
      <c r="K779" s="16" t="str">
        <f aca="false">IF(A779="","",G779+H779)</f>
        <v/>
      </c>
      <c r="L779" s="16" t="str">
        <f aca="false">IF(A779="","",IF(F779="İade edildi",0,K779-I779))</f>
        <v/>
      </c>
      <c r="M779" s="17" t="str">
        <f aca="true">IF(A779="","",IF(J779&lt;&gt;"",J779-A779,TODAY()-A779))</f>
        <v/>
      </c>
      <c r="N779" s="18" t="str">
        <f aca="false">IF(A779="","",IF(AND(OR(F779="Bekliyor",F779="Parça bekleniyor",F779="Hazır"),M779&gt;7),"7 günü geçti",""))</f>
        <v/>
      </c>
      <c r="O779" s="18" t="str">
        <f aca="false">IF(AND(A779&lt;&gt;"",OR(F779="Bekliyor",F779="Parça bekleniyor",F779="Hazır")),A779+ROW()/1000000,"")</f>
        <v/>
      </c>
    </row>
    <row r="780" customFormat="false" ht="15" hidden="false" customHeight="false" outlineLevel="0" collapsed="false">
      <c r="A780" s="12"/>
      <c r="B780" s="13"/>
      <c r="C780" s="13"/>
      <c r="D780" s="13"/>
      <c r="E780" s="13"/>
      <c r="F780" s="14"/>
      <c r="G780" s="15"/>
      <c r="H780" s="15"/>
      <c r="I780" s="15"/>
      <c r="J780" s="12"/>
      <c r="K780" s="16" t="str">
        <f aca="false">IF(A780="","",G780+H780)</f>
        <v/>
      </c>
      <c r="L780" s="16" t="str">
        <f aca="false">IF(A780="","",IF(F780="İade edildi",0,K780-I780))</f>
        <v/>
      </c>
      <c r="M780" s="17" t="str">
        <f aca="true">IF(A780="","",IF(J780&lt;&gt;"",J780-A780,TODAY()-A780))</f>
        <v/>
      </c>
      <c r="N780" s="18" t="str">
        <f aca="false">IF(A780="","",IF(AND(OR(F780="Bekliyor",F780="Parça bekleniyor",F780="Hazır"),M780&gt;7),"7 günü geçti",""))</f>
        <v/>
      </c>
      <c r="O780" s="18" t="str">
        <f aca="false">IF(AND(A780&lt;&gt;"",OR(F780="Bekliyor",F780="Parça bekleniyor",F780="Hazır")),A780+ROW()/1000000,"")</f>
        <v/>
      </c>
    </row>
    <row r="781" customFormat="false" ht="15" hidden="false" customHeight="false" outlineLevel="0" collapsed="false">
      <c r="A781" s="12"/>
      <c r="B781" s="13"/>
      <c r="C781" s="13"/>
      <c r="D781" s="13"/>
      <c r="E781" s="13"/>
      <c r="F781" s="14"/>
      <c r="G781" s="15"/>
      <c r="H781" s="15"/>
      <c r="I781" s="15"/>
      <c r="J781" s="12"/>
      <c r="K781" s="16" t="str">
        <f aca="false">IF(A781="","",G781+H781)</f>
        <v/>
      </c>
      <c r="L781" s="16" t="str">
        <f aca="false">IF(A781="","",IF(F781="İade edildi",0,K781-I781))</f>
        <v/>
      </c>
      <c r="M781" s="17" t="str">
        <f aca="true">IF(A781="","",IF(J781&lt;&gt;"",J781-A781,TODAY()-A781))</f>
        <v/>
      </c>
      <c r="N781" s="18" t="str">
        <f aca="false">IF(A781="","",IF(AND(OR(F781="Bekliyor",F781="Parça bekleniyor",F781="Hazır"),M781&gt;7),"7 günü geçti",""))</f>
        <v/>
      </c>
      <c r="O781" s="18" t="str">
        <f aca="false">IF(AND(A781&lt;&gt;"",OR(F781="Bekliyor",F781="Parça bekleniyor",F781="Hazır")),A781+ROW()/1000000,"")</f>
        <v/>
      </c>
    </row>
    <row r="782" customFormat="false" ht="15" hidden="false" customHeight="false" outlineLevel="0" collapsed="false">
      <c r="A782" s="12"/>
      <c r="B782" s="13"/>
      <c r="C782" s="13"/>
      <c r="D782" s="13"/>
      <c r="E782" s="13"/>
      <c r="F782" s="14"/>
      <c r="G782" s="15"/>
      <c r="H782" s="15"/>
      <c r="I782" s="15"/>
      <c r="J782" s="12"/>
      <c r="K782" s="16" t="str">
        <f aca="false">IF(A782="","",G782+H782)</f>
        <v/>
      </c>
      <c r="L782" s="16" t="str">
        <f aca="false">IF(A782="","",IF(F782="İade edildi",0,K782-I782))</f>
        <v/>
      </c>
      <c r="M782" s="17" t="str">
        <f aca="true">IF(A782="","",IF(J782&lt;&gt;"",J782-A782,TODAY()-A782))</f>
        <v/>
      </c>
      <c r="N782" s="18" t="str">
        <f aca="false">IF(A782="","",IF(AND(OR(F782="Bekliyor",F782="Parça bekleniyor",F782="Hazır"),M782&gt;7),"7 günü geçti",""))</f>
        <v/>
      </c>
      <c r="O782" s="18" t="str">
        <f aca="false">IF(AND(A782&lt;&gt;"",OR(F782="Bekliyor",F782="Parça bekleniyor",F782="Hazır")),A782+ROW()/1000000,"")</f>
        <v/>
      </c>
    </row>
    <row r="783" customFormat="false" ht="15" hidden="false" customHeight="false" outlineLevel="0" collapsed="false">
      <c r="A783" s="12"/>
      <c r="B783" s="13"/>
      <c r="C783" s="13"/>
      <c r="D783" s="13"/>
      <c r="E783" s="13"/>
      <c r="F783" s="14"/>
      <c r="G783" s="15"/>
      <c r="H783" s="15"/>
      <c r="I783" s="15"/>
      <c r="J783" s="12"/>
      <c r="K783" s="16" t="str">
        <f aca="false">IF(A783="","",G783+H783)</f>
        <v/>
      </c>
      <c r="L783" s="16" t="str">
        <f aca="false">IF(A783="","",IF(F783="İade edildi",0,K783-I783))</f>
        <v/>
      </c>
      <c r="M783" s="17" t="str">
        <f aca="true">IF(A783="","",IF(J783&lt;&gt;"",J783-A783,TODAY()-A783))</f>
        <v/>
      </c>
      <c r="N783" s="18" t="str">
        <f aca="false">IF(A783="","",IF(AND(OR(F783="Bekliyor",F783="Parça bekleniyor",F783="Hazır"),M783&gt;7),"7 günü geçti",""))</f>
        <v/>
      </c>
      <c r="O783" s="18" t="str">
        <f aca="false">IF(AND(A783&lt;&gt;"",OR(F783="Bekliyor",F783="Parça bekleniyor",F783="Hazır")),A783+ROW()/1000000,"")</f>
        <v/>
      </c>
    </row>
    <row r="784" customFormat="false" ht="15" hidden="false" customHeight="false" outlineLevel="0" collapsed="false">
      <c r="A784" s="12"/>
      <c r="B784" s="13"/>
      <c r="C784" s="13"/>
      <c r="D784" s="13"/>
      <c r="E784" s="13"/>
      <c r="F784" s="14"/>
      <c r="G784" s="15"/>
      <c r="H784" s="15"/>
      <c r="I784" s="15"/>
      <c r="J784" s="12"/>
      <c r="K784" s="16" t="str">
        <f aca="false">IF(A784="","",G784+H784)</f>
        <v/>
      </c>
      <c r="L784" s="16" t="str">
        <f aca="false">IF(A784="","",IF(F784="İade edildi",0,K784-I784))</f>
        <v/>
      </c>
      <c r="M784" s="17" t="str">
        <f aca="true">IF(A784="","",IF(J784&lt;&gt;"",J784-A784,TODAY()-A784))</f>
        <v/>
      </c>
      <c r="N784" s="18" t="str">
        <f aca="false">IF(A784="","",IF(AND(OR(F784="Bekliyor",F784="Parça bekleniyor",F784="Hazır"),M784&gt;7),"7 günü geçti",""))</f>
        <v/>
      </c>
      <c r="O784" s="18" t="str">
        <f aca="false">IF(AND(A784&lt;&gt;"",OR(F784="Bekliyor",F784="Parça bekleniyor",F784="Hazır")),A784+ROW()/1000000,"")</f>
        <v/>
      </c>
    </row>
    <row r="785" customFormat="false" ht="15" hidden="false" customHeight="false" outlineLevel="0" collapsed="false">
      <c r="A785" s="12"/>
      <c r="B785" s="13"/>
      <c r="C785" s="13"/>
      <c r="D785" s="13"/>
      <c r="E785" s="13"/>
      <c r="F785" s="14"/>
      <c r="G785" s="15"/>
      <c r="H785" s="15"/>
      <c r="I785" s="15"/>
      <c r="J785" s="12"/>
      <c r="K785" s="16" t="str">
        <f aca="false">IF(A785="","",G785+H785)</f>
        <v/>
      </c>
      <c r="L785" s="16" t="str">
        <f aca="false">IF(A785="","",IF(F785="İade edildi",0,K785-I785))</f>
        <v/>
      </c>
      <c r="M785" s="17" t="str">
        <f aca="true">IF(A785="","",IF(J785&lt;&gt;"",J785-A785,TODAY()-A785))</f>
        <v/>
      </c>
      <c r="N785" s="18" t="str">
        <f aca="false">IF(A785="","",IF(AND(OR(F785="Bekliyor",F785="Parça bekleniyor",F785="Hazır"),M785&gt;7),"7 günü geçti",""))</f>
        <v/>
      </c>
      <c r="O785" s="18" t="str">
        <f aca="false">IF(AND(A785&lt;&gt;"",OR(F785="Bekliyor",F785="Parça bekleniyor",F785="Hazır")),A785+ROW()/1000000,"")</f>
        <v/>
      </c>
    </row>
    <row r="786" customFormat="false" ht="15" hidden="false" customHeight="false" outlineLevel="0" collapsed="false">
      <c r="A786" s="12"/>
      <c r="B786" s="13"/>
      <c r="C786" s="13"/>
      <c r="D786" s="13"/>
      <c r="E786" s="13"/>
      <c r="F786" s="14"/>
      <c r="G786" s="15"/>
      <c r="H786" s="15"/>
      <c r="I786" s="15"/>
      <c r="J786" s="12"/>
      <c r="K786" s="16" t="str">
        <f aca="false">IF(A786="","",G786+H786)</f>
        <v/>
      </c>
      <c r="L786" s="16" t="str">
        <f aca="false">IF(A786="","",IF(F786="İade edildi",0,K786-I786))</f>
        <v/>
      </c>
      <c r="M786" s="17" t="str">
        <f aca="true">IF(A786="","",IF(J786&lt;&gt;"",J786-A786,TODAY()-A786))</f>
        <v/>
      </c>
      <c r="N786" s="18" t="str">
        <f aca="false">IF(A786="","",IF(AND(OR(F786="Bekliyor",F786="Parça bekleniyor",F786="Hazır"),M786&gt;7),"7 günü geçti",""))</f>
        <v/>
      </c>
      <c r="O786" s="18" t="str">
        <f aca="false">IF(AND(A786&lt;&gt;"",OR(F786="Bekliyor",F786="Parça bekleniyor",F786="Hazır")),A786+ROW()/1000000,"")</f>
        <v/>
      </c>
    </row>
    <row r="787" customFormat="false" ht="15" hidden="false" customHeight="false" outlineLevel="0" collapsed="false">
      <c r="A787" s="12"/>
      <c r="B787" s="13"/>
      <c r="C787" s="13"/>
      <c r="D787" s="13"/>
      <c r="E787" s="13"/>
      <c r="F787" s="14"/>
      <c r="G787" s="15"/>
      <c r="H787" s="15"/>
      <c r="I787" s="15"/>
      <c r="J787" s="12"/>
      <c r="K787" s="16" t="str">
        <f aca="false">IF(A787="","",G787+H787)</f>
        <v/>
      </c>
      <c r="L787" s="16" t="str">
        <f aca="false">IF(A787="","",IF(F787="İade edildi",0,K787-I787))</f>
        <v/>
      </c>
      <c r="M787" s="17" t="str">
        <f aca="true">IF(A787="","",IF(J787&lt;&gt;"",J787-A787,TODAY()-A787))</f>
        <v/>
      </c>
      <c r="N787" s="18" t="str">
        <f aca="false">IF(A787="","",IF(AND(OR(F787="Bekliyor",F787="Parça bekleniyor",F787="Hazır"),M787&gt;7),"7 günü geçti",""))</f>
        <v/>
      </c>
      <c r="O787" s="18" t="str">
        <f aca="false">IF(AND(A787&lt;&gt;"",OR(F787="Bekliyor",F787="Parça bekleniyor",F787="Hazır")),A787+ROW()/1000000,"")</f>
        <v/>
      </c>
    </row>
    <row r="788" customFormat="false" ht="15" hidden="false" customHeight="false" outlineLevel="0" collapsed="false">
      <c r="A788" s="12"/>
      <c r="B788" s="13"/>
      <c r="C788" s="13"/>
      <c r="D788" s="13"/>
      <c r="E788" s="13"/>
      <c r="F788" s="14"/>
      <c r="G788" s="15"/>
      <c r="H788" s="15"/>
      <c r="I788" s="15"/>
      <c r="J788" s="12"/>
      <c r="K788" s="16" t="str">
        <f aca="false">IF(A788="","",G788+H788)</f>
        <v/>
      </c>
      <c r="L788" s="16" t="str">
        <f aca="false">IF(A788="","",IF(F788="İade edildi",0,K788-I788))</f>
        <v/>
      </c>
      <c r="M788" s="17" t="str">
        <f aca="true">IF(A788="","",IF(J788&lt;&gt;"",J788-A788,TODAY()-A788))</f>
        <v/>
      </c>
      <c r="N788" s="18" t="str">
        <f aca="false">IF(A788="","",IF(AND(OR(F788="Bekliyor",F788="Parça bekleniyor",F788="Hazır"),M788&gt;7),"7 günü geçti",""))</f>
        <v/>
      </c>
      <c r="O788" s="18" t="str">
        <f aca="false">IF(AND(A788&lt;&gt;"",OR(F788="Bekliyor",F788="Parça bekleniyor",F788="Hazır")),A788+ROW()/1000000,"")</f>
        <v/>
      </c>
    </row>
    <row r="789" customFormat="false" ht="15" hidden="false" customHeight="false" outlineLevel="0" collapsed="false">
      <c r="A789" s="12"/>
      <c r="B789" s="13"/>
      <c r="C789" s="13"/>
      <c r="D789" s="13"/>
      <c r="E789" s="13"/>
      <c r="F789" s="14"/>
      <c r="G789" s="15"/>
      <c r="H789" s="15"/>
      <c r="I789" s="15"/>
      <c r="J789" s="12"/>
      <c r="K789" s="16" t="str">
        <f aca="false">IF(A789="","",G789+H789)</f>
        <v/>
      </c>
      <c r="L789" s="16" t="str">
        <f aca="false">IF(A789="","",IF(F789="İade edildi",0,K789-I789))</f>
        <v/>
      </c>
      <c r="M789" s="17" t="str">
        <f aca="true">IF(A789="","",IF(J789&lt;&gt;"",J789-A789,TODAY()-A789))</f>
        <v/>
      </c>
      <c r="N789" s="18" t="str">
        <f aca="false">IF(A789="","",IF(AND(OR(F789="Bekliyor",F789="Parça bekleniyor",F789="Hazır"),M789&gt;7),"7 günü geçti",""))</f>
        <v/>
      </c>
      <c r="O789" s="18" t="str">
        <f aca="false">IF(AND(A789&lt;&gt;"",OR(F789="Bekliyor",F789="Parça bekleniyor",F789="Hazır")),A789+ROW()/1000000,"")</f>
        <v/>
      </c>
    </row>
    <row r="790" customFormat="false" ht="15" hidden="false" customHeight="false" outlineLevel="0" collapsed="false">
      <c r="A790" s="12"/>
      <c r="B790" s="13"/>
      <c r="C790" s="13"/>
      <c r="D790" s="13"/>
      <c r="E790" s="13"/>
      <c r="F790" s="14"/>
      <c r="G790" s="15"/>
      <c r="H790" s="15"/>
      <c r="I790" s="15"/>
      <c r="J790" s="12"/>
      <c r="K790" s="16" t="str">
        <f aca="false">IF(A790="","",G790+H790)</f>
        <v/>
      </c>
      <c r="L790" s="16" t="str">
        <f aca="false">IF(A790="","",IF(F790="İade edildi",0,K790-I790))</f>
        <v/>
      </c>
      <c r="M790" s="17" t="str">
        <f aca="true">IF(A790="","",IF(J790&lt;&gt;"",J790-A790,TODAY()-A790))</f>
        <v/>
      </c>
      <c r="N790" s="18" t="str">
        <f aca="false">IF(A790="","",IF(AND(OR(F790="Bekliyor",F790="Parça bekleniyor",F790="Hazır"),M790&gt;7),"7 günü geçti",""))</f>
        <v/>
      </c>
      <c r="O790" s="18" t="str">
        <f aca="false">IF(AND(A790&lt;&gt;"",OR(F790="Bekliyor",F790="Parça bekleniyor",F790="Hazır")),A790+ROW()/1000000,"")</f>
        <v/>
      </c>
    </row>
    <row r="791" customFormat="false" ht="15" hidden="false" customHeight="false" outlineLevel="0" collapsed="false">
      <c r="A791" s="12"/>
      <c r="B791" s="13"/>
      <c r="C791" s="13"/>
      <c r="D791" s="13"/>
      <c r="E791" s="13"/>
      <c r="F791" s="14"/>
      <c r="G791" s="15"/>
      <c r="H791" s="15"/>
      <c r="I791" s="15"/>
      <c r="J791" s="12"/>
      <c r="K791" s="16" t="str">
        <f aca="false">IF(A791="","",G791+H791)</f>
        <v/>
      </c>
      <c r="L791" s="16" t="str">
        <f aca="false">IF(A791="","",IF(F791="İade edildi",0,K791-I791))</f>
        <v/>
      </c>
      <c r="M791" s="17" t="str">
        <f aca="true">IF(A791="","",IF(J791&lt;&gt;"",J791-A791,TODAY()-A791))</f>
        <v/>
      </c>
      <c r="N791" s="18" t="str">
        <f aca="false">IF(A791="","",IF(AND(OR(F791="Bekliyor",F791="Parça bekleniyor",F791="Hazır"),M791&gt;7),"7 günü geçti",""))</f>
        <v/>
      </c>
      <c r="O791" s="18" t="str">
        <f aca="false">IF(AND(A791&lt;&gt;"",OR(F791="Bekliyor",F791="Parça bekleniyor",F791="Hazır")),A791+ROW()/1000000,"")</f>
        <v/>
      </c>
    </row>
    <row r="792" customFormat="false" ht="15" hidden="false" customHeight="false" outlineLevel="0" collapsed="false">
      <c r="A792" s="12"/>
      <c r="B792" s="13"/>
      <c r="C792" s="13"/>
      <c r="D792" s="13"/>
      <c r="E792" s="13"/>
      <c r="F792" s="14"/>
      <c r="G792" s="15"/>
      <c r="H792" s="15"/>
      <c r="I792" s="15"/>
      <c r="J792" s="12"/>
      <c r="K792" s="16" t="str">
        <f aca="false">IF(A792="","",G792+H792)</f>
        <v/>
      </c>
      <c r="L792" s="16" t="str">
        <f aca="false">IF(A792="","",IF(F792="İade edildi",0,K792-I792))</f>
        <v/>
      </c>
      <c r="M792" s="17" t="str">
        <f aca="true">IF(A792="","",IF(J792&lt;&gt;"",J792-A792,TODAY()-A792))</f>
        <v/>
      </c>
      <c r="N792" s="18" t="str">
        <f aca="false">IF(A792="","",IF(AND(OR(F792="Bekliyor",F792="Parça bekleniyor",F792="Hazır"),M792&gt;7),"7 günü geçti",""))</f>
        <v/>
      </c>
      <c r="O792" s="18" t="str">
        <f aca="false">IF(AND(A792&lt;&gt;"",OR(F792="Bekliyor",F792="Parça bekleniyor",F792="Hazır")),A792+ROW()/1000000,"")</f>
        <v/>
      </c>
    </row>
    <row r="793" customFormat="false" ht="15" hidden="false" customHeight="false" outlineLevel="0" collapsed="false">
      <c r="A793" s="12"/>
      <c r="B793" s="13"/>
      <c r="C793" s="13"/>
      <c r="D793" s="13"/>
      <c r="E793" s="13"/>
      <c r="F793" s="14"/>
      <c r="G793" s="15"/>
      <c r="H793" s="15"/>
      <c r="I793" s="15"/>
      <c r="J793" s="12"/>
      <c r="K793" s="16" t="str">
        <f aca="false">IF(A793="","",G793+H793)</f>
        <v/>
      </c>
      <c r="L793" s="16" t="str">
        <f aca="false">IF(A793="","",IF(F793="İade edildi",0,K793-I793))</f>
        <v/>
      </c>
      <c r="M793" s="17" t="str">
        <f aca="true">IF(A793="","",IF(J793&lt;&gt;"",J793-A793,TODAY()-A793))</f>
        <v/>
      </c>
      <c r="N793" s="18" t="str">
        <f aca="false">IF(A793="","",IF(AND(OR(F793="Bekliyor",F793="Parça bekleniyor",F793="Hazır"),M793&gt;7),"7 günü geçti",""))</f>
        <v/>
      </c>
      <c r="O793" s="18" t="str">
        <f aca="false">IF(AND(A793&lt;&gt;"",OR(F793="Bekliyor",F793="Parça bekleniyor",F793="Hazır")),A793+ROW()/1000000,"")</f>
        <v/>
      </c>
    </row>
    <row r="794" customFormat="false" ht="15" hidden="false" customHeight="false" outlineLevel="0" collapsed="false">
      <c r="A794" s="12"/>
      <c r="B794" s="13"/>
      <c r="C794" s="13"/>
      <c r="D794" s="13"/>
      <c r="E794" s="13"/>
      <c r="F794" s="14"/>
      <c r="G794" s="15"/>
      <c r="H794" s="15"/>
      <c r="I794" s="15"/>
      <c r="J794" s="12"/>
      <c r="K794" s="16" t="str">
        <f aca="false">IF(A794="","",G794+H794)</f>
        <v/>
      </c>
      <c r="L794" s="16" t="str">
        <f aca="false">IF(A794="","",IF(F794="İade edildi",0,K794-I794))</f>
        <v/>
      </c>
      <c r="M794" s="17" t="str">
        <f aca="true">IF(A794="","",IF(J794&lt;&gt;"",J794-A794,TODAY()-A794))</f>
        <v/>
      </c>
      <c r="N794" s="18" t="str">
        <f aca="false">IF(A794="","",IF(AND(OR(F794="Bekliyor",F794="Parça bekleniyor",F794="Hazır"),M794&gt;7),"7 günü geçti",""))</f>
        <v/>
      </c>
      <c r="O794" s="18" t="str">
        <f aca="false">IF(AND(A794&lt;&gt;"",OR(F794="Bekliyor",F794="Parça bekleniyor",F794="Hazır")),A794+ROW()/1000000,"")</f>
        <v/>
      </c>
    </row>
    <row r="795" customFormat="false" ht="15" hidden="false" customHeight="false" outlineLevel="0" collapsed="false">
      <c r="A795" s="12"/>
      <c r="B795" s="13"/>
      <c r="C795" s="13"/>
      <c r="D795" s="13"/>
      <c r="E795" s="13"/>
      <c r="F795" s="14"/>
      <c r="G795" s="15"/>
      <c r="H795" s="15"/>
      <c r="I795" s="15"/>
      <c r="J795" s="12"/>
      <c r="K795" s="16" t="str">
        <f aca="false">IF(A795="","",G795+H795)</f>
        <v/>
      </c>
      <c r="L795" s="16" t="str">
        <f aca="false">IF(A795="","",IF(F795="İade edildi",0,K795-I795))</f>
        <v/>
      </c>
      <c r="M795" s="17" t="str">
        <f aca="true">IF(A795="","",IF(J795&lt;&gt;"",J795-A795,TODAY()-A795))</f>
        <v/>
      </c>
      <c r="N795" s="18" t="str">
        <f aca="false">IF(A795="","",IF(AND(OR(F795="Bekliyor",F795="Parça bekleniyor",F795="Hazır"),M795&gt;7),"7 günü geçti",""))</f>
        <v/>
      </c>
      <c r="O795" s="18" t="str">
        <f aca="false">IF(AND(A795&lt;&gt;"",OR(F795="Bekliyor",F795="Parça bekleniyor",F795="Hazır")),A795+ROW()/1000000,"")</f>
        <v/>
      </c>
    </row>
    <row r="796" customFormat="false" ht="15" hidden="false" customHeight="false" outlineLevel="0" collapsed="false">
      <c r="A796" s="12"/>
      <c r="B796" s="13"/>
      <c r="C796" s="13"/>
      <c r="D796" s="13"/>
      <c r="E796" s="13"/>
      <c r="F796" s="14"/>
      <c r="G796" s="15"/>
      <c r="H796" s="15"/>
      <c r="I796" s="15"/>
      <c r="J796" s="12"/>
      <c r="K796" s="16" t="str">
        <f aca="false">IF(A796="","",G796+H796)</f>
        <v/>
      </c>
      <c r="L796" s="16" t="str">
        <f aca="false">IF(A796="","",IF(F796="İade edildi",0,K796-I796))</f>
        <v/>
      </c>
      <c r="M796" s="17" t="str">
        <f aca="true">IF(A796="","",IF(J796&lt;&gt;"",J796-A796,TODAY()-A796))</f>
        <v/>
      </c>
      <c r="N796" s="18" t="str">
        <f aca="false">IF(A796="","",IF(AND(OR(F796="Bekliyor",F796="Parça bekleniyor",F796="Hazır"),M796&gt;7),"7 günü geçti",""))</f>
        <v/>
      </c>
      <c r="O796" s="18" t="str">
        <f aca="false">IF(AND(A796&lt;&gt;"",OR(F796="Bekliyor",F796="Parça bekleniyor",F796="Hazır")),A796+ROW()/1000000,"")</f>
        <v/>
      </c>
    </row>
    <row r="797" customFormat="false" ht="15" hidden="false" customHeight="false" outlineLevel="0" collapsed="false">
      <c r="A797" s="12"/>
      <c r="B797" s="13"/>
      <c r="C797" s="13"/>
      <c r="D797" s="13"/>
      <c r="E797" s="13"/>
      <c r="F797" s="14"/>
      <c r="G797" s="15"/>
      <c r="H797" s="15"/>
      <c r="I797" s="15"/>
      <c r="J797" s="12"/>
      <c r="K797" s="16" t="str">
        <f aca="false">IF(A797="","",G797+H797)</f>
        <v/>
      </c>
      <c r="L797" s="16" t="str">
        <f aca="false">IF(A797="","",IF(F797="İade edildi",0,K797-I797))</f>
        <v/>
      </c>
      <c r="M797" s="17" t="str">
        <f aca="true">IF(A797="","",IF(J797&lt;&gt;"",J797-A797,TODAY()-A797))</f>
        <v/>
      </c>
      <c r="N797" s="18" t="str">
        <f aca="false">IF(A797="","",IF(AND(OR(F797="Bekliyor",F797="Parça bekleniyor",F797="Hazır"),M797&gt;7),"7 günü geçti",""))</f>
        <v/>
      </c>
      <c r="O797" s="18" t="str">
        <f aca="false">IF(AND(A797&lt;&gt;"",OR(F797="Bekliyor",F797="Parça bekleniyor",F797="Hazır")),A797+ROW()/1000000,"")</f>
        <v/>
      </c>
    </row>
    <row r="798" customFormat="false" ht="15" hidden="false" customHeight="false" outlineLevel="0" collapsed="false">
      <c r="A798" s="12"/>
      <c r="B798" s="13"/>
      <c r="C798" s="13"/>
      <c r="D798" s="13"/>
      <c r="E798" s="13"/>
      <c r="F798" s="14"/>
      <c r="G798" s="15"/>
      <c r="H798" s="15"/>
      <c r="I798" s="15"/>
      <c r="J798" s="12"/>
      <c r="K798" s="16" t="str">
        <f aca="false">IF(A798="","",G798+H798)</f>
        <v/>
      </c>
      <c r="L798" s="16" t="str">
        <f aca="false">IF(A798="","",IF(F798="İade edildi",0,K798-I798))</f>
        <v/>
      </c>
      <c r="M798" s="17" t="str">
        <f aca="true">IF(A798="","",IF(J798&lt;&gt;"",J798-A798,TODAY()-A798))</f>
        <v/>
      </c>
      <c r="N798" s="18" t="str">
        <f aca="false">IF(A798="","",IF(AND(OR(F798="Bekliyor",F798="Parça bekleniyor",F798="Hazır"),M798&gt;7),"7 günü geçti",""))</f>
        <v/>
      </c>
      <c r="O798" s="18" t="str">
        <f aca="false">IF(AND(A798&lt;&gt;"",OR(F798="Bekliyor",F798="Parça bekleniyor",F798="Hazır")),A798+ROW()/1000000,"")</f>
        <v/>
      </c>
    </row>
    <row r="799" customFormat="false" ht="15" hidden="false" customHeight="false" outlineLevel="0" collapsed="false">
      <c r="A799" s="12"/>
      <c r="B799" s="13"/>
      <c r="C799" s="13"/>
      <c r="D799" s="13"/>
      <c r="E799" s="13"/>
      <c r="F799" s="14"/>
      <c r="G799" s="15"/>
      <c r="H799" s="15"/>
      <c r="I799" s="15"/>
      <c r="J799" s="12"/>
      <c r="K799" s="16" t="str">
        <f aca="false">IF(A799="","",G799+H799)</f>
        <v/>
      </c>
      <c r="L799" s="16" t="str">
        <f aca="false">IF(A799="","",IF(F799="İade edildi",0,K799-I799))</f>
        <v/>
      </c>
      <c r="M799" s="17" t="str">
        <f aca="true">IF(A799="","",IF(J799&lt;&gt;"",J799-A799,TODAY()-A799))</f>
        <v/>
      </c>
      <c r="N799" s="18" t="str">
        <f aca="false">IF(A799="","",IF(AND(OR(F799="Bekliyor",F799="Parça bekleniyor",F799="Hazır"),M799&gt;7),"7 günü geçti",""))</f>
        <v/>
      </c>
      <c r="O799" s="18" t="str">
        <f aca="false">IF(AND(A799&lt;&gt;"",OR(F799="Bekliyor",F799="Parça bekleniyor",F799="Hazır")),A799+ROW()/1000000,"")</f>
        <v/>
      </c>
    </row>
    <row r="800" customFormat="false" ht="15" hidden="false" customHeight="false" outlineLevel="0" collapsed="false">
      <c r="A800" s="12"/>
      <c r="B800" s="13"/>
      <c r="C800" s="13"/>
      <c r="D800" s="13"/>
      <c r="E800" s="13"/>
      <c r="F800" s="14"/>
      <c r="G800" s="15"/>
      <c r="H800" s="15"/>
      <c r="I800" s="15"/>
      <c r="J800" s="12"/>
      <c r="K800" s="16" t="str">
        <f aca="false">IF(A800="","",G800+H800)</f>
        <v/>
      </c>
      <c r="L800" s="16" t="str">
        <f aca="false">IF(A800="","",IF(F800="İade edildi",0,K800-I800))</f>
        <v/>
      </c>
      <c r="M800" s="17" t="str">
        <f aca="true">IF(A800="","",IF(J800&lt;&gt;"",J800-A800,TODAY()-A800))</f>
        <v/>
      </c>
      <c r="N800" s="18" t="str">
        <f aca="false">IF(A800="","",IF(AND(OR(F800="Bekliyor",F800="Parça bekleniyor",F800="Hazır"),M800&gt;7),"7 günü geçti",""))</f>
        <v/>
      </c>
      <c r="O800" s="18" t="str">
        <f aca="false">IF(AND(A800&lt;&gt;"",OR(F800="Bekliyor",F800="Parça bekleniyor",F800="Hazır")),A800+ROW()/1000000,"")</f>
        <v/>
      </c>
    </row>
    <row r="801" customFormat="false" ht="15" hidden="false" customHeight="false" outlineLevel="0" collapsed="false">
      <c r="A801" s="12"/>
      <c r="B801" s="13"/>
      <c r="C801" s="13"/>
      <c r="D801" s="13"/>
      <c r="E801" s="13"/>
      <c r="F801" s="14"/>
      <c r="G801" s="15"/>
      <c r="H801" s="15"/>
      <c r="I801" s="15"/>
      <c r="J801" s="12"/>
      <c r="K801" s="16" t="str">
        <f aca="false">IF(A801="","",G801+H801)</f>
        <v/>
      </c>
      <c r="L801" s="16" t="str">
        <f aca="false">IF(A801="","",IF(F801="İade edildi",0,K801-I801))</f>
        <v/>
      </c>
      <c r="M801" s="17" t="str">
        <f aca="true">IF(A801="","",IF(J801&lt;&gt;"",J801-A801,TODAY()-A801))</f>
        <v/>
      </c>
      <c r="N801" s="18" t="str">
        <f aca="false">IF(A801="","",IF(AND(OR(F801="Bekliyor",F801="Parça bekleniyor",F801="Hazır"),M801&gt;7),"7 günü geçti",""))</f>
        <v/>
      </c>
      <c r="O801" s="18" t="str">
        <f aca="false">IF(AND(A801&lt;&gt;"",OR(F801="Bekliyor",F801="Parça bekleniyor",F801="Hazır")),A801+ROW()/1000000,"")</f>
        <v/>
      </c>
    </row>
    <row r="802" customFormat="false" ht="15" hidden="false" customHeight="false" outlineLevel="0" collapsed="false">
      <c r="A802" s="12"/>
      <c r="B802" s="13"/>
      <c r="C802" s="13"/>
      <c r="D802" s="13"/>
      <c r="E802" s="13"/>
      <c r="F802" s="14"/>
      <c r="G802" s="15"/>
      <c r="H802" s="15"/>
      <c r="I802" s="15"/>
      <c r="J802" s="12"/>
      <c r="K802" s="16" t="str">
        <f aca="false">IF(A802="","",G802+H802)</f>
        <v/>
      </c>
      <c r="L802" s="16" t="str">
        <f aca="false">IF(A802="","",IF(F802="İade edildi",0,K802-I802))</f>
        <v/>
      </c>
      <c r="M802" s="17" t="str">
        <f aca="true">IF(A802="","",IF(J802&lt;&gt;"",J802-A802,TODAY()-A802))</f>
        <v/>
      </c>
      <c r="N802" s="18" t="str">
        <f aca="false">IF(A802="","",IF(AND(OR(F802="Bekliyor",F802="Parça bekleniyor",F802="Hazır"),M802&gt;7),"7 günü geçti",""))</f>
        <v/>
      </c>
      <c r="O802" s="18" t="str">
        <f aca="false">IF(AND(A802&lt;&gt;"",OR(F802="Bekliyor",F802="Parça bekleniyor",F802="Hazır")),A802+ROW()/1000000,"")</f>
        <v/>
      </c>
    </row>
    <row r="803" customFormat="false" ht="15" hidden="false" customHeight="false" outlineLevel="0" collapsed="false">
      <c r="A803" s="12"/>
      <c r="B803" s="13"/>
      <c r="C803" s="13"/>
      <c r="D803" s="13"/>
      <c r="E803" s="13"/>
      <c r="F803" s="14"/>
      <c r="G803" s="15"/>
      <c r="H803" s="15"/>
      <c r="I803" s="15"/>
      <c r="J803" s="12"/>
      <c r="K803" s="16" t="str">
        <f aca="false">IF(A803="","",G803+H803)</f>
        <v/>
      </c>
      <c r="L803" s="16" t="str">
        <f aca="false">IF(A803="","",IF(F803="İade edildi",0,K803-I803))</f>
        <v/>
      </c>
      <c r="M803" s="17" t="str">
        <f aca="true">IF(A803="","",IF(J803&lt;&gt;"",J803-A803,TODAY()-A803))</f>
        <v/>
      </c>
      <c r="N803" s="18" t="str">
        <f aca="false">IF(A803="","",IF(AND(OR(F803="Bekliyor",F803="Parça bekleniyor",F803="Hazır"),M803&gt;7),"7 günü geçti",""))</f>
        <v/>
      </c>
      <c r="O803" s="18" t="str">
        <f aca="false">IF(AND(A803&lt;&gt;"",OR(F803="Bekliyor",F803="Parça bekleniyor",F803="Hazır")),A803+ROW()/1000000,"")</f>
        <v/>
      </c>
    </row>
    <row r="804" customFormat="false" ht="15" hidden="false" customHeight="false" outlineLevel="0" collapsed="false">
      <c r="A804" s="12"/>
      <c r="B804" s="13"/>
      <c r="C804" s="13"/>
      <c r="D804" s="13"/>
      <c r="E804" s="13"/>
      <c r="F804" s="14"/>
      <c r="G804" s="15"/>
      <c r="H804" s="15"/>
      <c r="I804" s="15"/>
      <c r="J804" s="12"/>
      <c r="K804" s="16" t="str">
        <f aca="false">IF(A804="","",G804+H804)</f>
        <v/>
      </c>
      <c r="L804" s="16" t="str">
        <f aca="false">IF(A804="","",IF(F804="İade edildi",0,K804-I804))</f>
        <v/>
      </c>
      <c r="M804" s="17" t="str">
        <f aca="true">IF(A804="","",IF(J804&lt;&gt;"",J804-A804,TODAY()-A804))</f>
        <v/>
      </c>
      <c r="N804" s="18" t="str">
        <f aca="false">IF(A804="","",IF(AND(OR(F804="Bekliyor",F804="Parça bekleniyor",F804="Hazır"),M804&gt;7),"7 günü geçti",""))</f>
        <v/>
      </c>
      <c r="O804" s="18" t="str">
        <f aca="false">IF(AND(A804&lt;&gt;"",OR(F804="Bekliyor",F804="Parça bekleniyor",F804="Hazır")),A804+ROW()/1000000,"")</f>
        <v/>
      </c>
    </row>
    <row r="805" customFormat="false" ht="15" hidden="false" customHeight="false" outlineLevel="0" collapsed="false">
      <c r="A805" s="12"/>
      <c r="B805" s="13"/>
      <c r="C805" s="13"/>
      <c r="D805" s="13"/>
      <c r="E805" s="13"/>
      <c r="F805" s="14"/>
      <c r="G805" s="15"/>
      <c r="H805" s="15"/>
      <c r="I805" s="15"/>
      <c r="J805" s="12"/>
      <c r="K805" s="16" t="str">
        <f aca="false">IF(A805="","",G805+H805)</f>
        <v/>
      </c>
      <c r="L805" s="16" t="str">
        <f aca="false">IF(A805="","",IF(F805="İade edildi",0,K805-I805))</f>
        <v/>
      </c>
      <c r="M805" s="17" t="str">
        <f aca="true">IF(A805="","",IF(J805&lt;&gt;"",J805-A805,TODAY()-A805))</f>
        <v/>
      </c>
      <c r="N805" s="18" t="str">
        <f aca="false">IF(A805="","",IF(AND(OR(F805="Bekliyor",F805="Parça bekleniyor",F805="Hazır"),M805&gt;7),"7 günü geçti",""))</f>
        <v/>
      </c>
      <c r="O805" s="18" t="str">
        <f aca="false">IF(AND(A805&lt;&gt;"",OR(F805="Bekliyor",F805="Parça bekleniyor",F805="Hazır")),A805+ROW()/1000000,"")</f>
        <v/>
      </c>
    </row>
    <row r="806" customFormat="false" ht="15" hidden="false" customHeight="false" outlineLevel="0" collapsed="false">
      <c r="A806" s="12"/>
      <c r="B806" s="13"/>
      <c r="C806" s="13"/>
      <c r="D806" s="13"/>
      <c r="E806" s="13"/>
      <c r="F806" s="14"/>
      <c r="G806" s="15"/>
      <c r="H806" s="15"/>
      <c r="I806" s="15"/>
      <c r="J806" s="12"/>
      <c r="K806" s="16" t="str">
        <f aca="false">IF(A806="","",G806+H806)</f>
        <v/>
      </c>
      <c r="L806" s="16" t="str">
        <f aca="false">IF(A806="","",IF(F806="İade edildi",0,K806-I806))</f>
        <v/>
      </c>
      <c r="M806" s="17" t="str">
        <f aca="true">IF(A806="","",IF(J806&lt;&gt;"",J806-A806,TODAY()-A806))</f>
        <v/>
      </c>
      <c r="N806" s="18" t="str">
        <f aca="false">IF(A806="","",IF(AND(OR(F806="Bekliyor",F806="Parça bekleniyor",F806="Hazır"),M806&gt;7),"7 günü geçti",""))</f>
        <v/>
      </c>
      <c r="O806" s="18" t="str">
        <f aca="false">IF(AND(A806&lt;&gt;"",OR(F806="Bekliyor",F806="Parça bekleniyor",F806="Hazır")),A806+ROW()/1000000,"")</f>
        <v/>
      </c>
    </row>
    <row r="807" customFormat="false" ht="15" hidden="false" customHeight="false" outlineLevel="0" collapsed="false">
      <c r="A807" s="12"/>
      <c r="B807" s="13"/>
      <c r="C807" s="13"/>
      <c r="D807" s="13"/>
      <c r="E807" s="13"/>
      <c r="F807" s="14"/>
      <c r="G807" s="15"/>
      <c r="H807" s="15"/>
      <c r="I807" s="15"/>
      <c r="J807" s="12"/>
      <c r="K807" s="16" t="str">
        <f aca="false">IF(A807="","",G807+H807)</f>
        <v/>
      </c>
      <c r="L807" s="16" t="str">
        <f aca="false">IF(A807="","",IF(F807="İade edildi",0,K807-I807))</f>
        <v/>
      </c>
      <c r="M807" s="17" t="str">
        <f aca="true">IF(A807="","",IF(J807&lt;&gt;"",J807-A807,TODAY()-A807))</f>
        <v/>
      </c>
      <c r="N807" s="18" t="str">
        <f aca="false">IF(A807="","",IF(AND(OR(F807="Bekliyor",F807="Parça bekleniyor",F807="Hazır"),M807&gt;7),"7 günü geçti",""))</f>
        <v/>
      </c>
      <c r="O807" s="18" t="str">
        <f aca="false">IF(AND(A807&lt;&gt;"",OR(F807="Bekliyor",F807="Parça bekleniyor",F807="Hazır")),A807+ROW()/1000000,"")</f>
        <v/>
      </c>
    </row>
    <row r="808" customFormat="false" ht="15" hidden="false" customHeight="false" outlineLevel="0" collapsed="false">
      <c r="A808" s="12"/>
      <c r="B808" s="13"/>
      <c r="C808" s="13"/>
      <c r="D808" s="13"/>
      <c r="E808" s="13"/>
      <c r="F808" s="14"/>
      <c r="G808" s="15"/>
      <c r="H808" s="15"/>
      <c r="I808" s="15"/>
      <c r="J808" s="12"/>
      <c r="K808" s="16" t="str">
        <f aca="false">IF(A808="","",G808+H808)</f>
        <v/>
      </c>
      <c r="L808" s="16" t="str">
        <f aca="false">IF(A808="","",IF(F808="İade edildi",0,K808-I808))</f>
        <v/>
      </c>
      <c r="M808" s="17" t="str">
        <f aca="true">IF(A808="","",IF(J808&lt;&gt;"",J808-A808,TODAY()-A808))</f>
        <v/>
      </c>
      <c r="N808" s="18" t="str">
        <f aca="false">IF(A808="","",IF(AND(OR(F808="Bekliyor",F808="Parça bekleniyor",F808="Hazır"),M808&gt;7),"7 günü geçti",""))</f>
        <v/>
      </c>
      <c r="O808" s="18" t="str">
        <f aca="false">IF(AND(A808&lt;&gt;"",OR(F808="Bekliyor",F808="Parça bekleniyor",F808="Hazır")),A808+ROW()/1000000,"")</f>
        <v/>
      </c>
    </row>
    <row r="809" customFormat="false" ht="15" hidden="false" customHeight="false" outlineLevel="0" collapsed="false">
      <c r="A809" s="12"/>
      <c r="B809" s="13"/>
      <c r="C809" s="13"/>
      <c r="D809" s="13"/>
      <c r="E809" s="13"/>
      <c r="F809" s="14"/>
      <c r="G809" s="15"/>
      <c r="H809" s="15"/>
      <c r="I809" s="15"/>
      <c r="J809" s="12"/>
      <c r="K809" s="16" t="str">
        <f aca="false">IF(A809="","",G809+H809)</f>
        <v/>
      </c>
      <c r="L809" s="16" t="str">
        <f aca="false">IF(A809="","",IF(F809="İade edildi",0,K809-I809))</f>
        <v/>
      </c>
      <c r="M809" s="17" t="str">
        <f aca="true">IF(A809="","",IF(J809&lt;&gt;"",J809-A809,TODAY()-A809))</f>
        <v/>
      </c>
      <c r="N809" s="18" t="str">
        <f aca="false">IF(A809="","",IF(AND(OR(F809="Bekliyor",F809="Parça bekleniyor",F809="Hazır"),M809&gt;7),"7 günü geçti",""))</f>
        <v/>
      </c>
      <c r="O809" s="18" t="str">
        <f aca="false">IF(AND(A809&lt;&gt;"",OR(F809="Bekliyor",F809="Parça bekleniyor",F809="Hazır")),A809+ROW()/1000000,"")</f>
        <v/>
      </c>
    </row>
    <row r="810" customFormat="false" ht="15" hidden="false" customHeight="false" outlineLevel="0" collapsed="false">
      <c r="A810" s="12"/>
      <c r="B810" s="13"/>
      <c r="C810" s="13"/>
      <c r="D810" s="13"/>
      <c r="E810" s="13"/>
      <c r="F810" s="14"/>
      <c r="G810" s="15"/>
      <c r="H810" s="15"/>
      <c r="I810" s="15"/>
      <c r="J810" s="12"/>
      <c r="K810" s="16" t="str">
        <f aca="false">IF(A810="","",G810+H810)</f>
        <v/>
      </c>
      <c r="L810" s="16" t="str">
        <f aca="false">IF(A810="","",IF(F810="İade edildi",0,K810-I810))</f>
        <v/>
      </c>
      <c r="M810" s="17" t="str">
        <f aca="true">IF(A810="","",IF(J810&lt;&gt;"",J810-A810,TODAY()-A810))</f>
        <v/>
      </c>
      <c r="N810" s="18" t="str">
        <f aca="false">IF(A810="","",IF(AND(OR(F810="Bekliyor",F810="Parça bekleniyor",F810="Hazır"),M810&gt;7),"7 günü geçti",""))</f>
        <v/>
      </c>
      <c r="O810" s="18" t="str">
        <f aca="false">IF(AND(A810&lt;&gt;"",OR(F810="Bekliyor",F810="Parça bekleniyor",F810="Hazır")),A810+ROW()/1000000,"")</f>
        <v/>
      </c>
    </row>
    <row r="811" customFormat="false" ht="15" hidden="false" customHeight="false" outlineLevel="0" collapsed="false">
      <c r="A811" s="12"/>
      <c r="B811" s="13"/>
      <c r="C811" s="13"/>
      <c r="D811" s="13"/>
      <c r="E811" s="13"/>
      <c r="F811" s="14"/>
      <c r="G811" s="15"/>
      <c r="H811" s="15"/>
      <c r="I811" s="15"/>
      <c r="J811" s="12"/>
      <c r="K811" s="16" t="str">
        <f aca="false">IF(A811="","",G811+H811)</f>
        <v/>
      </c>
      <c r="L811" s="16" t="str">
        <f aca="false">IF(A811="","",IF(F811="İade edildi",0,K811-I811))</f>
        <v/>
      </c>
      <c r="M811" s="17" t="str">
        <f aca="true">IF(A811="","",IF(J811&lt;&gt;"",J811-A811,TODAY()-A811))</f>
        <v/>
      </c>
      <c r="N811" s="18" t="str">
        <f aca="false">IF(A811="","",IF(AND(OR(F811="Bekliyor",F811="Parça bekleniyor",F811="Hazır"),M811&gt;7),"7 günü geçti",""))</f>
        <v/>
      </c>
      <c r="O811" s="18" t="str">
        <f aca="false">IF(AND(A811&lt;&gt;"",OR(F811="Bekliyor",F811="Parça bekleniyor",F811="Hazır")),A811+ROW()/1000000,"")</f>
        <v/>
      </c>
    </row>
    <row r="812" customFormat="false" ht="15" hidden="false" customHeight="false" outlineLevel="0" collapsed="false">
      <c r="A812" s="12"/>
      <c r="B812" s="13"/>
      <c r="C812" s="13"/>
      <c r="D812" s="13"/>
      <c r="E812" s="13"/>
      <c r="F812" s="14"/>
      <c r="G812" s="15"/>
      <c r="H812" s="15"/>
      <c r="I812" s="15"/>
      <c r="J812" s="12"/>
      <c r="K812" s="16" t="str">
        <f aca="false">IF(A812="","",G812+H812)</f>
        <v/>
      </c>
      <c r="L812" s="16" t="str">
        <f aca="false">IF(A812="","",IF(F812="İade edildi",0,K812-I812))</f>
        <v/>
      </c>
      <c r="M812" s="17" t="str">
        <f aca="true">IF(A812="","",IF(J812&lt;&gt;"",J812-A812,TODAY()-A812))</f>
        <v/>
      </c>
      <c r="N812" s="18" t="str">
        <f aca="false">IF(A812="","",IF(AND(OR(F812="Bekliyor",F812="Parça bekleniyor",F812="Hazır"),M812&gt;7),"7 günü geçti",""))</f>
        <v/>
      </c>
      <c r="O812" s="18" t="str">
        <f aca="false">IF(AND(A812&lt;&gt;"",OR(F812="Bekliyor",F812="Parça bekleniyor",F812="Hazır")),A812+ROW()/1000000,"")</f>
        <v/>
      </c>
    </row>
    <row r="813" customFormat="false" ht="15" hidden="false" customHeight="false" outlineLevel="0" collapsed="false">
      <c r="A813" s="12"/>
      <c r="B813" s="13"/>
      <c r="C813" s="13"/>
      <c r="D813" s="13"/>
      <c r="E813" s="13"/>
      <c r="F813" s="14"/>
      <c r="G813" s="15"/>
      <c r="H813" s="15"/>
      <c r="I813" s="15"/>
      <c r="J813" s="12"/>
      <c r="K813" s="16" t="str">
        <f aca="false">IF(A813="","",G813+H813)</f>
        <v/>
      </c>
      <c r="L813" s="16" t="str">
        <f aca="false">IF(A813="","",IF(F813="İade edildi",0,K813-I813))</f>
        <v/>
      </c>
      <c r="M813" s="17" t="str">
        <f aca="true">IF(A813="","",IF(J813&lt;&gt;"",J813-A813,TODAY()-A813))</f>
        <v/>
      </c>
      <c r="N813" s="18" t="str">
        <f aca="false">IF(A813="","",IF(AND(OR(F813="Bekliyor",F813="Parça bekleniyor",F813="Hazır"),M813&gt;7),"7 günü geçti",""))</f>
        <v/>
      </c>
      <c r="O813" s="18" t="str">
        <f aca="false">IF(AND(A813&lt;&gt;"",OR(F813="Bekliyor",F813="Parça bekleniyor",F813="Hazır")),A813+ROW()/1000000,"")</f>
        <v/>
      </c>
    </row>
    <row r="814" customFormat="false" ht="15" hidden="false" customHeight="false" outlineLevel="0" collapsed="false">
      <c r="A814" s="12"/>
      <c r="B814" s="13"/>
      <c r="C814" s="13"/>
      <c r="D814" s="13"/>
      <c r="E814" s="13"/>
      <c r="F814" s="14"/>
      <c r="G814" s="15"/>
      <c r="H814" s="15"/>
      <c r="I814" s="15"/>
      <c r="J814" s="12"/>
      <c r="K814" s="16" t="str">
        <f aca="false">IF(A814="","",G814+H814)</f>
        <v/>
      </c>
      <c r="L814" s="16" t="str">
        <f aca="false">IF(A814="","",IF(F814="İade edildi",0,K814-I814))</f>
        <v/>
      </c>
      <c r="M814" s="17" t="str">
        <f aca="true">IF(A814="","",IF(J814&lt;&gt;"",J814-A814,TODAY()-A814))</f>
        <v/>
      </c>
      <c r="N814" s="18" t="str">
        <f aca="false">IF(A814="","",IF(AND(OR(F814="Bekliyor",F814="Parça bekleniyor",F814="Hazır"),M814&gt;7),"7 günü geçti",""))</f>
        <v/>
      </c>
      <c r="O814" s="18" t="str">
        <f aca="false">IF(AND(A814&lt;&gt;"",OR(F814="Bekliyor",F814="Parça bekleniyor",F814="Hazır")),A814+ROW()/1000000,"")</f>
        <v/>
      </c>
    </row>
    <row r="815" customFormat="false" ht="15" hidden="false" customHeight="false" outlineLevel="0" collapsed="false">
      <c r="A815" s="12"/>
      <c r="B815" s="13"/>
      <c r="C815" s="13"/>
      <c r="D815" s="13"/>
      <c r="E815" s="13"/>
      <c r="F815" s="14"/>
      <c r="G815" s="15"/>
      <c r="H815" s="15"/>
      <c r="I815" s="15"/>
      <c r="J815" s="12"/>
      <c r="K815" s="16" t="str">
        <f aca="false">IF(A815="","",G815+H815)</f>
        <v/>
      </c>
      <c r="L815" s="16" t="str">
        <f aca="false">IF(A815="","",IF(F815="İade edildi",0,K815-I815))</f>
        <v/>
      </c>
      <c r="M815" s="17" t="str">
        <f aca="true">IF(A815="","",IF(J815&lt;&gt;"",J815-A815,TODAY()-A815))</f>
        <v/>
      </c>
      <c r="N815" s="18" t="str">
        <f aca="false">IF(A815="","",IF(AND(OR(F815="Bekliyor",F815="Parça bekleniyor",F815="Hazır"),M815&gt;7),"7 günü geçti",""))</f>
        <v/>
      </c>
      <c r="O815" s="18" t="str">
        <f aca="false">IF(AND(A815&lt;&gt;"",OR(F815="Bekliyor",F815="Parça bekleniyor",F815="Hazır")),A815+ROW()/1000000,"")</f>
        <v/>
      </c>
    </row>
    <row r="816" customFormat="false" ht="15" hidden="false" customHeight="false" outlineLevel="0" collapsed="false">
      <c r="A816" s="12"/>
      <c r="B816" s="13"/>
      <c r="C816" s="13"/>
      <c r="D816" s="13"/>
      <c r="E816" s="13"/>
      <c r="F816" s="14"/>
      <c r="G816" s="15"/>
      <c r="H816" s="15"/>
      <c r="I816" s="15"/>
      <c r="J816" s="12"/>
      <c r="K816" s="16" t="str">
        <f aca="false">IF(A816="","",G816+H816)</f>
        <v/>
      </c>
      <c r="L816" s="16" t="str">
        <f aca="false">IF(A816="","",IF(F816="İade edildi",0,K816-I816))</f>
        <v/>
      </c>
      <c r="M816" s="17" t="str">
        <f aca="true">IF(A816="","",IF(J816&lt;&gt;"",J816-A816,TODAY()-A816))</f>
        <v/>
      </c>
      <c r="N816" s="18" t="str">
        <f aca="false">IF(A816="","",IF(AND(OR(F816="Bekliyor",F816="Parça bekleniyor",F816="Hazır"),M816&gt;7),"7 günü geçti",""))</f>
        <v/>
      </c>
      <c r="O816" s="18" t="str">
        <f aca="false">IF(AND(A816&lt;&gt;"",OR(F816="Bekliyor",F816="Parça bekleniyor",F816="Hazır")),A816+ROW()/1000000,"")</f>
        <v/>
      </c>
    </row>
    <row r="817" customFormat="false" ht="15" hidden="false" customHeight="false" outlineLevel="0" collapsed="false">
      <c r="A817" s="12"/>
      <c r="B817" s="13"/>
      <c r="C817" s="13"/>
      <c r="D817" s="13"/>
      <c r="E817" s="13"/>
      <c r="F817" s="14"/>
      <c r="G817" s="15"/>
      <c r="H817" s="15"/>
      <c r="I817" s="15"/>
      <c r="J817" s="12"/>
      <c r="K817" s="16" t="str">
        <f aca="false">IF(A817="","",G817+H817)</f>
        <v/>
      </c>
      <c r="L817" s="16" t="str">
        <f aca="false">IF(A817="","",IF(F817="İade edildi",0,K817-I817))</f>
        <v/>
      </c>
      <c r="M817" s="17" t="str">
        <f aca="true">IF(A817="","",IF(J817&lt;&gt;"",J817-A817,TODAY()-A817))</f>
        <v/>
      </c>
      <c r="N817" s="18" t="str">
        <f aca="false">IF(A817="","",IF(AND(OR(F817="Bekliyor",F817="Parça bekleniyor",F817="Hazır"),M817&gt;7),"7 günü geçti",""))</f>
        <v/>
      </c>
      <c r="O817" s="18" t="str">
        <f aca="false">IF(AND(A817&lt;&gt;"",OR(F817="Bekliyor",F817="Parça bekleniyor",F817="Hazır")),A817+ROW()/1000000,"")</f>
        <v/>
      </c>
    </row>
    <row r="818" customFormat="false" ht="15" hidden="false" customHeight="false" outlineLevel="0" collapsed="false">
      <c r="A818" s="12"/>
      <c r="B818" s="13"/>
      <c r="C818" s="13"/>
      <c r="D818" s="13"/>
      <c r="E818" s="13"/>
      <c r="F818" s="14"/>
      <c r="G818" s="15"/>
      <c r="H818" s="15"/>
      <c r="I818" s="15"/>
      <c r="J818" s="12"/>
      <c r="K818" s="16" t="str">
        <f aca="false">IF(A818="","",G818+H818)</f>
        <v/>
      </c>
      <c r="L818" s="16" t="str">
        <f aca="false">IF(A818="","",IF(F818="İade edildi",0,K818-I818))</f>
        <v/>
      </c>
      <c r="M818" s="17" t="str">
        <f aca="true">IF(A818="","",IF(J818&lt;&gt;"",J818-A818,TODAY()-A818))</f>
        <v/>
      </c>
      <c r="N818" s="18" t="str">
        <f aca="false">IF(A818="","",IF(AND(OR(F818="Bekliyor",F818="Parça bekleniyor",F818="Hazır"),M818&gt;7),"7 günü geçti",""))</f>
        <v/>
      </c>
      <c r="O818" s="18" t="str">
        <f aca="false">IF(AND(A818&lt;&gt;"",OR(F818="Bekliyor",F818="Parça bekleniyor",F818="Hazır")),A818+ROW()/1000000,"")</f>
        <v/>
      </c>
    </row>
    <row r="819" customFormat="false" ht="15" hidden="false" customHeight="false" outlineLevel="0" collapsed="false">
      <c r="A819" s="12"/>
      <c r="B819" s="13"/>
      <c r="C819" s="13"/>
      <c r="D819" s="13"/>
      <c r="E819" s="13"/>
      <c r="F819" s="14"/>
      <c r="G819" s="15"/>
      <c r="H819" s="15"/>
      <c r="I819" s="15"/>
      <c r="J819" s="12"/>
      <c r="K819" s="16" t="str">
        <f aca="false">IF(A819="","",G819+H819)</f>
        <v/>
      </c>
      <c r="L819" s="16" t="str">
        <f aca="false">IF(A819="","",IF(F819="İade edildi",0,K819-I819))</f>
        <v/>
      </c>
      <c r="M819" s="17" t="str">
        <f aca="true">IF(A819="","",IF(J819&lt;&gt;"",J819-A819,TODAY()-A819))</f>
        <v/>
      </c>
      <c r="N819" s="18" t="str">
        <f aca="false">IF(A819="","",IF(AND(OR(F819="Bekliyor",F819="Parça bekleniyor",F819="Hazır"),M819&gt;7),"7 günü geçti",""))</f>
        <v/>
      </c>
      <c r="O819" s="18" t="str">
        <f aca="false">IF(AND(A819&lt;&gt;"",OR(F819="Bekliyor",F819="Parça bekleniyor",F819="Hazır")),A819+ROW()/1000000,"")</f>
        <v/>
      </c>
    </row>
    <row r="820" customFormat="false" ht="15" hidden="false" customHeight="false" outlineLevel="0" collapsed="false">
      <c r="A820" s="12"/>
      <c r="B820" s="13"/>
      <c r="C820" s="13"/>
      <c r="D820" s="13"/>
      <c r="E820" s="13"/>
      <c r="F820" s="14"/>
      <c r="G820" s="15"/>
      <c r="H820" s="15"/>
      <c r="I820" s="15"/>
      <c r="J820" s="12"/>
      <c r="K820" s="16" t="str">
        <f aca="false">IF(A820="","",G820+H820)</f>
        <v/>
      </c>
      <c r="L820" s="16" t="str">
        <f aca="false">IF(A820="","",IF(F820="İade edildi",0,K820-I820))</f>
        <v/>
      </c>
      <c r="M820" s="17" t="str">
        <f aca="true">IF(A820="","",IF(J820&lt;&gt;"",J820-A820,TODAY()-A820))</f>
        <v/>
      </c>
      <c r="N820" s="18" t="str">
        <f aca="false">IF(A820="","",IF(AND(OR(F820="Bekliyor",F820="Parça bekleniyor",F820="Hazır"),M820&gt;7),"7 günü geçti",""))</f>
        <v/>
      </c>
      <c r="O820" s="18" t="str">
        <f aca="false">IF(AND(A820&lt;&gt;"",OR(F820="Bekliyor",F820="Parça bekleniyor",F820="Hazır")),A820+ROW()/1000000,"")</f>
        <v/>
      </c>
    </row>
    <row r="821" customFormat="false" ht="15" hidden="false" customHeight="false" outlineLevel="0" collapsed="false">
      <c r="A821" s="12"/>
      <c r="B821" s="13"/>
      <c r="C821" s="13"/>
      <c r="D821" s="13"/>
      <c r="E821" s="13"/>
      <c r="F821" s="14"/>
      <c r="G821" s="15"/>
      <c r="H821" s="15"/>
      <c r="I821" s="15"/>
      <c r="J821" s="12"/>
      <c r="K821" s="16" t="str">
        <f aca="false">IF(A821="","",G821+H821)</f>
        <v/>
      </c>
      <c r="L821" s="16" t="str">
        <f aca="false">IF(A821="","",IF(F821="İade edildi",0,K821-I821))</f>
        <v/>
      </c>
      <c r="M821" s="17" t="str">
        <f aca="true">IF(A821="","",IF(J821&lt;&gt;"",J821-A821,TODAY()-A821))</f>
        <v/>
      </c>
      <c r="N821" s="18" t="str">
        <f aca="false">IF(A821="","",IF(AND(OR(F821="Bekliyor",F821="Parça bekleniyor",F821="Hazır"),M821&gt;7),"7 günü geçti",""))</f>
        <v/>
      </c>
      <c r="O821" s="18" t="str">
        <f aca="false">IF(AND(A821&lt;&gt;"",OR(F821="Bekliyor",F821="Parça bekleniyor",F821="Hazır")),A821+ROW()/1000000,"")</f>
        <v/>
      </c>
    </row>
    <row r="822" customFormat="false" ht="15" hidden="false" customHeight="false" outlineLevel="0" collapsed="false">
      <c r="A822" s="12"/>
      <c r="B822" s="13"/>
      <c r="C822" s="13"/>
      <c r="D822" s="13"/>
      <c r="E822" s="13"/>
      <c r="F822" s="14"/>
      <c r="G822" s="15"/>
      <c r="H822" s="15"/>
      <c r="I822" s="15"/>
      <c r="J822" s="12"/>
      <c r="K822" s="16" t="str">
        <f aca="false">IF(A822="","",G822+H822)</f>
        <v/>
      </c>
      <c r="L822" s="16" t="str">
        <f aca="false">IF(A822="","",IF(F822="İade edildi",0,K822-I822))</f>
        <v/>
      </c>
      <c r="M822" s="17" t="str">
        <f aca="true">IF(A822="","",IF(J822&lt;&gt;"",J822-A822,TODAY()-A822))</f>
        <v/>
      </c>
      <c r="N822" s="18" t="str">
        <f aca="false">IF(A822="","",IF(AND(OR(F822="Bekliyor",F822="Parça bekleniyor",F822="Hazır"),M822&gt;7),"7 günü geçti",""))</f>
        <v/>
      </c>
      <c r="O822" s="18" t="str">
        <f aca="false">IF(AND(A822&lt;&gt;"",OR(F822="Bekliyor",F822="Parça bekleniyor",F822="Hazır")),A822+ROW()/1000000,"")</f>
        <v/>
      </c>
    </row>
    <row r="823" customFormat="false" ht="15" hidden="false" customHeight="false" outlineLevel="0" collapsed="false">
      <c r="A823" s="12"/>
      <c r="B823" s="13"/>
      <c r="C823" s="13"/>
      <c r="D823" s="13"/>
      <c r="E823" s="13"/>
      <c r="F823" s="14"/>
      <c r="G823" s="15"/>
      <c r="H823" s="15"/>
      <c r="I823" s="15"/>
      <c r="J823" s="12"/>
      <c r="K823" s="16" t="str">
        <f aca="false">IF(A823="","",G823+H823)</f>
        <v/>
      </c>
      <c r="L823" s="16" t="str">
        <f aca="false">IF(A823="","",IF(F823="İade edildi",0,K823-I823))</f>
        <v/>
      </c>
      <c r="M823" s="17" t="str">
        <f aca="true">IF(A823="","",IF(J823&lt;&gt;"",J823-A823,TODAY()-A823))</f>
        <v/>
      </c>
      <c r="N823" s="18" t="str">
        <f aca="false">IF(A823="","",IF(AND(OR(F823="Bekliyor",F823="Parça bekleniyor",F823="Hazır"),M823&gt;7),"7 günü geçti",""))</f>
        <v/>
      </c>
      <c r="O823" s="18" t="str">
        <f aca="false">IF(AND(A823&lt;&gt;"",OR(F823="Bekliyor",F823="Parça bekleniyor",F823="Hazır")),A823+ROW()/1000000,"")</f>
        <v/>
      </c>
    </row>
    <row r="824" customFormat="false" ht="15" hidden="false" customHeight="false" outlineLevel="0" collapsed="false">
      <c r="A824" s="12"/>
      <c r="B824" s="13"/>
      <c r="C824" s="13"/>
      <c r="D824" s="13"/>
      <c r="E824" s="13"/>
      <c r="F824" s="14"/>
      <c r="G824" s="15"/>
      <c r="H824" s="15"/>
      <c r="I824" s="15"/>
      <c r="J824" s="12"/>
      <c r="K824" s="16" t="str">
        <f aca="false">IF(A824="","",G824+H824)</f>
        <v/>
      </c>
      <c r="L824" s="16" t="str">
        <f aca="false">IF(A824="","",IF(F824="İade edildi",0,K824-I824))</f>
        <v/>
      </c>
      <c r="M824" s="17" t="str">
        <f aca="true">IF(A824="","",IF(J824&lt;&gt;"",J824-A824,TODAY()-A824))</f>
        <v/>
      </c>
      <c r="N824" s="18" t="str">
        <f aca="false">IF(A824="","",IF(AND(OR(F824="Bekliyor",F824="Parça bekleniyor",F824="Hazır"),M824&gt;7),"7 günü geçti",""))</f>
        <v/>
      </c>
      <c r="O824" s="18" t="str">
        <f aca="false">IF(AND(A824&lt;&gt;"",OR(F824="Bekliyor",F824="Parça bekleniyor",F824="Hazır")),A824+ROW()/1000000,"")</f>
        <v/>
      </c>
    </row>
    <row r="825" customFormat="false" ht="15" hidden="false" customHeight="false" outlineLevel="0" collapsed="false">
      <c r="A825" s="12"/>
      <c r="B825" s="13"/>
      <c r="C825" s="13"/>
      <c r="D825" s="13"/>
      <c r="E825" s="13"/>
      <c r="F825" s="14"/>
      <c r="G825" s="15"/>
      <c r="H825" s="15"/>
      <c r="I825" s="15"/>
      <c r="J825" s="12"/>
      <c r="K825" s="16" t="str">
        <f aca="false">IF(A825="","",G825+H825)</f>
        <v/>
      </c>
      <c r="L825" s="16" t="str">
        <f aca="false">IF(A825="","",IF(F825="İade edildi",0,K825-I825))</f>
        <v/>
      </c>
      <c r="M825" s="17" t="str">
        <f aca="true">IF(A825="","",IF(J825&lt;&gt;"",J825-A825,TODAY()-A825))</f>
        <v/>
      </c>
      <c r="N825" s="18" t="str">
        <f aca="false">IF(A825="","",IF(AND(OR(F825="Bekliyor",F825="Parça bekleniyor",F825="Hazır"),M825&gt;7),"7 günü geçti",""))</f>
        <v/>
      </c>
      <c r="O825" s="18" t="str">
        <f aca="false">IF(AND(A825&lt;&gt;"",OR(F825="Bekliyor",F825="Parça bekleniyor",F825="Hazır")),A825+ROW()/1000000,"")</f>
        <v/>
      </c>
    </row>
    <row r="826" customFormat="false" ht="15" hidden="false" customHeight="false" outlineLevel="0" collapsed="false">
      <c r="A826" s="12"/>
      <c r="B826" s="13"/>
      <c r="C826" s="13"/>
      <c r="D826" s="13"/>
      <c r="E826" s="13"/>
      <c r="F826" s="14"/>
      <c r="G826" s="15"/>
      <c r="H826" s="15"/>
      <c r="I826" s="15"/>
      <c r="J826" s="12"/>
      <c r="K826" s="16" t="str">
        <f aca="false">IF(A826="","",G826+H826)</f>
        <v/>
      </c>
      <c r="L826" s="16" t="str">
        <f aca="false">IF(A826="","",IF(F826="İade edildi",0,K826-I826))</f>
        <v/>
      </c>
      <c r="M826" s="17" t="str">
        <f aca="true">IF(A826="","",IF(J826&lt;&gt;"",J826-A826,TODAY()-A826))</f>
        <v/>
      </c>
      <c r="N826" s="18" t="str">
        <f aca="false">IF(A826="","",IF(AND(OR(F826="Bekliyor",F826="Parça bekleniyor",F826="Hazır"),M826&gt;7),"7 günü geçti",""))</f>
        <v/>
      </c>
      <c r="O826" s="18" t="str">
        <f aca="false">IF(AND(A826&lt;&gt;"",OR(F826="Bekliyor",F826="Parça bekleniyor",F826="Hazır")),A826+ROW()/1000000,"")</f>
        <v/>
      </c>
    </row>
    <row r="827" customFormat="false" ht="15" hidden="false" customHeight="false" outlineLevel="0" collapsed="false">
      <c r="A827" s="12"/>
      <c r="B827" s="13"/>
      <c r="C827" s="13"/>
      <c r="D827" s="13"/>
      <c r="E827" s="13"/>
      <c r="F827" s="14"/>
      <c r="G827" s="15"/>
      <c r="H827" s="15"/>
      <c r="I827" s="15"/>
      <c r="J827" s="12"/>
      <c r="K827" s="16" t="str">
        <f aca="false">IF(A827="","",G827+H827)</f>
        <v/>
      </c>
      <c r="L827" s="16" t="str">
        <f aca="false">IF(A827="","",IF(F827="İade edildi",0,K827-I827))</f>
        <v/>
      </c>
      <c r="M827" s="17" t="str">
        <f aca="true">IF(A827="","",IF(J827&lt;&gt;"",J827-A827,TODAY()-A827))</f>
        <v/>
      </c>
      <c r="N827" s="18" t="str">
        <f aca="false">IF(A827="","",IF(AND(OR(F827="Bekliyor",F827="Parça bekleniyor",F827="Hazır"),M827&gt;7),"7 günü geçti",""))</f>
        <v/>
      </c>
      <c r="O827" s="18" t="str">
        <f aca="false">IF(AND(A827&lt;&gt;"",OR(F827="Bekliyor",F827="Parça bekleniyor",F827="Hazır")),A827+ROW()/1000000,"")</f>
        <v/>
      </c>
    </row>
    <row r="828" customFormat="false" ht="15" hidden="false" customHeight="false" outlineLevel="0" collapsed="false">
      <c r="A828" s="12"/>
      <c r="B828" s="13"/>
      <c r="C828" s="13"/>
      <c r="D828" s="13"/>
      <c r="E828" s="13"/>
      <c r="F828" s="14"/>
      <c r="G828" s="15"/>
      <c r="H828" s="15"/>
      <c r="I828" s="15"/>
      <c r="J828" s="12"/>
      <c r="K828" s="16" t="str">
        <f aca="false">IF(A828="","",G828+H828)</f>
        <v/>
      </c>
      <c r="L828" s="16" t="str">
        <f aca="false">IF(A828="","",IF(F828="İade edildi",0,K828-I828))</f>
        <v/>
      </c>
      <c r="M828" s="17" t="str">
        <f aca="true">IF(A828="","",IF(J828&lt;&gt;"",J828-A828,TODAY()-A828))</f>
        <v/>
      </c>
      <c r="N828" s="18" t="str">
        <f aca="false">IF(A828="","",IF(AND(OR(F828="Bekliyor",F828="Parça bekleniyor",F828="Hazır"),M828&gt;7),"7 günü geçti",""))</f>
        <v/>
      </c>
      <c r="O828" s="18" t="str">
        <f aca="false">IF(AND(A828&lt;&gt;"",OR(F828="Bekliyor",F828="Parça bekleniyor",F828="Hazır")),A828+ROW()/1000000,"")</f>
        <v/>
      </c>
    </row>
    <row r="829" customFormat="false" ht="15" hidden="false" customHeight="false" outlineLevel="0" collapsed="false">
      <c r="A829" s="12"/>
      <c r="B829" s="13"/>
      <c r="C829" s="13"/>
      <c r="D829" s="13"/>
      <c r="E829" s="13"/>
      <c r="F829" s="14"/>
      <c r="G829" s="15"/>
      <c r="H829" s="15"/>
      <c r="I829" s="15"/>
      <c r="J829" s="12"/>
      <c r="K829" s="16" t="str">
        <f aca="false">IF(A829="","",G829+H829)</f>
        <v/>
      </c>
      <c r="L829" s="16" t="str">
        <f aca="false">IF(A829="","",IF(F829="İade edildi",0,K829-I829))</f>
        <v/>
      </c>
      <c r="M829" s="17" t="str">
        <f aca="true">IF(A829="","",IF(J829&lt;&gt;"",J829-A829,TODAY()-A829))</f>
        <v/>
      </c>
      <c r="N829" s="18" t="str">
        <f aca="false">IF(A829="","",IF(AND(OR(F829="Bekliyor",F829="Parça bekleniyor",F829="Hazır"),M829&gt;7),"7 günü geçti",""))</f>
        <v/>
      </c>
      <c r="O829" s="18" t="str">
        <f aca="false">IF(AND(A829&lt;&gt;"",OR(F829="Bekliyor",F829="Parça bekleniyor",F829="Hazır")),A829+ROW()/1000000,"")</f>
        <v/>
      </c>
    </row>
    <row r="830" customFormat="false" ht="15" hidden="false" customHeight="false" outlineLevel="0" collapsed="false">
      <c r="A830" s="12"/>
      <c r="B830" s="13"/>
      <c r="C830" s="13"/>
      <c r="D830" s="13"/>
      <c r="E830" s="13"/>
      <c r="F830" s="14"/>
      <c r="G830" s="15"/>
      <c r="H830" s="15"/>
      <c r="I830" s="15"/>
      <c r="J830" s="12"/>
      <c r="K830" s="16" t="str">
        <f aca="false">IF(A830="","",G830+H830)</f>
        <v/>
      </c>
      <c r="L830" s="16" t="str">
        <f aca="false">IF(A830="","",IF(F830="İade edildi",0,K830-I830))</f>
        <v/>
      </c>
      <c r="M830" s="17" t="str">
        <f aca="true">IF(A830="","",IF(J830&lt;&gt;"",J830-A830,TODAY()-A830))</f>
        <v/>
      </c>
      <c r="N830" s="18" t="str">
        <f aca="false">IF(A830="","",IF(AND(OR(F830="Bekliyor",F830="Parça bekleniyor",F830="Hazır"),M830&gt;7),"7 günü geçti",""))</f>
        <v/>
      </c>
      <c r="O830" s="18" t="str">
        <f aca="false">IF(AND(A830&lt;&gt;"",OR(F830="Bekliyor",F830="Parça bekleniyor",F830="Hazır")),A830+ROW()/1000000,"")</f>
        <v/>
      </c>
    </row>
    <row r="831" customFormat="false" ht="15" hidden="false" customHeight="false" outlineLevel="0" collapsed="false">
      <c r="A831" s="12"/>
      <c r="B831" s="13"/>
      <c r="C831" s="13"/>
      <c r="D831" s="13"/>
      <c r="E831" s="13"/>
      <c r="F831" s="14"/>
      <c r="G831" s="15"/>
      <c r="H831" s="15"/>
      <c r="I831" s="15"/>
      <c r="J831" s="12"/>
      <c r="K831" s="16" t="str">
        <f aca="false">IF(A831="","",G831+H831)</f>
        <v/>
      </c>
      <c r="L831" s="16" t="str">
        <f aca="false">IF(A831="","",IF(F831="İade edildi",0,K831-I831))</f>
        <v/>
      </c>
      <c r="M831" s="17" t="str">
        <f aca="true">IF(A831="","",IF(J831&lt;&gt;"",J831-A831,TODAY()-A831))</f>
        <v/>
      </c>
      <c r="N831" s="18" t="str">
        <f aca="false">IF(A831="","",IF(AND(OR(F831="Bekliyor",F831="Parça bekleniyor",F831="Hazır"),M831&gt;7),"7 günü geçti",""))</f>
        <v/>
      </c>
      <c r="O831" s="18" t="str">
        <f aca="false">IF(AND(A831&lt;&gt;"",OR(F831="Bekliyor",F831="Parça bekleniyor",F831="Hazır")),A831+ROW()/1000000,"")</f>
        <v/>
      </c>
    </row>
    <row r="832" customFormat="false" ht="15" hidden="false" customHeight="false" outlineLevel="0" collapsed="false">
      <c r="A832" s="12"/>
      <c r="B832" s="13"/>
      <c r="C832" s="13"/>
      <c r="D832" s="13"/>
      <c r="E832" s="13"/>
      <c r="F832" s="14"/>
      <c r="G832" s="15"/>
      <c r="H832" s="15"/>
      <c r="I832" s="15"/>
      <c r="J832" s="12"/>
      <c r="K832" s="16" t="str">
        <f aca="false">IF(A832="","",G832+H832)</f>
        <v/>
      </c>
      <c r="L832" s="16" t="str">
        <f aca="false">IF(A832="","",IF(F832="İade edildi",0,K832-I832))</f>
        <v/>
      </c>
      <c r="M832" s="17" t="str">
        <f aca="true">IF(A832="","",IF(J832&lt;&gt;"",J832-A832,TODAY()-A832))</f>
        <v/>
      </c>
      <c r="N832" s="18" t="str">
        <f aca="false">IF(A832="","",IF(AND(OR(F832="Bekliyor",F832="Parça bekleniyor",F832="Hazır"),M832&gt;7),"7 günü geçti",""))</f>
        <v/>
      </c>
      <c r="O832" s="18" t="str">
        <f aca="false">IF(AND(A832&lt;&gt;"",OR(F832="Bekliyor",F832="Parça bekleniyor",F832="Hazır")),A832+ROW()/1000000,"")</f>
        <v/>
      </c>
    </row>
    <row r="833" customFormat="false" ht="15" hidden="false" customHeight="false" outlineLevel="0" collapsed="false">
      <c r="A833" s="12"/>
      <c r="B833" s="13"/>
      <c r="C833" s="13"/>
      <c r="D833" s="13"/>
      <c r="E833" s="13"/>
      <c r="F833" s="14"/>
      <c r="G833" s="15"/>
      <c r="H833" s="15"/>
      <c r="I833" s="15"/>
      <c r="J833" s="12"/>
      <c r="K833" s="16" t="str">
        <f aca="false">IF(A833="","",G833+H833)</f>
        <v/>
      </c>
      <c r="L833" s="16" t="str">
        <f aca="false">IF(A833="","",IF(F833="İade edildi",0,K833-I833))</f>
        <v/>
      </c>
      <c r="M833" s="17" t="str">
        <f aca="true">IF(A833="","",IF(J833&lt;&gt;"",J833-A833,TODAY()-A833))</f>
        <v/>
      </c>
      <c r="N833" s="18" t="str">
        <f aca="false">IF(A833="","",IF(AND(OR(F833="Bekliyor",F833="Parça bekleniyor",F833="Hazır"),M833&gt;7),"7 günü geçti",""))</f>
        <v/>
      </c>
      <c r="O833" s="18" t="str">
        <f aca="false">IF(AND(A833&lt;&gt;"",OR(F833="Bekliyor",F833="Parça bekleniyor",F833="Hazır")),A833+ROW()/1000000,"")</f>
        <v/>
      </c>
    </row>
    <row r="834" customFormat="false" ht="15" hidden="false" customHeight="false" outlineLevel="0" collapsed="false">
      <c r="A834" s="12"/>
      <c r="B834" s="13"/>
      <c r="C834" s="13"/>
      <c r="D834" s="13"/>
      <c r="E834" s="13"/>
      <c r="F834" s="14"/>
      <c r="G834" s="15"/>
      <c r="H834" s="15"/>
      <c r="I834" s="15"/>
      <c r="J834" s="12"/>
      <c r="K834" s="16" t="str">
        <f aca="false">IF(A834="","",G834+H834)</f>
        <v/>
      </c>
      <c r="L834" s="16" t="str">
        <f aca="false">IF(A834="","",IF(F834="İade edildi",0,K834-I834))</f>
        <v/>
      </c>
      <c r="M834" s="17" t="str">
        <f aca="true">IF(A834="","",IF(J834&lt;&gt;"",J834-A834,TODAY()-A834))</f>
        <v/>
      </c>
      <c r="N834" s="18" t="str">
        <f aca="false">IF(A834="","",IF(AND(OR(F834="Bekliyor",F834="Parça bekleniyor",F834="Hazır"),M834&gt;7),"7 günü geçti",""))</f>
        <v/>
      </c>
      <c r="O834" s="18" t="str">
        <f aca="false">IF(AND(A834&lt;&gt;"",OR(F834="Bekliyor",F834="Parça bekleniyor",F834="Hazır")),A834+ROW()/1000000,"")</f>
        <v/>
      </c>
    </row>
    <row r="835" customFormat="false" ht="15" hidden="false" customHeight="false" outlineLevel="0" collapsed="false">
      <c r="A835" s="12"/>
      <c r="B835" s="13"/>
      <c r="C835" s="13"/>
      <c r="D835" s="13"/>
      <c r="E835" s="13"/>
      <c r="F835" s="14"/>
      <c r="G835" s="15"/>
      <c r="H835" s="15"/>
      <c r="I835" s="15"/>
      <c r="J835" s="12"/>
      <c r="K835" s="16" t="str">
        <f aca="false">IF(A835="","",G835+H835)</f>
        <v/>
      </c>
      <c r="L835" s="16" t="str">
        <f aca="false">IF(A835="","",IF(F835="İade edildi",0,K835-I835))</f>
        <v/>
      </c>
      <c r="M835" s="17" t="str">
        <f aca="true">IF(A835="","",IF(J835&lt;&gt;"",J835-A835,TODAY()-A835))</f>
        <v/>
      </c>
      <c r="N835" s="18" t="str">
        <f aca="false">IF(A835="","",IF(AND(OR(F835="Bekliyor",F835="Parça bekleniyor",F835="Hazır"),M835&gt;7),"7 günü geçti",""))</f>
        <v/>
      </c>
      <c r="O835" s="18" t="str">
        <f aca="false">IF(AND(A835&lt;&gt;"",OR(F835="Bekliyor",F835="Parça bekleniyor",F835="Hazır")),A835+ROW()/1000000,"")</f>
        <v/>
      </c>
    </row>
    <row r="836" customFormat="false" ht="15" hidden="false" customHeight="false" outlineLevel="0" collapsed="false">
      <c r="A836" s="12"/>
      <c r="B836" s="13"/>
      <c r="C836" s="13"/>
      <c r="D836" s="13"/>
      <c r="E836" s="13"/>
      <c r="F836" s="14"/>
      <c r="G836" s="15"/>
      <c r="H836" s="15"/>
      <c r="I836" s="15"/>
      <c r="J836" s="12"/>
      <c r="K836" s="16" t="str">
        <f aca="false">IF(A836="","",G836+H836)</f>
        <v/>
      </c>
      <c r="L836" s="16" t="str">
        <f aca="false">IF(A836="","",IF(F836="İade edildi",0,K836-I836))</f>
        <v/>
      </c>
      <c r="M836" s="17" t="str">
        <f aca="true">IF(A836="","",IF(J836&lt;&gt;"",J836-A836,TODAY()-A836))</f>
        <v/>
      </c>
      <c r="N836" s="18" t="str">
        <f aca="false">IF(A836="","",IF(AND(OR(F836="Bekliyor",F836="Parça bekleniyor",F836="Hazır"),M836&gt;7),"7 günü geçti",""))</f>
        <v/>
      </c>
      <c r="O836" s="18" t="str">
        <f aca="false">IF(AND(A836&lt;&gt;"",OR(F836="Bekliyor",F836="Parça bekleniyor",F836="Hazır")),A836+ROW()/1000000,"")</f>
        <v/>
      </c>
    </row>
    <row r="837" customFormat="false" ht="15" hidden="false" customHeight="false" outlineLevel="0" collapsed="false">
      <c r="A837" s="12"/>
      <c r="B837" s="13"/>
      <c r="C837" s="13"/>
      <c r="D837" s="13"/>
      <c r="E837" s="13"/>
      <c r="F837" s="14"/>
      <c r="G837" s="15"/>
      <c r="H837" s="15"/>
      <c r="I837" s="15"/>
      <c r="J837" s="12"/>
      <c r="K837" s="16" t="str">
        <f aca="false">IF(A837="","",G837+H837)</f>
        <v/>
      </c>
      <c r="L837" s="16" t="str">
        <f aca="false">IF(A837="","",IF(F837="İade edildi",0,K837-I837))</f>
        <v/>
      </c>
      <c r="M837" s="17" t="str">
        <f aca="true">IF(A837="","",IF(J837&lt;&gt;"",J837-A837,TODAY()-A837))</f>
        <v/>
      </c>
      <c r="N837" s="18" t="str">
        <f aca="false">IF(A837="","",IF(AND(OR(F837="Bekliyor",F837="Parça bekleniyor",F837="Hazır"),M837&gt;7),"7 günü geçti",""))</f>
        <v/>
      </c>
      <c r="O837" s="18" t="str">
        <f aca="false">IF(AND(A837&lt;&gt;"",OR(F837="Bekliyor",F837="Parça bekleniyor",F837="Hazır")),A837+ROW()/1000000,"")</f>
        <v/>
      </c>
    </row>
    <row r="838" customFormat="false" ht="15" hidden="false" customHeight="false" outlineLevel="0" collapsed="false">
      <c r="A838" s="12"/>
      <c r="B838" s="13"/>
      <c r="C838" s="13"/>
      <c r="D838" s="13"/>
      <c r="E838" s="13"/>
      <c r="F838" s="14"/>
      <c r="G838" s="15"/>
      <c r="H838" s="15"/>
      <c r="I838" s="15"/>
      <c r="J838" s="12"/>
      <c r="K838" s="16" t="str">
        <f aca="false">IF(A838="","",G838+H838)</f>
        <v/>
      </c>
      <c r="L838" s="16" t="str">
        <f aca="false">IF(A838="","",IF(F838="İade edildi",0,K838-I838))</f>
        <v/>
      </c>
      <c r="M838" s="17" t="str">
        <f aca="true">IF(A838="","",IF(J838&lt;&gt;"",J838-A838,TODAY()-A838))</f>
        <v/>
      </c>
      <c r="N838" s="18" t="str">
        <f aca="false">IF(A838="","",IF(AND(OR(F838="Bekliyor",F838="Parça bekleniyor",F838="Hazır"),M838&gt;7),"7 günü geçti",""))</f>
        <v/>
      </c>
      <c r="O838" s="18" t="str">
        <f aca="false">IF(AND(A838&lt;&gt;"",OR(F838="Bekliyor",F838="Parça bekleniyor",F838="Hazır")),A838+ROW()/1000000,"")</f>
        <v/>
      </c>
    </row>
    <row r="839" customFormat="false" ht="15" hidden="false" customHeight="false" outlineLevel="0" collapsed="false">
      <c r="A839" s="12"/>
      <c r="B839" s="13"/>
      <c r="C839" s="13"/>
      <c r="D839" s="13"/>
      <c r="E839" s="13"/>
      <c r="F839" s="14"/>
      <c r="G839" s="15"/>
      <c r="H839" s="15"/>
      <c r="I839" s="15"/>
      <c r="J839" s="12"/>
      <c r="K839" s="16" t="str">
        <f aca="false">IF(A839="","",G839+H839)</f>
        <v/>
      </c>
      <c r="L839" s="16" t="str">
        <f aca="false">IF(A839="","",IF(F839="İade edildi",0,K839-I839))</f>
        <v/>
      </c>
      <c r="M839" s="17" t="str">
        <f aca="true">IF(A839="","",IF(J839&lt;&gt;"",J839-A839,TODAY()-A839))</f>
        <v/>
      </c>
      <c r="N839" s="18" t="str">
        <f aca="false">IF(A839="","",IF(AND(OR(F839="Bekliyor",F839="Parça bekleniyor",F839="Hazır"),M839&gt;7),"7 günü geçti",""))</f>
        <v/>
      </c>
      <c r="O839" s="18" t="str">
        <f aca="false">IF(AND(A839&lt;&gt;"",OR(F839="Bekliyor",F839="Parça bekleniyor",F839="Hazır")),A839+ROW()/1000000,"")</f>
        <v/>
      </c>
    </row>
    <row r="840" customFormat="false" ht="15" hidden="false" customHeight="false" outlineLevel="0" collapsed="false">
      <c r="A840" s="12"/>
      <c r="B840" s="13"/>
      <c r="C840" s="13"/>
      <c r="D840" s="13"/>
      <c r="E840" s="13"/>
      <c r="F840" s="14"/>
      <c r="G840" s="15"/>
      <c r="H840" s="15"/>
      <c r="I840" s="15"/>
      <c r="J840" s="12"/>
      <c r="K840" s="16" t="str">
        <f aca="false">IF(A840="","",G840+H840)</f>
        <v/>
      </c>
      <c r="L840" s="16" t="str">
        <f aca="false">IF(A840="","",IF(F840="İade edildi",0,K840-I840))</f>
        <v/>
      </c>
      <c r="M840" s="17" t="str">
        <f aca="true">IF(A840="","",IF(J840&lt;&gt;"",J840-A840,TODAY()-A840))</f>
        <v/>
      </c>
      <c r="N840" s="18" t="str">
        <f aca="false">IF(A840="","",IF(AND(OR(F840="Bekliyor",F840="Parça bekleniyor",F840="Hazır"),M840&gt;7),"7 günü geçti",""))</f>
        <v/>
      </c>
      <c r="O840" s="18" t="str">
        <f aca="false">IF(AND(A840&lt;&gt;"",OR(F840="Bekliyor",F840="Parça bekleniyor",F840="Hazır")),A840+ROW()/1000000,"")</f>
        <v/>
      </c>
    </row>
    <row r="841" customFormat="false" ht="15" hidden="false" customHeight="false" outlineLevel="0" collapsed="false">
      <c r="A841" s="12"/>
      <c r="B841" s="13"/>
      <c r="C841" s="13"/>
      <c r="D841" s="13"/>
      <c r="E841" s="13"/>
      <c r="F841" s="14"/>
      <c r="G841" s="15"/>
      <c r="H841" s="15"/>
      <c r="I841" s="15"/>
      <c r="J841" s="12"/>
      <c r="K841" s="16" t="str">
        <f aca="false">IF(A841="","",G841+H841)</f>
        <v/>
      </c>
      <c r="L841" s="16" t="str">
        <f aca="false">IF(A841="","",IF(F841="İade edildi",0,K841-I841))</f>
        <v/>
      </c>
      <c r="M841" s="17" t="str">
        <f aca="true">IF(A841="","",IF(J841&lt;&gt;"",J841-A841,TODAY()-A841))</f>
        <v/>
      </c>
      <c r="N841" s="18" t="str">
        <f aca="false">IF(A841="","",IF(AND(OR(F841="Bekliyor",F841="Parça bekleniyor",F841="Hazır"),M841&gt;7),"7 günü geçti",""))</f>
        <v/>
      </c>
      <c r="O841" s="18" t="str">
        <f aca="false">IF(AND(A841&lt;&gt;"",OR(F841="Bekliyor",F841="Parça bekleniyor",F841="Hazır")),A841+ROW()/1000000,"")</f>
        <v/>
      </c>
    </row>
    <row r="842" customFormat="false" ht="15" hidden="false" customHeight="false" outlineLevel="0" collapsed="false">
      <c r="A842" s="12"/>
      <c r="B842" s="13"/>
      <c r="C842" s="13"/>
      <c r="D842" s="13"/>
      <c r="E842" s="13"/>
      <c r="F842" s="14"/>
      <c r="G842" s="15"/>
      <c r="H842" s="15"/>
      <c r="I842" s="15"/>
      <c r="J842" s="12"/>
      <c r="K842" s="16" t="str">
        <f aca="false">IF(A842="","",G842+H842)</f>
        <v/>
      </c>
      <c r="L842" s="16" t="str">
        <f aca="false">IF(A842="","",IF(F842="İade edildi",0,K842-I842))</f>
        <v/>
      </c>
      <c r="M842" s="17" t="str">
        <f aca="true">IF(A842="","",IF(J842&lt;&gt;"",J842-A842,TODAY()-A842))</f>
        <v/>
      </c>
      <c r="N842" s="18" t="str">
        <f aca="false">IF(A842="","",IF(AND(OR(F842="Bekliyor",F842="Parça bekleniyor",F842="Hazır"),M842&gt;7),"7 günü geçti",""))</f>
        <v/>
      </c>
      <c r="O842" s="18" t="str">
        <f aca="false">IF(AND(A842&lt;&gt;"",OR(F842="Bekliyor",F842="Parça bekleniyor",F842="Hazır")),A842+ROW()/1000000,"")</f>
        <v/>
      </c>
    </row>
    <row r="843" customFormat="false" ht="15" hidden="false" customHeight="false" outlineLevel="0" collapsed="false">
      <c r="A843" s="12"/>
      <c r="B843" s="13"/>
      <c r="C843" s="13"/>
      <c r="D843" s="13"/>
      <c r="E843" s="13"/>
      <c r="F843" s="14"/>
      <c r="G843" s="15"/>
      <c r="H843" s="15"/>
      <c r="I843" s="15"/>
      <c r="J843" s="12"/>
      <c r="K843" s="16" t="str">
        <f aca="false">IF(A843="","",G843+H843)</f>
        <v/>
      </c>
      <c r="L843" s="16" t="str">
        <f aca="false">IF(A843="","",IF(F843="İade edildi",0,K843-I843))</f>
        <v/>
      </c>
      <c r="M843" s="17" t="str">
        <f aca="true">IF(A843="","",IF(J843&lt;&gt;"",J843-A843,TODAY()-A843))</f>
        <v/>
      </c>
      <c r="N843" s="18" t="str">
        <f aca="false">IF(A843="","",IF(AND(OR(F843="Bekliyor",F843="Parça bekleniyor",F843="Hazır"),M843&gt;7),"7 günü geçti",""))</f>
        <v/>
      </c>
      <c r="O843" s="18" t="str">
        <f aca="false">IF(AND(A843&lt;&gt;"",OR(F843="Bekliyor",F843="Parça bekleniyor",F843="Hazır")),A843+ROW()/1000000,"")</f>
        <v/>
      </c>
    </row>
    <row r="844" customFormat="false" ht="15" hidden="false" customHeight="false" outlineLevel="0" collapsed="false">
      <c r="A844" s="12"/>
      <c r="B844" s="13"/>
      <c r="C844" s="13"/>
      <c r="D844" s="13"/>
      <c r="E844" s="13"/>
      <c r="F844" s="14"/>
      <c r="G844" s="15"/>
      <c r="H844" s="15"/>
      <c r="I844" s="15"/>
      <c r="J844" s="12"/>
      <c r="K844" s="16" t="str">
        <f aca="false">IF(A844="","",G844+H844)</f>
        <v/>
      </c>
      <c r="L844" s="16" t="str">
        <f aca="false">IF(A844="","",IF(F844="İade edildi",0,K844-I844))</f>
        <v/>
      </c>
      <c r="M844" s="17" t="str">
        <f aca="true">IF(A844="","",IF(J844&lt;&gt;"",J844-A844,TODAY()-A844))</f>
        <v/>
      </c>
      <c r="N844" s="18" t="str">
        <f aca="false">IF(A844="","",IF(AND(OR(F844="Bekliyor",F844="Parça bekleniyor",F844="Hazır"),M844&gt;7),"7 günü geçti",""))</f>
        <v/>
      </c>
      <c r="O844" s="18" t="str">
        <f aca="false">IF(AND(A844&lt;&gt;"",OR(F844="Bekliyor",F844="Parça bekleniyor",F844="Hazır")),A844+ROW()/1000000,"")</f>
        <v/>
      </c>
    </row>
    <row r="845" customFormat="false" ht="15" hidden="false" customHeight="false" outlineLevel="0" collapsed="false">
      <c r="A845" s="12"/>
      <c r="B845" s="13"/>
      <c r="C845" s="13"/>
      <c r="D845" s="13"/>
      <c r="E845" s="13"/>
      <c r="F845" s="14"/>
      <c r="G845" s="15"/>
      <c r="H845" s="15"/>
      <c r="I845" s="15"/>
      <c r="J845" s="12"/>
      <c r="K845" s="16" t="str">
        <f aca="false">IF(A845="","",G845+H845)</f>
        <v/>
      </c>
      <c r="L845" s="16" t="str">
        <f aca="false">IF(A845="","",IF(F845="İade edildi",0,K845-I845))</f>
        <v/>
      </c>
      <c r="M845" s="17" t="str">
        <f aca="true">IF(A845="","",IF(J845&lt;&gt;"",J845-A845,TODAY()-A845))</f>
        <v/>
      </c>
      <c r="N845" s="18" t="str">
        <f aca="false">IF(A845="","",IF(AND(OR(F845="Bekliyor",F845="Parça bekleniyor",F845="Hazır"),M845&gt;7),"7 günü geçti",""))</f>
        <v/>
      </c>
      <c r="O845" s="18" t="str">
        <f aca="false">IF(AND(A845&lt;&gt;"",OR(F845="Bekliyor",F845="Parça bekleniyor",F845="Hazır")),A845+ROW()/1000000,"")</f>
        <v/>
      </c>
    </row>
    <row r="846" customFormat="false" ht="15" hidden="false" customHeight="false" outlineLevel="0" collapsed="false">
      <c r="A846" s="12"/>
      <c r="B846" s="13"/>
      <c r="C846" s="13"/>
      <c r="D846" s="13"/>
      <c r="E846" s="13"/>
      <c r="F846" s="14"/>
      <c r="G846" s="15"/>
      <c r="H846" s="15"/>
      <c r="I846" s="15"/>
      <c r="J846" s="12"/>
      <c r="K846" s="16" t="str">
        <f aca="false">IF(A846="","",G846+H846)</f>
        <v/>
      </c>
      <c r="L846" s="16" t="str">
        <f aca="false">IF(A846="","",IF(F846="İade edildi",0,K846-I846))</f>
        <v/>
      </c>
      <c r="M846" s="17" t="str">
        <f aca="true">IF(A846="","",IF(J846&lt;&gt;"",J846-A846,TODAY()-A846))</f>
        <v/>
      </c>
      <c r="N846" s="18" t="str">
        <f aca="false">IF(A846="","",IF(AND(OR(F846="Bekliyor",F846="Parça bekleniyor",F846="Hazır"),M846&gt;7),"7 günü geçti",""))</f>
        <v/>
      </c>
      <c r="O846" s="18" t="str">
        <f aca="false">IF(AND(A846&lt;&gt;"",OR(F846="Bekliyor",F846="Parça bekleniyor",F846="Hazır")),A846+ROW()/1000000,"")</f>
        <v/>
      </c>
    </row>
    <row r="847" customFormat="false" ht="15" hidden="false" customHeight="false" outlineLevel="0" collapsed="false">
      <c r="A847" s="12"/>
      <c r="B847" s="13"/>
      <c r="C847" s="13"/>
      <c r="D847" s="13"/>
      <c r="E847" s="13"/>
      <c r="F847" s="14"/>
      <c r="G847" s="15"/>
      <c r="H847" s="15"/>
      <c r="I847" s="15"/>
      <c r="J847" s="12"/>
      <c r="K847" s="16" t="str">
        <f aca="false">IF(A847="","",G847+H847)</f>
        <v/>
      </c>
      <c r="L847" s="16" t="str">
        <f aca="false">IF(A847="","",IF(F847="İade edildi",0,K847-I847))</f>
        <v/>
      </c>
      <c r="M847" s="17" t="str">
        <f aca="true">IF(A847="","",IF(J847&lt;&gt;"",J847-A847,TODAY()-A847))</f>
        <v/>
      </c>
      <c r="N847" s="18" t="str">
        <f aca="false">IF(A847="","",IF(AND(OR(F847="Bekliyor",F847="Parça bekleniyor",F847="Hazır"),M847&gt;7),"7 günü geçti",""))</f>
        <v/>
      </c>
      <c r="O847" s="18" t="str">
        <f aca="false">IF(AND(A847&lt;&gt;"",OR(F847="Bekliyor",F847="Parça bekleniyor",F847="Hazır")),A847+ROW()/1000000,"")</f>
        <v/>
      </c>
    </row>
    <row r="848" customFormat="false" ht="15" hidden="false" customHeight="false" outlineLevel="0" collapsed="false">
      <c r="A848" s="12"/>
      <c r="B848" s="13"/>
      <c r="C848" s="13"/>
      <c r="D848" s="13"/>
      <c r="E848" s="13"/>
      <c r="F848" s="14"/>
      <c r="G848" s="15"/>
      <c r="H848" s="15"/>
      <c r="I848" s="15"/>
      <c r="J848" s="12"/>
      <c r="K848" s="16" t="str">
        <f aca="false">IF(A848="","",G848+H848)</f>
        <v/>
      </c>
      <c r="L848" s="16" t="str">
        <f aca="false">IF(A848="","",IF(F848="İade edildi",0,K848-I848))</f>
        <v/>
      </c>
      <c r="M848" s="17" t="str">
        <f aca="true">IF(A848="","",IF(J848&lt;&gt;"",J848-A848,TODAY()-A848))</f>
        <v/>
      </c>
      <c r="N848" s="18" t="str">
        <f aca="false">IF(A848="","",IF(AND(OR(F848="Bekliyor",F848="Parça bekleniyor",F848="Hazır"),M848&gt;7),"7 günü geçti",""))</f>
        <v/>
      </c>
      <c r="O848" s="18" t="str">
        <f aca="false">IF(AND(A848&lt;&gt;"",OR(F848="Bekliyor",F848="Parça bekleniyor",F848="Hazır")),A848+ROW()/1000000,"")</f>
        <v/>
      </c>
    </row>
    <row r="849" customFormat="false" ht="15" hidden="false" customHeight="false" outlineLevel="0" collapsed="false">
      <c r="A849" s="12"/>
      <c r="B849" s="13"/>
      <c r="C849" s="13"/>
      <c r="D849" s="13"/>
      <c r="E849" s="13"/>
      <c r="F849" s="14"/>
      <c r="G849" s="15"/>
      <c r="H849" s="15"/>
      <c r="I849" s="15"/>
      <c r="J849" s="12"/>
      <c r="K849" s="16" t="str">
        <f aca="false">IF(A849="","",G849+H849)</f>
        <v/>
      </c>
      <c r="L849" s="16" t="str">
        <f aca="false">IF(A849="","",IF(F849="İade edildi",0,K849-I849))</f>
        <v/>
      </c>
      <c r="M849" s="17" t="str">
        <f aca="true">IF(A849="","",IF(J849&lt;&gt;"",J849-A849,TODAY()-A849))</f>
        <v/>
      </c>
      <c r="N849" s="18" t="str">
        <f aca="false">IF(A849="","",IF(AND(OR(F849="Bekliyor",F849="Parça bekleniyor",F849="Hazır"),M849&gt;7),"7 günü geçti",""))</f>
        <v/>
      </c>
      <c r="O849" s="18" t="str">
        <f aca="false">IF(AND(A849&lt;&gt;"",OR(F849="Bekliyor",F849="Parça bekleniyor",F849="Hazır")),A849+ROW()/1000000,"")</f>
        <v/>
      </c>
    </row>
    <row r="850" customFormat="false" ht="15" hidden="false" customHeight="false" outlineLevel="0" collapsed="false">
      <c r="A850" s="12"/>
      <c r="B850" s="13"/>
      <c r="C850" s="13"/>
      <c r="D850" s="13"/>
      <c r="E850" s="13"/>
      <c r="F850" s="14"/>
      <c r="G850" s="15"/>
      <c r="H850" s="15"/>
      <c r="I850" s="15"/>
      <c r="J850" s="12"/>
      <c r="K850" s="16" t="str">
        <f aca="false">IF(A850="","",G850+H850)</f>
        <v/>
      </c>
      <c r="L850" s="16" t="str">
        <f aca="false">IF(A850="","",IF(F850="İade edildi",0,K850-I850))</f>
        <v/>
      </c>
      <c r="M850" s="17" t="str">
        <f aca="true">IF(A850="","",IF(J850&lt;&gt;"",J850-A850,TODAY()-A850))</f>
        <v/>
      </c>
      <c r="N850" s="18" t="str">
        <f aca="false">IF(A850="","",IF(AND(OR(F850="Bekliyor",F850="Parça bekleniyor",F850="Hazır"),M850&gt;7),"7 günü geçti",""))</f>
        <v/>
      </c>
      <c r="O850" s="18" t="str">
        <f aca="false">IF(AND(A850&lt;&gt;"",OR(F850="Bekliyor",F850="Parça bekleniyor",F850="Hazır")),A850+ROW()/1000000,"")</f>
        <v/>
      </c>
    </row>
    <row r="851" customFormat="false" ht="15" hidden="false" customHeight="false" outlineLevel="0" collapsed="false">
      <c r="A851" s="12"/>
      <c r="B851" s="13"/>
      <c r="C851" s="13"/>
      <c r="D851" s="13"/>
      <c r="E851" s="13"/>
      <c r="F851" s="14"/>
      <c r="G851" s="15"/>
      <c r="H851" s="15"/>
      <c r="I851" s="15"/>
      <c r="J851" s="12"/>
      <c r="K851" s="16" t="str">
        <f aca="false">IF(A851="","",G851+H851)</f>
        <v/>
      </c>
      <c r="L851" s="16" t="str">
        <f aca="false">IF(A851="","",IF(F851="İade edildi",0,K851-I851))</f>
        <v/>
      </c>
      <c r="M851" s="17" t="str">
        <f aca="true">IF(A851="","",IF(J851&lt;&gt;"",J851-A851,TODAY()-A851))</f>
        <v/>
      </c>
      <c r="N851" s="18" t="str">
        <f aca="false">IF(A851="","",IF(AND(OR(F851="Bekliyor",F851="Parça bekleniyor",F851="Hazır"),M851&gt;7),"7 günü geçti",""))</f>
        <v/>
      </c>
      <c r="O851" s="18" t="str">
        <f aca="false">IF(AND(A851&lt;&gt;"",OR(F851="Bekliyor",F851="Parça bekleniyor",F851="Hazır")),A851+ROW()/1000000,"")</f>
        <v/>
      </c>
    </row>
    <row r="852" customFormat="false" ht="15" hidden="false" customHeight="false" outlineLevel="0" collapsed="false">
      <c r="A852" s="12"/>
      <c r="B852" s="13"/>
      <c r="C852" s="13"/>
      <c r="D852" s="13"/>
      <c r="E852" s="13"/>
      <c r="F852" s="14"/>
      <c r="G852" s="15"/>
      <c r="H852" s="15"/>
      <c r="I852" s="15"/>
      <c r="J852" s="12"/>
      <c r="K852" s="16" t="str">
        <f aca="false">IF(A852="","",G852+H852)</f>
        <v/>
      </c>
      <c r="L852" s="16" t="str">
        <f aca="false">IF(A852="","",IF(F852="İade edildi",0,K852-I852))</f>
        <v/>
      </c>
      <c r="M852" s="17" t="str">
        <f aca="true">IF(A852="","",IF(J852&lt;&gt;"",J852-A852,TODAY()-A852))</f>
        <v/>
      </c>
      <c r="N852" s="18" t="str">
        <f aca="false">IF(A852="","",IF(AND(OR(F852="Bekliyor",F852="Parça bekleniyor",F852="Hazır"),M852&gt;7),"7 günü geçti",""))</f>
        <v/>
      </c>
      <c r="O852" s="18" t="str">
        <f aca="false">IF(AND(A852&lt;&gt;"",OR(F852="Bekliyor",F852="Parça bekleniyor",F852="Hazır")),A852+ROW()/1000000,"")</f>
        <v/>
      </c>
    </row>
    <row r="853" customFormat="false" ht="15" hidden="false" customHeight="false" outlineLevel="0" collapsed="false">
      <c r="A853" s="12"/>
      <c r="B853" s="13"/>
      <c r="C853" s="13"/>
      <c r="D853" s="13"/>
      <c r="E853" s="13"/>
      <c r="F853" s="14"/>
      <c r="G853" s="15"/>
      <c r="H853" s="15"/>
      <c r="I853" s="15"/>
      <c r="J853" s="12"/>
      <c r="K853" s="16" t="str">
        <f aca="false">IF(A853="","",G853+H853)</f>
        <v/>
      </c>
      <c r="L853" s="16" t="str">
        <f aca="false">IF(A853="","",IF(F853="İade edildi",0,K853-I853))</f>
        <v/>
      </c>
      <c r="M853" s="17" t="str">
        <f aca="true">IF(A853="","",IF(J853&lt;&gt;"",J853-A853,TODAY()-A853))</f>
        <v/>
      </c>
      <c r="N853" s="18" t="str">
        <f aca="false">IF(A853="","",IF(AND(OR(F853="Bekliyor",F853="Parça bekleniyor",F853="Hazır"),M853&gt;7),"7 günü geçti",""))</f>
        <v/>
      </c>
      <c r="O853" s="18" t="str">
        <f aca="false">IF(AND(A853&lt;&gt;"",OR(F853="Bekliyor",F853="Parça bekleniyor",F853="Hazır")),A853+ROW()/1000000,"")</f>
        <v/>
      </c>
    </row>
    <row r="854" customFormat="false" ht="15" hidden="false" customHeight="false" outlineLevel="0" collapsed="false">
      <c r="A854" s="12"/>
      <c r="B854" s="13"/>
      <c r="C854" s="13"/>
      <c r="D854" s="13"/>
      <c r="E854" s="13"/>
      <c r="F854" s="14"/>
      <c r="G854" s="15"/>
      <c r="H854" s="15"/>
      <c r="I854" s="15"/>
      <c r="J854" s="12"/>
      <c r="K854" s="16" t="str">
        <f aca="false">IF(A854="","",G854+H854)</f>
        <v/>
      </c>
      <c r="L854" s="16" t="str">
        <f aca="false">IF(A854="","",IF(F854="İade edildi",0,K854-I854))</f>
        <v/>
      </c>
      <c r="M854" s="17" t="str">
        <f aca="true">IF(A854="","",IF(J854&lt;&gt;"",J854-A854,TODAY()-A854))</f>
        <v/>
      </c>
      <c r="N854" s="18" t="str">
        <f aca="false">IF(A854="","",IF(AND(OR(F854="Bekliyor",F854="Parça bekleniyor",F854="Hazır"),M854&gt;7),"7 günü geçti",""))</f>
        <v/>
      </c>
      <c r="O854" s="18" t="str">
        <f aca="false">IF(AND(A854&lt;&gt;"",OR(F854="Bekliyor",F854="Parça bekleniyor",F854="Hazır")),A854+ROW()/1000000,"")</f>
        <v/>
      </c>
    </row>
    <row r="855" customFormat="false" ht="15" hidden="false" customHeight="false" outlineLevel="0" collapsed="false">
      <c r="A855" s="12"/>
      <c r="B855" s="13"/>
      <c r="C855" s="13"/>
      <c r="D855" s="13"/>
      <c r="E855" s="13"/>
      <c r="F855" s="14"/>
      <c r="G855" s="15"/>
      <c r="H855" s="15"/>
      <c r="I855" s="15"/>
      <c r="J855" s="12"/>
      <c r="K855" s="16" t="str">
        <f aca="false">IF(A855="","",G855+H855)</f>
        <v/>
      </c>
      <c r="L855" s="16" t="str">
        <f aca="false">IF(A855="","",IF(F855="İade edildi",0,K855-I855))</f>
        <v/>
      </c>
      <c r="M855" s="17" t="str">
        <f aca="true">IF(A855="","",IF(J855&lt;&gt;"",J855-A855,TODAY()-A855))</f>
        <v/>
      </c>
      <c r="N855" s="18" t="str">
        <f aca="false">IF(A855="","",IF(AND(OR(F855="Bekliyor",F855="Parça bekleniyor",F855="Hazır"),M855&gt;7),"7 günü geçti",""))</f>
        <v/>
      </c>
      <c r="O855" s="18" t="str">
        <f aca="false">IF(AND(A855&lt;&gt;"",OR(F855="Bekliyor",F855="Parça bekleniyor",F855="Hazır")),A855+ROW()/1000000,"")</f>
        <v/>
      </c>
    </row>
    <row r="856" customFormat="false" ht="15" hidden="false" customHeight="false" outlineLevel="0" collapsed="false">
      <c r="A856" s="12"/>
      <c r="B856" s="13"/>
      <c r="C856" s="13"/>
      <c r="D856" s="13"/>
      <c r="E856" s="13"/>
      <c r="F856" s="14"/>
      <c r="G856" s="15"/>
      <c r="H856" s="15"/>
      <c r="I856" s="15"/>
      <c r="J856" s="12"/>
      <c r="K856" s="16" t="str">
        <f aca="false">IF(A856="","",G856+H856)</f>
        <v/>
      </c>
      <c r="L856" s="16" t="str">
        <f aca="false">IF(A856="","",IF(F856="İade edildi",0,K856-I856))</f>
        <v/>
      </c>
      <c r="M856" s="17" t="str">
        <f aca="true">IF(A856="","",IF(J856&lt;&gt;"",J856-A856,TODAY()-A856))</f>
        <v/>
      </c>
      <c r="N856" s="18" t="str">
        <f aca="false">IF(A856="","",IF(AND(OR(F856="Bekliyor",F856="Parça bekleniyor",F856="Hazır"),M856&gt;7),"7 günü geçti",""))</f>
        <v/>
      </c>
      <c r="O856" s="18" t="str">
        <f aca="false">IF(AND(A856&lt;&gt;"",OR(F856="Bekliyor",F856="Parça bekleniyor",F856="Hazır")),A856+ROW()/1000000,"")</f>
        <v/>
      </c>
    </row>
    <row r="857" customFormat="false" ht="15" hidden="false" customHeight="false" outlineLevel="0" collapsed="false">
      <c r="A857" s="12"/>
      <c r="B857" s="13"/>
      <c r="C857" s="13"/>
      <c r="D857" s="13"/>
      <c r="E857" s="13"/>
      <c r="F857" s="14"/>
      <c r="G857" s="15"/>
      <c r="H857" s="15"/>
      <c r="I857" s="15"/>
      <c r="J857" s="12"/>
      <c r="K857" s="16" t="str">
        <f aca="false">IF(A857="","",G857+H857)</f>
        <v/>
      </c>
      <c r="L857" s="16" t="str">
        <f aca="false">IF(A857="","",IF(F857="İade edildi",0,K857-I857))</f>
        <v/>
      </c>
      <c r="M857" s="17" t="str">
        <f aca="true">IF(A857="","",IF(J857&lt;&gt;"",J857-A857,TODAY()-A857))</f>
        <v/>
      </c>
      <c r="N857" s="18" t="str">
        <f aca="false">IF(A857="","",IF(AND(OR(F857="Bekliyor",F857="Parça bekleniyor",F857="Hazır"),M857&gt;7),"7 günü geçti",""))</f>
        <v/>
      </c>
      <c r="O857" s="18" t="str">
        <f aca="false">IF(AND(A857&lt;&gt;"",OR(F857="Bekliyor",F857="Parça bekleniyor",F857="Hazır")),A857+ROW()/1000000,"")</f>
        <v/>
      </c>
    </row>
    <row r="858" customFormat="false" ht="15" hidden="false" customHeight="false" outlineLevel="0" collapsed="false">
      <c r="A858" s="12"/>
      <c r="B858" s="13"/>
      <c r="C858" s="13"/>
      <c r="D858" s="13"/>
      <c r="E858" s="13"/>
      <c r="F858" s="14"/>
      <c r="G858" s="15"/>
      <c r="H858" s="15"/>
      <c r="I858" s="15"/>
      <c r="J858" s="12"/>
      <c r="K858" s="16" t="str">
        <f aca="false">IF(A858="","",G858+H858)</f>
        <v/>
      </c>
      <c r="L858" s="16" t="str">
        <f aca="false">IF(A858="","",IF(F858="İade edildi",0,K858-I858))</f>
        <v/>
      </c>
      <c r="M858" s="17" t="str">
        <f aca="true">IF(A858="","",IF(J858&lt;&gt;"",J858-A858,TODAY()-A858))</f>
        <v/>
      </c>
      <c r="N858" s="18" t="str">
        <f aca="false">IF(A858="","",IF(AND(OR(F858="Bekliyor",F858="Parça bekleniyor",F858="Hazır"),M858&gt;7),"7 günü geçti",""))</f>
        <v/>
      </c>
      <c r="O858" s="18" t="str">
        <f aca="false">IF(AND(A858&lt;&gt;"",OR(F858="Bekliyor",F858="Parça bekleniyor",F858="Hazır")),A858+ROW()/1000000,"")</f>
        <v/>
      </c>
    </row>
    <row r="859" customFormat="false" ht="15" hidden="false" customHeight="false" outlineLevel="0" collapsed="false">
      <c r="A859" s="12"/>
      <c r="B859" s="13"/>
      <c r="C859" s="13"/>
      <c r="D859" s="13"/>
      <c r="E859" s="13"/>
      <c r="F859" s="14"/>
      <c r="G859" s="15"/>
      <c r="H859" s="15"/>
      <c r="I859" s="15"/>
      <c r="J859" s="12"/>
      <c r="K859" s="16" t="str">
        <f aca="false">IF(A859="","",G859+H859)</f>
        <v/>
      </c>
      <c r="L859" s="16" t="str">
        <f aca="false">IF(A859="","",IF(F859="İade edildi",0,K859-I859))</f>
        <v/>
      </c>
      <c r="M859" s="17" t="str">
        <f aca="true">IF(A859="","",IF(J859&lt;&gt;"",J859-A859,TODAY()-A859))</f>
        <v/>
      </c>
      <c r="N859" s="18" t="str">
        <f aca="false">IF(A859="","",IF(AND(OR(F859="Bekliyor",F859="Parça bekleniyor",F859="Hazır"),M859&gt;7),"7 günü geçti",""))</f>
        <v/>
      </c>
      <c r="O859" s="18" t="str">
        <f aca="false">IF(AND(A859&lt;&gt;"",OR(F859="Bekliyor",F859="Parça bekleniyor",F859="Hazır")),A859+ROW()/1000000,"")</f>
        <v/>
      </c>
    </row>
    <row r="860" customFormat="false" ht="15" hidden="false" customHeight="false" outlineLevel="0" collapsed="false">
      <c r="A860" s="12"/>
      <c r="B860" s="13"/>
      <c r="C860" s="13"/>
      <c r="D860" s="13"/>
      <c r="E860" s="13"/>
      <c r="F860" s="14"/>
      <c r="G860" s="15"/>
      <c r="H860" s="15"/>
      <c r="I860" s="15"/>
      <c r="J860" s="12"/>
      <c r="K860" s="16" t="str">
        <f aca="false">IF(A860="","",G860+H860)</f>
        <v/>
      </c>
      <c r="L860" s="16" t="str">
        <f aca="false">IF(A860="","",IF(F860="İade edildi",0,K860-I860))</f>
        <v/>
      </c>
      <c r="M860" s="17" t="str">
        <f aca="true">IF(A860="","",IF(J860&lt;&gt;"",J860-A860,TODAY()-A860))</f>
        <v/>
      </c>
      <c r="N860" s="18" t="str">
        <f aca="false">IF(A860="","",IF(AND(OR(F860="Bekliyor",F860="Parça bekleniyor",F860="Hazır"),M860&gt;7),"7 günü geçti",""))</f>
        <v/>
      </c>
      <c r="O860" s="18" t="str">
        <f aca="false">IF(AND(A860&lt;&gt;"",OR(F860="Bekliyor",F860="Parça bekleniyor",F860="Hazır")),A860+ROW()/1000000,"")</f>
        <v/>
      </c>
    </row>
    <row r="861" customFormat="false" ht="15" hidden="false" customHeight="false" outlineLevel="0" collapsed="false">
      <c r="A861" s="12"/>
      <c r="B861" s="13"/>
      <c r="C861" s="13"/>
      <c r="D861" s="13"/>
      <c r="E861" s="13"/>
      <c r="F861" s="14"/>
      <c r="G861" s="15"/>
      <c r="H861" s="15"/>
      <c r="I861" s="15"/>
      <c r="J861" s="12"/>
      <c r="K861" s="16" t="str">
        <f aca="false">IF(A861="","",G861+H861)</f>
        <v/>
      </c>
      <c r="L861" s="16" t="str">
        <f aca="false">IF(A861="","",IF(F861="İade edildi",0,K861-I861))</f>
        <v/>
      </c>
      <c r="M861" s="17" t="str">
        <f aca="true">IF(A861="","",IF(J861&lt;&gt;"",J861-A861,TODAY()-A861))</f>
        <v/>
      </c>
      <c r="N861" s="18" t="str">
        <f aca="false">IF(A861="","",IF(AND(OR(F861="Bekliyor",F861="Parça bekleniyor",F861="Hazır"),M861&gt;7),"7 günü geçti",""))</f>
        <v/>
      </c>
      <c r="O861" s="18" t="str">
        <f aca="false">IF(AND(A861&lt;&gt;"",OR(F861="Bekliyor",F861="Parça bekleniyor",F861="Hazır")),A861+ROW()/1000000,"")</f>
        <v/>
      </c>
    </row>
    <row r="862" customFormat="false" ht="15" hidden="false" customHeight="false" outlineLevel="0" collapsed="false">
      <c r="A862" s="12"/>
      <c r="B862" s="13"/>
      <c r="C862" s="13"/>
      <c r="D862" s="13"/>
      <c r="E862" s="13"/>
      <c r="F862" s="14"/>
      <c r="G862" s="15"/>
      <c r="H862" s="15"/>
      <c r="I862" s="15"/>
      <c r="J862" s="12"/>
      <c r="K862" s="16" t="str">
        <f aca="false">IF(A862="","",G862+H862)</f>
        <v/>
      </c>
      <c r="L862" s="16" t="str">
        <f aca="false">IF(A862="","",IF(F862="İade edildi",0,K862-I862))</f>
        <v/>
      </c>
      <c r="M862" s="17" t="str">
        <f aca="true">IF(A862="","",IF(J862&lt;&gt;"",J862-A862,TODAY()-A862))</f>
        <v/>
      </c>
      <c r="N862" s="18" t="str">
        <f aca="false">IF(A862="","",IF(AND(OR(F862="Bekliyor",F862="Parça bekleniyor",F862="Hazır"),M862&gt;7),"7 günü geçti",""))</f>
        <v/>
      </c>
      <c r="O862" s="18" t="str">
        <f aca="false">IF(AND(A862&lt;&gt;"",OR(F862="Bekliyor",F862="Parça bekleniyor",F862="Hazır")),A862+ROW()/1000000,"")</f>
        <v/>
      </c>
    </row>
    <row r="863" customFormat="false" ht="15" hidden="false" customHeight="false" outlineLevel="0" collapsed="false">
      <c r="A863" s="12"/>
      <c r="B863" s="13"/>
      <c r="C863" s="13"/>
      <c r="D863" s="13"/>
      <c r="E863" s="13"/>
      <c r="F863" s="14"/>
      <c r="G863" s="15"/>
      <c r="H863" s="15"/>
      <c r="I863" s="15"/>
      <c r="J863" s="12"/>
      <c r="K863" s="16" t="str">
        <f aca="false">IF(A863="","",G863+H863)</f>
        <v/>
      </c>
      <c r="L863" s="16" t="str">
        <f aca="false">IF(A863="","",IF(F863="İade edildi",0,K863-I863))</f>
        <v/>
      </c>
      <c r="M863" s="17" t="str">
        <f aca="true">IF(A863="","",IF(J863&lt;&gt;"",J863-A863,TODAY()-A863))</f>
        <v/>
      </c>
      <c r="N863" s="18" t="str">
        <f aca="false">IF(A863="","",IF(AND(OR(F863="Bekliyor",F863="Parça bekleniyor",F863="Hazır"),M863&gt;7),"7 günü geçti",""))</f>
        <v/>
      </c>
      <c r="O863" s="18" t="str">
        <f aca="false">IF(AND(A863&lt;&gt;"",OR(F863="Bekliyor",F863="Parça bekleniyor",F863="Hazır")),A863+ROW()/1000000,"")</f>
        <v/>
      </c>
    </row>
    <row r="864" customFormat="false" ht="15" hidden="false" customHeight="false" outlineLevel="0" collapsed="false">
      <c r="A864" s="12"/>
      <c r="B864" s="13"/>
      <c r="C864" s="13"/>
      <c r="D864" s="13"/>
      <c r="E864" s="13"/>
      <c r="F864" s="14"/>
      <c r="G864" s="15"/>
      <c r="H864" s="15"/>
      <c r="I864" s="15"/>
      <c r="J864" s="12"/>
      <c r="K864" s="16" t="str">
        <f aca="false">IF(A864="","",G864+H864)</f>
        <v/>
      </c>
      <c r="L864" s="16" t="str">
        <f aca="false">IF(A864="","",IF(F864="İade edildi",0,K864-I864))</f>
        <v/>
      </c>
      <c r="M864" s="17" t="str">
        <f aca="true">IF(A864="","",IF(J864&lt;&gt;"",J864-A864,TODAY()-A864))</f>
        <v/>
      </c>
      <c r="N864" s="18" t="str">
        <f aca="false">IF(A864="","",IF(AND(OR(F864="Bekliyor",F864="Parça bekleniyor",F864="Hazır"),M864&gt;7),"7 günü geçti",""))</f>
        <v/>
      </c>
      <c r="O864" s="18" t="str">
        <f aca="false">IF(AND(A864&lt;&gt;"",OR(F864="Bekliyor",F864="Parça bekleniyor",F864="Hazır")),A864+ROW()/1000000,"")</f>
        <v/>
      </c>
    </row>
    <row r="865" customFormat="false" ht="15" hidden="false" customHeight="false" outlineLevel="0" collapsed="false">
      <c r="A865" s="12"/>
      <c r="B865" s="13"/>
      <c r="C865" s="13"/>
      <c r="D865" s="13"/>
      <c r="E865" s="13"/>
      <c r="F865" s="14"/>
      <c r="G865" s="15"/>
      <c r="H865" s="15"/>
      <c r="I865" s="15"/>
      <c r="J865" s="12"/>
      <c r="K865" s="16" t="str">
        <f aca="false">IF(A865="","",G865+H865)</f>
        <v/>
      </c>
      <c r="L865" s="16" t="str">
        <f aca="false">IF(A865="","",IF(F865="İade edildi",0,K865-I865))</f>
        <v/>
      </c>
      <c r="M865" s="17" t="str">
        <f aca="true">IF(A865="","",IF(J865&lt;&gt;"",J865-A865,TODAY()-A865))</f>
        <v/>
      </c>
      <c r="N865" s="18" t="str">
        <f aca="false">IF(A865="","",IF(AND(OR(F865="Bekliyor",F865="Parça bekleniyor",F865="Hazır"),M865&gt;7),"7 günü geçti",""))</f>
        <v/>
      </c>
      <c r="O865" s="18" t="str">
        <f aca="false">IF(AND(A865&lt;&gt;"",OR(F865="Bekliyor",F865="Parça bekleniyor",F865="Hazır")),A865+ROW()/1000000,"")</f>
        <v/>
      </c>
    </row>
    <row r="866" customFormat="false" ht="15" hidden="false" customHeight="false" outlineLevel="0" collapsed="false">
      <c r="A866" s="12"/>
      <c r="B866" s="13"/>
      <c r="C866" s="13"/>
      <c r="D866" s="13"/>
      <c r="E866" s="13"/>
      <c r="F866" s="14"/>
      <c r="G866" s="15"/>
      <c r="H866" s="15"/>
      <c r="I866" s="15"/>
      <c r="J866" s="12"/>
      <c r="K866" s="16" t="str">
        <f aca="false">IF(A866="","",G866+H866)</f>
        <v/>
      </c>
      <c r="L866" s="16" t="str">
        <f aca="false">IF(A866="","",IF(F866="İade edildi",0,K866-I866))</f>
        <v/>
      </c>
      <c r="M866" s="17" t="str">
        <f aca="true">IF(A866="","",IF(J866&lt;&gt;"",J866-A866,TODAY()-A866))</f>
        <v/>
      </c>
      <c r="N866" s="18" t="str">
        <f aca="false">IF(A866="","",IF(AND(OR(F866="Bekliyor",F866="Parça bekleniyor",F866="Hazır"),M866&gt;7),"7 günü geçti",""))</f>
        <v/>
      </c>
      <c r="O866" s="18" t="str">
        <f aca="false">IF(AND(A866&lt;&gt;"",OR(F866="Bekliyor",F866="Parça bekleniyor",F866="Hazır")),A866+ROW()/1000000,"")</f>
        <v/>
      </c>
    </row>
    <row r="867" customFormat="false" ht="15" hidden="false" customHeight="false" outlineLevel="0" collapsed="false">
      <c r="A867" s="12"/>
      <c r="B867" s="13"/>
      <c r="C867" s="13"/>
      <c r="D867" s="13"/>
      <c r="E867" s="13"/>
      <c r="F867" s="14"/>
      <c r="G867" s="15"/>
      <c r="H867" s="15"/>
      <c r="I867" s="15"/>
      <c r="J867" s="12"/>
      <c r="K867" s="16" t="str">
        <f aca="false">IF(A867="","",G867+H867)</f>
        <v/>
      </c>
      <c r="L867" s="16" t="str">
        <f aca="false">IF(A867="","",IF(F867="İade edildi",0,K867-I867))</f>
        <v/>
      </c>
      <c r="M867" s="17" t="str">
        <f aca="true">IF(A867="","",IF(J867&lt;&gt;"",J867-A867,TODAY()-A867))</f>
        <v/>
      </c>
      <c r="N867" s="18" t="str">
        <f aca="false">IF(A867="","",IF(AND(OR(F867="Bekliyor",F867="Parça bekleniyor",F867="Hazır"),M867&gt;7),"7 günü geçti",""))</f>
        <v/>
      </c>
      <c r="O867" s="18" t="str">
        <f aca="false">IF(AND(A867&lt;&gt;"",OR(F867="Bekliyor",F867="Parça bekleniyor",F867="Hazır")),A867+ROW()/1000000,"")</f>
        <v/>
      </c>
    </row>
    <row r="868" customFormat="false" ht="15" hidden="false" customHeight="false" outlineLevel="0" collapsed="false">
      <c r="A868" s="12"/>
      <c r="B868" s="13"/>
      <c r="C868" s="13"/>
      <c r="D868" s="13"/>
      <c r="E868" s="13"/>
      <c r="F868" s="14"/>
      <c r="G868" s="15"/>
      <c r="H868" s="15"/>
      <c r="I868" s="15"/>
      <c r="J868" s="12"/>
      <c r="K868" s="16" t="str">
        <f aca="false">IF(A868="","",G868+H868)</f>
        <v/>
      </c>
      <c r="L868" s="16" t="str">
        <f aca="false">IF(A868="","",IF(F868="İade edildi",0,K868-I868))</f>
        <v/>
      </c>
      <c r="M868" s="17" t="str">
        <f aca="true">IF(A868="","",IF(J868&lt;&gt;"",J868-A868,TODAY()-A868))</f>
        <v/>
      </c>
      <c r="N868" s="18" t="str">
        <f aca="false">IF(A868="","",IF(AND(OR(F868="Bekliyor",F868="Parça bekleniyor",F868="Hazır"),M868&gt;7),"7 günü geçti",""))</f>
        <v/>
      </c>
      <c r="O868" s="18" t="str">
        <f aca="false">IF(AND(A868&lt;&gt;"",OR(F868="Bekliyor",F868="Parça bekleniyor",F868="Hazır")),A868+ROW()/1000000,"")</f>
        <v/>
      </c>
    </row>
    <row r="869" customFormat="false" ht="15" hidden="false" customHeight="false" outlineLevel="0" collapsed="false">
      <c r="A869" s="12"/>
      <c r="B869" s="13"/>
      <c r="C869" s="13"/>
      <c r="D869" s="13"/>
      <c r="E869" s="13"/>
      <c r="F869" s="14"/>
      <c r="G869" s="15"/>
      <c r="H869" s="15"/>
      <c r="I869" s="15"/>
      <c r="J869" s="12"/>
      <c r="K869" s="16" t="str">
        <f aca="false">IF(A869="","",G869+H869)</f>
        <v/>
      </c>
      <c r="L869" s="16" t="str">
        <f aca="false">IF(A869="","",IF(F869="İade edildi",0,K869-I869))</f>
        <v/>
      </c>
      <c r="M869" s="17" t="str">
        <f aca="true">IF(A869="","",IF(J869&lt;&gt;"",J869-A869,TODAY()-A869))</f>
        <v/>
      </c>
      <c r="N869" s="18" t="str">
        <f aca="false">IF(A869="","",IF(AND(OR(F869="Bekliyor",F869="Parça bekleniyor",F869="Hazır"),M869&gt;7),"7 günü geçti",""))</f>
        <v/>
      </c>
      <c r="O869" s="18" t="str">
        <f aca="false">IF(AND(A869&lt;&gt;"",OR(F869="Bekliyor",F869="Parça bekleniyor",F869="Hazır")),A869+ROW()/1000000,"")</f>
        <v/>
      </c>
    </row>
    <row r="870" customFormat="false" ht="15" hidden="false" customHeight="false" outlineLevel="0" collapsed="false">
      <c r="A870" s="12"/>
      <c r="B870" s="13"/>
      <c r="C870" s="13"/>
      <c r="D870" s="13"/>
      <c r="E870" s="13"/>
      <c r="F870" s="14"/>
      <c r="G870" s="15"/>
      <c r="H870" s="15"/>
      <c r="I870" s="15"/>
      <c r="J870" s="12"/>
      <c r="K870" s="16" t="str">
        <f aca="false">IF(A870="","",G870+H870)</f>
        <v/>
      </c>
      <c r="L870" s="16" t="str">
        <f aca="false">IF(A870="","",IF(F870="İade edildi",0,K870-I870))</f>
        <v/>
      </c>
      <c r="M870" s="17" t="str">
        <f aca="true">IF(A870="","",IF(J870&lt;&gt;"",J870-A870,TODAY()-A870))</f>
        <v/>
      </c>
      <c r="N870" s="18" t="str">
        <f aca="false">IF(A870="","",IF(AND(OR(F870="Bekliyor",F870="Parça bekleniyor",F870="Hazır"),M870&gt;7),"7 günü geçti",""))</f>
        <v/>
      </c>
      <c r="O870" s="18" t="str">
        <f aca="false">IF(AND(A870&lt;&gt;"",OR(F870="Bekliyor",F870="Parça bekleniyor",F870="Hazır")),A870+ROW()/1000000,"")</f>
        <v/>
      </c>
    </row>
    <row r="871" customFormat="false" ht="15" hidden="false" customHeight="false" outlineLevel="0" collapsed="false">
      <c r="A871" s="12"/>
      <c r="B871" s="13"/>
      <c r="C871" s="13"/>
      <c r="D871" s="13"/>
      <c r="E871" s="13"/>
      <c r="F871" s="14"/>
      <c r="G871" s="15"/>
      <c r="H871" s="15"/>
      <c r="I871" s="15"/>
      <c r="J871" s="12"/>
      <c r="K871" s="16" t="str">
        <f aca="false">IF(A871="","",G871+H871)</f>
        <v/>
      </c>
      <c r="L871" s="16" t="str">
        <f aca="false">IF(A871="","",IF(F871="İade edildi",0,K871-I871))</f>
        <v/>
      </c>
      <c r="M871" s="17" t="str">
        <f aca="true">IF(A871="","",IF(J871&lt;&gt;"",J871-A871,TODAY()-A871))</f>
        <v/>
      </c>
      <c r="N871" s="18" t="str">
        <f aca="false">IF(A871="","",IF(AND(OR(F871="Bekliyor",F871="Parça bekleniyor",F871="Hazır"),M871&gt;7),"7 günü geçti",""))</f>
        <v/>
      </c>
      <c r="O871" s="18" t="str">
        <f aca="false">IF(AND(A871&lt;&gt;"",OR(F871="Bekliyor",F871="Parça bekleniyor",F871="Hazır")),A871+ROW()/1000000,"")</f>
        <v/>
      </c>
    </row>
    <row r="872" customFormat="false" ht="15" hidden="false" customHeight="false" outlineLevel="0" collapsed="false">
      <c r="A872" s="12"/>
      <c r="B872" s="13"/>
      <c r="C872" s="13"/>
      <c r="D872" s="13"/>
      <c r="E872" s="13"/>
      <c r="F872" s="14"/>
      <c r="G872" s="15"/>
      <c r="H872" s="15"/>
      <c r="I872" s="15"/>
      <c r="J872" s="12"/>
      <c r="K872" s="16" t="str">
        <f aca="false">IF(A872="","",G872+H872)</f>
        <v/>
      </c>
      <c r="L872" s="16" t="str">
        <f aca="false">IF(A872="","",IF(F872="İade edildi",0,K872-I872))</f>
        <v/>
      </c>
      <c r="M872" s="17" t="str">
        <f aca="true">IF(A872="","",IF(J872&lt;&gt;"",J872-A872,TODAY()-A872))</f>
        <v/>
      </c>
      <c r="N872" s="18" t="str">
        <f aca="false">IF(A872="","",IF(AND(OR(F872="Bekliyor",F872="Parça bekleniyor",F872="Hazır"),M872&gt;7),"7 günü geçti",""))</f>
        <v/>
      </c>
      <c r="O872" s="18" t="str">
        <f aca="false">IF(AND(A872&lt;&gt;"",OR(F872="Bekliyor",F872="Parça bekleniyor",F872="Hazır")),A872+ROW()/1000000,"")</f>
        <v/>
      </c>
    </row>
    <row r="873" customFormat="false" ht="15" hidden="false" customHeight="false" outlineLevel="0" collapsed="false">
      <c r="A873" s="12"/>
      <c r="B873" s="13"/>
      <c r="C873" s="13"/>
      <c r="D873" s="13"/>
      <c r="E873" s="13"/>
      <c r="F873" s="14"/>
      <c r="G873" s="15"/>
      <c r="H873" s="15"/>
      <c r="I873" s="15"/>
      <c r="J873" s="12"/>
      <c r="K873" s="16" t="str">
        <f aca="false">IF(A873="","",G873+H873)</f>
        <v/>
      </c>
      <c r="L873" s="16" t="str">
        <f aca="false">IF(A873="","",IF(F873="İade edildi",0,K873-I873))</f>
        <v/>
      </c>
      <c r="M873" s="17" t="str">
        <f aca="true">IF(A873="","",IF(J873&lt;&gt;"",J873-A873,TODAY()-A873))</f>
        <v/>
      </c>
      <c r="N873" s="18" t="str">
        <f aca="false">IF(A873="","",IF(AND(OR(F873="Bekliyor",F873="Parça bekleniyor",F873="Hazır"),M873&gt;7),"7 günü geçti",""))</f>
        <v/>
      </c>
      <c r="O873" s="18" t="str">
        <f aca="false">IF(AND(A873&lt;&gt;"",OR(F873="Bekliyor",F873="Parça bekleniyor",F873="Hazır")),A873+ROW()/1000000,"")</f>
        <v/>
      </c>
    </row>
    <row r="874" customFormat="false" ht="15" hidden="false" customHeight="false" outlineLevel="0" collapsed="false">
      <c r="A874" s="12"/>
      <c r="B874" s="13"/>
      <c r="C874" s="13"/>
      <c r="D874" s="13"/>
      <c r="E874" s="13"/>
      <c r="F874" s="14"/>
      <c r="G874" s="15"/>
      <c r="H874" s="15"/>
      <c r="I874" s="15"/>
      <c r="J874" s="12"/>
      <c r="K874" s="16" t="str">
        <f aca="false">IF(A874="","",G874+H874)</f>
        <v/>
      </c>
      <c r="L874" s="16" t="str">
        <f aca="false">IF(A874="","",IF(F874="İade edildi",0,K874-I874))</f>
        <v/>
      </c>
      <c r="M874" s="17" t="str">
        <f aca="true">IF(A874="","",IF(J874&lt;&gt;"",J874-A874,TODAY()-A874))</f>
        <v/>
      </c>
      <c r="N874" s="18" t="str">
        <f aca="false">IF(A874="","",IF(AND(OR(F874="Bekliyor",F874="Parça bekleniyor",F874="Hazır"),M874&gt;7),"7 günü geçti",""))</f>
        <v/>
      </c>
      <c r="O874" s="18" t="str">
        <f aca="false">IF(AND(A874&lt;&gt;"",OR(F874="Bekliyor",F874="Parça bekleniyor",F874="Hazır")),A874+ROW()/1000000,"")</f>
        <v/>
      </c>
    </row>
    <row r="875" customFormat="false" ht="15" hidden="false" customHeight="false" outlineLevel="0" collapsed="false">
      <c r="A875" s="12"/>
      <c r="B875" s="13"/>
      <c r="C875" s="13"/>
      <c r="D875" s="13"/>
      <c r="E875" s="13"/>
      <c r="F875" s="14"/>
      <c r="G875" s="15"/>
      <c r="H875" s="15"/>
      <c r="I875" s="15"/>
      <c r="J875" s="12"/>
      <c r="K875" s="16" t="str">
        <f aca="false">IF(A875="","",G875+H875)</f>
        <v/>
      </c>
      <c r="L875" s="16" t="str">
        <f aca="false">IF(A875="","",IF(F875="İade edildi",0,K875-I875))</f>
        <v/>
      </c>
      <c r="M875" s="17" t="str">
        <f aca="true">IF(A875="","",IF(J875&lt;&gt;"",J875-A875,TODAY()-A875))</f>
        <v/>
      </c>
      <c r="N875" s="18" t="str">
        <f aca="false">IF(A875="","",IF(AND(OR(F875="Bekliyor",F875="Parça bekleniyor",F875="Hazır"),M875&gt;7),"7 günü geçti",""))</f>
        <v/>
      </c>
      <c r="O875" s="18" t="str">
        <f aca="false">IF(AND(A875&lt;&gt;"",OR(F875="Bekliyor",F875="Parça bekleniyor",F875="Hazır")),A875+ROW()/1000000,"")</f>
        <v/>
      </c>
    </row>
    <row r="876" customFormat="false" ht="15" hidden="false" customHeight="false" outlineLevel="0" collapsed="false">
      <c r="A876" s="12"/>
      <c r="B876" s="13"/>
      <c r="C876" s="13"/>
      <c r="D876" s="13"/>
      <c r="E876" s="13"/>
      <c r="F876" s="14"/>
      <c r="G876" s="15"/>
      <c r="H876" s="15"/>
      <c r="I876" s="15"/>
      <c r="J876" s="12"/>
      <c r="K876" s="16" t="str">
        <f aca="false">IF(A876="","",G876+H876)</f>
        <v/>
      </c>
      <c r="L876" s="16" t="str">
        <f aca="false">IF(A876="","",IF(F876="İade edildi",0,K876-I876))</f>
        <v/>
      </c>
      <c r="M876" s="17" t="str">
        <f aca="true">IF(A876="","",IF(J876&lt;&gt;"",J876-A876,TODAY()-A876))</f>
        <v/>
      </c>
      <c r="N876" s="18" t="str">
        <f aca="false">IF(A876="","",IF(AND(OR(F876="Bekliyor",F876="Parça bekleniyor",F876="Hazır"),M876&gt;7),"7 günü geçti",""))</f>
        <v/>
      </c>
      <c r="O876" s="18" t="str">
        <f aca="false">IF(AND(A876&lt;&gt;"",OR(F876="Bekliyor",F876="Parça bekleniyor",F876="Hazır")),A876+ROW()/1000000,"")</f>
        <v/>
      </c>
    </row>
    <row r="877" customFormat="false" ht="15" hidden="false" customHeight="false" outlineLevel="0" collapsed="false">
      <c r="A877" s="12"/>
      <c r="B877" s="13"/>
      <c r="C877" s="13"/>
      <c r="D877" s="13"/>
      <c r="E877" s="13"/>
      <c r="F877" s="14"/>
      <c r="G877" s="15"/>
      <c r="H877" s="15"/>
      <c r="I877" s="15"/>
      <c r="J877" s="12"/>
      <c r="K877" s="16" t="str">
        <f aca="false">IF(A877="","",G877+H877)</f>
        <v/>
      </c>
      <c r="L877" s="16" t="str">
        <f aca="false">IF(A877="","",IF(F877="İade edildi",0,K877-I877))</f>
        <v/>
      </c>
      <c r="M877" s="17" t="str">
        <f aca="true">IF(A877="","",IF(J877&lt;&gt;"",J877-A877,TODAY()-A877))</f>
        <v/>
      </c>
      <c r="N877" s="18" t="str">
        <f aca="false">IF(A877="","",IF(AND(OR(F877="Bekliyor",F877="Parça bekleniyor",F877="Hazır"),M877&gt;7),"7 günü geçti",""))</f>
        <v/>
      </c>
      <c r="O877" s="18" t="str">
        <f aca="false">IF(AND(A877&lt;&gt;"",OR(F877="Bekliyor",F877="Parça bekleniyor",F877="Hazır")),A877+ROW()/1000000,"")</f>
        <v/>
      </c>
    </row>
    <row r="878" customFormat="false" ht="15" hidden="false" customHeight="false" outlineLevel="0" collapsed="false">
      <c r="A878" s="12"/>
      <c r="B878" s="13"/>
      <c r="C878" s="13"/>
      <c r="D878" s="13"/>
      <c r="E878" s="13"/>
      <c r="F878" s="14"/>
      <c r="G878" s="15"/>
      <c r="H878" s="15"/>
      <c r="I878" s="15"/>
      <c r="J878" s="12"/>
      <c r="K878" s="16" t="str">
        <f aca="false">IF(A878="","",G878+H878)</f>
        <v/>
      </c>
      <c r="L878" s="16" t="str">
        <f aca="false">IF(A878="","",IF(F878="İade edildi",0,K878-I878))</f>
        <v/>
      </c>
      <c r="M878" s="17" t="str">
        <f aca="true">IF(A878="","",IF(J878&lt;&gt;"",J878-A878,TODAY()-A878))</f>
        <v/>
      </c>
      <c r="N878" s="18" t="str">
        <f aca="false">IF(A878="","",IF(AND(OR(F878="Bekliyor",F878="Parça bekleniyor",F878="Hazır"),M878&gt;7),"7 günü geçti",""))</f>
        <v/>
      </c>
      <c r="O878" s="18" t="str">
        <f aca="false">IF(AND(A878&lt;&gt;"",OR(F878="Bekliyor",F878="Parça bekleniyor",F878="Hazır")),A878+ROW()/1000000,"")</f>
        <v/>
      </c>
    </row>
    <row r="879" customFormat="false" ht="15" hidden="false" customHeight="false" outlineLevel="0" collapsed="false">
      <c r="A879" s="12"/>
      <c r="B879" s="13"/>
      <c r="C879" s="13"/>
      <c r="D879" s="13"/>
      <c r="E879" s="13"/>
      <c r="F879" s="14"/>
      <c r="G879" s="15"/>
      <c r="H879" s="15"/>
      <c r="I879" s="15"/>
      <c r="J879" s="12"/>
      <c r="K879" s="16" t="str">
        <f aca="false">IF(A879="","",G879+H879)</f>
        <v/>
      </c>
      <c r="L879" s="16" t="str">
        <f aca="false">IF(A879="","",IF(F879="İade edildi",0,K879-I879))</f>
        <v/>
      </c>
      <c r="M879" s="17" t="str">
        <f aca="true">IF(A879="","",IF(J879&lt;&gt;"",J879-A879,TODAY()-A879))</f>
        <v/>
      </c>
      <c r="N879" s="18" t="str">
        <f aca="false">IF(A879="","",IF(AND(OR(F879="Bekliyor",F879="Parça bekleniyor",F879="Hazır"),M879&gt;7),"7 günü geçti",""))</f>
        <v/>
      </c>
      <c r="O879" s="18" t="str">
        <f aca="false">IF(AND(A879&lt;&gt;"",OR(F879="Bekliyor",F879="Parça bekleniyor",F879="Hazır")),A879+ROW()/1000000,"")</f>
        <v/>
      </c>
    </row>
    <row r="880" customFormat="false" ht="15" hidden="false" customHeight="false" outlineLevel="0" collapsed="false">
      <c r="A880" s="12"/>
      <c r="B880" s="13"/>
      <c r="C880" s="13"/>
      <c r="D880" s="13"/>
      <c r="E880" s="13"/>
      <c r="F880" s="14"/>
      <c r="G880" s="15"/>
      <c r="H880" s="15"/>
      <c r="I880" s="15"/>
      <c r="J880" s="12"/>
      <c r="K880" s="16" t="str">
        <f aca="false">IF(A880="","",G880+H880)</f>
        <v/>
      </c>
      <c r="L880" s="16" t="str">
        <f aca="false">IF(A880="","",IF(F880="İade edildi",0,K880-I880))</f>
        <v/>
      </c>
      <c r="M880" s="17" t="str">
        <f aca="true">IF(A880="","",IF(J880&lt;&gt;"",J880-A880,TODAY()-A880))</f>
        <v/>
      </c>
      <c r="N880" s="18" t="str">
        <f aca="false">IF(A880="","",IF(AND(OR(F880="Bekliyor",F880="Parça bekleniyor",F880="Hazır"),M880&gt;7),"7 günü geçti",""))</f>
        <v/>
      </c>
      <c r="O880" s="18" t="str">
        <f aca="false">IF(AND(A880&lt;&gt;"",OR(F880="Bekliyor",F880="Parça bekleniyor",F880="Hazır")),A880+ROW()/1000000,"")</f>
        <v/>
      </c>
    </row>
    <row r="881" customFormat="false" ht="15" hidden="false" customHeight="false" outlineLevel="0" collapsed="false">
      <c r="A881" s="12"/>
      <c r="B881" s="13"/>
      <c r="C881" s="13"/>
      <c r="D881" s="13"/>
      <c r="E881" s="13"/>
      <c r="F881" s="14"/>
      <c r="G881" s="15"/>
      <c r="H881" s="15"/>
      <c r="I881" s="15"/>
      <c r="J881" s="12"/>
      <c r="K881" s="16" t="str">
        <f aca="false">IF(A881="","",G881+H881)</f>
        <v/>
      </c>
      <c r="L881" s="16" t="str">
        <f aca="false">IF(A881="","",IF(F881="İade edildi",0,K881-I881))</f>
        <v/>
      </c>
      <c r="M881" s="17" t="str">
        <f aca="true">IF(A881="","",IF(J881&lt;&gt;"",J881-A881,TODAY()-A881))</f>
        <v/>
      </c>
      <c r="N881" s="18" t="str">
        <f aca="false">IF(A881="","",IF(AND(OR(F881="Bekliyor",F881="Parça bekleniyor",F881="Hazır"),M881&gt;7),"7 günü geçti",""))</f>
        <v/>
      </c>
      <c r="O881" s="18" t="str">
        <f aca="false">IF(AND(A881&lt;&gt;"",OR(F881="Bekliyor",F881="Parça bekleniyor",F881="Hazır")),A881+ROW()/1000000,"")</f>
        <v/>
      </c>
    </row>
    <row r="882" customFormat="false" ht="15" hidden="false" customHeight="false" outlineLevel="0" collapsed="false">
      <c r="A882" s="12"/>
      <c r="B882" s="13"/>
      <c r="C882" s="13"/>
      <c r="D882" s="13"/>
      <c r="E882" s="13"/>
      <c r="F882" s="14"/>
      <c r="G882" s="15"/>
      <c r="H882" s="15"/>
      <c r="I882" s="15"/>
      <c r="J882" s="12"/>
      <c r="K882" s="16" t="str">
        <f aca="false">IF(A882="","",G882+H882)</f>
        <v/>
      </c>
      <c r="L882" s="16" t="str">
        <f aca="false">IF(A882="","",IF(F882="İade edildi",0,K882-I882))</f>
        <v/>
      </c>
      <c r="M882" s="17" t="str">
        <f aca="true">IF(A882="","",IF(J882&lt;&gt;"",J882-A882,TODAY()-A882))</f>
        <v/>
      </c>
      <c r="N882" s="18" t="str">
        <f aca="false">IF(A882="","",IF(AND(OR(F882="Bekliyor",F882="Parça bekleniyor",F882="Hazır"),M882&gt;7),"7 günü geçti",""))</f>
        <v/>
      </c>
      <c r="O882" s="18" t="str">
        <f aca="false">IF(AND(A882&lt;&gt;"",OR(F882="Bekliyor",F882="Parça bekleniyor",F882="Hazır")),A882+ROW()/1000000,"")</f>
        <v/>
      </c>
    </row>
    <row r="883" customFormat="false" ht="15" hidden="false" customHeight="false" outlineLevel="0" collapsed="false">
      <c r="A883" s="12"/>
      <c r="B883" s="13"/>
      <c r="C883" s="13"/>
      <c r="D883" s="13"/>
      <c r="E883" s="13"/>
      <c r="F883" s="14"/>
      <c r="G883" s="15"/>
      <c r="H883" s="15"/>
      <c r="I883" s="15"/>
      <c r="J883" s="12"/>
      <c r="K883" s="16" t="str">
        <f aca="false">IF(A883="","",G883+H883)</f>
        <v/>
      </c>
      <c r="L883" s="16" t="str">
        <f aca="false">IF(A883="","",IF(F883="İade edildi",0,K883-I883))</f>
        <v/>
      </c>
      <c r="M883" s="17" t="str">
        <f aca="true">IF(A883="","",IF(J883&lt;&gt;"",J883-A883,TODAY()-A883))</f>
        <v/>
      </c>
      <c r="N883" s="18" t="str">
        <f aca="false">IF(A883="","",IF(AND(OR(F883="Bekliyor",F883="Parça bekleniyor",F883="Hazır"),M883&gt;7),"7 günü geçti",""))</f>
        <v/>
      </c>
      <c r="O883" s="18" t="str">
        <f aca="false">IF(AND(A883&lt;&gt;"",OR(F883="Bekliyor",F883="Parça bekleniyor",F883="Hazır")),A883+ROW()/1000000,"")</f>
        <v/>
      </c>
    </row>
    <row r="884" customFormat="false" ht="15" hidden="false" customHeight="false" outlineLevel="0" collapsed="false">
      <c r="A884" s="12"/>
      <c r="B884" s="13"/>
      <c r="C884" s="13"/>
      <c r="D884" s="13"/>
      <c r="E884" s="13"/>
      <c r="F884" s="14"/>
      <c r="G884" s="15"/>
      <c r="H884" s="15"/>
      <c r="I884" s="15"/>
      <c r="J884" s="12"/>
      <c r="K884" s="16" t="str">
        <f aca="false">IF(A884="","",G884+H884)</f>
        <v/>
      </c>
      <c r="L884" s="16" t="str">
        <f aca="false">IF(A884="","",IF(F884="İade edildi",0,K884-I884))</f>
        <v/>
      </c>
      <c r="M884" s="17" t="str">
        <f aca="true">IF(A884="","",IF(J884&lt;&gt;"",J884-A884,TODAY()-A884))</f>
        <v/>
      </c>
      <c r="N884" s="18" t="str">
        <f aca="false">IF(A884="","",IF(AND(OR(F884="Bekliyor",F884="Parça bekleniyor",F884="Hazır"),M884&gt;7),"7 günü geçti",""))</f>
        <v/>
      </c>
      <c r="O884" s="18" t="str">
        <f aca="false">IF(AND(A884&lt;&gt;"",OR(F884="Bekliyor",F884="Parça bekleniyor",F884="Hazır")),A884+ROW()/1000000,"")</f>
        <v/>
      </c>
    </row>
    <row r="885" customFormat="false" ht="15" hidden="false" customHeight="false" outlineLevel="0" collapsed="false">
      <c r="A885" s="12"/>
      <c r="B885" s="13"/>
      <c r="C885" s="13"/>
      <c r="D885" s="13"/>
      <c r="E885" s="13"/>
      <c r="F885" s="14"/>
      <c r="G885" s="15"/>
      <c r="H885" s="15"/>
      <c r="I885" s="15"/>
      <c r="J885" s="12"/>
      <c r="K885" s="16" t="str">
        <f aca="false">IF(A885="","",G885+H885)</f>
        <v/>
      </c>
      <c r="L885" s="16" t="str">
        <f aca="false">IF(A885="","",IF(F885="İade edildi",0,K885-I885))</f>
        <v/>
      </c>
      <c r="M885" s="17" t="str">
        <f aca="true">IF(A885="","",IF(J885&lt;&gt;"",J885-A885,TODAY()-A885))</f>
        <v/>
      </c>
      <c r="N885" s="18" t="str">
        <f aca="false">IF(A885="","",IF(AND(OR(F885="Bekliyor",F885="Parça bekleniyor",F885="Hazır"),M885&gt;7),"7 günü geçti",""))</f>
        <v/>
      </c>
      <c r="O885" s="18" t="str">
        <f aca="false">IF(AND(A885&lt;&gt;"",OR(F885="Bekliyor",F885="Parça bekleniyor",F885="Hazır")),A885+ROW()/1000000,"")</f>
        <v/>
      </c>
    </row>
    <row r="886" customFormat="false" ht="15" hidden="false" customHeight="false" outlineLevel="0" collapsed="false">
      <c r="A886" s="12"/>
      <c r="B886" s="13"/>
      <c r="C886" s="13"/>
      <c r="D886" s="13"/>
      <c r="E886" s="13"/>
      <c r="F886" s="14"/>
      <c r="G886" s="15"/>
      <c r="H886" s="15"/>
      <c r="I886" s="15"/>
      <c r="J886" s="12"/>
      <c r="K886" s="16" t="str">
        <f aca="false">IF(A886="","",G886+H886)</f>
        <v/>
      </c>
      <c r="L886" s="16" t="str">
        <f aca="false">IF(A886="","",IF(F886="İade edildi",0,K886-I886))</f>
        <v/>
      </c>
      <c r="M886" s="17" t="str">
        <f aca="true">IF(A886="","",IF(J886&lt;&gt;"",J886-A886,TODAY()-A886))</f>
        <v/>
      </c>
      <c r="N886" s="18" t="str">
        <f aca="false">IF(A886="","",IF(AND(OR(F886="Bekliyor",F886="Parça bekleniyor",F886="Hazır"),M886&gt;7),"7 günü geçti",""))</f>
        <v/>
      </c>
      <c r="O886" s="18" t="str">
        <f aca="false">IF(AND(A886&lt;&gt;"",OR(F886="Bekliyor",F886="Parça bekleniyor",F886="Hazır")),A886+ROW()/1000000,"")</f>
        <v/>
      </c>
    </row>
    <row r="887" customFormat="false" ht="15" hidden="false" customHeight="false" outlineLevel="0" collapsed="false">
      <c r="A887" s="12"/>
      <c r="B887" s="13"/>
      <c r="C887" s="13"/>
      <c r="D887" s="13"/>
      <c r="E887" s="13"/>
      <c r="F887" s="14"/>
      <c r="G887" s="15"/>
      <c r="H887" s="15"/>
      <c r="I887" s="15"/>
      <c r="J887" s="12"/>
      <c r="K887" s="16" t="str">
        <f aca="false">IF(A887="","",G887+H887)</f>
        <v/>
      </c>
      <c r="L887" s="16" t="str">
        <f aca="false">IF(A887="","",IF(F887="İade edildi",0,K887-I887))</f>
        <v/>
      </c>
      <c r="M887" s="17" t="str">
        <f aca="true">IF(A887="","",IF(J887&lt;&gt;"",J887-A887,TODAY()-A887))</f>
        <v/>
      </c>
      <c r="N887" s="18" t="str">
        <f aca="false">IF(A887="","",IF(AND(OR(F887="Bekliyor",F887="Parça bekleniyor",F887="Hazır"),M887&gt;7),"7 günü geçti",""))</f>
        <v/>
      </c>
      <c r="O887" s="18" t="str">
        <f aca="false">IF(AND(A887&lt;&gt;"",OR(F887="Bekliyor",F887="Parça bekleniyor",F887="Hazır")),A887+ROW()/1000000,"")</f>
        <v/>
      </c>
    </row>
    <row r="888" customFormat="false" ht="15" hidden="false" customHeight="false" outlineLevel="0" collapsed="false">
      <c r="A888" s="12"/>
      <c r="B888" s="13"/>
      <c r="C888" s="13"/>
      <c r="D888" s="13"/>
      <c r="E888" s="13"/>
      <c r="F888" s="14"/>
      <c r="G888" s="15"/>
      <c r="H888" s="15"/>
      <c r="I888" s="15"/>
      <c r="J888" s="12"/>
      <c r="K888" s="16" t="str">
        <f aca="false">IF(A888="","",G888+H888)</f>
        <v/>
      </c>
      <c r="L888" s="16" t="str">
        <f aca="false">IF(A888="","",IF(F888="İade edildi",0,K888-I888))</f>
        <v/>
      </c>
      <c r="M888" s="17" t="str">
        <f aca="true">IF(A888="","",IF(J888&lt;&gt;"",J888-A888,TODAY()-A888))</f>
        <v/>
      </c>
      <c r="N888" s="18" t="str">
        <f aca="false">IF(A888="","",IF(AND(OR(F888="Bekliyor",F888="Parça bekleniyor",F888="Hazır"),M888&gt;7),"7 günü geçti",""))</f>
        <v/>
      </c>
      <c r="O888" s="18" t="str">
        <f aca="false">IF(AND(A888&lt;&gt;"",OR(F888="Bekliyor",F888="Parça bekleniyor",F888="Hazır")),A888+ROW()/1000000,"")</f>
        <v/>
      </c>
    </row>
    <row r="889" customFormat="false" ht="15" hidden="false" customHeight="false" outlineLevel="0" collapsed="false">
      <c r="A889" s="12"/>
      <c r="B889" s="13"/>
      <c r="C889" s="13"/>
      <c r="D889" s="13"/>
      <c r="E889" s="13"/>
      <c r="F889" s="14"/>
      <c r="G889" s="15"/>
      <c r="H889" s="15"/>
      <c r="I889" s="15"/>
      <c r="J889" s="12"/>
      <c r="K889" s="16" t="str">
        <f aca="false">IF(A889="","",G889+H889)</f>
        <v/>
      </c>
      <c r="L889" s="16" t="str">
        <f aca="false">IF(A889="","",IF(F889="İade edildi",0,K889-I889))</f>
        <v/>
      </c>
      <c r="M889" s="17" t="str">
        <f aca="true">IF(A889="","",IF(J889&lt;&gt;"",J889-A889,TODAY()-A889))</f>
        <v/>
      </c>
      <c r="N889" s="18" t="str">
        <f aca="false">IF(A889="","",IF(AND(OR(F889="Bekliyor",F889="Parça bekleniyor",F889="Hazır"),M889&gt;7),"7 günü geçti",""))</f>
        <v/>
      </c>
      <c r="O889" s="18" t="str">
        <f aca="false">IF(AND(A889&lt;&gt;"",OR(F889="Bekliyor",F889="Parça bekleniyor",F889="Hazır")),A889+ROW()/1000000,"")</f>
        <v/>
      </c>
    </row>
    <row r="890" customFormat="false" ht="15" hidden="false" customHeight="false" outlineLevel="0" collapsed="false">
      <c r="A890" s="12"/>
      <c r="B890" s="13"/>
      <c r="C890" s="13"/>
      <c r="D890" s="13"/>
      <c r="E890" s="13"/>
      <c r="F890" s="14"/>
      <c r="G890" s="15"/>
      <c r="H890" s="15"/>
      <c r="I890" s="15"/>
      <c r="J890" s="12"/>
      <c r="K890" s="16" t="str">
        <f aca="false">IF(A890="","",G890+H890)</f>
        <v/>
      </c>
      <c r="L890" s="16" t="str">
        <f aca="false">IF(A890="","",IF(F890="İade edildi",0,K890-I890))</f>
        <v/>
      </c>
      <c r="M890" s="17" t="str">
        <f aca="true">IF(A890="","",IF(J890&lt;&gt;"",J890-A890,TODAY()-A890))</f>
        <v/>
      </c>
      <c r="N890" s="18" t="str">
        <f aca="false">IF(A890="","",IF(AND(OR(F890="Bekliyor",F890="Parça bekleniyor",F890="Hazır"),M890&gt;7),"7 günü geçti",""))</f>
        <v/>
      </c>
      <c r="O890" s="18" t="str">
        <f aca="false">IF(AND(A890&lt;&gt;"",OR(F890="Bekliyor",F890="Parça bekleniyor",F890="Hazır")),A890+ROW()/1000000,"")</f>
        <v/>
      </c>
    </row>
    <row r="891" customFormat="false" ht="15" hidden="false" customHeight="false" outlineLevel="0" collapsed="false">
      <c r="A891" s="12"/>
      <c r="B891" s="13"/>
      <c r="C891" s="13"/>
      <c r="D891" s="13"/>
      <c r="E891" s="13"/>
      <c r="F891" s="14"/>
      <c r="G891" s="15"/>
      <c r="H891" s="15"/>
      <c r="I891" s="15"/>
      <c r="J891" s="12"/>
      <c r="K891" s="16" t="str">
        <f aca="false">IF(A891="","",G891+H891)</f>
        <v/>
      </c>
      <c r="L891" s="16" t="str">
        <f aca="false">IF(A891="","",IF(F891="İade edildi",0,K891-I891))</f>
        <v/>
      </c>
      <c r="M891" s="17" t="str">
        <f aca="true">IF(A891="","",IF(J891&lt;&gt;"",J891-A891,TODAY()-A891))</f>
        <v/>
      </c>
      <c r="N891" s="18" t="str">
        <f aca="false">IF(A891="","",IF(AND(OR(F891="Bekliyor",F891="Parça bekleniyor",F891="Hazır"),M891&gt;7),"7 günü geçti",""))</f>
        <v/>
      </c>
      <c r="O891" s="18" t="str">
        <f aca="false">IF(AND(A891&lt;&gt;"",OR(F891="Bekliyor",F891="Parça bekleniyor",F891="Hazır")),A891+ROW()/1000000,"")</f>
        <v/>
      </c>
    </row>
    <row r="892" customFormat="false" ht="15" hidden="false" customHeight="false" outlineLevel="0" collapsed="false">
      <c r="A892" s="12"/>
      <c r="B892" s="13"/>
      <c r="C892" s="13"/>
      <c r="D892" s="13"/>
      <c r="E892" s="13"/>
      <c r="F892" s="14"/>
      <c r="G892" s="15"/>
      <c r="H892" s="15"/>
      <c r="I892" s="15"/>
      <c r="J892" s="12"/>
      <c r="K892" s="16" t="str">
        <f aca="false">IF(A892="","",G892+H892)</f>
        <v/>
      </c>
      <c r="L892" s="16" t="str">
        <f aca="false">IF(A892="","",IF(F892="İade edildi",0,K892-I892))</f>
        <v/>
      </c>
      <c r="M892" s="17" t="str">
        <f aca="true">IF(A892="","",IF(J892&lt;&gt;"",J892-A892,TODAY()-A892))</f>
        <v/>
      </c>
      <c r="N892" s="18" t="str">
        <f aca="false">IF(A892="","",IF(AND(OR(F892="Bekliyor",F892="Parça bekleniyor",F892="Hazır"),M892&gt;7),"7 günü geçti",""))</f>
        <v/>
      </c>
      <c r="O892" s="18" t="str">
        <f aca="false">IF(AND(A892&lt;&gt;"",OR(F892="Bekliyor",F892="Parça bekleniyor",F892="Hazır")),A892+ROW()/1000000,"")</f>
        <v/>
      </c>
    </row>
    <row r="893" customFormat="false" ht="15" hidden="false" customHeight="false" outlineLevel="0" collapsed="false">
      <c r="A893" s="12"/>
      <c r="B893" s="13"/>
      <c r="C893" s="13"/>
      <c r="D893" s="13"/>
      <c r="E893" s="13"/>
      <c r="F893" s="14"/>
      <c r="G893" s="15"/>
      <c r="H893" s="15"/>
      <c r="I893" s="15"/>
      <c r="J893" s="12"/>
      <c r="K893" s="16" t="str">
        <f aca="false">IF(A893="","",G893+H893)</f>
        <v/>
      </c>
      <c r="L893" s="16" t="str">
        <f aca="false">IF(A893="","",IF(F893="İade edildi",0,K893-I893))</f>
        <v/>
      </c>
      <c r="M893" s="17" t="str">
        <f aca="true">IF(A893="","",IF(J893&lt;&gt;"",J893-A893,TODAY()-A893))</f>
        <v/>
      </c>
      <c r="N893" s="18" t="str">
        <f aca="false">IF(A893="","",IF(AND(OR(F893="Bekliyor",F893="Parça bekleniyor",F893="Hazır"),M893&gt;7),"7 günü geçti",""))</f>
        <v/>
      </c>
      <c r="O893" s="18" t="str">
        <f aca="false">IF(AND(A893&lt;&gt;"",OR(F893="Bekliyor",F893="Parça bekleniyor",F893="Hazır")),A893+ROW()/1000000,"")</f>
        <v/>
      </c>
    </row>
    <row r="894" customFormat="false" ht="15" hidden="false" customHeight="false" outlineLevel="0" collapsed="false">
      <c r="A894" s="12"/>
      <c r="B894" s="13"/>
      <c r="C894" s="13"/>
      <c r="D894" s="13"/>
      <c r="E894" s="13"/>
      <c r="F894" s="14"/>
      <c r="G894" s="15"/>
      <c r="H894" s="15"/>
      <c r="I894" s="15"/>
      <c r="J894" s="12"/>
      <c r="K894" s="16" t="str">
        <f aca="false">IF(A894="","",G894+H894)</f>
        <v/>
      </c>
      <c r="L894" s="16" t="str">
        <f aca="false">IF(A894="","",IF(F894="İade edildi",0,K894-I894))</f>
        <v/>
      </c>
      <c r="M894" s="17" t="str">
        <f aca="true">IF(A894="","",IF(J894&lt;&gt;"",J894-A894,TODAY()-A894))</f>
        <v/>
      </c>
      <c r="N894" s="18" t="str">
        <f aca="false">IF(A894="","",IF(AND(OR(F894="Bekliyor",F894="Parça bekleniyor",F894="Hazır"),M894&gt;7),"7 günü geçti",""))</f>
        <v/>
      </c>
      <c r="O894" s="18" t="str">
        <f aca="false">IF(AND(A894&lt;&gt;"",OR(F894="Bekliyor",F894="Parça bekleniyor",F894="Hazır")),A894+ROW()/1000000,"")</f>
        <v/>
      </c>
    </row>
    <row r="895" customFormat="false" ht="15" hidden="false" customHeight="false" outlineLevel="0" collapsed="false">
      <c r="A895" s="12"/>
      <c r="B895" s="13"/>
      <c r="C895" s="13"/>
      <c r="D895" s="13"/>
      <c r="E895" s="13"/>
      <c r="F895" s="14"/>
      <c r="G895" s="15"/>
      <c r="H895" s="15"/>
      <c r="I895" s="15"/>
      <c r="J895" s="12"/>
      <c r="K895" s="16" t="str">
        <f aca="false">IF(A895="","",G895+H895)</f>
        <v/>
      </c>
      <c r="L895" s="16" t="str">
        <f aca="false">IF(A895="","",IF(F895="İade edildi",0,K895-I895))</f>
        <v/>
      </c>
      <c r="M895" s="17" t="str">
        <f aca="true">IF(A895="","",IF(J895&lt;&gt;"",J895-A895,TODAY()-A895))</f>
        <v/>
      </c>
      <c r="N895" s="18" t="str">
        <f aca="false">IF(A895="","",IF(AND(OR(F895="Bekliyor",F895="Parça bekleniyor",F895="Hazır"),M895&gt;7),"7 günü geçti",""))</f>
        <v/>
      </c>
      <c r="O895" s="18" t="str">
        <f aca="false">IF(AND(A895&lt;&gt;"",OR(F895="Bekliyor",F895="Parça bekleniyor",F895="Hazır")),A895+ROW()/1000000,"")</f>
        <v/>
      </c>
    </row>
    <row r="896" customFormat="false" ht="15" hidden="false" customHeight="false" outlineLevel="0" collapsed="false">
      <c r="A896" s="12"/>
      <c r="B896" s="13"/>
      <c r="C896" s="13"/>
      <c r="D896" s="13"/>
      <c r="E896" s="13"/>
      <c r="F896" s="14"/>
      <c r="G896" s="15"/>
      <c r="H896" s="15"/>
      <c r="I896" s="15"/>
      <c r="J896" s="12"/>
      <c r="K896" s="16" t="str">
        <f aca="false">IF(A896="","",G896+H896)</f>
        <v/>
      </c>
      <c r="L896" s="16" t="str">
        <f aca="false">IF(A896="","",IF(F896="İade edildi",0,K896-I896))</f>
        <v/>
      </c>
      <c r="M896" s="17" t="str">
        <f aca="true">IF(A896="","",IF(J896&lt;&gt;"",J896-A896,TODAY()-A896))</f>
        <v/>
      </c>
      <c r="N896" s="18" t="str">
        <f aca="false">IF(A896="","",IF(AND(OR(F896="Bekliyor",F896="Parça bekleniyor",F896="Hazır"),M896&gt;7),"7 günü geçti",""))</f>
        <v/>
      </c>
      <c r="O896" s="18" t="str">
        <f aca="false">IF(AND(A896&lt;&gt;"",OR(F896="Bekliyor",F896="Parça bekleniyor",F896="Hazır")),A896+ROW()/1000000,"")</f>
        <v/>
      </c>
    </row>
    <row r="897" customFormat="false" ht="15" hidden="false" customHeight="false" outlineLevel="0" collapsed="false">
      <c r="A897" s="12"/>
      <c r="B897" s="13"/>
      <c r="C897" s="13"/>
      <c r="D897" s="13"/>
      <c r="E897" s="13"/>
      <c r="F897" s="14"/>
      <c r="G897" s="15"/>
      <c r="H897" s="15"/>
      <c r="I897" s="15"/>
      <c r="J897" s="12"/>
      <c r="K897" s="16" t="str">
        <f aca="false">IF(A897="","",G897+H897)</f>
        <v/>
      </c>
      <c r="L897" s="16" t="str">
        <f aca="false">IF(A897="","",IF(F897="İade edildi",0,K897-I897))</f>
        <v/>
      </c>
      <c r="M897" s="17" t="str">
        <f aca="true">IF(A897="","",IF(J897&lt;&gt;"",J897-A897,TODAY()-A897))</f>
        <v/>
      </c>
      <c r="N897" s="18" t="str">
        <f aca="false">IF(A897="","",IF(AND(OR(F897="Bekliyor",F897="Parça bekleniyor",F897="Hazır"),M897&gt;7),"7 günü geçti",""))</f>
        <v/>
      </c>
      <c r="O897" s="18" t="str">
        <f aca="false">IF(AND(A897&lt;&gt;"",OR(F897="Bekliyor",F897="Parça bekleniyor",F897="Hazır")),A897+ROW()/1000000,"")</f>
        <v/>
      </c>
    </row>
    <row r="898" customFormat="false" ht="15" hidden="false" customHeight="false" outlineLevel="0" collapsed="false">
      <c r="A898" s="12"/>
      <c r="B898" s="13"/>
      <c r="C898" s="13"/>
      <c r="D898" s="13"/>
      <c r="E898" s="13"/>
      <c r="F898" s="14"/>
      <c r="G898" s="15"/>
      <c r="H898" s="15"/>
      <c r="I898" s="15"/>
      <c r="J898" s="12"/>
      <c r="K898" s="16" t="str">
        <f aca="false">IF(A898="","",G898+H898)</f>
        <v/>
      </c>
      <c r="L898" s="16" t="str">
        <f aca="false">IF(A898="","",IF(F898="İade edildi",0,K898-I898))</f>
        <v/>
      </c>
      <c r="M898" s="17" t="str">
        <f aca="true">IF(A898="","",IF(J898&lt;&gt;"",J898-A898,TODAY()-A898))</f>
        <v/>
      </c>
      <c r="N898" s="18" t="str">
        <f aca="false">IF(A898="","",IF(AND(OR(F898="Bekliyor",F898="Parça bekleniyor",F898="Hazır"),M898&gt;7),"7 günü geçti",""))</f>
        <v/>
      </c>
      <c r="O898" s="18" t="str">
        <f aca="false">IF(AND(A898&lt;&gt;"",OR(F898="Bekliyor",F898="Parça bekleniyor",F898="Hazır")),A898+ROW()/1000000,"")</f>
        <v/>
      </c>
    </row>
    <row r="899" customFormat="false" ht="15" hidden="false" customHeight="false" outlineLevel="0" collapsed="false">
      <c r="A899" s="12"/>
      <c r="B899" s="13"/>
      <c r="C899" s="13"/>
      <c r="D899" s="13"/>
      <c r="E899" s="13"/>
      <c r="F899" s="14"/>
      <c r="G899" s="15"/>
      <c r="H899" s="15"/>
      <c r="I899" s="15"/>
      <c r="J899" s="12"/>
      <c r="K899" s="16" t="str">
        <f aca="false">IF(A899="","",G899+H899)</f>
        <v/>
      </c>
      <c r="L899" s="16" t="str">
        <f aca="false">IF(A899="","",IF(F899="İade edildi",0,K899-I899))</f>
        <v/>
      </c>
      <c r="M899" s="17" t="str">
        <f aca="true">IF(A899="","",IF(J899&lt;&gt;"",J899-A899,TODAY()-A899))</f>
        <v/>
      </c>
      <c r="N899" s="18" t="str">
        <f aca="false">IF(A899="","",IF(AND(OR(F899="Bekliyor",F899="Parça bekleniyor",F899="Hazır"),M899&gt;7),"7 günü geçti",""))</f>
        <v/>
      </c>
      <c r="O899" s="18" t="str">
        <f aca="false">IF(AND(A899&lt;&gt;"",OR(F899="Bekliyor",F899="Parça bekleniyor",F899="Hazır")),A899+ROW()/1000000,"")</f>
        <v/>
      </c>
    </row>
    <row r="900" customFormat="false" ht="15" hidden="false" customHeight="false" outlineLevel="0" collapsed="false">
      <c r="A900" s="12"/>
      <c r="B900" s="13"/>
      <c r="C900" s="13"/>
      <c r="D900" s="13"/>
      <c r="E900" s="13"/>
      <c r="F900" s="14"/>
      <c r="G900" s="15"/>
      <c r="H900" s="15"/>
      <c r="I900" s="15"/>
      <c r="J900" s="12"/>
      <c r="K900" s="16" t="str">
        <f aca="false">IF(A900="","",G900+H900)</f>
        <v/>
      </c>
      <c r="L900" s="16" t="str">
        <f aca="false">IF(A900="","",IF(F900="İade edildi",0,K900-I900))</f>
        <v/>
      </c>
      <c r="M900" s="17" t="str">
        <f aca="true">IF(A900="","",IF(J900&lt;&gt;"",J900-A900,TODAY()-A900))</f>
        <v/>
      </c>
      <c r="N900" s="18" t="str">
        <f aca="false">IF(A900="","",IF(AND(OR(F900="Bekliyor",F900="Parça bekleniyor",F900="Hazır"),M900&gt;7),"7 günü geçti",""))</f>
        <v/>
      </c>
      <c r="O900" s="18" t="str">
        <f aca="false">IF(AND(A900&lt;&gt;"",OR(F900="Bekliyor",F900="Parça bekleniyor",F900="Hazır")),A900+ROW()/1000000,"")</f>
        <v/>
      </c>
    </row>
    <row r="901" customFormat="false" ht="15" hidden="false" customHeight="false" outlineLevel="0" collapsed="false">
      <c r="A901" s="12"/>
      <c r="B901" s="13"/>
      <c r="C901" s="13"/>
      <c r="D901" s="13"/>
      <c r="E901" s="13"/>
      <c r="F901" s="14"/>
      <c r="G901" s="15"/>
      <c r="H901" s="15"/>
      <c r="I901" s="15"/>
      <c r="J901" s="12"/>
      <c r="K901" s="16" t="str">
        <f aca="false">IF(A901="","",G901+H901)</f>
        <v/>
      </c>
      <c r="L901" s="16" t="str">
        <f aca="false">IF(A901="","",IF(F901="İade edildi",0,K901-I901))</f>
        <v/>
      </c>
      <c r="M901" s="17" t="str">
        <f aca="true">IF(A901="","",IF(J901&lt;&gt;"",J901-A901,TODAY()-A901))</f>
        <v/>
      </c>
      <c r="N901" s="18" t="str">
        <f aca="false">IF(A901="","",IF(AND(OR(F901="Bekliyor",F901="Parça bekleniyor",F901="Hazır"),M901&gt;7),"7 günü geçti",""))</f>
        <v/>
      </c>
      <c r="O901" s="18" t="str">
        <f aca="false">IF(AND(A901&lt;&gt;"",OR(F901="Bekliyor",F901="Parça bekleniyor",F901="Hazır")),A901+ROW()/1000000,"")</f>
        <v/>
      </c>
    </row>
    <row r="902" customFormat="false" ht="15" hidden="false" customHeight="false" outlineLevel="0" collapsed="false">
      <c r="A902" s="12"/>
      <c r="B902" s="13"/>
      <c r="C902" s="13"/>
      <c r="D902" s="13"/>
      <c r="E902" s="13"/>
      <c r="F902" s="14"/>
      <c r="G902" s="15"/>
      <c r="H902" s="15"/>
      <c r="I902" s="15"/>
      <c r="J902" s="12"/>
      <c r="K902" s="16" t="str">
        <f aca="false">IF(A902="","",G902+H902)</f>
        <v/>
      </c>
      <c r="L902" s="16" t="str">
        <f aca="false">IF(A902="","",IF(F902="İade edildi",0,K902-I902))</f>
        <v/>
      </c>
      <c r="M902" s="17" t="str">
        <f aca="true">IF(A902="","",IF(J902&lt;&gt;"",J902-A902,TODAY()-A902))</f>
        <v/>
      </c>
      <c r="N902" s="18" t="str">
        <f aca="false">IF(A902="","",IF(AND(OR(F902="Bekliyor",F902="Parça bekleniyor",F902="Hazır"),M902&gt;7),"7 günü geçti",""))</f>
        <v/>
      </c>
      <c r="O902" s="18" t="str">
        <f aca="false">IF(AND(A902&lt;&gt;"",OR(F902="Bekliyor",F902="Parça bekleniyor",F902="Hazır")),A902+ROW()/1000000,"")</f>
        <v/>
      </c>
    </row>
    <row r="903" customFormat="false" ht="15" hidden="false" customHeight="false" outlineLevel="0" collapsed="false">
      <c r="A903" s="12"/>
      <c r="B903" s="13"/>
      <c r="C903" s="13"/>
      <c r="D903" s="13"/>
      <c r="E903" s="13"/>
      <c r="F903" s="14"/>
      <c r="G903" s="15"/>
      <c r="H903" s="15"/>
      <c r="I903" s="15"/>
      <c r="J903" s="12"/>
      <c r="K903" s="16" t="str">
        <f aca="false">IF(A903="","",G903+H903)</f>
        <v/>
      </c>
      <c r="L903" s="16" t="str">
        <f aca="false">IF(A903="","",IF(F903="İade edildi",0,K903-I903))</f>
        <v/>
      </c>
      <c r="M903" s="17" t="str">
        <f aca="true">IF(A903="","",IF(J903&lt;&gt;"",J903-A903,TODAY()-A903))</f>
        <v/>
      </c>
      <c r="N903" s="18" t="str">
        <f aca="false">IF(A903="","",IF(AND(OR(F903="Bekliyor",F903="Parça bekleniyor",F903="Hazır"),M903&gt;7),"7 günü geçti",""))</f>
        <v/>
      </c>
      <c r="O903" s="18" t="str">
        <f aca="false">IF(AND(A903&lt;&gt;"",OR(F903="Bekliyor",F903="Parça bekleniyor",F903="Hazır")),A903+ROW()/1000000,"")</f>
        <v/>
      </c>
    </row>
    <row r="904" customFormat="false" ht="15" hidden="false" customHeight="false" outlineLevel="0" collapsed="false">
      <c r="A904" s="12"/>
      <c r="B904" s="13"/>
      <c r="C904" s="13"/>
      <c r="D904" s="13"/>
      <c r="E904" s="13"/>
      <c r="F904" s="14"/>
      <c r="G904" s="15"/>
      <c r="H904" s="15"/>
      <c r="I904" s="15"/>
      <c r="J904" s="12"/>
      <c r="K904" s="16" t="str">
        <f aca="false">IF(A904="","",G904+H904)</f>
        <v/>
      </c>
      <c r="L904" s="16" t="str">
        <f aca="false">IF(A904="","",IF(F904="İade edildi",0,K904-I904))</f>
        <v/>
      </c>
      <c r="M904" s="17" t="str">
        <f aca="true">IF(A904="","",IF(J904&lt;&gt;"",J904-A904,TODAY()-A904))</f>
        <v/>
      </c>
      <c r="N904" s="18" t="str">
        <f aca="false">IF(A904="","",IF(AND(OR(F904="Bekliyor",F904="Parça bekleniyor",F904="Hazır"),M904&gt;7),"7 günü geçti",""))</f>
        <v/>
      </c>
      <c r="O904" s="18" t="str">
        <f aca="false">IF(AND(A904&lt;&gt;"",OR(F904="Bekliyor",F904="Parça bekleniyor",F904="Hazır")),A904+ROW()/1000000,"")</f>
        <v/>
      </c>
    </row>
    <row r="905" customFormat="false" ht="15" hidden="false" customHeight="false" outlineLevel="0" collapsed="false">
      <c r="A905" s="12"/>
      <c r="B905" s="13"/>
      <c r="C905" s="13"/>
      <c r="D905" s="13"/>
      <c r="E905" s="13"/>
      <c r="F905" s="14"/>
      <c r="G905" s="15"/>
      <c r="H905" s="15"/>
      <c r="I905" s="15"/>
      <c r="J905" s="12"/>
      <c r="K905" s="16" t="str">
        <f aca="false">IF(A905="","",G905+H905)</f>
        <v/>
      </c>
      <c r="L905" s="16" t="str">
        <f aca="false">IF(A905="","",IF(F905="İade edildi",0,K905-I905))</f>
        <v/>
      </c>
      <c r="M905" s="17" t="str">
        <f aca="true">IF(A905="","",IF(J905&lt;&gt;"",J905-A905,TODAY()-A905))</f>
        <v/>
      </c>
      <c r="N905" s="18" t="str">
        <f aca="false">IF(A905="","",IF(AND(OR(F905="Bekliyor",F905="Parça bekleniyor",F905="Hazır"),M905&gt;7),"7 günü geçti",""))</f>
        <v/>
      </c>
      <c r="O905" s="18" t="str">
        <f aca="false">IF(AND(A905&lt;&gt;"",OR(F905="Bekliyor",F905="Parça bekleniyor",F905="Hazır")),A905+ROW()/1000000,"")</f>
        <v/>
      </c>
    </row>
    <row r="906" customFormat="false" ht="15" hidden="false" customHeight="false" outlineLevel="0" collapsed="false">
      <c r="A906" s="12"/>
      <c r="B906" s="13"/>
      <c r="C906" s="13"/>
      <c r="D906" s="13"/>
      <c r="E906" s="13"/>
      <c r="F906" s="14"/>
      <c r="G906" s="15"/>
      <c r="H906" s="15"/>
      <c r="I906" s="15"/>
      <c r="J906" s="12"/>
      <c r="K906" s="16" t="str">
        <f aca="false">IF(A906="","",G906+H906)</f>
        <v/>
      </c>
      <c r="L906" s="16" t="str">
        <f aca="false">IF(A906="","",IF(F906="İade edildi",0,K906-I906))</f>
        <v/>
      </c>
      <c r="M906" s="17" t="str">
        <f aca="true">IF(A906="","",IF(J906&lt;&gt;"",J906-A906,TODAY()-A906))</f>
        <v/>
      </c>
      <c r="N906" s="18" t="str">
        <f aca="false">IF(A906="","",IF(AND(OR(F906="Bekliyor",F906="Parça bekleniyor",F906="Hazır"),M906&gt;7),"7 günü geçti",""))</f>
        <v/>
      </c>
      <c r="O906" s="18" t="str">
        <f aca="false">IF(AND(A906&lt;&gt;"",OR(F906="Bekliyor",F906="Parça bekleniyor",F906="Hazır")),A906+ROW()/1000000,"")</f>
        <v/>
      </c>
    </row>
    <row r="907" customFormat="false" ht="15" hidden="false" customHeight="false" outlineLevel="0" collapsed="false">
      <c r="A907" s="12"/>
      <c r="B907" s="13"/>
      <c r="C907" s="13"/>
      <c r="D907" s="13"/>
      <c r="E907" s="13"/>
      <c r="F907" s="14"/>
      <c r="G907" s="15"/>
      <c r="H907" s="15"/>
      <c r="I907" s="15"/>
      <c r="J907" s="12"/>
      <c r="K907" s="16" t="str">
        <f aca="false">IF(A907="","",G907+H907)</f>
        <v/>
      </c>
      <c r="L907" s="16" t="str">
        <f aca="false">IF(A907="","",IF(F907="İade edildi",0,K907-I907))</f>
        <v/>
      </c>
      <c r="M907" s="17" t="str">
        <f aca="true">IF(A907="","",IF(J907&lt;&gt;"",J907-A907,TODAY()-A907))</f>
        <v/>
      </c>
      <c r="N907" s="18" t="str">
        <f aca="false">IF(A907="","",IF(AND(OR(F907="Bekliyor",F907="Parça bekleniyor",F907="Hazır"),M907&gt;7),"7 günü geçti",""))</f>
        <v/>
      </c>
      <c r="O907" s="18" t="str">
        <f aca="false">IF(AND(A907&lt;&gt;"",OR(F907="Bekliyor",F907="Parça bekleniyor",F907="Hazır")),A907+ROW()/1000000,"")</f>
        <v/>
      </c>
    </row>
    <row r="908" customFormat="false" ht="15" hidden="false" customHeight="false" outlineLevel="0" collapsed="false">
      <c r="A908" s="12"/>
      <c r="B908" s="13"/>
      <c r="C908" s="13"/>
      <c r="D908" s="13"/>
      <c r="E908" s="13"/>
      <c r="F908" s="14"/>
      <c r="G908" s="15"/>
      <c r="H908" s="15"/>
      <c r="I908" s="15"/>
      <c r="J908" s="12"/>
      <c r="K908" s="16" t="str">
        <f aca="false">IF(A908="","",G908+H908)</f>
        <v/>
      </c>
      <c r="L908" s="16" t="str">
        <f aca="false">IF(A908="","",IF(F908="İade edildi",0,K908-I908))</f>
        <v/>
      </c>
      <c r="M908" s="17" t="str">
        <f aca="true">IF(A908="","",IF(J908&lt;&gt;"",J908-A908,TODAY()-A908))</f>
        <v/>
      </c>
      <c r="N908" s="18" t="str">
        <f aca="false">IF(A908="","",IF(AND(OR(F908="Bekliyor",F908="Parça bekleniyor",F908="Hazır"),M908&gt;7),"7 günü geçti",""))</f>
        <v/>
      </c>
      <c r="O908" s="18" t="str">
        <f aca="false">IF(AND(A908&lt;&gt;"",OR(F908="Bekliyor",F908="Parça bekleniyor",F908="Hazır")),A908+ROW()/1000000,"")</f>
        <v/>
      </c>
    </row>
    <row r="909" customFormat="false" ht="15" hidden="false" customHeight="false" outlineLevel="0" collapsed="false">
      <c r="A909" s="12"/>
      <c r="B909" s="13"/>
      <c r="C909" s="13"/>
      <c r="D909" s="13"/>
      <c r="E909" s="13"/>
      <c r="F909" s="14"/>
      <c r="G909" s="15"/>
      <c r="H909" s="15"/>
      <c r="I909" s="15"/>
      <c r="J909" s="12"/>
      <c r="K909" s="16" t="str">
        <f aca="false">IF(A909="","",G909+H909)</f>
        <v/>
      </c>
      <c r="L909" s="16" t="str">
        <f aca="false">IF(A909="","",IF(F909="İade edildi",0,K909-I909))</f>
        <v/>
      </c>
      <c r="M909" s="17" t="str">
        <f aca="true">IF(A909="","",IF(J909&lt;&gt;"",J909-A909,TODAY()-A909))</f>
        <v/>
      </c>
      <c r="N909" s="18" t="str">
        <f aca="false">IF(A909="","",IF(AND(OR(F909="Bekliyor",F909="Parça bekleniyor",F909="Hazır"),M909&gt;7),"7 günü geçti",""))</f>
        <v/>
      </c>
      <c r="O909" s="18" t="str">
        <f aca="false">IF(AND(A909&lt;&gt;"",OR(F909="Bekliyor",F909="Parça bekleniyor",F909="Hazır")),A909+ROW()/1000000,"")</f>
        <v/>
      </c>
    </row>
    <row r="910" customFormat="false" ht="15" hidden="false" customHeight="false" outlineLevel="0" collapsed="false">
      <c r="A910" s="12"/>
      <c r="B910" s="13"/>
      <c r="C910" s="13"/>
      <c r="D910" s="13"/>
      <c r="E910" s="13"/>
      <c r="F910" s="14"/>
      <c r="G910" s="15"/>
      <c r="H910" s="15"/>
      <c r="I910" s="15"/>
      <c r="J910" s="12"/>
      <c r="K910" s="16" t="str">
        <f aca="false">IF(A910="","",G910+H910)</f>
        <v/>
      </c>
      <c r="L910" s="16" t="str">
        <f aca="false">IF(A910="","",IF(F910="İade edildi",0,K910-I910))</f>
        <v/>
      </c>
      <c r="M910" s="17" t="str">
        <f aca="true">IF(A910="","",IF(J910&lt;&gt;"",J910-A910,TODAY()-A910))</f>
        <v/>
      </c>
      <c r="N910" s="18" t="str">
        <f aca="false">IF(A910="","",IF(AND(OR(F910="Bekliyor",F910="Parça bekleniyor",F910="Hazır"),M910&gt;7),"7 günü geçti",""))</f>
        <v/>
      </c>
      <c r="O910" s="18" t="str">
        <f aca="false">IF(AND(A910&lt;&gt;"",OR(F910="Bekliyor",F910="Parça bekleniyor",F910="Hazır")),A910+ROW()/1000000,"")</f>
        <v/>
      </c>
    </row>
    <row r="911" customFormat="false" ht="15" hidden="false" customHeight="false" outlineLevel="0" collapsed="false">
      <c r="A911" s="12"/>
      <c r="B911" s="13"/>
      <c r="C911" s="13"/>
      <c r="D911" s="13"/>
      <c r="E911" s="13"/>
      <c r="F911" s="14"/>
      <c r="G911" s="15"/>
      <c r="H911" s="15"/>
      <c r="I911" s="15"/>
      <c r="J911" s="12"/>
      <c r="K911" s="16" t="str">
        <f aca="false">IF(A911="","",G911+H911)</f>
        <v/>
      </c>
      <c r="L911" s="16" t="str">
        <f aca="false">IF(A911="","",IF(F911="İade edildi",0,K911-I911))</f>
        <v/>
      </c>
      <c r="M911" s="17" t="str">
        <f aca="true">IF(A911="","",IF(J911&lt;&gt;"",J911-A911,TODAY()-A911))</f>
        <v/>
      </c>
      <c r="N911" s="18" t="str">
        <f aca="false">IF(A911="","",IF(AND(OR(F911="Bekliyor",F911="Parça bekleniyor",F911="Hazır"),M911&gt;7),"7 günü geçti",""))</f>
        <v/>
      </c>
      <c r="O911" s="18" t="str">
        <f aca="false">IF(AND(A911&lt;&gt;"",OR(F911="Bekliyor",F911="Parça bekleniyor",F911="Hazır")),A911+ROW()/1000000,"")</f>
        <v/>
      </c>
    </row>
    <row r="912" customFormat="false" ht="15" hidden="false" customHeight="false" outlineLevel="0" collapsed="false">
      <c r="A912" s="12"/>
      <c r="B912" s="13"/>
      <c r="C912" s="13"/>
      <c r="D912" s="13"/>
      <c r="E912" s="13"/>
      <c r="F912" s="14"/>
      <c r="G912" s="15"/>
      <c r="H912" s="15"/>
      <c r="I912" s="15"/>
      <c r="J912" s="12"/>
      <c r="K912" s="16" t="str">
        <f aca="false">IF(A912="","",G912+H912)</f>
        <v/>
      </c>
      <c r="L912" s="16" t="str">
        <f aca="false">IF(A912="","",IF(F912="İade edildi",0,K912-I912))</f>
        <v/>
      </c>
      <c r="M912" s="17" t="str">
        <f aca="true">IF(A912="","",IF(J912&lt;&gt;"",J912-A912,TODAY()-A912))</f>
        <v/>
      </c>
      <c r="N912" s="18" t="str">
        <f aca="false">IF(A912="","",IF(AND(OR(F912="Bekliyor",F912="Parça bekleniyor",F912="Hazır"),M912&gt;7),"7 günü geçti",""))</f>
        <v/>
      </c>
      <c r="O912" s="18" t="str">
        <f aca="false">IF(AND(A912&lt;&gt;"",OR(F912="Bekliyor",F912="Parça bekleniyor",F912="Hazır")),A912+ROW()/1000000,"")</f>
        <v/>
      </c>
    </row>
    <row r="913" customFormat="false" ht="15" hidden="false" customHeight="false" outlineLevel="0" collapsed="false">
      <c r="A913" s="12"/>
      <c r="B913" s="13"/>
      <c r="C913" s="13"/>
      <c r="D913" s="13"/>
      <c r="E913" s="13"/>
      <c r="F913" s="14"/>
      <c r="G913" s="15"/>
      <c r="H913" s="15"/>
      <c r="I913" s="15"/>
      <c r="J913" s="12"/>
      <c r="K913" s="16" t="str">
        <f aca="false">IF(A913="","",G913+H913)</f>
        <v/>
      </c>
      <c r="L913" s="16" t="str">
        <f aca="false">IF(A913="","",IF(F913="İade edildi",0,K913-I913))</f>
        <v/>
      </c>
      <c r="M913" s="17" t="str">
        <f aca="true">IF(A913="","",IF(J913&lt;&gt;"",J913-A913,TODAY()-A913))</f>
        <v/>
      </c>
      <c r="N913" s="18" t="str">
        <f aca="false">IF(A913="","",IF(AND(OR(F913="Bekliyor",F913="Parça bekleniyor",F913="Hazır"),M913&gt;7),"7 günü geçti",""))</f>
        <v/>
      </c>
      <c r="O913" s="18" t="str">
        <f aca="false">IF(AND(A913&lt;&gt;"",OR(F913="Bekliyor",F913="Parça bekleniyor",F913="Hazır")),A913+ROW()/1000000,"")</f>
        <v/>
      </c>
    </row>
    <row r="914" customFormat="false" ht="15" hidden="false" customHeight="false" outlineLevel="0" collapsed="false">
      <c r="A914" s="12"/>
      <c r="B914" s="13"/>
      <c r="C914" s="13"/>
      <c r="D914" s="13"/>
      <c r="E914" s="13"/>
      <c r="F914" s="14"/>
      <c r="G914" s="15"/>
      <c r="H914" s="15"/>
      <c r="I914" s="15"/>
      <c r="J914" s="12"/>
      <c r="K914" s="16" t="str">
        <f aca="false">IF(A914="","",G914+H914)</f>
        <v/>
      </c>
      <c r="L914" s="16" t="str">
        <f aca="false">IF(A914="","",IF(F914="İade edildi",0,K914-I914))</f>
        <v/>
      </c>
      <c r="M914" s="17" t="str">
        <f aca="true">IF(A914="","",IF(J914&lt;&gt;"",J914-A914,TODAY()-A914))</f>
        <v/>
      </c>
      <c r="N914" s="18" t="str">
        <f aca="false">IF(A914="","",IF(AND(OR(F914="Bekliyor",F914="Parça bekleniyor",F914="Hazır"),M914&gt;7),"7 günü geçti",""))</f>
        <v/>
      </c>
      <c r="O914" s="18" t="str">
        <f aca="false">IF(AND(A914&lt;&gt;"",OR(F914="Bekliyor",F914="Parça bekleniyor",F914="Hazır")),A914+ROW()/1000000,"")</f>
        <v/>
      </c>
    </row>
    <row r="915" customFormat="false" ht="15" hidden="false" customHeight="false" outlineLevel="0" collapsed="false">
      <c r="A915" s="12"/>
      <c r="B915" s="13"/>
      <c r="C915" s="13"/>
      <c r="D915" s="13"/>
      <c r="E915" s="13"/>
      <c r="F915" s="14"/>
      <c r="G915" s="15"/>
      <c r="H915" s="15"/>
      <c r="I915" s="15"/>
      <c r="J915" s="12"/>
      <c r="K915" s="16" t="str">
        <f aca="false">IF(A915="","",G915+H915)</f>
        <v/>
      </c>
      <c r="L915" s="16" t="str">
        <f aca="false">IF(A915="","",IF(F915="İade edildi",0,K915-I915))</f>
        <v/>
      </c>
      <c r="M915" s="17" t="str">
        <f aca="true">IF(A915="","",IF(J915&lt;&gt;"",J915-A915,TODAY()-A915))</f>
        <v/>
      </c>
      <c r="N915" s="18" t="str">
        <f aca="false">IF(A915="","",IF(AND(OR(F915="Bekliyor",F915="Parça bekleniyor",F915="Hazır"),M915&gt;7),"7 günü geçti",""))</f>
        <v/>
      </c>
      <c r="O915" s="18" t="str">
        <f aca="false">IF(AND(A915&lt;&gt;"",OR(F915="Bekliyor",F915="Parça bekleniyor",F915="Hazır")),A915+ROW()/1000000,"")</f>
        <v/>
      </c>
    </row>
    <row r="916" customFormat="false" ht="15" hidden="false" customHeight="false" outlineLevel="0" collapsed="false">
      <c r="A916" s="12"/>
      <c r="B916" s="13"/>
      <c r="C916" s="13"/>
      <c r="D916" s="13"/>
      <c r="E916" s="13"/>
      <c r="F916" s="14"/>
      <c r="G916" s="15"/>
      <c r="H916" s="15"/>
      <c r="I916" s="15"/>
      <c r="J916" s="12"/>
      <c r="K916" s="16" t="str">
        <f aca="false">IF(A916="","",G916+H916)</f>
        <v/>
      </c>
      <c r="L916" s="16" t="str">
        <f aca="false">IF(A916="","",IF(F916="İade edildi",0,K916-I916))</f>
        <v/>
      </c>
      <c r="M916" s="17" t="str">
        <f aca="true">IF(A916="","",IF(J916&lt;&gt;"",J916-A916,TODAY()-A916))</f>
        <v/>
      </c>
      <c r="N916" s="18" t="str">
        <f aca="false">IF(A916="","",IF(AND(OR(F916="Bekliyor",F916="Parça bekleniyor",F916="Hazır"),M916&gt;7),"7 günü geçti",""))</f>
        <v/>
      </c>
      <c r="O916" s="18" t="str">
        <f aca="false">IF(AND(A916&lt;&gt;"",OR(F916="Bekliyor",F916="Parça bekleniyor",F916="Hazır")),A916+ROW()/1000000,"")</f>
        <v/>
      </c>
    </row>
    <row r="917" customFormat="false" ht="15" hidden="false" customHeight="false" outlineLevel="0" collapsed="false">
      <c r="A917" s="12"/>
      <c r="B917" s="13"/>
      <c r="C917" s="13"/>
      <c r="D917" s="13"/>
      <c r="E917" s="13"/>
      <c r="F917" s="14"/>
      <c r="G917" s="15"/>
      <c r="H917" s="15"/>
      <c r="I917" s="15"/>
      <c r="J917" s="12"/>
      <c r="K917" s="16" t="str">
        <f aca="false">IF(A917="","",G917+H917)</f>
        <v/>
      </c>
      <c r="L917" s="16" t="str">
        <f aca="false">IF(A917="","",IF(F917="İade edildi",0,K917-I917))</f>
        <v/>
      </c>
      <c r="M917" s="17" t="str">
        <f aca="true">IF(A917="","",IF(J917&lt;&gt;"",J917-A917,TODAY()-A917))</f>
        <v/>
      </c>
      <c r="N917" s="18" t="str">
        <f aca="false">IF(A917="","",IF(AND(OR(F917="Bekliyor",F917="Parça bekleniyor",F917="Hazır"),M917&gt;7),"7 günü geçti",""))</f>
        <v/>
      </c>
      <c r="O917" s="18" t="str">
        <f aca="false">IF(AND(A917&lt;&gt;"",OR(F917="Bekliyor",F917="Parça bekleniyor",F917="Hazır")),A917+ROW()/1000000,"")</f>
        <v/>
      </c>
    </row>
    <row r="918" customFormat="false" ht="15" hidden="false" customHeight="false" outlineLevel="0" collapsed="false">
      <c r="A918" s="12"/>
      <c r="B918" s="13"/>
      <c r="C918" s="13"/>
      <c r="D918" s="13"/>
      <c r="E918" s="13"/>
      <c r="F918" s="14"/>
      <c r="G918" s="15"/>
      <c r="H918" s="15"/>
      <c r="I918" s="15"/>
      <c r="J918" s="12"/>
      <c r="K918" s="16" t="str">
        <f aca="false">IF(A918="","",G918+H918)</f>
        <v/>
      </c>
      <c r="L918" s="16" t="str">
        <f aca="false">IF(A918="","",IF(F918="İade edildi",0,K918-I918))</f>
        <v/>
      </c>
      <c r="M918" s="17" t="str">
        <f aca="true">IF(A918="","",IF(J918&lt;&gt;"",J918-A918,TODAY()-A918))</f>
        <v/>
      </c>
      <c r="N918" s="18" t="str">
        <f aca="false">IF(A918="","",IF(AND(OR(F918="Bekliyor",F918="Parça bekleniyor",F918="Hazır"),M918&gt;7),"7 günü geçti",""))</f>
        <v/>
      </c>
      <c r="O918" s="18" t="str">
        <f aca="false">IF(AND(A918&lt;&gt;"",OR(F918="Bekliyor",F918="Parça bekleniyor",F918="Hazır")),A918+ROW()/1000000,"")</f>
        <v/>
      </c>
    </row>
    <row r="919" customFormat="false" ht="15" hidden="false" customHeight="false" outlineLevel="0" collapsed="false">
      <c r="A919" s="12"/>
      <c r="B919" s="13"/>
      <c r="C919" s="13"/>
      <c r="D919" s="13"/>
      <c r="E919" s="13"/>
      <c r="F919" s="14"/>
      <c r="G919" s="15"/>
      <c r="H919" s="15"/>
      <c r="I919" s="15"/>
      <c r="J919" s="12"/>
      <c r="K919" s="16" t="str">
        <f aca="false">IF(A919="","",G919+H919)</f>
        <v/>
      </c>
      <c r="L919" s="16" t="str">
        <f aca="false">IF(A919="","",IF(F919="İade edildi",0,K919-I919))</f>
        <v/>
      </c>
      <c r="M919" s="17" t="str">
        <f aca="true">IF(A919="","",IF(J919&lt;&gt;"",J919-A919,TODAY()-A919))</f>
        <v/>
      </c>
      <c r="N919" s="18" t="str">
        <f aca="false">IF(A919="","",IF(AND(OR(F919="Bekliyor",F919="Parça bekleniyor",F919="Hazır"),M919&gt;7),"7 günü geçti",""))</f>
        <v/>
      </c>
      <c r="O919" s="18" t="str">
        <f aca="false">IF(AND(A919&lt;&gt;"",OR(F919="Bekliyor",F919="Parça bekleniyor",F919="Hazır")),A919+ROW()/1000000,"")</f>
        <v/>
      </c>
    </row>
    <row r="920" customFormat="false" ht="15" hidden="false" customHeight="false" outlineLevel="0" collapsed="false">
      <c r="A920" s="12"/>
      <c r="B920" s="13"/>
      <c r="C920" s="13"/>
      <c r="D920" s="13"/>
      <c r="E920" s="13"/>
      <c r="F920" s="14"/>
      <c r="G920" s="15"/>
      <c r="H920" s="15"/>
      <c r="I920" s="15"/>
      <c r="J920" s="12"/>
      <c r="K920" s="16" t="str">
        <f aca="false">IF(A920="","",G920+H920)</f>
        <v/>
      </c>
      <c r="L920" s="16" t="str">
        <f aca="false">IF(A920="","",IF(F920="İade edildi",0,K920-I920))</f>
        <v/>
      </c>
      <c r="M920" s="17" t="str">
        <f aca="true">IF(A920="","",IF(J920&lt;&gt;"",J920-A920,TODAY()-A920))</f>
        <v/>
      </c>
      <c r="N920" s="18" t="str">
        <f aca="false">IF(A920="","",IF(AND(OR(F920="Bekliyor",F920="Parça bekleniyor",F920="Hazır"),M920&gt;7),"7 günü geçti",""))</f>
        <v/>
      </c>
      <c r="O920" s="18" t="str">
        <f aca="false">IF(AND(A920&lt;&gt;"",OR(F920="Bekliyor",F920="Parça bekleniyor",F920="Hazır")),A920+ROW()/1000000,"")</f>
        <v/>
      </c>
    </row>
    <row r="921" customFormat="false" ht="15" hidden="false" customHeight="false" outlineLevel="0" collapsed="false">
      <c r="A921" s="12"/>
      <c r="B921" s="13"/>
      <c r="C921" s="13"/>
      <c r="D921" s="13"/>
      <c r="E921" s="13"/>
      <c r="F921" s="14"/>
      <c r="G921" s="15"/>
      <c r="H921" s="15"/>
      <c r="I921" s="15"/>
      <c r="J921" s="12"/>
      <c r="K921" s="16" t="str">
        <f aca="false">IF(A921="","",G921+H921)</f>
        <v/>
      </c>
      <c r="L921" s="16" t="str">
        <f aca="false">IF(A921="","",IF(F921="İade edildi",0,K921-I921))</f>
        <v/>
      </c>
      <c r="M921" s="17" t="str">
        <f aca="true">IF(A921="","",IF(J921&lt;&gt;"",J921-A921,TODAY()-A921))</f>
        <v/>
      </c>
      <c r="N921" s="18" t="str">
        <f aca="false">IF(A921="","",IF(AND(OR(F921="Bekliyor",F921="Parça bekleniyor",F921="Hazır"),M921&gt;7),"7 günü geçti",""))</f>
        <v/>
      </c>
      <c r="O921" s="18" t="str">
        <f aca="false">IF(AND(A921&lt;&gt;"",OR(F921="Bekliyor",F921="Parça bekleniyor",F921="Hazır")),A921+ROW()/1000000,"")</f>
        <v/>
      </c>
    </row>
    <row r="922" customFormat="false" ht="15" hidden="false" customHeight="false" outlineLevel="0" collapsed="false">
      <c r="A922" s="12"/>
      <c r="B922" s="13"/>
      <c r="C922" s="13"/>
      <c r="D922" s="13"/>
      <c r="E922" s="13"/>
      <c r="F922" s="14"/>
      <c r="G922" s="15"/>
      <c r="H922" s="15"/>
      <c r="I922" s="15"/>
      <c r="J922" s="12"/>
      <c r="K922" s="16" t="str">
        <f aca="false">IF(A922="","",G922+H922)</f>
        <v/>
      </c>
      <c r="L922" s="16" t="str">
        <f aca="false">IF(A922="","",IF(F922="İade edildi",0,K922-I922))</f>
        <v/>
      </c>
      <c r="M922" s="17" t="str">
        <f aca="true">IF(A922="","",IF(J922&lt;&gt;"",J922-A922,TODAY()-A922))</f>
        <v/>
      </c>
      <c r="N922" s="18" t="str">
        <f aca="false">IF(A922="","",IF(AND(OR(F922="Bekliyor",F922="Parça bekleniyor",F922="Hazır"),M922&gt;7),"7 günü geçti",""))</f>
        <v/>
      </c>
      <c r="O922" s="18" t="str">
        <f aca="false">IF(AND(A922&lt;&gt;"",OR(F922="Bekliyor",F922="Parça bekleniyor",F922="Hazır")),A922+ROW()/1000000,"")</f>
        <v/>
      </c>
    </row>
    <row r="923" customFormat="false" ht="15" hidden="false" customHeight="false" outlineLevel="0" collapsed="false">
      <c r="A923" s="12"/>
      <c r="B923" s="13"/>
      <c r="C923" s="13"/>
      <c r="D923" s="13"/>
      <c r="E923" s="13"/>
      <c r="F923" s="14"/>
      <c r="G923" s="15"/>
      <c r="H923" s="15"/>
      <c r="I923" s="15"/>
      <c r="J923" s="12"/>
      <c r="K923" s="16" t="str">
        <f aca="false">IF(A923="","",G923+H923)</f>
        <v/>
      </c>
      <c r="L923" s="16" t="str">
        <f aca="false">IF(A923="","",IF(F923="İade edildi",0,K923-I923))</f>
        <v/>
      </c>
      <c r="M923" s="17" t="str">
        <f aca="true">IF(A923="","",IF(J923&lt;&gt;"",J923-A923,TODAY()-A923))</f>
        <v/>
      </c>
      <c r="N923" s="18" t="str">
        <f aca="false">IF(A923="","",IF(AND(OR(F923="Bekliyor",F923="Parça bekleniyor",F923="Hazır"),M923&gt;7),"7 günü geçti",""))</f>
        <v/>
      </c>
      <c r="O923" s="18" t="str">
        <f aca="false">IF(AND(A923&lt;&gt;"",OR(F923="Bekliyor",F923="Parça bekleniyor",F923="Hazır")),A923+ROW()/1000000,"")</f>
        <v/>
      </c>
    </row>
    <row r="924" customFormat="false" ht="15" hidden="false" customHeight="false" outlineLevel="0" collapsed="false">
      <c r="A924" s="12"/>
      <c r="B924" s="13"/>
      <c r="C924" s="13"/>
      <c r="D924" s="13"/>
      <c r="E924" s="13"/>
      <c r="F924" s="14"/>
      <c r="G924" s="15"/>
      <c r="H924" s="15"/>
      <c r="I924" s="15"/>
      <c r="J924" s="12"/>
      <c r="K924" s="16" t="str">
        <f aca="false">IF(A924="","",G924+H924)</f>
        <v/>
      </c>
      <c r="L924" s="16" t="str">
        <f aca="false">IF(A924="","",IF(F924="İade edildi",0,K924-I924))</f>
        <v/>
      </c>
      <c r="M924" s="17" t="str">
        <f aca="true">IF(A924="","",IF(J924&lt;&gt;"",J924-A924,TODAY()-A924))</f>
        <v/>
      </c>
      <c r="N924" s="18" t="str">
        <f aca="false">IF(A924="","",IF(AND(OR(F924="Bekliyor",F924="Parça bekleniyor",F924="Hazır"),M924&gt;7),"7 günü geçti",""))</f>
        <v/>
      </c>
      <c r="O924" s="18" t="str">
        <f aca="false">IF(AND(A924&lt;&gt;"",OR(F924="Bekliyor",F924="Parça bekleniyor",F924="Hazır")),A924+ROW()/1000000,"")</f>
        <v/>
      </c>
    </row>
    <row r="925" customFormat="false" ht="15" hidden="false" customHeight="false" outlineLevel="0" collapsed="false">
      <c r="A925" s="12"/>
      <c r="B925" s="13"/>
      <c r="C925" s="13"/>
      <c r="D925" s="13"/>
      <c r="E925" s="13"/>
      <c r="F925" s="14"/>
      <c r="G925" s="15"/>
      <c r="H925" s="15"/>
      <c r="I925" s="15"/>
      <c r="J925" s="12"/>
      <c r="K925" s="16" t="str">
        <f aca="false">IF(A925="","",G925+H925)</f>
        <v/>
      </c>
      <c r="L925" s="16" t="str">
        <f aca="false">IF(A925="","",IF(F925="İade edildi",0,K925-I925))</f>
        <v/>
      </c>
      <c r="M925" s="17" t="str">
        <f aca="true">IF(A925="","",IF(J925&lt;&gt;"",J925-A925,TODAY()-A925))</f>
        <v/>
      </c>
      <c r="N925" s="18" t="str">
        <f aca="false">IF(A925="","",IF(AND(OR(F925="Bekliyor",F925="Parça bekleniyor",F925="Hazır"),M925&gt;7),"7 günü geçti",""))</f>
        <v/>
      </c>
      <c r="O925" s="18" t="str">
        <f aca="false">IF(AND(A925&lt;&gt;"",OR(F925="Bekliyor",F925="Parça bekleniyor",F925="Hazır")),A925+ROW()/1000000,"")</f>
        <v/>
      </c>
    </row>
    <row r="926" customFormat="false" ht="15" hidden="false" customHeight="false" outlineLevel="0" collapsed="false">
      <c r="A926" s="12"/>
      <c r="B926" s="13"/>
      <c r="C926" s="13"/>
      <c r="D926" s="13"/>
      <c r="E926" s="13"/>
      <c r="F926" s="14"/>
      <c r="G926" s="15"/>
      <c r="H926" s="15"/>
      <c r="I926" s="15"/>
      <c r="J926" s="12"/>
      <c r="K926" s="16" t="str">
        <f aca="false">IF(A926="","",G926+H926)</f>
        <v/>
      </c>
      <c r="L926" s="16" t="str">
        <f aca="false">IF(A926="","",IF(F926="İade edildi",0,K926-I926))</f>
        <v/>
      </c>
      <c r="M926" s="17" t="str">
        <f aca="true">IF(A926="","",IF(J926&lt;&gt;"",J926-A926,TODAY()-A926))</f>
        <v/>
      </c>
      <c r="N926" s="18" t="str">
        <f aca="false">IF(A926="","",IF(AND(OR(F926="Bekliyor",F926="Parça bekleniyor",F926="Hazır"),M926&gt;7),"7 günü geçti",""))</f>
        <v/>
      </c>
      <c r="O926" s="18" t="str">
        <f aca="false">IF(AND(A926&lt;&gt;"",OR(F926="Bekliyor",F926="Parça bekleniyor",F926="Hazır")),A926+ROW()/1000000,"")</f>
        <v/>
      </c>
    </row>
    <row r="927" customFormat="false" ht="15" hidden="false" customHeight="false" outlineLevel="0" collapsed="false">
      <c r="A927" s="12"/>
      <c r="B927" s="13"/>
      <c r="C927" s="13"/>
      <c r="D927" s="13"/>
      <c r="E927" s="13"/>
      <c r="F927" s="14"/>
      <c r="G927" s="15"/>
      <c r="H927" s="15"/>
      <c r="I927" s="15"/>
      <c r="J927" s="12"/>
      <c r="K927" s="16" t="str">
        <f aca="false">IF(A927="","",G927+H927)</f>
        <v/>
      </c>
      <c r="L927" s="16" t="str">
        <f aca="false">IF(A927="","",IF(F927="İade edildi",0,K927-I927))</f>
        <v/>
      </c>
      <c r="M927" s="17" t="str">
        <f aca="true">IF(A927="","",IF(J927&lt;&gt;"",J927-A927,TODAY()-A927))</f>
        <v/>
      </c>
      <c r="N927" s="18" t="str">
        <f aca="false">IF(A927="","",IF(AND(OR(F927="Bekliyor",F927="Parça bekleniyor",F927="Hazır"),M927&gt;7),"7 günü geçti",""))</f>
        <v/>
      </c>
      <c r="O927" s="18" t="str">
        <f aca="false">IF(AND(A927&lt;&gt;"",OR(F927="Bekliyor",F927="Parça bekleniyor",F927="Hazır")),A927+ROW()/1000000,"")</f>
        <v/>
      </c>
    </row>
    <row r="928" customFormat="false" ht="15" hidden="false" customHeight="false" outlineLevel="0" collapsed="false">
      <c r="A928" s="12"/>
      <c r="B928" s="13"/>
      <c r="C928" s="13"/>
      <c r="D928" s="13"/>
      <c r="E928" s="13"/>
      <c r="F928" s="14"/>
      <c r="G928" s="15"/>
      <c r="H928" s="15"/>
      <c r="I928" s="15"/>
      <c r="J928" s="12"/>
      <c r="K928" s="16" t="str">
        <f aca="false">IF(A928="","",G928+H928)</f>
        <v/>
      </c>
      <c r="L928" s="16" t="str">
        <f aca="false">IF(A928="","",IF(F928="İade edildi",0,K928-I928))</f>
        <v/>
      </c>
      <c r="M928" s="17" t="str">
        <f aca="true">IF(A928="","",IF(J928&lt;&gt;"",J928-A928,TODAY()-A928))</f>
        <v/>
      </c>
      <c r="N928" s="18" t="str">
        <f aca="false">IF(A928="","",IF(AND(OR(F928="Bekliyor",F928="Parça bekleniyor",F928="Hazır"),M928&gt;7),"7 günü geçti",""))</f>
        <v/>
      </c>
      <c r="O928" s="18" t="str">
        <f aca="false">IF(AND(A928&lt;&gt;"",OR(F928="Bekliyor",F928="Parça bekleniyor",F928="Hazır")),A928+ROW()/1000000,"")</f>
        <v/>
      </c>
    </row>
    <row r="929" customFormat="false" ht="15" hidden="false" customHeight="false" outlineLevel="0" collapsed="false">
      <c r="A929" s="12"/>
      <c r="B929" s="13"/>
      <c r="C929" s="13"/>
      <c r="D929" s="13"/>
      <c r="E929" s="13"/>
      <c r="F929" s="14"/>
      <c r="G929" s="15"/>
      <c r="H929" s="15"/>
      <c r="I929" s="15"/>
      <c r="J929" s="12"/>
      <c r="K929" s="16" t="str">
        <f aca="false">IF(A929="","",G929+H929)</f>
        <v/>
      </c>
      <c r="L929" s="16" t="str">
        <f aca="false">IF(A929="","",IF(F929="İade edildi",0,K929-I929))</f>
        <v/>
      </c>
      <c r="M929" s="17" t="str">
        <f aca="true">IF(A929="","",IF(J929&lt;&gt;"",J929-A929,TODAY()-A929))</f>
        <v/>
      </c>
      <c r="N929" s="18" t="str">
        <f aca="false">IF(A929="","",IF(AND(OR(F929="Bekliyor",F929="Parça bekleniyor",F929="Hazır"),M929&gt;7),"7 günü geçti",""))</f>
        <v/>
      </c>
      <c r="O929" s="18" t="str">
        <f aca="false">IF(AND(A929&lt;&gt;"",OR(F929="Bekliyor",F929="Parça bekleniyor",F929="Hazır")),A929+ROW()/1000000,"")</f>
        <v/>
      </c>
    </row>
    <row r="930" customFormat="false" ht="15" hidden="false" customHeight="false" outlineLevel="0" collapsed="false">
      <c r="A930" s="12"/>
      <c r="B930" s="13"/>
      <c r="C930" s="13"/>
      <c r="D930" s="13"/>
      <c r="E930" s="13"/>
      <c r="F930" s="14"/>
      <c r="G930" s="15"/>
      <c r="H930" s="15"/>
      <c r="I930" s="15"/>
      <c r="J930" s="12"/>
      <c r="K930" s="16" t="str">
        <f aca="false">IF(A930="","",G930+H930)</f>
        <v/>
      </c>
      <c r="L930" s="16" t="str">
        <f aca="false">IF(A930="","",IF(F930="İade edildi",0,K930-I930))</f>
        <v/>
      </c>
      <c r="M930" s="17" t="str">
        <f aca="true">IF(A930="","",IF(J930&lt;&gt;"",J930-A930,TODAY()-A930))</f>
        <v/>
      </c>
      <c r="N930" s="18" t="str">
        <f aca="false">IF(A930="","",IF(AND(OR(F930="Bekliyor",F930="Parça bekleniyor",F930="Hazır"),M930&gt;7),"7 günü geçti",""))</f>
        <v/>
      </c>
      <c r="O930" s="18" t="str">
        <f aca="false">IF(AND(A930&lt;&gt;"",OR(F930="Bekliyor",F930="Parça bekleniyor",F930="Hazır")),A930+ROW()/1000000,"")</f>
        <v/>
      </c>
    </row>
    <row r="931" customFormat="false" ht="15" hidden="false" customHeight="false" outlineLevel="0" collapsed="false">
      <c r="A931" s="12"/>
      <c r="B931" s="13"/>
      <c r="C931" s="13"/>
      <c r="D931" s="13"/>
      <c r="E931" s="13"/>
      <c r="F931" s="14"/>
      <c r="G931" s="15"/>
      <c r="H931" s="15"/>
      <c r="I931" s="15"/>
      <c r="J931" s="12"/>
      <c r="K931" s="16" t="str">
        <f aca="false">IF(A931="","",G931+H931)</f>
        <v/>
      </c>
      <c r="L931" s="16" t="str">
        <f aca="false">IF(A931="","",IF(F931="İade edildi",0,K931-I931))</f>
        <v/>
      </c>
      <c r="M931" s="17" t="str">
        <f aca="true">IF(A931="","",IF(J931&lt;&gt;"",J931-A931,TODAY()-A931))</f>
        <v/>
      </c>
      <c r="N931" s="18" t="str">
        <f aca="false">IF(A931="","",IF(AND(OR(F931="Bekliyor",F931="Parça bekleniyor",F931="Hazır"),M931&gt;7),"7 günü geçti",""))</f>
        <v/>
      </c>
      <c r="O931" s="18" t="str">
        <f aca="false">IF(AND(A931&lt;&gt;"",OR(F931="Bekliyor",F931="Parça bekleniyor",F931="Hazır")),A931+ROW()/1000000,"")</f>
        <v/>
      </c>
    </row>
    <row r="932" customFormat="false" ht="15" hidden="false" customHeight="false" outlineLevel="0" collapsed="false">
      <c r="A932" s="12"/>
      <c r="B932" s="13"/>
      <c r="C932" s="13"/>
      <c r="D932" s="13"/>
      <c r="E932" s="13"/>
      <c r="F932" s="14"/>
      <c r="G932" s="15"/>
      <c r="H932" s="15"/>
      <c r="I932" s="15"/>
      <c r="J932" s="12"/>
      <c r="K932" s="16" t="str">
        <f aca="false">IF(A932="","",G932+H932)</f>
        <v/>
      </c>
      <c r="L932" s="16" t="str">
        <f aca="false">IF(A932="","",IF(F932="İade edildi",0,K932-I932))</f>
        <v/>
      </c>
      <c r="M932" s="17" t="str">
        <f aca="true">IF(A932="","",IF(J932&lt;&gt;"",J932-A932,TODAY()-A932))</f>
        <v/>
      </c>
      <c r="N932" s="18" t="str">
        <f aca="false">IF(A932="","",IF(AND(OR(F932="Bekliyor",F932="Parça bekleniyor",F932="Hazır"),M932&gt;7),"7 günü geçti",""))</f>
        <v/>
      </c>
      <c r="O932" s="18" t="str">
        <f aca="false">IF(AND(A932&lt;&gt;"",OR(F932="Bekliyor",F932="Parça bekleniyor",F932="Hazır")),A932+ROW()/1000000,"")</f>
        <v/>
      </c>
    </row>
    <row r="933" customFormat="false" ht="15" hidden="false" customHeight="false" outlineLevel="0" collapsed="false">
      <c r="A933" s="12"/>
      <c r="B933" s="13"/>
      <c r="C933" s="13"/>
      <c r="D933" s="13"/>
      <c r="E933" s="13"/>
      <c r="F933" s="14"/>
      <c r="G933" s="15"/>
      <c r="H933" s="15"/>
      <c r="I933" s="15"/>
      <c r="J933" s="12"/>
      <c r="K933" s="16" t="str">
        <f aca="false">IF(A933="","",G933+H933)</f>
        <v/>
      </c>
      <c r="L933" s="16" t="str">
        <f aca="false">IF(A933="","",IF(F933="İade edildi",0,K933-I933))</f>
        <v/>
      </c>
      <c r="M933" s="17" t="str">
        <f aca="true">IF(A933="","",IF(J933&lt;&gt;"",J933-A933,TODAY()-A933))</f>
        <v/>
      </c>
      <c r="N933" s="18" t="str">
        <f aca="false">IF(A933="","",IF(AND(OR(F933="Bekliyor",F933="Parça bekleniyor",F933="Hazır"),M933&gt;7),"7 günü geçti",""))</f>
        <v/>
      </c>
      <c r="O933" s="18" t="str">
        <f aca="false">IF(AND(A933&lt;&gt;"",OR(F933="Bekliyor",F933="Parça bekleniyor",F933="Hazır")),A933+ROW()/1000000,"")</f>
        <v/>
      </c>
    </row>
    <row r="934" customFormat="false" ht="15" hidden="false" customHeight="false" outlineLevel="0" collapsed="false">
      <c r="A934" s="12"/>
      <c r="B934" s="13"/>
      <c r="C934" s="13"/>
      <c r="D934" s="13"/>
      <c r="E934" s="13"/>
      <c r="F934" s="14"/>
      <c r="G934" s="15"/>
      <c r="H934" s="15"/>
      <c r="I934" s="15"/>
      <c r="J934" s="12"/>
      <c r="K934" s="16" t="str">
        <f aca="false">IF(A934="","",G934+H934)</f>
        <v/>
      </c>
      <c r="L934" s="16" t="str">
        <f aca="false">IF(A934="","",IF(F934="İade edildi",0,K934-I934))</f>
        <v/>
      </c>
      <c r="M934" s="17" t="str">
        <f aca="true">IF(A934="","",IF(J934&lt;&gt;"",J934-A934,TODAY()-A934))</f>
        <v/>
      </c>
      <c r="N934" s="18" t="str">
        <f aca="false">IF(A934="","",IF(AND(OR(F934="Bekliyor",F934="Parça bekleniyor",F934="Hazır"),M934&gt;7),"7 günü geçti",""))</f>
        <v/>
      </c>
      <c r="O934" s="18" t="str">
        <f aca="false">IF(AND(A934&lt;&gt;"",OR(F934="Bekliyor",F934="Parça bekleniyor",F934="Hazır")),A934+ROW()/1000000,"")</f>
        <v/>
      </c>
    </row>
    <row r="935" customFormat="false" ht="15" hidden="false" customHeight="false" outlineLevel="0" collapsed="false">
      <c r="A935" s="12"/>
      <c r="B935" s="13"/>
      <c r="C935" s="13"/>
      <c r="D935" s="13"/>
      <c r="E935" s="13"/>
      <c r="F935" s="14"/>
      <c r="G935" s="15"/>
      <c r="H935" s="15"/>
      <c r="I935" s="15"/>
      <c r="J935" s="12"/>
      <c r="K935" s="16" t="str">
        <f aca="false">IF(A935="","",G935+H935)</f>
        <v/>
      </c>
      <c r="L935" s="16" t="str">
        <f aca="false">IF(A935="","",IF(F935="İade edildi",0,K935-I935))</f>
        <v/>
      </c>
      <c r="M935" s="17" t="str">
        <f aca="true">IF(A935="","",IF(J935&lt;&gt;"",J935-A935,TODAY()-A935))</f>
        <v/>
      </c>
      <c r="N935" s="18" t="str">
        <f aca="false">IF(A935="","",IF(AND(OR(F935="Bekliyor",F935="Parça bekleniyor",F935="Hazır"),M935&gt;7),"7 günü geçti",""))</f>
        <v/>
      </c>
      <c r="O935" s="18" t="str">
        <f aca="false">IF(AND(A935&lt;&gt;"",OR(F935="Bekliyor",F935="Parça bekleniyor",F935="Hazır")),A935+ROW()/1000000,"")</f>
        <v/>
      </c>
    </row>
    <row r="936" customFormat="false" ht="15" hidden="false" customHeight="false" outlineLevel="0" collapsed="false">
      <c r="A936" s="12"/>
      <c r="B936" s="13"/>
      <c r="C936" s="13"/>
      <c r="D936" s="13"/>
      <c r="E936" s="13"/>
      <c r="F936" s="14"/>
      <c r="G936" s="15"/>
      <c r="H936" s="15"/>
      <c r="I936" s="15"/>
      <c r="J936" s="12"/>
      <c r="K936" s="16" t="str">
        <f aca="false">IF(A936="","",G936+H936)</f>
        <v/>
      </c>
      <c r="L936" s="16" t="str">
        <f aca="false">IF(A936="","",IF(F936="İade edildi",0,K936-I936))</f>
        <v/>
      </c>
      <c r="M936" s="17" t="str">
        <f aca="true">IF(A936="","",IF(J936&lt;&gt;"",J936-A936,TODAY()-A936))</f>
        <v/>
      </c>
      <c r="N936" s="18" t="str">
        <f aca="false">IF(A936="","",IF(AND(OR(F936="Bekliyor",F936="Parça bekleniyor",F936="Hazır"),M936&gt;7),"7 günü geçti",""))</f>
        <v/>
      </c>
      <c r="O936" s="18" t="str">
        <f aca="false">IF(AND(A936&lt;&gt;"",OR(F936="Bekliyor",F936="Parça bekleniyor",F936="Hazır")),A936+ROW()/1000000,"")</f>
        <v/>
      </c>
    </row>
    <row r="937" customFormat="false" ht="15" hidden="false" customHeight="false" outlineLevel="0" collapsed="false">
      <c r="A937" s="12"/>
      <c r="B937" s="13"/>
      <c r="C937" s="13"/>
      <c r="D937" s="13"/>
      <c r="E937" s="13"/>
      <c r="F937" s="14"/>
      <c r="G937" s="15"/>
      <c r="H937" s="15"/>
      <c r="I937" s="15"/>
      <c r="J937" s="12"/>
      <c r="K937" s="16" t="str">
        <f aca="false">IF(A937="","",G937+H937)</f>
        <v/>
      </c>
      <c r="L937" s="16" t="str">
        <f aca="false">IF(A937="","",IF(F937="İade edildi",0,K937-I937))</f>
        <v/>
      </c>
      <c r="M937" s="17" t="str">
        <f aca="true">IF(A937="","",IF(J937&lt;&gt;"",J937-A937,TODAY()-A937))</f>
        <v/>
      </c>
      <c r="N937" s="18" t="str">
        <f aca="false">IF(A937="","",IF(AND(OR(F937="Bekliyor",F937="Parça bekleniyor",F937="Hazır"),M937&gt;7),"7 günü geçti",""))</f>
        <v/>
      </c>
      <c r="O937" s="18" t="str">
        <f aca="false">IF(AND(A937&lt;&gt;"",OR(F937="Bekliyor",F937="Parça bekleniyor",F937="Hazır")),A937+ROW()/1000000,"")</f>
        <v/>
      </c>
    </row>
    <row r="938" customFormat="false" ht="15" hidden="false" customHeight="false" outlineLevel="0" collapsed="false">
      <c r="A938" s="12"/>
      <c r="B938" s="13"/>
      <c r="C938" s="13"/>
      <c r="D938" s="13"/>
      <c r="E938" s="13"/>
      <c r="F938" s="14"/>
      <c r="G938" s="15"/>
      <c r="H938" s="15"/>
      <c r="I938" s="15"/>
      <c r="J938" s="12"/>
      <c r="K938" s="16" t="str">
        <f aca="false">IF(A938="","",G938+H938)</f>
        <v/>
      </c>
      <c r="L938" s="16" t="str">
        <f aca="false">IF(A938="","",IF(F938="İade edildi",0,K938-I938))</f>
        <v/>
      </c>
      <c r="M938" s="17" t="str">
        <f aca="true">IF(A938="","",IF(J938&lt;&gt;"",J938-A938,TODAY()-A938))</f>
        <v/>
      </c>
      <c r="N938" s="18" t="str">
        <f aca="false">IF(A938="","",IF(AND(OR(F938="Bekliyor",F938="Parça bekleniyor",F938="Hazır"),M938&gt;7),"7 günü geçti",""))</f>
        <v/>
      </c>
      <c r="O938" s="18" t="str">
        <f aca="false">IF(AND(A938&lt;&gt;"",OR(F938="Bekliyor",F938="Parça bekleniyor",F938="Hazır")),A938+ROW()/1000000,"")</f>
        <v/>
      </c>
    </row>
    <row r="939" customFormat="false" ht="15" hidden="false" customHeight="false" outlineLevel="0" collapsed="false">
      <c r="A939" s="12"/>
      <c r="B939" s="13"/>
      <c r="C939" s="13"/>
      <c r="D939" s="13"/>
      <c r="E939" s="13"/>
      <c r="F939" s="14"/>
      <c r="G939" s="15"/>
      <c r="H939" s="15"/>
      <c r="I939" s="15"/>
      <c r="J939" s="12"/>
      <c r="K939" s="16" t="str">
        <f aca="false">IF(A939="","",G939+H939)</f>
        <v/>
      </c>
      <c r="L939" s="16" t="str">
        <f aca="false">IF(A939="","",IF(F939="İade edildi",0,K939-I939))</f>
        <v/>
      </c>
      <c r="M939" s="17" t="str">
        <f aca="true">IF(A939="","",IF(J939&lt;&gt;"",J939-A939,TODAY()-A939))</f>
        <v/>
      </c>
      <c r="N939" s="18" t="str">
        <f aca="false">IF(A939="","",IF(AND(OR(F939="Bekliyor",F939="Parça bekleniyor",F939="Hazır"),M939&gt;7),"7 günü geçti",""))</f>
        <v/>
      </c>
      <c r="O939" s="18" t="str">
        <f aca="false">IF(AND(A939&lt;&gt;"",OR(F939="Bekliyor",F939="Parça bekleniyor",F939="Hazır")),A939+ROW()/1000000,"")</f>
        <v/>
      </c>
    </row>
    <row r="940" customFormat="false" ht="15" hidden="false" customHeight="false" outlineLevel="0" collapsed="false">
      <c r="A940" s="12"/>
      <c r="B940" s="13"/>
      <c r="C940" s="13"/>
      <c r="D940" s="13"/>
      <c r="E940" s="13"/>
      <c r="F940" s="14"/>
      <c r="G940" s="15"/>
      <c r="H940" s="15"/>
      <c r="I940" s="15"/>
      <c r="J940" s="12"/>
      <c r="K940" s="16" t="str">
        <f aca="false">IF(A940="","",G940+H940)</f>
        <v/>
      </c>
      <c r="L940" s="16" t="str">
        <f aca="false">IF(A940="","",IF(F940="İade edildi",0,K940-I940))</f>
        <v/>
      </c>
      <c r="M940" s="17" t="str">
        <f aca="true">IF(A940="","",IF(J940&lt;&gt;"",J940-A940,TODAY()-A940))</f>
        <v/>
      </c>
      <c r="N940" s="18" t="str">
        <f aca="false">IF(A940="","",IF(AND(OR(F940="Bekliyor",F940="Parça bekleniyor",F940="Hazır"),M940&gt;7),"7 günü geçti",""))</f>
        <v/>
      </c>
      <c r="O940" s="18" t="str">
        <f aca="false">IF(AND(A940&lt;&gt;"",OR(F940="Bekliyor",F940="Parça bekleniyor",F940="Hazır")),A940+ROW()/1000000,"")</f>
        <v/>
      </c>
    </row>
    <row r="941" customFormat="false" ht="15" hidden="false" customHeight="false" outlineLevel="0" collapsed="false">
      <c r="A941" s="12"/>
      <c r="B941" s="13"/>
      <c r="C941" s="13"/>
      <c r="D941" s="13"/>
      <c r="E941" s="13"/>
      <c r="F941" s="14"/>
      <c r="G941" s="15"/>
      <c r="H941" s="15"/>
      <c r="I941" s="15"/>
      <c r="J941" s="12"/>
      <c r="K941" s="16" t="str">
        <f aca="false">IF(A941="","",G941+H941)</f>
        <v/>
      </c>
      <c r="L941" s="16" t="str">
        <f aca="false">IF(A941="","",IF(F941="İade edildi",0,K941-I941))</f>
        <v/>
      </c>
      <c r="M941" s="17" t="str">
        <f aca="true">IF(A941="","",IF(J941&lt;&gt;"",J941-A941,TODAY()-A941))</f>
        <v/>
      </c>
      <c r="N941" s="18" t="str">
        <f aca="false">IF(A941="","",IF(AND(OR(F941="Bekliyor",F941="Parça bekleniyor",F941="Hazır"),M941&gt;7),"7 günü geçti",""))</f>
        <v/>
      </c>
      <c r="O941" s="18" t="str">
        <f aca="false">IF(AND(A941&lt;&gt;"",OR(F941="Bekliyor",F941="Parça bekleniyor",F941="Hazır")),A941+ROW()/1000000,"")</f>
        <v/>
      </c>
    </row>
    <row r="942" customFormat="false" ht="15" hidden="false" customHeight="false" outlineLevel="0" collapsed="false">
      <c r="A942" s="12"/>
      <c r="B942" s="13"/>
      <c r="C942" s="13"/>
      <c r="D942" s="13"/>
      <c r="E942" s="13"/>
      <c r="F942" s="14"/>
      <c r="G942" s="15"/>
      <c r="H942" s="15"/>
      <c r="I942" s="15"/>
      <c r="J942" s="12"/>
      <c r="K942" s="16" t="str">
        <f aca="false">IF(A942="","",G942+H942)</f>
        <v/>
      </c>
      <c r="L942" s="16" t="str">
        <f aca="false">IF(A942="","",IF(F942="İade edildi",0,K942-I942))</f>
        <v/>
      </c>
      <c r="M942" s="17" t="str">
        <f aca="true">IF(A942="","",IF(J942&lt;&gt;"",J942-A942,TODAY()-A942))</f>
        <v/>
      </c>
      <c r="N942" s="18" t="str">
        <f aca="false">IF(A942="","",IF(AND(OR(F942="Bekliyor",F942="Parça bekleniyor",F942="Hazır"),M942&gt;7),"7 günü geçti",""))</f>
        <v/>
      </c>
      <c r="O942" s="18" t="str">
        <f aca="false">IF(AND(A942&lt;&gt;"",OR(F942="Bekliyor",F942="Parça bekleniyor",F942="Hazır")),A942+ROW()/1000000,"")</f>
        <v/>
      </c>
    </row>
    <row r="943" customFormat="false" ht="15" hidden="false" customHeight="false" outlineLevel="0" collapsed="false">
      <c r="A943" s="12"/>
      <c r="B943" s="13"/>
      <c r="C943" s="13"/>
      <c r="D943" s="13"/>
      <c r="E943" s="13"/>
      <c r="F943" s="14"/>
      <c r="G943" s="15"/>
      <c r="H943" s="15"/>
      <c r="I943" s="15"/>
      <c r="J943" s="12"/>
      <c r="K943" s="16" t="str">
        <f aca="false">IF(A943="","",G943+H943)</f>
        <v/>
      </c>
      <c r="L943" s="16" t="str">
        <f aca="false">IF(A943="","",IF(F943="İade edildi",0,K943-I943))</f>
        <v/>
      </c>
      <c r="M943" s="17" t="str">
        <f aca="true">IF(A943="","",IF(J943&lt;&gt;"",J943-A943,TODAY()-A943))</f>
        <v/>
      </c>
      <c r="N943" s="18" t="str">
        <f aca="false">IF(A943="","",IF(AND(OR(F943="Bekliyor",F943="Parça bekleniyor",F943="Hazır"),M943&gt;7),"7 günü geçti",""))</f>
        <v/>
      </c>
      <c r="O943" s="18" t="str">
        <f aca="false">IF(AND(A943&lt;&gt;"",OR(F943="Bekliyor",F943="Parça bekleniyor",F943="Hazır")),A943+ROW()/1000000,"")</f>
        <v/>
      </c>
    </row>
    <row r="944" customFormat="false" ht="15" hidden="false" customHeight="false" outlineLevel="0" collapsed="false">
      <c r="A944" s="12"/>
      <c r="B944" s="13"/>
      <c r="C944" s="13"/>
      <c r="D944" s="13"/>
      <c r="E944" s="13"/>
      <c r="F944" s="14"/>
      <c r="G944" s="15"/>
      <c r="H944" s="15"/>
      <c r="I944" s="15"/>
      <c r="J944" s="12"/>
      <c r="K944" s="16" t="str">
        <f aca="false">IF(A944="","",G944+H944)</f>
        <v/>
      </c>
      <c r="L944" s="16" t="str">
        <f aca="false">IF(A944="","",IF(F944="İade edildi",0,K944-I944))</f>
        <v/>
      </c>
      <c r="M944" s="17" t="str">
        <f aca="true">IF(A944="","",IF(J944&lt;&gt;"",J944-A944,TODAY()-A944))</f>
        <v/>
      </c>
      <c r="N944" s="18" t="str">
        <f aca="false">IF(A944="","",IF(AND(OR(F944="Bekliyor",F944="Parça bekleniyor",F944="Hazır"),M944&gt;7),"7 günü geçti",""))</f>
        <v/>
      </c>
      <c r="O944" s="18" t="str">
        <f aca="false">IF(AND(A944&lt;&gt;"",OR(F944="Bekliyor",F944="Parça bekleniyor",F944="Hazır")),A944+ROW()/1000000,"")</f>
        <v/>
      </c>
    </row>
    <row r="945" customFormat="false" ht="15" hidden="false" customHeight="false" outlineLevel="0" collapsed="false">
      <c r="A945" s="12"/>
      <c r="B945" s="13"/>
      <c r="C945" s="13"/>
      <c r="D945" s="13"/>
      <c r="E945" s="13"/>
      <c r="F945" s="14"/>
      <c r="G945" s="15"/>
      <c r="H945" s="15"/>
      <c r="I945" s="15"/>
      <c r="J945" s="12"/>
      <c r="K945" s="16" t="str">
        <f aca="false">IF(A945="","",G945+H945)</f>
        <v/>
      </c>
      <c r="L945" s="16" t="str">
        <f aca="false">IF(A945="","",IF(F945="İade edildi",0,K945-I945))</f>
        <v/>
      </c>
      <c r="M945" s="17" t="str">
        <f aca="true">IF(A945="","",IF(J945&lt;&gt;"",J945-A945,TODAY()-A945))</f>
        <v/>
      </c>
      <c r="N945" s="18" t="str">
        <f aca="false">IF(A945="","",IF(AND(OR(F945="Bekliyor",F945="Parça bekleniyor",F945="Hazır"),M945&gt;7),"7 günü geçti",""))</f>
        <v/>
      </c>
      <c r="O945" s="18" t="str">
        <f aca="false">IF(AND(A945&lt;&gt;"",OR(F945="Bekliyor",F945="Parça bekleniyor",F945="Hazır")),A945+ROW()/1000000,"")</f>
        <v/>
      </c>
    </row>
    <row r="946" customFormat="false" ht="15" hidden="false" customHeight="false" outlineLevel="0" collapsed="false">
      <c r="A946" s="12"/>
      <c r="B946" s="13"/>
      <c r="C946" s="13"/>
      <c r="D946" s="13"/>
      <c r="E946" s="13"/>
      <c r="F946" s="14"/>
      <c r="G946" s="15"/>
      <c r="H946" s="15"/>
      <c r="I946" s="15"/>
      <c r="J946" s="12"/>
      <c r="K946" s="16" t="str">
        <f aca="false">IF(A946="","",G946+H946)</f>
        <v/>
      </c>
      <c r="L946" s="16" t="str">
        <f aca="false">IF(A946="","",IF(F946="İade edildi",0,K946-I946))</f>
        <v/>
      </c>
      <c r="M946" s="17" t="str">
        <f aca="true">IF(A946="","",IF(J946&lt;&gt;"",J946-A946,TODAY()-A946))</f>
        <v/>
      </c>
      <c r="N946" s="18" t="str">
        <f aca="false">IF(A946="","",IF(AND(OR(F946="Bekliyor",F946="Parça bekleniyor",F946="Hazır"),M946&gt;7),"7 günü geçti",""))</f>
        <v/>
      </c>
      <c r="O946" s="18" t="str">
        <f aca="false">IF(AND(A946&lt;&gt;"",OR(F946="Bekliyor",F946="Parça bekleniyor",F946="Hazır")),A946+ROW()/1000000,"")</f>
        <v/>
      </c>
    </row>
    <row r="947" customFormat="false" ht="15" hidden="false" customHeight="false" outlineLevel="0" collapsed="false">
      <c r="A947" s="12"/>
      <c r="B947" s="13"/>
      <c r="C947" s="13"/>
      <c r="D947" s="13"/>
      <c r="E947" s="13"/>
      <c r="F947" s="14"/>
      <c r="G947" s="15"/>
      <c r="H947" s="15"/>
      <c r="I947" s="15"/>
      <c r="J947" s="12"/>
      <c r="K947" s="16" t="str">
        <f aca="false">IF(A947="","",G947+H947)</f>
        <v/>
      </c>
      <c r="L947" s="16" t="str">
        <f aca="false">IF(A947="","",IF(F947="İade edildi",0,K947-I947))</f>
        <v/>
      </c>
      <c r="M947" s="17" t="str">
        <f aca="true">IF(A947="","",IF(J947&lt;&gt;"",J947-A947,TODAY()-A947))</f>
        <v/>
      </c>
      <c r="N947" s="18" t="str">
        <f aca="false">IF(A947="","",IF(AND(OR(F947="Bekliyor",F947="Parça bekleniyor",F947="Hazır"),M947&gt;7),"7 günü geçti",""))</f>
        <v/>
      </c>
      <c r="O947" s="18" t="str">
        <f aca="false">IF(AND(A947&lt;&gt;"",OR(F947="Bekliyor",F947="Parça bekleniyor",F947="Hazır")),A947+ROW()/1000000,"")</f>
        <v/>
      </c>
    </row>
    <row r="948" customFormat="false" ht="15" hidden="false" customHeight="false" outlineLevel="0" collapsed="false">
      <c r="A948" s="12"/>
      <c r="B948" s="13"/>
      <c r="C948" s="13"/>
      <c r="D948" s="13"/>
      <c r="E948" s="13"/>
      <c r="F948" s="14"/>
      <c r="G948" s="15"/>
      <c r="H948" s="15"/>
      <c r="I948" s="15"/>
      <c r="J948" s="12"/>
      <c r="K948" s="16" t="str">
        <f aca="false">IF(A948="","",G948+H948)</f>
        <v/>
      </c>
      <c r="L948" s="16" t="str">
        <f aca="false">IF(A948="","",IF(F948="İade edildi",0,K948-I948))</f>
        <v/>
      </c>
      <c r="M948" s="17" t="str">
        <f aca="true">IF(A948="","",IF(J948&lt;&gt;"",J948-A948,TODAY()-A948))</f>
        <v/>
      </c>
      <c r="N948" s="18" t="str">
        <f aca="false">IF(A948="","",IF(AND(OR(F948="Bekliyor",F948="Parça bekleniyor",F948="Hazır"),M948&gt;7),"7 günü geçti",""))</f>
        <v/>
      </c>
      <c r="O948" s="18" t="str">
        <f aca="false">IF(AND(A948&lt;&gt;"",OR(F948="Bekliyor",F948="Parça bekleniyor",F948="Hazır")),A948+ROW()/1000000,"")</f>
        <v/>
      </c>
    </row>
    <row r="949" customFormat="false" ht="15" hidden="false" customHeight="false" outlineLevel="0" collapsed="false">
      <c r="A949" s="12"/>
      <c r="B949" s="13"/>
      <c r="C949" s="13"/>
      <c r="D949" s="13"/>
      <c r="E949" s="13"/>
      <c r="F949" s="14"/>
      <c r="G949" s="15"/>
      <c r="H949" s="15"/>
      <c r="I949" s="15"/>
      <c r="J949" s="12"/>
      <c r="K949" s="16" t="str">
        <f aca="false">IF(A949="","",G949+H949)</f>
        <v/>
      </c>
      <c r="L949" s="16" t="str">
        <f aca="false">IF(A949="","",IF(F949="İade edildi",0,K949-I949))</f>
        <v/>
      </c>
      <c r="M949" s="17" t="str">
        <f aca="true">IF(A949="","",IF(J949&lt;&gt;"",J949-A949,TODAY()-A949))</f>
        <v/>
      </c>
      <c r="N949" s="18" t="str">
        <f aca="false">IF(A949="","",IF(AND(OR(F949="Bekliyor",F949="Parça bekleniyor",F949="Hazır"),M949&gt;7),"7 günü geçti",""))</f>
        <v/>
      </c>
      <c r="O949" s="18" t="str">
        <f aca="false">IF(AND(A949&lt;&gt;"",OR(F949="Bekliyor",F949="Parça bekleniyor",F949="Hazır")),A949+ROW()/1000000,"")</f>
        <v/>
      </c>
    </row>
    <row r="950" customFormat="false" ht="15" hidden="false" customHeight="false" outlineLevel="0" collapsed="false">
      <c r="A950" s="12"/>
      <c r="B950" s="13"/>
      <c r="C950" s="13"/>
      <c r="D950" s="13"/>
      <c r="E950" s="13"/>
      <c r="F950" s="14"/>
      <c r="G950" s="15"/>
      <c r="H950" s="15"/>
      <c r="I950" s="15"/>
      <c r="J950" s="12"/>
      <c r="K950" s="16" t="str">
        <f aca="false">IF(A950="","",G950+H950)</f>
        <v/>
      </c>
      <c r="L950" s="16" t="str">
        <f aca="false">IF(A950="","",IF(F950="İade edildi",0,K950-I950))</f>
        <v/>
      </c>
      <c r="M950" s="17" t="str">
        <f aca="true">IF(A950="","",IF(J950&lt;&gt;"",J950-A950,TODAY()-A950))</f>
        <v/>
      </c>
      <c r="N950" s="18" t="str">
        <f aca="false">IF(A950="","",IF(AND(OR(F950="Bekliyor",F950="Parça bekleniyor",F950="Hazır"),M950&gt;7),"7 günü geçti",""))</f>
        <v/>
      </c>
      <c r="O950" s="18" t="str">
        <f aca="false">IF(AND(A950&lt;&gt;"",OR(F950="Bekliyor",F950="Parça bekleniyor",F950="Hazır")),A950+ROW()/1000000,"")</f>
        <v/>
      </c>
    </row>
    <row r="951" customFormat="false" ht="15" hidden="false" customHeight="false" outlineLevel="0" collapsed="false">
      <c r="A951" s="12"/>
      <c r="B951" s="13"/>
      <c r="C951" s="13"/>
      <c r="D951" s="13"/>
      <c r="E951" s="13"/>
      <c r="F951" s="14"/>
      <c r="G951" s="15"/>
      <c r="H951" s="15"/>
      <c r="I951" s="15"/>
      <c r="J951" s="12"/>
      <c r="K951" s="16" t="str">
        <f aca="false">IF(A951="","",G951+H951)</f>
        <v/>
      </c>
      <c r="L951" s="16" t="str">
        <f aca="false">IF(A951="","",IF(F951="İade edildi",0,K951-I951))</f>
        <v/>
      </c>
      <c r="M951" s="17" t="str">
        <f aca="true">IF(A951="","",IF(J951&lt;&gt;"",J951-A951,TODAY()-A951))</f>
        <v/>
      </c>
      <c r="N951" s="18" t="str">
        <f aca="false">IF(A951="","",IF(AND(OR(F951="Bekliyor",F951="Parça bekleniyor",F951="Hazır"),M951&gt;7),"7 günü geçti",""))</f>
        <v/>
      </c>
      <c r="O951" s="18" t="str">
        <f aca="false">IF(AND(A951&lt;&gt;"",OR(F951="Bekliyor",F951="Parça bekleniyor",F951="Hazır")),A951+ROW()/1000000,"")</f>
        <v/>
      </c>
    </row>
    <row r="952" customFormat="false" ht="15" hidden="false" customHeight="false" outlineLevel="0" collapsed="false">
      <c r="A952" s="12"/>
      <c r="B952" s="13"/>
      <c r="C952" s="13"/>
      <c r="D952" s="13"/>
      <c r="E952" s="13"/>
      <c r="F952" s="14"/>
      <c r="G952" s="15"/>
      <c r="H952" s="15"/>
      <c r="I952" s="15"/>
      <c r="J952" s="12"/>
      <c r="K952" s="16" t="str">
        <f aca="false">IF(A952="","",G952+H952)</f>
        <v/>
      </c>
      <c r="L952" s="16" t="str">
        <f aca="false">IF(A952="","",IF(F952="İade edildi",0,K952-I952))</f>
        <v/>
      </c>
      <c r="M952" s="17" t="str">
        <f aca="true">IF(A952="","",IF(J952&lt;&gt;"",J952-A952,TODAY()-A952))</f>
        <v/>
      </c>
      <c r="N952" s="18" t="str">
        <f aca="false">IF(A952="","",IF(AND(OR(F952="Bekliyor",F952="Parça bekleniyor",F952="Hazır"),M952&gt;7),"7 günü geçti",""))</f>
        <v/>
      </c>
      <c r="O952" s="18" t="str">
        <f aca="false">IF(AND(A952&lt;&gt;"",OR(F952="Bekliyor",F952="Parça bekleniyor",F952="Hazır")),A952+ROW()/1000000,"")</f>
        <v/>
      </c>
    </row>
    <row r="953" customFormat="false" ht="15" hidden="false" customHeight="false" outlineLevel="0" collapsed="false">
      <c r="A953" s="12"/>
      <c r="B953" s="13"/>
      <c r="C953" s="13"/>
      <c r="D953" s="13"/>
      <c r="E953" s="13"/>
      <c r="F953" s="14"/>
      <c r="G953" s="15"/>
      <c r="H953" s="15"/>
      <c r="I953" s="15"/>
      <c r="J953" s="12"/>
      <c r="K953" s="16" t="str">
        <f aca="false">IF(A953="","",G953+H953)</f>
        <v/>
      </c>
      <c r="L953" s="16" t="str">
        <f aca="false">IF(A953="","",IF(F953="İade edildi",0,K953-I953))</f>
        <v/>
      </c>
      <c r="M953" s="17" t="str">
        <f aca="true">IF(A953="","",IF(J953&lt;&gt;"",J953-A953,TODAY()-A953))</f>
        <v/>
      </c>
      <c r="N953" s="18" t="str">
        <f aca="false">IF(A953="","",IF(AND(OR(F953="Bekliyor",F953="Parça bekleniyor",F953="Hazır"),M953&gt;7),"7 günü geçti",""))</f>
        <v/>
      </c>
      <c r="O953" s="18" t="str">
        <f aca="false">IF(AND(A953&lt;&gt;"",OR(F953="Bekliyor",F953="Parça bekleniyor",F953="Hazır")),A953+ROW()/1000000,"")</f>
        <v/>
      </c>
    </row>
    <row r="954" customFormat="false" ht="15" hidden="false" customHeight="false" outlineLevel="0" collapsed="false">
      <c r="A954" s="12"/>
      <c r="B954" s="13"/>
      <c r="C954" s="13"/>
      <c r="D954" s="13"/>
      <c r="E954" s="13"/>
      <c r="F954" s="14"/>
      <c r="G954" s="15"/>
      <c r="H954" s="15"/>
      <c r="I954" s="15"/>
      <c r="J954" s="12"/>
      <c r="K954" s="16" t="str">
        <f aca="false">IF(A954="","",G954+H954)</f>
        <v/>
      </c>
      <c r="L954" s="16" t="str">
        <f aca="false">IF(A954="","",IF(F954="İade edildi",0,K954-I954))</f>
        <v/>
      </c>
      <c r="M954" s="17" t="str">
        <f aca="true">IF(A954="","",IF(J954&lt;&gt;"",J954-A954,TODAY()-A954))</f>
        <v/>
      </c>
      <c r="N954" s="18" t="str">
        <f aca="false">IF(A954="","",IF(AND(OR(F954="Bekliyor",F954="Parça bekleniyor",F954="Hazır"),M954&gt;7),"7 günü geçti",""))</f>
        <v/>
      </c>
      <c r="O954" s="18" t="str">
        <f aca="false">IF(AND(A954&lt;&gt;"",OR(F954="Bekliyor",F954="Parça bekleniyor",F954="Hazır")),A954+ROW()/1000000,"")</f>
        <v/>
      </c>
    </row>
    <row r="955" customFormat="false" ht="15" hidden="false" customHeight="false" outlineLevel="0" collapsed="false">
      <c r="A955" s="12"/>
      <c r="B955" s="13"/>
      <c r="C955" s="13"/>
      <c r="D955" s="13"/>
      <c r="E955" s="13"/>
      <c r="F955" s="14"/>
      <c r="G955" s="15"/>
      <c r="H955" s="15"/>
      <c r="I955" s="15"/>
      <c r="J955" s="12"/>
      <c r="K955" s="16" t="str">
        <f aca="false">IF(A955="","",G955+H955)</f>
        <v/>
      </c>
      <c r="L955" s="16" t="str">
        <f aca="false">IF(A955="","",IF(F955="İade edildi",0,K955-I955))</f>
        <v/>
      </c>
      <c r="M955" s="17" t="str">
        <f aca="true">IF(A955="","",IF(J955&lt;&gt;"",J955-A955,TODAY()-A955))</f>
        <v/>
      </c>
      <c r="N955" s="18" t="str">
        <f aca="false">IF(A955="","",IF(AND(OR(F955="Bekliyor",F955="Parça bekleniyor",F955="Hazır"),M955&gt;7),"7 günü geçti",""))</f>
        <v/>
      </c>
      <c r="O955" s="18" t="str">
        <f aca="false">IF(AND(A955&lt;&gt;"",OR(F955="Bekliyor",F955="Parça bekleniyor",F955="Hazır")),A955+ROW()/1000000,"")</f>
        <v/>
      </c>
    </row>
    <row r="956" customFormat="false" ht="15" hidden="false" customHeight="false" outlineLevel="0" collapsed="false">
      <c r="A956" s="12"/>
      <c r="B956" s="13"/>
      <c r="C956" s="13"/>
      <c r="D956" s="13"/>
      <c r="E956" s="13"/>
      <c r="F956" s="14"/>
      <c r="G956" s="15"/>
      <c r="H956" s="15"/>
      <c r="I956" s="15"/>
      <c r="J956" s="12"/>
      <c r="K956" s="16" t="str">
        <f aca="false">IF(A956="","",G956+H956)</f>
        <v/>
      </c>
      <c r="L956" s="16" t="str">
        <f aca="false">IF(A956="","",IF(F956="İade edildi",0,K956-I956))</f>
        <v/>
      </c>
      <c r="M956" s="17" t="str">
        <f aca="true">IF(A956="","",IF(J956&lt;&gt;"",J956-A956,TODAY()-A956))</f>
        <v/>
      </c>
      <c r="N956" s="18" t="str">
        <f aca="false">IF(A956="","",IF(AND(OR(F956="Bekliyor",F956="Parça bekleniyor",F956="Hazır"),M956&gt;7),"7 günü geçti",""))</f>
        <v/>
      </c>
      <c r="O956" s="18" t="str">
        <f aca="false">IF(AND(A956&lt;&gt;"",OR(F956="Bekliyor",F956="Parça bekleniyor",F956="Hazır")),A956+ROW()/1000000,"")</f>
        <v/>
      </c>
    </row>
    <row r="957" customFormat="false" ht="15" hidden="false" customHeight="false" outlineLevel="0" collapsed="false">
      <c r="A957" s="12"/>
      <c r="B957" s="13"/>
      <c r="C957" s="13"/>
      <c r="D957" s="13"/>
      <c r="E957" s="13"/>
      <c r="F957" s="14"/>
      <c r="G957" s="15"/>
      <c r="H957" s="15"/>
      <c r="I957" s="15"/>
      <c r="J957" s="12"/>
      <c r="K957" s="16" t="str">
        <f aca="false">IF(A957="","",G957+H957)</f>
        <v/>
      </c>
      <c r="L957" s="16" t="str">
        <f aca="false">IF(A957="","",IF(F957="İade edildi",0,K957-I957))</f>
        <v/>
      </c>
      <c r="M957" s="17" t="str">
        <f aca="true">IF(A957="","",IF(J957&lt;&gt;"",J957-A957,TODAY()-A957))</f>
        <v/>
      </c>
      <c r="N957" s="18" t="str">
        <f aca="false">IF(A957="","",IF(AND(OR(F957="Bekliyor",F957="Parça bekleniyor",F957="Hazır"),M957&gt;7),"7 günü geçti",""))</f>
        <v/>
      </c>
      <c r="O957" s="18" t="str">
        <f aca="false">IF(AND(A957&lt;&gt;"",OR(F957="Bekliyor",F957="Parça bekleniyor",F957="Hazır")),A957+ROW()/1000000,"")</f>
        <v/>
      </c>
    </row>
    <row r="958" customFormat="false" ht="15" hidden="false" customHeight="false" outlineLevel="0" collapsed="false">
      <c r="A958" s="12"/>
      <c r="B958" s="13"/>
      <c r="C958" s="13"/>
      <c r="D958" s="13"/>
      <c r="E958" s="13"/>
      <c r="F958" s="14"/>
      <c r="G958" s="15"/>
      <c r="H958" s="15"/>
      <c r="I958" s="15"/>
      <c r="J958" s="12"/>
      <c r="K958" s="16" t="str">
        <f aca="false">IF(A958="","",G958+H958)</f>
        <v/>
      </c>
      <c r="L958" s="16" t="str">
        <f aca="false">IF(A958="","",IF(F958="İade edildi",0,K958-I958))</f>
        <v/>
      </c>
      <c r="M958" s="17" t="str">
        <f aca="true">IF(A958="","",IF(J958&lt;&gt;"",J958-A958,TODAY()-A958))</f>
        <v/>
      </c>
      <c r="N958" s="18" t="str">
        <f aca="false">IF(A958="","",IF(AND(OR(F958="Bekliyor",F958="Parça bekleniyor",F958="Hazır"),M958&gt;7),"7 günü geçti",""))</f>
        <v/>
      </c>
      <c r="O958" s="18" t="str">
        <f aca="false">IF(AND(A958&lt;&gt;"",OR(F958="Bekliyor",F958="Parça bekleniyor",F958="Hazır")),A958+ROW()/1000000,"")</f>
        <v/>
      </c>
    </row>
    <row r="959" customFormat="false" ht="15" hidden="false" customHeight="false" outlineLevel="0" collapsed="false">
      <c r="A959" s="12"/>
      <c r="B959" s="13"/>
      <c r="C959" s="13"/>
      <c r="D959" s="13"/>
      <c r="E959" s="13"/>
      <c r="F959" s="14"/>
      <c r="G959" s="15"/>
      <c r="H959" s="15"/>
      <c r="I959" s="15"/>
      <c r="J959" s="12"/>
      <c r="K959" s="16" t="str">
        <f aca="false">IF(A959="","",G959+H959)</f>
        <v/>
      </c>
      <c r="L959" s="16" t="str">
        <f aca="false">IF(A959="","",IF(F959="İade edildi",0,K959-I959))</f>
        <v/>
      </c>
      <c r="M959" s="17" t="str">
        <f aca="true">IF(A959="","",IF(J959&lt;&gt;"",J959-A959,TODAY()-A959))</f>
        <v/>
      </c>
      <c r="N959" s="18" t="str">
        <f aca="false">IF(A959="","",IF(AND(OR(F959="Bekliyor",F959="Parça bekleniyor",F959="Hazır"),M959&gt;7),"7 günü geçti",""))</f>
        <v/>
      </c>
      <c r="O959" s="18" t="str">
        <f aca="false">IF(AND(A959&lt;&gt;"",OR(F959="Bekliyor",F959="Parça bekleniyor",F959="Hazır")),A959+ROW()/1000000,"")</f>
        <v/>
      </c>
    </row>
    <row r="960" customFormat="false" ht="15" hidden="false" customHeight="false" outlineLevel="0" collapsed="false">
      <c r="A960" s="12"/>
      <c r="B960" s="13"/>
      <c r="C960" s="13"/>
      <c r="D960" s="13"/>
      <c r="E960" s="13"/>
      <c r="F960" s="14"/>
      <c r="G960" s="15"/>
      <c r="H960" s="15"/>
      <c r="I960" s="15"/>
      <c r="J960" s="12"/>
      <c r="K960" s="16" t="str">
        <f aca="false">IF(A960="","",G960+H960)</f>
        <v/>
      </c>
      <c r="L960" s="16" t="str">
        <f aca="false">IF(A960="","",IF(F960="İade edildi",0,K960-I960))</f>
        <v/>
      </c>
      <c r="M960" s="17" t="str">
        <f aca="true">IF(A960="","",IF(J960&lt;&gt;"",J960-A960,TODAY()-A960))</f>
        <v/>
      </c>
      <c r="N960" s="18" t="str">
        <f aca="false">IF(A960="","",IF(AND(OR(F960="Bekliyor",F960="Parça bekleniyor",F960="Hazır"),M960&gt;7),"7 günü geçti",""))</f>
        <v/>
      </c>
      <c r="O960" s="18" t="str">
        <f aca="false">IF(AND(A960&lt;&gt;"",OR(F960="Bekliyor",F960="Parça bekleniyor",F960="Hazır")),A960+ROW()/1000000,"")</f>
        <v/>
      </c>
    </row>
    <row r="961" customFormat="false" ht="15" hidden="false" customHeight="false" outlineLevel="0" collapsed="false">
      <c r="A961" s="12"/>
      <c r="B961" s="13"/>
      <c r="C961" s="13"/>
      <c r="D961" s="13"/>
      <c r="E961" s="13"/>
      <c r="F961" s="14"/>
      <c r="G961" s="15"/>
      <c r="H961" s="15"/>
      <c r="I961" s="15"/>
      <c r="J961" s="12"/>
      <c r="K961" s="16" t="str">
        <f aca="false">IF(A961="","",G961+H961)</f>
        <v/>
      </c>
      <c r="L961" s="16" t="str">
        <f aca="false">IF(A961="","",IF(F961="İade edildi",0,K961-I961))</f>
        <v/>
      </c>
      <c r="M961" s="17" t="str">
        <f aca="true">IF(A961="","",IF(J961&lt;&gt;"",J961-A961,TODAY()-A961))</f>
        <v/>
      </c>
      <c r="N961" s="18" t="str">
        <f aca="false">IF(A961="","",IF(AND(OR(F961="Bekliyor",F961="Parça bekleniyor",F961="Hazır"),M961&gt;7),"7 günü geçti",""))</f>
        <v/>
      </c>
      <c r="O961" s="18" t="str">
        <f aca="false">IF(AND(A961&lt;&gt;"",OR(F961="Bekliyor",F961="Parça bekleniyor",F961="Hazır")),A961+ROW()/1000000,"")</f>
        <v/>
      </c>
    </row>
    <row r="962" customFormat="false" ht="15" hidden="false" customHeight="false" outlineLevel="0" collapsed="false">
      <c r="A962" s="12"/>
      <c r="B962" s="13"/>
      <c r="C962" s="13"/>
      <c r="D962" s="13"/>
      <c r="E962" s="13"/>
      <c r="F962" s="14"/>
      <c r="G962" s="15"/>
      <c r="H962" s="15"/>
      <c r="I962" s="15"/>
      <c r="J962" s="12"/>
      <c r="K962" s="16" t="str">
        <f aca="false">IF(A962="","",G962+H962)</f>
        <v/>
      </c>
      <c r="L962" s="16" t="str">
        <f aca="false">IF(A962="","",IF(F962="İade edildi",0,K962-I962))</f>
        <v/>
      </c>
      <c r="M962" s="17" t="str">
        <f aca="true">IF(A962="","",IF(J962&lt;&gt;"",J962-A962,TODAY()-A962))</f>
        <v/>
      </c>
      <c r="N962" s="18" t="str">
        <f aca="false">IF(A962="","",IF(AND(OR(F962="Bekliyor",F962="Parça bekleniyor",F962="Hazır"),M962&gt;7),"7 günü geçti",""))</f>
        <v/>
      </c>
      <c r="O962" s="18" t="str">
        <f aca="false">IF(AND(A962&lt;&gt;"",OR(F962="Bekliyor",F962="Parça bekleniyor",F962="Hazır")),A962+ROW()/1000000,"")</f>
        <v/>
      </c>
    </row>
    <row r="963" customFormat="false" ht="15" hidden="false" customHeight="false" outlineLevel="0" collapsed="false">
      <c r="A963" s="12"/>
      <c r="B963" s="13"/>
      <c r="C963" s="13"/>
      <c r="D963" s="13"/>
      <c r="E963" s="13"/>
      <c r="F963" s="14"/>
      <c r="G963" s="15"/>
      <c r="H963" s="15"/>
      <c r="I963" s="15"/>
      <c r="J963" s="12"/>
      <c r="K963" s="16" t="str">
        <f aca="false">IF(A963="","",G963+H963)</f>
        <v/>
      </c>
      <c r="L963" s="16" t="str">
        <f aca="false">IF(A963="","",IF(F963="İade edildi",0,K963-I963))</f>
        <v/>
      </c>
      <c r="M963" s="17" t="str">
        <f aca="true">IF(A963="","",IF(J963&lt;&gt;"",J963-A963,TODAY()-A963))</f>
        <v/>
      </c>
      <c r="N963" s="18" t="str">
        <f aca="false">IF(A963="","",IF(AND(OR(F963="Bekliyor",F963="Parça bekleniyor",F963="Hazır"),M963&gt;7),"7 günü geçti",""))</f>
        <v/>
      </c>
      <c r="O963" s="18" t="str">
        <f aca="false">IF(AND(A963&lt;&gt;"",OR(F963="Bekliyor",F963="Parça bekleniyor",F963="Hazır")),A963+ROW()/1000000,"")</f>
        <v/>
      </c>
    </row>
    <row r="964" customFormat="false" ht="15" hidden="false" customHeight="false" outlineLevel="0" collapsed="false">
      <c r="A964" s="12"/>
      <c r="B964" s="13"/>
      <c r="C964" s="13"/>
      <c r="D964" s="13"/>
      <c r="E964" s="13"/>
      <c r="F964" s="14"/>
      <c r="G964" s="15"/>
      <c r="H964" s="15"/>
      <c r="I964" s="15"/>
      <c r="J964" s="12"/>
      <c r="K964" s="16" t="str">
        <f aca="false">IF(A964="","",G964+H964)</f>
        <v/>
      </c>
      <c r="L964" s="16" t="str">
        <f aca="false">IF(A964="","",IF(F964="İade edildi",0,K964-I964))</f>
        <v/>
      </c>
      <c r="M964" s="17" t="str">
        <f aca="true">IF(A964="","",IF(J964&lt;&gt;"",J964-A964,TODAY()-A964))</f>
        <v/>
      </c>
      <c r="N964" s="18" t="str">
        <f aca="false">IF(A964="","",IF(AND(OR(F964="Bekliyor",F964="Parça bekleniyor",F964="Hazır"),M964&gt;7),"7 günü geçti",""))</f>
        <v/>
      </c>
      <c r="O964" s="18" t="str">
        <f aca="false">IF(AND(A964&lt;&gt;"",OR(F964="Bekliyor",F964="Parça bekleniyor",F964="Hazır")),A964+ROW()/1000000,"")</f>
        <v/>
      </c>
    </row>
    <row r="965" customFormat="false" ht="15" hidden="false" customHeight="false" outlineLevel="0" collapsed="false">
      <c r="A965" s="12"/>
      <c r="B965" s="13"/>
      <c r="C965" s="13"/>
      <c r="D965" s="13"/>
      <c r="E965" s="13"/>
      <c r="F965" s="14"/>
      <c r="G965" s="15"/>
      <c r="H965" s="15"/>
      <c r="I965" s="15"/>
      <c r="J965" s="12"/>
      <c r="K965" s="16" t="str">
        <f aca="false">IF(A965="","",G965+H965)</f>
        <v/>
      </c>
      <c r="L965" s="16" t="str">
        <f aca="false">IF(A965="","",IF(F965="İade edildi",0,K965-I965))</f>
        <v/>
      </c>
      <c r="M965" s="17" t="str">
        <f aca="true">IF(A965="","",IF(J965&lt;&gt;"",J965-A965,TODAY()-A965))</f>
        <v/>
      </c>
      <c r="N965" s="18" t="str">
        <f aca="false">IF(A965="","",IF(AND(OR(F965="Bekliyor",F965="Parça bekleniyor",F965="Hazır"),M965&gt;7),"7 günü geçti",""))</f>
        <v/>
      </c>
      <c r="O965" s="18" t="str">
        <f aca="false">IF(AND(A965&lt;&gt;"",OR(F965="Bekliyor",F965="Parça bekleniyor",F965="Hazır")),A965+ROW()/1000000,"")</f>
        <v/>
      </c>
    </row>
    <row r="966" customFormat="false" ht="15" hidden="false" customHeight="false" outlineLevel="0" collapsed="false">
      <c r="A966" s="12"/>
      <c r="B966" s="13"/>
      <c r="C966" s="13"/>
      <c r="D966" s="13"/>
      <c r="E966" s="13"/>
      <c r="F966" s="14"/>
      <c r="G966" s="15"/>
      <c r="H966" s="15"/>
      <c r="I966" s="15"/>
      <c r="J966" s="12"/>
      <c r="K966" s="16" t="str">
        <f aca="false">IF(A966="","",G966+H966)</f>
        <v/>
      </c>
      <c r="L966" s="16" t="str">
        <f aca="false">IF(A966="","",IF(F966="İade edildi",0,K966-I966))</f>
        <v/>
      </c>
      <c r="M966" s="17" t="str">
        <f aca="true">IF(A966="","",IF(J966&lt;&gt;"",J966-A966,TODAY()-A966))</f>
        <v/>
      </c>
      <c r="N966" s="18" t="str">
        <f aca="false">IF(A966="","",IF(AND(OR(F966="Bekliyor",F966="Parça bekleniyor",F966="Hazır"),M966&gt;7),"7 günü geçti",""))</f>
        <v/>
      </c>
      <c r="O966" s="18" t="str">
        <f aca="false">IF(AND(A966&lt;&gt;"",OR(F966="Bekliyor",F966="Parça bekleniyor",F966="Hazır")),A966+ROW()/1000000,"")</f>
        <v/>
      </c>
    </row>
    <row r="967" customFormat="false" ht="15" hidden="false" customHeight="false" outlineLevel="0" collapsed="false">
      <c r="A967" s="12"/>
      <c r="B967" s="13"/>
      <c r="C967" s="13"/>
      <c r="D967" s="13"/>
      <c r="E967" s="13"/>
      <c r="F967" s="14"/>
      <c r="G967" s="15"/>
      <c r="H967" s="15"/>
      <c r="I967" s="15"/>
      <c r="J967" s="12"/>
      <c r="K967" s="16" t="str">
        <f aca="false">IF(A967="","",G967+H967)</f>
        <v/>
      </c>
      <c r="L967" s="16" t="str">
        <f aca="false">IF(A967="","",IF(F967="İade edildi",0,K967-I967))</f>
        <v/>
      </c>
      <c r="M967" s="17" t="str">
        <f aca="true">IF(A967="","",IF(J967&lt;&gt;"",J967-A967,TODAY()-A967))</f>
        <v/>
      </c>
      <c r="N967" s="18" t="str">
        <f aca="false">IF(A967="","",IF(AND(OR(F967="Bekliyor",F967="Parça bekleniyor",F967="Hazır"),M967&gt;7),"7 günü geçti",""))</f>
        <v/>
      </c>
      <c r="O967" s="18" t="str">
        <f aca="false">IF(AND(A967&lt;&gt;"",OR(F967="Bekliyor",F967="Parça bekleniyor",F967="Hazır")),A967+ROW()/1000000,"")</f>
        <v/>
      </c>
    </row>
    <row r="968" customFormat="false" ht="15" hidden="false" customHeight="false" outlineLevel="0" collapsed="false">
      <c r="A968" s="12"/>
      <c r="B968" s="13"/>
      <c r="C968" s="13"/>
      <c r="D968" s="13"/>
      <c r="E968" s="13"/>
      <c r="F968" s="14"/>
      <c r="G968" s="15"/>
      <c r="H968" s="15"/>
      <c r="I968" s="15"/>
      <c r="J968" s="12"/>
      <c r="K968" s="16" t="str">
        <f aca="false">IF(A968="","",G968+H968)</f>
        <v/>
      </c>
      <c r="L968" s="16" t="str">
        <f aca="false">IF(A968="","",IF(F968="İade edildi",0,K968-I968))</f>
        <v/>
      </c>
      <c r="M968" s="17" t="str">
        <f aca="true">IF(A968="","",IF(J968&lt;&gt;"",J968-A968,TODAY()-A968))</f>
        <v/>
      </c>
      <c r="N968" s="18" t="str">
        <f aca="false">IF(A968="","",IF(AND(OR(F968="Bekliyor",F968="Parça bekleniyor",F968="Hazır"),M968&gt;7),"7 günü geçti",""))</f>
        <v/>
      </c>
      <c r="O968" s="18" t="str">
        <f aca="false">IF(AND(A968&lt;&gt;"",OR(F968="Bekliyor",F968="Parça bekleniyor",F968="Hazır")),A968+ROW()/1000000,"")</f>
        <v/>
      </c>
    </row>
    <row r="969" customFormat="false" ht="15" hidden="false" customHeight="false" outlineLevel="0" collapsed="false">
      <c r="A969" s="12"/>
      <c r="B969" s="13"/>
      <c r="C969" s="13"/>
      <c r="D969" s="13"/>
      <c r="E969" s="13"/>
      <c r="F969" s="14"/>
      <c r="G969" s="15"/>
      <c r="H969" s="15"/>
      <c r="I969" s="15"/>
      <c r="J969" s="12"/>
      <c r="K969" s="16" t="str">
        <f aca="false">IF(A969="","",G969+H969)</f>
        <v/>
      </c>
      <c r="L969" s="16" t="str">
        <f aca="false">IF(A969="","",IF(F969="İade edildi",0,K969-I969))</f>
        <v/>
      </c>
      <c r="M969" s="17" t="str">
        <f aca="true">IF(A969="","",IF(J969&lt;&gt;"",J969-A969,TODAY()-A969))</f>
        <v/>
      </c>
      <c r="N969" s="18" t="str">
        <f aca="false">IF(A969="","",IF(AND(OR(F969="Bekliyor",F969="Parça bekleniyor",F969="Hazır"),M969&gt;7),"7 günü geçti",""))</f>
        <v/>
      </c>
      <c r="O969" s="18" t="str">
        <f aca="false">IF(AND(A969&lt;&gt;"",OR(F969="Bekliyor",F969="Parça bekleniyor",F969="Hazır")),A969+ROW()/1000000,"")</f>
        <v/>
      </c>
    </row>
    <row r="970" customFormat="false" ht="15" hidden="false" customHeight="false" outlineLevel="0" collapsed="false">
      <c r="A970" s="12"/>
      <c r="B970" s="13"/>
      <c r="C970" s="13"/>
      <c r="D970" s="13"/>
      <c r="E970" s="13"/>
      <c r="F970" s="14"/>
      <c r="G970" s="15"/>
      <c r="H970" s="15"/>
      <c r="I970" s="15"/>
      <c r="J970" s="12"/>
      <c r="K970" s="16" t="str">
        <f aca="false">IF(A970="","",G970+H970)</f>
        <v/>
      </c>
      <c r="L970" s="16" t="str">
        <f aca="false">IF(A970="","",IF(F970="İade edildi",0,K970-I970))</f>
        <v/>
      </c>
      <c r="M970" s="17" t="str">
        <f aca="true">IF(A970="","",IF(J970&lt;&gt;"",J970-A970,TODAY()-A970))</f>
        <v/>
      </c>
      <c r="N970" s="18" t="str">
        <f aca="false">IF(A970="","",IF(AND(OR(F970="Bekliyor",F970="Parça bekleniyor",F970="Hazır"),M970&gt;7),"7 günü geçti",""))</f>
        <v/>
      </c>
      <c r="O970" s="18" t="str">
        <f aca="false">IF(AND(A970&lt;&gt;"",OR(F970="Bekliyor",F970="Parça bekleniyor",F970="Hazır")),A970+ROW()/1000000,"")</f>
        <v/>
      </c>
    </row>
    <row r="971" customFormat="false" ht="15" hidden="false" customHeight="false" outlineLevel="0" collapsed="false">
      <c r="A971" s="12"/>
      <c r="B971" s="13"/>
      <c r="C971" s="13"/>
      <c r="D971" s="13"/>
      <c r="E971" s="13"/>
      <c r="F971" s="14"/>
      <c r="G971" s="15"/>
      <c r="H971" s="15"/>
      <c r="I971" s="15"/>
      <c r="J971" s="12"/>
      <c r="K971" s="16" t="str">
        <f aca="false">IF(A971="","",G971+H971)</f>
        <v/>
      </c>
      <c r="L971" s="16" t="str">
        <f aca="false">IF(A971="","",IF(F971="İade edildi",0,K971-I971))</f>
        <v/>
      </c>
      <c r="M971" s="17" t="str">
        <f aca="true">IF(A971="","",IF(J971&lt;&gt;"",J971-A971,TODAY()-A971))</f>
        <v/>
      </c>
      <c r="N971" s="18" t="str">
        <f aca="false">IF(A971="","",IF(AND(OR(F971="Bekliyor",F971="Parça bekleniyor",F971="Hazır"),M971&gt;7),"7 günü geçti",""))</f>
        <v/>
      </c>
      <c r="O971" s="18" t="str">
        <f aca="false">IF(AND(A971&lt;&gt;"",OR(F971="Bekliyor",F971="Parça bekleniyor",F971="Hazır")),A971+ROW()/1000000,"")</f>
        <v/>
      </c>
    </row>
    <row r="972" customFormat="false" ht="15" hidden="false" customHeight="false" outlineLevel="0" collapsed="false">
      <c r="A972" s="12"/>
      <c r="B972" s="13"/>
      <c r="C972" s="13"/>
      <c r="D972" s="13"/>
      <c r="E972" s="13"/>
      <c r="F972" s="14"/>
      <c r="G972" s="15"/>
      <c r="H972" s="15"/>
      <c r="I972" s="15"/>
      <c r="J972" s="12"/>
      <c r="K972" s="16" t="str">
        <f aca="false">IF(A972="","",G972+H972)</f>
        <v/>
      </c>
      <c r="L972" s="16" t="str">
        <f aca="false">IF(A972="","",IF(F972="İade edildi",0,K972-I972))</f>
        <v/>
      </c>
      <c r="M972" s="17" t="str">
        <f aca="true">IF(A972="","",IF(J972&lt;&gt;"",J972-A972,TODAY()-A972))</f>
        <v/>
      </c>
      <c r="N972" s="18" t="str">
        <f aca="false">IF(A972="","",IF(AND(OR(F972="Bekliyor",F972="Parça bekleniyor",F972="Hazır"),M972&gt;7),"7 günü geçti",""))</f>
        <v/>
      </c>
      <c r="O972" s="18" t="str">
        <f aca="false">IF(AND(A972&lt;&gt;"",OR(F972="Bekliyor",F972="Parça bekleniyor",F972="Hazır")),A972+ROW()/1000000,"")</f>
        <v/>
      </c>
    </row>
    <row r="973" customFormat="false" ht="15" hidden="false" customHeight="false" outlineLevel="0" collapsed="false">
      <c r="A973" s="12"/>
      <c r="B973" s="13"/>
      <c r="C973" s="13"/>
      <c r="D973" s="13"/>
      <c r="E973" s="13"/>
      <c r="F973" s="14"/>
      <c r="G973" s="15"/>
      <c r="H973" s="15"/>
      <c r="I973" s="15"/>
      <c r="J973" s="12"/>
      <c r="K973" s="16" t="str">
        <f aca="false">IF(A973="","",G973+H973)</f>
        <v/>
      </c>
      <c r="L973" s="16" t="str">
        <f aca="false">IF(A973="","",IF(F973="İade edildi",0,K973-I973))</f>
        <v/>
      </c>
      <c r="M973" s="17" t="str">
        <f aca="true">IF(A973="","",IF(J973&lt;&gt;"",J973-A973,TODAY()-A973))</f>
        <v/>
      </c>
      <c r="N973" s="18" t="str">
        <f aca="false">IF(A973="","",IF(AND(OR(F973="Bekliyor",F973="Parça bekleniyor",F973="Hazır"),M973&gt;7),"7 günü geçti",""))</f>
        <v/>
      </c>
      <c r="O973" s="18" t="str">
        <f aca="false">IF(AND(A973&lt;&gt;"",OR(F973="Bekliyor",F973="Parça bekleniyor",F973="Hazır")),A973+ROW()/1000000,"")</f>
        <v/>
      </c>
    </row>
    <row r="974" customFormat="false" ht="15" hidden="false" customHeight="false" outlineLevel="0" collapsed="false">
      <c r="A974" s="12"/>
      <c r="B974" s="13"/>
      <c r="C974" s="13"/>
      <c r="D974" s="13"/>
      <c r="E974" s="13"/>
      <c r="F974" s="14"/>
      <c r="G974" s="15"/>
      <c r="H974" s="15"/>
      <c r="I974" s="15"/>
      <c r="J974" s="12"/>
      <c r="K974" s="16" t="str">
        <f aca="false">IF(A974="","",G974+H974)</f>
        <v/>
      </c>
      <c r="L974" s="16" t="str">
        <f aca="false">IF(A974="","",IF(F974="İade edildi",0,K974-I974))</f>
        <v/>
      </c>
      <c r="M974" s="17" t="str">
        <f aca="true">IF(A974="","",IF(J974&lt;&gt;"",J974-A974,TODAY()-A974))</f>
        <v/>
      </c>
      <c r="N974" s="18" t="str">
        <f aca="false">IF(A974="","",IF(AND(OR(F974="Bekliyor",F974="Parça bekleniyor",F974="Hazır"),M974&gt;7),"7 günü geçti",""))</f>
        <v/>
      </c>
      <c r="O974" s="18" t="str">
        <f aca="false">IF(AND(A974&lt;&gt;"",OR(F974="Bekliyor",F974="Parça bekleniyor",F974="Hazır")),A974+ROW()/1000000,"")</f>
        <v/>
      </c>
    </row>
    <row r="975" customFormat="false" ht="15" hidden="false" customHeight="false" outlineLevel="0" collapsed="false">
      <c r="A975" s="12"/>
      <c r="B975" s="13"/>
      <c r="C975" s="13"/>
      <c r="D975" s="13"/>
      <c r="E975" s="13"/>
      <c r="F975" s="14"/>
      <c r="G975" s="15"/>
      <c r="H975" s="15"/>
      <c r="I975" s="15"/>
      <c r="J975" s="12"/>
      <c r="K975" s="16" t="str">
        <f aca="false">IF(A975="","",G975+H975)</f>
        <v/>
      </c>
      <c r="L975" s="16" t="str">
        <f aca="false">IF(A975="","",IF(F975="İade edildi",0,K975-I975))</f>
        <v/>
      </c>
      <c r="M975" s="17" t="str">
        <f aca="true">IF(A975="","",IF(J975&lt;&gt;"",J975-A975,TODAY()-A975))</f>
        <v/>
      </c>
      <c r="N975" s="18" t="str">
        <f aca="false">IF(A975="","",IF(AND(OR(F975="Bekliyor",F975="Parça bekleniyor",F975="Hazır"),M975&gt;7),"7 günü geçti",""))</f>
        <v/>
      </c>
      <c r="O975" s="18" t="str">
        <f aca="false">IF(AND(A975&lt;&gt;"",OR(F975="Bekliyor",F975="Parça bekleniyor",F975="Hazır")),A975+ROW()/1000000,"")</f>
        <v/>
      </c>
    </row>
    <row r="976" customFormat="false" ht="15" hidden="false" customHeight="false" outlineLevel="0" collapsed="false">
      <c r="A976" s="12"/>
      <c r="B976" s="13"/>
      <c r="C976" s="13"/>
      <c r="D976" s="13"/>
      <c r="E976" s="13"/>
      <c r="F976" s="14"/>
      <c r="G976" s="15"/>
      <c r="H976" s="15"/>
      <c r="I976" s="15"/>
      <c r="J976" s="12"/>
      <c r="K976" s="16" t="str">
        <f aca="false">IF(A976="","",G976+H976)</f>
        <v/>
      </c>
      <c r="L976" s="16" t="str">
        <f aca="false">IF(A976="","",IF(F976="İade edildi",0,K976-I976))</f>
        <v/>
      </c>
      <c r="M976" s="17" t="str">
        <f aca="true">IF(A976="","",IF(J976&lt;&gt;"",J976-A976,TODAY()-A976))</f>
        <v/>
      </c>
      <c r="N976" s="18" t="str">
        <f aca="false">IF(A976="","",IF(AND(OR(F976="Bekliyor",F976="Parça bekleniyor",F976="Hazır"),M976&gt;7),"7 günü geçti",""))</f>
        <v/>
      </c>
      <c r="O976" s="18" t="str">
        <f aca="false">IF(AND(A976&lt;&gt;"",OR(F976="Bekliyor",F976="Parça bekleniyor",F976="Hazır")),A976+ROW()/1000000,"")</f>
        <v/>
      </c>
    </row>
    <row r="977" customFormat="false" ht="15" hidden="false" customHeight="false" outlineLevel="0" collapsed="false">
      <c r="A977" s="12"/>
      <c r="B977" s="13"/>
      <c r="C977" s="13"/>
      <c r="D977" s="13"/>
      <c r="E977" s="13"/>
      <c r="F977" s="14"/>
      <c r="G977" s="15"/>
      <c r="H977" s="15"/>
      <c r="I977" s="15"/>
      <c r="J977" s="12"/>
      <c r="K977" s="16" t="str">
        <f aca="false">IF(A977="","",G977+H977)</f>
        <v/>
      </c>
      <c r="L977" s="16" t="str">
        <f aca="false">IF(A977="","",IF(F977="İade edildi",0,K977-I977))</f>
        <v/>
      </c>
      <c r="M977" s="17" t="str">
        <f aca="true">IF(A977="","",IF(J977&lt;&gt;"",J977-A977,TODAY()-A977))</f>
        <v/>
      </c>
      <c r="N977" s="18" t="str">
        <f aca="false">IF(A977="","",IF(AND(OR(F977="Bekliyor",F977="Parça bekleniyor",F977="Hazır"),M977&gt;7),"7 günü geçti",""))</f>
        <v/>
      </c>
      <c r="O977" s="18" t="str">
        <f aca="false">IF(AND(A977&lt;&gt;"",OR(F977="Bekliyor",F977="Parça bekleniyor",F977="Hazır")),A977+ROW()/1000000,"")</f>
        <v/>
      </c>
    </row>
    <row r="978" customFormat="false" ht="15" hidden="false" customHeight="false" outlineLevel="0" collapsed="false">
      <c r="A978" s="12"/>
      <c r="B978" s="13"/>
      <c r="C978" s="13"/>
      <c r="D978" s="13"/>
      <c r="E978" s="13"/>
      <c r="F978" s="14"/>
      <c r="G978" s="15"/>
      <c r="H978" s="15"/>
      <c r="I978" s="15"/>
      <c r="J978" s="12"/>
      <c r="K978" s="16" t="str">
        <f aca="false">IF(A978="","",G978+H978)</f>
        <v/>
      </c>
      <c r="L978" s="16" t="str">
        <f aca="false">IF(A978="","",IF(F978="İade edildi",0,K978-I978))</f>
        <v/>
      </c>
      <c r="M978" s="17" t="str">
        <f aca="true">IF(A978="","",IF(J978&lt;&gt;"",J978-A978,TODAY()-A978))</f>
        <v/>
      </c>
      <c r="N978" s="18" t="str">
        <f aca="false">IF(A978="","",IF(AND(OR(F978="Bekliyor",F978="Parça bekleniyor",F978="Hazır"),M978&gt;7),"7 günü geçti",""))</f>
        <v/>
      </c>
      <c r="O978" s="18" t="str">
        <f aca="false">IF(AND(A978&lt;&gt;"",OR(F978="Bekliyor",F978="Parça bekleniyor",F978="Hazır")),A978+ROW()/1000000,"")</f>
        <v/>
      </c>
    </row>
    <row r="979" customFormat="false" ht="15" hidden="false" customHeight="false" outlineLevel="0" collapsed="false">
      <c r="A979" s="12"/>
      <c r="B979" s="13"/>
      <c r="C979" s="13"/>
      <c r="D979" s="13"/>
      <c r="E979" s="13"/>
      <c r="F979" s="14"/>
      <c r="G979" s="15"/>
      <c r="H979" s="15"/>
      <c r="I979" s="15"/>
      <c r="J979" s="12"/>
      <c r="K979" s="16" t="str">
        <f aca="false">IF(A979="","",G979+H979)</f>
        <v/>
      </c>
      <c r="L979" s="16" t="str">
        <f aca="false">IF(A979="","",IF(F979="İade edildi",0,K979-I979))</f>
        <v/>
      </c>
      <c r="M979" s="17" t="str">
        <f aca="true">IF(A979="","",IF(J979&lt;&gt;"",J979-A979,TODAY()-A979))</f>
        <v/>
      </c>
      <c r="N979" s="18" t="str">
        <f aca="false">IF(A979="","",IF(AND(OR(F979="Bekliyor",F979="Parça bekleniyor",F979="Hazır"),M979&gt;7),"7 günü geçti",""))</f>
        <v/>
      </c>
      <c r="O979" s="18" t="str">
        <f aca="false">IF(AND(A979&lt;&gt;"",OR(F979="Bekliyor",F979="Parça bekleniyor",F979="Hazır")),A979+ROW()/1000000,"")</f>
        <v/>
      </c>
    </row>
    <row r="980" customFormat="false" ht="15" hidden="false" customHeight="false" outlineLevel="0" collapsed="false">
      <c r="A980" s="12"/>
      <c r="B980" s="13"/>
      <c r="C980" s="13"/>
      <c r="D980" s="13"/>
      <c r="E980" s="13"/>
      <c r="F980" s="14"/>
      <c r="G980" s="15"/>
      <c r="H980" s="15"/>
      <c r="I980" s="15"/>
      <c r="J980" s="12"/>
      <c r="K980" s="16" t="str">
        <f aca="false">IF(A980="","",G980+H980)</f>
        <v/>
      </c>
      <c r="L980" s="16" t="str">
        <f aca="false">IF(A980="","",IF(F980="İade edildi",0,K980-I980))</f>
        <v/>
      </c>
      <c r="M980" s="17" t="str">
        <f aca="true">IF(A980="","",IF(J980&lt;&gt;"",J980-A980,TODAY()-A980))</f>
        <v/>
      </c>
      <c r="N980" s="18" t="str">
        <f aca="false">IF(A980="","",IF(AND(OR(F980="Bekliyor",F980="Parça bekleniyor",F980="Hazır"),M980&gt;7),"7 günü geçti",""))</f>
        <v/>
      </c>
      <c r="O980" s="18" t="str">
        <f aca="false">IF(AND(A980&lt;&gt;"",OR(F980="Bekliyor",F980="Parça bekleniyor",F980="Hazır")),A980+ROW()/1000000,"")</f>
        <v/>
      </c>
    </row>
    <row r="981" customFormat="false" ht="15" hidden="false" customHeight="false" outlineLevel="0" collapsed="false">
      <c r="A981" s="12"/>
      <c r="B981" s="13"/>
      <c r="C981" s="13"/>
      <c r="D981" s="13"/>
      <c r="E981" s="13"/>
      <c r="F981" s="14"/>
      <c r="G981" s="15"/>
      <c r="H981" s="15"/>
      <c r="I981" s="15"/>
      <c r="J981" s="12"/>
      <c r="K981" s="16" t="str">
        <f aca="false">IF(A981="","",G981+H981)</f>
        <v/>
      </c>
      <c r="L981" s="16" t="str">
        <f aca="false">IF(A981="","",IF(F981="İade edildi",0,K981-I981))</f>
        <v/>
      </c>
      <c r="M981" s="17" t="str">
        <f aca="true">IF(A981="","",IF(J981&lt;&gt;"",J981-A981,TODAY()-A981))</f>
        <v/>
      </c>
      <c r="N981" s="18" t="str">
        <f aca="false">IF(A981="","",IF(AND(OR(F981="Bekliyor",F981="Parça bekleniyor",F981="Hazır"),M981&gt;7),"7 günü geçti",""))</f>
        <v/>
      </c>
      <c r="O981" s="18" t="str">
        <f aca="false">IF(AND(A981&lt;&gt;"",OR(F981="Bekliyor",F981="Parça bekleniyor",F981="Hazır")),A981+ROW()/1000000,"")</f>
        <v/>
      </c>
    </row>
    <row r="982" customFormat="false" ht="15" hidden="false" customHeight="false" outlineLevel="0" collapsed="false">
      <c r="A982" s="12"/>
      <c r="B982" s="13"/>
      <c r="C982" s="13"/>
      <c r="D982" s="13"/>
      <c r="E982" s="13"/>
      <c r="F982" s="14"/>
      <c r="G982" s="15"/>
      <c r="H982" s="15"/>
      <c r="I982" s="15"/>
      <c r="J982" s="12"/>
      <c r="K982" s="16" t="str">
        <f aca="false">IF(A982="","",G982+H982)</f>
        <v/>
      </c>
      <c r="L982" s="16" t="str">
        <f aca="false">IF(A982="","",IF(F982="İade edildi",0,K982-I982))</f>
        <v/>
      </c>
      <c r="M982" s="17" t="str">
        <f aca="true">IF(A982="","",IF(J982&lt;&gt;"",J982-A982,TODAY()-A982))</f>
        <v/>
      </c>
      <c r="N982" s="18" t="str">
        <f aca="false">IF(A982="","",IF(AND(OR(F982="Bekliyor",F982="Parça bekleniyor",F982="Hazır"),M982&gt;7),"7 günü geçti",""))</f>
        <v/>
      </c>
      <c r="O982" s="18" t="str">
        <f aca="false">IF(AND(A982&lt;&gt;"",OR(F982="Bekliyor",F982="Parça bekleniyor",F982="Hazır")),A982+ROW()/1000000,"")</f>
        <v/>
      </c>
    </row>
    <row r="983" customFormat="false" ht="15" hidden="false" customHeight="false" outlineLevel="0" collapsed="false">
      <c r="A983" s="12"/>
      <c r="B983" s="13"/>
      <c r="C983" s="13"/>
      <c r="D983" s="13"/>
      <c r="E983" s="13"/>
      <c r="F983" s="14"/>
      <c r="G983" s="15"/>
      <c r="H983" s="15"/>
      <c r="I983" s="15"/>
      <c r="J983" s="12"/>
      <c r="K983" s="16" t="str">
        <f aca="false">IF(A983="","",G983+H983)</f>
        <v/>
      </c>
      <c r="L983" s="16" t="str">
        <f aca="false">IF(A983="","",IF(F983="İade edildi",0,K983-I983))</f>
        <v/>
      </c>
      <c r="M983" s="17" t="str">
        <f aca="true">IF(A983="","",IF(J983&lt;&gt;"",J983-A983,TODAY()-A983))</f>
        <v/>
      </c>
      <c r="N983" s="18" t="str">
        <f aca="false">IF(A983="","",IF(AND(OR(F983="Bekliyor",F983="Parça bekleniyor",F983="Hazır"),M983&gt;7),"7 günü geçti",""))</f>
        <v/>
      </c>
      <c r="O983" s="18" t="str">
        <f aca="false">IF(AND(A983&lt;&gt;"",OR(F983="Bekliyor",F983="Parça bekleniyor",F983="Hazır")),A983+ROW()/1000000,"")</f>
        <v/>
      </c>
    </row>
    <row r="984" customFormat="false" ht="15" hidden="false" customHeight="false" outlineLevel="0" collapsed="false">
      <c r="A984" s="12"/>
      <c r="B984" s="13"/>
      <c r="C984" s="13"/>
      <c r="D984" s="13"/>
      <c r="E984" s="13"/>
      <c r="F984" s="14"/>
      <c r="G984" s="15"/>
      <c r="H984" s="15"/>
      <c r="I984" s="15"/>
      <c r="J984" s="12"/>
      <c r="K984" s="16" t="str">
        <f aca="false">IF(A984="","",G984+H984)</f>
        <v/>
      </c>
      <c r="L984" s="16" t="str">
        <f aca="false">IF(A984="","",IF(F984="İade edildi",0,K984-I984))</f>
        <v/>
      </c>
      <c r="M984" s="17" t="str">
        <f aca="true">IF(A984="","",IF(J984&lt;&gt;"",J984-A984,TODAY()-A984))</f>
        <v/>
      </c>
      <c r="N984" s="18" t="str">
        <f aca="false">IF(A984="","",IF(AND(OR(F984="Bekliyor",F984="Parça bekleniyor",F984="Hazır"),M984&gt;7),"7 günü geçti",""))</f>
        <v/>
      </c>
      <c r="O984" s="18" t="str">
        <f aca="false">IF(AND(A984&lt;&gt;"",OR(F984="Bekliyor",F984="Parça bekleniyor",F984="Hazır")),A984+ROW()/1000000,"")</f>
        <v/>
      </c>
    </row>
    <row r="985" customFormat="false" ht="15" hidden="false" customHeight="false" outlineLevel="0" collapsed="false">
      <c r="A985" s="12"/>
      <c r="B985" s="13"/>
      <c r="C985" s="13"/>
      <c r="D985" s="13"/>
      <c r="E985" s="13"/>
      <c r="F985" s="14"/>
      <c r="G985" s="15"/>
      <c r="H985" s="15"/>
      <c r="I985" s="15"/>
      <c r="J985" s="12"/>
      <c r="K985" s="16" t="str">
        <f aca="false">IF(A985="","",G985+H985)</f>
        <v/>
      </c>
      <c r="L985" s="16" t="str">
        <f aca="false">IF(A985="","",IF(F985="İade edildi",0,K985-I985))</f>
        <v/>
      </c>
      <c r="M985" s="17" t="str">
        <f aca="true">IF(A985="","",IF(J985&lt;&gt;"",J985-A985,TODAY()-A985))</f>
        <v/>
      </c>
      <c r="N985" s="18" t="str">
        <f aca="false">IF(A985="","",IF(AND(OR(F985="Bekliyor",F985="Parça bekleniyor",F985="Hazır"),M985&gt;7),"7 günü geçti",""))</f>
        <v/>
      </c>
      <c r="O985" s="18" t="str">
        <f aca="false">IF(AND(A985&lt;&gt;"",OR(F985="Bekliyor",F985="Parça bekleniyor",F985="Hazır")),A985+ROW()/1000000,"")</f>
        <v/>
      </c>
    </row>
    <row r="986" customFormat="false" ht="15" hidden="false" customHeight="false" outlineLevel="0" collapsed="false">
      <c r="A986" s="12"/>
      <c r="B986" s="13"/>
      <c r="C986" s="13"/>
      <c r="D986" s="13"/>
      <c r="E986" s="13"/>
      <c r="F986" s="14"/>
      <c r="G986" s="15"/>
      <c r="H986" s="15"/>
      <c r="I986" s="15"/>
      <c r="J986" s="12"/>
      <c r="K986" s="16" t="str">
        <f aca="false">IF(A986="","",G986+H986)</f>
        <v/>
      </c>
      <c r="L986" s="16" t="str">
        <f aca="false">IF(A986="","",IF(F986="İade edildi",0,K986-I986))</f>
        <v/>
      </c>
      <c r="M986" s="17" t="str">
        <f aca="true">IF(A986="","",IF(J986&lt;&gt;"",J986-A986,TODAY()-A986))</f>
        <v/>
      </c>
      <c r="N986" s="18" t="str">
        <f aca="false">IF(A986="","",IF(AND(OR(F986="Bekliyor",F986="Parça bekleniyor",F986="Hazır"),M986&gt;7),"7 günü geçti",""))</f>
        <v/>
      </c>
      <c r="O986" s="18" t="str">
        <f aca="false">IF(AND(A986&lt;&gt;"",OR(F986="Bekliyor",F986="Parça bekleniyor",F986="Hazır")),A986+ROW()/1000000,"")</f>
        <v/>
      </c>
    </row>
    <row r="987" customFormat="false" ht="15" hidden="false" customHeight="false" outlineLevel="0" collapsed="false">
      <c r="A987" s="12"/>
      <c r="B987" s="13"/>
      <c r="C987" s="13"/>
      <c r="D987" s="13"/>
      <c r="E987" s="13"/>
      <c r="F987" s="14"/>
      <c r="G987" s="15"/>
      <c r="H987" s="15"/>
      <c r="I987" s="15"/>
      <c r="J987" s="12"/>
      <c r="K987" s="16" t="str">
        <f aca="false">IF(A987="","",G987+H987)</f>
        <v/>
      </c>
      <c r="L987" s="16" t="str">
        <f aca="false">IF(A987="","",IF(F987="İade edildi",0,K987-I987))</f>
        <v/>
      </c>
      <c r="M987" s="17" t="str">
        <f aca="true">IF(A987="","",IF(J987&lt;&gt;"",J987-A987,TODAY()-A987))</f>
        <v/>
      </c>
      <c r="N987" s="18" t="str">
        <f aca="false">IF(A987="","",IF(AND(OR(F987="Bekliyor",F987="Parça bekleniyor",F987="Hazır"),M987&gt;7),"7 günü geçti",""))</f>
        <v/>
      </c>
      <c r="O987" s="18" t="str">
        <f aca="false">IF(AND(A987&lt;&gt;"",OR(F987="Bekliyor",F987="Parça bekleniyor",F987="Hazır")),A987+ROW()/1000000,"")</f>
        <v/>
      </c>
    </row>
    <row r="988" customFormat="false" ht="15" hidden="false" customHeight="false" outlineLevel="0" collapsed="false">
      <c r="A988" s="12"/>
      <c r="B988" s="13"/>
      <c r="C988" s="13"/>
      <c r="D988" s="13"/>
      <c r="E988" s="13"/>
      <c r="F988" s="14"/>
      <c r="G988" s="15"/>
      <c r="H988" s="15"/>
      <c r="I988" s="15"/>
      <c r="J988" s="12"/>
      <c r="K988" s="16" t="str">
        <f aca="false">IF(A988="","",G988+H988)</f>
        <v/>
      </c>
      <c r="L988" s="16" t="str">
        <f aca="false">IF(A988="","",IF(F988="İade edildi",0,K988-I988))</f>
        <v/>
      </c>
      <c r="M988" s="17" t="str">
        <f aca="true">IF(A988="","",IF(J988&lt;&gt;"",J988-A988,TODAY()-A988))</f>
        <v/>
      </c>
      <c r="N988" s="18" t="str">
        <f aca="false">IF(A988="","",IF(AND(OR(F988="Bekliyor",F988="Parça bekleniyor",F988="Hazır"),M988&gt;7),"7 günü geçti",""))</f>
        <v/>
      </c>
      <c r="O988" s="18" t="str">
        <f aca="false">IF(AND(A988&lt;&gt;"",OR(F988="Bekliyor",F988="Parça bekleniyor",F988="Hazır")),A988+ROW()/1000000,"")</f>
        <v/>
      </c>
    </row>
    <row r="989" customFormat="false" ht="15" hidden="false" customHeight="false" outlineLevel="0" collapsed="false">
      <c r="A989" s="12"/>
      <c r="B989" s="13"/>
      <c r="C989" s="13"/>
      <c r="D989" s="13"/>
      <c r="E989" s="13"/>
      <c r="F989" s="14"/>
      <c r="G989" s="15"/>
      <c r="H989" s="15"/>
      <c r="I989" s="15"/>
      <c r="J989" s="12"/>
      <c r="K989" s="16" t="str">
        <f aca="false">IF(A989="","",G989+H989)</f>
        <v/>
      </c>
      <c r="L989" s="16" t="str">
        <f aca="false">IF(A989="","",IF(F989="İade edildi",0,K989-I989))</f>
        <v/>
      </c>
      <c r="M989" s="17" t="str">
        <f aca="true">IF(A989="","",IF(J989&lt;&gt;"",J989-A989,TODAY()-A989))</f>
        <v/>
      </c>
      <c r="N989" s="18" t="str">
        <f aca="false">IF(A989="","",IF(AND(OR(F989="Bekliyor",F989="Parça bekleniyor",F989="Hazır"),M989&gt;7),"7 günü geçti",""))</f>
        <v/>
      </c>
      <c r="O989" s="18" t="str">
        <f aca="false">IF(AND(A989&lt;&gt;"",OR(F989="Bekliyor",F989="Parça bekleniyor",F989="Hazır")),A989+ROW()/1000000,"")</f>
        <v/>
      </c>
    </row>
    <row r="990" customFormat="false" ht="15" hidden="false" customHeight="false" outlineLevel="0" collapsed="false">
      <c r="A990" s="12"/>
      <c r="B990" s="13"/>
      <c r="C990" s="13"/>
      <c r="D990" s="13"/>
      <c r="E990" s="13"/>
      <c r="F990" s="14"/>
      <c r="G990" s="15"/>
      <c r="H990" s="15"/>
      <c r="I990" s="15"/>
      <c r="J990" s="12"/>
      <c r="K990" s="16" t="str">
        <f aca="false">IF(A990="","",G990+H990)</f>
        <v/>
      </c>
      <c r="L990" s="16" t="str">
        <f aca="false">IF(A990="","",IF(F990="İade edildi",0,K990-I990))</f>
        <v/>
      </c>
      <c r="M990" s="17" t="str">
        <f aca="true">IF(A990="","",IF(J990&lt;&gt;"",J990-A990,TODAY()-A990))</f>
        <v/>
      </c>
      <c r="N990" s="18" t="str">
        <f aca="false">IF(A990="","",IF(AND(OR(F990="Bekliyor",F990="Parça bekleniyor",F990="Hazır"),M990&gt;7),"7 günü geçti",""))</f>
        <v/>
      </c>
      <c r="O990" s="18" t="str">
        <f aca="false">IF(AND(A990&lt;&gt;"",OR(F990="Bekliyor",F990="Parça bekleniyor",F990="Hazır")),A990+ROW()/1000000,"")</f>
        <v/>
      </c>
    </row>
    <row r="991" customFormat="false" ht="15" hidden="false" customHeight="false" outlineLevel="0" collapsed="false">
      <c r="A991" s="12"/>
      <c r="B991" s="13"/>
      <c r="C991" s="13"/>
      <c r="D991" s="13"/>
      <c r="E991" s="13"/>
      <c r="F991" s="14"/>
      <c r="G991" s="15"/>
      <c r="H991" s="15"/>
      <c r="I991" s="15"/>
      <c r="J991" s="12"/>
      <c r="K991" s="16" t="str">
        <f aca="false">IF(A991="","",G991+H991)</f>
        <v/>
      </c>
      <c r="L991" s="16" t="str">
        <f aca="false">IF(A991="","",IF(F991="İade edildi",0,K991-I991))</f>
        <v/>
      </c>
      <c r="M991" s="17" t="str">
        <f aca="true">IF(A991="","",IF(J991&lt;&gt;"",J991-A991,TODAY()-A991))</f>
        <v/>
      </c>
      <c r="N991" s="18" t="str">
        <f aca="false">IF(A991="","",IF(AND(OR(F991="Bekliyor",F991="Parça bekleniyor",F991="Hazır"),M991&gt;7),"7 günü geçti",""))</f>
        <v/>
      </c>
      <c r="O991" s="18" t="str">
        <f aca="false">IF(AND(A991&lt;&gt;"",OR(F991="Bekliyor",F991="Parça bekleniyor",F991="Hazır")),A991+ROW()/1000000,"")</f>
        <v/>
      </c>
    </row>
    <row r="992" customFormat="false" ht="15" hidden="false" customHeight="false" outlineLevel="0" collapsed="false">
      <c r="A992" s="12"/>
      <c r="B992" s="13"/>
      <c r="C992" s="13"/>
      <c r="D992" s="13"/>
      <c r="E992" s="13"/>
      <c r="F992" s="14"/>
      <c r="G992" s="15"/>
      <c r="H992" s="15"/>
      <c r="I992" s="15"/>
      <c r="J992" s="12"/>
      <c r="K992" s="16" t="str">
        <f aca="false">IF(A992="","",G992+H992)</f>
        <v/>
      </c>
      <c r="L992" s="16" t="str">
        <f aca="false">IF(A992="","",IF(F992="İade edildi",0,K992-I992))</f>
        <v/>
      </c>
      <c r="M992" s="17" t="str">
        <f aca="true">IF(A992="","",IF(J992&lt;&gt;"",J992-A992,TODAY()-A992))</f>
        <v/>
      </c>
      <c r="N992" s="18" t="str">
        <f aca="false">IF(A992="","",IF(AND(OR(F992="Bekliyor",F992="Parça bekleniyor",F992="Hazır"),M992&gt;7),"7 günü geçti",""))</f>
        <v/>
      </c>
      <c r="O992" s="18" t="str">
        <f aca="false">IF(AND(A992&lt;&gt;"",OR(F992="Bekliyor",F992="Parça bekleniyor",F992="Hazır")),A992+ROW()/1000000,"")</f>
        <v/>
      </c>
    </row>
    <row r="993" customFormat="false" ht="15" hidden="false" customHeight="false" outlineLevel="0" collapsed="false">
      <c r="A993" s="12"/>
      <c r="B993" s="13"/>
      <c r="C993" s="13"/>
      <c r="D993" s="13"/>
      <c r="E993" s="13"/>
      <c r="F993" s="14"/>
      <c r="G993" s="15"/>
      <c r="H993" s="15"/>
      <c r="I993" s="15"/>
      <c r="J993" s="12"/>
      <c r="K993" s="16" t="str">
        <f aca="false">IF(A993="","",G993+H993)</f>
        <v/>
      </c>
      <c r="L993" s="16" t="str">
        <f aca="false">IF(A993="","",IF(F993="İade edildi",0,K993-I993))</f>
        <v/>
      </c>
      <c r="M993" s="17" t="str">
        <f aca="true">IF(A993="","",IF(J993&lt;&gt;"",J993-A993,TODAY()-A993))</f>
        <v/>
      </c>
      <c r="N993" s="18" t="str">
        <f aca="false">IF(A993="","",IF(AND(OR(F993="Bekliyor",F993="Parça bekleniyor",F993="Hazır"),M993&gt;7),"7 günü geçti",""))</f>
        <v/>
      </c>
      <c r="O993" s="18" t="str">
        <f aca="false">IF(AND(A993&lt;&gt;"",OR(F993="Bekliyor",F993="Parça bekleniyor",F993="Hazır")),A993+ROW()/1000000,"")</f>
        <v/>
      </c>
    </row>
    <row r="994" customFormat="false" ht="15" hidden="false" customHeight="false" outlineLevel="0" collapsed="false">
      <c r="A994" s="12"/>
      <c r="B994" s="13"/>
      <c r="C994" s="13"/>
      <c r="D994" s="13"/>
      <c r="E994" s="13"/>
      <c r="F994" s="14"/>
      <c r="G994" s="15"/>
      <c r="H994" s="15"/>
      <c r="I994" s="15"/>
      <c r="J994" s="12"/>
      <c r="K994" s="16" t="str">
        <f aca="false">IF(A994="","",G994+H994)</f>
        <v/>
      </c>
      <c r="L994" s="16" t="str">
        <f aca="false">IF(A994="","",IF(F994="İade edildi",0,K994-I994))</f>
        <v/>
      </c>
      <c r="M994" s="17" t="str">
        <f aca="true">IF(A994="","",IF(J994&lt;&gt;"",J994-A994,TODAY()-A994))</f>
        <v/>
      </c>
      <c r="N994" s="18" t="str">
        <f aca="false">IF(A994="","",IF(AND(OR(F994="Bekliyor",F994="Parça bekleniyor",F994="Hazır"),M994&gt;7),"7 günü geçti",""))</f>
        <v/>
      </c>
      <c r="O994" s="18" t="str">
        <f aca="false">IF(AND(A994&lt;&gt;"",OR(F994="Bekliyor",F994="Parça bekleniyor",F994="Hazır")),A994+ROW()/1000000,"")</f>
        <v/>
      </c>
    </row>
    <row r="995" customFormat="false" ht="15" hidden="false" customHeight="false" outlineLevel="0" collapsed="false">
      <c r="A995" s="12"/>
      <c r="B995" s="13"/>
      <c r="C995" s="13"/>
      <c r="D995" s="13"/>
      <c r="E995" s="13"/>
      <c r="F995" s="14"/>
      <c r="G995" s="15"/>
      <c r="H995" s="15"/>
      <c r="I995" s="15"/>
      <c r="J995" s="12"/>
      <c r="K995" s="16" t="str">
        <f aca="false">IF(A995="","",G995+H995)</f>
        <v/>
      </c>
      <c r="L995" s="16" t="str">
        <f aca="false">IF(A995="","",IF(F995="İade edildi",0,K995-I995))</f>
        <v/>
      </c>
      <c r="M995" s="17" t="str">
        <f aca="true">IF(A995="","",IF(J995&lt;&gt;"",J995-A995,TODAY()-A995))</f>
        <v/>
      </c>
      <c r="N995" s="18" t="str">
        <f aca="false">IF(A995="","",IF(AND(OR(F995="Bekliyor",F995="Parça bekleniyor",F995="Hazır"),M995&gt;7),"7 günü geçti",""))</f>
        <v/>
      </c>
      <c r="O995" s="18" t="str">
        <f aca="false">IF(AND(A995&lt;&gt;"",OR(F995="Bekliyor",F995="Parça bekleniyor",F995="Hazır")),A995+ROW()/1000000,"")</f>
        <v/>
      </c>
    </row>
    <row r="996" customFormat="false" ht="15" hidden="false" customHeight="false" outlineLevel="0" collapsed="false">
      <c r="A996" s="12"/>
      <c r="B996" s="13"/>
      <c r="C996" s="13"/>
      <c r="D996" s="13"/>
      <c r="E996" s="13"/>
      <c r="F996" s="14"/>
      <c r="G996" s="15"/>
      <c r="H996" s="15"/>
      <c r="I996" s="15"/>
      <c r="J996" s="12"/>
      <c r="K996" s="16" t="str">
        <f aca="false">IF(A996="","",G996+H996)</f>
        <v/>
      </c>
      <c r="L996" s="16" t="str">
        <f aca="false">IF(A996="","",IF(F996="İade edildi",0,K996-I996))</f>
        <v/>
      </c>
      <c r="M996" s="17" t="str">
        <f aca="true">IF(A996="","",IF(J996&lt;&gt;"",J996-A996,TODAY()-A996))</f>
        <v/>
      </c>
      <c r="N996" s="18" t="str">
        <f aca="false">IF(A996="","",IF(AND(OR(F996="Bekliyor",F996="Parça bekleniyor",F996="Hazır"),M996&gt;7),"7 günü geçti",""))</f>
        <v/>
      </c>
      <c r="O996" s="18" t="str">
        <f aca="false">IF(AND(A996&lt;&gt;"",OR(F996="Bekliyor",F996="Parça bekleniyor",F996="Hazır")),A996+ROW()/1000000,"")</f>
        <v/>
      </c>
    </row>
    <row r="997" customFormat="false" ht="15" hidden="false" customHeight="false" outlineLevel="0" collapsed="false">
      <c r="A997" s="12"/>
      <c r="B997" s="13"/>
      <c r="C997" s="13"/>
      <c r="D997" s="13"/>
      <c r="E997" s="13"/>
      <c r="F997" s="14"/>
      <c r="G997" s="15"/>
      <c r="H997" s="15"/>
      <c r="I997" s="15"/>
      <c r="J997" s="12"/>
      <c r="K997" s="16" t="str">
        <f aca="false">IF(A997="","",G997+H997)</f>
        <v/>
      </c>
      <c r="L997" s="16" t="str">
        <f aca="false">IF(A997="","",IF(F997="İade edildi",0,K997-I997))</f>
        <v/>
      </c>
      <c r="M997" s="17" t="str">
        <f aca="true">IF(A997="","",IF(J997&lt;&gt;"",J997-A997,TODAY()-A997))</f>
        <v/>
      </c>
      <c r="N997" s="18" t="str">
        <f aca="false">IF(A997="","",IF(AND(OR(F997="Bekliyor",F997="Parça bekleniyor",F997="Hazır"),M997&gt;7),"7 günü geçti",""))</f>
        <v/>
      </c>
      <c r="O997" s="18" t="str">
        <f aca="false">IF(AND(A997&lt;&gt;"",OR(F997="Bekliyor",F997="Parça bekleniyor",F997="Hazır")),A997+ROW()/1000000,"")</f>
        <v/>
      </c>
    </row>
    <row r="998" customFormat="false" ht="15" hidden="false" customHeight="false" outlineLevel="0" collapsed="false">
      <c r="A998" s="12"/>
      <c r="B998" s="13"/>
      <c r="C998" s="13"/>
      <c r="D998" s="13"/>
      <c r="E998" s="13"/>
      <c r="F998" s="14"/>
      <c r="G998" s="15"/>
      <c r="H998" s="15"/>
      <c r="I998" s="15"/>
      <c r="J998" s="12"/>
      <c r="K998" s="16" t="str">
        <f aca="false">IF(A998="","",G998+H998)</f>
        <v/>
      </c>
      <c r="L998" s="16" t="str">
        <f aca="false">IF(A998="","",IF(F998="İade edildi",0,K998-I998))</f>
        <v/>
      </c>
      <c r="M998" s="17" t="str">
        <f aca="true">IF(A998="","",IF(J998&lt;&gt;"",J998-A998,TODAY()-A998))</f>
        <v/>
      </c>
      <c r="N998" s="18" t="str">
        <f aca="false">IF(A998="","",IF(AND(OR(F998="Bekliyor",F998="Parça bekleniyor",F998="Hazır"),M998&gt;7),"7 günü geçti",""))</f>
        <v/>
      </c>
      <c r="O998" s="18" t="str">
        <f aca="false">IF(AND(A998&lt;&gt;"",OR(F998="Bekliyor",F998="Parça bekleniyor",F998="Hazır")),A998+ROW()/1000000,"")</f>
        <v/>
      </c>
    </row>
    <row r="999" customFormat="false" ht="15" hidden="false" customHeight="false" outlineLevel="0" collapsed="false">
      <c r="A999" s="12"/>
      <c r="B999" s="13"/>
      <c r="C999" s="13"/>
      <c r="D999" s="13"/>
      <c r="E999" s="13"/>
      <c r="F999" s="14"/>
      <c r="G999" s="15"/>
      <c r="H999" s="15"/>
      <c r="I999" s="15"/>
      <c r="J999" s="12"/>
      <c r="K999" s="16" t="str">
        <f aca="false">IF(A999="","",G999+H999)</f>
        <v/>
      </c>
      <c r="L999" s="16" t="str">
        <f aca="false">IF(A999="","",IF(F999="İade edildi",0,K999-I999))</f>
        <v/>
      </c>
      <c r="M999" s="17" t="str">
        <f aca="true">IF(A999="","",IF(J999&lt;&gt;"",J999-A999,TODAY()-A999))</f>
        <v/>
      </c>
      <c r="N999" s="18" t="str">
        <f aca="false">IF(A999="","",IF(AND(OR(F999="Bekliyor",F999="Parça bekleniyor",F999="Hazır"),M999&gt;7),"7 günü geçti",""))</f>
        <v/>
      </c>
      <c r="O999" s="18" t="str">
        <f aca="false">IF(AND(A999&lt;&gt;"",OR(F999="Bekliyor",F999="Parça bekleniyor",F999="Hazır")),A999+ROW()/1000000,"")</f>
        <v/>
      </c>
    </row>
    <row r="1000" customFormat="false" ht="15" hidden="false" customHeight="false" outlineLevel="0" collapsed="false">
      <c r="A1000" s="12"/>
      <c r="B1000" s="13"/>
      <c r="C1000" s="13"/>
      <c r="D1000" s="13"/>
      <c r="E1000" s="13"/>
      <c r="F1000" s="14"/>
      <c r="G1000" s="15"/>
      <c r="H1000" s="15"/>
      <c r="I1000" s="15"/>
      <c r="J1000" s="12"/>
      <c r="K1000" s="16" t="str">
        <f aca="false">IF(A1000="","",G1000+H1000)</f>
        <v/>
      </c>
      <c r="L1000" s="16" t="str">
        <f aca="false">IF(A1000="","",IF(F1000="İade edildi",0,K1000-I1000))</f>
        <v/>
      </c>
      <c r="M1000" s="17" t="str">
        <f aca="true">IF(A1000="","",IF(J1000&lt;&gt;"",J1000-A1000,TODAY()-A1000))</f>
        <v/>
      </c>
      <c r="N1000" s="18" t="str">
        <f aca="false">IF(A1000="","",IF(AND(OR(F1000="Bekliyor",F1000="Parça bekleniyor",F1000="Hazır"),M1000&gt;7),"7 günü geçti",""))</f>
        <v/>
      </c>
      <c r="O1000" s="18" t="str">
        <f aca="false">IF(AND(A1000&lt;&gt;"",OR(F1000="Bekliyor",F1000="Parça bekleniyor",F1000="Hazır")),A1000+ROW()/1000000,"")</f>
        <v/>
      </c>
    </row>
    <row r="1001" customFormat="false" ht="15" hidden="false" customHeight="false" outlineLevel="0" collapsed="false">
      <c r="A1001" s="12"/>
      <c r="B1001" s="13"/>
      <c r="C1001" s="13"/>
      <c r="D1001" s="13"/>
      <c r="E1001" s="13"/>
      <c r="F1001" s="14"/>
      <c r="G1001" s="15"/>
      <c r="H1001" s="15"/>
      <c r="I1001" s="15"/>
      <c r="J1001" s="12"/>
      <c r="K1001" s="16" t="str">
        <f aca="false">IF(A1001="","",G1001+H1001)</f>
        <v/>
      </c>
      <c r="L1001" s="16" t="str">
        <f aca="false">IF(A1001="","",IF(F1001="İade edildi",0,K1001-I1001))</f>
        <v/>
      </c>
      <c r="M1001" s="17" t="str">
        <f aca="true">IF(A1001="","",IF(J1001&lt;&gt;"",J1001-A1001,TODAY()-A1001))</f>
        <v/>
      </c>
      <c r="N1001" s="18" t="str">
        <f aca="false">IF(A1001="","",IF(AND(OR(F1001="Bekliyor",F1001="Parça bekleniyor",F1001="Hazır"),M1001&gt;7),"7 günü geçti",""))</f>
        <v/>
      </c>
      <c r="O1001" s="18" t="str">
        <f aca="false">IF(AND(A1001&lt;&gt;"",OR(F1001="Bekliyor",F1001="Parça bekleniyor",F1001="Hazır")),A1001+ROW()/1000000,"")</f>
        <v/>
      </c>
    </row>
    <row r="1002" customFormat="false" ht="15" hidden="false" customHeight="false" outlineLevel="0" collapsed="false">
      <c r="A1002" s="12"/>
      <c r="B1002" s="13"/>
      <c r="C1002" s="13"/>
      <c r="D1002" s="13"/>
      <c r="E1002" s="13"/>
      <c r="F1002" s="14"/>
      <c r="G1002" s="15"/>
      <c r="H1002" s="15"/>
      <c r="I1002" s="15"/>
      <c r="J1002" s="12"/>
      <c r="K1002" s="16" t="str">
        <f aca="false">IF(A1002="","",G1002+H1002)</f>
        <v/>
      </c>
      <c r="L1002" s="16" t="str">
        <f aca="false">IF(A1002="","",IF(F1002="İade edildi",0,K1002-I1002))</f>
        <v/>
      </c>
      <c r="M1002" s="17" t="str">
        <f aca="true">IF(A1002="","",IF(J1002&lt;&gt;"",J1002-A1002,TODAY()-A1002))</f>
        <v/>
      </c>
      <c r="N1002" s="18" t="str">
        <f aca="false">IF(A1002="","",IF(AND(OR(F1002="Bekliyor",F1002="Parça bekleniyor",F1002="Hazır"),M1002&gt;7),"7 günü geçti",""))</f>
        <v/>
      </c>
      <c r="O1002" s="18" t="str">
        <f aca="false">IF(AND(A1002&lt;&gt;"",OR(F1002="Bekliyor",F1002="Parça bekleniyor",F1002="Hazır")),A1002+ROW()/1000000,"")</f>
        <v/>
      </c>
    </row>
    <row r="1003" customFormat="false" ht="15" hidden="false" customHeight="false" outlineLevel="0" collapsed="false">
      <c r="A1003" s="12"/>
      <c r="B1003" s="13"/>
      <c r="C1003" s="13"/>
      <c r="D1003" s="13"/>
      <c r="E1003" s="13"/>
      <c r="F1003" s="14"/>
      <c r="G1003" s="15"/>
      <c r="H1003" s="15"/>
      <c r="I1003" s="15"/>
      <c r="J1003" s="12"/>
      <c r="K1003" s="16" t="str">
        <f aca="false">IF(A1003="","",G1003+H1003)</f>
        <v/>
      </c>
      <c r="L1003" s="16" t="str">
        <f aca="false">IF(A1003="","",IF(F1003="İade edildi",0,K1003-I1003))</f>
        <v/>
      </c>
      <c r="M1003" s="17" t="str">
        <f aca="true">IF(A1003="","",IF(J1003&lt;&gt;"",J1003-A1003,TODAY()-A1003))</f>
        <v/>
      </c>
      <c r="N1003" s="18" t="str">
        <f aca="false">IF(A1003="","",IF(AND(OR(F1003="Bekliyor",F1003="Parça bekleniyor",F1003="Hazır"),M1003&gt;7),"7 günü geçti",""))</f>
        <v/>
      </c>
      <c r="O1003" s="18" t="str">
        <f aca="false">IF(AND(A1003&lt;&gt;"",OR(F1003="Bekliyor",F1003="Parça bekleniyor",F1003="Hazır")),A1003+ROW()/1000000,"")</f>
        <v/>
      </c>
    </row>
    <row r="1004" customFormat="false" ht="15" hidden="false" customHeight="false" outlineLevel="0" collapsed="false">
      <c r="A1004" s="12"/>
      <c r="B1004" s="13"/>
      <c r="C1004" s="13"/>
      <c r="D1004" s="13"/>
      <c r="E1004" s="13"/>
      <c r="F1004" s="14"/>
      <c r="G1004" s="15"/>
      <c r="H1004" s="15"/>
      <c r="I1004" s="15"/>
      <c r="J1004" s="12"/>
      <c r="K1004" s="16" t="str">
        <f aca="false">IF(A1004="","",G1004+H1004)</f>
        <v/>
      </c>
      <c r="L1004" s="16" t="str">
        <f aca="false">IF(A1004="","",IF(F1004="İade edildi",0,K1004-I1004))</f>
        <v/>
      </c>
      <c r="M1004" s="17" t="str">
        <f aca="true">IF(A1004="","",IF(J1004&lt;&gt;"",J1004-A1004,TODAY()-A1004))</f>
        <v/>
      </c>
      <c r="N1004" s="18" t="str">
        <f aca="false">IF(A1004="","",IF(AND(OR(F1004="Bekliyor",F1004="Parça bekleniyor",F1004="Hazır"),M1004&gt;7),"7 günü geçti",""))</f>
        <v/>
      </c>
      <c r="O1004" s="18" t="str">
        <f aca="false">IF(AND(A1004&lt;&gt;"",OR(F1004="Bekliyor",F1004="Parça bekleniyor",F1004="Hazır")),A1004+ROW()/1000000,"")</f>
        <v/>
      </c>
    </row>
    <row r="1005" customFormat="false" ht="15" hidden="false" customHeight="false" outlineLevel="0" collapsed="false">
      <c r="A1005" s="12"/>
      <c r="B1005" s="13"/>
      <c r="C1005" s="13"/>
      <c r="D1005" s="13"/>
      <c r="E1005" s="13"/>
      <c r="F1005" s="14"/>
      <c r="G1005" s="15"/>
      <c r="H1005" s="15"/>
      <c r="I1005" s="15"/>
      <c r="J1005" s="12"/>
      <c r="K1005" s="16" t="str">
        <f aca="false">IF(A1005="","",G1005+H1005)</f>
        <v/>
      </c>
      <c r="L1005" s="16" t="str">
        <f aca="false">IF(A1005="","",IF(F1005="İade edildi",0,K1005-I1005))</f>
        <v/>
      </c>
      <c r="M1005" s="17" t="str">
        <f aca="true">IF(A1005="","",IF(J1005&lt;&gt;"",J1005-A1005,TODAY()-A1005))</f>
        <v/>
      </c>
      <c r="N1005" s="18" t="str">
        <f aca="false">IF(A1005="","",IF(AND(OR(F1005="Bekliyor",F1005="Parça bekleniyor",F1005="Hazır"),M1005&gt;7),"7 günü geçti",""))</f>
        <v/>
      </c>
      <c r="O1005" s="18" t="str">
        <f aca="false">IF(AND(A1005&lt;&gt;"",OR(F1005="Bekliyor",F1005="Parça bekleniyor",F1005="Hazır")),A1005+ROW()/1000000,"")</f>
        <v/>
      </c>
    </row>
    <row r="1006" customFormat="false" ht="15" hidden="false" customHeight="false" outlineLevel="0" collapsed="false">
      <c r="A1006" s="12"/>
      <c r="B1006" s="13"/>
      <c r="C1006" s="13"/>
      <c r="D1006" s="13"/>
      <c r="E1006" s="13"/>
      <c r="F1006" s="14"/>
      <c r="G1006" s="15"/>
      <c r="H1006" s="15"/>
      <c r="I1006" s="15"/>
      <c r="J1006" s="12"/>
      <c r="K1006" s="16" t="str">
        <f aca="false">IF(A1006="","",G1006+H1006)</f>
        <v/>
      </c>
      <c r="L1006" s="16" t="str">
        <f aca="false">IF(A1006="","",IF(F1006="İade edildi",0,K1006-I1006))</f>
        <v/>
      </c>
      <c r="M1006" s="17" t="str">
        <f aca="true">IF(A1006="","",IF(J1006&lt;&gt;"",J1006-A1006,TODAY()-A1006))</f>
        <v/>
      </c>
      <c r="N1006" s="18" t="str">
        <f aca="false">IF(A1006="","",IF(AND(OR(F1006="Bekliyor",F1006="Parça bekleniyor",F1006="Hazır"),M1006&gt;7),"7 günü geçti",""))</f>
        <v/>
      </c>
      <c r="O1006" s="18" t="str">
        <f aca="false">IF(AND(A1006&lt;&gt;"",OR(F1006="Bekliyor",F1006="Parça bekleniyor",F1006="Hazır")),A1006+ROW()/1000000,"")</f>
        <v/>
      </c>
    </row>
    <row r="1007" customFormat="false" ht="15" hidden="false" customHeight="false" outlineLevel="0" collapsed="false">
      <c r="A1007" s="12"/>
      <c r="B1007" s="13"/>
      <c r="C1007" s="13"/>
      <c r="D1007" s="13"/>
      <c r="E1007" s="13"/>
      <c r="F1007" s="14"/>
      <c r="G1007" s="15"/>
      <c r="H1007" s="15"/>
      <c r="I1007" s="15"/>
      <c r="J1007" s="12"/>
      <c r="K1007" s="16" t="str">
        <f aca="false">IF(A1007="","",G1007+H1007)</f>
        <v/>
      </c>
      <c r="L1007" s="16" t="str">
        <f aca="false">IF(A1007="","",IF(F1007="İade edildi",0,K1007-I1007))</f>
        <v/>
      </c>
      <c r="M1007" s="17" t="str">
        <f aca="true">IF(A1007="","",IF(J1007&lt;&gt;"",J1007-A1007,TODAY()-A1007))</f>
        <v/>
      </c>
      <c r="N1007" s="18" t="str">
        <f aca="false">IF(A1007="","",IF(AND(OR(F1007="Bekliyor",F1007="Parça bekleniyor",F1007="Hazır"),M1007&gt;7),"7 günü geçti",""))</f>
        <v/>
      </c>
      <c r="O1007" s="18" t="str">
        <f aca="false">IF(AND(A1007&lt;&gt;"",OR(F1007="Bekliyor",F1007="Parça bekleniyor",F1007="Hazır")),A1007+ROW()/1000000,"")</f>
        <v/>
      </c>
    </row>
    <row r="1008" customFormat="false" ht="15" hidden="false" customHeight="false" outlineLevel="0" collapsed="false">
      <c r="A1008" s="12"/>
      <c r="B1008" s="13"/>
      <c r="C1008" s="13"/>
      <c r="D1008" s="13"/>
      <c r="E1008" s="13"/>
      <c r="F1008" s="14"/>
      <c r="G1008" s="15"/>
      <c r="H1008" s="15"/>
      <c r="I1008" s="15"/>
      <c r="J1008" s="12"/>
      <c r="K1008" s="16" t="str">
        <f aca="false">IF(A1008="","",G1008+H1008)</f>
        <v/>
      </c>
      <c r="L1008" s="16" t="str">
        <f aca="false">IF(A1008="","",IF(F1008="İade edildi",0,K1008-I1008))</f>
        <v/>
      </c>
      <c r="M1008" s="17" t="str">
        <f aca="true">IF(A1008="","",IF(J1008&lt;&gt;"",J1008-A1008,TODAY()-A1008))</f>
        <v/>
      </c>
      <c r="N1008" s="18" t="str">
        <f aca="false">IF(A1008="","",IF(AND(OR(F1008="Bekliyor",F1008="Parça bekleniyor",F1008="Hazır"),M1008&gt;7),"7 günü geçti",""))</f>
        <v/>
      </c>
      <c r="O1008" s="18" t="str">
        <f aca="false">IF(AND(A1008&lt;&gt;"",OR(F1008="Bekliyor",F1008="Parça bekleniyor",F1008="Hazır")),A1008+ROW()/1000000,"")</f>
        <v/>
      </c>
    </row>
    <row r="1009" customFormat="false" ht="15" hidden="false" customHeight="false" outlineLevel="0" collapsed="false">
      <c r="A1009" s="12"/>
      <c r="B1009" s="13"/>
      <c r="C1009" s="13"/>
      <c r="D1009" s="13"/>
      <c r="E1009" s="13"/>
      <c r="F1009" s="14"/>
      <c r="G1009" s="15"/>
      <c r="H1009" s="15"/>
      <c r="I1009" s="15"/>
      <c r="J1009" s="12"/>
      <c r="K1009" s="16" t="str">
        <f aca="false">IF(A1009="","",G1009+H1009)</f>
        <v/>
      </c>
      <c r="L1009" s="16" t="str">
        <f aca="false">IF(A1009="","",IF(F1009="İade edildi",0,K1009-I1009))</f>
        <v/>
      </c>
      <c r="M1009" s="17" t="str">
        <f aca="true">IF(A1009="","",IF(J1009&lt;&gt;"",J1009-A1009,TODAY()-A1009))</f>
        <v/>
      </c>
      <c r="N1009" s="18" t="str">
        <f aca="false">IF(A1009="","",IF(AND(OR(F1009="Bekliyor",F1009="Parça bekleniyor",F1009="Hazır"),M1009&gt;7),"7 günü geçti",""))</f>
        <v/>
      </c>
      <c r="O1009" s="18" t="str">
        <f aca="false">IF(AND(A1009&lt;&gt;"",OR(F1009="Bekliyor",F1009="Parça bekleniyor",F1009="Hazır")),A1009+ROW()/1000000,"")</f>
        <v/>
      </c>
    </row>
    <row r="1010" customFormat="false" ht="15" hidden="false" customHeight="false" outlineLevel="0" collapsed="false">
      <c r="A1010" s="12"/>
      <c r="B1010" s="13"/>
      <c r="C1010" s="13"/>
      <c r="D1010" s="13"/>
      <c r="E1010" s="13"/>
      <c r="F1010" s="14"/>
      <c r="G1010" s="15"/>
      <c r="H1010" s="15"/>
      <c r="I1010" s="15"/>
      <c r="J1010" s="12"/>
      <c r="K1010" s="16" t="str">
        <f aca="false">IF(A1010="","",G1010+H1010)</f>
        <v/>
      </c>
      <c r="L1010" s="16" t="str">
        <f aca="false">IF(A1010="","",IF(F1010="İade edildi",0,K1010-I1010))</f>
        <v/>
      </c>
      <c r="M1010" s="17" t="str">
        <f aca="true">IF(A1010="","",IF(J1010&lt;&gt;"",J1010-A1010,TODAY()-A1010))</f>
        <v/>
      </c>
      <c r="N1010" s="18" t="str">
        <f aca="false">IF(A1010="","",IF(AND(OR(F1010="Bekliyor",F1010="Parça bekleniyor",F1010="Hazır"),M1010&gt;7),"7 günü geçti",""))</f>
        <v/>
      </c>
      <c r="O1010" s="18" t="str">
        <f aca="false">IF(AND(A1010&lt;&gt;"",OR(F1010="Bekliyor",F1010="Parça bekleniyor",F1010="Hazır")),A1010+ROW()/1000000,"")</f>
        <v/>
      </c>
    </row>
    <row r="1011" customFormat="false" ht="15" hidden="false" customHeight="false" outlineLevel="0" collapsed="false">
      <c r="A1011" s="12"/>
      <c r="B1011" s="13"/>
      <c r="C1011" s="13"/>
      <c r="D1011" s="13"/>
      <c r="E1011" s="13"/>
      <c r="F1011" s="14"/>
      <c r="G1011" s="15"/>
      <c r="H1011" s="15"/>
      <c r="I1011" s="15"/>
      <c r="J1011" s="12"/>
      <c r="K1011" s="16" t="str">
        <f aca="false">IF(A1011="","",G1011+H1011)</f>
        <v/>
      </c>
      <c r="L1011" s="16" t="str">
        <f aca="false">IF(A1011="","",IF(F1011="İade edildi",0,K1011-I1011))</f>
        <v/>
      </c>
      <c r="M1011" s="17" t="str">
        <f aca="true">IF(A1011="","",IF(J1011&lt;&gt;"",J1011-A1011,TODAY()-A1011))</f>
        <v/>
      </c>
      <c r="N1011" s="18" t="str">
        <f aca="false">IF(A1011="","",IF(AND(OR(F1011="Bekliyor",F1011="Parça bekleniyor",F1011="Hazır"),M1011&gt;7),"7 günü geçti",""))</f>
        <v/>
      </c>
      <c r="O1011" s="18" t="str">
        <f aca="false">IF(AND(A1011&lt;&gt;"",OR(F1011="Bekliyor",F1011="Parça bekleniyor",F1011="Hazır")),A1011+ROW()/1000000,"")</f>
        <v/>
      </c>
    </row>
    <row r="1012" customFormat="false" ht="15" hidden="false" customHeight="false" outlineLevel="0" collapsed="false">
      <c r="A1012" s="12"/>
      <c r="B1012" s="13"/>
      <c r="C1012" s="13"/>
      <c r="D1012" s="13"/>
      <c r="E1012" s="13"/>
      <c r="F1012" s="14"/>
      <c r="G1012" s="15"/>
      <c r="H1012" s="15"/>
      <c r="I1012" s="15"/>
      <c r="J1012" s="12"/>
      <c r="K1012" s="16" t="str">
        <f aca="false">IF(A1012="","",G1012+H1012)</f>
        <v/>
      </c>
      <c r="L1012" s="16" t="str">
        <f aca="false">IF(A1012="","",IF(F1012="İade edildi",0,K1012-I1012))</f>
        <v/>
      </c>
      <c r="M1012" s="17" t="str">
        <f aca="true">IF(A1012="","",IF(J1012&lt;&gt;"",J1012-A1012,TODAY()-A1012))</f>
        <v/>
      </c>
      <c r="N1012" s="18" t="str">
        <f aca="false">IF(A1012="","",IF(AND(OR(F1012="Bekliyor",F1012="Parça bekleniyor",F1012="Hazır"),M1012&gt;7),"7 günü geçti",""))</f>
        <v/>
      </c>
      <c r="O1012" s="18" t="str">
        <f aca="false">IF(AND(A1012&lt;&gt;"",OR(F1012="Bekliyor",F1012="Parça bekleniyor",F1012="Hazır")),A1012+ROW()/1000000,"")</f>
        <v/>
      </c>
    </row>
    <row r="1013" customFormat="false" ht="15" hidden="false" customHeight="false" outlineLevel="0" collapsed="false">
      <c r="A1013" s="12"/>
      <c r="B1013" s="13"/>
      <c r="C1013" s="13"/>
      <c r="D1013" s="13"/>
      <c r="E1013" s="13"/>
      <c r="F1013" s="14"/>
      <c r="G1013" s="15"/>
      <c r="H1013" s="15"/>
      <c r="I1013" s="15"/>
      <c r="J1013" s="12"/>
      <c r="K1013" s="16" t="str">
        <f aca="false">IF(A1013="","",G1013+H1013)</f>
        <v/>
      </c>
      <c r="L1013" s="16" t="str">
        <f aca="false">IF(A1013="","",IF(F1013="İade edildi",0,K1013-I1013))</f>
        <v/>
      </c>
      <c r="M1013" s="17" t="str">
        <f aca="true">IF(A1013="","",IF(J1013&lt;&gt;"",J1013-A1013,TODAY()-A1013))</f>
        <v/>
      </c>
      <c r="N1013" s="18" t="str">
        <f aca="false">IF(A1013="","",IF(AND(OR(F1013="Bekliyor",F1013="Parça bekleniyor",F1013="Hazır"),M1013&gt;7),"7 günü geçti",""))</f>
        <v/>
      </c>
      <c r="O1013" s="18" t="str">
        <f aca="false">IF(AND(A1013&lt;&gt;"",OR(F1013="Bekliyor",F1013="Parça bekleniyor",F1013="Hazır")),A1013+ROW()/1000000,"")</f>
        <v/>
      </c>
    </row>
    <row r="1014" customFormat="false" ht="15" hidden="false" customHeight="false" outlineLevel="0" collapsed="false">
      <c r="A1014" s="12"/>
      <c r="B1014" s="13"/>
      <c r="C1014" s="13"/>
      <c r="D1014" s="13"/>
      <c r="E1014" s="13"/>
      <c r="F1014" s="14"/>
      <c r="G1014" s="15"/>
      <c r="H1014" s="15"/>
      <c r="I1014" s="15"/>
      <c r="J1014" s="12"/>
      <c r="K1014" s="16" t="str">
        <f aca="false">IF(A1014="","",G1014+H1014)</f>
        <v/>
      </c>
      <c r="L1014" s="16" t="str">
        <f aca="false">IF(A1014="","",IF(F1014="İade edildi",0,K1014-I1014))</f>
        <v/>
      </c>
      <c r="M1014" s="17" t="str">
        <f aca="true">IF(A1014="","",IF(J1014&lt;&gt;"",J1014-A1014,TODAY()-A1014))</f>
        <v/>
      </c>
      <c r="N1014" s="18" t="str">
        <f aca="false">IF(A1014="","",IF(AND(OR(F1014="Bekliyor",F1014="Parça bekleniyor",F1014="Hazır"),M1014&gt;7),"7 günü geçti",""))</f>
        <v/>
      </c>
      <c r="O1014" s="18" t="str">
        <f aca="false">IF(AND(A1014&lt;&gt;"",OR(F1014="Bekliyor",F1014="Parça bekleniyor",F1014="Hazır")),A1014+ROW()/1000000,"")</f>
        <v/>
      </c>
    </row>
    <row r="1015" customFormat="false" ht="15" hidden="false" customHeight="false" outlineLevel="0" collapsed="false">
      <c r="A1015" s="12"/>
      <c r="B1015" s="13"/>
      <c r="C1015" s="13"/>
      <c r="D1015" s="13"/>
      <c r="E1015" s="13"/>
      <c r="F1015" s="14"/>
      <c r="G1015" s="15"/>
      <c r="H1015" s="15"/>
      <c r="I1015" s="15"/>
      <c r="J1015" s="12"/>
      <c r="K1015" s="16" t="str">
        <f aca="false">IF(A1015="","",G1015+H1015)</f>
        <v/>
      </c>
      <c r="L1015" s="16" t="str">
        <f aca="false">IF(A1015="","",IF(F1015="İade edildi",0,K1015-I1015))</f>
        <v/>
      </c>
      <c r="M1015" s="17" t="str">
        <f aca="true">IF(A1015="","",IF(J1015&lt;&gt;"",J1015-A1015,TODAY()-A1015))</f>
        <v/>
      </c>
      <c r="N1015" s="18" t="str">
        <f aca="false">IF(A1015="","",IF(AND(OR(F1015="Bekliyor",F1015="Parça bekleniyor",F1015="Hazır"),M1015&gt;7),"7 günü geçti",""))</f>
        <v/>
      </c>
      <c r="O1015" s="18" t="str">
        <f aca="false">IF(AND(A1015&lt;&gt;"",OR(F1015="Bekliyor",F1015="Parça bekleniyor",F1015="Hazır")),A1015+ROW()/1000000,"")</f>
        <v/>
      </c>
    </row>
    <row r="1016" customFormat="false" ht="15" hidden="false" customHeight="false" outlineLevel="0" collapsed="false">
      <c r="A1016" s="12"/>
      <c r="B1016" s="13"/>
      <c r="C1016" s="13"/>
      <c r="D1016" s="13"/>
      <c r="E1016" s="13"/>
      <c r="F1016" s="14"/>
      <c r="G1016" s="15"/>
      <c r="H1016" s="15"/>
      <c r="I1016" s="15"/>
      <c r="J1016" s="12"/>
      <c r="K1016" s="16" t="str">
        <f aca="false">IF(A1016="","",G1016+H1016)</f>
        <v/>
      </c>
      <c r="L1016" s="16" t="str">
        <f aca="false">IF(A1016="","",IF(F1016="İade edildi",0,K1016-I1016))</f>
        <v/>
      </c>
      <c r="M1016" s="17" t="str">
        <f aca="true">IF(A1016="","",IF(J1016&lt;&gt;"",J1016-A1016,TODAY()-A1016))</f>
        <v/>
      </c>
      <c r="N1016" s="18" t="str">
        <f aca="false">IF(A1016="","",IF(AND(OR(F1016="Bekliyor",F1016="Parça bekleniyor",F1016="Hazır"),M1016&gt;7),"7 günü geçti",""))</f>
        <v/>
      </c>
      <c r="O1016" s="18" t="str">
        <f aca="false">IF(AND(A1016&lt;&gt;"",OR(F1016="Bekliyor",F1016="Parça bekleniyor",F1016="Hazır")),A1016+ROW()/1000000,"")</f>
        <v/>
      </c>
    </row>
    <row r="1017" customFormat="false" ht="15" hidden="false" customHeight="false" outlineLevel="0" collapsed="false">
      <c r="A1017" s="12"/>
      <c r="B1017" s="13"/>
      <c r="C1017" s="13"/>
      <c r="D1017" s="13"/>
      <c r="E1017" s="13"/>
      <c r="F1017" s="14"/>
      <c r="G1017" s="15"/>
      <c r="H1017" s="15"/>
      <c r="I1017" s="15"/>
      <c r="J1017" s="12"/>
      <c r="K1017" s="16" t="str">
        <f aca="false">IF(A1017="","",G1017+H1017)</f>
        <v/>
      </c>
      <c r="L1017" s="16" t="str">
        <f aca="false">IF(A1017="","",IF(F1017="İade edildi",0,K1017-I1017))</f>
        <v/>
      </c>
      <c r="M1017" s="17" t="str">
        <f aca="true">IF(A1017="","",IF(J1017&lt;&gt;"",J1017-A1017,TODAY()-A1017))</f>
        <v/>
      </c>
      <c r="N1017" s="18" t="str">
        <f aca="false">IF(A1017="","",IF(AND(OR(F1017="Bekliyor",F1017="Parça bekleniyor",F1017="Hazır"),M1017&gt;7),"7 günü geçti",""))</f>
        <v/>
      </c>
      <c r="O1017" s="18" t="str">
        <f aca="false">IF(AND(A1017&lt;&gt;"",OR(F1017="Bekliyor",F1017="Parça bekleniyor",F1017="Hazır")),A1017+ROW()/1000000,"")</f>
        <v/>
      </c>
    </row>
    <row r="1018" customFormat="false" ht="15" hidden="false" customHeight="false" outlineLevel="0" collapsed="false">
      <c r="A1018" s="12"/>
      <c r="B1018" s="13"/>
      <c r="C1018" s="13"/>
      <c r="D1018" s="13"/>
      <c r="E1018" s="13"/>
      <c r="F1018" s="14"/>
      <c r="G1018" s="15"/>
      <c r="H1018" s="15"/>
      <c r="I1018" s="15"/>
      <c r="J1018" s="12"/>
      <c r="K1018" s="16" t="str">
        <f aca="false">IF(A1018="","",G1018+H1018)</f>
        <v/>
      </c>
      <c r="L1018" s="16" t="str">
        <f aca="false">IF(A1018="","",IF(F1018="İade edildi",0,K1018-I1018))</f>
        <v/>
      </c>
      <c r="M1018" s="17" t="str">
        <f aca="true">IF(A1018="","",IF(J1018&lt;&gt;"",J1018-A1018,TODAY()-A1018))</f>
        <v/>
      </c>
      <c r="N1018" s="18" t="str">
        <f aca="false">IF(A1018="","",IF(AND(OR(F1018="Bekliyor",F1018="Parça bekleniyor",F1018="Hazır"),M1018&gt;7),"7 günü geçti",""))</f>
        <v/>
      </c>
      <c r="O1018" s="18" t="str">
        <f aca="false">IF(AND(A1018&lt;&gt;"",OR(F1018="Bekliyor",F1018="Parça bekleniyor",F1018="Hazır")),A1018+ROW()/1000000,"")</f>
        <v/>
      </c>
    </row>
    <row r="1019" customFormat="false" ht="15" hidden="false" customHeight="false" outlineLevel="0" collapsed="false">
      <c r="A1019" s="12"/>
      <c r="B1019" s="13"/>
      <c r="C1019" s="13"/>
      <c r="D1019" s="13"/>
      <c r="E1019" s="13"/>
      <c r="F1019" s="14"/>
      <c r="G1019" s="15"/>
      <c r="H1019" s="15"/>
      <c r="I1019" s="15"/>
      <c r="J1019" s="12"/>
      <c r="K1019" s="16" t="str">
        <f aca="false">IF(A1019="","",G1019+H1019)</f>
        <v/>
      </c>
      <c r="L1019" s="16" t="str">
        <f aca="false">IF(A1019="","",IF(F1019="İade edildi",0,K1019-I1019))</f>
        <v/>
      </c>
      <c r="M1019" s="17" t="str">
        <f aca="true">IF(A1019="","",IF(J1019&lt;&gt;"",J1019-A1019,TODAY()-A1019))</f>
        <v/>
      </c>
      <c r="N1019" s="18" t="str">
        <f aca="false">IF(A1019="","",IF(AND(OR(F1019="Bekliyor",F1019="Parça bekleniyor",F1019="Hazır"),M1019&gt;7),"7 günü geçti",""))</f>
        <v/>
      </c>
      <c r="O1019" s="18" t="str">
        <f aca="false">IF(AND(A1019&lt;&gt;"",OR(F1019="Bekliyor",F1019="Parça bekleniyor",F1019="Hazır")),A1019+ROW()/1000000,"")</f>
        <v/>
      </c>
    </row>
    <row r="1020" customFormat="false" ht="15" hidden="false" customHeight="false" outlineLevel="0" collapsed="false">
      <c r="A1020" s="12"/>
      <c r="B1020" s="13"/>
      <c r="C1020" s="13"/>
      <c r="D1020" s="13"/>
      <c r="E1020" s="13"/>
      <c r="F1020" s="14"/>
      <c r="G1020" s="15"/>
      <c r="H1020" s="15"/>
      <c r="I1020" s="15"/>
      <c r="J1020" s="12"/>
      <c r="K1020" s="16" t="str">
        <f aca="false">IF(A1020="","",G1020+H1020)</f>
        <v/>
      </c>
      <c r="L1020" s="16" t="str">
        <f aca="false">IF(A1020="","",IF(F1020="İade edildi",0,K1020-I1020))</f>
        <v/>
      </c>
      <c r="M1020" s="17" t="str">
        <f aca="true">IF(A1020="","",IF(J1020&lt;&gt;"",J1020-A1020,TODAY()-A1020))</f>
        <v/>
      </c>
      <c r="N1020" s="18" t="str">
        <f aca="false">IF(A1020="","",IF(AND(OR(F1020="Bekliyor",F1020="Parça bekleniyor",F1020="Hazır"),M1020&gt;7),"7 günü geçti",""))</f>
        <v/>
      </c>
      <c r="O1020" s="18" t="str">
        <f aca="false">IF(AND(A1020&lt;&gt;"",OR(F1020="Bekliyor",F1020="Parça bekleniyor",F1020="Hazır")),A1020+ROW()/1000000,"")</f>
        <v/>
      </c>
    </row>
    <row r="1021" customFormat="false" ht="15" hidden="false" customHeight="false" outlineLevel="0" collapsed="false">
      <c r="A1021" s="12"/>
      <c r="B1021" s="13"/>
      <c r="C1021" s="13"/>
      <c r="D1021" s="13"/>
      <c r="E1021" s="13"/>
      <c r="F1021" s="14"/>
      <c r="G1021" s="15"/>
      <c r="H1021" s="15"/>
      <c r="I1021" s="15"/>
      <c r="J1021" s="12"/>
      <c r="K1021" s="16" t="str">
        <f aca="false">IF(A1021="","",G1021+H1021)</f>
        <v/>
      </c>
      <c r="L1021" s="16" t="str">
        <f aca="false">IF(A1021="","",IF(F1021="İade edildi",0,K1021-I1021))</f>
        <v/>
      </c>
      <c r="M1021" s="17" t="str">
        <f aca="true">IF(A1021="","",IF(J1021&lt;&gt;"",J1021-A1021,TODAY()-A1021))</f>
        <v/>
      </c>
      <c r="N1021" s="18" t="str">
        <f aca="false">IF(A1021="","",IF(AND(OR(F1021="Bekliyor",F1021="Parça bekleniyor",F1021="Hazır"),M1021&gt;7),"7 günü geçti",""))</f>
        <v/>
      </c>
      <c r="O1021" s="18" t="str">
        <f aca="false">IF(AND(A1021&lt;&gt;"",OR(F1021="Bekliyor",F1021="Parça bekleniyor",F1021="Hazır")),A1021+ROW()/1000000,"")</f>
        <v/>
      </c>
    </row>
    <row r="1022" customFormat="false" ht="15" hidden="false" customHeight="false" outlineLevel="0" collapsed="false">
      <c r="A1022" s="12"/>
      <c r="B1022" s="13"/>
      <c r="C1022" s="13"/>
      <c r="D1022" s="13"/>
      <c r="E1022" s="13"/>
      <c r="F1022" s="14"/>
      <c r="G1022" s="15"/>
      <c r="H1022" s="15"/>
      <c r="I1022" s="15"/>
      <c r="J1022" s="12"/>
      <c r="K1022" s="16" t="str">
        <f aca="false">IF(A1022="","",G1022+H1022)</f>
        <v/>
      </c>
      <c r="L1022" s="16" t="str">
        <f aca="false">IF(A1022="","",IF(F1022="İade edildi",0,K1022-I1022))</f>
        <v/>
      </c>
      <c r="M1022" s="17" t="str">
        <f aca="true">IF(A1022="","",IF(J1022&lt;&gt;"",J1022-A1022,TODAY()-A1022))</f>
        <v/>
      </c>
      <c r="N1022" s="18" t="str">
        <f aca="false">IF(A1022="","",IF(AND(OR(F1022="Bekliyor",F1022="Parça bekleniyor",F1022="Hazır"),M1022&gt;7),"7 günü geçti",""))</f>
        <v/>
      </c>
      <c r="O1022" s="18" t="str">
        <f aca="false">IF(AND(A1022&lt;&gt;"",OR(F1022="Bekliyor",F1022="Parça bekleniyor",F1022="Hazır")),A1022+ROW()/1000000,"")</f>
        <v/>
      </c>
    </row>
    <row r="1023" customFormat="false" ht="15" hidden="false" customHeight="false" outlineLevel="0" collapsed="false">
      <c r="A1023" s="12"/>
      <c r="B1023" s="13"/>
      <c r="C1023" s="13"/>
      <c r="D1023" s="13"/>
      <c r="E1023" s="13"/>
      <c r="F1023" s="14"/>
      <c r="G1023" s="15"/>
      <c r="H1023" s="15"/>
      <c r="I1023" s="15"/>
      <c r="J1023" s="12"/>
      <c r="K1023" s="16" t="str">
        <f aca="false">IF(A1023="","",G1023+H1023)</f>
        <v/>
      </c>
      <c r="L1023" s="16" t="str">
        <f aca="false">IF(A1023="","",IF(F1023="İade edildi",0,K1023-I1023))</f>
        <v/>
      </c>
      <c r="M1023" s="17" t="str">
        <f aca="true">IF(A1023="","",IF(J1023&lt;&gt;"",J1023-A1023,TODAY()-A1023))</f>
        <v/>
      </c>
      <c r="N1023" s="18" t="str">
        <f aca="false">IF(A1023="","",IF(AND(OR(F1023="Bekliyor",F1023="Parça bekleniyor",F1023="Hazır"),M1023&gt;7),"7 günü geçti",""))</f>
        <v/>
      </c>
      <c r="O1023" s="18" t="str">
        <f aca="false">IF(AND(A1023&lt;&gt;"",OR(F1023="Bekliyor",F1023="Parça bekleniyor",F1023="Hazır")),A1023+ROW()/1000000,"")</f>
        <v/>
      </c>
    </row>
    <row r="1024" customFormat="false" ht="15" hidden="false" customHeight="false" outlineLevel="0" collapsed="false">
      <c r="A1024" s="12"/>
      <c r="B1024" s="13"/>
      <c r="C1024" s="13"/>
      <c r="D1024" s="13"/>
      <c r="E1024" s="13"/>
      <c r="F1024" s="14"/>
      <c r="G1024" s="15"/>
      <c r="H1024" s="15"/>
      <c r="I1024" s="15"/>
      <c r="J1024" s="12"/>
      <c r="K1024" s="16" t="str">
        <f aca="false">IF(A1024="","",G1024+H1024)</f>
        <v/>
      </c>
      <c r="L1024" s="16" t="str">
        <f aca="false">IF(A1024="","",IF(F1024="İade edildi",0,K1024-I1024))</f>
        <v/>
      </c>
      <c r="M1024" s="17" t="str">
        <f aca="true">IF(A1024="","",IF(J1024&lt;&gt;"",J1024-A1024,TODAY()-A1024))</f>
        <v/>
      </c>
      <c r="N1024" s="18" t="str">
        <f aca="false">IF(A1024="","",IF(AND(OR(F1024="Bekliyor",F1024="Parça bekleniyor",F1024="Hazır"),M1024&gt;7),"7 günü geçti",""))</f>
        <v/>
      </c>
      <c r="O1024" s="18" t="str">
        <f aca="false">IF(AND(A1024&lt;&gt;"",OR(F1024="Bekliyor",F1024="Parça bekleniyor",F1024="Hazır")),A1024+ROW()/1000000,"")</f>
        <v/>
      </c>
    </row>
    <row r="1025" customFormat="false" ht="15" hidden="false" customHeight="false" outlineLevel="0" collapsed="false">
      <c r="A1025" s="12"/>
      <c r="B1025" s="13"/>
      <c r="C1025" s="13"/>
      <c r="D1025" s="13"/>
      <c r="E1025" s="13"/>
      <c r="F1025" s="14"/>
      <c r="G1025" s="15"/>
      <c r="H1025" s="15"/>
      <c r="I1025" s="15"/>
      <c r="J1025" s="12"/>
      <c r="K1025" s="16" t="str">
        <f aca="false">IF(A1025="","",G1025+H1025)</f>
        <v/>
      </c>
      <c r="L1025" s="16" t="str">
        <f aca="false">IF(A1025="","",IF(F1025="İade edildi",0,K1025-I1025))</f>
        <v/>
      </c>
      <c r="M1025" s="17" t="str">
        <f aca="true">IF(A1025="","",IF(J1025&lt;&gt;"",J1025-A1025,TODAY()-A1025))</f>
        <v/>
      </c>
      <c r="N1025" s="18" t="str">
        <f aca="false">IF(A1025="","",IF(AND(OR(F1025="Bekliyor",F1025="Parça bekleniyor",F1025="Hazır"),M1025&gt;7),"7 günü geçti",""))</f>
        <v/>
      </c>
      <c r="O1025" s="18" t="str">
        <f aca="false">IF(AND(A1025&lt;&gt;"",OR(F1025="Bekliyor",F1025="Parça bekleniyor",F1025="Hazır")),A1025+ROW()/1000000,"")</f>
        <v/>
      </c>
    </row>
    <row r="1026" customFormat="false" ht="15" hidden="false" customHeight="false" outlineLevel="0" collapsed="false">
      <c r="A1026" s="12"/>
      <c r="B1026" s="13"/>
      <c r="C1026" s="13"/>
      <c r="D1026" s="13"/>
      <c r="E1026" s="13"/>
      <c r="F1026" s="14"/>
      <c r="G1026" s="15"/>
      <c r="H1026" s="15"/>
      <c r="I1026" s="15"/>
      <c r="J1026" s="12"/>
      <c r="K1026" s="16" t="str">
        <f aca="false">IF(A1026="","",G1026+H1026)</f>
        <v/>
      </c>
      <c r="L1026" s="16" t="str">
        <f aca="false">IF(A1026="","",IF(F1026="İade edildi",0,K1026-I1026))</f>
        <v/>
      </c>
      <c r="M1026" s="17" t="str">
        <f aca="true">IF(A1026="","",IF(J1026&lt;&gt;"",J1026-A1026,TODAY()-A1026))</f>
        <v/>
      </c>
      <c r="N1026" s="18" t="str">
        <f aca="false">IF(A1026="","",IF(AND(OR(F1026="Bekliyor",F1026="Parça bekleniyor",F1026="Hazır"),M1026&gt;7),"7 günü geçti",""))</f>
        <v/>
      </c>
      <c r="O1026" s="18" t="str">
        <f aca="false">IF(AND(A1026&lt;&gt;"",OR(F1026="Bekliyor",F1026="Parça bekleniyor",F1026="Hazır")),A1026+ROW()/1000000,"")</f>
        <v/>
      </c>
    </row>
    <row r="1027" customFormat="false" ht="15" hidden="false" customHeight="false" outlineLevel="0" collapsed="false">
      <c r="A1027" s="12"/>
      <c r="B1027" s="13"/>
      <c r="C1027" s="13"/>
      <c r="D1027" s="13"/>
      <c r="E1027" s="13"/>
      <c r="F1027" s="14"/>
      <c r="G1027" s="15"/>
      <c r="H1027" s="15"/>
      <c r="I1027" s="15"/>
      <c r="J1027" s="12"/>
      <c r="K1027" s="16" t="str">
        <f aca="false">IF(A1027="","",G1027+H1027)</f>
        <v/>
      </c>
      <c r="L1027" s="16" t="str">
        <f aca="false">IF(A1027="","",IF(F1027="İade edildi",0,K1027-I1027))</f>
        <v/>
      </c>
      <c r="M1027" s="17" t="str">
        <f aca="true">IF(A1027="","",IF(J1027&lt;&gt;"",J1027-A1027,TODAY()-A1027))</f>
        <v/>
      </c>
      <c r="N1027" s="18" t="str">
        <f aca="false">IF(A1027="","",IF(AND(OR(F1027="Bekliyor",F1027="Parça bekleniyor",F1027="Hazır"),M1027&gt;7),"7 günü geçti",""))</f>
        <v/>
      </c>
      <c r="O1027" s="18" t="str">
        <f aca="false">IF(AND(A1027&lt;&gt;"",OR(F1027="Bekliyor",F1027="Parça bekleniyor",F1027="Hazır")),A1027+ROW()/1000000,"")</f>
        <v/>
      </c>
    </row>
    <row r="1028" customFormat="false" ht="15" hidden="false" customHeight="false" outlineLevel="0" collapsed="false">
      <c r="A1028" s="12"/>
      <c r="B1028" s="13"/>
      <c r="C1028" s="13"/>
      <c r="D1028" s="13"/>
      <c r="E1028" s="13"/>
      <c r="F1028" s="14"/>
      <c r="G1028" s="15"/>
      <c r="H1028" s="15"/>
      <c r="I1028" s="15"/>
      <c r="J1028" s="12"/>
      <c r="K1028" s="16" t="str">
        <f aca="false">IF(A1028="","",G1028+H1028)</f>
        <v/>
      </c>
      <c r="L1028" s="16" t="str">
        <f aca="false">IF(A1028="","",IF(F1028="İade edildi",0,K1028-I1028))</f>
        <v/>
      </c>
      <c r="M1028" s="17" t="str">
        <f aca="true">IF(A1028="","",IF(J1028&lt;&gt;"",J1028-A1028,TODAY()-A1028))</f>
        <v/>
      </c>
      <c r="N1028" s="18" t="str">
        <f aca="false">IF(A1028="","",IF(AND(OR(F1028="Bekliyor",F1028="Parça bekleniyor",F1028="Hazır"),M1028&gt;7),"7 günü geçti",""))</f>
        <v/>
      </c>
      <c r="O1028" s="18" t="str">
        <f aca="false">IF(AND(A1028&lt;&gt;"",OR(F1028="Bekliyor",F1028="Parça bekleniyor",F1028="Hazır")),A1028+ROW()/1000000,"")</f>
        <v/>
      </c>
    </row>
    <row r="1029" customFormat="false" ht="15" hidden="false" customHeight="false" outlineLevel="0" collapsed="false">
      <c r="A1029" s="12"/>
      <c r="B1029" s="13"/>
      <c r="C1029" s="13"/>
      <c r="D1029" s="13"/>
      <c r="E1029" s="13"/>
      <c r="F1029" s="14"/>
      <c r="G1029" s="15"/>
      <c r="H1029" s="15"/>
      <c r="I1029" s="15"/>
      <c r="J1029" s="12"/>
      <c r="K1029" s="16" t="str">
        <f aca="false">IF(A1029="","",G1029+H1029)</f>
        <v/>
      </c>
      <c r="L1029" s="16" t="str">
        <f aca="false">IF(A1029="","",IF(F1029="İade edildi",0,K1029-I1029))</f>
        <v/>
      </c>
      <c r="M1029" s="17" t="str">
        <f aca="true">IF(A1029="","",IF(J1029&lt;&gt;"",J1029-A1029,TODAY()-A1029))</f>
        <v/>
      </c>
      <c r="N1029" s="18" t="str">
        <f aca="false">IF(A1029="","",IF(AND(OR(F1029="Bekliyor",F1029="Parça bekleniyor",F1029="Hazır"),M1029&gt;7),"7 günü geçti",""))</f>
        <v/>
      </c>
      <c r="O1029" s="18" t="str">
        <f aca="false">IF(AND(A1029&lt;&gt;"",OR(F1029="Bekliyor",F1029="Parça bekleniyor",F1029="Hazır")),A1029+ROW()/1000000,"")</f>
        <v/>
      </c>
    </row>
    <row r="1030" customFormat="false" ht="15" hidden="false" customHeight="false" outlineLevel="0" collapsed="false">
      <c r="A1030" s="12"/>
      <c r="B1030" s="13"/>
      <c r="C1030" s="13"/>
      <c r="D1030" s="13"/>
      <c r="E1030" s="13"/>
      <c r="F1030" s="14"/>
      <c r="G1030" s="15"/>
      <c r="H1030" s="15"/>
      <c r="I1030" s="15"/>
      <c r="J1030" s="12"/>
      <c r="K1030" s="16" t="str">
        <f aca="false">IF(A1030="","",G1030+H1030)</f>
        <v/>
      </c>
      <c r="L1030" s="16" t="str">
        <f aca="false">IF(A1030="","",IF(F1030="İade edildi",0,K1030-I1030))</f>
        <v/>
      </c>
      <c r="M1030" s="17" t="str">
        <f aca="true">IF(A1030="","",IF(J1030&lt;&gt;"",J1030-A1030,TODAY()-A1030))</f>
        <v/>
      </c>
      <c r="N1030" s="18" t="str">
        <f aca="false">IF(A1030="","",IF(AND(OR(F1030="Bekliyor",F1030="Parça bekleniyor",F1030="Hazır"),M1030&gt;7),"7 günü geçti",""))</f>
        <v/>
      </c>
      <c r="O1030" s="18" t="str">
        <f aca="false">IF(AND(A1030&lt;&gt;"",OR(F1030="Bekliyor",F1030="Parça bekleniyor",F1030="Hazır")),A1030+ROW()/1000000,"")</f>
        <v/>
      </c>
    </row>
    <row r="1031" customFormat="false" ht="15" hidden="false" customHeight="false" outlineLevel="0" collapsed="false">
      <c r="A1031" s="12"/>
      <c r="B1031" s="13"/>
      <c r="C1031" s="13"/>
      <c r="D1031" s="13"/>
      <c r="E1031" s="13"/>
      <c r="F1031" s="14"/>
      <c r="G1031" s="15"/>
      <c r="H1031" s="15"/>
      <c r="I1031" s="15"/>
      <c r="J1031" s="12"/>
      <c r="K1031" s="16" t="str">
        <f aca="false">IF(A1031="","",G1031+H1031)</f>
        <v/>
      </c>
      <c r="L1031" s="16" t="str">
        <f aca="false">IF(A1031="","",IF(F1031="İade edildi",0,K1031-I1031))</f>
        <v/>
      </c>
      <c r="M1031" s="17" t="str">
        <f aca="true">IF(A1031="","",IF(J1031&lt;&gt;"",J1031-A1031,TODAY()-A1031))</f>
        <v/>
      </c>
      <c r="N1031" s="18" t="str">
        <f aca="false">IF(A1031="","",IF(AND(OR(F1031="Bekliyor",F1031="Parça bekleniyor",F1031="Hazır"),M1031&gt;7),"7 günü geçti",""))</f>
        <v/>
      </c>
      <c r="O1031" s="18" t="str">
        <f aca="false">IF(AND(A1031&lt;&gt;"",OR(F1031="Bekliyor",F1031="Parça bekleniyor",F1031="Hazır")),A1031+ROW()/1000000,"")</f>
        <v/>
      </c>
    </row>
    <row r="1032" customFormat="false" ht="15" hidden="false" customHeight="false" outlineLevel="0" collapsed="false">
      <c r="A1032" s="12"/>
      <c r="B1032" s="13"/>
      <c r="C1032" s="13"/>
      <c r="D1032" s="13"/>
      <c r="E1032" s="13"/>
      <c r="F1032" s="14"/>
      <c r="G1032" s="15"/>
      <c r="H1032" s="15"/>
      <c r="I1032" s="15"/>
      <c r="J1032" s="12"/>
      <c r="K1032" s="16" t="str">
        <f aca="false">IF(A1032="","",G1032+H1032)</f>
        <v/>
      </c>
      <c r="L1032" s="16" t="str">
        <f aca="false">IF(A1032="","",IF(F1032="İade edildi",0,K1032-I1032))</f>
        <v/>
      </c>
      <c r="M1032" s="17" t="str">
        <f aca="true">IF(A1032="","",IF(J1032&lt;&gt;"",J1032-A1032,TODAY()-A1032))</f>
        <v/>
      </c>
      <c r="N1032" s="18" t="str">
        <f aca="false">IF(A1032="","",IF(AND(OR(F1032="Bekliyor",F1032="Parça bekleniyor",F1032="Hazır"),M1032&gt;7),"7 günü geçti",""))</f>
        <v/>
      </c>
      <c r="O1032" s="18" t="str">
        <f aca="false">IF(AND(A1032&lt;&gt;"",OR(F1032="Bekliyor",F1032="Parça bekleniyor",F1032="Hazır")),A1032+ROW()/1000000,"")</f>
        <v/>
      </c>
    </row>
    <row r="1033" customFormat="false" ht="15" hidden="false" customHeight="false" outlineLevel="0" collapsed="false">
      <c r="A1033" s="12"/>
      <c r="B1033" s="13"/>
      <c r="C1033" s="13"/>
      <c r="D1033" s="13"/>
      <c r="E1033" s="13"/>
      <c r="F1033" s="14"/>
      <c r="G1033" s="15"/>
      <c r="H1033" s="15"/>
      <c r="I1033" s="15"/>
      <c r="J1033" s="12"/>
      <c r="K1033" s="16" t="str">
        <f aca="false">IF(A1033="","",G1033+H1033)</f>
        <v/>
      </c>
      <c r="L1033" s="16" t="str">
        <f aca="false">IF(A1033="","",IF(F1033="İade edildi",0,K1033-I1033))</f>
        <v/>
      </c>
      <c r="M1033" s="17" t="str">
        <f aca="true">IF(A1033="","",IF(J1033&lt;&gt;"",J1033-A1033,TODAY()-A1033))</f>
        <v/>
      </c>
      <c r="N1033" s="18" t="str">
        <f aca="false">IF(A1033="","",IF(AND(OR(F1033="Bekliyor",F1033="Parça bekleniyor",F1033="Hazır"),M1033&gt;7),"7 günü geçti",""))</f>
        <v/>
      </c>
      <c r="O1033" s="18" t="str">
        <f aca="false">IF(AND(A1033&lt;&gt;"",OR(F1033="Bekliyor",F1033="Parça bekleniyor",F1033="Hazır")),A1033+ROW()/1000000,"")</f>
        <v/>
      </c>
    </row>
    <row r="1034" customFormat="false" ht="15" hidden="false" customHeight="false" outlineLevel="0" collapsed="false">
      <c r="A1034" s="12"/>
      <c r="B1034" s="13"/>
      <c r="C1034" s="13"/>
      <c r="D1034" s="13"/>
      <c r="E1034" s="13"/>
      <c r="F1034" s="14"/>
      <c r="G1034" s="15"/>
      <c r="H1034" s="15"/>
      <c r="I1034" s="15"/>
      <c r="J1034" s="12"/>
      <c r="K1034" s="16" t="str">
        <f aca="false">IF(A1034="","",G1034+H1034)</f>
        <v/>
      </c>
      <c r="L1034" s="16" t="str">
        <f aca="false">IF(A1034="","",IF(F1034="İade edildi",0,K1034-I1034))</f>
        <v/>
      </c>
      <c r="M1034" s="17" t="str">
        <f aca="true">IF(A1034="","",IF(J1034&lt;&gt;"",J1034-A1034,TODAY()-A1034))</f>
        <v/>
      </c>
      <c r="N1034" s="18" t="str">
        <f aca="false">IF(A1034="","",IF(AND(OR(F1034="Bekliyor",F1034="Parça bekleniyor",F1034="Hazır"),M1034&gt;7),"7 günü geçti",""))</f>
        <v/>
      </c>
      <c r="O1034" s="18" t="str">
        <f aca="false">IF(AND(A1034&lt;&gt;"",OR(F1034="Bekliyor",F1034="Parça bekleniyor",F1034="Hazır")),A1034+ROW()/1000000,"")</f>
        <v/>
      </c>
    </row>
    <row r="1035" customFormat="false" ht="15" hidden="false" customHeight="false" outlineLevel="0" collapsed="false">
      <c r="A1035" s="12"/>
      <c r="B1035" s="13"/>
      <c r="C1035" s="13"/>
      <c r="D1035" s="13"/>
      <c r="E1035" s="13"/>
      <c r="F1035" s="14"/>
      <c r="G1035" s="15"/>
      <c r="H1035" s="15"/>
      <c r="I1035" s="15"/>
      <c r="J1035" s="12"/>
      <c r="K1035" s="16" t="str">
        <f aca="false">IF(A1035="","",G1035+H1035)</f>
        <v/>
      </c>
      <c r="L1035" s="16" t="str">
        <f aca="false">IF(A1035="","",IF(F1035="İade edildi",0,K1035-I1035))</f>
        <v/>
      </c>
      <c r="M1035" s="17" t="str">
        <f aca="true">IF(A1035="","",IF(J1035&lt;&gt;"",J1035-A1035,TODAY()-A1035))</f>
        <v/>
      </c>
      <c r="N1035" s="18" t="str">
        <f aca="false">IF(A1035="","",IF(AND(OR(F1035="Bekliyor",F1035="Parça bekleniyor",F1035="Hazır"),M1035&gt;7),"7 günü geçti",""))</f>
        <v/>
      </c>
      <c r="O1035" s="18" t="str">
        <f aca="false">IF(AND(A1035&lt;&gt;"",OR(F1035="Bekliyor",F1035="Parça bekleniyor",F1035="Hazır")),A1035+ROW()/1000000,"")</f>
        <v/>
      </c>
    </row>
    <row r="1036" customFormat="false" ht="15" hidden="false" customHeight="false" outlineLevel="0" collapsed="false">
      <c r="A1036" s="12"/>
      <c r="B1036" s="13"/>
      <c r="C1036" s="13"/>
      <c r="D1036" s="13"/>
      <c r="E1036" s="13"/>
      <c r="F1036" s="14"/>
      <c r="G1036" s="15"/>
      <c r="H1036" s="15"/>
      <c r="I1036" s="15"/>
      <c r="J1036" s="12"/>
      <c r="K1036" s="16" t="str">
        <f aca="false">IF(A1036="","",G1036+H1036)</f>
        <v/>
      </c>
      <c r="L1036" s="16" t="str">
        <f aca="false">IF(A1036="","",IF(F1036="İade edildi",0,K1036-I1036))</f>
        <v/>
      </c>
      <c r="M1036" s="17" t="str">
        <f aca="true">IF(A1036="","",IF(J1036&lt;&gt;"",J1036-A1036,TODAY()-A1036))</f>
        <v/>
      </c>
      <c r="N1036" s="18" t="str">
        <f aca="false">IF(A1036="","",IF(AND(OR(F1036="Bekliyor",F1036="Parça bekleniyor",F1036="Hazır"),M1036&gt;7),"7 günü geçti",""))</f>
        <v/>
      </c>
      <c r="O1036" s="18" t="str">
        <f aca="false">IF(AND(A1036&lt;&gt;"",OR(F1036="Bekliyor",F1036="Parça bekleniyor",F1036="Hazır")),A1036+ROW()/1000000,"")</f>
        <v/>
      </c>
    </row>
    <row r="1037" customFormat="false" ht="15" hidden="false" customHeight="false" outlineLevel="0" collapsed="false">
      <c r="A1037" s="12"/>
      <c r="B1037" s="13"/>
      <c r="C1037" s="13"/>
      <c r="D1037" s="13"/>
      <c r="E1037" s="13"/>
      <c r="F1037" s="14"/>
      <c r="G1037" s="15"/>
      <c r="H1037" s="15"/>
      <c r="I1037" s="15"/>
      <c r="J1037" s="12"/>
      <c r="K1037" s="16" t="str">
        <f aca="false">IF(A1037="","",G1037+H1037)</f>
        <v/>
      </c>
      <c r="L1037" s="16" t="str">
        <f aca="false">IF(A1037="","",IF(F1037="İade edildi",0,K1037-I1037))</f>
        <v/>
      </c>
      <c r="M1037" s="17" t="str">
        <f aca="true">IF(A1037="","",IF(J1037&lt;&gt;"",J1037-A1037,TODAY()-A1037))</f>
        <v/>
      </c>
      <c r="N1037" s="18" t="str">
        <f aca="false">IF(A1037="","",IF(AND(OR(F1037="Bekliyor",F1037="Parça bekleniyor",F1037="Hazır"),M1037&gt;7),"7 günü geçti",""))</f>
        <v/>
      </c>
      <c r="O1037" s="18" t="str">
        <f aca="false">IF(AND(A1037&lt;&gt;"",OR(F1037="Bekliyor",F1037="Parça bekleniyor",F1037="Hazır")),A1037+ROW()/1000000,"")</f>
        <v/>
      </c>
    </row>
    <row r="1038" customFormat="false" ht="15" hidden="false" customHeight="false" outlineLevel="0" collapsed="false">
      <c r="A1038" s="12"/>
      <c r="B1038" s="13"/>
      <c r="C1038" s="13"/>
      <c r="D1038" s="13"/>
      <c r="E1038" s="13"/>
      <c r="F1038" s="14"/>
      <c r="G1038" s="15"/>
      <c r="H1038" s="15"/>
      <c r="I1038" s="15"/>
      <c r="J1038" s="12"/>
      <c r="K1038" s="16" t="str">
        <f aca="false">IF(A1038="","",G1038+H1038)</f>
        <v/>
      </c>
      <c r="L1038" s="16" t="str">
        <f aca="false">IF(A1038="","",IF(F1038="İade edildi",0,K1038-I1038))</f>
        <v/>
      </c>
      <c r="M1038" s="17" t="str">
        <f aca="true">IF(A1038="","",IF(J1038&lt;&gt;"",J1038-A1038,TODAY()-A1038))</f>
        <v/>
      </c>
      <c r="N1038" s="18" t="str">
        <f aca="false">IF(A1038="","",IF(AND(OR(F1038="Bekliyor",F1038="Parça bekleniyor",F1038="Hazır"),M1038&gt;7),"7 günü geçti",""))</f>
        <v/>
      </c>
      <c r="O1038" s="18" t="str">
        <f aca="false">IF(AND(A1038&lt;&gt;"",OR(F1038="Bekliyor",F1038="Parça bekleniyor",F1038="Hazır")),A1038+ROW()/1000000,"")</f>
        <v/>
      </c>
    </row>
    <row r="1039" customFormat="false" ht="15" hidden="false" customHeight="false" outlineLevel="0" collapsed="false">
      <c r="A1039" s="12"/>
      <c r="B1039" s="13"/>
      <c r="C1039" s="13"/>
      <c r="D1039" s="13"/>
      <c r="E1039" s="13"/>
      <c r="F1039" s="14"/>
      <c r="G1039" s="15"/>
      <c r="H1039" s="15"/>
      <c r="I1039" s="15"/>
      <c r="J1039" s="12"/>
      <c r="K1039" s="16" t="str">
        <f aca="false">IF(A1039="","",G1039+H1039)</f>
        <v/>
      </c>
      <c r="L1039" s="16" t="str">
        <f aca="false">IF(A1039="","",IF(F1039="İade edildi",0,K1039-I1039))</f>
        <v/>
      </c>
      <c r="M1039" s="17" t="str">
        <f aca="true">IF(A1039="","",IF(J1039&lt;&gt;"",J1039-A1039,TODAY()-A1039))</f>
        <v/>
      </c>
      <c r="N1039" s="18" t="str">
        <f aca="false">IF(A1039="","",IF(AND(OR(F1039="Bekliyor",F1039="Parça bekleniyor",F1039="Hazır"),M1039&gt;7),"7 günü geçti",""))</f>
        <v/>
      </c>
      <c r="O1039" s="18" t="str">
        <f aca="false">IF(AND(A1039&lt;&gt;"",OR(F1039="Bekliyor",F1039="Parça bekleniyor",F1039="Hazır")),A1039+ROW()/1000000,"")</f>
        <v/>
      </c>
    </row>
    <row r="1040" customFormat="false" ht="15" hidden="false" customHeight="false" outlineLevel="0" collapsed="false">
      <c r="A1040" s="12"/>
      <c r="B1040" s="13"/>
      <c r="C1040" s="13"/>
      <c r="D1040" s="13"/>
      <c r="E1040" s="13"/>
      <c r="F1040" s="14"/>
      <c r="G1040" s="15"/>
      <c r="H1040" s="15"/>
      <c r="I1040" s="15"/>
      <c r="J1040" s="12"/>
      <c r="K1040" s="16" t="str">
        <f aca="false">IF(A1040="","",G1040+H1040)</f>
        <v/>
      </c>
      <c r="L1040" s="16" t="str">
        <f aca="false">IF(A1040="","",IF(F1040="İade edildi",0,K1040-I1040))</f>
        <v/>
      </c>
      <c r="M1040" s="17" t="str">
        <f aca="true">IF(A1040="","",IF(J1040&lt;&gt;"",J1040-A1040,TODAY()-A1040))</f>
        <v/>
      </c>
      <c r="N1040" s="18" t="str">
        <f aca="false">IF(A1040="","",IF(AND(OR(F1040="Bekliyor",F1040="Parça bekleniyor",F1040="Hazır"),M1040&gt;7),"7 günü geçti",""))</f>
        <v/>
      </c>
      <c r="O1040" s="18" t="str">
        <f aca="false">IF(AND(A1040&lt;&gt;"",OR(F1040="Bekliyor",F1040="Parça bekleniyor",F1040="Hazır")),A1040+ROW()/1000000,"")</f>
        <v/>
      </c>
    </row>
    <row r="1041" customFormat="false" ht="15" hidden="false" customHeight="false" outlineLevel="0" collapsed="false">
      <c r="A1041" s="12"/>
      <c r="B1041" s="13"/>
      <c r="C1041" s="13"/>
      <c r="D1041" s="13"/>
      <c r="E1041" s="13"/>
      <c r="F1041" s="14"/>
      <c r="G1041" s="15"/>
      <c r="H1041" s="15"/>
      <c r="I1041" s="15"/>
      <c r="J1041" s="12"/>
      <c r="K1041" s="16" t="str">
        <f aca="false">IF(A1041="","",G1041+H1041)</f>
        <v/>
      </c>
      <c r="L1041" s="16" t="str">
        <f aca="false">IF(A1041="","",IF(F1041="İade edildi",0,K1041-I1041))</f>
        <v/>
      </c>
      <c r="M1041" s="17" t="str">
        <f aca="true">IF(A1041="","",IF(J1041&lt;&gt;"",J1041-A1041,TODAY()-A1041))</f>
        <v/>
      </c>
      <c r="N1041" s="18" t="str">
        <f aca="false">IF(A1041="","",IF(AND(OR(F1041="Bekliyor",F1041="Parça bekleniyor",F1041="Hazır"),M1041&gt;7),"7 günü geçti",""))</f>
        <v/>
      </c>
      <c r="O1041" s="18" t="str">
        <f aca="false">IF(AND(A1041&lt;&gt;"",OR(F1041="Bekliyor",F1041="Parça bekleniyor",F1041="Hazır")),A1041+ROW()/1000000,"")</f>
        <v/>
      </c>
    </row>
    <row r="1042" customFormat="false" ht="15" hidden="false" customHeight="false" outlineLevel="0" collapsed="false">
      <c r="A1042" s="12"/>
      <c r="B1042" s="13"/>
      <c r="C1042" s="13"/>
      <c r="D1042" s="13"/>
      <c r="E1042" s="13"/>
      <c r="F1042" s="14"/>
      <c r="G1042" s="15"/>
      <c r="H1042" s="15"/>
      <c r="I1042" s="15"/>
      <c r="J1042" s="12"/>
      <c r="K1042" s="16" t="str">
        <f aca="false">IF(A1042="","",G1042+H1042)</f>
        <v/>
      </c>
      <c r="L1042" s="16" t="str">
        <f aca="false">IF(A1042="","",IF(F1042="İade edildi",0,K1042-I1042))</f>
        <v/>
      </c>
      <c r="M1042" s="17" t="str">
        <f aca="true">IF(A1042="","",IF(J1042&lt;&gt;"",J1042-A1042,TODAY()-A1042))</f>
        <v/>
      </c>
      <c r="N1042" s="18" t="str">
        <f aca="false">IF(A1042="","",IF(AND(OR(F1042="Bekliyor",F1042="Parça bekleniyor",F1042="Hazır"),M1042&gt;7),"7 günü geçti",""))</f>
        <v/>
      </c>
      <c r="O1042" s="18" t="str">
        <f aca="false">IF(AND(A1042&lt;&gt;"",OR(F1042="Bekliyor",F1042="Parça bekleniyor",F1042="Hazır")),A1042+ROW()/1000000,"")</f>
        <v/>
      </c>
    </row>
    <row r="1043" customFormat="false" ht="15" hidden="false" customHeight="false" outlineLevel="0" collapsed="false">
      <c r="A1043" s="12"/>
      <c r="B1043" s="13"/>
      <c r="C1043" s="13"/>
      <c r="D1043" s="13"/>
      <c r="E1043" s="13"/>
      <c r="F1043" s="14"/>
      <c r="G1043" s="15"/>
      <c r="H1043" s="15"/>
      <c r="I1043" s="15"/>
      <c r="J1043" s="12"/>
      <c r="K1043" s="16" t="str">
        <f aca="false">IF(A1043="","",G1043+H1043)</f>
        <v/>
      </c>
      <c r="L1043" s="16" t="str">
        <f aca="false">IF(A1043="","",IF(F1043="İade edildi",0,K1043-I1043))</f>
        <v/>
      </c>
      <c r="M1043" s="17" t="str">
        <f aca="true">IF(A1043="","",IF(J1043&lt;&gt;"",J1043-A1043,TODAY()-A1043))</f>
        <v/>
      </c>
      <c r="N1043" s="18" t="str">
        <f aca="false">IF(A1043="","",IF(AND(OR(F1043="Bekliyor",F1043="Parça bekleniyor",F1043="Hazır"),M1043&gt;7),"7 günü geçti",""))</f>
        <v/>
      </c>
      <c r="O1043" s="18" t="str">
        <f aca="false">IF(AND(A1043&lt;&gt;"",OR(F1043="Bekliyor",F1043="Parça bekleniyor",F1043="Hazır")),A1043+ROW()/1000000,"")</f>
        <v/>
      </c>
    </row>
    <row r="1044" customFormat="false" ht="15" hidden="false" customHeight="false" outlineLevel="0" collapsed="false">
      <c r="A1044" s="12"/>
      <c r="B1044" s="13"/>
      <c r="C1044" s="13"/>
      <c r="D1044" s="13"/>
      <c r="E1044" s="13"/>
      <c r="F1044" s="14"/>
      <c r="G1044" s="15"/>
      <c r="H1044" s="15"/>
      <c r="I1044" s="15"/>
      <c r="J1044" s="12"/>
      <c r="K1044" s="16" t="str">
        <f aca="false">IF(A1044="","",G1044+H1044)</f>
        <v/>
      </c>
      <c r="L1044" s="16" t="str">
        <f aca="false">IF(A1044="","",IF(F1044="İade edildi",0,K1044-I1044))</f>
        <v/>
      </c>
      <c r="M1044" s="17" t="str">
        <f aca="true">IF(A1044="","",IF(J1044&lt;&gt;"",J1044-A1044,TODAY()-A1044))</f>
        <v/>
      </c>
      <c r="N1044" s="18" t="str">
        <f aca="false">IF(A1044="","",IF(AND(OR(F1044="Bekliyor",F1044="Parça bekleniyor",F1044="Hazır"),M1044&gt;7),"7 günü geçti",""))</f>
        <v/>
      </c>
      <c r="O1044" s="18" t="str">
        <f aca="false">IF(AND(A1044&lt;&gt;"",OR(F1044="Bekliyor",F1044="Parça bekleniyor",F1044="Hazır")),A1044+ROW()/1000000,"")</f>
        <v/>
      </c>
    </row>
    <row r="1045" customFormat="false" ht="15" hidden="false" customHeight="false" outlineLevel="0" collapsed="false">
      <c r="A1045" s="12"/>
      <c r="B1045" s="13"/>
      <c r="C1045" s="13"/>
      <c r="D1045" s="13"/>
      <c r="E1045" s="13"/>
      <c r="F1045" s="14"/>
      <c r="G1045" s="15"/>
      <c r="H1045" s="15"/>
      <c r="I1045" s="15"/>
      <c r="J1045" s="12"/>
      <c r="K1045" s="16" t="str">
        <f aca="false">IF(A1045="","",G1045+H1045)</f>
        <v/>
      </c>
      <c r="L1045" s="16" t="str">
        <f aca="false">IF(A1045="","",IF(F1045="İade edildi",0,K1045-I1045))</f>
        <v/>
      </c>
      <c r="M1045" s="17" t="str">
        <f aca="true">IF(A1045="","",IF(J1045&lt;&gt;"",J1045-A1045,TODAY()-A1045))</f>
        <v/>
      </c>
      <c r="N1045" s="18" t="str">
        <f aca="false">IF(A1045="","",IF(AND(OR(F1045="Bekliyor",F1045="Parça bekleniyor",F1045="Hazır"),M1045&gt;7),"7 günü geçti",""))</f>
        <v/>
      </c>
      <c r="O1045" s="18" t="str">
        <f aca="false">IF(AND(A1045&lt;&gt;"",OR(F1045="Bekliyor",F1045="Parça bekleniyor",F1045="Hazır")),A1045+ROW()/1000000,"")</f>
        <v/>
      </c>
    </row>
    <row r="1046" customFormat="false" ht="15" hidden="false" customHeight="false" outlineLevel="0" collapsed="false">
      <c r="A1046" s="12"/>
      <c r="B1046" s="13"/>
      <c r="C1046" s="13"/>
      <c r="D1046" s="13"/>
      <c r="E1046" s="13"/>
      <c r="F1046" s="14"/>
      <c r="G1046" s="15"/>
      <c r="H1046" s="15"/>
      <c r="I1046" s="15"/>
      <c r="J1046" s="12"/>
      <c r="K1046" s="16" t="str">
        <f aca="false">IF(A1046="","",G1046+H1046)</f>
        <v/>
      </c>
      <c r="L1046" s="16" t="str">
        <f aca="false">IF(A1046="","",IF(F1046="İade edildi",0,K1046-I1046))</f>
        <v/>
      </c>
      <c r="M1046" s="17" t="str">
        <f aca="true">IF(A1046="","",IF(J1046&lt;&gt;"",J1046-A1046,TODAY()-A1046))</f>
        <v/>
      </c>
      <c r="N1046" s="18" t="str">
        <f aca="false">IF(A1046="","",IF(AND(OR(F1046="Bekliyor",F1046="Parça bekleniyor",F1046="Hazır"),M1046&gt;7),"7 günü geçti",""))</f>
        <v/>
      </c>
      <c r="O1046" s="18" t="str">
        <f aca="false">IF(AND(A1046&lt;&gt;"",OR(F1046="Bekliyor",F1046="Parça bekleniyor",F1046="Hazır")),A1046+ROW()/1000000,"")</f>
        <v/>
      </c>
    </row>
    <row r="1047" customFormat="false" ht="15" hidden="false" customHeight="false" outlineLevel="0" collapsed="false">
      <c r="A1047" s="12"/>
      <c r="B1047" s="13"/>
      <c r="C1047" s="13"/>
      <c r="D1047" s="13"/>
      <c r="E1047" s="13"/>
      <c r="F1047" s="14"/>
      <c r="G1047" s="15"/>
      <c r="H1047" s="15"/>
      <c r="I1047" s="15"/>
      <c r="J1047" s="12"/>
      <c r="K1047" s="16" t="str">
        <f aca="false">IF(A1047="","",G1047+H1047)</f>
        <v/>
      </c>
      <c r="L1047" s="16" t="str">
        <f aca="false">IF(A1047="","",IF(F1047="İade edildi",0,K1047-I1047))</f>
        <v/>
      </c>
      <c r="M1047" s="17" t="str">
        <f aca="true">IF(A1047="","",IF(J1047&lt;&gt;"",J1047-A1047,TODAY()-A1047))</f>
        <v/>
      </c>
      <c r="N1047" s="18" t="str">
        <f aca="false">IF(A1047="","",IF(AND(OR(F1047="Bekliyor",F1047="Parça bekleniyor",F1047="Hazır"),M1047&gt;7),"7 günü geçti",""))</f>
        <v/>
      </c>
      <c r="O1047" s="18" t="str">
        <f aca="false">IF(AND(A1047&lt;&gt;"",OR(F1047="Bekliyor",F1047="Parça bekleniyor",F1047="Hazır")),A1047+ROW()/1000000,"")</f>
        <v/>
      </c>
    </row>
    <row r="1048" customFormat="false" ht="15" hidden="false" customHeight="false" outlineLevel="0" collapsed="false">
      <c r="A1048" s="12"/>
      <c r="B1048" s="13"/>
      <c r="C1048" s="13"/>
      <c r="D1048" s="13"/>
      <c r="E1048" s="13"/>
      <c r="F1048" s="14"/>
      <c r="G1048" s="15"/>
      <c r="H1048" s="15"/>
      <c r="I1048" s="15"/>
      <c r="J1048" s="12"/>
      <c r="K1048" s="16" t="str">
        <f aca="false">IF(A1048="","",G1048+H1048)</f>
        <v/>
      </c>
      <c r="L1048" s="16" t="str">
        <f aca="false">IF(A1048="","",IF(F1048="İade edildi",0,K1048-I1048))</f>
        <v/>
      </c>
      <c r="M1048" s="17" t="str">
        <f aca="true">IF(A1048="","",IF(J1048&lt;&gt;"",J1048-A1048,TODAY()-A1048))</f>
        <v/>
      </c>
      <c r="N1048" s="18" t="str">
        <f aca="false">IF(A1048="","",IF(AND(OR(F1048="Bekliyor",F1048="Parça bekleniyor",F1048="Hazır"),M1048&gt;7),"7 günü geçti",""))</f>
        <v/>
      </c>
      <c r="O1048" s="18" t="str">
        <f aca="false">IF(AND(A1048&lt;&gt;"",OR(F1048="Bekliyor",F1048="Parça bekleniyor",F1048="Hazır")),A1048+ROW()/1000000,"")</f>
        <v/>
      </c>
    </row>
    <row r="1049" customFormat="false" ht="15" hidden="false" customHeight="false" outlineLevel="0" collapsed="false">
      <c r="A1049" s="12"/>
      <c r="B1049" s="13"/>
      <c r="C1049" s="13"/>
      <c r="D1049" s="13"/>
      <c r="E1049" s="13"/>
      <c r="F1049" s="14"/>
      <c r="G1049" s="15"/>
      <c r="H1049" s="15"/>
      <c r="I1049" s="15"/>
      <c r="J1049" s="12"/>
      <c r="K1049" s="16" t="str">
        <f aca="false">IF(A1049="","",G1049+H1049)</f>
        <v/>
      </c>
      <c r="L1049" s="16" t="str">
        <f aca="false">IF(A1049="","",IF(F1049="İade edildi",0,K1049-I1049))</f>
        <v/>
      </c>
      <c r="M1049" s="17" t="str">
        <f aca="true">IF(A1049="","",IF(J1049&lt;&gt;"",J1049-A1049,TODAY()-A1049))</f>
        <v/>
      </c>
      <c r="N1049" s="18" t="str">
        <f aca="false">IF(A1049="","",IF(AND(OR(F1049="Bekliyor",F1049="Parça bekleniyor",F1049="Hazır"),M1049&gt;7),"7 günü geçti",""))</f>
        <v/>
      </c>
      <c r="O1049" s="18" t="str">
        <f aca="false">IF(AND(A1049&lt;&gt;"",OR(F1049="Bekliyor",F1049="Parça bekleniyor",F1049="Hazır")),A1049+ROW()/1000000,"")</f>
        <v/>
      </c>
    </row>
    <row r="1050" customFormat="false" ht="15" hidden="false" customHeight="false" outlineLevel="0" collapsed="false">
      <c r="A1050" s="12"/>
      <c r="B1050" s="13"/>
      <c r="C1050" s="13"/>
      <c r="D1050" s="13"/>
      <c r="E1050" s="13"/>
      <c r="F1050" s="14"/>
      <c r="G1050" s="15"/>
      <c r="H1050" s="15"/>
      <c r="I1050" s="15"/>
      <c r="J1050" s="12"/>
      <c r="K1050" s="16" t="str">
        <f aca="false">IF(A1050="","",G1050+H1050)</f>
        <v/>
      </c>
      <c r="L1050" s="16" t="str">
        <f aca="false">IF(A1050="","",IF(F1050="İade edildi",0,K1050-I1050))</f>
        <v/>
      </c>
      <c r="M1050" s="17" t="str">
        <f aca="true">IF(A1050="","",IF(J1050&lt;&gt;"",J1050-A1050,TODAY()-A1050))</f>
        <v/>
      </c>
      <c r="N1050" s="18" t="str">
        <f aca="false">IF(A1050="","",IF(AND(OR(F1050="Bekliyor",F1050="Parça bekleniyor",F1050="Hazır"),M1050&gt;7),"7 günü geçti",""))</f>
        <v/>
      </c>
      <c r="O1050" s="18" t="str">
        <f aca="false">IF(AND(A1050&lt;&gt;"",OR(F1050="Bekliyor",F1050="Parça bekleniyor",F1050="Hazır")),A1050+ROW()/1000000,"")</f>
        <v/>
      </c>
    </row>
    <row r="1051" customFormat="false" ht="15" hidden="false" customHeight="false" outlineLevel="0" collapsed="false">
      <c r="A1051" s="12"/>
      <c r="B1051" s="13"/>
      <c r="C1051" s="13"/>
      <c r="D1051" s="13"/>
      <c r="E1051" s="13"/>
      <c r="F1051" s="14"/>
      <c r="G1051" s="15"/>
      <c r="H1051" s="15"/>
      <c r="I1051" s="15"/>
      <c r="J1051" s="12"/>
      <c r="K1051" s="16" t="str">
        <f aca="false">IF(A1051="","",G1051+H1051)</f>
        <v/>
      </c>
      <c r="L1051" s="16" t="str">
        <f aca="false">IF(A1051="","",IF(F1051="İade edildi",0,K1051-I1051))</f>
        <v/>
      </c>
      <c r="M1051" s="17" t="str">
        <f aca="true">IF(A1051="","",IF(J1051&lt;&gt;"",J1051-A1051,TODAY()-A1051))</f>
        <v/>
      </c>
      <c r="N1051" s="18" t="str">
        <f aca="false">IF(A1051="","",IF(AND(OR(F1051="Bekliyor",F1051="Parça bekleniyor",F1051="Hazır"),M1051&gt;7),"7 günü geçti",""))</f>
        <v/>
      </c>
      <c r="O1051" s="18" t="str">
        <f aca="false">IF(AND(A1051&lt;&gt;"",OR(F1051="Bekliyor",F1051="Parça bekleniyor",F1051="Hazır")),A1051+ROW()/1000000,"")</f>
        <v/>
      </c>
    </row>
    <row r="1052" customFormat="false" ht="15" hidden="false" customHeight="false" outlineLevel="0" collapsed="false">
      <c r="A1052" s="12"/>
      <c r="B1052" s="13"/>
      <c r="C1052" s="13"/>
      <c r="D1052" s="13"/>
      <c r="E1052" s="13"/>
      <c r="F1052" s="14"/>
      <c r="G1052" s="15"/>
      <c r="H1052" s="15"/>
      <c r="I1052" s="15"/>
      <c r="J1052" s="12"/>
      <c r="K1052" s="16" t="str">
        <f aca="false">IF(A1052="","",G1052+H1052)</f>
        <v/>
      </c>
      <c r="L1052" s="16" t="str">
        <f aca="false">IF(A1052="","",IF(F1052="İade edildi",0,K1052-I1052))</f>
        <v/>
      </c>
      <c r="M1052" s="17" t="str">
        <f aca="true">IF(A1052="","",IF(J1052&lt;&gt;"",J1052-A1052,TODAY()-A1052))</f>
        <v/>
      </c>
      <c r="N1052" s="18" t="str">
        <f aca="false">IF(A1052="","",IF(AND(OR(F1052="Bekliyor",F1052="Parça bekleniyor",F1052="Hazır"),M1052&gt;7),"7 günü geçti",""))</f>
        <v/>
      </c>
      <c r="O1052" s="18" t="str">
        <f aca="false">IF(AND(A1052&lt;&gt;"",OR(F1052="Bekliyor",F1052="Parça bekleniyor",F1052="Hazır")),A1052+ROW()/1000000,"")</f>
        <v/>
      </c>
    </row>
    <row r="1053" customFormat="false" ht="15" hidden="false" customHeight="false" outlineLevel="0" collapsed="false">
      <c r="A1053" s="12"/>
      <c r="B1053" s="13"/>
      <c r="C1053" s="13"/>
      <c r="D1053" s="13"/>
      <c r="E1053" s="13"/>
      <c r="F1053" s="14"/>
      <c r="G1053" s="15"/>
      <c r="H1053" s="15"/>
      <c r="I1053" s="15"/>
      <c r="J1053" s="12"/>
      <c r="K1053" s="16" t="str">
        <f aca="false">IF(A1053="","",G1053+H1053)</f>
        <v/>
      </c>
      <c r="L1053" s="16" t="str">
        <f aca="false">IF(A1053="","",IF(F1053="İade edildi",0,K1053-I1053))</f>
        <v/>
      </c>
      <c r="M1053" s="17" t="str">
        <f aca="true">IF(A1053="","",IF(J1053&lt;&gt;"",J1053-A1053,TODAY()-A1053))</f>
        <v/>
      </c>
      <c r="N1053" s="18" t="str">
        <f aca="false">IF(A1053="","",IF(AND(OR(F1053="Bekliyor",F1053="Parça bekleniyor",F1053="Hazır"),M1053&gt;7),"7 günü geçti",""))</f>
        <v/>
      </c>
      <c r="O1053" s="18" t="str">
        <f aca="false">IF(AND(A1053&lt;&gt;"",OR(F1053="Bekliyor",F1053="Parça bekleniyor",F1053="Hazır")),A1053+ROW()/1000000,"")</f>
        <v/>
      </c>
    </row>
    <row r="1054" customFormat="false" ht="15" hidden="false" customHeight="false" outlineLevel="0" collapsed="false">
      <c r="A1054" s="12"/>
      <c r="B1054" s="13"/>
      <c r="C1054" s="13"/>
      <c r="D1054" s="13"/>
      <c r="E1054" s="13"/>
      <c r="F1054" s="14"/>
      <c r="G1054" s="15"/>
      <c r="H1054" s="15"/>
      <c r="I1054" s="15"/>
      <c r="J1054" s="12"/>
      <c r="K1054" s="16" t="str">
        <f aca="false">IF(A1054="","",G1054+H1054)</f>
        <v/>
      </c>
      <c r="L1054" s="16" t="str">
        <f aca="false">IF(A1054="","",IF(F1054="İade edildi",0,K1054-I1054))</f>
        <v/>
      </c>
      <c r="M1054" s="17" t="str">
        <f aca="true">IF(A1054="","",IF(J1054&lt;&gt;"",J1054-A1054,TODAY()-A1054))</f>
        <v/>
      </c>
      <c r="N1054" s="18" t="str">
        <f aca="false">IF(A1054="","",IF(AND(OR(F1054="Bekliyor",F1054="Parça bekleniyor",F1054="Hazır"),M1054&gt;7),"7 günü geçti",""))</f>
        <v/>
      </c>
      <c r="O1054" s="18" t="str">
        <f aca="false">IF(AND(A1054&lt;&gt;"",OR(F1054="Bekliyor",F1054="Parça bekleniyor",F1054="Hazır")),A1054+ROW()/1000000,"")</f>
        <v/>
      </c>
    </row>
    <row r="1055" customFormat="false" ht="15" hidden="false" customHeight="false" outlineLevel="0" collapsed="false">
      <c r="A1055" s="12"/>
      <c r="B1055" s="13"/>
      <c r="C1055" s="13"/>
      <c r="D1055" s="13"/>
      <c r="E1055" s="13"/>
      <c r="F1055" s="14"/>
      <c r="G1055" s="15"/>
      <c r="H1055" s="15"/>
      <c r="I1055" s="15"/>
      <c r="J1055" s="12"/>
      <c r="K1055" s="16" t="str">
        <f aca="false">IF(A1055="","",G1055+H1055)</f>
        <v/>
      </c>
      <c r="L1055" s="16" t="str">
        <f aca="false">IF(A1055="","",IF(F1055="İade edildi",0,K1055-I1055))</f>
        <v/>
      </c>
      <c r="M1055" s="17" t="str">
        <f aca="true">IF(A1055="","",IF(J1055&lt;&gt;"",J1055-A1055,TODAY()-A1055))</f>
        <v/>
      </c>
      <c r="N1055" s="18" t="str">
        <f aca="false">IF(A1055="","",IF(AND(OR(F1055="Bekliyor",F1055="Parça bekleniyor",F1055="Hazır"),M1055&gt;7),"7 günü geçti",""))</f>
        <v/>
      </c>
      <c r="O1055" s="18" t="str">
        <f aca="false">IF(AND(A1055&lt;&gt;"",OR(F1055="Bekliyor",F1055="Parça bekleniyor",F1055="Hazır")),A1055+ROW()/1000000,"")</f>
        <v/>
      </c>
    </row>
    <row r="1056" customFormat="false" ht="15" hidden="false" customHeight="false" outlineLevel="0" collapsed="false">
      <c r="A1056" s="12"/>
      <c r="B1056" s="13"/>
      <c r="C1056" s="13"/>
      <c r="D1056" s="13"/>
      <c r="E1056" s="13"/>
      <c r="F1056" s="14"/>
      <c r="G1056" s="15"/>
      <c r="H1056" s="15"/>
      <c r="I1056" s="15"/>
      <c r="J1056" s="12"/>
      <c r="K1056" s="16" t="str">
        <f aca="false">IF(A1056="","",G1056+H1056)</f>
        <v/>
      </c>
      <c r="L1056" s="16" t="str">
        <f aca="false">IF(A1056="","",IF(F1056="İade edildi",0,K1056-I1056))</f>
        <v/>
      </c>
      <c r="M1056" s="17" t="str">
        <f aca="true">IF(A1056="","",IF(J1056&lt;&gt;"",J1056-A1056,TODAY()-A1056))</f>
        <v/>
      </c>
      <c r="N1056" s="18" t="str">
        <f aca="false">IF(A1056="","",IF(AND(OR(F1056="Bekliyor",F1056="Parça bekleniyor",F1056="Hazır"),M1056&gt;7),"7 günü geçti",""))</f>
        <v/>
      </c>
      <c r="O1056" s="18" t="str">
        <f aca="false">IF(AND(A1056&lt;&gt;"",OR(F1056="Bekliyor",F1056="Parça bekleniyor",F1056="Hazır")),A1056+ROW()/1000000,"")</f>
        <v/>
      </c>
    </row>
    <row r="1057" customFormat="false" ht="15" hidden="false" customHeight="false" outlineLevel="0" collapsed="false">
      <c r="A1057" s="12"/>
      <c r="B1057" s="13"/>
      <c r="C1057" s="13"/>
      <c r="D1057" s="13"/>
      <c r="E1057" s="13"/>
      <c r="F1057" s="14"/>
      <c r="G1057" s="15"/>
      <c r="H1057" s="15"/>
      <c r="I1057" s="15"/>
      <c r="J1057" s="12"/>
      <c r="K1057" s="16" t="str">
        <f aca="false">IF(A1057="","",G1057+H1057)</f>
        <v/>
      </c>
      <c r="L1057" s="16" t="str">
        <f aca="false">IF(A1057="","",IF(F1057="İade edildi",0,K1057-I1057))</f>
        <v/>
      </c>
      <c r="M1057" s="17" t="str">
        <f aca="true">IF(A1057="","",IF(J1057&lt;&gt;"",J1057-A1057,TODAY()-A1057))</f>
        <v/>
      </c>
      <c r="N1057" s="18" t="str">
        <f aca="false">IF(A1057="","",IF(AND(OR(F1057="Bekliyor",F1057="Parça bekleniyor",F1057="Hazır"),M1057&gt;7),"7 günü geçti",""))</f>
        <v/>
      </c>
      <c r="O1057" s="18" t="str">
        <f aca="false">IF(AND(A1057&lt;&gt;"",OR(F1057="Bekliyor",F1057="Parça bekleniyor",F1057="Hazır")),A1057+ROW()/1000000,"")</f>
        <v/>
      </c>
    </row>
    <row r="1058" customFormat="false" ht="15" hidden="false" customHeight="false" outlineLevel="0" collapsed="false">
      <c r="A1058" s="12"/>
      <c r="B1058" s="13"/>
      <c r="C1058" s="13"/>
      <c r="D1058" s="13"/>
      <c r="E1058" s="13"/>
      <c r="F1058" s="14"/>
      <c r="G1058" s="15"/>
      <c r="H1058" s="15"/>
      <c r="I1058" s="15"/>
      <c r="J1058" s="12"/>
      <c r="K1058" s="16" t="str">
        <f aca="false">IF(A1058="","",G1058+H1058)</f>
        <v/>
      </c>
      <c r="L1058" s="16" t="str">
        <f aca="false">IF(A1058="","",IF(F1058="İade edildi",0,K1058-I1058))</f>
        <v/>
      </c>
      <c r="M1058" s="17" t="str">
        <f aca="true">IF(A1058="","",IF(J1058&lt;&gt;"",J1058-A1058,TODAY()-A1058))</f>
        <v/>
      </c>
      <c r="N1058" s="18" t="str">
        <f aca="false">IF(A1058="","",IF(AND(OR(F1058="Bekliyor",F1058="Parça bekleniyor",F1058="Hazır"),M1058&gt;7),"7 günü geçti",""))</f>
        <v/>
      </c>
      <c r="O1058" s="18" t="str">
        <f aca="false">IF(AND(A1058&lt;&gt;"",OR(F1058="Bekliyor",F1058="Parça bekleniyor",F1058="Hazır")),A1058+ROW()/1000000,"")</f>
        <v/>
      </c>
    </row>
    <row r="1059" customFormat="false" ht="15" hidden="false" customHeight="false" outlineLevel="0" collapsed="false">
      <c r="A1059" s="12"/>
      <c r="B1059" s="13"/>
      <c r="C1059" s="13"/>
      <c r="D1059" s="13"/>
      <c r="E1059" s="13"/>
      <c r="F1059" s="14"/>
      <c r="G1059" s="15"/>
      <c r="H1059" s="15"/>
      <c r="I1059" s="15"/>
      <c r="J1059" s="12"/>
      <c r="K1059" s="16" t="str">
        <f aca="false">IF(A1059="","",G1059+H1059)</f>
        <v/>
      </c>
      <c r="L1059" s="16" t="str">
        <f aca="false">IF(A1059="","",IF(F1059="İade edildi",0,K1059-I1059))</f>
        <v/>
      </c>
      <c r="M1059" s="17" t="str">
        <f aca="true">IF(A1059="","",IF(J1059&lt;&gt;"",J1059-A1059,TODAY()-A1059))</f>
        <v/>
      </c>
      <c r="N1059" s="18" t="str">
        <f aca="false">IF(A1059="","",IF(AND(OR(F1059="Bekliyor",F1059="Parça bekleniyor",F1059="Hazır"),M1059&gt;7),"7 günü geçti",""))</f>
        <v/>
      </c>
      <c r="O1059" s="18" t="str">
        <f aca="false">IF(AND(A1059&lt;&gt;"",OR(F1059="Bekliyor",F1059="Parça bekleniyor",F1059="Hazır")),A1059+ROW()/1000000,"")</f>
        <v/>
      </c>
    </row>
    <row r="1060" customFormat="false" ht="15" hidden="false" customHeight="false" outlineLevel="0" collapsed="false">
      <c r="A1060" s="12"/>
      <c r="B1060" s="13"/>
      <c r="C1060" s="13"/>
      <c r="D1060" s="13"/>
      <c r="E1060" s="13"/>
      <c r="F1060" s="14"/>
      <c r="G1060" s="15"/>
      <c r="H1060" s="15"/>
      <c r="I1060" s="15"/>
      <c r="J1060" s="12"/>
      <c r="K1060" s="16" t="str">
        <f aca="false">IF(A1060="","",G1060+H1060)</f>
        <v/>
      </c>
      <c r="L1060" s="16" t="str">
        <f aca="false">IF(A1060="","",IF(F1060="İade edildi",0,K1060-I1060))</f>
        <v/>
      </c>
      <c r="M1060" s="17" t="str">
        <f aca="true">IF(A1060="","",IF(J1060&lt;&gt;"",J1060-A1060,TODAY()-A1060))</f>
        <v/>
      </c>
      <c r="N1060" s="18" t="str">
        <f aca="false">IF(A1060="","",IF(AND(OR(F1060="Bekliyor",F1060="Parça bekleniyor",F1060="Hazır"),M1060&gt;7),"7 günü geçti",""))</f>
        <v/>
      </c>
      <c r="O1060" s="18" t="str">
        <f aca="false">IF(AND(A1060&lt;&gt;"",OR(F1060="Bekliyor",F1060="Parça bekleniyor",F1060="Hazır")),A1060+ROW()/1000000,"")</f>
        <v/>
      </c>
    </row>
    <row r="1061" customFormat="false" ht="15" hidden="false" customHeight="false" outlineLevel="0" collapsed="false">
      <c r="A1061" s="12"/>
      <c r="B1061" s="13"/>
      <c r="C1061" s="13"/>
      <c r="D1061" s="13"/>
      <c r="E1061" s="13"/>
      <c r="F1061" s="14"/>
      <c r="G1061" s="15"/>
      <c r="H1061" s="15"/>
      <c r="I1061" s="15"/>
      <c r="J1061" s="12"/>
      <c r="K1061" s="16" t="str">
        <f aca="false">IF(A1061="","",G1061+H1061)</f>
        <v/>
      </c>
      <c r="L1061" s="16" t="str">
        <f aca="false">IF(A1061="","",IF(F1061="İade edildi",0,K1061-I1061))</f>
        <v/>
      </c>
      <c r="M1061" s="17" t="str">
        <f aca="true">IF(A1061="","",IF(J1061&lt;&gt;"",J1061-A1061,TODAY()-A1061))</f>
        <v/>
      </c>
      <c r="N1061" s="18" t="str">
        <f aca="false">IF(A1061="","",IF(AND(OR(F1061="Bekliyor",F1061="Parça bekleniyor",F1061="Hazır"),M1061&gt;7),"7 günü geçti",""))</f>
        <v/>
      </c>
      <c r="O1061" s="18" t="str">
        <f aca="false">IF(AND(A1061&lt;&gt;"",OR(F1061="Bekliyor",F1061="Parça bekleniyor",F1061="Hazır")),A1061+ROW()/1000000,"")</f>
        <v/>
      </c>
    </row>
    <row r="1062" customFormat="false" ht="15" hidden="false" customHeight="false" outlineLevel="0" collapsed="false">
      <c r="A1062" s="12"/>
      <c r="B1062" s="13"/>
      <c r="C1062" s="13"/>
      <c r="D1062" s="13"/>
      <c r="E1062" s="13"/>
      <c r="F1062" s="14"/>
      <c r="G1062" s="15"/>
      <c r="H1062" s="15"/>
      <c r="I1062" s="15"/>
      <c r="J1062" s="12"/>
      <c r="K1062" s="16" t="str">
        <f aca="false">IF(A1062="","",G1062+H1062)</f>
        <v/>
      </c>
      <c r="L1062" s="16" t="str">
        <f aca="false">IF(A1062="","",IF(F1062="İade edildi",0,K1062-I1062))</f>
        <v/>
      </c>
      <c r="M1062" s="17" t="str">
        <f aca="true">IF(A1062="","",IF(J1062&lt;&gt;"",J1062-A1062,TODAY()-A1062))</f>
        <v/>
      </c>
      <c r="N1062" s="18" t="str">
        <f aca="false">IF(A1062="","",IF(AND(OR(F1062="Bekliyor",F1062="Parça bekleniyor",F1062="Hazır"),M1062&gt;7),"7 günü geçti",""))</f>
        <v/>
      </c>
      <c r="O1062" s="18" t="str">
        <f aca="false">IF(AND(A1062&lt;&gt;"",OR(F1062="Bekliyor",F1062="Parça bekleniyor",F1062="Hazır")),A1062+ROW()/1000000,"")</f>
        <v/>
      </c>
    </row>
    <row r="1063" customFormat="false" ht="15" hidden="false" customHeight="false" outlineLevel="0" collapsed="false">
      <c r="A1063" s="12"/>
      <c r="B1063" s="13"/>
      <c r="C1063" s="13"/>
      <c r="D1063" s="13"/>
      <c r="E1063" s="13"/>
      <c r="F1063" s="14"/>
      <c r="G1063" s="15"/>
      <c r="H1063" s="15"/>
      <c r="I1063" s="15"/>
      <c r="J1063" s="12"/>
      <c r="K1063" s="16" t="str">
        <f aca="false">IF(A1063="","",G1063+H1063)</f>
        <v/>
      </c>
      <c r="L1063" s="16" t="str">
        <f aca="false">IF(A1063="","",IF(F1063="İade edildi",0,K1063-I1063))</f>
        <v/>
      </c>
      <c r="M1063" s="17" t="str">
        <f aca="true">IF(A1063="","",IF(J1063&lt;&gt;"",J1063-A1063,TODAY()-A1063))</f>
        <v/>
      </c>
      <c r="N1063" s="18" t="str">
        <f aca="false">IF(A1063="","",IF(AND(OR(F1063="Bekliyor",F1063="Parça bekleniyor",F1063="Hazır"),M1063&gt;7),"7 günü geçti",""))</f>
        <v/>
      </c>
      <c r="O1063" s="18" t="str">
        <f aca="false">IF(AND(A1063&lt;&gt;"",OR(F1063="Bekliyor",F1063="Parça bekleniyor",F1063="Hazır")),A1063+ROW()/1000000,"")</f>
        <v/>
      </c>
    </row>
    <row r="1064" customFormat="false" ht="15" hidden="false" customHeight="false" outlineLevel="0" collapsed="false">
      <c r="A1064" s="12"/>
      <c r="B1064" s="13"/>
      <c r="C1064" s="13"/>
      <c r="D1064" s="13"/>
      <c r="E1064" s="13"/>
      <c r="F1064" s="14"/>
      <c r="G1064" s="15"/>
      <c r="H1064" s="15"/>
      <c r="I1064" s="15"/>
      <c r="J1064" s="12"/>
      <c r="K1064" s="16" t="str">
        <f aca="false">IF(A1064="","",G1064+H1064)</f>
        <v/>
      </c>
      <c r="L1064" s="16" t="str">
        <f aca="false">IF(A1064="","",IF(F1064="İade edildi",0,K1064-I1064))</f>
        <v/>
      </c>
      <c r="M1064" s="17" t="str">
        <f aca="true">IF(A1064="","",IF(J1064&lt;&gt;"",J1064-A1064,TODAY()-A1064))</f>
        <v/>
      </c>
      <c r="N1064" s="18" t="str">
        <f aca="false">IF(A1064="","",IF(AND(OR(F1064="Bekliyor",F1064="Parça bekleniyor",F1064="Hazır"),M1064&gt;7),"7 günü geçti",""))</f>
        <v/>
      </c>
      <c r="O1064" s="18" t="str">
        <f aca="false">IF(AND(A1064&lt;&gt;"",OR(F1064="Bekliyor",F1064="Parça bekleniyor",F1064="Hazır")),A1064+ROW()/1000000,"")</f>
        <v/>
      </c>
    </row>
    <row r="1065" customFormat="false" ht="15" hidden="false" customHeight="false" outlineLevel="0" collapsed="false">
      <c r="A1065" s="12"/>
      <c r="B1065" s="13"/>
      <c r="C1065" s="13"/>
      <c r="D1065" s="13"/>
      <c r="E1065" s="13"/>
      <c r="F1065" s="14"/>
      <c r="G1065" s="15"/>
      <c r="H1065" s="15"/>
      <c r="I1065" s="15"/>
      <c r="J1065" s="12"/>
      <c r="K1065" s="16" t="str">
        <f aca="false">IF(A1065="","",G1065+H1065)</f>
        <v/>
      </c>
      <c r="L1065" s="16" t="str">
        <f aca="false">IF(A1065="","",IF(F1065="İade edildi",0,K1065-I1065))</f>
        <v/>
      </c>
      <c r="M1065" s="17" t="str">
        <f aca="true">IF(A1065="","",IF(J1065&lt;&gt;"",J1065-A1065,TODAY()-A1065))</f>
        <v/>
      </c>
      <c r="N1065" s="18" t="str">
        <f aca="false">IF(A1065="","",IF(AND(OR(F1065="Bekliyor",F1065="Parça bekleniyor",F1065="Hazır"),M1065&gt;7),"7 günü geçti",""))</f>
        <v/>
      </c>
      <c r="O1065" s="18" t="str">
        <f aca="false">IF(AND(A1065&lt;&gt;"",OR(F1065="Bekliyor",F1065="Parça bekleniyor",F1065="Hazır")),A1065+ROW()/1000000,"")</f>
        <v/>
      </c>
    </row>
    <row r="1066" customFormat="false" ht="15" hidden="false" customHeight="false" outlineLevel="0" collapsed="false">
      <c r="A1066" s="12"/>
      <c r="B1066" s="13"/>
      <c r="C1066" s="13"/>
      <c r="D1066" s="13"/>
      <c r="E1066" s="13"/>
      <c r="F1066" s="14"/>
      <c r="G1066" s="15"/>
      <c r="H1066" s="15"/>
      <c r="I1066" s="15"/>
      <c r="J1066" s="12"/>
      <c r="K1066" s="16" t="str">
        <f aca="false">IF(A1066="","",G1066+H1066)</f>
        <v/>
      </c>
      <c r="L1066" s="16" t="str">
        <f aca="false">IF(A1066="","",IF(F1066="İade edildi",0,K1066-I1066))</f>
        <v/>
      </c>
      <c r="M1066" s="17" t="str">
        <f aca="true">IF(A1066="","",IF(J1066&lt;&gt;"",J1066-A1066,TODAY()-A1066))</f>
        <v/>
      </c>
      <c r="N1066" s="18" t="str">
        <f aca="false">IF(A1066="","",IF(AND(OR(F1066="Bekliyor",F1066="Parça bekleniyor",F1066="Hazır"),M1066&gt;7),"7 günü geçti",""))</f>
        <v/>
      </c>
      <c r="O1066" s="18" t="str">
        <f aca="false">IF(AND(A1066&lt;&gt;"",OR(F1066="Bekliyor",F1066="Parça bekleniyor",F1066="Hazır")),A1066+ROW()/1000000,"")</f>
        <v/>
      </c>
    </row>
    <row r="1067" customFormat="false" ht="15" hidden="false" customHeight="false" outlineLevel="0" collapsed="false">
      <c r="A1067" s="12"/>
      <c r="B1067" s="13"/>
      <c r="C1067" s="13"/>
      <c r="D1067" s="13"/>
      <c r="E1067" s="13"/>
      <c r="F1067" s="14"/>
      <c r="G1067" s="15"/>
      <c r="H1067" s="15"/>
      <c r="I1067" s="15"/>
      <c r="J1067" s="12"/>
      <c r="K1067" s="16" t="str">
        <f aca="false">IF(A1067="","",G1067+H1067)</f>
        <v/>
      </c>
      <c r="L1067" s="16" t="str">
        <f aca="false">IF(A1067="","",IF(F1067="İade edildi",0,K1067-I1067))</f>
        <v/>
      </c>
      <c r="M1067" s="17" t="str">
        <f aca="true">IF(A1067="","",IF(J1067&lt;&gt;"",J1067-A1067,TODAY()-A1067))</f>
        <v/>
      </c>
      <c r="N1067" s="18" t="str">
        <f aca="false">IF(A1067="","",IF(AND(OR(F1067="Bekliyor",F1067="Parça bekleniyor",F1067="Hazır"),M1067&gt;7),"7 günü geçti",""))</f>
        <v/>
      </c>
      <c r="O1067" s="18" t="str">
        <f aca="false">IF(AND(A1067&lt;&gt;"",OR(F1067="Bekliyor",F1067="Parça bekleniyor",F1067="Hazır")),A1067+ROW()/1000000,"")</f>
        <v/>
      </c>
    </row>
    <row r="1068" customFormat="false" ht="15" hidden="false" customHeight="false" outlineLevel="0" collapsed="false">
      <c r="A1068" s="12"/>
      <c r="B1068" s="13"/>
      <c r="C1068" s="13"/>
      <c r="D1068" s="13"/>
      <c r="E1068" s="13"/>
      <c r="F1068" s="14"/>
      <c r="G1068" s="15"/>
      <c r="H1068" s="15"/>
      <c r="I1068" s="15"/>
      <c r="J1068" s="12"/>
      <c r="K1068" s="16" t="str">
        <f aca="false">IF(A1068="","",G1068+H1068)</f>
        <v/>
      </c>
      <c r="L1068" s="16" t="str">
        <f aca="false">IF(A1068="","",IF(F1068="İade edildi",0,K1068-I1068))</f>
        <v/>
      </c>
      <c r="M1068" s="17" t="str">
        <f aca="true">IF(A1068="","",IF(J1068&lt;&gt;"",J1068-A1068,TODAY()-A1068))</f>
        <v/>
      </c>
      <c r="N1068" s="18" t="str">
        <f aca="false">IF(A1068="","",IF(AND(OR(F1068="Bekliyor",F1068="Parça bekleniyor",F1068="Hazır"),M1068&gt;7),"7 günü geçti",""))</f>
        <v/>
      </c>
      <c r="O1068" s="18" t="str">
        <f aca="false">IF(AND(A1068&lt;&gt;"",OR(F1068="Bekliyor",F1068="Parça bekleniyor",F1068="Hazır")),A1068+ROW()/1000000,"")</f>
        <v/>
      </c>
    </row>
    <row r="1069" customFormat="false" ht="15" hidden="false" customHeight="false" outlineLevel="0" collapsed="false">
      <c r="A1069" s="12"/>
      <c r="B1069" s="13"/>
      <c r="C1069" s="13"/>
      <c r="D1069" s="13"/>
      <c r="E1069" s="13"/>
      <c r="F1069" s="14"/>
      <c r="G1069" s="15"/>
      <c r="H1069" s="15"/>
      <c r="I1069" s="15"/>
      <c r="J1069" s="12"/>
      <c r="K1069" s="16" t="str">
        <f aca="false">IF(A1069="","",G1069+H1069)</f>
        <v/>
      </c>
      <c r="L1069" s="16" t="str">
        <f aca="false">IF(A1069="","",IF(F1069="İade edildi",0,K1069-I1069))</f>
        <v/>
      </c>
      <c r="M1069" s="17" t="str">
        <f aca="true">IF(A1069="","",IF(J1069&lt;&gt;"",J1069-A1069,TODAY()-A1069))</f>
        <v/>
      </c>
      <c r="N1069" s="18" t="str">
        <f aca="false">IF(A1069="","",IF(AND(OR(F1069="Bekliyor",F1069="Parça bekleniyor",F1069="Hazır"),M1069&gt;7),"7 günü geçti",""))</f>
        <v/>
      </c>
      <c r="O1069" s="18" t="str">
        <f aca="false">IF(AND(A1069&lt;&gt;"",OR(F1069="Bekliyor",F1069="Parça bekleniyor",F1069="Hazır")),A1069+ROW()/1000000,"")</f>
        <v/>
      </c>
    </row>
    <row r="1070" customFormat="false" ht="15" hidden="false" customHeight="false" outlineLevel="0" collapsed="false">
      <c r="A1070" s="12"/>
      <c r="B1070" s="13"/>
      <c r="C1070" s="13"/>
      <c r="D1070" s="13"/>
      <c r="E1070" s="13"/>
      <c r="F1070" s="14"/>
      <c r="G1070" s="15"/>
      <c r="H1070" s="15"/>
      <c r="I1070" s="15"/>
      <c r="J1070" s="12"/>
      <c r="K1070" s="16" t="str">
        <f aca="false">IF(A1070="","",G1070+H1070)</f>
        <v/>
      </c>
      <c r="L1070" s="16" t="str">
        <f aca="false">IF(A1070="","",IF(F1070="İade edildi",0,K1070-I1070))</f>
        <v/>
      </c>
      <c r="M1070" s="17" t="str">
        <f aca="true">IF(A1070="","",IF(J1070&lt;&gt;"",J1070-A1070,TODAY()-A1070))</f>
        <v/>
      </c>
      <c r="N1070" s="18" t="str">
        <f aca="false">IF(A1070="","",IF(AND(OR(F1070="Bekliyor",F1070="Parça bekleniyor",F1070="Hazır"),M1070&gt;7),"7 günü geçti",""))</f>
        <v/>
      </c>
      <c r="O1070" s="18" t="str">
        <f aca="false">IF(AND(A1070&lt;&gt;"",OR(F1070="Bekliyor",F1070="Parça bekleniyor",F1070="Hazır")),A1070+ROW()/1000000,"")</f>
        <v/>
      </c>
    </row>
    <row r="1071" customFormat="false" ht="15" hidden="false" customHeight="false" outlineLevel="0" collapsed="false">
      <c r="A1071" s="12"/>
      <c r="B1071" s="13"/>
      <c r="C1071" s="13"/>
      <c r="D1071" s="13"/>
      <c r="E1071" s="13"/>
      <c r="F1071" s="14"/>
      <c r="G1071" s="15"/>
      <c r="H1071" s="15"/>
      <c r="I1071" s="15"/>
      <c r="J1071" s="12"/>
      <c r="K1071" s="16" t="str">
        <f aca="false">IF(A1071="","",G1071+H1071)</f>
        <v/>
      </c>
      <c r="L1071" s="16" t="str">
        <f aca="false">IF(A1071="","",IF(F1071="İade edildi",0,K1071-I1071))</f>
        <v/>
      </c>
      <c r="M1071" s="17" t="str">
        <f aca="true">IF(A1071="","",IF(J1071&lt;&gt;"",J1071-A1071,TODAY()-A1071))</f>
        <v/>
      </c>
      <c r="N1071" s="18" t="str">
        <f aca="false">IF(A1071="","",IF(AND(OR(F1071="Bekliyor",F1071="Parça bekleniyor",F1071="Hazır"),M1071&gt;7),"7 günü geçti",""))</f>
        <v/>
      </c>
      <c r="O1071" s="18" t="str">
        <f aca="false">IF(AND(A1071&lt;&gt;"",OR(F1071="Bekliyor",F1071="Parça bekleniyor",F1071="Hazır")),A1071+ROW()/1000000,"")</f>
        <v/>
      </c>
    </row>
    <row r="1072" customFormat="false" ht="15" hidden="false" customHeight="false" outlineLevel="0" collapsed="false">
      <c r="A1072" s="12"/>
      <c r="B1072" s="13"/>
      <c r="C1072" s="13"/>
      <c r="D1072" s="13"/>
      <c r="E1072" s="13"/>
      <c r="F1072" s="14"/>
      <c r="G1072" s="15"/>
      <c r="H1072" s="15"/>
      <c r="I1072" s="15"/>
      <c r="J1072" s="12"/>
      <c r="K1072" s="16" t="str">
        <f aca="false">IF(A1072="","",G1072+H1072)</f>
        <v/>
      </c>
      <c r="L1072" s="16" t="str">
        <f aca="false">IF(A1072="","",IF(F1072="İade edildi",0,K1072-I1072))</f>
        <v/>
      </c>
      <c r="M1072" s="17" t="str">
        <f aca="true">IF(A1072="","",IF(J1072&lt;&gt;"",J1072-A1072,TODAY()-A1072))</f>
        <v/>
      </c>
      <c r="N1072" s="18" t="str">
        <f aca="false">IF(A1072="","",IF(AND(OR(F1072="Bekliyor",F1072="Parça bekleniyor",F1072="Hazır"),M1072&gt;7),"7 günü geçti",""))</f>
        <v/>
      </c>
      <c r="O1072" s="18" t="str">
        <f aca="false">IF(AND(A1072&lt;&gt;"",OR(F1072="Bekliyor",F1072="Parça bekleniyor",F1072="Hazır")),A1072+ROW()/1000000,"")</f>
        <v/>
      </c>
    </row>
    <row r="1073" customFormat="false" ht="15" hidden="false" customHeight="false" outlineLevel="0" collapsed="false">
      <c r="A1073" s="12"/>
      <c r="B1073" s="13"/>
      <c r="C1073" s="13"/>
      <c r="D1073" s="13"/>
      <c r="E1073" s="13"/>
      <c r="F1073" s="14"/>
      <c r="G1073" s="15"/>
      <c r="H1073" s="15"/>
      <c r="I1073" s="15"/>
      <c r="J1073" s="12"/>
      <c r="K1073" s="16" t="str">
        <f aca="false">IF(A1073="","",G1073+H1073)</f>
        <v/>
      </c>
      <c r="L1073" s="16" t="str">
        <f aca="false">IF(A1073="","",IF(F1073="İade edildi",0,K1073-I1073))</f>
        <v/>
      </c>
      <c r="M1073" s="17" t="str">
        <f aca="true">IF(A1073="","",IF(J1073&lt;&gt;"",J1073-A1073,TODAY()-A1073))</f>
        <v/>
      </c>
      <c r="N1073" s="18" t="str">
        <f aca="false">IF(A1073="","",IF(AND(OR(F1073="Bekliyor",F1073="Parça bekleniyor",F1073="Hazır"),M1073&gt;7),"7 günü geçti",""))</f>
        <v/>
      </c>
      <c r="O1073" s="18" t="str">
        <f aca="false">IF(AND(A1073&lt;&gt;"",OR(F1073="Bekliyor",F1073="Parça bekleniyor",F1073="Hazır")),A1073+ROW()/1000000,"")</f>
        <v/>
      </c>
    </row>
    <row r="1074" customFormat="false" ht="15" hidden="false" customHeight="false" outlineLevel="0" collapsed="false">
      <c r="A1074" s="12"/>
      <c r="B1074" s="13"/>
      <c r="C1074" s="13"/>
      <c r="D1074" s="13"/>
      <c r="E1074" s="13"/>
      <c r="F1074" s="14"/>
      <c r="G1074" s="15"/>
      <c r="H1074" s="15"/>
      <c r="I1074" s="15"/>
      <c r="J1074" s="12"/>
      <c r="K1074" s="16" t="str">
        <f aca="false">IF(A1074="","",G1074+H1074)</f>
        <v/>
      </c>
      <c r="L1074" s="16" t="str">
        <f aca="false">IF(A1074="","",IF(F1074="İade edildi",0,K1074-I1074))</f>
        <v/>
      </c>
      <c r="M1074" s="17" t="str">
        <f aca="true">IF(A1074="","",IF(J1074&lt;&gt;"",J1074-A1074,TODAY()-A1074))</f>
        <v/>
      </c>
      <c r="N1074" s="18" t="str">
        <f aca="false">IF(A1074="","",IF(AND(OR(F1074="Bekliyor",F1074="Parça bekleniyor",F1074="Hazır"),M1074&gt;7),"7 günü geçti",""))</f>
        <v/>
      </c>
      <c r="O1074" s="18" t="str">
        <f aca="false">IF(AND(A1074&lt;&gt;"",OR(F1074="Bekliyor",F1074="Parça bekleniyor",F1074="Hazır")),A1074+ROW()/1000000,"")</f>
        <v/>
      </c>
    </row>
    <row r="1075" customFormat="false" ht="15" hidden="false" customHeight="false" outlineLevel="0" collapsed="false">
      <c r="A1075" s="12"/>
      <c r="B1075" s="13"/>
      <c r="C1075" s="13"/>
      <c r="D1075" s="13"/>
      <c r="E1075" s="13"/>
      <c r="F1075" s="14"/>
      <c r="G1075" s="15"/>
      <c r="H1075" s="15"/>
      <c r="I1075" s="15"/>
      <c r="J1075" s="12"/>
      <c r="K1075" s="16" t="str">
        <f aca="false">IF(A1075="","",G1075+H1075)</f>
        <v/>
      </c>
      <c r="L1075" s="16" t="str">
        <f aca="false">IF(A1075="","",IF(F1075="İade edildi",0,K1075-I1075))</f>
        <v/>
      </c>
      <c r="M1075" s="17" t="str">
        <f aca="true">IF(A1075="","",IF(J1075&lt;&gt;"",J1075-A1075,TODAY()-A1075))</f>
        <v/>
      </c>
      <c r="N1075" s="18" t="str">
        <f aca="false">IF(A1075="","",IF(AND(OR(F1075="Bekliyor",F1075="Parça bekleniyor",F1075="Hazır"),M1075&gt;7),"7 günü geçti",""))</f>
        <v/>
      </c>
      <c r="O1075" s="18" t="str">
        <f aca="false">IF(AND(A1075&lt;&gt;"",OR(F1075="Bekliyor",F1075="Parça bekleniyor",F1075="Hazır")),A1075+ROW()/1000000,"")</f>
        <v/>
      </c>
    </row>
    <row r="1076" customFormat="false" ht="15" hidden="false" customHeight="false" outlineLevel="0" collapsed="false">
      <c r="A1076" s="12"/>
      <c r="B1076" s="13"/>
      <c r="C1076" s="13"/>
      <c r="D1076" s="13"/>
      <c r="E1076" s="13"/>
      <c r="F1076" s="14"/>
      <c r="G1076" s="15"/>
      <c r="H1076" s="15"/>
      <c r="I1076" s="15"/>
      <c r="J1076" s="12"/>
      <c r="K1076" s="16" t="str">
        <f aca="false">IF(A1076="","",G1076+H1076)</f>
        <v/>
      </c>
      <c r="L1076" s="16" t="str">
        <f aca="false">IF(A1076="","",IF(F1076="İade edildi",0,K1076-I1076))</f>
        <v/>
      </c>
      <c r="M1076" s="17" t="str">
        <f aca="true">IF(A1076="","",IF(J1076&lt;&gt;"",J1076-A1076,TODAY()-A1076))</f>
        <v/>
      </c>
      <c r="N1076" s="18" t="str">
        <f aca="false">IF(A1076="","",IF(AND(OR(F1076="Bekliyor",F1076="Parça bekleniyor",F1076="Hazır"),M1076&gt;7),"7 günü geçti",""))</f>
        <v/>
      </c>
      <c r="O1076" s="18" t="str">
        <f aca="false">IF(AND(A1076&lt;&gt;"",OR(F1076="Bekliyor",F1076="Parça bekleniyor",F1076="Hazır")),A1076+ROW()/1000000,"")</f>
        <v/>
      </c>
    </row>
    <row r="1077" customFormat="false" ht="15" hidden="false" customHeight="false" outlineLevel="0" collapsed="false">
      <c r="A1077" s="12"/>
      <c r="B1077" s="13"/>
      <c r="C1077" s="13"/>
      <c r="D1077" s="13"/>
      <c r="E1077" s="13"/>
      <c r="F1077" s="14"/>
      <c r="G1077" s="15"/>
      <c r="H1077" s="15"/>
      <c r="I1077" s="15"/>
      <c r="J1077" s="12"/>
      <c r="K1077" s="16" t="str">
        <f aca="false">IF(A1077="","",G1077+H1077)</f>
        <v/>
      </c>
      <c r="L1077" s="16" t="str">
        <f aca="false">IF(A1077="","",IF(F1077="İade edildi",0,K1077-I1077))</f>
        <v/>
      </c>
      <c r="M1077" s="17" t="str">
        <f aca="true">IF(A1077="","",IF(J1077&lt;&gt;"",J1077-A1077,TODAY()-A1077))</f>
        <v/>
      </c>
      <c r="N1077" s="18" t="str">
        <f aca="false">IF(A1077="","",IF(AND(OR(F1077="Bekliyor",F1077="Parça bekleniyor",F1077="Hazır"),M1077&gt;7),"7 günü geçti",""))</f>
        <v/>
      </c>
      <c r="O1077" s="18" t="str">
        <f aca="false">IF(AND(A1077&lt;&gt;"",OR(F1077="Bekliyor",F1077="Parça bekleniyor",F1077="Hazır")),A1077+ROW()/1000000,"")</f>
        <v/>
      </c>
    </row>
    <row r="1078" customFormat="false" ht="15" hidden="false" customHeight="false" outlineLevel="0" collapsed="false">
      <c r="A1078" s="12"/>
      <c r="B1078" s="13"/>
      <c r="C1078" s="13"/>
      <c r="D1078" s="13"/>
      <c r="E1078" s="13"/>
      <c r="F1078" s="14"/>
      <c r="G1078" s="15"/>
      <c r="H1078" s="15"/>
      <c r="I1078" s="15"/>
      <c r="J1078" s="12"/>
      <c r="K1078" s="16" t="str">
        <f aca="false">IF(A1078="","",G1078+H1078)</f>
        <v/>
      </c>
      <c r="L1078" s="16" t="str">
        <f aca="false">IF(A1078="","",IF(F1078="İade edildi",0,K1078-I1078))</f>
        <v/>
      </c>
      <c r="M1078" s="17" t="str">
        <f aca="true">IF(A1078="","",IF(J1078&lt;&gt;"",J1078-A1078,TODAY()-A1078))</f>
        <v/>
      </c>
      <c r="N1078" s="18" t="str">
        <f aca="false">IF(A1078="","",IF(AND(OR(F1078="Bekliyor",F1078="Parça bekleniyor",F1078="Hazır"),M1078&gt;7),"7 günü geçti",""))</f>
        <v/>
      </c>
      <c r="O1078" s="18" t="str">
        <f aca="false">IF(AND(A1078&lt;&gt;"",OR(F1078="Bekliyor",F1078="Parça bekleniyor",F1078="Hazır")),A1078+ROW()/1000000,"")</f>
        <v/>
      </c>
    </row>
    <row r="1079" customFormat="false" ht="15" hidden="false" customHeight="false" outlineLevel="0" collapsed="false">
      <c r="A1079" s="12"/>
      <c r="B1079" s="13"/>
      <c r="C1079" s="13"/>
      <c r="D1079" s="13"/>
      <c r="E1079" s="13"/>
      <c r="F1079" s="14"/>
      <c r="G1079" s="15"/>
      <c r="H1079" s="15"/>
      <c r="I1079" s="15"/>
      <c r="J1079" s="12"/>
      <c r="K1079" s="16" t="str">
        <f aca="false">IF(A1079="","",G1079+H1079)</f>
        <v/>
      </c>
      <c r="L1079" s="16" t="str">
        <f aca="false">IF(A1079="","",IF(F1079="İade edildi",0,K1079-I1079))</f>
        <v/>
      </c>
      <c r="M1079" s="17" t="str">
        <f aca="true">IF(A1079="","",IF(J1079&lt;&gt;"",J1079-A1079,TODAY()-A1079))</f>
        <v/>
      </c>
      <c r="N1079" s="18" t="str">
        <f aca="false">IF(A1079="","",IF(AND(OR(F1079="Bekliyor",F1079="Parça bekleniyor",F1079="Hazır"),M1079&gt;7),"7 günü geçti",""))</f>
        <v/>
      </c>
      <c r="O1079" s="18" t="str">
        <f aca="false">IF(AND(A1079&lt;&gt;"",OR(F1079="Bekliyor",F1079="Parça bekleniyor",F1079="Hazır")),A1079+ROW()/1000000,"")</f>
        <v/>
      </c>
    </row>
    <row r="1080" customFormat="false" ht="15" hidden="false" customHeight="false" outlineLevel="0" collapsed="false">
      <c r="A1080" s="12"/>
      <c r="B1080" s="13"/>
      <c r="C1080" s="13"/>
      <c r="D1080" s="13"/>
      <c r="E1080" s="13"/>
      <c r="F1080" s="14"/>
      <c r="G1080" s="15"/>
      <c r="H1080" s="15"/>
      <c r="I1080" s="15"/>
      <c r="J1080" s="12"/>
      <c r="K1080" s="16" t="str">
        <f aca="false">IF(A1080="","",G1080+H1080)</f>
        <v/>
      </c>
      <c r="L1080" s="16" t="str">
        <f aca="false">IF(A1080="","",IF(F1080="İade edildi",0,K1080-I1080))</f>
        <v/>
      </c>
      <c r="M1080" s="17" t="str">
        <f aca="true">IF(A1080="","",IF(J1080&lt;&gt;"",J1080-A1080,TODAY()-A1080))</f>
        <v/>
      </c>
      <c r="N1080" s="18" t="str">
        <f aca="false">IF(A1080="","",IF(AND(OR(F1080="Bekliyor",F1080="Parça bekleniyor",F1080="Hazır"),M1080&gt;7),"7 günü geçti",""))</f>
        <v/>
      </c>
      <c r="O1080" s="18" t="str">
        <f aca="false">IF(AND(A1080&lt;&gt;"",OR(F1080="Bekliyor",F1080="Parça bekleniyor",F1080="Hazır")),A1080+ROW()/1000000,"")</f>
        <v/>
      </c>
    </row>
    <row r="1081" customFormat="false" ht="15" hidden="false" customHeight="false" outlineLevel="0" collapsed="false">
      <c r="A1081" s="12"/>
      <c r="B1081" s="13"/>
      <c r="C1081" s="13"/>
      <c r="D1081" s="13"/>
      <c r="E1081" s="13"/>
      <c r="F1081" s="14"/>
      <c r="G1081" s="15"/>
      <c r="H1081" s="15"/>
      <c r="I1081" s="15"/>
      <c r="J1081" s="12"/>
      <c r="K1081" s="16" t="str">
        <f aca="false">IF(A1081="","",G1081+H1081)</f>
        <v/>
      </c>
      <c r="L1081" s="16" t="str">
        <f aca="false">IF(A1081="","",IF(F1081="İade edildi",0,K1081-I1081))</f>
        <v/>
      </c>
      <c r="M1081" s="17" t="str">
        <f aca="true">IF(A1081="","",IF(J1081&lt;&gt;"",J1081-A1081,TODAY()-A1081))</f>
        <v/>
      </c>
      <c r="N1081" s="18" t="str">
        <f aca="false">IF(A1081="","",IF(AND(OR(F1081="Bekliyor",F1081="Parça bekleniyor",F1081="Hazır"),M1081&gt;7),"7 günü geçti",""))</f>
        <v/>
      </c>
      <c r="O1081" s="18" t="str">
        <f aca="false">IF(AND(A1081&lt;&gt;"",OR(F1081="Bekliyor",F1081="Parça bekleniyor",F1081="Hazır")),A1081+ROW()/1000000,"")</f>
        <v/>
      </c>
    </row>
    <row r="1082" customFormat="false" ht="15" hidden="false" customHeight="false" outlineLevel="0" collapsed="false">
      <c r="A1082" s="12"/>
      <c r="B1082" s="13"/>
      <c r="C1082" s="13"/>
      <c r="D1082" s="13"/>
      <c r="E1082" s="13"/>
      <c r="F1082" s="14"/>
      <c r="G1082" s="15"/>
      <c r="H1082" s="15"/>
      <c r="I1082" s="15"/>
      <c r="J1082" s="12"/>
      <c r="K1082" s="16" t="str">
        <f aca="false">IF(A1082="","",G1082+H1082)</f>
        <v/>
      </c>
      <c r="L1082" s="16" t="str">
        <f aca="false">IF(A1082="","",IF(F1082="İade edildi",0,K1082-I1082))</f>
        <v/>
      </c>
      <c r="M1082" s="17" t="str">
        <f aca="true">IF(A1082="","",IF(J1082&lt;&gt;"",J1082-A1082,TODAY()-A1082))</f>
        <v/>
      </c>
      <c r="N1082" s="18" t="str">
        <f aca="false">IF(A1082="","",IF(AND(OR(F1082="Bekliyor",F1082="Parça bekleniyor",F1082="Hazır"),M1082&gt;7),"7 günü geçti",""))</f>
        <v/>
      </c>
      <c r="O1082" s="18" t="str">
        <f aca="false">IF(AND(A1082&lt;&gt;"",OR(F1082="Bekliyor",F1082="Parça bekleniyor",F1082="Hazır")),A1082+ROW()/1000000,"")</f>
        <v/>
      </c>
    </row>
    <row r="1083" customFormat="false" ht="15" hidden="false" customHeight="false" outlineLevel="0" collapsed="false">
      <c r="A1083" s="12"/>
      <c r="B1083" s="13"/>
      <c r="C1083" s="13"/>
      <c r="D1083" s="13"/>
      <c r="E1083" s="13"/>
      <c r="F1083" s="14"/>
      <c r="G1083" s="15"/>
      <c r="H1083" s="15"/>
      <c r="I1083" s="15"/>
      <c r="J1083" s="12"/>
      <c r="K1083" s="16" t="str">
        <f aca="false">IF(A1083="","",G1083+H1083)</f>
        <v/>
      </c>
      <c r="L1083" s="16" t="str">
        <f aca="false">IF(A1083="","",IF(F1083="İade edildi",0,K1083-I1083))</f>
        <v/>
      </c>
      <c r="M1083" s="17" t="str">
        <f aca="true">IF(A1083="","",IF(J1083&lt;&gt;"",J1083-A1083,TODAY()-A1083))</f>
        <v/>
      </c>
      <c r="N1083" s="18" t="str">
        <f aca="false">IF(A1083="","",IF(AND(OR(F1083="Bekliyor",F1083="Parça bekleniyor",F1083="Hazır"),M1083&gt;7),"7 günü geçti",""))</f>
        <v/>
      </c>
      <c r="O1083" s="18" t="str">
        <f aca="false">IF(AND(A1083&lt;&gt;"",OR(F1083="Bekliyor",F1083="Parça bekleniyor",F1083="Hazır")),A1083+ROW()/1000000,"")</f>
        <v/>
      </c>
    </row>
    <row r="1084" customFormat="false" ht="15" hidden="false" customHeight="false" outlineLevel="0" collapsed="false">
      <c r="A1084" s="12"/>
      <c r="B1084" s="13"/>
      <c r="C1084" s="13"/>
      <c r="D1084" s="13"/>
      <c r="E1084" s="13"/>
      <c r="F1084" s="14"/>
      <c r="G1084" s="15"/>
      <c r="H1084" s="15"/>
      <c r="I1084" s="15"/>
      <c r="J1084" s="12"/>
      <c r="K1084" s="16" t="str">
        <f aca="false">IF(A1084="","",G1084+H1084)</f>
        <v/>
      </c>
      <c r="L1084" s="16" t="str">
        <f aca="false">IF(A1084="","",IF(F1084="İade edildi",0,K1084-I1084))</f>
        <v/>
      </c>
      <c r="M1084" s="17" t="str">
        <f aca="true">IF(A1084="","",IF(J1084&lt;&gt;"",J1084-A1084,TODAY()-A1084))</f>
        <v/>
      </c>
      <c r="N1084" s="18" t="str">
        <f aca="false">IF(A1084="","",IF(AND(OR(F1084="Bekliyor",F1084="Parça bekleniyor",F1084="Hazır"),M1084&gt;7),"7 günü geçti",""))</f>
        <v/>
      </c>
      <c r="O1084" s="18" t="str">
        <f aca="false">IF(AND(A1084&lt;&gt;"",OR(F1084="Bekliyor",F1084="Parça bekleniyor",F1084="Hazır")),A1084+ROW()/1000000,"")</f>
        <v/>
      </c>
    </row>
    <row r="1085" customFormat="false" ht="15" hidden="false" customHeight="false" outlineLevel="0" collapsed="false">
      <c r="A1085" s="12"/>
      <c r="B1085" s="13"/>
      <c r="C1085" s="13"/>
      <c r="D1085" s="13"/>
      <c r="E1085" s="13"/>
      <c r="F1085" s="14"/>
      <c r="G1085" s="15"/>
      <c r="H1085" s="15"/>
      <c r="I1085" s="15"/>
      <c r="J1085" s="12"/>
      <c r="K1085" s="16" t="str">
        <f aca="false">IF(A1085="","",G1085+H1085)</f>
        <v/>
      </c>
      <c r="L1085" s="16" t="str">
        <f aca="false">IF(A1085="","",IF(F1085="İade edildi",0,K1085-I1085))</f>
        <v/>
      </c>
      <c r="M1085" s="17" t="str">
        <f aca="true">IF(A1085="","",IF(J1085&lt;&gt;"",J1085-A1085,TODAY()-A1085))</f>
        <v/>
      </c>
      <c r="N1085" s="18" t="str">
        <f aca="false">IF(A1085="","",IF(AND(OR(F1085="Bekliyor",F1085="Parça bekleniyor",F1085="Hazır"),M1085&gt;7),"7 günü geçti",""))</f>
        <v/>
      </c>
      <c r="O1085" s="18" t="str">
        <f aca="false">IF(AND(A1085&lt;&gt;"",OR(F1085="Bekliyor",F1085="Parça bekleniyor",F1085="Hazır")),A1085+ROW()/1000000,"")</f>
        <v/>
      </c>
    </row>
    <row r="1086" customFormat="false" ht="15" hidden="false" customHeight="false" outlineLevel="0" collapsed="false">
      <c r="A1086" s="12"/>
      <c r="B1086" s="13"/>
      <c r="C1086" s="13"/>
      <c r="D1086" s="13"/>
      <c r="E1086" s="13"/>
      <c r="F1086" s="14"/>
      <c r="G1086" s="15"/>
      <c r="H1086" s="15"/>
      <c r="I1086" s="15"/>
      <c r="J1086" s="12"/>
      <c r="K1086" s="16" t="str">
        <f aca="false">IF(A1086="","",G1086+H1086)</f>
        <v/>
      </c>
      <c r="L1086" s="16" t="str">
        <f aca="false">IF(A1086="","",IF(F1086="İade edildi",0,K1086-I1086))</f>
        <v/>
      </c>
      <c r="M1086" s="17" t="str">
        <f aca="true">IF(A1086="","",IF(J1086&lt;&gt;"",J1086-A1086,TODAY()-A1086))</f>
        <v/>
      </c>
      <c r="N1086" s="18" t="str">
        <f aca="false">IF(A1086="","",IF(AND(OR(F1086="Bekliyor",F1086="Parça bekleniyor",F1086="Hazır"),M1086&gt;7),"7 günü geçti",""))</f>
        <v/>
      </c>
      <c r="O1086" s="18" t="str">
        <f aca="false">IF(AND(A1086&lt;&gt;"",OR(F1086="Bekliyor",F1086="Parça bekleniyor",F1086="Hazır")),A1086+ROW()/1000000,"")</f>
        <v/>
      </c>
    </row>
    <row r="1087" customFormat="false" ht="15" hidden="false" customHeight="false" outlineLevel="0" collapsed="false">
      <c r="A1087" s="12"/>
      <c r="B1087" s="13"/>
      <c r="C1087" s="13"/>
      <c r="D1087" s="13"/>
      <c r="E1087" s="13"/>
      <c r="F1087" s="14"/>
      <c r="G1087" s="15"/>
      <c r="H1087" s="15"/>
      <c r="I1087" s="15"/>
      <c r="J1087" s="12"/>
      <c r="K1087" s="16" t="str">
        <f aca="false">IF(A1087="","",G1087+H1087)</f>
        <v/>
      </c>
      <c r="L1087" s="16" t="str">
        <f aca="false">IF(A1087="","",IF(F1087="İade edildi",0,K1087-I1087))</f>
        <v/>
      </c>
      <c r="M1087" s="17" t="str">
        <f aca="true">IF(A1087="","",IF(J1087&lt;&gt;"",J1087-A1087,TODAY()-A1087))</f>
        <v/>
      </c>
      <c r="N1087" s="18" t="str">
        <f aca="false">IF(A1087="","",IF(AND(OR(F1087="Bekliyor",F1087="Parça bekleniyor",F1087="Hazır"),M1087&gt;7),"7 günü geçti",""))</f>
        <v/>
      </c>
      <c r="O1087" s="18" t="str">
        <f aca="false">IF(AND(A1087&lt;&gt;"",OR(F1087="Bekliyor",F1087="Parça bekleniyor",F1087="Hazır")),A1087+ROW()/1000000,"")</f>
        <v/>
      </c>
    </row>
    <row r="1088" customFormat="false" ht="15" hidden="false" customHeight="false" outlineLevel="0" collapsed="false">
      <c r="A1088" s="12"/>
      <c r="B1088" s="13"/>
      <c r="C1088" s="13"/>
      <c r="D1088" s="13"/>
      <c r="E1088" s="13"/>
      <c r="F1088" s="14"/>
      <c r="G1088" s="15"/>
      <c r="H1088" s="15"/>
      <c r="I1088" s="15"/>
      <c r="J1088" s="12"/>
      <c r="K1088" s="16" t="str">
        <f aca="false">IF(A1088="","",G1088+H1088)</f>
        <v/>
      </c>
      <c r="L1088" s="16" t="str">
        <f aca="false">IF(A1088="","",IF(F1088="İade edildi",0,K1088-I1088))</f>
        <v/>
      </c>
      <c r="M1088" s="17" t="str">
        <f aca="true">IF(A1088="","",IF(J1088&lt;&gt;"",J1088-A1088,TODAY()-A1088))</f>
        <v/>
      </c>
      <c r="N1088" s="18" t="str">
        <f aca="false">IF(A1088="","",IF(AND(OR(F1088="Bekliyor",F1088="Parça bekleniyor",F1088="Hazır"),M1088&gt;7),"7 günü geçti",""))</f>
        <v/>
      </c>
      <c r="O1088" s="18" t="str">
        <f aca="false">IF(AND(A1088&lt;&gt;"",OR(F1088="Bekliyor",F1088="Parça bekleniyor",F1088="Hazır")),A1088+ROW()/1000000,"")</f>
        <v/>
      </c>
    </row>
    <row r="1089" customFormat="false" ht="15" hidden="false" customHeight="false" outlineLevel="0" collapsed="false">
      <c r="A1089" s="12"/>
      <c r="B1089" s="13"/>
      <c r="C1089" s="13"/>
      <c r="D1089" s="13"/>
      <c r="E1089" s="13"/>
      <c r="F1089" s="14"/>
      <c r="G1089" s="15"/>
      <c r="H1089" s="15"/>
      <c r="I1089" s="15"/>
      <c r="J1089" s="12"/>
      <c r="K1089" s="16" t="str">
        <f aca="false">IF(A1089="","",G1089+H1089)</f>
        <v/>
      </c>
      <c r="L1089" s="16" t="str">
        <f aca="false">IF(A1089="","",IF(F1089="İade edildi",0,K1089-I1089))</f>
        <v/>
      </c>
      <c r="M1089" s="17" t="str">
        <f aca="true">IF(A1089="","",IF(J1089&lt;&gt;"",J1089-A1089,TODAY()-A1089))</f>
        <v/>
      </c>
      <c r="N1089" s="18" t="str">
        <f aca="false">IF(A1089="","",IF(AND(OR(F1089="Bekliyor",F1089="Parça bekleniyor",F1089="Hazır"),M1089&gt;7),"7 günü geçti",""))</f>
        <v/>
      </c>
      <c r="O1089" s="18" t="str">
        <f aca="false">IF(AND(A1089&lt;&gt;"",OR(F1089="Bekliyor",F1089="Parça bekleniyor",F1089="Hazır")),A1089+ROW()/1000000,"")</f>
        <v/>
      </c>
    </row>
    <row r="1090" customFormat="false" ht="15" hidden="false" customHeight="false" outlineLevel="0" collapsed="false">
      <c r="A1090" s="12"/>
      <c r="B1090" s="13"/>
      <c r="C1090" s="13"/>
      <c r="D1090" s="13"/>
      <c r="E1090" s="13"/>
      <c r="F1090" s="14"/>
      <c r="G1090" s="15"/>
      <c r="H1090" s="15"/>
      <c r="I1090" s="15"/>
      <c r="J1090" s="12"/>
      <c r="K1090" s="16" t="str">
        <f aca="false">IF(A1090="","",G1090+H1090)</f>
        <v/>
      </c>
      <c r="L1090" s="16" t="str">
        <f aca="false">IF(A1090="","",IF(F1090="İade edildi",0,K1090-I1090))</f>
        <v/>
      </c>
      <c r="M1090" s="17" t="str">
        <f aca="true">IF(A1090="","",IF(J1090&lt;&gt;"",J1090-A1090,TODAY()-A1090))</f>
        <v/>
      </c>
      <c r="N1090" s="18" t="str">
        <f aca="false">IF(A1090="","",IF(AND(OR(F1090="Bekliyor",F1090="Parça bekleniyor",F1090="Hazır"),M1090&gt;7),"7 günü geçti",""))</f>
        <v/>
      </c>
      <c r="O1090" s="18" t="str">
        <f aca="false">IF(AND(A1090&lt;&gt;"",OR(F1090="Bekliyor",F1090="Parça bekleniyor",F1090="Hazır")),A1090+ROW()/1000000,"")</f>
        <v/>
      </c>
    </row>
    <row r="1091" customFormat="false" ht="15" hidden="false" customHeight="false" outlineLevel="0" collapsed="false">
      <c r="A1091" s="12"/>
      <c r="B1091" s="13"/>
      <c r="C1091" s="13"/>
      <c r="D1091" s="13"/>
      <c r="E1091" s="13"/>
      <c r="F1091" s="14"/>
      <c r="G1091" s="15"/>
      <c r="H1091" s="15"/>
      <c r="I1091" s="15"/>
      <c r="J1091" s="12"/>
      <c r="K1091" s="16" t="str">
        <f aca="false">IF(A1091="","",G1091+H1091)</f>
        <v/>
      </c>
      <c r="L1091" s="16" t="str">
        <f aca="false">IF(A1091="","",IF(F1091="İade edildi",0,K1091-I1091))</f>
        <v/>
      </c>
      <c r="M1091" s="17" t="str">
        <f aca="true">IF(A1091="","",IF(J1091&lt;&gt;"",J1091-A1091,TODAY()-A1091))</f>
        <v/>
      </c>
      <c r="N1091" s="18" t="str">
        <f aca="false">IF(A1091="","",IF(AND(OR(F1091="Bekliyor",F1091="Parça bekleniyor",F1091="Hazır"),M1091&gt;7),"7 günü geçti",""))</f>
        <v/>
      </c>
      <c r="O1091" s="18" t="str">
        <f aca="false">IF(AND(A1091&lt;&gt;"",OR(F1091="Bekliyor",F1091="Parça bekleniyor",F1091="Hazır")),A1091+ROW()/1000000,"")</f>
        <v/>
      </c>
    </row>
    <row r="1092" customFormat="false" ht="15" hidden="false" customHeight="false" outlineLevel="0" collapsed="false">
      <c r="A1092" s="12"/>
      <c r="B1092" s="13"/>
      <c r="C1092" s="13"/>
      <c r="D1092" s="13"/>
      <c r="E1092" s="13"/>
      <c r="F1092" s="14"/>
      <c r="G1092" s="15"/>
      <c r="H1092" s="15"/>
      <c r="I1092" s="15"/>
      <c r="J1092" s="12"/>
      <c r="K1092" s="16" t="str">
        <f aca="false">IF(A1092="","",G1092+H1092)</f>
        <v/>
      </c>
      <c r="L1092" s="16" t="str">
        <f aca="false">IF(A1092="","",IF(F1092="İade edildi",0,K1092-I1092))</f>
        <v/>
      </c>
      <c r="M1092" s="17" t="str">
        <f aca="true">IF(A1092="","",IF(J1092&lt;&gt;"",J1092-A1092,TODAY()-A1092))</f>
        <v/>
      </c>
      <c r="N1092" s="18" t="str">
        <f aca="false">IF(A1092="","",IF(AND(OR(F1092="Bekliyor",F1092="Parça bekleniyor",F1092="Hazır"),M1092&gt;7),"7 günü geçti",""))</f>
        <v/>
      </c>
      <c r="O1092" s="18" t="str">
        <f aca="false">IF(AND(A1092&lt;&gt;"",OR(F1092="Bekliyor",F1092="Parça bekleniyor",F1092="Hazır")),A1092+ROW()/1000000,"")</f>
        <v/>
      </c>
    </row>
    <row r="1093" customFormat="false" ht="15" hidden="false" customHeight="false" outlineLevel="0" collapsed="false">
      <c r="A1093" s="12"/>
      <c r="B1093" s="13"/>
      <c r="C1093" s="13"/>
      <c r="D1093" s="13"/>
      <c r="E1093" s="13"/>
      <c r="F1093" s="14"/>
      <c r="G1093" s="15"/>
      <c r="H1093" s="15"/>
      <c r="I1093" s="15"/>
      <c r="J1093" s="12"/>
      <c r="K1093" s="16" t="str">
        <f aca="false">IF(A1093="","",G1093+H1093)</f>
        <v/>
      </c>
      <c r="L1093" s="16" t="str">
        <f aca="false">IF(A1093="","",IF(F1093="İade edildi",0,K1093-I1093))</f>
        <v/>
      </c>
      <c r="M1093" s="17" t="str">
        <f aca="true">IF(A1093="","",IF(J1093&lt;&gt;"",J1093-A1093,TODAY()-A1093))</f>
        <v/>
      </c>
      <c r="N1093" s="18" t="str">
        <f aca="false">IF(A1093="","",IF(AND(OR(F1093="Bekliyor",F1093="Parça bekleniyor",F1093="Hazır"),M1093&gt;7),"7 günü geçti",""))</f>
        <v/>
      </c>
      <c r="O1093" s="18" t="str">
        <f aca="false">IF(AND(A1093&lt;&gt;"",OR(F1093="Bekliyor",F1093="Parça bekleniyor",F1093="Hazır")),A1093+ROW()/1000000,"")</f>
        <v/>
      </c>
    </row>
    <row r="1094" customFormat="false" ht="15" hidden="false" customHeight="false" outlineLevel="0" collapsed="false">
      <c r="A1094" s="12"/>
      <c r="B1094" s="13"/>
      <c r="C1094" s="13"/>
      <c r="D1094" s="13"/>
      <c r="E1094" s="13"/>
      <c r="F1094" s="14"/>
      <c r="G1094" s="15"/>
      <c r="H1094" s="15"/>
      <c r="I1094" s="15"/>
      <c r="J1094" s="12"/>
      <c r="K1094" s="16" t="str">
        <f aca="false">IF(A1094="","",G1094+H1094)</f>
        <v/>
      </c>
      <c r="L1094" s="16" t="str">
        <f aca="false">IF(A1094="","",IF(F1094="İade edildi",0,K1094-I1094))</f>
        <v/>
      </c>
      <c r="M1094" s="17" t="str">
        <f aca="true">IF(A1094="","",IF(J1094&lt;&gt;"",J1094-A1094,TODAY()-A1094))</f>
        <v/>
      </c>
      <c r="N1094" s="18" t="str">
        <f aca="false">IF(A1094="","",IF(AND(OR(F1094="Bekliyor",F1094="Parça bekleniyor",F1094="Hazır"),M1094&gt;7),"7 günü geçti",""))</f>
        <v/>
      </c>
      <c r="O1094" s="18" t="str">
        <f aca="false">IF(AND(A1094&lt;&gt;"",OR(F1094="Bekliyor",F1094="Parça bekleniyor",F1094="Hazır")),A1094+ROW()/1000000,"")</f>
        <v/>
      </c>
    </row>
    <row r="1095" customFormat="false" ht="15" hidden="false" customHeight="false" outlineLevel="0" collapsed="false">
      <c r="A1095" s="12"/>
      <c r="B1095" s="13"/>
      <c r="C1095" s="13"/>
      <c r="D1095" s="13"/>
      <c r="E1095" s="13"/>
      <c r="F1095" s="14"/>
      <c r="G1095" s="15"/>
      <c r="H1095" s="15"/>
      <c r="I1095" s="15"/>
      <c r="J1095" s="12"/>
      <c r="K1095" s="16" t="str">
        <f aca="false">IF(A1095="","",G1095+H1095)</f>
        <v/>
      </c>
      <c r="L1095" s="16" t="str">
        <f aca="false">IF(A1095="","",IF(F1095="İade edildi",0,K1095-I1095))</f>
        <v/>
      </c>
      <c r="M1095" s="17" t="str">
        <f aca="true">IF(A1095="","",IF(J1095&lt;&gt;"",J1095-A1095,TODAY()-A1095))</f>
        <v/>
      </c>
      <c r="N1095" s="18" t="str">
        <f aca="false">IF(A1095="","",IF(AND(OR(F1095="Bekliyor",F1095="Parça bekleniyor",F1095="Hazır"),M1095&gt;7),"7 günü geçti",""))</f>
        <v/>
      </c>
      <c r="O1095" s="18" t="str">
        <f aca="false">IF(AND(A1095&lt;&gt;"",OR(F1095="Bekliyor",F1095="Parça bekleniyor",F1095="Hazır")),A1095+ROW()/1000000,"")</f>
        <v/>
      </c>
    </row>
    <row r="1096" customFormat="false" ht="15" hidden="false" customHeight="false" outlineLevel="0" collapsed="false">
      <c r="A1096" s="12"/>
      <c r="B1096" s="13"/>
      <c r="C1096" s="13"/>
      <c r="D1096" s="13"/>
      <c r="E1096" s="13"/>
      <c r="F1096" s="14"/>
      <c r="G1096" s="15"/>
      <c r="H1096" s="15"/>
      <c r="I1096" s="15"/>
      <c r="J1096" s="12"/>
      <c r="K1096" s="16" t="str">
        <f aca="false">IF(A1096="","",G1096+H1096)</f>
        <v/>
      </c>
      <c r="L1096" s="16" t="str">
        <f aca="false">IF(A1096="","",IF(F1096="İade edildi",0,K1096-I1096))</f>
        <v/>
      </c>
      <c r="M1096" s="17" t="str">
        <f aca="true">IF(A1096="","",IF(J1096&lt;&gt;"",J1096-A1096,TODAY()-A1096))</f>
        <v/>
      </c>
      <c r="N1096" s="18" t="str">
        <f aca="false">IF(A1096="","",IF(AND(OR(F1096="Bekliyor",F1096="Parça bekleniyor",F1096="Hazır"),M1096&gt;7),"7 günü geçti",""))</f>
        <v/>
      </c>
      <c r="O1096" s="18" t="str">
        <f aca="false">IF(AND(A1096&lt;&gt;"",OR(F1096="Bekliyor",F1096="Parça bekleniyor",F1096="Hazır")),A1096+ROW()/1000000,"")</f>
        <v/>
      </c>
    </row>
    <row r="1097" customFormat="false" ht="15" hidden="false" customHeight="false" outlineLevel="0" collapsed="false">
      <c r="A1097" s="12"/>
      <c r="B1097" s="13"/>
      <c r="C1097" s="13"/>
      <c r="D1097" s="13"/>
      <c r="E1097" s="13"/>
      <c r="F1097" s="14"/>
      <c r="G1097" s="15"/>
      <c r="H1097" s="15"/>
      <c r="I1097" s="15"/>
      <c r="J1097" s="12"/>
      <c r="K1097" s="16" t="str">
        <f aca="false">IF(A1097="","",G1097+H1097)</f>
        <v/>
      </c>
      <c r="L1097" s="16" t="str">
        <f aca="false">IF(A1097="","",IF(F1097="İade edildi",0,K1097-I1097))</f>
        <v/>
      </c>
      <c r="M1097" s="17" t="str">
        <f aca="true">IF(A1097="","",IF(J1097&lt;&gt;"",J1097-A1097,TODAY()-A1097))</f>
        <v/>
      </c>
      <c r="N1097" s="18" t="str">
        <f aca="false">IF(A1097="","",IF(AND(OR(F1097="Bekliyor",F1097="Parça bekleniyor",F1097="Hazır"),M1097&gt;7),"7 günü geçti",""))</f>
        <v/>
      </c>
      <c r="O1097" s="18" t="str">
        <f aca="false">IF(AND(A1097&lt;&gt;"",OR(F1097="Bekliyor",F1097="Parça bekleniyor",F1097="Hazır")),A1097+ROW()/1000000,"")</f>
        <v/>
      </c>
    </row>
    <row r="1098" customFormat="false" ht="15" hidden="false" customHeight="false" outlineLevel="0" collapsed="false">
      <c r="A1098" s="12"/>
      <c r="B1098" s="13"/>
      <c r="C1098" s="13"/>
      <c r="D1098" s="13"/>
      <c r="E1098" s="13"/>
      <c r="F1098" s="14"/>
      <c r="G1098" s="15"/>
      <c r="H1098" s="15"/>
      <c r="I1098" s="15"/>
      <c r="J1098" s="12"/>
      <c r="K1098" s="16" t="str">
        <f aca="false">IF(A1098="","",G1098+H1098)</f>
        <v/>
      </c>
      <c r="L1098" s="16" t="str">
        <f aca="false">IF(A1098="","",IF(F1098="İade edildi",0,K1098-I1098))</f>
        <v/>
      </c>
      <c r="M1098" s="17" t="str">
        <f aca="true">IF(A1098="","",IF(J1098&lt;&gt;"",J1098-A1098,TODAY()-A1098))</f>
        <v/>
      </c>
      <c r="N1098" s="18" t="str">
        <f aca="false">IF(A1098="","",IF(AND(OR(F1098="Bekliyor",F1098="Parça bekleniyor",F1098="Hazır"),M1098&gt;7),"7 günü geçti",""))</f>
        <v/>
      </c>
      <c r="O1098" s="18" t="str">
        <f aca="false">IF(AND(A1098&lt;&gt;"",OR(F1098="Bekliyor",F1098="Parça bekleniyor",F1098="Hazır")),A1098+ROW()/1000000,"")</f>
        <v/>
      </c>
    </row>
    <row r="1099" customFormat="false" ht="15" hidden="false" customHeight="false" outlineLevel="0" collapsed="false">
      <c r="A1099" s="12"/>
      <c r="B1099" s="13"/>
      <c r="C1099" s="13"/>
      <c r="D1099" s="13"/>
      <c r="E1099" s="13"/>
      <c r="F1099" s="14"/>
      <c r="G1099" s="15"/>
      <c r="H1099" s="15"/>
      <c r="I1099" s="15"/>
      <c r="J1099" s="12"/>
      <c r="K1099" s="16" t="str">
        <f aca="false">IF(A1099="","",G1099+H1099)</f>
        <v/>
      </c>
      <c r="L1099" s="16" t="str">
        <f aca="false">IF(A1099="","",IF(F1099="İade edildi",0,K1099-I1099))</f>
        <v/>
      </c>
      <c r="M1099" s="17" t="str">
        <f aca="true">IF(A1099="","",IF(J1099&lt;&gt;"",J1099-A1099,TODAY()-A1099))</f>
        <v/>
      </c>
      <c r="N1099" s="18" t="str">
        <f aca="false">IF(A1099="","",IF(AND(OR(F1099="Bekliyor",F1099="Parça bekleniyor",F1099="Hazır"),M1099&gt;7),"7 günü geçti",""))</f>
        <v/>
      </c>
      <c r="O1099" s="18" t="str">
        <f aca="false">IF(AND(A1099&lt;&gt;"",OR(F1099="Bekliyor",F1099="Parça bekleniyor",F1099="Hazır")),A1099+ROW()/1000000,"")</f>
        <v/>
      </c>
    </row>
    <row r="1100" customFormat="false" ht="15" hidden="false" customHeight="false" outlineLevel="0" collapsed="false">
      <c r="A1100" s="12"/>
      <c r="B1100" s="13"/>
      <c r="C1100" s="13"/>
      <c r="D1100" s="13"/>
      <c r="E1100" s="13"/>
      <c r="F1100" s="14"/>
      <c r="G1100" s="15"/>
      <c r="H1100" s="15"/>
      <c r="I1100" s="15"/>
      <c r="J1100" s="12"/>
      <c r="K1100" s="16" t="str">
        <f aca="false">IF(A1100="","",G1100+H1100)</f>
        <v/>
      </c>
      <c r="L1100" s="16" t="str">
        <f aca="false">IF(A1100="","",IF(F1100="İade edildi",0,K1100-I1100))</f>
        <v/>
      </c>
      <c r="M1100" s="17" t="str">
        <f aca="true">IF(A1100="","",IF(J1100&lt;&gt;"",J1100-A1100,TODAY()-A1100))</f>
        <v/>
      </c>
      <c r="N1100" s="18" t="str">
        <f aca="false">IF(A1100="","",IF(AND(OR(F1100="Bekliyor",F1100="Parça bekleniyor",F1100="Hazır"),M1100&gt;7),"7 günü geçti",""))</f>
        <v/>
      </c>
      <c r="O1100" s="18" t="str">
        <f aca="false">IF(AND(A1100&lt;&gt;"",OR(F1100="Bekliyor",F1100="Parça bekleniyor",F1100="Hazır")),A1100+ROW()/1000000,"")</f>
        <v/>
      </c>
    </row>
    <row r="1101" customFormat="false" ht="15" hidden="false" customHeight="false" outlineLevel="0" collapsed="false">
      <c r="A1101" s="12"/>
      <c r="B1101" s="13"/>
      <c r="C1101" s="13"/>
      <c r="D1101" s="13"/>
      <c r="E1101" s="13"/>
      <c r="F1101" s="14"/>
      <c r="G1101" s="15"/>
      <c r="H1101" s="15"/>
      <c r="I1101" s="15"/>
      <c r="J1101" s="12"/>
      <c r="K1101" s="16" t="str">
        <f aca="false">IF(A1101="","",G1101+H1101)</f>
        <v/>
      </c>
      <c r="L1101" s="16" t="str">
        <f aca="false">IF(A1101="","",IF(F1101="İade edildi",0,K1101-I1101))</f>
        <v/>
      </c>
      <c r="M1101" s="17" t="str">
        <f aca="true">IF(A1101="","",IF(J1101&lt;&gt;"",J1101-A1101,TODAY()-A1101))</f>
        <v/>
      </c>
      <c r="N1101" s="18" t="str">
        <f aca="false">IF(A1101="","",IF(AND(OR(F1101="Bekliyor",F1101="Parça bekleniyor",F1101="Hazır"),M1101&gt;7),"7 günü geçti",""))</f>
        <v/>
      </c>
      <c r="O1101" s="18" t="str">
        <f aca="false">IF(AND(A1101&lt;&gt;"",OR(F1101="Bekliyor",F1101="Parça bekleniyor",F1101="Hazır")),A1101+ROW()/1000000,"")</f>
        <v/>
      </c>
    </row>
    <row r="1102" customFormat="false" ht="15" hidden="false" customHeight="false" outlineLevel="0" collapsed="false">
      <c r="A1102" s="12"/>
      <c r="B1102" s="13"/>
      <c r="C1102" s="13"/>
      <c r="D1102" s="13"/>
      <c r="E1102" s="13"/>
      <c r="F1102" s="14"/>
      <c r="G1102" s="15"/>
      <c r="H1102" s="15"/>
      <c r="I1102" s="15"/>
      <c r="J1102" s="12"/>
      <c r="K1102" s="16" t="str">
        <f aca="false">IF(A1102="","",G1102+H1102)</f>
        <v/>
      </c>
      <c r="L1102" s="16" t="str">
        <f aca="false">IF(A1102="","",IF(F1102="İade edildi",0,K1102-I1102))</f>
        <v/>
      </c>
      <c r="M1102" s="17" t="str">
        <f aca="true">IF(A1102="","",IF(J1102&lt;&gt;"",J1102-A1102,TODAY()-A1102))</f>
        <v/>
      </c>
      <c r="N1102" s="18" t="str">
        <f aca="false">IF(A1102="","",IF(AND(OR(F1102="Bekliyor",F1102="Parça bekleniyor",F1102="Hazır"),M1102&gt;7),"7 günü geçti",""))</f>
        <v/>
      </c>
      <c r="O1102" s="18" t="str">
        <f aca="false">IF(AND(A1102&lt;&gt;"",OR(F1102="Bekliyor",F1102="Parça bekleniyor",F1102="Hazır")),A1102+ROW()/1000000,"")</f>
        <v/>
      </c>
    </row>
    <row r="1103" customFormat="false" ht="15" hidden="false" customHeight="false" outlineLevel="0" collapsed="false">
      <c r="A1103" s="12"/>
      <c r="B1103" s="13"/>
      <c r="C1103" s="13"/>
      <c r="D1103" s="13"/>
      <c r="E1103" s="13"/>
      <c r="F1103" s="14"/>
      <c r="G1103" s="15"/>
      <c r="H1103" s="15"/>
      <c r="I1103" s="15"/>
      <c r="J1103" s="12"/>
      <c r="K1103" s="16" t="str">
        <f aca="false">IF(A1103="","",G1103+H1103)</f>
        <v/>
      </c>
      <c r="L1103" s="16" t="str">
        <f aca="false">IF(A1103="","",IF(F1103="İade edildi",0,K1103-I1103))</f>
        <v/>
      </c>
      <c r="M1103" s="17" t="str">
        <f aca="true">IF(A1103="","",IF(J1103&lt;&gt;"",J1103-A1103,TODAY()-A1103))</f>
        <v/>
      </c>
      <c r="N1103" s="18" t="str">
        <f aca="false">IF(A1103="","",IF(AND(OR(F1103="Bekliyor",F1103="Parça bekleniyor",F1103="Hazır"),M1103&gt;7),"7 günü geçti",""))</f>
        <v/>
      </c>
      <c r="O1103" s="18" t="str">
        <f aca="false">IF(AND(A1103&lt;&gt;"",OR(F1103="Bekliyor",F1103="Parça bekleniyor",F1103="Hazır")),A1103+ROW()/1000000,"")</f>
        <v/>
      </c>
    </row>
    <row r="1104" customFormat="false" ht="15" hidden="false" customHeight="false" outlineLevel="0" collapsed="false">
      <c r="A1104" s="12"/>
      <c r="B1104" s="13"/>
      <c r="C1104" s="13"/>
      <c r="D1104" s="13"/>
      <c r="E1104" s="13"/>
      <c r="F1104" s="14"/>
      <c r="G1104" s="15"/>
      <c r="H1104" s="15"/>
      <c r="I1104" s="15"/>
      <c r="J1104" s="12"/>
      <c r="K1104" s="16" t="str">
        <f aca="false">IF(A1104="","",G1104+H1104)</f>
        <v/>
      </c>
      <c r="L1104" s="16" t="str">
        <f aca="false">IF(A1104="","",IF(F1104="İade edildi",0,K1104-I1104))</f>
        <v/>
      </c>
      <c r="M1104" s="17" t="str">
        <f aca="true">IF(A1104="","",IF(J1104&lt;&gt;"",J1104-A1104,TODAY()-A1104))</f>
        <v/>
      </c>
      <c r="N1104" s="18" t="str">
        <f aca="false">IF(A1104="","",IF(AND(OR(F1104="Bekliyor",F1104="Parça bekleniyor",F1104="Hazır"),M1104&gt;7),"7 günü geçti",""))</f>
        <v/>
      </c>
      <c r="O1104" s="18" t="str">
        <f aca="false">IF(AND(A1104&lt;&gt;"",OR(F1104="Bekliyor",F1104="Parça bekleniyor",F1104="Hazır")),A1104+ROW()/1000000,"")</f>
        <v/>
      </c>
    </row>
    <row r="1105" customFormat="false" ht="15" hidden="false" customHeight="false" outlineLevel="0" collapsed="false">
      <c r="A1105" s="12"/>
      <c r="B1105" s="13"/>
      <c r="C1105" s="13"/>
      <c r="D1105" s="13"/>
      <c r="E1105" s="13"/>
      <c r="F1105" s="14"/>
      <c r="G1105" s="15"/>
      <c r="H1105" s="15"/>
      <c r="I1105" s="15"/>
      <c r="J1105" s="12"/>
      <c r="K1105" s="16" t="str">
        <f aca="false">IF(A1105="","",G1105+H1105)</f>
        <v/>
      </c>
      <c r="L1105" s="16" t="str">
        <f aca="false">IF(A1105="","",IF(F1105="İade edildi",0,K1105-I1105))</f>
        <v/>
      </c>
      <c r="M1105" s="17" t="str">
        <f aca="true">IF(A1105="","",IF(J1105&lt;&gt;"",J1105-A1105,TODAY()-A1105))</f>
        <v/>
      </c>
      <c r="N1105" s="18" t="str">
        <f aca="false">IF(A1105="","",IF(AND(OR(F1105="Bekliyor",F1105="Parça bekleniyor",F1105="Hazır"),M1105&gt;7),"7 günü geçti",""))</f>
        <v/>
      </c>
      <c r="O1105" s="18" t="str">
        <f aca="false">IF(AND(A1105&lt;&gt;"",OR(F1105="Bekliyor",F1105="Parça bekleniyor",F1105="Hazır")),A1105+ROW()/1000000,"")</f>
        <v/>
      </c>
    </row>
    <row r="1106" customFormat="false" ht="15" hidden="false" customHeight="false" outlineLevel="0" collapsed="false">
      <c r="A1106" s="12"/>
      <c r="B1106" s="13"/>
      <c r="C1106" s="13"/>
      <c r="D1106" s="13"/>
      <c r="E1106" s="13"/>
      <c r="F1106" s="14"/>
      <c r="G1106" s="15"/>
      <c r="H1106" s="15"/>
      <c r="I1106" s="15"/>
      <c r="J1106" s="12"/>
      <c r="K1106" s="16" t="str">
        <f aca="false">IF(A1106="","",G1106+H1106)</f>
        <v/>
      </c>
      <c r="L1106" s="16" t="str">
        <f aca="false">IF(A1106="","",IF(F1106="İade edildi",0,K1106-I1106))</f>
        <v/>
      </c>
      <c r="M1106" s="17" t="str">
        <f aca="true">IF(A1106="","",IF(J1106&lt;&gt;"",J1106-A1106,TODAY()-A1106))</f>
        <v/>
      </c>
      <c r="N1106" s="18" t="str">
        <f aca="false">IF(A1106="","",IF(AND(OR(F1106="Bekliyor",F1106="Parça bekleniyor",F1106="Hazır"),M1106&gt;7),"7 günü geçti",""))</f>
        <v/>
      </c>
      <c r="O1106" s="18" t="str">
        <f aca="false">IF(AND(A1106&lt;&gt;"",OR(F1106="Bekliyor",F1106="Parça bekleniyor",F1106="Hazır")),A1106+ROW()/1000000,"")</f>
        <v/>
      </c>
    </row>
    <row r="1107" customFormat="false" ht="15" hidden="false" customHeight="false" outlineLevel="0" collapsed="false">
      <c r="A1107" s="12"/>
      <c r="B1107" s="13"/>
      <c r="C1107" s="13"/>
      <c r="D1107" s="13"/>
      <c r="E1107" s="13"/>
      <c r="F1107" s="14"/>
      <c r="G1107" s="15"/>
      <c r="H1107" s="15"/>
      <c r="I1107" s="15"/>
      <c r="J1107" s="12"/>
      <c r="K1107" s="16" t="str">
        <f aca="false">IF(A1107="","",G1107+H1107)</f>
        <v/>
      </c>
      <c r="L1107" s="16" t="str">
        <f aca="false">IF(A1107="","",IF(F1107="İade edildi",0,K1107-I1107))</f>
        <v/>
      </c>
      <c r="M1107" s="17" t="str">
        <f aca="true">IF(A1107="","",IF(J1107&lt;&gt;"",J1107-A1107,TODAY()-A1107))</f>
        <v/>
      </c>
      <c r="N1107" s="18" t="str">
        <f aca="false">IF(A1107="","",IF(AND(OR(F1107="Bekliyor",F1107="Parça bekleniyor",F1107="Hazır"),M1107&gt;7),"7 günü geçti",""))</f>
        <v/>
      </c>
      <c r="O1107" s="18" t="str">
        <f aca="false">IF(AND(A1107&lt;&gt;"",OR(F1107="Bekliyor",F1107="Parça bekleniyor",F1107="Hazır")),A1107+ROW()/1000000,"")</f>
        <v/>
      </c>
    </row>
    <row r="1108" customFormat="false" ht="15" hidden="false" customHeight="false" outlineLevel="0" collapsed="false">
      <c r="A1108" s="12"/>
      <c r="B1108" s="13"/>
      <c r="C1108" s="13"/>
      <c r="D1108" s="13"/>
      <c r="E1108" s="13"/>
      <c r="F1108" s="14"/>
      <c r="G1108" s="15"/>
      <c r="H1108" s="15"/>
      <c r="I1108" s="15"/>
      <c r="J1108" s="12"/>
      <c r="K1108" s="16" t="str">
        <f aca="false">IF(A1108="","",G1108+H1108)</f>
        <v/>
      </c>
      <c r="L1108" s="16" t="str">
        <f aca="false">IF(A1108="","",IF(F1108="İade edildi",0,K1108-I1108))</f>
        <v/>
      </c>
      <c r="M1108" s="17" t="str">
        <f aca="true">IF(A1108="","",IF(J1108&lt;&gt;"",J1108-A1108,TODAY()-A1108))</f>
        <v/>
      </c>
      <c r="N1108" s="18" t="str">
        <f aca="false">IF(A1108="","",IF(AND(OR(F1108="Bekliyor",F1108="Parça bekleniyor",F1108="Hazır"),M1108&gt;7),"7 günü geçti",""))</f>
        <v/>
      </c>
      <c r="O1108" s="18" t="str">
        <f aca="false">IF(AND(A1108&lt;&gt;"",OR(F1108="Bekliyor",F1108="Parça bekleniyor",F1108="Hazır")),A1108+ROW()/1000000,"")</f>
        <v/>
      </c>
    </row>
    <row r="1109" customFormat="false" ht="15" hidden="false" customHeight="false" outlineLevel="0" collapsed="false">
      <c r="A1109" s="12"/>
      <c r="B1109" s="13"/>
      <c r="C1109" s="13"/>
      <c r="D1109" s="13"/>
      <c r="E1109" s="13"/>
      <c r="F1109" s="14"/>
      <c r="G1109" s="15"/>
      <c r="H1109" s="15"/>
      <c r="I1109" s="15"/>
      <c r="J1109" s="12"/>
      <c r="K1109" s="16" t="str">
        <f aca="false">IF(A1109="","",G1109+H1109)</f>
        <v/>
      </c>
      <c r="L1109" s="16" t="str">
        <f aca="false">IF(A1109="","",IF(F1109="İade edildi",0,K1109-I1109))</f>
        <v/>
      </c>
      <c r="M1109" s="17" t="str">
        <f aca="true">IF(A1109="","",IF(J1109&lt;&gt;"",J1109-A1109,TODAY()-A1109))</f>
        <v/>
      </c>
      <c r="N1109" s="18" t="str">
        <f aca="false">IF(A1109="","",IF(AND(OR(F1109="Bekliyor",F1109="Parça bekleniyor",F1109="Hazır"),M1109&gt;7),"7 günü geçti",""))</f>
        <v/>
      </c>
      <c r="O1109" s="18" t="str">
        <f aca="false">IF(AND(A1109&lt;&gt;"",OR(F1109="Bekliyor",F1109="Parça bekleniyor",F1109="Hazır")),A1109+ROW()/1000000,"")</f>
        <v/>
      </c>
    </row>
    <row r="1110" customFormat="false" ht="15" hidden="false" customHeight="false" outlineLevel="0" collapsed="false">
      <c r="A1110" s="12"/>
      <c r="B1110" s="13"/>
      <c r="C1110" s="13"/>
      <c r="D1110" s="13"/>
      <c r="E1110" s="13"/>
      <c r="F1110" s="14"/>
      <c r="G1110" s="15"/>
      <c r="H1110" s="15"/>
      <c r="I1110" s="15"/>
      <c r="J1110" s="12"/>
      <c r="K1110" s="16" t="str">
        <f aca="false">IF(A1110="","",G1110+H1110)</f>
        <v/>
      </c>
      <c r="L1110" s="16" t="str">
        <f aca="false">IF(A1110="","",IF(F1110="İade edildi",0,K1110-I1110))</f>
        <v/>
      </c>
      <c r="M1110" s="17" t="str">
        <f aca="true">IF(A1110="","",IF(J1110&lt;&gt;"",J1110-A1110,TODAY()-A1110))</f>
        <v/>
      </c>
      <c r="N1110" s="18" t="str">
        <f aca="false">IF(A1110="","",IF(AND(OR(F1110="Bekliyor",F1110="Parça bekleniyor",F1110="Hazır"),M1110&gt;7),"7 günü geçti",""))</f>
        <v/>
      </c>
      <c r="O1110" s="18" t="str">
        <f aca="false">IF(AND(A1110&lt;&gt;"",OR(F1110="Bekliyor",F1110="Parça bekleniyor",F1110="Hazır")),A1110+ROW()/1000000,"")</f>
        <v/>
      </c>
    </row>
    <row r="1111" customFormat="false" ht="15" hidden="false" customHeight="false" outlineLevel="0" collapsed="false">
      <c r="A1111" s="12"/>
      <c r="B1111" s="13"/>
      <c r="C1111" s="13"/>
      <c r="D1111" s="13"/>
      <c r="E1111" s="13"/>
      <c r="F1111" s="14"/>
      <c r="G1111" s="15"/>
      <c r="H1111" s="15"/>
      <c r="I1111" s="15"/>
      <c r="J1111" s="12"/>
      <c r="K1111" s="16" t="str">
        <f aca="false">IF(A1111="","",G1111+H1111)</f>
        <v/>
      </c>
      <c r="L1111" s="16" t="str">
        <f aca="false">IF(A1111="","",IF(F1111="İade edildi",0,K1111-I1111))</f>
        <v/>
      </c>
      <c r="M1111" s="17" t="str">
        <f aca="true">IF(A1111="","",IF(J1111&lt;&gt;"",J1111-A1111,TODAY()-A1111))</f>
        <v/>
      </c>
      <c r="N1111" s="18" t="str">
        <f aca="false">IF(A1111="","",IF(AND(OR(F1111="Bekliyor",F1111="Parça bekleniyor",F1111="Hazır"),M1111&gt;7),"7 günü geçti",""))</f>
        <v/>
      </c>
      <c r="O1111" s="18" t="str">
        <f aca="false">IF(AND(A1111&lt;&gt;"",OR(F1111="Bekliyor",F1111="Parça bekleniyor",F1111="Hazır")),A1111+ROW()/1000000,"")</f>
        <v/>
      </c>
    </row>
    <row r="1112" customFormat="false" ht="15" hidden="false" customHeight="false" outlineLevel="0" collapsed="false">
      <c r="A1112" s="12"/>
      <c r="B1112" s="13"/>
      <c r="C1112" s="13"/>
      <c r="D1112" s="13"/>
      <c r="E1112" s="13"/>
      <c r="F1112" s="14"/>
      <c r="G1112" s="15"/>
      <c r="H1112" s="15"/>
      <c r="I1112" s="15"/>
      <c r="J1112" s="12"/>
      <c r="K1112" s="16" t="str">
        <f aca="false">IF(A1112="","",G1112+H1112)</f>
        <v/>
      </c>
      <c r="L1112" s="16" t="str">
        <f aca="false">IF(A1112="","",IF(F1112="İade edildi",0,K1112-I1112))</f>
        <v/>
      </c>
      <c r="M1112" s="17" t="str">
        <f aca="true">IF(A1112="","",IF(J1112&lt;&gt;"",J1112-A1112,TODAY()-A1112))</f>
        <v/>
      </c>
      <c r="N1112" s="18" t="str">
        <f aca="false">IF(A1112="","",IF(AND(OR(F1112="Bekliyor",F1112="Parça bekleniyor",F1112="Hazır"),M1112&gt;7),"7 günü geçti",""))</f>
        <v/>
      </c>
      <c r="O1112" s="18" t="str">
        <f aca="false">IF(AND(A1112&lt;&gt;"",OR(F1112="Bekliyor",F1112="Parça bekleniyor",F1112="Hazır")),A1112+ROW()/1000000,"")</f>
        <v/>
      </c>
    </row>
    <row r="1113" customFormat="false" ht="15" hidden="false" customHeight="false" outlineLevel="0" collapsed="false">
      <c r="A1113" s="12"/>
      <c r="B1113" s="13"/>
      <c r="C1113" s="13"/>
      <c r="D1113" s="13"/>
      <c r="E1113" s="13"/>
      <c r="F1113" s="14"/>
      <c r="G1113" s="15"/>
      <c r="H1113" s="15"/>
      <c r="I1113" s="15"/>
      <c r="J1113" s="12"/>
      <c r="K1113" s="16" t="str">
        <f aca="false">IF(A1113="","",G1113+H1113)</f>
        <v/>
      </c>
      <c r="L1113" s="16" t="str">
        <f aca="false">IF(A1113="","",IF(F1113="İade edildi",0,K1113-I1113))</f>
        <v/>
      </c>
      <c r="M1113" s="17" t="str">
        <f aca="true">IF(A1113="","",IF(J1113&lt;&gt;"",J1113-A1113,TODAY()-A1113))</f>
        <v/>
      </c>
      <c r="N1113" s="18" t="str">
        <f aca="false">IF(A1113="","",IF(AND(OR(F1113="Bekliyor",F1113="Parça bekleniyor",F1113="Hazır"),M1113&gt;7),"7 günü geçti",""))</f>
        <v/>
      </c>
      <c r="O1113" s="18" t="str">
        <f aca="false">IF(AND(A1113&lt;&gt;"",OR(F1113="Bekliyor",F1113="Parça bekleniyor",F1113="Hazır")),A1113+ROW()/1000000,"")</f>
        <v/>
      </c>
    </row>
    <row r="1114" customFormat="false" ht="15" hidden="false" customHeight="false" outlineLevel="0" collapsed="false">
      <c r="A1114" s="12"/>
      <c r="B1114" s="13"/>
      <c r="C1114" s="13"/>
      <c r="D1114" s="13"/>
      <c r="E1114" s="13"/>
      <c r="F1114" s="14"/>
      <c r="G1114" s="15"/>
      <c r="H1114" s="15"/>
      <c r="I1114" s="15"/>
      <c r="J1114" s="12"/>
      <c r="K1114" s="16" t="str">
        <f aca="false">IF(A1114="","",G1114+H1114)</f>
        <v/>
      </c>
      <c r="L1114" s="16" t="str">
        <f aca="false">IF(A1114="","",IF(F1114="İade edildi",0,K1114-I1114))</f>
        <v/>
      </c>
      <c r="M1114" s="17" t="str">
        <f aca="true">IF(A1114="","",IF(J1114&lt;&gt;"",J1114-A1114,TODAY()-A1114))</f>
        <v/>
      </c>
      <c r="N1114" s="18" t="str">
        <f aca="false">IF(A1114="","",IF(AND(OR(F1114="Bekliyor",F1114="Parça bekleniyor",F1114="Hazır"),M1114&gt;7),"7 günü geçti",""))</f>
        <v/>
      </c>
      <c r="O1114" s="18" t="str">
        <f aca="false">IF(AND(A1114&lt;&gt;"",OR(F1114="Bekliyor",F1114="Parça bekleniyor",F1114="Hazır")),A1114+ROW()/1000000,"")</f>
        <v/>
      </c>
    </row>
    <row r="1115" customFormat="false" ht="15" hidden="false" customHeight="false" outlineLevel="0" collapsed="false">
      <c r="A1115" s="12"/>
      <c r="B1115" s="13"/>
      <c r="C1115" s="13"/>
      <c r="D1115" s="13"/>
      <c r="E1115" s="13"/>
      <c r="F1115" s="14"/>
      <c r="G1115" s="15"/>
      <c r="H1115" s="15"/>
      <c r="I1115" s="15"/>
      <c r="J1115" s="12"/>
      <c r="K1115" s="16" t="str">
        <f aca="false">IF(A1115="","",G1115+H1115)</f>
        <v/>
      </c>
      <c r="L1115" s="16" t="str">
        <f aca="false">IF(A1115="","",IF(F1115="İade edildi",0,K1115-I1115))</f>
        <v/>
      </c>
      <c r="M1115" s="17" t="str">
        <f aca="true">IF(A1115="","",IF(J1115&lt;&gt;"",J1115-A1115,TODAY()-A1115))</f>
        <v/>
      </c>
      <c r="N1115" s="18" t="str">
        <f aca="false">IF(A1115="","",IF(AND(OR(F1115="Bekliyor",F1115="Parça bekleniyor",F1115="Hazır"),M1115&gt;7),"7 günü geçti",""))</f>
        <v/>
      </c>
      <c r="O1115" s="18" t="str">
        <f aca="false">IF(AND(A1115&lt;&gt;"",OR(F1115="Bekliyor",F1115="Parça bekleniyor",F1115="Hazır")),A1115+ROW()/1000000,"")</f>
        <v/>
      </c>
    </row>
    <row r="1116" customFormat="false" ht="15" hidden="false" customHeight="false" outlineLevel="0" collapsed="false">
      <c r="A1116" s="12"/>
      <c r="B1116" s="13"/>
      <c r="C1116" s="13"/>
      <c r="D1116" s="13"/>
      <c r="E1116" s="13"/>
      <c r="F1116" s="14"/>
      <c r="G1116" s="15"/>
      <c r="H1116" s="15"/>
      <c r="I1116" s="15"/>
      <c r="J1116" s="12"/>
      <c r="K1116" s="16" t="str">
        <f aca="false">IF(A1116="","",G1116+H1116)</f>
        <v/>
      </c>
      <c r="L1116" s="16" t="str">
        <f aca="false">IF(A1116="","",IF(F1116="İade edildi",0,K1116-I1116))</f>
        <v/>
      </c>
      <c r="M1116" s="17" t="str">
        <f aca="true">IF(A1116="","",IF(J1116&lt;&gt;"",J1116-A1116,TODAY()-A1116))</f>
        <v/>
      </c>
      <c r="N1116" s="18" t="str">
        <f aca="false">IF(A1116="","",IF(AND(OR(F1116="Bekliyor",F1116="Parça bekleniyor",F1116="Hazır"),M1116&gt;7),"7 günü geçti",""))</f>
        <v/>
      </c>
      <c r="O1116" s="18" t="str">
        <f aca="false">IF(AND(A1116&lt;&gt;"",OR(F1116="Bekliyor",F1116="Parça bekleniyor",F1116="Hazır")),A1116+ROW()/1000000,"")</f>
        <v/>
      </c>
    </row>
    <row r="1117" customFormat="false" ht="15" hidden="false" customHeight="false" outlineLevel="0" collapsed="false">
      <c r="A1117" s="12"/>
      <c r="B1117" s="13"/>
      <c r="C1117" s="13"/>
      <c r="D1117" s="13"/>
      <c r="E1117" s="13"/>
      <c r="F1117" s="14"/>
      <c r="G1117" s="15"/>
      <c r="H1117" s="15"/>
      <c r="I1117" s="15"/>
      <c r="J1117" s="12"/>
      <c r="K1117" s="16" t="str">
        <f aca="false">IF(A1117="","",G1117+H1117)</f>
        <v/>
      </c>
      <c r="L1117" s="16" t="str">
        <f aca="false">IF(A1117="","",IF(F1117="İade edildi",0,K1117-I1117))</f>
        <v/>
      </c>
      <c r="M1117" s="17" t="str">
        <f aca="true">IF(A1117="","",IF(J1117&lt;&gt;"",J1117-A1117,TODAY()-A1117))</f>
        <v/>
      </c>
      <c r="N1117" s="18" t="str">
        <f aca="false">IF(A1117="","",IF(AND(OR(F1117="Bekliyor",F1117="Parça bekleniyor",F1117="Hazır"),M1117&gt;7),"7 günü geçti",""))</f>
        <v/>
      </c>
      <c r="O1117" s="18" t="str">
        <f aca="false">IF(AND(A1117&lt;&gt;"",OR(F1117="Bekliyor",F1117="Parça bekleniyor",F1117="Hazır")),A1117+ROW()/1000000,"")</f>
        <v/>
      </c>
    </row>
    <row r="1118" customFormat="false" ht="15" hidden="false" customHeight="false" outlineLevel="0" collapsed="false">
      <c r="A1118" s="12"/>
      <c r="B1118" s="13"/>
      <c r="C1118" s="13"/>
      <c r="D1118" s="13"/>
      <c r="E1118" s="13"/>
      <c r="F1118" s="14"/>
      <c r="G1118" s="15"/>
      <c r="H1118" s="15"/>
      <c r="I1118" s="15"/>
      <c r="J1118" s="12"/>
      <c r="K1118" s="16" t="str">
        <f aca="false">IF(A1118="","",G1118+H1118)</f>
        <v/>
      </c>
      <c r="L1118" s="16" t="str">
        <f aca="false">IF(A1118="","",IF(F1118="İade edildi",0,K1118-I1118))</f>
        <v/>
      </c>
      <c r="M1118" s="17" t="str">
        <f aca="true">IF(A1118="","",IF(J1118&lt;&gt;"",J1118-A1118,TODAY()-A1118))</f>
        <v/>
      </c>
      <c r="N1118" s="18" t="str">
        <f aca="false">IF(A1118="","",IF(AND(OR(F1118="Bekliyor",F1118="Parça bekleniyor",F1118="Hazır"),M1118&gt;7),"7 günü geçti",""))</f>
        <v/>
      </c>
      <c r="O1118" s="18" t="str">
        <f aca="false">IF(AND(A1118&lt;&gt;"",OR(F1118="Bekliyor",F1118="Parça bekleniyor",F1118="Hazır")),A1118+ROW()/1000000,"")</f>
        <v/>
      </c>
    </row>
    <row r="1119" customFormat="false" ht="15" hidden="false" customHeight="false" outlineLevel="0" collapsed="false">
      <c r="A1119" s="12"/>
      <c r="B1119" s="13"/>
      <c r="C1119" s="13"/>
      <c r="D1119" s="13"/>
      <c r="E1119" s="13"/>
      <c r="F1119" s="14"/>
      <c r="G1119" s="15"/>
      <c r="H1119" s="15"/>
      <c r="I1119" s="15"/>
      <c r="J1119" s="12"/>
      <c r="K1119" s="16" t="str">
        <f aca="false">IF(A1119="","",G1119+H1119)</f>
        <v/>
      </c>
      <c r="L1119" s="16" t="str">
        <f aca="false">IF(A1119="","",IF(F1119="İade edildi",0,K1119-I1119))</f>
        <v/>
      </c>
      <c r="M1119" s="17" t="str">
        <f aca="true">IF(A1119="","",IF(J1119&lt;&gt;"",J1119-A1119,TODAY()-A1119))</f>
        <v/>
      </c>
      <c r="N1119" s="18" t="str">
        <f aca="false">IF(A1119="","",IF(AND(OR(F1119="Bekliyor",F1119="Parça bekleniyor",F1119="Hazır"),M1119&gt;7),"7 günü geçti",""))</f>
        <v/>
      </c>
      <c r="O1119" s="18" t="str">
        <f aca="false">IF(AND(A1119&lt;&gt;"",OR(F1119="Bekliyor",F1119="Parça bekleniyor",F1119="Hazır")),A1119+ROW()/1000000,"")</f>
        <v/>
      </c>
    </row>
    <row r="1120" customFormat="false" ht="15" hidden="false" customHeight="false" outlineLevel="0" collapsed="false">
      <c r="A1120" s="12"/>
      <c r="B1120" s="13"/>
      <c r="C1120" s="13"/>
      <c r="D1120" s="13"/>
      <c r="E1120" s="13"/>
      <c r="F1120" s="14"/>
      <c r="G1120" s="15"/>
      <c r="H1120" s="15"/>
      <c r="I1120" s="15"/>
      <c r="J1120" s="12"/>
      <c r="K1120" s="16" t="str">
        <f aca="false">IF(A1120="","",G1120+H1120)</f>
        <v/>
      </c>
      <c r="L1120" s="16" t="str">
        <f aca="false">IF(A1120="","",IF(F1120="İade edildi",0,K1120-I1120))</f>
        <v/>
      </c>
      <c r="M1120" s="17" t="str">
        <f aca="true">IF(A1120="","",IF(J1120&lt;&gt;"",J1120-A1120,TODAY()-A1120))</f>
        <v/>
      </c>
      <c r="N1120" s="18" t="str">
        <f aca="false">IF(A1120="","",IF(AND(OR(F1120="Bekliyor",F1120="Parça bekleniyor",F1120="Hazır"),M1120&gt;7),"7 günü geçti",""))</f>
        <v/>
      </c>
      <c r="O1120" s="18" t="str">
        <f aca="false">IF(AND(A1120&lt;&gt;"",OR(F1120="Bekliyor",F1120="Parça bekleniyor",F1120="Hazır")),A1120+ROW()/1000000,"")</f>
        <v/>
      </c>
    </row>
    <row r="1121" customFormat="false" ht="15" hidden="false" customHeight="false" outlineLevel="0" collapsed="false">
      <c r="A1121" s="12"/>
      <c r="B1121" s="13"/>
      <c r="C1121" s="13"/>
      <c r="D1121" s="13"/>
      <c r="E1121" s="13"/>
      <c r="F1121" s="14"/>
      <c r="G1121" s="15"/>
      <c r="H1121" s="15"/>
      <c r="I1121" s="15"/>
      <c r="J1121" s="12"/>
      <c r="K1121" s="16" t="str">
        <f aca="false">IF(A1121="","",G1121+H1121)</f>
        <v/>
      </c>
      <c r="L1121" s="16" t="str">
        <f aca="false">IF(A1121="","",IF(F1121="İade edildi",0,K1121-I1121))</f>
        <v/>
      </c>
      <c r="M1121" s="17" t="str">
        <f aca="true">IF(A1121="","",IF(J1121&lt;&gt;"",J1121-A1121,TODAY()-A1121))</f>
        <v/>
      </c>
      <c r="N1121" s="18" t="str">
        <f aca="false">IF(A1121="","",IF(AND(OR(F1121="Bekliyor",F1121="Parça bekleniyor",F1121="Hazır"),M1121&gt;7),"7 günü geçti",""))</f>
        <v/>
      </c>
      <c r="O1121" s="18" t="str">
        <f aca="false">IF(AND(A1121&lt;&gt;"",OR(F1121="Bekliyor",F1121="Parça bekleniyor",F1121="Hazır")),A1121+ROW()/1000000,"")</f>
        <v/>
      </c>
    </row>
    <row r="1122" customFormat="false" ht="15" hidden="false" customHeight="false" outlineLevel="0" collapsed="false">
      <c r="A1122" s="12"/>
      <c r="B1122" s="13"/>
      <c r="C1122" s="13"/>
      <c r="D1122" s="13"/>
      <c r="E1122" s="13"/>
      <c r="F1122" s="14"/>
      <c r="G1122" s="15"/>
      <c r="H1122" s="15"/>
      <c r="I1122" s="15"/>
      <c r="J1122" s="12"/>
      <c r="K1122" s="16" t="str">
        <f aca="false">IF(A1122="","",G1122+H1122)</f>
        <v/>
      </c>
      <c r="L1122" s="16" t="str">
        <f aca="false">IF(A1122="","",IF(F1122="İade edildi",0,K1122-I1122))</f>
        <v/>
      </c>
      <c r="M1122" s="17" t="str">
        <f aca="true">IF(A1122="","",IF(J1122&lt;&gt;"",J1122-A1122,TODAY()-A1122))</f>
        <v/>
      </c>
      <c r="N1122" s="18" t="str">
        <f aca="false">IF(A1122="","",IF(AND(OR(F1122="Bekliyor",F1122="Parça bekleniyor",F1122="Hazır"),M1122&gt;7),"7 günü geçti",""))</f>
        <v/>
      </c>
      <c r="O1122" s="18" t="str">
        <f aca="false">IF(AND(A1122&lt;&gt;"",OR(F1122="Bekliyor",F1122="Parça bekleniyor",F1122="Hazır")),A1122+ROW()/1000000,"")</f>
        <v/>
      </c>
    </row>
    <row r="1123" customFormat="false" ht="15" hidden="false" customHeight="false" outlineLevel="0" collapsed="false">
      <c r="A1123" s="12"/>
      <c r="B1123" s="13"/>
      <c r="C1123" s="13"/>
      <c r="D1123" s="13"/>
      <c r="E1123" s="13"/>
      <c r="F1123" s="14"/>
      <c r="G1123" s="15"/>
      <c r="H1123" s="15"/>
      <c r="I1123" s="15"/>
      <c r="J1123" s="12"/>
      <c r="K1123" s="16" t="str">
        <f aca="false">IF(A1123="","",G1123+H1123)</f>
        <v/>
      </c>
      <c r="L1123" s="16" t="str">
        <f aca="false">IF(A1123="","",IF(F1123="İade edildi",0,K1123-I1123))</f>
        <v/>
      </c>
      <c r="M1123" s="17" t="str">
        <f aca="true">IF(A1123="","",IF(J1123&lt;&gt;"",J1123-A1123,TODAY()-A1123))</f>
        <v/>
      </c>
      <c r="N1123" s="18" t="str">
        <f aca="false">IF(A1123="","",IF(AND(OR(F1123="Bekliyor",F1123="Parça bekleniyor",F1123="Hazır"),M1123&gt;7),"7 günü geçti",""))</f>
        <v/>
      </c>
      <c r="O1123" s="18" t="str">
        <f aca="false">IF(AND(A1123&lt;&gt;"",OR(F1123="Bekliyor",F1123="Parça bekleniyor",F1123="Hazır")),A1123+ROW()/1000000,"")</f>
        <v/>
      </c>
    </row>
    <row r="1124" customFormat="false" ht="15" hidden="false" customHeight="false" outlineLevel="0" collapsed="false">
      <c r="A1124" s="12"/>
      <c r="B1124" s="13"/>
      <c r="C1124" s="13"/>
      <c r="D1124" s="13"/>
      <c r="E1124" s="13"/>
      <c r="F1124" s="14"/>
      <c r="G1124" s="15"/>
      <c r="H1124" s="15"/>
      <c r="I1124" s="15"/>
      <c r="J1124" s="12"/>
      <c r="K1124" s="16" t="str">
        <f aca="false">IF(A1124="","",G1124+H1124)</f>
        <v/>
      </c>
      <c r="L1124" s="16" t="str">
        <f aca="false">IF(A1124="","",IF(F1124="İade edildi",0,K1124-I1124))</f>
        <v/>
      </c>
      <c r="M1124" s="17" t="str">
        <f aca="true">IF(A1124="","",IF(J1124&lt;&gt;"",J1124-A1124,TODAY()-A1124))</f>
        <v/>
      </c>
      <c r="N1124" s="18" t="str">
        <f aca="false">IF(A1124="","",IF(AND(OR(F1124="Bekliyor",F1124="Parça bekleniyor",F1124="Hazır"),M1124&gt;7),"7 günü geçti",""))</f>
        <v/>
      </c>
      <c r="O1124" s="18" t="str">
        <f aca="false">IF(AND(A1124&lt;&gt;"",OR(F1124="Bekliyor",F1124="Parça bekleniyor",F1124="Hazır")),A1124+ROW()/1000000,"")</f>
        <v/>
      </c>
    </row>
    <row r="1125" customFormat="false" ht="15" hidden="false" customHeight="false" outlineLevel="0" collapsed="false">
      <c r="A1125" s="12"/>
      <c r="B1125" s="13"/>
      <c r="C1125" s="13"/>
      <c r="D1125" s="13"/>
      <c r="E1125" s="13"/>
      <c r="F1125" s="14"/>
      <c r="G1125" s="15"/>
      <c r="H1125" s="15"/>
      <c r="I1125" s="15"/>
      <c r="J1125" s="12"/>
      <c r="K1125" s="16" t="str">
        <f aca="false">IF(A1125="","",G1125+H1125)</f>
        <v/>
      </c>
      <c r="L1125" s="16" t="str">
        <f aca="false">IF(A1125="","",IF(F1125="İade edildi",0,K1125-I1125))</f>
        <v/>
      </c>
      <c r="M1125" s="17" t="str">
        <f aca="true">IF(A1125="","",IF(J1125&lt;&gt;"",J1125-A1125,TODAY()-A1125))</f>
        <v/>
      </c>
      <c r="N1125" s="18" t="str">
        <f aca="false">IF(A1125="","",IF(AND(OR(F1125="Bekliyor",F1125="Parça bekleniyor",F1125="Hazır"),M1125&gt;7),"7 günü geçti",""))</f>
        <v/>
      </c>
      <c r="O1125" s="18" t="str">
        <f aca="false">IF(AND(A1125&lt;&gt;"",OR(F1125="Bekliyor",F1125="Parça bekleniyor",F1125="Hazır")),A1125+ROW()/1000000,"")</f>
        <v/>
      </c>
    </row>
    <row r="1126" customFormat="false" ht="15" hidden="false" customHeight="false" outlineLevel="0" collapsed="false">
      <c r="A1126" s="12"/>
      <c r="B1126" s="13"/>
      <c r="C1126" s="13"/>
      <c r="D1126" s="13"/>
      <c r="E1126" s="13"/>
      <c r="F1126" s="14"/>
      <c r="G1126" s="15"/>
      <c r="H1126" s="15"/>
      <c r="I1126" s="15"/>
      <c r="J1126" s="12"/>
      <c r="K1126" s="16" t="str">
        <f aca="false">IF(A1126="","",G1126+H1126)</f>
        <v/>
      </c>
      <c r="L1126" s="16" t="str">
        <f aca="false">IF(A1126="","",IF(F1126="İade edildi",0,K1126-I1126))</f>
        <v/>
      </c>
      <c r="M1126" s="17" t="str">
        <f aca="true">IF(A1126="","",IF(J1126&lt;&gt;"",J1126-A1126,TODAY()-A1126))</f>
        <v/>
      </c>
      <c r="N1126" s="18" t="str">
        <f aca="false">IF(A1126="","",IF(AND(OR(F1126="Bekliyor",F1126="Parça bekleniyor",F1126="Hazır"),M1126&gt;7),"7 günü geçti",""))</f>
        <v/>
      </c>
      <c r="O1126" s="18" t="str">
        <f aca="false">IF(AND(A1126&lt;&gt;"",OR(F1126="Bekliyor",F1126="Parça bekleniyor",F1126="Hazır")),A1126+ROW()/1000000,"")</f>
        <v/>
      </c>
    </row>
    <row r="1127" customFormat="false" ht="15" hidden="false" customHeight="false" outlineLevel="0" collapsed="false">
      <c r="A1127" s="12"/>
      <c r="B1127" s="13"/>
      <c r="C1127" s="13"/>
      <c r="D1127" s="13"/>
      <c r="E1127" s="13"/>
      <c r="F1127" s="14"/>
      <c r="G1127" s="15"/>
      <c r="H1127" s="15"/>
      <c r="I1127" s="15"/>
      <c r="J1127" s="12"/>
      <c r="K1127" s="16" t="str">
        <f aca="false">IF(A1127="","",G1127+H1127)</f>
        <v/>
      </c>
      <c r="L1127" s="16" t="str">
        <f aca="false">IF(A1127="","",IF(F1127="İade edildi",0,K1127-I1127))</f>
        <v/>
      </c>
      <c r="M1127" s="17" t="str">
        <f aca="true">IF(A1127="","",IF(J1127&lt;&gt;"",J1127-A1127,TODAY()-A1127))</f>
        <v/>
      </c>
      <c r="N1127" s="18" t="str">
        <f aca="false">IF(A1127="","",IF(AND(OR(F1127="Bekliyor",F1127="Parça bekleniyor",F1127="Hazır"),M1127&gt;7),"7 günü geçti",""))</f>
        <v/>
      </c>
      <c r="O1127" s="18" t="str">
        <f aca="false">IF(AND(A1127&lt;&gt;"",OR(F1127="Bekliyor",F1127="Parça bekleniyor",F1127="Hazır")),A1127+ROW()/1000000,"")</f>
        <v/>
      </c>
    </row>
    <row r="1128" customFormat="false" ht="15" hidden="false" customHeight="false" outlineLevel="0" collapsed="false">
      <c r="A1128" s="12"/>
      <c r="B1128" s="13"/>
      <c r="C1128" s="13"/>
      <c r="D1128" s="13"/>
      <c r="E1128" s="13"/>
      <c r="F1128" s="14"/>
      <c r="G1128" s="15"/>
      <c r="H1128" s="15"/>
      <c r="I1128" s="15"/>
      <c r="J1128" s="12"/>
      <c r="K1128" s="16" t="str">
        <f aca="false">IF(A1128="","",G1128+H1128)</f>
        <v/>
      </c>
      <c r="L1128" s="16" t="str">
        <f aca="false">IF(A1128="","",IF(F1128="İade edildi",0,K1128-I1128))</f>
        <v/>
      </c>
      <c r="M1128" s="17" t="str">
        <f aca="true">IF(A1128="","",IF(J1128&lt;&gt;"",J1128-A1128,TODAY()-A1128))</f>
        <v/>
      </c>
      <c r="N1128" s="18" t="str">
        <f aca="false">IF(A1128="","",IF(AND(OR(F1128="Bekliyor",F1128="Parça bekleniyor",F1128="Hazır"),M1128&gt;7),"7 günü geçti",""))</f>
        <v/>
      </c>
      <c r="O1128" s="18" t="str">
        <f aca="false">IF(AND(A1128&lt;&gt;"",OR(F1128="Bekliyor",F1128="Parça bekleniyor",F1128="Hazır")),A1128+ROW()/1000000,"")</f>
        <v/>
      </c>
    </row>
    <row r="1129" customFormat="false" ht="15" hidden="false" customHeight="false" outlineLevel="0" collapsed="false">
      <c r="A1129" s="12"/>
      <c r="B1129" s="13"/>
      <c r="C1129" s="13"/>
      <c r="D1129" s="13"/>
      <c r="E1129" s="13"/>
      <c r="F1129" s="14"/>
      <c r="G1129" s="15"/>
      <c r="H1129" s="15"/>
      <c r="I1129" s="15"/>
      <c r="J1129" s="12"/>
      <c r="K1129" s="16" t="str">
        <f aca="false">IF(A1129="","",G1129+H1129)</f>
        <v/>
      </c>
      <c r="L1129" s="16" t="str">
        <f aca="false">IF(A1129="","",IF(F1129="İade edildi",0,K1129-I1129))</f>
        <v/>
      </c>
      <c r="M1129" s="17" t="str">
        <f aca="true">IF(A1129="","",IF(J1129&lt;&gt;"",J1129-A1129,TODAY()-A1129))</f>
        <v/>
      </c>
      <c r="N1129" s="18" t="str">
        <f aca="false">IF(A1129="","",IF(AND(OR(F1129="Bekliyor",F1129="Parça bekleniyor",F1129="Hazır"),M1129&gt;7),"7 günü geçti",""))</f>
        <v/>
      </c>
      <c r="O1129" s="18" t="str">
        <f aca="false">IF(AND(A1129&lt;&gt;"",OR(F1129="Bekliyor",F1129="Parça bekleniyor",F1129="Hazır")),A1129+ROW()/1000000,"")</f>
        <v/>
      </c>
    </row>
    <row r="1130" customFormat="false" ht="15" hidden="false" customHeight="false" outlineLevel="0" collapsed="false">
      <c r="A1130" s="12"/>
      <c r="B1130" s="13"/>
      <c r="C1130" s="13"/>
      <c r="D1130" s="13"/>
      <c r="E1130" s="13"/>
      <c r="F1130" s="14"/>
      <c r="G1130" s="15"/>
      <c r="H1130" s="15"/>
      <c r="I1130" s="15"/>
      <c r="J1130" s="12"/>
      <c r="K1130" s="16" t="str">
        <f aca="false">IF(A1130="","",G1130+H1130)</f>
        <v/>
      </c>
      <c r="L1130" s="16" t="str">
        <f aca="false">IF(A1130="","",IF(F1130="İade edildi",0,K1130-I1130))</f>
        <v/>
      </c>
      <c r="M1130" s="17" t="str">
        <f aca="true">IF(A1130="","",IF(J1130&lt;&gt;"",J1130-A1130,TODAY()-A1130))</f>
        <v/>
      </c>
      <c r="N1130" s="18" t="str">
        <f aca="false">IF(A1130="","",IF(AND(OR(F1130="Bekliyor",F1130="Parça bekleniyor",F1130="Hazır"),M1130&gt;7),"7 günü geçti",""))</f>
        <v/>
      </c>
      <c r="O1130" s="18" t="str">
        <f aca="false">IF(AND(A1130&lt;&gt;"",OR(F1130="Bekliyor",F1130="Parça bekleniyor",F1130="Hazır")),A1130+ROW()/1000000,"")</f>
        <v/>
      </c>
    </row>
    <row r="1131" customFormat="false" ht="15" hidden="false" customHeight="false" outlineLevel="0" collapsed="false">
      <c r="A1131" s="12"/>
      <c r="B1131" s="13"/>
      <c r="C1131" s="13"/>
      <c r="D1131" s="13"/>
      <c r="E1131" s="13"/>
      <c r="F1131" s="14"/>
      <c r="G1131" s="15"/>
      <c r="H1131" s="15"/>
      <c r="I1131" s="15"/>
      <c r="J1131" s="12"/>
      <c r="K1131" s="16" t="str">
        <f aca="false">IF(A1131="","",G1131+H1131)</f>
        <v/>
      </c>
      <c r="L1131" s="16" t="str">
        <f aca="false">IF(A1131="","",IF(F1131="İade edildi",0,K1131-I1131))</f>
        <v/>
      </c>
      <c r="M1131" s="17" t="str">
        <f aca="true">IF(A1131="","",IF(J1131&lt;&gt;"",J1131-A1131,TODAY()-A1131))</f>
        <v/>
      </c>
      <c r="N1131" s="18" t="str">
        <f aca="false">IF(A1131="","",IF(AND(OR(F1131="Bekliyor",F1131="Parça bekleniyor",F1131="Hazır"),M1131&gt;7),"7 günü geçti",""))</f>
        <v/>
      </c>
      <c r="O1131" s="18" t="str">
        <f aca="false">IF(AND(A1131&lt;&gt;"",OR(F1131="Bekliyor",F1131="Parça bekleniyor",F1131="Hazır")),A1131+ROW()/1000000,"")</f>
        <v/>
      </c>
    </row>
    <row r="1132" customFormat="false" ht="15" hidden="false" customHeight="false" outlineLevel="0" collapsed="false">
      <c r="A1132" s="12"/>
      <c r="B1132" s="13"/>
      <c r="C1132" s="13"/>
      <c r="D1132" s="13"/>
      <c r="E1132" s="13"/>
      <c r="F1132" s="14"/>
      <c r="G1132" s="15"/>
      <c r="H1132" s="15"/>
      <c r="I1132" s="15"/>
      <c r="J1132" s="12"/>
      <c r="K1132" s="16" t="str">
        <f aca="false">IF(A1132="","",G1132+H1132)</f>
        <v/>
      </c>
      <c r="L1132" s="16" t="str">
        <f aca="false">IF(A1132="","",IF(F1132="İade edildi",0,K1132-I1132))</f>
        <v/>
      </c>
      <c r="M1132" s="17" t="str">
        <f aca="true">IF(A1132="","",IF(J1132&lt;&gt;"",J1132-A1132,TODAY()-A1132))</f>
        <v/>
      </c>
      <c r="N1132" s="18" t="str">
        <f aca="false">IF(A1132="","",IF(AND(OR(F1132="Bekliyor",F1132="Parça bekleniyor",F1132="Hazır"),M1132&gt;7),"7 günü geçti",""))</f>
        <v/>
      </c>
      <c r="O1132" s="18" t="str">
        <f aca="false">IF(AND(A1132&lt;&gt;"",OR(F1132="Bekliyor",F1132="Parça bekleniyor",F1132="Hazır")),A1132+ROW()/1000000,"")</f>
        <v/>
      </c>
    </row>
    <row r="1133" customFormat="false" ht="15" hidden="false" customHeight="false" outlineLevel="0" collapsed="false">
      <c r="A1133" s="12"/>
      <c r="B1133" s="13"/>
      <c r="C1133" s="13"/>
      <c r="D1133" s="13"/>
      <c r="E1133" s="13"/>
      <c r="F1133" s="14"/>
      <c r="G1133" s="15"/>
      <c r="H1133" s="15"/>
      <c r="I1133" s="15"/>
      <c r="J1133" s="12"/>
      <c r="K1133" s="16" t="str">
        <f aca="false">IF(A1133="","",G1133+H1133)</f>
        <v/>
      </c>
      <c r="L1133" s="16" t="str">
        <f aca="false">IF(A1133="","",IF(F1133="İade edildi",0,K1133-I1133))</f>
        <v/>
      </c>
      <c r="M1133" s="17" t="str">
        <f aca="true">IF(A1133="","",IF(J1133&lt;&gt;"",J1133-A1133,TODAY()-A1133))</f>
        <v/>
      </c>
      <c r="N1133" s="18" t="str">
        <f aca="false">IF(A1133="","",IF(AND(OR(F1133="Bekliyor",F1133="Parça bekleniyor",F1133="Hazır"),M1133&gt;7),"7 günü geçti",""))</f>
        <v/>
      </c>
      <c r="O1133" s="18" t="str">
        <f aca="false">IF(AND(A1133&lt;&gt;"",OR(F1133="Bekliyor",F1133="Parça bekleniyor",F1133="Hazır")),A1133+ROW()/1000000,"")</f>
        <v/>
      </c>
    </row>
    <row r="1134" customFormat="false" ht="15" hidden="false" customHeight="false" outlineLevel="0" collapsed="false">
      <c r="A1134" s="12"/>
      <c r="B1134" s="13"/>
      <c r="C1134" s="13"/>
      <c r="D1134" s="13"/>
      <c r="E1134" s="13"/>
      <c r="F1134" s="14"/>
      <c r="G1134" s="15"/>
      <c r="H1134" s="15"/>
      <c r="I1134" s="15"/>
      <c r="J1134" s="12"/>
      <c r="K1134" s="16" t="str">
        <f aca="false">IF(A1134="","",G1134+H1134)</f>
        <v/>
      </c>
      <c r="L1134" s="16" t="str">
        <f aca="false">IF(A1134="","",IF(F1134="İade edildi",0,K1134-I1134))</f>
        <v/>
      </c>
      <c r="M1134" s="17" t="str">
        <f aca="true">IF(A1134="","",IF(J1134&lt;&gt;"",J1134-A1134,TODAY()-A1134))</f>
        <v/>
      </c>
      <c r="N1134" s="18" t="str">
        <f aca="false">IF(A1134="","",IF(AND(OR(F1134="Bekliyor",F1134="Parça bekleniyor",F1134="Hazır"),M1134&gt;7),"7 günü geçti",""))</f>
        <v/>
      </c>
      <c r="O1134" s="18" t="str">
        <f aca="false">IF(AND(A1134&lt;&gt;"",OR(F1134="Bekliyor",F1134="Parça bekleniyor",F1134="Hazır")),A1134+ROW()/1000000,"")</f>
        <v/>
      </c>
    </row>
    <row r="1135" customFormat="false" ht="15" hidden="false" customHeight="false" outlineLevel="0" collapsed="false">
      <c r="A1135" s="12"/>
      <c r="B1135" s="13"/>
      <c r="C1135" s="13"/>
      <c r="D1135" s="13"/>
      <c r="E1135" s="13"/>
      <c r="F1135" s="14"/>
      <c r="G1135" s="15"/>
      <c r="H1135" s="15"/>
      <c r="I1135" s="15"/>
      <c r="J1135" s="12"/>
      <c r="K1135" s="16" t="str">
        <f aca="false">IF(A1135="","",G1135+H1135)</f>
        <v/>
      </c>
      <c r="L1135" s="16" t="str">
        <f aca="false">IF(A1135="","",IF(F1135="İade edildi",0,K1135-I1135))</f>
        <v/>
      </c>
      <c r="M1135" s="17" t="str">
        <f aca="true">IF(A1135="","",IF(J1135&lt;&gt;"",J1135-A1135,TODAY()-A1135))</f>
        <v/>
      </c>
      <c r="N1135" s="18" t="str">
        <f aca="false">IF(A1135="","",IF(AND(OR(F1135="Bekliyor",F1135="Parça bekleniyor",F1135="Hazır"),M1135&gt;7),"7 günü geçti",""))</f>
        <v/>
      </c>
      <c r="O1135" s="18" t="str">
        <f aca="false">IF(AND(A1135&lt;&gt;"",OR(F1135="Bekliyor",F1135="Parça bekleniyor",F1135="Hazır")),A1135+ROW()/1000000,"")</f>
        <v/>
      </c>
    </row>
    <row r="1136" customFormat="false" ht="15" hidden="false" customHeight="false" outlineLevel="0" collapsed="false">
      <c r="A1136" s="12"/>
      <c r="B1136" s="13"/>
      <c r="C1136" s="13"/>
      <c r="D1136" s="13"/>
      <c r="E1136" s="13"/>
      <c r="F1136" s="14"/>
      <c r="G1136" s="15"/>
      <c r="H1136" s="15"/>
      <c r="I1136" s="15"/>
      <c r="J1136" s="12"/>
      <c r="K1136" s="16" t="str">
        <f aca="false">IF(A1136="","",G1136+H1136)</f>
        <v/>
      </c>
      <c r="L1136" s="16" t="str">
        <f aca="false">IF(A1136="","",IF(F1136="İade edildi",0,K1136-I1136))</f>
        <v/>
      </c>
      <c r="M1136" s="17" t="str">
        <f aca="true">IF(A1136="","",IF(J1136&lt;&gt;"",J1136-A1136,TODAY()-A1136))</f>
        <v/>
      </c>
      <c r="N1136" s="18" t="str">
        <f aca="false">IF(A1136="","",IF(AND(OR(F1136="Bekliyor",F1136="Parça bekleniyor",F1136="Hazır"),M1136&gt;7),"7 günü geçti",""))</f>
        <v/>
      </c>
      <c r="O1136" s="18" t="str">
        <f aca="false">IF(AND(A1136&lt;&gt;"",OR(F1136="Bekliyor",F1136="Parça bekleniyor",F1136="Hazır")),A1136+ROW()/1000000,"")</f>
        <v/>
      </c>
    </row>
    <row r="1137" customFormat="false" ht="15" hidden="false" customHeight="false" outlineLevel="0" collapsed="false">
      <c r="A1137" s="12"/>
      <c r="B1137" s="13"/>
      <c r="C1137" s="13"/>
      <c r="D1137" s="13"/>
      <c r="E1137" s="13"/>
      <c r="F1137" s="14"/>
      <c r="G1137" s="15"/>
      <c r="H1137" s="15"/>
      <c r="I1137" s="15"/>
      <c r="J1137" s="12"/>
      <c r="K1137" s="16" t="str">
        <f aca="false">IF(A1137="","",G1137+H1137)</f>
        <v/>
      </c>
      <c r="L1137" s="16" t="str">
        <f aca="false">IF(A1137="","",IF(F1137="İade edildi",0,K1137-I1137))</f>
        <v/>
      </c>
      <c r="M1137" s="17" t="str">
        <f aca="true">IF(A1137="","",IF(J1137&lt;&gt;"",J1137-A1137,TODAY()-A1137))</f>
        <v/>
      </c>
      <c r="N1137" s="18" t="str">
        <f aca="false">IF(A1137="","",IF(AND(OR(F1137="Bekliyor",F1137="Parça bekleniyor",F1137="Hazır"),M1137&gt;7),"7 günü geçti",""))</f>
        <v/>
      </c>
      <c r="O1137" s="18" t="str">
        <f aca="false">IF(AND(A1137&lt;&gt;"",OR(F1137="Bekliyor",F1137="Parça bekleniyor",F1137="Hazır")),A1137+ROW()/1000000,"")</f>
        <v/>
      </c>
    </row>
    <row r="1138" customFormat="false" ht="15" hidden="false" customHeight="false" outlineLevel="0" collapsed="false">
      <c r="A1138" s="12"/>
      <c r="B1138" s="13"/>
      <c r="C1138" s="13"/>
      <c r="D1138" s="13"/>
      <c r="E1138" s="13"/>
      <c r="F1138" s="14"/>
      <c r="G1138" s="15"/>
      <c r="H1138" s="15"/>
      <c r="I1138" s="15"/>
      <c r="J1138" s="12"/>
      <c r="K1138" s="16" t="str">
        <f aca="false">IF(A1138="","",G1138+H1138)</f>
        <v/>
      </c>
      <c r="L1138" s="16" t="str">
        <f aca="false">IF(A1138="","",IF(F1138="İade edildi",0,K1138-I1138))</f>
        <v/>
      </c>
      <c r="M1138" s="17" t="str">
        <f aca="true">IF(A1138="","",IF(J1138&lt;&gt;"",J1138-A1138,TODAY()-A1138))</f>
        <v/>
      </c>
      <c r="N1138" s="18" t="str">
        <f aca="false">IF(A1138="","",IF(AND(OR(F1138="Bekliyor",F1138="Parça bekleniyor",F1138="Hazır"),M1138&gt;7),"7 günü geçti",""))</f>
        <v/>
      </c>
      <c r="O1138" s="18" t="str">
        <f aca="false">IF(AND(A1138&lt;&gt;"",OR(F1138="Bekliyor",F1138="Parça bekleniyor",F1138="Hazır")),A1138+ROW()/1000000,"")</f>
        <v/>
      </c>
    </row>
    <row r="1139" customFormat="false" ht="15" hidden="false" customHeight="false" outlineLevel="0" collapsed="false">
      <c r="A1139" s="12"/>
      <c r="B1139" s="13"/>
      <c r="C1139" s="13"/>
      <c r="D1139" s="13"/>
      <c r="E1139" s="13"/>
      <c r="F1139" s="14"/>
      <c r="G1139" s="15"/>
      <c r="H1139" s="15"/>
      <c r="I1139" s="15"/>
      <c r="J1139" s="12"/>
      <c r="K1139" s="16" t="str">
        <f aca="false">IF(A1139="","",G1139+H1139)</f>
        <v/>
      </c>
      <c r="L1139" s="16" t="str">
        <f aca="false">IF(A1139="","",IF(F1139="İade edildi",0,K1139-I1139))</f>
        <v/>
      </c>
      <c r="M1139" s="17" t="str">
        <f aca="true">IF(A1139="","",IF(J1139&lt;&gt;"",J1139-A1139,TODAY()-A1139))</f>
        <v/>
      </c>
      <c r="N1139" s="18" t="str">
        <f aca="false">IF(A1139="","",IF(AND(OR(F1139="Bekliyor",F1139="Parça bekleniyor",F1139="Hazır"),M1139&gt;7),"7 günü geçti",""))</f>
        <v/>
      </c>
      <c r="O1139" s="18" t="str">
        <f aca="false">IF(AND(A1139&lt;&gt;"",OR(F1139="Bekliyor",F1139="Parça bekleniyor",F1139="Hazır")),A1139+ROW()/1000000,"")</f>
        <v/>
      </c>
    </row>
    <row r="1140" customFormat="false" ht="15" hidden="false" customHeight="false" outlineLevel="0" collapsed="false">
      <c r="A1140" s="12"/>
      <c r="B1140" s="13"/>
      <c r="C1140" s="13"/>
      <c r="D1140" s="13"/>
      <c r="E1140" s="13"/>
      <c r="F1140" s="14"/>
      <c r="G1140" s="15"/>
      <c r="H1140" s="15"/>
      <c r="I1140" s="15"/>
      <c r="J1140" s="12"/>
      <c r="K1140" s="16" t="str">
        <f aca="false">IF(A1140="","",G1140+H1140)</f>
        <v/>
      </c>
      <c r="L1140" s="16" t="str">
        <f aca="false">IF(A1140="","",IF(F1140="İade edildi",0,K1140-I1140))</f>
        <v/>
      </c>
      <c r="M1140" s="17" t="str">
        <f aca="true">IF(A1140="","",IF(J1140&lt;&gt;"",J1140-A1140,TODAY()-A1140))</f>
        <v/>
      </c>
      <c r="N1140" s="18" t="str">
        <f aca="false">IF(A1140="","",IF(AND(OR(F1140="Bekliyor",F1140="Parça bekleniyor",F1140="Hazır"),M1140&gt;7),"7 günü geçti",""))</f>
        <v/>
      </c>
      <c r="O1140" s="18" t="str">
        <f aca="false">IF(AND(A1140&lt;&gt;"",OR(F1140="Bekliyor",F1140="Parça bekleniyor",F1140="Hazır")),A1140+ROW()/1000000,"")</f>
        <v/>
      </c>
    </row>
    <row r="1141" customFormat="false" ht="15" hidden="false" customHeight="false" outlineLevel="0" collapsed="false">
      <c r="A1141" s="12"/>
      <c r="B1141" s="13"/>
      <c r="C1141" s="13"/>
      <c r="D1141" s="13"/>
      <c r="E1141" s="13"/>
      <c r="F1141" s="14"/>
      <c r="G1141" s="15"/>
      <c r="H1141" s="15"/>
      <c r="I1141" s="15"/>
      <c r="J1141" s="12"/>
      <c r="K1141" s="16" t="str">
        <f aca="false">IF(A1141="","",G1141+H1141)</f>
        <v/>
      </c>
      <c r="L1141" s="16" t="str">
        <f aca="false">IF(A1141="","",IF(F1141="İade edildi",0,K1141-I1141))</f>
        <v/>
      </c>
      <c r="M1141" s="17" t="str">
        <f aca="true">IF(A1141="","",IF(J1141&lt;&gt;"",J1141-A1141,TODAY()-A1141))</f>
        <v/>
      </c>
      <c r="N1141" s="18" t="str">
        <f aca="false">IF(A1141="","",IF(AND(OR(F1141="Bekliyor",F1141="Parça bekleniyor",F1141="Hazır"),M1141&gt;7),"7 günü geçti",""))</f>
        <v/>
      </c>
      <c r="O1141" s="18" t="str">
        <f aca="false">IF(AND(A1141&lt;&gt;"",OR(F1141="Bekliyor",F1141="Parça bekleniyor",F1141="Hazır")),A1141+ROW()/1000000,"")</f>
        <v/>
      </c>
    </row>
    <row r="1142" customFormat="false" ht="15" hidden="false" customHeight="false" outlineLevel="0" collapsed="false">
      <c r="A1142" s="12"/>
      <c r="B1142" s="13"/>
      <c r="C1142" s="13"/>
      <c r="D1142" s="13"/>
      <c r="E1142" s="13"/>
      <c r="F1142" s="14"/>
      <c r="G1142" s="15"/>
      <c r="H1142" s="15"/>
      <c r="I1142" s="15"/>
      <c r="J1142" s="12"/>
      <c r="K1142" s="16" t="str">
        <f aca="false">IF(A1142="","",G1142+H1142)</f>
        <v/>
      </c>
      <c r="L1142" s="16" t="str">
        <f aca="false">IF(A1142="","",IF(F1142="İade edildi",0,K1142-I1142))</f>
        <v/>
      </c>
      <c r="M1142" s="17" t="str">
        <f aca="true">IF(A1142="","",IF(J1142&lt;&gt;"",J1142-A1142,TODAY()-A1142))</f>
        <v/>
      </c>
      <c r="N1142" s="18" t="str">
        <f aca="false">IF(A1142="","",IF(AND(OR(F1142="Bekliyor",F1142="Parça bekleniyor",F1142="Hazır"),M1142&gt;7),"7 günü geçti",""))</f>
        <v/>
      </c>
      <c r="O1142" s="18" t="str">
        <f aca="false">IF(AND(A1142&lt;&gt;"",OR(F1142="Bekliyor",F1142="Parça bekleniyor",F1142="Hazır")),A1142+ROW()/1000000,"")</f>
        <v/>
      </c>
    </row>
    <row r="1143" customFormat="false" ht="15" hidden="false" customHeight="false" outlineLevel="0" collapsed="false">
      <c r="A1143" s="12"/>
      <c r="B1143" s="13"/>
      <c r="C1143" s="13"/>
      <c r="D1143" s="13"/>
      <c r="E1143" s="13"/>
      <c r="F1143" s="14"/>
      <c r="G1143" s="15"/>
      <c r="H1143" s="15"/>
      <c r="I1143" s="15"/>
      <c r="J1143" s="12"/>
      <c r="K1143" s="16" t="str">
        <f aca="false">IF(A1143="","",G1143+H1143)</f>
        <v/>
      </c>
      <c r="L1143" s="16" t="str">
        <f aca="false">IF(A1143="","",IF(F1143="İade edildi",0,K1143-I1143))</f>
        <v/>
      </c>
      <c r="M1143" s="17" t="str">
        <f aca="true">IF(A1143="","",IF(J1143&lt;&gt;"",J1143-A1143,TODAY()-A1143))</f>
        <v/>
      </c>
      <c r="N1143" s="18" t="str">
        <f aca="false">IF(A1143="","",IF(AND(OR(F1143="Bekliyor",F1143="Parça bekleniyor",F1143="Hazır"),M1143&gt;7),"7 günü geçti",""))</f>
        <v/>
      </c>
      <c r="O1143" s="18" t="str">
        <f aca="false">IF(AND(A1143&lt;&gt;"",OR(F1143="Bekliyor",F1143="Parça bekleniyor",F1143="Hazır")),A1143+ROW()/1000000,"")</f>
        <v/>
      </c>
    </row>
    <row r="1144" customFormat="false" ht="15" hidden="false" customHeight="false" outlineLevel="0" collapsed="false">
      <c r="A1144" s="12"/>
      <c r="B1144" s="13"/>
      <c r="C1144" s="13"/>
      <c r="D1144" s="13"/>
      <c r="E1144" s="13"/>
      <c r="F1144" s="14"/>
      <c r="G1144" s="15"/>
      <c r="H1144" s="15"/>
      <c r="I1144" s="15"/>
      <c r="J1144" s="12"/>
      <c r="K1144" s="16" t="str">
        <f aca="false">IF(A1144="","",G1144+H1144)</f>
        <v/>
      </c>
      <c r="L1144" s="16" t="str">
        <f aca="false">IF(A1144="","",IF(F1144="İade edildi",0,K1144-I1144))</f>
        <v/>
      </c>
      <c r="M1144" s="17" t="str">
        <f aca="true">IF(A1144="","",IF(J1144&lt;&gt;"",J1144-A1144,TODAY()-A1144))</f>
        <v/>
      </c>
      <c r="N1144" s="18" t="str">
        <f aca="false">IF(A1144="","",IF(AND(OR(F1144="Bekliyor",F1144="Parça bekleniyor",F1144="Hazır"),M1144&gt;7),"7 günü geçti",""))</f>
        <v/>
      </c>
      <c r="O1144" s="18" t="str">
        <f aca="false">IF(AND(A1144&lt;&gt;"",OR(F1144="Bekliyor",F1144="Parça bekleniyor",F1144="Hazır")),A1144+ROW()/1000000,"")</f>
        <v/>
      </c>
    </row>
    <row r="1145" customFormat="false" ht="15" hidden="false" customHeight="false" outlineLevel="0" collapsed="false">
      <c r="A1145" s="12"/>
      <c r="B1145" s="13"/>
      <c r="C1145" s="13"/>
      <c r="D1145" s="13"/>
      <c r="E1145" s="13"/>
      <c r="F1145" s="14"/>
      <c r="G1145" s="15"/>
      <c r="H1145" s="15"/>
      <c r="I1145" s="15"/>
      <c r="J1145" s="12"/>
      <c r="K1145" s="16" t="str">
        <f aca="false">IF(A1145="","",G1145+H1145)</f>
        <v/>
      </c>
      <c r="L1145" s="16" t="str">
        <f aca="false">IF(A1145="","",IF(F1145="İade edildi",0,K1145-I1145))</f>
        <v/>
      </c>
      <c r="M1145" s="17" t="str">
        <f aca="true">IF(A1145="","",IF(J1145&lt;&gt;"",J1145-A1145,TODAY()-A1145))</f>
        <v/>
      </c>
      <c r="N1145" s="18" t="str">
        <f aca="false">IF(A1145="","",IF(AND(OR(F1145="Bekliyor",F1145="Parça bekleniyor",F1145="Hazır"),M1145&gt;7),"7 günü geçti",""))</f>
        <v/>
      </c>
      <c r="O1145" s="18" t="str">
        <f aca="false">IF(AND(A1145&lt;&gt;"",OR(F1145="Bekliyor",F1145="Parça bekleniyor",F1145="Hazır")),A1145+ROW()/1000000,"")</f>
        <v/>
      </c>
    </row>
    <row r="1146" customFormat="false" ht="15" hidden="false" customHeight="false" outlineLevel="0" collapsed="false">
      <c r="A1146" s="12"/>
      <c r="B1146" s="13"/>
      <c r="C1146" s="13"/>
      <c r="D1146" s="13"/>
      <c r="E1146" s="13"/>
      <c r="F1146" s="14"/>
      <c r="G1146" s="15"/>
      <c r="H1146" s="15"/>
      <c r="I1146" s="15"/>
      <c r="J1146" s="12"/>
      <c r="K1146" s="16" t="str">
        <f aca="false">IF(A1146="","",G1146+H1146)</f>
        <v/>
      </c>
      <c r="L1146" s="16" t="str">
        <f aca="false">IF(A1146="","",IF(F1146="İade edildi",0,K1146-I1146))</f>
        <v/>
      </c>
      <c r="M1146" s="17" t="str">
        <f aca="true">IF(A1146="","",IF(J1146&lt;&gt;"",J1146-A1146,TODAY()-A1146))</f>
        <v/>
      </c>
      <c r="N1146" s="18" t="str">
        <f aca="false">IF(A1146="","",IF(AND(OR(F1146="Bekliyor",F1146="Parça bekleniyor",F1146="Hazır"),M1146&gt;7),"7 günü geçti",""))</f>
        <v/>
      </c>
      <c r="O1146" s="18" t="str">
        <f aca="false">IF(AND(A1146&lt;&gt;"",OR(F1146="Bekliyor",F1146="Parça bekleniyor",F1146="Hazır")),A1146+ROW()/1000000,"")</f>
        <v/>
      </c>
    </row>
    <row r="1147" customFormat="false" ht="15" hidden="false" customHeight="false" outlineLevel="0" collapsed="false">
      <c r="A1147" s="12"/>
      <c r="B1147" s="13"/>
      <c r="C1147" s="13"/>
      <c r="D1147" s="13"/>
      <c r="E1147" s="13"/>
      <c r="F1147" s="14"/>
      <c r="G1147" s="15"/>
      <c r="H1147" s="15"/>
      <c r="I1147" s="15"/>
      <c r="J1147" s="12"/>
      <c r="K1147" s="16" t="str">
        <f aca="false">IF(A1147="","",G1147+H1147)</f>
        <v/>
      </c>
      <c r="L1147" s="16" t="str">
        <f aca="false">IF(A1147="","",IF(F1147="İade edildi",0,K1147-I1147))</f>
        <v/>
      </c>
      <c r="M1147" s="17" t="str">
        <f aca="true">IF(A1147="","",IF(J1147&lt;&gt;"",J1147-A1147,TODAY()-A1147))</f>
        <v/>
      </c>
      <c r="N1147" s="18" t="str">
        <f aca="false">IF(A1147="","",IF(AND(OR(F1147="Bekliyor",F1147="Parça bekleniyor",F1147="Hazır"),M1147&gt;7),"7 günü geçti",""))</f>
        <v/>
      </c>
      <c r="O1147" s="18" t="str">
        <f aca="false">IF(AND(A1147&lt;&gt;"",OR(F1147="Bekliyor",F1147="Parça bekleniyor",F1147="Hazır")),A1147+ROW()/1000000,"")</f>
        <v/>
      </c>
    </row>
    <row r="1148" customFormat="false" ht="15" hidden="false" customHeight="false" outlineLevel="0" collapsed="false">
      <c r="A1148" s="12"/>
      <c r="B1148" s="13"/>
      <c r="C1148" s="13"/>
      <c r="D1148" s="13"/>
      <c r="E1148" s="13"/>
      <c r="F1148" s="14"/>
      <c r="G1148" s="15"/>
      <c r="H1148" s="15"/>
      <c r="I1148" s="15"/>
      <c r="J1148" s="12"/>
      <c r="K1148" s="16" t="str">
        <f aca="false">IF(A1148="","",G1148+H1148)</f>
        <v/>
      </c>
      <c r="L1148" s="16" t="str">
        <f aca="false">IF(A1148="","",IF(F1148="İade edildi",0,K1148-I1148))</f>
        <v/>
      </c>
      <c r="M1148" s="17" t="str">
        <f aca="true">IF(A1148="","",IF(J1148&lt;&gt;"",J1148-A1148,TODAY()-A1148))</f>
        <v/>
      </c>
      <c r="N1148" s="18" t="str">
        <f aca="false">IF(A1148="","",IF(AND(OR(F1148="Bekliyor",F1148="Parça bekleniyor",F1148="Hazır"),M1148&gt;7),"7 günü geçti",""))</f>
        <v/>
      </c>
      <c r="O1148" s="18" t="str">
        <f aca="false">IF(AND(A1148&lt;&gt;"",OR(F1148="Bekliyor",F1148="Parça bekleniyor",F1148="Hazır")),A1148+ROW()/1000000,"")</f>
        <v/>
      </c>
    </row>
    <row r="1149" customFormat="false" ht="15" hidden="false" customHeight="false" outlineLevel="0" collapsed="false">
      <c r="A1149" s="12"/>
      <c r="B1149" s="13"/>
      <c r="C1149" s="13"/>
      <c r="D1149" s="13"/>
      <c r="E1149" s="13"/>
      <c r="F1149" s="14"/>
      <c r="G1149" s="15"/>
      <c r="H1149" s="15"/>
      <c r="I1149" s="15"/>
      <c r="J1149" s="12"/>
      <c r="K1149" s="16" t="str">
        <f aca="false">IF(A1149="","",G1149+H1149)</f>
        <v/>
      </c>
      <c r="L1149" s="16" t="str">
        <f aca="false">IF(A1149="","",IF(F1149="İade edildi",0,K1149-I1149))</f>
        <v/>
      </c>
      <c r="M1149" s="17" t="str">
        <f aca="true">IF(A1149="","",IF(J1149&lt;&gt;"",J1149-A1149,TODAY()-A1149))</f>
        <v/>
      </c>
      <c r="N1149" s="18" t="str">
        <f aca="false">IF(A1149="","",IF(AND(OR(F1149="Bekliyor",F1149="Parça bekleniyor",F1149="Hazır"),M1149&gt;7),"7 günü geçti",""))</f>
        <v/>
      </c>
      <c r="O1149" s="18" t="str">
        <f aca="false">IF(AND(A1149&lt;&gt;"",OR(F1149="Bekliyor",F1149="Parça bekleniyor",F1149="Hazır")),A1149+ROW()/1000000,"")</f>
        <v/>
      </c>
    </row>
    <row r="1150" customFormat="false" ht="15" hidden="false" customHeight="false" outlineLevel="0" collapsed="false">
      <c r="A1150" s="12"/>
      <c r="B1150" s="13"/>
      <c r="C1150" s="13"/>
      <c r="D1150" s="13"/>
      <c r="E1150" s="13"/>
      <c r="F1150" s="14"/>
      <c r="G1150" s="15"/>
      <c r="H1150" s="15"/>
      <c r="I1150" s="15"/>
      <c r="J1150" s="12"/>
      <c r="K1150" s="16" t="str">
        <f aca="false">IF(A1150="","",G1150+H1150)</f>
        <v/>
      </c>
      <c r="L1150" s="16" t="str">
        <f aca="false">IF(A1150="","",IF(F1150="İade edildi",0,K1150-I1150))</f>
        <v/>
      </c>
      <c r="M1150" s="17" t="str">
        <f aca="true">IF(A1150="","",IF(J1150&lt;&gt;"",J1150-A1150,TODAY()-A1150))</f>
        <v/>
      </c>
      <c r="N1150" s="18" t="str">
        <f aca="false">IF(A1150="","",IF(AND(OR(F1150="Bekliyor",F1150="Parça bekleniyor",F1150="Hazır"),M1150&gt;7),"7 günü geçti",""))</f>
        <v/>
      </c>
      <c r="O1150" s="18" t="str">
        <f aca="false">IF(AND(A1150&lt;&gt;"",OR(F1150="Bekliyor",F1150="Parça bekleniyor",F1150="Hazır")),A1150+ROW()/1000000,"")</f>
        <v/>
      </c>
    </row>
    <row r="1151" customFormat="false" ht="15" hidden="false" customHeight="false" outlineLevel="0" collapsed="false">
      <c r="A1151" s="12"/>
      <c r="B1151" s="13"/>
      <c r="C1151" s="13"/>
      <c r="D1151" s="13"/>
      <c r="E1151" s="13"/>
      <c r="F1151" s="14"/>
      <c r="G1151" s="15"/>
      <c r="H1151" s="15"/>
      <c r="I1151" s="15"/>
      <c r="J1151" s="12"/>
      <c r="K1151" s="16" t="str">
        <f aca="false">IF(A1151="","",G1151+H1151)</f>
        <v/>
      </c>
      <c r="L1151" s="16" t="str">
        <f aca="false">IF(A1151="","",IF(F1151="İade edildi",0,K1151-I1151))</f>
        <v/>
      </c>
      <c r="M1151" s="17" t="str">
        <f aca="true">IF(A1151="","",IF(J1151&lt;&gt;"",J1151-A1151,TODAY()-A1151))</f>
        <v/>
      </c>
      <c r="N1151" s="18" t="str">
        <f aca="false">IF(A1151="","",IF(AND(OR(F1151="Bekliyor",F1151="Parça bekleniyor",F1151="Hazır"),M1151&gt;7),"7 günü geçti",""))</f>
        <v/>
      </c>
      <c r="O1151" s="18" t="str">
        <f aca="false">IF(AND(A1151&lt;&gt;"",OR(F1151="Bekliyor",F1151="Parça bekleniyor",F1151="Hazır")),A1151+ROW()/1000000,"")</f>
        <v/>
      </c>
    </row>
    <row r="1152" customFormat="false" ht="15" hidden="false" customHeight="false" outlineLevel="0" collapsed="false">
      <c r="A1152" s="12"/>
      <c r="B1152" s="13"/>
      <c r="C1152" s="13"/>
      <c r="D1152" s="13"/>
      <c r="E1152" s="13"/>
      <c r="F1152" s="14"/>
      <c r="G1152" s="15"/>
      <c r="H1152" s="15"/>
      <c r="I1152" s="15"/>
      <c r="J1152" s="12"/>
      <c r="K1152" s="16" t="str">
        <f aca="false">IF(A1152="","",G1152+H1152)</f>
        <v/>
      </c>
      <c r="L1152" s="16" t="str">
        <f aca="false">IF(A1152="","",IF(F1152="İade edildi",0,K1152-I1152))</f>
        <v/>
      </c>
      <c r="M1152" s="17" t="str">
        <f aca="true">IF(A1152="","",IF(J1152&lt;&gt;"",J1152-A1152,TODAY()-A1152))</f>
        <v/>
      </c>
      <c r="N1152" s="18" t="str">
        <f aca="false">IF(A1152="","",IF(AND(OR(F1152="Bekliyor",F1152="Parça bekleniyor",F1152="Hazır"),M1152&gt;7),"7 günü geçti",""))</f>
        <v/>
      </c>
      <c r="O1152" s="18" t="str">
        <f aca="false">IF(AND(A1152&lt;&gt;"",OR(F1152="Bekliyor",F1152="Parça bekleniyor",F1152="Hazır")),A1152+ROW()/1000000,"")</f>
        <v/>
      </c>
    </row>
    <row r="1153" customFormat="false" ht="15" hidden="false" customHeight="false" outlineLevel="0" collapsed="false">
      <c r="A1153" s="12"/>
      <c r="B1153" s="13"/>
      <c r="C1153" s="13"/>
      <c r="D1153" s="13"/>
      <c r="E1153" s="13"/>
      <c r="F1153" s="14"/>
      <c r="G1153" s="15"/>
      <c r="H1153" s="15"/>
      <c r="I1153" s="15"/>
      <c r="J1153" s="12"/>
      <c r="K1153" s="16" t="str">
        <f aca="false">IF(A1153="","",G1153+H1153)</f>
        <v/>
      </c>
      <c r="L1153" s="16" t="str">
        <f aca="false">IF(A1153="","",IF(F1153="İade edildi",0,K1153-I1153))</f>
        <v/>
      </c>
      <c r="M1153" s="17" t="str">
        <f aca="true">IF(A1153="","",IF(J1153&lt;&gt;"",J1153-A1153,TODAY()-A1153))</f>
        <v/>
      </c>
      <c r="N1153" s="18" t="str">
        <f aca="false">IF(A1153="","",IF(AND(OR(F1153="Bekliyor",F1153="Parça bekleniyor",F1153="Hazır"),M1153&gt;7),"7 günü geçti",""))</f>
        <v/>
      </c>
      <c r="O1153" s="18" t="str">
        <f aca="false">IF(AND(A1153&lt;&gt;"",OR(F1153="Bekliyor",F1153="Parça bekleniyor",F1153="Hazır")),A1153+ROW()/1000000,"")</f>
        <v/>
      </c>
    </row>
    <row r="1154" customFormat="false" ht="15" hidden="false" customHeight="false" outlineLevel="0" collapsed="false">
      <c r="A1154" s="12"/>
      <c r="B1154" s="13"/>
      <c r="C1154" s="13"/>
      <c r="D1154" s="13"/>
      <c r="E1154" s="13"/>
      <c r="F1154" s="14"/>
      <c r="G1154" s="15"/>
      <c r="H1154" s="15"/>
      <c r="I1154" s="15"/>
      <c r="J1154" s="12"/>
      <c r="K1154" s="16" t="str">
        <f aca="false">IF(A1154="","",G1154+H1154)</f>
        <v/>
      </c>
      <c r="L1154" s="16" t="str">
        <f aca="false">IF(A1154="","",IF(F1154="İade edildi",0,K1154-I1154))</f>
        <v/>
      </c>
      <c r="M1154" s="17" t="str">
        <f aca="true">IF(A1154="","",IF(J1154&lt;&gt;"",J1154-A1154,TODAY()-A1154))</f>
        <v/>
      </c>
      <c r="N1154" s="18" t="str">
        <f aca="false">IF(A1154="","",IF(AND(OR(F1154="Bekliyor",F1154="Parça bekleniyor",F1154="Hazır"),M1154&gt;7),"7 günü geçti",""))</f>
        <v/>
      </c>
      <c r="O1154" s="18" t="str">
        <f aca="false">IF(AND(A1154&lt;&gt;"",OR(F1154="Bekliyor",F1154="Parça bekleniyor",F1154="Hazır")),A1154+ROW()/1000000,"")</f>
        <v/>
      </c>
    </row>
    <row r="1155" customFormat="false" ht="15" hidden="false" customHeight="false" outlineLevel="0" collapsed="false">
      <c r="A1155" s="12"/>
      <c r="B1155" s="13"/>
      <c r="C1155" s="13"/>
      <c r="D1155" s="13"/>
      <c r="E1155" s="13"/>
      <c r="F1155" s="14"/>
      <c r="G1155" s="15"/>
      <c r="H1155" s="15"/>
      <c r="I1155" s="15"/>
      <c r="J1155" s="12"/>
      <c r="K1155" s="16" t="str">
        <f aca="false">IF(A1155="","",G1155+H1155)</f>
        <v/>
      </c>
      <c r="L1155" s="16" t="str">
        <f aca="false">IF(A1155="","",IF(F1155="İade edildi",0,K1155-I1155))</f>
        <v/>
      </c>
      <c r="M1155" s="17" t="str">
        <f aca="true">IF(A1155="","",IF(J1155&lt;&gt;"",J1155-A1155,TODAY()-A1155))</f>
        <v/>
      </c>
      <c r="N1155" s="18" t="str">
        <f aca="false">IF(A1155="","",IF(AND(OR(F1155="Bekliyor",F1155="Parça bekleniyor",F1155="Hazır"),M1155&gt;7),"7 günü geçti",""))</f>
        <v/>
      </c>
      <c r="O1155" s="18" t="str">
        <f aca="false">IF(AND(A1155&lt;&gt;"",OR(F1155="Bekliyor",F1155="Parça bekleniyor",F1155="Hazır")),A1155+ROW()/1000000,"")</f>
        <v/>
      </c>
    </row>
    <row r="1156" customFormat="false" ht="15" hidden="false" customHeight="false" outlineLevel="0" collapsed="false">
      <c r="A1156" s="12"/>
      <c r="B1156" s="13"/>
      <c r="C1156" s="13"/>
      <c r="D1156" s="13"/>
      <c r="E1156" s="13"/>
      <c r="F1156" s="14"/>
      <c r="G1156" s="15"/>
      <c r="H1156" s="15"/>
      <c r="I1156" s="15"/>
      <c r="J1156" s="12"/>
      <c r="K1156" s="16" t="str">
        <f aca="false">IF(A1156="","",G1156+H1156)</f>
        <v/>
      </c>
      <c r="L1156" s="16" t="str">
        <f aca="false">IF(A1156="","",IF(F1156="İade edildi",0,K1156-I1156))</f>
        <v/>
      </c>
      <c r="M1156" s="17" t="str">
        <f aca="true">IF(A1156="","",IF(J1156&lt;&gt;"",J1156-A1156,TODAY()-A1156))</f>
        <v/>
      </c>
      <c r="N1156" s="18" t="str">
        <f aca="false">IF(A1156="","",IF(AND(OR(F1156="Bekliyor",F1156="Parça bekleniyor",F1156="Hazır"),M1156&gt;7),"7 günü geçti",""))</f>
        <v/>
      </c>
      <c r="O1156" s="18" t="str">
        <f aca="false">IF(AND(A1156&lt;&gt;"",OR(F1156="Bekliyor",F1156="Parça bekleniyor",F1156="Hazır")),A1156+ROW()/1000000,"")</f>
        <v/>
      </c>
    </row>
    <row r="1157" customFormat="false" ht="15" hidden="false" customHeight="false" outlineLevel="0" collapsed="false">
      <c r="A1157" s="12"/>
      <c r="B1157" s="13"/>
      <c r="C1157" s="13"/>
      <c r="D1157" s="13"/>
      <c r="E1157" s="13"/>
      <c r="F1157" s="14"/>
      <c r="G1157" s="15"/>
      <c r="H1157" s="15"/>
      <c r="I1157" s="15"/>
      <c r="J1157" s="12"/>
      <c r="K1157" s="16" t="str">
        <f aca="false">IF(A1157="","",G1157+H1157)</f>
        <v/>
      </c>
      <c r="L1157" s="16" t="str">
        <f aca="false">IF(A1157="","",IF(F1157="İade edildi",0,K1157-I1157))</f>
        <v/>
      </c>
      <c r="M1157" s="17" t="str">
        <f aca="true">IF(A1157="","",IF(J1157&lt;&gt;"",J1157-A1157,TODAY()-A1157))</f>
        <v/>
      </c>
      <c r="N1157" s="18" t="str">
        <f aca="false">IF(A1157="","",IF(AND(OR(F1157="Bekliyor",F1157="Parça bekleniyor",F1157="Hazır"),M1157&gt;7),"7 günü geçti",""))</f>
        <v/>
      </c>
      <c r="O1157" s="18" t="str">
        <f aca="false">IF(AND(A1157&lt;&gt;"",OR(F1157="Bekliyor",F1157="Parça bekleniyor",F1157="Hazır")),A1157+ROW()/1000000,"")</f>
        <v/>
      </c>
    </row>
    <row r="1158" customFormat="false" ht="15" hidden="false" customHeight="false" outlineLevel="0" collapsed="false">
      <c r="A1158" s="12"/>
      <c r="B1158" s="13"/>
      <c r="C1158" s="13"/>
      <c r="D1158" s="13"/>
      <c r="E1158" s="13"/>
      <c r="F1158" s="14"/>
      <c r="G1158" s="15"/>
      <c r="H1158" s="15"/>
      <c r="I1158" s="15"/>
      <c r="J1158" s="12"/>
      <c r="K1158" s="16" t="str">
        <f aca="false">IF(A1158="","",G1158+H1158)</f>
        <v/>
      </c>
      <c r="L1158" s="16" t="str">
        <f aca="false">IF(A1158="","",IF(F1158="İade edildi",0,K1158-I1158))</f>
        <v/>
      </c>
      <c r="M1158" s="17" t="str">
        <f aca="true">IF(A1158="","",IF(J1158&lt;&gt;"",J1158-A1158,TODAY()-A1158))</f>
        <v/>
      </c>
      <c r="N1158" s="18" t="str">
        <f aca="false">IF(A1158="","",IF(AND(OR(F1158="Bekliyor",F1158="Parça bekleniyor",F1158="Hazır"),M1158&gt;7),"7 günü geçti",""))</f>
        <v/>
      </c>
      <c r="O1158" s="18" t="str">
        <f aca="false">IF(AND(A1158&lt;&gt;"",OR(F1158="Bekliyor",F1158="Parça bekleniyor",F1158="Hazır")),A1158+ROW()/1000000,"")</f>
        <v/>
      </c>
    </row>
    <row r="1159" customFormat="false" ht="15" hidden="false" customHeight="false" outlineLevel="0" collapsed="false">
      <c r="A1159" s="12"/>
      <c r="B1159" s="13"/>
      <c r="C1159" s="13"/>
      <c r="D1159" s="13"/>
      <c r="E1159" s="13"/>
      <c r="F1159" s="14"/>
      <c r="G1159" s="15"/>
      <c r="H1159" s="15"/>
      <c r="I1159" s="15"/>
      <c r="J1159" s="12"/>
      <c r="K1159" s="16" t="str">
        <f aca="false">IF(A1159="","",G1159+H1159)</f>
        <v/>
      </c>
      <c r="L1159" s="16" t="str">
        <f aca="false">IF(A1159="","",IF(F1159="İade edildi",0,K1159-I1159))</f>
        <v/>
      </c>
      <c r="M1159" s="17" t="str">
        <f aca="true">IF(A1159="","",IF(J1159&lt;&gt;"",J1159-A1159,TODAY()-A1159))</f>
        <v/>
      </c>
      <c r="N1159" s="18" t="str">
        <f aca="false">IF(A1159="","",IF(AND(OR(F1159="Bekliyor",F1159="Parça bekleniyor",F1159="Hazır"),M1159&gt;7),"7 günü geçti",""))</f>
        <v/>
      </c>
      <c r="O1159" s="18" t="str">
        <f aca="false">IF(AND(A1159&lt;&gt;"",OR(F1159="Bekliyor",F1159="Parça bekleniyor",F1159="Hazır")),A1159+ROW()/1000000,"")</f>
        <v/>
      </c>
    </row>
    <row r="1160" customFormat="false" ht="15" hidden="false" customHeight="false" outlineLevel="0" collapsed="false">
      <c r="A1160" s="12"/>
      <c r="B1160" s="13"/>
      <c r="C1160" s="13"/>
      <c r="D1160" s="13"/>
      <c r="E1160" s="13"/>
      <c r="F1160" s="14"/>
      <c r="G1160" s="15"/>
      <c r="H1160" s="15"/>
      <c r="I1160" s="15"/>
      <c r="J1160" s="12"/>
      <c r="K1160" s="16" t="str">
        <f aca="false">IF(A1160="","",G1160+H1160)</f>
        <v/>
      </c>
      <c r="L1160" s="16" t="str">
        <f aca="false">IF(A1160="","",IF(F1160="İade edildi",0,K1160-I1160))</f>
        <v/>
      </c>
      <c r="M1160" s="17" t="str">
        <f aca="true">IF(A1160="","",IF(J1160&lt;&gt;"",J1160-A1160,TODAY()-A1160))</f>
        <v/>
      </c>
      <c r="N1160" s="18" t="str">
        <f aca="false">IF(A1160="","",IF(AND(OR(F1160="Bekliyor",F1160="Parça bekleniyor",F1160="Hazır"),M1160&gt;7),"7 günü geçti",""))</f>
        <v/>
      </c>
      <c r="O1160" s="18" t="str">
        <f aca="false">IF(AND(A1160&lt;&gt;"",OR(F1160="Bekliyor",F1160="Parça bekleniyor",F1160="Hazır")),A1160+ROW()/1000000,"")</f>
        <v/>
      </c>
    </row>
    <row r="1161" customFormat="false" ht="15" hidden="false" customHeight="false" outlineLevel="0" collapsed="false">
      <c r="A1161" s="12"/>
      <c r="B1161" s="13"/>
      <c r="C1161" s="13"/>
      <c r="D1161" s="13"/>
      <c r="E1161" s="13"/>
      <c r="F1161" s="14"/>
      <c r="G1161" s="15"/>
      <c r="H1161" s="15"/>
      <c r="I1161" s="15"/>
      <c r="J1161" s="12"/>
      <c r="K1161" s="16" t="str">
        <f aca="false">IF(A1161="","",G1161+H1161)</f>
        <v/>
      </c>
      <c r="L1161" s="16" t="str">
        <f aca="false">IF(A1161="","",IF(F1161="İade edildi",0,K1161-I1161))</f>
        <v/>
      </c>
      <c r="M1161" s="17" t="str">
        <f aca="true">IF(A1161="","",IF(J1161&lt;&gt;"",J1161-A1161,TODAY()-A1161))</f>
        <v/>
      </c>
      <c r="N1161" s="18" t="str">
        <f aca="false">IF(A1161="","",IF(AND(OR(F1161="Bekliyor",F1161="Parça bekleniyor",F1161="Hazır"),M1161&gt;7),"7 günü geçti",""))</f>
        <v/>
      </c>
      <c r="O1161" s="18" t="str">
        <f aca="false">IF(AND(A1161&lt;&gt;"",OR(F1161="Bekliyor",F1161="Parça bekleniyor",F1161="Hazır")),A1161+ROW()/1000000,"")</f>
        <v/>
      </c>
    </row>
    <row r="1162" customFormat="false" ht="15" hidden="false" customHeight="false" outlineLevel="0" collapsed="false">
      <c r="A1162" s="12"/>
      <c r="B1162" s="13"/>
      <c r="C1162" s="13"/>
      <c r="D1162" s="13"/>
      <c r="E1162" s="13"/>
      <c r="F1162" s="14"/>
      <c r="G1162" s="15"/>
      <c r="H1162" s="15"/>
      <c r="I1162" s="15"/>
      <c r="J1162" s="12"/>
      <c r="K1162" s="16" t="str">
        <f aca="false">IF(A1162="","",G1162+H1162)</f>
        <v/>
      </c>
      <c r="L1162" s="16" t="str">
        <f aca="false">IF(A1162="","",IF(F1162="İade edildi",0,K1162-I1162))</f>
        <v/>
      </c>
      <c r="M1162" s="17" t="str">
        <f aca="true">IF(A1162="","",IF(J1162&lt;&gt;"",J1162-A1162,TODAY()-A1162))</f>
        <v/>
      </c>
      <c r="N1162" s="18" t="str">
        <f aca="false">IF(A1162="","",IF(AND(OR(F1162="Bekliyor",F1162="Parça bekleniyor",F1162="Hazır"),M1162&gt;7),"7 günü geçti",""))</f>
        <v/>
      </c>
      <c r="O1162" s="18" t="str">
        <f aca="false">IF(AND(A1162&lt;&gt;"",OR(F1162="Bekliyor",F1162="Parça bekleniyor",F1162="Hazır")),A1162+ROW()/1000000,"")</f>
        <v/>
      </c>
    </row>
    <row r="1163" customFormat="false" ht="15" hidden="false" customHeight="false" outlineLevel="0" collapsed="false">
      <c r="A1163" s="12"/>
      <c r="B1163" s="13"/>
      <c r="C1163" s="13"/>
      <c r="D1163" s="13"/>
      <c r="E1163" s="13"/>
      <c r="F1163" s="14"/>
      <c r="G1163" s="15"/>
      <c r="H1163" s="15"/>
      <c r="I1163" s="15"/>
      <c r="J1163" s="12"/>
      <c r="K1163" s="16" t="str">
        <f aca="false">IF(A1163="","",G1163+H1163)</f>
        <v/>
      </c>
      <c r="L1163" s="16" t="str">
        <f aca="false">IF(A1163="","",IF(F1163="İade edildi",0,K1163-I1163))</f>
        <v/>
      </c>
      <c r="M1163" s="17" t="str">
        <f aca="true">IF(A1163="","",IF(J1163&lt;&gt;"",J1163-A1163,TODAY()-A1163))</f>
        <v/>
      </c>
      <c r="N1163" s="18" t="str">
        <f aca="false">IF(A1163="","",IF(AND(OR(F1163="Bekliyor",F1163="Parça bekleniyor",F1163="Hazır"),M1163&gt;7),"7 günü geçti",""))</f>
        <v/>
      </c>
      <c r="O1163" s="18" t="str">
        <f aca="false">IF(AND(A1163&lt;&gt;"",OR(F1163="Bekliyor",F1163="Parça bekleniyor",F1163="Hazır")),A1163+ROW()/1000000,"")</f>
        <v/>
      </c>
    </row>
    <row r="1164" customFormat="false" ht="15" hidden="false" customHeight="false" outlineLevel="0" collapsed="false">
      <c r="A1164" s="12"/>
      <c r="B1164" s="13"/>
      <c r="C1164" s="13"/>
      <c r="D1164" s="13"/>
      <c r="E1164" s="13"/>
      <c r="F1164" s="14"/>
      <c r="G1164" s="15"/>
      <c r="H1164" s="15"/>
      <c r="I1164" s="15"/>
      <c r="J1164" s="12"/>
      <c r="K1164" s="16" t="str">
        <f aca="false">IF(A1164="","",G1164+H1164)</f>
        <v/>
      </c>
      <c r="L1164" s="16" t="str">
        <f aca="false">IF(A1164="","",IF(F1164="İade edildi",0,K1164-I1164))</f>
        <v/>
      </c>
      <c r="M1164" s="17" t="str">
        <f aca="true">IF(A1164="","",IF(J1164&lt;&gt;"",J1164-A1164,TODAY()-A1164))</f>
        <v/>
      </c>
      <c r="N1164" s="18" t="str">
        <f aca="false">IF(A1164="","",IF(AND(OR(F1164="Bekliyor",F1164="Parça bekleniyor",F1164="Hazır"),M1164&gt;7),"7 günü geçti",""))</f>
        <v/>
      </c>
      <c r="O1164" s="18" t="str">
        <f aca="false">IF(AND(A1164&lt;&gt;"",OR(F1164="Bekliyor",F1164="Parça bekleniyor",F1164="Hazır")),A1164+ROW()/1000000,"")</f>
        <v/>
      </c>
    </row>
    <row r="1165" customFormat="false" ht="15" hidden="false" customHeight="false" outlineLevel="0" collapsed="false">
      <c r="A1165" s="12"/>
      <c r="B1165" s="13"/>
      <c r="C1165" s="13"/>
      <c r="D1165" s="13"/>
      <c r="E1165" s="13"/>
      <c r="F1165" s="14"/>
      <c r="G1165" s="15"/>
      <c r="H1165" s="15"/>
      <c r="I1165" s="15"/>
      <c r="J1165" s="12"/>
      <c r="K1165" s="16" t="str">
        <f aca="false">IF(A1165="","",G1165+H1165)</f>
        <v/>
      </c>
      <c r="L1165" s="16" t="str">
        <f aca="false">IF(A1165="","",IF(F1165="İade edildi",0,K1165-I1165))</f>
        <v/>
      </c>
      <c r="M1165" s="17" t="str">
        <f aca="true">IF(A1165="","",IF(J1165&lt;&gt;"",J1165-A1165,TODAY()-A1165))</f>
        <v/>
      </c>
      <c r="N1165" s="18" t="str">
        <f aca="false">IF(A1165="","",IF(AND(OR(F1165="Bekliyor",F1165="Parça bekleniyor",F1165="Hazır"),M1165&gt;7),"7 günü geçti",""))</f>
        <v/>
      </c>
      <c r="O1165" s="18" t="str">
        <f aca="false">IF(AND(A1165&lt;&gt;"",OR(F1165="Bekliyor",F1165="Parça bekleniyor",F1165="Hazır")),A1165+ROW()/1000000,"")</f>
        <v/>
      </c>
    </row>
    <row r="1166" customFormat="false" ht="15" hidden="false" customHeight="false" outlineLevel="0" collapsed="false">
      <c r="A1166" s="12"/>
      <c r="B1166" s="13"/>
      <c r="C1166" s="13"/>
      <c r="D1166" s="13"/>
      <c r="E1166" s="13"/>
      <c r="F1166" s="14"/>
      <c r="G1166" s="15"/>
      <c r="H1166" s="15"/>
      <c r="I1166" s="15"/>
      <c r="J1166" s="12"/>
      <c r="K1166" s="16" t="str">
        <f aca="false">IF(A1166="","",G1166+H1166)</f>
        <v/>
      </c>
      <c r="L1166" s="16" t="str">
        <f aca="false">IF(A1166="","",IF(F1166="İade edildi",0,K1166-I1166))</f>
        <v/>
      </c>
      <c r="M1166" s="17" t="str">
        <f aca="true">IF(A1166="","",IF(J1166&lt;&gt;"",J1166-A1166,TODAY()-A1166))</f>
        <v/>
      </c>
      <c r="N1166" s="18" t="str">
        <f aca="false">IF(A1166="","",IF(AND(OR(F1166="Bekliyor",F1166="Parça bekleniyor",F1166="Hazır"),M1166&gt;7),"7 günü geçti",""))</f>
        <v/>
      </c>
      <c r="O1166" s="18" t="str">
        <f aca="false">IF(AND(A1166&lt;&gt;"",OR(F1166="Bekliyor",F1166="Parça bekleniyor",F1166="Hazır")),A1166+ROW()/1000000,"")</f>
        <v/>
      </c>
    </row>
    <row r="1167" customFormat="false" ht="15" hidden="false" customHeight="false" outlineLevel="0" collapsed="false">
      <c r="A1167" s="12"/>
      <c r="B1167" s="13"/>
      <c r="C1167" s="13"/>
      <c r="D1167" s="13"/>
      <c r="E1167" s="13"/>
      <c r="F1167" s="14"/>
      <c r="G1167" s="15"/>
      <c r="H1167" s="15"/>
      <c r="I1167" s="15"/>
      <c r="J1167" s="12"/>
      <c r="K1167" s="16" t="str">
        <f aca="false">IF(A1167="","",G1167+H1167)</f>
        <v/>
      </c>
      <c r="L1167" s="16" t="str">
        <f aca="false">IF(A1167="","",IF(F1167="İade edildi",0,K1167-I1167))</f>
        <v/>
      </c>
      <c r="M1167" s="17" t="str">
        <f aca="true">IF(A1167="","",IF(J1167&lt;&gt;"",J1167-A1167,TODAY()-A1167))</f>
        <v/>
      </c>
      <c r="N1167" s="18" t="str">
        <f aca="false">IF(A1167="","",IF(AND(OR(F1167="Bekliyor",F1167="Parça bekleniyor",F1167="Hazır"),M1167&gt;7),"7 günü geçti",""))</f>
        <v/>
      </c>
      <c r="O1167" s="18" t="str">
        <f aca="false">IF(AND(A1167&lt;&gt;"",OR(F1167="Bekliyor",F1167="Parça bekleniyor",F1167="Hazır")),A1167+ROW()/1000000,"")</f>
        <v/>
      </c>
    </row>
    <row r="1168" customFormat="false" ht="15" hidden="false" customHeight="false" outlineLevel="0" collapsed="false">
      <c r="A1168" s="12"/>
      <c r="B1168" s="13"/>
      <c r="C1168" s="13"/>
      <c r="D1168" s="13"/>
      <c r="E1168" s="13"/>
      <c r="F1168" s="14"/>
      <c r="G1168" s="15"/>
      <c r="H1168" s="15"/>
      <c r="I1168" s="15"/>
      <c r="J1168" s="12"/>
      <c r="K1168" s="16" t="str">
        <f aca="false">IF(A1168="","",G1168+H1168)</f>
        <v/>
      </c>
      <c r="L1168" s="16" t="str">
        <f aca="false">IF(A1168="","",IF(F1168="İade edildi",0,K1168-I1168))</f>
        <v/>
      </c>
      <c r="M1168" s="17" t="str">
        <f aca="true">IF(A1168="","",IF(J1168&lt;&gt;"",J1168-A1168,TODAY()-A1168))</f>
        <v/>
      </c>
      <c r="N1168" s="18" t="str">
        <f aca="false">IF(A1168="","",IF(AND(OR(F1168="Bekliyor",F1168="Parça bekleniyor",F1168="Hazır"),M1168&gt;7),"7 günü geçti",""))</f>
        <v/>
      </c>
      <c r="O1168" s="18" t="str">
        <f aca="false">IF(AND(A1168&lt;&gt;"",OR(F1168="Bekliyor",F1168="Parça bekleniyor",F1168="Hazır")),A1168+ROW()/1000000,"")</f>
        <v/>
      </c>
    </row>
    <row r="1169" customFormat="false" ht="15" hidden="false" customHeight="false" outlineLevel="0" collapsed="false">
      <c r="A1169" s="12"/>
      <c r="B1169" s="13"/>
      <c r="C1169" s="13"/>
      <c r="D1169" s="13"/>
      <c r="E1169" s="13"/>
      <c r="F1169" s="14"/>
      <c r="G1169" s="15"/>
      <c r="H1169" s="15"/>
      <c r="I1169" s="15"/>
      <c r="J1169" s="12"/>
      <c r="K1169" s="16" t="str">
        <f aca="false">IF(A1169="","",G1169+H1169)</f>
        <v/>
      </c>
      <c r="L1169" s="16" t="str">
        <f aca="false">IF(A1169="","",IF(F1169="İade edildi",0,K1169-I1169))</f>
        <v/>
      </c>
      <c r="M1169" s="17" t="str">
        <f aca="true">IF(A1169="","",IF(J1169&lt;&gt;"",J1169-A1169,TODAY()-A1169))</f>
        <v/>
      </c>
      <c r="N1169" s="18" t="str">
        <f aca="false">IF(A1169="","",IF(AND(OR(F1169="Bekliyor",F1169="Parça bekleniyor",F1169="Hazır"),M1169&gt;7),"7 günü geçti",""))</f>
        <v/>
      </c>
      <c r="O1169" s="18" t="str">
        <f aca="false">IF(AND(A1169&lt;&gt;"",OR(F1169="Bekliyor",F1169="Parça bekleniyor",F1169="Hazır")),A1169+ROW()/1000000,"")</f>
        <v/>
      </c>
    </row>
    <row r="1170" customFormat="false" ht="15" hidden="false" customHeight="false" outlineLevel="0" collapsed="false">
      <c r="A1170" s="12"/>
      <c r="B1170" s="13"/>
      <c r="C1170" s="13"/>
      <c r="D1170" s="13"/>
      <c r="E1170" s="13"/>
      <c r="F1170" s="14"/>
      <c r="G1170" s="15"/>
      <c r="H1170" s="15"/>
      <c r="I1170" s="15"/>
      <c r="J1170" s="12"/>
      <c r="K1170" s="16" t="str">
        <f aca="false">IF(A1170="","",G1170+H1170)</f>
        <v/>
      </c>
      <c r="L1170" s="16" t="str">
        <f aca="false">IF(A1170="","",IF(F1170="İade edildi",0,K1170-I1170))</f>
        <v/>
      </c>
      <c r="M1170" s="17" t="str">
        <f aca="true">IF(A1170="","",IF(J1170&lt;&gt;"",J1170-A1170,TODAY()-A1170))</f>
        <v/>
      </c>
      <c r="N1170" s="18" t="str">
        <f aca="false">IF(A1170="","",IF(AND(OR(F1170="Bekliyor",F1170="Parça bekleniyor",F1170="Hazır"),M1170&gt;7),"7 günü geçti",""))</f>
        <v/>
      </c>
      <c r="O1170" s="18" t="str">
        <f aca="false">IF(AND(A1170&lt;&gt;"",OR(F1170="Bekliyor",F1170="Parça bekleniyor",F1170="Hazır")),A1170+ROW()/1000000,"")</f>
        <v/>
      </c>
    </row>
    <row r="1171" customFormat="false" ht="15" hidden="false" customHeight="false" outlineLevel="0" collapsed="false">
      <c r="A1171" s="12"/>
      <c r="B1171" s="13"/>
      <c r="C1171" s="13"/>
      <c r="D1171" s="13"/>
      <c r="E1171" s="13"/>
      <c r="F1171" s="14"/>
      <c r="G1171" s="15"/>
      <c r="H1171" s="15"/>
      <c r="I1171" s="15"/>
      <c r="J1171" s="12"/>
      <c r="K1171" s="16" t="str">
        <f aca="false">IF(A1171="","",G1171+H1171)</f>
        <v/>
      </c>
      <c r="L1171" s="16" t="str">
        <f aca="false">IF(A1171="","",IF(F1171="İade edildi",0,K1171-I1171))</f>
        <v/>
      </c>
      <c r="M1171" s="17" t="str">
        <f aca="true">IF(A1171="","",IF(J1171&lt;&gt;"",J1171-A1171,TODAY()-A1171))</f>
        <v/>
      </c>
      <c r="N1171" s="18" t="str">
        <f aca="false">IF(A1171="","",IF(AND(OR(F1171="Bekliyor",F1171="Parça bekleniyor",F1171="Hazır"),M1171&gt;7),"7 günü geçti",""))</f>
        <v/>
      </c>
      <c r="O1171" s="18" t="str">
        <f aca="false">IF(AND(A1171&lt;&gt;"",OR(F1171="Bekliyor",F1171="Parça bekleniyor",F1171="Hazır")),A1171+ROW()/1000000,"")</f>
        <v/>
      </c>
    </row>
    <row r="1172" customFormat="false" ht="15" hidden="false" customHeight="false" outlineLevel="0" collapsed="false">
      <c r="A1172" s="12"/>
      <c r="B1172" s="13"/>
      <c r="C1172" s="13"/>
      <c r="D1172" s="13"/>
      <c r="E1172" s="13"/>
      <c r="F1172" s="14"/>
      <c r="G1172" s="15"/>
      <c r="H1172" s="15"/>
      <c r="I1172" s="15"/>
      <c r="J1172" s="12"/>
      <c r="K1172" s="16" t="str">
        <f aca="false">IF(A1172="","",G1172+H1172)</f>
        <v/>
      </c>
      <c r="L1172" s="16" t="str">
        <f aca="false">IF(A1172="","",IF(F1172="İade edildi",0,K1172-I1172))</f>
        <v/>
      </c>
      <c r="M1172" s="17" t="str">
        <f aca="true">IF(A1172="","",IF(J1172&lt;&gt;"",J1172-A1172,TODAY()-A1172))</f>
        <v/>
      </c>
      <c r="N1172" s="18" t="str">
        <f aca="false">IF(A1172="","",IF(AND(OR(F1172="Bekliyor",F1172="Parça bekleniyor",F1172="Hazır"),M1172&gt;7),"7 günü geçti",""))</f>
        <v/>
      </c>
      <c r="O1172" s="18" t="str">
        <f aca="false">IF(AND(A1172&lt;&gt;"",OR(F1172="Bekliyor",F1172="Parça bekleniyor",F1172="Hazır")),A1172+ROW()/1000000,"")</f>
        <v/>
      </c>
    </row>
    <row r="1173" customFormat="false" ht="15" hidden="false" customHeight="false" outlineLevel="0" collapsed="false">
      <c r="A1173" s="12"/>
      <c r="B1173" s="13"/>
      <c r="C1173" s="13"/>
      <c r="D1173" s="13"/>
      <c r="E1173" s="13"/>
      <c r="F1173" s="14"/>
      <c r="G1173" s="15"/>
      <c r="H1173" s="15"/>
      <c r="I1173" s="15"/>
      <c r="J1173" s="12"/>
      <c r="K1173" s="16" t="str">
        <f aca="false">IF(A1173="","",G1173+H1173)</f>
        <v/>
      </c>
      <c r="L1173" s="16" t="str">
        <f aca="false">IF(A1173="","",IF(F1173="İade edildi",0,K1173-I1173))</f>
        <v/>
      </c>
      <c r="M1173" s="17" t="str">
        <f aca="true">IF(A1173="","",IF(J1173&lt;&gt;"",J1173-A1173,TODAY()-A1173))</f>
        <v/>
      </c>
      <c r="N1173" s="18" t="str">
        <f aca="false">IF(A1173="","",IF(AND(OR(F1173="Bekliyor",F1173="Parça bekleniyor",F1173="Hazır"),M1173&gt;7),"7 günü geçti",""))</f>
        <v/>
      </c>
      <c r="O1173" s="18" t="str">
        <f aca="false">IF(AND(A1173&lt;&gt;"",OR(F1173="Bekliyor",F1173="Parça bekleniyor",F1173="Hazır")),A1173+ROW()/1000000,"")</f>
        <v/>
      </c>
    </row>
    <row r="1174" customFormat="false" ht="15" hidden="false" customHeight="false" outlineLevel="0" collapsed="false">
      <c r="A1174" s="12"/>
      <c r="B1174" s="13"/>
      <c r="C1174" s="13"/>
      <c r="D1174" s="13"/>
      <c r="E1174" s="13"/>
      <c r="F1174" s="14"/>
      <c r="G1174" s="15"/>
      <c r="H1174" s="15"/>
      <c r="I1174" s="15"/>
      <c r="J1174" s="12"/>
      <c r="K1174" s="16" t="str">
        <f aca="false">IF(A1174="","",G1174+H1174)</f>
        <v/>
      </c>
      <c r="L1174" s="16" t="str">
        <f aca="false">IF(A1174="","",IF(F1174="İade edildi",0,K1174-I1174))</f>
        <v/>
      </c>
      <c r="M1174" s="17" t="str">
        <f aca="true">IF(A1174="","",IF(J1174&lt;&gt;"",J1174-A1174,TODAY()-A1174))</f>
        <v/>
      </c>
      <c r="N1174" s="18" t="str">
        <f aca="false">IF(A1174="","",IF(AND(OR(F1174="Bekliyor",F1174="Parça bekleniyor",F1174="Hazır"),M1174&gt;7),"7 günü geçti",""))</f>
        <v/>
      </c>
      <c r="O1174" s="18" t="str">
        <f aca="false">IF(AND(A1174&lt;&gt;"",OR(F1174="Bekliyor",F1174="Parça bekleniyor",F1174="Hazır")),A1174+ROW()/1000000,"")</f>
        <v/>
      </c>
    </row>
    <row r="1175" customFormat="false" ht="15" hidden="false" customHeight="false" outlineLevel="0" collapsed="false">
      <c r="A1175" s="12"/>
      <c r="B1175" s="13"/>
      <c r="C1175" s="13"/>
      <c r="D1175" s="13"/>
      <c r="E1175" s="13"/>
      <c r="F1175" s="14"/>
      <c r="G1175" s="15"/>
      <c r="H1175" s="15"/>
      <c r="I1175" s="15"/>
      <c r="J1175" s="12"/>
      <c r="K1175" s="16" t="str">
        <f aca="false">IF(A1175="","",G1175+H1175)</f>
        <v/>
      </c>
      <c r="L1175" s="16" t="str">
        <f aca="false">IF(A1175="","",IF(F1175="İade edildi",0,K1175-I1175))</f>
        <v/>
      </c>
      <c r="M1175" s="17" t="str">
        <f aca="true">IF(A1175="","",IF(J1175&lt;&gt;"",J1175-A1175,TODAY()-A1175))</f>
        <v/>
      </c>
      <c r="N1175" s="18" t="str">
        <f aca="false">IF(A1175="","",IF(AND(OR(F1175="Bekliyor",F1175="Parça bekleniyor",F1175="Hazır"),M1175&gt;7),"7 günü geçti",""))</f>
        <v/>
      </c>
      <c r="O1175" s="18" t="str">
        <f aca="false">IF(AND(A1175&lt;&gt;"",OR(F1175="Bekliyor",F1175="Parça bekleniyor",F1175="Hazır")),A1175+ROW()/1000000,"")</f>
        <v/>
      </c>
    </row>
    <row r="1176" customFormat="false" ht="15" hidden="false" customHeight="false" outlineLevel="0" collapsed="false">
      <c r="A1176" s="12"/>
      <c r="B1176" s="13"/>
      <c r="C1176" s="13"/>
      <c r="D1176" s="13"/>
      <c r="E1176" s="13"/>
      <c r="F1176" s="14"/>
      <c r="G1176" s="15"/>
      <c r="H1176" s="15"/>
      <c r="I1176" s="15"/>
      <c r="J1176" s="12"/>
      <c r="K1176" s="16" t="str">
        <f aca="false">IF(A1176="","",G1176+H1176)</f>
        <v/>
      </c>
      <c r="L1176" s="16" t="str">
        <f aca="false">IF(A1176="","",IF(F1176="İade edildi",0,K1176-I1176))</f>
        <v/>
      </c>
      <c r="M1176" s="17" t="str">
        <f aca="true">IF(A1176="","",IF(J1176&lt;&gt;"",J1176-A1176,TODAY()-A1176))</f>
        <v/>
      </c>
      <c r="N1176" s="18" t="str">
        <f aca="false">IF(A1176="","",IF(AND(OR(F1176="Bekliyor",F1176="Parça bekleniyor",F1176="Hazır"),M1176&gt;7),"7 günü geçti",""))</f>
        <v/>
      </c>
      <c r="O1176" s="18" t="str">
        <f aca="false">IF(AND(A1176&lt;&gt;"",OR(F1176="Bekliyor",F1176="Parça bekleniyor",F1176="Hazır")),A1176+ROW()/1000000,"")</f>
        <v/>
      </c>
    </row>
    <row r="1177" customFormat="false" ht="15" hidden="false" customHeight="false" outlineLevel="0" collapsed="false">
      <c r="A1177" s="12"/>
      <c r="B1177" s="13"/>
      <c r="C1177" s="13"/>
      <c r="D1177" s="13"/>
      <c r="E1177" s="13"/>
      <c r="F1177" s="14"/>
      <c r="G1177" s="15"/>
      <c r="H1177" s="15"/>
      <c r="I1177" s="15"/>
      <c r="J1177" s="12"/>
      <c r="K1177" s="16" t="str">
        <f aca="false">IF(A1177="","",G1177+H1177)</f>
        <v/>
      </c>
      <c r="L1177" s="16" t="str">
        <f aca="false">IF(A1177="","",IF(F1177="İade edildi",0,K1177-I1177))</f>
        <v/>
      </c>
      <c r="M1177" s="17" t="str">
        <f aca="true">IF(A1177="","",IF(J1177&lt;&gt;"",J1177-A1177,TODAY()-A1177))</f>
        <v/>
      </c>
      <c r="N1177" s="18" t="str">
        <f aca="false">IF(A1177="","",IF(AND(OR(F1177="Bekliyor",F1177="Parça bekleniyor",F1177="Hazır"),M1177&gt;7),"7 günü geçti",""))</f>
        <v/>
      </c>
      <c r="O1177" s="18" t="str">
        <f aca="false">IF(AND(A1177&lt;&gt;"",OR(F1177="Bekliyor",F1177="Parça bekleniyor",F1177="Hazır")),A1177+ROW()/1000000,"")</f>
        <v/>
      </c>
    </row>
    <row r="1178" customFormat="false" ht="15" hidden="false" customHeight="false" outlineLevel="0" collapsed="false">
      <c r="A1178" s="12"/>
      <c r="B1178" s="13"/>
      <c r="C1178" s="13"/>
      <c r="D1178" s="13"/>
      <c r="E1178" s="13"/>
      <c r="F1178" s="14"/>
      <c r="G1178" s="15"/>
      <c r="H1178" s="15"/>
      <c r="I1178" s="15"/>
      <c r="J1178" s="12"/>
      <c r="K1178" s="16" t="str">
        <f aca="false">IF(A1178="","",G1178+H1178)</f>
        <v/>
      </c>
      <c r="L1178" s="16" t="str">
        <f aca="false">IF(A1178="","",IF(F1178="İade edildi",0,K1178-I1178))</f>
        <v/>
      </c>
      <c r="M1178" s="17" t="str">
        <f aca="true">IF(A1178="","",IF(J1178&lt;&gt;"",J1178-A1178,TODAY()-A1178))</f>
        <v/>
      </c>
      <c r="N1178" s="18" t="str">
        <f aca="false">IF(A1178="","",IF(AND(OR(F1178="Bekliyor",F1178="Parça bekleniyor",F1178="Hazır"),M1178&gt;7),"7 günü geçti",""))</f>
        <v/>
      </c>
      <c r="O1178" s="18" t="str">
        <f aca="false">IF(AND(A1178&lt;&gt;"",OR(F1178="Bekliyor",F1178="Parça bekleniyor",F1178="Hazır")),A1178+ROW()/1000000,"")</f>
        <v/>
      </c>
    </row>
    <row r="1179" customFormat="false" ht="15" hidden="false" customHeight="false" outlineLevel="0" collapsed="false">
      <c r="A1179" s="12"/>
      <c r="B1179" s="13"/>
      <c r="C1179" s="13"/>
      <c r="D1179" s="13"/>
      <c r="E1179" s="13"/>
      <c r="F1179" s="14"/>
      <c r="G1179" s="15"/>
      <c r="H1179" s="15"/>
      <c r="I1179" s="15"/>
      <c r="J1179" s="12"/>
      <c r="K1179" s="16" t="str">
        <f aca="false">IF(A1179="","",G1179+H1179)</f>
        <v/>
      </c>
      <c r="L1179" s="16" t="str">
        <f aca="false">IF(A1179="","",IF(F1179="İade edildi",0,K1179-I1179))</f>
        <v/>
      </c>
      <c r="M1179" s="17" t="str">
        <f aca="true">IF(A1179="","",IF(J1179&lt;&gt;"",J1179-A1179,TODAY()-A1179))</f>
        <v/>
      </c>
      <c r="N1179" s="18" t="str">
        <f aca="false">IF(A1179="","",IF(AND(OR(F1179="Bekliyor",F1179="Parça bekleniyor",F1179="Hazır"),M1179&gt;7),"7 günü geçti",""))</f>
        <v/>
      </c>
      <c r="O1179" s="18" t="str">
        <f aca="false">IF(AND(A1179&lt;&gt;"",OR(F1179="Bekliyor",F1179="Parça bekleniyor",F1179="Hazır")),A1179+ROW()/1000000,"")</f>
        <v/>
      </c>
    </row>
    <row r="1180" customFormat="false" ht="15" hidden="false" customHeight="false" outlineLevel="0" collapsed="false">
      <c r="A1180" s="12"/>
      <c r="B1180" s="13"/>
      <c r="C1180" s="13"/>
      <c r="D1180" s="13"/>
      <c r="E1180" s="13"/>
      <c r="F1180" s="14"/>
      <c r="G1180" s="15"/>
      <c r="H1180" s="15"/>
      <c r="I1180" s="15"/>
      <c r="J1180" s="12"/>
      <c r="K1180" s="16" t="str">
        <f aca="false">IF(A1180="","",G1180+H1180)</f>
        <v/>
      </c>
      <c r="L1180" s="16" t="str">
        <f aca="false">IF(A1180="","",IF(F1180="İade edildi",0,K1180-I1180))</f>
        <v/>
      </c>
      <c r="M1180" s="17" t="str">
        <f aca="true">IF(A1180="","",IF(J1180&lt;&gt;"",J1180-A1180,TODAY()-A1180))</f>
        <v/>
      </c>
      <c r="N1180" s="18" t="str">
        <f aca="false">IF(A1180="","",IF(AND(OR(F1180="Bekliyor",F1180="Parça bekleniyor",F1180="Hazır"),M1180&gt;7),"7 günü geçti",""))</f>
        <v/>
      </c>
      <c r="O1180" s="18" t="str">
        <f aca="false">IF(AND(A1180&lt;&gt;"",OR(F1180="Bekliyor",F1180="Parça bekleniyor",F1180="Hazır")),A1180+ROW()/1000000,"")</f>
        <v/>
      </c>
    </row>
    <row r="1181" customFormat="false" ht="15" hidden="false" customHeight="false" outlineLevel="0" collapsed="false">
      <c r="A1181" s="12"/>
      <c r="B1181" s="13"/>
      <c r="C1181" s="13"/>
      <c r="D1181" s="13"/>
      <c r="E1181" s="13"/>
      <c r="F1181" s="14"/>
      <c r="G1181" s="15"/>
      <c r="H1181" s="15"/>
      <c r="I1181" s="15"/>
      <c r="J1181" s="12"/>
      <c r="K1181" s="16" t="str">
        <f aca="false">IF(A1181="","",G1181+H1181)</f>
        <v/>
      </c>
      <c r="L1181" s="16" t="str">
        <f aca="false">IF(A1181="","",IF(F1181="İade edildi",0,K1181-I1181))</f>
        <v/>
      </c>
      <c r="M1181" s="17" t="str">
        <f aca="true">IF(A1181="","",IF(J1181&lt;&gt;"",J1181-A1181,TODAY()-A1181))</f>
        <v/>
      </c>
      <c r="N1181" s="18" t="str">
        <f aca="false">IF(A1181="","",IF(AND(OR(F1181="Bekliyor",F1181="Parça bekleniyor",F1181="Hazır"),M1181&gt;7),"7 günü geçti",""))</f>
        <v/>
      </c>
      <c r="O1181" s="18" t="str">
        <f aca="false">IF(AND(A1181&lt;&gt;"",OR(F1181="Bekliyor",F1181="Parça bekleniyor",F1181="Hazır")),A1181+ROW()/1000000,"")</f>
        <v/>
      </c>
    </row>
    <row r="1182" customFormat="false" ht="15" hidden="false" customHeight="false" outlineLevel="0" collapsed="false">
      <c r="A1182" s="12"/>
      <c r="B1182" s="13"/>
      <c r="C1182" s="13"/>
      <c r="D1182" s="13"/>
      <c r="E1182" s="13"/>
      <c r="F1182" s="14"/>
      <c r="G1182" s="15"/>
      <c r="H1182" s="15"/>
      <c r="I1182" s="15"/>
      <c r="J1182" s="12"/>
      <c r="K1182" s="16" t="str">
        <f aca="false">IF(A1182="","",G1182+H1182)</f>
        <v/>
      </c>
      <c r="L1182" s="16" t="str">
        <f aca="false">IF(A1182="","",IF(F1182="İade edildi",0,K1182-I1182))</f>
        <v/>
      </c>
      <c r="M1182" s="17" t="str">
        <f aca="true">IF(A1182="","",IF(J1182&lt;&gt;"",J1182-A1182,TODAY()-A1182))</f>
        <v/>
      </c>
      <c r="N1182" s="18" t="str">
        <f aca="false">IF(A1182="","",IF(AND(OR(F1182="Bekliyor",F1182="Parça bekleniyor",F1182="Hazır"),M1182&gt;7),"7 günü geçti",""))</f>
        <v/>
      </c>
      <c r="O1182" s="18" t="str">
        <f aca="false">IF(AND(A1182&lt;&gt;"",OR(F1182="Bekliyor",F1182="Parça bekleniyor",F1182="Hazır")),A1182+ROW()/1000000,"")</f>
        <v/>
      </c>
    </row>
    <row r="1183" customFormat="false" ht="15" hidden="false" customHeight="false" outlineLevel="0" collapsed="false">
      <c r="A1183" s="12"/>
      <c r="B1183" s="13"/>
      <c r="C1183" s="13"/>
      <c r="D1183" s="13"/>
      <c r="E1183" s="13"/>
      <c r="F1183" s="14"/>
      <c r="G1183" s="15"/>
      <c r="H1183" s="15"/>
      <c r="I1183" s="15"/>
      <c r="J1183" s="12"/>
      <c r="K1183" s="16" t="str">
        <f aca="false">IF(A1183="","",G1183+H1183)</f>
        <v/>
      </c>
      <c r="L1183" s="16" t="str">
        <f aca="false">IF(A1183="","",IF(F1183="İade edildi",0,K1183-I1183))</f>
        <v/>
      </c>
      <c r="M1183" s="17" t="str">
        <f aca="true">IF(A1183="","",IF(J1183&lt;&gt;"",J1183-A1183,TODAY()-A1183))</f>
        <v/>
      </c>
      <c r="N1183" s="18" t="str">
        <f aca="false">IF(A1183="","",IF(AND(OR(F1183="Bekliyor",F1183="Parça bekleniyor",F1183="Hazır"),M1183&gt;7),"7 günü geçti",""))</f>
        <v/>
      </c>
      <c r="O1183" s="18" t="str">
        <f aca="false">IF(AND(A1183&lt;&gt;"",OR(F1183="Bekliyor",F1183="Parça bekleniyor",F1183="Hazır")),A1183+ROW()/1000000,"")</f>
        <v/>
      </c>
    </row>
    <row r="1184" customFormat="false" ht="15" hidden="false" customHeight="false" outlineLevel="0" collapsed="false">
      <c r="A1184" s="12"/>
      <c r="B1184" s="13"/>
      <c r="C1184" s="13"/>
      <c r="D1184" s="13"/>
      <c r="E1184" s="13"/>
      <c r="F1184" s="14"/>
      <c r="G1184" s="15"/>
      <c r="H1184" s="15"/>
      <c r="I1184" s="15"/>
      <c r="J1184" s="12"/>
      <c r="K1184" s="16" t="str">
        <f aca="false">IF(A1184="","",G1184+H1184)</f>
        <v/>
      </c>
      <c r="L1184" s="16" t="str">
        <f aca="false">IF(A1184="","",IF(F1184="İade edildi",0,K1184-I1184))</f>
        <v/>
      </c>
      <c r="M1184" s="17" t="str">
        <f aca="true">IF(A1184="","",IF(J1184&lt;&gt;"",J1184-A1184,TODAY()-A1184))</f>
        <v/>
      </c>
      <c r="N1184" s="18" t="str">
        <f aca="false">IF(A1184="","",IF(AND(OR(F1184="Bekliyor",F1184="Parça bekleniyor",F1184="Hazır"),M1184&gt;7),"7 günü geçti",""))</f>
        <v/>
      </c>
      <c r="O1184" s="18" t="str">
        <f aca="false">IF(AND(A1184&lt;&gt;"",OR(F1184="Bekliyor",F1184="Parça bekleniyor",F1184="Hazır")),A1184+ROW()/1000000,"")</f>
        <v/>
      </c>
    </row>
    <row r="1185" customFormat="false" ht="15" hidden="false" customHeight="false" outlineLevel="0" collapsed="false">
      <c r="A1185" s="12"/>
      <c r="B1185" s="13"/>
      <c r="C1185" s="13"/>
      <c r="D1185" s="13"/>
      <c r="E1185" s="13"/>
      <c r="F1185" s="14"/>
      <c r="G1185" s="15"/>
      <c r="H1185" s="15"/>
      <c r="I1185" s="15"/>
      <c r="J1185" s="12"/>
      <c r="K1185" s="16" t="str">
        <f aca="false">IF(A1185="","",G1185+H1185)</f>
        <v/>
      </c>
      <c r="L1185" s="16" t="str">
        <f aca="false">IF(A1185="","",IF(F1185="İade edildi",0,K1185-I1185))</f>
        <v/>
      </c>
      <c r="M1185" s="17" t="str">
        <f aca="true">IF(A1185="","",IF(J1185&lt;&gt;"",J1185-A1185,TODAY()-A1185))</f>
        <v/>
      </c>
      <c r="N1185" s="18" t="str">
        <f aca="false">IF(A1185="","",IF(AND(OR(F1185="Bekliyor",F1185="Parça bekleniyor",F1185="Hazır"),M1185&gt;7),"7 günü geçti",""))</f>
        <v/>
      </c>
      <c r="O1185" s="18" t="str">
        <f aca="false">IF(AND(A1185&lt;&gt;"",OR(F1185="Bekliyor",F1185="Parça bekleniyor",F1185="Hazır")),A1185+ROW()/1000000,"")</f>
        <v/>
      </c>
    </row>
    <row r="1186" customFormat="false" ht="15" hidden="false" customHeight="false" outlineLevel="0" collapsed="false">
      <c r="A1186" s="12"/>
      <c r="B1186" s="13"/>
      <c r="C1186" s="13"/>
      <c r="D1186" s="13"/>
      <c r="E1186" s="13"/>
      <c r="F1186" s="14"/>
      <c r="G1186" s="15"/>
      <c r="H1186" s="15"/>
      <c r="I1186" s="15"/>
      <c r="J1186" s="12"/>
      <c r="K1186" s="16" t="str">
        <f aca="false">IF(A1186="","",G1186+H1186)</f>
        <v/>
      </c>
      <c r="L1186" s="16" t="str">
        <f aca="false">IF(A1186="","",IF(F1186="İade edildi",0,K1186-I1186))</f>
        <v/>
      </c>
      <c r="M1186" s="17" t="str">
        <f aca="true">IF(A1186="","",IF(J1186&lt;&gt;"",J1186-A1186,TODAY()-A1186))</f>
        <v/>
      </c>
      <c r="N1186" s="18" t="str">
        <f aca="false">IF(A1186="","",IF(AND(OR(F1186="Bekliyor",F1186="Parça bekleniyor",F1186="Hazır"),M1186&gt;7),"7 günü geçti",""))</f>
        <v/>
      </c>
      <c r="O1186" s="18" t="str">
        <f aca="false">IF(AND(A1186&lt;&gt;"",OR(F1186="Bekliyor",F1186="Parça bekleniyor",F1186="Hazır")),A1186+ROW()/1000000,"")</f>
        <v/>
      </c>
    </row>
    <row r="1187" customFormat="false" ht="15" hidden="false" customHeight="false" outlineLevel="0" collapsed="false">
      <c r="A1187" s="12"/>
      <c r="B1187" s="13"/>
      <c r="C1187" s="13"/>
      <c r="D1187" s="13"/>
      <c r="E1187" s="13"/>
      <c r="F1187" s="14"/>
      <c r="G1187" s="15"/>
      <c r="H1187" s="15"/>
      <c r="I1187" s="15"/>
      <c r="J1187" s="12"/>
      <c r="K1187" s="16" t="str">
        <f aca="false">IF(A1187="","",G1187+H1187)</f>
        <v/>
      </c>
      <c r="L1187" s="16" t="str">
        <f aca="false">IF(A1187="","",IF(F1187="İade edildi",0,K1187-I1187))</f>
        <v/>
      </c>
      <c r="M1187" s="17" t="str">
        <f aca="true">IF(A1187="","",IF(J1187&lt;&gt;"",J1187-A1187,TODAY()-A1187))</f>
        <v/>
      </c>
      <c r="N1187" s="18" t="str">
        <f aca="false">IF(A1187="","",IF(AND(OR(F1187="Bekliyor",F1187="Parça bekleniyor",F1187="Hazır"),M1187&gt;7),"7 günü geçti",""))</f>
        <v/>
      </c>
      <c r="O1187" s="18" t="str">
        <f aca="false">IF(AND(A1187&lt;&gt;"",OR(F1187="Bekliyor",F1187="Parça bekleniyor",F1187="Hazır")),A1187+ROW()/1000000,"")</f>
        <v/>
      </c>
    </row>
    <row r="1188" customFormat="false" ht="15" hidden="false" customHeight="false" outlineLevel="0" collapsed="false">
      <c r="A1188" s="12"/>
      <c r="B1188" s="13"/>
      <c r="C1188" s="13"/>
      <c r="D1188" s="13"/>
      <c r="E1188" s="13"/>
      <c r="F1188" s="14"/>
      <c r="G1188" s="15"/>
      <c r="H1188" s="15"/>
      <c r="I1188" s="15"/>
      <c r="J1188" s="12"/>
      <c r="K1188" s="16" t="str">
        <f aca="false">IF(A1188="","",G1188+H1188)</f>
        <v/>
      </c>
      <c r="L1188" s="16" t="str">
        <f aca="false">IF(A1188="","",IF(F1188="İade edildi",0,K1188-I1188))</f>
        <v/>
      </c>
      <c r="M1188" s="17" t="str">
        <f aca="true">IF(A1188="","",IF(J1188&lt;&gt;"",J1188-A1188,TODAY()-A1188))</f>
        <v/>
      </c>
      <c r="N1188" s="18" t="str">
        <f aca="false">IF(A1188="","",IF(AND(OR(F1188="Bekliyor",F1188="Parça bekleniyor",F1188="Hazır"),M1188&gt;7),"7 günü geçti",""))</f>
        <v/>
      </c>
      <c r="O1188" s="18" t="str">
        <f aca="false">IF(AND(A1188&lt;&gt;"",OR(F1188="Bekliyor",F1188="Parça bekleniyor",F1188="Hazır")),A1188+ROW()/1000000,"")</f>
        <v/>
      </c>
    </row>
    <row r="1189" customFormat="false" ht="15" hidden="false" customHeight="false" outlineLevel="0" collapsed="false">
      <c r="A1189" s="12"/>
      <c r="B1189" s="13"/>
      <c r="C1189" s="13"/>
      <c r="D1189" s="13"/>
      <c r="E1189" s="13"/>
      <c r="F1189" s="14"/>
      <c r="G1189" s="15"/>
      <c r="H1189" s="15"/>
      <c r="I1189" s="15"/>
      <c r="J1189" s="12"/>
      <c r="K1189" s="16" t="str">
        <f aca="false">IF(A1189="","",G1189+H1189)</f>
        <v/>
      </c>
      <c r="L1189" s="16" t="str">
        <f aca="false">IF(A1189="","",IF(F1189="İade edildi",0,K1189-I1189))</f>
        <v/>
      </c>
      <c r="M1189" s="17" t="str">
        <f aca="true">IF(A1189="","",IF(J1189&lt;&gt;"",J1189-A1189,TODAY()-A1189))</f>
        <v/>
      </c>
      <c r="N1189" s="18" t="str">
        <f aca="false">IF(A1189="","",IF(AND(OR(F1189="Bekliyor",F1189="Parça bekleniyor",F1189="Hazır"),M1189&gt;7),"7 günü geçti",""))</f>
        <v/>
      </c>
      <c r="O1189" s="18" t="str">
        <f aca="false">IF(AND(A1189&lt;&gt;"",OR(F1189="Bekliyor",F1189="Parça bekleniyor",F1189="Hazır")),A1189+ROW()/1000000,"")</f>
        <v/>
      </c>
    </row>
    <row r="1190" customFormat="false" ht="15" hidden="false" customHeight="false" outlineLevel="0" collapsed="false">
      <c r="A1190" s="12"/>
      <c r="B1190" s="13"/>
      <c r="C1190" s="13"/>
      <c r="D1190" s="13"/>
      <c r="E1190" s="13"/>
      <c r="F1190" s="14"/>
      <c r="G1190" s="15"/>
      <c r="H1190" s="15"/>
      <c r="I1190" s="15"/>
      <c r="J1190" s="12"/>
      <c r="K1190" s="16" t="str">
        <f aca="false">IF(A1190="","",G1190+H1190)</f>
        <v/>
      </c>
      <c r="L1190" s="16" t="str">
        <f aca="false">IF(A1190="","",IF(F1190="İade edildi",0,K1190-I1190))</f>
        <v/>
      </c>
      <c r="M1190" s="17" t="str">
        <f aca="true">IF(A1190="","",IF(J1190&lt;&gt;"",J1190-A1190,TODAY()-A1190))</f>
        <v/>
      </c>
      <c r="N1190" s="18" t="str">
        <f aca="false">IF(A1190="","",IF(AND(OR(F1190="Bekliyor",F1190="Parça bekleniyor",F1190="Hazır"),M1190&gt;7),"7 günü geçti",""))</f>
        <v/>
      </c>
      <c r="O1190" s="18" t="str">
        <f aca="false">IF(AND(A1190&lt;&gt;"",OR(F1190="Bekliyor",F1190="Parça bekleniyor",F1190="Hazır")),A1190+ROW()/1000000,"")</f>
        <v/>
      </c>
    </row>
    <row r="1191" customFormat="false" ht="15" hidden="false" customHeight="false" outlineLevel="0" collapsed="false">
      <c r="A1191" s="12"/>
      <c r="B1191" s="13"/>
      <c r="C1191" s="13"/>
      <c r="D1191" s="13"/>
      <c r="E1191" s="13"/>
      <c r="F1191" s="14"/>
      <c r="G1191" s="15"/>
      <c r="H1191" s="15"/>
      <c r="I1191" s="15"/>
      <c r="J1191" s="12"/>
      <c r="K1191" s="16" t="str">
        <f aca="false">IF(A1191="","",G1191+H1191)</f>
        <v/>
      </c>
      <c r="L1191" s="16" t="str">
        <f aca="false">IF(A1191="","",IF(F1191="İade edildi",0,K1191-I1191))</f>
        <v/>
      </c>
      <c r="M1191" s="17" t="str">
        <f aca="true">IF(A1191="","",IF(J1191&lt;&gt;"",J1191-A1191,TODAY()-A1191))</f>
        <v/>
      </c>
      <c r="N1191" s="18" t="str">
        <f aca="false">IF(A1191="","",IF(AND(OR(F1191="Bekliyor",F1191="Parça bekleniyor",F1191="Hazır"),M1191&gt;7),"7 günü geçti",""))</f>
        <v/>
      </c>
      <c r="O1191" s="18" t="str">
        <f aca="false">IF(AND(A1191&lt;&gt;"",OR(F1191="Bekliyor",F1191="Parça bekleniyor",F1191="Hazır")),A1191+ROW()/1000000,"")</f>
        <v/>
      </c>
    </row>
    <row r="1192" customFormat="false" ht="15" hidden="false" customHeight="false" outlineLevel="0" collapsed="false">
      <c r="A1192" s="12"/>
      <c r="B1192" s="13"/>
      <c r="C1192" s="13"/>
      <c r="D1192" s="13"/>
      <c r="E1192" s="13"/>
      <c r="F1192" s="14"/>
      <c r="G1192" s="15"/>
      <c r="H1192" s="15"/>
      <c r="I1192" s="15"/>
      <c r="J1192" s="12"/>
      <c r="K1192" s="16" t="str">
        <f aca="false">IF(A1192="","",G1192+H1192)</f>
        <v/>
      </c>
      <c r="L1192" s="16" t="str">
        <f aca="false">IF(A1192="","",IF(F1192="İade edildi",0,K1192-I1192))</f>
        <v/>
      </c>
      <c r="M1192" s="17" t="str">
        <f aca="true">IF(A1192="","",IF(J1192&lt;&gt;"",J1192-A1192,TODAY()-A1192))</f>
        <v/>
      </c>
      <c r="N1192" s="18" t="str">
        <f aca="false">IF(A1192="","",IF(AND(OR(F1192="Bekliyor",F1192="Parça bekleniyor",F1192="Hazır"),M1192&gt;7),"7 günü geçti",""))</f>
        <v/>
      </c>
      <c r="O1192" s="18" t="str">
        <f aca="false">IF(AND(A1192&lt;&gt;"",OR(F1192="Bekliyor",F1192="Parça bekleniyor",F1192="Hazır")),A1192+ROW()/1000000,"")</f>
        <v/>
      </c>
    </row>
    <row r="1193" customFormat="false" ht="15" hidden="false" customHeight="false" outlineLevel="0" collapsed="false">
      <c r="A1193" s="12"/>
      <c r="B1193" s="13"/>
      <c r="C1193" s="13"/>
      <c r="D1193" s="13"/>
      <c r="E1193" s="13"/>
      <c r="F1193" s="14"/>
      <c r="G1193" s="15"/>
      <c r="H1193" s="15"/>
      <c r="I1193" s="15"/>
      <c r="J1193" s="12"/>
      <c r="K1193" s="16" t="str">
        <f aca="false">IF(A1193="","",G1193+H1193)</f>
        <v/>
      </c>
      <c r="L1193" s="16" t="str">
        <f aca="false">IF(A1193="","",IF(F1193="İade edildi",0,K1193-I1193))</f>
        <v/>
      </c>
      <c r="M1193" s="17" t="str">
        <f aca="true">IF(A1193="","",IF(J1193&lt;&gt;"",J1193-A1193,TODAY()-A1193))</f>
        <v/>
      </c>
      <c r="N1193" s="18" t="str">
        <f aca="false">IF(A1193="","",IF(AND(OR(F1193="Bekliyor",F1193="Parça bekleniyor",F1193="Hazır"),M1193&gt;7),"7 günü geçti",""))</f>
        <v/>
      </c>
      <c r="O1193" s="18" t="str">
        <f aca="false">IF(AND(A1193&lt;&gt;"",OR(F1193="Bekliyor",F1193="Parça bekleniyor",F1193="Hazır")),A1193+ROW()/1000000,"")</f>
        <v/>
      </c>
    </row>
    <row r="1194" customFormat="false" ht="15" hidden="false" customHeight="false" outlineLevel="0" collapsed="false">
      <c r="A1194" s="12"/>
      <c r="B1194" s="13"/>
      <c r="C1194" s="13"/>
      <c r="D1194" s="13"/>
      <c r="E1194" s="13"/>
      <c r="F1194" s="14"/>
      <c r="G1194" s="15"/>
      <c r="H1194" s="15"/>
      <c r="I1194" s="15"/>
      <c r="J1194" s="12"/>
      <c r="K1194" s="16" t="str">
        <f aca="false">IF(A1194="","",G1194+H1194)</f>
        <v/>
      </c>
      <c r="L1194" s="16" t="str">
        <f aca="false">IF(A1194="","",IF(F1194="İade edildi",0,K1194-I1194))</f>
        <v/>
      </c>
      <c r="M1194" s="17" t="str">
        <f aca="true">IF(A1194="","",IF(J1194&lt;&gt;"",J1194-A1194,TODAY()-A1194))</f>
        <v/>
      </c>
      <c r="N1194" s="18" t="str">
        <f aca="false">IF(A1194="","",IF(AND(OR(F1194="Bekliyor",F1194="Parça bekleniyor",F1194="Hazır"),M1194&gt;7),"7 günü geçti",""))</f>
        <v/>
      </c>
      <c r="O1194" s="18" t="str">
        <f aca="false">IF(AND(A1194&lt;&gt;"",OR(F1194="Bekliyor",F1194="Parça bekleniyor",F1194="Hazır")),A1194+ROW()/1000000,"")</f>
        <v/>
      </c>
    </row>
    <row r="1195" customFormat="false" ht="15" hidden="false" customHeight="false" outlineLevel="0" collapsed="false">
      <c r="A1195" s="12"/>
      <c r="B1195" s="13"/>
      <c r="C1195" s="13"/>
      <c r="D1195" s="13"/>
      <c r="E1195" s="13"/>
      <c r="F1195" s="14"/>
      <c r="G1195" s="15"/>
      <c r="H1195" s="15"/>
      <c r="I1195" s="15"/>
      <c r="J1195" s="12"/>
      <c r="K1195" s="16" t="str">
        <f aca="false">IF(A1195="","",G1195+H1195)</f>
        <v/>
      </c>
      <c r="L1195" s="16" t="str">
        <f aca="false">IF(A1195="","",IF(F1195="İade edildi",0,K1195-I1195))</f>
        <v/>
      </c>
      <c r="M1195" s="17" t="str">
        <f aca="true">IF(A1195="","",IF(J1195&lt;&gt;"",J1195-A1195,TODAY()-A1195))</f>
        <v/>
      </c>
      <c r="N1195" s="18" t="str">
        <f aca="false">IF(A1195="","",IF(AND(OR(F1195="Bekliyor",F1195="Parça bekleniyor",F1195="Hazır"),M1195&gt;7),"7 günü geçti",""))</f>
        <v/>
      </c>
      <c r="O1195" s="18" t="str">
        <f aca="false">IF(AND(A1195&lt;&gt;"",OR(F1195="Bekliyor",F1195="Parça bekleniyor",F1195="Hazır")),A1195+ROW()/1000000,"")</f>
        <v/>
      </c>
    </row>
    <row r="1196" customFormat="false" ht="15" hidden="false" customHeight="false" outlineLevel="0" collapsed="false">
      <c r="A1196" s="12"/>
      <c r="B1196" s="13"/>
      <c r="C1196" s="13"/>
      <c r="D1196" s="13"/>
      <c r="E1196" s="13"/>
      <c r="F1196" s="14"/>
      <c r="G1196" s="15"/>
      <c r="H1196" s="15"/>
      <c r="I1196" s="15"/>
      <c r="J1196" s="12"/>
      <c r="K1196" s="16" t="str">
        <f aca="false">IF(A1196="","",G1196+H1196)</f>
        <v/>
      </c>
      <c r="L1196" s="16" t="str">
        <f aca="false">IF(A1196="","",IF(F1196="İade edildi",0,K1196-I1196))</f>
        <v/>
      </c>
      <c r="M1196" s="17" t="str">
        <f aca="true">IF(A1196="","",IF(J1196&lt;&gt;"",J1196-A1196,TODAY()-A1196))</f>
        <v/>
      </c>
      <c r="N1196" s="18" t="str">
        <f aca="false">IF(A1196="","",IF(AND(OR(F1196="Bekliyor",F1196="Parça bekleniyor",F1196="Hazır"),M1196&gt;7),"7 günü geçti",""))</f>
        <v/>
      </c>
      <c r="O1196" s="18" t="str">
        <f aca="false">IF(AND(A1196&lt;&gt;"",OR(F1196="Bekliyor",F1196="Parça bekleniyor",F1196="Hazır")),A1196+ROW()/1000000,"")</f>
        <v/>
      </c>
    </row>
    <row r="1197" customFormat="false" ht="15" hidden="false" customHeight="false" outlineLevel="0" collapsed="false">
      <c r="A1197" s="12"/>
      <c r="B1197" s="13"/>
      <c r="C1197" s="13"/>
      <c r="D1197" s="13"/>
      <c r="E1197" s="13"/>
      <c r="F1197" s="14"/>
      <c r="G1197" s="15"/>
      <c r="H1197" s="15"/>
      <c r="I1197" s="15"/>
      <c r="J1197" s="12"/>
      <c r="K1197" s="16" t="str">
        <f aca="false">IF(A1197="","",G1197+H1197)</f>
        <v/>
      </c>
      <c r="L1197" s="16" t="str">
        <f aca="false">IF(A1197="","",IF(F1197="İade edildi",0,K1197-I1197))</f>
        <v/>
      </c>
      <c r="M1197" s="17" t="str">
        <f aca="true">IF(A1197="","",IF(J1197&lt;&gt;"",J1197-A1197,TODAY()-A1197))</f>
        <v/>
      </c>
      <c r="N1197" s="18" t="str">
        <f aca="false">IF(A1197="","",IF(AND(OR(F1197="Bekliyor",F1197="Parça bekleniyor",F1197="Hazır"),M1197&gt;7),"7 günü geçti",""))</f>
        <v/>
      </c>
      <c r="O1197" s="18" t="str">
        <f aca="false">IF(AND(A1197&lt;&gt;"",OR(F1197="Bekliyor",F1197="Parça bekleniyor",F1197="Hazır")),A1197+ROW()/1000000,"")</f>
        <v/>
      </c>
    </row>
    <row r="1198" customFormat="false" ht="15" hidden="false" customHeight="false" outlineLevel="0" collapsed="false">
      <c r="A1198" s="12"/>
      <c r="B1198" s="13"/>
      <c r="C1198" s="13"/>
      <c r="D1198" s="13"/>
      <c r="E1198" s="13"/>
      <c r="F1198" s="14"/>
      <c r="G1198" s="15"/>
      <c r="H1198" s="15"/>
      <c r="I1198" s="15"/>
      <c r="J1198" s="12"/>
      <c r="K1198" s="16" t="str">
        <f aca="false">IF(A1198="","",G1198+H1198)</f>
        <v/>
      </c>
      <c r="L1198" s="16" t="str">
        <f aca="false">IF(A1198="","",IF(F1198="İade edildi",0,K1198-I1198))</f>
        <v/>
      </c>
      <c r="M1198" s="17" t="str">
        <f aca="true">IF(A1198="","",IF(J1198&lt;&gt;"",J1198-A1198,TODAY()-A1198))</f>
        <v/>
      </c>
      <c r="N1198" s="18" t="str">
        <f aca="false">IF(A1198="","",IF(AND(OR(F1198="Bekliyor",F1198="Parça bekleniyor",F1198="Hazır"),M1198&gt;7),"7 günü geçti",""))</f>
        <v/>
      </c>
      <c r="O1198" s="18" t="str">
        <f aca="false">IF(AND(A1198&lt;&gt;"",OR(F1198="Bekliyor",F1198="Parça bekleniyor",F1198="Hazır")),A1198+ROW()/1000000,"")</f>
        <v/>
      </c>
    </row>
    <row r="1199" customFormat="false" ht="15" hidden="false" customHeight="false" outlineLevel="0" collapsed="false">
      <c r="A1199" s="12"/>
      <c r="B1199" s="13"/>
      <c r="C1199" s="13"/>
      <c r="D1199" s="13"/>
      <c r="E1199" s="13"/>
      <c r="F1199" s="14"/>
      <c r="G1199" s="15"/>
      <c r="H1199" s="15"/>
      <c r="I1199" s="15"/>
      <c r="J1199" s="12"/>
      <c r="K1199" s="16" t="str">
        <f aca="false">IF(A1199="","",G1199+H1199)</f>
        <v/>
      </c>
      <c r="L1199" s="16" t="str">
        <f aca="false">IF(A1199="","",IF(F1199="İade edildi",0,K1199-I1199))</f>
        <v/>
      </c>
      <c r="M1199" s="17" t="str">
        <f aca="true">IF(A1199="","",IF(J1199&lt;&gt;"",J1199-A1199,TODAY()-A1199))</f>
        <v/>
      </c>
      <c r="N1199" s="18" t="str">
        <f aca="false">IF(A1199="","",IF(AND(OR(F1199="Bekliyor",F1199="Parça bekleniyor",F1199="Hazır"),M1199&gt;7),"7 günü geçti",""))</f>
        <v/>
      </c>
      <c r="O1199" s="18" t="str">
        <f aca="false">IF(AND(A1199&lt;&gt;"",OR(F1199="Bekliyor",F1199="Parça bekleniyor",F1199="Hazır")),A1199+ROW()/1000000,"")</f>
        <v/>
      </c>
    </row>
    <row r="1200" customFormat="false" ht="15" hidden="false" customHeight="false" outlineLevel="0" collapsed="false">
      <c r="A1200" s="12"/>
      <c r="B1200" s="13"/>
      <c r="C1200" s="13"/>
      <c r="D1200" s="13"/>
      <c r="E1200" s="13"/>
      <c r="F1200" s="14"/>
      <c r="G1200" s="15"/>
      <c r="H1200" s="15"/>
      <c r="I1200" s="15"/>
      <c r="J1200" s="12"/>
      <c r="K1200" s="16" t="str">
        <f aca="false">IF(A1200="","",G1200+H1200)</f>
        <v/>
      </c>
      <c r="L1200" s="16" t="str">
        <f aca="false">IF(A1200="","",IF(F1200="İade edildi",0,K1200-I1200))</f>
        <v/>
      </c>
      <c r="M1200" s="17" t="str">
        <f aca="true">IF(A1200="","",IF(J1200&lt;&gt;"",J1200-A1200,TODAY()-A1200))</f>
        <v/>
      </c>
      <c r="N1200" s="18" t="str">
        <f aca="false">IF(A1200="","",IF(AND(OR(F1200="Bekliyor",F1200="Parça bekleniyor",F1200="Hazır"),M1200&gt;7),"7 günü geçti",""))</f>
        <v/>
      </c>
      <c r="O1200" s="18" t="str">
        <f aca="false">IF(AND(A1200&lt;&gt;"",OR(F1200="Bekliyor",F1200="Parça bekleniyor",F1200="Hazır")),A1200+ROW()/1000000,"")</f>
        <v/>
      </c>
    </row>
    <row r="1201" customFormat="false" ht="15" hidden="false" customHeight="false" outlineLevel="0" collapsed="false">
      <c r="A1201" s="12"/>
      <c r="B1201" s="13"/>
      <c r="C1201" s="13"/>
      <c r="D1201" s="13"/>
      <c r="E1201" s="13"/>
      <c r="F1201" s="14"/>
      <c r="G1201" s="15"/>
      <c r="H1201" s="15"/>
      <c r="I1201" s="15"/>
      <c r="J1201" s="12"/>
      <c r="K1201" s="16" t="str">
        <f aca="false">IF(A1201="","",G1201+H1201)</f>
        <v/>
      </c>
      <c r="L1201" s="16" t="str">
        <f aca="false">IF(A1201="","",IF(F1201="İade edildi",0,K1201-I1201))</f>
        <v/>
      </c>
      <c r="M1201" s="17" t="str">
        <f aca="true">IF(A1201="","",IF(J1201&lt;&gt;"",J1201-A1201,TODAY()-A1201))</f>
        <v/>
      </c>
      <c r="N1201" s="18" t="str">
        <f aca="false">IF(A1201="","",IF(AND(OR(F1201="Bekliyor",F1201="Parça bekleniyor",F1201="Hazır"),M1201&gt;7),"7 günü geçti",""))</f>
        <v/>
      </c>
      <c r="O1201" s="18" t="str">
        <f aca="false">IF(AND(A1201&lt;&gt;"",OR(F1201="Bekliyor",F1201="Parça bekleniyor",F1201="Hazır")),A1201+ROW()/1000000,"")</f>
        <v/>
      </c>
    </row>
    <row r="1202" customFormat="false" ht="15" hidden="false" customHeight="false" outlineLevel="0" collapsed="false">
      <c r="A1202" s="12"/>
      <c r="B1202" s="13"/>
      <c r="C1202" s="13"/>
      <c r="D1202" s="13"/>
      <c r="E1202" s="13"/>
      <c r="F1202" s="14"/>
      <c r="G1202" s="15"/>
      <c r="H1202" s="15"/>
      <c r="I1202" s="15"/>
      <c r="J1202" s="12"/>
      <c r="K1202" s="16" t="str">
        <f aca="false">IF(A1202="","",G1202+H1202)</f>
        <v/>
      </c>
      <c r="L1202" s="16" t="str">
        <f aca="false">IF(A1202="","",IF(F1202="İade edildi",0,K1202-I1202))</f>
        <v/>
      </c>
      <c r="M1202" s="17" t="str">
        <f aca="true">IF(A1202="","",IF(J1202&lt;&gt;"",J1202-A1202,TODAY()-A1202))</f>
        <v/>
      </c>
      <c r="N1202" s="18" t="str">
        <f aca="false">IF(A1202="","",IF(AND(OR(F1202="Bekliyor",F1202="Parça bekleniyor",F1202="Hazır"),M1202&gt;7),"7 günü geçti",""))</f>
        <v/>
      </c>
      <c r="O1202" s="18" t="str">
        <f aca="false">IF(AND(A1202&lt;&gt;"",OR(F1202="Bekliyor",F1202="Parça bekleniyor",F1202="Hazır")),A1202+ROW()/1000000,"")</f>
        <v/>
      </c>
    </row>
    <row r="1203" customFormat="false" ht="15" hidden="false" customHeight="false" outlineLevel="0" collapsed="false">
      <c r="A1203" s="12"/>
      <c r="B1203" s="13"/>
      <c r="C1203" s="13"/>
      <c r="D1203" s="13"/>
      <c r="E1203" s="13"/>
      <c r="F1203" s="14"/>
      <c r="G1203" s="15"/>
      <c r="H1203" s="15"/>
      <c r="I1203" s="15"/>
      <c r="J1203" s="12"/>
      <c r="K1203" s="16" t="str">
        <f aca="false">IF(A1203="","",G1203+H1203)</f>
        <v/>
      </c>
      <c r="L1203" s="16" t="str">
        <f aca="false">IF(A1203="","",IF(F1203="İade edildi",0,K1203-I1203))</f>
        <v/>
      </c>
      <c r="M1203" s="17" t="str">
        <f aca="true">IF(A1203="","",IF(J1203&lt;&gt;"",J1203-A1203,TODAY()-A1203))</f>
        <v/>
      </c>
      <c r="N1203" s="18" t="str">
        <f aca="false">IF(A1203="","",IF(AND(OR(F1203="Bekliyor",F1203="Parça bekleniyor",F1203="Hazır"),M1203&gt;7),"7 günü geçti",""))</f>
        <v/>
      </c>
      <c r="O1203" s="18" t="str">
        <f aca="false">IF(AND(A1203&lt;&gt;"",OR(F1203="Bekliyor",F1203="Parça bekleniyor",F1203="Hazır")),A1203+ROW()/1000000,"")</f>
        <v/>
      </c>
    </row>
    <row r="1204" customFormat="false" ht="15" hidden="false" customHeight="false" outlineLevel="0" collapsed="false">
      <c r="A1204" s="12"/>
      <c r="B1204" s="13"/>
      <c r="C1204" s="13"/>
      <c r="D1204" s="13"/>
      <c r="E1204" s="13"/>
      <c r="F1204" s="14"/>
      <c r="G1204" s="15"/>
      <c r="H1204" s="15"/>
      <c r="I1204" s="15"/>
      <c r="J1204" s="12"/>
      <c r="K1204" s="16" t="str">
        <f aca="false">IF(A1204="","",G1204+H1204)</f>
        <v/>
      </c>
      <c r="L1204" s="16" t="str">
        <f aca="false">IF(A1204="","",IF(F1204="İade edildi",0,K1204-I1204))</f>
        <v/>
      </c>
      <c r="M1204" s="17" t="str">
        <f aca="true">IF(A1204="","",IF(J1204&lt;&gt;"",J1204-A1204,TODAY()-A1204))</f>
        <v/>
      </c>
      <c r="N1204" s="18" t="str">
        <f aca="false">IF(A1204="","",IF(AND(OR(F1204="Bekliyor",F1204="Parça bekleniyor",F1204="Hazır"),M1204&gt;7),"7 günü geçti",""))</f>
        <v/>
      </c>
      <c r="O1204" s="18" t="str">
        <f aca="false">IF(AND(A1204&lt;&gt;"",OR(F1204="Bekliyor",F1204="Parça bekleniyor",F1204="Hazır")),A1204+ROW()/1000000,"")</f>
        <v/>
      </c>
    </row>
    <row r="1205" customFormat="false" ht="15" hidden="false" customHeight="false" outlineLevel="0" collapsed="false">
      <c r="A1205" s="12"/>
      <c r="B1205" s="13"/>
      <c r="C1205" s="13"/>
      <c r="D1205" s="13"/>
      <c r="E1205" s="13"/>
      <c r="F1205" s="14"/>
      <c r="G1205" s="15"/>
      <c r="H1205" s="15"/>
      <c r="I1205" s="15"/>
      <c r="J1205" s="12"/>
      <c r="K1205" s="16" t="str">
        <f aca="false">IF(A1205="","",G1205+H1205)</f>
        <v/>
      </c>
      <c r="L1205" s="16" t="str">
        <f aca="false">IF(A1205="","",IF(F1205="İade edildi",0,K1205-I1205))</f>
        <v/>
      </c>
      <c r="M1205" s="17" t="str">
        <f aca="true">IF(A1205="","",IF(J1205&lt;&gt;"",J1205-A1205,TODAY()-A1205))</f>
        <v/>
      </c>
      <c r="N1205" s="18" t="str">
        <f aca="false">IF(A1205="","",IF(AND(OR(F1205="Bekliyor",F1205="Parça bekleniyor",F1205="Hazır"),M1205&gt;7),"7 günü geçti",""))</f>
        <v/>
      </c>
      <c r="O1205" s="18" t="str">
        <f aca="false">IF(AND(A1205&lt;&gt;"",OR(F1205="Bekliyor",F1205="Parça bekleniyor",F1205="Hazır")),A1205+ROW()/1000000,"")</f>
        <v/>
      </c>
    </row>
    <row r="1206" customFormat="false" ht="15" hidden="false" customHeight="false" outlineLevel="0" collapsed="false">
      <c r="A1206" s="12"/>
      <c r="B1206" s="13"/>
      <c r="C1206" s="13"/>
      <c r="D1206" s="13"/>
      <c r="E1206" s="13"/>
      <c r="F1206" s="14"/>
      <c r="G1206" s="15"/>
      <c r="H1206" s="15"/>
      <c r="I1206" s="15"/>
      <c r="J1206" s="12"/>
      <c r="K1206" s="16" t="str">
        <f aca="false">IF(A1206="","",G1206+H1206)</f>
        <v/>
      </c>
      <c r="L1206" s="16" t="str">
        <f aca="false">IF(A1206="","",IF(F1206="İade edildi",0,K1206-I1206))</f>
        <v/>
      </c>
      <c r="M1206" s="17" t="str">
        <f aca="true">IF(A1206="","",IF(J1206&lt;&gt;"",J1206-A1206,TODAY()-A1206))</f>
        <v/>
      </c>
      <c r="N1206" s="18" t="str">
        <f aca="false">IF(A1206="","",IF(AND(OR(F1206="Bekliyor",F1206="Parça bekleniyor",F1206="Hazır"),M1206&gt;7),"7 günü geçti",""))</f>
        <v/>
      </c>
      <c r="O1206" s="18" t="str">
        <f aca="false">IF(AND(A1206&lt;&gt;"",OR(F1206="Bekliyor",F1206="Parça bekleniyor",F1206="Hazır")),A1206+ROW()/1000000,"")</f>
        <v/>
      </c>
    </row>
    <row r="1207" customFormat="false" ht="15" hidden="false" customHeight="false" outlineLevel="0" collapsed="false">
      <c r="A1207" s="12"/>
      <c r="B1207" s="13"/>
      <c r="C1207" s="13"/>
      <c r="D1207" s="13"/>
      <c r="E1207" s="13"/>
      <c r="F1207" s="14"/>
      <c r="G1207" s="15"/>
      <c r="H1207" s="15"/>
      <c r="I1207" s="15"/>
      <c r="J1207" s="12"/>
      <c r="K1207" s="16" t="str">
        <f aca="false">IF(A1207="","",G1207+H1207)</f>
        <v/>
      </c>
      <c r="L1207" s="16" t="str">
        <f aca="false">IF(A1207="","",IF(F1207="İade edildi",0,K1207-I1207))</f>
        <v/>
      </c>
      <c r="M1207" s="17" t="str">
        <f aca="true">IF(A1207="","",IF(J1207&lt;&gt;"",J1207-A1207,TODAY()-A1207))</f>
        <v/>
      </c>
      <c r="N1207" s="18" t="str">
        <f aca="false">IF(A1207="","",IF(AND(OR(F1207="Bekliyor",F1207="Parça bekleniyor",F1207="Hazır"),M1207&gt;7),"7 günü geçti",""))</f>
        <v/>
      </c>
      <c r="O1207" s="18" t="str">
        <f aca="false">IF(AND(A1207&lt;&gt;"",OR(F1207="Bekliyor",F1207="Parça bekleniyor",F1207="Hazır")),A1207+ROW()/1000000,"")</f>
        <v/>
      </c>
    </row>
    <row r="1208" customFormat="false" ht="15" hidden="false" customHeight="false" outlineLevel="0" collapsed="false">
      <c r="A1208" s="12"/>
      <c r="B1208" s="13"/>
      <c r="C1208" s="13"/>
      <c r="D1208" s="13"/>
      <c r="E1208" s="13"/>
      <c r="F1208" s="14"/>
      <c r="G1208" s="15"/>
      <c r="H1208" s="15"/>
      <c r="I1208" s="15"/>
      <c r="J1208" s="12"/>
      <c r="K1208" s="16" t="str">
        <f aca="false">IF(A1208="","",G1208+H1208)</f>
        <v/>
      </c>
      <c r="L1208" s="16" t="str">
        <f aca="false">IF(A1208="","",IF(F1208="İade edildi",0,K1208-I1208))</f>
        <v/>
      </c>
      <c r="M1208" s="17" t="str">
        <f aca="true">IF(A1208="","",IF(J1208&lt;&gt;"",J1208-A1208,TODAY()-A1208))</f>
        <v/>
      </c>
      <c r="N1208" s="18" t="str">
        <f aca="false">IF(A1208="","",IF(AND(OR(F1208="Bekliyor",F1208="Parça bekleniyor",F1208="Hazır"),M1208&gt;7),"7 günü geçti",""))</f>
        <v/>
      </c>
      <c r="O1208" s="18" t="str">
        <f aca="false">IF(AND(A1208&lt;&gt;"",OR(F1208="Bekliyor",F1208="Parça bekleniyor",F1208="Hazır")),A1208+ROW()/1000000,"")</f>
        <v/>
      </c>
    </row>
    <row r="1209" customFormat="false" ht="15" hidden="false" customHeight="false" outlineLevel="0" collapsed="false">
      <c r="A1209" s="12"/>
      <c r="B1209" s="13"/>
      <c r="C1209" s="13"/>
      <c r="D1209" s="13"/>
      <c r="E1209" s="13"/>
      <c r="F1209" s="14"/>
      <c r="G1209" s="15"/>
      <c r="H1209" s="15"/>
      <c r="I1209" s="15"/>
      <c r="J1209" s="12"/>
      <c r="K1209" s="16" t="str">
        <f aca="false">IF(A1209="","",G1209+H1209)</f>
        <v/>
      </c>
      <c r="L1209" s="16" t="str">
        <f aca="false">IF(A1209="","",IF(F1209="İade edildi",0,K1209-I1209))</f>
        <v/>
      </c>
      <c r="M1209" s="17" t="str">
        <f aca="true">IF(A1209="","",IF(J1209&lt;&gt;"",J1209-A1209,TODAY()-A1209))</f>
        <v/>
      </c>
      <c r="N1209" s="18" t="str">
        <f aca="false">IF(A1209="","",IF(AND(OR(F1209="Bekliyor",F1209="Parça bekleniyor",F1209="Hazır"),M1209&gt;7),"7 günü geçti",""))</f>
        <v/>
      </c>
      <c r="O1209" s="18" t="str">
        <f aca="false">IF(AND(A1209&lt;&gt;"",OR(F1209="Bekliyor",F1209="Parça bekleniyor",F1209="Hazır")),A1209+ROW()/1000000,"")</f>
        <v/>
      </c>
    </row>
    <row r="1210" customFormat="false" ht="15" hidden="false" customHeight="false" outlineLevel="0" collapsed="false">
      <c r="A1210" s="12"/>
      <c r="B1210" s="13"/>
      <c r="C1210" s="13"/>
      <c r="D1210" s="13"/>
      <c r="E1210" s="13"/>
      <c r="F1210" s="14"/>
      <c r="G1210" s="15"/>
      <c r="H1210" s="15"/>
      <c r="I1210" s="15"/>
      <c r="J1210" s="12"/>
      <c r="K1210" s="16" t="str">
        <f aca="false">IF(A1210="","",G1210+H1210)</f>
        <v/>
      </c>
      <c r="L1210" s="16" t="str">
        <f aca="false">IF(A1210="","",IF(F1210="İade edildi",0,K1210-I1210))</f>
        <v/>
      </c>
      <c r="M1210" s="17" t="str">
        <f aca="true">IF(A1210="","",IF(J1210&lt;&gt;"",J1210-A1210,TODAY()-A1210))</f>
        <v/>
      </c>
      <c r="N1210" s="18" t="str">
        <f aca="false">IF(A1210="","",IF(AND(OR(F1210="Bekliyor",F1210="Parça bekleniyor",F1210="Hazır"),M1210&gt;7),"7 günü geçti",""))</f>
        <v/>
      </c>
      <c r="O1210" s="18" t="str">
        <f aca="false">IF(AND(A1210&lt;&gt;"",OR(F1210="Bekliyor",F1210="Parça bekleniyor",F1210="Hazır")),A1210+ROW()/1000000,"")</f>
        <v/>
      </c>
    </row>
    <row r="1211" customFormat="false" ht="15" hidden="false" customHeight="false" outlineLevel="0" collapsed="false">
      <c r="A1211" s="12"/>
      <c r="B1211" s="13"/>
      <c r="C1211" s="13"/>
      <c r="D1211" s="13"/>
      <c r="E1211" s="13"/>
      <c r="F1211" s="14"/>
      <c r="G1211" s="15"/>
      <c r="H1211" s="15"/>
      <c r="I1211" s="15"/>
      <c r="J1211" s="12"/>
      <c r="K1211" s="16" t="str">
        <f aca="false">IF(A1211="","",G1211+H1211)</f>
        <v/>
      </c>
      <c r="L1211" s="16" t="str">
        <f aca="false">IF(A1211="","",IF(F1211="İade edildi",0,K1211-I1211))</f>
        <v/>
      </c>
      <c r="M1211" s="17" t="str">
        <f aca="true">IF(A1211="","",IF(J1211&lt;&gt;"",J1211-A1211,TODAY()-A1211))</f>
        <v/>
      </c>
      <c r="N1211" s="18" t="str">
        <f aca="false">IF(A1211="","",IF(AND(OR(F1211="Bekliyor",F1211="Parça bekleniyor",F1211="Hazır"),M1211&gt;7),"7 günü geçti",""))</f>
        <v/>
      </c>
      <c r="O1211" s="18" t="str">
        <f aca="false">IF(AND(A1211&lt;&gt;"",OR(F1211="Bekliyor",F1211="Parça bekleniyor",F1211="Hazır")),A1211+ROW()/1000000,"")</f>
        <v/>
      </c>
    </row>
    <row r="1212" customFormat="false" ht="15" hidden="false" customHeight="false" outlineLevel="0" collapsed="false">
      <c r="A1212" s="12"/>
      <c r="B1212" s="13"/>
      <c r="C1212" s="13"/>
      <c r="D1212" s="13"/>
      <c r="E1212" s="13"/>
      <c r="F1212" s="14"/>
      <c r="G1212" s="15"/>
      <c r="H1212" s="15"/>
      <c r="I1212" s="15"/>
      <c r="J1212" s="12"/>
      <c r="K1212" s="16" t="str">
        <f aca="false">IF(A1212="","",G1212+H1212)</f>
        <v/>
      </c>
      <c r="L1212" s="16" t="str">
        <f aca="false">IF(A1212="","",IF(F1212="İade edildi",0,K1212-I1212))</f>
        <v/>
      </c>
      <c r="M1212" s="17" t="str">
        <f aca="true">IF(A1212="","",IF(J1212&lt;&gt;"",J1212-A1212,TODAY()-A1212))</f>
        <v/>
      </c>
      <c r="N1212" s="18" t="str">
        <f aca="false">IF(A1212="","",IF(AND(OR(F1212="Bekliyor",F1212="Parça bekleniyor",F1212="Hazır"),M1212&gt;7),"7 günü geçti",""))</f>
        <v/>
      </c>
      <c r="O1212" s="18" t="str">
        <f aca="false">IF(AND(A1212&lt;&gt;"",OR(F1212="Bekliyor",F1212="Parça bekleniyor",F1212="Hazır")),A1212+ROW()/1000000,"")</f>
        <v/>
      </c>
    </row>
    <row r="1213" customFormat="false" ht="15" hidden="false" customHeight="false" outlineLevel="0" collapsed="false">
      <c r="A1213" s="12"/>
      <c r="B1213" s="13"/>
      <c r="C1213" s="13"/>
      <c r="D1213" s="13"/>
      <c r="E1213" s="13"/>
      <c r="F1213" s="14"/>
      <c r="G1213" s="15"/>
      <c r="H1213" s="15"/>
      <c r="I1213" s="15"/>
      <c r="J1213" s="12"/>
      <c r="K1213" s="16" t="str">
        <f aca="false">IF(A1213="","",G1213+H1213)</f>
        <v/>
      </c>
      <c r="L1213" s="16" t="str">
        <f aca="false">IF(A1213="","",IF(F1213="İade edildi",0,K1213-I1213))</f>
        <v/>
      </c>
      <c r="M1213" s="17" t="str">
        <f aca="true">IF(A1213="","",IF(J1213&lt;&gt;"",J1213-A1213,TODAY()-A1213))</f>
        <v/>
      </c>
      <c r="N1213" s="18" t="str">
        <f aca="false">IF(A1213="","",IF(AND(OR(F1213="Bekliyor",F1213="Parça bekleniyor",F1213="Hazır"),M1213&gt;7),"7 günü geçti",""))</f>
        <v/>
      </c>
      <c r="O1213" s="18" t="str">
        <f aca="false">IF(AND(A1213&lt;&gt;"",OR(F1213="Bekliyor",F1213="Parça bekleniyor",F1213="Hazır")),A1213+ROW()/1000000,"")</f>
        <v/>
      </c>
    </row>
    <row r="1214" customFormat="false" ht="15" hidden="false" customHeight="false" outlineLevel="0" collapsed="false">
      <c r="A1214" s="12"/>
      <c r="B1214" s="13"/>
      <c r="C1214" s="13"/>
      <c r="D1214" s="13"/>
      <c r="E1214" s="13"/>
      <c r="F1214" s="14"/>
      <c r="G1214" s="15"/>
      <c r="H1214" s="15"/>
      <c r="I1214" s="15"/>
      <c r="J1214" s="12"/>
      <c r="K1214" s="16" t="str">
        <f aca="false">IF(A1214="","",G1214+H1214)</f>
        <v/>
      </c>
      <c r="L1214" s="16" t="str">
        <f aca="false">IF(A1214="","",IF(F1214="İade edildi",0,K1214-I1214))</f>
        <v/>
      </c>
      <c r="M1214" s="17" t="str">
        <f aca="true">IF(A1214="","",IF(J1214&lt;&gt;"",J1214-A1214,TODAY()-A1214))</f>
        <v/>
      </c>
      <c r="N1214" s="18" t="str">
        <f aca="false">IF(A1214="","",IF(AND(OR(F1214="Bekliyor",F1214="Parça bekleniyor",F1214="Hazır"),M1214&gt;7),"7 günü geçti",""))</f>
        <v/>
      </c>
      <c r="O1214" s="18" t="str">
        <f aca="false">IF(AND(A1214&lt;&gt;"",OR(F1214="Bekliyor",F1214="Parça bekleniyor",F1214="Hazır")),A1214+ROW()/1000000,"")</f>
        <v/>
      </c>
    </row>
    <row r="1215" customFormat="false" ht="15" hidden="false" customHeight="false" outlineLevel="0" collapsed="false">
      <c r="A1215" s="12"/>
      <c r="B1215" s="13"/>
      <c r="C1215" s="13"/>
      <c r="D1215" s="13"/>
      <c r="E1215" s="13"/>
      <c r="F1215" s="14"/>
      <c r="G1215" s="15"/>
      <c r="H1215" s="15"/>
      <c r="I1215" s="15"/>
      <c r="J1215" s="12"/>
      <c r="K1215" s="16" t="str">
        <f aca="false">IF(A1215="","",G1215+H1215)</f>
        <v/>
      </c>
      <c r="L1215" s="16" t="str">
        <f aca="false">IF(A1215="","",IF(F1215="İade edildi",0,K1215-I1215))</f>
        <v/>
      </c>
      <c r="M1215" s="17" t="str">
        <f aca="true">IF(A1215="","",IF(J1215&lt;&gt;"",J1215-A1215,TODAY()-A1215))</f>
        <v/>
      </c>
      <c r="N1215" s="18" t="str">
        <f aca="false">IF(A1215="","",IF(AND(OR(F1215="Bekliyor",F1215="Parça bekleniyor",F1215="Hazır"),M1215&gt;7),"7 günü geçti",""))</f>
        <v/>
      </c>
      <c r="O1215" s="18" t="str">
        <f aca="false">IF(AND(A1215&lt;&gt;"",OR(F1215="Bekliyor",F1215="Parça bekleniyor",F1215="Hazır")),A1215+ROW()/1000000,"")</f>
        <v/>
      </c>
    </row>
    <row r="1216" customFormat="false" ht="15" hidden="false" customHeight="false" outlineLevel="0" collapsed="false">
      <c r="A1216" s="12"/>
      <c r="B1216" s="13"/>
      <c r="C1216" s="13"/>
      <c r="D1216" s="13"/>
      <c r="E1216" s="13"/>
      <c r="F1216" s="14"/>
      <c r="G1216" s="15"/>
      <c r="H1216" s="15"/>
      <c r="I1216" s="15"/>
      <c r="J1216" s="12"/>
      <c r="K1216" s="16" t="str">
        <f aca="false">IF(A1216="","",G1216+H1216)</f>
        <v/>
      </c>
      <c r="L1216" s="16" t="str">
        <f aca="false">IF(A1216="","",IF(F1216="İade edildi",0,K1216-I1216))</f>
        <v/>
      </c>
      <c r="M1216" s="17" t="str">
        <f aca="true">IF(A1216="","",IF(J1216&lt;&gt;"",J1216-A1216,TODAY()-A1216))</f>
        <v/>
      </c>
      <c r="N1216" s="18" t="str">
        <f aca="false">IF(A1216="","",IF(AND(OR(F1216="Bekliyor",F1216="Parça bekleniyor",F1216="Hazır"),M1216&gt;7),"7 günü geçti",""))</f>
        <v/>
      </c>
      <c r="O1216" s="18" t="str">
        <f aca="false">IF(AND(A1216&lt;&gt;"",OR(F1216="Bekliyor",F1216="Parça bekleniyor",F1216="Hazır")),A1216+ROW()/1000000,"")</f>
        <v/>
      </c>
    </row>
    <row r="1217" customFormat="false" ht="15" hidden="false" customHeight="false" outlineLevel="0" collapsed="false">
      <c r="A1217" s="12"/>
      <c r="B1217" s="13"/>
      <c r="C1217" s="13"/>
      <c r="D1217" s="13"/>
      <c r="E1217" s="13"/>
      <c r="F1217" s="14"/>
      <c r="G1217" s="15"/>
      <c r="H1217" s="15"/>
      <c r="I1217" s="15"/>
      <c r="J1217" s="12"/>
      <c r="K1217" s="16" t="str">
        <f aca="false">IF(A1217="","",G1217+H1217)</f>
        <v/>
      </c>
      <c r="L1217" s="16" t="str">
        <f aca="false">IF(A1217="","",IF(F1217="İade edildi",0,K1217-I1217))</f>
        <v/>
      </c>
      <c r="M1217" s="17" t="str">
        <f aca="true">IF(A1217="","",IF(J1217&lt;&gt;"",J1217-A1217,TODAY()-A1217))</f>
        <v/>
      </c>
      <c r="N1217" s="18" t="str">
        <f aca="false">IF(A1217="","",IF(AND(OR(F1217="Bekliyor",F1217="Parça bekleniyor",F1217="Hazır"),M1217&gt;7),"7 günü geçti",""))</f>
        <v/>
      </c>
      <c r="O1217" s="18" t="str">
        <f aca="false">IF(AND(A1217&lt;&gt;"",OR(F1217="Bekliyor",F1217="Parça bekleniyor",F1217="Hazır")),A1217+ROW()/1000000,"")</f>
        <v/>
      </c>
    </row>
    <row r="1218" customFormat="false" ht="15" hidden="false" customHeight="false" outlineLevel="0" collapsed="false">
      <c r="A1218" s="12"/>
      <c r="B1218" s="13"/>
      <c r="C1218" s="13"/>
      <c r="D1218" s="13"/>
      <c r="E1218" s="13"/>
      <c r="F1218" s="14"/>
      <c r="G1218" s="15"/>
      <c r="H1218" s="15"/>
      <c r="I1218" s="15"/>
      <c r="J1218" s="12"/>
      <c r="K1218" s="16" t="str">
        <f aca="false">IF(A1218="","",G1218+H1218)</f>
        <v/>
      </c>
      <c r="L1218" s="16" t="str">
        <f aca="false">IF(A1218="","",IF(F1218="İade edildi",0,K1218-I1218))</f>
        <v/>
      </c>
      <c r="M1218" s="17" t="str">
        <f aca="true">IF(A1218="","",IF(J1218&lt;&gt;"",J1218-A1218,TODAY()-A1218))</f>
        <v/>
      </c>
      <c r="N1218" s="18" t="str">
        <f aca="false">IF(A1218="","",IF(AND(OR(F1218="Bekliyor",F1218="Parça bekleniyor",F1218="Hazır"),M1218&gt;7),"7 günü geçti",""))</f>
        <v/>
      </c>
      <c r="O1218" s="18" t="str">
        <f aca="false">IF(AND(A1218&lt;&gt;"",OR(F1218="Bekliyor",F1218="Parça bekleniyor",F1218="Hazır")),A1218+ROW()/1000000,"")</f>
        <v/>
      </c>
    </row>
    <row r="1219" customFormat="false" ht="15" hidden="false" customHeight="false" outlineLevel="0" collapsed="false">
      <c r="A1219" s="12"/>
      <c r="B1219" s="13"/>
      <c r="C1219" s="13"/>
      <c r="D1219" s="13"/>
      <c r="E1219" s="13"/>
      <c r="F1219" s="14"/>
      <c r="G1219" s="15"/>
      <c r="H1219" s="15"/>
      <c r="I1219" s="15"/>
      <c r="J1219" s="12"/>
      <c r="K1219" s="16" t="str">
        <f aca="false">IF(A1219="","",G1219+H1219)</f>
        <v/>
      </c>
      <c r="L1219" s="16" t="str">
        <f aca="false">IF(A1219="","",IF(F1219="İade edildi",0,K1219-I1219))</f>
        <v/>
      </c>
      <c r="M1219" s="17" t="str">
        <f aca="true">IF(A1219="","",IF(J1219&lt;&gt;"",J1219-A1219,TODAY()-A1219))</f>
        <v/>
      </c>
      <c r="N1219" s="18" t="str">
        <f aca="false">IF(A1219="","",IF(AND(OR(F1219="Bekliyor",F1219="Parça bekleniyor",F1219="Hazır"),M1219&gt;7),"7 günü geçti",""))</f>
        <v/>
      </c>
      <c r="O1219" s="18" t="str">
        <f aca="false">IF(AND(A1219&lt;&gt;"",OR(F1219="Bekliyor",F1219="Parça bekleniyor",F1219="Hazır")),A1219+ROW()/1000000,"")</f>
        <v/>
      </c>
    </row>
    <row r="1220" customFormat="false" ht="15" hidden="false" customHeight="false" outlineLevel="0" collapsed="false">
      <c r="A1220" s="12"/>
      <c r="B1220" s="13"/>
      <c r="C1220" s="13"/>
      <c r="D1220" s="13"/>
      <c r="E1220" s="13"/>
      <c r="F1220" s="14"/>
      <c r="G1220" s="15"/>
      <c r="H1220" s="15"/>
      <c r="I1220" s="15"/>
      <c r="J1220" s="12"/>
      <c r="K1220" s="16" t="str">
        <f aca="false">IF(A1220="","",G1220+H1220)</f>
        <v/>
      </c>
      <c r="L1220" s="16" t="str">
        <f aca="false">IF(A1220="","",IF(F1220="İade edildi",0,K1220-I1220))</f>
        <v/>
      </c>
      <c r="M1220" s="17" t="str">
        <f aca="true">IF(A1220="","",IF(J1220&lt;&gt;"",J1220-A1220,TODAY()-A1220))</f>
        <v/>
      </c>
      <c r="N1220" s="18" t="str">
        <f aca="false">IF(A1220="","",IF(AND(OR(F1220="Bekliyor",F1220="Parça bekleniyor",F1220="Hazır"),M1220&gt;7),"7 günü geçti",""))</f>
        <v/>
      </c>
      <c r="O1220" s="18" t="str">
        <f aca="false">IF(AND(A1220&lt;&gt;"",OR(F1220="Bekliyor",F1220="Parça bekleniyor",F1220="Hazır")),A1220+ROW()/1000000,"")</f>
        <v/>
      </c>
    </row>
    <row r="1221" customFormat="false" ht="15" hidden="false" customHeight="false" outlineLevel="0" collapsed="false">
      <c r="A1221" s="12"/>
      <c r="B1221" s="13"/>
      <c r="C1221" s="13"/>
      <c r="D1221" s="13"/>
      <c r="E1221" s="13"/>
      <c r="F1221" s="14"/>
      <c r="G1221" s="15"/>
      <c r="H1221" s="15"/>
      <c r="I1221" s="15"/>
      <c r="J1221" s="12"/>
      <c r="K1221" s="16" t="str">
        <f aca="false">IF(A1221="","",G1221+H1221)</f>
        <v/>
      </c>
      <c r="L1221" s="16" t="str">
        <f aca="false">IF(A1221="","",IF(F1221="İade edildi",0,K1221-I1221))</f>
        <v/>
      </c>
      <c r="M1221" s="17" t="str">
        <f aca="true">IF(A1221="","",IF(J1221&lt;&gt;"",J1221-A1221,TODAY()-A1221))</f>
        <v/>
      </c>
      <c r="N1221" s="18" t="str">
        <f aca="false">IF(A1221="","",IF(AND(OR(F1221="Bekliyor",F1221="Parça bekleniyor",F1221="Hazır"),M1221&gt;7),"7 günü geçti",""))</f>
        <v/>
      </c>
      <c r="O1221" s="18" t="str">
        <f aca="false">IF(AND(A1221&lt;&gt;"",OR(F1221="Bekliyor",F1221="Parça bekleniyor",F1221="Hazır")),A1221+ROW()/1000000,"")</f>
        <v/>
      </c>
    </row>
    <row r="1222" customFormat="false" ht="15" hidden="false" customHeight="false" outlineLevel="0" collapsed="false">
      <c r="A1222" s="12"/>
      <c r="B1222" s="13"/>
      <c r="C1222" s="13"/>
      <c r="D1222" s="13"/>
      <c r="E1222" s="13"/>
      <c r="F1222" s="14"/>
      <c r="G1222" s="15"/>
      <c r="H1222" s="15"/>
      <c r="I1222" s="15"/>
      <c r="J1222" s="12"/>
      <c r="K1222" s="16" t="str">
        <f aca="false">IF(A1222="","",G1222+H1222)</f>
        <v/>
      </c>
      <c r="L1222" s="16" t="str">
        <f aca="false">IF(A1222="","",IF(F1222="İade edildi",0,K1222-I1222))</f>
        <v/>
      </c>
      <c r="M1222" s="17" t="str">
        <f aca="true">IF(A1222="","",IF(J1222&lt;&gt;"",J1222-A1222,TODAY()-A1222))</f>
        <v/>
      </c>
      <c r="N1222" s="18" t="str">
        <f aca="false">IF(A1222="","",IF(AND(OR(F1222="Bekliyor",F1222="Parça bekleniyor",F1222="Hazır"),M1222&gt;7),"7 günü geçti",""))</f>
        <v/>
      </c>
      <c r="O1222" s="18" t="str">
        <f aca="false">IF(AND(A1222&lt;&gt;"",OR(F1222="Bekliyor",F1222="Parça bekleniyor",F1222="Hazır")),A1222+ROW()/1000000,"")</f>
        <v/>
      </c>
    </row>
    <row r="1223" customFormat="false" ht="15" hidden="false" customHeight="false" outlineLevel="0" collapsed="false">
      <c r="A1223" s="12"/>
      <c r="B1223" s="13"/>
      <c r="C1223" s="13"/>
      <c r="D1223" s="13"/>
      <c r="E1223" s="13"/>
      <c r="F1223" s="14"/>
      <c r="G1223" s="15"/>
      <c r="H1223" s="15"/>
      <c r="I1223" s="15"/>
      <c r="J1223" s="12"/>
      <c r="K1223" s="16" t="str">
        <f aca="false">IF(A1223="","",G1223+H1223)</f>
        <v/>
      </c>
      <c r="L1223" s="16" t="str">
        <f aca="false">IF(A1223="","",IF(F1223="İade edildi",0,K1223-I1223))</f>
        <v/>
      </c>
      <c r="M1223" s="17" t="str">
        <f aca="true">IF(A1223="","",IF(J1223&lt;&gt;"",J1223-A1223,TODAY()-A1223))</f>
        <v/>
      </c>
      <c r="N1223" s="18" t="str">
        <f aca="false">IF(A1223="","",IF(AND(OR(F1223="Bekliyor",F1223="Parça bekleniyor",F1223="Hazır"),M1223&gt;7),"7 günü geçti",""))</f>
        <v/>
      </c>
      <c r="O1223" s="18" t="str">
        <f aca="false">IF(AND(A1223&lt;&gt;"",OR(F1223="Bekliyor",F1223="Parça bekleniyor",F1223="Hazır")),A1223+ROW()/1000000,"")</f>
        <v/>
      </c>
    </row>
    <row r="1224" customFormat="false" ht="15" hidden="false" customHeight="false" outlineLevel="0" collapsed="false">
      <c r="A1224" s="12"/>
      <c r="B1224" s="13"/>
      <c r="C1224" s="13"/>
      <c r="D1224" s="13"/>
      <c r="E1224" s="13"/>
      <c r="F1224" s="14"/>
      <c r="G1224" s="15"/>
      <c r="H1224" s="15"/>
      <c r="I1224" s="15"/>
      <c r="J1224" s="12"/>
      <c r="K1224" s="16" t="str">
        <f aca="false">IF(A1224="","",G1224+H1224)</f>
        <v/>
      </c>
      <c r="L1224" s="16" t="str">
        <f aca="false">IF(A1224="","",IF(F1224="İade edildi",0,K1224-I1224))</f>
        <v/>
      </c>
      <c r="M1224" s="17" t="str">
        <f aca="true">IF(A1224="","",IF(J1224&lt;&gt;"",J1224-A1224,TODAY()-A1224))</f>
        <v/>
      </c>
      <c r="N1224" s="18" t="str">
        <f aca="false">IF(A1224="","",IF(AND(OR(F1224="Bekliyor",F1224="Parça bekleniyor",F1224="Hazır"),M1224&gt;7),"7 günü geçti",""))</f>
        <v/>
      </c>
      <c r="O1224" s="18" t="str">
        <f aca="false">IF(AND(A1224&lt;&gt;"",OR(F1224="Bekliyor",F1224="Parça bekleniyor",F1224="Hazır")),A1224+ROW()/1000000,"")</f>
        <v/>
      </c>
    </row>
    <row r="1225" customFormat="false" ht="15" hidden="false" customHeight="false" outlineLevel="0" collapsed="false">
      <c r="A1225" s="12"/>
      <c r="B1225" s="13"/>
      <c r="C1225" s="13"/>
      <c r="D1225" s="13"/>
      <c r="E1225" s="13"/>
      <c r="F1225" s="14"/>
      <c r="G1225" s="15"/>
      <c r="H1225" s="15"/>
      <c r="I1225" s="15"/>
      <c r="J1225" s="12"/>
      <c r="K1225" s="16" t="str">
        <f aca="false">IF(A1225="","",G1225+H1225)</f>
        <v/>
      </c>
      <c r="L1225" s="16" t="str">
        <f aca="false">IF(A1225="","",IF(F1225="İade edildi",0,K1225-I1225))</f>
        <v/>
      </c>
      <c r="M1225" s="17" t="str">
        <f aca="true">IF(A1225="","",IF(J1225&lt;&gt;"",J1225-A1225,TODAY()-A1225))</f>
        <v/>
      </c>
      <c r="N1225" s="18" t="str">
        <f aca="false">IF(A1225="","",IF(AND(OR(F1225="Bekliyor",F1225="Parça bekleniyor",F1225="Hazır"),M1225&gt;7),"7 günü geçti",""))</f>
        <v/>
      </c>
      <c r="O1225" s="18" t="str">
        <f aca="false">IF(AND(A1225&lt;&gt;"",OR(F1225="Bekliyor",F1225="Parça bekleniyor",F1225="Hazır")),A1225+ROW()/1000000,"")</f>
        <v/>
      </c>
    </row>
    <row r="1226" customFormat="false" ht="15" hidden="false" customHeight="false" outlineLevel="0" collapsed="false">
      <c r="A1226" s="12"/>
      <c r="B1226" s="13"/>
      <c r="C1226" s="13"/>
      <c r="D1226" s="13"/>
      <c r="E1226" s="13"/>
      <c r="F1226" s="14"/>
      <c r="G1226" s="15"/>
      <c r="H1226" s="15"/>
      <c r="I1226" s="15"/>
      <c r="J1226" s="12"/>
      <c r="K1226" s="16" t="str">
        <f aca="false">IF(A1226="","",G1226+H1226)</f>
        <v/>
      </c>
      <c r="L1226" s="16" t="str">
        <f aca="false">IF(A1226="","",IF(F1226="İade edildi",0,K1226-I1226))</f>
        <v/>
      </c>
      <c r="M1226" s="17" t="str">
        <f aca="true">IF(A1226="","",IF(J1226&lt;&gt;"",J1226-A1226,TODAY()-A1226))</f>
        <v/>
      </c>
      <c r="N1226" s="18" t="str">
        <f aca="false">IF(A1226="","",IF(AND(OR(F1226="Bekliyor",F1226="Parça bekleniyor",F1226="Hazır"),M1226&gt;7),"7 günü geçti",""))</f>
        <v/>
      </c>
      <c r="O1226" s="18" t="str">
        <f aca="false">IF(AND(A1226&lt;&gt;"",OR(F1226="Bekliyor",F1226="Parça bekleniyor",F1226="Hazır")),A1226+ROW()/1000000,"")</f>
        <v/>
      </c>
    </row>
    <row r="1227" customFormat="false" ht="15" hidden="false" customHeight="false" outlineLevel="0" collapsed="false">
      <c r="A1227" s="12"/>
      <c r="B1227" s="13"/>
      <c r="C1227" s="13"/>
      <c r="D1227" s="13"/>
      <c r="E1227" s="13"/>
      <c r="F1227" s="14"/>
      <c r="G1227" s="15"/>
      <c r="H1227" s="15"/>
      <c r="I1227" s="15"/>
      <c r="J1227" s="12"/>
      <c r="K1227" s="16" t="str">
        <f aca="false">IF(A1227="","",G1227+H1227)</f>
        <v/>
      </c>
      <c r="L1227" s="16" t="str">
        <f aca="false">IF(A1227="","",IF(F1227="İade edildi",0,K1227-I1227))</f>
        <v/>
      </c>
      <c r="M1227" s="17" t="str">
        <f aca="true">IF(A1227="","",IF(J1227&lt;&gt;"",J1227-A1227,TODAY()-A1227))</f>
        <v/>
      </c>
      <c r="N1227" s="18" t="str">
        <f aca="false">IF(A1227="","",IF(AND(OR(F1227="Bekliyor",F1227="Parça bekleniyor",F1227="Hazır"),M1227&gt;7),"7 günü geçti",""))</f>
        <v/>
      </c>
      <c r="O1227" s="18" t="str">
        <f aca="false">IF(AND(A1227&lt;&gt;"",OR(F1227="Bekliyor",F1227="Parça bekleniyor",F1227="Hazır")),A1227+ROW()/1000000,"")</f>
        <v/>
      </c>
    </row>
    <row r="1228" customFormat="false" ht="15" hidden="false" customHeight="false" outlineLevel="0" collapsed="false">
      <c r="A1228" s="12"/>
      <c r="B1228" s="13"/>
      <c r="C1228" s="13"/>
      <c r="D1228" s="13"/>
      <c r="E1228" s="13"/>
      <c r="F1228" s="14"/>
      <c r="G1228" s="15"/>
      <c r="H1228" s="15"/>
      <c r="I1228" s="15"/>
      <c r="J1228" s="12"/>
      <c r="K1228" s="16" t="str">
        <f aca="false">IF(A1228="","",G1228+H1228)</f>
        <v/>
      </c>
      <c r="L1228" s="16" t="str">
        <f aca="false">IF(A1228="","",IF(F1228="İade edildi",0,K1228-I1228))</f>
        <v/>
      </c>
      <c r="M1228" s="17" t="str">
        <f aca="true">IF(A1228="","",IF(J1228&lt;&gt;"",J1228-A1228,TODAY()-A1228))</f>
        <v/>
      </c>
      <c r="N1228" s="18" t="str">
        <f aca="false">IF(A1228="","",IF(AND(OR(F1228="Bekliyor",F1228="Parça bekleniyor",F1228="Hazır"),M1228&gt;7),"7 günü geçti",""))</f>
        <v/>
      </c>
      <c r="O1228" s="18" t="str">
        <f aca="false">IF(AND(A1228&lt;&gt;"",OR(F1228="Bekliyor",F1228="Parça bekleniyor",F1228="Hazır")),A1228+ROW()/1000000,"")</f>
        <v/>
      </c>
    </row>
    <row r="1229" customFormat="false" ht="15" hidden="false" customHeight="false" outlineLevel="0" collapsed="false">
      <c r="A1229" s="12"/>
      <c r="B1229" s="13"/>
      <c r="C1229" s="13"/>
      <c r="D1229" s="13"/>
      <c r="E1229" s="13"/>
      <c r="F1229" s="14"/>
      <c r="G1229" s="15"/>
      <c r="H1229" s="15"/>
      <c r="I1229" s="15"/>
      <c r="J1229" s="12"/>
      <c r="K1229" s="16" t="str">
        <f aca="false">IF(A1229="","",G1229+H1229)</f>
        <v/>
      </c>
      <c r="L1229" s="16" t="str">
        <f aca="false">IF(A1229="","",IF(F1229="İade edildi",0,K1229-I1229))</f>
        <v/>
      </c>
      <c r="M1229" s="17" t="str">
        <f aca="true">IF(A1229="","",IF(J1229&lt;&gt;"",J1229-A1229,TODAY()-A1229))</f>
        <v/>
      </c>
      <c r="N1229" s="18" t="str">
        <f aca="false">IF(A1229="","",IF(AND(OR(F1229="Bekliyor",F1229="Parça bekleniyor",F1229="Hazır"),M1229&gt;7),"7 günü geçti",""))</f>
        <v/>
      </c>
      <c r="O1229" s="18" t="str">
        <f aca="false">IF(AND(A1229&lt;&gt;"",OR(F1229="Bekliyor",F1229="Parça bekleniyor",F1229="Hazır")),A1229+ROW()/1000000,"")</f>
        <v/>
      </c>
    </row>
    <row r="1230" customFormat="false" ht="15" hidden="false" customHeight="false" outlineLevel="0" collapsed="false">
      <c r="A1230" s="12"/>
      <c r="B1230" s="13"/>
      <c r="C1230" s="13"/>
      <c r="D1230" s="13"/>
      <c r="E1230" s="13"/>
      <c r="F1230" s="14"/>
      <c r="G1230" s="15"/>
      <c r="H1230" s="15"/>
      <c r="I1230" s="15"/>
      <c r="J1230" s="12"/>
      <c r="K1230" s="16" t="str">
        <f aca="false">IF(A1230="","",G1230+H1230)</f>
        <v/>
      </c>
      <c r="L1230" s="16" t="str">
        <f aca="false">IF(A1230="","",IF(F1230="İade edildi",0,K1230-I1230))</f>
        <v/>
      </c>
      <c r="M1230" s="17" t="str">
        <f aca="true">IF(A1230="","",IF(J1230&lt;&gt;"",J1230-A1230,TODAY()-A1230))</f>
        <v/>
      </c>
      <c r="N1230" s="18" t="str">
        <f aca="false">IF(A1230="","",IF(AND(OR(F1230="Bekliyor",F1230="Parça bekleniyor",F1230="Hazır"),M1230&gt;7),"7 günü geçti",""))</f>
        <v/>
      </c>
      <c r="O1230" s="18" t="str">
        <f aca="false">IF(AND(A1230&lt;&gt;"",OR(F1230="Bekliyor",F1230="Parça bekleniyor",F1230="Hazır")),A1230+ROW()/1000000,"")</f>
        <v/>
      </c>
    </row>
    <row r="1231" customFormat="false" ht="15" hidden="false" customHeight="false" outlineLevel="0" collapsed="false">
      <c r="A1231" s="12"/>
      <c r="B1231" s="13"/>
      <c r="C1231" s="13"/>
      <c r="D1231" s="13"/>
      <c r="E1231" s="13"/>
      <c r="F1231" s="14"/>
      <c r="G1231" s="15"/>
      <c r="H1231" s="15"/>
      <c r="I1231" s="15"/>
      <c r="J1231" s="12"/>
      <c r="K1231" s="16" t="str">
        <f aca="false">IF(A1231="","",G1231+H1231)</f>
        <v/>
      </c>
      <c r="L1231" s="16" t="str">
        <f aca="false">IF(A1231="","",IF(F1231="İade edildi",0,K1231-I1231))</f>
        <v/>
      </c>
      <c r="M1231" s="17" t="str">
        <f aca="true">IF(A1231="","",IF(J1231&lt;&gt;"",J1231-A1231,TODAY()-A1231))</f>
        <v/>
      </c>
      <c r="N1231" s="18" t="str">
        <f aca="false">IF(A1231="","",IF(AND(OR(F1231="Bekliyor",F1231="Parça bekleniyor",F1231="Hazır"),M1231&gt;7),"7 günü geçti",""))</f>
        <v/>
      </c>
      <c r="O1231" s="18" t="str">
        <f aca="false">IF(AND(A1231&lt;&gt;"",OR(F1231="Bekliyor",F1231="Parça bekleniyor",F1231="Hazır")),A1231+ROW()/1000000,"")</f>
        <v/>
      </c>
    </row>
    <row r="1232" customFormat="false" ht="15" hidden="false" customHeight="false" outlineLevel="0" collapsed="false">
      <c r="A1232" s="12"/>
      <c r="B1232" s="13"/>
      <c r="C1232" s="13"/>
      <c r="D1232" s="13"/>
      <c r="E1232" s="13"/>
      <c r="F1232" s="14"/>
      <c r="G1232" s="15"/>
      <c r="H1232" s="15"/>
      <c r="I1232" s="15"/>
      <c r="J1232" s="12"/>
      <c r="K1232" s="16" t="str">
        <f aca="false">IF(A1232="","",G1232+H1232)</f>
        <v/>
      </c>
      <c r="L1232" s="16" t="str">
        <f aca="false">IF(A1232="","",IF(F1232="İade edildi",0,K1232-I1232))</f>
        <v/>
      </c>
      <c r="M1232" s="17" t="str">
        <f aca="true">IF(A1232="","",IF(J1232&lt;&gt;"",J1232-A1232,TODAY()-A1232))</f>
        <v/>
      </c>
      <c r="N1232" s="18" t="str">
        <f aca="false">IF(A1232="","",IF(AND(OR(F1232="Bekliyor",F1232="Parça bekleniyor",F1232="Hazır"),M1232&gt;7),"7 günü geçti",""))</f>
        <v/>
      </c>
      <c r="O1232" s="18" t="str">
        <f aca="false">IF(AND(A1232&lt;&gt;"",OR(F1232="Bekliyor",F1232="Parça bekleniyor",F1232="Hazır")),A1232+ROW()/1000000,"")</f>
        <v/>
      </c>
    </row>
    <row r="1233" customFormat="false" ht="15" hidden="false" customHeight="false" outlineLevel="0" collapsed="false">
      <c r="A1233" s="12"/>
      <c r="B1233" s="13"/>
      <c r="C1233" s="13"/>
      <c r="D1233" s="13"/>
      <c r="E1233" s="13"/>
      <c r="F1233" s="14"/>
      <c r="G1233" s="15"/>
      <c r="H1233" s="15"/>
      <c r="I1233" s="15"/>
      <c r="J1233" s="12"/>
      <c r="K1233" s="16" t="str">
        <f aca="false">IF(A1233="","",G1233+H1233)</f>
        <v/>
      </c>
      <c r="L1233" s="16" t="str">
        <f aca="false">IF(A1233="","",IF(F1233="İade edildi",0,K1233-I1233))</f>
        <v/>
      </c>
      <c r="M1233" s="17" t="str">
        <f aca="true">IF(A1233="","",IF(J1233&lt;&gt;"",J1233-A1233,TODAY()-A1233))</f>
        <v/>
      </c>
      <c r="N1233" s="18" t="str">
        <f aca="false">IF(A1233="","",IF(AND(OR(F1233="Bekliyor",F1233="Parça bekleniyor",F1233="Hazır"),M1233&gt;7),"7 günü geçti",""))</f>
        <v/>
      </c>
      <c r="O1233" s="18" t="str">
        <f aca="false">IF(AND(A1233&lt;&gt;"",OR(F1233="Bekliyor",F1233="Parça bekleniyor",F1233="Hazır")),A1233+ROW()/1000000,"")</f>
        <v/>
      </c>
    </row>
    <row r="1234" customFormat="false" ht="15" hidden="false" customHeight="false" outlineLevel="0" collapsed="false">
      <c r="A1234" s="12"/>
      <c r="B1234" s="13"/>
      <c r="C1234" s="13"/>
      <c r="D1234" s="13"/>
      <c r="E1234" s="13"/>
      <c r="F1234" s="14"/>
      <c r="G1234" s="15"/>
      <c r="H1234" s="15"/>
      <c r="I1234" s="15"/>
      <c r="J1234" s="12"/>
      <c r="K1234" s="16" t="str">
        <f aca="false">IF(A1234="","",G1234+H1234)</f>
        <v/>
      </c>
      <c r="L1234" s="16" t="str">
        <f aca="false">IF(A1234="","",IF(F1234="İade edildi",0,K1234-I1234))</f>
        <v/>
      </c>
      <c r="M1234" s="17" t="str">
        <f aca="true">IF(A1234="","",IF(J1234&lt;&gt;"",J1234-A1234,TODAY()-A1234))</f>
        <v/>
      </c>
      <c r="N1234" s="18" t="str">
        <f aca="false">IF(A1234="","",IF(AND(OR(F1234="Bekliyor",F1234="Parça bekleniyor",F1234="Hazır"),M1234&gt;7),"7 günü geçti",""))</f>
        <v/>
      </c>
      <c r="O1234" s="18" t="str">
        <f aca="false">IF(AND(A1234&lt;&gt;"",OR(F1234="Bekliyor",F1234="Parça bekleniyor",F1234="Hazır")),A1234+ROW()/1000000,"")</f>
        <v/>
      </c>
    </row>
    <row r="1235" customFormat="false" ht="15" hidden="false" customHeight="false" outlineLevel="0" collapsed="false">
      <c r="A1235" s="12"/>
      <c r="B1235" s="13"/>
      <c r="C1235" s="13"/>
      <c r="D1235" s="13"/>
      <c r="E1235" s="13"/>
      <c r="F1235" s="14"/>
      <c r="G1235" s="15"/>
      <c r="H1235" s="15"/>
      <c r="I1235" s="15"/>
      <c r="J1235" s="12"/>
      <c r="K1235" s="16" t="str">
        <f aca="false">IF(A1235="","",G1235+H1235)</f>
        <v/>
      </c>
      <c r="L1235" s="16" t="str">
        <f aca="false">IF(A1235="","",IF(F1235="İade edildi",0,K1235-I1235))</f>
        <v/>
      </c>
      <c r="M1235" s="17" t="str">
        <f aca="true">IF(A1235="","",IF(J1235&lt;&gt;"",J1235-A1235,TODAY()-A1235))</f>
        <v/>
      </c>
      <c r="N1235" s="18" t="str">
        <f aca="false">IF(A1235="","",IF(AND(OR(F1235="Bekliyor",F1235="Parça bekleniyor",F1235="Hazır"),M1235&gt;7),"7 günü geçti",""))</f>
        <v/>
      </c>
      <c r="O1235" s="18" t="str">
        <f aca="false">IF(AND(A1235&lt;&gt;"",OR(F1235="Bekliyor",F1235="Parça bekleniyor",F1235="Hazır")),A1235+ROW()/1000000,"")</f>
        <v/>
      </c>
    </row>
    <row r="1236" customFormat="false" ht="15" hidden="false" customHeight="false" outlineLevel="0" collapsed="false">
      <c r="A1236" s="12"/>
      <c r="B1236" s="13"/>
      <c r="C1236" s="13"/>
      <c r="D1236" s="13"/>
      <c r="E1236" s="13"/>
      <c r="F1236" s="14"/>
      <c r="G1236" s="15"/>
      <c r="H1236" s="15"/>
      <c r="I1236" s="15"/>
      <c r="J1236" s="12"/>
      <c r="K1236" s="16" t="str">
        <f aca="false">IF(A1236="","",G1236+H1236)</f>
        <v/>
      </c>
      <c r="L1236" s="16" t="str">
        <f aca="false">IF(A1236="","",IF(F1236="İade edildi",0,K1236-I1236))</f>
        <v/>
      </c>
      <c r="M1236" s="17" t="str">
        <f aca="true">IF(A1236="","",IF(J1236&lt;&gt;"",J1236-A1236,TODAY()-A1236))</f>
        <v/>
      </c>
      <c r="N1236" s="18" t="str">
        <f aca="false">IF(A1236="","",IF(AND(OR(F1236="Bekliyor",F1236="Parça bekleniyor",F1236="Hazır"),M1236&gt;7),"7 günü geçti",""))</f>
        <v/>
      </c>
      <c r="O1236" s="18" t="str">
        <f aca="false">IF(AND(A1236&lt;&gt;"",OR(F1236="Bekliyor",F1236="Parça bekleniyor",F1236="Hazır")),A1236+ROW()/1000000,"")</f>
        <v/>
      </c>
    </row>
    <row r="1237" customFormat="false" ht="15" hidden="false" customHeight="false" outlineLevel="0" collapsed="false">
      <c r="A1237" s="12"/>
      <c r="B1237" s="13"/>
      <c r="C1237" s="13"/>
      <c r="D1237" s="13"/>
      <c r="E1237" s="13"/>
      <c r="F1237" s="14"/>
      <c r="G1237" s="15"/>
      <c r="H1237" s="15"/>
      <c r="I1237" s="15"/>
      <c r="J1237" s="12"/>
      <c r="K1237" s="16" t="str">
        <f aca="false">IF(A1237="","",G1237+H1237)</f>
        <v/>
      </c>
      <c r="L1237" s="16" t="str">
        <f aca="false">IF(A1237="","",IF(F1237="İade edildi",0,K1237-I1237))</f>
        <v/>
      </c>
      <c r="M1237" s="17" t="str">
        <f aca="true">IF(A1237="","",IF(J1237&lt;&gt;"",J1237-A1237,TODAY()-A1237))</f>
        <v/>
      </c>
      <c r="N1237" s="18" t="str">
        <f aca="false">IF(A1237="","",IF(AND(OR(F1237="Bekliyor",F1237="Parça bekleniyor",F1237="Hazır"),M1237&gt;7),"7 günü geçti",""))</f>
        <v/>
      </c>
      <c r="O1237" s="18" t="str">
        <f aca="false">IF(AND(A1237&lt;&gt;"",OR(F1237="Bekliyor",F1237="Parça bekleniyor",F1237="Hazır")),A1237+ROW()/1000000,"")</f>
        <v/>
      </c>
    </row>
    <row r="1238" customFormat="false" ht="15" hidden="false" customHeight="false" outlineLevel="0" collapsed="false">
      <c r="A1238" s="12"/>
      <c r="B1238" s="13"/>
      <c r="C1238" s="13"/>
      <c r="D1238" s="13"/>
      <c r="E1238" s="13"/>
      <c r="F1238" s="14"/>
      <c r="G1238" s="15"/>
      <c r="H1238" s="15"/>
      <c r="I1238" s="15"/>
      <c r="J1238" s="12"/>
      <c r="K1238" s="16" t="str">
        <f aca="false">IF(A1238="","",G1238+H1238)</f>
        <v/>
      </c>
      <c r="L1238" s="16" t="str">
        <f aca="false">IF(A1238="","",IF(F1238="İade edildi",0,K1238-I1238))</f>
        <v/>
      </c>
      <c r="M1238" s="17" t="str">
        <f aca="true">IF(A1238="","",IF(J1238&lt;&gt;"",J1238-A1238,TODAY()-A1238))</f>
        <v/>
      </c>
      <c r="N1238" s="18" t="str">
        <f aca="false">IF(A1238="","",IF(AND(OR(F1238="Bekliyor",F1238="Parça bekleniyor",F1238="Hazır"),M1238&gt;7),"7 günü geçti",""))</f>
        <v/>
      </c>
      <c r="O1238" s="18" t="str">
        <f aca="false">IF(AND(A1238&lt;&gt;"",OR(F1238="Bekliyor",F1238="Parça bekleniyor",F1238="Hazır")),A1238+ROW()/1000000,"")</f>
        <v/>
      </c>
    </row>
    <row r="1239" customFormat="false" ht="15" hidden="false" customHeight="false" outlineLevel="0" collapsed="false">
      <c r="A1239" s="12"/>
      <c r="B1239" s="13"/>
      <c r="C1239" s="13"/>
      <c r="D1239" s="13"/>
      <c r="E1239" s="13"/>
      <c r="F1239" s="14"/>
      <c r="G1239" s="15"/>
      <c r="H1239" s="15"/>
      <c r="I1239" s="15"/>
      <c r="J1239" s="12"/>
      <c r="K1239" s="16" t="str">
        <f aca="false">IF(A1239="","",G1239+H1239)</f>
        <v/>
      </c>
      <c r="L1239" s="16" t="str">
        <f aca="false">IF(A1239="","",IF(F1239="İade edildi",0,K1239-I1239))</f>
        <v/>
      </c>
      <c r="M1239" s="17" t="str">
        <f aca="true">IF(A1239="","",IF(J1239&lt;&gt;"",J1239-A1239,TODAY()-A1239))</f>
        <v/>
      </c>
      <c r="N1239" s="18" t="str">
        <f aca="false">IF(A1239="","",IF(AND(OR(F1239="Bekliyor",F1239="Parça bekleniyor",F1239="Hazır"),M1239&gt;7),"7 günü geçti",""))</f>
        <v/>
      </c>
      <c r="O1239" s="18" t="str">
        <f aca="false">IF(AND(A1239&lt;&gt;"",OR(F1239="Bekliyor",F1239="Parça bekleniyor",F1239="Hazır")),A1239+ROW()/1000000,"")</f>
        <v/>
      </c>
    </row>
    <row r="1240" customFormat="false" ht="15" hidden="false" customHeight="false" outlineLevel="0" collapsed="false">
      <c r="A1240" s="12"/>
      <c r="B1240" s="13"/>
      <c r="C1240" s="13"/>
      <c r="D1240" s="13"/>
      <c r="E1240" s="13"/>
      <c r="F1240" s="14"/>
      <c r="G1240" s="15"/>
      <c r="H1240" s="15"/>
      <c r="I1240" s="15"/>
      <c r="J1240" s="12"/>
      <c r="K1240" s="16" t="str">
        <f aca="false">IF(A1240="","",G1240+H1240)</f>
        <v/>
      </c>
      <c r="L1240" s="16" t="str">
        <f aca="false">IF(A1240="","",IF(F1240="İade edildi",0,K1240-I1240))</f>
        <v/>
      </c>
      <c r="M1240" s="17" t="str">
        <f aca="true">IF(A1240="","",IF(J1240&lt;&gt;"",J1240-A1240,TODAY()-A1240))</f>
        <v/>
      </c>
      <c r="N1240" s="18" t="str">
        <f aca="false">IF(A1240="","",IF(AND(OR(F1240="Bekliyor",F1240="Parça bekleniyor",F1240="Hazır"),M1240&gt;7),"7 günü geçti",""))</f>
        <v/>
      </c>
      <c r="O1240" s="18" t="str">
        <f aca="false">IF(AND(A1240&lt;&gt;"",OR(F1240="Bekliyor",F1240="Parça bekleniyor",F1240="Hazır")),A1240+ROW()/1000000,"")</f>
        <v/>
      </c>
    </row>
    <row r="1241" customFormat="false" ht="15" hidden="false" customHeight="false" outlineLevel="0" collapsed="false">
      <c r="A1241" s="12"/>
      <c r="B1241" s="13"/>
      <c r="C1241" s="13"/>
      <c r="D1241" s="13"/>
      <c r="E1241" s="13"/>
      <c r="F1241" s="14"/>
      <c r="G1241" s="15"/>
      <c r="H1241" s="15"/>
      <c r="I1241" s="15"/>
      <c r="J1241" s="12"/>
      <c r="K1241" s="16" t="str">
        <f aca="false">IF(A1241="","",G1241+H1241)</f>
        <v/>
      </c>
      <c r="L1241" s="16" t="str">
        <f aca="false">IF(A1241="","",IF(F1241="İade edildi",0,K1241-I1241))</f>
        <v/>
      </c>
      <c r="M1241" s="17" t="str">
        <f aca="true">IF(A1241="","",IF(J1241&lt;&gt;"",J1241-A1241,TODAY()-A1241))</f>
        <v/>
      </c>
      <c r="N1241" s="18" t="str">
        <f aca="false">IF(A1241="","",IF(AND(OR(F1241="Bekliyor",F1241="Parça bekleniyor",F1241="Hazır"),M1241&gt;7),"7 günü geçti",""))</f>
        <v/>
      </c>
      <c r="O1241" s="18" t="str">
        <f aca="false">IF(AND(A1241&lt;&gt;"",OR(F1241="Bekliyor",F1241="Parça bekleniyor",F1241="Hazır")),A1241+ROW()/1000000,"")</f>
        <v/>
      </c>
    </row>
    <row r="1242" customFormat="false" ht="15" hidden="false" customHeight="false" outlineLevel="0" collapsed="false">
      <c r="A1242" s="12"/>
      <c r="B1242" s="13"/>
      <c r="C1242" s="13"/>
      <c r="D1242" s="13"/>
      <c r="E1242" s="13"/>
      <c r="F1242" s="14"/>
      <c r="G1242" s="15"/>
      <c r="H1242" s="15"/>
      <c r="I1242" s="15"/>
      <c r="J1242" s="12"/>
      <c r="K1242" s="16" t="str">
        <f aca="false">IF(A1242="","",G1242+H1242)</f>
        <v/>
      </c>
      <c r="L1242" s="16" t="str">
        <f aca="false">IF(A1242="","",IF(F1242="İade edildi",0,K1242-I1242))</f>
        <v/>
      </c>
      <c r="M1242" s="17" t="str">
        <f aca="true">IF(A1242="","",IF(J1242&lt;&gt;"",J1242-A1242,TODAY()-A1242))</f>
        <v/>
      </c>
      <c r="N1242" s="18" t="str">
        <f aca="false">IF(A1242="","",IF(AND(OR(F1242="Bekliyor",F1242="Parça bekleniyor",F1242="Hazır"),M1242&gt;7),"7 günü geçti",""))</f>
        <v/>
      </c>
      <c r="O1242" s="18" t="str">
        <f aca="false">IF(AND(A1242&lt;&gt;"",OR(F1242="Bekliyor",F1242="Parça bekleniyor",F1242="Hazır")),A1242+ROW()/1000000,"")</f>
        <v/>
      </c>
    </row>
    <row r="1243" customFormat="false" ht="15" hidden="false" customHeight="false" outlineLevel="0" collapsed="false">
      <c r="A1243" s="12"/>
      <c r="B1243" s="13"/>
      <c r="C1243" s="13"/>
      <c r="D1243" s="13"/>
      <c r="E1243" s="13"/>
      <c r="F1243" s="14"/>
      <c r="G1243" s="15"/>
      <c r="H1243" s="15"/>
      <c r="I1243" s="15"/>
      <c r="J1243" s="12"/>
      <c r="K1243" s="16" t="str">
        <f aca="false">IF(A1243="","",G1243+H1243)</f>
        <v/>
      </c>
      <c r="L1243" s="16" t="str">
        <f aca="false">IF(A1243="","",IF(F1243="İade edildi",0,K1243-I1243))</f>
        <v/>
      </c>
      <c r="M1243" s="17" t="str">
        <f aca="true">IF(A1243="","",IF(J1243&lt;&gt;"",J1243-A1243,TODAY()-A1243))</f>
        <v/>
      </c>
      <c r="N1243" s="18" t="str">
        <f aca="false">IF(A1243="","",IF(AND(OR(F1243="Bekliyor",F1243="Parça bekleniyor",F1243="Hazır"),M1243&gt;7),"7 günü geçti",""))</f>
        <v/>
      </c>
      <c r="O1243" s="18" t="str">
        <f aca="false">IF(AND(A1243&lt;&gt;"",OR(F1243="Bekliyor",F1243="Parça bekleniyor",F1243="Hazır")),A1243+ROW()/1000000,"")</f>
        <v/>
      </c>
    </row>
    <row r="1244" customFormat="false" ht="15" hidden="false" customHeight="false" outlineLevel="0" collapsed="false">
      <c r="A1244" s="12"/>
      <c r="B1244" s="13"/>
      <c r="C1244" s="13"/>
      <c r="D1244" s="13"/>
      <c r="E1244" s="13"/>
      <c r="F1244" s="14"/>
      <c r="G1244" s="15"/>
      <c r="H1244" s="15"/>
      <c r="I1244" s="15"/>
      <c r="J1244" s="12"/>
      <c r="K1244" s="16" t="str">
        <f aca="false">IF(A1244="","",G1244+H1244)</f>
        <v/>
      </c>
      <c r="L1244" s="16" t="str">
        <f aca="false">IF(A1244="","",IF(F1244="İade edildi",0,K1244-I1244))</f>
        <v/>
      </c>
      <c r="M1244" s="17" t="str">
        <f aca="true">IF(A1244="","",IF(J1244&lt;&gt;"",J1244-A1244,TODAY()-A1244))</f>
        <v/>
      </c>
      <c r="N1244" s="18" t="str">
        <f aca="false">IF(A1244="","",IF(AND(OR(F1244="Bekliyor",F1244="Parça bekleniyor",F1244="Hazır"),M1244&gt;7),"7 günü geçti",""))</f>
        <v/>
      </c>
      <c r="O1244" s="18" t="str">
        <f aca="false">IF(AND(A1244&lt;&gt;"",OR(F1244="Bekliyor",F1244="Parça bekleniyor",F1244="Hazır")),A1244+ROW()/1000000,"")</f>
        <v/>
      </c>
    </row>
    <row r="1245" customFormat="false" ht="15" hidden="false" customHeight="false" outlineLevel="0" collapsed="false">
      <c r="A1245" s="12"/>
      <c r="B1245" s="13"/>
      <c r="C1245" s="13"/>
      <c r="D1245" s="13"/>
      <c r="E1245" s="13"/>
      <c r="F1245" s="14"/>
      <c r="G1245" s="15"/>
      <c r="H1245" s="15"/>
      <c r="I1245" s="15"/>
      <c r="J1245" s="12"/>
      <c r="K1245" s="16" t="str">
        <f aca="false">IF(A1245="","",G1245+H1245)</f>
        <v/>
      </c>
      <c r="L1245" s="16" t="str">
        <f aca="false">IF(A1245="","",IF(F1245="İade edildi",0,K1245-I1245))</f>
        <v/>
      </c>
      <c r="M1245" s="17" t="str">
        <f aca="true">IF(A1245="","",IF(J1245&lt;&gt;"",J1245-A1245,TODAY()-A1245))</f>
        <v/>
      </c>
      <c r="N1245" s="18" t="str">
        <f aca="false">IF(A1245="","",IF(AND(OR(F1245="Bekliyor",F1245="Parça bekleniyor",F1245="Hazır"),M1245&gt;7),"7 günü geçti",""))</f>
        <v/>
      </c>
      <c r="O1245" s="18" t="str">
        <f aca="false">IF(AND(A1245&lt;&gt;"",OR(F1245="Bekliyor",F1245="Parça bekleniyor",F1245="Hazır")),A1245+ROW()/1000000,"")</f>
        <v/>
      </c>
    </row>
    <row r="1246" customFormat="false" ht="15" hidden="false" customHeight="false" outlineLevel="0" collapsed="false">
      <c r="A1246" s="12"/>
      <c r="B1246" s="13"/>
      <c r="C1246" s="13"/>
      <c r="D1246" s="13"/>
      <c r="E1246" s="13"/>
      <c r="F1246" s="14"/>
      <c r="G1246" s="15"/>
      <c r="H1246" s="15"/>
      <c r="I1246" s="15"/>
      <c r="J1246" s="12"/>
      <c r="K1246" s="16" t="str">
        <f aca="false">IF(A1246="","",G1246+H1246)</f>
        <v/>
      </c>
      <c r="L1246" s="16" t="str">
        <f aca="false">IF(A1246="","",IF(F1246="İade edildi",0,K1246-I1246))</f>
        <v/>
      </c>
      <c r="M1246" s="17" t="str">
        <f aca="true">IF(A1246="","",IF(J1246&lt;&gt;"",J1246-A1246,TODAY()-A1246))</f>
        <v/>
      </c>
      <c r="N1246" s="18" t="str">
        <f aca="false">IF(A1246="","",IF(AND(OR(F1246="Bekliyor",F1246="Parça bekleniyor",F1246="Hazır"),M1246&gt;7),"7 günü geçti",""))</f>
        <v/>
      </c>
      <c r="O1246" s="18" t="str">
        <f aca="false">IF(AND(A1246&lt;&gt;"",OR(F1246="Bekliyor",F1246="Parça bekleniyor",F1246="Hazır")),A1246+ROW()/1000000,"")</f>
        <v/>
      </c>
    </row>
    <row r="1247" customFormat="false" ht="15" hidden="false" customHeight="false" outlineLevel="0" collapsed="false">
      <c r="A1247" s="12"/>
      <c r="B1247" s="13"/>
      <c r="C1247" s="13"/>
      <c r="D1247" s="13"/>
      <c r="E1247" s="13"/>
      <c r="F1247" s="14"/>
      <c r="G1247" s="15"/>
      <c r="H1247" s="15"/>
      <c r="I1247" s="15"/>
      <c r="J1247" s="12"/>
      <c r="K1247" s="16" t="str">
        <f aca="false">IF(A1247="","",G1247+H1247)</f>
        <v/>
      </c>
      <c r="L1247" s="16" t="str">
        <f aca="false">IF(A1247="","",IF(F1247="İade edildi",0,K1247-I1247))</f>
        <v/>
      </c>
      <c r="M1247" s="17" t="str">
        <f aca="true">IF(A1247="","",IF(J1247&lt;&gt;"",J1247-A1247,TODAY()-A1247))</f>
        <v/>
      </c>
      <c r="N1247" s="18" t="str">
        <f aca="false">IF(A1247="","",IF(AND(OR(F1247="Bekliyor",F1247="Parça bekleniyor",F1247="Hazır"),M1247&gt;7),"7 günü geçti",""))</f>
        <v/>
      </c>
      <c r="O1247" s="18" t="str">
        <f aca="false">IF(AND(A1247&lt;&gt;"",OR(F1247="Bekliyor",F1247="Parça bekleniyor",F1247="Hazır")),A1247+ROW()/1000000,"")</f>
        <v/>
      </c>
    </row>
    <row r="1248" customFormat="false" ht="15" hidden="false" customHeight="false" outlineLevel="0" collapsed="false">
      <c r="A1248" s="12"/>
      <c r="B1248" s="13"/>
      <c r="C1248" s="13"/>
      <c r="D1248" s="13"/>
      <c r="E1248" s="13"/>
      <c r="F1248" s="14"/>
      <c r="G1248" s="15"/>
      <c r="H1248" s="15"/>
      <c r="I1248" s="15"/>
      <c r="J1248" s="12"/>
      <c r="K1248" s="16" t="str">
        <f aca="false">IF(A1248="","",G1248+H1248)</f>
        <v/>
      </c>
      <c r="L1248" s="16" t="str">
        <f aca="false">IF(A1248="","",IF(F1248="İade edildi",0,K1248-I1248))</f>
        <v/>
      </c>
      <c r="M1248" s="17" t="str">
        <f aca="true">IF(A1248="","",IF(J1248&lt;&gt;"",J1248-A1248,TODAY()-A1248))</f>
        <v/>
      </c>
      <c r="N1248" s="18" t="str">
        <f aca="false">IF(A1248="","",IF(AND(OR(F1248="Bekliyor",F1248="Parça bekleniyor",F1248="Hazır"),M1248&gt;7),"7 günü geçti",""))</f>
        <v/>
      </c>
      <c r="O1248" s="18" t="str">
        <f aca="false">IF(AND(A1248&lt;&gt;"",OR(F1248="Bekliyor",F1248="Parça bekleniyor",F1248="Hazır")),A1248+ROW()/1000000,"")</f>
        <v/>
      </c>
    </row>
    <row r="1249" customFormat="false" ht="15" hidden="false" customHeight="false" outlineLevel="0" collapsed="false">
      <c r="A1249" s="12"/>
      <c r="B1249" s="13"/>
      <c r="C1249" s="13"/>
      <c r="D1249" s="13"/>
      <c r="E1249" s="13"/>
      <c r="F1249" s="14"/>
      <c r="G1249" s="15"/>
      <c r="H1249" s="15"/>
      <c r="I1249" s="15"/>
      <c r="J1249" s="12"/>
      <c r="K1249" s="16" t="str">
        <f aca="false">IF(A1249="","",G1249+H1249)</f>
        <v/>
      </c>
      <c r="L1249" s="16" t="str">
        <f aca="false">IF(A1249="","",IF(F1249="İade edildi",0,K1249-I1249))</f>
        <v/>
      </c>
      <c r="M1249" s="17" t="str">
        <f aca="true">IF(A1249="","",IF(J1249&lt;&gt;"",J1249-A1249,TODAY()-A1249))</f>
        <v/>
      </c>
      <c r="N1249" s="18" t="str">
        <f aca="false">IF(A1249="","",IF(AND(OR(F1249="Bekliyor",F1249="Parça bekleniyor",F1249="Hazır"),M1249&gt;7),"7 günü geçti",""))</f>
        <v/>
      </c>
      <c r="O1249" s="18" t="str">
        <f aca="false">IF(AND(A1249&lt;&gt;"",OR(F1249="Bekliyor",F1249="Parça bekleniyor",F1249="Hazır")),A1249+ROW()/1000000,"")</f>
        <v/>
      </c>
    </row>
    <row r="1250" customFormat="false" ht="15" hidden="false" customHeight="false" outlineLevel="0" collapsed="false">
      <c r="A1250" s="12"/>
      <c r="B1250" s="13"/>
      <c r="C1250" s="13"/>
      <c r="D1250" s="13"/>
      <c r="E1250" s="13"/>
      <c r="F1250" s="14"/>
      <c r="G1250" s="15"/>
      <c r="H1250" s="15"/>
      <c r="I1250" s="15"/>
      <c r="J1250" s="12"/>
      <c r="K1250" s="16" t="str">
        <f aca="false">IF(A1250="","",G1250+H1250)</f>
        <v/>
      </c>
      <c r="L1250" s="16" t="str">
        <f aca="false">IF(A1250="","",IF(F1250="İade edildi",0,K1250-I1250))</f>
        <v/>
      </c>
      <c r="M1250" s="17" t="str">
        <f aca="true">IF(A1250="","",IF(J1250&lt;&gt;"",J1250-A1250,TODAY()-A1250))</f>
        <v/>
      </c>
      <c r="N1250" s="18" t="str">
        <f aca="false">IF(A1250="","",IF(AND(OR(F1250="Bekliyor",F1250="Parça bekleniyor",F1250="Hazır"),M1250&gt;7),"7 günü geçti",""))</f>
        <v/>
      </c>
      <c r="O1250" s="18" t="str">
        <f aca="false">IF(AND(A1250&lt;&gt;"",OR(F1250="Bekliyor",F1250="Parça bekleniyor",F1250="Hazır")),A1250+ROW()/1000000,"")</f>
        <v/>
      </c>
    </row>
    <row r="1251" customFormat="false" ht="15" hidden="false" customHeight="false" outlineLevel="0" collapsed="false">
      <c r="A1251" s="12"/>
      <c r="B1251" s="13"/>
      <c r="C1251" s="13"/>
      <c r="D1251" s="13"/>
      <c r="E1251" s="13"/>
      <c r="F1251" s="14"/>
      <c r="G1251" s="15"/>
      <c r="H1251" s="15"/>
      <c r="I1251" s="15"/>
      <c r="J1251" s="12"/>
      <c r="K1251" s="16" t="str">
        <f aca="false">IF(A1251="","",G1251+H1251)</f>
        <v/>
      </c>
      <c r="L1251" s="16" t="str">
        <f aca="false">IF(A1251="","",IF(F1251="İade edildi",0,K1251-I1251))</f>
        <v/>
      </c>
      <c r="M1251" s="17" t="str">
        <f aca="true">IF(A1251="","",IF(J1251&lt;&gt;"",J1251-A1251,TODAY()-A1251))</f>
        <v/>
      </c>
      <c r="N1251" s="18" t="str">
        <f aca="false">IF(A1251="","",IF(AND(OR(F1251="Bekliyor",F1251="Parça bekleniyor",F1251="Hazır"),M1251&gt;7),"7 günü geçti",""))</f>
        <v/>
      </c>
      <c r="O1251" s="18" t="str">
        <f aca="false">IF(AND(A1251&lt;&gt;"",OR(F1251="Bekliyor",F1251="Parça bekleniyor",F1251="Hazır")),A1251+ROW()/1000000,"")</f>
        <v/>
      </c>
    </row>
    <row r="1252" customFormat="false" ht="15" hidden="false" customHeight="false" outlineLevel="0" collapsed="false">
      <c r="A1252" s="12"/>
      <c r="B1252" s="13"/>
      <c r="C1252" s="13"/>
      <c r="D1252" s="13"/>
      <c r="E1252" s="13"/>
      <c r="F1252" s="14"/>
      <c r="G1252" s="15"/>
      <c r="H1252" s="15"/>
      <c r="I1252" s="15"/>
      <c r="J1252" s="12"/>
      <c r="K1252" s="16" t="str">
        <f aca="false">IF(A1252="","",G1252+H1252)</f>
        <v/>
      </c>
      <c r="L1252" s="16" t="str">
        <f aca="false">IF(A1252="","",IF(F1252="İade edildi",0,K1252-I1252))</f>
        <v/>
      </c>
      <c r="M1252" s="17" t="str">
        <f aca="true">IF(A1252="","",IF(J1252&lt;&gt;"",J1252-A1252,TODAY()-A1252))</f>
        <v/>
      </c>
      <c r="N1252" s="18" t="str">
        <f aca="false">IF(A1252="","",IF(AND(OR(F1252="Bekliyor",F1252="Parça bekleniyor",F1252="Hazır"),M1252&gt;7),"7 günü geçti",""))</f>
        <v/>
      </c>
      <c r="O1252" s="18" t="str">
        <f aca="false">IF(AND(A1252&lt;&gt;"",OR(F1252="Bekliyor",F1252="Parça bekleniyor",F1252="Hazır")),A1252+ROW()/1000000,"")</f>
        <v/>
      </c>
    </row>
    <row r="1253" customFormat="false" ht="15" hidden="false" customHeight="false" outlineLevel="0" collapsed="false">
      <c r="A1253" s="12"/>
      <c r="B1253" s="13"/>
      <c r="C1253" s="13"/>
      <c r="D1253" s="13"/>
      <c r="E1253" s="13"/>
      <c r="F1253" s="14"/>
      <c r="G1253" s="15"/>
      <c r="H1253" s="15"/>
      <c r="I1253" s="15"/>
      <c r="J1253" s="12"/>
      <c r="K1253" s="16" t="str">
        <f aca="false">IF(A1253="","",G1253+H1253)</f>
        <v/>
      </c>
      <c r="L1253" s="16" t="str">
        <f aca="false">IF(A1253="","",IF(F1253="İade edildi",0,K1253-I1253))</f>
        <v/>
      </c>
      <c r="M1253" s="17" t="str">
        <f aca="true">IF(A1253="","",IF(J1253&lt;&gt;"",J1253-A1253,TODAY()-A1253))</f>
        <v/>
      </c>
      <c r="N1253" s="18" t="str">
        <f aca="false">IF(A1253="","",IF(AND(OR(F1253="Bekliyor",F1253="Parça bekleniyor",F1253="Hazır"),M1253&gt;7),"7 günü geçti",""))</f>
        <v/>
      </c>
      <c r="O1253" s="18" t="str">
        <f aca="false">IF(AND(A1253&lt;&gt;"",OR(F1253="Bekliyor",F1253="Parça bekleniyor",F1253="Hazır")),A1253+ROW()/1000000,"")</f>
        <v/>
      </c>
    </row>
    <row r="1254" customFormat="false" ht="15" hidden="false" customHeight="false" outlineLevel="0" collapsed="false">
      <c r="A1254" s="12"/>
      <c r="B1254" s="13"/>
      <c r="C1254" s="13"/>
      <c r="D1254" s="13"/>
      <c r="E1254" s="13"/>
      <c r="F1254" s="14"/>
      <c r="G1254" s="15"/>
      <c r="H1254" s="15"/>
      <c r="I1254" s="15"/>
      <c r="J1254" s="12"/>
      <c r="K1254" s="16" t="str">
        <f aca="false">IF(A1254="","",G1254+H1254)</f>
        <v/>
      </c>
      <c r="L1254" s="16" t="str">
        <f aca="false">IF(A1254="","",IF(F1254="İade edildi",0,K1254-I1254))</f>
        <v/>
      </c>
      <c r="M1254" s="17" t="str">
        <f aca="true">IF(A1254="","",IF(J1254&lt;&gt;"",J1254-A1254,TODAY()-A1254))</f>
        <v/>
      </c>
      <c r="N1254" s="18" t="str">
        <f aca="false">IF(A1254="","",IF(AND(OR(F1254="Bekliyor",F1254="Parça bekleniyor",F1254="Hazır"),M1254&gt;7),"7 günü geçti",""))</f>
        <v/>
      </c>
      <c r="O1254" s="18" t="str">
        <f aca="false">IF(AND(A1254&lt;&gt;"",OR(F1254="Bekliyor",F1254="Parça bekleniyor",F1254="Hazır")),A1254+ROW()/1000000,"")</f>
        <v/>
      </c>
    </row>
    <row r="1255" customFormat="false" ht="15" hidden="false" customHeight="false" outlineLevel="0" collapsed="false">
      <c r="A1255" s="12"/>
      <c r="B1255" s="13"/>
      <c r="C1255" s="13"/>
      <c r="D1255" s="13"/>
      <c r="E1255" s="13"/>
      <c r="F1255" s="14"/>
      <c r="G1255" s="15"/>
      <c r="H1255" s="15"/>
      <c r="I1255" s="15"/>
      <c r="J1255" s="12"/>
      <c r="K1255" s="16" t="str">
        <f aca="false">IF(A1255="","",G1255+H1255)</f>
        <v/>
      </c>
      <c r="L1255" s="16" t="str">
        <f aca="false">IF(A1255="","",IF(F1255="İade edildi",0,K1255-I1255))</f>
        <v/>
      </c>
      <c r="M1255" s="17" t="str">
        <f aca="true">IF(A1255="","",IF(J1255&lt;&gt;"",J1255-A1255,TODAY()-A1255))</f>
        <v/>
      </c>
      <c r="N1255" s="18" t="str">
        <f aca="false">IF(A1255="","",IF(AND(OR(F1255="Bekliyor",F1255="Parça bekleniyor",F1255="Hazır"),M1255&gt;7),"7 günü geçti",""))</f>
        <v/>
      </c>
      <c r="O1255" s="18" t="str">
        <f aca="false">IF(AND(A1255&lt;&gt;"",OR(F1255="Bekliyor",F1255="Parça bekleniyor",F1255="Hazır")),A1255+ROW()/1000000,"")</f>
        <v/>
      </c>
    </row>
    <row r="1256" customFormat="false" ht="15" hidden="false" customHeight="false" outlineLevel="0" collapsed="false">
      <c r="A1256" s="12"/>
      <c r="B1256" s="13"/>
      <c r="C1256" s="13"/>
      <c r="D1256" s="13"/>
      <c r="E1256" s="13"/>
      <c r="F1256" s="14"/>
      <c r="G1256" s="15"/>
      <c r="H1256" s="15"/>
      <c r="I1256" s="15"/>
      <c r="J1256" s="12"/>
      <c r="K1256" s="16" t="str">
        <f aca="false">IF(A1256="","",G1256+H1256)</f>
        <v/>
      </c>
      <c r="L1256" s="16" t="str">
        <f aca="false">IF(A1256="","",IF(F1256="İade edildi",0,K1256-I1256))</f>
        <v/>
      </c>
      <c r="M1256" s="17" t="str">
        <f aca="true">IF(A1256="","",IF(J1256&lt;&gt;"",J1256-A1256,TODAY()-A1256))</f>
        <v/>
      </c>
      <c r="N1256" s="18" t="str">
        <f aca="false">IF(A1256="","",IF(AND(OR(F1256="Bekliyor",F1256="Parça bekleniyor",F1256="Hazır"),M1256&gt;7),"7 günü geçti",""))</f>
        <v/>
      </c>
      <c r="O1256" s="18" t="str">
        <f aca="false">IF(AND(A1256&lt;&gt;"",OR(F1256="Bekliyor",F1256="Parça bekleniyor",F1256="Hazır")),A1256+ROW()/1000000,"")</f>
        <v/>
      </c>
    </row>
    <row r="1257" customFormat="false" ht="15" hidden="false" customHeight="false" outlineLevel="0" collapsed="false">
      <c r="A1257" s="12"/>
      <c r="B1257" s="13"/>
      <c r="C1257" s="13"/>
      <c r="D1257" s="13"/>
      <c r="E1257" s="13"/>
      <c r="F1257" s="14"/>
      <c r="G1257" s="15"/>
      <c r="H1257" s="15"/>
      <c r="I1257" s="15"/>
      <c r="J1257" s="12"/>
      <c r="K1257" s="16" t="str">
        <f aca="false">IF(A1257="","",G1257+H1257)</f>
        <v/>
      </c>
      <c r="L1257" s="16" t="str">
        <f aca="false">IF(A1257="","",IF(F1257="İade edildi",0,K1257-I1257))</f>
        <v/>
      </c>
      <c r="M1257" s="17" t="str">
        <f aca="true">IF(A1257="","",IF(J1257&lt;&gt;"",J1257-A1257,TODAY()-A1257))</f>
        <v/>
      </c>
      <c r="N1257" s="18" t="str">
        <f aca="false">IF(A1257="","",IF(AND(OR(F1257="Bekliyor",F1257="Parça bekleniyor",F1257="Hazır"),M1257&gt;7),"7 günü geçti",""))</f>
        <v/>
      </c>
      <c r="O1257" s="18" t="str">
        <f aca="false">IF(AND(A1257&lt;&gt;"",OR(F1257="Bekliyor",F1257="Parça bekleniyor",F1257="Hazır")),A1257+ROW()/1000000,"")</f>
        <v/>
      </c>
    </row>
    <row r="1258" customFormat="false" ht="15" hidden="false" customHeight="false" outlineLevel="0" collapsed="false">
      <c r="A1258" s="12"/>
      <c r="B1258" s="13"/>
      <c r="C1258" s="13"/>
      <c r="D1258" s="13"/>
      <c r="E1258" s="13"/>
      <c r="F1258" s="14"/>
      <c r="G1258" s="15"/>
      <c r="H1258" s="15"/>
      <c r="I1258" s="15"/>
      <c r="J1258" s="12"/>
      <c r="K1258" s="16" t="str">
        <f aca="false">IF(A1258="","",G1258+H1258)</f>
        <v/>
      </c>
      <c r="L1258" s="16" t="str">
        <f aca="false">IF(A1258="","",IF(F1258="İade edildi",0,K1258-I1258))</f>
        <v/>
      </c>
      <c r="M1258" s="17" t="str">
        <f aca="true">IF(A1258="","",IF(J1258&lt;&gt;"",J1258-A1258,TODAY()-A1258))</f>
        <v/>
      </c>
      <c r="N1258" s="18" t="str">
        <f aca="false">IF(A1258="","",IF(AND(OR(F1258="Bekliyor",F1258="Parça bekleniyor",F1258="Hazır"),M1258&gt;7),"7 günü geçti",""))</f>
        <v/>
      </c>
      <c r="O1258" s="18" t="str">
        <f aca="false">IF(AND(A1258&lt;&gt;"",OR(F1258="Bekliyor",F1258="Parça bekleniyor",F1258="Hazır")),A1258+ROW()/1000000,"")</f>
        <v/>
      </c>
    </row>
    <row r="1259" customFormat="false" ht="15" hidden="false" customHeight="false" outlineLevel="0" collapsed="false">
      <c r="A1259" s="12"/>
      <c r="B1259" s="13"/>
      <c r="C1259" s="13"/>
      <c r="D1259" s="13"/>
      <c r="E1259" s="13"/>
      <c r="F1259" s="14"/>
      <c r="G1259" s="15"/>
      <c r="H1259" s="15"/>
      <c r="I1259" s="15"/>
      <c r="J1259" s="12"/>
      <c r="K1259" s="16" t="str">
        <f aca="false">IF(A1259="","",G1259+H1259)</f>
        <v/>
      </c>
      <c r="L1259" s="16" t="str">
        <f aca="false">IF(A1259="","",IF(F1259="İade edildi",0,K1259-I1259))</f>
        <v/>
      </c>
      <c r="M1259" s="17" t="str">
        <f aca="true">IF(A1259="","",IF(J1259&lt;&gt;"",J1259-A1259,TODAY()-A1259))</f>
        <v/>
      </c>
      <c r="N1259" s="18" t="str">
        <f aca="false">IF(A1259="","",IF(AND(OR(F1259="Bekliyor",F1259="Parça bekleniyor",F1259="Hazır"),M1259&gt;7),"7 günü geçti",""))</f>
        <v/>
      </c>
      <c r="O1259" s="18" t="str">
        <f aca="false">IF(AND(A1259&lt;&gt;"",OR(F1259="Bekliyor",F1259="Parça bekleniyor",F1259="Hazır")),A1259+ROW()/1000000,"")</f>
        <v/>
      </c>
    </row>
    <row r="1260" customFormat="false" ht="15" hidden="false" customHeight="false" outlineLevel="0" collapsed="false">
      <c r="A1260" s="12"/>
      <c r="B1260" s="13"/>
      <c r="C1260" s="13"/>
      <c r="D1260" s="13"/>
      <c r="E1260" s="13"/>
      <c r="F1260" s="14"/>
      <c r="G1260" s="15"/>
      <c r="H1260" s="15"/>
      <c r="I1260" s="15"/>
      <c r="J1260" s="12"/>
      <c r="K1260" s="16" t="str">
        <f aca="false">IF(A1260="","",G1260+H1260)</f>
        <v/>
      </c>
      <c r="L1260" s="16" t="str">
        <f aca="false">IF(A1260="","",IF(F1260="İade edildi",0,K1260-I1260))</f>
        <v/>
      </c>
      <c r="M1260" s="17" t="str">
        <f aca="true">IF(A1260="","",IF(J1260&lt;&gt;"",J1260-A1260,TODAY()-A1260))</f>
        <v/>
      </c>
      <c r="N1260" s="18" t="str">
        <f aca="false">IF(A1260="","",IF(AND(OR(F1260="Bekliyor",F1260="Parça bekleniyor",F1260="Hazır"),M1260&gt;7),"7 günü geçti",""))</f>
        <v/>
      </c>
      <c r="O1260" s="18" t="str">
        <f aca="false">IF(AND(A1260&lt;&gt;"",OR(F1260="Bekliyor",F1260="Parça bekleniyor",F1260="Hazır")),A1260+ROW()/1000000,"")</f>
        <v/>
      </c>
    </row>
    <row r="1261" customFormat="false" ht="15" hidden="false" customHeight="false" outlineLevel="0" collapsed="false">
      <c r="A1261" s="12"/>
      <c r="B1261" s="13"/>
      <c r="C1261" s="13"/>
      <c r="D1261" s="13"/>
      <c r="E1261" s="13"/>
      <c r="F1261" s="14"/>
      <c r="G1261" s="15"/>
      <c r="H1261" s="15"/>
      <c r="I1261" s="15"/>
      <c r="J1261" s="12"/>
      <c r="K1261" s="16" t="str">
        <f aca="false">IF(A1261="","",G1261+H1261)</f>
        <v/>
      </c>
      <c r="L1261" s="16" t="str">
        <f aca="false">IF(A1261="","",IF(F1261="İade edildi",0,K1261-I1261))</f>
        <v/>
      </c>
      <c r="M1261" s="17" t="str">
        <f aca="true">IF(A1261="","",IF(J1261&lt;&gt;"",J1261-A1261,TODAY()-A1261))</f>
        <v/>
      </c>
      <c r="N1261" s="18" t="str">
        <f aca="false">IF(A1261="","",IF(AND(OR(F1261="Bekliyor",F1261="Parça bekleniyor",F1261="Hazır"),M1261&gt;7),"7 günü geçti",""))</f>
        <v/>
      </c>
      <c r="O1261" s="18" t="str">
        <f aca="false">IF(AND(A1261&lt;&gt;"",OR(F1261="Bekliyor",F1261="Parça bekleniyor",F1261="Hazır")),A1261+ROW()/1000000,"")</f>
        <v/>
      </c>
    </row>
    <row r="1262" customFormat="false" ht="15" hidden="false" customHeight="false" outlineLevel="0" collapsed="false">
      <c r="A1262" s="12"/>
      <c r="B1262" s="13"/>
      <c r="C1262" s="13"/>
      <c r="D1262" s="13"/>
      <c r="E1262" s="13"/>
      <c r="F1262" s="14"/>
      <c r="G1262" s="15"/>
      <c r="H1262" s="15"/>
      <c r="I1262" s="15"/>
      <c r="J1262" s="12"/>
      <c r="K1262" s="16" t="str">
        <f aca="false">IF(A1262="","",G1262+H1262)</f>
        <v/>
      </c>
      <c r="L1262" s="16" t="str">
        <f aca="false">IF(A1262="","",IF(F1262="İade edildi",0,K1262-I1262))</f>
        <v/>
      </c>
      <c r="M1262" s="17" t="str">
        <f aca="true">IF(A1262="","",IF(J1262&lt;&gt;"",J1262-A1262,TODAY()-A1262))</f>
        <v/>
      </c>
      <c r="N1262" s="18" t="str">
        <f aca="false">IF(A1262="","",IF(AND(OR(F1262="Bekliyor",F1262="Parça bekleniyor",F1262="Hazır"),M1262&gt;7),"7 günü geçti",""))</f>
        <v/>
      </c>
      <c r="O1262" s="18" t="str">
        <f aca="false">IF(AND(A1262&lt;&gt;"",OR(F1262="Bekliyor",F1262="Parça bekleniyor",F1262="Hazır")),A1262+ROW()/1000000,"")</f>
        <v/>
      </c>
    </row>
    <row r="1263" customFormat="false" ht="15" hidden="false" customHeight="false" outlineLevel="0" collapsed="false">
      <c r="A1263" s="12"/>
      <c r="B1263" s="13"/>
      <c r="C1263" s="13"/>
      <c r="D1263" s="13"/>
      <c r="E1263" s="13"/>
      <c r="F1263" s="14"/>
      <c r="G1263" s="15"/>
      <c r="H1263" s="15"/>
      <c r="I1263" s="15"/>
      <c r="J1263" s="12"/>
      <c r="K1263" s="16" t="str">
        <f aca="false">IF(A1263="","",G1263+H1263)</f>
        <v/>
      </c>
      <c r="L1263" s="16" t="str">
        <f aca="false">IF(A1263="","",IF(F1263="İade edildi",0,K1263-I1263))</f>
        <v/>
      </c>
      <c r="M1263" s="17" t="str">
        <f aca="true">IF(A1263="","",IF(J1263&lt;&gt;"",J1263-A1263,TODAY()-A1263))</f>
        <v/>
      </c>
      <c r="N1263" s="18" t="str">
        <f aca="false">IF(A1263="","",IF(AND(OR(F1263="Bekliyor",F1263="Parça bekleniyor",F1263="Hazır"),M1263&gt;7),"7 günü geçti",""))</f>
        <v/>
      </c>
      <c r="O1263" s="18" t="str">
        <f aca="false">IF(AND(A1263&lt;&gt;"",OR(F1263="Bekliyor",F1263="Parça bekleniyor",F1263="Hazır")),A1263+ROW()/1000000,"")</f>
        <v/>
      </c>
    </row>
    <row r="1264" customFormat="false" ht="15" hidden="false" customHeight="false" outlineLevel="0" collapsed="false">
      <c r="A1264" s="12"/>
      <c r="B1264" s="13"/>
      <c r="C1264" s="13"/>
      <c r="D1264" s="13"/>
      <c r="E1264" s="13"/>
      <c r="F1264" s="14"/>
      <c r="G1264" s="15"/>
      <c r="H1264" s="15"/>
      <c r="I1264" s="15"/>
      <c r="J1264" s="12"/>
      <c r="K1264" s="16" t="str">
        <f aca="false">IF(A1264="","",G1264+H1264)</f>
        <v/>
      </c>
      <c r="L1264" s="16" t="str">
        <f aca="false">IF(A1264="","",IF(F1264="İade edildi",0,K1264-I1264))</f>
        <v/>
      </c>
      <c r="M1264" s="17" t="str">
        <f aca="true">IF(A1264="","",IF(J1264&lt;&gt;"",J1264-A1264,TODAY()-A1264))</f>
        <v/>
      </c>
      <c r="N1264" s="18" t="str">
        <f aca="false">IF(A1264="","",IF(AND(OR(F1264="Bekliyor",F1264="Parça bekleniyor",F1264="Hazır"),M1264&gt;7),"7 günü geçti",""))</f>
        <v/>
      </c>
      <c r="O1264" s="18" t="str">
        <f aca="false">IF(AND(A1264&lt;&gt;"",OR(F1264="Bekliyor",F1264="Parça bekleniyor",F1264="Hazır")),A1264+ROW()/1000000,"")</f>
        <v/>
      </c>
    </row>
    <row r="1265" customFormat="false" ht="15" hidden="false" customHeight="false" outlineLevel="0" collapsed="false">
      <c r="A1265" s="12"/>
      <c r="B1265" s="13"/>
      <c r="C1265" s="13"/>
      <c r="D1265" s="13"/>
      <c r="E1265" s="13"/>
      <c r="F1265" s="14"/>
      <c r="G1265" s="15"/>
      <c r="H1265" s="15"/>
      <c r="I1265" s="15"/>
      <c r="J1265" s="12"/>
      <c r="K1265" s="16" t="str">
        <f aca="false">IF(A1265="","",G1265+H1265)</f>
        <v/>
      </c>
      <c r="L1265" s="16" t="str">
        <f aca="false">IF(A1265="","",IF(F1265="İade edildi",0,K1265-I1265))</f>
        <v/>
      </c>
      <c r="M1265" s="17" t="str">
        <f aca="true">IF(A1265="","",IF(J1265&lt;&gt;"",J1265-A1265,TODAY()-A1265))</f>
        <v/>
      </c>
      <c r="N1265" s="18" t="str">
        <f aca="false">IF(A1265="","",IF(AND(OR(F1265="Bekliyor",F1265="Parça bekleniyor",F1265="Hazır"),M1265&gt;7),"7 günü geçti",""))</f>
        <v/>
      </c>
      <c r="O1265" s="18" t="str">
        <f aca="false">IF(AND(A1265&lt;&gt;"",OR(F1265="Bekliyor",F1265="Parça bekleniyor",F1265="Hazır")),A1265+ROW()/1000000,"")</f>
        <v/>
      </c>
    </row>
    <row r="1266" customFormat="false" ht="15" hidden="false" customHeight="false" outlineLevel="0" collapsed="false">
      <c r="A1266" s="12"/>
      <c r="B1266" s="13"/>
      <c r="C1266" s="13"/>
      <c r="D1266" s="13"/>
      <c r="E1266" s="13"/>
      <c r="F1266" s="14"/>
      <c r="G1266" s="15"/>
      <c r="H1266" s="15"/>
      <c r="I1266" s="15"/>
      <c r="J1266" s="12"/>
      <c r="K1266" s="16" t="str">
        <f aca="false">IF(A1266="","",G1266+H1266)</f>
        <v/>
      </c>
      <c r="L1266" s="16" t="str">
        <f aca="false">IF(A1266="","",IF(F1266="İade edildi",0,K1266-I1266))</f>
        <v/>
      </c>
      <c r="M1266" s="17" t="str">
        <f aca="true">IF(A1266="","",IF(J1266&lt;&gt;"",J1266-A1266,TODAY()-A1266))</f>
        <v/>
      </c>
      <c r="N1266" s="18" t="str">
        <f aca="false">IF(A1266="","",IF(AND(OR(F1266="Bekliyor",F1266="Parça bekleniyor",F1266="Hazır"),M1266&gt;7),"7 günü geçti",""))</f>
        <v/>
      </c>
      <c r="O1266" s="18" t="str">
        <f aca="false">IF(AND(A1266&lt;&gt;"",OR(F1266="Bekliyor",F1266="Parça bekleniyor",F1266="Hazır")),A1266+ROW()/1000000,"")</f>
        <v/>
      </c>
    </row>
    <row r="1267" customFormat="false" ht="15" hidden="false" customHeight="false" outlineLevel="0" collapsed="false">
      <c r="A1267" s="12"/>
      <c r="B1267" s="13"/>
      <c r="C1267" s="13"/>
      <c r="D1267" s="13"/>
      <c r="E1267" s="13"/>
      <c r="F1267" s="14"/>
      <c r="G1267" s="15"/>
      <c r="H1267" s="15"/>
      <c r="I1267" s="15"/>
      <c r="J1267" s="12"/>
      <c r="K1267" s="16" t="str">
        <f aca="false">IF(A1267="","",G1267+H1267)</f>
        <v/>
      </c>
      <c r="L1267" s="16" t="str">
        <f aca="false">IF(A1267="","",IF(F1267="İade edildi",0,K1267-I1267))</f>
        <v/>
      </c>
      <c r="M1267" s="17" t="str">
        <f aca="true">IF(A1267="","",IF(J1267&lt;&gt;"",J1267-A1267,TODAY()-A1267))</f>
        <v/>
      </c>
      <c r="N1267" s="18" t="str">
        <f aca="false">IF(A1267="","",IF(AND(OR(F1267="Bekliyor",F1267="Parça bekleniyor",F1267="Hazır"),M1267&gt;7),"7 günü geçti",""))</f>
        <v/>
      </c>
      <c r="O1267" s="18" t="str">
        <f aca="false">IF(AND(A1267&lt;&gt;"",OR(F1267="Bekliyor",F1267="Parça bekleniyor",F1267="Hazır")),A1267+ROW()/1000000,"")</f>
        <v/>
      </c>
    </row>
    <row r="1268" customFormat="false" ht="15" hidden="false" customHeight="false" outlineLevel="0" collapsed="false">
      <c r="A1268" s="12"/>
      <c r="B1268" s="13"/>
      <c r="C1268" s="13"/>
      <c r="D1268" s="13"/>
      <c r="E1268" s="13"/>
      <c r="F1268" s="14"/>
      <c r="G1268" s="15"/>
      <c r="H1268" s="15"/>
      <c r="I1268" s="15"/>
      <c r="J1268" s="12"/>
      <c r="K1268" s="16" t="str">
        <f aca="false">IF(A1268="","",G1268+H1268)</f>
        <v/>
      </c>
      <c r="L1268" s="16" t="str">
        <f aca="false">IF(A1268="","",IF(F1268="İade edildi",0,K1268-I1268))</f>
        <v/>
      </c>
      <c r="M1268" s="17" t="str">
        <f aca="true">IF(A1268="","",IF(J1268&lt;&gt;"",J1268-A1268,TODAY()-A1268))</f>
        <v/>
      </c>
      <c r="N1268" s="18" t="str">
        <f aca="false">IF(A1268="","",IF(AND(OR(F1268="Bekliyor",F1268="Parça bekleniyor",F1268="Hazır"),M1268&gt;7),"7 günü geçti",""))</f>
        <v/>
      </c>
      <c r="O1268" s="18" t="str">
        <f aca="false">IF(AND(A1268&lt;&gt;"",OR(F1268="Bekliyor",F1268="Parça bekleniyor",F1268="Hazır")),A1268+ROW()/1000000,"")</f>
        <v/>
      </c>
    </row>
    <row r="1269" customFormat="false" ht="15" hidden="false" customHeight="false" outlineLevel="0" collapsed="false">
      <c r="A1269" s="12"/>
      <c r="B1269" s="13"/>
      <c r="C1269" s="13"/>
      <c r="D1269" s="13"/>
      <c r="E1269" s="13"/>
      <c r="F1269" s="14"/>
      <c r="G1269" s="15"/>
      <c r="H1269" s="15"/>
      <c r="I1269" s="15"/>
      <c r="J1269" s="12"/>
      <c r="K1269" s="16" t="str">
        <f aca="false">IF(A1269="","",G1269+H1269)</f>
        <v/>
      </c>
      <c r="L1269" s="16" t="str">
        <f aca="false">IF(A1269="","",IF(F1269="İade edildi",0,K1269-I1269))</f>
        <v/>
      </c>
      <c r="M1269" s="17" t="str">
        <f aca="true">IF(A1269="","",IF(J1269&lt;&gt;"",J1269-A1269,TODAY()-A1269))</f>
        <v/>
      </c>
      <c r="N1269" s="18" t="str">
        <f aca="false">IF(A1269="","",IF(AND(OR(F1269="Bekliyor",F1269="Parça bekleniyor",F1269="Hazır"),M1269&gt;7),"7 günü geçti",""))</f>
        <v/>
      </c>
      <c r="O1269" s="18" t="str">
        <f aca="false">IF(AND(A1269&lt;&gt;"",OR(F1269="Bekliyor",F1269="Parça bekleniyor",F1269="Hazır")),A1269+ROW()/1000000,"")</f>
        <v/>
      </c>
    </row>
    <row r="1270" customFormat="false" ht="15" hidden="false" customHeight="false" outlineLevel="0" collapsed="false">
      <c r="A1270" s="12"/>
      <c r="B1270" s="13"/>
      <c r="C1270" s="13"/>
      <c r="D1270" s="13"/>
      <c r="E1270" s="13"/>
      <c r="F1270" s="14"/>
      <c r="G1270" s="15"/>
      <c r="H1270" s="15"/>
      <c r="I1270" s="15"/>
      <c r="J1270" s="12"/>
      <c r="K1270" s="16" t="str">
        <f aca="false">IF(A1270="","",G1270+H1270)</f>
        <v/>
      </c>
      <c r="L1270" s="16" t="str">
        <f aca="false">IF(A1270="","",IF(F1270="İade edildi",0,K1270-I1270))</f>
        <v/>
      </c>
      <c r="M1270" s="17" t="str">
        <f aca="true">IF(A1270="","",IF(J1270&lt;&gt;"",J1270-A1270,TODAY()-A1270))</f>
        <v/>
      </c>
      <c r="N1270" s="18" t="str">
        <f aca="false">IF(A1270="","",IF(AND(OR(F1270="Bekliyor",F1270="Parça bekleniyor",F1270="Hazır"),M1270&gt;7),"7 günü geçti",""))</f>
        <v/>
      </c>
      <c r="O1270" s="18" t="str">
        <f aca="false">IF(AND(A1270&lt;&gt;"",OR(F1270="Bekliyor",F1270="Parça bekleniyor",F1270="Hazır")),A1270+ROW()/1000000,"")</f>
        <v/>
      </c>
    </row>
    <row r="1271" customFormat="false" ht="15" hidden="false" customHeight="false" outlineLevel="0" collapsed="false">
      <c r="A1271" s="12"/>
      <c r="B1271" s="13"/>
      <c r="C1271" s="13"/>
      <c r="D1271" s="13"/>
      <c r="E1271" s="13"/>
      <c r="F1271" s="14"/>
      <c r="G1271" s="15"/>
      <c r="H1271" s="15"/>
      <c r="I1271" s="15"/>
      <c r="J1271" s="12"/>
      <c r="K1271" s="16" t="str">
        <f aca="false">IF(A1271="","",G1271+H1271)</f>
        <v/>
      </c>
      <c r="L1271" s="16" t="str">
        <f aca="false">IF(A1271="","",IF(F1271="İade edildi",0,K1271-I1271))</f>
        <v/>
      </c>
      <c r="M1271" s="17" t="str">
        <f aca="true">IF(A1271="","",IF(J1271&lt;&gt;"",J1271-A1271,TODAY()-A1271))</f>
        <v/>
      </c>
      <c r="N1271" s="18" t="str">
        <f aca="false">IF(A1271="","",IF(AND(OR(F1271="Bekliyor",F1271="Parça bekleniyor",F1271="Hazır"),M1271&gt;7),"7 günü geçti",""))</f>
        <v/>
      </c>
      <c r="O1271" s="18" t="str">
        <f aca="false">IF(AND(A1271&lt;&gt;"",OR(F1271="Bekliyor",F1271="Parça bekleniyor",F1271="Hazır")),A1271+ROW()/1000000,"")</f>
        <v/>
      </c>
    </row>
    <row r="1272" customFormat="false" ht="15" hidden="false" customHeight="false" outlineLevel="0" collapsed="false">
      <c r="A1272" s="12"/>
      <c r="B1272" s="13"/>
      <c r="C1272" s="13"/>
      <c r="D1272" s="13"/>
      <c r="E1272" s="13"/>
      <c r="F1272" s="14"/>
      <c r="G1272" s="15"/>
      <c r="H1272" s="15"/>
      <c r="I1272" s="15"/>
      <c r="J1272" s="12"/>
      <c r="K1272" s="16" t="str">
        <f aca="false">IF(A1272="","",G1272+H1272)</f>
        <v/>
      </c>
      <c r="L1272" s="16" t="str">
        <f aca="false">IF(A1272="","",IF(F1272="İade edildi",0,K1272-I1272))</f>
        <v/>
      </c>
      <c r="M1272" s="17" t="str">
        <f aca="true">IF(A1272="","",IF(J1272&lt;&gt;"",J1272-A1272,TODAY()-A1272))</f>
        <v/>
      </c>
      <c r="N1272" s="18" t="str">
        <f aca="false">IF(A1272="","",IF(AND(OR(F1272="Bekliyor",F1272="Parça bekleniyor",F1272="Hazır"),M1272&gt;7),"7 günü geçti",""))</f>
        <v/>
      </c>
      <c r="O1272" s="18" t="str">
        <f aca="false">IF(AND(A1272&lt;&gt;"",OR(F1272="Bekliyor",F1272="Parça bekleniyor",F1272="Hazır")),A1272+ROW()/1000000,"")</f>
        <v/>
      </c>
    </row>
    <row r="1273" customFormat="false" ht="15" hidden="false" customHeight="false" outlineLevel="0" collapsed="false">
      <c r="A1273" s="12"/>
      <c r="B1273" s="13"/>
      <c r="C1273" s="13"/>
      <c r="D1273" s="13"/>
      <c r="E1273" s="13"/>
      <c r="F1273" s="14"/>
      <c r="G1273" s="15"/>
      <c r="H1273" s="15"/>
      <c r="I1273" s="15"/>
      <c r="J1273" s="12"/>
      <c r="K1273" s="16" t="str">
        <f aca="false">IF(A1273="","",G1273+H1273)</f>
        <v/>
      </c>
      <c r="L1273" s="16" t="str">
        <f aca="false">IF(A1273="","",IF(F1273="İade edildi",0,K1273-I1273))</f>
        <v/>
      </c>
      <c r="M1273" s="17" t="str">
        <f aca="true">IF(A1273="","",IF(J1273&lt;&gt;"",J1273-A1273,TODAY()-A1273))</f>
        <v/>
      </c>
      <c r="N1273" s="18" t="str">
        <f aca="false">IF(A1273="","",IF(AND(OR(F1273="Bekliyor",F1273="Parça bekleniyor",F1273="Hazır"),M1273&gt;7),"7 günü geçti",""))</f>
        <v/>
      </c>
      <c r="O1273" s="18" t="str">
        <f aca="false">IF(AND(A1273&lt;&gt;"",OR(F1273="Bekliyor",F1273="Parça bekleniyor",F1273="Hazır")),A1273+ROW()/1000000,"")</f>
        <v/>
      </c>
    </row>
    <row r="1274" customFormat="false" ht="15" hidden="false" customHeight="false" outlineLevel="0" collapsed="false">
      <c r="A1274" s="12"/>
      <c r="B1274" s="13"/>
      <c r="C1274" s="13"/>
      <c r="D1274" s="13"/>
      <c r="E1274" s="13"/>
      <c r="F1274" s="14"/>
      <c r="G1274" s="15"/>
      <c r="H1274" s="15"/>
      <c r="I1274" s="15"/>
      <c r="J1274" s="12"/>
      <c r="K1274" s="16" t="str">
        <f aca="false">IF(A1274="","",G1274+H1274)</f>
        <v/>
      </c>
      <c r="L1274" s="16" t="str">
        <f aca="false">IF(A1274="","",IF(F1274="İade edildi",0,K1274-I1274))</f>
        <v/>
      </c>
      <c r="M1274" s="17" t="str">
        <f aca="true">IF(A1274="","",IF(J1274&lt;&gt;"",J1274-A1274,TODAY()-A1274))</f>
        <v/>
      </c>
      <c r="N1274" s="18" t="str">
        <f aca="false">IF(A1274="","",IF(AND(OR(F1274="Bekliyor",F1274="Parça bekleniyor",F1274="Hazır"),M1274&gt;7),"7 günü geçti",""))</f>
        <v/>
      </c>
      <c r="O1274" s="18" t="str">
        <f aca="false">IF(AND(A1274&lt;&gt;"",OR(F1274="Bekliyor",F1274="Parça bekleniyor",F1274="Hazır")),A1274+ROW()/1000000,"")</f>
        <v/>
      </c>
    </row>
    <row r="1275" customFormat="false" ht="15" hidden="false" customHeight="false" outlineLevel="0" collapsed="false">
      <c r="A1275" s="12"/>
      <c r="B1275" s="13"/>
      <c r="C1275" s="13"/>
      <c r="D1275" s="13"/>
      <c r="E1275" s="13"/>
      <c r="F1275" s="14"/>
      <c r="G1275" s="15"/>
      <c r="H1275" s="15"/>
      <c r="I1275" s="15"/>
      <c r="J1275" s="12"/>
      <c r="K1275" s="16" t="str">
        <f aca="false">IF(A1275="","",G1275+H1275)</f>
        <v/>
      </c>
      <c r="L1275" s="16" t="str">
        <f aca="false">IF(A1275="","",IF(F1275="İade edildi",0,K1275-I1275))</f>
        <v/>
      </c>
      <c r="M1275" s="17" t="str">
        <f aca="true">IF(A1275="","",IF(J1275&lt;&gt;"",J1275-A1275,TODAY()-A1275))</f>
        <v/>
      </c>
      <c r="N1275" s="18" t="str">
        <f aca="false">IF(A1275="","",IF(AND(OR(F1275="Bekliyor",F1275="Parça bekleniyor",F1275="Hazır"),M1275&gt;7),"7 günü geçti",""))</f>
        <v/>
      </c>
      <c r="O1275" s="18" t="str">
        <f aca="false">IF(AND(A1275&lt;&gt;"",OR(F1275="Bekliyor",F1275="Parça bekleniyor",F1275="Hazır")),A1275+ROW()/1000000,"")</f>
        <v/>
      </c>
    </row>
    <row r="1276" customFormat="false" ht="15" hidden="false" customHeight="false" outlineLevel="0" collapsed="false">
      <c r="A1276" s="12"/>
      <c r="B1276" s="13"/>
      <c r="C1276" s="13"/>
      <c r="D1276" s="13"/>
      <c r="E1276" s="13"/>
      <c r="F1276" s="14"/>
      <c r="G1276" s="15"/>
      <c r="H1276" s="15"/>
      <c r="I1276" s="15"/>
      <c r="J1276" s="12"/>
      <c r="K1276" s="16" t="str">
        <f aca="false">IF(A1276="","",G1276+H1276)</f>
        <v/>
      </c>
      <c r="L1276" s="16" t="str">
        <f aca="false">IF(A1276="","",IF(F1276="İade edildi",0,K1276-I1276))</f>
        <v/>
      </c>
      <c r="M1276" s="17" t="str">
        <f aca="true">IF(A1276="","",IF(J1276&lt;&gt;"",J1276-A1276,TODAY()-A1276))</f>
        <v/>
      </c>
      <c r="N1276" s="18" t="str">
        <f aca="false">IF(A1276="","",IF(AND(OR(F1276="Bekliyor",F1276="Parça bekleniyor",F1276="Hazır"),M1276&gt;7),"7 günü geçti",""))</f>
        <v/>
      </c>
      <c r="O1276" s="18" t="str">
        <f aca="false">IF(AND(A1276&lt;&gt;"",OR(F1276="Bekliyor",F1276="Parça bekleniyor",F1276="Hazır")),A1276+ROW()/1000000,"")</f>
        <v/>
      </c>
    </row>
    <row r="1277" customFormat="false" ht="15" hidden="false" customHeight="false" outlineLevel="0" collapsed="false">
      <c r="A1277" s="12"/>
      <c r="B1277" s="13"/>
      <c r="C1277" s="13"/>
      <c r="D1277" s="13"/>
      <c r="E1277" s="13"/>
      <c r="F1277" s="14"/>
      <c r="G1277" s="15"/>
      <c r="H1277" s="15"/>
      <c r="I1277" s="15"/>
      <c r="J1277" s="12"/>
      <c r="K1277" s="16" t="str">
        <f aca="false">IF(A1277="","",G1277+H1277)</f>
        <v/>
      </c>
      <c r="L1277" s="16" t="str">
        <f aca="false">IF(A1277="","",IF(F1277="İade edildi",0,K1277-I1277))</f>
        <v/>
      </c>
      <c r="M1277" s="17" t="str">
        <f aca="true">IF(A1277="","",IF(J1277&lt;&gt;"",J1277-A1277,TODAY()-A1277))</f>
        <v/>
      </c>
      <c r="N1277" s="18" t="str">
        <f aca="false">IF(A1277="","",IF(AND(OR(F1277="Bekliyor",F1277="Parça bekleniyor",F1277="Hazır"),M1277&gt;7),"7 günü geçti",""))</f>
        <v/>
      </c>
      <c r="O1277" s="18" t="str">
        <f aca="false">IF(AND(A1277&lt;&gt;"",OR(F1277="Bekliyor",F1277="Parça bekleniyor",F1277="Hazır")),A1277+ROW()/1000000,"")</f>
        <v/>
      </c>
    </row>
    <row r="1278" customFormat="false" ht="15" hidden="false" customHeight="false" outlineLevel="0" collapsed="false">
      <c r="A1278" s="12"/>
      <c r="B1278" s="13"/>
      <c r="C1278" s="13"/>
      <c r="D1278" s="13"/>
      <c r="E1278" s="13"/>
      <c r="F1278" s="14"/>
      <c r="G1278" s="15"/>
      <c r="H1278" s="15"/>
      <c r="I1278" s="15"/>
      <c r="J1278" s="12"/>
      <c r="K1278" s="16" t="str">
        <f aca="false">IF(A1278="","",G1278+H1278)</f>
        <v/>
      </c>
      <c r="L1278" s="16" t="str">
        <f aca="false">IF(A1278="","",IF(F1278="İade edildi",0,K1278-I1278))</f>
        <v/>
      </c>
      <c r="M1278" s="17" t="str">
        <f aca="true">IF(A1278="","",IF(J1278&lt;&gt;"",J1278-A1278,TODAY()-A1278))</f>
        <v/>
      </c>
      <c r="N1278" s="18" t="str">
        <f aca="false">IF(A1278="","",IF(AND(OR(F1278="Bekliyor",F1278="Parça bekleniyor",F1278="Hazır"),M1278&gt;7),"7 günü geçti",""))</f>
        <v/>
      </c>
      <c r="O1278" s="18" t="str">
        <f aca="false">IF(AND(A1278&lt;&gt;"",OR(F1278="Bekliyor",F1278="Parça bekleniyor",F1278="Hazır")),A1278+ROW()/1000000,"")</f>
        <v/>
      </c>
    </row>
    <row r="1279" customFormat="false" ht="15" hidden="false" customHeight="false" outlineLevel="0" collapsed="false">
      <c r="A1279" s="12"/>
      <c r="B1279" s="13"/>
      <c r="C1279" s="13"/>
      <c r="D1279" s="13"/>
      <c r="E1279" s="13"/>
      <c r="F1279" s="14"/>
      <c r="G1279" s="15"/>
      <c r="H1279" s="15"/>
      <c r="I1279" s="15"/>
      <c r="J1279" s="12"/>
      <c r="K1279" s="16" t="str">
        <f aca="false">IF(A1279="","",G1279+H1279)</f>
        <v/>
      </c>
      <c r="L1279" s="16" t="str">
        <f aca="false">IF(A1279="","",IF(F1279="İade edildi",0,K1279-I1279))</f>
        <v/>
      </c>
      <c r="M1279" s="17" t="str">
        <f aca="true">IF(A1279="","",IF(J1279&lt;&gt;"",J1279-A1279,TODAY()-A1279))</f>
        <v/>
      </c>
      <c r="N1279" s="18" t="str">
        <f aca="false">IF(A1279="","",IF(AND(OR(F1279="Bekliyor",F1279="Parça bekleniyor",F1279="Hazır"),M1279&gt;7),"7 günü geçti",""))</f>
        <v/>
      </c>
      <c r="O1279" s="18" t="str">
        <f aca="false">IF(AND(A1279&lt;&gt;"",OR(F1279="Bekliyor",F1279="Parça bekleniyor",F1279="Hazır")),A1279+ROW()/1000000,"")</f>
        <v/>
      </c>
    </row>
    <row r="1280" customFormat="false" ht="15" hidden="false" customHeight="false" outlineLevel="0" collapsed="false">
      <c r="A1280" s="12"/>
      <c r="B1280" s="13"/>
      <c r="C1280" s="13"/>
      <c r="D1280" s="13"/>
      <c r="E1280" s="13"/>
      <c r="F1280" s="14"/>
      <c r="G1280" s="15"/>
      <c r="H1280" s="15"/>
      <c r="I1280" s="15"/>
      <c r="J1280" s="12"/>
      <c r="K1280" s="16" t="str">
        <f aca="false">IF(A1280="","",G1280+H1280)</f>
        <v/>
      </c>
      <c r="L1280" s="16" t="str">
        <f aca="false">IF(A1280="","",IF(F1280="İade edildi",0,K1280-I1280))</f>
        <v/>
      </c>
      <c r="M1280" s="17" t="str">
        <f aca="true">IF(A1280="","",IF(J1280&lt;&gt;"",J1280-A1280,TODAY()-A1280))</f>
        <v/>
      </c>
      <c r="N1280" s="18" t="str">
        <f aca="false">IF(A1280="","",IF(AND(OR(F1280="Bekliyor",F1280="Parça bekleniyor",F1280="Hazır"),M1280&gt;7),"7 günü geçti",""))</f>
        <v/>
      </c>
      <c r="O1280" s="18" t="str">
        <f aca="false">IF(AND(A1280&lt;&gt;"",OR(F1280="Bekliyor",F1280="Parça bekleniyor",F1280="Hazır")),A1280+ROW()/1000000,"")</f>
        <v/>
      </c>
    </row>
    <row r="1281" customFormat="false" ht="15" hidden="false" customHeight="false" outlineLevel="0" collapsed="false">
      <c r="A1281" s="12"/>
      <c r="B1281" s="13"/>
      <c r="C1281" s="13"/>
      <c r="D1281" s="13"/>
      <c r="E1281" s="13"/>
      <c r="F1281" s="14"/>
      <c r="G1281" s="15"/>
      <c r="H1281" s="15"/>
      <c r="I1281" s="15"/>
      <c r="J1281" s="12"/>
      <c r="K1281" s="16" t="str">
        <f aca="false">IF(A1281="","",G1281+H1281)</f>
        <v/>
      </c>
      <c r="L1281" s="16" t="str">
        <f aca="false">IF(A1281="","",IF(F1281="İade edildi",0,K1281-I1281))</f>
        <v/>
      </c>
      <c r="M1281" s="17" t="str">
        <f aca="true">IF(A1281="","",IF(J1281&lt;&gt;"",J1281-A1281,TODAY()-A1281))</f>
        <v/>
      </c>
      <c r="N1281" s="18" t="str">
        <f aca="false">IF(A1281="","",IF(AND(OR(F1281="Bekliyor",F1281="Parça bekleniyor",F1281="Hazır"),M1281&gt;7),"7 günü geçti",""))</f>
        <v/>
      </c>
      <c r="O1281" s="18" t="str">
        <f aca="false">IF(AND(A1281&lt;&gt;"",OR(F1281="Bekliyor",F1281="Parça bekleniyor",F1281="Hazır")),A1281+ROW()/1000000,"")</f>
        <v/>
      </c>
    </row>
    <row r="1282" customFormat="false" ht="15" hidden="false" customHeight="false" outlineLevel="0" collapsed="false">
      <c r="A1282" s="12"/>
      <c r="B1282" s="13"/>
      <c r="C1282" s="13"/>
      <c r="D1282" s="13"/>
      <c r="E1282" s="13"/>
      <c r="F1282" s="14"/>
      <c r="G1282" s="15"/>
      <c r="H1282" s="15"/>
      <c r="I1282" s="15"/>
      <c r="J1282" s="12"/>
      <c r="K1282" s="16" t="str">
        <f aca="false">IF(A1282="","",G1282+H1282)</f>
        <v/>
      </c>
      <c r="L1282" s="16" t="str">
        <f aca="false">IF(A1282="","",IF(F1282="İade edildi",0,K1282-I1282))</f>
        <v/>
      </c>
      <c r="M1282" s="17" t="str">
        <f aca="true">IF(A1282="","",IF(J1282&lt;&gt;"",J1282-A1282,TODAY()-A1282))</f>
        <v/>
      </c>
      <c r="N1282" s="18" t="str">
        <f aca="false">IF(A1282="","",IF(AND(OR(F1282="Bekliyor",F1282="Parça bekleniyor",F1282="Hazır"),M1282&gt;7),"7 günü geçti",""))</f>
        <v/>
      </c>
      <c r="O1282" s="18" t="str">
        <f aca="false">IF(AND(A1282&lt;&gt;"",OR(F1282="Bekliyor",F1282="Parça bekleniyor",F1282="Hazır")),A1282+ROW()/1000000,"")</f>
        <v/>
      </c>
    </row>
    <row r="1283" customFormat="false" ht="15" hidden="false" customHeight="false" outlineLevel="0" collapsed="false">
      <c r="A1283" s="12"/>
      <c r="B1283" s="13"/>
      <c r="C1283" s="13"/>
      <c r="D1283" s="13"/>
      <c r="E1283" s="13"/>
      <c r="F1283" s="14"/>
      <c r="G1283" s="15"/>
      <c r="H1283" s="15"/>
      <c r="I1283" s="15"/>
      <c r="J1283" s="12"/>
      <c r="K1283" s="16" t="str">
        <f aca="false">IF(A1283="","",G1283+H1283)</f>
        <v/>
      </c>
      <c r="L1283" s="16" t="str">
        <f aca="false">IF(A1283="","",IF(F1283="İade edildi",0,K1283-I1283))</f>
        <v/>
      </c>
      <c r="M1283" s="17" t="str">
        <f aca="true">IF(A1283="","",IF(J1283&lt;&gt;"",J1283-A1283,TODAY()-A1283))</f>
        <v/>
      </c>
      <c r="N1283" s="18" t="str">
        <f aca="false">IF(A1283="","",IF(AND(OR(F1283="Bekliyor",F1283="Parça bekleniyor",F1283="Hazır"),M1283&gt;7),"7 günü geçti",""))</f>
        <v/>
      </c>
      <c r="O1283" s="18" t="str">
        <f aca="false">IF(AND(A1283&lt;&gt;"",OR(F1283="Bekliyor",F1283="Parça bekleniyor",F1283="Hazır")),A1283+ROW()/1000000,"")</f>
        <v/>
      </c>
    </row>
    <row r="1284" customFormat="false" ht="15" hidden="false" customHeight="false" outlineLevel="0" collapsed="false">
      <c r="A1284" s="12"/>
      <c r="B1284" s="13"/>
      <c r="C1284" s="13"/>
      <c r="D1284" s="13"/>
      <c r="E1284" s="13"/>
      <c r="F1284" s="14"/>
      <c r="G1284" s="15"/>
      <c r="H1284" s="15"/>
      <c r="I1284" s="15"/>
      <c r="J1284" s="12"/>
      <c r="K1284" s="16" t="str">
        <f aca="false">IF(A1284="","",G1284+H1284)</f>
        <v/>
      </c>
      <c r="L1284" s="16" t="str">
        <f aca="false">IF(A1284="","",IF(F1284="İade edildi",0,K1284-I1284))</f>
        <v/>
      </c>
      <c r="M1284" s="17" t="str">
        <f aca="true">IF(A1284="","",IF(J1284&lt;&gt;"",J1284-A1284,TODAY()-A1284))</f>
        <v/>
      </c>
      <c r="N1284" s="18" t="str">
        <f aca="false">IF(A1284="","",IF(AND(OR(F1284="Bekliyor",F1284="Parça bekleniyor",F1284="Hazır"),M1284&gt;7),"7 günü geçti",""))</f>
        <v/>
      </c>
      <c r="O1284" s="18" t="str">
        <f aca="false">IF(AND(A1284&lt;&gt;"",OR(F1284="Bekliyor",F1284="Parça bekleniyor",F1284="Hazır")),A1284+ROW()/1000000,"")</f>
        <v/>
      </c>
    </row>
    <row r="1285" customFormat="false" ht="15" hidden="false" customHeight="false" outlineLevel="0" collapsed="false">
      <c r="A1285" s="12"/>
      <c r="B1285" s="13"/>
      <c r="C1285" s="13"/>
      <c r="D1285" s="13"/>
      <c r="E1285" s="13"/>
      <c r="F1285" s="14"/>
      <c r="G1285" s="15"/>
      <c r="H1285" s="15"/>
      <c r="I1285" s="15"/>
      <c r="J1285" s="12"/>
      <c r="K1285" s="16" t="str">
        <f aca="false">IF(A1285="","",G1285+H1285)</f>
        <v/>
      </c>
      <c r="L1285" s="16" t="str">
        <f aca="false">IF(A1285="","",IF(F1285="İade edildi",0,K1285-I1285))</f>
        <v/>
      </c>
      <c r="M1285" s="17" t="str">
        <f aca="true">IF(A1285="","",IF(J1285&lt;&gt;"",J1285-A1285,TODAY()-A1285))</f>
        <v/>
      </c>
      <c r="N1285" s="18" t="str">
        <f aca="false">IF(A1285="","",IF(AND(OR(F1285="Bekliyor",F1285="Parça bekleniyor",F1285="Hazır"),M1285&gt;7),"7 günü geçti",""))</f>
        <v/>
      </c>
      <c r="O1285" s="18" t="str">
        <f aca="false">IF(AND(A1285&lt;&gt;"",OR(F1285="Bekliyor",F1285="Parça bekleniyor",F1285="Hazır")),A1285+ROW()/1000000,"")</f>
        <v/>
      </c>
    </row>
    <row r="1286" customFormat="false" ht="15" hidden="false" customHeight="false" outlineLevel="0" collapsed="false">
      <c r="A1286" s="12"/>
      <c r="B1286" s="13"/>
      <c r="C1286" s="13"/>
      <c r="D1286" s="13"/>
      <c r="E1286" s="13"/>
      <c r="F1286" s="14"/>
      <c r="G1286" s="15"/>
      <c r="H1286" s="15"/>
      <c r="I1286" s="15"/>
      <c r="J1286" s="12"/>
      <c r="K1286" s="16" t="str">
        <f aca="false">IF(A1286="","",G1286+H1286)</f>
        <v/>
      </c>
      <c r="L1286" s="16" t="str">
        <f aca="false">IF(A1286="","",IF(F1286="İade edildi",0,K1286-I1286))</f>
        <v/>
      </c>
      <c r="M1286" s="17" t="str">
        <f aca="true">IF(A1286="","",IF(J1286&lt;&gt;"",J1286-A1286,TODAY()-A1286))</f>
        <v/>
      </c>
      <c r="N1286" s="18" t="str">
        <f aca="false">IF(A1286="","",IF(AND(OR(F1286="Bekliyor",F1286="Parça bekleniyor",F1286="Hazır"),M1286&gt;7),"7 günü geçti",""))</f>
        <v/>
      </c>
      <c r="O1286" s="18" t="str">
        <f aca="false">IF(AND(A1286&lt;&gt;"",OR(F1286="Bekliyor",F1286="Parça bekleniyor",F1286="Hazır")),A1286+ROW()/1000000,"")</f>
        <v/>
      </c>
    </row>
    <row r="1287" customFormat="false" ht="15" hidden="false" customHeight="false" outlineLevel="0" collapsed="false">
      <c r="A1287" s="12"/>
      <c r="B1287" s="13"/>
      <c r="C1287" s="13"/>
      <c r="D1287" s="13"/>
      <c r="E1287" s="13"/>
      <c r="F1287" s="14"/>
      <c r="G1287" s="15"/>
      <c r="H1287" s="15"/>
      <c r="I1287" s="15"/>
      <c r="J1287" s="12"/>
      <c r="K1287" s="16" t="str">
        <f aca="false">IF(A1287="","",G1287+H1287)</f>
        <v/>
      </c>
      <c r="L1287" s="16" t="str">
        <f aca="false">IF(A1287="","",IF(F1287="İade edildi",0,K1287-I1287))</f>
        <v/>
      </c>
      <c r="M1287" s="17" t="str">
        <f aca="true">IF(A1287="","",IF(J1287&lt;&gt;"",J1287-A1287,TODAY()-A1287))</f>
        <v/>
      </c>
      <c r="N1287" s="18" t="str">
        <f aca="false">IF(A1287="","",IF(AND(OR(F1287="Bekliyor",F1287="Parça bekleniyor",F1287="Hazır"),M1287&gt;7),"7 günü geçti",""))</f>
        <v/>
      </c>
      <c r="O1287" s="18" t="str">
        <f aca="false">IF(AND(A1287&lt;&gt;"",OR(F1287="Bekliyor",F1287="Parça bekleniyor",F1287="Hazır")),A1287+ROW()/1000000,"")</f>
        <v/>
      </c>
    </row>
    <row r="1288" customFormat="false" ht="15" hidden="false" customHeight="false" outlineLevel="0" collapsed="false">
      <c r="A1288" s="12"/>
      <c r="B1288" s="13"/>
      <c r="C1288" s="13"/>
      <c r="D1288" s="13"/>
      <c r="E1288" s="13"/>
      <c r="F1288" s="14"/>
      <c r="G1288" s="15"/>
      <c r="H1288" s="15"/>
      <c r="I1288" s="15"/>
      <c r="J1288" s="12"/>
      <c r="K1288" s="16" t="str">
        <f aca="false">IF(A1288="","",G1288+H1288)</f>
        <v/>
      </c>
      <c r="L1288" s="16" t="str">
        <f aca="false">IF(A1288="","",IF(F1288="İade edildi",0,K1288-I1288))</f>
        <v/>
      </c>
      <c r="M1288" s="17" t="str">
        <f aca="true">IF(A1288="","",IF(J1288&lt;&gt;"",J1288-A1288,TODAY()-A1288))</f>
        <v/>
      </c>
      <c r="N1288" s="18" t="str">
        <f aca="false">IF(A1288="","",IF(AND(OR(F1288="Bekliyor",F1288="Parça bekleniyor",F1288="Hazır"),M1288&gt;7),"7 günü geçti",""))</f>
        <v/>
      </c>
      <c r="O1288" s="18" t="str">
        <f aca="false">IF(AND(A1288&lt;&gt;"",OR(F1288="Bekliyor",F1288="Parça bekleniyor",F1288="Hazır")),A1288+ROW()/1000000,"")</f>
        <v/>
      </c>
    </row>
    <row r="1289" customFormat="false" ht="15" hidden="false" customHeight="false" outlineLevel="0" collapsed="false">
      <c r="A1289" s="12"/>
      <c r="B1289" s="13"/>
      <c r="C1289" s="13"/>
      <c r="D1289" s="13"/>
      <c r="E1289" s="13"/>
      <c r="F1289" s="14"/>
      <c r="G1289" s="15"/>
      <c r="H1289" s="15"/>
      <c r="I1289" s="15"/>
      <c r="J1289" s="12"/>
      <c r="K1289" s="16" t="str">
        <f aca="false">IF(A1289="","",G1289+H1289)</f>
        <v/>
      </c>
      <c r="L1289" s="16" t="str">
        <f aca="false">IF(A1289="","",IF(F1289="İade edildi",0,K1289-I1289))</f>
        <v/>
      </c>
      <c r="M1289" s="17" t="str">
        <f aca="true">IF(A1289="","",IF(J1289&lt;&gt;"",J1289-A1289,TODAY()-A1289))</f>
        <v/>
      </c>
      <c r="N1289" s="18" t="str">
        <f aca="false">IF(A1289="","",IF(AND(OR(F1289="Bekliyor",F1289="Parça bekleniyor",F1289="Hazır"),M1289&gt;7),"7 günü geçti",""))</f>
        <v/>
      </c>
      <c r="O1289" s="18" t="str">
        <f aca="false">IF(AND(A1289&lt;&gt;"",OR(F1289="Bekliyor",F1289="Parça bekleniyor",F1289="Hazır")),A1289+ROW()/1000000,"")</f>
        <v/>
      </c>
    </row>
    <row r="1290" customFormat="false" ht="15" hidden="false" customHeight="false" outlineLevel="0" collapsed="false">
      <c r="A1290" s="12"/>
      <c r="B1290" s="13"/>
      <c r="C1290" s="13"/>
      <c r="D1290" s="13"/>
      <c r="E1290" s="13"/>
      <c r="F1290" s="14"/>
      <c r="G1290" s="15"/>
      <c r="H1290" s="15"/>
      <c r="I1290" s="15"/>
      <c r="J1290" s="12"/>
      <c r="K1290" s="16" t="str">
        <f aca="false">IF(A1290="","",G1290+H1290)</f>
        <v/>
      </c>
      <c r="L1290" s="16" t="str">
        <f aca="false">IF(A1290="","",IF(F1290="İade edildi",0,K1290-I1290))</f>
        <v/>
      </c>
      <c r="M1290" s="17" t="str">
        <f aca="true">IF(A1290="","",IF(J1290&lt;&gt;"",J1290-A1290,TODAY()-A1290))</f>
        <v/>
      </c>
      <c r="N1290" s="18" t="str">
        <f aca="false">IF(A1290="","",IF(AND(OR(F1290="Bekliyor",F1290="Parça bekleniyor",F1290="Hazır"),M1290&gt;7),"7 günü geçti",""))</f>
        <v/>
      </c>
      <c r="O1290" s="18" t="str">
        <f aca="false">IF(AND(A1290&lt;&gt;"",OR(F1290="Bekliyor",F1290="Parça bekleniyor",F1290="Hazır")),A1290+ROW()/1000000,"")</f>
        <v/>
      </c>
    </row>
    <row r="1291" customFormat="false" ht="15" hidden="false" customHeight="false" outlineLevel="0" collapsed="false">
      <c r="A1291" s="12"/>
      <c r="B1291" s="13"/>
      <c r="C1291" s="13"/>
      <c r="D1291" s="13"/>
      <c r="E1291" s="13"/>
      <c r="F1291" s="14"/>
      <c r="G1291" s="15"/>
      <c r="H1291" s="15"/>
      <c r="I1291" s="15"/>
      <c r="J1291" s="12"/>
      <c r="K1291" s="16" t="str">
        <f aca="false">IF(A1291="","",G1291+H1291)</f>
        <v/>
      </c>
      <c r="L1291" s="16" t="str">
        <f aca="false">IF(A1291="","",IF(F1291="İade edildi",0,K1291-I1291))</f>
        <v/>
      </c>
      <c r="M1291" s="17" t="str">
        <f aca="true">IF(A1291="","",IF(J1291&lt;&gt;"",J1291-A1291,TODAY()-A1291))</f>
        <v/>
      </c>
      <c r="N1291" s="18" t="str">
        <f aca="false">IF(A1291="","",IF(AND(OR(F1291="Bekliyor",F1291="Parça bekleniyor",F1291="Hazır"),M1291&gt;7),"7 günü geçti",""))</f>
        <v/>
      </c>
      <c r="O1291" s="18" t="str">
        <f aca="false">IF(AND(A1291&lt;&gt;"",OR(F1291="Bekliyor",F1291="Parça bekleniyor",F1291="Hazır")),A1291+ROW()/1000000,"")</f>
        <v/>
      </c>
    </row>
    <row r="1292" customFormat="false" ht="15" hidden="false" customHeight="false" outlineLevel="0" collapsed="false">
      <c r="A1292" s="12"/>
      <c r="B1292" s="13"/>
      <c r="C1292" s="13"/>
      <c r="D1292" s="13"/>
      <c r="E1292" s="13"/>
      <c r="F1292" s="14"/>
      <c r="G1292" s="15"/>
      <c r="H1292" s="15"/>
      <c r="I1292" s="15"/>
      <c r="J1292" s="12"/>
      <c r="K1292" s="16" t="str">
        <f aca="false">IF(A1292="","",G1292+H1292)</f>
        <v/>
      </c>
      <c r="L1292" s="16" t="str">
        <f aca="false">IF(A1292="","",IF(F1292="İade edildi",0,K1292-I1292))</f>
        <v/>
      </c>
      <c r="M1292" s="17" t="str">
        <f aca="true">IF(A1292="","",IF(J1292&lt;&gt;"",J1292-A1292,TODAY()-A1292))</f>
        <v/>
      </c>
      <c r="N1292" s="18" t="str">
        <f aca="false">IF(A1292="","",IF(AND(OR(F1292="Bekliyor",F1292="Parça bekleniyor",F1292="Hazır"),M1292&gt;7),"7 günü geçti",""))</f>
        <v/>
      </c>
      <c r="O1292" s="18" t="str">
        <f aca="false">IF(AND(A1292&lt;&gt;"",OR(F1292="Bekliyor",F1292="Parça bekleniyor",F1292="Hazır")),A1292+ROW()/1000000,"")</f>
        <v/>
      </c>
    </row>
    <row r="1293" customFormat="false" ht="15" hidden="false" customHeight="false" outlineLevel="0" collapsed="false">
      <c r="A1293" s="12"/>
      <c r="B1293" s="13"/>
      <c r="C1293" s="13"/>
      <c r="D1293" s="13"/>
      <c r="E1293" s="13"/>
      <c r="F1293" s="14"/>
      <c r="G1293" s="15"/>
      <c r="H1293" s="15"/>
      <c r="I1293" s="15"/>
      <c r="J1293" s="12"/>
      <c r="K1293" s="16" t="str">
        <f aca="false">IF(A1293="","",G1293+H1293)</f>
        <v/>
      </c>
      <c r="L1293" s="16" t="str">
        <f aca="false">IF(A1293="","",IF(F1293="İade edildi",0,K1293-I1293))</f>
        <v/>
      </c>
      <c r="M1293" s="17" t="str">
        <f aca="true">IF(A1293="","",IF(J1293&lt;&gt;"",J1293-A1293,TODAY()-A1293))</f>
        <v/>
      </c>
      <c r="N1293" s="18" t="str">
        <f aca="false">IF(A1293="","",IF(AND(OR(F1293="Bekliyor",F1293="Parça bekleniyor",F1293="Hazır"),M1293&gt;7),"7 günü geçti",""))</f>
        <v/>
      </c>
      <c r="O1293" s="18" t="str">
        <f aca="false">IF(AND(A1293&lt;&gt;"",OR(F1293="Bekliyor",F1293="Parça bekleniyor",F1293="Hazır")),A1293+ROW()/1000000,"")</f>
        <v/>
      </c>
    </row>
    <row r="1294" customFormat="false" ht="15" hidden="false" customHeight="false" outlineLevel="0" collapsed="false">
      <c r="A1294" s="12"/>
      <c r="B1294" s="13"/>
      <c r="C1294" s="13"/>
      <c r="D1294" s="13"/>
      <c r="E1294" s="13"/>
      <c r="F1294" s="14"/>
      <c r="G1294" s="15"/>
      <c r="H1294" s="15"/>
      <c r="I1294" s="15"/>
      <c r="J1294" s="12"/>
      <c r="K1294" s="16" t="str">
        <f aca="false">IF(A1294="","",G1294+H1294)</f>
        <v/>
      </c>
      <c r="L1294" s="16" t="str">
        <f aca="false">IF(A1294="","",IF(F1294="İade edildi",0,K1294-I1294))</f>
        <v/>
      </c>
      <c r="M1294" s="17" t="str">
        <f aca="true">IF(A1294="","",IF(J1294&lt;&gt;"",J1294-A1294,TODAY()-A1294))</f>
        <v/>
      </c>
      <c r="N1294" s="18" t="str">
        <f aca="false">IF(A1294="","",IF(AND(OR(F1294="Bekliyor",F1294="Parça bekleniyor",F1294="Hazır"),M1294&gt;7),"7 günü geçti",""))</f>
        <v/>
      </c>
      <c r="O1294" s="18" t="str">
        <f aca="false">IF(AND(A1294&lt;&gt;"",OR(F1294="Bekliyor",F1294="Parça bekleniyor",F1294="Hazır")),A1294+ROW()/1000000,"")</f>
        <v/>
      </c>
    </row>
    <row r="1295" customFormat="false" ht="15" hidden="false" customHeight="false" outlineLevel="0" collapsed="false">
      <c r="A1295" s="12"/>
      <c r="B1295" s="13"/>
      <c r="C1295" s="13"/>
      <c r="D1295" s="13"/>
      <c r="E1295" s="13"/>
      <c r="F1295" s="14"/>
      <c r="G1295" s="15"/>
      <c r="H1295" s="15"/>
      <c r="I1295" s="15"/>
      <c r="J1295" s="12"/>
      <c r="K1295" s="16" t="str">
        <f aca="false">IF(A1295="","",G1295+H1295)</f>
        <v/>
      </c>
      <c r="L1295" s="16" t="str">
        <f aca="false">IF(A1295="","",IF(F1295="İade edildi",0,K1295-I1295))</f>
        <v/>
      </c>
      <c r="M1295" s="17" t="str">
        <f aca="true">IF(A1295="","",IF(J1295&lt;&gt;"",J1295-A1295,TODAY()-A1295))</f>
        <v/>
      </c>
      <c r="N1295" s="18" t="str">
        <f aca="false">IF(A1295="","",IF(AND(OR(F1295="Bekliyor",F1295="Parça bekleniyor",F1295="Hazır"),M1295&gt;7),"7 günü geçti",""))</f>
        <v/>
      </c>
      <c r="O1295" s="18" t="str">
        <f aca="false">IF(AND(A1295&lt;&gt;"",OR(F1295="Bekliyor",F1295="Parça bekleniyor",F1295="Hazır")),A1295+ROW()/1000000,"")</f>
        <v/>
      </c>
    </row>
    <row r="1296" customFormat="false" ht="15" hidden="false" customHeight="false" outlineLevel="0" collapsed="false">
      <c r="A1296" s="12"/>
      <c r="B1296" s="13"/>
      <c r="C1296" s="13"/>
      <c r="D1296" s="13"/>
      <c r="E1296" s="13"/>
      <c r="F1296" s="14"/>
      <c r="G1296" s="15"/>
      <c r="H1296" s="15"/>
      <c r="I1296" s="15"/>
      <c r="J1296" s="12"/>
      <c r="K1296" s="16" t="str">
        <f aca="false">IF(A1296="","",G1296+H1296)</f>
        <v/>
      </c>
      <c r="L1296" s="16" t="str">
        <f aca="false">IF(A1296="","",IF(F1296="İade edildi",0,K1296-I1296))</f>
        <v/>
      </c>
      <c r="M1296" s="17" t="str">
        <f aca="true">IF(A1296="","",IF(J1296&lt;&gt;"",J1296-A1296,TODAY()-A1296))</f>
        <v/>
      </c>
      <c r="N1296" s="18" t="str">
        <f aca="false">IF(A1296="","",IF(AND(OR(F1296="Bekliyor",F1296="Parça bekleniyor",F1296="Hazır"),M1296&gt;7),"7 günü geçti",""))</f>
        <v/>
      </c>
      <c r="O1296" s="18" t="str">
        <f aca="false">IF(AND(A1296&lt;&gt;"",OR(F1296="Bekliyor",F1296="Parça bekleniyor",F1296="Hazır")),A1296+ROW()/1000000,"")</f>
        <v/>
      </c>
    </row>
    <row r="1297" customFormat="false" ht="15" hidden="false" customHeight="false" outlineLevel="0" collapsed="false">
      <c r="A1297" s="12"/>
      <c r="B1297" s="13"/>
      <c r="C1297" s="13"/>
      <c r="D1297" s="13"/>
      <c r="E1297" s="13"/>
      <c r="F1297" s="14"/>
      <c r="G1297" s="15"/>
      <c r="H1297" s="15"/>
      <c r="I1297" s="15"/>
      <c r="J1297" s="12"/>
      <c r="K1297" s="16" t="str">
        <f aca="false">IF(A1297="","",G1297+H1297)</f>
        <v/>
      </c>
      <c r="L1297" s="16" t="str">
        <f aca="false">IF(A1297="","",IF(F1297="İade edildi",0,K1297-I1297))</f>
        <v/>
      </c>
      <c r="M1297" s="17" t="str">
        <f aca="true">IF(A1297="","",IF(J1297&lt;&gt;"",J1297-A1297,TODAY()-A1297))</f>
        <v/>
      </c>
      <c r="N1297" s="18" t="str">
        <f aca="false">IF(A1297="","",IF(AND(OR(F1297="Bekliyor",F1297="Parça bekleniyor",F1297="Hazır"),M1297&gt;7),"7 günü geçti",""))</f>
        <v/>
      </c>
      <c r="O1297" s="18" t="str">
        <f aca="false">IF(AND(A1297&lt;&gt;"",OR(F1297="Bekliyor",F1297="Parça bekleniyor",F1297="Hazır")),A1297+ROW()/1000000,"")</f>
        <v/>
      </c>
    </row>
    <row r="1298" customFormat="false" ht="15" hidden="false" customHeight="false" outlineLevel="0" collapsed="false">
      <c r="A1298" s="12"/>
      <c r="B1298" s="13"/>
      <c r="C1298" s="13"/>
      <c r="D1298" s="13"/>
      <c r="E1298" s="13"/>
      <c r="F1298" s="14"/>
      <c r="G1298" s="15"/>
      <c r="H1298" s="15"/>
      <c r="I1298" s="15"/>
      <c r="J1298" s="12"/>
      <c r="K1298" s="16" t="str">
        <f aca="false">IF(A1298="","",G1298+H1298)</f>
        <v/>
      </c>
      <c r="L1298" s="16" t="str">
        <f aca="false">IF(A1298="","",IF(F1298="İade edildi",0,K1298-I1298))</f>
        <v/>
      </c>
      <c r="M1298" s="17" t="str">
        <f aca="true">IF(A1298="","",IF(J1298&lt;&gt;"",J1298-A1298,TODAY()-A1298))</f>
        <v/>
      </c>
      <c r="N1298" s="18" t="str">
        <f aca="false">IF(A1298="","",IF(AND(OR(F1298="Bekliyor",F1298="Parça bekleniyor",F1298="Hazır"),M1298&gt;7),"7 günü geçti",""))</f>
        <v/>
      </c>
      <c r="O1298" s="18" t="str">
        <f aca="false">IF(AND(A1298&lt;&gt;"",OR(F1298="Bekliyor",F1298="Parça bekleniyor",F1298="Hazır")),A1298+ROW()/1000000,"")</f>
        <v/>
      </c>
    </row>
    <row r="1299" customFormat="false" ht="15" hidden="false" customHeight="false" outlineLevel="0" collapsed="false">
      <c r="A1299" s="12"/>
      <c r="B1299" s="13"/>
      <c r="C1299" s="13"/>
      <c r="D1299" s="13"/>
      <c r="E1299" s="13"/>
      <c r="F1299" s="14"/>
      <c r="G1299" s="15"/>
      <c r="H1299" s="15"/>
      <c r="I1299" s="15"/>
      <c r="J1299" s="12"/>
      <c r="K1299" s="16" t="str">
        <f aca="false">IF(A1299="","",G1299+H1299)</f>
        <v/>
      </c>
      <c r="L1299" s="16" t="str">
        <f aca="false">IF(A1299="","",IF(F1299="İade edildi",0,K1299-I1299))</f>
        <v/>
      </c>
      <c r="M1299" s="17" t="str">
        <f aca="true">IF(A1299="","",IF(J1299&lt;&gt;"",J1299-A1299,TODAY()-A1299))</f>
        <v/>
      </c>
      <c r="N1299" s="18" t="str">
        <f aca="false">IF(A1299="","",IF(AND(OR(F1299="Bekliyor",F1299="Parça bekleniyor",F1299="Hazır"),M1299&gt;7),"7 günü geçti",""))</f>
        <v/>
      </c>
      <c r="O1299" s="18" t="str">
        <f aca="false">IF(AND(A1299&lt;&gt;"",OR(F1299="Bekliyor",F1299="Parça bekleniyor",F1299="Hazır")),A1299+ROW()/1000000,"")</f>
        <v/>
      </c>
    </row>
    <row r="1300" customFormat="false" ht="15" hidden="false" customHeight="false" outlineLevel="0" collapsed="false">
      <c r="A1300" s="12"/>
      <c r="B1300" s="13"/>
      <c r="C1300" s="13"/>
      <c r="D1300" s="13"/>
      <c r="E1300" s="13"/>
      <c r="F1300" s="14"/>
      <c r="G1300" s="15"/>
      <c r="H1300" s="15"/>
      <c r="I1300" s="15"/>
      <c r="J1300" s="12"/>
      <c r="K1300" s="16" t="str">
        <f aca="false">IF(A1300="","",G1300+H1300)</f>
        <v/>
      </c>
      <c r="L1300" s="16" t="str">
        <f aca="false">IF(A1300="","",IF(F1300="İade edildi",0,K1300-I1300))</f>
        <v/>
      </c>
      <c r="M1300" s="17" t="str">
        <f aca="true">IF(A1300="","",IF(J1300&lt;&gt;"",J1300-A1300,TODAY()-A1300))</f>
        <v/>
      </c>
      <c r="N1300" s="18" t="str">
        <f aca="false">IF(A1300="","",IF(AND(OR(F1300="Bekliyor",F1300="Parça bekleniyor",F1300="Hazır"),M1300&gt;7),"7 günü geçti",""))</f>
        <v/>
      </c>
      <c r="O1300" s="18" t="str">
        <f aca="false">IF(AND(A1300&lt;&gt;"",OR(F1300="Bekliyor",F1300="Parça bekleniyor",F1300="Hazır")),A1300+ROW()/1000000,"")</f>
        <v/>
      </c>
    </row>
    <row r="1301" customFormat="false" ht="15" hidden="false" customHeight="false" outlineLevel="0" collapsed="false">
      <c r="A1301" s="12"/>
      <c r="B1301" s="13"/>
      <c r="C1301" s="13"/>
      <c r="D1301" s="13"/>
      <c r="E1301" s="13"/>
      <c r="F1301" s="14"/>
      <c r="G1301" s="15"/>
      <c r="H1301" s="15"/>
      <c r="I1301" s="15"/>
      <c r="J1301" s="12"/>
      <c r="K1301" s="16" t="str">
        <f aca="false">IF(A1301="","",G1301+H1301)</f>
        <v/>
      </c>
      <c r="L1301" s="16" t="str">
        <f aca="false">IF(A1301="","",IF(F1301="İade edildi",0,K1301-I1301))</f>
        <v/>
      </c>
      <c r="M1301" s="17" t="str">
        <f aca="true">IF(A1301="","",IF(J1301&lt;&gt;"",J1301-A1301,TODAY()-A1301))</f>
        <v/>
      </c>
      <c r="N1301" s="18" t="str">
        <f aca="false">IF(A1301="","",IF(AND(OR(F1301="Bekliyor",F1301="Parça bekleniyor",F1301="Hazır"),M1301&gt;7),"7 günü geçti",""))</f>
        <v/>
      </c>
      <c r="O1301" s="18" t="str">
        <f aca="false">IF(AND(A1301&lt;&gt;"",OR(F1301="Bekliyor",F1301="Parça bekleniyor",F1301="Hazır")),A1301+ROW()/1000000,"")</f>
        <v/>
      </c>
    </row>
    <row r="1302" customFormat="false" ht="15" hidden="false" customHeight="false" outlineLevel="0" collapsed="false">
      <c r="A1302" s="12"/>
      <c r="B1302" s="13"/>
      <c r="C1302" s="13"/>
      <c r="D1302" s="13"/>
      <c r="E1302" s="13"/>
      <c r="F1302" s="14"/>
      <c r="G1302" s="15"/>
      <c r="H1302" s="15"/>
      <c r="I1302" s="15"/>
      <c r="J1302" s="12"/>
      <c r="K1302" s="16" t="str">
        <f aca="false">IF(A1302="","",G1302+H1302)</f>
        <v/>
      </c>
      <c r="L1302" s="16" t="str">
        <f aca="false">IF(A1302="","",IF(F1302="İade edildi",0,K1302-I1302))</f>
        <v/>
      </c>
      <c r="M1302" s="17" t="str">
        <f aca="true">IF(A1302="","",IF(J1302&lt;&gt;"",J1302-A1302,TODAY()-A1302))</f>
        <v/>
      </c>
      <c r="N1302" s="18" t="str">
        <f aca="false">IF(A1302="","",IF(AND(OR(F1302="Bekliyor",F1302="Parça bekleniyor",F1302="Hazır"),M1302&gt;7),"7 günü geçti",""))</f>
        <v/>
      </c>
      <c r="O1302" s="18" t="str">
        <f aca="false">IF(AND(A1302&lt;&gt;"",OR(F1302="Bekliyor",F1302="Parça bekleniyor",F1302="Hazır")),A1302+ROW()/1000000,"")</f>
        <v/>
      </c>
    </row>
    <row r="1303" customFormat="false" ht="15" hidden="false" customHeight="false" outlineLevel="0" collapsed="false">
      <c r="A1303" s="12"/>
      <c r="B1303" s="13"/>
      <c r="C1303" s="13"/>
      <c r="D1303" s="13"/>
      <c r="E1303" s="13"/>
      <c r="F1303" s="14"/>
      <c r="G1303" s="15"/>
      <c r="H1303" s="15"/>
      <c r="I1303" s="15"/>
      <c r="J1303" s="12"/>
      <c r="K1303" s="16" t="str">
        <f aca="false">IF(A1303="","",G1303+H1303)</f>
        <v/>
      </c>
      <c r="L1303" s="16" t="str">
        <f aca="false">IF(A1303="","",IF(F1303="İade edildi",0,K1303-I1303))</f>
        <v/>
      </c>
      <c r="M1303" s="17" t="str">
        <f aca="true">IF(A1303="","",IF(J1303&lt;&gt;"",J1303-A1303,TODAY()-A1303))</f>
        <v/>
      </c>
      <c r="N1303" s="18" t="str">
        <f aca="false">IF(A1303="","",IF(AND(OR(F1303="Bekliyor",F1303="Parça bekleniyor",F1303="Hazır"),M1303&gt;7),"7 günü geçti",""))</f>
        <v/>
      </c>
      <c r="O1303" s="18" t="str">
        <f aca="false">IF(AND(A1303&lt;&gt;"",OR(F1303="Bekliyor",F1303="Parça bekleniyor",F1303="Hazır")),A1303+ROW()/1000000,"")</f>
        <v/>
      </c>
    </row>
    <row r="1304" customFormat="false" ht="15" hidden="false" customHeight="false" outlineLevel="0" collapsed="false">
      <c r="A1304" s="12"/>
      <c r="B1304" s="13"/>
      <c r="C1304" s="13"/>
      <c r="D1304" s="13"/>
      <c r="E1304" s="13"/>
      <c r="F1304" s="14"/>
      <c r="G1304" s="15"/>
      <c r="H1304" s="15"/>
      <c r="I1304" s="15"/>
      <c r="J1304" s="12"/>
      <c r="K1304" s="16" t="str">
        <f aca="false">IF(A1304="","",G1304+H1304)</f>
        <v/>
      </c>
      <c r="L1304" s="16" t="str">
        <f aca="false">IF(A1304="","",IF(F1304="İade edildi",0,K1304-I1304))</f>
        <v/>
      </c>
      <c r="M1304" s="17" t="str">
        <f aca="true">IF(A1304="","",IF(J1304&lt;&gt;"",J1304-A1304,TODAY()-A1304))</f>
        <v/>
      </c>
      <c r="N1304" s="18" t="str">
        <f aca="false">IF(A1304="","",IF(AND(OR(F1304="Bekliyor",F1304="Parça bekleniyor",F1304="Hazır"),M1304&gt;7),"7 günü geçti",""))</f>
        <v/>
      </c>
      <c r="O1304" s="18" t="str">
        <f aca="false">IF(AND(A1304&lt;&gt;"",OR(F1304="Bekliyor",F1304="Parça bekleniyor",F1304="Hazır")),A1304+ROW()/1000000,"")</f>
        <v/>
      </c>
    </row>
    <row r="1305" customFormat="false" ht="15" hidden="false" customHeight="false" outlineLevel="0" collapsed="false">
      <c r="A1305" s="12"/>
      <c r="B1305" s="13"/>
      <c r="C1305" s="13"/>
      <c r="D1305" s="13"/>
      <c r="E1305" s="13"/>
      <c r="F1305" s="14"/>
      <c r="G1305" s="15"/>
      <c r="H1305" s="15"/>
      <c r="I1305" s="15"/>
      <c r="J1305" s="12"/>
      <c r="K1305" s="16" t="str">
        <f aca="false">IF(A1305="","",G1305+H1305)</f>
        <v/>
      </c>
      <c r="L1305" s="16" t="str">
        <f aca="false">IF(A1305="","",IF(F1305="İade edildi",0,K1305-I1305))</f>
        <v/>
      </c>
      <c r="M1305" s="17" t="str">
        <f aca="true">IF(A1305="","",IF(J1305&lt;&gt;"",J1305-A1305,TODAY()-A1305))</f>
        <v/>
      </c>
      <c r="N1305" s="18" t="str">
        <f aca="false">IF(A1305="","",IF(AND(OR(F1305="Bekliyor",F1305="Parça bekleniyor",F1305="Hazır"),M1305&gt;7),"7 günü geçti",""))</f>
        <v/>
      </c>
      <c r="O1305" s="18" t="str">
        <f aca="false">IF(AND(A1305&lt;&gt;"",OR(F1305="Bekliyor",F1305="Parça bekleniyor",F1305="Hazır")),A1305+ROW()/1000000,"")</f>
        <v/>
      </c>
    </row>
    <row r="1306" customFormat="false" ht="15" hidden="false" customHeight="false" outlineLevel="0" collapsed="false">
      <c r="A1306" s="12"/>
      <c r="B1306" s="13"/>
      <c r="C1306" s="13"/>
      <c r="D1306" s="13"/>
      <c r="E1306" s="13"/>
      <c r="F1306" s="14"/>
      <c r="G1306" s="15"/>
      <c r="H1306" s="15"/>
      <c r="I1306" s="15"/>
      <c r="J1306" s="12"/>
      <c r="K1306" s="16" t="str">
        <f aca="false">IF(A1306="","",G1306+H1306)</f>
        <v/>
      </c>
      <c r="L1306" s="16" t="str">
        <f aca="false">IF(A1306="","",IF(F1306="İade edildi",0,K1306-I1306))</f>
        <v/>
      </c>
      <c r="M1306" s="17" t="str">
        <f aca="true">IF(A1306="","",IF(J1306&lt;&gt;"",J1306-A1306,TODAY()-A1306))</f>
        <v/>
      </c>
      <c r="N1306" s="18" t="str">
        <f aca="false">IF(A1306="","",IF(AND(OR(F1306="Bekliyor",F1306="Parça bekleniyor",F1306="Hazır"),M1306&gt;7),"7 günü geçti",""))</f>
        <v/>
      </c>
      <c r="O1306" s="18" t="str">
        <f aca="false">IF(AND(A1306&lt;&gt;"",OR(F1306="Bekliyor",F1306="Parça bekleniyor",F1306="Hazır")),A1306+ROW()/1000000,"")</f>
        <v/>
      </c>
    </row>
    <row r="1307" customFormat="false" ht="15" hidden="false" customHeight="false" outlineLevel="0" collapsed="false">
      <c r="A1307" s="12"/>
      <c r="B1307" s="13"/>
      <c r="C1307" s="13"/>
      <c r="D1307" s="13"/>
      <c r="E1307" s="13"/>
      <c r="F1307" s="14"/>
      <c r="G1307" s="15"/>
      <c r="H1307" s="15"/>
      <c r="I1307" s="15"/>
      <c r="J1307" s="12"/>
      <c r="K1307" s="16" t="str">
        <f aca="false">IF(A1307="","",G1307+H1307)</f>
        <v/>
      </c>
      <c r="L1307" s="16" t="str">
        <f aca="false">IF(A1307="","",IF(F1307="İade edildi",0,K1307-I1307))</f>
        <v/>
      </c>
      <c r="M1307" s="17" t="str">
        <f aca="true">IF(A1307="","",IF(J1307&lt;&gt;"",J1307-A1307,TODAY()-A1307))</f>
        <v/>
      </c>
      <c r="N1307" s="18" t="str">
        <f aca="false">IF(A1307="","",IF(AND(OR(F1307="Bekliyor",F1307="Parça bekleniyor",F1307="Hazır"),M1307&gt;7),"7 günü geçti",""))</f>
        <v/>
      </c>
      <c r="O1307" s="18" t="str">
        <f aca="false">IF(AND(A1307&lt;&gt;"",OR(F1307="Bekliyor",F1307="Parça bekleniyor",F1307="Hazır")),A1307+ROW()/1000000,"")</f>
        <v/>
      </c>
    </row>
    <row r="1308" customFormat="false" ht="15" hidden="false" customHeight="false" outlineLevel="0" collapsed="false">
      <c r="A1308" s="12"/>
      <c r="B1308" s="13"/>
      <c r="C1308" s="13"/>
      <c r="D1308" s="13"/>
      <c r="E1308" s="13"/>
      <c r="F1308" s="14"/>
      <c r="G1308" s="15"/>
      <c r="H1308" s="15"/>
      <c r="I1308" s="15"/>
      <c r="J1308" s="12"/>
      <c r="K1308" s="16" t="str">
        <f aca="false">IF(A1308="","",G1308+H1308)</f>
        <v/>
      </c>
      <c r="L1308" s="16" t="str">
        <f aca="false">IF(A1308="","",IF(F1308="İade edildi",0,K1308-I1308))</f>
        <v/>
      </c>
      <c r="M1308" s="17" t="str">
        <f aca="true">IF(A1308="","",IF(J1308&lt;&gt;"",J1308-A1308,TODAY()-A1308))</f>
        <v/>
      </c>
      <c r="N1308" s="18" t="str">
        <f aca="false">IF(A1308="","",IF(AND(OR(F1308="Bekliyor",F1308="Parça bekleniyor",F1308="Hazır"),M1308&gt;7),"7 günü geçti",""))</f>
        <v/>
      </c>
      <c r="O1308" s="18" t="str">
        <f aca="false">IF(AND(A1308&lt;&gt;"",OR(F1308="Bekliyor",F1308="Parça bekleniyor",F1308="Hazır")),A1308+ROW()/1000000,"")</f>
        <v/>
      </c>
    </row>
    <row r="1309" customFormat="false" ht="15" hidden="false" customHeight="false" outlineLevel="0" collapsed="false">
      <c r="A1309" s="12"/>
      <c r="B1309" s="13"/>
      <c r="C1309" s="13"/>
      <c r="D1309" s="13"/>
      <c r="E1309" s="13"/>
      <c r="F1309" s="14"/>
      <c r="G1309" s="15"/>
      <c r="H1309" s="15"/>
      <c r="I1309" s="15"/>
      <c r="J1309" s="12"/>
      <c r="K1309" s="16" t="str">
        <f aca="false">IF(A1309="","",G1309+H1309)</f>
        <v/>
      </c>
      <c r="L1309" s="16" t="str">
        <f aca="false">IF(A1309="","",IF(F1309="İade edildi",0,K1309-I1309))</f>
        <v/>
      </c>
      <c r="M1309" s="17" t="str">
        <f aca="true">IF(A1309="","",IF(J1309&lt;&gt;"",J1309-A1309,TODAY()-A1309))</f>
        <v/>
      </c>
      <c r="N1309" s="18" t="str">
        <f aca="false">IF(A1309="","",IF(AND(OR(F1309="Bekliyor",F1309="Parça bekleniyor",F1309="Hazır"),M1309&gt;7),"7 günü geçti",""))</f>
        <v/>
      </c>
      <c r="O1309" s="18" t="str">
        <f aca="false">IF(AND(A1309&lt;&gt;"",OR(F1309="Bekliyor",F1309="Parça bekleniyor",F1309="Hazır")),A1309+ROW()/1000000,"")</f>
        <v/>
      </c>
    </row>
    <row r="1310" customFormat="false" ht="15" hidden="false" customHeight="false" outlineLevel="0" collapsed="false">
      <c r="A1310" s="12"/>
      <c r="B1310" s="13"/>
      <c r="C1310" s="13"/>
      <c r="D1310" s="13"/>
      <c r="E1310" s="13"/>
      <c r="F1310" s="14"/>
      <c r="G1310" s="15"/>
      <c r="H1310" s="15"/>
      <c r="I1310" s="15"/>
      <c r="J1310" s="12"/>
      <c r="K1310" s="16" t="str">
        <f aca="false">IF(A1310="","",G1310+H1310)</f>
        <v/>
      </c>
      <c r="L1310" s="16" t="str">
        <f aca="false">IF(A1310="","",IF(F1310="İade edildi",0,K1310-I1310))</f>
        <v/>
      </c>
      <c r="M1310" s="17" t="str">
        <f aca="true">IF(A1310="","",IF(J1310&lt;&gt;"",J1310-A1310,TODAY()-A1310))</f>
        <v/>
      </c>
      <c r="N1310" s="18" t="str">
        <f aca="false">IF(A1310="","",IF(AND(OR(F1310="Bekliyor",F1310="Parça bekleniyor",F1310="Hazır"),M1310&gt;7),"7 günü geçti",""))</f>
        <v/>
      </c>
      <c r="O1310" s="18" t="str">
        <f aca="false">IF(AND(A1310&lt;&gt;"",OR(F1310="Bekliyor",F1310="Parça bekleniyor",F1310="Hazır")),A1310+ROW()/1000000,"")</f>
        <v/>
      </c>
    </row>
    <row r="1311" customFormat="false" ht="15" hidden="false" customHeight="false" outlineLevel="0" collapsed="false">
      <c r="A1311" s="12"/>
      <c r="B1311" s="13"/>
      <c r="C1311" s="13"/>
      <c r="D1311" s="13"/>
      <c r="E1311" s="13"/>
      <c r="F1311" s="14"/>
      <c r="G1311" s="15"/>
      <c r="H1311" s="15"/>
      <c r="I1311" s="15"/>
      <c r="J1311" s="12"/>
      <c r="K1311" s="16" t="str">
        <f aca="false">IF(A1311="","",G1311+H1311)</f>
        <v/>
      </c>
      <c r="L1311" s="16" t="str">
        <f aca="false">IF(A1311="","",IF(F1311="İade edildi",0,K1311-I1311))</f>
        <v/>
      </c>
      <c r="M1311" s="17" t="str">
        <f aca="true">IF(A1311="","",IF(J1311&lt;&gt;"",J1311-A1311,TODAY()-A1311))</f>
        <v/>
      </c>
      <c r="N1311" s="18" t="str">
        <f aca="false">IF(A1311="","",IF(AND(OR(F1311="Bekliyor",F1311="Parça bekleniyor",F1311="Hazır"),M1311&gt;7),"7 günü geçti",""))</f>
        <v/>
      </c>
      <c r="O1311" s="18" t="str">
        <f aca="false">IF(AND(A1311&lt;&gt;"",OR(F1311="Bekliyor",F1311="Parça bekleniyor",F1311="Hazır")),A1311+ROW()/1000000,"")</f>
        <v/>
      </c>
    </row>
    <row r="1312" customFormat="false" ht="15" hidden="false" customHeight="false" outlineLevel="0" collapsed="false">
      <c r="A1312" s="12"/>
      <c r="B1312" s="13"/>
      <c r="C1312" s="13"/>
      <c r="D1312" s="13"/>
      <c r="E1312" s="13"/>
      <c r="F1312" s="14"/>
      <c r="G1312" s="15"/>
      <c r="H1312" s="15"/>
      <c r="I1312" s="15"/>
      <c r="J1312" s="12"/>
      <c r="K1312" s="16" t="str">
        <f aca="false">IF(A1312="","",G1312+H1312)</f>
        <v/>
      </c>
      <c r="L1312" s="16" t="str">
        <f aca="false">IF(A1312="","",IF(F1312="İade edildi",0,K1312-I1312))</f>
        <v/>
      </c>
      <c r="M1312" s="17" t="str">
        <f aca="true">IF(A1312="","",IF(J1312&lt;&gt;"",J1312-A1312,TODAY()-A1312))</f>
        <v/>
      </c>
      <c r="N1312" s="18" t="str">
        <f aca="false">IF(A1312="","",IF(AND(OR(F1312="Bekliyor",F1312="Parça bekleniyor",F1312="Hazır"),M1312&gt;7),"7 günü geçti",""))</f>
        <v/>
      </c>
      <c r="O1312" s="18" t="str">
        <f aca="false">IF(AND(A1312&lt;&gt;"",OR(F1312="Bekliyor",F1312="Parça bekleniyor",F1312="Hazır")),A1312+ROW()/1000000,"")</f>
        <v/>
      </c>
    </row>
    <row r="1313" customFormat="false" ht="15" hidden="false" customHeight="false" outlineLevel="0" collapsed="false">
      <c r="A1313" s="12"/>
      <c r="B1313" s="13"/>
      <c r="C1313" s="13"/>
      <c r="D1313" s="13"/>
      <c r="E1313" s="13"/>
      <c r="F1313" s="14"/>
      <c r="G1313" s="15"/>
      <c r="H1313" s="15"/>
      <c r="I1313" s="15"/>
      <c r="J1313" s="12"/>
      <c r="K1313" s="16" t="str">
        <f aca="false">IF(A1313="","",G1313+H1313)</f>
        <v/>
      </c>
      <c r="L1313" s="16" t="str">
        <f aca="false">IF(A1313="","",IF(F1313="İade edildi",0,K1313-I1313))</f>
        <v/>
      </c>
      <c r="M1313" s="17" t="str">
        <f aca="true">IF(A1313="","",IF(J1313&lt;&gt;"",J1313-A1313,TODAY()-A1313))</f>
        <v/>
      </c>
      <c r="N1313" s="18" t="str">
        <f aca="false">IF(A1313="","",IF(AND(OR(F1313="Bekliyor",F1313="Parça bekleniyor",F1313="Hazır"),M1313&gt;7),"7 günü geçti",""))</f>
        <v/>
      </c>
      <c r="O1313" s="18" t="str">
        <f aca="false">IF(AND(A1313&lt;&gt;"",OR(F1313="Bekliyor",F1313="Parça bekleniyor",F1313="Hazır")),A1313+ROW()/1000000,"")</f>
        <v/>
      </c>
    </row>
    <row r="1314" customFormat="false" ht="15" hidden="false" customHeight="false" outlineLevel="0" collapsed="false">
      <c r="A1314" s="12"/>
      <c r="B1314" s="13"/>
      <c r="C1314" s="13"/>
      <c r="D1314" s="13"/>
      <c r="E1314" s="13"/>
      <c r="F1314" s="14"/>
      <c r="G1314" s="15"/>
      <c r="H1314" s="15"/>
      <c r="I1314" s="15"/>
      <c r="J1314" s="12"/>
      <c r="K1314" s="16" t="str">
        <f aca="false">IF(A1314="","",G1314+H1314)</f>
        <v/>
      </c>
      <c r="L1314" s="16" t="str">
        <f aca="false">IF(A1314="","",IF(F1314="İade edildi",0,K1314-I1314))</f>
        <v/>
      </c>
      <c r="M1314" s="17" t="str">
        <f aca="true">IF(A1314="","",IF(J1314&lt;&gt;"",J1314-A1314,TODAY()-A1314))</f>
        <v/>
      </c>
      <c r="N1314" s="18" t="str">
        <f aca="false">IF(A1314="","",IF(AND(OR(F1314="Bekliyor",F1314="Parça bekleniyor",F1314="Hazır"),M1314&gt;7),"7 günü geçti",""))</f>
        <v/>
      </c>
      <c r="O1314" s="18" t="str">
        <f aca="false">IF(AND(A1314&lt;&gt;"",OR(F1314="Bekliyor",F1314="Parça bekleniyor",F1314="Hazır")),A1314+ROW()/1000000,"")</f>
        <v/>
      </c>
    </row>
    <row r="1315" customFormat="false" ht="15" hidden="false" customHeight="false" outlineLevel="0" collapsed="false">
      <c r="A1315" s="12"/>
      <c r="B1315" s="13"/>
      <c r="C1315" s="13"/>
      <c r="D1315" s="13"/>
      <c r="E1315" s="13"/>
      <c r="F1315" s="14"/>
      <c r="G1315" s="15"/>
      <c r="H1315" s="15"/>
      <c r="I1315" s="15"/>
      <c r="J1315" s="12"/>
      <c r="K1315" s="16" t="str">
        <f aca="false">IF(A1315="","",G1315+H1315)</f>
        <v/>
      </c>
      <c r="L1315" s="16" t="str">
        <f aca="false">IF(A1315="","",IF(F1315="İade edildi",0,K1315-I1315))</f>
        <v/>
      </c>
      <c r="M1315" s="17" t="str">
        <f aca="true">IF(A1315="","",IF(J1315&lt;&gt;"",J1315-A1315,TODAY()-A1315))</f>
        <v/>
      </c>
      <c r="N1315" s="18" t="str">
        <f aca="false">IF(A1315="","",IF(AND(OR(F1315="Bekliyor",F1315="Parça bekleniyor",F1315="Hazır"),M1315&gt;7),"7 günü geçti",""))</f>
        <v/>
      </c>
      <c r="O1315" s="18" t="str">
        <f aca="false">IF(AND(A1315&lt;&gt;"",OR(F1315="Bekliyor",F1315="Parça bekleniyor",F1315="Hazır")),A1315+ROW()/1000000,"")</f>
        <v/>
      </c>
    </row>
    <row r="1316" customFormat="false" ht="15" hidden="false" customHeight="false" outlineLevel="0" collapsed="false">
      <c r="A1316" s="12"/>
      <c r="B1316" s="13"/>
      <c r="C1316" s="13"/>
      <c r="D1316" s="13"/>
      <c r="E1316" s="13"/>
      <c r="F1316" s="14"/>
      <c r="G1316" s="15"/>
      <c r="H1316" s="15"/>
      <c r="I1316" s="15"/>
      <c r="J1316" s="12"/>
      <c r="K1316" s="16" t="str">
        <f aca="false">IF(A1316="","",G1316+H1316)</f>
        <v/>
      </c>
      <c r="L1316" s="16" t="str">
        <f aca="false">IF(A1316="","",IF(F1316="İade edildi",0,K1316-I1316))</f>
        <v/>
      </c>
      <c r="M1316" s="17" t="str">
        <f aca="true">IF(A1316="","",IF(J1316&lt;&gt;"",J1316-A1316,TODAY()-A1316))</f>
        <v/>
      </c>
      <c r="N1316" s="18" t="str">
        <f aca="false">IF(A1316="","",IF(AND(OR(F1316="Bekliyor",F1316="Parça bekleniyor",F1316="Hazır"),M1316&gt;7),"7 günü geçti",""))</f>
        <v/>
      </c>
      <c r="O1316" s="18" t="str">
        <f aca="false">IF(AND(A1316&lt;&gt;"",OR(F1316="Bekliyor",F1316="Parça bekleniyor",F1316="Hazır")),A1316+ROW()/1000000,"")</f>
        <v/>
      </c>
    </row>
    <row r="1317" customFormat="false" ht="15" hidden="false" customHeight="false" outlineLevel="0" collapsed="false">
      <c r="A1317" s="12"/>
      <c r="B1317" s="13"/>
      <c r="C1317" s="13"/>
      <c r="D1317" s="13"/>
      <c r="E1317" s="13"/>
      <c r="F1317" s="14"/>
      <c r="G1317" s="15"/>
      <c r="H1317" s="15"/>
      <c r="I1317" s="15"/>
      <c r="J1317" s="12"/>
      <c r="K1317" s="16" t="str">
        <f aca="false">IF(A1317="","",G1317+H1317)</f>
        <v/>
      </c>
      <c r="L1317" s="16" t="str">
        <f aca="false">IF(A1317="","",IF(F1317="İade edildi",0,K1317-I1317))</f>
        <v/>
      </c>
      <c r="M1317" s="17" t="str">
        <f aca="true">IF(A1317="","",IF(J1317&lt;&gt;"",J1317-A1317,TODAY()-A1317))</f>
        <v/>
      </c>
      <c r="N1317" s="18" t="str">
        <f aca="false">IF(A1317="","",IF(AND(OR(F1317="Bekliyor",F1317="Parça bekleniyor",F1317="Hazır"),M1317&gt;7),"7 günü geçti",""))</f>
        <v/>
      </c>
      <c r="O1317" s="18" t="str">
        <f aca="false">IF(AND(A1317&lt;&gt;"",OR(F1317="Bekliyor",F1317="Parça bekleniyor",F1317="Hazır")),A1317+ROW()/1000000,"")</f>
        <v/>
      </c>
    </row>
    <row r="1318" customFormat="false" ht="15" hidden="false" customHeight="false" outlineLevel="0" collapsed="false">
      <c r="A1318" s="12"/>
      <c r="B1318" s="13"/>
      <c r="C1318" s="13"/>
      <c r="D1318" s="13"/>
      <c r="E1318" s="13"/>
      <c r="F1318" s="14"/>
      <c r="G1318" s="15"/>
      <c r="H1318" s="15"/>
      <c r="I1318" s="15"/>
      <c r="J1318" s="12"/>
      <c r="K1318" s="16" t="str">
        <f aca="false">IF(A1318="","",G1318+H1318)</f>
        <v/>
      </c>
      <c r="L1318" s="16" t="str">
        <f aca="false">IF(A1318="","",IF(F1318="İade edildi",0,K1318-I1318))</f>
        <v/>
      </c>
      <c r="M1318" s="17" t="str">
        <f aca="true">IF(A1318="","",IF(J1318&lt;&gt;"",J1318-A1318,TODAY()-A1318))</f>
        <v/>
      </c>
      <c r="N1318" s="18" t="str">
        <f aca="false">IF(A1318="","",IF(AND(OR(F1318="Bekliyor",F1318="Parça bekleniyor",F1318="Hazır"),M1318&gt;7),"7 günü geçti",""))</f>
        <v/>
      </c>
      <c r="O1318" s="18" t="str">
        <f aca="false">IF(AND(A1318&lt;&gt;"",OR(F1318="Bekliyor",F1318="Parça bekleniyor",F1318="Hazır")),A1318+ROW()/1000000,"")</f>
        <v/>
      </c>
    </row>
    <row r="1319" customFormat="false" ht="15" hidden="false" customHeight="false" outlineLevel="0" collapsed="false">
      <c r="A1319" s="12"/>
      <c r="B1319" s="13"/>
      <c r="C1319" s="13"/>
      <c r="D1319" s="13"/>
      <c r="E1319" s="13"/>
      <c r="F1319" s="14"/>
      <c r="G1319" s="15"/>
      <c r="H1319" s="15"/>
      <c r="I1319" s="15"/>
      <c r="J1319" s="12"/>
      <c r="K1319" s="16" t="str">
        <f aca="false">IF(A1319="","",G1319+H1319)</f>
        <v/>
      </c>
      <c r="L1319" s="16" t="str">
        <f aca="false">IF(A1319="","",IF(F1319="İade edildi",0,K1319-I1319))</f>
        <v/>
      </c>
      <c r="M1319" s="17" t="str">
        <f aca="true">IF(A1319="","",IF(J1319&lt;&gt;"",J1319-A1319,TODAY()-A1319))</f>
        <v/>
      </c>
      <c r="N1319" s="18" t="str">
        <f aca="false">IF(A1319="","",IF(AND(OR(F1319="Bekliyor",F1319="Parça bekleniyor",F1319="Hazır"),M1319&gt;7),"7 günü geçti",""))</f>
        <v/>
      </c>
      <c r="O1319" s="18" t="str">
        <f aca="false">IF(AND(A1319&lt;&gt;"",OR(F1319="Bekliyor",F1319="Parça bekleniyor",F1319="Hazır")),A1319+ROW()/1000000,"")</f>
        <v/>
      </c>
    </row>
    <row r="1320" customFormat="false" ht="15" hidden="false" customHeight="false" outlineLevel="0" collapsed="false">
      <c r="A1320" s="12"/>
      <c r="B1320" s="13"/>
      <c r="C1320" s="13"/>
      <c r="D1320" s="13"/>
      <c r="E1320" s="13"/>
      <c r="F1320" s="14"/>
      <c r="G1320" s="15"/>
      <c r="H1320" s="15"/>
      <c r="I1320" s="15"/>
      <c r="J1320" s="12"/>
      <c r="K1320" s="16" t="str">
        <f aca="false">IF(A1320="","",G1320+H1320)</f>
        <v/>
      </c>
      <c r="L1320" s="16" t="str">
        <f aca="false">IF(A1320="","",IF(F1320="İade edildi",0,K1320-I1320))</f>
        <v/>
      </c>
      <c r="M1320" s="17" t="str">
        <f aca="true">IF(A1320="","",IF(J1320&lt;&gt;"",J1320-A1320,TODAY()-A1320))</f>
        <v/>
      </c>
      <c r="N1320" s="18" t="str">
        <f aca="false">IF(A1320="","",IF(AND(OR(F1320="Bekliyor",F1320="Parça bekleniyor",F1320="Hazır"),M1320&gt;7),"7 günü geçti",""))</f>
        <v/>
      </c>
      <c r="O1320" s="18" t="str">
        <f aca="false">IF(AND(A1320&lt;&gt;"",OR(F1320="Bekliyor",F1320="Parça bekleniyor",F1320="Hazır")),A1320+ROW()/1000000,"")</f>
        <v/>
      </c>
    </row>
    <row r="1321" customFormat="false" ht="15" hidden="false" customHeight="false" outlineLevel="0" collapsed="false">
      <c r="A1321" s="12"/>
      <c r="B1321" s="13"/>
      <c r="C1321" s="13"/>
      <c r="D1321" s="13"/>
      <c r="E1321" s="13"/>
      <c r="F1321" s="14"/>
      <c r="G1321" s="15"/>
      <c r="H1321" s="15"/>
      <c r="I1321" s="15"/>
      <c r="J1321" s="12"/>
      <c r="K1321" s="16" t="str">
        <f aca="false">IF(A1321="","",G1321+H1321)</f>
        <v/>
      </c>
      <c r="L1321" s="16" t="str">
        <f aca="false">IF(A1321="","",IF(F1321="İade edildi",0,K1321-I1321))</f>
        <v/>
      </c>
      <c r="M1321" s="17" t="str">
        <f aca="true">IF(A1321="","",IF(J1321&lt;&gt;"",J1321-A1321,TODAY()-A1321))</f>
        <v/>
      </c>
      <c r="N1321" s="18" t="str">
        <f aca="false">IF(A1321="","",IF(AND(OR(F1321="Bekliyor",F1321="Parça bekleniyor",F1321="Hazır"),M1321&gt;7),"7 günü geçti",""))</f>
        <v/>
      </c>
      <c r="O1321" s="18" t="str">
        <f aca="false">IF(AND(A1321&lt;&gt;"",OR(F1321="Bekliyor",F1321="Parça bekleniyor",F1321="Hazır")),A1321+ROW()/1000000,"")</f>
        <v/>
      </c>
    </row>
    <row r="1322" customFormat="false" ht="15" hidden="false" customHeight="false" outlineLevel="0" collapsed="false">
      <c r="A1322" s="12"/>
      <c r="B1322" s="13"/>
      <c r="C1322" s="13"/>
      <c r="D1322" s="13"/>
      <c r="E1322" s="13"/>
      <c r="F1322" s="14"/>
      <c r="G1322" s="15"/>
      <c r="H1322" s="15"/>
      <c r="I1322" s="15"/>
      <c r="J1322" s="12"/>
      <c r="K1322" s="16" t="str">
        <f aca="false">IF(A1322="","",G1322+H1322)</f>
        <v/>
      </c>
      <c r="L1322" s="16" t="str">
        <f aca="false">IF(A1322="","",IF(F1322="İade edildi",0,K1322-I1322))</f>
        <v/>
      </c>
      <c r="M1322" s="17" t="str">
        <f aca="true">IF(A1322="","",IF(J1322&lt;&gt;"",J1322-A1322,TODAY()-A1322))</f>
        <v/>
      </c>
      <c r="N1322" s="18" t="str">
        <f aca="false">IF(A1322="","",IF(AND(OR(F1322="Bekliyor",F1322="Parça bekleniyor",F1322="Hazır"),M1322&gt;7),"7 günü geçti",""))</f>
        <v/>
      </c>
      <c r="O1322" s="18" t="str">
        <f aca="false">IF(AND(A1322&lt;&gt;"",OR(F1322="Bekliyor",F1322="Parça bekleniyor",F1322="Hazır")),A1322+ROW()/1000000,"")</f>
        <v/>
      </c>
    </row>
    <row r="1323" customFormat="false" ht="15" hidden="false" customHeight="false" outlineLevel="0" collapsed="false">
      <c r="A1323" s="12"/>
      <c r="B1323" s="13"/>
      <c r="C1323" s="13"/>
      <c r="D1323" s="13"/>
      <c r="E1323" s="13"/>
      <c r="F1323" s="14"/>
      <c r="G1323" s="15"/>
      <c r="H1323" s="15"/>
      <c r="I1323" s="15"/>
      <c r="J1323" s="12"/>
      <c r="K1323" s="16" t="str">
        <f aca="false">IF(A1323="","",G1323+H1323)</f>
        <v/>
      </c>
      <c r="L1323" s="16" t="str">
        <f aca="false">IF(A1323="","",IF(F1323="İade edildi",0,K1323-I1323))</f>
        <v/>
      </c>
      <c r="M1323" s="17" t="str">
        <f aca="true">IF(A1323="","",IF(J1323&lt;&gt;"",J1323-A1323,TODAY()-A1323))</f>
        <v/>
      </c>
      <c r="N1323" s="18" t="str">
        <f aca="false">IF(A1323="","",IF(AND(OR(F1323="Bekliyor",F1323="Parça bekleniyor",F1323="Hazır"),M1323&gt;7),"7 günü geçti",""))</f>
        <v/>
      </c>
      <c r="O1323" s="18" t="str">
        <f aca="false">IF(AND(A1323&lt;&gt;"",OR(F1323="Bekliyor",F1323="Parça bekleniyor",F1323="Hazır")),A1323+ROW()/1000000,"")</f>
        <v/>
      </c>
    </row>
    <row r="1324" customFormat="false" ht="15" hidden="false" customHeight="false" outlineLevel="0" collapsed="false">
      <c r="A1324" s="12"/>
      <c r="B1324" s="13"/>
      <c r="C1324" s="13"/>
      <c r="D1324" s="13"/>
      <c r="E1324" s="13"/>
      <c r="F1324" s="14"/>
      <c r="G1324" s="15"/>
      <c r="H1324" s="15"/>
      <c r="I1324" s="15"/>
      <c r="J1324" s="12"/>
      <c r="K1324" s="16" t="str">
        <f aca="false">IF(A1324="","",G1324+H1324)</f>
        <v/>
      </c>
      <c r="L1324" s="16" t="str">
        <f aca="false">IF(A1324="","",IF(F1324="İade edildi",0,K1324-I1324))</f>
        <v/>
      </c>
      <c r="M1324" s="17" t="str">
        <f aca="true">IF(A1324="","",IF(J1324&lt;&gt;"",J1324-A1324,TODAY()-A1324))</f>
        <v/>
      </c>
      <c r="N1324" s="18" t="str">
        <f aca="false">IF(A1324="","",IF(AND(OR(F1324="Bekliyor",F1324="Parça bekleniyor",F1324="Hazır"),M1324&gt;7),"7 günü geçti",""))</f>
        <v/>
      </c>
      <c r="O1324" s="18" t="str">
        <f aca="false">IF(AND(A1324&lt;&gt;"",OR(F1324="Bekliyor",F1324="Parça bekleniyor",F1324="Hazır")),A1324+ROW()/1000000,"")</f>
        <v/>
      </c>
    </row>
    <row r="1325" customFormat="false" ht="15" hidden="false" customHeight="false" outlineLevel="0" collapsed="false">
      <c r="A1325" s="12"/>
      <c r="B1325" s="13"/>
      <c r="C1325" s="13"/>
      <c r="D1325" s="13"/>
      <c r="E1325" s="13"/>
      <c r="F1325" s="14"/>
      <c r="G1325" s="15"/>
      <c r="H1325" s="15"/>
      <c r="I1325" s="15"/>
      <c r="J1325" s="12"/>
      <c r="K1325" s="16" t="str">
        <f aca="false">IF(A1325="","",G1325+H1325)</f>
        <v/>
      </c>
      <c r="L1325" s="16" t="str">
        <f aca="false">IF(A1325="","",IF(F1325="İade edildi",0,K1325-I1325))</f>
        <v/>
      </c>
      <c r="M1325" s="17" t="str">
        <f aca="true">IF(A1325="","",IF(J1325&lt;&gt;"",J1325-A1325,TODAY()-A1325))</f>
        <v/>
      </c>
      <c r="N1325" s="18" t="str">
        <f aca="false">IF(A1325="","",IF(AND(OR(F1325="Bekliyor",F1325="Parça bekleniyor",F1325="Hazır"),M1325&gt;7),"7 günü geçti",""))</f>
        <v/>
      </c>
      <c r="O1325" s="18" t="str">
        <f aca="false">IF(AND(A1325&lt;&gt;"",OR(F1325="Bekliyor",F1325="Parça bekleniyor",F1325="Hazır")),A1325+ROW()/1000000,"")</f>
        <v/>
      </c>
    </row>
    <row r="1326" customFormat="false" ht="15" hidden="false" customHeight="false" outlineLevel="0" collapsed="false">
      <c r="A1326" s="12"/>
      <c r="B1326" s="13"/>
      <c r="C1326" s="13"/>
      <c r="D1326" s="13"/>
      <c r="E1326" s="13"/>
      <c r="F1326" s="14"/>
      <c r="G1326" s="15"/>
      <c r="H1326" s="15"/>
      <c r="I1326" s="15"/>
      <c r="J1326" s="12"/>
      <c r="K1326" s="16" t="str">
        <f aca="false">IF(A1326="","",G1326+H1326)</f>
        <v/>
      </c>
      <c r="L1326" s="16" t="str">
        <f aca="false">IF(A1326="","",IF(F1326="İade edildi",0,K1326-I1326))</f>
        <v/>
      </c>
      <c r="M1326" s="17" t="str">
        <f aca="true">IF(A1326="","",IF(J1326&lt;&gt;"",J1326-A1326,TODAY()-A1326))</f>
        <v/>
      </c>
      <c r="N1326" s="18" t="str">
        <f aca="false">IF(A1326="","",IF(AND(OR(F1326="Bekliyor",F1326="Parça bekleniyor",F1326="Hazır"),M1326&gt;7),"7 günü geçti",""))</f>
        <v/>
      </c>
      <c r="O1326" s="18" t="str">
        <f aca="false">IF(AND(A1326&lt;&gt;"",OR(F1326="Bekliyor",F1326="Parça bekleniyor",F1326="Hazır")),A1326+ROW()/1000000,"")</f>
        <v/>
      </c>
    </row>
    <row r="1327" customFormat="false" ht="15" hidden="false" customHeight="false" outlineLevel="0" collapsed="false">
      <c r="A1327" s="12"/>
      <c r="B1327" s="13"/>
      <c r="C1327" s="13"/>
      <c r="D1327" s="13"/>
      <c r="E1327" s="13"/>
      <c r="F1327" s="14"/>
      <c r="G1327" s="15"/>
      <c r="H1327" s="15"/>
      <c r="I1327" s="15"/>
      <c r="J1327" s="12"/>
      <c r="K1327" s="16" t="str">
        <f aca="false">IF(A1327="","",G1327+H1327)</f>
        <v/>
      </c>
      <c r="L1327" s="16" t="str">
        <f aca="false">IF(A1327="","",IF(F1327="İade edildi",0,K1327-I1327))</f>
        <v/>
      </c>
      <c r="M1327" s="17" t="str">
        <f aca="true">IF(A1327="","",IF(J1327&lt;&gt;"",J1327-A1327,TODAY()-A1327))</f>
        <v/>
      </c>
      <c r="N1327" s="18" t="str">
        <f aca="false">IF(A1327="","",IF(AND(OR(F1327="Bekliyor",F1327="Parça bekleniyor",F1327="Hazır"),M1327&gt;7),"7 günü geçti",""))</f>
        <v/>
      </c>
      <c r="O1327" s="18" t="str">
        <f aca="false">IF(AND(A1327&lt;&gt;"",OR(F1327="Bekliyor",F1327="Parça bekleniyor",F1327="Hazır")),A1327+ROW()/1000000,"")</f>
        <v/>
      </c>
    </row>
    <row r="1328" customFormat="false" ht="15" hidden="false" customHeight="false" outlineLevel="0" collapsed="false">
      <c r="A1328" s="12"/>
      <c r="B1328" s="13"/>
      <c r="C1328" s="13"/>
      <c r="D1328" s="13"/>
      <c r="E1328" s="13"/>
      <c r="F1328" s="14"/>
      <c r="G1328" s="15"/>
      <c r="H1328" s="15"/>
      <c r="I1328" s="15"/>
      <c r="J1328" s="12"/>
      <c r="K1328" s="16" t="str">
        <f aca="false">IF(A1328="","",G1328+H1328)</f>
        <v/>
      </c>
      <c r="L1328" s="16" t="str">
        <f aca="false">IF(A1328="","",IF(F1328="İade edildi",0,K1328-I1328))</f>
        <v/>
      </c>
      <c r="M1328" s="17" t="str">
        <f aca="true">IF(A1328="","",IF(J1328&lt;&gt;"",J1328-A1328,TODAY()-A1328))</f>
        <v/>
      </c>
      <c r="N1328" s="18" t="str">
        <f aca="false">IF(A1328="","",IF(AND(OR(F1328="Bekliyor",F1328="Parça bekleniyor",F1328="Hazır"),M1328&gt;7),"7 günü geçti",""))</f>
        <v/>
      </c>
      <c r="O1328" s="18" t="str">
        <f aca="false">IF(AND(A1328&lt;&gt;"",OR(F1328="Bekliyor",F1328="Parça bekleniyor",F1328="Hazır")),A1328+ROW()/1000000,"")</f>
        <v/>
      </c>
    </row>
    <row r="1329" customFormat="false" ht="15" hidden="false" customHeight="false" outlineLevel="0" collapsed="false">
      <c r="A1329" s="12"/>
      <c r="B1329" s="13"/>
      <c r="C1329" s="13"/>
      <c r="D1329" s="13"/>
      <c r="E1329" s="13"/>
      <c r="F1329" s="14"/>
      <c r="G1329" s="15"/>
      <c r="H1329" s="15"/>
      <c r="I1329" s="15"/>
      <c r="J1329" s="12"/>
      <c r="K1329" s="16" t="str">
        <f aca="false">IF(A1329="","",G1329+H1329)</f>
        <v/>
      </c>
      <c r="L1329" s="16" t="str">
        <f aca="false">IF(A1329="","",IF(F1329="İade edildi",0,K1329-I1329))</f>
        <v/>
      </c>
      <c r="M1329" s="17" t="str">
        <f aca="true">IF(A1329="","",IF(J1329&lt;&gt;"",J1329-A1329,TODAY()-A1329))</f>
        <v/>
      </c>
      <c r="N1329" s="18" t="str">
        <f aca="false">IF(A1329="","",IF(AND(OR(F1329="Bekliyor",F1329="Parça bekleniyor",F1329="Hazır"),M1329&gt;7),"7 günü geçti",""))</f>
        <v/>
      </c>
      <c r="O1329" s="18" t="str">
        <f aca="false">IF(AND(A1329&lt;&gt;"",OR(F1329="Bekliyor",F1329="Parça bekleniyor",F1329="Hazır")),A1329+ROW()/1000000,"")</f>
        <v/>
      </c>
    </row>
    <row r="1330" customFormat="false" ht="15" hidden="false" customHeight="false" outlineLevel="0" collapsed="false">
      <c r="A1330" s="12"/>
      <c r="B1330" s="13"/>
      <c r="C1330" s="13"/>
      <c r="D1330" s="13"/>
      <c r="E1330" s="13"/>
      <c r="F1330" s="14"/>
      <c r="G1330" s="15"/>
      <c r="H1330" s="15"/>
      <c r="I1330" s="15"/>
      <c r="J1330" s="12"/>
      <c r="K1330" s="16" t="str">
        <f aca="false">IF(A1330="","",G1330+H1330)</f>
        <v/>
      </c>
      <c r="L1330" s="16" t="str">
        <f aca="false">IF(A1330="","",IF(F1330="İade edildi",0,K1330-I1330))</f>
        <v/>
      </c>
      <c r="M1330" s="17" t="str">
        <f aca="true">IF(A1330="","",IF(J1330&lt;&gt;"",J1330-A1330,TODAY()-A1330))</f>
        <v/>
      </c>
      <c r="N1330" s="18" t="str">
        <f aca="false">IF(A1330="","",IF(AND(OR(F1330="Bekliyor",F1330="Parça bekleniyor",F1330="Hazır"),M1330&gt;7),"7 günü geçti",""))</f>
        <v/>
      </c>
      <c r="O1330" s="18" t="str">
        <f aca="false">IF(AND(A1330&lt;&gt;"",OR(F1330="Bekliyor",F1330="Parça bekleniyor",F1330="Hazır")),A1330+ROW()/1000000,"")</f>
        <v/>
      </c>
    </row>
    <row r="1331" customFormat="false" ht="15" hidden="false" customHeight="false" outlineLevel="0" collapsed="false">
      <c r="A1331" s="12"/>
      <c r="B1331" s="13"/>
      <c r="C1331" s="13"/>
      <c r="D1331" s="13"/>
      <c r="E1331" s="13"/>
      <c r="F1331" s="14"/>
      <c r="G1331" s="15"/>
      <c r="H1331" s="15"/>
      <c r="I1331" s="15"/>
      <c r="J1331" s="12"/>
      <c r="K1331" s="16" t="str">
        <f aca="false">IF(A1331="","",G1331+H1331)</f>
        <v/>
      </c>
      <c r="L1331" s="16" t="str">
        <f aca="false">IF(A1331="","",IF(F1331="İade edildi",0,K1331-I1331))</f>
        <v/>
      </c>
      <c r="M1331" s="17" t="str">
        <f aca="true">IF(A1331="","",IF(J1331&lt;&gt;"",J1331-A1331,TODAY()-A1331))</f>
        <v/>
      </c>
      <c r="N1331" s="18" t="str">
        <f aca="false">IF(A1331="","",IF(AND(OR(F1331="Bekliyor",F1331="Parça bekleniyor",F1331="Hazır"),M1331&gt;7),"7 günü geçti",""))</f>
        <v/>
      </c>
      <c r="O1331" s="18" t="str">
        <f aca="false">IF(AND(A1331&lt;&gt;"",OR(F1331="Bekliyor",F1331="Parça bekleniyor",F1331="Hazır")),A1331+ROW()/1000000,"")</f>
        <v/>
      </c>
    </row>
    <row r="1332" customFormat="false" ht="15" hidden="false" customHeight="false" outlineLevel="0" collapsed="false">
      <c r="A1332" s="12"/>
      <c r="B1332" s="13"/>
      <c r="C1332" s="13"/>
      <c r="D1332" s="13"/>
      <c r="E1332" s="13"/>
      <c r="F1332" s="14"/>
      <c r="G1332" s="15"/>
      <c r="H1332" s="15"/>
      <c r="I1332" s="15"/>
      <c r="J1332" s="12"/>
      <c r="K1332" s="16" t="str">
        <f aca="false">IF(A1332="","",G1332+H1332)</f>
        <v/>
      </c>
      <c r="L1332" s="16" t="str">
        <f aca="false">IF(A1332="","",IF(F1332="İade edildi",0,K1332-I1332))</f>
        <v/>
      </c>
      <c r="M1332" s="17" t="str">
        <f aca="true">IF(A1332="","",IF(J1332&lt;&gt;"",J1332-A1332,TODAY()-A1332))</f>
        <v/>
      </c>
      <c r="N1332" s="18" t="str">
        <f aca="false">IF(A1332="","",IF(AND(OR(F1332="Bekliyor",F1332="Parça bekleniyor",F1332="Hazır"),M1332&gt;7),"7 günü geçti",""))</f>
        <v/>
      </c>
      <c r="O1332" s="18" t="str">
        <f aca="false">IF(AND(A1332&lt;&gt;"",OR(F1332="Bekliyor",F1332="Parça bekleniyor",F1332="Hazır")),A1332+ROW()/1000000,"")</f>
        <v/>
      </c>
    </row>
    <row r="1333" customFormat="false" ht="15" hidden="false" customHeight="false" outlineLevel="0" collapsed="false">
      <c r="A1333" s="12"/>
      <c r="B1333" s="13"/>
      <c r="C1333" s="13"/>
      <c r="D1333" s="13"/>
      <c r="E1333" s="13"/>
      <c r="F1333" s="14"/>
      <c r="G1333" s="15"/>
      <c r="H1333" s="15"/>
      <c r="I1333" s="15"/>
      <c r="J1333" s="12"/>
      <c r="K1333" s="16" t="str">
        <f aca="false">IF(A1333="","",G1333+H1333)</f>
        <v/>
      </c>
      <c r="L1333" s="16" t="str">
        <f aca="false">IF(A1333="","",IF(F1333="İade edildi",0,K1333-I1333))</f>
        <v/>
      </c>
      <c r="M1333" s="17" t="str">
        <f aca="true">IF(A1333="","",IF(J1333&lt;&gt;"",J1333-A1333,TODAY()-A1333))</f>
        <v/>
      </c>
      <c r="N1333" s="18" t="str">
        <f aca="false">IF(A1333="","",IF(AND(OR(F1333="Bekliyor",F1333="Parça bekleniyor",F1333="Hazır"),M1333&gt;7),"7 günü geçti",""))</f>
        <v/>
      </c>
      <c r="O1333" s="18" t="str">
        <f aca="false">IF(AND(A1333&lt;&gt;"",OR(F1333="Bekliyor",F1333="Parça bekleniyor",F1333="Hazır")),A1333+ROW()/1000000,"")</f>
        <v/>
      </c>
    </row>
    <row r="1334" customFormat="false" ht="15" hidden="false" customHeight="false" outlineLevel="0" collapsed="false">
      <c r="A1334" s="12"/>
      <c r="B1334" s="13"/>
      <c r="C1334" s="13"/>
      <c r="D1334" s="13"/>
      <c r="E1334" s="13"/>
      <c r="F1334" s="14"/>
      <c r="G1334" s="15"/>
      <c r="H1334" s="15"/>
      <c r="I1334" s="15"/>
      <c r="J1334" s="12"/>
      <c r="K1334" s="16" t="str">
        <f aca="false">IF(A1334="","",G1334+H1334)</f>
        <v/>
      </c>
      <c r="L1334" s="16" t="str">
        <f aca="false">IF(A1334="","",IF(F1334="İade edildi",0,K1334-I1334))</f>
        <v/>
      </c>
      <c r="M1334" s="17" t="str">
        <f aca="true">IF(A1334="","",IF(J1334&lt;&gt;"",J1334-A1334,TODAY()-A1334))</f>
        <v/>
      </c>
      <c r="N1334" s="18" t="str">
        <f aca="false">IF(A1334="","",IF(AND(OR(F1334="Bekliyor",F1334="Parça bekleniyor",F1334="Hazır"),M1334&gt;7),"7 günü geçti",""))</f>
        <v/>
      </c>
      <c r="O1334" s="18" t="str">
        <f aca="false">IF(AND(A1334&lt;&gt;"",OR(F1334="Bekliyor",F1334="Parça bekleniyor",F1334="Hazır")),A1334+ROW()/1000000,"")</f>
        <v/>
      </c>
    </row>
    <row r="1335" customFormat="false" ht="15" hidden="false" customHeight="false" outlineLevel="0" collapsed="false">
      <c r="A1335" s="12"/>
      <c r="B1335" s="13"/>
      <c r="C1335" s="13"/>
      <c r="D1335" s="13"/>
      <c r="E1335" s="13"/>
      <c r="F1335" s="14"/>
      <c r="G1335" s="15"/>
      <c r="H1335" s="15"/>
      <c r="I1335" s="15"/>
      <c r="J1335" s="12"/>
      <c r="K1335" s="16" t="str">
        <f aca="false">IF(A1335="","",G1335+H1335)</f>
        <v/>
      </c>
      <c r="L1335" s="16" t="str">
        <f aca="false">IF(A1335="","",IF(F1335="İade edildi",0,K1335-I1335))</f>
        <v/>
      </c>
      <c r="M1335" s="17" t="str">
        <f aca="true">IF(A1335="","",IF(J1335&lt;&gt;"",J1335-A1335,TODAY()-A1335))</f>
        <v/>
      </c>
      <c r="N1335" s="18" t="str">
        <f aca="false">IF(A1335="","",IF(AND(OR(F1335="Bekliyor",F1335="Parça bekleniyor",F1335="Hazır"),M1335&gt;7),"7 günü geçti",""))</f>
        <v/>
      </c>
      <c r="O1335" s="18" t="str">
        <f aca="false">IF(AND(A1335&lt;&gt;"",OR(F1335="Bekliyor",F1335="Parça bekleniyor",F1335="Hazır")),A1335+ROW()/1000000,"")</f>
        <v/>
      </c>
    </row>
    <row r="1336" customFormat="false" ht="15" hidden="false" customHeight="false" outlineLevel="0" collapsed="false">
      <c r="A1336" s="12"/>
      <c r="B1336" s="13"/>
      <c r="C1336" s="13"/>
      <c r="D1336" s="13"/>
      <c r="E1336" s="13"/>
      <c r="F1336" s="14"/>
      <c r="G1336" s="15"/>
      <c r="H1336" s="15"/>
      <c r="I1336" s="15"/>
      <c r="J1336" s="12"/>
      <c r="K1336" s="16" t="str">
        <f aca="false">IF(A1336="","",G1336+H1336)</f>
        <v/>
      </c>
      <c r="L1336" s="16" t="str">
        <f aca="false">IF(A1336="","",IF(F1336="İade edildi",0,K1336-I1336))</f>
        <v/>
      </c>
      <c r="M1336" s="17" t="str">
        <f aca="true">IF(A1336="","",IF(J1336&lt;&gt;"",J1336-A1336,TODAY()-A1336))</f>
        <v/>
      </c>
      <c r="N1336" s="18" t="str">
        <f aca="false">IF(A1336="","",IF(AND(OR(F1336="Bekliyor",F1336="Parça bekleniyor",F1336="Hazır"),M1336&gt;7),"7 günü geçti",""))</f>
        <v/>
      </c>
      <c r="O1336" s="18" t="str">
        <f aca="false">IF(AND(A1336&lt;&gt;"",OR(F1336="Bekliyor",F1336="Parça bekleniyor",F1336="Hazır")),A1336+ROW()/1000000,"")</f>
        <v/>
      </c>
    </row>
    <row r="1337" customFormat="false" ht="15" hidden="false" customHeight="false" outlineLevel="0" collapsed="false">
      <c r="A1337" s="12"/>
      <c r="B1337" s="13"/>
      <c r="C1337" s="13"/>
      <c r="D1337" s="13"/>
      <c r="E1337" s="13"/>
      <c r="F1337" s="14"/>
      <c r="G1337" s="15"/>
      <c r="H1337" s="15"/>
      <c r="I1337" s="15"/>
      <c r="J1337" s="12"/>
      <c r="K1337" s="16" t="str">
        <f aca="false">IF(A1337="","",G1337+H1337)</f>
        <v/>
      </c>
      <c r="L1337" s="16" t="str">
        <f aca="false">IF(A1337="","",IF(F1337="İade edildi",0,K1337-I1337))</f>
        <v/>
      </c>
      <c r="M1337" s="17" t="str">
        <f aca="true">IF(A1337="","",IF(J1337&lt;&gt;"",J1337-A1337,TODAY()-A1337))</f>
        <v/>
      </c>
      <c r="N1337" s="18" t="str">
        <f aca="false">IF(A1337="","",IF(AND(OR(F1337="Bekliyor",F1337="Parça bekleniyor",F1337="Hazır"),M1337&gt;7),"7 günü geçti",""))</f>
        <v/>
      </c>
      <c r="O1337" s="18" t="str">
        <f aca="false">IF(AND(A1337&lt;&gt;"",OR(F1337="Bekliyor",F1337="Parça bekleniyor",F1337="Hazır")),A1337+ROW()/1000000,"")</f>
        <v/>
      </c>
    </row>
    <row r="1338" customFormat="false" ht="15" hidden="false" customHeight="false" outlineLevel="0" collapsed="false">
      <c r="A1338" s="12"/>
      <c r="B1338" s="13"/>
      <c r="C1338" s="13"/>
      <c r="D1338" s="13"/>
      <c r="E1338" s="13"/>
      <c r="F1338" s="14"/>
      <c r="G1338" s="15"/>
      <c r="H1338" s="15"/>
      <c r="I1338" s="15"/>
      <c r="J1338" s="12"/>
      <c r="K1338" s="16" t="str">
        <f aca="false">IF(A1338="","",G1338+H1338)</f>
        <v/>
      </c>
      <c r="L1338" s="16" t="str">
        <f aca="false">IF(A1338="","",IF(F1338="İade edildi",0,K1338-I1338))</f>
        <v/>
      </c>
      <c r="M1338" s="17" t="str">
        <f aca="true">IF(A1338="","",IF(J1338&lt;&gt;"",J1338-A1338,TODAY()-A1338))</f>
        <v/>
      </c>
      <c r="N1338" s="18" t="str">
        <f aca="false">IF(A1338="","",IF(AND(OR(F1338="Bekliyor",F1338="Parça bekleniyor",F1338="Hazır"),M1338&gt;7),"7 günü geçti",""))</f>
        <v/>
      </c>
      <c r="O1338" s="18" t="str">
        <f aca="false">IF(AND(A1338&lt;&gt;"",OR(F1338="Bekliyor",F1338="Parça bekleniyor",F1338="Hazır")),A1338+ROW()/1000000,"")</f>
        <v/>
      </c>
    </row>
    <row r="1339" customFormat="false" ht="15" hidden="false" customHeight="false" outlineLevel="0" collapsed="false">
      <c r="A1339" s="12"/>
      <c r="B1339" s="13"/>
      <c r="C1339" s="13"/>
      <c r="D1339" s="13"/>
      <c r="E1339" s="13"/>
      <c r="F1339" s="14"/>
      <c r="G1339" s="15"/>
      <c r="H1339" s="15"/>
      <c r="I1339" s="15"/>
      <c r="J1339" s="12"/>
      <c r="K1339" s="16" t="str">
        <f aca="false">IF(A1339="","",G1339+H1339)</f>
        <v/>
      </c>
      <c r="L1339" s="16" t="str">
        <f aca="false">IF(A1339="","",IF(F1339="İade edildi",0,K1339-I1339))</f>
        <v/>
      </c>
      <c r="M1339" s="17" t="str">
        <f aca="true">IF(A1339="","",IF(J1339&lt;&gt;"",J1339-A1339,TODAY()-A1339))</f>
        <v/>
      </c>
      <c r="N1339" s="18" t="str">
        <f aca="false">IF(A1339="","",IF(AND(OR(F1339="Bekliyor",F1339="Parça bekleniyor",F1339="Hazır"),M1339&gt;7),"7 günü geçti",""))</f>
        <v/>
      </c>
      <c r="O1339" s="18" t="str">
        <f aca="false">IF(AND(A1339&lt;&gt;"",OR(F1339="Bekliyor",F1339="Parça bekleniyor",F1339="Hazır")),A1339+ROW()/1000000,"")</f>
        <v/>
      </c>
    </row>
    <row r="1340" customFormat="false" ht="15" hidden="false" customHeight="false" outlineLevel="0" collapsed="false">
      <c r="A1340" s="12"/>
      <c r="B1340" s="13"/>
      <c r="C1340" s="13"/>
      <c r="D1340" s="13"/>
      <c r="E1340" s="13"/>
      <c r="F1340" s="14"/>
      <c r="G1340" s="15"/>
      <c r="H1340" s="15"/>
      <c r="I1340" s="15"/>
      <c r="J1340" s="12"/>
      <c r="K1340" s="16" t="str">
        <f aca="false">IF(A1340="","",G1340+H1340)</f>
        <v/>
      </c>
      <c r="L1340" s="16" t="str">
        <f aca="false">IF(A1340="","",IF(F1340="İade edildi",0,K1340-I1340))</f>
        <v/>
      </c>
      <c r="M1340" s="17" t="str">
        <f aca="true">IF(A1340="","",IF(J1340&lt;&gt;"",J1340-A1340,TODAY()-A1340))</f>
        <v/>
      </c>
      <c r="N1340" s="18" t="str">
        <f aca="false">IF(A1340="","",IF(AND(OR(F1340="Bekliyor",F1340="Parça bekleniyor",F1340="Hazır"),M1340&gt;7),"7 günü geçti",""))</f>
        <v/>
      </c>
      <c r="O1340" s="18" t="str">
        <f aca="false">IF(AND(A1340&lt;&gt;"",OR(F1340="Bekliyor",F1340="Parça bekleniyor",F1340="Hazır")),A1340+ROW()/1000000,"")</f>
        <v/>
      </c>
    </row>
    <row r="1341" customFormat="false" ht="15" hidden="false" customHeight="false" outlineLevel="0" collapsed="false">
      <c r="A1341" s="12"/>
      <c r="B1341" s="13"/>
      <c r="C1341" s="13"/>
      <c r="D1341" s="13"/>
      <c r="E1341" s="13"/>
      <c r="F1341" s="14"/>
      <c r="G1341" s="15"/>
      <c r="H1341" s="15"/>
      <c r="I1341" s="15"/>
      <c r="J1341" s="12"/>
      <c r="K1341" s="16" t="str">
        <f aca="false">IF(A1341="","",G1341+H1341)</f>
        <v/>
      </c>
      <c r="L1341" s="16" t="str">
        <f aca="false">IF(A1341="","",IF(F1341="İade edildi",0,K1341-I1341))</f>
        <v/>
      </c>
      <c r="M1341" s="17" t="str">
        <f aca="true">IF(A1341="","",IF(J1341&lt;&gt;"",J1341-A1341,TODAY()-A1341))</f>
        <v/>
      </c>
      <c r="N1341" s="18" t="str">
        <f aca="false">IF(A1341="","",IF(AND(OR(F1341="Bekliyor",F1341="Parça bekleniyor",F1341="Hazır"),M1341&gt;7),"7 günü geçti",""))</f>
        <v/>
      </c>
      <c r="O1341" s="18" t="str">
        <f aca="false">IF(AND(A1341&lt;&gt;"",OR(F1341="Bekliyor",F1341="Parça bekleniyor",F1341="Hazır")),A1341+ROW()/1000000,"")</f>
        <v/>
      </c>
    </row>
    <row r="1342" customFormat="false" ht="15" hidden="false" customHeight="false" outlineLevel="0" collapsed="false">
      <c r="A1342" s="12"/>
      <c r="B1342" s="13"/>
      <c r="C1342" s="13"/>
      <c r="D1342" s="13"/>
      <c r="E1342" s="13"/>
      <c r="F1342" s="14"/>
      <c r="G1342" s="15"/>
      <c r="H1342" s="15"/>
      <c r="I1342" s="15"/>
      <c r="J1342" s="12"/>
      <c r="K1342" s="16" t="str">
        <f aca="false">IF(A1342="","",G1342+H1342)</f>
        <v/>
      </c>
      <c r="L1342" s="16" t="str">
        <f aca="false">IF(A1342="","",IF(F1342="İade edildi",0,K1342-I1342))</f>
        <v/>
      </c>
      <c r="M1342" s="17" t="str">
        <f aca="true">IF(A1342="","",IF(J1342&lt;&gt;"",J1342-A1342,TODAY()-A1342))</f>
        <v/>
      </c>
      <c r="N1342" s="18" t="str">
        <f aca="false">IF(A1342="","",IF(AND(OR(F1342="Bekliyor",F1342="Parça bekleniyor",F1342="Hazır"),M1342&gt;7),"7 günü geçti",""))</f>
        <v/>
      </c>
      <c r="O1342" s="18" t="str">
        <f aca="false">IF(AND(A1342&lt;&gt;"",OR(F1342="Bekliyor",F1342="Parça bekleniyor",F1342="Hazır")),A1342+ROW()/1000000,"")</f>
        <v/>
      </c>
    </row>
    <row r="1343" customFormat="false" ht="15" hidden="false" customHeight="false" outlineLevel="0" collapsed="false">
      <c r="A1343" s="12"/>
      <c r="B1343" s="13"/>
      <c r="C1343" s="13"/>
      <c r="D1343" s="13"/>
      <c r="E1343" s="13"/>
      <c r="F1343" s="14"/>
      <c r="G1343" s="15"/>
      <c r="H1343" s="15"/>
      <c r="I1343" s="15"/>
      <c r="J1343" s="12"/>
      <c r="K1343" s="16" t="str">
        <f aca="false">IF(A1343="","",G1343+H1343)</f>
        <v/>
      </c>
      <c r="L1343" s="16" t="str">
        <f aca="false">IF(A1343="","",IF(F1343="İade edildi",0,K1343-I1343))</f>
        <v/>
      </c>
      <c r="M1343" s="17" t="str">
        <f aca="true">IF(A1343="","",IF(J1343&lt;&gt;"",J1343-A1343,TODAY()-A1343))</f>
        <v/>
      </c>
      <c r="N1343" s="18" t="str">
        <f aca="false">IF(A1343="","",IF(AND(OR(F1343="Bekliyor",F1343="Parça bekleniyor",F1343="Hazır"),M1343&gt;7),"7 günü geçti",""))</f>
        <v/>
      </c>
      <c r="O1343" s="18" t="str">
        <f aca="false">IF(AND(A1343&lt;&gt;"",OR(F1343="Bekliyor",F1343="Parça bekleniyor",F1343="Hazır")),A1343+ROW()/1000000,"")</f>
        <v/>
      </c>
    </row>
    <row r="1344" customFormat="false" ht="15" hidden="false" customHeight="false" outlineLevel="0" collapsed="false">
      <c r="A1344" s="12"/>
      <c r="B1344" s="13"/>
      <c r="C1344" s="13"/>
      <c r="D1344" s="13"/>
      <c r="E1344" s="13"/>
      <c r="F1344" s="14"/>
      <c r="G1344" s="15"/>
      <c r="H1344" s="15"/>
      <c r="I1344" s="15"/>
      <c r="J1344" s="12"/>
      <c r="K1344" s="16" t="str">
        <f aca="false">IF(A1344="","",G1344+H1344)</f>
        <v/>
      </c>
      <c r="L1344" s="16" t="str">
        <f aca="false">IF(A1344="","",IF(F1344="İade edildi",0,K1344-I1344))</f>
        <v/>
      </c>
      <c r="M1344" s="17" t="str">
        <f aca="true">IF(A1344="","",IF(J1344&lt;&gt;"",J1344-A1344,TODAY()-A1344))</f>
        <v/>
      </c>
      <c r="N1344" s="18" t="str">
        <f aca="false">IF(A1344="","",IF(AND(OR(F1344="Bekliyor",F1344="Parça bekleniyor",F1344="Hazır"),M1344&gt;7),"7 günü geçti",""))</f>
        <v/>
      </c>
      <c r="O1344" s="18" t="str">
        <f aca="false">IF(AND(A1344&lt;&gt;"",OR(F1344="Bekliyor",F1344="Parça bekleniyor",F1344="Hazır")),A1344+ROW()/1000000,"")</f>
        <v/>
      </c>
    </row>
    <row r="1345" customFormat="false" ht="15" hidden="false" customHeight="false" outlineLevel="0" collapsed="false">
      <c r="A1345" s="12"/>
      <c r="B1345" s="13"/>
      <c r="C1345" s="13"/>
      <c r="D1345" s="13"/>
      <c r="E1345" s="13"/>
      <c r="F1345" s="14"/>
      <c r="G1345" s="15"/>
      <c r="H1345" s="15"/>
      <c r="I1345" s="15"/>
      <c r="J1345" s="12"/>
      <c r="K1345" s="16" t="str">
        <f aca="false">IF(A1345="","",G1345+H1345)</f>
        <v/>
      </c>
      <c r="L1345" s="16" t="str">
        <f aca="false">IF(A1345="","",IF(F1345="İade edildi",0,K1345-I1345))</f>
        <v/>
      </c>
      <c r="M1345" s="17" t="str">
        <f aca="true">IF(A1345="","",IF(J1345&lt;&gt;"",J1345-A1345,TODAY()-A1345))</f>
        <v/>
      </c>
      <c r="N1345" s="18" t="str">
        <f aca="false">IF(A1345="","",IF(AND(OR(F1345="Bekliyor",F1345="Parça bekleniyor",F1345="Hazır"),M1345&gt;7),"7 günü geçti",""))</f>
        <v/>
      </c>
      <c r="O1345" s="18" t="str">
        <f aca="false">IF(AND(A1345&lt;&gt;"",OR(F1345="Bekliyor",F1345="Parça bekleniyor",F1345="Hazır")),A1345+ROW()/1000000,"")</f>
        <v/>
      </c>
    </row>
    <row r="1346" customFormat="false" ht="15" hidden="false" customHeight="false" outlineLevel="0" collapsed="false">
      <c r="A1346" s="12"/>
      <c r="B1346" s="13"/>
      <c r="C1346" s="13"/>
      <c r="D1346" s="13"/>
      <c r="E1346" s="13"/>
      <c r="F1346" s="14"/>
      <c r="G1346" s="15"/>
      <c r="H1346" s="15"/>
      <c r="I1346" s="15"/>
      <c r="J1346" s="12"/>
      <c r="K1346" s="16" t="str">
        <f aca="false">IF(A1346="","",G1346+H1346)</f>
        <v/>
      </c>
      <c r="L1346" s="16" t="str">
        <f aca="false">IF(A1346="","",IF(F1346="İade edildi",0,K1346-I1346))</f>
        <v/>
      </c>
      <c r="M1346" s="17" t="str">
        <f aca="true">IF(A1346="","",IF(J1346&lt;&gt;"",J1346-A1346,TODAY()-A1346))</f>
        <v/>
      </c>
      <c r="N1346" s="18" t="str">
        <f aca="false">IF(A1346="","",IF(AND(OR(F1346="Bekliyor",F1346="Parça bekleniyor",F1346="Hazır"),M1346&gt;7),"7 günü geçti",""))</f>
        <v/>
      </c>
      <c r="O1346" s="18" t="str">
        <f aca="false">IF(AND(A1346&lt;&gt;"",OR(F1346="Bekliyor",F1346="Parça bekleniyor",F1346="Hazır")),A1346+ROW()/1000000,"")</f>
        <v/>
      </c>
    </row>
    <row r="1347" customFormat="false" ht="15" hidden="false" customHeight="false" outlineLevel="0" collapsed="false">
      <c r="A1347" s="12"/>
      <c r="B1347" s="13"/>
      <c r="C1347" s="13"/>
      <c r="D1347" s="13"/>
      <c r="E1347" s="13"/>
      <c r="F1347" s="14"/>
      <c r="G1347" s="15"/>
      <c r="H1347" s="15"/>
      <c r="I1347" s="15"/>
      <c r="J1347" s="12"/>
      <c r="K1347" s="16" t="str">
        <f aca="false">IF(A1347="","",G1347+H1347)</f>
        <v/>
      </c>
      <c r="L1347" s="16" t="str">
        <f aca="false">IF(A1347="","",IF(F1347="İade edildi",0,K1347-I1347))</f>
        <v/>
      </c>
      <c r="M1347" s="17" t="str">
        <f aca="true">IF(A1347="","",IF(J1347&lt;&gt;"",J1347-A1347,TODAY()-A1347))</f>
        <v/>
      </c>
      <c r="N1347" s="18" t="str">
        <f aca="false">IF(A1347="","",IF(AND(OR(F1347="Bekliyor",F1347="Parça bekleniyor",F1347="Hazır"),M1347&gt;7),"7 günü geçti",""))</f>
        <v/>
      </c>
      <c r="O1347" s="18" t="str">
        <f aca="false">IF(AND(A1347&lt;&gt;"",OR(F1347="Bekliyor",F1347="Parça bekleniyor",F1347="Hazır")),A1347+ROW()/1000000,"")</f>
        <v/>
      </c>
    </row>
    <row r="1348" customFormat="false" ht="15" hidden="false" customHeight="false" outlineLevel="0" collapsed="false">
      <c r="A1348" s="12"/>
      <c r="B1348" s="13"/>
      <c r="C1348" s="13"/>
      <c r="D1348" s="13"/>
      <c r="E1348" s="13"/>
      <c r="F1348" s="14"/>
      <c r="G1348" s="15"/>
      <c r="H1348" s="15"/>
      <c r="I1348" s="15"/>
      <c r="J1348" s="12"/>
      <c r="K1348" s="16" t="str">
        <f aca="false">IF(A1348="","",G1348+H1348)</f>
        <v/>
      </c>
      <c r="L1348" s="16" t="str">
        <f aca="false">IF(A1348="","",IF(F1348="İade edildi",0,K1348-I1348))</f>
        <v/>
      </c>
      <c r="M1348" s="17" t="str">
        <f aca="true">IF(A1348="","",IF(J1348&lt;&gt;"",J1348-A1348,TODAY()-A1348))</f>
        <v/>
      </c>
      <c r="N1348" s="18" t="str">
        <f aca="false">IF(A1348="","",IF(AND(OR(F1348="Bekliyor",F1348="Parça bekleniyor",F1348="Hazır"),M1348&gt;7),"7 günü geçti",""))</f>
        <v/>
      </c>
      <c r="O1348" s="18" t="str">
        <f aca="false">IF(AND(A1348&lt;&gt;"",OR(F1348="Bekliyor",F1348="Parça bekleniyor",F1348="Hazır")),A1348+ROW()/1000000,"")</f>
        <v/>
      </c>
    </row>
    <row r="1349" customFormat="false" ht="15" hidden="false" customHeight="false" outlineLevel="0" collapsed="false">
      <c r="A1349" s="12"/>
      <c r="B1349" s="13"/>
      <c r="C1349" s="13"/>
      <c r="D1349" s="13"/>
      <c r="E1349" s="13"/>
      <c r="F1349" s="14"/>
      <c r="G1349" s="15"/>
      <c r="H1349" s="15"/>
      <c r="I1349" s="15"/>
      <c r="J1349" s="12"/>
      <c r="K1349" s="16" t="str">
        <f aca="false">IF(A1349="","",G1349+H1349)</f>
        <v/>
      </c>
      <c r="L1349" s="16" t="str">
        <f aca="false">IF(A1349="","",IF(F1349="İade edildi",0,K1349-I1349))</f>
        <v/>
      </c>
      <c r="M1349" s="17" t="str">
        <f aca="true">IF(A1349="","",IF(J1349&lt;&gt;"",J1349-A1349,TODAY()-A1349))</f>
        <v/>
      </c>
      <c r="N1349" s="18" t="str">
        <f aca="false">IF(A1349="","",IF(AND(OR(F1349="Bekliyor",F1349="Parça bekleniyor",F1349="Hazır"),M1349&gt;7),"7 günü geçti",""))</f>
        <v/>
      </c>
      <c r="O1349" s="18" t="str">
        <f aca="false">IF(AND(A1349&lt;&gt;"",OR(F1349="Bekliyor",F1349="Parça bekleniyor",F1349="Hazır")),A1349+ROW()/1000000,"")</f>
        <v/>
      </c>
    </row>
    <row r="1350" customFormat="false" ht="15" hidden="false" customHeight="false" outlineLevel="0" collapsed="false">
      <c r="A1350" s="12"/>
      <c r="B1350" s="13"/>
      <c r="C1350" s="13"/>
      <c r="D1350" s="13"/>
      <c r="E1350" s="13"/>
      <c r="F1350" s="14"/>
      <c r="G1350" s="15"/>
      <c r="H1350" s="15"/>
      <c r="I1350" s="15"/>
      <c r="J1350" s="12"/>
      <c r="K1350" s="16" t="str">
        <f aca="false">IF(A1350="","",G1350+H1350)</f>
        <v/>
      </c>
      <c r="L1350" s="16" t="str">
        <f aca="false">IF(A1350="","",IF(F1350="İade edildi",0,K1350-I1350))</f>
        <v/>
      </c>
      <c r="M1350" s="17" t="str">
        <f aca="true">IF(A1350="","",IF(J1350&lt;&gt;"",J1350-A1350,TODAY()-A1350))</f>
        <v/>
      </c>
      <c r="N1350" s="18" t="str">
        <f aca="false">IF(A1350="","",IF(AND(OR(F1350="Bekliyor",F1350="Parça bekleniyor",F1350="Hazır"),M1350&gt;7),"7 günü geçti",""))</f>
        <v/>
      </c>
      <c r="O1350" s="18" t="str">
        <f aca="false">IF(AND(A1350&lt;&gt;"",OR(F1350="Bekliyor",F1350="Parça bekleniyor",F1350="Hazır")),A1350+ROW()/1000000,"")</f>
        <v/>
      </c>
    </row>
    <row r="1351" customFormat="false" ht="15" hidden="false" customHeight="false" outlineLevel="0" collapsed="false">
      <c r="A1351" s="12"/>
      <c r="B1351" s="13"/>
      <c r="C1351" s="13"/>
      <c r="D1351" s="13"/>
      <c r="E1351" s="13"/>
      <c r="F1351" s="14"/>
      <c r="G1351" s="15"/>
      <c r="H1351" s="15"/>
      <c r="I1351" s="15"/>
      <c r="J1351" s="12"/>
      <c r="K1351" s="16" t="str">
        <f aca="false">IF(A1351="","",G1351+H1351)</f>
        <v/>
      </c>
      <c r="L1351" s="16" t="str">
        <f aca="false">IF(A1351="","",IF(F1351="İade edildi",0,K1351-I1351))</f>
        <v/>
      </c>
      <c r="M1351" s="17" t="str">
        <f aca="true">IF(A1351="","",IF(J1351&lt;&gt;"",J1351-A1351,TODAY()-A1351))</f>
        <v/>
      </c>
      <c r="N1351" s="18" t="str">
        <f aca="false">IF(A1351="","",IF(AND(OR(F1351="Bekliyor",F1351="Parça bekleniyor",F1351="Hazır"),M1351&gt;7),"7 günü geçti",""))</f>
        <v/>
      </c>
      <c r="O1351" s="18" t="str">
        <f aca="false">IF(AND(A1351&lt;&gt;"",OR(F1351="Bekliyor",F1351="Parça bekleniyor",F1351="Hazır")),A1351+ROW()/1000000,"")</f>
        <v/>
      </c>
    </row>
    <row r="1352" customFormat="false" ht="15" hidden="false" customHeight="false" outlineLevel="0" collapsed="false">
      <c r="A1352" s="12"/>
      <c r="B1352" s="13"/>
      <c r="C1352" s="13"/>
      <c r="D1352" s="13"/>
      <c r="E1352" s="13"/>
      <c r="F1352" s="14"/>
      <c r="G1352" s="15"/>
      <c r="H1352" s="15"/>
      <c r="I1352" s="15"/>
      <c r="J1352" s="12"/>
      <c r="K1352" s="16" t="str">
        <f aca="false">IF(A1352="","",G1352+H1352)</f>
        <v/>
      </c>
      <c r="L1352" s="16" t="str">
        <f aca="false">IF(A1352="","",IF(F1352="İade edildi",0,K1352-I1352))</f>
        <v/>
      </c>
      <c r="M1352" s="17" t="str">
        <f aca="true">IF(A1352="","",IF(J1352&lt;&gt;"",J1352-A1352,TODAY()-A1352))</f>
        <v/>
      </c>
      <c r="N1352" s="18" t="str">
        <f aca="false">IF(A1352="","",IF(AND(OR(F1352="Bekliyor",F1352="Parça bekleniyor",F1352="Hazır"),M1352&gt;7),"7 günü geçti",""))</f>
        <v/>
      </c>
      <c r="O1352" s="18" t="str">
        <f aca="false">IF(AND(A1352&lt;&gt;"",OR(F1352="Bekliyor",F1352="Parça bekleniyor",F1352="Hazır")),A1352+ROW()/1000000,"")</f>
        <v/>
      </c>
    </row>
    <row r="1353" customFormat="false" ht="15" hidden="false" customHeight="false" outlineLevel="0" collapsed="false">
      <c r="A1353" s="12"/>
      <c r="B1353" s="13"/>
      <c r="C1353" s="13"/>
      <c r="D1353" s="13"/>
      <c r="E1353" s="13"/>
      <c r="F1353" s="14"/>
      <c r="G1353" s="15"/>
      <c r="H1353" s="15"/>
      <c r="I1353" s="15"/>
      <c r="J1353" s="12"/>
      <c r="K1353" s="16" t="str">
        <f aca="false">IF(A1353="","",G1353+H1353)</f>
        <v/>
      </c>
      <c r="L1353" s="16" t="str">
        <f aca="false">IF(A1353="","",IF(F1353="İade edildi",0,K1353-I1353))</f>
        <v/>
      </c>
      <c r="M1353" s="17" t="str">
        <f aca="true">IF(A1353="","",IF(J1353&lt;&gt;"",J1353-A1353,TODAY()-A1353))</f>
        <v/>
      </c>
      <c r="N1353" s="18" t="str">
        <f aca="false">IF(A1353="","",IF(AND(OR(F1353="Bekliyor",F1353="Parça bekleniyor",F1353="Hazır"),M1353&gt;7),"7 günü geçti",""))</f>
        <v/>
      </c>
      <c r="O1353" s="18" t="str">
        <f aca="false">IF(AND(A1353&lt;&gt;"",OR(F1353="Bekliyor",F1353="Parça bekleniyor",F1353="Hazır")),A1353+ROW()/1000000,"")</f>
        <v/>
      </c>
    </row>
    <row r="1354" customFormat="false" ht="15" hidden="false" customHeight="false" outlineLevel="0" collapsed="false">
      <c r="A1354" s="12"/>
      <c r="B1354" s="13"/>
      <c r="C1354" s="13"/>
      <c r="D1354" s="13"/>
      <c r="E1354" s="13"/>
      <c r="F1354" s="14"/>
      <c r="G1354" s="15"/>
      <c r="H1354" s="15"/>
      <c r="I1354" s="15"/>
      <c r="J1354" s="12"/>
      <c r="K1354" s="16" t="str">
        <f aca="false">IF(A1354="","",G1354+H1354)</f>
        <v/>
      </c>
      <c r="L1354" s="16" t="str">
        <f aca="false">IF(A1354="","",IF(F1354="İade edildi",0,K1354-I1354))</f>
        <v/>
      </c>
      <c r="M1354" s="17" t="str">
        <f aca="true">IF(A1354="","",IF(J1354&lt;&gt;"",J1354-A1354,TODAY()-A1354))</f>
        <v/>
      </c>
      <c r="N1354" s="18" t="str">
        <f aca="false">IF(A1354="","",IF(AND(OR(F1354="Bekliyor",F1354="Parça bekleniyor",F1354="Hazır"),M1354&gt;7),"7 günü geçti",""))</f>
        <v/>
      </c>
      <c r="O1354" s="18" t="str">
        <f aca="false">IF(AND(A1354&lt;&gt;"",OR(F1354="Bekliyor",F1354="Parça bekleniyor",F1354="Hazır")),A1354+ROW()/1000000,"")</f>
        <v/>
      </c>
    </row>
    <row r="1355" customFormat="false" ht="15" hidden="false" customHeight="false" outlineLevel="0" collapsed="false">
      <c r="A1355" s="12"/>
      <c r="B1355" s="13"/>
      <c r="C1355" s="13"/>
      <c r="D1355" s="13"/>
      <c r="E1355" s="13"/>
      <c r="F1355" s="14"/>
      <c r="G1355" s="15"/>
      <c r="H1355" s="15"/>
      <c r="I1355" s="15"/>
      <c r="J1355" s="12"/>
      <c r="K1355" s="16" t="str">
        <f aca="false">IF(A1355="","",G1355+H1355)</f>
        <v/>
      </c>
      <c r="L1355" s="16" t="str">
        <f aca="false">IF(A1355="","",IF(F1355="İade edildi",0,K1355-I1355))</f>
        <v/>
      </c>
      <c r="M1355" s="17" t="str">
        <f aca="true">IF(A1355="","",IF(J1355&lt;&gt;"",J1355-A1355,TODAY()-A1355))</f>
        <v/>
      </c>
      <c r="N1355" s="18" t="str">
        <f aca="false">IF(A1355="","",IF(AND(OR(F1355="Bekliyor",F1355="Parça bekleniyor",F1355="Hazır"),M1355&gt;7),"7 günü geçti",""))</f>
        <v/>
      </c>
      <c r="O1355" s="18" t="str">
        <f aca="false">IF(AND(A1355&lt;&gt;"",OR(F1355="Bekliyor",F1355="Parça bekleniyor",F1355="Hazır")),A1355+ROW()/1000000,"")</f>
        <v/>
      </c>
    </row>
    <row r="1356" customFormat="false" ht="15" hidden="false" customHeight="false" outlineLevel="0" collapsed="false">
      <c r="A1356" s="12"/>
      <c r="B1356" s="13"/>
      <c r="C1356" s="13"/>
      <c r="D1356" s="13"/>
      <c r="E1356" s="13"/>
      <c r="F1356" s="14"/>
      <c r="G1356" s="15"/>
      <c r="H1356" s="15"/>
      <c r="I1356" s="15"/>
      <c r="J1356" s="12"/>
      <c r="K1356" s="16" t="str">
        <f aca="false">IF(A1356="","",G1356+H1356)</f>
        <v/>
      </c>
      <c r="L1356" s="16" t="str">
        <f aca="false">IF(A1356="","",IF(F1356="İade edildi",0,K1356-I1356))</f>
        <v/>
      </c>
      <c r="M1356" s="17" t="str">
        <f aca="true">IF(A1356="","",IF(J1356&lt;&gt;"",J1356-A1356,TODAY()-A1356))</f>
        <v/>
      </c>
      <c r="N1356" s="18" t="str">
        <f aca="false">IF(A1356="","",IF(AND(OR(F1356="Bekliyor",F1356="Parça bekleniyor",F1356="Hazır"),M1356&gt;7),"7 günü geçti",""))</f>
        <v/>
      </c>
      <c r="O1356" s="18" t="str">
        <f aca="false">IF(AND(A1356&lt;&gt;"",OR(F1356="Bekliyor",F1356="Parça bekleniyor",F1356="Hazır")),A1356+ROW()/1000000,"")</f>
        <v/>
      </c>
    </row>
    <row r="1357" customFormat="false" ht="15" hidden="false" customHeight="false" outlineLevel="0" collapsed="false">
      <c r="A1357" s="12"/>
      <c r="B1357" s="13"/>
      <c r="C1357" s="13"/>
      <c r="D1357" s="13"/>
      <c r="E1357" s="13"/>
      <c r="F1357" s="14"/>
      <c r="G1357" s="15"/>
      <c r="H1357" s="15"/>
      <c r="I1357" s="15"/>
      <c r="J1357" s="12"/>
      <c r="K1357" s="16" t="str">
        <f aca="false">IF(A1357="","",G1357+H1357)</f>
        <v/>
      </c>
      <c r="L1357" s="16" t="str">
        <f aca="false">IF(A1357="","",IF(F1357="İade edildi",0,K1357-I1357))</f>
        <v/>
      </c>
      <c r="M1357" s="17" t="str">
        <f aca="true">IF(A1357="","",IF(J1357&lt;&gt;"",J1357-A1357,TODAY()-A1357))</f>
        <v/>
      </c>
      <c r="N1357" s="18" t="str">
        <f aca="false">IF(A1357="","",IF(AND(OR(F1357="Bekliyor",F1357="Parça bekleniyor",F1357="Hazır"),M1357&gt;7),"7 günü geçti",""))</f>
        <v/>
      </c>
      <c r="O1357" s="18" t="str">
        <f aca="false">IF(AND(A1357&lt;&gt;"",OR(F1357="Bekliyor",F1357="Parça bekleniyor",F1357="Hazır")),A1357+ROW()/1000000,"")</f>
        <v/>
      </c>
    </row>
    <row r="1358" customFormat="false" ht="15" hidden="false" customHeight="false" outlineLevel="0" collapsed="false">
      <c r="A1358" s="12"/>
      <c r="B1358" s="13"/>
      <c r="C1358" s="13"/>
      <c r="D1358" s="13"/>
      <c r="E1358" s="13"/>
      <c r="F1358" s="14"/>
      <c r="G1358" s="15"/>
      <c r="H1358" s="15"/>
      <c r="I1358" s="15"/>
      <c r="J1358" s="12"/>
      <c r="K1358" s="16" t="str">
        <f aca="false">IF(A1358="","",G1358+H1358)</f>
        <v/>
      </c>
      <c r="L1358" s="16" t="str">
        <f aca="false">IF(A1358="","",IF(F1358="İade edildi",0,K1358-I1358))</f>
        <v/>
      </c>
      <c r="M1358" s="17" t="str">
        <f aca="true">IF(A1358="","",IF(J1358&lt;&gt;"",J1358-A1358,TODAY()-A1358))</f>
        <v/>
      </c>
      <c r="N1358" s="18" t="str">
        <f aca="false">IF(A1358="","",IF(AND(OR(F1358="Bekliyor",F1358="Parça bekleniyor",F1358="Hazır"),M1358&gt;7),"7 günü geçti",""))</f>
        <v/>
      </c>
      <c r="O1358" s="18" t="str">
        <f aca="false">IF(AND(A1358&lt;&gt;"",OR(F1358="Bekliyor",F1358="Parça bekleniyor",F1358="Hazır")),A1358+ROW()/1000000,"")</f>
        <v/>
      </c>
    </row>
    <row r="1359" customFormat="false" ht="15" hidden="false" customHeight="false" outlineLevel="0" collapsed="false">
      <c r="A1359" s="12"/>
      <c r="B1359" s="13"/>
      <c r="C1359" s="13"/>
      <c r="D1359" s="13"/>
      <c r="E1359" s="13"/>
      <c r="F1359" s="14"/>
      <c r="G1359" s="15"/>
      <c r="H1359" s="15"/>
      <c r="I1359" s="15"/>
      <c r="J1359" s="12"/>
      <c r="K1359" s="16" t="str">
        <f aca="false">IF(A1359="","",G1359+H1359)</f>
        <v/>
      </c>
      <c r="L1359" s="16" t="str">
        <f aca="false">IF(A1359="","",IF(F1359="İade edildi",0,K1359-I1359))</f>
        <v/>
      </c>
      <c r="M1359" s="17" t="str">
        <f aca="true">IF(A1359="","",IF(J1359&lt;&gt;"",J1359-A1359,TODAY()-A1359))</f>
        <v/>
      </c>
      <c r="N1359" s="18" t="str">
        <f aca="false">IF(A1359="","",IF(AND(OR(F1359="Bekliyor",F1359="Parça bekleniyor",F1359="Hazır"),M1359&gt;7),"7 günü geçti",""))</f>
        <v/>
      </c>
      <c r="O1359" s="18" t="str">
        <f aca="false">IF(AND(A1359&lt;&gt;"",OR(F1359="Bekliyor",F1359="Parça bekleniyor",F1359="Hazır")),A1359+ROW()/1000000,"")</f>
        <v/>
      </c>
    </row>
    <row r="1360" customFormat="false" ht="15" hidden="false" customHeight="false" outlineLevel="0" collapsed="false">
      <c r="A1360" s="12"/>
      <c r="B1360" s="13"/>
      <c r="C1360" s="13"/>
      <c r="D1360" s="13"/>
      <c r="E1360" s="13"/>
      <c r="F1360" s="14"/>
      <c r="G1360" s="15"/>
      <c r="H1360" s="15"/>
      <c r="I1360" s="15"/>
      <c r="J1360" s="12"/>
      <c r="K1360" s="16" t="str">
        <f aca="false">IF(A1360="","",G1360+H1360)</f>
        <v/>
      </c>
      <c r="L1360" s="16" t="str">
        <f aca="false">IF(A1360="","",IF(F1360="İade edildi",0,K1360-I1360))</f>
        <v/>
      </c>
      <c r="M1360" s="17" t="str">
        <f aca="true">IF(A1360="","",IF(J1360&lt;&gt;"",J1360-A1360,TODAY()-A1360))</f>
        <v/>
      </c>
      <c r="N1360" s="18" t="str">
        <f aca="false">IF(A1360="","",IF(AND(OR(F1360="Bekliyor",F1360="Parça bekleniyor",F1360="Hazır"),M1360&gt;7),"7 günü geçti",""))</f>
        <v/>
      </c>
      <c r="O1360" s="18" t="str">
        <f aca="false">IF(AND(A1360&lt;&gt;"",OR(F1360="Bekliyor",F1360="Parça bekleniyor",F1360="Hazır")),A1360+ROW()/1000000,"")</f>
        <v/>
      </c>
    </row>
    <row r="1361" customFormat="false" ht="15" hidden="false" customHeight="false" outlineLevel="0" collapsed="false">
      <c r="A1361" s="12"/>
      <c r="B1361" s="13"/>
      <c r="C1361" s="13"/>
      <c r="D1361" s="13"/>
      <c r="E1361" s="13"/>
      <c r="F1361" s="14"/>
      <c r="G1361" s="15"/>
      <c r="H1361" s="15"/>
      <c r="I1361" s="15"/>
      <c r="J1361" s="12"/>
      <c r="K1361" s="16" t="str">
        <f aca="false">IF(A1361="","",G1361+H1361)</f>
        <v/>
      </c>
      <c r="L1361" s="16" t="str">
        <f aca="false">IF(A1361="","",IF(F1361="İade edildi",0,K1361-I1361))</f>
        <v/>
      </c>
      <c r="M1361" s="17" t="str">
        <f aca="true">IF(A1361="","",IF(J1361&lt;&gt;"",J1361-A1361,TODAY()-A1361))</f>
        <v/>
      </c>
      <c r="N1361" s="18" t="str">
        <f aca="false">IF(A1361="","",IF(AND(OR(F1361="Bekliyor",F1361="Parça bekleniyor",F1361="Hazır"),M1361&gt;7),"7 günü geçti",""))</f>
        <v/>
      </c>
      <c r="O1361" s="18" t="str">
        <f aca="false">IF(AND(A1361&lt;&gt;"",OR(F1361="Bekliyor",F1361="Parça bekleniyor",F1361="Hazır")),A1361+ROW()/1000000,"")</f>
        <v/>
      </c>
    </row>
    <row r="1362" customFormat="false" ht="15" hidden="false" customHeight="false" outlineLevel="0" collapsed="false">
      <c r="A1362" s="12"/>
      <c r="B1362" s="13"/>
      <c r="C1362" s="13"/>
      <c r="D1362" s="13"/>
      <c r="E1362" s="13"/>
      <c r="F1362" s="14"/>
      <c r="G1362" s="15"/>
      <c r="H1362" s="15"/>
      <c r="I1362" s="15"/>
      <c r="J1362" s="12"/>
      <c r="K1362" s="16" t="str">
        <f aca="false">IF(A1362="","",G1362+H1362)</f>
        <v/>
      </c>
      <c r="L1362" s="16" t="str">
        <f aca="false">IF(A1362="","",IF(F1362="İade edildi",0,K1362-I1362))</f>
        <v/>
      </c>
      <c r="M1362" s="17" t="str">
        <f aca="true">IF(A1362="","",IF(J1362&lt;&gt;"",J1362-A1362,TODAY()-A1362))</f>
        <v/>
      </c>
      <c r="N1362" s="18" t="str">
        <f aca="false">IF(A1362="","",IF(AND(OR(F1362="Bekliyor",F1362="Parça bekleniyor",F1362="Hazır"),M1362&gt;7),"7 günü geçti",""))</f>
        <v/>
      </c>
      <c r="O1362" s="18" t="str">
        <f aca="false">IF(AND(A1362&lt;&gt;"",OR(F1362="Bekliyor",F1362="Parça bekleniyor",F1362="Hazır")),A1362+ROW()/1000000,"")</f>
        <v/>
      </c>
    </row>
    <row r="1363" customFormat="false" ht="15" hidden="false" customHeight="false" outlineLevel="0" collapsed="false">
      <c r="A1363" s="12"/>
      <c r="B1363" s="13"/>
      <c r="C1363" s="13"/>
      <c r="D1363" s="13"/>
      <c r="E1363" s="13"/>
      <c r="F1363" s="14"/>
      <c r="G1363" s="15"/>
      <c r="H1363" s="15"/>
      <c r="I1363" s="15"/>
      <c r="J1363" s="12"/>
      <c r="K1363" s="16" t="str">
        <f aca="false">IF(A1363="","",G1363+H1363)</f>
        <v/>
      </c>
      <c r="L1363" s="16" t="str">
        <f aca="false">IF(A1363="","",IF(F1363="İade edildi",0,K1363-I1363))</f>
        <v/>
      </c>
      <c r="M1363" s="17" t="str">
        <f aca="true">IF(A1363="","",IF(J1363&lt;&gt;"",J1363-A1363,TODAY()-A1363))</f>
        <v/>
      </c>
      <c r="N1363" s="18" t="str">
        <f aca="false">IF(A1363="","",IF(AND(OR(F1363="Bekliyor",F1363="Parça bekleniyor",F1363="Hazır"),M1363&gt;7),"7 günü geçti",""))</f>
        <v/>
      </c>
      <c r="O1363" s="18" t="str">
        <f aca="false">IF(AND(A1363&lt;&gt;"",OR(F1363="Bekliyor",F1363="Parça bekleniyor",F1363="Hazır")),A1363+ROW()/1000000,"")</f>
        <v/>
      </c>
    </row>
    <row r="1364" customFormat="false" ht="15" hidden="false" customHeight="false" outlineLevel="0" collapsed="false">
      <c r="A1364" s="12"/>
      <c r="B1364" s="13"/>
      <c r="C1364" s="13"/>
      <c r="D1364" s="13"/>
      <c r="E1364" s="13"/>
      <c r="F1364" s="14"/>
      <c r="G1364" s="15"/>
      <c r="H1364" s="15"/>
      <c r="I1364" s="15"/>
      <c r="J1364" s="12"/>
      <c r="K1364" s="16" t="str">
        <f aca="false">IF(A1364="","",G1364+H1364)</f>
        <v/>
      </c>
      <c r="L1364" s="16" t="str">
        <f aca="false">IF(A1364="","",IF(F1364="İade edildi",0,K1364-I1364))</f>
        <v/>
      </c>
      <c r="M1364" s="17" t="str">
        <f aca="true">IF(A1364="","",IF(J1364&lt;&gt;"",J1364-A1364,TODAY()-A1364))</f>
        <v/>
      </c>
      <c r="N1364" s="18" t="str">
        <f aca="false">IF(A1364="","",IF(AND(OR(F1364="Bekliyor",F1364="Parça bekleniyor",F1364="Hazır"),M1364&gt;7),"7 günü geçti",""))</f>
        <v/>
      </c>
      <c r="O1364" s="18" t="str">
        <f aca="false">IF(AND(A1364&lt;&gt;"",OR(F1364="Bekliyor",F1364="Parça bekleniyor",F1364="Hazır")),A1364+ROW()/1000000,"")</f>
        <v/>
      </c>
    </row>
    <row r="1365" customFormat="false" ht="15" hidden="false" customHeight="false" outlineLevel="0" collapsed="false">
      <c r="A1365" s="12"/>
      <c r="B1365" s="13"/>
      <c r="C1365" s="13"/>
      <c r="D1365" s="13"/>
      <c r="E1365" s="13"/>
      <c r="F1365" s="14"/>
      <c r="G1365" s="15"/>
      <c r="H1365" s="15"/>
      <c r="I1365" s="15"/>
      <c r="J1365" s="12"/>
      <c r="K1365" s="16" t="str">
        <f aca="false">IF(A1365="","",G1365+H1365)</f>
        <v/>
      </c>
      <c r="L1365" s="16" t="str">
        <f aca="false">IF(A1365="","",IF(F1365="İade edildi",0,K1365-I1365))</f>
        <v/>
      </c>
      <c r="M1365" s="17" t="str">
        <f aca="true">IF(A1365="","",IF(J1365&lt;&gt;"",J1365-A1365,TODAY()-A1365))</f>
        <v/>
      </c>
      <c r="N1365" s="18" t="str">
        <f aca="false">IF(A1365="","",IF(AND(OR(F1365="Bekliyor",F1365="Parça bekleniyor",F1365="Hazır"),M1365&gt;7),"7 günü geçti",""))</f>
        <v/>
      </c>
      <c r="O1365" s="18" t="str">
        <f aca="false">IF(AND(A1365&lt;&gt;"",OR(F1365="Bekliyor",F1365="Parça bekleniyor",F1365="Hazır")),A1365+ROW()/1000000,"")</f>
        <v/>
      </c>
    </row>
    <row r="1366" customFormat="false" ht="15" hidden="false" customHeight="false" outlineLevel="0" collapsed="false">
      <c r="A1366" s="12"/>
      <c r="B1366" s="13"/>
      <c r="C1366" s="13"/>
      <c r="D1366" s="13"/>
      <c r="E1366" s="13"/>
      <c r="F1366" s="14"/>
      <c r="G1366" s="15"/>
      <c r="H1366" s="15"/>
      <c r="I1366" s="15"/>
      <c r="J1366" s="12"/>
      <c r="K1366" s="16" t="str">
        <f aca="false">IF(A1366="","",G1366+H1366)</f>
        <v/>
      </c>
      <c r="L1366" s="16" t="str">
        <f aca="false">IF(A1366="","",IF(F1366="İade edildi",0,K1366-I1366))</f>
        <v/>
      </c>
      <c r="M1366" s="17" t="str">
        <f aca="true">IF(A1366="","",IF(J1366&lt;&gt;"",J1366-A1366,TODAY()-A1366))</f>
        <v/>
      </c>
      <c r="N1366" s="18" t="str">
        <f aca="false">IF(A1366="","",IF(AND(OR(F1366="Bekliyor",F1366="Parça bekleniyor",F1366="Hazır"),M1366&gt;7),"7 günü geçti",""))</f>
        <v/>
      </c>
      <c r="O1366" s="18" t="str">
        <f aca="false">IF(AND(A1366&lt;&gt;"",OR(F1366="Bekliyor",F1366="Parça bekleniyor",F1366="Hazır")),A1366+ROW()/1000000,"")</f>
        <v/>
      </c>
    </row>
    <row r="1367" customFormat="false" ht="15" hidden="false" customHeight="false" outlineLevel="0" collapsed="false">
      <c r="A1367" s="12"/>
      <c r="B1367" s="13"/>
      <c r="C1367" s="13"/>
      <c r="D1367" s="13"/>
      <c r="E1367" s="13"/>
      <c r="F1367" s="14"/>
      <c r="G1367" s="15"/>
      <c r="H1367" s="15"/>
      <c r="I1367" s="15"/>
      <c r="J1367" s="12"/>
      <c r="K1367" s="16" t="str">
        <f aca="false">IF(A1367="","",G1367+H1367)</f>
        <v/>
      </c>
      <c r="L1367" s="16" t="str">
        <f aca="false">IF(A1367="","",IF(F1367="İade edildi",0,K1367-I1367))</f>
        <v/>
      </c>
      <c r="M1367" s="17" t="str">
        <f aca="true">IF(A1367="","",IF(J1367&lt;&gt;"",J1367-A1367,TODAY()-A1367))</f>
        <v/>
      </c>
      <c r="N1367" s="18" t="str">
        <f aca="false">IF(A1367="","",IF(AND(OR(F1367="Bekliyor",F1367="Parça bekleniyor",F1367="Hazır"),M1367&gt;7),"7 günü geçti",""))</f>
        <v/>
      </c>
      <c r="O1367" s="18" t="str">
        <f aca="false">IF(AND(A1367&lt;&gt;"",OR(F1367="Bekliyor",F1367="Parça bekleniyor",F1367="Hazır")),A1367+ROW()/1000000,"")</f>
        <v/>
      </c>
    </row>
    <row r="1368" customFormat="false" ht="15" hidden="false" customHeight="false" outlineLevel="0" collapsed="false">
      <c r="A1368" s="12"/>
      <c r="B1368" s="13"/>
      <c r="C1368" s="13"/>
      <c r="D1368" s="13"/>
      <c r="E1368" s="13"/>
      <c r="F1368" s="14"/>
      <c r="G1368" s="15"/>
      <c r="H1368" s="15"/>
      <c r="I1368" s="15"/>
      <c r="J1368" s="12"/>
      <c r="K1368" s="16" t="str">
        <f aca="false">IF(A1368="","",G1368+H1368)</f>
        <v/>
      </c>
      <c r="L1368" s="16" t="str">
        <f aca="false">IF(A1368="","",IF(F1368="İade edildi",0,K1368-I1368))</f>
        <v/>
      </c>
      <c r="M1368" s="17" t="str">
        <f aca="true">IF(A1368="","",IF(J1368&lt;&gt;"",J1368-A1368,TODAY()-A1368))</f>
        <v/>
      </c>
      <c r="N1368" s="18" t="str">
        <f aca="false">IF(A1368="","",IF(AND(OR(F1368="Bekliyor",F1368="Parça bekleniyor",F1368="Hazır"),M1368&gt;7),"7 günü geçti",""))</f>
        <v/>
      </c>
      <c r="O1368" s="18" t="str">
        <f aca="false">IF(AND(A1368&lt;&gt;"",OR(F1368="Bekliyor",F1368="Parça bekleniyor",F1368="Hazır")),A1368+ROW()/1000000,"")</f>
        <v/>
      </c>
    </row>
    <row r="1369" customFormat="false" ht="15" hidden="false" customHeight="false" outlineLevel="0" collapsed="false">
      <c r="A1369" s="12"/>
      <c r="B1369" s="13"/>
      <c r="C1369" s="13"/>
      <c r="D1369" s="13"/>
      <c r="E1369" s="13"/>
      <c r="F1369" s="14"/>
      <c r="G1369" s="15"/>
      <c r="H1369" s="15"/>
      <c r="I1369" s="15"/>
      <c r="J1369" s="12"/>
      <c r="K1369" s="16" t="str">
        <f aca="false">IF(A1369="","",G1369+H1369)</f>
        <v/>
      </c>
      <c r="L1369" s="16" t="str">
        <f aca="false">IF(A1369="","",IF(F1369="İade edildi",0,K1369-I1369))</f>
        <v/>
      </c>
      <c r="M1369" s="17" t="str">
        <f aca="true">IF(A1369="","",IF(J1369&lt;&gt;"",J1369-A1369,TODAY()-A1369))</f>
        <v/>
      </c>
      <c r="N1369" s="18" t="str">
        <f aca="false">IF(A1369="","",IF(AND(OR(F1369="Bekliyor",F1369="Parça bekleniyor",F1369="Hazır"),M1369&gt;7),"7 günü geçti",""))</f>
        <v/>
      </c>
      <c r="O1369" s="18" t="str">
        <f aca="false">IF(AND(A1369&lt;&gt;"",OR(F1369="Bekliyor",F1369="Parça bekleniyor",F1369="Hazır")),A1369+ROW()/1000000,"")</f>
        <v/>
      </c>
    </row>
    <row r="1370" customFormat="false" ht="15" hidden="false" customHeight="false" outlineLevel="0" collapsed="false">
      <c r="A1370" s="12"/>
      <c r="B1370" s="13"/>
      <c r="C1370" s="13"/>
      <c r="D1370" s="13"/>
      <c r="E1370" s="13"/>
      <c r="F1370" s="14"/>
      <c r="G1370" s="15"/>
      <c r="H1370" s="15"/>
      <c r="I1370" s="15"/>
      <c r="J1370" s="12"/>
      <c r="K1370" s="16" t="str">
        <f aca="false">IF(A1370="","",G1370+H1370)</f>
        <v/>
      </c>
      <c r="L1370" s="16" t="str">
        <f aca="false">IF(A1370="","",IF(F1370="İade edildi",0,K1370-I1370))</f>
        <v/>
      </c>
      <c r="M1370" s="17" t="str">
        <f aca="true">IF(A1370="","",IF(J1370&lt;&gt;"",J1370-A1370,TODAY()-A1370))</f>
        <v/>
      </c>
      <c r="N1370" s="18" t="str">
        <f aca="false">IF(A1370="","",IF(AND(OR(F1370="Bekliyor",F1370="Parça bekleniyor",F1370="Hazır"),M1370&gt;7),"7 günü geçti",""))</f>
        <v/>
      </c>
      <c r="O1370" s="18" t="str">
        <f aca="false">IF(AND(A1370&lt;&gt;"",OR(F1370="Bekliyor",F1370="Parça bekleniyor",F1370="Hazır")),A1370+ROW()/1000000,"")</f>
        <v/>
      </c>
    </row>
    <row r="1371" customFormat="false" ht="15" hidden="false" customHeight="false" outlineLevel="0" collapsed="false">
      <c r="A1371" s="12"/>
      <c r="B1371" s="13"/>
      <c r="C1371" s="13"/>
      <c r="D1371" s="13"/>
      <c r="E1371" s="13"/>
      <c r="F1371" s="14"/>
      <c r="G1371" s="15"/>
      <c r="H1371" s="15"/>
      <c r="I1371" s="15"/>
      <c r="J1371" s="12"/>
      <c r="K1371" s="16" t="str">
        <f aca="false">IF(A1371="","",G1371+H1371)</f>
        <v/>
      </c>
      <c r="L1371" s="16" t="str">
        <f aca="false">IF(A1371="","",IF(F1371="İade edildi",0,K1371-I1371))</f>
        <v/>
      </c>
      <c r="M1371" s="17" t="str">
        <f aca="true">IF(A1371="","",IF(J1371&lt;&gt;"",J1371-A1371,TODAY()-A1371))</f>
        <v/>
      </c>
      <c r="N1371" s="18" t="str">
        <f aca="false">IF(A1371="","",IF(AND(OR(F1371="Bekliyor",F1371="Parça bekleniyor",F1371="Hazır"),M1371&gt;7),"7 günü geçti",""))</f>
        <v/>
      </c>
      <c r="O1371" s="18" t="str">
        <f aca="false">IF(AND(A1371&lt;&gt;"",OR(F1371="Bekliyor",F1371="Parça bekleniyor",F1371="Hazır")),A1371+ROW()/1000000,"")</f>
        <v/>
      </c>
    </row>
    <row r="1372" customFormat="false" ht="15" hidden="false" customHeight="false" outlineLevel="0" collapsed="false">
      <c r="A1372" s="12"/>
      <c r="B1372" s="13"/>
      <c r="C1372" s="13"/>
      <c r="D1372" s="13"/>
      <c r="E1372" s="13"/>
      <c r="F1372" s="14"/>
      <c r="G1372" s="15"/>
      <c r="H1372" s="15"/>
      <c r="I1372" s="15"/>
      <c r="J1372" s="12"/>
      <c r="K1372" s="16" t="str">
        <f aca="false">IF(A1372="","",G1372+H1372)</f>
        <v/>
      </c>
      <c r="L1372" s="16" t="str">
        <f aca="false">IF(A1372="","",IF(F1372="İade edildi",0,K1372-I1372))</f>
        <v/>
      </c>
      <c r="M1372" s="17" t="str">
        <f aca="true">IF(A1372="","",IF(J1372&lt;&gt;"",J1372-A1372,TODAY()-A1372))</f>
        <v/>
      </c>
      <c r="N1372" s="18" t="str">
        <f aca="false">IF(A1372="","",IF(AND(OR(F1372="Bekliyor",F1372="Parça bekleniyor",F1372="Hazır"),M1372&gt;7),"7 günü geçti",""))</f>
        <v/>
      </c>
      <c r="O1372" s="18" t="str">
        <f aca="false">IF(AND(A1372&lt;&gt;"",OR(F1372="Bekliyor",F1372="Parça bekleniyor",F1372="Hazır")),A1372+ROW()/1000000,"")</f>
        <v/>
      </c>
    </row>
    <row r="1373" customFormat="false" ht="15" hidden="false" customHeight="false" outlineLevel="0" collapsed="false">
      <c r="A1373" s="12"/>
      <c r="B1373" s="13"/>
      <c r="C1373" s="13"/>
      <c r="D1373" s="13"/>
      <c r="E1373" s="13"/>
      <c r="F1373" s="14"/>
      <c r="G1373" s="15"/>
      <c r="H1373" s="15"/>
      <c r="I1373" s="15"/>
      <c r="J1373" s="12"/>
      <c r="K1373" s="16" t="str">
        <f aca="false">IF(A1373="","",G1373+H1373)</f>
        <v/>
      </c>
      <c r="L1373" s="16" t="str">
        <f aca="false">IF(A1373="","",IF(F1373="İade edildi",0,K1373-I1373))</f>
        <v/>
      </c>
      <c r="M1373" s="17" t="str">
        <f aca="true">IF(A1373="","",IF(J1373&lt;&gt;"",J1373-A1373,TODAY()-A1373))</f>
        <v/>
      </c>
      <c r="N1373" s="18" t="str">
        <f aca="false">IF(A1373="","",IF(AND(OR(F1373="Bekliyor",F1373="Parça bekleniyor",F1373="Hazır"),M1373&gt;7),"7 günü geçti",""))</f>
        <v/>
      </c>
      <c r="O1373" s="18" t="str">
        <f aca="false">IF(AND(A1373&lt;&gt;"",OR(F1373="Bekliyor",F1373="Parça bekleniyor",F1373="Hazır")),A1373+ROW()/1000000,"")</f>
        <v/>
      </c>
    </row>
    <row r="1374" customFormat="false" ht="15" hidden="false" customHeight="false" outlineLevel="0" collapsed="false">
      <c r="A1374" s="12"/>
      <c r="B1374" s="13"/>
      <c r="C1374" s="13"/>
      <c r="D1374" s="13"/>
      <c r="E1374" s="13"/>
      <c r="F1374" s="14"/>
      <c r="G1374" s="15"/>
      <c r="H1374" s="15"/>
      <c r="I1374" s="15"/>
      <c r="J1374" s="12"/>
      <c r="K1374" s="16" t="str">
        <f aca="false">IF(A1374="","",G1374+H1374)</f>
        <v/>
      </c>
      <c r="L1374" s="16" t="str">
        <f aca="false">IF(A1374="","",IF(F1374="İade edildi",0,K1374-I1374))</f>
        <v/>
      </c>
      <c r="M1374" s="17" t="str">
        <f aca="true">IF(A1374="","",IF(J1374&lt;&gt;"",J1374-A1374,TODAY()-A1374))</f>
        <v/>
      </c>
      <c r="N1374" s="18" t="str">
        <f aca="false">IF(A1374="","",IF(AND(OR(F1374="Bekliyor",F1374="Parça bekleniyor",F1374="Hazır"),M1374&gt;7),"7 günü geçti",""))</f>
        <v/>
      </c>
      <c r="O1374" s="18" t="str">
        <f aca="false">IF(AND(A1374&lt;&gt;"",OR(F1374="Bekliyor",F1374="Parça bekleniyor",F1374="Hazır")),A1374+ROW()/1000000,"")</f>
        <v/>
      </c>
    </row>
    <row r="1375" customFormat="false" ht="15" hidden="false" customHeight="false" outlineLevel="0" collapsed="false">
      <c r="A1375" s="12"/>
      <c r="B1375" s="13"/>
      <c r="C1375" s="13"/>
      <c r="D1375" s="13"/>
      <c r="E1375" s="13"/>
      <c r="F1375" s="14"/>
      <c r="G1375" s="15"/>
      <c r="H1375" s="15"/>
      <c r="I1375" s="15"/>
      <c r="J1375" s="12"/>
      <c r="K1375" s="16" t="str">
        <f aca="false">IF(A1375="","",G1375+H1375)</f>
        <v/>
      </c>
      <c r="L1375" s="16" t="str">
        <f aca="false">IF(A1375="","",IF(F1375="İade edildi",0,K1375-I1375))</f>
        <v/>
      </c>
      <c r="M1375" s="17" t="str">
        <f aca="true">IF(A1375="","",IF(J1375&lt;&gt;"",J1375-A1375,TODAY()-A1375))</f>
        <v/>
      </c>
      <c r="N1375" s="18" t="str">
        <f aca="false">IF(A1375="","",IF(AND(OR(F1375="Bekliyor",F1375="Parça bekleniyor",F1375="Hazır"),M1375&gt;7),"7 günü geçti",""))</f>
        <v/>
      </c>
      <c r="O1375" s="18" t="str">
        <f aca="false">IF(AND(A1375&lt;&gt;"",OR(F1375="Bekliyor",F1375="Parça bekleniyor",F1375="Hazır")),A1375+ROW()/1000000,"")</f>
        <v/>
      </c>
    </row>
    <row r="1376" customFormat="false" ht="15" hidden="false" customHeight="false" outlineLevel="0" collapsed="false">
      <c r="A1376" s="12"/>
      <c r="B1376" s="13"/>
      <c r="C1376" s="13"/>
      <c r="D1376" s="13"/>
      <c r="E1376" s="13"/>
      <c r="F1376" s="14"/>
      <c r="G1376" s="15"/>
      <c r="H1376" s="15"/>
      <c r="I1376" s="15"/>
      <c r="J1376" s="12"/>
      <c r="K1376" s="16" t="str">
        <f aca="false">IF(A1376="","",G1376+H1376)</f>
        <v/>
      </c>
      <c r="L1376" s="16" t="str">
        <f aca="false">IF(A1376="","",IF(F1376="İade edildi",0,K1376-I1376))</f>
        <v/>
      </c>
      <c r="M1376" s="17" t="str">
        <f aca="true">IF(A1376="","",IF(J1376&lt;&gt;"",J1376-A1376,TODAY()-A1376))</f>
        <v/>
      </c>
      <c r="N1376" s="18" t="str">
        <f aca="false">IF(A1376="","",IF(AND(OR(F1376="Bekliyor",F1376="Parça bekleniyor",F1376="Hazır"),M1376&gt;7),"7 günü geçti",""))</f>
        <v/>
      </c>
      <c r="O1376" s="18" t="str">
        <f aca="false">IF(AND(A1376&lt;&gt;"",OR(F1376="Bekliyor",F1376="Parça bekleniyor",F1376="Hazır")),A1376+ROW()/1000000,"")</f>
        <v/>
      </c>
    </row>
    <row r="1377" customFormat="false" ht="15" hidden="false" customHeight="false" outlineLevel="0" collapsed="false">
      <c r="A1377" s="12"/>
      <c r="B1377" s="13"/>
      <c r="C1377" s="13"/>
      <c r="D1377" s="13"/>
      <c r="E1377" s="13"/>
      <c r="F1377" s="14"/>
      <c r="G1377" s="15"/>
      <c r="H1377" s="15"/>
      <c r="I1377" s="15"/>
      <c r="J1377" s="12"/>
      <c r="K1377" s="16" t="str">
        <f aca="false">IF(A1377="","",G1377+H1377)</f>
        <v/>
      </c>
      <c r="L1377" s="16" t="str">
        <f aca="false">IF(A1377="","",IF(F1377="İade edildi",0,K1377-I1377))</f>
        <v/>
      </c>
      <c r="M1377" s="17" t="str">
        <f aca="true">IF(A1377="","",IF(J1377&lt;&gt;"",J1377-A1377,TODAY()-A1377))</f>
        <v/>
      </c>
      <c r="N1377" s="18" t="str">
        <f aca="false">IF(A1377="","",IF(AND(OR(F1377="Bekliyor",F1377="Parça bekleniyor",F1377="Hazır"),M1377&gt;7),"7 günü geçti",""))</f>
        <v/>
      </c>
      <c r="O1377" s="18" t="str">
        <f aca="false">IF(AND(A1377&lt;&gt;"",OR(F1377="Bekliyor",F1377="Parça bekleniyor",F1377="Hazır")),A1377+ROW()/1000000,"")</f>
        <v/>
      </c>
    </row>
    <row r="1378" customFormat="false" ht="15" hidden="false" customHeight="false" outlineLevel="0" collapsed="false">
      <c r="A1378" s="12"/>
      <c r="B1378" s="13"/>
      <c r="C1378" s="13"/>
      <c r="D1378" s="13"/>
      <c r="E1378" s="13"/>
      <c r="F1378" s="14"/>
      <c r="G1378" s="15"/>
      <c r="H1378" s="15"/>
      <c r="I1378" s="15"/>
      <c r="J1378" s="12"/>
      <c r="K1378" s="16" t="str">
        <f aca="false">IF(A1378="","",G1378+H1378)</f>
        <v/>
      </c>
      <c r="L1378" s="16" t="str">
        <f aca="false">IF(A1378="","",IF(F1378="İade edildi",0,K1378-I1378))</f>
        <v/>
      </c>
      <c r="M1378" s="17" t="str">
        <f aca="true">IF(A1378="","",IF(J1378&lt;&gt;"",J1378-A1378,TODAY()-A1378))</f>
        <v/>
      </c>
      <c r="N1378" s="18" t="str">
        <f aca="false">IF(A1378="","",IF(AND(OR(F1378="Bekliyor",F1378="Parça bekleniyor",F1378="Hazır"),M1378&gt;7),"7 günü geçti",""))</f>
        <v/>
      </c>
      <c r="O1378" s="18" t="str">
        <f aca="false">IF(AND(A1378&lt;&gt;"",OR(F1378="Bekliyor",F1378="Parça bekleniyor",F1378="Hazır")),A1378+ROW()/1000000,"")</f>
        <v/>
      </c>
    </row>
    <row r="1379" customFormat="false" ht="15" hidden="false" customHeight="false" outlineLevel="0" collapsed="false">
      <c r="A1379" s="12"/>
      <c r="B1379" s="13"/>
      <c r="C1379" s="13"/>
      <c r="D1379" s="13"/>
      <c r="E1379" s="13"/>
      <c r="F1379" s="14"/>
      <c r="G1379" s="15"/>
      <c r="H1379" s="15"/>
      <c r="I1379" s="15"/>
      <c r="J1379" s="12"/>
      <c r="K1379" s="16" t="str">
        <f aca="false">IF(A1379="","",G1379+H1379)</f>
        <v/>
      </c>
      <c r="L1379" s="16" t="str">
        <f aca="false">IF(A1379="","",IF(F1379="İade edildi",0,K1379-I1379))</f>
        <v/>
      </c>
      <c r="M1379" s="17" t="str">
        <f aca="true">IF(A1379="","",IF(J1379&lt;&gt;"",J1379-A1379,TODAY()-A1379))</f>
        <v/>
      </c>
      <c r="N1379" s="18" t="str">
        <f aca="false">IF(A1379="","",IF(AND(OR(F1379="Bekliyor",F1379="Parça bekleniyor",F1379="Hazır"),M1379&gt;7),"7 günü geçti",""))</f>
        <v/>
      </c>
      <c r="O1379" s="18" t="str">
        <f aca="false">IF(AND(A1379&lt;&gt;"",OR(F1379="Bekliyor",F1379="Parça bekleniyor",F1379="Hazır")),A1379+ROW()/1000000,"")</f>
        <v/>
      </c>
    </row>
    <row r="1380" customFormat="false" ht="15" hidden="false" customHeight="false" outlineLevel="0" collapsed="false">
      <c r="A1380" s="12"/>
      <c r="B1380" s="13"/>
      <c r="C1380" s="13"/>
      <c r="D1380" s="13"/>
      <c r="E1380" s="13"/>
      <c r="F1380" s="14"/>
      <c r="G1380" s="15"/>
      <c r="H1380" s="15"/>
      <c r="I1380" s="15"/>
      <c r="J1380" s="12"/>
      <c r="K1380" s="16" t="str">
        <f aca="false">IF(A1380="","",G1380+H1380)</f>
        <v/>
      </c>
      <c r="L1380" s="16" t="str">
        <f aca="false">IF(A1380="","",IF(F1380="İade edildi",0,K1380-I1380))</f>
        <v/>
      </c>
      <c r="M1380" s="17" t="str">
        <f aca="true">IF(A1380="","",IF(J1380&lt;&gt;"",J1380-A1380,TODAY()-A1380))</f>
        <v/>
      </c>
      <c r="N1380" s="18" t="str">
        <f aca="false">IF(A1380="","",IF(AND(OR(F1380="Bekliyor",F1380="Parça bekleniyor",F1380="Hazır"),M1380&gt;7),"7 günü geçti",""))</f>
        <v/>
      </c>
      <c r="O1380" s="18" t="str">
        <f aca="false">IF(AND(A1380&lt;&gt;"",OR(F1380="Bekliyor",F1380="Parça bekleniyor",F1380="Hazır")),A1380+ROW()/1000000,"")</f>
        <v/>
      </c>
    </row>
    <row r="1381" customFormat="false" ht="15" hidden="false" customHeight="false" outlineLevel="0" collapsed="false">
      <c r="A1381" s="12"/>
      <c r="B1381" s="13"/>
      <c r="C1381" s="13"/>
      <c r="D1381" s="13"/>
      <c r="E1381" s="13"/>
      <c r="F1381" s="14"/>
      <c r="G1381" s="15"/>
      <c r="H1381" s="15"/>
      <c r="I1381" s="15"/>
      <c r="J1381" s="12"/>
      <c r="K1381" s="16" t="str">
        <f aca="false">IF(A1381="","",G1381+H1381)</f>
        <v/>
      </c>
      <c r="L1381" s="16" t="str">
        <f aca="false">IF(A1381="","",IF(F1381="İade edildi",0,K1381-I1381))</f>
        <v/>
      </c>
      <c r="M1381" s="17" t="str">
        <f aca="true">IF(A1381="","",IF(J1381&lt;&gt;"",J1381-A1381,TODAY()-A1381))</f>
        <v/>
      </c>
      <c r="N1381" s="18" t="str">
        <f aca="false">IF(A1381="","",IF(AND(OR(F1381="Bekliyor",F1381="Parça bekleniyor",F1381="Hazır"),M1381&gt;7),"7 günü geçti",""))</f>
        <v/>
      </c>
      <c r="O1381" s="18" t="str">
        <f aca="false">IF(AND(A1381&lt;&gt;"",OR(F1381="Bekliyor",F1381="Parça bekleniyor",F1381="Hazır")),A1381+ROW()/1000000,"")</f>
        <v/>
      </c>
    </row>
    <row r="1382" customFormat="false" ht="15" hidden="false" customHeight="false" outlineLevel="0" collapsed="false">
      <c r="A1382" s="12"/>
      <c r="B1382" s="13"/>
      <c r="C1382" s="13"/>
      <c r="D1382" s="13"/>
      <c r="E1382" s="13"/>
      <c r="F1382" s="14"/>
      <c r="G1382" s="15"/>
      <c r="H1382" s="15"/>
      <c r="I1382" s="15"/>
      <c r="J1382" s="12"/>
      <c r="K1382" s="16" t="str">
        <f aca="false">IF(A1382="","",G1382+H1382)</f>
        <v/>
      </c>
      <c r="L1382" s="16" t="str">
        <f aca="false">IF(A1382="","",IF(F1382="İade edildi",0,K1382-I1382))</f>
        <v/>
      </c>
      <c r="M1382" s="17" t="str">
        <f aca="true">IF(A1382="","",IF(J1382&lt;&gt;"",J1382-A1382,TODAY()-A1382))</f>
        <v/>
      </c>
      <c r="N1382" s="18" t="str">
        <f aca="false">IF(A1382="","",IF(AND(OR(F1382="Bekliyor",F1382="Parça bekleniyor",F1382="Hazır"),M1382&gt;7),"7 günü geçti",""))</f>
        <v/>
      </c>
      <c r="O1382" s="18" t="str">
        <f aca="false">IF(AND(A1382&lt;&gt;"",OR(F1382="Bekliyor",F1382="Parça bekleniyor",F1382="Hazır")),A1382+ROW()/1000000,"")</f>
        <v/>
      </c>
    </row>
    <row r="1383" customFormat="false" ht="15" hidden="false" customHeight="false" outlineLevel="0" collapsed="false">
      <c r="A1383" s="12"/>
      <c r="B1383" s="13"/>
      <c r="C1383" s="13"/>
      <c r="D1383" s="13"/>
      <c r="E1383" s="13"/>
      <c r="F1383" s="14"/>
      <c r="G1383" s="15"/>
      <c r="H1383" s="15"/>
      <c r="I1383" s="15"/>
      <c r="J1383" s="12"/>
      <c r="K1383" s="16" t="str">
        <f aca="false">IF(A1383="","",G1383+H1383)</f>
        <v/>
      </c>
      <c r="L1383" s="16" t="str">
        <f aca="false">IF(A1383="","",IF(F1383="İade edildi",0,K1383-I1383))</f>
        <v/>
      </c>
      <c r="M1383" s="17" t="str">
        <f aca="true">IF(A1383="","",IF(J1383&lt;&gt;"",J1383-A1383,TODAY()-A1383))</f>
        <v/>
      </c>
      <c r="N1383" s="18" t="str">
        <f aca="false">IF(A1383="","",IF(AND(OR(F1383="Bekliyor",F1383="Parça bekleniyor",F1383="Hazır"),M1383&gt;7),"7 günü geçti",""))</f>
        <v/>
      </c>
      <c r="O1383" s="18" t="str">
        <f aca="false">IF(AND(A1383&lt;&gt;"",OR(F1383="Bekliyor",F1383="Parça bekleniyor",F1383="Hazır")),A1383+ROW()/1000000,"")</f>
        <v/>
      </c>
    </row>
    <row r="1384" customFormat="false" ht="15" hidden="false" customHeight="false" outlineLevel="0" collapsed="false">
      <c r="A1384" s="12"/>
      <c r="B1384" s="13"/>
      <c r="C1384" s="13"/>
      <c r="D1384" s="13"/>
      <c r="E1384" s="13"/>
      <c r="F1384" s="14"/>
      <c r="G1384" s="15"/>
      <c r="H1384" s="15"/>
      <c r="I1384" s="15"/>
      <c r="J1384" s="12"/>
      <c r="K1384" s="16" t="str">
        <f aca="false">IF(A1384="","",G1384+H1384)</f>
        <v/>
      </c>
      <c r="L1384" s="16" t="str">
        <f aca="false">IF(A1384="","",IF(F1384="İade edildi",0,K1384-I1384))</f>
        <v/>
      </c>
      <c r="M1384" s="17" t="str">
        <f aca="true">IF(A1384="","",IF(J1384&lt;&gt;"",J1384-A1384,TODAY()-A1384))</f>
        <v/>
      </c>
      <c r="N1384" s="18" t="str">
        <f aca="false">IF(A1384="","",IF(AND(OR(F1384="Bekliyor",F1384="Parça bekleniyor",F1384="Hazır"),M1384&gt;7),"7 günü geçti",""))</f>
        <v/>
      </c>
      <c r="O1384" s="18" t="str">
        <f aca="false">IF(AND(A1384&lt;&gt;"",OR(F1384="Bekliyor",F1384="Parça bekleniyor",F1384="Hazır")),A1384+ROW()/1000000,"")</f>
        <v/>
      </c>
    </row>
    <row r="1385" customFormat="false" ht="15" hidden="false" customHeight="false" outlineLevel="0" collapsed="false">
      <c r="A1385" s="12"/>
      <c r="B1385" s="13"/>
      <c r="C1385" s="13"/>
      <c r="D1385" s="13"/>
      <c r="E1385" s="13"/>
      <c r="F1385" s="14"/>
      <c r="G1385" s="15"/>
      <c r="H1385" s="15"/>
      <c r="I1385" s="15"/>
      <c r="J1385" s="12"/>
      <c r="K1385" s="16" t="str">
        <f aca="false">IF(A1385="","",G1385+H1385)</f>
        <v/>
      </c>
      <c r="L1385" s="16" t="str">
        <f aca="false">IF(A1385="","",IF(F1385="İade edildi",0,K1385-I1385))</f>
        <v/>
      </c>
      <c r="M1385" s="17" t="str">
        <f aca="true">IF(A1385="","",IF(J1385&lt;&gt;"",J1385-A1385,TODAY()-A1385))</f>
        <v/>
      </c>
      <c r="N1385" s="18" t="str">
        <f aca="false">IF(A1385="","",IF(AND(OR(F1385="Bekliyor",F1385="Parça bekleniyor",F1385="Hazır"),M1385&gt;7),"7 günü geçti",""))</f>
        <v/>
      </c>
      <c r="O1385" s="18" t="str">
        <f aca="false">IF(AND(A1385&lt;&gt;"",OR(F1385="Bekliyor",F1385="Parça bekleniyor",F1385="Hazır")),A1385+ROW()/1000000,"")</f>
        <v/>
      </c>
    </row>
    <row r="1386" customFormat="false" ht="15" hidden="false" customHeight="false" outlineLevel="0" collapsed="false">
      <c r="A1386" s="12"/>
      <c r="B1386" s="13"/>
      <c r="C1386" s="13"/>
      <c r="D1386" s="13"/>
      <c r="E1386" s="13"/>
      <c r="F1386" s="14"/>
      <c r="G1386" s="15"/>
      <c r="H1386" s="15"/>
      <c r="I1386" s="15"/>
      <c r="J1386" s="12"/>
      <c r="K1386" s="16" t="str">
        <f aca="false">IF(A1386="","",G1386+H1386)</f>
        <v/>
      </c>
      <c r="L1386" s="16" t="str">
        <f aca="false">IF(A1386="","",IF(F1386="İade edildi",0,K1386-I1386))</f>
        <v/>
      </c>
      <c r="M1386" s="17" t="str">
        <f aca="true">IF(A1386="","",IF(J1386&lt;&gt;"",J1386-A1386,TODAY()-A1386))</f>
        <v/>
      </c>
      <c r="N1386" s="18" t="str">
        <f aca="false">IF(A1386="","",IF(AND(OR(F1386="Bekliyor",F1386="Parça bekleniyor",F1386="Hazır"),M1386&gt;7),"7 günü geçti",""))</f>
        <v/>
      </c>
      <c r="O1386" s="18" t="str">
        <f aca="false">IF(AND(A1386&lt;&gt;"",OR(F1386="Bekliyor",F1386="Parça bekleniyor",F1386="Hazır")),A1386+ROW()/1000000,"")</f>
        <v/>
      </c>
    </row>
    <row r="1387" customFormat="false" ht="15" hidden="false" customHeight="false" outlineLevel="0" collapsed="false">
      <c r="A1387" s="12"/>
      <c r="B1387" s="13"/>
      <c r="C1387" s="13"/>
      <c r="D1387" s="13"/>
      <c r="E1387" s="13"/>
      <c r="F1387" s="14"/>
      <c r="G1387" s="15"/>
      <c r="H1387" s="15"/>
      <c r="I1387" s="15"/>
      <c r="J1387" s="12"/>
      <c r="K1387" s="16" t="str">
        <f aca="false">IF(A1387="","",G1387+H1387)</f>
        <v/>
      </c>
      <c r="L1387" s="16" t="str">
        <f aca="false">IF(A1387="","",IF(F1387="İade edildi",0,K1387-I1387))</f>
        <v/>
      </c>
      <c r="M1387" s="17" t="str">
        <f aca="true">IF(A1387="","",IF(J1387&lt;&gt;"",J1387-A1387,TODAY()-A1387))</f>
        <v/>
      </c>
      <c r="N1387" s="18" t="str">
        <f aca="false">IF(A1387="","",IF(AND(OR(F1387="Bekliyor",F1387="Parça bekleniyor",F1387="Hazır"),M1387&gt;7),"7 günü geçti",""))</f>
        <v/>
      </c>
      <c r="O1387" s="18" t="str">
        <f aca="false">IF(AND(A1387&lt;&gt;"",OR(F1387="Bekliyor",F1387="Parça bekleniyor",F1387="Hazır")),A1387+ROW()/1000000,"")</f>
        <v/>
      </c>
    </row>
    <row r="1388" customFormat="false" ht="15" hidden="false" customHeight="false" outlineLevel="0" collapsed="false">
      <c r="A1388" s="12"/>
      <c r="B1388" s="13"/>
      <c r="C1388" s="13"/>
      <c r="D1388" s="13"/>
      <c r="E1388" s="13"/>
      <c r="F1388" s="14"/>
      <c r="G1388" s="15"/>
      <c r="H1388" s="15"/>
      <c r="I1388" s="15"/>
      <c r="J1388" s="12"/>
      <c r="K1388" s="16" t="str">
        <f aca="false">IF(A1388="","",G1388+H1388)</f>
        <v/>
      </c>
      <c r="L1388" s="16" t="str">
        <f aca="false">IF(A1388="","",IF(F1388="İade edildi",0,K1388-I1388))</f>
        <v/>
      </c>
      <c r="M1388" s="17" t="str">
        <f aca="true">IF(A1388="","",IF(J1388&lt;&gt;"",J1388-A1388,TODAY()-A1388))</f>
        <v/>
      </c>
      <c r="N1388" s="18" t="str">
        <f aca="false">IF(A1388="","",IF(AND(OR(F1388="Bekliyor",F1388="Parça bekleniyor",F1388="Hazır"),M1388&gt;7),"7 günü geçti",""))</f>
        <v/>
      </c>
      <c r="O1388" s="18" t="str">
        <f aca="false">IF(AND(A1388&lt;&gt;"",OR(F1388="Bekliyor",F1388="Parça bekleniyor",F1388="Hazır")),A1388+ROW()/1000000,"")</f>
        <v/>
      </c>
    </row>
    <row r="1389" customFormat="false" ht="15" hidden="false" customHeight="false" outlineLevel="0" collapsed="false">
      <c r="A1389" s="12"/>
      <c r="B1389" s="13"/>
      <c r="C1389" s="13"/>
      <c r="D1389" s="13"/>
      <c r="E1389" s="13"/>
      <c r="F1389" s="14"/>
      <c r="G1389" s="15"/>
      <c r="H1389" s="15"/>
      <c r="I1389" s="15"/>
      <c r="J1389" s="12"/>
      <c r="K1389" s="16" t="str">
        <f aca="false">IF(A1389="","",G1389+H1389)</f>
        <v/>
      </c>
      <c r="L1389" s="16" t="str">
        <f aca="false">IF(A1389="","",IF(F1389="İade edildi",0,K1389-I1389))</f>
        <v/>
      </c>
      <c r="M1389" s="17" t="str">
        <f aca="true">IF(A1389="","",IF(J1389&lt;&gt;"",J1389-A1389,TODAY()-A1389))</f>
        <v/>
      </c>
      <c r="N1389" s="18" t="str">
        <f aca="false">IF(A1389="","",IF(AND(OR(F1389="Bekliyor",F1389="Parça bekleniyor",F1389="Hazır"),M1389&gt;7),"7 günü geçti",""))</f>
        <v/>
      </c>
      <c r="O1389" s="18" t="str">
        <f aca="false">IF(AND(A1389&lt;&gt;"",OR(F1389="Bekliyor",F1389="Parça bekleniyor",F1389="Hazır")),A1389+ROW()/1000000,"")</f>
        <v/>
      </c>
    </row>
    <row r="1390" customFormat="false" ht="15" hidden="false" customHeight="false" outlineLevel="0" collapsed="false">
      <c r="A1390" s="12"/>
      <c r="B1390" s="13"/>
      <c r="C1390" s="13"/>
      <c r="D1390" s="13"/>
      <c r="E1390" s="13"/>
      <c r="F1390" s="14"/>
      <c r="G1390" s="15"/>
      <c r="H1390" s="15"/>
      <c r="I1390" s="15"/>
      <c r="J1390" s="12"/>
      <c r="K1390" s="16" t="str">
        <f aca="false">IF(A1390="","",G1390+H1390)</f>
        <v/>
      </c>
      <c r="L1390" s="16" t="str">
        <f aca="false">IF(A1390="","",IF(F1390="İade edildi",0,K1390-I1390))</f>
        <v/>
      </c>
      <c r="M1390" s="17" t="str">
        <f aca="true">IF(A1390="","",IF(J1390&lt;&gt;"",J1390-A1390,TODAY()-A1390))</f>
        <v/>
      </c>
      <c r="N1390" s="18" t="str">
        <f aca="false">IF(A1390="","",IF(AND(OR(F1390="Bekliyor",F1390="Parça bekleniyor",F1390="Hazır"),M1390&gt;7),"7 günü geçti",""))</f>
        <v/>
      </c>
      <c r="O1390" s="18" t="str">
        <f aca="false">IF(AND(A1390&lt;&gt;"",OR(F1390="Bekliyor",F1390="Parça bekleniyor",F1390="Hazır")),A1390+ROW()/1000000,"")</f>
        <v/>
      </c>
    </row>
    <row r="1391" customFormat="false" ht="15" hidden="false" customHeight="false" outlineLevel="0" collapsed="false">
      <c r="A1391" s="12"/>
      <c r="B1391" s="13"/>
      <c r="C1391" s="13"/>
      <c r="D1391" s="13"/>
      <c r="E1391" s="13"/>
      <c r="F1391" s="14"/>
      <c r="G1391" s="15"/>
      <c r="H1391" s="15"/>
      <c r="I1391" s="15"/>
      <c r="J1391" s="12"/>
      <c r="K1391" s="16" t="str">
        <f aca="false">IF(A1391="","",G1391+H1391)</f>
        <v/>
      </c>
      <c r="L1391" s="16" t="str">
        <f aca="false">IF(A1391="","",IF(F1391="İade edildi",0,K1391-I1391))</f>
        <v/>
      </c>
      <c r="M1391" s="17" t="str">
        <f aca="true">IF(A1391="","",IF(J1391&lt;&gt;"",J1391-A1391,TODAY()-A1391))</f>
        <v/>
      </c>
      <c r="N1391" s="18" t="str">
        <f aca="false">IF(A1391="","",IF(AND(OR(F1391="Bekliyor",F1391="Parça bekleniyor",F1391="Hazır"),M1391&gt;7),"7 günü geçti",""))</f>
        <v/>
      </c>
      <c r="O1391" s="18" t="str">
        <f aca="false">IF(AND(A1391&lt;&gt;"",OR(F1391="Bekliyor",F1391="Parça bekleniyor",F1391="Hazır")),A1391+ROW()/1000000,"")</f>
        <v/>
      </c>
    </row>
    <row r="1392" customFormat="false" ht="15" hidden="false" customHeight="false" outlineLevel="0" collapsed="false">
      <c r="A1392" s="12"/>
      <c r="B1392" s="13"/>
      <c r="C1392" s="13"/>
      <c r="D1392" s="13"/>
      <c r="E1392" s="13"/>
      <c r="F1392" s="14"/>
      <c r="G1392" s="15"/>
      <c r="H1392" s="15"/>
      <c r="I1392" s="15"/>
      <c r="J1392" s="12"/>
      <c r="K1392" s="16" t="str">
        <f aca="false">IF(A1392="","",G1392+H1392)</f>
        <v/>
      </c>
      <c r="L1392" s="16" t="str">
        <f aca="false">IF(A1392="","",IF(F1392="İade edildi",0,K1392-I1392))</f>
        <v/>
      </c>
      <c r="M1392" s="17" t="str">
        <f aca="true">IF(A1392="","",IF(J1392&lt;&gt;"",J1392-A1392,TODAY()-A1392))</f>
        <v/>
      </c>
      <c r="N1392" s="18" t="str">
        <f aca="false">IF(A1392="","",IF(AND(OR(F1392="Bekliyor",F1392="Parça bekleniyor",F1392="Hazır"),M1392&gt;7),"7 günü geçti",""))</f>
        <v/>
      </c>
      <c r="O1392" s="18" t="str">
        <f aca="false">IF(AND(A1392&lt;&gt;"",OR(F1392="Bekliyor",F1392="Parça bekleniyor",F1392="Hazır")),A1392+ROW()/1000000,"")</f>
        <v/>
      </c>
    </row>
    <row r="1393" customFormat="false" ht="15" hidden="false" customHeight="false" outlineLevel="0" collapsed="false">
      <c r="A1393" s="12"/>
      <c r="B1393" s="13"/>
      <c r="C1393" s="13"/>
      <c r="D1393" s="13"/>
      <c r="E1393" s="13"/>
      <c r="F1393" s="14"/>
      <c r="G1393" s="15"/>
      <c r="H1393" s="15"/>
      <c r="I1393" s="15"/>
      <c r="J1393" s="12"/>
      <c r="K1393" s="16" t="str">
        <f aca="false">IF(A1393="","",G1393+H1393)</f>
        <v/>
      </c>
      <c r="L1393" s="16" t="str">
        <f aca="false">IF(A1393="","",IF(F1393="İade edildi",0,K1393-I1393))</f>
        <v/>
      </c>
      <c r="M1393" s="17" t="str">
        <f aca="true">IF(A1393="","",IF(J1393&lt;&gt;"",J1393-A1393,TODAY()-A1393))</f>
        <v/>
      </c>
      <c r="N1393" s="18" t="str">
        <f aca="false">IF(A1393="","",IF(AND(OR(F1393="Bekliyor",F1393="Parça bekleniyor",F1393="Hazır"),M1393&gt;7),"7 günü geçti",""))</f>
        <v/>
      </c>
      <c r="O1393" s="18" t="str">
        <f aca="false">IF(AND(A1393&lt;&gt;"",OR(F1393="Bekliyor",F1393="Parça bekleniyor",F1393="Hazır")),A1393+ROW()/1000000,"")</f>
        <v/>
      </c>
    </row>
    <row r="1394" customFormat="false" ht="15" hidden="false" customHeight="false" outlineLevel="0" collapsed="false">
      <c r="A1394" s="12"/>
      <c r="B1394" s="13"/>
      <c r="C1394" s="13"/>
      <c r="D1394" s="13"/>
      <c r="E1394" s="13"/>
      <c r="F1394" s="14"/>
      <c r="G1394" s="15"/>
      <c r="H1394" s="15"/>
      <c r="I1394" s="15"/>
      <c r="J1394" s="12"/>
      <c r="K1394" s="16" t="str">
        <f aca="false">IF(A1394="","",G1394+H1394)</f>
        <v/>
      </c>
      <c r="L1394" s="16" t="str">
        <f aca="false">IF(A1394="","",IF(F1394="İade edildi",0,K1394-I1394))</f>
        <v/>
      </c>
      <c r="M1394" s="17" t="str">
        <f aca="true">IF(A1394="","",IF(J1394&lt;&gt;"",J1394-A1394,TODAY()-A1394))</f>
        <v/>
      </c>
      <c r="N1394" s="18" t="str">
        <f aca="false">IF(A1394="","",IF(AND(OR(F1394="Bekliyor",F1394="Parça bekleniyor",F1394="Hazır"),M1394&gt;7),"7 günü geçti",""))</f>
        <v/>
      </c>
      <c r="O1394" s="18" t="str">
        <f aca="false">IF(AND(A1394&lt;&gt;"",OR(F1394="Bekliyor",F1394="Parça bekleniyor",F1394="Hazır")),A1394+ROW()/1000000,"")</f>
        <v/>
      </c>
    </row>
    <row r="1395" customFormat="false" ht="15" hidden="false" customHeight="false" outlineLevel="0" collapsed="false">
      <c r="A1395" s="12"/>
      <c r="B1395" s="13"/>
      <c r="C1395" s="13"/>
      <c r="D1395" s="13"/>
      <c r="E1395" s="13"/>
      <c r="F1395" s="14"/>
      <c r="G1395" s="15"/>
      <c r="H1395" s="15"/>
      <c r="I1395" s="15"/>
      <c r="J1395" s="12"/>
      <c r="K1395" s="16" t="str">
        <f aca="false">IF(A1395="","",G1395+H1395)</f>
        <v/>
      </c>
      <c r="L1395" s="16" t="str">
        <f aca="false">IF(A1395="","",IF(F1395="İade edildi",0,K1395-I1395))</f>
        <v/>
      </c>
      <c r="M1395" s="17" t="str">
        <f aca="true">IF(A1395="","",IF(J1395&lt;&gt;"",J1395-A1395,TODAY()-A1395))</f>
        <v/>
      </c>
      <c r="N1395" s="18" t="str">
        <f aca="false">IF(A1395="","",IF(AND(OR(F1395="Bekliyor",F1395="Parça bekleniyor",F1395="Hazır"),M1395&gt;7),"7 günü geçti",""))</f>
        <v/>
      </c>
      <c r="O1395" s="18" t="str">
        <f aca="false">IF(AND(A1395&lt;&gt;"",OR(F1395="Bekliyor",F1395="Parça bekleniyor",F1395="Hazır")),A1395+ROW()/1000000,"")</f>
        <v/>
      </c>
    </row>
    <row r="1396" customFormat="false" ht="15" hidden="false" customHeight="false" outlineLevel="0" collapsed="false">
      <c r="A1396" s="12"/>
      <c r="B1396" s="13"/>
      <c r="C1396" s="13"/>
      <c r="D1396" s="13"/>
      <c r="E1396" s="13"/>
      <c r="F1396" s="14"/>
      <c r="G1396" s="15"/>
      <c r="H1396" s="15"/>
      <c r="I1396" s="15"/>
      <c r="J1396" s="12"/>
      <c r="K1396" s="16" t="str">
        <f aca="false">IF(A1396="","",G1396+H1396)</f>
        <v/>
      </c>
      <c r="L1396" s="16" t="str">
        <f aca="false">IF(A1396="","",IF(F1396="İade edildi",0,K1396-I1396))</f>
        <v/>
      </c>
      <c r="M1396" s="17" t="str">
        <f aca="true">IF(A1396="","",IF(J1396&lt;&gt;"",J1396-A1396,TODAY()-A1396))</f>
        <v/>
      </c>
      <c r="N1396" s="18" t="str">
        <f aca="false">IF(A1396="","",IF(AND(OR(F1396="Bekliyor",F1396="Parça bekleniyor",F1396="Hazır"),M1396&gt;7),"7 günü geçti",""))</f>
        <v/>
      </c>
      <c r="O1396" s="18" t="str">
        <f aca="false">IF(AND(A1396&lt;&gt;"",OR(F1396="Bekliyor",F1396="Parça bekleniyor",F1396="Hazır")),A1396+ROW()/1000000,"")</f>
        <v/>
      </c>
    </row>
    <row r="1397" customFormat="false" ht="15" hidden="false" customHeight="false" outlineLevel="0" collapsed="false">
      <c r="A1397" s="12"/>
      <c r="B1397" s="13"/>
      <c r="C1397" s="13"/>
      <c r="D1397" s="13"/>
      <c r="E1397" s="13"/>
      <c r="F1397" s="14"/>
      <c r="G1397" s="15"/>
      <c r="H1397" s="15"/>
      <c r="I1397" s="15"/>
      <c r="J1397" s="12"/>
      <c r="K1397" s="16" t="str">
        <f aca="false">IF(A1397="","",G1397+H1397)</f>
        <v/>
      </c>
      <c r="L1397" s="16" t="str">
        <f aca="false">IF(A1397="","",IF(F1397="İade edildi",0,K1397-I1397))</f>
        <v/>
      </c>
      <c r="M1397" s="17" t="str">
        <f aca="true">IF(A1397="","",IF(J1397&lt;&gt;"",J1397-A1397,TODAY()-A1397))</f>
        <v/>
      </c>
      <c r="N1397" s="18" t="str">
        <f aca="false">IF(A1397="","",IF(AND(OR(F1397="Bekliyor",F1397="Parça bekleniyor",F1397="Hazır"),M1397&gt;7),"7 günü geçti",""))</f>
        <v/>
      </c>
      <c r="O1397" s="18" t="str">
        <f aca="false">IF(AND(A1397&lt;&gt;"",OR(F1397="Bekliyor",F1397="Parça bekleniyor",F1397="Hazır")),A1397+ROW()/1000000,"")</f>
        <v/>
      </c>
    </row>
    <row r="1398" customFormat="false" ht="15" hidden="false" customHeight="false" outlineLevel="0" collapsed="false">
      <c r="A1398" s="12"/>
      <c r="B1398" s="13"/>
      <c r="C1398" s="13"/>
      <c r="D1398" s="13"/>
      <c r="E1398" s="13"/>
      <c r="F1398" s="14"/>
      <c r="G1398" s="15"/>
      <c r="H1398" s="15"/>
      <c r="I1398" s="15"/>
      <c r="J1398" s="12"/>
      <c r="K1398" s="16" t="str">
        <f aca="false">IF(A1398="","",G1398+H1398)</f>
        <v/>
      </c>
      <c r="L1398" s="16" t="str">
        <f aca="false">IF(A1398="","",IF(F1398="İade edildi",0,K1398-I1398))</f>
        <v/>
      </c>
      <c r="M1398" s="17" t="str">
        <f aca="true">IF(A1398="","",IF(J1398&lt;&gt;"",J1398-A1398,TODAY()-A1398))</f>
        <v/>
      </c>
      <c r="N1398" s="18" t="str">
        <f aca="false">IF(A1398="","",IF(AND(OR(F1398="Bekliyor",F1398="Parça bekleniyor",F1398="Hazır"),M1398&gt;7),"7 günü geçti",""))</f>
        <v/>
      </c>
      <c r="O1398" s="18" t="str">
        <f aca="false">IF(AND(A1398&lt;&gt;"",OR(F1398="Bekliyor",F1398="Parça bekleniyor",F1398="Hazır")),A1398+ROW()/1000000,"")</f>
        <v/>
      </c>
    </row>
    <row r="1399" customFormat="false" ht="15" hidden="false" customHeight="false" outlineLevel="0" collapsed="false">
      <c r="A1399" s="12"/>
      <c r="B1399" s="13"/>
      <c r="C1399" s="13"/>
      <c r="D1399" s="13"/>
      <c r="E1399" s="13"/>
      <c r="F1399" s="14"/>
      <c r="G1399" s="15"/>
      <c r="H1399" s="15"/>
      <c r="I1399" s="15"/>
      <c r="J1399" s="12"/>
      <c r="K1399" s="16" t="str">
        <f aca="false">IF(A1399="","",G1399+H1399)</f>
        <v/>
      </c>
      <c r="L1399" s="16" t="str">
        <f aca="false">IF(A1399="","",IF(F1399="İade edildi",0,K1399-I1399))</f>
        <v/>
      </c>
      <c r="M1399" s="17" t="str">
        <f aca="true">IF(A1399="","",IF(J1399&lt;&gt;"",J1399-A1399,TODAY()-A1399))</f>
        <v/>
      </c>
      <c r="N1399" s="18" t="str">
        <f aca="false">IF(A1399="","",IF(AND(OR(F1399="Bekliyor",F1399="Parça bekleniyor",F1399="Hazır"),M1399&gt;7),"7 günü geçti",""))</f>
        <v/>
      </c>
      <c r="O1399" s="18" t="str">
        <f aca="false">IF(AND(A1399&lt;&gt;"",OR(F1399="Bekliyor",F1399="Parça bekleniyor",F1399="Hazır")),A1399+ROW()/1000000,"")</f>
        <v/>
      </c>
    </row>
    <row r="1400" customFormat="false" ht="15" hidden="false" customHeight="false" outlineLevel="0" collapsed="false">
      <c r="A1400" s="12"/>
      <c r="B1400" s="13"/>
      <c r="C1400" s="13"/>
      <c r="D1400" s="13"/>
      <c r="E1400" s="13"/>
      <c r="F1400" s="14"/>
      <c r="G1400" s="15"/>
      <c r="H1400" s="15"/>
      <c r="I1400" s="15"/>
      <c r="J1400" s="12"/>
      <c r="K1400" s="16" t="str">
        <f aca="false">IF(A1400="","",G1400+H1400)</f>
        <v/>
      </c>
      <c r="L1400" s="16" t="str">
        <f aca="false">IF(A1400="","",IF(F1400="İade edildi",0,K1400-I1400))</f>
        <v/>
      </c>
      <c r="M1400" s="17" t="str">
        <f aca="true">IF(A1400="","",IF(J1400&lt;&gt;"",J1400-A1400,TODAY()-A1400))</f>
        <v/>
      </c>
      <c r="N1400" s="18" t="str">
        <f aca="false">IF(A1400="","",IF(AND(OR(F1400="Bekliyor",F1400="Parça bekleniyor",F1400="Hazır"),M1400&gt;7),"7 günü geçti",""))</f>
        <v/>
      </c>
      <c r="O1400" s="18" t="str">
        <f aca="false">IF(AND(A1400&lt;&gt;"",OR(F1400="Bekliyor",F1400="Parça bekleniyor",F1400="Hazır")),A1400+ROW()/1000000,"")</f>
        <v/>
      </c>
    </row>
    <row r="1401" customFormat="false" ht="15" hidden="false" customHeight="false" outlineLevel="0" collapsed="false">
      <c r="A1401" s="12"/>
      <c r="B1401" s="13"/>
      <c r="C1401" s="13"/>
      <c r="D1401" s="13"/>
      <c r="E1401" s="13"/>
      <c r="F1401" s="14"/>
      <c r="G1401" s="15"/>
      <c r="H1401" s="15"/>
      <c r="I1401" s="15"/>
      <c r="J1401" s="12"/>
      <c r="K1401" s="16" t="str">
        <f aca="false">IF(A1401="","",G1401+H1401)</f>
        <v/>
      </c>
      <c r="L1401" s="16" t="str">
        <f aca="false">IF(A1401="","",IF(F1401="İade edildi",0,K1401-I1401))</f>
        <v/>
      </c>
      <c r="M1401" s="17" t="str">
        <f aca="true">IF(A1401="","",IF(J1401&lt;&gt;"",J1401-A1401,TODAY()-A1401))</f>
        <v/>
      </c>
      <c r="N1401" s="18" t="str">
        <f aca="false">IF(A1401="","",IF(AND(OR(F1401="Bekliyor",F1401="Parça bekleniyor",F1401="Hazır"),M1401&gt;7),"7 günü geçti",""))</f>
        <v/>
      </c>
      <c r="O1401" s="18" t="str">
        <f aca="false">IF(AND(A1401&lt;&gt;"",OR(F1401="Bekliyor",F1401="Parça bekleniyor",F1401="Hazır")),A1401+ROW()/1000000,"")</f>
        <v/>
      </c>
    </row>
    <row r="1402" customFormat="false" ht="15" hidden="false" customHeight="false" outlineLevel="0" collapsed="false">
      <c r="A1402" s="12"/>
      <c r="B1402" s="13"/>
      <c r="C1402" s="13"/>
      <c r="D1402" s="13"/>
      <c r="E1402" s="13"/>
      <c r="F1402" s="14"/>
      <c r="G1402" s="15"/>
      <c r="H1402" s="15"/>
      <c r="I1402" s="15"/>
      <c r="J1402" s="12"/>
      <c r="K1402" s="16" t="str">
        <f aca="false">IF(A1402="","",G1402+H1402)</f>
        <v/>
      </c>
      <c r="L1402" s="16" t="str">
        <f aca="false">IF(A1402="","",IF(F1402="İade edildi",0,K1402-I1402))</f>
        <v/>
      </c>
      <c r="M1402" s="17" t="str">
        <f aca="true">IF(A1402="","",IF(J1402&lt;&gt;"",J1402-A1402,TODAY()-A1402))</f>
        <v/>
      </c>
      <c r="N1402" s="18" t="str">
        <f aca="false">IF(A1402="","",IF(AND(OR(F1402="Bekliyor",F1402="Parça bekleniyor",F1402="Hazır"),M1402&gt;7),"7 günü geçti",""))</f>
        <v/>
      </c>
      <c r="O1402" s="18" t="str">
        <f aca="false">IF(AND(A1402&lt;&gt;"",OR(F1402="Bekliyor",F1402="Parça bekleniyor",F1402="Hazır")),A1402+ROW()/1000000,"")</f>
        <v/>
      </c>
    </row>
    <row r="1403" customFormat="false" ht="15" hidden="false" customHeight="false" outlineLevel="0" collapsed="false">
      <c r="A1403" s="12"/>
      <c r="B1403" s="13"/>
      <c r="C1403" s="13"/>
      <c r="D1403" s="13"/>
      <c r="E1403" s="13"/>
      <c r="F1403" s="14"/>
      <c r="G1403" s="15"/>
      <c r="H1403" s="15"/>
      <c r="I1403" s="15"/>
      <c r="J1403" s="12"/>
      <c r="K1403" s="16" t="str">
        <f aca="false">IF(A1403="","",G1403+H1403)</f>
        <v/>
      </c>
      <c r="L1403" s="16" t="str">
        <f aca="false">IF(A1403="","",IF(F1403="İade edildi",0,K1403-I1403))</f>
        <v/>
      </c>
      <c r="M1403" s="17" t="str">
        <f aca="true">IF(A1403="","",IF(J1403&lt;&gt;"",J1403-A1403,TODAY()-A1403))</f>
        <v/>
      </c>
      <c r="N1403" s="18" t="str">
        <f aca="false">IF(A1403="","",IF(AND(OR(F1403="Bekliyor",F1403="Parça bekleniyor",F1403="Hazır"),M1403&gt;7),"7 günü geçti",""))</f>
        <v/>
      </c>
      <c r="O1403" s="18" t="str">
        <f aca="false">IF(AND(A1403&lt;&gt;"",OR(F1403="Bekliyor",F1403="Parça bekleniyor",F1403="Hazır")),A1403+ROW()/1000000,"")</f>
        <v/>
      </c>
    </row>
    <row r="1404" customFormat="false" ht="15" hidden="false" customHeight="false" outlineLevel="0" collapsed="false">
      <c r="A1404" s="12"/>
      <c r="B1404" s="13"/>
      <c r="C1404" s="13"/>
      <c r="D1404" s="13"/>
      <c r="E1404" s="13"/>
      <c r="F1404" s="14"/>
      <c r="G1404" s="15"/>
      <c r="H1404" s="15"/>
      <c r="I1404" s="15"/>
      <c r="J1404" s="12"/>
      <c r="K1404" s="16" t="str">
        <f aca="false">IF(A1404="","",G1404+H1404)</f>
        <v/>
      </c>
      <c r="L1404" s="16" t="str">
        <f aca="false">IF(A1404="","",IF(F1404="İade edildi",0,K1404-I1404))</f>
        <v/>
      </c>
      <c r="M1404" s="17" t="str">
        <f aca="true">IF(A1404="","",IF(J1404&lt;&gt;"",J1404-A1404,TODAY()-A1404))</f>
        <v/>
      </c>
      <c r="N1404" s="18" t="str">
        <f aca="false">IF(A1404="","",IF(AND(OR(F1404="Bekliyor",F1404="Parça bekleniyor",F1404="Hazır"),M1404&gt;7),"7 günü geçti",""))</f>
        <v/>
      </c>
      <c r="O1404" s="18" t="str">
        <f aca="false">IF(AND(A1404&lt;&gt;"",OR(F1404="Bekliyor",F1404="Parça bekleniyor",F1404="Hazır")),A1404+ROW()/1000000,"")</f>
        <v/>
      </c>
    </row>
    <row r="1405" customFormat="false" ht="15" hidden="false" customHeight="false" outlineLevel="0" collapsed="false">
      <c r="A1405" s="12"/>
      <c r="B1405" s="13"/>
      <c r="C1405" s="13"/>
      <c r="D1405" s="13"/>
      <c r="E1405" s="13"/>
      <c r="F1405" s="14"/>
      <c r="G1405" s="15"/>
      <c r="H1405" s="15"/>
      <c r="I1405" s="15"/>
      <c r="J1405" s="12"/>
      <c r="K1405" s="16" t="str">
        <f aca="false">IF(A1405="","",G1405+H1405)</f>
        <v/>
      </c>
      <c r="L1405" s="16" t="str">
        <f aca="false">IF(A1405="","",IF(F1405="İade edildi",0,K1405-I1405))</f>
        <v/>
      </c>
      <c r="M1405" s="17" t="str">
        <f aca="true">IF(A1405="","",IF(J1405&lt;&gt;"",J1405-A1405,TODAY()-A1405))</f>
        <v/>
      </c>
      <c r="N1405" s="18" t="str">
        <f aca="false">IF(A1405="","",IF(AND(OR(F1405="Bekliyor",F1405="Parça bekleniyor",F1405="Hazır"),M1405&gt;7),"7 günü geçti",""))</f>
        <v/>
      </c>
      <c r="O1405" s="18" t="str">
        <f aca="false">IF(AND(A1405&lt;&gt;"",OR(F1405="Bekliyor",F1405="Parça bekleniyor",F1405="Hazır")),A1405+ROW()/1000000,"")</f>
        <v/>
      </c>
    </row>
    <row r="1406" customFormat="false" ht="15" hidden="false" customHeight="false" outlineLevel="0" collapsed="false">
      <c r="A1406" s="12"/>
      <c r="B1406" s="13"/>
      <c r="C1406" s="13"/>
      <c r="D1406" s="13"/>
      <c r="E1406" s="13"/>
      <c r="F1406" s="14"/>
      <c r="G1406" s="15"/>
      <c r="H1406" s="15"/>
      <c r="I1406" s="15"/>
      <c r="J1406" s="12"/>
      <c r="K1406" s="16" t="str">
        <f aca="false">IF(A1406="","",G1406+H1406)</f>
        <v/>
      </c>
      <c r="L1406" s="16" t="str">
        <f aca="false">IF(A1406="","",IF(F1406="İade edildi",0,K1406-I1406))</f>
        <v/>
      </c>
      <c r="M1406" s="17" t="str">
        <f aca="true">IF(A1406="","",IF(J1406&lt;&gt;"",J1406-A1406,TODAY()-A1406))</f>
        <v/>
      </c>
      <c r="N1406" s="18" t="str">
        <f aca="false">IF(A1406="","",IF(AND(OR(F1406="Bekliyor",F1406="Parça bekleniyor",F1406="Hazır"),M1406&gt;7),"7 günü geçti",""))</f>
        <v/>
      </c>
      <c r="O1406" s="18" t="str">
        <f aca="false">IF(AND(A1406&lt;&gt;"",OR(F1406="Bekliyor",F1406="Parça bekleniyor",F1406="Hazır")),A1406+ROW()/1000000,"")</f>
        <v/>
      </c>
    </row>
    <row r="1407" customFormat="false" ht="15" hidden="false" customHeight="false" outlineLevel="0" collapsed="false">
      <c r="A1407" s="12"/>
      <c r="B1407" s="13"/>
      <c r="C1407" s="13"/>
      <c r="D1407" s="13"/>
      <c r="E1407" s="13"/>
      <c r="F1407" s="14"/>
      <c r="G1407" s="15"/>
      <c r="H1407" s="15"/>
      <c r="I1407" s="15"/>
      <c r="J1407" s="12"/>
      <c r="K1407" s="16" t="str">
        <f aca="false">IF(A1407="","",G1407+H1407)</f>
        <v/>
      </c>
      <c r="L1407" s="16" t="str">
        <f aca="false">IF(A1407="","",IF(F1407="İade edildi",0,K1407-I1407))</f>
        <v/>
      </c>
      <c r="M1407" s="17" t="str">
        <f aca="true">IF(A1407="","",IF(J1407&lt;&gt;"",J1407-A1407,TODAY()-A1407))</f>
        <v/>
      </c>
      <c r="N1407" s="18" t="str">
        <f aca="false">IF(A1407="","",IF(AND(OR(F1407="Bekliyor",F1407="Parça bekleniyor",F1407="Hazır"),M1407&gt;7),"7 günü geçti",""))</f>
        <v/>
      </c>
      <c r="O1407" s="18" t="str">
        <f aca="false">IF(AND(A1407&lt;&gt;"",OR(F1407="Bekliyor",F1407="Parça bekleniyor",F1407="Hazır")),A1407+ROW()/1000000,"")</f>
        <v/>
      </c>
    </row>
    <row r="1408" customFormat="false" ht="15" hidden="false" customHeight="false" outlineLevel="0" collapsed="false">
      <c r="A1408" s="12"/>
      <c r="B1408" s="13"/>
      <c r="C1408" s="13"/>
      <c r="D1408" s="13"/>
      <c r="E1408" s="13"/>
      <c r="F1408" s="14"/>
      <c r="G1408" s="15"/>
      <c r="H1408" s="15"/>
      <c r="I1408" s="15"/>
      <c r="J1408" s="12"/>
      <c r="K1408" s="16" t="str">
        <f aca="false">IF(A1408="","",G1408+H1408)</f>
        <v/>
      </c>
      <c r="L1408" s="16" t="str">
        <f aca="false">IF(A1408="","",IF(F1408="İade edildi",0,K1408-I1408))</f>
        <v/>
      </c>
      <c r="M1408" s="17" t="str">
        <f aca="true">IF(A1408="","",IF(J1408&lt;&gt;"",J1408-A1408,TODAY()-A1408))</f>
        <v/>
      </c>
      <c r="N1408" s="18" t="str">
        <f aca="false">IF(A1408="","",IF(AND(OR(F1408="Bekliyor",F1408="Parça bekleniyor",F1408="Hazır"),M1408&gt;7),"7 günü geçti",""))</f>
        <v/>
      </c>
      <c r="O1408" s="18" t="str">
        <f aca="false">IF(AND(A1408&lt;&gt;"",OR(F1408="Bekliyor",F1408="Parça bekleniyor",F1408="Hazır")),A1408+ROW()/1000000,"")</f>
        <v/>
      </c>
    </row>
    <row r="1409" customFormat="false" ht="15" hidden="false" customHeight="false" outlineLevel="0" collapsed="false">
      <c r="A1409" s="12"/>
      <c r="B1409" s="13"/>
      <c r="C1409" s="13"/>
      <c r="D1409" s="13"/>
      <c r="E1409" s="13"/>
      <c r="F1409" s="14"/>
      <c r="G1409" s="15"/>
      <c r="H1409" s="15"/>
      <c r="I1409" s="15"/>
      <c r="J1409" s="12"/>
      <c r="K1409" s="16" t="str">
        <f aca="false">IF(A1409="","",G1409+H1409)</f>
        <v/>
      </c>
      <c r="L1409" s="16" t="str">
        <f aca="false">IF(A1409="","",IF(F1409="İade edildi",0,K1409-I1409))</f>
        <v/>
      </c>
      <c r="M1409" s="17" t="str">
        <f aca="true">IF(A1409="","",IF(J1409&lt;&gt;"",J1409-A1409,TODAY()-A1409))</f>
        <v/>
      </c>
      <c r="N1409" s="18" t="str">
        <f aca="false">IF(A1409="","",IF(AND(OR(F1409="Bekliyor",F1409="Parça bekleniyor",F1409="Hazır"),M1409&gt;7),"7 günü geçti",""))</f>
        <v/>
      </c>
      <c r="O1409" s="18" t="str">
        <f aca="false">IF(AND(A1409&lt;&gt;"",OR(F1409="Bekliyor",F1409="Parça bekleniyor",F1409="Hazır")),A1409+ROW()/1000000,"")</f>
        <v/>
      </c>
    </row>
    <row r="1410" customFormat="false" ht="15" hidden="false" customHeight="false" outlineLevel="0" collapsed="false">
      <c r="A1410" s="12"/>
      <c r="B1410" s="13"/>
      <c r="C1410" s="13"/>
      <c r="D1410" s="13"/>
      <c r="E1410" s="13"/>
      <c r="F1410" s="14"/>
      <c r="G1410" s="15"/>
      <c r="H1410" s="15"/>
      <c r="I1410" s="15"/>
      <c r="J1410" s="12"/>
      <c r="K1410" s="16" t="str">
        <f aca="false">IF(A1410="","",G1410+H1410)</f>
        <v/>
      </c>
      <c r="L1410" s="16" t="str">
        <f aca="false">IF(A1410="","",IF(F1410="İade edildi",0,K1410-I1410))</f>
        <v/>
      </c>
      <c r="M1410" s="17" t="str">
        <f aca="true">IF(A1410="","",IF(J1410&lt;&gt;"",J1410-A1410,TODAY()-A1410))</f>
        <v/>
      </c>
      <c r="N1410" s="18" t="str">
        <f aca="false">IF(A1410="","",IF(AND(OR(F1410="Bekliyor",F1410="Parça bekleniyor",F1410="Hazır"),M1410&gt;7),"7 günü geçti",""))</f>
        <v/>
      </c>
      <c r="O1410" s="18" t="str">
        <f aca="false">IF(AND(A1410&lt;&gt;"",OR(F1410="Bekliyor",F1410="Parça bekleniyor",F1410="Hazır")),A1410+ROW()/1000000,"")</f>
        <v/>
      </c>
    </row>
    <row r="1411" customFormat="false" ht="15" hidden="false" customHeight="false" outlineLevel="0" collapsed="false">
      <c r="A1411" s="12"/>
      <c r="B1411" s="13"/>
      <c r="C1411" s="13"/>
      <c r="D1411" s="13"/>
      <c r="E1411" s="13"/>
      <c r="F1411" s="14"/>
      <c r="G1411" s="15"/>
      <c r="H1411" s="15"/>
      <c r="I1411" s="15"/>
      <c r="J1411" s="12"/>
      <c r="K1411" s="16" t="str">
        <f aca="false">IF(A1411="","",G1411+H1411)</f>
        <v/>
      </c>
      <c r="L1411" s="16" t="str">
        <f aca="false">IF(A1411="","",IF(F1411="İade edildi",0,K1411-I1411))</f>
        <v/>
      </c>
      <c r="M1411" s="17" t="str">
        <f aca="true">IF(A1411="","",IF(J1411&lt;&gt;"",J1411-A1411,TODAY()-A1411))</f>
        <v/>
      </c>
      <c r="N1411" s="18" t="str">
        <f aca="false">IF(A1411="","",IF(AND(OR(F1411="Bekliyor",F1411="Parça bekleniyor",F1411="Hazır"),M1411&gt;7),"7 günü geçti",""))</f>
        <v/>
      </c>
      <c r="O1411" s="18" t="str">
        <f aca="false">IF(AND(A1411&lt;&gt;"",OR(F1411="Bekliyor",F1411="Parça bekleniyor",F1411="Hazır")),A1411+ROW()/1000000,"")</f>
        <v/>
      </c>
    </row>
    <row r="1412" customFormat="false" ht="15" hidden="false" customHeight="false" outlineLevel="0" collapsed="false">
      <c r="A1412" s="12"/>
      <c r="B1412" s="13"/>
      <c r="C1412" s="13"/>
      <c r="D1412" s="13"/>
      <c r="E1412" s="13"/>
      <c r="F1412" s="14"/>
      <c r="G1412" s="15"/>
      <c r="H1412" s="15"/>
      <c r="I1412" s="15"/>
      <c r="J1412" s="12"/>
      <c r="K1412" s="16" t="str">
        <f aca="false">IF(A1412="","",G1412+H1412)</f>
        <v/>
      </c>
      <c r="L1412" s="16" t="str">
        <f aca="false">IF(A1412="","",IF(F1412="İade edildi",0,K1412-I1412))</f>
        <v/>
      </c>
      <c r="M1412" s="17" t="str">
        <f aca="true">IF(A1412="","",IF(J1412&lt;&gt;"",J1412-A1412,TODAY()-A1412))</f>
        <v/>
      </c>
      <c r="N1412" s="18" t="str">
        <f aca="false">IF(A1412="","",IF(AND(OR(F1412="Bekliyor",F1412="Parça bekleniyor",F1412="Hazır"),M1412&gt;7),"7 günü geçti",""))</f>
        <v/>
      </c>
      <c r="O1412" s="18" t="str">
        <f aca="false">IF(AND(A1412&lt;&gt;"",OR(F1412="Bekliyor",F1412="Parça bekleniyor",F1412="Hazır")),A1412+ROW()/1000000,"")</f>
        <v/>
      </c>
    </row>
    <row r="1413" customFormat="false" ht="15" hidden="false" customHeight="false" outlineLevel="0" collapsed="false">
      <c r="A1413" s="12"/>
      <c r="B1413" s="13"/>
      <c r="C1413" s="13"/>
      <c r="D1413" s="13"/>
      <c r="E1413" s="13"/>
      <c r="F1413" s="14"/>
      <c r="G1413" s="15"/>
      <c r="H1413" s="15"/>
      <c r="I1413" s="15"/>
      <c r="J1413" s="12"/>
      <c r="K1413" s="16" t="str">
        <f aca="false">IF(A1413="","",G1413+H1413)</f>
        <v/>
      </c>
      <c r="L1413" s="16" t="str">
        <f aca="false">IF(A1413="","",IF(F1413="İade edildi",0,K1413-I1413))</f>
        <v/>
      </c>
      <c r="M1413" s="17" t="str">
        <f aca="true">IF(A1413="","",IF(J1413&lt;&gt;"",J1413-A1413,TODAY()-A1413))</f>
        <v/>
      </c>
      <c r="N1413" s="18" t="str">
        <f aca="false">IF(A1413="","",IF(AND(OR(F1413="Bekliyor",F1413="Parça bekleniyor",F1413="Hazır"),M1413&gt;7),"7 günü geçti",""))</f>
        <v/>
      </c>
      <c r="O1413" s="18" t="str">
        <f aca="false">IF(AND(A1413&lt;&gt;"",OR(F1413="Bekliyor",F1413="Parça bekleniyor",F1413="Hazır")),A1413+ROW()/1000000,"")</f>
        <v/>
      </c>
    </row>
    <row r="1414" customFormat="false" ht="15" hidden="false" customHeight="false" outlineLevel="0" collapsed="false">
      <c r="A1414" s="12"/>
      <c r="B1414" s="13"/>
      <c r="C1414" s="13"/>
      <c r="D1414" s="13"/>
      <c r="E1414" s="13"/>
      <c r="F1414" s="14"/>
      <c r="G1414" s="15"/>
      <c r="H1414" s="15"/>
      <c r="I1414" s="15"/>
      <c r="J1414" s="12"/>
      <c r="K1414" s="16" t="str">
        <f aca="false">IF(A1414="","",G1414+H1414)</f>
        <v/>
      </c>
      <c r="L1414" s="16" t="str">
        <f aca="false">IF(A1414="","",IF(F1414="İade edildi",0,K1414-I1414))</f>
        <v/>
      </c>
      <c r="M1414" s="17" t="str">
        <f aca="true">IF(A1414="","",IF(J1414&lt;&gt;"",J1414-A1414,TODAY()-A1414))</f>
        <v/>
      </c>
      <c r="N1414" s="18" t="str">
        <f aca="false">IF(A1414="","",IF(AND(OR(F1414="Bekliyor",F1414="Parça bekleniyor",F1414="Hazır"),M1414&gt;7),"7 günü geçti",""))</f>
        <v/>
      </c>
      <c r="O1414" s="18" t="str">
        <f aca="false">IF(AND(A1414&lt;&gt;"",OR(F1414="Bekliyor",F1414="Parça bekleniyor",F1414="Hazır")),A1414+ROW()/1000000,"")</f>
        <v/>
      </c>
    </row>
    <row r="1415" customFormat="false" ht="15" hidden="false" customHeight="false" outlineLevel="0" collapsed="false">
      <c r="A1415" s="12"/>
      <c r="B1415" s="13"/>
      <c r="C1415" s="13"/>
      <c r="D1415" s="13"/>
      <c r="E1415" s="13"/>
      <c r="F1415" s="14"/>
      <c r="G1415" s="15"/>
      <c r="H1415" s="15"/>
      <c r="I1415" s="15"/>
      <c r="J1415" s="12"/>
      <c r="K1415" s="16" t="str">
        <f aca="false">IF(A1415="","",G1415+H1415)</f>
        <v/>
      </c>
      <c r="L1415" s="16" t="str">
        <f aca="false">IF(A1415="","",IF(F1415="İade edildi",0,K1415-I1415))</f>
        <v/>
      </c>
      <c r="M1415" s="17" t="str">
        <f aca="true">IF(A1415="","",IF(J1415&lt;&gt;"",J1415-A1415,TODAY()-A1415))</f>
        <v/>
      </c>
      <c r="N1415" s="18" t="str">
        <f aca="false">IF(A1415="","",IF(AND(OR(F1415="Bekliyor",F1415="Parça bekleniyor",F1415="Hazır"),M1415&gt;7),"7 günü geçti",""))</f>
        <v/>
      </c>
      <c r="O1415" s="18" t="str">
        <f aca="false">IF(AND(A1415&lt;&gt;"",OR(F1415="Bekliyor",F1415="Parça bekleniyor",F1415="Hazır")),A1415+ROW()/1000000,"")</f>
        <v/>
      </c>
    </row>
    <row r="1416" customFormat="false" ht="15" hidden="false" customHeight="false" outlineLevel="0" collapsed="false">
      <c r="A1416" s="12"/>
      <c r="B1416" s="13"/>
      <c r="C1416" s="13"/>
      <c r="D1416" s="13"/>
      <c r="E1416" s="13"/>
      <c r="F1416" s="14"/>
      <c r="G1416" s="15"/>
      <c r="H1416" s="15"/>
      <c r="I1416" s="15"/>
      <c r="J1416" s="12"/>
      <c r="K1416" s="16" t="str">
        <f aca="false">IF(A1416="","",G1416+H1416)</f>
        <v/>
      </c>
      <c r="L1416" s="16" t="str">
        <f aca="false">IF(A1416="","",IF(F1416="İade edildi",0,K1416-I1416))</f>
        <v/>
      </c>
      <c r="M1416" s="17" t="str">
        <f aca="true">IF(A1416="","",IF(J1416&lt;&gt;"",J1416-A1416,TODAY()-A1416))</f>
        <v/>
      </c>
      <c r="N1416" s="18" t="str">
        <f aca="false">IF(A1416="","",IF(AND(OR(F1416="Bekliyor",F1416="Parça bekleniyor",F1416="Hazır"),M1416&gt;7),"7 günü geçti",""))</f>
        <v/>
      </c>
      <c r="O1416" s="18" t="str">
        <f aca="false">IF(AND(A1416&lt;&gt;"",OR(F1416="Bekliyor",F1416="Parça bekleniyor",F1416="Hazır")),A1416+ROW()/1000000,"")</f>
        <v/>
      </c>
    </row>
    <row r="1417" customFormat="false" ht="15" hidden="false" customHeight="false" outlineLevel="0" collapsed="false">
      <c r="A1417" s="12"/>
      <c r="B1417" s="13"/>
      <c r="C1417" s="13"/>
      <c r="D1417" s="13"/>
      <c r="E1417" s="13"/>
      <c r="F1417" s="14"/>
      <c r="G1417" s="15"/>
      <c r="H1417" s="15"/>
      <c r="I1417" s="15"/>
      <c r="J1417" s="12"/>
      <c r="K1417" s="16" t="str">
        <f aca="false">IF(A1417="","",G1417+H1417)</f>
        <v/>
      </c>
      <c r="L1417" s="16" t="str">
        <f aca="false">IF(A1417="","",IF(F1417="İade edildi",0,K1417-I1417))</f>
        <v/>
      </c>
      <c r="M1417" s="17" t="str">
        <f aca="true">IF(A1417="","",IF(J1417&lt;&gt;"",J1417-A1417,TODAY()-A1417))</f>
        <v/>
      </c>
      <c r="N1417" s="18" t="str">
        <f aca="false">IF(A1417="","",IF(AND(OR(F1417="Bekliyor",F1417="Parça bekleniyor",F1417="Hazır"),M1417&gt;7),"7 günü geçti",""))</f>
        <v/>
      </c>
      <c r="O1417" s="18" t="str">
        <f aca="false">IF(AND(A1417&lt;&gt;"",OR(F1417="Bekliyor",F1417="Parça bekleniyor",F1417="Hazır")),A1417+ROW()/1000000,"")</f>
        <v/>
      </c>
    </row>
    <row r="1418" customFormat="false" ht="15" hidden="false" customHeight="false" outlineLevel="0" collapsed="false">
      <c r="A1418" s="12"/>
      <c r="B1418" s="13"/>
      <c r="C1418" s="13"/>
      <c r="D1418" s="13"/>
      <c r="E1418" s="13"/>
      <c r="F1418" s="14"/>
      <c r="G1418" s="15"/>
      <c r="H1418" s="15"/>
      <c r="I1418" s="15"/>
      <c r="J1418" s="12"/>
      <c r="K1418" s="16" t="str">
        <f aca="false">IF(A1418="","",G1418+H1418)</f>
        <v/>
      </c>
      <c r="L1418" s="16" t="str">
        <f aca="false">IF(A1418="","",IF(F1418="İade edildi",0,K1418-I1418))</f>
        <v/>
      </c>
      <c r="M1418" s="17" t="str">
        <f aca="true">IF(A1418="","",IF(J1418&lt;&gt;"",J1418-A1418,TODAY()-A1418))</f>
        <v/>
      </c>
      <c r="N1418" s="18" t="str">
        <f aca="false">IF(A1418="","",IF(AND(OR(F1418="Bekliyor",F1418="Parça bekleniyor",F1418="Hazır"),M1418&gt;7),"7 günü geçti",""))</f>
        <v/>
      </c>
      <c r="O1418" s="18" t="str">
        <f aca="false">IF(AND(A1418&lt;&gt;"",OR(F1418="Bekliyor",F1418="Parça bekleniyor",F1418="Hazır")),A1418+ROW()/1000000,"")</f>
        <v/>
      </c>
    </row>
    <row r="1419" customFormat="false" ht="15" hidden="false" customHeight="false" outlineLevel="0" collapsed="false">
      <c r="A1419" s="12"/>
      <c r="B1419" s="13"/>
      <c r="C1419" s="13"/>
      <c r="D1419" s="13"/>
      <c r="E1419" s="13"/>
      <c r="F1419" s="14"/>
      <c r="G1419" s="15"/>
      <c r="H1419" s="15"/>
      <c r="I1419" s="15"/>
      <c r="J1419" s="12"/>
      <c r="K1419" s="16" t="str">
        <f aca="false">IF(A1419="","",G1419+H1419)</f>
        <v/>
      </c>
      <c r="L1419" s="16" t="str">
        <f aca="false">IF(A1419="","",IF(F1419="İade edildi",0,K1419-I1419))</f>
        <v/>
      </c>
      <c r="M1419" s="17" t="str">
        <f aca="true">IF(A1419="","",IF(J1419&lt;&gt;"",J1419-A1419,TODAY()-A1419))</f>
        <v/>
      </c>
      <c r="N1419" s="18" t="str">
        <f aca="false">IF(A1419="","",IF(AND(OR(F1419="Bekliyor",F1419="Parça bekleniyor",F1419="Hazır"),M1419&gt;7),"7 günü geçti",""))</f>
        <v/>
      </c>
      <c r="O1419" s="18" t="str">
        <f aca="false">IF(AND(A1419&lt;&gt;"",OR(F1419="Bekliyor",F1419="Parça bekleniyor",F1419="Hazır")),A1419+ROW()/1000000,"")</f>
        <v/>
      </c>
    </row>
    <row r="1420" customFormat="false" ht="15" hidden="false" customHeight="false" outlineLevel="0" collapsed="false">
      <c r="A1420" s="12"/>
      <c r="B1420" s="13"/>
      <c r="C1420" s="13"/>
      <c r="D1420" s="13"/>
      <c r="E1420" s="13"/>
      <c r="F1420" s="14"/>
      <c r="G1420" s="15"/>
      <c r="H1420" s="15"/>
      <c r="I1420" s="15"/>
      <c r="J1420" s="12"/>
      <c r="K1420" s="16" t="str">
        <f aca="false">IF(A1420="","",G1420+H1420)</f>
        <v/>
      </c>
      <c r="L1420" s="16" t="str">
        <f aca="false">IF(A1420="","",IF(F1420="İade edildi",0,K1420-I1420))</f>
        <v/>
      </c>
      <c r="M1420" s="17" t="str">
        <f aca="true">IF(A1420="","",IF(J1420&lt;&gt;"",J1420-A1420,TODAY()-A1420))</f>
        <v/>
      </c>
      <c r="N1420" s="18" t="str">
        <f aca="false">IF(A1420="","",IF(AND(OR(F1420="Bekliyor",F1420="Parça bekleniyor",F1420="Hazır"),M1420&gt;7),"7 günü geçti",""))</f>
        <v/>
      </c>
      <c r="O1420" s="18" t="str">
        <f aca="false">IF(AND(A1420&lt;&gt;"",OR(F1420="Bekliyor",F1420="Parça bekleniyor",F1420="Hazır")),A1420+ROW()/1000000,"")</f>
        <v/>
      </c>
    </row>
    <row r="1421" customFormat="false" ht="15" hidden="false" customHeight="false" outlineLevel="0" collapsed="false">
      <c r="A1421" s="12"/>
      <c r="B1421" s="13"/>
      <c r="C1421" s="13"/>
      <c r="D1421" s="13"/>
      <c r="E1421" s="13"/>
      <c r="F1421" s="14"/>
      <c r="G1421" s="15"/>
      <c r="H1421" s="15"/>
      <c r="I1421" s="15"/>
      <c r="J1421" s="12"/>
      <c r="K1421" s="16" t="str">
        <f aca="false">IF(A1421="","",G1421+H1421)</f>
        <v/>
      </c>
      <c r="L1421" s="16" t="str">
        <f aca="false">IF(A1421="","",IF(F1421="İade edildi",0,K1421-I1421))</f>
        <v/>
      </c>
      <c r="M1421" s="17" t="str">
        <f aca="true">IF(A1421="","",IF(J1421&lt;&gt;"",J1421-A1421,TODAY()-A1421))</f>
        <v/>
      </c>
      <c r="N1421" s="18" t="str">
        <f aca="false">IF(A1421="","",IF(AND(OR(F1421="Bekliyor",F1421="Parça bekleniyor",F1421="Hazır"),M1421&gt;7),"7 günü geçti",""))</f>
        <v/>
      </c>
      <c r="O1421" s="18" t="str">
        <f aca="false">IF(AND(A1421&lt;&gt;"",OR(F1421="Bekliyor",F1421="Parça bekleniyor",F1421="Hazır")),A1421+ROW()/1000000,"")</f>
        <v/>
      </c>
    </row>
    <row r="1422" customFormat="false" ht="15" hidden="false" customHeight="false" outlineLevel="0" collapsed="false">
      <c r="A1422" s="12"/>
      <c r="B1422" s="13"/>
      <c r="C1422" s="13"/>
      <c r="D1422" s="13"/>
      <c r="E1422" s="13"/>
      <c r="F1422" s="14"/>
      <c r="G1422" s="15"/>
      <c r="H1422" s="15"/>
      <c r="I1422" s="15"/>
      <c r="J1422" s="12"/>
      <c r="K1422" s="16" t="str">
        <f aca="false">IF(A1422="","",G1422+H1422)</f>
        <v/>
      </c>
      <c r="L1422" s="16" t="str">
        <f aca="false">IF(A1422="","",IF(F1422="İade edildi",0,K1422-I1422))</f>
        <v/>
      </c>
      <c r="M1422" s="17" t="str">
        <f aca="true">IF(A1422="","",IF(J1422&lt;&gt;"",J1422-A1422,TODAY()-A1422))</f>
        <v/>
      </c>
      <c r="N1422" s="18" t="str">
        <f aca="false">IF(A1422="","",IF(AND(OR(F1422="Bekliyor",F1422="Parça bekleniyor",F1422="Hazır"),M1422&gt;7),"7 günü geçti",""))</f>
        <v/>
      </c>
      <c r="O1422" s="18" t="str">
        <f aca="false">IF(AND(A1422&lt;&gt;"",OR(F1422="Bekliyor",F1422="Parça bekleniyor",F1422="Hazır")),A1422+ROW()/1000000,"")</f>
        <v/>
      </c>
    </row>
    <row r="1423" customFormat="false" ht="15" hidden="false" customHeight="false" outlineLevel="0" collapsed="false">
      <c r="A1423" s="12"/>
      <c r="B1423" s="13"/>
      <c r="C1423" s="13"/>
      <c r="D1423" s="13"/>
      <c r="E1423" s="13"/>
      <c r="F1423" s="14"/>
      <c r="G1423" s="15"/>
      <c r="H1423" s="15"/>
      <c r="I1423" s="15"/>
      <c r="J1423" s="12"/>
      <c r="K1423" s="16" t="str">
        <f aca="false">IF(A1423="","",G1423+H1423)</f>
        <v/>
      </c>
      <c r="L1423" s="16" t="str">
        <f aca="false">IF(A1423="","",IF(F1423="İade edildi",0,K1423-I1423))</f>
        <v/>
      </c>
      <c r="M1423" s="17" t="str">
        <f aca="true">IF(A1423="","",IF(J1423&lt;&gt;"",J1423-A1423,TODAY()-A1423))</f>
        <v/>
      </c>
      <c r="N1423" s="18" t="str">
        <f aca="false">IF(A1423="","",IF(AND(OR(F1423="Bekliyor",F1423="Parça bekleniyor",F1423="Hazır"),M1423&gt;7),"7 günü geçti",""))</f>
        <v/>
      </c>
      <c r="O1423" s="18" t="str">
        <f aca="false">IF(AND(A1423&lt;&gt;"",OR(F1423="Bekliyor",F1423="Parça bekleniyor",F1423="Hazır")),A1423+ROW()/1000000,"")</f>
        <v/>
      </c>
    </row>
    <row r="1424" customFormat="false" ht="15" hidden="false" customHeight="false" outlineLevel="0" collapsed="false">
      <c r="A1424" s="12"/>
      <c r="B1424" s="13"/>
      <c r="C1424" s="13"/>
      <c r="D1424" s="13"/>
      <c r="E1424" s="13"/>
      <c r="F1424" s="14"/>
      <c r="G1424" s="15"/>
      <c r="H1424" s="15"/>
      <c r="I1424" s="15"/>
      <c r="J1424" s="12"/>
      <c r="K1424" s="16" t="str">
        <f aca="false">IF(A1424="","",G1424+H1424)</f>
        <v/>
      </c>
      <c r="L1424" s="16" t="str">
        <f aca="false">IF(A1424="","",IF(F1424="İade edildi",0,K1424-I1424))</f>
        <v/>
      </c>
      <c r="M1424" s="17" t="str">
        <f aca="true">IF(A1424="","",IF(J1424&lt;&gt;"",J1424-A1424,TODAY()-A1424))</f>
        <v/>
      </c>
      <c r="N1424" s="18" t="str">
        <f aca="false">IF(A1424="","",IF(AND(OR(F1424="Bekliyor",F1424="Parça bekleniyor",F1424="Hazır"),M1424&gt;7),"7 günü geçti",""))</f>
        <v/>
      </c>
      <c r="O1424" s="18" t="str">
        <f aca="false">IF(AND(A1424&lt;&gt;"",OR(F1424="Bekliyor",F1424="Parça bekleniyor",F1424="Hazır")),A1424+ROW()/1000000,"")</f>
        <v/>
      </c>
    </row>
    <row r="1425" customFormat="false" ht="15" hidden="false" customHeight="false" outlineLevel="0" collapsed="false">
      <c r="A1425" s="12"/>
      <c r="B1425" s="13"/>
      <c r="C1425" s="13"/>
      <c r="D1425" s="13"/>
      <c r="E1425" s="13"/>
      <c r="F1425" s="14"/>
      <c r="G1425" s="15"/>
      <c r="H1425" s="15"/>
      <c r="I1425" s="15"/>
      <c r="J1425" s="12"/>
      <c r="K1425" s="16" t="str">
        <f aca="false">IF(A1425="","",G1425+H1425)</f>
        <v/>
      </c>
      <c r="L1425" s="16" t="str">
        <f aca="false">IF(A1425="","",IF(F1425="İade edildi",0,K1425-I1425))</f>
        <v/>
      </c>
      <c r="M1425" s="17" t="str">
        <f aca="true">IF(A1425="","",IF(J1425&lt;&gt;"",J1425-A1425,TODAY()-A1425))</f>
        <v/>
      </c>
      <c r="N1425" s="18" t="str">
        <f aca="false">IF(A1425="","",IF(AND(OR(F1425="Bekliyor",F1425="Parça bekleniyor",F1425="Hazır"),M1425&gt;7),"7 günü geçti",""))</f>
        <v/>
      </c>
      <c r="O1425" s="18" t="str">
        <f aca="false">IF(AND(A1425&lt;&gt;"",OR(F1425="Bekliyor",F1425="Parça bekleniyor",F1425="Hazır")),A1425+ROW()/1000000,"")</f>
        <v/>
      </c>
    </row>
    <row r="1426" customFormat="false" ht="15" hidden="false" customHeight="false" outlineLevel="0" collapsed="false">
      <c r="A1426" s="12"/>
      <c r="B1426" s="13"/>
      <c r="C1426" s="13"/>
      <c r="D1426" s="13"/>
      <c r="E1426" s="13"/>
      <c r="F1426" s="14"/>
      <c r="G1426" s="15"/>
      <c r="H1426" s="15"/>
      <c r="I1426" s="15"/>
      <c r="J1426" s="12"/>
      <c r="K1426" s="16" t="str">
        <f aca="false">IF(A1426="","",G1426+H1426)</f>
        <v/>
      </c>
      <c r="L1426" s="16" t="str">
        <f aca="false">IF(A1426="","",IF(F1426="İade edildi",0,K1426-I1426))</f>
        <v/>
      </c>
      <c r="M1426" s="17" t="str">
        <f aca="true">IF(A1426="","",IF(J1426&lt;&gt;"",J1426-A1426,TODAY()-A1426))</f>
        <v/>
      </c>
      <c r="N1426" s="18" t="str">
        <f aca="false">IF(A1426="","",IF(AND(OR(F1426="Bekliyor",F1426="Parça bekleniyor",F1426="Hazır"),M1426&gt;7),"7 günü geçti",""))</f>
        <v/>
      </c>
      <c r="O1426" s="18" t="str">
        <f aca="false">IF(AND(A1426&lt;&gt;"",OR(F1426="Bekliyor",F1426="Parça bekleniyor",F1426="Hazır")),A1426+ROW()/1000000,"")</f>
        <v/>
      </c>
    </row>
    <row r="1427" customFormat="false" ht="15" hidden="false" customHeight="false" outlineLevel="0" collapsed="false">
      <c r="A1427" s="12"/>
      <c r="B1427" s="13"/>
      <c r="C1427" s="13"/>
      <c r="D1427" s="13"/>
      <c r="E1427" s="13"/>
      <c r="F1427" s="14"/>
      <c r="G1427" s="15"/>
      <c r="H1427" s="15"/>
      <c r="I1427" s="15"/>
      <c r="J1427" s="12"/>
      <c r="K1427" s="16" t="str">
        <f aca="false">IF(A1427="","",G1427+H1427)</f>
        <v/>
      </c>
      <c r="L1427" s="16" t="str">
        <f aca="false">IF(A1427="","",IF(F1427="İade edildi",0,K1427-I1427))</f>
        <v/>
      </c>
      <c r="M1427" s="17" t="str">
        <f aca="true">IF(A1427="","",IF(J1427&lt;&gt;"",J1427-A1427,TODAY()-A1427))</f>
        <v/>
      </c>
      <c r="N1427" s="18" t="str">
        <f aca="false">IF(A1427="","",IF(AND(OR(F1427="Bekliyor",F1427="Parça bekleniyor",F1427="Hazır"),M1427&gt;7),"7 günü geçti",""))</f>
        <v/>
      </c>
      <c r="O1427" s="18" t="str">
        <f aca="false">IF(AND(A1427&lt;&gt;"",OR(F1427="Bekliyor",F1427="Parça bekleniyor",F1427="Hazır")),A1427+ROW()/1000000,"")</f>
        <v/>
      </c>
    </row>
    <row r="1428" customFormat="false" ht="15" hidden="false" customHeight="false" outlineLevel="0" collapsed="false">
      <c r="A1428" s="12"/>
      <c r="B1428" s="13"/>
      <c r="C1428" s="13"/>
      <c r="D1428" s="13"/>
      <c r="E1428" s="13"/>
      <c r="F1428" s="14"/>
      <c r="G1428" s="15"/>
      <c r="H1428" s="15"/>
      <c r="I1428" s="15"/>
      <c r="J1428" s="12"/>
      <c r="K1428" s="16" t="str">
        <f aca="false">IF(A1428="","",G1428+H1428)</f>
        <v/>
      </c>
      <c r="L1428" s="16" t="str">
        <f aca="false">IF(A1428="","",IF(F1428="İade edildi",0,K1428-I1428))</f>
        <v/>
      </c>
      <c r="M1428" s="17" t="str">
        <f aca="true">IF(A1428="","",IF(J1428&lt;&gt;"",J1428-A1428,TODAY()-A1428))</f>
        <v/>
      </c>
      <c r="N1428" s="18" t="str">
        <f aca="false">IF(A1428="","",IF(AND(OR(F1428="Bekliyor",F1428="Parça bekleniyor",F1428="Hazır"),M1428&gt;7),"7 günü geçti",""))</f>
        <v/>
      </c>
      <c r="O1428" s="18" t="str">
        <f aca="false">IF(AND(A1428&lt;&gt;"",OR(F1428="Bekliyor",F1428="Parça bekleniyor",F1428="Hazır")),A1428+ROW()/1000000,"")</f>
        <v/>
      </c>
    </row>
    <row r="1429" customFormat="false" ht="15" hidden="false" customHeight="false" outlineLevel="0" collapsed="false">
      <c r="A1429" s="12"/>
      <c r="B1429" s="13"/>
      <c r="C1429" s="13"/>
      <c r="D1429" s="13"/>
      <c r="E1429" s="13"/>
      <c r="F1429" s="14"/>
      <c r="G1429" s="15"/>
      <c r="H1429" s="15"/>
      <c r="I1429" s="15"/>
      <c r="J1429" s="12"/>
      <c r="K1429" s="16" t="str">
        <f aca="false">IF(A1429="","",G1429+H1429)</f>
        <v/>
      </c>
      <c r="L1429" s="16" t="str">
        <f aca="false">IF(A1429="","",IF(F1429="İade edildi",0,K1429-I1429))</f>
        <v/>
      </c>
      <c r="M1429" s="17" t="str">
        <f aca="true">IF(A1429="","",IF(J1429&lt;&gt;"",J1429-A1429,TODAY()-A1429))</f>
        <v/>
      </c>
      <c r="N1429" s="18" t="str">
        <f aca="false">IF(A1429="","",IF(AND(OR(F1429="Bekliyor",F1429="Parça bekleniyor",F1429="Hazır"),M1429&gt;7),"7 günü geçti",""))</f>
        <v/>
      </c>
      <c r="O1429" s="18" t="str">
        <f aca="false">IF(AND(A1429&lt;&gt;"",OR(F1429="Bekliyor",F1429="Parça bekleniyor",F1429="Hazır")),A1429+ROW()/1000000,"")</f>
        <v/>
      </c>
    </row>
    <row r="1430" customFormat="false" ht="15" hidden="false" customHeight="false" outlineLevel="0" collapsed="false">
      <c r="A1430" s="12"/>
      <c r="B1430" s="13"/>
      <c r="C1430" s="13"/>
      <c r="D1430" s="13"/>
      <c r="E1430" s="13"/>
      <c r="F1430" s="14"/>
      <c r="G1430" s="15"/>
      <c r="H1430" s="15"/>
      <c r="I1430" s="15"/>
      <c r="J1430" s="12"/>
      <c r="K1430" s="16" t="str">
        <f aca="false">IF(A1430="","",G1430+H1430)</f>
        <v/>
      </c>
      <c r="L1430" s="16" t="str">
        <f aca="false">IF(A1430="","",IF(F1430="İade edildi",0,K1430-I1430))</f>
        <v/>
      </c>
      <c r="M1430" s="17" t="str">
        <f aca="true">IF(A1430="","",IF(J1430&lt;&gt;"",J1430-A1430,TODAY()-A1430))</f>
        <v/>
      </c>
      <c r="N1430" s="18" t="str">
        <f aca="false">IF(A1430="","",IF(AND(OR(F1430="Bekliyor",F1430="Parça bekleniyor",F1430="Hazır"),M1430&gt;7),"7 günü geçti",""))</f>
        <v/>
      </c>
      <c r="O1430" s="18" t="str">
        <f aca="false">IF(AND(A1430&lt;&gt;"",OR(F1430="Bekliyor",F1430="Parça bekleniyor",F1430="Hazır")),A1430+ROW()/1000000,"")</f>
        <v/>
      </c>
    </row>
    <row r="1431" customFormat="false" ht="15" hidden="false" customHeight="false" outlineLevel="0" collapsed="false">
      <c r="A1431" s="12"/>
      <c r="B1431" s="13"/>
      <c r="C1431" s="13"/>
      <c r="D1431" s="13"/>
      <c r="E1431" s="13"/>
      <c r="F1431" s="14"/>
      <c r="G1431" s="15"/>
      <c r="H1431" s="15"/>
      <c r="I1431" s="15"/>
      <c r="J1431" s="12"/>
      <c r="K1431" s="16" t="str">
        <f aca="false">IF(A1431="","",G1431+H1431)</f>
        <v/>
      </c>
      <c r="L1431" s="16" t="str">
        <f aca="false">IF(A1431="","",IF(F1431="İade edildi",0,K1431-I1431))</f>
        <v/>
      </c>
      <c r="M1431" s="17" t="str">
        <f aca="true">IF(A1431="","",IF(J1431&lt;&gt;"",J1431-A1431,TODAY()-A1431))</f>
        <v/>
      </c>
      <c r="N1431" s="18" t="str">
        <f aca="false">IF(A1431="","",IF(AND(OR(F1431="Bekliyor",F1431="Parça bekleniyor",F1431="Hazır"),M1431&gt;7),"7 günü geçti",""))</f>
        <v/>
      </c>
      <c r="O1431" s="18" t="str">
        <f aca="false">IF(AND(A1431&lt;&gt;"",OR(F1431="Bekliyor",F1431="Parça bekleniyor",F1431="Hazır")),A1431+ROW()/1000000,"")</f>
        <v/>
      </c>
    </row>
    <row r="1432" customFormat="false" ht="15" hidden="false" customHeight="false" outlineLevel="0" collapsed="false">
      <c r="A1432" s="12"/>
      <c r="B1432" s="13"/>
      <c r="C1432" s="13"/>
      <c r="D1432" s="13"/>
      <c r="E1432" s="13"/>
      <c r="F1432" s="14"/>
      <c r="G1432" s="15"/>
      <c r="H1432" s="15"/>
      <c r="I1432" s="15"/>
      <c r="J1432" s="12"/>
      <c r="K1432" s="16" t="str">
        <f aca="false">IF(A1432="","",G1432+H1432)</f>
        <v/>
      </c>
      <c r="L1432" s="16" t="str">
        <f aca="false">IF(A1432="","",IF(F1432="İade edildi",0,K1432-I1432))</f>
        <v/>
      </c>
      <c r="M1432" s="17" t="str">
        <f aca="true">IF(A1432="","",IF(J1432&lt;&gt;"",J1432-A1432,TODAY()-A1432))</f>
        <v/>
      </c>
      <c r="N1432" s="18" t="str">
        <f aca="false">IF(A1432="","",IF(AND(OR(F1432="Bekliyor",F1432="Parça bekleniyor",F1432="Hazır"),M1432&gt;7),"7 günü geçti",""))</f>
        <v/>
      </c>
      <c r="O1432" s="18" t="str">
        <f aca="false">IF(AND(A1432&lt;&gt;"",OR(F1432="Bekliyor",F1432="Parça bekleniyor",F1432="Hazır")),A1432+ROW()/1000000,"")</f>
        <v/>
      </c>
    </row>
    <row r="1433" customFormat="false" ht="15" hidden="false" customHeight="false" outlineLevel="0" collapsed="false">
      <c r="A1433" s="12"/>
      <c r="B1433" s="13"/>
      <c r="C1433" s="13"/>
      <c r="D1433" s="13"/>
      <c r="E1433" s="13"/>
      <c r="F1433" s="14"/>
      <c r="G1433" s="15"/>
      <c r="H1433" s="15"/>
      <c r="I1433" s="15"/>
      <c r="J1433" s="12"/>
      <c r="K1433" s="16" t="str">
        <f aca="false">IF(A1433="","",G1433+H1433)</f>
        <v/>
      </c>
      <c r="L1433" s="16" t="str">
        <f aca="false">IF(A1433="","",IF(F1433="İade edildi",0,K1433-I1433))</f>
        <v/>
      </c>
      <c r="M1433" s="17" t="str">
        <f aca="true">IF(A1433="","",IF(J1433&lt;&gt;"",J1433-A1433,TODAY()-A1433))</f>
        <v/>
      </c>
      <c r="N1433" s="18" t="str">
        <f aca="false">IF(A1433="","",IF(AND(OR(F1433="Bekliyor",F1433="Parça bekleniyor",F1433="Hazır"),M1433&gt;7),"7 günü geçti",""))</f>
        <v/>
      </c>
      <c r="O1433" s="18" t="str">
        <f aca="false">IF(AND(A1433&lt;&gt;"",OR(F1433="Bekliyor",F1433="Parça bekleniyor",F1433="Hazır")),A1433+ROW()/1000000,"")</f>
        <v/>
      </c>
    </row>
    <row r="1434" customFormat="false" ht="15" hidden="false" customHeight="false" outlineLevel="0" collapsed="false">
      <c r="A1434" s="12"/>
      <c r="B1434" s="13"/>
      <c r="C1434" s="13"/>
      <c r="D1434" s="13"/>
      <c r="E1434" s="13"/>
      <c r="F1434" s="14"/>
      <c r="G1434" s="15"/>
      <c r="H1434" s="15"/>
      <c r="I1434" s="15"/>
      <c r="J1434" s="12"/>
      <c r="K1434" s="16" t="str">
        <f aca="false">IF(A1434="","",G1434+H1434)</f>
        <v/>
      </c>
      <c r="L1434" s="16" t="str">
        <f aca="false">IF(A1434="","",IF(F1434="İade edildi",0,K1434-I1434))</f>
        <v/>
      </c>
      <c r="M1434" s="17" t="str">
        <f aca="true">IF(A1434="","",IF(J1434&lt;&gt;"",J1434-A1434,TODAY()-A1434))</f>
        <v/>
      </c>
      <c r="N1434" s="18" t="str">
        <f aca="false">IF(A1434="","",IF(AND(OR(F1434="Bekliyor",F1434="Parça bekleniyor",F1434="Hazır"),M1434&gt;7),"7 günü geçti",""))</f>
        <v/>
      </c>
      <c r="O1434" s="18" t="str">
        <f aca="false">IF(AND(A1434&lt;&gt;"",OR(F1434="Bekliyor",F1434="Parça bekleniyor",F1434="Hazır")),A1434+ROW()/1000000,"")</f>
        <v/>
      </c>
    </row>
    <row r="1435" customFormat="false" ht="15" hidden="false" customHeight="false" outlineLevel="0" collapsed="false">
      <c r="A1435" s="12"/>
      <c r="B1435" s="13"/>
      <c r="C1435" s="13"/>
      <c r="D1435" s="13"/>
      <c r="E1435" s="13"/>
      <c r="F1435" s="14"/>
      <c r="G1435" s="15"/>
      <c r="H1435" s="15"/>
      <c r="I1435" s="15"/>
      <c r="J1435" s="12"/>
      <c r="K1435" s="16" t="str">
        <f aca="false">IF(A1435="","",G1435+H1435)</f>
        <v/>
      </c>
      <c r="L1435" s="16" t="str">
        <f aca="false">IF(A1435="","",IF(F1435="İade edildi",0,K1435-I1435))</f>
        <v/>
      </c>
      <c r="M1435" s="17" t="str">
        <f aca="true">IF(A1435="","",IF(J1435&lt;&gt;"",J1435-A1435,TODAY()-A1435))</f>
        <v/>
      </c>
      <c r="N1435" s="18" t="str">
        <f aca="false">IF(A1435="","",IF(AND(OR(F1435="Bekliyor",F1435="Parça bekleniyor",F1435="Hazır"),M1435&gt;7),"7 günü geçti",""))</f>
        <v/>
      </c>
      <c r="O1435" s="18" t="str">
        <f aca="false">IF(AND(A1435&lt;&gt;"",OR(F1435="Bekliyor",F1435="Parça bekleniyor",F1435="Hazır")),A1435+ROW()/1000000,"")</f>
        <v/>
      </c>
    </row>
    <row r="1436" customFormat="false" ht="15" hidden="false" customHeight="false" outlineLevel="0" collapsed="false">
      <c r="A1436" s="12"/>
      <c r="B1436" s="13"/>
      <c r="C1436" s="13"/>
      <c r="D1436" s="13"/>
      <c r="E1436" s="13"/>
      <c r="F1436" s="14"/>
      <c r="G1436" s="15"/>
      <c r="H1436" s="15"/>
      <c r="I1436" s="15"/>
      <c r="J1436" s="12"/>
      <c r="K1436" s="16" t="str">
        <f aca="false">IF(A1436="","",G1436+H1436)</f>
        <v/>
      </c>
      <c r="L1436" s="16" t="str">
        <f aca="false">IF(A1436="","",IF(F1436="İade edildi",0,K1436-I1436))</f>
        <v/>
      </c>
      <c r="M1436" s="17" t="str">
        <f aca="true">IF(A1436="","",IF(J1436&lt;&gt;"",J1436-A1436,TODAY()-A1436))</f>
        <v/>
      </c>
      <c r="N1436" s="18" t="str">
        <f aca="false">IF(A1436="","",IF(AND(OR(F1436="Bekliyor",F1436="Parça bekleniyor",F1436="Hazır"),M1436&gt;7),"7 günü geçti",""))</f>
        <v/>
      </c>
      <c r="O1436" s="18" t="str">
        <f aca="false">IF(AND(A1436&lt;&gt;"",OR(F1436="Bekliyor",F1436="Parça bekleniyor",F1436="Hazır")),A1436+ROW()/1000000,"")</f>
        <v/>
      </c>
    </row>
    <row r="1437" customFormat="false" ht="15" hidden="false" customHeight="false" outlineLevel="0" collapsed="false">
      <c r="A1437" s="12"/>
      <c r="B1437" s="13"/>
      <c r="C1437" s="13"/>
      <c r="D1437" s="13"/>
      <c r="E1437" s="13"/>
      <c r="F1437" s="14"/>
      <c r="G1437" s="15"/>
      <c r="H1437" s="15"/>
      <c r="I1437" s="15"/>
      <c r="J1437" s="12"/>
      <c r="K1437" s="16" t="str">
        <f aca="false">IF(A1437="","",G1437+H1437)</f>
        <v/>
      </c>
      <c r="L1437" s="16" t="str">
        <f aca="false">IF(A1437="","",IF(F1437="İade edildi",0,K1437-I1437))</f>
        <v/>
      </c>
      <c r="M1437" s="17" t="str">
        <f aca="true">IF(A1437="","",IF(J1437&lt;&gt;"",J1437-A1437,TODAY()-A1437))</f>
        <v/>
      </c>
      <c r="N1437" s="18" t="str">
        <f aca="false">IF(A1437="","",IF(AND(OR(F1437="Bekliyor",F1437="Parça bekleniyor",F1437="Hazır"),M1437&gt;7),"7 günü geçti",""))</f>
        <v/>
      </c>
      <c r="O1437" s="18" t="str">
        <f aca="false">IF(AND(A1437&lt;&gt;"",OR(F1437="Bekliyor",F1437="Parça bekleniyor",F1437="Hazır")),A1437+ROW()/1000000,"")</f>
        <v/>
      </c>
    </row>
    <row r="1438" customFormat="false" ht="15" hidden="false" customHeight="false" outlineLevel="0" collapsed="false">
      <c r="A1438" s="12"/>
      <c r="B1438" s="13"/>
      <c r="C1438" s="13"/>
      <c r="D1438" s="13"/>
      <c r="E1438" s="13"/>
      <c r="F1438" s="14"/>
      <c r="G1438" s="15"/>
      <c r="H1438" s="15"/>
      <c r="I1438" s="15"/>
      <c r="J1438" s="12"/>
      <c r="K1438" s="16" t="str">
        <f aca="false">IF(A1438="","",G1438+H1438)</f>
        <v/>
      </c>
      <c r="L1438" s="16" t="str">
        <f aca="false">IF(A1438="","",IF(F1438="İade edildi",0,K1438-I1438))</f>
        <v/>
      </c>
      <c r="M1438" s="17" t="str">
        <f aca="true">IF(A1438="","",IF(J1438&lt;&gt;"",J1438-A1438,TODAY()-A1438))</f>
        <v/>
      </c>
      <c r="N1438" s="18" t="str">
        <f aca="false">IF(A1438="","",IF(AND(OR(F1438="Bekliyor",F1438="Parça bekleniyor",F1438="Hazır"),M1438&gt;7),"7 günü geçti",""))</f>
        <v/>
      </c>
      <c r="O1438" s="18" t="str">
        <f aca="false">IF(AND(A1438&lt;&gt;"",OR(F1438="Bekliyor",F1438="Parça bekleniyor",F1438="Hazır")),A1438+ROW()/1000000,"")</f>
        <v/>
      </c>
    </row>
    <row r="1439" customFormat="false" ht="15" hidden="false" customHeight="false" outlineLevel="0" collapsed="false">
      <c r="A1439" s="12"/>
      <c r="B1439" s="13"/>
      <c r="C1439" s="13"/>
      <c r="D1439" s="13"/>
      <c r="E1439" s="13"/>
      <c r="F1439" s="14"/>
      <c r="G1439" s="15"/>
      <c r="H1439" s="15"/>
      <c r="I1439" s="15"/>
      <c r="J1439" s="12"/>
      <c r="K1439" s="16" t="str">
        <f aca="false">IF(A1439="","",G1439+H1439)</f>
        <v/>
      </c>
      <c r="L1439" s="16" t="str">
        <f aca="false">IF(A1439="","",IF(F1439="İade edildi",0,K1439-I1439))</f>
        <v/>
      </c>
      <c r="M1439" s="17" t="str">
        <f aca="true">IF(A1439="","",IF(J1439&lt;&gt;"",J1439-A1439,TODAY()-A1439))</f>
        <v/>
      </c>
      <c r="N1439" s="18" t="str">
        <f aca="false">IF(A1439="","",IF(AND(OR(F1439="Bekliyor",F1439="Parça bekleniyor",F1439="Hazır"),M1439&gt;7),"7 günü geçti",""))</f>
        <v/>
      </c>
      <c r="O1439" s="18" t="str">
        <f aca="false">IF(AND(A1439&lt;&gt;"",OR(F1439="Bekliyor",F1439="Parça bekleniyor",F1439="Hazır")),A1439+ROW()/1000000,"")</f>
        <v/>
      </c>
    </row>
    <row r="1440" customFormat="false" ht="15" hidden="false" customHeight="false" outlineLevel="0" collapsed="false">
      <c r="A1440" s="12"/>
      <c r="B1440" s="13"/>
      <c r="C1440" s="13"/>
      <c r="D1440" s="13"/>
      <c r="E1440" s="13"/>
      <c r="F1440" s="14"/>
      <c r="G1440" s="15"/>
      <c r="H1440" s="15"/>
      <c r="I1440" s="15"/>
      <c r="J1440" s="12"/>
      <c r="K1440" s="16" t="str">
        <f aca="false">IF(A1440="","",G1440+H1440)</f>
        <v/>
      </c>
      <c r="L1440" s="16" t="str">
        <f aca="false">IF(A1440="","",IF(F1440="İade edildi",0,K1440-I1440))</f>
        <v/>
      </c>
      <c r="M1440" s="17" t="str">
        <f aca="true">IF(A1440="","",IF(J1440&lt;&gt;"",J1440-A1440,TODAY()-A1440))</f>
        <v/>
      </c>
      <c r="N1440" s="18" t="str">
        <f aca="false">IF(A1440="","",IF(AND(OR(F1440="Bekliyor",F1440="Parça bekleniyor",F1440="Hazır"),M1440&gt;7),"7 günü geçti",""))</f>
        <v/>
      </c>
      <c r="O1440" s="18" t="str">
        <f aca="false">IF(AND(A1440&lt;&gt;"",OR(F1440="Bekliyor",F1440="Parça bekleniyor",F1440="Hazır")),A1440+ROW()/1000000,"")</f>
        <v/>
      </c>
    </row>
    <row r="1441" customFormat="false" ht="15" hidden="false" customHeight="false" outlineLevel="0" collapsed="false">
      <c r="A1441" s="12"/>
      <c r="B1441" s="13"/>
      <c r="C1441" s="13"/>
      <c r="D1441" s="13"/>
      <c r="E1441" s="13"/>
      <c r="F1441" s="14"/>
      <c r="G1441" s="15"/>
      <c r="H1441" s="15"/>
      <c r="I1441" s="15"/>
      <c r="J1441" s="12"/>
      <c r="K1441" s="16" t="str">
        <f aca="false">IF(A1441="","",G1441+H1441)</f>
        <v/>
      </c>
      <c r="L1441" s="16" t="str">
        <f aca="false">IF(A1441="","",IF(F1441="İade edildi",0,K1441-I1441))</f>
        <v/>
      </c>
      <c r="M1441" s="17" t="str">
        <f aca="true">IF(A1441="","",IF(J1441&lt;&gt;"",J1441-A1441,TODAY()-A1441))</f>
        <v/>
      </c>
      <c r="N1441" s="18" t="str">
        <f aca="false">IF(A1441="","",IF(AND(OR(F1441="Bekliyor",F1441="Parça bekleniyor",F1441="Hazır"),M1441&gt;7),"7 günü geçti",""))</f>
        <v/>
      </c>
      <c r="O1441" s="18" t="str">
        <f aca="false">IF(AND(A1441&lt;&gt;"",OR(F1441="Bekliyor",F1441="Parça bekleniyor",F1441="Hazır")),A1441+ROW()/1000000,"")</f>
        <v/>
      </c>
    </row>
    <row r="1442" customFormat="false" ht="15" hidden="false" customHeight="false" outlineLevel="0" collapsed="false">
      <c r="A1442" s="12"/>
      <c r="B1442" s="13"/>
      <c r="C1442" s="13"/>
      <c r="D1442" s="13"/>
      <c r="E1442" s="13"/>
      <c r="F1442" s="14"/>
      <c r="G1442" s="15"/>
      <c r="H1442" s="15"/>
      <c r="I1442" s="15"/>
      <c r="J1442" s="12"/>
      <c r="K1442" s="16" t="str">
        <f aca="false">IF(A1442="","",G1442+H1442)</f>
        <v/>
      </c>
      <c r="L1442" s="16" t="str">
        <f aca="false">IF(A1442="","",IF(F1442="İade edildi",0,K1442-I1442))</f>
        <v/>
      </c>
      <c r="M1442" s="17" t="str">
        <f aca="true">IF(A1442="","",IF(J1442&lt;&gt;"",J1442-A1442,TODAY()-A1442))</f>
        <v/>
      </c>
      <c r="N1442" s="18" t="str">
        <f aca="false">IF(A1442="","",IF(AND(OR(F1442="Bekliyor",F1442="Parça bekleniyor",F1442="Hazır"),M1442&gt;7),"7 günü geçti",""))</f>
        <v/>
      </c>
      <c r="O1442" s="18" t="str">
        <f aca="false">IF(AND(A1442&lt;&gt;"",OR(F1442="Bekliyor",F1442="Parça bekleniyor",F1442="Hazır")),A1442+ROW()/1000000,"")</f>
        <v/>
      </c>
    </row>
    <row r="1443" customFormat="false" ht="15" hidden="false" customHeight="false" outlineLevel="0" collapsed="false">
      <c r="A1443" s="12"/>
      <c r="B1443" s="13"/>
      <c r="C1443" s="13"/>
      <c r="D1443" s="13"/>
      <c r="E1443" s="13"/>
      <c r="F1443" s="14"/>
      <c r="G1443" s="15"/>
      <c r="H1443" s="15"/>
      <c r="I1443" s="15"/>
      <c r="J1443" s="12"/>
      <c r="K1443" s="16" t="str">
        <f aca="false">IF(A1443="","",G1443+H1443)</f>
        <v/>
      </c>
      <c r="L1443" s="16" t="str">
        <f aca="false">IF(A1443="","",IF(F1443="İade edildi",0,K1443-I1443))</f>
        <v/>
      </c>
      <c r="M1443" s="17" t="str">
        <f aca="true">IF(A1443="","",IF(J1443&lt;&gt;"",J1443-A1443,TODAY()-A1443))</f>
        <v/>
      </c>
      <c r="N1443" s="18" t="str">
        <f aca="false">IF(A1443="","",IF(AND(OR(F1443="Bekliyor",F1443="Parça bekleniyor",F1443="Hazır"),M1443&gt;7),"7 günü geçti",""))</f>
        <v/>
      </c>
      <c r="O1443" s="18" t="str">
        <f aca="false">IF(AND(A1443&lt;&gt;"",OR(F1443="Bekliyor",F1443="Parça bekleniyor",F1443="Hazır")),A1443+ROW()/1000000,"")</f>
        <v/>
      </c>
    </row>
    <row r="1444" customFormat="false" ht="15" hidden="false" customHeight="false" outlineLevel="0" collapsed="false">
      <c r="A1444" s="12"/>
      <c r="B1444" s="13"/>
      <c r="C1444" s="13"/>
      <c r="D1444" s="13"/>
      <c r="E1444" s="13"/>
      <c r="F1444" s="14"/>
      <c r="G1444" s="15"/>
      <c r="H1444" s="15"/>
      <c r="I1444" s="15"/>
      <c r="J1444" s="12"/>
      <c r="K1444" s="16" t="str">
        <f aca="false">IF(A1444="","",G1444+H1444)</f>
        <v/>
      </c>
      <c r="L1444" s="16" t="str">
        <f aca="false">IF(A1444="","",IF(F1444="İade edildi",0,K1444-I1444))</f>
        <v/>
      </c>
      <c r="M1444" s="17" t="str">
        <f aca="true">IF(A1444="","",IF(J1444&lt;&gt;"",J1444-A1444,TODAY()-A1444))</f>
        <v/>
      </c>
      <c r="N1444" s="18" t="str">
        <f aca="false">IF(A1444="","",IF(AND(OR(F1444="Bekliyor",F1444="Parça bekleniyor",F1444="Hazır"),M1444&gt;7),"7 günü geçti",""))</f>
        <v/>
      </c>
      <c r="O1444" s="18" t="str">
        <f aca="false">IF(AND(A1444&lt;&gt;"",OR(F1444="Bekliyor",F1444="Parça bekleniyor",F1444="Hazır")),A1444+ROW()/1000000,"")</f>
        <v/>
      </c>
    </row>
    <row r="1445" customFormat="false" ht="15" hidden="false" customHeight="false" outlineLevel="0" collapsed="false">
      <c r="A1445" s="12"/>
      <c r="B1445" s="13"/>
      <c r="C1445" s="13"/>
      <c r="D1445" s="13"/>
      <c r="E1445" s="13"/>
      <c r="F1445" s="14"/>
      <c r="G1445" s="15"/>
      <c r="H1445" s="15"/>
      <c r="I1445" s="15"/>
      <c r="J1445" s="12"/>
      <c r="K1445" s="16" t="str">
        <f aca="false">IF(A1445="","",G1445+H1445)</f>
        <v/>
      </c>
      <c r="L1445" s="16" t="str">
        <f aca="false">IF(A1445="","",IF(F1445="İade edildi",0,K1445-I1445))</f>
        <v/>
      </c>
      <c r="M1445" s="17" t="str">
        <f aca="true">IF(A1445="","",IF(J1445&lt;&gt;"",J1445-A1445,TODAY()-A1445))</f>
        <v/>
      </c>
      <c r="N1445" s="18" t="str">
        <f aca="false">IF(A1445="","",IF(AND(OR(F1445="Bekliyor",F1445="Parça bekleniyor",F1445="Hazır"),M1445&gt;7),"7 günü geçti",""))</f>
        <v/>
      </c>
      <c r="O1445" s="18" t="str">
        <f aca="false">IF(AND(A1445&lt;&gt;"",OR(F1445="Bekliyor",F1445="Parça bekleniyor",F1445="Hazır")),A1445+ROW()/1000000,"")</f>
        <v/>
      </c>
    </row>
    <row r="1446" customFormat="false" ht="15" hidden="false" customHeight="false" outlineLevel="0" collapsed="false">
      <c r="A1446" s="12"/>
      <c r="B1446" s="13"/>
      <c r="C1446" s="13"/>
      <c r="D1446" s="13"/>
      <c r="E1446" s="13"/>
      <c r="F1446" s="14"/>
      <c r="G1446" s="15"/>
      <c r="H1446" s="15"/>
      <c r="I1446" s="15"/>
      <c r="J1446" s="12"/>
      <c r="K1446" s="16" t="str">
        <f aca="false">IF(A1446="","",G1446+H1446)</f>
        <v/>
      </c>
      <c r="L1446" s="16" t="str">
        <f aca="false">IF(A1446="","",IF(F1446="İade edildi",0,K1446-I1446))</f>
        <v/>
      </c>
      <c r="M1446" s="17" t="str">
        <f aca="true">IF(A1446="","",IF(J1446&lt;&gt;"",J1446-A1446,TODAY()-A1446))</f>
        <v/>
      </c>
      <c r="N1446" s="18" t="str">
        <f aca="false">IF(A1446="","",IF(AND(OR(F1446="Bekliyor",F1446="Parça bekleniyor",F1446="Hazır"),M1446&gt;7),"7 günü geçti",""))</f>
        <v/>
      </c>
      <c r="O1446" s="18" t="str">
        <f aca="false">IF(AND(A1446&lt;&gt;"",OR(F1446="Bekliyor",F1446="Parça bekleniyor",F1446="Hazır")),A1446+ROW()/1000000,"")</f>
        <v/>
      </c>
    </row>
    <row r="1447" customFormat="false" ht="15" hidden="false" customHeight="false" outlineLevel="0" collapsed="false">
      <c r="A1447" s="12"/>
      <c r="B1447" s="13"/>
      <c r="C1447" s="13"/>
      <c r="D1447" s="13"/>
      <c r="E1447" s="13"/>
      <c r="F1447" s="14"/>
      <c r="G1447" s="15"/>
      <c r="H1447" s="15"/>
      <c r="I1447" s="15"/>
      <c r="J1447" s="12"/>
      <c r="K1447" s="16" t="str">
        <f aca="false">IF(A1447="","",G1447+H1447)</f>
        <v/>
      </c>
      <c r="L1447" s="16" t="str">
        <f aca="false">IF(A1447="","",IF(F1447="İade edildi",0,K1447-I1447))</f>
        <v/>
      </c>
      <c r="M1447" s="17" t="str">
        <f aca="true">IF(A1447="","",IF(J1447&lt;&gt;"",J1447-A1447,TODAY()-A1447))</f>
        <v/>
      </c>
      <c r="N1447" s="18" t="str">
        <f aca="false">IF(A1447="","",IF(AND(OR(F1447="Bekliyor",F1447="Parça bekleniyor",F1447="Hazır"),M1447&gt;7),"7 günü geçti",""))</f>
        <v/>
      </c>
      <c r="O1447" s="18" t="str">
        <f aca="false">IF(AND(A1447&lt;&gt;"",OR(F1447="Bekliyor",F1447="Parça bekleniyor",F1447="Hazır")),A1447+ROW()/1000000,"")</f>
        <v/>
      </c>
    </row>
    <row r="1448" customFormat="false" ht="15" hidden="false" customHeight="false" outlineLevel="0" collapsed="false">
      <c r="A1448" s="12"/>
      <c r="B1448" s="13"/>
      <c r="C1448" s="13"/>
      <c r="D1448" s="13"/>
      <c r="E1448" s="13"/>
      <c r="F1448" s="14"/>
      <c r="G1448" s="15"/>
      <c r="H1448" s="15"/>
      <c r="I1448" s="15"/>
      <c r="J1448" s="12"/>
      <c r="K1448" s="16" t="str">
        <f aca="false">IF(A1448="","",G1448+H1448)</f>
        <v/>
      </c>
      <c r="L1448" s="16" t="str">
        <f aca="false">IF(A1448="","",IF(F1448="İade edildi",0,K1448-I1448))</f>
        <v/>
      </c>
      <c r="M1448" s="17" t="str">
        <f aca="true">IF(A1448="","",IF(J1448&lt;&gt;"",J1448-A1448,TODAY()-A1448))</f>
        <v/>
      </c>
      <c r="N1448" s="18" t="str">
        <f aca="false">IF(A1448="","",IF(AND(OR(F1448="Bekliyor",F1448="Parça bekleniyor",F1448="Hazır"),M1448&gt;7),"7 günü geçti",""))</f>
        <v/>
      </c>
      <c r="O1448" s="18" t="str">
        <f aca="false">IF(AND(A1448&lt;&gt;"",OR(F1448="Bekliyor",F1448="Parça bekleniyor",F1448="Hazır")),A1448+ROW()/1000000,"")</f>
        <v/>
      </c>
    </row>
    <row r="1449" customFormat="false" ht="15" hidden="false" customHeight="false" outlineLevel="0" collapsed="false">
      <c r="A1449" s="12"/>
      <c r="B1449" s="13"/>
      <c r="C1449" s="13"/>
      <c r="D1449" s="13"/>
      <c r="E1449" s="13"/>
      <c r="F1449" s="14"/>
      <c r="G1449" s="15"/>
      <c r="H1449" s="15"/>
      <c r="I1449" s="15"/>
      <c r="J1449" s="12"/>
      <c r="K1449" s="16" t="str">
        <f aca="false">IF(A1449="","",G1449+H1449)</f>
        <v/>
      </c>
      <c r="L1449" s="16" t="str">
        <f aca="false">IF(A1449="","",IF(F1449="İade edildi",0,K1449-I1449))</f>
        <v/>
      </c>
      <c r="M1449" s="17" t="str">
        <f aca="true">IF(A1449="","",IF(J1449&lt;&gt;"",J1449-A1449,TODAY()-A1449))</f>
        <v/>
      </c>
      <c r="N1449" s="18" t="str">
        <f aca="false">IF(A1449="","",IF(AND(OR(F1449="Bekliyor",F1449="Parça bekleniyor",F1449="Hazır"),M1449&gt;7),"7 günü geçti",""))</f>
        <v/>
      </c>
      <c r="O1449" s="18" t="str">
        <f aca="false">IF(AND(A1449&lt;&gt;"",OR(F1449="Bekliyor",F1449="Parça bekleniyor",F1449="Hazır")),A1449+ROW()/1000000,"")</f>
        <v/>
      </c>
    </row>
    <row r="1450" customFormat="false" ht="15" hidden="false" customHeight="false" outlineLevel="0" collapsed="false">
      <c r="A1450" s="12"/>
      <c r="B1450" s="13"/>
      <c r="C1450" s="13"/>
      <c r="D1450" s="13"/>
      <c r="E1450" s="13"/>
      <c r="F1450" s="14"/>
      <c r="G1450" s="15"/>
      <c r="H1450" s="15"/>
      <c r="I1450" s="15"/>
      <c r="J1450" s="12"/>
      <c r="K1450" s="16" t="str">
        <f aca="false">IF(A1450="","",G1450+H1450)</f>
        <v/>
      </c>
      <c r="L1450" s="16" t="str">
        <f aca="false">IF(A1450="","",IF(F1450="İade edildi",0,K1450-I1450))</f>
        <v/>
      </c>
      <c r="M1450" s="17" t="str">
        <f aca="true">IF(A1450="","",IF(J1450&lt;&gt;"",J1450-A1450,TODAY()-A1450))</f>
        <v/>
      </c>
      <c r="N1450" s="18" t="str">
        <f aca="false">IF(A1450="","",IF(AND(OR(F1450="Bekliyor",F1450="Parça bekleniyor",F1450="Hazır"),M1450&gt;7),"7 günü geçti",""))</f>
        <v/>
      </c>
      <c r="O1450" s="18" t="str">
        <f aca="false">IF(AND(A1450&lt;&gt;"",OR(F1450="Bekliyor",F1450="Parça bekleniyor",F1450="Hazır")),A1450+ROW()/1000000,"")</f>
        <v/>
      </c>
    </row>
    <row r="1451" customFormat="false" ht="15" hidden="false" customHeight="false" outlineLevel="0" collapsed="false">
      <c r="A1451" s="12"/>
      <c r="B1451" s="13"/>
      <c r="C1451" s="13"/>
      <c r="D1451" s="13"/>
      <c r="E1451" s="13"/>
      <c r="F1451" s="14"/>
      <c r="G1451" s="15"/>
      <c r="H1451" s="15"/>
      <c r="I1451" s="15"/>
      <c r="J1451" s="12"/>
      <c r="K1451" s="16" t="str">
        <f aca="false">IF(A1451="","",G1451+H1451)</f>
        <v/>
      </c>
      <c r="L1451" s="16" t="str">
        <f aca="false">IF(A1451="","",IF(F1451="İade edildi",0,K1451-I1451))</f>
        <v/>
      </c>
      <c r="M1451" s="17" t="str">
        <f aca="true">IF(A1451="","",IF(J1451&lt;&gt;"",J1451-A1451,TODAY()-A1451))</f>
        <v/>
      </c>
      <c r="N1451" s="18" t="str">
        <f aca="false">IF(A1451="","",IF(AND(OR(F1451="Bekliyor",F1451="Parça bekleniyor",F1451="Hazır"),M1451&gt;7),"7 günü geçti",""))</f>
        <v/>
      </c>
      <c r="O1451" s="18" t="str">
        <f aca="false">IF(AND(A1451&lt;&gt;"",OR(F1451="Bekliyor",F1451="Parça bekleniyor",F1451="Hazır")),A1451+ROW()/1000000,"")</f>
        <v/>
      </c>
    </row>
    <row r="1452" customFormat="false" ht="15" hidden="false" customHeight="false" outlineLevel="0" collapsed="false">
      <c r="A1452" s="12"/>
      <c r="B1452" s="13"/>
      <c r="C1452" s="13"/>
      <c r="D1452" s="13"/>
      <c r="E1452" s="13"/>
      <c r="F1452" s="14"/>
      <c r="G1452" s="15"/>
      <c r="H1452" s="15"/>
      <c r="I1452" s="15"/>
      <c r="J1452" s="12"/>
      <c r="K1452" s="16" t="str">
        <f aca="false">IF(A1452="","",G1452+H1452)</f>
        <v/>
      </c>
      <c r="L1452" s="16" t="str">
        <f aca="false">IF(A1452="","",IF(F1452="İade edildi",0,K1452-I1452))</f>
        <v/>
      </c>
      <c r="M1452" s="17" t="str">
        <f aca="true">IF(A1452="","",IF(J1452&lt;&gt;"",J1452-A1452,TODAY()-A1452))</f>
        <v/>
      </c>
      <c r="N1452" s="18" t="str">
        <f aca="false">IF(A1452="","",IF(AND(OR(F1452="Bekliyor",F1452="Parça bekleniyor",F1452="Hazır"),M1452&gt;7),"7 günü geçti",""))</f>
        <v/>
      </c>
      <c r="O1452" s="18" t="str">
        <f aca="false">IF(AND(A1452&lt;&gt;"",OR(F1452="Bekliyor",F1452="Parça bekleniyor",F1452="Hazır")),A1452+ROW()/1000000,"")</f>
        <v/>
      </c>
    </row>
    <row r="1453" customFormat="false" ht="15" hidden="false" customHeight="false" outlineLevel="0" collapsed="false">
      <c r="A1453" s="12"/>
      <c r="B1453" s="13"/>
      <c r="C1453" s="13"/>
      <c r="D1453" s="13"/>
      <c r="E1453" s="13"/>
      <c r="F1453" s="14"/>
      <c r="G1453" s="15"/>
      <c r="H1453" s="15"/>
      <c r="I1453" s="15"/>
      <c r="J1453" s="12"/>
      <c r="K1453" s="16" t="str">
        <f aca="false">IF(A1453="","",G1453+H1453)</f>
        <v/>
      </c>
      <c r="L1453" s="16" t="str">
        <f aca="false">IF(A1453="","",IF(F1453="İade edildi",0,K1453-I1453))</f>
        <v/>
      </c>
      <c r="M1453" s="17" t="str">
        <f aca="true">IF(A1453="","",IF(J1453&lt;&gt;"",J1453-A1453,TODAY()-A1453))</f>
        <v/>
      </c>
      <c r="N1453" s="18" t="str">
        <f aca="false">IF(A1453="","",IF(AND(OR(F1453="Bekliyor",F1453="Parça bekleniyor",F1453="Hazır"),M1453&gt;7),"7 günü geçti",""))</f>
        <v/>
      </c>
      <c r="O1453" s="18" t="str">
        <f aca="false">IF(AND(A1453&lt;&gt;"",OR(F1453="Bekliyor",F1453="Parça bekleniyor",F1453="Hazır")),A1453+ROW()/1000000,"")</f>
        <v/>
      </c>
    </row>
    <row r="1454" customFormat="false" ht="15" hidden="false" customHeight="false" outlineLevel="0" collapsed="false">
      <c r="A1454" s="12"/>
      <c r="B1454" s="13"/>
      <c r="C1454" s="13"/>
      <c r="D1454" s="13"/>
      <c r="E1454" s="13"/>
      <c r="F1454" s="14"/>
      <c r="G1454" s="15"/>
      <c r="H1454" s="15"/>
      <c r="I1454" s="15"/>
      <c r="J1454" s="12"/>
      <c r="K1454" s="16" t="str">
        <f aca="false">IF(A1454="","",G1454+H1454)</f>
        <v/>
      </c>
      <c r="L1454" s="16" t="str">
        <f aca="false">IF(A1454="","",IF(F1454="İade edildi",0,K1454-I1454))</f>
        <v/>
      </c>
      <c r="M1454" s="17" t="str">
        <f aca="true">IF(A1454="","",IF(J1454&lt;&gt;"",J1454-A1454,TODAY()-A1454))</f>
        <v/>
      </c>
      <c r="N1454" s="18" t="str">
        <f aca="false">IF(A1454="","",IF(AND(OR(F1454="Bekliyor",F1454="Parça bekleniyor",F1454="Hazır"),M1454&gt;7),"7 günü geçti",""))</f>
        <v/>
      </c>
      <c r="O1454" s="18" t="str">
        <f aca="false">IF(AND(A1454&lt;&gt;"",OR(F1454="Bekliyor",F1454="Parça bekleniyor",F1454="Hazır")),A1454+ROW()/1000000,"")</f>
        <v/>
      </c>
    </row>
    <row r="1455" customFormat="false" ht="15" hidden="false" customHeight="false" outlineLevel="0" collapsed="false">
      <c r="A1455" s="12"/>
      <c r="B1455" s="13"/>
      <c r="C1455" s="13"/>
      <c r="D1455" s="13"/>
      <c r="E1455" s="13"/>
      <c r="F1455" s="14"/>
      <c r="G1455" s="15"/>
      <c r="H1455" s="15"/>
      <c r="I1455" s="15"/>
      <c r="J1455" s="12"/>
      <c r="K1455" s="16" t="str">
        <f aca="false">IF(A1455="","",G1455+H1455)</f>
        <v/>
      </c>
      <c r="L1455" s="16" t="str">
        <f aca="false">IF(A1455="","",IF(F1455="İade edildi",0,K1455-I1455))</f>
        <v/>
      </c>
      <c r="M1455" s="17" t="str">
        <f aca="true">IF(A1455="","",IF(J1455&lt;&gt;"",J1455-A1455,TODAY()-A1455))</f>
        <v/>
      </c>
      <c r="N1455" s="18" t="str">
        <f aca="false">IF(A1455="","",IF(AND(OR(F1455="Bekliyor",F1455="Parça bekleniyor",F1455="Hazır"),M1455&gt;7),"7 günü geçti",""))</f>
        <v/>
      </c>
      <c r="O1455" s="18" t="str">
        <f aca="false">IF(AND(A1455&lt;&gt;"",OR(F1455="Bekliyor",F1455="Parça bekleniyor",F1455="Hazır")),A1455+ROW()/1000000,"")</f>
        <v/>
      </c>
    </row>
    <row r="1456" customFormat="false" ht="15" hidden="false" customHeight="false" outlineLevel="0" collapsed="false">
      <c r="A1456" s="12"/>
      <c r="B1456" s="13"/>
      <c r="C1456" s="13"/>
      <c r="D1456" s="13"/>
      <c r="E1456" s="13"/>
      <c r="F1456" s="14"/>
      <c r="G1456" s="15"/>
      <c r="H1456" s="15"/>
      <c r="I1456" s="15"/>
      <c r="J1456" s="12"/>
      <c r="K1456" s="16" t="str">
        <f aca="false">IF(A1456="","",G1456+H1456)</f>
        <v/>
      </c>
      <c r="L1456" s="16" t="str">
        <f aca="false">IF(A1456="","",IF(F1456="İade edildi",0,K1456-I1456))</f>
        <v/>
      </c>
      <c r="M1456" s="17" t="str">
        <f aca="true">IF(A1456="","",IF(J1456&lt;&gt;"",J1456-A1456,TODAY()-A1456))</f>
        <v/>
      </c>
      <c r="N1456" s="18" t="str">
        <f aca="false">IF(A1456="","",IF(AND(OR(F1456="Bekliyor",F1456="Parça bekleniyor",F1456="Hazır"),M1456&gt;7),"7 günü geçti",""))</f>
        <v/>
      </c>
      <c r="O1456" s="18" t="str">
        <f aca="false">IF(AND(A1456&lt;&gt;"",OR(F1456="Bekliyor",F1456="Parça bekleniyor",F1456="Hazır")),A1456+ROW()/1000000,"")</f>
        <v/>
      </c>
    </row>
    <row r="1457" customFormat="false" ht="15" hidden="false" customHeight="false" outlineLevel="0" collapsed="false">
      <c r="A1457" s="12"/>
      <c r="B1457" s="13"/>
      <c r="C1457" s="13"/>
      <c r="D1457" s="13"/>
      <c r="E1457" s="13"/>
      <c r="F1457" s="14"/>
      <c r="G1457" s="15"/>
      <c r="H1457" s="15"/>
      <c r="I1457" s="15"/>
      <c r="J1457" s="12"/>
      <c r="K1457" s="16" t="str">
        <f aca="false">IF(A1457="","",G1457+H1457)</f>
        <v/>
      </c>
      <c r="L1457" s="16" t="str">
        <f aca="false">IF(A1457="","",IF(F1457="İade edildi",0,K1457-I1457))</f>
        <v/>
      </c>
      <c r="M1457" s="17" t="str">
        <f aca="true">IF(A1457="","",IF(J1457&lt;&gt;"",J1457-A1457,TODAY()-A1457))</f>
        <v/>
      </c>
      <c r="N1457" s="18" t="str">
        <f aca="false">IF(A1457="","",IF(AND(OR(F1457="Bekliyor",F1457="Parça bekleniyor",F1457="Hazır"),M1457&gt;7),"7 günü geçti",""))</f>
        <v/>
      </c>
      <c r="O1457" s="18" t="str">
        <f aca="false">IF(AND(A1457&lt;&gt;"",OR(F1457="Bekliyor",F1457="Parça bekleniyor",F1457="Hazır")),A1457+ROW()/1000000,"")</f>
        <v/>
      </c>
    </row>
    <row r="1458" customFormat="false" ht="15" hidden="false" customHeight="false" outlineLevel="0" collapsed="false">
      <c r="A1458" s="12"/>
      <c r="B1458" s="13"/>
      <c r="C1458" s="13"/>
      <c r="D1458" s="13"/>
      <c r="E1458" s="13"/>
      <c r="F1458" s="14"/>
      <c r="G1458" s="15"/>
      <c r="H1458" s="15"/>
      <c r="I1458" s="15"/>
      <c r="J1458" s="12"/>
      <c r="K1458" s="16" t="str">
        <f aca="false">IF(A1458="","",G1458+H1458)</f>
        <v/>
      </c>
      <c r="L1458" s="16" t="str">
        <f aca="false">IF(A1458="","",IF(F1458="İade edildi",0,K1458-I1458))</f>
        <v/>
      </c>
      <c r="M1458" s="17" t="str">
        <f aca="true">IF(A1458="","",IF(J1458&lt;&gt;"",J1458-A1458,TODAY()-A1458))</f>
        <v/>
      </c>
      <c r="N1458" s="18" t="str">
        <f aca="false">IF(A1458="","",IF(AND(OR(F1458="Bekliyor",F1458="Parça bekleniyor",F1458="Hazır"),M1458&gt;7),"7 günü geçti",""))</f>
        <v/>
      </c>
      <c r="O1458" s="18" t="str">
        <f aca="false">IF(AND(A1458&lt;&gt;"",OR(F1458="Bekliyor",F1458="Parça bekleniyor",F1458="Hazır")),A1458+ROW()/1000000,"")</f>
        <v/>
      </c>
    </row>
    <row r="1459" customFormat="false" ht="15" hidden="false" customHeight="false" outlineLevel="0" collapsed="false">
      <c r="A1459" s="12"/>
      <c r="B1459" s="13"/>
      <c r="C1459" s="13"/>
      <c r="D1459" s="13"/>
      <c r="E1459" s="13"/>
      <c r="F1459" s="14"/>
      <c r="G1459" s="15"/>
      <c r="H1459" s="15"/>
      <c r="I1459" s="15"/>
      <c r="J1459" s="12"/>
      <c r="K1459" s="16" t="str">
        <f aca="false">IF(A1459="","",G1459+H1459)</f>
        <v/>
      </c>
      <c r="L1459" s="16" t="str">
        <f aca="false">IF(A1459="","",IF(F1459="İade edildi",0,K1459-I1459))</f>
        <v/>
      </c>
      <c r="M1459" s="17" t="str">
        <f aca="true">IF(A1459="","",IF(J1459&lt;&gt;"",J1459-A1459,TODAY()-A1459))</f>
        <v/>
      </c>
      <c r="N1459" s="18" t="str">
        <f aca="false">IF(A1459="","",IF(AND(OR(F1459="Bekliyor",F1459="Parça bekleniyor",F1459="Hazır"),M1459&gt;7),"7 günü geçti",""))</f>
        <v/>
      </c>
      <c r="O1459" s="18" t="str">
        <f aca="false">IF(AND(A1459&lt;&gt;"",OR(F1459="Bekliyor",F1459="Parça bekleniyor",F1459="Hazır")),A1459+ROW()/1000000,"")</f>
        <v/>
      </c>
    </row>
    <row r="1460" customFormat="false" ht="15" hidden="false" customHeight="false" outlineLevel="0" collapsed="false">
      <c r="A1460" s="12"/>
      <c r="B1460" s="13"/>
      <c r="C1460" s="13"/>
      <c r="D1460" s="13"/>
      <c r="E1460" s="13"/>
      <c r="F1460" s="14"/>
      <c r="G1460" s="15"/>
      <c r="H1460" s="15"/>
      <c r="I1460" s="15"/>
      <c r="J1460" s="12"/>
      <c r="K1460" s="16" t="str">
        <f aca="false">IF(A1460="","",G1460+H1460)</f>
        <v/>
      </c>
      <c r="L1460" s="16" t="str">
        <f aca="false">IF(A1460="","",IF(F1460="İade edildi",0,K1460-I1460))</f>
        <v/>
      </c>
      <c r="M1460" s="17" t="str">
        <f aca="true">IF(A1460="","",IF(J1460&lt;&gt;"",J1460-A1460,TODAY()-A1460))</f>
        <v/>
      </c>
      <c r="N1460" s="18" t="str">
        <f aca="false">IF(A1460="","",IF(AND(OR(F1460="Bekliyor",F1460="Parça bekleniyor",F1460="Hazır"),M1460&gt;7),"7 günü geçti",""))</f>
        <v/>
      </c>
      <c r="O1460" s="18" t="str">
        <f aca="false">IF(AND(A1460&lt;&gt;"",OR(F1460="Bekliyor",F1460="Parça bekleniyor",F1460="Hazır")),A1460+ROW()/1000000,"")</f>
        <v/>
      </c>
    </row>
    <row r="1461" customFormat="false" ht="15" hidden="false" customHeight="false" outlineLevel="0" collapsed="false">
      <c r="A1461" s="12"/>
      <c r="B1461" s="13"/>
      <c r="C1461" s="13"/>
      <c r="D1461" s="13"/>
      <c r="E1461" s="13"/>
      <c r="F1461" s="14"/>
      <c r="G1461" s="15"/>
      <c r="H1461" s="15"/>
      <c r="I1461" s="15"/>
      <c r="J1461" s="12"/>
      <c r="K1461" s="16" t="str">
        <f aca="false">IF(A1461="","",G1461+H1461)</f>
        <v/>
      </c>
      <c r="L1461" s="16" t="str">
        <f aca="false">IF(A1461="","",IF(F1461="İade edildi",0,K1461-I1461))</f>
        <v/>
      </c>
      <c r="M1461" s="17" t="str">
        <f aca="true">IF(A1461="","",IF(J1461&lt;&gt;"",J1461-A1461,TODAY()-A1461))</f>
        <v/>
      </c>
      <c r="N1461" s="18" t="str">
        <f aca="false">IF(A1461="","",IF(AND(OR(F1461="Bekliyor",F1461="Parça bekleniyor",F1461="Hazır"),M1461&gt;7),"7 günü geçti",""))</f>
        <v/>
      </c>
      <c r="O1461" s="18" t="str">
        <f aca="false">IF(AND(A1461&lt;&gt;"",OR(F1461="Bekliyor",F1461="Parça bekleniyor",F1461="Hazır")),A1461+ROW()/1000000,"")</f>
        <v/>
      </c>
    </row>
    <row r="1462" customFormat="false" ht="15" hidden="false" customHeight="false" outlineLevel="0" collapsed="false">
      <c r="A1462" s="12"/>
      <c r="B1462" s="13"/>
      <c r="C1462" s="13"/>
      <c r="D1462" s="13"/>
      <c r="E1462" s="13"/>
      <c r="F1462" s="14"/>
      <c r="G1462" s="15"/>
      <c r="H1462" s="15"/>
      <c r="I1462" s="15"/>
      <c r="J1462" s="12"/>
      <c r="K1462" s="16" t="str">
        <f aca="false">IF(A1462="","",G1462+H1462)</f>
        <v/>
      </c>
      <c r="L1462" s="16" t="str">
        <f aca="false">IF(A1462="","",IF(F1462="İade edildi",0,K1462-I1462))</f>
        <v/>
      </c>
      <c r="M1462" s="17" t="str">
        <f aca="true">IF(A1462="","",IF(J1462&lt;&gt;"",J1462-A1462,TODAY()-A1462))</f>
        <v/>
      </c>
      <c r="N1462" s="18" t="str">
        <f aca="false">IF(A1462="","",IF(AND(OR(F1462="Bekliyor",F1462="Parça bekleniyor",F1462="Hazır"),M1462&gt;7),"7 günü geçti",""))</f>
        <v/>
      </c>
      <c r="O1462" s="18" t="str">
        <f aca="false">IF(AND(A1462&lt;&gt;"",OR(F1462="Bekliyor",F1462="Parça bekleniyor",F1462="Hazır")),A1462+ROW()/1000000,"")</f>
        <v/>
      </c>
    </row>
    <row r="1463" customFormat="false" ht="15" hidden="false" customHeight="false" outlineLevel="0" collapsed="false">
      <c r="A1463" s="12"/>
      <c r="B1463" s="13"/>
      <c r="C1463" s="13"/>
      <c r="D1463" s="13"/>
      <c r="E1463" s="13"/>
      <c r="F1463" s="14"/>
      <c r="G1463" s="15"/>
      <c r="H1463" s="15"/>
      <c r="I1463" s="15"/>
      <c r="J1463" s="12"/>
      <c r="K1463" s="16" t="str">
        <f aca="false">IF(A1463="","",G1463+H1463)</f>
        <v/>
      </c>
      <c r="L1463" s="16" t="str">
        <f aca="false">IF(A1463="","",IF(F1463="İade edildi",0,K1463-I1463))</f>
        <v/>
      </c>
      <c r="M1463" s="17" t="str">
        <f aca="true">IF(A1463="","",IF(J1463&lt;&gt;"",J1463-A1463,TODAY()-A1463))</f>
        <v/>
      </c>
      <c r="N1463" s="18" t="str">
        <f aca="false">IF(A1463="","",IF(AND(OR(F1463="Bekliyor",F1463="Parça bekleniyor",F1463="Hazır"),M1463&gt;7),"7 günü geçti",""))</f>
        <v/>
      </c>
      <c r="O1463" s="18" t="str">
        <f aca="false">IF(AND(A1463&lt;&gt;"",OR(F1463="Bekliyor",F1463="Parça bekleniyor",F1463="Hazır")),A1463+ROW()/1000000,"")</f>
        <v/>
      </c>
    </row>
    <row r="1464" customFormat="false" ht="15" hidden="false" customHeight="false" outlineLevel="0" collapsed="false">
      <c r="A1464" s="12"/>
      <c r="B1464" s="13"/>
      <c r="C1464" s="13"/>
      <c r="D1464" s="13"/>
      <c r="E1464" s="13"/>
      <c r="F1464" s="14"/>
      <c r="G1464" s="15"/>
      <c r="H1464" s="15"/>
      <c r="I1464" s="15"/>
      <c r="J1464" s="12"/>
      <c r="K1464" s="16" t="str">
        <f aca="false">IF(A1464="","",G1464+H1464)</f>
        <v/>
      </c>
      <c r="L1464" s="16" t="str">
        <f aca="false">IF(A1464="","",IF(F1464="İade edildi",0,K1464-I1464))</f>
        <v/>
      </c>
      <c r="M1464" s="17" t="str">
        <f aca="true">IF(A1464="","",IF(J1464&lt;&gt;"",J1464-A1464,TODAY()-A1464))</f>
        <v/>
      </c>
      <c r="N1464" s="18" t="str">
        <f aca="false">IF(A1464="","",IF(AND(OR(F1464="Bekliyor",F1464="Parça bekleniyor",F1464="Hazır"),M1464&gt;7),"7 günü geçti",""))</f>
        <v/>
      </c>
      <c r="O1464" s="18" t="str">
        <f aca="false">IF(AND(A1464&lt;&gt;"",OR(F1464="Bekliyor",F1464="Parça bekleniyor",F1464="Hazır")),A1464+ROW()/1000000,"")</f>
        <v/>
      </c>
    </row>
    <row r="1465" customFormat="false" ht="15" hidden="false" customHeight="false" outlineLevel="0" collapsed="false">
      <c r="A1465" s="12"/>
      <c r="B1465" s="13"/>
      <c r="C1465" s="13"/>
      <c r="D1465" s="13"/>
      <c r="E1465" s="13"/>
      <c r="F1465" s="14"/>
      <c r="G1465" s="15"/>
      <c r="H1465" s="15"/>
      <c r="I1465" s="15"/>
      <c r="J1465" s="12"/>
      <c r="K1465" s="16" t="str">
        <f aca="false">IF(A1465="","",G1465+H1465)</f>
        <v/>
      </c>
      <c r="L1465" s="16" t="str">
        <f aca="false">IF(A1465="","",IF(F1465="İade edildi",0,K1465-I1465))</f>
        <v/>
      </c>
      <c r="M1465" s="17" t="str">
        <f aca="true">IF(A1465="","",IF(J1465&lt;&gt;"",J1465-A1465,TODAY()-A1465))</f>
        <v/>
      </c>
      <c r="N1465" s="18" t="str">
        <f aca="false">IF(A1465="","",IF(AND(OR(F1465="Bekliyor",F1465="Parça bekleniyor",F1465="Hazır"),M1465&gt;7),"7 günü geçti",""))</f>
        <v/>
      </c>
      <c r="O1465" s="18" t="str">
        <f aca="false">IF(AND(A1465&lt;&gt;"",OR(F1465="Bekliyor",F1465="Parça bekleniyor",F1465="Hazır")),A1465+ROW()/1000000,"")</f>
        <v/>
      </c>
    </row>
    <row r="1466" customFormat="false" ht="15" hidden="false" customHeight="false" outlineLevel="0" collapsed="false">
      <c r="A1466" s="12"/>
      <c r="B1466" s="13"/>
      <c r="C1466" s="13"/>
      <c r="D1466" s="13"/>
      <c r="E1466" s="13"/>
      <c r="F1466" s="14"/>
      <c r="G1466" s="15"/>
      <c r="H1466" s="15"/>
      <c r="I1466" s="15"/>
      <c r="J1466" s="12"/>
      <c r="K1466" s="16" t="str">
        <f aca="false">IF(A1466="","",G1466+H1466)</f>
        <v/>
      </c>
      <c r="L1466" s="16" t="str">
        <f aca="false">IF(A1466="","",IF(F1466="İade edildi",0,K1466-I1466))</f>
        <v/>
      </c>
      <c r="M1466" s="17" t="str">
        <f aca="true">IF(A1466="","",IF(J1466&lt;&gt;"",J1466-A1466,TODAY()-A1466))</f>
        <v/>
      </c>
      <c r="N1466" s="18" t="str">
        <f aca="false">IF(A1466="","",IF(AND(OR(F1466="Bekliyor",F1466="Parça bekleniyor",F1466="Hazır"),M1466&gt;7),"7 günü geçti",""))</f>
        <v/>
      </c>
      <c r="O1466" s="18" t="str">
        <f aca="false">IF(AND(A1466&lt;&gt;"",OR(F1466="Bekliyor",F1466="Parça bekleniyor",F1466="Hazır")),A1466+ROW()/1000000,"")</f>
        <v/>
      </c>
    </row>
    <row r="1467" customFormat="false" ht="15" hidden="false" customHeight="false" outlineLevel="0" collapsed="false">
      <c r="A1467" s="12"/>
      <c r="B1467" s="13"/>
      <c r="C1467" s="13"/>
      <c r="D1467" s="13"/>
      <c r="E1467" s="13"/>
      <c r="F1467" s="14"/>
      <c r="G1467" s="15"/>
      <c r="H1467" s="15"/>
      <c r="I1467" s="15"/>
      <c r="J1467" s="12"/>
      <c r="K1467" s="16" t="str">
        <f aca="false">IF(A1467="","",G1467+H1467)</f>
        <v/>
      </c>
      <c r="L1467" s="16" t="str">
        <f aca="false">IF(A1467="","",IF(F1467="İade edildi",0,K1467-I1467))</f>
        <v/>
      </c>
      <c r="M1467" s="17" t="str">
        <f aca="true">IF(A1467="","",IF(J1467&lt;&gt;"",J1467-A1467,TODAY()-A1467))</f>
        <v/>
      </c>
      <c r="N1467" s="18" t="str">
        <f aca="false">IF(A1467="","",IF(AND(OR(F1467="Bekliyor",F1467="Parça bekleniyor",F1467="Hazır"),M1467&gt;7),"7 günü geçti",""))</f>
        <v/>
      </c>
      <c r="O1467" s="18" t="str">
        <f aca="false">IF(AND(A1467&lt;&gt;"",OR(F1467="Bekliyor",F1467="Parça bekleniyor",F1467="Hazır")),A1467+ROW()/1000000,"")</f>
        <v/>
      </c>
    </row>
    <row r="1468" customFormat="false" ht="15" hidden="false" customHeight="false" outlineLevel="0" collapsed="false">
      <c r="A1468" s="12"/>
      <c r="B1468" s="13"/>
      <c r="C1468" s="13"/>
      <c r="D1468" s="13"/>
      <c r="E1468" s="13"/>
      <c r="F1468" s="14"/>
      <c r="G1468" s="15"/>
      <c r="H1468" s="15"/>
      <c r="I1468" s="15"/>
      <c r="J1468" s="12"/>
      <c r="K1468" s="16" t="str">
        <f aca="false">IF(A1468="","",G1468+H1468)</f>
        <v/>
      </c>
      <c r="L1468" s="16" t="str">
        <f aca="false">IF(A1468="","",IF(F1468="İade edildi",0,K1468-I1468))</f>
        <v/>
      </c>
      <c r="M1468" s="17" t="str">
        <f aca="true">IF(A1468="","",IF(J1468&lt;&gt;"",J1468-A1468,TODAY()-A1468))</f>
        <v/>
      </c>
      <c r="N1468" s="18" t="str">
        <f aca="false">IF(A1468="","",IF(AND(OR(F1468="Bekliyor",F1468="Parça bekleniyor",F1468="Hazır"),M1468&gt;7),"7 günü geçti",""))</f>
        <v/>
      </c>
      <c r="O1468" s="18" t="str">
        <f aca="false">IF(AND(A1468&lt;&gt;"",OR(F1468="Bekliyor",F1468="Parça bekleniyor",F1468="Hazır")),A1468+ROW()/1000000,"")</f>
        <v/>
      </c>
    </row>
    <row r="1469" customFormat="false" ht="15" hidden="false" customHeight="false" outlineLevel="0" collapsed="false">
      <c r="A1469" s="12"/>
      <c r="B1469" s="13"/>
      <c r="C1469" s="13"/>
      <c r="D1469" s="13"/>
      <c r="E1469" s="13"/>
      <c r="F1469" s="14"/>
      <c r="G1469" s="15"/>
      <c r="H1469" s="15"/>
      <c r="I1469" s="15"/>
      <c r="J1469" s="12"/>
      <c r="K1469" s="16" t="str">
        <f aca="false">IF(A1469="","",G1469+H1469)</f>
        <v/>
      </c>
      <c r="L1469" s="16" t="str">
        <f aca="false">IF(A1469="","",IF(F1469="İade edildi",0,K1469-I1469))</f>
        <v/>
      </c>
      <c r="M1469" s="17" t="str">
        <f aca="true">IF(A1469="","",IF(J1469&lt;&gt;"",J1469-A1469,TODAY()-A1469))</f>
        <v/>
      </c>
      <c r="N1469" s="18" t="str">
        <f aca="false">IF(A1469="","",IF(AND(OR(F1469="Bekliyor",F1469="Parça bekleniyor",F1469="Hazır"),M1469&gt;7),"7 günü geçti",""))</f>
        <v/>
      </c>
      <c r="O1469" s="18" t="str">
        <f aca="false">IF(AND(A1469&lt;&gt;"",OR(F1469="Bekliyor",F1469="Parça bekleniyor",F1469="Hazır")),A1469+ROW()/1000000,"")</f>
        <v/>
      </c>
    </row>
    <row r="1470" customFormat="false" ht="15" hidden="false" customHeight="false" outlineLevel="0" collapsed="false">
      <c r="A1470" s="12"/>
      <c r="B1470" s="13"/>
      <c r="C1470" s="13"/>
      <c r="D1470" s="13"/>
      <c r="E1470" s="13"/>
      <c r="F1470" s="14"/>
      <c r="G1470" s="15"/>
      <c r="H1470" s="15"/>
      <c r="I1470" s="15"/>
      <c r="J1470" s="12"/>
      <c r="K1470" s="16" t="str">
        <f aca="false">IF(A1470="","",G1470+H1470)</f>
        <v/>
      </c>
      <c r="L1470" s="16" t="str">
        <f aca="false">IF(A1470="","",IF(F1470="İade edildi",0,K1470-I1470))</f>
        <v/>
      </c>
      <c r="M1470" s="17" t="str">
        <f aca="true">IF(A1470="","",IF(J1470&lt;&gt;"",J1470-A1470,TODAY()-A1470))</f>
        <v/>
      </c>
      <c r="N1470" s="18" t="str">
        <f aca="false">IF(A1470="","",IF(AND(OR(F1470="Bekliyor",F1470="Parça bekleniyor",F1470="Hazır"),M1470&gt;7),"7 günü geçti",""))</f>
        <v/>
      </c>
      <c r="O1470" s="18" t="str">
        <f aca="false">IF(AND(A1470&lt;&gt;"",OR(F1470="Bekliyor",F1470="Parça bekleniyor",F1470="Hazır")),A1470+ROW()/1000000,"")</f>
        <v/>
      </c>
    </row>
    <row r="1471" customFormat="false" ht="15" hidden="false" customHeight="false" outlineLevel="0" collapsed="false">
      <c r="A1471" s="12"/>
      <c r="B1471" s="13"/>
      <c r="C1471" s="13"/>
      <c r="D1471" s="13"/>
      <c r="E1471" s="13"/>
      <c r="F1471" s="14"/>
      <c r="G1471" s="15"/>
      <c r="H1471" s="15"/>
      <c r="I1471" s="15"/>
      <c r="J1471" s="12"/>
      <c r="K1471" s="16" t="str">
        <f aca="false">IF(A1471="","",G1471+H1471)</f>
        <v/>
      </c>
      <c r="L1471" s="16" t="str">
        <f aca="false">IF(A1471="","",IF(F1471="İade edildi",0,K1471-I1471))</f>
        <v/>
      </c>
      <c r="M1471" s="17" t="str">
        <f aca="true">IF(A1471="","",IF(J1471&lt;&gt;"",J1471-A1471,TODAY()-A1471))</f>
        <v/>
      </c>
      <c r="N1471" s="18" t="str">
        <f aca="false">IF(A1471="","",IF(AND(OR(F1471="Bekliyor",F1471="Parça bekleniyor",F1471="Hazır"),M1471&gt;7),"7 günü geçti",""))</f>
        <v/>
      </c>
      <c r="O1471" s="18" t="str">
        <f aca="false">IF(AND(A1471&lt;&gt;"",OR(F1471="Bekliyor",F1471="Parça bekleniyor",F1471="Hazır")),A1471+ROW()/1000000,"")</f>
        <v/>
      </c>
    </row>
    <row r="1472" customFormat="false" ht="15" hidden="false" customHeight="false" outlineLevel="0" collapsed="false">
      <c r="A1472" s="12"/>
      <c r="B1472" s="13"/>
      <c r="C1472" s="13"/>
      <c r="D1472" s="13"/>
      <c r="E1472" s="13"/>
      <c r="F1472" s="14"/>
      <c r="G1472" s="15"/>
      <c r="H1472" s="15"/>
      <c r="I1472" s="15"/>
      <c r="J1472" s="12"/>
      <c r="K1472" s="16" t="str">
        <f aca="false">IF(A1472="","",G1472+H1472)</f>
        <v/>
      </c>
      <c r="L1472" s="16" t="str">
        <f aca="false">IF(A1472="","",IF(F1472="İade edildi",0,K1472-I1472))</f>
        <v/>
      </c>
      <c r="M1472" s="17" t="str">
        <f aca="true">IF(A1472="","",IF(J1472&lt;&gt;"",J1472-A1472,TODAY()-A1472))</f>
        <v/>
      </c>
      <c r="N1472" s="18" t="str">
        <f aca="false">IF(A1472="","",IF(AND(OR(F1472="Bekliyor",F1472="Parça bekleniyor",F1472="Hazır"),M1472&gt;7),"7 günü geçti",""))</f>
        <v/>
      </c>
      <c r="O1472" s="18" t="str">
        <f aca="false">IF(AND(A1472&lt;&gt;"",OR(F1472="Bekliyor",F1472="Parça bekleniyor",F1472="Hazır")),A1472+ROW()/1000000,"")</f>
        <v/>
      </c>
    </row>
    <row r="1473" customFormat="false" ht="15" hidden="false" customHeight="false" outlineLevel="0" collapsed="false">
      <c r="A1473" s="12"/>
      <c r="B1473" s="13"/>
      <c r="C1473" s="13"/>
      <c r="D1473" s="13"/>
      <c r="E1473" s="13"/>
      <c r="F1473" s="14"/>
      <c r="G1473" s="15"/>
      <c r="H1473" s="15"/>
      <c r="I1473" s="15"/>
      <c r="J1473" s="12"/>
      <c r="K1473" s="16" t="str">
        <f aca="false">IF(A1473="","",G1473+H1473)</f>
        <v/>
      </c>
      <c r="L1473" s="16" t="str">
        <f aca="false">IF(A1473="","",IF(F1473="İade edildi",0,K1473-I1473))</f>
        <v/>
      </c>
      <c r="M1473" s="17" t="str">
        <f aca="true">IF(A1473="","",IF(J1473&lt;&gt;"",J1473-A1473,TODAY()-A1473))</f>
        <v/>
      </c>
      <c r="N1473" s="18" t="str">
        <f aca="false">IF(A1473="","",IF(AND(OR(F1473="Bekliyor",F1473="Parça bekleniyor",F1473="Hazır"),M1473&gt;7),"7 günü geçti",""))</f>
        <v/>
      </c>
      <c r="O1473" s="18" t="str">
        <f aca="false">IF(AND(A1473&lt;&gt;"",OR(F1473="Bekliyor",F1473="Parça bekleniyor",F1473="Hazır")),A1473+ROW()/1000000,"")</f>
        <v/>
      </c>
    </row>
    <row r="1474" customFormat="false" ht="15" hidden="false" customHeight="false" outlineLevel="0" collapsed="false">
      <c r="A1474" s="12"/>
      <c r="B1474" s="13"/>
      <c r="C1474" s="13"/>
      <c r="D1474" s="13"/>
      <c r="E1474" s="13"/>
      <c r="F1474" s="14"/>
      <c r="G1474" s="15"/>
      <c r="H1474" s="15"/>
      <c r="I1474" s="15"/>
      <c r="J1474" s="12"/>
      <c r="K1474" s="16" t="str">
        <f aca="false">IF(A1474="","",G1474+H1474)</f>
        <v/>
      </c>
      <c r="L1474" s="16" t="str">
        <f aca="false">IF(A1474="","",IF(F1474="İade edildi",0,K1474-I1474))</f>
        <v/>
      </c>
      <c r="M1474" s="17" t="str">
        <f aca="true">IF(A1474="","",IF(J1474&lt;&gt;"",J1474-A1474,TODAY()-A1474))</f>
        <v/>
      </c>
      <c r="N1474" s="18" t="str">
        <f aca="false">IF(A1474="","",IF(AND(OR(F1474="Bekliyor",F1474="Parça bekleniyor",F1474="Hazır"),M1474&gt;7),"7 günü geçti",""))</f>
        <v/>
      </c>
      <c r="O1474" s="18" t="str">
        <f aca="false">IF(AND(A1474&lt;&gt;"",OR(F1474="Bekliyor",F1474="Parça bekleniyor",F1474="Hazır")),A1474+ROW()/1000000,"")</f>
        <v/>
      </c>
    </row>
    <row r="1475" customFormat="false" ht="15" hidden="false" customHeight="false" outlineLevel="0" collapsed="false">
      <c r="A1475" s="12"/>
      <c r="B1475" s="13"/>
      <c r="C1475" s="13"/>
      <c r="D1475" s="13"/>
      <c r="E1475" s="13"/>
      <c r="F1475" s="14"/>
      <c r="G1475" s="15"/>
      <c r="H1475" s="15"/>
      <c r="I1475" s="15"/>
      <c r="J1475" s="12"/>
      <c r="K1475" s="16" t="str">
        <f aca="false">IF(A1475="","",G1475+H1475)</f>
        <v/>
      </c>
      <c r="L1475" s="16" t="str">
        <f aca="false">IF(A1475="","",IF(F1475="İade edildi",0,K1475-I1475))</f>
        <v/>
      </c>
      <c r="M1475" s="17" t="str">
        <f aca="true">IF(A1475="","",IF(J1475&lt;&gt;"",J1475-A1475,TODAY()-A1475))</f>
        <v/>
      </c>
      <c r="N1475" s="18" t="str">
        <f aca="false">IF(A1475="","",IF(AND(OR(F1475="Bekliyor",F1475="Parça bekleniyor",F1475="Hazır"),M1475&gt;7),"7 günü geçti",""))</f>
        <v/>
      </c>
      <c r="O1475" s="18" t="str">
        <f aca="false">IF(AND(A1475&lt;&gt;"",OR(F1475="Bekliyor",F1475="Parça bekleniyor",F1475="Hazır")),A1475+ROW()/1000000,"")</f>
        <v/>
      </c>
    </row>
    <row r="1476" customFormat="false" ht="15" hidden="false" customHeight="false" outlineLevel="0" collapsed="false">
      <c r="A1476" s="12"/>
      <c r="B1476" s="13"/>
      <c r="C1476" s="13"/>
      <c r="D1476" s="13"/>
      <c r="E1476" s="13"/>
      <c r="F1476" s="14"/>
      <c r="G1476" s="15"/>
      <c r="H1476" s="15"/>
      <c r="I1476" s="15"/>
      <c r="J1476" s="12"/>
      <c r="K1476" s="16" t="str">
        <f aca="false">IF(A1476="","",G1476+H1476)</f>
        <v/>
      </c>
      <c r="L1476" s="16" t="str">
        <f aca="false">IF(A1476="","",IF(F1476="İade edildi",0,K1476-I1476))</f>
        <v/>
      </c>
      <c r="M1476" s="17" t="str">
        <f aca="true">IF(A1476="","",IF(J1476&lt;&gt;"",J1476-A1476,TODAY()-A1476))</f>
        <v/>
      </c>
      <c r="N1476" s="18" t="str">
        <f aca="false">IF(A1476="","",IF(AND(OR(F1476="Bekliyor",F1476="Parça bekleniyor",F1476="Hazır"),M1476&gt;7),"7 günü geçti",""))</f>
        <v/>
      </c>
      <c r="O1476" s="18" t="str">
        <f aca="false">IF(AND(A1476&lt;&gt;"",OR(F1476="Bekliyor",F1476="Parça bekleniyor",F1476="Hazır")),A1476+ROW()/1000000,"")</f>
        <v/>
      </c>
    </row>
    <row r="1477" customFormat="false" ht="15" hidden="false" customHeight="false" outlineLevel="0" collapsed="false">
      <c r="A1477" s="12"/>
      <c r="B1477" s="13"/>
      <c r="C1477" s="13"/>
      <c r="D1477" s="13"/>
      <c r="E1477" s="13"/>
      <c r="F1477" s="14"/>
      <c r="G1477" s="15"/>
      <c r="H1477" s="15"/>
      <c r="I1477" s="15"/>
      <c r="J1477" s="12"/>
      <c r="K1477" s="16" t="str">
        <f aca="false">IF(A1477="","",G1477+H1477)</f>
        <v/>
      </c>
      <c r="L1477" s="16" t="str">
        <f aca="false">IF(A1477="","",IF(F1477="İade edildi",0,K1477-I1477))</f>
        <v/>
      </c>
      <c r="M1477" s="17" t="str">
        <f aca="true">IF(A1477="","",IF(J1477&lt;&gt;"",J1477-A1477,TODAY()-A1477))</f>
        <v/>
      </c>
      <c r="N1477" s="18" t="str">
        <f aca="false">IF(A1477="","",IF(AND(OR(F1477="Bekliyor",F1477="Parça bekleniyor",F1477="Hazır"),M1477&gt;7),"7 günü geçti",""))</f>
        <v/>
      </c>
      <c r="O1477" s="18" t="str">
        <f aca="false">IF(AND(A1477&lt;&gt;"",OR(F1477="Bekliyor",F1477="Parça bekleniyor",F1477="Hazır")),A1477+ROW()/1000000,"")</f>
        <v/>
      </c>
    </row>
    <row r="1478" customFormat="false" ht="15" hidden="false" customHeight="false" outlineLevel="0" collapsed="false">
      <c r="A1478" s="12"/>
      <c r="B1478" s="13"/>
      <c r="C1478" s="13"/>
      <c r="D1478" s="13"/>
      <c r="E1478" s="13"/>
      <c r="F1478" s="14"/>
      <c r="G1478" s="15"/>
      <c r="H1478" s="15"/>
      <c r="I1478" s="15"/>
      <c r="J1478" s="12"/>
      <c r="K1478" s="16" t="str">
        <f aca="false">IF(A1478="","",G1478+H1478)</f>
        <v/>
      </c>
      <c r="L1478" s="16" t="str">
        <f aca="false">IF(A1478="","",IF(F1478="İade edildi",0,K1478-I1478))</f>
        <v/>
      </c>
      <c r="M1478" s="17" t="str">
        <f aca="true">IF(A1478="","",IF(J1478&lt;&gt;"",J1478-A1478,TODAY()-A1478))</f>
        <v/>
      </c>
      <c r="N1478" s="18" t="str">
        <f aca="false">IF(A1478="","",IF(AND(OR(F1478="Bekliyor",F1478="Parça bekleniyor",F1478="Hazır"),M1478&gt;7),"7 günü geçti",""))</f>
        <v/>
      </c>
      <c r="O1478" s="18" t="str">
        <f aca="false">IF(AND(A1478&lt;&gt;"",OR(F1478="Bekliyor",F1478="Parça bekleniyor",F1478="Hazır")),A1478+ROW()/1000000,"")</f>
        <v/>
      </c>
    </row>
    <row r="1479" customFormat="false" ht="15" hidden="false" customHeight="false" outlineLevel="0" collapsed="false">
      <c r="A1479" s="12"/>
      <c r="B1479" s="13"/>
      <c r="C1479" s="13"/>
      <c r="D1479" s="13"/>
      <c r="E1479" s="13"/>
      <c r="F1479" s="14"/>
      <c r="G1479" s="15"/>
      <c r="H1479" s="15"/>
      <c r="I1479" s="15"/>
      <c r="J1479" s="12"/>
      <c r="K1479" s="16" t="str">
        <f aca="false">IF(A1479="","",G1479+H1479)</f>
        <v/>
      </c>
      <c r="L1479" s="16" t="str">
        <f aca="false">IF(A1479="","",IF(F1479="İade edildi",0,K1479-I1479))</f>
        <v/>
      </c>
      <c r="M1479" s="17" t="str">
        <f aca="true">IF(A1479="","",IF(J1479&lt;&gt;"",J1479-A1479,TODAY()-A1479))</f>
        <v/>
      </c>
      <c r="N1479" s="18" t="str">
        <f aca="false">IF(A1479="","",IF(AND(OR(F1479="Bekliyor",F1479="Parça bekleniyor",F1479="Hazır"),M1479&gt;7),"7 günü geçti",""))</f>
        <v/>
      </c>
      <c r="O1479" s="18" t="str">
        <f aca="false">IF(AND(A1479&lt;&gt;"",OR(F1479="Bekliyor",F1479="Parça bekleniyor",F1479="Hazır")),A1479+ROW()/1000000,"")</f>
        <v/>
      </c>
    </row>
    <row r="1480" customFormat="false" ht="15" hidden="false" customHeight="false" outlineLevel="0" collapsed="false">
      <c r="A1480" s="12"/>
      <c r="B1480" s="13"/>
      <c r="C1480" s="13"/>
      <c r="D1480" s="13"/>
      <c r="E1480" s="13"/>
      <c r="F1480" s="14"/>
      <c r="G1480" s="15"/>
      <c r="H1480" s="15"/>
      <c r="I1480" s="15"/>
      <c r="J1480" s="12"/>
      <c r="K1480" s="16" t="str">
        <f aca="false">IF(A1480="","",G1480+H1480)</f>
        <v/>
      </c>
      <c r="L1480" s="16" t="str">
        <f aca="false">IF(A1480="","",IF(F1480="İade edildi",0,K1480-I1480))</f>
        <v/>
      </c>
      <c r="M1480" s="17" t="str">
        <f aca="true">IF(A1480="","",IF(J1480&lt;&gt;"",J1480-A1480,TODAY()-A1480))</f>
        <v/>
      </c>
      <c r="N1480" s="18" t="str">
        <f aca="false">IF(A1480="","",IF(AND(OR(F1480="Bekliyor",F1480="Parça bekleniyor",F1480="Hazır"),M1480&gt;7),"7 günü geçti",""))</f>
        <v/>
      </c>
      <c r="O1480" s="18" t="str">
        <f aca="false">IF(AND(A1480&lt;&gt;"",OR(F1480="Bekliyor",F1480="Parça bekleniyor",F1480="Hazır")),A1480+ROW()/1000000,"")</f>
        <v/>
      </c>
    </row>
    <row r="1481" customFormat="false" ht="15" hidden="false" customHeight="false" outlineLevel="0" collapsed="false">
      <c r="A1481" s="12"/>
      <c r="B1481" s="13"/>
      <c r="C1481" s="13"/>
      <c r="D1481" s="13"/>
      <c r="E1481" s="13"/>
      <c r="F1481" s="14"/>
      <c r="G1481" s="15"/>
      <c r="H1481" s="15"/>
      <c r="I1481" s="15"/>
      <c r="J1481" s="12"/>
      <c r="K1481" s="16" t="str">
        <f aca="false">IF(A1481="","",G1481+H1481)</f>
        <v/>
      </c>
      <c r="L1481" s="16" t="str">
        <f aca="false">IF(A1481="","",IF(F1481="İade edildi",0,K1481-I1481))</f>
        <v/>
      </c>
      <c r="M1481" s="17" t="str">
        <f aca="true">IF(A1481="","",IF(J1481&lt;&gt;"",J1481-A1481,TODAY()-A1481))</f>
        <v/>
      </c>
      <c r="N1481" s="18" t="str">
        <f aca="false">IF(A1481="","",IF(AND(OR(F1481="Bekliyor",F1481="Parça bekleniyor",F1481="Hazır"),M1481&gt;7),"7 günü geçti",""))</f>
        <v/>
      </c>
      <c r="O1481" s="18" t="str">
        <f aca="false">IF(AND(A1481&lt;&gt;"",OR(F1481="Bekliyor",F1481="Parça bekleniyor",F1481="Hazır")),A1481+ROW()/1000000,"")</f>
        <v/>
      </c>
    </row>
    <row r="1482" customFormat="false" ht="15" hidden="false" customHeight="false" outlineLevel="0" collapsed="false">
      <c r="A1482" s="12"/>
      <c r="B1482" s="13"/>
      <c r="C1482" s="13"/>
      <c r="D1482" s="13"/>
      <c r="E1482" s="13"/>
      <c r="F1482" s="14"/>
      <c r="G1482" s="15"/>
      <c r="H1482" s="15"/>
      <c r="I1482" s="15"/>
      <c r="J1482" s="12"/>
      <c r="K1482" s="16" t="str">
        <f aca="false">IF(A1482="","",G1482+H1482)</f>
        <v/>
      </c>
      <c r="L1482" s="16" t="str">
        <f aca="false">IF(A1482="","",IF(F1482="İade edildi",0,K1482-I1482))</f>
        <v/>
      </c>
      <c r="M1482" s="17" t="str">
        <f aca="true">IF(A1482="","",IF(J1482&lt;&gt;"",J1482-A1482,TODAY()-A1482))</f>
        <v/>
      </c>
      <c r="N1482" s="18" t="str">
        <f aca="false">IF(A1482="","",IF(AND(OR(F1482="Bekliyor",F1482="Parça bekleniyor",F1482="Hazır"),M1482&gt;7),"7 günü geçti",""))</f>
        <v/>
      </c>
      <c r="O1482" s="18" t="str">
        <f aca="false">IF(AND(A1482&lt;&gt;"",OR(F1482="Bekliyor",F1482="Parça bekleniyor",F1482="Hazır")),A1482+ROW()/1000000,"")</f>
        <v/>
      </c>
    </row>
    <row r="1483" customFormat="false" ht="15" hidden="false" customHeight="false" outlineLevel="0" collapsed="false">
      <c r="A1483" s="12"/>
      <c r="B1483" s="13"/>
      <c r="C1483" s="13"/>
      <c r="D1483" s="13"/>
      <c r="E1483" s="13"/>
      <c r="F1483" s="14"/>
      <c r="G1483" s="15"/>
      <c r="H1483" s="15"/>
      <c r="I1483" s="15"/>
      <c r="J1483" s="12"/>
      <c r="K1483" s="16" t="str">
        <f aca="false">IF(A1483="","",G1483+H1483)</f>
        <v/>
      </c>
      <c r="L1483" s="16" t="str">
        <f aca="false">IF(A1483="","",IF(F1483="İade edildi",0,K1483-I1483))</f>
        <v/>
      </c>
      <c r="M1483" s="17" t="str">
        <f aca="true">IF(A1483="","",IF(J1483&lt;&gt;"",J1483-A1483,TODAY()-A1483))</f>
        <v/>
      </c>
      <c r="N1483" s="18" t="str">
        <f aca="false">IF(A1483="","",IF(AND(OR(F1483="Bekliyor",F1483="Parça bekleniyor",F1483="Hazır"),M1483&gt;7),"7 günü geçti",""))</f>
        <v/>
      </c>
      <c r="O1483" s="18" t="str">
        <f aca="false">IF(AND(A1483&lt;&gt;"",OR(F1483="Bekliyor",F1483="Parça bekleniyor",F1483="Hazır")),A1483+ROW()/1000000,"")</f>
        <v/>
      </c>
    </row>
    <row r="1484" customFormat="false" ht="15" hidden="false" customHeight="false" outlineLevel="0" collapsed="false">
      <c r="A1484" s="12"/>
      <c r="B1484" s="13"/>
      <c r="C1484" s="13"/>
      <c r="D1484" s="13"/>
      <c r="E1484" s="13"/>
      <c r="F1484" s="14"/>
      <c r="G1484" s="15"/>
      <c r="H1484" s="15"/>
      <c r="I1484" s="15"/>
      <c r="J1484" s="12"/>
      <c r="K1484" s="16" t="str">
        <f aca="false">IF(A1484="","",G1484+H1484)</f>
        <v/>
      </c>
      <c r="L1484" s="16" t="str">
        <f aca="false">IF(A1484="","",IF(F1484="İade edildi",0,K1484-I1484))</f>
        <v/>
      </c>
      <c r="M1484" s="17" t="str">
        <f aca="true">IF(A1484="","",IF(J1484&lt;&gt;"",J1484-A1484,TODAY()-A1484))</f>
        <v/>
      </c>
      <c r="N1484" s="18" t="str">
        <f aca="false">IF(A1484="","",IF(AND(OR(F1484="Bekliyor",F1484="Parça bekleniyor",F1484="Hazır"),M1484&gt;7),"7 günü geçti",""))</f>
        <v/>
      </c>
      <c r="O1484" s="18" t="str">
        <f aca="false">IF(AND(A1484&lt;&gt;"",OR(F1484="Bekliyor",F1484="Parça bekleniyor",F1484="Hazır")),A1484+ROW()/1000000,"")</f>
        <v/>
      </c>
    </row>
    <row r="1485" customFormat="false" ht="15" hidden="false" customHeight="false" outlineLevel="0" collapsed="false">
      <c r="A1485" s="12"/>
      <c r="B1485" s="13"/>
      <c r="C1485" s="13"/>
      <c r="D1485" s="13"/>
      <c r="E1485" s="13"/>
      <c r="F1485" s="14"/>
      <c r="G1485" s="15"/>
      <c r="H1485" s="15"/>
      <c r="I1485" s="15"/>
      <c r="J1485" s="12"/>
      <c r="K1485" s="16" t="str">
        <f aca="false">IF(A1485="","",G1485+H1485)</f>
        <v/>
      </c>
      <c r="L1485" s="16" t="str">
        <f aca="false">IF(A1485="","",IF(F1485="İade edildi",0,K1485-I1485))</f>
        <v/>
      </c>
      <c r="M1485" s="17" t="str">
        <f aca="true">IF(A1485="","",IF(J1485&lt;&gt;"",J1485-A1485,TODAY()-A1485))</f>
        <v/>
      </c>
      <c r="N1485" s="18" t="str">
        <f aca="false">IF(A1485="","",IF(AND(OR(F1485="Bekliyor",F1485="Parça bekleniyor",F1485="Hazır"),M1485&gt;7),"7 günü geçti",""))</f>
        <v/>
      </c>
      <c r="O1485" s="18" t="str">
        <f aca="false">IF(AND(A1485&lt;&gt;"",OR(F1485="Bekliyor",F1485="Parça bekleniyor",F1485="Hazır")),A1485+ROW()/1000000,"")</f>
        <v/>
      </c>
    </row>
    <row r="1486" customFormat="false" ht="15" hidden="false" customHeight="false" outlineLevel="0" collapsed="false">
      <c r="A1486" s="12"/>
      <c r="B1486" s="13"/>
      <c r="C1486" s="13"/>
      <c r="D1486" s="13"/>
      <c r="E1486" s="13"/>
      <c r="F1486" s="14"/>
      <c r="G1486" s="15"/>
      <c r="H1486" s="15"/>
      <c r="I1486" s="15"/>
      <c r="J1486" s="12"/>
      <c r="K1486" s="16" t="str">
        <f aca="false">IF(A1486="","",G1486+H1486)</f>
        <v/>
      </c>
      <c r="L1486" s="16" t="str">
        <f aca="false">IF(A1486="","",IF(F1486="İade edildi",0,K1486-I1486))</f>
        <v/>
      </c>
      <c r="M1486" s="17" t="str">
        <f aca="true">IF(A1486="","",IF(J1486&lt;&gt;"",J1486-A1486,TODAY()-A1486))</f>
        <v/>
      </c>
      <c r="N1486" s="18" t="str">
        <f aca="false">IF(A1486="","",IF(AND(OR(F1486="Bekliyor",F1486="Parça bekleniyor",F1486="Hazır"),M1486&gt;7),"7 günü geçti",""))</f>
        <v/>
      </c>
      <c r="O1486" s="18" t="str">
        <f aca="false">IF(AND(A1486&lt;&gt;"",OR(F1486="Bekliyor",F1486="Parça bekleniyor",F1486="Hazır")),A1486+ROW()/1000000,"")</f>
        <v/>
      </c>
    </row>
    <row r="1487" customFormat="false" ht="15" hidden="false" customHeight="false" outlineLevel="0" collapsed="false">
      <c r="A1487" s="12"/>
      <c r="B1487" s="13"/>
      <c r="C1487" s="13"/>
      <c r="D1487" s="13"/>
      <c r="E1487" s="13"/>
      <c r="F1487" s="14"/>
      <c r="G1487" s="15"/>
      <c r="H1487" s="15"/>
      <c r="I1487" s="15"/>
      <c r="J1487" s="12"/>
      <c r="K1487" s="16" t="str">
        <f aca="false">IF(A1487="","",G1487+H1487)</f>
        <v/>
      </c>
      <c r="L1487" s="16" t="str">
        <f aca="false">IF(A1487="","",IF(F1487="İade edildi",0,K1487-I1487))</f>
        <v/>
      </c>
      <c r="M1487" s="17" t="str">
        <f aca="true">IF(A1487="","",IF(J1487&lt;&gt;"",J1487-A1487,TODAY()-A1487))</f>
        <v/>
      </c>
      <c r="N1487" s="18" t="str">
        <f aca="false">IF(A1487="","",IF(AND(OR(F1487="Bekliyor",F1487="Parça bekleniyor",F1487="Hazır"),M1487&gt;7),"7 günü geçti",""))</f>
        <v/>
      </c>
      <c r="O1487" s="18" t="str">
        <f aca="false">IF(AND(A1487&lt;&gt;"",OR(F1487="Bekliyor",F1487="Parça bekleniyor",F1487="Hazır")),A1487+ROW()/1000000,"")</f>
        <v/>
      </c>
    </row>
    <row r="1488" customFormat="false" ht="15" hidden="false" customHeight="false" outlineLevel="0" collapsed="false">
      <c r="A1488" s="12"/>
      <c r="B1488" s="13"/>
      <c r="C1488" s="13"/>
      <c r="D1488" s="13"/>
      <c r="E1488" s="13"/>
      <c r="F1488" s="14"/>
      <c r="G1488" s="15"/>
      <c r="H1488" s="15"/>
      <c r="I1488" s="15"/>
      <c r="J1488" s="12"/>
      <c r="K1488" s="16" t="str">
        <f aca="false">IF(A1488="","",G1488+H1488)</f>
        <v/>
      </c>
      <c r="L1488" s="16" t="str">
        <f aca="false">IF(A1488="","",IF(F1488="İade edildi",0,K1488-I1488))</f>
        <v/>
      </c>
      <c r="M1488" s="17" t="str">
        <f aca="true">IF(A1488="","",IF(J1488&lt;&gt;"",J1488-A1488,TODAY()-A1488))</f>
        <v/>
      </c>
      <c r="N1488" s="18" t="str">
        <f aca="false">IF(A1488="","",IF(AND(OR(F1488="Bekliyor",F1488="Parça bekleniyor",F1488="Hazır"),M1488&gt;7),"7 günü geçti",""))</f>
        <v/>
      </c>
      <c r="O1488" s="18" t="str">
        <f aca="false">IF(AND(A1488&lt;&gt;"",OR(F1488="Bekliyor",F1488="Parça bekleniyor",F1488="Hazır")),A1488+ROW()/1000000,"")</f>
        <v/>
      </c>
    </row>
    <row r="1489" customFormat="false" ht="15" hidden="false" customHeight="false" outlineLevel="0" collapsed="false">
      <c r="A1489" s="12"/>
      <c r="B1489" s="13"/>
      <c r="C1489" s="13"/>
      <c r="D1489" s="13"/>
      <c r="E1489" s="13"/>
      <c r="F1489" s="14"/>
      <c r="G1489" s="15"/>
      <c r="H1489" s="15"/>
      <c r="I1489" s="15"/>
      <c r="J1489" s="12"/>
      <c r="K1489" s="16" t="str">
        <f aca="false">IF(A1489="","",G1489+H1489)</f>
        <v/>
      </c>
      <c r="L1489" s="16" t="str">
        <f aca="false">IF(A1489="","",IF(F1489="İade edildi",0,K1489-I1489))</f>
        <v/>
      </c>
      <c r="M1489" s="17" t="str">
        <f aca="true">IF(A1489="","",IF(J1489&lt;&gt;"",J1489-A1489,TODAY()-A1489))</f>
        <v/>
      </c>
      <c r="N1489" s="18" t="str">
        <f aca="false">IF(A1489="","",IF(AND(OR(F1489="Bekliyor",F1489="Parça bekleniyor",F1489="Hazır"),M1489&gt;7),"7 günü geçti",""))</f>
        <v/>
      </c>
      <c r="O1489" s="18" t="str">
        <f aca="false">IF(AND(A1489&lt;&gt;"",OR(F1489="Bekliyor",F1489="Parça bekleniyor",F1489="Hazır")),A1489+ROW()/1000000,"")</f>
        <v/>
      </c>
    </row>
    <row r="1490" customFormat="false" ht="15" hidden="false" customHeight="false" outlineLevel="0" collapsed="false">
      <c r="A1490" s="12"/>
      <c r="B1490" s="13"/>
      <c r="C1490" s="13"/>
      <c r="D1490" s="13"/>
      <c r="E1490" s="13"/>
      <c r="F1490" s="14"/>
      <c r="G1490" s="15"/>
      <c r="H1490" s="15"/>
      <c r="I1490" s="15"/>
      <c r="J1490" s="12"/>
      <c r="K1490" s="16" t="str">
        <f aca="false">IF(A1490="","",G1490+H1490)</f>
        <v/>
      </c>
      <c r="L1490" s="16" t="str">
        <f aca="false">IF(A1490="","",IF(F1490="İade edildi",0,K1490-I1490))</f>
        <v/>
      </c>
      <c r="M1490" s="17" t="str">
        <f aca="true">IF(A1490="","",IF(J1490&lt;&gt;"",J1490-A1490,TODAY()-A1490))</f>
        <v/>
      </c>
      <c r="N1490" s="18" t="str">
        <f aca="false">IF(A1490="","",IF(AND(OR(F1490="Bekliyor",F1490="Parça bekleniyor",F1490="Hazır"),M1490&gt;7),"7 günü geçti",""))</f>
        <v/>
      </c>
      <c r="O1490" s="18" t="str">
        <f aca="false">IF(AND(A1490&lt;&gt;"",OR(F1490="Bekliyor",F1490="Parça bekleniyor",F1490="Hazır")),A1490+ROW()/1000000,"")</f>
        <v/>
      </c>
    </row>
    <row r="1491" customFormat="false" ht="15" hidden="false" customHeight="false" outlineLevel="0" collapsed="false">
      <c r="A1491" s="12"/>
      <c r="B1491" s="13"/>
      <c r="C1491" s="13"/>
      <c r="D1491" s="13"/>
      <c r="E1491" s="13"/>
      <c r="F1491" s="14"/>
      <c r="G1491" s="15"/>
      <c r="H1491" s="15"/>
      <c r="I1491" s="15"/>
      <c r="J1491" s="12"/>
      <c r="K1491" s="16" t="str">
        <f aca="false">IF(A1491="","",G1491+H1491)</f>
        <v/>
      </c>
      <c r="L1491" s="16" t="str">
        <f aca="false">IF(A1491="","",IF(F1491="İade edildi",0,K1491-I1491))</f>
        <v/>
      </c>
      <c r="M1491" s="17" t="str">
        <f aca="true">IF(A1491="","",IF(J1491&lt;&gt;"",J1491-A1491,TODAY()-A1491))</f>
        <v/>
      </c>
      <c r="N1491" s="18" t="str">
        <f aca="false">IF(A1491="","",IF(AND(OR(F1491="Bekliyor",F1491="Parça bekleniyor",F1491="Hazır"),M1491&gt;7),"7 günü geçti",""))</f>
        <v/>
      </c>
      <c r="O1491" s="18" t="str">
        <f aca="false">IF(AND(A1491&lt;&gt;"",OR(F1491="Bekliyor",F1491="Parça bekleniyor",F1491="Hazır")),A1491+ROW()/1000000,"")</f>
        <v/>
      </c>
    </row>
    <row r="1492" customFormat="false" ht="15" hidden="false" customHeight="false" outlineLevel="0" collapsed="false">
      <c r="A1492" s="12"/>
      <c r="B1492" s="13"/>
      <c r="C1492" s="13"/>
      <c r="D1492" s="13"/>
      <c r="E1492" s="13"/>
      <c r="F1492" s="14"/>
      <c r="G1492" s="15"/>
      <c r="H1492" s="15"/>
      <c r="I1492" s="15"/>
      <c r="J1492" s="12"/>
      <c r="K1492" s="16" t="str">
        <f aca="false">IF(A1492="","",G1492+H1492)</f>
        <v/>
      </c>
      <c r="L1492" s="16" t="str">
        <f aca="false">IF(A1492="","",IF(F1492="İade edildi",0,K1492-I1492))</f>
        <v/>
      </c>
      <c r="M1492" s="17" t="str">
        <f aca="true">IF(A1492="","",IF(J1492&lt;&gt;"",J1492-A1492,TODAY()-A1492))</f>
        <v/>
      </c>
      <c r="N1492" s="18" t="str">
        <f aca="false">IF(A1492="","",IF(AND(OR(F1492="Bekliyor",F1492="Parça bekleniyor",F1492="Hazır"),M1492&gt;7),"7 günü geçti",""))</f>
        <v/>
      </c>
      <c r="O1492" s="18" t="str">
        <f aca="false">IF(AND(A1492&lt;&gt;"",OR(F1492="Bekliyor",F1492="Parça bekleniyor",F1492="Hazır")),A1492+ROW()/1000000,"")</f>
        <v/>
      </c>
    </row>
    <row r="1493" customFormat="false" ht="15" hidden="false" customHeight="false" outlineLevel="0" collapsed="false">
      <c r="A1493" s="12"/>
      <c r="B1493" s="13"/>
      <c r="C1493" s="13"/>
      <c r="D1493" s="13"/>
      <c r="E1493" s="13"/>
      <c r="F1493" s="14"/>
      <c r="G1493" s="15"/>
      <c r="H1493" s="15"/>
      <c r="I1493" s="15"/>
      <c r="J1493" s="12"/>
      <c r="K1493" s="16" t="str">
        <f aca="false">IF(A1493="","",G1493+H1493)</f>
        <v/>
      </c>
      <c r="L1493" s="16" t="str">
        <f aca="false">IF(A1493="","",IF(F1493="İade edildi",0,K1493-I1493))</f>
        <v/>
      </c>
      <c r="M1493" s="17" t="str">
        <f aca="true">IF(A1493="","",IF(J1493&lt;&gt;"",J1493-A1493,TODAY()-A1493))</f>
        <v/>
      </c>
      <c r="N1493" s="18" t="str">
        <f aca="false">IF(A1493="","",IF(AND(OR(F1493="Bekliyor",F1493="Parça bekleniyor",F1493="Hazır"),M1493&gt;7),"7 günü geçti",""))</f>
        <v/>
      </c>
      <c r="O1493" s="18" t="str">
        <f aca="false">IF(AND(A1493&lt;&gt;"",OR(F1493="Bekliyor",F1493="Parça bekleniyor",F1493="Hazır")),A1493+ROW()/1000000,"")</f>
        <v/>
      </c>
    </row>
    <row r="1494" customFormat="false" ht="15" hidden="false" customHeight="false" outlineLevel="0" collapsed="false">
      <c r="A1494" s="12"/>
      <c r="B1494" s="13"/>
      <c r="C1494" s="13"/>
      <c r="D1494" s="13"/>
      <c r="E1494" s="13"/>
      <c r="F1494" s="14"/>
      <c r="G1494" s="15"/>
      <c r="H1494" s="15"/>
      <c r="I1494" s="15"/>
      <c r="J1494" s="12"/>
      <c r="K1494" s="16" t="str">
        <f aca="false">IF(A1494="","",G1494+H1494)</f>
        <v/>
      </c>
      <c r="L1494" s="16" t="str">
        <f aca="false">IF(A1494="","",IF(F1494="İade edildi",0,K1494-I1494))</f>
        <v/>
      </c>
      <c r="M1494" s="17" t="str">
        <f aca="true">IF(A1494="","",IF(J1494&lt;&gt;"",J1494-A1494,TODAY()-A1494))</f>
        <v/>
      </c>
      <c r="N1494" s="18" t="str">
        <f aca="false">IF(A1494="","",IF(AND(OR(F1494="Bekliyor",F1494="Parça bekleniyor",F1494="Hazır"),M1494&gt;7),"7 günü geçti",""))</f>
        <v/>
      </c>
      <c r="O1494" s="18" t="str">
        <f aca="false">IF(AND(A1494&lt;&gt;"",OR(F1494="Bekliyor",F1494="Parça bekleniyor",F1494="Hazır")),A1494+ROW()/1000000,"")</f>
        <v/>
      </c>
    </row>
    <row r="1495" customFormat="false" ht="15" hidden="false" customHeight="false" outlineLevel="0" collapsed="false">
      <c r="A1495" s="12"/>
      <c r="B1495" s="13"/>
      <c r="C1495" s="13"/>
      <c r="D1495" s="13"/>
      <c r="E1495" s="13"/>
      <c r="F1495" s="14"/>
      <c r="G1495" s="15"/>
      <c r="H1495" s="15"/>
      <c r="I1495" s="15"/>
      <c r="J1495" s="12"/>
      <c r="K1495" s="16" t="str">
        <f aca="false">IF(A1495="","",G1495+H1495)</f>
        <v/>
      </c>
      <c r="L1495" s="16" t="str">
        <f aca="false">IF(A1495="","",IF(F1495="İade edildi",0,K1495-I1495))</f>
        <v/>
      </c>
      <c r="M1495" s="17" t="str">
        <f aca="true">IF(A1495="","",IF(J1495&lt;&gt;"",J1495-A1495,TODAY()-A1495))</f>
        <v/>
      </c>
      <c r="N1495" s="18" t="str">
        <f aca="false">IF(A1495="","",IF(AND(OR(F1495="Bekliyor",F1495="Parça bekleniyor",F1495="Hazır"),M1495&gt;7),"7 günü geçti",""))</f>
        <v/>
      </c>
      <c r="O1495" s="18" t="str">
        <f aca="false">IF(AND(A1495&lt;&gt;"",OR(F1495="Bekliyor",F1495="Parça bekleniyor",F1495="Hazır")),A1495+ROW()/1000000,"")</f>
        <v/>
      </c>
    </row>
    <row r="1496" customFormat="false" ht="15" hidden="false" customHeight="false" outlineLevel="0" collapsed="false">
      <c r="A1496" s="12"/>
      <c r="B1496" s="13"/>
      <c r="C1496" s="13"/>
      <c r="D1496" s="13"/>
      <c r="E1496" s="13"/>
      <c r="F1496" s="14"/>
      <c r="G1496" s="15"/>
      <c r="H1496" s="15"/>
      <c r="I1496" s="15"/>
      <c r="J1496" s="12"/>
      <c r="K1496" s="16" t="str">
        <f aca="false">IF(A1496="","",G1496+H1496)</f>
        <v/>
      </c>
      <c r="L1496" s="16" t="str">
        <f aca="false">IF(A1496="","",IF(F1496="İade edildi",0,K1496-I1496))</f>
        <v/>
      </c>
      <c r="M1496" s="17" t="str">
        <f aca="true">IF(A1496="","",IF(J1496&lt;&gt;"",J1496-A1496,TODAY()-A1496))</f>
        <v/>
      </c>
      <c r="N1496" s="18" t="str">
        <f aca="false">IF(A1496="","",IF(AND(OR(F1496="Bekliyor",F1496="Parça bekleniyor",F1496="Hazır"),M1496&gt;7),"7 günü geçti",""))</f>
        <v/>
      </c>
      <c r="O1496" s="18" t="str">
        <f aca="false">IF(AND(A1496&lt;&gt;"",OR(F1496="Bekliyor",F1496="Parça bekleniyor",F1496="Hazır")),A1496+ROW()/1000000,"")</f>
        <v/>
      </c>
    </row>
    <row r="1497" customFormat="false" ht="15" hidden="false" customHeight="false" outlineLevel="0" collapsed="false">
      <c r="A1497" s="12"/>
      <c r="B1497" s="13"/>
      <c r="C1497" s="13"/>
      <c r="D1497" s="13"/>
      <c r="E1497" s="13"/>
      <c r="F1497" s="14"/>
      <c r="G1497" s="15"/>
      <c r="H1497" s="15"/>
      <c r="I1497" s="15"/>
      <c r="J1497" s="12"/>
      <c r="K1497" s="16" t="str">
        <f aca="false">IF(A1497="","",G1497+H1497)</f>
        <v/>
      </c>
      <c r="L1497" s="16" t="str">
        <f aca="false">IF(A1497="","",IF(F1497="İade edildi",0,K1497-I1497))</f>
        <v/>
      </c>
      <c r="M1497" s="17" t="str">
        <f aca="true">IF(A1497="","",IF(J1497&lt;&gt;"",J1497-A1497,TODAY()-A1497))</f>
        <v/>
      </c>
      <c r="N1497" s="18" t="str">
        <f aca="false">IF(A1497="","",IF(AND(OR(F1497="Bekliyor",F1497="Parça bekleniyor",F1497="Hazır"),M1497&gt;7),"7 günü geçti",""))</f>
        <v/>
      </c>
      <c r="O1497" s="18" t="str">
        <f aca="false">IF(AND(A1497&lt;&gt;"",OR(F1497="Bekliyor",F1497="Parça bekleniyor",F1497="Hazır")),A1497+ROW()/1000000,"")</f>
        <v/>
      </c>
    </row>
    <row r="1498" customFormat="false" ht="15" hidden="false" customHeight="false" outlineLevel="0" collapsed="false">
      <c r="A1498" s="12"/>
      <c r="B1498" s="13"/>
      <c r="C1498" s="13"/>
      <c r="D1498" s="13"/>
      <c r="E1498" s="13"/>
      <c r="F1498" s="14"/>
      <c r="G1498" s="15"/>
      <c r="H1498" s="15"/>
      <c r="I1498" s="15"/>
      <c r="J1498" s="12"/>
      <c r="K1498" s="16" t="str">
        <f aca="false">IF(A1498="","",G1498+H1498)</f>
        <v/>
      </c>
      <c r="L1498" s="16" t="str">
        <f aca="false">IF(A1498="","",IF(F1498="İade edildi",0,K1498-I1498))</f>
        <v/>
      </c>
      <c r="M1498" s="17" t="str">
        <f aca="true">IF(A1498="","",IF(J1498&lt;&gt;"",J1498-A1498,TODAY()-A1498))</f>
        <v/>
      </c>
      <c r="N1498" s="18" t="str">
        <f aca="false">IF(A1498="","",IF(AND(OR(F1498="Bekliyor",F1498="Parça bekleniyor",F1498="Hazır"),M1498&gt;7),"7 günü geçti",""))</f>
        <v/>
      </c>
      <c r="O1498" s="18" t="str">
        <f aca="false">IF(AND(A1498&lt;&gt;"",OR(F1498="Bekliyor",F1498="Parça bekleniyor",F1498="Hazır")),A1498+ROW()/1000000,"")</f>
        <v/>
      </c>
    </row>
    <row r="1499" customFormat="false" ht="15" hidden="false" customHeight="false" outlineLevel="0" collapsed="false">
      <c r="A1499" s="12"/>
      <c r="B1499" s="13"/>
      <c r="C1499" s="13"/>
      <c r="D1499" s="13"/>
      <c r="E1499" s="13"/>
      <c r="F1499" s="14"/>
      <c r="G1499" s="15"/>
      <c r="H1499" s="15"/>
      <c r="I1499" s="15"/>
      <c r="J1499" s="12"/>
      <c r="K1499" s="16" t="str">
        <f aca="false">IF(A1499="","",G1499+H1499)</f>
        <v/>
      </c>
      <c r="L1499" s="16" t="str">
        <f aca="false">IF(A1499="","",IF(F1499="İade edildi",0,K1499-I1499))</f>
        <v/>
      </c>
      <c r="M1499" s="17" t="str">
        <f aca="true">IF(A1499="","",IF(J1499&lt;&gt;"",J1499-A1499,TODAY()-A1499))</f>
        <v/>
      </c>
      <c r="N1499" s="18" t="str">
        <f aca="false">IF(A1499="","",IF(AND(OR(F1499="Bekliyor",F1499="Parça bekleniyor",F1499="Hazır"),M1499&gt;7),"7 günü geçti",""))</f>
        <v/>
      </c>
      <c r="O1499" s="18" t="str">
        <f aca="false">IF(AND(A1499&lt;&gt;"",OR(F1499="Bekliyor",F1499="Parça bekleniyor",F1499="Hazır")),A1499+ROW()/1000000,"")</f>
        <v/>
      </c>
    </row>
    <row r="1500" customFormat="false" ht="15" hidden="false" customHeight="false" outlineLevel="0" collapsed="false">
      <c r="A1500" s="12"/>
      <c r="B1500" s="13"/>
      <c r="C1500" s="13"/>
      <c r="D1500" s="13"/>
      <c r="E1500" s="13"/>
      <c r="F1500" s="14"/>
      <c r="G1500" s="15"/>
      <c r="H1500" s="15"/>
      <c r="I1500" s="15"/>
      <c r="J1500" s="12"/>
      <c r="K1500" s="16" t="str">
        <f aca="false">IF(A1500="","",G1500+H1500)</f>
        <v/>
      </c>
      <c r="L1500" s="16" t="str">
        <f aca="false">IF(A1500="","",IF(F1500="İade edildi",0,K1500-I1500))</f>
        <v/>
      </c>
      <c r="M1500" s="17" t="str">
        <f aca="true">IF(A1500="","",IF(J1500&lt;&gt;"",J1500-A1500,TODAY()-A1500))</f>
        <v/>
      </c>
      <c r="N1500" s="18" t="str">
        <f aca="false">IF(A1500="","",IF(AND(OR(F1500="Bekliyor",F1500="Parça bekleniyor",F1500="Hazır"),M1500&gt;7),"7 günü geçti",""))</f>
        <v/>
      </c>
      <c r="O1500" s="18" t="str">
        <f aca="false">IF(AND(A1500&lt;&gt;"",OR(F1500="Bekliyor",F1500="Parça bekleniyor",F1500="Hazır")),A1500+ROW()/1000000,"")</f>
        <v/>
      </c>
    </row>
    <row r="1501" customFormat="false" ht="15" hidden="false" customHeight="false" outlineLevel="0" collapsed="false">
      <c r="A1501" s="12"/>
      <c r="B1501" s="13"/>
      <c r="C1501" s="13"/>
      <c r="D1501" s="13"/>
      <c r="E1501" s="13"/>
      <c r="F1501" s="14"/>
      <c r="G1501" s="15"/>
      <c r="H1501" s="15"/>
      <c r="I1501" s="15"/>
      <c r="J1501" s="12"/>
      <c r="K1501" s="16" t="str">
        <f aca="false">IF(A1501="","",G1501+H1501)</f>
        <v/>
      </c>
      <c r="L1501" s="16" t="str">
        <f aca="false">IF(A1501="","",IF(F1501="İade edildi",0,K1501-I1501))</f>
        <v/>
      </c>
      <c r="M1501" s="17" t="str">
        <f aca="true">IF(A1501="","",IF(J1501&lt;&gt;"",J1501-A1501,TODAY()-A1501))</f>
        <v/>
      </c>
      <c r="N1501" s="18" t="str">
        <f aca="false">IF(A1501="","",IF(AND(OR(F1501="Bekliyor",F1501="Parça bekleniyor",F1501="Hazır"),M1501&gt;7),"7 günü geçti",""))</f>
        <v/>
      </c>
      <c r="O1501" s="18" t="str">
        <f aca="false">IF(AND(A1501&lt;&gt;"",OR(F1501="Bekliyor",F1501="Parça bekleniyor",F1501="Hazır")),A1501+ROW()/1000000,"")</f>
        <v/>
      </c>
    </row>
    <row r="1502" customFormat="false" ht="15" hidden="false" customHeight="false" outlineLevel="0" collapsed="false">
      <c r="A1502" s="12"/>
      <c r="B1502" s="13"/>
      <c r="C1502" s="13"/>
      <c r="D1502" s="13"/>
      <c r="E1502" s="13"/>
      <c r="F1502" s="14"/>
      <c r="G1502" s="15"/>
      <c r="H1502" s="15"/>
      <c r="I1502" s="15"/>
      <c r="J1502" s="12"/>
      <c r="K1502" s="16" t="str">
        <f aca="false">IF(A1502="","",G1502+H1502)</f>
        <v/>
      </c>
      <c r="L1502" s="16" t="str">
        <f aca="false">IF(A1502="","",IF(F1502="İade edildi",0,K1502-I1502))</f>
        <v/>
      </c>
      <c r="M1502" s="17" t="str">
        <f aca="true">IF(A1502="","",IF(J1502&lt;&gt;"",J1502-A1502,TODAY()-A1502))</f>
        <v/>
      </c>
      <c r="N1502" s="18" t="str">
        <f aca="false">IF(A1502="","",IF(AND(OR(F1502="Bekliyor",F1502="Parça bekleniyor",F1502="Hazır"),M1502&gt;7),"7 günü geçti",""))</f>
        <v/>
      </c>
      <c r="O1502" s="18" t="str">
        <f aca="false">IF(AND(A1502&lt;&gt;"",OR(F1502="Bekliyor",F1502="Parça bekleniyor",F1502="Hazır")),A1502+ROW()/1000000,"")</f>
        <v/>
      </c>
    </row>
    <row r="1503" customFormat="false" ht="15" hidden="false" customHeight="false" outlineLevel="0" collapsed="false">
      <c r="A1503" s="12"/>
      <c r="B1503" s="13"/>
      <c r="C1503" s="13"/>
      <c r="D1503" s="13"/>
      <c r="E1503" s="13"/>
      <c r="F1503" s="14"/>
      <c r="G1503" s="15"/>
      <c r="H1503" s="15"/>
      <c r="I1503" s="15"/>
      <c r="J1503" s="12"/>
      <c r="K1503" s="16" t="str">
        <f aca="false">IF(A1503="","",G1503+H1503)</f>
        <v/>
      </c>
      <c r="L1503" s="16" t="str">
        <f aca="false">IF(A1503="","",IF(F1503="İade edildi",0,K1503-I1503))</f>
        <v/>
      </c>
      <c r="M1503" s="17" t="str">
        <f aca="true">IF(A1503="","",IF(J1503&lt;&gt;"",J1503-A1503,TODAY()-A1503))</f>
        <v/>
      </c>
      <c r="N1503" s="18" t="str">
        <f aca="false">IF(A1503="","",IF(AND(OR(F1503="Bekliyor",F1503="Parça bekleniyor",F1503="Hazır"),M1503&gt;7),"7 günü geçti",""))</f>
        <v/>
      </c>
      <c r="O1503" s="18" t="str">
        <f aca="false">IF(AND(A1503&lt;&gt;"",OR(F1503="Bekliyor",F1503="Parça bekleniyor",F1503="Hazır")),A1503+ROW()/1000000,"")</f>
        <v/>
      </c>
    </row>
    <row r="1504" customFormat="false" ht="15" hidden="false" customHeight="false" outlineLevel="0" collapsed="false">
      <c r="A1504" s="12"/>
      <c r="B1504" s="13"/>
      <c r="C1504" s="13"/>
      <c r="D1504" s="13"/>
      <c r="E1504" s="13"/>
      <c r="F1504" s="14"/>
      <c r="G1504" s="15"/>
      <c r="H1504" s="15"/>
      <c r="I1504" s="15"/>
      <c r="J1504" s="12"/>
      <c r="K1504" s="16" t="str">
        <f aca="false">IF(A1504="","",G1504+H1504)</f>
        <v/>
      </c>
      <c r="L1504" s="16" t="str">
        <f aca="false">IF(A1504="","",IF(F1504="İade edildi",0,K1504-I1504))</f>
        <v/>
      </c>
      <c r="M1504" s="17" t="str">
        <f aca="true">IF(A1504="","",IF(J1504&lt;&gt;"",J1504-A1504,TODAY()-A1504))</f>
        <v/>
      </c>
      <c r="N1504" s="18" t="str">
        <f aca="false">IF(A1504="","",IF(AND(OR(F1504="Bekliyor",F1504="Parça bekleniyor",F1504="Hazır"),M1504&gt;7),"7 günü geçti",""))</f>
        <v/>
      </c>
      <c r="O1504" s="18" t="str">
        <f aca="false">IF(AND(A1504&lt;&gt;"",OR(F1504="Bekliyor",F1504="Parça bekleniyor",F1504="Hazır")),A1504+ROW()/1000000,"")</f>
        <v/>
      </c>
    </row>
  </sheetData>
  <conditionalFormatting sqref="N5:N1504">
    <cfRule type="cellIs" priority="2" operator="equal" aboveAverage="0" equalAverage="0" bottom="0" percent="0" rank="0" text="" dxfId="0">
      <formula>"7 günü geçti"</formula>
    </cfRule>
  </conditionalFormatting>
  <conditionalFormatting sqref="F5:F1504">
    <cfRule type="cellIs" priority="3" operator="equal" aboveAverage="0" equalAverage="0" bottom="0" percent="0" rank="0" text="" dxfId="1">
      <formula>"Hazır"</formula>
    </cfRule>
  </conditionalFormatting>
  <dataValidations count="3">
    <dataValidation allowBlank="true" error="Geçerli bir tarih gir (örnek: 05.10.2026)." errorStyle="stop" errorTitle="Kontrol" operator="greaterThan" showDropDown="false" showErrorMessage="true" showInputMessage="false" sqref="A5:A1504 J5:J1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F5:F1504" type="list">
      <formula1>"Bekliyor,Parça bekleniyor,Hazır,Teslim edildi,İade edildi"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G5:I1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57</v>
      </c>
    </row>
    <row r="2" customFormat="false" ht="15" hidden="false" customHeight="false" outlineLevel="0" collapsed="false">
      <c r="A2" s="9" t="s">
        <v>58</v>
      </c>
    </row>
    <row r="3" customFormat="false" ht="15" hidden="false" customHeight="false" outlineLevel="0" collapsed="false">
      <c r="B3" s="20" t="s">
        <v>59</v>
      </c>
      <c r="C3" s="21" t="n">
        <v>2026</v>
      </c>
    </row>
    <row r="5" customFormat="false" ht="30" hidden="false" customHeight="true" outlineLevel="0" collapsed="false">
      <c r="B5" s="22" t="s">
        <v>11</v>
      </c>
      <c r="C5" s="22" t="s">
        <v>60</v>
      </c>
      <c r="D5" s="22" t="s">
        <v>61</v>
      </c>
      <c r="E5" s="22" t="s">
        <v>62</v>
      </c>
      <c r="F5" s="22" t="s">
        <v>63</v>
      </c>
    </row>
    <row r="6" customFormat="false" ht="27.75" hidden="false" customHeight="true" outlineLevel="0" collapsed="false">
      <c r="B6" s="23" t="n">
        <f aca="false">COUNT('İş Emirleri'!$O$5:$O$1504)</f>
        <v>3</v>
      </c>
      <c r="C6" s="23" t="n">
        <f aca="false">COUNTIF('İş Emirleri'!$F$5:$F$1504,"Hazır")</f>
        <v>1</v>
      </c>
      <c r="D6" s="24" t="n">
        <f aca="false">COUNTIF('İş Emirleri'!$N$5:$N$1504,"7 günü geçti")</f>
        <v>1</v>
      </c>
      <c r="E6" s="25" t="n">
        <f aca="false">SUM('İş Emirleri'!$L$5:$L$1504)</f>
        <v>5000</v>
      </c>
      <c r="F6" s="26" t="n">
        <f aca="false">IFERROR(AVERAGEIFS('İş Emirleri'!$M$5:$M$1504,'İş Emirleri'!$F$5:$F$1504,"Teslim edildi"),0)</f>
        <v>4</v>
      </c>
    </row>
    <row r="9" customFormat="false" ht="15" hidden="false" customHeight="false" outlineLevel="0" collapsed="false">
      <c r="B9" s="27" t="s">
        <v>64</v>
      </c>
      <c r="F9" s="27" t="s">
        <v>65</v>
      </c>
    </row>
    <row r="10" customFormat="false" ht="21.75" hidden="false" customHeight="true" outlineLevel="0" collapsed="false">
      <c r="B10" s="10" t="s">
        <v>66</v>
      </c>
      <c r="C10" s="10" t="s">
        <v>67</v>
      </c>
      <c r="D10" s="10" t="s">
        <v>68</v>
      </c>
      <c r="F10" s="10" t="s">
        <v>25</v>
      </c>
      <c r="G10" s="10" t="s">
        <v>27</v>
      </c>
      <c r="H10" s="10" t="s">
        <v>69</v>
      </c>
      <c r="I10" s="10" t="s">
        <v>29</v>
      </c>
    </row>
    <row r="11" customFormat="false" ht="15" hidden="false" customHeight="false" outlineLevel="0" collapsed="false">
      <c r="B11" s="28" t="s">
        <v>70</v>
      </c>
      <c r="C11" s="29" t="n">
        <f aca="false">COUNTIFS('İş Emirleri'!$J$5:$J$1504,"&gt;="&amp;DATE($C$3,1,1),'İş Emirleri'!$J$5:$J$1504,"&lt;"&amp;DATE($C$3,2,1),'İş Emirleri'!$F$5:$F$1504,"Teslim edildi")</f>
        <v>0</v>
      </c>
      <c r="D11" s="16" t="n">
        <f aca="false">SUMIFS('İş Emirleri'!$K$5:$K$1504,'İş Emirleri'!$J$5:$J$1504,"&gt;="&amp;DATE($C$3,1,1),'İş Emirleri'!$J$5:$J$1504,"&lt;"&amp;DATE($C$3,2,1),'İş Emirleri'!$F$5:$F$1504,"Teslim edildi")</f>
        <v>0</v>
      </c>
      <c r="F11" s="28" t="str">
        <f aca="false">IFERROR(INDEX('İş Emirleri'!$B$5:$B$1504,MATCH(SMALL('İş Emirleri'!$O$5:$O$1504,1),'İş Emirleri'!$O$5:$O$1504,0))&amp;"","")</f>
        <v>Müşteri Alfa</v>
      </c>
      <c r="G11" s="18" t="str">
        <f aca="false">IF(F11="","",INDEX('İş Emirleri'!$D$5:$D$1504,MATCH(SMALL('İş Emirleri'!$O$5:$O$1504,1),'İş Emirleri'!$O$5:$O$1504,0)))</f>
        <v>Çamaşır makinesi</v>
      </c>
      <c r="H11" s="30" t="n">
        <f aca="false">IF(F11="","",INDEX('İş Emirleri'!$A$5:$A$1504,MATCH(SMALL('İş Emirleri'!$O$5:$O$1504,1),'İş Emirleri'!$O$5:$O$1504,0)))</f>
        <v>46287</v>
      </c>
      <c r="I11" s="18" t="str">
        <f aca="false">IF(F11="","",INDEX('İş Emirleri'!$F$5:$F$1504,MATCH(SMALL('İş Emirleri'!$O$5:$O$1504,1),'İş Emirleri'!$O$5:$O$1504,0)))</f>
        <v>Parça bekleniyor</v>
      </c>
    </row>
    <row r="12" customFormat="false" ht="15" hidden="false" customHeight="false" outlineLevel="0" collapsed="false">
      <c r="B12" s="31" t="s">
        <v>71</v>
      </c>
      <c r="C12" s="32" t="n">
        <f aca="false">COUNTIFS('İş Emirleri'!$J$5:$J$1504,"&gt;="&amp;DATE($C$3,2,1),'İş Emirleri'!$J$5:$J$1504,"&lt;"&amp;DATE($C$3,3,1),'İş Emirleri'!$F$5:$F$1504,"Teslim edildi")</f>
        <v>0</v>
      </c>
      <c r="D12" s="33" t="n">
        <f aca="false">SUMIFS('İş Emirleri'!$K$5:$K$1504,'İş Emirleri'!$J$5:$J$1504,"&gt;="&amp;DATE($C$3,2,1),'İş Emirleri'!$J$5:$J$1504,"&lt;"&amp;DATE($C$3,3,1),'İş Emirleri'!$F$5:$F$1504,"Teslim edildi")</f>
        <v>0</v>
      </c>
      <c r="F12" s="31" t="str">
        <f aca="false">IFERROR(INDEX('İş Emirleri'!$B$5:$B$1504,MATCH(SMALL('İş Emirleri'!$O$5:$O$1504,2),'İş Emirleri'!$O$5:$O$1504,0))&amp;"","")</f>
        <v>Müşteri Beta</v>
      </c>
      <c r="G12" s="34" t="str">
        <f aca="false">IF(F12="","",INDEX('İş Emirleri'!$D$5:$D$1504,MATCH(SMALL('İş Emirleri'!$O$5:$O$1504,2),'İş Emirleri'!$O$5:$O$1504,0)))</f>
        <v>Telefon</v>
      </c>
      <c r="H12" s="35" t="n">
        <f aca="false">IF(F12="","",INDEX('İş Emirleri'!$A$5:$A$1504,MATCH(SMALL('İş Emirleri'!$O$5:$O$1504,2),'İş Emirleri'!$O$5:$O$1504,0)))</f>
        <v>46296</v>
      </c>
      <c r="I12" s="34" t="str">
        <f aca="false">IF(F12="","",INDEX('İş Emirleri'!$F$5:$F$1504,MATCH(SMALL('İş Emirleri'!$O$5:$O$1504,2),'İş Emirleri'!$O$5:$O$1504,0)))</f>
        <v>Hazır</v>
      </c>
    </row>
    <row r="13" customFormat="false" ht="15" hidden="false" customHeight="false" outlineLevel="0" collapsed="false">
      <c r="B13" s="28" t="s">
        <v>72</v>
      </c>
      <c r="C13" s="29" t="n">
        <f aca="false">COUNTIFS('İş Emirleri'!$J$5:$J$1504,"&gt;="&amp;DATE($C$3,3,1),'İş Emirleri'!$J$5:$J$1504,"&lt;"&amp;DATE($C$3,4,1),'İş Emirleri'!$F$5:$F$1504,"Teslim edildi")</f>
        <v>0</v>
      </c>
      <c r="D13" s="16" t="n">
        <f aca="false">SUMIFS('İş Emirleri'!$K$5:$K$1504,'İş Emirleri'!$J$5:$J$1504,"&gt;="&amp;DATE($C$3,3,1),'İş Emirleri'!$J$5:$J$1504,"&lt;"&amp;DATE($C$3,4,1),'İş Emirleri'!$F$5:$F$1504,"Teslim edildi")</f>
        <v>0</v>
      </c>
      <c r="F13" s="28" t="str">
        <f aca="false">IFERROR(INDEX('İş Emirleri'!$B$5:$B$1504,MATCH(SMALL('İş Emirleri'!$O$5:$O$1504,3),'İş Emirleri'!$O$5:$O$1504,0))&amp;"","")</f>
        <v>Müşteri Epsilon</v>
      </c>
      <c r="G13" s="18" t="str">
        <f aca="false">IF(F13="","",INDEX('İş Emirleri'!$D$5:$D$1504,MATCH(SMALL('İş Emirleri'!$O$5:$O$1504,3),'İş Emirleri'!$O$5:$O$1504,0)))</f>
        <v>Süpürge</v>
      </c>
      <c r="H13" s="30" t="n">
        <f aca="false">IF(F13="","",INDEX('İş Emirleri'!$A$5:$A$1504,MATCH(SMALL('İş Emirleri'!$O$5:$O$1504,3),'İş Emirleri'!$O$5:$O$1504,0)))</f>
        <v>46298</v>
      </c>
      <c r="I13" s="18" t="str">
        <f aca="false">IF(F13="","",INDEX('İş Emirleri'!$F$5:$F$1504,MATCH(SMALL('İş Emirleri'!$O$5:$O$1504,3),'İş Emirleri'!$O$5:$O$1504,0)))</f>
        <v>Bekliyor</v>
      </c>
    </row>
    <row r="14" customFormat="false" ht="15" hidden="false" customHeight="false" outlineLevel="0" collapsed="false">
      <c r="B14" s="31" t="s">
        <v>73</v>
      </c>
      <c r="C14" s="32" t="n">
        <f aca="false">COUNTIFS('İş Emirleri'!$J$5:$J$1504,"&gt;="&amp;DATE($C$3,4,1),'İş Emirleri'!$J$5:$J$1504,"&lt;"&amp;DATE($C$3,5,1),'İş Emirleri'!$F$5:$F$1504,"Teslim edildi")</f>
        <v>0</v>
      </c>
      <c r="D14" s="33" t="n">
        <f aca="false">SUMIFS('İş Emirleri'!$K$5:$K$1504,'İş Emirleri'!$J$5:$J$1504,"&gt;="&amp;DATE($C$3,4,1),'İş Emirleri'!$J$5:$J$1504,"&lt;"&amp;DATE($C$3,5,1),'İş Emirleri'!$F$5:$F$1504,"Teslim edildi")</f>
        <v>0</v>
      </c>
      <c r="F14" s="31" t="str">
        <f aca="false">IFERROR(INDEX('İş Emirleri'!$B$5:$B$1504,MATCH(SMALL('İş Emirleri'!$O$5:$O$1504,4),'İş Emirleri'!$O$5:$O$1504,0))&amp;"","")</f>
        <v/>
      </c>
      <c r="G14" s="34" t="str">
        <f aca="false">IF(F14="","",INDEX('İş Emirleri'!$D$5:$D$1504,MATCH(SMALL('İş Emirleri'!$O$5:$O$1504,4),'İş Emirleri'!$O$5:$O$1504,0)))</f>
        <v/>
      </c>
      <c r="H14" s="35" t="str">
        <f aca="false">IF(F14="","",INDEX('İş Emirleri'!$A$5:$A$1504,MATCH(SMALL('İş Emirleri'!$O$5:$O$1504,4),'İş Emirleri'!$O$5:$O$1504,0)))</f>
        <v/>
      </c>
      <c r="I14" s="34" t="str">
        <f aca="false">IF(F14="","",INDEX('İş Emirleri'!$F$5:$F$1504,MATCH(SMALL('İş Emirleri'!$O$5:$O$1504,4),'İş Emirleri'!$O$5:$O$1504,0)))</f>
        <v/>
      </c>
    </row>
    <row r="15" customFormat="false" ht="15" hidden="false" customHeight="false" outlineLevel="0" collapsed="false">
      <c r="B15" s="28" t="s">
        <v>74</v>
      </c>
      <c r="C15" s="29" t="n">
        <f aca="false">COUNTIFS('İş Emirleri'!$J$5:$J$1504,"&gt;="&amp;DATE($C$3,5,1),'İş Emirleri'!$J$5:$J$1504,"&lt;"&amp;DATE($C$3,6,1),'İş Emirleri'!$F$5:$F$1504,"Teslim edildi")</f>
        <v>0</v>
      </c>
      <c r="D15" s="16" t="n">
        <f aca="false">SUMIFS('İş Emirleri'!$K$5:$K$1504,'İş Emirleri'!$J$5:$J$1504,"&gt;="&amp;DATE($C$3,5,1),'İş Emirleri'!$J$5:$J$1504,"&lt;"&amp;DATE($C$3,6,1),'İş Emirleri'!$F$5:$F$1504,"Teslim edildi")</f>
        <v>0</v>
      </c>
      <c r="F15" s="28" t="str">
        <f aca="false">IFERROR(INDEX('İş Emirleri'!$B$5:$B$1504,MATCH(SMALL('İş Emirleri'!$O$5:$O$1504,5),'İş Emirleri'!$O$5:$O$1504,0))&amp;"","")</f>
        <v/>
      </c>
      <c r="G15" s="18" t="str">
        <f aca="false">IF(F15="","",INDEX('İş Emirleri'!$D$5:$D$1504,MATCH(SMALL('İş Emirleri'!$O$5:$O$1504,5),'İş Emirleri'!$O$5:$O$1504,0)))</f>
        <v/>
      </c>
      <c r="H15" s="30" t="str">
        <f aca="false">IF(F15="","",INDEX('İş Emirleri'!$A$5:$A$1504,MATCH(SMALL('İş Emirleri'!$O$5:$O$1504,5),'İş Emirleri'!$O$5:$O$1504,0)))</f>
        <v/>
      </c>
      <c r="I15" s="18" t="str">
        <f aca="false">IF(F15="","",INDEX('İş Emirleri'!$F$5:$F$1504,MATCH(SMALL('İş Emirleri'!$O$5:$O$1504,5),'İş Emirleri'!$O$5:$O$1504,0)))</f>
        <v/>
      </c>
    </row>
    <row r="16" customFormat="false" ht="15" hidden="false" customHeight="false" outlineLevel="0" collapsed="false">
      <c r="B16" s="31" t="s">
        <v>75</v>
      </c>
      <c r="C16" s="32" t="n">
        <f aca="false">COUNTIFS('İş Emirleri'!$J$5:$J$1504,"&gt;="&amp;DATE($C$3,6,1),'İş Emirleri'!$J$5:$J$1504,"&lt;"&amp;DATE($C$3,7,1),'İş Emirleri'!$F$5:$F$1504,"Teslim edildi")</f>
        <v>0</v>
      </c>
      <c r="D16" s="33" t="n">
        <f aca="false">SUMIFS('İş Emirleri'!$K$5:$K$1504,'İş Emirleri'!$J$5:$J$1504,"&gt;="&amp;DATE($C$3,6,1),'İş Emirleri'!$J$5:$J$1504,"&lt;"&amp;DATE($C$3,7,1),'İş Emirleri'!$F$5:$F$1504,"Teslim edildi")</f>
        <v>0</v>
      </c>
      <c r="F16" s="31" t="str">
        <f aca="false">IFERROR(INDEX('İş Emirleri'!$B$5:$B$1504,MATCH(SMALL('İş Emirleri'!$O$5:$O$1504,6),'İş Emirleri'!$O$5:$O$1504,0))&amp;"","")</f>
        <v/>
      </c>
      <c r="G16" s="34" t="str">
        <f aca="false">IF(F16="","",INDEX('İş Emirleri'!$D$5:$D$1504,MATCH(SMALL('İş Emirleri'!$O$5:$O$1504,6),'İş Emirleri'!$O$5:$O$1504,0)))</f>
        <v/>
      </c>
      <c r="H16" s="35" t="str">
        <f aca="false">IF(F16="","",INDEX('İş Emirleri'!$A$5:$A$1504,MATCH(SMALL('İş Emirleri'!$O$5:$O$1504,6),'İş Emirleri'!$O$5:$O$1504,0)))</f>
        <v/>
      </c>
      <c r="I16" s="34" t="str">
        <f aca="false">IF(F16="","",INDEX('İş Emirleri'!$F$5:$F$1504,MATCH(SMALL('İş Emirleri'!$O$5:$O$1504,6),'İş Emirleri'!$O$5:$O$1504,0)))</f>
        <v/>
      </c>
    </row>
    <row r="17" customFormat="false" ht="15" hidden="false" customHeight="false" outlineLevel="0" collapsed="false">
      <c r="B17" s="28" t="s">
        <v>76</v>
      </c>
      <c r="C17" s="29" t="n">
        <f aca="false">COUNTIFS('İş Emirleri'!$J$5:$J$1504,"&gt;="&amp;DATE($C$3,7,1),'İş Emirleri'!$J$5:$J$1504,"&lt;"&amp;DATE($C$3,8,1),'İş Emirleri'!$F$5:$F$1504,"Teslim edildi")</f>
        <v>0</v>
      </c>
      <c r="D17" s="16" t="n">
        <f aca="false">SUMIFS('İş Emirleri'!$K$5:$K$1504,'İş Emirleri'!$J$5:$J$1504,"&gt;="&amp;DATE($C$3,7,1),'İş Emirleri'!$J$5:$J$1504,"&lt;"&amp;DATE($C$3,8,1),'İş Emirleri'!$F$5:$F$1504,"Teslim edildi")</f>
        <v>0</v>
      </c>
      <c r="F17" s="28" t="str">
        <f aca="false">IFERROR(INDEX('İş Emirleri'!$B$5:$B$1504,MATCH(SMALL('İş Emirleri'!$O$5:$O$1504,7),'İş Emirleri'!$O$5:$O$1504,0))&amp;"","")</f>
        <v/>
      </c>
      <c r="G17" s="18" t="str">
        <f aca="false">IF(F17="","",INDEX('İş Emirleri'!$D$5:$D$1504,MATCH(SMALL('İş Emirleri'!$O$5:$O$1504,7),'İş Emirleri'!$O$5:$O$1504,0)))</f>
        <v/>
      </c>
      <c r="H17" s="30" t="str">
        <f aca="false">IF(F17="","",INDEX('İş Emirleri'!$A$5:$A$1504,MATCH(SMALL('İş Emirleri'!$O$5:$O$1504,7),'İş Emirleri'!$O$5:$O$1504,0)))</f>
        <v/>
      </c>
      <c r="I17" s="18" t="str">
        <f aca="false">IF(F17="","",INDEX('İş Emirleri'!$F$5:$F$1504,MATCH(SMALL('İş Emirleri'!$O$5:$O$1504,7),'İş Emirleri'!$O$5:$O$1504,0)))</f>
        <v/>
      </c>
    </row>
    <row r="18" customFormat="false" ht="15" hidden="false" customHeight="false" outlineLevel="0" collapsed="false">
      <c r="B18" s="31" t="s">
        <v>77</v>
      </c>
      <c r="C18" s="32" t="n">
        <f aca="false">COUNTIFS('İş Emirleri'!$J$5:$J$1504,"&gt;="&amp;DATE($C$3,8,1),'İş Emirleri'!$J$5:$J$1504,"&lt;"&amp;DATE($C$3,9,1),'İş Emirleri'!$F$5:$F$1504,"Teslim edildi")</f>
        <v>0</v>
      </c>
      <c r="D18" s="33" t="n">
        <f aca="false">SUMIFS('İş Emirleri'!$K$5:$K$1504,'İş Emirleri'!$J$5:$J$1504,"&gt;="&amp;DATE($C$3,8,1),'İş Emirleri'!$J$5:$J$1504,"&lt;"&amp;DATE($C$3,9,1),'İş Emirleri'!$F$5:$F$1504,"Teslim edildi")</f>
        <v>0</v>
      </c>
      <c r="F18" s="31" t="str">
        <f aca="false">IFERROR(INDEX('İş Emirleri'!$B$5:$B$1504,MATCH(SMALL('İş Emirleri'!$O$5:$O$1504,8),'İş Emirleri'!$O$5:$O$1504,0))&amp;"","")</f>
        <v/>
      </c>
      <c r="G18" s="34" t="str">
        <f aca="false">IF(F18="","",INDEX('İş Emirleri'!$D$5:$D$1504,MATCH(SMALL('İş Emirleri'!$O$5:$O$1504,8),'İş Emirleri'!$O$5:$O$1504,0)))</f>
        <v/>
      </c>
      <c r="H18" s="35" t="str">
        <f aca="false">IF(F18="","",INDEX('İş Emirleri'!$A$5:$A$1504,MATCH(SMALL('İş Emirleri'!$O$5:$O$1504,8),'İş Emirleri'!$O$5:$O$1504,0)))</f>
        <v/>
      </c>
      <c r="I18" s="34" t="str">
        <f aca="false">IF(F18="","",INDEX('İş Emirleri'!$F$5:$F$1504,MATCH(SMALL('İş Emirleri'!$O$5:$O$1504,8),'İş Emirleri'!$O$5:$O$1504,0)))</f>
        <v/>
      </c>
    </row>
    <row r="19" customFormat="false" ht="15" hidden="false" customHeight="false" outlineLevel="0" collapsed="false">
      <c r="B19" s="28" t="s">
        <v>78</v>
      </c>
      <c r="C19" s="29" t="n">
        <f aca="false">COUNTIFS('İş Emirleri'!$J$5:$J$1504,"&gt;="&amp;DATE($C$3,9,1),'İş Emirleri'!$J$5:$J$1504,"&lt;"&amp;DATE($C$3,10,1),'İş Emirleri'!$F$5:$F$1504,"Teslim edildi")</f>
        <v>2</v>
      </c>
      <c r="D19" s="16" t="n">
        <f aca="false">SUMIFS('İş Emirleri'!$K$5:$K$1504,'İş Emirleri'!$J$5:$J$1504,"&gt;="&amp;DATE($C$3,9,1),'İş Emirleri'!$J$5:$J$1504,"&lt;"&amp;DATE($C$3,10,1),'İş Emirleri'!$F$5:$F$1504,"Teslim edildi")</f>
        <v>5900</v>
      </c>
      <c r="F19" s="28" t="str">
        <f aca="false">IFERROR(INDEX('İş Emirleri'!$B$5:$B$1504,MATCH(SMALL('İş Emirleri'!$O$5:$O$1504,9),'İş Emirleri'!$O$5:$O$1504,0))&amp;"","")</f>
        <v/>
      </c>
      <c r="G19" s="18" t="str">
        <f aca="false">IF(F19="","",INDEX('İş Emirleri'!$D$5:$D$1504,MATCH(SMALL('İş Emirleri'!$O$5:$O$1504,9),'İş Emirleri'!$O$5:$O$1504,0)))</f>
        <v/>
      </c>
      <c r="H19" s="30" t="str">
        <f aca="false">IF(F19="","",INDEX('İş Emirleri'!$A$5:$A$1504,MATCH(SMALL('İş Emirleri'!$O$5:$O$1504,9),'İş Emirleri'!$O$5:$O$1504,0)))</f>
        <v/>
      </c>
      <c r="I19" s="18" t="str">
        <f aca="false">IF(F19="","",INDEX('İş Emirleri'!$F$5:$F$1504,MATCH(SMALL('İş Emirleri'!$O$5:$O$1504,9),'İş Emirleri'!$O$5:$O$1504,0)))</f>
        <v/>
      </c>
    </row>
    <row r="20" customFormat="false" ht="15" hidden="false" customHeight="false" outlineLevel="0" collapsed="false">
      <c r="B20" s="31" t="s">
        <v>79</v>
      </c>
      <c r="C20" s="32" t="n">
        <f aca="false">COUNTIFS('İş Emirleri'!$J$5:$J$1504,"&gt;="&amp;DATE($C$3,10,1),'İş Emirleri'!$J$5:$J$1504,"&lt;"&amp;DATE($C$3,11,1),'İş Emirleri'!$F$5:$F$1504,"Teslim edildi")</f>
        <v>0</v>
      </c>
      <c r="D20" s="33" t="n">
        <f aca="false">SUMIFS('İş Emirleri'!$K$5:$K$1504,'İş Emirleri'!$J$5:$J$1504,"&gt;="&amp;DATE($C$3,10,1),'İş Emirleri'!$J$5:$J$1504,"&lt;"&amp;DATE($C$3,11,1),'İş Emirleri'!$F$5:$F$1504,"Teslim edildi")</f>
        <v>0</v>
      </c>
      <c r="F20" s="31" t="str">
        <f aca="false">IFERROR(INDEX('İş Emirleri'!$B$5:$B$1504,MATCH(SMALL('İş Emirleri'!$O$5:$O$1504,10),'İş Emirleri'!$O$5:$O$1504,0))&amp;"","")</f>
        <v/>
      </c>
      <c r="G20" s="34" t="str">
        <f aca="false">IF(F20="","",INDEX('İş Emirleri'!$D$5:$D$1504,MATCH(SMALL('İş Emirleri'!$O$5:$O$1504,10),'İş Emirleri'!$O$5:$O$1504,0)))</f>
        <v/>
      </c>
      <c r="H20" s="35" t="str">
        <f aca="false">IF(F20="","",INDEX('İş Emirleri'!$A$5:$A$1504,MATCH(SMALL('İş Emirleri'!$O$5:$O$1504,10),'İş Emirleri'!$O$5:$O$1504,0)))</f>
        <v/>
      </c>
      <c r="I20" s="34" t="str">
        <f aca="false">IF(F20="","",INDEX('İş Emirleri'!$F$5:$F$1504,MATCH(SMALL('İş Emirleri'!$O$5:$O$1504,10),'İş Emirleri'!$O$5:$O$1504,0)))</f>
        <v/>
      </c>
    </row>
    <row r="21" customFormat="false" ht="15" hidden="false" customHeight="false" outlineLevel="0" collapsed="false">
      <c r="B21" s="28" t="s">
        <v>80</v>
      </c>
      <c r="C21" s="29" t="n">
        <f aca="false">COUNTIFS('İş Emirleri'!$J$5:$J$1504,"&gt;="&amp;DATE($C$3,11,1),'İş Emirleri'!$J$5:$J$1504,"&lt;"&amp;DATE($C$3,12,1),'İş Emirleri'!$F$5:$F$1504,"Teslim edildi")</f>
        <v>0</v>
      </c>
      <c r="D21" s="16" t="n">
        <f aca="false">SUMIFS('İş Emirleri'!$K$5:$K$1504,'İş Emirleri'!$J$5:$J$1504,"&gt;="&amp;DATE($C$3,11,1),'İş Emirleri'!$J$5:$J$1504,"&lt;"&amp;DATE($C$3,12,1),'İş Emirleri'!$F$5:$F$1504,"Teslim edildi")</f>
        <v>0</v>
      </c>
    </row>
    <row r="22" customFormat="false" ht="15" hidden="false" customHeight="false" outlineLevel="0" collapsed="false">
      <c r="B22" s="31" t="s">
        <v>81</v>
      </c>
      <c r="C22" s="32" t="n">
        <f aca="false">COUNTIFS('İş Emirleri'!$J$5:$J$1504,"&gt;="&amp;DATE($C$3,12,1),'İş Emirleri'!$J$5:$J$1504,"&lt;"&amp;DATE($C$3,13,1),'İş Emirleri'!$F$5:$F$1504,"Teslim edildi")</f>
        <v>0</v>
      </c>
      <c r="D22" s="33" t="n">
        <f aca="false">SUMIFS('İş Emirleri'!$K$5:$K$1504,'İş Emirleri'!$J$5:$J$1504,"&gt;="&amp;DATE($C$3,12,1),'İş Emirleri'!$J$5:$J$1504,"&lt;"&amp;DATE($C$3,13,1),'İş Emirleri'!$F$5:$F$1504,"Teslim edildi")</f>
        <v>0</v>
      </c>
    </row>
    <row r="23" customFormat="false" ht="15" hidden="false" customHeight="false" outlineLevel="0" collapsed="false">
      <c r="B23" s="36" t="s">
        <v>82</v>
      </c>
      <c r="C23" s="37" t="n">
        <f aca="false">SUM(C11:C22)</f>
        <v>2</v>
      </c>
      <c r="D23" s="38" t="n">
        <f aca="false">SUM(D11:D22)</f>
        <v>5900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83</v>
      </c>
    </row>
    <row r="2" customFormat="false" ht="30" hidden="false" customHeight="true" outlineLevel="0" collapsed="false">
      <c r="B2" s="39" t="s">
        <v>84</v>
      </c>
      <c r="C2" s="39"/>
    </row>
    <row r="3" customFormat="false" ht="31.5" hidden="false" customHeight="true" outlineLevel="0" collapsed="false">
      <c r="B3" s="40" t="s">
        <v>85</v>
      </c>
      <c r="C3" s="40"/>
    </row>
    <row r="5" customFormat="false" ht="15" hidden="false" customHeight="false" outlineLevel="0" collapsed="false">
      <c r="B5" s="41" t="s">
        <v>86</v>
      </c>
      <c r="C5" s="41" t="s">
        <v>87</v>
      </c>
    </row>
    <row r="6" customFormat="false" ht="31.5" hidden="false" customHeight="true" outlineLevel="0" collapsed="false">
      <c r="B6" s="42" t="s">
        <v>88</v>
      </c>
      <c r="C6" s="43" t="s">
        <v>89</v>
      </c>
    </row>
    <row r="7" customFormat="false" ht="31.5" hidden="false" customHeight="true" outlineLevel="0" collapsed="false">
      <c r="B7" s="44" t="s">
        <v>90</v>
      </c>
      <c r="C7" s="45" t="s">
        <v>91</v>
      </c>
    </row>
    <row r="8" customFormat="false" ht="31.5" hidden="false" customHeight="true" outlineLevel="0" collapsed="false">
      <c r="B8" s="42" t="s">
        <v>92</v>
      </c>
      <c r="C8" s="43" t="s">
        <v>93</v>
      </c>
    </row>
    <row r="9" customFormat="false" ht="31.5" hidden="false" customHeight="true" outlineLevel="0" collapsed="false">
      <c r="B9" s="44" t="s">
        <v>94</v>
      </c>
      <c r="C9" s="45" t="s">
        <v>95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2026-10-04T22:00:19Z</dcterms:created>
  <dc:creator>openpyxl</dc:creator>
  <dc:description/>
  <dc:language>en-US</dc:language>
  <cp:lastModifiedBy/>
  <dcterms:modified xsi:type="dcterms:W3CDTF">2026-10-04T22:00:20Z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