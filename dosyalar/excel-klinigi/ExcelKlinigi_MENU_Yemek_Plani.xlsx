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Plan" sheetId="2" state="visible" r:id="rId4"/>
    <sheet name="Alışveriş" sheetId="3" state="visible" r:id="rId5"/>
    <sheet name="Yemekler" sheetId="4" state="visible" r:id="rId6"/>
    <sheet name="Tarifler" sheetId="5" state="visible" r:id="rId7"/>
    <sheet name="Listeler" sheetId="6" state="visible" r:id="rId8"/>
    <sheet name="AI Komutları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<sst xmlns="http://schemas.openxmlformats.org/spreadsheetml/2006/main" count="124" uniqueCount="85">
  <si>
    <t xml:space="preserve">EXCEL KLİNİĞİ</t>
  </si>
  <si>
    <t xml:space="preserve">MENÜ  |  Haftalık yemek planı ve alışveriş listesi</t>
  </si>
  <si>
    <t xml:space="preserve">Haftanın yemeklerini seç; hangi malzemeden ne kadar alacağını dosya toplasın.</t>
  </si>
  <si>
    <t xml:space="preserve">NASIL KULLANILIR</t>
  </si>
  <si>
    <t xml:space="preserve">1. Listeler</t>
  </si>
  <si>
    <t xml:space="preserve">Kullandığın malzemeleri yaz.</t>
  </si>
  <si>
    <t xml:space="preserve">2. Yemekler ve Tarifler</t>
  </si>
  <si>
    <t xml:space="preserve">Yemeklerini ve her yemeğin malzemelerini miktarıyla gir.</t>
  </si>
  <si>
    <t xml:space="preserve">3. Plan</t>
  </si>
  <si>
    <t xml:space="preserve">Haftanın öğünlerine yemek seç.</t>
  </si>
  <si>
    <t xml:space="preserve">4. Alışveriş</t>
  </si>
  <si>
    <t xml:space="preserve">Seçtiğin yemeklere göre her malzemeden ne kadar gerektiğini gör.</t>
  </si>
  <si>
    <t xml:space="preserve">BİLMEN GEREKENLER</t>
  </si>
  <si>
    <t xml:space="preserve">Aynı birim</t>
  </si>
  <si>
    <t xml:space="preserve">Bir malzemeyi bütün tariflerde aynı birimle yaz (hep kg ya da hep adet); dosya birim çevirmez.</t>
  </si>
  <si>
    <t xml:space="preserve">Evdeki malzeme</t>
  </si>
  <si>
    <t xml:space="preserve">Liste evde olanı düşmez; almadan önce dolabına bak.</t>
  </si>
  <si>
    <t xml:space="preserve">Kapasite</t>
  </si>
  <si>
    <t xml:space="preserve">Yemekler: 60 satır; Tarifler: 600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</si>
  <si>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</si>
  <si>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</si>
  <si>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</si>
  <si>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</si>
  <si>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</si>
  <si>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Haftalık Plan</t>
  </si>
  <si>
    <t xml:space="preserve">Her öğün için yemeği listeden seç. Yeni hafta için hücreleri silip yeniden doldur.</t>
  </si>
  <si>
    <t xml:space="preserve">Gün</t>
  </si>
  <si>
    <t xml:space="preserve">Kahvaltı</t>
  </si>
  <si>
    <t xml:space="preserve">Öğle</t>
  </si>
  <si>
    <t xml:space="preserve">Akşam</t>
  </si>
  <si>
    <t xml:space="preserve">Pazartesi</t>
  </si>
  <si>
    <t xml:space="preserve">Mercimek çorbası</t>
  </si>
  <si>
    <t xml:space="preserve">Kıymalı makarna</t>
  </si>
  <si>
    <t xml:space="preserve">Salı</t>
  </si>
  <si>
    <t xml:space="preserve">Menemen</t>
  </si>
  <si>
    <t xml:space="preserve">Tavuk pilav</t>
  </si>
  <si>
    <t xml:space="preserve">Çarşamba</t>
  </si>
  <si>
    <t xml:space="preserve">Perşembe</t>
  </si>
  <si>
    <t xml:space="preserve">Cuma</t>
  </si>
  <si>
    <t xml:space="preserve">Cumartesi</t>
  </si>
  <si>
    <t xml:space="preserve">Pazar</t>
  </si>
  <si>
    <t xml:space="preserve">Alışveriş</t>
  </si>
  <si>
    <t xml:space="preserve">Bu sayfaya yazma. Plan sayfasındaki seçimlere göre hesaplanır.</t>
  </si>
  <si>
    <t xml:space="preserve">Planlanan öğün</t>
  </si>
  <si>
    <t xml:space="preserve">Farklı yemek</t>
  </si>
  <si>
    <t xml:space="preserve">Bu hafta alınacaklar</t>
  </si>
  <si>
    <t xml:space="preserve">Malzeme</t>
  </si>
  <si>
    <t xml:space="preserve">Gereken miktar</t>
  </si>
  <si>
    <t xml:space="preserve">Birim</t>
  </si>
  <si>
    <t xml:space="preserve">Yemekler</t>
  </si>
  <si>
    <t xml:space="preserve">Yaptığın yemekleri yaz. Bu hafta kaç kez planlandığı kendiliğinden sayılır.</t>
  </si>
  <si>
    <t xml:space="preserve">Yemek</t>
  </si>
  <si>
    <t xml:space="preserve">Kaç kişilik</t>
  </si>
  <si>
    <t xml:space="preserve">Bu hafta</t>
  </si>
  <si>
    <t xml:space="preserve">Tarifler</t>
  </si>
  <si>
    <t xml:space="preserve">Her satır bir yemeğin bir malzemesi. Miktarı yemeğin tamamı için yaz.</t>
  </si>
  <si>
    <t xml:space="preserve">Miktar</t>
  </si>
  <si>
    <t xml:space="preserve">Bu hafta gereken</t>
  </si>
  <si>
    <t xml:space="preserve">Kıyma</t>
  </si>
  <si>
    <t xml:space="preserve">kg</t>
  </si>
  <si>
    <t xml:space="preserve">Makarna</t>
  </si>
  <si>
    <t xml:space="preserve">Soğan</t>
  </si>
  <si>
    <t xml:space="preserve">Domates</t>
  </si>
  <si>
    <t xml:space="preserve">Tavuk but</t>
  </si>
  <si>
    <t xml:space="preserve">Pirinç</t>
  </si>
  <si>
    <t xml:space="preserve">Mercimek</t>
  </si>
  <si>
    <t xml:space="preserve">Yumurta</t>
  </si>
  <si>
    <t xml:space="preserve">adet</t>
  </si>
  <si>
    <t xml:space="preserve">Listeler</t>
  </si>
  <si>
    <t xml:space="preserve">Açılır listelerde çıkan seçenekler. Sarı hücrelere kendi seçeneklerini yaz.</t>
  </si>
  <si>
    <t xml:space="preserve">Yoğurt</t>
  </si>
  <si>
    <t xml:space="preserve">Zeytinyağı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</si>
  <si>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</si>
  <si>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</si>
  <si>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Paylaşılacak kişisel bilgi yok. Yapay zekanın verdiği rakamları dosyadaki özet sayfasıyla karşılaştır.</t>
  </si>
  <si>
    <t xml:space="preserve">Ne için</t>
  </si>
  <si>
    <t xml:space="preserve">Komut (kopyala, yapıştır)</t>
  </si>
  <si>
    <t xml:space="preserve">Yeni tarif</t>
  </si>
  <si>
    <t xml:space="preserve">Elimdeki malzemelerle [malzemeler] yapılabilecek üç akşam yemeği öner ve malzeme miktarlarını ver.</t>
  </si>
  <si>
    <t xml:space="preserve">Dengeli hafta</t>
  </si>
  <si>
    <t xml:space="preserve">[Plan sayfası] Bu haftalık planı çeşitlilik açısından değerlendir ve iki değişiklik öner.</t>
  </si>
  <si>
    <t xml:space="preserve">Market sırası</t>
  </si>
  <si>
    <t xml:space="preserve">[Alışveriş sayfası] Listeyi market reyonlarına göre grupla.</t>
  </si>
  <si>
    <t xml:space="preserve">Bütçe</t>
  </si>
  <si>
    <t xml:space="preserve">Bu alışveriş listesinin tahmini tutarını hesaplamak için hangi fiyatları bilmen gerekiyor, sor ve hesapla.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</si>
</sst>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;\-"/>
    <numFmt numFmtId="166" formatCode="#,##0.###;\-#,##0.###;\-"/>
    <numFmt numFmtId="167" formatCode="#,##0.###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  <fill>
      <patternFill patternType="solid">
        <fgColor rgb="FF3B8A5E"/>
        <bgColor rgb="FF1F6F4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2:C1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5" min="3" style="0" width="26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1.75" hidden="false" customHeight="true" outlineLevel="0" collapsed="false">
      <c r="B4" s="10" t="s">
        <v>26</v>
      </c>
      <c r="C4" s="10" t="s">
        <v>27</v>
      </c>
      <c r="D4" s="10" t="s">
        <v>28</v>
      </c>
      <c r="E4" s="10" t="s">
        <v>29</v>
      </c>
    </row>
    <row r="5" customFormat="false" ht="15" hidden="false" customHeight="false" outlineLevel="0" collapsed="false">
      <c r="B5" s="11" t="s">
        <v>30</v>
      </c>
      <c r="C5" s="12"/>
      <c r="D5" s="12" t="s">
        <v>31</v>
      </c>
      <c r="E5" s="12" t="s">
        <v>32</v>
      </c>
    </row>
    <row r="6" customFormat="false" ht="15" hidden="false" customHeight="false" outlineLevel="0" collapsed="false">
      <c r="B6" s="11" t="s">
        <v>33</v>
      </c>
      <c r="C6" s="12" t="s">
        <v>34</v>
      </c>
      <c r="D6" s="12"/>
      <c r="E6" s="12" t="s">
        <v>35</v>
      </c>
    </row>
    <row r="7" customFormat="false" ht="15" hidden="false" customHeight="false" outlineLevel="0" collapsed="false">
      <c r="B7" s="11" t="s">
        <v>36</v>
      </c>
      <c r="C7" s="12"/>
      <c r="D7" s="12"/>
      <c r="E7" s="12"/>
    </row>
    <row r="8" customFormat="false" ht="15" hidden="false" customHeight="false" outlineLevel="0" collapsed="false">
      <c r="B8" s="11" t="s">
        <v>37</v>
      </c>
      <c r="C8" s="12"/>
      <c r="D8" s="12"/>
      <c r="E8" s="12" t="s">
        <v>32</v>
      </c>
    </row>
    <row r="9" customFormat="false" ht="15" hidden="false" customHeight="false" outlineLevel="0" collapsed="false">
      <c r="B9" s="11" t="s">
        <v>38</v>
      </c>
      <c r="C9" s="12"/>
      <c r="D9" s="12"/>
      <c r="E9" s="12"/>
    </row>
    <row r="10" customFormat="false" ht="15" hidden="false" customHeight="false" outlineLevel="0" collapsed="false">
      <c r="B10" s="11" t="s">
        <v>39</v>
      </c>
      <c r="C10" s="12" t="s">
        <v>34</v>
      </c>
      <c r="D10" s="12" t="s">
        <v>31</v>
      </c>
      <c r="E10" s="12"/>
    </row>
    <row r="11" customFormat="false" ht="15" hidden="false" customHeight="false" outlineLevel="0" collapsed="false">
      <c r="B11" s="11" t="s">
        <v>40</v>
      </c>
      <c r="C11" s="12"/>
      <c r="D11" s="12"/>
      <c r="E11" s="12"/>
    </row>
  </sheetData>
  <dataValidations count="1">
    <dataValidation allowBlank="true" error="Listeden seç." errorStyle="stop" errorTitle="Kontrol" operator="between" showDropDown="false" showErrorMessage="true" showInputMessage="false" sqref="C5:E11" type="list">
      <formula1>Yemekler!$A$5:$A$64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41</v>
      </c>
    </row>
    <row r="2" customFormat="false" ht="15" hidden="false" customHeight="false" outlineLevel="0" collapsed="false">
      <c r="A2" s="9" t="s">
        <v>42</v>
      </c>
    </row>
    <row r="5" customFormat="false" ht="30" hidden="false" customHeight="true" outlineLevel="0" collapsed="false">
      <c r="B5" s="13" t="s">
        <v>43</v>
      </c>
      <c r="C5" s="13" t="s">
        <v>44</v>
      </c>
    </row>
    <row r="6" customFormat="false" ht="27.75" hidden="false" customHeight="true" outlineLevel="0" collapsed="false">
      <c r="B6" s="14" t="n">
        <f aca="false">COUNTA(Plan!C5:E11)</f>
        <v>7</v>
      </c>
      <c r="C6" s="14" t="n">
        <f aca="false">COUNTIF(Yemekler!$C$5:$C$64,"&gt;0")</f>
        <v>4</v>
      </c>
    </row>
    <row r="8" customFormat="false" ht="15" hidden="false" customHeight="false" outlineLevel="0" collapsed="false">
      <c r="B8" s="15" t="s">
        <v>45</v>
      </c>
    </row>
    <row r="9" customFormat="false" ht="21.75" hidden="false" customHeight="true" outlineLevel="0" collapsed="false">
      <c r="B9" s="10" t="s">
        <v>46</v>
      </c>
      <c r="C9" s="10" t="s">
        <v>47</v>
      </c>
      <c r="D9" s="10" t="s">
        <v>48</v>
      </c>
    </row>
    <row r="10" customFormat="false" ht="15" hidden="false" customHeight="false" outlineLevel="0" collapsed="false">
      <c r="B10" s="16" t="str">
        <f aca="false">IF(Listeler!A5="","",Listeler!A5)</f>
        <v>Kıyma</v>
      </c>
      <c r="C10" s="17" t="n">
        <f aca="false">IF(B10="","",SUMIFS(Tarifler!$E$5:$E$604,Tarifler!$B$5:$B$604,B10))</f>
        <v>0.8</v>
      </c>
      <c r="D10" s="16" t="str">
        <f aca="false">IF(B10="","",IFERROR(INDEX(Tarifler!$D$5:$D$604,MATCH(B10,Tarifler!$B$5:$B$604,0))&amp;"",""))</f>
        <v>kg</v>
      </c>
    </row>
    <row r="11" customFormat="false" ht="15" hidden="false" customHeight="false" outlineLevel="0" collapsed="false">
      <c r="B11" s="18" t="str">
        <f aca="false">IF(Listeler!A6="","",Listeler!A6)</f>
        <v>Soğan</v>
      </c>
      <c r="C11" s="19" t="n">
        <f aca="false">IF(B11="","",SUMIFS(Tarifler!$E$5:$E$604,Tarifler!$B$5:$B$604,B11))</f>
        <v>0.7</v>
      </c>
      <c r="D11" s="18" t="str">
        <f aca="false">IF(B11="","",IFERROR(INDEX(Tarifler!$D$5:$D$604,MATCH(B11,Tarifler!$B$5:$B$604,0))&amp;"",""))</f>
        <v>kg</v>
      </c>
    </row>
    <row r="12" customFormat="false" ht="15" hidden="false" customHeight="false" outlineLevel="0" collapsed="false">
      <c r="B12" s="16" t="str">
        <f aca="false">IF(Listeler!A7="","",Listeler!A7)</f>
        <v>Domates</v>
      </c>
      <c r="C12" s="17" t="n">
        <f aca="false">IF(B12="","",SUMIFS(Tarifler!$E$5:$E$604,Tarifler!$B$5:$B$604,B12))</f>
        <v>1.4</v>
      </c>
      <c r="D12" s="16" t="str">
        <f aca="false">IF(B12="","",IFERROR(INDEX(Tarifler!$D$5:$D$604,MATCH(B12,Tarifler!$B$5:$B$604,0))&amp;"",""))</f>
        <v>kg</v>
      </c>
    </row>
    <row r="13" customFormat="false" ht="15" hidden="false" customHeight="false" outlineLevel="0" collapsed="false">
      <c r="B13" s="18" t="str">
        <f aca="false">IF(Listeler!A8="","",Listeler!A8)</f>
        <v>Makarna</v>
      </c>
      <c r="C13" s="19" t="n">
        <f aca="false">IF(B13="","",SUMIFS(Tarifler!$E$5:$E$604,Tarifler!$B$5:$B$604,B13))</f>
        <v>1</v>
      </c>
      <c r="D13" s="18" t="str">
        <f aca="false">IF(B13="","",IFERROR(INDEX(Tarifler!$D$5:$D$604,MATCH(B13,Tarifler!$B$5:$B$604,0))&amp;"",""))</f>
        <v>kg</v>
      </c>
    </row>
    <row r="14" customFormat="false" ht="15" hidden="false" customHeight="false" outlineLevel="0" collapsed="false">
      <c r="B14" s="16" t="str">
        <f aca="false">IF(Listeler!A9="","",Listeler!A9)</f>
        <v>Pirinç</v>
      </c>
      <c r="C14" s="17" t="n">
        <f aca="false">IF(B14="","",SUMIFS(Tarifler!$E$5:$E$604,Tarifler!$B$5:$B$604,B14))</f>
        <v>0.4</v>
      </c>
      <c r="D14" s="16" t="str">
        <f aca="false">IF(B14="","",IFERROR(INDEX(Tarifler!$D$5:$D$604,MATCH(B14,Tarifler!$B$5:$B$604,0))&amp;"",""))</f>
        <v>kg</v>
      </c>
    </row>
    <row r="15" customFormat="false" ht="15" hidden="false" customHeight="false" outlineLevel="0" collapsed="false">
      <c r="B15" s="18" t="str">
        <f aca="false">IF(Listeler!A10="","",Listeler!A10)</f>
        <v>Tavuk but</v>
      </c>
      <c r="C15" s="19" t="n">
        <f aca="false">IF(B15="","",SUMIFS(Tarifler!$E$5:$E$604,Tarifler!$B$5:$B$604,B15))</f>
        <v>1</v>
      </c>
      <c r="D15" s="18" t="str">
        <f aca="false">IF(B15="","",IFERROR(INDEX(Tarifler!$D$5:$D$604,MATCH(B15,Tarifler!$B$5:$B$604,0))&amp;"",""))</f>
        <v>kg</v>
      </c>
    </row>
    <row r="16" customFormat="false" ht="15" hidden="false" customHeight="false" outlineLevel="0" collapsed="false">
      <c r="B16" s="16" t="str">
        <f aca="false">IF(Listeler!A11="","",Listeler!A11)</f>
        <v>Yoğurt</v>
      </c>
      <c r="C16" s="17" t="n">
        <f aca="false">IF(B16="","",SUMIFS(Tarifler!$E$5:$E$604,Tarifler!$B$5:$B$604,B16))</f>
        <v>0</v>
      </c>
      <c r="D16" s="16" t="str">
        <f aca="false">IF(B16="","",IFERROR(INDEX(Tarifler!$D$5:$D$604,MATCH(B16,Tarifler!$B$5:$B$604,0))&amp;"",""))</f>
        <v/>
      </c>
    </row>
    <row r="17" customFormat="false" ht="15" hidden="false" customHeight="false" outlineLevel="0" collapsed="false">
      <c r="B17" s="18" t="str">
        <f aca="false">IF(Listeler!A12="","",Listeler!A12)</f>
        <v>Mercimek</v>
      </c>
      <c r="C17" s="19" t="n">
        <f aca="false">IF(B17="","",SUMIFS(Tarifler!$E$5:$E$604,Tarifler!$B$5:$B$604,B17))</f>
        <v>0.5</v>
      </c>
      <c r="D17" s="18" t="str">
        <f aca="false">IF(B17="","",IFERROR(INDEX(Tarifler!$D$5:$D$604,MATCH(B17,Tarifler!$B$5:$B$604,0))&amp;"",""))</f>
        <v>kg</v>
      </c>
    </row>
    <row r="18" customFormat="false" ht="15" hidden="false" customHeight="false" outlineLevel="0" collapsed="false">
      <c r="B18" s="16" t="str">
        <f aca="false">IF(Listeler!A13="","",Listeler!A13)</f>
        <v>Zeytinyağı</v>
      </c>
      <c r="C18" s="17" t="n">
        <f aca="false">IF(B18="","",SUMIFS(Tarifler!$E$5:$E$604,Tarifler!$B$5:$B$604,B18))</f>
        <v>0</v>
      </c>
      <c r="D18" s="16" t="str">
        <f aca="false">IF(B18="","",IFERROR(INDEX(Tarifler!$D$5:$D$604,MATCH(B18,Tarifler!$B$5:$B$604,0))&amp;"",""))</f>
        <v/>
      </c>
    </row>
    <row r="19" customFormat="false" ht="15" hidden="false" customHeight="false" outlineLevel="0" collapsed="false">
      <c r="B19" s="18" t="str">
        <f aca="false">IF(Listeler!A14="","",Listeler!A14)</f>
        <v>Yumurta</v>
      </c>
      <c r="C19" s="19" t="n">
        <f aca="false">IF(B19="","",SUMIFS(Tarifler!$E$5:$E$604,Tarifler!$B$5:$B$604,B19))</f>
        <v>8</v>
      </c>
      <c r="D19" s="18" t="str">
        <f aca="false">IF(B19="","",IFERROR(INDEX(Tarifler!$D$5:$D$604,MATCH(B19,Tarifler!$B$5:$B$604,0))&amp;"",""))</f>
        <v>adet</v>
      </c>
    </row>
    <row r="20" customFormat="false" ht="15" hidden="false" customHeight="false" outlineLevel="0" collapsed="false">
      <c r="B20" s="16" t="str">
        <f aca="false">IF(Listeler!A15="","",Listeler!A15)</f>
        <v/>
      </c>
      <c r="C20" s="17" t="str">
        <f aca="false">IF(B20="","",SUMIFS(Tarifler!$E$5:$E$604,Tarifler!$B$5:$B$604,B20))</f>
        <v/>
      </c>
      <c r="D20" s="16" t="str">
        <f aca="false">IF(B20="","",IFERROR(INDEX(Tarifler!$D$5:$D$604,MATCH(B20,Tarifler!$B$5:$B$604,0))&amp;"",""))</f>
        <v/>
      </c>
    </row>
    <row r="21" customFormat="false" ht="15" hidden="false" customHeight="false" outlineLevel="0" collapsed="false">
      <c r="B21" s="18" t="str">
        <f aca="false">IF(Listeler!A16="","",Listeler!A16)</f>
        <v/>
      </c>
      <c r="C21" s="19" t="str">
        <f aca="false">IF(B21="","",SUMIFS(Tarifler!$E$5:$E$604,Tarifler!$B$5:$B$604,B21))</f>
        <v/>
      </c>
      <c r="D21" s="18" t="str">
        <f aca="false">IF(B21="","",IFERROR(INDEX(Tarifler!$D$5:$D$604,MATCH(B21,Tarifler!$B$5:$B$604,0))&amp;"",""))</f>
        <v/>
      </c>
    </row>
    <row r="22" customFormat="false" ht="15" hidden="false" customHeight="false" outlineLevel="0" collapsed="false">
      <c r="B22" s="16" t="str">
        <f aca="false">IF(Listeler!A17="","",Listeler!A17)</f>
        <v/>
      </c>
      <c r="C22" s="17" t="str">
        <f aca="false">IF(B22="","",SUMIFS(Tarifler!$E$5:$E$604,Tarifler!$B$5:$B$604,B22))</f>
        <v/>
      </c>
      <c r="D22" s="16" t="str">
        <f aca="false">IF(B22="","",IFERROR(INDEX(Tarifler!$D$5:$D$604,MATCH(B22,Tarifler!$B$5:$B$604,0))&amp;"",""))</f>
        <v/>
      </c>
    </row>
    <row r="23" customFormat="false" ht="15" hidden="false" customHeight="false" outlineLevel="0" collapsed="false">
      <c r="B23" s="18" t="str">
        <f aca="false">IF(Listeler!A18="","",Listeler!A18)</f>
        <v/>
      </c>
      <c r="C23" s="19" t="str">
        <f aca="false">IF(B23="","",SUMIFS(Tarifler!$E$5:$E$604,Tarifler!$B$5:$B$604,B23))</f>
        <v/>
      </c>
      <c r="D23" s="18" t="str">
        <f aca="false">IF(B23="","",IFERROR(INDEX(Tarifler!$D$5:$D$604,MATCH(B23,Tarifler!$B$5:$B$604,0))&amp;"",""))</f>
        <v/>
      </c>
    </row>
    <row r="24" customFormat="false" ht="15" hidden="false" customHeight="false" outlineLevel="0" collapsed="false">
      <c r="B24" s="16" t="str">
        <f aca="false">IF(Listeler!A19="","",Listeler!A19)</f>
        <v/>
      </c>
      <c r="C24" s="17" t="str">
        <f aca="false">IF(B24="","",SUMIFS(Tarifler!$E$5:$E$604,Tarifler!$B$5:$B$604,B24))</f>
        <v/>
      </c>
      <c r="D24" s="16" t="str">
        <f aca="false">IF(B24="","",IFERROR(INDEX(Tarifler!$D$5:$D$604,MATCH(B24,Tarifler!$B$5:$B$604,0))&amp;"",""))</f>
        <v/>
      </c>
    </row>
    <row r="25" customFormat="false" ht="15" hidden="false" customHeight="false" outlineLevel="0" collapsed="false">
      <c r="B25" s="18" t="str">
        <f aca="false">IF(Listeler!A20="","",Listeler!A20)</f>
        <v/>
      </c>
      <c r="C25" s="19" t="str">
        <f aca="false">IF(B25="","",SUMIFS(Tarifler!$E$5:$E$604,Tarifler!$B$5:$B$604,B25))</f>
        <v/>
      </c>
      <c r="D25" s="18" t="str">
        <f aca="false">IF(B25="","",IFERROR(INDEX(Tarifler!$D$5:$D$604,MATCH(B25,Tarifler!$B$5:$B$604,0))&amp;"",""))</f>
        <v/>
      </c>
    </row>
    <row r="26" customFormat="false" ht="15" hidden="false" customHeight="false" outlineLevel="0" collapsed="false">
      <c r="B26" s="16" t="str">
        <f aca="false">IF(Listeler!A21="","",Listeler!A21)</f>
        <v/>
      </c>
      <c r="C26" s="17" t="str">
        <f aca="false">IF(B26="","",SUMIFS(Tarifler!$E$5:$E$604,Tarifler!$B$5:$B$604,B26))</f>
        <v/>
      </c>
      <c r="D26" s="16" t="str">
        <f aca="false">IF(B26="","",IFERROR(INDEX(Tarifler!$D$5:$D$604,MATCH(B26,Tarifler!$B$5:$B$604,0))&amp;"",""))</f>
        <v/>
      </c>
    </row>
    <row r="27" customFormat="false" ht="15" hidden="false" customHeight="false" outlineLevel="0" collapsed="false">
      <c r="B27" s="18" t="str">
        <f aca="false">IF(Listeler!A22="","",Listeler!A22)</f>
        <v/>
      </c>
      <c r="C27" s="19" t="str">
        <f aca="false">IF(B27="","",SUMIFS(Tarifler!$E$5:$E$604,Tarifler!$B$5:$B$604,B27))</f>
        <v/>
      </c>
      <c r="D27" s="18" t="str">
        <f aca="false">IF(B27="","",IFERROR(INDEX(Tarifler!$D$5:$D$604,MATCH(B27,Tarifler!$B$5:$B$604,0))&amp;"",""))</f>
        <v/>
      </c>
    </row>
    <row r="28" customFormat="false" ht="15" hidden="false" customHeight="false" outlineLevel="0" collapsed="false">
      <c r="B28" s="16" t="str">
        <f aca="false">IF(Listeler!A23="","",Listeler!A23)</f>
        <v/>
      </c>
      <c r="C28" s="17" t="str">
        <f aca="false">IF(B28="","",SUMIFS(Tarifler!$E$5:$E$604,Tarifler!$B$5:$B$604,B28))</f>
        <v/>
      </c>
      <c r="D28" s="16" t="str">
        <f aca="false">IF(B28="","",IFERROR(INDEX(Tarifler!$D$5:$D$604,MATCH(B28,Tarifler!$B$5:$B$604,0))&amp;"",""))</f>
        <v/>
      </c>
    </row>
    <row r="29" customFormat="false" ht="15" hidden="false" customHeight="false" outlineLevel="0" collapsed="false">
      <c r="B29" s="18" t="str">
        <f aca="false">IF(Listeler!A24="","",Listeler!A24)</f>
        <v/>
      </c>
      <c r="C29" s="19" t="str">
        <f aca="false">IF(B29="","",SUMIFS(Tarifler!$E$5:$E$604,Tarifler!$B$5:$B$604,B29))</f>
        <v/>
      </c>
      <c r="D29" s="18" t="str">
        <f aca="false">IF(B29="","",IFERROR(INDEX(Tarifler!$D$5:$D$604,MATCH(B29,Tarifler!$B$5:$B$604,0))&amp;"",""))</f>
        <v/>
      </c>
    </row>
    <row r="30" customFormat="false" ht="15" hidden="false" customHeight="false" outlineLevel="0" collapsed="false">
      <c r="B30" s="16" t="str">
        <f aca="false">IF(Listeler!A25="","",Listeler!A25)</f>
        <v/>
      </c>
      <c r="C30" s="17" t="str">
        <f aca="false">IF(B30="","",SUMIFS(Tarifler!$E$5:$E$604,Tarifler!$B$5:$B$604,B30))</f>
        <v/>
      </c>
      <c r="D30" s="16" t="str">
        <f aca="false">IF(B30="","",IFERROR(INDEX(Tarifler!$D$5:$D$604,MATCH(B30,Tarifler!$B$5:$B$604,0))&amp;"",""))</f>
        <v/>
      </c>
    </row>
    <row r="31" customFormat="false" ht="15" hidden="false" customHeight="false" outlineLevel="0" collapsed="false">
      <c r="B31" s="18" t="str">
        <f aca="false">IF(Listeler!A26="","",Listeler!A26)</f>
        <v/>
      </c>
      <c r="C31" s="19" t="str">
        <f aca="false">IF(B31="","",SUMIFS(Tarifler!$E$5:$E$604,Tarifler!$B$5:$B$604,B31))</f>
        <v/>
      </c>
      <c r="D31" s="18" t="str">
        <f aca="false">IF(B31="","",IFERROR(INDEX(Tarifler!$D$5:$D$604,MATCH(B31,Tarifler!$B$5:$B$604,0))&amp;"",""))</f>
        <v/>
      </c>
    </row>
    <row r="32" customFormat="false" ht="15" hidden="false" customHeight="false" outlineLevel="0" collapsed="false">
      <c r="B32" s="16" t="str">
        <f aca="false">IF(Listeler!A27="","",Listeler!A27)</f>
        <v/>
      </c>
      <c r="C32" s="17" t="str">
        <f aca="false">IF(B32="","",SUMIFS(Tarifler!$E$5:$E$604,Tarifler!$B$5:$B$604,B32))</f>
        <v/>
      </c>
      <c r="D32" s="16" t="str">
        <f aca="false">IF(B32="","",IFERROR(INDEX(Tarifler!$D$5:$D$604,MATCH(B32,Tarifler!$B$5:$B$604,0))&amp;"",""))</f>
        <v/>
      </c>
    </row>
    <row r="33" customFormat="false" ht="15" hidden="false" customHeight="false" outlineLevel="0" collapsed="false">
      <c r="B33" s="18" t="str">
        <f aca="false">IF(Listeler!A28="","",Listeler!A28)</f>
        <v/>
      </c>
      <c r="C33" s="19" t="str">
        <f aca="false">IF(B33="","",SUMIFS(Tarifler!$E$5:$E$604,Tarifler!$B$5:$B$604,B33))</f>
        <v/>
      </c>
      <c r="D33" s="18" t="str">
        <f aca="false">IF(B33="","",IFERROR(INDEX(Tarifler!$D$5:$D$604,MATCH(B33,Tarifler!$B$5:$B$604,0))&amp;"",""))</f>
        <v/>
      </c>
    </row>
    <row r="34" customFormat="false" ht="15" hidden="false" customHeight="false" outlineLevel="0" collapsed="false">
      <c r="B34" s="16" t="str">
        <f aca="false">IF(Listeler!A29="","",Listeler!A29)</f>
        <v/>
      </c>
      <c r="C34" s="17" t="str">
        <f aca="false">IF(B34="","",SUMIFS(Tarifler!$E$5:$E$604,Tarifler!$B$5:$B$604,B34))</f>
        <v/>
      </c>
      <c r="D34" s="16" t="str">
        <f aca="false">IF(B34="","",IFERROR(INDEX(Tarifler!$D$5:$D$604,MATCH(B34,Tarifler!$B$5:$B$604,0))&amp;"",""))</f>
        <v/>
      </c>
    </row>
    <row r="35" customFormat="false" ht="15" hidden="false" customHeight="false" outlineLevel="0" collapsed="false">
      <c r="B35" s="18" t="str">
        <f aca="false">IF(Listeler!A30="","",Listeler!A30)</f>
        <v/>
      </c>
      <c r="C35" s="19" t="str">
        <f aca="false">IF(B35="","",SUMIFS(Tarifler!$E$5:$E$604,Tarifler!$B$5:$B$604,B35))</f>
        <v/>
      </c>
      <c r="D35" s="18" t="str">
        <f aca="false">IF(B35="","",IFERROR(INDEX(Tarifler!$D$5:$D$604,MATCH(B35,Tarifler!$B$5:$B$604,0))&amp;"",""))</f>
        <v/>
      </c>
    </row>
    <row r="36" customFormat="false" ht="15" hidden="false" customHeight="false" outlineLevel="0" collapsed="false">
      <c r="B36" s="16" t="str">
        <f aca="false">IF(Listeler!A31="","",Listeler!A31)</f>
        <v/>
      </c>
      <c r="C36" s="17" t="str">
        <f aca="false">IF(B36="","",SUMIFS(Tarifler!$E$5:$E$604,Tarifler!$B$5:$B$604,B36))</f>
        <v/>
      </c>
      <c r="D36" s="16" t="str">
        <f aca="false">IF(B36="","",IFERROR(INDEX(Tarifler!$D$5:$D$604,MATCH(B36,Tarifler!$B$5:$B$604,0))&amp;"",""))</f>
        <v/>
      </c>
    </row>
    <row r="37" customFormat="false" ht="15" hidden="false" customHeight="false" outlineLevel="0" collapsed="false">
      <c r="B37" s="18" t="str">
        <f aca="false">IF(Listeler!A32="","",Listeler!A32)</f>
        <v/>
      </c>
      <c r="C37" s="19" t="str">
        <f aca="false">IF(B37="","",SUMIFS(Tarifler!$E$5:$E$604,Tarifler!$B$5:$B$604,B37))</f>
        <v/>
      </c>
      <c r="D37" s="18" t="str">
        <f aca="false">IF(B37="","",IFERROR(INDEX(Tarifler!$D$5:$D$604,MATCH(B37,Tarifler!$B$5:$B$604,0))&amp;"",""))</f>
        <v/>
      </c>
    </row>
    <row r="38" customFormat="false" ht="15" hidden="false" customHeight="false" outlineLevel="0" collapsed="false">
      <c r="B38" s="16" t="str">
        <f aca="false">IF(Listeler!A33="","",Listeler!A33)</f>
        <v/>
      </c>
      <c r="C38" s="17" t="str">
        <f aca="false">IF(B38="","",SUMIFS(Tarifler!$E$5:$E$604,Tarifler!$B$5:$B$604,B38))</f>
        <v/>
      </c>
      <c r="D38" s="16" t="str">
        <f aca="false">IF(B38="","",IFERROR(INDEX(Tarifler!$D$5:$D$604,MATCH(B38,Tarifler!$B$5:$B$604,0))&amp;"",""))</f>
        <v/>
      </c>
    </row>
    <row r="39" customFormat="false" ht="15" hidden="false" customHeight="false" outlineLevel="0" collapsed="false">
      <c r="B39" s="18" t="str">
        <f aca="false">IF(Listeler!A34="","",Listeler!A34)</f>
        <v/>
      </c>
      <c r="C39" s="19" t="str">
        <f aca="false">IF(B39="","",SUMIFS(Tarifler!$E$5:$E$604,Tarifler!$B$5:$B$604,B39))</f>
        <v/>
      </c>
      <c r="D39" s="18" t="str">
        <f aca="false">IF(B39="","",IFERROR(INDEX(Tarifler!$D$5:$D$604,MATCH(B39,Tarifler!$B$5:$B$604,0))&amp;"",""))</f>
        <v/>
      </c>
    </row>
    <row r="40" customFormat="false" ht="15" hidden="false" customHeight="false" outlineLevel="0" collapsed="false">
      <c r="B40" s="16" t="str">
        <f aca="false">IF(Listeler!A35="","",Listeler!A35)</f>
        <v/>
      </c>
      <c r="C40" s="17" t="str">
        <f aca="false">IF(B40="","",SUMIFS(Tarifler!$E$5:$E$604,Tarifler!$B$5:$B$604,B40))</f>
        <v/>
      </c>
      <c r="D40" s="16" t="str">
        <f aca="false">IF(B40="","",IFERROR(INDEX(Tarifler!$D$5:$D$604,MATCH(B40,Tarifler!$B$5:$B$604,0))&amp;"",""))</f>
        <v/>
      </c>
    </row>
    <row r="41" customFormat="false" ht="15" hidden="false" customHeight="false" outlineLevel="0" collapsed="false">
      <c r="B41" s="18" t="str">
        <f aca="false">IF(Listeler!A36="","",Listeler!A36)</f>
        <v/>
      </c>
      <c r="C41" s="19" t="str">
        <f aca="false">IF(B41="","",SUMIFS(Tarifler!$E$5:$E$604,Tarifler!$B$5:$B$604,B41))</f>
        <v/>
      </c>
      <c r="D41" s="18" t="str">
        <f aca="false">IF(B41="","",IFERROR(INDEX(Tarifler!$D$5:$D$604,MATCH(B41,Tarifler!$B$5:$B$604,0))&amp;"",""))</f>
        <v/>
      </c>
    </row>
    <row r="42" customFormat="false" ht="15" hidden="false" customHeight="false" outlineLevel="0" collapsed="false">
      <c r="B42" s="16" t="str">
        <f aca="false">IF(Listeler!A37="","",Listeler!A37)</f>
        <v/>
      </c>
      <c r="C42" s="17" t="str">
        <f aca="false">IF(B42="","",SUMIFS(Tarifler!$E$5:$E$604,Tarifler!$B$5:$B$604,B42))</f>
        <v/>
      </c>
      <c r="D42" s="16" t="str">
        <f aca="false">IF(B42="","",IFERROR(INDEX(Tarifler!$D$5:$D$604,MATCH(B42,Tarifler!$B$5:$B$604,0))&amp;"",""))</f>
        <v/>
      </c>
    </row>
    <row r="43" customFormat="false" ht="15" hidden="false" customHeight="false" outlineLevel="0" collapsed="false">
      <c r="B43" s="18" t="str">
        <f aca="false">IF(Listeler!A38="","",Listeler!A38)</f>
        <v/>
      </c>
      <c r="C43" s="19" t="str">
        <f aca="false">IF(B43="","",SUMIFS(Tarifler!$E$5:$E$604,Tarifler!$B$5:$B$604,B43))</f>
        <v/>
      </c>
      <c r="D43" s="18" t="str">
        <f aca="false">IF(B43="","",IFERROR(INDEX(Tarifler!$D$5:$D$604,MATCH(B43,Tarifler!$B$5:$B$604,0))&amp;"",""))</f>
        <v/>
      </c>
    </row>
    <row r="44" customFormat="false" ht="15" hidden="false" customHeight="false" outlineLevel="0" collapsed="false">
      <c r="B44" s="16" t="str">
        <f aca="false">IF(Listeler!A39="","",Listeler!A39)</f>
        <v/>
      </c>
      <c r="C44" s="17" t="str">
        <f aca="false">IF(B44="","",SUMIFS(Tarifler!$E$5:$E$604,Tarifler!$B$5:$B$604,B44))</f>
        <v/>
      </c>
      <c r="D44" s="16" t="str">
        <f aca="false">IF(B44="","",IFERROR(INDEX(Tarifler!$D$5:$D$604,MATCH(B44,Tarifler!$B$5:$B$604,0))&amp;"",""))</f>
        <v/>
      </c>
    </row>
    <row r="45" customFormat="false" ht="15" hidden="false" customHeight="false" outlineLevel="0" collapsed="false">
      <c r="B45" s="18" t="str">
        <f aca="false">IF(Listeler!A40="","",Listeler!A40)</f>
        <v/>
      </c>
      <c r="C45" s="19" t="str">
        <f aca="false">IF(B45="","",SUMIFS(Tarifler!$E$5:$E$604,Tarifler!$B$5:$B$604,B45))</f>
        <v/>
      </c>
      <c r="D45" s="18" t="str">
        <f aca="false">IF(B45="","",IFERROR(INDEX(Tarifler!$D$5:$D$604,MATCH(B45,Tarifler!$B$5:$B$604,0))&amp;"",""))</f>
        <v/>
      </c>
    </row>
    <row r="46" customFormat="false" ht="15" hidden="false" customHeight="false" outlineLevel="0" collapsed="false">
      <c r="B46" s="16" t="str">
        <f aca="false">IF(Listeler!A41="","",Listeler!A41)</f>
        <v/>
      </c>
      <c r="C46" s="17" t="str">
        <f aca="false">IF(B46="","",SUMIFS(Tarifler!$E$5:$E$604,Tarifler!$B$5:$B$604,B46))</f>
        <v/>
      </c>
      <c r="D46" s="16" t="str">
        <f aca="false">IF(B46="","",IFERROR(INDEX(Tarifler!$D$5:$D$604,MATCH(B46,Tarifler!$B$5:$B$604,0))&amp;"",""))</f>
        <v/>
      </c>
    </row>
    <row r="47" customFormat="false" ht="15" hidden="false" customHeight="false" outlineLevel="0" collapsed="false">
      <c r="B47" s="18" t="str">
        <f aca="false">IF(Listeler!A42="","",Listeler!A42)</f>
        <v/>
      </c>
      <c r="C47" s="19" t="str">
        <f aca="false">IF(B47="","",SUMIFS(Tarifler!$E$5:$E$604,Tarifler!$B$5:$B$604,B47))</f>
        <v/>
      </c>
      <c r="D47" s="18" t="str">
        <f aca="false">IF(B47="","",IFERROR(INDEX(Tarifler!$D$5:$D$604,MATCH(B47,Tarifler!$B$5:$B$604,0))&amp;"",""))</f>
        <v/>
      </c>
    </row>
    <row r="48" customFormat="false" ht="15" hidden="false" customHeight="false" outlineLevel="0" collapsed="false">
      <c r="B48" s="16" t="str">
        <f aca="false">IF(Listeler!A43="","",Listeler!A43)</f>
        <v/>
      </c>
      <c r="C48" s="17" t="str">
        <f aca="false">IF(B48="","",SUMIFS(Tarifler!$E$5:$E$604,Tarifler!$B$5:$B$604,B48))</f>
        <v/>
      </c>
      <c r="D48" s="16" t="str">
        <f aca="false">IF(B48="","",IFERROR(INDEX(Tarifler!$D$5:$D$604,MATCH(B48,Tarifler!$B$5:$B$604,0))&amp;"",""))</f>
        <v/>
      </c>
    </row>
    <row r="49" customFormat="false" ht="15" hidden="false" customHeight="false" outlineLevel="0" collapsed="false">
      <c r="B49" s="18" t="str">
        <f aca="false">IF(Listeler!A44="","",Listeler!A44)</f>
        <v/>
      </c>
      <c r="C49" s="19" t="str">
        <f aca="false">IF(B49="","",SUMIFS(Tarifler!$E$5:$E$604,Tarifler!$B$5:$B$604,B49))</f>
        <v/>
      </c>
      <c r="D49" s="18" t="str">
        <f aca="false">IF(B49="","",IFERROR(INDEX(Tarifler!$D$5:$D$604,MATCH(B49,Tarifler!$B$5:$B$604,0))&amp;"",""))</f>
        <v/>
      </c>
    </row>
    <row r="50" customFormat="false" ht="15" hidden="false" customHeight="false" outlineLevel="0" collapsed="false">
      <c r="B50" s="16" t="str">
        <f aca="false">IF(Listeler!A45="","",Listeler!A45)</f>
        <v/>
      </c>
      <c r="C50" s="17" t="str">
        <f aca="false">IF(B50="","",SUMIFS(Tarifler!$E$5:$E$604,Tarifler!$B$5:$B$604,B50))</f>
        <v/>
      </c>
      <c r="D50" s="16" t="str">
        <f aca="false">IF(B50="","",IFERROR(INDEX(Tarifler!$D$5:$D$604,MATCH(B50,Tarifler!$B$5:$B$604,0))&amp;"",""))</f>
        <v/>
      </c>
    </row>
    <row r="51" customFormat="false" ht="15" hidden="false" customHeight="false" outlineLevel="0" collapsed="false">
      <c r="B51" s="18" t="str">
        <f aca="false">IF(Listeler!A46="","",Listeler!A46)</f>
        <v/>
      </c>
      <c r="C51" s="19" t="str">
        <f aca="false">IF(B51="","",SUMIFS(Tarifler!$E$5:$E$604,Tarifler!$B$5:$B$604,B51))</f>
        <v/>
      </c>
      <c r="D51" s="18" t="str">
        <f aca="false">IF(B51="","",IFERROR(INDEX(Tarifler!$D$5:$D$604,MATCH(B51,Tarifler!$B$5:$B$604,0))&amp;"",""))</f>
        <v/>
      </c>
    </row>
    <row r="52" customFormat="false" ht="15" hidden="false" customHeight="false" outlineLevel="0" collapsed="false">
      <c r="B52" s="16" t="str">
        <f aca="false">IF(Listeler!A47="","",Listeler!A47)</f>
        <v/>
      </c>
      <c r="C52" s="17" t="str">
        <f aca="false">IF(B52="","",SUMIFS(Tarifler!$E$5:$E$604,Tarifler!$B$5:$B$604,B52))</f>
        <v/>
      </c>
      <c r="D52" s="16" t="str">
        <f aca="false">IF(B52="","",IFERROR(INDEX(Tarifler!$D$5:$D$604,MATCH(B52,Tarifler!$B$5:$B$604,0))&amp;"",""))</f>
        <v/>
      </c>
    </row>
    <row r="53" customFormat="false" ht="15" hidden="false" customHeight="false" outlineLevel="0" collapsed="false">
      <c r="B53" s="18" t="str">
        <f aca="false">IF(Listeler!A48="","",Listeler!A48)</f>
        <v/>
      </c>
      <c r="C53" s="19" t="str">
        <f aca="false">IF(B53="","",SUMIFS(Tarifler!$E$5:$E$604,Tarifler!$B$5:$B$604,B53))</f>
        <v/>
      </c>
      <c r="D53" s="18" t="str">
        <f aca="false">IF(B53="","",IFERROR(INDEX(Tarifler!$D$5:$D$604,MATCH(B53,Tarifler!$B$5:$B$604,0))&amp;"",""))</f>
        <v/>
      </c>
    </row>
    <row r="54" customFormat="false" ht="15" hidden="false" customHeight="false" outlineLevel="0" collapsed="false">
      <c r="B54" s="16" t="str">
        <f aca="false">IF(Listeler!A49="","",Listeler!A49)</f>
        <v/>
      </c>
      <c r="C54" s="17" t="str">
        <f aca="false">IF(B54="","",SUMIFS(Tarifler!$E$5:$E$604,Tarifler!$B$5:$B$604,B54))</f>
        <v/>
      </c>
      <c r="D54" s="16" t="str">
        <f aca="false">IF(B54="","",IFERROR(INDEX(Tarifler!$D$5:$D$604,MATCH(B54,Tarifler!$B$5:$B$604,0))&amp;"",""))</f>
        <v/>
      </c>
    </row>
    <row r="55" customFormat="false" ht="15" hidden="false" customHeight="false" outlineLevel="0" collapsed="false">
      <c r="B55" s="18" t="str">
        <f aca="false">IF(Listeler!A50="","",Listeler!A50)</f>
        <v/>
      </c>
      <c r="C55" s="19" t="str">
        <f aca="false">IF(B55="","",SUMIFS(Tarifler!$E$5:$E$604,Tarifler!$B$5:$B$604,B55))</f>
        <v/>
      </c>
      <c r="D55" s="18" t="str">
        <f aca="false">IF(B55="","",IFERROR(INDEX(Tarifler!$D$5:$D$604,MATCH(B55,Tarifler!$B$5:$B$604,0))&amp;"",""))</f>
        <v/>
      </c>
    </row>
    <row r="56" customFormat="false" ht="15" hidden="false" customHeight="false" outlineLevel="0" collapsed="false">
      <c r="B56" s="16" t="str">
        <f aca="false">IF(Listeler!A51="","",Listeler!A51)</f>
        <v/>
      </c>
      <c r="C56" s="17" t="str">
        <f aca="false">IF(B56="","",SUMIFS(Tarifler!$E$5:$E$604,Tarifler!$B$5:$B$604,B56))</f>
        <v/>
      </c>
      <c r="D56" s="16" t="str">
        <f aca="false">IF(B56="","",IFERROR(INDEX(Tarifler!$D$5:$D$604,MATCH(B56,Tarifler!$B$5:$B$604,0))&amp;"",""))</f>
        <v/>
      </c>
    </row>
    <row r="57" customFormat="false" ht="15" hidden="false" customHeight="false" outlineLevel="0" collapsed="false">
      <c r="B57" s="18" t="str">
        <f aca="false">IF(Listeler!A52="","",Listeler!A52)</f>
        <v/>
      </c>
      <c r="C57" s="19" t="str">
        <f aca="false">IF(B57="","",SUMIFS(Tarifler!$E$5:$E$604,Tarifler!$B$5:$B$604,B57))</f>
        <v/>
      </c>
      <c r="D57" s="18" t="str">
        <f aca="false">IF(B57="","",IFERROR(INDEX(Tarifler!$D$5:$D$604,MATCH(B57,Tarifler!$B$5:$B$604,0))&amp;"",""))</f>
        <v/>
      </c>
    </row>
    <row r="58" customFormat="false" ht="15" hidden="false" customHeight="false" outlineLevel="0" collapsed="false">
      <c r="B58" s="16" t="str">
        <f aca="false">IF(Listeler!A53="","",Listeler!A53)</f>
        <v/>
      </c>
      <c r="C58" s="17" t="str">
        <f aca="false">IF(B58="","",SUMIFS(Tarifler!$E$5:$E$604,Tarifler!$B$5:$B$604,B58))</f>
        <v/>
      </c>
      <c r="D58" s="16" t="str">
        <f aca="false">IF(B58="","",IFERROR(INDEX(Tarifler!$D$5:$D$604,MATCH(B58,Tarifler!$B$5:$B$604,0))&amp;"",""))</f>
        <v/>
      </c>
    </row>
    <row r="59" customFormat="false" ht="15" hidden="false" customHeight="false" outlineLevel="0" collapsed="false">
      <c r="B59" s="18" t="str">
        <f aca="false">IF(Listeler!A54="","",Listeler!A54)</f>
        <v/>
      </c>
      <c r="C59" s="19" t="str">
        <f aca="false">IF(B59="","",SUMIFS(Tarifler!$E$5:$E$604,Tarifler!$B$5:$B$604,B59))</f>
        <v/>
      </c>
      <c r="D59" s="18" t="str">
        <f aca="false">IF(B59="","",IFERROR(INDEX(Tarifler!$D$5:$D$604,MATCH(B59,Tarifler!$B$5:$B$604,0))&amp;"",""))</f>
        <v/>
      </c>
    </row>
    <row r="60" customFormat="false" ht="15" hidden="false" customHeight="false" outlineLevel="0" collapsed="false">
      <c r="B60" s="16" t="str">
        <f aca="false">IF(Listeler!A55="","",Listeler!A55)</f>
        <v/>
      </c>
      <c r="C60" s="17" t="str">
        <f aca="false">IF(B60="","",SUMIFS(Tarifler!$E$5:$E$604,Tarifler!$B$5:$B$604,B60))</f>
        <v/>
      </c>
      <c r="D60" s="16" t="str">
        <f aca="false">IF(B60="","",IFERROR(INDEX(Tarifler!$D$5:$D$604,MATCH(B60,Tarifler!$B$5:$B$604,0))&amp;"",""))</f>
        <v/>
      </c>
    </row>
    <row r="61" customFormat="false" ht="15" hidden="false" customHeight="false" outlineLevel="0" collapsed="false">
      <c r="B61" s="18" t="str">
        <f aca="false">IF(Listeler!A56="","",Listeler!A56)</f>
        <v/>
      </c>
      <c r="C61" s="19" t="str">
        <f aca="false">IF(B61="","",SUMIFS(Tarifler!$E$5:$E$604,Tarifler!$B$5:$B$604,B61))</f>
        <v/>
      </c>
      <c r="D61" s="18" t="str">
        <f aca="false">IF(B61="","",IFERROR(INDEX(Tarifler!$D$5:$D$604,MATCH(B61,Tarifler!$B$5:$B$604,0))&amp;"",""))</f>
        <v/>
      </c>
    </row>
    <row r="62" customFormat="false" ht="15" hidden="false" customHeight="false" outlineLevel="0" collapsed="false">
      <c r="B62" s="16" t="str">
        <f aca="false">IF(Listeler!A57="","",Listeler!A57)</f>
        <v/>
      </c>
      <c r="C62" s="17" t="str">
        <f aca="false">IF(B62="","",SUMIFS(Tarifler!$E$5:$E$604,Tarifler!$B$5:$B$604,B62))</f>
        <v/>
      </c>
      <c r="D62" s="16" t="str">
        <f aca="false">IF(B62="","",IFERROR(INDEX(Tarifler!$D$5:$D$604,MATCH(B62,Tarifler!$B$5:$B$604,0))&amp;"",""))</f>
        <v/>
      </c>
    </row>
    <row r="63" customFormat="false" ht="15" hidden="false" customHeight="false" outlineLevel="0" collapsed="false">
      <c r="B63" s="18" t="str">
        <f aca="false">IF(Listeler!A58="","",Listeler!A58)</f>
        <v/>
      </c>
      <c r="C63" s="19" t="str">
        <f aca="false">IF(B63="","",SUMIFS(Tarifler!$E$5:$E$604,Tarifler!$B$5:$B$604,B63))</f>
        <v/>
      </c>
      <c r="D63" s="18" t="str">
        <f aca="false">IF(B63="","",IFERROR(INDEX(Tarifler!$D$5:$D$604,MATCH(B63,Tarifler!$B$5:$B$604,0))&amp;"",""))</f>
        <v/>
      </c>
    </row>
    <row r="64" customFormat="false" ht="15" hidden="false" customHeight="false" outlineLevel="0" collapsed="false">
      <c r="B64" s="16" t="str">
        <f aca="false">IF(Listeler!A59="","",Listeler!A59)</f>
        <v/>
      </c>
      <c r="C64" s="17" t="str">
        <f aca="false">IF(B64="","",SUMIFS(Tarifler!$E$5:$E$604,Tarifler!$B$5:$B$604,B64))</f>
        <v/>
      </c>
      <c r="D64" s="16" t="str">
        <f aca="false">IF(B64="","",IFERROR(INDEX(Tarifler!$D$5:$D$604,MATCH(B64,Tarifler!$B$5:$B$604,0))&amp;"",""))</f>
        <v/>
      </c>
    </row>
    <row r="65" customFormat="false" ht="15" hidden="false" customHeight="false" outlineLevel="0" collapsed="false">
      <c r="B65" s="18" t="str">
        <f aca="false">IF(Listeler!A60="","",Listeler!A60)</f>
        <v/>
      </c>
      <c r="C65" s="19" t="str">
        <f aca="false">IF(B65="","",SUMIFS(Tarifler!$E$5:$E$604,Tarifler!$B$5:$B$604,B65))</f>
        <v/>
      </c>
      <c r="D65" s="18" t="str">
        <f aca="false">IF(B65="","",IFERROR(INDEX(Tarifler!$D$5:$D$604,MATCH(B65,Tarifler!$B$5:$B$604,0))&amp;"",""))</f>
        <v/>
      </c>
    </row>
    <row r="66" customFormat="false" ht="15" hidden="false" customHeight="false" outlineLevel="0" collapsed="false">
      <c r="B66" s="16" t="str">
        <f aca="false">IF(Listeler!A61="","",Listeler!A61)</f>
        <v/>
      </c>
      <c r="C66" s="17" t="str">
        <f aca="false">IF(B66="","",SUMIFS(Tarifler!$E$5:$E$604,Tarifler!$B$5:$B$604,B66))</f>
        <v/>
      </c>
      <c r="D66" s="16" t="str">
        <f aca="false">IF(B66="","",IFERROR(INDEX(Tarifler!$D$5:$D$604,MATCH(B66,Tarifler!$B$5:$B$604,0))&amp;"",""))</f>
        <v/>
      </c>
    </row>
    <row r="67" customFormat="false" ht="15" hidden="false" customHeight="false" outlineLevel="0" collapsed="false">
      <c r="B67" s="18" t="str">
        <f aca="false">IF(Listeler!A62="","",Listeler!A62)</f>
        <v/>
      </c>
      <c r="C67" s="19" t="str">
        <f aca="false">IF(B67="","",SUMIFS(Tarifler!$E$5:$E$604,Tarifler!$B$5:$B$604,B67))</f>
        <v/>
      </c>
      <c r="D67" s="18" t="str">
        <f aca="false">IF(B67="","",IFERROR(INDEX(Tarifler!$D$5:$D$604,MATCH(B67,Tarifler!$B$5:$B$604,0))&amp;"",""))</f>
        <v/>
      </c>
    </row>
    <row r="68" customFormat="false" ht="15" hidden="false" customHeight="false" outlineLevel="0" collapsed="false">
      <c r="B68" s="16" t="str">
        <f aca="false">IF(Listeler!A63="","",Listeler!A63)</f>
        <v/>
      </c>
      <c r="C68" s="17" t="str">
        <f aca="false">IF(B68="","",SUMIFS(Tarifler!$E$5:$E$604,Tarifler!$B$5:$B$604,B68))</f>
        <v/>
      </c>
      <c r="D68" s="16" t="str">
        <f aca="false">IF(B68="","",IFERROR(INDEX(Tarifler!$D$5:$D$604,MATCH(B68,Tarifler!$B$5:$B$604,0))&amp;"",""))</f>
        <v/>
      </c>
    </row>
    <row r="69" customFormat="false" ht="15" hidden="false" customHeight="false" outlineLevel="0" collapsed="false">
      <c r="B69" s="18" t="str">
        <f aca="false">IF(Listeler!A64="","",Listeler!A64)</f>
        <v/>
      </c>
      <c r="C69" s="19" t="str">
        <f aca="false">IF(B69="","",SUMIFS(Tarifler!$E$5:$E$604,Tarifler!$B$5:$B$604,B69))</f>
        <v/>
      </c>
      <c r="D69" s="18" t="str">
        <f aca="false">IF(B69="","",IFERROR(INDEX(Tarifler!$D$5:$D$604,MATCH(B69,Tarifler!$B$5:$B$604,0))&amp;"",""))</f>
        <v/>
      </c>
    </row>
    <row r="70" customFormat="false" ht="15" hidden="false" customHeight="false" outlineLevel="0" collapsed="false">
      <c r="B70" s="16" t="str">
        <f aca="false">IF(Listeler!A65="","",Listeler!A65)</f>
        <v/>
      </c>
      <c r="C70" s="17" t="str">
        <f aca="false">IF(B70="","",SUMIFS(Tarifler!$E$5:$E$604,Tarifler!$B$5:$B$604,B70))</f>
        <v/>
      </c>
      <c r="D70" s="16" t="str">
        <f aca="false">IF(B70="","",IFERROR(INDEX(Tarifler!$D$5:$D$604,MATCH(B70,Tarifler!$B$5:$B$604,0))&amp;"",""))</f>
        <v/>
      </c>
    </row>
    <row r="71" customFormat="false" ht="15" hidden="false" customHeight="false" outlineLevel="0" collapsed="false">
      <c r="B71" s="18" t="str">
        <f aca="false">IF(Listeler!A66="","",Listeler!A66)</f>
        <v/>
      </c>
      <c r="C71" s="19" t="str">
        <f aca="false">IF(B71="","",SUMIFS(Tarifler!$E$5:$E$604,Tarifler!$B$5:$B$604,B71))</f>
        <v/>
      </c>
      <c r="D71" s="18" t="str">
        <f aca="false">IF(B71="","",IFERROR(INDEX(Tarifler!$D$5:$D$604,MATCH(B71,Tarifler!$B$5:$B$604,0))&amp;"",""))</f>
        <v/>
      </c>
    </row>
    <row r="72" customFormat="false" ht="15" hidden="false" customHeight="false" outlineLevel="0" collapsed="false">
      <c r="B72" s="16" t="str">
        <f aca="false">IF(Listeler!A67="","",Listeler!A67)</f>
        <v/>
      </c>
      <c r="C72" s="17" t="str">
        <f aca="false">IF(B72="","",SUMIFS(Tarifler!$E$5:$E$604,Tarifler!$B$5:$B$604,B72))</f>
        <v/>
      </c>
      <c r="D72" s="16" t="str">
        <f aca="false">IF(B72="","",IFERROR(INDEX(Tarifler!$D$5:$D$604,MATCH(B72,Tarifler!$B$5:$B$604,0))&amp;"",""))</f>
        <v/>
      </c>
    </row>
    <row r="73" customFormat="false" ht="15" hidden="false" customHeight="false" outlineLevel="0" collapsed="false">
      <c r="B73" s="18" t="str">
        <f aca="false">IF(Listeler!A68="","",Listeler!A68)</f>
        <v/>
      </c>
      <c r="C73" s="19" t="str">
        <f aca="false">IF(B73="","",SUMIFS(Tarifler!$E$5:$E$604,Tarifler!$B$5:$B$604,B73))</f>
        <v/>
      </c>
      <c r="D73" s="18" t="str">
        <f aca="false">IF(B73="","",IFERROR(INDEX(Tarifler!$D$5:$D$604,MATCH(B73,Tarifler!$B$5:$B$604,0))&amp;"",""))</f>
        <v/>
      </c>
    </row>
    <row r="74" customFormat="false" ht="15" hidden="false" customHeight="false" outlineLevel="0" collapsed="false">
      <c r="B74" s="16" t="str">
        <f aca="false">IF(Listeler!A69="","",Listeler!A69)</f>
        <v/>
      </c>
      <c r="C74" s="17" t="str">
        <f aca="false">IF(B74="","",SUMIFS(Tarifler!$E$5:$E$604,Tarifler!$B$5:$B$604,B74))</f>
        <v/>
      </c>
      <c r="D74" s="16" t="str">
        <f aca="false">IF(B74="","",IFERROR(INDEX(Tarifler!$D$5:$D$604,MATCH(B74,Tarifler!$B$5:$B$604,0))&amp;"",""))</f>
        <v/>
      </c>
    </row>
    <row r="75" customFormat="false" ht="15" hidden="false" customHeight="false" outlineLevel="0" collapsed="false">
      <c r="B75" s="18" t="str">
        <f aca="false">IF(Listeler!A70="","",Listeler!A70)</f>
        <v/>
      </c>
      <c r="C75" s="19" t="str">
        <f aca="false">IF(B75="","",SUMIFS(Tarifler!$E$5:$E$604,Tarifler!$B$5:$B$604,B75))</f>
        <v/>
      </c>
      <c r="D75" s="18" t="str">
        <f aca="false">IF(B75="","",IFERROR(INDEX(Tarifler!$D$5:$D$604,MATCH(B75,Tarifler!$B$5:$B$604,0))&amp;"",""))</f>
        <v/>
      </c>
    </row>
    <row r="76" customFormat="false" ht="15" hidden="false" customHeight="false" outlineLevel="0" collapsed="false">
      <c r="B76" s="16" t="str">
        <f aca="false">IF(Listeler!A71="","",Listeler!A71)</f>
        <v/>
      </c>
      <c r="C76" s="17" t="str">
        <f aca="false">IF(B76="","",SUMIFS(Tarifler!$E$5:$E$604,Tarifler!$B$5:$B$604,B76))</f>
        <v/>
      </c>
      <c r="D76" s="16" t="str">
        <f aca="false">IF(B76="","",IFERROR(INDEX(Tarifler!$D$5:$D$604,MATCH(B76,Tarifler!$B$5:$B$604,0))&amp;"",""))</f>
        <v/>
      </c>
    </row>
    <row r="77" customFormat="false" ht="15" hidden="false" customHeight="false" outlineLevel="0" collapsed="false">
      <c r="B77" s="18" t="str">
        <f aca="false">IF(Listeler!A72="","",Listeler!A72)</f>
        <v/>
      </c>
      <c r="C77" s="19" t="str">
        <f aca="false">IF(B77="","",SUMIFS(Tarifler!$E$5:$E$604,Tarifler!$B$5:$B$604,B77))</f>
        <v/>
      </c>
      <c r="D77" s="18" t="str">
        <f aca="false">IF(B77="","",IFERROR(INDEX(Tarifler!$D$5:$D$604,MATCH(B77,Tarifler!$B$5:$B$604,0))&amp;"",""))</f>
        <v/>
      </c>
    </row>
    <row r="78" customFormat="false" ht="15" hidden="false" customHeight="false" outlineLevel="0" collapsed="false">
      <c r="B78" s="16" t="str">
        <f aca="false">IF(Listeler!A73="","",Listeler!A73)</f>
        <v/>
      </c>
      <c r="C78" s="17" t="str">
        <f aca="false">IF(B78="","",SUMIFS(Tarifler!$E$5:$E$604,Tarifler!$B$5:$B$604,B78))</f>
        <v/>
      </c>
      <c r="D78" s="16" t="str">
        <f aca="false">IF(B78="","",IFERROR(INDEX(Tarifler!$D$5:$D$604,MATCH(B78,Tarifler!$B$5:$B$604,0))&amp;"",""))</f>
        <v/>
      </c>
    </row>
    <row r="79" customFormat="false" ht="15" hidden="false" customHeight="false" outlineLevel="0" collapsed="false">
      <c r="B79" s="18" t="str">
        <f aca="false">IF(Listeler!A74="","",Listeler!A74)</f>
        <v/>
      </c>
      <c r="C79" s="19" t="str">
        <f aca="false">IF(B79="","",SUMIFS(Tarifler!$E$5:$E$604,Tarifler!$B$5:$B$604,B79))</f>
        <v/>
      </c>
      <c r="D79" s="18" t="str">
        <f aca="false">IF(B79="","",IFERROR(INDEX(Tarifler!$D$5:$D$604,MATCH(B79,Tarifler!$B$5:$B$604,0))&amp;"",""))</f>
        <v/>
      </c>
    </row>
    <row r="80" customFormat="false" ht="15" hidden="false" customHeight="false" outlineLevel="0" collapsed="false">
      <c r="B80" s="16" t="str">
        <f aca="false">IF(Listeler!A75="","",Listeler!A75)</f>
        <v/>
      </c>
      <c r="C80" s="17" t="str">
        <f aca="false">IF(B80="","",SUMIFS(Tarifler!$E$5:$E$604,Tarifler!$B$5:$B$604,B80))</f>
        <v/>
      </c>
      <c r="D80" s="16" t="str">
        <f aca="false">IF(B80="","",IFERROR(INDEX(Tarifler!$D$5:$D$604,MATCH(B80,Tarifler!$B$5:$B$604,0))&amp;"",""))</f>
        <v/>
      </c>
    </row>
    <row r="81" customFormat="false" ht="15" hidden="false" customHeight="false" outlineLevel="0" collapsed="false">
      <c r="B81" s="18" t="str">
        <f aca="false">IF(Listeler!A76="","",Listeler!A76)</f>
        <v/>
      </c>
      <c r="C81" s="19" t="str">
        <f aca="false">IF(B81="","",SUMIFS(Tarifler!$E$5:$E$604,Tarifler!$B$5:$B$604,B81))</f>
        <v/>
      </c>
      <c r="D81" s="18" t="str">
        <f aca="false">IF(B81="","",IFERROR(INDEX(Tarifler!$D$5:$D$604,MATCH(B81,Tarifler!$B$5:$B$604,0))&amp;"",""))</f>
        <v/>
      </c>
    </row>
    <row r="82" customFormat="false" ht="15" hidden="false" customHeight="false" outlineLevel="0" collapsed="false">
      <c r="B82" s="16" t="str">
        <f aca="false">IF(Listeler!A77="","",Listeler!A77)</f>
        <v/>
      </c>
      <c r="C82" s="17" t="str">
        <f aca="false">IF(B82="","",SUMIFS(Tarifler!$E$5:$E$604,Tarifler!$B$5:$B$604,B82))</f>
        <v/>
      </c>
      <c r="D82" s="16" t="str">
        <f aca="false">IF(B82="","",IFERROR(INDEX(Tarifler!$D$5:$D$604,MATCH(B82,Tarifler!$B$5:$B$604,0))&amp;"",""))</f>
        <v/>
      </c>
    </row>
    <row r="83" customFormat="false" ht="15" hidden="false" customHeight="false" outlineLevel="0" collapsed="false">
      <c r="B83" s="18" t="str">
        <f aca="false">IF(Listeler!A78="","",Listeler!A78)</f>
        <v/>
      </c>
      <c r="C83" s="19" t="str">
        <f aca="false">IF(B83="","",SUMIFS(Tarifler!$E$5:$E$604,Tarifler!$B$5:$B$604,B83))</f>
        <v/>
      </c>
      <c r="D83" s="18" t="str">
        <f aca="false">IF(B83="","",IFERROR(INDEX(Tarifler!$D$5:$D$604,MATCH(B83,Tarifler!$B$5:$B$604,0))&amp;"",""))</f>
        <v/>
      </c>
    </row>
    <row r="84" customFormat="false" ht="15" hidden="false" customHeight="false" outlineLevel="0" collapsed="false">
      <c r="B84" s="16" t="str">
        <f aca="false">IF(Listeler!A79="","",Listeler!A79)</f>
        <v/>
      </c>
      <c r="C84" s="17" t="str">
        <f aca="false">IF(B84="","",SUMIFS(Tarifler!$E$5:$E$604,Tarifler!$B$5:$B$604,B84))</f>
        <v/>
      </c>
      <c r="D84" s="16" t="str">
        <f aca="false">IF(B84="","",IFERROR(INDEX(Tarifler!$D$5:$D$604,MATCH(B84,Tarifler!$B$5:$B$604,0))&amp;"",""))</f>
        <v/>
      </c>
    </row>
    <row r="85" customFormat="false" ht="15" hidden="false" customHeight="false" outlineLevel="0" collapsed="false">
      <c r="B85" s="18" t="str">
        <f aca="false">IF(Listeler!A80="","",Listeler!A80)</f>
        <v/>
      </c>
      <c r="C85" s="19" t="str">
        <f aca="false">IF(B85="","",SUMIFS(Tarifler!$E$5:$E$604,Tarifler!$B$5:$B$604,B85))</f>
        <v/>
      </c>
      <c r="D85" s="18" t="str">
        <f aca="false">IF(B85="","",IFERROR(INDEX(Tarifler!$D$5:$D$604,MATCH(B85,Tarifler!$B$5:$B$604,0))&amp;"",""))</f>
        <v/>
      </c>
    </row>
    <row r="86" customFormat="false" ht="15" hidden="false" customHeight="false" outlineLevel="0" collapsed="false">
      <c r="B86" s="16" t="str">
        <f aca="false">IF(Listeler!A81="","",Listeler!A81)</f>
        <v/>
      </c>
      <c r="C86" s="17" t="str">
        <f aca="false">IF(B86="","",SUMIFS(Tarifler!$E$5:$E$604,Tarifler!$B$5:$B$604,B86))</f>
        <v/>
      </c>
      <c r="D86" s="16" t="str">
        <f aca="false">IF(B86="","",IFERROR(INDEX(Tarifler!$D$5:$D$604,MATCH(B86,Tarifler!$B$5:$B$604,0))&amp;"",""))</f>
        <v/>
      </c>
    </row>
    <row r="87" customFormat="false" ht="15" hidden="false" customHeight="false" outlineLevel="0" collapsed="false">
      <c r="B87" s="18" t="str">
        <f aca="false">IF(Listeler!A82="","",Listeler!A82)</f>
        <v/>
      </c>
      <c r="C87" s="19" t="str">
        <f aca="false">IF(B87="","",SUMIFS(Tarifler!$E$5:$E$604,Tarifler!$B$5:$B$604,B87))</f>
        <v/>
      </c>
      <c r="D87" s="18" t="str">
        <f aca="false">IF(B87="","",IFERROR(INDEX(Tarifler!$D$5:$D$604,MATCH(B87,Tarifler!$B$5:$B$604,0))&amp;"",""))</f>
        <v/>
      </c>
    </row>
    <row r="88" customFormat="false" ht="15" hidden="false" customHeight="false" outlineLevel="0" collapsed="false">
      <c r="B88" s="16" t="str">
        <f aca="false">IF(Listeler!A83="","",Listeler!A83)</f>
        <v/>
      </c>
      <c r="C88" s="17" t="str">
        <f aca="false">IF(B88="","",SUMIFS(Tarifler!$E$5:$E$604,Tarifler!$B$5:$B$604,B88))</f>
        <v/>
      </c>
      <c r="D88" s="16" t="str">
        <f aca="false">IF(B88="","",IFERROR(INDEX(Tarifler!$D$5:$D$604,MATCH(B88,Tarifler!$B$5:$B$604,0))&amp;"",""))</f>
        <v/>
      </c>
    </row>
    <row r="89" customFormat="false" ht="15" hidden="false" customHeight="false" outlineLevel="0" collapsed="false">
      <c r="B89" s="18" t="str">
        <f aca="false">IF(Listeler!A84="","",Listeler!A84)</f>
        <v/>
      </c>
      <c r="C89" s="19" t="str">
        <f aca="false">IF(B89="","",SUMIFS(Tarifler!$E$5:$E$604,Tarifler!$B$5:$B$604,B89))</f>
        <v/>
      </c>
      <c r="D89" s="18" t="str">
        <f aca="false">IF(B89="","",IFERROR(INDEX(Tarifler!$D$5:$D$604,MATCH(B89,Tarifler!$B$5:$B$604,0))&amp;"",""))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9" t="s">
        <v>50</v>
      </c>
    </row>
    <row r="4" customFormat="false" ht="27.75" hidden="false" customHeight="true" outlineLevel="0" collapsed="false">
      <c r="A4" s="10" t="s">
        <v>51</v>
      </c>
      <c r="B4" s="10" t="s">
        <v>52</v>
      </c>
      <c r="C4" s="20" t="s">
        <v>53</v>
      </c>
    </row>
    <row r="5" customFormat="false" ht="15" hidden="false" customHeight="false" outlineLevel="0" collapsed="false">
      <c r="A5" s="12" t="s">
        <v>32</v>
      </c>
      <c r="B5" s="21" t="n">
        <v>4</v>
      </c>
      <c r="C5" s="22" t="n">
        <f aca="false">IF(A5="","",COUNTIF(Plan!$C$5:$E$11,A5))</f>
        <v>2</v>
      </c>
    </row>
    <row r="6" customFormat="false" ht="15" hidden="false" customHeight="false" outlineLevel="0" collapsed="false">
      <c r="A6" s="12" t="s">
        <v>35</v>
      </c>
      <c r="B6" s="21" t="n">
        <v>4</v>
      </c>
      <c r="C6" s="22" t="n">
        <f aca="false">IF(A6="","",COUNTIF(Plan!$C$5:$E$11,A6))</f>
        <v>1</v>
      </c>
    </row>
    <row r="7" customFormat="false" ht="15" hidden="false" customHeight="false" outlineLevel="0" collapsed="false">
      <c r="A7" s="12" t="s">
        <v>31</v>
      </c>
      <c r="B7" s="21" t="n">
        <v>4</v>
      </c>
      <c r="C7" s="22" t="n">
        <f aca="false">IF(A7="","",COUNTIF(Plan!$C$5:$E$11,A7))</f>
        <v>2</v>
      </c>
    </row>
    <row r="8" customFormat="false" ht="15" hidden="false" customHeight="false" outlineLevel="0" collapsed="false">
      <c r="A8" s="12" t="s">
        <v>34</v>
      </c>
      <c r="B8" s="21" t="n">
        <v>2</v>
      </c>
      <c r="C8" s="22" t="n">
        <f aca="false">IF(A8="","",COUNTIF(Plan!$C$5:$E$11,A8))</f>
        <v>2</v>
      </c>
    </row>
    <row r="9" customFormat="false" ht="15" hidden="false" customHeight="false" outlineLevel="0" collapsed="false">
      <c r="A9" s="12"/>
      <c r="B9" s="21"/>
      <c r="C9" s="22" t="str">
        <f aca="false">IF(A9="","",COUNTIF(Plan!$C$5:$E$11,A9))</f>
        <v/>
      </c>
    </row>
    <row r="10" customFormat="false" ht="15" hidden="false" customHeight="false" outlineLevel="0" collapsed="false">
      <c r="A10" s="12"/>
      <c r="B10" s="21"/>
      <c r="C10" s="22" t="str">
        <f aca="false">IF(A10="","",COUNTIF(Plan!$C$5:$E$11,A10))</f>
        <v/>
      </c>
    </row>
    <row r="11" customFormat="false" ht="15" hidden="false" customHeight="false" outlineLevel="0" collapsed="false">
      <c r="A11" s="12"/>
      <c r="B11" s="21"/>
      <c r="C11" s="22" t="str">
        <f aca="false">IF(A11="","",COUNTIF(Plan!$C$5:$E$11,A11))</f>
        <v/>
      </c>
    </row>
    <row r="12" customFormat="false" ht="15" hidden="false" customHeight="false" outlineLevel="0" collapsed="false">
      <c r="A12" s="12"/>
      <c r="B12" s="21"/>
      <c r="C12" s="22" t="str">
        <f aca="false">IF(A12="","",COUNTIF(Plan!$C$5:$E$11,A12))</f>
        <v/>
      </c>
    </row>
    <row r="13" customFormat="false" ht="15" hidden="false" customHeight="false" outlineLevel="0" collapsed="false">
      <c r="A13" s="12"/>
      <c r="B13" s="21"/>
      <c r="C13" s="22" t="str">
        <f aca="false">IF(A13="","",COUNTIF(Plan!$C$5:$E$11,A13))</f>
        <v/>
      </c>
    </row>
    <row r="14" customFormat="false" ht="15" hidden="false" customHeight="false" outlineLevel="0" collapsed="false">
      <c r="A14" s="12"/>
      <c r="B14" s="21"/>
      <c r="C14" s="22" t="str">
        <f aca="false">IF(A14="","",COUNTIF(Plan!$C$5:$E$11,A14))</f>
        <v/>
      </c>
    </row>
    <row r="15" customFormat="false" ht="15" hidden="false" customHeight="false" outlineLevel="0" collapsed="false">
      <c r="A15" s="12"/>
      <c r="B15" s="21"/>
      <c r="C15" s="22" t="str">
        <f aca="false">IF(A15="","",COUNTIF(Plan!$C$5:$E$11,A15))</f>
        <v/>
      </c>
    </row>
    <row r="16" customFormat="false" ht="15" hidden="false" customHeight="false" outlineLevel="0" collapsed="false">
      <c r="A16" s="12"/>
      <c r="B16" s="21"/>
      <c r="C16" s="22" t="str">
        <f aca="false">IF(A16="","",COUNTIF(Plan!$C$5:$E$11,A16))</f>
        <v/>
      </c>
    </row>
    <row r="17" customFormat="false" ht="15" hidden="false" customHeight="false" outlineLevel="0" collapsed="false">
      <c r="A17" s="12"/>
      <c r="B17" s="21"/>
      <c r="C17" s="22" t="str">
        <f aca="false">IF(A17="","",COUNTIF(Plan!$C$5:$E$11,A17))</f>
        <v/>
      </c>
    </row>
    <row r="18" customFormat="false" ht="15" hidden="false" customHeight="false" outlineLevel="0" collapsed="false">
      <c r="A18" s="12"/>
      <c r="B18" s="21"/>
      <c r="C18" s="22" t="str">
        <f aca="false">IF(A18="","",COUNTIF(Plan!$C$5:$E$11,A18))</f>
        <v/>
      </c>
    </row>
    <row r="19" customFormat="false" ht="15" hidden="false" customHeight="false" outlineLevel="0" collapsed="false">
      <c r="A19" s="12"/>
      <c r="B19" s="21"/>
      <c r="C19" s="22" t="str">
        <f aca="false">IF(A19="","",COUNTIF(Plan!$C$5:$E$11,A19))</f>
        <v/>
      </c>
    </row>
    <row r="20" customFormat="false" ht="15" hidden="false" customHeight="false" outlineLevel="0" collapsed="false">
      <c r="A20" s="12"/>
      <c r="B20" s="21"/>
      <c r="C20" s="22" t="str">
        <f aca="false">IF(A20="","",COUNTIF(Plan!$C$5:$E$11,A20))</f>
        <v/>
      </c>
    </row>
    <row r="21" customFormat="false" ht="15" hidden="false" customHeight="false" outlineLevel="0" collapsed="false">
      <c r="A21" s="12"/>
      <c r="B21" s="21"/>
      <c r="C21" s="22" t="str">
        <f aca="false">IF(A21="","",COUNTIF(Plan!$C$5:$E$11,A21))</f>
        <v/>
      </c>
    </row>
    <row r="22" customFormat="false" ht="15" hidden="false" customHeight="false" outlineLevel="0" collapsed="false">
      <c r="A22" s="12"/>
      <c r="B22" s="21"/>
      <c r="C22" s="22" t="str">
        <f aca="false">IF(A22="","",COUNTIF(Plan!$C$5:$E$11,A22))</f>
        <v/>
      </c>
    </row>
    <row r="23" customFormat="false" ht="15" hidden="false" customHeight="false" outlineLevel="0" collapsed="false">
      <c r="A23" s="12"/>
      <c r="B23" s="21"/>
      <c r="C23" s="22" t="str">
        <f aca="false">IF(A23="","",COUNTIF(Plan!$C$5:$E$11,A23))</f>
        <v/>
      </c>
    </row>
    <row r="24" customFormat="false" ht="15" hidden="false" customHeight="false" outlineLevel="0" collapsed="false">
      <c r="A24" s="12"/>
      <c r="B24" s="21"/>
      <c r="C24" s="22" t="str">
        <f aca="false">IF(A24="","",COUNTIF(Plan!$C$5:$E$11,A24))</f>
        <v/>
      </c>
    </row>
    <row r="25" customFormat="false" ht="15" hidden="false" customHeight="false" outlineLevel="0" collapsed="false">
      <c r="A25" s="12"/>
      <c r="B25" s="21"/>
      <c r="C25" s="22" t="str">
        <f aca="false">IF(A25="","",COUNTIF(Plan!$C$5:$E$11,A25))</f>
        <v/>
      </c>
    </row>
    <row r="26" customFormat="false" ht="15" hidden="false" customHeight="false" outlineLevel="0" collapsed="false">
      <c r="A26" s="12"/>
      <c r="B26" s="21"/>
      <c r="C26" s="22" t="str">
        <f aca="false">IF(A26="","",COUNTIF(Plan!$C$5:$E$11,A26))</f>
        <v/>
      </c>
    </row>
    <row r="27" customFormat="false" ht="15" hidden="false" customHeight="false" outlineLevel="0" collapsed="false">
      <c r="A27" s="12"/>
      <c r="B27" s="21"/>
      <c r="C27" s="22" t="str">
        <f aca="false">IF(A27="","",COUNTIF(Plan!$C$5:$E$11,A27))</f>
        <v/>
      </c>
    </row>
    <row r="28" customFormat="false" ht="15" hidden="false" customHeight="false" outlineLevel="0" collapsed="false">
      <c r="A28" s="12"/>
      <c r="B28" s="21"/>
      <c r="C28" s="22" t="str">
        <f aca="false">IF(A28="","",COUNTIF(Plan!$C$5:$E$11,A28))</f>
        <v/>
      </c>
    </row>
    <row r="29" customFormat="false" ht="15" hidden="false" customHeight="false" outlineLevel="0" collapsed="false">
      <c r="A29" s="12"/>
      <c r="B29" s="21"/>
      <c r="C29" s="22" t="str">
        <f aca="false">IF(A29="","",COUNTIF(Plan!$C$5:$E$11,A29))</f>
        <v/>
      </c>
    </row>
    <row r="30" customFormat="false" ht="15" hidden="false" customHeight="false" outlineLevel="0" collapsed="false">
      <c r="A30" s="12"/>
      <c r="B30" s="21"/>
      <c r="C30" s="22" t="str">
        <f aca="false">IF(A30="","",COUNTIF(Plan!$C$5:$E$11,A30))</f>
        <v/>
      </c>
    </row>
    <row r="31" customFormat="false" ht="15" hidden="false" customHeight="false" outlineLevel="0" collapsed="false">
      <c r="A31" s="12"/>
      <c r="B31" s="21"/>
      <c r="C31" s="22" t="str">
        <f aca="false">IF(A31="","",COUNTIF(Plan!$C$5:$E$11,A31))</f>
        <v/>
      </c>
    </row>
    <row r="32" customFormat="false" ht="15" hidden="false" customHeight="false" outlineLevel="0" collapsed="false">
      <c r="A32" s="12"/>
      <c r="B32" s="21"/>
      <c r="C32" s="22" t="str">
        <f aca="false">IF(A32="","",COUNTIF(Plan!$C$5:$E$11,A32))</f>
        <v/>
      </c>
    </row>
    <row r="33" customFormat="false" ht="15" hidden="false" customHeight="false" outlineLevel="0" collapsed="false">
      <c r="A33" s="12"/>
      <c r="B33" s="21"/>
      <c r="C33" s="22" t="str">
        <f aca="false">IF(A33="","",COUNTIF(Plan!$C$5:$E$11,A33))</f>
        <v/>
      </c>
    </row>
    <row r="34" customFormat="false" ht="15" hidden="false" customHeight="false" outlineLevel="0" collapsed="false">
      <c r="A34" s="12"/>
      <c r="B34" s="21"/>
      <c r="C34" s="22" t="str">
        <f aca="false">IF(A34="","",COUNTIF(Plan!$C$5:$E$11,A34))</f>
        <v/>
      </c>
    </row>
    <row r="35" customFormat="false" ht="15" hidden="false" customHeight="false" outlineLevel="0" collapsed="false">
      <c r="A35" s="12"/>
      <c r="B35" s="21"/>
      <c r="C35" s="22" t="str">
        <f aca="false">IF(A35="","",COUNTIF(Plan!$C$5:$E$11,A35))</f>
        <v/>
      </c>
    </row>
    <row r="36" customFormat="false" ht="15" hidden="false" customHeight="false" outlineLevel="0" collapsed="false">
      <c r="A36" s="12"/>
      <c r="B36" s="21"/>
      <c r="C36" s="22" t="str">
        <f aca="false">IF(A36="","",COUNTIF(Plan!$C$5:$E$11,A36))</f>
        <v/>
      </c>
    </row>
    <row r="37" customFormat="false" ht="15" hidden="false" customHeight="false" outlineLevel="0" collapsed="false">
      <c r="A37" s="12"/>
      <c r="B37" s="21"/>
      <c r="C37" s="22" t="str">
        <f aca="false">IF(A37="","",COUNTIF(Plan!$C$5:$E$11,A37))</f>
        <v/>
      </c>
    </row>
    <row r="38" customFormat="false" ht="15" hidden="false" customHeight="false" outlineLevel="0" collapsed="false">
      <c r="A38" s="12"/>
      <c r="B38" s="21"/>
      <c r="C38" s="22" t="str">
        <f aca="false">IF(A38="","",COUNTIF(Plan!$C$5:$E$11,A38))</f>
        <v/>
      </c>
    </row>
    <row r="39" customFormat="false" ht="15" hidden="false" customHeight="false" outlineLevel="0" collapsed="false">
      <c r="A39" s="12"/>
      <c r="B39" s="21"/>
      <c r="C39" s="22" t="str">
        <f aca="false">IF(A39="","",COUNTIF(Plan!$C$5:$E$11,A39))</f>
        <v/>
      </c>
    </row>
    <row r="40" customFormat="false" ht="15" hidden="false" customHeight="false" outlineLevel="0" collapsed="false">
      <c r="A40" s="12"/>
      <c r="B40" s="21"/>
      <c r="C40" s="22" t="str">
        <f aca="false">IF(A40="","",COUNTIF(Plan!$C$5:$E$11,A40))</f>
        <v/>
      </c>
    </row>
    <row r="41" customFormat="false" ht="15" hidden="false" customHeight="false" outlineLevel="0" collapsed="false">
      <c r="A41" s="12"/>
      <c r="B41" s="21"/>
      <c r="C41" s="22" t="str">
        <f aca="false">IF(A41="","",COUNTIF(Plan!$C$5:$E$11,A41))</f>
        <v/>
      </c>
    </row>
    <row r="42" customFormat="false" ht="15" hidden="false" customHeight="false" outlineLevel="0" collapsed="false">
      <c r="A42" s="12"/>
      <c r="B42" s="21"/>
      <c r="C42" s="22" t="str">
        <f aca="false">IF(A42="","",COUNTIF(Plan!$C$5:$E$11,A42))</f>
        <v/>
      </c>
    </row>
    <row r="43" customFormat="false" ht="15" hidden="false" customHeight="false" outlineLevel="0" collapsed="false">
      <c r="A43" s="12"/>
      <c r="B43" s="21"/>
      <c r="C43" s="22" t="str">
        <f aca="false">IF(A43="","",COUNTIF(Plan!$C$5:$E$11,A43))</f>
        <v/>
      </c>
    </row>
    <row r="44" customFormat="false" ht="15" hidden="false" customHeight="false" outlineLevel="0" collapsed="false">
      <c r="A44" s="12"/>
      <c r="B44" s="21"/>
      <c r="C44" s="22" t="str">
        <f aca="false">IF(A44="","",COUNTIF(Plan!$C$5:$E$11,A44))</f>
        <v/>
      </c>
    </row>
    <row r="45" customFormat="false" ht="15" hidden="false" customHeight="false" outlineLevel="0" collapsed="false">
      <c r="A45" s="12"/>
      <c r="B45" s="21"/>
      <c r="C45" s="22" t="str">
        <f aca="false">IF(A45="","",COUNTIF(Plan!$C$5:$E$11,A45))</f>
        <v/>
      </c>
    </row>
    <row r="46" customFormat="false" ht="15" hidden="false" customHeight="false" outlineLevel="0" collapsed="false">
      <c r="A46" s="12"/>
      <c r="B46" s="21"/>
      <c r="C46" s="22" t="str">
        <f aca="false">IF(A46="","",COUNTIF(Plan!$C$5:$E$11,A46))</f>
        <v/>
      </c>
    </row>
    <row r="47" customFormat="false" ht="15" hidden="false" customHeight="false" outlineLevel="0" collapsed="false">
      <c r="A47" s="12"/>
      <c r="B47" s="21"/>
      <c r="C47" s="22" t="str">
        <f aca="false">IF(A47="","",COUNTIF(Plan!$C$5:$E$11,A47))</f>
        <v/>
      </c>
    </row>
    <row r="48" customFormat="false" ht="15" hidden="false" customHeight="false" outlineLevel="0" collapsed="false">
      <c r="A48" s="12"/>
      <c r="B48" s="21"/>
      <c r="C48" s="22" t="str">
        <f aca="false">IF(A48="","",COUNTIF(Plan!$C$5:$E$11,A48))</f>
        <v/>
      </c>
    </row>
    <row r="49" customFormat="false" ht="15" hidden="false" customHeight="false" outlineLevel="0" collapsed="false">
      <c r="A49" s="12"/>
      <c r="B49" s="21"/>
      <c r="C49" s="22" t="str">
        <f aca="false">IF(A49="","",COUNTIF(Plan!$C$5:$E$11,A49))</f>
        <v/>
      </c>
    </row>
    <row r="50" customFormat="false" ht="15" hidden="false" customHeight="false" outlineLevel="0" collapsed="false">
      <c r="A50" s="12"/>
      <c r="B50" s="21"/>
      <c r="C50" s="22" t="str">
        <f aca="false">IF(A50="","",COUNTIF(Plan!$C$5:$E$11,A50))</f>
        <v/>
      </c>
    </row>
    <row r="51" customFormat="false" ht="15" hidden="false" customHeight="false" outlineLevel="0" collapsed="false">
      <c r="A51" s="12"/>
      <c r="B51" s="21"/>
      <c r="C51" s="22" t="str">
        <f aca="false">IF(A51="","",COUNTIF(Plan!$C$5:$E$11,A51))</f>
        <v/>
      </c>
    </row>
    <row r="52" customFormat="false" ht="15" hidden="false" customHeight="false" outlineLevel="0" collapsed="false">
      <c r="A52" s="12"/>
      <c r="B52" s="21"/>
      <c r="C52" s="22" t="str">
        <f aca="false">IF(A52="","",COUNTIF(Plan!$C$5:$E$11,A52))</f>
        <v/>
      </c>
    </row>
    <row r="53" customFormat="false" ht="15" hidden="false" customHeight="false" outlineLevel="0" collapsed="false">
      <c r="A53" s="12"/>
      <c r="B53" s="21"/>
      <c r="C53" s="22" t="str">
        <f aca="false">IF(A53="","",COUNTIF(Plan!$C$5:$E$11,A53))</f>
        <v/>
      </c>
    </row>
    <row r="54" customFormat="false" ht="15" hidden="false" customHeight="false" outlineLevel="0" collapsed="false">
      <c r="A54" s="12"/>
      <c r="B54" s="21"/>
      <c r="C54" s="22" t="str">
        <f aca="false">IF(A54="","",COUNTIF(Plan!$C$5:$E$11,A54))</f>
        <v/>
      </c>
    </row>
    <row r="55" customFormat="false" ht="15" hidden="false" customHeight="false" outlineLevel="0" collapsed="false">
      <c r="A55" s="12"/>
      <c r="B55" s="21"/>
      <c r="C55" s="22" t="str">
        <f aca="false">IF(A55="","",COUNTIF(Plan!$C$5:$E$11,A55))</f>
        <v/>
      </c>
    </row>
    <row r="56" customFormat="false" ht="15" hidden="false" customHeight="false" outlineLevel="0" collapsed="false">
      <c r="A56" s="12"/>
      <c r="B56" s="21"/>
      <c r="C56" s="22" t="str">
        <f aca="false">IF(A56="","",COUNTIF(Plan!$C$5:$E$11,A56))</f>
        <v/>
      </c>
    </row>
    <row r="57" customFormat="false" ht="15" hidden="false" customHeight="false" outlineLevel="0" collapsed="false">
      <c r="A57" s="12"/>
      <c r="B57" s="21"/>
      <c r="C57" s="22" t="str">
        <f aca="false">IF(A57="","",COUNTIF(Plan!$C$5:$E$11,A57))</f>
        <v/>
      </c>
    </row>
    <row r="58" customFormat="false" ht="15" hidden="false" customHeight="false" outlineLevel="0" collapsed="false">
      <c r="A58" s="12"/>
      <c r="B58" s="21"/>
      <c r="C58" s="22" t="str">
        <f aca="false">IF(A58="","",COUNTIF(Plan!$C$5:$E$11,A58))</f>
        <v/>
      </c>
    </row>
    <row r="59" customFormat="false" ht="15" hidden="false" customHeight="false" outlineLevel="0" collapsed="false">
      <c r="A59" s="12"/>
      <c r="B59" s="21"/>
      <c r="C59" s="22" t="str">
        <f aca="false">IF(A59="","",COUNTIF(Plan!$C$5:$E$11,A59))</f>
        <v/>
      </c>
    </row>
    <row r="60" customFormat="false" ht="15" hidden="false" customHeight="false" outlineLevel="0" collapsed="false">
      <c r="A60" s="12"/>
      <c r="B60" s="21"/>
      <c r="C60" s="22" t="str">
        <f aca="false">IF(A60="","",COUNTIF(Plan!$C$5:$E$11,A60))</f>
        <v/>
      </c>
    </row>
    <row r="61" customFormat="false" ht="15" hidden="false" customHeight="false" outlineLevel="0" collapsed="false">
      <c r="A61" s="12"/>
      <c r="B61" s="21"/>
      <c r="C61" s="22" t="str">
        <f aca="false">IF(A61="","",COUNTIF(Plan!$C$5:$E$11,A61))</f>
        <v/>
      </c>
    </row>
    <row r="62" customFormat="false" ht="15" hidden="false" customHeight="false" outlineLevel="0" collapsed="false">
      <c r="A62" s="12"/>
      <c r="B62" s="21"/>
      <c r="C62" s="22" t="str">
        <f aca="false">IF(A62="","",COUNTIF(Plan!$C$5:$E$11,A62))</f>
        <v/>
      </c>
    </row>
    <row r="63" customFormat="false" ht="15" hidden="false" customHeight="false" outlineLevel="0" collapsed="false">
      <c r="A63" s="12"/>
      <c r="B63" s="21"/>
      <c r="C63" s="22" t="str">
        <f aca="false">IF(A63="","",COUNTIF(Plan!$C$5:$E$11,A63))</f>
        <v/>
      </c>
    </row>
    <row r="64" customFormat="false" ht="15" hidden="false" customHeight="false" outlineLevel="0" collapsed="false">
      <c r="A64" s="12"/>
      <c r="B64" s="21"/>
      <c r="C64" s="22" t="str">
        <f aca="false">IF(A64="","",COUNTIF(Plan!$C$5:$E$11,A64))</f>
        <v/>
      </c>
    </row>
  </sheetData>
  <dataValidations count="2">
    <dataValidation allowBlank="true" error="Sıfır ya da daha büyük bir sayı gir." errorStyle="stop" errorTitle="Kontrol" operator="greaterThanOrEqual" showDropDown="false" showErrorMessage="true" showInputMessage="false" sqref="B5:B6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64" type="custom">
      <formula1>COUNTIF($A$5:$A$64,A5)=1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8" t="s">
        <v>54</v>
      </c>
    </row>
    <row r="2" customFormat="false" ht="15" hidden="false" customHeight="false" outlineLevel="0" collapsed="false">
      <c r="A2" s="9" t="s">
        <v>55</v>
      </c>
    </row>
    <row r="4" customFormat="false" ht="27.75" hidden="false" customHeight="true" outlineLevel="0" collapsed="false">
      <c r="A4" s="10" t="s">
        <v>51</v>
      </c>
      <c r="B4" s="10" t="s">
        <v>46</v>
      </c>
      <c r="C4" s="10" t="s">
        <v>56</v>
      </c>
      <c r="D4" s="10" t="s">
        <v>48</v>
      </c>
      <c r="E4" s="20" t="s">
        <v>57</v>
      </c>
    </row>
    <row r="5" customFormat="false" ht="15" hidden="false" customHeight="false" outlineLevel="0" collapsed="false">
      <c r="A5" s="23" t="s">
        <v>32</v>
      </c>
      <c r="B5" s="23" t="s">
        <v>58</v>
      </c>
      <c r="C5" s="24" t="n">
        <v>0.4</v>
      </c>
      <c r="D5" s="12" t="s">
        <v>59</v>
      </c>
      <c r="E5" s="25" t="n">
        <f aca="false">IF(OR(A5="",C5=""),"",C5*IFERROR(INDEX(Yemekler!$C$5:$C$64,MATCH(A5,Yemekler!$A$5:$A$64,0)),0))</f>
        <v>0.8</v>
      </c>
    </row>
    <row r="6" customFormat="false" ht="15" hidden="false" customHeight="false" outlineLevel="0" collapsed="false">
      <c r="A6" s="23" t="s">
        <v>32</v>
      </c>
      <c r="B6" s="23" t="s">
        <v>60</v>
      </c>
      <c r="C6" s="24" t="n">
        <v>0.5</v>
      </c>
      <c r="D6" s="12" t="s">
        <v>59</v>
      </c>
      <c r="E6" s="25" t="n">
        <f aca="false">IF(OR(A6="",C6=""),"",C6*IFERROR(INDEX(Yemekler!$C$5:$C$64,MATCH(A6,Yemekler!$A$5:$A$64,0)),0))</f>
        <v>1</v>
      </c>
    </row>
    <row r="7" customFormat="false" ht="15" hidden="false" customHeight="false" outlineLevel="0" collapsed="false">
      <c r="A7" s="23" t="s">
        <v>32</v>
      </c>
      <c r="B7" s="23" t="s">
        <v>61</v>
      </c>
      <c r="C7" s="24" t="n">
        <v>0.2</v>
      </c>
      <c r="D7" s="12" t="s">
        <v>59</v>
      </c>
      <c r="E7" s="25" t="n">
        <f aca="false">IF(OR(A7="",C7=""),"",C7*IFERROR(INDEX(Yemekler!$C$5:$C$64,MATCH(A7,Yemekler!$A$5:$A$64,0)),0))</f>
        <v>0.4</v>
      </c>
    </row>
    <row r="8" customFormat="false" ht="15" hidden="false" customHeight="false" outlineLevel="0" collapsed="false">
      <c r="A8" s="23" t="s">
        <v>32</v>
      </c>
      <c r="B8" s="23" t="s">
        <v>62</v>
      </c>
      <c r="C8" s="24" t="n">
        <v>0.3</v>
      </c>
      <c r="D8" s="12" t="s">
        <v>59</v>
      </c>
      <c r="E8" s="25" t="n">
        <f aca="false">IF(OR(A8="",C8=""),"",C8*IFERROR(INDEX(Yemekler!$C$5:$C$64,MATCH(A8,Yemekler!$A$5:$A$64,0)),0))</f>
        <v>0.6</v>
      </c>
    </row>
    <row r="9" customFormat="false" ht="15" hidden="false" customHeight="false" outlineLevel="0" collapsed="false">
      <c r="A9" s="23" t="s">
        <v>35</v>
      </c>
      <c r="B9" s="23" t="s">
        <v>63</v>
      </c>
      <c r="C9" s="24" t="n">
        <v>1</v>
      </c>
      <c r="D9" s="12" t="s">
        <v>59</v>
      </c>
      <c r="E9" s="25" t="n">
        <f aca="false">IF(OR(A9="",C9=""),"",C9*IFERROR(INDEX(Yemekler!$C$5:$C$64,MATCH(A9,Yemekler!$A$5:$A$64,0)),0))</f>
        <v>1</v>
      </c>
    </row>
    <row r="10" customFormat="false" ht="15" hidden="false" customHeight="false" outlineLevel="0" collapsed="false">
      <c r="A10" s="23" t="s">
        <v>35</v>
      </c>
      <c r="B10" s="23" t="s">
        <v>64</v>
      </c>
      <c r="C10" s="24" t="n">
        <v>0.4</v>
      </c>
      <c r="D10" s="12" t="s">
        <v>59</v>
      </c>
      <c r="E10" s="25" t="n">
        <f aca="false">IF(OR(A10="",C10=""),"",C10*IFERROR(INDEX(Yemekler!$C$5:$C$64,MATCH(A10,Yemekler!$A$5:$A$64,0)),0))</f>
        <v>0.4</v>
      </c>
    </row>
    <row r="11" customFormat="false" ht="15" hidden="false" customHeight="false" outlineLevel="0" collapsed="false">
      <c r="A11" s="23" t="s">
        <v>31</v>
      </c>
      <c r="B11" s="23" t="s">
        <v>65</v>
      </c>
      <c r="C11" s="24" t="n">
        <v>0.25</v>
      </c>
      <c r="D11" s="12" t="s">
        <v>59</v>
      </c>
      <c r="E11" s="25" t="n">
        <f aca="false">IF(OR(A11="",C11=""),"",C11*IFERROR(INDEX(Yemekler!$C$5:$C$64,MATCH(A11,Yemekler!$A$5:$A$64,0)),0))</f>
        <v>0.5</v>
      </c>
    </row>
    <row r="12" customFormat="false" ht="15" hidden="false" customHeight="false" outlineLevel="0" collapsed="false">
      <c r="A12" s="23" t="s">
        <v>31</v>
      </c>
      <c r="B12" s="23" t="s">
        <v>61</v>
      </c>
      <c r="C12" s="24" t="n">
        <v>0.15</v>
      </c>
      <c r="D12" s="12" t="s">
        <v>59</v>
      </c>
      <c r="E12" s="25" t="n">
        <f aca="false">IF(OR(A12="",C12=""),"",C12*IFERROR(INDEX(Yemekler!$C$5:$C$64,MATCH(A12,Yemekler!$A$5:$A$64,0)),0))</f>
        <v>0.3</v>
      </c>
    </row>
    <row r="13" customFormat="false" ht="15" hidden="false" customHeight="false" outlineLevel="0" collapsed="false">
      <c r="A13" s="23" t="s">
        <v>34</v>
      </c>
      <c r="B13" s="23" t="s">
        <v>66</v>
      </c>
      <c r="C13" s="24" t="n">
        <v>4</v>
      </c>
      <c r="D13" s="12" t="s">
        <v>67</v>
      </c>
      <c r="E13" s="25" t="n">
        <f aca="false">IF(OR(A13="",C13=""),"",C13*IFERROR(INDEX(Yemekler!$C$5:$C$64,MATCH(A13,Yemekler!$A$5:$A$64,0)),0))</f>
        <v>8</v>
      </c>
    </row>
    <row r="14" customFormat="false" ht="15" hidden="false" customHeight="false" outlineLevel="0" collapsed="false">
      <c r="A14" s="23" t="s">
        <v>34</v>
      </c>
      <c r="B14" s="23" t="s">
        <v>62</v>
      </c>
      <c r="C14" s="24" t="n">
        <v>0.4</v>
      </c>
      <c r="D14" s="12" t="s">
        <v>59</v>
      </c>
      <c r="E14" s="25" t="n">
        <f aca="false">IF(OR(A14="",C14=""),"",C14*IFERROR(INDEX(Yemekler!$C$5:$C$64,MATCH(A14,Yemekler!$A$5:$A$64,0)),0))</f>
        <v>0.8</v>
      </c>
    </row>
    <row r="15" customFormat="false" ht="15" hidden="false" customHeight="false" outlineLevel="0" collapsed="false">
      <c r="A15" s="23"/>
      <c r="B15" s="23"/>
      <c r="C15" s="24"/>
      <c r="D15" s="12"/>
      <c r="E15" s="25" t="str">
        <f aca="false">IF(OR(A15="",C15=""),"",C15*IFERROR(INDEX(Yemekler!$C$5:$C$64,MATCH(A15,Yemekler!$A$5:$A$64,0)),0))</f>
        <v/>
      </c>
    </row>
    <row r="16" customFormat="false" ht="15" hidden="false" customHeight="false" outlineLevel="0" collapsed="false">
      <c r="A16" s="23"/>
      <c r="B16" s="23"/>
      <c r="C16" s="24"/>
      <c r="D16" s="12"/>
      <c r="E16" s="25" t="str">
        <f aca="false">IF(OR(A16="",C16=""),"",C16*IFERROR(INDEX(Yemekler!$C$5:$C$64,MATCH(A16,Yemekler!$A$5:$A$64,0)),0))</f>
        <v/>
      </c>
    </row>
    <row r="17" customFormat="false" ht="15" hidden="false" customHeight="false" outlineLevel="0" collapsed="false">
      <c r="A17" s="23"/>
      <c r="B17" s="23"/>
      <c r="C17" s="24"/>
      <c r="D17" s="12"/>
      <c r="E17" s="25" t="str">
        <f aca="false">IF(OR(A17="",C17=""),"",C17*IFERROR(INDEX(Yemekler!$C$5:$C$64,MATCH(A17,Yemekler!$A$5:$A$64,0)),0))</f>
        <v/>
      </c>
    </row>
    <row r="18" customFormat="false" ht="15" hidden="false" customHeight="false" outlineLevel="0" collapsed="false">
      <c r="A18" s="23"/>
      <c r="B18" s="23"/>
      <c r="C18" s="24"/>
      <c r="D18" s="12"/>
      <c r="E18" s="25" t="str">
        <f aca="false">IF(OR(A18="",C18=""),"",C18*IFERROR(INDEX(Yemekler!$C$5:$C$64,MATCH(A18,Yemekler!$A$5:$A$64,0)),0))</f>
        <v/>
      </c>
    </row>
    <row r="19" customFormat="false" ht="15" hidden="false" customHeight="false" outlineLevel="0" collapsed="false">
      <c r="A19" s="23"/>
      <c r="B19" s="23"/>
      <c r="C19" s="24"/>
      <c r="D19" s="12"/>
      <c r="E19" s="25" t="str">
        <f aca="false">IF(OR(A19="",C19=""),"",C19*IFERROR(INDEX(Yemekler!$C$5:$C$64,MATCH(A19,Yemekler!$A$5:$A$64,0)),0))</f>
        <v/>
      </c>
    </row>
    <row r="20" customFormat="false" ht="15" hidden="false" customHeight="false" outlineLevel="0" collapsed="false">
      <c r="A20" s="23"/>
      <c r="B20" s="23"/>
      <c r="C20" s="24"/>
      <c r="D20" s="12"/>
      <c r="E20" s="25" t="str">
        <f aca="false">IF(OR(A20="",C20=""),"",C20*IFERROR(INDEX(Yemekler!$C$5:$C$64,MATCH(A20,Yemekler!$A$5:$A$64,0)),0))</f>
        <v/>
      </c>
    </row>
    <row r="21" customFormat="false" ht="15" hidden="false" customHeight="false" outlineLevel="0" collapsed="false">
      <c r="A21" s="23"/>
      <c r="B21" s="23"/>
      <c r="C21" s="24"/>
      <c r="D21" s="12"/>
      <c r="E21" s="25" t="str">
        <f aca="false">IF(OR(A21="",C21=""),"",C21*IFERROR(INDEX(Yemekler!$C$5:$C$64,MATCH(A21,Yemekler!$A$5:$A$64,0)),0))</f>
        <v/>
      </c>
    </row>
    <row r="22" customFormat="false" ht="15" hidden="false" customHeight="false" outlineLevel="0" collapsed="false">
      <c r="A22" s="23"/>
      <c r="B22" s="23"/>
      <c r="C22" s="24"/>
      <c r="D22" s="12"/>
      <c r="E22" s="25" t="str">
        <f aca="false">IF(OR(A22="",C22=""),"",C22*IFERROR(INDEX(Yemekler!$C$5:$C$64,MATCH(A22,Yemekler!$A$5:$A$64,0)),0))</f>
        <v/>
      </c>
    </row>
    <row r="23" customFormat="false" ht="15" hidden="false" customHeight="false" outlineLevel="0" collapsed="false">
      <c r="A23" s="23"/>
      <c r="B23" s="23"/>
      <c r="C23" s="24"/>
      <c r="D23" s="12"/>
      <c r="E23" s="25" t="str">
        <f aca="false">IF(OR(A23="",C23=""),"",C23*IFERROR(INDEX(Yemekler!$C$5:$C$64,MATCH(A23,Yemekler!$A$5:$A$64,0)),0))</f>
        <v/>
      </c>
    </row>
    <row r="24" customFormat="false" ht="15" hidden="false" customHeight="false" outlineLevel="0" collapsed="false">
      <c r="A24" s="23"/>
      <c r="B24" s="23"/>
      <c r="C24" s="24"/>
      <c r="D24" s="12"/>
      <c r="E24" s="25" t="str">
        <f aca="false">IF(OR(A24="",C24=""),"",C24*IFERROR(INDEX(Yemekler!$C$5:$C$64,MATCH(A24,Yemekler!$A$5:$A$64,0)),0))</f>
        <v/>
      </c>
    </row>
    <row r="25" customFormat="false" ht="15" hidden="false" customHeight="false" outlineLevel="0" collapsed="false">
      <c r="A25" s="23"/>
      <c r="B25" s="23"/>
      <c r="C25" s="24"/>
      <c r="D25" s="12"/>
      <c r="E25" s="25" t="str">
        <f aca="false">IF(OR(A25="",C25=""),"",C25*IFERROR(INDEX(Yemekler!$C$5:$C$64,MATCH(A25,Yemekler!$A$5:$A$64,0)),0))</f>
        <v/>
      </c>
    </row>
    <row r="26" customFormat="false" ht="15" hidden="false" customHeight="false" outlineLevel="0" collapsed="false">
      <c r="A26" s="23"/>
      <c r="B26" s="23"/>
      <c r="C26" s="24"/>
      <c r="D26" s="12"/>
      <c r="E26" s="25" t="str">
        <f aca="false">IF(OR(A26="",C26=""),"",C26*IFERROR(INDEX(Yemekler!$C$5:$C$64,MATCH(A26,Yemekler!$A$5:$A$64,0)),0))</f>
        <v/>
      </c>
    </row>
    <row r="27" customFormat="false" ht="15" hidden="false" customHeight="false" outlineLevel="0" collapsed="false">
      <c r="A27" s="23"/>
      <c r="B27" s="23"/>
      <c r="C27" s="24"/>
      <c r="D27" s="12"/>
      <c r="E27" s="25" t="str">
        <f aca="false">IF(OR(A27="",C27=""),"",C27*IFERROR(INDEX(Yemekler!$C$5:$C$64,MATCH(A27,Yemekler!$A$5:$A$64,0)),0))</f>
        <v/>
      </c>
    </row>
    <row r="28" customFormat="false" ht="15" hidden="false" customHeight="false" outlineLevel="0" collapsed="false">
      <c r="A28" s="23"/>
      <c r="B28" s="23"/>
      <c r="C28" s="24"/>
      <c r="D28" s="12"/>
      <c r="E28" s="25" t="str">
        <f aca="false">IF(OR(A28="",C28=""),"",C28*IFERROR(INDEX(Yemekler!$C$5:$C$64,MATCH(A28,Yemekler!$A$5:$A$64,0)),0))</f>
        <v/>
      </c>
    </row>
    <row r="29" customFormat="false" ht="15" hidden="false" customHeight="false" outlineLevel="0" collapsed="false">
      <c r="A29" s="23"/>
      <c r="B29" s="23"/>
      <c r="C29" s="24"/>
      <c r="D29" s="12"/>
      <c r="E29" s="25" t="str">
        <f aca="false">IF(OR(A29="",C29=""),"",C29*IFERROR(INDEX(Yemekler!$C$5:$C$64,MATCH(A29,Yemekler!$A$5:$A$64,0)),0))</f>
        <v/>
      </c>
    </row>
    <row r="30" customFormat="false" ht="15" hidden="false" customHeight="false" outlineLevel="0" collapsed="false">
      <c r="A30" s="23"/>
      <c r="B30" s="23"/>
      <c r="C30" s="24"/>
      <c r="D30" s="12"/>
      <c r="E30" s="25" t="str">
        <f aca="false">IF(OR(A30="",C30=""),"",C30*IFERROR(INDEX(Yemekler!$C$5:$C$64,MATCH(A30,Yemekler!$A$5:$A$64,0)),0))</f>
        <v/>
      </c>
    </row>
    <row r="31" customFormat="false" ht="15" hidden="false" customHeight="false" outlineLevel="0" collapsed="false">
      <c r="A31" s="23"/>
      <c r="B31" s="23"/>
      <c r="C31" s="24"/>
      <c r="D31" s="12"/>
      <c r="E31" s="25" t="str">
        <f aca="false">IF(OR(A31="",C31=""),"",C31*IFERROR(INDEX(Yemekler!$C$5:$C$64,MATCH(A31,Yemekler!$A$5:$A$64,0)),0))</f>
        <v/>
      </c>
    </row>
    <row r="32" customFormat="false" ht="15" hidden="false" customHeight="false" outlineLevel="0" collapsed="false">
      <c r="A32" s="23"/>
      <c r="B32" s="23"/>
      <c r="C32" s="24"/>
      <c r="D32" s="12"/>
      <c r="E32" s="25" t="str">
        <f aca="false">IF(OR(A32="",C32=""),"",C32*IFERROR(INDEX(Yemekler!$C$5:$C$64,MATCH(A32,Yemekler!$A$5:$A$64,0)),0))</f>
        <v/>
      </c>
    </row>
    <row r="33" customFormat="false" ht="15" hidden="false" customHeight="false" outlineLevel="0" collapsed="false">
      <c r="A33" s="23"/>
      <c r="B33" s="23"/>
      <c r="C33" s="24"/>
      <c r="D33" s="12"/>
      <c r="E33" s="25" t="str">
        <f aca="false">IF(OR(A33="",C33=""),"",C33*IFERROR(INDEX(Yemekler!$C$5:$C$64,MATCH(A33,Yemekler!$A$5:$A$64,0)),0))</f>
        <v/>
      </c>
    </row>
    <row r="34" customFormat="false" ht="15" hidden="false" customHeight="false" outlineLevel="0" collapsed="false">
      <c r="A34" s="23"/>
      <c r="B34" s="23"/>
      <c r="C34" s="24"/>
      <c r="D34" s="12"/>
      <c r="E34" s="25" t="str">
        <f aca="false">IF(OR(A34="",C34=""),"",C34*IFERROR(INDEX(Yemekler!$C$5:$C$64,MATCH(A34,Yemekler!$A$5:$A$64,0)),0))</f>
        <v/>
      </c>
    </row>
    <row r="35" customFormat="false" ht="15" hidden="false" customHeight="false" outlineLevel="0" collapsed="false">
      <c r="A35" s="23"/>
      <c r="B35" s="23"/>
      <c r="C35" s="24"/>
      <c r="D35" s="12"/>
      <c r="E35" s="25" t="str">
        <f aca="false">IF(OR(A35="",C35=""),"",C35*IFERROR(INDEX(Yemekler!$C$5:$C$64,MATCH(A35,Yemekler!$A$5:$A$64,0)),0))</f>
        <v/>
      </c>
    </row>
    <row r="36" customFormat="false" ht="15" hidden="false" customHeight="false" outlineLevel="0" collapsed="false">
      <c r="A36" s="23"/>
      <c r="B36" s="23"/>
      <c r="C36" s="24"/>
      <c r="D36" s="12"/>
      <c r="E36" s="25" t="str">
        <f aca="false">IF(OR(A36="",C36=""),"",C36*IFERROR(INDEX(Yemekler!$C$5:$C$64,MATCH(A36,Yemekler!$A$5:$A$64,0)),0))</f>
        <v/>
      </c>
    </row>
    <row r="37" customFormat="false" ht="15" hidden="false" customHeight="false" outlineLevel="0" collapsed="false">
      <c r="A37" s="23"/>
      <c r="B37" s="23"/>
      <c r="C37" s="24"/>
      <c r="D37" s="12"/>
      <c r="E37" s="25" t="str">
        <f aca="false">IF(OR(A37="",C37=""),"",C37*IFERROR(INDEX(Yemekler!$C$5:$C$64,MATCH(A37,Yemekler!$A$5:$A$64,0)),0))</f>
        <v/>
      </c>
    </row>
    <row r="38" customFormat="false" ht="15" hidden="false" customHeight="false" outlineLevel="0" collapsed="false">
      <c r="A38" s="23"/>
      <c r="B38" s="23"/>
      <c r="C38" s="24"/>
      <c r="D38" s="12"/>
      <c r="E38" s="25" t="str">
        <f aca="false">IF(OR(A38="",C38=""),"",C38*IFERROR(INDEX(Yemekler!$C$5:$C$64,MATCH(A38,Yemekler!$A$5:$A$64,0)),0))</f>
        <v/>
      </c>
    </row>
    <row r="39" customFormat="false" ht="15" hidden="false" customHeight="false" outlineLevel="0" collapsed="false">
      <c r="A39" s="23"/>
      <c r="B39" s="23"/>
      <c r="C39" s="24"/>
      <c r="D39" s="12"/>
      <c r="E39" s="25" t="str">
        <f aca="false">IF(OR(A39="",C39=""),"",C39*IFERROR(INDEX(Yemekler!$C$5:$C$64,MATCH(A39,Yemekler!$A$5:$A$64,0)),0))</f>
        <v/>
      </c>
    </row>
    <row r="40" customFormat="false" ht="15" hidden="false" customHeight="false" outlineLevel="0" collapsed="false">
      <c r="A40" s="23"/>
      <c r="B40" s="23"/>
      <c r="C40" s="24"/>
      <c r="D40" s="12"/>
      <c r="E40" s="25" t="str">
        <f aca="false">IF(OR(A40="",C40=""),"",C40*IFERROR(INDEX(Yemekler!$C$5:$C$64,MATCH(A40,Yemekler!$A$5:$A$64,0)),0))</f>
        <v/>
      </c>
    </row>
    <row r="41" customFormat="false" ht="15" hidden="false" customHeight="false" outlineLevel="0" collapsed="false">
      <c r="A41" s="23"/>
      <c r="B41" s="23"/>
      <c r="C41" s="24"/>
      <c r="D41" s="12"/>
      <c r="E41" s="25" t="str">
        <f aca="false">IF(OR(A41="",C41=""),"",C41*IFERROR(INDEX(Yemekler!$C$5:$C$64,MATCH(A41,Yemekler!$A$5:$A$64,0)),0))</f>
        <v/>
      </c>
    </row>
    <row r="42" customFormat="false" ht="15" hidden="false" customHeight="false" outlineLevel="0" collapsed="false">
      <c r="A42" s="23"/>
      <c r="B42" s="23"/>
      <c r="C42" s="24"/>
      <c r="D42" s="12"/>
      <c r="E42" s="25" t="str">
        <f aca="false">IF(OR(A42="",C42=""),"",C42*IFERROR(INDEX(Yemekler!$C$5:$C$64,MATCH(A42,Yemekler!$A$5:$A$64,0)),0))</f>
        <v/>
      </c>
    </row>
    <row r="43" customFormat="false" ht="15" hidden="false" customHeight="false" outlineLevel="0" collapsed="false">
      <c r="A43" s="23"/>
      <c r="B43" s="23"/>
      <c r="C43" s="24"/>
      <c r="D43" s="12"/>
      <c r="E43" s="25" t="str">
        <f aca="false">IF(OR(A43="",C43=""),"",C43*IFERROR(INDEX(Yemekler!$C$5:$C$64,MATCH(A43,Yemekler!$A$5:$A$64,0)),0))</f>
        <v/>
      </c>
    </row>
    <row r="44" customFormat="false" ht="15" hidden="false" customHeight="false" outlineLevel="0" collapsed="false">
      <c r="A44" s="23"/>
      <c r="B44" s="23"/>
      <c r="C44" s="24"/>
      <c r="D44" s="12"/>
      <c r="E44" s="25" t="str">
        <f aca="false">IF(OR(A44="",C44=""),"",C44*IFERROR(INDEX(Yemekler!$C$5:$C$64,MATCH(A44,Yemekler!$A$5:$A$64,0)),0))</f>
        <v/>
      </c>
    </row>
    <row r="45" customFormat="false" ht="15" hidden="false" customHeight="false" outlineLevel="0" collapsed="false">
      <c r="A45" s="23"/>
      <c r="B45" s="23"/>
      <c r="C45" s="24"/>
      <c r="D45" s="12"/>
      <c r="E45" s="25" t="str">
        <f aca="false">IF(OR(A45="",C45=""),"",C45*IFERROR(INDEX(Yemekler!$C$5:$C$64,MATCH(A45,Yemekler!$A$5:$A$64,0)),0))</f>
        <v/>
      </c>
    </row>
    <row r="46" customFormat="false" ht="15" hidden="false" customHeight="false" outlineLevel="0" collapsed="false">
      <c r="A46" s="23"/>
      <c r="B46" s="23"/>
      <c r="C46" s="24"/>
      <c r="D46" s="12"/>
      <c r="E46" s="25" t="str">
        <f aca="false">IF(OR(A46="",C46=""),"",C46*IFERROR(INDEX(Yemekler!$C$5:$C$64,MATCH(A46,Yemekler!$A$5:$A$64,0)),0))</f>
        <v/>
      </c>
    </row>
    <row r="47" customFormat="false" ht="15" hidden="false" customHeight="false" outlineLevel="0" collapsed="false">
      <c r="A47" s="23"/>
      <c r="B47" s="23"/>
      <c r="C47" s="24"/>
      <c r="D47" s="12"/>
      <c r="E47" s="25" t="str">
        <f aca="false">IF(OR(A47="",C47=""),"",C47*IFERROR(INDEX(Yemekler!$C$5:$C$64,MATCH(A47,Yemekler!$A$5:$A$64,0)),0))</f>
        <v/>
      </c>
    </row>
    <row r="48" customFormat="false" ht="15" hidden="false" customHeight="false" outlineLevel="0" collapsed="false">
      <c r="A48" s="23"/>
      <c r="B48" s="23"/>
      <c r="C48" s="24"/>
      <c r="D48" s="12"/>
      <c r="E48" s="25" t="str">
        <f aca="false">IF(OR(A48="",C48=""),"",C48*IFERROR(INDEX(Yemekler!$C$5:$C$64,MATCH(A48,Yemekler!$A$5:$A$64,0)),0))</f>
        <v/>
      </c>
    </row>
    <row r="49" customFormat="false" ht="15" hidden="false" customHeight="false" outlineLevel="0" collapsed="false">
      <c r="A49" s="23"/>
      <c r="B49" s="23"/>
      <c r="C49" s="24"/>
      <c r="D49" s="12"/>
      <c r="E49" s="25" t="str">
        <f aca="false">IF(OR(A49="",C49=""),"",C49*IFERROR(INDEX(Yemekler!$C$5:$C$64,MATCH(A49,Yemekler!$A$5:$A$64,0)),0))</f>
        <v/>
      </c>
    </row>
    <row r="50" customFormat="false" ht="15" hidden="false" customHeight="false" outlineLevel="0" collapsed="false">
      <c r="A50" s="23"/>
      <c r="B50" s="23"/>
      <c r="C50" s="24"/>
      <c r="D50" s="12"/>
      <c r="E50" s="25" t="str">
        <f aca="false">IF(OR(A50="",C50=""),"",C50*IFERROR(INDEX(Yemekler!$C$5:$C$64,MATCH(A50,Yemekler!$A$5:$A$64,0)),0))</f>
        <v/>
      </c>
    </row>
    <row r="51" customFormat="false" ht="15" hidden="false" customHeight="false" outlineLevel="0" collapsed="false">
      <c r="A51" s="23"/>
      <c r="B51" s="23"/>
      <c r="C51" s="24"/>
      <c r="D51" s="12"/>
      <c r="E51" s="25" t="str">
        <f aca="false">IF(OR(A51="",C51=""),"",C51*IFERROR(INDEX(Yemekler!$C$5:$C$64,MATCH(A51,Yemekler!$A$5:$A$64,0)),0))</f>
        <v/>
      </c>
    </row>
    <row r="52" customFormat="false" ht="15" hidden="false" customHeight="false" outlineLevel="0" collapsed="false">
      <c r="A52" s="23"/>
      <c r="B52" s="23"/>
      <c r="C52" s="24"/>
      <c r="D52" s="12"/>
      <c r="E52" s="25" t="str">
        <f aca="false">IF(OR(A52="",C52=""),"",C52*IFERROR(INDEX(Yemekler!$C$5:$C$64,MATCH(A52,Yemekler!$A$5:$A$64,0)),0))</f>
        <v/>
      </c>
    </row>
    <row r="53" customFormat="false" ht="15" hidden="false" customHeight="false" outlineLevel="0" collapsed="false">
      <c r="A53" s="23"/>
      <c r="B53" s="23"/>
      <c r="C53" s="24"/>
      <c r="D53" s="12"/>
      <c r="E53" s="25" t="str">
        <f aca="false">IF(OR(A53="",C53=""),"",C53*IFERROR(INDEX(Yemekler!$C$5:$C$64,MATCH(A53,Yemekler!$A$5:$A$64,0)),0))</f>
        <v/>
      </c>
    </row>
    <row r="54" customFormat="false" ht="15" hidden="false" customHeight="false" outlineLevel="0" collapsed="false">
      <c r="A54" s="23"/>
      <c r="B54" s="23"/>
      <c r="C54" s="24"/>
      <c r="D54" s="12"/>
      <c r="E54" s="25" t="str">
        <f aca="false">IF(OR(A54="",C54=""),"",C54*IFERROR(INDEX(Yemekler!$C$5:$C$64,MATCH(A54,Yemekler!$A$5:$A$64,0)),0))</f>
        <v/>
      </c>
    </row>
    <row r="55" customFormat="false" ht="15" hidden="false" customHeight="false" outlineLevel="0" collapsed="false">
      <c r="A55" s="23"/>
      <c r="B55" s="23"/>
      <c r="C55" s="24"/>
      <c r="D55" s="12"/>
      <c r="E55" s="25" t="str">
        <f aca="false">IF(OR(A55="",C55=""),"",C55*IFERROR(INDEX(Yemekler!$C$5:$C$64,MATCH(A55,Yemekler!$A$5:$A$64,0)),0))</f>
        <v/>
      </c>
    </row>
    <row r="56" customFormat="false" ht="15" hidden="false" customHeight="false" outlineLevel="0" collapsed="false">
      <c r="A56" s="23"/>
      <c r="B56" s="23"/>
      <c r="C56" s="24"/>
      <c r="D56" s="12"/>
      <c r="E56" s="25" t="str">
        <f aca="false">IF(OR(A56="",C56=""),"",C56*IFERROR(INDEX(Yemekler!$C$5:$C$64,MATCH(A56,Yemekler!$A$5:$A$64,0)),0))</f>
        <v/>
      </c>
    </row>
    <row r="57" customFormat="false" ht="15" hidden="false" customHeight="false" outlineLevel="0" collapsed="false">
      <c r="A57" s="23"/>
      <c r="B57" s="23"/>
      <c r="C57" s="24"/>
      <c r="D57" s="12"/>
      <c r="E57" s="25" t="str">
        <f aca="false">IF(OR(A57="",C57=""),"",C57*IFERROR(INDEX(Yemekler!$C$5:$C$64,MATCH(A57,Yemekler!$A$5:$A$64,0)),0))</f>
        <v/>
      </c>
    </row>
    <row r="58" customFormat="false" ht="15" hidden="false" customHeight="false" outlineLevel="0" collapsed="false">
      <c r="A58" s="23"/>
      <c r="B58" s="23"/>
      <c r="C58" s="24"/>
      <c r="D58" s="12"/>
      <c r="E58" s="25" t="str">
        <f aca="false">IF(OR(A58="",C58=""),"",C58*IFERROR(INDEX(Yemekler!$C$5:$C$64,MATCH(A58,Yemekler!$A$5:$A$64,0)),0))</f>
        <v/>
      </c>
    </row>
    <row r="59" customFormat="false" ht="15" hidden="false" customHeight="false" outlineLevel="0" collapsed="false">
      <c r="A59" s="23"/>
      <c r="B59" s="23"/>
      <c r="C59" s="24"/>
      <c r="D59" s="12"/>
      <c r="E59" s="25" t="str">
        <f aca="false">IF(OR(A59="",C59=""),"",C59*IFERROR(INDEX(Yemekler!$C$5:$C$64,MATCH(A59,Yemekler!$A$5:$A$64,0)),0))</f>
        <v/>
      </c>
    </row>
    <row r="60" customFormat="false" ht="15" hidden="false" customHeight="false" outlineLevel="0" collapsed="false">
      <c r="A60" s="23"/>
      <c r="B60" s="23"/>
      <c r="C60" s="24"/>
      <c r="D60" s="12"/>
      <c r="E60" s="25" t="str">
        <f aca="false">IF(OR(A60="",C60=""),"",C60*IFERROR(INDEX(Yemekler!$C$5:$C$64,MATCH(A60,Yemekler!$A$5:$A$64,0)),0))</f>
        <v/>
      </c>
    </row>
    <row r="61" customFormat="false" ht="15" hidden="false" customHeight="false" outlineLevel="0" collapsed="false">
      <c r="A61" s="23"/>
      <c r="B61" s="23"/>
      <c r="C61" s="24"/>
      <c r="D61" s="12"/>
      <c r="E61" s="25" t="str">
        <f aca="false">IF(OR(A61="",C61=""),"",C61*IFERROR(INDEX(Yemekler!$C$5:$C$64,MATCH(A61,Yemekler!$A$5:$A$64,0)),0))</f>
        <v/>
      </c>
    </row>
    <row r="62" customFormat="false" ht="15" hidden="false" customHeight="false" outlineLevel="0" collapsed="false">
      <c r="A62" s="23"/>
      <c r="B62" s="23"/>
      <c r="C62" s="24"/>
      <c r="D62" s="12"/>
      <c r="E62" s="25" t="str">
        <f aca="false">IF(OR(A62="",C62=""),"",C62*IFERROR(INDEX(Yemekler!$C$5:$C$64,MATCH(A62,Yemekler!$A$5:$A$64,0)),0))</f>
        <v/>
      </c>
    </row>
    <row r="63" customFormat="false" ht="15" hidden="false" customHeight="false" outlineLevel="0" collapsed="false">
      <c r="A63" s="23"/>
      <c r="B63" s="23"/>
      <c r="C63" s="24"/>
      <c r="D63" s="12"/>
      <c r="E63" s="25" t="str">
        <f aca="false">IF(OR(A63="",C63=""),"",C63*IFERROR(INDEX(Yemekler!$C$5:$C$64,MATCH(A63,Yemekler!$A$5:$A$64,0)),0))</f>
        <v/>
      </c>
    </row>
    <row r="64" customFormat="false" ht="15" hidden="false" customHeight="false" outlineLevel="0" collapsed="false">
      <c r="A64" s="23"/>
      <c r="B64" s="23"/>
      <c r="C64" s="24"/>
      <c r="D64" s="12"/>
      <c r="E64" s="25" t="str">
        <f aca="false">IF(OR(A64="",C64=""),"",C64*IFERROR(INDEX(Yemekler!$C$5:$C$64,MATCH(A64,Yemekler!$A$5:$A$64,0)),0))</f>
        <v/>
      </c>
    </row>
    <row r="65" customFormat="false" ht="15" hidden="false" customHeight="false" outlineLevel="0" collapsed="false">
      <c r="A65" s="23"/>
      <c r="B65" s="23"/>
      <c r="C65" s="24"/>
      <c r="D65" s="12"/>
      <c r="E65" s="25" t="str">
        <f aca="false">IF(OR(A65="",C65=""),"",C65*IFERROR(INDEX(Yemekler!$C$5:$C$64,MATCH(A65,Yemekler!$A$5:$A$64,0)),0))</f>
        <v/>
      </c>
    </row>
    <row r="66" customFormat="false" ht="15" hidden="false" customHeight="false" outlineLevel="0" collapsed="false">
      <c r="A66" s="23"/>
      <c r="B66" s="23"/>
      <c r="C66" s="24"/>
      <c r="D66" s="12"/>
      <c r="E66" s="25" t="str">
        <f aca="false">IF(OR(A66="",C66=""),"",C66*IFERROR(INDEX(Yemekler!$C$5:$C$64,MATCH(A66,Yemekler!$A$5:$A$64,0)),0))</f>
        <v/>
      </c>
    </row>
    <row r="67" customFormat="false" ht="15" hidden="false" customHeight="false" outlineLevel="0" collapsed="false">
      <c r="A67" s="23"/>
      <c r="B67" s="23"/>
      <c r="C67" s="24"/>
      <c r="D67" s="12"/>
      <c r="E67" s="25" t="str">
        <f aca="false">IF(OR(A67="",C67=""),"",C67*IFERROR(INDEX(Yemekler!$C$5:$C$64,MATCH(A67,Yemekler!$A$5:$A$64,0)),0))</f>
        <v/>
      </c>
    </row>
    <row r="68" customFormat="false" ht="15" hidden="false" customHeight="false" outlineLevel="0" collapsed="false">
      <c r="A68" s="23"/>
      <c r="B68" s="23"/>
      <c r="C68" s="24"/>
      <c r="D68" s="12"/>
      <c r="E68" s="25" t="str">
        <f aca="false">IF(OR(A68="",C68=""),"",C68*IFERROR(INDEX(Yemekler!$C$5:$C$64,MATCH(A68,Yemekler!$A$5:$A$64,0)),0))</f>
        <v/>
      </c>
    </row>
    <row r="69" customFormat="false" ht="15" hidden="false" customHeight="false" outlineLevel="0" collapsed="false">
      <c r="A69" s="23"/>
      <c r="B69" s="23"/>
      <c r="C69" s="24"/>
      <c r="D69" s="12"/>
      <c r="E69" s="25" t="str">
        <f aca="false">IF(OR(A69="",C69=""),"",C69*IFERROR(INDEX(Yemekler!$C$5:$C$64,MATCH(A69,Yemekler!$A$5:$A$64,0)),0))</f>
        <v/>
      </c>
    </row>
    <row r="70" customFormat="false" ht="15" hidden="false" customHeight="false" outlineLevel="0" collapsed="false">
      <c r="A70" s="23"/>
      <c r="B70" s="23"/>
      <c r="C70" s="24"/>
      <c r="D70" s="12"/>
      <c r="E70" s="25" t="str">
        <f aca="false">IF(OR(A70="",C70=""),"",C70*IFERROR(INDEX(Yemekler!$C$5:$C$64,MATCH(A70,Yemekler!$A$5:$A$64,0)),0))</f>
        <v/>
      </c>
    </row>
    <row r="71" customFormat="false" ht="15" hidden="false" customHeight="false" outlineLevel="0" collapsed="false">
      <c r="A71" s="23"/>
      <c r="B71" s="23"/>
      <c r="C71" s="24"/>
      <c r="D71" s="12"/>
      <c r="E71" s="25" t="str">
        <f aca="false">IF(OR(A71="",C71=""),"",C71*IFERROR(INDEX(Yemekler!$C$5:$C$64,MATCH(A71,Yemekler!$A$5:$A$64,0)),0))</f>
        <v/>
      </c>
    </row>
    <row r="72" customFormat="false" ht="15" hidden="false" customHeight="false" outlineLevel="0" collapsed="false">
      <c r="A72" s="23"/>
      <c r="B72" s="23"/>
      <c r="C72" s="24"/>
      <c r="D72" s="12"/>
      <c r="E72" s="25" t="str">
        <f aca="false">IF(OR(A72="",C72=""),"",C72*IFERROR(INDEX(Yemekler!$C$5:$C$64,MATCH(A72,Yemekler!$A$5:$A$64,0)),0))</f>
        <v/>
      </c>
    </row>
    <row r="73" customFormat="false" ht="15" hidden="false" customHeight="false" outlineLevel="0" collapsed="false">
      <c r="A73" s="23"/>
      <c r="B73" s="23"/>
      <c r="C73" s="24"/>
      <c r="D73" s="12"/>
      <c r="E73" s="25" t="str">
        <f aca="false">IF(OR(A73="",C73=""),"",C73*IFERROR(INDEX(Yemekler!$C$5:$C$64,MATCH(A73,Yemekler!$A$5:$A$64,0)),0))</f>
        <v/>
      </c>
    </row>
    <row r="74" customFormat="false" ht="15" hidden="false" customHeight="false" outlineLevel="0" collapsed="false">
      <c r="A74" s="23"/>
      <c r="B74" s="23"/>
      <c r="C74" s="24"/>
      <c r="D74" s="12"/>
      <c r="E74" s="25" t="str">
        <f aca="false">IF(OR(A74="",C74=""),"",C74*IFERROR(INDEX(Yemekler!$C$5:$C$64,MATCH(A74,Yemekler!$A$5:$A$64,0)),0))</f>
        <v/>
      </c>
    </row>
    <row r="75" customFormat="false" ht="15" hidden="false" customHeight="false" outlineLevel="0" collapsed="false">
      <c r="A75" s="23"/>
      <c r="B75" s="23"/>
      <c r="C75" s="24"/>
      <c r="D75" s="12"/>
      <c r="E75" s="25" t="str">
        <f aca="false">IF(OR(A75="",C75=""),"",C75*IFERROR(INDEX(Yemekler!$C$5:$C$64,MATCH(A75,Yemekler!$A$5:$A$64,0)),0))</f>
        <v/>
      </c>
    </row>
    <row r="76" customFormat="false" ht="15" hidden="false" customHeight="false" outlineLevel="0" collapsed="false">
      <c r="A76" s="23"/>
      <c r="B76" s="23"/>
      <c r="C76" s="24"/>
      <c r="D76" s="12"/>
      <c r="E76" s="25" t="str">
        <f aca="false">IF(OR(A76="",C76=""),"",C76*IFERROR(INDEX(Yemekler!$C$5:$C$64,MATCH(A76,Yemekler!$A$5:$A$64,0)),0))</f>
        <v/>
      </c>
    </row>
    <row r="77" customFormat="false" ht="15" hidden="false" customHeight="false" outlineLevel="0" collapsed="false">
      <c r="A77" s="23"/>
      <c r="B77" s="23"/>
      <c r="C77" s="24"/>
      <c r="D77" s="12"/>
      <c r="E77" s="25" t="str">
        <f aca="false">IF(OR(A77="",C77=""),"",C77*IFERROR(INDEX(Yemekler!$C$5:$C$64,MATCH(A77,Yemekler!$A$5:$A$64,0)),0))</f>
        <v/>
      </c>
    </row>
    <row r="78" customFormat="false" ht="15" hidden="false" customHeight="false" outlineLevel="0" collapsed="false">
      <c r="A78" s="23"/>
      <c r="B78" s="23"/>
      <c r="C78" s="24"/>
      <c r="D78" s="12"/>
      <c r="E78" s="25" t="str">
        <f aca="false">IF(OR(A78="",C78=""),"",C78*IFERROR(INDEX(Yemekler!$C$5:$C$64,MATCH(A78,Yemekler!$A$5:$A$64,0)),0))</f>
        <v/>
      </c>
    </row>
    <row r="79" customFormat="false" ht="15" hidden="false" customHeight="false" outlineLevel="0" collapsed="false">
      <c r="A79" s="23"/>
      <c r="B79" s="23"/>
      <c r="C79" s="24"/>
      <c r="D79" s="12"/>
      <c r="E79" s="25" t="str">
        <f aca="false">IF(OR(A79="",C79=""),"",C79*IFERROR(INDEX(Yemekler!$C$5:$C$64,MATCH(A79,Yemekler!$A$5:$A$64,0)),0))</f>
        <v/>
      </c>
    </row>
    <row r="80" customFormat="false" ht="15" hidden="false" customHeight="false" outlineLevel="0" collapsed="false">
      <c r="A80" s="23"/>
      <c r="B80" s="23"/>
      <c r="C80" s="24"/>
      <c r="D80" s="12"/>
      <c r="E80" s="25" t="str">
        <f aca="false">IF(OR(A80="",C80=""),"",C80*IFERROR(INDEX(Yemekler!$C$5:$C$64,MATCH(A80,Yemekler!$A$5:$A$64,0)),0))</f>
        <v/>
      </c>
    </row>
    <row r="81" customFormat="false" ht="15" hidden="false" customHeight="false" outlineLevel="0" collapsed="false">
      <c r="A81" s="23"/>
      <c r="B81" s="23"/>
      <c r="C81" s="24"/>
      <c r="D81" s="12"/>
      <c r="E81" s="25" t="str">
        <f aca="false">IF(OR(A81="",C81=""),"",C81*IFERROR(INDEX(Yemekler!$C$5:$C$64,MATCH(A81,Yemekler!$A$5:$A$64,0)),0))</f>
        <v/>
      </c>
    </row>
    <row r="82" customFormat="false" ht="15" hidden="false" customHeight="false" outlineLevel="0" collapsed="false">
      <c r="A82" s="23"/>
      <c r="B82" s="23"/>
      <c r="C82" s="24"/>
      <c r="D82" s="12"/>
      <c r="E82" s="25" t="str">
        <f aca="false">IF(OR(A82="",C82=""),"",C82*IFERROR(INDEX(Yemekler!$C$5:$C$64,MATCH(A82,Yemekler!$A$5:$A$64,0)),0))</f>
        <v/>
      </c>
    </row>
    <row r="83" customFormat="false" ht="15" hidden="false" customHeight="false" outlineLevel="0" collapsed="false">
      <c r="A83" s="23"/>
      <c r="B83" s="23"/>
      <c r="C83" s="24"/>
      <c r="D83" s="12"/>
      <c r="E83" s="25" t="str">
        <f aca="false">IF(OR(A83="",C83=""),"",C83*IFERROR(INDEX(Yemekler!$C$5:$C$64,MATCH(A83,Yemekler!$A$5:$A$64,0)),0))</f>
        <v/>
      </c>
    </row>
    <row r="84" customFormat="false" ht="15" hidden="false" customHeight="false" outlineLevel="0" collapsed="false">
      <c r="A84" s="23"/>
      <c r="B84" s="23"/>
      <c r="C84" s="24"/>
      <c r="D84" s="12"/>
      <c r="E84" s="25" t="str">
        <f aca="false">IF(OR(A84="",C84=""),"",C84*IFERROR(INDEX(Yemekler!$C$5:$C$64,MATCH(A84,Yemekler!$A$5:$A$64,0)),0))</f>
        <v/>
      </c>
    </row>
    <row r="85" customFormat="false" ht="15" hidden="false" customHeight="false" outlineLevel="0" collapsed="false">
      <c r="A85" s="23"/>
      <c r="B85" s="23"/>
      <c r="C85" s="24"/>
      <c r="D85" s="12"/>
      <c r="E85" s="25" t="str">
        <f aca="false">IF(OR(A85="",C85=""),"",C85*IFERROR(INDEX(Yemekler!$C$5:$C$64,MATCH(A85,Yemekler!$A$5:$A$64,0)),0))</f>
        <v/>
      </c>
    </row>
    <row r="86" customFormat="false" ht="15" hidden="false" customHeight="false" outlineLevel="0" collapsed="false">
      <c r="A86" s="23"/>
      <c r="B86" s="23"/>
      <c r="C86" s="24"/>
      <c r="D86" s="12"/>
      <c r="E86" s="25" t="str">
        <f aca="false">IF(OR(A86="",C86=""),"",C86*IFERROR(INDEX(Yemekler!$C$5:$C$64,MATCH(A86,Yemekler!$A$5:$A$64,0)),0))</f>
        <v/>
      </c>
    </row>
    <row r="87" customFormat="false" ht="15" hidden="false" customHeight="false" outlineLevel="0" collapsed="false">
      <c r="A87" s="23"/>
      <c r="B87" s="23"/>
      <c r="C87" s="24"/>
      <c r="D87" s="12"/>
      <c r="E87" s="25" t="str">
        <f aca="false">IF(OR(A87="",C87=""),"",C87*IFERROR(INDEX(Yemekler!$C$5:$C$64,MATCH(A87,Yemekler!$A$5:$A$64,0)),0))</f>
        <v/>
      </c>
    </row>
    <row r="88" customFormat="false" ht="15" hidden="false" customHeight="false" outlineLevel="0" collapsed="false">
      <c r="A88" s="23"/>
      <c r="B88" s="23"/>
      <c r="C88" s="24"/>
      <c r="D88" s="12"/>
      <c r="E88" s="25" t="str">
        <f aca="false">IF(OR(A88="",C88=""),"",C88*IFERROR(INDEX(Yemekler!$C$5:$C$64,MATCH(A88,Yemekler!$A$5:$A$64,0)),0))</f>
        <v/>
      </c>
    </row>
    <row r="89" customFormat="false" ht="15" hidden="false" customHeight="false" outlineLevel="0" collapsed="false">
      <c r="A89" s="23"/>
      <c r="B89" s="23"/>
      <c r="C89" s="24"/>
      <c r="D89" s="12"/>
      <c r="E89" s="25" t="str">
        <f aca="false">IF(OR(A89="",C89=""),"",C89*IFERROR(INDEX(Yemekler!$C$5:$C$64,MATCH(A89,Yemekler!$A$5:$A$64,0)),0))</f>
        <v/>
      </c>
    </row>
    <row r="90" customFormat="false" ht="15" hidden="false" customHeight="false" outlineLevel="0" collapsed="false">
      <c r="A90" s="23"/>
      <c r="B90" s="23"/>
      <c r="C90" s="24"/>
      <c r="D90" s="12"/>
      <c r="E90" s="25" t="str">
        <f aca="false">IF(OR(A90="",C90=""),"",C90*IFERROR(INDEX(Yemekler!$C$5:$C$64,MATCH(A90,Yemekler!$A$5:$A$64,0)),0))</f>
        <v/>
      </c>
    </row>
    <row r="91" customFormat="false" ht="15" hidden="false" customHeight="false" outlineLevel="0" collapsed="false">
      <c r="A91" s="23"/>
      <c r="B91" s="23"/>
      <c r="C91" s="24"/>
      <c r="D91" s="12"/>
      <c r="E91" s="25" t="str">
        <f aca="false">IF(OR(A91="",C91=""),"",C91*IFERROR(INDEX(Yemekler!$C$5:$C$64,MATCH(A91,Yemekler!$A$5:$A$64,0)),0))</f>
        <v/>
      </c>
    </row>
    <row r="92" customFormat="false" ht="15" hidden="false" customHeight="false" outlineLevel="0" collapsed="false">
      <c r="A92" s="23"/>
      <c r="B92" s="23"/>
      <c r="C92" s="24"/>
      <c r="D92" s="12"/>
      <c r="E92" s="25" t="str">
        <f aca="false">IF(OR(A92="",C92=""),"",C92*IFERROR(INDEX(Yemekler!$C$5:$C$64,MATCH(A92,Yemekler!$A$5:$A$64,0)),0))</f>
        <v/>
      </c>
    </row>
    <row r="93" customFormat="false" ht="15" hidden="false" customHeight="false" outlineLevel="0" collapsed="false">
      <c r="A93" s="23"/>
      <c r="B93" s="23"/>
      <c r="C93" s="24"/>
      <c r="D93" s="12"/>
      <c r="E93" s="25" t="str">
        <f aca="false">IF(OR(A93="",C93=""),"",C93*IFERROR(INDEX(Yemekler!$C$5:$C$64,MATCH(A93,Yemekler!$A$5:$A$64,0)),0))</f>
        <v/>
      </c>
    </row>
    <row r="94" customFormat="false" ht="15" hidden="false" customHeight="false" outlineLevel="0" collapsed="false">
      <c r="A94" s="23"/>
      <c r="B94" s="23"/>
      <c r="C94" s="24"/>
      <c r="D94" s="12"/>
      <c r="E94" s="25" t="str">
        <f aca="false">IF(OR(A94="",C94=""),"",C94*IFERROR(INDEX(Yemekler!$C$5:$C$64,MATCH(A94,Yemekler!$A$5:$A$64,0)),0))</f>
        <v/>
      </c>
    </row>
    <row r="95" customFormat="false" ht="15" hidden="false" customHeight="false" outlineLevel="0" collapsed="false">
      <c r="A95" s="23"/>
      <c r="B95" s="23"/>
      <c r="C95" s="24"/>
      <c r="D95" s="12"/>
      <c r="E95" s="25" t="str">
        <f aca="false">IF(OR(A95="",C95=""),"",C95*IFERROR(INDEX(Yemekler!$C$5:$C$64,MATCH(A95,Yemekler!$A$5:$A$64,0)),0))</f>
        <v/>
      </c>
    </row>
    <row r="96" customFormat="false" ht="15" hidden="false" customHeight="false" outlineLevel="0" collapsed="false">
      <c r="A96" s="23"/>
      <c r="B96" s="23"/>
      <c r="C96" s="24"/>
      <c r="D96" s="12"/>
      <c r="E96" s="25" t="str">
        <f aca="false">IF(OR(A96="",C96=""),"",C96*IFERROR(INDEX(Yemekler!$C$5:$C$64,MATCH(A96,Yemekler!$A$5:$A$64,0)),0))</f>
        <v/>
      </c>
    </row>
    <row r="97" customFormat="false" ht="15" hidden="false" customHeight="false" outlineLevel="0" collapsed="false">
      <c r="A97" s="23"/>
      <c r="B97" s="23"/>
      <c r="C97" s="24"/>
      <c r="D97" s="12"/>
      <c r="E97" s="25" t="str">
        <f aca="false">IF(OR(A97="",C97=""),"",C97*IFERROR(INDEX(Yemekler!$C$5:$C$64,MATCH(A97,Yemekler!$A$5:$A$64,0)),0))</f>
        <v/>
      </c>
    </row>
    <row r="98" customFormat="false" ht="15" hidden="false" customHeight="false" outlineLevel="0" collapsed="false">
      <c r="A98" s="23"/>
      <c r="B98" s="23"/>
      <c r="C98" s="24"/>
      <c r="D98" s="12"/>
      <c r="E98" s="25" t="str">
        <f aca="false">IF(OR(A98="",C98=""),"",C98*IFERROR(INDEX(Yemekler!$C$5:$C$64,MATCH(A98,Yemekler!$A$5:$A$64,0)),0))</f>
        <v/>
      </c>
    </row>
    <row r="99" customFormat="false" ht="15" hidden="false" customHeight="false" outlineLevel="0" collapsed="false">
      <c r="A99" s="23"/>
      <c r="B99" s="23"/>
      <c r="C99" s="24"/>
      <c r="D99" s="12"/>
      <c r="E99" s="25" t="str">
        <f aca="false">IF(OR(A99="",C99=""),"",C99*IFERROR(INDEX(Yemekler!$C$5:$C$64,MATCH(A99,Yemekler!$A$5:$A$64,0)),0))</f>
        <v/>
      </c>
    </row>
    <row r="100" customFormat="false" ht="15" hidden="false" customHeight="false" outlineLevel="0" collapsed="false">
      <c r="A100" s="23"/>
      <c r="B100" s="23"/>
      <c r="C100" s="24"/>
      <c r="D100" s="12"/>
      <c r="E100" s="25" t="str">
        <f aca="false">IF(OR(A100="",C100=""),"",C100*IFERROR(INDEX(Yemekler!$C$5:$C$64,MATCH(A100,Yemekler!$A$5:$A$64,0)),0))</f>
        <v/>
      </c>
    </row>
    <row r="101" customFormat="false" ht="15" hidden="false" customHeight="false" outlineLevel="0" collapsed="false">
      <c r="A101" s="23"/>
      <c r="B101" s="23"/>
      <c r="C101" s="24"/>
      <c r="D101" s="12"/>
      <c r="E101" s="25" t="str">
        <f aca="false">IF(OR(A101="",C101=""),"",C101*IFERROR(INDEX(Yemekler!$C$5:$C$64,MATCH(A101,Yemekler!$A$5:$A$64,0)),0))</f>
        <v/>
      </c>
    </row>
    <row r="102" customFormat="false" ht="15" hidden="false" customHeight="false" outlineLevel="0" collapsed="false">
      <c r="A102" s="23"/>
      <c r="B102" s="23"/>
      <c r="C102" s="24"/>
      <c r="D102" s="12"/>
      <c r="E102" s="25" t="str">
        <f aca="false">IF(OR(A102="",C102=""),"",C102*IFERROR(INDEX(Yemekler!$C$5:$C$64,MATCH(A102,Yemekler!$A$5:$A$64,0)),0))</f>
        <v/>
      </c>
    </row>
    <row r="103" customFormat="false" ht="15" hidden="false" customHeight="false" outlineLevel="0" collapsed="false">
      <c r="A103" s="23"/>
      <c r="B103" s="23"/>
      <c r="C103" s="24"/>
      <c r="D103" s="12"/>
      <c r="E103" s="25" t="str">
        <f aca="false">IF(OR(A103="",C103=""),"",C103*IFERROR(INDEX(Yemekler!$C$5:$C$64,MATCH(A103,Yemekler!$A$5:$A$64,0)),0))</f>
        <v/>
      </c>
    </row>
    <row r="104" customFormat="false" ht="15" hidden="false" customHeight="false" outlineLevel="0" collapsed="false">
      <c r="A104" s="23"/>
      <c r="B104" s="23"/>
      <c r="C104" s="24"/>
      <c r="D104" s="12"/>
      <c r="E104" s="25" t="str">
        <f aca="false">IF(OR(A104="",C104=""),"",C104*IFERROR(INDEX(Yemekler!$C$5:$C$64,MATCH(A104,Yemekler!$A$5:$A$64,0)),0))</f>
        <v/>
      </c>
    </row>
    <row r="105" customFormat="false" ht="15" hidden="false" customHeight="false" outlineLevel="0" collapsed="false">
      <c r="A105" s="23"/>
      <c r="B105" s="23"/>
      <c r="C105" s="24"/>
      <c r="D105" s="12"/>
      <c r="E105" s="25" t="str">
        <f aca="false">IF(OR(A105="",C105=""),"",C105*IFERROR(INDEX(Yemekler!$C$5:$C$64,MATCH(A105,Yemekler!$A$5:$A$64,0)),0))</f>
        <v/>
      </c>
    </row>
    <row r="106" customFormat="false" ht="15" hidden="false" customHeight="false" outlineLevel="0" collapsed="false">
      <c r="A106" s="23"/>
      <c r="B106" s="23"/>
      <c r="C106" s="24"/>
      <c r="D106" s="12"/>
      <c r="E106" s="25" t="str">
        <f aca="false">IF(OR(A106="",C106=""),"",C106*IFERROR(INDEX(Yemekler!$C$5:$C$64,MATCH(A106,Yemekler!$A$5:$A$64,0)),0))</f>
        <v/>
      </c>
    </row>
    <row r="107" customFormat="false" ht="15" hidden="false" customHeight="false" outlineLevel="0" collapsed="false">
      <c r="A107" s="23"/>
      <c r="B107" s="23"/>
      <c r="C107" s="24"/>
      <c r="D107" s="12"/>
      <c r="E107" s="25" t="str">
        <f aca="false">IF(OR(A107="",C107=""),"",C107*IFERROR(INDEX(Yemekler!$C$5:$C$64,MATCH(A107,Yemekler!$A$5:$A$64,0)),0))</f>
        <v/>
      </c>
    </row>
    <row r="108" customFormat="false" ht="15" hidden="false" customHeight="false" outlineLevel="0" collapsed="false">
      <c r="A108" s="23"/>
      <c r="B108" s="23"/>
      <c r="C108" s="24"/>
      <c r="D108" s="12"/>
      <c r="E108" s="25" t="str">
        <f aca="false">IF(OR(A108="",C108=""),"",C108*IFERROR(INDEX(Yemekler!$C$5:$C$64,MATCH(A108,Yemekler!$A$5:$A$64,0)),0))</f>
        <v/>
      </c>
    </row>
    <row r="109" customFormat="false" ht="15" hidden="false" customHeight="false" outlineLevel="0" collapsed="false">
      <c r="A109" s="23"/>
      <c r="B109" s="23"/>
      <c r="C109" s="24"/>
      <c r="D109" s="12"/>
      <c r="E109" s="25" t="str">
        <f aca="false">IF(OR(A109="",C109=""),"",C109*IFERROR(INDEX(Yemekler!$C$5:$C$64,MATCH(A109,Yemekler!$A$5:$A$64,0)),0))</f>
        <v/>
      </c>
    </row>
    <row r="110" customFormat="false" ht="15" hidden="false" customHeight="false" outlineLevel="0" collapsed="false">
      <c r="A110" s="23"/>
      <c r="B110" s="23"/>
      <c r="C110" s="24"/>
      <c r="D110" s="12"/>
      <c r="E110" s="25" t="str">
        <f aca="false">IF(OR(A110="",C110=""),"",C110*IFERROR(INDEX(Yemekler!$C$5:$C$64,MATCH(A110,Yemekler!$A$5:$A$64,0)),0))</f>
        <v/>
      </c>
    </row>
    <row r="111" customFormat="false" ht="15" hidden="false" customHeight="false" outlineLevel="0" collapsed="false">
      <c r="A111" s="23"/>
      <c r="B111" s="23"/>
      <c r="C111" s="24"/>
      <c r="D111" s="12"/>
      <c r="E111" s="25" t="str">
        <f aca="false">IF(OR(A111="",C111=""),"",C111*IFERROR(INDEX(Yemekler!$C$5:$C$64,MATCH(A111,Yemekler!$A$5:$A$64,0)),0))</f>
        <v/>
      </c>
    </row>
    <row r="112" customFormat="false" ht="15" hidden="false" customHeight="false" outlineLevel="0" collapsed="false">
      <c r="A112" s="23"/>
      <c r="B112" s="23"/>
      <c r="C112" s="24"/>
      <c r="D112" s="12"/>
      <c r="E112" s="25" t="str">
        <f aca="false">IF(OR(A112="",C112=""),"",C112*IFERROR(INDEX(Yemekler!$C$5:$C$64,MATCH(A112,Yemekler!$A$5:$A$64,0)),0))</f>
        <v/>
      </c>
    </row>
    <row r="113" customFormat="false" ht="15" hidden="false" customHeight="false" outlineLevel="0" collapsed="false">
      <c r="A113" s="23"/>
      <c r="B113" s="23"/>
      <c r="C113" s="24"/>
      <c r="D113" s="12"/>
      <c r="E113" s="25" t="str">
        <f aca="false">IF(OR(A113="",C113=""),"",C113*IFERROR(INDEX(Yemekler!$C$5:$C$64,MATCH(A113,Yemekler!$A$5:$A$64,0)),0))</f>
        <v/>
      </c>
    </row>
    <row r="114" customFormat="false" ht="15" hidden="false" customHeight="false" outlineLevel="0" collapsed="false">
      <c r="A114" s="23"/>
      <c r="B114" s="23"/>
      <c r="C114" s="24"/>
      <c r="D114" s="12"/>
      <c r="E114" s="25" t="str">
        <f aca="false">IF(OR(A114="",C114=""),"",C114*IFERROR(INDEX(Yemekler!$C$5:$C$64,MATCH(A114,Yemekler!$A$5:$A$64,0)),0))</f>
        <v/>
      </c>
    </row>
    <row r="115" customFormat="false" ht="15" hidden="false" customHeight="false" outlineLevel="0" collapsed="false">
      <c r="A115" s="23"/>
      <c r="B115" s="23"/>
      <c r="C115" s="24"/>
      <c r="D115" s="12"/>
      <c r="E115" s="25" t="str">
        <f aca="false">IF(OR(A115="",C115=""),"",C115*IFERROR(INDEX(Yemekler!$C$5:$C$64,MATCH(A115,Yemekler!$A$5:$A$64,0)),0))</f>
        <v/>
      </c>
    </row>
    <row r="116" customFormat="false" ht="15" hidden="false" customHeight="false" outlineLevel="0" collapsed="false">
      <c r="A116" s="23"/>
      <c r="B116" s="23"/>
      <c r="C116" s="24"/>
      <c r="D116" s="12"/>
      <c r="E116" s="25" t="str">
        <f aca="false">IF(OR(A116="",C116=""),"",C116*IFERROR(INDEX(Yemekler!$C$5:$C$64,MATCH(A116,Yemekler!$A$5:$A$64,0)),0))</f>
        <v/>
      </c>
    </row>
    <row r="117" customFormat="false" ht="15" hidden="false" customHeight="false" outlineLevel="0" collapsed="false">
      <c r="A117" s="23"/>
      <c r="B117" s="23"/>
      <c r="C117" s="24"/>
      <c r="D117" s="12"/>
      <c r="E117" s="25" t="str">
        <f aca="false">IF(OR(A117="",C117=""),"",C117*IFERROR(INDEX(Yemekler!$C$5:$C$64,MATCH(A117,Yemekler!$A$5:$A$64,0)),0))</f>
        <v/>
      </c>
    </row>
    <row r="118" customFormat="false" ht="15" hidden="false" customHeight="false" outlineLevel="0" collapsed="false">
      <c r="A118" s="23"/>
      <c r="B118" s="23"/>
      <c r="C118" s="24"/>
      <c r="D118" s="12"/>
      <c r="E118" s="25" t="str">
        <f aca="false">IF(OR(A118="",C118=""),"",C118*IFERROR(INDEX(Yemekler!$C$5:$C$64,MATCH(A118,Yemekler!$A$5:$A$64,0)),0))</f>
        <v/>
      </c>
    </row>
    <row r="119" customFormat="false" ht="15" hidden="false" customHeight="false" outlineLevel="0" collapsed="false">
      <c r="A119" s="23"/>
      <c r="B119" s="23"/>
      <c r="C119" s="24"/>
      <c r="D119" s="12"/>
      <c r="E119" s="25" t="str">
        <f aca="false">IF(OR(A119="",C119=""),"",C119*IFERROR(INDEX(Yemekler!$C$5:$C$64,MATCH(A119,Yemekler!$A$5:$A$64,0)),0))</f>
        <v/>
      </c>
    </row>
    <row r="120" customFormat="false" ht="15" hidden="false" customHeight="false" outlineLevel="0" collapsed="false">
      <c r="A120" s="23"/>
      <c r="B120" s="23"/>
      <c r="C120" s="24"/>
      <c r="D120" s="12"/>
      <c r="E120" s="25" t="str">
        <f aca="false">IF(OR(A120="",C120=""),"",C120*IFERROR(INDEX(Yemekler!$C$5:$C$64,MATCH(A120,Yemekler!$A$5:$A$64,0)),0))</f>
        <v/>
      </c>
    </row>
    <row r="121" customFormat="false" ht="15" hidden="false" customHeight="false" outlineLevel="0" collapsed="false">
      <c r="A121" s="23"/>
      <c r="B121" s="23"/>
      <c r="C121" s="24"/>
      <c r="D121" s="12"/>
      <c r="E121" s="25" t="str">
        <f aca="false">IF(OR(A121="",C121=""),"",C121*IFERROR(INDEX(Yemekler!$C$5:$C$64,MATCH(A121,Yemekler!$A$5:$A$64,0)),0))</f>
        <v/>
      </c>
    </row>
    <row r="122" customFormat="false" ht="15" hidden="false" customHeight="false" outlineLevel="0" collapsed="false">
      <c r="A122" s="23"/>
      <c r="B122" s="23"/>
      <c r="C122" s="24"/>
      <c r="D122" s="12"/>
      <c r="E122" s="25" t="str">
        <f aca="false">IF(OR(A122="",C122=""),"",C122*IFERROR(INDEX(Yemekler!$C$5:$C$64,MATCH(A122,Yemekler!$A$5:$A$64,0)),0))</f>
        <v/>
      </c>
    </row>
    <row r="123" customFormat="false" ht="15" hidden="false" customHeight="false" outlineLevel="0" collapsed="false">
      <c r="A123" s="23"/>
      <c r="B123" s="23"/>
      <c r="C123" s="24"/>
      <c r="D123" s="12"/>
      <c r="E123" s="25" t="str">
        <f aca="false">IF(OR(A123="",C123=""),"",C123*IFERROR(INDEX(Yemekler!$C$5:$C$64,MATCH(A123,Yemekler!$A$5:$A$64,0)),0))</f>
        <v/>
      </c>
    </row>
    <row r="124" customFormat="false" ht="15" hidden="false" customHeight="false" outlineLevel="0" collapsed="false">
      <c r="A124" s="23"/>
      <c r="B124" s="23"/>
      <c r="C124" s="24"/>
      <c r="D124" s="12"/>
      <c r="E124" s="25" t="str">
        <f aca="false">IF(OR(A124="",C124=""),"",C124*IFERROR(INDEX(Yemekler!$C$5:$C$64,MATCH(A124,Yemekler!$A$5:$A$64,0)),0))</f>
        <v/>
      </c>
    </row>
    <row r="125" customFormat="false" ht="15" hidden="false" customHeight="false" outlineLevel="0" collapsed="false">
      <c r="A125" s="23"/>
      <c r="B125" s="23"/>
      <c r="C125" s="24"/>
      <c r="D125" s="12"/>
      <c r="E125" s="25" t="str">
        <f aca="false">IF(OR(A125="",C125=""),"",C125*IFERROR(INDEX(Yemekler!$C$5:$C$64,MATCH(A125,Yemekler!$A$5:$A$64,0)),0))</f>
        <v/>
      </c>
    </row>
    <row r="126" customFormat="false" ht="15" hidden="false" customHeight="false" outlineLevel="0" collapsed="false">
      <c r="A126" s="23"/>
      <c r="B126" s="23"/>
      <c r="C126" s="24"/>
      <c r="D126" s="12"/>
      <c r="E126" s="25" t="str">
        <f aca="false">IF(OR(A126="",C126=""),"",C126*IFERROR(INDEX(Yemekler!$C$5:$C$64,MATCH(A126,Yemekler!$A$5:$A$64,0)),0))</f>
        <v/>
      </c>
    </row>
    <row r="127" customFormat="false" ht="15" hidden="false" customHeight="false" outlineLevel="0" collapsed="false">
      <c r="A127" s="23"/>
      <c r="B127" s="23"/>
      <c r="C127" s="24"/>
      <c r="D127" s="12"/>
      <c r="E127" s="25" t="str">
        <f aca="false">IF(OR(A127="",C127=""),"",C127*IFERROR(INDEX(Yemekler!$C$5:$C$64,MATCH(A127,Yemekler!$A$5:$A$64,0)),0))</f>
        <v/>
      </c>
    </row>
    <row r="128" customFormat="false" ht="15" hidden="false" customHeight="false" outlineLevel="0" collapsed="false">
      <c r="A128" s="23"/>
      <c r="B128" s="23"/>
      <c r="C128" s="24"/>
      <c r="D128" s="12"/>
      <c r="E128" s="25" t="str">
        <f aca="false">IF(OR(A128="",C128=""),"",C128*IFERROR(INDEX(Yemekler!$C$5:$C$64,MATCH(A128,Yemekler!$A$5:$A$64,0)),0))</f>
        <v/>
      </c>
    </row>
    <row r="129" customFormat="false" ht="15" hidden="false" customHeight="false" outlineLevel="0" collapsed="false">
      <c r="A129" s="23"/>
      <c r="B129" s="23"/>
      <c r="C129" s="24"/>
      <c r="D129" s="12"/>
      <c r="E129" s="25" t="str">
        <f aca="false">IF(OR(A129="",C129=""),"",C129*IFERROR(INDEX(Yemekler!$C$5:$C$64,MATCH(A129,Yemekler!$A$5:$A$64,0)),0))</f>
        <v/>
      </c>
    </row>
    <row r="130" customFormat="false" ht="15" hidden="false" customHeight="false" outlineLevel="0" collapsed="false">
      <c r="A130" s="23"/>
      <c r="B130" s="23"/>
      <c r="C130" s="24"/>
      <c r="D130" s="12"/>
      <c r="E130" s="25" t="str">
        <f aca="false">IF(OR(A130="",C130=""),"",C130*IFERROR(INDEX(Yemekler!$C$5:$C$64,MATCH(A130,Yemekler!$A$5:$A$64,0)),0))</f>
        <v/>
      </c>
    </row>
    <row r="131" customFormat="false" ht="15" hidden="false" customHeight="false" outlineLevel="0" collapsed="false">
      <c r="A131" s="23"/>
      <c r="B131" s="23"/>
      <c r="C131" s="24"/>
      <c r="D131" s="12"/>
      <c r="E131" s="25" t="str">
        <f aca="false">IF(OR(A131="",C131=""),"",C131*IFERROR(INDEX(Yemekler!$C$5:$C$64,MATCH(A131,Yemekler!$A$5:$A$64,0)),0))</f>
        <v/>
      </c>
    </row>
    <row r="132" customFormat="false" ht="15" hidden="false" customHeight="false" outlineLevel="0" collapsed="false">
      <c r="A132" s="23"/>
      <c r="B132" s="23"/>
      <c r="C132" s="24"/>
      <c r="D132" s="12"/>
      <c r="E132" s="25" t="str">
        <f aca="false">IF(OR(A132="",C132=""),"",C132*IFERROR(INDEX(Yemekler!$C$5:$C$64,MATCH(A132,Yemekler!$A$5:$A$64,0)),0))</f>
        <v/>
      </c>
    </row>
    <row r="133" customFormat="false" ht="15" hidden="false" customHeight="false" outlineLevel="0" collapsed="false">
      <c r="A133" s="23"/>
      <c r="B133" s="23"/>
      <c r="C133" s="24"/>
      <c r="D133" s="12"/>
      <c r="E133" s="25" t="str">
        <f aca="false">IF(OR(A133="",C133=""),"",C133*IFERROR(INDEX(Yemekler!$C$5:$C$64,MATCH(A133,Yemekler!$A$5:$A$64,0)),0))</f>
        <v/>
      </c>
    </row>
    <row r="134" customFormat="false" ht="15" hidden="false" customHeight="false" outlineLevel="0" collapsed="false">
      <c r="A134" s="23"/>
      <c r="B134" s="23"/>
      <c r="C134" s="24"/>
      <c r="D134" s="12"/>
      <c r="E134" s="25" t="str">
        <f aca="false">IF(OR(A134="",C134=""),"",C134*IFERROR(INDEX(Yemekler!$C$5:$C$64,MATCH(A134,Yemekler!$A$5:$A$64,0)),0))</f>
        <v/>
      </c>
    </row>
    <row r="135" customFormat="false" ht="15" hidden="false" customHeight="false" outlineLevel="0" collapsed="false">
      <c r="A135" s="23"/>
      <c r="B135" s="23"/>
      <c r="C135" s="24"/>
      <c r="D135" s="12"/>
      <c r="E135" s="25" t="str">
        <f aca="false">IF(OR(A135="",C135=""),"",C135*IFERROR(INDEX(Yemekler!$C$5:$C$64,MATCH(A135,Yemekler!$A$5:$A$64,0)),0))</f>
        <v/>
      </c>
    </row>
    <row r="136" customFormat="false" ht="15" hidden="false" customHeight="false" outlineLevel="0" collapsed="false">
      <c r="A136" s="23"/>
      <c r="B136" s="23"/>
      <c r="C136" s="24"/>
      <c r="D136" s="12"/>
      <c r="E136" s="25" t="str">
        <f aca="false">IF(OR(A136="",C136=""),"",C136*IFERROR(INDEX(Yemekler!$C$5:$C$64,MATCH(A136,Yemekler!$A$5:$A$64,0)),0))</f>
        <v/>
      </c>
    </row>
    <row r="137" customFormat="false" ht="15" hidden="false" customHeight="false" outlineLevel="0" collapsed="false">
      <c r="A137" s="23"/>
      <c r="B137" s="23"/>
      <c r="C137" s="24"/>
      <c r="D137" s="12"/>
      <c r="E137" s="25" t="str">
        <f aca="false">IF(OR(A137="",C137=""),"",C137*IFERROR(INDEX(Yemekler!$C$5:$C$64,MATCH(A137,Yemekler!$A$5:$A$64,0)),0))</f>
        <v/>
      </c>
    </row>
    <row r="138" customFormat="false" ht="15" hidden="false" customHeight="false" outlineLevel="0" collapsed="false">
      <c r="A138" s="23"/>
      <c r="B138" s="23"/>
      <c r="C138" s="24"/>
      <c r="D138" s="12"/>
      <c r="E138" s="25" t="str">
        <f aca="false">IF(OR(A138="",C138=""),"",C138*IFERROR(INDEX(Yemekler!$C$5:$C$64,MATCH(A138,Yemekler!$A$5:$A$64,0)),0))</f>
        <v/>
      </c>
    </row>
    <row r="139" customFormat="false" ht="15" hidden="false" customHeight="false" outlineLevel="0" collapsed="false">
      <c r="A139" s="23"/>
      <c r="B139" s="23"/>
      <c r="C139" s="24"/>
      <c r="D139" s="12"/>
      <c r="E139" s="25" t="str">
        <f aca="false">IF(OR(A139="",C139=""),"",C139*IFERROR(INDEX(Yemekler!$C$5:$C$64,MATCH(A139,Yemekler!$A$5:$A$64,0)),0))</f>
        <v/>
      </c>
    </row>
    <row r="140" customFormat="false" ht="15" hidden="false" customHeight="false" outlineLevel="0" collapsed="false">
      <c r="A140" s="23"/>
      <c r="B140" s="23"/>
      <c r="C140" s="24"/>
      <c r="D140" s="12"/>
      <c r="E140" s="25" t="str">
        <f aca="false">IF(OR(A140="",C140=""),"",C140*IFERROR(INDEX(Yemekler!$C$5:$C$64,MATCH(A140,Yemekler!$A$5:$A$64,0)),0))</f>
        <v/>
      </c>
    </row>
    <row r="141" customFormat="false" ht="15" hidden="false" customHeight="false" outlineLevel="0" collapsed="false">
      <c r="A141" s="23"/>
      <c r="B141" s="23"/>
      <c r="C141" s="24"/>
      <c r="D141" s="12"/>
      <c r="E141" s="25" t="str">
        <f aca="false">IF(OR(A141="",C141=""),"",C141*IFERROR(INDEX(Yemekler!$C$5:$C$64,MATCH(A141,Yemekler!$A$5:$A$64,0)),0))</f>
        <v/>
      </c>
    </row>
    <row r="142" customFormat="false" ht="15" hidden="false" customHeight="false" outlineLevel="0" collapsed="false">
      <c r="A142" s="23"/>
      <c r="B142" s="23"/>
      <c r="C142" s="24"/>
      <c r="D142" s="12"/>
      <c r="E142" s="25" t="str">
        <f aca="false">IF(OR(A142="",C142=""),"",C142*IFERROR(INDEX(Yemekler!$C$5:$C$64,MATCH(A142,Yemekler!$A$5:$A$64,0)),0))</f>
        <v/>
      </c>
    </row>
    <row r="143" customFormat="false" ht="15" hidden="false" customHeight="false" outlineLevel="0" collapsed="false">
      <c r="A143" s="23"/>
      <c r="B143" s="23"/>
      <c r="C143" s="24"/>
      <c r="D143" s="12"/>
      <c r="E143" s="25" t="str">
        <f aca="false">IF(OR(A143="",C143=""),"",C143*IFERROR(INDEX(Yemekler!$C$5:$C$64,MATCH(A143,Yemekler!$A$5:$A$64,0)),0))</f>
        <v/>
      </c>
    </row>
    <row r="144" customFormat="false" ht="15" hidden="false" customHeight="false" outlineLevel="0" collapsed="false">
      <c r="A144" s="23"/>
      <c r="B144" s="23"/>
      <c r="C144" s="24"/>
      <c r="D144" s="12"/>
      <c r="E144" s="25" t="str">
        <f aca="false">IF(OR(A144="",C144=""),"",C144*IFERROR(INDEX(Yemekler!$C$5:$C$64,MATCH(A144,Yemekler!$A$5:$A$64,0)),0))</f>
        <v/>
      </c>
    </row>
    <row r="145" customFormat="false" ht="15" hidden="false" customHeight="false" outlineLevel="0" collapsed="false">
      <c r="A145" s="23"/>
      <c r="B145" s="23"/>
      <c r="C145" s="24"/>
      <c r="D145" s="12"/>
      <c r="E145" s="25" t="str">
        <f aca="false">IF(OR(A145="",C145=""),"",C145*IFERROR(INDEX(Yemekler!$C$5:$C$64,MATCH(A145,Yemekler!$A$5:$A$64,0)),0))</f>
        <v/>
      </c>
    </row>
    <row r="146" customFormat="false" ht="15" hidden="false" customHeight="false" outlineLevel="0" collapsed="false">
      <c r="A146" s="23"/>
      <c r="B146" s="23"/>
      <c r="C146" s="24"/>
      <c r="D146" s="12"/>
      <c r="E146" s="25" t="str">
        <f aca="false">IF(OR(A146="",C146=""),"",C146*IFERROR(INDEX(Yemekler!$C$5:$C$64,MATCH(A146,Yemekler!$A$5:$A$64,0)),0))</f>
        <v/>
      </c>
    </row>
    <row r="147" customFormat="false" ht="15" hidden="false" customHeight="false" outlineLevel="0" collapsed="false">
      <c r="A147" s="23"/>
      <c r="B147" s="23"/>
      <c r="C147" s="24"/>
      <c r="D147" s="12"/>
      <c r="E147" s="25" t="str">
        <f aca="false">IF(OR(A147="",C147=""),"",C147*IFERROR(INDEX(Yemekler!$C$5:$C$64,MATCH(A147,Yemekler!$A$5:$A$64,0)),0))</f>
        <v/>
      </c>
    </row>
    <row r="148" customFormat="false" ht="15" hidden="false" customHeight="false" outlineLevel="0" collapsed="false">
      <c r="A148" s="23"/>
      <c r="B148" s="23"/>
      <c r="C148" s="24"/>
      <c r="D148" s="12"/>
      <c r="E148" s="25" t="str">
        <f aca="false">IF(OR(A148="",C148=""),"",C148*IFERROR(INDEX(Yemekler!$C$5:$C$64,MATCH(A148,Yemekler!$A$5:$A$64,0)),0))</f>
        <v/>
      </c>
    </row>
    <row r="149" customFormat="false" ht="15" hidden="false" customHeight="false" outlineLevel="0" collapsed="false">
      <c r="A149" s="23"/>
      <c r="B149" s="23"/>
      <c r="C149" s="24"/>
      <c r="D149" s="12"/>
      <c r="E149" s="25" t="str">
        <f aca="false">IF(OR(A149="",C149=""),"",C149*IFERROR(INDEX(Yemekler!$C$5:$C$64,MATCH(A149,Yemekler!$A$5:$A$64,0)),0))</f>
        <v/>
      </c>
    </row>
    <row r="150" customFormat="false" ht="15" hidden="false" customHeight="false" outlineLevel="0" collapsed="false">
      <c r="A150" s="23"/>
      <c r="B150" s="23"/>
      <c r="C150" s="24"/>
      <c r="D150" s="12"/>
      <c r="E150" s="25" t="str">
        <f aca="false">IF(OR(A150="",C150=""),"",C150*IFERROR(INDEX(Yemekler!$C$5:$C$64,MATCH(A150,Yemekler!$A$5:$A$64,0)),0))</f>
        <v/>
      </c>
    </row>
    <row r="151" customFormat="false" ht="15" hidden="false" customHeight="false" outlineLevel="0" collapsed="false">
      <c r="A151" s="23"/>
      <c r="B151" s="23"/>
      <c r="C151" s="24"/>
      <c r="D151" s="12"/>
      <c r="E151" s="25" t="str">
        <f aca="false">IF(OR(A151="",C151=""),"",C151*IFERROR(INDEX(Yemekler!$C$5:$C$64,MATCH(A151,Yemekler!$A$5:$A$64,0)),0))</f>
        <v/>
      </c>
    </row>
    <row r="152" customFormat="false" ht="15" hidden="false" customHeight="false" outlineLevel="0" collapsed="false">
      <c r="A152" s="23"/>
      <c r="B152" s="23"/>
      <c r="C152" s="24"/>
      <c r="D152" s="12"/>
      <c r="E152" s="25" t="str">
        <f aca="false">IF(OR(A152="",C152=""),"",C152*IFERROR(INDEX(Yemekler!$C$5:$C$64,MATCH(A152,Yemekler!$A$5:$A$64,0)),0))</f>
        <v/>
      </c>
    </row>
    <row r="153" customFormat="false" ht="15" hidden="false" customHeight="false" outlineLevel="0" collapsed="false">
      <c r="A153" s="23"/>
      <c r="B153" s="23"/>
      <c r="C153" s="24"/>
      <c r="D153" s="12"/>
      <c r="E153" s="25" t="str">
        <f aca="false">IF(OR(A153="",C153=""),"",C153*IFERROR(INDEX(Yemekler!$C$5:$C$64,MATCH(A153,Yemekler!$A$5:$A$64,0)),0))</f>
        <v/>
      </c>
    </row>
    <row r="154" customFormat="false" ht="15" hidden="false" customHeight="false" outlineLevel="0" collapsed="false">
      <c r="A154" s="23"/>
      <c r="B154" s="23"/>
      <c r="C154" s="24"/>
      <c r="D154" s="12"/>
      <c r="E154" s="25" t="str">
        <f aca="false">IF(OR(A154="",C154=""),"",C154*IFERROR(INDEX(Yemekler!$C$5:$C$64,MATCH(A154,Yemekler!$A$5:$A$64,0)),0))</f>
        <v/>
      </c>
    </row>
    <row r="155" customFormat="false" ht="15" hidden="false" customHeight="false" outlineLevel="0" collapsed="false">
      <c r="A155" s="23"/>
      <c r="B155" s="23"/>
      <c r="C155" s="24"/>
      <c r="D155" s="12"/>
      <c r="E155" s="25" t="str">
        <f aca="false">IF(OR(A155="",C155=""),"",C155*IFERROR(INDEX(Yemekler!$C$5:$C$64,MATCH(A155,Yemekler!$A$5:$A$64,0)),0))</f>
        <v/>
      </c>
    </row>
    <row r="156" customFormat="false" ht="15" hidden="false" customHeight="false" outlineLevel="0" collapsed="false">
      <c r="A156" s="23"/>
      <c r="B156" s="23"/>
      <c r="C156" s="24"/>
      <c r="D156" s="12"/>
      <c r="E156" s="25" t="str">
        <f aca="false">IF(OR(A156="",C156=""),"",C156*IFERROR(INDEX(Yemekler!$C$5:$C$64,MATCH(A156,Yemekler!$A$5:$A$64,0)),0))</f>
        <v/>
      </c>
    </row>
    <row r="157" customFormat="false" ht="15" hidden="false" customHeight="false" outlineLevel="0" collapsed="false">
      <c r="A157" s="23"/>
      <c r="B157" s="23"/>
      <c r="C157" s="24"/>
      <c r="D157" s="12"/>
      <c r="E157" s="25" t="str">
        <f aca="false">IF(OR(A157="",C157=""),"",C157*IFERROR(INDEX(Yemekler!$C$5:$C$64,MATCH(A157,Yemekler!$A$5:$A$64,0)),0))</f>
        <v/>
      </c>
    </row>
    <row r="158" customFormat="false" ht="15" hidden="false" customHeight="false" outlineLevel="0" collapsed="false">
      <c r="A158" s="23"/>
      <c r="B158" s="23"/>
      <c r="C158" s="24"/>
      <c r="D158" s="12"/>
      <c r="E158" s="25" t="str">
        <f aca="false">IF(OR(A158="",C158=""),"",C158*IFERROR(INDEX(Yemekler!$C$5:$C$64,MATCH(A158,Yemekler!$A$5:$A$64,0)),0))</f>
        <v/>
      </c>
    </row>
    <row r="159" customFormat="false" ht="15" hidden="false" customHeight="false" outlineLevel="0" collapsed="false">
      <c r="A159" s="23"/>
      <c r="B159" s="23"/>
      <c r="C159" s="24"/>
      <c r="D159" s="12"/>
      <c r="E159" s="25" t="str">
        <f aca="false">IF(OR(A159="",C159=""),"",C159*IFERROR(INDEX(Yemekler!$C$5:$C$64,MATCH(A159,Yemekler!$A$5:$A$64,0)),0))</f>
        <v/>
      </c>
    </row>
    <row r="160" customFormat="false" ht="15" hidden="false" customHeight="false" outlineLevel="0" collapsed="false">
      <c r="A160" s="23"/>
      <c r="B160" s="23"/>
      <c r="C160" s="24"/>
      <c r="D160" s="12"/>
      <c r="E160" s="25" t="str">
        <f aca="false">IF(OR(A160="",C160=""),"",C160*IFERROR(INDEX(Yemekler!$C$5:$C$64,MATCH(A160,Yemekler!$A$5:$A$64,0)),0))</f>
        <v/>
      </c>
    </row>
    <row r="161" customFormat="false" ht="15" hidden="false" customHeight="false" outlineLevel="0" collapsed="false">
      <c r="A161" s="23"/>
      <c r="B161" s="23"/>
      <c r="C161" s="24"/>
      <c r="D161" s="12"/>
      <c r="E161" s="25" t="str">
        <f aca="false">IF(OR(A161="",C161=""),"",C161*IFERROR(INDEX(Yemekler!$C$5:$C$64,MATCH(A161,Yemekler!$A$5:$A$64,0)),0))</f>
        <v/>
      </c>
    </row>
    <row r="162" customFormat="false" ht="15" hidden="false" customHeight="false" outlineLevel="0" collapsed="false">
      <c r="A162" s="23"/>
      <c r="B162" s="23"/>
      <c r="C162" s="24"/>
      <c r="D162" s="12"/>
      <c r="E162" s="25" t="str">
        <f aca="false">IF(OR(A162="",C162=""),"",C162*IFERROR(INDEX(Yemekler!$C$5:$C$64,MATCH(A162,Yemekler!$A$5:$A$64,0)),0))</f>
        <v/>
      </c>
    </row>
    <row r="163" customFormat="false" ht="15" hidden="false" customHeight="false" outlineLevel="0" collapsed="false">
      <c r="A163" s="23"/>
      <c r="B163" s="23"/>
      <c r="C163" s="24"/>
      <c r="D163" s="12"/>
      <c r="E163" s="25" t="str">
        <f aca="false">IF(OR(A163="",C163=""),"",C163*IFERROR(INDEX(Yemekler!$C$5:$C$64,MATCH(A163,Yemekler!$A$5:$A$64,0)),0))</f>
        <v/>
      </c>
    </row>
    <row r="164" customFormat="false" ht="15" hidden="false" customHeight="false" outlineLevel="0" collapsed="false">
      <c r="A164" s="23"/>
      <c r="B164" s="23"/>
      <c r="C164" s="24"/>
      <c r="D164" s="12"/>
      <c r="E164" s="25" t="str">
        <f aca="false">IF(OR(A164="",C164=""),"",C164*IFERROR(INDEX(Yemekler!$C$5:$C$64,MATCH(A164,Yemekler!$A$5:$A$64,0)),0))</f>
        <v/>
      </c>
    </row>
    <row r="165" customFormat="false" ht="15" hidden="false" customHeight="false" outlineLevel="0" collapsed="false">
      <c r="A165" s="23"/>
      <c r="B165" s="23"/>
      <c r="C165" s="24"/>
      <c r="D165" s="12"/>
      <c r="E165" s="25" t="str">
        <f aca="false">IF(OR(A165="",C165=""),"",C165*IFERROR(INDEX(Yemekler!$C$5:$C$64,MATCH(A165,Yemekler!$A$5:$A$64,0)),0))</f>
        <v/>
      </c>
    </row>
    <row r="166" customFormat="false" ht="15" hidden="false" customHeight="false" outlineLevel="0" collapsed="false">
      <c r="A166" s="23"/>
      <c r="B166" s="23"/>
      <c r="C166" s="24"/>
      <c r="D166" s="12"/>
      <c r="E166" s="25" t="str">
        <f aca="false">IF(OR(A166="",C166=""),"",C166*IFERROR(INDEX(Yemekler!$C$5:$C$64,MATCH(A166,Yemekler!$A$5:$A$64,0)),0))</f>
        <v/>
      </c>
    </row>
    <row r="167" customFormat="false" ht="15" hidden="false" customHeight="false" outlineLevel="0" collapsed="false">
      <c r="A167" s="23"/>
      <c r="B167" s="23"/>
      <c r="C167" s="24"/>
      <c r="D167" s="12"/>
      <c r="E167" s="25" t="str">
        <f aca="false">IF(OR(A167="",C167=""),"",C167*IFERROR(INDEX(Yemekler!$C$5:$C$64,MATCH(A167,Yemekler!$A$5:$A$64,0)),0))</f>
        <v/>
      </c>
    </row>
    <row r="168" customFormat="false" ht="15" hidden="false" customHeight="false" outlineLevel="0" collapsed="false">
      <c r="A168" s="23"/>
      <c r="B168" s="23"/>
      <c r="C168" s="24"/>
      <c r="D168" s="12"/>
      <c r="E168" s="25" t="str">
        <f aca="false">IF(OR(A168="",C168=""),"",C168*IFERROR(INDEX(Yemekler!$C$5:$C$64,MATCH(A168,Yemekler!$A$5:$A$64,0)),0))</f>
        <v/>
      </c>
    </row>
    <row r="169" customFormat="false" ht="15" hidden="false" customHeight="false" outlineLevel="0" collapsed="false">
      <c r="A169" s="23"/>
      <c r="B169" s="23"/>
      <c r="C169" s="24"/>
      <c r="D169" s="12"/>
      <c r="E169" s="25" t="str">
        <f aca="false">IF(OR(A169="",C169=""),"",C169*IFERROR(INDEX(Yemekler!$C$5:$C$64,MATCH(A169,Yemekler!$A$5:$A$64,0)),0))</f>
        <v/>
      </c>
    </row>
    <row r="170" customFormat="false" ht="15" hidden="false" customHeight="false" outlineLevel="0" collapsed="false">
      <c r="A170" s="23"/>
      <c r="B170" s="23"/>
      <c r="C170" s="24"/>
      <c r="D170" s="12"/>
      <c r="E170" s="25" t="str">
        <f aca="false">IF(OR(A170="",C170=""),"",C170*IFERROR(INDEX(Yemekler!$C$5:$C$64,MATCH(A170,Yemekler!$A$5:$A$64,0)),0))</f>
        <v/>
      </c>
    </row>
    <row r="171" customFormat="false" ht="15" hidden="false" customHeight="false" outlineLevel="0" collapsed="false">
      <c r="A171" s="23"/>
      <c r="B171" s="23"/>
      <c r="C171" s="24"/>
      <c r="D171" s="12"/>
      <c r="E171" s="25" t="str">
        <f aca="false">IF(OR(A171="",C171=""),"",C171*IFERROR(INDEX(Yemekler!$C$5:$C$64,MATCH(A171,Yemekler!$A$5:$A$64,0)),0))</f>
        <v/>
      </c>
    </row>
    <row r="172" customFormat="false" ht="15" hidden="false" customHeight="false" outlineLevel="0" collapsed="false">
      <c r="A172" s="23"/>
      <c r="B172" s="23"/>
      <c r="C172" s="24"/>
      <c r="D172" s="12"/>
      <c r="E172" s="25" t="str">
        <f aca="false">IF(OR(A172="",C172=""),"",C172*IFERROR(INDEX(Yemekler!$C$5:$C$64,MATCH(A172,Yemekler!$A$5:$A$64,0)),0))</f>
        <v/>
      </c>
    </row>
    <row r="173" customFormat="false" ht="15" hidden="false" customHeight="false" outlineLevel="0" collapsed="false">
      <c r="A173" s="23"/>
      <c r="B173" s="23"/>
      <c r="C173" s="24"/>
      <c r="D173" s="12"/>
      <c r="E173" s="25" t="str">
        <f aca="false">IF(OR(A173="",C173=""),"",C173*IFERROR(INDEX(Yemekler!$C$5:$C$64,MATCH(A173,Yemekler!$A$5:$A$64,0)),0))</f>
        <v/>
      </c>
    </row>
    <row r="174" customFormat="false" ht="15" hidden="false" customHeight="false" outlineLevel="0" collapsed="false">
      <c r="A174" s="23"/>
      <c r="B174" s="23"/>
      <c r="C174" s="24"/>
      <c r="D174" s="12"/>
      <c r="E174" s="25" t="str">
        <f aca="false">IF(OR(A174="",C174=""),"",C174*IFERROR(INDEX(Yemekler!$C$5:$C$64,MATCH(A174,Yemekler!$A$5:$A$64,0)),0))</f>
        <v/>
      </c>
    </row>
    <row r="175" customFormat="false" ht="15" hidden="false" customHeight="false" outlineLevel="0" collapsed="false">
      <c r="A175" s="23"/>
      <c r="B175" s="23"/>
      <c r="C175" s="24"/>
      <c r="D175" s="12"/>
      <c r="E175" s="25" t="str">
        <f aca="false">IF(OR(A175="",C175=""),"",C175*IFERROR(INDEX(Yemekler!$C$5:$C$64,MATCH(A175,Yemekler!$A$5:$A$64,0)),0))</f>
        <v/>
      </c>
    </row>
    <row r="176" customFormat="false" ht="15" hidden="false" customHeight="false" outlineLevel="0" collapsed="false">
      <c r="A176" s="23"/>
      <c r="B176" s="23"/>
      <c r="C176" s="24"/>
      <c r="D176" s="12"/>
      <c r="E176" s="25" t="str">
        <f aca="false">IF(OR(A176="",C176=""),"",C176*IFERROR(INDEX(Yemekler!$C$5:$C$64,MATCH(A176,Yemekler!$A$5:$A$64,0)),0))</f>
        <v/>
      </c>
    </row>
    <row r="177" customFormat="false" ht="15" hidden="false" customHeight="false" outlineLevel="0" collapsed="false">
      <c r="A177" s="23"/>
      <c r="B177" s="23"/>
      <c r="C177" s="24"/>
      <c r="D177" s="12"/>
      <c r="E177" s="25" t="str">
        <f aca="false">IF(OR(A177="",C177=""),"",C177*IFERROR(INDEX(Yemekler!$C$5:$C$64,MATCH(A177,Yemekler!$A$5:$A$64,0)),0))</f>
        <v/>
      </c>
    </row>
    <row r="178" customFormat="false" ht="15" hidden="false" customHeight="false" outlineLevel="0" collapsed="false">
      <c r="A178" s="23"/>
      <c r="B178" s="23"/>
      <c r="C178" s="24"/>
      <c r="D178" s="12"/>
      <c r="E178" s="25" t="str">
        <f aca="false">IF(OR(A178="",C178=""),"",C178*IFERROR(INDEX(Yemekler!$C$5:$C$64,MATCH(A178,Yemekler!$A$5:$A$64,0)),0))</f>
        <v/>
      </c>
    </row>
    <row r="179" customFormat="false" ht="15" hidden="false" customHeight="false" outlineLevel="0" collapsed="false">
      <c r="A179" s="23"/>
      <c r="B179" s="23"/>
      <c r="C179" s="24"/>
      <c r="D179" s="12"/>
      <c r="E179" s="25" t="str">
        <f aca="false">IF(OR(A179="",C179=""),"",C179*IFERROR(INDEX(Yemekler!$C$5:$C$64,MATCH(A179,Yemekler!$A$5:$A$64,0)),0))</f>
        <v/>
      </c>
    </row>
    <row r="180" customFormat="false" ht="15" hidden="false" customHeight="false" outlineLevel="0" collapsed="false">
      <c r="A180" s="23"/>
      <c r="B180" s="23"/>
      <c r="C180" s="24"/>
      <c r="D180" s="12"/>
      <c r="E180" s="25" t="str">
        <f aca="false">IF(OR(A180="",C180=""),"",C180*IFERROR(INDEX(Yemekler!$C$5:$C$64,MATCH(A180,Yemekler!$A$5:$A$64,0)),0))</f>
        <v/>
      </c>
    </row>
    <row r="181" customFormat="false" ht="15" hidden="false" customHeight="false" outlineLevel="0" collapsed="false">
      <c r="A181" s="23"/>
      <c r="B181" s="23"/>
      <c r="C181" s="24"/>
      <c r="D181" s="12"/>
      <c r="E181" s="25" t="str">
        <f aca="false">IF(OR(A181="",C181=""),"",C181*IFERROR(INDEX(Yemekler!$C$5:$C$64,MATCH(A181,Yemekler!$A$5:$A$64,0)),0))</f>
        <v/>
      </c>
    </row>
    <row r="182" customFormat="false" ht="15" hidden="false" customHeight="false" outlineLevel="0" collapsed="false">
      <c r="A182" s="23"/>
      <c r="B182" s="23"/>
      <c r="C182" s="24"/>
      <c r="D182" s="12"/>
      <c r="E182" s="25" t="str">
        <f aca="false">IF(OR(A182="",C182=""),"",C182*IFERROR(INDEX(Yemekler!$C$5:$C$64,MATCH(A182,Yemekler!$A$5:$A$64,0)),0))</f>
        <v/>
      </c>
    </row>
    <row r="183" customFormat="false" ht="15" hidden="false" customHeight="false" outlineLevel="0" collapsed="false">
      <c r="A183" s="23"/>
      <c r="B183" s="23"/>
      <c r="C183" s="24"/>
      <c r="D183" s="12"/>
      <c r="E183" s="25" t="str">
        <f aca="false">IF(OR(A183="",C183=""),"",C183*IFERROR(INDEX(Yemekler!$C$5:$C$64,MATCH(A183,Yemekler!$A$5:$A$64,0)),0))</f>
        <v/>
      </c>
    </row>
    <row r="184" customFormat="false" ht="15" hidden="false" customHeight="false" outlineLevel="0" collapsed="false">
      <c r="A184" s="23"/>
      <c r="B184" s="23"/>
      <c r="C184" s="24"/>
      <c r="D184" s="12"/>
      <c r="E184" s="25" t="str">
        <f aca="false">IF(OR(A184="",C184=""),"",C184*IFERROR(INDEX(Yemekler!$C$5:$C$64,MATCH(A184,Yemekler!$A$5:$A$64,0)),0))</f>
        <v/>
      </c>
    </row>
    <row r="185" customFormat="false" ht="15" hidden="false" customHeight="false" outlineLevel="0" collapsed="false">
      <c r="A185" s="23"/>
      <c r="B185" s="23"/>
      <c r="C185" s="24"/>
      <c r="D185" s="12"/>
      <c r="E185" s="25" t="str">
        <f aca="false">IF(OR(A185="",C185=""),"",C185*IFERROR(INDEX(Yemekler!$C$5:$C$64,MATCH(A185,Yemekler!$A$5:$A$64,0)),0))</f>
        <v/>
      </c>
    </row>
    <row r="186" customFormat="false" ht="15" hidden="false" customHeight="false" outlineLevel="0" collapsed="false">
      <c r="A186" s="23"/>
      <c r="B186" s="23"/>
      <c r="C186" s="24"/>
      <c r="D186" s="12"/>
      <c r="E186" s="25" t="str">
        <f aca="false">IF(OR(A186="",C186=""),"",C186*IFERROR(INDEX(Yemekler!$C$5:$C$64,MATCH(A186,Yemekler!$A$5:$A$64,0)),0))</f>
        <v/>
      </c>
    </row>
    <row r="187" customFormat="false" ht="15" hidden="false" customHeight="false" outlineLevel="0" collapsed="false">
      <c r="A187" s="23"/>
      <c r="B187" s="23"/>
      <c r="C187" s="24"/>
      <c r="D187" s="12"/>
      <c r="E187" s="25" t="str">
        <f aca="false">IF(OR(A187="",C187=""),"",C187*IFERROR(INDEX(Yemekler!$C$5:$C$64,MATCH(A187,Yemekler!$A$5:$A$64,0)),0))</f>
        <v/>
      </c>
    </row>
    <row r="188" customFormat="false" ht="15" hidden="false" customHeight="false" outlineLevel="0" collapsed="false">
      <c r="A188" s="23"/>
      <c r="B188" s="23"/>
      <c r="C188" s="24"/>
      <c r="D188" s="12"/>
      <c r="E188" s="25" t="str">
        <f aca="false">IF(OR(A188="",C188=""),"",C188*IFERROR(INDEX(Yemekler!$C$5:$C$64,MATCH(A188,Yemekler!$A$5:$A$64,0)),0))</f>
        <v/>
      </c>
    </row>
    <row r="189" customFormat="false" ht="15" hidden="false" customHeight="false" outlineLevel="0" collapsed="false">
      <c r="A189" s="23"/>
      <c r="B189" s="23"/>
      <c r="C189" s="24"/>
      <c r="D189" s="12"/>
      <c r="E189" s="25" t="str">
        <f aca="false">IF(OR(A189="",C189=""),"",C189*IFERROR(INDEX(Yemekler!$C$5:$C$64,MATCH(A189,Yemekler!$A$5:$A$64,0)),0))</f>
        <v/>
      </c>
    </row>
    <row r="190" customFormat="false" ht="15" hidden="false" customHeight="false" outlineLevel="0" collapsed="false">
      <c r="A190" s="23"/>
      <c r="B190" s="23"/>
      <c r="C190" s="24"/>
      <c r="D190" s="12"/>
      <c r="E190" s="25" t="str">
        <f aca="false">IF(OR(A190="",C190=""),"",C190*IFERROR(INDEX(Yemekler!$C$5:$C$64,MATCH(A190,Yemekler!$A$5:$A$64,0)),0))</f>
        <v/>
      </c>
    </row>
    <row r="191" customFormat="false" ht="15" hidden="false" customHeight="false" outlineLevel="0" collapsed="false">
      <c r="A191" s="23"/>
      <c r="B191" s="23"/>
      <c r="C191" s="24"/>
      <c r="D191" s="12"/>
      <c r="E191" s="25" t="str">
        <f aca="false">IF(OR(A191="",C191=""),"",C191*IFERROR(INDEX(Yemekler!$C$5:$C$64,MATCH(A191,Yemekler!$A$5:$A$64,0)),0))</f>
        <v/>
      </c>
    </row>
    <row r="192" customFormat="false" ht="15" hidden="false" customHeight="false" outlineLevel="0" collapsed="false">
      <c r="A192" s="23"/>
      <c r="B192" s="23"/>
      <c r="C192" s="24"/>
      <c r="D192" s="12"/>
      <c r="E192" s="25" t="str">
        <f aca="false">IF(OR(A192="",C192=""),"",C192*IFERROR(INDEX(Yemekler!$C$5:$C$64,MATCH(A192,Yemekler!$A$5:$A$64,0)),0))</f>
        <v/>
      </c>
    </row>
    <row r="193" customFormat="false" ht="15" hidden="false" customHeight="false" outlineLevel="0" collapsed="false">
      <c r="A193" s="23"/>
      <c r="B193" s="23"/>
      <c r="C193" s="24"/>
      <c r="D193" s="12"/>
      <c r="E193" s="25" t="str">
        <f aca="false">IF(OR(A193="",C193=""),"",C193*IFERROR(INDEX(Yemekler!$C$5:$C$64,MATCH(A193,Yemekler!$A$5:$A$64,0)),0))</f>
        <v/>
      </c>
    </row>
    <row r="194" customFormat="false" ht="15" hidden="false" customHeight="false" outlineLevel="0" collapsed="false">
      <c r="A194" s="23"/>
      <c r="B194" s="23"/>
      <c r="C194" s="24"/>
      <c r="D194" s="12"/>
      <c r="E194" s="25" t="str">
        <f aca="false">IF(OR(A194="",C194=""),"",C194*IFERROR(INDEX(Yemekler!$C$5:$C$64,MATCH(A194,Yemekler!$A$5:$A$64,0)),0))</f>
        <v/>
      </c>
    </row>
    <row r="195" customFormat="false" ht="15" hidden="false" customHeight="false" outlineLevel="0" collapsed="false">
      <c r="A195" s="23"/>
      <c r="B195" s="23"/>
      <c r="C195" s="24"/>
      <c r="D195" s="12"/>
      <c r="E195" s="25" t="str">
        <f aca="false">IF(OR(A195="",C195=""),"",C195*IFERROR(INDEX(Yemekler!$C$5:$C$64,MATCH(A195,Yemekler!$A$5:$A$64,0)),0))</f>
        <v/>
      </c>
    </row>
    <row r="196" customFormat="false" ht="15" hidden="false" customHeight="false" outlineLevel="0" collapsed="false">
      <c r="A196" s="23"/>
      <c r="B196" s="23"/>
      <c r="C196" s="24"/>
      <c r="D196" s="12"/>
      <c r="E196" s="25" t="str">
        <f aca="false">IF(OR(A196="",C196=""),"",C196*IFERROR(INDEX(Yemekler!$C$5:$C$64,MATCH(A196,Yemekler!$A$5:$A$64,0)),0))</f>
        <v/>
      </c>
    </row>
    <row r="197" customFormat="false" ht="15" hidden="false" customHeight="false" outlineLevel="0" collapsed="false">
      <c r="A197" s="23"/>
      <c r="B197" s="23"/>
      <c r="C197" s="24"/>
      <c r="D197" s="12"/>
      <c r="E197" s="25" t="str">
        <f aca="false">IF(OR(A197="",C197=""),"",C197*IFERROR(INDEX(Yemekler!$C$5:$C$64,MATCH(A197,Yemekler!$A$5:$A$64,0)),0))</f>
        <v/>
      </c>
    </row>
    <row r="198" customFormat="false" ht="15" hidden="false" customHeight="false" outlineLevel="0" collapsed="false">
      <c r="A198" s="23"/>
      <c r="B198" s="23"/>
      <c r="C198" s="24"/>
      <c r="D198" s="12"/>
      <c r="E198" s="25" t="str">
        <f aca="false">IF(OR(A198="",C198=""),"",C198*IFERROR(INDEX(Yemekler!$C$5:$C$64,MATCH(A198,Yemekler!$A$5:$A$64,0)),0))</f>
        <v/>
      </c>
    </row>
    <row r="199" customFormat="false" ht="15" hidden="false" customHeight="false" outlineLevel="0" collapsed="false">
      <c r="A199" s="23"/>
      <c r="B199" s="23"/>
      <c r="C199" s="24"/>
      <c r="D199" s="12"/>
      <c r="E199" s="25" t="str">
        <f aca="false">IF(OR(A199="",C199=""),"",C199*IFERROR(INDEX(Yemekler!$C$5:$C$64,MATCH(A199,Yemekler!$A$5:$A$64,0)),0))</f>
        <v/>
      </c>
    </row>
    <row r="200" customFormat="false" ht="15" hidden="false" customHeight="false" outlineLevel="0" collapsed="false">
      <c r="A200" s="23"/>
      <c r="B200" s="23"/>
      <c r="C200" s="24"/>
      <c r="D200" s="12"/>
      <c r="E200" s="25" t="str">
        <f aca="false">IF(OR(A200="",C200=""),"",C200*IFERROR(INDEX(Yemekler!$C$5:$C$64,MATCH(A200,Yemekler!$A$5:$A$64,0)),0))</f>
        <v/>
      </c>
    </row>
    <row r="201" customFormat="false" ht="15" hidden="false" customHeight="false" outlineLevel="0" collapsed="false">
      <c r="A201" s="23"/>
      <c r="B201" s="23"/>
      <c r="C201" s="24"/>
      <c r="D201" s="12"/>
      <c r="E201" s="25" t="str">
        <f aca="false">IF(OR(A201="",C201=""),"",C201*IFERROR(INDEX(Yemekler!$C$5:$C$64,MATCH(A201,Yemekler!$A$5:$A$64,0)),0))</f>
        <v/>
      </c>
    </row>
    <row r="202" customFormat="false" ht="15" hidden="false" customHeight="false" outlineLevel="0" collapsed="false">
      <c r="A202" s="23"/>
      <c r="B202" s="23"/>
      <c r="C202" s="24"/>
      <c r="D202" s="12"/>
      <c r="E202" s="25" t="str">
        <f aca="false">IF(OR(A202="",C202=""),"",C202*IFERROR(INDEX(Yemekler!$C$5:$C$64,MATCH(A202,Yemekler!$A$5:$A$64,0)),0))</f>
        <v/>
      </c>
    </row>
    <row r="203" customFormat="false" ht="15" hidden="false" customHeight="false" outlineLevel="0" collapsed="false">
      <c r="A203" s="23"/>
      <c r="B203" s="23"/>
      <c r="C203" s="24"/>
      <c r="D203" s="12"/>
      <c r="E203" s="25" t="str">
        <f aca="false">IF(OR(A203="",C203=""),"",C203*IFERROR(INDEX(Yemekler!$C$5:$C$64,MATCH(A203,Yemekler!$A$5:$A$64,0)),0))</f>
        <v/>
      </c>
    </row>
    <row r="204" customFormat="false" ht="15" hidden="false" customHeight="false" outlineLevel="0" collapsed="false">
      <c r="A204" s="23"/>
      <c r="B204" s="23"/>
      <c r="C204" s="24"/>
      <c r="D204" s="12"/>
      <c r="E204" s="25" t="str">
        <f aca="false">IF(OR(A204="",C204=""),"",C204*IFERROR(INDEX(Yemekler!$C$5:$C$64,MATCH(A204,Yemekler!$A$5:$A$64,0)),0))</f>
        <v/>
      </c>
    </row>
    <row r="205" customFormat="false" ht="15" hidden="false" customHeight="false" outlineLevel="0" collapsed="false">
      <c r="A205" s="23"/>
      <c r="B205" s="23"/>
      <c r="C205" s="24"/>
      <c r="D205" s="12"/>
      <c r="E205" s="25" t="str">
        <f aca="false">IF(OR(A205="",C205=""),"",C205*IFERROR(INDEX(Yemekler!$C$5:$C$64,MATCH(A205,Yemekler!$A$5:$A$64,0)),0))</f>
        <v/>
      </c>
    </row>
    <row r="206" customFormat="false" ht="15" hidden="false" customHeight="false" outlineLevel="0" collapsed="false">
      <c r="A206" s="23"/>
      <c r="B206" s="23"/>
      <c r="C206" s="24"/>
      <c r="D206" s="12"/>
      <c r="E206" s="25" t="str">
        <f aca="false">IF(OR(A206="",C206=""),"",C206*IFERROR(INDEX(Yemekler!$C$5:$C$64,MATCH(A206,Yemekler!$A$5:$A$64,0)),0))</f>
        <v/>
      </c>
    </row>
    <row r="207" customFormat="false" ht="15" hidden="false" customHeight="false" outlineLevel="0" collapsed="false">
      <c r="A207" s="23"/>
      <c r="B207" s="23"/>
      <c r="C207" s="24"/>
      <c r="D207" s="12"/>
      <c r="E207" s="25" t="str">
        <f aca="false">IF(OR(A207="",C207=""),"",C207*IFERROR(INDEX(Yemekler!$C$5:$C$64,MATCH(A207,Yemekler!$A$5:$A$64,0)),0))</f>
        <v/>
      </c>
    </row>
    <row r="208" customFormat="false" ht="15" hidden="false" customHeight="false" outlineLevel="0" collapsed="false">
      <c r="A208" s="23"/>
      <c r="B208" s="23"/>
      <c r="C208" s="24"/>
      <c r="D208" s="12"/>
      <c r="E208" s="25" t="str">
        <f aca="false">IF(OR(A208="",C208=""),"",C208*IFERROR(INDEX(Yemekler!$C$5:$C$64,MATCH(A208,Yemekler!$A$5:$A$64,0)),0))</f>
        <v/>
      </c>
    </row>
    <row r="209" customFormat="false" ht="15" hidden="false" customHeight="false" outlineLevel="0" collapsed="false">
      <c r="A209" s="23"/>
      <c r="B209" s="23"/>
      <c r="C209" s="24"/>
      <c r="D209" s="12"/>
      <c r="E209" s="25" t="str">
        <f aca="false">IF(OR(A209="",C209=""),"",C209*IFERROR(INDEX(Yemekler!$C$5:$C$64,MATCH(A209,Yemekler!$A$5:$A$64,0)),0))</f>
        <v/>
      </c>
    </row>
    <row r="210" customFormat="false" ht="15" hidden="false" customHeight="false" outlineLevel="0" collapsed="false">
      <c r="A210" s="23"/>
      <c r="B210" s="23"/>
      <c r="C210" s="24"/>
      <c r="D210" s="12"/>
      <c r="E210" s="25" t="str">
        <f aca="false">IF(OR(A210="",C210=""),"",C210*IFERROR(INDEX(Yemekler!$C$5:$C$64,MATCH(A210,Yemekler!$A$5:$A$64,0)),0))</f>
        <v/>
      </c>
    </row>
    <row r="211" customFormat="false" ht="15" hidden="false" customHeight="false" outlineLevel="0" collapsed="false">
      <c r="A211" s="23"/>
      <c r="B211" s="23"/>
      <c r="C211" s="24"/>
      <c r="D211" s="12"/>
      <c r="E211" s="25" t="str">
        <f aca="false">IF(OR(A211="",C211=""),"",C211*IFERROR(INDEX(Yemekler!$C$5:$C$64,MATCH(A211,Yemekler!$A$5:$A$64,0)),0))</f>
        <v/>
      </c>
    </row>
    <row r="212" customFormat="false" ht="15" hidden="false" customHeight="false" outlineLevel="0" collapsed="false">
      <c r="A212" s="23"/>
      <c r="B212" s="23"/>
      <c r="C212" s="24"/>
      <c r="D212" s="12"/>
      <c r="E212" s="25" t="str">
        <f aca="false">IF(OR(A212="",C212=""),"",C212*IFERROR(INDEX(Yemekler!$C$5:$C$64,MATCH(A212,Yemekler!$A$5:$A$64,0)),0))</f>
        <v/>
      </c>
    </row>
    <row r="213" customFormat="false" ht="15" hidden="false" customHeight="false" outlineLevel="0" collapsed="false">
      <c r="A213" s="23"/>
      <c r="B213" s="23"/>
      <c r="C213" s="24"/>
      <c r="D213" s="12"/>
      <c r="E213" s="25" t="str">
        <f aca="false">IF(OR(A213="",C213=""),"",C213*IFERROR(INDEX(Yemekler!$C$5:$C$64,MATCH(A213,Yemekler!$A$5:$A$64,0)),0))</f>
        <v/>
      </c>
    </row>
    <row r="214" customFormat="false" ht="15" hidden="false" customHeight="false" outlineLevel="0" collapsed="false">
      <c r="A214" s="23"/>
      <c r="B214" s="23"/>
      <c r="C214" s="24"/>
      <c r="D214" s="12"/>
      <c r="E214" s="25" t="str">
        <f aca="false">IF(OR(A214="",C214=""),"",C214*IFERROR(INDEX(Yemekler!$C$5:$C$64,MATCH(A214,Yemekler!$A$5:$A$64,0)),0))</f>
        <v/>
      </c>
    </row>
    <row r="215" customFormat="false" ht="15" hidden="false" customHeight="false" outlineLevel="0" collapsed="false">
      <c r="A215" s="23"/>
      <c r="B215" s="23"/>
      <c r="C215" s="24"/>
      <c r="D215" s="12"/>
      <c r="E215" s="25" t="str">
        <f aca="false">IF(OR(A215="",C215=""),"",C215*IFERROR(INDEX(Yemekler!$C$5:$C$64,MATCH(A215,Yemekler!$A$5:$A$64,0)),0))</f>
        <v/>
      </c>
    </row>
    <row r="216" customFormat="false" ht="15" hidden="false" customHeight="false" outlineLevel="0" collapsed="false">
      <c r="A216" s="23"/>
      <c r="B216" s="23"/>
      <c r="C216" s="24"/>
      <c r="D216" s="12"/>
      <c r="E216" s="25" t="str">
        <f aca="false">IF(OR(A216="",C216=""),"",C216*IFERROR(INDEX(Yemekler!$C$5:$C$64,MATCH(A216,Yemekler!$A$5:$A$64,0)),0))</f>
        <v/>
      </c>
    </row>
    <row r="217" customFormat="false" ht="15" hidden="false" customHeight="false" outlineLevel="0" collapsed="false">
      <c r="A217" s="23"/>
      <c r="B217" s="23"/>
      <c r="C217" s="24"/>
      <c r="D217" s="12"/>
      <c r="E217" s="25" t="str">
        <f aca="false">IF(OR(A217="",C217=""),"",C217*IFERROR(INDEX(Yemekler!$C$5:$C$64,MATCH(A217,Yemekler!$A$5:$A$64,0)),0))</f>
        <v/>
      </c>
    </row>
    <row r="218" customFormat="false" ht="15" hidden="false" customHeight="false" outlineLevel="0" collapsed="false">
      <c r="A218" s="23"/>
      <c r="B218" s="23"/>
      <c r="C218" s="24"/>
      <c r="D218" s="12"/>
      <c r="E218" s="25" t="str">
        <f aca="false">IF(OR(A218="",C218=""),"",C218*IFERROR(INDEX(Yemekler!$C$5:$C$64,MATCH(A218,Yemekler!$A$5:$A$64,0)),0))</f>
        <v/>
      </c>
    </row>
    <row r="219" customFormat="false" ht="15" hidden="false" customHeight="false" outlineLevel="0" collapsed="false">
      <c r="A219" s="23"/>
      <c r="B219" s="23"/>
      <c r="C219" s="24"/>
      <c r="D219" s="12"/>
      <c r="E219" s="25" t="str">
        <f aca="false">IF(OR(A219="",C219=""),"",C219*IFERROR(INDEX(Yemekler!$C$5:$C$64,MATCH(A219,Yemekler!$A$5:$A$64,0)),0))</f>
        <v/>
      </c>
    </row>
    <row r="220" customFormat="false" ht="15" hidden="false" customHeight="false" outlineLevel="0" collapsed="false">
      <c r="A220" s="23"/>
      <c r="B220" s="23"/>
      <c r="C220" s="24"/>
      <c r="D220" s="12"/>
      <c r="E220" s="25" t="str">
        <f aca="false">IF(OR(A220="",C220=""),"",C220*IFERROR(INDEX(Yemekler!$C$5:$C$64,MATCH(A220,Yemekler!$A$5:$A$64,0)),0))</f>
        <v/>
      </c>
    </row>
    <row r="221" customFormat="false" ht="15" hidden="false" customHeight="false" outlineLevel="0" collapsed="false">
      <c r="A221" s="23"/>
      <c r="B221" s="23"/>
      <c r="C221" s="24"/>
      <c r="D221" s="12"/>
      <c r="E221" s="25" t="str">
        <f aca="false">IF(OR(A221="",C221=""),"",C221*IFERROR(INDEX(Yemekler!$C$5:$C$64,MATCH(A221,Yemekler!$A$5:$A$64,0)),0))</f>
        <v/>
      </c>
    </row>
    <row r="222" customFormat="false" ht="15" hidden="false" customHeight="false" outlineLevel="0" collapsed="false">
      <c r="A222" s="23"/>
      <c r="B222" s="23"/>
      <c r="C222" s="24"/>
      <c r="D222" s="12"/>
      <c r="E222" s="25" t="str">
        <f aca="false">IF(OR(A222="",C222=""),"",C222*IFERROR(INDEX(Yemekler!$C$5:$C$64,MATCH(A222,Yemekler!$A$5:$A$64,0)),0))</f>
        <v/>
      </c>
    </row>
    <row r="223" customFormat="false" ht="15" hidden="false" customHeight="false" outlineLevel="0" collapsed="false">
      <c r="A223" s="23"/>
      <c r="B223" s="23"/>
      <c r="C223" s="24"/>
      <c r="D223" s="12"/>
      <c r="E223" s="25" t="str">
        <f aca="false">IF(OR(A223="",C223=""),"",C223*IFERROR(INDEX(Yemekler!$C$5:$C$64,MATCH(A223,Yemekler!$A$5:$A$64,0)),0))</f>
        <v/>
      </c>
    </row>
    <row r="224" customFormat="false" ht="15" hidden="false" customHeight="false" outlineLevel="0" collapsed="false">
      <c r="A224" s="23"/>
      <c r="B224" s="23"/>
      <c r="C224" s="24"/>
      <c r="D224" s="12"/>
      <c r="E224" s="25" t="str">
        <f aca="false">IF(OR(A224="",C224=""),"",C224*IFERROR(INDEX(Yemekler!$C$5:$C$64,MATCH(A224,Yemekler!$A$5:$A$64,0)),0))</f>
        <v/>
      </c>
    </row>
    <row r="225" customFormat="false" ht="15" hidden="false" customHeight="false" outlineLevel="0" collapsed="false">
      <c r="A225" s="23"/>
      <c r="B225" s="23"/>
      <c r="C225" s="24"/>
      <c r="D225" s="12"/>
      <c r="E225" s="25" t="str">
        <f aca="false">IF(OR(A225="",C225=""),"",C225*IFERROR(INDEX(Yemekler!$C$5:$C$64,MATCH(A225,Yemekler!$A$5:$A$64,0)),0))</f>
        <v/>
      </c>
    </row>
    <row r="226" customFormat="false" ht="15" hidden="false" customHeight="false" outlineLevel="0" collapsed="false">
      <c r="A226" s="23"/>
      <c r="B226" s="23"/>
      <c r="C226" s="24"/>
      <c r="D226" s="12"/>
      <c r="E226" s="25" t="str">
        <f aca="false">IF(OR(A226="",C226=""),"",C226*IFERROR(INDEX(Yemekler!$C$5:$C$64,MATCH(A226,Yemekler!$A$5:$A$64,0)),0))</f>
        <v/>
      </c>
    </row>
    <row r="227" customFormat="false" ht="15" hidden="false" customHeight="false" outlineLevel="0" collapsed="false">
      <c r="A227" s="23"/>
      <c r="B227" s="23"/>
      <c r="C227" s="24"/>
      <c r="D227" s="12"/>
      <c r="E227" s="25" t="str">
        <f aca="false">IF(OR(A227="",C227=""),"",C227*IFERROR(INDEX(Yemekler!$C$5:$C$64,MATCH(A227,Yemekler!$A$5:$A$64,0)),0))</f>
        <v/>
      </c>
    </row>
    <row r="228" customFormat="false" ht="15" hidden="false" customHeight="false" outlineLevel="0" collapsed="false">
      <c r="A228" s="23"/>
      <c r="B228" s="23"/>
      <c r="C228" s="24"/>
      <c r="D228" s="12"/>
      <c r="E228" s="25" t="str">
        <f aca="false">IF(OR(A228="",C228=""),"",C228*IFERROR(INDEX(Yemekler!$C$5:$C$64,MATCH(A228,Yemekler!$A$5:$A$64,0)),0))</f>
        <v/>
      </c>
    </row>
    <row r="229" customFormat="false" ht="15" hidden="false" customHeight="false" outlineLevel="0" collapsed="false">
      <c r="A229" s="23"/>
      <c r="B229" s="23"/>
      <c r="C229" s="24"/>
      <c r="D229" s="12"/>
      <c r="E229" s="25" t="str">
        <f aca="false">IF(OR(A229="",C229=""),"",C229*IFERROR(INDEX(Yemekler!$C$5:$C$64,MATCH(A229,Yemekler!$A$5:$A$64,0)),0))</f>
        <v/>
      </c>
    </row>
    <row r="230" customFormat="false" ht="15" hidden="false" customHeight="false" outlineLevel="0" collapsed="false">
      <c r="A230" s="23"/>
      <c r="B230" s="23"/>
      <c r="C230" s="24"/>
      <c r="D230" s="12"/>
      <c r="E230" s="25" t="str">
        <f aca="false">IF(OR(A230="",C230=""),"",C230*IFERROR(INDEX(Yemekler!$C$5:$C$64,MATCH(A230,Yemekler!$A$5:$A$64,0)),0))</f>
        <v/>
      </c>
    </row>
    <row r="231" customFormat="false" ht="15" hidden="false" customHeight="false" outlineLevel="0" collapsed="false">
      <c r="A231" s="23"/>
      <c r="B231" s="23"/>
      <c r="C231" s="24"/>
      <c r="D231" s="12"/>
      <c r="E231" s="25" t="str">
        <f aca="false">IF(OR(A231="",C231=""),"",C231*IFERROR(INDEX(Yemekler!$C$5:$C$64,MATCH(A231,Yemekler!$A$5:$A$64,0)),0))</f>
        <v/>
      </c>
    </row>
    <row r="232" customFormat="false" ht="15" hidden="false" customHeight="false" outlineLevel="0" collapsed="false">
      <c r="A232" s="23"/>
      <c r="B232" s="23"/>
      <c r="C232" s="24"/>
      <c r="D232" s="12"/>
      <c r="E232" s="25" t="str">
        <f aca="false">IF(OR(A232="",C232=""),"",C232*IFERROR(INDEX(Yemekler!$C$5:$C$64,MATCH(A232,Yemekler!$A$5:$A$64,0)),0))</f>
        <v/>
      </c>
    </row>
    <row r="233" customFormat="false" ht="15" hidden="false" customHeight="false" outlineLevel="0" collapsed="false">
      <c r="A233" s="23"/>
      <c r="B233" s="23"/>
      <c r="C233" s="24"/>
      <c r="D233" s="12"/>
      <c r="E233" s="25" t="str">
        <f aca="false">IF(OR(A233="",C233=""),"",C233*IFERROR(INDEX(Yemekler!$C$5:$C$64,MATCH(A233,Yemekler!$A$5:$A$64,0)),0))</f>
        <v/>
      </c>
    </row>
    <row r="234" customFormat="false" ht="15" hidden="false" customHeight="false" outlineLevel="0" collapsed="false">
      <c r="A234" s="23"/>
      <c r="B234" s="23"/>
      <c r="C234" s="24"/>
      <c r="D234" s="12"/>
      <c r="E234" s="25" t="str">
        <f aca="false">IF(OR(A234="",C234=""),"",C234*IFERROR(INDEX(Yemekler!$C$5:$C$64,MATCH(A234,Yemekler!$A$5:$A$64,0)),0))</f>
        <v/>
      </c>
    </row>
    <row r="235" customFormat="false" ht="15" hidden="false" customHeight="false" outlineLevel="0" collapsed="false">
      <c r="A235" s="23"/>
      <c r="B235" s="23"/>
      <c r="C235" s="24"/>
      <c r="D235" s="12"/>
      <c r="E235" s="25" t="str">
        <f aca="false">IF(OR(A235="",C235=""),"",C235*IFERROR(INDEX(Yemekler!$C$5:$C$64,MATCH(A235,Yemekler!$A$5:$A$64,0)),0))</f>
        <v/>
      </c>
    </row>
    <row r="236" customFormat="false" ht="15" hidden="false" customHeight="false" outlineLevel="0" collapsed="false">
      <c r="A236" s="23"/>
      <c r="B236" s="23"/>
      <c r="C236" s="24"/>
      <c r="D236" s="12"/>
      <c r="E236" s="25" t="str">
        <f aca="false">IF(OR(A236="",C236=""),"",C236*IFERROR(INDEX(Yemekler!$C$5:$C$64,MATCH(A236,Yemekler!$A$5:$A$64,0)),0))</f>
        <v/>
      </c>
    </row>
    <row r="237" customFormat="false" ht="15" hidden="false" customHeight="false" outlineLevel="0" collapsed="false">
      <c r="A237" s="23"/>
      <c r="B237" s="23"/>
      <c r="C237" s="24"/>
      <c r="D237" s="12"/>
      <c r="E237" s="25" t="str">
        <f aca="false">IF(OR(A237="",C237=""),"",C237*IFERROR(INDEX(Yemekler!$C$5:$C$64,MATCH(A237,Yemekler!$A$5:$A$64,0)),0))</f>
        <v/>
      </c>
    </row>
    <row r="238" customFormat="false" ht="15" hidden="false" customHeight="false" outlineLevel="0" collapsed="false">
      <c r="A238" s="23"/>
      <c r="B238" s="23"/>
      <c r="C238" s="24"/>
      <c r="D238" s="12"/>
      <c r="E238" s="25" t="str">
        <f aca="false">IF(OR(A238="",C238=""),"",C238*IFERROR(INDEX(Yemekler!$C$5:$C$64,MATCH(A238,Yemekler!$A$5:$A$64,0)),0))</f>
        <v/>
      </c>
    </row>
    <row r="239" customFormat="false" ht="15" hidden="false" customHeight="false" outlineLevel="0" collapsed="false">
      <c r="A239" s="23"/>
      <c r="B239" s="23"/>
      <c r="C239" s="24"/>
      <c r="D239" s="12"/>
      <c r="E239" s="25" t="str">
        <f aca="false">IF(OR(A239="",C239=""),"",C239*IFERROR(INDEX(Yemekler!$C$5:$C$64,MATCH(A239,Yemekler!$A$5:$A$64,0)),0))</f>
        <v/>
      </c>
    </row>
    <row r="240" customFormat="false" ht="15" hidden="false" customHeight="false" outlineLevel="0" collapsed="false">
      <c r="A240" s="23"/>
      <c r="B240" s="23"/>
      <c r="C240" s="24"/>
      <c r="D240" s="12"/>
      <c r="E240" s="25" t="str">
        <f aca="false">IF(OR(A240="",C240=""),"",C240*IFERROR(INDEX(Yemekler!$C$5:$C$64,MATCH(A240,Yemekler!$A$5:$A$64,0)),0))</f>
        <v/>
      </c>
    </row>
    <row r="241" customFormat="false" ht="15" hidden="false" customHeight="false" outlineLevel="0" collapsed="false">
      <c r="A241" s="23"/>
      <c r="B241" s="23"/>
      <c r="C241" s="24"/>
      <c r="D241" s="12"/>
      <c r="E241" s="25" t="str">
        <f aca="false">IF(OR(A241="",C241=""),"",C241*IFERROR(INDEX(Yemekler!$C$5:$C$64,MATCH(A241,Yemekler!$A$5:$A$64,0)),0))</f>
        <v/>
      </c>
    </row>
    <row r="242" customFormat="false" ht="15" hidden="false" customHeight="false" outlineLevel="0" collapsed="false">
      <c r="A242" s="23"/>
      <c r="B242" s="23"/>
      <c r="C242" s="24"/>
      <c r="D242" s="12"/>
      <c r="E242" s="25" t="str">
        <f aca="false">IF(OR(A242="",C242=""),"",C242*IFERROR(INDEX(Yemekler!$C$5:$C$64,MATCH(A242,Yemekler!$A$5:$A$64,0)),0))</f>
        <v/>
      </c>
    </row>
    <row r="243" customFormat="false" ht="15" hidden="false" customHeight="false" outlineLevel="0" collapsed="false">
      <c r="A243" s="23"/>
      <c r="B243" s="23"/>
      <c r="C243" s="24"/>
      <c r="D243" s="12"/>
      <c r="E243" s="25" t="str">
        <f aca="false">IF(OR(A243="",C243=""),"",C243*IFERROR(INDEX(Yemekler!$C$5:$C$64,MATCH(A243,Yemekler!$A$5:$A$64,0)),0))</f>
        <v/>
      </c>
    </row>
    <row r="244" customFormat="false" ht="15" hidden="false" customHeight="false" outlineLevel="0" collapsed="false">
      <c r="A244" s="23"/>
      <c r="B244" s="23"/>
      <c r="C244" s="24"/>
      <c r="D244" s="12"/>
      <c r="E244" s="25" t="str">
        <f aca="false">IF(OR(A244="",C244=""),"",C244*IFERROR(INDEX(Yemekler!$C$5:$C$64,MATCH(A244,Yemekler!$A$5:$A$64,0)),0))</f>
        <v/>
      </c>
    </row>
    <row r="245" customFormat="false" ht="15" hidden="false" customHeight="false" outlineLevel="0" collapsed="false">
      <c r="A245" s="23"/>
      <c r="B245" s="23"/>
      <c r="C245" s="24"/>
      <c r="D245" s="12"/>
      <c r="E245" s="25" t="str">
        <f aca="false">IF(OR(A245="",C245=""),"",C245*IFERROR(INDEX(Yemekler!$C$5:$C$64,MATCH(A245,Yemekler!$A$5:$A$64,0)),0))</f>
        <v/>
      </c>
    </row>
    <row r="246" customFormat="false" ht="15" hidden="false" customHeight="false" outlineLevel="0" collapsed="false">
      <c r="A246" s="23"/>
      <c r="B246" s="23"/>
      <c r="C246" s="24"/>
      <c r="D246" s="12"/>
      <c r="E246" s="25" t="str">
        <f aca="false">IF(OR(A246="",C246=""),"",C246*IFERROR(INDEX(Yemekler!$C$5:$C$64,MATCH(A246,Yemekler!$A$5:$A$64,0)),0))</f>
        <v/>
      </c>
    </row>
    <row r="247" customFormat="false" ht="15" hidden="false" customHeight="false" outlineLevel="0" collapsed="false">
      <c r="A247" s="23"/>
      <c r="B247" s="23"/>
      <c r="C247" s="24"/>
      <c r="D247" s="12"/>
      <c r="E247" s="25" t="str">
        <f aca="false">IF(OR(A247="",C247=""),"",C247*IFERROR(INDEX(Yemekler!$C$5:$C$64,MATCH(A247,Yemekler!$A$5:$A$64,0)),0))</f>
        <v/>
      </c>
    </row>
    <row r="248" customFormat="false" ht="15" hidden="false" customHeight="false" outlineLevel="0" collapsed="false">
      <c r="A248" s="23"/>
      <c r="B248" s="23"/>
      <c r="C248" s="24"/>
      <c r="D248" s="12"/>
      <c r="E248" s="25" t="str">
        <f aca="false">IF(OR(A248="",C248=""),"",C248*IFERROR(INDEX(Yemekler!$C$5:$C$64,MATCH(A248,Yemekler!$A$5:$A$64,0)),0))</f>
        <v/>
      </c>
    </row>
    <row r="249" customFormat="false" ht="15" hidden="false" customHeight="false" outlineLevel="0" collapsed="false">
      <c r="A249" s="23"/>
      <c r="B249" s="23"/>
      <c r="C249" s="24"/>
      <c r="D249" s="12"/>
      <c r="E249" s="25" t="str">
        <f aca="false">IF(OR(A249="",C249=""),"",C249*IFERROR(INDEX(Yemekler!$C$5:$C$64,MATCH(A249,Yemekler!$A$5:$A$64,0)),0))</f>
        <v/>
      </c>
    </row>
    <row r="250" customFormat="false" ht="15" hidden="false" customHeight="false" outlineLevel="0" collapsed="false">
      <c r="A250" s="23"/>
      <c r="B250" s="23"/>
      <c r="C250" s="24"/>
      <c r="D250" s="12"/>
      <c r="E250" s="25" t="str">
        <f aca="false">IF(OR(A250="",C250=""),"",C250*IFERROR(INDEX(Yemekler!$C$5:$C$64,MATCH(A250,Yemekler!$A$5:$A$64,0)),0))</f>
        <v/>
      </c>
    </row>
    <row r="251" customFormat="false" ht="15" hidden="false" customHeight="false" outlineLevel="0" collapsed="false">
      <c r="A251" s="23"/>
      <c r="B251" s="23"/>
      <c r="C251" s="24"/>
      <c r="D251" s="12"/>
      <c r="E251" s="25" t="str">
        <f aca="false">IF(OR(A251="",C251=""),"",C251*IFERROR(INDEX(Yemekler!$C$5:$C$64,MATCH(A251,Yemekler!$A$5:$A$64,0)),0))</f>
        <v/>
      </c>
    </row>
    <row r="252" customFormat="false" ht="15" hidden="false" customHeight="false" outlineLevel="0" collapsed="false">
      <c r="A252" s="23"/>
      <c r="B252" s="23"/>
      <c r="C252" s="24"/>
      <c r="D252" s="12"/>
      <c r="E252" s="25" t="str">
        <f aca="false">IF(OR(A252="",C252=""),"",C252*IFERROR(INDEX(Yemekler!$C$5:$C$64,MATCH(A252,Yemekler!$A$5:$A$64,0)),0))</f>
        <v/>
      </c>
    </row>
    <row r="253" customFormat="false" ht="15" hidden="false" customHeight="false" outlineLevel="0" collapsed="false">
      <c r="A253" s="23"/>
      <c r="B253" s="23"/>
      <c r="C253" s="24"/>
      <c r="D253" s="12"/>
      <c r="E253" s="25" t="str">
        <f aca="false">IF(OR(A253="",C253=""),"",C253*IFERROR(INDEX(Yemekler!$C$5:$C$64,MATCH(A253,Yemekler!$A$5:$A$64,0)),0))</f>
        <v/>
      </c>
    </row>
    <row r="254" customFormat="false" ht="15" hidden="false" customHeight="false" outlineLevel="0" collapsed="false">
      <c r="A254" s="23"/>
      <c r="B254" s="23"/>
      <c r="C254" s="24"/>
      <c r="D254" s="12"/>
      <c r="E254" s="25" t="str">
        <f aca="false">IF(OR(A254="",C254=""),"",C254*IFERROR(INDEX(Yemekler!$C$5:$C$64,MATCH(A254,Yemekler!$A$5:$A$64,0)),0))</f>
        <v/>
      </c>
    </row>
    <row r="255" customFormat="false" ht="15" hidden="false" customHeight="false" outlineLevel="0" collapsed="false">
      <c r="A255" s="23"/>
      <c r="B255" s="23"/>
      <c r="C255" s="24"/>
      <c r="D255" s="12"/>
      <c r="E255" s="25" t="str">
        <f aca="false">IF(OR(A255="",C255=""),"",C255*IFERROR(INDEX(Yemekler!$C$5:$C$64,MATCH(A255,Yemekler!$A$5:$A$64,0)),0))</f>
        <v/>
      </c>
    </row>
    <row r="256" customFormat="false" ht="15" hidden="false" customHeight="false" outlineLevel="0" collapsed="false">
      <c r="A256" s="23"/>
      <c r="B256" s="23"/>
      <c r="C256" s="24"/>
      <c r="D256" s="12"/>
      <c r="E256" s="25" t="str">
        <f aca="false">IF(OR(A256="",C256=""),"",C256*IFERROR(INDEX(Yemekler!$C$5:$C$64,MATCH(A256,Yemekler!$A$5:$A$64,0)),0))</f>
        <v/>
      </c>
    </row>
    <row r="257" customFormat="false" ht="15" hidden="false" customHeight="false" outlineLevel="0" collapsed="false">
      <c r="A257" s="23"/>
      <c r="B257" s="23"/>
      <c r="C257" s="24"/>
      <c r="D257" s="12"/>
      <c r="E257" s="25" t="str">
        <f aca="false">IF(OR(A257="",C257=""),"",C257*IFERROR(INDEX(Yemekler!$C$5:$C$64,MATCH(A257,Yemekler!$A$5:$A$64,0)),0))</f>
        <v/>
      </c>
    </row>
    <row r="258" customFormat="false" ht="15" hidden="false" customHeight="false" outlineLevel="0" collapsed="false">
      <c r="A258" s="23"/>
      <c r="B258" s="23"/>
      <c r="C258" s="24"/>
      <c r="D258" s="12"/>
      <c r="E258" s="25" t="str">
        <f aca="false">IF(OR(A258="",C258=""),"",C258*IFERROR(INDEX(Yemekler!$C$5:$C$64,MATCH(A258,Yemekler!$A$5:$A$64,0)),0))</f>
        <v/>
      </c>
    </row>
    <row r="259" customFormat="false" ht="15" hidden="false" customHeight="false" outlineLevel="0" collapsed="false">
      <c r="A259" s="23"/>
      <c r="B259" s="23"/>
      <c r="C259" s="24"/>
      <c r="D259" s="12"/>
      <c r="E259" s="25" t="str">
        <f aca="false">IF(OR(A259="",C259=""),"",C259*IFERROR(INDEX(Yemekler!$C$5:$C$64,MATCH(A259,Yemekler!$A$5:$A$64,0)),0))</f>
        <v/>
      </c>
    </row>
    <row r="260" customFormat="false" ht="15" hidden="false" customHeight="false" outlineLevel="0" collapsed="false">
      <c r="A260" s="23"/>
      <c r="B260" s="23"/>
      <c r="C260" s="24"/>
      <c r="D260" s="12"/>
      <c r="E260" s="25" t="str">
        <f aca="false">IF(OR(A260="",C260=""),"",C260*IFERROR(INDEX(Yemekler!$C$5:$C$64,MATCH(A260,Yemekler!$A$5:$A$64,0)),0))</f>
        <v/>
      </c>
    </row>
    <row r="261" customFormat="false" ht="15" hidden="false" customHeight="false" outlineLevel="0" collapsed="false">
      <c r="A261" s="23"/>
      <c r="B261" s="23"/>
      <c r="C261" s="24"/>
      <c r="D261" s="12"/>
      <c r="E261" s="25" t="str">
        <f aca="false">IF(OR(A261="",C261=""),"",C261*IFERROR(INDEX(Yemekler!$C$5:$C$64,MATCH(A261,Yemekler!$A$5:$A$64,0)),0))</f>
        <v/>
      </c>
    </row>
    <row r="262" customFormat="false" ht="15" hidden="false" customHeight="false" outlineLevel="0" collapsed="false">
      <c r="A262" s="23"/>
      <c r="B262" s="23"/>
      <c r="C262" s="24"/>
      <c r="D262" s="12"/>
      <c r="E262" s="25" t="str">
        <f aca="false">IF(OR(A262="",C262=""),"",C262*IFERROR(INDEX(Yemekler!$C$5:$C$64,MATCH(A262,Yemekler!$A$5:$A$64,0)),0))</f>
        <v/>
      </c>
    </row>
    <row r="263" customFormat="false" ht="15" hidden="false" customHeight="false" outlineLevel="0" collapsed="false">
      <c r="A263" s="23"/>
      <c r="B263" s="23"/>
      <c r="C263" s="24"/>
      <c r="D263" s="12"/>
      <c r="E263" s="25" t="str">
        <f aca="false">IF(OR(A263="",C263=""),"",C263*IFERROR(INDEX(Yemekler!$C$5:$C$64,MATCH(A263,Yemekler!$A$5:$A$64,0)),0))</f>
        <v/>
      </c>
    </row>
    <row r="264" customFormat="false" ht="15" hidden="false" customHeight="false" outlineLevel="0" collapsed="false">
      <c r="A264" s="23"/>
      <c r="B264" s="23"/>
      <c r="C264" s="24"/>
      <c r="D264" s="12"/>
      <c r="E264" s="25" t="str">
        <f aca="false">IF(OR(A264="",C264=""),"",C264*IFERROR(INDEX(Yemekler!$C$5:$C$64,MATCH(A264,Yemekler!$A$5:$A$64,0)),0))</f>
        <v/>
      </c>
    </row>
    <row r="265" customFormat="false" ht="15" hidden="false" customHeight="false" outlineLevel="0" collapsed="false">
      <c r="A265" s="23"/>
      <c r="B265" s="23"/>
      <c r="C265" s="24"/>
      <c r="D265" s="12"/>
      <c r="E265" s="25" t="str">
        <f aca="false">IF(OR(A265="",C265=""),"",C265*IFERROR(INDEX(Yemekler!$C$5:$C$64,MATCH(A265,Yemekler!$A$5:$A$64,0)),0))</f>
        <v/>
      </c>
    </row>
    <row r="266" customFormat="false" ht="15" hidden="false" customHeight="false" outlineLevel="0" collapsed="false">
      <c r="A266" s="23"/>
      <c r="B266" s="23"/>
      <c r="C266" s="24"/>
      <c r="D266" s="12"/>
      <c r="E266" s="25" t="str">
        <f aca="false">IF(OR(A266="",C266=""),"",C266*IFERROR(INDEX(Yemekler!$C$5:$C$64,MATCH(A266,Yemekler!$A$5:$A$64,0)),0))</f>
        <v/>
      </c>
    </row>
    <row r="267" customFormat="false" ht="15" hidden="false" customHeight="false" outlineLevel="0" collapsed="false">
      <c r="A267" s="23"/>
      <c r="B267" s="23"/>
      <c r="C267" s="24"/>
      <c r="D267" s="12"/>
      <c r="E267" s="25" t="str">
        <f aca="false">IF(OR(A267="",C267=""),"",C267*IFERROR(INDEX(Yemekler!$C$5:$C$64,MATCH(A267,Yemekler!$A$5:$A$64,0)),0))</f>
        <v/>
      </c>
    </row>
    <row r="268" customFormat="false" ht="15" hidden="false" customHeight="false" outlineLevel="0" collapsed="false">
      <c r="A268" s="23"/>
      <c r="B268" s="23"/>
      <c r="C268" s="24"/>
      <c r="D268" s="12"/>
      <c r="E268" s="25" t="str">
        <f aca="false">IF(OR(A268="",C268=""),"",C268*IFERROR(INDEX(Yemekler!$C$5:$C$64,MATCH(A268,Yemekler!$A$5:$A$64,0)),0))</f>
        <v/>
      </c>
    </row>
    <row r="269" customFormat="false" ht="15" hidden="false" customHeight="false" outlineLevel="0" collapsed="false">
      <c r="A269" s="23"/>
      <c r="B269" s="23"/>
      <c r="C269" s="24"/>
      <c r="D269" s="12"/>
      <c r="E269" s="25" t="str">
        <f aca="false">IF(OR(A269="",C269=""),"",C269*IFERROR(INDEX(Yemekler!$C$5:$C$64,MATCH(A269,Yemekler!$A$5:$A$64,0)),0))</f>
        <v/>
      </c>
    </row>
    <row r="270" customFormat="false" ht="15" hidden="false" customHeight="false" outlineLevel="0" collapsed="false">
      <c r="A270" s="23"/>
      <c r="B270" s="23"/>
      <c r="C270" s="24"/>
      <c r="D270" s="12"/>
      <c r="E270" s="25" t="str">
        <f aca="false">IF(OR(A270="",C270=""),"",C270*IFERROR(INDEX(Yemekler!$C$5:$C$64,MATCH(A270,Yemekler!$A$5:$A$64,0)),0))</f>
        <v/>
      </c>
    </row>
    <row r="271" customFormat="false" ht="15" hidden="false" customHeight="false" outlineLevel="0" collapsed="false">
      <c r="A271" s="23"/>
      <c r="B271" s="23"/>
      <c r="C271" s="24"/>
      <c r="D271" s="12"/>
      <c r="E271" s="25" t="str">
        <f aca="false">IF(OR(A271="",C271=""),"",C271*IFERROR(INDEX(Yemekler!$C$5:$C$64,MATCH(A271,Yemekler!$A$5:$A$64,0)),0))</f>
        <v/>
      </c>
    </row>
    <row r="272" customFormat="false" ht="15" hidden="false" customHeight="false" outlineLevel="0" collapsed="false">
      <c r="A272" s="23"/>
      <c r="B272" s="23"/>
      <c r="C272" s="24"/>
      <c r="D272" s="12"/>
      <c r="E272" s="25" t="str">
        <f aca="false">IF(OR(A272="",C272=""),"",C272*IFERROR(INDEX(Yemekler!$C$5:$C$64,MATCH(A272,Yemekler!$A$5:$A$64,0)),0))</f>
        <v/>
      </c>
    </row>
    <row r="273" customFormat="false" ht="15" hidden="false" customHeight="false" outlineLevel="0" collapsed="false">
      <c r="A273" s="23"/>
      <c r="B273" s="23"/>
      <c r="C273" s="24"/>
      <c r="D273" s="12"/>
      <c r="E273" s="25" t="str">
        <f aca="false">IF(OR(A273="",C273=""),"",C273*IFERROR(INDEX(Yemekler!$C$5:$C$64,MATCH(A273,Yemekler!$A$5:$A$64,0)),0))</f>
        <v/>
      </c>
    </row>
    <row r="274" customFormat="false" ht="15" hidden="false" customHeight="false" outlineLevel="0" collapsed="false">
      <c r="A274" s="23"/>
      <c r="B274" s="23"/>
      <c r="C274" s="24"/>
      <c r="D274" s="12"/>
      <c r="E274" s="25" t="str">
        <f aca="false">IF(OR(A274="",C274=""),"",C274*IFERROR(INDEX(Yemekler!$C$5:$C$64,MATCH(A274,Yemekler!$A$5:$A$64,0)),0))</f>
        <v/>
      </c>
    </row>
    <row r="275" customFormat="false" ht="15" hidden="false" customHeight="false" outlineLevel="0" collapsed="false">
      <c r="A275" s="23"/>
      <c r="B275" s="23"/>
      <c r="C275" s="24"/>
      <c r="D275" s="12"/>
      <c r="E275" s="25" t="str">
        <f aca="false">IF(OR(A275="",C275=""),"",C275*IFERROR(INDEX(Yemekler!$C$5:$C$64,MATCH(A275,Yemekler!$A$5:$A$64,0)),0))</f>
        <v/>
      </c>
    </row>
    <row r="276" customFormat="false" ht="15" hidden="false" customHeight="false" outlineLevel="0" collapsed="false">
      <c r="A276" s="23"/>
      <c r="B276" s="23"/>
      <c r="C276" s="24"/>
      <c r="D276" s="12"/>
      <c r="E276" s="25" t="str">
        <f aca="false">IF(OR(A276="",C276=""),"",C276*IFERROR(INDEX(Yemekler!$C$5:$C$64,MATCH(A276,Yemekler!$A$5:$A$64,0)),0))</f>
        <v/>
      </c>
    </row>
    <row r="277" customFormat="false" ht="15" hidden="false" customHeight="false" outlineLevel="0" collapsed="false">
      <c r="A277" s="23"/>
      <c r="B277" s="23"/>
      <c r="C277" s="24"/>
      <c r="D277" s="12"/>
      <c r="E277" s="25" t="str">
        <f aca="false">IF(OR(A277="",C277=""),"",C277*IFERROR(INDEX(Yemekler!$C$5:$C$64,MATCH(A277,Yemekler!$A$5:$A$64,0)),0))</f>
        <v/>
      </c>
    </row>
    <row r="278" customFormat="false" ht="15" hidden="false" customHeight="false" outlineLevel="0" collapsed="false">
      <c r="A278" s="23"/>
      <c r="B278" s="23"/>
      <c r="C278" s="24"/>
      <c r="D278" s="12"/>
      <c r="E278" s="25" t="str">
        <f aca="false">IF(OR(A278="",C278=""),"",C278*IFERROR(INDEX(Yemekler!$C$5:$C$64,MATCH(A278,Yemekler!$A$5:$A$64,0)),0))</f>
        <v/>
      </c>
    </row>
    <row r="279" customFormat="false" ht="15" hidden="false" customHeight="false" outlineLevel="0" collapsed="false">
      <c r="A279" s="23"/>
      <c r="B279" s="23"/>
      <c r="C279" s="24"/>
      <c r="D279" s="12"/>
      <c r="E279" s="25" t="str">
        <f aca="false">IF(OR(A279="",C279=""),"",C279*IFERROR(INDEX(Yemekler!$C$5:$C$64,MATCH(A279,Yemekler!$A$5:$A$64,0)),0))</f>
        <v/>
      </c>
    </row>
    <row r="280" customFormat="false" ht="15" hidden="false" customHeight="false" outlineLevel="0" collapsed="false">
      <c r="A280" s="23"/>
      <c r="B280" s="23"/>
      <c r="C280" s="24"/>
      <c r="D280" s="12"/>
      <c r="E280" s="25" t="str">
        <f aca="false">IF(OR(A280="",C280=""),"",C280*IFERROR(INDEX(Yemekler!$C$5:$C$64,MATCH(A280,Yemekler!$A$5:$A$64,0)),0))</f>
        <v/>
      </c>
    </row>
    <row r="281" customFormat="false" ht="15" hidden="false" customHeight="false" outlineLevel="0" collapsed="false">
      <c r="A281" s="23"/>
      <c r="B281" s="23"/>
      <c r="C281" s="24"/>
      <c r="D281" s="12"/>
      <c r="E281" s="25" t="str">
        <f aca="false">IF(OR(A281="",C281=""),"",C281*IFERROR(INDEX(Yemekler!$C$5:$C$64,MATCH(A281,Yemekler!$A$5:$A$64,0)),0))</f>
        <v/>
      </c>
    </row>
    <row r="282" customFormat="false" ht="15" hidden="false" customHeight="false" outlineLevel="0" collapsed="false">
      <c r="A282" s="23"/>
      <c r="B282" s="23"/>
      <c r="C282" s="24"/>
      <c r="D282" s="12"/>
      <c r="E282" s="25" t="str">
        <f aca="false">IF(OR(A282="",C282=""),"",C282*IFERROR(INDEX(Yemekler!$C$5:$C$64,MATCH(A282,Yemekler!$A$5:$A$64,0)),0))</f>
        <v/>
      </c>
    </row>
    <row r="283" customFormat="false" ht="15" hidden="false" customHeight="false" outlineLevel="0" collapsed="false">
      <c r="A283" s="23"/>
      <c r="B283" s="23"/>
      <c r="C283" s="24"/>
      <c r="D283" s="12"/>
      <c r="E283" s="25" t="str">
        <f aca="false">IF(OR(A283="",C283=""),"",C283*IFERROR(INDEX(Yemekler!$C$5:$C$64,MATCH(A283,Yemekler!$A$5:$A$64,0)),0))</f>
        <v/>
      </c>
    </row>
    <row r="284" customFormat="false" ht="15" hidden="false" customHeight="false" outlineLevel="0" collapsed="false">
      <c r="A284" s="23"/>
      <c r="B284" s="23"/>
      <c r="C284" s="24"/>
      <c r="D284" s="12"/>
      <c r="E284" s="25" t="str">
        <f aca="false">IF(OR(A284="",C284=""),"",C284*IFERROR(INDEX(Yemekler!$C$5:$C$64,MATCH(A284,Yemekler!$A$5:$A$64,0)),0))</f>
        <v/>
      </c>
    </row>
    <row r="285" customFormat="false" ht="15" hidden="false" customHeight="false" outlineLevel="0" collapsed="false">
      <c r="A285" s="23"/>
      <c r="B285" s="23"/>
      <c r="C285" s="24"/>
      <c r="D285" s="12"/>
      <c r="E285" s="25" t="str">
        <f aca="false">IF(OR(A285="",C285=""),"",C285*IFERROR(INDEX(Yemekler!$C$5:$C$64,MATCH(A285,Yemekler!$A$5:$A$64,0)),0))</f>
        <v/>
      </c>
    </row>
    <row r="286" customFormat="false" ht="15" hidden="false" customHeight="false" outlineLevel="0" collapsed="false">
      <c r="A286" s="23"/>
      <c r="B286" s="23"/>
      <c r="C286" s="24"/>
      <c r="D286" s="12"/>
      <c r="E286" s="25" t="str">
        <f aca="false">IF(OR(A286="",C286=""),"",C286*IFERROR(INDEX(Yemekler!$C$5:$C$64,MATCH(A286,Yemekler!$A$5:$A$64,0)),0))</f>
        <v/>
      </c>
    </row>
    <row r="287" customFormat="false" ht="15" hidden="false" customHeight="false" outlineLevel="0" collapsed="false">
      <c r="A287" s="23"/>
      <c r="B287" s="23"/>
      <c r="C287" s="24"/>
      <c r="D287" s="12"/>
      <c r="E287" s="25" t="str">
        <f aca="false">IF(OR(A287="",C287=""),"",C287*IFERROR(INDEX(Yemekler!$C$5:$C$64,MATCH(A287,Yemekler!$A$5:$A$64,0)),0))</f>
        <v/>
      </c>
    </row>
    <row r="288" customFormat="false" ht="15" hidden="false" customHeight="false" outlineLevel="0" collapsed="false">
      <c r="A288" s="23"/>
      <c r="B288" s="23"/>
      <c r="C288" s="24"/>
      <c r="D288" s="12"/>
      <c r="E288" s="25" t="str">
        <f aca="false">IF(OR(A288="",C288=""),"",C288*IFERROR(INDEX(Yemekler!$C$5:$C$64,MATCH(A288,Yemekler!$A$5:$A$64,0)),0))</f>
        <v/>
      </c>
    </row>
    <row r="289" customFormat="false" ht="15" hidden="false" customHeight="false" outlineLevel="0" collapsed="false">
      <c r="A289" s="23"/>
      <c r="B289" s="23"/>
      <c r="C289" s="24"/>
      <c r="D289" s="12"/>
      <c r="E289" s="25" t="str">
        <f aca="false">IF(OR(A289="",C289=""),"",C289*IFERROR(INDEX(Yemekler!$C$5:$C$64,MATCH(A289,Yemekler!$A$5:$A$64,0)),0))</f>
        <v/>
      </c>
    </row>
    <row r="290" customFormat="false" ht="15" hidden="false" customHeight="false" outlineLevel="0" collapsed="false">
      <c r="A290" s="23"/>
      <c r="B290" s="23"/>
      <c r="C290" s="24"/>
      <c r="D290" s="12"/>
      <c r="E290" s="25" t="str">
        <f aca="false">IF(OR(A290="",C290=""),"",C290*IFERROR(INDEX(Yemekler!$C$5:$C$64,MATCH(A290,Yemekler!$A$5:$A$64,0)),0))</f>
        <v/>
      </c>
    </row>
    <row r="291" customFormat="false" ht="15" hidden="false" customHeight="false" outlineLevel="0" collapsed="false">
      <c r="A291" s="23"/>
      <c r="B291" s="23"/>
      <c r="C291" s="24"/>
      <c r="D291" s="12"/>
      <c r="E291" s="25" t="str">
        <f aca="false">IF(OR(A291="",C291=""),"",C291*IFERROR(INDEX(Yemekler!$C$5:$C$64,MATCH(A291,Yemekler!$A$5:$A$64,0)),0))</f>
        <v/>
      </c>
    </row>
    <row r="292" customFormat="false" ht="15" hidden="false" customHeight="false" outlineLevel="0" collapsed="false">
      <c r="A292" s="23"/>
      <c r="B292" s="23"/>
      <c r="C292" s="24"/>
      <c r="D292" s="12"/>
      <c r="E292" s="25" t="str">
        <f aca="false">IF(OR(A292="",C292=""),"",C292*IFERROR(INDEX(Yemekler!$C$5:$C$64,MATCH(A292,Yemekler!$A$5:$A$64,0)),0))</f>
        <v/>
      </c>
    </row>
    <row r="293" customFormat="false" ht="15" hidden="false" customHeight="false" outlineLevel="0" collapsed="false">
      <c r="A293" s="23"/>
      <c r="B293" s="23"/>
      <c r="C293" s="24"/>
      <c r="D293" s="12"/>
      <c r="E293" s="25" t="str">
        <f aca="false">IF(OR(A293="",C293=""),"",C293*IFERROR(INDEX(Yemekler!$C$5:$C$64,MATCH(A293,Yemekler!$A$5:$A$64,0)),0))</f>
        <v/>
      </c>
    </row>
    <row r="294" customFormat="false" ht="15" hidden="false" customHeight="false" outlineLevel="0" collapsed="false">
      <c r="A294" s="23"/>
      <c r="B294" s="23"/>
      <c r="C294" s="24"/>
      <c r="D294" s="12"/>
      <c r="E294" s="25" t="str">
        <f aca="false">IF(OR(A294="",C294=""),"",C294*IFERROR(INDEX(Yemekler!$C$5:$C$64,MATCH(A294,Yemekler!$A$5:$A$64,0)),0))</f>
        <v/>
      </c>
    </row>
    <row r="295" customFormat="false" ht="15" hidden="false" customHeight="false" outlineLevel="0" collapsed="false">
      <c r="A295" s="23"/>
      <c r="B295" s="23"/>
      <c r="C295" s="24"/>
      <c r="D295" s="12"/>
      <c r="E295" s="25" t="str">
        <f aca="false">IF(OR(A295="",C295=""),"",C295*IFERROR(INDEX(Yemekler!$C$5:$C$64,MATCH(A295,Yemekler!$A$5:$A$64,0)),0))</f>
        <v/>
      </c>
    </row>
    <row r="296" customFormat="false" ht="15" hidden="false" customHeight="false" outlineLevel="0" collapsed="false">
      <c r="A296" s="23"/>
      <c r="B296" s="23"/>
      <c r="C296" s="24"/>
      <c r="D296" s="12"/>
      <c r="E296" s="25" t="str">
        <f aca="false">IF(OR(A296="",C296=""),"",C296*IFERROR(INDEX(Yemekler!$C$5:$C$64,MATCH(A296,Yemekler!$A$5:$A$64,0)),0))</f>
        <v/>
      </c>
    </row>
    <row r="297" customFormat="false" ht="15" hidden="false" customHeight="false" outlineLevel="0" collapsed="false">
      <c r="A297" s="23"/>
      <c r="B297" s="23"/>
      <c r="C297" s="24"/>
      <c r="D297" s="12"/>
      <c r="E297" s="25" t="str">
        <f aca="false">IF(OR(A297="",C297=""),"",C297*IFERROR(INDEX(Yemekler!$C$5:$C$64,MATCH(A297,Yemekler!$A$5:$A$64,0)),0))</f>
        <v/>
      </c>
    </row>
    <row r="298" customFormat="false" ht="15" hidden="false" customHeight="false" outlineLevel="0" collapsed="false">
      <c r="A298" s="23"/>
      <c r="B298" s="23"/>
      <c r="C298" s="24"/>
      <c r="D298" s="12"/>
      <c r="E298" s="25" t="str">
        <f aca="false">IF(OR(A298="",C298=""),"",C298*IFERROR(INDEX(Yemekler!$C$5:$C$64,MATCH(A298,Yemekler!$A$5:$A$64,0)),0))</f>
        <v/>
      </c>
    </row>
    <row r="299" customFormat="false" ht="15" hidden="false" customHeight="false" outlineLevel="0" collapsed="false">
      <c r="A299" s="23"/>
      <c r="B299" s="23"/>
      <c r="C299" s="24"/>
      <c r="D299" s="12"/>
      <c r="E299" s="25" t="str">
        <f aca="false">IF(OR(A299="",C299=""),"",C299*IFERROR(INDEX(Yemekler!$C$5:$C$64,MATCH(A299,Yemekler!$A$5:$A$64,0)),0))</f>
        <v/>
      </c>
    </row>
    <row r="300" customFormat="false" ht="15" hidden="false" customHeight="false" outlineLevel="0" collapsed="false">
      <c r="A300" s="23"/>
      <c r="B300" s="23"/>
      <c r="C300" s="24"/>
      <c r="D300" s="12"/>
      <c r="E300" s="25" t="str">
        <f aca="false">IF(OR(A300="",C300=""),"",C300*IFERROR(INDEX(Yemekler!$C$5:$C$64,MATCH(A300,Yemekler!$A$5:$A$64,0)),0))</f>
        <v/>
      </c>
    </row>
    <row r="301" customFormat="false" ht="15" hidden="false" customHeight="false" outlineLevel="0" collapsed="false">
      <c r="A301" s="23"/>
      <c r="B301" s="23"/>
      <c r="C301" s="24"/>
      <c r="D301" s="12"/>
      <c r="E301" s="25" t="str">
        <f aca="false">IF(OR(A301="",C301=""),"",C301*IFERROR(INDEX(Yemekler!$C$5:$C$64,MATCH(A301,Yemekler!$A$5:$A$64,0)),0))</f>
        <v/>
      </c>
    </row>
    <row r="302" customFormat="false" ht="15" hidden="false" customHeight="false" outlineLevel="0" collapsed="false">
      <c r="A302" s="23"/>
      <c r="B302" s="23"/>
      <c r="C302" s="24"/>
      <c r="D302" s="12"/>
      <c r="E302" s="25" t="str">
        <f aca="false">IF(OR(A302="",C302=""),"",C302*IFERROR(INDEX(Yemekler!$C$5:$C$64,MATCH(A302,Yemekler!$A$5:$A$64,0)),0))</f>
        <v/>
      </c>
    </row>
    <row r="303" customFormat="false" ht="15" hidden="false" customHeight="false" outlineLevel="0" collapsed="false">
      <c r="A303" s="23"/>
      <c r="B303" s="23"/>
      <c r="C303" s="24"/>
      <c r="D303" s="12"/>
      <c r="E303" s="25" t="str">
        <f aca="false">IF(OR(A303="",C303=""),"",C303*IFERROR(INDEX(Yemekler!$C$5:$C$64,MATCH(A303,Yemekler!$A$5:$A$64,0)),0))</f>
        <v/>
      </c>
    </row>
    <row r="304" customFormat="false" ht="15" hidden="false" customHeight="false" outlineLevel="0" collapsed="false">
      <c r="A304" s="23"/>
      <c r="B304" s="23"/>
      <c r="C304" s="24"/>
      <c r="D304" s="12"/>
      <c r="E304" s="25" t="str">
        <f aca="false">IF(OR(A304="",C304=""),"",C304*IFERROR(INDEX(Yemekler!$C$5:$C$64,MATCH(A304,Yemekler!$A$5:$A$64,0)),0))</f>
        <v/>
      </c>
    </row>
    <row r="305" customFormat="false" ht="15" hidden="false" customHeight="false" outlineLevel="0" collapsed="false">
      <c r="A305" s="23"/>
      <c r="B305" s="23"/>
      <c r="C305" s="24"/>
      <c r="D305" s="12"/>
      <c r="E305" s="25" t="str">
        <f aca="false">IF(OR(A305="",C305=""),"",C305*IFERROR(INDEX(Yemekler!$C$5:$C$64,MATCH(A305,Yemekler!$A$5:$A$64,0)),0))</f>
        <v/>
      </c>
    </row>
    <row r="306" customFormat="false" ht="15" hidden="false" customHeight="false" outlineLevel="0" collapsed="false">
      <c r="A306" s="23"/>
      <c r="B306" s="23"/>
      <c r="C306" s="24"/>
      <c r="D306" s="12"/>
      <c r="E306" s="25" t="str">
        <f aca="false">IF(OR(A306="",C306=""),"",C306*IFERROR(INDEX(Yemekler!$C$5:$C$64,MATCH(A306,Yemekler!$A$5:$A$64,0)),0))</f>
        <v/>
      </c>
    </row>
    <row r="307" customFormat="false" ht="15" hidden="false" customHeight="false" outlineLevel="0" collapsed="false">
      <c r="A307" s="23"/>
      <c r="B307" s="23"/>
      <c r="C307" s="24"/>
      <c r="D307" s="12"/>
      <c r="E307" s="25" t="str">
        <f aca="false">IF(OR(A307="",C307=""),"",C307*IFERROR(INDEX(Yemekler!$C$5:$C$64,MATCH(A307,Yemekler!$A$5:$A$64,0)),0))</f>
        <v/>
      </c>
    </row>
    <row r="308" customFormat="false" ht="15" hidden="false" customHeight="false" outlineLevel="0" collapsed="false">
      <c r="A308" s="23"/>
      <c r="B308" s="23"/>
      <c r="C308" s="24"/>
      <c r="D308" s="12"/>
      <c r="E308" s="25" t="str">
        <f aca="false">IF(OR(A308="",C308=""),"",C308*IFERROR(INDEX(Yemekler!$C$5:$C$64,MATCH(A308,Yemekler!$A$5:$A$64,0)),0))</f>
        <v/>
      </c>
    </row>
    <row r="309" customFormat="false" ht="15" hidden="false" customHeight="false" outlineLevel="0" collapsed="false">
      <c r="A309" s="23"/>
      <c r="B309" s="23"/>
      <c r="C309" s="24"/>
      <c r="D309" s="12"/>
      <c r="E309" s="25" t="str">
        <f aca="false">IF(OR(A309="",C309=""),"",C309*IFERROR(INDEX(Yemekler!$C$5:$C$64,MATCH(A309,Yemekler!$A$5:$A$64,0)),0))</f>
        <v/>
      </c>
    </row>
    <row r="310" customFormat="false" ht="15" hidden="false" customHeight="false" outlineLevel="0" collapsed="false">
      <c r="A310" s="23"/>
      <c r="B310" s="23"/>
      <c r="C310" s="24"/>
      <c r="D310" s="12"/>
      <c r="E310" s="25" t="str">
        <f aca="false">IF(OR(A310="",C310=""),"",C310*IFERROR(INDEX(Yemekler!$C$5:$C$64,MATCH(A310,Yemekler!$A$5:$A$64,0)),0))</f>
        <v/>
      </c>
    </row>
    <row r="311" customFormat="false" ht="15" hidden="false" customHeight="false" outlineLevel="0" collapsed="false">
      <c r="A311" s="23"/>
      <c r="B311" s="23"/>
      <c r="C311" s="24"/>
      <c r="D311" s="12"/>
      <c r="E311" s="25" t="str">
        <f aca="false">IF(OR(A311="",C311=""),"",C311*IFERROR(INDEX(Yemekler!$C$5:$C$64,MATCH(A311,Yemekler!$A$5:$A$64,0)),0))</f>
        <v/>
      </c>
    </row>
    <row r="312" customFormat="false" ht="15" hidden="false" customHeight="false" outlineLevel="0" collapsed="false">
      <c r="A312" s="23"/>
      <c r="B312" s="23"/>
      <c r="C312" s="24"/>
      <c r="D312" s="12"/>
      <c r="E312" s="25" t="str">
        <f aca="false">IF(OR(A312="",C312=""),"",C312*IFERROR(INDEX(Yemekler!$C$5:$C$64,MATCH(A312,Yemekler!$A$5:$A$64,0)),0))</f>
        <v/>
      </c>
    </row>
    <row r="313" customFormat="false" ht="15" hidden="false" customHeight="false" outlineLevel="0" collapsed="false">
      <c r="A313" s="23"/>
      <c r="B313" s="23"/>
      <c r="C313" s="24"/>
      <c r="D313" s="12"/>
      <c r="E313" s="25" t="str">
        <f aca="false">IF(OR(A313="",C313=""),"",C313*IFERROR(INDEX(Yemekler!$C$5:$C$64,MATCH(A313,Yemekler!$A$5:$A$64,0)),0))</f>
        <v/>
      </c>
    </row>
    <row r="314" customFormat="false" ht="15" hidden="false" customHeight="false" outlineLevel="0" collapsed="false">
      <c r="A314" s="23"/>
      <c r="B314" s="23"/>
      <c r="C314" s="24"/>
      <c r="D314" s="12"/>
      <c r="E314" s="25" t="str">
        <f aca="false">IF(OR(A314="",C314=""),"",C314*IFERROR(INDEX(Yemekler!$C$5:$C$64,MATCH(A314,Yemekler!$A$5:$A$64,0)),0))</f>
        <v/>
      </c>
    </row>
    <row r="315" customFormat="false" ht="15" hidden="false" customHeight="false" outlineLevel="0" collapsed="false">
      <c r="A315" s="23"/>
      <c r="B315" s="23"/>
      <c r="C315" s="24"/>
      <c r="D315" s="12"/>
      <c r="E315" s="25" t="str">
        <f aca="false">IF(OR(A315="",C315=""),"",C315*IFERROR(INDEX(Yemekler!$C$5:$C$64,MATCH(A315,Yemekler!$A$5:$A$64,0)),0))</f>
        <v/>
      </c>
    </row>
    <row r="316" customFormat="false" ht="15" hidden="false" customHeight="false" outlineLevel="0" collapsed="false">
      <c r="A316" s="23"/>
      <c r="B316" s="23"/>
      <c r="C316" s="24"/>
      <c r="D316" s="12"/>
      <c r="E316" s="25" t="str">
        <f aca="false">IF(OR(A316="",C316=""),"",C316*IFERROR(INDEX(Yemekler!$C$5:$C$64,MATCH(A316,Yemekler!$A$5:$A$64,0)),0))</f>
        <v/>
      </c>
    </row>
    <row r="317" customFormat="false" ht="15" hidden="false" customHeight="false" outlineLevel="0" collapsed="false">
      <c r="A317" s="23"/>
      <c r="B317" s="23"/>
      <c r="C317" s="24"/>
      <c r="D317" s="12"/>
      <c r="E317" s="25" t="str">
        <f aca="false">IF(OR(A317="",C317=""),"",C317*IFERROR(INDEX(Yemekler!$C$5:$C$64,MATCH(A317,Yemekler!$A$5:$A$64,0)),0))</f>
        <v/>
      </c>
    </row>
    <row r="318" customFormat="false" ht="15" hidden="false" customHeight="false" outlineLevel="0" collapsed="false">
      <c r="A318" s="23"/>
      <c r="B318" s="23"/>
      <c r="C318" s="24"/>
      <c r="D318" s="12"/>
      <c r="E318" s="25" t="str">
        <f aca="false">IF(OR(A318="",C318=""),"",C318*IFERROR(INDEX(Yemekler!$C$5:$C$64,MATCH(A318,Yemekler!$A$5:$A$64,0)),0))</f>
        <v/>
      </c>
    </row>
    <row r="319" customFormat="false" ht="15" hidden="false" customHeight="false" outlineLevel="0" collapsed="false">
      <c r="A319" s="23"/>
      <c r="B319" s="23"/>
      <c r="C319" s="24"/>
      <c r="D319" s="12"/>
      <c r="E319" s="25" t="str">
        <f aca="false">IF(OR(A319="",C319=""),"",C319*IFERROR(INDEX(Yemekler!$C$5:$C$64,MATCH(A319,Yemekler!$A$5:$A$64,0)),0))</f>
        <v/>
      </c>
    </row>
    <row r="320" customFormat="false" ht="15" hidden="false" customHeight="false" outlineLevel="0" collapsed="false">
      <c r="A320" s="23"/>
      <c r="B320" s="23"/>
      <c r="C320" s="24"/>
      <c r="D320" s="12"/>
      <c r="E320" s="25" t="str">
        <f aca="false">IF(OR(A320="",C320=""),"",C320*IFERROR(INDEX(Yemekler!$C$5:$C$64,MATCH(A320,Yemekler!$A$5:$A$64,0)),0))</f>
        <v/>
      </c>
    </row>
    <row r="321" customFormat="false" ht="15" hidden="false" customHeight="false" outlineLevel="0" collapsed="false">
      <c r="A321" s="23"/>
      <c r="B321" s="23"/>
      <c r="C321" s="24"/>
      <c r="D321" s="12"/>
      <c r="E321" s="25" t="str">
        <f aca="false">IF(OR(A321="",C321=""),"",C321*IFERROR(INDEX(Yemekler!$C$5:$C$64,MATCH(A321,Yemekler!$A$5:$A$64,0)),0))</f>
        <v/>
      </c>
    </row>
    <row r="322" customFormat="false" ht="15" hidden="false" customHeight="false" outlineLevel="0" collapsed="false">
      <c r="A322" s="23"/>
      <c r="B322" s="23"/>
      <c r="C322" s="24"/>
      <c r="D322" s="12"/>
      <c r="E322" s="25" t="str">
        <f aca="false">IF(OR(A322="",C322=""),"",C322*IFERROR(INDEX(Yemekler!$C$5:$C$64,MATCH(A322,Yemekler!$A$5:$A$64,0)),0))</f>
        <v/>
      </c>
    </row>
    <row r="323" customFormat="false" ht="15" hidden="false" customHeight="false" outlineLevel="0" collapsed="false">
      <c r="A323" s="23"/>
      <c r="B323" s="23"/>
      <c r="C323" s="24"/>
      <c r="D323" s="12"/>
      <c r="E323" s="25" t="str">
        <f aca="false">IF(OR(A323="",C323=""),"",C323*IFERROR(INDEX(Yemekler!$C$5:$C$64,MATCH(A323,Yemekler!$A$5:$A$64,0)),0))</f>
        <v/>
      </c>
    </row>
    <row r="324" customFormat="false" ht="15" hidden="false" customHeight="false" outlineLevel="0" collapsed="false">
      <c r="A324" s="23"/>
      <c r="B324" s="23"/>
      <c r="C324" s="24"/>
      <c r="D324" s="12"/>
      <c r="E324" s="25" t="str">
        <f aca="false">IF(OR(A324="",C324=""),"",C324*IFERROR(INDEX(Yemekler!$C$5:$C$64,MATCH(A324,Yemekler!$A$5:$A$64,0)),0))</f>
        <v/>
      </c>
    </row>
    <row r="325" customFormat="false" ht="15" hidden="false" customHeight="false" outlineLevel="0" collapsed="false">
      <c r="A325" s="23"/>
      <c r="B325" s="23"/>
      <c r="C325" s="24"/>
      <c r="D325" s="12"/>
      <c r="E325" s="25" t="str">
        <f aca="false">IF(OR(A325="",C325=""),"",C325*IFERROR(INDEX(Yemekler!$C$5:$C$64,MATCH(A325,Yemekler!$A$5:$A$64,0)),0))</f>
        <v/>
      </c>
    </row>
    <row r="326" customFormat="false" ht="15" hidden="false" customHeight="false" outlineLevel="0" collapsed="false">
      <c r="A326" s="23"/>
      <c r="B326" s="23"/>
      <c r="C326" s="24"/>
      <c r="D326" s="12"/>
      <c r="E326" s="25" t="str">
        <f aca="false">IF(OR(A326="",C326=""),"",C326*IFERROR(INDEX(Yemekler!$C$5:$C$64,MATCH(A326,Yemekler!$A$5:$A$64,0)),0))</f>
        <v/>
      </c>
    </row>
    <row r="327" customFormat="false" ht="15" hidden="false" customHeight="false" outlineLevel="0" collapsed="false">
      <c r="A327" s="23"/>
      <c r="B327" s="23"/>
      <c r="C327" s="24"/>
      <c r="D327" s="12"/>
      <c r="E327" s="25" t="str">
        <f aca="false">IF(OR(A327="",C327=""),"",C327*IFERROR(INDEX(Yemekler!$C$5:$C$64,MATCH(A327,Yemekler!$A$5:$A$64,0)),0))</f>
        <v/>
      </c>
    </row>
    <row r="328" customFormat="false" ht="15" hidden="false" customHeight="false" outlineLevel="0" collapsed="false">
      <c r="A328" s="23"/>
      <c r="B328" s="23"/>
      <c r="C328" s="24"/>
      <c r="D328" s="12"/>
      <c r="E328" s="25" t="str">
        <f aca="false">IF(OR(A328="",C328=""),"",C328*IFERROR(INDEX(Yemekler!$C$5:$C$64,MATCH(A328,Yemekler!$A$5:$A$64,0)),0))</f>
        <v/>
      </c>
    </row>
    <row r="329" customFormat="false" ht="15" hidden="false" customHeight="false" outlineLevel="0" collapsed="false">
      <c r="A329" s="23"/>
      <c r="B329" s="23"/>
      <c r="C329" s="24"/>
      <c r="D329" s="12"/>
      <c r="E329" s="25" t="str">
        <f aca="false">IF(OR(A329="",C329=""),"",C329*IFERROR(INDEX(Yemekler!$C$5:$C$64,MATCH(A329,Yemekler!$A$5:$A$64,0)),0))</f>
        <v/>
      </c>
    </row>
    <row r="330" customFormat="false" ht="15" hidden="false" customHeight="false" outlineLevel="0" collapsed="false">
      <c r="A330" s="23"/>
      <c r="B330" s="23"/>
      <c r="C330" s="24"/>
      <c r="D330" s="12"/>
      <c r="E330" s="25" t="str">
        <f aca="false">IF(OR(A330="",C330=""),"",C330*IFERROR(INDEX(Yemekler!$C$5:$C$64,MATCH(A330,Yemekler!$A$5:$A$64,0)),0))</f>
        <v/>
      </c>
    </row>
    <row r="331" customFormat="false" ht="15" hidden="false" customHeight="false" outlineLevel="0" collapsed="false">
      <c r="A331" s="23"/>
      <c r="B331" s="23"/>
      <c r="C331" s="24"/>
      <c r="D331" s="12"/>
      <c r="E331" s="25" t="str">
        <f aca="false">IF(OR(A331="",C331=""),"",C331*IFERROR(INDEX(Yemekler!$C$5:$C$64,MATCH(A331,Yemekler!$A$5:$A$64,0)),0))</f>
        <v/>
      </c>
    </row>
    <row r="332" customFormat="false" ht="15" hidden="false" customHeight="false" outlineLevel="0" collapsed="false">
      <c r="A332" s="23"/>
      <c r="B332" s="23"/>
      <c r="C332" s="24"/>
      <c r="D332" s="12"/>
      <c r="E332" s="25" t="str">
        <f aca="false">IF(OR(A332="",C332=""),"",C332*IFERROR(INDEX(Yemekler!$C$5:$C$64,MATCH(A332,Yemekler!$A$5:$A$64,0)),0))</f>
        <v/>
      </c>
    </row>
    <row r="333" customFormat="false" ht="15" hidden="false" customHeight="false" outlineLevel="0" collapsed="false">
      <c r="A333" s="23"/>
      <c r="B333" s="23"/>
      <c r="C333" s="24"/>
      <c r="D333" s="12"/>
      <c r="E333" s="25" t="str">
        <f aca="false">IF(OR(A333="",C333=""),"",C333*IFERROR(INDEX(Yemekler!$C$5:$C$64,MATCH(A333,Yemekler!$A$5:$A$64,0)),0))</f>
        <v/>
      </c>
    </row>
    <row r="334" customFormat="false" ht="15" hidden="false" customHeight="false" outlineLevel="0" collapsed="false">
      <c r="A334" s="23"/>
      <c r="B334" s="23"/>
      <c r="C334" s="24"/>
      <c r="D334" s="12"/>
      <c r="E334" s="25" t="str">
        <f aca="false">IF(OR(A334="",C334=""),"",C334*IFERROR(INDEX(Yemekler!$C$5:$C$64,MATCH(A334,Yemekler!$A$5:$A$64,0)),0))</f>
        <v/>
      </c>
    </row>
    <row r="335" customFormat="false" ht="15" hidden="false" customHeight="false" outlineLevel="0" collapsed="false">
      <c r="A335" s="23"/>
      <c r="B335" s="23"/>
      <c r="C335" s="24"/>
      <c r="D335" s="12"/>
      <c r="E335" s="25" t="str">
        <f aca="false">IF(OR(A335="",C335=""),"",C335*IFERROR(INDEX(Yemekler!$C$5:$C$64,MATCH(A335,Yemekler!$A$5:$A$64,0)),0))</f>
        <v/>
      </c>
    </row>
    <row r="336" customFormat="false" ht="15" hidden="false" customHeight="false" outlineLevel="0" collapsed="false">
      <c r="A336" s="23"/>
      <c r="B336" s="23"/>
      <c r="C336" s="24"/>
      <c r="D336" s="12"/>
      <c r="E336" s="25" t="str">
        <f aca="false">IF(OR(A336="",C336=""),"",C336*IFERROR(INDEX(Yemekler!$C$5:$C$64,MATCH(A336,Yemekler!$A$5:$A$64,0)),0))</f>
        <v/>
      </c>
    </row>
    <row r="337" customFormat="false" ht="15" hidden="false" customHeight="false" outlineLevel="0" collapsed="false">
      <c r="A337" s="23"/>
      <c r="B337" s="23"/>
      <c r="C337" s="24"/>
      <c r="D337" s="12"/>
      <c r="E337" s="25" t="str">
        <f aca="false">IF(OR(A337="",C337=""),"",C337*IFERROR(INDEX(Yemekler!$C$5:$C$64,MATCH(A337,Yemekler!$A$5:$A$64,0)),0))</f>
        <v/>
      </c>
    </row>
    <row r="338" customFormat="false" ht="15" hidden="false" customHeight="false" outlineLevel="0" collapsed="false">
      <c r="A338" s="23"/>
      <c r="B338" s="23"/>
      <c r="C338" s="24"/>
      <c r="D338" s="12"/>
      <c r="E338" s="25" t="str">
        <f aca="false">IF(OR(A338="",C338=""),"",C338*IFERROR(INDEX(Yemekler!$C$5:$C$64,MATCH(A338,Yemekler!$A$5:$A$64,0)),0))</f>
        <v/>
      </c>
    </row>
    <row r="339" customFormat="false" ht="15" hidden="false" customHeight="false" outlineLevel="0" collapsed="false">
      <c r="A339" s="23"/>
      <c r="B339" s="23"/>
      <c r="C339" s="24"/>
      <c r="D339" s="12"/>
      <c r="E339" s="25" t="str">
        <f aca="false">IF(OR(A339="",C339=""),"",C339*IFERROR(INDEX(Yemekler!$C$5:$C$64,MATCH(A339,Yemekler!$A$5:$A$64,0)),0))</f>
        <v/>
      </c>
    </row>
    <row r="340" customFormat="false" ht="15" hidden="false" customHeight="false" outlineLevel="0" collapsed="false">
      <c r="A340" s="23"/>
      <c r="B340" s="23"/>
      <c r="C340" s="24"/>
      <c r="D340" s="12"/>
      <c r="E340" s="25" t="str">
        <f aca="false">IF(OR(A340="",C340=""),"",C340*IFERROR(INDEX(Yemekler!$C$5:$C$64,MATCH(A340,Yemekler!$A$5:$A$64,0)),0))</f>
        <v/>
      </c>
    </row>
    <row r="341" customFormat="false" ht="15" hidden="false" customHeight="false" outlineLevel="0" collapsed="false">
      <c r="A341" s="23"/>
      <c r="B341" s="23"/>
      <c r="C341" s="24"/>
      <c r="D341" s="12"/>
      <c r="E341" s="25" t="str">
        <f aca="false">IF(OR(A341="",C341=""),"",C341*IFERROR(INDEX(Yemekler!$C$5:$C$64,MATCH(A341,Yemekler!$A$5:$A$64,0)),0))</f>
        <v/>
      </c>
    </row>
    <row r="342" customFormat="false" ht="15" hidden="false" customHeight="false" outlineLevel="0" collapsed="false">
      <c r="A342" s="23"/>
      <c r="B342" s="23"/>
      <c r="C342" s="24"/>
      <c r="D342" s="12"/>
      <c r="E342" s="25" t="str">
        <f aca="false">IF(OR(A342="",C342=""),"",C342*IFERROR(INDEX(Yemekler!$C$5:$C$64,MATCH(A342,Yemekler!$A$5:$A$64,0)),0))</f>
        <v/>
      </c>
    </row>
    <row r="343" customFormat="false" ht="15" hidden="false" customHeight="false" outlineLevel="0" collapsed="false">
      <c r="A343" s="23"/>
      <c r="B343" s="23"/>
      <c r="C343" s="24"/>
      <c r="D343" s="12"/>
      <c r="E343" s="25" t="str">
        <f aca="false">IF(OR(A343="",C343=""),"",C343*IFERROR(INDEX(Yemekler!$C$5:$C$64,MATCH(A343,Yemekler!$A$5:$A$64,0)),0))</f>
        <v/>
      </c>
    </row>
    <row r="344" customFormat="false" ht="15" hidden="false" customHeight="false" outlineLevel="0" collapsed="false">
      <c r="A344" s="23"/>
      <c r="B344" s="23"/>
      <c r="C344" s="24"/>
      <c r="D344" s="12"/>
      <c r="E344" s="25" t="str">
        <f aca="false">IF(OR(A344="",C344=""),"",C344*IFERROR(INDEX(Yemekler!$C$5:$C$64,MATCH(A344,Yemekler!$A$5:$A$64,0)),0))</f>
        <v/>
      </c>
    </row>
    <row r="345" customFormat="false" ht="15" hidden="false" customHeight="false" outlineLevel="0" collapsed="false">
      <c r="A345" s="23"/>
      <c r="B345" s="23"/>
      <c r="C345" s="24"/>
      <c r="D345" s="12"/>
      <c r="E345" s="25" t="str">
        <f aca="false">IF(OR(A345="",C345=""),"",C345*IFERROR(INDEX(Yemekler!$C$5:$C$64,MATCH(A345,Yemekler!$A$5:$A$64,0)),0))</f>
        <v/>
      </c>
    </row>
    <row r="346" customFormat="false" ht="15" hidden="false" customHeight="false" outlineLevel="0" collapsed="false">
      <c r="A346" s="23"/>
      <c r="B346" s="23"/>
      <c r="C346" s="24"/>
      <c r="D346" s="12"/>
      <c r="E346" s="25" t="str">
        <f aca="false">IF(OR(A346="",C346=""),"",C346*IFERROR(INDEX(Yemekler!$C$5:$C$64,MATCH(A346,Yemekler!$A$5:$A$64,0)),0))</f>
        <v/>
      </c>
    </row>
    <row r="347" customFormat="false" ht="15" hidden="false" customHeight="false" outlineLevel="0" collapsed="false">
      <c r="A347" s="23"/>
      <c r="B347" s="23"/>
      <c r="C347" s="24"/>
      <c r="D347" s="12"/>
      <c r="E347" s="25" t="str">
        <f aca="false">IF(OR(A347="",C347=""),"",C347*IFERROR(INDEX(Yemekler!$C$5:$C$64,MATCH(A347,Yemekler!$A$5:$A$64,0)),0))</f>
        <v/>
      </c>
    </row>
    <row r="348" customFormat="false" ht="15" hidden="false" customHeight="false" outlineLevel="0" collapsed="false">
      <c r="A348" s="23"/>
      <c r="B348" s="23"/>
      <c r="C348" s="24"/>
      <c r="D348" s="12"/>
      <c r="E348" s="25" t="str">
        <f aca="false">IF(OR(A348="",C348=""),"",C348*IFERROR(INDEX(Yemekler!$C$5:$C$64,MATCH(A348,Yemekler!$A$5:$A$64,0)),0))</f>
        <v/>
      </c>
    </row>
    <row r="349" customFormat="false" ht="15" hidden="false" customHeight="false" outlineLevel="0" collapsed="false">
      <c r="A349" s="23"/>
      <c r="B349" s="23"/>
      <c r="C349" s="24"/>
      <c r="D349" s="12"/>
      <c r="E349" s="25" t="str">
        <f aca="false">IF(OR(A349="",C349=""),"",C349*IFERROR(INDEX(Yemekler!$C$5:$C$64,MATCH(A349,Yemekler!$A$5:$A$64,0)),0))</f>
        <v/>
      </c>
    </row>
    <row r="350" customFormat="false" ht="15" hidden="false" customHeight="false" outlineLevel="0" collapsed="false">
      <c r="A350" s="23"/>
      <c r="B350" s="23"/>
      <c r="C350" s="24"/>
      <c r="D350" s="12"/>
      <c r="E350" s="25" t="str">
        <f aca="false">IF(OR(A350="",C350=""),"",C350*IFERROR(INDEX(Yemekler!$C$5:$C$64,MATCH(A350,Yemekler!$A$5:$A$64,0)),0))</f>
        <v/>
      </c>
    </row>
    <row r="351" customFormat="false" ht="15" hidden="false" customHeight="false" outlineLevel="0" collapsed="false">
      <c r="A351" s="23"/>
      <c r="B351" s="23"/>
      <c r="C351" s="24"/>
      <c r="D351" s="12"/>
      <c r="E351" s="25" t="str">
        <f aca="false">IF(OR(A351="",C351=""),"",C351*IFERROR(INDEX(Yemekler!$C$5:$C$64,MATCH(A351,Yemekler!$A$5:$A$64,0)),0))</f>
        <v/>
      </c>
    </row>
    <row r="352" customFormat="false" ht="15" hidden="false" customHeight="false" outlineLevel="0" collapsed="false">
      <c r="A352" s="23"/>
      <c r="B352" s="23"/>
      <c r="C352" s="24"/>
      <c r="D352" s="12"/>
      <c r="E352" s="25" t="str">
        <f aca="false">IF(OR(A352="",C352=""),"",C352*IFERROR(INDEX(Yemekler!$C$5:$C$64,MATCH(A352,Yemekler!$A$5:$A$64,0)),0))</f>
        <v/>
      </c>
    </row>
    <row r="353" customFormat="false" ht="15" hidden="false" customHeight="false" outlineLevel="0" collapsed="false">
      <c r="A353" s="23"/>
      <c r="B353" s="23"/>
      <c r="C353" s="24"/>
      <c r="D353" s="12"/>
      <c r="E353" s="25" t="str">
        <f aca="false">IF(OR(A353="",C353=""),"",C353*IFERROR(INDEX(Yemekler!$C$5:$C$64,MATCH(A353,Yemekler!$A$5:$A$64,0)),0))</f>
        <v/>
      </c>
    </row>
    <row r="354" customFormat="false" ht="15" hidden="false" customHeight="false" outlineLevel="0" collapsed="false">
      <c r="A354" s="23"/>
      <c r="B354" s="23"/>
      <c r="C354" s="24"/>
      <c r="D354" s="12"/>
      <c r="E354" s="25" t="str">
        <f aca="false">IF(OR(A354="",C354=""),"",C354*IFERROR(INDEX(Yemekler!$C$5:$C$64,MATCH(A354,Yemekler!$A$5:$A$64,0)),0))</f>
        <v/>
      </c>
    </row>
    <row r="355" customFormat="false" ht="15" hidden="false" customHeight="false" outlineLevel="0" collapsed="false">
      <c r="A355" s="23"/>
      <c r="B355" s="23"/>
      <c r="C355" s="24"/>
      <c r="D355" s="12"/>
      <c r="E355" s="25" t="str">
        <f aca="false">IF(OR(A355="",C355=""),"",C355*IFERROR(INDEX(Yemekler!$C$5:$C$64,MATCH(A355,Yemekler!$A$5:$A$64,0)),0))</f>
        <v/>
      </c>
    </row>
    <row r="356" customFormat="false" ht="15" hidden="false" customHeight="false" outlineLevel="0" collapsed="false">
      <c r="A356" s="23"/>
      <c r="B356" s="23"/>
      <c r="C356" s="24"/>
      <c r="D356" s="12"/>
      <c r="E356" s="25" t="str">
        <f aca="false">IF(OR(A356="",C356=""),"",C356*IFERROR(INDEX(Yemekler!$C$5:$C$64,MATCH(A356,Yemekler!$A$5:$A$64,0)),0))</f>
        <v/>
      </c>
    </row>
    <row r="357" customFormat="false" ht="15" hidden="false" customHeight="false" outlineLevel="0" collapsed="false">
      <c r="A357" s="23"/>
      <c r="B357" s="23"/>
      <c r="C357" s="24"/>
      <c r="D357" s="12"/>
      <c r="E357" s="25" t="str">
        <f aca="false">IF(OR(A357="",C357=""),"",C357*IFERROR(INDEX(Yemekler!$C$5:$C$64,MATCH(A357,Yemekler!$A$5:$A$64,0)),0))</f>
        <v/>
      </c>
    </row>
    <row r="358" customFormat="false" ht="15" hidden="false" customHeight="false" outlineLevel="0" collapsed="false">
      <c r="A358" s="23"/>
      <c r="B358" s="23"/>
      <c r="C358" s="24"/>
      <c r="D358" s="12"/>
      <c r="E358" s="25" t="str">
        <f aca="false">IF(OR(A358="",C358=""),"",C358*IFERROR(INDEX(Yemekler!$C$5:$C$64,MATCH(A358,Yemekler!$A$5:$A$64,0)),0))</f>
        <v/>
      </c>
    </row>
    <row r="359" customFormat="false" ht="15" hidden="false" customHeight="false" outlineLevel="0" collapsed="false">
      <c r="A359" s="23"/>
      <c r="B359" s="23"/>
      <c r="C359" s="24"/>
      <c r="D359" s="12"/>
      <c r="E359" s="25" t="str">
        <f aca="false">IF(OR(A359="",C359=""),"",C359*IFERROR(INDEX(Yemekler!$C$5:$C$64,MATCH(A359,Yemekler!$A$5:$A$64,0)),0))</f>
        <v/>
      </c>
    </row>
    <row r="360" customFormat="false" ht="15" hidden="false" customHeight="false" outlineLevel="0" collapsed="false">
      <c r="A360" s="23"/>
      <c r="B360" s="23"/>
      <c r="C360" s="24"/>
      <c r="D360" s="12"/>
      <c r="E360" s="25" t="str">
        <f aca="false">IF(OR(A360="",C360=""),"",C360*IFERROR(INDEX(Yemekler!$C$5:$C$64,MATCH(A360,Yemekler!$A$5:$A$64,0)),0))</f>
        <v/>
      </c>
    </row>
    <row r="361" customFormat="false" ht="15" hidden="false" customHeight="false" outlineLevel="0" collapsed="false">
      <c r="A361" s="23"/>
      <c r="B361" s="23"/>
      <c r="C361" s="24"/>
      <c r="D361" s="12"/>
      <c r="E361" s="25" t="str">
        <f aca="false">IF(OR(A361="",C361=""),"",C361*IFERROR(INDEX(Yemekler!$C$5:$C$64,MATCH(A361,Yemekler!$A$5:$A$64,0)),0))</f>
        <v/>
      </c>
    </row>
    <row r="362" customFormat="false" ht="15" hidden="false" customHeight="false" outlineLevel="0" collapsed="false">
      <c r="A362" s="23"/>
      <c r="B362" s="23"/>
      <c r="C362" s="24"/>
      <c r="D362" s="12"/>
      <c r="E362" s="25" t="str">
        <f aca="false">IF(OR(A362="",C362=""),"",C362*IFERROR(INDEX(Yemekler!$C$5:$C$64,MATCH(A362,Yemekler!$A$5:$A$64,0)),0))</f>
        <v/>
      </c>
    </row>
    <row r="363" customFormat="false" ht="15" hidden="false" customHeight="false" outlineLevel="0" collapsed="false">
      <c r="A363" s="23"/>
      <c r="B363" s="23"/>
      <c r="C363" s="24"/>
      <c r="D363" s="12"/>
      <c r="E363" s="25" t="str">
        <f aca="false">IF(OR(A363="",C363=""),"",C363*IFERROR(INDEX(Yemekler!$C$5:$C$64,MATCH(A363,Yemekler!$A$5:$A$64,0)),0))</f>
        <v/>
      </c>
    </row>
    <row r="364" customFormat="false" ht="15" hidden="false" customHeight="false" outlineLevel="0" collapsed="false">
      <c r="A364" s="23"/>
      <c r="B364" s="23"/>
      <c r="C364" s="24"/>
      <c r="D364" s="12"/>
      <c r="E364" s="25" t="str">
        <f aca="false">IF(OR(A364="",C364=""),"",C364*IFERROR(INDEX(Yemekler!$C$5:$C$64,MATCH(A364,Yemekler!$A$5:$A$64,0)),0))</f>
        <v/>
      </c>
    </row>
    <row r="365" customFormat="false" ht="15" hidden="false" customHeight="false" outlineLevel="0" collapsed="false">
      <c r="A365" s="23"/>
      <c r="B365" s="23"/>
      <c r="C365" s="24"/>
      <c r="D365" s="12"/>
      <c r="E365" s="25" t="str">
        <f aca="false">IF(OR(A365="",C365=""),"",C365*IFERROR(INDEX(Yemekler!$C$5:$C$64,MATCH(A365,Yemekler!$A$5:$A$64,0)),0))</f>
        <v/>
      </c>
    </row>
    <row r="366" customFormat="false" ht="15" hidden="false" customHeight="false" outlineLevel="0" collapsed="false">
      <c r="A366" s="23"/>
      <c r="B366" s="23"/>
      <c r="C366" s="24"/>
      <c r="D366" s="12"/>
      <c r="E366" s="25" t="str">
        <f aca="false">IF(OR(A366="",C366=""),"",C366*IFERROR(INDEX(Yemekler!$C$5:$C$64,MATCH(A366,Yemekler!$A$5:$A$64,0)),0))</f>
        <v/>
      </c>
    </row>
    <row r="367" customFormat="false" ht="15" hidden="false" customHeight="false" outlineLevel="0" collapsed="false">
      <c r="A367" s="23"/>
      <c r="B367" s="23"/>
      <c r="C367" s="24"/>
      <c r="D367" s="12"/>
      <c r="E367" s="25" t="str">
        <f aca="false">IF(OR(A367="",C367=""),"",C367*IFERROR(INDEX(Yemekler!$C$5:$C$64,MATCH(A367,Yemekler!$A$5:$A$64,0)),0))</f>
        <v/>
      </c>
    </row>
    <row r="368" customFormat="false" ht="15" hidden="false" customHeight="false" outlineLevel="0" collapsed="false">
      <c r="A368" s="23"/>
      <c r="B368" s="23"/>
      <c r="C368" s="24"/>
      <c r="D368" s="12"/>
      <c r="E368" s="25" t="str">
        <f aca="false">IF(OR(A368="",C368=""),"",C368*IFERROR(INDEX(Yemekler!$C$5:$C$64,MATCH(A368,Yemekler!$A$5:$A$64,0)),0))</f>
        <v/>
      </c>
    </row>
    <row r="369" customFormat="false" ht="15" hidden="false" customHeight="false" outlineLevel="0" collapsed="false">
      <c r="A369" s="23"/>
      <c r="B369" s="23"/>
      <c r="C369" s="24"/>
      <c r="D369" s="12"/>
      <c r="E369" s="25" t="str">
        <f aca="false">IF(OR(A369="",C369=""),"",C369*IFERROR(INDEX(Yemekler!$C$5:$C$64,MATCH(A369,Yemekler!$A$5:$A$64,0)),0))</f>
        <v/>
      </c>
    </row>
    <row r="370" customFormat="false" ht="15" hidden="false" customHeight="false" outlineLevel="0" collapsed="false">
      <c r="A370" s="23"/>
      <c r="B370" s="23"/>
      <c r="C370" s="24"/>
      <c r="D370" s="12"/>
      <c r="E370" s="25" t="str">
        <f aca="false">IF(OR(A370="",C370=""),"",C370*IFERROR(INDEX(Yemekler!$C$5:$C$64,MATCH(A370,Yemekler!$A$5:$A$64,0)),0))</f>
        <v/>
      </c>
    </row>
    <row r="371" customFormat="false" ht="15" hidden="false" customHeight="false" outlineLevel="0" collapsed="false">
      <c r="A371" s="23"/>
      <c r="B371" s="23"/>
      <c r="C371" s="24"/>
      <c r="D371" s="12"/>
      <c r="E371" s="25" t="str">
        <f aca="false">IF(OR(A371="",C371=""),"",C371*IFERROR(INDEX(Yemekler!$C$5:$C$64,MATCH(A371,Yemekler!$A$5:$A$64,0)),0))</f>
        <v/>
      </c>
    </row>
    <row r="372" customFormat="false" ht="15" hidden="false" customHeight="false" outlineLevel="0" collapsed="false">
      <c r="A372" s="23"/>
      <c r="B372" s="23"/>
      <c r="C372" s="24"/>
      <c r="D372" s="12"/>
      <c r="E372" s="25" t="str">
        <f aca="false">IF(OR(A372="",C372=""),"",C372*IFERROR(INDEX(Yemekler!$C$5:$C$64,MATCH(A372,Yemekler!$A$5:$A$64,0)),0))</f>
        <v/>
      </c>
    </row>
    <row r="373" customFormat="false" ht="15" hidden="false" customHeight="false" outlineLevel="0" collapsed="false">
      <c r="A373" s="23"/>
      <c r="B373" s="23"/>
      <c r="C373" s="24"/>
      <c r="D373" s="12"/>
      <c r="E373" s="25" t="str">
        <f aca="false">IF(OR(A373="",C373=""),"",C373*IFERROR(INDEX(Yemekler!$C$5:$C$64,MATCH(A373,Yemekler!$A$5:$A$64,0)),0))</f>
        <v/>
      </c>
    </row>
    <row r="374" customFormat="false" ht="15" hidden="false" customHeight="false" outlineLevel="0" collapsed="false">
      <c r="A374" s="23"/>
      <c r="B374" s="23"/>
      <c r="C374" s="24"/>
      <c r="D374" s="12"/>
      <c r="E374" s="25" t="str">
        <f aca="false">IF(OR(A374="",C374=""),"",C374*IFERROR(INDEX(Yemekler!$C$5:$C$64,MATCH(A374,Yemekler!$A$5:$A$64,0)),0))</f>
        <v/>
      </c>
    </row>
    <row r="375" customFormat="false" ht="15" hidden="false" customHeight="false" outlineLevel="0" collapsed="false">
      <c r="A375" s="23"/>
      <c r="B375" s="23"/>
      <c r="C375" s="24"/>
      <c r="D375" s="12"/>
      <c r="E375" s="25" t="str">
        <f aca="false">IF(OR(A375="",C375=""),"",C375*IFERROR(INDEX(Yemekler!$C$5:$C$64,MATCH(A375,Yemekler!$A$5:$A$64,0)),0))</f>
        <v/>
      </c>
    </row>
    <row r="376" customFormat="false" ht="15" hidden="false" customHeight="false" outlineLevel="0" collapsed="false">
      <c r="A376" s="23"/>
      <c r="B376" s="23"/>
      <c r="C376" s="24"/>
      <c r="D376" s="12"/>
      <c r="E376" s="25" t="str">
        <f aca="false">IF(OR(A376="",C376=""),"",C376*IFERROR(INDEX(Yemekler!$C$5:$C$64,MATCH(A376,Yemekler!$A$5:$A$64,0)),0))</f>
        <v/>
      </c>
    </row>
    <row r="377" customFormat="false" ht="15" hidden="false" customHeight="false" outlineLevel="0" collapsed="false">
      <c r="A377" s="23"/>
      <c r="B377" s="23"/>
      <c r="C377" s="24"/>
      <c r="D377" s="12"/>
      <c r="E377" s="25" t="str">
        <f aca="false">IF(OR(A377="",C377=""),"",C377*IFERROR(INDEX(Yemekler!$C$5:$C$64,MATCH(A377,Yemekler!$A$5:$A$64,0)),0))</f>
        <v/>
      </c>
    </row>
    <row r="378" customFormat="false" ht="15" hidden="false" customHeight="false" outlineLevel="0" collapsed="false">
      <c r="A378" s="23"/>
      <c r="B378" s="23"/>
      <c r="C378" s="24"/>
      <c r="D378" s="12"/>
      <c r="E378" s="25" t="str">
        <f aca="false">IF(OR(A378="",C378=""),"",C378*IFERROR(INDEX(Yemekler!$C$5:$C$64,MATCH(A378,Yemekler!$A$5:$A$64,0)),0))</f>
        <v/>
      </c>
    </row>
    <row r="379" customFormat="false" ht="15" hidden="false" customHeight="false" outlineLevel="0" collapsed="false">
      <c r="A379" s="23"/>
      <c r="B379" s="23"/>
      <c r="C379" s="24"/>
      <c r="D379" s="12"/>
      <c r="E379" s="25" t="str">
        <f aca="false">IF(OR(A379="",C379=""),"",C379*IFERROR(INDEX(Yemekler!$C$5:$C$64,MATCH(A379,Yemekler!$A$5:$A$64,0)),0))</f>
        <v/>
      </c>
    </row>
    <row r="380" customFormat="false" ht="15" hidden="false" customHeight="false" outlineLevel="0" collapsed="false">
      <c r="A380" s="23"/>
      <c r="B380" s="23"/>
      <c r="C380" s="24"/>
      <c r="D380" s="12"/>
      <c r="E380" s="25" t="str">
        <f aca="false">IF(OR(A380="",C380=""),"",C380*IFERROR(INDEX(Yemekler!$C$5:$C$64,MATCH(A380,Yemekler!$A$5:$A$64,0)),0))</f>
        <v/>
      </c>
    </row>
    <row r="381" customFormat="false" ht="15" hidden="false" customHeight="false" outlineLevel="0" collapsed="false">
      <c r="A381" s="23"/>
      <c r="B381" s="23"/>
      <c r="C381" s="24"/>
      <c r="D381" s="12"/>
      <c r="E381" s="25" t="str">
        <f aca="false">IF(OR(A381="",C381=""),"",C381*IFERROR(INDEX(Yemekler!$C$5:$C$64,MATCH(A381,Yemekler!$A$5:$A$64,0)),0))</f>
        <v/>
      </c>
    </row>
    <row r="382" customFormat="false" ht="15" hidden="false" customHeight="false" outlineLevel="0" collapsed="false">
      <c r="A382" s="23"/>
      <c r="B382" s="23"/>
      <c r="C382" s="24"/>
      <c r="D382" s="12"/>
      <c r="E382" s="25" t="str">
        <f aca="false">IF(OR(A382="",C382=""),"",C382*IFERROR(INDEX(Yemekler!$C$5:$C$64,MATCH(A382,Yemekler!$A$5:$A$64,0)),0))</f>
        <v/>
      </c>
    </row>
    <row r="383" customFormat="false" ht="15" hidden="false" customHeight="false" outlineLevel="0" collapsed="false">
      <c r="A383" s="23"/>
      <c r="B383" s="23"/>
      <c r="C383" s="24"/>
      <c r="D383" s="12"/>
      <c r="E383" s="25" t="str">
        <f aca="false">IF(OR(A383="",C383=""),"",C383*IFERROR(INDEX(Yemekler!$C$5:$C$64,MATCH(A383,Yemekler!$A$5:$A$64,0)),0))</f>
        <v/>
      </c>
    </row>
    <row r="384" customFormat="false" ht="15" hidden="false" customHeight="false" outlineLevel="0" collapsed="false">
      <c r="A384" s="23"/>
      <c r="B384" s="23"/>
      <c r="C384" s="24"/>
      <c r="D384" s="12"/>
      <c r="E384" s="25" t="str">
        <f aca="false">IF(OR(A384="",C384=""),"",C384*IFERROR(INDEX(Yemekler!$C$5:$C$64,MATCH(A384,Yemekler!$A$5:$A$64,0)),0))</f>
        <v/>
      </c>
    </row>
    <row r="385" customFormat="false" ht="15" hidden="false" customHeight="false" outlineLevel="0" collapsed="false">
      <c r="A385" s="23"/>
      <c r="B385" s="23"/>
      <c r="C385" s="24"/>
      <c r="D385" s="12"/>
      <c r="E385" s="25" t="str">
        <f aca="false">IF(OR(A385="",C385=""),"",C385*IFERROR(INDEX(Yemekler!$C$5:$C$64,MATCH(A385,Yemekler!$A$5:$A$64,0)),0))</f>
        <v/>
      </c>
    </row>
    <row r="386" customFormat="false" ht="15" hidden="false" customHeight="false" outlineLevel="0" collapsed="false">
      <c r="A386" s="23"/>
      <c r="B386" s="23"/>
      <c r="C386" s="24"/>
      <c r="D386" s="12"/>
      <c r="E386" s="25" t="str">
        <f aca="false">IF(OR(A386="",C386=""),"",C386*IFERROR(INDEX(Yemekler!$C$5:$C$64,MATCH(A386,Yemekler!$A$5:$A$64,0)),0))</f>
        <v/>
      </c>
    </row>
    <row r="387" customFormat="false" ht="15" hidden="false" customHeight="false" outlineLevel="0" collapsed="false">
      <c r="A387" s="23"/>
      <c r="B387" s="23"/>
      <c r="C387" s="24"/>
      <c r="D387" s="12"/>
      <c r="E387" s="25" t="str">
        <f aca="false">IF(OR(A387="",C387=""),"",C387*IFERROR(INDEX(Yemekler!$C$5:$C$64,MATCH(A387,Yemekler!$A$5:$A$64,0)),0))</f>
        <v/>
      </c>
    </row>
    <row r="388" customFormat="false" ht="15" hidden="false" customHeight="false" outlineLevel="0" collapsed="false">
      <c r="A388" s="23"/>
      <c r="B388" s="23"/>
      <c r="C388" s="24"/>
      <c r="D388" s="12"/>
      <c r="E388" s="25" t="str">
        <f aca="false">IF(OR(A388="",C388=""),"",C388*IFERROR(INDEX(Yemekler!$C$5:$C$64,MATCH(A388,Yemekler!$A$5:$A$64,0)),0))</f>
        <v/>
      </c>
    </row>
    <row r="389" customFormat="false" ht="15" hidden="false" customHeight="false" outlineLevel="0" collapsed="false">
      <c r="A389" s="23"/>
      <c r="B389" s="23"/>
      <c r="C389" s="24"/>
      <c r="D389" s="12"/>
      <c r="E389" s="25" t="str">
        <f aca="false">IF(OR(A389="",C389=""),"",C389*IFERROR(INDEX(Yemekler!$C$5:$C$64,MATCH(A389,Yemekler!$A$5:$A$64,0)),0))</f>
        <v/>
      </c>
    </row>
    <row r="390" customFormat="false" ht="15" hidden="false" customHeight="false" outlineLevel="0" collapsed="false">
      <c r="A390" s="23"/>
      <c r="B390" s="23"/>
      <c r="C390" s="24"/>
      <c r="D390" s="12"/>
      <c r="E390" s="25" t="str">
        <f aca="false">IF(OR(A390="",C390=""),"",C390*IFERROR(INDEX(Yemekler!$C$5:$C$64,MATCH(A390,Yemekler!$A$5:$A$64,0)),0))</f>
        <v/>
      </c>
    </row>
    <row r="391" customFormat="false" ht="15" hidden="false" customHeight="false" outlineLevel="0" collapsed="false">
      <c r="A391" s="23"/>
      <c r="B391" s="23"/>
      <c r="C391" s="24"/>
      <c r="D391" s="12"/>
      <c r="E391" s="25" t="str">
        <f aca="false">IF(OR(A391="",C391=""),"",C391*IFERROR(INDEX(Yemekler!$C$5:$C$64,MATCH(A391,Yemekler!$A$5:$A$64,0)),0))</f>
        <v/>
      </c>
    </row>
    <row r="392" customFormat="false" ht="15" hidden="false" customHeight="false" outlineLevel="0" collapsed="false">
      <c r="A392" s="23"/>
      <c r="B392" s="23"/>
      <c r="C392" s="24"/>
      <c r="D392" s="12"/>
      <c r="E392" s="25" t="str">
        <f aca="false">IF(OR(A392="",C392=""),"",C392*IFERROR(INDEX(Yemekler!$C$5:$C$64,MATCH(A392,Yemekler!$A$5:$A$64,0)),0))</f>
        <v/>
      </c>
    </row>
    <row r="393" customFormat="false" ht="15" hidden="false" customHeight="false" outlineLevel="0" collapsed="false">
      <c r="A393" s="23"/>
      <c r="B393" s="23"/>
      <c r="C393" s="24"/>
      <c r="D393" s="12"/>
      <c r="E393" s="25" t="str">
        <f aca="false">IF(OR(A393="",C393=""),"",C393*IFERROR(INDEX(Yemekler!$C$5:$C$64,MATCH(A393,Yemekler!$A$5:$A$64,0)),0))</f>
        <v/>
      </c>
    </row>
    <row r="394" customFormat="false" ht="15" hidden="false" customHeight="false" outlineLevel="0" collapsed="false">
      <c r="A394" s="23"/>
      <c r="B394" s="23"/>
      <c r="C394" s="24"/>
      <c r="D394" s="12"/>
      <c r="E394" s="25" t="str">
        <f aca="false">IF(OR(A394="",C394=""),"",C394*IFERROR(INDEX(Yemekler!$C$5:$C$64,MATCH(A394,Yemekler!$A$5:$A$64,0)),0))</f>
        <v/>
      </c>
    </row>
    <row r="395" customFormat="false" ht="15" hidden="false" customHeight="false" outlineLevel="0" collapsed="false">
      <c r="A395" s="23"/>
      <c r="B395" s="23"/>
      <c r="C395" s="24"/>
      <c r="D395" s="12"/>
      <c r="E395" s="25" t="str">
        <f aca="false">IF(OR(A395="",C395=""),"",C395*IFERROR(INDEX(Yemekler!$C$5:$C$64,MATCH(A395,Yemekler!$A$5:$A$64,0)),0))</f>
        <v/>
      </c>
    </row>
    <row r="396" customFormat="false" ht="15" hidden="false" customHeight="false" outlineLevel="0" collapsed="false">
      <c r="A396" s="23"/>
      <c r="B396" s="23"/>
      <c r="C396" s="24"/>
      <c r="D396" s="12"/>
      <c r="E396" s="25" t="str">
        <f aca="false">IF(OR(A396="",C396=""),"",C396*IFERROR(INDEX(Yemekler!$C$5:$C$64,MATCH(A396,Yemekler!$A$5:$A$64,0)),0))</f>
        <v/>
      </c>
    </row>
    <row r="397" customFormat="false" ht="15" hidden="false" customHeight="false" outlineLevel="0" collapsed="false">
      <c r="A397" s="23"/>
      <c r="B397" s="23"/>
      <c r="C397" s="24"/>
      <c r="D397" s="12"/>
      <c r="E397" s="25" t="str">
        <f aca="false">IF(OR(A397="",C397=""),"",C397*IFERROR(INDEX(Yemekler!$C$5:$C$64,MATCH(A397,Yemekler!$A$5:$A$64,0)),0))</f>
        <v/>
      </c>
    </row>
    <row r="398" customFormat="false" ht="15" hidden="false" customHeight="false" outlineLevel="0" collapsed="false">
      <c r="A398" s="23"/>
      <c r="B398" s="23"/>
      <c r="C398" s="24"/>
      <c r="D398" s="12"/>
      <c r="E398" s="25" t="str">
        <f aca="false">IF(OR(A398="",C398=""),"",C398*IFERROR(INDEX(Yemekler!$C$5:$C$64,MATCH(A398,Yemekler!$A$5:$A$64,0)),0))</f>
        <v/>
      </c>
    </row>
    <row r="399" customFormat="false" ht="15" hidden="false" customHeight="false" outlineLevel="0" collapsed="false">
      <c r="A399" s="23"/>
      <c r="B399" s="23"/>
      <c r="C399" s="24"/>
      <c r="D399" s="12"/>
      <c r="E399" s="25" t="str">
        <f aca="false">IF(OR(A399="",C399=""),"",C399*IFERROR(INDEX(Yemekler!$C$5:$C$64,MATCH(A399,Yemekler!$A$5:$A$64,0)),0))</f>
        <v/>
      </c>
    </row>
    <row r="400" customFormat="false" ht="15" hidden="false" customHeight="false" outlineLevel="0" collapsed="false">
      <c r="A400" s="23"/>
      <c r="B400" s="23"/>
      <c r="C400" s="24"/>
      <c r="D400" s="12"/>
      <c r="E400" s="25" t="str">
        <f aca="false">IF(OR(A400="",C400=""),"",C400*IFERROR(INDEX(Yemekler!$C$5:$C$64,MATCH(A400,Yemekler!$A$5:$A$64,0)),0))</f>
        <v/>
      </c>
    </row>
    <row r="401" customFormat="false" ht="15" hidden="false" customHeight="false" outlineLevel="0" collapsed="false">
      <c r="A401" s="23"/>
      <c r="B401" s="23"/>
      <c r="C401" s="24"/>
      <c r="D401" s="12"/>
      <c r="E401" s="25" t="str">
        <f aca="false">IF(OR(A401="",C401=""),"",C401*IFERROR(INDEX(Yemekler!$C$5:$C$64,MATCH(A401,Yemekler!$A$5:$A$64,0)),0))</f>
        <v/>
      </c>
    </row>
    <row r="402" customFormat="false" ht="15" hidden="false" customHeight="false" outlineLevel="0" collapsed="false">
      <c r="A402" s="23"/>
      <c r="B402" s="23"/>
      <c r="C402" s="24"/>
      <c r="D402" s="12"/>
      <c r="E402" s="25" t="str">
        <f aca="false">IF(OR(A402="",C402=""),"",C402*IFERROR(INDEX(Yemekler!$C$5:$C$64,MATCH(A402,Yemekler!$A$5:$A$64,0)),0))</f>
        <v/>
      </c>
    </row>
    <row r="403" customFormat="false" ht="15" hidden="false" customHeight="false" outlineLevel="0" collapsed="false">
      <c r="A403" s="23"/>
      <c r="B403" s="23"/>
      <c r="C403" s="24"/>
      <c r="D403" s="12"/>
      <c r="E403" s="25" t="str">
        <f aca="false">IF(OR(A403="",C403=""),"",C403*IFERROR(INDEX(Yemekler!$C$5:$C$64,MATCH(A403,Yemekler!$A$5:$A$64,0)),0))</f>
        <v/>
      </c>
    </row>
    <row r="404" customFormat="false" ht="15" hidden="false" customHeight="false" outlineLevel="0" collapsed="false">
      <c r="A404" s="23"/>
      <c r="B404" s="23"/>
      <c r="C404" s="24"/>
      <c r="D404" s="12"/>
      <c r="E404" s="25" t="str">
        <f aca="false">IF(OR(A404="",C404=""),"",C404*IFERROR(INDEX(Yemekler!$C$5:$C$64,MATCH(A404,Yemekler!$A$5:$A$64,0)),0))</f>
        <v/>
      </c>
    </row>
    <row r="405" customFormat="false" ht="15" hidden="false" customHeight="false" outlineLevel="0" collapsed="false">
      <c r="A405" s="23"/>
      <c r="B405" s="23"/>
      <c r="C405" s="24"/>
      <c r="D405" s="12"/>
      <c r="E405" s="25" t="str">
        <f aca="false">IF(OR(A405="",C405=""),"",C405*IFERROR(INDEX(Yemekler!$C$5:$C$64,MATCH(A405,Yemekler!$A$5:$A$64,0)),0))</f>
        <v/>
      </c>
    </row>
    <row r="406" customFormat="false" ht="15" hidden="false" customHeight="false" outlineLevel="0" collapsed="false">
      <c r="A406" s="23"/>
      <c r="B406" s="23"/>
      <c r="C406" s="24"/>
      <c r="D406" s="12"/>
      <c r="E406" s="25" t="str">
        <f aca="false">IF(OR(A406="",C406=""),"",C406*IFERROR(INDEX(Yemekler!$C$5:$C$64,MATCH(A406,Yemekler!$A$5:$A$64,0)),0))</f>
        <v/>
      </c>
    </row>
    <row r="407" customFormat="false" ht="15" hidden="false" customHeight="false" outlineLevel="0" collapsed="false">
      <c r="A407" s="23"/>
      <c r="B407" s="23"/>
      <c r="C407" s="24"/>
      <c r="D407" s="12"/>
      <c r="E407" s="25" t="str">
        <f aca="false">IF(OR(A407="",C407=""),"",C407*IFERROR(INDEX(Yemekler!$C$5:$C$64,MATCH(A407,Yemekler!$A$5:$A$64,0)),0))</f>
        <v/>
      </c>
    </row>
    <row r="408" customFormat="false" ht="15" hidden="false" customHeight="false" outlineLevel="0" collapsed="false">
      <c r="A408" s="23"/>
      <c r="B408" s="23"/>
      <c r="C408" s="24"/>
      <c r="D408" s="12"/>
      <c r="E408" s="25" t="str">
        <f aca="false">IF(OR(A408="",C408=""),"",C408*IFERROR(INDEX(Yemekler!$C$5:$C$64,MATCH(A408,Yemekler!$A$5:$A$64,0)),0))</f>
        <v/>
      </c>
    </row>
    <row r="409" customFormat="false" ht="15" hidden="false" customHeight="false" outlineLevel="0" collapsed="false">
      <c r="A409" s="23"/>
      <c r="B409" s="23"/>
      <c r="C409" s="24"/>
      <c r="D409" s="12"/>
      <c r="E409" s="25" t="str">
        <f aca="false">IF(OR(A409="",C409=""),"",C409*IFERROR(INDEX(Yemekler!$C$5:$C$64,MATCH(A409,Yemekler!$A$5:$A$64,0)),0))</f>
        <v/>
      </c>
    </row>
    <row r="410" customFormat="false" ht="15" hidden="false" customHeight="false" outlineLevel="0" collapsed="false">
      <c r="A410" s="23"/>
      <c r="B410" s="23"/>
      <c r="C410" s="24"/>
      <c r="D410" s="12"/>
      <c r="E410" s="25" t="str">
        <f aca="false">IF(OR(A410="",C410=""),"",C410*IFERROR(INDEX(Yemekler!$C$5:$C$64,MATCH(A410,Yemekler!$A$5:$A$64,0)),0))</f>
        <v/>
      </c>
    </row>
    <row r="411" customFormat="false" ht="15" hidden="false" customHeight="false" outlineLevel="0" collapsed="false">
      <c r="A411" s="23"/>
      <c r="B411" s="23"/>
      <c r="C411" s="24"/>
      <c r="D411" s="12"/>
      <c r="E411" s="25" t="str">
        <f aca="false">IF(OR(A411="",C411=""),"",C411*IFERROR(INDEX(Yemekler!$C$5:$C$64,MATCH(A411,Yemekler!$A$5:$A$64,0)),0))</f>
        <v/>
      </c>
    </row>
    <row r="412" customFormat="false" ht="15" hidden="false" customHeight="false" outlineLevel="0" collapsed="false">
      <c r="A412" s="23"/>
      <c r="B412" s="23"/>
      <c r="C412" s="24"/>
      <c r="D412" s="12"/>
      <c r="E412" s="25" t="str">
        <f aca="false">IF(OR(A412="",C412=""),"",C412*IFERROR(INDEX(Yemekler!$C$5:$C$64,MATCH(A412,Yemekler!$A$5:$A$64,0)),0))</f>
        <v/>
      </c>
    </row>
    <row r="413" customFormat="false" ht="15" hidden="false" customHeight="false" outlineLevel="0" collapsed="false">
      <c r="A413" s="23"/>
      <c r="B413" s="23"/>
      <c r="C413" s="24"/>
      <c r="D413" s="12"/>
      <c r="E413" s="25" t="str">
        <f aca="false">IF(OR(A413="",C413=""),"",C413*IFERROR(INDEX(Yemekler!$C$5:$C$64,MATCH(A413,Yemekler!$A$5:$A$64,0)),0))</f>
        <v/>
      </c>
    </row>
    <row r="414" customFormat="false" ht="15" hidden="false" customHeight="false" outlineLevel="0" collapsed="false">
      <c r="A414" s="23"/>
      <c r="B414" s="23"/>
      <c r="C414" s="24"/>
      <c r="D414" s="12"/>
      <c r="E414" s="25" t="str">
        <f aca="false">IF(OR(A414="",C414=""),"",C414*IFERROR(INDEX(Yemekler!$C$5:$C$64,MATCH(A414,Yemekler!$A$5:$A$64,0)),0))</f>
        <v/>
      </c>
    </row>
    <row r="415" customFormat="false" ht="15" hidden="false" customHeight="false" outlineLevel="0" collapsed="false">
      <c r="A415" s="23"/>
      <c r="B415" s="23"/>
      <c r="C415" s="24"/>
      <c r="D415" s="12"/>
      <c r="E415" s="25" t="str">
        <f aca="false">IF(OR(A415="",C415=""),"",C415*IFERROR(INDEX(Yemekler!$C$5:$C$64,MATCH(A415,Yemekler!$A$5:$A$64,0)),0))</f>
        <v/>
      </c>
    </row>
    <row r="416" customFormat="false" ht="15" hidden="false" customHeight="false" outlineLevel="0" collapsed="false">
      <c r="A416" s="23"/>
      <c r="B416" s="23"/>
      <c r="C416" s="24"/>
      <c r="D416" s="12"/>
      <c r="E416" s="25" t="str">
        <f aca="false">IF(OR(A416="",C416=""),"",C416*IFERROR(INDEX(Yemekler!$C$5:$C$64,MATCH(A416,Yemekler!$A$5:$A$64,0)),0))</f>
        <v/>
      </c>
    </row>
    <row r="417" customFormat="false" ht="15" hidden="false" customHeight="false" outlineLevel="0" collapsed="false">
      <c r="A417" s="23"/>
      <c r="B417" s="23"/>
      <c r="C417" s="24"/>
      <c r="D417" s="12"/>
      <c r="E417" s="25" t="str">
        <f aca="false">IF(OR(A417="",C417=""),"",C417*IFERROR(INDEX(Yemekler!$C$5:$C$64,MATCH(A417,Yemekler!$A$5:$A$64,0)),0))</f>
        <v/>
      </c>
    </row>
    <row r="418" customFormat="false" ht="15" hidden="false" customHeight="false" outlineLevel="0" collapsed="false">
      <c r="A418" s="23"/>
      <c r="B418" s="23"/>
      <c r="C418" s="24"/>
      <c r="D418" s="12"/>
      <c r="E418" s="25" t="str">
        <f aca="false">IF(OR(A418="",C418=""),"",C418*IFERROR(INDEX(Yemekler!$C$5:$C$64,MATCH(A418,Yemekler!$A$5:$A$64,0)),0))</f>
        <v/>
      </c>
    </row>
    <row r="419" customFormat="false" ht="15" hidden="false" customHeight="false" outlineLevel="0" collapsed="false">
      <c r="A419" s="23"/>
      <c r="B419" s="23"/>
      <c r="C419" s="24"/>
      <c r="D419" s="12"/>
      <c r="E419" s="25" t="str">
        <f aca="false">IF(OR(A419="",C419=""),"",C419*IFERROR(INDEX(Yemekler!$C$5:$C$64,MATCH(A419,Yemekler!$A$5:$A$64,0)),0))</f>
        <v/>
      </c>
    </row>
    <row r="420" customFormat="false" ht="15" hidden="false" customHeight="false" outlineLevel="0" collapsed="false">
      <c r="A420" s="23"/>
      <c r="B420" s="23"/>
      <c r="C420" s="24"/>
      <c r="D420" s="12"/>
      <c r="E420" s="25" t="str">
        <f aca="false">IF(OR(A420="",C420=""),"",C420*IFERROR(INDEX(Yemekler!$C$5:$C$64,MATCH(A420,Yemekler!$A$5:$A$64,0)),0))</f>
        <v/>
      </c>
    </row>
    <row r="421" customFormat="false" ht="15" hidden="false" customHeight="false" outlineLevel="0" collapsed="false">
      <c r="A421" s="23"/>
      <c r="B421" s="23"/>
      <c r="C421" s="24"/>
      <c r="D421" s="12"/>
      <c r="E421" s="25" t="str">
        <f aca="false">IF(OR(A421="",C421=""),"",C421*IFERROR(INDEX(Yemekler!$C$5:$C$64,MATCH(A421,Yemekler!$A$5:$A$64,0)),0))</f>
        <v/>
      </c>
    </row>
    <row r="422" customFormat="false" ht="15" hidden="false" customHeight="false" outlineLevel="0" collapsed="false">
      <c r="A422" s="23"/>
      <c r="B422" s="23"/>
      <c r="C422" s="24"/>
      <c r="D422" s="12"/>
      <c r="E422" s="25" t="str">
        <f aca="false">IF(OR(A422="",C422=""),"",C422*IFERROR(INDEX(Yemekler!$C$5:$C$64,MATCH(A422,Yemekler!$A$5:$A$64,0)),0))</f>
        <v/>
      </c>
    </row>
    <row r="423" customFormat="false" ht="15" hidden="false" customHeight="false" outlineLevel="0" collapsed="false">
      <c r="A423" s="23"/>
      <c r="B423" s="23"/>
      <c r="C423" s="24"/>
      <c r="D423" s="12"/>
      <c r="E423" s="25" t="str">
        <f aca="false">IF(OR(A423="",C423=""),"",C423*IFERROR(INDEX(Yemekler!$C$5:$C$64,MATCH(A423,Yemekler!$A$5:$A$64,0)),0))</f>
        <v/>
      </c>
    </row>
    <row r="424" customFormat="false" ht="15" hidden="false" customHeight="false" outlineLevel="0" collapsed="false">
      <c r="A424" s="23"/>
      <c r="B424" s="23"/>
      <c r="C424" s="24"/>
      <c r="D424" s="12"/>
      <c r="E424" s="25" t="str">
        <f aca="false">IF(OR(A424="",C424=""),"",C424*IFERROR(INDEX(Yemekler!$C$5:$C$64,MATCH(A424,Yemekler!$A$5:$A$64,0)),0))</f>
        <v/>
      </c>
    </row>
    <row r="425" customFormat="false" ht="15" hidden="false" customHeight="false" outlineLevel="0" collapsed="false">
      <c r="A425" s="23"/>
      <c r="B425" s="23"/>
      <c r="C425" s="24"/>
      <c r="D425" s="12"/>
      <c r="E425" s="25" t="str">
        <f aca="false">IF(OR(A425="",C425=""),"",C425*IFERROR(INDEX(Yemekler!$C$5:$C$64,MATCH(A425,Yemekler!$A$5:$A$64,0)),0))</f>
        <v/>
      </c>
    </row>
    <row r="426" customFormat="false" ht="15" hidden="false" customHeight="false" outlineLevel="0" collapsed="false">
      <c r="A426" s="23"/>
      <c r="B426" s="23"/>
      <c r="C426" s="24"/>
      <c r="D426" s="12"/>
      <c r="E426" s="25" t="str">
        <f aca="false">IF(OR(A426="",C426=""),"",C426*IFERROR(INDEX(Yemekler!$C$5:$C$64,MATCH(A426,Yemekler!$A$5:$A$64,0)),0))</f>
        <v/>
      </c>
    </row>
    <row r="427" customFormat="false" ht="15" hidden="false" customHeight="false" outlineLevel="0" collapsed="false">
      <c r="A427" s="23"/>
      <c r="B427" s="23"/>
      <c r="C427" s="24"/>
      <c r="D427" s="12"/>
      <c r="E427" s="25" t="str">
        <f aca="false">IF(OR(A427="",C427=""),"",C427*IFERROR(INDEX(Yemekler!$C$5:$C$64,MATCH(A427,Yemekler!$A$5:$A$64,0)),0))</f>
        <v/>
      </c>
    </row>
    <row r="428" customFormat="false" ht="15" hidden="false" customHeight="false" outlineLevel="0" collapsed="false">
      <c r="A428" s="23"/>
      <c r="B428" s="23"/>
      <c r="C428" s="24"/>
      <c r="D428" s="12"/>
      <c r="E428" s="25" t="str">
        <f aca="false">IF(OR(A428="",C428=""),"",C428*IFERROR(INDEX(Yemekler!$C$5:$C$64,MATCH(A428,Yemekler!$A$5:$A$64,0)),0))</f>
        <v/>
      </c>
    </row>
    <row r="429" customFormat="false" ht="15" hidden="false" customHeight="false" outlineLevel="0" collapsed="false">
      <c r="A429" s="23"/>
      <c r="B429" s="23"/>
      <c r="C429" s="24"/>
      <c r="D429" s="12"/>
      <c r="E429" s="25" t="str">
        <f aca="false">IF(OR(A429="",C429=""),"",C429*IFERROR(INDEX(Yemekler!$C$5:$C$64,MATCH(A429,Yemekler!$A$5:$A$64,0)),0))</f>
        <v/>
      </c>
    </row>
    <row r="430" customFormat="false" ht="15" hidden="false" customHeight="false" outlineLevel="0" collapsed="false">
      <c r="A430" s="23"/>
      <c r="B430" s="23"/>
      <c r="C430" s="24"/>
      <c r="D430" s="12"/>
      <c r="E430" s="25" t="str">
        <f aca="false">IF(OR(A430="",C430=""),"",C430*IFERROR(INDEX(Yemekler!$C$5:$C$64,MATCH(A430,Yemekler!$A$5:$A$64,0)),0))</f>
        <v/>
      </c>
    </row>
    <row r="431" customFormat="false" ht="15" hidden="false" customHeight="false" outlineLevel="0" collapsed="false">
      <c r="A431" s="23"/>
      <c r="B431" s="23"/>
      <c r="C431" s="24"/>
      <c r="D431" s="12"/>
      <c r="E431" s="25" t="str">
        <f aca="false">IF(OR(A431="",C431=""),"",C431*IFERROR(INDEX(Yemekler!$C$5:$C$64,MATCH(A431,Yemekler!$A$5:$A$64,0)),0))</f>
        <v/>
      </c>
    </row>
    <row r="432" customFormat="false" ht="15" hidden="false" customHeight="false" outlineLevel="0" collapsed="false">
      <c r="A432" s="23"/>
      <c r="B432" s="23"/>
      <c r="C432" s="24"/>
      <c r="D432" s="12"/>
      <c r="E432" s="25" t="str">
        <f aca="false">IF(OR(A432="",C432=""),"",C432*IFERROR(INDEX(Yemekler!$C$5:$C$64,MATCH(A432,Yemekler!$A$5:$A$64,0)),0))</f>
        <v/>
      </c>
    </row>
    <row r="433" customFormat="false" ht="15" hidden="false" customHeight="false" outlineLevel="0" collapsed="false">
      <c r="A433" s="23"/>
      <c r="B433" s="23"/>
      <c r="C433" s="24"/>
      <c r="D433" s="12"/>
      <c r="E433" s="25" t="str">
        <f aca="false">IF(OR(A433="",C433=""),"",C433*IFERROR(INDEX(Yemekler!$C$5:$C$64,MATCH(A433,Yemekler!$A$5:$A$64,0)),0))</f>
        <v/>
      </c>
    </row>
    <row r="434" customFormat="false" ht="15" hidden="false" customHeight="false" outlineLevel="0" collapsed="false">
      <c r="A434" s="23"/>
      <c r="B434" s="23"/>
      <c r="C434" s="24"/>
      <c r="D434" s="12"/>
      <c r="E434" s="25" t="str">
        <f aca="false">IF(OR(A434="",C434=""),"",C434*IFERROR(INDEX(Yemekler!$C$5:$C$64,MATCH(A434,Yemekler!$A$5:$A$64,0)),0))</f>
        <v/>
      </c>
    </row>
    <row r="435" customFormat="false" ht="15" hidden="false" customHeight="false" outlineLevel="0" collapsed="false">
      <c r="A435" s="23"/>
      <c r="B435" s="23"/>
      <c r="C435" s="24"/>
      <c r="D435" s="12"/>
      <c r="E435" s="25" t="str">
        <f aca="false">IF(OR(A435="",C435=""),"",C435*IFERROR(INDEX(Yemekler!$C$5:$C$64,MATCH(A435,Yemekler!$A$5:$A$64,0)),0))</f>
        <v/>
      </c>
    </row>
    <row r="436" customFormat="false" ht="15" hidden="false" customHeight="false" outlineLevel="0" collapsed="false">
      <c r="A436" s="23"/>
      <c r="B436" s="23"/>
      <c r="C436" s="24"/>
      <c r="D436" s="12"/>
      <c r="E436" s="25" t="str">
        <f aca="false">IF(OR(A436="",C436=""),"",C436*IFERROR(INDEX(Yemekler!$C$5:$C$64,MATCH(A436,Yemekler!$A$5:$A$64,0)),0))</f>
        <v/>
      </c>
    </row>
    <row r="437" customFormat="false" ht="15" hidden="false" customHeight="false" outlineLevel="0" collapsed="false">
      <c r="A437" s="23"/>
      <c r="B437" s="23"/>
      <c r="C437" s="24"/>
      <c r="D437" s="12"/>
      <c r="E437" s="25" t="str">
        <f aca="false">IF(OR(A437="",C437=""),"",C437*IFERROR(INDEX(Yemekler!$C$5:$C$64,MATCH(A437,Yemekler!$A$5:$A$64,0)),0))</f>
        <v/>
      </c>
    </row>
    <row r="438" customFormat="false" ht="15" hidden="false" customHeight="false" outlineLevel="0" collapsed="false">
      <c r="A438" s="23"/>
      <c r="B438" s="23"/>
      <c r="C438" s="24"/>
      <c r="D438" s="12"/>
      <c r="E438" s="25" t="str">
        <f aca="false">IF(OR(A438="",C438=""),"",C438*IFERROR(INDEX(Yemekler!$C$5:$C$64,MATCH(A438,Yemekler!$A$5:$A$64,0)),0))</f>
        <v/>
      </c>
    </row>
    <row r="439" customFormat="false" ht="15" hidden="false" customHeight="false" outlineLevel="0" collapsed="false">
      <c r="A439" s="23"/>
      <c r="B439" s="23"/>
      <c r="C439" s="24"/>
      <c r="D439" s="12"/>
      <c r="E439" s="25" t="str">
        <f aca="false">IF(OR(A439="",C439=""),"",C439*IFERROR(INDEX(Yemekler!$C$5:$C$64,MATCH(A439,Yemekler!$A$5:$A$64,0)),0))</f>
        <v/>
      </c>
    </row>
    <row r="440" customFormat="false" ht="15" hidden="false" customHeight="false" outlineLevel="0" collapsed="false">
      <c r="A440" s="23"/>
      <c r="B440" s="23"/>
      <c r="C440" s="24"/>
      <c r="D440" s="12"/>
      <c r="E440" s="25" t="str">
        <f aca="false">IF(OR(A440="",C440=""),"",C440*IFERROR(INDEX(Yemekler!$C$5:$C$64,MATCH(A440,Yemekler!$A$5:$A$64,0)),0))</f>
        <v/>
      </c>
    </row>
    <row r="441" customFormat="false" ht="15" hidden="false" customHeight="false" outlineLevel="0" collapsed="false">
      <c r="A441" s="23"/>
      <c r="B441" s="23"/>
      <c r="C441" s="24"/>
      <c r="D441" s="12"/>
      <c r="E441" s="25" t="str">
        <f aca="false">IF(OR(A441="",C441=""),"",C441*IFERROR(INDEX(Yemekler!$C$5:$C$64,MATCH(A441,Yemekler!$A$5:$A$64,0)),0))</f>
        <v/>
      </c>
    </row>
    <row r="442" customFormat="false" ht="15" hidden="false" customHeight="false" outlineLevel="0" collapsed="false">
      <c r="A442" s="23"/>
      <c r="B442" s="23"/>
      <c r="C442" s="24"/>
      <c r="D442" s="12"/>
      <c r="E442" s="25" t="str">
        <f aca="false">IF(OR(A442="",C442=""),"",C442*IFERROR(INDEX(Yemekler!$C$5:$C$64,MATCH(A442,Yemekler!$A$5:$A$64,0)),0))</f>
        <v/>
      </c>
    </row>
    <row r="443" customFormat="false" ht="15" hidden="false" customHeight="false" outlineLevel="0" collapsed="false">
      <c r="A443" s="23"/>
      <c r="B443" s="23"/>
      <c r="C443" s="24"/>
      <c r="D443" s="12"/>
      <c r="E443" s="25" t="str">
        <f aca="false">IF(OR(A443="",C443=""),"",C443*IFERROR(INDEX(Yemekler!$C$5:$C$64,MATCH(A443,Yemekler!$A$5:$A$64,0)),0))</f>
        <v/>
      </c>
    </row>
    <row r="444" customFormat="false" ht="15" hidden="false" customHeight="false" outlineLevel="0" collapsed="false">
      <c r="A444" s="23"/>
      <c r="B444" s="23"/>
      <c r="C444" s="24"/>
      <c r="D444" s="12"/>
      <c r="E444" s="25" t="str">
        <f aca="false">IF(OR(A444="",C444=""),"",C444*IFERROR(INDEX(Yemekler!$C$5:$C$64,MATCH(A444,Yemekler!$A$5:$A$64,0)),0))</f>
        <v/>
      </c>
    </row>
    <row r="445" customFormat="false" ht="15" hidden="false" customHeight="false" outlineLevel="0" collapsed="false">
      <c r="A445" s="23"/>
      <c r="B445" s="23"/>
      <c r="C445" s="24"/>
      <c r="D445" s="12"/>
      <c r="E445" s="25" t="str">
        <f aca="false">IF(OR(A445="",C445=""),"",C445*IFERROR(INDEX(Yemekler!$C$5:$C$64,MATCH(A445,Yemekler!$A$5:$A$64,0)),0))</f>
        <v/>
      </c>
    </row>
    <row r="446" customFormat="false" ht="15" hidden="false" customHeight="false" outlineLevel="0" collapsed="false">
      <c r="A446" s="23"/>
      <c r="B446" s="23"/>
      <c r="C446" s="24"/>
      <c r="D446" s="12"/>
      <c r="E446" s="25" t="str">
        <f aca="false">IF(OR(A446="",C446=""),"",C446*IFERROR(INDEX(Yemekler!$C$5:$C$64,MATCH(A446,Yemekler!$A$5:$A$64,0)),0))</f>
        <v/>
      </c>
    </row>
    <row r="447" customFormat="false" ht="15" hidden="false" customHeight="false" outlineLevel="0" collapsed="false">
      <c r="A447" s="23"/>
      <c r="B447" s="23"/>
      <c r="C447" s="24"/>
      <c r="D447" s="12"/>
      <c r="E447" s="25" t="str">
        <f aca="false">IF(OR(A447="",C447=""),"",C447*IFERROR(INDEX(Yemekler!$C$5:$C$64,MATCH(A447,Yemekler!$A$5:$A$64,0)),0))</f>
        <v/>
      </c>
    </row>
    <row r="448" customFormat="false" ht="15" hidden="false" customHeight="false" outlineLevel="0" collapsed="false">
      <c r="A448" s="23"/>
      <c r="B448" s="23"/>
      <c r="C448" s="24"/>
      <c r="D448" s="12"/>
      <c r="E448" s="25" t="str">
        <f aca="false">IF(OR(A448="",C448=""),"",C448*IFERROR(INDEX(Yemekler!$C$5:$C$64,MATCH(A448,Yemekler!$A$5:$A$64,0)),0))</f>
        <v/>
      </c>
    </row>
    <row r="449" customFormat="false" ht="15" hidden="false" customHeight="false" outlineLevel="0" collapsed="false">
      <c r="A449" s="23"/>
      <c r="B449" s="23"/>
      <c r="C449" s="24"/>
      <c r="D449" s="12"/>
      <c r="E449" s="25" t="str">
        <f aca="false">IF(OR(A449="",C449=""),"",C449*IFERROR(INDEX(Yemekler!$C$5:$C$64,MATCH(A449,Yemekler!$A$5:$A$64,0)),0))</f>
        <v/>
      </c>
    </row>
    <row r="450" customFormat="false" ht="15" hidden="false" customHeight="false" outlineLevel="0" collapsed="false">
      <c r="A450" s="23"/>
      <c r="B450" s="23"/>
      <c r="C450" s="24"/>
      <c r="D450" s="12"/>
      <c r="E450" s="25" t="str">
        <f aca="false">IF(OR(A450="",C450=""),"",C450*IFERROR(INDEX(Yemekler!$C$5:$C$64,MATCH(A450,Yemekler!$A$5:$A$64,0)),0))</f>
        <v/>
      </c>
    </row>
    <row r="451" customFormat="false" ht="15" hidden="false" customHeight="false" outlineLevel="0" collapsed="false">
      <c r="A451" s="23"/>
      <c r="B451" s="23"/>
      <c r="C451" s="24"/>
      <c r="D451" s="12"/>
      <c r="E451" s="25" t="str">
        <f aca="false">IF(OR(A451="",C451=""),"",C451*IFERROR(INDEX(Yemekler!$C$5:$C$64,MATCH(A451,Yemekler!$A$5:$A$64,0)),0))</f>
        <v/>
      </c>
    </row>
    <row r="452" customFormat="false" ht="15" hidden="false" customHeight="false" outlineLevel="0" collapsed="false">
      <c r="A452" s="23"/>
      <c r="B452" s="23"/>
      <c r="C452" s="24"/>
      <c r="D452" s="12"/>
      <c r="E452" s="25" t="str">
        <f aca="false">IF(OR(A452="",C452=""),"",C452*IFERROR(INDEX(Yemekler!$C$5:$C$64,MATCH(A452,Yemekler!$A$5:$A$64,0)),0))</f>
        <v/>
      </c>
    </row>
    <row r="453" customFormat="false" ht="15" hidden="false" customHeight="false" outlineLevel="0" collapsed="false">
      <c r="A453" s="23"/>
      <c r="B453" s="23"/>
      <c r="C453" s="24"/>
      <c r="D453" s="12"/>
      <c r="E453" s="25" t="str">
        <f aca="false">IF(OR(A453="",C453=""),"",C453*IFERROR(INDEX(Yemekler!$C$5:$C$64,MATCH(A453,Yemekler!$A$5:$A$64,0)),0))</f>
        <v/>
      </c>
    </row>
    <row r="454" customFormat="false" ht="15" hidden="false" customHeight="false" outlineLevel="0" collapsed="false">
      <c r="A454" s="23"/>
      <c r="B454" s="23"/>
      <c r="C454" s="24"/>
      <c r="D454" s="12"/>
      <c r="E454" s="25" t="str">
        <f aca="false">IF(OR(A454="",C454=""),"",C454*IFERROR(INDEX(Yemekler!$C$5:$C$64,MATCH(A454,Yemekler!$A$5:$A$64,0)),0))</f>
        <v/>
      </c>
    </row>
    <row r="455" customFormat="false" ht="15" hidden="false" customHeight="false" outlineLevel="0" collapsed="false">
      <c r="A455" s="23"/>
      <c r="B455" s="23"/>
      <c r="C455" s="24"/>
      <c r="D455" s="12"/>
      <c r="E455" s="25" t="str">
        <f aca="false">IF(OR(A455="",C455=""),"",C455*IFERROR(INDEX(Yemekler!$C$5:$C$64,MATCH(A455,Yemekler!$A$5:$A$64,0)),0))</f>
        <v/>
      </c>
    </row>
    <row r="456" customFormat="false" ht="15" hidden="false" customHeight="false" outlineLevel="0" collapsed="false">
      <c r="A456" s="23"/>
      <c r="B456" s="23"/>
      <c r="C456" s="24"/>
      <c r="D456" s="12"/>
      <c r="E456" s="25" t="str">
        <f aca="false">IF(OR(A456="",C456=""),"",C456*IFERROR(INDEX(Yemekler!$C$5:$C$64,MATCH(A456,Yemekler!$A$5:$A$64,0)),0))</f>
        <v/>
      </c>
    </row>
    <row r="457" customFormat="false" ht="15" hidden="false" customHeight="false" outlineLevel="0" collapsed="false">
      <c r="A457" s="23"/>
      <c r="B457" s="23"/>
      <c r="C457" s="24"/>
      <c r="D457" s="12"/>
      <c r="E457" s="25" t="str">
        <f aca="false">IF(OR(A457="",C457=""),"",C457*IFERROR(INDEX(Yemekler!$C$5:$C$64,MATCH(A457,Yemekler!$A$5:$A$64,0)),0))</f>
        <v/>
      </c>
    </row>
    <row r="458" customFormat="false" ht="15" hidden="false" customHeight="false" outlineLevel="0" collapsed="false">
      <c r="A458" s="23"/>
      <c r="B458" s="23"/>
      <c r="C458" s="24"/>
      <c r="D458" s="12"/>
      <c r="E458" s="25" t="str">
        <f aca="false">IF(OR(A458="",C458=""),"",C458*IFERROR(INDEX(Yemekler!$C$5:$C$64,MATCH(A458,Yemekler!$A$5:$A$64,0)),0))</f>
        <v/>
      </c>
    </row>
    <row r="459" customFormat="false" ht="15" hidden="false" customHeight="false" outlineLevel="0" collapsed="false">
      <c r="A459" s="23"/>
      <c r="B459" s="23"/>
      <c r="C459" s="24"/>
      <c r="D459" s="12"/>
      <c r="E459" s="25" t="str">
        <f aca="false">IF(OR(A459="",C459=""),"",C459*IFERROR(INDEX(Yemekler!$C$5:$C$64,MATCH(A459,Yemekler!$A$5:$A$64,0)),0))</f>
        <v/>
      </c>
    </row>
    <row r="460" customFormat="false" ht="15" hidden="false" customHeight="false" outlineLevel="0" collapsed="false">
      <c r="A460" s="23"/>
      <c r="B460" s="23"/>
      <c r="C460" s="24"/>
      <c r="D460" s="12"/>
      <c r="E460" s="25" t="str">
        <f aca="false">IF(OR(A460="",C460=""),"",C460*IFERROR(INDEX(Yemekler!$C$5:$C$64,MATCH(A460,Yemekler!$A$5:$A$64,0)),0))</f>
        <v/>
      </c>
    </row>
    <row r="461" customFormat="false" ht="15" hidden="false" customHeight="false" outlineLevel="0" collapsed="false">
      <c r="A461" s="23"/>
      <c r="B461" s="23"/>
      <c r="C461" s="24"/>
      <c r="D461" s="12"/>
      <c r="E461" s="25" t="str">
        <f aca="false">IF(OR(A461="",C461=""),"",C461*IFERROR(INDEX(Yemekler!$C$5:$C$64,MATCH(A461,Yemekler!$A$5:$A$64,0)),0))</f>
        <v/>
      </c>
    </row>
    <row r="462" customFormat="false" ht="15" hidden="false" customHeight="false" outlineLevel="0" collapsed="false">
      <c r="A462" s="23"/>
      <c r="B462" s="23"/>
      <c r="C462" s="24"/>
      <c r="D462" s="12"/>
      <c r="E462" s="25" t="str">
        <f aca="false">IF(OR(A462="",C462=""),"",C462*IFERROR(INDEX(Yemekler!$C$5:$C$64,MATCH(A462,Yemekler!$A$5:$A$64,0)),0))</f>
        <v/>
      </c>
    </row>
    <row r="463" customFormat="false" ht="15" hidden="false" customHeight="false" outlineLevel="0" collapsed="false">
      <c r="A463" s="23"/>
      <c r="B463" s="23"/>
      <c r="C463" s="24"/>
      <c r="D463" s="12"/>
      <c r="E463" s="25" t="str">
        <f aca="false">IF(OR(A463="",C463=""),"",C463*IFERROR(INDEX(Yemekler!$C$5:$C$64,MATCH(A463,Yemekler!$A$5:$A$64,0)),0))</f>
        <v/>
      </c>
    </row>
    <row r="464" customFormat="false" ht="15" hidden="false" customHeight="false" outlineLevel="0" collapsed="false">
      <c r="A464" s="23"/>
      <c r="B464" s="23"/>
      <c r="C464" s="24"/>
      <c r="D464" s="12"/>
      <c r="E464" s="25" t="str">
        <f aca="false">IF(OR(A464="",C464=""),"",C464*IFERROR(INDEX(Yemekler!$C$5:$C$64,MATCH(A464,Yemekler!$A$5:$A$64,0)),0))</f>
        <v/>
      </c>
    </row>
    <row r="465" customFormat="false" ht="15" hidden="false" customHeight="false" outlineLevel="0" collapsed="false">
      <c r="A465" s="23"/>
      <c r="B465" s="23"/>
      <c r="C465" s="24"/>
      <c r="D465" s="12"/>
      <c r="E465" s="25" t="str">
        <f aca="false">IF(OR(A465="",C465=""),"",C465*IFERROR(INDEX(Yemekler!$C$5:$C$64,MATCH(A465,Yemekler!$A$5:$A$64,0)),0))</f>
        <v/>
      </c>
    </row>
    <row r="466" customFormat="false" ht="15" hidden="false" customHeight="false" outlineLevel="0" collapsed="false">
      <c r="A466" s="23"/>
      <c r="B466" s="23"/>
      <c r="C466" s="24"/>
      <c r="D466" s="12"/>
      <c r="E466" s="25" t="str">
        <f aca="false">IF(OR(A466="",C466=""),"",C466*IFERROR(INDEX(Yemekler!$C$5:$C$64,MATCH(A466,Yemekler!$A$5:$A$64,0)),0))</f>
        <v/>
      </c>
    </row>
    <row r="467" customFormat="false" ht="15" hidden="false" customHeight="false" outlineLevel="0" collapsed="false">
      <c r="A467" s="23"/>
      <c r="B467" s="23"/>
      <c r="C467" s="24"/>
      <c r="D467" s="12"/>
      <c r="E467" s="25" t="str">
        <f aca="false">IF(OR(A467="",C467=""),"",C467*IFERROR(INDEX(Yemekler!$C$5:$C$64,MATCH(A467,Yemekler!$A$5:$A$64,0)),0))</f>
        <v/>
      </c>
    </row>
    <row r="468" customFormat="false" ht="15" hidden="false" customHeight="false" outlineLevel="0" collapsed="false">
      <c r="A468" s="23"/>
      <c r="B468" s="23"/>
      <c r="C468" s="24"/>
      <c r="D468" s="12"/>
      <c r="E468" s="25" t="str">
        <f aca="false">IF(OR(A468="",C468=""),"",C468*IFERROR(INDEX(Yemekler!$C$5:$C$64,MATCH(A468,Yemekler!$A$5:$A$64,0)),0))</f>
        <v/>
      </c>
    </row>
    <row r="469" customFormat="false" ht="15" hidden="false" customHeight="false" outlineLevel="0" collapsed="false">
      <c r="A469" s="23"/>
      <c r="B469" s="23"/>
      <c r="C469" s="24"/>
      <c r="D469" s="12"/>
      <c r="E469" s="25" t="str">
        <f aca="false">IF(OR(A469="",C469=""),"",C469*IFERROR(INDEX(Yemekler!$C$5:$C$64,MATCH(A469,Yemekler!$A$5:$A$64,0)),0))</f>
        <v/>
      </c>
    </row>
    <row r="470" customFormat="false" ht="15" hidden="false" customHeight="false" outlineLevel="0" collapsed="false">
      <c r="A470" s="23"/>
      <c r="B470" s="23"/>
      <c r="C470" s="24"/>
      <c r="D470" s="12"/>
      <c r="E470" s="25" t="str">
        <f aca="false">IF(OR(A470="",C470=""),"",C470*IFERROR(INDEX(Yemekler!$C$5:$C$64,MATCH(A470,Yemekler!$A$5:$A$64,0)),0))</f>
        <v/>
      </c>
    </row>
    <row r="471" customFormat="false" ht="15" hidden="false" customHeight="false" outlineLevel="0" collapsed="false">
      <c r="A471" s="23"/>
      <c r="B471" s="23"/>
      <c r="C471" s="24"/>
      <c r="D471" s="12"/>
      <c r="E471" s="25" t="str">
        <f aca="false">IF(OR(A471="",C471=""),"",C471*IFERROR(INDEX(Yemekler!$C$5:$C$64,MATCH(A471,Yemekler!$A$5:$A$64,0)),0))</f>
        <v/>
      </c>
    </row>
    <row r="472" customFormat="false" ht="15" hidden="false" customHeight="false" outlineLevel="0" collapsed="false">
      <c r="A472" s="23"/>
      <c r="B472" s="23"/>
      <c r="C472" s="24"/>
      <c r="D472" s="12"/>
      <c r="E472" s="25" t="str">
        <f aca="false">IF(OR(A472="",C472=""),"",C472*IFERROR(INDEX(Yemekler!$C$5:$C$64,MATCH(A472,Yemekler!$A$5:$A$64,0)),0))</f>
        <v/>
      </c>
    </row>
    <row r="473" customFormat="false" ht="15" hidden="false" customHeight="false" outlineLevel="0" collapsed="false">
      <c r="A473" s="23"/>
      <c r="B473" s="23"/>
      <c r="C473" s="24"/>
      <c r="D473" s="12"/>
      <c r="E473" s="25" t="str">
        <f aca="false">IF(OR(A473="",C473=""),"",C473*IFERROR(INDEX(Yemekler!$C$5:$C$64,MATCH(A473,Yemekler!$A$5:$A$64,0)),0))</f>
        <v/>
      </c>
    </row>
    <row r="474" customFormat="false" ht="15" hidden="false" customHeight="false" outlineLevel="0" collapsed="false">
      <c r="A474" s="23"/>
      <c r="B474" s="23"/>
      <c r="C474" s="24"/>
      <c r="D474" s="12"/>
      <c r="E474" s="25" t="str">
        <f aca="false">IF(OR(A474="",C474=""),"",C474*IFERROR(INDEX(Yemekler!$C$5:$C$64,MATCH(A474,Yemekler!$A$5:$A$64,0)),0))</f>
        <v/>
      </c>
    </row>
    <row r="475" customFormat="false" ht="15" hidden="false" customHeight="false" outlineLevel="0" collapsed="false">
      <c r="A475" s="23"/>
      <c r="B475" s="23"/>
      <c r="C475" s="24"/>
      <c r="D475" s="12"/>
      <c r="E475" s="25" t="str">
        <f aca="false">IF(OR(A475="",C475=""),"",C475*IFERROR(INDEX(Yemekler!$C$5:$C$64,MATCH(A475,Yemekler!$A$5:$A$64,0)),0))</f>
        <v/>
      </c>
    </row>
    <row r="476" customFormat="false" ht="15" hidden="false" customHeight="false" outlineLevel="0" collapsed="false">
      <c r="A476" s="23"/>
      <c r="B476" s="23"/>
      <c r="C476" s="24"/>
      <c r="D476" s="12"/>
      <c r="E476" s="25" t="str">
        <f aca="false">IF(OR(A476="",C476=""),"",C476*IFERROR(INDEX(Yemekler!$C$5:$C$64,MATCH(A476,Yemekler!$A$5:$A$64,0)),0))</f>
        <v/>
      </c>
    </row>
    <row r="477" customFormat="false" ht="15" hidden="false" customHeight="false" outlineLevel="0" collapsed="false">
      <c r="A477" s="23"/>
      <c r="B477" s="23"/>
      <c r="C477" s="24"/>
      <c r="D477" s="12"/>
      <c r="E477" s="25" t="str">
        <f aca="false">IF(OR(A477="",C477=""),"",C477*IFERROR(INDEX(Yemekler!$C$5:$C$64,MATCH(A477,Yemekler!$A$5:$A$64,0)),0))</f>
        <v/>
      </c>
    </row>
    <row r="478" customFormat="false" ht="15" hidden="false" customHeight="false" outlineLevel="0" collapsed="false">
      <c r="A478" s="23"/>
      <c r="B478" s="23"/>
      <c r="C478" s="24"/>
      <c r="D478" s="12"/>
      <c r="E478" s="25" t="str">
        <f aca="false">IF(OR(A478="",C478=""),"",C478*IFERROR(INDEX(Yemekler!$C$5:$C$64,MATCH(A478,Yemekler!$A$5:$A$64,0)),0))</f>
        <v/>
      </c>
    </row>
    <row r="479" customFormat="false" ht="15" hidden="false" customHeight="false" outlineLevel="0" collapsed="false">
      <c r="A479" s="23"/>
      <c r="B479" s="23"/>
      <c r="C479" s="24"/>
      <c r="D479" s="12"/>
      <c r="E479" s="25" t="str">
        <f aca="false">IF(OR(A479="",C479=""),"",C479*IFERROR(INDEX(Yemekler!$C$5:$C$64,MATCH(A479,Yemekler!$A$5:$A$64,0)),0))</f>
        <v/>
      </c>
    </row>
    <row r="480" customFormat="false" ht="15" hidden="false" customHeight="false" outlineLevel="0" collapsed="false">
      <c r="A480" s="23"/>
      <c r="B480" s="23"/>
      <c r="C480" s="24"/>
      <c r="D480" s="12"/>
      <c r="E480" s="25" t="str">
        <f aca="false">IF(OR(A480="",C480=""),"",C480*IFERROR(INDEX(Yemekler!$C$5:$C$64,MATCH(A480,Yemekler!$A$5:$A$64,0)),0))</f>
        <v/>
      </c>
    </row>
    <row r="481" customFormat="false" ht="15" hidden="false" customHeight="false" outlineLevel="0" collapsed="false">
      <c r="A481" s="23"/>
      <c r="B481" s="23"/>
      <c r="C481" s="24"/>
      <c r="D481" s="12"/>
      <c r="E481" s="25" t="str">
        <f aca="false">IF(OR(A481="",C481=""),"",C481*IFERROR(INDEX(Yemekler!$C$5:$C$64,MATCH(A481,Yemekler!$A$5:$A$64,0)),0))</f>
        <v/>
      </c>
    </row>
    <row r="482" customFormat="false" ht="15" hidden="false" customHeight="false" outlineLevel="0" collapsed="false">
      <c r="A482" s="23"/>
      <c r="B482" s="23"/>
      <c r="C482" s="24"/>
      <c r="D482" s="12"/>
      <c r="E482" s="25" t="str">
        <f aca="false">IF(OR(A482="",C482=""),"",C482*IFERROR(INDEX(Yemekler!$C$5:$C$64,MATCH(A482,Yemekler!$A$5:$A$64,0)),0))</f>
        <v/>
      </c>
    </row>
    <row r="483" customFormat="false" ht="15" hidden="false" customHeight="false" outlineLevel="0" collapsed="false">
      <c r="A483" s="23"/>
      <c r="B483" s="23"/>
      <c r="C483" s="24"/>
      <c r="D483" s="12"/>
      <c r="E483" s="25" t="str">
        <f aca="false">IF(OR(A483="",C483=""),"",C483*IFERROR(INDEX(Yemekler!$C$5:$C$64,MATCH(A483,Yemekler!$A$5:$A$64,0)),0))</f>
        <v/>
      </c>
    </row>
    <row r="484" customFormat="false" ht="15" hidden="false" customHeight="false" outlineLevel="0" collapsed="false">
      <c r="A484" s="23"/>
      <c r="B484" s="23"/>
      <c r="C484" s="24"/>
      <c r="D484" s="12"/>
      <c r="E484" s="25" t="str">
        <f aca="false">IF(OR(A484="",C484=""),"",C484*IFERROR(INDEX(Yemekler!$C$5:$C$64,MATCH(A484,Yemekler!$A$5:$A$64,0)),0))</f>
        <v/>
      </c>
    </row>
    <row r="485" customFormat="false" ht="15" hidden="false" customHeight="false" outlineLevel="0" collapsed="false">
      <c r="A485" s="23"/>
      <c r="B485" s="23"/>
      <c r="C485" s="24"/>
      <c r="D485" s="12"/>
      <c r="E485" s="25" t="str">
        <f aca="false">IF(OR(A485="",C485=""),"",C485*IFERROR(INDEX(Yemekler!$C$5:$C$64,MATCH(A485,Yemekler!$A$5:$A$64,0)),0))</f>
        <v/>
      </c>
    </row>
    <row r="486" customFormat="false" ht="15" hidden="false" customHeight="false" outlineLevel="0" collapsed="false">
      <c r="A486" s="23"/>
      <c r="B486" s="23"/>
      <c r="C486" s="24"/>
      <c r="D486" s="12"/>
      <c r="E486" s="25" t="str">
        <f aca="false">IF(OR(A486="",C486=""),"",C486*IFERROR(INDEX(Yemekler!$C$5:$C$64,MATCH(A486,Yemekler!$A$5:$A$64,0)),0))</f>
        <v/>
      </c>
    </row>
    <row r="487" customFormat="false" ht="15" hidden="false" customHeight="false" outlineLevel="0" collapsed="false">
      <c r="A487" s="23"/>
      <c r="B487" s="23"/>
      <c r="C487" s="24"/>
      <c r="D487" s="12"/>
      <c r="E487" s="25" t="str">
        <f aca="false">IF(OR(A487="",C487=""),"",C487*IFERROR(INDEX(Yemekler!$C$5:$C$64,MATCH(A487,Yemekler!$A$5:$A$64,0)),0))</f>
        <v/>
      </c>
    </row>
    <row r="488" customFormat="false" ht="15" hidden="false" customHeight="false" outlineLevel="0" collapsed="false">
      <c r="A488" s="23"/>
      <c r="B488" s="23"/>
      <c r="C488" s="24"/>
      <c r="D488" s="12"/>
      <c r="E488" s="25" t="str">
        <f aca="false">IF(OR(A488="",C488=""),"",C488*IFERROR(INDEX(Yemekler!$C$5:$C$64,MATCH(A488,Yemekler!$A$5:$A$64,0)),0))</f>
        <v/>
      </c>
    </row>
    <row r="489" customFormat="false" ht="15" hidden="false" customHeight="false" outlineLevel="0" collapsed="false">
      <c r="A489" s="23"/>
      <c r="B489" s="23"/>
      <c r="C489" s="24"/>
      <c r="D489" s="12"/>
      <c r="E489" s="25" t="str">
        <f aca="false">IF(OR(A489="",C489=""),"",C489*IFERROR(INDEX(Yemekler!$C$5:$C$64,MATCH(A489,Yemekler!$A$5:$A$64,0)),0))</f>
        <v/>
      </c>
    </row>
    <row r="490" customFormat="false" ht="15" hidden="false" customHeight="false" outlineLevel="0" collapsed="false">
      <c r="A490" s="23"/>
      <c r="B490" s="23"/>
      <c r="C490" s="24"/>
      <c r="D490" s="12"/>
      <c r="E490" s="25" t="str">
        <f aca="false">IF(OR(A490="",C490=""),"",C490*IFERROR(INDEX(Yemekler!$C$5:$C$64,MATCH(A490,Yemekler!$A$5:$A$64,0)),0))</f>
        <v/>
      </c>
    </row>
    <row r="491" customFormat="false" ht="15" hidden="false" customHeight="false" outlineLevel="0" collapsed="false">
      <c r="A491" s="23"/>
      <c r="B491" s="23"/>
      <c r="C491" s="24"/>
      <c r="D491" s="12"/>
      <c r="E491" s="25" t="str">
        <f aca="false">IF(OR(A491="",C491=""),"",C491*IFERROR(INDEX(Yemekler!$C$5:$C$64,MATCH(A491,Yemekler!$A$5:$A$64,0)),0))</f>
        <v/>
      </c>
    </row>
    <row r="492" customFormat="false" ht="15" hidden="false" customHeight="false" outlineLevel="0" collapsed="false">
      <c r="A492" s="23"/>
      <c r="B492" s="23"/>
      <c r="C492" s="24"/>
      <c r="D492" s="12"/>
      <c r="E492" s="25" t="str">
        <f aca="false">IF(OR(A492="",C492=""),"",C492*IFERROR(INDEX(Yemekler!$C$5:$C$64,MATCH(A492,Yemekler!$A$5:$A$64,0)),0))</f>
        <v/>
      </c>
    </row>
    <row r="493" customFormat="false" ht="15" hidden="false" customHeight="false" outlineLevel="0" collapsed="false">
      <c r="A493" s="23"/>
      <c r="B493" s="23"/>
      <c r="C493" s="24"/>
      <c r="D493" s="12"/>
      <c r="E493" s="25" t="str">
        <f aca="false">IF(OR(A493="",C493=""),"",C493*IFERROR(INDEX(Yemekler!$C$5:$C$64,MATCH(A493,Yemekler!$A$5:$A$64,0)),0))</f>
        <v/>
      </c>
    </row>
    <row r="494" customFormat="false" ht="15" hidden="false" customHeight="false" outlineLevel="0" collapsed="false">
      <c r="A494" s="23"/>
      <c r="B494" s="23"/>
      <c r="C494" s="24"/>
      <c r="D494" s="12"/>
      <c r="E494" s="25" t="str">
        <f aca="false">IF(OR(A494="",C494=""),"",C494*IFERROR(INDEX(Yemekler!$C$5:$C$64,MATCH(A494,Yemekler!$A$5:$A$64,0)),0))</f>
        <v/>
      </c>
    </row>
    <row r="495" customFormat="false" ht="15" hidden="false" customHeight="false" outlineLevel="0" collapsed="false">
      <c r="A495" s="23"/>
      <c r="B495" s="23"/>
      <c r="C495" s="24"/>
      <c r="D495" s="12"/>
      <c r="E495" s="25" t="str">
        <f aca="false">IF(OR(A495="",C495=""),"",C495*IFERROR(INDEX(Yemekler!$C$5:$C$64,MATCH(A495,Yemekler!$A$5:$A$64,0)),0))</f>
        <v/>
      </c>
    </row>
    <row r="496" customFormat="false" ht="15" hidden="false" customHeight="false" outlineLevel="0" collapsed="false">
      <c r="A496" s="23"/>
      <c r="B496" s="23"/>
      <c r="C496" s="24"/>
      <c r="D496" s="12"/>
      <c r="E496" s="25" t="str">
        <f aca="false">IF(OR(A496="",C496=""),"",C496*IFERROR(INDEX(Yemekler!$C$5:$C$64,MATCH(A496,Yemekler!$A$5:$A$64,0)),0))</f>
        <v/>
      </c>
    </row>
    <row r="497" customFormat="false" ht="15" hidden="false" customHeight="false" outlineLevel="0" collapsed="false">
      <c r="A497" s="23"/>
      <c r="B497" s="23"/>
      <c r="C497" s="24"/>
      <c r="D497" s="12"/>
      <c r="E497" s="25" t="str">
        <f aca="false">IF(OR(A497="",C497=""),"",C497*IFERROR(INDEX(Yemekler!$C$5:$C$64,MATCH(A497,Yemekler!$A$5:$A$64,0)),0))</f>
        <v/>
      </c>
    </row>
    <row r="498" customFormat="false" ht="15" hidden="false" customHeight="false" outlineLevel="0" collapsed="false">
      <c r="A498" s="23"/>
      <c r="B498" s="23"/>
      <c r="C498" s="24"/>
      <c r="D498" s="12"/>
      <c r="E498" s="25" t="str">
        <f aca="false">IF(OR(A498="",C498=""),"",C498*IFERROR(INDEX(Yemekler!$C$5:$C$64,MATCH(A498,Yemekler!$A$5:$A$64,0)),0))</f>
        <v/>
      </c>
    </row>
    <row r="499" customFormat="false" ht="15" hidden="false" customHeight="false" outlineLevel="0" collapsed="false">
      <c r="A499" s="23"/>
      <c r="B499" s="23"/>
      <c r="C499" s="24"/>
      <c r="D499" s="12"/>
      <c r="E499" s="25" t="str">
        <f aca="false">IF(OR(A499="",C499=""),"",C499*IFERROR(INDEX(Yemekler!$C$5:$C$64,MATCH(A499,Yemekler!$A$5:$A$64,0)),0))</f>
        <v/>
      </c>
    </row>
    <row r="500" customFormat="false" ht="15" hidden="false" customHeight="false" outlineLevel="0" collapsed="false">
      <c r="A500" s="23"/>
      <c r="B500" s="23"/>
      <c r="C500" s="24"/>
      <c r="D500" s="12"/>
      <c r="E500" s="25" t="str">
        <f aca="false">IF(OR(A500="",C500=""),"",C500*IFERROR(INDEX(Yemekler!$C$5:$C$64,MATCH(A500,Yemekler!$A$5:$A$64,0)),0))</f>
        <v/>
      </c>
    </row>
    <row r="501" customFormat="false" ht="15" hidden="false" customHeight="false" outlineLevel="0" collapsed="false">
      <c r="A501" s="23"/>
      <c r="B501" s="23"/>
      <c r="C501" s="24"/>
      <c r="D501" s="12"/>
      <c r="E501" s="25" t="str">
        <f aca="false">IF(OR(A501="",C501=""),"",C501*IFERROR(INDEX(Yemekler!$C$5:$C$64,MATCH(A501,Yemekler!$A$5:$A$64,0)),0))</f>
        <v/>
      </c>
    </row>
    <row r="502" customFormat="false" ht="15" hidden="false" customHeight="false" outlineLevel="0" collapsed="false">
      <c r="A502" s="23"/>
      <c r="B502" s="23"/>
      <c r="C502" s="24"/>
      <c r="D502" s="12"/>
      <c r="E502" s="25" t="str">
        <f aca="false">IF(OR(A502="",C502=""),"",C502*IFERROR(INDEX(Yemekler!$C$5:$C$64,MATCH(A502,Yemekler!$A$5:$A$64,0)),0))</f>
        <v/>
      </c>
    </row>
    <row r="503" customFormat="false" ht="15" hidden="false" customHeight="false" outlineLevel="0" collapsed="false">
      <c r="A503" s="23"/>
      <c r="B503" s="23"/>
      <c r="C503" s="24"/>
      <c r="D503" s="12"/>
      <c r="E503" s="25" t="str">
        <f aca="false">IF(OR(A503="",C503=""),"",C503*IFERROR(INDEX(Yemekler!$C$5:$C$64,MATCH(A503,Yemekler!$A$5:$A$64,0)),0))</f>
        <v/>
      </c>
    </row>
    <row r="504" customFormat="false" ht="15" hidden="false" customHeight="false" outlineLevel="0" collapsed="false">
      <c r="A504" s="23"/>
      <c r="B504" s="23"/>
      <c r="C504" s="24"/>
      <c r="D504" s="12"/>
      <c r="E504" s="25" t="str">
        <f aca="false">IF(OR(A504="",C504=""),"",C504*IFERROR(INDEX(Yemekler!$C$5:$C$64,MATCH(A504,Yemekler!$A$5:$A$64,0)),0))</f>
        <v/>
      </c>
    </row>
    <row r="505" customFormat="false" ht="15" hidden="false" customHeight="false" outlineLevel="0" collapsed="false">
      <c r="A505" s="23"/>
      <c r="B505" s="23"/>
      <c r="C505" s="24"/>
      <c r="D505" s="12"/>
      <c r="E505" s="25" t="str">
        <f aca="false">IF(OR(A505="",C505=""),"",C505*IFERROR(INDEX(Yemekler!$C$5:$C$64,MATCH(A505,Yemekler!$A$5:$A$64,0)),0))</f>
        <v/>
      </c>
    </row>
    <row r="506" customFormat="false" ht="15" hidden="false" customHeight="false" outlineLevel="0" collapsed="false">
      <c r="A506" s="23"/>
      <c r="B506" s="23"/>
      <c r="C506" s="24"/>
      <c r="D506" s="12"/>
      <c r="E506" s="25" t="str">
        <f aca="false">IF(OR(A506="",C506=""),"",C506*IFERROR(INDEX(Yemekler!$C$5:$C$64,MATCH(A506,Yemekler!$A$5:$A$64,0)),0))</f>
        <v/>
      </c>
    </row>
    <row r="507" customFormat="false" ht="15" hidden="false" customHeight="false" outlineLevel="0" collapsed="false">
      <c r="A507" s="23"/>
      <c r="B507" s="23"/>
      <c r="C507" s="24"/>
      <c r="D507" s="12"/>
      <c r="E507" s="25" t="str">
        <f aca="false">IF(OR(A507="",C507=""),"",C507*IFERROR(INDEX(Yemekler!$C$5:$C$64,MATCH(A507,Yemekler!$A$5:$A$64,0)),0))</f>
        <v/>
      </c>
    </row>
    <row r="508" customFormat="false" ht="15" hidden="false" customHeight="false" outlineLevel="0" collapsed="false">
      <c r="A508" s="23"/>
      <c r="B508" s="23"/>
      <c r="C508" s="24"/>
      <c r="D508" s="12"/>
      <c r="E508" s="25" t="str">
        <f aca="false">IF(OR(A508="",C508=""),"",C508*IFERROR(INDEX(Yemekler!$C$5:$C$64,MATCH(A508,Yemekler!$A$5:$A$64,0)),0))</f>
        <v/>
      </c>
    </row>
    <row r="509" customFormat="false" ht="15" hidden="false" customHeight="false" outlineLevel="0" collapsed="false">
      <c r="A509" s="23"/>
      <c r="B509" s="23"/>
      <c r="C509" s="24"/>
      <c r="D509" s="12"/>
      <c r="E509" s="25" t="str">
        <f aca="false">IF(OR(A509="",C509=""),"",C509*IFERROR(INDEX(Yemekler!$C$5:$C$64,MATCH(A509,Yemekler!$A$5:$A$64,0)),0))</f>
        <v/>
      </c>
    </row>
    <row r="510" customFormat="false" ht="15" hidden="false" customHeight="false" outlineLevel="0" collapsed="false">
      <c r="A510" s="23"/>
      <c r="B510" s="23"/>
      <c r="C510" s="24"/>
      <c r="D510" s="12"/>
      <c r="E510" s="25" t="str">
        <f aca="false">IF(OR(A510="",C510=""),"",C510*IFERROR(INDEX(Yemekler!$C$5:$C$64,MATCH(A510,Yemekler!$A$5:$A$64,0)),0))</f>
        <v/>
      </c>
    </row>
    <row r="511" customFormat="false" ht="15" hidden="false" customHeight="false" outlineLevel="0" collapsed="false">
      <c r="A511" s="23"/>
      <c r="B511" s="23"/>
      <c r="C511" s="24"/>
      <c r="D511" s="12"/>
      <c r="E511" s="25" t="str">
        <f aca="false">IF(OR(A511="",C511=""),"",C511*IFERROR(INDEX(Yemekler!$C$5:$C$64,MATCH(A511,Yemekler!$A$5:$A$64,0)),0))</f>
        <v/>
      </c>
    </row>
    <row r="512" customFormat="false" ht="15" hidden="false" customHeight="false" outlineLevel="0" collapsed="false">
      <c r="A512" s="23"/>
      <c r="B512" s="23"/>
      <c r="C512" s="24"/>
      <c r="D512" s="12"/>
      <c r="E512" s="25" t="str">
        <f aca="false">IF(OR(A512="",C512=""),"",C512*IFERROR(INDEX(Yemekler!$C$5:$C$64,MATCH(A512,Yemekler!$A$5:$A$64,0)),0))</f>
        <v/>
      </c>
    </row>
    <row r="513" customFormat="false" ht="15" hidden="false" customHeight="false" outlineLevel="0" collapsed="false">
      <c r="A513" s="23"/>
      <c r="B513" s="23"/>
      <c r="C513" s="24"/>
      <c r="D513" s="12"/>
      <c r="E513" s="25" t="str">
        <f aca="false">IF(OR(A513="",C513=""),"",C513*IFERROR(INDEX(Yemekler!$C$5:$C$64,MATCH(A513,Yemekler!$A$5:$A$64,0)),0))</f>
        <v/>
      </c>
    </row>
    <row r="514" customFormat="false" ht="15" hidden="false" customHeight="false" outlineLevel="0" collapsed="false">
      <c r="A514" s="23"/>
      <c r="B514" s="23"/>
      <c r="C514" s="24"/>
      <c r="D514" s="12"/>
      <c r="E514" s="25" t="str">
        <f aca="false">IF(OR(A514="",C514=""),"",C514*IFERROR(INDEX(Yemekler!$C$5:$C$64,MATCH(A514,Yemekler!$A$5:$A$64,0)),0))</f>
        <v/>
      </c>
    </row>
    <row r="515" customFormat="false" ht="15" hidden="false" customHeight="false" outlineLevel="0" collapsed="false">
      <c r="A515" s="23"/>
      <c r="B515" s="23"/>
      <c r="C515" s="24"/>
      <c r="D515" s="12"/>
      <c r="E515" s="25" t="str">
        <f aca="false">IF(OR(A515="",C515=""),"",C515*IFERROR(INDEX(Yemekler!$C$5:$C$64,MATCH(A515,Yemekler!$A$5:$A$64,0)),0))</f>
        <v/>
      </c>
    </row>
    <row r="516" customFormat="false" ht="15" hidden="false" customHeight="false" outlineLevel="0" collapsed="false">
      <c r="A516" s="23"/>
      <c r="B516" s="23"/>
      <c r="C516" s="24"/>
      <c r="D516" s="12"/>
      <c r="E516" s="25" t="str">
        <f aca="false">IF(OR(A516="",C516=""),"",C516*IFERROR(INDEX(Yemekler!$C$5:$C$64,MATCH(A516,Yemekler!$A$5:$A$64,0)),0))</f>
        <v/>
      </c>
    </row>
    <row r="517" customFormat="false" ht="15" hidden="false" customHeight="false" outlineLevel="0" collapsed="false">
      <c r="A517" s="23"/>
      <c r="B517" s="23"/>
      <c r="C517" s="24"/>
      <c r="D517" s="12"/>
      <c r="E517" s="25" t="str">
        <f aca="false">IF(OR(A517="",C517=""),"",C517*IFERROR(INDEX(Yemekler!$C$5:$C$64,MATCH(A517,Yemekler!$A$5:$A$64,0)),0))</f>
        <v/>
      </c>
    </row>
    <row r="518" customFormat="false" ht="15" hidden="false" customHeight="false" outlineLevel="0" collapsed="false">
      <c r="A518" s="23"/>
      <c r="B518" s="23"/>
      <c r="C518" s="24"/>
      <c r="D518" s="12"/>
      <c r="E518" s="25" t="str">
        <f aca="false">IF(OR(A518="",C518=""),"",C518*IFERROR(INDEX(Yemekler!$C$5:$C$64,MATCH(A518,Yemekler!$A$5:$A$64,0)),0))</f>
        <v/>
      </c>
    </row>
    <row r="519" customFormat="false" ht="15" hidden="false" customHeight="false" outlineLevel="0" collapsed="false">
      <c r="A519" s="23"/>
      <c r="B519" s="23"/>
      <c r="C519" s="24"/>
      <c r="D519" s="12"/>
      <c r="E519" s="25" t="str">
        <f aca="false">IF(OR(A519="",C519=""),"",C519*IFERROR(INDEX(Yemekler!$C$5:$C$64,MATCH(A519,Yemekler!$A$5:$A$64,0)),0))</f>
        <v/>
      </c>
    </row>
    <row r="520" customFormat="false" ht="15" hidden="false" customHeight="false" outlineLevel="0" collapsed="false">
      <c r="A520" s="23"/>
      <c r="B520" s="23"/>
      <c r="C520" s="24"/>
      <c r="D520" s="12"/>
      <c r="E520" s="25" t="str">
        <f aca="false">IF(OR(A520="",C520=""),"",C520*IFERROR(INDEX(Yemekler!$C$5:$C$64,MATCH(A520,Yemekler!$A$5:$A$64,0)),0))</f>
        <v/>
      </c>
    </row>
    <row r="521" customFormat="false" ht="15" hidden="false" customHeight="false" outlineLevel="0" collapsed="false">
      <c r="A521" s="23"/>
      <c r="B521" s="23"/>
      <c r="C521" s="24"/>
      <c r="D521" s="12"/>
      <c r="E521" s="25" t="str">
        <f aca="false">IF(OR(A521="",C521=""),"",C521*IFERROR(INDEX(Yemekler!$C$5:$C$64,MATCH(A521,Yemekler!$A$5:$A$64,0)),0))</f>
        <v/>
      </c>
    </row>
    <row r="522" customFormat="false" ht="15" hidden="false" customHeight="false" outlineLevel="0" collapsed="false">
      <c r="A522" s="23"/>
      <c r="B522" s="23"/>
      <c r="C522" s="24"/>
      <c r="D522" s="12"/>
      <c r="E522" s="25" t="str">
        <f aca="false">IF(OR(A522="",C522=""),"",C522*IFERROR(INDEX(Yemekler!$C$5:$C$64,MATCH(A522,Yemekler!$A$5:$A$64,0)),0))</f>
        <v/>
      </c>
    </row>
    <row r="523" customFormat="false" ht="15" hidden="false" customHeight="false" outlineLevel="0" collapsed="false">
      <c r="A523" s="23"/>
      <c r="B523" s="23"/>
      <c r="C523" s="24"/>
      <c r="D523" s="12"/>
      <c r="E523" s="25" t="str">
        <f aca="false">IF(OR(A523="",C523=""),"",C523*IFERROR(INDEX(Yemekler!$C$5:$C$64,MATCH(A523,Yemekler!$A$5:$A$64,0)),0))</f>
        <v/>
      </c>
    </row>
    <row r="524" customFormat="false" ht="15" hidden="false" customHeight="false" outlineLevel="0" collapsed="false">
      <c r="A524" s="23"/>
      <c r="B524" s="23"/>
      <c r="C524" s="24"/>
      <c r="D524" s="12"/>
      <c r="E524" s="25" t="str">
        <f aca="false">IF(OR(A524="",C524=""),"",C524*IFERROR(INDEX(Yemekler!$C$5:$C$64,MATCH(A524,Yemekler!$A$5:$A$64,0)),0))</f>
        <v/>
      </c>
    </row>
    <row r="525" customFormat="false" ht="15" hidden="false" customHeight="false" outlineLevel="0" collapsed="false">
      <c r="A525" s="23"/>
      <c r="B525" s="23"/>
      <c r="C525" s="24"/>
      <c r="D525" s="12"/>
      <c r="E525" s="25" t="str">
        <f aca="false">IF(OR(A525="",C525=""),"",C525*IFERROR(INDEX(Yemekler!$C$5:$C$64,MATCH(A525,Yemekler!$A$5:$A$64,0)),0))</f>
        <v/>
      </c>
    </row>
    <row r="526" customFormat="false" ht="15" hidden="false" customHeight="false" outlineLevel="0" collapsed="false">
      <c r="A526" s="23"/>
      <c r="B526" s="23"/>
      <c r="C526" s="24"/>
      <c r="D526" s="12"/>
      <c r="E526" s="25" t="str">
        <f aca="false">IF(OR(A526="",C526=""),"",C526*IFERROR(INDEX(Yemekler!$C$5:$C$64,MATCH(A526,Yemekler!$A$5:$A$64,0)),0))</f>
        <v/>
      </c>
    </row>
    <row r="527" customFormat="false" ht="15" hidden="false" customHeight="false" outlineLevel="0" collapsed="false">
      <c r="A527" s="23"/>
      <c r="B527" s="23"/>
      <c r="C527" s="24"/>
      <c r="D527" s="12"/>
      <c r="E527" s="25" t="str">
        <f aca="false">IF(OR(A527="",C527=""),"",C527*IFERROR(INDEX(Yemekler!$C$5:$C$64,MATCH(A527,Yemekler!$A$5:$A$64,0)),0))</f>
        <v/>
      </c>
    </row>
    <row r="528" customFormat="false" ht="15" hidden="false" customHeight="false" outlineLevel="0" collapsed="false">
      <c r="A528" s="23"/>
      <c r="B528" s="23"/>
      <c r="C528" s="24"/>
      <c r="D528" s="12"/>
      <c r="E528" s="25" t="str">
        <f aca="false">IF(OR(A528="",C528=""),"",C528*IFERROR(INDEX(Yemekler!$C$5:$C$64,MATCH(A528,Yemekler!$A$5:$A$64,0)),0))</f>
        <v/>
      </c>
    </row>
    <row r="529" customFormat="false" ht="15" hidden="false" customHeight="false" outlineLevel="0" collapsed="false">
      <c r="A529" s="23"/>
      <c r="B529" s="23"/>
      <c r="C529" s="24"/>
      <c r="D529" s="12"/>
      <c r="E529" s="25" t="str">
        <f aca="false">IF(OR(A529="",C529=""),"",C529*IFERROR(INDEX(Yemekler!$C$5:$C$64,MATCH(A529,Yemekler!$A$5:$A$64,0)),0))</f>
        <v/>
      </c>
    </row>
    <row r="530" customFormat="false" ht="15" hidden="false" customHeight="false" outlineLevel="0" collapsed="false">
      <c r="A530" s="23"/>
      <c r="B530" s="23"/>
      <c r="C530" s="24"/>
      <c r="D530" s="12"/>
      <c r="E530" s="25" t="str">
        <f aca="false">IF(OR(A530="",C530=""),"",C530*IFERROR(INDEX(Yemekler!$C$5:$C$64,MATCH(A530,Yemekler!$A$5:$A$64,0)),0))</f>
        <v/>
      </c>
    </row>
    <row r="531" customFormat="false" ht="15" hidden="false" customHeight="false" outlineLevel="0" collapsed="false">
      <c r="A531" s="23"/>
      <c r="B531" s="23"/>
      <c r="C531" s="24"/>
      <c r="D531" s="12"/>
      <c r="E531" s="25" t="str">
        <f aca="false">IF(OR(A531="",C531=""),"",C531*IFERROR(INDEX(Yemekler!$C$5:$C$64,MATCH(A531,Yemekler!$A$5:$A$64,0)),0))</f>
        <v/>
      </c>
    </row>
    <row r="532" customFormat="false" ht="15" hidden="false" customHeight="false" outlineLevel="0" collapsed="false">
      <c r="A532" s="23"/>
      <c r="B532" s="23"/>
      <c r="C532" s="24"/>
      <c r="D532" s="12"/>
      <c r="E532" s="25" t="str">
        <f aca="false">IF(OR(A532="",C532=""),"",C532*IFERROR(INDEX(Yemekler!$C$5:$C$64,MATCH(A532,Yemekler!$A$5:$A$64,0)),0))</f>
        <v/>
      </c>
    </row>
    <row r="533" customFormat="false" ht="15" hidden="false" customHeight="false" outlineLevel="0" collapsed="false">
      <c r="A533" s="23"/>
      <c r="B533" s="23"/>
      <c r="C533" s="24"/>
      <c r="D533" s="12"/>
      <c r="E533" s="25" t="str">
        <f aca="false">IF(OR(A533="",C533=""),"",C533*IFERROR(INDEX(Yemekler!$C$5:$C$64,MATCH(A533,Yemekler!$A$5:$A$64,0)),0))</f>
        <v/>
      </c>
    </row>
    <row r="534" customFormat="false" ht="15" hidden="false" customHeight="false" outlineLevel="0" collapsed="false">
      <c r="A534" s="23"/>
      <c r="B534" s="23"/>
      <c r="C534" s="24"/>
      <c r="D534" s="12"/>
      <c r="E534" s="25" t="str">
        <f aca="false">IF(OR(A534="",C534=""),"",C534*IFERROR(INDEX(Yemekler!$C$5:$C$64,MATCH(A534,Yemekler!$A$5:$A$64,0)),0))</f>
        <v/>
      </c>
    </row>
    <row r="535" customFormat="false" ht="15" hidden="false" customHeight="false" outlineLevel="0" collapsed="false">
      <c r="A535" s="23"/>
      <c r="B535" s="23"/>
      <c r="C535" s="24"/>
      <c r="D535" s="12"/>
      <c r="E535" s="25" t="str">
        <f aca="false">IF(OR(A535="",C535=""),"",C535*IFERROR(INDEX(Yemekler!$C$5:$C$64,MATCH(A535,Yemekler!$A$5:$A$64,0)),0))</f>
        <v/>
      </c>
    </row>
    <row r="536" customFormat="false" ht="15" hidden="false" customHeight="false" outlineLevel="0" collapsed="false">
      <c r="A536" s="23"/>
      <c r="B536" s="23"/>
      <c r="C536" s="24"/>
      <c r="D536" s="12"/>
      <c r="E536" s="25" t="str">
        <f aca="false">IF(OR(A536="",C536=""),"",C536*IFERROR(INDEX(Yemekler!$C$5:$C$64,MATCH(A536,Yemekler!$A$5:$A$64,0)),0))</f>
        <v/>
      </c>
    </row>
    <row r="537" customFormat="false" ht="15" hidden="false" customHeight="false" outlineLevel="0" collapsed="false">
      <c r="A537" s="23"/>
      <c r="B537" s="23"/>
      <c r="C537" s="24"/>
      <c r="D537" s="12"/>
      <c r="E537" s="25" t="str">
        <f aca="false">IF(OR(A537="",C537=""),"",C537*IFERROR(INDEX(Yemekler!$C$5:$C$64,MATCH(A537,Yemekler!$A$5:$A$64,0)),0))</f>
        <v/>
      </c>
    </row>
    <row r="538" customFormat="false" ht="15" hidden="false" customHeight="false" outlineLevel="0" collapsed="false">
      <c r="A538" s="23"/>
      <c r="B538" s="23"/>
      <c r="C538" s="24"/>
      <c r="D538" s="12"/>
      <c r="E538" s="25" t="str">
        <f aca="false">IF(OR(A538="",C538=""),"",C538*IFERROR(INDEX(Yemekler!$C$5:$C$64,MATCH(A538,Yemekler!$A$5:$A$64,0)),0))</f>
        <v/>
      </c>
    </row>
    <row r="539" customFormat="false" ht="15" hidden="false" customHeight="false" outlineLevel="0" collapsed="false">
      <c r="A539" s="23"/>
      <c r="B539" s="23"/>
      <c r="C539" s="24"/>
      <c r="D539" s="12"/>
      <c r="E539" s="25" t="str">
        <f aca="false">IF(OR(A539="",C539=""),"",C539*IFERROR(INDEX(Yemekler!$C$5:$C$64,MATCH(A539,Yemekler!$A$5:$A$64,0)),0))</f>
        <v/>
      </c>
    </row>
    <row r="540" customFormat="false" ht="15" hidden="false" customHeight="false" outlineLevel="0" collapsed="false">
      <c r="A540" s="23"/>
      <c r="B540" s="23"/>
      <c r="C540" s="24"/>
      <c r="D540" s="12"/>
      <c r="E540" s="25" t="str">
        <f aca="false">IF(OR(A540="",C540=""),"",C540*IFERROR(INDEX(Yemekler!$C$5:$C$64,MATCH(A540,Yemekler!$A$5:$A$64,0)),0))</f>
        <v/>
      </c>
    </row>
    <row r="541" customFormat="false" ht="15" hidden="false" customHeight="false" outlineLevel="0" collapsed="false">
      <c r="A541" s="23"/>
      <c r="B541" s="23"/>
      <c r="C541" s="24"/>
      <c r="D541" s="12"/>
      <c r="E541" s="25" t="str">
        <f aca="false">IF(OR(A541="",C541=""),"",C541*IFERROR(INDEX(Yemekler!$C$5:$C$64,MATCH(A541,Yemekler!$A$5:$A$64,0)),0))</f>
        <v/>
      </c>
    </row>
    <row r="542" customFormat="false" ht="15" hidden="false" customHeight="false" outlineLevel="0" collapsed="false">
      <c r="A542" s="23"/>
      <c r="B542" s="23"/>
      <c r="C542" s="24"/>
      <c r="D542" s="12"/>
      <c r="E542" s="25" t="str">
        <f aca="false">IF(OR(A542="",C542=""),"",C542*IFERROR(INDEX(Yemekler!$C$5:$C$64,MATCH(A542,Yemekler!$A$5:$A$64,0)),0))</f>
        <v/>
      </c>
    </row>
    <row r="543" customFormat="false" ht="15" hidden="false" customHeight="false" outlineLevel="0" collapsed="false">
      <c r="A543" s="23"/>
      <c r="B543" s="23"/>
      <c r="C543" s="24"/>
      <c r="D543" s="12"/>
      <c r="E543" s="25" t="str">
        <f aca="false">IF(OR(A543="",C543=""),"",C543*IFERROR(INDEX(Yemekler!$C$5:$C$64,MATCH(A543,Yemekler!$A$5:$A$64,0)),0))</f>
        <v/>
      </c>
    </row>
    <row r="544" customFormat="false" ht="15" hidden="false" customHeight="false" outlineLevel="0" collapsed="false">
      <c r="A544" s="23"/>
      <c r="B544" s="23"/>
      <c r="C544" s="24"/>
      <c r="D544" s="12"/>
      <c r="E544" s="25" t="str">
        <f aca="false">IF(OR(A544="",C544=""),"",C544*IFERROR(INDEX(Yemekler!$C$5:$C$64,MATCH(A544,Yemekler!$A$5:$A$64,0)),0))</f>
        <v/>
      </c>
    </row>
    <row r="545" customFormat="false" ht="15" hidden="false" customHeight="false" outlineLevel="0" collapsed="false">
      <c r="A545" s="23"/>
      <c r="B545" s="23"/>
      <c r="C545" s="24"/>
      <c r="D545" s="12"/>
      <c r="E545" s="25" t="str">
        <f aca="false">IF(OR(A545="",C545=""),"",C545*IFERROR(INDEX(Yemekler!$C$5:$C$64,MATCH(A545,Yemekler!$A$5:$A$64,0)),0))</f>
        <v/>
      </c>
    </row>
    <row r="546" customFormat="false" ht="15" hidden="false" customHeight="false" outlineLevel="0" collapsed="false">
      <c r="A546" s="23"/>
      <c r="B546" s="23"/>
      <c r="C546" s="24"/>
      <c r="D546" s="12"/>
      <c r="E546" s="25" t="str">
        <f aca="false">IF(OR(A546="",C546=""),"",C546*IFERROR(INDEX(Yemekler!$C$5:$C$64,MATCH(A546,Yemekler!$A$5:$A$64,0)),0))</f>
        <v/>
      </c>
    </row>
    <row r="547" customFormat="false" ht="15" hidden="false" customHeight="false" outlineLevel="0" collapsed="false">
      <c r="A547" s="23"/>
      <c r="B547" s="23"/>
      <c r="C547" s="24"/>
      <c r="D547" s="12"/>
      <c r="E547" s="25" t="str">
        <f aca="false">IF(OR(A547="",C547=""),"",C547*IFERROR(INDEX(Yemekler!$C$5:$C$64,MATCH(A547,Yemekler!$A$5:$A$64,0)),0))</f>
        <v/>
      </c>
    </row>
    <row r="548" customFormat="false" ht="15" hidden="false" customHeight="false" outlineLevel="0" collapsed="false">
      <c r="A548" s="23"/>
      <c r="B548" s="23"/>
      <c r="C548" s="24"/>
      <c r="D548" s="12"/>
      <c r="E548" s="25" t="str">
        <f aca="false">IF(OR(A548="",C548=""),"",C548*IFERROR(INDEX(Yemekler!$C$5:$C$64,MATCH(A548,Yemekler!$A$5:$A$64,0)),0))</f>
        <v/>
      </c>
    </row>
    <row r="549" customFormat="false" ht="15" hidden="false" customHeight="false" outlineLevel="0" collapsed="false">
      <c r="A549" s="23"/>
      <c r="B549" s="23"/>
      <c r="C549" s="24"/>
      <c r="D549" s="12"/>
      <c r="E549" s="25" t="str">
        <f aca="false">IF(OR(A549="",C549=""),"",C549*IFERROR(INDEX(Yemekler!$C$5:$C$64,MATCH(A549,Yemekler!$A$5:$A$64,0)),0))</f>
        <v/>
      </c>
    </row>
    <row r="550" customFormat="false" ht="15" hidden="false" customHeight="false" outlineLevel="0" collapsed="false">
      <c r="A550" s="23"/>
      <c r="B550" s="23"/>
      <c r="C550" s="24"/>
      <c r="D550" s="12"/>
      <c r="E550" s="25" t="str">
        <f aca="false">IF(OR(A550="",C550=""),"",C550*IFERROR(INDEX(Yemekler!$C$5:$C$64,MATCH(A550,Yemekler!$A$5:$A$64,0)),0))</f>
        <v/>
      </c>
    </row>
    <row r="551" customFormat="false" ht="15" hidden="false" customHeight="false" outlineLevel="0" collapsed="false">
      <c r="A551" s="23"/>
      <c r="B551" s="23"/>
      <c r="C551" s="24"/>
      <c r="D551" s="12"/>
      <c r="E551" s="25" t="str">
        <f aca="false">IF(OR(A551="",C551=""),"",C551*IFERROR(INDEX(Yemekler!$C$5:$C$64,MATCH(A551,Yemekler!$A$5:$A$64,0)),0))</f>
        <v/>
      </c>
    </row>
    <row r="552" customFormat="false" ht="15" hidden="false" customHeight="false" outlineLevel="0" collapsed="false">
      <c r="A552" s="23"/>
      <c r="B552" s="23"/>
      <c r="C552" s="24"/>
      <c r="D552" s="12"/>
      <c r="E552" s="25" t="str">
        <f aca="false">IF(OR(A552="",C552=""),"",C552*IFERROR(INDEX(Yemekler!$C$5:$C$64,MATCH(A552,Yemekler!$A$5:$A$64,0)),0))</f>
        <v/>
      </c>
    </row>
    <row r="553" customFormat="false" ht="15" hidden="false" customHeight="false" outlineLevel="0" collapsed="false">
      <c r="A553" s="23"/>
      <c r="B553" s="23"/>
      <c r="C553" s="24"/>
      <c r="D553" s="12"/>
      <c r="E553" s="25" t="str">
        <f aca="false">IF(OR(A553="",C553=""),"",C553*IFERROR(INDEX(Yemekler!$C$5:$C$64,MATCH(A553,Yemekler!$A$5:$A$64,0)),0))</f>
        <v/>
      </c>
    </row>
    <row r="554" customFormat="false" ht="15" hidden="false" customHeight="false" outlineLevel="0" collapsed="false">
      <c r="A554" s="23"/>
      <c r="B554" s="23"/>
      <c r="C554" s="24"/>
      <c r="D554" s="12"/>
      <c r="E554" s="25" t="str">
        <f aca="false">IF(OR(A554="",C554=""),"",C554*IFERROR(INDEX(Yemekler!$C$5:$C$64,MATCH(A554,Yemekler!$A$5:$A$64,0)),0))</f>
        <v/>
      </c>
    </row>
    <row r="555" customFormat="false" ht="15" hidden="false" customHeight="false" outlineLevel="0" collapsed="false">
      <c r="A555" s="23"/>
      <c r="B555" s="23"/>
      <c r="C555" s="24"/>
      <c r="D555" s="12"/>
      <c r="E555" s="25" t="str">
        <f aca="false">IF(OR(A555="",C555=""),"",C555*IFERROR(INDEX(Yemekler!$C$5:$C$64,MATCH(A555,Yemekler!$A$5:$A$64,0)),0))</f>
        <v/>
      </c>
    </row>
    <row r="556" customFormat="false" ht="15" hidden="false" customHeight="false" outlineLevel="0" collapsed="false">
      <c r="A556" s="23"/>
      <c r="B556" s="23"/>
      <c r="C556" s="24"/>
      <c r="D556" s="12"/>
      <c r="E556" s="25" t="str">
        <f aca="false">IF(OR(A556="",C556=""),"",C556*IFERROR(INDEX(Yemekler!$C$5:$C$64,MATCH(A556,Yemekler!$A$5:$A$64,0)),0))</f>
        <v/>
      </c>
    </row>
    <row r="557" customFormat="false" ht="15" hidden="false" customHeight="false" outlineLevel="0" collapsed="false">
      <c r="A557" s="23"/>
      <c r="B557" s="23"/>
      <c r="C557" s="24"/>
      <c r="D557" s="12"/>
      <c r="E557" s="25" t="str">
        <f aca="false">IF(OR(A557="",C557=""),"",C557*IFERROR(INDEX(Yemekler!$C$5:$C$64,MATCH(A557,Yemekler!$A$5:$A$64,0)),0))</f>
        <v/>
      </c>
    </row>
    <row r="558" customFormat="false" ht="15" hidden="false" customHeight="false" outlineLevel="0" collapsed="false">
      <c r="A558" s="23"/>
      <c r="B558" s="23"/>
      <c r="C558" s="24"/>
      <c r="D558" s="12"/>
      <c r="E558" s="25" t="str">
        <f aca="false">IF(OR(A558="",C558=""),"",C558*IFERROR(INDEX(Yemekler!$C$5:$C$64,MATCH(A558,Yemekler!$A$5:$A$64,0)),0))</f>
        <v/>
      </c>
    </row>
    <row r="559" customFormat="false" ht="15" hidden="false" customHeight="false" outlineLevel="0" collapsed="false">
      <c r="A559" s="23"/>
      <c r="B559" s="23"/>
      <c r="C559" s="24"/>
      <c r="D559" s="12"/>
      <c r="E559" s="25" t="str">
        <f aca="false">IF(OR(A559="",C559=""),"",C559*IFERROR(INDEX(Yemekler!$C$5:$C$64,MATCH(A559,Yemekler!$A$5:$A$64,0)),0))</f>
        <v/>
      </c>
    </row>
    <row r="560" customFormat="false" ht="15" hidden="false" customHeight="false" outlineLevel="0" collapsed="false">
      <c r="A560" s="23"/>
      <c r="B560" s="23"/>
      <c r="C560" s="24"/>
      <c r="D560" s="12"/>
      <c r="E560" s="25" t="str">
        <f aca="false">IF(OR(A560="",C560=""),"",C560*IFERROR(INDEX(Yemekler!$C$5:$C$64,MATCH(A560,Yemekler!$A$5:$A$64,0)),0))</f>
        <v/>
      </c>
    </row>
    <row r="561" customFormat="false" ht="15" hidden="false" customHeight="false" outlineLevel="0" collapsed="false">
      <c r="A561" s="23"/>
      <c r="B561" s="23"/>
      <c r="C561" s="24"/>
      <c r="D561" s="12"/>
      <c r="E561" s="25" t="str">
        <f aca="false">IF(OR(A561="",C561=""),"",C561*IFERROR(INDEX(Yemekler!$C$5:$C$64,MATCH(A561,Yemekler!$A$5:$A$64,0)),0))</f>
        <v/>
      </c>
    </row>
    <row r="562" customFormat="false" ht="15" hidden="false" customHeight="false" outlineLevel="0" collapsed="false">
      <c r="A562" s="23"/>
      <c r="B562" s="23"/>
      <c r="C562" s="24"/>
      <c r="D562" s="12"/>
      <c r="E562" s="25" t="str">
        <f aca="false">IF(OR(A562="",C562=""),"",C562*IFERROR(INDEX(Yemekler!$C$5:$C$64,MATCH(A562,Yemekler!$A$5:$A$64,0)),0))</f>
        <v/>
      </c>
    </row>
    <row r="563" customFormat="false" ht="15" hidden="false" customHeight="false" outlineLevel="0" collapsed="false">
      <c r="A563" s="23"/>
      <c r="B563" s="23"/>
      <c r="C563" s="24"/>
      <c r="D563" s="12"/>
      <c r="E563" s="25" t="str">
        <f aca="false">IF(OR(A563="",C563=""),"",C563*IFERROR(INDEX(Yemekler!$C$5:$C$64,MATCH(A563,Yemekler!$A$5:$A$64,0)),0))</f>
        <v/>
      </c>
    </row>
    <row r="564" customFormat="false" ht="15" hidden="false" customHeight="false" outlineLevel="0" collapsed="false">
      <c r="A564" s="23"/>
      <c r="B564" s="23"/>
      <c r="C564" s="24"/>
      <c r="D564" s="12"/>
      <c r="E564" s="25" t="str">
        <f aca="false">IF(OR(A564="",C564=""),"",C564*IFERROR(INDEX(Yemekler!$C$5:$C$64,MATCH(A564,Yemekler!$A$5:$A$64,0)),0))</f>
        <v/>
      </c>
    </row>
    <row r="565" customFormat="false" ht="15" hidden="false" customHeight="false" outlineLevel="0" collapsed="false">
      <c r="A565" s="23"/>
      <c r="B565" s="23"/>
      <c r="C565" s="24"/>
      <c r="D565" s="12"/>
      <c r="E565" s="25" t="str">
        <f aca="false">IF(OR(A565="",C565=""),"",C565*IFERROR(INDEX(Yemekler!$C$5:$C$64,MATCH(A565,Yemekler!$A$5:$A$64,0)),0))</f>
        <v/>
      </c>
    </row>
    <row r="566" customFormat="false" ht="15" hidden="false" customHeight="false" outlineLevel="0" collapsed="false">
      <c r="A566" s="23"/>
      <c r="B566" s="23"/>
      <c r="C566" s="24"/>
      <c r="D566" s="12"/>
      <c r="E566" s="25" t="str">
        <f aca="false">IF(OR(A566="",C566=""),"",C566*IFERROR(INDEX(Yemekler!$C$5:$C$64,MATCH(A566,Yemekler!$A$5:$A$64,0)),0))</f>
        <v/>
      </c>
    </row>
    <row r="567" customFormat="false" ht="15" hidden="false" customHeight="false" outlineLevel="0" collapsed="false">
      <c r="A567" s="23"/>
      <c r="B567" s="23"/>
      <c r="C567" s="24"/>
      <c r="D567" s="12"/>
      <c r="E567" s="25" t="str">
        <f aca="false">IF(OR(A567="",C567=""),"",C567*IFERROR(INDEX(Yemekler!$C$5:$C$64,MATCH(A567,Yemekler!$A$5:$A$64,0)),0))</f>
        <v/>
      </c>
    </row>
    <row r="568" customFormat="false" ht="15" hidden="false" customHeight="false" outlineLevel="0" collapsed="false">
      <c r="A568" s="23"/>
      <c r="B568" s="23"/>
      <c r="C568" s="24"/>
      <c r="D568" s="12"/>
      <c r="E568" s="25" t="str">
        <f aca="false">IF(OR(A568="",C568=""),"",C568*IFERROR(INDEX(Yemekler!$C$5:$C$64,MATCH(A568,Yemekler!$A$5:$A$64,0)),0))</f>
        <v/>
      </c>
    </row>
    <row r="569" customFormat="false" ht="15" hidden="false" customHeight="false" outlineLevel="0" collapsed="false">
      <c r="A569" s="23"/>
      <c r="B569" s="23"/>
      <c r="C569" s="24"/>
      <c r="D569" s="12"/>
      <c r="E569" s="25" t="str">
        <f aca="false">IF(OR(A569="",C569=""),"",C569*IFERROR(INDEX(Yemekler!$C$5:$C$64,MATCH(A569,Yemekler!$A$5:$A$64,0)),0))</f>
        <v/>
      </c>
    </row>
    <row r="570" customFormat="false" ht="15" hidden="false" customHeight="false" outlineLevel="0" collapsed="false">
      <c r="A570" s="23"/>
      <c r="B570" s="23"/>
      <c r="C570" s="24"/>
      <c r="D570" s="12"/>
      <c r="E570" s="25" t="str">
        <f aca="false">IF(OR(A570="",C570=""),"",C570*IFERROR(INDEX(Yemekler!$C$5:$C$64,MATCH(A570,Yemekler!$A$5:$A$64,0)),0))</f>
        <v/>
      </c>
    </row>
    <row r="571" customFormat="false" ht="15" hidden="false" customHeight="false" outlineLevel="0" collapsed="false">
      <c r="A571" s="23"/>
      <c r="B571" s="23"/>
      <c r="C571" s="24"/>
      <c r="D571" s="12"/>
      <c r="E571" s="25" t="str">
        <f aca="false">IF(OR(A571="",C571=""),"",C571*IFERROR(INDEX(Yemekler!$C$5:$C$64,MATCH(A571,Yemekler!$A$5:$A$64,0)),0))</f>
        <v/>
      </c>
    </row>
    <row r="572" customFormat="false" ht="15" hidden="false" customHeight="false" outlineLevel="0" collapsed="false">
      <c r="A572" s="23"/>
      <c r="B572" s="23"/>
      <c r="C572" s="24"/>
      <c r="D572" s="12"/>
      <c r="E572" s="25" t="str">
        <f aca="false">IF(OR(A572="",C572=""),"",C572*IFERROR(INDEX(Yemekler!$C$5:$C$64,MATCH(A572,Yemekler!$A$5:$A$64,0)),0))</f>
        <v/>
      </c>
    </row>
    <row r="573" customFormat="false" ht="15" hidden="false" customHeight="false" outlineLevel="0" collapsed="false">
      <c r="A573" s="23"/>
      <c r="B573" s="23"/>
      <c r="C573" s="24"/>
      <c r="D573" s="12"/>
      <c r="E573" s="25" t="str">
        <f aca="false">IF(OR(A573="",C573=""),"",C573*IFERROR(INDEX(Yemekler!$C$5:$C$64,MATCH(A573,Yemekler!$A$5:$A$64,0)),0))</f>
        <v/>
      </c>
    </row>
    <row r="574" customFormat="false" ht="15" hidden="false" customHeight="false" outlineLevel="0" collapsed="false">
      <c r="A574" s="23"/>
      <c r="B574" s="23"/>
      <c r="C574" s="24"/>
      <c r="D574" s="12"/>
      <c r="E574" s="25" t="str">
        <f aca="false">IF(OR(A574="",C574=""),"",C574*IFERROR(INDEX(Yemekler!$C$5:$C$64,MATCH(A574,Yemekler!$A$5:$A$64,0)),0))</f>
        <v/>
      </c>
    </row>
    <row r="575" customFormat="false" ht="15" hidden="false" customHeight="false" outlineLevel="0" collapsed="false">
      <c r="A575" s="23"/>
      <c r="B575" s="23"/>
      <c r="C575" s="24"/>
      <c r="D575" s="12"/>
      <c r="E575" s="25" t="str">
        <f aca="false">IF(OR(A575="",C575=""),"",C575*IFERROR(INDEX(Yemekler!$C$5:$C$64,MATCH(A575,Yemekler!$A$5:$A$64,0)),0))</f>
        <v/>
      </c>
    </row>
    <row r="576" customFormat="false" ht="15" hidden="false" customHeight="false" outlineLevel="0" collapsed="false">
      <c r="A576" s="23"/>
      <c r="B576" s="23"/>
      <c r="C576" s="24"/>
      <c r="D576" s="12"/>
      <c r="E576" s="25" t="str">
        <f aca="false">IF(OR(A576="",C576=""),"",C576*IFERROR(INDEX(Yemekler!$C$5:$C$64,MATCH(A576,Yemekler!$A$5:$A$64,0)),0))</f>
        <v/>
      </c>
    </row>
    <row r="577" customFormat="false" ht="15" hidden="false" customHeight="false" outlineLevel="0" collapsed="false">
      <c r="A577" s="23"/>
      <c r="B577" s="23"/>
      <c r="C577" s="24"/>
      <c r="D577" s="12"/>
      <c r="E577" s="25" t="str">
        <f aca="false">IF(OR(A577="",C577=""),"",C577*IFERROR(INDEX(Yemekler!$C$5:$C$64,MATCH(A577,Yemekler!$A$5:$A$64,0)),0))</f>
        <v/>
      </c>
    </row>
    <row r="578" customFormat="false" ht="15" hidden="false" customHeight="false" outlineLevel="0" collapsed="false">
      <c r="A578" s="23"/>
      <c r="B578" s="23"/>
      <c r="C578" s="24"/>
      <c r="D578" s="12"/>
      <c r="E578" s="25" t="str">
        <f aca="false">IF(OR(A578="",C578=""),"",C578*IFERROR(INDEX(Yemekler!$C$5:$C$64,MATCH(A578,Yemekler!$A$5:$A$64,0)),0))</f>
        <v/>
      </c>
    </row>
    <row r="579" customFormat="false" ht="15" hidden="false" customHeight="false" outlineLevel="0" collapsed="false">
      <c r="A579" s="23"/>
      <c r="B579" s="23"/>
      <c r="C579" s="24"/>
      <c r="D579" s="12"/>
      <c r="E579" s="25" t="str">
        <f aca="false">IF(OR(A579="",C579=""),"",C579*IFERROR(INDEX(Yemekler!$C$5:$C$64,MATCH(A579,Yemekler!$A$5:$A$64,0)),0))</f>
        <v/>
      </c>
    </row>
    <row r="580" customFormat="false" ht="15" hidden="false" customHeight="false" outlineLevel="0" collapsed="false">
      <c r="A580" s="23"/>
      <c r="B580" s="23"/>
      <c r="C580" s="24"/>
      <c r="D580" s="12"/>
      <c r="E580" s="25" t="str">
        <f aca="false">IF(OR(A580="",C580=""),"",C580*IFERROR(INDEX(Yemekler!$C$5:$C$64,MATCH(A580,Yemekler!$A$5:$A$64,0)),0))</f>
        <v/>
      </c>
    </row>
    <row r="581" customFormat="false" ht="15" hidden="false" customHeight="false" outlineLevel="0" collapsed="false">
      <c r="A581" s="23"/>
      <c r="B581" s="23"/>
      <c r="C581" s="24"/>
      <c r="D581" s="12"/>
      <c r="E581" s="25" t="str">
        <f aca="false">IF(OR(A581="",C581=""),"",C581*IFERROR(INDEX(Yemekler!$C$5:$C$64,MATCH(A581,Yemekler!$A$5:$A$64,0)),0))</f>
        <v/>
      </c>
    </row>
    <row r="582" customFormat="false" ht="15" hidden="false" customHeight="false" outlineLevel="0" collapsed="false">
      <c r="A582" s="23"/>
      <c r="B582" s="23"/>
      <c r="C582" s="24"/>
      <c r="D582" s="12"/>
      <c r="E582" s="25" t="str">
        <f aca="false">IF(OR(A582="",C582=""),"",C582*IFERROR(INDEX(Yemekler!$C$5:$C$64,MATCH(A582,Yemekler!$A$5:$A$64,0)),0))</f>
        <v/>
      </c>
    </row>
    <row r="583" customFormat="false" ht="15" hidden="false" customHeight="false" outlineLevel="0" collapsed="false">
      <c r="A583" s="23"/>
      <c r="B583" s="23"/>
      <c r="C583" s="24"/>
      <c r="D583" s="12"/>
      <c r="E583" s="25" t="str">
        <f aca="false">IF(OR(A583="",C583=""),"",C583*IFERROR(INDEX(Yemekler!$C$5:$C$64,MATCH(A583,Yemekler!$A$5:$A$64,0)),0))</f>
        <v/>
      </c>
    </row>
    <row r="584" customFormat="false" ht="15" hidden="false" customHeight="false" outlineLevel="0" collapsed="false">
      <c r="A584" s="23"/>
      <c r="B584" s="23"/>
      <c r="C584" s="24"/>
      <c r="D584" s="12"/>
      <c r="E584" s="25" t="str">
        <f aca="false">IF(OR(A584="",C584=""),"",C584*IFERROR(INDEX(Yemekler!$C$5:$C$64,MATCH(A584,Yemekler!$A$5:$A$64,0)),0))</f>
        <v/>
      </c>
    </row>
    <row r="585" customFormat="false" ht="15" hidden="false" customHeight="false" outlineLevel="0" collapsed="false">
      <c r="A585" s="23"/>
      <c r="B585" s="23"/>
      <c r="C585" s="24"/>
      <c r="D585" s="12"/>
      <c r="E585" s="25" t="str">
        <f aca="false">IF(OR(A585="",C585=""),"",C585*IFERROR(INDEX(Yemekler!$C$5:$C$64,MATCH(A585,Yemekler!$A$5:$A$64,0)),0))</f>
        <v/>
      </c>
    </row>
    <row r="586" customFormat="false" ht="15" hidden="false" customHeight="false" outlineLevel="0" collapsed="false">
      <c r="A586" s="23"/>
      <c r="B586" s="23"/>
      <c r="C586" s="24"/>
      <c r="D586" s="12"/>
      <c r="E586" s="25" t="str">
        <f aca="false">IF(OR(A586="",C586=""),"",C586*IFERROR(INDEX(Yemekler!$C$5:$C$64,MATCH(A586,Yemekler!$A$5:$A$64,0)),0))</f>
        <v/>
      </c>
    </row>
    <row r="587" customFormat="false" ht="15" hidden="false" customHeight="false" outlineLevel="0" collapsed="false">
      <c r="A587" s="23"/>
      <c r="B587" s="23"/>
      <c r="C587" s="24"/>
      <c r="D587" s="12"/>
      <c r="E587" s="25" t="str">
        <f aca="false">IF(OR(A587="",C587=""),"",C587*IFERROR(INDEX(Yemekler!$C$5:$C$64,MATCH(A587,Yemekler!$A$5:$A$64,0)),0))</f>
        <v/>
      </c>
    </row>
    <row r="588" customFormat="false" ht="15" hidden="false" customHeight="false" outlineLevel="0" collapsed="false">
      <c r="A588" s="23"/>
      <c r="B588" s="23"/>
      <c r="C588" s="24"/>
      <c r="D588" s="12"/>
      <c r="E588" s="25" t="str">
        <f aca="false">IF(OR(A588="",C588=""),"",C588*IFERROR(INDEX(Yemekler!$C$5:$C$64,MATCH(A588,Yemekler!$A$5:$A$64,0)),0))</f>
        <v/>
      </c>
    </row>
    <row r="589" customFormat="false" ht="15" hidden="false" customHeight="false" outlineLevel="0" collapsed="false">
      <c r="A589" s="23"/>
      <c r="B589" s="23"/>
      <c r="C589" s="24"/>
      <c r="D589" s="12"/>
      <c r="E589" s="25" t="str">
        <f aca="false">IF(OR(A589="",C589=""),"",C589*IFERROR(INDEX(Yemekler!$C$5:$C$64,MATCH(A589,Yemekler!$A$5:$A$64,0)),0))</f>
        <v/>
      </c>
    </row>
    <row r="590" customFormat="false" ht="15" hidden="false" customHeight="false" outlineLevel="0" collapsed="false">
      <c r="A590" s="23"/>
      <c r="B590" s="23"/>
      <c r="C590" s="24"/>
      <c r="D590" s="12"/>
      <c r="E590" s="25" t="str">
        <f aca="false">IF(OR(A590="",C590=""),"",C590*IFERROR(INDEX(Yemekler!$C$5:$C$64,MATCH(A590,Yemekler!$A$5:$A$64,0)),0))</f>
        <v/>
      </c>
    </row>
    <row r="591" customFormat="false" ht="15" hidden="false" customHeight="false" outlineLevel="0" collapsed="false">
      <c r="A591" s="23"/>
      <c r="B591" s="23"/>
      <c r="C591" s="24"/>
      <c r="D591" s="12"/>
      <c r="E591" s="25" t="str">
        <f aca="false">IF(OR(A591="",C591=""),"",C591*IFERROR(INDEX(Yemekler!$C$5:$C$64,MATCH(A591,Yemekler!$A$5:$A$64,0)),0))</f>
        <v/>
      </c>
    </row>
    <row r="592" customFormat="false" ht="15" hidden="false" customHeight="false" outlineLevel="0" collapsed="false">
      <c r="A592" s="23"/>
      <c r="B592" s="23"/>
      <c r="C592" s="24"/>
      <c r="D592" s="12"/>
      <c r="E592" s="25" t="str">
        <f aca="false">IF(OR(A592="",C592=""),"",C592*IFERROR(INDEX(Yemekler!$C$5:$C$64,MATCH(A592,Yemekler!$A$5:$A$64,0)),0))</f>
        <v/>
      </c>
    </row>
    <row r="593" customFormat="false" ht="15" hidden="false" customHeight="false" outlineLevel="0" collapsed="false">
      <c r="A593" s="23"/>
      <c r="B593" s="23"/>
      <c r="C593" s="24"/>
      <c r="D593" s="12"/>
      <c r="E593" s="25" t="str">
        <f aca="false">IF(OR(A593="",C593=""),"",C593*IFERROR(INDEX(Yemekler!$C$5:$C$64,MATCH(A593,Yemekler!$A$5:$A$64,0)),0))</f>
        <v/>
      </c>
    </row>
    <row r="594" customFormat="false" ht="15" hidden="false" customHeight="false" outlineLevel="0" collapsed="false">
      <c r="A594" s="23"/>
      <c r="B594" s="23"/>
      <c r="C594" s="24"/>
      <c r="D594" s="12"/>
      <c r="E594" s="25" t="str">
        <f aca="false">IF(OR(A594="",C594=""),"",C594*IFERROR(INDEX(Yemekler!$C$5:$C$64,MATCH(A594,Yemekler!$A$5:$A$64,0)),0))</f>
        <v/>
      </c>
    </row>
    <row r="595" customFormat="false" ht="15" hidden="false" customHeight="false" outlineLevel="0" collapsed="false">
      <c r="A595" s="23"/>
      <c r="B595" s="23"/>
      <c r="C595" s="24"/>
      <c r="D595" s="12"/>
      <c r="E595" s="25" t="str">
        <f aca="false">IF(OR(A595="",C595=""),"",C595*IFERROR(INDEX(Yemekler!$C$5:$C$64,MATCH(A595,Yemekler!$A$5:$A$64,0)),0))</f>
        <v/>
      </c>
    </row>
    <row r="596" customFormat="false" ht="15" hidden="false" customHeight="false" outlineLevel="0" collapsed="false">
      <c r="A596" s="23"/>
      <c r="B596" s="23"/>
      <c r="C596" s="24"/>
      <c r="D596" s="12"/>
      <c r="E596" s="25" t="str">
        <f aca="false">IF(OR(A596="",C596=""),"",C596*IFERROR(INDEX(Yemekler!$C$5:$C$64,MATCH(A596,Yemekler!$A$5:$A$64,0)),0))</f>
        <v/>
      </c>
    </row>
    <row r="597" customFormat="false" ht="15" hidden="false" customHeight="false" outlineLevel="0" collapsed="false">
      <c r="A597" s="23"/>
      <c r="B597" s="23"/>
      <c r="C597" s="24"/>
      <c r="D597" s="12"/>
      <c r="E597" s="25" t="str">
        <f aca="false">IF(OR(A597="",C597=""),"",C597*IFERROR(INDEX(Yemekler!$C$5:$C$64,MATCH(A597,Yemekler!$A$5:$A$64,0)),0))</f>
        <v/>
      </c>
    </row>
    <row r="598" customFormat="false" ht="15" hidden="false" customHeight="false" outlineLevel="0" collapsed="false">
      <c r="A598" s="23"/>
      <c r="B598" s="23"/>
      <c r="C598" s="24"/>
      <c r="D598" s="12"/>
      <c r="E598" s="25" t="str">
        <f aca="false">IF(OR(A598="",C598=""),"",C598*IFERROR(INDEX(Yemekler!$C$5:$C$64,MATCH(A598,Yemekler!$A$5:$A$64,0)),0))</f>
        <v/>
      </c>
    </row>
    <row r="599" customFormat="false" ht="15" hidden="false" customHeight="false" outlineLevel="0" collapsed="false">
      <c r="A599" s="23"/>
      <c r="B599" s="23"/>
      <c r="C599" s="24"/>
      <c r="D599" s="12"/>
      <c r="E599" s="25" t="str">
        <f aca="false">IF(OR(A599="",C599=""),"",C599*IFERROR(INDEX(Yemekler!$C$5:$C$64,MATCH(A599,Yemekler!$A$5:$A$64,0)),0))</f>
        <v/>
      </c>
    </row>
    <row r="600" customFormat="false" ht="15" hidden="false" customHeight="false" outlineLevel="0" collapsed="false">
      <c r="A600" s="23"/>
      <c r="B600" s="23"/>
      <c r="C600" s="24"/>
      <c r="D600" s="12"/>
      <c r="E600" s="25" t="str">
        <f aca="false">IF(OR(A600="",C600=""),"",C600*IFERROR(INDEX(Yemekler!$C$5:$C$64,MATCH(A600,Yemekler!$A$5:$A$64,0)),0))</f>
        <v/>
      </c>
    </row>
    <row r="601" customFormat="false" ht="15" hidden="false" customHeight="false" outlineLevel="0" collapsed="false">
      <c r="A601" s="23"/>
      <c r="B601" s="23"/>
      <c r="C601" s="24"/>
      <c r="D601" s="12"/>
      <c r="E601" s="25" t="str">
        <f aca="false">IF(OR(A601="",C601=""),"",C601*IFERROR(INDEX(Yemekler!$C$5:$C$64,MATCH(A601,Yemekler!$A$5:$A$64,0)),0))</f>
        <v/>
      </c>
    </row>
    <row r="602" customFormat="false" ht="15" hidden="false" customHeight="false" outlineLevel="0" collapsed="false">
      <c r="A602" s="23"/>
      <c r="B602" s="23"/>
      <c r="C602" s="24"/>
      <c r="D602" s="12"/>
      <c r="E602" s="25" t="str">
        <f aca="false">IF(OR(A602="",C602=""),"",C602*IFERROR(INDEX(Yemekler!$C$5:$C$64,MATCH(A602,Yemekler!$A$5:$A$64,0)),0))</f>
        <v/>
      </c>
    </row>
    <row r="603" customFormat="false" ht="15" hidden="false" customHeight="false" outlineLevel="0" collapsed="false">
      <c r="A603" s="23"/>
      <c r="B603" s="23"/>
      <c r="C603" s="24"/>
      <c r="D603" s="12"/>
      <c r="E603" s="25" t="str">
        <f aca="false">IF(OR(A603="",C603=""),"",C603*IFERROR(INDEX(Yemekler!$C$5:$C$64,MATCH(A603,Yemekler!$A$5:$A$64,0)),0))</f>
        <v/>
      </c>
    </row>
    <row r="604" customFormat="false" ht="15" hidden="false" customHeight="false" outlineLevel="0" collapsed="false">
      <c r="A604" s="23"/>
      <c r="B604" s="23"/>
      <c r="C604" s="24"/>
      <c r="D604" s="12"/>
      <c r="E604" s="25" t="str">
        <f aca="false">IF(OR(A604="",C604=""),"",C604*IFERROR(INDEX(Yemekler!$C$5:$C$64,MATCH(A604,Yemekler!$A$5:$A$64,0)),0))</f>
        <v/>
      </c>
    </row>
  </sheetData>
  <dataValidations count="3">
    <dataValidation allowBlank="true" error="Sıfır ya da daha büyük bir sayı gir." errorStyle="stop" errorTitle="Kontrol" operator="greaterThanOrEqual" showDropDown="false" showErrorMessage="true" showInputMessage="false" sqref="C5:C6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A5:A604" type="list">
      <formula1>Yemekler!$A$5:$A$64</formula1>
      <formula2>0</formula2>
    </dataValidation>
    <dataValidation allowBlank="true" error="Listeden seç." errorStyle="stop" errorTitle="Kontrol" operator="between" showDropDown="false" showErrorMessage="true" showInputMessage="false" sqref="B5:B604" type="list">
      <formula1>Listeler!$A$5:$A$84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68</v>
      </c>
    </row>
    <row r="2" customFormat="false" ht="15" hidden="false" customHeight="false" outlineLevel="0" collapsed="false">
      <c r="A2" s="9" t="s">
        <v>69</v>
      </c>
    </row>
    <row r="4" customFormat="false" ht="21.75" hidden="false" customHeight="true" outlineLevel="0" collapsed="false">
      <c r="A4" s="10" t="s">
        <v>46</v>
      </c>
    </row>
    <row r="5" customFormat="false" ht="15" hidden="false" customHeight="false" outlineLevel="0" collapsed="false">
      <c r="A5" s="12" t="s">
        <v>58</v>
      </c>
    </row>
    <row r="6" customFormat="false" ht="15" hidden="false" customHeight="false" outlineLevel="0" collapsed="false">
      <c r="A6" s="12" t="s">
        <v>61</v>
      </c>
    </row>
    <row r="7" customFormat="false" ht="15" hidden="false" customHeight="false" outlineLevel="0" collapsed="false">
      <c r="A7" s="12" t="s">
        <v>62</v>
      </c>
    </row>
    <row r="8" customFormat="false" ht="15" hidden="false" customHeight="false" outlineLevel="0" collapsed="false">
      <c r="A8" s="12" t="s">
        <v>60</v>
      </c>
    </row>
    <row r="9" customFormat="false" ht="15" hidden="false" customHeight="false" outlineLevel="0" collapsed="false">
      <c r="A9" s="12" t="s">
        <v>64</v>
      </c>
    </row>
    <row r="10" customFormat="false" ht="15" hidden="false" customHeight="false" outlineLevel="0" collapsed="false">
      <c r="A10" s="12" t="s">
        <v>63</v>
      </c>
    </row>
    <row r="11" customFormat="false" ht="15" hidden="false" customHeight="false" outlineLevel="0" collapsed="false">
      <c r="A11" s="12" t="s">
        <v>70</v>
      </c>
    </row>
    <row r="12" customFormat="false" ht="15" hidden="false" customHeight="false" outlineLevel="0" collapsed="false">
      <c r="A12" s="12" t="s">
        <v>65</v>
      </c>
    </row>
    <row r="13" customFormat="false" ht="15" hidden="false" customHeight="false" outlineLevel="0" collapsed="false">
      <c r="A13" s="12" t="s">
        <v>71</v>
      </c>
    </row>
    <row r="14" customFormat="false" ht="15" hidden="false" customHeight="false" outlineLevel="0" collapsed="false">
      <c r="A14" s="12" t="s">
        <v>66</v>
      </c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  <row r="35" customFormat="false" ht="15" hidden="false" customHeight="false" outlineLevel="0" collapsed="false">
      <c r="A35" s="12"/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/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/>
    </row>
    <row r="40" customFormat="false" ht="15" hidden="false" customHeight="false" outlineLevel="0" collapsed="false">
      <c r="A40" s="12"/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/>
    </row>
    <row r="43" customFormat="false" ht="15" hidden="false" customHeight="false" outlineLevel="0" collapsed="false">
      <c r="A43" s="12"/>
    </row>
    <row r="44" customFormat="false" ht="15" hidden="false" customHeight="false" outlineLevel="0" collapsed="false">
      <c r="A44" s="12"/>
    </row>
    <row r="45" customFormat="false" ht="15" hidden="false" customHeight="false" outlineLevel="0" collapsed="false">
      <c r="A45" s="12"/>
    </row>
    <row r="46" customFormat="false" ht="15" hidden="false" customHeight="false" outlineLevel="0" collapsed="false">
      <c r="A46" s="12"/>
    </row>
    <row r="47" customFormat="false" ht="15" hidden="false" customHeight="false" outlineLevel="0" collapsed="false">
      <c r="A47" s="12"/>
    </row>
    <row r="48" customFormat="false" ht="15" hidden="false" customHeight="false" outlineLevel="0" collapsed="false">
      <c r="A48" s="12"/>
    </row>
    <row r="49" customFormat="false" ht="15" hidden="false" customHeight="false" outlineLevel="0" collapsed="false">
      <c r="A49" s="12"/>
    </row>
    <row r="50" customFormat="false" ht="15" hidden="false" customHeight="false" outlineLevel="0" collapsed="false">
      <c r="A50" s="12"/>
    </row>
    <row r="51" customFormat="false" ht="15" hidden="false" customHeight="false" outlineLevel="0" collapsed="false">
      <c r="A51" s="12"/>
    </row>
    <row r="52" customFormat="false" ht="15" hidden="false" customHeight="false" outlineLevel="0" collapsed="false">
      <c r="A52" s="12"/>
    </row>
    <row r="53" customFormat="false" ht="15" hidden="false" customHeight="false" outlineLevel="0" collapsed="false">
      <c r="A53" s="12"/>
    </row>
    <row r="54" customFormat="false" ht="15" hidden="false" customHeight="false" outlineLevel="0" collapsed="false">
      <c r="A54" s="12"/>
    </row>
    <row r="55" customFormat="false" ht="15" hidden="false" customHeight="false" outlineLevel="0" collapsed="false">
      <c r="A55" s="12"/>
    </row>
    <row r="56" customFormat="false" ht="15" hidden="false" customHeight="false" outlineLevel="0" collapsed="false">
      <c r="A56" s="12"/>
    </row>
    <row r="57" customFormat="false" ht="15" hidden="false" customHeight="false" outlineLevel="0" collapsed="false">
      <c r="A57" s="12"/>
    </row>
    <row r="58" customFormat="false" ht="15" hidden="false" customHeight="false" outlineLevel="0" collapsed="false">
      <c r="A58" s="12"/>
    </row>
    <row r="59" customFormat="false" ht="15" hidden="false" customHeight="false" outlineLevel="0" collapsed="false">
      <c r="A59" s="12"/>
    </row>
    <row r="60" customFormat="false" ht="15" hidden="false" customHeight="false" outlineLevel="0" collapsed="false">
      <c r="A60" s="12"/>
    </row>
    <row r="61" customFormat="false" ht="15" hidden="false" customHeight="false" outlineLevel="0" collapsed="false">
      <c r="A61" s="12"/>
    </row>
    <row r="62" customFormat="false" ht="15" hidden="false" customHeight="false" outlineLevel="0" collapsed="false">
      <c r="A62" s="12"/>
    </row>
    <row r="63" customFormat="false" ht="15" hidden="false" customHeight="false" outlineLevel="0" collapsed="false">
      <c r="A63" s="12"/>
    </row>
    <row r="64" customFormat="false" ht="15" hidden="false" customHeight="false" outlineLevel="0" collapsed="false">
      <c r="A64" s="12"/>
    </row>
    <row r="65" customFormat="false" ht="15" hidden="false" customHeight="false" outlineLevel="0" collapsed="false">
      <c r="A65" s="12"/>
    </row>
    <row r="66" customFormat="false" ht="15" hidden="false" customHeight="false" outlineLevel="0" collapsed="false">
      <c r="A66" s="12"/>
    </row>
    <row r="67" customFormat="false" ht="15" hidden="false" customHeight="false" outlineLevel="0" collapsed="false">
      <c r="A67" s="12"/>
    </row>
    <row r="68" customFormat="false" ht="15" hidden="false" customHeight="false" outlineLevel="0" collapsed="false">
      <c r="A68" s="12"/>
    </row>
    <row r="69" customFormat="false" ht="15" hidden="false" customHeight="false" outlineLevel="0" collapsed="false">
      <c r="A69" s="12"/>
    </row>
    <row r="70" customFormat="false" ht="15" hidden="false" customHeight="false" outlineLevel="0" collapsed="false">
      <c r="A70" s="12"/>
    </row>
    <row r="71" customFormat="false" ht="15" hidden="false" customHeight="false" outlineLevel="0" collapsed="false">
      <c r="A71" s="12"/>
    </row>
    <row r="72" customFormat="false" ht="15" hidden="false" customHeight="false" outlineLevel="0" collapsed="false">
      <c r="A72" s="12"/>
    </row>
    <row r="73" customFormat="false" ht="15" hidden="false" customHeight="false" outlineLevel="0" collapsed="false">
      <c r="A73" s="12"/>
    </row>
    <row r="74" customFormat="false" ht="15" hidden="false" customHeight="false" outlineLevel="0" collapsed="false">
      <c r="A74" s="12"/>
    </row>
    <row r="75" customFormat="false" ht="15" hidden="false" customHeight="false" outlineLevel="0" collapsed="false">
      <c r="A75" s="12"/>
    </row>
    <row r="76" customFormat="false" ht="15" hidden="false" customHeight="false" outlineLevel="0" collapsed="false">
      <c r="A76" s="12"/>
    </row>
    <row r="77" customFormat="false" ht="15" hidden="false" customHeight="false" outlineLevel="0" collapsed="false">
      <c r="A77" s="12"/>
    </row>
    <row r="78" customFormat="false" ht="15" hidden="false" customHeight="false" outlineLevel="0" collapsed="false">
      <c r="A78" s="12"/>
    </row>
    <row r="79" customFormat="false" ht="15" hidden="false" customHeight="false" outlineLevel="0" collapsed="false">
      <c r="A79" s="12"/>
    </row>
    <row r="80" customFormat="false" ht="15" hidden="false" customHeight="false" outlineLevel="0" collapsed="false">
      <c r="A80" s="12"/>
    </row>
    <row r="81" customFormat="false" ht="15" hidden="false" customHeight="false" outlineLevel="0" collapsed="false">
      <c r="A81" s="12"/>
    </row>
    <row r="82" customFormat="false" ht="15" hidden="false" customHeight="false" outlineLevel="0" collapsed="false">
      <c r="A82" s="12"/>
    </row>
    <row r="83" customFormat="false" ht="15" hidden="false" customHeight="false" outlineLevel="0" collapsed="false">
      <c r="A83" s="12"/>
    </row>
    <row r="84" customFormat="false" ht="15" hidden="false" customHeight="false" outlineLevel="0" collapsed="false">
      <c r="A8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72</v>
      </c>
    </row>
    <row r="2" customFormat="false" ht="30" hidden="false" customHeight="true" outlineLevel="0" collapsed="false">
      <c r="B2" s="26" t="s">
        <v>73</v>
      </c>
      <c r="C2" s="26"/>
    </row>
    <row r="3" customFormat="false" ht="31.5" hidden="false" customHeight="true" outlineLevel="0" collapsed="false">
      <c r="B3" s="27" t="s">
        <v>74</v>
      </c>
      <c r="C3" s="27"/>
    </row>
    <row r="5" customFormat="false" ht="15" hidden="false" customHeight="false" outlineLevel="0" collapsed="false">
      <c r="B5" s="28" t="s">
        <v>75</v>
      </c>
      <c r="C5" s="28" t="s">
        <v>76</v>
      </c>
    </row>
    <row r="6" customFormat="false" ht="31.5" hidden="false" customHeight="true" outlineLevel="0" collapsed="false">
      <c r="B6" s="29" t="s">
        <v>77</v>
      </c>
      <c r="C6" s="30" t="s">
        <v>78</v>
      </c>
    </row>
    <row r="7" customFormat="false" ht="31.5" hidden="false" customHeight="true" outlineLevel="0" collapsed="false">
      <c r="B7" s="31" t="s">
        <v>79</v>
      </c>
      <c r="C7" s="32" t="s">
        <v>80</v>
      </c>
    </row>
    <row r="8" customFormat="false" ht="31.5" hidden="false" customHeight="true" outlineLevel="0" collapsed="false">
      <c r="B8" s="29" t="s">
        <v>81</v>
      </c>
      <c r="C8" s="30" t="s">
        <v>82</v>
      </c>
    </row>
    <row r="9" customFormat="false" ht="31.5" hidden="false" customHeight="true" outlineLevel="0" collapsed="false">
      <c r="B9" s="31" t="s">
        <v>83</v>
      </c>
      <c r="C9" s="32" t="s">
        <v>84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