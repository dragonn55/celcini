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Ürünler" sheetId="2" state="visible" r:id="rId4"/>
    <sheet name="Özet" sheetId="3" state="visible" r:id="rId5"/>
    <sheet name="Kategori Zamları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<sst xmlns="http://schemas.openxmlformats.org/spreadsheetml/2006/main" count="78" uniqueCount="72">
  <si>
    <t xml:space="preserve">EXCEL KLİNİĞİ</t>
  </si>
  <si>
    <t xml:space="preserve">FİYAT  |  Fiyat listesi ve zam güncelleme</t>
  </si>
  <si>
    <t xml:space="preserve">Bütün ürünlere tek seferde zam yap, kategoriye ya da ürüne özel oran ver, fiyatları yuvarla; marjın nasıl değiştiğini gör.</t>
  </si>
  <si>
    <t xml:space="preserve">NASIL KULLANILIR</t>
  </si>
  <si>
    <t xml:space="preserve">1. Kategori Zamları</t>
  </si>
  <si>
    <t xml:space="preserve">Kategorilerini yaz; özel oran vermek istediklerinin yanına oranı gir.</t>
  </si>
  <si>
    <t xml:space="preserve">2. Ürünler</t>
  </si>
  <si>
    <t xml:space="preserve">Ürünleri maliyet ve mevcut fiyatla yaz.</t>
  </si>
  <si>
    <t xml:space="preserve">3. Özet</t>
  </si>
  <si>
    <t xml:space="preserve">Genel zam oranını ve yuvarlama kuralını belirle; yeni fiyatlar Ürünler sayfasında çıkar.</t>
  </si>
  <si>
    <t xml:space="preserve">BİLMEN GEREKENLER</t>
  </si>
  <si>
    <t xml:space="preserve">Öncelik</t>
  </si>
  <si>
    <t xml:space="preserve">Ürüne özel zam varsa o, yoksa kategorinin oranı, o da yoksa genel oran uygulanır.</t>
  </si>
  <si>
    <t xml:space="preserve">Yuvarlama</t>
  </si>
  <si>
    <t xml:space="preserve">Yeni fiyat her zaman yukarı yuvarlanır; bu yüzden gerçekleşen zam, yazdığın orandan biraz yüksek çıkabilir.</t>
  </si>
  <si>
    <t xml:space="preserve">Uygulama</t>
  </si>
  <si>
    <t xml:space="preserve">Dosya yalnızca hesaplar; mevcut fiyatların üzerine yazmaz. Zamdan sonra yeni fiyatları değer olarak kopyalayıp mevcut fiyat sütununa yapıştır.</t>
  </si>
  <si>
    <t xml:space="preserve">Kapasite</t>
  </si>
  <si>
    <t xml:space="preserve">Ürünler: 500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</si>
  <si>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</si>
  <si>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</si>
  <si>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</si>
  <si>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</si>
  <si>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</si>
  <si>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Ürünler</t>
  </si>
  <si>
    <t xml:space="preserve">Ürünleri maliyeti ve mevcut fiyatıyla yaz. Ürüne özel zam vermek istersen son sarı sütuna oranı yaz.</t>
  </si>
  <si>
    <t xml:space="preserve">Ürün</t>
  </si>
  <si>
    <t xml:space="preserve">Kategori</t>
  </si>
  <si>
    <t xml:space="preserve">Maliyet (₺)</t>
  </si>
  <si>
    <t xml:space="preserve">Mevcut fiyat (₺)</t>
  </si>
  <si>
    <t xml:space="preserve">Özel zam</t>
  </si>
  <si>
    <t xml:space="preserve">Uygulanan zam</t>
  </si>
  <si>
    <t xml:space="preserve">Yeni fiyat (₺)</t>
  </si>
  <si>
    <t xml:space="preserve">Fark (₺)</t>
  </si>
  <si>
    <t xml:space="preserve">Eski marj</t>
  </si>
  <si>
    <t xml:space="preserve">Yeni marj</t>
  </si>
  <si>
    <t xml:space="preserve">Gerçekleşen zam</t>
  </si>
  <si>
    <t xml:space="preserve">Ayran</t>
  </si>
  <si>
    <t xml:space="preserve">İçecek</t>
  </si>
  <si>
    <t xml:space="preserve">Kraker</t>
  </si>
  <si>
    <t xml:space="preserve">Atıştırmalık</t>
  </si>
  <si>
    <t xml:space="preserve">Çikolata</t>
  </si>
  <si>
    <t xml:space="preserve">Sıvı sabun</t>
  </si>
  <si>
    <t xml:space="preserve">Temizlik</t>
  </si>
  <si>
    <t xml:space="preserve">Özet</t>
  </si>
  <si>
    <t xml:space="preserve">Genel zam oranını ve yuvarlama kuralını yaz.</t>
  </si>
  <si>
    <t xml:space="preserve">Genel zam oranı</t>
  </si>
  <si>
    <t xml:space="preserve">Kategoriye ya da ürüne özel oran yoksa bu uygulanır.</t>
  </si>
  <si>
    <t xml:space="preserve">Yuvarlama adımı (₺)</t>
  </si>
  <si>
    <t xml:space="preserve">Yeni fiyat bu adımın katına yukarı yuvarlanır: 1, 5 ya da 10 gibi.</t>
  </si>
  <si>
    <t xml:space="preserve">Fiyattan düşülecek (₺)</t>
  </si>
  <si>
    <t xml:space="preserve">0,10 yazarsan 25 lira yerine 24,90 olur. İstemezsen 0 yaz.</t>
  </si>
  <si>
    <t xml:space="preserve">Ortalama gerçekleşen zam</t>
  </si>
  <si>
    <t xml:space="preserve">Eski ortalama marj</t>
  </si>
  <si>
    <t xml:space="preserve">Yeni ortalama marj</t>
  </si>
  <si>
    <t xml:space="preserve">Maliyetin altında kalan</t>
  </si>
  <si>
    <t xml:space="preserve">Kategori Zamları</t>
  </si>
  <si>
    <t xml:space="preserve">Kategorileri yaz. Bir kategoriye özel zam oranı vermek istersen yanına yaz; boş bırakırsan genel oran uygulanır.</t>
  </si>
  <si>
    <t xml:space="preserve">Zam oranı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</si>
  <si>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</si>
  <si>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</si>
  <si>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Tedarikçi fiyat anlaşmalarını paylaşmak zorunda değilsin. Yapay zekanın verdiği rakamları dosyadaki özet sayfasıyla karşılaştır.</t>
  </si>
  <si>
    <t xml:space="preserve">Ne için</t>
  </si>
  <si>
    <t xml:space="preserve">Komut (kopyala, yapıştır)</t>
  </si>
  <si>
    <t xml:space="preserve">Zam duyurusu</t>
  </si>
  <si>
    <t xml:space="preserve">Müşterilere fiyat güncellemesini duyuran kısa ve dürüst bir metin yaz.</t>
  </si>
  <si>
    <t xml:space="preserve">Kategori önerisi</t>
  </si>
  <si>
    <t xml:space="preserve">[Ürünler sayfası] Marjı en düşük kategorilere bakarak kategori bazında zam oranı öner.</t>
  </si>
  <si>
    <t xml:space="preserve">Psikolojik fiyat</t>
  </si>
  <si>
    <t xml:space="preserve">[Ürünler sayfası] Yeni fiyatları müşteri gözünde daha kabul edilebilir kılacak yuvarlama önerileri ver.</t>
  </si>
  <si>
    <t xml:space="preserve">Etki</t>
  </si>
  <si>
    <t xml:space="preserve">Zamdan sonra satış adedi yüzde 10 düşerse toplam kârım artar mı azalır mı? Örnek ürünle hesapla.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</si>
</sst>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₺&quot;"/>
    <numFmt numFmtId="166" formatCode="0%"/>
    <numFmt numFmtId="167" formatCode="#,##0.00"/>
    <numFmt numFmtId="168" formatCode="0.0%"/>
    <numFmt numFmtId="169" formatCode="0.00"/>
    <numFmt numFmtId="170" formatCode="#,##0;[RED]\-#,##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1:C11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10" min="5" style="0" width="14"/>
    <col collapsed="false" customWidth="true" hidden="false" outlineLevel="0" max="11" min="11" style="0" width="15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</row>
    <row r="5" customFormat="false" ht="15" hidden="false" customHeight="false" outlineLevel="0" collapsed="false">
      <c r="A5" s="12" t="s">
        <v>37</v>
      </c>
      <c r="B5" s="13" t="s">
        <v>38</v>
      </c>
      <c r="C5" s="14" t="n">
        <v>12</v>
      </c>
      <c r="D5" s="14" t="n">
        <v>20</v>
      </c>
      <c r="E5" s="15"/>
      <c r="F5" s="16" t="n">
        <f aca="false">IF(OR(A5="",D5=""),"",IF(E5&lt;&gt;"",E5,IF(IFERROR(INDEX('Kategori Zamları'!$B$5:$B$24,MATCH(B5,'Kategori Zamları'!$A$5:$A$24,0)),"")="",Özet!$C$3,INDEX('Kategori Zamları'!$B$5:$B$24,MATCH(B5,'Kategori Zamları'!$A$5:$A$24,0)))))</f>
        <v>0.25</v>
      </c>
      <c r="G5" s="17" t="n">
        <f aca="false">IF(F5="","",ROUNDUP(ROUND(D5*(1+F5)/Özet!$C$4,6),0)*Özet!$C$4-Özet!$C$5)</f>
        <v>24.9</v>
      </c>
      <c r="H5" s="17" t="n">
        <f aca="false">IF(G5="","",G5-D5)</f>
        <v>4.9</v>
      </c>
      <c r="I5" s="16" t="n">
        <f aca="false">IF(OR(G5="",D5=0),"",(D5-C5)/D5)</f>
        <v>0.4</v>
      </c>
      <c r="J5" s="16" t="n">
        <f aca="false">IF(OR(G5="",G5=0),"",(G5-C5)/G5)</f>
        <v>0.518072289156627</v>
      </c>
      <c r="K5" s="18" t="n">
        <f aca="false">IF(OR(G5="",D5=0),"",G5/D5-1)</f>
        <v>0.245</v>
      </c>
    </row>
    <row r="6" customFormat="false" ht="15" hidden="false" customHeight="false" outlineLevel="0" collapsed="false">
      <c r="A6" s="12" t="s">
        <v>39</v>
      </c>
      <c r="B6" s="13" t="s">
        <v>40</v>
      </c>
      <c r="C6" s="14" t="n">
        <v>18</v>
      </c>
      <c r="D6" s="14" t="n">
        <v>30</v>
      </c>
      <c r="E6" s="15"/>
      <c r="F6" s="16" t="n">
        <f aca="false">IF(OR(A6="",D6=""),"",IF(E6&lt;&gt;"",E6,IF(IFERROR(INDEX('Kategori Zamları'!$B$5:$B$24,MATCH(B6,'Kategori Zamları'!$A$5:$A$24,0)),"")="",Özet!$C$3,INDEX('Kategori Zamları'!$B$5:$B$24,MATCH(B6,'Kategori Zamları'!$A$5:$A$24,0)))))</f>
        <v>0.2</v>
      </c>
      <c r="G6" s="17" t="n">
        <f aca="false">IF(F6="","",ROUNDUP(ROUND(D6*(1+F6)/Özet!$C$4,6),0)*Özet!$C$4-Özet!$C$5)</f>
        <v>39.9</v>
      </c>
      <c r="H6" s="17" t="n">
        <f aca="false">IF(G6="","",G6-D6)</f>
        <v>9.9</v>
      </c>
      <c r="I6" s="16" t="n">
        <f aca="false">IF(OR(G6="",D6=0),"",(D6-C6)/D6)</f>
        <v>0.4</v>
      </c>
      <c r="J6" s="16" t="n">
        <f aca="false">IF(OR(G6="",G6=0),"",(G6-C6)/G6)</f>
        <v>0.548872180451128</v>
      </c>
      <c r="K6" s="18" t="n">
        <f aca="false">IF(OR(G6="",D6=0),"",G6/D6-1)</f>
        <v>0.33</v>
      </c>
    </row>
    <row r="7" customFormat="false" ht="15" hidden="false" customHeight="false" outlineLevel="0" collapsed="false">
      <c r="A7" s="12" t="s">
        <v>41</v>
      </c>
      <c r="B7" s="13" t="s">
        <v>40</v>
      </c>
      <c r="C7" s="14" t="n">
        <v>30</v>
      </c>
      <c r="D7" s="14" t="n">
        <v>45</v>
      </c>
      <c r="E7" s="15" t="n">
        <v>0.1</v>
      </c>
      <c r="F7" s="16" t="n">
        <f aca="false">IF(OR(A7="",D7=""),"",IF(E7&lt;&gt;"",E7,IF(IFERROR(INDEX('Kategori Zamları'!$B$5:$B$24,MATCH(B7,'Kategori Zamları'!$A$5:$A$24,0)),"")="",Özet!$C$3,INDEX('Kategori Zamları'!$B$5:$B$24,MATCH(B7,'Kategori Zamları'!$A$5:$A$24,0)))))</f>
        <v>0.1</v>
      </c>
      <c r="G7" s="17" t="n">
        <f aca="false">IF(F7="","",ROUNDUP(ROUND(D7*(1+F7)/Özet!$C$4,6),0)*Özet!$C$4-Özet!$C$5)</f>
        <v>49.9</v>
      </c>
      <c r="H7" s="17" t="n">
        <f aca="false">IF(G7="","",G7-D7)</f>
        <v>4.9</v>
      </c>
      <c r="I7" s="16" t="n">
        <f aca="false">IF(OR(G7="",D7=0),"",(D7-C7)/D7)</f>
        <v>0.333333333333333</v>
      </c>
      <c r="J7" s="16" t="n">
        <f aca="false">IF(OR(G7="",G7=0),"",(G7-C7)/G7)</f>
        <v>0.398797595190381</v>
      </c>
      <c r="K7" s="18" t="n">
        <f aca="false">IF(OR(G7="",D7=0),"",G7/D7-1)</f>
        <v>0.108888888888889</v>
      </c>
    </row>
    <row r="8" customFormat="false" ht="15" hidden="false" customHeight="false" outlineLevel="0" collapsed="false">
      <c r="A8" s="12" t="s">
        <v>42</v>
      </c>
      <c r="B8" s="13" t="s">
        <v>43</v>
      </c>
      <c r="C8" s="14" t="n">
        <v>55</v>
      </c>
      <c r="D8" s="14" t="n">
        <v>88</v>
      </c>
      <c r="E8" s="15"/>
      <c r="F8" s="16" t="n">
        <f aca="false">IF(OR(A8="",D8=""),"",IF(E8&lt;&gt;"",E8,IF(IFERROR(INDEX('Kategori Zamları'!$B$5:$B$24,MATCH(B8,'Kategori Zamları'!$A$5:$A$24,0)),"")="",Özet!$C$3,INDEX('Kategori Zamları'!$B$5:$B$24,MATCH(B8,'Kategori Zamları'!$A$5:$A$24,0)))))</f>
        <v>0.15</v>
      </c>
      <c r="G8" s="17" t="n">
        <f aca="false">IF(F8="","",ROUNDUP(ROUND(D8*(1+F8)/Özet!$C$4,6),0)*Özet!$C$4-Özet!$C$5)</f>
        <v>104.9</v>
      </c>
      <c r="H8" s="17" t="n">
        <f aca="false">IF(G8="","",G8-D8)</f>
        <v>16.9</v>
      </c>
      <c r="I8" s="16" t="n">
        <f aca="false">IF(OR(G8="",D8=0),"",(D8-C8)/D8)</f>
        <v>0.375</v>
      </c>
      <c r="J8" s="16" t="n">
        <f aca="false">IF(OR(G8="",G8=0),"",(G8-C8)/G8)</f>
        <v>0.475691134413727</v>
      </c>
      <c r="K8" s="18" t="n">
        <f aca="false">IF(OR(G8="",D8=0),"",G8/D8-1)</f>
        <v>0.192045454545455</v>
      </c>
    </row>
    <row r="9" customFormat="false" ht="15" hidden="false" customHeight="false" outlineLevel="0" collapsed="false">
      <c r="A9" s="12"/>
      <c r="B9" s="13"/>
      <c r="C9" s="14"/>
      <c r="D9" s="14"/>
      <c r="E9" s="15"/>
      <c r="F9" s="16" t="str">
        <f aca="false">IF(OR(A9="",D9=""),"",IF(E9&lt;&gt;"",E9,IF(IFERROR(INDEX('Kategori Zamları'!$B$5:$B$24,MATCH(B9,'Kategori Zamları'!$A$5:$A$24,0)),"")="",Özet!$C$3,INDEX('Kategori Zamları'!$B$5:$B$24,MATCH(B9,'Kategori Zamları'!$A$5:$A$24,0)))))</f>
        <v/>
      </c>
      <c r="G9" s="17" t="str">
        <f aca="false">IF(F9="","",ROUNDUP(ROUND(D9*(1+F9)/Özet!$C$4,6),0)*Özet!$C$4-Özet!$C$5)</f>
        <v/>
      </c>
      <c r="H9" s="17" t="str">
        <f aca="false">IF(G9="","",G9-D9)</f>
        <v/>
      </c>
      <c r="I9" s="16" t="str">
        <f aca="false">IF(OR(G9="",D9=0),"",(D9-C9)/D9)</f>
        <v/>
      </c>
      <c r="J9" s="16" t="str">
        <f aca="false">IF(OR(G9="",G9=0),"",(G9-C9)/G9)</f>
        <v/>
      </c>
      <c r="K9" s="18" t="str">
        <f aca="false">IF(OR(G9="",D9=0),"",G9/D9-1)</f>
        <v/>
      </c>
    </row>
    <row r="10" customFormat="false" ht="15" hidden="false" customHeight="false" outlineLevel="0" collapsed="false">
      <c r="A10" s="12"/>
      <c r="B10" s="13"/>
      <c r="C10" s="14"/>
      <c r="D10" s="14"/>
      <c r="E10" s="15"/>
      <c r="F10" s="16" t="str">
        <f aca="false">IF(OR(A10="",D10=""),"",IF(E10&lt;&gt;"",E10,IF(IFERROR(INDEX('Kategori Zamları'!$B$5:$B$24,MATCH(B10,'Kategori Zamları'!$A$5:$A$24,0)),"")="",Özet!$C$3,INDEX('Kategori Zamları'!$B$5:$B$24,MATCH(B10,'Kategori Zamları'!$A$5:$A$24,0)))))</f>
        <v/>
      </c>
      <c r="G10" s="17" t="str">
        <f aca="false">IF(F10="","",ROUNDUP(ROUND(D10*(1+F10)/Özet!$C$4,6),0)*Özet!$C$4-Özet!$C$5)</f>
        <v/>
      </c>
      <c r="H10" s="17" t="str">
        <f aca="false">IF(G10="","",G10-D10)</f>
        <v/>
      </c>
      <c r="I10" s="16" t="str">
        <f aca="false">IF(OR(G10="",D10=0),"",(D10-C10)/D10)</f>
        <v/>
      </c>
      <c r="J10" s="16" t="str">
        <f aca="false">IF(OR(G10="",G10=0),"",(G10-C10)/G10)</f>
        <v/>
      </c>
      <c r="K10" s="18" t="str">
        <f aca="false">IF(OR(G10="",D10=0),"",G10/D10-1)</f>
        <v/>
      </c>
    </row>
    <row r="11" customFormat="false" ht="15" hidden="false" customHeight="false" outlineLevel="0" collapsed="false">
      <c r="A11" s="12"/>
      <c r="B11" s="13"/>
      <c r="C11" s="14"/>
      <c r="D11" s="14"/>
      <c r="E11" s="15"/>
      <c r="F11" s="16" t="str">
        <f aca="false">IF(OR(A11="",D11=""),"",IF(E11&lt;&gt;"",E11,IF(IFERROR(INDEX('Kategori Zamları'!$B$5:$B$24,MATCH(B11,'Kategori Zamları'!$A$5:$A$24,0)),"")="",Özet!$C$3,INDEX('Kategori Zamları'!$B$5:$B$24,MATCH(B11,'Kategori Zamları'!$A$5:$A$24,0)))))</f>
        <v/>
      </c>
      <c r="G11" s="17" t="str">
        <f aca="false">IF(F11="","",ROUNDUP(ROUND(D11*(1+F11)/Özet!$C$4,6),0)*Özet!$C$4-Özet!$C$5)</f>
        <v/>
      </c>
      <c r="H11" s="17" t="str">
        <f aca="false">IF(G11="","",G11-D11)</f>
        <v/>
      </c>
      <c r="I11" s="16" t="str">
        <f aca="false">IF(OR(G11="",D11=0),"",(D11-C11)/D11)</f>
        <v/>
      </c>
      <c r="J11" s="16" t="str">
        <f aca="false">IF(OR(G11="",G11=0),"",(G11-C11)/G11)</f>
        <v/>
      </c>
      <c r="K11" s="18" t="str">
        <f aca="false">IF(OR(G11="",D11=0),"",G11/D11-1)</f>
        <v/>
      </c>
    </row>
    <row r="12" customFormat="false" ht="15" hidden="false" customHeight="false" outlineLevel="0" collapsed="false">
      <c r="A12" s="12"/>
      <c r="B12" s="13"/>
      <c r="C12" s="14"/>
      <c r="D12" s="14"/>
      <c r="E12" s="15"/>
      <c r="F12" s="16" t="str">
        <f aca="false">IF(OR(A12="",D12=""),"",IF(E12&lt;&gt;"",E12,IF(IFERROR(INDEX('Kategori Zamları'!$B$5:$B$24,MATCH(B12,'Kategori Zamları'!$A$5:$A$24,0)),"")="",Özet!$C$3,INDEX('Kategori Zamları'!$B$5:$B$24,MATCH(B12,'Kategori Zamları'!$A$5:$A$24,0)))))</f>
        <v/>
      </c>
      <c r="G12" s="17" t="str">
        <f aca="false">IF(F12="","",ROUNDUP(ROUND(D12*(1+F12)/Özet!$C$4,6),0)*Özet!$C$4-Özet!$C$5)</f>
        <v/>
      </c>
      <c r="H12" s="17" t="str">
        <f aca="false">IF(G12="","",G12-D12)</f>
        <v/>
      </c>
      <c r="I12" s="16" t="str">
        <f aca="false">IF(OR(G12="",D12=0),"",(D12-C12)/D12)</f>
        <v/>
      </c>
      <c r="J12" s="16" t="str">
        <f aca="false">IF(OR(G12="",G12=0),"",(G12-C12)/G12)</f>
        <v/>
      </c>
      <c r="K12" s="18" t="str">
        <f aca="false">IF(OR(G12="",D12=0),"",G12/D12-1)</f>
        <v/>
      </c>
    </row>
    <row r="13" customFormat="false" ht="15" hidden="false" customHeight="false" outlineLevel="0" collapsed="false">
      <c r="A13" s="12"/>
      <c r="B13" s="13"/>
      <c r="C13" s="14"/>
      <c r="D13" s="14"/>
      <c r="E13" s="15"/>
      <c r="F13" s="16" t="str">
        <f aca="false">IF(OR(A13="",D13=""),"",IF(E13&lt;&gt;"",E13,IF(IFERROR(INDEX('Kategori Zamları'!$B$5:$B$24,MATCH(B13,'Kategori Zamları'!$A$5:$A$24,0)),"")="",Özet!$C$3,INDEX('Kategori Zamları'!$B$5:$B$24,MATCH(B13,'Kategori Zamları'!$A$5:$A$24,0)))))</f>
        <v/>
      </c>
      <c r="G13" s="17" t="str">
        <f aca="false">IF(F13="","",ROUNDUP(ROUND(D13*(1+F13)/Özet!$C$4,6),0)*Özet!$C$4-Özet!$C$5)</f>
        <v/>
      </c>
      <c r="H13" s="17" t="str">
        <f aca="false">IF(G13="","",G13-D13)</f>
        <v/>
      </c>
      <c r="I13" s="16" t="str">
        <f aca="false">IF(OR(G13="",D13=0),"",(D13-C13)/D13)</f>
        <v/>
      </c>
      <c r="J13" s="16" t="str">
        <f aca="false">IF(OR(G13="",G13=0),"",(G13-C13)/G13)</f>
        <v/>
      </c>
      <c r="K13" s="18" t="str">
        <f aca="false">IF(OR(G13="",D13=0),"",G13/D13-1)</f>
        <v/>
      </c>
    </row>
    <row r="14" customFormat="false" ht="15" hidden="false" customHeight="false" outlineLevel="0" collapsed="false">
      <c r="A14" s="12"/>
      <c r="B14" s="13"/>
      <c r="C14" s="14"/>
      <c r="D14" s="14"/>
      <c r="E14" s="15"/>
      <c r="F14" s="16" t="str">
        <f aca="false">IF(OR(A14="",D14=""),"",IF(E14&lt;&gt;"",E14,IF(IFERROR(INDEX('Kategori Zamları'!$B$5:$B$24,MATCH(B14,'Kategori Zamları'!$A$5:$A$24,0)),"")="",Özet!$C$3,INDEX('Kategori Zamları'!$B$5:$B$24,MATCH(B14,'Kategori Zamları'!$A$5:$A$24,0)))))</f>
        <v/>
      </c>
      <c r="G14" s="17" t="str">
        <f aca="false">IF(F14="","",ROUNDUP(ROUND(D14*(1+F14)/Özet!$C$4,6),0)*Özet!$C$4-Özet!$C$5)</f>
        <v/>
      </c>
      <c r="H14" s="17" t="str">
        <f aca="false">IF(G14="","",G14-D14)</f>
        <v/>
      </c>
      <c r="I14" s="16" t="str">
        <f aca="false">IF(OR(G14="",D14=0),"",(D14-C14)/D14)</f>
        <v/>
      </c>
      <c r="J14" s="16" t="str">
        <f aca="false">IF(OR(G14="",G14=0),"",(G14-C14)/G14)</f>
        <v/>
      </c>
      <c r="K14" s="18" t="str">
        <f aca="false">IF(OR(G14="",D14=0),"",G14/D14-1)</f>
        <v/>
      </c>
    </row>
    <row r="15" customFormat="false" ht="15" hidden="false" customHeight="false" outlineLevel="0" collapsed="false">
      <c r="A15" s="12"/>
      <c r="B15" s="13"/>
      <c r="C15" s="14"/>
      <c r="D15" s="14"/>
      <c r="E15" s="15"/>
      <c r="F15" s="16" t="str">
        <f aca="false">IF(OR(A15="",D15=""),"",IF(E15&lt;&gt;"",E15,IF(IFERROR(INDEX('Kategori Zamları'!$B$5:$B$24,MATCH(B15,'Kategori Zamları'!$A$5:$A$24,0)),"")="",Özet!$C$3,INDEX('Kategori Zamları'!$B$5:$B$24,MATCH(B15,'Kategori Zamları'!$A$5:$A$24,0)))))</f>
        <v/>
      </c>
      <c r="G15" s="17" t="str">
        <f aca="false">IF(F15="","",ROUNDUP(ROUND(D15*(1+F15)/Özet!$C$4,6),0)*Özet!$C$4-Özet!$C$5)</f>
        <v/>
      </c>
      <c r="H15" s="17" t="str">
        <f aca="false">IF(G15="","",G15-D15)</f>
        <v/>
      </c>
      <c r="I15" s="16" t="str">
        <f aca="false">IF(OR(G15="",D15=0),"",(D15-C15)/D15)</f>
        <v/>
      </c>
      <c r="J15" s="16" t="str">
        <f aca="false">IF(OR(G15="",G15=0),"",(G15-C15)/G15)</f>
        <v/>
      </c>
      <c r="K15" s="18" t="str">
        <f aca="false">IF(OR(G15="",D15=0),"",G15/D15-1)</f>
        <v/>
      </c>
    </row>
    <row r="16" customFormat="false" ht="15" hidden="false" customHeight="false" outlineLevel="0" collapsed="false">
      <c r="A16" s="12"/>
      <c r="B16" s="13"/>
      <c r="C16" s="14"/>
      <c r="D16" s="14"/>
      <c r="E16" s="15"/>
      <c r="F16" s="16" t="str">
        <f aca="false">IF(OR(A16="",D16=""),"",IF(E16&lt;&gt;"",E16,IF(IFERROR(INDEX('Kategori Zamları'!$B$5:$B$24,MATCH(B16,'Kategori Zamları'!$A$5:$A$24,0)),"")="",Özet!$C$3,INDEX('Kategori Zamları'!$B$5:$B$24,MATCH(B16,'Kategori Zamları'!$A$5:$A$24,0)))))</f>
        <v/>
      </c>
      <c r="G16" s="17" t="str">
        <f aca="false">IF(F16="","",ROUNDUP(ROUND(D16*(1+F16)/Özet!$C$4,6),0)*Özet!$C$4-Özet!$C$5)</f>
        <v/>
      </c>
      <c r="H16" s="17" t="str">
        <f aca="false">IF(G16="","",G16-D16)</f>
        <v/>
      </c>
      <c r="I16" s="16" t="str">
        <f aca="false">IF(OR(G16="",D16=0),"",(D16-C16)/D16)</f>
        <v/>
      </c>
      <c r="J16" s="16" t="str">
        <f aca="false">IF(OR(G16="",G16=0),"",(G16-C16)/G16)</f>
        <v/>
      </c>
      <c r="K16" s="18" t="str">
        <f aca="false">IF(OR(G16="",D16=0),"",G16/D16-1)</f>
        <v/>
      </c>
    </row>
    <row r="17" customFormat="false" ht="15" hidden="false" customHeight="false" outlineLevel="0" collapsed="false">
      <c r="A17" s="12"/>
      <c r="B17" s="13"/>
      <c r="C17" s="14"/>
      <c r="D17" s="14"/>
      <c r="E17" s="15"/>
      <c r="F17" s="16" t="str">
        <f aca="false">IF(OR(A17="",D17=""),"",IF(E17&lt;&gt;"",E17,IF(IFERROR(INDEX('Kategori Zamları'!$B$5:$B$24,MATCH(B17,'Kategori Zamları'!$A$5:$A$24,0)),"")="",Özet!$C$3,INDEX('Kategori Zamları'!$B$5:$B$24,MATCH(B17,'Kategori Zamları'!$A$5:$A$24,0)))))</f>
        <v/>
      </c>
      <c r="G17" s="17" t="str">
        <f aca="false">IF(F17="","",ROUNDUP(ROUND(D17*(1+F17)/Özet!$C$4,6),0)*Özet!$C$4-Özet!$C$5)</f>
        <v/>
      </c>
      <c r="H17" s="17" t="str">
        <f aca="false">IF(G17="","",G17-D17)</f>
        <v/>
      </c>
      <c r="I17" s="16" t="str">
        <f aca="false">IF(OR(G17="",D17=0),"",(D17-C17)/D17)</f>
        <v/>
      </c>
      <c r="J17" s="16" t="str">
        <f aca="false">IF(OR(G17="",G17=0),"",(G17-C17)/G17)</f>
        <v/>
      </c>
      <c r="K17" s="18" t="str">
        <f aca="false">IF(OR(G17="",D17=0),"",G17/D17-1)</f>
        <v/>
      </c>
    </row>
    <row r="18" customFormat="false" ht="15" hidden="false" customHeight="false" outlineLevel="0" collapsed="false">
      <c r="A18" s="12"/>
      <c r="B18" s="13"/>
      <c r="C18" s="14"/>
      <c r="D18" s="14"/>
      <c r="E18" s="15"/>
      <c r="F18" s="16" t="str">
        <f aca="false">IF(OR(A18="",D18=""),"",IF(E18&lt;&gt;"",E18,IF(IFERROR(INDEX('Kategori Zamları'!$B$5:$B$24,MATCH(B18,'Kategori Zamları'!$A$5:$A$24,0)),"")="",Özet!$C$3,INDEX('Kategori Zamları'!$B$5:$B$24,MATCH(B18,'Kategori Zamları'!$A$5:$A$24,0)))))</f>
        <v/>
      </c>
      <c r="G18" s="17" t="str">
        <f aca="false">IF(F18="","",ROUNDUP(ROUND(D18*(1+F18)/Özet!$C$4,6),0)*Özet!$C$4-Özet!$C$5)</f>
        <v/>
      </c>
      <c r="H18" s="17" t="str">
        <f aca="false">IF(G18="","",G18-D18)</f>
        <v/>
      </c>
      <c r="I18" s="16" t="str">
        <f aca="false">IF(OR(G18="",D18=0),"",(D18-C18)/D18)</f>
        <v/>
      </c>
      <c r="J18" s="16" t="str">
        <f aca="false">IF(OR(G18="",G18=0),"",(G18-C18)/G18)</f>
        <v/>
      </c>
      <c r="K18" s="18" t="str">
        <f aca="false">IF(OR(G18="",D18=0),"",G18/D18-1)</f>
        <v/>
      </c>
    </row>
    <row r="19" customFormat="false" ht="15" hidden="false" customHeight="false" outlineLevel="0" collapsed="false">
      <c r="A19" s="12"/>
      <c r="B19" s="13"/>
      <c r="C19" s="14"/>
      <c r="D19" s="14"/>
      <c r="E19" s="15"/>
      <c r="F19" s="16" t="str">
        <f aca="false">IF(OR(A19="",D19=""),"",IF(E19&lt;&gt;"",E19,IF(IFERROR(INDEX('Kategori Zamları'!$B$5:$B$24,MATCH(B19,'Kategori Zamları'!$A$5:$A$24,0)),"")="",Özet!$C$3,INDEX('Kategori Zamları'!$B$5:$B$24,MATCH(B19,'Kategori Zamları'!$A$5:$A$24,0)))))</f>
        <v/>
      </c>
      <c r="G19" s="17" t="str">
        <f aca="false">IF(F19="","",ROUNDUP(ROUND(D19*(1+F19)/Özet!$C$4,6),0)*Özet!$C$4-Özet!$C$5)</f>
        <v/>
      </c>
      <c r="H19" s="17" t="str">
        <f aca="false">IF(G19="","",G19-D19)</f>
        <v/>
      </c>
      <c r="I19" s="16" t="str">
        <f aca="false">IF(OR(G19="",D19=0),"",(D19-C19)/D19)</f>
        <v/>
      </c>
      <c r="J19" s="16" t="str">
        <f aca="false">IF(OR(G19="",G19=0),"",(G19-C19)/G19)</f>
        <v/>
      </c>
      <c r="K19" s="18" t="str">
        <f aca="false">IF(OR(G19="",D19=0),"",G19/D19-1)</f>
        <v/>
      </c>
    </row>
    <row r="20" customFormat="false" ht="15" hidden="false" customHeight="false" outlineLevel="0" collapsed="false">
      <c r="A20" s="12"/>
      <c r="B20" s="13"/>
      <c r="C20" s="14"/>
      <c r="D20" s="14"/>
      <c r="E20" s="15"/>
      <c r="F20" s="16" t="str">
        <f aca="false">IF(OR(A20="",D20=""),"",IF(E20&lt;&gt;"",E20,IF(IFERROR(INDEX('Kategori Zamları'!$B$5:$B$24,MATCH(B20,'Kategori Zamları'!$A$5:$A$24,0)),"")="",Özet!$C$3,INDEX('Kategori Zamları'!$B$5:$B$24,MATCH(B20,'Kategori Zamları'!$A$5:$A$24,0)))))</f>
        <v/>
      </c>
      <c r="G20" s="17" t="str">
        <f aca="false">IF(F20="","",ROUNDUP(ROUND(D20*(1+F20)/Özet!$C$4,6),0)*Özet!$C$4-Özet!$C$5)</f>
        <v/>
      </c>
      <c r="H20" s="17" t="str">
        <f aca="false">IF(G20="","",G20-D20)</f>
        <v/>
      </c>
      <c r="I20" s="16" t="str">
        <f aca="false">IF(OR(G20="",D20=0),"",(D20-C20)/D20)</f>
        <v/>
      </c>
      <c r="J20" s="16" t="str">
        <f aca="false">IF(OR(G20="",G20=0),"",(G20-C20)/G20)</f>
        <v/>
      </c>
      <c r="K20" s="18" t="str">
        <f aca="false">IF(OR(G20="",D20=0),"",G20/D20-1)</f>
        <v/>
      </c>
    </row>
    <row r="21" customFormat="false" ht="15" hidden="false" customHeight="false" outlineLevel="0" collapsed="false">
      <c r="A21" s="12"/>
      <c r="B21" s="13"/>
      <c r="C21" s="14"/>
      <c r="D21" s="14"/>
      <c r="E21" s="15"/>
      <c r="F21" s="16" t="str">
        <f aca="false">IF(OR(A21="",D21=""),"",IF(E21&lt;&gt;"",E21,IF(IFERROR(INDEX('Kategori Zamları'!$B$5:$B$24,MATCH(B21,'Kategori Zamları'!$A$5:$A$24,0)),"")="",Özet!$C$3,INDEX('Kategori Zamları'!$B$5:$B$24,MATCH(B21,'Kategori Zamları'!$A$5:$A$24,0)))))</f>
        <v/>
      </c>
      <c r="G21" s="17" t="str">
        <f aca="false">IF(F21="","",ROUNDUP(ROUND(D21*(1+F21)/Özet!$C$4,6),0)*Özet!$C$4-Özet!$C$5)</f>
        <v/>
      </c>
      <c r="H21" s="17" t="str">
        <f aca="false">IF(G21="","",G21-D21)</f>
        <v/>
      </c>
      <c r="I21" s="16" t="str">
        <f aca="false">IF(OR(G21="",D21=0),"",(D21-C21)/D21)</f>
        <v/>
      </c>
      <c r="J21" s="16" t="str">
        <f aca="false">IF(OR(G21="",G21=0),"",(G21-C21)/G21)</f>
        <v/>
      </c>
      <c r="K21" s="18" t="str">
        <f aca="false">IF(OR(G21="",D21=0),"",G21/D21-1)</f>
        <v/>
      </c>
    </row>
    <row r="22" customFormat="false" ht="15" hidden="false" customHeight="false" outlineLevel="0" collapsed="false">
      <c r="A22" s="12"/>
      <c r="B22" s="13"/>
      <c r="C22" s="14"/>
      <c r="D22" s="14"/>
      <c r="E22" s="15"/>
      <c r="F22" s="16" t="str">
        <f aca="false">IF(OR(A22="",D22=""),"",IF(E22&lt;&gt;"",E22,IF(IFERROR(INDEX('Kategori Zamları'!$B$5:$B$24,MATCH(B22,'Kategori Zamları'!$A$5:$A$24,0)),"")="",Özet!$C$3,INDEX('Kategori Zamları'!$B$5:$B$24,MATCH(B22,'Kategori Zamları'!$A$5:$A$24,0)))))</f>
        <v/>
      </c>
      <c r="G22" s="17" t="str">
        <f aca="false">IF(F22="","",ROUNDUP(ROUND(D22*(1+F22)/Özet!$C$4,6),0)*Özet!$C$4-Özet!$C$5)</f>
        <v/>
      </c>
      <c r="H22" s="17" t="str">
        <f aca="false">IF(G22="","",G22-D22)</f>
        <v/>
      </c>
      <c r="I22" s="16" t="str">
        <f aca="false">IF(OR(G22="",D22=0),"",(D22-C22)/D22)</f>
        <v/>
      </c>
      <c r="J22" s="16" t="str">
        <f aca="false">IF(OR(G22="",G22=0),"",(G22-C22)/G22)</f>
        <v/>
      </c>
      <c r="K22" s="18" t="str">
        <f aca="false">IF(OR(G22="",D22=0),"",G22/D22-1)</f>
        <v/>
      </c>
    </row>
    <row r="23" customFormat="false" ht="15" hidden="false" customHeight="false" outlineLevel="0" collapsed="false">
      <c r="A23" s="12"/>
      <c r="B23" s="13"/>
      <c r="C23" s="14"/>
      <c r="D23" s="14"/>
      <c r="E23" s="15"/>
      <c r="F23" s="16" t="str">
        <f aca="false">IF(OR(A23="",D23=""),"",IF(E23&lt;&gt;"",E23,IF(IFERROR(INDEX('Kategori Zamları'!$B$5:$B$24,MATCH(B23,'Kategori Zamları'!$A$5:$A$24,0)),"")="",Özet!$C$3,INDEX('Kategori Zamları'!$B$5:$B$24,MATCH(B23,'Kategori Zamları'!$A$5:$A$24,0)))))</f>
        <v/>
      </c>
      <c r="G23" s="17" t="str">
        <f aca="false">IF(F23="","",ROUNDUP(ROUND(D23*(1+F23)/Özet!$C$4,6),0)*Özet!$C$4-Özet!$C$5)</f>
        <v/>
      </c>
      <c r="H23" s="17" t="str">
        <f aca="false">IF(G23="","",G23-D23)</f>
        <v/>
      </c>
      <c r="I23" s="16" t="str">
        <f aca="false">IF(OR(G23="",D23=0),"",(D23-C23)/D23)</f>
        <v/>
      </c>
      <c r="J23" s="16" t="str">
        <f aca="false">IF(OR(G23="",G23=0),"",(G23-C23)/G23)</f>
        <v/>
      </c>
      <c r="K23" s="18" t="str">
        <f aca="false">IF(OR(G23="",D23=0),"",G23/D23-1)</f>
        <v/>
      </c>
    </row>
    <row r="24" customFormat="false" ht="15" hidden="false" customHeight="false" outlineLevel="0" collapsed="false">
      <c r="A24" s="12"/>
      <c r="B24" s="13"/>
      <c r="C24" s="14"/>
      <c r="D24" s="14"/>
      <c r="E24" s="15"/>
      <c r="F24" s="16" t="str">
        <f aca="false">IF(OR(A24="",D24=""),"",IF(E24&lt;&gt;"",E24,IF(IFERROR(INDEX('Kategori Zamları'!$B$5:$B$24,MATCH(B24,'Kategori Zamları'!$A$5:$A$24,0)),"")="",Özet!$C$3,INDEX('Kategori Zamları'!$B$5:$B$24,MATCH(B24,'Kategori Zamları'!$A$5:$A$24,0)))))</f>
        <v/>
      </c>
      <c r="G24" s="17" t="str">
        <f aca="false">IF(F24="","",ROUNDUP(ROUND(D24*(1+F24)/Özet!$C$4,6),0)*Özet!$C$4-Özet!$C$5)</f>
        <v/>
      </c>
      <c r="H24" s="17" t="str">
        <f aca="false">IF(G24="","",G24-D24)</f>
        <v/>
      </c>
      <c r="I24" s="16" t="str">
        <f aca="false">IF(OR(G24="",D24=0),"",(D24-C24)/D24)</f>
        <v/>
      </c>
      <c r="J24" s="16" t="str">
        <f aca="false">IF(OR(G24="",G24=0),"",(G24-C24)/G24)</f>
        <v/>
      </c>
      <c r="K24" s="18" t="str">
        <f aca="false">IF(OR(G24="",D24=0),"",G24/D24-1)</f>
        <v/>
      </c>
    </row>
    <row r="25" customFormat="false" ht="15" hidden="false" customHeight="false" outlineLevel="0" collapsed="false">
      <c r="A25" s="12"/>
      <c r="B25" s="13"/>
      <c r="C25" s="14"/>
      <c r="D25" s="14"/>
      <c r="E25" s="15"/>
      <c r="F25" s="16" t="str">
        <f aca="false">IF(OR(A25="",D25=""),"",IF(E25&lt;&gt;"",E25,IF(IFERROR(INDEX('Kategori Zamları'!$B$5:$B$24,MATCH(B25,'Kategori Zamları'!$A$5:$A$24,0)),"")="",Özet!$C$3,INDEX('Kategori Zamları'!$B$5:$B$24,MATCH(B25,'Kategori Zamları'!$A$5:$A$24,0)))))</f>
        <v/>
      </c>
      <c r="G25" s="17" t="str">
        <f aca="false">IF(F25="","",ROUNDUP(ROUND(D25*(1+F25)/Özet!$C$4,6),0)*Özet!$C$4-Özet!$C$5)</f>
        <v/>
      </c>
      <c r="H25" s="17" t="str">
        <f aca="false">IF(G25="","",G25-D25)</f>
        <v/>
      </c>
      <c r="I25" s="16" t="str">
        <f aca="false">IF(OR(G25="",D25=0),"",(D25-C25)/D25)</f>
        <v/>
      </c>
      <c r="J25" s="16" t="str">
        <f aca="false">IF(OR(G25="",G25=0),"",(G25-C25)/G25)</f>
        <v/>
      </c>
      <c r="K25" s="18" t="str">
        <f aca="false">IF(OR(G25="",D25=0),"",G25/D25-1)</f>
        <v/>
      </c>
    </row>
    <row r="26" customFormat="false" ht="15" hidden="false" customHeight="false" outlineLevel="0" collapsed="false">
      <c r="A26" s="12"/>
      <c r="B26" s="13"/>
      <c r="C26" s="14"/>
      <c r="D26" s="14"/>
      <c r="E26" s="15"/>
      <c r="F26" s="16" t="str">
        <f aca="false">IF(OR(A26="",D26=""),"",IF(E26&lt;&gt;"",E26,IF(IFERROR(INDEX('Kategori Zamları'!$B$5:$B$24,MATCH(B26,'Kategori Zamları'!$A$5:$A$24,0)),"")="",Özet!$C$3,INDEX('Kategori Zamları'!$B$5:$B$24,MATCH(B26,'Kategori Zamları'!$A$5:$A$24,0)))))</f>
        <v/>
      </c>
      <c r="G26" s="17" t="str">
        <f aca="false">IF(F26="","",ROUNDUP(ROUND(D26*(1+F26)/Özet!$C$4,6),0)*Özet!$C$4-Özet!$C$5)</f>
        <v/>
      </c>
      <c r="H26" s="17" t="str">
        <f aca="false">IF(G26="","",G26-D26)</f>
        <v/>
      </c>
      <c r="I26" s="16" t="str">
        <f aca="false">IF(OR(G26="",D26=0),"",(D26-C26)/D26)</f>
        <v/>
      </c>
      <c r="J26" s="16" t="str">
        <f aca="false">IF(OR(G26="",G26=0),"",(G26-C26)/G26)</f>
        <v/>
      </c>
      <c r="K26" s="18" t="str">
        <f aca="false">IF(OR(G26="",D26=0),"",G26/D26-1)</f>
        <v/>
      </c>
    </row>
    <row r="27" customFormat="false" ht="15" hidden="false" customHeight="false" outlineLevel="0" collapsed="false">
      <c r="A27" s="12"/>
      <c r="B27" s="13"/>
      <c r="C27" s="14"/>
      <c r="D27" s="14"/>
      <c r="E27" s="15"/>
      <c r="F27" s="16" t="str">
        <f aca="false">IF(OR(A27="",D27=""),"",IF(E27&lt;&gt;"",E27,IF(IFERROR(INDEX('Kategori Zamları'!$B$5:$B$24,MATCH(B27,'Kategori Zamları'!$A$5:$A$24,0)),"")="",Özet!$C$3,INDEX('Kategori Zamları'!$B$5:$B$24,MATCH(B27,'Kategori Zamları'!$A$5:$A$24,0)))))</f>
        <v/>
      </c>
      <c r="G27" s="17" t="str">
        <f aca="false">IF(F27="","",ROUNDUP(ROUND(D27*(1+F27)/Özet!$C$4,6),0)*Özet!$C$4-Özet!$C$5)</f>
        <v/>
      </c>
      <c r="H27" s="17" t="str">
        <f aca="false">IF(G27="","",G27-D27)</f>
        <v/>
      </c>
      <c r="I27" s="16" t="str">
        <f aca="false">IF(OR(G27="",D27=0),"",(D27-C27)/D27)</f>
        <v/>
      </c>
      <c r="J27" s="16" t="str">
        <f aca="false">IF(OR(G27="",G27=0),"",(G27-C27)/G27)</f>
        <v/>
      </c>
      <c r="K27" s="18" t="str">
        <f aca="false">IF(OR(G27="",D27=0),"",G27/D27-1)</f>
        <v/>
      </c>
    </row>
    <row r="28" customFormat="false" ht="15" hidden="false" customHeight="false" outlineLevel="0" collapsed="false">
      <c r="A28" s="12"/>
      <c r="B28" s="13"/>
      <c r="C28" s="14"/>
      <c r="D28" s="14"/>
      <c r="E28" s="15"/>
      <c r="F28" s="16" t="str">
        <f aca="false">IF(OR(A28="",D28=""),"",IF(E28&lt;&gt;"",E28,IF(IFERROR(INDEX('Kategori Zamları'!$B$5:$B$24,MATCH(B28,'Kategori Zamları'!$A$5:$A$24,0)),"")="",Özet!$C$3,INDEX('Kategori Zamları'!$B$5:$B$24,MATCH(B28,'Kategori Zamları'!$A$5:$A$24,0)))))</f>
        <v/>
      </c>
      <c r="G28" s="17" t="str">
        <f aca="false">IF(F28="","",ROUNDUP(ROUND(D28*(1+F28)/Özet!$C$4,6),0)*Özet!$C$4-Özet!$C$5)</f>
        <v/>
      </c>
      <c r="H28" s="17" t="str">
        <f aca="false">IF(G28="","",G28-D28)</f>
        <v/>
      </c>
      <c r="I28" s="16" t="str">
        <f aca="false">IF(OR(G28="",D28=0),"",(D28-C28)/D28)</f>
        <v/>
      </c>
      <c r="J28" s="16" t="str">
        <f aca="false">IF(OR(G28="",G28=0),"",(G28-C28)/G28)</f>
        <v/>
      </c>
      <c r="K28" s="18" t="str">
        <f aca="false">IF(OR(G28="",D28=0),"",G28/D28-1)</f>
        <v/>
      </c>
    </row>
    <row r="29" customFormat="false" ht="15" hidden="false" customHeight="false" outlineLevel="0" collapsed="false">
      <c r="A29" s="12"/>
      <c r="B29" s="13"/>
      <c r="C29" s="14"/>
      <c r="D29" s="14"/>
      <c r="E29" s="15"/>
      <c r="F29" s="16" t="str">
        <f aca="false">IF(OR(A29="",D29=""),"",IF(E29&lt;&gt;"",E29,IF(IFERROR(INDEX('Kategori Zamları'!$B$5:$B$24,MATCH(B29,'Kategori Zamları'!$A$5:$A$24,0)),"")="",Özet!$C$3,INDEX('Kategori Zamları'!$B$5:$B$24,MATCH(B29,'Kategori Zamları'!$A$5:$A$24,0)))))</f>
        <v/>
      </c>
      <c r="G29" s="17" t="str">
        <f aca="false">IF(F29="","",ROUNDUP(ROUND(D29*(1+F29)/Özet!$C$4,6),0)*Özet!$C$4-Özet!$C$5)</f>
        <v/>
      </c>
      <c r="H29" s="17" t="str">
        <f aca="false">IF(G29="","",G29-D29)</f>
        <v/>
      </c>
      <c r="I29" s="16" t="str">
        <f aca="false">IF(OR(G29="",D29=0),"",(D29-C29)/D29)</f>
        <v/>
      </c>
      <c r="J29" s="16" t="str">
        <f aca="false">IF(OR(G29="",G29=0),"",(G29-C29)/G29)</f>
        <v/>
      </c>
      <c r="K29" s="18" t="str">
        <f aca="false">IF(OR(G29="",D29=0),"",G29/D29-1)</f>
        <v/>
      </c>
    </row>
    <row r="30" customFormat="false" ht="15" hidden="false" customHeight="false" outlineLevel="0" collapsed="false">
      <c r="A30" s="12"/>
      <c r="B30" s="13"/>
      <c r="C30" s="14"/>
      <c r="D30" s="14"/>
      <c r="E30" s="15"/>
      <c r="F30" s="16" t="str">
        <f aca="false">IF(OR(A30="",D30=""),"",IF(E30&lt;&gt;"",E30,IF(IFERROR(INDEX('Kategori Zamları'!$B$5:$B$24,MATCH(B30,'Kategori Zamları'!$A$5:$A$24,0)),"")="",Özet!$C$3,INDEX('Kategori Zamları'!$B$5:$B$24,MATCH(B30,'Kategori Zamları'!$A$5:$A$24,0)))))</f>
        <v/>
      </c>
      <c r="G30" s="17" t="str">
        <f aca="false">IF(F30="","",ROUNDUP(ROUND(D30*(1+F30)/Özet!$C$4,6),0)*Özet!$C$4-Özet!$C$5)</f>
        <v/>
      </c>
      <c r="H30" s="17" t="str">
        <f aca="false">IF(G30="","",G30-D30)</f>
        <v/>
      </c>
      <c r="I30" s="16" t="str">
        <f aca="false">IF(OR(G30="",D30=0),"",(D30-C30)/D30)</f>
        <v/>
      </c>
      <c r="J30" s="16" t="str">
        <f aca="false">IF(OR(G30="",G30=0),"",(G30-C30)/G30)</f>
        <v/>
      </c>
      <c r="K30" s="18" t="str">
        <f aca="false">IF(OR(G30="",D30=0),"",G30/D30-1)</f>
        <v/>
      </c>
    </row>
    <row r="31" customFormat="false" ht="15" hidden="false" customHeight="false" outlineLevel="0" collapsed="false">
      <c r="A31" s="12"/>
      <c r="B31" s="13"/>
      <c r="C31" s="14"/>
      <c r="D31" s="14"/>
      <c r="E31" s="15"/>
      <c r="F31" s="16" t="str">
        <f aca="false">IF(OR(A31="",D31=""),"",IF(E31&lt;&gt;"",E31,IF(IFERROR(INDEX('Kategori Zamları'!$B$5:$B$24,MATCH(B31,'Kategori Zamları'!$A$5:$A$24,0)),"")="",Özet!$C$3,INDEX('Kategori Zamları'!$B$5:$B$24,MATCH(B31,'Kategori Zamları'!$A$5:$A$24,0)))))</f>
        <v/>
      </c>
      <c r="G31" s="17" t="str">
        <f aca="false">IF(F31="","",ROUNDUP(ROUND(D31*(1+F31)/Özet!$C$4,6),0)*Özet!$C$4-Özet!$C$5)</f>
        <v/>
      </c>
      <c r="H31" s="17" t="str">
        <f aca="false">IF(G31="","",G31-D31)</f>
        <v/>
      </c>
      <c r="I31" s="16" t="str">
        <f aca="false">IF(OR(G31="",D31=0),"",(D31-C31)/D31)</f>
        <v/>
      </c>
      <c r="J31" s="16" t="str">
        <f aca="false">IF(OR(G31="",G31=0),"",(G31-C31)/G31)</f>
        <v/>
      </c>
      <c r="K31" s="18" t="str">
        <f aca="false">IF(OR(G31="",D31=0),"",G31/D31-1)</f>
        <v/>
      </c>
    </row>
    <row r="32" customFormat="false" ht="15" hidden="false" customHeight="false" outlineLevel="0" collapsed="false">
      <c r="A32" s="12"/>
      <c r="B32" s="13"/>
      <c r="C32" s="14"/>
      <c r="D32" s="14"/>
      <c r="E32" s="15"/>
      <c r="F32" s="16" t="str">
        <f aca="false">IF(OR(A32="",D32=""),"",IF(E32&lt;&gt;"",E32,IF(IFERROR(INDEX('Kategori Zamları'!$B$5:$B$24,MATCH(B32,'Kategori Zamları'!$A$5:$A$24,0)),"")="",Özet!$C$3,INDEX('Kategori Zamları'!$B$5:$B$24,MATCH(B32,'Kategori Zamları'!$A$5:$A$24,0)))))</f>
        <v/>
      </c>
      <c r="G32" s="17" t="str">
        <f aca="false">IF(F32="","",ROUNDUP(ROUND(D32*(1+F32)/Özet!$C$4,6),0)*Özet!$C$4-Özet!$C$5)</f>
        <v/>
      </c>
      <c r="H32" s="17" t="str">
        <f aca="false">IF(G32="","",G32-D32)</f>
        <v/>
      </c>
      <c r="I32" s="16" t="str">
        <f aca="false">IF(OR(G32="",D32=0),"",(D32-C32)/D32)</f>
        <v/>
      </c>
      <c r="J32" s="16" t="str">
        <f aca="false">IF(OR(G32="",G32=0),"",(G32-C32)/G32)</f>
        <v/>
      </c>
      <c r="K32" s="18" t="str">
        <f aca="false">IF(OR(G32="",D32=0),"",G32/D32-1)</f>
        <v/>
      </c>
    </row>
    <row r="33" customFormat="false" ht="15" hidden="false" customHeight="false" outlineLevel="0" collapsed="false">
      <c r="A33" s="12"/>
      <c r="B33" s="13"/>
      <c r="C33" s="14"/>
      <c r="D33" s="14"/>
      <c r="E33" s="15"/>
      <c r="F33" s="16" t="str">
        <f aca="false">IF(OR(A33="",D33=""),"",IF(E33&lt;&gt;"",E33,IF(IFERROR(INDEX('Kategori Zamları'!$B$5:$B$24,MATCH(B33,'Kategori Zamları'!$A$5:$A$24,0)),"")="",Özet!$C$3,INDEX('Kategori Zamları'!$B$5:$B$24,MATCH(B33,'Kategori Zamları'!$A$5:$A$24,0)))))</f>
        <v/>
      </c>
      <c r="G33" s="17" t="str">
        <f aca="false">IF(F33="","",ROUNDUP(ROUND(D33*(1+F33)/Özet!$C$4,6),0)*Özet!$C$4-Özet!$C$5)</f>
        <v/>
      </c>
      <c r="H33" s="17" t="str">
        <f aca="false">IF(G33="","",G33-D33)</f>
        <v/>
      </c>
      <c r="I33" s="16" t="str">
        <f aca="false">IF(OR(G33="",D33=0),"",(D33-C33)/D33)</f>
        <v/>
      </c>
      <c r="J33" s="16" t="str">
        <f aca="false">IF(OR(G33="",G33=0),"",(G33-C33)/G33)</f>
        <v/>
      </c>
      <c r="K33" s="18" t="str">
        <f aca="false">IF(OR(G33="",D33=0),"",G33/D33-1)</f>
        <v/>
      </c>
    </row>
    <row r="34" customFormat="false" ht="15" hidden="false" customHeight="false" outlineLevel="0" collapsed="false">
      <c r="A34" s="12"/>
      <c r="B34" s="13"/>
      <c r="C34" s="14"/>
      <c r="D34" s="14"/>
      <c r="E34" s="15"/>
      <c r="F34" s="16" t="str">
        <f aca="false">IF(OR(A34="",D34=""),"",IF(E34&lt;&gt;"",E34,IF(IFERROR(INDEX('Kategori Zamları'!$B$5:$B$24,MATCH(B34,'Kategori Zamları'!$A$5:$A$24,0)),"")="",Özet!$C$3,INDEX('Kategori Zamları'!$B$5:$B$24,MATCH(B34,'Kategori Zamları'!$A$5:$A$24,0)))))</f>
        <v/>
      </c>
      <c r="G34" s="17" t="str">
        <f aca="false">IF(F34="","",ROUNDUP(ROUND(D34*(1+F34)/Özet!$C$4,6),0)*Özet!$C$4-Özet!$C$5)</f>
        <v/>
      </c>
      <c r="H34" s="17" t="str">
        <f aca="false">IF(G34="","",G34-D34)</f>
        <v/>
      </c>
      <c r="I34" s="16" t="str">
        <f aca="false">IF(OR(G34="",D34=0),"",(D34-C34)/D34)</f>
        <v/>
      </c>
      <c r="J34" s="16" t="str">
        <f aca="false">IF(OR(G34="",G34=0),"",(G34-C34)/G34)</f>
        <v/>
      </c>
      <c r="K34" s="18" t="str">
        <f aca="false">IF(OR(G34="",D34=0),"",G34/D34-1)</f>
        <v/>
      </c>
    </row>
    <row r="35" customFormat="false" ht="15" hidden="false" customHeight="false" outlineLevel="0" collapsed="false">
      <c r="A35" s="12"/>
      <c r="B35" s="13"/>
      <c r="C35" s="14"/>
      <c r="D35" s="14"/>
      <c r="E35" s="15"/>
      <c r="F35" s="16" t="str">
        <f aca="false">IF(OR(A35="",D35=""),"",IF(E35&lt;&gt;"",E35,IF(IFERROR(INDEX('Kategori Zamları'!$B$5:$B$24,MATCH(B35,'Kategori Zamları'!$A$5:$A$24,0)),"")="",Özet!$C$3,INDEX('Kategori Zamları'!$B$5:$B$24,MATCH(B35,'Kategori Zamları'!$A$5:$A$24,0)))))</f>
        <v/>
      </c>
      <c r="G35" s="17" t="str">
        <f aca="false">IF(F35="","",ROUNDUP(ROUND(D35*(1+F35)/Özet!$C$4,6),0)*Özet!$C$4-Özet!$C$5)</f>
        <v/>
      </c>
      <c r="H35" s="17" t="str">
        <f aca="false">IF(G35="","",G35-D35)</f>
        <v/>
      </c>
      <c r="I35" s="16" t="str">
        <f aca="false">IF(OR(G35="",D35=0),"",(D35-C35)/D35)</f>
        <v/>
      </c>
      <c r="J35" s="16" t="str">
        <f aca="false">IF(OR(G35="",G35=0),"",(G35-C35)/G35)</f>
        <v/>
      </c>
      <c r="K35" s="18" t="str">
        <f aca="false">IF(OR(G35="",D35=0),"",G35/D35-1)</f>
        <v/>
      </c>
    </row>
    <row r="36" customFormat="false" ht="15" hidden="false" customHeight="false" outlineLevel="0" collapsed="false">
      <c r="A36" s="12"/>
      <c r="B36" s="13"/>
      <c r="C36" s="14"/>
      <c r="D36" s="14"/>
      <c r="E36" s="15"/>
      <c r="F36" s="16" t="str">
        <f aca="false">IF(OR(A36="",D36=""),"",IF(E36&lt;&gt;"",E36,IF(IFERROR(INDEX('Kategori Zamları'!$B$5:$B$24,MATCH(B36,'Kategori Zamları'!$A$5:$A$24,0)),"")="",Özet!$C$3,INDEX('Kategori Zamları'!$B$5:$B$24,MATCH(B36,'Kategori Zamları'!$A$5:$A$24,0)))))</f>
        <v/>
      </c>
      <c r="G36" s="17" t="str">
        <f aca="false">IF(F36="","",ROUNDUP(ROUND(D36*(1+F36)/Özet!$C$4,6),0)*Özet!$C$4-Özet!$C$5)</f>
        <v/>
      </c>
      <c r="H36" s="17" t="str">
        <f aca="false">IF(G36="","",G36-D36)</f>
        <v/>
      </c>
      <c r="I36" s="16" t="str">
        <f aca="false">IF(OR(G36="",D36=0),"",(D36-C36)/D36)</f>
        <v/>
      </c>
      <c r="J36" s="16" t="str">
        <f aca="false">IF(OR(G36="",G36=0),"",(G36-C36)/G36)</f>
        <v/>
      </c>
      <c r="K36" s="18" t="str">
        <f aca="false">IF(OR(G36="",D36=0),"",G36/D36-1)</f>
        <v/>
      </c>
    </row>
    <row r="37" customFormat="false" ht="15" hidden="false" customHeight="false" outlineLevel="0" collapsed="false">
      <c r="A37" s="12"/>
      <c r="B37" s="13"/>
      <c r="C37" s="14"/>
      <c r="D37" s="14"/>
      <c r="E37" s="15"/>
      <c r="F37" s="16" t="str">
        <f aca="false">IF(OR(A37="",D37=""),"",IF(E37&lt;&gt;"",E37,IF(IFERROR(INDEX('Kategori Zamları'!$B$5:$B$24,MATCH(B37,'Kategori Zamları'!$A$5:$A$24,0)),"")="",Özet!$C$3,INDEX('Kategori Zamları'!$B$5:$B$24,MATCH(B37,'Kategori Zamları'!$A$5:$A$24,0)))))</f>
        <v/>
      </c>
      <c r="G37" s="17" t="str">
        <f aca="false">IF(F37="","",ROUNDUP(ROUND(D37*(1+F37)/Özet!$C$4,6),0)*Özet!$C$4-Özet!$C$5)</f>
        <v/>
      </c>
      <c r="H37" s="17" t="str">
        <f aca="false">IF(G37="","",G37-D37)</f>
        <v/>
      </c>
      <c r="I37" s="16" t="str">
        <f aca="false">IF(OR(G37="",D37=0),"",(D37-C37)/D37)</f>
        <v/>
      </c>
      <c r="J37" s="16" t="str">
        <f aca="false">IF(OR(G37="",G37=0),"",(G37-C37)/G37)</f>
        <v/>
      </c>
      <c r="K37" s="18" t="str">
        <f aca="false">IF(OR(G37="",D37=0),"",G37/D37-1)</f>
        <v/>
      </c>
    </row>
    <row r="38" customFormat="false" ht="15" hidden="false" customHeight="false" outlineLevel="0" collapsed="false">
      <c r="A38" s="12"/>
      <c r="B38" s="13"/>
      <c r="C38" s="14"/>
      <c r="D38" s="14"/>
      <c r="E38" s="15"/>
      <c r="F38" s="16" t="str">
        <f aca="false">IF(OR(A38="",D38=""),"",IF(E38&lt;&gt;"",E38,IF(IFERROR(INDEX('Kategori Zamları'!$B$5:$B$24,MATCH(B38,'Kategori Zamları'!$A$5:$A$24,0)),"")="",Özet!$C$3,INDEX('Kategori Zamları'!$B$5:$B$24,MATCH(B38,'Kategori Zamları'!$A$5:$A$24,0)))))</f>
        <v/>
      </c>
      <c r="G38" s="17" t="str">
        <f aca="false">IF(F38="","",ROUNDUP(ROUND(D38*(1+F38)/Özet!$C$4,6),0)*Özet!$C$4-Özet!$C$5)</f>
        <v/>
      </c>
      <c r="H38" s="17" t="str">
        <f aca="false">IF(G38="","",G38-D38)</f>
        <v/>
      </c>
      <c r="I38" s="16" t="str">
        <f aca="false">IF(OR(G38="",D38=0),"",(D38-C38)/D38)</f>
        <v/>
      </c>
      <c r="J38" s="16" t="str">
        <f aca="false">IF(OR(G38="",G38=0),"",(G38-C38)/G38)</f>
        <v/>
      </c>
      <c r="K38" s="18" t="str">
        <f aca="false">IF(OR(G38="",D38=0),"",G38/D38-1)</f>
        <v/>
      </c>
    </row>
    <row r="39" customFormat="false" ht="15" hidden="false" customHeight="false" outlineLevel="0" collapsed="false">
      <c r="A39" s="12"/>
      <c r="B39" s="13"/>
      <c r="C39" s="14"/>
      <c r="D39" s="14"/>
      <c r="E39" s="15"/>
      <c r="F39" s="16" t="str">
        <f aca="false">IF(OR(A39="",D39=""),"",IF(E39&lt;&gt;"",E39,IF(IFERROR(INDEX('Kategori Zamları'!$B$5:$B$24,MATCH(B39,'Kategori Zamları'!$A$5:$A$24,0)),"")="",Özet!$C$3,INDEX('Kategori Zamları'!$B$5:$B$24,MATCH(B39,'Kategori Zamları'!$A$5:$A$24,0)))))</f>
        <v/>
      </c>
      <c r="G39" s="17" t="str">
        <f aca="false">IF(F39="","",ROUNDUP(ROUND(D39*(1+F39)/Özet!$C$4,6),0)*Özet!$C$4-Özet!$C$5)</f>
        <v/>
      </c>
      <c r="H39" s="17" t="str">
        <f aca="false">IF(G39="","",G39-D39)</f>
        <v/>
      </c>
      <c r="I39" s="16" t="str">
        <f aca="false">IF(OR(G39="",D39=0),"",(D39-C39)/D39)</f>
        <v/>
      </c>
      <c r="J39" s="16" t="str">
        <f aca="false">IF(OR(G39="",G39=0),"",(G39-C39)/G39)</f>
        <v/>
      </c>
      <c r="K39" s="18" t="str">
        <f aca="false">IF(OR(G39="",D39=0),"",G39/D39-1)</f>
        <v/>
      </c>
    </row>
    <row r="40" customFormat="false" ht="15" hidden="false" customHeight="false" outlineLevel="0" collapsed="false">
      <c r="A40" s="12"/>
      <c r="B40" s="13"/>
      <c r="C40" s="14"/>
      <c r="D40" s="14"/>
      <c r="E40" s="15"/>
      <c r="F40" s="16" t="str">
        <f aca="false">IF(OR(A40="",D40=""),"",IF(E40&lt;&gt;"",E40,IF(IFERROR(INDEX('Kategori Zamları'!$B$5:$B$24,MATCH(B40,'Kategori Zamları'!$A$5:$A$24,0)),"")="",Özet!$C$3,INDEX('Kategori Zamları'!$B$5:$B$24,MATCH(B40,'Kategori Zamları'!$A$5:$A$24,0)))))</f>
        <v/>
      </c>
      <c r="G40" s="17" t="str">
        <f aca="false">IF(F40="","",ROUNDUP(ROUND(D40*(1+F40)/Özet!$C$4,6),0)*Özet!$C$4-Özet!$C$5)</f>
        <v/>
      </c>
      <c r="H40" s="17" t="str">
        <f aca="false">IF(G40="","",G40-D40)</f>
        <v/>
      </c>
      <c r="I40" s="16" t="str">
        <f aca="false">IF(OR(G40="",D40=0),"",(D40-C40)/D40)</f>
        <v/>
      </c>
      <c r="J40" s="16" t="str">
        <f aca="false">IF(OR(G40="",G40=0),"",(G40-C40)/G40)</f>
        <v/>
      </c>
      <c r="K40" s="18" t="str">
        <f aca="false">IF(OR(G40="",D40=0),"",G40/D40-1)</f>
        <v/>
      </c>
    </row>
    <row r="41" customFormat="false" ht="15" hidden="false" customHeight="false" outlineLevel="0" collapsed="false">
      <c r="A41" s="12"/>
      <c r="B41" s="13"/>
      <c r="C41" s="14"/>
      <c r="D41" s="14"/>
      <c r="E41" s="15"/>
      <c r="F41" s="16" t="str">
        <f aca="false">IF(OR(A41="",D41=""),"",IF(E41&lt;&gt;"",E41,IF(IFERROR(INDEX('Kategori Zamları'!$B$5:$B$24,MATCH(B41,'Kategori Zamları'!$A$5:$A$24,0)),"")="",Özet!$C$3,INDEX('Kategori Zamları'!$B$5:$B$24,MATCH(B41,'Kategori Zamları'!$A$5:$A$24,0)))))</f>
        <v/>
      </c>
      <c r="G41" s="17" t="str">
        <f aca="false">IF(F41="","",ROUNDUP(ROUND(D41*(1+F41)/Özet!$C$4,6),0)*Özet!$C$4-Özet!$C$5)</f>
        <v/>
      </c>
      <c r="H41" s="17" t="str">
        <f aca="false">IF(G41="","",G41-D41)</f>
        <v/>
      </c>
      <c r="I41" s="16" t="str">
        <f aca="false">IF(OR(G41="",D41=0),"",(D41-C41)/D41)</f>
        <v/>
      </c>
      <c r="J41" s="16" t="str">
        <f aca="false">IF(OR(G41="",G41=0),"",(G41-C41)/G41)</f>
        <v/>
      </c>
      <c r="K41" s="18" t="str">
        <f aca="false">IF(OR(G41="",D41=0),"",G41/D41-1)</f>
        <v/>
      </c>
    </row>
    <row r="42" customFormat="false" ht="15" hidden="false" customHeight="false" outlineLevel="0" collapsed="false">
      <c r="A42" s="12"/>
      <c r="B42" s="13"/>
      <c r="C42" s="14"/>
      <c r="D42" s="14"/>
      <c r="E42" s="15"/>
      <c r="F42" s="16" t="str">
        <f aca="false">IF(OR(A42="",D42=""),"",IF(E42&lt;&gt;"",E42,IF(IFERROR(INDEX('Kategori Zamları'!$B$5:$B$24,MATCH(B42,'Kategori Zamları'!$A$5:$A$24,0)),"")="",Özet!$C$3,INDEX('Kategori Zamları'!$B$5:$B$24,MATCH(B42,'Kategori Zamları'!$A$5:$A$24,0)))))</f>
        <v/>
      </c>
      <c r="G42" s="17" t="str">
        <f aca="false">IF(F42="","",ROUNDUP(ROUND(D42*(1+F42)/Özet!$C$4,6),0)*Özet!$C$4-Özet!$C$5)</f>
        <v/>
      </c>
      <c r="H42" s="17" t="str">
        <f aca="false">IF(G42="","",G42-D42)</f>
        <v/>
      </c>
      <c r="I42" s="16" t="str">
        <f aca="false">IF(OR(G42="",D42=0),"",(D42-C42)/D42)</f>
        <v/>
      </c>
      <c r="J42" s="16" t="str">
        <f aca="false">IF(OR(G42="",G42=0),"",(G42-C42)/G42)</f>
        <v/>
      </c>
      <c r="K42" s="18" t="str">
        <f aca="false">IF(OR(G42="",D42=0),"",G42/D42-1)</f>
        <v/>
      </c>
    </row>
    <row r="43" customFormat="false" ht="15" hidden="false" customHeight="false" outlineLevel="0" collapsed="false">
      <c r="A43" s="12"/>
      <c r="B43" s="13"/>
      <c r="C43" s="14"/>
      <c r="D43" s="14"/>
      <c r="E43" s="15"/>
      <c r="F43" s="16" t="str">
        <f aca="false">IF(OR(A43="",D43=""),"",IF(E43&lt;&gt;"",E43,IF(IFERROR(INDEX('Kategori Zamları'!$B$5:$B$24,MATCH(B43,'Kategori Zamları'!$A$5:$A$24,0)),"")="",Özet!$C$3,INDEX('Kategori Zamları'!$B$5:$B$24,MATCH(B43,'Kategori Zamları'!$A$5:$A$24,0)))))</f>
        <v/>
      </c>
      <c r="G43" s="17" t="str">
        <f aca="false">IF(F43="","",ROUNDUP(ROUND(D43*(1+F43)/Özet!$C$4,6),0)*Özet!$C$4-Özet!$C$5)</f>
        <v/>
      </c>
      <c r="H43" s="17" t="str">
        <f aca="false">IF(G43="","",G43-D43)</f>
        <v/>
      </c>
      <c r="I43" s="16" t="str">
        <f aca="false">IF(OR(G43="",D43=0),"",(D43-C43)/D43)</f>
        <v/>
      </c>
      <c r="J43" s="16" t="str">
        <f aca="false">IF(OR(G43="",G43=0),"",(G43-C43)/G43)</f>
        <v/>
      </c>
      <c r="K43" s="18" t="str">
        <f aca="false">IF(OR(G43="",D43=0),"",G43/D43-1)</f>
        <v/>
      </c>
    </row>
    <row r="44" customFormat="false" ht="15" hidden="false" customHeight="false" outlineLevel="0" collapsed="false">
      <c r="A44" s="12"/>
      <c r="B44" s="13"/>
      <c r="C44" s="14"/>
      <c r="D44" s="14"/>
      <c r="E44" s="15"/>
      <c r="F44" s="16" t="str">
        <f aca="false">IF(OR(A44="",D44=""),"",IF(E44&lt;&gt;"",E44,IF(IFERROR(INDEX('Kategori Zamları'!$B$5:$B$24,MATCH(B44,'Kategori Zamları'!$A$5:$A$24,0)),"")="",Özet!$C$3,INDEX('Kategori Zamları'!$B$5:$B$24,MATCH(B44,'Kategori Zamları'!$A$5:$A$24,0)))))</f>
        <v/>
      </c>
      <c r="G44" s="17" t="str">
        <f aca="false">IF(F44="","",ROUNDUP(ROUND(D44*(1+F44)/Özet!$C$4,6),0)*Özet!$C$4-Özet!$C$5)</f>
        <v/>
      </c>
      <c r="H44" s="17" t="str">
        <f aca="false">IF(G44="","",G44-D44)</f>
        <v/>
      </c>
      <c r="I44" s="16" t="str">
        <f aca="false">IF(OR(G44="",D44=0),"",(D44-C44)/D44)</f>
        <v/>
      </c>
      <c r="J44" s="16" t="str">
        <f aca="false">IF(OR(G44="",G44=0),"",(G44-C44)/G44)</f>
        <v/>
      </c>
      <c r="K44" s="18" t="str">
        <f aca="false">IF(OR(G44="",D44=0),"",G44/D44-1)</f>
        <v/>
      </c>
    </row>
    <row r="45" customFormat="false" ht="15" hidden="false" customHeight="false" outlineLevel="0" collapsed="false">
      <c r="A45" s="12"/>
      <c r="B45" s="13"/>
      <c r="C45" s="14"/>
      <c r="D45" s="14"/>
      <c r="E45" s="15"/>
      <c r="F45" s="16" t="str">
        <f aca="false">IF(OR(A45="",D45=""),"",IF(E45&lt;&gt;"",E45,IF(IFERROR(INDEX('Kategori Zamları'!$B$5:$B$24,MATCH(B45,'Kategori Zamları'!$A$5:$A$24,0)),"")="",Özet!$C$3,INDEX('Kategori Zamları'!$B$5:$B$24,MATCH(B45,'Kategori Zamları'!$A$5:$A$24,0)))))</f>
        <v/>
      </c>
      <c r="G45" s="17" t="str">
        <f aca="false">IF(F45="","",ROUNDUP(ROUND(D45*(1+F45)/Özet!$C$4,6),0)*Özet!$C$4-Özet!$C$5)</f>
        <v/>
      </c>
      <c r="H45" s="17" t="str">
        <f aca="false">IF(G45="","",G45-D45)</f>
        <v/>
      </c>
      <c r="I45" s="16" t="str">
        <f aca="false">IF(OR(G45="",D45=0),"",(D45-C45)/D45)</f>
        <v/>
      </c>
      <c r="J45" s="16" t="str">
        <f aca="false">IF(OR(G45="",G45=0),"",(G45-C45)/G45)</f>
        <v/>
      </c>
      <c r="K45" s="18" t="str">
        <f aca="false">IF(OR(G45="",D45=0),"",G45/D45-1)</f>
        <v/>
      </c>
    </row>
    <row r="46" customFormat="false" ht="15" hidden="false" customHeight="false" outlineLevel="0" collapsed="false">
      <c r="A46" s="12"/>
      <c r="B46" s="13"/>
      <c r="C46" s="14"/>
      <c r="D46" s="14"/>
      <c r="E46" s="15"/>
      <c r="F46" s="16" t="str">
        <f aca="false">IF(OR(A46="",D46=""),"",IF(E46&lt;&gt;"",E46,IF(IFERROR(INDEX('Kategori Zamları'!$B$5:$B$24,MATCH(B46,'Kategori Zamları'!$A$5:$A$24,0)),"")="",Özet!$C$3,INDEX('Kategori Zamları'!$B$5:$B$24,MATCH(B46,'Kategori Zamları'!$A$5:$A$24,0)))))</f>
        <v/>
      </c>
      <c r="G46" s="17" t="str">
        <f aca="false">IF(F46="","",ROUNDUP(ROUND(D46*(1+F46)/Özet!$C$4,6),0)*Özet!$C$4-Özet!$C$5)</f>
        <v/>
      </c>
      <c r="H46" s="17" t="str">
        <f aca="false">IF(G46="","",G46-D46)</f>
        <v/>
      </c>
      <c r="I46" s="16" t="str">
        <f aca="false">IF(OR(G46="",D46=0),"",(D46-C46)/D46)</f>
        <v/>
      </c>
      <c r="J46" s="16" t="str">
        <f aca="false">IF(OR(G46="",G46=0),"",(G46-C46)/G46)</f>
        <v/>
      </c>
      <c r="K46" s="18" t="str">
        <f aca="false">IF(OR(G46="",D46=0),"",G46/D46-1)</f>
        <v/>
      </c>
    </row>
    <row r="47" customFormat="false" ht="15" hidden="false" customHeight="false" outlineLevel="0" collapsed="false">
      <c r="A47" s="12"/>
      <c r="B47" s="13"/>
      <c r="C47" s="14"/>
      <c r="D47" s="14"/>
      <c r="E47" s="15"/>
      <c r="F47" s="16" t="str">
        <f aca="false">IF(OR(A47="",D47=""),"",IF(E47&lt;&gt;"",E47,IF(IFERROR(INDEX('Kategori Zamları'!$B$5:$B$24,MATCH(B47,'Kategori Zamları'!$A$5:$A$24,0)),"")="",Özet!$C$3,INDEX('Kategori Zamları'!$B$5:$B$24,MATCH(B47,'Kategori Zamları'!$A$5:$A$24,0)))))</f>
        <v/>
      </c>
      <c r="G47" s="17" t="str">
        <f aca="false">IF(F47="","",ROUNDUP(ROUND(D47*(1+F47)/Özet!$C$4,6),0)*Özet!$C$4-Özet!$C$5)</f>
        <v/>
      </c>
      <c r="H47" s="17" t="str">
        <f aca="false">IF(G47="","",G47-D47)</f>
        <v/>
      </c>
      <c r="I47" s="16" t="str">
        <f aca="false">IF(OR(G47="",D47=0),"",(D47-C47)/D47)</f>
        <v/>
      </c>
      <c r="J47" s="16" t="str">
        <f aca="false">IF(OR(G47="",G47=0),"",(G47-C47)/G47)</f>
        <v/>
      </c>
      <c r="K47" s="18" t="str">
        <f aca="false">IF(OR(G47="",D47=0),"",G47/D47-1)</f>
        <v/>
      </c>
    </row>
    <row r="48" customFormat="false" ht="15" hidden="false" customHeight="false" outlineLevel="0" collapsed="false">
      <c r="A48" s="12"/>
      <c r="B48" s="13"/>
      <c r="C48" s="14"/>
      <c r="D48" s="14"/>
      <c r="E48" s="15"/>
      <c r="F48" s="16" t="str">
        <f aca="false">IF(OR(A48="",D48=""),"",IF(E48&lt;&gt;"",E48,IF(IFERROR(INDEX('Kategori Zamları'!$B$5:$B$24,MATCH(B48,'Kategori Zamları'!$A$5:$A$24,0)),"")="",Özet!$C$3,INDEX('Kategori Zamları'!$B$5:$B$24,MATCH(B48,'Kategori Zamları'!$A$5:$A$24,0)))))</f>
        <v/>
      </c>
      <c r="G48" s="17" t="str">
        <f aca="false">IF(F48="","",ROUNDUP(ROUND(D48*(1+F48)/Özet!$C$4,6),0)*Özet!$C$4-Özet!$C$5)</f>
        <v/>
      </c>
      <c r="H48" s="17" t="str">
        <f aca="false">IF(G48="","",G48-D48)</f>
        <v/>
      </c>
      <c r="I48" s="16" t="str">
        <f aca="false">IF(OR(G48="",D48=0),"",(D48-C48)/D48)</f>
        <v/>
      </c>
      <c r="J48" s="16" t="str">
        <f aca="false">IF(OR(G48="",G48=0),"",(G48-C48)/G48)</f>
        <v/>
      </c>
      <c r="K48" s="18" t="str">
        <f aca="false">IF(OR(G48="",D48=0),"",G48/D48-1)</f>
        <v/>
      </c>
    </row>
    <row r="49" customFormat="false" ht="15" hidden="false" customHeight="false" outlineLevel="0" collapsed="false">
      <c r="A49" s="12"/>
      <c r="B49" s="13"/>
      <c r="C49" s="14"/>
      <c r="D49" s="14"/>
      <c r="E49" s="15"/>
      <c r="F49" s="16" t="str">
        <f aca="false">IF(OR(A49="",D49=""),"",IF(E49&lt;&gt;"",E49,IF(IFERROR(INDEX('Kategori Zamları'!$B$5:$B$24,MATCH(B49,'Kategori Zamları'!$A$5:$A$24,0)),"")="",Özet!$C$3,INDEX('Kategori Zamları'!$B$5:$B$24,MATCH(B49,'Kategori Zamları'!$A$5:$A$24,0)))))</f>
        <v/>
      </c>
      <c r="G49" s="17" t="str">
        <f aca="false">IF(F49="","",ROUNDUP(ROUND(D49*(1+F49)/Özet!$C$4,6),0)*Özet!$C$4-Özet!$C$5)</f>
        <v/>
      </c>
      <c r="H49" s="17" t="str">
        <f aca="false">IF(G49="","",G49-D49)</f>
        <v/>
      </c>
      <c r="I49" s="16" t="str">
        <f aca="false">IF(OR(G49="",D49=0),"",(D49-C49)/D49)</f>
        <v/>
      </c>
      <c r="J49" s="16" t="str">
        <f aca="false">IF(OR(G49="",G49=0),"",(G49-C49)/G49)</f>
        <v/>
      </c>
      <c r="K49" s="18" t="str">
        <f aca="false">IF(OR(G49="",D49=0),"",G49/D49-1)</f>
        <v/>
      </c>
    </row>
    <row r="50" customFormat="false" ht="15" hidden="false" customHeight="false" outlineLevel="0" collapsed="false">
      <c r="A50" s="12"/>
      <c r="B50" s="13"/>
      <c r="C50" s="14"/>
      <c r="D50" s="14"/>
      <c r="E50" s="15"/>
      <c r="F50" s="16" t="str">
        <f aca="false">IF(OR(A50="",D50=""),"",IF(E50&lt;&gt;"",E50,IF(IFERROR(INDEX('Kategori Zamları'!$B$5:$B$24,MATCH(B50,'Kategori Zamları'!$A$5:$A$24,0)),"")="",Özet!$C$3,INDEX('Kategori Zamları'!$B$5:$B$24,MATCH(B50,'Kategori Zamları'!$A$5:$A$24,0)))))</f>
        <v/>
      </c>
      <c r="G50" s="17" t="str">
        <f aca="false">IF(F50="","",ROUNDUP(ROUND(D50*(1+F50)/Özet!$C$4,6),0)*Özet!$C$4-Özet!$C$5)</f>
        <v/>
      </c>
      <c r="H50" s="17" t="str">
        <f aca="false">IF(G50="","",G50-D50)</f>
        <v/>
      </c>
      <c r="I50" s="16" t="str">
        <f aca="false">IF(OR(G50="",D50=0),"",(D50-C50)/D50)</f>
        <v/>
      </c>
      <c r="J50" s="16" t="str">
        <f aca="false">IF(OR(G50="",G50=0),"",(G50-C50)/G50)</f>
        <v/>
      </c>
      <c r="K50" s="18" t="str">
        <f aca="false">IF(OR(G50="",D50=0),"",G50/D50-1)</f>
        <v/>
      </c>
    </row>
    <row r="51" customFormat="false" ht="15" hidden="false" customHeight="false" outlineLevel="0" collapsed="false">
      <c r="A51" s="12"/>
      <c r="B51" s="13"/>
      <c r="C51" s="14"/>
      <c r="D51" s="14"/>
      <c r="E51" s="15"/>
      <c r="F51" s="16" t="str">
        <f aca="false">IF(OR(A51="",D51=""),"",IF(E51&lt;&gt;"",E51,IF(IFERROR(INDEX('Kategori Zamları'!$B$5:$B$24,MATCH(B51,'Kategori Zamları'!$A$5:$A$24,0)),"")="",Özet!$C$3,INDEX('Kategori Zamları'!$B$5:$B$24,MATCH(B51,'Kategori Zamları'!$A$5:$A$24,0)))))</f>
        <v/>
      </c>
      <c r="G51" s="17" t="str">
        <f aca="false">IF(F51="","",ROUNDUP(ROUND(D51*(1+F51)/Özet!$C$4,6),0)*Özet!$C$4-Özet!$C$5)</f>
        <v/>
      </c>
      <c r="H51" s="17" t="str">
        <f aca="false">IF(G51="","",G51-D51)</f>
        <v/>
      </c>
      <c r="I51" s="16" t="str">
        <f aca="false">IF(OR(G51="",D51=0),"",(D51-C51)/D51)</f>
        <v/>
      </c>
      <c r="J51" s="16" t="str">
        <f aca="false">IF(OR(G51="",G51=0),"",(G51-C51)/G51)</f>
        <v/>
      </c>
      <c r="K51" s="18" t="str">
        <f aca="false">IF(OR(G51="",D51=0),"",G51/D51-1)</f>
        <v/>
      </c>
    </row>
    <row r="52" customFormat="false" ht="15" hidden="false" customHeight="false" outlineLevel="0" collapsed="false">
      <c r="A52" s="12"/>
      <c r="B52" s="13"/>
      <c r="C52" s="14"/>
      <c r="D52" s="14"/>
      <c r="E52" s="15"/>
      <c r="F52" s="16" t="str">
        <f aca="false">IF(OR(A52="",D52=""),"",IF(E52&lt;&gt;"",E52,IF(IFERROR(INDEX('Kategori Zamları'!$B$5:$B$24,MATCH(B52,'Kategori Zamları'!$A$5:$A$24,0)),"")="",Özet!$C$3,INDEX('Kategori Zamları'!$B$5:$B$24,MATCH(B52,'Kategori Zamları'!$A$5:$A$24,0)))))</f>
        <v/>
      </c>
      <c r="G52" s="17" t="str">
        <f aca="false">IF(F52="","",ROUNDUP(ROUND(D52*(1+F52)/Özet!$C$4,6),0)*Özet!$C$4-Özet!$C$5)</f>
        <v/>
      </c>
      <c r="H52" s="17" t="str">
        <f aca="false">IF(G52="","",G52-D52)</f>
        <v/>
      </c>
      <c r="I52" s="16" t="str">
        <f aca="false">IF(OR(G52="",D52=0),"",(D52-C52)/D52)</f>
        <v/>
      </c>
      <c r="J52" s="16" t="str">
        <f aca="false">IF(OR(G52="",G52=0),"",(G52-C52)/G52)</f>
        <v/>
      </c>
      <c r="K52" s="18" t="str">
        <f aca="false">IF(OR(G52="",D52=0),"",G52/D52-1)</f>
        <v/>
      </c>
    </row>
    <row r="53" customFormat="false" ht="15" hidden="false" customHeight="false" outlineLevel="0" collapsed="false">
      <c r="A53" s="12"/>
      <c r="B53" s="13"/>
      <c r="C53" s="14"/>
      <c r="D53" s="14"/>
      <c r="E53" s="15"/>
      <c r="F53" s="16" t="str">
        <f aca="false">IF(OR(A53="",D53=""),"",IF(E53&lt;&gt;"",E53,IF(IFERROR(INDEX('Kategori Zamları'!$B$5:$B$24,MATCH(B53,'Kategori Zamları'!$A$5:$A$24,0)),"")="",Özet!$C$3,INDEX('Kategori Zamları'!$B$5:$B$24,MATCH(B53,'Kategori Zamları'!$A$5:$A$24,0)))))</f>
        <v/>
      </c>
      <c r="G53" s="17" t="str">
        <f aca="false">IF(F53="","",ROUNDUP(ROUND(D53*(1+F53)/Özet!$C$4,6),0)*Özet!$C$4-Özet!$C$5)</f>
        <v/>
      </c>
      <c r="H53" s="17" t="str">
        <f aca="false">IF(G53="","",G53-D53)</f>
        <v/>
      </c>
      <c r="I53" s="16" t="str">
        <f aca="false">IF(OR(G53="",D53=0),"",(D53-C53)/D53)</f>
        <v/>
      </c>
      <c r="J53" s="16" t="str">
        <f aca="false">IF(OR(G53="",G53=0),"",(G53-C53)/G53)</f>
        <v/>
      </c>
      <c r="K53" s="18" t="str">
        <f aca="false">IF(OR(G53="",D53=0),"",G53/D53-1)</f>
        <v/>
      </c>
    </row>
    <row r="54" customFormat="false" ht="15" hidden="false" customHeight="false" outlineLevel="0" collapsed="false">
      <c r="A54" s="12"/>
      <c r="B54" s="13"/>
      <c r="C54" s="14"/>
      <c r="D54" s="14"/>
      <c r="E54" s="15"/>
      <c r="F54" s="16" t="str">
        <f aca="false">IF(OR(A54="",D54=""),"",IF(E54&lt;&gt;"",E54,IF(IFERROR(INDEX('Kategori Zamları'!$B$5:$B$24,MATCH(B54,'Kategori Zamları'!$A$5:$A$24,0)),"")="",Özet!$C$3,INDEX('Kategori Zamları'!$B$5:$B$24,MATCH(B54,'Kategori Zamları'!$A$5:$A$24,0)))))</f>
        <v/>
      </c>
      <c r="G54" s="17" t="str">
        <f aca="false">IF(F54="","",ROUNDUP(ROUND(D54*(1+F54)/Özet!$C$4,6),0)*Özet!$C$4-Özet!$C$5)</f>
        <v/>
      </c>
      <c r="H54" s="17" t="str">
        <f aca="false">IF(G54="","",G54-D54)</f>
        <v/>
      </c>
      <c r="I54" s="16" t="str">
        <f aca="false">IF(OR(G54="",D54=0),"",(D54-C54)/D54)</f>
        <v/>
      </c>
      <c r="J54" s="16" t="str">
        <f aca="false">IF(OR(G54="",G54=0),"",(G54-C54)/G54)</f>
        <v/>
      </c>
      <c r="K54" s="18" t="str">
        <f aca="false">IF(OR(G54="",D54=0),"",G54/D54-1)</f>
        <v/>
      </c>
    </row>
    <row r="55" customFormat="false" ht="15" hidden="false" customHeight="false" outlineLevel="0" collapsed="false">
      <c r="A55" s="12"/>
      <c r="B55" s="13"/>
      <c r="C55" s="14"/>
      <c r="D55" s="14"/>
      <c r="E55" s="15"/>
      <c r="F55" s="16" t="str">
        <f aca="false">IF(OR(A55="",D55=""),"",IF(E55&lt;&gt;"",E55,IF(IFERROR(INDEX('Kategori Zamları'!$B$5:$B$24,MATCH(B55,'Kategori Zamları'!$A$5:$A$24,0)),"")="",Özet!$C$3,INDEX('Kategori Zamları'!$B$5:$B$24,MATCH(B55,'Kategori Zamları'!$A$5:$A$24,0)))))</f>
        <v/>
      </c>
      <c r="G55" s="17" t="str">
        <f aca="false">IF(F55="","",ROUNDUP(ROUND(D55*(1+F55)/Özet!$C$4,6),0)*Özet!$C$4-Özet!$C$5)</f>
        <v/>
      </c>
      <c r="H55" s="17" t="str">
        <f aca="false">IF(G55="","",G55-D55)</f>
        <v/>
      </c>
      <c r="I55" s="16" t="str">
        <f aca="false">IF(OR(G55="",D55=0),"",(D55-C55)/D55)</f>
        <v/>
      </c>
      <c r="J55" s="16" t="str">
        <f aca="false">IF(OR(G55="",G55=0),"",(G55-C55)/G55)</f>
        <v/>
      </c>
      <c r="K55" s="18" t="str">
        <f aca="false">IF(OR(G55="",D55=0),"",G55/D55-1)</f>
        <v/>
      </c>
    </row>
    <row r="56" customFormat="false" ht="15" hidden="false" customHeight="false" outlineLevel="0" collapsed="false">
      <c r="A56" s="12"/>
      <c r="B56" s="13"/>
      <c r="C56" s="14"/>
      <c r="D56" s="14"/>
      <c r="E56" s="15"/>
      <c r="F56" s="16" t="str">
        <f aca="false">IF(OR(A56="",D56=""),"",IF(E56&lt;&gt;"",E56,IF(IFERROR(INDEX('Kategori Zamları'!$B$5:$B$24,MATCH(B56,'Kategori Zamları'!$A$5:$A$24,0)),"")="",Özet!$C$3,INDEX('Kategori Zamları'!$B$5:$B$24,MATCH(B56,'Kategori Zamları'!$A$5:$A$24,0)))))</f>
        <v/>
      </c>
      <c r="G56" s="17" t="str">
        <f aca="false">IF(F56="","",ROUNDUP(ROUND(D56*(1+F56)/Özet!$C$4,6),0)*Özet!$C$4-Özet!$C$5)</f>
        <v/>
      </c>
      <c r="H56" s="17" t="str">
        <f aca="false">IF(G56="","",G56-D56)</f>
        <v/>
      </c>
      <c r="I56" s="16" t="str">
        <f aca="false">IF(OR(G56="",D56=0),"",(D56-C56)/D56)</f>
        <v/>
      </c>
      <c r="J56" s="16" t="str">
        <f aca="false">IF(OR(G56="",G56=0),"",(G56-C56)/G56)</f>
        <v/>
      </c>
      <c r="K56" s="18" t="str">
        <f aca="false">IF(OR(G56="",D56=0),"",G56/D56-1)</f>
        <v/>
      </c>
    </row>
    <row r="57" customFormat="false" ht="15" hidden="false" customHeight="false" outlineLevel="0" collapsed="false">
      <c r="A57" s="12"/>
      <c r="B57" s="13"/>
      <c r="C57" s="14"/>
      <c r="D57" s="14"/>
      <c r="E57" s="15"/>
      <c r="F57" s="16" t="str">
        <f aca="false">IF(OR(A57="",D57=""),"",IF(E57&lt;&gt;"",E57,IF(IFERROR(INDEX('Kategori Zamları'!$B$5:$B$24,MATCH(B57,'Kategori Zamları'!$A$5:$A$24,0)),"")="",Özet!$C$3,INDEX('Kategori Zamları'!$B$5:$B$24,MATCH(B57,'Kategori Zamları'!$A$5:$A$24,0)))))</f>
        <v/>
      </c>
      <c r="G57" s="17" t="str">
        <f aca="false">IF(F57="","",ROUNDUP(ROUND(D57*(1+F57)/Özet!$C$4,6),0)*Özet!$C$4-Özet!$C$5)</f>
        <v/>
      </c>
      <c r="H57" s="17" t="str">
        <f aca="false">IF(G57="","",G57-D57)</f>
        <v/>
      </c>
      <c r="I57" s="16" t="str">
        <f aca="false">IF(OR(G57="",D57=0),"",(D57-C57)/D57)</f>
        <v/>
      </c>
      <c r="J57" s="16" t="str">
        <f aca="false">IF(OR(G57="",G57=0),"",(G57-C57)/G57)</f>
        <v/>
      </c>
      <c r="K57" s="18" t="str">
        <f aca="false">IF(OR(G57="",D57=0),"",G57/D57-1)</f>
        <v/>
      </c>
    </row>
    <row r="58" customFormat="false" ht="15" hidden="false" customHeight="false" outlineLevel="0" collapsed="false">
      <c r="A58" s="12"/>
      <c r="B58" s="13"/>
      <c r="C58" s="14"/>
      <c r="D58" s="14"/>
      <c r="E58" s="15"/>
      <c r="F58" s="16" t="str">
        <f aca="false">IF(OR(A58="",D58=""),"",IF(E58&lt;&gt;"",E58,IF(IFERROR(INDEX('Kategori Zamları'!$B$5:$B$24,MATCH(B58,'Kategori Zamları'!$A$5:$A$24,0)),"")="",Özet!$C$3,INDEX('Kategori Zamları'!$B$5:$B$24,MATCH(B58,'Kategori Zamları'!$A$5:$A$24,0)))))</f>
        <v/>
      </c>
      <c r="G58" s="17" t="str">
        <f aca="false">IF(F58="","",ROUNDUP(ROUND(D58*(1+F58)/Özet!$C$4,6),0)*Özet!$C$4-Özet!$C$5)</f>
        <v/>
      </c>
      <c r="H58" s="17" t="str">
        <f aca="false">IF(G58="","",G58-D58)</f>
        <v/>
      </c>
      <c r="I58" s="16" t="str">
        <f aca="false">IF(OR(G58="",D58=0),"",(D58-C58)/D58)</f>
        <v/>
      </c>
      <c r="J58" s="16" t="str">
        <f aca="false">IF(OR(G58="",G58=0),"",(G58-C58)/G58)</f>
        <v/>
      </c>
      <c r="K58" s="18" t="str">
        <f aca="false">IF(OR(G58="",D58=0),"",G58/D58-1)</f>
        <v/>
      </c>
    </row>
    <row r="59" customFormat="false" ht="15" hidden="false" customHeight="false" outlineLevel="0" collapsed="false">
      <c r="A59" s="12"/>
      <c r="B59" s="13"/>
      <c r="C59" s="14"/>
      <c r="D59" s="14"/>
      <c r="E59" s="15"/>
      <c r="F59" s="16" t="str">
        <f aca="false">IF(OR(A59="",D59=""),"",IF(E59&lt;&gt;"",E59,IF(IFERROR(INDEX('Kategori Zamları'!$B$5:$B$24,MATCH(B59,'Kategori Zamları'!$A$5:$A$24,0)),"")="",Özet!$C$3,INDEX('Kategori Zamları'!$B$5:$B$24,MATCH(B59,'Kategori Zamları'!$A$5:$A$24,0)))))</f>
        <v/>
      </c>
      <c r="G59" s="17" t="str">
        <f aca="false">IF(F59="","",ROUNDUP(ROUND(D59*(1+F59)/Özet!$C$4,6),0)*Özet!$C$4-Özet!$C$5)</f>
        <v/>
      </c>
      <c r="H59" s="17" t="str">
        <f aca="false">IF(G59="","",G59-D59)</f>
        <v/>
      </c>
      <c r="I59" s="16" t="str">
        <f aca="false">IF(OR(G59="",D59=0),"",(D59-C59)/D59)</f>
        <v/>
      </c>
      <c r="J59" s="16" t="str">
        <f aca="false">IF(OR(G59="",G59=0),"",(G59-C59)/G59)</f>
        <v/>
      </c>
      <c r="K59" s="18" t="str">
        <f aca="false">IF(OR(G59="",D59=0),"",G59/D59-1)</f>
        <v/>
      </c>
    </row>
    <row r="60" customFormat="false" ht="15" hidden="false" customHeight="false" outlineLevel="0" collapsed="false">
      <c r="A60" s="12"/>
      <c r="B60" s="13"/>
      <c r="C60" s="14"/>
      <c r="D60" s="14"/>
      <c r="E60" s="15"/>
      <c r="F60" s="16" t="str">
        <f aca="false">IF(OR(A60="",D60=""),"",IF(E60&lt;&gt;"",E60,IF(IFERROR(INDEX('Kategori Zamları'!$B$5:$B$24,MATCH(B60,'Kategori Zamları'!$A$5:$A$24,0)),"")="",Özet!$C$3,INDEX('Kategori Zamları'!$B$5:$B$24,MATCH(B60,'Kategori Zamları'!$A$5:$A$24,0)))))</f>
        <v/>
      </c>
      <c r="G60" s="17" t="str">
        <f aca="false">IF(F60="","",ROUNDUP(ROUND(D60*(1+F60)/Özet!$C$4,6),0)*Özet!$C$4-Özet!$C$5)</f>
        <v/>
      </c>
      <c r="H60" s="17" t="str">
        <f aca="false">IF(G60="","",G60-D60)</f>
        <v/>
      </c>
      <c r="I60" s="16" t="str">
        <f aca="false">IF(OR(G60="",D60=0),"",(D60-C60)/D60)</f>
        <v/>
      </c>
      <c r="J60" s="16" t="str">
        <f aca="false">IF(OR(G60="",G60=0),"",(G60-C60)/G60)</f>
        <v/>
      </c>
      <c r="K60" s="18" t="str">
        <f aca="false">IF(OR(G60="",D60=0),"",G60/D60-1)</f>
        <v/>
      </c>
    </row>
    <row r="61" customFormat="false" ht="15" hidden="false" customHeight="false" outlineLevel="0" collapsed="false">
      <c r="A61" s="12"/>
      <c r="B61" s="13"/>
      <c r="C61" s="14"/>
      <c r="D61" s="14"/>
      <c r="E61" s="15"/>
      <c r="F61" s="16" t="str">
        <f aca="false">IF(OR(A61="",D61=""),"",IF(E61&lt;&gt;"",E61,IF(IFERROR(INDEX('Kategori Zamları'!$B$5:$B$24,MATCH(B61,'Kategori Zamları'!$A$5:$A$24,0)),"")="",Özet!$C$3,INDEX('Kategori Zamları'!$B$5:$B$24,MATCH(B61,'Kategori Zamları'!$A$5:$A$24,0)))))</f>
        <v/>
      </c>
      <c r="G61" s="17" t="str">
        <f aca="false">IF(F61="","",ROUNDUP(ROUND(D61*(1+F61)/Özet!$C$4,6),0)*Özet!$C$4-Özet!$C$5)</f>
        <v/>
      </c>
      <c r="H61" s="17" t="str">
        <f aca="false">IF(G61="","",G61-D61)</f>
        <v/>
      </c>
      <c r="I61" s="16" t="str">
        <f aca="false">IF(OR(G61="",D61=0),"",(D61-C61)/D61)</f>
        <v/>
      </c>
      <c r="J61" s="16" t="str">
        <f aca="false">IF(OR(G61="",G61=0),"",(G61-C61)/G61)</f>
        <v/>
      </c>
      <c r="K61" s="18" t="str">
        <f aca="false">IF(OR(G61="",D61=0),"",G61/D61-1)</f>
        <v/>
      </c>
    </row>
    <row r="62" customFormat="false" ht="15" hidden="false" customHeight="false" outlineLevel="0" collapsed="false">
      <c r="A62" s="12"/>
      <c r="B62" s="13"/>
      <c r="C62" s="14"/>
      <c r="D62" s="14"/>
      <c r="E62" s="15"/>
      <c r="F62" s="16" t="str">
        <f aca="false">IF(OR(A62="",D62=""),"",IF(E62&lt;&gt;"",E62,IF(IFERROR(INDEX('Kategori Zamları'!$B$5:$B$24,MATCH(B62,'Kategori Zamları'!$A$5:$A$24,0)),"")="",Özet!$C$3,INDEX('Kategori Zamları'!$B$5:$B$24,MATCH(B62,'Kategori Zamları'!$A$5:$A$24,0)))))</f>
        <v/>
      </c>
      <c r="G62" s="17" t="str">
        <f aca="false">IF(F62="","",ROUNDUP(ROUND(D62*(1+F62)/Özet!$C$4,6),0)*Özet!$C$4-Özet!$C$5)</f>
        <v/>
      </c>
      <c r="H62" s="17" t="str">
        <f aca="false">IF(G62="","",G62-D62)</f>
        <v/>
      </c>
      <c r="I62" s="16" t="str">
        <f aca="false">IF(OR(G62="",D62=0),"",(D62-C62)/D62)</f>
        <v/>
      </c>
      <c r="J62" s="16" t="str">
        <f aca="false">IF(OR(G62="",G62=0),"",(G62-C62)/G62)</f>
        <v/>
      </c>
      <c r="K62" s="18" t="str">
        <f aca="false">IF(OR(G62="",D62=0),"",G62/D62-1)</f>
        <v/>
      </c>
    </row>
    <row r="63" customFormat="false" ht="15" hidden="false" customHeight="false" outlineLevel="0" collapsed="false">
      <c r="A63" s="12"/>
      <c r="B63" s="13"/>
      <c r="C63" s="14"/>
      <c r="D63" s="14"/>
      <c r="E63" s="15"/>
      <c r="F63" s="16" t="str">
        <f aca="false">IF(OR(A63="",D63=""),"",IF(E63&lt;&gt;"",E63,IF(IFERROR(INDEX('Kategori Zamları'!$B$5:$B$24,MATCH(B63,'Kategori Zamları'!$A$5:$A$24,0)),"")="",Özet!$C$3,INDEX('Kategori Zamları'!$B$5:$B$24,MATCH(B63,'Kategori Zamları'!$A$5:$A$24,0)))))</f>
        <v/>
      </c>
      <c r="G63" s="17" t="str">
        <f aca="false">IF(F63="","",ROUNDUP(ROUND(D63*(1+F63)/Özet!$C$4,6),0)*Özet!$C$4-Özet!$C$5)</f>
        <v/>
      </c>
      <c r="H63" s="17" t="str">
        <f aca="false">IF(G63="","",G63-D63)</f>
        <v/>
      </c>
      <c r="I63" s="16" t="str">
        <f aca="false">IF(OR(G63="",D63=0),"",(D63-C63)/D63)</f>
        <v/>
      </c>
      <c r="J63" s="16" t="str">
        <f aca="false">IF(OR(G63="",G63=0),"",(G63-C63)/G63)</f>
        <v/>
      </c>
      <c r="K63" s="18" t="str">
        <f aca="false">IF(OR(G63="",D63=0),"",G63/D63-1)</f>
        <v/>
      </c>
    </row>
    <row r="64" customFormat="false" ht="15" hidden="false" customHeight="false" outlineLevel="0" collapsed="false">
      <c r="A64" s="12"/>
      <c r="B64" s="13"/>
      <c r="C64" s="14"/>
      <c r="D64" s="14"/>
      <c r="E64" s="15"/>
      <c r="F64" s="16" t="str">
        <f aca="false">IF(OR(A64="",D64=""),"",IF(E64&lt;&gt;"",E64,IF(IFERROR(INDEX('Kategori Zamları'!$B$5:$B$24,MATCH(B64,'Kategori Zamları'!$A$5:$A$24,0)),"")="",Özet!$C$3,INDEX('Kategori Zamları'!$B$5:$B$24,MATCH(B64,'Kategori Zamları'!$A$5:$A$24,0)))))</f>
        <v/>
      </c>
      <c r="G64" s="17" t="str">
        <f aca="false">IF(F64="","",ROUNDUP(ROUND(D64*(1+F64)/Özet!$C$4,6),0)*Özet!$C$4-Özet!$C$5)</f>
        <v/>
      </c>
      <c r="H64" s="17" t="str">
        <f aca="false">IF(G64="","",G64-D64)</f>
        <v/>
      </c>
      <c r="I64" s="16" t="str">
        <f aca="false">IF(OR(G64="",D64=0),"",(D64-C64)/D64)</f>
        <v/>
      </c>
      <c r="J64" s="16" t="str">
        <f aca="false">IF(OR(G64="",G64=0),"",(G64-C64)/G64)</f>
        <v/>
      </c>
      <c r="K64" s="18" t="str">
        <f aca="false">IF(OR(G64="",D64=0),"",G64/D64-1)</f>
        <v/>
      </c>
    </row>
    <row r="65" customFormat="false" ht="15" hidden="false" customHeight="false" outlineLevel="0" collapsed="false">
      <c r="A65" s="12"/>
      <c r="B65" s="13"/>
      <c r="C65" s="14"/>
      <c r="D65" s="14"/>
      <c r="E65" s="15"/>
      <c r="F65" s="16" t="str">
        <f aca="false">IF(OR(A65="",D65=""),"",IF(E65&lt;&gt;"",E65,IF(IFERROR(INDEX('Kategori Zamları'!$B$5:$B$24,MATCH(B65,'Kategori Zamları'!$A$5:$A$24,0)),"")="",Özet!$C$3,INDEX('Kategori Zamları'!$B$5:$B$24,MATCH(B65,'Kategori Zamları'!$A$5:$A$24,0)))))</f>
        <v/>
      </c>
      <c r="G65" s="17" t="str">
        <f aca="false">IF(F65="","",ROUNDUP(ROUND(D65*(1+F65)/Özet!$C$4,6),0)*Özet!$C$4-Özet!$C$5)</f>
        <v/>
      </c>
      <c r="H65" s="17" t="str">
        <f aca="false">IF(G65="","",G65-D65)</f>
        <v/>
      </c>
      <c r="I65" s="16" t="str">
        <f aca="false">IF(OR(G65="",D65=0),"",(D65-C65)/D65)</f>
        <v/>
      </c>
      <c r="J65" s="16" t="str">
        <f aca="false">IF(OR(G65="",G65=0),"",(G65-C65)/G65)</f>
        <v/>
      </c>
      <c r="K65" s="18" t="str">
        <f aca="false">IF(OR(G65="",D65=0),"",G65/D65-1)</f>
        <v/>
      </c>
    </row>
    <row r="66" customFormat="false" ht="15" hidden="false" customHeight="false" outlineLevel="0" collapsed="false">
      <c r="A66" s="12"/>
      <c r="B66" s="13"/>
      <c r="C66" s="14"/>
      <c r="D66" s="14"/>
      <c r="E66" s="15"/>
      <c r="F66" s="16" t="str">
        <f aca="false">IF(OR(A66="",D66=""),"",IF(E66&lt;&gt;"",E66,IF(IFERROR(INDEX('Kategori Zamları'!$B$5:$B$24,MATCH(B66,'Kategori Zamları'!$A$5:$A$24,0)),"")="",Özet!$C$3,INDEX('Kategori Zamları'!$B$5:$B$24,MATCH(B66,'Kategori Zamları'!$A$5:$A$24,0)))))</f>
        <v/>
      </c>
      <c r="G66" s="17" t="str">
        <f aca="false">IF(F66="","",ROUNDUP(ROUND(D66*(1+F66)/Özet!$C$4,6),0)*Özet!$C$4-Özet!$C$5)</f>
        <v/>
      </c>
      <c r="H66" s="17" t="str">
        <f aca="false">IF(G66="","",G66-D66)</f>
        <v/>
      </c>
      <c r="I66" s="16" t="str">
        <f aca="false">IF(OR(G66="",D66=0),"",(D66-C66)/D66)</f>
        <v/>
      </c>
      <c r="J66" s="16" t="str">
        <f aca="false">IF(OR(G66="",G66=0),"",(G66-C66)/G66)</f>
        <v/>
      </c>
      <c r="K66" s="18" t="str">
        <f aca="false">IF(OR(G66="",D66=0),"",G66/D66-1)</f>
        <v/>
      </c>
    </row>
    <row r="67" customFormat="false" ht="15" hidden="false" customHeight="false" outlineLevel="0" collapsed="false">
      <c r="A67" s="12"/>
      <c r="B67" s="13"/>
      <c r="C67" s="14"/>
      <c r="D67" s="14"/>
      <c r="E67" s="15"/>
      <c r="F67" s="16" t="str">
        <f aca="false">IF(OR(A67="",D67=""),"",IF(E67&lt;&gt;"",E67,IF(IFERROR(INDEX('Kategori Zamları'!$B$5:$B$24,MATCH(B67,'Kategori Zamları'!$A$5:$A$24,0)),"")="",Özet!$C$3,INDEX('Kategori Zamları'!$B$5:$B$24,MATCH(B67,'Kategori Zamları'!$A$5:$A$24,0)))))</f>
        <v/>
      </c>
      <c r="G67" s="17" t="str">
        <f aca="false">IF(F67="","",ROUNDUP(ROUND(D67*(1+F67)/Özet!$C$4,6),0)*Özet!$C$4-Özet!$C$5)</f>
        <v/>
      </c>
      <c r="H67" s="17" t="str">
        <f aca="false">IF(G67="","",G67-D67)</f>
        <v/>
      </c>
      <c r="I67" s="16" t="str">
        <f aca="false">IF(OR(G67="",D67=0),"",(D67-C67)/D67)</f>
        <v/>
      </c>
      <c r="J67" s="16" t="str">
        <f aca="false">IF(OR(G67="",G67=0),"",(G67-C67)/G67)</f>
        <v/>
      </c>
      <c r="K67" s="18" t="str">
        <f aca="false">IF(OR(G67="",D67=0),"",G67/D67-1)</f>
        <v/>
      </c>
    </row>
    <row r="68" customFormat="false" ht="15" hidden="false" customHeight="false" outlineLevel="0" collapsed="false">
      <c r="A68" s="12"/>
      <c r="B68" s="13"/>
      <c r="C68" s="14"/>
      <c r="D68" s="14"/>
      <c r="E68" s="15"/>
      <c r="F68" s="16" t="str">
        <f aca="false">IF(OR(A68="",D68=""),"",IF(E68&lt;&gt;"",E68,IF(IFERROR(INDEX('Kategori Zamları'!$B$5:$B$24,MATCH(B68,'Kategori Zamları'!$A$5:$A$24,0)),"")="",Özet!$C$3,INDEX('Kategori Zamları'!$B$5:$B$24,MATCH(B68,'Kategori Zamları'!$A$5:$A$24,0)))))</f>
        <v/>
      </c>
      <c r="G68" s="17" t="str">
        <f aca="false">IF(F68="","",ROUNDUP(ROUND(D68*(1+F68)/Özet!$C$4,6),0)*Özet!$C$4-Özet!$C$5)</f>
        <v/>
      </c>
      <c r="H68" s="17" t="str">
        <f aca="false">IF(G68="","",G68-D68)</f>
        <v/>
      </c>
      <c r="I68" s="16" t="str">
        <f aca="false">IF(OR(G68="",D68=0),"",(D68-C68)/D68)</f>
        <v/>
      </c>
      <c r="J68" s="16" t="str">
        <f aca="false">IF(OR(G68="",G68=0),"",(G68-C68)/G68)</f>
        <v/>
      </c>
      <c r="K68" s="18" t="str">
        <f aca="false">IF(OR(G68="",D68=0),"",G68/D68-1)</f>
        <v/>
      </c>
    </row>
    <row r="69" customFormat="false" ht="15" hidden="false" customHeight="false" outlineLevel="0" collapsed="false">
      <c r="A69" s="12"/>
      <c r="B69" s="13"/>
      <c r="C69" s="14"/>
      <c r="D69" s="14"/>
      <c r="E69" s="15"/>
      <c r="F69" s="16" t="str">
        <f aca="false">IF(OR(A69="",D69=""),"",IF(E69&lt;&gt;"",E69,IF(IFERROR(INDEX('Kategori Zamları'!$B$5:$B$24,MATCH(B69,'Kategori Zamları'!$A$5:$A$24,0)),"")="",Özet!$C$3,INDEX('Kategori Zamları'!$B$5:$B$24,MATCH(B69,'Kategori Zamları'!$A$5:$A$24,0)))))</f>
        <v/>
      </c>
      <c r="G69" s="17" t="str">
        <f aca="false">IF(F69="","",ROUNDUP(ROUND(D69*(1+F69)/Özet!$C$4,6),0)*Özet!$C$4-Özet!$C$5)</f>
        <v/>
      </c>
      <c r="H69" s="17" t="str">
        <f aca="false">IF(G69="","",G69-D69)</f>
        <v/>
      </c>
      <c r="I69" s="16" t="str">
        <f aca="false">IF(OR(G69="",D69=0),"",(D69-C69)/D69)</f>
        <v/>
      </c>
      <c r="J69" s="16" t="str">
        <f aca="false">IF(OR(G69="",G69=0),"",(G69-C69)/G69)</f>
        <v/>
      </c>
      <c r="K69" s="18" t="str">
        <f aca="false">IF(OR(G69="",D69=0),"",G69/D69-1)</f>
        <v/>
      </c>
    </row>
    <row r="70" customFormat="false" ht="15" hidden="false" customHeight="false" outlineLevel="0" collapsed="false">
      <c r="A70" s="12"/>
      <c r="B70" s="13"/>
      <c r="C70" s="14"/>
      <c r="D70" s="14"/>
      <c r="E70" s="15"/>
      <c r="F70" s="16" t="str">
        <f aca="false">IF(OR(A70="",D70=""),"",IF(E70&lt;&gt;"",E70,IF(IFERROR(INDEX('Kategori Zamları'!$B$5:$B$24,MATCH(B70,'Kategori Zamları'!$A$5:$A$24,0)),"")="",Özet!$C$3,INDEX('Kategori Zamları'!$B$5:$B$24,MATCH(B70,'Kategori Zamları'!$A$5:$A$24,0)))))</f>
        <v/>
      </c>
      <c r="G70" s="17" t="str">
        <f aca="false">IF(F70="","",ROUNDUP(ROUND(D70*(1+F70)/Özet!$C$4,6),0)*Özet!$C$4-Özet!$C$5)</f>
        <v/>
      </c>
      <c r="H70" s="17" t="str">
        <f aca="false">IF(G70="","",G70-D70)</f>
        <v/>
      </c>
      <c r="I70" s="16" t="str">
        <f aca="false">IF(OR(G70="",D70=0),"",(D70-C70)/D70)</f>
        <v/>
      </c>
      <c r="J70" s="16" t="str">
        <f aca="false">IF(OR(G70="",G70=0),"",(G70-C70)/G70)</f>
        <v/>
      </c>
      <c r="K70" s="18" t="str">
        <f aca="false">IF(OR(G70="",D70=0),"",G70/D70-1)</f>
        <v/>
      </c>
    </row>
    <row r="71" customFormat="false" ht="15" hidden="false" customHeight="false" outlineLevel="0" collapsed="false">
      <c r="A71" s="12"/>
      <c r="B71" s="13"/>
      <c r="C71" s="14"/>
      <c r="D71" s="14"/>
      <c r="E71" s="15"/>
      <c r="F71" s="16" t="str">
        <f aca="false">IF(OR(A71="",D71=""),"",IF(E71&lt;&gt;"",E71,IF(IFERROR(INDEX('Kategori Zamları'!$B$5:$B$24,MATCH(B71,'Kategori Zamları'!$A$5:$A$24,0)),"")="",Özet!$C$3,INDEX('Kategori Zamları'!$B$5:$B$24,MATCH(B71,'Kategori Zamları'!$A$5:$A$24,0)))))</f>
        <v/>
      </c>
      <c r="G71" s="17" t="str">
        <f aca="false">IF(F71="","",ROUNDUP(ROUND(D71*(1+F71)/Özet!$C$4,6),0)*Özet!$C$4-Özet!$C$5)</f>
        <v/>
      </c>
      <c r="H71" s="17" t="str">
        <f aca="false">IF(G71="","",G71-D71)</f>
        <v/>
      </c>
      <c r="I71" s="16" t="str">
        <f aca="false">IF(OR(G71="",D71=0),"",(D71-C71)/D71)</f>
        <v/>
      </c>
      <c r="J71" s="16" t="str">
        <f aca="false">IF(OR(G71="",G71=0),"",(G71-C71)/G71)</f>
        <v/>
      </c>
      <c r="K71" s="18" t="str">
        <f aca="false">IF(OR(G71="",D71=0),"",G71/D71-1)</f>
        <v/>
      </c>
    </row>
    <row r="72" customFormat="false" ht="15" hidden="false" customHeight="false" outlineLevel="0" collapsed="false">
      <c r="A72" s="12"/>
      <c r="B72" s="13"/>
      <c r="C72" s="14"/>
      <c r="D72" s="14"/>
      <c r="E72" s="15"/>
      <c r="F72" s="16" t="str">
        <f aca="false">IF(OR(A72="",D72=""),"",IF(E72&lt;&gt;"",E72,IF(IFERROR(INDEX('Kategori Zamları'!$B$5:$B$24,MATCH(B72,'Kategori Zamları'!$A$5:$A$24,0)),"")="",Özet!$C$3,INDEX('Kategori Zamları'!$B$5:$B$24,MATCH(B72,'Kategori Zamları'!$A$5:$A$24,0)))))</f>
        <v/>
      </c>
      <c r="G72" s="17" t="str">
        <f aca="false">IF(F72="","",ROUNDUP(ROUND(D72*(1+F72)/Özet!$C$4,6),0)*Özet!$C$4-Özet!$C$5)</f>
        <v/>
      </c>
      <c r="H72" s="17" t="str">
        <f aca="false">IF(G72="","",G72-D72)</f>
        <v/>
      </c>
      <c r="I72" s="16" t="str">
        <f aca="false">IF(OR(G72="",D72=0),"",(D72-C72)/D72)</f>
        <v/>
      </c>
      <c r="J72" s="16" t="str">
        <f aca="false">IF(OR(G72="",G72=0),"",(G72-C72)/G72)</f>
        <v/>
      </c>
      <c r="K72" s="18" t="str">
        <f aca="false">IF(OR(G72="",D72=0),"",G72/D72-1)</f>
        <v/>
      </c>
    </row>
    <row r="73" customFormat="false" ht="15" hidden="false" customHeight="false" outlineLevel="0" collapsed="false">
      <c r="A73" s="12"/>
      <c r="B73" s="13"/>
      <c r="C73" s="14"/>
      <c r="D73" s="14"/>
      <c r="E73" s="15"/>
      <c r="F73" s="16" t="str">
        <f aca="false">IF(OR(A73="",D73=""),"",IF(E73&lt;&gt;"",E73,IF(IFERROR(INDEX('Kategori Zamları'!$B$5:$B$24,MATCH(B73,'Kategori Zamları'!$A$5:$A$24,0)),"")="",Özet!$C$3,INDEX('Kategori Zamları'!$B$5:$B$24,MATCH(B73,'Kategori Zamları'!$A$5:$A$24,0)))))</f>
        <v/>
      </c>
      <c r="G73" s="17" t="str">
        <f aca="false">IF(F73="","",ROUNDUP(ROUND(D73*(1+F73)/Özet!$C$4,6),0)*Özet!$C$4-Özet!$C$5)</f>
        <v/>
      </c>
      <c r="H73" s="17" t="str">
        <f aca="false">IF(G73="","",G73-D73)</f>
        <v/>
      </c>
      <c r="I73" s="16" t="str">
        <f aca="false">IF(OR(G73="",D73=0),"",(D73-C73)/D73)</f>
        <v/>
      </c>
      <c r="J73" s="16" t="str">
        <f aca="false">IF(OR(G73="",G73=0),"",(G73-C73)/G73)</f>
        <v/>
      </c>
      <c r="K73" s="18" t="str">
        <f aca="false">IF(OR(G73="",D73=0),"",G73/D73-1)</f>
        <v/>
      </c>
    </row>
    <row r="74" customFormat="false" ht="15" hidden="false" customHeight="false" outlineLevel="0" collapsed="false">
      <c r="A74" s="12"/>
      <c r="B74" s="13"/>
      <c r="C74" s="14"/>
      <c r="D74" s="14"/>
      <c r="E74" s="15"/>
      <c r="F74" s="16" t="str">
        <f aca="false">IF(OR(A74="",D74=""),"",IF(E74&lt;&gt;"",E74,IF(IFERROR(INDEX('Kategori Zamları'!$B$5:$B$24,MATCH(B74,'Kategori Zamları'!$A$5:$A$24,0)),"")="",Özet!$C$3,INDEX('Kategori Zamları'!$B$5:$B$24,MATCH(B74,'Kategori Zamları'!$A$5:$A$24,0)))))</f>
        <v/>
      </c>
      <c r="G74" s="17" t="str">
        <f aca="false">IF(F74="","",ROUNDUP(ROUND(D74*(1+F74)/Özet!$C$4,6),0)*Özet!$C$4-Özet!$C$5)</f>
        <v/>
      </c>
      <c r="H74" s="17" t="str">
        <f aca="false">IF(G74="","",G74-D74)</f>
        <v/>
      </c>
      <c r="I74" s="16" t="str">
        <f aca="false">IF(OR(G74="",D74=0),"",(D74-C74)/D74)</f>
        <v/>
      </c>
      <c r="J74" s="16" t="str">
        <f aca="false">IF(OR(G74="",G74=0),"",(G74-C74)/G74)</f>
        <v/>
      </c>
      <c r="K74" s="18" t="str">
        <f aca="false">IF(OR(G74="",D74=0),"",G74/D74-1)</f>
        <v/>
      </c>
    </row>
    <row r="75" customFormat="false" ht="15" hidden="false" customHeight="false" outlineLevel="0" collapsed="false">
      <c r="A75" s="12"/>
      <c r="B75" s="13"/>
      <c r="C75" s="14"/>
      <c r="D75" s="14"/>
      <c r="E75" s="15"/>
      <c r="F75" s="16" t="str">
        <f aca="false">IF(OR(A75="",D75=""),"",IF(E75&lt;&gt;"",E75,IF(IFERROR(INDEX('Kategori Zamları'!$B$5:$B$24,MATCH(B75,'Kategori Zamları'!$A$5:$A$24,0)),"")="",Özet!$C$3,INDEX('Kategori Zamları'!$B$5:$B$24,MATCH(B75,'Kategori Zamları'!$A$5:$A$24,0)))))</f>
        <v/>
      </c>
      <c r="G75" s="17" t="str">
        <f aca="false">IF(F75="","",ROUNDUP(ROUND(D75*(1+F75)/Özet!$C$4,6),0)*Özet!$C$4-Özet!$C$5)</f>
        <v/>
      </c>
      <c r="H75" s="17" t="str">
        <f aca="false">IF(G75="","",G75-D75)</f>
        <v/>
      </c>
      <c r="I75" s="16" t="str">
        <f aca="false">IF(OR(G75="",D75=0),"",(D75-C75)/D75)</f>
        <v/>
      </c>
      <c r="J75" s="16" t="str">
        <f aca="false">IF(OR(G75="",G75=0),"",(G75-C75)/G75)</f>
        <v/>
      </c>
      <c r="K75" s="18" t="str">
        <f aca="false">IF(OR(G75="",D75=0),"",G75/D75-1)</f>
        <v/>
      </c>
    </row>
    <row r="76" customFormat="false" ht="15" hidden="false" customHeight="false" outlineLevel="0" collapsed="false">
      <c r="A76" s="12"/>
      <c r="B76" s="13"/>
      <c r="C76" s="14"/>
      <c r="D76" s="14"/>
      <c r="E76" s="15"/>
      <c r="F76" s="16" t="str">
        <f aca="false">IF(OR(A76="",D76=""),"",IF(E76&lt;&gt;"",E76,IF(IFERROR(INDEX('Kategori Zamları'!$B$5:$B$24,MATCH(B76,'Kategori Zamları'!$A$5:$A$24,0)),"")="",Özet!$C$3,INDEX('Kategori Zamları'!$B$5:$B$24,MATCH(B76,'Kategori Zamları'!$A$5:$A$24,0)))))</f>
        <v/>
      </c>
      <c r="G76" s="17" t="str">
        <f aca="false">IF(F76="","",ROUNDUP(ROUND(D76*(1+F76)/Özet!$C$4,6),0)*Özet!$C$4-Özet!$C$5)</f>
        <v/>
      </c>
      <c r="H76" s="17" t="str">
        <f aca="false">IF(G76="","",G76-D76)</f>
        <v/>
      </c>
      <c r="I76" s="16" t="str">
        <f aca="false">IF(OR(G76="",D76=0),"",(D76-C76)/D76)</f>
        <v/>
      </c>
      <c r="J76" s="16" t="str">
        <f aca="false">IF(OR(G76="",G76=0),"",(G76-C76)/G76)</f>
        <v/>
      </c>
      <c r="K76" s="18" t="str">
        <f aca="false">IF(OR(G76="",D76=0),"",G76/D76-1)</f>
        <v/>
      </c>
    </row>
    <row r="77" customFormat="false" ht="15" hidden="false" customHeight="false" outlineLevel="0" collapsed="false">
      <c r="A77" s="12"/>
      <c r="B77" s="13"/>
      <c r="C77" s="14"/>
      <c r="D77" s="14"/>
      <c r="E77" s="15"/>
      <c r="F77" s="16" t="str">
        <f aca="false">IF(OR(A77="",D77=""),"",IF(E77&lt;&gt;"",E77,IF(IFERROR(INDEX('Kategori Zamları'!$B$5:$B$24,MATCH(B77,'Kategori Zamları'!$A$5:$A$24,0)),"")="",Özet!$C$3,INDEX('Kategori Zamları'!$B$5:$B$24,MATCH(B77,'Kategori Zamları'!$A$5:$A$24,0)))))</f>
        <v/>
      </c>
      <c r="G77" s="17" t="str">
        <f aca="false">IF(F77="","",ROUNDUP(ROUND(D77*(1+F77)/Özet!$C$4,6),0)*Özet!$C$4-Özet!$C$5)</f>
        <v/>
      </c>
      <c r="H77" s="17" t="str">
        <f aca="false">IF(G77="","",G77-D77)</f>
        <v/>
      </c>
      <c r="I77" s="16" t="str">
        <f aca="false">IF(OR(G77="",D77=0),"",(D77-C77)/D77)</f>
        <v/>
      </c>
      <c r="J77" s="16" t="str">
        <f aca="false">IF(OR(G77="",G77=0),"",(G77-C77)/G77)</f>
        <v/>
      </c>
      <c r="K77" s="18" t="str">
        <f aca="false">IF(OR(G77="",D77=0),"",G77/D77-1)</f>
        <v/>
      </c>
    </row>
    <row r="78" customFormat="false" ht="15" hidden="false" customHeight="false" outlineLevel="0" collapsed="false">
      <c r="A78" s="12"/>
      <c r="B78" s="13"/>
      <c r="C78" s="14"/>
      <c r="D78" s="14"/>
      <c r="E78" s="15"/>
      <c r="F78" s="16" t="str">
        <f aca="false">IF(OR(A78="",D78=""),"",IF(E78&lt;&gt;"",E78,IF(IFERROR(INDEX('Kategori Zamları'!$B$5:$B$24,MATCH(B78,'Kategori Zamları'!$A$5:$A$24,0)),"")="",Özet!$C$3,INDEX('Kategori Zamları'!$B$5:$B$24,MATCH(B78,'Kategori Zamları'!$A$5:$A$24,0)))))</f>
        <v/>
      </c>
      <c r="G78" s="17" t="str">
        <f aca="false">IF(F78="","",ROUNDUP(ROUND(D78*(1+F78)/Özet!$C$4,6),0)*Özet!$C$4-Özet!$C$5)</f>
        <v/>
      </c>
      <c r="H78" s="17" t="str">
        <f aca="false">IF(G78="","",G78-D78)</f>
        <v/>
      </c>
      <c r="I78" s="16" t="str">
        <f aca="false">IF(OR(G78="",D78=0),"",(D78-C78)/D78)</f>
        <v/>
      </c>
      <c r="J78" s="16" t="str">
        <f aca="false">IF(OR(G78="",G78=0),"",(G78-C78)/G78)</f>
        <v/>
      </c>
      <c r="K78" s="18" t="str">
        <f aca="false">IF(OR(G78="",D78=0),"",G78/D78-1)</f>
        <v/>
      </c>
    </row>
    <row r="79" customFormat="false" ht="15" hidden="false" customHeight="false" outlineLevel="0" collapsed="false">
      <c r="A79" s="12"/>
      <c r="B79" s="13"/>
      <c r="C79" s="14"/>
      <c r="D79" s="14"/>
      <c r="E79" s="15"/>
      <c r="F79" s="16" t="str">
        <f aca="false">IF(OR(A79="",D79=""),"",IF(E79&lt;&gt;"",E79,IF(IFERROR(INDEX('Kategori Zamları'!$B$5:$B$24,MATCH(B79,'Kategori Zamları'!$A$5:$A$24,0)),"")="",Özet!$C$3,INDEX('Kategori Zamları'!$B$5:$B$24,MATCH(B79,'Kategori Zamları'!$A$5:$A$24,0)))))</f>
        <v/>
      </c>
      <c r="G79" s="17" t="str">
        <f aca="false">IF(F79="","",ROUNDUP(ROUND(D79*(1+F79)/Özet!$C$4,6),0)*Özet!$C$4-Özet!$C$5)</f>
        <v/>
      </c>
      <c r="H79" s="17" t="str">
        <f aca="false">IF(G79="","",G79-D79)</f>
        <v/>
      </c>
      <c r="I79" s="16" t="str">
        <f aca="false">IF(OR(G79="",D79=0),"",(D79-C79)/D79)</f>
        <v/>
      </c>
      <c r="J79" s="16" t="str">
        <f aca="false">IF(OR(G79="",G79=0),"",(G79-C79)/G79)</f>
        <v/>
      </c>
      <c r="K79" s="18" t="str">
        <f aca="false">IF(OR(G79="",D79=0),"",G79/D79-1)</f>
        <v/>
      </c>
    </row>
    <row r="80" customFormat="false" ht="15" hidden="false" customHeight="false" outlineLevel="0" collapsed="false">
      <c r="A80" s="12"/>
      <c r="B80" s="13"/>
      <c r="C80" s="14"/>
      <c r="D80" s="14"/>
      <c r="E80" s="15"/>
      <c r="F80" s="16" t="str">
        <f aca="false">IF(OR(A80="",D80=""),"",IF(E80&lt;&gt;"",E80,IF(IFERROR(INDEX('Kategori Zamları'!$B$5:$B$24,MATCH(B80,'Kategori Zamları'!$A$5:$A$24,0)),"")="",Özet!$C$3,INDEX('Kategori Zamları'!$B$5:$B$24,MATCH(B80,'Kategori Zamları'!$A$5:$A$24,0)))))</f>
        <v/>
      </c>
      <c r="G80" s="17" t="str">
        <f aca="false">IF(F80="","",ROUNDUP(ROUND(D80*(1+F80)/Özet!$C$4,6),0)*Özet!$C$4-Özet!$C$5)</f>
        <v/>
      </c>
      <c r="H80" s="17" t="str">
        <f aca="false">IF(G80="","",G80-D80)</f>
        <v/>
      </c>
      <c r="I80" s="16" t="str">
        <f aca="false">IF(OR(G80="",D80=0),"",(D80-C80)/D80)</f>
        <v/>
      </c>
      <c r="J80" s="16" t="str">
        <f aca="false">IF(OR(G80="",G80=0),"",(G80-C80)/G80)</f>
        <v/>
      </c>
      <c r="K80" s="18" t="str">
        <f aca="false">IF(OR(G80="",D80=0),"",G80/D80-1)</f>
        <v/>
      </c>
    </row>
    <row r="81" customFormat="false" ht="15" hidden="false" customHeight="false" outlineLevel="0" collapsed="false">
      <c r="A81" s="12"/>
      <c r="B81" s="13"/>
      <c r="C81" s="14"/>
      <c r="D81" s="14"/>
      <c r="E81" s="15"/>
      <c r="F81" s="16" t="str">
        <f aca="false">IF(OR(A81="",D81=""),"",IF(E81&lt;&gt;"",E81,IF(IFERROR(INDEX('Kategori Zamları'!$B$5:$B$24,MATCH(B81,'Kategori Zamları'!$A$5:$A$24,0)),"")="",Özet!$C$3,INDEX('Kategori Zamları'!$B$5:$B$24,MATCH(B81,'Kategori Zamları'!$A$5:$A$24,0)))))</f>
        <v/>
      </c>
      <c r="G81" s="17" t="str">
        <f aca="false">IF(F81="","",ROUNDUP(ROUND(D81*(1+F81)/Özet!$C$4,6),0)*Özet!$C$4-Özet!$C$5)</f>
        <v/>
      </c>
      <c r="H81" s="17" t="str">
        <f aca="false">IF(G81="","",G81-D81)</f>
        <v/>
      </c>
      <c r="I81" s="16" t="str">
        <f aca="false">IF(OR(G81="",D81=0),"",(D81-C81)/D81)</f>
        <v/>
      </c>
      <c r="J81" s="16" t="str">
        <f aca="false">IF(OR(G81="",G81=0),"",(G81-C81)/G81)</f>
        <v/>
      </c>
      <c r="K81" s="18" t="str">
        <f aca="false">IF(OR(G81="",D81=0),"",G81/D81-1)</f>
        <v/>
      </c>
    </row>
    <row r="82" customFormat="false" ht="15" hidden="false" customHeight="false" outlineLevel="0" collapsed="false">
      <c r="A82" s="12"/>
      <c r="B82" s="13"/>
      <c r="C82" s="14"/>
      <c r="D82" s="14"/>
      <c r="E82" s="15"/>
      <c r="F82" s="16" t="str">
        <f aca="false">IF(OR(A82="",D82=""),"",IF(E82&lt;&gt;"",E82,IF(IFERROR(INDEX('Kategori Zamları'!$B$5:$B$24,MATCH(B82,'Kategori Zamları'!$A$5:$A$24,0)),"")="",Özet!$C$3,INDEX('Kategori Zamları'!$B$5:$B$24,MATCH(B82,'Kategori Zamları'!$A$5:$A$24,0)))))</f>
        <v/>
      </c>
      <c r="G82" s="17" t="str">
        <f aca="false">IF(F82="","",ROUNDUP(ROUND(D82*(1+F82)/Özet!$C$4,6),0)*Özet!$C$4-Özet!$C$5)</f>
        <v/>
      </c>
      <c r="H82" s="17" t="str">
        <f aca="false">IF(G82="","",G82-D82)</f>
        <v/>
      </c>
      <c r="I82" s="16" t="str">
        <f aca="false">IF(OR(G82="",D82=0),"",(D82-C82)/D82)</f>
        <v/>
      </c>
      <c r="J82" s="16" t="str">
        <f aca="false">IF(OR(G82="",G82=0),"",(G82-C82)/G82)</f>
        <v/>
      </c>
      <c r="K82" s="18" t="str">
        <f aca="false">IF(OR(G82="",D82=0),"",G82/D82-1)</f>
        <v/>
      </c>
    </row>
    <row r="83" customFormat="false" ht="15" hidden="false" customHeight="false" outlineLevel="0" collapsed="false">
      <c r="A83" s="12"/>
      <c r="B83" s="13"/>
      <c r="C83" s="14"/>
      <c r="D83" s="14"/>
      <c r="E83" s="15"/>
      <c r="F83" s="16" t="str">
        <f aca="false">IF(OR(A83="",D83=""),"",IF(E83&lt;&gt;"",E83,IF(IFERROR(INDEX('Kategori Zamları'!$B$5:$B$24,MATCH(B83,'Kategori Zamları'!$A$5:$A$24,0)),"")="",Özet!$C$3,INDEX('Kategori Zamları'!$B$5:$B$24,MATCH(B83,'Kategori Zamları'!$A$5:$A$24,0)))))</f>
        <v/>
      </c>
      <c r="G83" s="17" t="str">
        <f aca="false">IF(F83="","",ROUNDUP(ROUND(D83*(1+F83)/Özet!$C$4,6),0)*Özet!$C$4-Özet!$C$5)</f>
        <v/>
      </c>
      <c r="H83" s="17" t="str">
        <f aca="false">IF(G83="","",G83-D83)</f>
        <v/>
      </c>
      <c r="I83" s="16" t="str">
        <f aca="false">IF(OR(G83="",D83=0),"",(D83-C83)/D83)</f>
        <v/>
      </c>
      <c r="J83" s="16" t="str">
        <f aca="false">IF(OR(G83="",G83=0),"",(G83-C83)/G83)</f>
        <v/>
      </c>
      <c r="K83" s="18" t="str">
        <f aca="false">IF(OR(G83="",D83=0),"",G83/D83-1)</f>
        <v/>
      </c>
    </row>
    <row r="84" customFormat="false" ht="15" hidden="false" customHeight="false" outlineLevel="0" collapsed="false">
      <c r="A84" s="12"/>
      <c r="B84" s="13"/>
      <c r="C84" s="14"/>
      <c r="D84" s="14"/>
      <c r="E84" s="15"/>
      <c r="F84" s="16" t="str">
        <f aca="false">IF(OR(A84="",D84=""),"",IF(E84&lt;&gt;"",E84,IF(IFERROR(INDEX('Kategori Zamları'!$B$5:$B$24,MATCH(B84,'Kategori Zamları'!$A$5:$A$24,0)),"")="",Özet!$C$3,INDEX('Kategori Zamları'!$B$5:$B$24,MATCH(B84,'Kategori Zamları'!$A$5:$A$24,0)))))</f>
        <v/>
      </c>
      <c r="G84" s="17" t="str">
        <f aca="false">IF(F84="","",ROUNDUP(ROUND(D84*(1+F84)/Özet!$C$4,6),0)*Özet!$C$4-Özet!$C$5)</f>
        <v/>
      </c>
      <c r="H84" s="17" t="str">
        <f aca="false">IF(G84="","",G84-D84)</f>
        <v/>
      </c>
      <c r="I84" s="16" t="str">
        <f aca="false">IF(OR(G84="",D84=0),"",(D84-C84)/D84)</f>
        <v/>
      </c>
      <c r="J84" s="16" t="str">
        <f aca="false">IF(OR(G84="",G84=0),"",(G84-C84)/G84)</f>
        <v/>
      </c>
      <c r="K84" s="18" t="str">
        <f aca="false">IF(OR(G84="",D84=0),"",G84/D84-1)</f>
        <v/>
      </c>
    </row>
    <row r="85" customFormat="false" ht="15" hidden="false" customHeight="false" outlineLevel="0" collapsed="false">
      <c r="A85" s="12"/>
      <c r="B85" s="13"/>
      <c r="C85" s="14"/>
      <c r="D85" s="14"/>
      <c r="E85" s="15"/>
      <c r="F85" s="16" t="str">
        <f aca="false">IF(OR(A85="",D85=""),"",IF(E85&lt;&gt;"",E85,IF(IFERROR(INDEX('Kategori Zamları'!$B$5:$B$24,MATCH(B85,'Kategori Zamları'!$A$5:$A$24,0)),"")="",Özet!$C$3,INDEX('Kategori Zamları'!$B$5:$B$24,MATCH(B85,'Kategori Zamları'!$A$5:$A$24,0)))))</f>
        <v/>
      </c>
      <c r="G85" s="17" t="str">
        <f aca="false">IF(F85="","",ROUNDUP(ROUND(D85*(1+F85)/Özet!$C$4,6),0)*Özet!$C$4-Özet!$C$5)</f>
        <v/>
      </c>
      <c r="H85" s="17" t="str">
        <f aca="false">IF(G85="","",G85-D85)</f>
        <v/>
      </c>
      <c r="I85" s="16" t="str">
        <f aca="false">IF(OR(G85="",D85=0),"",(D85-C85)/D85)</f>
        <v/>
      </c>
      <c r="J85" s="16" t="str">
        <f aca="false">IF(OR(G85="",G85=0),"",(G85-C85)/G85)</f>
        <v/>
      </c>
      <c r="K85" s="18" t="str">
        <f aca="false">IF(OR(G85="",D85=0),"",G85/D85-1)</f>
        <v/>
      </c>
    </row>
    <row r="86" customFormat="false" ht="15" hidden="false" customHeight="false" outlineLevel="0" collapsed="false">
      <c r="A86" s="12"/>
      <c r="B86" s="13"/>
      <c r="C86" s="14"/>
      <c r="D86" s="14"/>
      <c r="E86" s="15"/>
      <c r="F86" s="16" t="str">
        <f aca="false">IF(OR(A86="",D86=""),"",IF(E86&lt;&gt;"",E86,IF(IFERROR(INDEX('Kategori Zamları'!$B$5:$B$24,MATCH(B86,'Kategori Zamları'!$A$5:$A$24,0)),"")="",Özet!$C$3,INDEX('Kategori Zamları'!$B$5:$B$24,MATCH(B86,'Kategori Zamları'!$A$5:$A$24,0)))))</f>
        <v/>
      </c>
      <c r="G86" s="17" t="str">
        <f aca="false">IF(F86="","",ROUNDUP(ROUND(D86*(1+F86)/Özet!$C$4,6),0)*Özet!$C$4-Özet!$C$5)</f>
        <v/>
      </c>
      <c r="H86" s="17" t="str">
        <f aca="false">IF(G86="","",G86-D86)</f>
        <v/>
      </c>
      <c r="I86" s="16" t="str">
        <f aca="false">IF(OR(G86="",D86=0),"",(D86-C86)/D86)</f>
        <v/>
      </c>
      <c r="J86" s="16" t="str">
        <f aca="false">IF(OR(G86="",G86=0),"",(G86-C86)/G86)</f>
        <v/>
      </c>
      <c r="K86" s="18" t="str">
        <f aca="false">IF(OR(G86="",D86=0),"",G86/D86-1)</f>
        <v/>
      </c>
    </row>
    <row r="87" customFormat="false" ht="15" hidden="false" customHeight="false" outlineLevel="0" collapsed="false">
      <c r="A87" s="12"/>
      <c r="B87" s="13"/>
      <c r="C87" s="14"/>
      <c r="D87" s="14"/>
      <c r="E87" s="15"/>
      <c r="F87" s="16" t="str">
        <f aca="false">IF(OR(A87="",D87=""),"",IF(E87&lt;&gt;"",E87,IF(IFERROR(INDEX('Kategori Zamları'!$B$5:$B$24,MATCH(B87,'Kategori Zamları'!$A$5:$A$24,0)),"")="",Özet!$C$3,INDEX('Kategori Zamları'!$B$5:$B$24,MATCH(B87,'Kategori Zamları'!$A$5:$A$24,0)))))</f>
        <v/>
      </c>
      <c r="G87" s="17" t="str">
        <f aca="false">IF(F87="","",ROUNDUP(ROUND(D87*(1+F87)/Özet!$C$4,6),0)*Özet!$C$4-Özet!$C$5)</f>
        <v/>
      </c>
      <c r="H87" s="17" t="str">
        <f aca="false">IF(G87="","",G87-D87)</f>
        <v/>
      </c>
      <c r="I87" s="16" t="str">
        <f aca="false">IF(OR(G87="",D87=0),"",(D87-C87)/D87)</f>
        <v/>
      </c>
      <c r="J87" s="16" t="str">
        <f aca="false">IF(OR(G87="",G87=0),"",(G87-C87)/G87)</f>
        <v/>
      </c>
      <c r="K87" s="18" t="str">
        <f aca="false">IF(OR(G87="",D87=0),"",G87/D87-1)</f>
        <v/>
      </c>
    </row>
    <row r="88" customFormat="false" ht="15" hidden="false" customHeight="false" outlineLevel="0" collapsed="false">
      <c r="A88" s="12"/>
      <c r="B88" s="13"/>
      <c r="C88" s="14"/>
      <c r="D88" s="14"/>
      <c r="E88" s="15"/>
      <c r="F88" s="16" t="str">
        <f aca="false">IF(OR(A88="",D88=""),"",IF(E88&lt;&gt;"",E88,IF(IFERROR(INDEX('Kategori Zamları'!$B$5:$B$24,MATCH(B88,'Kategori Zamları'!$A$5:$A$24,0)),"")="",Özet!$C$3,INDEX('Kategori Zamları'!$B$5:$B$24,MATCH(B88,'Kategori Zamları'!$A$5:$A$24,0)))))</f>
        <v/>
      </c>
      <c r="G88" s="17" t="str">
        <f aca="false">IF(F88="","",ROUNDUP(ROUND(D88*(1+F88)/Özet!$C$4,6),0)*Özet!$C$4-Özet!$C$5)</f>
        <v/>
      </c>
      <c r="H88" s="17" t="str">
        <f aca="false">IF(G88="","",G88-D88)</f>
        <v/>
      </c>
      <c r="I88" s="16" t="str">
        <f aca="false">IF(OR(G88="",D88=0),"",(D88-C88)/D88)</f>
        <v/>
      </c>
      <c r="J88" s="16" t="str">
        <f aca="false">IF(OR(G88="",G88=0),"",(G88-C88)/G88)</f>
        <v/>
      </c>
      <c r="K88" s="18" t="str">
        <f aca="false">IF(OR(G88="",D88=0),"",G88/D88-1)</f>
        <v/>
      </c>
    </row>
    <row r="89" customFormat="false" ht="15" hidden="false" customHeight="false" outlineLevel="0" collapsed="false">
      <c r="A89" s="12"/>
      <c r="B89" s="13"/>
      <c r="C89" s="14"/>
      <c r="D89" s="14"/>
      <c r="E89" s="15"/>
      <c r="F89" s="16" t="str">
        <f aca="false">IF(OR(A89="",D89=""),"",IF(E89&lt;&gt;"",E89,IF(IFERROR(INDEX('Kategori Zamları'!$B$5:$B$24,MATCH(B89,'Kategori Zamları'!$A$5:$A$24,0)),"")="",Özet!$C$3,INDEX('Kategori Zamları'!$B$5:$B$24,MATCH(B89,'Kategori Zamları'!$A$5:$A$24,0)))))</f>
        <v/>
      </c>
      <c r="G89" s="17" t="str">
        <f aca="false">IF(F89="","",ROUNDUP(ROUND(D89*(1+F89)/Özet!$C$4,6),0)*Özet!$C$4-Özet!$C$5)</f>
        <v/>
      </c>
      <c r="H89" s="17" t="str">
        <f aca="false">IF(G89="","",G89-D89)</f>
        <v/>
      </c>
      <c r="I89" s="16" t="str">
        <f aca="false">IF(OR(G89="",D89=0),"",(D89-C89)/D89)</f>
        <v/>
      </c>
      <c r="J89" s="16" t="str">
        <f aca="false">IF(OR(G89="",G89=0),"",(G89-C89)/G89)</f>
        <v/>
      </c>
      <c r="K89" s="18" t="str">
        <f aca="false">IF(OR(G89="",D89=0),"",G89/D89-1)</f>
        <v/>
      </c>
    </row>
    <row r="90" customFormat="false" ht="15" hidden="false" customHeight="false" outlineLevel="0" collapsed="false">
      <c r="A90" s="12"/>
      <c r="B90" s="13"/>
      <c r="C90" s="14"/>
      <c r="D90" s="14"/>
      <c r="E90" s="15"/>
      <c r="F90" s="16" t="str">
        <f aca="false">IF(OR(A90="",D90=""),"",IF(E90&lt;&gt;"",E90,IF(IFERROR(INDEX('Kategori Zamları'!$B$5:$B$24,MATCH(B90,'Kategori Zamları'!$A$5:$A$24,0)),"")="",Özet!$C$3,INDEX('Kategori Zamları'!$B$5:$B$24,MATCH(B90,'Kategori Zamları'!$A$5:$A$24,0)))))</f>
        <v/>
      </c>
      <c r="G90" s="17" t="str">
        <f aca="false">IF(F90="","",ROUNDUP(ROUND(D90*(1+F90)/Özet!$C$4,6),0)*Özet!$C$4-Özet!$C$5)</f>
        <v/>
      </c>
      <c r="H90" s="17" t="str">
        <f aca="false">IF(G90="","",G90-D90)</f>
        <v/>
      </c>
      <c r="I90" s="16" t="str">
        <f aca="false">IF(OR(G90="",D90=0),"",(D90-C90)/D90)</f>
        <v/>
      </c>
      <c r="J90" s="16" t="str">
        <f aca="false">IF(OR(G90="",G90=0),"",(G90-C90)/G90)</f>
        <v/>
      </c>
      <c r="K90" s="18" t="str">
        <f aca="false">IF(OR(G90="",D90=0),"",G90/D90-1)</f>
        <v/>
      </c>
    </row>
    <row r="91" customFormat="false" ht="15" hidden="false" customHeight="false" outlineLevel="0" collapsed="false">
      <c r="A91" s="12"/>
      <c r="B91" s="13"/>
      <c r="C91" s="14"/>
      <c r="D91" s="14"/>
      <c r="E91" s="15"/>
      <c r="F91" s="16" t="str">
        <f aca="false">IF(OR(A91="",D91=""),"",IF(E91&lt;&gt;"",E91,IF(IFERROR(INDEX('Kategori Zamları'!$B$5:$B$24,MATCH(B91,'Kategori Zamları'!$A$5:$A$24,0)),"")="",Özet!$C$3,INDEX('Kategori Zamları'!$B$5:$B$24,MATCH(B91,'Kategori Zamları'!$A$5:$A$24,0)))))</f>
        <v/>
      </c>
      <c r="G91" s="17" t="str">
        <f aca="false">IF(F91="","",ROUNDUP(ROUND(D91*(1+F91)/Özet!$C$4,6),0)*Özet!$C$4-Özet!$C$5)</f>
        <v/>
      </c>
      <c r="H91" s="17" t="str">
        <f aca="false">IF(G91="","",G91-D91)</f>
        <v/>
      </c>
      <c r="I91" s="16" t="str">
        <f aca="false">IF(OR(G91="",D91=0),"",(D91-C91)/D91)</f>
        <v/>
      </c>
      <c r="J91" s="16" t="str">
        <f aca="false">IF(OR(G91="",G91=0),"",(G91-C91)/G91)</f>
        <v/>
      </c>
      <c r="K91" s="18" t="str">
        <f aca="false">IF(OR(G91="",D91=0),"",G91/D91-1)</f>
        <v/>
      </c>
    </row>
    <row r="92" customFormat="false" ht="15" hidden="false" customHeight="false" outlineLevel="0" collapsed="false">
      <c r="A92" s="12"/>
      <c r="B92" s="13"/>
      <c r="C92" s="14"/>
      <c r="D92" s="14"/>
      <c r="E92" s="15"/>
      <c r="F92" s="16" t="str">
        <f aca="false">IF(OR(A92="",D92=""),"",IF(E92&lt;&gt;"",E92,IF(IFERROR(INDEX('Kategori Zamları'!$B$5:$B$24,MATCH(B92,'Kategori Zamları'!$A$5:$A$24,0)),"")="",Özet!$C$3,INDEX('Kategori Zamları'!$B$5:$B$24,MATCH(B92,'Kategori Zamları'!$A$5:$A$24,0)))))</f>
        <v/>
      </c>
      <c r="G92" s="17" t="str">
        <f aca="false">IF(F92="","",ROUNDUP(ROUND(D92*(1+F92)/Özet!$C$4,6),0)*Özet!$C$4-Özet!$C$5)</f>
        <v/>
      </c>
      <c r="H92" s="17" t="str">
        <f aca="false">IF(G92="","",G92-D92)</f>
        <v/>
      </c>
      <c r="I92" s="16" t="str">
        <f aca="false">IF(OR(G92="",D92=0),"",(D92-C92)/D92)</f>
        <v/>
      </c>
      <c r="J92" s="16" t="str">
        <f aca="false">IF(OR(G92="",G92=0),"",(G92-C92)/G92)</f>
        <v/>
      </c>
      <c r="K92" s="18" t="str">
        <f aca="false">IF(OR(G92="",D92=0),"",G92/D92-1)</f>
        <v/>
      </c>
    </row>
    <row r="93" customFormat="false" ht="15" hidden="false" customHeight="false" outlineLevel="0" collapsed="false">
      <c r="A93" s="12"/>
      <c r="B93" s="13"/>
      <c r="C93" s="14"/>
      <c r="D93" s="14"/>
      <c r="E93" s="15"/>
      <c r="F93" s="16" t="str">
        <f aca="false">IF(OR(A93="",D93=""),"",IF(E93&lt;&gt;"",E93,IF(IFERROR(INDEX('Kategori Zamları'!$B$5:$B$24,MATCH(B93,'Kategori Zamları'!$A$5:$A$24,0)),"")="",Özet!$C$3,INDEX('Kategori Zamları'!$B$5:$B$24,MATCH(B93,'Kategori Zamları'!$A$5:$A$24,0)))))</f>
        <v/>
      </c>
      <c r="G93" s="17" t="str">
        <f aca="false">IF(F93="","",ROUNDUP(ROUND(D93*(1+F93)/Özet!$C$4,6),0)*Özet!$C$4-Özet!$C$5)</f>
        <v/>
      </c>
      <c r="H93" s="17" t="str">
        <f aca="false">IF(G93="","",G93-D93)</f>
        <v/>
      </c>
      <c r="I93" s="16" t="str">
        <f aca="false">IF(OR(G93="",D93=0),"",(D93-C93)/D93)</f>
        <v/>
      </c>
      <c r="J93" s="16" t="str">
        <f aca="false">IF(OR(G93="",G93=0),"",(G93-C93)/G93)</f>
        <v/>
      </c>
      <c r="K93" s="18" t="str">
        <f aca="false">IF(OR(G93="",D93=0),"",G93/D93-1)</f>
        <v/>
      </c>
    </row>
    <row r="94" customFormat="false" ht="15" hidden="false" customHeight="false" outlineLevel="0" collapsed="false">
      <c r="A94" s="12"/>
      <c r="B94" s="13"/>
      <c r="C94" s="14"/>
      <c r="D94" s="14"/>
      <c r="E94" s="15"/>
      <c r="F94" s="16" t="str">
        <f aca="false">IF(OR(A94="",D94=""),"",IF(E94&lt;&gt;"",E94,IF(IFERROR(INDEX('Kategori Zamları'!$B$5:$B$24,MATCH(B94,'Kategori Zamları'!$A$5:$A$24,0)),"")="",Özet!$C$3,INDEX('Kategori Zamları'!$B$5:$B$24,MATCH(B94,'Kategori Zamları'!$A$5:$A$24,0)))))</f>
        <v/>
      </c>
      <c r="G94" s="17" t="str">
        <f aca="false">IF(F94="","",ROUNDUP(ROUND(D94*(1+F94)/Özet!$C$4,6),0)*Özet!$C$4-Özet!$C$5)</f>
        <v/>
      </c>
      <c r="H94" s="17" t="str">
        <f aca="false">IF(G94="","",G94-D94)</f>
        <v/>
      </c>
      <c r="I94" s="16" t="str">
        <f aca="false">IF(OR(G94="",D94=0),"",(D94-C94)/D94)</f>
        <v/>
      </c>
      <c r="J94" s="16" t="str">
        <f aca="false">IF(OR(G94="",G94=0),"",(G94-C94)/G94)</f>
        <v/>
      </c>
      <c r="K94" s="18" t="str">
        <f aca="false">IF(OR(G94="",D94=0),"",G94/D94-1)</f>
        <v/>
      </c>
    </row>
    <row r="95" customFormat="false" ht="15" hidden="false" customHeight="false" outlineLevel="0" collapsed="false">
      <c r="A95" s="12"/>
      <c r="B95" s="13"/>
      <c r="C95" s="14"/>
      <c r="D95" s="14"/>
      <c r="E95" s="15"/>
      <c r="F95" s="16" t="str">
        <f aca="false">IF(OR(A95="",D95=""),"",IF(E95&lt;&gt;"",E95,IF(IFERROR(INDEX('Kategori Zamları'!$B$5:$B$24,MATCH(B95,'Kategori Zamları'!$A$5:$A$24,0)),"")="",Özet!$C$3,INDEX('Kategori Zamları'!$B$5:$B$24,MATCH(B95,'Kategori Zamları'!$A$5:$A$24,0)))))</f>
        <v/>
      </c>
      <c r="G95" s="17" t="str">
        <f aca="false">IF(F95="","",ROUNDUP(ROUND(D95*(1+F95)/Özet!$C$4,6),0)*Özet!$C$4-Özet!$C$5)</f>
        <v/>
      </c>
      <c r="H95" s="17" t="str">
        <f aca="false">IF(G95="","",G95-D95)</f>
        <v/>
      </c>
      <c r="I95" s="16" t="str">
        <f aca="false">IF(OR(G95="",D95=0),"",(D95-C95)/D95)</f>
        <v/>
      </c>
      <c r="J95" s="16" t="str">
        <f aca="false">IF(OR(G95="",G95=0),"",(G95-C95)/G95)</f>
        <v/>
      </c>
      <c r="K95" s="18" t="str">
        <f aca="false">IF(OR(G95="",D95=0),"",G95/D95-1)</f>
        <v/>
      </c>
    </row>
    <row r="96" customFormat="false" ht="15" hidden="false" customHeight="false" outlineLevel="0" collapsed="false">
      <c r="A96" s="12"/>
      <c r="B96" s="13"/>
      <c r="C96" s="14"/>
      <c r="D96" s="14"/>
      <c r="E96" s="15"/>
      <c r="F96" s="16" t="str">
        <f aca="false">IF(OR(A96="",D96=""),"",IF(E96&lt;&gt;"",E96,IF(IFERROR(INDEX('Kategori Zamları'!$B$5:$B$24,MATCH(B96,'Kategori Zamları'!$A$5:$A$24,0)),"")="",Özet!$C$3,INDEX('Kategori Zamları'!$B$5:$B$24,MATCH(B96,'Kategori Zamları'!$A$5:$A$24,0)))))</f>
        <v/>
      </c>
      <c r="G96" s="17" t="str">
        <f aca="false">IF(F96="","",ROUNDUP(ROUND(D96*(1+F96)/Özet!$C$4,6),0)*Özet!$C$4-Özet!$C$5)</f>
        <v/>
      </c>
      <c r="H96" s="17" t="str">
        <f aca="false">IF(G96="","",G96-D96)</f>
        <v/>
      </c>
      <c r="I96" s="16" t="str">
        <f aca="false">IF(OR(G96="",D96=0),"",(D96-C96)/D96)</f>
        <v/>
      </c>
      <c r="J96" s="16" t="str">
        <f aca="false">IF(OR(G96="",G96=0),"",(G96-C96)/G96)</f>
        <v/>
      </c>
      <c r="K96" s="18" t="str">
        <f aca="false">IF(OR(G96="",D96=0),"",G96/D96-1)</f>
        <v/>
      </c>
    </row>
    <row r="97" customFormat="false" ht="15" hidden="false" customHeight="false" outlineLevel="0" collapsed="false">
      <c r="A97" s="12"/>
      <c r="B97" s="13"/>
      <c r="C97" s="14"/>
      <c r="D97" s="14"/>
      <c r="E97" s="15"/>
      <c r="F97" s="16" t="str">
        <f aca="false">IF(OR(A97="",D97=""),"",IF(E97&lt;&gt;"",E97,IF(IFERROR(INDEX('Kategori Zamları'!$B$5:$B$24,MATCH(B97,'Kategori Zamları'!$A$5:$A$24,0)),"")="",Özet!$C$3,INDEX('Kategori Zamları'!$B$5:$B$24,MATCH(B97,'Kategori Zamları'!$A$5:$A$24,0)))))</f>
        <v/>
      </c>
      <c r="G97" s="17" t="str">
        <f aca="false">IF(F97="","",ROUNDUP(ROUND(D97*(1+F97)/Özet!$C$4,6),0)*Özet!$C$4-Özet!$C$5)</f>
        <v/>
      </c>
      <c r="H97" s="17" t="str">
        <f aca="false">IF(G97="","",G97-D97)</f>
        <v/>
      </c>
      <c r="I97" s="16" t="str">
        <f aca="false">IF(OR(G97="",D97=0),"",(D97-C97)/D97)</f>
        <v/>
      </c>
      <c r="J97" s="16" t="str">
        <f aca="false">IF(OR(G97="",G97=0),"",(G97-C97)/G97)</f>
        <v/>
      </c>
      <c r="K97" s="18" t="str">
        <f aca="false">IF(OR(G97="",D97=0),"",G97/D97-1)</f>
        <v/>
      </c>
    </row>
    <row r="98" customFormat="false" ht="15" hidden="false" customHeight="false" outlineLevel="0" collapsed="false">
      <c r="A98" s="12"/>
      <c r="B98" s="13"/>
      <c r="C98" s="14"/>
      <c r="D98" s="14"/>
      <c r="E98" s="15"/>
      <c r="F98" s="16" t="str">
        <f aca="false">IF(OR(A98="",D98=""),"",IF(E98&lt;&gt;"",E98,IF(IFERROR(INDEX('Kategori Zamları'!$B$5:$B$24,MATCH(B98,'Kategori Zamları'!$A$5:$A$24,0)),"")="",Özet!$C$3,INDEX('Kategori Zamları'!$B$5:$B$24,MATCH(B98,'Kategori Zamları'!$A$5:$A$24,0)))))</f>
        <v/>
      </c>
      <c r="G98" s="17" t="str">
        <f aca="false">IF(F98="","",ROUNDUP(ROUND(D98*(1+F98)/Özet!$C$4,6),0)*Özet!$C$4-Özet!$C$5)</f>
        <v/>
      </c>
      <c r="H98" s="17" t="str">
        <f aca="false">IF(G98="","",G98-D98)</f>
        <v/>
      </c>
      <c r="I98" s="16" t="str">
        <f aca="false">IF(OR(G98="",D98=0),"",(D98-C98)/D98)</f>
        <v/>
      </c>
      <c r="J98" s="16" t="str">
        <f aca="false">IF(OR(G98="",G98=0),"",(G98-C98)/G98)</f>
        <v/>
      </c>
      <c r="K98" s="18" t="str">
        <f aca="false">IF(OR(G98="",D98=0),"",G98/D98-1)</f>
        <v/>
      </c>
    </row>
    <row r="99" customFormat="false" ht="15" hidden="false" customHeight="false" outlineLevel="0" collapsed="false">
      <c r="A99" s="12"/>
      <c r="B99" s="13"/>
      <c r="C99" s="14"/>
      <c r="D99" s="14"/>
      <c r="E99" s="15"/>
      <c r="F99" s="16" t="str">
        <f aca="false">IF(OR(A99="",D99=""),"",IF(E99&lt;&gt;"",E99,IF(IFERROR(INDEX('Kategori Zamları'!$B$5:$B$24,MATCH(B99,'Kategori Zamları'!$A$5:$A$24,0)),"")="",Özet!$C$3,INDEX('Kategori Zamları'!$B$5:$B$24,MATCH(B99,'Kategori Zamları'!$A$5:$A$24,0)))))</f>
        <v/>
      </c>
      <c r="G99" s="17" t="str">
        <f aca="false">IF(F99="","",ROUNDUP(ROUND(D99*(1+F99)/Özet!$C$4,6),0)*Özet!$C$4-Özet!$C$5)</f>
        <v/>
      </c>
      <c r="H99" s="17" t="str">
        <f aca="false">IF(G99="","",G99-D99)</f>
        <v/>
      </c>
      <c r="I99" s="16" t="str">
        <f aca="false">IF(OR(G99="",D99=0),"",(D99-C99)/D99)</f>
        <v/>
      </c>
      <c r="J99" s="16" t="str">
        <f aca="false">IF(OR(G99="",G99=0),"",(G99-C99)/G99)</f>
        <v/>
      </c>
      <c r="K99" s="18" t="str">
        <f aca="false">IF(OR(G99="",D99=0),"",G99/D99-1)</f>
        <v/>
      </c>
    </row>
    <row r="100" customFormat="false" ht="15" hidden="false" customHeight="false" outlineLevel="0" collapsed="false">
      <c r="A100" s="12"/>
      <c r="B100" s="13"/>
      <c r="C100" s="14"/>
      <c r="D100" s="14"/>
      <c r="E100" s="15"/>
      <c r="F100" s="16" t="str">
        <f aca="false">IF(OR(A100="",D100=""),"",IF(E100&lt;&gt;"",E100,IF(IFERROR(INDEX('Kategori Zamları'!$B$5:$B$24,MATCH(B100,'Kategori Zamları'!$A$5:$A$24,0)),"")="",Özet!$C$3,INDEX('Kategori Zamları'!$B$5:$B$24,MATCH(B100,'Kategori Zamları'!$A$5:$A$24,0)))))</f>
        <v/>
      </c>
      <c r="G100" s="17" t="str">
        <f aca="false">IF(F100="","",ROUNDUP(ROUND(D100*(1+F100)/Özet!$C$4,6),0)*Özet!$C$4-Özet!$C$5)</f>
        <v/>
      </c>
      <c r="H100" s="17" t="str">
        <f aca="false">IF(G100="","",G100-D100)</f>
        <v/>
      </c>
      <c r="I100" s="16" t="str">
        <f aca="false">IF(OR(G100="",D100=0),"",(D100-C100)/D100)</f>
        <v/>
      </c>
      <c r="J100" s="16" t="str">
        <f aca="false">IF(OR(G100="",G100=0),"",(G100-C100)/G100)</f>
        <v/>
      </c>
      <c r="K100" s="18" t="str">
        <f aca="false">IF(OR(G100="",D100=0),"",G100/D100-1)</f>
        <v/>
      </c>
    </row>
    <row r="101" customFormat="false" ht="15" hidden="false" customHeight="false" outlineLevel="0" collapsed="false">
      <c r="A101" s="12"/>
      <c r="B101" s="13"/>
      <c r="C101" s="14"/>
      <c r="D101" s="14"/>
      <c r="E101" s="15"/>
      <c r="F101" s="16" t="str">
        <f aca="false">IF(OR(A101="",D101=""),"",IF(E101&lt;&gt;"",E101,IF(IFERROR(INDEX('Kategori Zamları'!$B$5:$B$24,MATCH(B101,'Kategori Zamları'!$A$5:$A$24,0)),"")="",Özet!$C$3,INDEX('Kategori Zamları'!$B$5:$B$24,MATCH(B101,'Kategori Zamları'!$A$5:$A$24,0)))))</f>
        <v/>
      </c>
      <c r="G101" s="17" t="str">
        <f aca="false">IF(F101="","",ROUNDUP(ROUND(D101*(1+F101)/Özet!$C$4,6),0)*Özet!$C$4-Özet!$C$5)</f>
        <v/>
      </c>
      <c r="H101" s="17" t="str">
        <f aca="false">IF(G101="","",G101-D101)</f>
        <v/>
      </c>
      <c r="I101" s="16" t="str">
        <f aca="false">IF(OR(G101="",D101=0),"",(D101-C101)/D101)</f>
        <v/>
      </c>
      <c r="J101" s="16" t="str">
        <f aca="false">IF(OR(G101="",G101=0),"",(G101-C101)/G101)</f>
        <v/>
      </c>
      <c r="K101" s="18" t="str">
        <f aca="false">IF(OR(G101="",D101=0),"",G101/D101-1)</f>
        <v/>
      </c>
    </row>
    <row r="102" customFormat="false" ht="15" hidden="false" customHeight="false" outlineLevel="0" collapsed="false">
      <c r="A102" s="12"/>
      <c r="B102" s="13"/>
      <c r="C102" s="14"/>
      <c r="D102" s="14"/>
      <c r="E102" s="15"/>
      <c r="F102" s="16" t="str">
        <f aca="false">IF(OR(A102="",D102=""),"",IF(E102&lt;&gt;"",E102,IF(IFERROR(INDEX('Kategori Zamları'!$B$5:$B$24,MATCH(B102,'Kategori Zamları'!$A$5:$A$24,0)),"")="",Özet!$C$3,INDEX('Kategori Zamları'!$B$5:$B$24,MATCH(B102,'Kategori Zamları'!$A$5:$A$24,0)))))</f>
        <v/>
      </c>
      <c r="G102" s="17" t="str">
        <f aca="false">IF(F102="","",ROUNDUP(ROUND(D102*(1+F102)/Özet!$C$4,6),0)*Özet!$C$4-Özet!$C$5)</f>
        <v/>
      </c>
      <c r="H102" s="17" t="str">
        <f aca="false">IF(G102="","",G102-D102)</f>
        <v/>
      </c>
      <c r="I102" s="16" t="str">
        <f aca="false">IF(OR(G102="",D102=0),"",(D102-C102)/D102)</f>
        <v/>
      </c>
      <c r="J102" s="16" t="str">
        <f aca="false">IF(OR(G102="",G102=0),"",(G102-C102)/G102)</f>
        <v/>
      </c>
      <c r="K102" s="18" t="str">
        <f aca="false">IF(OR(G102="",D102=0),"",G102/D102-1)</f>
        <v/>
      </c>
    </row>
    <row r="103" customFormat="false" ht="15" hidden="false" customHeight="false" outlineLevel="0" collapsed="false">
      <c r="A103" s="12"/>
      <c r="B103" s="13"/>
      <c r="C103" s="14"/>
      <c r="D103" s="14"/>
      <c r="E103" s="15"/>
      <c r="F103" s="16" t="str">
        <f aca="false">IF(OR(A103="",D103=""),"",IF(E103&lt;&gt;"",E103,IF(IFERROR(INDEX('Kategori Zamları'!$B$5:$B$24,MATCH(B103,'Kategori Zamları'!$A$5:$A$24,0)),"")="",Özet!$C$3,INDEX('Kategori Zamları'!$B$5:$B$24,MATCH(B103,'Kategori Zamları'!$A$5:$A$24,0)))))</f>
        <v/>
      </c>
      <c r="G103" s="17" t="str">
        <f aca="false">IF(F103="","",ROUNDUP(ROUND(D103*(1+F103)/Özet!$C$4,6),0)*Özet!$C$4-Özet!$C$5)</f>
        <v/>
      </c>
      <c r="H103" s="17" t="str">
        <f aca="false">IF(G103="","",G103-D103)</f>
        <v/>
      </c>
      <c r="I103" s="16" t="str">
        <f aca="false">IF(OR(G103="",D103=0),"",(D103-C103)/D103)</f>
        <v/>
      </c>
      <c r="J103" s="16" t="str">
        <f aca="false">IF(OR(G103="",G103=0),"",(G103-C103)/G103)</f>
        <v/>
      </c>
      <c r="K103" s="18" t="str">
        <f aca="false">IF(OR(G103="",D103=0),"",G103/D103-1)</f>
        <v/>
      </c>
    </row>
    <row r="104" customFormat="false" ht="15" hidden="false" customHeight="false" outlineLevel="0" collapsed="false">
      <c r="A104" s="12"/>
      <c r="B104" s="13"/>
      <c r="C104" s="14"/>
      <c r="D104" s="14"/>
      <c r="E104" s="15"/>
      <c r="F104" s="16" t="str">
        <f aca="false">IF(OR(A104="",D104=""),"",IF(E104&lt;&gt;"",E104,IF(IFERROR(INDEX('Kategori Zamları'!$B$5:$B$24,MATCH(B104,'Kategori Zamları'!$A$5:$A$24,0)),"")="",Özet!$C$3,INDEX('Kategori Zamları'!$B$5:$B$24,MATCH(B104,'Kategori Zamları'!$A$5:$A$24,0)))))</f>
        <v/>
      </c>
      <c r="G104" s="17" t="str">
        <f aca="false">IF(F104="","",ROUNDUP(ROUND(D104*(1+F104)/Özet!$C$4,6),0)*Özet!$C$4-Özet!$C$5)</f>
        <v/>
      </c>
      <c r="H104" s="17" t="str">
        <f aca="false">IF(G104="","",G104-D104)</f>
        <v/>
      </c>
      <c r="I104" s="16" t="str">
        <f aca="false">IF(OR(G104="",D104=0),"",(D104-C104)/D104)</f>
        <v/>
      </c>
      <c r="J104" s="16" t="str">
        <f aca="false">IF(OR(G104="",G104=0),"",(G104-C104)/G104)</f>
        <v/>
      </c>
      <c r="K104" s="18" t="str">
        <f aca="false">IF(OR(G104="",D104=0),"",G104/D104-1)</f>
        <v/>
      </c>
    </row>
    <row r="105" customFormat="false" ht="15" hidden="false" customHeight="false" outlineLevel="0" collapsed="false">
      <c r="A105" s="12"/>
      <c r="B105" s="13"/>
      <c r="C105" s="14"/>
      <c r="D105" s="14"/>
      <c r="E105" s="15"/>
      <c r="F105" s="16" t="str">
        <f aca="false">IF(OR(A105="",D105=""),"",IF(E105&lt;&gt;"",E105,IF(IFERROR(INDEX('Kategori Zamları'!$B$5:$B$24,MATCH(B105,'Kategori Zamları'!$A$5:$A$24,0)),"")="",Özet!$C$3,INDEX('Kategori Zamları'!$B$5:$B$24,MATCH(B105,'Kategori Zamları'!$A$5:$A$24,0)))))</f>
        <v/>
      </c>
      <c r="G105" s="17" t="str">
        <f aca="false">IF(F105="","",ROUNDUP(ROUND(D105*(1+F105)/Özet!$C$4,6),0)*Özet!$C$4-Özet!$C$5)</f>
        <v/>
      </c>
      <c r="H105" s="17" t="str">
        <f aca="false">IF(G105="","",G105-D105)</f>
        <v/>
      </c>
      <c r="I105" s="16" t="str">
        <f aca="false">IF(OR(G105="",D105=0),"",(D105-C105)/D105)</f>
        <v/>
      </c>
      <c r="J105" s="16" t="str">
        <f aca="false">IF(OR(G105="",G105=0),"",(G105-C105)/G105)</f>
        <v/>
      </c>
      <c r="K105" s="18" t="str">
        <f aca="false">IF(OR(G105="",D105=0),"",G105/D105-1)</f>
        <v/>
      </c>
    </row>
    <row r="106" customFormat="false" ht="15" hidden="false" customHeight="false" outlineLevel="0" collapsed="false">
      <c r="A106" s="12"/>
      <c r="B106" s="13"/>
      <c r="C106" s="14"/>
      <c r="D106" s="14"/>
      <c r="E106" s="15"/>
      <c r="F106" s="16" t="str">
        <f aca="false">IF(OR(A106="",D106=""),"",IF(E106&lt;&gt;"",E106,IF(IFERROR(INDEX('Kategori Zamları'!$B$5:$B$24,MATCH(B106,'Kategori Zamları'!$A$5:$A$24,0)),"")="",Özet!$C$3,INDEX('Kategori Zamları'!$B$5:$B$24,MATCH(B106,'Kategori Zamları'!$A$5:$A$24,0)))))</f>
        <v/>
      </c>
      <c r="G106" s="17" t="str">
        <f aca="false">IF(F106="","",ROUNDUP(ROUND(D106*(1+F106)/Özet!$C$4,6),0)*Özet!$C$4-Özet!$C$5)</f>
        <v/>
      </c>
      <c r="H106" s="17" t="str">
        <f aca="false">IF(G106="","",G106-D106)</f>
        <v/>
      </c>
      <c r="I106" s="16" t="str">
        <f aca="false">IF(OR(G106="",D106=0),"",(D106-C106)/D106)</f>
        <v/>
      </c>
      <c r="J106" s="16" t="str">
        <f aca="false">IF(OR(G106="",G106=0),"",(G106-C106)/G106)</f>
        <v/>
      </c>
      <c r="K106" s="18" t="str">
        <f aca="false">IF(OR(G106="",D106=0),"",G106/D106-1)</f>
        <v/>
      </c>
    </row>
    <row r="107" customFormat="false" ht="15" hidden="false" customHeight="false" outlineLevel="0" collapsed="false">
      <c r="A107" s="12"/>
      <c r="B107" s="13"/>
      <c r="C107" s="14"/>
      <c r="D107" s="14"/>
      <c r="E107" s="15"/>
      <c r="F107" s="16" t="str">
        <f aca="false">IF(OR(A107="",D107=""),"",IF(E107&lt;&gt;"",E107,IF(IFERROR(INDEX('Kategori Zamları'!$B$5:$B$24,MATCH(B107,'Kategori Zamları'!$A$5:$A$24,0)),"")="",Özet!$C$3,INDEX('Kategori Zamları'!$B$5:$B$24,MATCH(B107,'Kategori Zamları'!$A$5:$A$24,0)))))</f>
        <v/>
      </c>
      <c r="G107" s="17" t="str">
        <f aca="false">IF(F107="","",ROUNDUP(ROUND(D107*(1+F107)/Özet!$C$4,6),0)*Özet!$C$4-Özet!$C$5)</f>
        <v/>
      </c>
      <c r="H107" s="17" t="str">
        <f aca="false">IF(G107="","",G107-D107)</f>
        <v/>
      </c>
      <c r="I107" s="16" t="str">
        <f aca="false">IF(OR(G107="",D107=0),"",(D107-C107)/D107)</f>
        <v/>
      </c>
      <c r="J107" s="16" t="str">
        <f aca="false">IF(OR(G107="",G107=0),"",(G107-C107)/G107)</f>
        <v/>
      </c>
      <c r="K107" s="18" t="str">
        <f aca="false">IF(OR(G107="",D107=0),"",G107/D107-1)</f>
        <v/>
      </c>
    </row>
    <row r="108" customFormat="false" ht="15" hidden="false" customHeight="false" outlineLevel="0" collapsed="false">
      <c r="A108" s="12"/>
      <c r="B108" s="13"/>
      <c r="C108" s="14"/>
      <c r="D108" s="14"/>
      <c r="E108" s="15"/>
      <c r="F108" s="16" t="str">
        <f aca="false">IF(OR(A108="",D108=""),"",IF(E108&lt;&gt;"",E108,IF(IFERROR(INDEX('Kategori Zamları'!$B$5:$B$24,MATCH(B108,'Kategori Zamları'!$A$5:$A$24,0)),"")="",Özet!$C$3,INDEX('Kategori Zamları'!$B$5:$B$24,MATCH(B108,'Kategori Zamları'!$A$5:$A$24,0)))))</f>
        <v/>
      </c>
      <c r="G108" s="17" t="str">
        <f aca="false">IF(F108="","",ROUNDUP(ROUND(D108*(1+F108)/Özet!$C$4,6),0)*Özet!$C$4-Özet!$C$5)</f>
        <v/>
      </c>
      <c r="H108" s="17" t="str">
        <f aca="false">IF(G108="","",G108-D108)</f>
        <v/>
      </c>
      <c r="I108" s="16" t="str">
        <f aca="false">IF(OR(G108="",D108=0),"",(D108-C108)/D108)</f>
        <v/>
      </c>
      <c r="J108" s="16" t="str">
        <f aca="false">IF(OR(G108="",G108=0),"",(G108-C108)/G108)</f>
        <v/>
      </c>
      <c r="K108" s="18" t="str">
        <f aca="false">IF(OR(G108="",D108=0),"",G108/D108-1)</f>
        <v/>
      </c>
    </row>
    <row r="109" customFormat="false" ht="15" hidden="false" customHeight="false" outlineLevel="0" collapsed="false">
      <c r="A109" s="12"/>
      <c r="B109" s="13"/>
      <c r="C109" s="14"/>
      <c r="D109" s="14"/>
      <c r="E109" s="15"/>
      <c r="F109" s="16" t="str">
        <f aca="false">IF(OR(A109="",D109=""),"",IF(E109&lt;&gt;"",E109,IF(IFERROR(INDEX('Kategori Zamları'!$B$5:$B$24,MATCH(B109,'Kategori Zamları'!$A$5:$A$24,0)),"")="",Özet!$C$3,INDEX('Kategori Zamları'!$B$5:$B$24,MATCH(B109,'Kategori Zamları'!$A$5:$A$24,0)))))</f>
        <v/>
      </c>
      <c r="G109" s="17" t="str">
        <f aca="false">IF(F109="","",ROUNDUP(ROUND(D109*(1+F109)/Özet!$C$4,6),0)*Özet!$C$4-Özet!$C$5)</f>
        <v/>
      </c>
      <c r="H109" s="17" t="str">
        <f aca="false">IF(G109="","",G109-D109)</f>
        <v/>
      </c>
      <c r="I109" s="16" t="str">
        <f aca="false">IF(OR(G109="",D109=0),"",(D109-C109)/D109)</f>
        <v/>
      </c>
      <c r="J109" s="16" t="str">
        <f aca="false">IF(OR(G109="",G109=0),"",(G109-C109)/G109)</f>
        <v/>
      </c>
      <c r="K109" s="18" t="str">
        <f aca="false">IF(OR(G109="",D109=0),"",G109/D109-1)</f>
        <v/>
      </c>
    </row>
    <row r="110" customFormat="false" ht="15" hidden="false" customHeight="false" outlineLevel="0" collapsed="false">
      <c r="A110" s="12"/>
      <c r="B110" s="13"/>
      <c r="C110" s="14"/>
      <c r="D110" s="14"/>
      <c r="E110" s="15"/>
      <c r="F110" s="16" t="str">
        <f aca="false">IF(OR(A110="",D110=""),"",IF(E110&lt;&gt;"",E110,IF(IFERROR(INDEX('Kategori Zamları'!$B$5:$B$24,MATCH(B110,'Kategori Zamları'!$A$5:$A$24,0)),"")="",Özet!$C$3,INDEX('Kategori Zamları'!$B$5:$B$24,MATCH(B110,'Kategori Zamları'!$A$5:$A$24,0)))))</f>
        <v/>
      </c>
      <c r="G110" s="17" t="str">
        <f aca="false">IF(F110="","",ROUNDUP(ROUND(D110*(1+F110)/Özet!$C$4,6),0)*Özet!$C$4-Özet!$C$5)</f>
        <v/>
      </c>
      <c r="H110" s="17" t="str">
        <f aca="false">IF(G110="","",G110-D110)</f>
        <v/>
      </c>
      <c r="I110" s="16" t="str">
        <f aca="false">IF(OR(G110="",D110=0),"",(D110-C110)/D110)</f>
        <v/>
      </c>
      <c r="J110" s="16" t="str">
        <f aca="false">IF(OR(G110="",G110=0),"",(G110-C110)/G110)</f>
        <v/>
      </c>
      <c r="K110" s="18" t="str">
        <f aca="false">IF(OR(G110="",D110=0),"",G110/D110-1)</f>
        <v/>
      </c>
    </row>
    <row r="111" customFormat="false" ht="15" hidden="false" customHeight="false" outlineLevel="0" collapsed="false">
      <c r="A111" s="12"/>
      <c r="B111" s="13"/>
      <c r="C111" s="14"/>
      <c r="D111" s="14"/>
      <c r="E111" s="15"/>
      <c r="F111" s="16" t="str">
        <f aca="false">IF(OR(A111="",D111=""),"",IF(E111&lt;&gt;"",E111,IF(IFERROR(INDEX('Kategori Zamları'!$B$5:$B$24,MATCH(B111,'Kategori Zamları'!$A$5:$A$24,0)),"")="",Özet!$C$3,INDEX('Kategori Zamları'!$B$5:$B$24,MATCH(B111,'Kategori Zamları'!$A$5:$A$24,0)))))</f>
        <v/>
      </c>
      <c r="G111" s="17" t="str">
        <f aca="false">IF(F111="","",ROUNDUP(ROUND(D111*(1+F111)/Özet!$C$4,6),0)*Özet!$C$4-Özet!$C$5)</f>
        <v/>
      </c>
      <c r="H111" s="17" t="str">
        <f aca="false">IF(G111="","",G111-D111)</f>
        <v/>
      </c>
      <c r="I111" s="16" t="str">
        <f aca="false">IF(OR(G111="",D111=0),"",(D111-C111)/D111)</f>
        <v/>
      </c>
      <c r="J111" s="16" t="str">
        <f aca="false">IF(OR(G111="",G111=0),"",(G111-C111)/G111)</f>
        <v/>
      </c>
      <c r="K111" s="18" t="str">
        <f aca="false">IF(OR(G111="",D111=0),"",G111/D111-1)</f>
        <v/>
      </c>
    </row>
    <row r="112" customFormat="false" ht="15" hidden="false" customHeight="false" outlineLevel="0" collapsed="false">
      <c r="A112" s="12"/>
      <c r="B112" s="13"/>
      <c r="C112" s="14"/>
      <c r="D112" s="14"/>
      <c r="E112" s="15"/>
      <c r="F112" s="16" t="str">
        <f aca="false">IF(OR(A112="",D112=""),"",IF(E112&lt;&gt;"",E112,IF(IFERROR(INDEX('Kategori Zamları'!$B$5:$B$24,MATCH(B112,'Kategori Zamları'!$A$5:$A$24,0)),"")="",Özet!$C$3,INDEX('Kategori Zamları'!$B$5:$B$24,MATCH(B112,'Kategori Zamları'!$A$5:$A$24,0)))))</f>
        <v/>
      </c>
      <c r="G112" s="17" t="str">
        <f aca="false">IF(F112="","",ROUNDUP(ROUND(D112*(1+F112)/Özet!$C$4,6),0)*Özet!$C$4-Özet!$C$5)</f>
        <v/>
      </c>
      <c r="H112" s="17" t="str">
        <f aca="false">IF(G112="","",G112-D112)</f>
        <v/>
      </c>
      <c r="I112" s="16" t="str">
        <f aca="false">IF(OR(G112="",D112=0),"",(D112-C112)/D112)</f>
        <v/>
      </c>
      <c r="J112" s="16" t="str">
        <f aca="false">IF(OR(G112="",G112=0),"",(G112-C112)/G112)</f>
        <v/>
      </c>
      <c r="K112" s="18" t="str">
        <f aca="false">IF(OR(G112="",D112=0),"",G112/D112-1)</f>
        <v/>
      </c>
    </row>
    <row r="113" customFormat="false" ht="15" hidden="false" customHeight="false" outlineLevel="0" collapsed="false">
      <c r="A113" s="12"/>
      <c r="B113" s="13"/>
      <c r="C113" s="14"/>
      <c r="D113" s="14"/>
      <c r="E113" s="15"/>
      <c r="F113" s="16" t="str">
        <f aca="false">IF(OR(A113="",D113=""),"",IF(E113&lt;&gt;"",E113,IF(IFERROR(INDEX('Kategori Zamları'!$B$5:$B$24,MATCH(B113,'Kategori Zamları'!$A$5:$A$24,0)),"")="",Özet!$C$3,INDEX('Kategori Zamları'!$B$5:$B$24,MATCH(B113,'Kategori Zamları'!$A$5:$A$24,0)))))</f>
        <v/>
      </c>
      <c r="G113" s="17" t="str">
        <f aca="false">IF(F113="","",ROUNDUP(ROUND(D113*(1+F113)/Özet!$C$4,6),0)*Özet!$C$4-Özet!$C$5)</f>
        <v/>
      </c>
      <c r="H113" s="17" t="str">
        <f aca="false">IF(G113="","",G113-D113)</f>
        <v/>
      </c>
      <c r="I113" s="16" t="str">
        <f aca="false">IF(OR(G113="",D113=0),"",(D113-C113)/D113)</f>
        <v/>
      </c>
      <c r="J113" s="16" t="str">
        <f aca="false">IF(OR(G113="",G113=0),"",(G113-C113)/G113)</f>
        <v/>
      </c>
      <c r="K113" s="18" t="str">
        <f aca="false">IF(OR(G113="",D113=0),"",G113/D113-1)</f>
        <v/>
      </c>
    </row>
    <row r="114" customFormat="false" ht="15" hidden="false" customHeight="false" outlineLevel="0" collapsed="false">
      <c r="A114" s="12"/>
      <c r="B114" s="13"/>
      <c r="C114" s="14"/>
      <c r="D114" s="14"/>
      <c r="E114" s="15"/>
      <c r="F114" s="16" t="str">
        <f aca="false">IF(OR(A114="",D114=""),"",IF(E114&lt;&gt;"",E114,IF(IFERROR(INDEX('Kategori Zamları'!$B$5:$B$24,MATCH(B114,'Kategori Zamları'!$A$5:$A$24,0)),"")="",Özet!$C$3,INDEX('Kategori Zamları'!$B$5:$B$24,MATCH(B114,'Kategori Zamları'!$A$5:$A$24,0)))))</f>
        <v/>
      </c>
      <c r="G114" s="17" t="str">
        <f aca="false">IF(F114="","",ROUNDUP(ROUND(D114*(1+F114)/Özet!$C$4,6),0)*Özet!$C$4-Özet!$C$5)</f>
        <v/>
      </c>
      <c r="H114" s="17" t="str">
        <f aca="false">IF(G114="","",G114-D114)</f>
        <v/>
      </c>
      <c r="I114" s="16" t="str">
        <f aca="false">IF(OR(G114="",D114=0),"",(D114-C114)/D114)</f>
        <v/>
      </c>
      <c r="J114" s="16" t="str">
        <f aca="false">IF(OR(G114="",G114=0),"",(G114-C114)/G114)</f>
        <v/>
      </c>
      <c r="K114" s="18" t="str">
        <f aca="false">IF(OR(G114="",D114=0),"",G114/D114-1)</f>
        <v/>
      </c>
    </row>
    <row r="115" customFormat="false" ht="15" hidden="false" customHeight="false" outlineLevel="0" collapsed="false">
      <c r="A115" s="12"/>
      <c r="B115" s="13"/>
      <c r="C115" s="14"/>
      <c r="D115" s="14"/>
      <c r="E115" s="15"/>
      <c r="F115" s="16" t="str">
        <f aca="false">IF(OR(A115="",D115=""),"",IF(E115&lt;&gt;"",E115,IF(IFERROR(INDEX('Kategori Zamları'!$B$5:$B$24,MATCH(B115,'Kategori Zamları'!$A$5:$A$24,0)),"")="",Özet!$C$3,INDEX('Kategori Zamları'!$B$5:$B$24,MATCH(B115,'Kategori Zamları'!$A$5:$A$24,0)))))</f>
        <v/>
      </c>
      <c r="G115" s="17" t="str">
        <f aca="false">IF(F115="","",ROUNDUP(ROUND(D115*(1+F115)/Özet!$C$4,6),0)*Özet!$C$4-Özet!$C$5)</f>
        <v/>
      </c>
      <c r="H115" s="17" t="str">
        <f aca="false">IF(G115="","",G115-D115)</f>
        <v/>
      </c>
      <c r="I115" s="16" t="str">
        <f aca="false">IF(OR(G115="",D115=0),"",(D115-C115)/D115)</f>
        <v/>
      </c>
      <c r="J115" s="16" t="str">
        <f aca="false">IF(OR(G115="",G115=0),"",(G115-C115)/G115)</f>
        <v/>
      </c>
      <c r="K115" s="18" t="str">
        <f aca="false">IF(OR(G115="",D115=0),"",G115/D115-1)</f>
        <v/>
      </c>
    </row>
    <row r="116" customFormat="false" ht="15" hidden="false" customHeight="false" outlineLevel="0" collapsed="false">
      <c r="A116" s="12"/>
      <c r="B116" s="13"/>
      <c r="C116" s="14"/>
      <c r="D116" s="14"/>
      <c r="E116" s="15"/>
      <c r="F116" s="16" t="str">
        <f aca="false">IF(OR(A116="",D116=""),"",IF(E116&lt;&gt;"",E116,IF(IFERROR(INDEX('Kategori Zamları'!$B$5:$B$24,MATCH(B116,'Kategori Zamları'!$A$5:$A$24,0)),"")="",Özet!$C$3,INDEX('Kategori Zamları'!$B$5:$B$24,MATCH(B116,'Kategori Zamları'!$A$5:$A$24,0)))))</f>
        <v/>
      </c>
      <c r="G116" s="17" t="str">
        <f aca="false">IF(F116="","",ROUNDUP(ROUND(D116*(1+F116)/Özet!$C$4,6),0)*Özet!$C$4-Özet!$C$5)</f>
        <v/>
      </c>
      <c r="H116" s="17" t="str">
        <f aca="false">IF(G116="","",G116-D116)</f>
        <v/>
      </c>
      <c r="I116" s="16" t="str">
        <f aca="false">IF(OR(G116="",D116=0),"",(D116-C116)/D116)</f>
        <v/>
      </c>
      <c r="J116" s="16" t="str">
        <f aca="false">IF(OR(G116="",G116=0),"",(G116-C116)/G116)</f>
        <v/>
      </c>
      <c r="K116" s="18" t="str">
        <f aca="false">IF(OR(G116="",D116=0),"",G116/D116-1)</f>
        <v/>
      </c>
    </row>
    <row r="117" customFormat="false" ht="15" hidden="false" customHeight="false" outlineLevel="0" collapsed="false">
      <c r="A117" s="12"/>
      <c r="B117" s="13"/>
      <c r="C117" s="14"/>
      <c r="D117" s="14"/>
      <c r="E117" s="15"/>
      <c r="F117" s="16" t="str">
        <f aca="false">IF(OR(A117="",D117=""),"",IF(E117&lt;&gt;"",E117,IF(IFERROR(INDEX('Kategori Zamları'!$B$5:$B$24,MATCH(B117,'Kategori Zamları'!$A$5:$A$24,0)),"")="",Özet!$C$3,INDEX('Kategori Zamları'!$B$5:$B$24,MATCH(B117,'Kategori Zamları'!$A$5:$A$24,0)))))</f>
        <v/>
      </c>
      <c r="G117" s="17" t="str">
        <f aca="false">IF(F117="","",ROUNDUP(ROUND(D117*(1+F117)/Özet!$C$4,6),0)*Özet!$C$4-Özet!$C$5)</f>
        <v/>
      </c>
      <c r="H117" s="17" t="str">
        <f aca="false">IF(G117="","",G117-D117)</f>
        <v/>
      </c>
      <c r="I117" s="16" t="str">
        <f aca="false">IF(OR(G117="",D117=0),"",(D117-C117)/D117)</f>
        <v/>
      </c>
      <c r="J117" s="16" t="str">
        <f aca="false">IF(OR(G117="",G117=0),"",(G117-C117)/G117)</f>
        <v/>
      </c>
      <c r="K117" s="18" t="str">
        <f aca="false">IF(OR(G117="",D117=0),"",G117/D117-1)</f>
        <v/>
      </c>
    </row>
    <row r="118" customFormat="false" ht="15" hidden="false" customHeight="false" outlineLevel="0" collapsed="false">
      <c r="A118" s="12"/>
      <c r="B118" s="13"/>
      <c r="C118" s="14"/>
      <c r="D118" s="14"/>
      <c r="E118" s="15"/>
      <c r="F118" s="16" t="str">
        <f aca="false">IF(OR(A118="",D118=""),"",IF(E118&lt;&gt;"",E118,IF(IFERROR(INDEX('Kategori Zamları'!$B$5:$B$24,MATCH(B118,'Kategori Zamları'!$A$5:$A$24,0)),"")="",Özet!$C$3,INDEX('Kategori Zamları'!$B$5:$B$24,MATCH(B118,'Kategori Zamları'!$A$5:$A$24,0)))))</f>
        <v/>
      </c>
      <c r="G118" s="17" t="str">
        <f aca="false">IF(F118="","",ROUNDUP(ROUND(D118*(1+F118)/Özet!$C$4,6),0)*Özet!$C$4-Özet!$C$5)</f>
        <v/>
      </c>
      <c r="H118" s="17" t="str">
        <f aca="false">IF(G118="","",G118-D118)</f>
        <v/>
      </c>
      <c r="I118" s="16" t="str">
        <f aca="false">IF(OR(G118="",D118=0),"",(D118-C118)/D118)</f>
        <v/>
      </c>
      <c r="J118" s="16" t="str">
        <f aca="false">IF(OR(G118="",G118=0),"",(G118-C118)/G118)</f>
        <v/>
      </c>
      <c r="K118" s="18" t="str">
        <f aca="false">IF(OR(G118="",D118=0),"",G118/D118-1)</f>
        <v/>
      </c>
    </row>
    <row r="119" customFormat="false" ht="15" hidden="false" customHeight="false" outlineLevel="0" collapsed="false">
      <c r="A119" s="12"/>
      <c r="B119" s="13"/>
      <c r="C119" s="14"/>
      <c r="D119" s="14"/>
      <c r="E119" s="15"/>
      <c r="F119" s="16" t="str">
        <f aca="false">IF(OR(A119="",D119=""),"",IF(E119&lt;&gt;"",E119,IF(IFERROR(INDEX('Kategori Zamları'!$B$5:$B$24,MATCH(B119,'Kategori Zamları'!$A$5:$A$24,0)),"")="",Özet!$C$3,INDEX('Kategori Zamları'!$B$5:$B$24,MATCH(B119,'Kategori Zamları'!$A$5:$A$24,0)))))</f>
        <v/>
      </c>
      <c r="G119" s="17" t="str">
        <f aca="false">IF(F119="","",ROUNDUP(ROUND(D119*(1+F119)/Özet!$C$4,6),0)*Özet!$C$4-Özet!$C$5)</f>
        <v/>
      </c>
      <c r="H119" s="17" t="str">
        <f aca="false">IF(G119="","",G119-D119)</f>
        <v/>
      </c>
      <c r="I119" s="16" t="str">
        <f aca="false">IF(OR(G119="",D119=0),"",(D119-C119)/D119)</f>
        <v/>
      </c>
      <c r="J119" s="16" t="str">
        <f aca="false">IF(OR(G119="",G119=0),"",(G119-C119)/G119)</f>
        <v/>
      </c>
      <c r="K119" s="18" t="str">
        <f aca="false">IF(OR(G119="",D119=0),"",G119/D119-1)</f>
        <v/>
      </c>
    </row>
    <row r="120" customFormat="false" ht="15" hidden="false" customHeight="false" outlineLevel="0" collapsed="false">
      <c r="A120" s="12"/>
      <c r="B120" s="13"/>
      <c r="C120" s="14"/>
      <c r="D120" s="14"/>
      <c r="E120" s="15"/>
      <c r="F120" s="16" t="str">
        <f aca="false">IF(OR(A120="",D120=""),"",IF(E120&lt;&gt;"",E120,IF(IFERROR(INDEX('Kategori Zamları'!$B$5:$B$24,MATCH(B120,'Kategori Zamları'!$A$5:$A$24,0)),"")="",Özet!$C$3,INDEX('Kategori Zamları'!$B$5:$B$24,MATCH(B120,'Kategori Zamları'!$A$5:$A$24,0)))))</f>
        <v/>
      </c>
      <c r="G120" s="17" t="str">
        <f aca="false">IF(F120="","",ROUNDUP(ROUND(D120*(1+F120)/Özet!$C$4,6),0)*Özet!$C$4-Özet!$C$5)</f>
        <v/>
      </c>
      <c r="H120" s="17" t="str">
        <f aca="false">IF(G120="","",G120-D120)</f>
        <v/>
      </c>
      <c r="I120" s="16" t="str">
        <f aca="false">IF(OR(G120="",D120=0),"",(D120-C120)/D120)</f>
        <v/>
      </c>
      <c r="J120" s="16" t="str">
        <f aca="false">IF(OR(G120="",G120=0),"",(G120-C120)/G120)</f>
        <v/>
      </c>
      <c r="K120" s="18" t="str">
        <f aca="false">IF(OR(G120="",D120=0),"",G120/D120-1)</f>
        <v/>
      </c>
    </row>
    <row r="121" customFormat="false" ht="15" hidden="false" customHeight="false" outlineLevel="0" collapsed="false">
      <c r="A121" s="12"/>
      <c r="B121" s="13"/>
      <c r="C121" s="14"/>
      <c r="D121" s="14"/>
      <c r="E121" s="15"/>
      <c r="F121" s="16" t="str">
        <f aca="false">IF(OR(A121="",D121=""),"",IF(E121&lt;&gt;"",E121,IF(IFERROR(INDEX('Kategori Zamları'!$B$5:$B$24,MATCH(B121,'Kategori Zamları'!$A$5:$A$24,0)),"")="",Özet!$C$3,INDEX('Kategori Zamları'!$B$5:$B$24,MATCH(B121,'Kategori Zamları'!$A$5:$A$24,0)))))</f>
        <v/>
      </c>
      <c r="G121" s="17" t="str">
        <f aca="false">IF(F121="","",ROUNDUP(ROUND(D121*(1+F121)/Özet!$C$4,6),0)*Özet!$C$4-Özet!$C$5)</f>
        <v/>
      </c>
      <c r="H121" s="17" t="str">
        <f aca="false">IF(G121="","",G121-D121)</f>
        <v/>
      </c>
      <c r="I121" s="16" t="str">
        <f aca="false">IF(OR(G121="",D121=0),"",(D121-C121)/D121)</f>
        <v/>
      </c>
      <c r="J121" s="16" t="str">
        <f aca="false">IF(OR(G121="",G121=0),"",(G121-C121)/G121)</f>
        <v/>
      </c>
      <c r="K121" s="18" t="str">
        <f aca="false">IF(OR(G121="",D121=0),"",G121/D121-1)</f>
        <v/>
      </c>
    </row>
    <row r="122" customFormat="false" ht="15" hidden="false" customHeight="false" outlineLevel="0" collapsed="false">
      <c r="A122" s="12"/>
      <c r="B122" s="13"/>
      <c r="C122" s="14"/>
      <c r="D122" s="14"/>
      <c r="E122" s="15"/>
      <c r="F122" s="16" t="str">
        <f aca="false">IF(OR(A122="",D122=""),"",IF(E122&lt;&gt;"",E122,IF(IFERROR(INDEX('Kategori Zamları'!$B$5:$B$24,MATCH(B122,'Kategori Zamları'!$A$5:$A$24,0)),"")="",Özet!$C$3,INDEX('Kategori Zamları'!$B$5:$B$24,MATCH(B122,'Kategori Zamları'!$A$5:$A$24,0)))))</f>
        <v/>
      </c>
      <c r="G122" s="17" t="str">
        <f aca="false">IF(F122="","",ROUNDUP(ROUND(D122*(1+F122)/Özet!$C$4,6),0)*Özet!$C$4-Özet!$C$5)</f>
        <v/>
      </c>
      <c r="H122" s="17" t="str">
        <f aca="false">IF(G122="","",G122-D122)</f>
        <v/>
      </c>
      <c r="I122" s="16" t="str">
        <f aca="false">IF(OR(G122="",D122=0),"",(D122-C122)/D122)</f>
        <v/>
      </c>
      <c r="J122" s="16" t="str">
        <f aca="false">IF(OR(G122="",G122=0),"",(G122-C122)/G122)</f>
        <v/>
      </c>
      <c r="K122" s="18" t="str">
        <f aca="false">IF(OR(G122="",D122=0),"",G122/D122-1)</f>
        <v/>
      </c>
    </row>
    <row r="123" customFormat="false" ht="15" hidden="false" customHeight="false" outlineLevel="0" collapsed="false">
      <c r="A123" s="12"/>
      <c r="B123" s="13"/>
      <c r="C123" s="14"/>
      <c r="D123" s="14"/>
      <c r="E123" s="15"/>
      <c r="F123" s="16" t="str">
        <f aca="false">IF(OR(A123="",D123=""),"",IF(E123&lt;&gt;"",E123,IF(IFERROR(INDEX('Kategori Zamları'!$B$5:$B$24,MATCH(B123,'Kategori Zamları'!$A$5:$A$24,0)),"")="",Özet!$C$3,INDEX('Kategori Zamları'!$B$5:$B$24,MATCH(B123,'Kategori Zamları'!$A$5:$A$24,0)))))</f>
        <v/>
      </c>
      <c r="G123" s="17" t="str">
        <f aca="false">IF(F123="","",ROUNDUP(ROUND(D123*(1+F123)/Özet!$C$4,6),0)*Özet!$C$4-Özet!$C$5)</f>
        <v/>
      </c>
      <c r="H123" s="17" t="str">
        <f aca="false">IF(G123="","",G123-D123)</f>
        <v/>
      </c>
      <c r="I123" s="16" t="str">
        <f aca="false">IF(OR(G123="",D123=0),"",(D123-C123)/D123)</f>
        <v/>
      </c>
      <c r="J123" s="16" t="str">
        <f aca="false">IF(OR(G123="",G123=0),"",(G123-C123)/G123)</f>
        <v/>
      </c>
      <c r="K123" s="18" t="str">
        <f aca="false">IF(OR(G123="",D123=0),"",G123/D123-1)</f>
        <v/>
      </c>
    </row>
    <row r="124" customFormat="false" ht="15" hidden="false" customHeight="false" outlineLevel="0" collapsed="false">
      <c r="A124" s="12"/>
      <c r="B124" s="13"/>
      <c r="C124" s="14"/>
      <c r="D124" s="14"/>
      <c r="E124" s="15"/>
      <c r="F124" s="16" t="str">
        <f aca="false">IF(OR(A124="",D124=""),"",IF(E124&lt;&gt;"",E124,IF(IFERROR(INDEX('Kategori Zamları'!$B$5:$B$24,MATCH(B124,'Kategori Zamları'!$A$5:$A$24,0)),"")="",Özet!$C$3,INDEX('Kategori Zamları'!$B$5:$B$24,MATCH(B124,'Kategori Zamları'!$A$5:$A$24,0)))))</f>
        <v/>
      </c>
      <c r="G124" s="17" t="str">
        <f aca="false">IF(F124="","",ROUNDUP(ROUND(D124*(1+F124)/Özet!$C$4,6),0)*Özet!$C$4-Özet!$C$5)</f>
        <v/>
      </c>
      <c r="H124" s="17" t="str">
        <f aca="false">IF(G124="","",G124-D124)</f>
        <v/>
      </c>
      <c r="I124" s="16" t="str">
        <f aca="false">IF(OR(G124="",D124=0),"",(D124-C124)/D124)</f>
        <v/>
      </c>
      <c r="J124" s="16" t="str">
        <f aca="false">IF(OR(G124="",G124=0),"",(G124-C124)/G124)</f>
        <v/>
      </c>
      <c r="K124" s="18" t="str">
        <f aca="false">IF(OR(G124="",D124=0),"",G124/D124-1)</f>
        <v/>
      </c>
    </row>
    <row r="125" customFormat="false" ht="15" hidden="false" customHeight="false" outlineLevel="0" collapsed="false">
      <c r="A125" s="12"/>
      <c r="B125" s="13"/>
      <c r="C125" s="14"/>
      <c r="D125" s="14"/>
      <c r="E125" s="15"/>
      <c r="F125" s="16" t="str">
        <f aca="false">IF(OR(A125="",D125=""),"",IF(E125&lt;&gt;"",E125,IF(IFERROR(INDEX('Kategori Zamları'!$B$5:$B$24,MATCH(B125,'Kategori Zamları'!$A$5:$A$24,0)),"")="",Özet!$C$3,INDEX('Kategori Zamları'!$B$5:$B$24,MATCH(B125,'Kategori Zamları'!$A$5:$A$24,0)))))</f>
        <v/>
      </c>
      <c r="G125" s="17" t="str">
        <f aca="false">IF(F125="","",ROUNDUP(ROUND(D125*(1+F125)/Özet!$C$4,6),0)*Özet!$C$4-Özet!$C$5)</f>
        <v/>
      </c>
      <c r="H125" s="17" t="str">
        <f aca="false">IF(G125="","",G125-D125)</f>
        <v/>
      </c>
      <c r="I125" s="16" t="str">
        <f aca="false">IF(OR(G125="",D125=0),"",(D125-C125)/D125)</f>
        <v/>
      </c>
      <c r="J125" s="16" t="str">
        <f aca="false">IF(OR(G125="",G125=0),"",(G125-C125)/G125)</f>
        <v/>
      </c>
      <c r="K125" s="18" t="str">
        <f aca="false">IF(OR(G125="",D125=0),"",G125/D125-1)</f>
        <v/>
      </c>
    </row>
    <row r="126" customFormat="false" ht="15" hidden="false" customHeight="false" outlineLevel="0" collapsed="false">
      <c r="A126" s="12"/>
      <c r="B126" s="13"/>
      <c r="C126" s="14"/>
      <c r="D126" s="14"/>
      <c r="E126" s="15"/>
      <c r="F126" s="16" t="str">
        <f aca="false">IF(OR(A126="",D126=""),"",IF(E126&lt;&gt;"",E126,IF(IFERROR(INDEX('Kategori Zamları'!$B$5:$B$24,MATCH(B126,'Kategori Zamları'!$A$5:$A$24,0)),"")="",Özet!$C$3,INDEX('Kategori Zamları'!$B$5:$B$24,MATCH(B126,'Kategori Zamları'!$A$5:$A$24,0)))))</f>
        <v/>
      </c>
      <c r="G126" s="17" t="str">
        <f aca="false">IF(F126="","",ROUNDUP(ROUND(D126*(1+F126)/Özet!$C$4,6),0)*Özet!$C$4-Özet!$C$5)</f>
        <v/>
      </c>
      <c r="H126" s="17" t="str">
        <f aca="false">IF(G126="","",G126-D126)</f>
        <v/>
      </c>
      <c r="I126" s="16" t="str">
        <f aca="false">IF(OR(G126="",D126=0),"",(D126-C126)/D126)</f>
        <v/>
      </c>
      <c r="J126" s="16" t="str">
        <f aca="false">IF(OR(G126="",G126=0),"",(G126-C126)/G126)</f>
        <v/>
      </c>
      <c r="K126" s="18" t="str">
        <f aca="false">IF(OR(G126="",D126=0),"",G126/D126-1)</f>
        <v/>
      </c>
    </row>
    <row r="127" customFormat="false" ht="15" hidden="false" customHeight="false" outlineLevel="0" collapsed="false">
      <c r="A127" s="12"/>
      <c r="B127" s="13"/>
      <c r="C127" s="14"/>
      <c r="D127" s="14"/>
      <c r="E127" s="15"/>
      <c r="F127" s="16" t="str">
        <f aca="false">IF(OR(A127="",D127=""),"",IF(E127&lt;&gt;"",E127,IF(IFERROR(INDEX('Kategori Zamları'!$B$5:$B$24,MATCH(B127,'Kategori Zamları'!$A$5:$A$24,0)),"")="",Özet!$C$3,INDEX('Kategori Zamları'!$B$5:$B$24,MATCH(B127,'Kategori Zamları'!$A$5:$A$24,0)))))</f>
        <v/>
      </c>
      <c r="G127" s="17" t="str">
        <f aca="false">IF(F127="","",ROUNDUP(ROUND(D127*(1+F127)/Özet!$C$4,6),0)*Özet!$C$4-Özet!$C$5)</f>
        <v/>
      </c>
      <c r="H127" s="17" t="str">
        <f aca="false">IF(G127="","",G127-D127)</f>
        <v/>
      </c>
      <c r="I127" s="16" t="str">
        <f aca="false">IF(OR(G127="",D127=0),"",(D127-C127)/D127)</f>
        <v/>
      </c>
      <c r="J127" s="16" t="str">
        <f aca="false">IF(OR(G127="",G127=0),"",(G127-C127)/G127)</f>
        <v/>
      </c>
      <c r="K127" s="18" t="str">
        <f aca="false">IF(OR(G127="",D127=0),"",G127/D127-1)</f>
        <v/>
      </c>
    </row>
    <row r="128" customFormat="false" ht="15" hidden="false" customHeight="false" outlineLevel="0" collapsed="false">
      <c r="A128" s="12"/>
      <c r="B128" s="13"/>
      <c r="C128" s="14"/>
      <c r="D128" s="14"/>
      <c r="E128" s="15"/>
      <c r="F128" s="16" t="str">
        <f aca="false">IF(OR(A128="",D128=""),"",IF(E128&lt;&gt;"",E128,IF(IFERROR(INDEX('Kategori Zamları'!$B$5:$B$24,MATCH(B128,'Kategori Zamları'!$A$5:$A$24,0)),"")="",Özet!$C$3,INDEX('Kategori Zamları'!$B$5:$B$24,MATCH(B128,'Kategori Zamları'!$A$5:$A$24,0)))))</f>
        <v/>
      </c>
      <c r="G128" s="17" t="str">
        <f aca="false">IF(F128="","",ROUNDUP(ROUND(D128*(1+F128)/Özet!$C$4,6),0)*Özet!$C$4-Özet!$C$5)</f>
        <v/>
      </c>
      <c r="H128" s="17" t="str">
        <f aca="false">IF(G128="","",G128-D128)</f>
        <v/>
      </c>
      <c r="I128" s="16" t="str">
        <f aca="false">IF(OR(G128="",D128=0),"",(D128-C128)/D128)</f>
        <v/>
      </c>
      <c r="J128" s="16" t="str">
        <f aca="false">IF(OR(G128="",G128=0),"",(G128-C128)/G128)</f>
        <v/>
      </c>
      <c r="K128" s="18" t="str">
        <f aca="false">IF(OR(G128="",D128=0),"",G128/D128-1)</f>
        <v/>
      </c>
    </row>
    <row r="129" customFormat="false" ht="15" hidden="false" customHeight="false" outlineLevel="0" collapsed="false">
      <c r="A129" s="12"/>
      <c r="B129" s="13"/>
      <c r="C129" s="14"/>
      <c r="D129" s="14"/>
      <c r="E129" s="15"/>
      <c r="F129" s="16" t="str">
        <f aca="false">IF(OR(A129="",D129=""),"",IF(E129&lt;&gt;"",E129,IF(IFERROR(INDEX('Kategori Zamları'!$B$5:$B$24,MATCH(B129,'Kategori Zamları'!$A$5:$A$24,0)),"")="",Özet!$C$3,INDEX('Kategori Zamları'!$B$5:$B$24,MATCH(B129,'Kategori Zamları'!$A$5:$A$24,0)))))</f>
        <v/>
      </c>
      <c r="G129" s="17" t="str">
        <f aca="false">IF(F129="","",ROUNDUP(ROUND(D129*(1+F129)/Özet!$C$4,6),0)*Özet!$C$4-Özet!$C$5)</f>
        <v/>
      </c>
      <c r="H129" s="17" t="str">
        <f aca="false">IF(G129="","",G129-D129)</f>
        <v/>
      </c>
      <c r="I129" s="16" t="str">
        <f aca="false">IF(OR(G129="",D129=0),"",(D129-C129)/D129)</f>
        <v/>
      </c>
      <c r="J129" s="16" t="str">
        <f aca="false">IF(OR(G129="",G129=0),"",(G129-C129)/G129)</f>
        <v/>
      </c>
      <c r="K129" s="18" t="str">
        <f aca="false">IF(OR(G129="",D129=0),"",G129/D129-1)</f>
        <v/>
      </c>
    </row>
    <row r="130" customFormat="false" ht="15" hidden="false" customHeight="false" outlineLevel="0" collapsed="false">
      <c r="A130" s="12"/>
      <c r="B130" s="13"/>
      <c r="C130" s="14"/>
      <c r="D130" s="14"/>
      <c r="E130" s="15"/>
      <c r="F130" s="16" t="str">
        <f aca="false">IF(OR(A130="",D130=""),"",IF(E130&lt;&gt;"",E130,IF(IFERROR(INDEX('Kategori Zamları'!$B$5:$B$24,MATCH(B130,'Kategori Zamları'!$A$5:$A$24,0)),"")="",Özet!$C$3,INDEX('Kategori Zamları'!$B$5:$B$24,MATCH(B130,'Kategori Zamları'!$A$5:$A$24,0)))))</f>
        <v/>
      </c>
      <c r="G130" s="17" t="str">
        <f aca="false">IF(F130="","",ROUNDUP(ROUND(D130*(1+F130)/Özet!$C$4,6),0)*Özet!$C$4-Özet!$C$5)</f>
        <v/>
      </c>
      <c r="H130" s="17" t="str">
        <f aca="false">IF(G130="","",G130-D130)</f>
        <v/>
      </c>
      <c r="I130" s="16" t="str">
        <f aca="false">IF(OR(G130="",D130=0),"",(D130-C130)/D130)</f>
        <v/>
      </c>
      <c r="J130" s="16" t="str">
        <f aca="false">IF(OR(G130="",G130=0),"",(G130-C130)/G130)</f>
        <v/>
      </c>
      <c r="K130" s="18" t="str">
        <f aca="false">IF(OR(G130="",D130=0),"",G130/D130-1)</f>
        <v/>
      </c>
    </row>
    <row r="131" customFormat="false" ht="15" hidden="false" customHeight="false" outlineLevel="0" collapsed="false">
      <c r="A131" s="12"/>
      <c r="B131" s="13"/>
      <c r="C131" s="14"/>
      <c r="D131" s="14"/>
      <c r="E131" s="15"/>
      <c r="F131" s="16" t="str">
        <f aca="false">IF(OR(A131="",D131=""),"",IF(E131&lt;&gt;"",E131,IF(IFERROR(INDEX('Kategori Zamları'!$B$5:$B$24,MATCH(B131,'Kategori Zamları'!$A$5:$A$24,0)),"")="",Özet!$C$3,INDEX('Kategori Zamları'!$B$5:$B$24,MATCH(B131,'Kategori Zamları'!$A$5:$A$24,0)))))</f>
        <v/>
      </c>
      <c r="G131" s="17" t="str">
        <f aca="false">IF(F131="","",ROUNDUP(ROUND(D131*(1+F131)/Özet!$C$4,6),0)*Özet!$C$4-Özet!$C$5)</f>
        <v/>
      </c>
      <c r="H131" s="17" t="str">
        <f aca="false">IF(G131="","",G131-D131)</f>
        <v/>
      </c>
      <c r="I131" s="16" t="str">
        <f aca="false">IF(OR(G131="",D131=0),"",(D131-C131)/D131)</f>
        <v/>
      </c>
      <c r="J131" s="16" t="str">
        <f aca="false">IF(OR(G131="",G131=0),"",(G131-C131)/G131)</f>
        <v/>
      </c>
      <c r="K131" s="18" t="str">
        <f aca="false">IF(OR(G131="",D131=0),"",G131/D131-1)</f>
        <v/>
      </c>
    </row>
    <row r="132" customFormat="false" ht="15" hidden="false" customHeight="false" outlineLevel="0" collapsed="false">
      <c r="A132" s="12"/>
      <c r="B132" s="13"/>
      <c r="C132" s="14"/>
      <c r="D132" s="14"/>
      <c r="E132" s="15"/>
      <c r="F132" s="16" t="str">
        <f aca="false">IF(OR(A132="",D132=""),"",IF(E132&lt;&gt;"",E132,IF(IFERROR(INDEX('Kategori Zamları'!$B$5:$B$24,MATCH(B132,'Kategori Zamları'!$A$5:$A$24,0)),"")="",Özet!$C$3,INDEX('Kategori Zamları'!$B$5:$B$24,MATCH(B132,'Kategori Zamları'!$A$5:$A$24,0)))))</f>
        <v/>
      </c>
      <c r="G132" s="17" t="str">
        <f aca="false">IF(F132="","",ROUNDUP(ROUND(D132*(1+F132)/Özet!$C$4,6),0)*Özet!$C$4-Özet!$C$5)</f>
        <v/>
      </c>
      <c r="H132" s="17" t="str">
        <f aca="false">IF(G132="","",G132-D132)</f>
        <v/>
      </c>
      <c r="I132" s="16" t="str">
        <f aca="false">IF(OR(G132="",D132=0),"",(D132-C132)/D132)</f>
        <v/>
      </c>
      <c r="J132" s="16" t="str">
        <f aca="false">IF(OR(G132="",G132=0),"",(G132-C132)/G132)</f>
        <v/>
      </c>
      <c r="K132" s="18" t="str">
        <f aca="false">IF(OR(G132="",D132=0),"",G132/D132-1)</f>
        <v/>
      </c>
    </row>
    <row r="133" customFormat="false" ht="15" hidden="false" customHeight="false" outlineLevel="0" collapsed="false">
      <c r="A133" s="12"/>
      <c r="B133" s="13"/>
      <c r="C133" s="14"/>
      <c r="D133" s="14"/>
      <c r="E133" s="15"/>
      <c r="F133" s="16" t="str">
        <f aca="false">IF(OR(A133="",D133=""),"",IF(E133&lt;&gt;"",E133,IF(IFERROR(INDEX('Kategori Zamları'!$B$5:$B$24,MATCH(B133,'Kategori Zamları'!$A$5:$A$24,0)),"")="",Özet!$C$3,INDEX('Kategori Zamları'!$B$5:$B$24,MATCH(B133,'Kategori Zamları'!$A$5:$A$24,0)))))</f>
        <v/>
      </c>
      <c r="G133" s="17" t="str">
        <f aca="false">IF(F133="","",ROUNDUP(ROUND(D133*(1+F133)/Özet!$C$4,6),0)*Özet!$C$4-Özet!$C$5)</f>
        <v/>
      </c>
      <c r="H133" s="17" t="str">
        <f aca="false">IF(G133="","",G133-D133)</f>
        <v/>
      </c>
      <c r="I133" s="16" t="str">
        <f aca="false">IF(OR(G133="",D133=0),"",(D133-C133)/D133)</f>
        <v/>
      </c>
      <c r="J133" s="16" t="str">
        <f aca="false">IF(OR(G133="",G133=0),"",(G133-C133)/G133)</f>
        <v/>
      </c>
      <c r="K133" s="18" t="str">
        <f aca="false">IF(OR(G133="",D133=0),"",G133/D133-1)</f>
        <v/>
      </c>
    </row>
    <row r="134" customFormat="false" ht="15" hidden="false" customHeight="false" outlineLevel="0" collapsed="false">
      <c r="A134" s="12"/>
      <c r="B134" s="13"/>
      <c r="C134" s="14"/>
      <c r="D134" s="14"/>
      <c r="E134" s="15"/>
      <c r="F134" s="16" t="str">
        <f aca="false">IF(OR(A134="",D134=""),"",IF(E134&lt;&gt;"",E134,IF(IFERROR(INDEX('Kategori Zamları'!$B$5:$B$24,MATCH(B134,'Kategori Zamları'!$A$5:$A$24,0)),"")="",Özet!$C$3,INDEX('Kategori Zamları'!$B$5:$B$24,MATCH(B134,'Kategori Zamları'!$A$5:$A$24,0)))))</f>
        <v/>
      </c>
      <c r="G134" s="17" t="str">
        <f aca="false">IF(F134="","",ROUNDUP(ROUND(D134*(1+F134)/Özet!$C$4,6),0)*Özet!$C$4-Özet!$C$5)</f>
        <v/>
      </c>
      <c r="H134" s="17" t="str">
        <f aca="false">IF(G134="","",G134-D134)</f>
        <v/>
      </c>
      <c r="I134" s="16" t="str">
        <f aca="false">IF(OR(G134="",D134=0),"",(D134-C134)/D134)</f>
        <v/>
      </c>
      <c r="J134" s="16" t="str">
        <f aca="false">IF(OR(G134="",G134=0),"",(G134-C134)/G134)</f>
        <v/>
      </c>
      <c r="K134" s="18" t="str">
        <f aca="false">IF(OR(G134="",D134=0),"",G134/D134-1)</f>
        <v/>
      </c>
    </row>
    <row r="135" customFormat="false" ht="15" hidden="false" customHeight="false" outlineLevel="0" collapsed="false">
      <c r="A135" s="12"/>
      <c r="B135" s="13"/>
      <c r="C135" s="14"/>
      <c r="D135" s="14"/>
      <c r="E135" s="15"/>
      <c r="F135" s="16" t="str">
        <f aca="false">IF(OR(A135="",D135=""),"",IF(E135&lt;&gt;"",E135,IF(IFERROR(INDEX('Kategori Zamları'!$B$5:$B$24,MATCH(B135,'Kategori Zamları'!$A$5:$A$24,0)),"")="",Özet!$C$3,INDEX('Kategori Zamları'!$B$5:$B$24,MATCH(B135,'Kategori Zamları'!$A$5:$A$24,0)))))</f>
        <v/>
      </c>
      <c r="G135" s="17" t="str">
        <f aca="false">IF(F135="","",ROUNDUP(ROUND(D135*(1+F135)/Özet!$C$4,6),0)*Özet!$C$4-Özet!$C$5)</f>
        <v/>
      </c>
      <c r="H135" s="17" t="str">
        <f aca="false">IF(G135="","",G135-D135)</f>
        <v/>
      </c>
      <c r="I135" s="16" t="str">
        <f aca="false">IF(OR(G135="",D135=0),"",(D135-C135)/D135)</f>
        <v/>
      </c>
      <c r="J135" s="16" t="str">
        <f aca="false">IF(OR(G135="",G135=0),"",(G135-C135)/G135)</f>
        <v/>
      </c>
      <c r="K135" s="18" t="str">
        <f aca="false">IF(OR(G135="",D135=0),"",G135/D135-1)</f>
        <v/>
      </c>
    </row>
    <row r="136" customFormat="false" ht="15" hidden="false" customHeight="false" outlineLevel="0" collapsed="false">
      <c r="A136" s="12"/>
      <c r="B136" s="13"/>
      <c r="C136" s="14"/>
      <c r="D136" s="14"/>
      <c r="E136" s="15"/>
      <c r="F136" s="16" t="str">
        <f aca="false">IF(OR(A136="",D136=""),"",IF(E136&lt;&gt;"",E136,IF(IFERROR(INDEX('Kategori Zamları'!$B$5:$B$24,MATCH(B136,'Kategori Zamları'!$A$5:$A$24,0)),"")="",Özet!$C$3,INDEX('Kategori Zamları'!$B$5:$B$24,MATCH(B136,'Kategori Zamları'!$A$5:$A$24,0)))))</f>
        <v/>
      </c>
      <c r="G136" s="17" t="str">
        <f aca="false">IF(F136="","",ROUNDUP(ROUND(D136*(1+F136)/Özet!$C$4,6),0)*Özet!$C$4-Özet!$C$5)</f>
        <v/>
      </c>
      <c r="H136" s="17" t="str">
        <f aca="false">IF(G136="","",G136-D136)</f>
        <v/>
      </c>
      <c r="I136" s="16" t="str">
        <f aca="false">IF(OR(G136="",D136=0),"",(D136-C136)/D136)</f>
        <v/>
      </c>
      <c r="J136" s="16" t="str">
        <f aca="false">IF(OR(G136="",G136=0),"",(G136-C136)/G136)</f>
        <v/>
      </c>
      <c r="K136" s="18" t="str">
        <f aca="false">IF(OR(G136="",D136=0),"",G136/D136-1)</f>
        <v/>
      </c>
    </row>
    <row r="137" customFormat="false" ht="15" hidden="false" customHeight="false" outlineLevel="0" collapsed="false">
      <c r="A137" s="12"/>
      <c r="B137" s="13"/>
      <c r="C137" s="14"/>
      <c r="D137" s="14"/>
      <c r="E137" s="15"/>
      <c r="F137" s="16" t="str">
        <f aca="false">IF(OR(A137="",D137=""),"",IF(E137&lt;&gt;"",E137,IF(IFERROR(INDEX('Kategori Zamları'!$B$5:$B$24,MATCH(B137,'Kategori Zamları'!$A$5:$A$24,0)),"")="",Özet!$C$3,INDEX('Kategori Zamları'!$B$5:$B$24,MATCH(B137,'Kategori Zamları'!$A$5:$A$24,0)))))</f>
        <v/>
      </c>
      <c r="G137" s="17" t="str">
        <f aca="false">IF(F137="","",ROUNDUP(ROUND(D137*(1+F137)/Özet!$C$4,6),0)*Özet!$C$4-Özet!$C$5)</f>
        <v/>
      </c>
      <c r="H137" s="17" t="str">
        <f aca="false">IF(G137="","",G137-D137)</f>
        <v/>
      </c>
      <c r="I137" s="16" t="str">
        <f aca="false">IF(OR(G137="",D137=0),"",(D137-C137)/D137)</f>
        <v/>
      </c>
      <c r="J137" s="16" t="str">
        <f aca="false">IF(OR(G137="",G137=0),"",(G137-C137)/G137)</f>
        <v/>
      </c>
      <c r="K137" s="18" t="str">
        <f aca="false">IF(OR(G137="",D137=0),"",G137/D137-1)</f>
        <v/>
      </c>
    </row>
    <row r="138" customFormat="false" ht="15" hidden="false" customHeight="false" outlineLevel="0" collapsed="false">
      <c r="A138" s="12"/>
      <c r="B138" s="13"/>
      <c r="C138" s="14"/>
      <c r="D138" s="14"/>
      <c r="E138" s="15"/>
      <c r="F138" s="16" t="str">
        <f aca="false">IF(OR(A138="",D138=""),"",IF(E138&lt;&gt;"",E138,IF(IFERROR(INDEX('Kategori Zamları'!$B$5:$B$24,MATCH(B138,'Kategori Zamları'!$A$5:$A$24,0)),"")="",Özet!$C$3,INDEX('Kategori Zamları'!$B$5:$B$24,MATCH(B138,'Kategori Zamları'!$A$5:$A$24,0)))))</f>
        <v/>
      </c>
      <c r="G138" s="17" t="str">
        <f aca="false">IF(F138="","",ROUNDUP(ROUND(D138*(1+F138)/Özet!$C$4,6),0)*Özet!$C$4-Özet!$C$5)</f>
        <v/>
      </c>
      <c r="H138" s="17" t="str">
        <f aca="false">IF(G138="","",G138-D138)</f>
        <v/>
      </c>
      <c r="I138" s="16" t="str">
        <f aca="false">IF(OR(G138="",D138=0),"",(D138-C138)/D138)</f>
        <v/>
      </c>
      <c r="J138" s="16" t="str">
        <f aca="false">IF(OR(G138="",G138=0),"",(G138-C138)/G138)</f>
        <v/>
      </c>
      <c r="K138" s="18" t="str">
        <f aca="false">IF(OR(G138="",D138=0),"",G138/D138-1)</f>
        <v/>
      </c>
    </row>
    <row r="139" customFormat="false" ht="15" hidden="false" customHeight="false" outlineLevel="0" collapsed="false">
      <c r="A139" s="12"/>
      <c r="B139" s="13"/>
      <c r="C139" s="14"/>
      <c r="D139" s="14"/>
      <c r="E139" s="15"/>
      <c r="F139" s="16" t="str">
        <f aca="false">IF(OR(A139="",D139=""),"",IF(E139&lt;&gt;"",E139,IF(IFERROR(INDEX('Kategori Zamları'!$B$5:$B$24,MATCH(B139,'Kategori Zamları'!$A$5:$A$24,0)),"")="",Özet!$C$3,INDEX('Kategori Zamları'!$B$5:$B$24,MATCH(B139,'Kategori Zamları'!$A$5:$A$24,0)))))</f>
        <v/>
      </c>
      <c r="G139" s="17" t="str">
        <f aca="false">IF(F139="","",ROUNDUP(ROUND(D139*(1+F139)/Özet!$C$4,6),0)*Özet!$C$4-Özet!$C$5)</f>
        <v/>
      </c>
      <c r="H139" s="17" t="str">
        <f aca="false">IF(G139="","",G139-D139)</f>
        <v/>
      </c>
      <c r="I139" s="16" t="str">
        <f aca="false">IF(OR(G139="",D139=0),"",(D139-C139)/D139)</f>
        <v/>
      </c>
      <c r="J139" s="16" t="str">
        <f aca="false">IF(OR(G139="",G139=0),"",(G139-C139)/G139)</f>
        <v/>
      </c>
      <c r="K139" s="18" t="str">
        <f aca="false">IF(OR(G139="",D139=0),"",G139/D139-1)</f>
        <v/>
      </c>
    </row>
    <row r="140" customFormat="false" ht="15" hidden="false" customHeight="false" outlineLevel="0" collapsed="false">
      <c r="A140" s="12"/>
      <c r="B140" s="13"/>
      <c r="C140" s="14"/>
      <c r="D140" s="14"/>
      <c r="E140" s="15"/>
      <c r="F140" s="16" t="str">
        <f aca="false">IF(OR(A140="",D140=""),"",IF(E140&lt;&gt;"",E140,IF(IFERROR(INDEX('Kategori Zamları'!$B$5:$B$24,MATCH(B140,'Kategori Zamları'!$A$5:$A$24,0)),"")="",Özet!$C$3,INDEX('Kategori Zamları'!$B$5:$B$24,MATCH(B140,'Kategori Zamları'!$A$5:$A$24,0)))))</f>
        <v/>
      </c>
      <c r="G140" s="17" t="str">
        <f aca="false">IF(F140="","",ROUNDUP(ROUND(D140*(1+F140)/Özet!$C$4,6),0)*Özet!$C$4-Özet!$C$5)</f>
        <v/>
      </c>
      <c r="H140" s="17" t="str">
        <f aca="false">IF(G140="","",G140-D140)</f>
        <v/>
      </c>
      <c r="I140" s="16" t="str">
        <f aca="false">IF(OR(G140="",D140=0),"",(D140-C140)/D140)</f>
        <v/>
      </c>
      <c r="J140" s="16" t="str">
        <f aca="false">IF(OR(G140="",G140=0),"",(G140-C140)/G140)</f>
        <v/>
      </c>
      <c r="K140" s="18" t="str">
        <f aca="false">IF(OR(G140="",D140=0),"",G140/D140-1)</f>
        <v/>
      </c>
    </row>
    <row r="141" customFormat="false" ht="15" hidden="false" customHeight="false" outlineLevel="0" collapsed="false">
      <c r="A141" s="12"/>
      <c r="B141" s="13"/>
      <c r="C141" s="14"/>
      <c r="D141" s="14"/>
      <c r="E141" s="15"/>
      <c r="F141" s="16" t="str">
        <f aca="false">IF(OR(A141="",D141=""),"",IF(E141&lt;&gt;"",E141,IF(IFERROR(INDEX('Kategori Zamları'!$B$5:$B$24,MATCH(B141,'Kategori Zamları'!$A$5:$A$24,0)),"")="",Özet!$C$3,INDEX('Kategori Zamları'!$B$5:$B$24,MATCH(B141,'Kategori Zamları'!$A$5:$A$24,0)))))</f>
        <v/>
      </c>
      <c r="G141" s="17" t="str">
        <f aca="false">IF(F141="","",ROUNDUP(ROUND(D141*(1+F141)/Özet!$C$4,6),0)*Özet!$C$4-Özet!$C$5)</f>
        <v/>
      </c>
      <c r="H141" s="17" t="str">
        <f aca="false">IF(G141="","",G141-D141)</f>
        <v/>
      </c>
      <c r="I141" s="16" t="str">
        <f aca="false">IF(OR(G141="",D141=0),"",(D141-C141)/D141)</f>
        <v/>
      </c>
      <c r="J141" s="16" t="str">
        <f aca="false">IF(OR(G141="",G141=0),"",(G141-C141)/G141)</f>
        <v/>
      </c>
      <c r="K141" s="18" t="str">
        <f aca="false">IF(OR(G141="",D141=0),"",G141/D141-1)</f>
        <v/>
      </c>
    </row>
    <row r="142" customFormat="false" ht="15" hidden="false" customHeight="false" outlineLevel="0" collapsed="false">
      <c r="A142" s="12"/>
      <c r="B142" s="13"/>
      <c r="C142" s="14"/>
      <c r="D142" s="14"/>
      <c r="E142" s="15"/>
      <c r="F142" s="16" t="str">
        <f aca="false">IF(OR(A142="",D142=""),"",IF(E142&lt;&gt;"",E142,IF(IFERROR(INDEX('Kategori Zamları'!$B$5:$B$24,MATCH(B142,'Kategori Zamları'!$A$5:$A$24,0)),"")="",Özet!$C$3,INDEX('Kategori Zamları'!$B$5:$B$24,MATCH(B142,'Kategori Zamları'!$A$5:$A$24,0)))))</f>
        <v/>
      </c>
      <c r="G142" s="17" t="str">
        <f aca="false">IF(F142="","",ROUNDUP(ROUND(D142*(1+F142)/Özet!$C$4,6),0)*Özet!$C$4-Özet!$C$5)</f>
        <v/>
      </c>
      <c r="H142" s="17" t="str">
        <f aca="false">IF(G142="","",G142-D142)</f>
        <v/>
      </c>
      <c r="I142" s="16" t="str">
        <f aca="false">IF(OR(G142="",D142=0),"",(D142-C142)/D142)</f>
        <v/>
      </c>
      <c r="J142" s="16" t="str">
        <f aca="false">IF(OR(G142="",G142=0),"",(G142-C142)/G142)</f>
        <v/>
      </c>
      <c r="K142" s="18" t="str">
        <f aca="false">IF(OR(G142="",D142=0),"",G142/D142-1)</f>
        <v/>
      </c>
    </row>
    <row r="143" customFormat="false" ht="15" hidden="false" customHeight="false" outlineLevel="0" collapsed="false">
      <c r="A143" s="12"/>
      <c r="B143" s="13"/>
      <c r="C143" s="14"/>
      <c r="D143" s="14"/>
      <c r="E143" s="15"/>
      <c r="F143" s="16" t="str">
        <f aca="false">IF(OR(A143="",D143=""),"",IF(E143&lt;&gt;"",E143,IF(IFERROR(INDEX('Kategori Zamları'!$B$5:$B$24,MATCH(B143,'Kategori Zamları'!$A$5:$A$24,0)),"")="",Özet!$C$3,INDEX('Kategori Zamları'!$B$5:$B$24,MATCH(B143,'Kategori Zamları'!$A$5:$A$24,0)))))</f>
        <v/>
      </c>
      <c r="G143" s="17" t="str">
        <f aca="false">IF(F143="","",ROUNDUP(ROUND(D143*(1+F143)/Özet!$C$4,6),0)*Özet!$C$4-Özet!$C$5)</f>
        <v/>
      </c>
      <c r="H143" s="17" t="str">
        <f aca="false">IF(G143="","",G143-D143)</f>
        <v/>
      </c>
      <c r="I143" s="16" t="str">
        <f aca="false">IF(OR(G143="",D143=0),"",(D143-C143)/D143)</f>
        <v/>
      </c>
      <c r="J143" s="16" t="str">
        <f aca="false">IF(OR(G143="",G143=0),"",(G143-C143)/G143)</f>
        <v/>
      </c>
      <c r="K143" s="18" t="str">
        <f aca="false">IF(OR(G143="",D143=0),"",G143/D143-1)</f>
        <v/>
      </c>
    </row>
    <row r="144" customFormat="false" ht="15" hidden="false" customHeight="false" outlineLevel="0" collapsed="false">
      <c r="A144" s="12"/>
      <c r="B144" s="13"/>
      <c r="C144" s="14"/>
      <c r="D144" s="14"/>
      <c r="E144" s="15"/>
      <c r="F144" s="16" t="str">
        <f aca="false">IF(OR(A144="",D144=""),"",IF(E144&lt;&gt;"",E144,IF(IFERROR(INDEX('Kategori Zamları'!$B$5:$B$24,MATCH(B144,'Kategori Zamları'!$A$5:$A$24,0)),"")="",Özet!$C$3,INDEX('Kategori Zamları'!$B$5:$B$24,MATCH(B144,'Kategori Zamları'!$A$5:$A$24,0)))))</f>
        <v/>
      </c>
      <c r="G144" s="17" t="str">
        <f aca="false">IF(F144="","",ROUNDUP(ROUND(D144*(1+F144)/Özet!$C$4,6),0)*Özet!$C$4-Özet!$C$5)</f>
        <v/>
      </c>
      <c r="H144" s="17" t="str">
        <f aca="false">IF(G144="","",G144-D144)</f>
        <v/>
      </c>
      <c r="I144" s="16" t="str">
        <f aca="false">IF(OR(G144="",D144=0),"",(D144-C144)/D144)</f>
        <v/>
      </c>
      <c r="J144" s="16" t="str">
        <f aca="false">IF(OR(G144="",G144=0),"",(G144-C144)/G144)</f>
        <v/>
      </c>
      <c r="K144" s="18" t="str">
        <f aca="false">IF(OR(G144="",D144=0),"",G144/D144-1)</f>
        <v/>
      </c>
    </row>
    <row r="145" customFormat="false" ht="15" hidden="false" customHeight="false" outlineLevel="0" collapsed="false">
      <c r="A145" s="12"/>
      <c r="B145" s="13"/>
      <c r="C145" s="14"/>
      <c r="D145" s="14"/>
      <c r="E145" s="15"/>
      <c r="F145" s="16" t="str">
        <f aca="false">IF(OR(A145="",D145=""),"",IF(E145&lt;&gt;"",E145,IF(IFERROR(INDEX('Kategori Zamları'!$B$5:$B$24,MATCH(B145,'Kategori Zamları'!$A$5:$A$24,0)),"")="",Özet!$C$3,INDEX('Kategori Zamları'!$B$5:$B$24,MATCH(B145,'Kategori Zamları'!$A$5:$A$24,0)))))</f>
        <v/>
      </c>
      <c r="G145" s="17" t="str">
        <f aca="false">IF(F145="","",ROUNDUP(ROUND(D145*(1+F145)/Özet!$C$4,6),0)*Özet!$C$4-Özet!$C$5)</f>
        <v/>
      </c>
      <c r="H145" s="17" t="str">
        <f aca="false">IF(G145="","",G145-D145)</f>
        <v/>
      </c>
      <c r="I145" s="16" t="str">
        <f aca="false">IF(OR(G145="",D145=0),"",(D145-C145)/D145)</f>
        <v/>
      </c>
      <c r="J145" s="16" t="str">
        <f aca="false">IF(OR(G145="",G145=0),"",(G145-C145)/G145)</f>
        <v/>
      </c>
      <c r="K145" s="18" t="str">
        <f aca="false">IF(OR(G145="",D145=0),"",G145/D145-1)</f>
        <v/>
      </c>
    </row>
    <row r="146" customFormat="false" ht="15" hidden="false" customHeight="false" outlineLevel="0" collapsed="false">
      <c r="A146" s="12"/>
      <c r="B146" s="13"/>
      <c r="C146" s="14"/>
      <c r="D146" s="14"/>
      <c r="E146" s="15"/>
      <c r="F146" s="16" t="str">
        <f aca="false">IF(OR(A146="",D146=""),"",IF(E146&lt;&gt;"",E146,IF(IFERROR(INDEX('Kategori Zamları'!$B$5:$B$24,MATCH(B146,'Kategori Zamları'!$A$5:$A$24,0)),"")="",Özet!$C$3,INDEX('Kategori Zamları'!$B$5:$B$24,MATCH(B146,'Kategori Zamları'!$A$5:$A$24,0)))))</f>
        <v/>
      </c>
      <c r="G146" s="17" t="str">
        <f aca="false">IF(F146="","",ROUNDUP(ROUND(D146*(1+F146)/Özet!$C$4,6),0)*Özet!$C$4-Özet!$C$5)</f>
        <v/>
      </c>
      <c r="H146" s="17" t="str">
        <f aca="false">IF(G146="","",G146-D146)</f>
        <v/>
      </c>
      <c r="I146" s="16" t="str">
        <f aca="false">IF(OR(G146="",D146=0),"",(D146-C146)/D146)</f>
        <v/>
      </c>
      <c r="J146" s="16" t="str">
        <f aca="false">IF(OR(G146="",G146=0),"",(G146-C146)/G146)</f>
        <v/>
      </c>
      <c r="K146" s="18" t="str">
        <f aca="false">IF(OR(G146="",D146=0),"",G146/D146-1)</f>
        <v/>
      </c>
    </row>
    <row r="147" customFormat="false" ht="15" hidden="false" customHeight="false" outlineLevel="0" collapsed="false">
      <c r="A147" s="12"/>
      <c r="B147" s="13"/>
      <c r="C147" s="14"/>
      <c r="D147" s="14"/>
      <c r="E147" s="15"/>
      <c r="F147" s="16" t="str">
        <f aca="false">IF(OR(A147="",D147=""),"",IF(E147&lt;&gt;"",E147,IF(IFERROR(INDEX('Kategori Zamları'!$B$5:$B$24,MATCH(B147,'Kategori Zamları'!$A$5:$A$24,0)),"")="",Özet!$C$3,INDEX('Kategori Zamları'!$B$5:$B$24,MATCH(B147,'Kategori Zamları'!$A$5:$A$24,0)))))</f>
        <v/>
      </c>
      <c r="G147" s="17" t="str">
        <f aca="false">IF(F147="","",ROUNDUP(ROUND(D147*(1+F147)/Özet!$C$4,6),0)*Özet!$C$4-Özet!$C$5)</f>
        <v/>
      </c>
      <c r="H147" s="17" t="str">
        <f aca="false">IF(G147="","",G147-D147)</f>
        <v/>
      </c>
      <c r="I147" s="16" t="str">
        <f aca="false">IF(OR(G147="",D147=0),"",(D147-C147)/D147)</f>
        <v/>
      </c>
      <c r="J147" s="16" t="str">
        <f aca="false">IF(OR(G147="",G147=0),"",(G147-C147)/G147)</f>
        <v/>
      </c>
      <c r="K147" s="18" t="str">
        <f aca="false">IF(OR(G147="",D147=0),"",G147/D147-1)</f>
        <v/>
      </c>
    </row>
    <row r="148" customFormat="false" ht="15" hidden="false" customHeight="false" outlineLevel="0" collapsed="false">
      <c r="A148" s="12"/>
      <c r="B148" s="13"/>
      <c r="C148" s="14"/>
      <c r="D148" s="14"/>
      <c r="E148" s="15"/>
      <c r="F148" s="16" t="str">
        <f aca="false">IF(OR(A148="",D148=""),"",IF(E148&lt;&gt;"",E148,IF(IFERROR(INDEX('Kategori Zamları'!$B$5:$B$24,MATCH(B148,'Kategori Zamları'!$A$5:$A$24,0)),"")="",Özet!$C$3,INDEX('Kategori Zamları'!$B$5:$B$24,MATCH(B148,'Kategori Zamları'!$A$5:$A$24,0)))))</f>
        <v/>
      </c>
      <c r="G148" s="17" t="str">
        <f aca="false">IF(F148="","",ROUNDUP(ROUND(D148*(1+F148)/Özet!$C$4,6),0)*Özet!$C$4-Özet!$C$5)</f>
        <v/>
      </c>
      <c r="H148" s="17" t="str">
        <f aca="false">IF(G148="","",G148-D148)</f>
        <v/>
      </c>
      <c r="I148" s="16" t="str">
        <f aca="false">IF(OR(G148="",D148=0),"",(D148-C148)/D148)</f>
        <v/>
      </c>
      <c r="J148" s="16" t="str">
        <f aca="false">IF(OR(G148="",G148=0),"",(G148-C148)/G148)</f>
        <v/>
      </c>
      <c r="K148" s="18" t="str">
        <f aca="false">IF(OR(G148="",D148=0),"",G148/D148-1)</f>
        <v/>
      </c>
    </row>
    <row r="149" customFormat="false" ht="15" hidden="false" customHeight="false" outlineLevel="0" collapsed="false">
      <c r="A149" s="12"/>
      <c r="B149" s="13"/>
      <c r="C149" s="14"/>
      <c r="D149" s="14"/>
      <c r="E149" s="15"/>
      <c r="F149" s="16" t="str">
        <f aca="false">IF(OR(A149="",D149=""),"",IF(E149&lt;&gt;"",E149,IF(IFERROR(INDEX('Kategori Zamları'!$B$5:$B$24,MATCH(B149,'Kategori Zamları'!$A$5:$A$24,0)),"")="",Özet!$C$3,INDEX('Kategori Zamları'!$B$5:$B$24,MATCH(B149,'Kategori Zamları'!$A$5:$A$24,0)))))</f>
        <v/>
      </c>
      <c r="G149" s="17" t="str">
        <f aca="false">IF(F149="","",ROUNDUP(ROUND(D149*(1+F149)/Özet!$C$4,6),0)*Özet!$C$4-Özet!$C$5)</f>
        <v/>
      </c>
      <c r="H149" s="17" t="str">
        <f aca="false">IF(G149="","",G149-D149)</f>
        <v/>
      </c>
      <c r="I149" s="16" t="str">
        <f aca="false">IF(OR(G149="",D149=0),"",(D149-C149)/D149)</f>
        <v/>
      </c>
      <c r="J149" s="16" t="str">
        <f aca="false">IF(OR(G149="",G149=0),"",(G149-C149)/G149)</f>
        <v/>
      </c>
      <c r="K149" s="18" t="str">
        <f aca="false">IF(OR(G149="",D149=0),"",G149/D149-1)</f>
        <v/>
      </c>
    </row>
    <row r="150" customFormat="false" ht="15" hidden="false" customHeight="false" outlineLevel="0" collapsed="false">
      <c r="A150" s="12"/>
      <c r="B150" s="13"/>
      <c r="C150" s="14"/>
      <c r="D150" s="14"/>
      <c r="E150" s="15"/>
      <c r="F150" s="16" t="str">
        <f aca="false">IF(OR(A150="",D150=""),"",IF(E150&lt;&gt;"",E150,IF(IFERROR(INDEX('Kategori Zamları'!$B$5:$B$24,MATCH(B150,'Kategori Zamları'!$A$5:$A$24,0)),"")="",Özet!$C$3,INDEX('Kategori Zamları'!$B$5:$B$24,MATCH(B150,'Kategori Zamları'!$A$5:$A$24,0)))))</f>
        <v/>
      </c>
      <c r="G150" s="17" t="str">
        <f aca="false">IF(F150="","",ROUNDUP(ROUND(D150*(1+F150)/Özet!$C$4,6),0)*Özet!$C$4-Özet!$C$5)</f>
        <v/>
      </c>
      <c r="H150" s="17" t="str">
        <f aca="false">IF(G150="","",G150-D150)</f>
        <v/>
      </c>
      <c r="I150" s="16" t="str">
        <f aca="false">IF(OR(G150="",D150=0),"",(D150-C150)/D150)</f>
        <v/>
      </c>
      <c r="J150" s="16" t="str">
        <f aca="false">IF(OR(G150="",G150=0),"",(G150-C150)/G150)</f>
        <v/>
      </c>
      <c r="K150" s="18" t="str">
        <f aca="false">IF(OR(G150="",D150=0),"",G150/D150-1)</f>
        <v/>
      </c>
    </row>
    <row r="151" customFormat="false" ht="15" hidden="false" customHeight="false" outlineLevel="0" collapsed="false">
      <c r="A151" s="12"/>
      <c r="B151" s="13"/>
      <c r="C151" s="14"/>
      <c r="D151" s="14"/>
      <c r="E151" s="15"/>
      <c r="F151" s="16" t="str">
        <f aca="false">IF(OR(A151="",D151=""),"",IF(E151&lt;&gt;"",E151,IF(IFERROR(INDEX('Kategori Zamları'!$B$5:$B$24,MATCH(B151,'Kategori Zamları'!$A$5:$A$24,0)),"")="",Özet!$C$3,INDEX('Kategori Zamları'!$B$5:$B$24,MATCH(B151,'Kategori Zamları'!$A$5:$A$24,0)))))</f>
        <v/>
      </c>
      <c r="G151" s="17" t="str">
        <f aca="false">IF(F151="","",ROUNDUP(ROUND(D151*(1+F151)/Özet!$C$4,6),0)*Özet!$C$4-Özet!$C$5)</f>
        <v/>
      </c>
      <c r="H151" s="17" t="str">
        <f aca="false">IF(G151="","",G151-D151)</f>
        <v/>
      </c>
      <c r="I151" s="16" t="str">
        <f aca="false">IF(OR(G151="",D151=0),"",(D151-C151)/D151)</f>
        <v/>
      </c>
      <c r="J151" s="16" t="str">
        <f aca="false">IF(OR(G151="",G151=0),"",(G151-C151)/G151)</f>
        <v/>
      </c>
      <c r="K151" s="18" t="str">
        <f aca="false">IF(OR(G151="",D151=0),"",G151/D151-1)</f>
        <v/>
      </c>
    </row>
    <row r="152" customFormat="false" ht="15" hidden="false" customHeight="false" outlineLevel="0" collapsed="false">
      <c r="A152" s="12"/>
      <c r="B152" s="13"/>
      <c r="C152" s="14"/>
      <c r="D152" s="14"/>
      <c r="E152" s="15"/>
      <c r="F152" s="16" t="str">
        <f aca="false">IF(OR(A152="",D152=""),"",IF(E152&lt;&gt;"",E152,IF(IFERROR(INDEX('Kategori Zamları'!$B$5:$B$24,MATCH(B152,'Kategori Zamları'!$A$5:$A$24,0)),"")="",Özet!$C$3,INDEX('Kategori Zamları'!$B$5:$B$24,MATCH(B152,'Kategori Zamları'!$A$5:$A$24,0)))))</f>
        <v/>
      </c>
      <c r="G152" s="17" t="str">
        <f aca="false">IF(F152="","",ROUNDUP(ROUND(D152*(1+F152)/Özet!$C$4,6),0)*Özet!$C$4-Özet!$C$5)</f>
        <v/>
      </c>
      <c r="H152" s="17" t="str">
        <f aca="false">IF(G152="","",G152-D152)</f>
        <v/>
      </c>
      <c r="I152" s="16" t="str">
        <f aca="false">IF(OR(G152="",D152=0),"",(D152-C152)/D152)</f>
        <v/>
      </c>
      <c r="J152" s="16" t="str">
        <f aca="false">IF(OR(G152="",G152=0),"",(G152-C152)/G152)</f>
        <v/>
      </c>
      <c r="K152" s="18" t="str">
        <f aca="false">IF(OR(G152="",D152=0),"",G152/D152-1)</f>
        <v/>
      </c>
    </row>
    <row r="153" customFormat="false" ht="15" hidden="false" customHeight="false" outlineLevel="0" collapsed="false">
      <c r="A153" s="12"/>
      <c r="B153" s="13"/>
      <c r="C153" s="14"/>
      <c r="D153" s="14"/>
      <c r="E153" s="15"/>
      <c r="F153" s="16" t="str">
        <f aca="false">IF(OR(A153="",D153=""),"",IF(E153&lt;&gt;"",E153,IF(IFERROR(INDEX('Kategori Zamları'!$B$5:$B$24,MATCH(B153,'Kategori Zamları'!$A$5:$A$24,0)),"")="",Özet!$C$3,INDEX('Kategori Zamları'!$B$5:$B$24,MATCH(B153,'Kategori Zamları'!$A$5:$A$24,0)))))</f>
        <v/>
      </c>
      <c r="G153" s="17" t="str">
        <f aca="false">IF(F153="","",ROUNDUP(ROUND(D153*(1+F153)/Özet!$C$4,6),0)*Özet!$C$4-Özet!$C$5)</f>
        <v/>
      </c>
      <c r="H153" s="17" t="str">
        <f aca="false">IF(G153="","",G153-D153)</f>
        <v/>
      </c>
      <c r="I153" s="16" t="str">
        <f aca="false">IF(OR(G153="",D153=0),"",(D153-C153)/D153)</f>
        <v/>
      </c>
      <c r="J153" s="16" t="str">
        <f aca="false">IF(OR(G153="",G153=0),"",(G153-C153)/G153)</f>
        <v/>
      </c>
      <c r="K153" s="18" t="str">
        <f aca="false">IF(OR(G153="",D153=0),"",G153/D153-1)</f>
        <v/>
      </c>
    </row>
    <row r="154" customFormat="false" ht="15" hidden="false" customHeight="false" outlineLevel="0" collapsed="false">
      <c r="A154" s="12"/>
      <c r="B154" s="13"/>
      <c r="C154" s="14"/>
      <c r="D154" s="14"/>
      <c r="E154" s="15"/>
      <c r="F154" s="16" t="str">
        <f aca="false">IF(OR(A154="",D154=""),"",IF(E154&lt;&gt;"",E154,IF(IFERROR(INDEX('Kategori Zamları'!$B$5:$B$24,MATCH(B154,'Kategori Zamları'!$A$5:$A$24,0)),"")="",Özet!$C$3,INDEX('Kategori Zamları'!$B$5:$B$24,MATCH(B154,'Kategori Zamları'!$A$5:$A$24,0)))))</f>
        <v/>
      </c>
      <c r="G154" s="17" t="str">
        <f aca="false">IF(F154="","",ROUNDUP(ROUND(D154*(1+F154)/Özet!$C$4,6),0)*Özet!$C$4-Özet!$C$5)</f>
        <v/>
      </c>
      <c r="H154" s="17" t="str">
        <f aca="false">IF(G154="","",G154-D154)</f>
        <v/>
      </c>
      <c r="I154" s="16" t="str">
        <f aca="false">IF(OR(G154="",D154=0),"",(D154-C154)/D154)</f>
        <v/>
      </c>
      <c r="J154" s="16" t="str">
        <f aca="false">IF(OR(G154="",G154=0),"",(G154-C154)/G154)</f>
        <v/>
      </c>
      <c r="K154" s="18" t="str">
        <f aca="false">IF(OR(G154="",D154=0),"",G154/D154-1)</f>
        <v/>
      </c>
    </row>
    <row r="155" customFormat="false" ht="15" hidden="false" customHeight="false" outlineLevel="0" collapsed="false">
      <c r="A155" s="12"/>
      <c r="B155" s="13"/>
      <c r="C155" s="14"/>
      <c r="D155" s="14"/>
      <c r="E155" s="15"/>
      <c r="F155" s="16" t="str">
        <f aca="false">IF(OR(A155="",D155=""),"",IF(E155&lt;&gt;"",E155,IF(IFERROR(INDEX('Kategori Zamları'!$B$5:$B$24,MATCH(B155,'Kategori Zamları'!$A$5:$A$24,0)),"")="",Özet!$C$3,INDEX('Kategori Zamları'!$B$5:$B$24,MATCH(B155,'Kategori Zamları'!$A$5:$A$24,0)))))</f>
        <v/>
      </c>
      <c r="G155" s="17" t="str">
        <f aca="false">IF(F155="","",ROUNDUP(ROUND(D155*(1+F155)/Özet!$C$4,6),0)*Özet!$C$4-Özet!$C$5)</f>
        <v/>
      </c>
      <c r="H155" s="17" t="str">
        <f aca="false">IF(G155="","",G155-D155)</f>
        <v/>
      </c>
      <c r="I155" s="16" t="str">
        <f aca="false">IF(OR(G155="",D155=0),"",(D155-C155)/D155)</f>
        <v/>
      </c>
      <c r="J155" s="16" t="str">
        <f aca="false">IF(OR(G155="",G155=0),"",(G155-C155)/G155)</f>
        <v/>
      </c>
      <c r="K155" s="18" t="str">
        <f aca="false">IF(OR(G155="",D155=0),"",G155/D155-1)</f>
        <v/>
      </c>
    </row>
    <row r="156" customFormat="false" ht="15" hidden="false" customHeight="false" outlineLevel="0" collapsed="false">
      <c r="A156" s="12"/>
      <c r="B156" s="13"/>
      <c r="C156" s="14"/>
      <c r="D156" s="14"/>
      <c r="E156" s="15"/>
      <c r="F156" s="16" t="str">
        <f aca="false">IF(OR(A156="",D156=""),"",IF(E156&lt;&gt;"",E156,IF(IFERROR(INDEX('Kategori Zamları'!$B$5:$B$24,MATCH(B156,'Kategori Zamları'!$A$5:$A$24,0)),"")="",Özet!$C$3,INDEX('Kategori Zamları'!$B$5:$B$24,MATCH(B156,'Kategori Zamları'!$A$5:$A$24,0)))))</f>
        <v/>
      </c>
      <c r="G156" s="17" t="str">
        <f aca="false">IF(F156="","",ROUNDUP(ROUND(D156*(1+F156)/Özet!$C$4,6),0)*Özet!$C$4-Özet!$C$5)</f>
        <v/>
      </c>
      <c r="H156" s="17" t="str">
        <f aca="false">IF(G156="","",G156-D156)</f>
        <v/>
      </c>
      <c r="I156" s="16" t="str">
        <f aca="false">IF(OR(G156="",D156=0),"",(D156-C156)/D156)</f>
        <v/>
      </c>
      <c r="J156" s="16" t="str">
        <f aca="false">IF(OR(G156="",G156=0),"",(G156-C156)/G156)</f>
        <v/>
      </c>
      <c r="K156" s="18" t="str">
        <f aca="false">IF(OR(G156="",D156=0),"",G156/D156-1)</f>
        <v/>
      </c>
    </row>
    <row r="157" customFormat="false" ht="15" hidden="false" customHeight="false" outlineLevel="0" collapsed="false">
      <c r="A157" s="12"/>
      <c r="B157" s="13"/>
      <c r="C157" s="14"/>
      <c r="D157" s="14"/>
      <c r="E157" s="15"/>
      <c r="F157" s="16" t="str">
        <f aca="false">IF(OR(A157="",D157=""),"",IF(E157&lt;&gt;"",E157,IF(IFERROR(INDEX('Kategori Zamları'!$B$5:$B$24,MATCH(B157,'Kategori Zamları'!$A$5:$A$24,0)),"")="",Özet!$C$3,INDEX('Kategori Zamları'!$B$5:$B$24,MATCH(B157,'Kategori Zamları'!$A$5:$A$24,0)))))</f>
        <v/>
      </c>
      <c r="G157" s="17" t="str">
        <f aca="false">IF(F157="","",ROUNDUP(ROUND(D157*(1+F157)/Özet!$C$4,6),0)*Özet!$C$4-Özet!$C$5)</f>
        <v/>
      </c>
      <c r="H157" s="17" t="str">
        <f aca="false">IF(G157="","",G157-D157)</f>
        <v/>
      </c>
      <c r="I157" s="16" t="str">
        <f aca="false">IF(OR(G157="",D157=0),"",(D157-C157)/D157)</f>
        <v/>
      </c>
      <c r="J157" s="16" t="str">
        <f aca="false">IF(OR(G157="",G157=0),"",(G157-C157)/G157)</f>
        <v/>
      </c>
      <c r="K157" s="18" t="str">
        <f aca="false">IF(OR(G157="",D157=0),"",G157/D157-1)</f>
        <v/>
      </c>
    </row>
    <row r="158" customFormat="false" ht="15" hidden="false" customHeight="false" outlineLevel="0" collapsed="false">
      <c r="A158" s="12"/>
      <c r="B158" s="13"/>
      <c r="C158" s="14"/>
      <c r="D158" s="14"/>
      <c r="E158" s="15"/>
      <c r="F158" s="16" t="str">
        <f aca="false">IF(OR(A158="",D158=""),"",IF(E158&lt;&gt;"",E158,IF(IFERROR(INDEX('Kategori Zamları'!$B$5:$B$24,MATCH(B158,'Kategori Zamları'!$A$5:$A$24,0)),"")="",Özet!$C$3,INDEX('Kategori Zamları'!$B$5:$B$24,MATCH(B158,'Kategori Zamları'!$A$5:$A$24,0)))))</f>
        <v/>
      </c>
      <c r="G158" s="17" t="str">
        <f aca="false">IF(F158="","",ROUNDUP(ROUND(D158*(1+F158)/Özet!$C$4,6),0)*Özet!$C$4-Özet!$C$5)</f>
        <v/>
      </c>
      <c r="H158" s="17" t="str">
        <f aca="false">IF(G158="","",G158-D158)</f>
        <v/>
      </c>
      <c r="I158" s="16" t="str">
        <f aca="false">IF(OR(G158="",D158=0),"",(D158-C158)/D158)</f>
        <v/>
      </c>
      <c r="J158" s="16" t="str">
        <f aca="false">IF(OR(G158="",G158=0),"",(G158-C158)/G158)</f>
        <v/>
      </c>
      <c r="K158" s="18" t="str">
        <f aca="false">IF(OR(G158="",D158=0),"",G158/D158-1)</f>
        <v/>
      </c>
    </row>
    <row r="159" customFormat="false" ht="15" hidden="false" customHeight="false" outlineLevel="0" collapsed="false">
      <c r="A159" s="12"/>
      <c r="B159" s="13"/>
      <c r="C159" s="14"/>
      <c r="D159" s="14"/>
      <c r="E159" s="15"/>
      <c r="F159" s="16" t="str">
        <f aca="false">IF(OR(A159="",D159=""),"",IF(E159&lt;&gt;"",E159,IF(IFERROR(INDEX('Kategori Zamları'!$B$5:$B$24,MATCH(B159,'Kategori Zamları'!$A$5:$A$24,0)),"")="",Özet!$C$3,INDEX('Kategori Zamları'!$B$5:$B$24,MATCH(B159,'Kategori Zamları'!$A$5:$A$24,0)))))</f>
        <v/>
      </c>
      <c r="G159" s="17" t="str">
        <f aca="false">IF(F159="","",ROUNDUP(ROUND(D159*(1+F159)/Özet!$C$4,6),0)*Özet!$C$4-Özet!$C$5)</f>
        <v/>
      </c>
      <c r="H159" s="17" t="str">
        <f aca="false">IF(G159="","",G159-D159)</f>
        <v/>
      </c>
      <c r="I159" s="16" t="str">
        <f aca="false">IF(OR(G159="",D159=0),"",(D159-C159)/D159)</f>
        <v/>
      </c>
      <c r="J159" s="16" t="str">
        <f aca="false">IF(OR(G159="",G159=0),"",(G159-C159)/G159)</f>
        <v/>
      </c>
      <c r="K159" s="18" t="str">
        <f aca="false">IF(OR(G159="",D159=0),"",G159/D159-1)</f>
        <v/>
      </c>
    </row>
    <row r="160" customFormat="false" ht="15" hidden="false" customHeight="false" outlineLevel="0" collapsed="false">
      <c r="A160" s="12"/>
      <c r="B160" s="13"/>
      <c r="C160" s="14"/>
      <c r="D160" s="14"/>
      <c r="E160" s="15"/>
      <c r="F160" s="16" t="str">
        <f aca="false">IF(OR(A160="",D160=""),"",IF(E160&lt;&gt;"",E160,IF(IFERROR(INDEX('Kategori Zamları'!$B$5:$B$24,MATCH(B160,'Kategori Zamları'!$A$5:$A$24,0)),"")="",Özet!$C$3,INDEX('Kategori Zamları'!$B$5:$B$24,MATCH(B160,'Kategori Zamları'!$A$5:$A$24,0)))))</f>
        <v/>
      </c>
      <c r="G160" s="17" t="str">
        <f aca="false">IF(F160="","",ROUNDUP(ROUND(D160*(1+F160)/Özet!$C$4,6),0)*Özet!$C$4-Özet!$C$5)</f>
        <v/>
      </c>
      <c r="H160" s="17" t="str">
        <f aca="false">IF(G160="","",G160-D160)</f>
        <v/>
      </c>
      <c r="I160" s="16" t="str">
        <f aca="false">IF(OR(G160="",D160=0),"",(D160-C160)/D160)</f>
        <v/>
      </c>
      <c r="J160" s="16" t="str">
        <f aca="false">IF(OR(G160="",G160=0),"",(G160-C160)/G160)</f>
        <v/>
      </c>
      <c r="K160" s="18" t="str">
        <f aca="false">IF(OR(G160="",D160=0),"",G160/D160-1)</f>
        <v/>
      </c>
    </row>
    <row r="161" customFormat="false" ht="15" hidden="false" customHeight="false" outlineLevel="0" collapsed="false">
      <c r="A161" s="12"/>
      <c r="B161" s="13"/>
      <c r="C161" s="14"/>
      <c r="D161" s="14"/>
      <c r="E161" s="15"/>
      <c r="F161" s="16" t="str">
        <f aca="false">IF(OR(A161="",D161=""),"",IF(E161&lt;&gt;"",E161,IF(IFERROR(INDEX('Kategori Zamları'!$B$5:$B$24,MATCH(B161,'Kategori Zamları'!$A$5:$A$24,0)),"")="",Özet!$C$3,INDEX('Kategori Zamları'!$B$5:$B$24,MATCH(B161,'Kategori Zamları'!$A$5:$A$24,0)))))</f>
        <v/>
      </c>
      <c r="G161" s="17" t="str">
        <f aca="false">IF(F161="","",ROUNDUP(ROUND(D161*(1+F161)/Özet!$C$4,6),0)*Özet!$C$4-Özet!$C$5)</f>
        <v/>
      </c>
      <c r="H161" s="17" t="str">
        <f aca="false">IF(G161="","",G161-D161)</f>
        <v/>
      </c>
      <c r="I161" s="16" t="str">
        <f aca="false">IF(OR(G161="",D161=0),"",(D161-C161)/D161)</f>
        <v/>
      </c>
      <c r="J161" s="16" t="str">
        <f aca="false">IF(OR(G161="",G161=0),"",(G161-C161)/G161)</f>
        <v/>
      </c>
      <c r="K161" s="18" t="str">
        <f aca="false">IF(OR(G161="",D161=0),"",G161/D161-1)</f>
        <v/>
      </c>
    </row>
    <row r="162" customFormat="false" ht="15" hidden="false" customHeight="false" outlineLevel="0" collapsed="false">
      <c r="A162" s="12"/>
      <c r="B162" s="13"/>
      <c r="C162" s="14"/>
      <c r="D162" s="14"/>
      <c r="E162" s="15"/>
      <c r="F162" s="16" t="str">
        <f aca="false">IF(OR(A162="",D162=""),"",IF(E162&lt;&gt;"",E162,IF(IFERROR(INDEX('Kategori Zamları'!$B$5:$B$24,MATCH(B162,'Kategori Zamları'!$A$5:$A$24,0)),"")="",Özet!$C$3,INDEX('Kategori Zamları'!$B$5:$B$24,MATCH(B162,'Kategori Zamları'!$A$5:$A$24,0)))))</f>
        <v/>
      </c>
      <c r="G162" s="17" t="str">
        <f aca="false">IF(F162="","",ROUNDUP(ROUND(D162*(1+F162)/Özet!$C$4,6),0)*Özet!$C$4-Özet!$C$5)</f>
        <v/>
      </c>
      <c r="H162" s="17" t="str">
        <f aca="false">IF(G162="","",G162-D162)</f>
        <v/>
      </c>
      <c r="I162" s="16" t="str">
        <f aca="false">IF(OR(G162="",D162=0),"",(D162-C162)/D162)</f>
        <v/>
      </c>
      <c r="J162" s="16" t="str">
        <f aca="false">IF(OR(G162="",G162=0),"",(G162-C162)/G162)</f>
        <v/>
      </c>
      <c r="K162" s="18" t="str">
        <f aca="false">IF(OR(G162="",D162=0),"",G162/D162-1)</f>
        <v/>
      </c>
    </row>
    <row r="163" customFormat="false" ht="15" hidden="false" customHeight="false" outlineLevel="0" collapsed="false">
      <c r="A163" s="12"/>
      <c r="B163" s="13"/>
      <c r="C163" s="14"/>
      <c r="D163" s="14"/>
      <c r="E163" s="15"/>
      <c r="F163" s="16" t="str">
        <f aca="false">IF(OR(A163="",D163=""),"",IF(E163&lt;&gt;"",E163,IF(IFERROR(INDEX('Kategori Zamları'!$B$5:$B$24,MATCH(B163,'Kategori Zamları'!$A$5:$A$24,0)),"")="",Özet!$C$3,INDEX('Kategori Zamları'!$B$5:$B$24,MATCH(B163,'Kategori Zamları'!$A$5:$A$24,0)))))</f>
        <v/>
      </c>
      <c r="G163" s="17" t="str">
        <f aca="false">IF(F163="","",ROUNDUP(ROUND(D163*(1+F163)/Özet!$C$4,6),0)*Özet!$C$4-Özet!$C$5)</f>
        <v/>
      </c>
      <c r="H163" s="17" t="str">
        <f aca="false">IF(G163="","",G163-D163)</f>
        <v/>
      </c>
      <c r="I163" s="16" t="str">
        <f aca="false">IF(OR(G163="",D163=0),"",(D163-C163)/D163)</f>
        <v/>
      </c>
      <c r="J163" s="16" t="str">
        <f aca="false">IF(OR(G163="",G163=0),"",(G163-C163)/G163)</f>
        <v/>
      </c>
      <c r="K163" s="18" t="str">
        <f aca="false">IF(OR(G163="",D163=0),"",G163/D163-1)</f>
        <v/>
      </c>
    </row>
    <row r="164" customFormat="false" ht="15" hidden="false" customHeight="false" outlineLevel="0" collapsed="false">
      <c r="A164" s="12"/>
      <c r="B164" s="13"/>
      <c r="C164" s="14"/>
      <c r="D164" s="14"/>
      <c r="E164" s="15"/>
      <c r="F164" s="16" t="str">
        <f aca="false">IF(OR(A164="",D164=""),"",IF(E164&lt;&gt;"",E164,IF(IFERROR(INDEX('Kategori Zamları'!$B$5:$B$24,MATCH(B164,'Kategori Zamları'!$A$5:$A$24,0)),"")="",Özet!$C$3,INDEX('Kategori Zamları'!$B$5:$B$24,MATCH(B164,'Kategori Zamları'!$A$5:$A$24,0)))))</f>
        <v/>
      </c>
      <c r="G164" s="17" t="str">
        <f aca="false">IF(F164="","",ROUNDUP(ROUND(D164*(1+F164)/Özet!$C$4,6),0)*Özet!$C$4-Özet!$C$5)</f>
        <v/>
      </c>
      <c r="H164" s="17" t="str">
        <f aca="false">IF(G164="","",G164-D164)</f>
        <v/>
      </c>
      <c r="I164" s="16" t="str">
        <f aca="false">IF(OR(G164="",D164=0),"",(D164-C164)/D164)</f>
        <v/>
      </c>
      <c r="J164" s="16" t="str">
        <f aca="false">IF(OR(G164="",G164=0),"",(G164-C164)/G164)</f>
        <v/>
      </c>
      <c r="K164" s="18" t="str">
        <f aca="false">IF(OR(G164="",D164=0),"",G164/D164-1)</f>
        <v/>
      </c>
    </row>
    <row r="165" customFormat="false" ht="15" hidden="false" customHeight="false" outlineLevel="0" collapsed="false">
      <c r="A165" s="12"/>
      <c r="B165" s="13"/>
      <c r="C165" s="14"/>
      <c r="D165" s="14"/>
      <c r="E165" s="15"/>
      <c r="F165" s="16" t="str">
        <f aca="false">IF(OR(A165="",D165=""),"",IF(E165&lt;&gt;"",E165,IF(IFERROR(INDEX('Kategori Zamları'!$B$5:$B$24,MATCH(B165,'Kategori Zamları'!$A$5:$A$24,0)),"")="",Özet!$C$3,INDEX('Kategori Zamları'!$B$5:$B$24,MATCH(B165,'Kategori Zamları'!$A$5:$A$24,0)))))</f>
        <v/>
      </c>
      <c r="G165" s="17" t="str">
        <f aca="false">IF(F165="","",ROUNDUP(ROUND(D165*(1+F165)/Özet!$C$4,6),0)*Özet!$C$4-Özet!$C$5)</f>
        <v/>
      </c>
      <c r="H165" s="17" t="str">
        <f aca="false">IF(G165="","",G165-D165)</f>
        <v/>
      </c>
      <c r="I165" s="16" t="str">
        <f aca="false">IF(OR(G165="",D165=0),"",(D165-C165)/D165)</f>
        <v/>
      </c>
      <c r="J165" s="16" t="str">
        <f aca="false">IF(OR(G165="",G165=0),"",(G165-C165)/G165)</f>
        <v/>
      </c>
      <c r="K165" s="18" t="str">
        <f aca="false">IF(OR(G165="",D165=0),"",G165/D165-1)</f>
        <v/>
      </c>
    </row>
    <row r="166" customFormat="false" ht="15" hidden="false" customHeight="false" outlineLevel="0" collapsed="false">
      <c r="A166" s="12"/>
      <c r="B166" s="13"/>
      <c r="C166" s="14"/>
      <c r="D166" s="14"/>
      <c r="E166" s="15"/>
      <c r="F166" s="16" t="str">
        <f aca="false">IF(OR(A166="",D166=""),"",IF(E166&lt;&gt;"",E166,IF(IFERROR(INDEX('Kategori Zamları'!$B$5:$B$24,MATCH(B166,'Kategori Zamları'!$A$5:$A$24,0)),"")="",Özet!$C$3,INDEX('Kategori Zamları'!$B$5:$B$24,MATCH(B166,'Kategori Zamları'!$A$5:$A$24,0)))))</f>
        <v/>
      </c>
      <c r="G166" s="17" t="str">
        <f aca="false">IF(F166="","",ROUNDUP(ROUND(D166*(1+F166)/Özet!$C$4,6),0)*Özet!$C$4-Özet!$C$5)</f>
        <v/>
      </c>
      <c r="H166" s="17" t="str">
        <f aca="false">IF(G166="","",G166-D166)</f>
        <v/>
      </c>
      <c r="I166" s="16" t="str">
        <f aca="false">IF(OR(G166="",D166=0),"",(D166-C166)/D166)</f>
        <v/>
      </c>
      <c r="J166" s="16" t="str">
        <f aca="false">IF(OR(G166="",G166=0),"",(G166-C166)/G166)</f>
        <v/>
      </c>
      <c r="K166" s="18" t="str">
        <f aca="false">IF(OR(G166="",D166=0),"",G166/D166-1)</f>
        <v/>
      </c>
    </row>
    <row r="167" customFormat="false" ht="15" hidden="false" customHeight="false" outlineLevel="0" collapsed="false">
      <c r="A167" s="12"/>
      <c r="B167" s="13"/>
      <c r="C167" s="14"/>
      <c r="D167" s="14"/>
      <c r="E167" s="15"/>
      <c r="F167" s="16" t="str">
        <f aca="false">IF(OR(A167="",D167=""),"",IF(E167&lt;&gt;"",E167,IF(IFERROR(INDEX('Kategori Zamları'!$B$5:$B$24,MATCH(B167,'Kategori Zamları'!$A$5:$A$24,0)),"")="",Özet!$C$3,INDEX('Kategori Zamları'!$B$5:$B$24,MATCH(B167,'Kategori Zamları'!$A$5:$A$24,0)))))</f>
        <v/>
      </c>
      <c r="G167" s="17" t="str">
        <f aca="false">IF(F167="","",ROUNDUP(ROUND(D167*(1+F167)/Özet!$C$4,6),0)*Özet!$C$4-Özet!$C$5)</f>
        <v/>
      </c>
      <c r="H167" s="17" t="str">
        <f aca="false">IF(G167="","",G167-D167)</f>
        <v/>
      </c>
      <c r="I167" s="16" t="str">
        <f aca="false">IF(OR(G167="",D167=0),"",(D167-C167)/D167)</f>
        <v/>
      </c>
      <c r="J167" s="16" t="str">
        <f aca="false">IF(OR(G167="",G167=0),"",(G167-C167)/G167)</f>
        <v/>
      </c>
      <c r="K167" s="18" t="str">
        <f aca="false">IF(OR(G167="",D167=0),"",G167/D167-1)</f>
        <v/>
      </c>
    </row>
    <row r="168" customFormat="false" ht="15" hidden="false" customHeight="false" outlineLevel="0" collapsed="false">
      <c r="A168" s="12"/>
      <c r="B168" s="13"/>
      <c r="C168" s="14"/>
      <c r="D168" s="14"/>
      <c r="E168" s="15"/>
      <c r="F168" s="16" t="str">
        <f aca="false">IF(OR(A168="",D168=""),"",IF(E168&lt;&gt;"",E168,IF(IFERROR(INDEX('Kategori Zamları'!$B$5:$B$24,MATCH(B168,'Kategori Zamları'!$A$5:$A$24,0)),"")="",Özet!$C$3,INDEX('Kategori Zamları'!$B$5:$B$24,MATCH(B168,'Kategori Zamları'!$A$5:$A$24,0)))))</f>
        <v/>
      </c>
      <c r="G168" s="17" t="str">
        <f aca="false">IF(F168="","",ROUNDUP(ROUND(D168*(1+F168)/Özet!$C$4,6),0)*Özet!$C$4-Özet!$C$5)</f>
        <v/>
      </c>
      <c r="H168" s="17" t="str">
        <f aca="false">IF(G168="","",G168-D168)</f>
        <v/>
      </c>
      <c r="I168" s="16" t="str">
        <f aca="false">IF(OR(G168="",D168=0),"",(D168-C168)/D168)</f>
        <v/>
      </c>
      <c r="J168" s="16" t="str">
        <f aca="false">IF(OR(G168="",G168=0),"",(G168-C168)/G168)</f>
        <v/>
      </c>
      <c r="K168" s="18" t="str">
        <f aca="false">IF(OR(G168="",D168=0),"",G168/D168-1)</f>
        <v/>
      </c>
    </row>
    <row r="169" customFormat="false" ht="15" hidden="false" customHeight="false" outlineLevel="0" collapsed="false">
      <c r="A169" s="12"/>
      <c r="B169" s="13"/>
      <c r="C169" s="14"/>
      <c r="D169" s="14"/>
      <c r="E169" s="15"/>
      <c r="F169" s="16" t="str">
        <f aca="false">IF(OR(A169="",D169=""),"",IF(E169&lt;&gt;"",E169,IF(IFERROR(INDEX('Kategori Zamları'!$B$5:$B$24,MATCH(B169,'Kategori Zamları'!$A$5:$A$24,0)),"")="",Özet!$C$3,INDEX('Kategori Zamları'!$B$5:$B$24,MATCH(B169,'Kategori Zamları'!$A$5:$A$24,0)))))</f>
        <v/>
      </c>
      <c r="G169" s="17" t="str">
        <f aca="false">IF(F169="","",ROUNDUP(ROUND(D169*(1+F169)/Özet!$C$4,6),0)*Özet!$C$4-Özet!$C$5)</f>
        <v/>
      </c>
      <c r="H169" s="17" t="str">
        <f aca="false">IF(G169="","",G169-D169)</f>
        <v/>
      </c>
      <c r="I169" s="16" t="str">
        <f aca="false">IF(OR(G169="",D169=0),"",(D169-C169)/D169)</f>
        <v/>
      </c>
      <c r="J169" s="16" t="str">
        <f aca="false">IF(OR(G169="",G169=0),"",(G169-C169)/G169)</f>
        <v/>
      </c>
      <c r="K169" s="18" t="str">
        <f aca="false">IF(OR(G169="",D169=0),"",G169/D169-1)</f>
        <v/>
      </c>
    </row>
    <row r="170" customFormat="false" ht="15" hidden="false" customHeight="false" outlineLevel="0" collapsed="false">
      <c r="A170" s="12"/>
      <c r="B170" s="13"/>
      <c r="C170" s="14"/>
      <c r="D170" s="14"/>
      <c r="E170" s="15"/>
      <c r="F170" s="16" t="str">
        <f aca="false">IF(OR(A170="",D170=""),"",IF(E170&lt;&gt;"",E170,IF(IFERROR(INDEX('Kategori Zamları'!$B$5:$B$24,MATCH(B170,'Kategori Zamları'!$A$5:$A$24,0)),"")="",Özet!$C$3,INDEX('Kategori Zamları'!$B$5:$B$24,MATCH(B170,'Kategori Zamları'!$A$5:$A$24,0)))))</f>
        <v/>
      </c>
      <c r="G170" s="17" t="str">
        <f aca="false">IF(F170="","",ROUNDUP(ROUND(D170*(1+F170)/Özet!$C$4,6),0)*Özet!$C$4-Özet!$C$5)</f>
        <v/>
      </c>
      <c r="H170" s="17" t="str">
        <f aca="false">IF(G170="","",G170-D170)</f>
        <v/>
      </c>
      <c r="I170" s="16" t="str">
        <f aca="false">IF(OR(G170="",D170=0),"",(D170-C170)/D170)</f>
        <v/>
      </c>
      <c r="J170" s="16" t="str">
        <f aca="false">IF(OR(G170="",G170=0),"",(G170-C170)/G170)</f>
        <v/>
      </c>
      <c r="K170" s="18" t="str">
        <f aca="false">IF(OR(G170="",D170=0),"",G170/D170-1)</f>
        <v/>
      </c>
    </row>
    <row r="171" customFormat="false" ht="15" hidden="false" customHeight="false" outlineLevel="0" collapsed="false">
      <c r="A171" s="12"/>
      <c r="B171" s="13"/>
      <c r="C171" s="14"/>
      <c r="D171" s="14"/>
      <c r="E171" s="15"/>
      <c r="F171" s="16" t="str">
        <f aca="false">IF(OR(A171="",D171=""),"",IF(E171&lt;&gt;"",E171,IF(IFERROR(INDEX('Kategori Zamları'!$B$5:$B$24,MATCH(B171,'Kategori Zamları'!$A$5:$A$24,0)),"")="",Özet!$C$3,INDEX('Kategori Zamları'!$B$5:$B$24,MATCH(B171,'Kategori Zamları'!$A$5:$A$24,0)))))</f>
        <v/>
      </c>
      <c r="G171" s="17" t="str">
        <f aca="false">IF(F171="","",ROUNDUP(ROUND(D171*(1+F171)/Özet!$C$4,6),0)*Özet!$C$4-Özet!$C$5)</f>
        <v/>
      </c>
      <c r="H171" s="17" t="str">
        <f aca="false">IF(G171="","",G171-D171)</f>
        <v/>
      </c>
      <c r="I171" s="16" t="str">
        <f aca="false">IF(OR(G171="",D171=0),"",(D171-C171)/D171)</f>
        <v/>
      </c>
      <c r="J171" s="16" t="str">
        <f aca="false">IF(OR(G171="",G171=0),"",(G171-C171)/G171)</f>
        <v/>
      </c>
      <c r="K171" s="18" t="str">
        <f aca="false">IF(OR(G171="",D171=0),"",G171/D171-1)</f>
        <v/>
      </c>
    </row>
    <row r="172" customFormat="false" ht="15" hidden="false" customHeight="false" outlineLevel="0" collapsed="false">
      <c r="A172" s="12"/>
      <c r="B172" s="13"/>
      <c r="C172" s="14"/>
      <c r="D172" s="14"/>
      <c r="E172" s="15"/>
      <c r="F172" s="16" t="str">
        <f aca="false">IF(OR(A172="",D172=""),"",IF(E172&lt;&gt;"",E172,IF(IFERROR(INDEX('Kategori Zamları'!$B$5:$B$24,MATCH(B172,'Kategori Zamları'!$A$5:$A$24,0)),"")="",Özet!$C$3,INDEX('Kategori Zamları'!$B$5:$B$24,MATCH(B172,'Kategori Zamları'!$A$5:$A$24,0)))))</f>
        <v/>
      </c>
      <c r="G172" s="17" t="str">
        <f aca="false">IF(F172="","",ROUNDUP(ROUND(D172*(1+F172)/Özet!$C$4,6),0)*Özet!$C$4-Özet!$C$5)</f>
        <v/>
      </c>
      <c r="H172" s="17" t="str">
        <f aca="false">IF(G172="","",G172-D172)</f>
        <v/>
      </c>
      <c r="I172" s="16" t="str">
        <f aca="false">IF(OR(G172="",D172=0),"",(D172-C172)/D172)</f>
        <v/>
      </c>
      <c r="J172" s="16" t="str">
        <f aca="false">IF(OR(G172="",G172=0),"",(G172-C172)/G172)</f>
        <v/>
      </c>
      <c r="K172" s="18" t="str">
        <f aca="false">IF(OR(G172="",D172=0),"",G172/D172-1)</f>
        <v/>
      </c>
    </row>
    <row r="173" customFormat="false" ht="15" hidden="false" customHeight="false" outlineLevel="0" collapsed="false">
      <c r="A173" s="12"/>
      <c r="B173" s="13"/>
      <c r="C173" s="14"/>
      <c r="D173" s="14"/>
      <c r="E173" s="15"/>
      <c r="F173" s="16" t="str">
        <f aca="false">IF(OR(A173="",D173=""),"",IF(E173&lt;&gt;"",E173,IF(IFERROR(INDEX('Kategori Zamları'!$B$5:$B$24,MATCH(B173,'Kategori Zamları'!$A$5:$A$24,0)),"")="",Özet!$C$3,INDEX('Kategori Zamları'!$B$5:$B$24,MATCH(B173,'Kategori Zamları'!$A$5:$A$24,0)))))</f>
        <v/>
      </c>
      <c r="G173" s="17" t="str">
        <f aca="false">IF(F173="","",ROUNDUP(ROUND(D173*(1+F173)/Özet!$C$4,6),0)*Özet!$C$4-Özet!$C$5)</f>
        <v/>
      </c>
      <c r="H173" s="17" t="str">
        <f aca="false">IF(G173="","",G173-D173)</f>
        <v/>
      </c>
      <c r="I173" s="16" t="str">
        <f aca="false">IF(OR(G173="",D173=0),"",(D173-C173)/D173)</f>
        <v/>
      </c>
      <c r="J173" s="16" t="str">
        <f aca="false">IF(OR(G173="",G173=0),"",(G173-C173)/G173)</f>
        <v/>
      </c>
      <c r="K173" s="18" t="str">
        <f aca="false">IF(OR(G173="",D173=0),"",G173/D173-1)</f>
        <v/>
      </c>
    </row>
    <row r="174" customFormat="false" ht="15" hidden="false" customHeight="false" outlineLevel="0" collapsed="false">
      <c r="A174" s="12"/>
      <c r="B174" s="13"/>
      <c r="C174" s="14"/>
      <c r="D174" s="14"/>
      <c r="E174" s="15"/>
      <c r="F174" s="16" t="str">
        <f aca="false">IF(OR(A174="",D174=""),"",IF(E174&lt;&gt;"",E174,IF(IFERROR(INDEX('Kategori Zamları'!$B$5:$B$24,MATCH(B174,'Kategori Zamları'!$A$5:$A$24,0)),"")="",Özet!$C$3,INDEX('Kategori Zamları'!$B$5:$B$24,MATCH(B174,'Kategori Zamları'!$A$5:$A$24,0)))))</f>
        <v/>
      </c>
      <c r="G174" s="17" t="str">
        <f aca="false">IF(F174="","",ROUNDUP(ROUND(D174*(1+F174)/Özet!$C$4,6),0)*Özet!$C$4-Özet!$C$5)</f>
        <v/>
      </c>
      <c r="H174" s="17" t="str">
        <f aca="false">IF(G174="","",G174-D174)</f>
        <v/>
      </c>
      <c r="I174" s="16" t="str">
        <f aca="false">IF(OR(G174="",D174=0),"",(D174-C174)/D174)</f>
        <v/>
      </c>
      <c r="J174" s="16" t="str">
        <f aca="false">IF(OR(G174="",G174=0),"",(G174-C174)/G174)</f>
        <v/>
      </c>
      <c r="K174" s="18" t="str">
        <f aca="false">IF(OR(G174="",D174=0),"",G174/D174-1)</f>
        <v/>
      </c>
    </row>
    <row r="175" customFormat="false" ht="15" hidden="false" customHeight="false" outlineLevel="0" collapsed="false">
      <c r="A175" s="12"/>
      <c r="B175" s="13"/>
      <c r="C175" s="14"/>
      <c r="D175" s="14"/>
      <c r="E175" s="15"/>
      <c r="F175" s="16" t="str">
        <f aca="false">IF(OR(A175="",D175=""),"",IF(E175&lt;&gt;"",E175,IF(IFERROR(INDEX('Kategori Zamları'!$B$5:$B$24,MATCH(B175,'Kategori Zamları'!$A$5:$A$24,0)),"")="",Özet!$C$3,INDEX('Kategori Zamları'!$B$5:$B$24,MATCH(B175,'Kategori Zamları'!$A$5:$A$24,0)))))</f>
        <v/>
      </c>
      <c r="G175" s="17" t="str">
        <f aca="false">IF(F175="","",ROUNDUP(ROUND(D175*(1+F175)/Özet!$C$4,6),0)*Özet!$C$4-Özet!$C$5)</f>
        <v/>
      </c>
      <c r="H175" s="17" t="str">
        <f aca="false">IF(G175="","",G175-D175)</f>
        <v/>
      </c>
      <c r="I175" s="16" t="str">
        <f aca="false">IF(OR(G175="",D175=0),"",(D175-C175)/D175)</f>
        <v/>
      </c>
      <c r="J175" s="16" t="str">
        <f aca="false">IF(OR(G175="",G175=0),"",(G175-C175)/G175)</f>
        <v/>
      </c>
      <c r="K175" s="18" t="str">
        <f aca="false">IF(OR(G175="",D175=0),"",G175/D175-1)</f>
        <v/>
      </c>
    </row>
    <row r="176" customFormat="false" ht="15" hidden="false" customHeight="false" outlineLevel="0" collapsed="false">
      <c r="A176" s="12"/>
      <c r="B176" s="13"/>
      <c r="C176" s="14"/>
      <c r="D176" s="14"/>
      <c r="E176" s="15"/>
      <c r="F176" s="16" t="str">
        <f aca="false">IF(OR(A176="",D176=""),"",IF(E176&lt;&gt;"",E176,IF(IFERROR(INDEX('Kategori Zamları'!$B$5:$B$24,MATCH(B176,'Kategori Zamları'!$A$5:$A$24,0)),"")="",Özet!$C$3,INDEX('Kategori Zamları'!$B$5:$B$24,MATCH(B176,'Kategori Zamları'!$A$5:$A$24,0)))))</f>
        <v/>
      </c>
      <c r="G176" s="17" t="str">
        <f aca="false">IF(F176="","",ROUNDUP(ROUND(D176*(1+F176)/Özet!$C$4,6),0)*Özet!$C$4-Özet!$C$5)</f>
        <v/>
      </c>
      <c r="H176" s="17" t="str">
        <f aca="false">IF(G176="","",G176-D176)</f>
        <v/>
      </c>
      <c r="I176" s="16" t="str">
        <f aca="false">IF(OR(G176="",D176=0),"",(D176-C176)/D176)</f>
        <v/>
      </c>
      <c r="J176" s="16" t="str">
        <f aca="false">IF(OR(G176="",G176=0),"",(G176-C176)/G176)</f>
        <v/>
      </c>
      <c r="K176" s="18" t="str">
        <f aca="false">IF(OR(G176="",D176=0),"",G176/D176-1)</f>
        <v/>
      </c>
    </row>
    <row r="177" customFormat="false" ht="15" hidden="false" customHeight="false" outlineLevel="0" collapsed="false">
      <c r="A177" s="12"/>
      <c r="B177" s="13"/>
      <c r="C177" s="14"/>
      <c r="D177" s="14"/>
      <c r="E177" s="15"/>
      <c r="F177" s="16" t="str">
        <f aca="false">IF(OR(A177="",D177=""),"",IF(E177&lt;&gt;"",E177,IF(IFERROR(INDEX('Kategori Zamları'!$B$5:$B$24,MATCH(B177,'Kategori Zamları'!$A$5:$A$24,0)),"")="",Özet!$C$3,INDEX('Kategori Zamları'!$B$5:$B$24,MATCH(B177,'Kategori Zamları'!$A$5:$A$24,0)))))</f>
        <v/>
      </c>
      <c r="G177" s="17" t="str">
        <f aca="false">IF(F177="","",ROUNDUP(ROUND(D177*(1+F177)/Özet!$C$4,6),0)*Özet!$C$4-Özet!$C$5)</f>
        <v/>
      </c>
      <c r="H177" s="17" t="str">
        <f aca="false">IF(G177="","",G177-D177)</f>
        <v/>
      </c>
      <c r="I177" s="16" t="str">
        <f aca="false">IF(OR(G177="",D177=0),"",(D177-C177)/D177)</f>
        <v/>
      </c>
      <c r="J177" s="16" t="str">
        <f aca="false">IF(OR(G177="",G177=0),"",(G177-C177)/G177)</f>
        <v/>
      </c>
      <c r="K177" s="18" t="str">
        <f aca="false">IF(OR(G177="",D177=0),"",G177/D177-1)</f>
        <v/>
      </c>
    </row>
    <row r="178" customFormat="false" ht="15" hidden="false" customHeight="false" outlineLevel="0" collapsed="false">
      <c r="A178" s="12"/>
      <c r="B178" s="13"/>
      <c r="C178" s="14"/>
      <c r="D178" s="14"/>
      <c r="E178" s="15"/>
      <c r="F178" s="16" t="str">
        <f aca="false">IF(OR(A178="",D178=""),"",IF(E178&lt;&gt;"",E178,IF(IFERROR(INDEX('Kategori Zamları'!$B$5:$B$24,MATCH(B178,'Kategori Zamları'!$A$5:$A$24,0)),"")="",Özet!$C$3,INDEX('Kategori Zamları'!$B$5:$B$24,MATCH(B178,'Kategori Zamları'!$A$5:$A$24,0)))))</f>
        <v/>
      </c>
      <c r="G178" s="17" t="str">
        <f aca="false">IF(F178="","",ROUNDUP(ROUND(D178*(1+F178)/Özet!$C$4,6),0)*Özet!$C$4-Özet!$C$5)</f>
        <v/>
      </c>
      <c r="H178" s="17" t="str">
        <f aca="false">IF(G178="","",G178-D178)</f>
        <v/>
      </c>
      <c r="I178" s="16" t="str">
        <f aca="false">IF(OR(G178="",D178=0),"",(D178-C178)/D178)</f>
        <v/>
      </c>
      <c r="J178" s="16" t="str">
        <f aca="false">IF(OR(G178="",G178=0),"",(G178-C178)/G178)</f>
        <v/>
      </c>
      <c r="K178" s="18" t="str">
        <f aca="false">IF(OR(G178="",D178=0),"",G178/D178-1)</f>
        <v/>
      </c>
    </row>
    <row r="179" customFormat="false" ht="15" hidden="false" customHeight="false" outlineLevel="0" collapsed="false">
      <c r="A179" s="12"/>
      <c r="B179" s="13"/>
      <c r="C179" s="14"/>
      <c r="D179" s="14"/>
      <c r="E179" s="15"/>
      <c r="F179" s="16" t="str">
        <f aca="false">IF(OR(A179="",D179=""),"",IF(E179&lt;&gt;"",E179,IF(IFERROR(INDEX('Kategori Zamları'!$B$5:$B$24,MATCH(B179,'Kategori Zamları'!$A$5:$A$24,0)),"")="",Özet!$C$3,INDEX('Kategori Zamları'!$B$5:$B$24,MATCH(B179,'Kategori Zamları'!$A$5:$A$24,0)))))</f>
        <v/>
      </c>
      <c r="G179" s="17" t="str">
        <f aca="false">IF(F179="","",ROUNDUP(ROUND(D179*(1+F179)/Özet!$C$4,6),0)*Özet!$C$4-Özet!$C$5)</f>
        <v/>
      </c>
      <c r="H179" s="17" t="str">
        <f aca="false">IF(G179="","",G179-D179)</f>
        <v/>
      </c>
      <c r="I179" s="16" t="str">
        <f aca="false">IF(OR(G179="",D179=0),"",(D179-C179)/D179)</f>
        <v/>
      </c>
      <c r="J179" s="16" t="str">
        <f aca="false">IF(OR(G179="",G179=0),"",(G179-C179)/G179)</f>
        <v/>
      </c>
      <c r="K179" s="18" t="str">
        <f aca="false">IF(OR(G179="",D179=0),"",G179/D179-1)</f>
        <v/>
      </c>
    </row>
    <row r="180" customFormat="false" ht="15" hidden="false" customHeight="false" outlineLevel="0" collapsed="false">
      <c r="A180" s="12"/>
      <c r="B180" s="13"/>
      <c r="C180" s="14"/>
      <c r="D180" s="14"/>
      <c r="E180" s="15"/>
      <c r="F180" s="16" t="str">
        <f aca="false">IF(OR(A180="",D180=""),"",IF(E180&lt;&gt;"",E180,IF(IFERROR(INDEX('Kategori Zamları'!$B$5:$B$24,MATCH(B180,'Kategori Zamları'!$A$5:$A$24,0)),"")="",Özet!$C$3,INDEX('Kategori Zamları'!$B$5:$B$24,MATCH(B180,'Kategori Zamları'!$A$5:$A$24,0)))))</f>
        <v/>
      </c>
      <c r="G180" s="17" t="str">
        <f aca="false">IF(F180="","",ROUNDUP(ROUND(D180*(1+F180)/Özet!$C$4,6),0)*Özet!$C$4-Özet!$C$5)</f>
        <v/>
      </c>
      <c r="H180" s="17" t="str">
        <f aca="false">IF(G180="","",G180-D180)</f>
        <v/>
      </c>
      <c r="I180" s="16" t="str">
        <f aca="false">IF(OR(G180="",D180=0),"",(D180-C180)/D180)</f>
        <v/>
      </c>
      <c r="J180" s="16" t="str">
        <f aca="false">IF(OR(G180="",G180=0),"",(G180-C180)/G180)</f>
        <v/>
      </c>
      <c r="K180" s="18" t="str">
        <f aca="false">IF(OR(G180="",D180=0),"",G180/D180-1)</f>
        <v/>
      </c>
    </row>
    <row r="181" customFormat="false" ht="15" hidden="false" customHeight="false" outlineLevel="0" collapsed="false">
      <c r="A181" s="12"/>
      <c r="B181" s="13"/>
      <c r="C181" s="14"/>
      <c r="D181" s="14"/>
      <c r="E181" s="15"/>
      <c r="F181" s="16" t="str">
        <f aca="false">IF(OR(A181="",D181=""),"",IF(E181&lt;&gt;"",E181,IF(IFERROR(INDEX('Kategori Zamları'!$B$5:$B$24,MATCH(B181,'Kategori Zamları'!$A$5:$A$24,0)),"")="",Özet!$C$3,INDEX('Kategori Zamları'!$B$5:$B$24,MATCH(B181,'Kategori Zamları'!$A$5:$A$24,0)))))</f>
        <v/>
      </c>
      <c r="G181" s="17" t="str">
        <f aca="false">IF(F181="","",ROUNDUP(ROUND(D181*(1+F181)/Özet!$C$4,6),0)*Özet!$C$4-Özet!$C$5)</f>
        <v/>
      </c>
      <c r="H181" s="17" t="str">
        <f aca="false">IF(G181="","",G181-D181)</f>
        <v/>
      </c>
      <c r="I181" s="16" t="str">
        <f aca="false">IF(OR(G181="",D181=0),"",(D181-C181)/D181)</f>
        <v/>
      </c>
      <c r="J181" s="16" t="str">
        <f aca="false">IF(OR(G181="",G181=0),"",(G181-C181)/G181)</f>
        <v/>
      </c>
      <c r="K181" s="18" t="str">
        <f aca="false">IF(OR(G181="",D181=0),"",G181/D181-1)</f>
        <v/>
      </c>
    </row>
    <row r="182" customFormat="false" ht="15" hidden="false" customHeight="false" outlineLevel="0" collapsed="false">
      <c r="A182" s="12"/>
      <c r="B182" s="13"/>
      <c r="C182" s="14"/>
      <c r="D182" s="14"/>
      <c r="E182" s="15"/>
      <c r="F182" s="16" t="str">
        <f aca="false">IF(OR(A182="",D182=""),"",IF(E182&lt;&gt;"",E182,IF(IFERROR(INDEX('Kategori Zamları'!$B$5:$B$24,MATCH(B182,'Kategori Zamları'!$A$5:$A$24,0)),"")="",Özet!$C$3,INDEX('Kategori Zamları'!$B$5:$B$24,MATCH(B182,'Kategori Zamları'!$A$5:$A$24,0)))))</f>
        <v/>
      </c>
      <c r="G182" s="17" t="str">
        <f aca="false">IF(F182="","",ROUNDUP(ROUND(D182*(1+F182)/Özet!$C$4,6),0)*Özet!$C$4-Özet!$C$5)</f>
        <v/>
      </c>
      <c r="H182" s="17" t="str">
        <f aca="false">IF(G182="","",G182-D182)</f>
        <v/>
      </c>
      <c r="I182" s="16" t="str">
        <f aca="false">IF(OR(G182="",D182=0),"",(D182-C182)/D182)</f>
        <v/>
      </c>
      <c r="J182" s="16" t="str">
        <f aca="false">IF(OR(G182="",G182=0),"",(G182-C182)/G182)</f>
        <v/>
      </c>
      <c r="K182" s="18" t="str">
        <f aca="false">IF(OR(G182="",D182=0),"",G182/D182-1)</f>
        <v/>
      </c>
    </row>
    <row r="183" customFormat="false" ht="15" hidden="false" customHeight="false" outlineLevel="0" collapsed="false">
      <c r="A183" s="12"/>
      <c r="B183" s="13"/>
      <c r="C183" s="14"/>
      <c r="D183" s="14"/>
      <c r="E183" s="15"/>
      <c r="F183" s="16" t="str">
        <f aca="false">IF(OR(A183="",D183=""),"",IF(E183&lt;&gt;"",E183,IF(IFERROR(INDEX('Kategori Zamları'!$B$5:$B$24,MATCH(B183,'Kategori Zamları'!$A$5:$A$24,0)),"")="",Özet!$C$3,INDEX('Kategori Zamları'!$B$5:$B$24,MATCH(B183,'Kategori Zamları'!$A$5:$A$24,0)))))</f>
        <v/>
      </c>
      <c r="G183" s="17" t="str">
        <f aca="false">IF(F183="","",ROUNDUP(ROUND(D183*(1+F183)/Özet!$C$4,6),0)*Özet!$C$4-Özet!$C$5)</f>
        <v/>
      </c>
      <c r="H183" s="17" t="str">
        <f aca="false">IF(G183="","",G183-D183)</f>
        <v/>
      </c>
      <c r="I183" s="16" t="str">
        <f aca="false">IF(OR(G183="",D183=0),"",(D183-C183)/D183)</f>
        <v/>
      </c>
      <c r="J183" s="16" t="str">
        <f aca="false">IF(OR(G183="",G183=0),"",(G183-C183)/G183)</f>
        <v/>
      </c>
      <c r="K183" s="18" t="str">
        <f aca="false">IF(OR(G183="",D183=0),"",G183/D183-1)</f>
        <v/>
      </c>
    </row>
    <row r="184" customFormat="false" ht="15" hidden="false" customHeight="false" outlineLevel="0" collapsed="false">
      <c r="A184" s="12"/>
      <c r="B184" s="13"/>
      <c r="C184" s="14"/>
      <c r="D184" s="14"/>
      <c r="E184" s="15"/>
      <c r="F184" s="16" t="str">
        <f aca="false">IF(OR(A184="",D184=""),"",IF(E184&lt;&gt;"",E184,IF(IFERROR(INDEX('Kategori Zamları'!$B$5:$B$24,MATCH(B184,'Kategori Zamları'!$A$5:$A$24,0)),"")="",Özet!$C$3,INDEX('Kategori Zamları'!$B$5:$B$24,MATCH(B184,'Kategori Zamları'!$A$5:$A$24,0)))))</f>
        <v/>
      </c>
      <c r="G184" s="17" t="str">
        <f aca="false">IF(F184="","",ROUNDUP(ROUND(D184*(1+F184)/Özet!$C$4,6),0)*Özet!$C$4-Özet!$C$5)</f>
        <v/>
      </c>
      <c r="H184" s="17" t="str">
        <f aca="false">IF(G184="","",G184-D184)</f>
        <v/>
      </c>
      <c r="I184" s="16" t="str">
        <f aca="false">IF(OR(G184="",D184=0),"",(D184-C184)/D184)</f>
        <v/>
      </c>
      <c r="J184" s="16" t="str">
        <f aca="false">IF(OR(G184="",G184=0),"",(G184-C184)/G184)</f>
        <v/>
      </c>
      <c r="K184" s="18" t="str">
        <f aca="false">IF(OR(G184="",D184=0),"",G184/D184-1)</f>
        <v/>
      </c>
    </row>
    <row r="185" customFormat="false" ht="15" hidden="false" customHeight="false" outlineLevel="0" collapsed="false">
      <c r="A185" s="12"/>
      <c r="B185" s="13"/>
      <c r="C185" s="14"/>
      <c r="D185" s="14"/>
      <c r="E185" s="15"/>
      <c r="F185" s="16" t="str">
        <f aca="false">IF(OR(A185="",D185=""),"",IF(E185&lt;&gt;"",E185,IF(IFERROR(INDEX('Kategori Zamları'!$B$5:$B$24,MATCH(B185,'Kategori Zamları'!$A$5:$A$24,0)),"")="",Özet!$C$3,INDEX('Kategori Zamları'!$B$5:$B$24,MATCH(B185,'Kategori Zamları'!$A$5:$A$24,0)))))</f>
        <v/>
      </c>
      <c r="G185" s="17" t="str">
        <f aca="false">IF(F185="","",ROUNDUP(ROUND(D185*(1+F185)/Özet!$C$4,6),0)*Özet!$C$4-Özet!$C$5)</f>
        <v/>
      </c>
      <c r="H185" s="17" t="str">
        <f aca="false">IF(G185="","",G185-D185)</f>
        <v/>
      </c>
      <c r="I185" s="16" t="str">
        <f aca="false">IF(OR(G185="",D185=0),"",(D185-C185)/D185)</f>
        <v/>
      </c>
      <c r="J185" s="16" t="str">
        <f aca="false">IF(OR(G185="",G185=0),"",(G185-C185)/G185)</f>
        <v/>
      </c>
      <c r="K185" s="18" t="str">
        <f aca="false">IF(OR(G185="",D185=0),"",G185/D185-1)</f>
        <v/>
      </c>
    </row>
    <row r="186" customFormat="false" ht="15" hidden="false" customHeight="false" outlineLevel="0" collapsed="false">
      <c r="A186" s="12"/>
      <c r="B186" s="13"/>
      <c r="C186" s="14"/>
      <c r="D186" s="14"/>
      <c r="E186" s="15"/>
      <c r="F186" s="16" t="str">
        <f aca="false">IF(OR(A186="",D186=""),"",IF(E186&lt;&gt;"",E186,IF(IFERROR(INDEX('Kategori Zamları'!$B$5:$B$24,MATCH(B186,'Kategori Zamları'!$A$5:$A$24,0)),"")="",Özet!$C$3,INDEX('Kategori Zamları'!$B$5:$B$24,MATCH(B186,'Kategori Zamları'!$A$5:$A$24,0)))))</f>
        <v/>
      </c>
      <c r="G186" s="17" t="str">
        <f aca="false">IF(F186="","",ROUNDUP(ROUND(D186*(1+F186)/Özet!$C$4,6),0)*Özet!$C$4-Özet!$C$5)</f>
        <v/>
      </c>
      <c r="H186" s="17" t="str">
        <f aca="false">IF(G186="","",G186-D186)</f>
        <v/>
      </c>
      <c r="I186" s="16" t="str">
        <f aca="false">IF(OR(G186="",D186=0),"",(D186-C186)/D186)</f>
        <v/>
      </c>
      <c r="J186" s="16" t="str">
        <f aca="false">IF(OR(G186="",G186=0),"",(G186-C186)/G186)</f>
        <v/>
      </c>
      <c r="K186" s="18" t="str">
        <f aca="false">IF(OR(G186="",D186=0),"",G186/D186-1)</f>
        <v/>
      </c>
    </row>
    <row r="187" customFormat="false" ht="15" hidden="false" customHeight="false" outlineLevel="0" collapsed="false">
      <c r="A187" s="12"/>
      <c r="B187" s="13"/>
      <c r="C187" s="14"/>
      <c r="D187" s="14"/>
      <c r="E187" s="15"/>
      <c r="F187" s="16" t="str">
        <f aca="false">IF(OR(A187="",D187=""),"",IF(E187&lt;&gt;"",E187,IF(IFERROR(INDEX('Kategori Zamları'!$B$5:$B$24,MATCH(B187,'Kategori Zamları'!$A$5:$A$24,0)),"")="",Özet!$C$3,INDEX('Kategori Zamları'!$B$5:$B$24,MATCH(B187,'Kategori Zamları'!$A$5:$A$24,0)))))</f>
        <v/>
      </c>
      <c r="G187" s="17" t="str">
        <f aca="false">IF(F187="","",ROUNDUP(ROUND(D187*(1+F187)/Özet!$C$4,6),0)*Özet!$C$4-Özet!$C$5)</f>
        <v/>
      </c>
      <c r="H187" s="17" t="str">
        <f aca="false">IF(G187="","",G187-D187)</f>
        <v/>
      </c>
      <c r="I187" s="16" t="str">
        <f aca="false">IF(OR(G187="",D187=0),"",(D187-C187)/D187)</f>
        <v/>
      </c>
      <c r="J187" s="16" t="str">
        <f aca="false">IF(OR(G187="",G187=0),"",(G187-C187)/G187)</f>
        <v/>
      </c>
      <c r="K187" s="18" t="str">
        <f aca="false">IF(OR(G187="",D187=0),"",G187/D187-1)</f>
        <v/>
      </c>
    </row>
    <row r="188" customFormat="false" ht="15" hidden="false" customHeight="false" outlineLevel="0" collapsed="false">
      <c r="A188" s="12"/>
      <c r="B188" s="13"/>
      <c r="C188" s="14"/>
      <c r="D188" s="14"/>
      <c r="E188" s="15"/>
      <c r="F188" s="16" t="str">
        <f aca="false">IF(OR(A188="",D188=""),"",IF(E188&lt;&gt;"",E188,IF(IFERROR(INDEX('Kategori Zamları'!$B$5:$B$24,MATCH(B188,'Kategori Zamları'!$A$5:$A$24,0)),"")="",Özet!$C$3,INDEX('Kategori Zamları'!$B$5:$B$24,MATCH(B188,'Kategori Zamları'!$A$5:$A$24,0)))))</f>
        <v/>
      </c>
      <c r="G188" s="17" t="str">
        <f aca="false">IF(F188="","",ROUNDUP(ROUND(D188*(1+F188)/Özet!$C$4,6),0)*Özet!$C$4-Özet!$C$5)</f>
        <v/>
      </c>
      <c r="H188" s="17" t="str">
        <f aca="false">IF(G188="","",G188-D188)</f>
        <v/>
      </c>
      <c r="I188" s="16" t="str">
        <f aca="false">IF(OR(G188="",D188=0),"",(D188-C188)/D188)</f>
        <v/>
      </c>
      <c r="J188" s="16" t="str">
        <f aca="false">IF(OR(G188="",G188=0),"",(G188-C188)/G188)</f>
        <v/>
      </c>
      <c r="K188" s="18" t="str">
        <f aca="false">IF(OR(G188="",D188=0),"",G188/D188-1)</f>
        <v/>
      </c>
    </row>
    <row r="189" customFormat="false" ht="15" hidden="false" customHeight="false" outlineLevel="0" collapsed="false">
      <c r="A189" s="12"/>
      <c r="B189" s="13"/>
      <c r="C189" s="14"/>
      <c r="D189" s="14"/>
      <c r="E189" s="15"/>
      <c r="F189" s="16" t="str">
        <f aca="false">IF(OR(A189="",D189=""),"",IF(E189&lt;&gt;"",E189,IF(IFERROR(INDEX('Kategori Zamları'!$B$5:$B$24,MATCH(B189,'Kategori Zamları'!$A$5:$A$24,0)),"")="",Özet!$C$3,INDEX('Kategori Zamları'!$B$5:$B$24,MATCH(B189,'Kategori Zamları'!$A$5:$A$24,0)))))</f>
        <v/>
      </c>
      <c r="G189" s="17" t="str">
        <f aca="false">IF(F189="","",ROUNDUP(ROUND(D189*(1+F189)/Özet!$C$4,6),0)*Özet!$C$4-Özet!$C$5)</f>
        <v/>
      </c>
      <c r="H189" s="17" t="str">
        <f aca="false">IF(G189="","",G189-D189)</f>
        <v/>
      </c>
      <c r="I189" s="16" t="str">
        <f aca="false">IF(OR(G189="",D189=0),"",(D189-C189)/D189)</f>
        <v/>
      </c>
      <c r="J189" s="16" t="str">
        <f aca="false">IF(OR(G189="",G189=0),"",(G189-C189)/G189)</f>
        <v/>
      </c>
      <c r="K189" s="18" t="str">
        <f aca="false">IF(OR(G189="",D189=0),"",G189/D189-1)</f>
        <v/>
      </c>
    </row>
    <row r="190" customFormat="false" ht="15" hidden="false" customHeight="false" outlineLevel="0" collapsed="false">
      <c r="A190" s="12"/>
      <c r="B190" s="13"/>
      <c r="C190" s="14"/>
      <c r="D190" s="14"/>
      <c r="E190" s="15"/>
      <c r="F190" s="16" t="str">
        <f aca="false">IF(OR(A190="",D190=""),"",IF(E190&lt;&gt;"",E190,IF(IFERROR(INDEX('Kategori Zamları'!$B$5:$B$24,MATCH(B190,'Kategori Zamları'!$A$5:$A$24,0)),"")="",Özet!$C$3,INDEX('Kategori Zamları'!$B$5:$B$24,MATCH(B190,'Kategori Zamları'!$A$5:$A$24,0)))))</f>
        <v/>
      </c>
      <c r="G190" s="17" t="str">
        <f aca="false">IF(F190="","",ROUNDUP(ROUND(D190*(1+F190)/Özet!$C$4,6),0)*Özet!$C$4-Özet!$C$5)</f>
        <v/>
      </c>
      <c r="H190" s="17" t="str">
        <f aca="false">IF(G190="","",G190-D190)</f>
        <v/>
      </c>
      <c r="I190" s="16" t="str">
        <f aca="false">IF(OR(G190="",D190=0),"",(D190-C190)/D190)</f>
        <v/>
      </c>
      <c r="J190" s="16" t="str">
        <f aca="false">IF(OR(G190="",G190=0),"",(G190-C190)/G190)</f>
        <v/>
      </c>
      <c r="K190" s="18" t="str">
        <f aca="false">IF(OR(G190="",D190=0),"",G190/D190-1)</f>
        <v/>
      </c>
    </row>
    <row r="191" customFormat="false" ht="15" hidden="false" customHeight="false" outlineLevel="0" collapsed="false">
      <c r="A191" s="12"/>
      <c r="B191" s="13"/>
      <c r="C191" s="14"/>
      <c r="D191" s="14"/>
      <c r="E191" s="15"/>
      <c r="F191" s="16" t="str">
        <f aca="false">IF(OR(A191="",D191=""),"",IF(E191&lt;&gt;"",E191,IF(IFERROR(INDEX('Kategori Zamları'!$B$5:$B$24,MATCH(B191,'Kategori Zamları'!$A$5:$A$24,0)),"")="",Özet!$C$3,INDEX('Kategori Zamları'!$B$5:$B$24,MATCH(B191,'Kategori Zamları'!$A$5:$A$24,0)))))</f>
        <v/>
      </c>
      <c r="G191" s="17" t="str">
        <f aca="false">IF(F191="","",ROUNDUP(ROUND(D191*(1+F191)/Özet!$C$4,6),0)*Özet!$C$4-Özet!$C$5)</f>
        <v/>
      </c>
      <c r="H191" s="17" t="str">
        <f aca="false">IF(G191="","",G191-D191)</f>
        <v/>
      </c>
      <c r="I191" s="16" t="str">
        <f aca="false">IF(OR(G191="",D191=0),"",(D191-C191)/D191)</f>
        <v/>
      </c>
      <c r="J191" s="16" t="str">
        <f aca="false">IF(OR(G191="",G191=0),"",(G191-C191)/G191)</f>
        <v/>
      </c>
      <c r="K191" s="18" t="str">
        <f aca="false">IF(OR(G191="",D191=0),"",G191/D191-1)</f>
        <v/>
      </c>
    </row>
    <row r="192" customFormat="false" ht="15" hidden="false" customHeight="false" outlineLevel="0" collapsed="false">
      <c r="A192" s="12"/>
      <c r="B192" s="13"/>
      <c r="C192" s="14"/>
      <c r="D192" s="14"/>
      <c r="E192" s="15"/>
      <c r="F192" s="16" t="str">
        <f aca="false">IF(OR(A192="",D192=""),"",IF(E192&lt;&gt;"",E192,IF(IFERROR(INDEX('Kategori Zamları'!$B$5:$B$24,MATCH(B192,'Kategori Zamları'!$A$5:$A$24,0)),"")="",Özet!$C$3,INDEX('Kategori Zamları'!$B$5:$B$24,MATCH(B192,'Kategori Zamları'!$A$5:$A$24,0)))))</f>
        <v/>
      </c>
      <c r="G192" s="17" t="str">
        <f aca="false">IF(F192="","",ROUNDUP(ROUND(D192*(1+F192)/Özet!$C$4,6),0)*Özet!$C$4-Özet!$C$5)</f>
        <v/>
      </c>
      <c r="H192" s="17" t="str">
        <f aca="false">IF(G192="","",G192-D192)</f>
        <v/>
      </c>
      <c r="I192" s="16" t="str">
        <f aca="false">IF(OR(G192="",D192=0),"",(D192-C192)/D192)</f>
        <v/>
      </c>
      <c r="J192" s="16" t="str">
        <f aca="false">IF(OR(G192="",G192=0),"",(G192-C192)/G192)</f>
        <v/>
      </c>
      <c r="K192" s="18" t="str">
        <f aca="false">IF(OR(G192="",D192=0),"",G192/D192-1)</f>
        <v/>
      </c>
    </row>
    <row r="193" customFormat="false" ht="15" hidden="false" customHeight="false" outlineLevel="0" collapsed="false">
      <c r="A193" s="12"/>
      <c r="B193" s="13"/>
      <c r="C193" s="14"/>
      <c r="D193" s="14"/>
      <c r="E193" s="15"/>
      <c r="F193" s="16" t="str">
        <f aca="false">IF(OR(A193="",D193=""),"",IF(E193&lt;&gt;"",E193,IF(IFERROR(INDEX('Kategori Zamları'!$B$5:$B$24,MATCH(B193,'Kategori Zamları'!$A$5:$A$24,0)),"")="",Özet!$C$3,INDEX('Kategori Zamları'!$B$5:$B$24,MATCH(B193,'Kategori Zamları'!$A$5:$A$24,0)))))</f>
        <v/>
      </c>
      <c r="G193" s="17" t="str">
        <f aca="false">IF(F193="","",ROUNDUP(ROUND(D193*(1+F193)/Özet!$C$4,6),0)*Özet!$C$4-Özet!$C$5)</f>
        <v/>
      </c>
      <c r="H193" s="17" t="str">
        <f aca="false">IF(G193="","",G193-D193)</f>
        <v/>
      </c>
      <c r="I193" s="16" t="str">
        <f aca="false">IF(OR(G193="",D193=0),"",(D193-C193)/D193)</f>
        <v/>
      </c>
      <c r="J193" s="16" t="str">
        <f aca="false">IF(OR(G193="",G193=0),"",(G193-C193)/G193)</f>
        <v/>
      </c>
      <c r="K193" s="18" t="str">
        <f aca="false">IF(OR(G193="",D193=0),"",G193/D193-1)</f>
        <v/>
      </c>
    </row>
    <row r="194" customFormat="false" ht="15" hidden="false" customHeight="false" outlineLevel="0" collapsed="false">
      <c r="A194" s="12"/>
      <c r="B194" s="13"/>
      <c r="C194" s="14"/>
      <c r="D194" s="14"/>
      <c r="E194" s="15"/>
      <c r="F194" s="16" t="str">
        <f aca="false">IF(OR(A194="",D194=""),"",IF(E194&lt;&gt;"",E194,IF(IFERROR(INDEX('Kategori Zamları'!$B$5:$B$24,MATCH(B194,'Kategori Zamları'!$A$5:$A$24,0)),"")="",Özet!$C$3,INDEX('Kategori Zamları'!$B$5:$B$24,MATCH(B194,'Kategori Zamları'!$A$5:$A$24,0)))))</f>
        <v/>
      </c>
      <c r="G194" s="17" t="str">
        <f aca="false">IF(F194="","",ROUNDUP(ROUND(D194*(1+F194)/Özet!$C$4,6),0)*Özet!$C$4-Özet!$C$5)</f>
        <v/>
      </c>
      <c r="H194" s="17" t="str">
        <f aca="false">IF(G194="","",G194-D194)</f>
        <v/>
      </c>
      <c r="I194" s="16" t="str">
        <f aca="false">IF(OR(G194="",D194=0),"",(D194-C194)/D194)</f>
        <v/>
      </c>
      <c r="J194" s="16" t="str">
        <f aca="false">IF(OR(G194="",G194=0),"",(G194-C194)/G194)</f>
        <v/>
      </c>
      <c r="K194" s="18" t="str">
        <f aca="false">IF(OR(G194="",D194=0),"",G194/D194-1)</f>
        <v/>
      </c>
    </row>
    <row r="195" customFormat="false" ht="15" hidden="false" customHeight="false" outlineLevel="0" collapsed="false">
      <c r="A195" s="12"/>
      <c r="B195" s="13"/>
      <c r="C195" s="14"/>
      <c r="D195" s="14"/>
      <c r="E195" s="15"/>
      <c r="F195" s="16" t="str">
        <f aca="false">IF(OR(A195="",D195=""),"",IF(E195&lt;&gt;"",E195,IF(IFERROR(INDEX('Kategori Zamları'!$B$5:$B$24,MATCH(B195,'Kategori Zamları'!$A$5:$A$24,0)),"")="",Özet!$C$3,INDEX('Kategori Zamları'!$B$5:$B$24,MATCH(B195,'Kategori Zamları'!$A$5:$A$24,0)))))</f>
        <v/>
      </c>
      <c r="G195" s="17" t="str">
        <f aca="false">IF(F195="","",ROUNDUP(ROUND(D195*(1+F195)/Özet!$C$4,6),0)*Özet!$C$4-Özet!$C$5)</f>
        <v/>
      </c>
      <c r="H195" s="17" t="str">
        <f aca="false">IF(G195="","",G195-D195)</f>
        <v/>
      </c>
      <c r="I195" s="16" t="str">
        <f aca="false">IF(OR(G195="",D195=0),"",(D195-C195)/D195)</f>
        <v/>
      </c>
      <c r="J195" s="16" t="str">
        <f aca="false">IF(OR(G195="",G195=0),"",(G195-C195)/G195)</f>
        <v/>
      </c>
      <c r="K195" s="18" t="str">
        <f aca="false">IF(OR(G195="",D195=0),"",G195/D195-1)</f>
        <v/>
      </c>
    </row>
    <row r="196" customFormat="false" ht="15" hidden="false" customHeight="false" outlineLevel="0" collapsed="false">
      <c r="A196" s="12"/>
      <c r="B196" s="13"/>
      <c r="C196" s="14"/>
      <c r="D196" s="14"/>
      <c r="E196" s="15"/>
      <c r="F196" s="16" t="str">
        <f aca="false">IF(OR(A196="",D196=""),"",IF(E196&lt;&gt;"",E196,IF(IFERROR(INDEX('Kategori Zamları'!$B$5:$B$24,MATCH(B196,'Kategori Zamları'!$A$5:$A$24,0)),"")="",Özet!$C$3,INDEX('Kategori Zamları'!$B$5:$B$24,MATCH(B196,'Kategori Zamları'!$A$5:$A$24,0)))))</f>
        <v/>
      </c>
      <c r="G196" s="17" t="str">
        <f aca="false">IF(F196="","",ROUNDUP(ROUND(D196*(1+F196)/Özet!$C$4,6),0)*Özet!$C$4-Özet!$C$5)</f>
        <v/>
      </c>
      <c r="H196" s="17" t="str">
        <f aca="false">IF(G196="","",G196-D196)</f>
        <v/>
      </c>
      <c r="I196" s="16" t="str">
        <f aca="false">IF(OR(G196="",D196=0),"",(D196-C196)/D196)</f>
        <v/>
      </c>
      <c r="J196" s="16" t="str">
        <f aca="false">IF(OR(G196="",G196=0),"",(G196-C196)/G196)</f>
        <v/>
      </c>
      <c r="K196" s="18" t="str">
        <f aca="false">IF(OR(G196="",D196=0),"",G196/D196-1)</f>
        <v/>
      </c>
    </row>
    <row r="197" customFormat="false" ht="15" hidden="false" customHeight="false" outlineLevel="0" collapsed="false">
      <c r="A197" s="12"/>
      <c r="B197" s="13"/>
      <c r="C197" s="14"/>
      <c r="D197" s="14"/>
      <c r="E197" s="15"/>
      <c r="F197" s="16" t="str">
        <f aca="false">IF(OR(A197="",D197=""),"",IF(E197&lt;&gt;"",E197,IF(IFERROR(INDEX('Kategori Zamları'!$B$5:$B$24,MATCH(B197,'Kategori Zamları'!$A$5:$A$24,0)),"")="",Özet!$C$3,INDEX('Kategori Zamları'!$B$5:$B$24,MATCH(B197,'Kategori Zamları'!$A$5:$A$24,0)))))</f>
        <v/>
      </c>
      <c r="G197" s="17" t="str">
        <f aca="false">IF(F197="","",ROUNDUP(ROUND(D197*(1+F197)/Özet!$C$4,6),0)*Özet!$C$4-Özet!$C$5)</f>
        <v/>
      </c>
      <c r="H197" s="17" t="str">
        <f aca="false">IF(G197="","",G197-D197)</f>
        <v/>
      </c>
      <c r="I197" s="16" t="str">
        <f aca="false">IF(OR(G197="",D197=0),"",(D197-C197)/D197)</f>
        <v/>
      </c>
      <c r="J197" s="16" t="str">
        <f aca="false">IF(OR(G197="",G197=0),"",(G197-C197)/G197)</f>
        <v/>
      </c>
      <c r="K197" s="18" t="str">
        <f aca="false">IF(OR(G197="",D197=0),"",G197/D197-1)</f>
        <v/>
      </c>
    </row>
    <row r="198" customFormat="false" ht="15" hidden="false" customHeight="false" outlineLevel="0" collapsed="false">
      <c r="A198" s="12"/>
      <c r="B198" s="13"/>
      <c r="C198" s="14"/>
      <c r="D198" s="14"/>
      <c r="E198" s="15"/>
      <c r="F198" s="16" t="str">
        <f aca="false">IF(OR(A198="",D198=""),"",IF(E198&lt;&gt;"",E198,IF(IFERROR(INDEX('Kategori Zamları'!$B$5:$B$24,MATCH(B198,'Kategori Zamları'!$A$5:$A$24,0)),"")="",Özet!$C$3,INDEX('Kategori Zamları'!$B$5:$B$24,MATCH(B198,'Kategori Zamları'!$A$5:$A$24,0)))))</f>
        <v/>
      </c>
      <c r="G198" s="17" t="str">
        <f aca="false">IF(F198="","",ROUNDUP(ROUND(D198*(1+F198)/Özet!$C$4,6),0)*Özet!$C$4-Özet!$C$5)</f>
        <v/>
      </c>
      <c r="H198" s="17" t="str">
        <f aca="false">IF(G198="","",G198-D198)</f>
        <v/>
      </c>
      <c r="I198" s="16" t="str">
        <f aca="false">IF(OR(G198="",D198=0),"",(D198-C198)/D198)</f>
        <v/>
      </c>
      <c r="J198" s="16" t="str">
        <f aca="false">IF(OR(G198="",G198=0),"",(G198-C198)/G198)</f>
        <v/>
      </c>
      <c r="K198" s="18" t="str">
        <f aca="false">IF(OR(G198="",D198=0),"",G198/D198-1)</f>
        <v/>
      </c>
    </row>
    <row r="199" customFormat="false" ht="15" hidden="false" customHeight="false" outlineLevel="0" collapsed="false">
      <c r="A199" s="12"/>
      <c r="B199" s="13"/>
      <c r="C199" s="14"/>
      <c r="D199" s="14"/>
      <c r="E199" s="15"/>
      <c r="F199" s="16" t="str">
        <f aca="false">IF(OR(A199="",D199=""),"",IF(E199&lt;&gt;"",E199,IF(IFERROR(INDEX('Kategori Zamları'!$B$5:$B$24,MATCH(B199,'Kategori Zamları'!$A$5:$A$24,0)),"")="",Özet!$C$3,INDEX('Kategori Zamları'!$B$5:$B$24,MATCH(B199,'Kategori Zamları'!$A$5:$A$24,0)))))</f>
        <v/>
      </c>
      <c r="G199" s="17" t="str">
        <f aca="false">IF(F199="","",ROUNDUP(ROUND(D199*(1+F199)/Özet!$C$4,6),0)*Özet!$C$4-Özet!$C$5)</f>
        <v/>
      </c>
      <c r="H199" s="17" t="str">
        <f aca="false">IF(G199="","",G199-D199)</f>
        <v/>
      </c>
      <c r="I199" s="16" t="str">
        <f aca="false">IF(OR(G199="",D199=0),"",(D199-C199)/D199)</f>
        <v/>
      </c>
      <c r="J199" s="16" t="str">
        <f aca="false">IF(OR(G199="",G199=0),"",(G199-C199)/G199)</f>
        <v/>
      </c>
      <c r="K199" s="18" t="str">
        <f aca="false">IF(OR(G199="",D199=0),"",G199/D199-1)</f>
        <v/>
      </c>
    </row>
    <row r="200" customFormat="false" ht="15" hidden="false" customHeight="false" outlineLevel="0" collapsed="false">
      <c r="A200" s="12"/>
      <c r="B200" s="13"/>
      <c r="C200" s="14"/>
      <c r="D200" s="14"/>
      <c r="E200" s="15"/>
      <c r="F200" s="16" t="str">
        <f aca="false">IF(OR(A200="",D200=""),"",IF(E200&lt;&gt;"",E200,IF(IFERROR(INDEX('Kategori Zamları'!$B$5:$B$24,MATCH(B200,'Kategori Zamları'!$A$5:$A$24,0)),"")="",Özet!$C$3,INDEX('Kategori Zamları'!$B$5:$B$24,MATCH(B200,'Kategori Zamları'!$A$5:$A$24,0)))))</f>
        <v/>
      </c>
      <c r="G200" s="17" t="str">
        <f aca="false">IF(F200="","",ROUNDUP(ROUND(D200*(1+F200)/Özet!$C$4,6),0)*Özet!$C$4-Özet!$C$5)</f>
        <v/>
      </c>
      <c r="H200" s="17" t="str">
        <f aca="false">IF(G200="","",G200-D200)</f>
        <v/>
      </c>
      <c r="I200" s="16" t="str">
        <f aca="false">IF(OR(G200="",D200=0),"",(D200-C200)/D200)</f>
        <v/>
      </c>
      <c r="J200" s="16" t="str">
        <f aca="false">IF(OR(G200="",G200=0),"",(G200-C200)/G200)</f>
        <v/>
      </c>
      <c r="K200" s="18" t="str">
        <f aca="false">IF(OR(G200="",D200=0),"",G200/D200-1)</f>
        <v/>
      </c>
    </row>
    <row r="201" customFormat="false" ht="15" hidden="false" customHeight="false" outlineLevel="0" collapsed="false">
      <c r="A201" s="12"/>
      <c r="B201" s="13"/>
      <c r="C201" s="14"/>
      <c r="D201" s="14"/>
      <c r="E201" s="15"/>
      <c r="F201" s="16" t="str">
        <f aca="false">IF(OR(A201="",D201=""),"",IF(E201&lt;&gt;"",E201,IF(IFERROR(INDEX('Kategori Zamları'!$B$5:$B$24,MATCH(B201,'Kategori Zamları'!$A$5:$A$24,0)),"")="",Özet!$C$3,INDEX('Kategori Zamları'!$B$5:$B$24,MATCH(B201,'Kategori Zamları'!$A$5:$A$24,0)))))</f>
        <v/>
      </c>
      <c r="G201" s="17" t="str">
        <f aca="false">IF(F201="","",ROUNDUP(ROUND(D201*(1+F201)/Özet!$C$4,6),0)*Özet!$C$4-Özet!$C$5)</f>
        <v/>
      </c>
      <c r="H201" s="17" t="str">
        <f aca="false">IF(G201="","",G201-D201)</f>
        <v/>
      </c>
      <c r="I201" s="16" t="str">
        <f aca="false">IF(OR(G201="",D201=0),"",(D201-C201)/D201)</f>
        <v/>
      </c>
      <c r="J201" s="16" t="str">
        <f aca="false">IF(OR(G201="",G201=0),"",(G201-C201)/G201)</f>
        <v/>
      </c>
      <c r="K201" s="18" t="str">
        <f aca="false">IF(OR(G201="",D201=0),"",G201/D201-1)</f>
        <v/>
      </c>
    </row>
    <row r="202" customFormat="false" ht="15" hidden="false" customHeight="false" outlineLevel="0" collapsed="false">
      <c r="A202" s="12"/>
      <c r="B202" s="13"/>
      <c r="C202" s="14"/>
      <c r="D202" s="14"/>
      <c r="E202" s="15"/>
      <c r="F202" s="16" t="str">
        <f aca="false">IF(OR(A202="",D202=""),"",IF(E202&lt;&gt;"",E202,IF(IFERROR(INDEX('Kategori Zamları'!$B$5:$B$24,MATCH(B202,'Kategori Zamları'!$A$5:$A$24,0)),"")="",Özet!$C$3,INDEX('Kategori Zamları'!$B$5:$B$24,MATCH(B202,'Kategori Zamları'!$A$5:$A$24,0)))))</f>
        <v/>
      </c>
      <c r="G202" s="17" t="str">
        <f aca="false">IF(F202="","",ROUNDUP(ROUND(D202*(1+F202)/Özet!$C$4,6),0)*Özet!$C$4-Özet!$C$5)</f>
        <v/>
      </c>
      <c r="H202" s="17" t="str">
        <f aca="false">IF(G202="","",G202-D202)</f>
        <v/>
      </c>
      <c r="I202" s="16" t="str">
        <f aca="false">IF(OR(G202="",D202=0),"",(D202-C202)/D202)</f>
        <v/>
      </c>
      <c r="J202" s="16" t="str">
        <f aca="false">IF(OR(G202="",G202=0),"",(G202-C202)/G202)</f>
        <v/>
      </c>
      <c r="K202" s="18" t="str">
        <f aca="false">IF(OR(G202="",D202=0),"",G202/D202-1)</f>
        <v/>
      </c>
    </row>
    <row r="203" customFormat="false" ht="15" hidden="false" customHeight="false" outlineLevel="0" collapsed="false">
      <c r="A203" s="12"/>
      <c r="B203" s="13"/>
      <c r="C203" s="14"/>
      <c r="D203" s="14"/>
      <c r="E203" s="15"/>
      <c r="F203" s="16" t="str">
        <f aca="false">IF(OR(A203="",D203=""),"",IF(E203&lt;&gt;"",E203,IF(IFERROR(INDEX('Kategori Zamları'!$B$5:$B$24,MATCH(B203,'Kategori Zamları'!$A$5:$A$24,0)),"")="",Özet!$C$3,INDEX('Kategori Zamları'!$B$5:$B$24,MATCH(B203,'Kategori Zamları'!$A$5:$A$24,0)))))</f>
        <v/>
      </c>
      <c r="G203" s="17" t="str">
        <f aca="false">IF(F203="","",ROUNDUP(ROUND(D203*(1+F203)/Özet!$C$4,6),0)*Özet!$C$4-Özet!$C$5)</f>
        <v/>
      </c>
      <c r="H203" s="17" t="str">
        <f aca="false">IF(G203="","",G203-D203)</f>
        <v/>
      </c>
      <c r="I203" s="16" t="str">
        <f aca="false">IF(OR(G203="",D203=0),"",(D203-C203)/D203)</f>
        <v/>
      </c>
      <c r="J203" s="16" t="str">
        <f aca="false">IF(OR(G203="",G203=0),"",(G203-C203)/G203)</f>
        <v/>
      </c>
      <c r="K203" s="18" t="str">
        <f aca="false">IF(OR(G203="",D203=0),"",G203/D203-1)</f>
        <v/>
      </c>
    </row>
    <row r="204" customFormat="false" ht="15" hidden="false" customHeight="false" outlineLevel="0" collapsed="false">
      <c r="A204" s="12"/>
      <c r="B204" s="13"/>
      <c r="C204" s="14"/>
      <c r="D204" s="14"/>
      <c r="E204" s="15"/>
      <c r="F204" s="16" t="str">
        <f aca="false">IF(OR(A204="",D204=""),"",IF(E204&lt;&gt;"",E204,IF(IFERROR(INDEX('Kategori Zamları'!$B$5:$B$24,MATCH(B204,'Kategori Zamları'!$A$5:$A$24,0)),"")="",Özet!$C$3,INDEX('Kategori Zamları'!$B$5:$B$24,MATCH(B204,'Kategori Zamları'!$A$5:$A$24,0)))))</f>
        <v/>
      </c>
      <c r="G204" s="17" t="str">
        <f aca="false">IF(F204="","",ROUNDUP(ROUND(D204*(1+F204)/Özet!$C$4,6),0)*Özet!$C$4-Özet!$C$5)</f>
        <v/>
      </c>
      <c r="H204" s="17" t="str">
        <f aca="false">IF(G204="","",G204-D204)</f>
        <v/>
      </c>
      <c r="I204" s="16" t="str">
        <f aca="false">IF(OR(G204="",D204=0),"",(D204-C204)/D204)</f>
        <v/>
      </c>
      <c r="J204" s="16" t="str">
        <f aca="false">IF(OR(G204="",G204=0),"",(G204-C204)/G204)</f>
        <v/>
      </c>
      <c r="K204" s="18" t="str">
        <f aca="false">IF(OR(G204="",D204=0),"",G204/D204-1)</f>
        <v/>
      </c>
    </row>
    <row r="205" customFormat="false" ht="15" hidden="false" customHeight="false" outlineLevel="0" collapsed="false">
      <c r="A205" s="12"/>
      <c r="B205" s="13"/>
      <c r="C205" s="14"/>
      <c r="D205" s="14"/>
      <c r="E205" s="15"/>
      <c r="F205" s="16" t="str">
        <f aca="false">IF(OR(A205="",D205=""),"",IF(E205&lt;&gt;"",E205,IF(IFERROR(INDEX('Kategori Zamları'!$B$5:$B$24,MATCH(B205,'Kategori Zamları'!$A$5:$A$24,0)),"")="",Özet!$C$3,INDEX('Kategori Zamları'!$B$5:$B$24,MATCH(B205,'Kategori Zamları'!$A$5:$A$24,0)))))</f>
        <v/>
      </c>
      <c r="G205" s="17" t="str">
        <f aca="false">IF(F205="","",ROUNDUP(ROUND(D205*(1+F205)/Özet!$C$4,6),0)*Özet!$C$4-Özet!$C$5)</f>
        <v/>
      </c>
      <c r="H205" s="17" t="str">
        <f aca="false">IF(G205="","",G205-D205)</f>
        <v/>
      </c>
      <c r="I205" s="16" t="str">
        <f aca="false">IF(OR(G205="",D205=0),"",(D205-C205)/D205)</f>
        <v/>
      </c>
      <c r="J205" s="16" t="str">
        <f aca="false">IF(OR(G205="",G205=0),"",(G205-C205)/G205)</f>
        <v/>
      </c>
      <c r="K205" s="18" t="str">
        <f aca="false">IF(OR(G205="",D205=0),"",G205/D205-1)</f>
        <v/>
      </c>
    </row>
    <row r="206" customFormat="false" ht="15" hidden="false" customHeight="false" outlineLevel="0" collapsed="false">
      <c r="A206" s="12"/>
      <c r="B206" s="13"/>
      <c r="C206" s="14"/>
      <c r="D206" s="14"/>
      <c r="E206" s="15"/>
      <c r="F206" s="16" t="str">
        <f aca="false">IF(OR(A206="",D206=""),"",IF(E206&lt;&gt;"",E206,IF(IFERROR(INDEX('Kategori Zamları'!$B$5:$B$24,MATCH(B206,'Kategori Zamları'!$A$5:$A$24,0)),"")="",Özet!$C$3,INDEX('Kategori Zamları'!$B$5:$B$24,MATCH(B206,'Kategori Zamları'!$A$5:$A$24,0)))))</f>
        <v/>
      </c>
      <c r="G206" s="17" t="str">
        <f aca="false">IF(F206="","",ROUNDUP(ROUND(D206*(1+F206)/Özet!$C$4,6),0)*Özet!$C$4-Özet!$C$5)</f>
        <v/>
      </c>
      <c r="H206" s="17" t="str">
        <f aca="false">IF(G206="","",G206-D206)</f>
        <v/>
      </c>
      <c r="I206" s="16" t="str">
        <f aca="false">IF(OR(G206="",D206=0),"",(D206-C206)/D206)</f>
        <v/>
      </c>
      <c r="J206" s="16" t="str">
        <f aca="false">IF(OR(G206="",G206=0),"",(G206-C206)/G206)</f>
        <v/>
      </c>
      <c r="K206" s="18" t="str">
        <f aca="false">IF(OR(G206="",D206=0),"",G206/D206-1)</f>
        <v/>
      </c>
    </row>
    <row r="207" customFormat="false" ht="15" hidden="false" customHeight="false" outlineLevel="0" collapsed="false">
      <c r="A207" s="12"/>
      <c r="B207" s="13"/>
      <c r="C207" s="14"/>
      <c r="D207" s="14"/>
      <c r="E207" s="15"/>
      <c r="F207" s="16" t="str">
        <f aca="false">IF(OR(A207="",D207=""),"",IF(E207&lt;&gt;"",E207,IF(IFERROR(INDEX('Kategori Zamları'!$B$5:$B$24,MATCH(B207,'Kategori Zamları'!$A$5:$A$24,0)),"")="",Özet!$C$3,INDEX('Kategori Zamları'!$B$5:$B$24,MATCH(B207,'Kategori Zamları'!$A$5:$A$24,0)))))</f>
        <v/>
      </c>
      <c r="G207" s="17" t="str">
        <f aca="false">IF(F207="","",ROUNDUP(ROUND(D207*(1+F207)/Özet!$C$4,6),0)*Özet!$C$4-Özet!$C$5)</f>
        <v/>
      </c>
      <c r="H207" s="17" t="str">
        <f aca="false">IF(G207="","",G207-D207)</f>
        <v/>
      </c>
      <c r="I207" s="16" t="str">
        <f aca="false">IF(OR(G207="",D207=0),"",(D207-C207)/D207)</f>
        <v/>
      </c>
      <c r="J207" s="16" t="str">
        <f aca="false">IF(OR(G207="",G207=0),"",(G207-C207)/G207)</f>
        <v/>
      </c>
      <c r="K207" s="18" t="str">
        <f aca="false">IF(OR(G207="",D207=0),"",G207/D207-1)</f>
        <v/>
      </c>
    </row>
    <row r="208" customFormat="false" ht="15" hidden="false" customHeight="false" outlineLevel="0" collapsed="false">
      <c r="A208" s="12"/>
      <c r="B208" s="13"/>
      <c r="C208" s="14"/>
      <c r="D208" s="14"/>
      <c r="E208" s="15"/>
      <c r="F208" s="16" t="str">
        <f aca="false">IF(OR(A208="",D208=""),"",IF(E208&lt;&gt;"",E208,IF(IFERROR(INDEX('Kategori Zamları'!$B$5:$B$24,MATCH(B208,'Kategori Zamları'!$A$5:$A$24,0)),"")="",Özet!$C$3,INDEX('Kategori Zamları'!$B$5:$B$24,MATCH(B208,'Kategori Zamları'!$A$5:$A$24,0)))))</f>
        <v/>
      </c>
      <c r="G208" s="17" t="str">
        <f aca="false">IF(F208="","",ROUNDUP(ROUND(D208*(1+F208)/Özet!$C$4,6),0)*Özet!$C$4-Özet!$C$5)</f>
        <v/>
      </c>
      <c r="H208" s="17" t="str">
        <f aca="false">IF(G208="","",G208-D208)</f>
        <v/>
      </c>
      <c r="I208" s="16" t="str">
        <f aca="false">IF(OR(G208="",D208=0),"",(D208-C208)/D208)</f>
        <v/>
      </c>
      <c r="J208" s="16" t="str">
        <f aca="false">IF(OR(G208="",G208=0),"",(G208-C208)/G208)</f>
        <v/>
      </c>
      <c r="K208" s="18" t="str">
        <f aca="false">IF(OR(G208="",D208=0),"",G208/D208-1)</f>
        <v/>
      </c>
    </row>
    <row r="209" customFormat="false" ht="15" hidden="false" customHeight="false" outlineLevel="0" collapsed="false">
      <c r="A209" s="12"/>
      <c r="B209" s="13"/>
      <c r="C209" s="14"/>
      <c r="D209" s="14"/>
      <c r="E209" s="15"/>
      <c r="F209" s="16" t="str">
        <f aca="false">IF(OR(A209="",D209=""),"",IF(E209&lt;&gt;"",E209,IF(IFERROR(INDEX('Kategori Zamları'!$B$5:$B$24,MATCH(B209,'Kategori Zamları'!$A$5:$A$24,0)),"")="",Özet!$C$3,INDEX('Kategori Zamları'!$B$5:$B$24,MATCH(B209,'Kategori Zamları'!$A$5:$A$24,0)))))</f>
        <v/>
      </c>
      <c r="G209" s="17" t="str">
        <f aca="false">IF(F209="","",ROUNDUP(ROUND(D209*(1+F209)/Özet!$C$4,6),0)*Özet!$C$4-Özet!$C$5)</f>
        <v/>
      </c>
      <c r="H209" s="17" t="str">
        <f aca="false">IF(G209="","",G209-D209)</f>
        <v/>
      </c>
      <c r="I209" s="16" t="str">
        <f aca="false">IF(OR(G209="",D209=0),"",(D209-C209)/D209)</f>
        <v/>
      </c>
      <c r="J209" s="16" t="str">
        <f aca="false">IF(OR(G209="",G209=0),"",(G209-C209)/G209)</f>
        <v/>
      </c>
      <c r="K209" s="18" t="str">
        <f aca="false">IF(OR(G209="",D209=0),"",G209/D209-1)</f>
        <v/>
      </c>
    </row>
    <row r="210" customFormat="false" ht="15" hidden="false" customHeight="false" outlineLevel="0" collapsed="false">
      <c r="A210" s="12"/>
      <c r="B210" s="13"/>
      <c r="C210" s="14"/>
      <c r="D210" s="14"/>
      <c r="E210" s="15"/>
      <c r="F210" s="16" t="str">
        <f aca="false">IF(OR(A210="",D210=""),"",IF(E210&lt;&gt;"",E210,IF(IFERROR(INDEX('Kategori Zamları'!$B$5:$B$24,MATCH(B210,'Kategori Zamları'!$A$5:$A$24,0)),"")="",Özet!$C$3,INDEX('Kategori Zamları'!$B$5:$B$24,MATCH(B210,'Kategori Zamları'!$A$5:$A$24,0)))))</f>
        <v/>
      </c>
      <c r="G210" s="17" t="str">
        <f aca="false">IF(F210="","",ROUNDUP(ROUND(D210*(1+F210)/Özet!$C$4,6),0)*Özet!$C$4-Özet!$C$5)</f>
        <v/>
      </c>
      <c r="H210" s="17" t="str">
        <f aca="false">IF(G210="","",G210-D210)</f>
        <v/>
      </c>
      <c r="I210" s="16" t="str">
        <f aca="false">IF(OR(G210="",D210=0),"",(D210-C210)/D210)</f>
        <v/>
      </c>
      <c r="J210" s="16" t="str">
        <f aca="false">IF(OR(G210="",G210=0),"",(G210-C210)/G210)</f>
        <v/>
      </c>
      <c r="K210" s="18" t="str">
        <f aca="false">IF(OR(G210="",D210=0),"",G210/D210-1)</f>
        <v/>
      </c>
    </row>
    <row r="211" customFormat="false" ht="15" hidden="false" customHeight="false" outlineLevel="0" collapsed="false">
      <c r="A211" s="12"/>
      <c r="B211" s="13"/>
      <c r="C211" s="14"/>
      <c r="D211" s="14"/>
      <c r="E211" s="15"/>
      <c r="F211" s="16" t="str">
        <f aca="false">IF(OR(A211="",D211=""),"",IF(E211&lt;&gt;"",E211,IF(IFERROR(INDEX('Kategori Zamları'!$B$5:$B$24,MATCH(B211,'Kategori Zamları'!$A$5:$A$24,0)),"")="",Özet!$C$3,INDEX('Kategori Zamları'!$B$5:$B$24,MATCH(B211,'Kategori Zamları'!$A$5:$A$24,0)))))</f>
        <v/>
      </c>
      <c r="G211" s="17" t="str">
        <f aca="false">IF(F211="","",ROUNDUP(ROUND(D211*(1+F211)/Özet!$C$4,6),0)*Özet!$C$4-Özet!$C$5)</f>
        <v/>
      </c>
      <c r="H211" s="17" t="str">
        <f aca="false">IF(G211="","",G211-D211)</f>
        <v/>
      </c>
      <c r="I211" s="16" t="str">
        <f aca="false">IF(OR(G211="",D211=0),"",(D211-C211)/D211)</f>
        <v/>
      </c>
      <c r="J211" s="16" t="str">
        <f aca="false">IF(OR(G211="",G211=0),"",(G211-C211)/G211)</f>
        <v/>
      </c>
      <c r="K211" s="18" t="str">
        <f aca="false">IF(OR(G211="",D211=0),"",G211/D211-1)</f>
        <v/>
      </c>
    </row>
    <row r="212" customFormat="false" ht="15" hidden="false" customHeight="false" outlineLevel="0" collapsed="false">
      <c r="A212" s="12"/>
      <c r="B212" s="13"/>
      <c r="C212" s="14"/>
      <c r="D212" s="14"/>
      <c r="E212" s="15"/>
      <c r="F212" s="16" t="str">
        <f aca="false">IF(OR(A212="",D212=""),"",IF(E212&lt;&gt;"",E212,IF(IFERROR(INDEX('Kategori Zamları'!$B$5:$B$24,MATCH(B212,'Kategori Zamları'!$A$5:$A$24,0)),"")="",Özet!$C$3,INDEX('Kategori Zamları'!$B$5:$B$24,MATCH(B212,'Kategori Zamları'!$A$5:$A$24,0)))))</f>
        <v/>
      </c>
      <c r="G212" s="17" t="str">
        <f aca="false">IF(F212="","",ROUNDUP(ROUND(D212*(1+F212)/Özet!$C$4,6),0)*Özet!$C$4-Özet!$C$5)</f>
        <v/>
      </c>
      <c r="H212" s="17" t="str">
        <f aca="false">IF(G212="","",G212-D212)</f>
        <v/>
      </c>
      <c r="I212" s="16" t="str">
        <f aca="false">IF(OR(G212="",D212=0),"",(D212-C212)/D212)</f>
        <v/>
      </c>
      <c r="J212" s="16" t="str">
        <f aca="false">IF(OR(G212="",G212=0),"",(G212-C212)/G212)</f>
        <v/>
      </c>
      <c r="K212" s="18" t="str">
        <f aca="false">IF(OR(G212="",D212=0),"",G212/D212-1)</f>
        <v/>
      </c>
    </row>
    <row r="213" customFormat="false" ht="15" hidden="false" customHeight="false" outlineLevel="0" collapsed="false">
      <c r="A213" s="12"/>
      <c r="B213" s="13"/>
      <c r="C213" s="14"/>
      <c r="D213" s="14"/>
      <c r="E213" s="15"/>
      <c r="F213" s="16" t="str">
        <f aca="false">IF(OR(A213="",D213=""),"",IF(E213&lt;&gt;"",E213,IF(IFERROR(INDEX('Kategori Zamları'!$B$5:$B$24,MATCH(B213,'Kategori Zamları'!$A$5:$A$24,0)),"")="",Özet!$C$3,INDEX('Kategori Zamları'!$B$5:$B$24,MATCH(B213,'Kategori Zamları'!$A$5:$A$24,0)))))</f>
        <v/>
      </c>
      <c r="G213" s="17" t="str">
        <f aca="false">IF(F213="","",ROUNDUP(ROUND(D213*(1+F213)/Özet!$C$4,6),0)*Özet!$C$4-Özet!$C$5)</f>
        <v/>
      </c>
      <c r="H213" s="17" t="str">
        <f aca="false">IF(G213="","",G213-D213)</f>
        <v/>
      </c>
      <c r="I213" s="16" t="str">
        <f aca="false">IF(OR(G213="",D213=0),"",(D213-C213)/D213)</f>
        <v/>
      </c>
      <c r="J213" s="16" t="str">
        <f aca="false">IF(OR(G213="",G213=0),"",(G213-C213)/G213)</f>
        <v/>
      </c>
      <c r="K213" s="18" t="str">
        <f aca="false">IF(OR(G213="",D213=0),"",G213/D213-1)</f>
        <v/>
      </c>
    </row>
    <row r="214" customFormat="false" ht="15" hidden="false" customHeight="false" outlineLevel="0" collapsed="false">
      <c r="A214" s="12"/>
      <c r="B214" s="13"/>
      <c r="C214" s="14"/>
      <c r="D214" s="14"/>
      <c r="E214" s="15"/>
      <c r="F214" s="16" t="str">
        <f aca="false">IF(OR(A214="",D214=""),"",IF(E214&lt;&gt;"",E214,IF(IFERROR(INDEX('Kategori Zamları'!$B$5:$B$24,MATCH(B214,'Kategori Zamları'!$A$5:$A$24,0)),"")="",Özet!$C$3,INDEX('Kategori Zamları'!$B$5:$B$24,MATCH(B214,'Kategori Zamları'!$A$5:$A$24,0)))))</f>
        <v/>
      </c>
      <c r="G214" s="17" t="str">
        <f aca="false">IF(F214="","",ROUNDUP(ROUND(D214*(1+F214)/Özet!$C$4,6),0)*Özet!$C$4-Özet!$C$5)</f>
        <v/>
      </c>
      <c r="H214" s="17" t="str">
        <f aca="false">IF(G214="","",G214-D214)</f>
        <v/>
      </c>
      <c r="I214" s="16" t="str">
        <f aca="false">IF(OR(G214="",D214=0),"",(D214-C214)/D214)</f>
        <v/>
      </c>
      <c r="J214" s="16" t="str">
        <f aca="false">IF(OR(G214="",G214=0),"",(G214-C214)/G214)</f>
        <v/>
      </c>
      <c r="K214" s="18" t="str">
        <f aca="false">IF(OR(G214="",D214=0),"",G214/D214-1)</f>
        <v/>
      </c>
    </row>
    <row r="215" customFormat="false" ht="15" hidden="false" customHeight="false" outlineLevel="0" collapsed="false">
      <c r="A215" s="12"/>
      <c r="B215" s="13"/>
      <c r="C215" s="14"/>
      <c r="D215" s="14"/>
      <c r="E215" s="15"/>
      <c r="F215" s="16" t="str">
        <f aca="false">IF(OR(A215="",D215=""),"",IF(E215&lt;&gt;"",E215,IF(IFERROR(INDEX('Kategori Zamları'!$B$5:$B$24,MATCH(B215,'Kategori Zamları'!$A$5:$A$24,0)),"")="",Özet!$C$3,INDEX('Kategori Zamları'!$B$5:$B$24,MATCH(B215,'Kategori Zamları'!$A$5:$A$24,0)))))</f>
        <v/>
      </c>
      <c r="G215" s="17" t="str">
        <f aca="false">IF(F215="","",ROUNDUP(ROUND(D215*(1+F215)/Özet!$C$4,6),0)*Özet!$C$4-Özet!$C$5)</f>
        <v/>
      </c>
      <c r="H215" s="17" t="str">
        <f aca="false">IF(G215="","",G215-D215)</f>
        <v/>
      </c>
      <c r="I215" s="16" t="str">
        <f aca="false">IF(OR(G215="",D215=0),"",(D215-C215)/D215)</f>
        <v/>
      </c>
      <c r="J215" s="16" t="str">
        <f aca="false">IF(OR(G215="",G215=0),"",(G215-C215)/G215)</f>
        <v/>
      </c>
      <c r="K215" s="18" t="str">
        <f aca="false">IF(OR(G215="",D215=0),"",G215/D215-1)</f>
        <v/>
      </c>
    </row>
    <row r="216" customFormat="false" ht="15" hidden="false" customHeight="false" outlineLevel="0" collapsed="false">
      <c r="A216" s="12"/>
      <c r="B216" s="13"/>
      <c r="C216" s="14"/>
      <c r="D216" s="14"/>
      <c r="E216" s="15"/>
      <c r="F216" s="16" t="str">
        <f aca="false">IF(OR(A216="",D216=""),"",IF(E216&lt;&gt;"",E216,IF(IFERROR(INDEX('Kategori Zamları'!$B$5:$B$24,MATCH(B216,'Kategori Zamları'!$A$5:$A$24,0)),"")="",Özet!$C$3,INDEX('Kategori Zamları'!$B$5:$B$24,MATCH(B216,'Kategori Zamları'!$A$5:$A$24,0)))))</f>
        <v/>
      </c>
      <c r="G216" s="17" t="str">
        <f aca="false">IF(F216="","",ROUNDUP(ROUND(D216*(1+F216)/Özet!$C$4,6),0)*Özet!$C$4-Özet!$C$5)</f>
        <v/>
      </c>
      <c r="H216" s="17" t="str">
        <f aca="false">IF(G216="","",G216-D216)</f>
        <v/>
      </c>
      <c r="I216" s="16" t="str">
        <f aca="false">IF(OR(G216="",D216=0),"",(D216-C216)/D216)</f>
        <v/>
      </c>
      <c r="J216" s="16" t="str">
        <f aca="false">IF(OR(G216="",G216=0),"",(G216-C216)/G216)</f>
        <v/>
      </c>
      <c r="K216" s="18" t="str">
        <f aca="false">IF(OR(G216="",D216=0),"",G216/D216-1)</f>
        <v/>
      </c>
    </row>
    <row r="217" customFormat="false" ht="15" hidden="false" customHeight="false" outlineLevel="0" collapsed="false">
      <c r="A217" s="12"/>
      <c r="B217" s="13"/>
      <c r="C217" s="14"/>
      <c r="D217" s="14"/>
      <c r="E217" s="15"/>
      <c r="F217" s="16" t="str">
        <f aca="false">IF(OR(A217="",D217=""),"",IF(E217&lt;&gt;"",E217,IF(IFERROR(INDEX('Kategori Zamları'!$B$5:$B$24,MATCH(B217,'Kategori Zamları'!$A$5:$A$24,0)),"")="",Özet!$C$3,INDEX('Kategori Zamları'!$B$5:$B$24,MATCH(B217,'Kategori Zamları'!$A$5:$A$24,0)))))</f>
        <v/>
      </c>
      <c r="G217" s="17" t="str">
        <f aca="false">IF(F217="","",ROUNDUP(ROUND(D217*(1+F217)/Özet!$C$4,6),0)*Özet!$C$4-Özet!$C$5)</f>
        <v/>
      </c>
      <c r="H217" s="17" t="str">
        <f aca="false">IF(G217="","",G217-D217)</f>
        <v/>
      </c>
      <c r="I217" s="16" t="str">
        <f aca="false">IF(OR(G217="",D217=0),"",(D217-C217)/D217)</f>
        <v/>
      </c>
      <c r="J217" s="16" t="str">
        <f aca="false">IF(OR(G217="",G217=0),"",(G217-C217)/G217)</f>
        <v/>
      </c>
      <c r="K217" s="18" t="str">
        <f aca="false">IF(OR(G217="",D217=0),"",G217/D217-1)</f>
        <v/>
      </c>
    </row>
    <row r="218" customFormat="false" ht="15" hidden="false" customHeight="false" outlineLevel="0" collapsed="false">
      <c r="A218" s="12"/>
      <c r="B218" s="13"/>
      <c r="C218" s="14"/>
      <c r="D218" s="14"/>
      <c r="E218" s="15"/>
      <c r="F218" s="16" t="str">
        <f aca="false">IF(OR(A218="",D218=""),"",IF(E218&lt;&gt;"",E218,IF(IFERROR(INDEX('Kategori Zamları'!$B$5:$B$24,MATCH(B218,'Kategori Zamları'!$A$5:$A$24,0)),"")="",Özet!$C$3,INDEX('Kategori Zamları'!$B$5:$B$24,MATCH(B218,'Kategori Zamları'!$A$5:$A$24,0)))))</f>
        <v/>
      </c>
      <c r="G218" s="17" t="str">
        <f aca="false">IF(F218="","",ROUNDUP(ROUND(D218*(1+F218)/Özet!$C$4,6),0)*Özet!$C$4-Özet!$C$5)</f>
        <v/>
      </c>
      <c r="H218" s="17" t="str">
        <f aca="false">IF(G218="","",G218-D218)</f>
        <v/>
      </c>
      <c r="I218" s="16" t="str">
        <f aca="false">IF(OR(G218="",D218=0),"",(D218-C218)/D218)</f>
        <v/>
      </c>
      <c r="J218" s="16" t="str">
        <f aca="false">IF(OR(G218="",G218=0),"",(G218-C218)/G218)</f>
        <v/>
      </c>
      <c r="K218" s="18" t="str">
        <f aca="false">IF(OR(G218="",D218=0),"",G218/D218-1)</f>
        <v/>
      </c>
    </row>
    <row r="219" customFormat="false" ht="15" hidden="false" customHeight="false" outlineLevel="0" collapsed="false">
      <c r="A219" s="12"/>
      <c r="B219" s="13"/>
      <c r="C219" s="14"/>
      <c r="D219" s="14"/>
      <c r="E219" s="15"/>
      <c r="F219" s="16" t="str">
        <f aca="false">IF(OR(A219="",D219=""),"",IF(E219&lt;&gt;"",E219,IF(IFERROR(INDEX('Kategori Zamları'!$B$5:$B$24,MATCH(B219,'Kategori Zamları'!$A$5:$A$24,0)),"")="",Özet!$C$3,INDEX('Kategori Zamları'!$B$5:$B$24,MATCH(B219,'Kategori Zamları'!$A$5:$A$24,0)))))</f>
        <v/>
      </c>
      <c r="G219" s="17" t="str">
        <f aca="false">IF(F219="","",ROUNDUP(ROUND(D219*(1+F219)/Özet!$C$4,6),0)*Özet!$C$4-Özet!$C$5)</f>
        <v/>
      </c>
      <c r="H219" s="17" t="str">
        <f aca="false">IF(G219="","",G219-D219)</f>
        <v/>
      </c>
      <c r="I219" s="16" t="str">
        <f aca="false">IF(OR(G219="",D219=0),"",(D219-C219)/D219)</f>
        <v/>
      </c>
      <c r="J219" s="16" t="str">
        <f aca="false">IF(OR(G219="",G219=0),"",(G219-C219)/G219)</f>
        <v/>
      </c>
      <c r="K219" s="18" t="str">
        <f aca="false">IF(OR(G219="",D219=0),"",G219/D219-1)</f>
        <v/>
      </c>
    </row>
    <row r="220" customFormat="false" ht="15" hidden="false" customHeight="false" outlineLevel="0" collapsed="false">
      <c r="A220" s="12"/>
      <c r="B220" s="13"/>
      <c r="C220" s="14"/>
      <c r="D220" s="14"/>
      <c r="E220" s="15"/>
      <c r="F220" s="16" t="str">
        <f aca="false">IF(OR(A220="",D220=""),"",IF(E220&lt;&gt;"",E220,IF(IFERROR(INDEX('Kategori Zamları'!$B$5:$B$24,MATCH(B220,'Kategori Zamları'!$A$5:$A$24,0)),"")="",Özet!$C$3,INDEX('Kategori Zamları'!$B$5:$B$24,MATCH(B220,'Kategori Zamları'!$A$5:$A$24,0)))))</f>
        <v/>
      </c>
      <c r="G220" s="17" t="str">
        <f aca="false">IF(F220="","",ROUNDUP(ROUND(D220*(1+F220)/Özet!$C$4,6),0)*Özet!$C$4-Özet!$C$5)</f>
        <v/>
      </c>
      <c r="H220" s="17" t="str">
        <f aca="false">IF(G220="","",G220-D220)</f>
        <v/>
      </c>
      <c r="I220" s="16" t="str">
        <f aca="false">IF(OR(G220="",D220=0),"",(D220-C220)/D220)</f>
        <v/>
      </c>
      <c r="J220" s="16" t="str">
        <f aca="false">IF(OR(G220="",G220=0),"",(G220-C220)/G220)</f>
        <v/>
      </c>
      <c r="K220" s="18" t="str">
        <f aca="false">IF(OR(G220="",D220=0),"",G220/D220-1)</f>
        <v/>
      </c>
    </row>
    <row r="221" customFormat="false" ht="15" hidden="false" customHeight="false" outlineLevel="0" collapsed="false">
      <c r="A221" s="12"/>
      <c r="B221" s="13"/>
      <c r="C221" s="14"/>
      <c r="D221" s="14"/>
      <c r="E221" s="15"/>
      <c r="F221" s="16" t="str">
        <f aca="false">IF(OR(A221="",D221=""),"",IF(E221&lt;&gt;"",E221,IF(IFERROR(INDEX('Kategori Zamları'!$B$5:$B$24,MATCH(B221,'Kategori Zamları'!$A$5:$A$24,0)),"")="",Özet!$C$3,INDEX('Kategori Zamları'!$B$5:$B$24,MATCH(B221,'Kategori Zamları'!$A$5:$A$24,0)))))</f>
        <v/>
      </c>
      <c r="G221" s="17" t="str">
        <f aca="false">IF(F221="","",ROUNDUP(ROUND(D221*(1+F221)/Özet!$C$4,6),0)*Özet!$C$4-Özet!$C$5)</f>
        <v/>
      </c>
      <c r="H221" s="17" t="str">
        <f aca="false">IF(G221="","",G221-D221)</f>
        <v/>
      </c>
      <c r="I221" s="16" t="str">
        <f aca="false">IF(OR(G221="",D221=0),"",(D221-C221)/D221)</f>
        <v/>
      </c>
      <c r="J221" s="16" t="str">
        <f aca="false">IF(OR(G221="",G221=0),"",(G221-C221)/G221)</f>
        <v/>
      </c>
      <c r="K221" s="18" t="str">
        <f aca="false">IF(OR(G221="",D221=0),"",G221/D221-1)</f>
        <v/>
      </c>
    </row>
    <row r="222" customFormat="false" ht="15" hidden="false" customHeight="false" outlineLevel="0" collapsed="false">
      <c r="A222" s="12"/>
      <c r="B222" s="13"/>
      <c r="C222" s="14"/>
      <c r="D222" s="14"/>
      <c r="E222" s="15"/>
      <c r="F222" s="16" t="str">
        <f aca="false">IF(OR(A222="",D222=""),"",IF(E222&lt;&gt;"",E222,IF(IFERROR(INDEX('Kategori Zamları'!$B$5:$B$24,MATCH(B222,'Kategori Zamları'!$A$5:$A$24,0)),"")="",Özet!$C$3,INDEX('Kategori Zamları'!$B$5:$B$24,MATCH(B222,'Kategori Zamları'!$A$5:$A$24,0)))))</f>
        <v/>
      </c>
      <c r="G222" s="17" t="str">
        <f aca="false">IF(F222="","",ROUNDUP(ROUND(D222*(1+F222)/Özet!$C$4,6),0)*Özet!$C$4-Özet!$C$5)</f>
        <v/>
      </c>
      <c r="H222" s="17" t="str">
        <f aca="false">IF(G222="","",G222-D222)</f>
        <v/>
      </c>
      <c r="I222" s="16" t="str">
        <f aca="false">IF(OR(G222="",D222=0),"",(D222-C222)/D222)</f>
        <v/>
      </c>
      <c r="J222" s="16" t="str">
        <f aca="false">IF(OR(G222="",G222=0),"",(G222-C222)/G222)</f>
        <v/>
      </c>
      <c r="K222" s="18" t="str">
        <f aca="false">IF(OR(G222="",D222=0),"",G222/D222-1)</f>
        <v/>
      </c>
    </row>
    <row r="223" customFormat="false" ht="15" hidden="false" customHeight="false" outlineLevel="0" collapsed="false">
      <c r="A223" s="12"/>
      <c r="B223" s="13"/>
      <c r="C223" s="14"/>
      <c r="D223" s="14"/>
      <c r="E223" s="15"/>
      <c r="F223" s="16" t="str">
        <f aca="false">IF(OR(A223="",D223=""),"",IF(E223&lt;&gt;"",E223,IF(IFERROR(INDEX('Kategori Zamları'!$B$5:$B$24,MATCH(B223,'Kategori Zamları'!$A$5:$A$24,0)),"")="",Özet!$C$3,INDEX('Kategori Zamları'!$B$5:$B$24,MATCH(B223,'Kategori Zamları'!$A$5:$A$24,0)))))</f>
        <v/>
      </c>
      <c r="G223" s="17" t="str">
        <f aca="false">IF(F223="","",ROUNDUP(ROUND(D223*(1+F223)/Özet!$C$4,6),0)*Özet!$C$4-Özet!$C$5)</f>
        <v/>
      </c>
      <c r="H223" s="17" t="str">
        <f aca="false">IF(G223="","",G223-D223)</f>
        <v/>
      </c>
      <c r="I223" s="16" t="str">
        <f aca="false">IF(OR(G223="",D223=0),"",(D223-C223)/D223)</f>
        <v/>
      </c>
      <c r="J223" s="16" t="str">
        <f aca="false">IF(OR(G223="",G223=0),"",(G223-C223)/G223)</f>
        <v/>
      </c>
      <c r="K223" s="18" t="str">
        <f aca="false">IF(OR(G223="",D223=0),"",G223/D223-1)</f>
        <v/>
      </c>
    </row>
    <row r="224" customFormat="false" ht="15" hidden="false" customHeight="false" outlineLevel="0" collapsed="false">
      <c r="A224" s="12"/>
      <c r="B224" s="13"/>
      <c r="C224" s="14"/>
      <c r="D224" s="14"/>
      <c r="E224" s="15"/>
      <c r="F224" s="16" t="str">
        <f aca="false">IF(OR(A224="",D224=""),"",IF(E224&lt;&gt;"",E224,IF(IFERROR(INDEX('Kategori Zamları'!$B$5:$B$24,MATCH(B224,'Kategori Zamları'!$A$5:$A$24,0)),"")="",Özet!$C$3,INDEX('Kategori Zamları'!$B$5:$B$24,MATCH(B224,'Kategori Zamları'!$A$5:$A$24,0)))))</f>
        <v/>
      </c>
      <c r="G224" s="17" t="str">
        <f aca="false">IF(F224="","",ROUNDUP(ROUND(D224*(1+F224)/Özet!$C$4,6),0)*Özet!$C$4-Özet!$C$5)</f>
        <v/>
      </c>
      <c r="H224" s="17" t="str">
        <f aca="false">IF(G224="","",G224-D224)</f>
        <v/>
      </c>
      <c r="I224" s="16" t="str">
        <f aca="false">IF(OR(G224="",D224=0),"",(D224-C224)/D224)</f>
        <v/>
      </c>
      <c r="J224" s="16" t="str">
        <f aca="false">IF(OR(G224="",G224=0),"",(G224-C224)/G224)</f>
        <v/>
      </c>
      <c r="K224" s="18" t="str">
        <f aca="false">IF(OR(G224="",D224=0),"",G224/D224-1)</f>
        <v/>
      </c>
    </row>
    <row r="225" customFormat="false" ht="15" hidden="false" customHeight="false" outlineLevel="0" collapsed="false">
      <c r="A225" s="12"/>
      <c r="B225" s="13"/>
      <c r="C225" s="14"/>
      <c r="D225" s="14"/>
      <c r="E225" s="15"/>
      <c r="F225" s="16" t="str">
        <f aca="false">IF(OR(A225="",D225=""),"",IF(E225&lt;&gt;"",E225,IF(IFERROR(INDEX('Kategori Zamları'!$B$5:$B$24,MATCH(B225,'Kategori Zamları'!$A$5:$A$24,0)),"")="",Özet!$C$3,INDEX('Kategori Zamları'!$B$5:$B$24,MATCH(B225,'Kategori Zamları'!$A$5:$A$24,0)))))</f>
        <v/>
      </c>
      <c r="G225" s="17" t="str">
        <f aca="false">IF(F225="","",ROUNDUP(ROUND(D225*(1+F225)/Özet!$C$4,6),0)*Özet!$C$4-Özet!$C$5)</f>
        <v/>
      </c>
      <c r="H225" s="17" t="str">
        <f aca="false">IF(G225="","",G225-D225)</f>
        <v/>
      </c>
      <c r="I225" s="16" t="str">
        <f aca="false">IF(OR(G225="",D225=0),"",(D225-C225)/D225)</f>
        <v/>
      </c>
      <c r="J225" s="16" t="str">
        <f aca="false">IF(OR(G225="",G225=0),"",(G225-C225)/G225)</f>
        <v/>
      </c>
      <c r="K225" s="18" t="str">
        <f aca="false">IF(OR(G225="",D225=0),"",G225/D225-1)</f>
        <v/>
      </c>
    </row>
    <row r="226" customFormat="false" ht="15" hidden="false" customHeight="false" outlineLevel="0" collapsed="false">
      <c r="A226" s="12"/>
      <c r="B226" s="13"/>
      <c r="C226" s="14"/>
      <c r="D226" s="14"/>
      <c r="E226" s="15"/>
      <c r="F226" s="16" t="str">
        <f aca="false">IF(OR(A226="",D226=""),"",IF(E226&lt;&gt;"",E226,IF(IFERROR(INDEX('Kategori Zamları'!$B$5:$B$24,MATCH(B226,'Kategori Zamları'!$A$5:$A$24,0)),"")="",Özet!$C$3,INDEX('Kategori Zamları'!$B$5:$B$24,MATCH(B226,'Kategori Zamları'!$A$5:$A$24,0)))))</f>
        <v/>
      </c>
      <c r="G226" s="17" t="str">
        <f aca="false">IF(F226="","",ROUNDUP(ROUND(D226*(1+F226)/Özet!$C$4,6),0)*Özet!$C$4-Özet!$C$5)</f>
        <v/>
      </c>
      <c r="H226" s="17" t="str">
        <f aca="false">IF(G226="","",G226-D226)</f>
        <v/>
      </c>
      <c r="I226" s="16" t="str">
        <f aca="false">IF(OR(G226="",D226=0),"",(D226-C226)/D226)</f>
        <v/>
      </c>
      <c r="J226" s="16" t="str">
        <f aca="false">IF(OR(G226="",G226=0),"",(G226-C226)/G226)</f>
        <v/>
      </c>
      <c r="K226" s="18" t="str">
        <f aca="false">IF(OR(G226="",D226=0),"",G226/D226-1)</f>
        <v/>
      </c>
    </row>
    <row r="227" customFormat="false" ht="15" hidden="false" customHeight="false" outlineLevel="0" collapsed="false">
      <c r="A227" s="12"/>
      <c r="B227" s="13"/>
      <c r="C227" s="14"/>
      <c r="D227" s="14"/>
      <c r="E227" s="15"/>
      <c r="F227" s="16" t="str">
        <f aca="false">IF(OR(A227="",D227=""),"",IF(E227&lt;&gt;"",E227,IF(IFERROR(INDEX('Kategori Zamları'!$B$5:$B$24,MATCH(B227,'Kategori Zamları'!$A$5:$A$24,0)),"")="",Özet!$C$3,INDEX('Kategori Zamları'!$B$5:$B$24,MATCH(B227,'Kategori Zamları'!$A$5:$A$24,0)))))</f>
        <v/>
      </c>
      <c r="G227" s="17" t="str">
        <f aca="false">IF(F227="","",ROUNDUP(ROUND(D227*(1+F227)/Özet!$C$4,6),0)*Özet!$C$4-Özet!$C$5)</f>
        <v/>
      </c>
      <c r="H227" s="17" t="str">
        <f aca="false">IF(G227="","",G227-D227)</f>
        <v/>
      </c>
      <c r="I227" s="16" t="str">
        <f aca="false">IF(OR(G227="",D227=0),"",(D227-C227)/D227)</f>
        <v/>
      </c>
      <c r="J227" s="16" t="str">
        <f aca="false">IF(OR(G227="",G227=0),"",(G227-C227)/G227)</f>
        <v/>
      </c>
      <c r="K227" s="18" t="str">
        <f aca="false">IF(OR(G227="",D227=0),"",G227/D227-1)</f>
        <v/>
      </c>
    </row>
    <row r="228" customFormat="false" ht="15" hidden="false" customHeight="false" outlineLevel="0" collapsed="false">
      <c r="A228" s="12"/>
      <c r="B228" s="13"/>
      <c r="C228" s="14"/>
      <c r="D228" s="14"/>
      <c r="E228" s="15"/>
      <c r="F228" s="16" t="str">
        <f aca="false">IF(OR(A228="",D228=""),"",IF(E228&lt;&gt;"",E228,IF(IFERROR(INDEX('Kategori Zamları'!$B$5:$B$24,MATCH(B228,'Kategori Zamları'!$A$5:$A$24,0)),"")="",Özet!$C$3,INDEX('Kategori Zamları'!$B$5:$B$24,MATCH(B228,'Kategori Zamları'!$A$5:$A$24,0)))))</f>
        <v/>
      </c>
      <c r="G228" s="17" t="str">
        <f aca="false">IF(F228="","",ROUNDUP(ROUND(D228*(1+F228)/Özet!$C$4,6),0)*Özet!$C$4-Özet!$C$5)</f>
        <v/>
      </c>
      <c r="H228" s="17" t="str">
        <f aca="false">IF(G228="","",G228-D228)</f>
        <v/>
      </c>
      <c r="I228" s="16" t="str">
        <f aca="false">IF(OR(G228="",D228=0),"",(D228-C228)/D228)</f>
        <v/>
      </c>
      <c r="J228" s="16" t="str">
        <f aca="false">IF(OR(G228="",G228=0),"",(G228-C228)/G228)</f>
        <v/>
      </c>
      <c r="K228" s="18" t="str">
        <f aca="false">IF(OR(G228="",D228=0),"",G228/D228-1)</f>
        <v/>
      </c>
    </row>
    <row r="229" customFormat="false" ht="15" hidden="false" customHeight="false" outlineLevel="0" collapsed="false">
      <c r="A229" s="12"/>
      <c r="B229" s="13"/>
      <c r="C229" s="14"/>
      <c r="D229" s="14"/>
      <c r="E229" s="15"/>
      <c r="F229" s="16" t="str">
        <f aca="false">IF(OR(A229="",D229=""),"",IF(E229&lt;&gt;"",E229,IF(IFERROR(INDEX('Kategori Zamları'!$B$5:$B$24,MATCH(B229,'Kategori Zamları'!$A$5:$A$24,0)),"")="",Özet!$C$3,INDEX('Kategori Zamları'!$B$5:$B$24,MATCH(B229,'Kategori Zamları'!$A$5:$A$24,0)))))</f>
        <v/>
      </c>
      <c r="G229" s="17" t="str">
        <f aca="false">IF(F229="","",ROUNDUP(ROUND(D229*(1+F229)/Özet!$C$4,6),0)*Özet!$C$4-Özet!$C$5)</f>
        <v/>
      </c>
      <c r="H229" s="17" t="str">
        <f aca="false">IF(G229="","",G229-D229)</f>
        <v/>
      </c>
      <c r="I229" s="16" t="str">
        <f aca="false">IF(OR(G229="",D229=0),"",(D229-C229)/D229)</f>
        <v/>
      </c>
      <c r="J229" s="16" t="str">
        <f aca="false">IF(OR(G229="",G229=0),"",(G229-C229)/G229)</f>
        <v/>
      </c>
      <c r="K229" s="18" t="str">
        <f aca="false">IF(OR(G229="",D229=0),"",G229/D229-1)</f>
        <v/>
      </c>
    </row>
    <row r="230" customFormat="false" ht="15" hidden="false" customHeight="false" outlineLevel="0" collapsed="false">
      <c r="A230" s="12"/>
      <c r="B230" s="13"/>
      <c r="C230" s="14"/>
      <c r="D230" s="14"/>
      <c r="E230" s="15"/>
      <c r="F230" s="16" t="str">
        <f aca="false">IF(OR(A230="",D230=""),"",IF(E230&lt;&gt;"",E230,IF(IFERROR(INDEX('Kategori Zamları'!$B$5:$B$24,MATCH(B230,'Kategori Zamları'!$A$5:$A$24,0)),"")="",Özet!$C$3,INDEX('Kategori Zamları'!$B$5:$B$24,MATCH(B230,'Kategori Zamları'!$A$5:$A$24,0)))))</f>
        <v/>
      </c>
      <c r="G230" s="17" t="str">
        <f aca="false">IF(F230="","",ROUNDUP(ROUND(D230*(1+F230)/Özet!$C$4,6),0)*Özet!$C$4-Özet!$C$5)</f>
        <v/>
      </c>
      <c r="H230" s="17" t="str">
        <f aca="false">IF(G230="","",G230-D230)</f>
        <v/>
      </c>
      <c r="I230" s="16" t="str">
        <f aca="false">IF(OR(G230="",D230=0),"",(D230-C230)/D230)</f>
        <v/>
      </c>
      <c r="J230" s="16" t="str">
        <f aca="false">IF(OR(G230="",G230=0),"",(G230-C230)/G230)</f>
        <v/>
      </c>
      <c r="K230" s="18" t="str">
        <f aca="false">IF(OR(G230="",D230=0),"",G230/D230-1)</f>
        <v/>
      </c>
    </row>
    <row r="231" customFormat="false" ht="15" hidden="false" customHeight="false" outlineLevel="0" collapsed="false">
      <c r="A231" s="12"/>
      <c r="B231" s="13"/>
      <c r="C231" s="14"/>
      <c r="D231" s="14"/>
      <c r="E231" s="15"/>
      <c r="F231" s="16" t="str">
        <f aca="false">IF(OR(A231="",D231=""),"",IF(E231&lt;&gt;"",E231,IF(IFERROR(INDEX('Kategori Zamları'!$B$5:$B$24,MATCH(B231,'Kategori Zamları'!$A$5:$A$24,0)),"")="",Özet!$C$3,INDEX('Kategori Zamları'!$B$5:$B$24,MATCH(B231,'Kategori Zamları'!$A$5:$A$24,0)))))</f>
        <v/>
      </c>
      <c r="G231" s="17" t="str">
        <f aca="false">IF(F231="","",ROUNDUP(ROUND(D231*(1+F231)/Özet!$C$4,6),0)*Özet!$C$4-Özet!$C$5)</f>
        <v/>
      </c>
      <c r="H231" s="17" t="str">
        <f aca="false">IF(G231="","",G231-D231)</f>
        <v/>
      </c>
      <c r="I231" s="16" t="str">
        <f aca="false">IF(OR(G231="",D231=0),"",(D231-C231)/D231)</f>
        <v/>
      </c>
      <c r="J231" s="16" t="str">
        <f aca="false">IF(OR(G231="",G231=0),"",(G231-C231)/G231)</f>
        <v/>
      </c>
      <c r="K231" s="18" t="str">
        <f aca="false">IF(OR(G231="",D231=0),"",G231/D231-1)</f>
        <v/>
      </c>
    </row>
    <row r="232" customFormat="false" ht="15" hidden="false" customHeight="false" outlineLevel="0" collapsed="false">
      <c r="A232" s="12"/>
      <c r="B232" s="13"/>
      <c r="C232" s="14"/>
      <c r="D232" s="14"/>
      <c r="E232" s="15"/>
      <c r="F232" s="16" t="str">
        <f aca="false">IF(OR(A232="",D232=""),"",IF(E232&lt;&gt;"",E232,IF(IFERROR(INDEX('Kategori Zamları'!$B$5:$B$24,MATCH(B232,'Kategori Zamları'!$A$5:$A$24,0)),"")="",Özet!$C$3,INDEX('Kategori Zamları'!$B$5:$B$24,MATCH(B232,'Kategori Zamları'!$A$5:$A$24,0)))))</f>
        <v/>
      </c>
      <c r="G232" s="17" t="str">
        <f aca="false">IF(F232="","",ROUNDUP(ROUND(D232*(1+F232)/Özet!$C$4,6),0)*Özet!$C$4-Özet!$C$5)</f>
        <v/>
      </c>
      <c r="H232" s="17" t="str">
        <f aca="false">IF(G232="","",G232-D232)</f>
        <v/>
      </c>
      <c r="I232" s="16" t="str">
        <f aca="false">IF(OR(G232="",D232=0),"",(D232-C232)/D232)</f>
        <v/>
      </c>
      <c r="J232" s="16" t="str">
        <f aca="false">IF(OR(G232="",G232=0),"",(G232-C232)/G232)</f>
        <v/>
      </c>
      <c r="K232" s="18" t="str">
        <f aca="false">IF(OR(G232="",D232=0),"",G232/D232-1)</f>
        <v/>
      </c>
    </row>
    <row r="233" customFormat="false" ht="15" hidden="false" customHeight="false" outlineLevel="0" collapsed="false">
      <c r="A233" s="12"/>
      <c r="B233" s="13"/>
      <c r="C233" s="14"/>
      <c r="D233" s="14"/>
      <c r="E233" s="15"/>
      <c r="F233" s="16" t="str">
        <f aca="false">IF(OR(A233="",D233=""),"",IF(E233&lt;&gt;"",E233,IF(IFERROR(INDEX('Kategori Zamları'!$B$5:$B$24,MATCH(B233,'Kategori Zamları'!$A$5:$A$24,0)),"")="",Özet!$C$3,INDEX('Kategori Zamları'!$B$5:$B$24,MATCH(B233,'Kategori Zamları'!$A$5:$A$24,0)))))</f>
        <v/>
      </c>
      <c r="G233" s="17" t="str">
        <f aca="false">IF(F233="","",ROUNDUP(ROUND(D233*(1+F233)/Özet!$C$4,6),0)*Özet!$C$4-Özet!$C$5)</f>
        <v/>
      </c>
      <c r="H233" s="17" t="str">
        <f aca="false">IF(G233="","",G233-D233)</f>
        <v/>
      </c>
      <c r="I233" s="16" t="str">
        <f aca="false">IF(OR(G233="",D233=0),"",(D233-C233)/D233)</f>
        <v/>
      </c>
      <c r="J233" s="16" t="str">
        <f aca="false">IF(OR(G233="",G233=0),"",(G233-C233)/G233)</f>
        <v/>
      </c>
      <c r="K233" s="18" t="str">
        <f aca="false">IF(OR(G233="",D233=0),"",G233/D233-1)</f>
        <v/>
      </c>
    </row>
    <row r="234" customFormat="false" ht="15" hidden="false" customHeight="false" outlineLevel="0" collapsed="false">
      <c r="A234" s="12"/>
      <c r="B234" s="13"/>
      <c r="C234" s="14"/>
      <c r="D234" s="14"/>
      <c r="E234" s="15"/>
      <c r="F234" s="16" t="str">
        <f aca="false">IF(OR(A234="",D234=""),"",IF(E234&lt;&gt;"",E234,IF(IFERROR(INDEX('Kategori Zamları'!$B$5:$B$24,MATCH(B234,'Kategori Zamları'!$A$5:$A$24,0)),"")="",Özet!$C$3,INDEX('Kategori Zamları'!$B$5:$B$24,MATCH(B234,'Kategori Zamları'!$A$5:$A$24,0)))))</f>
        <v/>
      </c>
      <c r="G234" s="17" t="str">
        <f aca="false">IF(F234="","",ROUNDUP(ROUND(D234*(1+F234)/Özet!$C$4,6),0)*Özet!$C$4-Özet!$C$5)</f>
        <v/>
      </c>
      <c r="H234" s="17" t="str">
        <f aca="false">IF(G234="","",G234-D234)</f>
        <v/>
      </c>
      <c r="I234" s="16" t="str">
        <f aca="false">IF(OR(G234="",D234=0),"",(D234-C234)/D234)</f>
        <v/>
      </c>
      <c r="J234" s="16" t="str">
        <f aca="false">IF(OR(G234="",G234=0),"",(G234-C234)/G234)</f>
        <v/>
      </c>
      <c r="K234" s="18" t="str">
        <f aca="false">IF(OR(G234="",D234=0),"",G234/D234-1)</f>
        <v/>
      </c>
    </row>
    <row r="235" customFormat="false" ht="15" hidden="false" customHeight="false" outlineLevel="0" collapsed="false">
      <c r="A235" s="12"/>
      <c r="B235" s="13"/>
      <c r="C235" s="14"/>
      <c r="D235" s="14"/>
      <c r="E235" s="15"/>
      <c r="F235" s="16" t="str">
        <f aca="false">IF(OR(A235="",D235=""),"",IF(E235&lt;&gt;"",E235,IF(IFERROR(INDEX('Kategori Zamları'!$B$5:$B$24,MATCH(B235,'Kategori Zamları'!$A$5:$A$24,0)),"")="",Özet!$C$3,INDEX('Kategori Zamları'!$B$5:$B$24,MATCH(B235,'Kategori Zamları'!$A$5:$A$24,0)))))</f>
        <v/>
      </c>
      <c r="G235" s="17" t="str">
        <f aca="false">IF(F235="","",ROUNDUP(ROUND(D235*(1+F235)/Özet!$C$4,6),0)*Özet!$C$4-Özet!$C$5)</f>
        <v/>
      </c>
      <c r="H235" s="17" t="str">
        <f aca="false">IF(G235="","",G235-D235)</f>
        <v/>
      </c>
      <c r="I235" s="16" t="str">
        <f aca="false">IF(OR(G235="",D235=0),"",(D235-C235)/D235)</f>
        <v/>
      </c>
      <c r="J235" s="16" t="str">
        <f aca="false">IF(OR(G235="",G235=0),"",(G235-C235)/G235)</f>
        <v/>
      </c>
      <c r="K235" s="18" t="str">
        <f aca="false">IF(OR(G235="",D235=0),"",G235/D235-1)</f>
        <v/>
      </c>
    </row>
    <row r="236" customFormat="false" ht="15" hidden="false" customHeight="false" outlineLevel="0" collapsed="false">
      <c r="A236" s="12"/>
      <c r="B236" s="13"/>
      <c r="C236" s="14"/>
      <c r="D236" s="14"/>
      <c r="E236" s="15"/>
      <c r="F236" s="16" t="str">
        <f aca="false">IF(OR(A236="",D236=""),"",IF(E236&lt;&gt;"",E236,IF(IFERROR(INDEX('Kategori Zamları'!$B$5:$B$24,MATCH(B236,'Kategori Zamları'!$A$5:$A$24,0)),"")="",Özet!$C$3,INDEX('Kategori Zamları'!$B$5:$B$24,MATCH(B236,'Kategori Zamları'!$A$5:$A$24,0)))))</f>
        <v/>
      </c>
      <c r="G236" s="17" t="str">
        <f aca="false">IF(F236="","",ROUNDUP(ROUND(D236*(1+F236)/Özet!$C$4,6),0)*Özet!$C$4-Özet!$C$5)</f>
        <v/>
      </c>
      <c r="H236" s="17" t="str">
        <f aca="false">IF(G236="","",G236-D236)</f>
        <v/>
      </c>
      <c r="I236" s="16" t="str">
        <f aca="false">IF(OR(G236="",D236=0),"",(D236-C236)/D236)</f>
        <v/>
      </c>
      <c r="J236" s="16" t="str">
        <f aca="false">IF(OR(G236="",G236=0),"",(G236-C236)/G236)</f>
        <v/>
      </c>
      <c r="K236" s="18" t="str">
        <f aca="false">IF(OR(G236="",D236=0),"",G236/D236-1)</f>
        <v/>
      </c>
    </row>
    <row r="237" customFormat="false" ht="15" hidden="false" customHeight="false" outlineLevel="0" collapsed="false">
      <c r="A237" s="12"/>
      <c r="B237" s="13"/>
      <c r="C237" s="14"/>
      <c r="D237" s="14"/>
      <c r="E237" s="15"/>
      <c r="F237" s="16" t="str">
        <f aca="false">IF(OR(A237="",D237=""),"",IF(E237&lt;&gt;"",E237,IF(IFERROR(INDEX('Kategori Zamları'!$B$5:$B$24,MATCH(B237,'Kategori Zamları'!$A$5:$A$24,0)),"")="",Özet!$C$3,INDEX('Kategori Zamları'!$B$5:$B$24,MATCH(B237,'Kategori Zamları'!$A$5:$A$24,0)))))</f>
        <v/>
      </c>
      <c r="G237" s="17" t="str">
        <f aca="false">IF(F237="","",ROUNDUP(ROUND(D237*(1+F237)/Özet!$C$4,6),0)*Özet!$C$4-Özet!$C$5)</f>
        <v/>
      </c>
      <c r="H237" s="17" t="str">
        <f aca="false">IF(G237="","",G237-D237)</f>
        <v/>
      </c>
      <c r="I237" s="16" t="str">
        <f aca="false">IF(OR(G237="",D237=0),"",(D237-C237)/D237)</f>
        <v/>
      </c>
      <c r="J237" s="16" t="str">
        <f aca="false">IF(OR(G237="",G237=0),"",(G237-C237)/G237)</f>
        <v/>
      </c>
      <c r="K237" s="18" t="str">
        <f aca="false">IF(OR(G237="",D237=0),"",G237/D237-1)</f>
        <v/>
      </c>
    </row>
    <row r="238" customFormat="false" ht="15" hidden="false" customHeight="false" outlineLevel="0" collapsed="false">
      <c r="A238" s="12"/>
      <c r="B238" s="13"/>
      <c r="C238" s="14"/>
      <c r="D238" s="14"/>
      <c r="E238" s="15"/>
      <c r="F238" s="16" t="str">
        <f aca="false">IF(OR(A238="",D238=""),"",IF(E238&lt;&gt;"",E238,IF(IFERROR(INDEX('Kategori Zamları'!$B$5:$B$24,MATCH(B238,'Kategori Zamları'!$A$5:$A$24,0)),"")="",Özet!$C$3,INDEX('Kategori Zamları'!$B$5:$B$24,MATCH(B238,'Kategori Zamları'!$A$5:$A$24,0)))))</f>
        <v/>
      </c>
      <c r="G238" s="17" t="str">
        <f aca="false">IF(F238="","",ROUNDUP(ROUND(D238*(1+F238)/Özet!$C$4,6),0)*Özet!$C$4-Özet!$C$5)</f>
        <v/>
      </c>
      <c r="H238" s="17" t="str">
        <f aca="false">IF(G238="","",G238-D238)</f>
        <v/>
      </c>
      <c r="I238" s="16" t="str">
        <f aca="false">IF(OR(G238="",D238=0),"",(D238-C238)/D238)</f>
        <v/>
      </c>
      <c r="J238" s="16" t="str">
        <f aca="false">IF(OR(G238="",G238=0),"",(G238-C238)/G238)</f>
        <v/>
      </c>
      <c r="K238" s="18" t="str">
        <f aca="false">IF(OR(G238="",D238=0),"",G238/D238-1)</f>
        <v/>
      </c>
    </row>
    <row r="239" customFormat="false" ht="15" hidden="false" customHeight="false" outlineLevel="0" collapsed="false">
      <c r="A239" s="12"/>
      <c r="B239" s="13"/>
      <c r="C239" s="14"/>
      <c r="D239" s="14"/>
      <c r="E239" s="15"/>
      <c r="F239" s="16" t="str">
        <f aca="false">IF(OR(A239="",D239=""),"",IF(E239&lt;&gt;"",E239,IF(IFERROR(INDEX('Kategori Zamları'!$B$5:$B$24,MATCH(B239,'Kategori Zamları'!$A$5:$A$24,0)),"")="",Özet!$C$3,INDEX('Kategori Zamları'!$B$5:$B$24,MATCH(B239,'Kategori Zamları'!$A$5:$A$24,0)))))</f>
        <v/>
      </c>
      <c r="G239" s="17" t="str">
        <f aca="false">IF(F239="","",ROUNDUP(ROUND(D239*(1+F239)/Özet!$C$4,6),0)*Özet!$C$4-Özet!$C$5)</f>
        <v/>
      </c>
      <c r="H239" s="17" t="str">
        <f aca="false">IF(G239="","",G239-D239)</f>
        <v/>
      </c>
      <c r="I239" s="16" t="str">
        <f aca="false">IF(OR(G239="",D239=0),"",(D239-C239)/D239)</f>
        <v/>
      </c>
      <c r="J239" s="16" t="str">
        <f aca="false">IF(OR(G239="",G239=0),"",(G239-C239)/G239)</f>
        <v/>
      </c>
      <c r="K239" s="18" t="str">
        <f aca="false">IF(OR(G239="",D239=0),"",G239/D239-1)</f>
        <v/>
      </c>
    </row>
    <row r="240" customFormat="false" ht="15" hidden="false" customHeight="false" outlineLevel="0" collapsed="false">
      <c r="A240" s="12"/>
      <c r="B240" s="13"/>
      <c r="C240" s="14"/>
      <c r="D240" s="14"/>
      <c r="E240" s="15"/>
      <c r="F240" s="16" t="str">
        <f aca="false">IF(OR(A240="",D240=""),"",IF(E240&lt;&gt;"",E240,IF(IFERROR(INDEX('Kategori Zamları'!$B$5:$B$24,MATCH(B240,'Kategori Zamları'!$A$5:$A$24,0)),"")="",Özet!$C$3,INDEX('Kategori Zamları'!$B$5:$B$24,MATCH(B240,'Kategori Zamları'!$A$5:$A$24,0)))))</f>
        <v/>
      </c>
      <c r="G240" s="17" t="str">
        <f aca="false">IF(F240="","",ROUNDUP(ROUND(D240*(1+F240)/Özet!$C$4,6),0)*Özet!$C$4-Özet!$C$5)</f>
        <v/>
      </c>
      <c r="H240" s="17" t="str">
        <f aca="false">IF(G240="","",G240-D240)</f>
        <v/>
      </c>
      <c r="I240" s="16" t="str">
        <f aca="false">IF(OR(G240="",D240=0),"",(D240-C240)/D240)</f>
        <v/>
      </c>
      <c r="J240" s="16" t="str">
        <f aca="false">IF(OR(G240="",G240=0),"",(G240-C240)/G240)</f>
        <v/>
      </c>
      <c r="K240" s="18" t="str">
        <f aca="false">IF(OR(G240="",D240=0),"",G240/D240-1)</f>
        <v/>
      </c>
    </row>
    <row r="241" customFormat="false" ht="15" hidden="false" customHeight="false" outlineLevel="0" collapsed="false">
      <c r="A241" s="12"/>
      <c r="B241" s="13"/>
      <c r="C241" s="14"/>
      <c r="D241" s="14"/>
      <c r="E241" s="15"/>
      <c r="F241" s="16" t="str">
        <f aca="false">IF(OR(A241="",D241=""),"",IF(E241&lt;&gt;"",E241,IF(IFERROR(INDEX('Kategori Zamları'!$B$5:$B$24,MATCH(B241,'Kategori Zamları'!$A$5:$A$24,0)),"")="",Özet!$C$3,INDEX('Kategori Zamları'!$B$5:$B$24,MATCH(B241,'Kategori Zamları'!$A$5:$A$24,0)))))</f>
        <v/>
      </c>
      <c r="G241" s="17" t="str">
        <f aca="false">IF(F241="","",ROUNDUP(ROUND(D241*(1+F241)/Özet!$C$4,6),0)*Özet!$C$4-Özet!$C$5)</f>
        <v/>
      </c>
      <c r="H241" s="17" t="str">
        <f aca="false">IF(G241="","",G241-D241)</f>
        <v/>
      </c>
      <c r="I241" s="16" t="str">
        <f aca="false">IF(OR(G241="",D241=0),"",(D241-C241)/D241)</f>
        <v/>
      </c>
      <c r="J241" s="16" t="str">
        <f aca="false">IF(OR(G241="",G241=0),"",(G241-C241)/G241)</f>
        <v/>
      </c>
      <c r="K241" s="18" t="str">
        <f aca="false">IF(OR(G241="",D241=0),"",G241/D241-1)</f>
        <v/>
      </c>
    </row>
    <row r="242" customFormat="false" ht="15" hidden="false" customHeight="false" outlineLevel="0" collapsed="false">
      <c r="A242" s="12"/>
      <c r="B242" s="13"/>
      <c r="C242" s="14"/>
      <c r="D242" s="14"/>
      <c r="E242" s="15"/>
      <c r="F242" s="16" t="str">
        <f aca="false">IF(OR(A242="",D242=""),"",IF(E242&lt;&gt;"",E242,IF(IFERROR(INDEX('Kategori Zamları'!$B$5:$B$24,MATCH(B242,'Kategori Zamları'!$A$5:$A$24,0)),"")="",Özet!$C$3,INDEX('Kategori Zamları'!$B$5:$B$24,MATCH(B242,'Kategori Zamları'!$A$5:$A$24,0)))))</f>
        <v/>
      </c>
      <c r="G242" s="17" t="str">
        <f aca="false">IF(F242="","",ROUNDUP(ROUND(D242*(1+F242)/Özet!$C$4,6),0)*Özet!$C$4-Özet!$C$5)</f>
        <v/>
      </c>
      <c r="H242" s="17" t="str">
        <f aca="false">IF(G242="","",G242-D242)</f>
        <v/>
      </c>
      <c r="I242" s="16" t="str">
        <f aca="false">IF(OR(G242="",D242=0),"",(D242-C242)/D242)</f>
        <v/>
      </c>
      <c r="J242" s="16" t="str">
        <f aca="false">IF(OR(G242="",G242=0),"",(G242-C242)/G242)</f>
        <v/>
      </c>
      <c r="K242" s="18" t="str">
        <f aca="false">IF(OR(G242="",D242=0),"",G242/D242-1)</f>
        <v/>
      </c>
    </row>
    <row r="243" customFormat="false" ht="15" hidden="false" customHeight="false" outlineLevel="0" collapsed="false">
      <c r="A243" s="12"/>
      <c r="B243" s="13"/>
      <c r="C243" s="14"/>
      <c r="D243" s="14"/>
      <c r="E243" s="15"/>
      <c r="F243" s="16" t="str">
        <f aca="false">IF(OR(A243="",D243=""),"",IF(E243&lt;&gt;"",E243,IF(IFERROR(INDEX('Kategori Zamları'!$B$5:$B$24,MATCH(B243,'Kategori Zamları'!$A$5:$A$24,0)),"")="",Özet!$C$3,INDEX('Kategori Zamları'!$B$5:$B$24,MATCH(B243,'Kategori Zamları'!$A$5:$A$24,0)))))</f>
        <v/>
      </c>
      <c r="G243" s="17" t="str">
        <f aca="false">IF(F243="","",ROUNDUP(ROUND(D243*(1+F243)/Özet!$C$4,6),0)*Özet!$C$4-Özet!$C$5)</f>
        <v/>
      </c>
      <c r="H243" s="17" t="str">
        <f aca="false">IF(G243="","",G243-D243)</f>
        <v/>
      </c>
      <c r="I243" s="16" t="str">
        <f aca="false">IF(OR(G243="",D243=0),"",(D243-C243)/D243)</f>
        <v/>
      </c>
      <c r="J243" s="16" t="str">
        <f aca="false">IF(OR(G243="",G243=0),"",(G243-C243)/G243)</f>
        <v/>
      </c>
      <c r="K243" s="18" t="str">
        <f aca="false">IF(OR(G243="",D243=0),"",G243/D243-1)</f>
        <v/>
      </c>
    </row>
    <row r="244" customFormat="false" ht="15" hidden="false" customHeight="false" outlineLevel="0" collapsed="false">
      <c r="A244" s="12"/>
      <c r="B244" s="13"/>
      <c r="C244" s="14"/>
      <c r="D244" s="14"/>
      <c r="E244" s="15"/>
      <c r="F244" s="16" t="str">
        <f aca="false">IF(OR(A244="",D244=""),"",IF(E244&lt;&gt;"",E244,IF(IFERROR(INDEX('Kategori Zamları'!$B$5:$B$24,MATCH(B244,'Kategori Zamları'!$A$5:$A$24,0)),"")="",Özet!$C$3,INDEX('Kategori Zamları'!$B$5:$B$24,MATCH(B244,'Kategori Zamları'!$A$5:$A$24,0)))))</f>
        <v/>
      </c>
      <c r="G244" s="17" t="str">
        <f aca="false">IF(F244="","",ROUNDUP(ROUND(D244*(1+F244)/Özet!$C$4,6),0)*Özet!$C$4-Özet!$C$5)</f>
        <v/>
      </c>
      <c r="H244" s="17" t="str">
        <f aca="false">IF(G244="","",G244-D244)</f>
        <v/>
      </c>
      <c r="I244" s="16" t="str">
        <f aca="false">IF(OR(G244="",D244=0),"",(D244-C244)/D244)</f>
        <v/>
      </c>
      <c r="J244" s="16" t="str">
        <f aca="false">IF(OR(G244="",G244=0),"",(G244-C244)/G244)</f>
        <v/>
      </c>
      <c r="K244" s="18" t="str">
        <f aca="false">IF(OR(G244="",D244=0),"",G244/D244-1)</f>
        <v/>
      </c>
    </row>
    <row r="245" customFormat="false" ht="15" hidden="false" customHeight="false" outlineLevel="0" collapsed="false">
      <c r="A245" s="12"/>
      <c r="B245" s="13"/>
      <c r="C245" s="14"/>
      <c r="D245" s="14"/>
      <c r="E245" s="15"/>
      <c r="F245" s="16" t="str">
        <f aca="false">IF(OR(A245="",D245=""),"",IF(E245&lt;&gt;"",E245,IF(IFERROR(INDEX('Kategori Zamları'!$B$5:$B$24,MATCH(B245,'Kategori Zamları'!$A$5:$A$24,0)),"")="",Özet!$C$3,INDEX('Kategori Zamları'!$B$5:$B$24,MATCH(B245,'Kategori Zamları'!$A$5:$A$24,0)))))</f>
        <v/>
      </c>
      <c r="G245" s="17" t="str">
        <f aca="false">IF(F245="","",ROUNDUP(ROUND(D245*(1+F245)/Özet!$C$4,6),0)*Özet!$C$4-Özet!$C$5)</f>
        <v/>
      </c>
      <c r="H245" s="17" t="str">
        <f aca="false">IF(G245="","",G245-D245)</f>
        <v/>
      </c>
      <c r="I245" s="16" t="str">
        <f aca="false">IF(OR(G245="",D245=0),"",(D245-C245)/D245)</f>
        <v/>
      </c>
      <c r="J245" s="16" t="str">
        <f aca="false">IF(OR(G245="",G245=0),"",(G245-C245)/G245)</f>
        <v/>
      </c>
      <c r="K245" s="18" t="str">
        <f aca="false">IF(OR(G245="",D245=0),"",G245/D245-1)</f>
        <v/>
      </c>
    </row>
    <row r="246" customFormat="false" ht="15" hidden="false" customHeight="false" outlineLevel="0" collapsed="false">
      <c r="A246" s="12"/>
      <c r="B246" s="13"/>
      <c r="C246" s="14"/>
      <c r="D246" s="14"/>
      <c r="E246" s="15"/>
      <c r="F246" s="16" t="str">
        <f aca="false">IF(OR(A246="",D246=""),"",IF(E246&lt;&gt;"",E246,IF(IFERROR(INDEX('Kategori Zamları'!$B$5:$B$24,MATCH(B246,'Kategori Zamları'!$A$5:$A$24,0)),"")="",Özet!$C$3,INDEX('Kategori Zamları'!$B$5:$B$24,MATCH(B246,'Kategori Zamları'!$A$5:$A$24,0)))))</f>
        <v/>
      </c>
      <c r="G246" s="17" t="str">
        <f aca="false">IF(F246="","",ROUNDUP(ROUND(D246*(1+F246)/Özet!$C$4,6),0)*Özet!$C$4-Özet!$C$5)</f>
        <v/>
      </c>
      <c r="H246" s="17" t="str">
        <f aca="false">IF(G246="","",G246-D246)</f>
        <v/>
      </c>
      <c r="I246" s="16" t="str">
        <f aca="false">IF(OR(G246="",D246=0),"",(D246-C246)/D246)</f>
        <v/>
      </c>
      <c r="J246" s="16" t="str">
        <f aca="false">IF(OR(G246="",G246=0),"",(G246-C246)/G246)</f>
        <v/>
      </c>
      <c r="K246" s="18" t="str">
        <f aca="false">IF(OR(G246="",D246=0),"",G246/D246-1)</f>
        <v/>
      </c>
    </row>
    <row r="247" customFormat="false" ht="15" hidden="false" customHeight="false" outlineLevel="0" collapsed="false">
      <c r="A247" s="12"/>
      <c r="B247" s="13"/>
      <c r="C247" s="14"/>
      <c r="D247" s="14"/>
      <c r="E247" s="15"/>
      <c r="F247" s="16" t="str">
        <f aca="false">IF(OR(A247="",D247=""),"",IF(E247&lt;&gt;"",E247,IF(IFERROR(INDEX('Kategori Zamları'!$B$5:$B$24,MATCH(B247,'Kategori Zamları'!$A$5:$A$24,0)),"")="",Özet!$C$3,INDEX('Kategori Zamları'!$B$5:$B$24,MATCH(B247,'Kategori Zamları'!$A$5:$A$24,0)))))</f>
        <v/>
      </c>
      <c r="G247" s="17" t="str">
        <f aca="false">IF(F247="","",ROUNDUP(ROUND(D247*(1+F247)/Özet!$C$4,6),0)*Özet!$C$4-Özet!$C$5)</f>
        <v/>
      </c>
      <c r="H247" s="17" t="str">
        <f aca="false">IF(G247="","",G247-D247)</f>
        <v/>
      </c>
      <c r="I247" s="16" t="str">
        <f aca="false">IF(OR(G247="",D247=0),"",(D247-C247)/D247)</f>
        <v/>
      </c>
      <c r="J247" s="16" t="str">
        <f aca="false">IF(OR(G247="",G247=0),"",(G247-C247)/G247)</f>
        <v/>
      </c>
      <c r="K247" s="18" t="str">
        <f aca="false">IF(OR(G247="",D247=0),"",G247/D247-1)</f>
        <v/>
      </c>
    </row>
    <row r="248" customFormat="false" ht="15" hidden="false" customHeight="false" outlineLevel="0" collapsed="false">
      <c r="A248" s="12"/>
      <c r="B248" s="13"/>
      <c r="C248" s="14"/>
      <c r="D248" s="14"/>
      <c r="E248" s="15"/>
      <c r="F248" s="16" t="str">
        <f aca="false">IF(OR(A248="",D248=""),"",IF(E248&lt;&gt;"",E248,IF(IFERROR(INDEX('Kategori Zamları'!$B$5:$B$24,MATCH(B248,'Kategori Zamları'!$A$5:$A$24,0)),"")="",Özet!$C$3,INDEX('Kategori Zamları'!$B$5:$B$24,MATCH(B248,'Kategori Zamları'!$A$5:$A$24,0)))))</f>
        <v/>
      </c>
      <c r="G248" s="17" t="str">
        <f aca="false">IF(F248="","",ROUNDUP(ROUND(D248*(1+F248)/Özet!$C$4,6),0)*Özet!$C$4-Özet!$C$5)</f>
        <v/>
      </c>
      <c r="H248" s="17" t="str">
        <f aca="false">IF(G248="","",G248-D248)</f>
        <v/>
      </c>
      <c r="I248" s="16" t="str">
        <f aca="false">IF(OR(G248="",D248=0),"",(D248-C248)/D248)</f>
        <v/>
      </c>
      <c r="J248" s="16" t="str">
        <f aca="false">IF(OR(G248="",G248=0),"",(G248-C248)/G248)</f>
        <v/>
      </c>
      <c r="K248" s="18" t="str">
        <f aca="false">IF(OR(G248="",D248=0),"",G248/D248-1)</f>
        <v/>
      </c>
    </row>
    <row r="249" customFormat="false" ht="15" hidden="false" customHeight="false" outlineLevel="0" collapsed="false">
      <c r="A249" s="12"/>
      <c r="B249" s="13"/>
      <c r="C249" s="14"/>
      <c r="D249" s="14"/>
      <c r="E249" s="15"/>
      <c r="F249" s="16" t="str">
        <f aca="false">IF(OR(A249="",D249=""),"",IF(E249&lt;&gt;"",E249,IF(IFERROR(INDEX('Kategori Zamları'!$B$5:$B$24,MATCH(B249,'Kategori Zamları'!$A$5:$A$24,0)),"")="",Özet!$C$3,INDEX('Kategori Zamları'!$B$5:$B$24,MATCH(B249,'Kategori Zamları'!$A$5:$A$24,0)))))</f>
        <v/>
      </c>
      <c r="G249" s="17" t="str">
        <f aca="false">IF(F249="","",ROUNDUP(ROUND(D249*(1+F249)/Özet!$C$4,6),0)*Özet!$C$4-Özet!$C$5)</f>
        <v/>
      </c>
      <c r="H249" s="17" t="str">
        <f aca="false">IF(G249="","",G249-D249)</f>
        <v/>
      </c>
      <c r="I249" s="16" t="str">
        <f aca="false">IF(OR(G249="",D249=0),"",(D249-C249)/D249)</f>
        <v/>
      </c>
      <c r="J249" s="16" t="str">
        <f aca="false">IF(OR(G249="",G249=0),"",(G249-C249)/G249)</f>
        <v/>
      </c>
      <c r="K249" s="18" t="str">
        <f aca="false">IF(OR(G249="",D249=0),"",G249/D249-1)</f>
        <v/>
      </c>
    </row>
    <row r="250" customFormat="false" ht="15" hidden="false" customHeight="false" outlineLevel="0" collapsed="false">
      <c r="A250" s="12"/>
      <c r="B250" s="13"/>
      <c r="C250" s="14"/>
      <c r="D250" s="14"/>
      <c r="E250" s="15"/>
      <c r="F250" s="16" t="str">
        <f aca="false">IF(OR(A250="",D250=""),"",IF(E250&lt;&gt;"",E250,IF(IFERROR(INDEX('Kategori Zamları'!$B$5:$B$24,MATCH(B250,'Kategori Zamları'!$A$5:$A$24,0)),"")="",Özet!$C$3,INDEX('Kategori Zamları'!$B$5:$B$24,MATCH(B250,'Kategori Zamları'!$A$5:$A$24,0)))))</f>
        <v/>
      </c>
      <c r="G250" s="17" t="str">
        <f aca="false">IF(F250="","",ROUNDUP(ROUND(D250*(1+F250)/Özet!$C$4,6),0)*Özet!$C$4-Özet!$C$5)</f>
        <v/>
      </c>
      <c r="H250" s="17" t="str">
        <f aca="false">IF(G250="","",G250-D250)</f>
        <v/>
      </c>
      <c r="I250" s="16" t="str">
        <f aca="false">IF(OR(G250="",D250=0),"",(D250-C250)/D250)</f>
        <v/>
      </c>
      <c r="J250" s="16" t="str">
        <f aca="false">IF(OR(G250="",G250=0),"",(G250-C250)/G250)</f>
        <v/>
      </c>
      <c r="K250" s="18" t="str">
        <f aca="false">IF(OR(G250="",D250=0),"",G250/D250-1)</f>
        <v/>
      </c>
    </row>
    <row r="251" customFormat="false" ht="15" hidden="false" customHeight="false" outlineLevel="0" collapsed="false">
      <c r="A251" s="12"/>
      <c r="B251" s="13"/>
      <c r="C251" s="14"/>
      <c r="D251" s="14"/>
      <c r="E251" s="15"/>
      <c r="F251" s="16" t="str">
        <f aca="false">IF(OR(A251="",D251=""),"",IF(E251&lt;&gt;"",E251,IF(IFERROR(INDEX('Kategori Zamları'!$B$5:$B$24,MATCH(B251,'Kategori Zamları'!$A$5:$A$24,0)),"")="",Özet!$C$3,INDEX('Kategori Zamları'!$B$5:$B$24,MATCH(B251,'Kategori Zamları'!$A$5:$A$24,0)))))</f>
        <v/>
      </c>
      <c r="G251" s="17" t="str">
        <f aca="false">IF(F251="","",ROUNDUP(ROUND(D251*(1+F251)/Özet!$C$4,6),0)*Özet!$C$4-Özet!$C$5)</f>
        <v/>
      </c>
      <c r="H251" s="17" t="str">
        <f aca="false">IF(G251="","",G251-D251)</f>
        <v/>
      </c>
      <c r="I251" s="16" t="str">
        <f aca="false">IF(OR(G251="",D251=0),"",(D251-C251)/D251)</f>
        <v/>
      </c>
      <c r="J251" s="16" t="str">
        <f aca="false">IF(OR(G251="",G251=0),"",(G251-C251)/G251)</f>
        <v/>
      </c>
      <c r="K251" s="18" t="str">
        <f aca="false">IF(OR(G251="",D251=0),"",G251/D251-1)</f>
        <v/>
      </c>
    </row>
    <row r="252" customFormat="false" ht="15" hidden="false" customHeight="false" outlineLevel="0" collapsed="false">
      <c r="A252" s="12"/>
      <c r="B252" s="13"/>
      <c r="C252" s="14"/>
      <c r="D252" s="14"/>
      <c r="E252" s="15"/>
      <c r="F252" s="16" t="str">
        <f aca="false">IF(OR(A252="",D252=""),"",IF(E252&lt;&gt;"",E252,IF(IFERROR(INDEX('Kategori Zamları'!$B$5:$B$24,MATCH(B252,'Kategori Zamları'!$A$5:$A$24,0)),"")="",Özet!$C$3,INDEX('Kategori Zamları'!$B$5:$B$24,MATCH(B252,'Kategori Zamları'!$A$5:$A$24,0)))))</f>
        <v/>
      </c>
      <c r="G252" s="17" t="str">
        <f aca="false">IF(F252="","",ROUNDUP(ROUND(D252*(1+F252)/Özet!$C$4,6),0)*Özet!$C$4-Özet!$C$5)</f>
        <v/>
      </c>
      <c r="H252" s="17" t="str">
        <f aca="false">IF(G252="","",G252-D252)</f>
        <v/>
      </c>
      <c r="I252" s="16" t="str">
        <f aca="false">IF(OR(G252="",D252=0),"",(D252-C252)/D252)</f>
        <v/>
      </c>
      <c r="J252" s="16" t="str">
        <f aca="false">IF(OR(G252="",G252=0),"",(G252-C252)/G252)</f>
        <v/>
      </c>
      <c r="K252" s="18" t="str">
        <f aca="false">IF(OR(G252="",D252=0),"",G252/D252-1)</f>
        <v/>
      </c>
    </row>
    <row r="253" customFormat="false" ht="15" hidden="false" customHeight="false" outlineLevel="0" collapsed="false">
      <c r="A253" s="12"/>
      <c r="B253" s="13"/>
      <c r="C253" s="14"/>
      <c r="D253" s="14"/>
      <c r="E253" s="15"/>
      <c r="F253" s="16" t="str">
        <f aca="false">IF(OR(A253="",D253=""),"",IF(E253&lt;&gt;"",E253,IF(IFERROR(INDEX('Kategori Zamları'!$B$5:$B$24,MATCH(B253,'Kategori Zamları'!$A$5:$A$24,0)),"")="",Özet!$C$3,INDEX('Kategori Zamları'!$B$5:$B$24,MATCH(B253,'Kategori Zamları'!$A$5:$A$24,0)))))</f>
        <v/>
      </c>
      <c r="G253" s="17" t="str">
        <f aca="false">IF(F253="","",ROUNDUP(ROUND(D253*(1+F253)/Özet!$C$4,6),0)*Özet!$C$4-Özet!$C$5)</f>
        <v/>
      </c>
      <c r="H253" s="17" t="str">
        <f aca="false">IF(G253="","",G253-D253)</f>
        <v/>
      </c>
      <c r="I253" s="16" t="str">
        <f aca="false">IF(OR(G253="",D253=0),"",(D253-C253)/D253)</f>
        <v/>
      </c>
      <c r="J253" s="16" t="str">
        <f aca="false">IF(OR(G253="",G253=0),"",(G253-C253)/G253)</f>
        <v/>
      </c>
      <c r="K253" s="18" t="str">
        <f aca="false">IF(OR(G253="",D253=0),"",G253/D253-1)</f>
        <v/>
      </c>
    </row>
    <row r="254" customFormat="false" ht="15" hidden="false" customHeight="false" outlineLevel="0" collapsed="false">
      <c r="A254" s="12"/>
      <c r="B254" s="13"/>
      <c r="C254" s="14"/>
      <c r="D254" s="14"/>
      <c r="E254" s="15"/>
      <c r="F254" s="16" t="str">
        <f aca="false">IF(OR(A254="",D254=""),"",IF(E254&lt;&gt;"",E254,IF(IFERROR(INDEX('Kategori Zamları'!$B$5:$B$24,MATCH(B254,'Kategori Zamları'!$A$5:$A$24,0)),"")="",Özet!$C$3,INDEX('Kategori Zamları'!$B$5:$B$24,MATCH(B254,'Kategori Zamları'!$A$5:$A$24,0)))))</f>
        <v/>
      </c>
      <c r="G254" s="17" t="str">
        <f aca="false">IF(F254="","",ROUNDUP(ROUND(D254*(1+F254)/Özet!$C$4,6),0)*Özet!$C$4-Özet!$C$5)</f>
        <v/>
      </c>
      <c r="H254" s="17" t="str">
        <f aca="false">IF(G254="","",G254-D254)</f>
        <v/>
      </c>
      <c r="I254" s="16" t="str">
        <f aca="false">IF(OR(G254="",D254=0),"",(D254-C254)/D254)</f>
        <v/>
      </c>
      <c r="J254" s="16" t="str">
        <f aca="false">IF(OR(G254="",G254=0),"",(G254-C254)/G254)</f>
        <v/>
      </c>
      <c r="K254" s="18" t="str">
        <f aca="false">IF(OR(G254="",D254=0),"",G254/D254-1)</f>
        <v/>
      </c>
    </row>
    <row r="255" customFormat="false" ht="15" hidden="false" customHeight="false" outlineLevel="0" collapsed="false">
      <c r="A255" s="12"/>
      <c r="B255" s="13"/>
      <c r="C255" s="14"/>
      <c r="D255" s="14"/>
      <c r="E255" s="15"/>
      <c r="F255" s="16" t="str">
        <f aca="false">IF(OR(A255="",D255=""),"",IF(E255&lt;&gt;"",E255,IF(IFERROR(INDEX('Kategori Zamları'!$B$5:$B$24,MATCH(B255,'Kategori Zamları'!$A$5:$A$24,0)),"")="",Özet!$C$3,INDEX('Kategori Zamları'!$B$5:$B$24,MATCH(B255,'Kategori Zamları'!$A$5:$A$24,0)))))</f>
        <v/>
      </c>
      <c r="G255" s="17" t="str">
        <f aca="false">IF(F255="","",ROUNDUP(ROUND(D255*(1+F255)/Özet!$C$4,6),0)*Özet!$C$4-Özet!$C$5)</f>
        <v/>
      </c>
      <c r="H255" s="17" t="str">
        <f aca="false">IF(G255="","",G255-D255)</f>
        <v/>
      </c>
      <c r="I255" s="16" t="str">
        <f aca="false">IF(OR(G255="",D255=0),"",(D255-C255)/D255)</f>
        <v/>
      </c>
      <c r="J255" s="16" t="str">
        <f aca="false">IF(OR(G255="",G255=0),"",(G255-C255)/G255)</f>
        <v/>
      </c>
      <c r="K255" s="18" t="str">
        <f aca="false">IF(OR(G255="",D255=0),"",G255/D255-1)</f>
        <v/>
      </c>
    </row>
    <row r="256" customFormat="false" ht="15" hidden="false" customHeight="false" outlineLevel="0" collapsed="false">
      <c r="A256" s="12"/>
      <c r="B256" s="13"/>
      <c r="C256" s="14"/>
      <c r="D256" s="14"/>
      <c r="E256" s="15"/>
      <c r="F256" s="16" t="str">
        <f aca="false">IF(OR(A256="",D256=""),"",IF(E256&lt;&gt;"",E256,IF(IFERROR(INDEX('Kategori Zamları'!$B$5:$B$24,MATCH(B256,'Kategori Zamları'!$A$5:$A$24,0)),"")="",Özet!$C$3,INDEX('Kategori Zamları'!$B$5:$B$24,MATCH(B256,'Kategori Zamları'!$A$5:$A$24,0)))))</f>
        <v/>
      </c>
      <c r="G256" s="17" t="str">
        <f aca="false">IF(F256="","",ROUNDUP(ROUND(D256*(1+F256)/Özet!$C$4,6),0)*Özet!$C$4-Özet!$C$5)</f>
        <v/>
      </c>
      <c r="H256" s="17" t="str">
        <f aca="false">IF(G256="","",G256-D256)</f>
        <v/>
      </c>
      <c r="I256" s="16" t="str">
        <f aca="false">IF(OR(G256="",D256=0),"",(D256-C256)/D256)</f>
        <v/>
      </c>
      <c r="J256" s="16" t="str">
        <f aca="false">IF(OR(G256="",G256=0),"",(G256-C256)/G256)</f>
        <v/>
      </c>
      <c r="K256" s="18" t="str">
        <f aca="false">IF(OR(G256="",D256=0),"",G256/D256-1)</f>
        <v/>
      </c>
    </row>
    <row r="257" customFormat="false" ht="15" hidden="false" customHeight="false" outlineLevel="0" collapsed="false">
      <c r="A257" s="12"/>
      <c r="B257" s="13"/>
      <c r="C257" s="14"/>
      <c r="D257" s="14"/>
      <c r="E257" s="15"/>
      <c r="F257" s="16" t="str">
        <f aca="false">IF(OR(A257="",D257=""),"",IF(E257&lt;&gt;"",E257,IF(IFERROR(INDEX('Kategori Zamları'!$B$5:$B$24,MATCH(B257,'Kategori Zamları'!$A$5:$A$24,0)),"")="",Özet!$C$3,INDEX('Kategori Zamları'!$B$5:$B$24,MATCH(B257,'Kategori Zamları'!$A$5:$A$24,0)))))</f>
        <v/>
      </c>
      <c r="G257" s="17" t="str">
        <f aca="false">IF(F257="","",ROUNDUP(ROUND(D257*(1+F257)/Özet!$C$4,6),0)*Özet!$C$4-Özet!$C$5)</f>
        <v/>
      </c>
      <c r="H257" s="17" t="str">
        <f aca="false">IF(G257="","",G257-D257)</f>
        <v/>
      </c>
      <c r="I257" s="16" t="str">
        <f aca="false">IF(OR(G257="",D257=0),"",(D257-C257)/D257)</f>
        <v/>
      </c>
      <c r="J257" s="16" t="str">
        <f aca="false">IF(OR(G257="",G257=0),"",(G257-C257)/G257)</f>
        <v/>
      </c>
      <c r="K257" s="18" t="str">
        <f aca="false">IF(OR(G257="",D257=0),"",G257/D257-1)</f>
        <v/>
      </c>
    </row>
    <row r="258" customFormat="false" ht="15" hidden="false" customHeight="false" outlineLevel="0" collapsed="false">
      <c r="A258" s="12"/>
      <c r="B258" s="13"/>
      <c r="C258" s="14"/>
      <c r="D258" s="14"/>
      <c r="E258" s="15"/>
      <c r="F258" s="16" t="str">
        <f aca="false">IF(OR(A258="",D258=""),"",IF(E258&lt;&gt;"",E258,IF(IFERROR(INDEX('Kategori Zamları'!$B$5:$B$24,MATCH(B258,'Kategori Zamları'!$A$5:$A$24,0)),"")="",Özet!$C$3,INDEX('Kategori Zamları'!$B$5:$B$24,MATCH(B258,'Kategori Zamları'!$A$5:$A$24,0)))))</f>
        <v/>
      </c>
      <c r="G258" s="17" t="str">
        <f aca="false">IF(F258="","",ROUNDUP(ROUND(D258*(1+F258)/Özet!$C$4,6),0)*Özet!$C$4-Özet!$C$5)</f>
        <v/>
      </c>
      <c r="H258" s="17" t="str">
        <f aca="false">IF(G258="","",G258-D258)</f>
        <v/>
      </c>
      <c r="I258" s="16" t="str">
        <f aca="false">IF(OR(G258="",D258=0),"",(D258-C258)/D258)</f>
        <v/>
      </c>
      <c r="J258" s="16" t="str">
        <f aca="false">IF(OR(G258="",G258=0),"",(G258-C258)/G258)</f>
        <v/>
      </c>
      <c r="K258" s="18" t="str">
        <f aca="false">IF(OR(G258="",D258=0),"",G258/D258-1)</f>
        <v/>
      </c>
    </row>
    <row r="259" customFormat="false" ht="15" hidden="false" customHeight="false" outlineLevel="0" collapsed="false">
      <c r="A259" s="12"/>
      <c r="B259" s="13"/>
      <c r="C259" s="14"/>
      <c r="D259" s="14"/>
      <c r="E259" s="15"/>
      <c r="F259" s="16" t="str">
        <f aca="false">IF(OR(A259="",D259=""),"",IF(E259&lt;&gt;"",E259,IF(IFERROR(INDEX('Kategori Zamları'!$B$5:$B$24,MATCH(B259,'Kategori Zamları'!$A$5:$A$24,0)),"")="",Özet!$C$3,INDEX('Kategori Zamları'!$B$5:$B$24,MATCH(B259,'Kategori Zamları'!$A$5:$A$24,0)))))</f>
        <v/>
      </c>
      <c r="G259" s="17" t="str">
        <f aca="false">IF(F259="","",ROUNDUP(ROUND(D259*(1+F259)/Özet!$C$4,6),0)*Özet!$C$4-Özet!$C$5)</f>
        <v/>
      </c>
      <c r="H259" s="17" t="str">
        <f aca="false">IF(G259="","",G259-D259)</f>
        <v/>
      </c>
      <c r="I259" s="16" t="str">
        <f aca="false">IF(OR(G259="",D259=0),"",(D259-C259)/D259)</f>
        <v/>
      </c>
      <c r="J259" s="16" t="str">
        <f aca="false">IF(OR(G259="",G259=0),"",(G259-C259)/G259)</f>
        <v/>
      </c>
      <c r="K259" s="18" t="str">
        <f aca="false">IF(OR(G259="",D259=0),"",G259/D259-1)</f>
        <v/>
      </c>
    </row>
    <row r="260" customFormat="false" ht="15" hidden="false" customHeight="false" outlineLevel="0" collapsed="false">
      <c r="A260" s="12"/>
      <c r="B260" s="13"/>
      <c r="C260" s="14"/>
      <c r="D260" s="14"/>
      <c r="E260" s="15"/>
      <c r="F260" s="16" t="str">
        <f aca="false">IF(OR(A260="",D260=""),"",IF(E260&lt;&gt;"",E260,IF(IFERROR(INDEX('Kategori Zamları'!$B$5:$B$24,MATCH(B260,'Kategori Zamları'!$A$5:$A$24,0)),"")="",Özet!$C$3,INDEX('Kategori Zamları'!$B$5:$B$24,MATCH(B260,'Kategori Zamları'!$A$5:$A$24,0)))))</f>
        <v/>
      </c>
      <c r="G260" s="17" t="str">
        <f aca="false">IF(F260="","",ROUNDUP(ROUND(D260*(1+F260)/Özet!$C$4,6),0)*Özet!$C$4-Özet!$C$5)</f>
        <v/>
      </c>
      <c r="H260" s="17" t="str">
        <f aca="false">IF(G260="","",G260-D260)</f>
        <v/>
      </c>
      <c r="I260" s="16" t="str">
        <f aca="false">IF(OR(G260="",D260=0),"",(D260-C260)/D260)</f>
        <v/>
      </c>
      <c r="J260" s="16" t="str">
        <f aca="false">IF(OR(G260="",G260=0),"",(G260-C260)/G260)</f>
        <v/>
      </c>
      <c r="K260" s="18" t="str">
        <f aca="false">IF(OR(G260="",D260=0),"",G260/D260-1)</f>
        <v/>
      </c>
    </row>
    <row r="261" customFormat="false" ht="15" hidden="false" customHeight="false" outlineLevel="0" collapsed="false">
      <c r="A261" s="12"/>
      <c r="B261" s="13"/>
      <c r="C261" s="14"/>
      <c r="D261" s="14"/>
      <c r="E261" s="15"/>
      <c r="F261" s="16" t="str">
        <f aca="false">IF(OR(A261="",D261=""),"",IF(E261&lt;&gt;"",E261,IF(IFERROR(INDEX('Kategori Zamları'!$B$5:$B$24,MATCH(B261,'Kategori Zamları'!$A$5:$A$24,0)),"")="",Özet!$C$3,INDEX('Kategori Zamları'!$B$5:$B$24,MATCH(B261,'Kategori Zamları'!$A$5:$A$24,0)))))</f>
        <v/>
      </c>
      <c r="G261" s="17" t="str">
        <f aca="false">IF(F261="","",ROUNDUP(ROUND(D261*(1+F261)/Özet!$C$4,6),0)*Özet!$C$4-Özet!$C$5)</f>
        <v/>
      </c>
      <c r="H261" s="17" t="str">
        <f aca="false">IF(G261="","",G261-D261)</f>
        <v/>
      </c>
      <c r="I261" s="16" t="str">
        <f aca="false">IF(OR(G261="",D261=0),"",(D261-C261)/D261)</f>
        <v/>
      </c>
      <c r="J261" s="16" t="str">
        <f aca="false">IF(OR(G261="",G261=0),"",(G261-C261)/G261)</f>
        <v/>
      </c>
      <c r="K261" s="18" t="str">
        <f aca="false">IF(OR(G261="",D261=0),"",G261/D261-1)</f>
        <v/>
      </c>
    </row>
    <row r="262" customFormat="false" ht="15" hidden="false" customHeight="false" outlineLevel="0" collapsed="false">
      <c r="A262" s="12"/>
      <c r="B262" s="13"/>
      <c r="C262" s="14"/>
      <c r="D262" s="14"/>
      <c r="E262" s="15"/>
      <c r="F262" s="16" t="str">
        <f aca="false">IF(OR(A262="",D262=""),"",IF(E262&lt;&gt;"",E262,IF(IFERROR(INDEX('Kategori Zamları'!$B$5:$B$24,MATCH(B262,'Kategori Zamları'!$A$5:$A$24,0)),"")="",Özet!$C$3,INDEX('Kategori Zamları'!$B$5:$B$24,MATCH(B262,'Kategori Zamları'!$A$5:$A$24,0)))))</f>
        <v/>
      </c>
      <c r="G262" s="17" t="str">
        <f aca="false">IF(F262="","",ROUNDUP(ROUND(D262*(1+F262)/Özet!$C$4,6),0)*Özet!$C$4-Özet!$C$5)</f>
        <v/>
      </c>
      <c r="H262" s="17" t="str">
        <f aca="false">IF(G262="","",G262-D262)</f>
        <v/>
      </c>
      <c r="I262" s="16" t="str">
        <f aca="false">IF(OR(G262="",D262=0),"",(D262-C262)/D262)</f>
        <v/>
      </c>
      <c r="J262" s="16" t="str">
        <f aca="false">IF(OR(G262="",G262=0),"",(G262-C262)/G262)</f>
        <v/>
      </c>
      <c r="K262" s="18" t="str">
        <f aca="false">IF(OR(G262="",D262=0),"",G262/D262-1)</f>
        <v/>
      </c>
    </row>
    <row r="263" customFormat="false" ht="15" hidden="false" customHeight="false" outlineLevel="0" collapsed="false">
      <c r="A263" s="12"/>
      <c r="B263" s="13"/>
      <c r="C263" s="14"/>
      <c r="D263" s="14"/>
      <c r="E263" s="15"/>
      <c r="F263" s="16" t="str">
        <f aca="false">IF(OR(A263="",D263=""),"",IF(E263&lt;&gt;"",E263,IF(IFERROR(INDEX('Kategori Zamları'!$B$5:$B$24,MATCH(B263,'Kategori Zamları'!$A$5:$A$24,0)),"")="",Özet!$C$3,INDEX('Kategori Zamları'!$B$5:$B$24,MATCH(B263,'Kategori Zamları'!$A$5:$A$24,0)))))</f>
        <v/>
      </c>
      <c r="G263" s="17" t="str">
        <f aca="false">IF(F263="","",ROUNDUP(ROUND(D263*(1+F263)/Özet!$C$4,6),0)*Özet!$C$4-Özet!$C$5)</f>
        <v/>
      </c>
      <c r="H263" s="17" t="str">
        <f aca="false">IF(G263="","",G263-D263)</f>
        <v/>
      </c>
      <c r="I263" s="16" t="str">
        <f aca="false">IF(OR(G263="",D263=0),"",(D263-C263)/D263)</f>
        <v/>
      </c>
      <c r="J263" s="16" t="str">
        <f aca="false">IF(OR(G263="",G263=0),"",(G263-C263)/G263)</f>
        <v/>
      </c>
      <c r="K263" s="18" t="str">
        <f aca="false">IF(OR(G263="",D263=0),"",G263/D263-1)</f>
        <v/>
      </c>
    </row>
    <row r="264" customFormat="false" ht="15" hidden="false" customHeight="false" outlineLevel="0" collapsed="false">
      <c r="A264" s="12"/>
      <c r="B264" s="13"/>
      <c r="C264" s="14"/>
      <c r="D264" s="14"/>
      <c r="E264" s="15"/>
      <c r="F264" s="16" t="str">
        <f aca="false">IF(OR(A264="",D264=""),"",IF(E264&lt;&gt;"",E264,IF(IFERROR(INDEX('Kategori Zamları'!$B$5:$B$24,MATCH(B264,'Kategori Zamları'!$A$5:$A$24,0)),"")="",Özet!$C$3,INDEX('Kategori Zamları'!$B$5:$B$24,MATCH(B264,'Kategori Zamları'!$A$5:$A$24,0)))))</f>
        <v/>
      </c>
      <c r="G264" s="17" t="str">
        <f aca="false">IF(F264="","",ROUNDUP(ROUND(D264*(1+F264)/Özet!$C$4,6),0)*Özet!$C$4-Özet!$C$5)</f>
        <v/>
      </c>
      <c r="H264" s="17" t="str">
        <f aca="false">IF(G264="","",G264-D264)</f>
        <v/>
      </c>
      <c r="I264" s="16" t="str">
        <f aca="false">IF(OR(G264="",D264=0),"",(D264-C264)/D264)</f>
        <v/>
      </c>
      <c r="J264" s="16" t="str">
        <f aca="false">IF(OR(G264="",G264=0),"",(G264-C264)/G264)</f>
        <v/>
      </c>
      <c r="K264" s="18" t="str">
        <f aca="false">IF(OR(G264="",D264=0),"",G264/D264-1)</f>
        <v/>
      </c>
    </row>
    <row r="265" customFormat="false" ht="15" hidden="false" customHeight="false" outlineLevel="0" collapsed="false">
      <c r="A265" s="12"/>
      <c r="B265" s="13"/>
      <c r="C265" s="14"/>
      <c r="D265" s="14"/>
      <c r="E265" s="15"/>
      <c r="F265" s="16" t="str">
        <f aca="false">IF(OR(A265="",D265=""),"",IF(E265&lt;&gt;"",E265,IF(IFERROR(INDEX('Kategori Zamları'!$B$5:$B$24,MATCH(B265,'Kategori Zamları'!$A$5:$A$24,0)),"")="",Özet!$C$3,INDEX('Kategori Zamları'!$B$5:$B$24,MATCH(B265,'Kategori Zamları'!$A$5:$A$24,0)))))</f>
        <v/>
      </c>
      <c r="G265" s="17" t="str">
        <f aca="false">IF(F265="","",ROUNDUP(ROUND(D265*(1+F265)/Özet!$C$4,6),0)*Özet!$C$4-Özet!$C$5)</f>
        <v/>
      </c>
      <c r="H265" s="17" t="str">
        <f aca="false">IF(G265="","",G265-D265)</f>
        <v/>
      </c>
      <c r="I265" s="16" t="str">
        <f aca="false">IF(OR(G265="",D265=0),"",(D265-C265)/D265)</f>
        <v/>
      </c>
      <c r="J265" s="16" t="str">
        <f aca="false">IF(OR(G265="",G265=0),"",(G265-C265)/G265)</f>
        <v/>
      </c>
      <c r="K265" s="18" t="str">
        <f aca="false">IF(OR(G265="",D265=0),"",G265/D265-1)</f>
        <v/>
      </c>
    </row>
    <row r="266" customFormat="false" ht="15" hidden="false" customHeight="false" outlineLevel="0" collapsed="false">
      <c r="A266" s="12"/>
      <c r="B266" s="13"/>
      <c r="C266" s="14"/>
      <c r="D266" s="14"/>
      <c r="E266" s="15"/>
      <c r="F266" s="16" t="str">
        <f aca="false">IF(OR(A266="",D266=""),"",IF(E266&lt;&gt;"",E266,IF(IFERROR(INDEX('Kategori Zamları'!$B$5:$B$24,MATCH(B266,'Kategori Zamları'!$A$5:$A$24,0)),"")="",Özet!$C$3,INDEX('Kategori Zamları'!$B$5:$B$24,MATCH(B266,'Kategori Zamları'!$A$5:$A$24,0)))))</f>
        <v/>
      </c>
      <c r="G266" s="17" t="str">
        <f aca="false">IF(F266="","",ROUNDUP(ROUND(D266*(1+F266)/Özet!$C$4,6),0)*Özet!$C$4-Özet!$C$5)</f>
        <v/>
      </c>
      <c r="H266" s="17" t="str">
        <f aca="false">IF(G266="","",G266-D266)</f>
        <v/>
      </c>
      <c r="I266" s="16" t="str">
        <f aca="false">IF(OR(G266="",D266=0),"",(D266-C266)/D266)</f>
        <v/>
      </c>
      <c r="J266" s="16" t="str">
        <f aca="false">IF(OR(G266="",G266=0),"",(G266-C266)/G266)</f>
        <v/>
      </c>
      <c r="K266" s="18" t="str">
        <f aca="false">IF(OR(G266="",D266=0),"",G266/D266-1)</f>
        <v/>
      </c>
    </row>
    <row r="267" customFormat="false" ht="15" hidden="false" customHeight="false" outlineLevel="0" collapsed="false">
      <c r="A267" s="12"/>
      <c r="B267" s="13"/>
      <c r="C267" s="14"/>
      <c r="D267" s="14"/>
      <c r="E267" s="15"/>
      <c r="F267" s="16" t="str">
        <f aca="false">IF(OR(A267="",D267=""),"",IF(E267&lt;&gt;"",E267,IF(IFERROR(INDEX('Kategori Zamları'!$B$5:$B$24,MATCH(B267,'Kategori Zamları'!$A$5:$A$24,0)),"")="",Özet!$C$3,INDEX('Kategori Zamları'!$B$5:$B$24,MATCH(B267,'Kategori Zamları'!$A$5:$A$24,0)))))</f>
        <v/>
      </c>
      <c r="G267" s="17" t="str">
        <f aca="false">IF(F267="","",ROUNDUP(ROUND(D267*(1+F267)/Özet!$C$4,6),0)*Özet!$C$4-Özet!$C$5)</f>
        <v/>
      </c>
      <c r="H267" s="17" t="str">
        <f aca="false">IF(G267="","",G267-D267)</f>
        <v/>
      </c>
      <c r="I267" s="16" t="str">
        <f aca="false">IF(OR(G267="",D267=0),"",(D267-C267)/D267)</f>
        <v/>
      </c>
      <c r="J267" s="16" t="str">
        <f aca="false">IF(OR(G267="",G267=0),"",(G267-C267)/G267)</f>
        <v/>
      </c>
      <c r="K267" s="18" t="str">
        <f aca="false">IF(OR(G267="",D267=0),"",G267/D267-1)</f>
        <v/>
      </c>
    </row>
    <row r="268" customFormat="false" ht="15" hidden="false" customHeight="false" outlineLevel="0" collapsed="false">
      <c r="A268" s="12"/>
      <c r="B268" s="13"/>
      <c r="C268" s="14"/>
      <c r="D268" s="14"/>
      <c r="E268" s="15"/>
      <c r="F268" s="16" t="str">
        <f aca="false">IF(OR(A268="",D268=""),"",IF(E268&lt;&gt;"",E268,IF(IFERROR(INDEX('Kategori Zamları'!$B$5:$B$24,MATCH(B268,'Kategori Zamları'!$A$5:$A$24,0)),"")="",Özet!$C$3,INDEX('Kategori Zamları'!$B$5:$B$24,MATCH(B268,'Kategori Zamları'!$A$5:$A$24,0)))))</f>
        <v/>
      </c>
      <c r="G268" s="17" t="str">
        <f aca="false">IF(F268="","",ROUNDUP(ROUND(D268*(1+F268)/Özet!$C$4,6),0)*Özet!$C$4-Özet!$C$5)</f>
        <v/>
      </c>
      <c r="H268" s="17" t="str">
        <f aca="false">IF(G268="","",G268-D268)</f>
        <v/>
      </c>
      <c r="I268" s="16" t="str">
        <f aca="false">IF(OR(G268="",D268=0),"",(D268-C268)/D268)</f>
        <v/>
      </c>
      <c r="J268" s="16" t="str">
        <f aca="false">IF(OR(G268="",G268=0),"",(G268-C268)/G268)</f>
        <v/>
      </c>
      <c r="K268" s="18" t="str">
        <f aca="false">IF(OR(G268="",D268=0),"",G268/D268-1)</f>
        <v/>
      </c>
    </row>
    <row r="269" customFormat="false" ht="15" hidden="false" customHeight="false" outlineLevel="0" collapsed="false">
      <c r="A269" s="12"/>
      <c r="B269" s="13"/>
      <c r="C269" s="14"/>
      <c r="D269" s="14"/>
      <c r="E269" s="15"/>
      <c r="F269" s="16" t="str">
        <f aca="false">IF(OR(A269="",D269=""),"",IF(E269&lt;&gt;"",E269,IF(IFERROR(INDEX('Kategori Zamları'!$B$5:$B$24,MATCH(B269,'Kategori Zamları'!$A$5:$A$24,0)),"")="",Özet!$C$3,INDEX('Kategori Zamları'!$B$5:$B$24,MATCH(B269,'Kategori Zamları'!$A$5:$A$24,0)))))</f>
        <v/>
      </c>
      <c r="G269" s="17" t="str">
        <f aca="false">IF(F269="","",ROUNDUP(ROUND(D269*(1+F269)/Özet!$C$4,6),0)*Özet!$C$4-Özet!$C$5)</f>
        <v/>
      </c>
      <c r="H269" s="17" t="str">
        <f aca="false">IF(G269="","",G269-D269)</f>
        <v/>
      </c>
      <c r="I269" s="16" t="str">
        <f aca="false">IF(OR(G269="",D269=0),"",(D269-C269)/D269)</f>
        <v/>
      </c>
      <c r="J269" s="16" t="str">
        <f aca="false">IF(OR(G269="",G269=0),"",(G269-C269)/G269)</f>
        <v/>
      </c>
      <c r="K269" s="18" t="str">
        <f aca="false">IF(OR(G269="",D269=0),"",G269/D269-1)</f>
        <v/>
      </c>
    </row>
    <row r="270" customFormat="false" ht="15" hidden="false" customHeight="false" outlineLevel="0" collapsed="false">
      <c r="A270" s="12"/>
      <c r="B270" s="13"/>
      <c r="C270" s="14"/>
      <c r="D270" s="14"/>
      <c r="E270" s="15"/>
      <c r="F270" s="16" t="str">
        <f aca="false">IF(OR(A270="",D270=""),"",IF(E270&lt;&gt;"",E270,IF(IFERROR(INDEX('Kategori Zamları'!$B$5:$B$24,MATCH(B270,'Kategori Zamları'!$A$5:$A$24,0)),"")="",Özet!$C$3,INDEX('Kategori Zamları'!$B$5:$B$24,MATCH(B270,'Kategori Zamları'!$A$5:$A$24,0)))))</f>
        <v/>
      </c>
      <c r="G270" s="17" t="str">
        <f aca="false">IF(F270="","",ROUNDUP(ROUND(D270*(1+F270)/Özet!$C$4,6),0)*Özet!$C$4-Özet!$C$5)</f>
        <v/>
      </c>
      <c r="H270" s="17" t="str">
        <f aca="false">IF(G270="","",G270-D270)</f>
        <v/>
      </c>
      <c r="I270" s="16" t="str">
        <f aca="false">IF(OR(G270="",D270=0),"",(D270-C270)/D270)</f>
        <v/>
      </c>
      <c r="J270" s="16" t="str">
        <f aca="false">IF(OR(G270="",G270=0),"",(G270-C270)/G270)</f>
        <v/>
      </c>
      <c r="K270" s="18" t="str">
        <f aca="false">IF(OR(G270="",D270=0),"",G270/D270-1)</f>
        <v/>
      </c>
    </row>
    <row r="271" customFormat="false" ht="15" hidden="false" customHeight="false" outlineLevel="0" collapsed="false">
      <c r="A271" s="12"/>
      <c r="B271" s="13"/>
      <c r="C271" s="14"/>
      <c r="D271" s="14"/>
      <c r="E271" s="15"/>
      <c r="F271" s="16" t="str">
        <f aca="false">IF(OR(A271="",D271=""),"",IF(E271&lt;&gt;"",E271,IF(IFERROR(INDEX('Kategori Zamları'!$B$5:$B$24,MATCH(B271,'Kategori Zamları'!$A$5:$A$24,0)),"")="",Özet!$C$3,INDEX('Kategori Zamları'!$B$5:$B$24,MATCH(B271,'Kategori Zamları'!$A$5:$A$24,0)))))</f>
        <v/>
      </c>
      <c r="G271" s="17" t="str">
        <f aca="false">IF(F271="","",ROUNDUP(ROUND(D271*(1+F271)/Özet!$C$4,6),0)*Özet!$C$4-Özet!$C$5)</f>
        <v/>
      </c>
      <c r="H271" s="17" t="str">
        <f aca="false">IF(G271="","",G271-D271)</f>
        <v/>
      </c>
      <c r="I271" s="16" t="str">
        <f aca="false">IF(OR(G271="",D271=0),"",(D271-C271)/D271)</f>
        <v/>
      </c>
      <c r="J271" s="16" t="str">
        <f aca="false">IF(OR(G271="",G271=0),"",(G271-C271)/G271)</f>
        <v/>
      </c>
      <c r="K271" s="18" t="str">
        <f aca="false">IF(OR(G271="",D271=0),"",G271/D271-1)</f>
        <v/>
      </c>
    </row>
    <row r="272" customFormat="false" ht="15" hidden="false" customHeight="false" outlineLevel="0" collapsed="false">
      <c r="A272" s="12"/>
      <c r="B272" s="13"/>
      <c r="C272" s="14"/>
      <c r="D272" s="14"/>
      <c r="E272" s="15"/>
      <c r="F272" s="16" t="str">
        <f aca="false">IF(OR(A272="",D272=""),"",IF(E272&lt;&gt;"",E272,IF(IFERROR(INDEX('Kategori Zamları'!$B$5:$B$24,MATCH(B272,'Kategori Zamları'!$A$5:$A$24,0)),"")="",Özet!$C$3,INDEX('Kategori Zamları'!$B$5:$B$24,MATCH(B272,'Kategori Zamları'!$A$5:$A$24,0)))))</f>
        <v/>
      </c>
      <c r="G272" s="17" t="str">
        <f aca="false">IF(F272="","",ROUNDUP(ROUND(D272*(1+F272)/Özet!$C$4,6),0)*Özet!$C$4-Özet!$C$5)</f>
        <v/>
      </c>
      <c r="H272" s="17" t="str">
        <f aca="false">IF(G272="","",G272-D272)</f>
        <v/>
      </c>
      <c r="I272" s="16" t="str">
        <f aca="false">IF(OR(G272="",D272=0),"",(D272-C272)/D272)</f>
        <v/>
      </c>
      <c r="J272" s="16" t="str">
        <f aca="false">IF(OR(G272="",G272=0),"",(G272-C272)/G272)</f>
        <v/>
      </c>
      <c r="K272" s="18" t="str">
        <f aca="false">IF(OR(G272="",D272=0),"",G272/D272-1)</f>
        <v/>
      </c>
    </row>
    <row r="273" customFormat="false" ht="15" hidden="false" customHeight="false" outlineLevel="0" collapsed="false">
      <c r="A273" s="12"/>
      <c r="B273" s="13"/>
      <c r="C273" s="14"/>
      <c r="D273" s="14"/>
      <c r="E273" s="15"/>
      <c r="F273" s="16" t="str">
        <f aca="false">IF(OR(A273="",D273=""),"",IF(E273&lt;&gt;"",E273,IF(IFERROR(INDEX('Kategori Zamları'!$B$5:$B$24,MATCH(B273,'Kategori Zamları'!$A$5:$A$24,0)),"")="",Özet!$C$3,INDEX('Kategori Zamları'!$B$5:$B$24,MATCH(B273,'Kategori Zamları'!$A$5:$A$24,0)))))</f>
        <v/>
      </c>
      <c r="G273" s="17" t="str">
        <f aca="false">IF(F273="","",ROUNDUP(ROUND(D273*(1+F273)/Özet!$C$4,6),0)*Özet!$C$4-Özet!$C$5)</f>
        <v/>
      </c>
      <c r="H273" s="17" t="str">
        <f aca="false">IF(G273="","",G273-D273)</f>
        <v/>
      </c>
      <c r="I273" s="16" t="str">
        <f aca="false">IF(OR(G273="",D273=0),"",(D273-C273)/D273)</f>
        <v/>
      </c>
      <c r="J273" s="16" t="str">
        <f aca="false">IF(OR(G273="",G273=0),"",(G273-C273)/G273)</f>
        <v/>
      </c>
      <c r="K273" s="18" t="str">
        <f aca="false">IF(OR(G273="",D273=0),"",G273/D273-1)</f>
        <v/>
      </c>
    </row>
    <row r="274" customFormat="false" ht="15" hidden="false" customHeight="false" outlineLevel="0" collapsed="false">
      <c r="A274" s="12"/>
      <c r="B274" s="13"/>
      <c r="C274" s="14"/>
      <c r="D274" s="14"/>
      <c r="E274" s="15"/>
      <c r="F274" s="16" t="str">
        <f aca="false">IF(OR(A274="",D274=""),"",IF(E274&lt;&gt;"",E274,IF(IFERROR(INDEX('Kategori Zamları'!$B$5:$B$24,MATCH(B274,'Kategori Zamları'!$A$5:$A$24,0)),"")="",Özet!$C$3,INDEX('Kategori Zamları'!$B$5:$B$24,MATCH(B274,'Kategori Zamları'!$A$5:$A$24,0)))))</f>
        <v/>
      </c>
      <c r="G274" s="17" t="str">
        <f aca="false">IF(F274="","",ROUNDUP(ROUND(D274*(1+F274)/Özet!$C$4,6),0)*Özet!$C$4-Özet!$C$5)</f>
        <v/>
      </c>
      <c r="H274" s="17" t="str">
        <f aca="false">IF(G274="","",G274-D274)</f>
        <v/>
      </c>
      <c r="I274" s="16" t="str">
        <f aca="false">IF(OR(G274="",D274=0),"",(D274-C274)/D274)</f>
        <v/>
      </c>
      <c r="J274" s="16" t="str">
        <f aca="false">IF(OR(G274="",G274=0),"",(G274-C274)/G274)</f>
        <v/>
      </c>
      <c r="K274" s="18" t="str">
        <f aca="false">IF(OR(G274="",D274=0),"",G274/D274-1)</f>
        <v/>
      </c>
    </row>
    <row r="275" customFormat="false" ht="15" hidden="false" customHeight="false" outlineLevel="0" collapsed="false">
      <c r="A275" s="12"/>
      <c r="B275" s="13"/>
      <c r="C275" s="14"/>
      <c r="D275" s="14"/>
      <c r="E275" s="15"/>
      <c r="F275" s="16" t="str">
        <f aca="false">IF(OR(A275="",D275=""),"",IF(E275&lt;&gt;"",E275,IF(IFERROR(INDEX('Kategori Zamları'!$B$5:$B$24,MATCH(B275,'Kategori Zamları'!$A$5:$A$24,0)),"")="",Özet!$C$3,INDEX('Kategori Zamları'!$B$5:$B$24,MATCH(B275,'Kategori Zamları'!$A$5:$A$24,0)))))</f>
        <v/>
      </c>
      <c r="G275" s="17" t="str">
        <f aca="false">IF(F275="","",ROUNDUP(ROUND(D275*(1+F275)/Özet!$C$4,6),0)*Özet!$C$4-Özet!$C$5)</f>
        <v/>
      </c>
      <c r="H275" s="17" t="str">
        <f aca="false">IF(G275="","",G275-D275)</f>
        <v/>
      </c>
      <c r="I275" s="16" t="str">
        <f aca="false">IF(OR(G275="",D275=0),"",(D275-C275)/D275)</f>
        <v/>
      </c>
      <c r="J275" s="16" t="str">
        <f aca="false">IF(OR(G275="",G275=0),"",(G275-C275)/G275)</f>
        <v/>
      </c>
      <c r="K275" s="18" t="str">
        <f aca="false">IF(OR(G275="",D275=0),"",G275/D275-1)</f>
        <v/>
      </c>
    </row>
    <row r="276" customFormat="false" ht="15" hidden="false" customHeight="false" outlineLevel="0" collapsed="false">
      <c r="A276" s="12"/>
      <c r="B276" s="13"/>
      <c r="C276" s="14"/>
      <c r="D276" s="14"/>
      <c r="E276" s="15"/>
      <c r="F276" s="16" t="str">
        <f aca="false">IF(OR(A276="",D276=""),"",IF(E276&lt;&gt;"",E276,IF(IFERROR(INDEX('Kategori Zamları'!$B$5:$B$24,MATCH(B276,'Kategori Zamları'!$A$5:$A$24,0)),"")="",Özet!$C$3,INDEX('Kategori Zamları'!$B$5:$B$24,MATCH(B276,'Kategori Zamları'!$A$5:$A$24,0)))))</f>
        <v/>
      </c>
      <c r="G276" s="17" t="str">
        <f aca="false">IF(F276="","",ROUNDUP(ROUND(D276*(1+F276)/Özet!$C$4,6),0)*Özet!$C$4-Özet!$C$5)</f>
        <v/>
      </c>
      <c r="H276" s="17" t="str">
        <f aca="false">IF(G276="","",G276-D276)</f>
        <v/>
      </c>
      <c r="I276" s="16" t="str">
        <f aca="false">IF(OR(G276="",D276=0),"",(D276-C276)/D276)</f>
        <v/>
      </c>
      <c r="J276" s="16" t="str">
        <f aca="false">IF(OR(G276="",G276=0),"",(G276-C276)/G276)</f>
        <v/>
      </c>
      <c r="K276" s="18" t="str">
        <f aca="false">IF(OR(G276="",D276=0),"",G276/D276-1)</f>
        <v/>
      </c>
    </row>
    <row r="277" customFormat="false" ht="15" hidden="false" customHeight="false" outlineLevel="0" collapsed="false">
      <c r="A277" s="12"/>
      <c r="B277" s="13"/>
      <c r="C277" s="14"/>
      <c r="D277" s="14"/>
      <c r="E277" s="15"/>
      <c r="F277" s="16" t="str">
        <f aca="false">IF(OR(A277="",D277=""),"",IF(E277&lt;&gt;"",E277,IF(IFERROR(INDEX('Kategori Zamları'!$B$5:$B$24,MATCH(B277,'Kategori Zamları'!$A$5:$A$24,0)),"")="",Özet!$C$3,INDEX('Kategori Zamları'!$B$5:$B$24,MATCH(B277,'Kategori Zamları'!$A$5:$A$24,0)))))</f>
        <v/>
      </c>
      <c r="G277" s="17" t="str">
        <f aca="false">IF(F277="","",ROUNDUP(ROUND(D277*(1+F277)/Özet!$C$4,6),0)*Özet!$C$4-Özet!$C$5)</f>
        <v/>
      </c>
      <c r="H277" s="17" t="str">
        <f aca="false">IF(G277="","",G277-D277)</f>
        <v/>
      </c>
      <c r="I277" s="16" t="str">
        <f aca="false">IF(OR(G277="",D277=0),"",(D277-C277)/D277)</f>
        <v/>
      </c>
      <c r="J277" s="16" t="str">
        <f aca="false">IF(OR(G277="",G277=0),"",(G277-C277)/G277)</f>
        <v/>
      </c>
      <c r="K277" s="18" t="str">
        <f aca="false">IF(OR(G277="",D277=0),"",G277/D277-1)</f>
        <v/>
      </c>
    </row>
    <row r="278" customFormat="false" ht="15" hidden="false" customHeight="false" outlineLevel="0" collapsed="false">
      <c r="A278" s="12"/>
      <c r="B278" s="13"/>
      <c r="C278" s="14"/>
      <c r="D278" s="14"/>
      <c r="E278" s="15"/>
      <c r="F278" s="16" t="str">
        <f aca="false">IF(OR(A278="",D278=""),"",IF(E278&lt;&gt;"",E278,IF(IFERROR(INDEX('Kategori Zamları'!$B$5:$B$24,MATCH(B278,'Kategori Zamları'!$A$5:$A$24,0)),"")="",Özet!$C$3,INDEX('Kategori Zamları'!$B$5:$B$24,MATCH(B278,'Kategori Zamları'!$A$5:$A$24,0)))))</f>
        <v/>
      </c>
      <c r="G278" s="17" t="str">
        <f aca="false">IF(F278="","",ROUNDUP(ROUND(D278*(1+F278)/Özet!$C$4,6),0)*Özet!$C$4-Özet!$C$5)</f>
        <v/>
      </c>
      <c r="H278" s="17" t="str">
        <f aca="false">IF(G278="","",G278-D278)</f>
        <v/>
      </c>
      <c r="I278" s="16" t="str">
        <f aca="false">IF(OR(G278="",D278=0),"",(D278-C278)/D278)</f>
        <v/>
      </c>
      <c r="J278" s="16" t="str">
        <f aca="false">IF(OR(G278="",G278=0),"",(G278-C278)/G278)</f>
        <v/>
      </c>
      <c r="K278" s="18" t="str">
        <f aca="false">IF(OR(G278="",D278=0),"",G278/D278-1)</f>
        <v/>
      </c>
    </row>
    <row r="279" customFormat="false" ht="15" hidden="false" customHeight="false" outlineLevel="0" collapsed="false">
      <c r="A279" s="12"/>
      <c r="B279" s="13"/>
      <c r="C279" s="14"/>
      <c r="D279" s="14"/>
      <c r="E279" s="15"/>
      <c r="F279" s="16" t="str">
        <f aca="false">IF(OR(A279="",D279=""),"",IF(E279&lt;&gt;"",E279,IF(IFERROR(INDEX('Kategori Zamları'!$B$5:$B$24,MATCH(B279,'Kategori Zamları'!$A$5:$A$24,0)),"")="",Özet!$C$3,INDEX('Kategori Zamları'!$B$5:$B$24,MATCH(B279,'Kategori Zamları'!$A$5:$A$24,0)))))</f>
        <v/>
      </c>
      <c r="G279" s="17" t="str">
        <f aca="false">IF(F279="","",ROUNDUP(ROUND(D279*(1+F279)/Özet!$C$4,6),0)*Özet!$C$4-Özet!$C$5)</f>
        <v/>
      </c>
      <c r="H279" s="17" t="str">
        <f aca="false">IF(G279="","",G279-D279)</f>
        <v/>
      </c>
      <c r="I279" s="16" t="str">
        <f aca="false">IF(OR(G279="",D279=0),"",(D279-C279)/D279)</f>
        <v/>
      </c>
      <c r="J279" s="16" t="str">
        <f aca="false">IF(OR(G279="",G279=0),"",(G279-C279)/G279)</f>
        <v/>
      </c>
      <c r="K279" s="18" t="str">
        <f aca="false">IF(OR(G279="",D279=0),"",G279/D279-1)</f>
        <v/>
      </c>
    </row>
    <row r="280" customFormat="false" ht="15" hidden="false" customHeight="false" outlineLevel="0" collapsed="false">
      <c r="A280" s="12"/>
      <c r="B280" s="13"/>
      <c r="C280" s="14"/>
      <c r="D280" s="14"/>
      <c r="E280" s="15"/>
      <c r="F280" s="16" t="str">
        <f aca="false">IF(OR(A280="",D280=""),"",IF(E280&lt;&gt;"",E280,IF(IFERROR(INDEX('Kategori Zamları'!$B$5:$B$24,MATCH(B280,'Kategori Zamları'!$A$5:$A$24,0)),"")="",Özet!$C$3,INDEX('Kategori Zamları'!$B$5:$B$24,MATCH(B280,'Kategori Zamları'!$A$5:$A$24,0)))))</f>
        <v/>
      </c>
      <c r="G280" s="17" t="str">
        <f aca="false">IF(F280="","",ROUNDUP(ROUND(D280*(1+F280)/Özet!$C$4,6),0)*Özet!$C$4-Özet!$C$5)</f>
        <v/>
      </c>
      <c r="H280" s="17" t="str">
        <f aca="false">IF(G280="","",G280-D280)</f>
        <v/>
      </c>
      <c r="I280" s="16" t="str">
        <f aca="false">IF(OR(G280="",D280=0),"",(D280-C280)/D280)</f>
        <v/>
      </c>
      <c r="J280" s="16" t="str">
        <f aca="false">IF(OR(G280="",G280=0),"",(G280-C280)/G280)</f>
        <v/>
      </c>
      <c r="K280" s="18" t="str">
        <f aca="false">IF(OR(G280="",D280=0),"",G280/D280-1)</f>
        <v/>
      </c>
    </row>
    <row r="281" customFormat="false" ht="15" hidden="false" customHeight="false" outlineLevel="0" collapsed="false">
      <c r="A281" s="12"/>
      <c r="B281" s="13"/>
      <c r="C281" s="14"/>
      <c r="D281" s="14"/>
      <c r="E281" s="15"/>
      <c r="F281" s="16" t="str">
        <f aca="false">IF(OR(A281="",D281=""),"",IF(E281&lt;&gt;"",E281,IF(IFERROR(INDEX('Kategori Zamları'!$B$5:$B$24,MATCH(B281,'Kategori Zamları'!$A$5:$A$24,0)),"")="",Özet!$C$3,INDEX('Kategori Zamları'!$B$5:$B$24,MATCH(B281,'Kategori Zamları'!$A$5:$A$24,0)))))</f>
        <v/>
      </c>
      <c r="G281" s="17" t="str">
        <f aca="false">IF(F281="","",ROUNDUP(ROUND(D281*(1+F281)/Özet!$C$4,6),0)*Özet!$C$4-Özet!$C$5)</f>
        <v/>
      </c>
      <c r="H281" s="17" t="str">
        <f aca="false">IF(G281="","",G281-D281)</f>
        <v/>
      </c>
      <c r="I281" s="16" t="str">
        <f aca="false">IF(OR(G281="",D281=0),"",(D281-C281)/D281)</f>
        <v/>
      </c>
      <c r="J281" s="16" t="str">
        <f aca="false">IF(OR(G281="",G281=0),"",(G281-C281)/G281)</f>
        <v/>
      </c>
      <c r="K281" s="18" t="str">
        <f aca="false">IF(OR(G281="",D281=0),"",G281/D281-1)</f>
        <v/>
      </c>
    </row>
    <row r="282" customFormat="false" ht="15" hidden="false" customHeight="false" outlineLevel="0" collapsed="false">
      <c r="A282" s="12"/>
      <c r="B282" s="13"/>
      <c r="C282" s="14"/>
      <c r="D282" s="14"/>
      <c r="E282" s="15"/>
      <c r="F282" s="16" t="str">
        <f aca="false">IF(OR(A282="",D282=""),"",IF(E282&lt;&gt;"",E282,IF(IFERROR(INDEX('Kategori Zamları'!$B$5:$B$24,MATCH(B282,'Kategori Zamları'!$A$5:$A$24,0)),"")="",Özet!$C$3,INDEX('Kategori Zamları'!$B$5:$B$24,MATCH(B282,'Kategori Zamları'!$A$5:$A$24,0)))))</f>
        <v/>
      </c>
      <c r="G282" s="17" t="str">
        <f aca="false">IF(F282="","",ROUNDUP(ROUND(D282*(1+F282)/Özet!$C$4,6),0)*Özet!$C$4-Özet!$C$5)</f>
        <v/>
      </c>
      <c r="H282" s="17" t="str">
        <f aca="false">IF(G282="","",G282-D282)</f>
        <v/>
      </c>
      <c r="I282" s="16" t="str">
        <f aca="false">IF(OR(G282="",D282=0),"",(D282-C282)/D282)</f>
        <v/>
      </c>
      <c r="J282" s="16" t="str">
        <f aca="false">IF(OR(G282="",G282=0),"",(G282-C282)/G282)</f>
        <v/>
      </c>
      <c r="K282" s="18" t="str">
        <f aca="false">IF(OR(G282="",D282=0),"",G282/D282-1)</f>
        <v/>
      </c>
    </row>
    <row r="283" customFormat="false" ht="15" hidden="false" customHeight="false" outlineLevel="0" collapsed="false">
      <c r="A283" s="12"/>
      <c r="B283" s="13"/>
      <c r="C283" s="14"/>
      <c r="D283" s="14"/>
      <c r="E283" s="15"/>
      <c r="F283" s="16" t="str">
        <f aca="false">IF(OR(A283="",D283=""),"",IF(E283&lt;&gt;"",E283,IF(IFERROR(INDEX('Kategori Zamları'!$B$5:$B$24,MATCH(B283,'Kategori Zamları'!$A$5:$A$24,0)),"")="",Özet!$C$3,INDEX('Kategori Zamları'!$B$5:$B$24,MATCH(B283,'Kategori Zamları'!$A$5:$A$24,0)))))</f>
        <v/>
      </c>
      <c r="G283" s="17" t="str">
        <f aca="false">IF(F283="","",ROUNDUP(ROUND(D283*(1+F283)/Özet!$C$4,6),0)*Özet!$C$4-Özet!$C$5)</f>
        <v/>
      </c>
      <c r="H283" s="17" t="str">
        <f aca="false">IF(G283="","",G283-D283)</f>
        <v/>
      </c>
      <c r="I283" s="16" t="str">
        <f aca="false">IF(OR(G283="",D283=0),"",(D283-C283)/D283)</f>
        <v/>
      </c>
      <c r="J283" s="16" t="str">
        <f aca="false">IF(OR(G283="",G283=0),"",(G283-C283)/G283)</f>
        <v/>
      </c>
      <c r="K283" s="18" t="str">
        <f aca="false">IF(OR(G283="",D283=0),"",G283/D283-1)</f>
        <v/>
      </c>
    </row>
    <row r="284" customFormat="false" ht="15" hidden="false" customHeight="false" outlineLevel="0" collapsed="false">
      <c r="A284" s="12"/>
      <c r="B284" s="13"/>
      <c r="C284" s="14"/>
      <c r="D284" s="14"/>
      <c r="E284" s="15"/>
      <c r="F284" s="16" t="str">
        <f aca="false">IF(OR(A284="",D284=""),"",IF(E284&lt;&gt;"",E284,IF(IFERROR(INDEX('Kategori Zamları'!$B$5:$B$24,MATCH(B284,'Kategori Zamları'!$A$5:$A$24,0)),"")="",Özet!$C$3,INDEX('Kategori Zamları'!$B$5:$B$24,MATCH(B284,'Kategori Zamları'!$A$5:$A$24,0)))))</f>
        <v/>
      </c>
      <c r="G284" s="17" t="str">
        <f aca="false">IF(F284="","",ROUNDUP(ROUND(D284*(1+F284)/Özet!$C$4,6),0)*Özet!$C$4-Özet!$C$5)</f>
        <v/>
      </c>
      <c r="H284" s="17" t="str">
        <f aca="false">IF(G284="","",G284-D284)</f>
        <v/>
      </c>
      <c r="I284" s="16" t="str">
        <f aca="false">IF(OR(G284="",D284=0),"",(D284-C284)/D284)</f>
        <v/>
      </c>
      <c r="J284" s="16" t="str">
        <f aca="false">IF(OR(G284="",G284=0),"",(G284-C284)/G284)</f>
        <v/>
      </c>
      <c r="K284" s="18" t="str">
        <f aca="false">IF(OR(G284="",D284=0),"",G284/D284-1)</f>
        <v/>
      </c>
    </row>
    <row r="285" customFormat="false" ht="15" hidden="false" customHeight="false" outlineLevel="0" collapsed="false">
      <c r="A285" s="12"/>
      <c r="B285" s="13"/>
      <c r="C285" s="14"/>
      <c r="D285" s="14"/>
      <c r="E285" s="15"/>
      <c r="F285" s="16" t="str">
        <f aca="false">IF(OR(A285="",D285=""),"",IF(E285&lt;&gt;"",E285,IF(IFERROR(INDEX('Kategori Zamları'!$B$5:$B$24,MATCH(B285,'Kategori Zamları'!$A$5:$A$24,0)),"")="",Özet!$C$3,INDEX('Kategori Zamları'!$B$5:$B$24,MATCH(B285,'Kategori Zamları'!$A$5:$A$24,0)))))</f>
        <v/>
      </c>
      <c r="G285" s="17" t="str">
        <f aca="false">IF(F285="","",ROUNDUP(ROUND(D285*(1+F285)/Özet!$C$4,6),0)*Özet!$C$4-Özet!$C$5)</f>
        <v/>
      </c>
      <c r="H285" s="17" t="str">
        <f aca="false">IF(G285="","",G285-D285)</f>
        <v/>
      </c>
      <c r="I285" s="16" t="str">
        <f aca="false">IF(OR(G285="",D285=0),"",(D285-C285)/D285)</f>
        <v/>
      </c>
      <c r="J285" s="16" t="str">
        <f aca="false">IF(OR(G285="",G285=0),"",(G285-C285)/G285)</f>
        <v/>
      </c>
      <c r="K285" s="18" t="str">
        <f aca="false">IF(OR(G285="",D285=0),"",G285/D285-1)</f>
        <v/>
      </c>
    </row>
    <row r="286" customFormat="false" ht="15" hidden="false" customHeight="false" outlineLevel="0" collapsed="false">
      <c r="A286" s="12"/>
      <c r="B286" s="13"/>
      <c r="C286" s="14"/>
      <c r="D286" s="14"/>
      <c r="E286" s="15"/>
      <c r="F286" s="16" t="str">
        <f aca="false">IF(OR(A286="",D286=""),"",IF(E286&lt;&gt;"",E286,IF(IFERROR(INDEX('Kategori Zamları'!$B$5:$B$24,MATCH(B286,'Kategori Zamları'!$A$5:$A$24,0)),"")="",Özet!$C$3,INDEX('Kategori Zamları'!$B$5:$B$24,MATCH(B286,'Kategori Zamları'!$A$5:$A$24,0)))))</f>
        <v/>
      </c>
      <c r="G286" s="17" t="str">
        <f aca="false">IF(F286="","",ROUNDUP(ROUND(D286*(1+F286)/Özet!$C$4,6),0)*Özet!$C$4-Özet!$C$5)</f>
        <v/>
      </c>
      <c r="H286" s="17" t="str">
        <f aca="false">IF(G286="","",G286-D286)</f>
        <v/>
      </c>
      <c r="I286" s="16" t="str">
        <f aca="false">IF(OR(G286="",D286=0),"",(D286-C286)/D286)</f>
        <v/>
      </c>
      <c r="J286" s="16" t="str">
        <f aca="false">IF(OR(G286="",G286=0),"",(G286-C286)/G286)</f>
        <v/>
      </c>
      <c r="K286" s="18" t="str">
        <f aca="false">IF(OR(G286="",D286=0),"",G286/D286-1)</f>
        <v/>
      </c>
    </row>
    <row r="287" customFormat="false" ht="15" hidden="false" customHeight="false" outlineLevel="0" collapsed="false">
      <c r="A287" s="12"/>
      <c r="B287" s="13"/>
      <c r="C287" s="14"/>
      <c r="D287" s="14"/>
      <c r="E287" s="15"/>
      <c r="F287" s="16" t="str">
        <f aca="false">IF(OR(A287="",D287=""),"",IF(E287&lt;&gt;"",E287,IF(IFERROR(INDEX('Kategori Zamları'!$B$5:$B$24,MATCH(B287,'Kategori Zamları'!$A$5:$A$24,0)),"")="",Özet!$C$3,INDEX('Kategori Zamları'!$B$5:$B$24,MATCH(B287,'Kategori Zamları'!$A$5:$A$24,0)))))</f>
        <v/>
      </c>
      <c r="G287" s="17" t="str">
        <f aca="false">IF(F287="","",ROUNDUP(ROUND(D287*(1+F287)/Özet!$C$4,6),0)*Özet!$C$4-Özet!$C$5)</f>
        <v/>
      </c>
      <c r="H287" s="17" t="str">
        <f aca="false">IF(G287="","",G287-D287)</f>
        <v/>
      </c>
      <c r="I287" s="16" t="str">
        <f aca="false">IF(OR(G287="",D287=0),"",(D287-C287)/D287)</f>
        <v/>
      </c>
      <c r="J287" s="16" t="str">
        <f aca="false">IF(OR(G287="",G287=0),"",(G287-C287)/G287)</f>
        <v/>
      </c>
      <c r="K287" s="18" t="str">
        <f aca="false">IF(OR(G287="",D287=0),"",G287/D287-1)</f>
        <v/>
      </c>
    </row>
    <row r="288" customFormat="false" ht="15" hidden="false" customHeight="false" outlineLevel="0" collapsed="false">
      <c r="A288" s="12"/>
      <c r="B288" s="13"/>
      <c r="C288" s="14"/>
      <c r="D288" s="14"/>
      <c r="E288" s="15"/>
      <c r="F288" s="16" t="str">
        <f aca="false">IF(OR(A288="",D288=""),"",IF(E288&lt;&gt;"",E288,IF(IFERROR(INDEX('Kategori Zamları'!$B$5:$B$24,MATCH(B288,'Kategori Zamları'!$A$5:$A$24,0)),"")="",Özet!$C$3,INDEX('Kategori Zamları'!$B$5:$B$24,MATCH(B288,'Kategori Zamları'!$A$5:$A$24,0)))))</f>
        <v/>
      </c>
      <c r="G288" s="17" t="str">
        <f aca="false">IF(F288="","",ROUNDUP(ROUND(D288*(1+F288)/Özet!$C$4,6),0)*Özet!$C$4-Özet!$C$5)</f>
        <v/>
      </c>
      <c r="H288" s="17" t="str">
        <f aca="false">IF(G288="","",G288-D288)</f>
        <v/>
      </c>
      <c r="I288" s="16" t="str">
        <f aca="false">IF(OR(G288="",D288=0),"",(D288-C288)/D288)</f>
        <v/>
      </c>
      <c r="J288" s="16" t="str">
        <f aca="false">IF(OR(G288="",G288=0),"",(G288-C288)/G288)</f>
        <v/>
      </c>
      <c r="K288" s="18" t="str">
        <f aca="false">IF(OR(G288="",D288=0),"",G288/D288-1)</f>
        <v/>
      </c>
    </row>
    <row r="289" customFormat="false" ht="15" hidden="false" customHeight="false" outlineLevel="0" collapsed="false">
      <c r="A289" s="12"/>
      <c r="B289" s="13"/>
      <c r="C289" s="14"/>
      <c r="D289" s="14"/>
      <c r="E289" s="15"/>
      <c r="F289" s="16" t="str">
        <f aca="false">IF(OR(A289="",D289=""),"",IF(E289&lt;&gt;"",E289,IF(IFERROR(INDEX('Kategori Zamları'!$B$5:$B$24,MATCH(B289,'Kategori Zamları'!$A$5:$A$24,0)),"")="",Özet!$C$3,INDEX('Kategori Zamları'!$B$5:$B$24,MATCH(B289,'Kategori Zamları'!$A$5:$A$24,0)))))</f>
        <v/>
      </c>
      <c r="G289" s="17" t="str">
        <f aca="false">IF(F289="","",ROUNDUP(ROUND(D289*(1+F289)/Özet!$C$4,6),0)*Özet!$C$4-Özet!$C$5)</f>
        <v/>
      </c>
      <c r="H289" s="17" t="str">
        <f aca="false">IF(G289="","",G289-D289)</f>
        <v/>
      </c>
      <c r="I289" s="16" t="str">
        <f aca="false">IF(OR(G289="",D289=0),"",(D289-C289)/D289)</f>
        <v/>
      </c>
      <c r="J289" s="16" t="str">
        <f aca="false">IF(OR(G289="",G289=0),"",(G289-C289)/G289)</f>
        <v/>
      </c>
      <c r="K289" s="18" t="str">
        <f aca="false">IF(OR(G289="",D289=0),"",G289/D289-1)</f>
        <v/>
      </c>
    </row>
    <row r="290" customFormat="false" ht="15" hidden="false" customHeight="false" outlineLevel="0" collapsed="false">
      <c r="A290" s="12"/>
      <c r="B290" s="13"/>
      <c r="C290" s="14"/>
      <c r="D290" s="14"/>
      <c r="E290" s="15"/>
      <c r="F290" s="16" t="str">
        <f aca="false">IF(OR(A290="",D290=""),"",IF(E290&lt;&gt;"",E290,IF(IFERROR(INDEX('Kategori Zamları'!$B$5:$B$24,MATCH(B290,'Kategori Zamları'!$A$5:$A$24,0)),"")="",Özet!$C$3,INDEX('Kategori Zamları'!$B$5:$B$24,MATCH(B290,'Kategori Zamları'!$A$5:$A$24,0)))))</f>
        <v/>
      </c>
      <c r="G290" s="17" t="str">
        <f aca="false">IF(F290="","",ROUNDUP(ROUND(D290*(1+F290)/Özet!$C$4,6),0)*Özet!$C$4-Özet!$C$5)</f>
        <v/>
      </c>
      <c r="H290" s="17" t="str">
        <f aca="false">IF(G290="","",G290-D290)</f>
        <v/>
      </c>
      <c r="I290" s="16" t="str">
        <f aca="false">IF(OR(G290="",D290=0),"",(D290-C290)/D290)</f>
        <v/>
      </c>
      <c r="J290" s="16" t="str">
        <f aca="false">IF(OR(G290="",G290=0),"",(G290-C290)/G290)</f>
        <v/>
      </c>
      <c r="K290" s="18" t="str">
        <f aca="false">IF(OR(G290="",D290=0),"",G290/D290-1)</f>
        <v/>
      </c>
    </row>
    <row r="291" customFormat="false" ht="15" hidden="false" customHeight="false" outlineLevel="0" collapsed="false">
      <c r="A291" s="12"/>
      <c r="B291" s="13"/>
      <c r="C291" s="14"/>
      <c r="D291" s="14"/>
      <c r="E291" s="15"/>
      <c r="F291" s="16" t="str">
        <f aca="false">IF(OR(A291="",D291=""),"",IF(E291&lt;&gt;"",E291,IF(IFERROR(INDEX('Kategori Zamları'!$B$5:$B$24,MATCH(B291,'Kategori Zamları'!$A$5:$A$24,0)),"")="",Özet!$C$3,INDEX('Kategori Zamları'!$B$5:$B$24,MATCH(B291,'Kategori Zamları'!$A$5:$A$24,0)))))</f>
        <v/>
      </c>
      <c r="G291" s="17" t="str">
        <f aca="false">IF(F291="","",ROUNDUP(ROUND(D291*(1+F291)/Özet!$C$4,6),0)*Özet!$C$4-Özet!$C$5)</f>
        <v/>
      </c>
      <c r="H291" s="17" t="str">
        <f aca="false">IF(G291="","",G291-D291)</f>
        <v/>
      </c>
      <c r="I291" s="16" t="str">
        <f aca="false">IF(OR(G291="",D291=0),"",(D291-C291)/D291)</f>
        <v/>
      </c>
      <c r="J291" s="16" t="str">
        <f aca="false">IF(OR(G291="",G291=0),"",(G291-C291)/G291)</f>
        <v/>
      </c>
      <c r="K291" s="18" t="str">
        <f aca="false">IF(OR(G291="",D291=0),"",G291/D291-1)</f>
        <v/>
      </c>
    </row>
    <row r="292" customFormat="false" ht="15" hidden="false" customHeight="false" outlineLevel="0" collapsed="false">
      <c r="A292" s="12"/>
      <c r="B292" s="13"/>
      <c r="C292" s="14"/>
      <c r="D292" s="14"/>
      <c r="E292" s="15"/>
      <c r="F292" s="16" t="str">
        <f aca="false">IF(OR(A292="",D292=""),"",IF(E292&lt;&gt;"",E292,IF(IFERROR(INDEX('Kategori Zamları'!$B$5:$B$24,MATCH(B292,'Kategori Zamları'!$A$5:$A$24,0)),"")="",Özet!$C$3,INDEX('Kategori Zamları'!$B$5:$B$24,MATCH(B292,'Kategori Zamları'!$A$5:$A$24,0)))))</f>
        <v/>
      </c>
      <c r="G292" s="17" t="str">
        <f aca="false">IF(F292="","",ROUNDUP(ROUND(D292*(1+F292)/Özet!$C$4,6),0)*Özet!$C$4-Özet!$C$5)</f>
        <v/>
      </c>
      <c r="H292" s="17" t="str">
        <f aca="false">IF(G292="","",G292-D292)</f>
        <v/>
      </c>
      <c r="I292" s="16" t="str">
        <f aca="false">IF(OR(G292="",D292=0),"",(D292-C292)/D292)</f>
        <v/>
      </c>
      <c r="J292" s="16" t="str">
        <f aca="false">IF(OR(G292="",G292=0),"",(G292-C292)/G292)</f>
        <v/>
      </c>
      <c r="K292" s="18" t="str">
        <f aca="false">IF(OR(G292="",D292=0),"",G292/D292-1)</f>
        <v/>
      </c>
    </row>
    <row r="293" customFormat="false" ht="15" hidden="false" customHeight="false" outlineLevel="0" collapsed="false">
      <c r="A293" s="12"/>
      <c r="B293" s="13"/>
      <c r="C293" s="14"/>
      <c r="D293" s="14"/>
      <c r="E293" s="15"/>
      <c r="F293" s="16" t="str">
        <f aca="false">IF(OR(A293="",D293=""),"",IF(E293&lt;&gt;"",E293,IF(IFERROR(INDEX('Kategori Zamları'!$B$5:$B$24,MATCH(B293,'Kategori Zamları'!$A$5:$A$24,0)),"")="",Özet!$C$3,INDEX('Kategori Zamları'!$B$5:$B$24,MATCH(B293,'Kategori Zamları'!$A$5:$A$24,0)))))</f>
        <v/>
      </c>
      <c r="G293" s="17" t="str">
        <f aca="false">IF(F293="","",ROUNDUP(ROUND(D293*(1+F293)/Özet!$C$4,6),0)*Özet!$C$4-Özet!$C$5)</f>
        <v/>
      </c>
      <c r="H293" s="17" t="str">
        <f aca="false">IF(G293="","",G293-D293)</f>
        <v/>
      </c>
      <c r="I293" s="16" t="str">
        <f aca="false">IF(OR(G293="",D293=0),"",(D293-C293)/D293)</f>
        <v/>
      </c>
      <c r="J293" s="16" t="str">
        <f aca="false">IF(OR(G293="",G293=0),"",(G293-C293)/G293)</f>
        <v/>
      </c>
      <c r="K293" s="18" t="str">
        <f aca="false">IF(OR(G293="",D293=0),"",G293/D293-1)</f>
        <v/>
      </c>
    </row>
    <row r="294" customFormat="false" ht="15" hidden="false" customHeight="false" outlineLevel="0" collapsed="false">
      <c r="A294" s="12"/>
      <c r="B294" s="13"/>
      <c r="C294" s="14"/>
      <c r="D294" s="14"/>
      <c r="E294" s="15"/>
      <c r="F294" s="16" t="str">
        <f aca="false">IF(OR(A294="",D294=""),"",IF(E294&lt;&gt;"",E294,IF(IFERROR(INDEX('Kategori Zamları'!$B$5:$B$24,MATCH(B294,'Kategori Zamları'!$A$5:$A$24,0)),"")="",Özet!$C$3,INDEX('Kategori Zamları'!$B$5:$B$24,MATCH(B294,'Kategori Zamları'!$A$5:$A$24,0)))))</f>
        <v/>
      </c>
      <c r="G294" s="17" t="str">
        <f aca="false">IF(F294="","",ROUNDUP(ROUND(D294*(1+F294)/Özet!$C$4,6),0)*Özet!$C$4-Özet!$C$5)</f>
        <v/>
      </c>
      <c r="H294" s="17" t="str">
        <f aca="false">IF(G294="","",G294-D294)</f>
        <v/>
      </c>
      <c r="I294" s="16" t="str">
        <f aca="false">IF(OR(G294="",D294=0),"",(D294-C294)/D294)</f>
        <v/>
      </c>
      <c r="J294" s="16" t="str">
        <f aca="false">IF(OR(G294="",G294=0),"",(G294-C294)/G294)</f>
        <v/>
      </c>
      <c r="K294" s="18" t="str">
        <f aca="false">IF(OR(G294="",D294=0),"",G294/D294-1)</f>
        <v/>
      </c>
    </row>
    <row r="295" customFormat="false" ht="15" hidden="false" customHeight="false" outlineLevel="0" collapsed="false">
      <c r="A295" s="12"/>
      <c r="B295" s="13"/>
      <c r="C295" s="14"/>
      <c r="D295" s="14"/>
      <c r="E295" s="15"/>
      <c r="F295" s="16" t="str">
        <f aca="false">IF(OR(A295="",D295=""),"",IF(E295&lt;&gt;"",E295,IF(IFERROR(INDEX('Kategori Zamları'!$B$5:$B$24,MATCH(B295,'Kategori Zamları'!$A$5:$A$24,0)),"")="",Özet!$C$3,INDEX('Kategori Zamları'!$B$5:$B$24,MATCH(B295,'Kategori Zamları'!$A$5:$A$24,0)))))</f>
        <v/>
      </c>
      <c r="G295" s="17" t="str">
        <f aca="false">IF(F295="","",ROUNDUP(ROUND(D295*(1+F295)/Özet!$C$4,6),0)*Özet!$C$4-Özet!$C$5)</f>
        <v/>
      </c>
      <c r="H295" s="17" t="str">
        <f aca="false">IF(G295="","",G295-D295)</f>
        <v/>
      </c>
      <c r="I295" s="16" t="str">
        <f aca="false">IF(OR(G295="",D295=0),"",(D295-C295)/D295)</f>
        <v/>
      </c>
      <c r="J295" s="16" t="str">
        <f aca="false">IF(OR(G295="",G295=0),"",(G295-C295)/G295)</f>
        <v/>
      </c>
      <c r="K295" s="18" t="str">
        <f aca="false">IF(OR(G295="",D295=0),"",G295/D295-1)</f>
        <v/>
      </c>
    </row>
    <row r="296" customFormat="false" ht="15" hidden="false" customHeight="false" outlineLevel="0" collapsed="false">
      <c r="A296" s="12"/>
      <c r="B296" s="13"/>
      <c r="C296" s="14"/>
      <c r="D296" s="14"/>
      <c r="E296" s="15"/>
      <c r="F296" s="16" t="str">
        <f aca="false">IF(OR(A296="",D296=""),"",IF(E296&lt;&gt;"",E296,IF(IFERROR(INDEX('Kategori Zamları'!$B$5:$B$24,MATCH(B296,'Kategori Zamları'!$A$5:$A$24,0)),"")="",Özet!$C$3,INDEX('Kategori Zamları'!$B$5:$B$24,MATCH(B296,'Kategori Zamları'!$A$5:$A$24,0)))))</f>
        <v/>
      </c>
      <c r="G296" s="17" t="str">
        <f aca="false">IF(F296="","",ROUNDUP(ROUND(D296*(1+F296)/Özet!$C$4,6),0)*Özet!$C$4-Özet!$C$5)</f>
        <v/>
      </c>
      <c r="H296" s="17" t="str">
        <f aca="false">IF(G296="","",G296-D296)</f>
        <v/>
      </c>
      <c r="I296" s="16" t="str">
        <f aca="false">IF(OR(G296="",D296=0),"",(D296-C296)/D296)</f>
        <v/>
      </c>
      <c r="J296" s="16" t="str">
        <f aca="false">IF(OR(G296="",G296=0),"",(G296-C296)/G296)</f>
        <v/>
      </c>
      <c r="K296" s="18" t="str">
        <f aca="false">IF(OR(G296="",D296=0),"",G296/D296-1)</f>
        <v/>
      </c>
    </row>
    <row r="297" customFormat="false" ht="15" hidden="false" customHeight="false" outlineLevel="0" collapsed="false">
      <c r="A297" s="12"/>
      <c r="B297" s="13"/>
      <c r="C297" s="14"/>
      <c r="D297" s="14"/>
      <c r="E297" s="15"/>
      <c r="F297" s="16" t="str">
        <f aca="false">IF(OR(A297="",D297=""),"",IF(E297&lt;&gt;"",E297,IF(IFERROR(INDEX('Kategori Zamları'!$B$5:$B$24,MATCH(B297,'Kategori Zamları'!$A$5:$A$24,0)),"")="",Özet!$C$3,INDEX('Kategori Zamları'!$B$5:$B$24,MATCH(B297,'Kategori Zamları'!$A$5:$A$24,0)))))</f>
        <v/>
      </c>
      <c r="G297" s="17" t="str">
        <f aca="false">IF(F297="","",ROUNDUP(ROUND(D297*(1+F297)/Özet!$C$4,6),0)*Özet!$C$4-Özet!$C$5)</f>
        <v/>
      </c>
      <c r="H297" s="17" t="str">
        <f aca="false">IF(G297="","",G297-D297)</f>
        <v/>
      </c>
      <c r="I297" s="16" t="str">
        <f aca="false">IF(OR(G297="",D297=0),"",(D297-C297)/D297)</f>
        <v/>
      </c>
      <c r="J297" s="16" t="str">
        <f aca="false">IF(OR(G297="",G297=0),"",(G297-C297)/G297)</f>
        <v/>
      </c>
      <c r="K297" s="18" t="str">
        <f aca="false">IF(OR(G297="",D297=0),"",G297/D297-1)</f>
        <v/>
      </c>
    </row>
    <row r="298" customFormat="false" ht="15" hidden="false" customHeight="false" outlineLevel="0" collapsed="false">
      <c r="A298" s="12"/>
      <c r="B298" s="13"/>
      <c r="C298" s="14"/>
      <c r="D298" s="14"/>
      <c r="E298" s="15"/>
      <c r="F298" s="16" t="str">
        <f aca="false">IF(OR(A298="",D298=""),"",IF(E298&lt;&gt;"",E298,IF(IFERROR(INDEX('Kategori Zamları'!$B$5:$B$24,MATCH(B298,'Kategori Zamları'!$A$5:$A$24,0)),"")="",Özet!$C$3,INDEX('Kategori Zamları'!$B$5:$B$24,MATCH(B298,'Kategori Zamları'!$A$5:$A$24,0)))))</f>
        <v/>
      </c>
      <c r="G298" s="17" t="str">
        <f aca="false">IF(F298="","",ROUNDUP(ROUND(D298*(1+F298)/Özet!$C$4,6),0)*Özet!$C$4-Özet!$C$5)</f>
        <v/>
      </c>
      <c r="H298" s="17" t="str">
        <f aca="false">IF(G298="","",G298-D298)</f>
        <v/>
      </c>
      <c r="I298" s="16" t="str">
        <f aca="false">IF(OR(G298="",D298=0),"",(D298-C298)/D298)</f>
        <v/>
      </c>
      <c r="J298" s="16" t="str">
        <f aca="false">IF(OR(G298="",G298=0),"",(G298-C298)/G298)</f>
        <v/>
      </c>
      <c r="K298" s="18" t="str">
        <f aca="false">IF(OR(G298="",D298=0),"",G298/D298-1)</f>
        <v/>
      </c>
    </row>
    <row r="299" customFormat="false" ht="15" hidden="false" customHeight="false" outlineLevel="0" collapsed="false">
      <c r="A299" s="12"/>
      <c r="B299" s="13"/>
      <c r="C299" s="14"/>
      <c r="D299" s="14"/>
      <c r="E299" s="15"/>
      <c r="F299" s="16" t="str">
        <f aca="false">IF(OR(A299="",D299=""),"",IF(E299&lt;&gt;"",E299,IF(IFERROR(INDEX('Kategori Zamları'!$B$5:$B$24,MATCH(B299,'Kategori Zamları'!$A$5:$A$24,0)),"")="",Özet!$C$3,INDEX('Kategori Zamları'!$B$5:$B$24,MATCH(B299,'Kategori Zamları'!$A$5:$A$24,0)))))</f>
        <v/>
      </c>
      <c r="G299" s="17" t="str">
        <f aca="false">IF(F299="","",ROUNDUP(ROUND(D299*(1+F299)/Özet!$C$4,6),0)*Özet!$C$4-Özet!$C$5)</f>
        <v/>
      </c>
      <c r="H299" s="17" t="str">
        <f aca="false">IF(G299="","",G299-D299)</f>
        <v/>
      </c>
      <c r="I299" s="16" t="str">
        <f aca="false">IF(OR(G299="",D299=0),"",(D299-C299)/D299)</f>
        <v/>
      </c>
      <c r="J299" s="16" t="str">
        <f aca="false">IF(OR(G299="",G299=0),"",(G299-C299)/G299)</f>
        <v/>
      </c>
      <c r="K299" s="18" t="str">
        <f aca="false">IF(OR(G299="",D299=0),"",G299/D299-1)</f>
        <v/>
      </c>
    </row>
    <row r="300" customFormat="false" ht="15" hidden="false" customHeight="false" outlineLevel="0" collapsed="false">
      <c r="A300" s="12"/>
      <c r="B300" s="13"/>
      <c r="C300" s="14"/>
      <c r="D300" s="14"/>
      <c r="E300" s="15"/>
      <c r="F300" s="16" t="str">
        <f aca="false">IF(OR(A300="",D300=""),"",IF(E300&lt;&gt;"",E300,IF(IFERROR(INDEX('Kategori Zamları'!$B$5:$B$24,MATCH(B300,'Kategori Zamları'!$A$5:$A$24,0)),"")="",Özet!$C$3,INDEX('Kategori Zamları'!$B$5:$B$24,MATCH(B300,'Kategori Zamları'!$A$5:$A$24,0)))))</f>
        <v/>
      </c>
      <c r="G300" s="17" t="str">
        <f aca="false">IF(F300="","",ROUNDUP(ROUND(D300*(1+F300)/Özet!$C$4,6),0)*Özet!$C$4-Özet!$C$5)</f>
        <v/>
      </c>
      <c r="H300" s="17" t="str">
        <f aca="false">IF(G300="","",G300-D300)</f>
        <v/>
      </c>
      <c r="I300" s="16" t="str">
        <f aca="false">IF(OR(G300="",D300=0),"",(D300-C300)/D300)</f>
        <v/>
      </c>
      <c r="J300" s="16" t="str">
        <f aca="false">IF(OR(G300="",G300=0),"",(G300-C300)/G300)</f>
        <v/>
      </c>
      <c r="K300" s="18" t="str">
        <f aca="false">IF(OR(G300="",D300=0),"",G300/D300-1)</f>
        <v/>
      </c>
    </row>
    <row r="301" customFormat="false" ht="15" hidden="false" customHeight="false" outlineLevel="0" collapsed="false">
      <c r="A301" s="12"/>
      <c r="B301" s="13"/>
      <c r="C301" s="14"/>
      <c r="D301" s="14"/>
      <c r="E301" s="15"/>
      <c r="F301" s="16" t="str">
        <f aca="false">IF(OR(A301="",D301=""),"",IF(E301&lt;&gt;"",E301,IF(IFERROR(INDEX('Kategori Zamları'!$B$5:$B$24,MATCH(B301,'Kategori Zamları'!$A$5:$A$24,0)),"")="",Özet!$C$3,INDEX('Kategori Zamları'!$B$5:$B$24,MATCH(B301,'Kategori Zamları'!$A$5:$A$24,0)))))</f>
        <v/>
      </c>
      <c r="G301" s="17" t="str">
        <f aca="false">IF(F301="","",ROUNDUP(ROUND(D301*(1+F301)/Özet!$C$4,6),0)*Özet!$C$4-Özet!$C$5)</f>
        <v/>
      </c>
      <c r="H301" s="17" t="str">
        <f aca="false">IF(G301="","",G301-D301)</f>
        <v/>
      </c>
      <c r="I301" s="16" t="str">
        <f aca="false">IF(OR(G301="",D301=0),"",(D301-C301)/D301)</f>
        <v/>
      </c>
      <c r="J301" s="16" t="str">
        <f aca="false">IF(OR(G301="",G301=0),"",(G301-C301)/G301)</f>
        <v/>
      </c>
      <c r="K301" s="18" t="str">
        <f aca="false">IF(OR(G301="",D301=0),"",G301/D301-1)</f>
        <v/>
      </c>
    </row>
    <row r="302" customFormat="false" ht="15" hidden="false" customHeight="false" outlineLevel="0" collapsed="false">
      <c r="A302" s="12"/>
      <c r="B302" s="13"/>
      <c r="C302" s="14"/>
      <c r="D302" s="14"/>
      <c r="E302" s="15"/>
      <c r="F302" s="16" t="str">
        <f aca="false">IF(OR(A302="",D302=""),"",IF(E302&lt;&gt;"",E302,IF(IFERROR(INDEX('Kategori Zamları'!$B$5:$B$24,MATCH(B302,'Kategori Zamları'!$A$5:$A$24,0)),"")="",Özet!$C$3,INDEX('Kategori Zamları'!$B$5:$B$24,MATCH(B302,'Kategori Zamları'!$A$5:$A$24,0)))))</f>
        <v/>
      </c>
      <c r="G302" s="17" t="str">
        <f aca="false">IF(F302="","",ROUNDUP(ROUND(D302*(1+F302)/Özet!$C$4,6),0)*Özet!$C$4-Özet!$C$5)</f>
        <v/>
      </c>
      <c r="H302" s="17" t="str">
        <f aca="false">IF(G302="","",G302-D302)</f>
        <v/>
      </c>
      <c r="I302" s="16" t="str">
        <f aca="false">IF(OR(G302="",D302=0),"",(D302-C302)/D302)</f>
        <v/>
      </c>
      <c r="J302" s="16" t="str">
        <f aca="false">IF(OR(G302="",G302=0),"",(G302-C302)/G302)</f>
        <v/>
      </c>
      <c r="K302" s="18" t="str">
        <f aca="false">IF(OR(G302="",D302=0),"",G302/D302-1)</f>
        <v/>
      </c>
    </row>
    <row r="303" customFormat="false" ht="15" hidden="false" customHeight="false" outlineLevel="0" collapsed="false">
      <c r="A303" s="12"/>
      <c r="B303" s="13"/>
      <c r="C303" s="14"/>
      <c r="D303" s="14"/>
      <c r="E303" s="15"/>
      <c r="F303" s="16" t="str">
        <f aca="false">IF(OR(A303="",D303=""),"",IF(E303&lt;&gt;"",E303,IF(IFERROR(INDEX('Kategori Zamları'!$B$5:$B$24,MATCH(B303,'Kategori Zamları'!$A$5:$A$24,0)),"")="",Özet!$C$3,INDEX('Kategori Zamları'!$B$5:$B$24,MATCH(B303,'Kategori Zamları'!$A$5:$A$24,0)))))</f>
        <v/>
      </c>
      <c r="G303" s="17" t="str">
        <f aca="false">IF(F303="","",ROUNDUP(ROUND(D303*(1+F303)/Özet!$C$4,6),0)*Özet!$C$4-Özet!$C$5)</f>
        <v/>
      </c>
      <c r="H303" s="17" t="str">
        <f aca="false">IF(G303="","",G303-D303)</f>
        <v/>
      </c>
      <c r="I303" s="16" t="str">
        <f aca="false">IF(OR(G303="",D303=0),"",(D303-C303)/D303)</f>
        <v/>
      </c>
      <c r="J303" s="16" t="str">
        <f aca="false">IF(OR(G303="",G303=0),"",(G303-C303)/G303)</f>
        <v/>
      </c>
      <c r="K303" s="18" t="str">
        <f aca="false">IF(OR(G303="",D303=0),"",G303/D303-1)</f>
        <v/>
      </c>
    </row>
    <row r="304" customFormat="false" ht="15" hidden="false" customHeight="false" outlineLevel="0" collapsed="false">
      <c r="A304" s="12"/>
      <c r="B304" s="13"/>
      <c r="C304" s="14"/>
      <c r="D304" s="14"/>
      <c r="E304" s="15"/>
      <c r="F304" s="16" t="str">
        <f aca="false">IF(OR(A304="",D304=""),"",IF(E304&lt;&gt;"",E304,IF(IFERROR(INDEX('Kategori Zamları'!$B$5:$B$24,MATCH(B304,'Kategori Zamları'!$A$5:$A$24,0)),"")="",Özet!$C$3,INDEX('Kategori Zamları'!$B$5:$B$24,MATCH(B304,'Kategori Zamları'!$A$5:$A$24,0)))))</f>
        <v/>
      </c>
      <c r="G304" s="17" t="str">
        <f aca="false">IF(F304="","",ROUNDUP(ROUND(D304*(1+F304)/Özet!$C$4,6),0)*Özet!$C$4-Özet!$C$5)</f>
        <v/>
      </c>
      <c r="H304" s="17" t="str">
        <f aca="false">IF(G304="","",G304-D304)</f>
        <v/>
      </c>
      <c r="I304" s="16" t="str">
        <f aca="false">IF(OR(G304="",D304=0),"",(D304-C304)/D304)</f>
        <v/>
      </c>
      <c r="J304" s="16" t="str">
        <f aca="false">IF(OR(G304="",G304=0),"",(G304-C304)/G304)</f>
        <v/>
      </c>
      <c r="K304" s="18" t="str">
        <f aca="false">IF(OR(G304="",D304=0),"",G304/D304-1)</f>
        <v/>
      </c>
    </row>
    <row r="305" customFormat="false" ht="15" hidden="false" customHeight="false" outlineLevel="0" collapsed="false">
      <c r="A305" s="12"/>
      <c r="B305" s="13"/>
      <c r="C305" s="14"/>
      <c r="D305" s="14"/>
      <c r="E305" s="15"/>
      <c r="F305" s="16" t="str">
        <f aca="false">IF(OR(A305="",D305=""),"",IF(E305&lt;&gt;"",E305,IF(IFERROR(INDEX('Kategori Zamları'!$B$5:$B$24,MATCH(B305,'Kategori Zamları'!$A$5:$A$24,0)),"")="",Özet!$C$3,INDEX('Kategori Zamları'!$B$5:$B$24,MATCH(B305,'Kategori Zamları'!$A$5:$A$24,0)))))</f>
        <v/>
      </c>
      <c r="G305" s="17" t="str">
        <f aca="false">IF(F305="","",ROUNDUP(ROUND(D305*(1+F305)/Özet!$C$4,6),0)*Özet!$C$4-Özet!$C$5)</f>
        <v/>
      </c>
      <c r="H305" s="17" t="str">
        <f aca="false">IF(G305="","",G305-D305)</f>
        <v/>
      </c>
      <c r="I305" s="16" t="str">
        <f aca="false">IF(OR(G305="",D305=0),"",(D305-C305)/D305)</f>
        <v/>
      </c>
      <c r="J305" s="16" t="str">
        <f aca="false">IF(OR(G305="",G305=0),"",(G305-C305)/G305)</f>
        <v/>
      </c>
      <c r="K305" s="18" t="str">
        <f aca="false">IF(OR(G305="",D305=0),"",G305/D305-1)</f>
        <v/>
      </c>
    </row>
    <row r="306" customFormat="false" ht="15" hidden="false" customHeight="false" outlineLevel="0" collapsed="false">
      <c r="A306" s="12"/>
      <c r="B306" s="13"/>
      <c r="C306" s="14"/>
      <c r="D306" s="14"/>
      <c r="E306" s="15"/>
      <c r="F306" s="16" t="str">
        <f aca="false">IF(OR(A306="",D306=""),"",IF(E306&lt;&gt;"",E306,IF(IFERROR(INDEX('Kategori Zamları'!$B$5:$B$24,MATCH(B306,'Kategori Zamları'!$A$5:$A$24,0)),"")="",Özet!$C$3,INDEX('Kategori Zamları'!$B$5:$B$24,MATCH(B306,'Kategori Zamları'!$A$5:$A$24,0)))))</f>
        <v/>
      </c>
      <c r="G306" s="17" t="str">
        <f aca="false">IF(F306="","",ROUNDUP(ROUND(D306*(1+F306)/Özet!$C$4,6),0)*Özet!$C$4-Özet!$C$5)</f>
        <v/>
      </c>
      <c r="H306" s="17" t="str">
        <f aca="false">IF(G306="","",G306-D306)</f>
        <v/>
      </c>
      <c r="I306" s="16" t="str">
        <f aca="false">IF(OR(G306="",D306=0),"",(D306-C306)/D306)</f>
        <v/>
      </c>
      <c r="J306" s="16" t="str">
        <f aca="false">IF(OR(G306="",G306=0),"",(G306-C306)/G306)</f>
        <v/>
      </c>
      <c r="K306" s="18" t="str">
        <f aca="false">IF(OR(G306="",D306=0),"",G306/D306-1)</f>
        <v/>
      </c>
    </row>
    <row r="307" customFormat="false" ht="15" hidden="false" customHeight="false" outlineLevel="0" collapsed="false">
      <c r="A307" s="12"/>
      <c r="B307" s="13"/>
      <c r="C307" s="14"/>
      <c r="D307" s="14"/>
      <c r="E307" s="15"/>
      <c r="F307" s="16" t="str">
        <f aca="false">IF(OR(A307="",D307=""),"",IF(E307&lt;&gt;"",E307,IF(IFERROR(INDEX('Kategori Zamları'!$B$5:$B$24,MATCH(B307,'Kategori Zamları'!$A$5:$A$24,0)),"")="",Özet!$C$3,INDEX('Kategori Zamları'!$B$5:$B$24,MATCH(B307,'Kategori Zamları'!$A$5:$A$24,0)))))</f>
        <v/>
      </c>
      <c r="G307" s="17" t="str">
        <f aca="false">IF(F307="","",ROUNDUP(ROUND(D307*(1+F307)/Özet!$C$4,6),0)*Özet!$C$4-Özet!$C$5)</f>
        <v/>
      </c>
      <c r="H307" s="17" t="str">
        <f aca="false">IF(G307="","",G307-D307)</f>
        <v/>
      </c>
      <c r="I307" s="16" t="str">
        <f aca="false">IF(OR(G307="",D307=0),"",(D307-C307)/D307)</f>
        <v/>
      </c>
      <c r="J307" s="16" t="str">
        <f aca="false">IF(OR(G307="",G307=0),"",(G307-C307)/G307)</f>
        <v/>
      </c>
      <c r="K307" s="18" t="str">
        <f aca="false">IF(OR(G307="",D307=0),"",G307/D307-1)</f>
        <v/>
      </c>
    </row>
    <row r="308" customFormat="false" ht="15" hidden="false" customHeight="false" outlineLevel="0" collapsed="false">
      <c r="A308" s="12"/>
      <c r="B308" s="13"/>
      <c r="C308" s="14"/>
      <c r="D308" s="14"/>
      <c r="E308" s="15"/>
      <c r="F308" s="16" t="str">
        <f aca="false">IF(OR(A308="",D308=""),"",IF(E308&lt;&gt;"",E308,IF(IFERROR(INDEX('Kategori Zamları'!$B$5:$B$24,MATCH(B308,'Kategori Zamları'!$A$5:$A$24,0)),"")="",Özet!$C$3,INDEX('Kategori Zamları'!$B$5:$B$24,MATCH(B308,'Kategori Zamları'!$A$5:$A$24,0)))))</f>
        <v/>
      </c>
      <c r="G308" s="17" t="str">
        <f aca="false">IF(F308="","",ROUNDUP(ROUND(D308*(1+F308)/Özet!$C$4,6),0)*Özet!$C$4-Özet!$C$5)</f>
        <v/>
      </c>
      <c r="H308" s="17" t="str">
        <f aca="false">IF(G308="","",G308-D308)</f>
        <v/>
      </c>
      <c r="I308" s="16" t="str">
        <f aca="false">IF(OR(G308="",D308=0),"",(D308-C308)/D308)</f>
        <v/>
      </c>
      <c r="J308" s="16" t="str">
        <f aca="false">IF(OR(G308="",G308=0),"",(G308-C308)/G308)</f>
        <v/>
      </c>
      <c r="K308" s="18" t="str">
        <f aca="false">IF(OR(G308="",D308=0),"",G308/D308-1)</f>
        <v/>
      </c>
    </row>
    <row r="309" customFormat="false" ht="15" hidden="false" customHeight="false" outlineLevel="0" collapsed="false">
      <c r="A309" s="12"/>
      <c r="B309" s="13"/>
      <c r="C309" s="14"/>
      <c r="D309" s="14"/>
      <c r="E309" s="15"/>
      <c r="F309" s="16" t="str">
        <f aca="false">IF(OR(A309="",D309=""),"",IF(E309&lt;&gt;"",E309,IF(IFERROR(INDEX('Kategori Zamları'!$B$5:$B$24,MATCH(B309,'Kategori Zamları'!$A$5:$A$24,0)),"")="",Özet!$C$3,INDEX('Kategori Zamları'!$B$5:$B$24,MATCH(B309,'Kategori Zamları'!$A$5:$A$24,0)))))</f>
        <v/>
      </c>
      <c r="G309" s="17" t="str">
        <f aca="false">IF(F309="","",ROUNDUP(ROUND(D309*(1+F309)/Özet!$C$4,6),0)*Özet!$C$4-Özet!$C$5)</f>
        <v/>
      </c>
      <c r="H309" s="17" t="str">
        <f aca="false">IF(G309="","",G309-D309)</f>
        <v/>
      </c>
      <c r="I309" s="16" t="str">
        <f aca="false">IF(OR(G309="",D309=0),"",(D309-C309)/D309)</f>
        <v/>
      </c>
      <c r="J309" s="16" t="str">
        <f aca="false">IF(OR(G309="",G309=0),"",(G309-C309)/G309)</f>
        <v/>
      </c>
      <c r="K309" s="18" t="str">
        <f aca="false">IF(OR(G309="",D309=0),"",G309/D309-1)</f>
        <v/>
      </c>
    </row>
    <row r="310" customFormat="false" ht="15" hidden="false" customHeight="false" outlineLevel="0" collapsed="false">
      <c r="A310" s="12"/>
      <c r="B310" s="13"/>
      <c r="C310" s="14"/>
      <c r="D310" s="14"/>
      <c r="E310" s="15"/>
      <c r="F310" s="16" t="str">
        <f aca="false">IF(OR(A310="",D310=""),"",IF(E310&lt;&gt;"",E310,IF(IFERROR(INDEX('Kategori Zamları'!$B$5:$B$24,MATCH(B310,'Kategori Zamları'!$A$5:$A$24,0)),"")="",Özet!$C$3,INDEX('Kategori Zamları'!$B$5:$B$24,MATCH(B310,'Kategori Zamları'!$A$5:$A$24,0)))))</f>
        <v/>
      </c>
      <c r="G310" s="17" t="str">
        <f aca="false">IF(F310="","",ROUNDUP(ROUND(D310*(1+F310)/Özet!$C$4,6),0)*Özet!$C$4-Özet!$C$5)</f>
        <v/>
      </c>
      <c r="H310" s="17" t="str">
        <f aca="false">IF(G310="","",G310-D310)</f>
        <v/>
      </c>
      <c r="I310" s="16" t="str">
        <f aca="false">IF(OR(G310="",D310=0),"",(D310-C310)/D310)</f>
        <v/>
      </c>
      <c r="J310" s="16" t="str">
        <f aca="false">IF(OR(G310="",G310=0),"",(G310-C310)/G310)</f>
        <v/>
      </c>
      <c r="K310" s="18" t="str">
        <f aca="false">IF(OR(G310="",D310=0),"",G310/D310-1)</f>
        <v/>
      </c>
    </row>
    <row r="311" customFormat="false" ht="15" hidden="false" customHeight="false" outlineLevel="0" collapsed="false">
      <c r="A311" s="12"/>
      <c r="B311" s="13"/>
      <c r="C311" s="14"/>
      <c r="D311" s="14"/>
      <c r="E311" s="15"/>
      <c r="F311" s="16" t="str">
        <f aca="false">IF(OR(A311="",D311=""),"",IF(E311&lt;&gt;"",E311,IF(IFERROR(INDEX('Kategori Zamları'!$B$5:$B$24,MATCH(B311,'Kategori Zamları'!$A$5:$A$24,0)),"")="",Özet!$C$3,INDEX('Kategori Zamları'!$B$5:$B$24,MATCH(B311,'Kategori Zamları'!$A$5:$A$24,0)))))</f>
        <v/>
      </c>
      <c r="G311" s="17" t="str">
        <f aca="false">IF(F311="","",ROUNDUP(ROUND(D311*(1+F311)/Özet!$C$4,6),0)*Özet!$C$4-Özet!$C$5)</f>
        <v/>
      </c>
      <c r="H311" s="17" t="str">
        <f aca="false">IF(G311="","",G311-D311)</f>
        <v/>
      </c>
      <c r="I311" s="16" t="str">
        <f aca="false">IF(OR(G311="",D311=0),"",(D311-C311)/D311)</f>
        <v/>
      </c>
      <c r="J311" s="16" t="str">
        <f aca="false">IF(OR(G311="",G311=0),"",(G311-C311)/G311)</f>
        <v/>
      </c>
      <c r="K311" s="18" t="str">
        <f aca="false">IF(OR(G311="",D311=0),"",G311/D311-1)</f>
        <v/>
      </c>
    </row>
    <row r="312" customFormat="false" ht="15" hidden="false" customHeight="false" outlineLevel="0" collapsed="false">
      <c r="A312" s="12"/>
      <c r="B312" s="13"/>
      <c r="C312" s="14"/>
      <c r="D312" s="14"/>
      <c r="E312" s="15"/>
      <c r="F312" s="16" t="str">
        <f aca="false">IF(OR(A312="",D312=""),"",IF(E312&lt;&gt;"",E312,IF(IFERROR(INDEX('Kategori Zamları'!$B$5:$B$24,MATCH(B312,'Kategori Zamları'!$A$5:$A$24,0)),"")="",Özet!$C$3,INDEX('Kategori Zamları'!$B$5:$B$24,MATCH(B312,'Kategori Zamları'!$A$5:$A$24,0)))))</f>
        <v/>
      </c>
      <c r="G312" s="17" t="str">
        <f aca="false">IF(F312="","",ROUNDUP(ROUND(D312*(1+F312)/Özet!$C$4,6),0)*Özet!$C$4-Özet!$C$5)</f>
        <v/>
      </c>
      <c r="H312" s="17" t="str">
        <f aca="false">IF(G312="","",G312-D312)</f>
        <v/>
      </c>
      <c r="I312" s="16" t="str">
        <f aca="false">IF(OR(G312="",D312=0),"",(D312-C312)/D312)</f>
        <v/>
      </c>
      <c r="J312" s="16" t="str">
        <f aca="false">IF(OR(G312="",G312=0),"",(G312-C312)/G312)</f>
        <v/>
      </c>
      <c r="K312" s="18" t="str">
        <f aca="false">IF(OR(G312="",D312=0),"",G312/D312-1)</f>
        <v/>
      </c>
    </row>
    <row r="313" customFormat="false" ht="15" hidden="false" customHeight="false" outlineLevel="0" collapsed="false">
      <c r="A313" s="12"/>
      <c r="B313" s="13"/>
      <c r="C313" s="14"/>
      <c r="D313" s="14"/>
      <c r="E313" s="15"/>
      <c r="F313" s="16" t="str">
        <f aca="false">IF(OR(A313="",D313=""),"",IF(E313&lt;&gt;"",E313,IF(IFERROR(INDEX('Kategori Zamları'!$B$5:$B$24,MATCH(B313,'Kategori Zamları'!$A$5:$A$24,0)),"")="",Özet!$C$3,INDEX('Kategori Zamları'!$B$5:$B$24,MATCH(B313,'Kategori Zamları'!$A$5:$A$24,0)))))</f>
        <v/>
      </c>
      <c r="G313" s="17" t="str">
        <f aca="false">IF(F313="","",ROUNDUP(ROUND(D313*(1+F313)/Özet!$C$4,6),0)*Özet!$C$4-Özet!$C$5)</f>
        <v/>
      </c>
      <c r="H313" s="17" t="str">
        <f aca="false">IF(G313="","",G313-D313)</f>
        <v/>
      </c>
      <c r="I313" s="16" t="str">
        <f aca="false">IF(OR(G313="",D313=0),"",(D313-C313)/D313)</f>
        <v/>
      </c>
      <c r="J313" s="16" t="str">
        <f aca="false">IF(OR(G313="",G313=0),"",(G313-C313)/G313)</f>
        <v/>
      </c>
      <c r="K313" s="18" t="str">
        <f aca="false">IF(OR(G313="",D313=0),"",G313/D313-1)</f>
        <v/>
      </c>
    </row>
    <row r="314" customFormat="false" ht="15" hidden="false" customHeight="false" outlineLevel="0" collapsed="false">
      <c r="A314" s="12"/>
      <c r="B314" s="13"/>
      <c r="C314" s="14"/>
      <c r="D314" s="14"/>
      <c r="E314" s="15"/>
      <c r="F314" s="16" t="str">
        <f aca="false">IF(OR(A314="",D314=""),"",IF(E314&lt;&gt;"",E314,IF(IFERROR(INDEX('Kategori Zamları'!$B$5:$B$24,MATCH(B314,'Kategori Zamları'!$A$5:$A$24,0)),"")="",Özet!$C$3,INDEX('Kategori Zamları'!$B$5:$B$24,MATCH(B314,'Kategori Zamları'!$A$5:$A$24,0)))))</f>
        <v/>
      </c>
      <c r="G314" s="17" t="str">
        <f aca="false">IF(F314="","",ROUNDUP(ROUND(D314*(1+F314)/Özet!$C$4,6),0)*Özet!$C$4-Özet!$C$5)</f>
        <v/>
      </c>
      <c r="H314" s="17" t="str">
        <f aca="false">IF(G314="","",G314-D314)</f>
        <v/>
      </c>
      <c r="I314" s="16" t="str">
        <f aca="false">IF(OR(G314="",D314=0),"",(D314-C314)/D314)</f>
        <v/>
      </c>
      <c r="J314" s="16" t="str">
        <f aca="false">IF(OR(G314="",G314=0),"",(G314-C314)/G314)</f>
        <v/>
      </c>
      <c r="K314" s="18" t="str">
        <f aca="false">IF(OR(G314="",D314=0),"",G314/D314-1)</f>
        <v/>
      </c>
    </row>
    <row r="315" customFormat="false" ht="15" hidden="false" customHeight="false" outlineLevel="0" collapsed="false">
      <c r="A315" s="12"/>
      <c r="B315" s="13"/>
      <c r="C315" s="14"/>
      <c r="D315" s="14"/>
      <c r="E315" s="15"/>
      <c r="F315" s="16" t="str">
        <f aca="false">IF(OR(A315="",D315=""),"",IF(E315&lt;&gt;"",E315,IF(IFERROR(INDEX('Kategori Zamları'!$B$5:$B$24,MATCH(B315,'Kategori Zamları'!$A$5:$A$24,0)),"")="",Özet!$C$3,INDEX('Kategori Zamları'!$B$5:$B$24,MATCH(B315,'Kategori Zamları'!$A$5:$A$24,0)))))</f>
        <v/>
      </c>
      <c r="G315" s="17" t="str">
        <f aca="false">IF(F315="","",ROUNDUP(ROUND(D315*(1+F315)/Özet!$C$4,6),0)*Özet!$C$4-Özet!$C$5)</f>
        <v/>
      </c>
      <c r="H315" s="17" t="str">
        <f aca="false">IF(G315="","",G315-D315)</f>
        <v/>
      </c>
      <c r="I315" s="16" t="str">
        <f aca="false">IF(OR(G315="",D315=0),"",(D315-C315)/D315)</f>
        <v/>
      </c>
      <c r="J315" s="16" t="str">
        <f aca="false">IF(OR(G315="",G315=0),"",(G315-C315)/G315)</f>
        <v/>
      </c>
      <c r="K315" s="18" t="str">
        <f aca="false">IF(OR(G315="",D315=0),"",G315/D315-1)</f>
        <v/>
      </c>
    </row>
    <row r="316" customFormat="false" ht="15" hidden="false" customHeight="false" outlineLevel="0" collapsed="false">
      <c r="A316" s="12"/>
      <c r="B316" s="13"/>
      <c r="C316" s="14"/>
      <c r="D316" s="14"/>
      <c r="E316" s="15"/>
      <c r="F316" s="16" t="str">
        <f aca="false">IF(OR(A316="",D316=""),"",IF(E316&lt;&gt;"",E316,IF(IFERROR(INDEX('Kategori Zamları'!$B$5:$B$24,MATCH(B316,'Kategori Zamları'!$A$5:$A$24,0)),"")="",Özet!$C$3,INDEX('Kategori Zamları'!$B$5:$B$24,MATCH(B316,'Kategori Zamları'!$A$5:$A$24,0)))))</f>
        <v/>
      </c>
      <c r="G316" s="17" t="str">
        <f aca="false">IF(F316="","",ROUNDUP(ROUND(D316*(1+F316)/Özet!$C$4,6),0)*Özet!$C$4-Özet!$C$5)</f>
        <v/>
      </c>
      <c r="H316" s="17" t="str">
        <f aca="false">IF(G316="","",G316-D316)</f>
        <v/>
      </c>
      <c r="I316" s="16" t="str">
        <f aca="false">IF(OR(G316="",D316=0),"",(D316-C316)/D316)</f>
        <v/>
      </c>
      <c r="J316" s="16" t="str">
        <f aca="false">IF(OR(G316="",G316=0),"",(G316-C316)/G316)</f>
        <v/>
      </c>
      <c r="K316" s="18" t="str">
        <f aca="false">IF(OR(G316="",D316=0),"",G316/D316-1)</f>
        <v/>
      </c>
    </row>
    <row r="317" customFormat="false" ht="15" hidden="false" customHeight="false" outlineLevel="0" collapsed="false">
      <c r="A317" s="12"/>
      <c r="B317" s="13"/>
      <c r="C317" s="14"/>
      <c r="D317" s="14"/>
      <c r="E317" s="15"/>
      <c r="F317" s="16" t="str">
        <f aca="false">IF(OR(A317="",D317=""),"",IF(E317&lt;&gt;"",E317,IF(IFERROR(INDEX('Kategori Zamları'!$B$5:$B$24,MATCH(B317,'Kategori Zamları'!$A$5:$A$24,0)),"")="",Özet!$C$3,INDEX('Kategori Zamları'!$B$5:$B$24,MATCH(B317,'Kategori Zamları'!$A$5:$A$24,0)))))</f>
        <v/>
      </c>
      <c r="G317" s="17" t="str">
        <f aca="false">IF(F317="","",ROUNDUP(ROUND(D317*(1+F317)/Özet!$C$4,6),0)*Özet!$C$4-Özet!$C$5)</f>
        <v/>
      </c>
      <c r="H317" s="17" t="str">
        <f aca="false">IF(G317="","",G317-D317)</f>
        <v/>
      </c>
      <c r="I317" s="16" t="str">
        <f aca="false">IF(OR(G317="",D317=0),"",(D317-C317)/D317)</f>
        <v/>
      </c>
      <c r="J317" s="16" t="str">
        <f aca="false">IF(OR(G317="",G317=0),"",(G317-C317)/G317)</f>
        <v/>
      </c>
      <c r="K317" s="18" t="str">
        <f aca="false">IF(OR(G317="",D317=0),"",G317/D317-1)</f>
        <v/>
      </c>
    </row>
    <row r="318" customFormat="false" ht="15" hidden="false" customHeight="false" outlineLevel="0" collapsed="false">
      <c r="A318" s="12"/>
      <c r="B318" s="13"/>
      <c r="C318" s="14"/>
      <c r="D318" s="14"/>
      <c r="E318" s="15"/>
      <c r="F318" s="16" t="str">
        <f aca="false">IF(OR(A318="",D318=""),"",IF(E318&lt;&gt;"",E318,IF(IFERROR(INDEX('Kategori Zamları'!$B$5:$B$24,MATCH(B318,'Kategori Zamları'!$A$5:$A$24,0)),"")="",Özet!$C$3,INDEX('Kategori Zamları'!$B$5:$B$24,MATCH(B318,'Kategori Zamları'!$A$5:$A$24,0)))))</f>
        <v/>
      </c>
      <c r="G318" s="17" t="str">
        <f aca="false">IF(F318="","",ROUNDUP(ROUND(D318*(1+F318)/Özet!$C$4,6),0)*Özet!$C$4-Özet!$C$5)</f>
        <v/>
      </c>
      <c r="H318" s="17" t="str">
        <f aca="false">IF(G318="","",G318-D318)</f>
        <v/>
      </c>
      <c r="I318" s="16" t="str">
        <f aca="false">IF(OR(G318="",D318=0),"",(D318-C318)/D318)</f>
        <v/>
      </c>
      <c r="J318" s="16" t="str">
        <f aca="false">IF(OR(G318="",G318=0),"",(G318-C318)/G318)</f>
        <v/>
      </c>
      <c r="K318" s="18" t="str">
        <f aca="false">IF(OR(G318="",D318=0),"",G318/D318-1)</f>
        <v/>
      </c>
    </row>
    <row r="319" customFormat="false" ht="15" hidden="false" customHeight="false" outlineLevel="0" collapsed="false">
      <c r="A319" s="12"/>
      <c r="B319" s="13"/>
      <c r="C319" s="14"/>
      <c r="D319" s="14"/>
      <c r="E319" s="15"/>
      <c r="F319" s="16" t="str">
        <f aca="false">IF(OR(A319="",D319=""),"",IF(E319&lt;&gt;"",E319,IF(IFERROR(INDEX('Kategori Zamları'!$B$5:$B$24,MATCH(B319,'Kategori Zamları'!$A$5:$A$24,0)),"")="",Özet!$C$3,INDEX('Kategori Zamları'!$B$5:$B$24,MATCH(B319,'Kategori Zamları'!$A$5:$A$24,0)))))</f>
        <v/>
      </c>
      <c r="G319" s="17" t="str">
        <f aca="false">IF(F319="","",ROUNDUP(ROUND(D319*(1+F319)/Özet!$C$4,6),0)*Özet!$C$4-Özet!$C$5)</f>
        <v/>
      </c>
      <c r="H319" s="17" t="str">
        <f aca="false">IF(G319="","",G319-D319)</f>
        <v/>
      </c>
      <c r="I319" s="16" t="str">
        <f aca="false">IF(OR(G319="",D319=0),"",(D319-C319)/D319)</f>
        <v/>
      </c>
      <c r="J319" s="16" t="str">
        <f aca="false">IF(OR(G319="",G319=0),"",(G319-C319)/G319)</f>
        <v/>
      </c>
      <c r="K319" s="18" t="str">
        <f aca="false">IF(OR(G319="",D319=0),"",G319/D319-1)</f>
        <v/>
      </c>
    </row>
    <row r="320" customFormat="false" ht="15" hidden="false" customHeight="false" outlineLevel="0" collapsed="false">
      <c r="A320" s="12"/>
      <c r="B320" s="13"/>
      <c r="C320" s="14"/>
      <c r="D320" s="14"/>
      <c r="E320" s="15"/>
      <c r="F320" s="16" t="str">
        <f aca="false">IF(OR(A320="",D320=""),"",IF(E320&lt;&gt;"",E320,IF(IFERROR(INDEX('Kategori Zamları'!$B$5:$B$24,MATCH(B320,'Kategori Zamları'!$A$5:$A$24,0)),"")="",Özet!$C$3,INDEX('Kategori Zamları'!$B$5:$B$24,MATCH(B320,'Kategori Zamları'!$A$5:$A$24,0)))))</f>
        <v/>
      </c>
      <c r="G320" s="17" t="str">
        <f aca="false">IF(F320="","",ROUNDUP(ROUND(D320*(1+F320)/Özet!$C$4,6),0)*Özet!$C$4-Özet!$C$5)</f>
        <v/>
      </c>
      <c r="H320" s="17" t="str">
        <f aca="false">IF(G320="","",G320-D320)</f>
        <v/>
      </c>
      <c r="I320" s="16" t="str">
        <f aca="false">IF(OR(G320="",D320=0),"",(D320-C320)/D320)</f>
        <v/>
      </c>
      <c r="J320" s="16" t="str">
        <f aca="false">IF(OR(G320="",G320=0),"",(G320-C320)/G320)</f>
        <v/>
      </c>
      <c r="K320" s="18" t="str">
        <f aca="false">IF(OR(G320="",D320=0),"",G320/D320-1)</f>
        <v/>
      </c>
    </row>
    <row r="321" customFormat="false" ht="15" hidden="false" customHeight="false" outlineLevel="0" collapsed="false">
      <c r="A321" s="12"/>
      <c r="B321" s="13"/>
      <c r="C321" s="14"/>
      <c r="D321" s="14"/>
      <c r="E321" s="15"/>
      <c r="F321" s="16" t="str">
        <f aca="false">IF(OR(A321="",D321=""),"",IF(E321&lt;&gt;"",E321,IF(IFERROR(INDEX('Kategori Zamları'!$B$5:$B$24,MATCH(B321,'Kategori Zamları'!$A$5:$A$24,0)),"")="",Özet!$C$3,INDEX('Kategori Zamları'!$B$5:$B$24,MATCH(B321,'Kategori Zamları'!$A$5:$A$24,0)))))</f>
        <v/>
      </c>
      <c r="G321" s="17" t="str">
        <f aca="false">IF(F321="","",ROUNDUP(ROUND(D321*(1+F321)/Özet!$C$4,6),0)*Özet!$C$4-Özet!$C$5)</f>
        <v/>
      </c>
      <c r="H321" s="17" t="str">
        <f aca="false">IF(G321="","",G321-D321)</f>
        <v/>
      </c>
      <c r="I321" s="16" t="str">
        <f aca="false">IF(OR(G321="",D321=0),"",(D321-C321)/D321)</f>
        <v/>
      </c>
      <c r="J321" s="16" t="str">
        <f aca="false">IF(OR(G321="",G321=0),"",(G321-C321)/G321)</f>
        <v/>
      </c>
      <c r="K321" s="18" t="str">
        <f aca="false">IF(OR(G321="",D321=0),"",G321/D321-1)</f>
        <v/>
      </c>
    </row>
    <row r="322" customFormat="false" ht="15" hidden="false" customHeight="false" outlineLevel="0" collapsed="false">
      <c r="A322" s="12"/>
      <c r="B322" s="13"/>
      <c r="C322" s="14"/>
      <c r="D322" s="14"/>
      <c r="E322" s="15"/>
      <c r="F322" s="16" t="str">
        <f aca="false">IF(OR(A322="",D322=""),"",IF(E322&lt;&gt;"",E322,IF(IFERROR(INDEX('Kategori Zamları'!$B$5:$B$24,MATCH(B322,'Kategori Zamları'!$A$5:$A$24,0)),"")="",Özet!$C$3,INDEX('Kategori Zamları'!$B$5:$B$24,MATCH(B322,'Kategori Zamları'!$A$5:$A$24,0)))))</f>
        <v/>
      </c>
      <c r="G322" s="17" t="str">
        <f aca="false">IF(F322="","",ROUNDUP(ROUND(D322*(1+F322)/Özet!$C$4,6),0)*Özet!$C$4-Özet!$C$5)</f>
        <v/>
      </c>
      <c r="H322" s="17" t="str">
        <f aca="false">IF(G322="","",G322-D322)</f>
        <v/>
      </c>
      <c r="I322" s="16" t="str">
        <f aca="false">IF(OR(G322="",D322=0),"",(D322-C322)/D322)</f>
        <v/>
      </c>
      <c r="J322" s="16" t="str">
        <f aca="false">IF(OR(G322="",G322=0),"",(G322-C322)/G322)</f>
        <v/>
      </c>
      <c r="K322" s="18" t="str">
        <f aca="false">IF(OR(G322="",D322=0),"",G322/D322-1)</f>
        <v/>
      </c>
    </row>
    <row r="323" customFormat="false" ht="15" hidden="false" customHeight="false" outlineLevel="0" collapsed="false">
      <c r="A323" s="12"/>
      <c r="B323" s="13"/>
      <c r="C323" s="14"/>
      <c r="D323" s="14"/>
      <c r="E323" s="15"/>
      <c r="F323" s="16" t="str">
        <f aca="false">IF(OR(A323="",D323=""),"",IF(E323&lt;&gt;"",E323,IF(IFERROR(INDEX('Kategori Zamları'!$B$5:$B$24,MATCH(B323,'Kategori Zamları'!$A$5:$A$24,0)),"")="",Özet!$C$3,INDEX('Kategori Zamları'!$B$5:$B$24,MATCH(B323,'Kategori Zamları'!$A$5:$A$24,0)))))</f>
        <v/>
      </c>
      <c r="G323" s="17" t="str">
        <f aca="false">IF(F323="","",ROUNDUP(ROUND(D323*(1+F323)/Özet!$C$4,6),0)*Özet!$C$4-Özet!$C$5)</f>
        <v/>
      </c>
      <c r="H323" s="17" t="str">
        <f aca="false">IF(G323="","",G323-D323)</f>
        <v/>
      </c>
      <c r="I323" s="16" t="str">
        <f aca="false">IF(OR(G323="",D323=0),"",(D323-C323)/D323)</f>
        <v/>
      </c>
      <c r="J323" s="16" t="str">
        <f aca="false">IF(OR(G323="",G323=0),"",(G323-C323)/G323)</f>
        <v/>
      </c>
      <c r="K323" s="18" t="str">
        <f aca="false">IF(OR(G323="",D323=0),"",G323/D323-1)</f>
        <v/>
      </c>
    </row>
    <row r="324" customFormat="false" ht="15" hidden="false" customHeight="false" outlineLevel="0" collapsed="false">
      <c r="A324" s="12"/>
      <c r="B324" s="13"/>
      <c r="C324" s="14"/>
      <c r="D324" s="14"/>
      <c r="E324" s="15"/>
      <c r="F324" s="16" t="str">
        <f aca="false">IF(OR(A324="",D324=""),"",IF(E324&lt;&gt;"",E324,IF(IFERROR(INDEX('Kategori Zamları'!$B$5:$B$24,MATCH(B324,'Kategori Zamları'!$A$5:$A$24,0)),"")="",Özet!$C$3,INDEX('Kategori Zamları'!$B$5:$B$24,MATCH(B324,'Kategori Zamları'!$A$5:$A$24,0)))))</f>
        <v/>
      </c>
      <c r="G324" s="17" t="str">
        <f aca="false">IF(F324="","",ROUNDUP(ROUND(D324*(1+F324)/Özet!$C$4,6),0)*Özet!$C$4-Özet!$C$5)</f>
        <v/>
      </c>
      <c r="H324" s="17" t="str">
        <f aca="false">IF(G324="","",G324-D324)</f>
        <v/>
      </c>
      <c r="I324" s="16" t="str">
        <f aca="false">IF(OR(G324="",D324=0),"",(D324-C324)/D324)</f>
        <v/>
      </c>
      <c r="J324" s="16" t="str">
        <f aca="false">IF(OR(G324="",G324=0),"",(G324-C324)/G324)</f>
        <v/>
      </c>
      <c r="K324" s="18" t="str">
        <f aca="false">IF(OR(G324="",D324=0),"",G324/D324-1)</f>
        <v/>
      </c>
    </row>
    <row r="325" customFormat="false" ht="15" hidden="false" customHeight="false" outlineLevel="0" collapsed="false">
      <c r="A325" s="12"/>
      <c r="B325" s="13"/>
      <c r="C325" s="14"/>
      <c r="D325" s="14"/>
      <c r="E325" s="15"/>
      <c r="F325" s="16" t="str">
        <f aca="false">IF(OR(A325="",D325=""),"",IF(E325&lt;&gt;"",E325,IF(IFERROR(INDEX('Kategori Zamları'!$B$5:$B$24,MATCH(B325,'Kategori Zamları'!$A$5:$A$24,0)),"")="",Özet!$C$3,INDEX('Kategori Zamları'!$B$5:$B$24,MATCH(B325,'Kategori Zamları'!$A$5:$A$24,0)))))</f>
        <v/>
      </c>
      <c r="G325" s="17" t="str">
        <f aca="false">IF(F325="","",ROUNDUP(ROUND(D325*(1+F325)/Özet!$C$4,6),0)*Özet!$C$4-Özet!$C$5)</f>
        <v/>
      </c>
      <c r="H325" s="17" t="str">
        <f aca="false">IF(G325="","",G325-D325)</f>
        <v/>
      </c>
      <c r="I325" s="16" t="str">
        <f aca="false">IF(OR(G325="",D325=0),"",(D325-C325)/D325)</f>
        <v/>
      </c>
      <c r="J325" s="16" t="str">
        <f aca="false">IF(OR(G325="",G325=0),"",(G325-C325)/G325)</f>
        <v/>
      </c>
      <c r="K325" s="18" t="str">
        <f aca="false">IF(OR(G325="",D325=0),"",G325/D325-1)</f>
        <v/>
      </c>
    </row>
    <row r="326" customFormat="false" ht="15" hidden="false" customHeight="false" outlineLevel="0" collapsed="false">
      <c r="A326" s="12"/>
      <c r="B326" s="13"/>
      <c r="C326" s="14"/>
      <c r="D326" s="14"/>
      <c r="E326" s="15"/>
      <c r="F326" s="16" t="str">
        <f aca="false">IF(OR(A326="",D326=""),"",IF(E326&lt;&gt;"",E326,IF(IFERROR(INDEX('Kategori Zamları'!$B$5:$B$24,MATCH(B326,'Kategori Zamları'!$A$5:$A$24,0)),"")="",Özet!$C$3,INDEX('Kategori Zamları'!$B$5:$B$24,MATCH(B326,'Kategori Zamları'!$A$5:$A$24,0)))))</f>
        <v/>
      </c>
      <c r="G326" s="17" t="str">
        <f aca="false">IF(F326="","",ROUNDUP(ROUND(D326*(1+F326)/Özet!$C$4,6),0)*Özet!$C$4-Özet!$C$5)</f>
        <v/>
      </c>
      <c r="H326" s="17" t="str">
        <f aca="false">IF(G326="","",G326-D326)</f>
        <v/>
      </c>
      <c r="I326" s="16" t="str">
        <f aca="false">IF(OR(G326="",D326=0),"",(D326-C326)/D326)</f>
        <v/>
      </c>
      <c r="J326" s="16" t="str">
        <f aca="false">IF(OR(G326="",G326=0),"",(G326-C326)/G326)</f>
        <v/>
      </c>
      <c r="K326" s="18" t="str">
        <f aca="false">IF(OR(G326="",D326=0),"",G326/D326-1)</f>
        <v/>
      </c>
    </row>
    <row r="327" customFormat="false" ht="15" hidden="false" customHeight="false" outlineLevel="0" collapsed="false">
      <c r="A327" s="12"/>
      <c r="B327" s="13"/>
      <c r="C327" s="14"/>
      <c r="D327" s="14"/>
      <c r="E327" s="15"/>
      <c r="F327" s="16" t="str">
        <f aca="false">IF(OR(A327="",D327=""),"",IF(E327&lt;&gt;"",E327,IF(IFERROR(INDEX('Kategori Zamları'!$B$5:$B$24,MATCH(B327,'Kategori Zamları'!$A$5:$A$24,0)),"")="",Özet!$C$3,INDEX('Kategori Zamları'!$B$5:$B$24,MATCH(B327,'Kategori Zamları'!$A$5:$A$24,0)))))</f>
        <v/>
      </c>
      <c r="G327" s="17" t="str">
        <f aca="false">IF(F327="","",ROUNDUP(ROUND(D327*(1+F327)/Özet!$C$4,6),0)*Özet!$C$4-Özet!$C$5)</f>
        <v/>
      </c>
      <c r="H327" s="17" t="str">
        <f aca="false">IF(G327="","",G327-D327)</f>
        <v/>
      </c>
      <c r="I327" s="16" t="str">
        <f aca="false">IF(OR(G327="",D327=0),"",(D327-C327)/D327)</f>
        <v/>
      </c>
      <c r="J327" s="16" t="str">
        <f aca="false">IF(OR(G327="",G327=0),"",(G327-C327)/G327)</f>
        <v/>
      </c>
      <c r="K327" s="18" t="str">
        <f aca="false">IF(OR(G327="",D327=0),"",G327/D327-1)</f>
        <v/>
      </c>
    </row>
    <row r="328" customFormat="false" ht="15" hidden="false" customHeight="false" outlineLevel="0" collapsed="false">
      <c r="A328" s="12"/>
      <c r="B328" s="13"/>
      <c r="C328" s="14"/>
      <c r="D328" s="14"/>
      <c r="E328" s="15"/>
      <c r="F328" s="16" t="str">
        <f aca="false">IF(OR(A328="",D328=""),"",IF(E328&lt;&gt;"",E328,IF(IFERROR(INDEX('Kategori Zamları'!$B$5:$B$24,MATCH(B328,'Kategori Zamları'!$A$5:$A$24,0)),"")="",Özet!$C$3,INDEX('Kategori Zamları'!$B$5:$B$24,MATCH(B328,'Kategori Zamları'!$A$5:$A$24,0)))))</f>
        <v/>
      </c>
      <c r="G328" s="17" t="str">
        <f aca="false">IF(F328="","",ROUNDUP(ROUND(D328*(1+F328)/Özet!$C$4,6),0)*Özet!$C$4-Özet!$C$5)</f>
        <v/>
      </c>
      <c r="H328" s="17" t="str">
        <f aca="false">IF(G328="","",G328-D328)</f>
        <v/>
      </c>
      <c r="I328" s="16" t="str">
        <f aca="false">IF(OR(G328="",D328=0),"",(D328-C328)/D328)</f>
        <v/>
      </c>
      <c r="J328" s="16" t="str">
        <f aca="false">IF(OR(G328="",G328=0),"",(G328-C328)/G328)</f>
        <v/>
      </c>
      <c r="K328" s="18" t="str">
        <f aca="false">IF(OR(G328="",D328=0),"",G328/D328-1)</f>
        <v/>
      </c>
    </row>
    <row r="329" customFormat="false" ht="15" hidden="false" customHeight="false" outlineLevel="0" collapsed="false">
      <c r="A329" s="12"/>
      <c r="B329" s="13"/>
      <c r="C329" s="14"/>
      <c r="D329" s="14"/>
      <c r="E329" s="15"/>
      <c r="F329" s="16" t="str">
        <f aca="false">IF(OR(A329="",D329=""),"",IF(E329&lt;&gt;"",E329,IF(IFERROR(INDEX('Kategori Zamları'!$B$5:$B$24,MATCH(B329,'Kategori Zamları'!$A$5:$A$24,0)),"")="",Özet!$C$3,INDEX('Kategori Zamları'!$B$5:$B$24,MATCH(B329,'Kategori Zamları'!$A$5:$A$24,0)))))</f>
        <v/>
      </c>
      <c r="G329" s="17" t="str">
        <f aca="false">IF(F329="","",ROUNDUP(ROUND(D329*(1+F329)/Özet!$C$4,6),0)*Özet!$C$4-Özet!$C$5)</f>
        <v/>
      </c>
      <c r="H329" s="17" t="str">
        <f aca="false">IF(G329="","",G329-D329)</f>
        <v/>
      </c>
      <c r="I329" s="16" t="str">
        <f aca="false">IF(OR(G329="",D329=0),"",(D329-C329)/D329)</f>
        <v/>
      </c>
      <c r="J329" s="16" t="str">
        <f aca="false">IF(OR(G329="",G329=0),"",(G329-C329)/G329)</f>
        <v/>
      </c>
      <c r="K329" s="18" t="str">
        <f aca="false">IF(OR(G329="",D329=0),"",G329/D329-1)</f>
        <v/>
      </c>
    </row>
    <row r="330" customFormat="false" ht="15" hidden="false" customHeight="false" outlineLevel="0" collapsed="false">
      <c r="A330" s="12"/>
      <c r="B330" s="13"/>
      <c r="C330" s="14"/>
      <c r="D330" s="14"/>
      <c r="E330" s="15"/>
      <c r="F330" s="16" t="str">
        <f aca="false">IF(OR(A330="",D330=""),"",IF(E330&lt;&gt;"",E330,IF(IFERROR(INDEX('Kategori Zamları'!$B$5:$B$24,MATCH(B330,'Kategori Zamları'!$A$5:$A$24,0)),"")="",Özet!$C$3,INDEX('Kategori Zamları'!$B$5:$B$24,MATCH(B330,'Kategori Zamları'!$A$5:$A$24,0)))))</f>
        <v/>
      </c>
      <c r="G330" s="17" t="str">
        <f aca="false">IF(F330="","",ROUNDUP(ROUND(D330*(1+F330)/Özet!$C$4,6),0)*Özet!$C$4-Özet!$C$5)</f>
        <v/>
      </c>
      <c r="H330" s="17" t="str">
        <f aca="false">IF(G330="","",G330-D330)</f>
        <v/>
      </c>
      <c r="I330" s="16" t="str">
        <f aca="false">IF(OR(G330="",D330=0),"",(D330-C330)/D330)</f>
        <v/>
      </c>
      <c r="J330" s="16" t="str">
        <f aca="false">IF(OR(G330="",G330=0),"",(G330-C330)/G330)</f>
        <v/>
      </c>
      <c r="K330" s="18" t="str">
        <f aca="false">IF(OR(G330="",D330=0),"",G330/D330-1)</f>
        <v/>
      </c>
    </row>
    <row r="331" customFormat="false" ht="15" hidden="false" customHeight="false" outlineLevel="0" collapsed="false">
      <c r="A331" s="12"/>
      <c r="B331" s="13"/>
      <c r="C331" s="14"/>
      <c r="D331" s="14"/>
      <c r="E331" s="15"/>
      <c r="F331" s="16" t="str">
        <f aca="false">IF(OR(A331="",D331=""),"",IF(E331&lt;&gt;"",E331,IF(IFERROR(INDEX('Kategori Zamları'!$B$5:$B$24,MATCH(B331,'Kategori Zamları'!$A$5:$A$24,0)),"")="",Özet!$C$3,INDEX('Kategori Zamları'!$B$5:$B$24,MATCH(B331,'Kategori Zamları'!$A$5:$A$24,0)))))</f>
        <v/>
      </c>
      <c r="G331" s="17" t="str">
        <f aca="false">IF(F331="","",ROUNDUP(ROUND(D331*(1+F331)/Özet!$C$4,6),0)*Özet!$C$4-Özet!$C$5)</f>
        <v/>
      </c>
      <c r="H331" s="17" t="str">
        <f aca="false">IF(G331="","",G331-D331)</f>
        <v/>
      </c>
      <c r="I331" s="16" t="str">
        <f aca="false">IF(OR(G331="",D331=0),"",(D331-C331)/D331)</f>
        <v/>
      </c>
      <c r="J331" s="16" t="str">
        <f aca="false">IF(OR(G331="",G331=0),"",(G331-C331)/G331)</f>
        <v/>
      </c>
      <c r="K331" s="18" t="str">
        <f aca="false">IF(OR(G331="",D331=0),"",G331/D331-1)</f>
        <v/>
      </c>
    </row>
    <row r="332" customFormat="false" ht="15" hidden="false" customHeight="false" outlineLevel="0" collapsed="false">
      <c r="A332" s="12"/>
      <c r="B332" s="13"/>
      <c r="C332" s="14"/>
      <c r="D332" s="14"/>
      <c r="E332" s="15"/>
      <c r="F332" s="16" t="str">
        <f aca="false">IF(OR(A332="",D332=""),"",IF(E332&lt;&gt;"",E332,IF(IFERROR(INDEX('Kategori Zamları'!$B$5:$B$24,MATCH(B332,'Kategori Zamları'!$A$5:$A$24,0)),"")="",Özet!$C$3,INDEX('Kategori Zamları'!$B$5:$B$24,MATCH(B332,'Kategori Zamları'!$A$5:$A$24,0)))))</f>
        <v/>
      </c>
      <c r="G332" s="17" t="str">
        <f aca="false">IF(F332="","",ROUNDUP(ROUND(D332*(1+F332)/Özet!$C$4,6),0)*Özet!$C$4-Özet!$C$5)</f>
        <v/>
      </c>
      <c r="H332" s="17" t="str">
        <f aca="false">IF(G332="","",G332-D332)</f>
        <v/>
      </c>
      <c r="I332" s="16" t="str">
        <f aca="false">IF(OR(G332="",D332=0),"",(D332-C332)/D332)</f>
        <v/>
      </c>
      <c r="J332" s="16" t="str">
        <f aca="false">IF(OR(G332="",G332=0),"",(G332-C332)/G332)</f>
        <v/>
      </c>
      <c r="K332" s="18" t="str">
        <f aca="false">IF(OR(G332="",D332=0),"",G332/D332-1)</f>
        <v/>
      </c>
    </row>
    <row r="333" customFormat="false" ht="15" hidden="false" customHeight="false" outlineLevel="0" collapsed="false">
      <c r="A333" s="12"/>
      <c r="B333" s="13"/>
      <c r="C333" s="14"/>
      <c r="D333" s="14"/>
      <c r="E333" s="15"/>
      <c r="F333" s="16" t="str">
        <f aca="false">IF(OR(A333="",D333=""),"",IF(E333&lt;&gt;"",E333,IF(IFERROR(INDEX('Kategori Zamları'!$B$5:$B$24,MATCH(B333,'Kategori Zamları'!$A$5:$A$24,0)),"")="",Özet!$C$3,INDEX('Kategori Zamları'!$B$5:$B$24,MATCH(B333,'Kategori Zamları'!$A$5:$A$24,0)))))</f>
        <v/>
      </c>
      <c r="G333" s="17" t="str">
        <f aca="false">IF(F333="","",ROUNDUP(ROUND(D333*(1+F333)/Özet!$C$4,6),0)*Özet!$C$4-Özet!$C$5)</f>
        <v/>
      </c>
      <c r="H333" s="17" t="str">
        <f aca="false">IF(G333="","",G333-D333)</f>
        <v/>
      </c>
      <c r="I333" s="16" t="str">
        <f aca="false">IF(OR(G333="",D333=0),"",(D333-C333)/D333)</f>
        <v/>
      </c>
      <c r="J333" s="16" t="str">
        <f aca="false">IF(OR(G333="",G333=0),"",(G333-C333)/G333)</f>
        <v/>
      </c>
      <c r="K333" s="18" t="str">
        <f aca="false">IF(OR(G333="",D333=0),"",G333/D333-1)</f>
        <v/>
      </c>
    </row>
    <row r="334" customFormat="false" ht="15" hidden="false" customHeight="false" outlineLevel="0" collapsed="false">
      <c r="A334" s="12"/>
      <c r="B334" s="13"/>
      <c r="C334" s="14"/>
      <c r="D334" s="14"/>
      <c r="E334" s="15"/>
      <c r="F334" s="16" t="str">
        <f aca="false">IF(OR(A334="",D334=""),"",IF(E334&lt;&gt;"",E334,IF(IFERROR(INDEX('Kategori Zamları'!$B$5:$B$24,MATCH(B334,'Kategori Zamları'!$A$5:$A$24,0)),"")="",Özet!$C$3,INDEX('Kategori Zamları'!$B$5:$B$24,MATCH(B334,'Kategori Zamları'!$A$5:$A$24,0)))))</f>
        <v/>
      </c>
      <c r="G334" s="17" t="str">
        <f aca="false">IF(F334="","",ROUNDUP(ROUND(D334*(1+F334)/Özet!$C$4,6),0)*Özet!$C$4-Özet!$C$5)</f>
        <v/>
      </c>
      <c r="H334" s="17" t="str">
        <f aca="false">IF(G334="","",G334-D334)</f>
        <v/>
      </c>
      <c r="I334" s="16" t="str">
        <f aca="false">IF(OR(G334="",D334=0),"",(D334-C334)/D334)</f>
        <v/>
      </c>
      <c r="J334" s="16" t="str">
        <f aca="false">IF(OR(G334="",G334=0),"",(G334-C334)/G334)</f>
        <v/>
      </c>
      <c r="K334" s="18" t="str">
        <f aca="false">IF(OR(G334="",D334=0),"",G334/D334-1)</f>
        <v/>
      </c>
    </row>
    <row r="335" customFormat="false" ht="15" hidden="false" customHeight="false" outlineLevel="0" collapsed="false">
      <c r="A335" s="12"/>
      <c r="B335" s="13"/>
      <c r="C335" s="14"/>
      <c r="D335" s="14"/>
      <c r="E335" s="15"/>
      <c r="F335" s="16" t="str">
        <f aca="false">IF(OR(A335="",D335=""),"",IF(E335&lt;&gt;"",E335,IF(IFERROR(INDEX('Kategori Zamları'!$B$5:$B$24,MATCH(B335,'Kategori Zamları'!$A$5:$A$24,0)),"")="",Özet!$C$3,INDEX('Kategori Zamları'!$B$5:$B$24,MATCH(B335,'Kategori Zamları'!$A$5:$A$24,0)))))</f>
        <v/>
      </c>
      <c r="G335" s="17" t="str">
        <f aca="false">IF(F335="","",ROUNDUP(ROUND(D335*(1+F335)/Özet!$C$4,6),0)*Özet!$C$4-Özet!$C$5)</f>
        <v/>
      </c>
      <c r="H335" s="17" t="str">
        <f aca="false">IF(G335="","",G335-D335)</f>
        <v/>
      </c>
      <c r="I335" s="16" t="str">
        <f aca="false">IF(OR(G335="",D335=0),"",(D335-C335)/D335)</f>
        <v/>
      </c>
      <c r="J335" s="16" t="str">
        <f aca="false">IF(OR(G335="",G335=0),"",(G335-C335)/G335)</f>
        <v/>
      </c>
      <c r="K335" s="18" t="str">
        <f aca="false">IF(OR(G335="",D335=0),"",G335/D335-1)</f>
        <v/>
      </c>
    </row>
    <row r="336" customFormat="false" ht="15" hidden="false" customHeight="false" outlineLevel="0" collapsed="false">
      <c r="A336" s="12"/>
      <c r="B336" s="13"/>
      <c r="C336" s="14"/>
      <c r="D336" s="14"/>
      <c r="E336" s="15"/>
      <c r="F336" s="16" t="str">
        <f aca="false">IF(OR(A336="",D336=""),"",IF(E336&lt;&gt;"",E336,IF(IFERROR(INDEX('Kategori Zamları'!$B$5:$B$24,MATCH(B336,'Kategori Zamları'!$A$5:$A$24,0)),"")="",Özet!$C$3,INDEX('Kategori Zamları'!$B$5:$B$24,MATCH(B336,'Kategori Zamları'!$A$5:$A$24,0)))))</f>
        <v/>
      </c>
      <c r="G336" s="17" t="str">
        <f aca="false">IF(F336="","",ROUNDUP(ROUND(D336*(1+F336)/Özet!$C$4,6),0)*Özet!$C$4-Özet!$C$5)</f>
        <v/>
      </c>
      <c r="H336" s="17" t="str">
        <f aca="false">IF(G336="","",G336-D336)</f>
        <v/>
      </c>
      <c r="I336" s="16" t="str">
        <f aca="false">IF(OR(G336="",D336=0),"",(D336-C336)/D336)</f>
        <v/>
      </c>
      <c r="J336" s="16" t="str">
        <f aca="false">IF(OR(G336="",G336=0),"",(G336-C336)/G336)</f>
        <v/>
      </c>
      <c r="K336" s="18" t="str">
        <f aca="false">IF(OR(G336="",D336=0),"",G336/D336-1)</f>
        <v/>
      </c>
    </row>
    <row r="337" customFormat="false" ht="15" hidden="false" customHeight="false" outlineLevel="0" collapsed="false">
      <c r="A337" s="12"/>
      <c r="B337" s="13"/>
      <c r="C337" s="14"/>
      <c r="D337" s="14"/>
      <c r="E337" s="15"/>
      <c r="F337" s="16" t="str">
        <f aca="false">IF(OR(A337="",D337=""),"",IF(E337&lt;&gt;"",E337,IF(IFERROR(INDEX('Kategori Zamları'!$B$5:$B$24,MATCH(B337,'Kategori Zamları'!$A$5:$A$24,0)),"")="",Özet!$C$3,INDEX('Kategori Zamları'!$B$5:$B$24,MATCH(B337,'Kategori Zamları'!$A$5:$A$24,0)))))</f>
        <v/>
      </c>
      <c r="G337" s="17" t="str">
        <f aca="false">IF(F337="","",ROUNDUP(ROUND(D337*(1+F337)/Özet!$C$4,6),0)*Özet!$C$4-Özet!$C$5)</f>
        <v/>
      </c>
      <c r="H337" s="17" t="str">
        <f aca="false">IF(G337="","",G337-D337)</f>
        <v/>
      </c>
      <c r="I337" s="16" t="str">
        <f aca="false">IF(OR(G337="",D337=0),"",(D337-C337)/D337)</f>
        <v/>
      </c>
      <c r="J337" s="16" t="str">
        <f aca="false">IF(OR(G337="",G337=0),"",(G337-C337)/G337)</f>
        <v/>
      </c>
      <c r="K337" s="18" t="str">
        <f aca="false">IF(OR(G337="",D337=0),"",G337/D337-1)</f>
        <v/>
      </c>
    </row>
    <row r="338" customFormat="false" ht="15" hidden="false" customHeight="false" outlineLevel="0" collapsed="false">
      <c r="A338" s="12"/>
      <c r="B338" s="13"/>
      <c r="C338" s="14"/>
      <c r="D338" s="14"/>
      <c r="E338" s="15"/>
      <c r="F338" s="16" t="str">
        <f aca="false">IF(OR(A338="",D338=""),"",IF(E338&lt;&gt;"",E338,IF(IFERROR(INDEX('Kategori Zamları'!$B$5:$B$24,MATCH(B338,'Kategori Zamları'!$A$5:$A$24,0)),"")="",Özet!$C$3,INDEX('Kategori Zamları'!$B$5:$B$24,MATCH(B338,'Kategori Zamları'!$A$5:$A$24,0)))))</f>
        <v/>
      </c>
      <c r="G338" s="17" t="str">
        <f aca="false">IF(F338="","",ROUNDUP(ROUND(D338*(1+F338)/Özet!$C$4,6),0)*Özet!$C$4-Özet!$C$5)</f>
        <v/>
      </c>
      <c r="H338" s="17" t="str">
        <f aca="false">IF(G338="","",G338-D338)</f>
        <v/>
      </c>
      <c r="I338" s="16" t="str">
        <f aca="false">IF(OR(G338="",D338=0),"",(D338-C338)/D338)</f>
        <v/>
      </c>
      <c r="J338" s="16" t="str">
        <f aca="false">IF(OR(G338="",G338=0),"",(G338-C338)/G338)</f>
        <v/>
      </c>
      <c r="K338" s="18" t="str">
        <f aca="false">IF(OR(G338="",D338=0),"",G338/D338-1)</f>
        <v/>
      </c>
    </row>
    <row r="339" customFormat="false" ht="15" hidden="false" customHeight="false" outlineLevel="0" collapsed="false">
      <c r="A339" s="12"/>
      <c r="B339" s="13"/>
      <c r="C339" s="14"/>
      <c r="D339" s="14"/>
      <c r="E339" s="15"/>
      <c r="F339" s="16" t="str">
        <f aca="false">IF(OR(A339="",D339=""),"",IF(E339&lt;&gt;"",E339,IF(IFERROR(INDEX('Kategori Zamları'!$B$5:$B$24,MATCH(B339,'Kategori Zamları'!$A$5:$A$24,0)),"")="",Özet!$C$3,INDEX('Kategori Zamları'!$B$5:$B$24,MATCH(B339,'Kategori Zamları'!$A$5:$A$24,0)))))</f>
        <v/>
      </c>
      <c r="G339" s="17" t="str">
        <f aca="false">IF(F339="","",ROUNDUP(ROUND(D339*(1+F339)/Özet!$C$4,6),0)*Özet!$C$4-Özet!$C$5)</f>
        <v/>
      </c>
      <c r="H339" s="17" t="str">
        <f aca="false">IF(G339="","",G339-D339)</f>
        <v/>
      </c>
      <c r="I339" s="16" t="str">
        <f aca="false">IF(OR(G339="",D339=0),"",(D339-C339)/D339)</f>
        <v/>
      </c>
      <c r="J339" s="16" t="str">
        <f aca="false">IF(OR(G339="",G339=0),"",(G339-C339)/G339)</f>
        <v/>
      </c>
      <c r="K339" s="18" t="str">
        <f aca="false">IF(OR(G339="",D339=0),"",G339/D339-1)</f>
        <v/>
      </c>
    </row>
    <row r="340" customFormat="false" ht="15" hidden="false" customHeight="false" outlineLevel="0" collapsed="false">
      <c r="A340" s="12"/>
      <c r="B340" s="13"/>
      <c r="C340" s="14"/>
      <c r="D340" s="14"/>
      <c r="E340" s="15"/>
      <c r="F340" s="16" t="str">
        <f aca="false">IF(OR(A340="",D340=""),"",IF(E340&lt;&gt;"",E340,IF(IFERROR(INDEX('Kategori Zamları'!$B$5:$B$24,MATCH(B340,'Kategori Zamları'!$A$5:$A$24,0)),"")="",Özet!$C$3,INDEX('Kategori Zamları'!$B$5:$B$24,MATCH(B340,'Kategori Zamları'!$A$5:$A$24,0)))))</f>
        <v/>
      </c>
      <c r="G340" s="17" t="str">
        <f aca="false">IF(F340="","",ROUNDUP(ROUND(D340*(1+F340)/Özet!$C$4,6),0)*Özet!$C$4-Özet!$C$5)</f>
        <v/>
      </c>
      <c r="H340" s="17" t="str">
        <f aca="false">IF(G340="","",G340-D340)</f>
        <v/>
      </c>
      <c r="I340" s="16" t="str">
        <f aca="false">IF(OR(G340="",D340=0),"",(D340-C340)/D340)</f>
        <v/>
      </c>
      <c r="J340" s="16" t="str">
        <f aca="false">IF(OR(G340="",G340=0),"",(G340-C340)/G340)</f>
        <v/>
      </c>
      <c r="K340" s="18" t="str">
        <f aca="false">IF(OR(G340="",D340=0),"",G340/D340-1)</f>
        <v/>
      </c>
    </row>
    <row r="341" customFormat="false" ht="15" hidden="false" customHeight="false" outlineLevel="0" collapsed="false">
      <c r="A341" s="12"/>
      <c r="B341" s="13"/>
      <c r="C341" s="14"/>
      <c r="D341" s="14"/>
      <c r="E341" s="15"/>
      <c r="F341" s="16" t="str">
        <f aca="false">IF(OR(A341="",D341=""),"",IF(E341&lt;&gt;"",E341,IF(IFERROR(INDEX('Kategori Zamları'!$B$5:$B$24,MATCH(B341,'Kategori Zamları'!$A$5:$A$24,0)),"")="",Özet!$C$3,INDEX('Kategori Zamları'!$B$5:$B$24,MATCH(B341,'Kategori Zamları'!$A$5:$A$24,0)))))</f>
        <v/>
      </c>
      <c r="G341" s="17" t="str">
        <f aca="false">IF(F341="","",ROUNDUP(ROUND(D341*(1+F341)/Özet!$C$4,6),0)*Özet!$C$4-Özet!$C$5)</f>
        <v/>
      </c>
      <c r="H341" s="17" t="str">
        <f aca="false">IF(G341="","",G341-D341)</f>
        <v/>
      </c>
      <c r="I341" s="16" t="str">
        <f aca="false">IF(OR(G341="",D341=0),"",(D341-C341)/D341)</f>
        <v/>
      </c>
      <c r="J341" s="16" t="str">
        <f aca="false">IF(OR(G341="",G341=0),"",(G341-C341)/G341)</f>
        <v/>
      </c>
      <c r="K341" s="18" t="str">
        <f aca="false">IF(OR(G341="",D341=0),"",G341/D341-1)</f>
        <v/>
      </c>
    </row>
    <row r="342" customFormat="false" ht="15" hidden="false" customHeight="false" outlineLevel="0" collapsed="false">
      <c r="A342" s="12"/>
      <c r="B342" s="13"/>
      <c r="C342" s="14"/>
      <c r="D342" s="14"/>
      <c r="E342" s="15"/>
      <c r="F342" s="16" t="str">
        <f aca="false">IF(OR(A342="",D342=""),"",IF(E342&lt;&gt;"",E342,IF(IFERROR(INDEX('Kategori Zamları'!$B$5:$B$24,MATCH(B342,'Kategori Zamları'!$A$5:$A$24,0)),"")="",Özet!$C$3,INDEX('Kategori Zamları'!$B$5:$B$24,MATCH(B342,'Kategori Zamları'!$A$5:$A$24,0)))))</f>
        <v/>
      </c>
      <c r="G342" s="17" t="str">
        <f aca="false">IF(F342="","",ROUNDUP(ROUND(D342*(1+F342)/Özet!$C$4,6),0)*Özet!$C$4-Özet!$C$5)</f>
        <v/>
      </c>
      <c r="H342" s="17" t="str">
        <f aca="false">IF(G342="","",G342-D342)</f>
        <v/>
      </c>
      <c r="I342" s="16" t="str">
        <f aca="false">IF(OR(G342="",D342=0),"",(D342-C342)/D342)</f>
        <v/>
      </c>
      <c r="J342" s="16" t="str">
        <f aca="false">IF(OR(G342="",G342=0),"",(G342-C342)/G342)</f>
        <v/>
      </c>
      <c r="K342" s="18" t="str">
        <f aca="false">IF(OR(G342="",D342=0),"",G342/D342-1)</f>
        <v/>
      </c>
    </row>
    <row r="343" customFormat="false" ht="15" hidden="false" customHeight="false" outlineLevel="0" collapsed="false">
      <c r="A343" s="12"/>
      <c r="B343" s="13"/>
      <c r="C343" s="14"/>
      <c r="D343" s="14"/>
      <c r="E343" s="15"/>
      <c r="F343" s="16" t="str">
        <f aca="false">IF(OR(A343="",D343=""),"",IF(E343&lt;&gt;"",E343,IF(IFERROR(INDEX('Kategori Zamları'!$B$5:$B$24,MATCH(B343,'Kategori Zamları'!$A$5:$A$24,0)),"")="",Özet!$C$3,INDEX('Kategori Zamları'!$B$5:$B$24,MATCH(B343,'Kategori Zamları'!$A$5:$A$24,0)))))</f>
        <v/>
      </c>
      <c r="G343" s="17" t="str">
        <f aca="false">IF(F343="","",ROUNDUP(ROUND(D343*(1+F343)/Özet!$C$4,6),0)*Özet!$C$4-Özet!$C$5)</f>
        <v/>
      </c>
      <c r="H343" s="17" t="str">
        <f aca="false">IF(G343="","",G343-D343)</f>
        <v/>
      </c>
      <c r="I343" s="16" t="str">
        <f aca="false">IF(OR(G343="",D343=0),"",(D343-C343)/D343)</f>
        <v/>
      </c>
      <c r="J343" s="16" t="str">
        <f aca="false">IF(OR(G343="",G343=0),"",(G343-C343)/G343)</f>
        <v/>
      </c>
      <c r="K343" s="18" t="str">
        <f aca="false">IF(OR(G343="",D343=0),"",G343/D343-1)</f>
        <v/>
      </c>
    </row>
    <row r="344" customFormat="false" ht="15" hidden="false" customHeight="false" outlineLevel="0" collapsed="false">
      <c r="A344" s="12"/>
      <c r="B344" s="13"/>
      <c r="C344" s="14"/>
      <c r="D344" s="14"/>
      <c r="E344" s="15"/>
      <c r="F344" s="16" t="str">
        <f aca="false">IF(OR(A344="",D344=""),"",IF(E344&lt;&gt;"",E344,IF(IFERROR(INDEX('Kategori Zamları'!$B$5:$B$24,MATCH(B344,'Kategori Zamları'!$A$5:$A$24,0)),"")="",Özet!$C$3,INDEX('Kategori Zamları'!$B$5:$B$24,MATCH(B344,'Kategori Zamları'!$A$5:$A$24,0)))))</f>
        <v/>
      </c>
      <c r="G344" s="17" t="str">
        <f aca="false">IF(F344="","",ROUNDUP(ROUND(D344*(1+F344)/Özet!$C$4,6),0)*Özet!$C$4-Özet!$C$5)</f>
        <v/>
      </c>
      <c r="H344" s="17" t="str">
        <f aca="false">IF(G344="","",G344-D344)</f>
        <v/>
      </c>
      <c r="I344" s="16" t="str">
        <f aca="false">IF(OR(G344="",D344=0),"",(D344-C344)/D344)</f>
        <v/>
      </c>
      <c r="J344" s="16" t="str">
        <f aca="false">IF(OR(G344="",G344=0),"",(G344-C344)/G344)</f>
        <v/>
      </c>
      <c r="K344" s="18" t="str">
        <f aca="false">IF(OR(G344="",D344=0),"",G344/D344-1)</f>
        <v/>
      </c>
    </row>
    <row r="345" customFormat="false" ht="15" hidden="false" customHeight="false" outlineLevel="0" collapsed="false">
      <c r="A345" s="12"/>
      <c r="B345" s="13"/>
      <c r="C345" s="14"/>
      <c r="D345" s="14"/>
      <c r="E345" s="15"/>
      <c r="F345" s="16" t="str">
        <f aca="false">IF(OR(A345="",D345=""),"",IF(E345&lt;&gt;"",E345,IF(IFERROR(INDEX('Kategori Zamları'!$B$5:$B$24,MATCH(B345,'Kategori Zamları'!$A$5:$A$24,0)),"")="",Özet!$C$3,INDEX('Kategori Zamları'!$B$5:$B$24,MATCH(B345,'Kategori Zamları'!$A$5:$A$24,0)))))</f>
        <v/>
      </c>
      <c r="G345" s="17" t="str">
        <f aca="false">IF(F345="","",ROUNDUP(ROUND(D345*(1+F345)/Özet!$C$4,6),0)*Özet!$C$4-Özet!$C$5)</f>
        <v/>
      </c>
      <c r="H345" s="17" t="str">
        <f aca="false">IF(G345="","",G345-D345)</f>
        <v/>
      </c>
      <c r="I345" s="16" t="str">
        <f aca="false">IF(OR(G345="",D345=0),"",(D345-C345)/D345)</f>
        <v/>
      </c>
      <c r="J345" s="16" t="str">
        <f aca="false">IF(OR(G345="",G345=0),"",(G345-C345)/G345)</f>
        <v/>
      </c>
      <c r="K345" s="18" t="str">
        <f aca="false">IF(OR(G345="",D345=0),"",G345/D345-1)</f>
        <v/>
      </c>
    </row>
    <row r="346" customFormat="false" ht="15" hidden="false" customHeight="false" outlineLevel="0" collapsed="false">
      <c r="A346" s="12"/>
      <c r="B346" s="13"/>
      <c r="C346" s="14"/>
      <c r="D346" s="14"/>
      <c r="E346" s="15"/>
      <c r="F346" s="16" t="str">
        <f aca="false">IF(OR(A346="",D346=""),"",IF(E346&lt;&gt;"",E346,IF(IFERROR(INDEX('Kategori Zamları'!$B$5:$B$24,MATCH(B346,'Kategori Zamları'!$A$5:$A$24,0)),"")="",Özet!$C$3,INDEX('Kategori Zamları'!$B$5:$B$24,MATCH(B346,'Kategori Zamları'!$A$5:$A$24,0)))))</f>
        <v/>
      </c>
      <c r="G346" s="17" t="str">
        <f aca="false">IF(F346="","",ROUNDUP(ROUND(D346*(1+F346)/Özet!$C$4,6),0)*Özet!$C$4-Özet!$C$5)</f>
        <v/>
      </c>
      <c r="H346" s="17" t="str">
        <f aca="false">IF(G346="","",G346-D346)</f>
        <v/>
      </c>
      <c r="I346" s="16" t="str">
        <f aca="false">IF(OR(G346="",D346=0),"",(D346-C346)/D346)</f>
        <v/>
      </c>
      <c r="J346" s="16" t="str">
        <f aca="false">IF(OR(G346="",G346=0),"",(G346-C346)/G346)</f>
        <v/>
      </c>
      <c r="K346" s="18" t="str">
        <f aca="false">IF(OR(G346="",D346=0),"",G346/D346-1)</f>
        <v/>
      </c>
    </row>
    <row r="347" customFormat="false" ht="15" hidden="false" customHeight="false" outlineLevel="0" collapsed="false">
      <c r="A347" s="12"/>
      <c r="B347" s="13"/>
      <c r="C347" s="14"/>
      <c r="D347" s="14"/>
      <c r="E347" s="15"/>
      <c r="F347" s="16" t="str">
        <f aca="false">IF(OR(A347="",D347=""),"",IF(E347&lt;&gt;"",E347,IF(IFERROR(INDEX('Kategori Zamları'!$B$5:$B$24,MATCH(B347,'Kategori Zamları'!$A$5:$A$24,0)),"")="",Özet!$C$3,INDEX('Kategori Zamları'!$B$5:$B$24,MATCH(B347,'Kategori Zamları'!$A$5:$A$24,0)))))</f>
        <v/>
      </c>
      <c r="G347" s="17" t="str">
        <f aca="false">IF(F347="","",ROUNDUP(ROUND(D347*(1+F347)/Özet!$C$4,6),0)*Özet!$C$4-Özet!$C$5)</f>
        <v/>
      </c>
      <c r="H347" s="17" t="str">
        <f aca="false">IF(G347="","",G347-D347)</f>
        <v/>
      </c>
      <c r="I347" s="16" t="str">
        <f aca="false">IF(OR(G347="",D347=0),"",(D347-C347)/D347)</f>
        <v/>
      </c>
      <c r="J347" s="16" t="str">
        <f aca="false">IF(OR(G347="",G347=0),"",(G347-C347)/G347)</f>
        <v/>
      </c>
      <c r="K347" s="18" t="str">
        <f aca="false">IF(OR(G347="",D347=0),"",G347/D347-1)</f>
        <v/>
      </c>
    </row>
    <row r="348" customFormat="false" ht="15" hidden="false" customHeight="false" outlineLevel="0" collapsed="false">
      <c r="A348" s="12"/>
      <c r="B348" s="13"/>
      <c r="C348" s="14"/>
      <c r="D348" s="14"/>
      <c r="E348" s="15"/>
      <c r="F348" s="16" t="str">
        <f aca="false">IF(OR(A348="",D348=""),"",IF(E348&lt;&gt;"",E348,IF(IFERROR(INDEX('Kategori Zamları'!$B$5:$B$24,MATCH(B348,'Kategori Zamları'!$A$5:$A$24,0)),"")="",Özet!$C$3,INDEX('Kategori Zamları'!$B$5:$B$24,MATCH(B348,'Kategori Zamları'!$A$5:$A$24,0)))))</f>
        <v/>
      </c>
      <c r="G348" s="17" t="str">
        <f aca="false">IF(F348="","",ROUNDUP(ROUND(D348*(1+F348)/Özet!$C$4,6),0)*Özet!$C$4-Özet!$C$5)</f>
        <v/>
      </c>
      <c r="H348" s="17" t="str">
        <f aca="false">IF(G348="","",G348-D348)</f>
        <v/>
      </c>
      <c r="I348" s="16" t="str">
        <f aca="false">IF(OR(G348="",D348=0),"",(D348-C348)/D348)</f>
        <v/>
      </c>
      <c r="J348" s="16" t="str">
        <f aca="false">IF(OR(G348="",G348=0),"",(G348-C348)/G348)</f>
        <v/>
      </c>
      <c r="K348" s="18" t="str">
        <f aca="false">IF(OR(G348="",D348=0),"",G348/D348-1)</f>
        <v/>
      </c>
    </row>
    <row r="349" customFormat="false" ht="15" hidden="false" customHeight="false" outlineLevel="0" collapsed="false">
      <c r="A349" s="12"/>
      <c r="B349" s="13"/>
      <c r="C349" s="14"/>
      <c r="D349" s="14"/>
      <c r="E349" s="15"/>
      <c r="F349" s="16" t="str">
        <f aca="false">IF(OR(A349="",D349=""),"",IF(E349&lt;&gt;"",E349,IF(IFERROR(INDEX('Kategori Zamları'!$B$5:$B$24,MATCH(B349,'Kategori Zamları'!$A$5:$A$24,0)),"")="",Özet!$C$3,INDEX('Kategori Zamları'!$B$5:$B$24,MATCH(B349,'Kategori Zamları'!$A$5:$A$24,0)))))</f>
        <v/>
      </c>
      <c r="G349" s="17" t="str">
        <f aca="false">IF(F349="","",ROUNDUP(ROUND(D349*(1+F349)/Özet!$C$4,6),0)*Özet!$C$4-Özet!$C$5)</f>
        <v/>
      </c>
      <c r="H349" s="17" t="str">
        <f aca="false">IF(G349="","",G349-D349)</f>
        <v/>
      </c>
      <c r="I349" s="16" t="str">
        <f aca="false">IF(OR(G349="",D349=0),"",(D349-C349)/D349)</f>
        <v/>
      </c>
      <c r="J349" s="16" t="str">
        <f aca="false">IF(OR(G349="",G349=0),"",(G349-C349)/G349)</f>
        <v/>
      </c>
      <c r="K349" s="18" t="str">
        <f aca="false">IF(OR(G349="",D349=0),"",G349/D349-1)</f>
        <v/>
      </c>
    </row>
    <row r="350" customFormat="false" ht="15" hidden="false" customHeight="false" outlineLevel="0" collapsed="false">
      <c r="A350" s="12"/>
      <c r="B350" s="13"/>
      <c r="C350" s="14"/>
      <c r="D350" s="14"/>
      <c r="E350" s="15"/>
      <c r="F350" s="16" t="str">
        <f aca="false">IF(OR(A350="",D350=""),"",IF(E350&lt;&gt;"",E350,IF(IFERROR(INDEX('Kategori Zamları'!$B$5:$B$24,MATCH(B350,'Kategori Zamları'!$A$5:$A$24,0)),"")="",Özet!$C$3,INDEX('Kategori Zamları'!$B$5:$B$24,MATCH(B350,'Kategori Zamları'!$A$5:$A$24,0)))))</f>
        <v/>
      </c>
      <c r="G350" s="17" t="str">
        <f aca="false">IF(F350="","",ROUNDUP(ROUND(D350*(1+F350)/Özet!$C$4,6),0)*Özet!$C$4-Özet!$C$5)</f>
        <v/>
      </c>
      <c r="H350" s="17" t="str">
        <f aca="false">IF(G350="","",G350-D350)</f>
        <v/>
      </c>
      <c r="I350" s="16" t="str">
        <f aca="false">IF(OR(G350="",D350=0),"",(D350-C350)/D350)</f>
        <v/>
      </c>
      <c r="J350" s="16" t="str">
        <f aca="false">IF(OR(G350="",G350=0),"",(G350-C350)/G350)</f>
        <v/>
      </c>
      <c r="K350" s="18" t="str">
        <f aca="false">IF(OR(G350="",D350=0),"",G350/D350-1)</f>
        <v/>
      </c>
    </row>
    <row r="351" customFormat="false" ht="15" hidden="false" customHeight="false" outlineLevel="0" collapsed="false">
      <c r="A351" s="12"/>
      <c r="B351" s="13"/>
      <c r="C351" s="14"/>
      <c r="D351" s="14"/>
      <c r="E351" s="15"/>
      <c r="F351" s="16" t="str">
        <f aca="false">IF(OR(A351="",D351=""),"",IF(E351&lt;&gt;"",E351,IF(IFERROR(INDEX('Kategori Zamları'!$B$5:$B$24,MATCH(B351,'Kategori Zamları'!$A$5:$A$24,0)),"")="",Özet!$C$3,INDEX('Kategori Zamları'!$B$5:$B$24,MATCH(B351,'Kategori Zamları'!$A$5:$A$24,0)))))</f>
        <v/>
      </c>
      <c r="G351" s="17" t="str">
        <f aca="false">IF(F351="","",ROUNDUP(ROUND(D351*(1+F351)/Özet!$C$4,6),0)*Özet!$C$4-Özet!$C$5)</f>
        <v/>
      </c>
      <c r="H351" s="17" t="str">
        <f aca="false">IF(G351="","",G351-D351)</f>
        <v/>
      </c>
      <c r="I351" s="16" t="str">
        <f aca="false">IF(OR(G351="",D351=0),"",(D351-C351)/D351)</f>
        <v/>
      </c>
      <c r="J351" s="16" t="str">
        <f aca="false">IF(OR(G351="",G351=0),"",(G351-C351)/G351)</f>
        <v/>
      </c>
      <c r="K351" s="18" t="str">
        <f aca="false">IF(OR(G351="",D351=0),"",G351/D351-1)</f>
        <v/>
      </c>
    </row>
    <row r="352" customFormat="false" ht="15" hidden="false" customHeight="false" outlineLevel="0" collapsed="false">
      <c r="A352" s="12"/>
      <c r="B352" s="13"/>
      <c r="C352" s="14"/>
      <c r="D352" s="14"/>
      <c r="E352" s="15"/>
      <c r="F352" s="16" t="str">
        <f aca="false">IF(OR(A352="",D352=""),"",IF(E352&lt;&gt;"",E352,IF(IFERROR(INDEX('Kategori Zamları'!$B$5:$B$24,MATCH(B352,'Kategori Zamları'!$A$5:$A$24,0)),"")="",Özet!$C$3,INDEX('Kategori Zamları'!$B$5:$B$24,MATCH(B352,'Kategori Zamları'!$A$5:$A$24,0)))))</f>
        <v/>
      </c>
      <c r="G352" s="17" t="str">
        <f aca="false">IF(F352="","",ROUNDUP(ROUND(D352*(1+F352)/Özet!$C$4,6),0)*Özet!$C$4-Özet!$C$5)</f>
        <v/>
      </c>
      <c r="H352" s="17" t="str">
        <f aca="false">IF(G352="","",G352-D352)</f>
        <v/>
      </c>
      <c r="I352" s="16" t="str">
        <f aca="false">IF(OR(G352="",D352=0),"",(D352-C352)/D352)</f>
        <v/>
      </c>
      <c r="J352" s="16" t="str">
        <f aca="false">IF(OR(G352="",G352=0),"",(G352-C352)/G352)</f>
        <v/>
      </c>
      <c r="K352" s="18" t="str">
        <f aca="false">IF(OR(G352="",D352=0),"",G352/D352-1)</f>
        <v/>
      </c>
    </row>
    <row r="353" customFormat="false" ht="15" hidden="false" customHeight="false" outlineLevel="0" collapsed="false">
      <c r="A353" s="12"/>
      <c r="B353" s="13"/>
      <c r="C353" s="14"/>
      <c r="D353" s="14"/>
      <c r="E353" s="15"/>
      <c r="F353" s="16" t="str">
        <f aca="false">IF(OR(A353="",D353=""),"",IF(E353&lt;&gt;"",E353,IF(IFERROR(INDEX('Kategori Zamları'!$B$5:$B$24,MATCH(B353,'Kategori Zamları'!$A$5:$A$24,0)),"")="",Özet!$C$3,INDEX('Kategori Zamları'!$B$5:$B$24,MATCH(B353,'Kategori Zamları'!$A$5:$A$24,0)))))</f>
        <v/>
      </c>
      <c r="G353" s="17" t="str">
        <f aca="false">IF(F353="","",ROUNDUP(ROUND(D353*(1+F353)/Özet!$C$4,6),0)*Özet!$C$4-Özet!$C$5)</f>
        <v/>
      </c>
      <c r="H353" s="17" t="str">
        <f aca="false">IF(G353="","",G353-D353)</f>
        <v/>
      </c>
      <c r="I353" s="16" t="str">
        <f aca="false">IF(OR(G353="",D353=0),"",(D353-C353)/D353)</f>
        <v/>
      </c>
      <c r="J353" s="16" t="str">
        <f aca="false">IF(OR(G353="",G353=0),"",(G353-C353)/G353)</f>
        <v/>
      </c>
      <c r="K353" s="18" t="str">
        <f aca="false">IF(OR(G353="",D353=0),"",G353/D353-1)</f>
        <v/>
      </c>
    </row>
    <row r="354" customFormat="false" ht="15" hidden="false" customHeight="false" outlineLevel="0" collapsed="false">
      <c r="A354" s="12"/>
      <c r="B354" s="13"/>
      <c r="C354" s="14"/>
      <c r="D354" s="14"/>
      <c r="E354" s="15"/>
      <c r="F354" s="16" t="str">
        <f aca="false">IF(OR(A354="",D354=""),"",IF(E354&lt;&gt;"",E354,IF(IFERROR(INDEX('Kategori Zamları'!$B$5:$B$24,MATCH(B354,'Kategori Zamları'!$A$5:$A$24,0)),"")="",Özet!$C$3,INDEX('Kategori Zamları'!$B$5:$B$24,MATCH(B354,'Kategori Zamları'!$A$5:$A$24,0)))))</f>
        <v/>
      </c>
      <c r="G354" s="17" t="str">
        <f aca="false">IF(F354="","",ROUNDUP(ROUND(D354*(1+F354)/Özet!$C$4,6),0)*Özet!$C$4-Özet!$C$5)</f>
        <v/>
      </c>
      <c r="H354" s="17" t="str">
        <f aca="false">IF(G354="","",G354-D354)</f>
        <v/>
      </c>
      <c r="I354" s="16" t="str">
        <f aca="false">IF(OR(G354="",D354=0),"",(D354-C354)/D354)</f>
        <v/>
      </c>
      <c r="J354" s="16" t="str">
        <f aca="false">IF(OR(G354="",G354=0),"",(G354-C354)/G354)</f>
        <v/>
      </c>
      <c r="K354" s="18" t="str">
        <f aca="false">IF(OR(G354="",D354=0),"",G354/D354-1)</f>
        <v/>
      </c>
    </row>
    <row r="355" customFormat="false" ht="15" hidden="false" customHeight="false" outlineLevel="0" collapsed="false">
      <c r="A355" s="12"/>
      <c r="B355" s="13"/>
      <c r="C355" s="14"/>
      <c r="D355" s="14"/>
      <c r="E355" s="15"/>
      <c r="F355" s="16" t="str">
        <f aca="false">IF(OR(A355="",D355=""),"",IF(E355&lt;&gt;"",E355,IF(IFERROR(INDEX('Kategori Zamları'!$B$5:$B$24,MATCH(B355,'Kategori Zamları'!$A$5:$A$24,0)),"")="",Özet!$C$3,INDEX('Kategori Zamları'!$B$5:$B$24,MATCH(B355,'Kategori Zamları'!$A$5:$A$24,0)))))</f>
        <v/>
      </c>
      <c r="G355" s="17" t="str">
        <f aca="false">IF(F355="","",ROUNDUP(ROUND(D355*(1+F355)/Özet!$C$4,6),0)*Özet!$C$4-Özet!$C$5)</f>
        <v/>
      </c>
      <c r="H355" s="17" t="str">
        <f aca="false">IF(G355="","",G355-D355)</f>
        <v/>
      </c>
      <c r="I355" s="16" t="str">
        <f aca="false">IF(OR(G355="",D355=0),"",(D355-C355)/D355)</f>
        <v/>
      </c>
      <c r="J355" s="16" t="str">
        <f aca="false">IF(OR(G355="",G355=0),"",(G355-C355)/G355)</f>
        <v/>
      </c>
      <c r="K355" s="18" t="str">
        <f aca="false">IF(OR(G355="",D355=0),"",G355/D355-1)</f>
        <v/>
      </c>
    </row>
    <row r="356" customFormat="false" ht="15" hidden="false" customHeight="false" outlineLevel="0" collapsed="false">
      <c r="A356" s="12"/>
      <c r="B356" s="13"/>
      <c r="C356" s="14"/>
      <c r="D356" s="14"/>
      <c r="E356" s="15"/>
      <c r="F356" s="16" t="str">
        <f aca="false">IF(OR(A356="",D356=""),"",IF(E356&lt;&gt;"",E356,IF(IFERROR(INDEX('Kategori Zamları'!$B$5:$B$24,MATCH(B356,'Kategori Zamları'!$A$5:$A$24,0)),"")="",Özet!$C$3,INDEX('Kategori Zamları'!$B$5:$B$24,MATCH(B356,'Kategori Zamları'!$A$5:$A$24,0)))))</f>
        <v/>
      </c>
      <c r="G356" s="17" t="str">
        <f aca="false">IF(F356="","",ROUNDUP(ROUND(D356*(1+F356)/Özet!$C$4,6),0)*Özet!$C$4-Özet!$C$5)</f>
        <v/>
      </c>
      <c r="H356" s="17" t="str">
        <f aca="false">IF(G356="","",G356-D356)</f>
        <v/>
      </c>
      <c r="I356" s="16" t="str">
        <f aca="false">IF(OR(G356="",D356=0),"",(D356-C356)/D356)</f>
        <v/>
      </c>
      <c r="J356" s="16" t="str">
        <f aca="false">IF(OR(G356="",G356=0),"",(G356-C356)/G356)</f>
        <v/>
      </c>
      <c r="K356" s="18" t="str">
        <f aca="false">IF(OR(G356="",D356=0),"",G356/D356-1)</f>
        <v/>
      </c>
    </row>
    <row r="357" customFormat="false" ht="15" hidden="false" customHeight="false" outlineLevel="0" collapsed="false">
      <c r="A357" s="12"/>
      <c r="B357" s="13"/>
      <c r="C357" s="14"/>
      <c r="D357" s="14"/>
      <c r="E357" s="15"/>
      <c r="F357" s="16" t="str">
        <f aca="false">IF(OR(A357="",D357=""),"",IF(E357&lt;&gt;"",E357,IF(IFERROR(INDEX('Kategori Zamları'!$B$5:$B$24,MATCH(B357,'Kategori Zamları'!$A$5:$A$24,0)),"")="",Özet!$C$3,INDEX('Kategori Zamları'!$B$5:$B$24,MATCH(B357,'Kategori Zamları'!$A$5:$A$24,0)))))</f>
        <v/>
      </c>
      <c r="G357" s="17" t="str">
        <f aca="false">IF(F357="","",ROUNDUP(ROUND(D357*(1+F357)/Özet!$C$4,6),0)*Özet!$C$4-Özet!$C$5)</f>
        <v/>
      </c>
      <c r="H357" s="17" t="str">
        <f aca="false">IF(G357="","",G357-D357)</f>
        <v/>
      </c>
      <c r="I357" s="16" t="str">
        <f aca="false">IF(OR(G357="",D357=0),"",(D357-C357)/D357)</f>
        <v/>
      </c>
      <c r="J357" s="16" t="str">
        <f aca="false">IF(OR(G357="",G357=0),"",(G357-C357)/G357)</f>
        <v/>
      </c>
      <c r="K357" s="18" t="str">
        <f aca="false">IF(OR(G357="",D357=0),"",G357/D357-1)</f>
        <v/>
      </c>
    </row>
    <row r="358" customFormat="false" ht="15" hidden="false" customHeight="false" outlineLevel="0" collapsed="false">
      <c r="A358" s="12"/>
      <c r="B358" s="13"/>
      <c r="C358" s="14"/>
      <c r="D358" s="14"/>
      <c r="E358" s="15"/>
      <c r="F358" s="16" t="str">
        <f aca="false">IF(OR(A358="",D358=""),"",IF(E358&lt;&gt;"",E358,IF(IFERROR(INDEX('Kategori Zamları'!$B$5:$B$24,MATCH(B358,'Kategori Zamları'!$A$5:$A$24,0)),"")="",Özet!$C$3,INDEX('Kategori Zamları'!$B$5:$B$24,MATCH(B358,'Kategori Zamları'!$A$5:$A$24,0)))))</f>
        <v/>
      </c>
      <c r="G358" s="17" t="str">
        <f aca="false">IF(F358="","",ROUNDUP(ROUND(D358*(1+F358)/Özet!$C$4,6),0)*Özet!$C$4-Özet!$C$5)</f>
        <v/>
      </c>
      <c r="H358" s="17" t="str">
        <f aca="false">IF(G358="","",G358-D358)</f>
        <v/>
      </c>
      <c r="I358" s="16" t="str">
        <f aca="false">IF(OR(G358="",D358=0),"",(D358-C358)/D358)</f>
        <v/>
      </c>
      <c r="J358" s="16" t="str">
        <f aca="false">IF(OR(G358="",G358=0),"",(G358-C358)/G358)</f>
        <v/>
      </c>
      <c r="K358" s="18" t="str">
        <f aca="false">IF(OR(G358="",D358=0),"",G358/D358-1)</f>
        <v/>
      </c>
    </row>
    <row r="359" customFormat="false" ht="15" hidden="false" customHeight="false" outlineLevel="0" collapsed="false">
      <c r="A359" s="12"/>
      <c r="B359" s="13"/>
      <c r="C359" s="14"/>
      <c r="D359" s="14"/>
      <c r="E359" s="15"/>
      <c r="F359" s="16" t="str">
        <f aca="false">IF(OR(A359="",D359=""),"",IF(E359&lt;&gt;"",E359,IF(IFERROR(INDEX('Kategori Zamları'!$B$5:$B$24,MATCH(B359,'Kategori Zamları'!$A$5:$A$24,0)),"")="",Özet!$C$3,INDEX('Kategori Zamları'!$B$5:$B$24,MATCH(B359,'Kategori Zamları'!$A$5:$A$24,0)))))</f>
        <v/>
      </c>
      <c r="G359" s="17" t="str">
        <f aca="false">IF(F359="","",ROUNDUP(ROUND(D359*(1+F359)/Özet!$C$4,6),0)*Özet!$C$4-Özet!$C$5)</f>
        <v/>
      </c>
      <c r="H359" s="17" t="str">
        <f aca="false">IF(G359="","",G359-D359)</f>
        <v/>
      </c>
      <c r="I359" s="16" t="str">
        <f aca="false">IF(OR(G359="",D359=0),"",(D359-C359)/D359)</f>
        <v/>
      </c>
      <c r="J359" s="16" t="str">
        <f aca="false">IF(OR(G359="",G359=0),"",(G359-C359)/G359)</f>
        <v/>
      </c>
      <c r="K359" s="18" t="str">
        <f aca="false">IF(OR(G359="",D359=0),"",G359/D359-1)</f>
        <v/>
      </c>
    </row>
    <row r="360" customFormat="false" ht="15" hidden="false" customHeight="false" outlineLevel="0" collapsed="false">
      <c r="A360" s="12"/>
      <c r="B360" s="13"/>
      <c r="C360" s="14"/>
      <c r="D360" s="14"/>
      <c r="E360" s="15"/>
      <c r="F360" s="16" t="str">
        <f aca="false">IF(OR(A360="",D360=""),"",IF(E360&lt;&gt;"",E360,IF(IFERROR(INDEX('Kategori Zamları'!$B$5:$B$24,MATCH(B360,'Kategori Zamları'!$A$5:$A$24,0)),"")="",Özet!$C$3,INDEX('Kategori Zamları'!$B$5:$B$24,MATCH(B360,'Kategori Zamları'!$A$5:$A$24,0)))))</f>
        <v/>
      </c>
      <c r="G360" s="17" t="str">
        <f aca="false">IF(F360="","",ROUNDUP(ROUND(D360*(1+F360)/Özet!$C$4,6),0)*Özet!$C$4-Özet!$C$5)</f>
        <v/>
      </c>
      <c r="H360" s="17" t="str">
        <f aca="false">IF(G360="","",G360-D360)</f>
        <v/>
      </c>
      <c r="I360" s="16" t="str">
        <f aca="false">IF(OR(G360="",D360=0),"",(D360-C360)/D360)</f>
        <v/>
      </c>
      <c r="J360" s="16" t="str">
        <f aca="false">IF(OR(G360="",G360=0),"",(G360-C360)/G360)</f>
        <v/>
      </c>
      <c r="K360" s="18" t="str">
        <f aca="false">IF(OR(G360="",D360=0),"",G360/D360-1)</f>
        <v/>
      </c>
    </row>
    <row r="361" customFormat="false" ht="15" hidden="false" customHeight="false" outlineLevel="0" collapsed="false">
      <c r="A361" s="12"/>
      <c r="B361" s="13"/>
      <c r="C361" s="14"/>
      <c r="D361" s="14"/>
      <c r="E361" s="15"/>
      <c r="F361" s="16" t="str">
        <f aca="false">IF(OR(A361="",D361=""),"",IF(E361&lt;&gt;"",E361,IF(IFERROR(INDEX('Kategori Zamları'!$B$5:$B$24,MATCH(B361,'Kategori Zamları'!$A$5:$A$24,0)),"")="",Özet!$C$3,INDEX('Kategori Zamları'!$B$5:$B$24,MATCH(B361,'Kategori Zamları'!$A$5:$A$24,0)))))</f>
        <v/>
      </c>
      <c r="G361" s="17" t="str">
        <f aca="false">IF(F361="","",ROUNDUP(ROUND(D361*(1+F361)/Özet!$C$4,6),0)*Özet!$C$4-Özet!$C$5)</f>
        <v/>
      </c>
      <c r="H361" s="17" t="str">
        <f aca="false">IF(G361="","",G361-D361)</f>
        <v/>
      </c>
      <c r="I361" s="16" t="str">
        <f aca="false">IF(OR(G361="",D361=0),"",(D361-C361)/D361)</f>
        <v/>
      </c>
      <c r="J361" s="16" t="str">
        <f aca="false">IF(OR(G361="",G361=0),"",(G361-C361)/G361)</f>
        <v/>
      </c>
      <c r="K361" s="18" t="str">
        <f aca="false">IF(OR(G361="",D361=0),"",G361/D361-1)</f>
        <v/>
      </c>
    </row>
    <row r="362" customFormat="false" ht="15" hidden="false" customHeight="false" outlineLevel="0" collapsed="false">
      <c r="A362" s="12"/>
      <c r="B362" s="13"/>
      <c r="C362" s="14"/>
      <c r="D362" s="14"/>
      <c r="E362" s="15"/>
      <c r="F362" s="16" t="str">
        <f aca="false">IF(OR(A362="",D362=""),"",IF(E362&lt;&gt;"",E362,IF(IFERROR(INDEX('Kategori Zamları'!$B$5:$B$24,MATCH(B362,'Kategori Zamları'!$A$5:$A$24,0)),"")="",Özet!$C$3,INDEX('Kategori Zamları'!$B$5:$B$24,MATCH(B362,'Kategori Zamları'!$A$5:$A$24,0)))))</f>
        <v/>
      </c>
      <c r="G362" s="17" t="str">
        <f aca="false">IF(F362="","",ROUNDUP(ROUND(D362*(1+F362)/Özet!$C$4,6),0)*Özet!$C$4-Özet!$C$5)</f>
        <v/>
      </c>
      <c r="H362" s="17" t="str">
        <f aca="false">IF(G362="","",G362-D362)</f>
        <v/>
      </c>
      <c r="I362" s="16" t="str">
        <f aca="false">IF(OR(G362="",D362=0),"",(D362-C362)/D362)</f>
        <v/>
      </c>
      <c r="J362" s="16" t="str">
        <f aca="false">IF(OR(G362="",G362=0),"",(G362-C362)/G362)</f>
        <v/>
      </c>
      <c r="K362" s="18" t="str">
        <f aca="false">IF(OR(G362="",D362=0),"",G362/D362-1)</f>
        <v/>
      </c>
    </row>
    <row r="363" customFormat="false" ht="15" hidden="false" customHeight="false" outlineLevel="0" collapsed="false">
      <c r="A363" s="12"/>
      <c r="B363" s="13"/>
      <c r="C363" s="14"/>
      <c r="D363" s="14"/>
      <c r="E363" s="15"/>
      <c r="F363" s="16" t="str">
        <f aca="false">IF(OR(A363="",D363=""),"",IF(E363&lt;&gt;"",E363,IF(IFERROR(INDEX('Kategori Zamları'!$B$5:$B$24,MATCH(B363,'Kategori Zamları'!$A$5:$A$24,0)),"")="",Özet!$C$3,INDEX('Kategori Zamları'!$B$5:$B$24,MATCH(B363,'Kategori Zamları'!$A$5:$A$24,0)))))</f>
        <v/>
      </c>
      <c r="G363" s="17" t="str">
        <f aca="false">IF(F363="","",ROUNDUP(ROUND(D363*(1+F363)/Özet!$C$4,6),0)*Özet!$C$4-Özet!$C$5)</f>
        <v/>
      </c>
      <c r="H363" s="17" t="str">
        <f aca="false">IF(G363="","",G363-D363)</f>
        <v/>
      </c>
      <c r="I363" s="16" t="str">
        <f aca="false">IF(OR(G363="",D363=0),"",(D363-C363)/D363)</f>
        <v/>
      </c>
      <c r="J363" s="16" t="str">
        <f aca="false">IF(OR(G363="",G363=0),"",(G363-C363)/G363)</f>
        <v/>
      </c>
      <c r="K363" s="18" t="str">
        <f aca="false">IF(OR(G363="",D363=0),"",G363/D363-1)</f>
        <v/>
      </c>
    </row>
    <row r="364" customFormat="false" ht="15" hidden="false" customHeight="false" outlineLevel="0" collapsed="false">
      <c r="A364" s="12"/>
      <c r="B364" s="13"/>
      <c r="C364" s="14"/>
      <c r="D364" s="14"/>
      <c r="E364" s="15"/>
      <c r="F364" s="16" t="str">
        <f aca="false">IF(OR(A364="",D364=""),"",IF(E364&lt;&gt;"",E364,IF(IFERROR(INDEX('Kategori Zamları'!$B$5:$B$24,MATCH(B364,'Kategori Zamları'!$A$5:$A$24,0)),"")="",Özet!$C$3,INDEX('Kategori Zamları'!$B$5:$B$24,MATCH(B364,'Kategori Zamları'!$A$5:$A$24,0)))))</f>
        <v/>
      </c>
      <c r="G364" s="17" t="str">
        <f aca="false">IF(F364="","",ROUNDUP(ROUND(D364*(1+F364)/Özet!$C$4,6),0)*Özet!$C$4-Özet!$C$5)</f>
        <v/>
      </c>
      <c r="H364" s="17" t="str">
        <f aca="false">IF(G364="","",G364-D364)</f>
        <v/>
      </c>
      <c r="I364" s="16" t="str">
        <f aca="false">IF(OR(G364="",D364=0),"",(D364-C364)/D364)</f>
        <v/>
      </c>
      <c r="J364" s="16" t="str">
        <f aca="false">IF(OR(G364="",G364=0),"",(G364-C364)/G364)</f>
        <v/>
      </c>
      <c r="K364" s="18" t="str">
        <f aca="false">IF(OR(G364="",D364=0),"",G364/D364-1)</f>
        <v/>
      </c>
    </row>
    <row r="365" customFormat="false" ht="15" hidden="false" customHeight="false" outlineLevel="0" collapsed="false">
      <c r="A365" s="12"/>
      <c r="B365" s="13"/>
      <c r="C365" s="14"/>
      <c r="D365" s="14"/>
      <c r="E365" s="15"/>
      <c r="F365" s="16" t="str">
        <f aca="false">IF(OR(A365="",D365=""),"",IF(E365&lt;&gt;"",E365,IF(IFERROR(INDEX('Kategori Zamları'!$B$5:$B$24,MATCH(B365,'Kategori Zamları'!$A$5:$A$24,0)),"")="",Özet!$C$3,INDEX('Kategori Zamları'!$B$5:$B$24,MATCH(B365,'Kategori Zamları'!$A$5:$A$24,0)))))</f>
        <v/>
      </c>
      <c r="G365" s="17" t="str">
        <f aca="false">IF(F365="","",ROUNDUP(ROUND(D365*(1+F365)/Özet!$C$4,6),0)*Özet!$C$4-Özet!$C$5)</f>
        <v/>
      </c>
      <c r="H365" s="17" t="str">
        <f aca="false">IF(G365="","",G365-D365)</f>
        <v/>
      </c>
      <c r="I365" s="16" t="str">
        <f aca="false">IF(OR(G365="",D365=0),"",(D365-C365)/D365)</f>
        <v/>
      </c>
      <c r="J365" s="16" t="str">
        <f aca="false">IF(OR(G365="",G365=0),"",(G365-C365)/G365)</f>
        <v/>
      </c>
      <c r="K365" s="18" t="str">
        <f aca="false">IF(OR(G365="",D365=0),"",G365/D365-1)</f>
        <v/>
      </c>
    </row>
    <row r="366" customFormat="false" ht="15" hidden="false" customHeight="false" outlineLevel="0" collapsed="false">
      <c r="A366" s="12"/>
      <c r="B366" s="13"/>
      <c r="C366" s="14"/>
      <c r="D366" s="14"/>
      <c r="E366" s="15"/>
      <c r="F366" s="16" t="str">
        <f aca="false">IF(OR(A366="",D366=""),"",IF(E366&lt;&gt;"",E366,IF(IFERROR(INDEX('Kategori Zamları'!$B$5:$B$24,MATCH(B366,'Kategori Zamları'!$A$5:$A$24,0)),"")="",Özet!$C$3,INDEX('Kategori Zamları'!$B$5:$B$24,MATCH(B366,'Kategori Zamları'!$A$5:$A$24,0)))))</f>
        <v/>
      </c>
      <c r="G366" s="17" t="str">
        <f aca="false">IF(F366="","",ROUNDUP(ROUND(D366*(1+F366)/Özet!$C$4,6),0)*Özet!$C$4-Özet!$C$5)</f>
        <v/>
      </c>
      <c r="H366" s="17" t="str">
        <f aca="false">IF(G366="","",G366-D366)</f>
        <v/>
      </c>
      <c r="I366" s="16" t="str">
        <f aca="false">IF(OR(G366="",D366=0),"",(D366-C366)/D366)</f>
        <v/>
      </c>
      <c r="J366" s="16" t="str">
        <f aca="false">IF(OR(G366="",G366=0),"",(G366-C366)/G366)</f>
        <v/>
      </c>
      <c r="K366" s="18" t="str">
        <f aca="false">IF(OR(G366="",D366=0),"",G366/D366-1)</f>
        <v/>
      </c>
    </row>
    <row r="367" customFormat="false" ht="15" hidden="false" customHeight="false" outlineLevel="0" collapsed="false">
      <c r="A367" s="12"/>
      <c r="B367" s="13"/>
      <c r="C367" s="14"/>
      <c r="D367" s="14"/>
      <c r="E367" s="15"/>
      <c r="F367" s="16" t="str">
        <f aca="false">IF(OR(A367="",D367=""),"",IF(E367&lt;&gt;"",E367,IF(IFERROR(INDEX('Kategori Zamları'!$B$5:$B$24,MATCH(B367,'Kategori Zamları'!$A$5:$A$24,0)),"")="",Özet!$C$3,INDEX('Kategori Zamları'!$B$5:$B$24,MATCH(B367,'Kategori Zamları'!$A$5:$A$24,0)))))</f>
        <v/>
      </c>
      <c r="G367" s="17" t="str">
        <f aca="false">IF(F367="","",ROUNDUP(ROUND(D367*(1+F367)/Özet!$C$4,6),0)*Özet!$C$4-Özet!$C$5)</f>
        <v/>
      </c>
      <c r="H367" s="17" t="str">
        <f aca="false">IF(G367="","",G367-D367)</f>
        <v/>
      </c>
      <c r="I367" s="16" t="str">
        <f aca="false">IF(OR(G367="",D367=0),"",(D367-C367)/D367)</f>
        <v/>
      </c>
      <c r="J367" s="16" t="str">
        <f aca="false">IF(OR(G367="",G367=0),"",(G367-C367)/G367)</f>
        <v/>
      </c>
      <c r="K367" s="18" t="str">
        <f aca="false">IF(OR(G367="",D367=0),"",G367/D367-1)</f>
        <v/>
      </c>
    </row>
    <row r="368" customFormat="false" ht="15" hidden="false" customHeight="false" outlineLevel="0" collapsed="false">
      <c r="A368" s="12"/>
      <c r="B368" s="13"/>
      <c r="C368" s="14"/>
      <c r="D368" s="14"/>
      <c r="E368" s="15"/>
      <c r="F368" s="16" t="str">
        <f aca="false">IF(OR(A368="",D368=""),"",IF(E368&lt;&gt;"",E368,IF(IFERROR(INDEX('Kategori Zamları'!$B$5:$B$24,MATCH(B368,'Kategori Zamları'!$A$5:$A$24,0)),"")="",Özet!$C$3,INDEX('Kategori Zamları'!$B$5:$B$24,MATCH(B368,'Kategori Zamları'!$A$5:$A$24,0)))))</f>
        <v/>
      </c>
      <c r="G368" s="17" t="str">
        <f aca="false">IF(F368="","",ROUNDUP(ROUND(D368*(1+F368)/Özet!$C$4,6),0)*Özet!$C$4-Özet!$C$5)</f>
        <v/>
      </c>
      <c r="H368" s="17" t="str">
        <f aca="false">IF(G368="","",G368-D368)</f>
        <v/>
      </c>
      <c r="I368" s="16" t="str">
        <f aca="false">IF(OR(G368="",D368=0),"",(D368-C368)/D368)</f>
        <v/>
      </c>
      <c r="J368" s="16" t="str">
        <f aca="false">IF(OR(G368="",G368=0),"",(G368-C368)/G368)</f>
        <v/>
      </c>
      <c r="K368" s="18" t="str">
        <f aca="false">IF(OR(G368="",D368=0),"",G368/D368-1)</f>
        <v/>
      </c>
    </row>
    <row r="369" customFormat="false" ht="15" hidden="false" customHeight="false" outlineLevel="0" collapsed="false">
      <c r="A369" s="12"/>
      <c r="B369" s="13"/>
      <c r="C369" s="14"/>
      <c r="D369" s="14"/>
      <c r="E369" s="15"/>
      <c r="F369" s="16" t="str">
        <f aca="false">IF(OR(A369="",D369=""),"",IF(E369&lt;&gt;"",E369,IF(IFERROR(INDEX('Kategori Zamları'!$B$5:$B$24,MATCH(B369,'Kategori Zamları'!$A$5:$A$24,0)),"")="",Özet!$C$3,INDEX('Kategori Zamları'!$B$5:$B$24,MATCH(B369,'Kategori Zamları'!$A$5:$A$24,0)))))</f>
        <v/>
      </c>
      <c r="G369" s="17" t="str">
        <f aca="false">IF(F369="","",ROUNDUP(ROUND(D369*(1+F369)/Özet!$C$4,6),0)*Özet!$C$4-Özet!$C$5)</f>
        <v/>
      </c>
      <c r="H369" s="17" t="str">
        <f aca="false">IF(G369="","",G369-D369)</f>
        <v/>
      </c>
      <c r="I369" s="16" t="str">
        <f aca="false">IF(OR(G369="",D369=0),"",(D369-C369)/D369)</f>
        <v/>
      </c>
      <c r="J369" s="16" t="str">
        <f aca="false">IF(OR(G369="",G369=0),"",(G369-C369)/G369)</f>
        <v/>
      </c>
      <c r="K369" s="18" t="str">
        <f aca="false">IF(OR(G369="",D369=0),"",G369/D369-1)</f>
        <v/>
      </c>
    </row>
    <row r="370" customFormat="false" ht="15" hidden="false" customHeight="false" outlineLevel="0" collapsed="false">
      <c r="A370" s="12"/>
      <c r="B370" s="13"/>
      <c r="C370" s="14"/>
      <c r="D370" s="14"/>
      <c r="E370" s="15"/>
      <c r="F370" s="16" t="str">
        <f aca="false">IF(OR(A370="",D370=""),"",IF(E370&lt;&gt;"",E370,IF(IFERROR(INDEX('Kategori Zamları'!$B$5:$B$24,MATCH(B370,'Kategori Zamları'!$A$5:$A$24,0)),"")="",Özet!$C$3,INDEX('Kategori Zamları'!$B$5:$B$24,MATCH(B370,'Kategori Zamları'!$A$5:$A$24,0)))))</f>
        <v/>
      </c>
      <c r="G370" s="17" t="str">
        <f aca="false">IF(F370="","",ROUNDUP(ROUND(D370*(1+F370)/Özet!$C$4,6),0)*Özet!$C$4-Özet!$C$5)</f>
        <v/>
      </c>
      <c r="H370" s="17" t="str">
        <f aca="false">IF(G370="","",G370-D370)</f>
        <v/>
      </c>
      <c r="I370" s="16" t="str">
        <f aca="false">IF(OR(G370="",D370=0),"",(D370-C370)/D370)</f>
        <v/>
      </c>
      <c r="J370" s="16" t="str">
        <f aca="false">IF(OR(G370="",G370=0),"",(G370-C370)/G370)</f>
        <v/>
      </c>
      <c r="K370" s="18" t="str">
        <f aca="false">IF(OR(G370="",D370=0),"",G370/D370-1)</f>
        <v/>
      </c>
    </row>
    <row r="371" customFormat="false" ht="15" hidden="false" customHeight="false" outlineLevel="0" collapsed="false">
      <c r="A371" s="12"/>
      <c r="B371" s="13"/>
      <c r="C371" s="14"/>
      <c r="D371" s="14"/>
      <c r="E371" s="15"/>
      <c r="F371" s="16" t="str">
        <f aca="false">IF(OR(A371="",D371=""),"",IF(E371&lt;&gt;"",E371,IF(IFERROR(INDEX('Kategori Zamları'!$B$5:$B$24,MATCH(B371,'Kategori Zamları'!$A$5:$A$24,0)),"")="",Özet!$C$3,INDEX('Kategori Zamları'!$B$5:$B$24,MATCH(B371,'Kategori Zamları'!$A$5:$A$24,0)))))</f>
        <v/>
      </c>
      <c r="G371" s="17" t="str">
        <f aca="false">IF(F371="","",ROUNDUP(ROUND(D371*(1+F371)/Özet!$C$4,6),0)*Özet!$C$4-Özet!$C$5)</f>
        <v/>
      </c>
      <c r="H371" s="17" t="str">
        <f aca="false">IF(G371="","",G371-D371)</f>
        <v/>
      </c>
      <c r="I371" s="16" t="str">
        <f aca="false">IF(OR(G371="",D371=0),"",(D371-C371)/D371)</f>
        <v/>
      </c>
      <c r="J371" s="16" t="str">
        <f aca="false">IF(OR(G371="",G371=0),"",(G371-C371)/G371)</f>
        <v/>
      </c>
      <c r="K371" s="18" t="str">
        <f aca="false">IF(OR(G371="",D371=0),"",G371/D371-1)</f>
        <v/>
      </c>
    </row>
    <row r="372" customFormat="false" ht="15" hidden="false" customHeight="false" outlineLevel="0" collapsed="false">
      <c r="A372" s="12"/>
      <c r="B372" s="13"/>
      <c r="C372" s="14"/>
      <c r="D372" s="14"/>
      <c r="E372" s="15"/>
      <c r="F372" s="16" t="str">
        <f aca="false">IF(OR(A372="",D372=""),"",IF(E372&lt;&gt;"",E372,IF(IFERROR(INDEX('Kategori Zamları'!$B$5:$B$24,MATCH(B372,'Kategori Zamları'!$A$5:$A$24,0)),"")="",Özet!$C$3,INDEX('Kategori Zamları'!$B$5:$B$24,MATCH(B372,'Kategori Zamları'!$A$5:$A$24,0)))))</f>
        <v/>
      </c>
      <c r="G372" s="17" t="str">
        <f aca="false">IF(F372="","",ROUNDUP(ROUND(D372*(1+F372)/Özet!$C$4,6),0)*Özet!$C$4-Özet!$C$5)</f>
        <v/>
      </c>
      <c r="H372" s="17" t="str">
        <f aca="false">IF(G372="","",G372-D372)</f>
        <v/>
      </c>
      <c r="I372" s="16" t="str">
        <f aca="false">IF(OR(G372="",D372=0),"",(D372-C372)/D372)</f>
        <v/>
      </c>
      <c r="J372" s="16" t="str">
        <f aca="false">IF(OR(G372="",G372=0),"",(G372-C372)/G372)</f>
        <v/>
      </c>
      <c r="K372" s="18" t="str">
        <f aca="false">IF(OR(G372="",D372=0),"",G372/D372-1)</f>
        <v/>
      </c>
    </row>
    <row r="373" customFormat="false" ht="15" hidden="false" customHeight="false" outlineLevel="0" collapsed="false">
      <c r="A373" s="12"/>
      <c r="B373" s="13"/>
      <c r="C373" s="14"/>
      <c r="D373" s="14"/>
      <c r="E373" s="15"/>
      <c r="F373" s="16" t="str">
        <f aca="false">IF(OR(A373="",D373=""),"",IF(E373&lt;&gt;"",E373,IF(IFERROR(INDEX('Kategori Zamları'!$B$5:$B$24,MATCH(B373,'Kategori Zamları'!$A$5:$A$24,0)),"")="",Özet!$C$3,INDEX('Kategori Zamları'!$B$5:$B$24,MATCH(B373,'Kategori Zamları'!$A$5:$A$24,0)))))</f>
        <v/>
      </c>
      <c r="G373" s="17" t="str">
        <f aca="false">IF(F373="","",ROUNDUP(ROUND(D373*(1+F373)/Özet!$C$4,6),0)*Özet!$C$4-Özet!$C$5)</f>
        <v/>
      </c>
      <c r="H373" s="17" t="str">
        <f aca="false">IF(G373="","",G373-D373)</f>
        <v/>
      </c>
      <c r="I373" s="16" t="str">
        <f aca="false">IF(OR(G373="",D373=0),"",(D373-C373)/D373)</f>
        <v/>
      </c>
      <c r="J373" s="16" t="str">
        <f aca="false">IF(OR(G373="",G373=0),"",(G373-C373)/G373)</f>
        <v/>
      </c>
      <c r="K373" s="18" t="str">
        <f aca="false">IF(OR(G373="",D373=0),"",G373/D373-1)</f>
        <v/>
      </c>
    </row>
    <row r="374" customFormat="false" ht="15" hidden="false" customHeight="false" outlineLevel="0" collapsed="false">
      <c r="A374" s="12"/>
      <c r="B374" s="13"/>
      <c r="C374" s="14"/>
      <c r="D374" s="14"/>
      <c r="E374" s="15"/>
      <c r="F374" s="16" t="str">
        <f aca="false">IF(OR(A374="",D374=""),"",IF(E374&lt;&gt;"",E374,IF(IFERROR(INDEX('Kategori Zamları'!$B$5:$B$24,MATCH(B374,'Kategori Zamları'!$A$5:$A$24,0)),"")="",Özet!$C$3,INDEX('Kategori Zamları'!$B$5:$B$24,MATCH(B374,'Kategori Zamları'!$A$5:$A$24,0)))))</f>
        <v/>
      </c>
      <c r="G374" s="17" t="str">
        <f aca="false">IF(F374="","",ROUNDUP(ROUND(D374*(1+F374)/Özet!$C$4,6),0)*Özet!$C$4-Özet!$C$5)</f>
        <v/>
      </c>
      <c r="H374" s="17" t="str">
        <f aca="false">IF(G374="","",G374-D374)</f>
        <v/>
      </c>
      <c r="I374" s="16" t="str">
        <f aca="false">IF(OR(G374="",D374=0),"",(D374-C374)/D374)</f>
        <v/>
      </c>
      <c r="J374" s="16" t="str">
        <f aca="false">IF(OR(G374="",G374=0),"",(G374-C374)/G374)</f>
        <v/>
      </c>
      <c r="K374" s="18" t="str">
        <f aca="false">IF(OR(G374="",D374=0),"",G374/D374-1)</f>
        <v/>
      </c>
    </row>
    <row r="375" customFormat="false" ht="15" hidden="false" customHeight="false" outlineLevel="0" collapsed="false">
      <c r="A375" s="12"/>
      <c r="B375" s="13"/>
      <c r="C375" s="14"/>
      <c r="D375" s="14"/>
      <c r="E375" s="15"/>
      <c r="F375" s="16" t="str">
        <f aca="false">IF(OR(A375="",D375=""),"",IF(E375&lt;&gt;"",E375,IF(IFERROR(INDEX('Kategori Zamları'!$B$5:$B$24,MATCH(B375,'Kategori Zamları'!$A$5:$A$24,0)),"")="",Özet!$C$3,INDEX('Kategori Zamları'!$B$5:$B$24,MATCH(B375,'Kategori Zamları'!$A$5:$A$24,0)))))</f>
        <v/>
      </c>
      <c r="G375" s="17" t="str">
        <f aca="false">IF(F375="","",ROUNDUP(ROUND(D375*(1+F375)/Özet!$C$4,6),0)*Özet!$C$4-Özet!$C$5)</f>
        <v/>
      </c>
      <c r="H375" s="17" t="str">
        <f aca="false">IF(G375="","",G375-D375)</f>
        <v/>
      </c>
      <c r="I375" s="16" t="str">
        <f aca="false">IF(OR(G375="",D375=0),"",(D375-C375)/D375)</f>
        <v/>
      </c>
      <c r="J375" s="16" t="str">
        <f aca="false">IF(OR(G375="",G375=0),"",(G375-C375)/G375)</f>
        <v/>
      </c>
      <c r="K375" s="18" t="str">
        <f aca="false">IF(OR(G375="",D375=0),"",G375/D375-1)</f>
        <v/>
      </c>
    </row>
    <row r="376" customFormat="false" ht="15" hidden="false" customHeight="false" outlineLevel="0" collapsed="false">
      <c r="A376" s="12"/>
      <c r="B376" s="13"/>
      <c r="C376" s="14"/>
      <c r="D376" s="14"/>
      <c r="E376" s="15"/>
      <c r="F376" s="16" t="str">
        <f aca="false">IF(OR(A376="",D376=""),"",IF(E376&lt;&gt;"",E376,IF(IFERROR(INDEX('Kategori Zamları'!$B$5:$B$24,MATCH(B376,'Kategori Zamları'!$A$5:$A$24,0)),"")="",Özet!$C$3,INDEX('Kategori Zamları'!$B$5:$B$24,MATCH(B376,'Kategori Zamları'!$A$5:$A$24,0)))))</f>
        <v/>
      </c>
      <c r="G376" s="17" t="str">
        <f aca="false">IF(F376="","",ROUNDUP(ROUND(D376*(1+F376)/Özet!$C$4,6),0)*Özet!$C$4-Özet!$C$5)</f>
        <v/>
      </c>
      <c r="H376" s="17" t="str">
        <f aca="false">IF(G376="","",G376-D376)</f>
        <v/>
      </c>
      <c r="I376" s="16" t="str">
        <f aca="false">IF(OR(G376="",D376=0),"",(D376-C376)/D376)</f>
        <v/>
      </c>
      <c r="J376" s="16" t="str">
        <f aca="false">IF(OR(G376="",G376=0),"",(G376-C376)/G376)</f>
        <v/>
      </c>
      <c r="K376" s="18" t="str">
        <f aca="false">IF(OR(G376="",D376=0),"",G376/D376-1)</f>
        <v/>
      </c>
    </row>
    <row r="377" customFormat="false" ht="15" hidden="false" customHeight="false" outlineLevel="0" collapsed="false">
      <c r="A377" s="12"/>
      <c r="B377" s="13"/>
      <c r="C377" s="14"/>
      <c r="D377" s="14"/>
      <c r="E377" s="15"/>
      <c r="F377" s="16" t="str">
        <f aca="false">IF(OR(A377="",D377=""),"",IF(E377&lt;&gt;"",E377,IF(IFERROR(INDEX('Kategori Zamları'!$B$5:$B$24,MATCH(B377,'Kategori Zamları'!$A$5:$A$24,0)),"")="",Özet!$C$3,INDEX('Kategori Zamları'!$B$5:$B$24,MATCH(B377,'Kategori Zamları'!$A$5:$A$24,0)))))</f>
        <v/>
      </c>
      <c r="G377" s="17" t="str">
        <f aca="false">IF(F377="","",ROUNDUP(ROUND(D377*(1+F377)/Özet!$C$4,6),0)*Özet!$C$4-Özet!$C$5)</f>
        <v/>
      </c>
      <c r="H377" s="17" t="str">
        <f aca="false">IF(G377="","",G377-D377)</f>
        <v/>
      </c>
      <c r="I377" s="16" t="str">
        <f aca="false">IF(OR(G377="",D377=0),"",(D377-C377)/D377)</f>
        <v/>
      </c>
      <c r="J377" s="16" t="str">
        <f aca="false">IF(OR(G377="",G377=0),"",(G377-C377)/G377)</f>
        <v/>
      </c>
      <c r="K377" s="18" t="str">
        <f aca="false">IF(OR(G377="",D377=0),"",G377/D377-1)</f>
        <v/>
      </c>
    </row>
    <row r="378" customFormat="false" ht="15" hidden="false" customHeight="false" outlineLevel="0" collapsed="false">
      <c r="A378" s="12"/>
      <c r="B378" s="13"/>
      <c r="C378" s="14"/>
      <c r="D378" s="14"/>
      <c r="E378" s="15"/>
      <c r="F378" s="16" t="str">
        <f aca="false">IF(OR(A378="",D378=""),"",IF(E378&lt;&gt;"",E378,IF(IFERROR(INDEX('Kategori Zamları'!$B$5:$B$24,MATCH(B378,'Kategori Zamları'!$A$5:$A$24,0)),"")="",Özet!$C$3,INDEX('Kategori Zamları'!$B$5:$B$24,MATCH(B378,'Kategori Zamları'!$A$5:$A$24,0)))))</f>
        <v/>
      </c>
      <c r="G378" s="17" t="str">
        <f aca="false">IF(F378="","",ROUNDUP(ROUND(D378*(1+F378)/Özet!$C$4,6),0)*Özet!$C$4-Özet!$C$5)</f>
        <v/>
      </c>
      <c r="H378" s="17" t="str">
        <f aca="false">IF(G378="","",G378-D378)</f>
        <v/>
      </c>
      <c r="I378" s="16" t="str">
        <f aca="false">IF(OR(G378="",D378=0),"",(D378-C378)/D378)</f>
        <v/>
      </c>
      <c r="J378" s="16" t="str">
        <f aca="false">IF(OR(G378="",G378=0),"",(G378-C378)/G378)</f>
        <v/>
      </c>
      <c r="K378" s="18" t="str">
        <f aca="false">IF(OR(G378="",D378=0),"",G378/D378-1)</f>
        <v/>
      </c>
    </row>
    <row r="379" customFormat="false" ht="15" hidden="false" customHeight="false" outlineLevel="0" collapsed="false">
      <c r="A379" s="12"/>
      <c r="B379" s="13"/>
      <c r="C379" s="14"/>
      <c r="D379" s="14"/>
      <c r="E379" s="15"/>
      <c r="F379" s="16" t="str">
        <f aca="false">IF(OR(A379="",D379=""),"",IF(E379&lt;&gt;"",E379,IF(IFERROR(INDEX('Kategori Zamları'!$B$5:$B$24,MATCH(B379,'Kategori Zamları'!$A$5:$A$24,0)),"")="",Özet!$C$3,INDEX('Kategori Zamları'!$B$5:$B$24,MATCH(B379,'Kategori Zamları'!$A$5:$A$24,0)))))</f>
        <v/>
      </c>
      <c r="G379" s="17" t="str">
        <f aca="false">IF(F379="","",ROUNDUP(ROUND(D379*(1+F379)/Özet!$C$4,6),0)*Özet!$C$4-Özet!$C$5)</f>
        <v/>
      </c>
      <c r="H379" s="17" t="str">
        <f aca="false">IF(G379="","",G379-D379)</f>
        <v/>
      </c>
      <c r="I379" s="16" t="str">
        <f aca="false">IF(OR(G379="",D379=0),"",(D379-C379)/D379)</f>
        <v/>
      </c>
      <c r="J379" s="16" t="str">
        <f aca="false">IF(OR(G379="",G379=0),"",(G379-C379)/G379)</f>
        <v/>
      </c>
      <c r="K379" s="18" t="str">
        <f aca="false">IF(OR(G379="",D379=0),"",G379/D379-1)</f>
        <v/>
      </c>
    </row>
    <row r="380" customFormat="false" ht="15" hidden="false" customHeight="false" outlineLevel="0" collapsed="false">
      <c r="A380" s="12"/>
      <c r="B380" s="13"/>
      <c r="C380" s="14"/>
      <c r="D380" s="14"/>
      <c r="E380" s="15"/>
      <c r="F380" s="16" t="str">
        <f aca="false">IF(OR(A380="",D380=""),"",IF(E380&lt;&gt;"",E380,IF(IFERROR(INDEX('Kategori Zamları'!$B$5:$B$24,MATCH(B380,'Kategori Zamları'!$A$5:$A$24,0)),"")="",Özet!$C$3,INDEX('Kategori Zamları'!$B$5:$B$24,MATCH(B380,'Kategori Zamları'!$A$5:$A$24,0)))))</f>
        <v/>
      </c>
      <c r="G380" s="17" t="str">
        <f aca="false">IF(F380="","",ROUNDUP(ROUND(D380*(1+F380)/Özet!$C$4,6),0)*Özet!$C$4-Özet!$C$5)</f>
        <v/>
      </c>
      <c r="H380" s="17" t="str">
        <f aca="false">IF(G380="","",G380-D380)</f>
        <v/>
      </c>
      <c r="I380" s="16" t="str">
        <f aca="false">IF(OR(G380="",D380=0),"",(D380-C380)/D380)</f>
        <v/>
      </c>
      <c r="J380" s="16" t="str">
        <f aca="false">IF(OR(G380="",G380=0),"",(G380-C380)/G380)</f>
        <v/>
      </c>
      <c r="K380" s="18" t="str">
        <f aca="false">IF(OR(G380="",D380=0),"",G380/D380-1)</f>
        <v/>
      </c>
    </row>
    <row r="381" customFormat="false" ht="15" hidden="false" customHeight="false" outlineLevel="0" collapsed="false">
      <c r="A381" s="12"/>
      <c r="B381" s="13"/>
      <c r="C381" s="14"/>
      <c r="D381" s="14"/>
      <c r="E381" s="15"/>
      <c r="F381" s="16" t="str">
        <f aca="false">IF(OR(A381="",D381=""),"",IF(E381&lt;&gt;"",E381,IF(IFERROR(INDEX('Kategori Zamları'!$B$5:$B$24,MATCH(B381,'Kategori Zamları'!$A$5:$A$24,0)),"")="",Özet!$C$3,INDEX('Kategori Zamları'!$B$5:$B$24,MATCH(B381,'Kategori Zamları'!$A$5:$A$24,0)))))</f>
        <v/>
      </c>
      <c r="G381" s="17" t="str">
        <f aca="false">IF(F381="","",ROUNDUP(ROUND(D381*(1+F381)/Özet!$C$4,6),0)*Özet!$C$4-Özet!$C$5)</f>
        <v/>
      </c>
      <c r="H381" s="17" t="str">
        <f aca="false">IF(G381="","",G381-D381)</f>
        <v/>
      </c>
      <c r="I381" s="16" t="str">
        <f aca="false">IF(OR(G381="",D381=0),"",(D381-C381)/D381)</f>
        <v/>
      </c>
      <c r="J381" s="16" t="str">
        <f aca="false">IF(OR(G381="",G381=0),"",(G381-C381)/G381)</f>
        <v/>
      </c>
      <c r="K381" s="18" t="str">
        <f aca="false">IF(OR(G381="",D381=0),"",G381/D381-1)</f>
        <v/>
      </c>
    </row>
    <row r="382" customFormat="false" ht="15" hidden="false" customHeight="false" outlineLevel="0" collapsed="false">
      <c r="A382" s="12"/>
      <c r="B382" s="13"/>
      <c r="C382" s="14"/>
      <c r="D382" s="14"/>
      <c r="E382" s="15"/>
      <c r="F382" s="16" t="str">
        <f aca="false">IF(OR(A382="",D382=""),"",IF(E382&lt;&gt;"",E382,IF(IFERROR(INDEX('Kategori Zamları'!$B$5:$B$24,MATCH(B382,'Kategori Zamları'!$A$5:$A$24,0)),"")="",Özet!$C$3,INDEX('Kategori Zamları'!$B$5:$B$24,MATCH(B382,'Kategori Zamları'!$A$5:$A$24,0)))))</f>
        <v/>
      </c>
      <c r="G382" s="17" t="str">
        <f aca="false">IF(F382="","",ROUNDUP(ROUND(D382*(1+F382)/Özet!$C$4,6),0)*Özet!$C$4-Özet!$C$5)</f>
        <v/>
      </c>
      <c r="H382" s="17" t="str">
        <f aca="false">IF(G382="","",G382-D382)</f>
        <v/>
      </c>
      <c r="I382" s="16" t="str">
        <f aca="false">IF(OR(G382="",D382=0),"",(D382-C382)/D382)</f>
        <v/>
      </c>
      <c r="J382" s="16" t="str">
        <f aca="false">IF(OR(G382="",G382=0),"",(G382-C382)/G382)</f>
        <v/>
      </c>
      <c r="K382" s="18" t="str">
        <f aca="false">IF(OR(G382="",D382=0),"",G382/D382-1)</f>
        <v/>
      </c>
    </row>
    <row r="383" customFormat="false" ht="15" hidden="false" customHeight="false" outlineLevel="0" collapsed="false">
      <c r="A383" s="12"/>
      <c r="B383" s="13"/>
      <c r="C383" s="14"/>
      <c r="D383" s="14"/>
      <c r="E383" s="15"/>
      <c r="F383" s="16" t="str">
        <f aca="false">IF(OR(A383="",D383=""),"",IF(E383&lt;&gt;"",E383,IF(IFERROR(INDEX('Kategori Zamları'!$B$5:$B$24,MATCH(B383,'Kategori Zamları'!$A$5:$A$24,0)),"")="",Özet!$C$3,INDEX('Kategori Zamları'!$B$5:$B$24,MATCH(B383,'Kategori Zamları'!$A$5:$A$24,0)))))</f>
        <v/>
      </c>
      <c r="G383" s="17" t="str">
        <f aca="false">IF(F383="","",ROUNDUP(ROUND(D383*(1+F383)/Özet!$C$4,6),0)*Özet!$C$4-Özet!$C$5)</f>
        <v/>
      </c>
      <c r="H383" s="17" t="str">
        <f aca="false">IF(G383="","",G383-D383)</f>
        <v/>
      </c>
      <c r="I383" s="16" t="str">
        <f aca="false">IF(OR(G383="",D383=0),"",(D383-C383)/D383)</f>
        <v/>
      </c>
      <c r="J383" s="16" t="str">
        <f aca="false">IF(OR(G383="",G383=0),"",(G383-C383)/G383)</f>
        <v/>
      </c>
      <c r="K383" s="18" t="str">
        <f aca="false">IF(OR(G383="",D383=0),"",G383/D383-1)</f>
        <v/>
      </c>
    </row>
    <row r="384" customFormat="false" ht="15" hidden="false" customHeight="false" outlineLevel="0" collapsed="false">
      <c r="A384" s="12"/>
      <c r="B384" s="13"/>
      <c r="C384" s="14"/>
      <c r="D384" s="14"/>
      <c r="E384" s="15"/>
      <c r="F384" s="16" t="str">
        <f aca="false">IF(OR(A384="",D384=""),"",IF(E384&lt;&gt;"",E384,IF(IFERROR(INDEX('Kategori Zamları'!$B$5:$B$24,MATCH(B384,'Kategori Zamları'!$A$5:$A$24,0)),"")="",Özet!$C$3,INDEX('Kategori Zamları'!$B$5:$B$24,MATCH(B384,'Kategori Zamları'!$A$5:$A$24,0)))))</f>
        <v/>
      </c>
      <c r="G384" s="17" t="str">
        <f aca="false">IF(F384="","",ROUNDUP(ROUND(D384*(1+F384)/Özet!$C$4,6),0)*Özet!$C$4-Özet!$C$5)</f>
        <v/>
      </c>
      <c r="H384" s="17" t="str">
        <f aca="false">IF(G384="","",G384-D384)</f>
        <v/>
      </c>
      <c r="I384" s="16" t="str">
        <f aca="false">IF(OR(G384="",D384=0),"",(D384-C384)/D384)</f>
        <v/>
      </c>
      <c r="J384" s="16" t="str">
        <f aca="false">IF(OR(G384="",G384=0),"",(G384-C384)/G384)</f>
        <v/>
      </c>
      <c r="K384" s="18" t="str">
        <f aca="false">IF(OR(G384="",D384=0),"",G384/D384-1)</f>
        <v/>
      </c>
    </row>
    <row r="385" customFormat="false" ht="15" hidden="false" customHeight="false" outlineLevel="0" collapsed="false">
      <c r="A385" s="12"/>
      <c r="B385" s="13"/>
      <c r="C385" s="14"/>
      <c r="D385" s="14"/>
      <c r="E385" s="15"/>
      <c r="F385" s="16" t="str">
        <f aca="false">IF(OR(A385="",D385=""),"",IF(E385&lt;&gt;"",E385,IF(IFERROR(INDEX('Kategori Zamları'!$B$5:$B$24,MATCH(B385,'Kategori Zamları'!$A$5:$A$24,0)),"")="",Özet!$C$3,INDEX('Kategori Zamları'!$B$5:$B$24,MATCH(B385,'Kategori Zamları'!$A$5:$A$24,0)))))</f>
        <v/>
      </c>
      <c r="G385" s="17" t="str">
        <f aca="false">IF(F385="","",ROUNDUP(ROUND(D385*(1+F385)/Özet!$C$4,6),0)*Özet!$C$4-Özet!$C$5)</f>
        <v/>
      </c>
      <c r="H385" s="17" t="str">
        <f aca="false">IF(G385="","",G385-D385)</f>
        <v/>
      </c>
      <c r="I385" s="16" t="str">
        <f aca="false">IF(OR(G385="",D385=0),"",(D385-C385)/D385)</f>
        <v/>
      </c>
      <c r="J385" s="16" t="str">
        <f aca="false">IF(OR(G385="",G385=0),"",(G385-C385)/G385)</f>
        <v/>
      </c>
      <c r="K385" s="18" t="str">
        <f aca="false">IF(OR(G385="",D385=0),"",G385/D385-1)</f>
        <v/>
      </c>
    </row>
    <row r="386" customFormat="false" ht="15" hidden="false" customHeight="false" outlineLevel="0" collapsed="false">
      <c r="A386" s="12"/>
      <c r="B386" s="13"/>
      <c r="C386" s="14"/>
      <c r="D386" s="14"/>
      <c r="E386" s="15"/>
      <c r="F386" s="16" t="str">
        <f aca="false">IF(OR(A386="",D386=""),"",IF(E386&lt;&gt;"",E386,IF(IFERROR(INDEX('Kategori Zamları'!$B$5:$B$24,MATCH(B386,'Kategori Zamları'!$A$5:$A$24,0)),"")="",Özet!$C$3,INDEX('Kategori Zamları'!$B$5:$B$24,MATCH(B386,'Kategori Zamları'!$A$5:$A$24,0)))))</f>
        <v/>
      </c>
      <c r="G386" s="17" t="str">
        <f aca="false">IF(F386="","",ROUNDUP(ROUND(D386*(1+F386)/Özet!$C$4,6),0)*Özet!$C$4-Özet!$C$5)</f>
        <v/>
      </c>
      <c r="H386" s="17" t="str">
        <f aca="false">IF(G386="","",G386-D386)</f>
        <v/>
      </c>
      <c r="I386" s="16" t="str">
        <f aca="false">IF(OR(G386="",D386=0),"",(D386-C386)/D386)</f>
        <v/>
      </c>
      <c r="J386" s="16" t="str">
        <f aca="false">IF(OR(G386="",G386=0),"",(G386-C386)/G386)</f>
        <v/>
      </c>
      <c r="K386" s="18" t="str">
        <f aca="false">IF(OR(G386="",D386=0),"",G386/D386-1)</f>
        <v/>
      </c>
    </row>
    <row r="387" customFormat="false" ht="15" hidden="false" customHeight="false" outlineLevel="0" collapsed="false">
      <c r="A387" s="12"/>
      <c r="B387" s="13"/>
      <c r="C387" s="14"/>
      <c r="D387" s="14"/>
      <c r="E387" s="15"/>
      <c r="F387" s="16" t="str">
        <f aca="false">IF(OR(A387="",D387=""),"",IF(E387&lt;&gt;"",E387,IF(IFERROR(INDEX('Kategori Zamları'!$B$5:$B$24,MATCH(B387,'Kategori Zamları'!$A$5:$A$24,0)),"")="",Özet!$C$3,INDEX('Kategori Zamları'!$B$5:$B$24,MATCH(B387,'Kategori Zamları'!$A$5:$A$24,0)))))</f>
        <v/>
      </c>
      <c r="G387" s="17" t="str">
        <f aca="false">IF(F387="","",ROUNDUP(ROUND(D387*(1+F387)/Özet!$C$4,6),0)*Özet!$C$4-Özet!$C$5)</f>
        <v/>
      </c>
      <c r="H387" s="17" t="str">
        <f aca="false">IF(G387="","",G387-D387)</f>
        <v/>
      </c>
      <c r="I387" s="16" t="str">
        <f aca="false">IF(OR(G387="",D387=0),"",(D387-C387)/D387)</f>
        <v/>
      </c>
      <c r="J387" s="16" t="str">
        <f aca="false">IF(OR(G387="",G387=0),"",(G387-C387)/G387)</f>
        <v/>
      </c>
      <c r="K387" s="18" t="str">
        <f aca="false">IF(OR(G387="",D387=0),"",G387/D387-1)</f>
        <v/>
      </c>
    </row>
    <row r="388" customFormat="false" ht="15" hidden="false" customHeight="false" outlineLevel="0" collapsed="false">
      <c r="A388" s="12"/>
      <c r="B388" s="13"/>
      <c r="C388" s="14"/>
      <c r="D388" s="14"/>
      <c r="E388" s="15"/>
      <c r="F388" s="16" t="str">
        <f aca="false">IF(OR(A388="",D388=""),"",IF(E388&lt;&gt;"",E388,IF(IFERROR(INDEX('Kategori Zamları'!$B$5:$B$24,MATCH(B388,'Kategori Zamları'!$A$5:$A$24,0)),"")="",Özet!$C$3,INDEX('Kategori Zamları'!$B$5:$B$24,MATCH(B388,'Kategori Zamları'!$A$5:$A$24,0)))))</f>
        <v/>
      </c>
      <c r="G388" s="17" t="str">
        <f aca="false">IF(F388="","",ROUNDUP(ROUND(D388*(1+F388)/Özet!$C$4,6),0)*Özet!$C$4-Özet!$C$5)</f>
        <v/>
      </c>
      <c r="H388" s="17" t="str">
        <f aca="false">IF(G388="","",G388-D388)</f>
        <v/>
      </c>
      <c r="I388" s="16" t="str">
        <f aca="false">IF(OR(G388="",D388=0),"",(D388-C388)/D388)</f>
        <v/>
      </c>
      <c r="J388" s="16" t="str">
        <f aca="false">IF(OR(G388="",G388=0),"",(G388-C388)/G388)</f>
        <v/>
      </c>
      <c r="K388" s="18" t="str">
        <f aca="false">IF(OR(G388="",D388=0),"",G388/D388-1)</f>
        <v/>
      </c>
    </row>
    <row r="389" customFormat="false" ht="15" hidden="false" customHeight="false" outlineLevel="0" collapsed="false">
      <c r="A389" s="12"/>
      <c r="B389" s="13"/>
      <c r="C389" s="14"/>
      <c r="D389" s="14"/>
      <c r="E389" s="15"/>
      <c r="F389" s="16" t="str">
        <f aca="false">IF(OR(A389="",D389=""),"",IF(E389&lt;&gt;"",E389,IF(IFERROR(INDEX('Kategori Zamları'!$B$5:$B$24,MATCH(B389,'Kategori Zamları'!$A$5:$A$24,0)),"")="",Özet!$C$3,INDEX('Kategori Zamları'!$B$5:$B$24,MATCH(B389,'Kategori Zamları'!$A$5:$A$24,0)))))</f>
        <v/>
      </c>
      <c r="G389" s="17" t="str">
        <f aca="false">IF(F389="","",ROUNDUP(ROUND(D389*(1+F389)/Özet!$C$4,6),0)*Özet!$C$4-Özet!$C$5)</f>
        <v/>
      </c>
      <c r="H389" s="17" t="str">
        <f aca="false">IF(G389="","",G389-D389)</f>
        <v/>
      </c>
      <c r="I389" s="16" t="str">
        <f aca="false">IF(OR(G389="",D389=0),"",(D389-C389)/D389)</f>
        <v/>
      </c>
      <c r="J389" s="16" t="str">
        <f aca="false">IF(OR(G389="",G389=0),"",(G389-C389)/G389)</f>
        <v/>
      </c>
      <c r="K389" s="18" t="str">
        <f aca="false">IF(OR(G389="",D389=0),"",G389/D389-1)</f>
        <v/>
      </c>
    </row>
    <row r="390" customFormat="false" ht="15" hidden="false" customHeight="false" outlineLevel="0" collapsed="false">
      <c r="A390" s="12"/>
      <c r="B390" s="13"/>
      <c r="C390" s="14"/>
      <c r="D390" s="14"/>
      <c r="E390" s="15"/>
      <c r="F390" s="16" t="str">
        <f aca="false">IF(OR(A390="",D390=""),"",IF(E390&lt;&gt;"",E390,IF(IFERROR(INDEX('Kategori Zamları'!$B$5:$B$24,MATCH(B390,'Kategori Zamları'!$A$5:$A$24,0)),"")="",Özet!$C$3,INDEX('Kategori Zamları'!$B$5:$B$24,MATCH(B390,'Kategori Zamları'!$A$5:$A$24,0)))))</f>
        <v/>
      </c>
      <c r="G390" s="17" t="str">
        <f aca="false">IF(F390="","",ROUNDUP(ROUND(D390*(1+F390)/Özet!$C$4,6),0)*Özet!$C$4-Özet!$C$5)</f>
        <v/>
      </c>
      <c r="H390" s="17" t="str">
        <f aca="false">IF(G390="","",G390-D390)</f>
        <v/>
      </c>
      <c r="I390" s="16" t="str">
        <f aca="false">IF(OR(G390="",D390=0),"",(D390-C390)/D390)</f>
        <v/>
      </c>
      <c r="J390" s="16" t="str">
        <f aca="false">IF(OR(G390="",G390=0),"",(G390-C390)/G390)</f>
        <v/>
      </c>
      <c r="K390" s="18" t="str">
        <f aca="false">IF(OR(G390="",D390=0),"",G390/D390-1)</f>
        <v/>
      </c>
    </row>
    <row r="391" customFormat="false" ht="15" hidden="false" customHeight="false" outlineLevel="0" collapsed="false">
      <c r="A391" s="12"/>
      <c r="B391" s="13"/>
      <c r="C391" s="14"/>
      <c r="D391" s="14"/>
      <c r="E391" s="15"/>
      <c r="F391" s="16" t="str">
        <f aca="false">IF(OR(A391="",D391=""),"",IF(E391&lt;&gt;"",E391,IF(IFERROR(INDEX('Kategori Zamları'!$B$5:$B$24,MATCH(B391,'Kategori Zamları'!$A$5:$A$24,0)),"")="",Özet!$C$3,INDEX('Kategori Zamları'!$B$5:$B$24,MATCH(B391,'Kategori Zamları'!$A$5:$A$24,0)))))</f>
        <v/>
      </c>
      <c r="G391" s="17" t="str">
        <f aca="false">IF(F391="","",ROUNDUP(ROUND(D391*(1+F391)/Özet!$C$4,6),0)*Özet!$C$4-Özet!$C$5)</f>
        <v/>
      </c>
      <c r="H391" s="17" t="str">
        <f aca="false">IF(G391="","",G391-D391)</f>
        <v/>
      </c>
      <c r="I391" s="16" t="str">
        <f aca="false">IF(OR(G391="",D391=0),"",(D391-C391)/D391)</f>
        <v/>
      </c>
      <c r="J391" s="16" t="str">
        <f aca="false">IF(OR(G391="",G391=0),"",(G391-C391)/G391)</f>
        <v/>
      </c>
      <c r="K391" s="18" t="str">
        <f aca="false">IF(OR(G391="",D391=0),"",G391/D391-1)</f>
        <v/>
      </c>
    </row>
    <row r="392" customFormat="false" ht="15" hidden="false" customHeight="false" outlineLevel="0" collapsed="false">
      <c r="A392" s="12"/>
      <c r="B392" s="13"/>
      <c r="C392" s="14"/>
      <c r="D392" s="14"/>
      <c r="E392" s="15"/>
      <c r="F392" s="16" t="str">
        <f aca="false">IF(OR(A392="",D392=""),"",IF(E392&lt;&gt;"",E392,IF(IFERROR(INDEX('Kategori Zamları'!$B$5:$B$24,MATCH(B392,'Kategori Zamları'!$A$5:$A$24,0)),"")="",Özet!$C$3,INDEX('Kategori Zamları'!$B$5:$B$24,MATCH(B392,'Kategori Zamları'!$A$5:$A$24,0)))))</f>
        <v/>
      </c>
      <c r="G392" s="17" t="str">
        <f aca="false">IF(F392="","",ROUNDUP(ROUND(D392*(1+F392)/Özet!$C$4,6),0)*Özet!$C$4-Özet!$C$5)</f>
        <v/>
      </c>
      <c r="H392" s="17" t="str">
        <f aca="false">IF(G392="","",G392-D392)</f>
        <v/>
      </c>
      <c r="I392" s="16" t="str">
        <f aca="false">IF(OR(G392="",D392=0),"",(D392-C392)/D392)</f>
        <v/>
      </c>
      <c r="J392" s="16" t="str">
        <f aca="false">IF(OR(G392="",G392=0),"",(G392-C392)/G392)</f>
        <v/>
      </c>
      <c r="K392" s="18" t="str">
        <f aca="false">IF(OR(G392="",D392=0),"",G392/D392-1)</f>
        <v/>
      </c>
    </row>
    <row r="393" customFormat="false" ht="15" hidden="false" customHeight="false" outlineLevel="0" collapsed="false">
      <c r="A393" s="12"/>
      <c r="B393" s="13"/>
      <c r="C393" s="14"/>
      <c r="D393" s="14"/>
      <c r="E393" s="15"/>
      <c r="F393" s="16" t="str">
        <f aca="false">IF(OR(A393="",D393=""),"",IF(E393&lt;&gt;"",E393,IF(IFERROR(INDEX('Kategori Zamları'!$B$5:$B$24,MATCH(B393,'Kategori Zamları'!$A$5:$A$24,0)),"")="",Özet!$C$3,INDEX('Kategori Zamları'!$B$5:$B$24,MATCH(B393,'Kategori Zamları'!$A$5:$A$24,0)))))</f>
        <v/>
      </c>
      <c r="G393" s="17" t="str">
        <f aca="false">IF(F393="","",ROUNDUP(ROUND(D393*(1+F393)/Özet!$C$4,6),0)*Özet!$C$4-Özet!$C$5)</f>
        <v/>
      </c>
      <c r="H393" s="17" t="str">
        <f aca="false">IF(G393="","",G393-D393)</f>
        <v/>
      </c>
      <c r="I393" s="16" t="str">
        <f aca="false">IF(OR(G393="",D393=0),"",(D393-C393)/D393)</f>
        <v/>
      </c>
      <c r="J393" s="16" t="str">
        <f aca="false">IF(OR(G393="",G393=0),"",(G393-C393)/G393)</f>
        <v/>
      </c>
      <c r="K393" s="18" t="str">
        <f aca="false">IF(OR(G393="",D393=0),"",G393/D393-1)</f>
        <v/>
      </c>
    </row>
    <row r="394" customFormat="false" ht="15" hidden="false" customHeight="false" outlineLevel="0" collapsed="false">
      <c r="A394" s="12"/>
      <c r="B394" s="13"/>
      <c r="C394" s="14"/>
      <c r="D394" s="14"/>
      <c r="E394" s="15"/>
      <c r="F394" s="16" t="str">
        <f aca="false">IF(OR(A394="",D394=""),"",IF(E394&lt;&gt;"",E394,IF(IFERROR(INDEX('Kategori Zamları'!$B$5:$B$24,MATCH(B394,'Kategori Zamları'!$A$5:$A$24,0)),"")="",Özet!$C$3,INDEX('Kategori Zamları'!$B$5:$B$24,MATCH(B394,'Kategori Zamları'!$A$5:$A$24,0)))))</f>
        <v/>
      </c>
      <c r="G394" s="17" t="str">
        <f aca="false">IF(F394="","",ROUNDUP(ROUND(D394*(1+F394)/Özet!$C$4,6),0)*Özet!$C$4-Özet!$C$5)</f>
        <v/>
      </c>
      <c r="H394" s="17" t="str">
        <f aca="false">IF(G394="","",G394-D394)</f>
        <v/>
      </c>
      <c r="I394" s="16" t="str">
        <f aca="false">IF(OR(G394="",D394=0),"",(D394-C394)/D394)</f>
        <v/>
      </c>
      <c r="J394" s="16" t="str">
        <f aca="false">IF(OR(G394="",G394=0),"",(G394-C394)/G394)</f>
        <v/>
      </c>
      <c r="K394" s="18" t="str">
        <f aca="false">IF(OR(G394="",D394=0),"",G394/D394-1)</f>
        <v/>
      </c>
    </row>
    <row r="395" customFormat="false" ht="15" hidden="false" customHeight="false" outlineLevel="0" collapsed="false">
      <c r="A395" s="12"/>
      <c r="B395" s="13"/>
      <c r="C395" s="14"/>
      <c r="D395" s="14"/>
      <c r="E395" s="15"/>
      <c r="F395" s="16" t="str">
        <f aca="false">IF(OR(A395="",D395=""),"",IF(E395&lt;&gt;"",E395,IF(IFERROR(INDEX('Kategori Zamları'!$B$5:$B$24,MATCH(B395,'Kategori Zamları'!$A$5:$A$24,0)),"")="",Özet!$C$3,INDEX('Kategori Zamları'!$B$5:$B$24,MATCH(B395,'Kategori Zamları'!$A$5:$A$24,0)))))</f>
        <v/>
      </c>
      <c r="G395" s="17" t="str">
        <f aca="false">IF(F395="","",ROUNDUP(ROUND(D395*(1+F395)/Özet!$C$4,6),0)*Özet!$C$4-Özet!$C$5)</f>
        <v/>
      </c>
      <c r="H395" s="17" t="str">
        <f aca="false">IF(G395="","",G395-D395)</f>
        <v/>
      </c>
      <c r="I395" s="16" t="str">
        <f aca="false">IF(OR(G395="",D395=0),"",(D395-C395)/D395)</f>
        <v/>
      </c>
      <c r="J395" s="16" t="str">
        <f aca="false">IF(OR(G395="",G395=0),"",(G395-C395)/G395)</f>
        <v/>
      </c>
      <c r="K395" s="18" t="str">
        <f aca="false">IF(OR(G395="",D395=0),"",G395/D395-1)</f>
        <v/>
      </c>
    </row>
    <row r="396" customFormat="false" ht="15" hidden="false" customHeight="false" outlineLevel="0" collapsed="false">
      <c r="A396" s="12"/>
      <c r="B396" s="13"/>
      <c r="C396" s="14"/>
      <c r="D396" s="14"/>
      <c r="E396" s="15"/>
      <c r="F396" s="16" t="str">
        <f aca="false">IF(OR(A396="",D396=""),"",IF(E396&lt;&gt;"",E396,IF(IFERROR(INDEX('Kategori Zamları'!$B$5:$B$24,MATCH(B396,'Kategori Zamları'!$A$5:$A$24,0)),"")="",Özet!$C$3,INDEX('Kategori Zamları'!$B$5:$B$24,MATCH(B396,'Kategori Zamları'!$A$5:$A$24,0)))))</f>
        <v/>
      </c>
      <c r="G396" s="17" t="str">
        <f aca="false">IF(F396="","",ROUNDUP(ROUND(D396*(1+F396)/Özet!$C$4,6),0)*Özet!$C$4-Özet!$C$5)</f>
        <v/>
      </c>
      <c r="H396" s="17" t="str">
        <f aca="false">IF(G396="","",G396-D396)</f>
        <v/>
      </c>
      <c r="I396" s="16" t="str">
        <f aca="false">IF(OR(G396="",D396=0),"",(D396-C396)/D396)</f>
        <v/>
      </c>
      <c r="J396" s="16" t="str">
        <f aca="false">IF(OR(G396="",G396=0),"",(G396-C396)/G396)</f>
        <v/>
      </c>
      <c r="K396" s="18" t="str">
        <f aca="false">IF(OR(G396="",D396=0),"",G396/D396-1)</f>
        <v/>
      </c>
    </row>
    <row r="397" customFormat="false" ht="15" hidden="false" customHeight="false" outlineLevel="0" collapsed="false">
      <c r="A397" s="12"/>
      <c r="B397" s="13"/>
      <c r="C397" s="14"/>
      <c r="D397" s="14"/>
      <c r="E397" s="15"/>
      <c r="F397" s="16" t="str">
        <f aca="false">IF(OR(A397="",D397=""),"",IF(E397&lt;&gt;"",E397,IF(IFERROR(INDEX('Kategori Zamları'!$B$5:$B$24,MATCH(B397,'Kategori Zamları'!$A$5:$A$24,0)),"")="",Özet!$C$3,INDEX('Kategori Zamları'!$B$5:$B$24,MATCH(B397,'Kategori Zamları'!$A$5:$A$24,0)))))</f>
        <v/>
      </c>
      <c r="G397" s="17" t="str">
        <f aca="false">IF(F397="","",ROUNDUP(ROUND(D397*(1+F397)/Özet!$C$4,6),0)*Özet!$C$4-Özet!$C$5)</f>
        <v/>
      </c>
      <c r="H397" s="17" t="str">
        <f aca="false">IF(G397="","",G397-D397)</f>
        <v/>
      </c>
      <c r="I397" s="16" t="str">
        <f aca="false">IF(OR(G397="",D397=0),"",(D397-C397)/D397)</f>
        <v/>
      </c>
      <c r="J397" s="16" t="str">
        <f aca="false">IF(OR(G397="",G397=0),"",(G397-C397)/G397)</f>
        <v/>
      </c>
      <c r="K397" s="18" t="str">
        <f aca="false">IF(OR(G397="",D397=0),"",G397/D397-1)</f>
        <v/>
      </c>
    </row>
    <row r="398" customFormat="false" ht="15" hidden="false" customHeight="false" outlineLevel="0" collapsed="false">
      <c r="A398" s="12"/>
      <c r="B398" s="13"/>
      <c r="C398" s="14"/>
      <c r="D398" s="14"/>
      <c r="E398" s="15"/>
      <c r="F398" s="16" t="str">
        <f aca="false">IF(OR(A398="",D398=""),"",IF(E398&lt;&gt;"",E398,IF(IFERROR(INDEX('Kategori Zamları'!$B$5:$B$24,MATCH(B398,'Kategori Zamları'!$A$5:$A$24,0)),"")="",Özet!$C$3,INDEX('Kategori Zamları'!$B$5:$B$24,MATCH(B398,'Kategori Zamları'!$A$5:$A$24,0)))))</f>
        <v/>
      </c>
      <c r="G398" s="17" t="str">
        <f aca="false">IF(F398="","",ROUNDUP(ROUND(D398*(1+F398)/Özet!$C$4,6),0)*Özet!$C$4-Özet!$C$5)</f>
        <v/>
      </c>
      <c r="H398" s="17" t="str">
        <f aca="false">IF(G398="","",G398-D398)</f>
        <v/>
      </c>
      <c r="I398" s="16" t="str">
        <f aca="false">IF(OR(G398="",D398=0),"",(D398-C398)/D398)</f>
        <v/>
      </c>
      <c r="J398" s="16" t="str">
        <f aca="false">IF(OR(G398="",G398=0),"",(G398-C398)/G398)</f>
        <v/>
      </c>
      <c r="K398" s="18" t="str">
        <f aca="false">IF(OR(G398="",D398=0),"",G398/D398-1)</f>
        <v/>
      </c>
    </row>
    <row r="399" customFormat="false" ht="15" hidden="false" customHeight="false" outlineLevel="0" collapsed="false">
      <c r="A399" s="12"/>
      <c r="B399" s="13"/>
      <c r="C399" s="14"/>
      <c r="D399" s="14"/>
      <c r="E399" s="15"/>
      <c r="F399" s="16" t="str">
        <f aca="false">IF(OR(A399="",D399=""),"",IF(E399&lt;&gt;"",E399,IF(IFERROR(INDEX('Kategori Zamları'!$B$5:$B$24,MATCH(B399,'Kategori Zamları'!$A$5:$A$24,0)),"")="",Özet!$C$3,INDEX('Kategori Zamları'!$B$5:$B$24,MATCH(B399,'Kategori Zamları'!$A$5:$A$24,0)))))</f>
        <v/>
      </c>
      <c r="G399" s="17" t="str">
        <f aca="false">IF(F399="","",ROUNDUP(ROUND(D399*(1+F399)/Özet!$C$4,6),0)*Özet!$C$4-Özet!$C$5)</f>
        <v/>
      </c>
      <c r="H399" s="17" t="str">
        <f aca="false">IF(G399="","",G399-D399)</f>
        <v/>
      </c>
      <c r="I399" s="16" t="str">
        <f aca="false">IF(OR(G399="",D399=0),"",(D399-C399)/D399)</f>
        <v/>
      </c>
      <c r="J399" s="16" t="str">
        <f aca="false">IF(OR(G399="",G399=0),"",(G399-C399)/G399)</f>
        <v/>
      </c>
      <c r="K399" s="18" t="str">
        <f aca="false">IF(OR(G399="",D399=0),"",G399/D399-1)</f>
        <v/>
      </c>
    </row>
    <row r="400" customFormat="false" ht="15" hidden="false" customHeight="false" outlineLevel="0" collapsed="false">
      <c r="A400" s="12"/>
      <c r="B400" s="13"/>
      <c r="C400" s="14"/>
      <c r="D400" s="14"/>
      <c r="E400" s="15"/>
      <c r="F400" s="16" t="str">
        <f aca="false">IF(OR(A400="",D400=""),"",IF(E400&lt;&gt;"",E400,IF(IFERROR(INDEX('Kategori Zamları'!$B$5:$B$24,MATCH(B400,'Kategori Zamları'!$A$5:$A$24,0)),"")="",Özet!$C$3,INDEX('Kategori Zamları'!$B$5:$B$24,MATCH(B400,'Kategori Zamları'!$A$5:$A$24,0)))))</f>
        <v/>
      </c>
      <c r="G400" s="17" t="str">
        <f aca="false">IF(F400="","",ROUNDUP(ROUND(D400*(1+F400)/Özet!$C$4,6),0)*Özet!$C$4-Özet!$C$5)</f>
        <v/>
      </c>
      <c r="H400" s="17" t="str">
        <f aca="false">IF(G400="","",G400-D400)</f>
        <v/>
      </c>
      <c r="I400" s="16" t="str">
        <f aca="false">IF(OR(G400="",D400=0),"",(D400-C400)/D400)</f>
        <v/>
      </c>
      <c r="J400" s="16" t="str">
        <f aca="false">IF(OR(G400="",G400=0),"",(G400-C400)/G400)</f>
        <v/>
      </c>
      <c r="K400" s="18" t="str">
        <f aca="false">IF(OR(G400="",D400=0),"",G400/D400-1)</f>
        <v/>
      </c>
    </row>
    <row r="401" customFormat="false" ht="15" hidden="false" customHeight="false" outlineLevel="0" collapsed="false">
      <c r="A401" s="12"/>
      <c r="B401" s="13"/>
      <c r="C401" s="14"/>
      <c r="D401" s="14"/>
      <c r="E401" s="15"/>
      <c r="F401" s="16" t="str">
        <f aca="false">IF(OR(A401="",D401=""),"",IF(E401&lt;&gt;"",E401,IF(IFERROR(INDEX('Kategori Zamları'!$B$5:$B$24,MATCH(B401,'Kategori Zamları'!$A$5:$A$24,0)),"")="",Özet!$C$3,INDEX('Kategori Zamları'!$B$5:$B$24,MATCH(B401,'Kategori Zamları'!$A$5:$A$24,0)))))</f>
        <v/>
      </c>
      <c r="G401" s="17" t="str">
        <f aca="false">IF(F401="","",ROUNDUP(ROUND(D401*(1+F401)/Özet!$C$4,6),0)*Özet!$C$4-Özet!$C$5)</f>
        <v/>
      </c>
      <c r="H401" s="17" t="str">
        <f aca="false">IF(G401="","",G401-D401)</f>
        <v/>
      </c>
      <c r="I401" s="16" t="str">
        <f aca="false">IF(OR(G401="",D401=0),"",(D401-C401)/D401)</f>
        <v/>
      </c>
      <c r="J401" s="16" t="str">
        <f aca="false">IF(OR(G401="",G401=0),"",(G401-C401)/G401)</f>
        <v/>
      </c>
      <c r="K401" s="18" t="str">
        <f aca="false">IF(OR(G401="",D401=0),"",G401/D401-1)</f>
        <v/>
      </c>
    </row>
    <row r="402" customFormat="false" ht="15" hidden="false" customHeight="false" outlineLevel="0" collapsed="false">
      <c r="A402" s="12"/>
      <c r="B402" s="13"/>
      <c r="C402" s="14"/>
      <c r="D402" s="14"/>
      <c r="E402" s="15"/>
      <c r="F402" s="16" t="str">
        <f aca="false">IF(OR(A402="",D402=""),"",IF(E402&lt;&gt;"",E402,IF(IFERROR(INDEX('Kategori Zamları'!$B$5:$B$24,MATCH(B402,'Kategori Zamları'!$A$5:$A$24,0)),"")="",Özet!$C$3,INDEX('Kategori Zamları'!$B$5:$B$24,MATCH(B402,'Kategori Zamları'!$A$5:$A$24,0)))))</f>
        <v/>
      </c>
      <c r="G402" s="17" t="str">
        <f aca="false">IF(F402="","",ROUNDUP(ROUND(D402*(1+F402)/Özet!$C$4,6),0)*Özet!$C$4-Özet!$C$5)</f>
        <v/>
      </c>
      <c r="H402" s="17" t="str">
        <f aca="false">IF(G402="","",G402-D402)</f>
        <v/>
      </c>
      <c r="I402" s="16" t="str">
        <f aca="false">IF(OR(G402="",D402=0),"",(D402-C402)/D402)</f>
        <v/>
      </c>
      <c r="J402" s="16" t="str">
        <f aca="false">IF(OR(G402="",G402=0),"",(G402-C402)/G402)</f>
        <v/>
      </c>
      <c r="K402" s="18" t="str">
        <f aca="false">IF(OR(G402="",D402=0),"",G402/D402-1)</f>
        <v/>
      </c>
    </row>
    <row r="403" customFormat="false" ht="15" hidden="false" customHeight="false" outlineLevel="0" collapsed="false">
      <c r="A403" s="12"/>
      <c r="B403" s="13"/>
      <c r="C403" s="14"/>
      <c r="D403" s="14"/>
      <c r="E403" s="15"/>
      <c r="F403" s="16" t="str">
        <f aca="false">IF(OR(A403="",D403=""),"",IF(E403&lt;&gt;"",E403,IF(IFERROR(INDEX('Kategori Zamları'!$B$5:$B$24,MATCH(B403,'Kategori Zamları'!$A$5:$A$24,0)),"")="",Özet!$C$3,INDEX('Kategori Zamları'!$B$5:$B$24,MATCH(B403,'Kategori Zamları'!$A$5:$A$24,0)))))</f>
        <v/>
      </c>
      <c r="G403" s="17" t="str">
        <f aca="false">IF(F403="","",ROUNDUP(ROUND(D403*(1+F403)/Özet!$C$4,6),0)*Özet!$C$4-Özet!$C$5)</f>
        <v/>
      </c>
      <c r="H403" s="17" t="str">
        <f aca="false">IF(G403="","",G403-D403)</f>
        <v/>
      </c>
      <c r="I403" s="16" t="str">
        <f aca="false">IF(OR(G403="",D403=0),"",(D403-C403)/D403)</f>
        <v/>
      </c>
      <c r="J403" s="16" t="str">
        <f aca="false">IF(OR(G403="",G403=0),"",(G403-C403)/G403)</f>
        <v/>
      </c>
      <c r="K403" s="18" t="str">
        <f aca="false">IF(OR(G403="",D403=0),"",G403/D403-1)</f>
        <v/>
      </c>
    </row>
    <row r="404" customFormat="false" ht="15" hidden="false" customHeight="false" outlineLevel="0" collapsed="false">
      <c r="A404" s="12"/>
      <c r="B404" s="13"/>
      <c r="C404" s="14"/>
      <c r="D404" s="14"/>
      <c r="E404" s="15"/>
      <c r="F404" s="16" t="str">
        <f aca="false">IF(OR(A404="",D404=""),"",IF(E404&lt;&gt;"",E404,IF(IFERROR(INDEX('Kategori Zamları'!$B$5:$B$24,MATCH(B404,'Kategori Zamları'!$A$5:$A$24,0)),"")="",Özet!$C$3,INDEX('Kategori Zamları'!$B$5:$B$24,MATCH(B404,'Kategori Zamları'!$A$5:$A$24,0)))))</f>
        <v/>
      </c>
      <c r="G404" s="17" t="str">
        <f aca="false">IF(F404="","",ROUNDUP(ROUND(D404*(1+F404)/Özet!$C$4,6),0)*Özet!$C$4-Özet!$C$5)</f>
        <v/>
      </c>
      <c r="H404" s="17" t="str">
        <f aca="false">IF(G404="","",G404-D404)</f>
        <v/>
      </c>
      <c r="I404" s="16" t="str">
        <f aca="false">IF(OR(G404="",D404=0),"",(D404-C404)/D404)</f>
        <v/>
      </c>
      <c r="J404" s="16" t="str">
        <f aca="false">IF(OR(G404="",G404=0),"",(G404-C404)/G404)</f>
        <v/>
      </c>
      <c r="K404" s="18" t="str">
        <f aca="false">IF(OR(G404="",D404=0),"",G404/D404-1)</f>
        <v/>
      </c>
    </row>
    <row r="405" customFormat="false" ht="15" hidden="false" customHeight="false" outlineLevel="0" collapsed="false">
      <c r="A405" s="12"/>
      <c r="B405" s="13"/>
      <c r="C405" s="14"/>
      <c r="D405" s="14"/>
      <c r="E405" s="15"/>
      <c r="F405" s="16" t="str">
        <f aca="false">IF(OR(A405="",D405=""),"",IF(E405&lt;&gt;"",E405,IF(IFERROR(INDEX('Kategori Zamları'!$B$5:$B$24,MATCH(B405,'Kategori Zamları'!$A$5:$A$24,0)),"")="",Özet!$C$3,INDEX('Kategori Zamları'!$B$5:$B$24,MATCH(B405,'Kategori Zamları'!$A$5:$A$24,0)))))</f>
        <v/>
      </c>
      <c r="G405" s="17" t="str">
        <f aca="false">IF(F405="","",ROUNDUP(ROUND(D405*(1+F405)/Özet!$C$4,6),0)*Özet!$C$4-Özet!$C$5)</f>
        <v/>
      </c>
      <c r="H405" s="17" t="str">
        <f aca="false">IF(G405="","",G405-D405)</f>
        <v/>
      </c>
      <c r="I405" s="16" t="str">
        <f aca="false">IF(OR(G405="",D405=0),"",(D405-C405)/D405)</f>
        <v/>
      </c>
      <c r="J405" s="16" t="str">
        <f aca="false">IF(OR(G405="",G405=0),"",(G405-C405)/G405)</f>
        <v/>
      </c>
      <c r="K405" s="18" t="str">
        <f aca="false">IF(OR(G405="",D405=0),"",G405/D405-1)</f>
        <v/>
      </c>
    </row>
    <row r="406" customFormat="false" ht="15" hidden="false" customHeight="false" outlineLevel="0" collapsed="false">
      <c r="A406" s="12"/>
      <c r="B406" s="13"/>
      <c r="C406" s="14"/>
      <c r="D406" s="14"/>
      <c r="E406" s="15"/>
      <c r="F406" s="16" t="str">
        <f aca="false">IF(OR(A406="",D406=""),"",IF(E406&lt;&gt;"",E406,IF(IFERROR(INDEX('Kategori Zamları'!$B$5:$B$24,MATCH(B406,'Kategori Zamları'!$A$5:$A$24,0)),"")="",Özet!$C$3,INDEX('Kategori Zamları'!$B$5:$B$24,MATCH(B406,'Kategori Zamları'!$A$5:$A$24,0)))))</f>
        <v/>
      </c>
      <c r="G406" s="17" t="str">
        <f aca="false">IF(F406="","",ROUNDUP(ROUND(D406*(1+F406)/Özet!$C$4,6),0)*Özet!$C$4-Özet!$C$5)</f>
        <v/>
      </c>
      <c r="H406" s="17" t="str">
        <f aca="false">IF(G406="","",G406-D406)</f>
        <v/>
      </c>
      <c r="I406" s="16" t="str">
        <f aca="false">IF(OR(G406="",D406=0),"",(D406-C406)/D406)</f>
        <v/>
      </c>
      <c r="J406" s="16" t="str">
        <f aca="false">IF(OR(G406="",G406=0),"",(G406-C406)/G406)</f>
        <v/>
      </c>
      <c r="K406" s="18" t="str">
        <f aca="false">IF(OR(G406="",D406=0),"",G406/D406-1)</f>
        <v/>
      </c>
    </row>
    <row r="407" customFormat="false" ht="15" hidden="false" customHeight="false" outlineLevel="0" collapsed="false">
      <c r="A407" s="12"/>
      <c r="B407" s="13"/>
      <c r="C407" s="14"/>
      <c r="D407" s="14"/>
      <c r="E407" s="15"/>
      <c r="F407" s="16" t="str">
        <f aca="false">IF(OR(A407="",D407=""),"",IF(E407&lt;&gt;"",E407,IF(IFERROR(INDEX('Kategori Zamları'!$B$5:$B$24,MATCH(B407,'Kategori Zamları'!$A$5:$A$24,0)),"")="",Özet!$C$3,INDEX('Kategori Zamları'!$B$5:$B$24,MATCH(B407,'Kategori Zamları'!$A$5:$A$24,0)))))</f>
        <v/>
      </c>
      <c r="G407" s="17" t="str">
        <f aca="false">IF(F407="","",ROUNDUP(ROUND(D407*(1+F407)/Özet!$C$4,6),0)*Özet!$C$4-Özet!$C$5)</f>
        <v/>
      </c>
      <c r="H407" s="17" t="str">
        <f aca="false">IF(G407="","",G407-D407)</f>
        <v/>
      </c>
      <c r="I407" s="16" t="str">
        <f aca="false">IF(OR(G407="",D407=0),"",(D407-C407)/D407)</f>
        <v/>
      </c>
      <c r="J407" s="16" t="str">
        <f aca="false">IF(OR(G407="",G407=0),"",(G407-C407)/G407)</f>
        <v/>
      </c>
      <c r="K407" s="18" t="str">
        <f aca="false">IF(OR(G407="",D407=0),"",G407/D407-1)</f>
        <v/>
      </c>
    </row>
    <row r="408" customFormat="false" ht="15" hidden="false" customHeight="false" outlineLevel="0" collapsed="false">
      <c r="A408" s="12"/>
      <c r="B408" s="13"/>
      <c r="C408" s="14"/>
      <c r="D408" s="14"/>
      <c r="E408" s="15"/>
      <c r="F408" s="16" t="str">
        <f aca="false">IF(OR(A408="",D408=""),"",IF(E408&lt;&gt;"",E408,IF(IFERROR(INDEX('Kategori Zamları'!$B$5:$B$24,MATCH(B408,'Kategori Zamları'!$A$5:$A$24,0)),"")="",Özet!$C$3,INDEX('Kategori Zamları'!$B$5:$B$24,MATCH(B408,'Kategori Zamları'!$A$5:$A$24,0)))))</f>
        <v/>
      </c>
      <c r="G408" s="17" t="str">
        <f aca="false">IF(F408="","",ROUNDUP(ROUND(D408*(1+F408)/Özet!$C$4,6),0)*Özet!$C$4-Özet!$C$5)</f>
        <v/>
      </c>
      <c r="H408" s="17" t="str">
        <f aca="false">IF(G408="","",G408-D408)</f>
        <v/>
      </c>
      <c r="I408" s="16" t="str">
        <f aca="false">IF(OR(G408="",D408=0),"",(D408-C408)/D408)</f>
        <v/>
      </c>
      <c r="J408" s="16" t="str">
        <f aca="false">IF(OR(G408="",G408=0),"",(G408-C408)/G408)</f>
        <v/>
      </c>
      <c r="K408" s="18" t="str">
        <f aca="false">IF(OR(G408="",D408=0),"",G408/D408-1)</f>
        <v/>
      </c>
    </row>
    <row r="409" customFormat="false" ht="15" hidden="false" customHeight="false" outlineLevel="0" collapsed="false">
      <c r="A409" s="12"/>
      <c r="B409" s="13"/>
      <c r="C409" s="14"/>
      <c r="D409" s="14"/>
      <c r="E409" s="15"/>
      <c r="F409" s="16" t="str">
        <f aca="false">IF(OR(A409="",D409=""),"",IF(E409&lt;&gt;"",E409,IF(IFERROR(INDEX('Kategori Zamları'!$B$5:$B$24,MATCH(B409,'Kategori Zamları'!$A$5:$A$24,0)),"")="",Özet!$C$3,INDEX('Kategori Zamları'!$B$5:$B$24,MATCH(B409,'Kategori Zamları'!$A$5:$A$24,0)))))</f>
        <v/>
      </c>
      <c r="G409" s="17" t="str">
        <f aca="false">IF(F409="","",ROUNDUP(ROUND(D409*(1+F409)/Özet!$C$4,6),0)*Özet!$C$4-Özet!$C$5)</f>
        <v/>
      </c>
      <c r="H409" s="17" t="str">
        <f aca="false">IF(G409="","",G409-D409)</f>
        <v/>
      </c>
      <c r="I409" s="16" t="str">
        <f aca="false">IF(OR(G409="",D409=0),"",(D409-C409)/D409)</f>
        <v/>
      </c>
      <c r="J409" s="16" t="str">
        <f aca="false">IF(OR(G409="",G409=0),"",(G409-C409)/G409)</f>
        <v/>
      </c>
      <c r="K409" s="18" t="str">
        <f aca="false">IF(OR(G409="",D409=0),"",G409/D409-1)</f>
        <v/>
      </c>
    </row>
    <row r="410" customFormat="false" ht="15" hidden="false" customHeight="false" outlineLevel="0" collapsed="false">
      <c r="A410" s="12"/>
      <c r="B410" s="13"/>
      <c r="C410" s="14"/>
      <c r="D410" s="14"/>
      <c r="E410" s="15"/>
      <c r="F410" s="16" t="str">
        <f aca="false">IF(OR(A410="",D410=""),"",IF(E410&lt;&gt;"",E410,IF(IFERROR(INDEX('Kategori Zamları'!$B$5:$B$24,MATCH(B410,'Kategori Zamları'!$A$5:$A$24,0)),"")="",Özet!$C$3,INDEX('Kategori Zamları'!$B$5:$B$24,MATCH(B410,'Kategori Zamları'!$A$5:$A$24,0)))))</f>
        <v/>
      </c>
      <c r="G410" s="17" t="str">
        <f aca="false">IF(F410="","",ROUNDUP(ROUND(D410*(1+F410)/Özet!$C$4,6),0)*Özet!$C$4-Özet!$C$5)</f>
        <v/>
      </c>
      <c r="H410" s="17" t="str">
        <f aca="false">IF(G410="","",G410-D410)</f>
        <v/>
      </c>
      <c r="I410" s="16" t="str">
        <f aca="false">IF(OR(G410="",D410=0),"",(D410-C410)/D410)</f>
        <v/>
      </c>
      <c r="J410" s="16" t="str">
        <f aca="false">IF(OR(G410="",G410=0),"",(G410-C410)/G410)</f>
        <v/>
      </c>
      <c r="K410" s="18" t="str">
        <f aca="false">IF(OR(G410="",D410=0),"",G410/D410-1)</f>
        <v/>
      </c>
    </row>
    <row r="411" customFormat="false" ht="15" hidden="false" customHeight="false" outlineLevel="0" collapsed="false">
      <c r="A411" s="12"/>
      <c r="B411" s="13"/>
      <c r="C411" s="14"/>
      <c r="D411" s="14"/>
      <c r="E411" s="15"/>
      <c r="F411" s="16" t="str">
        <f aca="false">IF(OR(A411="",D411=""),"",IF(E411&lt;&gt;"",E411,IF(IFERROR(INDEX('Kategori Zamları'!$B$5:$B$24,MATCH(B411,'Kategori Zamları'!$A$5:$A$24,0)),"")="",Özet!$C$3,INDEX('Kategori Zamları'!$B$5:$B$24,MATCH(B411,'Kategori Zamları'!$A$5:$A$24,0)))))</f>
        <v/>
      </c>
      <c r="G411" s="17" t="str">
        <f aca="false">IF(F411="","",ROUNDUP(ROUND(D411*(1+F411)/Özet!$C$4,6),0)*Özet!$C$4-Özet!$C$5)</f>
        <v/>
      </c>
      <c r="H411" s="17" t="str">
        <f aca="false">IF(G411="","",G411-D411)</f>
        <v/>
      </c>
      <c r="I411" s="16" t="str">
        <f aca="false">IF(OR(G411="",D411=0),"",(D411-C411)/D411)</f>
        <v/>
      </c>
      <c r="J411" s="16" t="str">
        <f aca="false">IF(OR(G411="",G411=0),"",(G411-C411)/G411)</f>
        <v/>
      </c>
      <c r="K411" s="18" t="str">
        <f aca="false">IF(OR(G411="",D411=0),"",G411/D411-1)</f>
        <v/>
      </c>
    </row>
    <row r="412" customFormat="false" ht="15" hidden="false" customHeight="false" outlineLevel="0" collapsed="false">
      <c r="A412" s="12"/>
      <c r="B412" s="13"/>
      <c r="C412" s="14"/>
      <c r="D412" s="14"/>
      <c r="E412" s="15"/>
      <c r="F412" s="16" t="str">
        <f aca="false">IF(OR(A412="",D412=""),"",IF(E412&lt;&gt;"",E412,IF(IFERROR(INDEX('Kategori Zamları'!$B$5:$B$24,MATCH(B412,'Kategori Zamları'!$A$5:$A$24,0)),"")="",Özet!$C$3,INDEX('Kategori Zamları'!$B$5:$B$24,MATCH(B412,'Kategori Zamları'!$A$5:$A$24,0)))))</f>
        <v/>
      </c>
      <c r="G412" s="17" t="str">
        <f aca="false">IF(F412="","",ROUNDUP(ROUND(D412*(1+F412)/Özet!$C$4,6),0)*Özet!$C$4-Özet!$C$5)</f>
        <v/>
      </c>
      <c r="H412" s="17" t="str">
        <f aca="false">IF(G412="","",G412-D412)</f>
        <v/>
      </c>
      <c r="I412" s="16" t="str">
        <f aca="false">IF(OR(G412="",D412=0),"",(D412-C412)/D412)</f>
        <v/>
      </c>
      <c r="J412" s="16" t="str">
        <f aca="false">IF(OR(G412="",G412=0),"",(G412-C412)/G412)</f>
        <v/>
      </c>
      <c r="K412" s="18" t="str">
        <f aca="false">IF(OR(G412="",D412=0),"",G412/D412-1)</f>
        <v/>
      </c>
    </row>
    <row r="413" customFormat="false" ht="15" hidden="false" customHeight="false" outlineLevel="0" collapsed="false">
      <c r="A413" s="12"/>
      <c r="B413" s="13"/>
      <c r="C413" s="14"/>
      <c r="D413" s="14"/>
      <c r="E413" s="15"/>
      <c r="F413" s="16" t="str">
        <f aca="false">IF(OR(A413="",D413=""),"",IF(E413&lt;&gt;"",E413,IF(IFERROR(INDEX('Kategori Zamları'!$B$5:$B$24,MATCH(B413,'Kategori Zamları'!$A$5:$A$24,0)),"")="",Özet!$C$3,INDEX('Kategori Zamları'!$B$5:$B$24,MATCH(B413,'Kategori Zamları'!$A$5:$A$24,0)))))</f>
        <v/>
      </c>
      <c r="G413" s="17" t="str">
        <f aca="false">IF(F413="","",ROUNDUP(ROUND(D413*(1+F413)/Özet!$C$4,6),0)*Özet!$C$4-Özet!$C$5)</f>
        <v/>
      </c>
      <c r="H413" s="17" t="str">
        <f aca="false">IF(G413="","",G413-D413)</f>
        <v/>
      </c>
      <c r="I413" s="16" t="str">
        <f aca="false">IF(OR(G413="",D413=0),"",(D413-C413)/D413)</f>
        <v/>
      </c>
      <c r="J413" s="16" t="str">
        <f aca="false">IF(OR(G413="",G413=0),"",(G413-C413)/G413)</f>
        <v/>
      </c>
      <c r="K413" s="18" t="str">
        <f aca="false">IF(OR(G413="",D413=0),"",G413/D413-1)</f>
        <v/>
      </c>
    </row>
    <row r="414" customFormat="false" ht="15" hidden="false" customHeight="false" outlineLevel="0" collapsed="false">
      <c r="A414" s="12"/>
      <c r="B414" s="13"/>
      <c r="C414" s="14"/>
      <c r="D414" s="14"/>
      <c r="E414" s="15"/>
      <c r="F414" s="16" t="str">
        <f aca="false">IF(OR(A414="",D414=""),"",IF(E414&lt;&gt;"",E414,IF(IFERROR(INDEX('Kategori Zamları'!$B$5:$B$24,MATCH(B414,'Kategori Zamları'!$A$5:$A$24,0)),"")="",Özet!$C$3,INDEX('Kategori Zamları'!$B$5:$B$24,MATCH(B414,'Kategori Zamları'!$A$5:$A$24,0)))))</f>
        <v/>
      </c>
      <c r="G414" s="17" t="str">
        <f aca="false">IF(F414="","",ROUNDUP(ROUND(D414*(1+F414)/Özet!$C$4,6),0)*Özet!$C$4-Özet!$C$5)</f>
        <v/>
      </c>
      <c r="H414" s="17" t="str">
        <f aca="false">IF(G414="","",G414-D414)</f>
        <v/>
      </c>
      <c r="I414" s="16" t="str">
        <f aca="false">IF(OR(G414="",D414=0),"",(D414-C414)/D414)</f>
        <v/>
      </c>
      <c r="J414" s="16" t="str">
        <f aca="false">IF(OR(G414="",G414=0),"",(G414-C414)/G414)</f>
        <v/>
      </c>
      <c r="K414" s="18" t="str">
        <f aca="false">IF(OR(G414="",D414=0),"",G414/D414-1)</f>
        <v/>
      </c>
    </row>
    <row r="415" customFormat="false" ht="15" hidden="false" customHeight="false" outlineLevel="0" collapsed="false">
      <c r="A415" s="12"/>
      <c r="B415" s="13"/>
      <c r="C415" s="14"/>
      <c r="D415" s="14"/>
      <c r="E415" s="15"/>
      <c r="F415" s="16" t="str">
        <f aca="false">IF(OR(A415="",D415=""),"",IF(E415&lt;&gt;"",E415,IF(IFERROR(INDEX('Kategori Zamları'!$B$5:$B$24,MATCH(B415,'Kategori Zamları'!$A$5:$A$24,0)),"")="",Özet!$C$3,INDEX('Kategori Zamları'!$B$5:$B$24,MATCH(B415,'Kategori Zamları'!$A$5:$A$24,0)))))</f>
        <v/>
      </c>
      <c r="G415" s="17" t="str">
        <f aca="false">IF(F415="","",ROUNDUP(ROUND(D415*(1+F415)/Özet!$C$4,6),0)*Özet!$C$4-Özet!$C$5)</f>
        <v/>
      </c>
      <c r="H415" s="17" t="str">
        <f aca="false">IF(G415="","",G415-D415)</f>
        <v/>
      </c>
      <c r="I415" s="16" t="str">
        <f aca="false">IF(OR(G415="",D415=0),"",(D415-C415)/D415)</f>
        <v/>
      </c>
      <c r="J415" s="16" t="str">
        <f aca="false">IF(OR(G415="",G415=0),"",(G415-C415)/G415)</f>
        <v/>
      </c>
      <c r="K415" s="18" t="str">
        <f aca="false">IF(OR(G415="",D415=0),"",G415/D415-1)</f>
        <v/>
      </c>
    </row>
    <row r="416" customFormat="false" ht="15" hidden="false" customHeight="false" outlineLevel="0" collapsed="false">
      <c r="A416" s="12"/>
      <c r="B416" s="13"/>
      <c r="C416" s="14"/>
      <c r="D416" s="14"/>
      <c r="E416" s="15"/>
      <c r="F416" s="16" t="str">
        <f aca="false">IF(OR(A416="",D416=""),"",IF(E416&lt;&gt;"",E416,IF(IFERROR(INDEX('Kategori Zamları'!$B$5:$B$24,MATCH(B416,'Kategori Zamları'!$A$5:$A$24,0)),"")="",Özet!$C$3,INDEX('Kategori Zamları'!$B$5:$B$24,MATCH(B416,'Kategori Zamları'!$A$5:$A$24,0)))))</f>
        <v/>
      </c>
      <c r="G416" s="17" t="str">
        <f aca="false">IF(F416="","",ROUNDUP(ROUND(D416*(1+F416)/Özet!$C$4,6),0)*Özet!$C$4-Özet!$C$5)</f>
        <v/>
      </c>
      <c r="H416" s="17" t="str">
        <f aca="false">IF(G416="","",G416-D416)</f>
        <v/>
      </c>
      <c r="I416" s="16" t="str">
        <f aca="false">IF(OR(G416="",D416=0),"",(D416-C416)/D416)</f>
        <v/>
      </c>
      <c r="J416" s="16" t="str">
        <f aca="false">IF(OR(G416="",G416=0),"",(G416-C416)/G416)</f>
        <v/>
      </c>
      <c r="K416" s="18" t="str">
        <f aca="false">IF(OR(G416="",D416=0),"",G416/D416-1)</f>
        <v/>
      </c>
    </row>
    <row r="417" customFormat="false" ht="15" hidden="false" customHeight="false" outlineLevel="0" collapsed="false">
      <c r="A417" s="12"/>
      <c r="B417" s="13"/>
      <c r="C417" s="14"/>
      <c r="D417" s="14"/>
      <c r="E417" s="15"/>
      <c r="F417" s="16" t="str">
        <f aca="false">IF(OR(A417="",D417=""),"",IF(E417&lt;&gt;"",E417,IF(IFERROR(INDEX('Kategori Zamları'!$B$5:$B$24,MATCH(B417,'Kategori Zamları'!$A$5:$A$24,0)),"")="",Özet!$C$3,INDEX('Kategori Zamları'!$B$5:$B$24,MATCH(B417,'Kategori Zamları'!$A$5:$A$24,0)))))</f>
        <v/>
      </c>
      <c r="G417" s="17" t="str">
        <f aca="false">IF(F417="","",ROUNDUP(ROUND(D417*(1+F417)/Özet!$C$4,6),0)*Özet!$C$4-Özet!$C$5)</f>
        <v/>
      </c>
      <c r="H417" s="17" t="str">
        <f aca="false">IF(G417="","",G417-D417)</f>
        <v/>
      </c>
      <c r="I417" s="16" t="str">
        <f aca="false">IF(OR(G417="",D417=0),"",(D417-C417)/D417)</f>
        <v/>
      </c>
      <c r="J417" s="16" t="str">
        <f aca="false">IF(OR(G417="",G417=0),"",(G417-C417)/G417)</f>
        <v/>
      </c>
      <c r="K417" s="18" t="str">
        <f aca="false">IF(OR(G417="",D417=0),"",G417/D417-1)</f>
        <v/>
      </c>
    </row>
    <row r="418" customFormat="false" ht="15" hidden="false" customHeight="false" outlineLevel="0" collapsed="false">
      <c r="A418" s="12"/>
      <c r="B418" s="13"/>
      <c r="C418" s="14"/>
      <c r="D418" s="14"/>
      <c r="E418" s="15"/>
      <c r="F418" s="16" t="str">
        <f aca="false">IF(OR(A418="",D418=""),"",IF(E418&lt;&gt;"",E418,IF(IFERROR(INDEX('Kategori Zamları'!$B$5:$B$24,MATCH(B418,'Kategori Zamları'!$A$5:$A$24,0)),"")="",Özet!$C$3,INDEX('Kategori Zamları'!$B$5:$B$24,MATCH(B418,'Kategori Zamları'!$A$5:$A$24,0)))))</f>
        <v/>
      </c>
      <c r="G418" s="17" t="str">
        <f aca="false">IF(F418="","",ROUNDUP(ROUND(D418*(1+F418)/Özet!$C$4,6),0)*Özet!$C$4-Özet!$C$5)</f>
        <v/>
      </c>
      <c r="H418" s="17" t="str">
        <f aca="false">IF(G418="","",G418-D418)</f>
        <v/>
      </c>
      <c r="I418" s="16" t="str">
        <f aca="false">IF(OR(G418="",D418=0),"",(D418-C418)/D418)</f>
        <v/>
      </c>
      <c r="J418" s="16" t="str">
        <f aca="false">IF(OR(G418="",G418=0),"",(G418-C418)/G418)</f>
        <v/>
      </c>
      <c r="K418" s="18" t="str">
        <f aca="false">IF(OR(G418="",D418=0),"",G418/D418-1)</f>
        <v/>
      </c>
    </row>
    <row r="419" customFormat="false" ht="15" hidden="false" customHeight="false" outlineLevel="0" collapsed="false">
      <c r="A419" s="12"/>
      <c r="B419" s="13"/>
      <c r="C419" s="14"/>
      <c r="D419" s="14"/>
      <c r="E419" s="15"/>
      <c r="F419" s="16" t="str">
        <f aca="false">IF(OR(A419="",D419=""),"",IF(E419&lt;&gt;"",E419,IF(IFERROR(INDEX('Kategori Zamları'!$B$5:$B$24,MATCH(B419,'Kategori Zamları'!$A$5:$A$24,0)),"")="",Özet!$C$3,INDEX('Kategori Zamları'!$B$5:$B$24,MATCH(B419,'Kategori Zamları'!$A$5:$A$24,0)))))</f>
        <v/>
      </c>
      <c r="G419" s="17" t="str">
        <f aca="false">IF(F419="","",ROUNDUP(ROUND(D419*(1+F419)/Özet!$C$4,6),0)*Özet!$C$4-Özet!$C$5)</f>
        <v/>
      </c>
      <c r="H419" s="17" t="str">
        <f aca="false">IF(G419="","",G419-D419)</f>
        <v/>
      </c>
      <c r="I419" s="16" t="str">
        <f aca="false">IF(OR(G419="",D419=0),"",(D419-C419)/D419)</f>
        <v/>
      </c>
      <c r="J419" s="16" t="str">
        <f aca="false">IF(OR(G419="",G419=0),"",(G419-C419)/G419)</f>
        <v/>
      </c>
      <c r="K419" s="18" t="str">
        <f aca="false">IF(OR(G419="",D419=0),"",G419/D419-1)</f>
        <v/>
      </c>
    </row>
    <row r="420" customFormat="false" ht="15" hidden="false" customHeight="false" outlineLevel="0" collapsed="false">
      <c r="A420" s="12"/>
      <c r="B420" s="13"/>
      <c r="C420" s="14"/>
      <c r="D420" s="14"/>
      <c r="E420" s="15"/>
      <c r="F420" s="16" t="str">
        <f aca="false">IF(OR(A420="",D420=""),"",IF(E420&lt;&gt;"",E420,IF(IFERROR(INDEX('Kategori Zamları'!$B$5:$B$24,MATCH(B420,'Kategori Zamları'!$A$5:$A$24,0)),"")="",Özet!$C$3,INDEX('Kategori Zamları'!$B$5:$B$24,MATCH(B420,'Kategori Zamları'!$A$5:$A$24,0)))))</f>
        <v/>
      </c>
      <c r="G420" s="17" t="str">
        <f aca="false">IF(F420="","",ROUNDUP(ROUND(D420*(1+F420)/Özet!$C$4,6),0)*Özet!$C$4-Özet!$C$5)</f>
        <v/>
      </c>
      <c r="H420" s="17" t="str">
        <f aca="false">IF(G420="","",G420-D420)</f>
        <v/>
      </c>
      <c r="I420" s="16" t="str">
        <f aca="false">IF(OR(G420="",D420=0),"",(D420-C420)/D420)</f>
        <v/>
      </c>
      <c r="J420" s="16" t="str">
        <f aca="false">IF(OR(G420="",G420=0),"",(G420-C420)/G420)</f>
        <v/>
      </c>
      <c r="K420" s="18" t="str">
        <f aca="false">IF(OR(G420="",D420=0),"",G420/D420-1)</f>
        <v/>
      </c>
    </row>
    <row r="421" customFormat="false" ht="15" hidden="false" customHeight="false" outlineLevel="0" collapsed="false">
      <c r="A421" s="12"/>
      <c r="B421" s="13"/>
      <c r="C421" s="14"/>
      <c r="D421" s="14"/>
      <c r="E421" s="15"/>
      <c r="F421" s="16" t="str">
        <f aca="false">IF(OR(A421="",D421=""),"",IF(E421&lt;&gt;"",E421,IF(IFERROR(INDEX('Kategori Zamları'!$B$5:$B$24,MATCH(B421,'Kategori Zamları'!$A$5:$A$24,0)),"")="",Özet!$C$3,INDEX('Kategori Zamları'!$B$5:$B$24,MATCH(B421,'Kategori Zamları'!$A$5:$A$24,0)))))</f>
        <v/>
      </c>
      <c r="G421" s="17" t="str">
        <f aca="false">IF(F421="","",ROUNDUP(ROUND(D421*(1+F421)/Özet!$C$4,6),0)*Özet!$C$4-Özet!$C$5)</f>
        <v/>
      </c>
      <c r="H421" s="17" t="str">
        <f aca="false">IF(G421="","",G421-D421)</f>
        <v/>
      </c>
      <c r="I421" s="16" t="str">
        <f aca="false">IF(OR(G421="",D421=0),"",(D421-C421)/D421)</f>
        <v/>
      </c>
      <c r="J421" s="16" t="str">
        <f aca="false">IF(OR(G421="",G421=0),"",(G421-C421)/G421)</f>
        <v/>
      </c>
      <c r="K421" s="18" t="str">
        <f aca="false">IF(OR(G421="",D421=0),"",G421/D421-1)</f>
        <v/>
      </c>
    </row>
    <row r="422" customFormat="false" ht="15" hidden="false" customHeight="false" outlineLevel="0" collapsed="false">
      <c r="A422" s="12"/>
      <c r="B422" s="13"/>
      <c r="C422" s="14"/>
      <c r="D422" s="14"/>
      <c r="E422" s="15"/>
      <c r="F422" s="16" t="str">
        <f aca="false">IF(OR(A422="",D422=""),"",IF(E422&lt;&gt;"",E422,IF(IFERROR(INDEX('Kategori Zamları'!$B$5:$B$24,MATCH(B422,'Kategori Zamları'!$A$5:$A$24,0)),"")="",Özet!$C$3,INDEX('Kategori Zamları'!$B$5:$B$24,MATCH(B422,'Kategori Zamları'!$A$5:$A$24,0)))))</f>
        <v/>
      </c>
      <c r="G422" s="17" t="str">
        <f aca="false">IF(F422="","",ROUNDUP(ROUND(D422*(1+F422)/Özet!$C$4,6),0)*Özet!$C$4-Özet!$C$5)</f>
        <v/>
      </c>
      <c r="H422" s="17" t="str">
        <f aca="false">IF(G422="","",G422-D422)</f>
        <v/>
      </c>
      <c r="I422" s="16" t="str">
        <f aca="false">IF(OR(G422="",D422=0),"",(D422-C422)/D422)</f>
        <v/>
      </c>
      <c r="J422" s="16" t="str">
        <f aca="false">IF(OR(G422="",G422=0),"",(G422-C422)/G422)</f>
        <v/>
      </c>
      <c r="K422" s="18" t="str">
        <f aca="false">IF(OR(G422="",D422=0),"",G422/D422-1)</f>
        <v/>
      </c>
    </row>
    <row r="423" customFormat="false" ht="15" hidden="false" customHeight="false" outlineLevel="0" collapsed="false">
      <c r="A423" s="12"/>
      <c r="B423" s="13"/>
      <c r="C423" s="14"/>
      <c r="D423" s="14"/>
      <c r="E423" s="15"/>
      <c r="F423" s="16" t="str">
        <f aca="false">IF(OR(A423="",D423=""),"",IF(E423&lt;&gt;"",E423,IF(IFERROR(INDEX('Kategori Zamları'!$B$5:$B$24,MATCH(B423,'Kategori Zamları'!$A$5:$A$24,0)),"")="",Özet!$C$3,INDEX('Kategori Zamları'!$B$5:$B$24,MATCH(B423,'Kategori Zamları'!$A$5:$A$24,0)))))</f>
        <v/>
      </c>
      <c r="G423" s="17" t="str">
        <f aca="false">IF(F423="","",ROUNDUP(ROUND(D423*(1+F423)/Özet!$C$4,6),0)*Özet!$C$4-Özet!$C$5)</f>
        <v/>
      </c>
      <c r="H423" s="17" t="str">
        <f aca="false">IF(G423="","",G423-D423)</f>
        <v/>
      </c>
      <c r="I423" s="16" t="str">
        <f aca="false">IF(OR(G423="",D423=0),"",(D423-C423)/D423)</f>
        <v/>
      </c>
      <c r="J423" s="16" t="str">
        <f aca="false">IF(OR(G423="",G423=0),"",(G423-C423)/G423)</f>
        <v/>
      </c>
      <c r="K423" s="18" t="str">
        <f aca="false">IF(OR(G423="",D423=0),"",G423/D423-1)</f>
        <v/>
      </c>
    </row>
    <row r="424" customFormat="false" ht="15" hidden="false" customHeight="false" outlineLevel="0" collapsed="false">
      <c r="A424" s="12"/>
      <c r="B424" s="13"/>
      <c r="C424" s="14"/>
      <c r="D424" s="14"/>
      <c r="E424" s="15"/>
      <c r="F424" s="16" t="str">
        <f aca="false">IF(OR(A424="",D424=""),"",IF(E424&lt;&gt;"",E424,IF(IFERROR(INDEX('Kategori Zamları'!$B$5:$B$24,MATCH(B424,'Kategori Zamları'!$A$5:$A$24,0)),"")="",Özet!$C$3,INDEX('Kategori Zamları'!$B$5:$B$24,MATCH(B424,'Kategori Zamları'!$A$5:$A$24,0)))))</f>
        <v/>
      </c>
      <c r="G424" s="17" t="str">
        <f aca="false">IF(F424="","",ROUNDUP(ROUND(D424*(1+F424)/Özet!$C$4,6),0)*Özet!$C$4-Özet!$C$5)</f>
        <v/>
      </c>
      <c r="H424" s="17" t="str">
        <f aca="false">IF(G424="","",G424-D424)</f>
        <v/>
      </c>
      <c r="I424" s="16" t="str">
        <f aca="false">IF(OR(G424="",D424=0),"",(D424-C424)/D424)</f>
        <v/>
      </c>
      <c r="J424" s="16" t="str">
        <f aca="false">IF(OR(G424="",G424=0),"",(G424-C424)/G424)</f>
        <v/>
      </c>
      <c r="K424" s="18" t="str">
        <f aca="false">IF(OR(G424="",D424=0),"",G424/D424-1)</f>
        <v/>
      </c>
    </row>
    <row r="425" customFormat="false" ht="15" hidden="false" customHeight="false" outlineLevel="0" collapsed="false">
      <c r="A425" s="12"/>
      <c r="B425" s="13"/>
      <c r="C425" s="14"/>
      <c r="D425" s="14"/>
      <c r="E425" s="15"/>
      <c r="F425" s="16" t="str">
        <f aca="false">IF(OR(A425="",D425=""),"",IF(E425&lt;&gt;"",E425,IF(IFERROR(INDEX('Kategori Zamları'!$B$5:$B$24,MATCH(B425,'Kategori Zamları'!$A$5:$A$24,0)),"")="",Özet!$C$3,INDEX('Kategori Zamları'!$B$5:$B$24,MATCH(B425,'Kategori Zamları'!$A$5:$A$24,0)))))</f>
        <v/>
      </c>
      <c r="G425" s="17" t="str">
        <f aca="false">IF(F425="","",ROUNDUP(ROUND(D425*(1+F425)/Özet!$C$4,6),0)*Özet!$C$4-Özet!$C$5)</f>
        <v/>
      </c>
      <c r="H425" s="17" t="str">
        <f aca="false">IF(G425="","",G425-D425)</f>
        <v/>
      </c>
      <c r="I425" s="16" t="str">
        <f aca="false">IF(OR(G425="",D425=0),"",(D425-C425)/D425)</f>
        <v/>
      </c>
      <c r="J425" s="16" t="str">
        <f aca="false">IF(OR(G425="",G425=0),"",(G425-C425)/G425)</f>
        <v/>
      </c>
      <c r="K425" s="18" t="str">
        <f aca="false">IF(OR(G425="",D425=0),"",G425/D425-1)</f>
        <v/>
      </c>
    </row>
    <row r="426" customFormat="false" ht="15" hidden="false" customHeight="false" outlineLevel="0" collapsed="false">
      <c r="A426" s="12"/>
      <c r="B426" s="13"/>
      <c r="C426" s="14"/>
      <c r="D426" s="14"/>
      <c r="E426" s="15"/>
      <c r="F426" s="16" t="str">
        <f aca="false">IF(OR(A426="",D426=""),"",IF(E426&lt;&gt;"",E426,IF(IFERROR(INDEX('Kategori Zamları'!$B$5:$B$24,MATCH(B426,'Kategori Zamları'!$A$5:$A$24,0)),"")="",Özet!$C$3,INDEX('Kategori Zamları'!$B$5:$B$24,MATCH(B426,'Kategori Zamları'!$A$5:$A$24,0)))))</f>
        <v/>
      </c>
      <c r="G426" s="17" t="str">
        <f aca="false">IF(F426="","",ROUNDUP(ROUND(D426*(1+F426)/Özet!$C$4,6),0)*Özet!$C$4-Özet!$C$5)</f>
        <v/>
      </c>
      <c r="H426" s="17" t="str">
        <f aca="false">IF(G426="","",G426-D426)</f>
        <v/>
      </c>
      <c r="I426" s="16" t="str">
        <f aca="false">IF(OR(G426="",D426=0),"",(D426-C426)/D426)</f>
        <v/>
      </c>
      <c r="J426" s="16" t="str">
        <f aca="false">IF(OR(G426="",G426=0),"",(G426-C426)/G426)</f>
        <v/>
      </c>
      <c r="K426" s="18" t="str">
        <f aca="false">IF(OR(G426="",D426=0),"",G426/D426-1)</f>
        <v/>
      </c>
    </row>
    <row r="427" customFormat="false" ht="15" hidden="false" customHeight="false" outlineLevel="0" collapsed="false">
      <c r="A427" s="12"/>
      <c r="B427" s="13"/>
      <c r="C427" s="14"/>
      <c r="D427" s="14"/>
      <c r="E427" s="15"/>
      <c r="F427" s="16" t="str">
        <f aca="false">IF(OR(A427="",D427=""),"",IF(E427&lt;&gt;"",E427,IF(IFERROR(INDEX('Kategori Zamları'!$B$5:$B$24,MATCH(B427,'Kategori Zamları'!$A$5:$A$24,0)),"")="",Özet!$C$3,INDEX('Kategori Zamları'!$B$5:$B$24,MATCH(B427,'Kategori Zamları'!$A$5:$A$24,0)))))</f>
        <v/>
      </c>
      <c r="G427" s="17" t="str">
        <f aca="false">IF(F427="","",ROUNDUP(ROUND(D427*(1+F427)/Özet!$C$4,6),0)*Özet!$C$4-Özet!$C$5)</f>
        <v/>
      </c>
      <c r="H427" s="17" t="str">
        <f aca="false">IF(G427="","",G427-D427)</f>
        <v/>
      </c>
      <c r="I427" s="16" t="str">
        <f aca="false">IF(OR(G427="",D427=0),"",(D427-C427)/D427)</f>
        <v/>
      </c>
      <c r="J427" s="16" t="str">
        <f aca="false">IF(OR(G427="",G427=0),"",(G427-C427)/G427)</f>
        <v/>
      </c>
      <c r="K427" s="18" t="str">
        <f aca="false">IF(OR(G427="",D427=0),"",G427/D427-1)</f>
        <v/>
      </c>
    </row>
    <row r="428" customFormat="false" ht="15" hidden="false" customHeight="false" outlineLevel="0" collapsed="false">
      <c r="A428" s="12"/>
      <c r="B428" s="13"/>
      <c r="C428" s="14"/>
      <c r="D428" s="14"/>
      <c r="E428" s="15"/>
      <c r="F428" s="16" t="str">
        <f aca="false">IF(OR(A428="",D428=""),"",IF(E428&lt;&gt;"",E428,IF(IFERROR(INDEX('Kategori Zamları'!$B$5:$B$24,MATCH(B428,'Kategori Zamları'!$A$5:$A$24,0)),"")="",Özet!$C$3,INDEX('Kategori Zamları'!$B$5:$B$24,MATCH(B428,'Kategori Zamları'!$A$5:$A$24,0)))))</f>
        <v/>
      </c>
      <c r="G428" s="17" t="str">
        <f aca="false">IF(F428="","",ROUNDUP(ROUND(D428*(1+F428)/Özet!$C$4,6),0)*Özet!$C$4-Özet!$C$5)</f>
        <v/>
      </c>
      <c r="H428" s="17" t="str">
        <f aca="false">IF(G428="","",G428-D428)</f>
        <v/>
      </c>
      <c r="I428" s="16" t="str">
        <f aca="false">IF(OR(G428="",D428=0),"",(D428-C428)/D428)</f>
        <v/>
      </c>
      <c r="J428" s="16" t="str">
        <f aca="false">IF(OR(G428="",G428=0),"",(G428-C428)/G428)</f>
        <v/>
      </c>
      <c r="K428" s="18" t="str">
        <f aca="false">IF(OR(G428="",D428=0),"",G428/D428-1)</f>
        <v/>
      </c>
    </row>
    <row r="429" customFormat="false" ht="15" hidden="false" customHeight="false" outlineLevel="0" collapsed="false">
      <c r="A429" s="12"/>
      <c r="B429" s="13"/>
      <c r="C429" s="14"/>
      <c r="D429" s="14"/>
      <c r="E429" s="15"/>
      <c r="F429" s="16" t="str">
        <f aca="false">IF(OR(A429="",D429=""),"",IF(E429&lt;&gt;"",E429,IF(IFERROR(INDEX('Kategori Zamları'!$B$5:$B$24,MATCH(B429,'Kategori Zamları'!$A$5:$A$24,0)),"")="",Özet!$C$3,INDEX('Kategori Zamları'!$B$5:$B$24,MATCH(B429,'Kategori Zamları'!$A$5:$A$24,0)))))</f>
        <v/>
      </c>
      <c r="G429" s="17" t="str">
        <f aca="false">IF(F429="","",ROUNDUP(ROUND(D429*(1+F429)/Özet!$C$4,6),0)*Özet!$C$4-Özet!$C$5)</f>
        <v/>
      </c>
      <c r="H429" s="17" t="str">
        <f aca="false">IF(G429="","",G429-D429)</f>
        <v/>
      </c>
      <c r="I429" s="16" t="str">
        <f aca="false">IF(OR(G429="",D429=0),"",(D429-C429)/D429)</f>
        <v/>
      </c>
      <c r="J429" s="16" t="str">
        <f aca="false">IF(OR(G429="",G429=0),"",(G429-C429)/G429)</f>
        <v/>
      </c>
      <c r="K429" s="18" t="str">
        <f aca="false">IF(OR(G429="",D429=0),"",G429/D429-1)</f>
        <v/>
      </c>
    </row>
    <row r="430" customFormat="false" ht="15" hidden="false" customHeight="false" outlineLevel="0" collapsed="false">
      <c r="A430" s="12"/>
      <c r="B430" s="13"/>
      <c r="C430" s="14"/>
      <c r="D430" s="14"/>
      <c r="E430" s="15"/>
      <c r="F430" s="16" t="str">
        <f aca="false">IF(OR(A430="",D430=""),"",IF(E430&lt;&gt;"",E430,IF(IFERROR(INDEX('Kategori Zamları'!$B$5:$B$24,MATCH(B430,'Kategori Zamları'!$A$5:$A$24,0)),"")="",Özet!$C$3,INDEX('Kategori Zamları'!$B$5:$B$24,MATCH(B430,'Kategori Zamları'!$A$5:$A$24,0)))))</f>
        <v/>
      </c>
      <c r="G430" s="17" t="str">
        <f aca="false">IF(F430="","",ROUNDUP(ROUND(D430*(1+F430)/Özet!$C$4,6),0)*Özet!$C$4-Özet!$C$5)</f>
        <v/>
      </c>
      <c r="H430" s="17" t="str">
        <f aca="false">IF(G430="","",G430-D430)</f>
        <v/>
      </c>
      <c r="I430" s="16" t="str">
        <f aca="false">IF(OR(G430="",D430=0),"",(D430-C430)/D430)</f>
        <v/>
      </c>
      <c r="J430" s="16" t="str">
        <f aca="false">IF(OR(G430="",G430=0),"",(G430-C430)/G430)</f>
        <v/>
      </c>
      <c r="K430" s="18" t="str">
        <f aca="false">IF(OR(G430="",D430=0),"",G430/D430-1)</f>
        <v/>
      </c>
    </row>
    <row r="431" customFormat="false" ht="15" hidden="false" customHeight="false" outlineLevel="0" collapsed="false">
      <c r="A431" s="12"/>
      <c r="B431" s="13"/>
      <c r="C431" s="14"/>
      <c r="D431" s="14"/>
      <c r="E431" s="15"/>
      <c r="F431" s="16" t="str">
        <f aca="false">IF(OR(A431="",D431=""),"",IF(E431&lt;&gt;"",E431,IF(IFERROR(INDEX('Kategori Zamları'!$B$5:$B$24,MATCH(B431,'Kategori Zamları'!$A$5:$A$24,0)),"")="",Özet!$C$3,INDEX('Kategori Zamları'!$B$5:$B$24,MATCH(B431,'Kategori Zamları'!$A$5:$A$24,0)))))</f>
        <v/>
      </c>
      <c r="G431" s="17" t="str">
        <f aca="false">IF(F431="","",ROUNDUP(ROUND(D431*(1+F431)/Özet!$C$4,6),0)*Özet!$C$4-Özet!$C$5)</f>
        <v/>
      </c>
      <c r="H431" s="17" t="str">
        <f aca="false">IF(G431="","",G431-D431)</f>
        <v/>
      </c>
      <c r="I431" s="16" t="str">
        <f aca="false">IF(OR(G431="",D431=0),"",(D431-C431)/D431)</f>
        <v/>
      </c>
      <c r="J431" s="16" t="str">
        <f aca="false">IF(OR(G431="",G431=0),"",(G431-C431)/G431)</f>
        <v/>
      </c>
      <c r="K431" s="18" t="str">
        <f aca="false">IF(OR(G431="",D431=0),"",G431/D431-1)</f>
        <v/>
      </c>
    </row>
    <row r="432" customFormat="false" ht="15" hidden="false" customHeight="false" outlineLevel="0" collapsed="false">
      <c r="A432" s="12"/>
      <c r="B432" s="13"/>
      <c r="C432" s="14"/>
      <c r="D432" s="14"/>
      <c r="E432" s="15"/>
      <c r="F432" s="16" t="str">
        <f aca="false">IF(OR(A432="",D432=""),"",IF(E432&lt;&gt;"",E432,IF(IFERROR(INDEX('Kategori Zamları'!$B$5:$B$24,MATCH(B432,'Kategori Zamları'!$A$5:$A$24,0)),"")="",Özet!$C$3,INDEX('Kategori Zamları'!$B$5:$B$24,MATCH(B432,'Kategori Zamları'!$A$5:$A$24,0)))))</f>
        <v/>
      </c>
      <c r="G432" s="17" t="str">
        <f aca="false">IF(F432="","",ROUNDUP(ROUND(D432*(1+F432)/Özet!$C$4,6),0)*Özet!$C$4-Özet!$C$5)</f>
        <v/>
      </c>
      <c r="H432" s="17" t="str">
        <f aca="false">IF(G432="","",G432-D432)</f>
        <v/>
      </c>
      <c r="I432" s="16" t="str">
        <f aca="false">IF(OR(G432="",D432=0),"",(D432-C432)/D432)</f>
        <v/>
      </c>
      <c r="J432" s="16" t="str">
        <f aca="false">IF(OR(G432="",G432=0),"",(G432-C432)/G432)</f>
        <v/>
      </c>
      <c r="K432" s="18" t="str">
        <f aca="false">IF(OR(G432="",D432=0),"",G432/D432-1)</f>
        <v/>
      </c>
    </row>
    <row r="433" customFormat="false" ht="15" hidden="false" customHeight="false" outlineLevel="0" collapsed="false">
      <c r="A433" s="12"/>
      <c r="B433" s="13"/>
      <c r="C433" s="14"/>
      <c r="D433" s="14"/>
      <c r="E433" s="15"/>
      <c r="F433" s="16" t="str">
        <f aca="false">IF(OR(A433="",D433=""),"",IF(E433&lt;&gt;"",E433,IF(IFERROR(INDEX('Kategori Zamları'!$B$5:$B$24,MATCH(B433,'Kategori Zamları'!$A$5:$A$24,0)),"")="",Özet!$C$3,INDEX('Kategori Zamları'!$B$5:$B$24,MATCH(B433,'Kategori Zamları'!$A$5:$A$24,0)))))</f>
        <v/>
      </c>
      <c r="G433" s="17" t="str">
        <f aca="false">IF(F433="","",ROUNDUP(ROUND(D433*(1+F433)/Özet!$C$4,6),0)*Özet!$C$4-Özet!$C$5)</f>
        <v/>
      </c>
      <c r="H433" s="17" t="str">
        <f aca="false">IF(G433="","",G433-D433)</f>
        <v/>
      </c>
      <c r="I433" s="16" t="str">
        <f aca="false">IF(OR(G433="",D433=0),"",(D433-C433)/D433)</f>
        <v/>
      </c>
      <c r="J433" s="16" t="str">
        <f aca="false">IF(OR(G433="",G433=0),"",(G433-C433)/G433)</f>
        <v/>
      </c>
      <c r="K433" s="18" t="str">
        <f aca="false">IF(OR(G433="",D433=0),"",G433/D433-1)</f>
        <v/>
      </c>
    </row>
    <row r="434" customFormat="false" ht="15" hidden="false" customHeight="false" outlineLevel="0" collapsed="false">
      <c r="A434" s="12"/>
      <c r="B434" s="13"/>
      <c r="C434" s="14"/>
      <c r="D434" s="14"/>
      <c r="E434" s="15"/>
      <c r="F434" s="16" t="str">
        <f aca="false">IF(OR(A434="",D434=""),"",IF(E434&lt;&gt;"",E434,IF(IFERROR(INDEX('Kategori Zamları'!$B$5:$B$24,MATCH(B434,'Kategori Zamları'!$A$5:$A$24,0)),"")="",Özet!$C$3,INDEX('Kategori Zamları'!$B$5:$B$24,MATCH(B434,'Kategori Zamları'!$A$5:$A$24,0)))))</f>
        <v/>
      </c>
      <c r="G434" s="17" t="str">
        <f aca="false">IF(F434="","",ROUNDUP(ROUND(D434*(1+F434)/Özet!$C$4,6),0)*Özet!$C$4-Özet!$C$5)</f>
        <v/>
      </c>
      <c r="H434" s="17" t="str">
        <f aca="false">IF(G434="","",G434-D434)</f>
        <v/>
      </c>
      <c r="I434" s="16" t="str">
        <f aca="false">IF(OR(G434="",D434=0),"",(D434-C434)/D434)</f>
        <v/>
      </c>
      <c r="J434" s="16" t="str">
        <f aca="false">IF(OR(G434="",G434=0),"",(G434-C434)/G434)</f>
        <v/>
      </c>
      <c r="K434" s="18" t="str">
        <f aca="false">IF(OR(G434="",D434=0),"",G434/D434-1)</f>
        <v/>
      </c>
    </row>
    <row r="435" customFormat="false" ht="15" hidden="false" customHeight="false" outlineLevel="0" collapsed="false">
      <c r="A435" s="12"/>
      <c r="B435" s="13"/>
      <c r="C435" s="14"/>
      <c r="D435" s="14"/>
      <c r="E435" s="15"/>
      <c r="F435" s="16" t="str">
        <f aca="false">IF(OR(A435="",D435=""),"",IF(E435&lt;&gt;"",E435,IF(IFERROR(INDEX('Kategori Zamları'!$B$5:$B$24,MATCH(B435,'Kategori Zamları'!$A$5:$A$24,0)),"")="",Özet!$C$3,INDEX('Kategori Zamları'!$B$5:$B$24,MATCH(B435,'Kategori Zamları'!$A$5:$A$24,0)))))</f>
        <v/>
      </c>
      <c r="G435" s="17" t="str">
        <f aca="false">IF(F435="","",ROUNDUP(ROUND(D435*(1+F435)/Özet!$C$4,6),0)*Özet!$C$4-Özet!$C$5)</f>
        <v/>
      </c>
      <c r="H435" s="17" t="str">
        <f aca="false">IF(G435="","",G435-D435)</f>
        <v/>
      </c>
      <c r="I435" s="16" t="str">
        <f aca="false">IF(OR(G435="",D435=0),"",(D435-C435)/D435)</f>
        <v/>
      </c>
      <c r="J435" s="16" t="str">
        <f aca="false">IF(OR(G435="",G435=0),"",(G435-C435)/G435)</f>
        <v/>
      </c>
      <c r="K435" s="18" t="str">
        <f aca="false">IF(OR(G435="",D435=0),"",G435/D435-1)</f>
        <v/>
      </c>
    </row>
    <row r="436" customFormat="false" ht="15" hidden="false" customHeight="false" outlineLevel="0" collapsed="false">
      <c r="A436" s="12"/>
      <c r="B436" s="13"/>
      <c r="C436" s="14"/>
      <c r="D436" s="14"/>
      <c r="E436" s="15"/>
      <c r="F436" s="16" t="str">
        <f aca="false">IF(OR(A436="",D436=""),"",IF(E436&lt;&gt;"",E436,IF(IFERROR(INDEX('Kategori Zamları'!$B$5:$B$24,MATCH(B436,'Kategori Zamları'!$A$5:$A$24,0)),"")="",Özet!$C$3,INDEX('Kategori Zamları'!$B$5:$B$24,MATCH(B436,'Kategori Zamları'!$A$5:$A$24,0)))))</f>
        <v/>
      </c>
      <c r="G436" s="17" t="str">
        <f aca="false">IF(F436="","",ROUNDUP(ROUND(D436*(1+F436)/Özet!$C$4,6),0)*Özet!$C$4-Özet!$C$5)</f>
        <v/>
      </c>
      <c r="H436" s="17" t="str">
        <f aca="false">IF(G436="","",G436-D436)</f>
        <v/>
      </c>
      <c r="I436" s="16" t="str">
        <f aca="false">IF(OR(G436="",D436=0),"",(D436-C436)/D436)</f>
        <v/>
      </c>
      <c r="J436" s="16" t="str">
        <f aca="false">IF(OR(G436="",G436=0),"",(G436-C436)/G436)</f>
        <v/>
      </c>
      <c r="K436" s="18" t="str">
        <f aca="false">IF(OR(G436="",D436=0),"",G436/D436-1)</f>
        <v/>
      </c>
    </row>
    <row r="437" customFormat="false" ht="15" hidden="false" customHeight="false" outlineLevel="0" collapsed="false">
      <c r="A437" s="12"/>
      <c r="B437" s="13"/>
      <c r="C437" s="14"/>
      <c r="D437" s="14"/>
      <c r="E437" s="15"/>
      <c r="F437" s="16" t="str">
        <f aca="false">IF(OR(A437="",D437=""),"",IF(E437&lt;&gt;"",E437,IF(IFERROR(INDEX('Kategori Zamları'!$B$5:$B$24,MATCH(B437,'Kategori Zamları'!$A$5:$A$24,0)),"")="",Özet!$C$3,INDEX('Kategori Zamları'!$B$5:$B$24,MATCH(B437,'Kategori Zamları'!$A$5:$A$24,0)))))</f>
        <v/>
      </c>
      <c r="G437" s="17" t="str">
        <f aca="false">IF(F437="","",ROUNDUP(ROUND(D437*(1+F437)/Özet!$C$4,6),0)*Özet!$C$4-Özet!$C$5)</f>
        <v/>
      </c>
      <c r="H437" s="17" t="str">
        <f aca="false">IF(G437="","",G437-D437)</f>
        <v/>
      </c>
      <c r="I437" s="16" t="str">
        <f aca="false">IF(OR(G437="",D437=0),"",(D437-C437)/D437)</f>
        <v/>
      </c>
      <c r="J437" s="16" t="str">
        <f aca="false">IF(OR(G437="",G437=0),"",(G437-C437)/G437)</f>
        <v/>
      </c>
      <c r="K437" s="18" t="str">
        <f aca="false">IF(OR(G437="",D437=0),"",G437/D437-1)</f>
        <v/>
      </c>
    </row>
    <row r="438" customFormat="false" ht="15" hidden="false" customHeight="false" outlineLevel="0" collapsed="false">
      <c r="A438" s="12"/>
      <c r="B438" s="13"/>
      <c r="C438" s="14"/>
      <c r="D438" s="14"/>
      <c r="E438" s="15"/>
      <c r="F438" s="16" t="str">
        <f aca="false">IF(OR(A438="",D438=""),"",IF(E438&lt;&gt;"",E438,IF(IFERROR(INDEX('Kategori Zamları'!$B$5:$B$24,MATCH(B438,'Kategori Zamları'!$A$5:$A$24,0)),"")="",Özet!$C$3,INDEX('Kategori Zamları'!$B$5:$B$24,MATCH(B438,'Kategori Zamları'!$A$5:$A$24,0)))))</f>
        <v/>
      </c>
      <c r="G438" s="17" t="str">
        <f aca="false">IF(F438="","",ROUNDUP(ROUND(D438*(1+F438)/Özet!$C$4,6),0)*Özet!$C$4-Özet!$C$5)</f>
        <v/>
      </c>
      <c r="H438" s="17" t="str">
        <f aca="false">IF(G438="","",G438-D438)</f>
        <v/>
      </c>
      <c r="I438" s="16" t="str">
        <f aca="false">IF(OR(G438="",D438=0),"",(D438-C438)/D438)</f>
        <v/>
      </c>
      <c r="J438" s="16" t="str">
        <f aca="false">IF(OR(G438="",G438=0),"",(G438-C438)/G438)</f>
        <v/>
      </c>
      <c r="K438" s="18" t="str">
        <f aca="false">IF(OR(G438="",D438=0),"",G438/D438-1)</f>
        <v/>
      </c>
    </row>
    <row r="439" customFormat="false" ht="15" hidden="false" customHeight="false" outlineLevel="0" collapsed="false">
      <c r="A439" s="12"/>
      <c r="B439" s="13"/>
      <c r="C439" s="14"/>
      <c r="D439" s="14"/>
      <c r="E439" s="15"/>
      <c r="F439" s="16" t="str">
        <f aca="false">IF(OR(A439="",D439=""),"",IF(E439&lt;&gt;"",E439,IF(IFERROR(INDEX('Kategori Zamları'!$B$5:$B$24,MATCH(B439,'Kategori Zamları'!$A$5:$A$24,0)),"")="",Özet!$C$3,INDEX('Kategori Zamları'!$B$5:$B$24,MATCH(B439,'Kategori Zamları'!$A$5:$A$24,0)))))</f>
        <v/>
      </c>
      <c r="G439" s="17" t="str">
        <f aca="false">IF(F439="","",ROUNDUP(ROUND(D439*(1+F439)/Özet!$C$4,6),0)*Özet!$C$4-Özet!$C$5)</f>
        <v/>
      </c>
      <c r="H439" s="17" t="str">
        <f aca="false">IF(G439="","",G439-D439)</f>
        <v/>
      </c>
      <c r="I439" s="16" t="str">
        <f aca="false">IF(OR(G439="",D439=0),"",(D439-C439)/D439)</f>
        <v/>
      </c>
      <c r="J439" s="16" t="str">
        <f aca="false">IF(OR(G439="",G439=0),"",(G439-C439)/G439)</f>
        <v/>
      </c>
      <c r="K439" s="18" t="str">
        <f aca="false">IF(OR(G439="",D439=0),"",G439/D439-1)</f>
        <v/>
      </c>
    </row>
    <row r="440" customFormat="false" ht="15" hidden="false" customHeight="false" outlineLevel="0" collapsed="false">
      <c r="A440" s="12"/>
      <c r="B440" s="13"/>
      <c r="C440" s="14"/>
      <c r="D440" s="14"/>
      <c r="E440" s="15"/>
      <c r="F440" s="16" t="str">
        <f aca="false">IF(OR(A440="",D440=""),"",IF(E440&lt;&gt;"",E440,IF(IFERROR(INDEX('Kategori Zamları'!$B$5:$B$24,MATCH(B440,'Kategori Zamları'!$A$5:$A$24,0)),"")="",Özet!$C$3,INDEX('Kategori Zamları'!$B$5:$B$24,MATCH(B440,'Kategori Zamları'!$A$5:$A$24,0)))))</f>
        <v/>
      </c>
      <c r="G440" s="17" t="str">
        <f aca="false">IF(F440="","",ROUNDUP(ROUND(D440*(1+F440)/Özet!$C$4,6),0)*Özet!$C$4-Özet!$C$5)</f>
        <v/>
      </c>
      <c r="H440" s="17" t="str">
        <f aca="false">IF(G440="","",G440-D440)</f>
        <v/>
      </c>
      <c r="I440" s="16" t="str">
        <f aca="false">IF(OR(G440="",D440=0),"",(D440-C440)/D440)</f>
        <v/>
      </c>
      <c r="J440" s="16" t="str">
        <f aca="false">IF(OR(G440="",G440=0),"",(G440-C440)/G440)</f>
        <v/>
      </c>
      <c r="K440" s="18" t="str">
        <f aca="false">IF(OR(G440="",D440=0),"",G440/D440-1)</f>
        <v/>
      </c>
    </row>
    <row r="441" customFormat="false" ht="15" hidden="false" customHeight="false" outlineLevel="0" collapsed="false">
      <c r="A441" s="12"/>
      <c r="B441" s="13"/>
      <c r="C441" s="14"/>
      <c r="D441" s="14"/>
      <c r="E441" s="15"/>
      <c r="F441" s="16" t="str">
        <f aca="false">IF(OR(A441="",D441=""),"",IF(E441&lt;&gt;"",E441,IF(IFERROR(INDEX('Kategori Zamları'!$B$5:$B$24,MATCH(B441,'Kategori Zamları'!$A$5:$A$24,0)),"")="",Özet!$C$3,INDEX('Kategori Zamları'!$B$5:$B$24,MATCH(B441,'Kategori Zamları'!$A$5:$A$24,0)))))</f>
        <v/>
      </c>
      <c r="G441" s="17" t="str">
        <f aca="false">IF(F441="","",ROUNDUP(ROUND(D441*(1+F441)/Özet!$C$4,6),0)*Özet!$C$4-Özet!$C$5)</f>
        <v/>
      </c>
      <c r="H441" s="17" t="str">
        <f aca="false">IF(G441="","",G441-D441)</f>
        <v/>
      </c>
      <c r="I441" s="16" t="str">
        <f aca="false">IF(OR(G441="",D441=0),"",(D441-C441)/D441)</f>
        <v/>
      </c>
      <c r="J441" s="16" t="str">
        <f aca="false">IF(OR(G441="",G441=0),"",(G441-C441)/G441)</f>
        <v/>
      </c>
      <c r="K441" s="18" t="str">
        <f aca="false">IF(OR(G441="",D441=0),"",G441/D441-1)</f>
        <v/>
      </c>
    </row>
    <row r="442" customFormat="false" ht="15" hidden="false" customHeight="false" outlineLevel="0" collapsed="false">
      <c r="A442" s="12"/>
      <c r="B442" s="13"/>
      <c r="C442" s="14"/>
      <c r="D442" s="14"/>
      <c r="E442" s="15"/>
      <c r="F442" s="16" t="str">
        <f aca="false">IF(OR(A442="",D442=""),"",IF(E442&lt;&gt;"",E442,IF(IFERROR(INDEX('Kategori Zamları'!$B$5:$B$24,MATCH(B442,'Kategori Zamları'!$A$5:$A$24,0)),"")="",Özet!$C$3,INDEX('Kategori Zamları'!$B$5:$B$24,MATCH(B442,'Kategori Zamları'!$A$5:$A$24,0)))))</f>
        <v/>
      </c>
      <c r="G442" s="17" t="str">
        <f aca="false">IF(F442="","",ROUNDUP(ROUND(D442*(1+F442)/Özet!$C$4,6),0)*Özet!$C$4-Özet!$C$5)</f>
        <v/>
      </c>
      <c r="H442" s="17" t="str">
        <f aca="false">IF(G442="","",G442-D442)</f>
        <v/>
      </c>
      <c r="I442" s="16" t="str">
        <f aca="false">IF(OR(G442="",D442=0),"",(D442-C442)/D442)</f>
        <v/>
      </c>
      <c r="J442" s="16" t="str">
        <f aca="false">IF(OR(G442="",G442=0),"",(G442-C442)/G442)</f>
        <v/>
      </c>
      <c r="K442" s="18" t="str">
        <f aca="false">IF(OR(G442="",D442=0),"",G442/D442-1)</f>
        <v/>
      </c>
    </row>
    <row r="443" customFormat="false" ht="15" hidden="false" customHeight="false" outlineLevel="0" collapsed="false">
      <c r="A443" s="12"/>
      <c r="B443" s="13"/>
      <c r="C443" s="14"/>
      <c r="D443" s="14"/>
      <c r="E443" s="15"/>
      <c r="F443" s="16" t="str">
        <f aca="false">IF(OR(A443="",D443=""),"",IF(E443&lt;&gt;"",E443,IF(IFERROR(INDEX('Kategori Zamları'!$B$5:$B$24,MATCH(B443,'Kategori Zamları'!$A$5:$A$24,0)),"")="",Özet!$C$3,INDEX('Kategori Zamları'!$B$5:$B$24,MATCH(B443,'Kategori Zamları'!$A$5:$A$24,0)))))</f>
        <v/>
      </c>
      <c r="G443" s="17" t="str">
        <f aca="false">IF(F443="","",ROUNDUP(ROUND(D443*(1+F443)/Özet!$C$4,6),0)*Özet!$C$4-Özet!$C$5)</f>
        <v/>
      </c>
      <c r="H443" s="17" t="str">
        <f aca="false">IF(G443="","",G443-D443)</f>
        <v/>
      </c>
      <c r="I443" s="16" t="str">
        <f aca="false">IF(OR(G443="",D443=0),"",(D443-C443)/D443)</f>
        <v/>
      </c>
      <c r="J443" s="16" t="str">
        <f aca="false">IF(OR(G443="",G443=0),"",(G443-C443)/G443)</f>
        <v/>
      </c>
      <c r="K443" s="18" t="str">
        <f aca="false">IF(OR(G443="",D443=0),"",G443/D443-1)</f>
        <v/>
      </c>
    </row>
    <row r="444" customFormat="false" ht="15" hidden="false" customHeight="false" outlineLevel="0" collapsed="false">
      <c r="A444" s="12"/>
      <c r="B444" s="13"/>
      <c r="C444" s="14"/>
      <c r="D444" s="14"/>
      <c r="E444" s="15"/>
      <c r="F444" s="16" t="str">
        <f aca="false">IF(OR(A444="",D444=""),"",IF(E444&lt;&gt;"",E444,IF(IFERROR(INDEX('Kategori Zamları'!$B$5:$B$24,MATCH(B444,'Kategori Zamları'!$A$5:$A$24,0)),"")="",Özet!$C$3,INDEX('Kategori Zamları'!$B$5:$B$24,MATCH(B444,'Kategori Zamları'!$A$5:$A$24,0)))))</f>
        <v/>
      </c>
      <c r="G444" s="17" t="str">
        <f aca="false">IF(F444="","",ROUNDUP(ROUND(D444*(1+F444)/Özet!$C$4,6),0)*Özet!$C$4-Özet!$C$5)</f>
        <v/>
      </c>
      <c r="H444" s="17" t="str">
        <f aca="false">IF(G444="","",G444-D444)</f>
        <v/>
      </c>
      <c r="I444" s="16" t="str">
        <f aca="false">IF(OR(G444="",D444=0),"",(D444-C444)/D444)</f>
        <v/>
      </c>
      <c r="J444" s="16" t="str">
        <f aca="false">IF(OR(G444="",G444=0),"",(G444-C444)/G444)</f>
        <v/>
      </c>
      <c r="K444" s="18" t="str">
        <f aca="false">IF(OR(G444="",D444=0),"",G444/D444-1)</f>
        <v/>
      </c>
    </row>
    <row r="445" customFormat="false" ht="15" hidden="false" customHeight="false" outlineLevel="0" collapsed="false">
      <c r="A445" s="12"/>
      <c r="B445" s="13"/>
      <c r="C445" s="14"/>
      <c r="D445" s="14"/>
      <c r="E445" s="15"/>
      <c r="F445" s="16" t="str">
        <f aca="false">IF(OR(A445="",D445=""),"",IF(E445&lt;&gt;"",E445,IF(IFERROR(INDEX('Kategori Zamları'!$B$5:$B$24,MATCH(B445,'Kategori Zamları'!$A$5:$A$24,0)),"")="",Özet!$C$3,INDEX('Kategori Zamları'!$B$5:$B$24,MATCH(B445,'Kategori Zamları'!$A$5:$A$24,0)))))</f>
        <v/>
      </c>
      <c r="G445" s="17" t="str">
        <f aca="false">IF(F445="","",ROUNDUP(ROUND(D445*(1+F445)/Özet!$C$4,6),0)*Özet!$C$4-Özet!$C$5)</f>
        <v/>
      </c>
      <c r="H445" s="17" t="str">
        <f aca="false">IF(G445="","",G445-D445)</f>
        <v/>
      </c>
      <c r="I445" s="16" t="str">
        <f aca="false">IF(OR(G445="",D445=0),"",(D445-C445)/D445)</f>
        <v/>
      </c>
      <c r="J445" s="16" t="str">
        <f aca="false">IF(OR(G445="",G445=0),"",(G445-C445)/G445)</f>
        <v/>
      </c>
      <c r="K445" s="18" t="str">
        <f aca="false">IF(OR(G445="",D445=0),"",G445/D445-1)</f>
        <v/>
      </c>
    </row>
    <row r="446" customFormat="false" ht="15" hidden="false" customHeight="false" outlineLevel="0" collapsed="false">
      <c r="A446" s="12"/>
      <c r="B446" s="13"/>
      <c r="C446" s="14"/>
      <c r="D446" s="14"/>
      <c r="E446" s="15"/>
      <c r="F446" s="16" t="str">
        <f aca="false">IF(OR(A446="",D446=""),"",IF(E446&lt;&gt;"",E446,IF(IFERROR(INDEX('Kategori Zamları'!$B$5:$B$24,MATCH(B446,'Kategori Zamları'!$A$5:$A$24,0)),"")="",Özet!$C$3,INDEX('Kategori Zamları'!$B$5:$B$24,MATCH(B446,'Kategori Zamları'!$A$5:$A$24,0)))))</f>
        <v/>
      </c>
      <c r="G446" s="17" t="str">
        <f aca="false">IF(F446="","",ROUNDUP(ROUND(D446*(1+F446)/Özet!$C$4,6),0)*Özet!$C$4-Özet!$C$5)</f>
        <v/>
      </c>
      <c r="H446" s="17" t="str">
        <f aca="false">IF(G446="","",G446-D446)</f>
        <v/>
      </c>
      <c r="I446" s="16" t="str">
        <f aca="false">IF(OR(G446="",D446=0),"",(D446-C446)/D446)</f>
        <v/>
      </c>
      <c r="J446" s="16" t="str">
        <f aca="false">IF(OR(G446="",G446=0),"",(G446-C446)/G446)</f>
        <v/>
      </c>
      <c r="K446" s="18" t="str">
        <f aca="false">IF(OR(G446="",D446=0),"",G446/D446-1)</f>
        <v/>
      </c>
    </row>
    <row r="447" customFormat="false" ht="15" hidden="false" customHeight="false" outlineLevel="0" collapsed="false">
      <c r="A447" s="12"/>
      <c r="B447" s="13"/>
      <c r="C447" s="14"/>
      <c r="D447" s="14"/>
      <c r="E447" s="15"/>
      <c r="F447" s="16" t="str">
        <f aca="false">IF(OR(A447="",D447=""),"",IF(E447&lt;&gt;"",E447,IF(IFERROR(INDEX('Kategori Zamları'!$B$5:$B$24,MATCH(B447,'Kategori Zamları'!$A$5:$A$24,0)),"")="",Özet!$C$3,INDEX('Kategori Zamları'!$B$5:$B$24,MATCH(B447,'Kategori Zamları'!$A$5:$A$24,0)))))</f>
        <v/>
      </c>
      <c r="G447" s="17" t="str">
        <f aca="false">IF(F447="","",ROUNDUP(ROUND(D447*(1+F447)/Özet!$C$4,6),0)*Özet!$C$4-Özet!$C$5)</f>
        <v/>
      </c>
      <c r="H447" s="17" t="str">
        <f aca="false">IF(G447="","",G447-D447)</f>
        <v/>
      </c>
      <c r="I447" s="16" t="str">
        <f aca="false">IF(OR(G447="",D447=0),"",(D447-C447)/D447)</f>
        <v/>
      </c>
      <c r="J447" s="16" t="str">
        <f aca="false">IF(OR(G447="",G447=0),"",(G447-C447)/G447)</f>
        <v/>
      </c>
      <c r="K447" s="18" t="str">
        <f aca="false">IF(OR(G447="",D447=0),"",G447/D447-1)</f>
        <v/>
      </c>
    </row>
    <row r="448" customFormat="false" ht="15" hidden="false" customHeight="false" outlineLevel="0" collapsed="false">
      <c r="A448" s="12"/>
      <c r="B448" s="13"/>
      <c r="C448" s="14"/>
      <c r="D448" s="14"/>
      <c r="E448" s="15"/>
      <c r="F448" s="16" t="str">
        <f aca="false">IF(OR(A448="",D448=""),"",IF(E448&lt;&gt;"",E448,IF(IFERROR(INDEX('Kategori Zamları'!$B$5:$B$24,MATCH(B448,'Kategori Zamları'!$A$5:$A$24,0)),"")="",Özet!$C$3,INDEX('Kategori Zamları'!$B$5:$B$24,MATCH(B448,'Kategori Zamları'!$A$5:$A$24,0)))))</f>
        <v/>
      </c>
      <c r="G448" s="17" t="str">
        <f aca="false">IF(F448="","",ROUNDUP(ROUND(D448*(1+F448)/Özet!$C$4,6),0)*Özet!$C$4-Özet!$C$5)</f>
        <v/>
      </c>
      <c r="H448" s="17" t="str">
        <f aca="false">IF(G448="","",G448-D448)</f>
        <v/>
      </c>
      <c r="I448" s="16" t="str">
        <f aca="false">IF(OR(G448="",D448=0),"",(D448-C448)/D448)</f>
        <v/>
      </c>
      <c r="J448" s="16" t="str">
        <f aca="false">IF(OR(G448="",G448=0),"",(G448-C448)/G448)</f>
        <v/>
      </c>
      <c r="K448" s="18" t="str">
        <f aca="false">IF(OR(G448="",D448=0),"",G448/D448-1)</f>
        <v/>
      </c>
    </row>
    <row r="449" customFormat="false" ht="15" hidden="false" customHeight="false" outlineLevel="0" collapsed="false">
      <c r="A449" s="12"/>
      <c r="B449" s="13"/>
      <c r="C449" s="14"/>
      <c r="D449" s="14"/>
      <c r="E449" s="15"/>
      <c r="F449" s="16" t="str">
        <f aca="false">IF(OR(A449="",D449=""),"",IF(E449&lt;&gt;"",E449,IF(IFERROR(INDEX('Kategori Zamları'!$B$5:$B$24,MATCH(B449,'Kategori Zamları'!$A$5:$A$24,0)),"")="",Özet!$C$3,INDEX('Kategori Zamları'!$B$5:$B$24,MATCH(B449,'Kategori Zamları'!$A$5:$A$24,0)))))</f>
        <v/>
      </c>
      <c r="G449" s="17" t="str">
        <f aca="false">IF(F449="","",ROUNDUP(ROUND(D449*(1+F449)/Özet!$C$4,6),0)*Özet!$C$4-Özet!$C$5)</f>
        <v/>
      </c>
      <c r="H449" s="17" t="str">
        <f aca="false">IF(G449="","",G449-D449)</f>
        <v/>
      </c>
      <c r="I449" s="16" t="str">
        <f aca="false">IF(OR(G449="",D449=0),"",(D449-C449)/D449)</f>
        <v/>
      </c>
      <c r="J449" s="16" t="str">
        <f aca="false">IF(OR(G449="",G449=0),"",(G449-C449)/G449)</f>
        <v/>
      </c>
      <c r="K449" s="18" t="str">
        <f aca="false">IF(OR(G449="",D449=0),"",G449/D449-1)</f>
        <v/>
      </c>
    </row>
    <row r="450" customFormat="false" ht="15" hidden="false" customHeight="false" outlineLevel="0" collapsed="false">
      <c r="A450" s="12"/>
      <c r="B450" s="13"/>
      <c r="C450" s="14"/>
      <c r="D450" s="14"/>
      <c r="E450" s="15"/>
      <c r="F450" s="16" t="str">
        <f aca="false">IF(OR(A450="",D450=""),"",IF(E450&lt;&gt;"",E450,IF(IFERROR(INDEX('Kategori Zamları'!$B$5:$B$24,MATCH(B450,'Kategori Zamları'!$A$5:$A$24,0)),"")="",Özet!$C$3,INDEX('Kategori Zamları'!$B$5:$B$24,MATCH(B450,'Kategori Zamları'!$A$5:$A$24,0)))))</f>
        <v/>
      </c>
      <c r="G450" s="17" t="str">
        <f aca="false">IF(F450="","",ROUNDUP(ROUND(D450*(1+F450)/Özet!$C$4,6),0)*Özet!$C$4-Özet!$C$5)</f>
        <v/>
      </c>
      <c r="H450" s="17" t="str">
        <f aca="false">IF(G450="","",G450-D450)</f>
        <v/>
      </c>
      <c r="I450" s="16" t="str">
        <f aca="false">IF(OR(G450="",D450=0),"",(D450-C450)/D450)</f>
        <v/>
      </c>
      <c r="J450" s="16" t="str">
        <f aca="false">IF(OR(G450="",G450=0),"",(G450-C450)/G450)</f>
        <v/>
      </c>
      <c r="K450" s="18" t="str">
        <f aca="false">IF(OR(G450="",D450=0),"",G450/D450-1)</f>
        <v/>
      </c>
    </row>
    <row r="451" customFormat="false" ht="15" hidden="false" customHeight="false" outlineLevel="0" collapsed="false">
      <c r="A451" s="12"/>
      <c r="B451" s="13"/>
      <c r="C451" s="14"/>
      <c r="D451" s="14"/>
      <c r="E451" s="15"/>
      <c r="F451" s="16" t="str">
        <f aca="false">IF(OR(A451="",D451=""),"",IF(E451&lt;&gt;"",E451,IF(IFERROR(INDEX('Kategori Zamları'!$B$5:$B$24,MATCH(B451,'Kategori Zamları'!$A$5:$A$24,0)),"")="",Özet!$C$3,INDEX('Kategori Zamları'!$B$5:$B$24,MATCH(B451,'Kategori Zamları'!$A$5:$A$24,0)))))</f>
        <v/>
      </c>
      <c r="G451" s="17" t="str">
        <f aca="false">IF(F451="","",ROUNDUP(ROUND(D451*(1+F451)/Özet!$C$4,6),0)*Özet!$C$4-Özet!$C$5)</f>
        <v/>
      </c>
      <c r="H451" s="17" t="str">
        <f aca="false">IF(G451="","",G451-D451)</f>
        <v/>
      </c>
      <c r="I451" s="16" t="str">
        <f aca="false">IF(OR(G451="",D451=0),"",(D451-C451)/D451)</f>
        <v/>
      </c>
      <c r="J451" s="16" t="str">
        <f aca="false">IF(OR(G451="",G451=0),"",(G451-C451)/G451)</f>
        <v/>
      </c>
      <c r="K451" s="18" t="str">
        <f aca="false">IF(OR(G451="",D451=0),"",G451/D451-1)</f>
        <v/>
      </c>
    </row>
    <row r="452" customFormat="false" ht="15" hidden="false" customHeight="false" outlineLevel="0" collapsed="false">
      <c r="A452" s="12"/>
      <c r="B452" s="13"/>
      <c r="C452" s="14"/>
      <c r="D452" s="14"/>
      <c r="E452" s="15"/>
      <c r="F452" s="16" t="str">
        <f aca="false">IF(OR(A452="",D452=""),"",IF(E452&lt;&gt;"",E452,IF(IFERROR(INDEX('Kategori Zamları'!$B$5:$B$24,MATCH(B452,'Kategori Zamları'!$A$5:$A$24,0)),"")="",Özet!$C$3,INDEX('Kategori Zamları'!$B$5:$B$24,MATCH(B452,'Kategori Zamları'!$A$5:$A$24,0)))))</f>
        <v/>
      </c>
      <c r="G452" s="17" t="str">
        <f aca="false">IF(F452="","",ROUNDUP(ROUND(D452*(1+F452)/Özet!$C$4,6),0)*Özet!$C$4-Özet!$C$5)</f>
        <v/>
      </c>
      <c r="H452" s="17" t="str">
        <f aca="false">IF(G452="","",G452-D452)</f>
        <v/>
      </c>
      <c r="I452" s="16" t="str">
        <f aca="false">IF(OR(G452="",D452=0),"",(D452-C452)/D452)</f>
        <v/>
      </c>
      <c r="J452" s="16" t="str">
        <f aca="false">IF(OR(G452="",G452=0),"",(G452-C452)/G452)</f>
        <v/>
      </c>
      <c r="K452" s="18" t="str">
        <f aca="false">IF(OR(G452="",D452=0),"",G452/D452-1)</f>
        <v/>
      </c>
    </row>
    <row r="453" customFormat="false" ht="15" hidden="false" customHeight="false" outlineLevel="0" collapsed="false">
      <c r="A453" s="12"/>
      <c r="B453" s="13"/>
      <c r="C453" s="14"/>
      <c r="D453" s="14"/>
      <c r="E453" s="15"/>
      <c r="F453" s="16" t="str">
        <f aca="false">IF(OR(A453="",D453=""),"",IF(E453&lt;&gt;"",E453,IF(IFERROR(INDEX('Kategori Zamları'!$B$5:$B$24,MATCH(B453,'Kategori Zamları'!$A$5:$A$24,0)),"")="",Özet!$C$3,INDEX('Kategori Zamları'!$B$5:$B$24,MATCH(B453,'Kategori Zamları'!$A$5:$A$24,0)))))</f>
        <v/>
      </c>
      <c r="G453" s="17" t="str">
        <f aca="false">IF(F453="","",ROUNDUP(ROUND(D453*(1+F453)/Özet!$C$4,6),0)*Özet!$C$4-Özet!$C$5)</f>
        <v/>
      </c>
      <c r="H453" s="17" t="str">
        <f aca="false">IF(G453="","",G453-D453)</f>
        <v/>
      </c>
      <c r="I453" s="16" t="str">
        <f aca="false">IF(OR(G453="",D453=0),"",(D453-C453)/D453)</f>
        <v/>
      </c>
      <c r="J453" s="16" t="str">
        <f aca="false">IF(OR(G453="",G453=0),"",(G453-C453)/G453)</f>
        <v/>
      </c>
      <c r="K453" s="18" t="str">
        <f aca="false">IF(OR(G453="",D453=0),"",G453/D453-1)</f>
        <v/>
      </c>
    </row>
    <row r="454" customFormat="false" ht="15" hidden="false" customHeight="false" outlineLevel="0" collapsed="false">
      <c r="A454" s="12"/>
      <c r="B454" s="13"/>
      <c r="C454" s="14"/>
      <c r="D454" s="14"/>
      <c r="E454" s="15"/>
      <c r="F454" s="16" t="str">
        <f aca="false">IF(OR(A454="",D454=""),"",IF(E454&lt;&gt;"",E454,IF(IFERROR(INDEX('Kategori Zamları'!$B$5:$B$24,MATCH(B454,'Kategori Zamları'!$A$5:$A$24,0)),"")="",Özet!$C$3,INDEX('Kategori Zamları'!$B$5:$B$24,MATCH(B454,'Kategori Zamları'!$A$5:$A$24,0)))))</f>
        <v/>
      </c>
      <c r="G454" s="17" t="str">
        <f aca="false">IF(F454="","",ROUNDUP(ROUND(D454*(1+F454)/Özet!$C$4,6),0)*Özet!$C$4-Özet!$C$5)</f>
        <v/>
      </c>
      <c r="H454" s="17" t="str">
        <f aca="false">IF(G454="","",G454-D454)</f>
        <v/>
      </c>
      <c r="I454" s="16" t="str">
        <f aca="false">IF(OR(G454="",D454=0),"",(D454-C454)/D454)</f>
        <v/>
      </c>
      <c r="J454" s="16" t="str">
        <f aca="false">IF(OR(G454="",G454=0),"",(G454-C454)/G454)</f>
        <v/>
      </c>
      <c r="K454" s="18" t="str">
        <f aca="false">IF(OR(G454="",D454=0),"",G454/D454-1)</f>
        <v/>
      </c>
    </row>
    <row r="455" customFormat="false" ht="15" hidden="false" customHeight="false" outlineLevel="0" collapsed="false">
      <c r="A455" s="12"/>
      <c r="B455" s="13"/>
      <c r="C455" s="14"/>
      <c r="D455" s="14"/>
      <c r="E455" s="15"/>
      <c r="F455" s="16" t="str">
        <f aca="false">IF(OR(A455="",D455=""),"",IF(E455&lt;&gt;"",E455,IF(IFERROR(INDEX('Kategori Zamları'!$B$5:$B$24,MATCH(B455,'Kategori Zamları'!$A$5:$A$24,0)),"")="",Özet!$C$3,INDEX('Kategori Zamları'!$B$5:$B$24,MATCH(B455,'Kategori Zamları'!$A$5:$A$24,0)))))</f>
        <v/>
      </c>
      <c r="G455" s="17" t="str">
        <f aca="false">IF(F455="","",ROUNDUP(ROUND(D455*(1+F455)/Özet!$C$4,6),0)*Özet!$C$4-Özet!$C$5)</f>
        <v/>
      </c>
      <c r="H455" s="17" t="str">
        <f aca="false">IF(G455="","",G455-D455)</f>
        <v/>
      </c>
      <c r="I455" s="16" t="str">
        <f aca="false">IF(OR(G455="",D455=0),"",(D455-C455)/D455)</f>
        <v/>
      </c>
      <c r="J455" s="16" t="str">
        <f aca="false">IF(OR(G455="",G455=0),"",(G455-C455)/G455)</f>
        <v/>
      </c>
      <c r="K455" s="18" t="str">
        <f aca="false">IF(OR(G455="",D455=0),"",G455/D455-1)</f>
        <v/>
      </c>
    </row>
    <row r="456" customFormat="false" ht="15" hidden="false" customHeight="false" outlineLevel="0" collapsed="false">
      <c r="A456" s="12"/>
      <c r="B456" s="13"/>
      <c r="C456" s="14"/>
      <c r="D456" s="14"/>
      <c r="E456" s="15"/>
      <c r="F456" s="16" t="str">
        <f aca="false">IF(OR(A456="",D456=""),"",IF(E456&lt;&gt;"",E456,IF(IFERROR(INDEX('Kategori Zamları'!$B$5:$B$24,MATCH(B456,'Kategori Zamları'!$A$5:$A$24,0)),"")="",Özet!$C$3,INDEX('Kategori Zamları'!$B$5:$B$24,MATCH(B456,'Kategori Zamları'!$A$5:$A$24,0)))))</f>
        <v/>
      </c>
      <c r="G456" s="17" t="str">
        <f aca="false">IF(F456="","",ROUNDUP(ROUND(D456*(1+F456)/Özet!$C$4,6),0)*Özet!$C$4-Özet!$C$5)</f>
        <v/>
      </c>
      <c r="H456" s="17" t="str">
        <f aca="false">IF(G456="","",G456-D456)</f>
        <v/>
      </c>
      <c r="I456" s="16" t="str">
        <f aca="false">IF(OR(G456="",D456=0),"",(D456-C456)/D456)</f>
        <v/>
      </c>
      <c r="J456" s="16" t="str">
        <f aca="false">IF(OR(G456="",G456=0),"",(G456-C456)/G456)</f>
        <v/>
      </c>
      <c r="K456" s="18" t="str">
        <f aca="false">IF(OR(G456="",D456=0),"",G456/D456-1)</f>
        <v/>
      </c>
    </row>
    <row r="457" customFormat="false" ht="15" hidden="false" customHeight="false" outlineLevel="0" collapsed="false">
      <c r="A457" s="12"/>
      <c r="B457" s="13"/>
      <c r="C457" s="14"/>
      <c r="D457" s="14"/>
      <c r="E457" s="15"/>
      <c r="F457" s="16" t="str">
        <f aca="false">IF(OR(A457="",D457=""),"",IF(E457&lt;&gt;"",E457,IF(IFERROR(INDEX('Kategori Zamları'!$B$5:$B$24,MATCH(B457,'Kategori Zamları'!$A$5:$A$24,0)),"")="",Özet!$C$3,INDEX('Kategori Zamları'!$B$5:$B$24,MATCH(B457,'Kategori Zamları'!$A$5:$A$24,0)))))</f>
        <v/>
      </c>
      <c r="G457" s="17" t="str">
        <f aca="false">IF(F457="","",ROUNDUP(ROUND(D457*(1+F457)/Özet!$C$4,6),0)*Özet!$C$4-Özet!$C$5)</f>
        <v/>
      </c>
      <c r="H457" s="17" t="str">
        <f aca="false">IF(G457="","",G457-D457)</f>
        <v/>
      </c>
      <c r="I457" s="16" t="str">
        <f aca="false">IF(OR(G457="",D457=0),"",(D457-C457)/D457)</f>
        <v/>
      </c>
      <c r="J457" s="16" t="str">
        <f aca="false">IF(OR(G457="",G457=0),"",(G457-C457)/G457)</f>
        <v/>
      </c>
      <c r="K457" s="18" t="str">
        <f aca="false">IF(OR(G457="",D457=0),"",G457/D457-1)</f>
        <v/>
      </c>
    </row>
    <row r="458" customFormat="false" ht="15" hidden="false" customHeight="false" outlineLevel="0" collapsed="false">
      <c r="A458" s="12"/>
      <c r="B458" s="13"/>
      <c r="C458" s="14"/>
      <c r="D458" s="14"/>
      <c r="E458" s="15"/>
      <c r="F458" s="16" t="str">
        <f aca="false">IF(OR(A458="",D458=""),"",IF(E458&lt;&gt;"",E458,IF(IFERROR(INDEX('Kategori Zamları'!$B$5:$B$24,MATCH(B458,'Kategori Zamları'!$A$5:$A$24,0)),"")="",Özet!$C$3,INDEX('Kategori Zamları'!$B$5:$B$24,MATCH(B458,'Kategori Zamları'!$A$5:$A$24,0)))))</f>
        <v/>
      </c>
      <c r="G458" s="17" t="str">
        <f aca="false">IF(F458="","",ROUNDUP(ROUND(D458*(1+F458)/Özet!$C$4,6),0)*Özet!$C$4-Özet!$C$5)</f>
        <v/>
      </c>
      <c r="H458" s="17" t="str">
        <f aca="false">IF(G458="","",G458-D458)</f>
        <v/>
      </c>
      <c r="I458" s="16" t="str">
        <f aca="false">IF(OR(G458="",D458=0),"",(D458-C458)/D458)</f>
        <v/>
      </c>
      <c r="J458" s="16" t="str">
        <f aca="false">IF(OR(G458="",G458=0),"",(G458-C458)/G458)</f>
        <v/>
      </c>
      <c r="K458" s="18" t="str">
        <f aca="false">IF(OR(G458="",D458=0),"",G458/D458-1)</f>
        <v/>
      </c>
    </row>
    <row r="459" customFormat="false" ht="15" hidden="false" customHeight="false" outlineLevel="0" collapsed="false">
      <c r="A459" s="12"/>
      <c r="B459" s="13"/>
      <c r="C459" s="14"/>
      <c r="D459" s="14"/>
      <c r="E459" s="15"/>
      <c r="F459" s="16" t="str">
        <f aca="false">IF(OR(A459="",D459=""),"",IF(E459&lt;&gt;"",E459,IF(IFERROR(INDEX('Kategori Zamları'!$B$5:$B$24,MATCH(B459,'Kategori Zamları'!$A$5:$A$24,0)),"")="",Özet!$C$3,INDEX('Kategori Zamları'!$B$5:$B$24,MATCH(B459,'Kategori Zamları'!$A$5:$A$24,0)))))</f>
        <v/>
      </c>
      <c r="G459" s="17" t="str">
        <f aca="false">IF(F459="","",ROUNDUP(ROUND(D459*(1+F459)/Özet!$C$4,6),0)*Özet!$C$4-Özet!$C$5)</f>
        <v/>
      </c>
      <c r="H459" s="17" t="str">
        <f aca="false">IF(G459="","",G459-D459)</f>
        <v/>
      </c>
      <c r="I459" s="16" t="str">
        <f aca="false">IF(OR(G459="",D459=0),"",(D459-C459)/D459)</f>
        <v/>
      </c>
      <c r="J459" s="16" t="str">
        <f aca="false">IF(OR(G459="",G459=0),"",(G459-C459)/G459)</f>
        <v/>
      </c>
      <c r="K459" s="18" t="str">
        <f aca="false">IF(OR(G459="",D459=0),"",G459/D459-1)</f>
        <v/>
      </c>
    </row>
    <row r="460" customFormat="false" ht="15" hidden="false" customHeight="false" outlineLevel="0" collapsed="false">
      <c r="A460" s="12"/>
      <c r="B460" s="13"/>
      <c r="C460" s="14"/>
      <c r="D460" s="14"/>
      <c r="E460" s="15"/>
      <c r="F460" s="16" t="str">
        <f aca="false">IF(OR(A460="",D460=""),"",IF(E460&lt;&gt;"",E460,IF(IFERROR(INDEX('Kategori Zamları'!$B$5:$B$24,MATCH(B460,'Kategori Zamları'!$A$5:$A$24,0)),"")="",Özet!$C$3,INDEX('Kategori Zamları'!$B$5:$B$24,MATCH(B460,'Kategori Zamları'!$A$5:$A$24,0)))))</f>
        <v/>
      </c>
      <c r="G460" s="17" t="str">
        <f aca="false">IF(F460="","",ROUNDUP(ROUND(D460*(1+F460)/Özet!$C$4,6),0)*Özet!$C$4-Özet!$C$5)</f>
        <v/>
      </c>
      <c r="H460" s="17" t="str">
        <f aca="false">IF(G460="","",G460-D460)</f>
        <v/>
      </c>
      <c r="I460" s="16" t="str">
        <f aca="false">IF(OR(G460="",D460=0),"",(D460-C460)/D460)</f>
        <v/>
      </c>
      <c r="J460" s="16" t="str">
        <f aca="false">IF(OR(G460="",G460=0),"",(G460-C460)/G460)</f>
        <v/>
      </c>
      <c r="K460" s="18" t="str">
        <f aca="false">IF(OR(G460="",D460=0),"",G460/D460-1)</f>
        <v/>
      </c>
    </row>
    <row r="461" customFormat="false" ht="15" hidden="false" customHeight="false" outlineLevel="0" collapsed="false">
      <c r="A461" s="12"/>
      <c r="B461" s="13"/>
      <c r="C461" s="14"/>
      <c r="D461" s="14"/>
      <c r="E461" s="15"/>
      <c r="F461" s="16" t="str">
        <f aca="false">IF(OR(A461="",D461=""),"",IF(E461&lt;&gt;"",E461,IF(IFERROR(INDEX('Kategori Zamları'!$B$5:$B$24,MATCH(B461,'Kategori Zamları'!$A$5:$A$24,0)),"")="",Özet!$C$3,INDEX('Kategori Zamları'!$B$5:$B$24,MATCH(B461,'Kategori Zamları'!$A$5:$A$24,0)))))</f>
        <v/>
      </c>
      <c r="G461" s="17" t="str">
        <f aca="false">IF(F461="","",ROUNDUP(ROUND(D461*(1+F461)/Özet!$C$4,6),0)*Özet!$C$4-Özet!$C$5)</f>
        <v/>
      </c>
      <c r="H461" s="17" t="str">
        <f aca="false">IF(G461="","",G461-D461)</f>
        <v/>
      </c>
      <c r="I461" s="16" t="str">
        <f aca="false">IF(OR(G461="",D461=0),"",(D461-C461)/D461)</f>
        <v/>
      </c>
      <c r="J461" s="16" t="str">
        <f aca="false">IF(OR(G461="",G461=0),"",(G461-C461)/G461)</f>
        <v/>
      </c>
      <c r="K461" s="18" t="str">
        <f aca="false">IF(OR(G461="",D461=0),"",G461/D461-1)</f>
        <v/>
      </c>
    </row>
    <row r="462" customFormat="false" ht="15" hidden="false" customHeight="false" outlineLevel="0" collapsed="false">
      <c r="A462" s="12"/>
      <c r="B462" s="13"/>
      <c r="C462" s="14"/>
      <c r="D462" s="14"/>
      <c r="E462" s="15"/>
      <c r="F462" s="16" t="str">
        <f aca="false">IF(OR(A462="",D462=""),"",IF(E462&lt;&gt;"",E462,IF(IFERROR(INDEX('Kategori Zamları'!$B$5:$B$24,MATCH(B462,'Kategori Zamları'!$A$5:$A$24,0)),"")="",Özet!$C$3,INDEX('Kategori Zamları'!$B$5:$B$24,MATCH(B462,'Kategori Zamları'!$A$5:$A$24,0)))))</f>
        <v/>
      </c>
      <c r="G462" s="17" t="str">
        <f aca="false">IF(F462="","",ROUNDUP(ROUND(D462*(1+F462)/Özet!$C$4,6),0)*Özet!$C$4-Özet!$C$5)</f>
        <v/>
      </c>
      <c r="H462" s="17" t="str">
        <f aca="false">IF(G462="","",G462-D462)</f>
        <v/>
      </c>
      <c r="I462" s="16" t="str">
        <f aca="false">IF(OR(G462="",D462=0),"",(D462-C462)/D462)</f>
        <v/>
      </c>
      <c r="J462" s="16" t="str">
        <f aca="false">IF(OR(G462="",G462=0),"",(G462-C462)/G462)</f>
        <v/>
      </c>
      <c r="K462" s="18" t="str">
        <f aca="false">IF(OR(G462="",D462=0),"",G462/D462-1)</f>
        <v/>
      </c>
    </row>
    <row r="463" customFormat="false" ht="15" hidden="false" customHeight="false" outlineLevel="0" collapsed="false">
      <c r="A463" s="12"/>
      <c r="B463" s="13"/>
      <c r="C463" s="14"/>
      <c r="D463" s="14"/>
      <c r="E463" s="15"/>
      <c r="F463" s="16" t="str">
        <f aca="false">IF(OR(A463="",D463=""),"",IF(E463&lt;&gt;"",E463,IF(IFERROR(INDEX('Kategori Zamları'!$B$5:$B$24,MATCH(B463,'Kategori Zamları'!$A$5:$A$24,0)),"")="",Özet!$C$3,INDEX('Kategori Zamları'!$B$5:$B$24,MATCH(B463,'Kategori Zamları'!$A$5:$A$24,0)))))</f>
        <v/>
      </c>
      <c r="G463" s="17" t="str">
        <f aca="false">IF(F463="","",ROUNDUP(ROUND(D463*(1+F463)/Özet!$C$4,6),0)*Özet!$C$4-Özet!$C$5)</f>
        <v/>
      </c>
      <c r="H463" s="17" t="str">
        <f aca="false">IF(G463="","",G463-D463)</f>
        <v/>
      </c>
      <c r="I463" s="16" t="str">
        <f aca="false">IF(OR(G463="",D463=0),"",(D463-C463)/D463)</f>
        <v/>
      </c>
      <c r="J463" s="16" t="str">
        <f aca="false">IF(OR(G463="",G463=0),"",(G463-C463)/G463)</f>
        <v/>
      </c>
      <c r="K463" s="18" t="str">
        <f aca="false">IF(OR(G463="",D463=0),"",G463/D463-1)</f>
        <v/>
      </c>
    </row>
    <row r="464" customFormat="false" ht="15" hidden="false" customHeight="false" outlineLevel="0" collapsed="false">
      <c r="A464" s="12"/>
      <c r="B464" s="13"/>
      <c r="C464" s="14"/>
      <c r="D464" s="14"/>
      <c r="E464" s="15"/>
      <c r="F464" s="16" t="str">
        <f aca="false">IF(OR(A464="",D464=""),"",IF(E464&lt;&gt;"",E464,IF(IFERROR(INDEX('Kategori Zamları'!$B$5:$B$24,MATCH(B464,'Kategori Zamları'!$A$5:$A$24,0)),"")="",Özet!$C$3,INDEX('Kategori Zamları'!$B$5:$B$24,MATCH(B464,'Kategori Zamları'!$A$5:$A$24,0)))))</f>
        <v/>
      </c>
      <c r="G464" s="17" t="str">
        <f aca="false">IF(F464="","",ROUNDUP(ROUND(D464*(1+F464)/Özet!$C$4,6),0)*Özet!$C$4-Özet!$C$5)</f>
        <v/>
      </c>
      <c r="H464" s="17" t="str">
        <f aca="false">IF(G464="","",G464-D464)</f>
        <v/>
      </c>
      <c r="I464" s="16" t="str">
        <f aca="false">IF(OR(G464="",D464=0),"",(D464-C464)/D464)</f>
        <v/>
      </c>
      <c r="J464" s="16" t="str">
        <f aca="false">IF(OR(G464="",G464=0),"",(G464-C464)/G464)</f>
        <v/>
      </c>
      <c r="K464" s="18" t="str">
        <f aca="false">IF(OR(G464="",D464=0),"",G464/D464-1)</f>
        <v/>
      </c>
    </row>
    <row r="465" customFormat="false" ht="15" hidden="false" customHeight="false" outlineLevel="0" collapsed="false">
      <c r="A465" s="12"/>
      <c r="B465" s="13"/>
      <c r="C465" s="14"/>
      <c r="D465" s="14"/>
      <c r="E465" s="15"/>
      <c r="F465" s="16" t="str">
        <f aca="false">IF(OR(A465="",D465=""),"",IF(E465&lt;&gt;"",E465,IF(IFERROR(INDEX('Kategori Zamları'!$B$5:$B$24,MATCH(B465,'Kategori Zamları'!$A$5:$A$24,0)),"")="",Özet!$C$3,INDEX('Kategori Zamları'!$B$5:$B$24,MATCH(B465,'Kategori Zamları'!$A$5:$A$24,0)))))</f>
        <v/>
      </c>
      <c r="G465" s="17" t="str">
        <f aca="false">IF(F465="","",ROUNDUP(ROUND(D465*(1+F465)/Özet!$C$4,6),0)*Özet!$C$4-Özet!$C$5)</f>
        <v/>
      </c>
      <c r="H465" s="17" t="str">
        <f aca="false">IF(G465="","",G465-D465)</f>
        <v/>
      </c>
      <c r="I465" s="16" t="str">
        <f aca="false">IF(OR(G465="",D465=0),"",(D465-C465)/D465)</f>
        <v/>
      </c>
      <c r="J465" s="16" t="str">
        <f aca="false">IF(OR(G465="",G465=0),"",(G465-C465)/G465)</f>
        <v/>
      </c>
      <c r="K465" s="18" t="str">
        <f aca="false">IF(OR(G465="",D465=0),"",G465/D465-1)</f>
        <v/>
      </c>
    </row>
    <row r="466" customFormat="false" ht="15" hidden="false" customHeight="false" outlineLevel="0" collapsed="false">
      <c r="A466" s="12"/>
      <c r="B466" s="13"/>
      <c r="C466" s="14"/>
      <c r="D466" s="14"/>
      <c r="E466" s="15"/>
      <c r="F466" s="16" t="str">
        <f aca="false">IF(OR(A466="",D466=""),"",IF(E466&lt;&gt;"",E466,IF(IFERROR(INDEX('Kategori Zamları'!$B$5:$B$24,MATCH(B466,'Kategori Zamları'!$A$5:$A$24,0)),"")="",Özet!$C$3,INDEX('Kategori Zamları'!$B$5:$B$24,MATCH(B466,'Kategori Zamları'!$A$5:$A$24,0)))))</f>
        <v/>
      </c>
      <c r="G466" s="17" t="str">
        <f aca="false">IF(F466="","",ROUNDUP(ROUND(D466*(1+F466)/Özet!$C$4,6),0)*Özet!$C$4-Özet!$C$5)</f>
        <v/>
      </c>
      <c r="H466" s="17" t="str">
        <f aca="false">IF(G466="","",G466-D466)</f>
        <v/>
      </c>
      <c r="I466" s="16" t="str">
        <f aca="false">IF(OR(G466="",D466=0),"",(D466-C466)/D466)</f>
        <v/>
      </c>
      <c r="J466" s="16" t="str">
        <f aca="false">IF(OR(G466="",G466=0),"",(G466-C466)/G466)</f>
        <v/>
      </c>
      <c r="K466" s="18" t="str">
        <f aca="false">IF(OR(G466="",D466=0),"",G466/D466-1)</f>
        <v/>
      </c>
    </row>
    <row r="467" customFormat="false" ht="15" hidden="false" customHeight="false" outlineLevel="0" collapsed="false">
      <c r="A467" s="12"/>
      <c r="B467" s="13"/>
      <c r="C467" s="14"/>
      <c r="D467" s="14"/>
      <c r="E467" s="15"/>
      <c r="F467" s="16" t="str">
        <f aca="false">IF(OR(A467="",D467=""),"",IF(E467&lt;&gt;"",E467,IF(IFERROR(INDEX('Kategori Zamları'!$B$5:$B$24,MATCH(B467,'Kategori Zamları'!$A$5:$A$24,0)),"")="",Özet!$C$3,INDEX('Kategori Zamları'!$B$5:$B$24,MATCH(B467,'Kategori Zamları'!$A$5:$A$24,0)))))</f>
        <v/>
      </c>
      <c r="G467" s="17" t="str">
        <f aca="false">IF(F467="","",ROUNDUP(ROUND(D467*(1+F467)/Özet!$C$4,6),0)*Özet!$C$4-Özet!$C$5)</f>
        <v/>
      </c>
      <c r="H467" s="17" t="str">
        <f aca="false">IF(G467="","",G467-D467)</f>
        <v/>
      </c>
      <c r="I467" s="16" t="str">
        <f aca="false">IF(OR(G467="",D467=0),"",(D467-C467)/D467)</f>
        <v/>
      </c>
      <c r="J467" s="16" t="str">
        <f aca="false">IF(OR(G467="",G467=0),"",(G467-C467)/G467)</f>
        <v/>
      </c>
      <c r="K467" s="18" t="str">
        <f aca="false">IF(OR(G467="",D467=0),"",G467/D467-1)</f>
        <v/>
      </c>
    </row>
    <row r="468" customFormat="false" ht="15" hidden="false" customHeight="false" outlineLevel="0" collapsed="false">
      <c r="A468" s="12"/>
      <c r="B468" s="13"/>
      <c r="C468" s="14"/>
      <c r="D468" s="14"/>
      <c r="E468" s="15"/>
      <c r="F468" s="16" t="str">
        <f aca="false">IF(OR(A468="",D468=""),"",IF(E468&lt;&gt;"",E468,IF(IFERROR(INDEX('Kategori Zamları'!$B$5:$B$24,MATCH(B468,'Kategori Zamları'!$A$5:$A$24,0)),"")="",Özet!$C$3,INDEX('Kategori Zamları'!$B$5:$B$24,MATCH(B468,'Kategori Zamları'!$A$5:$A$24,0)))))</f>
        <v/>
      </c>
      <c r="G468" s="17" t="str">
        <f aca="false">IF(F468="","",ROUNDUP(ROUND(D468*(1+F468)/Özet!$C$4,6),0)*Özet!$C$4-Özet!$C$5)</f>
        <v/>
      </c>
      <c r="H468" s="17" t="str">
        <f aca="false">IF(G468="","",G468-D468)</f>
        <v/>
      </c>
      <c r="I468" s="16" t="str">
        <f aca="false">IF(OR(G468="",D468=0),"",(D468-C468)/D468)</f>
        <v/>
      </c>
      <c r="J468" s="16" t="str">
        <f aca="false">IF(OR(G468="",G468=0),"",(G468-C468)/G468)</f>
        <v/>
      </c>
      <c r="K468" s="18" t="str">
        <f aca="false">IF(OR(G468="",D468=0),"",G468/D468-1)</f>
        <v/>
      </c>
    </row>
    <row r="469" customFormat="false" ht="15" hidden="false" customHeight="false" outlineLevel="0" collapsed="false">
      <c r="A469" s="12"/>
      <c r="B469" s="13"/>
      <c r="C469" s="14"/>
      <c r="D469" s="14"/>
      <c r="E469" s="15"/>
      <c r="F469" s="16" t="str">
        <f aca="false">IF(OR(A469="",D469=""),"",IF(E469&lt;&gt;"",E469,IF(IFERROR(INDEX('Kategori Zamları'!$B$5:$B$24,MATCH(B469,'Kategori Zamları'!$A$5:$A$24,0)),"")="",Özet!$C$3,INDEX('Kategori Zamları'!$B$5:$B$24,MATCH(B469,'Kategori Zamları'!$A$5:$A$24,0)))))</f>
        <v/>
      </c>
      <c r="G469" s="17" t="str">
        <f aca="false">IF(F469="","",ROUNDUP(ROUND(D469*(1+F469)/Özet!$C$4,6),0)*Özet!$C$4-Özet!$C$5)</f>
        <v/>
      </c>
      <c r="H469" s="17" t="str">
        <f aca="false">IF(G469="","",G469-D469)</f>
        <v/>
      </c>
      <c r="I469" s="16" t="str">
        <f aca="false">IF(OR(G469="",D469=0),"",(D469-C469)/D469)</f>
        <v/>
      </c>
      <c r="J469" s="16" t="str">
        <f aca="false">IF(OR(G469="",G469=0),"",(G469-C469)/G469)</f>
        <v/>
      </c>
      <c r="K469" s="18" t="str">
        <f aca="false">IF(OR(G469="",D469=0),"",G469/D469-1)</f>
        <v/>
      </c>
    </row>
    <row r="470" customFormat="false" ht="15" hidden="false" customHeight="false" outlineLevel="0" collapsed="false">
      <c r="A470" s="12"/>
      <c r="B470" s="13"/>
      <c r="C470" s="14"/>
      <c r="D470" s="14"/>
      <c r="E470" s="15"/>
      <c r="F470" s="16" t="str">
        <f aca="false">IF(OR(A470="",D470=""),"",IF(E470&lt;&gt;"",E470,IF(IFERROR(INDEX('Kategori Zamları'!$B$5:$B$24,MATCH(B470,'Kategori Zamları'!$A$5:$A$24,0)),"")="",Özet!$C$3,INDEX('Kategori Zamları'!$B$5:$B$24,MATCH(B470,'Kategori Zamları'!$A$5:$A$24,0)))))</f>
        <v/>
      </c>
      <c r="G470" s="17" t="str">
        <f aca="false">IF(F470="","",ROUNDUP(ROUND(D470*(1+F470)/Özet!$C$4,6),0)*Özet!$C$4-Özet!$C$5)</f>
        <v/>
      </c>
      <c r="H470" s="17" t="str">
        <f aca="false">IF(G470="","",G470-D470)</f>
        <v/>
      </c>
      <c r="I470" s="16" t="str">
        <f aca="false">IF(OR(G470="",D470=0),"",(D470-C470)/D470)</f>
        <v/>
      </c>
      <c r="J470" s="16" t="str">
        <f aca="false">IF(OR(G470="",G470=0),"",(G470-C470)/G470)</f>
        <v/>
      </c>
      <c r="K470" s="18" t="str">
        <f aca="false">IF(OR(G470="",D470=0),"",G470/D470-1)</f>
        <v/>
      </c>
    </row>
    <row r="471" customFormat="false" ht="15" hidden="false" customHeight="false" outlineLevel="0" collapsed="false">
      <c r="A471" s="12"/>
      <c r="B471" s="13"/>
      <c r="C471" s="14"/>
      <c r="D471" s="14"/>
      <c r="E471" s="15"/>
      <c r="F471" s="16" t="str">
        <f aca="false">IF(OR(A471="",D471=""),"",IF(E471&lt;&gt;"",E471,IF(IFERROR(INDEX('Kategori Zamları'!$B$5:$B$24,MATCH(B471,'Kategori Zamları'!$A$5:$A$24,0)),"")="",Özet!$C$3,INDEX('Kategori Zamları'!$B$5:$B$24,MATCH(B471,'Kategori Zamları'!$A$5:$A$24,0)))))</f>
        <v/>
      </c>
      <c r="G471" s="17" t="str">
        <f aca="false">IF(F471="","",ROUNDUP(ROUND(D471*(1+F471)/Özet!$C$4,6),0)*Özet!$C$4-Özet!$C$5)</f>
        <v/>
      </c>
      <c r="H471" s="17" t="str">
        <f aca="false">IF(G471="","",G471-D471)</f>
        <v/>
      </c>
      <c r="I471" s="16" t="str">
        <f aca="false">IF(OR(G471="",D471=0),"",(D471-C471)/D471)</f>
        <v/>
      </c>
      <c r="J471" s="16" t="str">
        <f aca="false">IF(OR(G471="",G471=0),"",(G471-C471)/G471)</f>
        <v/>
      </c>
      <c r="K471" s="18" t="str">
        <f aca="false">IF(OR(G471="",D471=0),"",G471/D471-1)</f>
        <v/>
      </c>
    </row>
    <row r="472" customFormat="false" ht="15" hidden="false" customHeight="false" outlineLevel="0" collapsed="false">
      <c r="A472" s="12"/>
      <c r="B472" s="13"/>
      <c r="C472" s="14"/>
      <c r="D472" s="14"/>
      <c r="E472" s="15"/>
      <c r="F472" s="16" t="str">
        <f aca="false">IF(OR(A472="",D472=""),"",IF(E472&lt;&gt;"",E472,IF(IFERROR(INDEX('Kategori Zamları'!$B$5:$B$24,MATCH(B472,'Kategori Zamları'!$A$5:$A$24,0)),"")="",Özet!$C$3,INDEX('Kategori Zamları'!$B$5:$B$24,MATCH(B472,'Kategori Zamları'!$A$5:$A$24,0)))))</f>
        <v/>
      </c>
      <c r="G472" s="17" t="str">
        <f aca="false">IF(F472="","",ROUNDUP(ROUND(D472*(1+F472)/Özet!$C$4,6),0)*Özet!$C$4-Özet!$C$5)</f>
        <v/>
      </c>
      <c r="H472" s="17" t="str">
        <f aca="false">IF(G472="","",G472-D472)</f>
        <v/>
      </c>
      <c r="I472" s="16" t="str">
        <f aca="false">IF(OR(G472="",D472=0),"",(D472-C472)/D472)</f>
        <v/>
      </c>
      <c r="J472" s="16" t="str">
        <f aca="false">IF(OR(G472="",G472=0),"",(G472-C472)/G472)</f>
        <v/>
      </c>
      <c r="K472" s="18" t="str">
        <f aca="false">IF(OR(G472="",D472=0),"",G472/D472-1)</f>
        <v/>
      </c>
    </row>
    <row r="473" customFormat="false" ht="15" hidden="false" customHeight="false" outlineLevel="0" collapsed="false">
      <c r="A473" s="12"/>
      <c r="B473" s="13"/>
      <c r="C473" s="14"/>
      <c r="D473" s="14"/>
      <c r="E473" s="15"/>
      <c r="F473" s="16" t="str">
        <f aca="false">IF(OR(A473="",D473=""),"",IF(E473&lt;&gt;"",E473,IF(IFERROR(INDEX('Kategori Zamları'!$B$5:$B$24,MATCH(B473,'Kategori Zamları'!$A$5:$A$24,0)),"")="",Özet!$C$3,INDEX('Kategori Zamları'!$B$5:$B$24,MATCH(B473,'Kategori Zamları'!$A$5:$A$24,0)))))</f>
        <v/>
      </c>
      <c r="G473" s="17" t="str">
        <f aca="false">IF(F473="","",ROUNDUP(ROUND(D473*(1+F473)/Özet!$C$4,6),0)*Özet!$C$4-Özet!$C$5)</f>
        <v/>
      </c>
      <c r="H473" s="17" t="str">
        <f aca="false">IF(G473="","",G473-D473)</f>
        <v/>
      </c>
      <c r="I473" s="16" t="str">
        <f aca="false">IF(OR(G473="",D473=0),"",(D473-C473)/D473)</f>
        <v/>
      </c>
      <c r="J473" s="16" t="str">
        <f aca="false">IF(OR(G473="",G473=0),"",(G473-C473)/G473)</f>
        <v/>
      </c>
      <c r="K473" s="18" t="str">
        <f aca="false">IF(OR(G473="",D473=0),"",G473/D473-1)</f>
        <v/>
      </c>
    </row>
    <row r="474" customFormat="false" ht="15" hidden="false" customHeight="false" outlineLevel="0" collapsed="false">
      <c r="A474" s="12"/>
      <c r="B474" s="13"/>
      <c r="C474" s="14"/>
      <c r="D474" s="14"/>
      <c r="E474" s="15"/>
      <c r="F474" s="16" t="str">
        <f aca="false">IF(OR(A474="",D474=""),"",IF(E474&lt;&gt;"",E474,IF(IFERROR(INDEX('Kategori Zamları'!$B$5:$B$24,MATCH(B474,'Kategori Zamları'!$A$5:$A$24,0)),"")="",Özet!$C$3,INDEX('Kategori Zamları'!$B$5:$B$24,MATCH(B474,'Kategori Zamları'!$A$5:$A$24,0)))))</f>
        <v/>
      </c>
      <c r="G474" s="17" t="str">
        <f aca="false">IF(F474="","",ROUNDUP(ROUND(D474*(1+F474)/Özet!$C$4,6),0)*Özet!$C$4-Özet!$C$5)</f>
        <v/>
      </c>
      <c r="H474" s="17" t="str">
        <f aca="false">IF(G474="","",G474-D474)</f>
        <v/>
      </c>
      <c r="I474" s="16" t="str">
        <f aca="false">IF(OR(G474="",D474=0),"",(D474-C474)/D474)</f>
        <v/>
      </c>
      <c r="J474" s="16" t="str">
        <f aca="false">IF(OR(G474="",G474=0),"",(G474-C474)/G474)</f>
        <v/>
      </c>
      <c r="K474" s="18" t="str">
        <f aca="false">IF(OR(G474="",D474=0),"",G474/D474-1)</f>
        <v/>
      </c>
    </row>
    <row r="475" customFormat="false" ht="15" hidden="false" customHeight="false" outlineLevel="0" collapsed="false">
      <c r="A475" s="12"/>
      <c r="B475" s="13"/>
      <c r="C475" s="14"/>
      <c r="D475" s="14"/>
      <c r="E475" s="15"/>
      <c r="F475" s="16" t="str">
        <f aca="false">IF(OR(A475="",D475=""),"",IF(E475&lt;&gt;"",E475,IF(IFERROR(INDEX('Kategori Zamları'!$B$5:$B$24,MATCH(B475,'Kategori Zamları'!$A$5:$A$24,0)),"")="",Özet!$C$3,INDEX('Kategori Zamları'!$B$5:$B$24,MATCH(B475,'Kategori Zamları'!$A$5:$A$24,0)))))</f>
        <v/>
      </c>
      <c r="G475" s="17" t="str">
        <f aca="false">IF(F475="","",ROUNDUP(ROUND(D475*(1+F475)/Özet!$C$4,6),0)*Özet!$C$4-Özet!$C$5)</f>
        <v/>
      </c>
      <c r="H475" s="17" t="str">
        <f aca="false">IF(G475="","",G475-D475)</f>
        <v/>
      </c>
      <c r="I475" s="16" t="str">
        <f aca="false">IF(OR(G475="",D475=0),"",(D475-C475)/D475)</f>
        <v/>
      </c>
      <c r="J475" s="16" t="str">
        <f aca="false">IF(OR(G475="",G475=0),"",(G475-C475)/G475)</f>
        <v/>
      </c>
      <c r="K475" s="18" t="str">
        <f aca="false">IF(OR(G475="",D475=0),"",G475/D475-1)</f>
        <v/>
      </c>
    </row>
    <row r="476" customFormat="false" ht="15" hidden="false" customHeight="false" outlineLevel="0" collapsed="false">
      <c r="A476" s="12"/>
      <c r="B476" s="13"/>
      <c r="C476" s="14"/>
      <c r="D476" s="14"/>
      <c r="E476" s="15"/>
      <c r="F476" s="16" t="str">
        <f aca="false">IF(OR(A476="",D476=""),"",IF(E476&lt;&gt;"",E476,IF(IFERROR(INDEX('Kategori Zamları'!$B$5:$B$24,MATCH(B476,'Kategori Zamları'!$A$5:$A$24,0)),"")="",Özet!$C$3,INDEX('Kategori Zamları'!$B$5:$B$24,MATCH(B476,'Kategori Zamları'!$A$5:$A$24,0)))))</f>
        <v/>
      </c>
      <c r="G476" s="17" t="str">
        <f aca="false">IF(F476="","",ROUNDUP(ROUND(D476*(1+F476)/Özet!$C$4,6),0)*Özet!$C$4-Özet!$C$5)</f>
        <v/>
      </c>
      <c r="H476" s="17" t="str">
        <f aca="false">IF(G476="","",G476-D476)</f>
        <v/>
      </c>
      <c r="I476" s="16" t="str">
        <f aca="false">IF(OR(G476="",D476=0),"",(D476-C476)/D476)</f>
        <v/>
      </c>
      <c r="J476" s="16" t="str">
        <f aca="false">IF(OR(G476="",G476=0),"",(G476-C476)/G476)</f>
        <v/>
      </c>
      <c r="K476" s="18" t="str">
        <f aca="false">IF(OR(G476="",D476=0),"",G476/D476-1)</f>
        <v/>
      </c>
    </row>
    <row r="477" customFormat="false" ht="15" hidden="false" customHeight="false" outlineLevel="0" collapsed="false">
      <c r="A477" s="12"/>
      <c r="B477" s="13"/>
      <c r="C477" s="14"/>
      <c r="D477" s="14"/>
      <c r="E477" s="15"/>
      <c r="F477" s="16" t="str">
        <f aca="false">IF(OR(A477="",D477=""),"",IF(E477&lt;&gt;"",E477,IF(IFERROR(INDEX('Kategori Zamları'!$B$5:$B$24,MATCH(B477,'Kategori Zamları'!$A$5:$A$24,0)),"")="",Özet!$C$3,INDEX('Kategori Zamları'!$B$5:$B$24,MATCH(B477,'Kategori Zamları'!$A$5:$A$24,0)))))</f>
        <v/>
      </c>
      <c r="G477" s="17" t="str">
        <f aca="false">IF(F477="","",ROUNDUP(ROUND(D477*(1+F477)/Özet!$C$4,6),0)*Özet!$C$4-Özet!$C$5)</f>
        <v/>
      </c>
      <c r="H477" s="17" t="str">
        <f aca="false">IF(G477="","",G477-D477)</f>
        <v/>
      </c>
      <c r="I477" s="16" t="str">
        <f aca="false">IF(OR(G477="",D477=0),"",(D477-C477)/D477)</f>
        <v/>
      </c>
      <c r="J477" s="16" t="str">
        <f aca="false">IF(OR(G477="",G477=0),"",(G477-C477)/G477)</f>
        <v/>
      </c>
      <c r="K477" s="18" t="str">
        <f aca="false">IF(OR(G477="",D477=0),"",G477/D477-1)</f>
        <v/>
      </c>
    </row>
    <row r="478" customFormat="false" ht="15" hidden="false" customHeight="false" outlineLevel="0" collapsed="false">
      <c r="A478" s="12"/>
      <c r="B478" s="13"/>
      <c r="C478" s="14"/>
      <c r="D478" s="14"/>
      <c r="E478" s="15"/>
      <c r="F478" s="16" t="str">
        <f aca="false">IF(OR(A478="",D478=""),"",IF(E478&lt;&gt;"",E478,IF(IFERROR(INDEX('Kategori Zamları'!$B$5:$B$24,MATCH(B478,'Kategori Zamları'!$A$5:$A$24,0)),"")="",Özet!$C$3,INDEX('Kategori Zamları'!$B$5:$B$24,MATCH(B478,'Kategori Zamları'!$A$5:$A$24,0)))))</f>
        <v/>
      </c>
      <c r="G478" s="17" t="str">
        <f aca="false">IF(F478="","",ROUNDUP(ROUND(D478*(1+F478)/Özet!$C$4,6),0)*Özet!$C$4-Özet!$C$5)</f>
        <v/>
      </c>
      <c r="H478" s="17" t="str">
        <f aca="false">IF(G478="","",G478-D478)</f>
        <v/>
      </c>
      <c r="I478" s="16" t="str">
        <f aca="false">IF(OR(G478="",D478=0),"",(D478-C478)/D478)</f>
        <v/>
      </c>
      <c r="J478" s="16" t="str">
        <f aca="false">IF(OR(G478="",G478=0),"",(G478-C478)/G478)</f>
        <v/>
      </c>
      <c r="K478" s="18" t="str">
        <f aca="false">IF(OR(G478="",D478=0),"",G478/D478-1)</f>
        <v/>
      </c>
    </row>
    <row r="479" customFormat="false" ht="15" hidden="false" customHeight="false" outlineLevel="0" collapsed="false">
      <c r="A479" s="12"/>
      <c r="B479" s="13"/>
      <c r="C479" s="14"/>
      <c r="D479" s="14"/>
      <c r="E479" s="15"/>
      <c r="F479" s="16" t="str">
        <f aca="false">IF(OR(A479="",D479=""),"",IF(E479&lt;&gt;"",E479,IF(IFERROR(INDEX('Kategori Zamları'!$B$5:$B$24,MATCH(B479,'Kategori Zamları'!$A$5:$A$24,0)),"")="",Özet!$C$3,INDEX('Kategori Zamları'!$B$5:$B$24,MATCH(B479,'Kategori Zamları'!$A$5:$A$24,0)))))</f>
        <v/>
      </c>
      <c r="G479" s="17" t="str">
        <f aca="false">IF(F479="","",ROUNDUP(ROUND(D479*(1+F479)/Özet!$C$4,6),0)*Özet!$C$4-Özet!$C$5)</f>
        <v/>
      </c>
      <c r="H479" s="17" t="str">
        <f aca="false">IF(G479="","",G479-D479)</f>
        <v/>
      </c>
      <c r="I479" s="16" t="str">
        <f aca="false">IF(OR(G479="",D479=0),"",(D479-C479)/D479)</f>
        <v/>
      </c>
      <c r="J479" s="16" t="str">
        <f aca="false">IF(OR(G479="",G479=0),"",(G479-C479)/G479)</f>
        <v/>
      </c>
      <c r="K479" s="18" t="str">
        <f aca="false">IF(OR(G479="",D479=0),"",G479/D479-1)</f>
        <v/>
      </c>
    </row>
    <row r="480" customFormat="false" ht="15" hidden="false" customHeight="false" outlineLevel="0" collapsed="false">
      <c r="A480" s="12"/>
      <c r="B480" s="13"/>
      <c r="C480" s="14"/>
      <c r="D480" s="14"/>
      <c r="E480" s="15"/>
      <c r="F480" s="16" t="str">
        <f aca="false">IF(OR(A480="",D480=""),"",IF(E480&lt;&gt;"",E480,IF(IFERROR(INDEX('Kategori Zamları'!$B$5:$B$24,MATCH(B480,'Kategori Zamları'!$A$5:$A$24,0)),"")="",Özet!$C$3,INDEX('Kategori Zamları'!$B$5:$B$24,MATCH(B480,'Kategori Zamları'!$A$5:$A$24,0)))))</f>
        <v/>
      </c>
      <c r="G480" s="17" t="str">
        <f aca="false">IF(F480="","",ROUNDUP(ROUND(D480*(1+F480)/Özet!$C$4,6),0)*Özet!$C$4-Özet!$C$5)</f>
        <v/>
      </c>
      <c r="H480" s="17" t="str">
        <f aca="false">IF(G480="","",G480-D480)</f>
        <v/>
      </c>
      <c r="I480" s="16" t="str">
        <f aca="false">IF(OR(G480="",D480=0),"",(D480-C480)/D480)</f>
        <v/>
      </c>
      <c r="J480" s="16" t="str">
        <f aca="false">IF(OR(G480="",G480=0),"",(G480-C480)/G480)</f>
        <v/>
      </c>
      <c r="K480" s="18" t="str">
        <f aca="false">IF(OR(G480="",D480=0),"",G480/D480-1)</f>
        <v/>
      </c>
    </row>
    <row r="481" customFormat="false" ht="15" hidden="false" customHeight="false" outlineLevel="0" collapsed="false">
      <c r="A481" s="12"/>
      <c r="B481" s="13"/>
      <c r="C481" s="14"/>
      <c r="D481" s="14"/>
      <c r="E481" s="15"/>
      <c r="F481" s="16" t="str">
        <f aca="false">IF(OR(A481="",D481=""),"",IF(E481&lt;&gt;"",E481,IF(IFERROR(INDEX('Kategori Zamları'!$B$5:$B$24,MATCH(B481,'Kategori Zamları'!$A$5:$A$24,0)),"")="",Özet!$C$3,INDEX('Kategori Zamları'!$B$5:$B$24,MATCH(B481,'Kategori Zamları'!$A$5:$A$24,0)))))</f>
        <v/>
      </c>
      <c r="G481" s="17" t="str">
        <f aca="false">IF(F481="","",ROUNDUP(ROUND(D481*(1+F481)/Özet!$C$4,6),0)*Özet!$C$4-Özet!$C$5)</f>
        <v/>
      </c>
      <c r="H481" s="17" t="str">
        <f aca="false">IF(G481="","",G481-D481)</f>
        <v/>
      </c>
      <c r="I481" s="16" t="str">
        <f aca="false">IF(OR(G481="",D481=0),"",(D481-C481)/D481)</f>
        <v/>
      </c>
      <c r="J481" s="16" t="str">
        <f aca="false">IF(OR(G481="",G481=0),"",(G481-C481)/G481)</f>
        <v/>
      </c>
      <c r="K481" s="18" t="str">
        <f aca="false">IF(OR(G481="",D481=0),"",G481/D481-1)</f>
        <v/>
      </c>
    </row>
    <row r="482" customFormat="false" ht="15" hidden="false" customHeight="false" outlineLevel="0" collapsed="false">
      <c r="A482" s="12"/>
      <c r="B482" s="13"/>
      <c r="C482" s="14"/>
      <c r="D482" s="14"/>
      <c r="E482" s="15"/>
      <c r="F482" s="16" t="str">
        <f aca="false">IF(OR(A482="",D482=""),"",IF(E482&lt;&gt;"",E482,IF(IFERROR(INDEX('Kategori Zamları'!$B$5:$B$24,MATCH(B482,'Kategori Zamları'!$A$5:$A$24,0)),"")="",Özet!$C$3,INDEX('Kategori Zamları'!$B$5:$B$24,MATCH(B482,'Kategori Zamları'!$A$5:$A$24,0)))))</f>
        <v/>
      </c>
      <c r="G482" s="17" t="str">
        <f aca="false">IF(F482="","",ROUNDUP(ROUND(D482*(1+F482)/Özet!$C$4,6),0)*Özet!$C$4-Özet!$C$5)</f>
        <v/>
      </c>
      <c r="H482" s="17" t="str">
        <f aca="false">IF(G482="","",G482-D482)</f>
        <v/>
      </c>
      <c r="I482" s="16" t="str">
        <f aca="false">IF(OR(G482="",D482=0),"",(D482-C482)/D482)</f>
        <v/>
      </c>
      <c r="J482" s="16" t="str">
        <f aca="false">IF(OR(G482="",G482=0),"",(G482-C482)/G482)</f>
        <v/>
      </c>
      <c r="K482" s="18" t="str">
        <f aca="false">IF(OR(G482="",D482=0),"",G482/D482-1)</f>
        <v/>
      </c>
    </row>
    <row r="483" customFormat="false" ht="15" hidden="false" customHeight="false" outlineLevel="0" collapsed="false">
      <c r="A483" s="12"/>
      <c r="B483" s="13"/>
      <c r="C483" s="14"/>
      <c r="D483" s="14"/>
      <c r="E483" s="15"/>
      <c r="F483" s="16" t="str">
        <f aca="false">IF(OR(A483="",D483=""),"",IF(E483&lt;&gt;"",E483,IF(IFERROR(INDEX('Kategori Zamları'!$B$5:$B$24,MATCH(B483,'Kategori Zamları'!$A$5:$A$24,0)),"")="",Özet!$C$3,INDEX('Kategori Zamları'!$B$5:$B$24,MATCH(B483,'Kategori Zamları'!$A$5:$A$24,0)))))</f>
        <v/>
      </c>
      <c r="G483" s="17" t="str">
        <f aca="false">IF(F483="","",ROUNDUP(ROUND(D483*(1+F483)/Özet!$C$4,6),0)*Özet!$C$4-Özet!$C$5)</f>
        <v/>
      </c>
      <c r="H483" s="17" t="str">
        <f aca="false">IF(G483="","",G483-D483)</f>
        <v/>
      </c>
      <c r="I483" s="16" t="str">
        <f aca="false">IF(OR(G483="",D483=0),"",(D483-C483)/D483)</f>
        <v/>
      </c>
      <c r="J483" s="16" t="str">
        <f aca="false">IF(OR(G483="",G483=0),"",(G483-C483)/G483)</f>
        <v/>
      </c>
      <c r="K483" s="18" t="str">
        <f aca="false">IF(OR(G483="",D483=0),"",G483/D483-1)</f>
        <v/>
      </c>
    </row>
    <row r="484" customFormat="false" ht="15" hidden="false" customHeight="false" outlineLevel="0" collapsed="false">
      <c r="A484" s="12"/>
      <c r="B484" s="13"/>
      <c r="C484" s="14"/>
      <c r="D484" s="14"/>
      <c r="E484" s="15"/>
      <c r="F484" s="16" t="str">
        <f aca="false">IF(OR(A484="",D484=""),"",IF(E484&lt;&gt;"",E484,IF(IFERROR(INDEX('Kategori Zamları'!$B$5:$B$24,MATCH(B484,'Kategori Zamları'!$A$5:$A$24,0)),"")="",Özet!$C$3,INDEX('Kategori Zamları'!$B$5:$B$24,MATCH(B484,'Kategori Zamları'!$A$5:$A$24,0)))))</f>
        <v/>
      </c>
      <c r="G484" s="17" t="str">
        <f aca="false">IF(F484="","",ROUNDUP(ROUND(D484*(1+F484)/Özet!$C$4,6),0)*Özet!$C$4-Özet!$C$5)</f>
        <v/>
      </c>
      <c r="H484" s="17" t="str">
        <f aca="false">IF(G484="","",G484-D484)</f>
        <v/>
      </c>
      <c r="I484" s="16" t="str">
        <f aca="false">IF(OR(G484="",D484=0),"",(D484-C484)/D484)</f>
        <v/>
      </c>
      <c r="J484" s="16" t="str">
        <f aca="false">IF(OR(G484="",G484=0),"",(G484-C484)/G484)</f>
        <v/>
      </c>
      <c r="K484" s="18" t="str">
        <f aca="false">IF(OR(G484="",D484=0),"",G484/D484-1)</f>
        <v/>
      </c>
    </row>
    <row r="485" customFormat="false" ht="15" hidden="false" customHeight="false" outlineLevel="0" collapsed="false">
      <c r="A485" s="12"/>
      <c r="B485" s="13"/>
      <c r="C485" s="14"/>
      <c r="D485" s="14"/>
      <c r="E485" s="15"/>
      <c r="F485" s="16" t="str">
        <f aca="false">IF(OR(A485="",D485=""),"",IF(E485&lt;&gt;"",E485,IF(IFERROR(INDEX('Kategori Zamları'!$B$5:$B$24,MATCH(B485,'Kategori Zamları'!$A$5:$A$24,0)),"")="",Özet!$C$3,INDEX('Kategori Zamları'!$B$5:$B$24,MATCH(B485,'Kategori Zamları'!$A$5:$A$24,0)))))</f>
        <v/>
      </c>
      <c r="G485" s="17" t="str">
        <f aca="false">IF(F485="","",ROUNDUP(ROUND(D485*(1+F485)/Özet!$C$4,6),0)*Özet!$C$4-Özet!$C$5)</f>
        <v/>
      </c>
      <c r="H485" s="17" t="str">
        <f aca="false">IF(G485="","",G485-D485)</f>
        <v/>
      </c>
      <c r="I485" s="16" t="str">
        <f aca="false">IF(OR(G485="",D485=0),"",(D485-C485)/D485)</f>
        <v/>
      </c>
      <c r="J485" s="16" t="str">
        <f aca="false">IF(OR(G485="",G485=0),"",(G485-C485)/G485)</f>
        <v/>
      </c>
      <c r="K485" s="18" t="str">
        <f aca="false">IF(OR(G485="",D485=0),"",G485/D485-1)</f>
        <v/>
      </c>
    </row>
    <row r="486" customFormat="false" ht="15" hidden="false" customHeight="false" outlineLevel="0" collapsed="false">
      <c r="A486" s="12"/>
      <c r="B486" s="13"/>
      <c r="C486" s="14"/>
      <c r="D486" s="14"/>
      <c r="E486" s="15"/>
      <c r="F486" s="16" t="str">
        <f aca="false">IF(OR(A486="",D486=""),"",IF(E486&lt;&gt;"",E486,IF(IFERROR(INDEX('Kategori Zamları'!$B$5:$B$24,MATCH(B486,'Kategori Zamları'!$A$5:$A$24,0)),"")="",Özet!$C$3,INDEX('Kategori Zamları'!$B$5:$B$24,MATCH(B486,'Kategori Zamları'!$A$5:$A$24,0)))))</f>
        <v/>
      </c>
      <c r="G486" s="17" t="str">
        <f aca="false">IF(F486="","",ROUNDUP(ROUND(D486*(1+F486)/Özet!$C$4,6),0)*Özet!$C$4-Özet!$C$5)</f>
        <v/>
      </c>
      <c r="H486" s="17" t="str">
        <f aca="false">IF(G486="","",G486-D486)</f>
        <v/>
      </c>
      <c r="I486" s="16" t="str">
        <f aca="false">IF(OR(G486="",D486=0),"",(D486-C486)/D486)</f>
        <v/>
      </c>
      <c r="J486" s="16" t="str">
        <f aca="false">IF(OR(G486="",G486=0),"",(G486-C486)/G486)</f>
        <v/>
      </c>
      <c r="K486" s="18" t="str">
        <f aca="false">IF(OR(G486="",D486=0),"",G486/D486-1)</f>
        <v/>
      </c>
    </row>
    <row r="487" customFormat="false" ht="15" hidden="false" customHeight="false" outlineLevel="0" collapsed="false">
      <c r="A487" s="12"/>
      <c r="B487" s="13"/>
      <c r="C487" s="14"/>
      <c r="D487" s="14"/>
      <c r="E487" s="15"/>
      <c r="F487" s="16" t="str">
        <f aca="false">IF(OR(A487="",D487=""),"",IF(E487&lt;&gt;"",E487,IF(IFERROR(INDEX('Kategori Zamları'!$B$5:$B$24,MATCH(B487,'Kategori Zamları'!$A$5:$A$24,0)),"")="",Özet!$C$3,INDEX('Kategori Zamları'!$B$5:$B$24,MATCH(B487,'Kategori Zamları'!$A$5:$A$24,0)))))</f>
        <v/>
      </c>
      <c r="G487" s="17" t="str">
        <f aca="false">IF(F487="","",ROUNDUP(ROUND(D487*(1+F487)/Özet!$C$4,6),0)*Özet!$C$4-Özet!$C$5)</f>
        <v/>
      </c>
      <c r="H487" s="17" t="str">
        <f aca="false">IF(G487="","",G487-D487)</f>
        <v/>
      </c>
      <c r="I487" s="16" t="str">
        <f aca="false">IF(OR(G487="",D487=0),"",(D487-C487)/D487)</f>
        <v/>
      </c>
      <c r="J487" s="16" t="str">
        <f aca="false">IF(OR(G487="",G487=0),"",(G487-C487)/G487)</f>
        <v/>
      </c>
      <c r="K487" s="18" t="str">
        <f aca="false">IF(OR(G487="",D487=0),"",G487/D487-1)</f>
        <v/>
      </c>
    </row>
    <row r="488" customFormat="false" ht="15" hidden="false" customHeight="false" outlineLevel="0" collapsed="false">
      <c r="A488" s="12"/>
      <c r="B488" s="13"/>
      <c r="C488" s="14"/>
      <c r="D488" s="14"/>
      <c r="E488" s="15"/>
      <c r="F488" s="16" t="str">
        <f aca="false">IF(OR(A488="",D488=""),"",IF(E488&lt;&gt;"",E488,IF(IFERROR(INDEX('Kategori Zamları'!$B$5:$B$24,MATCH(B488,'Kategori Zamları'!$A$5:$A$24,0)),"")="",Özet!$C$3,INDEX('Kategori Zamları'!$B$5:$B$24,MATCH(B488,'Kategori Zamları'!$A$5:$A$24,0)))))</f>
        <v/>
      </c>
      <c r="G488" s="17" t="str">
        <f aca="false">IF(F488="","",ROUNDUP(ROUND(D488*(1+F488)/Özet!$C$4,6),0)*Özet!$C$4-Özet!$C$5)</f>
        <v/>
      </c>
      <c r="H488" s="17" t="str">
        <f aca="false">IF(G488="","",G488-D488)</f>
        <v/>
      </c>
      <c r="I488" s="16" t="str">
        <f aca="false">IF(OR(G488="",D488=0),"",(D488-C488)/D488)</f>
        <v/>
      </c>
      <c r="J488" s="16" t="str">
        <f aca="false">IF(OR(G488="",G488=0),"",(G488-C488)/G488)</f>
        <v/>
      </c>
      <c r="K488" s="18" t="str">
        <f aca="false">IF(OR(G488="",D488=0),"",G488/D488-1)</f>
        <v/>
      </c>
    </row>
    <row r="489" customFormat="false" ht="15" hidden="false" customHeight="false" outlineLevel="0" collapsed="false">
      <c r="A489" s="12"/>
      <c r="B489" s="13"/>
      <c r="C489" s="14"/>
      <c r="D489" s="14"/>
      <c r="E489" s="15"/>
      <c r="F489" s="16" t="str">
        <f aca="false">IF(OR(A489="",D489=""),"",IF(E489&lt;&gt;"",E489,IF(IFERROR(INDEX('Kategori Zamları'!$B$5:$B$24,MATCH(B489,'Kategori Zamları'!$A$5:$A$24,0)),"")="",Özet!$C$3,INDEX('Kategori Zamları'!$B$5:$B$24,MATCH(B489,'Kategori Zamları'!$A$5:$A$24,0)))))</f>
        <v/>
      </c>
      <c r="G489" s="17" t="str">
        <f aca="false">IF(F489="","",ROUNDUP(ROUND(D489*(1+F489)/Özet!$C$4,6),0)*Özet!$C$4-Özet!$C$5)</f>
        <v/>
      </c>
      <c r="H489" s="17" t="str">
        <f aca="false">IF(G489="","",G489-D489)</f>
        <v/>
      </c>
      <c r="I489" s="16" t="str">
        <f aca="false">IF(OR(G489="",D489=0),"",(D489-C489)/D489)</f>
        <v/>
      </c>
      <c r="J489" s="16" t="str">
        <f aca="false">IF(OR(G489="",G489=0),"",(G489-C489)/G489)</f>
        <v/>
      </c>
      <c r="K489" s="18" t="str">
        <f aca="false">IF(OR(G489="",D489=0),"",G489/D489-1)</f>
        <v/>
      </c>
    </row>
    <row r="490" customFormat="false" ht="15" hidden="false" customHeight="false" outlineLevel="0" collapsed="false">
      <c r="A490" s="12"/>
      <c r="B490" s="13"/>
      <c r="C490" s="14"/>
      <c r="D490" s="14"/>
      <c r="E490" s="15"/>
      <c r="F490" s="16" t="str">
        <f aca="false">IF(OR(A490="",D490=""),"",IF(E490&lt;&gt;"",E490,IF(IFERROR(INDEX('Kategori Zamları'!$B$5:$B$24,MATCH(B490,'Kategori Zamları'!$A$5:$A$24,0)),"")="",Özet!$C$3,INDEX('Kategori Zamları'!$B$5:$B$24,MATCH(B490,'Kategori Zamları'!$A$5:$A$24,0)))))</f>
        <v/>
      </c>
      <c r="G490" s="17" t="str">
        <f aca="false">IF(F490="","",ROUNDUP(ROUND(D490*(1+F490)/Özet!$C$4,6),0)*Özet!$C$4-Özet!$C$5)</f>
        <v/>
      </c>
      <c r="H490" s="17" t="str">
        <f aca="false">IF(G490="","",G490-D490)</f>
        <v/>
      </c>
      <c r="I490" s="16" t="str">
        <f aca="false">IF(OR(G490="",D490=0),"",(D490-C490)/D490)</f>
        <v/>
      </c>
      <c r="J490" s="16" t="str">
        <f aca="false">IF(OR(G490="",G490=0),"",(G490-C490)/G490)</f>
        <v/>
      </c>
      <c r="K490" s="18" t="str">
        <f aca="false">IF(OR(G490="",D490=0),"",G490/D490-1)</f>
        <v/>
      </c>
    </row>
    <row r="491" customFormat="false" ht="15" hidden="false" customHeight="false" outlineLevel="0" collapsed="false">
      <c r="A491" s="12"/>
      <c r="B491" s="13"/>
      <c r="C491" s="14"/>
      <c r="D491" s="14"/>
      <c r="E491" s="15"/>
      <c r="F491" s="16" t="str">
        <f aca="false">IF(OR(A491="",D491=""),"",IF(E491&lt;&gt;"",E491,IF(IFERROR(INDEX('Kategori Zamları'!$B$5:$B$24,MATCH(B491,'Kategori Zamları'!$A$5:$A$24,0)),"")="",Özet!$C$3,INDEX('Kategori Zamları'!$B$5:$B$24,MATCH(B491,'Kategori Zamları'!$A$5:$A$24,0)))))</f>
        <v/>
      </c>
      <c r="G491" s="17" t="str">
        <f aca="false">IF(F491="","",ROUNDUP(ROUND(D491*(1+F491)/Özet!$C$4,6),0)*Özet!$C$4-Özet!$C$5)</f>
        <v/>
      </c>
      <c r="H491" s="17" t="str">
        <f aca="false">IF(G491="","",G491-D491)</f>
        <v/>
      </c>
      <c r="I491" s="16" t="str">
        <f aca="false">IF(OR(G491="",D491=0),"",(D491-C491)/D491)</f>
        <v/>
      </c>
      <c r="J491" s="16" t="str">
        <f aca="false">IF(OR(G491="",G491=0),"",(G491-C491)/G491)</f>
        <v/>
      </c>
      <c r="K491" s="18" t="str">
        <f aca="false">IF(OR(G491="",D491=0),"",G491/D491-1)</f>
        <v/>
      </c>
    </row>
    <row r="492" customFormat="false" ht="15" hidden="false" customHeight="false" outlineLevel="0" collapsed="false">
      <c r="A492" s="12"/>
      <c r="B492" s="13"/>
      <c r="C492" s="14"/>
      <c r="D492" s="14"/>
      <c r="E492" s="15"/>
      <c r="F492" s="16" t="str">
        <f aca="false">IF(OR(A492="",D492=""),"",IF(E492&lt;&gt;"",E492,IF(IFERROR(INDEX('Kategori Zamları'!$B$5:$B$24,MATCH(B492,'Kategori Zamları'!$A$5:$A$24,0)),"")="",Özet!$C$3,INDEX('Kategori Zamları'!$B$5:$B$24,MATCH(B492,'Kategori Zamları'!$A$5:$A$24,0)))))</f>
        <v/>
      </c>
      <c r="G492" s="17" t="str">
        <f aca="false">IF(F492="","",ROUNDUP(ROUND(D492*(1+F492)/Özet!$C$4,6),0)*Özet!$C$4-Özet!$C$5)</f>
        <v/>
      </c>
      <c r="H492" s="17" t="str">
        <f aca="false">IF(G492="","",G492-D492)</f>
        <v/>
      </c>
      <c r="I492" s="16" t="str">
        <f aca="false">IF(OR(G492="",D492=0),"",(D492-C492)/D492)</f>
        <v/>
      </c>
      <c r="J492" s="16" t="str">
        <f aca="false">IF(OR(G492="",G492=0),"",(G492-C492)/G492)</f>
        <v/>
      </c>
      <c r="K492" s="18" t="str">
        <f aca="false">IF(OR(G492="",D492=0),"",G492/D492-1)</f>
        <v/>
      </c>
    </row>
    <row r="493" customFormat="false" ht="15" hidden="false" customHeight="false" outlineLevel="0" collapsed="false">
      <c r="A493" s="12"/>
      <c r="B493" s="13"/>
      <c r="C493" s="14"/>
      <c r="D493" s="14"/>
      <c r="E493" s="15"/>
      <c r="F493" s="16" t="str">
        <f aca="false">IF(OR(A493="",D493=""),"",IF(E493&lt;&gt;"",E493,IF(IFERROR(INDEX('Kategori Zamları'!$B$5:$B$24,MATCH(B493,'Kategori Zamları'!$A$5:$A$24,0)),"")="",Özet!$C$3,INDEX('Kategori Zamları'!$B$5:$B$24,MATCH(B493,'Kategori Zamları'!$A$5:$A$24,0)))))</f>
        <v/>
      </c>
      <c r="G493" s="17" t="str">
        <f aca="false">IF(F493="","",ROUNDUP(ROUND(D493*(1+F493)/Özet!$C$4,6),0)*Özet!$C$4-Özet!$C$5)</f>
        <v/>
      </c>
      <c r="H493" s="17" t="str">
        <f aca="false">IF(G493="","",G493-D493)</f>
        <v/>
      </c>
      <c r="I493" s="16" t="str">
        <f aca="false">IF(OR(G493="",D493=0),"",(D493-C493)/D493)</f>
        <v/>
      </c>
      <c r="J493" s="16" t="str">
        <f aca="false">IF(OR(G493="",G493=0),"",(G493-C493)/G493)</f>
        <v/>
      </c>
      <c r="K493" s="18" t="str">
        <f aca="false">IF(OR(G493="",D493=0),"",G493/D493-1)</f>
        <v/>
      </c>
    </row>
    <row r="494" customFormat="false" ht="15" hidden="false" customHeight="false" outlineLevel="0" collapsed="false">
      <c r="A494" s="12"/>
      <c r="B494" s="13"/>
      <c r="C494" s="14"/>
      <c r="D494" s="14"/>
      <c r="E494" s="15"/>
      <c r="F494" s="16" t="str">
        <f aca="false">IF(OR(A494="",D494=""),"",IF(E494&lt;&gt;"",E494,IF(IFERROR(INDEX('Kategori Zamları'!$B$5:$B$24,MATCH(B494,'Kategori Zamları'!$A$5:$A$24,0)),"")="",Özet!$C$3,INDEX('Kategori Zamları'!$B$5:$B$24,MATCH(B494,'Kategori Zamları'!$A$5:$A$24,0)))))</f>
        <v/>
      </c>
      <c r="G494" s="17" t="str">
        <f aca="false">IF(F494="","",ROUNDUP(ROUND(D494*(1+F494)/Özet!$C$4,6),0)*Özet!$C$4-Özet!$C$5)</f>
        <v/>
      </c>
      <c r="H494" s="17" t="str">
        <f aca="false">IF(G494="","",G494-D494)</f>
        <v/>
      </c>
      <c r="I494" s="16" t="str">
        <f aca="false">IF(OR(G494="",D494=0),"",(D494-C494)/D494)</f>
        <v/>
      </c>
      <c r="J494" s="16" t="str">
        <f aca="false">IF(OR(G494="",G494=0),"",(G494-C494)/G494)</f>
        <v/>
      </c>
      <c r="K494" s="18" t="str">
        <f aca="false">IF(OR(G494="",D494=0),"",G494/D494-1)</f>
        <v/>
      </c>
    </row>
    <row r="495" customFormat="false" ht="15" hidden="false" customHeight="false" outlineLevel="0" collapsed="false">
      <c r="A495" s="12"/>
      <c r="B495" s="13"/>
      <c r="C495" s="14"/>
      <c r="D495" s="14"/>
      <c r="E495" s="15"/>
      <c r="F495" s="16" t="str">
        <f aca="false">IF(OR(A495="",D495=""),"",IF(E495&lt;&gt;"",E495,IF(IFERROR(INDEX('Kategori Zamları'!$B$5:$B$24,MATCH(B495,'Kategori Zamları'!$A$5:$A$24,0)),"")="",Özet!$C$3,INDEX('Kategori Zamları'!$B$5:$B$24,MATCH(B495,'Kategori Zamları'!$A$5:$A$24,0)))))</f>
        <v/>
      </c>
      <c r="G495" s="17" t="str">
        <f aca="false">IF(F495="","",ROUNDUP(ROUND(D495*(1+F495)/Özet!$C$4,6),0)*Özet!$C$4-Özet!$C$5)</f>
        <v/>
      </c>
      <c r="H495" s="17" t="str">
        <f aca="false">IF(G495="","",G495-D495)</f>
        <v/>
      </c>
      <c r="I495" s="16" t="str">
        <f aca="false">IF(OR(G495="",D495=0),"",(D495-C495)/D495)</f>
        <v/>
      </c>
      <c r="J495" s="16" t="str">
        <f aca="false">IF(OR(G495="",G495=0),"",(G495-C495)/G495)</f>
        <v/>
      </c>
      <c r="K495" s="18" t="str">
        <f aca="false">IF(OR(G495="",D495=0),"",G495/D495-1)</f>
        <v/>
      </c>
    </row>
    <row r="496" customFormat="false" ht="15" hidden="false" customHeight="false" outlineLevel="0" collapsed="false">
      <c r="A496" s="12"/>
      <c r="B496" s="13"/>
      <c r="C496" s="14"/>
      <c r="D496" s="14"/>
      <c r="E496" s="15"/>
      <c r="F496" s="16" t="str">
        <f aca="false">IF(OR(A496="",D496=""),"",IF(E496&lt;&gt;"",E496,IF(IFERROR(INDEX('Kategori Zamları'!$B$5:$B$24,MATCH(B496,'Kategori Zamları'!$A$5:$A$24,0)),"")="",Özet!$C$3,INDEX('Kategori Zamları'!$B$5:$B$24,MATCH(B496,'Kategori Zamları'!$A$5:$A$24,0)))))</f>
        <v/>
      </c>
      <c r="G496" s="17" t="str">
        <f aca="false">IF(F496="","",ROUNDUP(ROUND(D496*(1+F496)/Özet!$C$4,6),0)*Özet!$C$4-Özet!$C$5)</f>
        <v/>
      </c>
      <c r="H496" s="17" t="str">
        <f aca="false">IF(G496="","",G496-D496)</f>
        <v/>
      </c>
      <c r="I496" s="16" t="str">
        <f aca="false">IF(OR(G496="",D496=0),"",(D496-C496)/D496)</f>
        <v/>
      </c>
      <c r="J496" s="16" t="str">
        <f aca="false">IF(OR(G496="",G496=0),"",(G496-C496)/G496)</f>
        <v/>
      </c>
      <c r="K496" s="18" t="str">
        <f aca="false">IF(OR(G496="",D496=0),"",G496/D496-1)</f>
        <v/>
      </c>
    </row>
    <row r="497" customFormat="false" ht="15" hidden="false" customHeight="false" outlineLevel="0" collapsed="false">
      <c r="A497" s="12"/>
      <c r="B497" s="13"/>
      <c r="C497" s="14"/>
      <c r="D497" s="14"/>
      <c r="E497" s="15"/>
      <c r="F497" s="16" t="str">
        <f aca="false">IF(OR(A497="",D497=""),"",IF(E497&lt;&gt;"",E497,IF(IFERROR(INDEX('Kategori Zamları'!$B$5:$B$24,MATCH(B497,'Kategori Zamları'!$A$5:$A$24,0)),"")="",Özet!$C$3,INDEX('Kategori Zamları'!$B$5:$B$24,MATCH(B497,'Kategori Zamları'!$A$5:$A$24,0)))))</f>
        <v/>
      </c>
      <c r="G497" s="17" t="str">
        <f aca="false">IF(F497="","",ROUNDUP(ROUND(D497*(1+F497)/Özet!$C$4,6),0)*Özet!$C$4-Özet!$C$5)</f>
        <v/>
      </c>
      <c r="H497" s="17" t="str">
        <f aca="false">IF(G497="","",G497-D497)</f>
        <v/>
      </c>
      <c r="I497" s="16" t="str">
        <f aca="false">IF(OR(G497="",D497=0),"",(D497-C497)/D497)</f>
        <v/>
      </c>
      <c r="J497" s="16" t="str">
        <f aca="false">IF(OR(G497="",G497=0),"",(G497-C497)/G497)</f>
        <v/>
      </c>
      <c r="K497" s="18" t="str">
        <f aca="false">IF(OR(G497="",D497=0),"",G497/D497-1)</f>
        <v/>
      </c>
    </row>
    <row r="498" customFormat="false" ht="15" hidden="false" customHeight="false" outlineLevel="0" collapsed="false">
      <c r="A498" s="12"/>
      <c r="B498" s="13"/>
      <c r="C498" s="14"/>
      <c r="D498" s="14"/>
      <c r="E498" s="15"/>
      <c r="F498" s="16" t="str">
        <f aca="false">IF(OR(A498="",D498=""),"",IF(E498&lt;&gt;"",E498,IF(IFERROR(INDEX('Kategori Zamları'!$B$5:$B$24,MATCH(B498,'Kategori Zamları'!$A$5:$A$24,0)),"")="",Özet!$C$3,INDEX('Kategori Zamları'!$B$5:$B$24,MATCH(B498,'Kategori Zamları'!$A$5:$A$24,0)))))</f>
        <v/>
      </c>
      <c r="G498" s="17" t="str">
        <f aca="false">IF(F498="","",ROUNDUP(ROUND(D498*(1+F498)/Özet!$C$4,6),0)*Özet!$C$4-Özet!$C$5)</f>
        <v/>
      </c>
      <c r="H498" s="17" t="str">
        <f aca="false">IF(G498="","",G498-D498)</f>
        <v/>
      </c>
      <c r="I498" s="16" t="str">
        <f aca="false">IF(OR(G498="",D498=0),"",(D498-C498)/D498)</f>
        <v/>
      </c>
      <c r="J498" s="16" t="str">
        <f aca="false">IF(OR(G498="",G498=0),"",(G498-C498)/G498)</f>
        <v/>
      </c>
      <c r="K498" s="18" t="str">
        <f aca="false">IF(OR(G498="",D498=0),"",G498/D498-1)</f>
        <v/>
      </c>
    </row>
    <row r="499" customFormat="false" ht="15" hidden="false" customHeight="false" outlineLevel="0" collapsed="false">
      <c r="A499" s="12"/>
      <c r="B499" s="13"/>
      <c r="C499" s="14"/>
      <c r="D499" s="14"/>
      <c r="E499" s="15"/>
      <c r="F499" s="16" t="str">
        <f aca="false">IF(OR(A499="",D499=""),"",IF(E499&lt;&gt;"",E499,IF(IFERROR(INDEX('Kategori Zamları'!$B$5:$B$24,MATCH(B499,'Kategori Zamları'!$A$5:$A$24,0)),"")="",Özet!$C$3,INDEX('Kategori Zamları'!$B$5:$B$24,MATCH(B499,'Kategori Zamları'!$A$5:$A$24,0)))))</f>
        <v/>
      </c>
      <c r="G499" s="17" t="str">
        <f aca="false">IF(F499="","",ROUNDUP(ROUND(D499*(1+F499)/Özet!$C$4,6),0)*Özet!$C$4-Özet!$C$5)</f>
        <v/>
      </c>
      <c r="H499" s="17" t="str">
        <f aca="false">IF(G499="","",G499-D499)</f>
        <v/>
      </c>
      <c r="I499" s="16" t="str">
        <f aca="false">IF(OR(G499="",D499=0),"",(D499-C499)/D499)</f>
        <v/>
      </c>
      <c r="J499" s="16" t="str">
        <f aca="false">IF(OR(G499="",G499=0),"",(G499-C499)/G499)</f>
        <v/>
      </c>
      <c r="K499" s="18" t="str">
        <f aca="false">IF(OR(G499="",D499=0),"",G499/D499-1)</f>
        <v/>
      </c>
    </row>
    <row r="500" customFormat="false" ht="15" hidden="false" customHeight="false" outlineLevel="0" collapsed="false">
      <c r="A500" s="12"/>
      <c r="B500" s="13"/>
      <c r="C500" s="14"/>
      <c r="D500" s="14"/>
      <c r="E500" s="15"/>
      <c r="F500" s="16" t="str">
        <f aca="false">IF(OR(A500="",D500=""),"",IF(E500&lt;&gt;"",E500,IF(IFERROR(INDEX('Kategori Zamları'!$B$5:$B$24,MATCH(B500,'Kategori Zamları'!$A$5:$A$24,0)),"")="",Özet!$C$3,INDEX('Kategori Zamları'!$B$5:$B$24,MATCH(B500,'Kategori Zamları'!$A$5:$A$24,0)))))</f>
        <v/>
      </c>
      <c r="G500" s="17" t="str">
        <f aca="false">IF(F500="","",ROUNDUP(ROUND(D500*(1+F500)/Özet!$C$4,6),0)*Özet!$C$4-Özet!$C$5)</f>
        <v/>
      </c>
      <c r="H500" s="17" t="str">
        <f aca="false">IF(G500="","",G500-D500)</f>
        <v/>
      </c>
      <c r="I500" s="16" t="str">
        <f aca="false">IF(OR(G500="",D500=0),"",(D500-C500)/D500)</f>
        <v/>
      </c>
      <c r="J500" s="16" t="str">
        <f aca="false">IF(OR(G500="",G500=0),"",(G500-C500)/G500)</f>
        <v/>
      </c>
      <c r="K500" s="18" t="str">
        <f aca="false">IF(OR(G500="",D500=0),"",G500/D500-1)</f>
        <v/>
      </c>
    </row>
    <row r="501" customFormat="false" ht="15" hidden="false" customHeight="false" outlineLevel="0" collapsed="false">
      <c r="A501" s="12"/>
      <c r="B501" s="13"/>
      <c r="C501" s="14"/>
      <c r="D501" s="14"/>
      <c r="E501" s="15"/>
      <c r="F501" s="16" t="str">
        <f aca="false">IF(OR(A501="",D501=""),"",IF(E501&lt;&gt;"",E501,IF(IFERROR(INDEX('Kategori Zamları'!$B$5:$B$24,MATCH(B501,'Kategori Zamları'!$A$5:$A$24,0)),"")="",Özet!$C$3,INDEX('Kategori Zamları'!$B$5:$B$24,MATCH(B501,'Kategori Zamları'!$A$5:$A$24,0)))))</f>
        <v/>
      </c>
      <c r="G501" s="17" t="str">
        <f aca="false">IF(F501="","",ROUNDUP(ROUND(D501*(1+F501)/Özet!$C$4,6),0)*Özet!$C$4-Özet!$C$5)</f>
        <v/>
      </c>
      <c r="H501" s="17" t="str">
        <f aca="false">IF(G501="","",G501-D501)</f>
        <v/>
      </c>
      <c r="I501" s="16" t="str">
        <f aca="false">IF(OR(G501="",D501=0),"",(D501-C501)/D501)</f>
        <v/>
      </c>
      <c r="J501" s="16" t="str">
        <f aca="false">IF(OR(G501="",G501=0),"",(G501-C501)/G501)</f>
        <v/>
      </c>
      <c r="K501" s="18" t="str">
        <f aca="false">IF(OR(G501="",D501=0),"",G501/D501-1)</f>
        <v/>
      </c>
    </row>
    <row r="502" customFormat="false" ht="15" hidden="false" customHeight="false" outlineLevel="0" collapsed="false">
      <c r="A502" s="12"/>
      <c r="B502" s="13"/>
      <c r="C502" s="14"/>
      <c r="D502" s="14"/>
      <c r="E502" s="15"/>
      <c r="F502" s="16" t="str">
        <f aca="false">IF(OR(A502="",D502=""),"",IF(E502&lt;&gt;"",E502,IF(IFERROR(INDEX('Kategori Zamları'!$B$5:$B$24,MATCH(B502,'Kategori Zamları'!$A$5:$A$24,0)),"")="",Özet!$C$3,INDEX('Kategori Zamları'!$B$5:$B$24,MATCH(B502,'Kategori Zamları'!$A$5:$A$24,0)))))</f>
        <v/>
      </c>
      <c r="G502" s="17" t="str">
        <f aca="false">IF(F502="","",ROUNDUP(ROUND(D502*(1+F502)/Özet!$C$4,6),0)*Özet!$C$4-Özet!$C$5)</f>
        <v/>
      </c>
      <c r="H502" s="17" t="str">
        <f aca="false">IF(G502="","",G502-D502)</f>
        <v/>
      </c>
      <c r="I502" s="16" t="str">
        <f aca="false">IF(OR(G502="",D502=0),"",(D502-C502)/D502)</f>
        <v/>
      </c>
      <c r="J502" s="16" t="str">
        <f aca="false">IF(OR(G502="",G502=0),"",(G502-C502)/G502)</f>
        <v/>
      </c>
      <c r="K502" s="18" t="str">
        <f aca="false">IF(OR(G502="",D502=0),"",G502/D502-1)</f>
        <v/>
      </c>
    </row>
    <row r="503" customFormat="false" ht="15" hidden="false" customHeight="false" outlineLevel="0" collapsed="false">
      <c r="A503" s="12"/>
      <c r="B503" s="13"/>
      <c r="C503" s="14"/>
      <c r="D503" s="14"/>
      <c r="E503" s="15"/>
      <c r="F503" s="16" t="str">
        <f aca="false">IF(OR(A503="",D503=""),"",IF(E503&lt;&gt;"",E503,IF(IFERROR(INDEX('Kategori Zamları'!$B$5:$B$24,MATCH(B503,'Kategori Zamları'!$A$5:$A$24,0)),"")="",Özet!$C$3,INDEX('Kategori Zamları'!$B$5:$B$24,MATCH(B503,'Kategori Zamları'!$A$5:$A$24,0)))))</f>
        <v/>
      </c>
      <c r="G503" s="17" t="str">
        <f aca="false">IF(F503="","",ROUNDUP(ROUND(D503*(1+F503)/Özet!$C$4,6),0)*Özet!$C$4-Özet!$C$5)</f>
        <v/>
      </c>
      <c r="H503" s="17" t="str">
        <f aca="false">IF(G503="","",G503-D503)</f>
        <v/>
      </c>
      <c r="I503" s="16" t="str">
        <f aca="false">IF(OR(G503="",D503=0),"",(D503-C503)/D503)</f>
        <v/>
      </c>
      <c r="J503" s="16" t="str">
        <f aca="false">IF(OR(G503="",G503=0),"",(G503-C503)/G503)</f>
        <v/>
      </c>
      <c r="K503" s="18" t="str">
        <f aca="false">IF(OR(G503="",D503=0),"",G503/D503-1)</f>
        <v/>
      </c>
    </row>
    <row r="504" customFormat="false" ht="15" hidden="false" customHeight="false" outlineLevel="0" collapsed="false">
      <c r="A504" s="12"/>
      <c r="B504" s="13"/>
      <c r="C504" s="14"/>
      <c r="D504" s="14"/>
      <c r="E504" s="15"/>
      <c r="F504" s="16" t="str">
        <f aca="false">IF(OR(A504="",D504=""),"",IF(E504&lt;&gt;"",E504,IF(IFERROR(INDEX('Kategori Zamları'!$B$5:$B$24,MATCH(B504,'Kategori Zamları'!$A$5:$A$24,0)),"")="",Özet!$C$3,INDEX('Kategori Zamları'!$B$5:$B$24,MATCH(B504,'Kategori Zamları'!$A$5:$A$24,0)))))</f>
        <v/>
      </c>
      <c r="G504" s="17" t="str">
        <f aca="false">IF(F504="","",ROUNDUP(ROUND(D504*(1+F504)/Özet!$C$4,6),0)*Özet!$C$4-Özet!$C$5)</f>
        <v/>
      </c>
      <c r="H504" s="17" t="str">
        <f aca="false">IF(G504="","",G504-D504)</f>
        <v/>
      </c>
      <c r="I504" s="16" t="str">
        <f aca="false">IF(OR(G504="",D504=0),"",(D504-C504)/D504)</f>
        <v/>
      </c>
      <c r="J504" s="16" t="str">
        <f aca="false">IF(OR(G504="",G504=0),"",(G504-C504)/G504)</f>
        <v/>
      </c>
      <c r="K504" s="18" t="str">
        <f aca="false">IF(OR(G504="",D504=0),"",G504/D504-1)</f>
        <v/>
      </c>
    </row>
  </sheetData>
  <dataValidations count="3">
    <dataValidation allowBlank="true" error="Listeden seç." errorStyle="stop" errorTitle="Kontrol" operator="between" showDropDown="false" showErrorMessage="true" showInputMessage="false" sqref="B5:B504" type="list">
      <formula1>'Kategori Zamları'!$A$5:$A$24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D504" type="decimal">
      <formula1>0</formula1>
      <formula2>0</formula2>
    </dataValidation>
    <dataValidation allowBlank="true" error="0 ile 1 arasında bir oran gir (örnek: yüzde 20 için 0,2)." errorStyle="stop" errorTitle="Kontrol" operator="between" showDropDown="false" showErrorMessage="true" showInputMessage="false" sqref="E5:E50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44</v>
      </c>
    </row>
    <row r="2" customFormat="false" ht="15" hidden="false" customHeight="false" outlineLevel="0" collapsed="false">
      <c r="A2" s="9" t="s">
        <v>45</v>
      </c>
    </row>
    <row r="3" customFormat="false" ht="15" hidden="false" customHeight="false" outlineLevel="0" collapsed="false">
      <c r="B3" s="19" t="s">
        <v>46</v>
      </c>
      <c r="C3" s="20" t="n">
        <v>0.2</v>
      </c>
      <c r="D3" s="9" t="s">
        <v>47</v>
      </c>
    </row>
    <row r="4" customFormat="false" ht="15" hidden="false" customHeight="false" outlineLevel="0" collapsed="false">
      <c r="B4" s="19" t="s">
        <v>48</v>
      </c>
      <c r="C4" s="21" t="n">
        <v>5</v>
      </c>
      <c r="D4" s="9" t="s">
        <v>49</v>
      </c>
    </row>
    <row r="5" customFormat="false" ht="15" hidden="false" customHeight="false" outlineLevel="0" collapsed="false">
      <c r="B5" s="19" t="s">
        <v>50</v>
      </c>
      <c r="C5" s="21" t="n">
        <v>0.1</v>
      </c>
      <c r="D5" s="9" t="s">
        <v>51</v>
      </c>
    </row>
    <row r="7" customFormat="false" ht="30" hidden="false" customHeight="true" outlineLevel="0" collapsed="false">
      <c r="B7" s="22" t="s">
        <v>26</v>
      </c>
      <c r="C7" s="22" t="s">
        <v>52</v>
      </c>
      <c r="D7" s="22" t="s">
        <v>53</v>
      </c>
      <c r="E7" s="22" t="s">
        <v>54</v>
      </c>
      <c r="F7" s="22" t="s">
        <v>55</v>
      </c>
    </row>
    <row r="8" customFormat="false" ht="27.75" hidden="false" customHeight="true" outlineLevel="0" collapsed="false">
      <c r="B8" s="23" t="n">
        <f aca="false">COUNTA(Ürünler!$A$5:$A$504)</f>
        <v>4</v>
      </c>
      <c r="C8" s="24" t="n">
        <f aca="false">IFERROR(AVERAGE(Ürünler!$K$5:$K$504),0)</f>
        <v>0.218983585858586</v>
      </c>
      <c r="D8" s="25" t="n">
        <f aca="false">IFERROR(AVERAGE(Ürünler!$I$5:$I$504),0)</f>
        <v>0.377083333333333</v>
      </c>
      <c r="E8" s="25" t="n">
        <f aca="false">IFERROR(AVERAGE(Ürünler!$J$5:$J$504),0)</f>
        <v>0.485358299802966</v>
      </c>
      <c r="F8" s="26" t="n">
        <f aca="false">COUNTIF(Ürünler!$J$5:$J$504,"&lt;0")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8" t="s">
        <v>56</v>
      </c>
    </row>
    <row r="2" customFormat="false" ht="15" hidden="false" customHeight="false" outlineLevel="0" collapsed="false">
      <c r="A2" s="9" t="s">
        <v>57</v>
      </c>
    </row>
    <row r="4" customFormat="false" ht="27.75" hidden="false" customHeight="true" outlineLevel="0" collapsed="false">
      <c r="A4" s="10" t="s">
        <v>27</v>
      </c>
      <c r="B4" s="10" t="s">
        <v>58</v>
      </c>
    </row>
    <row r="5" customFormat="false" ht="15" hidden="false" customHeight="false" outlineLevel="0" collapsed="false">
      <c r="A5" s="12" t="s">
        <v>38</v>
      </c>
      <c r="B5" s="15" t="n">
        <v>0.25</v>
      </c>
    </row>
    <row r="6" customFormat="false" ht="15" hidden="false" customHeight="false" outlineLevel="0" collapsed="false">
      <c r="A6" s="12" t="s">
        <v>40</v>
      </c>
      <c r="B6" s="15"/>
    </row>
    <row r="7" customFormat="false" ht="15" hidden="false" customHeight="false" outlineLevel="0" collapsed="false">
      <c r="A7" s="12" t="s">
        <v>43</v>
      </c>
      <c r="B7" s="15" t="n">
        <v>0.15</v>
      </c>
    </row>
    <row r="8" customFormat="false" ht="15" hidden="false" customHeight="false" outlineLevel="0" collapsed="false">
      <c r="A8" s="12"/>
      <c r="B8" s="15"/>
    </row>
    <row r="9" customFormat="false" ht="15" hidden="false" customHeight="false" outlineLevel="0" collapsed="false">
      <c r="A9" s="12"/>
      <c r="B9" s="15"/>
    </row>
    <row r="10" customFormat="false" ht="15" hidden="false" customHeight="false" outlineLevel="0" collapsed="false">
      <c r="A10" s="12"/>
      <c r="B10" s="15"/>
    </row>
    <row r="11" customFormat="false" ht="15" hidden="false" customHeight="false" outlineLevel="0" collapsed="false">
      <c r="A11" s="12"/>
      <c r="B11" s="15"/>
    </row>
    <row r="12" customFormat="false" ht="15" hidden="false" customHeight="false" outlineLevel="0" collapsed="false">
      <c r="A12" s="12"/>
      <c r="B12" s="15"/>
    </row>
    <row r="13" customFormat="false" ht="15" hidden="false" customHeight="false" outlineLevel="0" collapsed="false">
      <c r="A13" s="12"/>
      <c r="B13" s="15"/>
    </row>
    <row r="14" customFormat="false" ht="15" hidden="false" customHeight="false" outlineLevel="0" collapsed="false">
      <c r="A14" s="12"/>
      <c r="B14" s="15"/>
    </row>
    <row r="15" customFormat="false" ht="15" hidden="false" customHeight="false" outlineLevel="0" collapsed="false">
      <c r="A15" s="12"/>
      <c r="B15" s="15"/>
    </row>
    <row r="16" customFormat="false" ht="15" hidden="false" customHeight="false" outlineLevel="0" collapsed="false">
      <c r="A16" s="12"/>
      <c r="B16" s="15"/>
    </row>
    <row r="17" customFormat="false" ht="15" hidden="false" customHeight="false" outlineLevel="0" collapsed="false">
      <c r="A17" s="12"/>
      <c r="B17" s="15"/>
    </row>
    <row r="18" customFormat="false" ht="15" hidden="false" customHeight="false" outlineLevel="0" collapsed="false">
      <c r="A18" s="12"/>
      <c r="B18" s="15"/>
    </row>
    <row r="19" customFormat="false" ht="15" hidden="false" customHeight="false" outlineLevel="0" collapsed="false">
      <c r="A19" s="12"/>
      <c r="B19" s="15"/>
    </row>
    <row r="20" customFormat="false" ht="15" hidden="false" customHeight="false" outlineLevel="0" collapsed="false">
      <c r="A20" s="12"/>
      <c r="B20" s="15"/>
    </row>
    <row r="21" customFormat="false" ht="15" hidden="false" customHeight="false" outlineLevel="0" collapsed="false">
      <c r="A21" s="12"/>
      <c r="B21" s="15"/>
    </row>
    <row r="22" customFormat="false" ht="15" hidden="false" customHeight="false" outlineLevel="0" collapsed="false">
      <c r="A22" s="12"/>
      <c r="B22" s="15"/>
    </row>
    <row r="23" customFormat="false" ht="15" hidden="false" customHeight="false" outlineLevel="0" collapsed="false">
      <c r="A23" s="12"/>
      <c r="B23" s="15"/>
    </row>
    <row r="24" customFormat="false" ht="15" hidden="false" customHeight="false" outlineLevel="0" collapsed="false">
      <c r="A24" s="12"/>
      <c r="B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59</v>
      </c>
    </row>
    <row r="2" customFormat="false" ht="30" hidden="false" customHeight="true" outlineLevel="0" collapsed="false">
      <c r="B2" s="27" t="s">
        <v>60</v>
      </c>
      <c r="C2" s="27"/>
    </row>
    <row r="3" customFormat="false" ht="31.5" hidden="false" customHeight="true" outlineLevel="0" collapsed="false">
      <c r="B3" s="28" t="s">
        <v>61</v>
      </c>
      <c r="C3" s="28"/>
    </row>
    <row r="5" customFormat="false" ht="15" hidden="false" customHeight="false" outlineLevel="0" collapsed="false">
      <c r="B5" s="29" t="s">
        <v>62</v>
      </c>
      <c r="C5" s="29" t="s">
        <v>63</v>
      </c>
    </row>
    <row r="6" customFormat="false" ht="31.5" hidden="false" customHeight="true" outlineLevel="0" collapsed="false">
      <c r="B6" s="30" t="s">
        <v>64</v>
      </c>
      <c r="C6" s="31" t="s">
        <v>65</v>
      </c>
    </row>
    <row r="7" customFormat="false" ht="31.5" hidden="false" customHeight="true" outlineLevel="0" collapsed="false">
      <c r="B7" s="32" t="s">
        <v>66</v>
      </c>
      <c r="C7" s="33" t="s">
        <v>67</v>
      </c>
    </row>
    <row r="8" customFormat="false" ht="31.5" hidden="false" customHeight="true" outlineLevel="0" collapsed="false">
      <c r="B8" s="30" t="s">
        <v>68</v>
      </c>
      <c r="C8" s="31" t="s">
        <v>69</v>
      </c>
    </row>
    <row r="9" customFormat="false" ht="31.5" hidden="false" customHeight="true" outlineLevel="0" collapsed="false">
      <c r="B9" s="32" t="s">
        <v>70</v>
      </c>
      <c r="C9" s="33" t="s">
        <v>71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