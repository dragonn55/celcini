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şla" sheetId="1" state="visible" r:id="rId3"/>
    <sheet name="Randevular" sheetId="2" state="visible" r:id="rId4"/>
    <sheet name="Gün" sheetId="3" state="visible" r:id="rId5"/>
    <sheet name="Özet" sheetId="4" state="visible" r:id="rId6"/>
    <sheet name="Hizmetler" sheetId="5" state="visible" r:id="rId7"/>
    <sheet name="Müşteriler" sheetId="6" state="visible" r:id="rId8"/>
    <sheet name="AI Komutları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<sst xmlns="http://schemas.openxmlformats.org/spreadsheetml/2006/main" count="156" uniqueCount="109">
  <si>
    <t xml:space="preserve">EXCEL KLİNİĞİ</t>
  </si>
  <si>
    <t xml:space="preserve">RANDEVU  |  Randevu defteri</t>
  </si>
  <si>
    <t xml:space="preserve">Kuaför, usta, danışman ve klinik için: kim, ne zaman, hangi hizmet, geldi mi, ne kazandırdı.</t>
  </si>
  <si>
    <t xml:space="preserve">NASIL KULLANILIR</t>
  </si>
  <si>
    <t xml:space="preserve">1. Hizmetler</t>
  </si>
  <si>
    <t xml:space="preserve">Hizmetlerini, kaç dakika sürdüğünü ve ücretini yaz.</t>
  </si>
  <si>
    <t xml:space="preserve">2. Müşteriler</t>
  </si>
  <si>
    <t xml:space="preserve">Müşterilerini yaz. Randevu girerken açılır listeden seçersin.</t>
  </si>
  <si>
    <t xml:space="preserve">3. Randevular</t>
  </si>
  <si>
    <t xml:space="preserve">Tarih, saat, müşteri ve hizmeti gir. Bitiş saati hizmet süresinden hesaplanır. Aynı saate iki randevu yazarsan Çakışıyor uyarısı çıkar.</t>
  </si>
  <si>
    <t xml:space="preserve">4. Gün</t>
  </si>
  <si>
    <t xml:space="preserve">Tarihi yaz, o günün programını saat sırasıyla gör ya da yazdır.</t>
  </si>
  <si>
    <t xml:space="preserve">5. Özet</t>
  </si>
  <si>
    <t xml:space="preserve">Aylık randevu, gelen, gelmeyen ve ciro; en çok yapılan hizmetler ve en çok harcayan müşteriler.</t>
  </si>
  <si>
    <t xml:space="preserve">BİLMEN GEREKENLER</t>
  </si>
  <si>
    <t xml:space="preserve">Ciro</t>
  </si>
  <si>
    <t xml:space="preserve">Yalnızca durumu Geldi olan randevular ciroya girer. Özel ücret yazmazsan hizmetin liste ücreti kullanılır.</t>
  </si>
  <si>
    <t xml:space="preserve">Çakışma</t>
  </si>
  <si>
    <t xml:space="preserve">Tek kişinin çalıştığı varsayılır. Birden fazla çalışan varsa her çalışan için ayrı dosya kullan.</t>
  </si>
  <si>
    <t xml:space="preserve">Kapasite</t>
  </si>
  <si>
    <t xml:space="preserve">1000 randevu, 300 müşteri, 50 hizmet. Gün sayfası bir günde en çok 30 randevu gösterir.</t>
  </si>
  <si>
    <t xml:space="preserve">RENKLER</t>
  </si>
  <si>
    <t xml:space="preserve">Sarı hücre</t>
  </si>
  <si>
    <t xml:space="preserve">Senin dolduracağın hücre. İçindeki örnekleri silip kendi bilgini yaz.</t>
  </si>
  <si>
    <t xml:space="preserve">Beyaz hücre, açık başlık</t>
  </si>
  <si>
    <t xml:space="preserve">Formül. Değiştirme, kendiliğinden hesaplanır.</t>
  </si>
  <si>
    <t xml:space="preserve">Randevular</t>
  </si>
  <si>
    <t xml:space="preserve">Her randevu bir satır. Müşteri gelince Durum sütununu Geldi yap; ciro yalnızca Geldi olanlardan hesaplanır.</t>
  </si>
  <si>
    <t xml:space="preserve">Tarih</t>
  </si>
  <si>
    <t xml:space="preserve">Saat</t>
  </si>
  <si>
    <t xml:space="preserve">Müşteri</t>
  </si>
  <si>
    <t xml:space="preserve">Hizmet</t>
  </si>
  <si>
    <t xml:space="preserve">Durum</t>
  </si>
  <si>
    <t xml:space="preserve">Özel ücret (₺) isteğe bağlı</t>
  </si>
  <si>
    <t xml:space="preserve">Tutar (₺)</t>
  </si>
  <si>
    <t xml:space="preserve">Bitiş</t>
  </si>
  <si>
    <t xml:space="preserve">y</t>
  </si>
  <si>
    <t xml:space="preserve">Müşteri Alfa</t>
  </si>
  <si>
    <t xml:space="preserve">Saç kesimi</t>
  </si>
  <si>
    <t xml:space="preserve">Geldi</t>
  </si>
  <si>
    <t xml:space="preserve">Müşteri Delta</t>
  </si>
  <si>
    <t xml:space="preserve">Fön</t>
  </si>
  <si>
    <t xml:space="preserve">Müşteri Beta</t>
  </si>
  <si>
    <t xml:space="preserve">Boya</t>
  </si>
  <si>
    <t xml:space="preserve">Müşteri Gama</t>
  </si>
  <si>
    <t xml:space="preserve">Gelmedi</t>
  </si>
  <si>
    <t xml:space="preserve">Bekliyor</t>
  </si>
  <si>
    <t xml:space="preserve">İptal</t>
  </si>
  <si>
    <t xml:space="preserve">Günlük Program</t>
  </si>
  <si>
    <t xml:space="preserve">Tarihi yaz; o günün randevuları saat sırasıyla listelenir.</t>
  </si>
  <si>
    <t xml:space="preserve">Randevu</t>
  </si>
  <si>
    <t xml:space="preserve">Beklenen ciro</t>
  </si>
  <si>
    <t xml:space="preserve">Telefon</t>
  </si>
  <si>
    <t xml:space="preserve">ücret</t>
  </si>
  <si>
    <t xml:space="preserve">Özet</t>
  </si>
  <si>
    <t xml:space="preserve">Bu sayfada yalnızca yılı değiştir.</t>
  </si>
  <si>
    <t xml:space="preserve">Yıl</t>
  </si>
  <si>
    <t xml:space="preserve">Yıl cirosu</t>
  </si>
  <si>
    <t xml:space="preserve">Gelen</t>
  </si>
  <si>
    <t xml:space="preserve">Gelmeyen</t>
  </si>
  <si>
    <t xml:space="preserve">Gelmeme oranı</t>
  </si>
  <si>
    <t xml:space="preserve">Aylık tablo</t>
  </si>
  <si>
    <t xml:space="preserve">En çok yapılan 5 hizmet</t>
  </si>
  <si>
    <t xml:space="preserve">Ay</t>
  </si>
  <si>
    <t xml:space="preserve">Ciro (₺)</t>
  </si>
  <si>
    <t xml:space="preserve">Yapılan</t>
  </si>
  <si>
    <t xml:space="preserve">Ocak</t>
  </si>
  <si>
    <t xml:space="preserve">Şubat</t>
  </si>
  <si>
    <t xml:space="preserve">Mart</t>
  </si>
  <si>
    <t xml:space="preserve">Nisan</t>
  </si>
  <si>
    <t xml:space="preserve">Mayıs</t>
  </si>
  <si>
    <t xml:space="preserve">Haziran</t>
  </si>
  <si>
    <t xml:space="preserve">Temmuz</t>
  </si>
  <si>
    <t xml:space="preserve">En çok harcayan 5 müşteri</t>
  </si>
  <si>
    <t xml:space="preserve">Ağustos</t>
  </si>
  <si>
    <t xml:space="preserve">Harcama (₺)</t>
  </si>
  <si>
    <t xml:space="preserve">Eylül</t>
  </si>
  <si>
    <t xml:space="preserve">Ekim</t>
  </si>
  <si>
    <t xml:space="preserve">Kasım</t>
  </si>
  <si>
    <t xml:space="preserve">Aralık</t>
  </si>
  <si>
    <t xml:space="preserve">TOPLAM</t>
  </si>
  <si>
    <t xml:space="preserve">Hizmetler</t>
  </si>
  <si>
    <t xml:space="preserve">Verdiğin hizmetleri, süresini ve ücretini yaz.</t>
  </si>
  <si>
    <t xml:space="preserve">Süre (dakika)</t>
  </si>
  <si>
    <t xml:space="preserve">Ücret (₺)</t>
  </si>
  <si>
    <t xml:space="preserve">Müşteriler</t>
  </si>
  <si>
    <t xml:space="preserve">Müşterilerini yaz. Randevu sayısı, harcama ve son ziyaret kendiliğinden hesaplanır.</t>
  </si>
  <si>
    <t xml:space="preserve">Ad</t>
  </si>
  <si>
    <t xml:space="preserve">Not</t>
  </si>
  <si>
    <t xml:space="preserve">Toplam harcama (₺)</t>
  </si>
  <si>
    <t xml:space="preserve">Son ziyaret</t>
  </si>
  <si>
    <t xml:space="preserve">Örnek</t>
  </si>
  <si>
    <t xml:space="preserve">Yapay Zeka Komutları</t>
  </si>
  <si>
    <t xml:space="preserve">İlgili sayfada başlık satırıyla birlikte kayıtlarını seç, kopyala, kullandığın yapay zeka asistanına yapıştır ve altına komutu ekle.</t>
  </si>
  <si>
    <t xml:space="preserve">Dikkat: Müşteri adlarını ve telefonlarını yapıştırmadan önce sil ya da takma adla değiştir. Yapay zekanın verdiği rakamları dosyadaki özet sayfasıyla karşılaştır.</t>
  </si>
  <si>
    <t xml:space="preserve">Ne için</t>
  </si>
  <si>
    <t xml:space="preserve">Komut (kopyala, yapıştır)</t>
  </si>
  <si>
    <t xml:space="preserve">Gelmeyenler</t>
  </si>
  <si>
    <t xml:space="preserve">[Randevular sayfası] Gelmedi durumundaki randevuları say. Hangi gün ve saatlerde daha çok gelmeme oluyor? Azaltmak için iki öneri ver.</t>
  </si>
  <si>
    <t xml:space="preserve">Hatırlatma mesajı</t>
  </si>
  <si>
    <t xml:space="preserve">Yarınki randevular için müşteriye gönderilecek kısa ve kibar bir hatırlatma mesajı yaz. Tarih ve saat için boşluk bırak.</t>
  </si>
  <si>
    <t xml:space="preserve">Dolu ve boş saatler</t>
  </si>
  <si>
    <t xml:space="preserve">[Randevular sayfası] Haftanın günlerine ve saat dilimlerine göre randevu yoğunluğunu çıkar. En boş üç dilim için kampanya öner.</t>
  </si>
  <si>
    <t xml:space="preserve">Geri dönmeyen müşteri</t>
  </si>
  <si>
    <t xml:space="preserve">[Müşteriler sayfası] Son ziyareti 60 günden eski olan müşterileri listele ve onlara gönderilecek kısa bir davet mesajı yaz.</t>
  </si>
  <si>
    <t xml:space="preserve">Fiyat kontrolü</t>
  </si>
  <si>
    <t xml:space="preserve">[Hizmetler sayfası] Dakika başına ücreti hesapla. En düşük kalan hizmetler için fiyat ya da süre önerisi ver.</t>
  </si>
  <si>
    <t xml:space="preserve">Aylık özet</t>
  </si>
  <si>
    <t xml:space="preserve">[Özet sayfasındaki aylık tablo] Aylara göre ciro ve gelmeme oranını üç cümleyle yorumla.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</si>
</sst>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dd\.mm\.yyyy"/>
    <numFmt numFmtId="166" formatCode="hh:mm"/>
    <numFmt numFmtId="167" formatCode="#,##0.00&quot; ₺&quot;"/>
    <numFmt numFmtId="168" formatCode="#,##0.00&quot; ₺&quot;;[RED]\-#,##0.00&quot; ₺&quot;;\-"/>
    <numFmt numFmtId="169" formatCode="hh:mm:ss\ AM/PM"/>
    <numFmt numFmtId="170" formatCode="#,##0;[RED]\-#,##0;\-"/>
    <numFmt numFmtId="171" formatCode="0"/>
    <numFmt numFmtId="172" formatCode="0.0%"/>
    <numFmt numFmtId="173" formatCode="#,##0"/>
    <numFmt numFmtId="174" formatCode="@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20"/>
      <color rgb="FF1F6F43"/>
      <name val="Arial"/>
      <family val="0"/>
      <charset val="1"/>
    </font>
    <font>
      <sz val="10"/>
      <color rgb="FF475467"/>
      <name val="Arial"/>
      <family val="0"/>
      <charset val="1"/>
    </font>
    <font>
      <b val="true"/>
      <sz val="10"/>
      <color rgb="FF1F6F43"/>
      <name val="Arial"/>
      <family val="0"/>
      <charset val="1"/>
    </font>
    <font>
      <b val="true"/>
      <sz val="10"/>
      <color rgb="FF1B1F23"/>
      <name val="Arial"/>
      <family val="0"/>
      <charset val="1"/>
    </font>
    <font>
      <sz val="10"/>
      <color rgb="FF1B1F23"/>
      <name val="Arial"/>
      <family val="0"/>
      <charset val="1"/>
    </font>
    <font>
      <b val="true"/>
      <sz val="16"/>
      <color rgb="FF1F6F43"/>
      <name val="Arial"/>
      <family val="0"/>
      <charset val="1"/>
    </font>
    <font>
      <i val="true"/>
      <sz val="9"/>
      <color rgb="FF47546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1F2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1B1F23"/>
      <name val="Arial"/>
      <family val="0"/>
      <charset val="1"/>
    </font>
    <font>
      <b val="true"/>
      <sz val="12"/>
      <color rgb="FFB42318"/>
      <name val="Arial"/>
      <family val="0"/>
      <charset val="1"/>
    </font>
    <font>
      <b val="true"/>
      <sz val="11"/>
      <color rgb="FF1F6F4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B4231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6F43"/>
        <bgColor rgb="FF3B8A5E"/>
      </patternFill>
    </fill>
    <fill>
      <patternFill patternType="solid">
        <fgColor rgb="FFE8F5EE"/>
        <bgColor rgb="FFF3F4F6"/>
      </patternFill>
    </fill>
    <fill>
      <patternFill patternType="solid">
        <fgColor rgb="FFFFF9DB"/>
        <bgColor rgb="FFF3F4F6"/>
      </patternFill>
    </fill>
    <fill>
      <patternFill patternType="solid">
        <fgColor rgb="FF3B8A5E"/>
        <bgColor rgb="FF1F6F43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E8F5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1F6F43"/>
      </font>
      <fill>
        <patternFill>
          <bgColor rgb="FFE8F5EE"/>
        </patternFill>
      </fill>
    </dxf>
    <dxf>
      <font>
        <name val="Arial"/>
        <charset val="1"/>
        <family val="0"/>
        <b val="1"/>
        <color rgb="FFB42318"/>
      </font>
      <fill>
        <patternFill>
          <bgColor rgb="FFFDE2E0"/>
        </patternFill>
      </fill>
    </dxf>
    <dxf>
      <font>
        <name val="Arial"/>
        <charset val="1"/>
        <family val="0"/>
        <b val="1"/>
        <color rgb="FF667085"/>
      </font>
      <fill>
        <patternFill>
          <bgColor rgb="FFF3F4F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D9D9D9"/>
      <rgbColor rgb="FF878787"/>
      <rgbColor rgb="FF9999FF"/>
      <rgbColor rgb="FF993366"/>
      <rgbColor rgb="FFFFF9DB"/>
      <rgbColor rgb="FFE8F5EE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DE2E0"/>
      <rgbColor rgb="FF3366FF"/>
      <rgbColor rgb="FF33CCCC"/>
      <rgbColor rgb="FF99CC00"/>
      <rgbColor rgb="FFFFCC00"/>
      <rgbColor rgb="FFFF9900"/>
      <rgbColor rgb="FFFF6600"/>
      <rgbColor rgb="FF667085"/>
      <rgbColor rgb="FF969696"/>
      <rgbColor rgb="FF003366"/>
      <rgbColor rgb="FF3B8A5E"/>
      <rgbColor rgb="FF003300"/>
      <rgbColor rgb="FF333300"/>
      <rgbColor rgb="FFB42318"/>
      <rgbColor rgb="FF993366"/>
      <rgbColor rgb="FF475467"/>
      <rgbColor rgb="FF1B1F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Aylık ciro (₺)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Özet!F10</c:f>
              <c:strCache>
                <c:ptCount val="1"/>
                <c:pt idx="0">
                  <c:v>Ciro (₺)</c:v>
                </c:pt>
              </c:strCache>
            </c:strRef>
          </c:tx>
          <c:spPr>
            <a:solidFill>
              <a:srgbClr val="1f6f4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Özet!$B$11:$B$22</c:f>
              <c:strCache>
                <c:ptCount val="12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  <c:pt idx="6">
                  <c:v>Temmuz</c:v>
                </c:pt>
                <c:pt idx="7">
                  <c:v>Ağustos</c:v>
                </c:pt>
                <c:pt idx="8">
                  <c:v>Eylül</c:v>
                </c:pt>
                <c:pt idx="9">
                  <c:v>Ekim</c:v>
                </c:pt>
                <c:pt idx="10">
                  <c:v>Kasım</c:v>
                </c:pt>
                <c:pt idx="11">
                  <c:v>Aralık</c:v>
                </c:pt>
              </c:strCache>
            </c:strRef>
          </c:cat>
          <c:val>
            <c:numRef>
              <c:f>Özet!$F$11:$F$22</c:f>
              <c:numCache>
                <c:formatCode>#,##0.00" ₺";[RED]\-#,##0.00" ₺";\-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3100</c:v>
                </c:pt>
                <c:pt idx="9">
                  <c:v>3200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43589872"/>
        <c:axId val="65208007"/>
      </c:barChart>
      <c:catAx>
        <c:axId val="4358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208007"/>
        <c:crosses val="autoZero"/>
        <c:auto val="1"/>
        <c:lblAlgn val="ctr"/>
        <c:lblOffset val="100"/>
        <c:noMultiLvlLbl val="0"/>
      </c:catAx>
      <c:valAx>
        <c:axId val="65208007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58987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23</xdr:row>
      <xdr:rowOff>130680</xdr:rowOff>
    </xdr:from>
    <xdr:to>
      <xdr:col>6</xdr:col>
      <xdr:colOff>684720</xdr:colOff>
      <xdr:row>37</xdr:row>
      <xdr:rowOff>163440</xdr:rowOff>
    </xdr:to>
    <xdr:graphicFrame>
      <xdr:nvGraphicFramePr>
        <xdr:cNvPr id="0" name="Chart 1"/>
        <xdr:cNvGraphicFramePr/>
      </xdr:nvGraphicFramePr>
      <xdr:xfrm>
        <a:off x="211320" y="509580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2:C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88"/>
  </cols>
  <sheetData>
    <row r="2" customFormat="false" ht="24" hidden="false" customHeight="true" outlineLevel="0" collapsed="false">
      <c r="B2" s="1" t="s">
        <v>0</v>
      </c>
      <c r="C2" s="1"/>
    </row>
    <row r="3" customFormat="false" ht="36" hidden="false" customHeight="true" outlineLevel="0" collapsed="false">
      <c r="B3" s="2" t="s">
        <v>1</v>
      </c>
      <c r="C3" s="2"/>
    </row>
    <row r="4" customFormat="false" ht="15" hidden="false" customHeight="false" outlineLevel="0" collapsed="false">
      <c r="B4" s="3" t="s">
        <v>2</v>
      </c>
      <c r="C4" s="3"/>
    </row>
    <row r="6" customFormat="false" ht="19.5" hidden="false" customHeight="true" outlineLevel="0" collapsed="false">
      <c r="B6" s="4" t="s">
        <v>3</v>
      </c>
      <c r="C6" s="4"/>
    </row>
    <row r="7" customFormat="false" ht="18" hidden="false" customHeight="true" outlineLevel="0" collapsed="false">
      <c r="B7" s="5" t="s">
        <v>4</v>
      </c>
      <c r="C7" s="6" t="s">
        <v>5</v>
      </c>
    </row>
    <row r="8" customFormat="false" ht="18" hidden="false" customHeight="true" outlineLevel="0" collapsed="false">
      <c r="B8" s="5" t="s">
        <v>6</v>
      </c>
      <c r="C8" s="6" t="s">
        <v>7</v>
      </c>
    </row>
    <row r="9" customFormat="false" ht="30" hidden="false" customHeight="true" outlineLevel="0" collapsed="false">
      <c r="B9" s="5" t="s">
        <v>8</v>
      </c>
      <c r="C9" s="6" t="s">
        <v>9</v>
      </c>
    </row>
    <row r="10" customFormat="false" ht="18" hidden="false" customHeight="true" outlineLevel="0" collapsed="false">
      <c r="B10" s="5" t="s">
        <v>10</v>
      </c>
      <c r="C10" s="6" t="s">
        <v>11</v>
      </c>
    </row>
    <row r="11" customFormat="false" ht="30" hidden="false" customHeight="true" outlineLevel="0" collapsed="false">
      <c r="B11" s="5" t="s">
        <v>12</v>
      </c>
      <c r="C11" s="6" t="s">
        <v>13</v>
      </c>
    </row>
    <row r="13" customFormat="false" ht="19.5" hidden="false" customHeight="true" outlineLevel="0" collapsed="false">
      <c r="B13" s="4" t="s">
        <v>14</v>
      </c>
      <c r="C13" s="4"/>
    </row>
    <row r="14" customFormat="false" ht="30" hidden="false" customHeight="true" outlineLevel="0" collapsed="false">
      <c r="B14" s="5" t="s">
        <v>15</v>
      </c>
      <c r="C14" s="6" t="s">
        <v>16</v>
      </c>
    </row>
    <row r="15" customFormat="false" ht="30" hidden="false" customHeight="true" outlineLevel="0" collapsed="false">
      <c r="B15" s="5" t="s">
        <v>17</v>
      </c>
      <c r="C15" s="6" t="s">
        <v>18</v>
      </c>
    </row>
    <row r="16" customFormat="false" ht="18" hidden="false" customHeight="true" outlineLevel="0" collapsed="false">
      <c r="B16" s="5" t="s">
        <v>19</v>
      </c>
      <c r="C16" s="6" t="s">
        <v>20</v>
      </c>
    </row>
    <row r="18" customFormat="false" ht="19.5" hidden="false" customHeight="true" outlineLevel="0" collapsed="false">
      <c r="B18" s="4" t="s">
        <v>21</v>
      </c>
      <c r="C18" s="4"/>
    </row>
    <row r="19" customFormat="false" ht="18" hidden="false" customHeight="true" outlineLevel="0" collapsed="false">
      <c r="B19" s="7" t="s">
        <v>22</v>
      </c>
      <c r="C19" s="6" t="s">
        <v>23</v>
      </c>
    </row>
    <row r="20" customFormat="false" ht="18" hidden="false" customHeight="true" outlineLevel="0" collapsed="false">
      <c r="B20" s="5" t="s">
        <v>24</v>
      </c>
      <c r="C20" s="6" t="s">
        <v>25</v>
      </c>
    </row>
  </sheetData>
  <mergeCells count="6">
    <mergeCell ref="B2:C2"/>
    <mergeCell ref="B3:C3"/>
    <mergeCell ref="B4:C4"/>
    <mergeCell ref="B6:C6"/>
    <mergeCell ref="B13:C13"/>
    <mergeCell ref="B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J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7" min="6" style="0" width="13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true" outlineLevel="0" max="10" min="10" style="0" width="4"/>
  </cols>
  <sheetData>
    <row r="1" customFormat="false" ht="19.7" hidden="false" customHeight="false" outlineLevel="0" collapsed="false">
      <c r="A1" s="8" t="s">
        <v>26</v>
      </c>
    </row>
    <row r="2" customFormat="false" ht="15" hidden="false" customHeight="false" outlineLevel="0" collapsed="false">
      <c r="A2" s="9" t="s">
        <v>27</v>
      </c>
    </row>
    <row r="4" customFormat="false" ht="27.75" hidden="false" customHeight="true" outlineLevel="0" collapsed="false">
      <c r="A4" s="10" t="s">
        <v>28</v>
      </c>
      <c r="B4" s="10" t="s">
        <v>29</v>
      </c>
      <c r="C4" s="10" t="s">
        <v>30</v>
      </c>
      <c r="D4" s="10" t="s">
        <v>31</v>
      </c>
      <c r="E4" s="10" t="s">
        <v>32</v>
      </c>
      <c r="F4" s="10" t="s">
        <v>33</v>
      </c>
      <c r="G4" s="11" t="s">
        <v>34</v>
      </c>
      <c r="H4" s="11" t="s">
        <v>35</v>
      </c>
      <c r="I4" s="11" t="s">
        <v>17</v>
      </c>
      <c r="J4" s="11" t="s">
        <v>36</v>
      </c>
    </row>
    <row r="5" customFormat="false" ht="15" hidden="false" customHeight="false" outlineLevel="0" collapsed="false">
      <c r="A5" s="12" t="n">
        <v>46300</v>
      </c>
      <c r="B5" s="13" t="n">
        <v>0.416666666666667</v>
      </c>
      <c r="C5" s="14" t="s">
        <v>37</v>
      </c>
      <c r="D5" s="14" t="s">
        <v>38</v>
      </c>
      <c r="E5" s="15" t="s">
        <v>39</v>
      </c>
      <c r="F5" s="16"/>
      <c r="G5" s="17" t="n">
        <f aca="false">IF(D5="","",IF(E5="Geldi",IF(F5="",IFERROR(INDEX(Hizmetler!$C$5:$C$54,MATCH(D5,Hizmetler!$A$5:$A$54,0)),0),F5),0))</f>
        <v>600</v>
      </c>
      <c r="H5" s="18" t="n">
        <f aca="false">IF(OR(B5="",D5=""),"",ROUND((B5+IFERROR(INDEX(Hizmetler!$B$5:$B$54,MATCH(D5,Hizmetler!$A$5:$A$54,0)),0)/1440)*1440,0)/1440)</f>
        <v>0.4375</v>
      </c>
      <c r="I5" s="19" t="str">
        <f aca="false">IF(OR(A5="",H5="",E5="İptal"),"",IF(COUNTIFS($A$5:$A$1004,A5,$B$5:$B$1004,"&lt;"&amp;(H5-0.0003),$H$5:$H$1004,"&gt;"&amp;(B5+0.0003),$E$5:$E$1004,"&lt;&gt;İptal")&gt;1,"Çakışıyor",""))</f>
        <v/>
      </c>
      <c r="J5" s="20" t="n">
        <f aca="false">IF(AND(A5=Gün!$C$3,B5&lt;&gt;"",E5&lt;&gt;"İptal"),B5+ROW()/100000000,"")</f>
        <v>0.416666716666667</v>
      </c>
    </row>
    <row r="6" customFormat="false" ht="15" hidden="false" customHeight="false" outlineLevel="0" collapsed="false">
      <c r="A6" s="12" t="n">
        <v>46300</v>
      </c>
      <c r="B6" s="13" t="n">
        <v>0.4375</v>
      </c>
      <c r="C6" s="14" t="s">
        <v>40</v>
      </c>
      <c r="D6" s="14" t="s">
        <v>41</v>
      </c>
      <c r="E6" s="15" t="s">
        <v>39</v>
      </c>
      <c r="F6" s="16"/>
      <c r="G6" s="17" t="n">
        <f aca="false">IF(D6="","",IF(E6="Geldi",IF(F6="",IFERROR(INDEX(Hizmetler!$C$5:$C$54,MATCH(D6,Hizmetler!$A$5:$A$54,0)),0),F6),0))</f>
        <v>400</v>
      </c>
      <c r="H6" s="18" t="n">
        <f aca="false">IF(OR(B6="",D6=""),"",ROUND((B6+IFERROR(INDEX(Hizmetler!$B$5:$B$54,MATCH(D6,Hizmetler!$A$5:$A$54,0)),0)/1440)*1440,0)/1440)</f>
        <v>0.458333333333333</v>
      </c>
      <c r="I6" s="19" t="str">
        <f aca="false">IF(OR(A6="",H6="",E6="İptal"),"",IF(COUNTIFS($A$5:$A$1004,A6,$B$5:$B$1004,"&lt;"&amp;(H6-0.0003),$H$5:$H$1004,"&gt;"&amp;(B6+0.0003),$E$5:$E$1004,"&lt;&gt;İptal")&gt;1,"Çakışıyor",""))</f>
        <v/>
      </c>
      <c r="J6" s="20" t="n">
        <f aca="false">IF(AND(A6=Gün!$C$3,B6&lt;&gt;"",E6&lt;&gt;"İptal"),B6+ROW()/100000000,"")</f>
        <v>0.43750006</v>
      </c>
    </row>
    <row r="7" customFormat="false" ht="15" hidden="false" customHeight="false" outlineLevel="0" collapsed="false">
      <c r="A7" s="12" t="n">
        <v>46300</v>
      </c>
      <c r="B7" s="13" t="n">
        <v>0.458333333333333</v>
      </c>
      <c r="C7" s="14" t="s">
        <v>42</v>
      </c>
      <c r="D7" s="14" t="s">
        <v>43</v>
      </c>
      <c r="E7" s="15" t="s">
        <v>39</v>
      </c>
      <c r="F7" s="16" t="n">
        <v>2200</v>
      </c>
      <c r="G7" s="17" t="n">
        <f aca="false">IF(D7="","",IF(E7="Geldi",IF(F7="",IFERROR(INDEX(Hizmetler!$C$5:$C$54,MATCH(D7,Hizmetler!$A$5:$A$54,0)),0),F7),0))</f>
        <v>2200</v>
      </c>
      <c r="H7" s="18" t="n">
        <f aca="false">IF(OR(B7="",D7=""),"",ROUND((B7+IFERROR(INDEX(Hizmetler!$B$5:$B$54,MATCH(D7,Hizmetler!$A$5:$A$54,0)),0)/1440)*1440,0)/1440)</f>
        <v>0.520833333333333</v>
      </c>
      <c r="I7" s="19" t="str">
        <f aca="false">IF(OR(A7="",H7="",E7="İptal"),"",IF(COUNTIFS($A$5:$A$1004,A7,$B$5:$B$1004,"&lt;"&amp;(H7-0.0003),$H$5:$H$1004,"&gt;"&amp;(B7+0.0003),$E$5:$E$1004,"&lt;&gt;İptal")&gt;1,"Çakışıyor",""))</f>
        <v/>
      </c>
      <c r="J7" s="20" t="n">
        <f aca="false">IF(AND(A7=Gün!$C$3,B7&lt;&gt;"",E7&lt;&gt;"İptal"),B7+ROW()/100000000,"")</f>
        <v>0.458333403333333</v>
      </c>
    </row>
    <row r="8" customFormat="false" ht="15" hidden="false" customHeight="false" outlineLevel="0" collapsed="false">
      <c r="A8" s="12" t="n">
        <v>46300</v>
      </c>
      <c r="B8" s="13" t="n">
        <v>0.520833333333333</v>
      </c>
      <c r="C8" s="14" t="s">
        <v>44</v>
      </c>
      <c r="D8" s="14" t="s">
        <v>38</v>
      </c>
      <c r="E8" s="15" t="s">
        <v>45</v>
      </c>
      <c r="F8" s="16"/>
      <c r="G8" s="17" t="n">
        <f aca="false">IF(D8="","",IF(E8="Geldi",IF(F8="",IFERROR(INDEX(Hizmetler!$C$5:$C$54,MATCH(D8,Hizmetler!$A$5:$A$54,0)),0),F8),0))</f>
        <v>0</v>
      </c>
      <c r="H8" s="18" t="n">
        <f aca="false">IF(OR(B8="",D8=""),"",ROUND((B8+IFERROR(INDEX(Hizmetler!$B$5:$B$54,MATCH(D8,Hizmetler!$A$5:$A$54,0)),0)/1440)*1440,0)/1440)</f>
        <v>0.541666666666667</v>
      </c>
      <c r="I8" s="19" t="str">
        <f aca="false">IF(OR(A8="",H8="",E8="İptal"),"",IF(COUNTIFS($A$5:$A$1004,A8,$B$5:$B$1004,"&lt;"&amp;(H8-0.0003),$H$5:$H$1004,"&gt;"&amp;(B8+0.0003),$E$5:$E$1004,"&lt;&gt;İptal")&gt;1,"Çakışıyor",""))</f>
        <v/>
      </c>
      <c r="J8" s="20" t="n">
        <f aca="false">IF(AND(A8=Gün!$C$3,B8&lt;&gt;"",E8&lt;&gt;"İptal"),B8+ROW()/100000000,"")</f>
        <v>0.520833413333333</v>
      </c>
    </row>
    <row r="9" customFormat="false" ht="15" hidden="false" customHeight="false" outlineLevel="0" collapsed="false">
      <c r="A9" s="12" t="n">
        <v>46301</v>
      </c>
      <c r="B9" s="13" t="n">
        <v>0.583333333333333</v>
      </c>
      <c r="C9" s="14" t="s">
        <v>37</v>
      </c>
      <c r="D9" s="14" t="s">
        <v>43</v>
      </c>
      <c r="E9" s="15" t="s">
        <v>46</v>
      </c>
      <c r="F9" s="16"/>
      <c r="G9" s="17" t="n">
        <f aca="false">IF(D9="","",IF(E9="Geldi",IF(F9="",IFERROR(INDEX(Hizmetler!$C$5:$C$54,MATCH(D9,Hizmetler!$A$5:$A$54,0)),0),F9),0))</f>
        <v>0</v>
      </c>
      <c r="H9" s="18" t="n">
        <f aca="false">IF(OR(B9="",D9=""),"",ROUND((B9+IFERROR(INDEX(Hizmetler!$B$5:$B$54,MATCH(D9,Hizmetler!$A$5:$A$54,0)),0)/1440)*1440,0)/1440)</f>
        <v>0.645833333333333</v>
      </c>
      <c r="I9" s="19" t="str">
        <f aca="false">IF(OR(A9="",H9="",E9="İptal"),"",IF(COUNTIFS($A$5:$A$1004,A9,$B$5:$B$1004,"&lt;"&amp;(H9-0.0003),$H$5:$H$1004,"&gt;"&amp;(B9+0.0003),$E$5:$E$1004,"&lt;&gt;İptal")&gt;1,"Çakışıyor",""))</f>
        <v/>
      </c>
      <c r="J9" s="21" t="str">
        <f aca="false">IF(AND(A9=Gün!$C$3,B9&lt;&gt;"",E9&lt;&gt;"İptal"),B9+ROW()/100000000,"")</f>
        <v/>
      </c>
    </row>
    <row r="10" customFormat="false" ht="15" hidden="false" customHeight="false" outlineLevel="0" collapsed="false">
      <c r="A10" s="12" t="n">
        <v>46301</v>
      </c>
      <c r="B10" s="13" t="n">
        <v>0.645833333333333</v>
      </c>
      <c r="C10" s="14" t="s">
        <v>40</v>
      </c>
      <c r="D10" s="14" t="s">
        <v>38</v>
      </c>
      <c r="E10" s="15" t="s">
        <v>46</v>
      </c>
      <c r="F10" s="16"/>
      <c r="G10" s="17" t="n">
        <f aca="false">IF(D10="","",IF(E10="Geldi",IF(F10="",IFERROR(INDEX(Hizmetler!$C$5:$C$54,MATCH(D10,Hizmetler!$A$5:$A$54,0)),0),F10),0))</f>
        <v>0</v>
      </c>
      <c r="H10" s="18" t="n">
        <f aca="false">IF(OR(B10="",D10=""),"",ROUND((B10+IFERROR(INDEX(Hizmetler!$B$5:$B$54,MATCH(D10,Hizmetler!$A$5:$A$54,0)),0)/1440)*1440,0)/1440)</f>
        <v>0.666666666666667</v>
      </c>
      <c r="I10" s="19" t="str">
        <f aca="false">IF(OR(A10="",H10="",E10="İptal"),"",IF(COUNTIFS($A$5:$A$1004,A10,$B$5:$B$1004,"&lt;"&amp;(H10-0.0003),$H$5:$H$1004,"&gt;"&amp;(B10+0.0003),$E$5:$E$1004,"&lt;&gt;İptal")&gt;1,"Çakışıyor",""))</f>
        <v/>
      </c>
      <c r="J10" s="21" t="str">
        <f aca="false">IF(AND(A10=Gün!$C$3,B10&lt;&gt;"",E10&lt;&gt;"İptal"),B10+ROW()/100000000,"")</f>
        <v/>
      </c>
    </row>
    <row r="11" customFormat="false" ht="15" hidden="false" customHeight="false" outlineLevel="0" collapsed="false">
      <c r="A11" s="12" t="n">
        <v>46301</v>
      </c>
      <c r="B11" s="13" t="n">
        <v>0.645833333333333</v>
      </c>
      <c r="C11" s="14" t="s">
        <v>42</v>
      </c>
      <c r="D11" s="14" t="s">
        <v>41</v>
      </c>
      <c r="E11" s="15" t="s">
        <v>47</v>
      </c>
      <c r="F11" s="16"/>
      <c r="G11" s="17" t="n">
        <f aca="false">IF(D11="","",IF(E11="Geldi",IF(F11="",IFERROR(INDEX(Hizmetler!$C$5:$C$54,MATCH(D11,Hizmetler!$A$5:$A$54,0)),0),F11),0))</f>
        <v>0</v>
      </c>
      <c r="H11" s="18" t="n">
        <f aca="false">IF(OR(B11="",D11=""),"",ROUND((B11+IFERROR(INDEX(Hizmetler!$B$5:$B$54,MATCH(D11,Hizmetler!$A$5:$A$54,0)),0)/1440)*1440,0)/1440)</f>
        <v>0.666666666666667</v>
      </c>
      <c r="I11" s="19" t="str">
        <f aca="false">IF(OR(A11="",H11="",E11="İptal"),"",IF(COUNTIFS($A$5:$A$1004,A11,$B$5:$B$1004,"&lt;"&amp;(H11-0.0003),$H$5:$H$1004,"&gt;"&amp;(B11+0.0003),$E$5:$E$1004,"&lt;&gt;İptal")&gt;1,"Çakışıyor",""))</f>
        <v/>
      </c>
      <c r="J11" s="21" t="str">
        <f aca="false">IF(AND(A11=Gün!$C$3,B11&lt;&gt;"",E11&lt;&gt;"İptal"),B11+ROW()/100000000,"")</f>
        <v/>
      </c>
    </row>
    <row r="12" customFormat="false" ht="15" hidden="false" customHeight="false" outlineLevel="0" collapsed="false">
      <c r="A12" s="12" t="n">
        <v>46285</v>
      </c>
      <c r="B12" s="13" t="n">
        <v>0.541666666666667</v>
      </c>
      <c r="C12" s="14" t="s">
        <v>44</v>
      </c>
      <c r="D12" s="14" t="s">
        <v>43</v>
      </c>
      <c r="E12" s="15" t="s">
        <v>39</v>
      </c>
      <c r="F12" s="16"/>
      <c r="G12" s="17" t="n">
        <f aca="false">IF(D12="","",IF(E12="Geldi",IF(F12="",IFERROR(INDEX(Hizmetler!$C$5:$C$54,MATCH(D12,Hizmetler!$A$5:$A$54,0)),0),F12),0))</f>
        <v>2500</v>
      </c>
      <c r="H12" s="18" t="n">
        <f aca="false">IF(OR(B12="",D12=""),"",ROUND((B12+IFERROR(INDEX(Hizmetler!$B$5:$B$54,MATCH(D12,Hizmetler!$A$5:$A$54,0)),0)/1440)*1440,0)/1440)</f>
        <v>0.604166666666667</v>
      </c>
      <c r="I12" s="19" t="str">
        <f aca="false">IF(OR(A12="",H12="",E12="İptal"),"",IF(COUNTIFS($A$5:$A$1004,A12,$B$5:$B$1004,"&lt;"&amp;(H12-0.0003),$H$5:$H$1004,"&gt;"&amp;(B12+0.0003),$E$5:$E$1004,"&lt;&gt;İptal")&gt;1,"Çakışıyor",""))</f>
        <v/>
      </c>
      <c r="J12" s="21" t="str">
        <f aca="false">IF(AND(A12=Gün!$C$3,B12&lt;&gt;"",E12&lt;&gt;"İptal"),B12+ROW()/100000000,"")</f>
        <v/>
      </c>
    </row>
    <row r="13" customFormat="false" ht="15" hidden="false" customHeight="false" outlineLevel="0" collapsed="false">
      <c r="A13" s="12" t="n">
        <v>46287</v>
      </c>
      <c r="B13" s="13" t="n">
        <v>0.666666666666667</v>
      </c>
      <c r="C13" s="14" t="s">
        <v>40</v>
      </c>
      <c r="D13" s="14" t="s">
        <v>38</v>
      </c>
      <c r="E13" s="15" t="s">
        <v>39</v>
      </c>
      <c r="F13" s="16"/>
      <c r="G13" s="17" t="n">
        <f aca="false">IF(D13="","",IF(E13="Geldi",IF(F13="",IFERROR(INDEX(Hizmetler!$C$5:$C$54,MATCH(D13,Hizmetler!$A$5:$A$54,0)),0),F13),0))</f>
        <v>600</v>
      </c>
      <c r="H13" s="18" t="n">
        <f aca="false">IF(OR(B13="",D13=""),"",ROUND((B13+IFERROR(INDEX(Hizmetler!$B$5:$B$54,MATCH(D13,Hizmetler!$A$5:$A$54,0)),0)/1440)*1440,0)/1440)</f>
        <v>0.6875</v>
      </c>
      <c r="I13" s="19" t="str">
        <f aca="false">IF(OR(A13="",H13="",E13="İptal"),"",IF(COUNTIFS($A$5:$A$1004,A13,$B$5:$B$1004,"&lt;"&amp;(H13-0.0003),$H$5:$H$1004,"&gt;"&amp;(B13+0.0003),$E$5:$E$1004,"&lt;&gt;İptal")&gt;1,"Çakışıyor",""))</f>
        <v/>
      </c>
      <c r="J13" s="21" t="str">
        <f aca="false">IF(AND(A13=Gün!$C$3,B13&lt;&gt;"",E13&lt;&gt;"İptal"),B13+ROW()/100000000,"")</f>
        <v/>
      </c>
    </row>
    <row r="14" customFormat="false" ht="15" hidden="false" customHeight="false" outlineLevel="0" collapsed="false">
      <c r="A14" s="12"/>
      <c r="B14" s="13"/>
      <c r="C14" s="14"/>
      <c r="D14" s="14"/>
      <c r="E14" s="15"/>
      <c r="F14" s="16"/>
      <c r="G14" s="17" t="str">
        <f aca="false">IF(D14="","",IF(E14="Geldi",IF(F14="",IFERROR(INDEX(Hizmetler!$C$5:$C$54,MATCH(D14,Hizmetler!$A$5:$A$54,0)),0),F14),0))</f>
        <v/>
      </c>
      <c r="H14" s="18" t="str">
        <f aca="false">IF(OR(B14="",D14=""),"",ROUND((B14+IFERROR(INDEX(Hizmetler!$B$5:$B$54,MATCH(D14,Hizmetler!$A$5:$A$54,0)),0)/1440)*1440,0)/1440)</f>
        <v/>
      </c>
      <c r="I14" s="19" t="str">
        <f aca="false">IF(OR(A14="",H14="",E14="İptal"),"",IF(COUNTIFS($A$5:$A$1004,A14,$B$5:$B$1004,"&lt;"&amp;(H14-0.0003),$H$5:$H$1004,"&gt;"&amp;(B14+0.0003),$E$5:$E$1004,"&lt;&gt;İptal")&gt;1,"Çakışıyor",""))</f>
        <v/>
      </c>
      <c r="J14" s="21" t="str">
        <f aca="false">IF(AND(A14=Gün!$C$3,B14&lt;&gt;"",E14&lt;&gt;"İptal"),B14+ROW()/100000000,"")</f>
        <v/>
      </c>
    </row>
    <row r="15" customFormat="false" ht="15" hidden="false" customHeight="false" outlineLevel="0" collapsed="false">
      <c r="A15" s="12"/>
      <c r="B15" s="13"/>
      <c r="C15" s="14"/>
      <c r="D15" s="14"/>
      <c r="E15" s="15"/>
      <c r="F15" s="16"/>
      <c r="G15" s="17" t="str">
        <f aca="false">IF(D15="","",IF(E15="Geldi",IF(F15="",IFERROR(INDEX(Hizmetler!$C$5:$C$54,MATCH(D15,Hizmetler!$A$5:$A$54,0)),0),F15),0))</f>
        <v/>
      </c>
      <c r="H15" s="18" t="str">
        <f aca="false">IF(OR(B15="",D15=""),"",ROUND((B15+IFERROR(INDEX(Hizmetler!$B$5:$B$54,MATCH(D15,Hizmetler!$A$5:$A$54,0)),0)/1440)*1440,0)/1440)</f>
        <v/>
      </c>
      <c r="I15" s="19" t="str">
        <f aca="false">IF(OR(A15="",H15="",E15="İptal"),"",IF(COUNTIFS($A$5:$A$1004,A15,$B$5:$B$1004,"&lt;"&amp;(H15-0.0003),$H$5:$H$1004,"&gt;"&amp;(B15+0.0003),$E$5:$E$1004,"&lt;&gt;İptal")&gt;1,"Çakışıyor",""))</f>
        <v/>
      </c>
      <c r="J15" s="21" t="str">
        <f aca="false">IF(AND(A15=Gün!$C$3,B15&lt;&gt;"",E15&lt;&gt;"İptal"),B15+ROW()/100000000,"")</f>
        <v/>
      </c>
    </row>
    <row r="16" customFormat="false" ht="15" hidden="false" customHeight="false" outlineLevel="0" collapsed="false">
      <c r="A16" s="12"/>
      <c r="B16" s="13"/>
      <c r="C16" s="14"/>
      <c r="D16" s="14"/>
      <c r="E16" s="15"/>
      <c r="F16" s="16"/>
      <c r="G16" s="17" t="str">
        <f aca="false">IF(D16="","",IF(E16="Geldi",IF(F16="",IFERROR(INDEX(Hizmetler!$C$5:$C$54,MATCH(D16,Hizmetler!$A$5:$A$54,0)),0),F16),0))</f>
        <v/>
      </c>
      <c r="H16" s="18" t="str">
        <f aca="false">IF(OR(B16="",D16=""),"",ROUND((B16+IFERROR(INDEX(Hizmetler!$B$5:$B$54,MATCH(D16,Hizmetler!$A$5:$A$54,0)),0)/1440)*1440,0)/1440)</f>
        <v/>
      </c>
      <c r="I16" s="19" t="str">
        <f aca="false">IF(OR(A16="",H16="",E16="İptal"),"",IF(COUNTIFS($A$5:$A$1004,A16,$B$5:$B$1004,"&lt;"&amp;(H16-0.0003),$H$5:$H$1004,"&gt;"&amp;(B16+0.0003),$E$5:$E$1004,"&lt;&gt;İptal")&gt;1,"Çakışıyor",""))</f>
        <v/>
      </c>
      <c r="J16" s="21" t="str">
        <f aca="false">IF(AND(A16=Gün!$C$3,B16&lt;&gt;"",E16&lt;&gt;"İptal"),B16+ROW()/100000000,"")</f>
        <v/>
      </c>
    </row>
    <row r="17" customFormat="false" ht="15" hidden="false" customHeight="false" outlineLevel="0" collapsed="false">
      <c r="A17" s="12"/>
      <c r="B17" s="13"/>
      <c r="C17" s="14"/>
      <c r="D17" s="14"/>
      <c r="E17" s="15"/>
      <c r="F17" s="16"/>
      <c r="G17" s="17" t="str">
        <f aca="false">IF(D17="","",IF(E17="Geldi",IF(F17="",IFERROR(INDEX(Hizmetler!$C$5:$C$54,MATCH(D17,Hizmetler!$A$5:$A$54,0)),0),F17),0))</f>
        <v/>
      </c>
      <c r="H17" s="18" t="str">
        <f aca="false">IF(OR(B17="",D17=""),"",ROUND((B17+IFERROR(INDEX(Hizmetler!$B$5:$B$54,MATCH(D17,Hizmetler!$A$5:$A$54,0)),0)/1440)*1440,0)/1440)</f>
        <v/>
      </c>
      <c r="I17" s="19" t="str">
        <f aca="false">IF(OR(A17="",H17="",E17="İptal"),"",IF(COUNTIFS($A$5:$A$1004,A17,$B$5:$B$1004,"&lt;"&amp;(H17-0.0003),$H$5:$H$1004,"&gt;"&amp;(B17+0.0003),$E$5:$E$1004,"&lt;&gt;İptal")&gt;1,"Çakışıyor",""))</f>
        <v/>
      </c>
      <c r="J17" s="21" t="str">
        <f aca="false">IF(AND(A17=Gün!$C$3,B17&lt;&gt;"",E17&lt;&gt;"İptal"),B17+ROW()/100000000,"")</f>
        <v/>
      </c>
    </row>
    <row r="18" customFormat="false" ht="15" hidden="false" customHeight="false" outlineLevel="0" collapsed="false">
      <c r="A18" s="12"/>
      <c r="B18" s="13"/>
      <c r="C18" s="14"/>
      <c r="D18" s="14"/>
      <c r="E18" s="15"/>
      <c r="F18" s="16"/>
      <c r="G18" s="17" t="str">
        <f aca="false">IF(D18="","",IF(E18="Geldi",IF(F18="",IFERROR(INDEX(Hizmetler!$C$5:$C$54,MATCH(D18,Hizmetler!$A$5:$A$54,0)),0),F18),0))</f>
        <v/>
      </c>
      <c r="H18" s="18" t="str">
        <f aca="false">IF(OR(B18="",D18=""),"",ROUND((B18+IFERROR(INDEX(Hizmetler!$B$5:$B$54,MATCH(D18,Hizmetler!$A$5:$A$54,0)),0)/1440)*1440,0)/1440)</f>
        <v/>
      </c>
      <c r="I18" s="19" t="str">
        <f aca="false">IF(OR(A18="",H18="",E18="İptal"),"",IF(COUNTIFS($A$5:$A$1004,A18,$B$5:$B$1004,"&lt;"&amp;(H18-0.0003),$H$5:$H$1004,"&gt;"&amp;(B18+0.0003),$E$5:$E$1004,"&lt;&gt;İptal")&gt;1,"Çakışıyor",""))</f>
        <v/>
      </c>
      <c r="J18" s="21" t="str">
        <f aca="false">IF(AND(A18=Gün!$C$3,B18&lt;&gt;"",E18&lt;&gt;"İptal"),B18+ROW()/100000000,"")</f>
        <v/>
      </c>
    </row>
    <row r="19" customFormat="false" ht="15" hidden="false" customHeight="false" outlineLevel="0" collapsed="false">
      <c r="A19" s="12"/>
      <c r="B19" s="13"/>
      <c r="C19" s="14"/>
      <c r="D19" s="14"/>
      <c r="E19" s="15"/>
      <c r="F19" s="16"/>
      <c r="G19" s="17" t="str">
        <f aca="false">IF(D19="","",IF(E19="Geldi",IF(F19="",IFERROR(INDEX(Hizmetler!$C$5:$C$54,MATCH(D19,Hizmetler!$A$5:$A$54,0)),0),F19),0))</f>
        <v/>
      </c>
      <c r="H19" s="18" t="str">
        <f aca="false">IF(OR(B19="",D19=""),"",ROUND((B19+IFERROR(INDEX(Hizmetler!$B$5:$B$54,MATCH(D19,Hizmetler!$A$5:$A$54,0)),0)/1440)*1440,0)/1440)</f>
        <v/>
      </c>
      <c r="I19" s="19" t="str">
        <f aca="false">IF(OR(A19="",H19="",E19="İptal"),"",IF(COUNTIFS($A$5:$A$1004,A19,$B$5:$B$1004,"&lt;"&amp;(H19-0.0003),$H$5:$H$1004,"&gt;"&amp;(B19+0.0003),$E$5:$E$1004,"&lt;&gt;İptal")&gt;1,"Çakışıyor",""))</f>
        <v/>
      </c>
      <c r="J19" s="21" t="str">
        <f aca="false">IF(AND(A19=Gün!$C$3,B19&lt;&gt;"",E19&lt;&gt;"İptal"),B19+ROW()/100000000,"")</f>
        <v/>
      </c>
    </row>
    <row r="20" customFormat="false" ht="15" hidden="false" customHeight="false" outlineLevel="0" collapsed="false">
      <c r="A20" s="12"/>
      <c r="B20" s="13"/>
      <c r="C20" s="14"/>
      <c r="D20" s="14"/>
      <c r="E20" s="15"/>
      <c r="F20" s="16"/>
      <c r="G20" s="17" t="str">
        <f aca="false">IF(D20="","",IF(E20="Geldi",IF(F20="",IFERROR(INDEX(Hizmetler!$C$5:$C$54,MATCH(D20,Hizmetler!$A$5:$A$54,0)),0),F20),0))</f>
        <v/>
      </c>
      <c r="H20" s="18" t="str">
        <f aca="false">IF(OR(B20="",D20=""),"",ROUND((B20+IFERROR(INDEX(Hizmetler!$B$5:$B$54,MATCH(D20,Hizmetler!$A$5:$A$54,0)),0)/1440)*1440,0)/1440)</f>
        <v/>
      </c>
      <c r="I20" s="19" t="str">
        <f aca="false">IF(OR(A20="",H20="",E20="İptal"),"",IF(COUNTIFS($A$5:$A$1004,A20,$B$5:$B$1004,"&lt;"&amp;(H20-0.0003),$H$5:$H$1004,"&gt;"&amp;(B20+0.0003),$E$5:$E$1004,"&lt;&gt;İptal")&gt;1,"Çakışıyor",""))</f>
        <v/>
      </c>
      <c r="J20" s="21" t="str">
        <f aca="false">IF(AND(A20=Gün!$C$3,B20&lt;&gt;"",E20&lt;&gt;"İptal"),B20+ROW()/100000000,"")</f>
        <v/>
      </c>
    </row>
    <row r="21" customFormat="false" ht="15" hidden="false" customHeight="false" outlineLevel="0" collapsed="false">
      <c r="A21" s="12"/>
      <c r="B21" s="13"/>
      <c r="C21" s="14"/>
      <c r="D21" s="14"/>
      <c r="E21" s="15"/>
      <c r="F21" s="16"/>
      <c r="G21" s="17" t="str">
        <f aca="false">IF(D21="","",IF(E21="Geldi",IF(F21="",IFERROR(INDEX(Hizmetler!$C$5:$C$54,MATCH(D21,Hizmetler!$A$5:$A$54,0)),0),F21),0))</f>
        <v/>
      </c>
      <c r="H21" s="18" t="str">
        <f aca="false">IF(OR(B21="",D21=""),"",ROUND((B21+IFERROR(INDEX(Hizmetler!$B$5:$B$54,MATCH(D21,Hizmetler!$A$5:$A$54,0)),0)/1440)*1440,0)/1440)</f>
        <v/>
      </c>
      <c r="I21" s="19" t="str">
        <f aca="false">IF(OR(A21="",H21="",E21="İptal"),"",IF(COUNTIFS($A$5:$A$1004,A21,$B$5:$B$1004,"&lt;"&amp;(H21-0.0003),$H$5:$H$1004,"&gt;"&amp;(B21+0.0003),$E$5:$E$1004,"&lt;&gt;İptal")&gt;1,"Çakışıyor",""))</f>
        <v/>
      </c>
      <c r="J21" s="21" t="str">
        <f aca="false">IF(AND(A21=Gün!$C$3,B21&lt;&gt;"",E21&lt;&gt;"İptal"),B21+ROW()/100000000,"")</f>
        <v/>
      </c>
    </row>
    <row r="22" customFormat="false" ht="15" hidden="false" customHeight="false" outlineLevel="0" collapsed="false">
      <c r="A22" s="12"/>
      <c r="B22" s="13"/>
      <c r="C22" s="14"/>
      <c r="D22" s="14"/>
      <c r="E22" s="15"/>
      <c r="F22" s="16"/>
      <c r="G22" s="17" t="str">
        <f aca="false">IF(D22="","",IF(E22="Geldi",IF(F22="",IFERROR(INDEX(Hizmetler!$C$5:$C$54,MATCH(D22,Hizmetler!$A$5:$A$54,0)),0),F22),0))</f>
        <v/>
      </c>
      <c r="H22" s="18" t="str">
        <f aca="false">IF(OR(B22="",D22=""),"",ROUND((B22+IFERROR(INDEX(Hizmetler!$B$5:$B$54,MATCH(D22,Hizmetler!$A$5:$A$54,0)),0)/1440)*1440,0)/1440)</f>
        <v/>
      </c>
      <c r="I22" s="19" t="str">
        <f aca="false">IF(OR(A22="",H22="",E22="İptal"),"",IF(COUNTIFS($A$5:$A$1004,A22,$B$5:$B$1004,"&lt;"&amp;(H22-0.0003),$H$5:$H$1004,"&gt;"&amp;(B22+0.0003),$E$5:$E$1004,"&lt;&gt;İptal")&gt;1,"Çakışıyor",""))</f>
        <v/>
      </c>
      <c r="J22" s="21" t="str">
        <f aca="false">IF(AND(A22=Gün!$C$3,B22&lt;&gt;"",E22&lt;&gt;"İptal"),B22+ROW()/100000000,"")</f>
        <v/>
      </c>
    </row>
    <row r="23" customFormat="false" ht="15" hidden="false" customHeight="false" outlineLevel="0" collapsed="false">
      <c r="A23" s="12"/>
      <c r="B23" s="13"/>
      <c r="C23" s="14"/>
      <c r="D23" s="14"/>
      <c r="E23" s="15"/>
      <c r="F23" s="16"/>
      <c r="G23" s="17" t="str">
        <f aca="false">IF(D23="","",IF(E23="Geldi",IF(F23="",IFERROR(INDEX(Hizmetler!$C$5:$C$54,MATCH(D23,Hizmetler!$A$5:$A$54,0)),0),F23),0))</f>
        <v/>
      </c>
      <c r="H23" s="18" t="str">
        <f aca="false">IF(OR(B23="",D23=""),"",ROUND((B23+IFERROR(INDEX(Hizmetler!$B$5:$B$54,MATCH(D23,Hizmetler!$A$5:$A$54,0)),0)/1440)*1440,0)/1440)</f>
        <v/>
      </c>
      <c r="I23" s="19" t="str">
        <f aca="false">IF(OR(A23="",H23="",E23="İptal"),"",IF(COUNTIFS($A$5:$A$1004,A23,$B$5:$B$1004,"&lt;"&amp;(H23-0.0003),$H$5:$H$1004,"&gt;"&amp;(B23+0.0003),$E$5:$E$1004,"&lt;&gt;İptal")&gt;1,"Çakışıyor",""))</f>
        <v/>
      </c>
      <c r="J23" s="21" t="str">
        <f aca="false">IF(AND(A23=Gün!$C$3,B23&lt;&gt;"",E23&lt;&gt;"İptal"),B23+ROW()/100000000,"")</f>
        <v/>
      </c>
    </row>
    <row r="24" customFormat="false" ht="15" hidden="false" customHeight="false" outlineLevel="0" collapsed="false">
      <c r="A24" s="12"/>
      <c r="B24" s="13"/>
      <c r="C24" s="14"/>
      <c r="D24" s="14"/>
      <c r="E24" s="15"/>
      <c r="F24" s="16"/>
      <c r="G24" s="17" t="str">
        <f aca="false">IF(D24="","",IF(E24="Geldi",IF(F24="",IFERROR(INDEX(Hizmetler!$C$5:$C$54,MATCH(D24,Hizmetler!$A$5:$A$54,0)),0),F24),0))</f>
        <v/>
      </c>
      <c r="H24" s="18" t="str">
        <f aca="false">IF(OR(B24="",D24=""),"",ROUND((B24+IFERROR(INDEX(Hizmetler!$B$5:$B$54,MATCH(D24,Hizmetler!$A$5:$A$54,0)),0)/1440)*1440,0)/1440)</f>
        <v/>
      </c>
      <c r="I24" s="19" t="str">
        <f aca="false">IF(OR(A24="",H24="",E24="İptal"),"",IF(COUNTIFS($A$5:$A$1004,A24,$B$5:$B$1004,"&lt;"&amp;(H24-0.0003),$H$5:$H$1004,"&gt;"&amp;(B24+0.0003),$E$5:$E$1004,"&lt;&gt;İptal")&gt;1,"Çakışıyor",""))</f>
        <v/>
      </c>
      <c r="J24" s="21" t="str">
        <f aca="false">IF(AND(A24=Gün!$C$3,B24&lt;&gt;"",E24&lt;&gt;"İptal"),B24+ROW()/100000000,"")</f>
        <v/>
      </c>
    </row>
    <row r="25" customFormat="false" ht="15" hidden="false" customHeight="false" outlineLevel="0" collapsed="false">
      <c r="A25" s="12"/>
      <c r="B25" s="13"/>
      <c r="C25" s="14"/>
      <c r="D25" s="14"/>
      <c r="E25" s="15"/>
      <c r="F25" s="16"/>
      <c r="G25" s="17" t="str">
        <f aca="false">IF(D25="","",IF(E25="Geldi",IF(F25="",IFERROR(INDEX(Hizmetler!$C$5:$C$54,MATCH(D25,Hizmetler!$A$5:$A$54,0)),0),F25),0))</f>
        <v/>
      </c>
      <c r="H25" s="18" t="str">
        <f aca="false">IF(OR(B25="",D25=""),"",ROUND((B25+IFERROR(INDEX(Hizmetler!$B$5:$B$54,MATCH(D25,Hizmetler!$A$5:$A$54,0)),0)/1440)*1440,0)/1440)</f>
        <v/>
      </c>
      <c r="I25" s="19" t="str">
        <f aca="false">IF(OR(A25="",H25="",E25="İptal"),"",IF(COUNTIFS($A$5:$A$1004,A25,$B$5:$B$1004,"&lt;"&amp;(H25-0.0003),$H$5:$H$1004,"&gt;"&amp;(B25+0.0003),$E$5:$E$1004,"&lt;&gt;İptal")&gt;1,"Çakışıyor",""))</f>
        <v/>
      </c>
      <c r="J25" s="21" t="str">
        <f aca="false">IF(AND(A25=Gün!$C$3,B25&lt;&gt;"",E25&lt;&gt;"İptal"),B25+ROW()/100000000,"")</f>
        <v/>
      </c>
    </row>
    <row r="26" customFormat="false" ht="15" hidden="false" customHeight="false" outlineLevel="0" collapsed="false">
      <c r="A26" s="12"/>
      <c r="B26" s="13"/>
      <c r="C26" s="14"/>
      <c r="D26" s="14"/>
      <c r="E26" s="15"/>
      <c r="F26" s="16"/>
      <c r="G26" s="17" t="str">
        <f aca="false">IF(D26="","",IF(E26="Geldi",IF(F26="",IFERROR(INDEX(Hizmetler!$C$5:$C$54,MATCH(D26,Hizmetler!$A$5:$A$54,0)),0),F26),0))</f>
        <v/>
      </c>
      <c r="H26" s="18" t="str">
        <f aca="false">IF(OR(B26="",D26=""),"",ROUND((B26+IFERROR(INDEX(Hizmetler!$B$5:$B$54,MATCH(D26,Hizmetler!$A$5:$A$54,0)),0)/1440)*1440,0)/1440)</f>
        <v/>
      </c>
      <c r="I26" s="19" t="str">
        <f aca="false">IF(OR(A26="",H26="",E26="İptal"),"",IF(COUNTIFS($A$5:$A$1004,A26,$B$5:$B$1004,"&lt;"&amp;(H26-0.0003),$H$5:$H$1004,"&gt;"&amp;(B26+0.0003),$E$5:$E$1004,"&lt;&gt;İptal")&gt;1,"Çakışıyor",""))</f>
        <v/>
      </c>
      <c r="J26" s="21" t="str">
        <f aca="false">IF(AND(A26=Gün!$C$3,B26&lt;&gt;"",E26&lt;&gt;"İptal"),B26+ROW()/100000000,"")</f>
        <v/>
      </c>
    </row>
    <row r="27" customFormat="false" ht="15" hidden="false" customHeight="false" outlineLevel="0" collapsed="false">
      <c r="A27" s="12"/>
      <c r="B27" s="13"/>
      <c r="C27" s="14"/>
      <c r="D27" s="14"/>
      <c r="E27" s="15"/>
      <c r="F27" s="16"/>
      <c r="G27" s="17" t="str">
        <f aca="false">IF(D27="","",IF(E27="Geldi",IF(F27="",IFERROR(INDEX(Hizmetler!$C$5:$C$54,MATCH(D27,Hizmetler!$A$5:$A$54,0)),0),F27),0))</f>
        <v/>
      </c>
      <c r="H27" s="18" t="str">
        <f aca="false">IF(OR(B27="",D27=""),"",ROUND((B27+IFERROR(INDEX(Hizmetler!$B$5:$B$54,MATCH(D27,Hizmetler!$A$5:$A$54,0)),0)/1440)*1440,0)/1440)</f>
        <v/>
      </c>
      <c r="I27" s="19" t="str">
        <f aca="false">IF(OR(A27="",H27="",E27="İptal"),"",IF(COUNTIFS($A$5:$A$1004,A27,$B$5:$B$1004,"&lt;"&amp;(H27-0.0003),$H$5:$H$1004,"&gt;"&amp;(B27+0.0003),$E$5:$E$1004,"&lt;&gt;İptal")&gt;1,"Çakışıyor",""))</f>
        <v/>
      </c>
      <c r="J27" s="21" t="str">
        <f aca="false">IF(AND(A27=Gün!$C$3,B27&lt;&gt;"",E27&lt;&gt;"İptal"),B27+ROW()/100000000,"")</f>
        <v/>
      </c>
    </row>
    <row r="28" customFormat="false" ht="15" hidden="false" customHeight="false" outlineLevel="0" collapsed="false">
      <c r="A28" s="12"/>
      <c r="B28" s="13"/>
      <c r="C28" s="14"/>
      <c r="D28" s="14"/>
      <c r="E28" s="15"/>
      <c r="F28" s="16"/>
      <c r="G28" s="17" t="str">
        <f aca="false">IF(D28="","",IF(E28="Geldi",IF(F28="",IFERROR(INDEX(Hizmetler!$C$5:$C$54,MATCH(D28,Hizmetler!$A$5:$A$54,0)),0),F28),0))</f>
        <v/>
      </c>
      <c r="H28" s="18" t="str">
        <f aca="false">IF(OR(B28="",D28=""),"",ROUND((B28+IFERROR(INDEX(Hizmetler!$B$5:$B$54,MATCH(D28,Hizmetler!$A$5:$A$54,0)),0)/1440)*1440,0)/1440)</f>
        <v/>
      </c>
      <c r="I28" s="19" t="str">
        <f aca="false">IF(OR(A28="",H28="",E28="İptal"),"",IF(COUNTIFS($A$5:$A$1004,A28,$B$5:$B$1004,"&lt;"&amp;(H28-0.0003),$H$5:$H$1004,"&gt;"&amp;(B28+0.0003),$E$5:$E$1004,"&lt;&gt;İptal")&gt;1,"Çakışıyor",""))</f>
        <v/>
      </c>
      <c r="J28" s="21" t="str">
        <f aca="false">IF(AND(A28=Gün!$C$3,B28&lt;&gt;"",E28&lt;&gt;"İptal"),B28+ROW()/100000000,"")</f>
        <v/>
      </c>
    </row>
    <row r="29" customFormat="false" ht="15" hidden="false" customHeight="false" outlineLevel="0" collapsed="false">
      <c r="A29" s="12"/>
      <c r="B29" s="13"/>
      <c r="C29" s="14"/>
      <c r="D29" s="14"/>
      <c r="E29" s="15"/>
      <c r="F29" s="16"/>
      <c r="G29" s="17" t="str">
        <f aca="false">IF(D29="","",IF(E29="Geldi",IF(F29="",IFERROR(INDEX(Hizmetler!$C$5:$C$54,MATCH(D29,Hizmetler!$A$5:$A$54,0)),0),F29),0))</f>
        <v/>
      </c>
      <c r="H29" s="18" t="str">
        <f aca="false">IF(OR(B29="",D29=""),"",ROUND((B29+IFERROR(INDEX(Hizmetler!$B$5:$B$54,MATCH(D29,Hizmetler!$A$5:$A$54,0)),0)/1440)*1440,0)/1440)</f>
        <v/>
      </c>
      <c r="I29" s="19" t="str">
        <f aca="false">IF(OR(A29="",H29="",E29="İptal"),"",IF(COUNTIFS($A$5:$A$1004,A29,$B$5:$B$1004,"&lt;"&amp;(H29-0.0003),$H$5:$H$1004,"&gt;"&amp;(B29+0.0003),$E$5:$E$1004,"&lt;&gt;İptal")&gt;1,"Çakışıyor",""))</f>
        <v/>
      </c>
      <c r="J29" s="21" t="str">
        <f aca="false">IF(AND(A29=Gün!$C$3,B29&lt;&gt;"",E29&lt;&gt;"İptal"),B29+ROW()/100000000,"")</f>
        <v/>
      </c>
    </row>
    <row r="30" customFormat="false" ht="15" hidden="false" customHeight="false" outlineLevel="0" collapsed="false">
      <c r="A30" s="12"/>
      <c r="B30" s="13"/>
      <c r="C30" s="14"/>
      <c r="D30" s="14"/>
      <c r="E30" s="15"/>
      <c r="F30" s="16"/>
      <c r="G30" s="17" t="str">
        <f aca="false">IF(D30="","",IF(E30="Geldi",IF(F30="",IFERROR(INDEX(Hizmetler!$C$5:$C$54,MATCH(D30,Hizmetler!$A$5:$A$54,0)),0),F30),0))</f>
        <v/>
      </c>
      <c r="H30" s="18" t="str">
        <f aca="false">IF(OR(B30="",D30=""),"",ROUND((B30+IFERROR(INDEX(Hizmetler!$B$5:$B$54,MATCH(D30,Hizmetler!$A$5:$A$54,0)),0)/1440)*1440,0)/1440)</f>
        <v/>
      </c>
      <c r="I30" s="19" t="str">
        <f aca="false">IF(OR(A30="",H30="",E30="İptal"),"",IF(COUNTIFS($A$5:$A$1004,A30,$B$5:$B$1004,"&lt;"&amp;(H30-0.0003),$H$5:$H$1004,"&gt;"&amp;(B30+0.0003),$E$5:$E$1004,"&lt;&gt;İptal")&gt;1,"Çakışıyor",""))</f>
        <v/>
      </c>
      <c r="J30" s="21" t="str">
        <f aca="false">IF(AND(A30=Gün!$C$3,B30&lt;&gt;"",E30&lt;&gt;"İptal"),B30+ROW()/100000000,"")</f>
        <v/>
      </c>
    </row>
    <row r="31" customFormat="false" ht="15" hidden="false" customHeight="false" outlineLevel="0" collapsed="false">
      <c r="A31" s="12"/>
      <c r="B31" s="13"/>
      <c r="C31" s="14"/>
      <c r="D31" s="14"/>
      <c r="E31" s="15"/>
      <c r="F31" s="16"/>
      <c r="G31" s="17" t="str">
        <f aca="false">IF(D31="","",IF(E31="Geldi",IF(F31="",IFERROR(INDEX(Hizmetler!$C$5:$C$54,MATCH(D31,Hizmetler!$A$5:$A$54,0)),0),F31),0))</f>
        <v/>
      </c>
      <c r="H31" s="18" t="str">
        <f aca="false">IF(OR(B31="",D31=""),"",ROUND((B31+IFERROR(INDEX(Hizmetler!$B$5:$B$54,MATCH(D31,Hizmetler!$A$5:$A$54,0)),0)/1440)*1440,0)/1440)</f>
        <v/>
      </c>
      <c r="I31" s="19" t="str">
        <f aca="false">IF(OR(A31="",H31="",E31="İptal"),"",IF(COUNTIFS($A$5:$A$1004,A31,$B$5:$B$1004,"&lt;"&amp;(H31-0.0003),$H$5:$H$1004,"&gt;"&amp;(B31+0.0003),$E$5:$E$1004,"&lt;&gt;İptal")&gt;1,"Çakışıyor",""))</f>
        <v/>
      </c>
      <c r="J31" s="21" t="str">
        <f aca="false">IF(AND(A31=Gün!$C$3,B31&lt;&gt;"",E31&lt;&gt;"İptal"),B31+ROW()/100000000,"")</f>
        <v/>
      </c>
    </row>
    <row r="32" customFormat="false" ht="15" hidden="false" customHeight="false" outlineLevel="0" collapsed="false">
      <c r="A32" s="12"/>
      <c r="B32" s="13"/>
      <c r="C32" s="14"/>
      <c r="D32" s="14"/>
      <c r="E32" s="15"/>
      <c r="F32" s="16"/>
      <c r="G32" s="17" t="str">
        <f aca="false">IF(D32="","",IF(E32="Geldi",IF(F32="",IFERROR(INDEX(Hizmetler!$C$5:$C$54,MATCH(D32,Hizmetler!$A$5:$A$54,0)),0),F32),0))</f>
        <v/>
      </c>
      <c r="H32" s="18" t="str">
        <f aca="false">IF(OR(B32="",D32=""),"",ROUND((B32+IFERROR(INDEX(Hizmetler!$B$5:$B$54,MATCH(D32,Hizmetler!$A$5:$A$54,0)),0)/1440)*1440,0)/1440)</f>
        <v/>
      </c>
      <c r="I32" s="19" t="str">
        <f aca="false">IF(OR(A32="",H32="",E32="İptal"),"",IF(COUNTIFS($A$5:$A$1004,A32,$B$5:$B$1004,"&lt;"&amp;(H32-0.0003),$H$5:$H$1004,"&gt;"&amp;(B32+0.0003),$E$5:$E$1004,"&lt;&gt;İptal")&gt;1,"Çakışıyor",""))</f>
        <v/>
      </c>
      <c r="J32" s="21" t="str">
        <f aca="false">IF(AND(A32=Gün!$C$3,B32&lt;&gt;"",E32&lt;&gt;"İptal"),B32+ROW()/100000000,"")</f>
        <v/>
      </c>
    </row>
    <row r="33" customFormat="false" ht="15" hidden="false" customHeight="false" outlineLevel="0" collapsed="false">
      <c r="A33" s="12"/>
      <c r="B33" s="13"/>
      <c r="C33" s="14"/>
      <c r="D33" s="14"/>
      <c r="E33" s="15"/>
      <c r="F33" s="16"/>
      <c r="G33" s="17" t="str">
        <f aca="false">IF(D33="","",IF(E33="Geldi",IF(F33="",IFERROR(INDEX(Hizmetler!$C$5:$C$54,MATCH(D33,Hizmetler!$A$5:$A$54,0)),0),F33),0))</f>
        <v/>
      </c>
      <c r="H33" s="18" t="str">
        <f aca="false">IF(OR(B33="",D33=""),"",ROUND((B33+IFERROR(INDEX(Hizmetler!$B$5:$B$54,MATCH(D33,Hizmetler!$A$5:$A$54,0)),0)/1440)*1440,0)/1440)</f>
        <v/>
      </c>
      <c r="I33" s="19" t="str">
        <f aca="false">IF(OR(A33="",H33="",E33="İptal"),"",IF(COUNTIFS($A$5:$A$1004,A33,$B$5:$B$1004,"&lt;"&amp;(H33-0.0003),$H$5:$H$1004,"&gt;"&amp;(B33+0.0003),$E$5:$E$1004,"&lt;&gt;İptal")&gt;1,"Çakışıyor",""))</f>
        <v/>
      </c>
      <c r="J33" s="21" t="str">
        <f aca="false">IF(AND(A33=Gün!$C$3,B33&lt;&gt;"",E33&lt;&gt;"İptal"),B33+ROW()/100000000,"")</f>
        <v/>
      </c>
    </row>
    <row r="34" customFormat="false" ht="15" hidden="false" customHeight="false" outlineLevel="0" collapsed="false">
      <c r="A34" s="12"/>
      <c r="B34" s="13"/>
      <c r="C34" s="14"/>
      <c r="D34" s="14"/>
      <c r="E34" s="15"/>
      <c r="F34" s="16"/>
      <c r="G34" s="17" t="str">
        <f aca="false">IF(D34="","",IF(E34="Geldi",IF(F34="",IFERROR(INDEX(Hizmetler!$C$5:$C$54,MATCH(D34,Hizmetler!$A$5:$A$54,0)),0),F34),0))</f>
        <v/>
      </c>
      <c r="H34" s="18" t="str">
        <f aca="false">IF(OR(B34="",D34=""),"",ROUND((B34+IFERROR(INDEX(Hizmetler!$B$5:$B$54,MATCH(D34,Hizmetler!$A$5:$A$54,0)),0)/1440)*1440,0)/1440)</f>
        <v/>
      </c>
      <c r="I34" s="19" t="str">
        <f aca="false">IF(OR(A34="",H34="",E34="İptal"),"",IF(COUNTIFS($A$5:$A$1004,A34,$B$5:$B$1004,"&lt;"&amp;(H34-0.0003),$H$5:$H$1004,"&gt;"&amp;(B34+0.0003),$E$5:$E$1004,"&lt;&gt;İptal")&gt;1,"Çakışıyor",""))</f>
        <v/>
      </c>
      <c r="J34" s="21" t="str">
        <f aca="false">IF(AND(A34=Gün!$C$3,B34&lt;&gt;"",E34&lt;&gt;"İptal"),B34+ROW()/100000000,"")</f>
        <v/>
      </c>
    </row>
    <row r="35" customFormat="false" ht="15" hidden="false" customHeight="false" outlineLevel="0" collapsed="false">
      <c r="A35" s="12"/>
      <c r="B35" s="13"/>
      <c r="C35" s="14"/>
      <c r="D35" s="14"/>
      <c r="E35" s="15"/>
      <c r="F35" s="16"/>
      <c r="G35" s="17" t="str">
        <f aca="false">IF(D35="","",IF(E35="Geldi",IF(F35="",IFERROR(INDEX(Hizmetler!$C$5:$C$54,MATCH(D35,Hizmetler!$A$5:$A$54,0)),0),F35),0))</f>
        <v/>
      </c>
      <c r="H35" s="18" t="str">
        <f aca="false">IF(OR(B35="",D35=""),"",ROUND((B35+IFERROR(INDEX(Hizmetler!$B$5:$B$54,MATCH(D35,Hizmetler!$A$5:$A$54,0)),0)/1440)*1440,0)/1440)</f>
        <v/>
      </c>
      <c r="I35" s="19" t="str">
        <f aca="false">IF(OR(A35="",H35="",E35="İptal"),"",IF(COUNTIFS($A$5:$A$1004,A35,$B$5:$B$1004,"&lt;"&amp;(H35-0.0003),$H$5:$H$1004,"&gt;"&amp;(B35+0.0003),$E$5:$E$1004,"&lt;&gt;İptal")&gt;1,"Çakışıyor",""))</f>
        <v/>
      </c>
      <c r="J35" s="21" t="str">
        <f aca="false">IF(AND(A35=Gün!$C$3,B35&lt;&gt;"",E35&lt;&gt;"İptal"),B35+ROW()/100000000,"")</f>
        <v/>
      </c>
    </row>
    <row r="36" customFormat="false" ht="15" hidden="false" customHeight="false" outlineLevel="0" collapsed="false">
      <c r="A36" s="12"/>
      <c r="B36" s="13"/>
      <c r="C36" s="14"/>
      <c r="D36" s="14"/>
      <c r="E36" s="15"/>
      <c r="F36" s="16"/>
      <c r="G36" s="17" t="str">
        <f aca="false">IF(D36="","",IF(E36="Geldi",IF(F36="",IFERROR(INDEX(Hizmetler!$C$5:$C$54,MATCH(D36,Hizmetler!$A$5:$A$54,0)),0),F36),0))</f>
        <v/>
      </c>
      <c r="H36" s="18" t="str">
        <f aca="false">IF(OR(B36="",D36=""),"",ROUND((B36+IFERROR(INDEX(Hizmetler!$B$5:$B$54,MATCH(D36,Hizmetler!$A$5:$A$54,0)),0)/1440)*1440,0)/1440)</f>
        <v/>
      </c>
      <c r="I36" s="19" t="str">
        <f aca="false">IF(OR(A36="",H36="",E36="İptal"),"",IF(COUNTIFS($A$5:$A$1004,A36,$B$5:$B$1004,"&lt;"&amp;(H36-0.0003),$H$5:$H$1004,"&gt;"&amp;(B36+0.0003),$E$5:$E$1004,"&lt;&gt;İptal")&gt;1,"Çakışıyor",""))</f>
        <v/>
      </c>
      <c r="J36" s="21" t="str">
        <f aca="false">IF(AND(A36=Gün!$C$3,B36&lt;&gt;"",E36&lt;&gt;"İptal"),B36+ROW()/100000000,"")</f>
        <v/>
      </c>
    </row>
    <row r="37" customFormat="false" ht="15" hidden="false" customHeight="false" outlineLevel="0" collapsed="false">
      <c r="A37" s="12"/>
      <c r="B37" s="13"/>
      <c r="C37" s="14"/>
      <c r="D37" s="14"/>
      <c r="E37" s="15"/>
      <c r="F37" s="16"/>
      <c r="G37" s="17" t="str">
        <f aca="false">IF(D37="","",IF(E37="Geldi",IF(F37="",IFERROR(INDEX(Hizmetler!$C$5:$C$54,MATCH(D37,Hizmetler!$A$5:$A$54,0)),0),F37),0))</f>
        <v/>
      </c>
      <c r="H37" s="18" t="str">
        <f aca="false">IF(OR(B37="",D37=""),"",ROUND((B37+IFERROR(INDEX(Hizmetler!$B$5:$B$54,MATCH(D37,Hizmetler!$A$5:$A$54,0)),0)/1440)*1440,0)/1440)</f>
        <v/>
      </c>
      <c r="I37" s="19" t="str">
        <f aca="false">IF(OR(A37="",H37="",E37="İptal"),"",IF(COUNTIFS($A$5:$A$1004,A37,$B$5:$B$1004,"&lt;"&amp;(H37-0.0003),$H$5:$H$1004,"&gt;"&amp;(B37+0.0003),$E$5:$E$1004,"&lt;&gt;İptal")&gt;1,"Çakışıyor",""))</f>
        <v/>
      </c>
      <c r="J37" s="21" t="str">
        <f aca="false">IF(AND(A37=Gün!$C$3,B37&lt;&gt;"",E37&lt;&gt;"İptal"),B37+ROW()/100000000,"")</f>
        <v/>
      </c>
    </row>
    <row r="38" customFormat="false" ht="15" hidden="false" customHeight="false" outlineLevel="0" collapsed="false">
      <c r="A38" s="12"/>
      <c r="B38" s="13"/>
      <c r="C38" s="14"/>
      <c r="D38" s="14"/>
      <c r="E38" s="15"/>
      <c r="F38" s="16"/>
      <c r="G38" s="17" t="str">
        <f aca="false">IF(D38="","",IF(E38="Geldi",IF(F38="",IFERROR(INDEX(Hizmetler!$C$5:$C$54,MATCH(D38,Hizmetler!$A$5:$A$54,0)),0),F38),0))</f>
        <v/>
      </c>
      <c r="H38" s="18" t="str">
        <f aca="false">IF(OR(B38="",D38=""),"",ROUND((B38+IFERROR(INDEX(Hizmetler!$B$5:$B$54,MATCH(D38,Hizmetler!$A$5:$A$54,0)),0)/1440)*1440,0)/1440)</f>
        <v/>
      </c>
      <c r="I38" s="19" t="str">
        <f aca="false">IF(OR(A38="",H38="",E38="İptal"),"",IF(COUNTIFS($A$5:$A$1004,A38,$B$5:$B$1004,"&lt;"&amp;(H38-0.0003),$H$5:$H$1004,"&gt;"&amp;(B38+0.0003),$E$5:$E$1004,"&lt;&gt;İptal")&gt;1,"Çakışıyor",""))</f>
        <v/>
      </c>
      <c r="J38" s="21" t="str">
        <f aca="false">IF(AND(A38=Gün!$C$3,B38&lt;&gt;"",E38&lt;&gt;"İptal"),B38+ROW()/100000000,"")</f>
        <v/>
      </c>
    </row>
    <row r="39" customFormat="false" ht="15" hidden="false" customHeight="false" outlineLevel="0" collapsed="false">
      <c r="A39" s="12"/>
      <c r="B39" s="13"/>
      <c r="C39" s="14"/>
      <c r="D39" s="14"/>
      <c r="E39" s="15"/>
      <c r="F39" s="16"/>
      <c r="G39" s="17" t="str">
        <f aca="false">IF(D39="","",IF(E39="Geldi",IF(F39="",IFERROR(INDEX(Hizmetler!$C$5:$C$54,MATCH(D39,Hizmetler!$A$5:$A$54,0)),0),F39),0))</f>
        <v/>
      </c>
      <c r="H39" s="18" t="str">
        <f aca="false">IF(OR(B39="",D39=""),"",ROUND((B39+IFERROR(INDEX(Hizmetler!$B$5:$B$54,MATCH(D39,Hizmetler!$A$5:$A$54,0)),0)/1440)*1440,0)/1440)</f>
        <v/>
      </c>
      <c r="I39" s="19" t="str">
        <f aca="false">IF(OR(A39="",H39="",E39="İptal"),"",IF(COUNTIFS($A$5:$A$1004,A39,$B$5:$B$1004,"&lt;"&amp;(H39-0.0003),$H$5:$H$1004,"&gt;"&amp;(B39+0.0003),$E$5:$E$1004,"&lt;&gt;İptal")&gt;1,"Çakışıyor",""))</f>
        <v/>
      </c>
      <c r="J39" s="21" t="str">
        <f aca="false">IF(AND(A39=Gün!$C$3,B39&lt;&gt;"",E39&lt;&gt;"İptal"),B39+ROW()/100000000,"")</f>
        <v/>
      </c>
    </row>
    <row r="40" customFormat="false" ht="15" hidden="false" customHeight="false" outlineLevel="0" collapsed="false">
      <c r="A40" s="12"/>
      <c r="B40" s="13"/>
      <c r="C40" s="14"/>
      <c r="D40" s="14"/>
      <c r="E40" s="15"/>
      <c r="F40" s="16"/>
      <c r="G40" s="17" t="str">
        <f aca="false">IF(D40="","",IF(E40="Geldi",IF(F40="",IFERROR(INDEX(Hizmetler!$C$5:$C$54,MATCH(D40,Hizmetler!$A$5:$A$54,0)),0),F40),0))</f>
        <v/>
      </c>
      <c r="H40" s="18" t="str">
        <f aca="false">IF(OR(B40="",D40=""),"",ROUND((B40+IFERROR(INDEX(Hizmetler!$B$5:$B$54,MATCH(D40,Hizmetler!$A$5:$A$54,0)),0)/1440)*1440,0)/1440)</f>
        <v/>
      </c>
      <c r="I40" s="19" t="str">
        <f aca="false">IF(OR(A40="",H40="",E40="İptal"),"",IF(COUNTIFS($A$5:$A$1004,A40,$B$5:$B$1004,"&lt;"&amp;(H40-0.0003),$H$5:$H$1004,"&gt;"&amp;(B40+0.0003),$E$5:$E$1004,"&lt;&gt;İptal")&gt;1,"Çakışıyor",""))</f>
        <v/>
      </c>
      <c r="J40" s="21" t="str">
        <f aca="false">IF(AND(A40=Gün!$C$3,B40&lt;&gt;"",E40&lt;&gt;"İptal"),B40+ROW()/100000000,"")</f>
        <v/>
      </c>
    </row>
    <row r="41" customFormat="false" ht="15" hidden="false" customHeight="false" outlineLevel="0" collapsed="false">
      <c r="A41" s="12"/>
      <c r="B41" s="13"/>
      <c r="C41" s="14"/>
      <c r="D41" s="14"/>
      <c r="E41" s="15"/>
      <c r="F41" s="16"/>
      <c r="G41" s="17" t="str">
        <f aca="false">IF(D41="","",IF(E41="Geldi",IF(F41="",IFERROR(INDEX(Hizmetler!$C$5:$C$54,MATCH(D41,Hizmetler!$A$5:$A$54,0)),0),F41),0))</f>
        <v/>
      </c>
      <c r="H41" s="18" t="str">
        <f aca="false">IF(OR(B41="",D41=""),"",ROUND((B41+IFERROR(INDEX(Hizmetler!$B$5:$B$54,MATCH(D41,Hizmetler!$A$5:$A$54,0)),0)/1440)*1440,0)/1440)</f>
        <v/>
      </c>
      <c r="I41" s="19" t="str">
        <f aca="false">IF(OR(A41="",H41="",E41="İptal"),"",IF(COUNTIFS($A$5:$A$1004,A41,$B$5:$B$1004,"&lt;"&amp;(H41-0.0003),$H$5:$H$1004,"&gt;"&amp;(B41+0.0003),$E$5:$E$1004,"&lt;&gt;İptal")&gt;1,"Çakışıyor",""))</f>
        <v/>
      </c>
      <c r="J41" s="21" t="str">
        <f aca="false">IF(AND(A41=Gün!$C$3,B41&lt;&gt;"",E41&lt;&gt;"İptal"),B41+ROW()/100000000,"")</f>
        <v/>
      </c>
    </row>
    <row r="42" customFormat="false" ht="15" hidden="false" customHeight="false" outlineLevel="0" collapsed="false">
      <c r="A42" s="12"/>
      <c r="B42" s="13"/>
      <c r="C42" s="14"/>
      <c r="D42" s="14"/>
      <c r="E42" s="15"/>
      <c r="F42" s="16"/>
      <c r="G42" s="17" t="str">
        <f aca="false">IF(D42="","",IF(E42="Geldi",IF(F42="",IFERROR(INDEX(Hizmetler!$C$5:$C$54,MATCH(D42,Hizmetler!$A$5:$A$54,0)),0),F42),0))</f>
        <v/>
      </c>
      <c r="H42" s="18" t="str">
        <f aca="false">IF(OR(B42="",D42=""),"",ROUND((B42+IFERROR(INDEX(Hizmetler!$B$5:$B$54,MATCH(D42,Hizmetler!$A$5:$A$54,0)),0)/1440)*1440,0)/1440)</f>
        <v/>
      </c>
      <c r="I42" s="19" t="str">
        <f aca="false">IF(OR(A42="",H42="",E42="İptal"),"",IF(COUNTIFS($A$5:$A$1004,A42,$B$5:$B$1004,"&lt;"&amp;(H42-0.0003),$H$5:$H$1004,"&gt;"&amp;(B42+0.0003),$E$5:$E$1004,"&lt;&gt;İptal")&gt;1,"Çakışıyor",""))</f>
        <v/>
      </c>
      <c r="J42" s="21" t="str">
        <f aca="false">IF(AND(A42=Gün!$C$3,B42&lt;&gt;"",E42&lt;&gt;"İptal"),B42+ROW()/100000000,"")</f>
        <v/>
      </c>
    </row>
    <row r="43" customFormat="false" ht="15" hidden="false" customHeight="false" outlineLevel="0" collapsed="false">
      <c r="A43" s="12"/>
      <c r="B43" s="13"/>
      <c r="C43" s="14"/>
      <c r="D43" s="14"/>
      <c r="E43" s="15"/>
      <c r="F43" s="16"/>
      <c r="G43" s="17" t="str">
        <f aca="false">IF(D43="","",IF(E43="Geldi",IF(F43="",IFERROR(INDEX(Hizmetler!$C$5:$C$54,MATCH(D43,Hizmetler!$A$5:$A$54,0)),0),F43),0))</f>
        <v/>
      </c>
      <c r="H43" s="18" t="str">
        <f aca="false">IF(OR(B43="",D43=""),"",ROUND((B43+IFERROR(INDEX(Hizmetler!$B$5:$B$54,MATCH(D43,Hizmetler!$A$5:$A$54,0)),0)/1440)*1440,0)/1440)</f>
        <v/>
      </c>
      <c r="I43" s="19" t="str">
        <f aca="false">IF(OR(A43="",H43="",E43="İptal"),"",IF(COUNTIFS($A$5:$A$1004,A43,$B$5:$B$1004,"&lt;"&amp;(H43-0.0003),$H$5:$H$1004,"&gt;"&amp;(B43+0.0003),$E$5:$E$1004,"&lt;&gt;İptal")&gt;1,"Çakışıyor",""))</f>
        <v/>
      </c>
      <c r="J43" s="21" t="str">
        <f aca="false">IF(AND(A43=Gün!$C$3,B43&lt;&gt;"",E43&lt;&gt;"İptal"),B43+ROW()/100000000,"")</f>
        <v/>
      </c>
    </row>
    <row r="44" customFormat="false" ht="15" hidden="false" customHeight="false" outlineLevel="0" collapsed="false">
      <c r="A44" s="12"/>
      <c r="B44" s="13"/>
      <c r="C44" s="14"/>
      <c r="D44" s="14"/>
      <c r="E44" s="15"/>
      <c r="F44" s="16"/>
      <c r="G44" s="17" t="str">
        <f aca="false">IF(D44="","",IF(E44="Geldi",IF(F44="",IFERROR(INDEX(Hizmetler!$C$5:$C$54,MATCH(D44,Hizmetler!$A$5:$A$54,0)),0),F44),0))</f>
        <v/>
      </c>
      <c r="H44" s="18" t="str">
        <f aca="false">IF(OR(B44="",D44=""),"",ROUND((B44+IFERROR(INDEX(Hizmetler!$B$5:$B$54,MATCH(D44,Hizmetler!$A$5:$A$54,0)),0)/1440)*1440,0)/1440)</f>
        <v/>
      </c>
      <c r="I44" s="19" t="str">
        <f aca="false">IF(OR(A44="",H44="",E44="İptal"),"",IF(COUNTIFS($A$5:$A$1004,A44,$B$5:$B$1004,"&lt;"&amp;(H44-0.0003),$H$5:$H$1004,"&gt;"&amp;(B44+0.0003),$E$5:$E$1004,"&lt;&gt;İptal")&gt;1,"Çakışıyor",""))</f>
        <v/>
      </c>
      <c r="J44" s="21" t="str">
        <f aca="false">IF(AND(A44=Gün!$C$3,B44&lt;&gt;"",E44&lt;&gt;"İptal"),B44+ROW()/100000000,"")</f>
        <v/>
      </c>
    </row>
    <row r="45" customFormat="false" ht="15" hidden="false" customHeight="false" outlineLevel="0" collapsed="false">
      <c r="A45" s="12"/>
      <c r="B45" s="13"/>
      <c r="C45" s="14"/>
      <c r="D45" s="14"/>
      <c r="E45" s="15"/>
      <c r="F45" s="16"/>
      <c r="G45" s="17" t="str">
        <f aca="false">IF(D45="","",IF(E45="Geldi",IF(F45="",IFERROR(INDEX(Hizmetler!$C$5:$C$54,MATCH(D45,Hizmetler!$A$5:$A$54,0)),0),F45),0))</f>
        <v/>
      </c>
      <c r="H45" s="18" t="str">
        <f aca="false">IF(OR(B45="",D45=""),"",ROUND((B45+IFERROR(INDEX(Hizmetler!$B$5:$B$54,MATCH(D45,Hizmetler!$A$5:$A$54,0)),0)/1440)*1440,0)/1440)</f>
        <v/>
      </c>
      <c r="I45" s="19" t="str">
        <f aca="false">IF(OR(A45="",H45="",E45="İptal"),"",IF(COUNTIFS($A$5:$A$1004,A45,$B$5:$B$1004,"&lt;"&amp;(H45-0.0003),$H$5:$H$1004,"&gt;"&amp;(B45+0.0003),$E$5:$E$1004,"&lt;&gt;İptal")&gt;1,"Çakışıyor",""))</f>
        <v/>
      </c>
      <c r="J45" s="21" t="str">
        <f aca="false">IF(AND(A45=Gün!$C$3,B45&lt;&gt;"",E45&lt;&gt;"İptal"),B45+ROW()/100000000,"")</f>
        <v/>
      </c>
    </row>
    <row r="46" customFormat="false" ht="15" hidden="false" customHeight="false" outlineLevel="0" collapsed="false">
      <c r="A46" s="12"/>
      <c r="B46" s="13"/>
      <c r="C46" s="14"/>
      <c r="D46" s="14"/>
      <c r="E46" s="15"/>
      <c r="F46" s="16"/>
      <c r="G46" s="17" t="str">
        <f aca="false">IF(D46="","",IF(E46="Geldi",IF(F46="",IFERROR(INDEX(Hizmetler!$C$5:$C$54,MATCH(D46,Hizmetler!$A$5:$A$54,0)),0),F46),0))</f>
        <v/>
      </c>
      <c r="H46" s="18" t="str">
        <f aca="false">IF(OR(B46="",D46=""),"",ROUND((B46+IFERROR(INDEX(Hizmetler!$B$5:$B$54,MATCH(D46,Hizmetler!$A$5:$A$54,0)),0)/1440)*1440,0)/1440)</f>
        <v/>
      </c>
      <c r="I46" s="19" t="str">
        <f aca="false">IF(OR(A46="",H46="",E46="İptal"),"",IF(COUNTIFS($A$5:$A$1004,A46,$B$5:$B$1004,"&lt;"&amp;(H46-0.0003),$H$5:$H$1004,"&gt;"&amp;(B46+0.0003),$E$5:$E$1004,"&lt;&gt;İptal")&gt;1,"Çakışıyor",""))</f>
        <v/>
      </c>
      <c r="J46" s="21" t="str">
        <f aca="false">IF(AND(A46=Gün!$C$3,B46&lt;&gt;"",E46&lt;&gt;"İptal"),B46+ROW()/100000000,"")</f>
        <v/>
      </c>
    </row>
    <row r="47" customFormat="false" ht="15" hidden="false" customHeight="false" outlineLevel="0" collapsed="false">
      <c r="A47" s="12"/>
      <c r="B47" s="13"/>
      <c r="C47" s="14"/>
      <c r="D47" s="14"/>
      <c r="E47" s="15"/>
      <c r="F47" s="16"/>
      <c r="G47" s="17" t="str">
        <f aca="false">IF(D47="","",IF(E47="Geldi",IF(F47="",IFERROR(INDEX(Hizmetler!$C$5:$C$54,MATCH(D47,Hizmetler!$A$5:$A$54,0)),0),F47),0))</f>
        <v/>
      </c>
      <c r="H47" s="18" t="str">
        <f aca="false">IF(OR(B47="",D47=""),"",ROUND((B47+IFERROR(INDEX(Hizmetler!$B$5:$B$54,MATCH(D47,Hizmetler!$A$5:$A$54,0)),0)/1440)*1440,0)/1440)</f>
        <v/>
      </c>
      <c r="I47" s="19" t="str">
        <f aca="false">IF(OR(A47="",H47="",E47="İptal"),"",IF(COUNTIFS($A$5:$A$1004,A47,$B$5:$B$1004,"&lt;"&amp;(H47-0.0003),$H$5:$H$1004,"&gt;"&amp;(B47+0.0003),$E$5:$E$1004,"&lt;&gt;İptal")&gt;1,"Çakışıyor",""))</f>
        <v/>
      </c>
      <c r="J47" s="21" t="str">
        <f aca="false">IF(AND(A47=Gün!$C$3,B47&lt;&gt;"",E47&lt;&gt;"İptal"),B47+ROW()/100000000,"")</f>
        <v/>
      </c>
    </row>
    <row r="48" customFormat="false" ht="15" hidden="false" customHeight="false" outlineLevel="0" collapsed="false">
      <c r="A48" s="12"/>
      <c r="B48" s="13"/>
      <c r="C48" s="14"/>
      <c r="D48" s="14"/>
      <c r="E48" s="15"/>
      <c r="F48" s="16"/>
      <c r="G48" s="17" t="str">
        <f aca="false">IF(D48="","",IF(E48="Geldi",IF(F48="",IFERROR(INDEX(Hizmetler!$C$5:$C$54,MATCH(D48,Hizmetler!$A$5:$A$54,0)),0),F48),0))</f>
        <v/>
      </c>
      <c r="H48" s="18" t="str">
        <f aca="false">IF(OR(B48="",D48=""),"",ROUND((B48+IFERROR(INDEX(Hizmetler!$B$5:$B$54,MATCH(D48,Hizmetler!$A$5:$A$54,0)),0)/1440)*1440,0)/1440)</f>
        <v/>
      </c>
      <c r="I48" s="19" t="str">
        <f aca="false">IF(OR(A48="",H48="",E48="İptal"),"",IF(COUNTIFS($A$5:$A$1004,A48,$B$5:$B$1004,"&lt;"&amp;(H48-0.0003),$H$5:$H$1004,"&gt;"&amp;(B48+0.0003),$E$5:$E$1004,"&lt;&gt;İptal")&gt;1,"Çakışıyor",""))</f>
        <v/>
      </c>
      <c r="J48" s="21" t="str">
        <f aca="false">IF(AND(A48=Gün!$C$3,B48&lt;&gt;"",E48&lt;&gt;"İptal"),B48+ROW()/100000000,"")</f>
        <v/>
      </c>
    </row>
    <row r="49" customFormat="false" ht="15" hidden="false" customHeight="false" outlineLevel="0" collapsed="false">
      <c r="A49" s="12"/>
      <c r="B49" s="13"/>
      <c r="C49" s="14"/>
      <c r="D49" s="14"/>
      <c r="E49" s="15"/>
      <c r="F49" s="16"/>
      <c r="G49" s="17" t="str">
        <f aca="false">IF(D49="","",IF(E49="Geldi",IF(F49="",IFERROR(INDEX(Hizmetler!$C$5:$C$54,MATCH(D49,Hizmetler!$A$5:$A$54,0)),0),F49),0))</f>
        <v/>
      </c>
      <c r="H49" s="18" t="str">
        <f aca="false">IF(OR(B49="",D49=""),"",ROUND((B49+IFERROR(INDEX(Hizmetler!$B$5:$B$54,MATCH(D49,Hizmetler!$A$5:$A$54,0)),0)/1440)*1440,0)/1440)</f>
        <v/>
      </c>
      <c r="I49" s="19" t="str">
        <f aca="false">IF(OR(A49="",H49="",E49="İptal"),"",IF(COUNTIFS($A$5:$A$1004,A49,$B$5:$B$1004,"&lt;"&amp;(H49-0.0003),$H$5:$H$1004,"&gt;"&amp;(B49+0.0003),$E$5:$E$1004,"&lt;&gt;İptal")&gt;1,"Çakışıyor",""))</f>
        <v/>
      </c>
      <c r="J49" s="21" t="str">
        <f aca="false">IF(AND(A49=Gün!$C$3,B49&lt;&gt;"",E49&lt;&gt;"İptal"),B49+ROW()/100000000,"")</f>
        <v/>
      </c>
    </row>
    <row r="50" customFormat="false" ht="15" hidden="false" customHeight="false" outlineLevel="0" collapsed="false">
      <c r="A50" s="12"/>
      <c r="B50" s="13"/>
      <c r="C50" s="14"/>
      <c r="D50" s="14"/>
      <c r="E50" s="15"/>
      <c r="F50" s="16"/>
      <c r="G50" s="17" t="str">
        <f aca="false">IF(D50="","",IF(E50="Geldi",IF(F50="",IFERROR(INDEX(Hizmetler!$C$5:$C$54,MATCH(D50,Hizmetler!$A$5:$A$54,0)),0),F50),0))</f>
        <v/>
      </c>
      <c r="H50" s="18" t="str">
        <f aca="false">IF(OR(B50="",D50=""),"",ROUND((B50+IFERROR(INDEX(Hizmetler!$B$5:$B$54,MATCH(D50,Hizmetler!$A$5:$A$54,0)),0)/1440)*1440,0)/1440)</f>
        <v/>
      </c>
      <c r="I50" s="19" t="str">
        <f aca="false">IF(OR(A50="",H50="",E50="İptal"),"",IF(COUNTIFS($A$5:$A$1004,A50,$B$5:$B$1004,"&lt;"&amp;(H50-0.0003),$H$5:$H$1004,"&gt;"&amp;(B50+0.0003),$E$5:$E$1004,"&lt;&gt;İptal")&gt;1,"Çakışıyor",""))</f>
        <v/>
      </c>
      <c r="J50" s="21" t="str">
        <f aca="false">IF(AND(A50=Gün!$C$3,B50&lt;&gt;"",E50&lt;&gt;"İptal"),B50+ROW()/100000000,"")</f>
        <v/>
      </c>
    </row>
    <row r="51" customFormat="false" ht="15" hidden="false" customHeight="false" outlineLevel="0" collapsed="false">
      <c r="A51" s="12"/>
      <c r="B51" s="13"/>
      <c r="C51" s="14"/>
      <c r="D51" s="14"/>
      <c r="E51" s="15"/>
      <c r="F51" s="16"/>
      <c r="G51" s="17" t="str">
        <f aca="false">IF(D51="","",IF(E51="Geldi",IF(F51="",IFERROR(INDEX(Hizmetler!$C$5:$C$54,MATCH(D51,Hizmetler!$A$5:$A$54,0)),0),F51),0))</f>
        <v/>
      </c>
      <c r="H51" s="18" t="str">
        <f aca="false">IF(OR(B51="",D51=""),"",ROUND((B51+IFERROR(INDEX(Hizmetler!$B$5:$B$54,MATCH(D51,Hizmetler!$A$5:$A$54,0)),0)/1440)*1440,0)/1440)</f>
        <v/>
      </c>
      <c r="I51" s="19" t="str">
        <f aca="false">IF(OR(A51="",H51="",E51="İptal"),"",IF(COUNTIFS($A$5:$A$1004,A51,$B$5:$B$1004,"&lt;"&amp;(H51-0.0003),$H$5:$H$1004,"&gt;"&amp;(B51+0.0003),$E$5:$E$1004,"&lt;&gt;İptal")&gt;1,"Çakışıyor",""))</f>
        <v/>
      </c>
      <c r="J51" s="21" t="str">
        <f aca="false">IF(AND(A51=Gün!$C$3,B51&lt;&gt;"",E51&lt;&gt;"İptal"),B51+ROW()/100000000,"")</f>
        <v/>
      </c>
    </row>
    <row r="52" customFormat="false" ht="15" hidden="false" customHeight="false" outlineLevel="0" collapsed="false">
      <c r="A52" s="12"/>
      <c r="B52" s="13"/>
      <c r="C52" s="14"/>
      <c r="D52" s="14"/>
      <c r="E52" s="15"/>
      <c r="F52" s="16"/>
      <c r="G52" s="17" t="str">
        <f aca="false">IF(D52="","",IF(E52="Geldi",IF(F52="",IFERROR(INDEX(Hizmetler!$C$5:$C$54,MATCH(D52,Hizmetler!$A$5:$A$54,0)),0),F52),0))</f>
        <v/>
      </c>
      <c r="H52" s="18" t="str">
        <f aca="false">IF(OR(B52="",D52=""),"",ROUND((B52+IFERROR(INDEX(Hizmetler!$B$5:$B$54,MATCH(D52,Hizmetler!$A$5:$A$54,0)),0)/1440)*1440,0)/1440)</f>
        <v/>
      </c>
      <c r="I52" s="19" t="str">
        <f aca="false">IF(OR(A52="",H52="",E52="İptal"),"",IF(COUNTIFS($A$5:$A$1004,A52,$B$5:$B$1004,"&lt;"&amp;(H52-0.0003),$H$5:$H$1004,"&gt;"&amp;(B52+0.0003),$E$5:$E$1004,"&lt;&gt;İptal")&gt;1,"Çakışıyor",""))</f>
        <v/>
      </c>
      <c r="J52" s="21" t="str">
        <f aca="false">IF(AND(A52=Gün!$C$3,B52&lt;&gt;"",E52&lt;&gt;"İptal"),B52+ROW()/100000000,"")</f>
        <v/>
      </c>
    </row>
    <row r="53" customFormat="false" ht="15" hidden="false" customHeight="false" outlineLevel="0" collapsed="false">
      <c r="A53" s="12"/>
      <c r="B53" s="13"/>
      <c r="C53" s="14"/>
      <c r="D53" s="14"/>
      <c r="E53" s="15"/>
      <c r="F53" s="16"/>
      <c r="G53" s="17" t="str">
        <f aca="false">IF(D53="","",IF(E53="Geldi",IF(F53="",IFERROR(INDEX(Hizmetler!$C$5:$C$54,MATCH(D53,Hizmetler!$A$5:$A$54,0)),0),F53),0))</f>
        <v/>
      </c>
      <c r="H53" s="18" t="str">
        <f aca="false">IF(OR(B53="",D53=""),"",ROUND((B53+IFERROR(INDEX(Hizmetler!$B$5:$B$54,MATCH(D53,Hizmetler!$A$5:$A$54,0)),0)/1440)*1440,0)/1440)</f>
        <v/>
      </c>
      <c r="I53" s="19" t="str">
        <f aca="false">IF(OR(A53="",H53="",E53="İptal"),"",IF(COUNTIFS($A$5:$A$1004,A53,$B$5:$B$1004,"&lt;"&amp;(H53-0.0003),$H$5:$H$1004,"&gt;"&amp;(B53+0.0003),$E$5:$E$1004,"&lt;&gt;İptal")&gt;1,"Çakışıyor",""))</f>
        <v/>
      </c>
      <c r="J53" s="21" t="str">
        <f aca="false">IF(AND(A53=Gün!$C$3,B53&lt;&gt;"",E53&lt;&gt;"İptal"),B53+ROW()/100000000,"")</f>
        <v/>
      </c>
    </row>
    <row r="54" customFormat="false" ht="15" hidden="false" customHeight="false" outlineLevel="0" collapsed="false">
      <c r="A54" s="12"/>
      <c r="B54" s="13"/>
      <c r="C54" s="14"/>
      <c r="D54" s="14"/>
      <c r="E54" s="15"/>
      <c r="F54" s="16"/>
      <c r="G54" s="17" t="str">
        <f aca="false">IF(D54="","",IF(E54="Geldi",IF(F54="",IFERROR(INDEX(Hizmetler!$C$5:$C$54,MATCH(D54,Hizmetler!$A$5:$A$54,0)),0),F54),0))</f>
        <v/>
      </c>
      <c r="H54" s="18" t="str">
        <f aca="false">IF(OR(B54="",D54=""),"",ROUND((B54+IFERROR(INDEX(Hizmetler!$B$5:$B$54,MATCH(D54,Hizmetler!$A$5:$A$54,0)),0)/1440)*1440,0)/1440)</f>
        <v/>
      </c>
      <c r="I54" s="19" t="str">
        <f aca="false">IF(OR(A54="",H54="",E54="İptal"),"",IF(COUNTIFS($A$5:$A$1004,A54,$B$5:$B$1004,"&lt;"&amp;(H54-0.0003),$H$5:$H$1004,"&gt;"&amp;(B54+0.0003),$E$5:$E$1004,"&lt;&gt;İptal")&gt;1,"Çakışıyor",""))</f>
        <v/>
      </c>
      <c r="J54" s="21" t="str">
        <f aca="false">IF(AND(A54=Gün!$C$3,B54&lt;&gt;"",E54&lt;&gt;"İptal"),B54+ROW()/100000000,"")</f>
        <v/>
      </c>
    </row>
    <row r="55" customFormat="false" ht="15" hidden="false" customHeight="false" outlineLevel="0" collapsed="false">
      <c r="A55" s="12"/>
      <c r="B55" s="13"/>
      <c r="C55" s="14"/>
      <c r="D55" s="14"/>
      <c r="E55" s="15"/>
      <c r="F55" s="16"/>
      <c r="G55" s="17" t="str">
        <f aca="false">IF(D55="","",IF(E55="Geldi",IF(F55="",IFERROR(INDEX(Hizmetler!$C$5:$C$54,MATCH(D55,Hizmetler!$A$5:$A$54,0)),0),F55),0))</f>
        <v/>
      </c>
      <c r="H55" s="18" t="str">
        <f aca="false">IF(OR(B55="",D55=""),"",ROUND((B55+IFERROR(INDEX(Hizmetler!$B$5:$B$54,MATCH(D55,Hizmetler!$A$5:$A$54,0)),0)/1440)*1440,0)/1440)</f>
        <v/>
      </c>
      <c r="I55" s="19" t="str">
        <f aca="false">IF(OR(A55="",H55="",E55="İptal"),"",IF(COUNTIFS($A$5:$A$1004,A55,$B$5:$B$1004,"&lt;"&amp;(H55-0.0003),$H$5:$H$1004,"&gt;"&amp;(B55+0.0003),$E$5:$E$1004,"&lt;&gt;İptal")&gt;1,"Çakışıyor",""))</f>
        <v/>
      </c>
      <c r="J55" s="21" t="str">
        <f aca="false">IF(AND(A55=Gün!$C$3,B55&lt;&gt;"",E55&lt;&gt;"İptal"),B55+ROW()/100000000,"")</f>
        <v/>
      </c>
    </row>
    <row r="56" customFormat="false" ht="15" hidden="false" customHeight="false" outlineLevel="0" collapsed="false">
      <c r="A56" s="12"/>
      <c r="B56" s="13"/>
      <c r="C56" s="14"/>
      <c r="D56" s="14"/>
      <c r="E56" s="15"/>
      <c r="F56" s="16"/>
      <c r="G56" s="17" t="str">
        <f aca="false">IF(D56="","",IF(E56="Geldi",IF(F56="",IFERROR(INDEX(Hizmetler!$C$5:$C$54,MATCH(D56,Hizmetler!$A$5:$A$54,0)),0),F56),0))</f>
        <v/>
      </c>
      <c r="H56" s="18" t="str">
        <f aca="false">IF(OR(B56="",D56=""),"",ROUND((B56+IFERROR(INDEX(Hizmetler!$B$5:$B$54,MATCH(D56,Hizmetler!$A$5:$A$54,0)),0)/1440)*1440,0)/1440)</f>
        <v/>
      </c>
      <c r="I56" s="19" t="str">
        <f aca="false">IF(OR(A56="",H56="",E56="İptal"),"",IF(COUNTIFS($A$5:$A$1004,A56,$B$5:$B$1004,"&lt;"&amp;(H56-0.0003),$H$5:$H$1004,"&gt;"&amp;(B56+0.0003),$E$5:$E$1004,"&lt;&gt;İptal")&gt;1,"Çakışıyor",""))</f>
        <v/>
      </c>
      <c r="J56" s="21" t="str">
        <f aca="false">IF(AND(A56=Gün!$C$3,B56&lt;&gt;"",E56&lt;&gt;"İptal"),B56+ROW()/100000000,"")</f>
        <v/>
      </c>
    </row>
    <row r="57" customFormat="false" ht="15" hidden="false" customHeight="false" outlineLevel="0" collapsed="false">
      <c r="A57" s="12"/>
      <c r="B57" s="13"/>
      <c r="C57" s="14"/>
      <c r="D57" s="14"/>
      <c r="E57" s="15"/>
      <c r="F57" s="16"/>
      <c r="G57" s="17" t="str">
        <f aca="false">IF(D57="","",IF(E57="Geldi",IF(F57="",IFERROR(INDEX(Hizmetler!$C$5:$C$54,MATCH(D57,Hizmetler!$A$5:$A$54,0)),0),F57),0))</f>
        <v/>
      </c>
      <c r="H57" s="18" t="str">
        <f aca="false">IF(OR(B57="",D57=""),"",ROUND((B57+IFERROR(INDEX(Hizmetler!$B$5:$B$54,MATCH(D57,Hizmetler!$A$5:$A$54,0)),0)/1440)*1440,0)/1440)</f>
        <v/>
      </c>
      <c r="I57" s="19" t="str">
        <f aca="false">IF(OR(A57="",H57="",E57="İptal"),"",IF(COUNTIFS($A$5:$A$1004,A57,$B$5:$B$1004,"&lt;"&amp;(H57-0.0003),$H$5:$H$1004,"&gt;"&amp;(B57+0.0003),$E$5:$E$1004,"&lt;&gt;İptal")&gt;1,"Çakışıyor",""))</f>
        <v/>
      </c>
      <c r="J57" s="21" t="str">
        <f aca="false">IF(AND(A57=Gün!$C$3,B57&lt;&gt;"",E57&lt;&gt;"İptal"),B57+ROW()/100000000,"")</f>
        <v/>
      </c>
    </row>
    <row r="58" customFormat="false" ht="15" hidden="false" customHeight="false" outlineLevel="0" collapsed="false">
      <c r="A58" s="12"/>
      <c r="B58" s="13"/>
      <c r="C58" s="14"/>
      <c r="D58" s="14"/>
      <c r="E58" s="15"/>
      <c r="F58" s="16"/>
      <c r="G58" s="17" t="str">
        <f aca="false">IF(D58="","",IF(E58="Geldi",IF(F58="",IFERROR(INDEX(Hizmetler!$C$5:$C$54,MATCH(D58,Hizmetler!$A$5:$A$54,0)),0),F58),0))</f>
        <v/>
      </c>
      <c r="H58" s="18" t="str">
        <f aca="false">IF(OR(B58="",D58=""),"",ROUND((B58+IFERROR(INDEX(Hizmetler!$B$5:$B$54,MATCH(D58,Hizmetler!$A$5:$A$54,0)),0)/1440)*1440,0)/1440)</f>
        <v/>
      </c>
      <c r="I58" s="19" t="str">
        <f aca="false">IF(OR(A58="",H58="",E58="İptal"),"",IF(COUNTIFS($A$5:$A$1004,A58,$B$5:$B$1004,"&lt;"&amp;(H58-0.0003),$H$5:$H$1004,"&gt;"&amp;(B58+0.0003),$E$5:$E$1004,"&lt;&gt;İptal")&gt;1,"Çakışıyor",""))</f>
        <v/>
      </c>
      <c r="J58" s="21" t="str">
        <f aca="false">IF(AND(A58=Gün!$C$3,B58&lt;&gt;"",E58&lt;&gt;"İptal"),B58+ROW()/100000000,"")</f>
        <v/>
      </c>
    </row>
    <row r="59" customFormat="false" ht="15" hidden="false" customHeight="false" outlineLevel="0" collapsed="false">
      <c r="A59" s="12"/>
      <c r="B59" s="13"/>
      <c r="C59" s="14"/>
      <c r="D59" s="14"/>
      <c r="E59" s="15"/>
      <c r="F59" s="16"/>
      <c r="G59" s="17" t="str">
        <f aca="false">IF(D59="","",IF(E59="Geldi",IF(F59="",IFERROR(INDEX(Hizmetler!$C$5:$C$54,MATCH(D59,Hizmetler!$A$5:$A$54,0)),0),F59),0))</f>
        <v/>
      </c>
      <c r="H59" s="18" t="str">
        <f aca="false">IF(OR(B59="",D59=""),"",ROUND((B59+IFERROR(INDEX(Hizmetler!$B$5:$B$54,MATCH(D59,Hizmetler!$A$5:$A$54,0)),0)/1440)*1440,0)/1440)</f>
        <v/>
      </c>
      <c r="I59" s="19" t="str">
        <f aca="false">IF(OR(A59="",H59="",E59="İptal"),"",IF(COUNTIFS($A$5:$A$1004,A59,$B$5:$B$1004,"&lt;"&amp;(H59-0.0003),$H$5:$H$1004,"&gt;"&amp;(B59+0.0003),$E$5:$E$1004,"&lt;&gt;İptal")&gt;1,"Çakışıyor",""))</f>
        <v/>
      </c>
      <c r="J59" s="21" t="str">
        <f aca="false">IF(AND(A59=Gün!$C$3,B59&lt;&gt;"",E59&lt;&gt;"İptal"),B59+ROW()/100000000,"")</f>
        <v/>
      </c>
    </row>
    <row r="60" customFormat="false" ht="15" hidden="false" customHeight="false" outlineLevel="0" collapsed="false">
      <c r="A60" s="12"/>
      <c r="B60" s="13"/>
      <c r="C60" s="14"/>
      <c r="D60" s="14"/>
      <c r="E60" s="15"/>
      <c r="F60" s="16"/>
      <c r="G60" s="17" t="str">
        <f aca="false">IF(D60="","",IF(E60="Geldi",IF(F60="",IFERROR(INDEX(Hizmetler!$C$5:$C$54,MATCH(D60,Hizmetler!$A$5:$A$54,0)),0),F60),0))</f>
        <v/>
      </c>
      <c r="H60" s="18" t="str">
        <f aca="false">IF(OR(B60="",D60=""),"",ROUND((B60+IFERROR(INDEX(Hizmetler!$B$5:$B$54,MATCH(D60,Hizmetler!$A$5:$A$54,0)),0)/1440)*1440,0)/1440)</f>
        <v/>
      </c>
      <c r="I60" s="19" t="str">
        <f aca="false">IF(OR(A60="",H60="",E60="İptal"),"",IF(COUNTIFS($A$5:$A$1004,A60,$B$5:$B$1004,"&lt;"&amp;(H60-0.0003),$H$5:$H$1004,"&gt;"&amp;(B60+0.0003),$E$5:$E$1004,"&lt;&gt;İptal")&gt;1,"Çakışıyor",""))</f>
        <v/>
      </c>
      <c r="J60" s="21" t="str">
        <f aca="false">IF(AND(A60=Gün!$C$3,B60&lt;&gt;"",E60&lt;&gt;"İptal"),B60+ROW()/100000000,"")</f>
        <v/>
      </c>
    </row>
    <row r="61" customFormat="false" ht="15" hidden="false" customHeight="false" outlineLevel="0" collapsed="false">
      <c r="A61" s="12"/>
      <c r="B61" s="13"/>
      <c r="C61" s="14"/>
      <c r="D61" s="14"/>
      <c r="E61" s="15"/>
      <c r="F61" s="16"/>
      <c r="G61" s="17" t="str">
        <f aca="false">IF(D61="","",IF(E61="Geldi",IF(F61="",IFERROR(INDEX(Hizmetler!$C$5:$C$54,MATCH(D61,Hizmetler!$A$5:$A$54,0)),0),F61),0))</f>
        <v/>
      </c>
      <c r="H61" s="18" t="str">
        <f aca="false">IF(OR(B61="",D61=""),"",ROUND((B61+IFERROR(INDEX(Hizmetler!$B$5:$B$54,MATCH(D61,Hizmetler!$A$5:$A$54,0)),0)/1440)*1440,0)/1440)</f>
        <v/>
      </c>
      <c r="I61" s="19" t="str">
        <f aca="false">IF(OR(A61="",H61="",E61="İptal"),"",IF(COUNTIFS($A$5:$A$1004,A61,$B$5:$B$1004,"&lt;"&amp;(H61-0.0003),$H$5:$H$1004,"&gt;"&amp;(B61+0.0003),$E$5:$E$1004,"&lt;&gt;İptal")&gt;1,"Çakışıyor",""))</f>
        <v/>
      </c>
      <c r="J61" s="21" t="str">
        <f aca="false">IF(AND(A61=Gün!$C$3,B61&lt;&gt;"",E61&lt;&gt;"İptal"),B61+ROW()/100000000,"")</f>
        <v/>
      </c>
    </row>
    <row r="62" customFormat="false" ht="15" hidden="false" customHeight="false" outlineLevel="0" collapsed="false">
      <c r="A62" s="12"/>
      <c r="B62" s="13"/>
      <c r="C62" s="14"/>
      <c r="D62" s="14"/>
      <c r="E62" s="15"/>
      <c r="F62" s="16"/>
      <c r="G62" s="17" t="str">
        <f aca="false">IF(D62="","",IF(E62="Geldi",IF(F62="",IFERROR(INDEX(Hizmetler!$C$5:$C$54,MATCH(D62,Hizmetler!$A$5:$A$54,0)),0),F62),0))</f>
        <v/>
      </c>
      <c r="H62" s="18" t="str">
        <f aca="false">IF(OR(B62="",D62=""),"",ROUND((B62+IFERROR(INDEX(Hizmetler!$B$5:$B$54,MATCH(D62,Hizmetler!$A$5:$A$54,0)),0)/1440)*1440,0)/1440)</f>
        <v/>
      </c>
      <c r="I62" s="19" t="str">
        <f aca="false">IF(OR(A62="",H62="",E62="İptal"),"",IF(COUNTIFS($A$5:$A$1004,A62,$B$5:$B$1004,"&lt;"&amp;(H62-0.0003),$H$5:$H$1004,"&gt;"&amp;(B62+0.0003),$E$5:$E$1004,"&lt;&gt;İptal")&gt;1,"Çakışıyor",""))</f>
        <v/>
      </c>
      <c r="J62" s="21" t="str">
        <f aca="false">IF(AND(A62=Gün!$C$3,B62&lt;&gt;"",E62&lt;&gt;"İptal"),B62+ROW()/100000000,"")</f>
        <v/>
      </c>
    </row>
    <row r="63" customFormat="false" ht="15" hidden="false" customHeight="false" outlineLevel="0" collapsed="false">
      <c r="A63" s="12"/>
      <c r="B63" s="13"/>
      <c r="C63" s="14"/>
      <c r="D63" s="14"/>
      <c r="E63" s="15"/>
      <c r="F63" s="16"/>
      <c r="G63" s="17" t="str">
        <f aca="false">IF(D63="","",IF(E63="Geldi",IF(F63="",IFERROR(INDEX(Hizmetler!$C$5:$C$54,MATCH(D63,Hizmetler!$A$5:$A$54,0)),0),F63),0))</f>
        <v/>
      </c>
      <c r="H63" s="18" t="str">
        <f aca="false">IF(OR(B63="",D63=""),"",ROUND((B63+IFERROR(INDEX(Hizmetler!$B$5:$B$54,MATCH(D63,Hizmetler!$A$5:$A$54,0)),0)/1440)*1440,0)/1440)</f>
        <v/>
      </c>
      <c r="I63" s="19" t="str">
        <f aca="false">IF(OR(A63="",H63="",E63="İptal"),"",IF(COUNTIFS($A$5:$A$1004,A63,$B$5:$B$1004,"&lt;"&amp;(H63-0.0003),$H$5:$H$1004,"&gt;"&amp;(B63+0.0003),$E$5:$E$1004,"&lt;&gt;İptal")&gt;1,"Çakışıyor",""))</f>
        <v/>
      </c>
      <c r="J63" s="21" t="str">
        <f aca="false">IF(AND(A63=Gün!$C$3,B63&lt;&gt;"",E63&lt;&gt;"İptal"),B63+ROW()/100000000,"")</f>
        <v/>
      </c>
    </row>
    <row r="64" customFormat="false" ht="15" hidden="false" customHeight="false" outlineLevel="0" collapsed="false">
      <c r="A64" s="12"/>
      <c r="B64" s="13"/>
      <c r="C64" s="14"/>
      <c r="D64" s="14"/>
      <c r="E64" s="15"/>
      <c r="F64" s="16"/>
      <c r="G64" s="17" t="str">
        <f aca="false">IF(D64="","",IF(E64="Geldi",IF(F64="",IFERROR(INDEX(Hizmetler!$C$5:$C$54,MATCH(D64,Hizmetler!$A$5:$A$54,0)),0),F64),0))</f>
        <v/>
      </c>
      <c r="H64" s="18" t="str">
        <f aca="false">IF(OR(B64="",D64=""),"",ROUND((B64+IFERROR(INDEX(Hizmetler!$B$5:$B$54,MATCH(D64,Hizmetler!$A$5:$A$54,0)),0)/1440)*1440,0)/1440)</f>
        <v/>
      </c>
      <c r="I64" s="19" t="str">
        <f aca="false">IF(OR(A64="",H64="",E64="İptal"),"",IF(COUNTIFS($A$5:$A$1004,A64,$B$5:$B$1004,"&lt;"&amp;(H64-0.0003),$H$5:$H$1004,"&gt;"&amp;(B64+0.0003),$E$5:$E$1004,"&lt;&gt;İptal")&gt;1,"Çakışıyor",""))</f>
        <v/>
      </c>
      <c r="J64" s="21" t="str">
        <f aca="false">IF(AND(A64=Gün!$C$3,B64&lt;&gt;"",E64&lt;&gt;"İptal"),B64+ROW()/100000000,"")</f>
        <v/>
      </c>
    </row>
    <row r="65" customFormat="false" ht="15" hidden="false" customHeight="false" outlineLevel="0" collapsed="false">
      <c r="A65" s="12"/>
      <c r="B65" s="13"/>
      <c r="C65" s="14"/>
      <c r="D65" s="14"/>
      <c r="E65" s="15"/>
      <c r="F65" s="16"/>
      <c r="G65" s="17" t="str">
        <f aca="false">IF(D65="","",IF(E65="Geldi",IF(F65="",IFERROR(INDEX(Hizmetler!$C$5:$C$54,MATCH(D65,Hizmetler!$A$5:$A$54,0)),0),F65),0))</f>
        <v/>
      </c>
      <c r="H65" s="18" t="str">
        <f aca="false">IF(OR(B65="",D65=""),"",ROUND((B65+IFERROR(INDEX(Hizmetler!$B$5:$B$54,MATCH(D65,Hizmetler!$A$5:$A$54,0)),0)/1440)*1440,0)/1440)</f>
        <v/>
      </c>
      <c r="I65" s="19" t="str">
        <f aca="false">IF(OR(A65="",H65="",E65="İptal"),"",IF(COUNTIFS($A$5:$A$1004,A65,$B$5:$B$1004,"&lt;"&amp;(H65-0.0003),$H$5:$H$1004,"&gt;"&amp;(B65+0.0003),$E$5:$E$1004,"&lt;&gt;İptal")&gt;1,"Çakışıyor",""))</f>
        <v/>
      </c>
      <c r="J65" s="21" t="str">
        <f aca="false">IF(AND(A65=Gün!$C$3,B65&lt;&gt;"",E65&lt;&gt;"İptal"),B65+ROW()/100000000,"")</f>
        <v/>
      </c>
    </row>
    <row r="66" customFormat="false" ht="15" hidden="false" customHeight="false" outlineLevel="0" collapsed="false">
      <c r="A66" s="12"/>
      <c r="B66" s="13"/>
      <c r="C66" s="14"/>
      <c r="D66" s="14"/>
      <c r="E66" s="15"/>
      <c r="F66" s="16"/>
      <c r="G66" s="17" t="str">
        <f aca="false">IF(D66="","",IF(E66="Geldi",IF(F66="",IFERROR(INDEX(Hizmetler!$C$5:$C$54,MATCH(D66,Hizmetler!$A$5:$A$54,0)),0),F66),0))</f>
        <v/>
      </c>
      <c r="H66" s="18" t="str">
        <f aca="false">IF(OR(B66="",D66=""),"",ROUND((B66+IFERROR(INDEX(Hizmetler!$B$5:$B$54,MATCH(D66,Hizmetler!$A$5:$A$54,0)),0)/1440)*1440,0)/1440)</f>
        <v/>
      </c>
      <c r="I66" s="19" t="str">
        <f aca="false">IF(OR(A66="",H66="",E66="İptal"),"",IF(COUNTIFS($A$5:$A$1004,A66,$B$5:$B$1004,"&lt;"&amp;(H66-0.0003),$H$5:$H$1004,"&gt;"&amp;(B66+0.0003),$E$5:$E$1004,"&lt;&gt;İptal")&gt;1,"Çakışıyor",""))</f>
        <v/>
      </c>
      <c r="J66" s="21" t="str">
        <f aca="false">IF(AND(A66=Gün!$C$3,B66&lt;&gt;"",E66&lt;&gt;"İptal"),B66+ROW()/100000000,"")</f>
        <v/>
      </c>
    </row>
    <row r="67" customFormat="false" ht="15" hidden="false" customHeight="false" outlineLevel="0" collapsed="false">
      <c r="A67" s="12"/>
      <c r="B67" s="13"/>
      <c r="C67" s="14"/>
      <c r="D67" s="14"/>
      <c r="E67" s="15"/>
      <c r="F67" s="16"/>
      <c r="G67" s="17" t="str">
        <f aca="false">IF(D67="","",IF(E67="Geldi",IF(F67="",IFERROR(INDEX(Hizmetler!$C$5:$C$54,MATCH(D67,Hizmetler!$A$5:$A$54,0)),0),F67),0))</f>
        <v/>
      </c>
      <c r="H67" s="18" t="str">
        <f aca="false">IF(OR(B67="",D67=""),"",ROUND((B67+IFERROR(INDEX(Hizmetler!$B$5:$B$54,MATCH(D67,Hizmetler!$A$5:$A$54,0)),0)/1440)*1440,0)/1440)</f>
        <v/>
      </c>
      <c r="I67" s="19" t="str">
        <f aca="false">IF(OR(A67="",H67="",E67="İptal"),"",IF(COUNTIFS($A$5:$A$1004,A67,$B$5:$B$1004,"&lt;"&amp;(H67-0.0003),$H$5:$H$1004,"&gt;"&amp;(B67+0.0003),$E$5:$E$1004,"&lt;&gt;İptal")&gt;1,"Çakışıyor",""))</f>
        <v/>
      </c>
      <c r="J67" s="21" t="str">
        <f aca="false">IF(AND(A67=Gün!$C$3,B67&lt;&gt;"",E67&lt;&gt;"İptal"),B67+ROW()/100000000,"")</f>
        <v/>
      </c>
    </row>
    <row r="68" customFormat="false" ht="15" hidden="false" customHeight="false" outlineLevel="0" collapsed="false">
      <c r="A68" s="12"/>
      <c r="B68" s="13"/>
      <c r="C68" s="14"/>
      <c r="D68" s="14"/>
      <c r="E68" s="15"/>
      <c r="F68" s="16"/>
      <c r="G68" s="17" t="str">
        <f aca="false">IF(D68="","",IF(E68="Geldi",IF(F68="",IFERROR(INDEX(Hizmetler!$C$5:$C$54,MATCH(D68,Hizmetler!$A$5:$A$54,0)),0),F68),0))</f>
        <v/>
      </c>
      <c r="H68" s="18" t="str">
        <f aca="false">IF(OR(B68="",D68=""),"",ROUND((B68+IFERROR(INDEX(Hizmetler!$B$5:$B$54,MATCH(D68,Hizmetler!$A$5:$A$54,0)),0)/1440)*1440,0)/1440)</f>
        <v/>
      </c>
      <c r="I68" s="19" t="str">
        <f aca="false">IF(OR(A68="",H68="",E68="İptal"),"",IF(COUNTIFS($A$5:$A$1004,A68,$B$5:$B$1004,"&lt;"&amp;(H68-0.0003),$H$5:$H$1004,"&gt;"&amp;(B68+0.0003),$E$5:$E$1004,"&lt;&gt;İptal")&gt;1,"Çakışıyor",""))</f>
        <v/>
      </c>
      <c r="J68" s="21" t="str">
        <f aca="false">IF(AND(A68=Gün!$C$3,B68&lt;&gt;"",E68&lt;&gt;"İptal"),B68+ROW()/100000000,"")</f>
        <v/>
      </c>
    </row>
    <row r="69" customFormat="false" ht="15" hidden="false" customHeight="false" outlineLevel="0" collapsed="false">
      <c r="A69" s="12"/>
      <c r="B69" s="13"/>
      <c r="C69" s="14"/>
      <c r="D69" s="14"/>
      <c r="E69" s="15"/>
      <c r="F69" s="16"/>
      <c r="G69" s="17" t="str">
        <f aca="false">IF(D69="","",IF(E69="Geldi",IF(F69="",IFERROR(INDEX(Hizmetler!$C$5:$C$54,MATCH(D69,Hizmetler!$A$5:$A$54,0)),0),F69),0))</f>
        <v/>
      </c>
      <c r="H69" s="18" t="str">
        <f aca="false">IF(OR(B69="",D69=""),"",ROUND((B69+IFERROR(INDEX(Hizmetler!$B$5:$B$54,MATCH(D69,Hizmetler!$A$5:$A$54,0)),0)/1440)*1440,0)/1440)</f>
        <v/>
      </c>
      <c r="I69" s="19" t="str">
        <f aca="false">IF(OR(A69="",H69="",E69="İptal"),"",IF(COUNTIFS($A$5:$A$1004,A69,$B$5:$B$1004,"&lt;"&amp;(H69-0.0003),$H$5:$H$1004,"&gt;"&amp;(B69+0.0003),$E$5:$E$1004,"&lt;&gt;İptal")&gt;1,"Çakışıyor",""))</f>
        <v/>
      </c>
      <c r="J69" s="21" t="str">
        <f aca="false">IF(AND(A69=Gün!$C$3,B69&lt;&gt;"",E69&lt;&gt;"İptal"),B69+ROW()/100000000,"")</f>
        <v/>
      </c>
    </row>
    <row r="70" customFormat="false" ht="15" hidden="false" customHeight="false" outlineLevel="0" collapsed="false">
      <c r="A70" s="12"/>
      <c r="B70" s="13"/>
      <c r="C70" s="14"/>
      <c r="D70" s="14"/>
      <c r="E70" s="15"/>
      <c r="F70" s="16"/>
      <c r="G70" s="17" t="str">
        <f aca="false">IF(D70="","",IF(E70="Geldi",IF(F70="",IFERROR(INDEX(Hizmetler!$C$5:$C$54,MATCH(D70,Hizmetler!$A$5:$A$54,0)),0),F70),0))</f>
        <v/>
      </c>
      <c r="H70" s="18" t="str">
        <f aca="false">IF(OR(B70="",D70=""),"",ROUND((B70+IFERROR(INDEX(Hizmetler!$B$5:$B$54,MATCH(D70,Hizmetler!$A$5:$A$54,0)),0)/1440)*1440,0)/1440)</f>
        <v/>
      </c>
      <c r="I70" s="19" t="str">
        <f aca="false">IF(OR(A70="",H70="",E70="İptal"),"",IF(COUNTIFS($A$5:$A$1004,A70,$B$5:$B$1004,"&lt;"&amp;(H70-0.0003),$H$5:$H$1004,"&gt;"&amp;(B70+0.0003),$E$5:$E$1004,"&lt;&gt;İptal")&gt;1,"Çakışıyor",""))</f>
        <v/>
      </c>
      <c r="J70" s="21" t="str">
        <f aca="false">IF(AND(A70=Gün!$C$3,B70&lt;&gt;"",E70&lt;&gt;"İptal"),B70+ROW()/100000000,"")</f>
        <v/>
      </c>
    </row>
    <row r="71" customFormat="false" ht="15" hidden="false" customHeight="false" outlineLevel="0" collapsed="false">
      <c r="A71" s="12"/>
      <c r="B71" s="13"/>
      <c r="C71" s="14"/>
      <c r="D71" s="14"/>
      <c r="E71" s="15"/>
      <c r="F71" s="16"/>
      <c r="G71" s="17" t="str">
        <f aca="false">IF(D71="","",IF(E71="Geldi",IF(F71="",IFERROR(INDEX(Hizmetler!$C$5:$C$54,MATCH(D71,Hizmetler!$A$5:$A$54,0)),0),F71),0))</f>
        <v/>
      </c>
      <c r="H71" s="18" t="str">
        <f aca="false">IF(OR(B71="",D71=""),"",ROUND((B71+IFERROR(INDEX(Hizmetler!$B$5:$B$54,MATCH(D71,Hizmetler!$A$5:$A$54,0)),0)/1440)*1440,0)/1440)</f>
        <v/>
      </c>
      <c r="I71" s="19" t="str">
        <f aca="false">IF(OR(A71="",H71="",E71="İptal"),"",IF(COUNTIFS($A$5:$A$1004,A71,$B$5:$B$1004,"&lt;"&amp;(H71-0.0003),$H$5:$H$1004,"&gt;"&amp;(B71+0.0003),$E$5:$E$1004,"&lt;&gt;İptal")&gt;1,"Çakışıyor",""))</f>
        <v/>
      </c>
      <c r="J71" s="21" t="str">
        <f aca="false">IF(AND(A71=Gün!$C$3,B71&lt;&gt;"",E71&lt;&gt;"İptal"),B71+ROW()/100000000,"")</f>
        <v/>
      </c>
    </row>
    <row r="72" customFormat="false" ht="15" hidden="false" customHeight="false" outlineLevel="0" collapsed="false">
      <c r="A72" s="12"/>
      <c r="B72" s="13"/>
      <c r="C72" s="14"/>
      <c r="D72" s="14"/>
      <c r="E72" s="15"/>
      <c r="F72" s="16"/>
      <c r="G72" s="17" t="str">
        <f aca="false">IF(D72="","",IF(E72="Geldi",IF(F72="",IFERROR(INDEX(Hizmetler!$C$5:$C$54,MATCH(D72,Hizmetler!$A$5:$A$54,0)),0),F72),0))</f>
        <v/>
      </c>
      <c r="H72" s="18" t="str">
        <f aca="false">IF(OR(B72="",D72=""),"",ROUND((B72+IFERROR(INDEX(Hizmetler!$B$5:$B$54,MATCH(D72,Hizmetler!$A$5:$A$54,0)),0)/1440)*1440,0)/1440)</f>
        <v/>
      </c>
      <c r="I72" s="19" t="str">
        <f aca="false">IF(OR(A72="",H72="",E72="İptal"),"",IF(COUNTIFS($A$5:$A$1004,A72,$B$5:$B$1004,"&lt;"&amp;(H72-0.0003),$H$5:$H$1004,"&gt;"&amp;(B72+0.0003),$E$5:$E$1004,"&lt;&gt;İptal")&gt;1,"Çakışıyor",""))</f>
        <v/>
      </c>
      <c r="J72" s="21" t="str">
        <f aca="false">IF(AND(A72=Gün!$C$3,B72&lt;&gt;"",E72&lt;&gt;"İptal"),B72+ROW()/100000000,"")</f>
        <v/>
      </c>
    </row>
    <row r="73" customFormat="false" ht="15" hidden="false" customHeight="false" outlineLevel="0" collapsed="false">
      <c r="A73" s="12"/>
      <c r="B73" s="13"/>
      <c r="C73" s="14"/>
      <c r="D73" s="14"/>
      <c r="E73" s="15"/>
      <c r="F73" s="16"/>
      <c r="G73" s="17" t="str">
        <f aca="false">IF(D73="","",IF(E73="Geldi",IF(F73="",IFERROR(INDEX(Hizmetler!$C$5:$C$54,MATCH(D73,Hizmetler!$A$5:$A$54,0)),0),F73),0))</f>
        <v/>
      </c>
      <c r="H73" s="18" t="str">
        <f aca="false">IF(OR(B73="",D73=""),"",ROUND((B73+IFERROR(INDEX(Hizmetler!$B$5:$B$54,MATCH(D73,Hizmetler!$A$5:$A$54,0)),0)/1440)*1440,0)/1440)</f>
        <v/>
      </c>
      <c r="I73" s="19" t="str">
        <f aca="false">IF(OR(A73="",H73="",E73="İptal"),"",IF(COUNTIFS($A$5:$A$1004,A73,$B$5:$B$1004,"&lt;"&amp;(H73-0.0003),$H$5:$H$1004,"&gt;"&amp;(B73+0.0003),$E$5:$E$1004,"&lt;&gt;İptal")&gt;1,"Çakışıyor",""))</f>
        <v/>
      </c>
      <c r="J73" s="21" t="str">
        <f aca="false">IF(AND(A73=Gün!$C$3,B73&lt;&gt;"",E73&lt;&gt;"İptal"),B73+ROW()/100000000,"")</f>
        <v/>
      </c>
    </row>
    <row r="74" customFormat="false" ht="15" hidden="false" customHeight="false" outlineLevel="0" collapsed="false">
      <c r="A74" s="12"/>
      <c r="B74" s="13"/>
      <c r="C74" s="14"/>
      <c r="D74" s="14"/>
      <c r="E74" s="15"/>
      <c r="F74" s="16"/>
      <c r="G74" s="17" t="str">
        <f aca="false">IF(D74="","",IF(E74="Geldi",IF(F74="",IFERROR(INDEX(Hizmetler!$C$5:$C$54,MATCH(D74,Hizmetler!$A$5:$A$54,0)),0),F74),0))</f>
        <v/>
      </c>
      <c r="H74" s="18" t="str">
        <f aca="false">IF(OR(B74="",D74=""),"",ROUND((B74+IFERROR(INDEX(Hizmetler!$B$5:$B$54,MATCH(D74,Hizmetler!$A$5:$A$54,0)),0)/1440)*1440,0)/1440)</f>
        <v/>
      </c>
      <c r="I74" s="19" t="str">
        <f aca="false">IF(OR(A74="",H74="",E74="İptal"),"",IF(COUNTIFS($A$5:$A$1004,A74,$B$5:$B$1004,"&lt;"&amp;(H74-0.0003),$H$5:$H$1004,"&gt;"&amp;(B74+0.0003),$E$5:$E$1004,"&lt;&gt;İptal")&gt;1,"Çakışıyor",""))</f>
        <v/>
      </c>
      <c r="J74" s="21" t="str">
        <f aca="false">IF(AND(A74=Gün!$C$3,B74&lt;&gt;"",E74&lt;&gt;"İptal"),B74+ROW()/100000000,"")</f>
        <v/>
      </c>
    </row>
    <row r="75" customFormat="false" ht="15" hidden="false" customHeight="false" outlineLevel="0" collapsed="false">
      <c r="A75" s="12"/>
      <c r="B75" s="13"/>
      <c r="C75" s="14"/>
      <c r="D75" s="14"/>
      <c r="E75" s="15"/>
      <c r="F75" s="16"/>
      <c r="G75" s="17" t="str">
        <f aca="false">IF(D75="","",IF(E75="Geldi",IF(F75="",IFERROR(INDEX(Hizmetler!$C$5:$C$54,MATCH(D75,Hizmetler!$A$5:$A$54,0)),0),F75),0))</f>
        <v/>
      </c>
      <c r="H75" s="18" t="str">
        <f aca="false">IF(OR(B75="",D75=""),"",ROUND((B75+IFERROR(INDEX(Hizmetler!$B$5:$B$54,MATCH(D75,Hizmetler!$A$5:$A$54,0)),0)/1440)*1440,0)/1440)</f>
        <v/>
      </c>
      <c r="I75" s="19" t="str">
        <f aca="false">IF(OR(A75="",H75="",E75="İptal"),"",IF(COUNTIFS($A$5:$A$1004,A75,$B$5:$B$1004,"&lt;"&amp;(H75-0.0003),$H$5:$H$1004,"&gt;"&amp;(B75+0.0003),$E$5:$E$1004,"&lt;&gt;İptal")&gt;1,"Çakışıyor",""))</f>
        <v/>
      </c>
      <c r="J75" s="21" t="str">
        <f aca="false">IF(AND(A75=Gün!$C$3,B75&lt;&gt;"",E75&lt;&gt;"İptal"),B75+ROW()/100000000,"")</f>
        <v/>
      </c>
    </row>
    <row r="76" customFormat="false" ht="15" hidden="false" customHeight="false" outlineLevel="0" collapsed="false">
      <c r="A76" s="12"/>
      <c r="B76" s="13"/>
      <c r="C76" s="14"/>
      <c r="D76" s="14"/>
      <c r="E76" s="15"/>
      <c r="F76" s="16"/>
      <c r="G76" s="17" t="str">
        <f aca="false">IF(D76="","",IF(E76="Geldi",IF(F76="",IFERROR(INDEX(Hizmetler!$C$5:$C$54,MATCH(D76,Hizmetler!$A$5:$A$54,0)),0),F76),0))</f>
        <v/>
      </c>
      <c r="H76" s="18" t="str">
        <f aca="false">IF(OR(B76="",D76=""),"",ROUND((B76+IFERROR(INDEX(Hizmetler!$B$5:$B$54,MATCH(D76,Hizmetler!$A$5:$A$54,0)),0)/1440)*1440,0)/1440)</f>
        <v/>
      </c>
      <c r="I76" s="19" t="str">
        <f aca="false">IF(OR(A76="",H76="",E76="İptal"),"",IF(COUNTIFS($A$5:$A$1004,A76,$B$5:$B$1004,"&lt;"&amp;(H76-0.0003),$H$5:$H$1004,"&gt;"&amp;(B76+0.0003),$E$5:$E$1004,"&lt;&gt;İptal")&gt;1,"Çakışıyor",""))</f>
        <v/>
      </c>
      <c r="J76" s="21" t="str">
        <f aca="false">IF(AND(A76=Gün!$C$3,B76&lt;&gt;"",E76&lt;&gt;"İptal"),B76+ROW()/100000000,"")</f>
        <v/>
      </c>
    </row>
    <row r="77" customFormat="false" ht="15" hidden="false" customHeight="false" outlineLevel="0" collapsed="false">
      <c r="A77" s="12"/>
      <c r="B77" s="13"/>
      <c r="C77" s="14"/>
      <c r="D77" s="14"/>
      <c r="E77" s="15"/>
      <c r="F77" s="16"/>
      <c r="G77" s="17" t="str">
        <f aca="false">IF(D77="","",IF(E77="Geldi",IF(F77="",IFERROR(INDEX(Hizmetler!$C$5:$C$54,MATCH(D77,Hizmetler!$A$5:$A$54,0)),0),F77),0))</f>
        <v/>
      </c>
      <c r="H77" s="18" t="str">
        <f aca="false">IF(OR(B77="",D77=""),"",ROUND((B77+IFERROR(INDEX(Hizmetler!$B$5:$B$54,MATCH(D77,Hizmetler!$A$5:$A$54,0)),0)/1440)*1440,0)/1440)</f>
        <v/>
      </c>
      <c r="I77" s="19" t="str">
        <f aca="false">IF(OR(A77="",H77="",E77="İptal"),"",IF(COUNTIFS($A$5:$A$1004,A77,$B$5:$B$1004,"&lt;"&amp;(H77-0.0003),$H$5:$H$1004,"&gt;"&amp;(B77+0.0003),$E$5:$E$1004,"&lt;&gt;İptal")&gt;1,"Çakışıyor",""))</f>
        <v/>
      </c>
      <c r="J77" s="21" t="str">
        <f aca="false">IF(AND(A77=Gün!$C$3,B77&lt;&gt;"",E77&lt;&gt;"İptal"),B77+ROW()/100000000,"")</f>
        <v/>
      </c>
    </row>
    <row r="78" customFormat="false" ht="15" hidden="false" customHeight="false" outlineLevel="0" collapsed="false">
      <c r="A78" s="12"/>
      <c r="B78" s="13"/>
      <c r="C78" s="14"/>
      <c r="D78" s="14"/>
      <c r="E78" s="15"/>
      <c r="F78" s="16"/>
      <c r="G78" s="17" t="str">
        <f aca="false">IF(D78="","",IF(E78="Geldi",IF(F78="",IFERROR(INDEX(Hizmetler!$C$5:$C$54,MATCH(D78,Hizmetler!$A$5:$A$54,0)),0),F78),0))</f>
        <v/>
      </c>
      <c r="H78" s="18" t="str">
        <f aca="false">IF(OR(B78="",D78=""),"",ROUND((B78+IFERROR(INDEX(Hizmetler!$B$5:$B$54,MATCH(D78,Hizmetler!$A$5:$A$54,0)),0)/1440)*1440,0)/1440)</f>
        <v/>
      </c>
      <c r="I78" s="19" t="str">
        <f aca="false">IF(OR(A78="",H78="",E78="İptal"),"",IF(COUNTIFS($A$5:$A$1004,A78,$B$5:$B$1004,"&lt;"&amp;(H78-0.0003),$H$5:$H$1004,"&gt;"&amp;(B78+0.0003),$E$5:$E$1004,"&lt;&gt;İptal")&gt;1,"Çakışıyor",""))</f>
        <v/>
      </c>
      <c r="J78" s="21" t="str">
        <f aca="false">IF(AND(A78=Gün!$C$3,B78&lt;&gt;"",E78&lt;&gt;"İptal"),B78+ROW()/100000000,"")</f>
        <v/>
      </c>
    </row>
    <row r="79" customFormat="false" ht="15" hidden="false" customHeight="false" outlineLevel="0" collapsed="false">
      <c r="A79" s="12"/>
      <c r="B79" s="13"/>
      <c r="C79" s="14"/>
      <c r="D79" s="14"/>
      <c r="E79" s="15"/>
      <c r="F79" s="16"/>
      <c r="G79" s="17" t="str">
        <f aca="false">IF(D79="","",IF(E79="Geldi",IF(F79="",IFERROR(INDEX(Hizmetler!$C$5:$C$54,MATCH(D79,Hizmetler!$A$5:$A$54,0)),0),F79),0))</f>
        <v/>
      </c>
      <c r="H79" s="18" t="str">
        <f aca="false">IF(OR(B79="",D79=""),"",ROUND((B79+IFERROR(INDEX(Hizmetler!$B$5:$B$54,MATCH(D79,Hizmetler!$A$5:$A$54,0)),0)/1440)*1440,0)/1440)</f>
        <v/>
      </c>
      <c r="I79" s="19" t="str">
        <f aca="false">IF(OR(A79="",H79="",E79="İptal"),"",IF(COUNTIFS($A$5:$A$1004,A79,$B$5:$B$1004,"&lt;"&amp;(H79-0.0003),$H$5:$H$1004,"&gt;"&amp;(B79+0.0003),$E$5:$E$1004,"&lt;&gt;İptal")&gt;1,"Çakışıyor",""))</f>
        <v/>
      </c>
      <c r="J79" s="21" t="str">
        <f aca="false">IF(AND(A79=Gün!$C$3,B79&lt;&gt;"",E79&lt;&gt;"İptal"),B79+ROW()/100000000,"")</f>
        <v/>
      </c>
    </row>
    <row r="80" customFormat="false" ht="15" hidden="false" customHeight="false" outlineLevel="0" collapsed="false">
      <c r="A80" s="12"/>
      <c r="B80" s="13"/>
      <c r="C80" s="14"/>
      <c r="D80" s="14"/>
      <c r="E80" s="15"/>
      <c r="F80" s="16"/>
      <c r="G80" s="17" t="str">
        <f aca="false">IF(D80="","",IF(E80="Geldi",IF(F80="",IFERROR(INDEX(Hizmetler!$C$5:$C$54,MATCH(D80,Hizmetler!$A$5:$A$54,0)),0),F80),0))</f>
        <v/>
      </c>
      <c r="H80" s="18" t="str">
        <f aca="false">IF(OR(B80="",D80=""),"",ROUND((B80+IFERROR(INDEX(Hizmetler!$B$5:$B$54,MATCH(D80,Hizmetler!$A$5:$A$54,0)),0)/1440)*1440,0)/1440)</f>
        <v/>
      </c>
      <c r="I80" s="19" t="str">
        <f aca="false">IF(OR(A80="",H80="",E80="İptal"),"",IF(COUNTIFS($A$5:$A$1004,A80,$B$5:$B$1004,"&lt;"&amp;(H80-0.0003),$H$5:$H$1004,"&gt;"&amp;(B80+0.0003),$E$5:$E$1004,"&lt;&gt;İptal")&gt;1,"Çakışıyor",""))</f>
        <v/>
      </c>
      <c r="J80" s="21" t="str">
        <f aca="false">IF(AND(A80=Gün!$C$3,B80&lt;&gt;"",E80&lt;&gt;"İptal"),B80+ROW()/100000000,"")</f>
        <v/>
      </c>
    </row>
    <row r="81" customFormat="false" ht="15" hidden="false" customHeight="false" outlineLevel="0" collapsed="false">
      <c r="A81" s="12"/>
      <c r="B81" s="13"/>
      <c r="C81" s="14"/>
      <c r="D81" s="14"/>
      <c r="E81" s="15"/>
      <c r="F81" s="16"/>
      <c r="G81" s="17" t="str">
        <f aca="false">IF(D81="","",IF(E81="Geldi",IF(F81="",IFERROR(INDEX(Hizmetler!$C$5:$C$54,MATCH(D81,Hizmetler!$A$5:$A$54,0)),0),F81),0))</f>
        <v/>
      </c>
      <c r="H81" s="18" t="str">
        <f aca="false">IF(OR(B81="",D81=""),"",ROUND((B81+IFERROR(INDEX(Hizmetler!$B$5:$B$54,MATCH(D81,Hizmetler!$A$5:$A$54,0)),0)/1440)*1440,0)/1440)</f>
        <v/>
      </c>
      <c r="I81" s="19" t="str">
        <f aca="false">IF(OR(A81="",H81="",E81="İptal"),"",IF(COUNTIFS($A$5:$A$1004,A81,$B$5:$B$1004,"&lt;"&amp;(H81-0.0003),$H$5:$H$1004,"&gt;"&amp;(B81+0.0003),$E$5:$E$1004,"&lt;&gt;İptal")&gt;1,"Çakışıyor",""))</f>
        <v/>
      </c>
      <c r="J81" s="21" t="str">
        <f aca="false">IF(AND(A81=Gün!$C$3,B81&lt;&gt;"",E81&lt;&gt;"İptal"),B81+ROW()/100000000,"")</f>
        <v/>
      </c>
    </row>
    <row r="82" customFormat="false" ht="15" hidden="false" customHeight="false" outlineLevel="0" collapsed="false">
      <c r="A82" s="12"/>
      <c r="B82" s="13"/>
      <c r="C82" s="14"/>
      <c r="D82" s="14"/>
      <c r="E82" s="15"/>
      <c r="F82" s="16"/>
      <c r="G82" s="17" t="str">
        <f aca="false">IF(D82="","",IF(E82="Geldi",IF(F82="",IFERROR(INDEX(Hizmetler!$C$5:$C$54,MATCH(D82,Hizmetler!$A$5:$A$54,0)),0),F82),0))</f>
        <v/>
      </c>
      <c r="H82" s="18" t="str">
        <f aca="false">IF(OR(B82="",D82=""),"",ROUND((B82+IFERROR(INDEX(Hizmetler!$B$5:$B$54,MATCH(D82,Hizmetler!$A$5:$A$54,0)),0)/1440)*1440,0)/1440)</f>
        <v/>
      </c>
      <c r="I82" s="19" t="str">
        <f aca="false">IF(OR(A82="",H82="",E82="İptal"),"",IF(COUNTIFS($A$5:$A$1004,A82,$B$5:$B$1004,"&lt;"&amp;(H82-0.0003),$H$5:$H$1004,"&gt;"&amp;(B82+0.0003),$E$5:$E$1004,"&lt;&gt;İptal")&gt;1,"Çakışıyor",""))</f>
        <v/>
      </c>
      <c r="J82" s="21" t="str">
        <f aca="false">IF(AND(A82=Gün!$C$3,B82&lt;&gt;"",E82&lt;&gt;"İptal"),B82+ROW()/100000000,"")</f>
        <v/>
      </c>
    </row>
    <row r="83" customFormat="false" ht="15" hidden="false" customHeight="false" outlineLevel="0" collapsed="false">
      <c r="A83" s="12"/>
      <c r="B83" s="13"/>
      <c r="C83" s="14"/>
      <c r="D83" s="14"/>
      <c r="E83" s="15"/>
      <c r="F83" s="16"/>
      <c r="G83" s="17" t="str">
        <f aca="false">IF(D83="","",IF(E83="Geldi",IF(F83="",IFERROR(INDEX(Hizmetler!$C$5:$C$54,MATCH(D83,Hizmetler!$A$5:$A$54,0)),0),F83),0))</f>
        <v/>
      </c>
      <c r="H83" s="18" t="str">
        <f aca="false">IF(OR(B83="",D83=""),"",ROUND((B83+IFERROR(INDEX(Hizmetler!$B$5:$B$54,MATCH(D83,Hizmetler!$A$5:$A$54,0)),0)/1440)*1440,0)/1440)</f>
        <v/>
      </c>
      <c r="I83" s="19" t="str">
        <f aca="false">IF(OR(A83="",H83="",E83="İptal"),"",IF(COUNTIFS($A$5:$A$1004,A83,$B$5:$B$1004,"&lt;"&amp;(H83-0.0003),$H$5:$H$1004,"&gt;"&amp;(B83+0.0003),$E$5:$E$1004,"&lt;&gt;İptal")&gt;1,"Çakışıyor",""))</f>
        <v/>
      </c>
      <c r="J83" s="21" t="str">
        <f aca="false">IF(AND(A83=Gün!$C$3,B83&lt;&gt;"",E83&lt;&gt;"İptal"),B83+ROW()/100000000,"")</f>
        <v/>
      </c>
    </row>
    <row r="84" customFormat="false" ht="15" hidden="false" customHeight="false" outlineLevel="0" collapsed="false">
      <c r="A84" s="12"/>
      <c r="B84" s="13"/>
      <c r="C84" s="14"/>
      <c r="D84" s="14"/>
      <c r="E84" s="15"/>
      <c r="F84" s="16"/>
      <c r="G84" s="17" t="str">
        <f aca="false">IF(D84="","",IF(E84="Geldi",IF(F84="",IFERROR(INDEX(Hizmetler!$C$5:$C$54,MATCH(D84,Hizmetler!$A$5:$A$54,0)),0),F84),0))</f>
        <v/>
      </c>
      <c r="H84" s="18" t="str">
        <f aca="false">IF(OR(B84="",D84=""),"",ROUND((B84+IFERROR(INDEX(Hizmetler!$B$5:$B$54,MATCH(D84,Hizmetler!$A$5:$A$54,0)),0)/1440)*1440,0)/1440)</f>
        <v/>
      </c>
      <c r="I84" s="19" t="str">
        <f aca="false">IF(OR(A84="",H84="",E84="İptal"),"",IF(COUNTIFS($A$5:$A$1004,A84,$B$5:$B$1004,"&lt;"&amp;(H84-0.0003),$H$5:$H$1004,"&gt;"&amp;(B84+0.0003),$E$5:$E$1004,"&lt;&gt;İptal")&gt;1,"Çakışıyor",""))</f>
        <v/>
      </c>
      <c r="J84" s="21" t="str">
        <f aca="false">IF(AND(A84=Gün!$C$3,B84&lt;&gt;"",E84&lt;&gt;"İptal"),B84+ROW()/100000000,"")</f>
        <v/>
      </c>
    </row>
    <row r="85" customFormat="false" ht="15" hidden="false" customHeight="false" outlineLevel="0" collapsed="false">
      <c r="A85" s="12"/>
      <c r="B85" s="13"/>
      <c r="C85" s="14"/>
      <c r="D85" s="14"/>
      <c r="E85" s="15"/>
      <c r="F85" s="16"/>
      <c r="G85" s="17" t="str">
        <f aca="false">IF(D85="","",IF(E85="Geldi",IF(F85="",IFERROR(INDEX(Hizmetler!$C$5:$C$54,MATCH(D85,Hizmetler!$A$5:$A$54,0)),0),F85),0))</f>
        <v/>
      </c>
      <c r="H85" s="18" t="str">
        <f aca="false">IF(OR(B85="",D85=""),"",ROUND((B85+IFERROR(INDEX(Hizmetler!$B$5:$B$54,MATCH(D85,Hizmetler!$A$5:$A$54,0)),0)/1440)*1440,0)/1440)</f>
        <v/>
      </c>
      <c r="I85" s="19" t="str">
        <f aca="false">IF(OR(A85="",H85="",E85="İptal"),"",IF(COUNTIFS($A$5:$A$1004,A85,$B$5:$B$1004,"&lt;"&amp;(H85-0.0003),$H$5:$H$1004,"&gt;"&amp;(B85+0.0003),$E$5:$E$1004,"&lt;&gt;İptal")&gt;1,"Çakışıyor",""))</f>
        <v/>
      </c>
      <c r="J85" s="21" t="str">
        <f aca="false">IF(AND(A85=Gün!$C$3,B85&lt;&gt;"",E85&lt;&gt;"İptal"),B85+ROW()/100000000,"")</f>
        <v/>
      </c>
    </row>
    <row r="86" customFormat="false" ht="15" hidden="false" customHeight="false" outlineLevel="0" collapsed="false">
      <c r="A86" s="12"/>
      <c r="B86" s="13"/>
      <c r="C86" s="14"/>
      <c r="D86" s="14"/>
      <c r="E86" s="15"/>
      <c r="F86" s="16"/>
      <c r="G86" s="17" t="str">
        <f aca="false">IF(D86="","",IF(E86="Geldi",IF(F86="",IFERROR(INDEX(Hizmetler!$C$5:$C$54,MATCH(D86,Hizmetler!$A$5:$A$54,0)),0),F86),0))</f>
        <v/>
      </c>
      <c r="H86" s="18" t="str">
        <f aca="false">IF(OR(B86="",D86=""),"",ROUND((B86+IFERROR(INDEX(Hizmetler!$B$5:$B$54,MATCH(D86,Hizmetler!$A$5:$A$54,0)),0)/1440)*1440,0)/1440)</f>
        <v/>
      </c>
      <c r="I86" s="19" t="str">
        <f aca="false">IF(OR(A86="",H86="",E86="İptal"),"",IF(COUNTIFS($A$5:$A$1004,A86,$B$5:$B$1004,"&lt;"&amp;(H86-0.0003),$H$5:$H$1004,"&gt;"&amp;(B86+0.0003),$E$5:$E$1004,"&lt;&gt;İptal")&gt;1,"Çakışıyor",""))</f>
        <v/>
      </c>
      <c r="J86" s="21" t="str">
        <f aca="false">IF(AND(A86=Gün!$C$3,B86&lt;&gt;"",E86&lt;&gt;"İptal"),B86+ROW()/100000000,"")</f>
        <v/>
      </c>
    </row>
    <row r="87" customFormat="false" ht="15" hidden="false" customHeight="false" outlineLevel="0" collapsed="false">
      <c r="A87" s="12"/>
      <c r="B87" s="13"/>
      <c r="C87" s="14"/>
      <c r="D87" s="14"/>
      <c r="E87" s="15"/>
      <c r="F87" s="16"/>
      <c r="G87" s="17" t="str">
        <f aca="false">IF(D87="","",IF(E87="Geldi",IF(F87="",IFERROR(INDEX(Hizmetler!$C$5:$C$54,MATCH(D87,Hizmetler!$A$5:$A$54,0)),0),F87),0))</f>
        <v/>
      </c>
      <c r="H87" s="18" t="str">
        <f aca="false">IF(OR(B87="",D87=""),"",ROUND((B87+IFERROR(INDEX(Hizmetler!$B$5:$B$54,MATCH(D87,Hizmetler!$A$5:$A$54,0)),0)/1440)*1440,0)/1440)</f>
        <v/>
      </c>
      <c r="I87" s="19" t="str">
        <f aca="false">IF(OR(A87="",H87="",E87="İptal"),"",IF(COUNTIFS($A$5:$A$1004,A87,$B$5:$B$1004,"&lt;"&amp;(H87-0.0003),$H$5:$H$1004,"&gt;"&amp;(B87+0.0003),$E$5:$E$1004,"&lt;&gt;İptal")&gt;1,"Çakışıyor",""))</f>
        <v/>
      </c>
      <c r="J87" s="21" t="str">
        <f aca="false">IF(AND(A87=Gün!$C$3,B87&lt;&gt;"",E87&lt;&gt;"İptal"),B87+ROW()/100000000,"")</f>
        <v/>
      </c>
    </row>
    <row r="88" customFormat="false" ht="15" hidden="false" customHeight="false" outlineLevel="0" collapsed="false">
      <c r="A88" s="12"/>
      <c r="B88" s="13"/>
      <c r="C88" s="14"/>
      <c r="D88" s="14"/>
      <c r="E88" s="15"/>
      <c r="F88" s="16"/>
      <c r="G88" s="17" t="str">
        <f aca="false">IF(D88="","",IF(E88="Geldi",IF(F88="",IFERROR(INDEX(Hizmetler!$C$5:$C$54,MATCH(D88,Hizmetler!$A$5:$A$54,0)),0),F88),0))</f>
        <v/>
      </c>
      <c r="H88" s="18" t="str">
        <f aca="false">IF(OR(B88="",D88=""),"",ROUND((B88+IFERROR(INDEX(Hizmetler!$B$5:$B$54,MATCH(D88,Hizmetler!$A$5:$A$54,0)),0)/1440)*1440,0)/1440)</f>
        <v/>
      </c>
      <c r="I88" s="19" t="str">
        <f aca="false">IF(OR(A88="",H88="",E88="İptal"),"",IF(COUNTIFS($A$5:$A$1004,A88,$B$5:$B$1004,"&lt;"&amp;(H88-0.0003),$H$5:$H$1004,"&gt;"&amp;(B88+0.0003),$E$5:$E$1004,"&lt;&gt;İptal")&gt;1,"Çakışıyor",""))</f>
        <v/>
      </c>
      <c r="J88" s="21" t="str">
        <f aca="false">IF(AND(A88=Gün!$C$3,B88&lt;&gt;"",E88&lt;&gt;"İptal"),B88+ROW()/100000000,"")</f>
        <v/>
      </c>
    </row>
    <row r="89" customFormat="false" ht="15" hidden="false" customHeight="false" outlineLevel="0" collapsed="false">
      <c r="A89" s="12"/>
      <c r="B89" s="13"/>
      <c r="C89" s="14"/>
      <c r="D89" s="14"/>
      <c r="E89" s="15"/>
      <c r="F89" s="16"/>
      <c r="G89" s="17" t="str">
        <f aca="false">IF(D89="","",IF(E89="Geldi",IF(F89="",IFERROR(INDEX(Hizmetler!$C$5:$C$54,MATCH(D89,Hizmetler!$A$5:$A$54,0)),0),F89),0))</f>
        <v/>
      </c>
      <c r="H89" s="18" t="str">
        <f aca="false">IF(OR(B89="",D89=""),"",ROUND((B89+IFERROR(INDEX(Hizmetler!$B$5:$B$54,MATCH(D89,Hizmetler!$A$5:$A$54,0)),0)/1440)*1440,0)/1440)</f>
        <v/>
      </c>
      <c r="I89" s="19" t="str">
        <f aca="false">IF(OR(A89="",H89="",E89="İptal"),"",IF(COUNTIFS($A$5:$A$1004,A89,$B$5:$B$1004,"&lt;"&amp;(H89-0.0003),$H$5:$H$1004,"&gt;"&amp;(B89+0.0003),$E$5:$E$1004,"&lt;&gt;İptal")&gt;1,"Çakışıyor",""))</f>
        <v/>
      </c>
      <c r="J89" s="21" t="str">
        <f aca="false">IF(AND(A89=Gün!$C$3,B89&lt;&gt;"",E89&lt;&gt;"İptal"),B89+ROW()/100000000,"")</f>
        <v/>
      </c>
    </row>
    <row r="90" customFormat="false" ht="15" hidden="false" customHeight="false" outlineLevel="0" collapsed="false">
      <c r="A90" s="12"/>
      <c r="B90" s="13"/>
      <c r="C90" s="14"/>
      <c r="D90" s="14"/>
      <c r="E90" s="15"/>
      <c r="F90" s="16"/>
      <c r="G90" s="17" t="str">
        <f aca="false">IF(D90="","",IF(E90="Geldi",IF(F90="",IFERROR(INDEX(Hizmetler!$C$5:$C$54,MATCH(D90,Hizmetler!$A$5:$A$54,0)),0),F90),0))</f>
        <v/>
      </c>
      <c r="H90" s="18" t="str">
        <f aca="false">IF(OR(B90="",D90=""),"",ROUND((B90+IFERROR(INDEX(Hizmetler!$B$5:$B$54,MATCH(D90,Hizmetler!$A$5:$A$54,0)),0)/1440)*1440,0)/1440)</f>
        <v/>
      </c>
      <c r="I90" s="19" t="str">
        <f aca="false">IF(OR(A90="",H90="",E90="İptal"),"",IF(COUNTIFS($A$5:$A$1004,A90,$B$5:$B$1004,"&lt;"&amp;(H90-0.0003),$H$5:$H$1004,"&gt;"&amp;(B90+0.0003),$E$5:$E$1004,"&lt;&gt;İptal")&gt;1,"Çakışıyor",""))</f>
        <v/>
      </c>
      <c r="J90" s="21" t="str">
        <f aca="false">IF(AND(A90=Gün!$C$3,B90&lt;&gt;"",E90&lt;&gt;"İptal"),B90+ROW()/100000000,"")</f>
        <v/>
      </c>
    </row>
    <row r="91" customFormat="false" ht="15" hidden="false" customHeight="false" outlineLevel="0" collapsed="false">
      <c r="A91" s="12"/>
      <c r="B91" s="13"/>
      <c r="C91" s="14"/>
      <c r="D91" s="14"/>
      <c r="E91" s="15"/>
      <c r="F91" s="16"/>
      <c r="G91" s="17" t="str">
        <f aca="false">IF(D91="","",IF(E91="Geldi",IF(F91="",IFERROR(INDEX(Hizmetler!$C$5:$C$54,MATCH(D91,Hizmetler!$A$5:$A$54,0)),0),F91),0))</f>
        <v/>
      </c>
      <c r="H91" s="18" t="str">
        <f aca="false">IF(OR(B91="",D91=""),"",ROUND((B91+IFERROR(INDEX(Hizmetler!$B$5:$B$54,MATCH(D91,Hizmetler!$A$5:$A$54,0)),0)/1440)*1440,0)/1440)</f>
        <v/>
      </c>
      <c r="I91" s="19" t="str">
        <f aca="false">IF(OR(A91="",H91="",E91="İptal"),"",IF(COUNTIFS($A$5:$A$1004,A91,$B$5:$B$1004,"&lt;"&amp;(H91-0.0003),$H$5:$H$1004,"&gt;"&amp;(B91+0.0003),$E$5:$E$1004,"&lt;&gt;İptal")&gt;1,"Çakışıyor",""))</f>
        <v/>
      </c>
      <c r="J91" s="21" t="str">
        <f aca="false">IF(AND(A91=Gün!$C$3,B91&lt;&gt;"",E91&lt;&gt;"İptal"),B91+ROW()/100000000,"")</f>
        <v/>
      </c>
    </row>
    <row r="92" customFormat="false" ht="15" hidden="false" customHeight="false" outlineLevel="0" collapsed="false">
      <c r="A92" s="12"/>
      <c r="B92" s="13"/>
      <c r="C92" s="14"/>
      <c r="D92" s="14"/>
      <c r="E92" s="15"/>
      <c r="F92" s="16"/>
      <c r="G92" s="17" t="str">
        <f aca="false">IF(D92="","",IF(E92="Geldi",IF(F92="",IFERROR(INDEX(Hizmetler!$C$5:$C$54,MATCH(D92,Hizmetler!$A$5:$A$54,0)),0),F92),0))</f>
        <v/>
      </c>
      <c r="H92" s="18" t="str">
        <f aca="false">IF(OR(B92="",D92=""),"",ROUND((B92+IFERROR(INDEX(Hizmetler!$B$5:$B$54,MATCH(D92,Hizmetler!$A$5:$A$54,0)),0)/1440)*1440,0)/1440)</f>
        <v/>
      </c>
      <c r="I92" s="19" t="str">
        <f aca="false">IF(OR(A92="",H92="",E92="İptal"),"",IF(COUNTIFS($A$5:$A$1004,A92,$B$5:$B$1004,"&lt;"&amp;(H92-0.0003),$H$5:$H$1004,"&gt;"&amp;(B92+0.0003),$E$5:$E$1004,"&lt;&gt;İptal")&gt;1,"Çakışıyor",""))</f>
        <v/>
      </c>
      <c r="J92" s="21" t="str">
        <f aca="false">IF(AND(A92=Gün!$C$3,B92&lt;&gt;"",E92&lt;&gt;"İptal"),B92+ROW()/100000000,"")</f>
        <v/>
      </c>
    </row>
    <row r="93" customFormat="false" ht="15" hidden="false" customHeight="false" outlineLevel="0" collapsed="false">
      <c r="A93" s="12"/>
      <c r="B93" s="13"/>
      <c r="C93" s="14"/>
      <c r="D93" s="14"/>
      <c r="E93" s="15"/>
      <c r="F93" s="16"/>
      <c r="G93" s="17" t="str">
        <f aca="false">IF(D93="","",IF(E93="Geldi",IF(F93="",IFERROR(INDEX(Hizmetler!$C$5:$C$54,MATCH(D93,Hizmetler!$A$5:$A$54,0)),0),F93),0))</f>
        <v/>
      </c>
      <c r="H93" s="18" t="str">
        <f aca="false">IF(OR(B93="",D93=""),"",ROUND((B93+IFERROR(INDEX(Hizmetler!$B$5:$B$54,MATCH(D93,Hizmetler!$A$5:$A$54,0)),0)/1440)*1440,0)/1440)</f>
        <v/>
      </c>
      <c r="I93" s="19" t="str">
        <f aca="false">IF(OR(A93="",H93="",E93="İptal"),"",IF(COUNTIFS($A$5:$A$1004,A93,$B$5:$B$1004,"&lt;"&amp;(H93-0.0003),$H$5:$H$1004,"&gt;"&amp;(B93+0.0003),$E$5:$E$1004,"&lt;&gt;İptal")&gt;1,"Çakışıyor",""))</f>
        <v/>
      </c>
      <c r="J93" s="21" t="str">
        <f aca="false">IF(AND(A93=Gün!$C$3,B93&lt;&gt;"",E93&lt;&gt;"İptal"),B93+ROW()/100000000,"")</f>
        <v/>
      </c>
    </row>
    <row r="94" customFormat="false" ht="15" hidden="false" customHeight="false" outlineLevel="0" collapsed="false">
      <c r="A94" s="12"/>
      <c r="B94" s="13"/>
      <c r="C94" s="14"/>
      <c r="D94" s="14"/>
      <c r="E94" s="15"/>
      <c r="F94" s="16"/>
      <c r="G94" s="17" t="str">
        <f aca="false">IF(D94="","",IF(E94="Geldi",IF(F94="",IFERROR(INDEX(Hizmetler!$C$5:$C$54,MATCH(D94,Hizmetler!$A$5:$A$54,0)),0),F94),0))</f>
        <v/>
      </c>
      <c r="H94" s="18" t="str">
        <f aca="false">IF(OR(B94="",D94=""),"",ROUND((B94+IFERROR(INDEX(Hizmetler!$B$5:$B$54,MATCH(D94,Hizmetler!$A$5:$A$54,0)),0)/1440)*1440,0)/1440)</f>
        <v/>
      </c>
      <c r="I94" s="19" t="str">
        <f aca="false">IF(OR(A94="",H94="",E94="İptal"),"",IF(COUNTIFS($A$5:$A$1004,A94,$B$5:$B$1004,"&lt;"&amp;(H94-0.0003),$H$5:$H$1004,"&gt;"&amp;(B94+0.0003),$E$5:$E$1004,"&lt;&gt;İptal")&gt;1,"Çakışıyor",""))</f>
        <v/>
      </c>
      <c r="J94" s="21" t="str">
        <f aca="false">IF(AND(A94=Gün!$C$3,B94&lt;&gt;"",E94&lt;&gt;"İptal"),B94+ROW()/100000000,"")</f>
        <v/>
      </c>
    </row>
    <row r="95" customFormat="false" ht="15" hidden="false" customHeight="false" outlineLevel="0" collapsed="false">
      <c r="A95" s="12"/>
      <c r="B95" s="13"/>
      <c r="C95" s="14"/>
      <c r="D95" s="14"/>
      <c r="E95" s="15"/>
      <c r="F95" s="16"/>
      <c r="G95" s="17" t="str">
        <f aca="false">IF(D95="","",IF(E95="Geldi",IF(F95="",IFERROR(INDEX(Hizmetler!$C$5:$C$54,MATCH(D95,Hizmetler!$A$5:$A$54,0)),0),F95),0))</f>
        <v/>
      </c>
      <c r="H95" s="18" t="str">
        <f aca="false">IF(OR(B95="",D95=""),"",ROUND((B95+IFERROR(INDEX(Hizmetler!$B$5:$B$54,MATCH(D95,Hizmetler!$A$5:$A$54,0)),0)/1440)*1440,0)/1440)</f>
        <v/>
      </c>
      <c r="I95" s="19" t="str">
        <f aca="false">IF(OR(A95="",H95="",E95="İptal"),"",IF(COUNTIFS($A$5:$A$1004,A95,$B$5:$B$1004,"&lt;"&amp;(H95-0.0003),$H$5:$H$1004,"&gt;"&amp;(B95+0.0003),$E$5:$E$1004,"&lt;&gt;İptal")&gt;1,"Çakışıyor",""))</f>
        <v/>
      </c>
      <c r="J95" s="21" t="str">
        <f aca="false">IF(AND(A95=Gün!$C$3,B95&lt;&gt;"",E95&lt;&gt;"İptal"),B95+ROW()/100000000,"")</f>
        <v/>
      </c>
    </row>
    <row r="96" customFormat="false" ht="15" hidden="false" customHeight="false" outlineLevel="0" collapsed="false">
      <c r="A96" s="12"/>
      <c r="B96" s="13"/>
      <c r="C96" s="14"/>
      <c r="D96" s="14"/>
      <c r="E96" s="15"/>
      <c r="F96" s="16"/>
      <c r="G96" s="17" t="str">
        <f aca="false">IF(D96="","",IF(E96="Geldi",IF(F96="",IFERROR(INDEX(Hizmetler!$C$5:$C$54,MATCH(D96,Hizmetler!$A$5:$A$54,0)),0),F96),0))</f>
        <v/>
      </c>
      <c r="H96" s="18" t="str">
        <f aca="false">IF(OR(B96="",D96=""),"",ROUND((B96+IFERROR(INDEX(Hizmetler!$B$5:$B$54,MATCH(D96,Hizmetler!$A$5:$A$54,0)),0)/1440)*1440,0)/1440)</f>
        <v/>
      </c>
      <c r="I96" s="19" t="str">
        <f aca="false">IF(OR(A96="",H96="",E96="İptal"),"",IF(COUNTIFS($A$5:$A$1004,A96,$B$5:$B$1004,"&lt;"&amp;(H96-0.0003),$H$5:$H$1004,"&gt;"&amp;(B96+0.0003),$E$5:$E$1004,"&lt;&gt;İptal")&gt;1,"Çakışıyor",""))</f>
        <v/>
      </c>
      <c r="J96" s="21" t="str">
        <f aca="false">IF(AND(A96=Gün!$C$3,B96&lt;&gt;"",E96&lt;&gt;"İptal"),B96+ROW()/100000000,"")</f>
        <v/>
      </c>
    </row>
    <row r="97" customFormat="false" ht="15" hidden="false" customHeight="false" outlineLevel="0" collapsed="false">
      <c r="A97" s="12"/>
      <c r="B97" s="13"/>
      <c r="C97" s="14"/>
      <c r="D97" s="14"/>
      <c r="E97" s="15"/>
      <c r="F97" s="16"/>
      <c r="G97" s="17" t="str">
        <f aca="false">IF(D97="","",IF(E97="Geldi",IF(F97="",IFERROR(INDEX(Hizmetler!$C$5:$C$54,MATCH(D97,Hizmetler!$A$5:$A$54,0)),0),F97),0))</f>
        <v/>
      </c>
      <c r="H97" s="18" t="str">
        <f aca="false">IF(OR(B97="",D97=""),"",ROUND((B97+IFERROR(INDEX(Hizmetler!$B$5:$B$54,MATCH(D97,Hizmetler!$A$5:$A$54,0)),0)/1440)*1440,0)/1440)</f>
        <v/>
      </c>
      <c r="I97" s="19" t="str">
        <f aca="false">IF(OR(A97="",H97="",E97="İptal"),"",IF(COUNTIFS($A$5:$A$1004,A97,$B$5:$B$1004,"&lt;"&amp;(H97-0.0003),$H$5:$H$1004,"&gt;"&amp;(B97+0.0003),$E$5:$E$1004,"&lt;&gt;İptal")&gt;1,"Çakışıyor",""))</f>
        <v/>
      </c>
      <c r="J97" s="21" t="str">
        <f aca="false">IF(AND(A97=Gün!$C$3,B97&lt;&gt;"",E97&lt;&gt;"İptal"),B97+ROW()/100000000,"")</f>
        <v/>
      </c>
    </row>
    <row r="98" customFormat="false" ht="15" hidden="false" customHeight="false" outlineLevel="0" collapsed="false">
      <c r="A98" s="12"/>
      <c r="B98" s="13"/>
      <c r="C98" s="14"/>
      <c r="D98" s="14"/>
      <c r="E98" s="15"/>
      <c r="F98" s="16"/>
      <c r="G98" s="17" t="str">
        <f aca="false">IF(D98="","",IF(E98="Geldi",IF(F98="",IFERROR(INDEX(Hizmetler!$C$5:$C$54,MATCH(D98,Hizmetler!$A$5:$A$54,0)),0),F98),0))</f>
        <v/>
      </c>
      <c r="H98" s="18" t="str">
        <f aca="false">IF(OR(B98="",D98=""),"",ROUND((B98+IFERROR(INDEX(Hizmetler!$B$5:$B$54,MATCH(D98,Hizmetler!$A$5:$A$54,0)),0)/1440)*1440,0)/1440)</f>
        <v/>
      </c>
      <c r="I98" s="19" t="str">
        <f aca="false">IF(OR(A98="",H98="",E98="İptal"),"",IF(COUNTIFS($A$5:$A$1004,A98,$B$5:$B$1004,"&lt;"&amp;(H98-0.0003),$H$5:$H$1004,"&gt;"&amp;(B98+0.0003),$E$5:$E$1004,"&lt;&gt;İptal")&gt;1,"Çakışıyor",""))</f>
        <v/>
      </c>
      <c r="J98" s="21" t="str">
        <f aca="false">IF(AND(A98=Gün!$C$3,B98&lt;&gt;"",E98&lt;&gt;"İptal"),B98+ROW()/100000000,"")</f>
        <v/>
      </c>
    </row>
    <row r="99" customFormat="false" ht="15" hidden="false" customHeight="false" outlineLevel="0" collapsed="false">
      <c r="A99" s="12"/>
      <c r="B99" s="13"/>
      <c r="C99" s="14"/>
      <c r="D99" s="14"/>
      <c r="E99" s="15"/>
      <c r="F99" s="16"/>
      <c r="G99" s="17" t="str">
        <f aca="false">IF(D99="","",IF(E99="Geldi",IF(F99="",IFERROR(INDEX(Hizmetler!$C$5:$C$54,MATCH(D99,Hizmetler!$A$5:$A$54,0)),0),F99),0))</f>
        <v/>
      </c>
      <c r="H99" s="18" t="str">
        <f aca="false">IF(OR(B99="",D99=""),"",ROUND((B99+IFERROR(INDEX(Hizmetler!$B$5:$B$54,MATCH(D99,Hizmetler!$A$5:$A$54,0)),0)/1440)*1440,0)/1440)</f>
        <v/>
      </c>
      <c r="I99" s="19" t="str">
        <f aca="false">IF(OR(A99="",H99="",E99="İptal"),"",IF(COUNTIFS($A$5:$A$1004,A99,$B$5:$B$1004,"&lt;"&amp;(H99-0.0003),$H$5:$H$1004,"&gt;"&amp;(B99+0.0003),$E$5:$E$1004,"&lt;&gt;İptal")&gt;1,"Çakışıyor",""))</f>
        <v/>
      </c>
      <c r="J99" s="21" t="str">
        <f aca="false">IF(AND(A99=Gün!$C$3,B99&lt;&gt;"",E99&lt;&gt;"İptal"),B99+ROW()/100000000,"")</f>
        <v/>
      </c>
    </row>
    <row r="100" customFormat="false" ht="15" hidden="false" customHeight="false" outlineLevel="0" collapsed="false">
      <c r="A100" s="12"/>
      <c r="B100" s="13"/>
      <c r="C100" s="14"/>
      <c r="D100" s="14"/>
      <c r="E100" s="15"/>
      <c r="F100" s="16"/>
      <c r="G100" s="17" t="str">
        <f aca="false">IF(D100="","",IF(E100="Geldi",IF(F100="",IFERROR(INDEX(Hizmetler!$C$5:$C$54,MATCH(D100,Hizmetler!$A$5:$A$54,0)),0),F100),0))</f>
        <v/>
      </c>
      <c r="H100" s="18" t="str">
        <f aca="false">IF(OR(B100="",D100=""),"",ROUND((B100+IFERROR(INDEX(Hizmetler!$B$5:$B$54,MATCH(D100,Hizmetler!$A$5:$A$54,0)),0)/1440)*1440,0)/1440)</f>
        <v/>
      </c>
      <c r="I100" s="19" t="str">
        <f aca="false">IF(OR(A100="",H100="",E100="İptal"),"",IF(COUNTIFS($A$5:$A$1004,A100,$B$5:$B$1004,"&lt;"&amp;(H100-0.0003),$H$5:$H$1004,"&gt;"&amp;(B100+0.0003),$E$5:$E$1004,"&lt;&gt;İptal")&gt;1,"Çakışıyor",""))</f>
        <v/>
      </c>
      <c r="J100" s="21" t="str">
        <f aca="false">IF(AND(A100=Gün!$C$3,B100&lt;&gt;"",E100&lt;&gt;"İptal"),B100+ROW()/100000000,"")</f>
        <v/>
      </c>
    </row>
    <row r="101" customFormat="false" ht="15" hidden="false" customHeight="false" outlineLevel="0" collapsed="false">
      <c r="A101" s="12"/>
      <c r="B101" s="13"/>
      <c r="C101" s="14"/>
      <c r="D101" s="14"/>
      <c r="E101" s="15"/>
      <c r="F101" s="16"/>
      <c r="G101" s="17" t="str">
        <f aca="false">IF(D101="","",IF(E101="Geldi",IF(F101="",IFERROR(INDEX(Hizmetler!$C$5:$C$54,MATCH(D101,Hizmetler!$A$5:$A$54,0)),0),F101),0))</f>
        <v/>
      </c>
      <c r="H101" s="18" t="str">
        <f aca="false">IF(OR(B101="",D101=""),"",ROUND((B101+IFERROR(INDEX(Hizmetler!$B$5:$B$54,MATCH(D101,Hizmetler!$A$5:$A$54,0)),0)/1440)*1440,0)/1440)</f>
        <v/>
      </c>
      <c r="I101" s="19" t="str">
        <f aca="false">IF(OR(A101="",H101="",E101="İptal"),"",IF(COUNTIFS($A$5:$A$1004,A101,$B$5:$B$1004,"&lt;"&amp;(H101-0.0003),$H$5:$H$1004,"&gt;"&amp;(B101+0.0003),$E$5:$E$1004,"&lt;&gt;İptal")&gt;1,"Çakışıyor",""))</f>
        <v/>
      </c>
      <c r="J101" s="21" t="str">
        <f aca="false">IF(AND(A101=Gün!$C$3,B101&lt;&gt;"",E101&lt;&gt;"İptal"),B101+ROW()/100000000,"")</f>
        <v/>
      </c>
    </row>
    <row r="102" customFormat="false" ht="15" hidden="false" customHeight="false" outlineLevel="0" collapsed="false">
      <c r="A102" s="12"/>
      <c r="B102" s="13"/>
      <c r="C102" s="14"/>
      <c r="D102" s="14"/>
      <c r="E102" s="15"/>
      <c r="F102" s="16"/>
      <c r="G102" s="17" t="str">
        <f aca="false">IF(D102="","",IF(E102="Geldi",IF(F102="",IFERROR(INDEX(Hizmetler!$C$5:$C$54,MATCH(D102,Hizmetler!$A$5:$A$54,0)),0),F102),0))</f>
        <v/>
      </c>
      <c r="H102" s="18" t="str">
        <f aca="false">IF(OR(B102="",D102=""),"",ROUND((B102+IFERROR(INDEX(Hizmetler!$B$5:$B$54,MATCH(D102,Hizmetler!$A$5:$A$54,0)),0)/1440)*1440,0)/1440)</f>
        <v/>
      </c>
      <c r="I102" s="19" t="str">
        <f aca="false">IF(OR(A102="",H102="",E102="İptal"),"",IF(COUNTIFS($A$5:$A$1004,A102,$B$5:$B$1004,"&lt;"&amp;(H102-0.0003),$H$5:$H$1004,"&gt;"&amp;(B102+0.0003),$E$5:$E$1004,"&lt;&gt;İptal")&gt;1,"Çakışıyor",""))</f>
        <v/>
      </c>
      <c r="J102" s="21" t="str">
        <f aca="false">IF(AND(A102=Gün!$C$3,B102&lt;&gt;"",E102&lt;&gt;"İptal"),B102+ROW()/100000000,"")</f>
        <v/>
      </c>
    </row>
    <row r="103" customFormat="false" ht="15" hidden="false" customHeight="false" outlineLevel="0" collapsed="false">
      <c r="A103" s="12"/>
      <c r="B103" s="13"/>
      <c r="C103" s="14"/>
      <c r="D103" s="14"/>
      <c r="E103" s="15"/>
      <c r="F103" s="16"/>
      <c r="G103" s="17" t="str">
        <f aca="false">IF(D103="","",IF(E103="Geldi",IF(F103="",IFERROR(INDEX(Hizmetler!$C$5:$C$54,MATCH(D103,Hizmetler!$A$5:$A$54,0)),0),F103),0))</f>
        <v/>
      </c>
      <c r="H103" s="18" t="str">
        <f aca="false">IF(OR(B103="",D103=""),"",ROUND((B103+IFERROR(INDEX(Hizmetler!$B$5:$B$54,MATCH(D103,Hizmetler!$A$5:$A$54,0)),0)/1440)*1440,0)/1440)</f>
        <v/>
      </c>
      <c r="I103" s="19" t="str">
        <f aca="false">IF(OR(A103="",H103="",E103="İptal"),"",IF(COUNTIFS($A$5:$A$1004,A103,$B$5:$B$1004,"&lt;"&amp;(H103-0.0003),$H$5:$H$1004,"&gt;"&amp;(B103+0.0003),$E$5:$E$1004,"&lt;&gt;İptal")&gt;1,"Çakışıyor",""))</f>
        <v/>
      </c>
      <c r="J103" s="21" t="str">
        <f aca="false">IF(AND(A103=Gün!$C$3,B103&lt;&gt;"",E103&lt;&gt;"İptal"),B103+ROW()/100000000,"")</f>
        <v/>
      </c>
    </row>
    <row r="104" customFormat="false" ht="15" hidden="false" customHeight="false" outlineLevel="0" collapsed="false">
      <c r="A104" s="12"/>
      <c r="B104" s="13"/>
      <c r="C104" s="14"/>
      <c r="D104" s="14"/>
      <c r="E104" s="15"/>
      <c r="F104" s="16"/>
      <c r="G104" s="17" t="str">
        <f aca="false">IF(D104="","",IF(E104="Geldi",IF(F104="",IFERROR(INDEX(Hizmetler!$C$5:$C$54,MATCH(D104,Hizmetler!$A$5:$A$54,0)),0),F104),0))</f>
        <v/>
      </c>
      <c r="H104" s="18" t="str">
        <f aca="false">IF(OR(B104="",D104=""),"",ROUND((B104+IFERROR(INDEX(Hizmetler!$B$5:$B$54,MATCH(D104,Hizmetler!$A$5:$A$54,0)),0)/1440)*1440,0)/1440)</f>
        <v/>
      </c>
      <c r="I104" s="19" t="str">
        <f aca="false">IF(OR(A104="",H104="",E104="İptal"),"",IF(COUNTIFS($A$5:$A$1004,A104,$B$5:$B$1004,"&lt;"&amp;(H104-0.0003),$H$5:$H$1004,"&gt;"&amp;(B104+0.0003),$E$5:$E$1004,"&lt;&gt;İptal")&gt;1,"Çakışıyor",""))</f>
        <v/>
      </c>
      <c r="J104" s="21" t="str">
        <f aca="false">IF(AND(A104=Gün!$C$3,B104&lt;&gt;"",E104&lt;&gt;"İptal"),B104+ROW()/100000000,"")</f>
        <v/>
      </c>
    </row>
    <row r="105" customFormat="false" ht="15" hidden="false" customHeight="false" outlineLevel="0" collapsed="false">
      <c r="A105" s="12"/>
      <c r="B105" s="13"/>
      <c r="C105" s="14"/>
      <c r="D105" s="14"/>
      <c r="E105" s="15"/>
      <c r="F105" s="16"/>
      <c r="G105" s="17" t="str">
        <f aca="false">IF(D105="","",IF(E105="Geldi",IF(F105="",IFERROR(INDEX(Hizmetler!$C$5:$C$54,MATCH(D105,Hizmetler!$A$5:$A$54,0)),0),F105),0))</f>
        <v/>
      </c>
      <c r="H105" s="18" t="str">
        <f aca="false">IF(OR(B105="",D105=""),"",ROUND((B105+IFERROR(INDEX(Hizmetler!$B$5:$B$54,MATCH(D105,Hizmetler!$A$5:$A$54,0)),0)/1440)*1440,0)/1440)</f>
        <v/>
      </c>
      <c r="I105" s="19" t="str">
        <f aca="false">IF(OR(A105="",H105="",E105="İptal"),"",IF(COUNTIFS($A$5:$A$1004,A105,$B$5:$B$1004,"&lt;"&amp;(H105-0.0003),$H$5:$H$1004,"&gt;"&amp;(B105+0.0003),$E$5:$E$1004,"&lt;&gt;İptal")&gt;1,"Çakışıyor",""))</f>
        <v/>
      </c>
      <c r="J105" s="21" t="str">
        <f aca="false">IF(AND(A105=Gün!$C$3,B105&lt;&gt;"",E105&lt;&gt;"İptal"),B105+ROW()/100000000,"")</f>
        <v/>
      </c>
    </row>
    <row r="106" customFormat="false" ht="15" hidden="false" customHeight="false" outlineLevel="0" collapsed="false">
      <c r="A106" s="12"/>
      <c r="B106" s="13"/>
      <c r="C106" s="14"/>
      <c r="D106" s="14"/>
      <c r="E106" s="15"/>
      <c r="F106" s="16"/>
      <c r="G106" s="17" t="str">
        <f aca="false">IF(D106="","",IF(E106="Geldi",IF(F106="",IFERROR(INDEX(Hizmetler!$C$5:$C$54,MATCH(D106,Hizmetler!$A$5:$A$54,0)),0),F106),0))</f>
        <v/>
      </c>
      <c r="H106" s="18" t="str">
        <f aca="false">IF(OR(B106="",D106=""),"",ROUND((B106+IFERROR(INDEX(Hizmetler!$B$5:$B$54,MATCH(D106,Hizmetler!$A$5:$A$54,0)),0)/1440)*1440,0)/1440)</f>
        <v/>
      </c>
      <c r="I106" s="19" t="str">
        <f aca="false">IF(OR(A106="",H106="",E106="İptal"),"",IF(COUNTIFS($A$5:$A$1004,A106,$B$5:$B$1004,"&lt;"&amp;(H106-0.0003),$H$5:$H$1004,"&gt;"&amp;(B106+0.0003),$E$5:$E$1004,"&lt;&gt;İptal")&gt;1,"Çakışıyor",""))</f>
        <v/>
      </c>
      <c r="J106" s="21" t="str">
        <f aca="false">IF(AND(A106=Gün!$C$3,B106&lt;&gt;"",E106&lt;&gt;"İptal"),B106+ROW()/100000000,"")</f>
        <v/>
      </c>
    </row>
    <row r="107" customFormat="false" ht="15" hidden="false" customHeight="false" outlineLevel="0" collapsed="false">
      <c r="A107" s="12"/>
      <c r="B107" s="13"/>
      <c r="C107" s="14"/>
      <c r="D107" s="14"/>
      <c r="E107" s="15"/>
      <c r="F107" s="16"/>
      <c r="G107" s="17" t="str">
        <f aca="false">IF(D107="","",IF(E107="Geldi",IF(F107="",IFERROR(INDEX(Hizmetler!$C$5:$C$54,MATCH(D107,Hizmetler!$A$5:$A$54,0)),0),F107),0))</f>
        <v/>
      </c>
      <c r="H107" s="18" t="str">
        <f aca="false">IF(OR(B107="",D107=""),"",ROUND((B107+IFERROR(INDEX(Hizmetler!$B$5:$B$54,MATCH(D107,Hizmetler!$A$5:$A$54,0)),0)/1440)*1440,0)/1440)</f>
        <v/>
      </c>
      <c r="I107" s="19" t="str">
        <f aca="false">IF(OR(A107="",H107="",E107="İptal"),"",IF(COUNTIFS($A$5:$A$1004,A107,$B$5:$B$1004,"&lt;"&amp;(H107-0.0003),$H$5:$H$1004,"&gt;"&amp;(B107+0.0003),$E$5:$E$1004,"&lt;&gt;İptal")&gt;1,"Çakışıyor",""))</f>
        <v/>
      </c>
      <c r="J107" s="21" t="str">
        <f aca="false">IF(AND(A107=Gün!$C$3,B107&lt;&gt;"",E107&lt;&gt;"İptal"),B107+ROW()/100000000,"")</f>
        <v/>
      </c>
    </row>
    <row r="108" customFormat="false" ht="15" hidden="false" customHeight="false" outlineLevel="0" collapsed="false">
      <c r="A108" s="12"/>
      <c r="B108" s="13"/>
      <c r="C108" s="14"/>
      <c r="D108" s="14"/>
      <c r="E108" s="15"/>
      <c r="F108" s="16"/>
      <c r="G108" s="17" t="str">
        <f aca="false">IF(D108="","",IF(E108="Geldi",IF(F108="",IFERROR(INDEX(Hizmetler!$C$5:$C$54,MATCH(D108,Hizmetler!$A$5:$A$54,0)),0),F108),0))</f>
        <v/>
      </c>
      <c r="H108" s="18" t="str">
        <f aca="false">IF(OR(B108="",D108=""),"",ROUND((B108+IFERROR(INDEX(Hizmetler!$B$5:$B$54,MATCH(D108,Hizmetler!$A$5:$A$54,0)),0)/1440)*1440,0)/1440)</f>
        <v/>
      </c>
      <c r="I108" s="19" t="str">
        <f aca="false">IF(OR(A108="",H108="",E108="İptal"),"",IF(COUNTIFS($A$5:$A$1004,A108,$B$5:$B$1004,"&lt;"&amp;(H108-0.0003),$H$5:$H$1004,"&gt;"&amp;(B108+0.0003),$E$5:$E$1004,"&lt;&gt;İptal")&gt;1,"Çakışıyor",""))</f>
        <v/>
      </c>
      <c r="J108" s="21" t="str">
        <f aca="false">IF(AND(A108=Gün!$C$3,B108&lt;&gt;"",E108&lt;&gt;"İptal"),B108+ROW()/100000000,"")</f>
        <v/>
      </c>
    </row>
    <row r="109" customFormat="false" ht="15" hidden="false" customHeight="false" outlineLevel="0" collapsed="false">
      <c r="A109" s="12"/>
      <c r="B109" s="13"/>
      <c r="C109" s="14"/>
      <c r="D109" s="14"/>
      <c r="E109" s="15"/>
      <c r="F109" s="16"/>
      <c r="G109" s="17" t="str">
        <f aca="false">IF(D109="","",IF(E109="Geldi",IF(F109="",IFERROR(INDEX(Hizmetler!$C$5:$C$54,MATCH(D109,Hizmetler!$A$5:$A$54,0)),0),F109),0))</f>
        <v/>
      </c>
      <c r="H109" s="18" t="str">
        <f aca="false">IF(OR(B109="",D109=""),"",ROUND((B109+IFERROR(INDEX(Hizmetler!$B$5:$B$54,MATCH(D109,Hizmetler!$A$5:$A$54,0)),0)/1440)*1440,0)/1440)</f>
        <v/>
      </c>
      <c r="I109" s="19" t="str">
        <f aca="false">IF(OR(A109="",H109="",E109="İptal"),"",IF(COUNTIFS($A$5:$A$1004,A109,$B$5:$B$1004,"&lt;"&amp;(H109-0.0003),$H$5:$H$1004,"&gt;"&amp;(B109+0.0003),$E$5:$E$1004,"&lt;&gt;İptal")&gt;1,"Çakışıyor",""))</f>
        <v/>
      </c>
      <c r="J109" s="21" t="str">
        <f aca="false">IF(AND(A109=Gün!$C$3,B109&lt;&gt;"",E109&lt;&gt;"İptal"),B109+ROW()/100000000,"")</f>
        <v/>
      </c>
    </row>
    <row r="110" customFormat="false" ht="15" hidden="false" customHeight="false" outlineLevel="0" collapsed="false">
      <c r="A110" s="12"/>
      <c r="B110" s="13"/>
      <c r="C110" s="14"/>
      <c r="D110" s="14"/>
      <c r="E110" s="15"/>
      <c r="F110" s="16"/>
      <c r="G110" s="17" t="str">
        <f aca="false">IF(D110="","",IF(E110="Geldi",IF(F110="",IFERROR(INDEX(Hizmetler!$C$5:$C$54,MATCH(D110,Hizmetler!$A$5:$A$54,0)),0),F110),0))</f>
        <v/>
      </c>
      <c r="H110" s="18" t="str">
        <f aca="false">IF(OR(B110="",D110=""),"",ROUND((B110+IFERROR(INDEX(Hizmetler!$B$5:$B$54,MATCH(D110,Hizmetler!$A$5:$A$54,0)),0)/1440)*1440,0)/1440)</f>
        <v/>
      </c>
      <c r="I110" s="19" t="str">
        <f aca="false">IF(OR(A110="",H110="",E110="İptal"),"",IF(COUNTIFS($A$5:$A$1004,A110,$B$5:$B$1004,"&lt;"&amp;(H110-0.0003),$H$5:$H$1004,"&gt;"&amp;(B110+0.0003),$E$5:$E$1004,"&lt;&gt;İptal")&gt;1,"Çakışıyor",""))</f>
        <v/>
      </c>
      <c r="J110" s="21" t="str">
        <f aca="false">IF(AND(A110=Gün!$C$3,B110&lt;&gt;"",E110&lt;&gt;"İptal"),B110+ROW()/100000000,"")</f>
        <v/>
      </c>
    </row>
    <row r="111" customFormat="false" ht="15" hidden="false" customHeight="false" outlineLevel="0" collapsed="false">
      <c r="A111" s="12"/>
      <c r="B111" s="13"/>
      <c r="C111" s="14"/>
      <c r="D111" s="14"/>
      <c r="E111" s="15"/>
      <c r="F111" s="16"/>
      <c r="G111" s="17" t="str">
        <f aca="false">IF(D111="","",IF(E111="Geldi",IF(F111="",IFERROR(INDEX(Hizmetler!$C$5:$C$54,MATCH(D111,Hizmetler!$A$5:$A$54,0)),0),F111),0))</f>
        <v/>
      </c>
      <c r="H111" s="18" t="str">
        <f aca="false">IF(OR(B111="",D111=""),"",ROUND((B111+IFERROR(INDEX(Hizmetler!$B$5:$B$54,MATCH(D111,Hizmetler!$A$5:$A$54,0)),0)/1440)*1440,0)/1440)</f>
        <v/>
      </c>
      <c r="I111" s="19" t="str">
        <f aca="false">IF(OR(A111="",H111="",E111="İptal"),"",IF(COUNTIFS($A$5:$A$1004,A111,$B$5:$B$1004,"&lt;"&amp;(H111-0.0003),$H$5:$H$1004,"&gt;"&amp;(B111+0.0003),$E$5:$E$1004,"&lt;&gt;İptal")&gt;1,"Çakışıyor",""))</f>
        <v/>
      </c>
      <c r="J111" s="21" t="str">
        <f aca="false">IF(AND(A111=Gün!$C$3,B111&lt;&gt;"",E111&lt;&gt;"İptal"),B111+ROW()/100000000,"")</f>
        <v/>
      </c>
    </row>
    <row r="112" customFormat="false" ht="15" hidden="false" customHeight="false" outlineLevel="0" collapsed="false">
      <c r="A112" s="12"/>
      <c r="B112" s="13"/>
      <c r="C112" s="14"/>
      <c r="D112" s="14"/>
      <c r="E112" s="15"/>
      <c r="F112" s="16"/>
      <c r="G112" s="17" t="str">
        <f aca="false">IF(D112="","",IF(E112="Geldi",IF(F112="",IFERROR(INDEX(Hizmetler!$C$5:$C$54,MATCH(D112,Hizmetler!$A$5:$A$54,0)),0),F112),0))</f>
        <v/>
      </c>
      <c r="H112" s="18" t="str">
        <f aca="false">IF(OR(B112="",D112=""),"",ROUND((B112+IFERROR(INDEX(Hizmetler!$B$5:$B$54,MATCH(D112,Hizmetler!$A$5:$A$54,0)),0)/1440)*1440,0)/1440)</f>
        <v/>
      </c>
      <c r="I112" s="19" t="str">
        <f aca="false">IF(OR(A112="",H112="",E112="İptal"),"",IF(COUNTIFS($A$5:$A$1004,A112,$B$5:$B$1004,"&lt;"&amp;(H112-0.0003),$H$5:$H$1004,"&gt;"&amp;(B112+0.0003),$E$5:$E$1004,"&lt;&gt;İptal")&gt;1,"Çakışıyor",""))</f>
        <v/>
      </c>
      <c r="J112" s="21" t="str">
        <f aca="false">IF(AND(A112=Gün!$C$3,B112&lt;&gt;"",E112&lt;&gt;"İptal"),B112+ROW()/100000000,"")</f>
        <v/>
      </c>
    </row>
    <row r="113" customFormat="false" ht="15" hidden="false" customHeight="false" outlineLevel="0" collapsed="false">
      <c r="A113" s="12"/>
      <c r="B113" s="13"/>
      <c r="C113" s="14"/>
      <c r="D113" s="14"/>
      <c r="E113" s="15"/>
      <c r="F113" s="16"/>
      <c r="G113" s="17" t="str">
        <f aca="false">IF(D113="","",IF(E113="Geldi",IF(F113="",IFERROR(INDEX(Hizmetler!$C$5:$C$54,MATCH(D113,Hizmetler!$A$5:$A$54,0)),0),F113),0))</f>
        <v/>
      </c>
      <c r="H113" s="18" t="str">
        <f aca="false">IF(OR(B113="",D113=""),"",ROUND((B113+IFERROR(INDEX(Hizmetler!$B$5:$B$54,MATCH(D113,Hizmetler!$A$5:$A$54,0)),0)/1440)*1440,0)/1440)</f>
        <v/>
      </c>
      <c r="I113" s="19" t="str">
        <f aca="false">IF(OR(A113="",H113="",E113="İptal"),"",IF(COUNTIFS($A$5:$A$1004,A113,$B$5:$B$1004,"&lt;"&amp;(H113-0.0003),$H$5:$H$1004,"&gt;"&amp;(B113+0.0003),$E$5:$E$1004,"&lt;&gt;İptal")&gt;1,"Çakışıyor",""))</f>
        <v/>
      </c>
      <c r="J113" s="21" t="str">
        <f aca="false">IF(AND(A113=Gün!$C$3,B113&lt;&gt;"",E113&lt;&gt;"İptal"),B113+ROW()/100000000,"")</f>
        <v/>
      </c>
    </row>
    <row r="114" customFormat="false" ht="15" hidden="false" customHeight="false" outlineLevel="0" collapsed="false">
      <c r="A114" s="12"/>
      <c r="B114" s="13"/>
      <c r="C114" s="14"/>
      <c r="D114" s="14"/>
      <c r="E114" s="15"/>
      <c r="F114" s="16"/>
      <c r="G114" s="17" t="str">
        <f aca="false">IF(D114="","",IF(E114="Geldi",IF(F114="",IFERROR(INDEX(Hizmetler!$C$5:$C$54,MATCH(D114,Hizmetler!$A$5:$A$54,0)),0),F114),0))</f>
        <v/>
      </c>
      <c r="H114" s="18" t="str">
        <f aca="false">IF(OR(B114="",D114=""),"",ROUND((B114+IFERROR(INDEX(Hizmetler!$B$5:$B$54,MATCH(D114,Hizmetler!$A$5:$A$54,0)),0)/1440)*1440,0)/1440)</f>
        <v/>
      </c>
      <c r="I114" s="19" t="str">
        <f aca="false">IF(OR(A114="",H114="",E114="İptal"),"",IF(COUNTIFS($A$5:$A$1004,A114,$B$5:$B$1004,"&lt;"&amp;(H114-0.0003),$H$5:$H$1004,"&gt;"&amp;(B114+0.0003),$E$5:$E$1004,"&lt;&gt;İptal")&gt;1,"Çakışıyor",""))</f>
        <v/>
      </c>
      <c r="J114" s="21" t="str">
        <f aca="false">IF(AND(A114=Gün!$C$3,B114&lt;&gt;"",E114&lt;&gt;"İptal"),B114+ROW()/100000000,"")</f>
        <v/>
      </c>
    </row>
    <row r="115" customFormat="false" ht="15" hidden="false" customHeight="false" outlineLevel="0" collapsed="false">
      <c r="A115" s="12"/>
      <c r="B115" s="13"/>
      <c r="C115" s="14"/>
      <c r="D115" s="14"/>
      <c r="E115" s="15"/>
      <c r="F115" s="16"/>
      <c r="G115" s="17" t="str">
        <f aca="false">IF(D115="","",IF(E115="Geldi",IF(F115="",IFERROR(INDEX(Hizmetler!$C$5:$C$54,MATCH(D115,Hizmetler!$A$5:$A$54,0)),0),F115),0))</f>
        <v/>
      </c>
      <c r="H115" s="18" t="str">
        <f aca="false">IF(OR(B115="",D115=""),"",ROUND((B115+IFERROR(INDEX(Hizmetler!$B$5:$B$54,MATCH(D115,Hizmetler!$A$5:$A$54,0)),0)/1440)*1440,0)/1440)</f>
        <v/>
      </c>
      <c r="I115" s="19" t="str">
        <f aca="false">IF(OR(A115="",H115="",E115="İptal"),"",IF(COUNTIFS($A$5:$A$1004,A115,$B$5:$B$1004,"&lt;"&amp;(H115-0.0003),$H$5:$H$1004,"&gt;"&amp;(B115+0.0003),$E$5:$E$1004,"&lt;&gt;İptal")&gt;1,"Çakışıyor",""))</f>
        <v/>
      </c>
      <c r="J115" s="21" t="str">
        <f aca="false">IF(AND(A115=Gün!$C$3,B115&lt;&gt;"",E115&lt;&gt;"İptal"),B115+ROW()/100000000,"")</f>
        <v/>
      </c>
    </row>
    <row r="116" customFormat="false" ht="15" hidden="false" customHeight="false" outlineLevel="0" collapsed="false">
      <c r="A116" s="12"/>
      <c r="B116" s="13"/>
      <c r="C116" s="14"/>
      <c r="D116" s="14"/>
      <c r="E116" s="15"/>
      <c r="F116" s="16"/>
      <c r="G116" s="17" t="str">
        <f aca="false">IF(D116="","",IF(E116="Geldi",IF(F116="",IFERROR(INDEX(Hizmetler!$C$5:$C$54,MATCH(D116,Hizmetler!$A$5:$A$54,0)),0),F116),0))</f>
        <v/>
      </c>
      <c r="H116" s="18" t="str">
        <f aca="false">IF(OR(B116="",D116=""),"",ROUND((B116+IFERROR(INDEX(Hizmetler!$B$5:$B$54,MATCH(D116,Hizmetler!$A$5:$A$54,0)),0)/1440)*1440,0)/1440)</f>
        <v/>
      </c>
      <c r="I116" s="19" t="str">
        <f aca="false">IF(OR(A116="",H116="",E116="İptal"),"",IF(COUNTIFS($A$5:$A$1004,A116,$B$5:$B$1004,"&lt;"&amp;(H116-0.0003),$H$5:$H$1004,"&gt;"&amp;(B116+0.0003),$E$5:$E$1004,"&lt;&gt;İptal")&gt;1,"Çakışıyor",""))</f>
        <v/>
      </c>
      <c r="J116" s="21" t="str">
        <f aca="false">IF(AND(A116=Gün!$C$3,B116&lt;&gt;"",E116&lt;&gt;"İptal"),B116+ROW()/100000000,"")</f>
        <v/>
      </c>
    </row>
    <row r="117" customFormat="false" ht="15" hidden="false" customHeight="false" outlineLevel="0" collapsed="false">
      <c r="A117" s="12"/>
      <c r="B117" s="13"/>
      <c r="C117" s="14"/>
      <c r="D117" s="14"/>
      <c r="E117" s="15"/>
      <c r="F117" s="16"/>
      <c r="G117" s="17" t="str">
        <f aca="false">IF(D117="","",IF(E117="Geldi",IF(F117="",IFERROR(INDEX(Hizmetler!$C$5:$C$54,MATCH(D117,Hizmetler!$A$5:$A$54,0)),0),F117),0))</f>
        <v/>
      </c>
      <c r="H117" s="18" t="str">
        <f aca="false">IF(OR(B117="",D117=""),"",ROUND((B117+IFERROR(INDEX(Hizmetler!$B$5:$B$54,MATCH(D117,Hizmetler!$A$5:$A$54,0)),0)/1440)*1440,0)/1440)</f>
        <v/>
      </c>
      <c r="I117" s="19" t="str">
        <f aca="false">IF(OR(A117="",H117="",E117="İptal"),"",IF(COUNTIFS($A$5:$A$1004,A117,$B$5:$B$1004,"&lt;"&amp;(H117-0.0003),$H$5:$H$1004,"&gt;"&amp;(B117+0.0003),$E$5:$E$1004,"&lt;&gt;İptal")&gt;1,"Çakışıyor",""))</f>
        <v/>
      </c>
      <c r="J117" s="21" t="str">
        <f aca="false">IF(AND(A117=Gün!$C$3,B117&lt;&gt;"",E117&lt;&gt;"İptal"),B117+ROW()/100000000,"")</f>
        <v/>
      </c>
    </row>
    <row r="118" customFormat="false" ht="15" hidden="false" customHeight="false" outlineLevel="0" collapsed="false">
      <c r="A118" s="12"/>
      <c r="B118" s="13"/>
      <c r="C118" s="14"/>
      <c r="D118" s="14"/>
      <c r="E118" s="15"/>
      <c r="F118" s="16"/>
      <c r="G118" s="17" t="str">
        <f aca="false">IF(D118="","",IF(E118="Geldi",IF(F118="",IFERROR(INDEX(Hizmetler!$C$5:$C$54,MATCH(D118,Hizmetler!$A$5:$A$54,0)),0),F118),0))</f>
        <v/>
      </c>
      <c r="H118" s="18" t="str">
        <f aca="false">IF(OR(B118="",D118=""),"",ROUND((B118+IFERROR(INDEX(Hizmetler!$B$5:$B$54,MATCH(D118,Hizmetler!$A$5:$A$54,0)),0)/1440)*1440,0)/1440)</f>
        <v/>
      </c>
      <c r="I118" s="19" t="str">
        <f aca="false">IF(OR(A118="",H118="",E118="İptal"),"",IF(COUNTIFS($A$5:$A$1004,A118,$B$5:$B$1004,"&lt;"&amp;(H118-0.0003),$H$5:$H$1004,"&gt;"&amp;(B118+0.0003),$E$5:$E$1004,"&lt;&gt;İptal")&gt;1,"Çakışıyor",""))</f>
        <v/>
      </c>
      <c r="J118" s="21" t="str">
        <f aca="false">IF(AND(A118=Gün!$C$3,B118&lt;&gt;"",E118&lt;&gt;"İptal"),B118+ROW()/100000000,"")</f>
        <v/>
      </c>
    </row>
    <row r="119" customFormat="false" ht="15" hidden="false" customHeight="false" outlineLevel="0" collapsed="false">
      <c r="A119" s="12"/>
      <c r="B119" s="13"/>
      <c r="C119" s="14"/>
      <c r="D119" s="14"/>
      <c r="E119" s="15"/>
      <c r="F119" s="16"/>
      <c r="G119" s="17" t="str">
        <f aca="false">IF(D119="","",IF(E119="Geldi",IF(F119="",IFERROR(INDEX(Hizmetler!$C$5:$C$54,MATCH(D119,Hizmetler!$A$5:$A$54,0)),0),F119),0))</f>
        <v/>
      </c>
      <c r="H119" s="18" t="str">
        <f aca="false">IF(OR(B119="",D119=""),"",ROUND((B119+IFERROR(INDEX(Hizmetler!$B$5:$B$54,MATCH(D119,Hizmetler!$A$5:$A$54,0)),0)/1440)*1440,0)/1440)</f>
        <v/>
      </c>
      <c r="I119" s="19" t="str">
        <f aca="false">IF(OR(A119="",H119="",E119="İptal"),"",IF(COUNTIFS($A$5:$A$1004,A119,$B$5:$B$1004,"&lt;"&amp;(H119-0.0003),$H$5:$H$1004,"&gt;"&amp;(B119+0.0003),$E$5:$E$1004,"&lt;&gt;İptal")&gt;1,"Çakışıyor",""))</f>
        <v/>
      </c>
      <c r="J119" s="21" t="str">
        <f aca="false">IF(AND(A119=Gün!$C$3,B119&lt;&gt;"",E119&lt;&gt;"İptal"),B119+ROW()/100000000,"")</f>
        <v/>
      </c>
    </row>
    <row r="120" customFormat="false" ht="15" hidden="false" customHeight="false" outlineLevel="0" collapsed="false">
      <c r="A120" s="12"/>
      <c r="B120" s="13"/>
      <c r="C120" s="14"/>
      <c r="D120" s="14"/>
      <c r="E120" s="15"/>
      <c r="F120" s="16"/>
      <c r="G120" s="17" t="str">
        <f aca="false">IF(D120="","",IF(E120="Geldi",IF(F120="",IFERROR(INDEX(Hizmetler!$C$5:$C$54,MATCH(D120,Hizmetler!$A$5:$A$54,0)),0),F120),0))</f>
        <v/>
      </c>
      <c r="H120" s="18" t="str">
        <f aca="false">IF(OR(B120="",D120=""),"",ROUND((B120+IFERROR(INDEX(Hizmetler!$B$5:$B$54,MATCH(D120,Hizmetler!$A$5:$A$54,0)),0)/1440)*1440,0)/1440)</f>
        <v/>
      </c>
      <c r="I120" s="19" t="str">
        <f aca="false">IF(OR(A120="",H120="",E120="İptal"),"",IF(COUNTIFS($A$5:$A$1004,A120,$B$5:$B$1004,"&lt;"&amp;(H120-0.0003),$H$5:$H$1004,"&gt;"&amp;(B120+0.0003),$E$5:$E$1004,"&lt;&gt;İptal")&gt;1,"Çakışıyor",""))</f>
        <v/>
      </c>
      <c r="J120" s="21" t="str">
        <f aca="false">IF(AND(A120=Gün!$C$3,B120&lt;&gt;"",E120&lt;&gt;"İptal"),B120+ROW()/100000000,"")</f>
        <v/>
      </c>
    </row>
    <row r="121" customFormat="false" ht="15" hidden="false" customHeight="false" outlineLevel="0" collapsed="false">
      <c r="A121" s="12"/>
      <c r="B121" s="13"/>
      <c r="C121" s="14"/>
      <c r="D121" s="14"/>
      <c r="E121" s="15"/>
      <c r="F121" s="16"/>
      <c r="G121" s="17" t="str">
        <f aca="false">IF(D121="","",IF(E121="Geldi",IF(F121="",IFERROR(INDEX(Hizmetler!$C$5:$C$54,MATCH(D121,Hizmetler!$A$5:$A$54,0)),0),F121),0))</f>
        <v/>
      </c>
      <c r="H121" s="18" t="str">
        <f aca="false">IF(OR(B121="",D121=""),"",ROUND((B121+IFERROR(INDEX(Hizmetler!$B$5:$B$54,MATCH(D121,Hizmetler!$A$5:$A$54,0)),0)/1440)*1440,0)/1440)</f>
        <v/>
      </c>
      <c r="I121" s="19" t="str">
        <f aca="false">IF(OR(A121="",H121="",E121="İptal"),"",IF(COUNTIFS($A$5:$A$1004,A121,$B$5:$B$1004,"&lt;"&amp;(H121-0.0003),$H$5:$H$1004,"&gt;"&amp;(B121+0.0003),$E$5:$E$1004,"&lt;&gt;İptal")&gt;1,"Çakışıyor",""))</f>
        <v/>
      </c>
      <c r="J121" s="21" t="str">
        <f aca="false">IF(AND(A121=Gün!$C$3,B121&lt;&gt;"",E121&lt;&gt;"İptal"),B121+ROW()/100000000,"")</f>
        <v/>
      </c>
    </row>
    <row r="122" customFormat="false" ht="15" hidden="false" customHeight="false" outlineLevel="0" collapsed="false">
      <c r="A122" s="12"/>
      <c r="B122" s="13"/>
      <c r="C122" s="14"/>
      <c r="D122" s="14"/>
      <c r="E122" s="15"/>
      <c r="F122" s="16"/>
      <c r="G122" s="17" t="str">
        <f aca="false">IF(D122="","",IF(E122="Geldi",IF(F122="",IFERROR(INDEX(Hizmetler!$C$5:$C$54,MATCH(D122,Hizmetler!$A$5:$A$54,0)),0),F122),0))</f>
        <v/>
      </c>
      <c r="H122" s="18" t="str">
        <f aca="false">IF(OR(B122="",D122=""),"",ROUND((B122+IFERROR(INDEX(Hizmetler!$B$5:$B$54,MATCH(D122,Hizmetler!$A$5:$A$54,0)),0)/1440)*1440,0)/1440)</f>
        <v/>
      </c>
      <c r="I122" s="19" t="str">
        <f aca="false">IF(OR(A122="",H122="",E122="İptal"),"",IF(COUNTIFS($A$5:$A$1004,A122,$B$5:$B$1004,"&lt;"&amp;(H122-0.0003),$H$5:$H$1004,"&gt;"&amp;(B122+0.0003),$E$5:$E$1004,"&lt;&gt;İptal")&gt;1,"Çakışıyor",""))</f>
        <v/>
      </c>
      <c r="J122" s="21" t="str">
        <f aca="false">IF(AND(A122=Gün!$C$3,B122&lt;&gt;"",E122&lt;&gt;"İptal"),B122+ROW()/100000000,"")</f>
        <v/>
      </c>
    </row>
    <row r="123" customFormat="false" ht="15" hidden="false" customHeight="false" outlineLevel="0" collapsed="false">
      <c r="A123" s="12"/>
      <c r="B123" s="13"/>
      <c r="C123" s="14"/>
      <c r="D123" s="14"/>
      <c r="E123" s="15"/>
      <c r="F123" s="16"/>
      <c r="G123" s="17" t="str">
        <f aca="false">IF(D123="","",IF(E123="Geldi",IF(F123="",IFERROR(INDEX(Hizmetler!$C$5:$C$54,MATCH(D123,Hizmetler!$A$5:$A$54,0)),0),F123),0))</f>
        <v/>
      </c>
      <c r="H123" s="18" t="str">
        <f aca="false">IF(OR(B123="",D123=""),"",ROUND((B123+IFERROR(INDEX(Hizmetler!$B$5:$B$54,MATCH(D123,Hizmetler!$A$5:$A$54,0)),0)/1440)*1440,0)/1440)</f>
        <v/>
      </c>
      <c r="I123" s="19" t="str">
        <f aca="false">IF(OR(A123="",H123="",E123="İptal"),"",IF(COUNTIFS($A$5:$A$1004,A123,$B$5:$B$1004,"&lt;"&amp;(H123-0.0003),$H$5:$H$1004,"&gt;"&amp;(B123+0.0003),$E$5:$E$1004,"&lt;&gt;İptal")&gt;1,"Çakışıyor",""))</f>
        <v/>
      </c>
      <c r="J123" s="21" t="str">
        <f aca="false">IF(AND(A123=Gün!$C$3,B123&lt;&gt;"",E123&lt;&gt;"İptal"),B123+ROW()/100000000,"")</f>
        <v/>
      </c>
    </row>
    <row r="124" customFormat="false" ht="15" hidden="false" customHeight="false" outlineLevel="0" collapsed="false">
      <c r="A124" s="12"/>
      <c r="B124" s="13"/>
      <c r="C124" s="14"/>
      <c r="D124" s="14"/>
      <c r="E124" s="15"/>
      <c r="F124" s="16"/>
      <c r="G124" s="17" t="str">
        <f aca="false">IF(D124="","",IF(E124="Geldi",IF(F124="",IFERROR(INDEX(Hizmetler!$C$5:$C$54,MATCH(D124,Hizmetler!$A$5:$A$54,0)),0),F124),0))</f>
        <v/>
      </c>
      <c r="H124" s="18" t="str">
        <f aca="false">IF(OR(B124="",D124=""),"",ROUND((B124+IFERROR(INDEX(Hizmetler!$B$5:$B$54,MATCH(D124,Hizmetler!$A$5:$A$54,0)),0)/1440)*1440,0)/1440)</f>
        <v/>
      </c>
      <c r="I124" s="19" t="str">
        <f aca="false">IF(OR(A124="",H124="",E124="İptal"),"",IF(COUNTIFS($A$5:$A$1004,A124,$B$5:$B$1004,"&lt;"&amp;(H124-0.0003),$H$5:$H$1004,"&gt;"&amp;(B124+0.0003),$E$5:$E$1004,"&lt;&gt;İptal")&gt;1,"Çakışıyor",""))</f>
        <v/>
      </c>
      <c r="J124" s="21" t="str">
        <f aca="false">IF(AND(A124=Gün!$C$3,B124&lt;&gt;"",E124&lt;&gt;"İptal"),B124+ROW()/100000000,"")</f>
        <v/>
      </c>
    </row>
    <row r="125" customFormat="false" ht="15" hidden="false" customHeight="false" outlineLevel="0" collapsed="false">
      <c r="A125" s="12"/>
      <c r="B125" s="13"/>
      <c r="C125" s="14"/>
      <c r="D125" s="14"/>
      <c r="E125" s="15"/>
      <c r="F125" s="16"/>
      <c r="G125" s="17" t="str">
        <f aca="false">IF(D125="","",IF(E125="Geldi",IF(F125="",IFERROR(INDEX(Hizmetler!$C$5:$C$54,MATCH(D125,Hizmetler!$A$5:$A$54,0)),0),F125),0))</f>
        <v/>
      </c>
      <c r="H125" s="18" t="str">
        <f aca="false">IF(OR(B125="",D125=""),"",ROUND((B125+IFERROR(INDEX(Hizmetler!$B$5:$B$54,MATCH(D125,Hizmetler!$A$5:$A$54,0)),0)/1440)*1440,0)/1440)</f>
        <v/>
      </c>
      <c r="I125" s="19" t="str">
        <f aca="false">IF(OR(A125="",H125="",E125="İptal"),"",IF(COUNTIFS($A$5:$A$1004,A125,$B$5:$B$1004,"&lt;"&amp;(H125-0.0003),$H$5:$H$1004,"&gt;"&amp;(B125+0.0003),$E$5:$E$1004,"&lt;&gt;İptal")&gt;1,"Çakışıyor",""))</f>
        <v/>
      </c>
      <c r="J125" s="21" t="str">
        <f aca="false">IF(AND(A125=Gün!$C$3,B125&lt;&gt;"",E125&lt;&gt;"İptal"),B125+ROW()/100000000,"")</f>
        <v/>
      </c>
    </row>
    <row r="126" customFormat="false" ht="15" hidden="false" customHeight="false" outlineLevel="0" collapsed="false">
      <c r="A126" s="12"/>
      <c r="B126" s="13"/>
      <c r="C126" s="14"/>
      <c r="D126" s="14"/>
      <c r="E126" s="15"/>
      <c r="F126" s="16"/>
      <c r="G126" s="17" t="str">
        <f aca="false">IF(D126="","",IF(E126="Geldi",IF(F126="",IFERROR(INDEX(Hizmetler!$C$5:$C$54,MATCH(D126,Hizmetler!$A$5:$A$54,0)),0),F126),0))</f>
        <v/>
      </c>
      <c r="H126" s="18" t="str">
        <f aca="false">IF(OR(B126="",D126=""),"",ROUND((B126+IFERROR(INDEX(Hizmetler!$B$5:$B$54,MATCH(D126,Hizmetler!$A$5:$A$54,0)),0)/1440)*1440,0)/1440)</f>
        <v/>
      </c>
      <c r="I126" s="19" t="str">
        <f aca="false">IF(OR(A126="",H126="",E126="İptal"),"",IF(COUNTIFS($A$5:$A$1004,A126,$B$5:$B$1004,"&lt;"&amp;(H126-0.0003),$H$5:$H$1004,"&gt;"&amp;(B126+0.0003),$E$5:$E$1004,"&lt;&gt;İptal")&gt;1,"Çakışıyor",""))</f>
        <v/>
      </c>
      <c r="J126" s="21" t="str">
        <f aca="false">IF(AND(A126=Gün!$C$3,B126&lt;&gt;"",E126&lt;&gt;"İptal"),B126+ROW()/100000000,"")</f>
        <v/>
      </c>
    </row>
    <row r="127" customFormat="false" ht="15" hidden="false" customHeight="false" outlineLevel="0" collapsed="false">
      <c r="A127" s="12"/>
      <c r="B127" s="13"/>
      <c r="C127" s="14"/>
      <c r="D127" s="14"/>
      <c r="E127" s="15"/>
      <c r="F127" s="16"/>
      <c r="G127" s="17" t="str">
        <f aca="false">IF(D127="","",IF(E127="Geldi",IF(F127="",IFERROR(INDEX(Hizmetler!$C$5:$C$54,MATCH(D127,Hizmetler!$A$5:$A$54,0)),0),F127),0))</f>
        <v/>
      </c>
      <c r="H127" s="18" t="str">
        <f aca="false">IF(OR(B127="",D127=""),"",ROUND((B127+IFERROR(INDEX(Hizmetler!$B$5:$B$54,MATCH(D127,Hizmetler!$A$5:$A$54,0)),0)/1440)*1440,0)/1440)</f>
        <v/>
      </c>
      <c r="I127" s="19" t="str">
        <f aca="false">IF(OR(A127="",H127="",E127="İptal"),"",IF(COUNTIFS($A$5:$A$1004,A127,$B$5:$B$1004,"&lt;"&amp;(H127-0.0003),$H$5:$H$1004,"&gt;"&amp;(B127+0.0003),$E$5:$E$1004,"&lt;&gt;İptal")&gt;1,"Çakışıyor",""))</f>
        <v/>
      </c>
      <c r="J127" s="21" t="str">
        <f aca="false">IF(AND(A127=Gün!$C$3,B127&lt;&gt;"",E127&lt;&gt;"İptal"),B127+ROW()/100000000,"")</f>
        <v/>
      </c>
    </row>
    <row r="128" customFormat="false" ht="15" hidden="false" customHeight="false" outlineLevel="0" collapsed="false">
      <c r="A128" s="12"/>
      <c r="B128" s="13"/>
      <c r="C128" s="14"/>
      <c r="D128" s="14"/>
      <c r="E128" s="15"/>
      <c r="F128" s="16"/>
      <c r="G128" s="17" t="str">
        <f aca="false">IF(D128="","",IF(E128="Geldi",IF(F128="",IFERROR(INDEX(Hizmetler!$C$5:$C$54,MATCH(D128,Hizmetler!$A$5:$A$54,0)),0),F128),0))</f>
        <v/>
      </c>
      <c r="H128" s="18" t="str">
        <f aca="false">IF(OR(B128="",D128=""),"",ROUND((B128+IFERROR(INDEX(Hizmetler!$B$5:$B$54,MATCH(D128,Hizmetler!$A$5:$A$54,0)),0)/1440)*1440,0)/1440)</f>
        <v/>
      </c>
      <c r="I128" s="19" t="str">
        <f aca="false">IF(OR(A128="",H128="",E128="İptal"),"",IF(COUNTIFS($A$5:$A$1004,A128,$B$5:$B$1004,"&lt;"&amp;(H128-0.0003),$H$5:$H$1004,"&gt;"&amp;(B128+0.0003),$E$5:$E$1004,"&lt;&gt;İptal")&gt;1,"Çakışıyor",""))</f>
        <v/>
      </c>
      <c r="J128" s="21" t="str">
        <f aca="false">IF(AND(A128=Gün!$C$3,B128&lt;&gt;"",E128&lt;&gt;"İptal"),B128+ROW()/100000000,"")</f>
        <v/>
      </c>
    </row>
    <row r="129" customFormat="false" ht="15" hidden="false" customHeight="false" outlineLevel="0" collapsed="false">
      <c r="A129" s="12"/>
      <c r="B129" s="13"/>
      <c r="C129" s="14"/>
      <c r="D129" s="14"/>
      <c r="E129" s="15"/>
      <c r="F129" s="16"/>
      <c r="G129" s="17" t="str">
        <f aca="false">IF(D129="","",IF(E129="Geldi",IF(F129="",IFERROR(INDEX(Hizmetler!$C$5:$C$54,MATCH(D129,Hizmetler!$A$5:$A$54,0)),0),F129),0))</f>
        <v/>
      </c>
      <c r="H129" s="18" t="str">
        <f aca="false">IF(OR(B129="",D129=""),"",ROUND((B129+IFERROR(INDEX(Hizmetler!$B$5:$B$54,MATCH(D129,Hizmetler!$A$5:$A$54,0)),0)/1440)*1440,0)/1440)</f>
        <v/>
      </c>
      <c r="I129" s="19" t="str">
        <f aca="false">IF(OR(A129="",H129="",E129="İptal"),"",IF(COUNTIFS($A$5:$A$1004,A129,$B$5:$B$1004,"&lt;"&amp;(H129-0.0003),$H$5:$H$1004,"&gt;"&amp;(B129+0.0003),$E$5:$E$1004,"&lt;&gt;İptal")&gt;1,"Çakışıyor",""))</f>
        <v/>
      </c>
      <c r="J129" s="21" t="str">
        <f aca="false">IF(AND(A129=Gün!$C$3,B129&lt;&gt;"",E129&lt;&gt;"İptal"),B129+ROW()/100000000,"")</f>
        <v/>
      </c>
    </row>
    <row r="130" customFormat="false" ht="15" hidden="false" customHeight="false" outlineLevel="0" collapsed="false">
      <c r="A130" s="12"/>
      <c r="B130" s="13"/>
      <c r="C130" s="14"/>
      <c r="D130" s="14"/>
      <c r="E130" s="15"/>
      <c r="F130" s="16"/>
      <c r="G130" s="17" t="str">
        <f aca="false">IF(D130="","",IF(E130="Geldi",IF(F130="",IFERROR(INDEX(Hizmetler!$C$5:$C$54,MATCH(D130,Hizmetler!$A$5:$A$54,0)),0),F130),0))</f>
        <v/>
      </c>
      <c r="H130" s="18" t="str">
        <f aca="false">IF(OR(B130="",D130=""),"",ROUND((B130+IFERROR(INDEX(Hizmetler!$B$5:$B$54,MATCH(D130,Hizmetler!$A$5:$A$54,0)),0)/1440)*1440,0)/1440)</f>
        <v/>
      </c>
      <c r="I130" s="19" t="str">
        <f aca="false">IF(OR(A130="",H130="",E130="İptal"),"",IF(COUNTIFS($A$5:$A$1004,A130,$B$5:$B$1004,"&lt;"&amp;(H130-0.0003),$H$5:$H$1004,"&gt;"&amp;(B130+0.0003),$E$5:$E$1004,"&lt;&gt;İptal")&gt;1,"Çakışıyor",""))</f>
        <v/>
      </c>
      <c r="J130" s="21" t="str">
        <f aca="false">IF(AND(A130=Gün!$C$3,B130&lt;&gt;"",E130&lt;&gt;"İptal"),B130+ROW()/100000000,"")</f>
        <v/>
      </c>
    </row>
    <row r="131" customFormat="false" ht="15" hidden="false" customHeight="false" outlineLevel="0" collapsed="false">
      <c r="A131" s="12"/>
      <c r="B131" s="13"/>
      <c r="C131" s="14"/>
      <c r="D131" s="14"/>
      <c r="E131" s="15"/>
      <c r="F131" s="16"/>
      <c r="G131" s="17" t="str">
        <f aca="false">IF(D131="","",IF(E131="Geldi",IF(F131="",IFERROR(INDEX(Hizmetler!$C$5:$C$54,MATCH(D131,Hizmetler!$A$5:$A$54,0)),0),F131),0))</f>
        <v/>
      </c>
      <c r="H131" s="18" t="str">
        <f aca="false">IF(OR(B131="",D131=""),"",ROUND((B131+IFERROR(INDEX(Hizmetler!$B$5:$B$54,MATCH(D131,Hizmetler!$A$5:$A$54,0)),0)/1440)*1440,0)/1440)</f>
        <v/>
      </c>
      <c r="I131" s="19" t="str">
        <f aca="false">IF(OR(A131="",H131="",E131="İptal"),"",IF(COUNTIFS($A$5:$A$1004,A131,$B$5:$B$1004,"&lt;"&amp;(H131-0.0003),$H$5:$H$1004,"&gt;"&amp;(B131+0.0003),$E$5:$E$1004,"&lt;&gt;İptal")&gt;1,"Çakışıyor",""))</f>
        <v/>
      </c>
      <c r="J131" s="21" t="str">
        <f aca="false">IF(AND(A131=Gün!$C$3,B131&lt;&gt;"",E131&lt;&gt;"İptal"),B131+ROW()/100000000,"")</f>
        <v/>
      </c>
    </row>
    <row r="132" customFormat="false" ht="15" hidden="false" customHeight="false" outlineLevel="0" collapsed="false">
      <c r="A132" s="12"/>
      <c r="B132" s="13"/>
      <c r="C132" s="14"/>
      <c r="D132" s="14"/>
      <c r="E132" s="15"/>
      <c r="F132" s="16"/>
      <c r="G132" s="17" t="str">
        <f aca="false">IF(D132="","",IF(E132="Geldi",IF(F132="",IFERROR(INDEX(Hizmetler!$C$5:$C$54,MATCH(D132,Hizmetler!$A$5:$A$54,0)),0),F132),0))</f>
        <v/>
      </c>
      <c r="H132" s="18" t="str">
        <f aca="false">IF(OR(B132="",D132=""),"",ROUND((B132+IFERROR(INDEX(Hizmetler!$B$5:$B$54,MATCH(D132,Hizmetler!$A$5:$A$54,0)),0)/1440)*1440,0)/1440)</f>
        <v/>
      </c>
      <c r="I132" s="19" t="str">
        <f aca="false">IF(OR(A132="",H132="",E132="İptal"),"",IF(COUNTIFS($A$5:$A$1004,A132,$B$5:$B$1004,"&lt;"&amp;(H132-0.0003),$H$5:$H$1004,"&gt;"&amp;(B132+0.0003),$E$5:$E$1004,"&lt;&gt;İptal")&gt;1,"Çakışıyor",""))</f>
        <v/>
      </c>
      <c r="J132" s="21" t="str">
        <f aca="false">IF(AND(A132=Gün!$C$3,B132&lt;&gt;"",E132&lt;&gt;"İptal"),B132+ROW()/100000000,"")</f>
        <v/>
      </c>
    </row>
    <row r="133" customFormat="false" ht="15" hidden="false" customHeight="false" outlineLevel="0" collapsed="false">
      <c r="A133" s="12"/>
      <c r="B133" s="13"/>
      <c r="C133" s="14"/>
      <c r="D133" s="14"/>
      <c r="E133" s="15"/>
      <c r="F133" s="16"/>
      <c r="G133" s="17" t="str">
        <f aca="false">IF(D133="","",IF(E133="Geldi",IF(F133="",IFERROR(INDEX(Hizmetler!$C$5:$C$54,MATCH(D133,Hizmetler!$A$5:$A$54,0)),0),F133),0))</f>
        <v/>
      </c>
      <c r="H133" s="18" t="str">
        <f aca="false">IF(OR(B133="",D133=""),"",ROUND((B133+IFERROR(INDEX(Hizmetler!$B$5:$B$54,MATCH(D133,Hizmetler!$A$5:$A$54,0)),0)/1440)*1440,0)/1440)</f>
        <v/>
      </c>
      <c r="I133" s="19" t="str">
        <f aca="false">IF(OR(A133="",H133="",E133="İptal"),"",IF(COUNTIFS($A$5:$A$1004,A133,$B$5:$B$1004,"&lt;"&amp;(H133-0.0003),$H$5:$H$1004,"&gt;"&amp;(B133+0.0003),$E$5:$E$1004,"&lt;&gt;İptal")&gt;1,"Çakışıyor",""))</f>
        <v/>
      </c>
      <c r="J133" s="21" t="str">
        <f aca="false">IF(AND(A133=Gün!$C$3,B133&lt;&gt;"",E133&lt;&gt;"İptal"),B133+ROW()/100000000,"")</f>
        <v/>
      </c>
    </row>
    <row r="134" customFormat="false" ht="15" hidden="false" customHeight="false" outlineLevel="0" collapsed="false">
      <c r="A134" s="12"/>
      <c r="B134" s="13"/>
      <c r="C134" s="14"/>
      <c r="D134" s="14"/>
      <c r="E134" s="15"/>
      <c r="F134" s="16"/>
      <c r="G134" s="17" t="str">
        <f aca="false">IF(D134="","",IF(E134="Geldi",IF(F134="",IFERROR(INDEX(Hizmetler!$C$5:$C$54,MATCH(D134,Hizmetler!$A$5:$A$54,0)),0),F134),0))</f>
        <v/>
      </c>
      <c r="H134" s="18" t="str">
        <f aca="false">IF(OR(B134="",D134=""),"",ROUND((B134+IFERROR(INDEX(Hizmetler!$B$5:$B$54,MATCH(D134,Hizmetler!$A$5:$A$54,0)),0)/1440)*1440,0)/1440)</f>
        <v/>
      </c>
      <c r="I134" s="19" t="str">
        <f aca="false">IF(OR(A134="",H134="",E134="İptal"),"",IF(COUNTIFS($A$5:$A$1004,A134,$B$5:$B$1004,"&lt;"&amp;(H134-0.0003),$H$5:$H$1004,"&gt;"&amp;(B134+0.0003),$E$5:$E$1004,"&lt;&gt;İptal")&gt;1,"Çakışıyor",""))</f>
        <v/>
      </c>
      <c r="J134" s="21" t="str">
        <f aca="false">IF(AND(A134=Gün!$C$3,B134&lt;&gt;"",E134&lt;&gt;"İptal"),B134+ROW()/100000000,"")</f>
        <v/>
      </c>
    </row>
    <row r="135" customFormat="false" ht="15" hidden="false" customHeight="false" outlineLevel="0" collapsed="false">
      <c r="A135" s="12"/>
      <c r="B135" s="13"/>
      <c r="C135" s="14"/>
      <c r="D135" s="14"/>
      <c r="E135" s="15"/>
      <c r="F135" s="16"/>
      <c r="G135" s="17" t="str">
        <f aca="false">IF(D135="","",IF(E135="Geldi",IF(F135="",IFERROR(INDEX(Hizmetler!$C$5:$C$54,MATCH(D135,Hizmetler!$A$5:$A$54,0)),0),F135),0))</f>
        <v/>
      </c>
      <c r="H135" s="18" t="str">
        <f aca="false">IF(OR(B135="",D135=""),"",ROUND((B135+IFERROR(INDEX(Hizmetler!$B$5:$B$54,MATCH(D135,Hizmetler!$A$5:$A$54,0)),0)/1440)*1440,0)/1440)</f>
        <v/>
      </c>
      <c r="I135" s="19" t="str">
        <f aca="false">IF(OR(A135="",H135="",E135="İptal"),"",IF(COUNTIFS($A$5:$A$1004,A135,$B$5:$B$1004,"&lt;"&amp;(H135-0.0003),$H$5:$H$1004,"&gt;"&amp;(B135+0.0003),$E$5:$E$1004,"&lt;&gt;İptal")&gt;1,"Çakışıyor",""))</f>
        <v/>
      </c>
      <c r="J135" s="21" t="str">
        <f aca="false">IF(AND(A135=Gün!$C$3,B135&lt;&gt;"",E135&lt;&gt;"İptal"),B135+ROW()/100000000,"")</f>
        <v/>
      </c>
    </row>
    <row r="136" customFormat="false" ht="15" hidden="false" customHeight="false" outlineLevel="0" collapsed="false">
      <c r="A136" s="12"/>
      <c r="B136" s="13"/>
      <c r="C136" s="14"/>
      <c r="D136" s="14"/>
      <c r="E136" s="15"/>
      <c r="F136" s="16"/>
      <c r="G136" s="17" t="str">
        <f aca="false">IF(D136="","",IF(E136="Geldi",IF(F136="",IFERROR(INDEX(Hizmetler!$C$5:$C$54,MATCH(D136,Hizmetler!$A$5:$A$54,0)),0),F136),0))</f>
        <v/>
      </c>
      <c r="H136" s="18" t="str">
        <f aca="false">IF(OR(B136="",D136=""),"",ROUND((B136+IFERROR(INDEX(Hizmetler!$B$5:$B$54,MATCH(D136,Hizmetler!$A$5:$A$54,0)),0)/1440)*1440,0)/1440)</f>
        <v/>
      </c>
      <c r="I136" s="19" t="str">
        <f aca="false">IF(OR(A136="",H136="",E136="İptal"),"",IF(COUNTIFS($A$5:$A$1004,A136,$B$5:$B$1004,"&lt;"&amp;(H136-0.0003),$H$5:$H$1004,"&gt;"&amp;(B136+0.0003),$E$5:$E$1004,"&lt;&gt;İptal")&gt;1,"Çakışıyor",""))</f>
        <v/>
      </c>
      <c r="J136" s="21" t="str">
        <f aca="false">IF(AND(A136=Gün!$C$3,B136&lt;&gt;"",E136&lt;&gt;"İptal"),B136+ROW()/100000000,"")</f>
        <v/>
      </c>
    </row>
    <row r="137" customFormat="false" ht="15" hidden="false" customHeight="false" outlineLevel="0" collapsed="false">
      <c r="A137" s="12"/>
      <c r="B137" s="13"/>
      <c r="C137" s="14"/>
      <c r="D137" s="14"/>
      <c r="E137" s="15"/>
      <c r="F137" s="16"/>
      <c r="G137" s="17" t="str">
        <f aca="false">IF(D137="","",IF(E137="Geldi",IF(F137="",IFERROR(INDEX(Hizmetler!$C$5:$C$54,MATCH(D137,Hizmetler!$A$5:$A$54,0)),0),F137),0))</f>
        <v/>
      </c>
      <c r="H137" s="18" t="str">
        <f aca="false">IF(OR(B137="",D137=""),"",ROUND((B137+IFERROR(INDEX(Hizmetler!$B$5:$B$54,MATCH(D137,Hizmetler!$A$5:$A$54,0)),0)/1440)*1440,0)/1440)</f>
        <v/>
      </c>
      <c r="I137" s="19" t="str">
        <f aca="false">IF(OR(A137="",H137="",E137="İptal"),"",IF(COUNTIFS($A$5:$A$1004,A137,$B$5:$B$1004,"&lt;"&amp;(H137-0.0003),$H$5:$H$1004,"&gt;"&amp;(B137+0.0003),$E$5:$E$1004,"&lt;&gt;İptal")&gt;1,"Çakışıyor",""))</f>
        <v/>
      </c>
      <c r="J137" s="21" t="str">
        <f aca="false">IF(AND(A137=Gün!$C$3,B137&lt;&gt;"",E137&lt;&gt;"İptal"),B137+ROW()/100000000,"")</f>
        <v/>
      </c>
    </row>
    <row r="138" customFormat="false" ht="15" hidden="false" customHeight="false" outlineLevel="0" collapsed="false">
      <c r="A138" s="12"/>
      <c r="B138" s="13"/>
      <c r="C138" s="14"/>
      <c r="D138" s="14"/>
      <c r="E138" s="15"/>
      <c r="F138" s="16"/>
      <c r="G138" s="17" t="str">
        <f aca="false">IF(D138="","",IF(E138="Geldi",IF(F138="",IFERROR(INDEX(Hizmetler!$C$5:$C$54,MATCH(D138,Hizmetler!$A$5:$A$54,0)),0),F138),0))</f>
        <v/>
      </c>
      <c r="H138" s="18" t="str">
        <f aca="false">IF(OR(B138="",D138=""),"",ROUND((B138+IFERROR(INDEX(Hizmetler!$B$5:$B$54,MATCH(D138,Hizmetler!$A$5:$A$54,0)),0)/1440)*1440,0)/1440)</f>
        <v/>
      </c>
      <c r="I138" s="19" t="str">
        <f aca="false">IF(OR(A138="",H138="",E138="İptal"),"",IF(COUNTIFS($A$5:$A$1004,A138,$B$5:$B$1004,"&lt;"&amp;(H138-0.0003),$H$5:$H$1004,"&gt;"&amp;(B138+0.0003),$E$5:$E$1004,"&lt;&gt;İptal")&gt;1,"Çakışıyor",""))</f>
        <v/>
      </c>
      <c r="J138" s="21" t="str">
        <f aca="false">IF(AND(A138=Gün!$C$3,B138&lt;&gt;"",E138&lt;&gt;"İptal"),B138+ROW()/100000000,"")</f>
        <v/>
      </c>
    </row>
    <row r="139" customFormat="false" ht="15" hidden="false" customHeight="false" outlineLevel="0" collapsed="false">
      <c r="A139" s="12"/>
      <c r="B139" s="13"/>
      <c r="C139" s="14"/>
      <c r="D139" s="14"/>
      <c r="E139" s="15"/>
      <c r="F139" s="16"/>
      <c r="G139" s="17" t="str">
        <f aca="false">IF(D139="","",IF(E139="Geldi",IF(F139="",IFERROR(INDEX(Hizmetler!$C$5:$C$54,MATCH(D139,Hizmetler!$A$5:$A$54,0)),0),F139),0))</f>
        <v/>
      </c>
      <c r="H139" s="18" t="str">
        <f aca="false">IF(OR(B139="",D139=""),"",ROUND((B139+IFERROR(INDEX(Hizmetler!$B$5:$B$54,MATCH(D139,Hizmetler!$A$5:$A$54,0)),0)/1440)*1440,0)/1440)</f>
        <v/>
      </c>
      <c r="I139" s="19" t="str">
        <f aca="false">IF(OR(A139="",H139="",E139="İptal"),"",IF(COUNTIFS($A$5:$A$1004,A139,$B$5:$B$1004,"&lt;"&amp;(H139-0.0003),$H$5:$H$1004,"&gt;"&amp;(B139+0.0003),$E$5:$E$1004,"&lt;&gt;İptal")&gt;1,"Çakışıyor",""))</f>
        <v/>
      </c>
      <c r="J139" s="21" t="str">
        <f aca="false">IF(AND(A139=Gün!$C$3,B139&lt;&gt;"",E139&lt;&gt;"İptal"),B139+ROW()/100000000,"")</f>
        <v/>
      </c>
    </row>
    <row r="140" customFormat="false" ht="15" hidden="false" customHeight="false" outlineLevel="0" collapsed="false">
      <c r="A140" s="12"/>
      <c r="B140" s="13"/>
      <c r="C140" s="14"/>
      <c r="D140" s="14"/>
      <c r="E140" s="15"/>
      <c r="F140" s="16"/>
      <c r="G140" s="17" t="str">
        <f aca="false">IF(D140="","",IF(E140="Geldi",IF(F140="",IFERROR(INDEX(Hizmetler!$C$5:$C$54,MATCH(D140,Hizmetler!$A$5:$A$54,0)),0),F140),0))</f>
        <v/>
      </c>
      <c r="H140" s="18" t="str">
        <f aca="false">IF(OR(B140="",D140=""),"",ROUND((B140+IFERROR(INDEX(Hizmetler!$B$5:$B$54,MATCH(D140,Hizmetler!$A$5:$A$54,0)),0)/1440)*1440,0)/1440)</f>
        <v/>
      </c>
      <c r="I140" s="19" t="str">
        <f aca="false">IF(OR(A140="",H140="",E140="İptal"),"",IF(COUNTIFS($A$5:$A$1004,A140,$B$5:$B$1004,"&lt;"&amp;(H140-0.0003),$H$5:$H$1004,"&gt;"&amp;(B140+0.0003),$E$5:$E$1004,"&lt;&gt;İptal")&gt;1,"Çakışıyor",""))</f>
        <v/>
      </c>
      <c r="J140" s="21" t="str">
        <f aca="false">IF(AND(A140=Gün!$C$3,B140&lt;&gt;"",E140&lt;&gt;"İptal"),B140+ROW()/100000000,"")</f>
        <v/>
      </c>
    </row>
    <row r="141" customFormat="false" ht="15" hidden="false" customHeight="false" outlineLevel="0" collapsed="false">
      <c r="A141" s="12"/>
      <c r="B141" s="13"/>
      <c r="C141" s="14"/>
      <c r="D141" s="14"/>
      <c r="E141" s="15"/>
      <c r="F141" s="16"/>
      <c r="G141" s="17" t="str">
        <f aca="false">IF(D141="","",IF(E141="Geldi",IF(F141="",IFERROR(INDEX(Hizmetler!$C$5:$C$54,MATCH(D141,Hizmetler!$A$5:$A$54,0)),0),F141),0))</f>
        <v/>
      </c>
      <c r="H141" s="18" t="str">
        <f aca="false">IF(OR(B141="",D141=""),"",ROUND((B141+IFERROR(INDEX(Hizmetler!$B$5:$B$54,MATCH(D141,Hizmetler!$A$5:$A$54,0)),0)/1440)*1440,0)/1440)</f>
        <v/>
      </c>
      <c r="I141" s="19" t="str">
        <f aca="false">IF(OR(A141="",H141="",E141="İptal"),"",IF(COUNTIFS($A$5:$A$1004,A141,$B$5:$B$1004,"&lt;"&amp;(H141-0.0003),$H$5:$H$1004,"&gt;"&amp;(B141+0.0003),$E$5:$E$1004,"&lt;&gt;İptal")&gt;1,"Çakışıyor",""))</f>
        <v/>
      </c>
      <c r="J141" s="21" t="str">
        <f aca="false">IF(AND(A141=Gün!$C$3,B141&lt;&gt;"",E141&lt;&gt;"İptal"),B141+ROW()/100000000,"")</f>
        <v/>
      </c>
    </row>
    <row r="142" customFormat="false" ht="15" hidden="false" customHeight="false" outlineLevel="0" collapsed="false">
      <c r="A142" s="12"/>
      <c r="B142" s="13"/>
      <c r="C142" s="14"/>
      <c r="D142" s="14"/>
      <c r="E142" s="15"/>
      <c r="F142" s="16"/>
      <c r="G142" s="17" t="str">
        <f aca="false">IF(D142="","",IF(E142="Geldi",IF(F142="",IFERROR(INDEX(Hizmetler!$C$5:$C$54,MATCH(D142,Hizmetler!$A$5:$A$54,0)),0),F142),0))</f>
        <v/>
      </c>
      <c r="H142" s="18" t="str">
        <f aca="false">IF(OR(B142="",D142=""),"",ROUND((B142+IFERROR(INDEX(Hizmetler!$B$5:$B$54,MATCH(D142,Hizmetler!$A$5:$A$54,0)),0)/1440)*1440,0)/1440)</f>
        <v/>
      </c>
      <c r="I142" s="19" t="str">
        <f aca="false">IF(OR(A142="",H142="",E142="İptal"),"",IF(COUNTIFS($A$5:$A$1004,A142,$B$5:$B$1004,"&lt;"&amp;(H142-0.0003),$H$5:$H$1004,"&gt;"&amp;(B142+0.0003),$E$5:$E$1004,"&lt;&gt;İptal")&gt;1,"Çakışıyor",""))</f>
        <v/>
      </c>
      <c r="J142" s="21" t="str">
        <f aca="false">IF(AND(A142=Gün!$C$3,B142&lt;&gt;"",E142&lt;&gt;"İptal"),B142+ROW()/100000000,"")</f>
        <v/>
      </c>
    </row>
    <row r="143" customFormat="false" ht="15" hidden="false" customHeight="false" outlineLevel="0" collapsed="false">
      <c r="A143" s="12"/>
      <c r="B143" s="13"/>
      <c r="C143" s="14"/>
      <c r="D143" s="14"/>
      <c r="E143" s="15"/>
      <c r="F143" s="16"/>
      <c r="G143" s="17" t="str">
        <f aca="false">IF(D143="","",IF(E143="Geldi",IF(F143="",IFERROR(INDEX(Hizmetler!$C$5:$C$54,MATCH(D143,Hizmetler!$A$5:$A$54,0)),0),F143),0))</f>
        <v/>
      </c>
      <c r="H143" s="18" t="str">
        <f aca="false">IF(OR(B143="",D143=""),"",ROUND((B143+IFERROR(INDEX(Hizmetler!$B$5:$B$54,MATCH(D143,Hizmetler!$A$5:$A$54,0)),0)/1440)*1440,0)/1440)</f>
        <v/>
      </c>
      <c r="I143" s="19" t="str">
        <f aca="false">IF(OR(A143="",H143="",E143="İptal"),"",IF(COUNTIFS($A$5:$A$1004,A143,$B$5:$B$1004,"&lt;"&amp;(H143-0.0003),$H$5:$H$1004,"&gt;"&amp;(B143+0.0003),$E$5:$E$1004,"&lt;&gt;İptal")&gt;1,"Çakışıyor",""))</f>
        <v/>
      </c>
      <c r="J143" s="21" t="str">
        <f aca="false">IF(AND(A143=Gün!$C$3,B143&lt;&gt;"",E143&lt;&gt;"İptal"),B143+ROW()/100000000,"")</f>
        <v/>
      </c>
    </row>
    <row r="144" customFormat="false" ht="15" hidden="false" customHeight="false" outlineLevel="0" collapsed="false">
      <c r="A144" s="12"/>
      <c r="B144" s="13"/>
      <c r="C144" s="14"/>
      <c r="D144" s="14"/>
      <c r="E144" s="15"/>
      <c r="F144" s="16"/>
      <c r="G144" s="17" t="str">
        <f aca="false">IF(D144="","",IF(E144="Geldi",IF(F144="",IFERROR(INDEX(Hizmetler!$C$5:$C$54,MATCH(D144,Hizmetler!$A$5:$A$54,0)),0),F144),0))</f>
        <v/>
      </c>
      <c r="H144" s="18" t="str">
        <f aca="false">IF(OR(B144="",D144=""),"",ROUND((B144+IFERROR(INDEX(Hizmetler!$B$5:$B$54,MATCH(D144,Hizmetler!$A$5:$A$54,0)),0)/1440)*1440,0)/1440)</f>
        <v/>
      </c>
      <c r="I144" s="19" t="str">
        <f aca="false">IF(OR(A144="",H144="",E144="İptal"),"",IF(COUNTIFS($A$5:$A$1004,A144,$B$5:$B$1004,"&lt;"&amp;(H144-0.0003),$H$5:$H$1004,"&gt;"&amp;(B144+0.0003),$E$5:$E$1004,"&lt;&gt;İptal")&gt;1,"Çakışıyor",""))</f>
        <v/>
      </c>
      <c r="J144" s="21" t="str">
        <f aca="false">IF(AND(A144=Gün!$C$3,B144&lt;&gt;"",E144&lt;&gt;"İptal"),B144+ROW()/100000000,"")</f>
        <v/>
      </c>
    </row>
    <row r="145" customFormat="false" ht="15" hidden="false" customHeight="false" outlineLevel="0" collapsed="false">
      <c r="A145" s="12"/>
      <c r="B145" s="13"/>
      <c r="C145" s="14"/>
      <c r="D145" s="14"/>
      <c r="E145" s="15"/>
      <c r="F145" s="16"/>
      <c r="G145" s="17" t="str">
        <f aca="false">IF(D145="","",IF(E145="Geldi",IF(F145="",IFERROR(INDEX(Hizmetler!$C$5:$C$54,MATCH(D145,Hizmetler!$A$5:$A$54,0)),0),F145),0))</f>
        <v/>
      </c>
      <c r="H145" s="18" t="str">
        <f aca="false">IF(OR(B145="",D145=""),"",ROUND((B145+IFERROR(INDEX(Hizmetler!$B$5:$B$54,MATCH(D145,Hizmetler!$A$5:$A$54,0)),0)/1440)*1440,0)/1440)</f>
        <v/>
      </c>
      <c r="I145" s="19" t="str">
        <f aca="false">IF(OR(A145="",H145="",E145="İptal"),"",IF(COUNTIFS($A$5:$A$1004,A145,$B$5:$B$1004,"&lt;"&amp;(H145-0.0003),$H$5:$H$1004,"&gt;"&amp;(B145+0.0003),$E$5:$E$1004,"&lt;&gt;İptal")&gt;1,"Çakışıyor",""))</f>
        <v/>
      </c>
      <c r="J145" s="21" t="str">
        <f aca="false">IF(AND(A145=Gün!$C$3,B145&lt;&gt;"",E145&lt;&gt;"İptal"),B145+ROW()/100000000,"")</f>
        <v/>
      </c>
    </row>
    <row r="146" customFormat="false" ht="15" hidden="false" customHeight="false" outlineLevel="0" collapsed="false">
      <c r="A146" s="12"/>
      <c r="B146" s="13"/>
      <c r="C146" s="14"/>
      <c r="D146" s="14"/>
      <c r="E146" s="15"/>
      <c r="F146" s="16"/>
      <c r="G146" s="17" t="str">
        <f aca="false">IF(D146="","",IF(E146="Geldi",IF(F146="",IFERROR(INDEX(Hizmetler!$C$5:$C$54,MATCH(D146,Hizmetler!$A$5:$A$54,0)),0),F146),0))</f>
        <v/>
      </c>
      <c r="H146" s="18" t="str">
        <f aca="false">IF(OR(B146="",D146=""),"",ROUND((B146+IFERROR(INDEX(Hizmetler!$B$5:$B$54,MATCH(D146,Hizmetler!$A$5:$A$54,0)),0)/1440)*1440,0)/1440)</f>
        <v/>
      </c>
      <c r="I146" s="19" t="str">
        <f aca="false">IF(OR(A146="",H146="",E146="İptal"),"",IF(COUNTIFS($A$5:$A$1004,A146,$B$5:$B$1004,"&lt;"&amp;(H146-0.0003),$H$5:$H$1004,"&gt;"&amp;(B146+0.0003),$E$5:$E$1004,"&lt;&gt;İptal")&gt;1,"Çakışıyor",""))</f>
        <v/>
      </c>
      <c r="J146" s="21" t="str">
        <f aca="false">IF(AND(A146=Gün!$C$3,B146&lt;&gt;"",E146&lt;&gt;"İptal"),B146+ROW()/100000000,"")</f>
        <v/>
      </c>
    </row>
    <row r="147" customFormat="false" ht="15" hidden="false" customHeight="false" outlineLevel="0" collapsed="false">
      <c r="A147" s="12"/>
      <c r="B147" s="13"/>
      <c r="C147" s="14"/>
      <c r="D147" s="14"/>
      <c r="E147" s="15"/>
      <c r="F147" s="16"/>
      <c r="G147" s="17" t="str">
        <f aca="false">IF(D147="","",IF(E147="Geldi",IF(F147="",IFERROR(INDEX(Hizmetler!$C$5:$C$54,MATCH(D147,Hizmetler!$A$5:$A$54,0)),0),F147),0))</f>
        <v/>
      </c>
      <c r="H147" s="18" t="str">
        <f aca="false">IF(OR(B147="",D147=""),"",ROUND((B147+IFERROR(INDEX(Hizmetler!$B$5:$B$54,MATCH(D147,Hizmetler!$A$5:$A$54,0)),0)/1440)*1440,0)/1440)</f>
        <v/>
      </c>
      <c r="I147" s="19" t="str">
        <f aca="false">IF(OR(A147="",H147="",E147="İptal"),"",IF(COUNTIFS($A$5:$A$1004,A147,$B$5:$B$1004,"&lt;"&amp;(H147-0.0003),$H$5:$H$1004,"&gt;"&amp;(B147+0.0003),$E$5:$E$1004,"&lt;&gt;İptal")&gt;1,"Çakışıyor",""))</f>
        <v/>
      </c>
      <c r="J147" s="21" t="str">
        <f aca="false">IF(AND(A147=Gün!$C$3,B147&lt;&gt;"",E147&lt;&gt;"İptal"),B147+ROW()/100000000,"")</f>
        <v/>
      </c>
    </row>
    <row r="148" customFormat="false" ht="15" hidden="false" customHeight="false" outlineLevel="0" collapsed="false">
      <c r="A148" s="12"/>
      <c r="B148" s="13"/>
      <c r="C148" s="14"/>
      <c r="D148" s="14"/>
      <c r="E148" s="15"/>
      <c r="F148" s="16"/>
      <c r="G148" s="17" t="str">
        <f aca="false">IF(D148="","",IF(E148="Geldi",IF(F148="",IFERROR(INDEX(Hizmetler!$C$5:$C$54,MATCH(D148,Hizmetler!$A$5:$A$54,0)),0),F148),0))</f>
        <v/>
      </c>
      <c r="H148" s="18" t="str">
        <f aca="false">IF(OR(B148="",D148=""),"",ROUND((B148+IFERROR(INDEX(Hizmetler!$B$5:$B$54,MATCH(D148,Hizmetler!$A$5:$A$54,0)),0)/1440)*1440,0)/1440)</f>
        <v/>
      </c>
      <c r="I148" s="19" t="str">
        <f aca="false">IF(OR(A148="",H148="",E148="İptal"),"",IF(COUNTIFS($A$5:$A$1004,A148,$B$5:$B$1004,"&lt;"&amp;(H148-0.0003),$H$5:$H$1004,"&gt;"&amp;(B148+0.0003),$E$5:$E$1004,"&lt;&gt;İptal")&gt;1,"Çakışıyor",""))</f>
        <v/>
      </c>
      <c r="J148" s="21" t="str">
        <f aca="false">IF(AND(A148=Gün!$C$3,B148&lt;&gt;"",E148&lt;&gt;"İptal"),B148+ROW()/100000000,"")</f>
        <v/>
      </c>
    </row>
    <row r="149" customFormat="false" ht="15" hidden="false" customHeight="false" outlineLevel="0" collapsed="false">
      <c r="A149" s="12"/>
      <c r="B149" s="13"/>
      <c r="C149" s="14"/>
      <c r="D149" s="14"/>
      <c r="E149" s="15"/>
      <c r="F149" s="16"/>
      <c r="G149" s="17" t="str">
        <f aca="false">IF(D149="","",IF(E149="Geldi",IF(F149="",IFERROR(INDEX(Hizmetler!$C$5:$C$54,MATCH(D149,Hizmetler!$A$5:$A$54,0)),0),F149),0))</f>
        <v/>
      </c>
      <c r="H149" s="18" t="str">
        <f aca="false">IF(OR(B149="",D149=""),"",ROUND((B149+IFERROR(INDEX(Hizmetler!$B$5:$B$54,MATCH(D149,Hizmetler!$A$5:$A$54,0)),0)/1440)*1440,0)/1440)</f>
        <v/>
      </c>
      <c r="I149" s="19" t="str">
        <f aca="false">IF(OR(A149="",H149="",E149="İptal"),"",IF(COUNTIFS($A$5:$A$1004,A149,$B$5:$B$1004,"&lt;"&amp;(H149-0.0003),$H$5:$H$1004,"&gt;"&amp;(B149+0.0003),$E$5:$E$1004,"&lt;&gt;İptal")&gt;1,"Çakışıyor",""))</f>
        <v/>
      </c>
      <c r="J149" s="21" t="str">
        <f aca="false">IF(AND(A149=Gün!$C$3,B149&lt;&gt;"",E149&lt;&gt;"İptal"),B149+ROW()/100000000,"")</f>
        <v/>
      </c>
    </row>
    <row r="150" customFormat="false" ht="15" hidden="false" customHeight="false" outlineLevel="0" collapsed="false">
      <c r="A150" s="12"/>
      <c r="B150" s="13"/>
      <c r="C150" s="14"/>
      <c r="D150" s="14"/>
      <c r="E150" s="15"/>
      <c r="F150" s="16"/>
      <c r="G150" s="17" t="str">
        <f aca="false">IF(D150="","",IF(E150="Geldi",IF(F150="",IFERROR(INDEX(Hizmetler!$C$5:$C$54,MATCH(D150,Hizmetler!$A$5:$A$54,0)),0),F150),0))</f>
        <v/>
      </c>
      <c r="H150" s="18" t="str">
        <f aca="false">IF(OR(B150="",D150=""),"",ROUND((B150+IFERROR(INDEX(Hizmetler!$B$5:$B$54,MATCH(D150,Hizmetler!$A$5:$A$54,0)),0)/1440)*1440,0)/1440)</f>
        <v/>
      </c>
      <c r="I150" s="19" t="str">
        <f aca="false">IF(OR(A150="",H150="",E150="İptal"),"",IF(COUNTIFS($A$5:$A$1004,A150,$B$5:$B$1004,"&lt;"&amp;(H150-0.0003),$H$5:$H$1004,"&gt;"&amp;(B150+0.0003),$E$5:$E$1004,"&lt;&gt;İptal")&gt;1,"Çakışıyor",""))</f>
        <v/>
      </c>
      <c r="J150" s="21" t="str">
        <f aca="false">IF(AND(A150=Gün!$C$3,B150&lt;&gt;"",E150&lt;&gt;"İptal"),B150+ROW()/100000000,"")</f>
        <v/>
      </c>
    </row>
    <row r="151" customFormat="false" ht="15" hidden="false" customHeight="false" outlineLevel="0" collapsed="false">
      <c r="A151" s="12"/>
      <c r="B151" s="13"/>
      <c r="C151" s="14"/>
      <c r="D151" s="14"/>
      <c r="E151" s="15"/>
      <c r="F151" s="16"/>
      <c r="G151" s="17" t="str">
        <f aca="false">IF(D151="","",IF(E151="Geldi",IF(F151="",IFERROR(INDEX(Hizmetler!$C$5:$C$54,MATCH(D151,Hizmetler!$A$5:$A$54,0)),0),F151),0))</f>
        <v/>
      </c>
      <c r="H151" s="18" t="str">
        <f aca="false">IF(OR(B151="",D151=""),"",ROUND((B151+IFERROR(INDEX(Hizmetler!$B$5:$B$54,MATCH(D151,Hizmetler!$A$5:$A$54,0)),0)/1440)*1440,0)/1440)</f>
        <v/>
      </c>
      <c r="I151" s="19" t="str">
        <f aca="false">IF(OR(A151="",H151="",E151="İptal"),"",IF(COUNTIFS($A$5:$A$1004,A151,$B$5:$B$1004,"&lt;"&amp;(H151-0.0003),$H$5:$H$1004,"&gt;"&amp;(B151+0.0003),$E$5:$E$1004,"&lt;&gt;İptal")&gt;1,"Çakışıyor",""))</f>
        <v/>
      </c>
      <c r="J151" s="21" t="str">
        <f aca="false">IF(AND(A151=Gün!$C$3,B151&lt;&gt;"",E151&lt;&gt;"İptal"),B151+ROW()/100000000,"")</f>
        <v/>
      </c>
    </row>
    <row r="152" customFormat="false" ht="15" hidden="false" customHeight="false" outlineLevel="0" collapsed="false">
      <c r="A152" s="12"/>
      <c r="B152" s="13"/>
      <c r="C152" s="14"/>
      <c r="D152" s="14"/>
      <c r="E152" s="15"/>
      <c r="F152" s="16"/>
      <c r="G152" s="17" t="str">
        <f aca="false">IF(D152="","",IF(E152="Geldi",IF(F152="",IFERROR(INDEX(Hizmetler!$C$5:$C$54,MATCH(D152,Hizmetler!$A$5:$A$54,0)),0),F152),0))</f>
        <v/>
      </c>
      <c r="H152" s="18" t="str">
        <f aca="false">IF(OR(B152="",D152=""),"",ROUND((B152+IFERROR(INDEX(Hizmetler!$B$5:$B$54,MATCH(D152,Hizmetler!$A$5:$A$54,0)),0)/1440)*1440,0)/1440)</f>
        <v/>
      </c>
      <c r="I152" s="19" t="str">
        <f aca="false">IF(OR(A152="",H152="",E152="İptal"),"",IF(COUNTIFS($A$5:$A$1004,A152,$B$5:$B$1004,"&lt;"&amp;(H152-0.0003),$H$5:$H$1004,"&gt;"&amp;(B152+0.0003),$E$5:$E$1004,"&lt;&gt;İptal")&gt;1,"Çakışıyor",""))</f>
        <v/>
      </c>
      <c r="J152" s="21" t="str">
        <f aca="false">IF(AND(A152=Gün!$C$3,B152&lt;&gt;"",E152&lt;&gt;"İptal"),B152+ROW()/100000000,"")</f>
        <v/>
      </c>
    </row>
    <row r="153" customFormat="false" ht="15" hidden="false" customHeight="false" outlineLevel="0" collapsed="false">
      <c r="A153" s="12"/>
      <c r="B153" s="13"/>
      <c r="C153" s="14"/>
      <c r="D153" s="14"/>
      <c r="E153" s="15"/>
      <c r="F153" s="16"/>
      <c r="G153" s="17" t="str">
        <f aca="false">IF(D153="","",IF(E153="Geldi",IF(F153="",IFERROR(INDEX(Hizmetler!$C$5:$C$54,MATCH(D153,Hizmetler!$A$5:$A$54,0)),0),F153),0))</f>
        <v/>
      </c>
      <c r="H153" s="18" t="str">
        <f aca="false">IF(OR(B153="",D153=""),"",ROUND((B153+IFERROR(INDEX(Hizmetler!$B$5:$B$54,MATCH(D153,Hizmetler!$A$5:$A$54,0)),0)/1440)*1440,0)/1440)</f>
        <v/>
      </c>
      <c r="I153" s="19" t="str">
        <f aca="false">IF(OR(A153="",H153="",E153="İptal"),"",IF(COUNTIFS($A$5:$A$1004,A153,$B$5:$B$1004,"&lt;"&amp;(H153-0.0003),$H$5:$H$1004,"&gt;"&amp;(B153+0.0003),$E$5:$E$1004,"&lt;&gt;İptal")&gt;1,"Çakışıyor",""))</f>
        <v/>
      </c>
      <c r="J153" s="21" t="str">
        <f aca="false">IF(AND(A153=Gün!$C$3,B153&lt;&gt;"",E153&lt;&gt;"İptal"),B153+ROW()/100000000,"")</f>
        <v/>
      </c>
    </row>
    <row r="154" customFormat="false" ht="15" hidden="false" customHeight="false" outlineLevel="0" collapsed="false">
      <c r="A154" s="12"/>
      <c r="B154" s="13"/>
      <c r="C154" s="14"/>
      <c r="D154" s="14"/>
      <c r="E154" s="15"/>
      <c r="F154" s="16"/>
      <c r="G154" s="17" t="str">
        <f aca="false">IF(D154="","",IF(E154="Geldi",IF(F154="",IFERROR(INDEX(Hizmetler!$C$5:$C$54,MATCH(D154,Hizmetler!$A$5:$A$54,0)),0),F154),0))</f>
        <v/>
      </c>
      <c r="H154" s="18" t="str">
        <f aca="false">IF(OR(B154="",D154=""),"",ROUND((B154+IFERROR(INDEX(Hizmetler!$B$5:$B$54,MATCH(D154,Hizmetler!$A$5:$A$54,0)),0)/1440)*1440,0)/1440)</f>
        <v/>
      </c>
      <c r="I154" s="19" t="str">
        <f aca="false">IF(OR(A154="",H154="",E154="İptal"),"",IF(COUNTIFS($A$5:$A$1004,A154,$B$5:$B$1004,"&lt;"&amp;(H154-0.0003),$H$5:$H$1004,"&gt;"&amp;(B154+0.0003),$E$5:$E$1004,"&lt;&gt;İptal")&gt;1,"Çakışıyor",""))</f>
        <v/>
      </c>
      <c r="J154" s="21" t="str">
        <f aca="false">IF(AND(A154=Gün!$C$3,B154&lt;&gt;"",E154&lt;&gt;"İptal"),B154+ROW()/100000000,"")</f>
        <v/>
      </c>
    </row>
    <row r="155" customFormat="false" ht="15" hidden="false" customHeight="false" outlineLevel="0" collapsed="false">
      <c r="A155" s="12"/>
      <c r="B155" s="13"/>
      <c r="C155" s="14"/>
      <c r="D155" s="14"/>
      <c r="E155" s="15"/>
      <c r="F155" s="16"/>
      <c r="G155" s="17" t="str">
        <f aca="false">IF(D155="","",IF(E155="Geldi",IF(F155="",IFERROR(INDEX(Hizmetler!$C$5:$C$54,MATCH(D155,Hizmetler!$A$5:$A$54,0)),0),F155),0))</f>
        <v/>
      </c>
      <c r="H155" s="18" t="str">
        <f aca="false">IF(OR(B155="",D155=""),"",ROUND((B155+IFERROR(INDEX(Hizmetler!$B$5:$B$54,MATCH(D155,Hizmetler!$A$5:$A$54,0)),0)/1440)*1440,0)/1440)</f>
        <v/>
      </c>
      <c r="I155" s="19" t="str">
        <f aca="false">IF(OR(A155="",H155="",E155="İptal"),"",IF(COUNTIFS($A$5:$A$1004,A155,$B$5:$B$1004,"&lt;"&amp;(H155-0.0003),$H$5:$H$1004,"&gt;"&amp;(B155+0.0003),$E$5:$E$1004,"&lt;&gt;İptal")&gt;1,"Çakışıyor",""))</f>
        <v/>
      </c>
      <c r="J155" s="21" t="str">
        <f aca="false">IF(AND(A155=Gün!$C$3,B155&lt;&gt;"",E155&lt;&gt;"İptal"),B155+ROW()/100000000,"")</f>
        <v/>
      </c>
    </row>
    <row r="156" customFormat="false" ht="15" hidden="false" customHeight="false" outlineLevel="0" collapsed="false">
      <c r="A156" s="12"/>
      <c r="B156" s="13"/>
      <c r="C156" s="14"/>
      <c r="D156" s="14"/>
      <c r="E156" s="15"/>
      <c r="F156" s="16"/>
      <c r="G156" s="17" t="str">
        <f aca="false">IF(D156="","",IF(E156="Geldi",IF(F156="",IFERROR(INDEX(Hizmetler!$C$5:$C$54,MATCH(D156,Hizmetler!$A$5:$A$54,0)),0),F156),0))</f>
        <v/>
      </c>
      <c r="H156" s="18" t="str">
        <f aca="false">IF(OR(B156="",D156=""),"",ROUND((B156+IFERROR(INDEX(Hizmetler!$B$5:$B$54,MATCH(D156,Hizmetler!$A$5:$A$54,0)),0)/1440)*1440,0)/1440)</f>
        <v/>
      </c>
      <c r="I156" s="19" t="str">
        <f aca="false">IF(OR(A156="",H156="",E156="İptal"),"",IF(COUNTIFS($A$5:$A$1004,A156,$B$5:$B$1004,"&lt;"&amp;(H156-0.0003),$H$5:$H$1004,"&gt;"&amp;(B156+0.0003),$E$5:$E$1004,"&lt;&gt;İptal")&gt;1,"Çakışıyor",""))</f>
        <v/>
      </c>
      <c r="J156" s="21" t="str">
        <f aca="false">IF(AND(A156=Gün!$C$3,B156&lt;&gt;"",E156&lt;&gt;"İptal"),B156+ROW()/100000000,"")</f>
        <v/>
      </c>
    </row>
    <row r="157" customFormat="false" ht="15" hidden="false" customHeight="false" outlineLevel="0" collapsed="false">
      <c r="A157" s="12"/>
      <c r="B157" s="13"/>
      <c r="C157" s="14"/>
      <c r="D157" s="14"/>
      <c r="E157" s="15"/>
      <c r="F157" s="16"/>
      <c r="G157" s="17" t="str">
        <f aca="false">IF(D157="","",IF(E157="Geldi",IF(F157="",IFERROR(INDEX(Hizmetler!$C$5:$C$54,MATCH(D157,Hizmetler!$A$5:$A$54,0)),0),F157),0))</f>
        <v/>
      </c>
      <c r="H157" s="18" t="str">
        <f aca="false">IF(OR(B157="",D157=""),"",ROUND((B157+IFERROR(INDEX(Hizmetler!$B$5:$B$54,MATCH(D157,Hizmetler!$A$5:$A$54,0)),0)/1440)*1440,0)/1440)</f>
        <v/>
      </c>
      <c r="I157" s="19" t="str">
        <f aca="false">IF(OR(A157="",H157="",E157="İptal"),"",IF(COUNTIFS($A$5:$A$1004,A157,$B$5:$B$1004,"&lt;"&amp;(H157-0.0003),$H$5:$H$1004,"&gt;"&amp;(B157+0.0003),$E$5:$E$1004,"&lt;&gt;İptal")&gt;1,"Çakışıyor",""))</f>
        <v/>
      </c>
      <c r="J157" s="21" t="str">
        <f aca="false">IF(AND(A157=Gün!$C$3,B157&lt;&gt;"",E157&lt;&gt;"İptal"),B157+ROW()/100000000,"")</f>
        <v/>
      </c>
    </row>
    <row r="158" customFormat="false" ht="15" hidden="false" customHeight="false" outlineLevel="0" collapsed="false">
      <c r="A158" s="12"/>
      <c r="B158" s="13"/>
      <c r="C158" s="14"/>
      <c r="D158" s="14"/>
      <c r="E158" s="15"/>
      <c r="F158" s="16"/>
      <c r="G158" s="17" t="str">
        <f aca="false">IF(D158="","",IF(E158="Geldi",IF(F158="",IFERROR(INDEX(Hizmetler!$C$5:$C$54,MATCH(D158,Hizmetler!$A$5:$A$54,0)),0),F158),0))</f>
        <v/>
      </c>
      <c r="H158" s="18" t="str">
        <f aca="false">IF(OR(B158="",D158=""),"",ROUND((B158+IFERROR(INDEX(Hizmetler!$B$5:$B$54,MATCH(D158,Hizmetler!$A$5:$A$54,0)),0)/1440)*1440,0)/1440)</f>
        <v/>
      </c>
      <c r="I158" s="19" t="str">
        <f aca="false">IF(OR(A158="",H158="",E158="İptal"),"",IF(COUNTIFS($A$5:$A$1004,A158,$B$5:$B$1004,"&lt;"&amp;(H158-0.0003),$H$5:$H$1004,"&gt;"&amp;(B158+0.0003),$E$5:$E$1004,"&lt;&gt;İptal")&gt;1,"Çakışıyor",""))</f>
        <v/>
      </c>
      <c r="J158" s="21" t="str">
        <f aca="false">IF(AND(A158=Gün!$C$3,B158&lt;&gt;"",E158&lt;&gt;"İptal"),B158+ROW()/100000000,"")</f>
        <v/>
      </c>
    </row>
    <row r="159" customFormat="false" ht="15" hidden="false" customHeight="false" outlineLevel="0" collapsed="false">
      <c r="A159" s="12"/>
      <c r="B159" s="13"/>
      <c r="C159" s="14"/>
      <c r="D159" s="14"/>
      <c r="E159" s="15"/>
      <c r="F159" s="16"/>
      <c r="G159" s="17" t="str">
        <f aca="false">IF(D159="","",IF(E159="Geldi",IF(F159="",IFERROR(INDEX(Hizmetler!$C$5:$C$54,MATCH(D159,Hizmetler!$A$5:$A$54,0)),0),F159),0))</f>
        <v/>
      </c>
      <c r="H159" s="18" t="str">
        <f aca="false">IF(OR(B159="",D159=""),"",ROUND((B159+IFERROR(INDEX(Hizmetler!$B$5:$B$54,MATCH(D159,Hizmetler!$A$5:$A$54,0)),0)/1440)*1440,0)/1440)</f>
        <v/>
      </c>
      <c r="I159" s="19" t="str">
        <f aca="false">IF(OR(A159="",H159="",E159="İptal"),"",IF(COUNTIFS($A$5:$A$1004,A159,$B$5:$B$1004,"&lt;"&amp;(H159-0.0003),$H$5:$H$1004,"&gt;"&amp;(B159+0.0003),$E$5:$E$1004,"&lt;&gt;İptal")&gt;1,"Çakışıyor",""))</f>
        <v/>
      </c>
      <c r="J159" s="21" t="str">
        <f aca="false">IF(AND(A159=Gün!$C$3,B159&lt;&gt;"",E159&lt;&gt;"İptal"),B159+ROW()/100000000,"")</f>
        <v/>
      </c>
    </row>
    <row r="160" customFormat="false" ht="15" hidden="false" customHeight="false" outlineLevel="0" collapsed="false">
      <c r="A160" s="12"/>
      <c r="B160" s="13"/>
      <c r="C160" s="14"/>
      <c r="D160" s="14"/>
      <c r="E160" s="15"/>
      <c r="F160" s="16"/>
      <c r="G160" s="17" t="str">
        <f aca="false">IF(D160="","",IF(E160="Geldi",IF(F160="",IFERROR(INDEX(Hizmetler!$C$5:$C$54,MATCH(D160,Hizmetler!$A$5:$A$54,0)),0),F160),0))</f>
        <v/>
      </c>
      <c r="H160" s="18" t="str">
        <f aca="false">IF(OR(B160="",D160=""),"",ROUND((B160+IFERROR(INDEX(Hizmetler!$B$5:$B$54,MATCH(D160,Hizmetler!$A$5:$A$54,0)),0)/1440)*1440,0)/1440)</f>
        <v/>
      </c>
      <c r="I160" s="19" t="str">
        <f aca="false">IF(OR(A160="",H160="",E160="İptal"),"",IF(COUNTIFS($A$5:$A$1004,A160,$B$5:$B$1004,"&lt;"&amp;(H160-0.0003),$H$5:$H$1004,"&gt;"&amp;(B160+0.0003),$E$5:$E$1004,"&lt;&gt;İptal")&gt;1,"Çakışıyor",""))</f>
        <v/>
      </c>
      <c r="J160" s="21" t="str">
        <f aca="false">IF(AND(A160=Gün!$C$3,B160&lt;&gt;"",E160&lt;&gt;"İptal"),B160+ROW()/100000000,"")</f>
        <v/>
      </c>
    </row>
    <row r="161" customFormat="false" ht="15" hidden="false" customHeight="false" outlineLevel="0" collapsed="false">
      <c r="A161" s="12"/>
      <c r="B161" s="13"/>
      <c r="C161" s="14"/>
      <c r="D161" s="14"/>
      <c r="E161" s="15"/>
      <c r="F161" s="16"/>
      <c r="G161" s="17" t="str">
        <f aca="false">IF(D161="","",IF(E161="Geldi",IF(F161="",IFERROR(INDEX(Hizmetler!$C$5:$C$54,MATCH(D161,Hizmetler!$A$5:$A$54,0)),0),F161),0))</f>
        <v/>
      </c>
      <c r="H161" s="18" t="str">
        <f aca="false">IF(OR(B161="",D161=""),"",ROUND((B161+IFERROR(INDEX(Hizmetler!$B$5:$B$54,MATCH(D161,Hizmetler!$A$5:$A$54,0)),0)/1440)*1440,0)/1440)</f>
        <v/>
      </c>
      <c r="I161" s="19" t="str">
        <f aca="false">IF(OR(A161="",H161="",E161="İptal"),"",IF(COUNTIFS($A$5:$A$1004,A161,$B$5:$B$1004,"&lt;"&amp;(H161-0.0003),$H$5:$H$1004,"&gt;"&amp;(B161+0.0003),$E$5:$E$1004,"&lt;&gt;İptal")&gt;1,"Çakışıyor",""))</f>
        <v/>
      </c>
      <c r="J161" s="21" t="str">
        <f aca="false">IF(AND(A161=Gün!$C$3,B161&lt;&gt;"",E161&lt;&gt;"İptal"),B161+ROW()/100000000,"")</f>
        <v/>
      </c>
    </row>
    <row r="162" customFormat="false" ht="15" hidden="false" customHeight="false" outlineLevel="0" collapsed="false">
      <c r="A162" s="12"/>
      <c r="B162" s="13"/>
      <c r="C162" s="14"/>
      <c r="D162" s="14"/>
      <c r="E162" s="15"/>
      <c r="F162" s="16"/>
      <c r="G162" s="17" t="str">
        <f aca="false">IF(D162="","",IF(E162="Geldi",IF(F162="",IFERROR(INDEX(Hizmetler!$C$5:$C$54,MATCH(D162,Hizmetler!$A$5:$A$54,0)),0),F162),0))</f>
        <v/>
      </c>
      <c r="H162" s="18" t="str">
        <f aca="false">IF(OR(B162="",D162=""),"",ROUND((B162+IFERROR(INDEX(Hizmetler!$B$5:$B$54,MATCH(D162,Hizmetler!$A$5:$A$54,0)),0)/1440)*1440,0)/1440)</f>
        <v/>
      </c>
      <c r="I162" s="19" t="str">
        <f aca="false">IF(OR(A162="",H162="",E162="İptal"),"",IF(COUNTIFS($A$5:$A$1004,A162,$B$5:$B$1004,"&lt;"&amp;(H162-0.0003),$H$5:$H$1004,"&gt;"&amp;(B162+0.0003),$E$5:$E$1004,"&lt;&gt;İptal")&gt;1,"Çakışıyor",""))</f>
        <v/>
      </c>
      <c r="J162" s="21" t="str">
        <f aca="false">IF(AND(A162=Gün!$C$3,B162&lt;&gt;"",E162&lt;&gt;"İptal"),B162+ROW()/100000000,"")</f>
        <v/>
      </c>
    </row>
    <row r="163" customFormat="false" ht="15" hidden="false" customHeight="false" outlineLevel="0" collapsed="false">
      <c r="A163" s="12"/>
      <c r="B163" s="13"/>
      <c r="C163" s="14"/>
      <c r="D163" s="14"/>
      <c r="E163" s="15"/>
      <c r="F163" s="16"/>
      <c r="G163" s="17" t="str">
        <f aca="false">IF(D163="","",IF(E163="Geldi",IF(F163="",IFERROR(INDEX(Hizmetler!$C$5:$C$54,MATCH(D163,Hizmetler!$A$5:$A$54,0)),0),F163),0))</f>
        <v/>
      </c>
      <c r="H163" s="18" t="str">
        <f aca="false">IF(OR(B163="",D163=""),"",ROUND((B163+IFERROR(INDEX(Hizmetler!$B$5:$B$54,MATCH(D163,Hizmetler!$A$5:$A$54,0)),0)/1440)*1440,0)/1440)</f>
        <v/>
      </c>
      <c r="I163" s="19" t="str">
        <f aca="false">IF(OR(A163="",H163="",E163="İptal"),"",IF(COUNTIFS($A$5:$A$1004,A163,$B$5:$B$1004,"&lt;"&amp;(H163-0.0003),$H$5:$H$1004,"&gt;"&amp;(B163+0.0003),$E$5:$E$1004,"&lt;&gt;İptal")&gt;1,"Çakışıyor",""))</f>
        <v/>
      </c>
      <c r="J163" s="21" t="str">
        <f aca="false">IF(AND(A163=Gün!$C$3,B163&lt;&gt;"",E163&lt;&gt;"İptal"),B163+ROW()/100000000,"")</f>
        <v/>
      </c>
    </row>
    <row r="164" customFormat="false" ht="15" hidden="false" customHeight="false" outlineLevel="0" collapsed="false">
      <c r="A164" s="12"/>
      <c r="B164" s="13"/>
      <c r="C164" s="14"/>
      <c r="D164" s="14"/>
      <c r="E164" s="15"/>
      <c r="F164" s="16"/>
      <c r="G164" s="17" t="str">
        <f aca="false">IF(D164="","",IF(E164="Geldi",IF(F164="",IFERROR(INDEX(Hizmetler!$C$5:$C$54,MATCH(D164,Hizmetler!$A$5:$A$54,0)),0),F164),0))</f>
        <v/>
      </c>
      <c r="H164" s="18" t="str">
        <f aca="false">IF(OR(B164="",D164=""),"",ROUND((B164+IFERROR(INDEX(Hizmetler!$B$5:$B$54,MATCH(D164,Hizmetler!$A$5:$A$54,0)),0)/1440)*1440,0)/1440)</f>
        <v/>
      </c>
      <c r="I164" s="19" t="str">
        <f aca="false">IF(OR(A164="",H164="",E164="İptal"),"",IF(COUNTIFS($A$5:$A$1004,A164,$B$5:$B$1004,"&lt;"&amp;(H164-0.0003),$H$5:$H$1004,"&gt;"&amp;(B164+0.0003),$E$5:$E$1004,"&lt;&gt;İptal")&gt;1,"Çakışıyor",""))</f>
        <v/>
      </c>
      <c r="J164" s="21" t="str">
        <f aca="false">IF(AND(A164=Gün!$C$3,B164&lt;&gt;"",E164&lt;&gt;"İptal"),B164+ROW()/100000000,"")</f>
        <v/>
      </c>
    </row>
    <row r="165" customFormat="false" ht="15" hidden="false" customHeight="false" outlineLevel="0" collapsed="false">
      <c r="A165" s="12"/>
      <c r="B165" s="13"/>
      <c r="C165" s="14"/>
      <c r="D165" s="14"/>
      <c r="E165" s="15"/>
      <c r="F165" s="16"/>
      <c r="G165" s="17" t="str">
        <f aca="false">IF(D165="","",IF(E165="Geldi",IF(F165="",IFERROR(INDEX(Hizmetler!$C$5:$C$54,MATCH(D165,Hizmetler!$A$5:$A$54,0)),0),F165),0))</f>
        <v/>
      </c>
      <c r="H165" s="18" t="str">
        <f aca="false">IF(OR(B165="",D165=""),"",ROUND((B165+IFERROR(INDEX(Hizmetler!$B$5:$B$54,MATCH(D165,Hizmetler!$A$5:$A$54,0)),0)/1440)*1440,0)/1440)</f>
        <v/>
      </c>
      <c r="I165" s="19" t="str">
        <f aca="false">IF(OR(A165="",H165="",E165="İptal"),"",IF(COUNTIFS($A$5:$A$1004,A165,$B$5:$B$1004,"&lt;"&amp;(H165-0.0003),$H$5:$H$1004,"&gt;"&amp;(B165+0.0003),$E$5:$E$1004,"&lt;&gt;İptal")&gt;1,"Çakışıyor",""))</f>
        <v/>
      </c>
      <c r="J165" s="21" t="str">
        <f aca="false">IF(AND(A165=Gün!$C$3,B165&lt;&gt;"",E165&lt;&gt;"İptal"),B165+ROW()/100000000,"")</f>
        <v/>
      </c>
    </row>
    <row r="166" customFormat="false" ht="15" hidden="false" customHeight="false" outlineLevel="0" collapsed="false">
      <c r="A166" s="12"/>
      <c r="B166" s="13"/>
      <c r="C166" s="14"/>
      <c r="D166" s="14"/>
      <c r="E166" s="15"/>
      <c r="F166" s="16"/>
      <c r="G166" s="17" t="str">
        <f aca="false">IF(D166="","",IF(E166="Geldi",IF(F166="",IFERROR(INDEX(Hizmetler!$C$5:$C$54,MATCH(D166,Hizmetler!$A$5:$A$54,0)),0),F166),0))</f>
        <v/>
      </c>
      <c r="H166" s="18" t="str">
        <f aca="false">IF(OR(B166="",D166=""),"",ROUND((B166+IFERROR(INDEX(Hizmetler!$B$5:$B$54,MATCH(D166,Hizmetler!$A$5:$A$54,0)),0)/1440)*1440,0)/1440)</f>
        <v/>
      </c>
      <c r="I166" s="19" t="str">
        <f aca="false">IF(OR(A166="",H166="",E166="İptal"),"",IF(COUNTIFS($A$5:$A$1004,A166,$B$5:$B$1004,"&lt;"&amp;(H166-0.0003),$H$5:$H$1004,"&gt;"&amp;(B166+0.0003),$E$5:$E$1004,"&lt;&gt;İptal")&gt;1,"Çakışıyor",""))</f>
        <v/>
      </c>
      <c r="J166" s="21" t="str">
        <f aca="false">IF(AND(A166=Gün!$C$3,B166&lt;&gt;"",E166&lt;&gt;"İptal"),B166+ROW()/100000000,"")</f>
        <v/>
      </c>
    </row>
    <row r="167" customFormat="false" ht="15" hidden="false" customHeight="false" outlineLevel="0" collapsed="false">
      <c r="A167" s="12"/>
      <c r="B167" s="13"/>
      <c r="C167" s="14"/>
      <c r="D167" s="14"/>
      <c r="E167" s="15"/>
      <c r="F167" s="16"/>
      <c r="G167" s="17" t="str">
        <f aca="false">IF(D167="","",IF(E167="Geldi",IF(F167="",IFERROR(INDEX(Hizmetler!$C$5:$C$54,MATCH(D167,Hizmetler!$A$5:$A$54,0)),0),F167),0))</f>
        <v/>
      </c>
      <c r="H167" s="18" t="str">
        <f aca="false">IF(OR(B167="",D167=""),"",ROUND((B167+IFERROR(INDEX(Hizmetler!$B$5:$B$54,MATCH(D167,Hizmetler!$A$5:$A$54,0)),0)/1440)*1440,0)/1440)</f>
        <v/>
      </c>
      <c r="I167" s="19" t="str">
        <f aca="false">IF(OR(A167="",H167="",E167="İptal"),"",IF(COUNTIFS($A$5:$A$1004,A167,$B$5:$B$1004,"&lt;"&amp;(H167-0.0003),$H$5:$H$1004,"&gt;"&amp;(B167+0.0003),$E$5:$E$1004,"&lt;&gt;İptal")&gt;1,"Çakışıyor",""))</f>
        <v/>
      </c>
      <c r="J167" s="21" t="str">
        <f aca="false">IF(AND(A167=Gün!$C$3,B167&lt;&gt;"",E167&lt;&gt;"İptal"),B167+ROW()/100000000,"")</f>
        <v/>
      </c>
    </row>
    <row r="168" customFormat="false" ht="15" hidden="false" customHeight="false" outlineLevel="0" collapsed="false">
      <c r="A168" s="12"/>
      <c r="B168" s="13"/>
      <c r="C168" s="14"/>
      <c r="D168" s="14"/>
      <c r="E168" s="15"/>
      <c r="F168" s="16"/>
      <c r="G168" s="17" t="str">
        <f aca="false">IF(D168="","",IF(E168="Geldi",IF(F168="",IFERROR(INDEX(Hizmetler!$C$5:$C$54,MATCH(D168,Hizmetler!$A$5:$A$54,0)),0),F168),0))</f>
        <v/>
      </c>
      <c r="H168" s="18" t="str">
        <f aca="false">IF(OR(B168="",D168=""),"",ROUND((B168+IFERROR(INDEX(Hizmetler!$B$5:$B$54,MATCH(D168,Hizmetler!$A$5:$A$54,0)),0)/1440)*1440,0)/1440)</f>
        <v/>
      </c>
      <c r="I168" s="19" t="str">
        <f aca="false">IF(OR(A168="",H168="",E168="İptal"),"",IF(COUNTIFS($A$5:$A$1004,A168,$B$5:$B$1004,"&lt;"&amp;(H168-0.0003),$H$5:$H$1004,"&gt;"&amp;(B168+0.0003),$E$5:$E$1004,"&lt;&gt;İptal")&gt;1,"Çakışıyor",""))</f>
        <v/>
      </c>
      <c r="J168" s="21" t="str">
        <f aca="false">IF(AND(A168=Gün!$C$3,B168&lt;&gt;"",E168&lt;&gt;"İptal"),B168+ROW()/100000000,"")</f>
        <v/>
      </c>
    </row>
    <row r="169" customFormat="false" ht="15" hidden="false" customHeight="false" outlineLevel="0" collapsed="false">
      <c r="A169" s="12"/>
      <c r="B169" s="13"/>
      <c r="C169" s="14"/>
      <c r="D169" s="14"/>
      <c r="E169" s="15"/>
      <c r="F169" s="16"/>
      <c r="G169" s="17" t="str">
        <f aca="false">IF(D169="","",IF(E169="Geldi",IF(F169="",IFERROR(INDEX(Hizmetler!$C$5:$C$54,MATCH(D169,Hizmetler!$A$5:$A$54,0)),0),F169),0))</f>
        <v/>
      </c>
      <c r="H169" s="18" t="str">
        <f aca="false">IF(OR(B169="",D169=""),"",ROUND((B169+IFERROR(INDEX(Hizmetler!$B$5:$B$54,MATCH(D169,Hizmetler!$A$5:$A$54,0)),0)/1440)*1440,0)/1440)</f>
        <v/>
      </c>
      <c r="I169" s="19" t="str">
        <f aca="false">IF(OR(A169="",H169="",E169="İptal"),"",IF(COUNTIFS($A$5:$A$1004,A169,$B$5:$B$1004,"&lt;"&amp;(H169-0.0003),$H$5:$H$1004,"&gt;"&amp;(B169+0.0003),$E$5:$E$1004,"&lt;&gt;İptal")&gt;1,"Çakışıyor",""))</f>
        <v/>
      </c>
      <c r="J169" s="21" t="str">
        <f aca="false">IF(AND(A169=Gün!$C$3,B169&lt;&gt;"",E169&lt;&gt;"İptal"),B169+ROW()/100000000,"")</f>
        <v/>
      </c>
    </row>
    <row r="170" customFormat="false" ht="15" hidden="false" customHeight="false" outlineLevel="0" collapsed="false">
      <c r="A170" s="12"/>
      <c r="B170" s="13"/>
      <c r="C170" s="14"/>
      <c r="D170" s="14"/>
      <c r="E170" s="15"/>
      <c r="F170" s="16"/>
      <c r="G170" s="17" t="str">
        <f aca="false">IF(D170="","",IF(E170="Geldi",IF(F170="",IFERROR(INDEX(Hizmetler!$C$5:$C$54,MATCH(D170,Hizmetler!$A$5:$A$54,0)),0),F170),0))</f>
        <v/>
      </c>
      <c r="H170" s="18" t="str">
        <f aca="false">IF(OR(B170="",D170=""),"",ROUND((B170+IFERROR(INDEX(Hizmetler!$B$5:$B$54,MATCH(D170,Hizmetler!$A$5:$A$54,0)),0)/1440)*1440,0)/1440)</f>
        <v/>
      </c>
      <c r="I170" s="19" t="str">
        <f aca="false">IF(OR(A170="",H170="",E170="İptal"),"",IF(COUNTIFS($A$5:$A$1004,A170,$B$5:$B$1004,"&lt;"&amp;(H170-0.0003),$H$5:$H$1004,"&gt;"&amp;(B170+0.0003),$E$5:$E$1004,"&lt;&gt;İptal")&gt;1,"Çakışıyor",""))</f>
        <v/>
      </c>
      <c r="J170" s="21" t="str">
        <f aca="false">IF(AND(A170=Gün!$C$3,B170&lt;&gt;"",E170&lt;&gt;"İptal"),B170+ROW()/100000000,"")</f>
        <v/>
      </c>
    </row>
    <row r="171" customFormat="false" ht="15" hidden="false" customHeight="false" outlineLevel="0" collapsed="false">
      <c r="A171" s="12"/>
      <c r="B171" s="13"/>
      <c r="C171" s="14"/>
      <c r="D171" s="14"/>
      <c r="E171" s="15"/>
      <c r="F171" s="16"/>
      <c r="G171" s="17" t="str">
        <f aca="false">IF(D171="","",IF(E171="Geldi",IF(F171="",IFERROR(INDEX(Hizmetler!$C$5:$C$54,MATCH(D171,Hizmetler!$A$5:$A$54,0)),0),F171),0))</f>
        <v/>
      </c>
      <c r="H171" s="18" t="str">
        <f aca="false">IF(OR(B171="",D171=""),"",ROUND((B171+IFERROR(INDEX(Hizmetler!$B$5:$B$54,MATCH(D171,Hizmetler!$A$5:$A$54,0)),0)/1440)*1440,0)/1440)</f>
        <v/>
      </c>
      <c r="I171" s="19" t="str">
        <f aca="false">IF(OR(A171="",H171="",E171="İptal"),"",IF(COUNTIFS($A$5:$A$1004,A171,$B$5:$B$1004,"&lt;"&amp;(H171-0.0003),$H$5:$H$1004,"&gt;"&amp;(B171+0.0003),$E$5:$E$1004,"&lt;&gt;İptal")&gt;1,"Çakışıyor",""))</f>
        <v/>
      </c>
      <c r="J171" s="21" t="str">
        <f aca="false">IF(AND(A171=Gün!$C$3,B171&lt;&gt;"",E171&lt;&gt;"İptal"),B171+ROW()/100000000,"")</f>
        <v/>
      </c>
    </row>
    <row r="172" customFormat="false" ht="15" hidden="false" customHeight="false" outlineLevel="0" collapsed="false">
      <c r="A172" s="12"/>
      <c r="B172" s="13"/>
      <c r="C172" s="14"/>
      <c r="D172" s="14"/>
      <c r="E172" s="15"/>
      <c r="F172" s="16"/>
      <c r="G172" s="17" t="str">
        <f aca="false">IF(D172="","",IF(E172="Geldi",IF(F172="",IFERROR(INDEX(Hizmetler!$C$5:$C$54,MATCH(D172,Hizmetler!$A$5:$A$54,0)),0),F172),0))</f>
        <v/>
      </c>
      <c r="H172" s="18" t="str">
        <f aca="false">IF(OR(B172="",D172=""),"",ROUND((B172+IFERROR(INDEX(Hizmetler!$B$5:$B$54,MATCH(D172,Hizmetler!$A$5:$A$54,0)),0)/1440)*1440,0)/1440)</f>
        <v/>
      </c>
      <c r="I172" s="19" t="str">
        <f aca="false">IF(OR(A172="",H172="",E172="İptal"),"",IF(COUNTIFS($A$5:$A$1004,A172,$B$5:$B$1004,"&lt;"&amp;(H172-0.0003),$H$5:$H$1004,"&gt;"&amp;(B172+0.0003),$E$5:$E$1004,"&lt;&gt;İptal")&gt;1,"Çakışıyor",""))</f>
        <v/>
      </c>
      <c r="J172" s="21" t="str">
        <f aca="false">IF(AND(A172=Gün!$C$3,B172&lt;&gt;"",E172&lt;&gt;"İptal"),B172+ROW()/100000000,"")</f>
        <v/>
      </c>
    </row>
    <row r="173" customFormat="false" ht="15" hidden="false" customHeight="false" outlineLevel="0" collapsed="false">
      <c r="A173" s="12"/>
      <c r="B173" s="13"/>
      <c r="C173" s="14"/>
      <c r="D173" s="14"/>
      <c r="E173" s="15"/>
      <c r="F173" s="16"/>
      <c r="G173" s="17" t="str">
        <f aca="false">IF(D173="","",IF(E173="Geldi",IF(F173="",IFERROR(INDEX(Hizmetler!$C$5:$C$54,MATCH(D173,Hizmetler!$A$5:$A$54,0)),0),F173),0))</f>
        <v/>
      </c>
      <c r="H173" s="18" t="str">
        <f aca="false">IF(OR(B173="",D173=""),"",ROUND((B173+IFERROR(INDEX(Hizmetler!$B$5:$B$54,MATCH(D173,Hizmetler!$A$5:$A$54,0)),0)/1440)*1440,0)/1440)</f>
        <v/>
      </c>
      <c r="I173" s="19" t="str">
        <f aca="false">IF(OR(A173="",H173="",E173="İptal"),"",IF(COUNTIFS($A$5:$A$1004,A173,$B$5:$B$1004,"&lt;"&amp;(H173-0.0003),$H$5:$H$1004,"&gt;"&amp;(B173+0.0003),$E$5:$E$1004,"&lt;&gt;İptal")&gt;1,"Çakışıyor",""))</f>
        <v/>
      </c>
      <c r="J173" s="21" t="str">
        <f aca="false">IF(AND(A173=Gün!$C$3,B173&lt;&gt;"",E173&lt;&gt;"İptal"),B173+ROW()/100000000,"")</f>
        <v/>
      </c>
    </row>
    <row r="174" customFormat="false" ht="15" hidden="false" customHeight="false" outlineLevel="0" collapsed="false">
      <c r="A174" s="12"/>
      <c r="B174" s="13"/>
      <c r="C174" s="14"/>
      <c r="D174" s="14"/>
      <c r="E174" s="15"/>
      <c r="F174" s="16"/>
      <c r="G174" s="17" t="str">
        <f aca="false">IF(D174="","",IF(E174="Geldi",IF(F174="",IFERROR(INDEX(Hizmetler!$C$5:$C$54,MATCH(D174,Hizmetler!$A$5:$A$54,0)),0),F174),0))</f>
        <v/>
      </c>
      <c r="H174" s="18" t="str">
        <f aca="false">IF(OR(B174="",D174=""),"",ROUND((B174+IFERROR(INDEX(Hizmetler!$B$5:$B$54,MATCH(D174,Hizmetler!$A$5:$A$54,0)),0)/1440)*1440,0)/1440)</f>
        <v/>
      </c>
      <c r="I174" s="19" t="str">
        <f aca="false">IF(OR(A174="",H174="",E174="İptal"),"",IF(COUNTIFS($A$5:$A$1004,A174,$B$5:$B$1004,"&lt;"&amp;(H174-0.0003),$H$5:$H$1004,"&gt;"&amp;(B174+0.0003),$E$5:$E$1004,"&lt;&gt;İptal")&gt;1,"Çakışıyor",""))</f>
        <v/>
      </c>
      <c r="J174" s="21" t="str">
        <f aca="false">IF(AND(A174=Gün!$C$3,B174&lt;&gt;"",E174&lt;&gt;"İptal"),B174+ROW()/100000000,"")</f>
        <v/>
      </c>
    </row>
    <row r="175" customFormat="false" ht="15" hidden="false" customHeight="false" outlineLevel="0" collapsed="false">
      <c r="A175" s="12"/>
      <c r="B175" s="13"/>
      <c r="C175" s="14"/>
      <c r="D175" s="14"/>
      <c r="E175" s="15"/>
      <c r="F175" s="16"/>
      <c r="G175" s="17" t="str">
        <f aca="false">IF(D175="","",IF(E175="Geldi",IF(F175="",IFERROR(INDEX(Hizmetler!$C$5:$C$54,MATCH(D175,Hizmetler!$A$5:$A$54,0)),0),F175),0))</f>
        <v/>
      </c>
      <c r="H175" s="18" t="str">
        <f aca="false">IF(OR(B175="",D175=""),"",ROUND((B175+IFERROR(INDEX(Hizmetler!$B$5:$B$54,MATCH(D175,Hizmetler!$A$5:$A$54,0)),0)/1440)*1440,0)/1440)</f>
        <v/>
      </c>
      <c r="I175" s="19" t="str">
        <f aca="false">IF(OR(A175="",H175="",E175="İptal"),"",IF(COUNTIFS($A$5:$A$1004,A175,$B$5:$B$1004,"&lt;"&amp;(H175-0.0003),$H$5:$H$1004,"&gt;"&amp;(B175+0.0003),$E$5:$E$1004,"&lt;&gt;İptal")&gt;1,"Çakışıyor",""))</f>
        <v/>
      </c>
      <c r="J175" s="21" t="str">
        <f aca="false">IF(AND(A175=Gün!$C$3,B175&lt;&gt;"",E175&lt;&gt;"İptal"),B175+ROW()/100000000,"")</f>
        <v/>
      </c>
    </row>
    <row r="176" customFormat="false" ht="15" hidden="false" customHeight="false" outlineLevel="0" collapsed="false">
      <c r="A176" s="12"/>
      <c r="B176" s="13"/>
      <c r="C176" s="14"/>
      <c r="D176" s="14"/>
      <c r="E176" s="15"/>
      <c r="F176" s="16"/>
      <c r="G176" s="17" t="str">
        <f aca="false">IF(D176="","",IF(E176="Geldi",IF(F176="",IFERROR(INDEX(Hizmetler!$C$5:$C$54,MATCH(D176,Hizmetler!$A$5:$A$54,0)),0),F176),0))</f>
        <v/>
      </c>
      <c r="H176" s="18" t="str">
        <f aca="false">IF(OR(B176="",D176=""),"",ROUND((B176+IFERROR(INDEX(Hizmetler!$B$5:$B$54,MATCH(D176,Hizmetler!$A$5:$A$54,0)),0)/1440)*1440,0)/1440)</f>
        <v/>
      </c>
      <c r="I176" s="19" t="str">
        <f aca="false">IF(OR(A176="",H176="",E176="İptal"),"",IF(COUNTIFS($A$5:$A$1004,A176,$B$5:$B$1004,"&lt;"&amp;(H176-0.0003),$H$5:$H$1004,"&gt;"&amp;(B176+0.0003),$E$5:$E$1004,"&lt;&gt;İptal")&gt;1,"Çakışıyor",""))</f>
        <v/>
      </c>
      <c r="J176" s="21" t="str">
        <f aca="false">IF(AND(A176=Gün!$C$3,B176&lt;&gt;"",E176&lt;&gt;"İptal"),B176+ROW()/100000000,"")</f>
        <v/>
      </c>
    </row>
    <row r="177" customFormat="false" ht="15" hidden="false" customHeight="false" outlineLevel="0" collapsed="false">
      <c r="A177" s="12"/>
      <c r="B177" s="13"/>
      <c r="C177" s="14"/>
      <c r="D177" s="14"/>
      <c r="E177" s="15"/>
      <c r="F177" s="16"/>
      <c r="G177" s="17" t="str">
        <f aca="false">IF(D177="","",IF(E177="Geldi",IF(F177="",IFERROR(INDEX(Hizmetler!$C$5:$C$54,MATCH(D177,Hizmetler!$A$5:$A$54,0)),0),F177),0))</f>
        <v/>
      </c>
      <c r="H177" s="18" t="str">
        <f aca="false">IF(OR(B177="",D177=""),"",ROUND((B177+IFERROR(INDEX(Hizmetler!$B$5:$B$54,MATCH(D177,Hizmetler!$A$5:$A$54,0)),0)/1440)*1440,0)/1440)</f>
        <v/>
      </c>
      <c r="I177" s="19" t="str">
        <f aca="false">IF(OR(A177="",H177="",E177="İptal"),"",IF(COUNTIFS($A$5:$A$1004,A177,$B$5:$B$1004,"&lt;"&amp;(H177-0.0003),$H$5:$H$1004,"&gt;"&amp;(B177+0.0003),$E$5:$E$1004,"&lt;&gt;İptal")&gt;1,"Çakışıyor",""))</f>
        <v/>
      </c>
      <c r="J177" s="21" t="str">
        <f aca="false">IF(AND(A177=Gün!$C$3,B177&lt;&gt;"",E177&lt;&gt;"İptal"),B177+ROW()/100000000,"")</f>
        <v/>
      </c>
    </row>
    <row r="178" customFormat="false" ht="15" hidden="false" customHeight="false" outlineLevel="0" collapsed="false">
      <c r="A178" s="12"/>
      <c r="B178" s="13"/>
      <c r="C178" s="14"/>
      <c r="D178" s="14"/>
      <c r="E178" s="15"/>
      <c r="F178" s="16"/>
      <c r="G178" s="17" t="str">
        <f aca="false">IF(D178="","",IF(E178="Geldi",IF(F178="",IFERROR(INDEX(Hizmetler!$C$5:$C$54,MATCH(D178,Hizmetler!$A$5:$A$54,0)),0),F178),0))</f>
        <v/>
      </c>
      <c r="H178" s="18" t="str">
        <f aca="false">IF(OR(B178="",D178=""),"",ROUND((B178+IFERROR(INDEX(Hizmetler!$B$5:$B$54,MATCH(D178,Hizmetler!$A$5:$A$54,0)),0)/1440)*1440,0)/1440)</f>
        <v/>
      </c>
      <c r="I178" s="19" t="str">
        <f aca="false">IF(OR(A178="",H178="",E178="İptal"),"",IF(COUNTIFS($A$5:$A$1004,A178,$B$5:$B$1004,"&lt;"&amp;(H178-0.0003),$H$5:$H$1004,"&gt;"&amp;(B178+0.0003),$E$5:$E$1004,"&lt;&gt;İptal")&gt;1,"Çakışıyor",""))</f>
        <v/>
      </c>
      <c r="J178" s="21" t="str">
        <f aca="false">IF(AND(A178=Gün!$C$3,B178&lt;&gt;"",E178&lt;&gt;"İptal"),B178+ROW()/100000000,"")</f>
        <v/>
      </c>
    </row>
    <row r="179" customFormat="false" ht="15" hidden="false" customHeight="false" outlineLevel="0" collapsed="false">
      <c r="A179" s="12"/>
      <c r="B179" s="13"/>
      <c r="C179" s="14"/>
      <c r="D179" s="14"/>
      <c r="E179" s="15"/>
      <c r="F179" s="16"/>
      <c r="G179" s="17" t="str">
        <f aca="false">IF(D179="","",IF(E179="Geldi",IF(F179="",IFERROR(INDEX(Hizmetler!$C$5:$C$54,MATCH(D179,Hizmetler!$A$5:$A$54,0)),0),F179),0))</f>
        <v/>
      </c>
      <c r="H179" s="18" t="str">
        <f aca="false">IF(OR(B179="",D179=""),"",ROUND((B179+IFERROR(INDEX(Hizmetler!$B$5:$B$54,MATCH(D179,Hizmetler!$A$5:$A$54,0)),0)/1440)*1440,0)/1440)</f>
        <v/>
      </c>
      <c r="I179" s="19" t="str">
        <f aca="false">IF(OR(A179="",H179="",E179="İptal"),"",IF(COUNTIFS($A$5:$A$1004,A179,$B$5:$B$1004,"&lt;"&amp;(H179-0.0003),$H$5:$H$1004,"&gt;"&amp;(B179+0.0003),$E$5:$E$1004,"&lt;&gt;İptal")&gt;1,"Çakışıyor",""))</f>
        <v/>
      </c>
      <c r="J179" s="21" t="str">
        <f aca="false">IF(AND(A179=Gün!$C$3,B179&lt;&gt;"",E179&lt;&gt;"İptal"),B179+ROW()/100000000,"")</f>
        <v/>
      </c>
    </row>
    <row r="180" customFormat="false" ht="15" hidden="false" customHeight="false" outlineLevel="0" collapsed="false">
      <c r="A180" s="12"/>
      <c r="B180" s="13"/>
      <c r="C180" s="14"/>
      <c r="D180" s="14"/>
      <c r="E180" s="15"/>
      <c r="F180" s="16"/>
      <c r="G180" s="17" t="str">
        <f aca="false">IF(D180="","",IF(E180="Geldi",IF(F180="",IFERROR(INDEX(Hizmetler!$C$5:$C$54,MATCH(D180,Hizmetler!$A$5:$A$54,0)),0),F180),0))</f>
        <v/>
      </c>
      <c r="H180" s="18" t="str">
        <f aca="false">IF(OR(B180="",D180=""),"",ROUND((B180+IFERROR(INDEX(Hizmetler!$B$5:$B$54,MATCH(D180,Hizmetler!$A$5:$A$54,0)),0)/1440)*1440,0)/1440)</f>
        <v/>
      </c>
      <c r="I180" s="19" t="str">
        <f aca="false">IF(OR(A180="",H180="",E180="İptal"),"",IF(COUNTIFS($A$5:$A$1004,A180,$B$5:$B$1004,"&lt;"&amp;(H180-0.0003),$H$5:$H$1004,"&gt;"&amp;(B180+0.0003),$E$5:$E$1004,"&lt;&gt;İptal")&gt;1,"Çakışıyor",""))</f>
        <v/>
      </c>
      <c r="J180" s="21" t="str">
        <f aca="false">IF(AND(A180=Gün!$C$3,B180&lt;&gt;"",E180&lt;&gt;"İptal"),B180+ROW()/100000000,"")</f>
        <v/>
      </c>
    </row>
    <row r="181" customFormat="false" ht="15" hidden="false" customHeight="false" outlineLevel="0" collapsed="false">
      <c r="A181" s="12"/>
      <c r="B181" s="13"/>
      <c r="C181" s="14"/>
      <c r="D181" s="14"/>
      <c r="E181" s="15"/>
      <c r="F181" s="16"/>
      <c r="G181" s="17" t="str">
        <f aca="false">IF(D181="","",IF(E181="Geldi",IF(F181="",IFERROR(INDEX(Hizmetler!$C$5:$C$54,MATCH(D181,Hizmetler!$A$5:$A$54,0)),0),F181),0))</f>
        <v/>
      </c>
      <c r="H181" s="18" t="str">
        <f aca="false">IF(OR(B181="",D181=""),"",ROUND((B181+IFERROR(INDEX(Hizmetler!$B$5:$B$54,MATCH(D181,Hizmetler!$A$5:$A$54,0)),0)/1440)*1440,0)/1440)</f>
        <v/>
      </c>
      <c r="I181" s="19" t="str">
        <f aca="false">IF(OR(A181="",H181="",E181="İptal"),"",IF(COUNTIFS($A$5:$A$1004,A181,$B$5:$B$1004,"&lt;"&amp;(H181-0.0003),$H$5:$H$1004,"&gt;"&amp;(B181+0.0003),$E$5:$E$1004,"&lt;&gt;İptal")&gt;1,"Çakışıyor",""))</f>
        <v/>
      </c>
      <c r="J181" s="21" t="str">
        <f aca="false">IF(AND(A181=Gün!$C$3,B181&lt;&gt;"",E181&lt;&gt;"İptal"),B181+ROW()/100000000,"")</f>
        <v/>
      </c>
    </row>
    <row r="182" customFormat="false" ht="15" hidden="false" customHeight="false" outlineLevel="0" collapsed="false">
      <c r="A182" s="12"/>
      <c r="B182" s="13"/>
      <c r="C182" s="14"/>
      <c r="D182" s="14"/>
      <c r="E182" s="15"/>
      <c r="F182" s="16"/>
      <c r="G182" s="17" t="str">
        <f aca="false">IF(D182="","",IF(E182="Geldi",IF(F182="",IFERROR(INDEX(Hizmetler!$C$5:$C$54,MATCH(D182,Hizmetler!$A$5:$A$54,0)),0),F182),0))</f>
        <v/>
      </c>
      <c r="H182" s="18" t="str">
        <f aca="false">IF(OR(B182="",D182=""),"",ROUND((B182+IFERROR(INDEX(Hizmetler!$B$5:$B$54,MATCH(D182,Hizmetler!$A$5:$A$54,0)),0)/1440)*1440,0)/1440)</f>
        <v/>
      </c>
      <c r="I182" s="19" t="str">
        <f aca="false">IF(OR(A182="",H182="",E182="İptal"),"",IF(COUNTIFS($A$5:$A$1004,A182,$B$5:$B$1004,"&lt;"&amp;(H182-0.0003),$H$5:$H$1004,"&gt;"&amp;(B182+0.0003),$E$5:$E$1004,"&lt;&gt;İptal")&gt;1,"Çakışıyor",""))</f>
        <v/>
      </c>
      <c r="J182" s="21" t="str">
        <f aca="false">IF(AND(A182=Gün!$C$3,B182&lt;&gt;"",E182&lt;&gt;"İptal"),B182+ROW()/100000000,"")</f>
        <v/>
      </c>
    </row>
    <row r="183" customFormat="false" ht="15" hidden="false" customHeight="false" outlineLevel="0" collapsed="false">
      <c r="A183" s="12"/>
      <c r="B183" s="13"/>
      <c r="C183" s="14"/>
      <c r="D183" s="14"/>
      <c r="E183" s="15"/>
      <c r="F183" s="16"/>
      <c r="G183" s="17" t="str">
        <f aca="false">IF(D183="","",IF(E183="Geldi",IF(F183="",IFERROR(INDEX(Hizmetler!$C$5:$C$54,MATCH(D183,Hizmetler!$A$5:$A$54,0)),0),F183),0))</f>
        <v/>
      </c>
      <c r="H183" s="18" t="str">
        <f aca="false">IF(OR(B183="",D183=""),"",ROUND((B183+IFERROR(INDEX(Hizmetler!$B$5:$B$54,MATCH(D183,Hizmetler!$A$5:$A$54,0)),0)/1440)*1440,0)/1440)</f>
        <v/>
      </c>
      <c r="I183" s="19" t="str">
        <f aca="false">IF(OR(A183="",H183="",E183="İptal"),"",IF(COUNTIFS($A$5:$A$1004,A183,$B$5:$B$1004,"&lt;"&amp;(H183-0.0003),$H$5:$H$1004,"&gt;"&amp;(B183+0.0003),$E$5:$E$1004,"&lt;&gt;İptal")&gt;1,"Çakışıyor",""))</f>
        <v/>
      </c>
      <c r="J183" s="21" t="str">
        <f aca="false">IF(AND(A183=Gün!$C$3,B183&lt;&gt;"",E183&lt;&gt;"İptal"),B183+ROW()/100000000,"")</f>
        <v/>
      </c>
    </row>
    <row r="184" customFormat="false" ht="15" hidden="false" customHeight="false" outlineLevel="0" collapsed="false">
      <c r="A184" s="12"/>
      <c r="B184" s="13"/>
      <c r="C184" s="14"/>
      <c r="D184" s="14"/>
      <c r="E184" s="15"/>
      <c r="F184" s="16"/>
      <c r="G184" s="17" t="str">
        <f aca="false">IF(D184="","",IF(E184="Geldi",IF(F184="",IFERROR(INDEX(Hizmetler!$C$5:$C$54,MATCH(D184,Hizmetler!$A$5:$A$54,0)),0),F184),0))</f>
        <v/>
      </c>
      <c r="H184" s="18" t="str">
        <f aca="false">IF(OR(B184="",D184=""),"",ROUND((B184+IFERROR(INDEX(Hizmetler!$B$5:$B$54,MATCH(D184,Hizmetler!$A$5:$A$54,0)),0)/1440)*1440,0)/1440)</f>
        <v/>
      </c>
      <c r="I184" s="19" t="str">
        <f aca="false">IF(OR(A184="",H184="",E184="İptal"),"",IF(COUNTIFS($A$5:$A$1004,A184,$B$5:$B$1004,"&lt;"&amp;(H184-0.0003),$H$5:$H$1004,"&gt;"&amp;(B184+0.0003),$E$5:$E$1004,"&lt;&gt;İptal")&gt;1,"Çakışıyor",""))</f>
        <v/>
      </c>
      <c r="J184" s="21" t="str">
        <f aca="false">IF(AND(A184=Gün!$C$3,B184&lt;&gt;"",E184&lt;&gt;"İptal"),B184+ROW()/100000000,"")</f>
        <v/>
      </c>
    </row>
    <row r="185" customFormat="false" ht="15" hidden="false" customHeight="false" outlineLevel="0" collapsed="false">
      <c r="A185" s="12"/>
      <c r="B185" s="13"/>
      <c r="C185" s="14"/>
      <c r="D185" s="14"/>
      <c r="E185" s="15"/>
      <c r="F185" s="16"/>
      <c r="G185" s="17" t="str">
        <f aca="false">IF(D185="","",IF(E185="Geldi",IF(F185="",IFERROR(INDEX(Hizmetler!$C$5:$C$54,MATCH(D185,Hizmetler!$A$5:$A$54,0)),0),F185),0))</f>
        <v/>
      </c>
      <c r="H185" s="18" t="str">
        <f aca="false">IF(OR(B185="",D185=""),"",ROUND((B185+IFERROR(INDEX(Hizmetler!$B$5:$B$54,MATCH(D185,Hizmetler!$A$5:$A$54,0)),0)/1440)*1440,0)/1440)</f>
        <v/>
      </c>
      <c r="I185" s="19" t="str">
        <f aca="false">IF(OR(A185="",H185="",E185="İptal"),"",IF(COUNTIFS($A$5:$A$1004,A185,$B$5:$B$1004,"&lt;"&amp;(H185-0.0003),$H$5:$H$1004,"&gt;"&amp;(B185+0.0003),$E$5:$E$1004,"&lt;&gt;İptal")&gt;1,"Çakışıyor",""))</f>
        <v/>
      </c>
      <c r="J185" s="21" t="str">
        <f aca="false">IF(AND(A185=Gün!$C$3,B185&lt;&gt;"",E185&lt;&gt;"İptal"),B185+ROW()/100000000,"")</f>
        <v/>
      </c>
    </row>
    <row r="186" customFormat="false" ht="15" hidden="false" customHeight="false" outlineLevel="0" collapsed="false">
      <c r="A186" s="12"/>
      <c r="B186" s="13"/>
      <c r="C186" s="14"/>
      <c r="D186" s="14"/>
      <c r="E186" s="15"/>
      <c r="F186" s="16"/>
      <c r="G186" s="17" t="str">
        <f aca="false">IF(D186="","",IF(E186="Geldi",IF(F186="",IFERROR(INDEX(Hizmetler!$C$5:$C$54,MATCH(D186,Hizmetler!$A$5:$A$54,0)),0),F186),0))</f>
        <v/>
      </c>
      <c r="H186" s="18" t="str">
        <f aca="false">IF(OR(B186="",D186=""),"",ROUND((B186+IFERROR(INDEX(Hizmetler!$B$5:$B$54,MATCH(D186,Hizmetler!$A$5:$A$54,0)),0)/1440)*1440,0)/1440)</f>
        <v/>
      </c>
      <c r="I186" s="19" t="str">
        <f aca="false">IF(OR(A186="",H186="",E186="İptal"),"",IF(COUNTIFS($A$5:$A$1004,A186,$B$5:$B$1004,"&lt;"&amp;(H186-0.0003),$H$5:$H$1004,"&gt;"&amp;(B186+0.0003),$E$5:$E$1004,"&lt;&gt;İptal")&gt;1,"Çakışıyor",""))</f>
        <v/>
      </c>
      <c r="J186" s="21" t="str">
        <f aca="false">IF(AND(A186=Gün!$C$3,B186&lt;&gt;"",E186&lt;&gt;"İptal"),B186+ROW()/100000000,"")</f>
        <v/>
      </c>
    </row>
    <row r="187" customFormat="false" ht="15" hidden="false" customHeight="false" outlineLevel="0" collapsed="false">
      <c r="A187" s="12"/>
      <c r="B187" s="13"/>
      <c r="C187" s="14"/>
      <c r="D187" s="14"/>
      <c r="E187" s="15"/>
      <c r="F187" s="16"/>
      <c r="G187" s="17" t="str">
        <f aca="false">IF(D187="","",IF(E187="Geldi",IF(F187="",IFERROR(INDEX(Hizmetler!$C$5:$C$54,MATCH(D187,Hizmetler!$A$5:$A$54,0)),0),F187),0))</f>
        <v/>
      </c>
      <c r="H187" s="18" t="str">
        <f aca="false">IF(OR(B187="",D187=""),"",ROUND((B187+IFERROR(INDEX(Hizmetler!$B$5:$B$54,MATCH(D187,Hizmetler!$A$5:$A$54,0)),0)/1440)*1440,0)/1440)</f>
        <v/>
      </c>
      <c r="I187" s="19" t="str">
        <f aca="false">IF(OR(A187="",H187="",E187="İptal"),"",IF(COUNTIFS($A$5:$A$1004,A187,$B$5:$B$1004,"&lt;"&amp;(H187-0.0003),$H$5:$H$1004,"&gt;"&amp;(B187+0.0003),$E$5:$E$1004,"&lt;&gt;İptal")&gt;1,"Çakışıyor",""))</f>
        <v/>
      </c>
      <c r="J187" s="21" t="str">
        <f aca="false">IF(AND(A187=Gün!$C$3,B187&lt;&gt;"",E187&lt;&gt;"İptal"),B187+ROW()/100000000,"")</f>
        <v/>
      </c>
    </row>
    <row r="188" customFormat="false" ht="15" hidden="false" customHeight="false" outlineLevel="0" collapsed="false">
      <c r="A188" s="12"/>
      <c r="B188" s="13"/>
      <c r="C188" s="14"/>
      <c r="D188" s="14"/>
      <c r="E188" s="15"/>
      <c r="F188" s="16"/>
      <c r="G188" s="17" t="str">
        <f aca="false">IF(D188="","",IF(E188="Geldi",IF(F188="",IFERROR(INDEX(Hizmetler!$C$5:$C$54,MATCH(D188,Hizmetler!$A$5:$A$54,0)),0),F188),0))</f>
        <v/>
      </c>
      <c r="H188" s="18" t="str">
        <f aca="false">IF(OR(B188="",D188=""),"",ROUND((B188+IFERROR(INDEX(Hizmetler!$B$5:$B$54,MATCH(D188,Hizmetler!$A$5:$A$54,0)),0)/1440)*1440,0)/1440)</f>
        <v/>
      </c>
      <c r="I188" s="19" t="str">
        <f aca="false">IF(OR(A188="",H188="",E188="İptal"),"",IF(COUNTIFS($A$5:$A$1004,A188,$B$5:$B$1004,"&lt;"&amp;(H188-0.0003),$H$5:$H$1004,"&gt;"&amp;(B188+0.0003),$E$5:$E$1004,"&lt;&gt;İptal")&gt;1,"Çakışıyor",""))</f>
        <v/>
      </c>
      <c r="J188" s="21" t="str">
        <f aca="false">IF(AND(A188=Gün!$C$3,B188&lt;&gt;"",E188&lt;&gt;"İptal"),B188+ROW()/100000000,"")</f>
        <v/>
      </c>
    </row>
    <row r="189" customFormat="false" ht="15" hidden="false" customHeight="false" outlineLevel="0" collapsed="false">
      <c r="A189" s="12"/>
      <c r="B189" s="13"/>
      <c r="C189" s="14"/>
      <c r="D189" s="14"/>
      <c r="E189" s="15"/>
      <c r="F189" s="16"/>
      <c r="G189" s="17" t="str">
        <f aca="false">IF(D189="","",IF(E189="Geldi",IF(F189="",IFERROR(INDEX(Hizmetler!$C$5:$C$54,MATCH(D189,Hizmetler!$A$5:$A$54,0)),0),F189),0))</f>
        <v/>
      </c>
      <c r="H189" s="18" t="str">
        <f aca="false">IF(OR(B189="",D189=""),"",ROUND((B189+IFERROR(INDEX(Hizmetler!$B$5:$B$54,MATCH(D189,Hizmetler!$A$5:$A$54,0)),0)/1440)*1440,0)/1440)</f>
        <v/>
      </c>
      <c r="I189" s="19" t="str">
        <f aca="false">IF(OR(A189="",H189="",E189="İptal"),"",IF(COUNTIFS($A$5:$A$1004,A189,$B$5:$B$1004,"&lt;"&amp;(H189-0.0003),$H$5:$H$1004,"&gt;"&amp;(B189+0.0003),$E$5:$E$1004,"&lt;&gt;İptal")&gt;1,"Çakışıyor",""))</f>
        <v/>
      </c>
      <c r="J189" s="21" t="str">
        <f aca="false">IF(AND(A189=Gün!$C$3,B189&lt;&gt;"",E189&lt;&gt;"İptal"),B189+ROW()/100000000,"")</f>
        <v/>
      </c>
    </row>
    <row r="190" customFormat="false" ht="15" hidden="false" customHeight="false" outlineLevel="0" collapsed="false">
      <c r="A190" s="12"/>
      <c r="B190" s="13"/>
      <c r="C190" s="14"/>
      <c r="D190" s="14"/>
      <c r="E190" s="15"/>
      <c r="F190" s="16"/>
      <c r="G190" s="17" t="str">
        <f aca="false">IF(D190="","",IF(E190="Geldi",IF(F190="",IFERROR(INDEX(Hizmetler!$C$5:$C$54,MATCH(D190,Hizmetler!$A$5:$A$54,0)),0),F190),0))</f>
        <v/>
      </c>
      <c r="H190" s="18" t="str">
        <f aca="false">IF(OR(B190="",D190=""),"",ROUND((B190+IFERROR(INDEX(Hizmetler!$B$5:$B$54,MATCH(D190,Hizmetler!$A$5:$A$54,0)),0)/1440)*1440,0)/1440)</f>
        <v/>
      </c>
      <c r="I190" s="19" t="str">
        <f aca="false">IF(OR(A190="",H190="",E190="İptal"),"",IF(COUNTIFS($A$5:$A$1004,A190,$B$5:$B$1004,"&lt;"&amp;(H190-0.0003),$H$5:$H$1004,"&gt;"&amp;(B190+0.0003),$E$5:$E$1004,"&lt;&gt;İptal")&gt;1,"Çakışıyor",""))</f>
        <v/>
      </c>
      <c r="J190" s="21" t="str">
        <f aca="false">IF(AND(A190=Gün!$C$3,B190&lt;&gt;"",E190&lt;&gt;"İptal"),B190+ROW()/100000000,"")</f>
        <v/>
      </c>
    </row>
    <row r="191" customFormat="false" ht="15" hidden="false" customHeight="false" outlineLevel="0" collapsed="false">
      <c r="A191" s="12"/>
      <c r="B191" s="13"/>
      <c r="C191" s="14"/>
      <c r="D191" s="14"/>
      <c r="E191" s="15"/>
      <c r="F191" s="16"/>
      <c r="G191" s="17" t="str">
        <f aca="false">IF(D191="","",IF(E191="Geldi",IF(F191="",IFERROR(INDEX(Hizmetler!$C$5:$C$54,MATCH(D191,Hizmetler!$A$5:$A$54,0)),0),F191),0))</f>
        <v/>
      </c>
      <c r="H191" s="18" t="str">
        <f aca="false">IF(OR(B191="",D191=""),"",ROUND((B191+IFERROR(INDEX(Hizmetler!$B$5:$B$54,MATCH(D191,Hizmetler!$A$5:$A$54,0)),0)/1440)*1440,0)/1440)</f>
        <v/>
      </c>
      <c r="I191" s="19" t="str">
        <f aca="false">IF(OR(A191="",H191="",E191="İptal"),"",IF(COUNTIFS($A$5:$A$1004,A191,$B$5:$B$1004,"&lt;"&amp;(H191-0.0003),$H$5:$H$1004,"&gt;"&amp;(B191+0.0003),$E$5:$E$1004,"&lt;&gt;İptal")&gt;1,"Çakışıyor",""))</f>
        <v/>
      </c>
      <c r="J191" s="21" t="str">
        <f aca="false">IF(AND(A191=Gün!$C$3,B191&lt;&gt;"",E191&lt;&gt;"İptal"),B191+ROW()/100000000,"")</f>
        <v/>
      </c>
    </row>
    <row r="192" customFormat="false" ht="15" hidden="false" customHeight="false" outlineLevel="0" collapsed="false">
      <c r="A192" s="12"/>
      <c r="B192" s="13"/>
      <c r="C192" s="14"/>
      <c r="D192" s="14"/>
      <c r="E192" s="15"/>
      <c r="F192" s="16"/>
      <c r="G192" s="17" t="str">
        <f aca="false">IF(D192="","",IF(E192="Geldi",IF(F192="",IFERROR(INDEX(Hizmetler!$C$5:$C$54,MATCH(D192,Hizmetler!$A$5:$A$54,0)),0),F192),0))</f>
        <v/>
      </c>
      <c r="H192" s="18" t="str">
        <f aca="false">IF(OR(B192="",D192=""),"",ROUND((B192+IFERROR(INDEX(Hizmetler!$B$5:$B$54,MATCH(D192,Hizmetler!$A$5:$A$54,0)),0)/1440)*1440,0)/1440)</f>
        <v/>
      </c>
      <c r="I192" s="19" t="str">
        <f aca="false">IF(OR(A192="",H192="",E192="İptal"),"",IF(COUNTIFS($A$5:$A$1004,A192,$B$5:$B$1004,"&lt;"&amp;(H192-0.0003),$H$5:$H$1004,"&gt;"&amp;(B192+0.0003),$E$5:$E$1004,"&lt;&gt;İptal")&gt;1,"Çakışıyor",""))</f>
        <v/>
      </c>
      <c r="J192" s="21" t="str">
        <f aca="false">IF(AND(A192=Gün!$C$3,B192&lt;&gt;"",E192&lt;&gt;"İptal"),B192+ROW()/100000000,"")</f>
        <v/>
      </c>
    </row>
    <row r="193" customFormat="false" ht="15" hidden="false" customHeight="false" outlineLevel="0" collapsed="false">
      <c r="A193" s="12"/>
      <c r="B193" s="13"/>
      <c r="C193" s="14"/>
      <c r="D193" s="14"/>
      <c r="E193" s="15"/>
      <c r="F193" s="16"/>
      <c r="G193" s="17" t="str">
        <f aca="false">IF(D193="","",IF(E193="Geldi",IF(F193="",IFERROR(INDEX(Hizmetler!$C$5:$C$54,MATCH(D193,Hizmetler!$A$5:$A$54,0)),0),F193),0))</f>
        <v/>
      </c>
      <c r="H193" s="18" t="str">
        <f aca="false">IF(OR(B193="",D193=""),"",ROUND((B193+IFERROR(INDEX(Hizmetler!$B$5:$B$54,MATCH(D193,Hizmetler!$A$5:$A$54,0)),0)/1440)*1440,0)/1440)</f>
        <v/>
      </c>
      <c r="I193" s="19" t="str">
        <f aca="false">IF(OR(A193="",H193="",E193="İptal"),"",IF(COUNTIFS($A$5:$A$1004,A193,$B$5:$B$1004,"&lt;"&amp;(H193-0.0003),$H$5:$H$1004,"&gt;"&amp;(B193+0.0003),$E$5:$E$1004,"&lt;&gt;İptal")&gt;1,"Çakışıyor",""))</f>
        <v/>
      </c>
      <c r="J193" s="21" t="str">
        <f aca="false">IF(AND(A193=Gün!$C$3,B193&lt;&gt;"",E193&lt;&gt;"İptal"),B193+ROW()/100000000,"")</f>
        <v/>
      </c>
    </row>
    <row r="194" customFormat="false" ht="15" hidden="false" customHeight="false" outlineLevel="0" collapsed="false">
      <c r="A194" s="12"/>
      <c r="B194" s="13"/>
      <c r="C194" s="14"/>
      <c r="D194" s="14"/>
      <c r="E194" s="15"/>
      <c r="F194" s="16"/>
      <c r="G194" s="17" t="str">
        <f aca="false">IF(D194="","",IF(E194="Geldi",IF(F194="",IFERROR(INDEX(Hizmetler!$C$5:$C$54,MATCH(D194,Hizmetler!$A$5:$A$54,0)),0),F194),0))</f>
        <v/>
      </c>
      <c r="H194" s="18" t="str">
        <f aca="false">IF(OR(B194="",D194=""),"",ROUND((B194+IFERROR(INDEX(Hizmetler!$B$5:$B$54,MATCH(D194,Hizmetler!$A$5:$A$54,0)),0)/1440)*1440,0)/1440)</f>
        <v/>
      </c>
      <c r="I194" s="19" t="str">
        <f aca="false">IF(OR(A194="",H194="",E194="İptal"),"",IF(COUNTIFS($A$5:$A$1004,A194,$B$5:$B$1004,"&lt;"&amp;(H194-0.0003),$H$5:$H$1004,"&gt;"&amp;(B194+0.0003),$E$5:$E$1004,"&lt;&gt;İptal")&gt;1,"Çakışıyor",""))</f>
        <v/>
      </c>
      <c r="J194" s="21" t="str">
        <f aca="false">IF(AND(A194=Gün!$C$3,B194&lt;&gt;"",E194&lt;&gt;"İptal"),B194+ROW()/100000000,"")</f>
        <v/>
      </c>
    </row>
    <row r="195" customFormat="false" ht="15" hidden="false" customHeight="false" outlineLevel="0" collapsed="false">
      <c r="A195" s="12"/>
      <c r="B195" s="13"/>
      <c r="C195" s="14"/>
      <c r="D195" s="14"/>
      <c r="E195" s="15"/>
      <c r="F195" s="16"/>
      <c r="G195" s="17" t="str">
        <f aca="false">IF(D195="","",IF(E195="Geldi",IF(F195="",IFERROR(INDEX(Hizmetler!$C$5:$C$54,MATCH(D195,Hizmetler!$A$5:$A$54,0)),0),F195),0))</f>
        <v/>
      </c>
      <c r="H195" s="18" t="str">
        <f aca="false">IF(OR(B195="",D195=""),"",ROUND((B195+IFERROR(INDEX(Hizmetler!$B$5:$B$54,MATCH(D195,Hizmetler!$A$5:$A$54,0)),0)/1440)*1440,0)/1440)</f>
        <v/>
      </c>
      <c r="I195" s="19" t="str">
        <f aca="false">IF(OR(A195="",H195="",E195="İptal"),"",IF(COUNTIFS($A$5:$A$1004,A195,$B$5:$B$1004,"&lt;"&amp;(H195-0.0003),$H$5:$H$1004,"&gt;"&amp;(B195+0.0003),$E$5:$E$1004,"&lt;&gt;İptal")&gt;1,"Çakışıyor",""))</f>
        <v/>
      </c>
      <c r="J195" s="21" t="str">
        <f aca="false">IF(AND(A195=Gün!$C$3,B195&lt;&gt;"",E195&lt;&gt;"İptal"),B195+ROW()/100000000,"")</f>
        <v/>
      </c>
    </row>
    <row r="196" customFormat="false" ht="15" hidden="false" customHeight="false" outlineLevel="0" collapsed="false">
      <c r="A196" s="12"/>
      <c r="B196" s="13"/>
      <c r="C196" s="14"/>
      <c r="D196" s="14"/>
      <c r="E196" s="15"/>
      <c r="F196" s="16"/>
      <c r="G196" s="17" t="str">
        <f aca="false">IF(D196="","",IF(E196="Geldi",IF(F196="",IFERROR(INDEX(Hizmetler!$C$5:$C$54,MATCH(D196,Hizmetler!$A$5:$A$54,0)),0),F196),0))</f>
        <v/>
      </c>
      <c r="H196" s="18" t="str">
        <f aca="false">IF(OR(B196="",D196=""),"",ROUND((B196+IFERROR(INDEX(Hizmetler!$B$5:$B$54,MATCH(D196,Hizmetler!$A$5:$A$54,0)),0)/1440)*1440,0)/1440)</f>
        <v/>
      </c>
      <c r="I196" s="19" t="str">
        <f aca="false">IF(OR(A196="",H196="",E196="İptal"),"",IF(COUNTIFS($A$5:$A$1004,A196,$B$5:$B$1004,"&lt;"&amp;(H196-0.0003),$H$5:$H$1004,"&gt;"&amp;(B196+0.0003),$E$5:$E$1004,"&lt;&gt;İptal")&gt;1,"Çakışıyor",""))</f>
        <v/>
      </c>
      <c r="J196" s="21" t="str">
        <f aca="false">IF(AND(A196=Gün!$C$3,B196&lt;&gt;"",E196&lt;&gt;"İptal"),B196+ROW()/100000000,"")</f>
        <v/>
      </c>
    </row>
    <row r="197" customFormat="false" ht="15" hidden="false" customHeight="false" outlineLevel="0" collapsed="false">
      <c r="A197" s="12"/>
      <c r="B197" s="13"/>
      <c r="C197" s="14"/>
      <c r="D197" s="14"/>
      <c r="E197" s="15"/>
      <c r="F197" s="16"/>
      <c r="G197" s="17" t="str">
        <f aca="false">IF(D197="","",IF(E197="Geldi",IF(F197="",IFERROR(INDEX(Hizmetler!$C$5:$C$54,MATCH(D197,Hizmetler!$A$5:$A$54,0)),0),F197),0))</f>
        <v/>
      </c>
      <c r="H197" s="18" t="str">
        <f aca="false">IF(OR(B197="",D197=""),"",ROUND((B197+IFERROR(INDEX(Hizmetler!$B$5:$B$54,MATCH(D197,Hizmetler!$A$5:$A$54,0)),0)/1440)*1440,0)/1440)</f>
        <v/>
      </c>
      <c r="I197" s="19" t="str">
        <f aca="false">IF(OR(A197="",H197="",E197="İptal"),"",IF(COUNTIFS($A$5:$A$1004,A197,$B$5:$B$1004,"&lt;"&amp;(H197-0.0003),$H$5:$H$1004,"&gt;"&amp;(B197+0.0003),$E$5:$E$1004,"&lt;&gt;İptal")&gt;1,"Çakışıyor",""))</f>
        <v/>
      </c>
      <c r="J197" s="21" t="str">
        <f aca="false">IF(AND(A197=Gün!$C$3,B197&lt;&gt;"",E197&lt;&gt;"İptal"),B197+ROW()/100000000,"")</f>
        <v/>
      </c>
    </row>
    <row r="198" customFormat="false" ht="15" hidden="false" customHeight="false" outlineLevel="0" collapsed="false">
      <c r="A198" s="12"/>
      <c r="B198" s="13"/>
      <c r="C198" s="14"/>
      <c r="D198" s="14"/>
      <c r="E198" s="15"/>
      <c r="F198" s="16"/>
      <c r="G198" s="17" t="str">
        <f aca="false">IF(D198="","",IF(E198="Geldi",IF(F198="",IFERROR(INDEX(Hizmetler!$C$5:$C$54,MATCH(D198,Hizmetler!$A$5:$A$54,0)),0),F198),0))</f>
        <v/>
      </c>
      <c r="H198" s="18" t="str">
        <f aca="false">IF(OR(B198="",D198=""),"",ROUND((B198+IFERROR(INDEX(Hizmetler!$B$5:$B$54,MATCH(D198,Hizmetler!$A$5:$A$54,0)),0)/1440)*1440,0)/1440)</f>
        <v/>
      </c>
      <c r="I198" s="19" t="str">
        <f aca="false">IF(OR(A198="",H198="",E198="İptal"),"",IF(COUNTIFS($A$5:$A$1004,A198,$B$5:$B$1004,"&lt;"&amp;(H198-0.0003),$H$5:$H$1004,"&gt;"&amp;(B198+0.0003),$E$5:$E$1004,"&lt;&gt;İptal")&gt;1,"Çakışıyor",""))</f>
        <v/>
      </c>
      <c r="J198" s="21" t="str">
        <f aca="false">IF(AND(A198=Gün!$C$3,B198&lt;&gt;"",E198&lt;&gt;"İptal"),B198+ROW()/100000000,"")</f>
        <v/>
      </c>
    </row>
    <row r="199" customFormat="false" ht="15" hidden="false" customHeight="false" outlineLevel="0" collapsed="false">
      <c r="A199" s="12"/>
      <c r="B199" s="13"/>
      <c r="C199" s="14"/>
      <c r="D199" s="14"/>
      <c r="E199" s="15"/>
      <c r="F199" s="16"/>
      <c r="G199" s="17" t="str">
        <f aca="false">IF(D199="","",IF(E199="Geldi",IF(F199="",IFERROR(INDEX(Hizmetler!$C$5:$C$54,MATCH(D199,Hizmetler!$A$5:$A$54,0)),0),F199),0))</f>
        <v/>
      </c>
      <c r="H199" s="18" t="str">
        <f aca="false">IF(OR(B199="",D199=""),"",ROUND((B199+IFERROR(INDEX(Hizmetler!$B$5:$B$54,MATCH(D199,Hizmetler!$A$5:$A$54,0)),0)/1440)*1440,0)/1440)</f>
        <v/>
      </c>
      <c r="I199" s="19" t="str">
        <f aca="false">IF(OR(A199="",H199="",E199="İptal"),"",IF(COUNTIFS($A$5:$A$1004,A199,$B$5:$B$1004,"&lt;"&amp;(H199-0.0003),$H$5:$H$1004,"&gt;"&amp;(B199+0.0003),$E$5:$E$1004,"&lt;&gt;İptal")&gt;1,"Çakışıyor",""))</f>
        <v/>
      </c>
      <c r="J199" s="21" t="str">
        <f aca="false">IF(AND(A199=Gün!$C$3,B199&lt;&gt;"",E199&lt;&gt;"İptal"),B199+ROW()/100000000,"")</f>
        <v/>
      </c>
    </row>
    <row r="200" customFormat="false" ht="15" hidden="false" customHeight="false" outlineLevel="0" collapsed="false">
      <c r="A200" s="12"/>
      <c r="B200" s="13"/>
      <c r="C200" s="14"/>
      <c r="D200" s="14"/>
      <c r="E200" s="15"/>
      <c r="F200" s="16"/>
      <c r="G200" s="17" t="str">
        <f aca="false">IF(D200="","",IF(E200="Geldi",IF(F200="",IFERROR(INDEX(Hizmetler!$C$5:$C$54,MATCH(D200,Hizmetler!$A$5:$A$54,0)),0),F200),0))</f>
        <v/>
      </c>
      <c r="H200" s="18" t="str">
        <f aca="false">IF(OR(B200="",D200=""),"",ROUND((B200+IFERROR(INDEX(Hizmetler!$B$5:$B$54,MATCH(D200,Hizmetler!$A$5:$A$54,0)),0)/1440)*1440,0)/1440)</f>
        <v/>
      </c>
      <c r="I200" s="19" t="str">
        <f aca="false">IF(OR(A200="",H200="",E200="İptal"),"",IF(COUNTIFS($A$5:$A$1004,A200,$B$5:$B$1004,"&lt;"&amp;(H200-0.0003),$H$5:$H$1004,"&gt;"&amp;(B200+0.0003),$E$5:$E$1004,"&lt;&gt;İptal")&gt;1,"Çakışıyor",""))</f>
        <v/>
      </c>
      <c r="J200" s="21" t="str">
        <f aca="false">IF(AND(A200=Gün!$C$3,B200&lt;&gt;"",E200&lt;&gt;"İptal"),B200+ROW()/100000000,"")</f>
        <v/>
      </c>
    </row>
    <row r="201" customFormat="false" ht="15" hidden="false" customHeight="false" outlineLevel="0" collapsed="false">
      <c r="A201" s="12"/>
      <c r="B201" s="13"/>
      <c r="C201" s="14"/>
      <c r="D201" s="14"/>
      <c r="E201" s="15"/>
      <c r="F201" s="16"/>
      <c r="G201" s="17" t="str">
        <f aca="false">IF(D201="","",IF(E201="Geldi",IF(F201="",IFERROR(INDEX(Hizmetler!$C$5:$C$54,MATCH(D201,Hizmetler!$A$5:$A$54,0)),0),F201),0))</f>
        <v/>
      </c>
      <c r="H201" s="18" t="str">
        <f aca="false">IF(OR(B201="",D201=""),"",ROUND((B201+IFERROR(INDEX(Hizmetler!$B$5:$B$54,MATCH(D201,Hizmetler!$A$5:$A$54,0)),0)/1440)*1440,0)/1440)</f>
        <v/>
      </c>
      <c r="I201" s="19" t="str">
        <f aca="false">IF(OR(A201="",H201="",E201="İptal"),"",IF(COUNTIFS($A$5:$A$1004,A201,$B$5:$B$1004,"&lt;"&amp;(H201-0.0003),$H$5:$H$1004,"&gt;"&amp;(B201+0.0003),$E$5:$E$1004,"&lt;&gt;İptal")&gt;1,"Çakışıyor",""))</f>
        <v/>
      </c>
      <c r="J201" s="21" t="str">
        <f aca="false">IF(AND(A201=Gün!$C$3,B201&lt;&gt;"",E201&lt;&gt;"İptal"),B201+ROW()/100000000,"")</f>
        <v/>
      </c>
    </row>
    <row r="202" customFormat="false" ht="15" hidden="false" customHeight="false" outlineLevel="0" collapsed="false">
      <c r="A202" s="12"/>
      <c r="B202" s="13"/>
      <c r="C202" s="14"/>
      <c r="D202" s="14"/>
      <c r="E202" s="15"/>
      <c r="F202" s="16"/>
      <c r="G202" s="17" t="str">
        <f aca="false">IF(D202="","",IF(E202="Geldi",IF(F202="",IFERROR(INDEX(Hizmetler!$C$5:$C$54,MATCH(D202,Hizmetler!$A$5:$A$54,0)),0),F202),0))</f>
        <v/>
      </c>
      <c r="H202" s="18" t="str">
        <f aca="false">IF(OR(B202="",D202=""),"",ROUND((B202+IFERROR(INDEX(Hizmetler!$B$5:$B$54,MATCH(D202,Hizmetler!$A$5:$A$54,0)),0)/1440)*1440,0)/1440)</f>
        <v/>
      </c>
      <c r="I202" s="19" t="str">
        <f aca="false">IF(OR(A202="",H202="",E202="İptal"),"",IF(COUNTIFS($A$5:$A$1004,A202,$B$5:$B$1004,"&lt;"&amp;(H202-0.0003),$H$5:$H$1004,"&gt;"&amp;(B202+0.0003),$E$5:$E$1004,"&lt;&gt;İptal")&gt;1,"Çakışıyor",""))</f>
        <v/>
      </c>
      <c r="J202" s="21" t="str">
        <f aca="false">IF(AND(A202=Gün!$C$3,B202&lt;&gt;"",E202&lt;&gt;"İptal"),B202+ROW()/100000000,"")</f>
        <v/>
      </c>
    </row>
    <row r="203" customFormat="false" ht="15" hidden="false" customHeight="false" outlineLevel="0" collapsed="false">
      <c r="A203" s="12"/>
      <c r="B203" s="13"/>
      <c r="C203" s="14"/>
      <c r="D203" s="14"/>
      <c r="E203" s="15"/>
      <c r="F203" s="16"/>
      <c r="G203" s="17" t="str">
        <f aca="false">IF(D203="","",IF(E203="Geldi",IF(F203="",IFERROR(INDEX(Hizmetler!$C$5:$C$54,MATCH(D203,Hizmetler!$A$5:$A$54,0)),0),F203),0))</f>
        <v/>
      </c>
      <c r="H203" s="18" t="str">
        <f aca="false">IF(OR(B203="",D203=""),"",ROUND((B203+IFERROR(INDEX(Hizmetler!$B$5:$B$54,MATCH(D203,Hizmetler!$A$5:$A$54,0)),0)/1440)*1440,0)/1440)</f>
        <v/>
      </c>
      <c r="I203" s="19" t="str">
        <f aca="false">IF(OR(A203="",H203="",E203="İptal"),"",IF(COUNTIFS($A$5:$A$1004,A203,$B$5:$B$1004,"&lt;"&amp;(H203-0.0003),$H$5:$H$1004,"&gt;"&amp;(B203+0.0003),$E$5:$E$1004,"&lt;&gt;İptal")&gt;1,"Çakışıyor",""))</f>
        <v/>
      </c>
      <c r="J203" s="21" t="str">
        <f aca="false">IF(AND(A203=Gün!$C$3,B203&lt;&gt;"",E203&lt;&gt;"İptal"),B203+ROW()/100000000,"")</f>
        <v/>
      </c>
    </row>
    <row r="204" customFormat="false" ht="15" hidden="false" customHeight="false" outlineLevel="0" collapsed="false">
      <c r="A204" s="12"/>
      <c r="B204" s="13"/>
      <c r="C204" s="14"/>
      <c r="D204" s="14"/>
      <c r="E204" s="15"/>
      <c r="F204" s="16"/>
      <c r="G204" s="17" t="str">
        <f aca="false">IF(D204="","",IF(E204="Geldi",IF(F204="",IFERROR(INDEX(Hizmetler!$C$5:$C$54,MATCH(D204,Hizmetler!$A$5:$A$54,0)),0),F204),0))</f>
        <v/>
      </c>
      <c r="H204" s="18" t="str">
        <f aca="false">IF(OR(B204="",D204=""),"",ROUND((B204+IFERROR(INDEX(Hizmetler!$B$5:$B$54,MATCH(D204,Hizmetler!$A$5:$A$54,0)),0)/1440)*1440,0)/1440)</f>
        <v/>
      </c>
      <c r="I204" s="19" t="str">
        <f aca="false">IF(OR(A204="",H204="",E204="İptal"),"",IF(COUNTIFS($A$5:$A$1004,A204,$B$5:$B$1004,"&lt;"&amp;(H204-0.0003),$H$5:$H$1004,"&gt;"&amp;(B204+0.0003),$E$5:$E$1004,"&lt;&gt;İptal")&gt;1,"Çakışıyor",""))</f>
        <v/>
      </c>
      <c r="J204" s="21" t="str">
        <f aca="false">IF(AND(A204=Gün!$C$3,B204&lt;&gt;"",E204&lt;&gt;"İptal"),B204+ROW()/100000000,"")</f>
        <v/>
      </c>
    </row>
    <row r="205" customFormat="false" ht="15" hidden="false" customHeight="false" outlineLevel="0" collapsed="false">
      <c r="A205" s="12"/>
      <c r="B205" s="13"/>
      <c r="C205" s="14"/>
      <c r="D205" s="14"/>
      <c r="E205" s="15"/>
      <c r="F205" s="16"/>
      <c r="G205" s="17" t="str">
        <f aca="false">IF(D205="","",IF(E205="Geldi",IF(F205="",IFERROR(INDEX(Hizmetler!$C$5:$C$54,MATCH(D205,Hizmetler!$A$5:$A$54,0)),0),F205),0))</f>
        <v/>
      </c>
      <c r="H205" s="18" t="str">
        <f aca="false">IF(OR(B205="",D205=""),"",ROUND((B205+IFERROR(INDEX(Hizmetler!$B$5:$B$54,MATCH(D205,Hizmetler!$A$5:$A$54,0)),0)/1440)*1440,0)/1440)</f>
        <v/>
      </c>
      <c r="I205" s="19" t="str">
        <f aca="false">IF(OR(A205="",H205="",E205="İptal"),"",IF(COUNTIFS($A$5:$A$1004,A205,$B$5:$B$1004,"&lt;"&amp;(H205-0.0003),$H$5:$H$1004,"&gt;"&amp;(B205+0.0003),$E$5:$E$1004,"&lt;&gt;İptal")&gt;1,"Çakışıyor",""))</f>
        <v/>
      </c>
      <c r="J205" s="21" t="str">
        <f aca="false">IF(AND(A205=Gün!$C$3,B205&lt;&gt;"",E205&lt;&gt;"İptal"),B205+ROW()/100000000,"")</f>
        <v/>
      </c>
    </row>
    <row r="206" customFormat="false" ht="15" hidden="false" customHeight="false" outlineLevel="0" collapsed="false">
      <c r="A206" s="12"/>
      <c r="B206" s="13"/>
      <c r="C206" s="14"/>
      <c r="D206" s="14"/>
      <c r="E206" s="15"/>
      <c r="F206" s="16"/>
      <c r="G206" s="17" t="str">
        <f aca="false">IF(D206="","",IF(E206="Geldi",IF(F206="",IFERROR(INDEX(Hizmetler!$C$5:$C$54,MATCH(D206,Hizmetler!$A$5:$A$54,0)),0),F206),0))</f>
        <v/>
      </c>
      <c r="H206" s="18" t="str">
        <f aca="false">IF(OR(B206="",D206=""),"",ROUND((B206+IFERROR(INDEX(Hizmetler!$B$5:$B$54,MATCH(D206,Hizmetler!$A$5:$A$54,0)),0)/1440)*1440,0)/1440)</f>
        <v/>
      </c>
      <c r="I206" s="19" t="str">
        <f aca="false">IF(OR(A206="",H206="",E206="İptal"),"",IF(COUNTIFS($A$5:$A$1004,A206,$B$5:$B$1004,"&lt;"&amp;(H206-0.0003),$H$5:$H$1004,"&gt;"&amp;(B206+0.0003),$E$5:$E$1004,"&lt;&gt;İptal")&gt;1,"Çakışıyor",""))</f>
        <v/>
      </c>
      <c r="J206" s="21" t="str">
        <f aca="false">IF(AND(A206=Gün!$C$3,B206&lt;&gt;"",E206&lt;&gt;"İptal"),B206+ROW()/100000000,"")</f>
        <v/>
      </c>
    </row>
    <row r="207" customFormat="false" ht="15" hidden="false" customHeight="false" outlineLevel="0" collapsed="false">
      <c r="A207" s="12"/>
      <c r="B207" s="13"/>
      <c r="C207" s="14"/>
      <c r="D207" s="14"/>
      <c r="E207" s="15"/>
      <c r="F207" s="16"/>
      <c r="G207" s="17" t="str">
        <f aca="false">IF(D207="","",IF(E207="Geldi",IF(F207="",IFERROR(INDEX(Hizmetler!$C$5:$C$54,MATCH(D207,Hizmetler!$A$5:$A$54,0)),0),F207),0))</f>
        <v/>
      </c>
      <c r="H207" s="18" t="str">
        <f aca="false">IF(OR(B207="",D207=""),"",ROUND((B207+IFERROR(INDEX(Hizmetler!$B$5:$B$54,MATCH(D207,Hizmetler!$A$5:$A$54,0)),0)/1440)*1440,0)/1440)</f>
        <v/>
      </c>
      <c r="I207" s="19" t="str">
        <f aca="false">IF(OR(A207="",H207="",E207="İptal"),"",IF(COUNTIFS($A$5:$A$1004,A207,$B$5:$B$1004,"&lt;"&amp;(H207-0.0003),$H$5:$H$1004,"&gt;"&amp;(B207+0.0003),$E$5:$E$1004,"&lt;&gt;İptal")&gt;1,"Çakışıyor",""))</f>
        <v/>
      </c>
      <c r="J207" s="21" t="str">
        <f aca="false">IF(AND(A207=Gün!$C$3,B207&lt;&gt;"",E207&lt;&gt;"İptal"),B207+ROW()/100000000,"")</f>
        <v/>
      </c>
    </row>
    <row r="208" customFormat="false" ht="15" hidden="false" customHeight="false" outlineLevel="0" collapsed="false">
      <c r="A208" s="12"/>
      <c r="B208" s="13"/>
      <c r="C208" s="14"/>
      <c r="D208" s="14"/>
      <c r="E208" s="15"/>
      <c r="F208" s="16"/>
      <c r="G208" s="17" t="str">
        <f aca="false">IF(D208="","",IF(E208="Geldi",IF(F208="",IFERROR(INDEX(Hizmetler!$C$5:$C$54,MATCH(D208,Hizmetler!$A$5:$A$54,0)),0),F208),0))</f>
        <v/>
      </c>
      <c r="H208" s="18" t="str">
        <f aca="false">IF(OR(B208="",D208=""),"",ROUND((B208+IFERROR(INDEX(Hizmetler!$B$5:$B$54,MATCH(D208,Hizmetler!$A$5:$A$54,0)),0)/1440)*1440,0)/1440)</f>
        <v/>
      </c>
      <c r="I208" s="19" t="str">
        <f aca="false">IF(OR(A208="",H208="",E208="İptal"),"",IF(COUNTIFS($A$5:$A$1004,A208,$B$5:$B$1004,"&lt;"&amp;(H208-0.0003),$H$5:$H$1004,"&gt;"&amp;(B208+0.0003),$E$5:$E$1004,"&lt;&gt;İptal")&gt;1,"Çakışıyor",""))</f>
        <v/>
      </c>
      <c r="J208" s="21" t="str">
        <f aca="false">IF(AND(A208=Gün!$C$3,B208&lt;&gt;"",E208&lt;&gt;"İptal"),B208+ROW()/100000000,"")</f>
        <v/>
      </c>
    </row>
    <row r="209" customFormat="false" ht="15" hidden="false" customHeight="false" outlineLevel="0" collapsed="false">
      <c r="A209" s="12"/>
      <c r="B209" s="13"/>
      <c r="C209" s="14"/>
      <c r="D209" s="14"/>
      <c r="E209" s="15"/>
      <c r="F209" s="16"/>
      <c r="G209" s="17" t="str">
        <f aca="false">IF(D209="","",IF(E209="Geldi",IF(F209="",IFERROR(INDEX(Hizmetler!$C$5:$C$54,MATCH(D209,Hizmetler!$A$5:$A$54,0)),0),F209),0))</f>
        <v/>
      </c>
      <c r="H209" s="18" t="str">
        <f aca="false">IF(OR(B209="",D209=""),"",ROUND((B209+IFERROR(INDEX(Hizmetler!$B$5:$B$54,MATCH(D209,Hizmetler!$A$5:$A$54,0)),0)/1440)*1440,0)/1440)</f>
        <v/>
      </c>
      <c r="I209" s="19" t="str">
        <f aca="false">IF(OR(A209="",H209="",E209="İptal"),"",IF(COUNTIFS($A$5:$A$1004,A209,$B$5:$B$1004,"&lt;"&amp;(H209-0.0003),$H$5:$H$1004,"&gt;"&amp;(B209+0.0003),$E$5:$E$1004,"&lt;&gt;İptal")&gt;1,"Çakışıyor",""))</f>
        <v/>
      </c>
      <c r="J209" s="21" t="str">
        <f aca="false">IF(AND(A209=Gün!$C$3,B209&lt;&gt;"",E209&lt;&gt;"İptal"),B209+ROW()/100000000,"")</f>
        <v/>
      </c>
    </row>
    <row r="210" customFormat="false" ht="15" hidden="false" customHeight="false" outlineLevel="0" collapsed="false">
      <c r="A210" s="12"/>
      <c r="B210" s="13"/>
      <c r="C210" s="14"/>
      <c r="D210" s="14"/>
      <c r="E210" s="15"/>
      <c r="F210" s="16"/>
      <c r="G210" s="17" t="str">
        <f aca="false">IF(D210="","",IF(E210="Geldi",IF(F210="",IFERROR(INDEX(Hizmetler!$C$5:$C$54,MATCH(D210,Hizmetler!$A$5:$A$54,0)),0),F210),0))</f>
        <v/>
      </c>
      <c r="H210" s="18" t="str">
        <f aca="false">IF(OR(B210="",D210=""),"",ROUND((B210+IFERROR(INDEX(Hizmetler!$B$5:$B$54,MATCH(D210,Hizmetler!$A$5:$A$54,0)),0)/1440)*1440,0)/1440)</f>
        <v/>
      </c>
      <c r="I210" s="19" t="str">
        <f aca="false">IF(OR(A210="",H210="",E210="İptal"),"",IF(COUNTIFS($A$5:$A$1004,A210,$B$5:$B$1004,"&lt;"&amp;(H210-0.0003),$H$5:$H$1004,"&gt;"&amp;(B210+0.0003),$E$5:$E$1004,"&lt;&gt;İptal")&gt;1,"Çakışıyor",""))</f>
        <v/>
      </c>
      <c r="J210" s="21" t="str">
        <f aca="false">IF(AND(A210=Gün!$C$3,B210&lt;&gt;"",E210&lt;&gt;"İptal"),B210+ROW()/100000000,"")</f>
        <v/>
      </c>
    </row>
    <row r="211" customFormat="false" ht="15" hidden="false" customHeight="false" outlineLevel="0" collapsed="false">
      <c r="A211" s="12"/>
      <c r="B211" s="13"/>
      <c r="C211" s="14"/>
      <c r="D211" s="14"/>
      <c r="E211" s="15"/>
      <c r="F211" s="16"/>
      <c r="G211" s="17" t="str">
        <f aca="false">IF(D211="","",IF(E211="Geldi",IF(F211="",IFERROR(INDEX(Hizmetler!$C$5:$C$54,MATCH(D211,Hizmetler!$A$5:$A$54,0)),0),F211),0))</f>
        <v/>
      </c>
      <c r="H211" s="18" t="str">
        <f aca="false">IF(OR(B211="",D211=""),"",ROUND((B211+IFERROR(INDEX(Hizmetler!$B$5:$B$54,MATCH(D211,Hizmetler!$A$5:$A$54,0)),0)/1440)*1440,0)/1440)</f>
        <v/>
      </c>
      <c r="I211" s="19" t="str">
        <f aca="false">IF(OR(A211="",H211="",E211="İptal"),"",IF(COUNTIFS($A$5:$A$1004,A211,$B$5:$B$1004,"&lt;"&amp;(H211-0.0003),$H$5:$H$1004,"&gt;"&amp;(B211+0.0003),$E$5:$E$1004,"&lt;&gt;İptal")&gt;1,"Çakışıyor",""))</f>
        <v/>
      </c>
      <c r="J211" s="21" t="str">
        <f aca="false">IF(AND(A211=Gün!$C$3,B211&lt;&gt;"",E211&lt;&gt;"İptal"),B211+ROW()/100000000,"")</f>
        <v/>
      </c>
    </row>
    <row r="212" customFormat="false" ht="15" hidden="false" customHeight="false" outlineLevel="0" collapsed="false">
      <c r="A212" s="12"/>
      <c r="B212" s="13"/>
      <c r="C212" s="14"/>
      <c r="D212" s="14"/>
      <c r="E212" s="15"/>
      <c r="F212" s="16"/>
      <c r="G212" s="17" t="str">
        <f aca="false">IF(D212="","",IF(E212="Geldi",IF(F212="",IFERROR(INDEX(Hizmetler!$C$5:$C$54,MATCH(D212,Hizmetler!$A$5:$A$54,0)),0),F212),0))</f>
        <v/>
      </c>
      <c r="H212" s="18" t="str">
        <f aca="false">IF(OR(B212="",D212=""),"",ROUND((B212+IFERROR(INDEX(Hizmetler!$B$5:$B$54,MATCH(D212,Hizmetler!$A$5:$A$54,0)),0)/1440)*1440,0)/1440)</f>
        <v/>
      </c>
      <c r="I212" s="19" t="str">
        <f aca="false">IF(OR(A212="",H212="",E212="İptal"),"",IF(COUNTIFS($A$5:$A$1004,A212,$B$5:$B$1004,"&lt;"&amp;(H212-0.0003),$H$5:$H$1004,"&gt;"&amp;(B212+0.0003),$E$5:$E$1004,"&lt;&gt;İptal")&gt;1,"Çakışıyor",""))</f>
        <v/>
      </c>
      <c r="J212" s="21" t="str">
        <f aca="false">IF(AND(A212=Gün!$C$3,B212&lt;&gt;"",E212&lt;&gt;"İptal"),B212+ROW()/100000000,"")</f>
        <v/>
      </c>
    </row>
    <row r="213" customFormat="false" ht="15" hidden="false" customHeight="false" outlineLevel="0" collapsed="false">
      <c r="A213" s="12"/>
      <c r="B213" s="13"/>
      <c r="C213" s="14"/>
      <c r="D213" s="14"/>
      <c r="E213" s="15"/>
      <c r="F213" s="16"/>
      <c r="G213" s="17" t="str">
        <f aca="false">IF(D213="","",IF(E213="Geldi",IF(F213="",IFERROR(INDEX(Hizmetler!$C$5:$C$54,MATCH(D213,Hizmetler!$A$5:$A$54,0)),0),F213),0))</f>
        <v/>
      </c>
      <c r="H213" s="18" t="str">
        <f aca="false">IF(OR(B213="",D213=""),"",ROUND((B213+IFERROR(INDEX(Hizmetler!$B$5:$B$54,MATCH(D213,Hizmetler!$A$5:$A$54,0)),0)/1440)*1440,0)/1440)</f>
        <v/>
      </c>
      <c r="I213" s="19" t="str">
        <f aca="false">IF(OR(A213="",H213="",E213="İptal"),"",IF(COUNTIFS($A$5:$A$1004,A213,$B$5:$B$1004,"&lt;"&amp;(H213-0.0003),$H$5:$H$1004,"&gt;"&amp;(B213+0.0003),$E$5:$E$1004,"&lt;&gt;İptal")&gt;1,"Çakışıyor",""))</f>
        <v/>
      </c>
      <c r="J213" s="21" t="str">
        <f aca="false">IF(AND(A213=Gün!$C$3,B213&lt;&gt;"",E213&lt;&gt;"İptal"),B213+ROW()/100000000,"")</f>
        <v/>
      </c>
    </row>
    <row r="214" customFormat="false" ht="15" hidden="false" customHeight="false" outlineLevel="0" collapsed="false">
      <c r="A214" s="12"/>
      <c r="B214" s="13"/>
      <c r="C214" s="14"/>
      <c r="D214" s="14"/>
      <c r="E214" s="15"/>
      <c r="F214" s="16"/>
      <c r="G214" s="17" t="str">
        <f aca="false">IF(D214="","",IF(E214="Geldi",IF(F214="",IFERROR(INDEX(Hizmetler!$C$5:$C$54,MATCH(D214,Hizmetler!$A$5:$A$54,0)),0),F214),0))</f>
        <v/>
      </c>
      <c r="H214" s="18" t="str">
        <f aca="false">IF(OR(B214="",D214=""),"",ROUND((B214+IFERROR(INDEX(Hizmetler!$B$5:$B$54,MATCH(D214,Hizmetler!$A$5:$A$54,0)),0)/1440)*1440,0)/1440)</f>
        <v/>
      </c>
      <c r="I214" s="19" t="str">
        <f aca="false">IF(OR(A214="",H214="",E214="İptal"),"",IF(COUNTIFS($A$5:$A$1004,A214,$B$5:$B$1004,"&lt;"&amp;(H214-0.0003),$H$5:$H$1004,"&gt;"&amp;(B214+0.0003),$E$5:$E$1004,"&lt;&gt;İptal")&gt;1,"Çakışıyor",""))</f>
        <v/>
      </c>
      <c r="J214" s="21" t="str">
        <f aca="false">IF(AND(A214=Gün!$C$3,B214&lt;&gt;"",E214&lt;&gt;"İptal"),B214+ROW()/100000000,"")</f>
        <v/>
      </c>
    </row>
    <row r="215" customFormat="false" ht="15" hidden="false" customHeight="false" outlineLevel="0" collapsed="false">
      <c r="A215" s="12"/>
      <c r="B215" s="13"/>
      <c r="C215" s="14"/>
      <c r="D215" s="14"/>
      <c r="E215" s="15"/>
      <c r="F215" s="16"/>
      <c r="G215" s="17" t="str">
        <f aca="false">IF(D215="","",IF(E215="Geldi",IF(F215="",IFERROR(INDEX(Hizmetler!$C$5:$C$54,MATCH(D215,Hizmetler!$A$5:$A$54,0)),0),F215),0))</f>
        <v/>
      </c>
      <c r="H215" s="18" t="str">
        <f aca="false">IF(OR(B215="",D215=""),"",ROUND((B215+IFERROR(INDEX(Hizmetler!$B$5:$B$54,MATCH(D215,Hizmetler!$A$5:$A$54,0)),0)/1440)*1440,0)/1440)</f>
        <v/>
      </c>
      <c r="I215" s="19" t="str">
        <f aca="false">IF(OR(A215="",H215="",E215="İptal"),"",IF(COUNTIFS($A$5:$A$1004,A215,$B$5:$B$1004,"&lt;"&amp;(H215-0.0003),$H$5:$H$1004,"&gt;"&amp;(B215+0.0003),$E$5:$E$1004,"&lt;&gt;İptal")&gt;1,"Çakışıyor",""))</f>
        <v/>
      </c>
      <c r="J215" s="21" t="str">
        <f aca="false">IF(AND(A215=Gün!$C$3,B215&lt;&gt;"",E215&lt;&gt;"İptal"),B215+ROW()/100000000,"")</f>
        <v/>
      </c>
    </row>
    <row r="216" customFormat="false" ht="15" hidden="false" customHeight="false" outlineLevel="0" collapsed="false">
      <c r="A216" s="12"/>
      <c r="B216" s="13"/>
      <c r="C216" s="14"/>
      <c r="D216" s="14"/>
      <c r="E216" s="15"/>
      <c r="F216" s="16"/>
      <c r="G216" s="17" t="str">
        <f aca="false">IF(D216="","",IF(E216="Geldi",IF(F216="",IFERROR(INDEX(Hizmetler!$C$5:$C$54,MATCH(D216,Hizmetler!$A$5:$A$54,0)),0),F216),0))</f>
        <v/>
      </c>
      <c r="H216" s="18" t="str">
        <f aca="false">IF(OR(B216="",D216=""),"",ROUND((B216+IFERROR(INDEX(Hizmetler!$B$5:$B$54,MATCH(D216,Hizmetler!$A$5:$A$54,0)),0)/1440)*1440,0)/1440)</f>
        <v/>
      </c>
      <c r="I216" s="19" t="str">
        <f aca="false">IF(OR(A216="",H216="",E216="İptal"),"",IF(COUNTIFS($A$5:$A$1004,A216,$B$5:$B$1004,"&lt;"&amp;(H216-0.0003),$H$5:$H$1004,"&gt;"&amp;(B216+0.0003),$E$5:$E$1004,"&lt;&gt;İptal")&gt;1,"Çakışıyor",""))</f>
        <v/>
      </c>
      <c r="J216" s="21" t="str">
        <f aca="false">IF(AND(A216=Gün!$C$3,B216&lt;&gt;"",E216&lt;&gt;"İptal"),B216+ROW()/100000000,"")</f>
        <v/>
      </c>
    </row>
    <row r="217" customFormat="false" ht="15" hidden="false" customHeight="false" outlineLevel="0" collapsed="false">
      <c r="A217" s="12"/>
      <c r="B217" s="13"/>
      <c r="C217" s="14"/>
      <c r="D217" s="14"/>
      <c r="E217" s="15"/>
      <c r="F217" s="16"/>
      <c r="G217" s="17" t="str">
        <f aca="false">IF(D217="","",IF(E217="Geldi",IF(F217="",IFERROR(INDEX(Hizmetler!$C$5:$C$54,MATCH(D217,Hizmetler!$A$5:$A$54,0)),0),F217),0))</f>
        <v/>
      </c>
      <c r="H217" s="18" t="str">
        <f aca="false">IF(OR(B217="",D217=""),"",ROUND((B217+IFERROR(INDEX(Hizmetler!$B$5:$B$54,MATCH(D217,Hizmetler!$A$5:$A$54,0)),0)/1440)*1440,0)/1440)</f>
        <v/>
      </c>
      <c r="I217" s="19" t="str">
        <f aca="false">IF(OR(A217="",H217="",E217="İptal"),"",IF(COUNTIFS($A$5:$A$1004,A217,$B$5:$B$1004,"&lt;"&amp;(H217-0.0003),$H$5:$H$1004,"&gt;"&amp;(B217+0.0003),$E$5:$E$1004,"&lt;&gt;İptal")&gt;1,"Çakışıyor",""))</f>
        <v/>
      </c>
      <c r="J217" s="21" t="str">
        <f aca="false">IF(AND(A217=Gün!$C$3,B217&lt;&gt;"",E217&lt;&gt;"İptal"),B217+ROW()/100000000,"")</f>
        <v/>
      </c>
    </row>
    <row r="218" customFormat="false" ht="15" hidden="false" customHeight="false" outlineLevel="0" collapsed="false">
      <c r="A218" s="12"/>
      <c r="B218" s="13"/>
      <c r="C218" s="14"/>
      <c r="D218" s="14"/>
      <c r="E218" s="15"/>
      <c r="F218" s="16"/>
      <c r="G218" s="17" t="str">
        <f aca="false">IF(D218="","",IF(E218="Geldi",IF(F218="",IFERROR(INDEX(Hizmetler!$C$5:$C$54,MATCH(D218,Hizmetler!$A$5:$A$54,0)),0),F218),0))</f>
        <v/>
      </c>
      <c r="H218" s="18" t="str">
        <f aca="false">IF(OR(B218="",D218=""),"",ROUND((B218+IFERROR(INDEX(Hizmetler!$B$5:$B$54,MATCH(D218,Hizmetler!$A$5:$A$54,0)),0)/1440)*1440,0)/1440)</f>
        <v/>
      </c>
      <c r="I218" s="19" t="str">
        <f aca="false">IF(OR(A218="",H218="",E218="İptal"),"",IF(COUNTIFS($A$5:$A$1004,A218,$B$5:$B$1004,"&lt;"&amp;(H218-0.0003),$H$5:$H$1004,"&gt;"&amp;(B218+0.0003),$E$5:$E$1004,"&lt;&gt;İptal")&gt;1,"Çakışıyor",""))</f>
        <v/>
      </c>
      <c r="J218" s="21" t="str">
        <f aca="false">IF(AND(A218=Gün!$C$3,B218&lt;&gt;"",E218&lt;&gt;"İptal"),B218+ROW()/100000000,"")</f>
        <v/>
      </c>
    </row>
    <row r="219" customFormat="false" ht="15" hidden="false" customHeight="false" outlineLevel="0" collapsed="false">
      <c r="A219" s="12"/>
      <c r="B219" s="13"/>
      <c r="C219" s="14"/>
      <c r="D219" s="14"/>
      <c r="E219" s="15"/>
      <c r="F219" s="16"/>
      <c r="G219" s="17" t="str">
        <f aca="false">IF(D219="","",IF(E219="Geldi",IF(F219="",IFERROR(INDEX(Hizmetler!$C$5:$C$54,MATCH(D219,Hizmetler!$A$5:$A$54,0)),0),F219),0))</f>
        <v/>
      </c>
      <c r="H219" s="18" t="str">
        <f aca="false">IF(OR(B219="",D219=""),"",ROUND((B219+IFERROR(INDEX(Hizmetler!$B$5:$B$54,MATCH(D219,Hizmetler!$A$5:$A$54,0)),0)/1440)*1440,0)/1440)</f>
        <v/>
      </c>
      <c r="I219" s="19" t="str">
        <f aca="false">IF(OR(A219="",H219="",E219="İptal"),"",IF(COUNTIFS($A$5:$A$1004,A219,$B$5:$B$1004,"&lt;"&amp;(H219-0.0003),$H$5:$H$1004,"&gt;"&amp;(B219+0.0003),$E$5:$E$1004,"&lt;&gt;İptal")&gt;1,"Çakışıyor",""))</f>
        <v/>
      </c>
      <c r="J219" s="21" t="str">
        <f aca="false">IF(AND(A219=Gün!$C$3,B219&lt;&gt;"",E219&lt;&gt;"İptal"),B219+ROW()/100000000,"")</f>
        <v/>
      </c>
    </row>
    <row r="220" customFormat="false" ht="15" hidden="false" customHeight="false" outlineLevel="0" collapsed="false">
      <c r="A220" s="12"/>
      <c r="B220" s="13"/>
      <c r="C220" s="14"/>
      <c r="D220" s="14"/>
      <c r="E220" s="15"/>
      <c r="F220" s="16"/>
      <c r="G220" s="17" t="str">
        <f aca="false">IF(D220="","",IF(E220="Geldi",IF(F220="",IFERROR(INDEX(Hizmetler!$C$5:$C$54,MATCH(D220,Hizmetler!$A$5:$A$54,0)),0),F220),0))</f>
        <v/>
      </c>
      <c r="H220" s="18" t="str">
        <f aca="false">IF(OR(B220="",D220=""),"",ROUND((B220+IFERROR(INDEX(Hizmetler!$B$5:$B$54,MATCH(D220,Hizmetler!$A$5:$A$54,0)),0)/1440)*1440,0)/1440)</f>
        <v/>
      </c>
      <c r="I220" s="19" t="str">
        <f aca="false">IF(OR(A220="",H220="",E220="İptal"),"",IF(COUNTIFS($A$5:$A$1004,A220,$B$5:$B$1004,"&lt;"&amp;(H220-0.0003),$H$5:$H$1004,"&gt;"&amp;(B220+0.0003),$E$5:$E$1004,"&lt;&gt;İptal")&gt;1,"Çakışıyor",""))</f>
        <v/>
      </c>
      <c r="J220" s="21" t="str">
        <f aca="false">IF(AND(A220=Gün!$C$3,B220&lt;&gt;"",E220&lt;&gt;"İptal"),B220+ROW()/100000000,"")</f>
        <v/>
      </c>
    </row>
    <row r="221" customFormat="false" ht="15" hidden="false" customHeight="false" outlineLevel="0" collapsed="false">
      <c r="A221" s="12"/>
      <c r="B221" s="13"/>
      <c r="C221" s="14"/>
      <c r="D221" s="14"/>
      <c r="E221" s="15"/>
      <c r="F221" s="16"/>
      <c r="G221" s="17" t="str">
        <f aca="false">IF(D221="","",IF(E221="Geldi",IF(F221="",IFERROR(INDEX(Hizmetler!$C$5:$C$54,MATCH(D221,Hizmetler!$A$5:$A$54,0)),0),F221),0))</f>
        <v/>
      </c>
      <c r="H221" s="18" t="str">
        <f aca="false">IF(OR(B221="",D221=""),"",ROUND((B221+IFERROR(INDEX(Hizmetler!$B$5:$B$54,MATCH(D221,Hizmetler!$A$5:$A$54,0)),0)/1440)*1440,0)/1440)</f>
        <v/>
      </c>
      <c r="I221" s="19" t="str">
        <f aca="false">IF(OR(A221="",H221="",E221="İptal"),"",IF(COUNTIFS($A$5:$A$1004,A221,$B$5:$B$1004,"&lt;"&amp;(H221-0.0003),$H$5:$H$1004,"&gt;"&amp;(B221+0.0003),$E$5:$E$1004,"&lt;&gt;İptal")&gt;1,"Çakışıyor",""))</f>
        <v/>
      </c>
      <c r="J221" s="21" t="str">
        <f aca="false">IF(AND(A221=Gün!$C$3,B221&lt;&gt;"",E221&lt;&gt;"İptal"),B221+ROW()/100000000,"")</f>
        <v/>
      </c>
    </row>
    <row r="222" customFormat="false" ht="15" hidden="false" customHeight="false" outlineLevel="0" collapsed="false">
      <c r="A222" s="12"/>
      <c r="B222" s="13"/>
      <c r="C222" s="14"/>
      <c r="D222" s="14"/>
      <c r="E222" s="15"/>
      <c r="F222" s="16"/>
      <c r="G222" s="17" t="str">
        <f aca="false">IF(D222="","",IF(E222="Geldi",IF(F222="",IFERROR(INDEX(Hizmetler!$C$5:$C$54,MATCH(D222,Hizmetler!$A$5:$A$54,0)),0),F222),0))</f>
        <v/>
      </c>
      <c r="H222" s="18" t="str">
        <f aca="false">IF(OR(B222="",D222=""),"",ROUND((B222+IFERROR(INDEX(Hizmetler!$B$5:$B$54,MATCH(D222,Hizmetler!$A$5:$A$54,0)),0)/1440)*1440,0)/1440)</f>
        <v/>
      </c>
      <c r="I222" s="19" t="str">
        <f aca="false">IF(OR(A222="",H222="",E222="İptal"),"",IF(COUNTIFS($A$5:$A$1004,A222,$B$5:$B$1004,"&lt;"&amp;(H222-0.0003),$H$5:$H$1004,"&gt;"&amp;(B222+0.0003),$E$5:$E$1004,"&lt;&gt;İptal")&gt;1,"Çakışıyor",""))</f>
        <v/>
      </c>
      <c r="J222" s="21" t="str">
        <f aca="false">IF(AND(A222=Gün!$C$3,B222&lt;&gt;"",E222&lt;&gt;"İptal"),B222+ROW()/100000000,"")</f>
        <v/>
      </c>
    </row>
    <row r="223" customFormat="false" ht="15" hidden="false" customHeight="false" outlineLevel="0" collapsed="false">
      <c r="A223" s="12"/>
      <c r="B223" s="13"/>
      <c r="C223" s="14"/>
      <c r="D223" s="14"/>
      <c r="E223" s="15"/>
      <c r="F223" s="16"/>
      <c r="G223" s="17" t="str">
        <f aca="false">IF(D223="","",IF(E223="Geldi",IF(F223="",IFERROR(INDEX(Hizmetler!$C$5:$C$54,MATCH(D223,Hizmetler!$A$5:$A$54,0)),0),F223),0))</f>
        <v/>
      </c>
      <c r="H223" s="18" t="str">
        <f aca="false">IF(OR(B223="",D223=""),"",ROUND((B223+IFERROR(INDEX(Hizmetler!$B$5:$B$54,MATCH(D223,Hizmetler!$A$5:$A$54,0)),0)/1440)*1440,0)/1440)</f>
        <v/>
      </c>
      <c r="I223" s="19" t="str">
        <f aca="false">IF(OR(A223="",H223="",E223="İptal"),"",IF(COUNTIFS($A$5:$A$1004,A223,$B$5:$B$1004,"&lt;"&amp;(H223-0.0003),$H$5:$H$1004,"&gt;"&amp;(B223+0.0003),$E$5:$E$1004,"&lt;&gt;İptal")&gt;1,"Çakışıyor",""))</f>
        <v/>
      </c>
      <c r="J223" s="21" t="str">
        <f aca="false">IF(AND(A223=Gün!$C$3,B223&lt;&gt;"",E223&lt;&gt;"İptal"),B223+ROW()/100000000,"")</f>
        <v/>
      </c>
    </row>
    <row r="224" customFormat="false" ht="15" hidden="false" customHeight="false" outlineLevel="0" collapsed="false">
      <c r="A224" s="12"/>
      <c r="B224" s="13"/>
      <c r="C224" s="14"/>
      <c r="D224" s="14"/>
      <c r="E224" s="15"/>
      <c r="F224" s="16"/>
      <c r="G224" s="17" t="str">
        <f aca="false">IF(D224="","",IF(E224="Geldi",IF(F224="",IFERROR(INDEX(Hizmetler!$C$5:$C$54,MATCH(D224,Hizmetler!$A$5:$A$54,0)),0),F224),0))</f>
        <v/>
      </c>
      <c r="H224" s="18" t="str">
        <f aca="false">IF(OR(B224="",D224=""),"",ROUND((B224+IFERROR(INDEX(Hizmetler!$B$5:$B$54,MATCH(D224,Hizmetler!$A$5:$A$54,0)),0)/1440)*1440,0)/1440)</f>
        <v/>
      </c>
      <c r="I224" s="19" t="str">
        <f aca="false">IF(OR(A224="",H224="",E224="İptal"),"",IF(COUNTIFS($A$5:$A$1004,A224,$B$5:$B$1004,"&lt;"&amp;(H224-0.0003),$H$5:$H$1004,"&gt;"&amp;(B224+0.0003),$E$5:$E$1004,"&lt;&gt;İptal")&gt;1,"Çakışıyor",""))</f>
        <v/>
      </c>
      <c r="J224" s="21" t="str">
        <f aca="false">IF(AND(A224=Gün!$C$3,B224&lt;&gt;"",E224&lt;&gt;"İptal"),B224+ROW()/100000000,"")</f>
        <v/>
      </c>
    </row>
    <row r="225" customFormat="false" ht="15" hidden="false" customHeight="false" outlineLevel="0" collapsed="false">
      <c r="A225" s="12"/>
      <c r="B225" s="13"/>
      <c r="C225" s="14"/>
      <c r="D225" s="14"/>
      <c r="E225" s="15"/>
      <c r="F225" s="16"/>
      <c r="G225" s="17" t="str">
        <f aca="false">IF(D225="","",IF(E225="Geldi",IF(F225="",IFERROR(INDEX(Hizmetler!$C$5:$C$54,MATCH(D225,Hizmetler!$A$5:$A$54,0)),0),F225),0))</f>
        <v/>
      </c>
      <c r="H225" s="18" t="str">
        <f aca="false">IF(OR(B225="",D225=""),"",ROUND((B225+IFERROR(INDEX(Hizmetler!$B$5:$B$54,MATCH(D225,Hizmetler!$A$5:$A$54,0)),0)/1440)*1440,0)/1440)</f>
        <v/>
      </c>
      <c r="I225" s="19" t="str">
        <f aca="false">IF(OR(A225="",H225="",E225="İptal"),"",IF(COUNTIFS($A$5:$A$1004,A225,$B$5:$B$1004,"&lt;"&amp;(H225-0.0003),$H$5:$H$1004,"&gt;"&amp;(B225+0.0003),$E$5:$E$1004,"&lt;&gt;İptal")&gt;1,"Çakışıyor",""))</f>
        <v/>
      </c>
      <c r="J225" s="21" t="str">
        <f aca="false">IF(AND(A225=Gün!$C$3,B225&lt;&gt;"",E225&lt;&gt;"İptal"),B225+ROW()/100000000,"")</f>
        <v/>
      </c>
    </row>
    <row r="226" customFormat="false" ht="15" hidden="false" customHeight="false" outlineLevel="0" collapsed="false">
      <c r="A226" s="12"/>
      <c r="B226" s="13"/>
      <c r="C226" s="14"/>
      <c r="D226" s="14"/>
      <c r="E226" s="15"/>
      <c r="F226" s="16"/>
      <c r="G226" s="17" t="str">
        <f aca="false">IF(D226="","",IF(E226="Geldi",IF(F226="",IFERROR(INDEX(Hizmetler!$C$5:$C$54,MATCH(D226,Hizmetler!$A$5:$A$54,0)),0),F226),0))</f>
        <v/>
      </c>
      <c r="H226" s="18" t="str">
        <f aca="false">IF(OR(B226="",D226=""),"",ROUND((B226+IFERROR(INDEX(Hizmetler!$B$5:$B$54,MATCH(D226,Hizmetler!$A$5:$A$54,0)),0)/1440)*1440,0)/1440)</f>
        <v/>
      </c>
      <c r="I226" s="19" t="str">
        <f aca="false">IF(OR(A226="",H226="",E226="İptal"),"",IF(COUNTIFS($A$5:$A$1004,A226,$B$5:$B$1004,"&lt;"&amp;(H226-0.0003),$H$5:$H$1004,"&gt;"&amp;(B226+0.0003),$E$5:$E$1004,"&lt;&gt;İptal")&gt;1,"Çakışıyor",""))</f>
        <v/>
      </c>
      <c r="J226" s="21" t="str">
        <f aca="false">IF(AND(A226=Gün!$C$3,B226&lt;&gt;"",E226&lt;&gt;"İptal"),B226+ROW()/100000000,"")</f>
        <v/>
      </c>
    </row>
    <row r="227" customFormat="false" ht="15" hidden="false" customHeight="false" outlineLevel="0" collapsed="false">
      <c r="A227" s="12"/>
      <c r="B227" s="13"/>
      <c r="C227" s="14"/>
      <c r="D227" s="14"/>
      <c r="E227" s="15"/>
      <c r="F227" s="16"/>
      <c r="G227" s="17" t="str">
        <f aca="false">IF(D227="","",IF(E227="Geldi",IF(F227="",IFERROR(INDEX(Hizmetler!$C$5:$C$54,MATCH(D227,Hizmetler!$A$5:$A$54,0)),0),F227),0))</f>
        <v/>
      </c>
      <c r="H227" s="18" t="str">
        <f aca="false">IF(OR(B227="",D227=""),"",ROUND((B227+IFERROR(INDEX(Hizmetler!$B$5:$B$54,MATCH(D227,Hizmetler!$A$5:$A$54,0)),0)/1440)*1440,0)/1440)</f>
        <v/>
      </c>
      <c r="I227" s="19" t="str">
        <f aca="false">IF(OR(A227="",H227="",E227="İptal"),"",IF(COUNTIFS($A$5:$A$1004,A227,$B$5:$B$1004,"&lt;"&amp;(H227-0.0003),$H$5:$H$1004,"&gt;"&amp;(B227+0.0003),$E$5:$E$1004,"&lt;&gt;İptal")&gt;1,"Çakışıyor",""))</f>
        <v/>
      </c>
      <c r="J227" s="21" t="str">
        <f aca="false">IF(AND(A227=Gün!$C$3,B227&lt;&gt;"",E227&lt;&gt;"İptal"),B227+ROW()/100000000,"")</f>
        <v/>
      </c>
    </row>
    <row r="228" customFormat="false" ht="15" hidden="false" customHeight="false" outlineLevel="0" collapsed="false">
      <c r="A228" s="12"/>
      <c r="B228" s="13"/>
      <c r="C228" s="14"/>
      <c r="D228" s="14"/>
      <c r="E228" s="15"/>
      <c r="F228" s="16"/>
      <c r="G228" s="17" t="str">
        <f aca="false">IF(D228="","",IF(E228="Geldi",IF(F228="",IFERROR(INDEX(Hizmetler!$C$5:$C$54,MATCH(D228,Hizmetler!$A$5:$A$54,0)),0),F228),0))</f>
        <v/>
      </c>
      <c r="H228" s="18" t="str">
        <f aca="false">IF(OR(B228="",D228=""),"",ROUND((B228+IFERROR(INDEX(Hizmetler!$B$5:$B$54,MATCH(D228,Hizmetler!$A$5:$A$54,0)),0)/1440)*1440,0)/1440)</f>
        <v/>
      </c>
      <c r="I228" s="19" t="str">
        <f aca="false">IF(OR(A228="",H228="",E228="İptal"),"",IF(COUNTIFS($A$5:$A$1004,A228,$B$5:$B$1004,"&lt;"&amp;(H228-0.0003),$H$5:$H$1004,"&gt;"&amp;(B228+0.0003),$E$5:$E$1004,"&lt;&gt;İptal")&gt;1,"Çakışıyor",""))</f>
        <v/>
      </c>
      <c r="J228" s="21" t="str">
        <f aca="false">IF(AND(A228=Gün!$C$3,B228&lt;&gt;"",E228&lt;&gt;"İptal"),B228+ROW()/100000000,"")</f>
        <v/>
      </c>
    </row>
    <row r="229" customFormat="false" ht="15" hidden="false" customHeight="false" outlineLevel="0" collapsed="false">
      <c r="A229" s="12"/>
      <c r="B229" s="13"/>
      <c r="C229" s="14"/>
      <c r="D229" s="14"/>
      <c r="E229" s="15"/>
      <c r="F229" s="16"/>
      <c r="G229" s="17" t="str">
        <f aca="false">IF(D229="","",IF(E229="Geldi",IF(F229="",IFERROR(INDEX(Hizmetler!$C$5:$C$54,MATCH(D229,Hizmetler!$A$5:$A$54,0)),0),F229),0))</f>
        <v/>
      </c>
      <c r="H229" s="18" t="str">
        <f aca="false">IF(OR(B229="",D229=""),"",ROUND((B229+IFERROR(INDEX(Hizmetler!$B$5:$B$54,MATCH(D229,Hizmetler!$A$5:$A$54,0)),0)/1440)*1440,0)/1440)</f>
        <v/>
      </c>
      <c r="I229" s="19" t="str">
        <f aca="false">IF(OR(A229="",H229="",E229="İptal"),"",IF(COUNTIFS($A$5:$A$1004,A229,$B$5:$B$1004,"&lt;"&amp;(H229-0.0003),$H$5:$H$1004,"&gt;"&amp;(B229+0.0003),$E$5:$E$1004,"&lt;&gt;İptal")&gt;1,"Çakışıyor",""))</f>
        <v/>
      </c>
      <c r="J229" s="21" t="str">
        <f aca="false">IF(AND(A229=Gün!$C$3,B229&lt;&gt;"",E229&lt;&gt;"İptal"),B229+ROW()/100000000,"")</f>
        <v/>
      </c>
    </row>
    <row r="230" customFormat="false" ht="15" hidden="false" customHeight="false" outlineLevel="0" collapsed="false">
      <c r="A230" s="12"/>
      <c r="B230" s="13"/>
      <c r="C230" s="14"/>
      <c r="D230" s="14"/>
      <c r="E230" s="15"/>
      <c r="F230" s="16"/>
      <c r="G230" s="17" t="str">
        <f aca="false">IF(D230="","",IF(E230="Geldi",IF(F230="",IFERROR(INDEX(Hizmetler!$C$5:$C$54,MATCH(D230,Hizmetler!$A$5:$A$54,0)),0),F230),0))</f>
        <v/>
      </c>
      <c r="H230" s="18" t="str">
        <f aca="false">IF(OR(B230="",D230=""),"",ROUND((B230+IFERROR(INDEX(Hizmetler!$B$5:$B$54,MATCH(D230,Hizmetler!$A$5:$A$54,0)),0)/1440)*1440,0)/1440)</f>
        <v/>
      </c>
      <c r="I230" s="19" t="str">
        <f aca="false">IF(OR(A230="",H230="",E230="İptal"),"",IF(COUNTIFS($A$5:$A$1004,A230,$B$5:$B$1004,"&lt;"&amp;(H230-0.0003),$H$5:$H$1004,"&gt;"&amp;(B230+0.0003),$E$5:$E$1004,"&lt;&gt;İptal")&gt;1,"Çakışıyor",""))</f>
        <v/>
      </c>
      <c r="J230" s="21" t="str">
        <f aca="false">IF(AND(A230=Gün!$C$3,B230&lt;&gt;"",E230&lt;&gt;"İptal"),B230+ROW()/100000000,"")</f>
        <v/>
      </c>
    </row>
    <row r="231" customFormat="false" ht="15" hidden="false" customHeight="false" outlineLevel="0" collapsed="false">
      <c r="A231" s="12"/>
      <c r="B231" s="13"/>
      <c r="C231" s="14"/>
      <c r="D231" s="14"/>
      <c r="E231" s="15"/>
      <c r="F231" s="16"/>
      <c r="G231" s="17" t="str">
        <f aca="false">IF(D231="","",IF(E231="Geldi",IF(F231="",IFERROR(INDEX(Hizmetler!$C$5:$C$54,MATCH(D231,Hizmetler!$A$5:$A$54,0)),0),F231),0))</f>
        <v/>
      </c>
      <c r="H231" s="18" t="str">
        <f aca="false">IF(OR(B231="",D231=""),"",ROUND((B231+IFERROR(INDEX(Hizmetler!$B$5:$B$54,MATCH(D231,Hizmetler!$A$5:$A$54,0)),0)/1440)*1440,0)/1440)</f>
        <v/>
      </c>
      <c r="I231" s="19" t="str">
        <f aca="false">IF(OR(A231="",H231="",E231="İptal"),"",IF(COUNTIFS($A$5:$A$1004,A231,$B$5:$B$1004,"&lt;"&amp;(H231-0.0003),$H$5:$H$1004,"&gt;"&amp;(B231+0.0003),$E$5:$E$1004,"&lt;&gt;İptal")&gt;1,"Çakışıyor",""))</f>
        <v/>
      </c>
      <c r="J231" s="21" t="str">
        <f aca="false">IF(AND(A231=Gün!$C$3,B231&lt;&gt;"",E231&lt;&gt;"İptal"),B231+ROW()/100000000,"")</f>
        <v/>
      </c>
    </row>
    <row r="232" customFormat="false" ht="15" hidden="false" customHeight="false" outlineLevel="0" collapsed="false">
      <c r="A232" s="12"/>
      <c r="B232" s="13"/>
      <c r="C232" s="14"/>
      <c r="D232" s="14"/>
      <c r="E232" s="15"/>
      <c r="F232" s="16"/>
      <c r="G232" s="17" t="str">
        <f aca="false">IF(D232="","",IF(E232="Geldi",IF(F232="",IFERROR(INDEX(Hizmetler!$C$5:$C$54,MATCH(D232,Hizmetler!$A$5:$A$54,0)),0),F232),0))</f>
        <v/>
      </c>
      <c r="H232" s="18" t="str">
        <f aca="false">IF(OR(B232="",D232=""),"",ROUND((B232+IFERROR(INDEX(Hizmetler!$B$5:$B$54,MATCH(D232,Hizmetler!$A$5:$A$54,0)),0)/1440)*1440,0)/1440)</f>
        <v/>
      </c>
      <c r="I232" s="19" t="str">
        <f aca="false">IF(OR(A232="",H232="",E232="İptal"),"",IF(COUNTIFS($A$5:$A$1004,A232,$B$5:$B$1004,"&lt;"&amp;(H232-0.0003),$H$5:$H$1004,"&gt;"&amp;(B232+0.0003),$E$5:$E$1004,"&lt;&gt;İptal")&gt;1,"Çakışıyor",""))</f>
        <v/>
      </c>
      <c r="J232" s="21" t="str">
        <f aca="false">IF(AND(A232=Gün!$C$3,B232&lt;&gt;"",E232&lt;&gt;"İptal"),B232+ROW()/100000000,"")</f>
        <v/>
      </c>
    </row>
    <row r="233" customFormat="false" ht="15" hidden="false" customHeight="false" outlineLevel="0" collapsed="false">
      <c r="A233" s="12"/>
      <c r="B233" s="13"/>
      <c r="C233" s="14"/>
      <c r="D233" s="14"/>
      <c r="E233" s="15"/>
      <c r="F233" s="16"/>
      <c r="G233" s="17" t="str">
        <f aca="false">IF(D233="","",IF(E233="Geldi",IF(F233="",IFERROR(INDEX(Hizmetler!$C$5:$C$54,MATCH(D233,Hizmetler!$A$5:$A$54,0)),0),F233),0))</f>
        <v/>
      </c>
      <c r="H233" s="18" t="str">
        <f aca="false">IF(OR(B233="",D233=""),"",ROUND((B233+IFERROR(INDEX(Hizmetler!$B$5:$B$54,MATCH(D233,Hizmetler!$A$5:$A$54,0)),0)/1440)*1440,0)/1440)</f>
        <v/>
      </c>
      <c r="I233" s="19" t="str">
        <f aca="false">IF(OR(A233="",H233="",E233="İptal"),"",IF(COUNTIFS($A$5:$A$1004,A233,$B$5:$B$1004,"&lt;"&amp;(H233-0.0003),$H$5:$H$1004,"&gt;"&amp;(B233+0.0003),$E$5:$E$1004,"&lt;&gt;İptal")&gt;1,"Çakışıyor",""))</f>
        <v/>
      </c>
      <c r="J233" s="21" t="str">
        <f aca="false">IF(AND(A233=Gün!$C$3,B233&lt;&gt;"",E233&lt;&gt;"İptal"),B233+ROW()/100000000,"")</f>
        <v/>
      </c>
    </row>
    <row r="234" customFormat="false" ht="15" hidden="false" customHeight="false" outlineLevel="0" collapsed="false">
      <c r="A234" s="12"/>
      <c r="B234" s="13"/>
      <c r="C234" s="14"/>
      <c r="D234" s="14"/>
      <c r="E234" s="15"/>
      <c r="F234" s="16"/>
      <c r="G234" s="17" t="str">
        <f aca="false">IF(D234="","",IF(E234="Geldi",IF(F234="",IFERROR(INDEX(Hizmetler!$C$5:$C$54,MATCH(D234,Hizmetler!$A$5:$A$54,0)),0),F234),0))</f>
        <v/>
      </c>
      <c r="H234" s="18" t="str">
        <f aca="false">IF(OR(B234="",D234=""),"",ROUND((B234+IFERROR(INDEX(Hizmetler!$B$5:$B$54,MATCH(D234,Hizmetler!$A$5:$A$54,0)),0)/1440)*1440,0)/1440)</f>
        <v/>
      </c>
      <c r="I234" s="19" t="str">
        <f aca="false">IF(OR(A234="",H234="",E234="İptal"),"",IF(COUNTIFS($A$5:$A$1004,A234,$B$5:$B$1004,"&lt;"&amp;(H234-0.0003),$H$5:$H$1004,"&gt;"&amp;(B234+0.0003),$E$5:$E$1004,"&lt;&gt;İptal")&gt;1,"Çakışıyor",""))</f>
        <v/>
      </c>
      <c r="J234" s="21" t="str">
        <f aca="false">IF(AND(A234=Gün!$C$3,B234&lt;&gt;"",E234&lt;&gt;"İptal"),B234+ROW()/100000000,"")</f>
        <v/>
      </c>
    </row>
    <row r="235" customFormat="false" ht="15" hidden="false" customHeight="false" outlineLevel="0" collapsed="false">
      <c r="A235" s="12"/>
      <c r="B235" s="13"/>
      <c r="C235" s="14"/>
      <c r="D235" s="14"/>
      <c r="E235" s="15"/>
      <c r="F235" s="16"/>
      <c r="G235" s="17" t="str">
        <f aca="false">IF(D235="","",IF(E235="Geldi",IF(F235="",IFERROR(INDEX(Hizmetler!$C$5:$C$54,MATCH(D235,Hizmetler!$A$5:$A$54,0)),0),F235),0))</f>
        <v/>
      </c>
      <c r="H235" s="18" t="str">
        <f aca="false">IF(OR(B235="",D235=""),"",ROUND((B235+IFERROR(INDEX(Hizmetler!$B$5:$B$54,MATCH(D235,Hizmetler!$A$5:$A$54,0)),0)/1440)*1440,0)/1440)</f>
        <v/>
      </c>
      <c r="I235" s="19" t="str">
        <f aca="false">IF(OR(A235="",H235="",E235="İptal"),"",IF(COUNTIFS($A$5:$A$1004,A235,$B$5:$B$1004,"&lt;"&amp;(H235-0.0003),$H$5:$H$1004,"&gt;"&amp;(B235+0.0003),$E$5:$E$1004,"&lt;&gt;İptal")&gt;1,"Çakışıyor",""))</f>
        <v/>
      </c>
      <c r="J235" s="21" t="str">
        <f aca="false">IF(AND(A235=Gün!$C$3,B235&lt;&gt;"",E235&lt;&gt;"İptal"),B235+ROW()/100000000,"")</f>
        <v/>
      </c>
    </row>
    <row r="236" customFormat="false" ht="15" hidden="false" customHeight="false" outlineLevel="0" collapsed="false">
      <c r="A236" s="12"/>
      <c r="B236" s="13"/>
      <c r="C236" s="14"/>
      <c r="D236" s="14"/>
      <c r="E236" s="15"/>
      <c r="F236" s="16"/>
      <c r="G236" s="17" t="str">
        <f aca="false">IF(D236="","",IF(E236="Geldi",IF(F236="",IFERROR(INDEX(Hizmetler!$C$5:$C$54,MATCH(D236,Hizmetler!$A$5:$A$54,0)),0),F236),0))</f>
        <v/>
      </c>
      <c r="H236" s="18" t="str">
        <f aca="false">IF(OR(B236="",D236=""),"",ROUND((B236+IFERROR(INDEX(Hizmetler!$B$5:$B$54,MATCH(D236,Hizmetler!$A$5:$A$54,0)),0)/1440)*1440,0)/1440)</f>
        <v/>
      </c>
      <c r="I236" s="19" t="str">
        <f aca="false">IF(OR(A236="",H236="",E236="İptal"),"",IF(COUNTIFS($A$5:$A$1004,A236,$B$5:$B$1004,"&lt;"&amp;(H236-0.0003),$H$5:$H$1004,"&gt;"&amp;(B236+0.0003),$E$5:$E$1004,"&lt;&gt;İptal")&gt;1,"Çakışıyor",""))</f>
        <v/>
      </c>
      <c r="J236" s="21" t="str">
        <f aca="false">IF(AND(A236=Gün!$C$3,B236&lt;&gt;"",E236&lt;&gt;"İptal"),B236+ROW()/100000000,"")</f>
        <v/>
      </c>
    </row>
    <row r="237" customFormat="false" ht="15" hidden="false" customHeight="false" outlineLevel="0" collapsed="false">
      <c r="A237" s="12"/>
      <c r="B237" s="13"/>
      <c r="C237" s="14"/>
      <c r="D237" s="14"/>
      <c r="E237" s="15"/>
      <c r="F237" s="16"/>
      <c r="G237" s="17" t="str">
        <f aca="false">IF(D237="","",IF(E237="Geldi",IF(F237="",IFERROR(INDEX(Hizmetler!$C$5:$C$54,MATCH(D237,Hizmetler!$A$5:$A$54,0)),0),F237),0))</f>
        <v/>
      </c>
      <c r="H237" s="18" t="str">
        <f aca="false">IF(OR(B237="",D237=""),"",ROUND((B237+IFERROR(INDEX(Hizmetler!$B$5:$B$54,MATCH(D237,Hizmetler!$A$5:$A$54,0)),0)/1440)*1440,0)/1440)</f>
        <v/>
      </c>
      <c r="I237" s="19" t="str">
        <f aca="false">IF(OR(A237="",H237="",E237="İptal"),"",IF(COUNTIFS($A$5:$A$1004,A237,$B$5:$B$1004,"&lt;"&amp;(H237-0.0003),$H$5:$H$1004,"&gt;"&amp;(B237+0.0003),$E$5:$E$1004,"&lt;&gt;İptal")&gt;1,"Çakışıyor",""))</f>
        <v/>
      </c>
      <c r="J237" s="21" t="str">
        <f aca="false">IF(AND(A237=Gün!$C$3,B237&lt;&gt;"",E237&lt;&gt;"İptal"),B237+ROW()/100000000,"")</f>
        <v/>
      </c>
    </row>
    <row r="238" customFormat="false" ht="15" hidden="false" customHeight="false" outlineLevel="0" collapsed="false">
      <c r="A238" s="12"/>
      <c r="B238" s="13"/>
      <c r="C238" s="14"/>
      <c r="D238" s="14"/>
      <c r="E238" s="15"/>
      <c r="F238" s="16"/>
      <c r="G238" s="17" t="str">
        <f aca="false">IF(D238="","",IF(E238="Geldi",IF(F238="",IFERROR(INDEX(Hizmetler!$C$5:$C$54,MATCH(D238,Hizmetler!$A$5:$A$54,0)),0),F238),0))</f>
        <v/>
      </c>
      <c r="H238" s="18" t="str">
        <f aca="false">IF(OR(B238="",D238=""),"",ROUND((B238+IFERROR(INDEX(Hizmetler!$B$5:$B$54,MATCH(D238,Hizmetler!$A$5:$A$54,0)),0)/1440)*1440,0)/1440)</f>
        <v/>
      </c>
      <c r="I238" s="19" t="str">
        <f aca="false">IF(OR(A238="",H238="",E238="İptal"),"",IF(COUNTIFS($A$5:$A$1004,A238,$B$5:$B$1004,"&lt;"&amp;(H238-0.0003),$H$5:$H$1004,"&gt;"&amp;(B238+0.0003),$E$5:$E$1004,"&lt;&gt;İptal")&gt;1,"Çakışıyor",""))</f>
        <v/>
      </c>
      <c r="J238" s="21" t="str">
        <f aca="false">IF(AND(A238=Gün!$C$3,B238&lt;&gt;"",E238&lt;&gt;"İptal"),B238+ROW()/100000000,"")</f>
        <v/>
      </c>
    </row>
    <row r="239" customFormat="false" ht="15" hidden="false" customHeight="false" outlineLevel="0" collapsed="false">
      <c r="A239" s="12"/>
      <c r="B239" s="13"/>
      <c r="C239" s="14"/>
      <c r="D239" s="14"/>
      <c r="E239" s="15"/>
      <c r="F239" s="16"/>
      <c r="G239" s="17" t="str">
        <f aca="false">IF(D239="","",IF(E239="Geldi",IF(F239="",IFERROR(INDEX(Hizmetler!$C$5:$C$54,MATCH(D239,Hizmetler!$A$5:$A$54,0)),0),F239),0))</f>
        <v/>
      </c>
      <c r="H239" s="18" t="str">
        <f aca="false">IF(OR(B239="",D239=""),"",ROUND((B239+IFERROR(INDEX(Hizmetler!$B$5:$B$54,MATCH(D239,Hizmetler!$A$5:$A$54,0)),0)/1440)*1440,0)/1440)</f>
        <v/>
      </c>
      <c r="I239" s="19" t="str">
        <f aca="false">IF(OR(A239="",H239="",E239="İptal"),"",IF(COUNTIFS($A$5:$A$1004,A239,$B$5:$B$1004,"&lt;"&amp;(H239-0.0003),$H$5:$H$1004,"&gt;"&amp;(B239+0.0003),$E$5:$E$1004,"&lt;&gt;İptal")&gt;1,"Çakışıyor",""))</f>
        <v/>
      </c>
      <c r="J239" s="21" t="str">
        <f aca="false">IF(AND(A239=Gün!$C$3,B239&lt;&gt;"",E239&lt;&gt;"İptal"),B239+ROW()/100000000,"")</f>
        <v/>
      </c>
    </row>
    <row r="240" customFormat="false" ht="15" hidden="false" customHeight="false" outlineLevel="0" collapsed="false">
      <c r="A240" s="12"/>
      <c r="B240" s="13"/>
      <c r="C240" s="14"/>
      <c r="D240" s="14"/>
      <c r="E240" s="15"/>
      <c r="F240" s="16"/>
      <c r="G240" s="17" t="str">
        <f aca="false">IF(D240="","",IF(E240="Geldi",IF(F240="",IFERROR(INDEX(Hizmetler!$C$5:$C$54,MATCH(D240,Hizmetler!$A$5:$A$54,0)),0),F240),0))</f>
        <v/>
      </c>
      <c r="H240" s="18" t="str">
        <f aca="false">IF(OR(B240="",D240=""),"",ROUND((B240+IFERROR(INDEX(Hizmetler!$B$5:$B$54,MATCH(D240,Hizmetler!$A$5:$A$54,0)),0)/1440)*1440,0)/1440)</f>
        <v/>
      </c>
      <c r="I240" s="19" t="str">
        <f aca="false">IF(OR(A240="",H240="",E240="İptal"),"",IF(COUNTIFS($A$5:$A$1004,A240,$B$5:$B$1004,"&lt;"&amp;(H240-0.0003),$H$5:$H$1004,"&gt;"&amp;(B240+0.0003),$E$5:$E$1004,"&lt;&gt;İptal")&gt;1,"Çakışıyor",""))</f>
        <v/>
      </c>
      <c r="J240" s="21" t="str">
        <f aca="false">IF(AND(A240=Gün!$C$3,B240&lt;&gt;"",E240&lt;&gt;"İptal"),B240+ROW()/100000000,"")</f>
        <v/>
      </c>
    </row>
    <row r="241" customFormat="false" ht="15" hidden="false" customHeight="false" outlineLevel="0" collapsed="false">
      <c r="A241" s="12"/>
      <c r="B241" s="13"/>
      <c r="C241" s="14"/>
      <c r="D241" s="14"/>
      <c r="E241" s="15"/>
      <c r="F241" s="16"/>
      <c r="G241" s="17" t="str">
        <f aca="false">IF(D241="","",IF(E241="Geldi",IF(F241="",IFERROR(INDEX(Hizmetler!$C$5:$C$54,MATCH(D241,Hizmetler!$A$5:$A$54,0)),0),F241),0))</f>
        <v/>
      </c>
      <c r="H241" s="18" t="str">
        <f aca="false">IF(OR(B241="",D241=""),"",ROUND((B241+IFERROR(INDEX(Hizmetler!$B$5:$B$54,MATCH(D241,Hizmetler!$A$5:$A$54,0)),0)/1440)*1440,0)/1440)</f>
        <v/>
      </c>
      <c r="I241" s="19" t="str">
        <f aca="false">IF(OR(A241="",H241="",E241="İptal"),"",IF(COUNTIFS($A$5:$A$1004,A241,$B$5:$B$1004,"&lt;"&amp;(H241-0.0003),$H$5:$H$1004,"&gt;"&amp;(B241+0.0003),$E$5:$E$1004,"&lt;&gt;İptal")&gt;1,"Çakışıyor",""))</f>
        <v/>
      </c>
      <c r="J241" s="21" t="str">
        <f aca="false">IF(AND(A241=Gün!$C$3,B241&lt;&gt;"",E241&lt;&gt;"İptal"),B241+ROW()/100000000,"")</f>
        <v/>
      </c>
    </row>
    <row r="242" customFormat="false" ht="15" hidden="false" customHeight="false" outlineLevel="0" collapsed="false">
      <c r="A242" s="12"/>
      <c r="B242" s="13"/>
      <c r="C242" s="14"/>
      <c r="D242" s="14"/>
      <c r="E242" s="15"/>
      <c r="F242" s="16"/>
      <c r="G242" s="17" t="str">
        <f aca="false">IF(D242="","",IF(E242="Geldi",IF(F242="",IFERROR(INDEX(Hizmetler!$C$5:$C$54,MATCH(D242,Hizmetler!$A$5:$A$54,0)),0),F242),0))</f>
        <v/>
      </c>
      <c r="H242" s="18" t="str">
        <f aca="false">IF(OR(B242="",D242=""),"",ROUND((B242+IFERROR(INDEX(Hizmetler!$B$5:$B$54,MATCH(D242,Hizmetler!$A$5:$A$54,0)),0)/1440)*1440,0)/1440)</f>
        <v/>
      </c>
      <c r="I242" s="19" t="str">
        <f aca="false">IF(OR(A242="",H242="",E242="İptal"),"",IF(COUNTIFS($A$5:$A$1004,A242,$B$5:$B$1004,"&lt;"&amp;(H242-0.0003),$H$5:$H$1004,"&gt;"&amp;(B242+0.0003),$E$5:$E$1004,"&lt;&gt;İptal")&gt;1,"Çakışıyor",""))</f>
        <v/>
      </c>
      <c r="J242" s="21" t="str">
        <f aca="false">IF(AND(A242=Gün!$C$3,B242&lt;&gt;"",E242&lt;&gt;"İptal"),B242+ROW()/100000000,"")</f>
        <v/>
      </c>
    </row>
    <row r="243" customFormat="false" ht="15" hidden="false" customHeight="false" outlineLevel="0" collapsed="false">
      <c r="A243" s="12"/>
      <c r="B243" s="13"/>
      <c r="C243" s="14"/>
      <c r="D243" s="14"/>
      <c r="E243" s="15"/>
      <c r="F243" s="16"/>
      <c r="G243" s="17" t="str">
        <f aca="false">IF(D243="","",IF(E243="Geldi",IF(F243="",IFERROR(INDEX(Hizmetler!$C$5:$C$54,MATCH(D243,Hizmetler!$A$5:$A$54,0)),0),F243),0))</f>
        <v/>
      </c>
      <c r="H243" s="18" t="str">
        <f aca="false">IF(OR(B243="",D243=""),"",ROUND((B243+IFERROR(INDEX(Hizmetler!$B$5:$B$54,MATCH(D243,Hizmetler!$A$5:$A$54,0)),0)/1440)*1440,0)/1440)</f>
        <v/>
      </c>
      <c r="I243" s="19" t="str">
        <f aca="false">IF(OR(A243="",H243="",E243="İptal"),"",IF(COUNTIFS($A$5:$A$1004,A243,$B$5:$B$1004,"&lt;"&amp;(H243-0.0003),$H$5:$H$1004,"&gt;"&amp;(B243+0.0003),$E$5:$E$1004,"&lt;&gt;İptal")&gt;1,"Çakışıyor",""))</f>
        <v/>
      </c>
      <c r="J243" s="21" t="str">
        <f aca="false">IF(AND(A243=Gün!$C$3,B243&lt;&gt;"",E243&lt;&gt;"İptal"),B243+ROW()/100000000,"")</f>
        <v/>
      </c>
    </row>
    <row r="244" customFormat="false" ht="15" hidden="false" customHeight="false" outlineLevel="0" collapsed="false">
      <c r="A244" s="12"/>
      <c r="B244" s="13"/>
      <c r="C244" s="14"/>
      <c r="D244" s="14"/>
      <c r="E244" s="15"/>
      <c r="F244" s="16"/>
      <c r="G244" s="17" t="str">
        <f aca="false">IF(D244="","",IF(E244="Geldi",IF(F244="",IFERROR(INDEX(Hizmetler!$C$5:$C$54,MATCH(D244,Hizmetler!$A$5:$A$54,0)),0),F244),0))</f>
        <v/>
      </c>
      <c r="H244" s="18" t="str">
        <f aca="false">IF(OR(B244="",D244=""),"",ROUND((B244+IFERROR(INDEX(Hizmetler!$B$5:$B$54,MATCH(D244,Hizmetler!$A$5:$A$54,0)),0)/1440)*1440,0)/1440)</f>
        <v/>
      </c>
      <c r="I244" s="19" t="str">
        <f aca="false">IF(OR(A244="",H244="",E244="İptal"),"",IF(COUNTIFS($A$5:$A$1004,A244,$B$5:$B$1004,"&lt;"&amp;(H244-0.0003),$H$5:$H$1004,"&gt;"&amp;(B244+0.0003),$E$5:$E$1004,"&lt;&gt;İptal")&gt;1,"Çakışıyor",""))</f>
        <v/>
      </c>
      <c r="J244" s="21" t="str">
        <f aca="false">IF(AND(A244=Gün!$C$3,B244&lt;&gt;"",E244&lt;&gt;"İptal"),B244+ROW()/100000000,"")</f>
        <v/>
      </c>
    </row>
    <row r="245" customFormat="false" ht="15" hidden="false" customHeight="false" outlineLevel="0" collapsed="false">
      <c r="A245" s="12"/>
      <c r="B245" s="13"/>
      <c r="C245" s="14"/>
      <c r="D245" s="14"/>
      <c r="E245" s="15"/>
      <c r="F245" s="16"/>
      <c r="G245" s="17" t="str">
        <f aca="false">IF(D245="","",IF(E245="Geldi",IF(F245="",IFERROR(INDEX(Hizmetler!$C$5:$C$54,MATCH(D245,Hizmetler!$A$5:$A$54,0)),0),F245),0))</f>
        <v/>
      </c>
      <c r="H245" s="18" t="str">
        <f aca="false">IF(OR(B245="",D245=""),"",ROUND((B245+IFERROR(INDEX(Hizmetler!$B$5:$B$54,MATCH(D245,Hizmetler!$A$5:$A$54,0)),0)/1440)*1440,0)/1440)</f>
        <v/>
      </c>
      <c r="I245" s="19" t="str">
        <f aca="false">IF(OR(A245="",H245="",E245="İptal"),"",IF(COUNTIFS($A$5:$A$1004,A245,$B$5:$B$1004,"&lt;"&amp;(H245-0.0003),$H$5:$H$1004,"&gt;"&amp;(B245+0.0003),$E$5:$E$1004,"&lt;&gt;İptal")&gt;1,"Çakışıyor",""))</f>
        <v/>
      </c>
      <c r="J245" s="21" t="str">
        <f aca="false">IF(AND(A245=Gün!$C$3,B245&lt;&gt;"",E245&lt;&gt;"İptal"),B245+ROW()/100000000,"")</f>
        <v/>
      </c>
    </row>
    <row r="246" customFormat="false" ht="15" hidden="false" customHeight="false" outlineLevel="0" collapsed="false">
      <c r="A246" s="12"/>
      <c r="B246" s="13"/>
      <c r="C246" s="14"/>
      <c r="D246" s="14"/>
      <c r="E246" s="15"/>
      <c r="F246" s="16"/>
      <c r="G246" s="17" t="str">
        <f aca="false">IF(D246="","",IF(E246="Geldi",IF(F246="",IFERROR(INDEX(Hizmetler!$C$5:$C$54,MATCH(D246,Hizmetler!$A$5:$A$54,0)),0),F246),0))</f>
        <v/>
      </c>
      <c r="H246" s="18" t="str">
        <f aca="false">IF(OR(B246="",D246=""),"",ROUND((B246+IFERROR(INDEX(Hizmetler!$B$5:$B$54,MATCH(D246,Hizmetler!$A$5:$A$54,0)),0)/1440)*1440,0)/1440)</f>
        <v/>
      </c>
      <c r="I246" s="19" t="str">
        <f aca="false">IF(OR(A246="",H246="",E246="İptal"),"",IF(COUNTIFS($A$5:$A$1004,A246,$B$5:$B$1004,"&lt;"&amp;(H246-0.0003),$H$5:$H$1004,"&gt;"&amp;(B246+0.0003),$E$5:$E$1004,"&lt;&gt;İptal")&gt;1,"Çakışıyor",""))</f>
        <v/>
      </c>
      <c r="J246" s="21" t="str">
        <f aca="false">IF(AND(A246=Gün!$C$3,B246&lt;&gt;"",E246&lt;&gt;"İptal"),B246+ROW()/100000000,"")</f>
        <v/>
      </c>
    </row>
    <row r="247" customFormat="false" ht="15" hidden="false" customHeight="false" outlineLevel="0" collapsed="false">
      <c r="A247" s="12"/>
      <c r="B247" s="13"/>
      <c r="C247" s="14"/>
      <c r="D247" s="14"/>
      <c r="E247" s="15"/>
      <c r="F247" s="16"/>
      <c r="G247" s="17" t="str">
        <f aca="false">IF(D247="","",IF(E247="Geldi",IF(F247="",IFERROR(INDEX(Hizmetler!$C$5:$C$54,MATCH(D247,Hizmetler!$A$5:$A$54,0)),0),F247),0))</f>
        <v/>
      </c>
      <c r="H247" s="18" t="str">
        <f aca="false">IF(OR(B247="",D247=""),"",ROUND((B247+IFERROR(INDEX(Hizmetler!$B$5:$B$54,MATCH(D247,Hizmetler!$A$5:$A$54,0)),0)/1440)*1440,0)/1440)</f>
        <v/>
      </c>
      <c r="I247" s="19" t="str">
        <f aca="false">IF(OR(A247="",H247="",E247="İptal"),"",IF(COUNTIFS($A$5:$A$1004,A247,$B$5:$B$1004,"&lt;"&amp;(H247-0.0003),$H$5:$H$1004,"&gt;"&amp;(B247+0.0003),$E$5:$E$1004,"&lt;&gt;İptal")&gt;1,"Çakışıyor",""))</f>
        <v/>
      </c>
      <c r="J247" s="21" t="str">
        <f aca="false">IF(AND(A247=Gün!$C$3,B247&lt;&gt;"",E247&lt;&gt;"İptal"),B247+ROW()/100000000,"")</f>
        <v/>
      </c>
    </row>
    <row r="248" customFormat="false" ht="15" hidden="false" customHeight="false" outlineLevel="0" collapsed="false">
      <c r="A248" s="12"/>
      <c r="B248" s="13"/>
      <c r="C248" s="14"/>
      <c r="D248" s="14"/>
      <c r="E248" s="15"/>
      <c r="F248" s="16"/>
      <c r="G248" s="17" t="str">
        <f aca="false">IF(D248="","",IF(E248="Geldi",IF(F248="",IFERROR(INDEX(Hizmetler!$C$5:$C$54,MATCH(D248,Hizmetler!$A$5:$A$54,0)),0),F248),0))</f>
        <v/>
      </c>
      <c r="H248" s="18" t="str">
        <f aca="false">IF(OR(B248="",D248=""),"",ROUND((B248+IFERROR(INDEX(Hizmetler!$B$5:$B$54,MATCH(D248,Hizmetler!$A$5:$A$54,0)),0)/1440)*1440,0)/1440)</f>
        <v/>
      </c>
      <c r="I248" s="19" t="str">
        <f aca="false">IF(OR(A248="",H248="",E248="İptal"),"",IF(COUNTIFS($A$5:$A$1004,A248,$B$5:$B$1004,"&lt;"&amp;(H248-0.0003),$H$5:$H$1004,"&gt;"&amp;(B248+0.0003),$E$5:$E$1004,"&lt;&gt;İptal")&gt;1,"Çakışıyor",""))</f>
        <v/>
      </c>
      <c r="J248" s="21" t="str">
        <f aca="false">IF(AND(A248=Gün!$C$3,B248&lt;&gt;"",E248&lt;&gt;"İptal"),B248+ROW()/100000000,"")</f>
        <v/>
      </c>
    </row>
    <row r="249" customFormat="false" ht="15" hidden="false" customHeight="false" outlineLevel="0" collapsed="false">
      <c r="A249" s="12"/>
      <c r="B249" s="13"/>
      <c r="C249" s="14"/>
      <c r="D249" s="14"/>
      <c r="E249" s="15"/>
      <c r="F249" s="16"/>
      <c r="G249" s="17" t="str">
        <f aca="false">IF(D249="","",IF(E249="Geldi",IF(F249="",IFERROR(INDEX(Hizmetler!$C$5:$C$54,MATCH(D249,Hizmetler!$A$5:$A$54,0)),0),F249),0))</f>
        <v/>
      </c>
      <c r="H249" s="18" t="str">
        <f aca="false">IF(OR(B249="",D249=""),"",ROUND((B249+IFERROR(INDEX(Hizmetler!$B$5:$B$54,MATCH(D249,Hizmetler!$A$5:$A$54,0)),0)/1440)*1440,0)/1440)</f>
        <v/>
      </c>
      <c r="I249" s="19" t="str">
        <f aca="false">IF(OR(A249="",H249="",E249="İptal"),"",IF(COUNTIFS($A$5:$A$1004,A249,$B$5:$B$1004,"&lt;"&amp;(H249-0.0003),$H$5:$H$1004,"&gt;"&amp;(B249+0.0003),$E$5:$E$1004,"&lt;&gt;İptal")&gt;1,"Çakışıyor",""))</f>
        <v/>
      </c>
      <c r="J249" s="21" t="str">
        <f aca="false">IF(AND(A249=Gün!$C$3,B249&lt;&gt;"",E249&lt;&gt;"İptal"),B249+ROW()/100000000,"")</f>
        <v/>
      </c>
    </row>
    <row r="250" customFormat="false" ht="15" hidden="false" customHeight="false" outlineLevel="0" collapsed="false">
      <c r="A250" s="12"/>
      <c r="B250" s="13"/>
      <c r="C250" s="14"/>
      <c r="D250" s="14"/>
      <c r="E250" s="15"/>
      <c r="F250" s="16"/>
      <c r="G250" s="17" t="str">
        <f aca="false">IF(D250="","",IF(E250="Geldi",IF(F250="",IFERROR(INDEX(Hizmetler!$C$5:$C$54,MATCH(D250,Hizmetler!$A$5:$A$54,0)),0),F250),0))</f>
        <v/>
      </c>
      <c r="H250" s="18" t="str">
        <f aca="false">IF(OR(B250="",D250=""),"",ROUND((B250+IFERROR(INDEX(Hizmetler!$B$5:$B$54,MATCH(D250,Hizmetler!$A$5:$A$54,0)),0)/1440)*1440,0)/1440)</f>
        <v/>
      </c>
      <c r="I250" s="19" t="str">
        <f aca="false">IF(OR(A250="",H250="",E250="İptal"),"",IF(COUNTIFS($A$5:$A$1004,A250,$B$5:$B$1004,"&lt;"&amp;(H250-0.0003),$H$5:$H$1004,"&gt;"&amp;(B250+0.0003),$E$5:$E$1004,"&lt;&gt;İptal")&gt;1,"Çakışıyor",""))</f>
        <v/>
      </c>
      <c r="J250" s="21" t="str">
        <f aca="false">IF(AND(A250=Gün!$C$3,B250&lt;&gt;"",E250&lt;&gt;"İptal"),B250+ROW()/100000000,"")</f>
        <v/>
      </c>
    </row>
    <row r="251" customFormat="false" ht="15" hidden="false" customHeight="false" outlineLevel="0" collapsed="false">
      <c r="A251" s="12"/>
      <c r="B251" s="13"/>
      <c r="C251" s="14"/>
      <c r="D251" s="14"/>
      <c r="E251" s="15"/>
      <c r="F251" s="16"/>
      <c r="G251" s="17" t="str">
        <f aca="false">IF(D251="","",IF(E251="Geldi",IF(F251="",IFERROR(INDEX(Hizmetler!$C$5:$C$54,MATCH(D251,Hizmetler!$A$5:$A$54,0)),0),F251),0))</f>
        <v/>
      </c>
      <c r="H251" s="18" t="str">
        <f aca="false">IF(OR(B251="",D251=""),"",ROUND((B251+IFERROR(INDEX(Hizmetler!$B$5:$B$54,MATCH(D251,Hizmetler!$A$5:$A$54,0)),0)/1440)*1440,0)/1440)</f>
        <v/>
      </c>
      <c r="I251" s="19" t="str">
        <f aca="false">IF(OR(A251="",H251="",E251="İptal"),"",IF(COUNTIFS($A$5:$A$1004,A251,$B$5:$B$1004,"&lt;"&amp;(H251-0.0003),$H$5:$H$1004,"&gt;"&amp;(B251+0.0003),$E$5:$E$1004,"&lt;&gt;İptal")&gt;1,"Çakışıyor",""))</f>
        <v/>
      </c>
      <c r="J251" s="21" t="str">
        <f aca="false">IF(AND(A251=Gün!$C$3,B251&lt;&gt;"",E251&lt;&gt;"İptal"),B251+ROW()/100000000,"")</f>
        <v/>
      </c>
    </row>
    <row r="252" customFormat="false" ht="15" hidden="false" customHeight="false" outlineLevel="0" collapsed="false">
      <c r="A252" s="12"/>
      <c r="B252" s="13"/>
      <c r="C252" s="14"/>
      <c r="D252" s="14"/>
      <c r="E252" s="15"/>
      <c r="F252" s="16"/>
      <c r="G252" s="17" t="str">
        <f aca="false">IF(D252="","",IF(E252="Geldi",IF(F252="",IFERROR(INDEX(Hizmetler!$C$5:$C$54,MATCH(D252,Hizmetler!$A$5:$A$54,0)),0),F252),0))</f>
        <v/>
      </c>
      <c r="H252" s="18" t="str">
        <f aca="false">IF(OR(B252="",D252=""),"",ROUND((B252+IFERROR(INDEX(Hizmetler!$B$5:$B$54,MATCH(D252,Hizmetler!$A$5:$A$54,0)),0)/1440)*1440,0)/1440)</f>
        <v/>
      </c>
      <c r="I252" s="19" t="str">
        <f aca="false">IF(OR(A252="",H252="",E252="İptal"),"",IF(COUNTIFS($A$5:$A$1004,A252,$B$5:$B$1004,"&lt;"&amp;(H252-0.0003),$H$5:$H$1004,"&gt;"&amp;(B252+0.0003),$E$5:$E$1004,"&lt;&gt;İptal")&gt;1,"Çakışıyor",""))</f>
        <v/>
      </c>
      <c r="J252" s="21" t="str">
        <f aca="false">IF(AND(A252=Gün!$C$3,B252&lt;&gt;"",E252&lt;&gt;"İptal"),B252+ROW()/100000000,"")</f>
        <v/>
      </c>
    </row>
    <row r="253" customFormat="false" ht="15" hidden="false" customHeight="false" outlineLevel="0" collapsed="false">
      <c r="A253" s="12"/>
      <c r="B253" s="13"/>
      <c r="C253" s="14"/>
      <c r="D253" s="14"/>
      <c r="E253" s="15"/>
      <c r="F253" s="16"/>
      <c r="G253" s="17" t="str">
        <f aca="false">IF(D253="","",IF(E253="Geldi",IF(F253="",IFERROR(INDEX(Hizmetler!$C$5:$C$54,MATCH(D253,Hizmetler!$A$5:$A$54,0)),0),F253),0))</f>
        <v/>
      </c>
      <c r="H253" s="18" t="str">
        <f aca="false">IF(OR(B253="",D253=""),"",ROUND((B253+IFERROR(INDEX(Hizmetler!$B$5:$B$54,MATCH(D253,Hizmetler!$A$5:$A$54,0)),0)/1440)*1440,0)/1440)</f>
        <v/>
      </c>
      <c r="I253" s="19" t="str">
        <f aca="false">IF(OR(A253="",H253="",E253="İptal"),"",IF(COUNTIFS($A$5:$A$1004,A253,$B$5:$B$1004,"&lt;"&amp;(H253-0.0003),$H$5:$H$1004,"&gt;"&amp;(B253+0.0003),$E$5:$E$1004,"&lt;&gt;İptal")&gt;1,"Çakışıyor",""))</f>
        <v/>
      </c>
      <c r="J253" s="21" t="str">
        <f aca="false">IF(AND(A253=Gün!$C$3,B253&lt;&gt;"",E253&lt;&gt;"İptal"),B253+ROW()/100000000,"")</f>
        <v/>
      </c>
    </row>
    <row r="254" customFormat="false" ht="15" hidden="false" customHeight="false" outlineLevel="0" collapsed="false">
      <c r="A254" s="12"/>
      <c r="B254" s="13"/>
      <c r="C254" s="14"/>
      <c r="D254" s="14"/>
      <c r="E254" s="15"/>
      <c r="F254" s="16"/>
      <c r="G254" s="17" t="str">
        <f aca="false">IF(D254="","",IF(E254="Geldi",IF(F254="",IFERROR(INDEX(Hizmetler!$C$5:$C$54,MATCH(D254,Hizmetler!$A$5:$A$54,0)),0),F254),0))</f>
        <v/>
      </c>
      <c r="H254" s="18" t="str">
        <f aca="false">IF(OR(B254="",D254=""),"",ROUND((B254+IFERROR(INDEX(Hizmetler!$B$5:$B$54,MATCH(D254,Hizmetler!$A$5:$A$54,0)),0)/1440)*1440,0)/1440)</f>
        <v/>
      </c>
      <c r="I254" s="19" t="str">
        <f aca="false">IF(OR(A254="",H254="",E254="İptal"),"",IF(COUNTIFS($A$5:$A$1004,A254,$B$5:$B$1004,"&lt;"&amp;(H254-0.0003),$H$5:$H$1004,"&gt;"&amp;(B254+0.0003),$E$5:$E$1004,"&lt;&gt;İptal")&gt;1,"Çakışıyor",""))</f>
        <v/>
      </c>
      <c r="J254" s="21" t="str">
        <f aca="false">IF(AND(A254=Gün!$C$3,B254&lt;&gt;"",E254&lt;&gt;"İptal"),B254+ROW()/100000000,"")</f>
        <v/>
      </c>
    </row>
    <row r="255" customFormat="false" ht="15" hidden="false" customHeight="false" outlineLevel="0" collapsed="false">
      <c r="A255" s="12"/>
      <c r="B255" s="13"/>
      <c r="C255" s="14"/>
      <c r="D255" s="14"/>
      <c r="E255" s="15"/>
      <c r="F255" s="16"/>
      <c r="G255" s="17" t="str">
        <f aca="false">IF(D255="","",IF(E255="Geldi",IF(F255="",IFERROR(INDEX(Hizmetler!$C$5:$C$54,MATCH(D255,Hizmetler!$A$5:$A$54,0)),0),F255),0))</f>
        <v/>
      </c>
      <c r="H255" s="18" t="str">
        <f aca="false">IF(OR(B255="",D255=""),"",ROUND((B255+IFERROR(INDEX(Hizmetler!$B$5:$B$54,MATCH(D255,Hizmetler!$A$5:$A$54,0)),0)/1440)*1440,0)/1440)</f>
        <v/>
      </c>
      <c r="I255" s="19" t="str">
        <f aca="false">IF(OR(A255="",H255="",E255="İptal"),"",IF(COUNTIFS($A$5:$A$1004,A255,$B$5:$B$1004,"&lt;"&amp;(H255-0.0003),$H$5:$H$1004,"&gt;"&amp;(B255+0.0003),$E$5:$E$1004,"&lt;&gt;İptal")&gt;1,"Çakışıyor",""))</f>
        <v/>
      </c>
      <c r="J255" s="21" t="str">
        <f aca="false">IF(AND(A255=Gün!$C$3,B255&lt;&gt;"",E255&lt;&gt;"İptal"),B255+ROW()/100000000,"")</f>
        <v/>
      </c>
    </row>
    <row r="256" customFormat="false" ht="15" hidden="false" customHeight="false" outlineLevel="0" collapsed="false">
      <c r="A256" s="12"/>
      <c r="B256" s="13"/>
      <c r="C256" s="14"/>
      <c r="D256" s="14"/>
      <c r="E256" s="15"/>
      <c r="F256" s="16"/>
      <c r="G256" s="17" t="str">
        <f aca="false">IF(D256="","",IF(E256="Geldi",IF(F256="",IFERROR(INDEX(Hizmetler!$C$5:$C$54,MATCH(D256,Hizmetler!$A$5:$A$54,0)),0),F256),0))</f>
        <v/>
      </c>
      <c r="H256" s="18" t="str">
        <f aca="false">IF(OR(B256="",D256=""),"",ROUND((B256+IFERROR(INDEX(Hizmetler!$B$5:$B$54,MATCH(D256,Hizmetler!$A$5:$A$54,0)),0)/1440)*1440,0)/1440)</f>
        <v/>
      </c>
      <c r="I256" s="19" t="str">
        <f aca="false">IF(OR(A256="",H256="",E256="İptal"),"",IF(COUNTIFS($A$5:$A$1004,A256,$B$5:$B$1004,"&lt;"&amp;(H256-0.0003),$H$5:$H$1004,"&gt;"&amp;(B256+0.0003),$E$5:$E$1004,"&lt;&gt;İptal")&gt;1,"Çakışıyor",""))</f>
        <v/>
      </c>
      <c r="J256" s="21" t="str">
        <f aca="false">IF(AND(A256=Gün!$C$3,B256&lt;&gt;"",E256&lt;&gt;"İptal"),B256+ROW()/100000000,"")</f>
        <v/>
      </c>
    </row>
    <row r="257" customFormat="false" ht="15" hidden="false" customHeight="false" outlineLevel="0" collapsed="false">
      <c r="A257" s="12"/>
      <c r="B257" s="13"/>
      <c r="C257" s="14"/>
      <c r="D257" s="14"/>
      <c r="E257" s="15"/>
      <c r="F257" s="16"/>
      <c r="G257" s="17" t="str">
        <f aca="false">IF(D257="","",IF(E257="Geldi",IF(F257="",IFERROR(INDEX(Hizmetler!$C$5:$C$54,MATCH(D257,Hizmetler!$A$5:$A$54,0)),0),F257),0))</f>
        <v/>
      </c>
      <c r="H257" s="18" t="str">
        <f aca="false">IF(OR(B257="",D257=""),"",ROUND((B257+IFERROR(INDEX(Hizmetler!$B$5:$B$54,MATCH(D257,Hizmetler!$A$5:$A$54,0)),0)/1440)*1440,0)/1440)</f>
        <v/>
      </c>
      <c r="I257" s="19" t="str">
        <f aca="false">IF(OR(A257="",H257="",E257="İptal"),"",IF(COUNTIFS($A$5:$A$1004,A257,$B$5:$B$1004,"&lt;"&amp;(H257-0.0003),$H$5:$H$1004,"&gt;"&amp;(B257+0.0003),$E$5:$E$1004,"&lt;&gt;İptal")&gt;1,"Çakışıyor",""))</f>
        <v/>
      </c>
      <c r="J257" s="21" t="str">
        <f aca="false">IF(AND(A257=Gün!$C$3,B257&lt;&gt;"",E257&lt;&gt;"İptal"),B257+ROW()/100000000,"")</f>
        <v/>
      </c>
    </row>
    <row r="258" customFormat="false" ht="15" hidden="false" customHeight="false" outlineLevel="0" collapsed="false">
      <c r="A258" s="12"/>
      <c r="B258" s="13"/>
      <c r="C258" s="14"/>
      <c r="D258" s="14"/>
      <c r="E258" s="15"/>
      <c r="F258" s="16"/>
      <c r="G258" s="17" t="str">
        <f aca="false">IF(D258="","",IF(E258="Geldi",IF(F258="",IFERROR(INDEX(Hizmetler!$C$5:$C$54,MATCH(D258,Hizmetler!$A$5:$A$54,0)),0),F258),0))</f>
        <v/>
      </c>
      <c r="H258" s="18" t="str">
        <f aca="false">IF(OR(B258="",D258=""),"",ROUND((B258+IFERROR(INDEX(Hizmetler!$B$5:$B$54,MATCH(D258,Hizmetler!$A$5:$A$54,0)),0)/1440)*1440,0)/1440)</f>
        <v/>
      </c>
      <c r="I258" s="19" t="str">
        <f aca="false">IF(OR(A258="",H258="",E258="İptal"),"",IF(COUNTIFS($A$5:$A$1004,A258,$B$5:$B$1004,"&lt;"&amp;(H258-0.0003),$H$5:$H$1004,"&gt;"&amp;(B258+0.0003),$E$5:$E$1004,"&lt;&gt;İptal")&gt;1,"Çakışıyor",""))</f>
        <v/>
      </c>
      <c r="J258" s="21" t="str">
        <f aca="false">IF(AND(A258=Gün!$C$3,B258&lt;&gt;"",E258&lt;&gt;"İptal"),B258+ROW()/100000000,"")</f>
        <v/>
      </c>
    </row>
    <row r="259" customFormat="false" ht="15" hidden="false" customHeight="false" outlineLevel="0" collapsed="false">
      <c r="A259" s="12"/>
      <c r="B259" s="13"/>
      <c r="C259" s="14"/>
      <c r="D259" s="14"/>
      <c r="E259" s="15"/>
      <c r="F259" s="16"/>
      <c r="G259" s="17" t="str">
        <f aca="false">IF(D259="","",IF(E259="Geldi",IF(F259="",IFERROR(INDEX(Hizmetler!$C$5:$C$54,MATCH(D259,Hizmetler!$A$5:$A$54,0)),0),F259),0))</f>
        <v/>
      </c>
      <c r="H259" s="18" t="str">
        <f aca="false">IF(OR(B259="",D259=""),"",ROUND((B259+IFERROR(INDEX(Hizmetler!$B$5:$B$54,MATCH(D259,Hizmetler!$A$5:$A$54,0)),0)/1440)*1440,0)/1440)</f>
        <v/>
      </c>
      <c r="I259" s="19" t="str">
        <f aca="false">IF(OR(A259="",H259="",E259="İptal"),"",IF(COUNTIFS($A$5:$A$1004,A259,$B$5:$B$1004,"&lt;"&amp;(H259-0.0003),$H$5:$H$1004,"&gt;"&amp;(B259+0.0003),$E$5:$E$1004,"&lt;&gt;İptal")&gt;1,"Çakışıyor",""))</f>
        <v/>
      </c>
      <c r="J259" s="21" t="str">
        <f aca="false">IF(AND(A259=Gün!$C$3,B259&lt;&gt;"",E259&lt;&gt;"İptal"),B259+ROW()/100000000,"")</f>
        <v/>
      </c>
    </row>
    <row r="260" customFormat="false" ht="15" hidden="false" customHeight="false" outlineLevel="0" collapsed="false">
      <c r="A260" s="12"/>
      <c r="B260" s="13"/>
      <c r="C260" s="14"/>
      <c r="D260" s="14"/>
      <c r="E260" s="15"/>
      <c r="F260" s="16"/>
      <c r="G260" s="17" t="str">
        <f aca="false">IF(D260="","",IF(E260="Geldi",IF(F260="",IFERROR(INDEX(Hizmetler!$C$5:$C$54,MATCH(D260,Hizmetler!$A$5:$A$54,0)),0),F260),0))</f>
        <v/>
      </c>
      <c r="H260" s="18" t="str">
        <f aca="false">IF(OR(B260="",D260=""),"",ROUND((B260+IFERROR(INDEX(Hizmetler!$B$5:$B$54,MATCH(D260,Hizmetler!$A$5:$A$54,0)),0)/1440)*1440,0)/1440)</f>
        <v/>
      </c>
      <c r="I260" s="19" t="str">
        <f aca="false">IF(OR(A260="",H260="",E260="İptal"),"",IF(COUNTIFS($A$5:$A$1004,A260,$B$5:$B$1004,"&lt;"&amp;(H260-0.0003),$H$5:$H$1004,"&gt;"&amp;(B260+0.0003),$E$5:$E$1004,"&lt;&gt;İptal")&gt;1,"Çakışıyor",""))</f>
        <v/>
      </c>
      <c r="J260" s="21" t="str">
        <f aca="false">IF(AND(A260=Gün!$C$3,B260&lt;&gt;"",E260&lt;&gt;"İptal"),B260+ROW()/100000000,"")</f>
        <v/>
      </c>
    </row>
    <row r="261" customFormat="false" ht="15" hidden="false" customHeight="false" outlineLevel="0" collapsed="false">
      <c r="A261" s="12"/>
      <c r="B261" s="13"/>
      <c r="C261" s="14"/>
      <c r="D261" s="14"/>
      <c r="E261" s="15"/>
      <c r="F261" s="16"/>
      <c r="G261" s="17" t="str">
        <f aca="false">IF(D261="","",IF(E261="Geldi",IF(F261="",IFERROR(INDEX(Hizmetler!$C$5:$C$54,MATCH(D261,Hizmetler!$A$5:$A$54,0)),0),F261),0))</f>
        <v/>
      </c>
      <c r="H261" s="18" t="str">
        <f aca="false">IF(OR(B261="",D261=""),"",ROUND((B261+IFERROR(INDEX(Hizmetler!$B$5:$B$54,MATCH(D261,Hizmetler!$A$5:$A$54,0)),0)/1440)*1440,0)/1440)</f>
        <v/>
      </c>
      <c r="I261" s="19" t="str">
        <f aca="false">IF(OR(A261="",H261="",E261="İptal"),"",IF(COUNTIFS($A$5:$A$1004,A261,$B$5:$B$1004,"&lt;"&amp;(H261-0.0003),$H$5:$H$1004,"&gt;"&amp;(B261+0.0003),$E$5:$E$1004,"&lt;&gt;İptal")&gt;1,"Çakışıyor",""))</f>
        <v/>
      </c>
      <c r="J261" s="21" t="str">
        <f aca="false">IF(AND(A261=Gün!$C$3,B261&lt;&gt;"",E261&lt;&gt;"İptal"),B261+ROW()/100000000,"")</f>
        <v/>
      </c>
    </row>
    <row r="262" customFormat="false" ht="15" hidden="false" customHeight="false" outlineLevel="0" collapsed="false">
      <c r="A262" s="12"/>
      <c r="B262" s="13"/>
      <c r="C262" s="14"/>
      <c r="D262" s="14"/>
      <c r="E262" s="15"/>
      <c r="F262" s="16"/>
      <c r="G262" s="17" t="str">
        <f aca="false">IF(D262="","",IF(E262="Geldi",IF(F262="",IFERROR(INDEX(Hizmetler!$C$5:$C$54,MATCH(D262,Hizmetler!$A$5:$A$54,0)),0),F262),0))</f>
        <v/>
      </c>
      <c r="H262" s="18" t="str">
        <f aca="false">IF(OR(B262="",D262=""),"",ROUND((B262+IFERROR(INDEX(Hizmetler!$B$5:$B$54,MATCH(D262,Hizmetler!$A$5:$A$54,0)),0)/1440)*1440,0)/1440)</f>
        <v/>
      </c>
      <c r="I262" s="19" t="str">
        <f aca="false">IF(OR(A262="",H262="",E262="İptal"),"",IF(COUNTIFS($A$5:$A$1004,A262,$B$5:$B$1004,"&lt;"&amp;(H262-0.0003),$H$5:$H$1004,"&gt;"&amp;(B262+0.0003),$E$5:$E$1004,"&lt;&gt;İptal")&gt;1,"Çakışıyor",""))</f>
        <v/>
      </c>
      <c r="J262" s="21" t="str">
        <f aca="false">IF(AND(A262=Gün!$C$3,B262&lt;&gt;"",E262&lt;&gt;"İptal"),B262+ROW()/100000000,"")</f>
        <v/>
      </c>
    </row>
    <row r="263" customFormat="false" ht="15" hidden="false" customHeight="false" outlineLevel="0" collapsed="false">
      <c r="A263" s="12"/>
      <c r="B263" s="13"/>
      <c r="C263" s="14"/>
      <c r="D263" s="14"/>
      <c r="E263" s="15"/>
      <c r="F263" s="16"/>
      <c r="G263" s="17" t="str">
        <f aca="false">IF(D263="","",IF(E263="Geldi",IF(F263="",IFERROR(INDEX(Hizmetler!$C$5:$C$54,MATCH(D263,Hizmetler!$A$5:$A$54,0)),0),F263),0))</f>
        <v/>
      </c>
      <c r="H263" s="18" t="str">
        <f aca="false">IF(OR(B263="",D263=""),"",ROUND((B263+IFERROR(INDEX(Hizmetler!$B$5:$B$54,MATCH(D263,Hizmetler!$A$5:$A$54,0)),0)/1440)*1440,0)/1440)</f>
        <v/>
      </c>
      <c r="I263" s="19" t="str">
        <f aca="false">IF(OR(A263="",H263="",E263="İptal"),"",IF(COUNTIFS($A$5:$A$1004,A263,$B$5:$B$1004,"&lt;"&amp;(H263-0.0003),$H$5:$H$1004,"&gt;"&amp;(B263+0.0003),$E$5:$E$1004,"&lt;&gt;İptal")&gt;1,"Çakışıyor",""))</f>
        <v/>
      </c>
      <c r="J263" s="21" t="str">
        <f aca="false">IF(AND(A263=Gün!$C$3,B263&lt;&gt;"",E263&lt;&gt;"İptal"),B263+ROW()/100000000,"")</f>
        <v/>
      </c>
    </row>
    <row r="264" customFormat="false" ht="15" hidden="false" customHeight="false" outlineLevel="0" collapsed="false">
      <c r="A264" s="12"/>
      <c r="B264" s="13"/>
      <c r="C264" s="14"/>
      <c r="D264" s="14"/>
      <c r="E264" s="15"/>
      <c r="F264" s="16"/>
      <c r="G264" s="17" t="str">
        <f aca="false">IF(D264="","",IF(E264="Geldi",IF(F264="",IFERROR(INDEX(Hizmetler!$C$5:$C$54,MATCH(D264,Hizmetler!$A$5:$A$54,0)),0),F264),0))</f>
        <v/>
      </c>
      <c r="H264" s="18" t="str">
        <f aca="false">IF(OR(B264="",D264=""),"",ROUND((B264+IFERROR(INDEX(Hizmetler!$B$5:$B$54,MATCH(D264,Hizmetler!$A$5:$A$54,0)),0)/1440)*1440,0)/1440)</f>
        <v/>
      </c>
      <c r="I264" s="19" t="str">
        <f aca="false">IF(OR(A264="",H264="",E264="İptal"),"",IF(COUNTIFS($A$5:$A$1004,A264,$B$5:$B$1004,"&lt;"&amp;(H264-0.0003),$H$5:$H$1004,"&gt;"&amp;(B264+0.0003),$E$5:$E$1004,"&lt;&gt;İptal")&gt;1,"Çakışıyor",""))</f>
        <v/>
      </c>
      <c r="J264" s="21" t="str">
        <f aca="false">IF(AND(A264=Gün!$C$3,B264&lt;&gt;"",E264&lt;&gt;"İptal"),B264+ROW()/100000000,"")</f>
        <v/>
      </c>
    </row>
    <row r="265" customFormat="false" ht="15" hidden="false" customHeight="false" outlineLevel="0" collapsed="false">
      <c r="A265" s="12"/>
      <c r="B265" s="13"/>
      <c r="C265" s="14"/>
      <c r="D265" s="14"/>
      <c r="E265" s="15"/>
      <c r="F265" s="16"/>
      <c r="G265" s="17" t="str">
        <f aca="false">IF(D265="","",IF(E265="Geldi",IF(F265="",IFERROR(INDEX(Hizmetler!$C$5:$C$54,MATCH(D265,Hizmetler!$A$5:$A$54,0)),0),F265),0))</f>
        <v/>
      </c>
      <c r="H265" s="18" t="str">
        <f aca="false">IF(OR(B265="",D265=""),"",ROUND((B265+IFERROR(INDEX(Hizmetler!$B$5:$B$54,MATCH(D265,Hizmetler!$A$5:$A$54,0)),0)/1440)*1440,0)/1440)</f>
        <v/>
      </c>
      <c r="I265" s="19" t="str">
        <f aca="false">IF(OR(A265="",H265="",E265="İptal"),"",IF(COUNTIFS($A$5:$A$1004,A265,$B$5:$B$1004,"&lt;"&amp;(H265-0.0003),$H$5:$H$1004,"&gt;"&amp;(B265+0.0003),$E$5:$E$1004,"&lt;&gt;İptal")&gt;1,"Çakışıyor",""))</f>
        <v/>
      </c>
      <c r="J265" s="21" t="str">
        <f aca="false">IF(AND(A265=Gün!$C$3,B265&lt;&gt;"",E265&lt;&gt;"İptal"),B265+ROW()/100000000,"")</f>
        <v/>
      </c>
    </row>
    <row r="266" customFormat="false" ht="15" hidden="false" customHeight="false" outlineLevel="0" collapsed="false">
      <c r="A266" s="12"/>
      <c r="B266" s="13"/>
      <c r="C266" s="14"/>
      <c r="D266" s="14"/>
      <c r="E266" s="15"/>
      <c r="F266" s="16"/>
      <c r="G266" s="17" t="str">
        <f aca="false">IF(D266="","",IF(E266="Geldi",IF(F266="",IFERROR(INDEX(Hizmetler!$C$5:$C$54,MATCH(D266,Hizmetler!$A$5:$A$54,0)),0),F266),0))</f>
        <v/>
      </c>
      <c r="H266" s="18" t="str">
        <f aca="false">IF(OR(B266="",D266=""),"",ROUND((B266+IFERROR(INDEX(Hizmetler!$B$5:$B$54,MATCH(D266,Hizmetler!$A$5:$A$54,0)),0)/1440)*1440,0)/1440)</f>
        <v/>
      </c>
      <c r="I266" s="19" t="str">
        <f aca="false">IF(OR(A266="",H266="",E266="İptal"),"",IF(COUNTIFS($A$5:$A$1004,A266,$B$5:$B$1004,"&lt;"&amp;(H266-0.0003),$H$5:$H$1004,"&gt;"&amp;(B266+0.0003),$E$5:$E$1004,"&lt;&gt;İptal")&gt;1,"Çakışıyor",""))</f>
        <v/>
      </c>
      <c r="J266" s="21" t="str">
        <f aca="false">IF(AND(A266=Gün!$C$3,B266&lt;&gt;"",E266&lt;&gt;"İptal"),B266+ROW()/100000000,"")</f>
        <v/>
      </c>
    </row>
    <row r="267" customFormat="false" ht="15" hidden="false" customHeight="false" outlineLevel="0" collapsed="false">
      <c r="A267" s="12"/>
      <c r="B267" s="13"/>
      <c r="C267" s="14"/>
      <c r="D267" s="14"/>
      <c r="E267" s="15"/>
      <c r="F267" s="16"/>
      <c r="G267" s="17" t="str">
        <f aca="false">IF(D267="","",IF(E267="Geldi",IF(F267="",IFERROR(INDEX(Hizmetler!$C$5:$C$54,MATCH(D267,Hizmetler!$A$5:$A$54,0)),0),F267),0))</f>
        <v/>
      </c>
      <c r="H267" s="18" t="str">
        <f aca="false">IF(OR(B267="",D267=""),"",ROUND((B267+IFERROR(INDEX(Hizmetler!$B$5:$B$54,MATCH(D267,Hizmetler!$A$5:$A$54,0)),0)/1440)*1440,0)/1440)</f>
        <v/>
      </c>
      <c r="I267" s="19" t="str">
        <f aca="false">IF(OR(A267="",H267="",E267="İptal"),"",IF(COUNTIFS($A$5:$A$1004,A267,$B$5:$B$1004,"&lt;"&amp;(H267-0.0003),$H$5:$H$1004,"&gt;"&amp;(B267+0.0003),$E$5:$E$1004,"&lt;&gt;İptal")&gt;1,"Çakışıyor",""))</f>
        <v/>
      </c>
      <c r="J267" s="21" t="str">
        <f aca="false">IF(AND(A267=Gün!$C$3,B267&lt;&gt;"",E267&lt;&gt;"İptal"),B267+ROW()/100000000,"")</f>
        <v/>
      </c>
    </row>
    <row r="268" customFormat="false" ht="15" hidden="false" customHeight="false" outlineLevel="0" collapsed="false">
      <c r="A268" s="12"/>
      <c r="B268" s="13"/>
      <c r="C268" s="14"/>
      <c r="D268" s="14"/>
      <c r="E268" s="15"/>
      <c r="F268" s="16"/>
      <c r="G268" s="17" t="str">
        <f aca="false">IF(D268="","",IF(E268="Geldi",IF(F268="",IFERROR(INDEX(Hizmetler!$C$5:$C$54,MATCH(D268,Hizmetler!$A$5:$A$54,0)),0),F268),0))</f>
        <v/>
      </c>
      <c r="H268" s="18" t="str">
        <f aca="false">IF(OR(B268="",D268=""),"",ROUND((B268+IFERROR(INDEX(Hizmetler!$B$5:$B$54,MATCH(D268,Hizmetler!$A$5:$A$54,0)),0)/1440)*1440,0)/1440)</f>
        <v/>
      </c>
      <c r="I268" s="19" t="str">
        <f aca="false">IF(OR(A268="",H268="",E268="İptal"),"",IF(COUNTIFS($A$5:$A$1004,A268,$B$5:$B$1004,"&lt;"&amp;(H268-0.0003),$H$5:$H$1004,"&gt;"&amp;(B268+0.0003),$E$5:$E$1004,"&lt;&gt;İptal")&gt;1,"Çakışıyor",""))</f>
        <v/>
      </c>
      <c r="J268" s="21" t="str">
        <f aca="false">IF(AND(A268=Gün!$C$3,B268&lt;&gt;"",E268&lt;&gt;"İptal"),B268+ROW()/100000000,"")</f>
        <v/>
      </c>
    </row>
    <row r="269" customFormat="false" ht="15" hidden="false" customHeight="false" outlineLevel="0" collapsed="false">
      <c r="A269" s="12"/>
      <c r="B269" s="13"/>
      <c r="C269" s="14"/>
      <c r="D269" s="14"/>
      <c r="E269" s="15"/>
      <c r="F269" s="16"/>
      <c r="G269" s="17" t="str">
        <f aca="false">IF(D269="","",IF(E269="Geldi",IF(F269="",IFERROR(INDEX(Hizmetler!$C$5:$C$54,MATCH(D269,Hizmetler!$A$5:$A$54,0)),0),F269),0))</f>
        <v/>
      </c>
      <c r="H269" s="18" t="str">
        <f aca="false">IF(OR(B269="",D269=""),"",ROUND((B269+IFERROR(INDEX(Hizmetler!$B$5:$B$54,MATCH(D269,Hizmetler!$A$5:$A$54,0)),0)/1440)*1440,0)/1440)</f>
        <v/>
      </c>
      <c r="I269" s="19" t="str">
        <f aca="false">IF(OR(A269="",H269="",E269="İptal"),"",IF(COUNTIFS($A$5:$A$1004,A269,$B$5:$B$1004,"&lt;"&amp;(H269-0.0003),$H$5:$H$1004,"&gt;"&amp;(B269+0.0003),$E$5:$E$1004,"&lt;&gt;İptal")&gt;1,"Çakışıyor",""))</f>
        <v/>
      </c>
      <c r="J269" s="21" t="str">
        <f aca="false">IF(AND(A269=Gün!$C$3,B269&lt;&gt;"",E269&lt;&gt;"İptal"),B269+ROW()/100000000,"")</f>
        <v/>
      </c>
    </row>
    <row r="270" customFormat="false" ht="15" hidden="false" customHeight="false" outlineLevel="0" collapsed="false">
      <c r="A270" s="12"/>
      <c r="B270" s="13"/>
      <c r="C270" s="14"/>
      <c r="D270" s="14"/>
      <c r="E270" s="15"/>
      <c r="F270" s="16"/>
      <c r="G270" s="17" t="str">
        <f aca="false">IF(D270="","",IF(E270="Geldi",IF(F270="",IFERROR(INDEX(Hizmetler!$C$5:$C$54,MATCH(D270,Hizmetler!$A$5:$A$54,0)),0),F270),0))</f>
        <v/>
      </c>
      <c r="H270" s="18" t="str">
        <f aca="false">IF(OR(B270="",D270=""),"",ROUND((B270+IFERROR(INDEX(Hizmetler!$B$5:$B$54,MATCH(D270,Hizmetler!$A$5:$A$54,0)),0)/1440)*1440,0)/1440)</f>
        <v/>
      </c>
      <c r="I270" s="19" t="str">
        <f aca="false">IF(OR(A270="",H270="",E270="İptal"),"",IF(COUNTIFS($A$5:$A$1004,A270,$B$5:$B$1004,"&lt;"&amp;(H270-0.0003),$H$5:$H$1004,"&gt;"&amp;(B270+0.0003),$E$5:$E$1004,"&lt;&gt;İptal")&gt;1,"Çakışıyor",""))</f>
        <v/>
      </c>
      <c r="J270" s="21" t="str">
        <f aca="false">IF(AND(A270=Gün!$C$3,B270&lt;&gt;"",E270&lt;&gt;"İptal"),B270+ROW()/100000000,"")</f>
        <v/>
      </c>
    </row>
    <row r="271" customFormat="false" ht="15" hidden="false" customHeight="false" outlineLevel="0" collapsed="false">
      <c r="A271" s="12"/>
      <c r="B271" s="13"/>
      <c r="C271" s="14"/>
      <c r="D271" s="14"/>
      <c r="E271" s="15"/>
      <c r="F271" s="16"/>
      <c r="G271" s="17" t="str">
        <f aca="false">IF(D271="","",IF(E271="Geldi",IF(F271="",IFERROR(INDEX(Hizmetler!$C$5:$C$54,MATCH(D271,Hizmetler!$A$5:$A$54,0)),0),F271),0))</f>
        <v/>
      </c>
      <c r="H271" s="18" t="str">
        <f aca="false">IF(OR(B271="",D271=""),"",ROUND((B271+IFERROR(INDEX(Hizmetler!$B$5:$B$54,MATCH(D271,Hizmetler!$A$5:$A$54,0)),0)/1440)*1440,0)/1440)</f>
        <v/>
      </c>
      <c r="I271" s="19" t="str">
        <f aca="false">IF(OR(A271="",H271="",E271="İptal"),"",IF(COUNTIFS($A$5:$A$1004,A271,$B$5:$B$1004,"&lt;"&amp;(H271-0.0003),$H$5:$H$1004,"&gt;"&amp;(B271+0.0003),$E$5:$E$1004,"&lt;&gt;İptal")&gt;1,"Çakışıyor",""))</f>
        <v/>
      </c>
      <c r="J271" s="21" t="str">
        <f aca="false">IF(AND(A271=Gün!$C$3,B271&lt;&gt;"",E271&lt;&gt;"İptal"),B271+ROW()/100000000,"")</f>
        <v/>
      </c>
    </row>
    <row r="272" customFormat="false" ht="15" hidden="false" customHeight="false" outlineLevel="0" collapsed="false">
      <c r="A272" s="12"/>
      <c r="B272" s="13"/>
      <c r="C272" s="14"/>
      <c r="D272" s="14"/>
      <c r="E272" s="15"/>
      <c r="F272" s="16"/>
      <c r="G272" s="17" t="str">
        <f aca="false">IF(D272="","",IF(E272="Geldi",IF(F272="",IFERROR(INDEX(Hizmetler!$C$5:$C$54,MATCH(D272,Hizmetler!$A$5:$A$54,0)),0),F272),0))</f>
        <v/>
      </c>
      <c r="H272" s="18" t="str">
        <f aca="false">IF(OR(B272="",D272=""),"",ROUND((B272+IFERROR(INDEX(Hizmetler!$B$5:$B$54,MATCH(D272,Hizmetler!$A$5:$A$54,0)),0)/1440)*1440,0)/1440)</f>
        <v/>
      </c>
      <c r="I272" s="19" t="str">
        <f aca="false">IF(OR(A272="",H272="",E272="İptal"),"",IF(COUNTIFS($A$5:$A$1004,A272,$B$5:$B$1004,"&lt;"&amp;(H272-0.0003),$H$5:$H$1004,"&gt;"&amp;(B272+0.0003),$E$5:$E$1004,"&lt;&gt;İptal")&gt;1,"Çakışıyor",""))</f>
        <v/>
      </c>
      <c r="J272" s="21" t="str">
        <f aca="false">IF(AND(A272=Gün!$C$3,B272&lt;&gt;"",E272&lt;&gt;"İptal"),B272+ROW()/100000000,"")</f>
        <v/>
      </c>
    </row>
    <row r="273" customFormat="false" ht="15" hidden="false" customHeight="false" outlineLevel="0" collapsed="false">
      <c r="A273" s="12"/>
      <c r="B273" s="13"/>
      <c r="C273" s="14"/>
      <c r="D273" s="14"/>
      <c r="E273" s="15"/>
      <c r="F273" s="16"/>
      <c r="G273" s="17" t="str">
        <f aca="false">IF(D273="","",IF(E273="Geldi",IF(F273="",IFERROR(INDEX(Hizmetler!$C$5:$C$54,MATCH(D273,Hizmetler!$A$5:$A$54,0)),0),F273),0))</f>
        <v/>
      </c>
      <c r="H273" s="18" t="str">
        <f aca="false">IF(OR(B273="",D273=""),"",ROUND((B273+IFERROR(INDEX(Hizmetler!$B$5:$B$54,MATCH(D273,Hizmetler!$A$5:$A$54,0)),0)/1440)*1440,0)/1440)</f>
        <v/>
      </c>
      <c r="I273" s="19" t="str">
        <f aca="false">IF(OR(A273="",H273="",E273="İptal"),"",IF(COUNTIFS($A$5:$A$1004,A273,$B$5:$B$1004,"&lt;"&amp;(H273-0.0003),$H$5:$H$1004,"&gt;"&amp;(B273+0.0003),$E$5:$E$1004,"&lt;&gt;İptal")&gt;1,"Çakışıyor",""))</f>
        <v/>
      </c>
      <c r="J273" s="21" t="str">
        <f aca="false">IF(AND(A273=Gün!$C$3,B273&lt;&gt;"",E273&lt;&gt;"İptal"),B273+ROW()/100000000,"")</f>
        <v/>
      </c>
    </row>
    <row r="274" customFormat="false" ht="15" hidden="false" customHeight="false" outlineLevel="0" collapsed="false">
      <c r="A274" s="12"/>
      <c r="B274" s="13"/>
      <c r="C274" s="14"/>
      <c r="D274" s="14"/>
      <c r="E274" s="15"/>
      <c r="F274" s="16"/>
      <c r="G274" s="17" t="str">
        <f aca="false">IF(D274="","",IF(E274="Geldi",IF(F274="",IFERROR(INDEX(Hizmetler!$C$5:$C$54,MATCH(D274,Hizmetler!$A$5:$A$54,0)),0),F274),0))</f>
        <v/>
      </c>
      <c r="H274" s="18" t="str">
        <f aca="false">IF(OR(B274="",D274=""),"",ROUND((B274+IFERROR(INDEX(Hizmetler!$B$5:$B$54,MATCH(D274,Hizmetler!$A$5:$A$54,0)),0)/1440)*1440,0)/1440)</f>
        <v/>
      </c>
      <c r="I274" s="19" t="str">
        <f aca="false">IF(OR(A274="",H274="",E274="İptal"),"",IF(COUNTIFS($A$5:$A$1004,A274,$B$5:$B$1004,"&lt;"&amp;(H274-0.0003),$H$5:$H$1004,"&gt;"&amp;(B274+0.0003),$E$5:$E$1004,"&lt;&gt;İptal")&gt;1,"Çakışıyor",""))</f>
        <v/>
      </c>
      <c r="J274" s="21" t="str">
        <f aca="false">IF(AND(A274=Gün!$C$3,B274&lt;&gt;"",E274&lt;&gt;"İptal"),B274+ROW()/100000000,"")</f>
        <v/>
      </c>
    </row>
    <row r="275" customFormat="false" ht="15" hidden="false" customHeight="false" outlineLevel="0" collapsed="false">
      <c r="A275" s="12"/>
      <c r="B275" s="13"/>
      <c r="C275" s="14"/>
      <c r="D275" s="14"/>
      <c r="E275" s="15"/>
      <c r="F275" s="16"/>
      <c r="G275" s="17" t="str">
        <f aca="false">IF(D275="","",IF(E275="Geldi",IF(F275="",IFERROR(INDEX(Hizmetler!$C$5:$C$54,MATCH(D275,Hizmetler!$A$5:$A$54,0)),0),F275),0))</f>
        <v/>
      </c>
      <c r="H275" s="18" t="str">
        <f aca="false">IF(OR(B275="",D275=""),"",ROUND((B275+IFERROR(INDEX(Hizmetler!$B$5:$B$54,MATCH(D275,Hizmetler!$A$5:$A$54,0)),0)/1440)*1440,0)/1440)</f>
        <v/>
      </c>
      <c r="I275" s="19" t="str">
        <f aca="false">IF(OR(A275="",H275="",E275="İptal"),"",IF(COUNTIFS($A$5:$A$1004,A275,$B$5:$B$1004,"&lt;"&amp;(H275-0.0003),$H$5:$H$1004,"&gt;"&amp;(B275+0.0003),$E$5:$E$1004,"&lt;&gt;İptal")&gt;1,"Çakışıyor",""))</f>
        <v/>
      </c>
      <c r="J275" s="21" t="str">
        <f aca="false">IF(AND(A275=Gün!$C$3,B275&lt;&gt;"",E275&lt;&gt;"İptal"),B275+ROW()/100000000,"")</f>
        <v/>
      </c>
    </row>
    <row r="276" customFormat="false" ht="15" hidden="false" customHeight="false" outlineLevel="0" collapsed="false">
      <c r="A276" s="12"/>
      <c r="B276" s="13"/>
      <c r="C276" s="14"/>
      <c r="D276" s="14"/>
      <c r="E276" s="15"/>
      <c r="F276" s="16"/>
      <c r="G276" s="17" t="str">
        <f aca="false">IF(D276="","",IF(E276="Geldi",IF(F276="",IFERROR(INDEX(Hizmetler!$C$5:$C$54,MATCH(D276,Hizmetler!$A$5:$A$54,0)),0),F276),0))</f>
        <v/>
      </c>
      <c r="H276" s="18" t="str">
        <f aca="false">IF(OR(B276="",D276=""),"",ROUND((B276+IFERROR(INDEX(Hizmetler!$B$5:$B$54,MATCH(D276,Hizmetler!$A$5:$A$54,0)),0)/1440)*1440,0)/1440)</f>
        <v/>
      </c>
      <c r="I276" s="19" t="str">
        <f aca="false">IF(OR(A276="",H276="",E276="İptal"),"",IF(COUNTIFS($A$5:$A$1004,A276,$B$5:$B$1004,"&lt;"&amp;(H276-0.0003),$H$5:$H$1004,"&gt;"&amp;(B276+0.0003),$E$5:$E$1004,"&lt;&gt;İptal")&gt;1,"Çakışıyor",""))</f>
        <v/>
      </c>
      <c r="J276" s="21" t="str">
        <f aca="false">IF(AND(A276=Gün!$C$3,B276&lt;&gt;"",E276&lt;&gt;"İptal"),B276+ROW()/100000000,"")</f>
        <v/>
      </c>
    </row>
    <row r="277" customFormat="false" ht="15" hidden="false" customHeight="false" outlineLevel="0" collapsed="false">
      <c r="A277" s="12"/>
      <c r="B277" s="13"/>
      <c r="C277" s="14"/>
      <c r="D277" s="14"/>
      <c r="E277" s="15"/>
      <c r="F277" s="16"/>
      <c r="G277" s="17" t="str">
        <f aca="false">IF(D277="","",IF(E277="Geldi",IF(F277="",IFERROR(INDEX(Hizmetler!$C$5:$C$54,MATCH(D277,Hizmetler!$A$5:$A$54,0)),0),F277),0))</f>
        <v/>
      </c>
      <c r="H277" s="18" t="str">
        <f aca="false">IF(OR(B277="",D277=""),"",ROUND((B277+IFERROR(INDEX(Hizmetler!$B$5:$B$54,MATCH(D277,Hizmetler!$A$5:$A$54,0)),0)/1440)*1440,0)/1440)</f>
        <v/>
      </c>
      <c r="I277" s="19" t="str">
        <f aca="false">IF(OR(A277="",H277="",E277="İptal"),"",IF(COUNTIFS($A$5:$A$1004,A277,$B$5:$B$1004,"&lt;"&amp;(H277-0.0003),$H$5:$H$1004,"&gt;"&amp;(B277+0.0003),$E$5:$E$1004,"&lt;&gt;İptal")&gt;1,"Çakışıyor",""))</f>
        <v/>
      </c>
      <c r="J277" s="21" t="str">
        <f aca="false">IF(AND(A277=Gün!$C$3,B277&lt;&gt;"",E277&lt;&gt;"İptal"),B277+ROW()/100000000,"")</f>
        <v/>
      </c>
    </row>
    <row r="278" customFormat="false" ht="15" hidden="false" customHeight="false" outlineLevel="0" collapsed="false">
      <c r="A278" s="12"/>
      <c r="B278" s="13"/>
      <c r="C278" s="14"/>
      <c r="D278" s="14"/>
      <c r="E278" s="15"/>
      <c r="F278" s="16"/>
      <c r="G278" s="17" t="str">
        <f aca="false">IF(D278="","",IF(E278="Geldi",IF(F278="",IFERROR(INDEX(Hizmetler!$C$5:$C$54,MATCH(D278,Hizmetler!$A$5:$A$54,0)),0),F278),0))</f>
        <v/>
      </c>
      <c r="H278" s="18" t="str">
        <f aca="false">IF(OR(B278="",D278=""),"",ROUND((B278+IFERROR(INDEX(Hizmetler!$B$5:$B$54,MATCH(D278,Hizmetler!$A$5:$A$54,0)),0)/1440)*1440,0)/1440)</f>
        <v/>
      </c>
      <c r="I278" s="19" t="str">
        <f aca="false">IF(OR(A278="",H278="",E278="İptal"),"",IF(COUNTIFS($A$5:$A$1004,A278,$B$5:$B$1004,"&lt;"&amp;(H278-0.0003),$H$5:$H$1004,"&gt;"&amp;(B278+0.0003),$E$5:$E$1004,"&lt;&gt;İptal")&gt;1,"Çakışıyor",""))</f>
        <v/>
      </c>
      <c r="J278" s="21" t="str">
        <f aca="false">IF(AND(A278=Gün!$C$3,B278&lt;&gt;"",E278&lt;&gt;"İptal"),B278+ROW()/100000000,"")</f>
        <v/>
      </c>
    </row>
    <row r="279" customFormat="false" ht="15" hidden="false" customHeight="false" outlineLevel="0" collapsed="false">
      <c r="A279" s="12"/>
      <c r="B279" s="13"/>
      <c r="C279" s="14"/>
      <c r="D279" s="14"/>
      <c r="E279" s="15"/>
      <c r="F279" s="16"/>
      <c r="G279" s="17" t="str">
        <f aca="false">IF(D279="","",IF(E279="Geldi",IF(F279="",IFERROR(INDEX(Hizmetler!$C$5:$C$54,MATCH(D279,Hizmetler!$A$5:$A$54,0)),0),F279),0))</f>
        <v/>
      </c>
      <c r="H279" s="18" t="str">
        <f aca="false">IF(OR(B279="",D279=""),"",ROUND((B279+IFERROR(INDEX(Hizmetler!$B$5:$B$54,MATCH(D279,Hizmetler!$A$5:$A$54,0)),0)/1440)*1440,0)/1440)</f>
        <v/>
      </c>
      <c r="I279" s="19" t="str">
        <f aca="false">IF(OR(A279="",H279="",E279="İptal"),"",IF(COUNTIFS($A$5:$A$1004,A279,$B$5:$B$1004,"&lt;"&amp;(H279-0.0003),$H$5:$H$1004,"&gt;"&amp;(B279+0.0003),$E$5:$E$1004,"&lt;&gt;İptal")&gt;1,"Çakışıyor",""))</f>
        <v/>
      </c>
      <c r="J279" s="21" t="str">
        <f aca="false">IF(AND(A279=Gün!$C$3,B279&lt;&gt;"",E279&lt;&gt;"İptal"),B279+ROW()/100000000,"")</f>
        <v/>
      </c>
    </row>
    <row r="280" customFormat="false" ht="15" hidden="false" customHeight="false" outlineLevel="0" collapsed="false">
      <c r="A280" s="12"/>
      <c r="B280" s="13"/>
      <c r="C280" s="14"/>
      <c r="D280" s="14"/>
      <c r="E280" s="15"/>
      <c r="F280" s="16"/>
      <c r="G280" s="17" t="str">
        <f aca="false">IF(D280="","",IF(E280="Geldi",IF(F280="",IFERROR(INDEX(Hizmetler!$C$5:$C$54,MATCH(D280,Hizmetler!$A$5:$A$54,0)),0),F280),0))</f>
        <v/>
      </c>
      <c r="H280" s="18" t="str">
        <f aca="false">IF(OR(B280="",D280=""),"",ROUND((B280+IFERROR(INDEX(Hizmetler!$B$5:$B$54,MATCH(D280,Hizmetler!$A$5:$A$54,0)),0)/1440)*1440,0)/1440)</f>
        <v/>
      </c>
      <c r="I280" s="19" t="str">
        <f aca="false">IF(OR(A280="",H280="",E280="İptal"),"",IF(COUNTIFS($A$5:$A$1004,A280,$B$5:$B$1004,"&lt;"&amp;(H280-0.0003),$H$5:$H$1004,"&gt;"&amp;(B280+0.0003),$E$5:$E$1004,"&lt;&gt;İptal")&gt;1,"Çakışıyor",""))</f>
        <v/>
      </c>
      <c r="J280" s="21" t="str">
        <f aca="false">IF(AND(A280=Gün!$C$3,B280&lt;&gt;"",E280&lt;&gt;"İptal"),B280+ROW()/100000000,"")</f>
        <v/>
      </c>
    </row>
    <row r="281" customFormat="false" ht="15" hidden="false" customHeight="false" outlineLevel="0" collapsed="false">
      <c r="A281" s="12"/>
      <c r="B281" s="13"/>
      <c r="C281" s="14"/>
      <c r="D281" s="14"/>
      <c r="E281" s="15"/>
      <c r="F281" s="16"/>
      <c r="G281" s="17" t="str">
        <f aca="false">IF(D281="","",IF(E281="Geldi",IF(F281="",IFERROR(INDEX(Hizmetler!$C$5:$C$54,MATCH(D281,Hizmetler!$A$5:$A$54,0)),0),F281),0))</f>
        <v/>
      </c>
      <c r="H281" s="18" t="str">
        <f aca="false">IF(OR(B281="",D281=""),"",ROUND((B281+IFERROR(INDEX(Hizmetler!$B$5:$B$54,MATCH(D281,Hizmetler!$A$5:$A$54,0)),0)/1440)*1440,0)/1440)</f>
        <v/>
      </c>
      <c r="I281" s="19" t="str">
        <f aca="false">IF(OR(A281="",H281="",E281="İptal"),"",IF(COUNTIFS($A$5:$A$1004,A281,$B$5:$B$1004,"&lt;"&amp;(H281-0.0003),$H$5:$H$1004,"&gt;"&amp;(B281+0.0003),$E$5:$E$1004,"&lt;&gt;İptal")&gt;1,"Çakışıyor",""))</f>
        <v/>
      </c>
      <c r="J281" s="21" t="str">
        <f aca="false">IF(AND(A281=Gün!$C$3,B281&lt;&gt;"",E281&lt;&gt;"İptal"),B281+ROW()/100000000,"")</f>
        <v/>
      </c>
    </row>
    <row r="282" customFormat="false" ht="15" hidden="false" customHeight="false" outlineLevel="0" collapsed="false">
      <c r="A282" s="12"/>
      <c r="B282" s="13"/>
      <c r="C282" s="14"/>
      <c r="D282" s="14"/>
      <c r="E282" s="15"/>
      <c r="F282" s="16"/>
      <c r="G282" s="17" t="str">
        <f aca="false">IF(D282="","",IF(E282="Geldi",IF(F282="",IFERROR(INDEX(Hizmetler!$C$5:$C$54,MATCH(D282,Hizmetler!$A$5:$A$54,0)),0),F282),0))</f>
        <v/>
      </c>
      <c r="H282" s="18" t="str">
        <f aca="false">IF(OR(B282="",D282=""),"",ROUND((B282+IFERROR(INDEX(Hizmetler!$B$5:$B$54,MATCH(D282,Hizmetler!$A$5:$A$54,0)),0)/1440)*1440,0)/1440)</f>
        <v/>
      </c>
      <c r="I282" s="19" t="str">
        <f aca="false">IF(OR(A282="",H282="",E282="İptal"),"",IF(COUNTIFS($A$5:$A$1004,A282,$B$5:$B$1004,"&lt;"&amp;(H282-0.0003),$H$5:$H$1004,"&gt;"&amp;(B282+0.0003),$E$5:$E$1004,"&lt;&gt;İptal")&gt;1,"Çakışıyor",""))</f>
        <v/>
      </c>
      <c r="J282" s="21" t="str">
        <f aca="false">IF(AND(A282=Gün!$C$3,B282&lt;&gt;"",E282&lt;&gt;"İptal"),B282+ROW()/100000000,"")</f>
        <v/>
      </c>
    </row>
    <row r="283" customFormat="false" ht="15" hidden="false" customHeight="false" outlineLevel="0" collapsed="false">
      <c r="A283" s="12"/>
      <c r="B283" s="13"/>
      <c r="C283" s="14"/>
      <c r="D283" s="14"/>
      <c r="E283" s="15"/>
      <c r="F283" s="16"/>
      <c r="G283" s="17" t="str">
        <f aca="false">IF(D283="","",IF(E283="Geldi",IF(F283="",IFERROR(INDEX(Hizmetler!$C$5:$C$54,MATCH(D283,Hizmetler!$A$5:$A$54,0)),0),F283),0))</f>
        <v/>
      </c>
      <c r="H283" s="18" t="str">
        <f aca="false">IF(OR(B283="",D283=""),"",ROUND((B283+IFERROR(INDEX(Hizmetler!$B$5:$B$54,MATCH(D283,Hizmetler!$A$5:$A$54,0)),0)/1440)*1440,0)/1440)</f>
        <v/>
      </c>
      <c r="I283" s="19" t="str">
        <f aca="false">IF(OR(A283="",H283="",E283="İptal"),"",IF(COUNTIFS($A$5:$A$1004,A283,$B$5:$B$1004,"&lt;"&amp;(H283-0.0003),$H$5:$H$1004,"&gt;"&amp;(B283+0.0003),$E$5:$E$1004,"&lt;&gt;İptal")&gt;1,"Çakışıyor",""))</f>
        <v/>
      </c>
      <c r="J283" s="21" t="str">
        <f aca="false">IF(AND(A283=Gün!$C$3,B283&lt;&gt;"",E283&lt;&gt;"İptal"),B283+ROW()/100000000,"")</f>
        <v/>
      </c>
    </row>
    <row r="284" customFormat="false" ht="15" hidden="false" customHeight="false" outlineLevel="0" collapsed="false">
      <c r="A284" s="12"/>
      <c r="B284" s="13"/>
      <c r="C284" s="14"/>
      <c r="D284" s="14"/>
      <c r="E284" s="15"/>
      <c r="F284" s="16"/>
      <c r="G284" s="17" t="str">
        <f aca="false">IF(D284="","",IF(E284="Geldi",IF(F284="",IFERROR(INDEX(Hizmetler!$C$5:$C$54,MATCH(D284,Hizmetler!$A$5:$A$54,0)),0),F284),0))</f>
        <v/>
      </c>
      <c r="H284" s="18" t="str">
        <f aca="false">IF(OR(B284="",D284=""),"",ROUND((B284+IFERROR(INDEX(Hizmetler!$B$5:$B$54,MATCH(D284,Hizmetler!$A$5:$A$54,0)),0)/1440)*1440,0)/1440)</f>
        <v/>
      </c>
      <c r="I284" s="19" t="str">
        <f aca="false">IF(OR(A284="",H284="",E284="İptal"),"",IF(COUNTIFS($A$5:$A$1004,A284,$B$5:$B$1004,"&lt;"&amp;(H284-0.0003),$H$5:$H$1004,"&gt;"&amp;(B284+0.0003),$E$5:$E$1004,"&lt;&gt;İptal")&gt;1,"Çakışıyor",""))</f>
        <v/>
      </c>
      <c r="J284" s="21" t="str">
        <f aca="false">IF(AND(A284=Gün!$C$3,B284&lt;&gt;"",E284&lt;&gt;"İptal"),B284+ROW()/100000000,"")</f>
        <v/>
      </c>
    </row>
    <row r="285" customFormat="false" ht="15" hidden="false" customHeight="false" outlineLevel="0" collapsed="false">
      <c r="A285" s="12"/>
      <c r="B285" s="13"/>
      <c r="C285" s="14"/>
      <c r="D285" s="14"/>
      <c r="E285" s="15"/>
      <c r="F285" s="16"/>
      <c r="G285" s="17" t="str">
        <f aca="false">IF(D285="","",IF(E285="Geldi",IF(F285="",IFERROR(INDEX(Hizmetler!$C$5:$C$54,MATCH(D285,Hizmetler!$A$5:$A$54,0)),0),F285),0))</f>
        <v/>
      </c>
      <c r="H285" s="18" t="str">
        <f aca="false">IF(OR(B285="",D285=""),"",ROUND((B285+IFERROR(INDEX(Hizmetler!$B$5:$B$54,MATCH(D285,Hizmetler!$A$5:$A$54,0)),0)/1440)*1440,0)/1440)</f>
        <v/>
      </c>
      <c r="I285" s="19" t="str">
        <f aca="false">IF(OR(A285="",H285="",E285="İptal"),"",IF(COUNTIFS($A$5:$A$1004,A285,$B$5:$B$1004,"&lt;"&amp;(H285-0.0003),$H$5:$H$1004,"&gt;"&amp;(B285+0.0003),$E$5:$E$1004,"&lt;&gt;İptal")&gt;1,"Çakışıyor",""))</f>
        <v/>
      </c>
      <c r="J285" s="21" t="str">
        <f aca="false">IF(AND(A285=Gün!$C$3,B285&lt;&gt;"",E285&lt;&gt;"İptal"),B285+ROW()/100000000,"")</f>
        <v/>
      </c>
    </row>
    <row r="286" customFormat="false" ht="15" hidden="false" customHeight="false" outlineLevel="0" collapsed="false">
      <c r="A286" s="12"/>
      <c r="B286" s="13"/>
      <c r="C286" s="14"/>
      <c r="D286" s="14"/>
      <c r="E286" s="15"/>
      <c r="F286" s="16"/>
      <c r="G286" s="17" t="str">
        <f aca="false">IF(D286="","",IF(E286="Geldi",IF(F286="",IFERROR(INDEX(Hizmetler!$C$5:$C$54,MATCH(D286,Hizmetler!$A$5:$A$54,0)),0),F286),0))</f>
        <v/>
      </c>
      <c r="H286" s="18" t="str">
        <f aca="false">IF(OR(B286="",D286=""),"",ROUND((B286+IFERROR(INDEX(Hizmetler!$B$5:$B$54,MATCH(D286,Hizmetler!$A$5:$A$54,0)),0)/1440)*1440,0)/1440)</f>
        <v/>
      </c>
      <c r="I286" s="19" t="str">
        <f aca="false">IF(OR(A286="",H286="",E286="İptal"),"",IF(COUNTIFS($A$5:$A$1004,A286,$B$5:$B$1004,"&lt;"&amp;(H286-0.0003),$H$5:$H$1004,"&gt;"&amp;(B286+0.0003),$E$5:$E$1004,"&lt;&gt;İptal")&gt;1,"Çakışıyor",""))</f>
        <v/>
      </c>
      <c r="J286" s="21" t="str">
        <f aca="false">IF(AND(A286=Gün!$C$3,B286&lt;&gt;"",E286&lt;&gt;"İptal"),B286+ROW()/100000000,"")</f>
        <v/>
      </c>
    </row>
    <row r="287" customFormat="false" ht="15" hidden="false" customHeight="false" outlineLevel="0" collapsed="false">
      <c r="A287" s="12"/>
      <c r="B287" s="13"/>
      <c r="C287" s="14"/>
      <c r="D287" s="14"/>
      <c r="E287" s="15"/>
      <c r="F287" s="16"/>
      <c r="G287" s="17" t="str">
        <f aca="false">IF(D287="","",IF(E287="Geldi",IF(F287="",IFERROR(INDEX(Hizmetler!$C$5:$C$54,MATCH(D287,Hizmetler!$A$5:$A$54,0)),0),F287),0))</f>
        <v/>
      </c>
      <c r="H287" s="18" t="str">
        <f aca="false">IF(OR(B287="",D287=""),"",ROUND((B287+IFERROR(INDEX(Hizmetler!$B$5:$B$54,MATCH(D287,Hizmetler!$A$5:$A$54,0)),0)/1440)*1440,0)/1440)</f>
        <v/>
      </c>
      <c r="I287" s="19" t="str">
        <f aca="false">IF(OR(A287="",H287="",E287="İptal"),"",IF(COUNTIFS($A$5:$A$1004,A287,$B$5:$B$1004,"&lt;"&amp;(H287-0.0003),$H$5:$H$1004,"&gt;"&amp;(B287+0.0003),$E$5:$E$1004,"&lt;&gt;İptal")&gt;1,"Çakışıyor",""))</f>
        <v/>
      </c>
      <c r="J287" s="21" t="str">
        <f aca="false">IF(AND(A287=Gün!$C$3,B287&lt;&gt;"",E287&lt;&gt;"İptal"),B287+ROW()/100000000,"")</f>
        <v/>
      </c>
    </row>
    <row r="288" customFormat="false" ht="15" hidden="false" customHeight="false" outlineLevel="0" collapsed="false">
      <c r="A288" s="12"/>
      <c r="B288" s="13"/>
      <c r="C288" s="14"/>
      <c r="D288" s="14"/>
      <c r="E288" s="15"/>
      <c r="F288" s="16"/>
      <c r="G288" s="17" t="str">
        <f aca="false">IF(D288="","",IF(E288="Geldi",IF(F288="",IFERROR(INDEX(Hizmetler!$C$5:$C$54,MATCH(D288,Hizmetler!$A$5:$A$54,0)),0),F288),0))</f>
        <v/>
      </c>
      <c r="H288" s="18" t="str">
        <f aca="false">IF(OR(B288="",D288=""),"",ROUND((B288+IFERROR(INDEX(Hizmetler!$B$5:$B$54,MATCH(D288,Hizmetler!$A$5:$A$54,0)),0)/1440)*1440,0)/1440)</f>
        <v/>
      </c>
      <c r="I288" s="19" t="str">
        <f aca="false">IF(OR(A288="",H288="",E288="İptal"),"",IF(COUNTIFS($A$5:$A$1004,A288,$B$5:$B$1004,"&lt;"&amp;(H288-0.0003),$H$5:$H$1004,"&gt;"&amp;(B288+0.0003),$E$5:$E$1004,"&lt;&gt;İptal")&gt;1,"Çakışıyor",""))</f>
        <v/>
      </c>
      <c r="J288" s="21" t="str">
        <f aca="false">IF(AND(A288=Gün!$C$3,B288&lt;&gt;"",E288&lt;&gt;"İptal"),B288+ROW()/100000000,"")</f>
        <v/>
      </c>
    </row>
    <row r="289" customFormat="false" ht="15" hidden="false" customHeight="false" outlineLevel="0" collapsed="false">
      <c r="A289" s="12"/>
      <c r="B289" s="13"/>
      <c r="C289" s="14"/>
      <c r="D289" s="14"/>
      <c r="E289" s="15"/>
      <c r="F289" s="16"/>
      <c r="G289" s="17" t="str">
        <f aca="false">IF(D289="","",IF(E289="Geldi",IF(F289="",IFERROR(INDEX(Hizmetler!$C$5:$C$54,MATCH(D289,Hizmetler!$A$5:$A$54,0)),0),F289),0))</f>
        <v/>
      </c>
      <c r="H289" s="18" t="str">
        <f aca="false">IF(OR(B289="",D289=""),"",ROUND((B289+IFERROR(INDEX(Hizmetler!$B$5:$B$54,MATCH(D289,Hizmetler!$A$5:$A$54,0)),0)/1440)*1440,0)/1440)</f>
        <v/>
      </c>
      <c r="I289" s="19" t="str">
        <f aca="false">IF(OR(A289="",H289="",E289="İptal"),"",IF(COUNTIFS($A$5:$A$1004,A289,$B$5:$B$1004,"&lt;"&amp;(H289-0.0003),$H$5:$H$1004,"&gt;"&amp;(B289+0.0003),$E$5:$E$1004,"&lt;&gt;İptal")&gt;1,"Çakışıyor",""))</f>
        <v/>
      </c>
      <c r="J289" s="21" t="str">
        <f aca="false">IF(AND(A289=Gün!$C$3,B289&lt;&gt;"",E289&lt;&gt;"İptal"),B289+ROW()/100000000,"")</f>
        <v/>
      </c>
    </row>
    <row r="290" customFormat="false" ht="15" hidden="false" customHeight="false" outlineLevel="0" collapsed="false">
      <c r="A290" s="12"/>
      <c r="B290" s="13"/>
      <c r="C290" s="14"/>
      <c r="D290" s="14"/>
      <c r="E290" s="15"/>
      <c r="F290" s="16"/>
      <c r="G290" s="17" t="str">
        <f aca="false">IF(D290="","",IF(E290="Geldi",IF(F290="",IFERROR(INDEX(Hizmetler!$C$5:$C$54,MATCH(D290,Hizmetler!$A$5:$A$54,0)),0),F290),0))</f>
        <v/>
      </c>
      <c r="H290" s="18" t="str">
        <f aca="false">IF(OR(B290="",D290=""),"",ROUND((B290+IFERROR(INDEX(Hizmetler!$B$5:$B$54,MATCH(D290,Hizmetler!$A$5:$A$54,0)),0)/1440)*1440,0)/1440)</f>
        <v/>
      </c>
      <c r="I290" s="19" t="str">
        <f aca="false">IF(OR(A290="",H290="",E290="İptal"),"",IF(COUNTIFS($A$5:$A$1004,A290,$B$5:$B$1004,"&lt;"&amp;(H290-0.0003),$H$5:$H$1004,"&gt;"&amp;(B290+0.0003),$E$5:$E$1004,"&lt;&gt;İptal")&gt;1,"Çakışıyor",""))</f>
        <v/>
      </c>
      <c r="J290" s="21" t="str">
        <f aca="false">IF(AND(A290=Gün!$C$3,B290&lt;&gt;"",E290&lt;&gt;"İptal"),B290+ROW()/100000000,"")</f>
        <v/>
      </c>
    </row>
    <row r="291" customFormat="false" ht="15" hidden="false" customHeight="false" outlineLevel="0" collapsed="false">
      <c r="A291" s="12"/>
      <c r="B291" s="13"/>
      <c r="C291" s="14"/>
      <c r="D291" s="14"/>
      <c r="E291" s="15"/>
      <c r="F291" s="16"/>
      <c r="G291" s="17" t="str">
        <f aca="false">IF(D291="","",IF(E291="Geldi",IF(F291="",IFERROR(INDEX(Hizmetler!$C$5:$C$54,MATCH(D291,Hizmetler!$A$5:$A$54,0)),0),F291),0))</f>
        <v/>
      </c>
      <c r="H291" s="18" t="str">
        <f aca="false">IF(OR(B291="",D291=""),"",ROUND((B291+IFERROR(INDEX(Hizmetler!$B$5:$B$54,MATCH(D291,Hizmetler!$A$5:$A$54,0)),0)/1440)*1440,0)/1440)</f>
        <v/>
      </c>
      <c r="I291" s="19" t="str">
        <f aca="false">IF(OR(A291="",H291="",E291="İptal"),"",IF(COUNTIFS($A$5:$A$1004,A291,$B$5:$B$1004,"&lt;"&amp;(H291-0.0003),$H$5:$H$1004,"&gt;"&amp;(B291+0.0003),$E$5:$E$1004,"&lt;&gt;İptal")&gt;1,"Çakışıyor",""))</f>
        <v/>
      </c>
      <c r="J291" s="21" t="str">
        <f aca="false">IF(AND(A291=Gün!$C$3,B291&lt;&gt;"",E291&lt;&gt;"İptal"),B291+ROW()/100000000,"")</f>
        <v/>
      </c>
    </row>
    <row r="292" customFormat="false" ht="15" hidden="false" customHeight="false" outlineLevel="0" collapsed="false">
      <c r="A292" s="12"/>
      <c r="B292" s="13"/>
      <c r="C292" s="14"/>
      <c r="D292" s="14"/>
      <c r="E292" s="15"/>
      <c r="F292" s="16"/>
      <c r="G292" s="17" t="str">
        <f aca="false">IF(D292="","",IF(E292="Geldi",IF(F292="",IFERROR(INDEX(Hizmetler!$C$5:$C$54,MATCH(D292,Hizmetler!$A$5:$A$54,0)),0),F292),0))</f>
        <v/>
      </c>
      <c r="H292" s="18" t="str">
        <f aca="false">IF(OR(B292="",D292=""),"",ROUND((B292+IFERROR(INDEX(Hizmetler!$B$5:$B$54,MATCH(D292,Hizmetler!$A$5:$A$54,0)),0)/1440)*1440,0)/1440)</f>
        <v/>
      </c>
      <c r="I292" s="19" t="str">
        <f aca="false">IF(OR(A292="",H292="",E292="İptal"),"",IF(COUNTIFS($A$5:$A$1004,A292,$B$5:$B$1004,"&lt;"&amp;(H292-0.0003),$H$5:$H$1004,"&gt;"&amp;(B292+0.0003),$E$5:$E$1004,"&lt;&gt;İptal")&gt;1,"Çakışıyor",""))</f>
        <v/>
      </c>
      <c r="J292" s="21" t="str">
        <f aca="false">IF(AND(A292=Gün!$C$3,B292&lt;&gt;"",E292&lt;&gt;"İptal"),B292+ROW()/100000000,"")</f>
        <v/>
      </c>
    </row>
    <row r="293" customFormat="false" ht="15" hidden="false" customHeight="false" outlineLevel="0" collapsed="false">
      <c r="A293" s="12"/>
      <c r="B293" s="13"/>
      <c r="C293" s="14"/>
      <c r="D293" s="14"/>
      <c r="E293" s="15"/>
      <c r="F293" s="16"/>
      <c r="G293" s="17" t="str">
        <f aca="false">IF(D293="","",IF(E293="Geldi",IF(F293="",IFERROR(INDEX(Hizmetler!$C$5:$C$54,MATCH(D293,Hizmetler!$A$5:$A$54,0)),0),F293),0))</f>
        <v/>
      </c>
      <c r="H293" s="18" t="str">
        <f aca="false">IF(OR(B293="",D293=""),"",ROUND((B293+IFERROR(INDEX(Hizmetler!$B$5:$B$54,MATCH(D293,Hizmetler!$A$5:$A$54,0)),0)/1440)*1440,0)/1440)</f>
        <v/>
      </c>
      <c r="I293" s="19" t="str">
        <f aca="false">IF(OR(A293="",H293="",E293="İptal"),"",IF(COUNTIFS($A$5:$A$1004,A293,$B$5:$B$1004,"&lt;"&amp;(H293-0.0003),$H$5:$H$1004,"&gt;"&amp;(B293+0.0003),$E$5:$E$1004,"&lt;&gt;İptal")&gt;1,"Çakışıyor",""))</f>
        <v/>
      </c>
      <c r="J293" s="21" t="str">
        <f aca="false">IF(AND(A293=Gün!$C$3,B293&lt;&gt;"",E293&lt;&gt;"İptal"),B293+ROW()/100000000,"")</f>
        <v/>
      </c>
    </row>
    <row r="294" customFormat="false" ht="15" hidden="false" customHeight="false" outlineLevel="0" collapsed="false">
      <c r="A294" s="12"/>
      <c r="B294" s="13"/>
      <c r="C294" s="14"/>
      <c r="D294" s="14"/>
      <c r="E294" s="15"/>
      <c r="F294" s="16"/>
      <c r="G294" s="17" t="str">
        <f aca="false">IF(D294="","",IF(E294="Geldi",IF(F294="",IFERROR(INDEX(Hizmetler!$C$5:$C$54,MATCH(D294,Hizmetler!$A$5:$A$54,0)),0),F294),0))</f>
        <v/>
      </c>
      <c r="H294" s="18" t="str">
        <f aca="false">IF(OR(B294="",D294=""),"",ROUND((B294+IFERROR(INDEX(Hizmetler!$B$5:$B$54,MATCH(D294,Hizmetler!$A$5:$A$54,0)),0)/1440)*1440,0)/1440)</f>
        <v/>
      </c>
      <c r="I294" s="19" t="str">
        <f aca="false">IF(OR(A294="",H294="",E294="İptal"),"",IF(COUNTIFS($A$5:$A$1004,A294,$B$5:$B$1004,"&lt;"&amp;(H294-0.0003),$H$5:$H$1004,"&gt;"&amp;(B294+0.0003),$E$5:$E$1004,"&lt;&gt;İptal")&gt;1,"Çakışıyor",""))</f>
        <v/>
      </c>
      <c r="J294" s="21" t="str">
        <f aca="false">IF(AND(A294=Gün!$C$3,B294&lt;&gt;"",E294&lt;&gt;"İptal"),B294+ROW()/100000000,"")</f>
        <v/>
      </c>
    </row>
    <row r="295" customFormat="false" ht="15" hidden="false" customHeight="false" outlineLevel="0" collapsed="false">
      <c r="A295" s="12"/>
      <c r="B295" s="13"/>
      <c r="C295" s="14"/>
      <c r="D295" s="14"/>
      <c r="E295" s="15"/>
      <c r="F295" s="16"/>
      <c r="G295" s="17" t="str">
        <f aca="false">IF(D295="","",IF(E295="Geldi",IF(F295="",IFERROR(INDEX(Hizmetler!$C$5:$C$54,MATCH(D295,Hizmetler!$A$5:$A$54,0)),0),F295),0))</f>
        <v/>
      </c>
      <c r="H295" s="18" t="str">
        <f aca="false">IF(OR(B295="",D295=""),"",ROUND((B295+IFERROR(INDEX(Hizmetler!$B$5:$B$54,MATCH(D295,Hizmetler!$A$5:$A$54,0)),0)/1440)*1440,0)/1440)</f>
        <v/>
      </c>
      <c r="I295" s="19" t="str">
        <f aca="false">IF(OR(A295="",H295="",E295="İptal"),"",IF(COUNTIFS($A$5:$A$1004,A295,$B$5:$B$1004,"&lt;"&amp;(H295-0.0003),$H$5:$H$1004,"&gt;"&amp;(B295+0.0003),$E$5:$E$1004,"&lt;&gt;İptal")&gt;1,"Çakışıyor",""))</f>
        <v/>
      </c>
      <c r="J295" s="21" t="str">
        <f aca="false">IF(AND(A295=Gün!$C$3,B295&lt;&gt;"",E295&lt;&gt;"İptal"),B295+ROW()/100000000,"")</f>
        <v/>
      </c>
    </row>
    <row r="296" customFormat="false" ht="15" hidden="false" customHeight="false" outlineLevel="0" collapsed="false">
      <c r="A296" s="12"/>
      <c r="B296" s="13"/>
      <c r="C296" s="14"/>
      <c r="D296" s="14"/>
      <c r="E296" s="15"/>
      <c r="F296" s="16"/>
      <c r="G296" s="17" t="str">
        <f aca="false">IF(D296="","",IF(E296="Geldi",IF(F296="",IFERROR(INDEX(Hizmetler!$C$5:$C$54,MATCH(D296,Hizmetler!$A$5:$A$54,0)),0),F296),0))</f>
        <v/>
      </c>
      <c r="H296" s="18" t="str">
        <f aca="false">IF(OR(B296="",D296=""),"",ROUND((B296+IFERROR(INDEX(Hizmetler!$B$5:$B$54,MATCH(D296,Hizmetler!$A$5:$A$54,0)),0)/1440)*1440,0)/1440)</f>
        <v/>
      </c>
      <c r="I296" s="19" t="str">
        <f aca="false">IF(OR(A296="",H296="",E296="İptal"),"",IF(COUNTIFS($A$5:$A$1004,A296,$B$5:$B$1004,"&lt;"&amp;(H296-0.0003),$H$5:$H$1004,"&gt;"&amp;(B296+0.0003),$E$5:$E$1004,"&lt;&gt;İptal")&gt;1,"Çakışıyor",""))</f>
        <v/>
      </c>
      <c r="J296" s="21" t="str">
        <f aca="false">IF(AND(A296=Gün!$C$3,B296&lt;&gt;"",E296&lt;&gt;"İptal"),B296+ROW()/100000000,"")</f>
        <v/>
      </c>
    </row>
    <row r="297" customFormat="false" ht="15" hidden="false" customHeight="false" outlineLevel="0" collapsed="false">
      <c r="A297" s="12"/>
      <c r="B297" s="13"/>
      <c r="C297" s="14"/>
      <c r="D297" s="14"/>
      <c r="E297" s="15"/>
      <c r="F297" s="16"/>
      <c r="G297" s="17" t="str">
        <f aca="false">IF(D297="","",IF(E297="Geldi",IF(F297="",IFERROR(INDEX(Hizmetler!$C$5:$C$54,MATCH(D297,Hizmetler!$A$5:$A$54,0)),0),F297),0))</f>
        <v/>
      </c>
      <c r="H297" s="18" t="str">
        <f aca="false">IF(OR(B297="",D297=""),"",ROUND((B297+IFERROR(INDEX(Hizmetler!$B$5:$B$54,MATCH(D297,Hizmetler!$A$5:$A$54,0)),0)/1440)*1440,0)/1440)</f>
        <v/>
      </c>
      <c r="I297" s="19" t="str">
        <f aca="false">IF(OR(A297="",H297="",E297="İptal"),"",IF(COUNTIFS($A$5:$A$1004,A297,$B$5:$B$1004,"&lt;"&amp;(H297-0.0003),$H$5:$H$1004,"&gt;"&amp;(B297+0.0003),$E$5:$E$1004,"&lt;&gt;İptal")&gt;1,"Çakışıyor",""))</f>
        <v/>
      </c>
      <c r="J297" s="21" t="str">
        <f aca="false">IF(AND(A297=Gün!$C$3,B297&lt;&gt;"",E297&lt;&gt;"İptal"),B297+ROW()/100000000,"")</f>
        <v/>
      </c>
    </row>
    <row r="298" customFormat="false" ht="15" hidden="false" customHeight="false" outlineLevel="0" collapsed="false">
      <c r="A298" s="12"/>
      <c r="B298" s="13"/>
      <c r="C298" s="14"/>
      <c r="D298" s="14"/>
      <c r="E298" s="15"/>
      <c r="F298" s="16"/>
      <c r="G298" s="17" t="str">
        <f aca="false">IF(D298="","",IF(E298="Geldi",IF(F298="",IFERROR(INDEX(Hizmetler!$C$5:$C$54,MATCH(D298,Hizmetler!$A$5:$A$54,0)),0),F298),0))</f>
        <v/>
      </c>
      <c r="H298" s="18" t="str">
        <f aca="false">IF(OR(B298="",D298=""),"",ROUND((B298+IFERROR(INDEX(Hizmetler!$B$5:$B$54,MATCH(D298,Hizmetler!$A$5:$A$54,0)),0)/1440)*1440,0)/1440)</f>
        <v/>
      </c>
      <c r="I298" s="19" t="str">
        <f aca="false">IF(OR(A298="",H298="",E298="İptal"),"",IF(COUNTIFS($A$5:$A$1004,A298,$B$5:$B$1004,"&lt;"&amp;(H298-0.0003),$H$5:$H$1004,"&gt;"&amp;(B298+0.0003),$E$5:$E$1004,"&lt;&gt;İptal")&gt;1,"Çakışıyor",""))</f>
        <v/>
      </c>
      <c r="J298" s="21" t="str">
        <f aca="false">IF(AND(A298=Gün!$C$3,B298&lt;&gt;"",E298&lt;&gt;"İptal"),B298+ROW()/100000000,"")</f>
        <v/>
      </c>
    </row>
    <row r="299" customFormat="false" ht="15" hidden="false" customHeight="false" outlineLevel="0" collapsed="false">
      <c r="A299" s="12"/>
      <c r="B299" s="13"/>
      <c r="C299" s="14"/>
      <c r="D299" s="14"/>
      <c r="E299" s="15"/>
      <c r="F299" s="16"/>
      <c r="G299" s="17" t="str">
        <f aca="false">IF(D299="","",IF(E299="Geldi",IF(F299="",IFERROR(INDEX(Hizmetler!$C$5:$C$54,MATCH(D299,Hizmetler!$A$5:$A$54,0)),0),F299),0))</f>
        <v/>
      </c>
      <c r="H299" s="18" t="str">
        <f aca="false">IF(OR(B299="",D299=""),"",ROUND((B299+IFERROR(INDEX(Hizmetler!$B$5:$B$54,MATCH(D299,Hizmetler!$A$5:$A$54,0)),0)/1440)*1440,0)/1440)</f>
        <v/>
      </c>
      <c r="I299" s="19" t="str">
        <f aca="false">IF(OR(A299="",H299="",E299="İptal"),"",IF(COUNTIFS($A$5:$A$1004,A299,$B$5:$B$1004,"&lt;"&amp;(H299-0.0003),$H$5:$H$1004,"&gt;"&amp;(B299+0.0003),$E$5:$E$1004,"&lt;&gt;İptal")&gt;1,"Çakışıyor",""))</f>
        <v/>
      </c>
      <c r="J299" s="21" t="str">
        <f aca="false">IF(AND(A299=Gün!$C$3,B299&lt;&gt;"",E299&lt;&gt;"İptal"),B299+ROW()/100000000,"")</f>
        <v/>
      </c>
    </row>
    <row r="300" customFormat="false" ht="15" hidden="false" customHeight="false" outlineLevel="0" collapsed="false">
      <c r="A300" s="12"/>
      <c r="B300" s="13"/>
      <c r="C300" s="14"/>
      <c r="D300" s="14"/>
      <c r="E300" s="15"/>
      <c r="F300" s="16"/>
      <c r="G300" s="17" t="str">
        <f aca="false">IF(D300="","",IF(E300="Geldi",IF(F300="",IFERROR(INDEX(Hizmetler!$C$5:$C$54,MATCH(D300,Hizmetler!$A$5:$A$54,0)),0),F300),0))</f>
        <v/>
      </c>
      <c r="H300" s="18" t="str">
        <f aca="false">IF(OR(B300="",D300=""),"",ROUND((B300+IFERROR(INDEX(Hizmetler!$B$5:$B$54,MATCH(D300,Hizmetler!$A$5:$A$54,0)),0)/1440)*1440,0)/1440)</f>
        <v/>
      </c>
      <c r="I300" s="19" t="str">
        <f aca="false">IF(OR(A300="",H300="",E300="İptal"),"",IF(COUNTIFS($A$5:$A$1004,A300,$B$5:$B$1004,"&lt;"&amp;(H300-0.0003),$H$5:$H$1004,"&gt;"&amp;(B300+0.0003),$E$5:$E$1004,"&lt;&gt;İptal")&gt;1,"Çakışıyor",""))</f>
        <v/>
      </c>
      <c r="J300" s="21" t="str">
        <f aca="false">IF(AND(A300=Gün!$C$3,B300&lt;&gt;"",E300&lt;&gt;"İptal"),B300+ROW()/100000000,"")</f>
        <v/>
      </c>
    </row>
    <row r="301" customFormat="false" ht="15" hidden="false" customHeight="false" outlineLevel="0" collapsed="false">
      <c r="A301" s="12"/>
      <c r="B301" s="13"/>
      <c r="C301" s="14"/>
      <c r="D301" s="14"/>
      <c r="E301" s="15"/>
      <c r="F301" s="16"/>
      <c r="G301" s="17" t="str">
        <f aca="false">IF(D301="","",IF(E301="Geldi",IF(F301="",IFERROR(INDEX(Hizmetler!$C$5:$C$54,MATCH(D301,Hizmetler!$A$5:$A$54,0)),0),F301),0))</f>
        <v/>
      </c>
      <c r="H301" s="18" t="str">
        <f aca="false">IF(OR(B301="",D301=""),"",ROUND((B301+IFERROR(INDEX(Hizmetler!$B$5:$B$54,MATCH(D301,Hizmetler!$A$5:$A$54,0)),0)/1440)*1440,0)/1440)</f>
        <v/>
      </c>
      <c r="I301" s="19" t="str">
        <f aca="false">IF(OR(A301="",H301="",E301="İptal"),"",IF(COUNTIFS($A$5:$A$1004,A301,$B$5:$B$1004,"&lt;"&amp;(H301-0.0003),$H$5:$H$1004,"&gt;"&amp;(B301+0.0003),$E$5:$E$1004,"&lt;&gt;İptal")&gt;1,"Çakışıyor",""))</f>
        <v/>
      </c>
      <c r="J301" s="21" t="str">
        <f aca="false">IF(AND(A301=Gün!$C$3,B301&lt;&gt;"",E301&lt;&gt;"İptal"),B301+ROW()/100000000,"")</f>
        <v/>
      </c>
    </row>
    <row r="302" customFormat="false" ht="15" hidden="false" customHeight="false" outlineLevel="0" collapsed="false">
      <c r="A302" s="12"/>
      <c r="B302" s="13"/>
      <c r="C302" s="14"/>
      <c r="D302" s="14"/>
      <c r="E302" s="15"/>
      <c r="F302" s="16"/>
      <c r="G302" s="17" t="str">
        <f aca="false">IF(D302="","",IF(E302="Geldi",IF(F302="",IFERROR(INDEX(Hizmetler!$C$5:$C$54,MATCH(D302,Hizmetler!$A$5:$A$54,0)),0),F302),0))</f>
        <v/>
      </c>
      <c r="H302" s="18" t="str">
        <f aca="false">IF(OR(B302="",D302=""),"",ROUND((B302+IFERROR(INDEX(Hizmetler!$B$5:$B$54,MATCH(D302,Hizmetler!$A$5:$A$54,0)),0)/1440)*1440,0)/1440)</f>
        <v/>
      </c>
      <c r="I302" s="19" t="str">
        <f aca="false">IF(OR(A302="",H302="",E302="İptal"),"",IF(COUNTIFS($A$5:$A$1004,A302,$B$5:$B$1004,"&lt;"&amp;(H302-0.0003),$H$5:$H$1004,"&gt;"&amp;(B302+0.0003),$E$5:$E$1004,"&lt;&gt;İptal")&gt;1,"Çakışıyor",""))</f>
        <v/>
      </c>
      <c r="J302" s="21" t="str">
        <f aca="false">IF(AND(A302=Gün!$C$3,B302&lt;&gt;"",E302&lt;&gt;"İptal"),B302+ROW()/100000000,"")</f>
        <v/>
      </c>
    </row>
    <row r="303" customFormat="false" ht="15" hidden="false" customHeight="false" outlineLevel="0" collapsed="false">
      <c r="A303" s="12"/>
      <c r="B303" s="13"/>
      <c r="C303" s="14"/>
      <c r="D303" s="14"/>
      <c r="E303" s="15"/>
      <c r="F303" s="16"/>
      <c r="G303" s="17" t="str">
        <f aca="false">IF(D303="","",IF(E303="Geldi",IF(F303="",IFERROR(INDEX(Hizmetler!$C$5:$C$54,MATCH(D303,Hizmetler!$A$5:$A$54,0)),0),F303),0))</f>
        <v/>
      </c>
      <c r="H303" s="18" t="str">
        <f aca="false">IF(OR(B303="",D303=""),"",ROUND((B303+IFERROR(INDEX(Hizmetler!$B$5:$B$54,MATCH(D303,Hizmetler!$A$5:$A$54,0)),0)/1440)*1440,0)/1440)</f>
        <v/>
      </c>
      <c r="I303" s="19" t="str">
        <f aca="false">IF(OR(A303="",H303="",E303="İptal"),"",IF(COUNTIFS($A$5:$A$1004,A303,$B$5:$B$1004,"&lt;"&amp;(H303-0.0003),$H$5:$H$1004,"&gt;"&amp;(B303+0.0003),$E$5:$E$1004,"&lt;&gt;İptal")&gt;1,"Çakışıyor",""))</f>
        <v/>
      </c>
      <c r="J303" s="21" t="str">
        <f aca="false">IF(AND(A303=Gün!$C$3,B303&lt;&gt;"",E303&lt;&gt;"İptal"),B303+ROW()/100000000,"")</f>
        <v/>
      </c>
    </row>
    <row r="304" customFormat="false" ht="15" hidden="false" customHeight="false" outlineLevel="0" collapsed="false">
      <c r="A304" s="12"/>
      <c r="B304" s="13"/>
      <c r="C304" s="14"/>
      <c r="D304" s="14"/>
      <c r="E304" s="15"/>
      <c r="F304" s="16"/>
      <c r="G304" s="17" t="str">
        <f aca="false">IF(D304="","",IF(E304="Geldi",IF(F304="",IFERROR(INDEX(Hizmetler!$C$5:$C$54,MATCH(D304,Hizmetler!$A$5:$A$54,0)),0),F304),0))</f>
        <v/>
      </c>
      <c r="H304" s="18" t="str">
        <f aca="false">IF(OR(B304="",D304=""),"",ROUND((B304+IFERROR(INDEX(Hizmetler!$B$5:$B$54,MATCH(D304,Hizmetler!$A$5:$A$54,0)),0)/1440)*1440,0)/1440)</f>
        <v/>
      </c>
      <c r="I304" s="19" t="str">
        <f aca="false">IF(OR(A304="",H304="",E304="İptal"),"",IF(COUNTIFS($A$5:$A$1004,A304,$B$5:$B$1004,"&lt;"&amp;(H304-0.0003),$H$5:$H$1004,"&gt;"&amp;(B304+0.0003),$E$5:$E$1004,"&lt;&gt;İptal")&gt;1,"Çakışıyor",""))</f>
        <v/>
      </c>
      <c r="J304" s="21" t="str">
        <f aca="false">IF(AND(A304=Gün!$C$3,B304&lt;&gt;"",E304&lt;&gt;"İptal"),B304+ROW()/100000000,"")</f>
        <v/>
      </c>
    </row>
    <row r="305" customFormat="false" ht="15" hidden="false" customHeight="false" outlineLevel="0" collapsed="false">
      <c r="A305" s="12"/>
      <c r="B305" s="13"/>
      <c r="C305" s="14"/>
      <c r="D305" s="14"/>
      <c r="E305" s="15"/>
      <c r="F305" s="16"/>
      <c r="G305" s="17" t="str">
        <f aca="false">IF(D305="","",IF(E305="Geldi",IF(F305="",IFERROR(INDEX(Hizmetler!$C$5:$C$54,MATCH(D305,Hizmetler!$A$5:$A$54,0)),0),F305),0))</f>
        <v/>
      </c>
      <c r="H305" s="18" t="str">
        <f aca="false">IF(OR(B305="",D305=""),"",ROUND((B305+IFERROR(INDEX(Hizmetler!$B$5:$B$54,MATCH(D305,Hizmetler!$A$5:$A$54,0)),0)/1440)*1440,0)/1440)</f>
        <v/>
      </c>
      <c r="I305" s="19" t="str">
        <f aca="false">IF(OR(A305="",H305="",E305="İptal"),"",IF(COUNTIFS($A$5:$A$1004,A305,$B$5:$B$1004,"&lt;"&amp;(H305-0.0003),$H$5:$H$1004,"&gt;"&amp;(B305+0.0003),$E$5:$E$1004,"&lt;&gt;İptal")&gt;1,"Çakışıyor",""))</f>
        <v/>
      </c>
      <c r="J305" s="21" t="str">
        <f aca="false">IF(AND(A305=Gün!$C$3,B305&lt;&gt;"",E305&lt;&gt;"İptal"),B305+ROW()/100000000,"")</f>
        <v/>
      </c>
    </row>
    <row r="306" customFormat="false" ht="15" hidden="false" customHeight="false" outlineLevel="0" collapsed="false">
      <c r="A306" s="12"/>
      <c r="B306" s="13"/>
      <c r="C306" s="14"/>
      <c r="D306" s="14"/>
      <c r="E306" s="15"/>
      <c r="F306" s="16"/>
      <c r="G306" s="17" t="str">
        <f aca="false">IF(D306="","",IF(E306="Geldi",IF(F306="",IFERROR(INDEX(Hizmetler!$C$5:$C$54,MATCH(D306,Hizmetler!$A$5:$A$54,0)),0),F306),0))</f>
        <v/>
      </c>
      <c r="H306" s="18" t="str">
        <f aca="false">IF(OR(B306="",D306=""),"",ROUND((B306+IFERROR(INDEX(Hizmetler!$B$5:$B$54,MATCH(D306,Hizmetler!$A$5:$A$54,0)),0)/1440)*1440,0)/1440)</f>
        <v/>
      </c>
      <c r="I306" s="19" t="str">
        <f aca="false">IF(OR(A306="",H306="",E306="İptal"),"",IF(COUNTIFS($A$5:$A$1004,A306,$B$5:$B$1004,"&lt;"&amp;(H306-0.0003),$H$5:$H$1004,"&gt;"&amp;(B306+0.0003),$E$5:$E$1004,"&lt;&gt;İptal")&gt;1,"Çakışıyor",""))</f>
        <v/>
      </c>
      <c r="J306" s="21" t="str">
        <f aca="false">IF(AND(A306=Gün!$C$3,B306&lt;&gt;"",E306&lt;&gt;"İptal"),B306+ROW()/100000000,"")</f>
        <v/>
      </c>
    </row>
    <row r="307" customFormat="false" ht="15" hidden="false" customHeight="false" outlineLevel="0" collapsed="false">
      <c r="A307" s="12"/>
      <c r="B307" s="13"/>
      <c r="C307" s="14"/>
      <c r="D307" s="14"/>
      <c r="E307" s="15"/>
      <c r="F307" s="16"/>
      <c r="G307" s="17" t="str">
        <f aca="false">IF(D307="","",IF(E307="Geldi",IF(F307="",IFERROR(INDEX(Hizmetler!$C$5:$C$54,MATCH(D307,Hizmetler!$A$5:$A$54,0)),0),F307),0))</f>
        <v/>
      </c>
      <c r="H307" s="18" t="str">
        <f aca="false">IF(OR(B307="",D307=""),"",ROUND((B307+IFERROR(INDEX(Hizmetler!$B$5:$B$54,MATCH(D307,Hizmetler!$A$5:$A$54,0)),0)/1440)*1440,0)/1440)</f>
        <v/>
      </c>
      <c r="I307" s="19" t="str">
        <f aca="false">IF(OR(A307="",H307="",E307="İptal"),"",IF(COUNTIFS($A$5:$A$1004,A307,$B$5:$B$1004,"&lt;"&amp;(H307-0.0003),$H$5:$H$1004,"&gt;"&amp;(B307+0.0003),$E$5:$E$1004,"&lt;&gt;İptal")&gt;1,"Çakışıyor",""))</f>
        <v/>
      </c>
      <c r="J307" s="21" t="str">
        <f aca="false">IF(AND(A307=Gün!$C$3,B307&lt;&gt;"",E307&lt;&gt;"İptal"),B307+ROW()/100000000,"")</f>
        <v/>
      </c>
    </row>
    <row r="308" customFormat="false" ht="15" hidden="false" customHeight="false" outlineLevel="0" collapsed="false">
      <c r="A308" s="12"/>
      <c r="B308" s="13"/>
      <c r="C308" s="14"/>
      <c r="D308" s="14"/>
      <c r="E308" s="15"/>
      <c r="F308" s="16"/>
      <c r="G308" s="17" t="str">
        <f aca="false">IF(D308="","",IF(E308="Geldi",IF(F308="",IFERROR(INDEX(Hizmetler!$C$5:$C$54,MATCH(D308,Hizmetler!$A$5:$A$54,0)),0),F308),0))</f>
        <v/>
      </c>
      <c r="H308" s="18" t="str">
        <f aca="false">IF(OR(B308="",D308=""),"",ROUND((B308+IFERROR(INDEX(Hizmetler!$B$5:$B$54,MATCH(D308,Hizmetler!$A$5:$A$54,0)),0)/1440)*1440,0)/1440)</f>
        <v/>
      </c>
      <c r="I308" s="19" t="str">
        <f aca="false">IF(OR(A308="",H308="",E308="İptal"),"",IF(COUNTIFS($A$5:$A$1004,A308,$B$5:$B$1004,"&lt;"&amp;(H308-0.0003),$H$5:$H$1004,"&gt;"&amp;(B308+0.0003),$E$5:$E$1004,"&lt;&gt;İptal")&gt;1,"Çakışıyor",""))</f>
        <v/>
      </c>
      <c r="J308" s="21" t="str">
        <f aca="false">IF(AND(A308=Gün!$C$3,B308&lt;&gt;"",E308&lt;&gt;"İptal"),B308+ROW()/100000000,"")</f>
        <v/>
      </c>
    </row>
    <row r="309" customFormat="false" ht="15" hidden="false" customHeight="false" outlineLevel="0" collapsed="false">
      <c r="A309" s="12"/>
      <c r="B309" s="13"/>
      <c r="C309" s="14"/>
      <c r="D309" s="14"/>
      <c r="E309" s="15"/>
      <c r="F309" s="16"/>
      <c r="G309" s="17" t="str">
        <f aca="false">IF(D309="","",IF(E309="Geldi",IF(F309="",IFERROR(INDEX(Hizmetler!$C$5:$C$54,MATCH(D309,Hizmetler!$A$5:$A$54,0)),0),F309),0))</f>
        <v/>
      </c>
      <c r="H309" s="18" t="str">
        <f aca="false">IF(OR(B309="",D309=""),"",ROUND((B309+IFERROR(INDEX(Hizmetler!$B$5:$B$54,MATCH(D309,Hizmetler!$A$5:$A$54,0)),0)/1440)*1440,0)/1440)</f>
        <v/>
      </c>
      <c r="I309" s="19" t="str">
        <f aca="false">IF(OR(A309="",H309="",E309="İptal"),"",IF(COUNTIFS($A$5:$A$1004,A309,$B$5:$B$1004,"&lt;"&amp;(H309-0.0003),$H$5:$H$1004,"&gt;"&amp;(B309+0.0003),$E$5:$E$1004,"&lt;&gt;İptal")&gt;1,"Çakışıyor",""))</f>
        <v/>
      </c>
      <c r="J309" s="21" t="str">
        <f aca="false">IF(AND(A309=Gün!$C$3,B309&lt;&gt;"",E309&lt;&gt;"İptal"),B309+ROW()/100000000,"")</f>
        <v/>
      </c>
    </row>
    <row r="310" customFormat="false" ht="15" hidden="false" customHeight="false" outlineLevel="0" collapsed="false">
      <c r="A310" s="12"/>
      <c r="B310" s="13"/>
      <c r="C310" s="14"/>
      <c r="D310" s="14"/>
      <c r="E310" s="15"/>
      <c r="F310" s="16"/>
      <c r="G310" s="17" t="str">
        <f aca="false">IF(D310="","",IF(E310="Geldi",IF(F310="",IFERROR(INDEX(Hizmetler!$C$5:$C$54,MATCH(D310,Hizmetler!$A$5:$A$54,0)),0),F310),0))</f>
        <v/>
      </c>
      <c r="H310" s="18" t="str">
        <f aca="false">IF(OR(B310="",D310=""),"",ROUND((B310+IFERROR(INDEX(Hizmetler!$B$5:$B$54,MATCH(D310,Hizmetler!$A$5:$A$54,0)),0)/1440)*1440,0)/1440)</f>
        <v/>
      </c>
      <c r="I310" s="19" t="str">
        <f aca="false">IF(OR(A310="",H310="",E310="İptal"),"",IF(COUNTIFS($A$5:$A$1004,A310,$B$5:$B$1004,"&lt;"&amp;(H310-0.0003),$H$5:$H$1004,"&gt;"&amp;(B310+0.0003),$E$5:$E$1004,"&lt;&gt;İptal")&gt;1,"Çakışıyor",""))</f>
        <v/>
      </c>
      <c r="J310" s="21" t="str">
        <f aca="false">IF(AND(A310=Gün!$C$3,B310&lt;&gt;"",E310&lt;&gt;"İptal"),B310+ROW()/100000000,"")</f>
        <v/>
      </c>
    </row>
    <row r="311" customFormat="false" ht="15" hidden="false" customHeight="false" outlineLevel="0" collapsed="false">
      <c r="A311" s="12"/>
      <c r="B311" s="13"/>
      <c r="C311" s="14"/>
      <c r="D311" s="14"/>
      <c r="E311" s="15"/>
      <c r="F311" s="16"/>
      <c r="G311" s="17" t="str">
        <f aca="false">IF(D311="","",IF(E311="Geldi",IF(F311="",IFERROR(INDEX(Hizmetler!$C$5:$C$54,MATCH(D311,Hizmetler!$A$5:$A$54,0)),0),F311),0))</f>
        <v/>
      </c>
      <c r="H311" s="18" t="str">
        <f aca="false">IF(OR(B311="",D311=""),"",ROUND((B311+IFERROR(INDEX(Hizmetler!$B$5:$B$54,MATCH(D311,Hizmetler!$A$5:$A$54,0)),0)/1440)*1440,0)/1440)</f>
        <v/>
      </c>
      <c r="I311" s="19" t="str">
        <f aca="false">IF(OR(A311="",H311="",E311="İptal"),"",IF(COUNTIFS($A$5:$A$1004,A311,$B$5:$B$1004,"&lt;"&amp;(H311-0.0003),$H$5:$H$1004,"&gt;"&amp;(B311+0.0003),$E$5:$E$1004,"&lt;&gt;İptal")&gt;1,"Çakışıyor",""))</f>
        <v/>
      </c>
      <c r="J311" s="21" t="str">
        <f aca="false">IF(AND(A311=Gün!$C$3,B311&lt;&gt;"",E311&lt;&gt;"İptal"),B311+ROW()/100000000,"")</f>
        <v/>
      </c>
    </row>
    <row r="312" customFormat="false" ht="15" hidden="false" customHeight="false" outlineLevel="0" collapsed="false">
      <c r="A312" s="12"/>
      <c r="B312" s="13"/>
      <c r="C312" s="14"/>
      <c r="D312" s="14"/>
      <c r="E312" s="15"/>
      <c r="F312" s="16"/>
      <c r="G312" s="17" t="str">
        <f aca="false">IF(D312="","",IF(E312="Geldi",IF(F312="",IFERROR(INDEX(Hizmetler!$C$5:$C$54,MATCH(D312,Hizmetler!$A$5:$A$54,0)),0),F312),0))</f>
        <v/>
      </c>
      <c r="H312" s="18" t="str">
        <f aca="false">IF(OR(B312="",D312=""),"",ROUND((B312+IFERROR(INDEX(Hizmetler!$B$5:$B$54,MATCH(D312,Hizmetler!$A$5:$A$54,0)),0)/1440)*1440,0)/1440)</f>
        <v/>
      </c>
      <c r="I312" s="19" t="str">
        <f aca="false">IF(OR(A312="",H312="",E312="İptal"),"",IF(COUNTIFS($A$5:$A$1004,A312,$B$5:$B$1004,"&lt;"&amp;(H312-0.0003),$H$5:$H$1004,"&gt;"&amp;(B312+0.0003),$E$5:$E$1004,"&lt;&gt;İptal")&gt;1,"Çakışıyor",""))</f>
        <v/>
      </c>
      <c r="J312" s="21" t="str">
        <f aca="false">IF(AND(A312=Gün!$C$3,B312&lt;&gt;"",E312&lt;&gt;"İptal"),B312+ROW()/100000000,"")</f>
        <v/>
      </c>
    </row>
    <row r="313" customFormat="false" ht="15" hidden="false" customHeight="false" outlineLevel="0" collapsed="false">
      <c r="A313" s="12"/>
      <c r="B313" s="13"/>
      <c r="C313" s="14"/>
      <c r="D313" s="14"/>
      <c r="E313" s="15"/>
      <c r="F313" s="16"/>
      <c r="G313" s="17" t="str">
        <f aca="false">IF(D313="","",IF(E313="Geldi",IF(F313="",IFERROR(INDEX(Hizmetler!$C$5:$C$54,MATCH(D313,Hizmetler!$A$5:$A$54,0)),0),F313),0))</f>
        <v/>
      </c>
      <c r="H313" s="18" t="str">
        <f aca="false">IF(OR(B313="",D313=""),"",ROUND((B313+IFERROR(INDEX(Hizmetler!$B$5:$B$54,MATCH(D313,Hizmetler!$A$5:$A$54,0)),0)/1440)*1440,0)/1440)</f>
        <v/>
      </c>
      <c r="I313" s="19" t="str">
        <f aca="false">IF(OR(A313="",H313="",E313="İptal"),"",IF(COUNTIFS($A$5:$A$1004,A313,$B$5:$B$1004,"&lt;"&amp;(H313-0.0003),$H$5:$H$1004,"&gt;"&amp;(B313+0.0003),$E$5:$E$1004,"&lt;&gt;İptal")&gt;1,"Çakışıyor",""))</f>
        <v/>
      </c>
      <c r="J313" s="21" t="str">
        <f aca="false">IF(AND(A313=Gün!$C$3,B313&lt;&gt;"",E313&lt;&gt;"İptal"),B313+ROW()/100000000,"")</f>
        <v/>
      </c>
    </row>
    <row r="314" customFormat="false" ht="15" hidden="false" customHeight="false" outlineLevel="0" collapsed="false">
      <c r="A314" s="12"/>
      <c r="B314" s="13"/>
      <c r="C314" s="14"/>
      <c r="D314" s="14"/>
      <c r="E314" s="15"/>
      <c r="F314" s="16"/>
      <c r="G314" s="17" t="str">
        <f aca="false">IF(D314="","",IF(E314="Geldi",IF(F314="",IFERROR(INDEX(Hizmetler!$C$5:$C$54,MATCH(D314,Hizmetler!$A$5:$A$54,0)),0),F314),0))</f>
        <v/>
      </c>
      <c r="H314" s="18" t="str">
        <f aca="false">IF(OR(B314="",D314=""),"",ROUND((B314+IFERROR(INDEX(Hizmetler!$B$5:$B$54,MATCH(D314,Hizmetler!$A$5:$A$54,0)),0)/1440)*1440,0)/1440)</f>
        <v/>
      </c>
      <c r="I314" s="19" t="str">
        <f aca="false">IF(OR(A314="",H314="",E314="İptal"),"",IF(COUNTIFS($A$5:$A$1004,A314,$B$5:$B$1004,"&lt;"&amp;(H314-0.0003),$H$5:$H$1004,"&gt;"&amp;(B314+0.0003),$E$5:$E$1004,"&lt;&gt;İptal")&gt;1,"Çakışıyor",""))</f>
        <v/>
      </c>
      <c r="J314" s="21" t="str">
        <f aca="false">IF(AND(A314=Gün!$C$3,B314&lt;&gt;"",E314&lt;&gt;"İptal"),B314+ROW()/100000000,"")</f>
        <v/>
      </c>
    </row>
    <row r="315" customFormat="false" ht="15" hidden="false" customHeight="false" outlineLevel="0" collapsed="false">
      <c r="A315" s="12"/>
      <c r="B315" s="13"/>
      <c r="C315" s="14"/>
      <c r="D315" s="14"/>
      <c r="E315" s="15"/>
      <c r="F315" s="16"/>
      <c r="G315" s="17" t="str">
        <f aca="false">IF(D315="","",IF(E315="Geldi",IF(F315="",IFERROR(INDEX(Hizmetler!$C$5:$C$54,MATCH(D315,Hizmetler!$A$5:$A$54,0)),0),F315),0))</f>
        <v/>
      </c>
      <c r="H315" s="18" t="str">
        <f aca="false">IF(OR(B315="",D315=""),"",ROUND((B315+IFERROR(INDEX(Hizmetler!$B$5:$B$54,MATCH(D315,Hizmetler!$A$5:$A$54,0)),0)/1440)*1440,0)/1440)</f>
        <v/>
      </c>
      <c r="I315" s="19" t="str">
        <f aca="false">IF(OR(A315="",H315="",E315="İptal"),"",IF(COUNTIFS($A$5:$A$1004,A315,$B$5:$B$1004,"&lt;"&amp;(H315-0.0003),$H$5:$H$1004,"&gt;"&amp;(B315+0.0003),$E$5:$E$1004,"&lt;&gt;İptal")&gt;1,"Çakışıyor",""))</f>
        <v/>
      </c>
      <c r="J315" s="21" t="str">
        <f aca="false">IF(AND(A315=Gün!$C$3,B315&lt;&gt;"",E315&lt;&gt;"İptal"),B315+ROW()/100000000,"")</f>
        <v/>
      </c>
    </row>
    <row r="316" customFormat="false" ht="15" hidden="false" customHeight="false" outlineLevel="0" collapsed="false">
      <c r="A316" s="12"/>
      <c r="B316" s="13"/>
      <c r="C316" s="14"/>
      <c r="D316" s="14"/>
      <c r="E316" s="15"/>
      <c r="F316" s="16"/>
      <c r="G316" s="17" t="str">
        <f aca="false">IF(D316="","",IF(E316="Geldi",IF(F316="",IFERROR(INDEX(Hizmetler!$C$5:$C$54,MATCH(D316,Hizmetler!$A$5:$A$54,0)),0),F316),0))</f>
        <v/>
      </c>
      <c r="H316" s="18" t="str">
        <f aca="false">IF(OR(B316="",D316=""),"",ROUND((B316+IFERROR(INDEX(Hizmetler!$B$5:$B$54,MATCH(D316,Hizmetler!$A$5:$A$54,0)),0)/1440)*1440,0)/1440)</f>
        <v/>
      </c>
      <c r="I316" s="19" t="str">
        <f aca="false">IF(OR(A316="",H316="",E316="İptal"),"",IF(COUNTIFS($A$5:$A$1004,A316,$B$5:$B$1004,"&lt;"&amp;(H316-0.0003),$H$5:$H$1004,"&gt;"&amp;(B316+0.0003),$E$5:$E$1004,"&lt;&gt;İptal")&gt;1,"Çakışıyor",""))</f>
        <v/>
      </c>
      <c r="J316" s="21" t="str">
        <f aca="false">IF(AND(A316=Gün!$C$3,B316&lt;&gt;"",E316&lt;&gt;"İptal"),B316+ROW()/100000000,"")</f>
        <v/>
      </c>
    </row>
    <row r="317" customFormat="false" ht="15" hidden="false" customHeight="false" outlineLevel="0" collapsed="false">
      <c r="A317" s="12"/>
      <c r="B317" s="13"/>
      <c r="C317" s="14"/>
      <c r="D317" s="14"/>
      <c r="E317" s="15"/>
      <c r="F317" s="16"/>
      <c r="G317" s="17" t="str">
        <f aca="false">IF(D317="","",IF(E317="Geldi",IF(F317="",IFERROR(INDEX(Hizmetler!$C$5:$C$54,MATCH(D317,Hizmetler!$A$5:$A$54,0)),0),F317),0))</f>
        <v/>
      </c>
      <c r="H317" s="18" t="str">
        <f aca="false">IF(OR(B317="",D317=""),"",ROUND((B317+IFERROR(INDEX(Hizmetler!$B$5:$B$54,MATCH(D317,Hizmetler!$A$5:$A$54,0)),0)/1440)*1440,0)/1440)</f>
        <v/>
      </c>
      <c r="I317" s="19" t="str">
        <f aca="false">IF(OR(A317="",H317="",E317="İptal"),"",IF(COUNTIFS($A$5:$A$1004,A317,$B$5:$B$1004,"&lt;"&amp;(H317-0.0003),$H$5:$H$1004,"&gt;"&amp;(B317+0.0003),$E$5:$E$1004,"&lt;&gt;İptal")&gt;1,"Çakışıyor",""))</f>
        <v/>
      </c>
      <c r="J317" s="21" t="str">
        <f aca="false">IF(AND(A317=Gün!$C$3,B317&lt;&gt;"",E317&lt;&gt;"İptal"),B317+ROW()/100000000,"")</f>
        <v/>
      </c>
    </row>
    <row r="318" customFormat="false" ht="15" hidden="false" customHeight="false" outlineLevel="0" collapsed="false">
      <c r="A318" s="12"/>
      <c r="B318" s="13"/>
      <c r="C318" s="14"/>
      <c r="D318" s="14"/>
      <c r="E318" s="15"/>
      <c r="F318" s="16"/>
      <c r="G318" s="17" t="str">
        <f aca="false">IF(D318="","",IF(E318="Geldi",IF(F318="",IFERROR(INDEX(Hizmetler!$C$5:$C$54,MATCH(D318,Hizmetler!$A$5:$A$54,0)),0),F318),0))</f>
        <v/>
      </c>
      <c r="H318" s="18" t="str">
        <f aca="false">IF(OR(B318="",D318=""),"",ROUND((B318+IFERROR(INDEX(Hizmetler!$B$5:$B$54,MATCH(D318,Hizmetler!$A$5:$A$54,0)),0)/1440)*1440,0)/1440)</f>
        <v/>
      </c>
      <c r="I318" s="19" t="str">
        <f aca="false">IF(OR(A318="",H318="",E318="İptal"),"",IF(COUNTIFS($A$5:$A$1004,A318,$B$5:$B$1004,"&lt;"&amp;(H318-0.0003),$H$5:$H$1004,"&gt;"&amp;(B318+0.0003),$E$5:$E$1004,"&lt;&gt;İptal")&gt;1,"Çakışıyor",""))</f>
        <v/>
      </c>
      <c r="J318" s="21" t="str">
        <f aca="false">IF(AND(A318=Gün!$C$3,B318&lt;&gt;"",E318&lt;&gt;"İptal"),B318+ROW()/100000000,"")</f>
        <v/>
      </c>
    </row>
    <row r="319" customFormat="false" ht="15" hidden="false" customHeight="false" outlineLevel="0" collapsed="false">
      <c r="A319" s="12"/>
      <c r="B319" s="13"/>
      <c r="C319" s="14"/>
      <c r="D319" s="14"/>
      <c r="E319" s="15"/>
      <c r="F319" s="16"/>
      <c r="G319" s="17" t="str">
        <f aca="false">IF(D319="","",IF(E319="Geldi",IF(F319="",IFERROR(INDEX(Hizmetler!$C$5:$C$54,MATCH(D319,Hizmetler!$A$5:$A$54,0)),0),F319),0))</f>
        <v/>
      </c>
      <c r="H319" s="18" t="str">
        <f aca="false">IF(OR(B319="",D319=""),"",ROUND((B319+IFERROR(INDEX(Hizmetler!$B$5:$B$54,MATCH(D319,Hizmetler!$A$5:$A$54,0)),0)/1440)*1440,0)/1440)</f>
        <v/>
      </c>
      <c r="I319" s="19" t="str">
        <f aca="false">IF(OR(A319="",H319="",E319="İptal"),"",IF(COUNTIFS($A$5:$A$1004,A319,$B$5:$B$1004,"&lt;"&amp;(H319-0.0003),$H$5:$H$1004,"&gt;"&amp;(B319+0.0003),$E$5:$E$1004,"&lt;&gt;İptal")&gt;1,"Çakışıyor",""))</f>
        <v/>
      </c>
      <c r="J319" s="21" t="str">
        <f aca="false">IF(AND(A319=Gün!$C$3,B319&lt;&gt;"",E319&lt;&gt;"İptal"),B319+ROW()/100000000,"")</f>
        <v/>
      </c>
    </row>
    <row r="320" customFormat="false" ht="15" hidden="false" customHeight="false" outlineLevel="0" collapsed="false">
      <c r="A320" s="12"/>
      <c r="B320" s="13"/>
      <c r="C320" s="14"/>
      <c r="D320" s="14"/>
      <c r="E320" s="15"/>
      <c r="F320" s="16"/>
      <c r="G320" s="17" t="str">
        <f aca="false">IF(D320="","",IF(E320="Geldi",IF(F320="",IFERROR(INDEX(Hizmetler!$C$5:$C$54,MATCH(D320,Hizmetler!$A$5:$A$54,0)),0),F320),0))</f>
        <v/>
      </c>
      <c r="H320" s="18" t="str">
        <f aca="false">IF(OR(B320="",D320=""),"",ROUND((B320+IFERROR(INDEX(Hizmetler!$B$5:$B$54,MATCH(D320,Hizmetler!$A$5:$A$54,0)),0)/1440)*1440,0)/1440)</f>
        <v/>
      </c>
      <c r="I320" s="19" t="str">
        <f aca="false">IF(OR(A320="",H320="",E320="İptal"),"",IF(COUNTIFS($A$5:$A$1004,A320,$B$5:$B$1004,"&lt;"&amp;(H320-0.0003),$H$5:$H$1004,"&gt;"&amp;(B320+0.0003),$E$5:$E$1004,"&lt;&gt;İptal")&gt;1,"Çakışıyor",""))</f>
        <v/>
      </c>
      <c r="J320" s="21" t="str">
        <f aca="false">IF(AND(A320=Gün!$C$3,B320&lt;&gt;"",E320&lt;&gt;"İptal"),B320+ROW()/100000000,"")</f>
        <v/>
      </c>
    </row>
    <row r="321" customFormat="false" ht="15" hidden="false" customHeight="false" outlineLevel="0" collapsed="false">
      <c r="A321" s="12"/>
      <c r="B321" s="13"/>
      <c r="C321" s="14"/>
      <c r="D321" s="14"/>
      <c r="E321" s="15"/>
      <c r="F321" s="16"/>
      <c r="G321" s="17" t="str">
        <f aca="false">IF(D321="","",IF(E321="Geldi",IF(F321="",IFERROR(INDEX(Hizmetler!$C$5:$C$54,MATCH(D321,Hizmetler!$A$5:$A$54,0)),0),F321),0))</f>
        <v/>
      </c>
      <c r="H321" s="18" t="str">
        <f aca="false">IF(OR(B321="",D321=""),"",ROUND((B321+IFERROR(INDEX(Hizmetler!$B$5:$B$54,MATCH(D321,Hizmetler!$A$5:$A$54,0)),0)/1440)*1440,0)/1440)</f>
        <v/>
      </c>
      <c r="I321" s="19" t="str">
        <f aca="false">IF(OR(A321="",H321="",E321="İptal"),"",IF(COUNTIFS($A$5:$A$1004,A321,$B$5:$B$1004,"&lt;"&amp;(H321-0.0003),$H$5:$H$1004,"&gt;"&amp;(B321+0.0003),$E$5:$E$1004,"&lt;&gt;İptal")&gt;1,"Çakışıyor",""))</f>
        <v/>
      </c>
      <c r="J321" s="21" t="str">
        <f aca="false">IF(AND(A321=Gün!$C$3,B321&lt;&gt;"",E321&lt;&gt;"İptal"),B321+ROW()/100000000,"")</f>
        <v/>
      </c>
    </row>
    <row r="322" customFormat="false" ht="15" hidden="false" customHeight="false" outlineLevel="0" collapsed="false">
      <c r="A322" s="12"/>
      <c r="B322" s="13"/>
      <c r="C322" s="14"/>
      <c r="D322" s="14"/>
      <c r="E322" s="15"/>
      <c r="F322" s="16"/>
      <c r="G322" s="17" t="str">
        <f aca="false">IF(D322="","",IF(E322="Geldi",IF(F322="",IFERROR(INDEX(Hizmetler!$C$5:$C$54,MATCH(D322,Hizmetler!$A$5:$A$54,0)),0),F322),0))</f>
        <v/>
      </c>
      <c r="H322" s="18" t="str">
        <f aca="false">IF(OR(B322="",D322=""),"",ROUND((B322+IFERROR(INDEX(Hizmetler!$B$5:$B$54,MATCH(D322,Hizmetler!$A$5:$A$54,0)),0)/1440)*1440,0)/1440)</f>
        <v/>
      </c>
      <c r="I322" s="19" t="str">
        <f aca="false">IF(OR(A322="",H322="",E322="İptal"),"",IF(COUNTIFS($A$5:$A$1004,A322,$B$5:$B$1004,"&lt;"&amp;(H322-0.0003),$H$5:$H$1004,"&gt;"&amp;(B322+0.0003),$E$5:$E$1004,"&lt;&gt;İptal")&gt;1,"Çakışıyor",""))</f>
        <v/>
      </c>
      <c r="J322" s="21" t="str">
        <f aca="false">IF(AND(A322=Gün!$C$3,B322&lt;&gt;"",E322&lt;&gt;"İptal"),B322+ROW()/100000000,"")</f>
        <v/>
      </c>
    </row>
    <row r="323" customFormat="false" ht="15" hidden="false" customHeight="false" outlineLevel="0" collapsed="false">
      <c r="A323" s="12"/>
      <c r="B323" s="13"/>
      <c r="C323" s="14"/>
      <c r="D323" s="14"/>
      <c r="E323" s="15"/>
      <c r="F323" s="16"/>
      <c r="G323" s="17" t="str">
        <f aca="false">IF(D323="","",IF(E323="Geldi",IF(F323="",IFERROR(INDEX(Hizmetler!$C$5:$C$54,MATCH(D323,Hizmetler!$A$5:$A$54,0)),0),F323),0))</f>
        <v/>
      </c>
      <c r="H323" s="18" t="str">
        <f aca="false">IF(OR(B323="",D323=""),"",ROUND((B323+IFERROR(INDEX(Hizmetler!$B$5:$B$54,MATCH(D323,Hizmetler!$A$5:$A$54,0)),0)/1440)*1440,0)/1440)</f>
        <v/>
      </c>
      <c r="I323" s="19" t="str">
        <f aca="false">IF(OR(A323="",H323="",E323="İptal"),"",IF(COUNTIFS($A$5:$A$1004,A323,$B$5:$B$1004,"&lt;"&amp;(H323-0.0003),$H$5:$H$1004,"&gt;"&amp;(B323+0.0003),$E$5:$E$1004,"&lt;&gt;İptal")&gt;1,"Çakışıyor",""))</f>
        <v/>
      </c>
      <c r="J323" s="21" t="str">
        <f aca="false">IF(AND(A323=Gün!$C$3,B323&lt;&gt;"",E323&lt;&gt;"İptal"),B323+ROW()/100000000,"")</f>
        <v/>
      </c>
    </row>
    <row r="324" customFormat="false" ht="15" hidden="false" customHeight="false" outlineLevel="0" collapsed="false">
      <c r="A324" s="12"/>
      <c r="B324" s="13"/>
      <c r="C324" s="14"/>
      <c r="D324" s="14"/>
      <c r="E324" s="15"/>
      <c r="F324" s="16"/>
      <c r="G324" s="17" t="str">
        <f aca="false">IF(D324="","",IF(E324="Geldi",IF(F324="",IFERROR(INDEX(Hizmetler!$C$5:$C$54,MATCH(D324,Hizmetler!$A$5:$A$54,0)),0),F324),0))</f>
        <v/>
      </c>
      <c r="H324" s="18" t="str">
        <f aca="false">IF(OR(B324="",D324=""),"",ROUND((B324+IFERROR(INDEX(Hizmetler!$B$5:$B$54,MATCH(D324,Hizmetler!$A$5:$A$54,0)),0)/1440)*1440,0)/1440)</f>
        <v/>
      </c>
      <c r="I324" s="19" t="str">
        <f aca="false">IF(OR(A324="",H324="",E324="İptal"),"",IF(COUNTIFS($A$5:$A$1004,A324,$B$5:$B$1004,"&lt;"&amp;(H324-0.0003),$H$5:$H$1004,"&gt;"&amp;(B324+0.0003),$E$5:$E$1004,"&lt;&gt;İptal")&gt;1,"Çakışıyor",""))</f>
        <v/>
      </c>
      <c r="J324" s="21" t="str">
        <f aca="false">IF(AND(A324=Gün!$C$3,B324&lt;&gt;"",E324&lt;&gt;"İptal"),B324+ROW()/100000000,"")</f>
        <v/>
      </c>
    </row>
    <row r="325" customFormat="false" ht="15" hidden="false" customHeight="false" outlineLevel="0" collapsed="false">
      <c r="A325" s="12"/>
      <c r="B325" s="13"/>
      <c r="C325" s="14"/>
      <c r="D325" s="14"/>
      <c r="E325" s="15"/>
      <c r="F325" s="16"/>
      <c r="G325" s="17" t="str">
        <f aca="false">IF(D325="","",IF(E325="Geldi",IF(F325="",IFERROR(INDEX(Hizmetler!$C$5:$C$54,MATCH(D325,Hizmetler!$A$5:$A$54,0)),0),F325),0))</f>
        <v/>
      </c>
      <c r="H325" s="18" t="str">
        <f aca="false">IF(OR(B325="",D325=""),"",ROUND((B325+IFERROR(INDEX(Hizmetler!$B$5:$B$54,MATCH(D325,Hizmetler!$A$5:$A$54,0)),0)/1440)*1440,0)/1440)</f>
        <v/>
      </c>
      <c r="I325" s="19" t="str">
        <f aca="false">IF(OR(A325="",H325="",E325="İptal"),"",IF(COUNTIFS($A$5:$A$1004,A325,$B$5:$B$1004,"&lt;"&amp;(H325-0.0003),$H$5:$H$1004,"&gt;"&amp;(B325+0.0003),$E$5:$E$1004,"&lt;&gt;İptal")&gt;1,"Çakışıyor",""))</f>
        <v/>
      </c>
      <c r="J325" s="21" t="str">
        <f aca="false">IF(AND(A325=Gün!$C$3,B325&lt;&gt;"",E325&lt;&gt;"İptal"),B325+ROW()/100000000,"")</f>
        <v/>
      </c>
    </row>
    <row r="326" customFormat="false" ht="15" hidden="false" customHeight="false" outlineLevel="0" collapsed="false">
      <c r="A326" s="12"/>
      <c r="B326" s="13"/>
      <c r="C326" s="14"/>
      <c r="D326" s="14"/>
      <c r="E326" s="15"/>
      <c r="F326" s="16"/>
      <c r="G326" s="17" t="str">
        <f aca="false">IF(D326="","",IF(E326="Geldi",IF(F326="",IFERROR(INDEX(Hizmetler!$C$5:$C$54,MATCH(D326,Hizmetler!$A$5:$A$54,0)),0),F326),0))</f>
        <v/>
      </c>
      <c r="H326" s="18" t="str">
        <f aca="false">IF(OR(B326="",D326=""),"",ROUND((B326+IFERROR(INDEX(Hizmetler!$B$5:$B$54,MATCH(D326,Hizmetler!$A$5:$A$54,0)),0)/1440)*1440,0)/1440)</f>
        <v/>
      </c>
      <c r="I326" s="19" t="str">
        <f aca="false">IF(OR(A326="",H326="",E326="İptal"),"",IF(COUNTIFS($A$5:$A$1004,A326,$B$5:$B$1004,"&lt;"&amp;(H326-0.0003),$H$5:$H$1004,"&gt;"&amp;(B326+0.0003),$E$5:$E$1004,"&lt;&gt;İptal")&gt;1,"Çakışıyor",""))</f>
        <v/>
      </c>
      <c r="J326" s="21" t="str">
        <f aca="false">IF(AND(A326=Gün!$C$3,B326&lt;&gt;"",E326&lt;&gt;"İptal"),B326+ROW()/100000000,"")</f>
        <v/>
      </c>
    </row>
    <row r="327" customFormat="false" ht="15" hidden="false" customHeight="false" outlineLevel="0" collapsed="false">
      <c r="A327" s="12"/>
      <c r="B327" s="13"/>
      <c r="C327" s="14"/>
      <c r="D327" s="14"/>
      <c r="E327" s="15"/>
      <c r="F327" s="16"/>
      <c r="G327" s="17" t="str">
        <f aca="false">IF(D327="","",IF(E327="Geldi",IF(F327="",IFERROR(INDEX(Hizmetler!$C$5:$C$54,MATCH(D327,Hizmetler!$A$5:$A$54,0)),0),F327),0))</f>
        <v/>
      </c>
      <c r="H327" s="18" t="str">
        <f aca="false">IF(OR(B327="",D327=""),"",ROUND((B327+IFERROR(INDEX(Hizmetler!$B$5:$B$54,MATCH(D327,Hizmetler!$A$5:$A$54,0)),0)/1440)*1440,0)/1440)</f>
        <v/>
      </c>
      <c r="I327" s="19" t="str">
        <f aca="false">IF(OR(A327="",H327="",E327="İptal"),"",IF(COUNTIFS($A$5:$A$1004,A327,$B$5:$B$1004,"&lt;"&amp;(H327-0.0003),$H$5:$H$1004,"&gt;"&amp;(B327+0.0003),$E$5:$E$1004,"&lt;&gt;İptal")&gt;1,"Çakışıyor",""))</f>
        <v/>
      </c>
      <c r="J327" s="21" t="str">
        <f aca="false">IF(AND(A327=Gün!$C$3,B327&lt;&gt;"",E327&lt;&gt;"İptal"),B327+ROW()/100000000,"")</f>
        <v/>
      </c>
    </row>
    <row r="328" customFormat="false" ht="15" hidden="false" customHeight="false" outlineLevel="0" collapsed="false">
      <c r="A328" s="12"/>
      <c r="B328" s="13"/>
      <c r="C328" s="14"/>
      <c r="D328" s="14"/>
      <c r="E328" s="15"/>
      <c r="F328" s="16"/>
      <c r="G328" s="17" t="str">
        <f aca="false">IF(D328="","",IF(E328="Geldi",IF(F328="",IFERROR(INDEX(Hizmetler!$C$5:$C$54,MATCH(D328,Hizmetler!$A$5:$A$54,0)),0),F328),0))</f>
        <v/>
      </c>
      <c r="H328" s="18" t="str">
        <f aca="false">IF(OR(B328="",D328=""),"",ROUND((B328+IFERROR(INDEX(Hizmetler!$B$5:$B$54,MATCH(D328,Hizmetler!$A$5:$A$54,0)),0)/1440)*1440,0)/1440)</f>
        <v/>
      </c>
      <c r="I328" s="19" t="str">
        <f aca="false">IF(OR(A328="",H328="",E328="İptal"),"",IF(COUNTIFS($A$5:$A$1004,A328,$B$5:$B$1004,"&lt;"&amp;(H328-0.0003),$H$5:$H$1004,"&gt;"&amp;(B328+0.0003),$E$5:$E$1004,"&lt;&gt;İptal")&gt;1,"Çakışıyor",""))</f>
        <v/>
      </c>
      <c r="J328" s="21" t="str">
        <f aca="false">IF(AND(A328=Gün!$C$3,B328&lt;&gt;"",E328&lt;&gt;"İptal"),B328+ROW()/100000000,"")</f>
        <v/>
      </c>
    </row>
    <row r="329" customFormat="false" ht="15" hidden="false" customHeight="false" outlineLevel="0" collapsed="false">
      <c r="A329" s="12"/>
      <c r="B329" s="13"/>
      <c r="C329" s="14"/>
      <c r="D329" s="14"/>
      <c r="E329" s="15"/>
      <c r="F329" s="16"/>
      <c r="G329" s="17" t="str">
        <f aca="false">IF(D329="","",IF(E329="Geldi",IF(F329="",IFERROR(INDEX(Hizmetler!$C$5:$C$54,MATCH(D329,Hizmetler!$A$5:$A$54,0)),0),F329),0))</f>
        <v/>
      </c>
      <c r="H329" s="18" t="str">
        <f aca="false">IF(OR(B329="",D329=""),"",ROUND((B329+IFERROR(INDEX(Hizmetler!$B$5:$B$54,MATCH(D329,Hizmetler!$A$5:$A$54,0)),0)/1440)*1440,0)/1440)</f>
        <v/>
      </c>
      <c r="I329" s="19" t="str">
        <f aca="false">IF(OR(A329="",H329="",E329="İptal"),"",IF(COUNTIFS($A$5:$A$1004,A329,$B$5:$B$1004,"&lt;"&amp;(H329-0.0003),$H$5:$H$1004,"&gt;"&amp;(B329+0.0003),$E$5:$E$1004,"&lt;&gt;İptal")&gt;1,"Çakışıyor",""))</f>
        <v/>
      </c>
      <c r="J329" s="21" t="str">
        <f aca="false">IF(AND(A329=Gün!$C$3,B329&lt;&gt;"",E329&lt;&gt;"İptal"),B329+ROW()/100000000,"")</f>
        <v/>
      </c>
    </row>
    <row r="330" customFormat="false" ht="15" hidden="false" customHeight="false" outlineLevel="0" collapsed="false">
      <c r="A330" s="12"/>
      <c r="B330" s="13"/>
      <c r="C330" s="14"/>
      <c r="D330" s="14"/>
      <c r="E330" s="15"/>
      <c r="F330" s="16"/>
      <c r="G330" s="17" t="str">
        <f aca="false">IF(D330="","",IF(E330="Geldi",IF(F330="",IFERROR(INDEX(Hizmetler!$C$5:$C$54,MATCH(D330,Hizmetler!$A$5:$A$54,0)),0),F330),0))</f>
        <v/>
      </c>
      <c r="H330" s="18" t="str">
        <f aca="false">IF(OR(B330="",D330=""),"",ROUND((B330+IFERROR(INDEX(Hizmetler!$B$5:$B$54,MATCH(D330,Hizmetler!$A$5:$A$54,0)),0)/1440)*1440,0)/1440)</f>
        <v/>
      </c>
      <c r="I330" s="19" t="str">
        <f aca="false">IF(OR(A330="",H330="",E330="İptal"),"",IF(COUNTIFS($A$5:$A$1004,A330,$B$5:$B$1004,"&lt;"&amp;(H330-0.0003),$H$5:$H$1004,"&gt;"&amp;(B330+0.0003),$E$5:$E$1004,"&lt;&gt;İptal")&gt;1,"Çakışıyor",""))</f>
        <v/>
      </c>
      <c r="J330" s="21" t="str">
        <f aca="false">IF(AND(A330=Gün!$C$3,B330&lt;&gt;"",E330&lt;&gt;"İptal"),B330+ROW()/100000000,"")</f>
        <v/>
      </c>
    </row>
    <row r="331" customFormat="false" ht="15" hidden="false" customHeight="false" outlineLevel="0" collapsed="false">
      <c r="A331" s="12"/>
      <c r="B331" s="13"/>
      <c r="C331" s="14"/>
      <c r="D331" s="14"/>
      <c r="E331" s="15"/>
      <c r="F331" s="16"/>
      <c r="G331" s="17" t="str">
        <f aca="false">IF(D331="","",IF(E331="Geldi",IF(F331="",IFERROR(INDEX(Hizmetler!$C$5:$C$54,MATCH(D331,Hizmetler!$A$5:$A$54,0)),0),F331),0))</f>
        <v/>
      </c>
      <c r="H331" s="18" t="str">
        <f aca="false">IF(OR(B331="",D331=""),"",ROUND((B331+IFERROR(INDEX(Hizmetler!$B$5:$B$54,MATCH(D331,Hizmetler!$A$5:$A$54,0)),0)/1440)*1440,0)/1440)</f>
        <v/>
      </c>
      <c r="I331" s="19" t="str">
        <f aca="false">IF(OR(A331="",H331="",E331="İptal"),"",IF(COUNTIFS($A$5:$A$1004,A331,$B$5:$B$1004,"&lt;"&amp;(H331-0.0003),$H$5:$H$1004,"&gt;"&amp;(B331+0.0003),$E$5:$E$1004,"&lt;&gt;İptal")&gt;1,"Çakışıyor",""))</f>
        <v/>
      </c>
      <c r="J331" s="21" t="str">
        <f aca="false">IF(AND(A331=Gün!$C$3,B331&lt;&gt;"",E331&lt;&gt;"İptal"),B331+ROW()/100000000,"")</f>
        <v/>
      </c>
    </row>
    <row r="332" customFormat="false" ht="15" hidden="false" customHeight="false" outlineLevel="0" collapsed="false">
      <c r="A332" s="12"/>
      <c r="B332" s="13"/>
      <c r="C332" s="14"/>
      <c r="D332" s="14"/>
      <c r="E332" s="15"/>
      <c r="F332" s="16"/>
      <c r="G332" s="17" t="str">
        <f aca="false">IF(D332="","",IF(E332="Geldi",IF(F332="",IFERROR(INDEX(Hizmetler!$C$5:$C$54,MATCH(D332,Hizmetler!$A$5:$A$54,0)),0),F332),0))</f>
        <v/>
      </c>
      <c r="H332" s="18" t="str">
        <f aca="false">IF(OR(B332="",D332=""),"",ROUND((B332+IFERROR(INDEX(Hizmetler!$B$5:$B$54,MATCH(D332,Hizmetler!$A$5:$A$54,0)),0)/1440)*1440,0)/1440)</f>
        <v/>
      </c>
      <c r="I332" s="19" t="str">
        <f aca="false">IF(OR(A332="",H332="",E332="İptal"),"",IF(COUNTIFS($A$5:$A$1004,A332,$B$5:$B$1004,"&lt;"&amp;(H332-0.0003),$H$5:$H$1004,"&gt;"&amp;(B332+0.0003),$E$5:$E$1004,"&lt;&gt;İptal")&gt;1,"Çakışıyor",""))</f>
        <v/>
      </c>
      <c r="J332" s="21" t="str">
        <f aca="false">IF(AND(A332=Gün!$C$3,B332&lt;&gt;"",E332&lt;&gt;"İptal"),B332+ROW()/100000000,"")</f>
        <v/>
      </c>
    </row>
    <row r="333" customFormat="false" ht="15" hidden="false" customHeight="false" outlineLevel="0" collapsed="false">
      <c r="A333" s="12"/>
      <c r="B333" s="13"/>
      <c r="C333" s="14"/>
      <c r="D333" s="14"/>
      <c r="E333" s="15"/>
      <c r="F333" s="16"/>
      <c r="G333" s="17" t="str">
        <f aca="false">IF(D333="","",IF(E333="Geldi",IF(F333="",IFERROR(INDEX(Hizmetler!$C$5:$C$54,MATCH(D333,Hizmetler!$A$5:$A$54,0)),0),F333),0))</f>
        <v/>
      </c>
      <c r="H333" s="18" t="str">
        <f aca="false">IF(OR(B333="",D333=""),"",ROUND((B333+IFERROR(INDEX(Hizmetler!$B$5:$B$54,MATCH(D333,Hizmetler!$A$5:$A$54,0)),0)/1440)*1440,0)/1440)</f>
        <v/>
      </c>
      <c r="I333" s="19" t="str">
        <f aca="false">IF(OR(A333="",H333="",E333="İptal"),"",IF(COUNTIFS($A$5:$A$1004,A333,$B$5:$B$1004,"&lt;"&amp;(H333-0.0003),$H$5:$H$1004,"&gt;"&amp;(B333+0.0003),$E$5:$E$1004,"&lt;&gt;İptal")&gt;1,"Çakışıyor",""))</f>
        <v/>
      </c>
      <c r="J333" s="21" t="str">
        <f aca="false">IF(AND(A333=Gün!$C$3,B333&lt;&gt;"",E333&lt;&gt;"İptal"),B333+ROW()/100000000,"")</f>
        <v/>
      </c>
    </row>
    <row r="334" customFormat="false" ht="15" hidden="false" customHeight="false" outlineLevel="0" collapsed="false">
      <c r="A334" s="12"/>
      <c r="B334" s="13"/>
      <c r="C334" s="14"/>
      <c r="D334" s="14"/>
      <c r="E334" s="15"/>
      <c r="F334" s="16"/>
      <c r="G334" s="17" t="str">
        <f aca="false">IF(D334="","",IF(E334="Geldi",IF(F334="",IFERROR(INDEX(Hizmetler!$C$5:$C$54,MATCH(D334,Hizmetler!$A$5:$A$54,0)),0),F334),0))</f>
        <v/>
      </c>
      <c r="H334" s="18" t="str">
        <f aca="false">IF(OR(B334="",D334=""),"",ROUND((B334+IFERROR(INDEX(Hizmetler!$B$5:$B$54,MATCH(D334,Hizmetler!$A$5:$A$54,0)),0)/1440)*1440,0)/1440)</f>
        <v/>
      </c>
      <c r="I334" s="19" t="str">
        <f aca="false">IF(OR(A334="",H334="",E334="İptal"),"",IF(COUNTIFS($A$5:$A$1004,A334,$B$5:$B$1004,"&lt;"&amp;(H334-0.0003),$H$5:$H$1004,"&gt;"&amp;(B334+0.0003),$E$5:$E$1004,"&lt;&gt;İptal")&gt;1,"Çakışıyor",""))</f>
        <v/>
      </c>
      <c r="J334" s="21" t="str">
        <f aca="false">IF(AND(A334=Gün!$C$3,B334&lt;&gt;"",E334&lt;&gt;"İptal"),B334+ROW()/100000000,"")</f>
        <v/>
      </c>
    </row>
    <row r="335" customFormat="false" ht="15" hidden="false" customHeight="false" outlineLevel="0" collapsed="false">
      <c r="A335" s="12"/>
      <c r="B335" s="13"/>
      <c r="C335" s="14"/>
      <c r="D335" s="14"/>
      <c r="E335" s="15"/>
      <c r="F335" s="16"/>
      <c r="G335" s="17" t="str">
        <f aca="false">IF(D335="","",IF(E335="Geldi",IF(F335="",IFERROR(INDEX(Hizmetler!$C$5:$C$54,MATCH(D335,Hizmetler!$A$5:$A$54,0)),0),F335),0))</f>
        <v/>
      </c>
      <c r="H335" s="18" t="str">
        <f aca="false">IF(OR(B335="",D335=""),"",ROUND((B335+IFERROR(INDEX(Hizmetler!$B$5:$B$54,MATCH(D335,Hizmetler!$A$5:$A$54,0)),0)/1440)*1440,0)/1440)</f>
        <v/>
      </c>
      <c r="I335" s="19" t="str">
        <f aca="false">IF(OR(A335="",H335="",E335="İptal"),"",IF(COUNTIFS($A$5:$A$1004,A335,$B$5:$B$1004,"&lt;"&amp;(H335-0.0003),$H$5:$H$1004,"&gt;"&amp;(B335+0.0003),$E$5:$E$1004,"&lt;&gt;İptal")&gt;1,"Çakışıyor",""))</f>
        <v/>
      </c>
      <c r="J335" s="21" t="str">
        <f aca="false">IF(AND(A335=Gün!$C$3,B335&lt;&gt;"",E335&lt;&gt;"İptal"),B335+ROW()/100000000,"")</f>
        <v/>
      </c>
    </row>
    <row r="336" customFormat="false" ht="15" hidden="false" customHeight="false" outlineLevel="0" collapsed="false">
      <c r="A336" s="12"/>
      <c r="B336" s="13"/>
      <c r="C336" s="14"/>
      <c r="D336" s="14"/>
      <c r="E336" s="15"/>
      <c r="F336" s="16"/>
      <c r="G336" s="17" t="str">
        <f aca="false">IF(D336="","",IF(E336="Geldi",IF(F336="",IFERROR(INDEX(Hizmetler!$C$5:$C$54,MATCH(D336,Hizmetler!$A$5:$A$54,0)),0),F336),0))</f>
        <v/>
      </c>
      <c r="H336" s="18" t="str">
        <f aca="false">IF(OR(B336="",D336=""),"",ROUND((B336+IFERROR(INDEX(Hizmetler!$B$5:$B$54,MATCH(D336,Hizmetler!$A$5:$A$54,0)),0)/1440)*1440,0)/1440)</f>
        <v/>
      </c>
      <c r="I336" s="19" t="str">
        <f aca="false">IF(OR(A336="",H336="",E336="İptal"),"",IF(COUNTIFS($A$5:$A$1004,A336,$B$5:$B$1004,"&lt;"&amp;(H336-0.0003),$H$5:$H$1004,"&gt;"&amp;(B336+0.0003),$E$5:$E$1004,"&lt;&gt;İptal")&gt;1,"Çakışıyor",""))</f>
        <v/>
      </c>
      <c r="J336" s="21" t="str">
        <f aca="false">IF(AND(A336=Gün!$C$3,B336&lt;&gt;"",E336&lt;&gt;"İptal"),B336+ROW()/100000000,"")</f>
        <v/>
      </c>
    </row>
    <row r="337" customFormat="false" ht="15" hidden="false" customHeight="false" outlineLevel="0" collapsed="false">
      <c r="A337" s="12"/>
      <c r="B337" s="13"/>
      <c r="C337" s="14"/>
      <c r="D337" s="14"/>
      <c r="E337" s="15"/>
      <c r="F337" s="16"/>
      <c r="G337" s="17" t="str">
        <f aca="false">IF(D337="","",IF(E337="Geldi",IF(F337="",IFERROR(INDEX(Hizmetler!$C$5:$C$54,MATCH(D337,Hizmetler!$A$5:$A$54,0)),0),F337),0))</f>
        <v/>
      </c>
      <c r="H337" s="18" t="str">
        <f aca="false">IF(OR(B337="",D337=""),"",ROUND((B337+IFERROR(INDEX(Hizmetler!$B$5:$B$54,MATCH(D337,Hizmetler!$A$5:$A$54,0)),0)/1440)*1440,0)/1440)</f>
        <v/>
      </c>
      <c r="I337" s="19" t="str">
        <f aca="false">IF(OR(A337="",H337="",E337="İptal"),"",IF(COUNTIFS($A$5:$A$1004,A337,$B$5:$B$1004,"&lt;"&amp;(H337-0.0003),$H$5:$H$1004,"&gt;"&amp;(B337+0.0003),$E$5:$E$1004,"&lt;&gt;İptal")&gt;1,"Çakışıyor",""))</f>
        <v/>
      </c>
      <c r="J337" s="21" t="str">
        <f aca="false">IF(AND(A337=Gün!$C$3,B337&lt;&gt;"",E337&lt;&gt;"İptal"),B337+ROW()/100000000,"")</f>
        <v/>
      </c>
    </row>
    <row r="338" customFormat="false" ht="15" hidden="false" customHeight="false" outlineLevel="0" collapsed="false">
      <c r="A338" s="12"/>
      <c r="B338" s="13"/>
      <c r="C338" s="14"/>
      <c r="D338" s="14"/>
      <c r="E338" s="15"/>
      <c r="F338" s="16"/>
      <c r="G338" s="17" t="str">
        <f aca="false">IF(D338="","",IF(E338="Geldi",IF(F338="",IFERROR(INDEX(Hizmetler!$C$5:$C$54,MATCH(D338,Hizmetler!$A$5:$A$54,0)),0),F338),0))</f>
        <v/>
      </c>
      <c r="H338" s="18" t="str">
        <f aca="false">IF(OR(B338="",D338=""),"",ROUND((B338+IFERROR(INDEX(Hizmetler!$B$5:$B$54,MATCH(D338,Hizmetler!$A$5:$A$54,0)),0)/1440)*1440,0)/1440)</f>
        <v/>
      </c>
      <c r="I338" s="19" t="str">
        <f aca="false">IF(OR(A338="",H338="",E338="İptal"),"",IF(COUNTIFS($A$5:$A$1004,A338,$B$5:$B$1004,"&lt;"&amp;(H338-0.0003),$H$5:$H$1004,"&gt;"&amp;(B338+0.0003),$E$5:$E$1004,"&lt;&gt;İptal")&gt;1,"Çakışıyor",""))</f>
        <v/>
      </c>
      <c r="J338" s="21" t="str">
        <f aca="false">IF(AND(A338=Gün!$C$3,B338&lt;&gt;"",E338&lt;&gt;"İptal"),B338+ROW()/100000000,"")</f>
        <v/>
      </c>
    </row>
    <row r="339" customFormat="false" ht="15" hidden="false" customHeight="false" outlineLevel="0" collapsed="false">
      <c r="A339" s="12"/>
      <c r="B339" s="13"/>
      <c r="C339" s="14"/>
      <c r="D339" s="14"/>
      <c r="E339" s="15"/>
      <c r="F339" s="16"/>
      <c r="G339" s="17" t="str">
        <f aca="false">IF(D339="","",IF(E339="Geldi",IF(F339="",IFERROR(INDEX(Hizmetler!$C$5:$C$54,MATCH(D339,Hizmetler!$A$5:$A$54,0)),0),F339),0))</f>
        <v/>
      </c>
      <c r="H339" s="18" t="str">
        <f aca="false">IF(OR(B339="",D339=""),"",ROUND((B339+IFERROR(INDEX(Hizmetler!$B$5:$B$54,MATCH(D339,Hizmetler!$A$5:$A$54,0)),0)/1440)*1440,0)/1440)</f>
        <v/>
      </c>
      <c r="I339" s="19" t="str">
        <f aca="false">IF(OR(A339="",H339="",E339="İptal"),"",IF(COUNTIFS($A$5:$A$1004,A339,$B$5:$B$1004,"&lt;"&amp;(H339-0.0003),$H$5:$H$1004,"&gt;"&amp;(B339+0.0003),$E$5:$E$1004,"&lt;&gt;İptal")&gt;1,"Çakışıyor",""))</f>
        <v/>
      </c>
      <c r="J339" s="21" t="str">
        <f aca="false">IF(AND(A339=Gün!$C$3,B339&lt;&gt;"",E339&lt;&gt;"İptal"),B339+ROW()/100000000,"")</f>
        <v/>
      </c>
    </row>
    <row r="340" customFormat="false" ht="15" hidden="false" customHeight="false" outlineLevel="0" collapsed="false">
      <c r="A340" s="12"/>
      <c r="B340" s="13"/>
      <c r="C340" s="14"/>
      <c r="D340" s="14"/>
      <c r="E340" s="15"/>
      <c r="F340" s="16"/>
      <c r="G340" s="17" t="str">
        <f aca="false">IF(D340="","",IF(E340="Geldi",IF(F340="",IFERROR(INDEX(Hizmetler!$C$5:$C$54,MATCH(D340,Hizmetler!$A$5:$A$54,0)),0),F340),0))</f>
        <v/>
      </c>
      <c r="H340" s="18" t="str">
        <f aca="false">IF(OR(B340="",D340=""),"",ROUND((B340+IFERROR(INDEX(Hizmetler!$B$5:$B$54,MATCH(D340,Hizmetler!$A$5:$A$54,0)),0)/1440)*1440,0)/1440)</f>
        <v/>
      </c>
      <c r="I340" s="19" t="str">
        <f aca="false">IF(OR(A340="",H340="",E340="İptal"),"",IF(COUNTIFS($A$5:$A$1004,A340,$B$5:$B$1004,"&lt;"&amp;(H340-0.0003),$H$5:$H$1004,"&gt;"&amp;(B340+0.0003),$E$5:$E$1004,"&lt;&gt;İptal")&gt;1,"Çakışıyor",""))</f>
        <v/>
      </c>
      <c r="J340" s="21" t="str">
        <f aca="false">IF(AND(A340=Gün!$C$3,B340&lt;&gt;"",E340&lt;&gt;"İptal"),B340+ROW()/100000000,"")</f>
        <v/>
      </c>
    </row>
    <row r="341" customFormat="false" ht="15" hidden="false" customHeight="false" outlineLevel="0" collapsed="false">
      <c r="A341" s="12"/>
      <c r="B341" s="13"/>
      <c r="C341" s="14"/>
      <c r="D341" s="14"/>
      <c r="E341" s="15"/>
      <c r="F341" s="16"/>
      <c r="G341" s="17" t="str">
        <f aca="false">IF(D341="","",IF(E341="Geldi",IF(F341="",IFERROR(INDEX(Hizmetler!$C$5:$C$54,MATCH(D341,Hizmetler!$A$5:$A$54,0)),0),F341),0))</f>
        <v/>
      </c>
      <c r="H341" s="18" t="str">
        <f aca="false">IF(OR(B341="",D341=""),"",ROUND((B341+IFERROR(INDEX(Hizmetler!$B$5:$B$54,MATCH(D341,Hizmetler!$A$5:$A$54,0)),0)/1440)*1440,0)/1440)</f>
        <v/>
      </c>
      <c r="I341" s="19" t="str">
        <f aca="false">IF(OR(A341="",H341="",E341="İptal"),"",IF(COUNTIFS($A$5:$A$1004,A341,$B$5:$B$1004,"&lt;"&amp;(H341-0.0003),$H$5:$H$1004,"&gt;"&amp;(B341+0.0003),$E$5:$E$1004,"&lt;&gt;İptal")&gt;1,"Çakışıyor",""))</f>
        <v/>
      </c>
      <c r="J341" s="21" t="str">
        <f aca="false">IF(AND(A341=Gün!$C$3,B341&lt;&gt;"",E341&lt;&gt;"İptal"),B341+ROW()/100000000,"")</f>
        <v/>
      </c>
    </row>
    <row r="342" customFormat="false" ht="15" hidden="false" customHeight="false" outlineLevel="0" collapsed="false">
      <c r="A342" s="12"/>
      <c r="B342" s="13"/>
      <c r="C342" s="14"/>
      <c r="D342" s="14"/>
      <c r="E342" s="15"/>
      <c r="F342" s="16"/>
      <c r="G342" s="17" t="str">
        <f aca="false">IF(D342="","",IF(E342="Geldi",IF(F342="",IFERROR(INDEX(Hizmetler!$C$5:$C$54,MATCH(D342,Hizmetler!$A$5:$A$54,0)),0),F342),0))</f>
        <v/>
      </c>
      <c r="H342" s="18" t="str">
        <f aca="false">IF(OR(B342="",D342=""),"",ROUND((B342+IFERROR(INDEX(Hizmetler!$B$5:$B$54,MATCH(D342,Hizmetler!$A$5:$A$54,0)),0)/1440)*1440,0)/1440)</f>
        <v/>
      </c>
      <c r="I342" s="19" t="str">
        <f aca="false">IF(OR(A342="",H342="",E342="İptal"),"",IF(COUNTIFS($A$5:$A$1004,A342,$B$5:$B$1004,"&lt;"&amp;(H342-0.0003),$H$5:$H$1004,"&gt;"&amp;(B342+0.0003),$E$5:$E$1004,"&lt;&gt;İptal")&gt;1,"Çakışıyor",""))</f>
        <v/>
      </c>
      <c r="J342" s="21" t="str">
        <f aca="false">IF(AND(A342=Gün!$C$3,B342&lt;&gt;"",E342&lt;&gt;"İptal"),B342+ROW()/100000000,"")</f>
        <v/>
      </c>
    </row>
    <row r="343" customFormat="false" ht="15" hidden="false" customHeight="false" outlineLevel="0" collapsed="false">
      <c r="A343" s="12"/>
      <c r="B343" s="13"/>
      <c r="C343" s="14"/>
      <c r="D343" s="14"/>
      <c r="E343" s="15"/>
      <c r="F343" s="16"/>
      <c r="G343" s="17" t="str">
        <f aca="false">IF(D343="","",IF(E343="Geldi",IF(F343="",IFERROR(INDEX(Hizmetler!$C$5:$C$54,MATCH(D343,Hizmetler!$A$5:$A$54,0)),0),F343),0))</f>
        <v/>
      </c>
      <c r="H343" s="18" t="str">
        <f aca="false">IF(OR(B343="",D343=""),"",ROUND((B343+IFERROR(INDEX(Hizmetler!$B$5:$B$54,MATCH(D343,Hizmetler!$A$5:$A$54,0)),0)/1440)*1440,0)/1440)</f>
        <v/>
      </c>
      <c r="I343" s="19" t="str">
        <f aca="false">IF(OR(A343="",H343="",E343="İptal"),"",IF(COUNTIFS($A$5:$A$1004,A343,$B$5:$B$1004,"&lt;"&amp;(H343-0.0003),$H$5:$H$1004,"&gt;"&amp;(B343+0.0003),$E$5:$E$1004,"&lt;&gt;İptal")&gt;1,"Çakışıyor",""))</f>
        <v/>
      </c>
      <c r="J343" s="21" t="str">
        <f aca="false">IF(AND(A343=Gün!$C$3,B343&lt;&gt;"",E343&lt;&gt;"İptal"),B343+ROW()/100000000,"")</f>
        <v/>
      </c>
    </row>
    <row r="344" customFormat="false" ht="15" hidden="false" customHeight="false" outlineLevel="0" collapsed="false">
      <c r="A344" s="12"/>
      <c r="B344" s="13"/>
      <c r="C344" s="14"/>
      <c r="D344" s="14"/>
      <c r="E344" s="15"/>
      <c r="F344" s="16"/>
      <c r="G344" s="17" t="str">
        <f aca="false">IF(D344="","",IF(E344="Geldi",IF(F344="",IFERROR(INDEX(Hizmetler!$C$5:$C$54,MATCH(D344,Hizmetler!$A$5:$A$54,0)),0),F344),0))</f>
        <v/>
      </c>
      <c r="H344" s="18" t="str">
        <f aca="false">IF(OR(B344="",D344=""),"",ROUND((B344+IFERROR(INDEX(Hizmetler!$B$5:$B$54,MATCH(D344,Hizmetler!$A$5:$A$54,0)),0)/1440)*1440,0)/1440)</f>
        <v/>
      </c>
      <c r="I344" s="19" t="str">
        <f aca="false">IF(OR(A344="",H344="",E344="İptal"),"",IF(COUNTIFS($A$5:$A$1004,A344,$B$5:$B$1004,"&lt;"&amp;(H344-0.0003),$H$5:$H$1004,"&gt;"&amp;(B344+0.0003),$E$5:$E$1004,"&lt;&gt;İptal")&gt;1,"Çakışıyor",""))</f>
        <v/>
      </c>
      <c r="J344" s="21" t="str">
        <f aca="false">IF(AND(A344=Gün!$C$3,B344&lt;&gt;"",E344&lt;&gt;"İptal"),B344+ROW()/100000000,"")</f>
        <v/>
      </c>
    </row>
    <row r="345" customFormat="false" ht="15" hidden="false" customHeight="false" outlineLevel="0" collapsed="false">
      <c r="A345" s="12"/>
      <c r="B345" s="13"/>
      <c r="C345" s="14"/>
      <c r="D345" s="14"/>
      <c r="E345" s="15"/>
      <c r="F345" s="16"/>
      <c r="G345" s="17" t="str">
        <f aca="false">IF(D345="","",IF(E345="Geldi",IF(F345="",IFERROR(INDEX(Hizmetler!$C$5:$C$54,MATCH(D345,Hizmetler!$A$5:$A$54,0)),0),F345),0))</f>
        <v/>
      </c>
      <c r="H345" s="18" t="str">
        <f aca="false">IF(OR(B345="",D345=""),"",ROUND((B345+IFERROR(INDEX(Hizmetler!$B$5:$B$54,MATCH(D345,Hizmetler!$A$5:$A$54,0)),0)/1440)*1440,0)/1440)</f>
        <v/>
      </c>
      <c r="I345" s="19" t="str">
        <f aca="false">IF(OR(A345="",H345="",E345="İptal"),"",IF(COUNTIFS($A$5:$A$1004,A345,$B$5:$B$1004,"&lt;"&amp;(H345-0.0003),$H$5:$H$1004,"&gt;"&amp;(B345+0.0003),$E$5:$E$1004,"&lt;&gt;İptal")&gt;1,"Çakışıyor",""))</f>
        <v/>
      </c>
      <c r="J345" s="21" t="str">
        <f aca="false">IF(AND(A345=Gün!$C$3,B345&lt;&gt;"",E345&lt;&gt;"İptal"),B345+ROW()/100000000,"")</f>
        <v/>
      </c>
    </row>
    <row r="346" customFormat="false" ht="15" hidden="false" customHeight="false" outlineLevel="0" collapsed="false">
      <c r="A346" s="12"/>
      <c r="B346" s="13"/>
      <c r="C346" s="14"/>
      <c r="D346" s="14"/>
      <c r="E346" s="15"/>
      <c r="F346" s="16"/>
      <c r="G346" s="17" t="str">
        <f aca="false">IF(D346="","",IF(E346="Geldi",IF(F346="",IFERROR(INDEX(Hizmetler!$C$5:$C$54,MATCH(D346,Hizmetler!$A$5:$A$54,0)),0),F346),0))</f>
        <v/>
      </c>
      <c r="H346" s="18" t="str">
        <f aca="false">IF(OR(B346="",D346=""),"",ROUND((B346+IFERROR(INDEX(Hizmetler!$B$5:$B$54,MATCH(D346,Hizmetler!$A$5:$A$54,0)),0)/1440)*1440,0)/1440)</f>
        <v/>
      </c>
      <c r="I346" s="19" t="str">
        <f aca="false">IF(OR(A346="",H346="",E346="İptal"),"",IF(COUNTIFS($A$5:$A$1004,A346,$B$5:$B$1004,"&lt;"&amp;(H346-0.0003),$H$5:$H$1004,"&gt;"&amp;(B346+0.0003),$E$5:$E$1004,"&lt;&gt;İptal")&gt;1,"Çakışıyor",""))</f>
        <v/>
      </c>
      <c r="J346" s="21" t="str">
        <f aca="false">IF(AND(A346=Gün!$C$3,B346&lt;&gt;"",E346&lt;&gt;"İptal"),B346+ROW()/100000000,"")</f>
        <v/>
      </c>
    </row>
    <row r="347" customFormat="false" ht="15" hidden="false" customHeight="false" outlineLevel="0" collapsed="false">
      <c r="A347" s="12"/>
      <c r="B347" s="13"/>
      <c r="C347" s="14"/>
      <c r="D347" s="14"/>
      <c r="E347" s="15"/>
      <c r="F347" s="16"/>
      <c r="G347" s="17" t="str">
        <f aca="false">IF(D347="","",IF(E347="Geldi",IF(F347="",IFERROR(INDEX(Hizmetler!$C$5:$C$54,MATCH(D347,Hizmetler!$A$5:$A$54,0)),0),F347),0))</f>
        <v/>
      </c>
      <c r="H347" s="18" t="str">
        <f aca="false">IF(OR(B347="",D347=""),"",ROUND((B347+IFERROR(INDEX(Hizmetler!$B$5:$B$54,MATCH(D347,Hizmetler!$A$5:$A$54,0)),0)/1440)*1440,0)/1440)</f>
        <v/>
      </c>
      <c r="I347" s="19" t="str">
        <f aca="false">IF(OR(A347="",H347="",E347="İptal"),"",IF(COUNTIFS($A$5:$A$1004,A347,$B$5:$B$1004,"&lt;"&amp;(H347-0.0003),$H$5:$H$1004,"&gt;"&amp;(B347+0.0003),$E$5:$E$1004,"&lt;&gt;İptal")&gt;1,"Çakışıyor",""))</f>
        <v/>
      </c>
      <c r="J347" s="21" t="str">
        <f aca="false">IF(AND(A347=Gün!$C$3,B347&lt;&gt;"",E347&lt;&gt;"İptal"),B347+ROW()/100000000,"")</f>
        <v/>
      </c>
    </row>
    <row r="348" customFormat="false" ht="15" hidden="false" customHeight="false" outlineLevel="0" collapsed="false">
      <c r="A348" s="12"/>
      <c r="B348" s="13"/>
      <c r="C348" s="14"/>
      <c r="D348" s="14"/>
      <c r="E348" s="15"/>
      <c r="F348" s="16"/>
      <c r="G348" s="17" t="str">
        <f aca="false">IF(D348="","",IF(E348="Geldi",IF(F348="",IFERROR(INDEX(Hizmetler!$C$5:$C$54,MATCH(D348,Hizmetler!$A$5:$A$54,0)),0),F348),0))</f>
        <v/>
      </c>
      <c r="H348" s="18" t="str">
        <f aca="false">IF(OR(B348="",D348=""),"",ROUND((B348+IFERROR(INDEX(Hizmetler!$B$5:$B$54,MATCH(D348,Hizmetler!$A$5:$A$54,0)),0)/1440)*1440,0)/1440)</f>
        <v/>
      </c>
      <c r="I348" s="19" t="str">
        <f aca="false">IF(OR(A348="",H348="",E348="İptal"),"",IF(COUNTIFS($A$5:$A$1004,A348,$B$5:$B$1004,"&lt;"&amp;(H348-0.0003),$H$5:$H$1004,"&gt;"&amp;(B348+0.0003),$E$5:$E$1004,"&lt;&gt;İptal")&gt;1,"Çakışıyor",""))</f>
        <v/>
      </c>
      <c r="J348" s="21" t="str">
        <f aca="false">IF(AND(A348=Gün!$C$3,B348&lt;&gt;"",E348&lt;&gt;"İptal"),B348+ROW()/100000000,"")</f>
        <v/>
      </c>
    </row>
    <row r="349" customFormat="false" ht="15" hidden="false" customHeight="false" outlineLevel="0" collapsed="false">
      <c r="A349" s="12"/>
      <c r="B349" s="13"/>
      <c r="C349" s="14"/>
      <c r="D349" s="14"/>
      <c r="E349" s="15"/>
      <c r="F349" s="16"/>
      <c r="G349" s="17" t="str">
        <f aca="false">IF(D349="","",IF(E349="Geldi",IF(F349="",IFERROR(INDEX(Hizmetler!$C$5:$C$54,MATCH(D349,Hizmetler!$A$5:$A$54,0)),0),F349),0))</f>
        <v/>
      </c>
      <c r="H349" s="18" t="str">
        <f aca="false">IF(OR(B349="",D349=""),"",ROUND((B349+IFERROR(INDEX(Hizmetler!$B$5:$B$54,MATCH(D349,Hizmetler!$A$5:$A$54,0)),0)/1440)*1440,0)/1440)</f>
        <v/>
      </c>
      <c r="I349" s="19" t="str">
        <f aca="false">IF(OR(A349="",H349="",E349="İptal"),"",IF(COUNTIFS($A$5:$A$1004,A349,$B$5:$B$1004,"&lt;"&amp;(H349-0.0003),$H$5:$H$1004,"&gt;"&amp;(B349+0.0003),$E$5:$E$1004,"&lt;&gt;İptal")&gt;1,"Çakışıyor",""))</f>
        <v/>
      </c>
      <c r="J349" s="21" t="str">
        <f aca="false">IF(AND(A349=Gün!$C$3,B349&lt;&gt;"",E349&lt;&gt;"İptal"),B349+ROW()/100000000,"")</f>
        <v/>
      </c>
    </row>
    <row r="350" customFormat="false" ht="15" hidden="false" customHeight="false" outlineLevel="0" collapsed="false">
      <c r="A350" s="12"/>
      <c r="B350" s="13"/>
      <c r="C350" s="14"/>
      <c r="D350" s="14"/>
      <c r="E350" s="15"/>
      <c r="F350" s="16"/>
      <c r="G350" s="17" t="str">
        <f aca="false">IF(D350="","",IF(E350="Geldi",IF(F350="",IFERROR(INDEX(Hizmetler!$C$5:$C$54,MATCH(D350,Hizmetler!$A$5:$A$54,0)),0),F350),0))</f>
        <v/>
      </c>
      <c r="H350" s="18" t="str">
        <f aca="false">IF(OR(B350="",D350=""),"",ROUND((B350+IFERROR(INDEX(Hizmetler!$B$5:$B$54,MATCH(D350,Hizmetler!$A$5:$A$54,0)),0)/1440)*1440,0)/1440)</f>
        <v/>
      </c>
      <c r="I350" s="19" t="str">
        <f aca="false">IF(OR(A350="",H350="",E350="İptal"),"",IF(COUNTIFS($A$5:$A$1004,A350,$B$5:$B$1004,"&lt;"&amp;(H350-0.0003),$H$5:$H$1004,"&gt;"&amp;(B350+0.0003),$E$5:$E$1004,"&lt;&gt;İptal")&gt;1,"Çakışıyor",""))</f>
        <v/>
      </c>
      <c r="J350" s="21" t="str">
        <f aca="false">IF(AND(A350=Gün!$C$3,B350&lt;&gt;"",E350&lt;&gt;"İptal"),B350+ROW()/100000000,"")</f>
        <v/>
      </c>
    </row>
    <row r="351" customFormat="false" ht="15" hidden="false" customHeight="false" outlineLevel="0" collapsed="false">
      <c r="A351" s="12"/>
      <c r="B351" s="13"/>
      <c r="C351" s="14"/>
      <c r="D351" s="14"/>
      <c r="E351" s="15"/>
      <c r="F351" s="16"/>
      <c r="G351" s="17" t="str">
        <f aca="false">IF(D351="","",IF(E351="Geldi",IF(F351="",IFERROR(INDEX(Hizmetler!$C$5:$C$54,MATCH(D351,Hizmetler!$A$5:$A$54,0)),0),F351),0))</f>
        <v/>
      </c>
      <c r="H351" s="18" t="str">
        <f aca="false">IF(OR(B351="",D351=""),"",ROUND((B351+IFERROR(INDEX(Hizmetler!$B$5:$B$54,MATCH(D351,Hizmetler!$A$5:$A$54,0)),0)/1440)*1440,0)/1440)</f>
        <v/>
      </c>
      <c r="I351" s="19" t="str">
        <f aca="false">IF(OR(A351="",H351="",E351="İptal"),"",IF(COUNTIFS($A$5:$A$1004,A351,$B$5:$B$1004,"&lt;"&amp;(H351-0.0003),$H$5:$H$1004,"&gt;"&amp;(B351+0.0003),$E$5:$E$1004,"&lt;&gt;İptal")&gt;1,"Çakışıyor",""))</f>
        <v/>
      </c>
      <c r="J351" s="21" t="str">
        <f aca="false">IF(AND(A351=Gün!$C$3,B351&lt;&gt;"",E351&lt;&gt;"İptal"),B351+ROW()/100000000,"")</f>
        <v/>
      </c>
    </row>
    <row r="352" customFormat="false" ht="15" hidden="false" customHeight="false" outlineLevel="0" collapsed="false">
      <c r="A352" s="12"/>
      <c r="B352" s="13"/>
      <c r="C352" s="14"/>
      <c r="D352" s="14"/>
      <c r="E352" s="15"/>
      <c r="F352" s="16"/>
      <c r="G352" s="17" t="str">
        <f aca="false">IF(D352="","",IF(E352="Geldi",IF(F352="",IFERROR(INDEX(Hizmetler!$C$5:$C$54,MATCH(D352,Hizmetler!$A$5:$A$54,0)),0),F352),0))</f>
        <v/>
      </c>
      <c r="H352" s="18" t="str">
        <f aca="false">IF(OR(B352="",D352=""),"",ROUND((B352+IFERROR(INDEX(Hizmetler!$B$5:$B$54,MATCH(D352,Hizmetler!$A$5:$A$54,0)),0)/1440)*1440,0)/1440)</f>
        <v/>
      </c>
      <c r="I352" s="19" t="str">
        <f aca="false">IF(OR(A352="",H352="",E352="İptal"),"",IF(COUNTIFS($A$5:$A$1004,A352,$B$5:$B$1004,"&lt;"&amp;(H352-0.0003),$H$5:$H$1004,"&gt;"&amp;(B352+0.0003),$E$5:$E$1004,"&lt;&gt;İptal")&gt;1,"Çakışıyor",""))</f>
        <v/>
      </c>
      <c r="J352" s="21" t="str">
        <f aca="false">IF(AND(A352=Gün!$C$3,B352&lt;&gt;"",E352&lt;&gt;"İptal"),B352+ROW()/100000000,"")</f>
        <v/>
      </c>
    </row>
    <row r="353" customFormat="false" ht="15" hidden="false" customHeight="false" outlineLevel="0" collapsed="false">
      <c r="A353" s="12"/>
      <c r="B353" s="13"/>
      <c r="C353" s="14"/>
      <c r="D353" s="14"/>
      <c r="E353" s="15"/>
      <c r="F353" s="16"/>
      <c r="G353" s="17" t="str">
        <f aca="false">IF(D353="","",IF(E353="Geldi",IF(F353="",IFERROR(INDEX(Hizmetler!$C$5:$C$54,MATCH(D353,Hizmetler!$A$5:$A$54,0)),0),F353),0))</f>
        <v/>
      </c>
      <c r="H353" s="18" t="str">
        <f aca="false">IF(OR(B353="",D353=""),"",ROUND((B353+IFERROR(INDEX(Hizmetler!$B$5:$B$54,MATCH(D353,Hizmetler!$A$5:$A$54,0)),0)/1440)*1440,0)/1440)</f>
        <v/>
      </c>
      <c r="I353" s="19" t="str">
        <f aca="false">IF(OR(A353="",H353="",E353="İptal"),"",IF(COUNTIFS($A$5:$A$1004,A353,$B$5:$B$1004,"&lt;"&amp;(H353-0.0003),$H$5:$H$1004,"&gt;"&amp;(B353+0.0003),$E$5:$E$1004,"&lt;&gt;İptal")&gt;1,"Çakışıyor",""))</f>
        <v/>
      </c>
      <c r="J353" s="21" t="str">
        <f aca="false">IF(AND(A353=Gün!$C$3,B353&lt;&gt;"",E353&lt;&gt;"İptal"),B353+ROW()/100000000,"")</f>
        <v/>
      </c>
    </row>
    <row r="354" customFormat="false" ht="15" hidden="false" customHeight="false" outlineLevel="0" collapsed="false">
      <c r="A354" s="12"/>
      <c r="B354" s="13"/>
      <c r="C354" s="14"/>
      <c r="D354" s="14"/>
      <c r="E354" s="15"/>
      <c r="F354" s="16"/>
      <c r="G354" s="17" t="str">
        <f aca="false">IF(D354="","",IF(E354="Geldi",IF(F354="",IFERROR(INDEX(Hizmetler!$C$5:$C$54,MATCH(D354,Hizmetler!$A$5:$A$54,0)),0),F354),0))</f>
        <v/>
      </c>
      <c r="H354" s="18" t="str">
        <f aca="false">IF(OR(B354="",D354=""),"",ROUND((B354+IFERROR(INDEX(Hizmetler!$B$5:$B$54,MATCH(D354,Hizmetler!$A$5:$A$54,0)),0)/1440)*1440,0)/1440)</f>
        <v/>
      </c>
      <c r="I354" s="19" t="str">
        <f aca="false">IF(OR(A354="",H354="",E354="İptal"),"",IF(COUNTIFS($A$5:$A$1004,A354,$B$5:$B$1004,"&lt;"&amp;(H354-0.0003),$H$5:$H$1004,"&gt;"&amp;(B354+0.0003),$E$5:$E$1004,"&lt;&gt;İptal")&gt;1,"Çakışıyor",""))</f>
        <v/>
      </c>
      <c r="J354" s="21" t="str">
        <f aca="false">IF(AND(A354=Gün!$C$3,B354&lt;&gt;"",E354&lt;&gt;"İptal"),B354+ROW()/100000000,"")</f>
        <v/>
      </c>
    </row>
    <row r="355" customFormat="false" ht="15" hidden="false" customHeight="false" outlineLevel="0" collapsed="false">
      <c r="A355" s="12"/>
      <c r="B355" s="13"/>
      <c r="C355" s="14"/>
      <c r="D355" s="14"/>
      <c r="E355" s="15"/>
      <c r="F355" s="16"/>
      <c r="G355" s="17" t="str">
        <f aca="false">IF(D355="","",IF(E355="Geldi",IF(F355="",IFERROR(INDEX(Hizmetler!$C$5:$C$54,MATCH(D355,Hizmetler!$A$5:$A$54,0)),0),F355),0))</f>
        <v/>
      </c>
      <c r="H355" s="18" t="str">
        <f aca="false">IF(OR(B355="",D355=""),"",ROUND((B355+IFERROR(INDEX(Hizmetler!$B$5:$B$54,MATCH(D355,Hizmetler!$A$5:$A$54,0)),0)/1440)*1440,0)/1440)</f>
        <v/>
      </c>
      <c r="I355" s="19" t="str">
        <f aca="false">IF(OR(A355="",H355="",E355="İptal"),"",IF(COUNTIFS($A$5:$A$1004,A355,$B$5:$B$1004,"&lt;"&amp;(H355-0.0003),$H$5:$H$1004,"&gt;"&amp;(B355+0.0003),$E$5:$E$1004,"&lt;&gt;İptal")&gt;1,"Çakışıyor",""))</f>
        <v/>
      </c>
      <c r="J355" s="21" t="str">
        <f aca="false">IF(AND(A355=Gün!$C$3,B355&lt;&gt;"",E355&lt;&gt;"İptal"),B355+ROW()/100000000,"")</f>
        <v/>
      </c>
    </row>
    <row r="356" customFormat="false" ht="15" hidden="false" customHeight="false" outlineLevel="0" collapsed="false">
      <c r="A356" s="12"/>
      <c r="B356" s="13"/>
      <c r="C356" s="14"/>
      <c r="D356" s="14"/>
      <c r="E356" s="15"/>
      <c r="F356" s="16"/>
      <c r="G356" s="17" t="str">
        <f aca="false">IF(D356="","",IF(E356="Geldi",IF(F356="",IFERROR(INDEX(Hizmetler!$C$5:$C$54,MATCH(D356,Hizmetler!$A$5:$A$54,0)),0),F356),0))</f>
        <v/>
      </c>
      <c r="H356" s="18" t="str">
        <f aca="false">IF(OR(B356="",D356=""),"",ROUND((B356+IFERROR(INDEX(Hizmetler!$B$5:$B$54,MATCH(D356,Hizmetler!$A$5:$A$54,0)),0)/1440)*1440,0)/1440)</f>
        <v/>
      </c>
      <c r="I356" s="19" t="str">
        <f aca="false">IF(OR(A356="",H356="",E356="İptal"),"",IF(COUNTIFS($A$5:$A$1004,A356,$B$5:$B$1004,"&lt;"&amp;(H356-0.0003),$H$5:$H$1004,"&gt;"&amp;(B356+0.0003),$E$5:$E$1004,"&lt;&gt;İptal")&gt;1,"Çakışıyor",""))</f>
        <v/>
      </c>
      <c r="J356" s="21" t="str">
        <f aca="false">IF(AND(A356=Gün!$C$3,B356&lt;&gt;"",E356&lt;&gt;"İptal"),B356+ROW()/100000000,"")</f>
        <v/>
      </c>
    </row>
    <row r="357" customFormat="false" ht="15" hidden="false" customHeight="false" outlineLevel="0" collapsed="false">
      <c r="A357" s="12"/>
      <c r="B357" s="13"/>
      <c r="C357" s="14"/>
      <c r="D357" s="14"/>
      <c r="E357" s="15"/>
      <c r="F357" s="16"/>
      <c r="G357" s="17" t="str">
        <f aca="false">IF(D357="","",IF(E357="Geldi",IF(F357="",IFERROR(INDEX(Hizmetler!$C$5:$C$54,MATCH(D357,Hizmetler!$A$5:$A$54,0)),0),F357),0))</f>
        <v/>
      </c>
      <c r="H357" s="18" t="str">
        <f aca="false">IF(OR(B357="",D357=""),"",ROUND((B357+IFERROR(INDEX(Hizmetler!$B$5:$B$54,MATCH(D357,Hizmetler!$A$5:$A$54,0)),0)/1440)*1440,0)/1440)</f>
        <v/>
      </c>
      <c r="I357" s="19" t="str">
        <f aca="false">IF(OR(A357="",H357="",E357="İptal"),"",IF(COUNTIFS($A$5:$A$1004,A357,$B$5:$B$1004,"&lt;"&amp;(H357-0.0003),$H$5:$H$1004,"&gt;"&amp;(B357+0.0003),$E$5:$E$1004,"&lt;&gt;İptal")&gt;1,"Çakışıyor",""))</f>
        <v/>
      </c>
      <c r="J357" s="21" t="str">
        <f aca="false">IF(AND(A357=Gün!$C$3,B357&lt;&gt;"",E357&lt;&gt;"İptal"),B357+ROW()/100000000,"")</f>
        <v/>
      </c>
    </row>
    <row r="358" customFormat="false" ht="15" hidden="false" customHeight="false" outlineLevel="0" collapsed="false">
      <c r="A358" s="12"/>
      <c r="B358" s="13"/>
      <c r="C358" s="14"/>
      <c r="D358" s="14"/>
      <c r="E358" s="15"/>
      <c r="F358" s="16"/>
      <c r="G358" s="17" t="str">
        <f aca="false">IF(D358="","",IF(E358="Geldi",IF(F358="",IFERROR(INDEX(Hizmetler!$C$5:$C$54,MATCH(D358,Hizmetler!$A$5:$A$54,0)),0),F358),0))</f>
        <v/>
      </c>
      <c r="H358" s="18" t="str">
        <f aca="false">IF(OR(B358="",D358=""),"",ROUND((B358+IFERROR(INDEX(Hizmetler!$B$5:$B$54,MATCH(D358,Hizmetler!$A$5:$A$54,0)),0)/1440)*1440,0)/1440)</f>
        <v/>
      </c>
      <c r="I358" s="19" t="str">
        <f aca="false">IF(OR(A358="",H358="",E358="İptal"),"",IF(COUNTIFS($A$5:$A$1004,A358,$B$5:$B$1004,"&lt;"&amp;(H358-0.0003),$H$5:$H$1004,"&gt;"&amp;(B358+0.0003),$E$5:$E$1004,"&lt;&gt;İptal")&gt;1,"Çakışıyor",""))</f>
        <v/>
      </c>
      <c r="J358" s="21" t="str">
        <f aca="false">IF(AND(A358=Gün!$C$3,B358&lt;&gt;"",E358&lt;&gt;"İptal"),B358+ROW()/100000000,"")</f>
        <v/>
      </c>
    </row>
    <row r="359" customFormat="false" ht="15" hidden="false" customHeight="false" outlineLevel="0" collapsed="false">
      <c r="A359" s="12"/>
      <c r="B359" s="13"/>
      <c r="C359" s="14"/>
      <c r="D359" s="14"/>
      <c r="E359" s="15"/>
      <c r="F359" s="16"/>
      <c r="G359" s="17" t="str">
        <f aca="false">IF(D359="","",IF(E359="Geldi",IF(F359="",IFERROR(INDEX(Hizmetler!$C$5:$C$54,MATCH(D359,Hizmetler!$A$5:$A$54,0)),0),F359),0))</f>
        <v/>
      </c>
      <c r="H359" s="18" t="str">
        <f aca="false">IF(OR(B359="",D359=""),"",ROUND((B359+IFERROR(INDEX(Hizmetler!$B$5:$B$54,MATCH(D359,Hizmetler!$A$5:$A$54,0)),0)/1440)*1440,0)/1440)</f>
        <v/>
      </c>
      <c r="I359" s="19" t="str">
        <f aca="false">IF(OR(A359="",H359="",E359="İptal"),"",IF(COUNTIFS($A$5:$A$1004,A359,$B$5:$B$1004,"&lt;"&amp;(H359-0.0003),$H$5:$H$1004,"&gt;"&amp;(B359+0.0003),$E$5:$E$1004,"&lt;&gt;İptal")&gt;1,"Çakışıyor",""))</f>
        <v/>
      </c>
      <c r="J359" s="21" t="str">
        <f aca="false">IF(AND(A359=Gün!$C$3,B359&lt;&gt;"",E359&lt;&gt;"İptal"),B359+ROW()/100000000,"")</f>
        <v/>
      </c>
    </row>
    <row r="360" customFormat="false" ht="15" hidden="false" customHeight="false" outlineLevel="0" collapsed="false">
      <c r="A360" s="12"/>
      <c r="B360" s="13"/>
      <c r="C360" s="14"/>
      <c r="D360" s="14"/>
      <c r="E360" s="15"/>
      <c r="F360" s="16"/>
      <c r="G360" s="17" t="str">
        <f aca="false">IF(D360="","",IF(E360="Geldi",IF(F360="",IFERROR(INDEX(Hizmetler!$C$5:$C$54,MATCH(D360,Hizmetler!$A$5:$A$54,0)),0),F360),0))</f>
        <v/>
      </c>
      <c r="H360" s="18" t="str">
        <f aca="false">IF(OR(B360="",D360=""),"",ROUND((B360+IFERROR(INDEX(Hizmetler!$B$5:$B$54,MATCH(D360,Hizmetler!$A$5:$A$54,0)),0)/1440)*1440,0)/1440)</f>
        <v/>
      </c>
      <c r="I360" s="19" t="str">
        <f aca="false">IF(OR(A360="",H360="",E360="İptal"),"",IF(COUNTIFS($A$5:$A$1004,A360,$B$5:$B$1004,"&lt;"&amp;(H360-0.0003),$H$5:$H$1004,"&gt;"&amp;(B360+0.0003),$E$5:$E$1004,"&lt;&gt;İptal")&gt;1,"Çakışıyor",""))</f>
        <v/>
      </c>
      <c r="J360" s="21" t="str">
        <f aca="false">IF(AND(A360=Gün!$C$3,B360&lt;&gt;"",E360&lt;&gt;"İptal"),B360+ROW()/100000000,"")</f>
        <v/>
      </c>
    </row>
    <row r="361" customFormat="false" ht="15" hidden="false" customHeight="false" outlineLevel="0" collapsed="false">
      <c r="A361" s="12"/>
      <c r="B361" s="13"/>
      <c r="C361" s="14"/>
      <c r="D361" s="14"/>
      <c r="E361" s="15"/>
      <c r="F361" s="16"/>
      <c r="G361" s="17" t="str">
        <f aca="false">IF(D361="","",IF(E361="Geldi",IF(F361="",IFERROR(INDEX(Hizmetler!$C$5:$C$54,MATCH(D361,Hizmetler!$A$5:$A$54,0)),0),F361),0))</f>
        <v/>
      </c>
      <c r="H361" s="18" t="str">
        <f aca="false">IF(OR(B361="",D361=""),"",ROUND((B361+IFERROR(INDEX(Hizmetler!$B$5:$B$54,MATCH(D361,Hizmetler!$A$5:$A$54,0)),0)/1440)*1440,0)/1440)</f>
        <v/>
      </c>
      <c r="I361" s="19" t="str">
        <f aca="false">IF(OR(A361="",H361="",E361="İptal"),"",IF(COUNTIFS($A$5:$A$1004,A361,$B$5:$B$1004,"&lt;"&amp;(H361-0.0003),$H$5:$H$1004,"&gt;"&amp;(B361+0.0003),$E$5:$E$1004,"&lt;&gt;İptal")&gt;1,"Çakışıyor",""))</f>
        <v/>
      </c>
      <c r="J361" s="21" t="str">
        <f aca="false">IF(AND(A361=Gün!$C$3,B361&lt;&gt;"",E361&lt;&gt;"İptal"),B361+ROW()/100000000,"")</f>
        <v/>
      </c>
    </row>
    <row r="362" customFormat="false" ht="15" hidden="false" customHeight="false" outlineLevel="0" collapsed="false">
      <c r="A362" s="12"/>
      <c r="B362" s="13"/>
      <c r="C362" s="14"/>
      <c r="D362" s="14"/>
      <c r="E362" s="15"/>
      <c r="F362" s="16"/>
      <c r="G362" s="17" t="str">
        <f aca="false">IF(D362="","",IF(E362="Geldi",IF(F362="",IFERROR(INDEX(Hizmetler!$C$5:$C$54,MATCH(D362,Hizmetler!$A$5:$A$54,0)),0),F362),0))</f>
        <v/>
      </c>
      <c r="H362" s="18" t="str">
        <f aca="false">IF(OR(B362="",D362=""),"",ROUND((B362+IFERROR(INDEX(Hizmetler!$B$5:$B$54,MATCH(D362,Hizmetler!$A$5:$A$54,0)),0)/1440)*1440,0)/1440)</f>
        <v/>
      </c>
      <c r="I362" s="19" t="str">
        <f aca="false">IF(OR(A362="",H362="",E362="İptal"),"",IF(COUNTIFS($A$5:$A$1004,A362,$B$5:$B$1004,"&lt;"&amp;(H362-0.0003),$H$5:$H$1004,"&gt;"&amp;(B362+0.0003),$E$5:$E$1004,"&lt;&gt;İptal")&gt;1,"Çakışıyor",""))</f>
        <v/>
      </c>
      <c r="J362" s="21" t="str">
        <f aca="false">IF(AND(A362=Gün!$C$3,B362&lt;&gt;"",E362&lt;&gt;"İptal"),B362+ROW()/100000000,"")</f>
        <v/>
      </c>
    </row>
    <row r="363" customFormat="false" ht="15" hidden="false" customHeight="false" outlineLevel="0" collapsed="false">
      <c r="A363" s="12"/>
      <c r="B363" s="13"/>
      <c r="C363" s="14"/>
      <c r="D363" s="14"/>
      <c r="E363" s="15"/>
      <c r="F363" s="16"/>
      <c r="G363" s="17" t="str">
        <f aca="false">IF(D363="","",IF(E363="Geldi",IF(F363="",IFERROR(INDEX(Hizmetler!$C$5:$C$54,MATCH(D363,Hizmetler!$A$5:$A$54,0)),0),F363),0))</f>
        <v/>
      </c>
      <c r="H363" s="18" t="str">
        <f aca="false">IF(OR(B363="",D363=""),"",ROUND((B363+IFERROR(INDEX(Hizmetler!$B$5:$B$54,MATCH(D363,Hizmetler!$A$5:$A$54,0)),0)/1440)*1440,0)/1440)</f>
        <v/>
      </c>
      <c r="I363" s="19" t="str">
        <f aca="false">IF(OR(A363="",H363="",E363="İptal"),"",IF(COUNTIFS($A$5:$A$1004,A363,$B$5:$B$1004,"&lt;"&amp;(H363-0.0003),$H$5:$H$1004,"&gt;"&amp;(B363+0.0003),$E$5:$E$1004,"&lt;&gt;İptal")&gt;1,"Çakışıyor",""))</f>
        <v/>
      </c>
      <c r="J363" s="21" t="str">
        <f aca="false">IF(AND(A363=Gün!$C$3,B363&lt;&gt;"",E363&lt;&gt;"İptal"),B363+ROW()/100000000,"")</f>
        <v/>
      </c>
    </row>
    <row r="364" customFormat="false" ht="15" hidden="false" customHeight="false" outlineLevel="0" collapsed="false">
      <c r="A364" s="12"/>
      <c r="B364" s="13"/>
      <c r="C364" s="14"/>
      <c r="D364" s="14"/>
      <c r="E364" s="15"/>
      <c r="F364" s="16"/>
      <c r="G364" s="17" t="str">
        <f aca="false">IF(D364="","",IF(E364="Geldi",IF(F364="",IFERROR(INDEX(Hizmetler!$C$5:$C$54,MATCH(D364,Hizmetler!$A$5:$A$54,0)),0),F364),0))</f>
        <v/>
      </c>
      <c r="H364" s="18" t="str">
        <f aca="false">IF(OR(B364="",D364=""),"",ROUND((B364+IFERROR(INDEX(Hizmetler!$B$5:$B$54,MATCH(D364,Hizmetler!$A$5:$A$54,0)),0)/1440)*1440,0)/1440)</f>
        <v/>
      </c>
      <c r="I364" s="19" t="str">
        <f aca="false">IF(OR(A364="",H364="",E364="İptal"),"",IF(COUNTIFS($A$5:$A$1004,A364,$B$5:$B$1004,"&lt;"&amp;(H364-0.0003),$H$5:$H$1004,"&gt;"&amp;(B364+0.0003),$E$5:$E$1004,"&lt;&gt;İptal")&gt;1,"Çakışıyor",""))</f>
        <v/>
      </c>
      <c r="J364" s="21" t="str">
        <f aca="false">IF(AND(A364=Gün!$C$3,B364&lt;&gt;"",E364&lt;&gt;"İptal"),B364+ROW()/100000000,"")</f>
        <v/>
      </c>
    </row>
    <row r="365" customFormat="false" ht="15" hidden="false" customHeight="false" outlineLevel="0" collapsed="false">
      <c r="A365" s="12"/>
      <c r="B365" s="13"/>
      <c r="C365" s="14"/>
      <c r="D365" s="14"/>
      <c r="E365" s="15"/>
      <c r="F365" s="16"/>
      <c r="G365" s="17" t="str">
        <f aca="false">IF(D365="","",IF(E365="Geldi",IF(F365="",IFERROR(INDEX(Hizmetler!$C$5:$C$54,MATCH(D365,Hizmetler!$A$5:$A$54,0)),0),F365),0))</f>
        <v/>
      </c>
      <c r="H365" s="18" t="str">
        <f aca="false">IF(OR(B365="",D365=""),"",ROUND((B365+IFERROR(INDEX(Hizmetler!$B$5:$B$54,MATCH(D365,Hizmetler!$A$5:$A$54,0)),0)/1440)*1440,0)/1440)</f>
        <v/>
      </c>
      <c r="I365" s="19" t="str">
        <f aca="false">IF(OR(A365="",H365="",E365="İptal"),"",IF(COUNTIFS($A$5:$A$1004,A365,$B$5:$B$1004,"&lt;"&amp;(H365-0.0003),$H$5:$H$1004,"&gt;"&amp;(B365+0.0003),$E$5:$E$1004,"&lt;&gt;İptal")&gt;1,"Çakışıyor",""))</f>
        <v/>
      </c>
      <c r="J365" s="21" t="str">
        <f aca="false">IF(AND(A365=Gün!$C$3,B365&lt;&gt;"",E365&lt;&gt;"İptal"),B365+ROW()/100000000,"")</f>
        <v/>
      </c>
    </row>
    <row r="366" customFormat="false" ht="15" hidden="false" customHeight="false" outlineLevel="0" collapsed="false">
      <c r="A366" s="12"/>
      <c r="B366" s="13"/>
      <c r="C366" s="14"/>
      <c r="D366" s="14"/>
      <c r="E366" s="15"/>
      <c r="F366" s="16"/>
      <c r="G366" s="17" t="str">
        <f aca="false">IF(D366="","",IF(E366="Geldi",IF(F366="",IFERROR(INDEX(Hizmetler!$C$5:$C$54,MATCH(D366,Hizmetler!$A$5:$A$54,0)),0),F366),0))</f>
        <v/>
      </c>
      <c r="H366" s="18" t="str">
        <f aca="false">IF(OR(B366="",D366=""),"",ROUND((B366+IFERROR(INDEX(Hizmetler!$B$5:$B$54,MATCH(D366,Hizmetler!$A$5:$A$54,0)),0)/1440)*1440,0)/1440)</f>
        <v/>
      </c>
      <c r="I366" s="19" t="str">
        <f aca="false">IF(OR(A366="",H366="",E366="İptal"),"",IF(COUNTIFS($A$5:$A$1004,A366,$B$5:$B$1004,"&lt;"&amp;(H366-0.0003),$H$5:$H$1004,"&gt;"&amp;(B366+0.0003),$E$5:$E$1004,"&lt;&gt;İptal")&gt;1,"Çakışıyor",""))</f>
        <v/>
      </c>
      <c r="J366" s="21" t="str">
        <f aca="false">IF(AND(A366=Gün!$C$3,B366&lt;&gt;"",E366&lt;&gt;"İptal"),B366+ROW()/100000000,"")</f>
        <v/>
      </c>
    </row>
    <row r="367" customFormat="false" ht="15" hidden="false" customHeight="false" outlineLevel="0" collapsed="false">
      <c r="A367" s="12"/>
      <c r="B367" s="13"/>
      <c r="C367" s="14"/>
      <c r="D367" s="14"/>
      <c r="E367" s="15"/>
      <c r="F367" s="16"/>
      <c r="G367" s="17" t="str">
        <f aca="false">IF(D367="","",IF(E367="Geldi",IF(F367="",IFERROR(INDEX(Hizmetler!$C$5:$C$54,MATCH(D367,Hizmetler!$A$5:$A$54,0)),0),F367),0))</f>
        <v/>
      </c>
      <c r="H367" s="18" t="str">
        <f aca="false">IF(OR(B367="",D367=""),"",ROUND((B367+IFERROR(INDEX(Hizmetler!$B$5:$B$54,MATCH(D367,Hizmetler!$A$5:$A$54,0)),0)/1440)*1440,0)/1440)</f>
        <v/>
      </c>
      <c r="I367" s="19" t="str">
        <f aca="false">IF(OR(A367="",H367="",E367="İptal"),"",IF(COUNTIFS($A$5:$A$1004,A367,$B$5:$B$1004,"&lt;"&amp;(H367-0.0003),$H$5:$H$1004,"&gt;"&amp;(B367+0.0003),$E$5:$E$1004,"&lt;&gt;İptal")&gt;1,"Çakışıyor",""))</f>
        <v/>
      </c>
      <c r="J367" s="21" t="str">
        <f aca="false">IF(AND(A367=Gün!$C$3,B367&lt;&gt;"",E367&lt;&gt;"İptal"),B367+ROW()/100000000,"")</f>
        <v/>
      </c>
    </row>
    <row r="368" customFormat="false" ht="15" hidden="false" customHeight="false" outlineLevel="0" collapsed="false">
      <c r="A368" s="12"/>
      <c r="B368" s="13"/>
      <c r="C368" s="14"/>
      <c r="D368" s="14"/>
      <c r="E368" s="15"/>
      <c r="F368" s="16"/>
      <c r="G368" s="17" t="str">
        <f aca="false">IF(D368="","",IF(E368="Geldi",IF(F368="",IFERROR(INDEX(Hizmetler!$C$5:$C$54,MATCH(D368,Hizmetler!$A$5:$A$54,0)),0),F368),0))</f>
        <v/>
      </c>
      <c r="H368" s="18" t="str">
        <f aca="false">IF(OR(B368="",D368=""),"",ROUND((B368+IFERROR(INDEX(Hizmetler!$B$5:$B$54,MATCH(D368,Hizmetler!$A$5:$A$54,0)),0)/1440)*1440,0)/1440)</f>
        <v/>
      </c>
      <c r="I368" s="19" t="str">
        <f aca="false">IF(OR(A368="",H368="",E368="İptal"),"",IF(COUNTIFS($A$5:$A$1004,A368,$B$5:$B$1004,"&lt;"&amp;(H368-0.0003),$H$5:$H$1004,"&gt;"&amp;(B368+0.0003),$E$5:$E$1004,"&lt;&gt;İptal")&gt;1,"Çakışıyor",""))</f>
        <v/>
      </c>
      <c r="J368" s="21" t="str">
        <f aca="false">IF(AND(A368=Gün!$C$3,B368&lt;&gt;"",E368&lt;&gt;"İptal"),B368+ROW()/100000000,"")</f>
        <v/>
      </c>
    </row>
    <row r="369" customFormat="false" ht="15" hidden="false" customHeight="false" outlineLevel="0" collapsed="false">
      <c r="A369" s="12"/>
      <c r="B369" s="13"/>
      <c r="C369" s="14"/>
      <c r="D369" s="14"/>
      <c r="E369" s="15"/>
      <c r="F369" s="16"/>
      <c r="G369" s="17" t="str">
        <f aca="false">IF(D369="","",IF(E369="Geldi",IF(F369="",IFERROR(INDEX(Hizmetler!$C$5:$C$54,MATCH(D369,Hizmetler!$A$5:$A$54,0)),0),F369),0))</f>
        <v/>
      </c>
      <c r="H369" s="18" t="str">
        <f aca="false">IF(OR(B369="",D369=""),"",ROUND((B369+IFERROR(INDEX(Hizmetler!$B$5:$B$54,MATCH(D369,Hizmetler!$A$5:$A$54,0)),0)/1440)*1440,0)/1440)</f>
        <v/>
      </c>
      <c r="I369" s="19" t="str">
        <f aca="false">IF(OR(A369="",H369="",E369="İptal"),"",IF(COUNTIFS($A$5:$A$1004,A369,$B$5:$B$1004,"&lt;"&amp;(H369-0.0003),$H$5:$H$1004,"&gt;"&amp;(B369+0.0003),$E$5:$E$1004,"&lt;&gt;İptal")&gt;1,"Çakışıyor",""))</f>
        <v/>
      </c>
      <c r="J369" s="21" t="str">
        <f aca="false">IF(AND(A369=Gün!$C$3,B369&lt;&gt;"",E369&lt;&gt;"İptal"),B369+ROW()/100000000,"")</f>
        <v/>
      </c>
    </row>
    <row r="370" customFormat="false" ht="15" hidden="false" customHeight="false" outlineLevel="0" collapsed="false">
      <c r="A370" s="12"/>
      <c r="B370" s="13"/>
      <c r="C370" s="14"/>
      <c r="D370" s="14"/>
      <c r="E370" s="15"/>
      <c r="F370" s="16"/>
      <c r="G370" s="17" t="str">
        <f aca="false">IF(D370="","",IF(E370="Geldi",IF(F370="",IFERROR(INDEX(Hizmetler!$C$5:$C$54,MATCH(D370,Hizmetler!$A$5:$A$54,0)),0),F370),0))</f>
        <v/>
      </c>
      <c r="H370" s="18" t="str">
        <f aca="false">IF(OR(B370="",D370=""),"",ROUND((B370+IFERROR(INDEX(Hizmetler!$B$5:$B$54,MATCH(D370,Hizmetler!$A$5:$A$54,0)),0)/1440)*1440,0)/1440)</f>
        <v/>
      </c>
      <c r="I370" s="19" t="str">
        <f aca="false">IF(OR(A370="",H370="",E370="İptal"),"",IF(COUNTIFS($A$5:$A$1004,A370,$B$5:$B$1004,"&lt;"&amp;(H370-0.0003),$H$5:$H$1004,"&gt;"&amp;(B370+0.0003),$E$5:$E$1004,"&lt;&gt;İptal")&gt;1,"Çakışıyor",""))</f>
        <v/>
      </c>
      <c r="J370" s="21" t="str">
        <f aca="false">IF(AND(A370=Gün!$C$3,B370&lt;&gt;"",E370&lt;&gt;"İptal"),B370+ROW()/100000000,"")</f>
        <v/>
      </c>
    </row>
    <row r="371" customFormat="false" ht="15" hidden="false" customHeight="false" outlineLevel="0" collapsed="false">
      <c r="A371" s="12"/>
      <c r="B371" s="13"/>
      <c r="C371" s="14"/>
      <c r="D371" s="14"/>
      <c r="E371" s="15"/>
      <c r="F371" s="16"/>
      <c r="G371" s="17" t="str">
        <f aca="false">IF(D371="","",IF(E371="Geldi",IF(F371="",IFERROR(INDEX(Hizmetler!$C$5:$C$54,MATCH(D371,Hizmetler!$A$5:$A$54,0)),0),F371),0))</f>
        <v/>
      </c>
      <c r="H371" s="18" t="str">
        <f aca="false">IF(OR(B371="",D371=""),"",ROUND((B371+IFERROR(INDEX(Hizmetler!$B$5:$B$54,MATCH(D371,Hizmetler!$A$5:$A$54,0)),0)/1440)*1440,0)/1440)</f>
        <v/>
      </c>
      <c r="I371" s="19" t="str">
        <f aca="false">IF(OR(A371="",H371="",E371="İptal"),"",IF(COUNTIFS($A$5:$A$1004,A371,$B$5:$B$1004,"&lt;"&amp;(H371-0.0003),$H$5:$H$1004,"&gt;"&amp;(B371+0.0003),$E$5:$E$1004,"&lt;&gt;İptal")&gt;1,"Çakışıyor",""))</f>
        <v/>
      </c>
      <c r="J371" s="21" t="str">
        <f aca="false">IF(AND(A371=Gün!$C$3,B371&lt;&gt;"",E371&lt;&gt;"İptal"),B371+ROW()/100000000,"")</f>
        <v/>
      </c>
    </row>
    <row r="372" customFormat="false" ht="15" hidden="false" customHeight="false" outlineLevel="0" collapsed="false">
      <c r="A372" s="12"/>
      <c r="B372" s="13"/>
      <c r="C372" s="14"/>
      <c r="D372" s="14"/>
      <c r="E372" s="15"/>
      <c r="F372" s="16"/>
      <c r="G372" s="17" t="str">
        <f aca="false">IF(D372="","",IF(E372="Geldi",IF(F372="",IFERROR(INDEX(Hizmetler!$C$5:$C$54,MATCH(D372,Hizmetler!$A$5:$A$54,0)),0),F372),0))</f>
        <v/>
      </c>
      <c r="H372" s="18" t="str">
        <f aca="false">IF(OR(B372="",D372=""),"",ROUND((B372+IFERROR(INDEX(Hizmetler!$B$5:$B$54,MATCH(D372,Hizmetler!$A$5:$A$54,0)),0)/1440)*1440,0)/1440)</f>
        <v/>
      </c>
      <c r="I372" s="19" t="str">
        <f aca="false">IF(OR(A372="",H372="",E372="İptal"),"",IF(COUNTIFS($A$5:$A$1004,A372,$B$5:$B$1004,"&lt;"&amp;(H372-0.0003),$H$5:$H$1004,"&gt;"&amp;(B372+0.0003),$E$5:$E$1004,"&lt;&gt;İptal")&gt;1,"Çakışıyor",""))</f>
        <v/>
      </c>
      <c r="J372" s="21" t="str">
        <f aca="false">IF(AND(A372=Gün!$C$3,B372&lt;&gt;"",E372&lt;&gt;"İptal"),B372+ROW()/100000000,"")</f>
        <v/>
      </c>
    </row>
    <row r="373" customFormat="false" ht="15" hidden="false" customHeight="false" outlineLevel="0" collapsed="false">
      <c r="A373" s="12"/>
      <c r="B373" s="13"/>
      <c r="C373" s="14"/>
      <c r="D373" s="14"/>
      <c r="E373" s="15"/>
      <c r="F373" s="16"/>
      <c r="G373" s="17" t="str">
        <f aca="false">IF(D373="","",IF(E373="Geldi",IF(F373="",IFERROR(INDEX(Hizmetler!$C$5:$C$54,MATCH(D373,Hizmetler!$A$5:$A$54,0)),0),F373),0))</f>
        <v/>
      </c>
      <c r="H373" s="18" t="str">
        <f aca="false">IF(OR(B373="",D373=""),"",ROUND((B373+IFERROR(INDEX(Hizmetler!$B$5:$B$54,MATCH(D373,Hizmetler!$A$5:$A$54,0)),0)/1440)*1440,0)/1440)</f>
        <v/>
      </c>
      <c r="I373" s="19" t="str">
        <f aca="false">IF(OR(A373="",H373="",E373="İptal"),"",IF(COUNTIFS($A$5:$A$1004,A373,$B$5:$B$1004,"&lt;"&amp;(H373-0.0003),$H$5:$H$1004,"&gt;"&amp;(B373+0.0003),$E$5:$E$1004,"&lt;&gt;İptal")&gt;1,"Çakışıyor",""))</f>
        <v/>
      </c>
      <c r="J373" s="21" t="str">
        <f aca="false">IF(AND(A373=Gün!$C$3,B373&lt;&gt;"",E373&lt;&gt;"İptal"),B373+ROW()/100000000,"")</f>
        <v/>
      </c>
    </row>
    <row r="374" customFormat="false" ht="15" hidden="false" customHeight="false" outlineLevel="0" collapsed="false">
      <c r="A374" s="12"/>
      <c r="B374" s="13"/>
      <c r="C374" s="14"/>
      <c r="D374" s="14"/>
      <c r="E374" s="15"/>
      <c r="F374" s="16"/>
      <c r="G374" s="17" t="str">
        <f aca="false">IF(D374="","",IF(E374="Geldi",IF(F374="",IFERROR(INDEX(Hizmetler!$C$5:$C$54,MATCH(D374,Hizmetler!$A$5:$A$54,0)),0),F374),0))</f>
        <v/>
      </c>
      <c r="H374" s="18" t="str">
        <f aca="false">IF(OR(B374="",D374=""),"",ROUND((B374+IFERROR(INDEX(Hizmetler!$B$5:$B$54,MATCH(D374,Hizmetler!$A$5:$A$54,0)),0)/1440)*1440,0)/1440)</f>
        <v/>
      </c>
      <c r="I374" s="19" t="str">
        <f aca="false">IF(OR(A374="",H374="",E374="İptal"),"",IF(COUNTIFS($A$5:$A$1004,A374,$B$5:$B$1004,"&lt;"&amp;(H374-0.0003),$H$5:$H$1004,"&gt;"&amp;(B374+0.0003),$E$5:$E$1004,"&lt;&gt;İptal")&gt;1,"Çakışıyor",""))</f>
        <v/>
      </c>
      <c r="J374" s="21" t="str">
        <f aca="false">IF(AND(A374=Gün!$C$3,B374&lt;&gt;"",E374&lt;&gt;"İptal"),B374+ROW()/100000000,"")</f>
        <v/>
      </c>
    </row>
    <row r="375" customFormat="false" ht="15" hidden="false" customHeight="false" outlineLevel="0" collapsed="false">
      <c r="A375" s="12"/>
      <c r="B375" s="13"/>
      <c r="C375" s="14"/>
      <c r="D375" s="14"/>
      <c r="E375" s="15"/>
      <c r="F375" s="16"/>
      <c r="G375" s="17" t="str">
        <f aca="false">IF(D375="","",IF(E375="Geldi",IF(F375="",IFERROR(INDEX(Hizmetler!$C$5:$C$54,MATCH(D375,Hizmetler!$A$5:$A$54,0)),0),F375),0))</f>
        <v/>
      </c>
      <c r="H375" s="18" t="str">
        <f aca="false">IF(OR(B375="",D375=""),"",ROUND((B375+IFERROR(INDEX(Hizmetler!$B$5:$B$54,MATCH(D375,Hizmetler!$A$5:$A$54,0)),0)/1440)*1440,0)/1440)</f>
        <v/>
      </c>
      <c r="I375" s="19" t="str">
        <f aca="false">IF(OR(A375="",H375="",E375="İptal"),"",IF(COUNTIFS($A$5:$A$1004,A375,$B$5:$B$1004,"&lt;"&amp;(H375-0.0003),$H$5:$H$1004,"&gt;"&amp;(B375+0.0003),$E$5:$E$1004,"&lt;&gt;İptal")&gt;1,"Çakışıyor",""))</f>
        <v/>
      </c>
      <c r="J375" s="21" t="str">
        <f aca="false">IF(AND(A375=Gün!$C$3,B375&lt;&gt;"",E375&lt;&gt;"İptal"),B375+ROW()/100000000,"")</f>
        <v/>
      </c>
    </row>
    <row r="376" customFormat="false" ht="15" hidden="false" customHeight="false" outlineLevel="0" collapsed="false">
      <c r="A376" s="12"/>
      <c r="B376" s="13"/>
      <c r="C376" s="14"/>
      <c r="D376" s="14"/>
      <c r="E376" s="15"/>
      <c r="F376" s="16"/>
      <c r="G376" s="17" t="str">
        <f aca="false">IF(D376="","",IF(E376="Geldi",IF(F376="",IFERROR(INDEX(Hizmetler!$C$5:$C$54,MATCH(D376,Hizmetler!$A$5:$A$54,0)),0),F376),0))</f>
        <v/>
      </c>
      <c r="H376" s="18" t="str">
        <f aca="false">IF(OR(B376="",D376=""),"",ROUND((B376+IFERROR(INDEX(Hizmetler!$B$5:$B$54,MATCH(D376,Hizmetler!$A$5:$A$54,0)),0)/1440)*1440,0)/1440)</f>
        <v/>
      </c>
      <c r="I376" s="19" t="str">
        <f aca="false">IF(OR(A376="",H376="",E376="İptal"),"",IF(COUNTIFS($A$5:$A$1004,A376,$B$5:$B$1004,"&lt;"&amp;(H376-0.0003),$H$5:$H$1004,"&gt;"&amp;(B376+0.0003),$E$5:$E$1004,"&lt;&gt;İptal")&gt;1,"Çakışıyor",""))</f>
        <v/>
      </c>
      <c r="J376" s="21" t="str">
        <f aca="false">IF(AND(A376=Gün!$C$3,B376&lt;&gt;"",E376&lt;&gt;"İptal"),B376+ROW()/100000000,"")</f>
        <v/>
      </c>
    </row>
    <row r="377" customFormat="false" ht="15" hidden="false" customHeight="false" outlineLevel="0" collapsed="false">
      <c r="A377" s="12"/>
      <c r="B377" s="13"/>
      <c r="C377" s="14"/>
      <c r="D377" s="14"/>
      <c r="E377" s="15"/>
      <c r="F377" s="16"/>
      <c r="G377" s="17" t="str">
        <f aca="false">IF(D377="","",IF(E377="Geldi",IF(F377="",IFERROR(INDEX(Hizmetler!$C$5:$C$54,MATCH(D377,Hizmetler!$A$5:$A$54,0)),0),F377),0))</f>
        <v/>
      </c>
      <c r="H377" s="18" t="str">
        <f aca="false">IF(OR(B377="",D377=""),"",ROUND((B377+IFERROR(INDEX(Hizmetler!$B$5:$B$54,MATCH(D377,Hizmetler!$A$5:$A$54,0)),0)/1440)*1440,0)/1440)</f>
        <v/>
      </c>
      <c r="I377" s="19" t="str">
        <f aca="false">IF(OR(A377="",H377="",E377="İptal"),"",IF(COUNTIFS($A$5:$A$1004,A377,$B$5:$B$1004,"&lt;"&amp;(H377-0.0003),$H$5:$H$1004,"&gt;"&amp;(B377+0.0003),$E$5:$E$1004,"&lt;&gt;İptal")&gt;1,"Çakışıyor",""))</f>
        <v/>
      </c>
      <c r="J377" s="21" t="str">
        <f aca="false">IF(AND(A377=Gün!$C$3,B377&lt;&gt;"",E377&lt;&gt;"İptal"),B377+ROW()/100000000,"")</f>
        <v/>
      </c>
    </row>
    <row r="378" customFormat="false" ht="15" hidden="false" customHeight="false" outlineLevel="0" collapsed="false">
      <c r="A378" s="12"/>
      <c r="B378" s="13"/>
      <c r="C378" s="14"/>
      <c r="D378" s="14"/>
      <c r="E378" s="15"/>
      <c r="F378" s="16"/>
      <c r="G378" s="17" t="str">
        <f aca="false">IF(D378="","",IF(E378="Geldi",IF(F378="",IFERROR(INDEX(Hizmetler!$C$5:$C$54,MATCH(D378,Hizmetler!$A$5:$A$54,0)),0),F378),0))</f>
        <v/>
      </c>
      <c r="H378" s="18" t="str">
        <f aca="false">IF(OR(B378="",D378=""),"",ROUND((B378+IFERROR(INDEX(Hizmetler!$B$5:$B$54,MATCH(D378,Hizmetler!$A$5:$A$54,0)),0)/1440)*1440,0)/1440)</f>
        <v/>
      </c>
      <c r="I378" s="19" t="str">
        <f aca="false">IF(OR(A378="",H378="",E378="İptal"),"",IF(COUNTIFS($A$5:$A$1004,A378,$B$5:$B$1004,"&lt;"&amp;(H378-0.0003),$H$5:$H$1004,"&gt;"&amp;(B378+0.0003),$E$5:$E$1004,"&lt;&gt;İptal")&gt;1,"Çakışıyor",""))</f>
        <v/>
      </c>
      <c r="J378" s="21" t="str">
        <f aca="false">IF(AND(A378=Gün!$C$3,B378&lt;&gt;"",E378&lt;&gt;"İptal"),B378+ROW()/100000000,"")</f>
        <v/>
      </c>
    </row>
    <row r="379" customFormat="false" ht="15" hidden="false" customHeight="false" outlineLevel="0" collapsed="false">
      <c r="A379" s="12"/>
      <c r="B379" s="13"/>
      <c r="C379" s="14"/>
      <c r="D379" s="14"/>
      <c r="E379" s="15"/>
      <c r="F379" s="16"/>
      <c r="G379" s="17" t="str">
        <f aca="false">IF(D379="","",IF(E379="Geldi",IF(F379="",IFERROR(INDEX(Hizmetler!$C$5:$C$54,MATCH(D379,Hizmetler!$A$5:$A$54,0)),0),F379),0))</f>
        <v/>
      </c>
      <c r="H379" s="18" t="str">
        <f aca="false">IF(OR(B379="",D379=""),"",ROUND((B379+IFERROR(INDEX(Hizmetler!$B$5:$B$54,MATCH(D379,Hizmetler!$A$5:$A$54,0)),0)/1440)*1440,0)/1440)</f>
        <v/>
      </c>
      <c r="I379" s="19" t="str">
        <f aca="false">IF(OR(A379="",H379="",E379="İptal"),"",IF(COUNTIFS($A$5:$A$1004,A379,$B$5:$B$1004,"&lt;"&amp;(H379-0.0003),$H$5:$H$1004,"&gt;"&amp;(B379+0.0003),$E$5:$E$1004,"&lt;&gt;İptal")&gt;1,"Çakışıyor",""))</f>
        <v/>
      </c>
      <c r="J379" s="21" t="str">
        <f aca="false">IF(AND(A379=Gün!$C$3,B379&lt;&gt;"",E379&lt;&gt;"İptal"),B379+ROW()/100000000,"")</f>
        <v/>
      </c>
    </row>
    <row r="380" customFormat="false" ht="15" hidden="false" customHeight="false" outlineLevel="0" collapsed="false">
      <c r="A380" s="12"/>
      <c r="B380" s="13"/>
      <c r="C380" s="14"/>
      <c r="D380" s="14"/>
      <c r="E380" s="15"/>
      <c r="F380" s="16"/>
      <c r="G380" s="17" t="str">
        <f aca="false">IF(D380="","",IF(E380="Geldi",IF(F380="",IFERROR(INDEX(Hizmetler!$C$5:$C$54,MATCH(D380,Hizmetler!$A$5:$A$54,0)),0),F380),0))</f>
        <v/>
      </c>
      <c r="H380" s="18" t="str">
        <f aca="false">IF(OR(B380="",D380=""),"",ROUND((B380+IFERROR(INDEX(Hizmetler!$B$5:$B$54,MATCH(D380,Hizmetler!$A$5:$A$54,0)),0)/1440)*1440,0)/1440)</f>
        <v/>
      </c>
      <c r="I380" s="19" t="str">
        <f aca="false">IF(OR(A380="",H380="",E380="İptal"),"",IF(COUNTIFS($A$5:$A$1004,A380,$B$5:$B$1004,"&lt;"&amp;(H380-0.0003),$H$5:$H$1004,"&gt;"&amp;(B380+0.0003),$E$5:$E$1004,"&lt;&gt;İptal")&gt;1,"Çakışıyor",""))</f>
        <v/>
      </c>
      <c r="J380" s="21" t="str">
        <f aca="false">IF(AND(A380=Gün!$C$3,B380&lt;&gt;"",E380&lt;&gt;"İptal"),B380+ROW()/100000000,"")</f>
        <v/>
      </c>
    </row>
    <row r="381" customFormat="false" ht="15" hidden="false" customHeight="false" outlineLevel="0" collapsed="false">
      <c r="A381" s="12"/>
      <c r="B381" s="13"/>
      <c r="C381" s="14"/>
      <c r="D381" s="14"/>
      <c r="E381" s="15"/>
      <c r="F381" s="16"/>
      <c r="G381" s="17" t="str">
        <f aca="false">IF(D381="","",IF(E381="Geldi",IF(F381="",IFERROR(INDEX(Hizmetler!$C$5:$C$54,MATCH(D381,Hizmetler!$A$5:$A$54,0)),0),F381),0))</f>
        <v/>
      </c>
      <c r="H381" s="18" t="str">
        <f aca="false">IF(OR(B381="",D381=""),"",ROUND((B381+IFERROR(INDEX(Hizmetler!$B$5:$B$54,MATCH(D381,Hizmetler!$A$5:$A$54,0)),0)/1440)*1440,0)/1440)</f>
        <v/>
      </c>
      <c r="I381" s="19" t="str">
        <f aca="false">IF(OR(A381="",H381="",E381="İptal"),"",IF(COUNTIFS($A$5:$A$1004,A381,$B$5:$B$1004,"&lt;"&amp;(H381-0.0003),$H$5:$H$1004,"&gt;"&amp;(B381+0.0003),$E$5:$E$1004,"&lt;&gt;İptal")&gt;1,"Çakışıyor",""))</f>
        <v/>
      </c>
      <c r="J381" s="21" t="str">
        <f aca="false">IF(AND(A381=Gün!$C$3,B381&lt;&gt;"",E381&lt;&gt;"İptal"),B381+ROW()/100000000,"")</f>
        <v/>
      </c>
    </row>
    <row r="382" customFormat="false" ht="15" hidden="false" customHeight="false" outlineLevel="0" collapsed="false">
      <c r="A382" s="12"/>
      <c r="B382" s="13"/>
      <c r="C382" s="14"/>
      <c r="D382" s="14"/>
      <c r="E382" s="15"/>
      <c r="F382" s="16"/>
      <c r="G382" s="17" t="str">
        <f aca="false">IF(D382="","",IF(E382="Geldi",IF(F382="",IFERROR(INDEX(Hizmetler!$C$5:$C$54,MATCH(D382,Hizmetler!$A$5:$A$54,0)),0),F382),0))</f>
        <v/>
      </c>
      <c r="H382" s="18" t="str">
        <f aca="false">IF(OR(B382="",D382=""),"",ROUND((B382+IFERROR(INDEX(Hizmetler!$B$5:$B$54,MATCH(D382,Hizmetler!$A$5:$A$54,0)),0)/1440)*1440,0)/1440)</f>
        <v/>
      </c>
      <c r="I382" s="19" t="str">
        <f aca="false">IF(OR(A382="",H382="",E382="İptal"),"",IF(COUNTIFS($A$5:$A$1004,A382,$B$5:$B$1004,"&lt;"&amp;(H382-0.0003),$H$5:$H$1004,"&gt;"&amp;(B382+0.0003),$E$5:$E$1004,"&lt;&gt;İptal")&gt;1,"Çakışıyor",""))</f>
        <v/>
      </c>
      <c r="J382" s="21" t="str">
        <f aca="false">IF(AND(A382=Gün!$C$3,B382&lt;&gt;"",E382&lt;&gt;"İptal"),B382+ROW()/100000000,"")</f>
        <v/>
      </c>
    </row>
    <row r="383" customFormat="false" ht="15" hidden="false" customHeight="false" outlineLevel="0" collapsed="false">
      <c r="A383" s="12"/>
      <c r="B383" s="13"/>
      <c r="C383" s="14"/>
      <c r="D383" s="14"/>
      <c r="E383" s="15"/>
      <c r="F383" s="16"/>
      <c r="G383" s="17" t="str">
        <f aca="false">IF(D383="","",IF(E383="Geldi",IF(F383="",IFERROR(INDEX(Hizmetler!$C$5:$C$54,MATCH(D383,Hizmetler!$A$5:$A$54,0)),0),F383),0))</f>
        <v/>
      </c>
      <c r="H383" s="18" t="str">
        <f aca="false">IF(OR(B383="",D383=""),"",ROUND((B383+IFERROR(INDEX(Hizmetler!$B$5:$B$54,MATCH(D383,Hizmetler!$A$5:$A$54,0)),0)/1440)*1440,0)/1440)</f>
        <v/>
      </c>
      <c r="I383" s="19" t="str">
        <f aca="false">IF(OR(A383="",H383="",E383="İptal"),"",IF(COUNTIFS($A$5:$A$1004,A383,$B$5:$B$1004,"&lt;"&amp;(H383-0.0003),$H$5:$H$1004,"&gt;"&amp;(B383+0.0003),$E$5:$E$1004,"&lt;&gt;İptal")&gt;1,"Çakışıyor",""))</f>
        <v/>
      </c>
      <c r="J383" s="21" t="str">
        <f aca="false">IF(AND(A383=Gün!$C$3,B383&lt;&gt;"",E383&lt;&gt;"İptal"),B383+ROW()/100000000,"")</f>
        <v/>
      </c>
    </row>
    <row r="384" customFormat="false" ht="15" hidden="false" customHeight="false" outlineLevel="0" collapsed="false">
      <c r="A384" s="12"/>
      <c r="B384" s="13"/>
      <c r="C384" s="14"/>
      <c r="D384" s="14"/>
      <c r="E384" s="15"/>
      <c r="F384" s="16"/>
      <c r="G384" s="17" t="str">
        <f aca="false">IF(D384="","",IF(E384="Geldi",IF(F384="",IFERROR(INDEX(Hizmetler!$C$5:$C$54,MATCH(D384,Hizmetler!$A$5:$A$54,0)),0),F384),0))</f>
        <v/>
      </c>
      <c r="H384" s="18" t="str">
        <f aca="false">IF(OR(B384="",D384=""),"",ROUND((B384+IFERROR(INDEX(Hizmetler!$B$5:$B$54,MATCH(D384,Hizmetler!$A$5:$A$54,0)),0)/1440)*1440,0)/1440)</f>
        <v/>
      </c>
      <c r="I384" s="19" t="str">
        <f aca="false">IF(OR(A384="",H384="",E384="İptal"),"",IF(COUNTIFS($A$5:$A$1004,A384,$B$5:$B$1004,"&lt;"&amp;(H384-0.0003),$H$5:$H$1004,"&gt;"&amp;(B384+0.0003),$E$5:$E$1004,"&lt;&gt;İptal")&gt;1,"Çakışıyor",""))</f>
        <v/>
      </c>
      <c r="J384" s="21" t="str">
        <f aca="false">IF(AND(A384=Gün!$C$3,B384&lt;&gt;"",E384&lt;&gt;"İptal"),B384+ROW()/100000000,"")</f>
        <v/>
      </c>
    </row>
    <row r="385" customFormat="false" ht="15" hidden="false" customHeight="false" outlineLevel="0" collapsed="false">
      <c r="A385" s="12"/>
      <c r="B385" s="13"/>
      <c r="C385" s="14"/>
      <c r="D385" s="14"/>
      <c r="E385" s="15"/>
      <c r="F385" s="16"/>
      <c r="G385" s="17" t="str">
        <f aca="false">IF(D385="","",IF(E385="Geldi",IF(F385="",IFERROR(INDEX(Hizmetler!$C$5:$C$54,MATCH(D385,Hizmetler!$A$5:$A$54,0)),0),F385),0))</f>
        <v/>
      </c>
      <c r="H385" s="18" t="str">
        <f aca="false">IF(OR(B385="",D385=""),"",ROUND((B385+IFERROR(INDEX(Hizmetler!$B$5:$B$54,MATCH(D385,Hizmetler!$A$5:$A$54,0)),0)/1440)*1440,0)/1440)</f>
        <v/>
      </c>
      <c r="I385" s="19" t="str">
        <f aca="false">IF(OR(A385="",H385="",E385="İptal"),"",IF(COUNTIFS($A$5:$A$1004,A385,$B$5:$B$1004,"&lt;"&amp;(H385-0.0003),$H$5:$H$1004,"&gt;"&amp;(B385+0.0003),$E$5:$E$1004,"&lt;&gt;İptal")&gt;1,"Çakışıyor",""))</f>
        <v/>
      </c>
      <c r="J385" s="21" t="str">
        <f aca="false">IF(AND(A385=Gün!$C$3,B385&lt;&gt;"",E385&lt;&gt;"İptal"),B385+ROW()/100000000,"")</f>
        <v/>
      </c>
    </row>
    <row r="386" customFormat="false" ht="15" hidden="false" customHeight="false" outlineLevel="0" collapsed="false">
      <c r="A386" s="12"/>
      <c r="B386" s="13"/>
      <c r="C386" s="14"/>
      <c r="D386" s="14"/>
      <c r="E386" s="15"/>
      <c r="F386" s="16"/>
      <c r="G386" s="17" t="str">
        <f aca="false">IF(D386="","",IF(E386="Geldi",IF(F386="",IFERROR(INDEX(Hizmetler!$C$5:$C$54,MATCH(D386,Hizmetler!$A$5:$A$54,0)),0),F386),0))</f>
        <v/>
      </c>
      <c r="H386" s="18" t="str">
        <f aca="false">IF(OR(B386="",D386=""),"",ROUND((B386+IFERROR(INDEX(Hizmetler!$B$5:$B$54,MATCH(D386,Hizmetler!$A$5:$A$54,0)),0)/1440)*1440,0)/1440)</f>
        <v/>
      </c>
      <c r="I386" s="19" t="str">
        <f aca="false">IF(OR(A386="",H386="",E386="İptal"),"",IF(COUNTIFS($A$5:$A$1004,A386,$B$5:$B$1004,"&lt;"&amp;(H386-0.0003),$H$5:$H$1004,"&gt;"&amp;(B386+0.0003),$E$5:$E$1004,"&lt;&gt;İptal")&gt;1,"Çakışıyor",""))</f>
        <v/>
      </c>
      <c r="J386" s="21" t="str">
        <f aca="false">IF(AND(A386=Gün!$C$3,B386&lt;&gt;"",E386&lt;&gt;"İptal"),B386+ROW()/100000000,"")</f>
        <v/>
      </c>
    </row>
    <row r="387" customFormat="false" ht="15" hidden="false" customHeight="false" outlineLevel="0" collapsed="false">
      <c r="A387" s="12"/>
      <c r="B387" s="13"/>
      <c r="C387" s="14"/>
      <c r="D387" s="14"/>
      <c r="E387" s="15"/>
      <c r="F387" s="16"/>
      <c r="G387" s="17" t="str">
        <f aca="false">IF(D387="","",IF(E387="Geldi",IF(F387="",IFERROR(INDEX(Hizmetler!$C$5:$C$54,MATCH(D387,Hizmetler!$A$5:$A$54,0)),0),F387),0))</f>
        <v/>
      </c>
      <c r="H387" s="18" t="str">
        <f aca="false">IF(OR(B387="",D387=""),"",ROUND((B387+IFERROR(INDEX(Hizmetler!$B$5:$B$54,MATCH(D387,Hizmetler!$A$5:$A$54,0)),0)/1440)*1440,0)/1440)</f>
        <v/>
      </c>
      <c r="I387" s="19" t="str">
        <f aca="false">IF(OR(A387="",H387="",E387="İptal"),"",IF(COUNTIFS($A$5:$A$1004,A387,$B$5:$B$1004,"&lt;"&amp;(H387-0.0003),$H$5:$H$1004,"&gt;"&amp;(B387+0.0003),$E$5:$E$1004,"&lt;&gt;İptal")&gt;1,"Çakışıyor",""))</f>
        <v/>
      </c>
      <c r="J387" s="21" t="str">
        <f aca="false">IF(AND(A387=Gün!$C$3,B387&lt;&gt;"",E387&lt;&gt;"İptal"),B387+ROW()/100000000,"")</f>
        <v/>
      </c>
    </row>
    <row r="388" customFormat="false" ht="15" hidden="false" customHeight="false" outlineLevel="0" collapsed="false">
      <c r="A388" s="12"/>
      <c r="B388" s="13"/>
      <c r="C388" s="14"/>
      <c r="D388" s="14"/>
      <c r="E388" s="15"/>
      <c r="F388" s="16"/>
      <c r="G388" s="17" t="str">
        <f aca="false">IF(D388="","",IF(E388="Geldi",IF(F388="",IFERROR(INDEX(Hizmetler!$C$5:$C$54,MATCH(D388,Hizmetler!$A$5:$A$54,0)),0),F388),0))</f>
        <v/>
      </c>
      <c r="H388" s="18" t="str">
        <f aca="false">IF(OR(B388="",D388=""),"",ROUND((B388+IFERROR(INDEX(Hizmetler!$B$5:$B$54,MATCH(D388,Hizmetler!$A$5:$A$54,0)),0)/1440)*1440,0)/1440)</f>
        <v/>
      </c>
      <c r="I388" s="19" t="str">
        <f aca="false">IF(OR(A388="",H388="",E388="İptal"),"",IF(COUNTIFS($A$5:$A$1004,A388,$B$5:$B$1004,"&lt;"&amp;(H388-0.0003),$H$5:$H$1004,"&gt;"&amp;(B388+0.0003),$E$5:$E$1004,"&lt;&gt;İptal")&gt;1,"Çakışıyor",""))</f>
        <v/>
      </c>
      <c r="J388" s="21" t="str">
        <f aca="false">IF(AND(A388=Gün!$C$3,B388&lt;&gt;"",E388&lt;&gt;"İptal"),B388+ROW()/100000000,"")</f>
        <v/>
      </c>
    </row>
    <row r="389" customFormat="false" ht="15" hidden="false" customHeight="false" outlineLevel="0" collapsed="false">
      <c r="A389" s="12"/>
      <c r="B389" s="13"/>
      <c r="C389" s="14"/>
      <c r="D389" s="14"/>
      <c r="E389" s="15"/>
      <c r="F389" s="16"/>
      <c r="G389" s="17" t="str">
        <f aca="false">IF(D389="","",IF(E389="Geldi",IF(F389="",IFERROR(INDEX(Hizmetler!$C$5:$C$54,MATCH(D389,Hizmetler!$A$5:$A$54,0)),0),F389),0))</f>
        <v/>
      </c>
      <c r="H389" s="18" t="str">
        <f aca="false">IF(OR(B389="",D389=""),"",ROUND((B389+IFERROR(INDEX(Hizmetler!$B$5:$B$54,MATCH(D389,Hizmetler!$A$5:$A$54,0)),0)/1440)*1440,0)/1440)</f>
        <v/>
      </c>
      <c r="I389" s="19" t="str">
        <f aca="false">IF(OR(A389="",H389="",E389="İptal"),"",IF(COUNTIFS($A$5:$A$1004,A389,$B$5:$B$1004,"&lt;"&amp;(H389-0.0003),$H$5:$H$1004,"&gt;"&amp;(B389+0.0003),$E$5:$E$1004,"&lt;&gt;İptal")&gt;1,"Çakışıyor",""))</f>
        <v/>
      </c>
      <c r="J389" s="21" t="str">
        <f aca="false">IF(AND(A389=Gün!$C$3,B389&lt;&gt;"",E389&lt;&gt;"İptal"),B389+ROW()/100000000,"")</f>
        <v/>
      </c>
    </row>
    <row r="390" customFormat="false" ht="15" hidden="false" customHeight="false" outlineLevel="0" collapsed="false">
      <c r="A390" s="12"/>
      <c r="B390" s="13"/>
      <c r="C390" s="14"/>
      <c r="D390" s="14"/>
      <c r="E390" s="15"/>
      <c r="F390" s="16"/>
      <c r="G390" s="17" t="str">
        <f aca="false">IF(D390="","",IF(E390="Geldi",IF(F390="",IFERROR(INDEX(Hizmetler!$C$5:$C$54,MATCH(D390,Hizmetler!$A$5:$A$54,0)),0),F390),0))</f>
        <v/>
      </c>
      <c r="H390" s="18" t="str">
        <f aca="false">IF(OR(B390="",D390=""),"",ROUND((B390+IFERROR(INDEX(Hizmetler!$B$5:$B$54,MATCH(D390,Hizmetler!$A$5:$A$54,0)),0)/1440)*1440,0)/1440)</f>
        <v/>
      </c>
      <c r="I390" s="19" t="str">
        <f aca="false">IF(OR(A390="",H390="",E390="İptal"),"",IF(COUNTIFS($A$5:$A$1004,A390,$B$5:$B$1004,"&lt;"&amp;(H390-0.0003),$H$5:$H$1004,"&gt;"&amp;(B390+0.0003),$E$5:$E$1004,"&lt;&gt;İptal")&gt;1,"Çakışıyor",""))</f>
        <v/>
      </c>
      <c r="J390" s="21" t="str">
        <f aca="false">IF(AND(A390=Gün!$C$3,B390&lt;&gt;"",E390&lt;&gt;"İptal"),B390+ROW()/100000000,"")</f>
        <v/>
      </c>
    </row>
    <row r="391" customFormat="false" ht="15" hidden="false" customHeight="false" outlineLevel="0" collapsed="false">
      <c r="A391" s="12"/>
      <c r="B391" s="13"/>
      <c r="C391" s="14"/>
      <c r="D391" s="14"/>
      <c r="E391" s="15"/>
      <c r="F391" s="16"/>
      <c r="G391" s="17" t="str">
        <f aca="false">IF(D391="","",IF(E391="Geldi",IF(F391="",IFERROR(INDEX(Hizmetler!$C$5:$C$54,MATCH(D391,Hizmetler!$A$5:$A$54,0)),0),F391),0))</f>
        <v/>
      </c>
      <c r="H391" s="18" t="str">
        <f aca="false">IF(OR(B391="",D391=""),"",ROUND((B391+IFERROR(INDEX(Hizmetler!$B$5:$B$54,MATCH(D391,Hizmetler!$A$5:$A$54,0)),0)/1440)*1440,0)/1440)</f>
        <v/>
      </c>
      <c r="I391" s="19" t="str">
        <f aca="false">IF(OR(A391="",H391="",E391="İptal"),"",IF(COUNTIFS($A$5:$A$1004,A391,$B$5:$B$1004,"&lt;"&amp;(H391-0.0003),$H$5:$H$1004,"&gt;"&amp;(B391+0.0003),$E$5:$E$1004,"&lt;&gt;İptal")&gt;1,"Çakışıyor",""))</f>
        <v/>
      </c>
      <c r="J391" s="21" t="str">
        <f aca="false">IF(AND(A391=Gün!$C$3,B391&lt;&gt;"",E391&lt;&gt;"İptal"),B391+ROW()/100000000,"")</f>
        <v/>
      </c>
    </row>
    <row r="392" customFormat="false" ht="15" hidden="false" customHeight="false" outlineLevel="0" collapsed="false">
      <c r="A392" s="12"/>
      <c r="B392" s="13"/>
      <c r="C392" s="14"/>
      <c r="D392" s="14"/>
      <c r="E392" s="15"/>
      <c r="F392" s="16"/>
      <c r="G392" s="17" t="str">
        <f aca="false">IF(D392="","",IF(E392="Geldi",IF(F392="",IFERROR(INDEX(Hizmetler!$C$5:$C$54,MATCH(D392,Hizmetler!$A$5:$A$54,0)),0),F392),0))</f>
        <v/>
      </c>
      <c r="H392" s="18" t="str">
        <f aca="false">IF(OR(B392="",D392=""),"",ROUND((B392+IFERROR(INDEX(Hizmetler!$B$5:$B$54,MATCH(D392,Hizmetler!$A$5:$A$54,0)),0)/1440)*1440,0)/1440)</f>
        <v/>
      </c>
      <c r="I392" s="19" t="str">
        <f aca="false">IF(OR(A392="",H392="",E392="İptal"),"",IF(COUNTIFS($A$5:$A$1004,A392,$B$5:$B$1004,"&lt;"&amp;(H392-0.0003),$H$5:$H$1004,"&gt;"&amp;(B392+0.0003),$E$5:$E$1004,"&lt;&gt;İptal")&gt;1,"Çakışıyor",""))</f>
        <v/>
      </c>
      <c r="J392" s="21" t="str">
        <f aca="false">IF(AND(A392=Gün!$C$3,B392&lt;&gt;"",E392&lt;&gt;"İptal"),B392+ROW()/100000000,"")</f>
        <v/>
      </c>
    </row>
    <row r="393" customFormat="false" ht="15" hidden="false" customHeight="false" outlineLevel="0" collapsed="false">
      <c r="A393" s="12"/>
      <c r="B393" s="13"/>
      <c r="C393" s="14"/>
      <c r="D393" s="14"/>
      <c r="E393" s="15"/>
      <c r="F393" s="16"/>
      <c r="G393" s="17" t="str">
        <f aca="false">IF(D393="","",IF(E393="Geldi",IF(F393="",IFERROR(INDEX(Hizmetler!$C$5:$C$54,MATCH(D393,Hizmetler!$A$5:$A$54,0)),0),F393),0))</f>
        <v/>
      </c>
      <c r="H393" s="18" t="str">
        <f aca="false">IF(OR(B393="",D393=""),"",ROUND((B393+IFERROR(INDEX(Hizmetler!$B$5:$B$54,MATCH(D393,Hizmetler!$A$5:$A$54,0)),0)/1440)*1440,0)/1440)</f>
        <v/>
      </c>
      <c r="I393" s="19" t="str">
        <f aca="false">IF(OR(A393="",H393="",E393="İptal"),"",IF(COUNTIFS($A$5:$A$1004,A393,$B$5:$B$1004,"&lt;"&amp;(H393-0.0003),$H$5:$H$1004,"&gt;"&amp;(B393+0.0003),$E$5:$E$1004,"&lt;&gt;İptal")&gt;1,"Çakışıyor",""))</f>
        <v/>
      </c>
      <c r="J393" s="21" t="str">
        <f aca="false">IF(AND(A393=Gün!$C$3,B393&lt;&gt;"",E393&lt;&gt;"İptal"),B393+ROW()/100000000,"")</f>
        <v/>
      </c>
    </row>
    <row r="394" customFormat="false" ht="15" hidden="false" customHeight="false" outlineLevel="0" collapsed="false">
      <c r="A394" s="12"/>
      <c r="B394" s="13"/>
      <c r="C394" s="14"/>
      <c r="D394" s="14"/>
      <c r="E394" s="15"/>
      <c r="F394" s="16"/>
      <c r="G394" s="17" t="str">
        <f aca="false">IF(D394="","",IF(E394="Geldi",IF(F394="",IFERROR(INDEX(Hizmetler!$C$5:$C$54,MATCH(D394,Hizmetler!$A$5:$A$54,0)),0),F394),0))</f>
        <v/>
      </c>
      <c r="H394" s="18" t="str">
        <f aca="false">IF(OR(B394="",D394=""),"",ROUND((B394+IFERROR(INDEX(Hizmetler!$B$5:$B$54,MATCH(D394,Hizmetler!$A$5:$A$54,0)),0)/1440)*1440,0)/1440)</f>
        <v/>
      </c>
      <c r="I394" s="19" t="str">
        <f aca="false">IF(OR(A394="",H394="",E394="İptal"),"",IF(COUNTIFS($A$5:$A$1004,A394,$B$5:$B$1004,"&lt;"&amp;(H394-0.0003),$H$5:$H$1004,"&gt;"&amp;(B394+0.0003),$E$5:$E$1004,"&lt;&gt;İptal")&gt;1,"Çakışıyor",""))</f>
        <v/>
      </c>
      <c r="J394" s="21" t="str">
        <f aca="false">IF(AND(A394=Gün!$C$3,B394&lt;&gt;"",E394&lt;&gt;"İptal"),B394+ROW()/100000000,"")</f>
        <v/>
      </c>
    </row>
    <row r="395" customFormat="false" ht="15" hidden="false" customHeight="false" outlineLevel="0" collapsed="false">
      <c r="A395" s="12"/>
      <c r="B395" s="13"/>
      <c r="C395" s="14"/>
      <c r="D395" s="14"/>
      <c r="E395" s="15"/>
      <c r="F395" s="16"/>
      <c r="G395" s="17" t="str">
        <f aca="false">IF(D395="","",IF(E395="Geldi",IF(F395="",IFERROR(INDEX(Hizmetler!$C$5:$C$54,MATCH(D395,Hizmetler!$A$5:$A$54,0)),0),F395),0))</f>
        <v/>
      </c>
      <c r="H395" s="18" t="str">
        <f aca="false">IF(OR(B395="",D395=""),"",ROUND((B395+IFERROR(INDEX(Hizmetler!$B$5:$B$54,MATCH(D395,Hizmetler!$A$5:$A$54,0)),0)/1440)*1440,0)/1440)</f>
        <v/>
      </c>
      <c r="I395" s="19" t="str">
        <f aca="false">IF(OR(A395="",H395="",E395="İptal"),"",IF(COUNTIFS($A$5:$A$1004,A395,$B$5:$B$1004,"&lt;"&amp;(H395-0.0003),$H$5:$H$1004,"&gt;"&amp;(B395+0.0003),$E$5:$E$1004,"&lt;&gt;İptal")&gt;1,"Çakışıyor",""))</f>
        <v/>
      </c>
      <c r="J395" s="21" t="str">
        <f aca="false">IF(AND(A395=Gün!$C$3,B395&lt;&gt;"",E395&lt;&gt;"İptal"),B395+ROW()/100000000,"")</f>
        <v/>
      </c>
    </row>
    <row r="396" customFormat="false" ht="15" hidden="false" customHeight="false" outlineLevel="0" collapsed="false">
      <c r="A396" s="12"/>
      <c r="B396" s="13"/>
      <c r="C396" s="14"/>
      <c r="D396" s="14"/>
      <c r="E396" s="15"/>
      <c r="F396" s="16"/>
      <c r="G396" s="17" t="str">
        <f aca="false">IF(D396="","",IF(E396="Geldi",IF(F396="",IFERROR(INDEX(Hizmetler!$C$5:$C$54,MATCH(D396,Hizmetler!$A$5:$A$54,0)),0),F396),0))</f>
        <v/>
      </c>
      <c r="H396" s="18" t="str">
        <f aca="false">IF(OR(B396="",D396=""),"",ROUND((B396+IFERROR(INDEX(Hizmetler!$B$5:$B$54,MATCH(D396,Hizmetler!$A$5:$A$54,0)),0)/1440)*1440,0)/1440)</f>
        <v/>
      </c>
      <c r="I396" s="19" t="str">
        <f aca="false">IF(OR(A396="",H396="",E396="İptal"),"",IF(COUNTIFS($A$5:$A$1004,A396,$B$5:$B$1004,"&lt;"&amp;(H396-0.0003),$H$5:$H$1004,"&gt;"&amp;(B396+0.0003),$E$5:$E$1004,"&lt;&gt;İptal")&gt;1,"Çakışıyor",""))</f>
        <v/>
      </c>
      <c r="J396" s="21" t="str">
        <f aca="false">IF(AND(A396=Gün!$C$3,B396&lt;&gt;"",E396&lt;&gt;"İptal"),B396+ROW()/100000000,"")</f>
        <v/>
      </c>
    </row>
    <row r="397" customFormat="false" ht="15" hidden="false" customHeight="false" outlineLevel="0" collapsed="false">
      <c r="A397" s="12"/>
      <c r="B397" s="13"/>
      <c r="C397" s="14"/>
      <c r="D397" s="14"/>
      <c r="E397" s="15"/>
      <c r="F397" s="16"/>
      <c r="G397" s="17" t="str">
        <f aca="false">IF(D397="","",IF(E397="Geldi",IF(F397="",IFERROR(INDEX(Hizmetler!$C$5:$C$54,MATCH(D397,Hizmetler!$A$5:$A$54,0)),0),F397),0))</f>
        <v/>
      </c>
      <c r="H397" s="18" t="str">
        <f aca="false">IF(OR(B397="",D397=""),"",ROUND((B397+IFERROR(INDEX(Hizmetler!$B$5:$B$54,MATCH(D397,Hizmetler!$A$5:$A$54,0)),0)/1440)*1440,0)/1440)</f>
        <v/>
      </c>
      <c r="I397" s="19" t="str">
        <f aca="false">IF(OR(A397="",H397="",E397="İptal"),"",IF(COUNTIFS($A$5:$A$1004,A397,$B$5:$B$1004,"&lt;"&amp;(H397-0.0003),$H$5:$H$1004,"&gt;"&amp;(B397+0.0003),$E$5:$E$1004,"&lt;&gt;İptal")&gt;1,"Çakışıyor",""))</f>
        <v/>
      </c>
      <c r="J397" s="21" t="str">
        <f aca="false">IF(AND(A397=Gün!$C$3,B397&lt;&gt;"",E397&lt;&gt;"İptal"),B397+ROW()/100000000,"")</f>
        <v/>
      </c>
    </row>
    <row r="398" customFormat="false" ht="15" hidden="false" customHeight="false" outlineLevel="0" collapsed="false">
      <c r="A398" s="12"/>
      <c r="B398" s="13"/>
      <c r="C398" s="14"/>
      <c r="D398" s="14"/>
      <c r="E398" s="15"/>
      <c r="F398" s="16"/>
      <c r="G398" s="17" t="str">
        <f aca="false">IF(D398="","",IF(E398="Geldi",IF(F398="",IFERROR(INDEX(Hizmetler!$C$5:$C$54,MATCH(D398,Hizmetler!$A$5:$A$54,0)),0),F398),0))</f>
        <v/>
      </c>
      <c r="H398" s="18" t="str">
        <f aca="false">IF(OR(B398="",D398=""),"",ROUND((B398+IFERROR(INDEX(Hizmetler!$B$5:$B$54,MATCH(D398,Hizmetler!$A$5:$A$54,0)),0)/1440)*1440,0)/1440)</f>
        <v/>
      </c>
      <c r="I398" s="19" t="str">
        <f aca="false">IF(OR(A398="",H398="",E398="İptal"),"",IF(COUNTIFS($A$5:$A$1004,A398,$B$5:$B$1004,"&lt;"&amp;(H398-0.0003),$H$5:$H$1004,"&gt;"&amp;(B398+0.0003),$E$5:$E$1004,"&lt;&gt;İptal")&gt;1,"Çakışıyor",""))</f>
        <v/>
      </c>
      <c r="J398" s="21" t="str">
        <f aca="false">IF(AND(A398=Gün!$C$3,B398&lt;&gt;"",E398&lt;&gt;"İptal"),B398+ROW()/100000000,"")</f>
        <v/>
      </c>
    </row>
    <row r="399" customFormat="false" ht="15" hidden="false" customHeight="false" outlineLevel="0" collapsed="false">
      <c r="A399" s="12"/>
      <c r="B399" s="13"/>
      <c r="C399" s="14"/>
      <c r="D399" s="14"/>
      <c r="E399" s="15"/>
      <c r="F399" s="16"/>
      <c r="G399" s="17" t="str">
        <f aca="false">IF(D399="","",IF(E399="Geldi",IF(F399="",IFERROR(INDEX(Hizmetler!$C$5:$C$54,MATCH(D399,Hizmetler!$A$5:$A$54,0)),0),F399),0))</f>
        <v/>
      </c>
      <c r="H399" s="18" t="str">
        <f aca="false">IF(OR(B399="",D399=""),"",ROUND((B399+IFERROR(INDEX(Hizmetler!$B$5:$B$54,MATCH(D399,Hizmetler!$A$5:$A$54,0)),0)/1440)*1440,0)/1440)</f>
        <v/>
      </c>
      <c r="I399" s="19" t="str">
        <f aca="false">IF(OR(A399="",H399="",E399="İptal"),"",IF(COUNTIFS($A$5:$A$1004,A399,$B$5:$B$1004,"&lt;"&amp;(H399-0.0003),$H$5:$H$1004,"&gt;"&amp;(B399+0.0003),$E$5:$E$1004,"&lt;&gt;İptal")&gt;1,"Çakışıyor",""))</f>
        <v/>
      </c>
      <c r="J399" s="21" t="str">
        <f aca="false">IF(AND(A399=Gün!$C$3,B399&lt;&gt;"",E399&lt;&gt;"İptal"),B399+ROW()/100000000,"")</f>
        <v/>
      </c>
    </row>
    <row r="400" customFormat="false" ht="15" hidden="false" customHeight="false" outlineLevel="0" collapsed="false">
      <c r="A400" s="12"/>
      <c r="B400" s="13"/>
      <c r="C400" s="14"/>
      <c r="D400" s="14"/>
      <c r="E400" s="15"/>
      <c r="F400" s="16"/>
      <c r="G400" s="17" t="str">
        <f aca="false">IF(D400="","",IF(E400="Geldi",IF(F400="",IFERROR(INDEX(Hizmetler!$C$5:$C$54,MATCH(D400,Hizmetler!$A$5:$A$54,0)),0),F400),0))</f>
        <v/>
      </c>
      <c r="H400" s="18" t="str">
        <f aca="false">IF(OR(B400="",D400=""),"",ROUND((B400+IFERROR(INDEX(Hizmetler!$B$5:$B$54,MATCH(D400,Hizmetler!$A$5:$A$54,0)),0)/1440)*1440,0)/1440)</f>
        <v/>
      </c>
      <c r="I400" s="19" t="str">
        <f aca="false">IF(OR(A400="",H400="",E400="İptal"),"",IF(COUNTIFS($A$5:$A$1004,A400,$B$5:$B$1004,"&lt;"&amp;(H400-0.0003),$H$5:$H$1004,"&gt;"&amp;(B400+0.0003),$E$5:$E$1004,"&lt;&gt;İptal")&gt;1,"Çakışıyor",""))</f>
        <v/>
      </c>
      <c r="J400" s="21" t="str">
        <f aca="false">IF(AND(A400=Gün!$C$3,B400&lt;&gt;"",E400&lt;&gt;"İptal"),B400+ROW()/100000000,"")</f>
        <v/>
      </c>
    </row>
    <row r="401" customFormat="false" ht="15" hidden="false" customHeight="false" outlineLevel="0" collapsed="false">
      <c r="A401" s="12"/>
      <c r="B401" s="13"/>
      <c r="C401" s="14"/>
      <c r="D401" s="14"/>
      <c r="E401" s="15"/>
      <c r="F401" s="16"/>
      <c r="G401" s="17" t="str">
        <f aca="false">IF(D401="","",IF(E401="Geldi",IF(F401="",IFERROR(INDEX(Hizmetler!$C$5:$C$54,MATCH(D401,Hizmetler!$A$5:$A$54,0)),0),F401),0))</f>
        <v/>
      </c>
      <c r="H401" s="18" t="str">
        <f aca="false">IF(OR(B401="",D401=""),"",ROUND((B401+IFERROR(INDEX(Hizmetler!$B$5:$B$54,MATCH(D401,Hizmetler!$A$5:$A$54,0)),0)/1440)*1440,0)/1440)</f>
        <v/>
      </c>
      <c r="I401" s="19" t="str">
        <f aca="false">IF(OR(A401="",H401="",E401="İptal"),"",IF(COUNTIFS($A$5:$A$1004,A401,$B$5:$B$1004,"&lt;"&amp;(H401-0.0003),$H$5:$H$1004,"&gt;"&amp;(B401+0.0003),$E$5:$E$1004,"&lt;&gt;İptal")&gt;1,"Çakışıyor",""))</f>
        <v/>
      </c>
      <c r="J401" s="21" t="str">
        <f aca="false">IF(AND(A401=Gün!$C$3,B401&lt;&gt;"",E401&lt;&gt;"İptal"),B401+ROW()/100000000,"")</f>
        <v/>
      </c>
    </row>
    <row r="402" customFormat="false" ht="15" hidden="false" customHeight="false" outlineLevel="0" collapsed="false">
      <c r="A402" s="12"/>
      <c r="B402" s="13"/>
      <c r="C402" s="14"/>
      <c r="D402" s="14"/>
      <c r="E402" s="15"/>
      <c r="F402" s="16"/>
      <c r="G402" s="17" t="str">
        <f aca="false">IF(D402="","",IF(E402="Geldi",IF(F402="",IFERROR(INDEX(Hizmetler!$C$5:$C$54,MATCH(D402,Hizmetler!$A$5:$A$54,0)),0),F402),0))</f>
        <v/>
      </c>
      <c r="H402" s="18" t="str">
        <f aca="false">IF(OR(B402="",D402=""),"",ROUND((B402+IFERROR(INDEX(Hizmetler!$B$5:$B$54,MATCH(D402,Hizmetler!$A$5:$A$54,0)),0)/1440)*1440,0)/1440)</f>
        <v/>
      </c>
      <c r="I402" s="19" t="str">
        <f aca="false">IF(OR(A402="",H402="",E402="İptal"),"",IF(COUNTIFS($A$5:$A$1004,A402,$B$5:$B$1004,"&lt;"&amp;(H402-0.0003),$H$5:$H$1004,"&gt;"&amp;(B402+0.0003),$E$5:$E$1004,"&lt;&gt;İptal")&gt;1,"Çakışıyor",""))</f>
        <v/>
      </c>
      <c r="J402" s="21" t="str">
        <f aca="false">IF(AND(A402=Gün!$C$3,B402&lt;&gt;"",E402&lt;&gt;"İptal"),B402+ROW()/100000000,"")</f>
        <v/>
      </c>
    </row>
    <row r="403" customFormat="false" ht="15" hidden="false" customHeight="false" outlineLevel="0" collapsed="false">
      <c r="A403" s="12"/>
      <c r="B403" s="13"/>
      <c r="C403" s="14"/>
      <c r="D403" s="14"/>
      <c r="E403" s="15"/>
      <c r="F403" s="16"/>
      <c r="G403" s="17" t="str">
        <f aca="false">IF(D403="","",IF(E403="Geldi",IF(F403="",IFERROR(INDEX(Hizmetler!$C$5:$C$54,MATCH(D403,Hizmetler!$A$5:$A$54,0)),0),F403),0))</f>
        <v/>
      </c>
      <c r="H403" s="18" t="str">
        <f aca="false">IF(OR(B403="",D403=""),"",ROUND((B403+IFERROR(INDEX(Hizmetler!$B$5:$B$54,MATCH(D403,Hizmetler!$A$5:$A$54,0)),0)/1440)*1440,0)/1440)</f>
        <v/>
      </c>
      <c r="I403" s="19" t="str">
        <f aca="false">IF(OR(A403="",H403="",E403="İptal"),"",IF(COUNTIFS($A$5:$A$1004,A403,$B$5:$B$1004,"&lt;"&amp;(H403-0.0003),$H$5:$H$1004,"&gt;"&amp;(B403+0.0003),$E$5:$E$1004,"&lt;&gt;İptal")&gt;1,"Çakışıyor",""))</f>
        <v/>
      </c>
      <c r="J403" s="21" t="str">
        <f aca="false">IF(AND(A403=Gün!$C$3,B403&lt;&gt;"",E403&lt;&gt;"İptal"),B403+ROW()/100000000,"")</f>
        <v/>
      </c>
    </row>
    <row r="404" customFormat="false" ht="15" hidden="false" customHeight="false" outlineLevel="0" collapsed="false">
      <c r="A404" s="12"/>
      <c r="B404" s="13"/>
      <c r="C404" s="14"/>
      <c r="D404" s="14"/>
      <c r="E404" s="15"/>
      <c r="F404" s="16"/>
      <c r="G404" s="17" t="str">
        <f aca="false">IF(D404="","",IF(E404="Geldi",IF(F404="",IFERROR(INDEX(Hizmetler!$C$5:$C$54,MATCH(D404,Hizmetler!$A$5:$A$54,0)),0),F404),0))</f>
        <v/>
      </c>
      <c r="H404" s="18" t="str">
        <f aca="false">IF(OR(B404="",D404=""),"",ROUND((B404+IFERROR(INDEX(Hizmetler!$B$5:$B$54,MATCH(D404,Hizmetler!$A$5:$A$54,0)),0)/1440)*1440,0)/1440)</f>
        <v/>
      </c>
      <c r="I404" s="19" t="str">
        <f aca="false">IF(OR(A404="",H404="",E404="İptal"),"",IF(COUNTIFS($A$5:$A$1004,A404,$B$5:$B$1004,"&lt;"&amp;(H404-0.0003),$H$5:$H$1004,"&gt;"&amp;(B404+0.0003),$E$5:$E$1004,"&lt;&gt;İptal")&gt;1,"Çakışıyor",""))</f>
        <v/>
      </c>
      <c r="J404" s="21" t="str">
        <f aca="false">IF(AND(A404=Gün!$C$3,B404&lt;&gt;"",E404&lt;&gt;"İptal"),B404+ROW()/100000000,"")</f>
        <v/>
      </c>
    </row>
    <row r="405" customFormat="false" ht="15" hidden="false" customHeight="false" outlineLevel="0" collapsed="false">
      <c r="A405" s="12"/>
      <c r="B405" s="13"/>
      <c r="C405" s="14"/>
      <c r="D405" s="14"/>
      <c r="E405" s="15"/>
      <c r="F405" s="16"/>
      <c r="G405" s="17" t="str">
        <f aca="false">IF(D405="","",IF(E405="Geldi",IF(F405="",IFERROR(INDEX(Hizmetler!$C$5:$C$54,MATCH(D405,Hizmetler!$A$5:$A$54,0)),0),F405),0))</f>
        <v/>
      </c>
      <c r="H405" s="18" t="str">
        <f aca="false">IF(OR(B405="",D405=""),"",ROUND((B405+IFERROR(INDEX(Hizmetler!$B$5:$B$54,MATCH(D405,Hizmetler!$A$5:$A$54,0)),0)/1440)*1440,0)/1440)</f>
        <v/>
      </c>
      <c r="I405" s="19" t="str">
        <f aca="false">IF(OR(A405="",H405="",E405="İptal"),"",IF(COUNTIFS($A$5:$A$1004,A405,$B$5:$B$1004,"&lt;"&amp;(H405-0.0003),$H$5:$H$1004,"&gt;"&amp;(B405+0.0003),$E$5:$E$1004,"&lt;&gt;İptal")&gt;1,"Çakışıyor",""))</f>
        <v/>
      </c>
      <c r="J405" s="21" t="str">
        <f aca="false">IF(AND(A405=Gün!$C$3,B405&lt;&gt;"",E405&lt;&gt;"İptal"),B405+ROW()/100000000,"")</f>
        <v/>
      </c>
    </row>
    <row r="406" customFormat="false" ht="15" hidden="false" customHeight="false" outlineLevel="0" collapsed="false">
      <c r="A406" s="12"/>
      <c r="B406" s="13"/>
      <c r="C406" s="14"/>
      <c r="D406" s="14"/>
      <c r="E406" s="15"/>
      <c r="F406" s="16"/>
      <c r="G406" s="17" t="str">
        <f aca="false">IF(D406="","",IF(E406="Geldi",IF(F406="",IFERROR(INDEX(Hizmetler!$C$5:$C$54,MATCH(D406,Hizmetler!$A$5:$A$54,0)),0),F406),0))</f>
        <v/>
      </c>
      <c r="H406" s="18" t="str">
        <f aca="false">IF(OR(B406="",D406=""),"",ROUND((B406+IFERROR(INDEX(Hizmetler!$B$5:$B$54,MATCH(D406,Hizmetler!$A$5:$A$54,0)),0)/1440)*1440,0)/1440)</f>
        <v/>
      </c>
      <c r="I406" s="19" t="str">
        <f aca="false">IF(OR(A406="",H406="",E406="İptal"),"",IF(COUNTIFS($A$5:$A$1004,A406,$B$5:$B$1004,"&lt;"&amp;(H406-0.0003),$H$5:$H$1004,"&gt;"&amp;(B406+0.0003),$E$5:$E$1004,"&lt;&gt;İptal")&gt;1,"Çakışıyor",""))</f>
        <v/>
      </c>
      <c r="J406" s="21" t="str">
        <f aca="false">IF(AND(A406=Gün!$C$3,B406&lt;&gt;"",E406&lt;&gt;"İptal"),B406+ROW()/100000000,"")</f>
        <v/>
      </c>
    </row>
    <row r="407" customFormat="false" ht="15" hidden="false" customHeight="false" outlineLevel="0" collapsed="false">
      <c r="A407" s="12"/>
      <c r="B407" s="13"/>
      <c r="C407" s="14"/>
      <c r="D407" s="14"/>
      <c r="E407" s="15"/>
      <c r="F407" s="16"/>
      <c r="G407" s="17" t="str">
        <f aca="false">IF(D407="","",IF(E407="Geldi",IF(F407="",IFERROR(INDEX(Hizmetler!$C$5:$C$54,MATCH(D407,Hizmetler!$A$5:$A$54,0)),0),F407),0))</f>
        <v/>
      </c>
      <c r="H407" s="18" t="str">
        <f aca="false">IF(OR(B407="",D407=""),"",ROUND((B407+IFERROR(INDEX(Hizmetler!$B$5:$B$54,MATCH(D407,Hizmetler!$A$5:$A$54,0)),0)/1440)*1440,0)/1440)</f>
        <v/>
      </c>
      <c r="I407" s="19" t="str">
        <f aca="false">IF(OR(A407="",H407="",E407="İptal"),"",IF(COUNTIFS($A$5:$A$1004,A407,$B$5:$B$1004,"&lt;"&amp;(H407-0.0003),$H$5:$H$1004,"&gt;"&amp;(B407+0.0003),$E$5:$E$1004,"&lt;&gt;İptal")&gt;1,"Çakışıyor",""))</f>
        <v/>
      </c>
      <c r="J407" s="21" t="str">
        <f aca="false">IF(AND(A407=Gün!$C$3,B407&lt;&gt;"",E407&lt;&gt;"İptal"),B407+ROW()/100000000,"")</f>
        <v/>
      </c>
    </row>
    <row r="408" customFormat="false" ht="15" hidden="false" customHeight="false" outlineLevel="0" collapsed="false">
      <c r="A408" s="12"/>
      <c r="B408" s="13"/>
      <c r="C408" s="14"/>
      <c r="D408" s="14"/>
      <c r="E408" s="15"/>
      <c r="F408" s="16"/>
      <c r="G408" s="17" t="str">
        <f aca="false">IF(D408="","",IF(E408="Geldi",IF(F408="",IFERROR(INDEX(Hizmetler!$C$5:$C$54,MATCH(D408,Hizmetler!$A$5:$A$54,0)),0),F408),0))</f>
        <v/>
      </c>
      <c r="H408" s="18" t="str">
        <f aca="false">IF(OR(B408="",D408=""),"",ROUND((B408+IFERROR(INDEX(Hizmetler!$B$5:$B$54,MATCH(D408,Hizmetler!$A$5:$A$54,0)),0)/1440)*1440,0)/1440)</f>
        <v/>
      </c>
      <c r="I408" s="19" t="str">
        <f aca="false">IF(OR(A408="",H408="",E408="İptal"),"",IF(COUNTIFS($A$5:$A$1004,A408,$B$5:$B$1004,"&lt;"&amp;(H408-0.0003),$H$5:$H$1004,"&gt;"&amp;(B408+0.0003),$E$5:$E$1004,"&lt;&gt;İptal")&gt;1,"Çakışıyor",""))</f>
        <v/>
      </c>
      <c r="J408" s="21" t="str">
        <f aca="false">IF(AND(A408=Gün!$C$3,B408&lt;&gt;"",E408&lt;&gt;"İptal"),B408+ROW()/100000000,"")</f>
        <v/>
      </c>
    </row>
    <row r="409" customFormat="false" ht="15" hidden="false" customHeight="false" outlineLevel="0" collapsed="false">
      <c r="A409" s="12"/>
      <c r="B409" s="13"/>
      <c r="C409" s="14"/>
      <c r="D409" s="14"/>
      <c r="E409" s="15"/>
      <c r="F409" s="16"/>
      <c r="G409" s="17" t="str">
        <f aca="false">IF(D409="","",IF(E409="Geldi",IF(F409="",IFERROR(INDEX(Hizmetler!$C$5:$C$54,MATCH(D409,Hizmetler!$A$5:$A$54,0)),0),F409),0))</f>
        <v/>
      </c>
      <c r="H409" s="18" t="str">
        <f aca="false">IF(OR(B409="",D409=""),"",ROUND((B409+IFERROR(INDEX(Hizmetler!$B$5:$B$54,MATCH(D409,Hizmetler!$A$5:$A$54,0)),0)/1440)*1440,0)/1440)</f>
        <v/>
      </c>
      <c r="I409" s="19" t="str">
        <f aca="false">IF(OR(A409="",H409="",E409="İptal"),"",IF(COUNTIFS($A$5:$A$1004,A409,$B$5:$B$1004,"&lt;"&amp;(H409-0.0003),$H$5:$H$1004,"&gt;"&amp;(B409+0.0003),$E$5:$E$1004,"&lt;&gt;İptal")&gt;1,"Çakışıyor",""))</f>
        <v/>
      </c>
      <c r="J409" s="21" t="str">
        <f aca="false">IF(AND(A409=Gün!$C$3,B409&lt;&gt;"",E409&lt;&gt;"İptal"),B409+ROW()/100000000,"")</f>
        <v/>
      </c>
    </row>
    <row r="410" customFormat="false" ht="15" hidden="false" customHeight="false" outlineLevel="0" collapsed="false">
      <c r="A410" s="12"/>
      <c r="B410" s="13"/>
      <c r="C410" s="14"/>
      <c r="D410" s="14"/>
      <c r="E410" s="15"/>
      <c r="F410" s="16"/>
      <c r="G410" s="17" t="str">
        <f aca="false">IF(D410="","",IF(E410="Geldi",IF(F410="",IFERROR(INDEX(Hizmetler!$C$5:$C$54,MATCH(D410,Hizmetler!$A$5:$A$54,0)),0),F410),0))</f>
        <v/>
      </c>
      <c r="H410" s="18" t="str">
        <f aca="false">IF(OR(B410="",D410=""),"",ROUND((B410+IFERROR(INDEX(Hizmetler!$B$5:$B$54,MATCH(D410,Hizmetler!$A$5:$A$54,0)),0)/1440)*1440,0)/1440)</f>
        <v/>
      </c>
      <c r="I410" s="19" t="str">
        <f aca="false">IF(OR(A410="",H410="",E410="İptal"),"",IF(COUNTIFS($A$5:$A$1004,A410,$B$5:$B$1004,"&lt;"&amp;(H410-0.0003),$H$5:$H$1004,"&gt;"&amp;(B410+0.0003),$E$5:$E$1004,"&lt;&gt;İptal")&gt;1,"Çakışıyor",""))</f>
        <v/>
      </c>
      <c r="J410" s="21" t="str">
        <f aca="false">IF(AND(A410=Gün!$C$3,B410&lt;&gt;"",E410&lt;&gt;"İptal"),B410+ROW()/100000000,"")</f>
        <v/>
      </c>
    </row>
    <row r="411" customFormat="false" ht="15" hidden="false" customHeight="false" outlineLevel="0" collapsed="false">
      <c r="A411" s="12"/>
      <c r="B411" s="13"/>
      <c r="C411" s="14"/>
      <c r="D411" s="14"/>
      <c r="E411" s="15"/>
      <c r="F411" s="16"/>
      <c r="G411" s="17" t="str">
        <f aca="false">IF(D411="","",IF(E411="Geldi",IF(F411="",IFERROR(INDEX(Hizmetler!$C$5:$C$54,MATCH(D411,Hizmetler!$A$5:$A$54,0)),0),F411),0))</f>
        <v/>
      </c>
      <c r="H411" s="18" t="str">
        <f aca="false">IF(OR(B411="",D411=""),"",ROUND((B411+IFERROR(INDEX(Hizmetler!$B$5:$B$54,MATCH(D411,Hizmetler!$A$5:$A$54,0)),0)/1440)*1440,0)/1440)</f>
        <v/>
      </c>
      <c r="I411" s="19" t="str">
        <f aca="false">IF(OR(A411="",H411="",E411="İptal"),"",IF(COUNTIFS($A$5:$A$1004,A411,$B$5:$B$1004,"&lt;"&amp;(H411-0.0003),$H$5:$H$1004,"&gt;"&amp;(B411+0.0003),$E$5:$E$1004,"&lt;&gt;İptal")&gt;1,"Çakışıyor",""))</f>
        <v/>
      </c>
      <c r="J411" s="21" t="str">
        <f aca="false">IF(AND(A411=Gün!$C$3,B411&lt;&gt;"",E411&lt;&gt;"İptal"),B411+ROW()/100000000,"")</f>
        <v/>
      </c>
    </row>
    <row r="412" customFormat="false" ht="15" hidden="false" customHeight="false" outlineLevel="0" collapsed="false">
      <c r="A412" s="12"/>
      <c r="B412" s="13"/>
      <c r="C412" s="14"/>
      <c r="D412" s="14"/>
      <c r="E412" s="15"/>
      <c r="F412" s="16"/>
      <c r="G412" s="17" t="str">
        <f aca="false">IF(D412="","",IF(E412="Geldi",IF(F412="",IFERROR(INDEX(Hizmetler!$C$5:$C$54,MATCH(D412,Hizmetler!$A$5:$A$54,0)),0),F412),0))</f>
        <v/>
      </c>
      <c r="H412" s="18" t="str">
        <f aca="false">IF(OR(B412="",D412=""),"",ROUND((B412+IFERROR(INDEX(Hizmetler!$B$5:$B$54,MATCH(D412,Hizmetler!$A$5:$A$54,0)),0)/1440)*1440,0)/1440)</f>
        <v/>
      </c>
      <c r="I412" s="19" t="str">
        <f aca="false">IF(OR(A412="",H412="",E412="İptal"),"",IF(COUNTIFS($A$5:$A$1004,A412,$B$5:$B$1004,"&lt;"&amp;(H412-0.0003),$H$5:$H$1004,"&gt;"&amp;(B412+0.0003),$E$5:$E$1004,"&lt;&gt;İptal")&gt;1,"Çakışıyor",""))</f>
        <v/>
      </c>
      <c r="J412" s="21" t="str">
        <f aca="false">IF(AND(A412=Gün!$C$3,B412&lt;&gt;"",E412&lt;&gt;"İptal"),B412+ROW()/100000000,"")</f>
        <v/>
      </c>
    </row>
    <row r="413" customFormat="false" ht="15" hidden="false" customHeight="false" outlineLevel="0" collapsed="false">
      <c r="A413" s="12"/>
      <c r="B413" s="13"/>
      <c r="C413" s="14"/>
      <c r="D413" s="14"/>
      <c r="E413" s="15"/>
      <c r="F413" s="16"/>
      <c r="G413" s="17" t="str">
        <f aca="false">IF(D413="","",IF(E413="Geldi",IF(F413="",IFERROR(INDEX(Hizmetler!$C$5:$C$54,MATCH(D413,Hizmetler!$A$5:$A$54,0)),0),F413),0))</f>
        <v/>
      </c>
      <c r="H413" s="18" t="str">
        <f aca="false">IF(OR(B413="",D413=""),"",ROUND((B413+IFERROR(INDEX(Hizmetler!$B$5:$B$54,MATCH(D413,Hizmetler!$A$5:$A$54,0)),0)/1440)*1440,0)/1440)</f>
        <v/>
      </c>
      <c r="I413" s="19" t="str">
        <f aca="false">IF(OR(A413="",H413="",E413="İptal"),"",IF(COUNTIFS($A$5:$A$1004,A413,$B$5:$B$1004,"&lt;"&amp;(H413-0.0003),$H$5:$H$1004,"&gt;"&amp;(B413+0.0003),$E$5:$E$1004,"&lt;&gt;İptal")&gt;1,"Çakışıyor",""))</f>
        <v/>
      </c>
      <c r="J413" s="21" t="str">
        <f aca="false">IF(AND(A413=Gün!$C$3,B413&lt;&gt;"",E413&lt;&gt;"İptal"),B413+ROW()/100000000,"")</f>
        <v/>
      </c>
    </row>
    <row r="414" customFormat="false" ht="15" hidden="false" customHeight="false" outlineLevel="0" collapsed="false">
      <c r="A414" s="12"/>
      <c r="B414" s="13"/>
      <c r="C414" s="14"/>
      <c r="D414" s="14"/>
      <c r="E414" s="15"/>
      <c r="F414" s="16"/>
      <c r="G414" s="17" t="str">
        <f aca="false">IF(D414="","",IF(E414="Geldi",IF(F414="",IFERROR(INDEX(Hizmetler!$C$5:$C$54,MATCH(D414,Hizmetler!$A$5:$A$54,0)),0),F414),0))</f>
        <v/>
      </c>
      <c r="H414" s="18" t="str">
        <f aca="false">IF(OR(B414="",D414=""),"",ROUND((B414+IFERROR(INDEX(Hizmetler!$B$5:$B$54,MATCH(D414,Hizmetler!$A$5:$A$54,0)),0)/1440)*1440,0)/1440)</f>
        <v/>
      </c>
      <c r="I414" s="19" t="str">
        <f aca="false">IF(OR(A414="",H414="",E414="İptal"),"",IF(COUNTIFS($A$5:$A$1004,A414,$B$5:$B$1004,"&lt;"&amp;(H414-0.0003),$H$5:$H$1004,"&gt;"&amp;(B414+0.0003),$E$5:$E$1004,"&lt;&gt;İptal")&gt;1,"Çakışıyor",""))</f>
        <v/>
      </c>
      <c r="J414" s="21" t="str">
        <f aca="false">IF(AND(A414=Gün!$C$3,B414&lt;&gt;"",E414&lt;&gt;"İptal"),B414+ROW()/100000000,"")</f>
        <v/>
      </c>
    </row>
    <row r="415" customFormat="false" ht="15" hidden="false" customHeight="false" outlineLevel="0" collapsed="false">
      <c r="A415" s="12"/>
      <c r="B415" s="13"/>
      <c r="C415" s="14"/>
      <c r="D415" s="14"/>
      <c r="E415" s="15"/>
      <c r="F415" s="16"/>
      <c r="G415" s="17" t="str">
        <f aca="false">IF(D415="","",IF(E415="Geldi",IF(F415="",IFERROR(INDEX(Hizmetler!$C$5:$C$54,MATCH(D415,Hizmetler!$A$5:$A$54,0)),0),F415),0))</f>
        <v/>
      </c>
      <c r="H415" s="18" t="str">
        <f aca="false">IF(OR(B415="",D415=""),"",ROUND((B415+IFERROR(INDEX(Hizmetler!$B$5:$B$54,MATCH(D415,Hizmetler!$A$5:$A$54,0)),0)/1440)*1440,0)/1440)</f>
        <v/>
      </c>
      <c r="I415" s="19" t="str">
        <f aca="false">IF(OR(A415="",H415="",E415="İptal"),"",IF(COUNTIFS($A$5:$A$1004,A415,$B$5:$B$1004,"&lt;"&amp;(H415-0.0003),$H$5:$H$1004,"&gt;"&amp;(B415+0.0003),$E$5:$E$1004,"&lt;&gt;İptal")&gt;1,"Çakışıyor",""))</f>
        <v/>
      </c>
      <c r="J415" s="21" t="str">
        <f aca="false">IF(AND(A415=Gün!$C$3,B415&lt;&gt;"",E415&lt;&gt;"İptal"),B415+ROW()/100000000,"")</f>
        <v/>
      </c>
    </row>
    <row r="416" customFormat="false" ht="15" hidden="false" customHeight="false" outlineLevel="0" collapsed="false">
      <c r="A416" s="12"/>
      <c r="B416" s="13"/>
      <c r="C416" s="14"/>
      <c r="D416" s="14"/>
      <c r="E416" s="15"/>
      <c r="F416" s="16"/>
      <c r="G416" s="17" t="str">
        <f aca="false">IF(D416="","",IF(E416="Geldi",IF(F416="",IFERROR(INDEX(Hizmetler!$C$5:$C$54,MATCH(D416,Hizmetler!$A$5:$A$54,0)),0),F416),0))</f>
        <v/>
      </c>
      <c r="H416" s="18" t="str">
        <f aca="false">IF(OR(B416="",D416=""),"",ROUND((B416+IFERROR(INDEX(Hizmetler!$B$5:$B$54,MATCH(D416,Hizmetler!$A$5:$A$54,0)),0)/1440)*1440,0)/1440)</f>
        <v/>
      </c>
      <c r="I416" s="19" t="str">
        <f aca="false">IF(OR(A416="",H416="",E416="İptal"),"",IF(COUNTIFS($A$5:$A$1004,A416,$B$5:$B$1004,"&lt;"&amp;(H416-0.0003),$H$5:$H$1004,"&gt;"&amp;(B416+0.0003),$E$5:$E$1004,"&lt;&gt;İptal")&gt;1,"Çakışıyor",""))</f>
        <v/>
      </c>
      <c r="J416" s="21" t="str">
        <f aca="false">IF(AND(A416=Gün!$C$3,B416&lt;&gt;"",E416&lt;&gt;"İptal"),B416+ROW()/100000000,"")</f>
        <v/>
      </c>
    </row>
    <row r="417" customFormat="false" ht="15" hidden="false" customHeight="false" outlineLevel="0" collapsed="false">
      <c r="A417" s="12"/>
      <c r="B417" s="13"/>
      <c r="C417" s="14"/>
      <c r="D417" s="14"/>
      <c r="E417" s="15"/>
      <c r="F417" s="16"/>
      <c r="G417" s="17" t="str">
        <f aca="false">IF(D417="","",IF(E417="Geldi",IF(F417="",IFERROR(INDEX(Hizmetler!$C$5:$C$54,MATCH(D417,Hizmetler!$A$5:$A$54,0)),0),F417),0))</f>
        <v/>
      </c>
      <c r="H417" s="18" t="str">
        <f aca="false">IF(OR(B417="",D417=""),"",ROUND((B417+IFERROR(INDEX(Hizmetler!$B$5:$B$54,MATCH(D417,Hizmetler!$A$5:$A$54,0)),0)/1440)*1440,0)/1440)</f>
        <v/>
      </c>
      <c r="I417" s="19" t="str">
        <f aca="false">IF(OR(A417="",H417="",E417="İptal"),"",IF(COUNTIFS($A$5:$A$1004,A417,$B$5:$B$1004,"&lt;"&amp;(H417-0.0003),$H$5:$H$1004,"&gt;"&amp;(B417+0.0003),$E$5:$E$1004,"&lt;&gt;İptal")&gt;1,"Çakışıyor",""))</f>
        <v/>
      </c>
      <c r="J417" s="21" t="str">
        <f aca="false">IF(AND(A417=Gün!$C$3,B417&lt;&gt;"",E417&lt;&gt;"İptal"),B417+ROW()/100000000,"")</f>
        <v/>
      </c>
    </row>
    <row r="418" customFormat="false" ht="15" hidden="false" customHeight="false" outlineLevel="0" collapsed="false">
      <c r="A418" s="12"/>
      <c r="B418" s="13"/>
      <c r="C418" s="14"/>
      <c r="D418" s="14"/>
      <c r="E418" s="15"/>
      <c r="F418" s="16"/>
      <c r="G418" s="17" t="str">
        <f aca="false">IF(D418="","",IF(E418="Geldi",IF(F418="",IFERROR(INDEX(Hizmetler!$C$5:$C$54,MATCH(D418,Hizmetler!$A$5:$A$54,0)),0),F418),0))</f>
        <v/>
      </c>
      <c r="H418" s="18" t="str">
        <f aca="false">IF(OR(B418="",D418=""),"",ROUND((B418+IFERROR(INDEX(Hizmetler!$B$5:$B$54,MATCH(D418,Hizmetler!$A$5:$A$54,0)),0)/1440)*1440,0)/1440)</f>
        <v/>
      </c>
      <c r="I418" s="19" t="str">
        <f aca="false">IF(OR(A418="",H418="",E418="İptal"),"",IF(COUNTIFS($A$5:$A$1004,A418,$B$5:$B$1004,"&lt;"&amp;(H418-0.0003),$H$5:$H$1004,"&gt;"&amp;(B418+0.0003),$E$5:$E$1004,"&lt;&gt;İptal")&gt;1,"Çakışıyor",""))</f>
        <v/>
      </c>
      <c r="J418" s="21" t="str">
        <f aca="false">IF(AND(A418=Gün!$C$3,B418&lt;&gt;"",E418&lt;&gt;"İptal"),B418+ROW()/100000000,"")</f>
        <v/>
      </c>
    </row>
    <row r="419" customFormat="false" ht="15" hidden="false" customHeight="false" outlineLevel="0" collapsed="false">
      <c r="A419" s="12"/>
      <c r="B419" s="13"/>
      <c r="C419" s="14"/>
      <c r="D419" s="14"/>
      <c r="E419" s="15"/>
      <c r="F419" s="16"/>
      <c r="G419" s="17" t="str">
        <f aca="false">IF(D419="","",IF(E419="Geldi",IF(F419="",IFERROR(INDEX(Hizmetler!$C$5:$C$54,MATCH(D419,Hizmetler!$A$5:$A$54,0)),0),F419),0))</f>
        <v/>
      </c>
      <c r="H419" s="18" t="str">
        <f aca="false">IF(OR(B419="",D419=""),"",ROUND((B419+IFERROR(INDEX(Hizmetler!$B$5:$B$54,MATCH(D419,Hizmetler!$A$5:$A$54,0)),0)/1440)*1440,0)/1440)</f>
        <v/>
      </c>
      <c r="I419" s="19" t="str">
        <f aca="false">IF(OR(A419="",H419="",E419="İptal"),"",IF(COUNTIFS($A$5:$A$1004,A419,$B$5:$B$1004,"&lt;"&amp;(H419-0.0003),$H$5:$H$1004,"&gt;"&amp;(B419+0.0003),$E$5:$E$1004,"&lt;&gt;İptal")&gt;1,"Çakışıyor",""))</f>
        <v/>
      </c>
      <c r="J419" s="21" t="str">
        <f aca="false">IF(AND(A419=Gün!$C$3,B419&lt;&gt;"",E419&lt;&gt;"İptal"),B419+ROW()/100000000,"")</f>
        <v/>
      </c>
    </row>
    <row r="420" customFormat="false" ht="15" hidden="false" customHeight="false" outlineLevel="0" collapsed="false">
      <c r="A420" s="12"/>
      <c r="B420" s="13"/>
      <c r="C420" s="14"/>
      <c r="D420" s="14"/>
      <c r="E420" s="15"/>
      <c r="F420" s="16"/>
      <c r="G420" s="17" t="str">
        <f aca="false">IF(D420="","",IF(E420="Geldi",IF(F420="",IFERROR(INDEX(Hizmetler!$C$5:$C$54,MATCH(D420,Hizmetler!$A$5:$A$54,0)),0),F420),0))</f>
        <v/>
      </c>
      <c r="H420" s="18" t="str">
        <f aca="false">IF(OR(B420="",D420=""),"",ROUND((B420+IFERROR(INDEX(Hizmetler!$B$5:$B$54,MATCH(D420,Hizmetler!$A$5:$A$54,0)),0)/1440)*1440,0)/1440)</f>
        <v/>
      </c>
      <c r="I420" s="19" t="str">
        <f aca="false">IF(OR(A420="",H420="",E420="İptal"),"",IF(COUNTIFS($A$5:$A$1004,A420,$B$5:$B$1004,"&lt;"&amp;(H420-0.0003),$H$5:$H$1004,"&gt;"&amp;(B420+0.0003),$E$5:$E$1004,"&lt;&gt;İptal")&gt;1,"Çakışıyor",""))</f>
        <v/>
      </c>
      <c r="J420" s="21" t="str">
        <f aca="false">IF(AND(A420=Gün!$C$3,B420&lt;&gt;"",E420&lt;&gt;"İptal"),B420+ROW()/100000000,"")</f>
        <v/>
      </c>
    </row>
    <row r="421" customFormat="false" ht="15" hidden="false" customHeight="false" outlineLevel="0" collapsed="false">
      <c r="A421" s="12"/>
      <c r="B421" s="13"/>
      <c r="C421" s="14"/>
      <c r="D421" s="14"/>
      <c r="E421" s="15"/>
      <c r="F421" s="16"/>
      <c r="G421" s="17" t="str">
        <f aca="false">IF(D421="","",IF(E421="Geldi",IF(F421="",IFERROR(INDEX(Hizmetler!$C$5:$C$54,MATCH(D421,Hizmetler!$A$5:$A$54,0)),0),F421),0))</f>
        <v/>
      </c>
      <c r="H421" s="18" t="str">
        <f aca="false">IF(OR(B421="",D421=""),"",ROUND((B421+IFERROR(INDEX(Hizmetler!$B$5:$B$54,MATCH(D421,Hizmetler!$A$5:$A$54,0)),0)/1440)*1440,0)/1440)</f>
        <v/>
      </c>
      <c r="I421" s="19" t="str">
        <f aca="false">IF(OR(A421="",H421="",E421="İptal"),"",IF(COUNTIFS($A$5:$A$1004,A421,$B$5:$B$1004,"&lt;"&amp;(H421-0.0003),$H$5:$H$1004,"&gt;"&amp;(B421+0.0003),$E$5:$E$1004,"&lt;&gt;İptal")&gt;1,"Çakışıyor",""))</f>
        <v/>
      </c>
      <c r="J421" s="21" t="str">
        <f aca="false">IF(AND(A421=Gün!$C$3,B421&lt;&gt;"",E421&lt;&gt;"İptal"),B421+ROW()/100000000,"")</f>
        <v/>
      </c>
    </row>
    <row r="422" customFormat="false" ht="15" hidden="false" customHeight="false" outlineLevel="0" collapsed="false">
      <c r="A422" s="12"/>
      <c r="B422" s="13"/>
      <c r="C422" s="14"/>
      <c r="D422" s="14"/>
      <c r="E422" s="15"/>
      <c r="F422" s="16"/>
      <c r="G422" s="17" t="str">
        <f aca="false">IF(D422="","",IF(E422="Geldi",IF(F422="",IFERROR(INDEX(Hizmetler!$C$5:$C$54,MATCH(D422,Hizmetler!$A$5:$A$54,0)),0),F422),0))</f>
        <v/>
      </c>
      <c r="H422" s="18" t="str">
        <f aca="false">IF(OR(B422="",D422=""),"",ROUND((B422+IFERROR(INDEX(Hizmetler!$B$5:$B$54,MATCH(D422,Hizmetler!$A$5:$A$54,0)),0)/1440)*1440,0)/1440)</f>
        <v/>
      </c>
      <c r="I422" s="19" t="str">
        <f aca="false">IF(OR(A422="",H422="",E422="İptal"),"",IF(COUNTIFS($A$5:$A$1004,A422,$B$5:$B$1004,"&lt;"&amp;(H422-0.0003),$H$5:$H$1004,"&gt;"&amp;(B422+0.0003),$E$5:$E$1004,"&lt;&gt;İptal")&gt;1,"Çakışıyor",""))</f>
        <v/>
      </c>
      <c r="J422" s="21" t="str">
        <f aca="false">IF(AND(A422=Gün!$C$3,B422&lt;&gt;"",E422&lt;&gt;"İptal"),B422+ROW()/100000000,"")</f>
        <v/>
      </c>
    </row>
    <row r="423" customFormat="false" ht="15" hidden="false" customHeight="false" outlineLevel="0" collapsed="false">
      <c r="A423" s="12"/>
      <c r="B423" s="13"/>
      <c r="C423" s="14"/>
      <c r="D423" s="14"/>
      <c r="E423" s="15"/>
      <c r="F423" s="16"/>
      <c r="G423" s="17" t="str">
        <f aca="false">IF(D423="","",IF(E423="Geldi",IF(F423="",IFERROR(INDEX(Hizmetler!$C$5:$C$54,MATCH(D423,Hizmetler!$A$5:$A$54,0)),0),F423),0))</f>
        <v/>
      </c>
      <c r="H423" s="18" t="str">
        <f aca="false">IF(OR(B423="",D423=""),"",ROUND((B423+IFERROR(INDEX(Hizmetler!$B$5:$B$54,MATCH(D423,Hizmetler!$A$5:$A$54,0)),0)/1440)*1440,0)/1440)</f>
        <v/>
      </c>
      <c r="I423" s="19" t="str">
        <f aca="false">IF(OR(A423="",H423="",E423="İptal"),"",IF(COUNTIFS($A$5:$A$1004,A423,$B$5:$B$1004,"&lt;"&amp;(H423-0.0003),$H$5:$H$1004,"&gt;"&amp;(B423+0.0003),$E$5:$E$1004,"&lt;&gt;İptal")&gt;1,"Çakışıyor",""))</f>
        <v/>
      </c>
      <c r="J423" s="21" t="str">
        <f aca="false">IF(AND(A423=Gün!$C$3,B423&lt;&gt;"",E423&lt;&gt;"İptal"),B423+ROW()/100000000,"")</f>
        <v/>
      </c>
    </row>
    <row r="424" customFormat="false" ht="15" hidden="false" customHeight="false" outlineLevel="0" collapsed="false">
      <c r="A424" s="12"/>
      <c r="B424" s="13"/>
      <c r="C424" s="14"/>
      <c r="D424" s="14"/>
      <c r="E424" s="15"/>
      <c r="F424" s="16"/>
      <c r="G424" s="17" t="str">
        <f aca="false">IF(D424="","",IF(E424="Geldi",IF(F424="",IFERROR(INDEX(Hizmetler!$C$5:$C$54,MATCH(D424,Hizmetler!$A$5:$A$54,0)),0),F424),0))</f>
        <v/>
      </c>
      <c r="H424" s="18" t="str">
        <f aca="false">IF(OR(B424="",D424=""),"",ROUND((B424+IFERROR(INDEX(Hizmetler!$B$5:$B$54,MATCH(D424,Hizmetler!$A$5:$A$54,0)),0)/1440)*1440,0)/1440)</f>
        <v/>
      </c>
      <c r="I424" s="19" t="str">
        <f aca="false">IF(OR(A424="",H424="",E424="İptal"),"",IF(COUNTIFS($A$5:$A$1004,A424,$B$5:$B$1004,"&lt;"&amp;(H424-0.0003),$H$5:$H$1004,"&gt;"&amp;(B424+0.0003),$E$5:$E$1004,"&lt;&gt;İptal")&gt;1,"Çakışıyor",""))</f>
        <v/>
      </c>
      <c r="J424" s="21" t="str">
        <f aca="false">IF(AND(A424=Gün!$C$3,B424&lt;&gt;"",E424&lt;&gt;"İptal"),B424+ROW()/100000000,"")</f>
        <v/>
      </c>
    </row>
    <row r="425" customFormat="false" ht="15" hidden="false" customHeight="false" outlineLevel="0" collapsed="false">
      <c r="A425" s="12"/>
      <c r="B425" s="13"/>
      <c r="C425" s="14"/>
      <c r="D425" s="14"/>
      <c r="E425" s="15"/>
      <c r="F425" s="16"/>
      <c r="G425" s="17" t="str">
        <f aca="false">IF(D425="","",IF(E425="Geldi",IF(F425="",IFERROR(INDEX(Hizmetler!$C$5:$C$54,MATCH(D425,Hizmetler!$A$5:$A$54,0)),0),F425),0))</f>
        <v/>
      </c>
      <c r="H425" s="18" t="str">
        <f aca="false">IF(OR(B425="",D425=""),"",ROUND((B425+IFERROR(INDEX(Hizmetler!$B$5:$B$54,MATCH(D425,Hizmetler!$A$5:$A$54,0)),0)/1440)*1440,0)/1440)</f>
        <v/>
      </c>
      <c r="I425" s="19" t="str">
        <f aca="false">IF(OR(A425="",H425="",E425="İptal"),"",IF(COUNTIFS($A$5:$A$1004,A425,$B$5:$B$1004,"&lt;"&amp;(H425-0.0003),$H$5:$H$1004,"&gt;"&amp;(B425+0.0003),$E$5:$E$1004,"&lt;&gt;İptal")&gt;1,"Çakışıyor",""))</f>
        <v/>
      </c>
      <c r="J425" s="21" t="str">
        <f aca="false">IF(AND(A425=Gün!$C$3,B425&lt;&gt;"",E425&lt;&gt;"İptal"),B425+ROW()/100000000,"")</f>
        <v/>
      </c>
    </row>
    <row r="426" customFormat="false" ht="15" hidden="false" customHeight="false" outlineLevel="0" collapsed="false">
      <c r="A426" s="12"/>
      <c r="B426" s="13"/>
      <c r="C426" s="14"/>
      <c r="D426" s="14"/>
      <c r="E426" s="15"/>
      <c r="F426" s="16"/>
      <c r="G426" s="17" t="str">
        <f aca="false">IF(D426="","",IF(E426="Geldi",IF(F426="",IFERROR(INDEX(Hizmetler!$C$5:$C$54,MATCH(D426,Hizmetler!$A$5:$A$54,0)),0),F426),0))</f>
        <v/>
      </c>
      <c r="H426" s="18" t="str">
        <f aca="false">IF(OR(B426="",D426=""),"",ROUND((B426+IFERROR(INDEX(Hizmetler!$B$5:$B$54,MATCH(D426,Hizmetler!$A$5:$A$54,0)),0)/1440)*1440,0)/1440)</f>
        <v/>
      </c>
      <c r="I426" s="19" t="str">
        <f aca="false">IF(OR(A426="",H426="",E426="İptal"),"",IF(COUNTIFS($A$5:$A$1004,A426,$B$5:$B$1004,"&lt;"&amp;(H426-0.0003),$H$5:$H$1004,"&gt;"&amp;(B426+0.0003),$E$5:$E$1004,"&lt;&gt;İptal")&gt;1,"Çakışıyor",""))</f>
        <v/>
      </c>
      <c r="J426" s="21" t="str">
        <f aca="false">IF(AND(A426=Gün!$C$3,B426&lt;&gt;"",E426&lt;&gt;"İptal"),B426+ROW()/100000000,"")</f>
        <v/>
      </c>
    </row>
    <row r="427" customFormat="false" ht="15" hidden="false" customHeight="false" outlineLevel="0" collapsed="false">
      <c r="A427" s="12"/>
      <c r="B427" s="13"/>
      <c r="C427" s="14"/>
      <c r="D427" s="14"/>
      <c r="E427" s="15"/>
      <c r="F427" s="16"/>
      <c r="G427" s="17" t="str">
        <f aca="false">IF(D427="","",IF(E427="Geldi",IF(F427="",IFERROR(INDEX(Hizmetler!$C$5:$C$54,MATCH(D427,Hizmetler!$A$5:$A$54,0)),0),F427),0))</f>
        <v/>
      </c>
      <c r="H427" s="18" t="str">
        <f aca="false">IF(OR(B427="",D427=""),"",ROUND((B427+IFERROR(INDEX(Hizmetler!$B$5:$B$54,MATCH(D427,Hizmetler!$A$5:$A$54,0)),0)/1440)*1440,0)/1440)</f>
        <v/>
      </c>
      <c r="I427" s="19" t="str">
        <f aca="false">IF(OR(A427="",H427="",E427="İptal"),"",IF(COUNTIFS($A$5:$A$1004,A427,$B$5:$B$1004,"&lt;"&amp;(H427-0.0003),$H$5:$H$1004,"&gt;"&amp;(B427+0.0003),$E$5:$E$1004,"&lt;&gt;İptal")&gt;1,"Çakışıyor",""))</f>
        <v/>
      </c>
      <c r="J427" s="21" t="str">
        <f aca="false">IF(AND(A427=Gün!$C$3,B427&lt;&gt;"",E427&lt;&gt;"İptal"),B427+ROW()/100000000,"")</f>
        <v/>
      </c>
    </row>
    <row r="428" customFormat="false" ht="15" hidden="false" customHeight="false" outlineLevel="0" collapsed="false">
      <c r="A428" s="12"/>
      <c r="B428" s="13"/>
      <c r="C428" s="14"/>
      <c r="D428" s="14"/>
      <c r="E428" s="15"/>
      <c r="F428" s="16"/>
      <c r="G428" s="17" t="str">
        <f aca="false">IF(D428="","",IF(E428="Geldi",IF(F428="",IFERROR(INDEX(Hizmetler!$C$5:$C$54,MATCH(D428,Hizmetler!$A$5:$A$54,0)),0),F428),0))</f>
        <v/>
      </c>
      <c r="H428" s="18" t="str">
        <f aca="false">IF(OR(B428="",D428=""),"",ROUND((B428+IFERROR(INDEX(Hizmetler!$B$5:$B$54,MATCH(D428,Hizmetler!$A$5:$A$54,0)),0)/1440)*1440,0)/1440)</f>
        <v/>
      </c>
      <c r="I428" s="19" t="str">
        <f aca="false">IF(OR(A428="",H428="",E428="İptal"),"",IF(COUNTIFS($A$5:$A$1004,A428,$B$5:$B$1004,"&lt;"&amp;(H428-0.0003),$H$5:$H$1004,"&gt;"&amp;(B428+0.0003),$E$5:$E$1004,"&lt;&gt;İptal")&gt;1,"Çakışıyor",""))</f>
        <v/>
      </c>
      <c r="J428" s="21" t="str">
        <f aca="false">IF(AND(A428=Gün!$C$3,B428&lt;&gt;"",E428&lt;&gt;"İptal"),B428+ROW()/100000000,"")</f>
        <v/>
      </c>
    </row>
    <row r="429" customFormat="false" ht="15" hidden="false" customHeight="false" outlineLevel="0" collapsed="false">
      <c r="A429" s="12"/>
      <c r="B429" s="13"/>
      <c r="C429" s="14"/>
      <c r="D429" s="14"/>
      <c r="E429" s="15"/>
      <c r="F429" s="16"/>
      <c r="G429" s="17" t="str">
        <f aca="false">IF(D429="","",IF(E429="Geldi",IF(F429="",IFERROR(INDEX(Hizmetler!$C$5:$C$54,MATCH(D429,Hizmetler!$A$5:$A$54,0)),0),F429),0))</f>
        <v/>
      </c>
      <c r="H429" s="18" t="str">
        <f aca="false">IF(OR(B429="",D429=""),"",ROUND((B429+IFERROR(INDEX(Hizmetler!$B$5:$B$54,MATCH(D429,Hizmetler!$A$5:$A$54,0)),0)/1440)*1440,0)/1440)</f>
        <v/>
      </c>
      <c r="I429" s="19" t="str">
        <f aca="false">IF(OR(A429="",H429="",E429="İptal"),"",IF(COUNTIFS($A$5:$A$1004,A429,$B$5:$B$1004,"&lt;"&amp;(H429-0.0003),$H$5:$H$1004,"&gt;"&amp;(B429+0.0003),$E$5:$E$1004,"&lt;&gt;İptal")&gt;1,"Çakışıyor",""))</f>
        <v/>
      </c>
      <c r="J429" s="21" t="str">
        <f aca="false">IF(AND(A429=Gün!$C$3,B429&lt;&gt;"",E429&lt;&gt;"İptal"),B429+ROW()/100000000,"")</f>
        <v/>
      </c>
    </row>
    <row r="430" customFormat="false" ht="15" hidden="false" customHeight="false" outlineLevel="0" collapsed="false">
      <c r="A430" s="12"/>
      <c r="B430" s="13"/>
      <c r="C430" s="14"/>
      <c r="D430" s="14"/>
      <c r="E430" s="15"/>
      <c r="F430" s="16"/>
      <c r="G430" s="17" t="str">
        <f aca="false">IF(D430="","",IF(E430="Geldi",IF(F430="",IFERROR(INDEX(Hizmetler!$C$5:$C$54,MATCH(D430,Hizmetler!$A$5:$A$54,0)),0),F430),0))</f>
        <v/>
      </c>
      <c r="H430" s="18" t="str">
        <f aca="false">IF(OR(B430="",D430=""),"",ROUND((B430+IFERROR(INDEX(Hizmetler!$B$5:$B$54,MATCH(D430,Hizmetler!$A$5:$A$54,0)),0)/1440)*1440,0)/1440)</f>
        <v/>
      </c>
      <c r="I430" s="19" t="str">
        <f aca="false">IF(OR(A430="",H430="",E430="İptal"),"",IF(COUNTIFS($A$5:$A$1004,A430,$B$5:$B$1004,"&lt;"&amp;(H430-0.0003),$H$5:$H$1004,"&gt;"&amp;(B430+0.0003),$E$5:$E$1004,"&lt;&gt;İptal")&gt;1,"Çakışıyor",""))</f>
        <v/>
      </c>
      <c r="J430" s="21" t="str">
        <f aca="false">IF(AND(A430=Gün!$C$3,B430&lt;&gt;"",E430&lt;&gt;"İptal"),B430+ROW()/100000000,"")</f>
        <v/>
      </c>
    </row>
    <row r="431" customFormat="false" ht="15" hidden="false" customHeight="false" outlineLevel="0" collapsed="false">
      <c r="A431" s="12"/>
      <c r="B431" s="13"/>
      <c r="C431" s="14"/>
      <c r="D431" s="14"/>
      <c r="E431" s="15"/>
      <c r="F431" s="16"/>
      <c r="G431" s="17" t="str">
        <f aca="false">IF(D431="","",IF(E431="Geldi",IF(F431="",IFERROR(INDEX(Hizmetler!$C$5:$C$54,MATCH(D431,Hizmetler!$A$5:$A$54,0)),0),F431),0))</f>
        <v/>
      </c>
      <c r="H431" s="18" t="str">
        <f aca="false">IF(OR(B431="",D431=""),"",ROUND((B431+IFERROR(INDEX(Hizmetler!$B$5:$B$54,MATCH(D431,Hizmetler!$A$5:$A$54,0)),0)/1440)*1440,0)/1440)</f>
        <v/>
      </c>
      <c r="I431" s="19" t="str">
        <f aca="false">IF(OR(A431="",H431="",E431="İptal"),"",IF(COUNTIFS($A$5:$A$1004,A431,$B$5:$B$1004,"&lt;"&amp;(H431-0.0003),$H$5:$H$1004,"&gt;"&amp;(B431+0.0003),$E$5:$E$1004,"&lt;&gt;İptal")&gt;1,"Çakışıyor",""))</f>
        <v/>
      </c>
      <c r="J431" s="21" t="str">
        <f aca="false">IF(AND(A431=Gün!$C$3,B431&lt;&gt;"",E431&lt;&gt;"İptal"),B431+ROW()/100000000,"")</f>
        <v/>
      </c>
    </row>
    <row r="432" customFormat="false" ht="15" hidden="false" customHeight="false" outlineLevel="0" collapsed="false">
      <c r="A432" s="12"/>
      <c r="B432" s="13"/>
      <c r="C432" s="14"/>
      <c r="D432" s="14"/>
      <c r="E432" s="15"/>
      <c r="F432" s="16"/>
      <c r="G432" s="17" t="str">
        <f aca="false">IF(D432="","",IF(E432="Geldi",IF(F432="",IFERROR(INDEX(Hizmetler!$C$5:$C$54,MATCH(D432,Hizmetler!$A$5:$A$54,0)),0),F432),0))</f>
        <v/>
      </c>
      <c r="H432" s="18" t="str">
        <f aca="false">IF(OR(B432="",D432=""),"",ROUND((B432+IFERROR(INDEX(Hizmetler!$B$5:$B$54,MATCH(D432,Hizmetler!$A$5:$A$54,0)),0)/1440)*1440,0)/1440)</f>
        <v/>
      </c>
      <c r="I432" s="19" t="str">
        <f aca="false">IF(OR(A432="",H432="",E432="İptal"),"",IF(COUNTIFS($A$5:$A$1004,A432,$B$5:$B$1004,"&lt;"&amp;(H432-0.0003),$H$5:$H$1004,"&gt;"&amp;(B432+0.0003),$E$5:$E$1004,"&lt;&gt;İptal")&gt;1,"Çakışıyor",""))</f>
        <v/>
      </c>
      <c r="J432" s="21" t="str">
        <f aca="false">IF(AND(A432=Gün!$C$3,B432&lt;&gt;"",E432&lt;&gt;"İptal"),B432+ROW()/100000000,"")</f>
        <v/>
      </c>
    </row>
    <row r="433" customFormat="false" ht="15" hidden="false" customHeight="false" outlineLevel="0" collapsed="false">
      <c r="A433" s="12"/>
      <c r="B433" s="13"/>
      <c r="C433" s="14"/>
      <c r="D433" s="14"/>
      <c r="E433" s="15"/>
      <c r="F433" s="16"/>
      <c r="G433" s="17" t="str">
        <f aca="false">IF(D433="","",IF(E433="Geldi",IF(F433="",IFERROR(INDEX(Hizmetler!$C$5:$C$54,MATCH(D433,Hizmetler!$A$5:$A$54,0)),0),F433),0))</f>
        <v/>
      </c>
      <c r="H433" s="18" t="str">
        <f aca="false">IF(OR(B433="",D433=""),"",ROUND((B433+IFERROR(INDEX(Hizmetler!$B$5:$B$54,MATCH(D433,Hizmetler!$A$5:$A$54,0)),0)/1440)*1440,0)/1440)</f>
        <v/>
      </c>
      <c r="I433" s="19" t="str">
        <f aca="false">IF(OR(A433="",H433="",E433="İptal"),"",IF(COUNTIFS($A$5:$A$1004,A433,$B$5:$B$1004,"&lt;"&amp;(H433-0.0003),$H$5:$H$1004,"&gt;"&amp;(B433+0.0003),$E$5:$E$1004,"&lt;&gt;İptal")&gt;1,"Çakışıyor",""))</f>
        <v/>
      </c>
      <c r="J433" s="21" t="str">
        <f aca="false">IF(AND(A433=Gün!$C$3,B433&lt;&gt;"",E433&lt;&gt;"İptal"),B433+ROW()/100000000,"")</f>
        <v/>
      </c>
    </row>
    <row r="434" customFormat="false" ht="15" hidden="false" customHeight="false" outlineLevel="0" collapsed="false">
      <c r="A434" s="12"/>
      <c r="B434" s="13"/>
      <c r="C434" s="14"/>
      <c r="D434" s="14"/>
      <c r="E434" s="15"/>
      <c r="F434" s="16"/>
      <c r="G434" s="17" t="str">
        <f aca="false">IF(D434="","",IF(E434="Geldi",IF(F434="",IFERROR(INDEX(Hizmetler!$C$5:$C$54,MATCH(D434,Hizmetler!$A$5:$A$54,0)),0),F434),0))</f>
        <v/>
      </c>
      <c r="H434" s="18" t="str">
        <f aca="false">IF(OR(B434="",D434=""),"",ROUND((B434+IFERROR(INDEX(Hizmetler!$B$5:$B$54,MATCH(D434,Hizmetler!$A$5:$A$54,0)),0)/1440)*1440,0)/1440)</f>
        <v/>
      </c>
      <c r="I434" s="19" t="str">
        <f aca="false">IF(OR(A434="",H434="",E434="İptal"),"",IF(COUNTIFS($A$5:$A$1004,A434,$B$5:$B$1004,"&lt;"&amp;(H434-0.0003),$H$5:$H$1004,"&gt;"&amp;(B434+0.0003),$E$5:$E$1004,"&lt;&gt;İptal")&gt;1,"Çakışıyor",""))</f>
        <v/>
      </c>
      <c r="J434" s="21" t="str">
        <f aca="false">IF(AND(A434=Gün!$C$3,B434&lt;&gt;"",E434&lt;&gt;"İptal"),B434+ROW()/100000000,"")</f>
        <v/>
      </c>
    </row>
    <row r="435" customFormat="false" ht="15" hidden="false" customHeight="false" outlineLevel="0" collapsed="false">
      <c r="A435" s="12"/>
      <c r="B435" s="13"/>
      <c r="C435" s="14"/>
      <c r="D435" s="14"/>
      <c r="E435" s="15"/>
      <c r="F435" s="16"/>
      <c r="G435" s="17" t="str">
        <f aca="false">IF(D435="","",IF(E435="Geldi",IF(F435="",IFERROR(INDEX(Hizmetler!$C$5:$C$54,MATCH(D435,Hizmetler!$A$5:$A$54,0)),0),F435),0))</f>
        <v/>
      </c>
      <c r="H435" s="18" t="str">
        <f aca="false">IF(OR(B435="",D435=""),"",ROUND((B435+IFERROR(INDEX(Hizmetler!$B$5:$B$54,MATCH(D435,Hizmetler!$A$5:$A$54,0)),0)/1440)*1440,0)/1440)</f>
        <v/>
      </c>
      <c r="I435" s="19" t="str">
        <f aca="false">IF(OR(A435="",H435="",E435="İptal"),"",IF(COUNTIFS($A$5:$A$1004,A435,$B$5:$B$1004,"&lt;"&amp;(H435-0.0003),$H$5:$H$1004,"&gt;"&amp;(B435+0.0003),$E$5:$E$1004,"&lt;&gt;İptal")&gt;1,"Çakışıyor",""))</f>
        <v/>
      </c>
      <c r="J435" s="21" t="str">
        <f aca="false">IF(AND(A435=Gün!$C$3,B435&lt;&gt;"",E435&lt;&gt;"İptal"),B435+ROW()/100000000,"")</f>
        <v/>
      </c>
    </row>
    <row r="436" customFormat="false" ht="15" hidden="false" customHeight="false" outlineLevel="0" collapsed="false">
      <c r="A436" s="12"/>
      <c r="B436" s="13"/>
      <c r="C436" s="14"/>
      <c r="D436" s="14"/>
      <c r="E436" s="15"/>
      <c r="F436" s="16"/>
      <c r="G436" s="17" t="str">
        <f aca="false">IF(D436="","",IF(E436="Geldi",IF(F436="",IFERROR(INDEX(Hizmetler!$C$5:$C$54,MATCH(D436,Hizmetler!$A$5:$A$54,0)),0),F436),0))</f>
        <v/>
      </c>
      <c r="H436" s="18" t="str">
        <f aca="false">IF(OR(B436="",D436=""),"",ROUND((B436+IFERROR(INDEX(Hizmetler!$B$5:$B$54,MATCH(D436,Hizmetler!$A$5:$A$54,0)),0)/1440)*1440,0)/1440)</f>
        <v/>
      </c>
      <c r="I436" s="19" t="str">
        <f aca="false">IF(OR(A436="",H436="",E436="İptal"),"",IF(COUNTIFS($A$5:$A$1004,A436,$B$5:$B$1004,"&lt;"&amp;(H436-0.0003),$H$5:$H$1004,"&gt;"&amp;(B436+0.0003),$E$5:$E$1004,"&lt;&gt;İptal")&gt;1,"Çakışıyor",""))</f>
        <v/>
      </c>
      <c r="J436" s="21" t="str">
        <f aca="false">IF(AND(A436=Gün!$C$3,B436&lt;&gt;"",E436&lt;&gt;"İptal"),B436+ROW()/100000000,"")</f>
        <v/>
      </c>
    </row>
    <row r="437" customFormat="false" ht="15" hidden="false" customHeight="false" outlineLevel="0" collapsed="false">
      <c r="A437" s="12"/>
      <c r="B437" s="13"/>
      <c r="C437" s="14"/>
      <c r="D437" s="14"/>
      <c r="E437" s="15"/>
      <c r="F437" s="16"/>
      <c r="G437" s="17" t="str">
        <f aca="false">IF(D437="","",IF(E437="Geldi",IF(F437="",IFERROR(INDEX(Hizmetler!$C$5:$C$54,MATCH(D437,Hizmetler!$A$5:$A$54,0)),0),F437),0))</f>
        <v/>
      </c>
      <c r="H437" s="18" t="str">
        <f aca="false">IF(OR(B437="",D437=""),"",ROUND((B437+IFERROR(INDEX(Hizmetler!$B$5:$B$54,MATCH(D437,Hizmetler!$A$5:$A$54,0)),0)/1440)*1440,0)/1440)</f>
        <v/>
      </c>
      <c r="I437" s="19" t="str">
        <f aca="false">IF(OR(A437="",H437="",E437="İptal"),"",IF(COUNTIFS($A$5:$A$1004,A437,$B$5:$B$1004,"&lt;"&amp;(H437-0.0003),$H$5:$H$1004,"&gt;"&amp;(B437+0.0003),$E$5:$E$1004,"&lt;&gt;İptal")&gt;1,"Çakışıyor",""))</f>
        <v/>
      </c>
      <c r="J437" s="21" t="str">
        <f aca="false">IF(AND(A437=Gün!$C$3,B437&lt;&gt;"",E437&lt;&gt;"İptal"),B437+ROW()/100000000,"")</f>
        <v/>
      </c>
    </row>
    <row r="438" customFormat="false" ht="15" hidden="false" customHeight="false" outlineLevel="0" collapsed="false">
      <c r="A438" s="12"/>
      <c r="B438" s="13"/>
      <c r="C438" s="14"/>
      <c r="D438" s="14"/>
      <c r="E438" s="15"/>
      <c r="F438" s="16"/>
      <c r="G438" s="17" t="str">
        <f aca="false">IF(D438="","",IF(E438="Geldi",IF(F438="",IFERROR(INDEX(Hizmetler!$C$5:$C$54,MATCH(D438,Hizmetler!$A$5:$A$54,0)),0),F438),0))</f>
        <v/>
      </c>
      <c r="H438" s="18" t="str">
        <f aca="false">IF(OR(B438="",D438=""),"",ROUND((B438+IFERROR(INDEX(Hizmetler!$B$5:$B$54,MATCH(D438,Hizmetler!$A$5:$A$54,0)),0)/1440)*1440,0)/1440)</f>
        <v/>
      </c>
      <c r="I438" s="19" t="str">
        <f aca="false">IF(OR(A438="",H438="",E438="İptal"),"",IF(COUNTIFS($A$5:$A$1004,A438,$B$5:$B$1004,"&lt;"&amp;(H438-0.0003),$H$5:$H$1004,"&gt;"&amp;(B438+0.0003),$E$5:$E$1004,"&lt;&gt;İptal")&gt;1,"Çakışıyor",""))</f>
        <v/>
      </c>
      <c r="J438" s="21" t="str">
        <f aca="false">IF(AND(A438=Gün!$C$3,B438&lt;&gt;"",E438&lt;&gt;"İptal"),B438+ROW()/100000000,"")</f>
        <v/>
      </c>
    </row>
    <row r="439" customFormat="false" ht="15" hidden="false" customHeight="false" outlineLevel="0" collapsed="false">
      <c r="A439" s="12"/>
      <c r="B439" s="13"/>
      <c r="C439" s="14"/>
      <c r="D439" s="14"/>
      <c r="E439" s="15"/>
      <c r="F439" s="16"/>
      <c r="G439" s="17" t="str">
        <f aca="false">IF(D439="","",IF(E439="Geldi",IF(F439="",IFERROR(INDEX(Hizmetler!$C$5:$C$54,MATCH(D439,Hizmetler!$A$5:$A$54,0)),0),F439),0))</f>
        <v/>
      </c>
      <c r="H439" s="18" t="str">
        <f aca="false">IF(OR(B439="",D439=""),"",ROUND((B439+IFERROR(INDEX(Hizmetler!$B$5:$B$54,MATCH(D439,Hizmetler!$A$5:$A$54,0)),0)/1440)*1440,0)/1440)</f>
        <v/>
      </c>
      <c r="I439" s="19" t="str">
        <f aca="false">IF(OR(A439="",H439="",E439="İptal"),"",IF(COUNTIFS($A$5:$A$1004,A439,$B$5:$B$1004,"&lt;"&amp;(H439-0.0003),$H$5:$H$1004,"&gt;"&amp;(B439+0.0003),$E$5:$E$1004,"&lt;&gt;İptal")&gt;1,"Çakışıyor",""))</f>
        <v/>
      </c>
      <c r="J439" s="21" t="str">
        <f aca="false">IF(AND(A439=Gün!$C$3,B439&lt;&gt;"",E439&lt;&gt;"İptal"),B439+ROW()/100000000,"")</f>
        <v/>
      </c>
    </row>
    <row r="440" customFormat="false" ht="15" hidden="false" customHeight="false" outlineLevel="0" collapsed="false">
      <c r="A440" s="12"/>
      <c r="B440" s="13"/>
      <c r="C440" s="14"/>
      <c r="D440" s="14"/>
      <c r="E440" s="15"/>
      <c r="F440" s="16"/>
      <c r="G440" s="17" t="str">
        <f aca="false">IF(D440="","",IF(E440="Geldi",IF(F440="",IFERROR(INDEX(Hizmetler!$C$5:$C$54,MATCH(D440,Hizmetler!$A$5:$A$54,0)),0),F440),0))</f>
        <v/>
      </c>
      <c r="H440" s="18" t="str">
        <f aca="false">IF(OR(B440="",D440=""),"",ROUND((B440+IFERROR(INDEX(Hizmetler!$B$5:$B$54,MATCH(D440,Hizmetler!$A$5:$A$54,0)),0)/1440)*1440,0)/1440)</f>
        <v/>
      </c>
      <c r="I440" s="19" t="str">
        <f aca="false">IF(OR(A440="",H440="",E440="İptal"),"",IF(COUNTIFS($A$5:$A$1004,A440,$B$5:$B$1004,"&lt;"&amp;(H440-0.0003),$H$5:$H$1004,"&gt;"&amp;(B440+0.0003),$E$5:$E$1004,"&lt;&gt;İptal")&gt;1,"Çakışıyor",""))</f>
        <v/>
      </c>
      <c r="J440" s="21" t="str">
        <f aca="false">IF(AND(A440=Gün!$C$3,B440&lt;&gt;"",E440&lt;&gt;"İptal"),B440+ROW()/100000000,"")</f>
        <v/>
      </c>
    </row>
    <row r="441" customFormat="false" ht="15" hidden="false" customHeight="false" outlineLevel="0" collapsed="false">
      <c r="A441" s="12"/>
      <c r="B441" s="13"/>
      <c r="C441" s="14"/>
      <c r="D441" s="14"/>
      <c r="E441" s="15"/>
      <c r="F441" s="16"/>
      <c r="G441" s="17" t="str">
        <f aca="false">IF(D441="","",IF(E441="Geldi",IF(F441="",IFERROR(INDEX(Hizmetler!$C$5:$C$54,MATCH(D441,Hizmetler!$A$5:$A$54,0)),0),F441),0))</f>
        <v/>
      </c>
      <c r="H441" s="18" t="str">
        <f aca="false">IF(OR(B441="",D441=""),"",ROUND((B441+IFERROR(INDEX(Hizmetler!$B$5:$B$54,MATCH(D441,Hizmetler!$A$5:$A$54,0)),0)/1440)*1440,0)/1440)</f>
        <v/>
      </c>
      <c r="I441" s="19" t="str">
        <f aca="false">IF(OR(A441="",H441="",E441="İptal"),"",IF(COUNTIFS($A$5:$A$1004,A441,$B$5:$B$1004,"&lt;"&amp;(H441-0.0003),$H$5:$H$1004,"&gt;"&amp;(B441+0.0003),$E$5:$E$1004,"&lt;&gt;İptal")&gt;1,"Çakışıyor",""))</f>
        <v/>
      </c>
      <c r="J441" s="21" t="str">
        <f aca="false">IF(AND(A441=Gün!$C$3,B441&lt;&gt;"",E441&lt;&gt;"İptal"),B441+ROW()/100000000,"")</f>
        <v/>
      </c>
    </row>
    <row r="442" customFormat="false" ht="15" hidden="false" customHeight="false" outlineLevel="0" collapsed="false">
      <c r="A442" s="12"/>
      <c r="B442" s="13"/>
      <c r="C442" s="14"/>
      <c r="D442" s="14"/>
      <c r="E442" s="15"/>
      <c r="F442" s="16"/>
      <c r="G442" s="17" t="str">
        <f aca="false">IF(D442="","",IF(E442="Geldi",IF(F442="",IFERROR(INDEX(Hizmetler!$C$5:$C$54,MATCH(D442,Hizmetler!$A$5:$A$54,0)),0),F442),0))</f>
        <v/>
      </c>
      <c r="H442" s="18" t="str">
        <f aca="false">IF(OR(B442="",D442=""),"",ROUND((B442+IFERROR(INDEX(Hizmetler!$B$5:$B$54,MATCH(D442,Hizmetler!$A$5:$A$54,0)),0)/1440)*1440,0)/1440)</f>
        <v/>
      </c>
      <c r="I442" s="19" t="str">
        <f aca="false">IF(OR(A442="",H442="",E442="İptal"),"",IF(COUNTIFS($A$5:$A$1004,A442,$B$5:$B$1004,"&lt;"&amp;(H442-0.0003),$H$5:$H$1004,"&gt;"&amp;(B442+0.0003),$E$5:$E$1004,"&lt;&gt;İptal")&gt;1,"Çakışıyor",""))</f>
        <v/>
      </c>
      <c r="J442" s="21" t="str">
        <f aca="false">IF(AND(A442=Gün!$C$3,B442&lt;&gt;"",E442&lt;&gt;"İptal"),B442+ROW()/100000000,"")</f>
        <v/>
      </c>
    </row>
    <row r="443" customFormat="false" ht="15" hidden="false" customHeight="false" outlineLevel="0" collapsed="false">
      <c r="A443" s="12"/>
      <c r="B443" s="13"/>
      <c r="C443" s="14"/>
      <c r="D443" s="14"/>
      <c r="E443" s="15"/>
      <c r="F443" s="16"/>
      <c r="G443" s="17" t="str">
        <f aca="false">IF(D443="","",IF(E443="Geldi",IF(F443="",IFERROR(INDEX(Hizmetler!$C$5:$C$54,MATCH(D443,Hizmetler!$A$5:$A$54,0)),0),F443),0))</f>
        <v/>
      </c>
      <c r="H443" s="18" t="str">
        <f aca="false">IF(OR(B443="",D443=""),"",ROUND((B443+IFERROR(INDEX(Hizmetler!$B$5:$B$54,MATCH(D443,Hizmetler!$A$5:$A$54,0)),0)/1440)*1440,0)/1440)</f>
        <v/>
      </c>
      <c r="I443" s="19" t="str">
        <f aca="false">IF(OR(A443="",H443="",E443="İptal"),"",IF(COUNTIFS($A$5:$A$1004,A443,$B$5:$B$1004,"&lt;"&amp;(H443-0.0003),$H$5:$H$1004,"&gt;"&amp;(B443+0.0003),$E$5:$E$1004,"&lt;&gt;İptal")&gt;1,"Çakışıyor",""))</f>
        <v/>
      </c>
      <c r="J443" s="21" t="str">
        <f aca="false">IF(AND(A443=Gün!$C$3,B443&lt;&gt;"",E443&lt;&gt;"İptal"),B443+ROW()/100000000,"")</f>
        <v/>
      </c>
    </row>
    <row r="444" customFormat="false" ht="15" hidden="false" customHeight="false" outlineLevel="0" collapsed="false">
      <c r="A444" s="12"/>
      <c r="B444" s="13"/>
      <c r="C444" s="14"/>
      <c r="D444" s="14"/>
      <c r="E444" s="15"/>
      <c r="F444" s="16"/>
      <c r="G444" s="17" t="str">
        <f aca="false">IF(D444="","",IF(E444="Geldi",IF(F444="",IFERROR(INDEX(Hizmetler!$C$5:$C$54,MATCH(D444,Hizmetler!$A$5:$A$54,0)),0),F444),0))</f>
        <v/>
      </c>
      <c r="H444" s="18" t="str">
        <f aca="false">IF(OR(B444="",D444=""),"",ROUND((B444+IFERROR(INDEX(Hizmetler!$B$5:$B$54,MATCH(D444,Hizmetler!$A$5:$A$54,0)),0)/1440)*1440,0)/1440)</f>
        <v/>
      </c>
      <c r="I444" s="19" t="str">
        <f aca="false">IF(OR(A444="",H444="",E444="İptal"),"",IF(COUNTIFS($A$5:$A$1004,A444,$B$5:$B$1004,"&lt;"&amp;(H444-0.0003),$H$5:$H$1004,"&gt;"&amp;(B444+0.0003),$E$5:$E$1004,"&lt;&gt;İptal")&gt;1,"Çakışıyor",""))</f>
        <v/>
      </c>
      <c r="J444" s="21" t="str">
        <f aca="false">IF(AND(A444=Gün!$C$3,B444&lt;&gt;"",E444&lt;&gt;"İptal"),B444+ROW()/100000000,"")</f>
        <v/>
      </c>
    </row>
    <row r="445" customFormat="false" ht="15" hidden="false" customHeight="false" outlineLevel="0" collapsed="false">
      <c r="A445" s="12"/>
      <c r="B445" s="13"/>
      <c r="C445" s="14"/>
      <c r="D445" s="14"/>
      <c r="E445" s="15"/>
      <c r="F445" s="16"/>
      <c r="G445" s="17" t="str">
        <f aca="false">IF(D445="","",IF(E445="Geldi",IF(F445="",IFERROR(INDEX(Hizmetler!$C$5:$C$54,MATCH(D445,Hizmetler!$A$5:$A$54,0)),0),F445),0))</f>
        <v/>
      </c>
      <c r="H445" s="18" t="str">
        <f aca="false">IF(OR(B445="",D445=""),"",ROUND((B445+IFERROR(INDEX(Hizmetler!$B$5:$B$54,MATCH(D445,Hizmetler!$A$5:$A$54,0)),0)/1440)*1440,0)/1440)</f>
        <v/>
      </c>
      <c r="I445" s="19" t="str">
        <f aca="false">IF(OR(A445="",H445="",E445="İptal"),"",IF(COUNTIFS($A$5:$A$1004,A445,$B$5:$B$1004,"&lt;"&amp;(H445-0.0003),$H$5:$H$1004,"&gt;"&amp;(B445+0.0003),$E$5:$E$1004,"&lt;&gt;İptal")&gt;1,"Çakışıyor",""))</f>
        <v/>
      </c>
      <c r="J445" s="21" t="str">
        <f aca="false">IF(AND(A445=Gün!$C$3,B445&lt;&gt;"",E445&lt;&gt;"İptal"),B445+ROW()/100000000,"")</f>
        <v/>
      </c>
    </row>
    <row r="446" customFormat="false" ht="15" hidden="false" customHeight="false" outlineLevel="0" collapsed="false">
      <c r="A446" s="12"/>
      <c r="B446" s="13"/>
      <c r="C446" s="14"/>
      <c r="D446" s="14"/>
      <c r="E446" s="15"/>
      <c r="F446" s="16"/>
      <c r="G446" s="17" t="str">
        <f aca="false">IF(D446="","",IF(E446="Geldi",IF(F446="",IFERROR(INDEX(Hizmetler!$C$5:$C$54,MATCH(D446,Hizmetler!$A$5:$A$54,0)),0),F446),0))</f>
        <v/>
      </c>
      <c r="H446" s="18" t="str">
        <f aca="false">IF(OR(B446="",D446=""),"",ROUND((B446+IFERROR(INDEX(Hizmetler!$B$5:$B$54,MATCH(D446,Hizmetler!$A$5:$A$54,0)),0)/1440)*1440,0)/1440)</f>
        <v/>
      </c>
      <c r="I446" s="19" t="str">
        <f aca="false">IF(OR(A446="",H446="",E446="İptal"),"",IF(COUNTIFS($A$5:$A$1004,A446,$B$5:$B$1004,"&lt;"&amp;(H446-0.0003),$H$5:$H$1004,"&gt;"&amp;(B446+0.0003),$E$5:$E$1004,"&lt;&gt;İptal")&gt;1,"Çakışıyor",""))</f>
        <v/>
      </c>
      <c r="J446" s="21" t="str">
        <f aca="false">IF(AND(A446=Gün!$C$3,B446&lt;&gt;"",E446&lt;&gt;"İptal"),B446+ROW()/100000000,"")</f>
        <v/>
      </c>
    </row>
    <row r="447" customFormat="false" ht="15" hidden="false" customHeight="false" outlineLevel="0" collapsed="false">
      <c r="A447" s="12"/>
      <c r="B447" s="13"/>
      <c r="C447" s="14"/>
      <c r="D447" s="14"/>
      <c r="E447" s="15"/>
      <c r="F447" s="16"/>
      <c r="G447" s="17" t="str">
        <f aca="false">IF(D447="","",IF(E447="Geldi",IF(F447="",IFERROR(INDEX(Hizmetler!$C$5:$C$54,MATCH(D447,Hizmetler!$A$5:$A$54,0)),0),F447),0))</f>
        <v/>
      </c>
      <c r="H447" s="18" t="str">
        <f aca="false">IF(OR(B447="",D447=""),"",ROUND((B447+IFERROR(INDEX(Hizmetler!$B$5:$B$54,MATCH(D447,Hizmetler!$A$5:$A$54,0)),0)/1440)*1440,0)/1440)</f>
        <v/>
      </c>
      <c r="I447" s="19" t="str">
        <f aca="false">IF(OR(A447="",H447="",E447="İptal"),"",IF(COUNTIFS($A$5:$A$1004,A447,$B$5:$B$1004,"&lt;"&amp;(H447-0.0003),$H$5:$H$1004,"&gt;"&amp;(B447+0.0003),$E$5:$E$1004,"&lt;&gt;İptal")&gt;1,"Çakışıyor",""))</f>
        <v/>
      </c>
      <c r="J447" s="21" t="str">
        <f aca="false">IF(AND(A447=Gün!$C$3,B447&lt;&gt;"",E447&lt;&gt;"İptal"),B447+ROW()/100000000,"")</f>
        <v/>
      </c>
    </row>
    <row r="448" customFormat="false" ht="15" hidden="false" customHeight="false" outlineLevel="0" collapsed="false">
      <c r="A448" s="12"/>
      <c r="B448" s="13"/>
      <c r="C448" s="14"/>
      <c r="D448" s="14"/>
      <c r="E448" s="15"/>
      <c r="F448" s="16"/>
      <c r="G448" s="17" t="str">
        <f aca="false">IF(D448="","",IF(E448="Geldi",IF(F448="",IFERROR(INDEX(Hizmetler!$C$5:$C$54,MATCH(D448,Hizmetler!$A$5:$A$54,0)),0),F448),0))</f>
        <v/>
      </c>
      <c r="H448" s="18" t="str">
        <f aca="false">IF(OR(B448="",D448=""),"",ROUND((B448+IFERROR(INDEX(Hizmetler!$B$5:$B$54,MATCH(D448,Hizmetler!$A$5:$A$54,0)),0)/1440)*1440,0)/1440)</f>
        <v/>
      </c>
      <c r="I448" s="19" t="str">
        <f aca="false">IF(OR(A448="",H448="",E448="İptal"),"",IF(COUNTIFS($A$5:$A$1004,A448,$B$5:$B$1004,"&lt;"&amp;(H448-0.0003),$H$5:$H$1004,"&gt;"&amp;(B448+0.0003),$E$5:$E$1004,"&lt;&gt;İptal")&gt;1,"Çakışıyor",""))</f>
        <v/>
      </c>
      <c r="J448" s="21" t="str">
        <f aca="false">IF(AND(A448=Gün!$C$3,B448&lt;&gt;"",E448&lt;&gt;"İptal"),B448+ROW()/100000000,"")</f>
        <v/>
      </c>
    </row>
    <row r="449" customFormat="false" ht="15" hidden="false" customHeight="false" outlineLevel="0" collapsed="false">
      <c r="A449" s="12"/>
      <c r="B449" s="13"/>
      <c r="C449" s="14"/>
      <c r="D449" s="14"/>
      <c r="E449" s="15"/>
      <c r="F449" s="16"/>
      <c r="G449" s="17" t="str">
        <f aca="false">IF(D449="","",IF(E449="Geldi",IF(F449="",IFERROR(INDEX(Hizmetler!$C$5:$C$54,MATCH(D449,Hizmetler!$A$5:$A$54,0)),0),F449),0))</f>
        <v/>
      </c>
      <c r="H449" s="18" t="str">
        <f aca="false">IF(OR(B449="",D449=""),"",ROUND((B449+IFERROR(INDEX(Hizmetler!$B$5:$B$54,MATCH(D449,Hizmetler!$A$5:$A$54,0)),0)/1440)*1440,0)/1440)</f>
        <v/>
      </c>
      <c r="I449" s="19" t="str">
        <f aca="false">IF(OR(A449="",H449="",E449="İptal"),"",IF(COUNTIFS($A$5:$A$1004,A449,$B$5:$B$1004,"&lt;"&amp;(H449-0.0003),$H$5:$H$1004,"&gt;"&amp;(B449+0.0003),$E$5:$E$1004,"&lt;&gt;İptal")&gt;1,"Çakışıyor",""))</f>
        <v/>
      </c>
      <c r="J449" s="21" t="str">
        <f aca="false">IF(AND(A449=Gün!$C$3,B449&lt;&gt;"",E449&lt;&gt;"İptal"),B449+ROW()/100000000,"")</f>
        <v/>
      </c>
    </row>
    <row r="450" customFormat="false" ht="15" hidden="false" customHeight="false" outlineLevel="0" collapsed="false">
      <c r="A450" s="12"/>
      <c r="B450" s="13"/>
      <c r="C450" s="14"/>
      <c r="D450" s="14"/>
      <c r="E450" s="15"/>
      <c r="F450" s="16"/>
      <c r="G450" s="17" t="str">
        <f aca="false">IF(D450="","",IF(E450="Geldi",IF(F450="",IFERROR(INDEX(Hizmetler!$C$5:$C$54,MATCH(D450,Hizmetler!$A$5:$A$54,0)),0),F450),0))</f>
        <v/>
      </c>
      <c r="H450" s="18" t="str">
        <f aca="false">IF(OR(B450="",D450=""),"",ROUND((B450+IFERROR(INDEX(Hizmetler!$B$5:$B$54,MATCH(D450,Hizmetler!$A$5:$A$54,0)),0)/1440)*1440,0)/1440)</f>
        <v/>
      </c>
      <c r="I450" s="19" t="str">
        <f aca="false">IF(OR(A450="",H450="",E450="İptal"),"",IF(COUNTIFS($A$5:$A$1004,A450,$B$5:$B$1004,"&lt;"&amp;(H450-0.0003),$H$5:$H$1004,"&gt;"&amp;(B450+0.0003),$E$5:$E$1004,"&lt;&gt;İptal")&gt;1,"Çakışıyor",""))</f>
        <v/>
      </c>
      <c r="J450" s="21" t="str">
        <f aca="false">IF(AND(A450=Gün!$C$3,B450&lt;&gt;"",E450&lt;&gt;"İptal"),B450+ROW()/100000000,"")</f>
        <v/>
      </c>
    </row>
    <row r="451" customFormat="false" ht="15" hidden="false" customHeight="false" outlineLevel="0" collapsed="false">
      <c r="A451" s="12"/>
      <c r="B451" s="13"/>
      <c r="C451" s="14"/>
      <c r="D451" s="14"/>
      <c r="E451" s="15"/>
      <c r="F451" s="16"/>
      <c r="G451" s="17" t="str">
        <f aca="false">IF(D451="","",IF(E451="Geldi",IF(F451="",IFERROR(INDEX(Hizmetler!$C$5:$C$54,MATCH(D451,Hizmetler!$A$5:$A$54,0)),0),F451),0))</f>
        <v/>
      </c>
      <c r="H451" s="18" t="str">
        <f aca="false">IF(OR(B451="",D451=""),"",ROUND((B451+IFERROR(INDEX(Hizmetler!$B$5:$B$54,MATCH(D451,Hizmetler!$A$5:$A$54,0)),0)/1440)*1440,0)/1440)</f>
        <v/>
      </c>
      <c r="I451" s="19" t="str">
        <f aca="false">IF(OR(A451="",H451="",E451="İptal"),"",IF(COUNTIFS($A$5:$A$1004,A451,$B$5:$B$1004,"&lt;"&amp;(H451-0.0003),$H$5:$H$1004,"&gt;"&amp;(B451+0.0003),$E$5:$E$1004,"&lt;&gt;İptal")&gt;1,"Çakışıyor",""))</f>
        <v/>
      </c>
      <c r="J451" s="21" t="str">
        <f aca="false">IF(AND(A451=Gün!$C$3,B451&lt;&gt;"",E451&lt;&gt;"İptal"),B451+ROW()/100000000,"")</f>
        <v/>
      </c>
    </row>
    <row r="452" customFormat="false" ht="15" hidden="false" customHeight="false" outlineLevel="0" collapsed="false">
      <c r="A452" s="12"/>
      <c r="B452" s="13"/>
      <c r="C452" s="14"/>
      <c r="D452" s="14"/>
      <c r="E452" s="15"/>
      <c r="F452" s="16"/>
      <c r="G452" s="17" t="str">
        <f aca="false">IF(D452="","",IF(E452="Geldi",IF(F452="",IFERROR(INDEX(Hizmetler!$C$5:$C$54,MATCH(D452,Hizmetler!$A$5:$A$54,0)),0),F452),0))</f>
        <v/>
      </c>
      <c r="H452" s="18" t="str">
        <f aca="false">IF(OR(B452="",D452=""),"",ROUND((B452+IFERROR(INDEX(Hizmetler!$B$5:$B$54,MATCH(D452,Hizmetler!$A$5:$A$54,0)),0)/1440)*1440,0)/1440)</f>
        <v/>
      </c>
      <c r="I452" s="19" t="str">
        <f aca="false">IF(OR(A452="",H452="",E452="İptal"),"",IF(COUNTIFS($A$5:$A$1004,A452,$B$5:$B$1004,"&lt;"&amp;(H452-0.0003),$H$5:$H$1004,"&gt;"&amp;(B452+0.0003),$E$5:$E$1004,"&lt;&gt;İptal")&gt;1,"Çakışıyor",""))</f>
        <v/>
      </c>
      <c r="J452" s="21" t="str">
        <f aca="false">IF(AND(A452=Gün!$C$3,B452&lt;&gt;"",E452&lt;&gt;"İptal"),B452+ROW()/100000000,"")</f>
        <v/>
      </c>
    </row>
    <row r="453" customFormat="false" ht="15" hidden="false" customHeight="false" outlineLevel="0" collapsed="false">
      <c r="A453" s="12"/>
      <c r="B453" s="13"/>
      <c r="C453" s="14"/>
      <c r="D453" s="14"/>
      <c r="E453" s="15"/>
      <c r="F453" s="16"/>
      <c r="G453" s="17" t="str">
        <f aca="false">IF(D453="","",IF(E453="Geldi",IF(F453="",IFERROR(INDEX(Hizmetler!$C$5:$C$54,MATCH(D453,Hizmetler!$A$5:$A$54,0)),0),F453),0))</f>
        <v/>
      </c>
      <c r="H453" s="18" t="str">
        <f aca="false">IF(OR(B453="",D453=""),"",ROUND((B453+IFERROR(INDEX(Hizmetler!$B$5:$B$54,MATCH(D453,Hizmetler!$A$5:$A$54,0)),0)/1440)*1440,0)/1440)</f>
        <v/>
      </c>
      <c r="I453" s="19" t="str">
        <f aca="false">IF(OR(A453="",H453="",E453="İptal"),"",IF(COUNTIFS($A$5:$A$1004,A453,$B$5:$B$1004,"&lt;"&amp;(H453-0.0003),$H$5:$H$1004,"&gt;"&amp;(B453+0.0003),$E$5:$E$1004,"&lt;&gt;İptal")&gt;1,"Çakışıyor",""))</f>
        <v/>
      </c>
      <c r="J453" s="21" t="str">
        <f aca="false">IF(AND(A453=Gün!$C$3,B453&lt;&gt;"",E453&lt;&gt;"İptal"),B453+ROW()/100000000,"")</f>
        <v/>
      </c>
    </row>
    <row r="454" customFormat="false" ht="15" hidden="false" customHeight="false" outlineLevel="0" collapsed="false">
      <c r="A454" s="12"/>
      <c r="B454" s="13"/>
      <c r="C454" s="14"/>
      <c r="D454" s="14"/>
      <c r="E454" s="15"/>
      <c r="F454" s="16"/>
      <c r="G454" s="17" t="str">
        <f aca="false">IF(D454="","",IF(E454="Geldi",IF(F454="",IFERROR(INDEX(Hizmetler!$C$5:$C$54,MATCH(D454,Hizmetler!$A$5:$A$54,0)),0),F454),0))</f>
        <v/>
      </c>
      <c r="H454" s="18" t="str">
        <f aca="false">IF(OR(B454="",D454=""),"",ROUND((B454+IFERROR(INDEX(Hizmetler!$B$5:$B$54,MATCH(D454,Hizmetler!$A$5:$A$54,0)),0)/1440)*1440,0)/1440)</f>
        <v/>
      </c>
      <c r="I454" s="19" t="str">
        <f aca="false">IF(OR(A454="",H454="",E454="İptal"),"",IF(COUNTIFS($A$5:$A$1004,A454,$B$5:$B$1004,"&lt;"&amp;(H454-0.0003),$H$5:$H$1004,"&gt;"&amp;(B454+0.0003),$E$5:$E$1004,"&lt;&gt;İptal")&gt;1,"Çakışıyor",""))</f>
        <v/>
      </c>
      <c r="J454" s="21" t="str">
        <f aca="false">IF(AND(A454=Gün!$C$3,B454&lt;&gt;"",E454&lt;&gt;"İptal"),B454+ROW()/100000000,"")</f>
        <v/>
      </c>
    </row>
    <row r="455" customFormat="false" ht="15" hidden="false" customHeight="false" outlineLevel="0" collapsed="false">
      <c r="A455" s="12"/>
      <c r="B455" s="13"/>
      <c r="C455" s="14"/>
      <c r="D455" s="14"/>
      <c r="E455" s="15"/>
      <c r="F455" s="16"/>
      <c r="G455" s="17" t="str">
        <f aca="false">IF(D455="","",IF(E455="Geldi",IF(F455="",IFERROR(INDEX(Hizmetler!$C$5:$C$54,MATCH(D455,Hizmetler!$A$5:$A$54,0)),0),F455),0))</f>
        <v/>
      </c>
      <c r="H455" s="18" t="str">
        <f aca="false">IF(OR(B455="",D455=""),"",ROUND((B455+IFERROR(INDEX(Hizmetler!$B$5:$B$54,MATCH(D455,Hizmetler!$A$5:$A$54,0)),0)/1440)*1440,0)/1440)</f>
        <v/>
      </c>
      <c r="I455" s="19" t="str">
        <f aca="false">IF(OR(A455="",H455="",E455="İptal"),"",IF(COUNTIFS($A$5:$A$1004,A455,$B$5:$B$1004,"&lt;"&amp;(H455-0.0003),$H$5:$H$1004,"&gt;"&amp;(B455+0.0003),$E$5:$E$1004,"&lt;&gt;İptal")&gt;1,"Çakışıyor",""))</f>
        <v/>
      </c>
      <c r="J455" s="21" t="str">
        <f aca="false">IF(AND(A455=Gün!$C$3,B455&lt;&gt;"",E455&lt;&gt;"İptal"),B455+ROW()/100000000,"")</f>
        <v/>
      </c>
    </row>
    <row r="456" customFormat="false" ht="15" hidden="false" customHeight="false" outlineLevel="0" collapsed="false">
      <c r="A456" s="12"/>
      <c r="B456" s="13"/>
      <c r="C456" s="14"/>
      <c r="D456" s="14"/>
      <c r="E456" s="15"/>
      <c r="F456" s="16"/>
      <c r="G456" s="17" t="str">
        <f aca="false">IF(D456="","",IF(E456="Geldi",IF(F456="",IFERROR(INDEX(Hizmetler!$C$5:$C$54,MATCH(D456,Hizmetler!$A$5:$A$54,0)),0),F456),0))</f>
        <v/>
      </c>
      <c r="H456" s="18" t="str">
        <f aca="false">IF(OR(B456="",D456=""),"",ROUND((B456+IFERROR(INDEX(Hizmetler!$B$5:$B$54,MATCH(D456,Hizmetler!$A$5:$A$54,0)),0)/1440)*1440,0)/1440)</f>
        <v/>
      </c>
      <c r="I456" s="19" t="str">
        <f aca="false">IF(OR(A456="",H456="",E456="İptal"),"",IF(COUNTIFS($A$5:$A$1004,A456,$B$5:$B$1004,"&lt;"&amp;(H456-0.0003),$H$5:$H$1004,"&gt;"&amp;(B456+0.0003),$E$5:$E$1004,"&lt;&gt;İptal")&gt;1,"Çakışıyor",""))</f>
        <v/>
      </c>
      <c r="J456" s="21" t="str">
        <f aca="false">IF(AND(A456=Gün!$C$3,B456&lt;&gt;"",E456&lt;&gt;"İptal"),B456+ROW()/100000000,"")</f>
        <v/>
      </c>
    </row>
    <row r="457" customFormat="false" ht="15" hidden="false" customHeight="false" outlineLevel="0" collapsed="false">
      <c r="A457" s="12"/>
      <c r="B457" s="13"/>
      <c r="C457" s="14"/>
      <c r="D457" s="14"/>
      <c r="E457" s="15"/>
      <c r="F457" s="16"/>
      <c r="G457" s="17" t="str">
        <f aca="false">IF(D457="","",IF(E457="Geldi",IF(F457="",IFERROR(INDEX(Hizmetler!$C$5:$C$54,MATCH(D457,Hizmetler!$A$5:$A$54,0)),0),F457),0))</f>
        <v/>
      </c>
      <c r="H457" s="18" t="str">
        <f aca="false">IF(OR(B457="",D457=""),"",ROUND((B457+IFERROR(INDEX(Hizmetler!$B$5:$B$54,MATCH(D457,Hizmetler!$A$5:$A$54,0)),0)/1440)*1440,0)/1440)</f>
        <v/>
      </c>
      <c r="I457" s="19" t="str">
        <f aca="false">IF(OR(A457="",H457="",E457="İptal"),"",IF(COUNTIFS($A$5:$A$1004,A457,$B$5:$B$1004,"&lt;"&amp;(H457-0.0003),$H$5:$H$1004,"&gt;"&amp;(B457+0.0003),$E$5:$E$1004,"&lt;&gt;İptal")&gt;1,"Çakışıyor",""))</f>
        <v/>
      </c>
      <c r="J457" s="21" t="str">
        <f aca="false">IF(AND(A457=Gün!$C$3,B457&lt;&gt;"",E457&lt;&gt;"İptal"),B457+ROW()/100000000,"")</f>
        <v/>
      </c>
    </row>
    <row r="458" customFormat="false" ht="15" hidden="false" customHeight="false" outlineLevel="0" collapsed="false">
      <c r="A458" s="12"/>
      <c r="B458" s="13"/>
      <c r="C458" s="14"/>
      <c r="D458" s="14"/>
      <c r="E458" s="15"/>
      <c r="F458" s="16"/>
      <c r="G458" s="17" t="str">
        <f aca="false">IF(D458="","",IF(E458="Geldi",IF(F458="",IFERROR(INDEX(Hizmetler!$C$5:$C$54,MATCH(D458,Hizmetler!$A$5:$A$54,0)),0),F458),0))</f>
        <v/>
      </c>
      <c r="H458" s="18" t="str">
        <f aca="false">IF(OR(B458="",D458=""),"",ROUND((B458+IFERROR(INDEX(Hizmetler!$B$5:$B$54,MATCH(D458,Hizmetler!$A$5:$A$54,0)),0)/1440)*1440,0)/1440)</f>
        <v/>
      </c>
      <c r="I458" s="19" t="str">
        <f aca="false">IF(OR(A458="",H458="",E458="İptal"),"",IF(COUNTIFS($A$5:$A$1004,A458,$B$5:$B$1004,"&lt;"&amp;(H458-0.0003),$H$5:$H$1004,"&gt;"&amp;(B458+0.0003),$E$5:$E$1004,"&lt;&gt;İptal")&gt;1,"Çakışıyor",""))</f>
        <v/>
      </c>
      <c r="J458" s="21" t="str">
        <f aca="false">IF(AND(A458=Gün!$C$3,B458&lt;&gt;"",E458&lt;&gt;"İptal"),B458+ROW()/100000000,"")</f>
        <v/>
      </c>
    </row>
    <row r="459" customFormat="false" ht="15" hidden="false" customHeight="false" outlineLevel="0" collapsed="false">
      <c r="A459" s="12"/>
      <c r="B459" s="13"/>
      <c r="C459" s="14"/>
      <c r="D459" s="14"/>
      <c r="E459" s="15"/>
      <c r="F459" s="16"/>
      <c r="G459" s="17" t="str">
        <f aca="false">IF(D459="","",IF(E459="Geldi",IF(F459="",IFERROR(INDEX(Hizmetler!$C$5:$C$54,MATCH(D459,Hizmetler!$A$5:$A$54,0)),0),F459),0))</f>
        <v/>
      </c>
      <c r="H459" s="18" t="str">
        <f aca="false">IF(OR(B459="",D459=""),"",ROUND((B459+IFERROR(INDEX(Hizmetler!$B$5:$B$54,MATCH(D459,Hizmetler!$A$5:$A$54,0)),0)/1440)*1440,0)/1440)</f>
        <v/>
      </c>
      <c r="I459" s="19" t="str">
        <f aca="false">IF(OR(A459="",H459="",E459="İptal"),"",IF(COUNTIFS($A$5:$A$1004,A459,$B$5:$B$1004,"&lt;"&amp;(H459-0.0003),$H$5:$H$1004,"&gt;"&amp;(B459+0.0003),$E$5:$E$1004,"&lt;&gt;İptal")&gt;1,"Çakışıyor",""))</f>
        <v/>
      </c>
      <c r="J459" s="21" t="str">
        <f aca="false">IF(AND(A459=Gün!$C$3,B459&lt;&gt;"",E459&lt;&gt;"İptal"),B459+ROW()/100000000,"")</f>
        <v/>
      </c>
    </row>
    <row r="460" customFormat="false" ht="15" hidden="false" customHeight="false" outlineLevel="0" collapsed="false">
      <c r="A460" s="12"/>
      <c r="B460" s="13"/>
      <c r="C460" s="14"/>
      <c r="D460" s="14"/>
      <c r="E460" s="15"/>
      <c r="F460" s="16"/>
      <c r="G460" s="17" t="str">
        <f aca="false">IF(D460="","",IF(E460="Geldi",IF(F460="",IFERROR(INDEX(Hizmetler!$C$5:$C$54,MATCH(D460,Hizmetler!$A$5:$A$54,0)),0),F460),0))</f>
        <v/>
      </c>
      <c r="H460" s="18" t="str">
        <f aca="false">IF(OR(B460="",D460=""),"",ROUND((B460+IFERROR(INDEX(Hizmetler!$B$5:$B$54,MATCH(D460,Hizmetler!$A$5:$A$54,0)),0)/1440)*1440,0)/1440)</f>
        <v/>
      </c>
      <c r="I460" s="19" t="str">
        <f aca="false">IF(OR(A460="",H460="",E460="İptal"),"",IF(COUNTIFS($A$5:$A$1004,A460,$B$5:$B$1004,"&lt;"&amp;(H460-0.0003),$H$5:$H$1004,"&gt;"&amp;(B460+0.0003),$E$5:$E$1004,"&lt;&gt;İptal")&gt;1,"Çakışıyor",""))</f>
        <v/>
      </c>
      <c r="J460" s="21" t="str">
        <f aca="false">IF(AND(A460=Gün!$C$3,B460&lt;&gt;"",E460&lt;&gt;"İptal"),B460+ROW()/100000000,"")</f>
        <v/>
      </c>
    </row>
    <row r="461" customFormat="false" ht="15" hidden="false" customHeight="false" outlineLevel="0" collapsed="false">
      <c r="A461" s="12"/>
      <c r="B461" s="13"/>
      <c r="C461" s="14"/>
      <c r="D461" s="14"/>
      <c r="E461" s="15"/>
      <c r="F461" s="16"/>
      <c r="G461" s="17" t="str">
        <f aca="false">IF(D461="","",IF(E461="Geldi",IF(F461="",IFERROR(INDEX(Hizmetler!$C$5:$C$54,MATCH(D461,Hizmetler!$A$5:$A$54,0)),0),F461),0))</f>
        <v/>
      </c>
      <c r="H461" s="18" t="str">
        <f aca="false">IF(OR(B461="",D461=""),"",ROUND((B461+IFERROR(INDEX(Hizmetler!$B$5:$B$54,MATCH(D461,Hizmetler!$A$5:$A$54,0)),0)/1440)*1440,0)/1440)</f>
        <v/>
      </c>
      <c r="I461" s="19" t="str">
        <f aca="false">IF(OR(A461="",H461="",E461="İptal"),"",IF(COUNTIFS($A$5:$A$1004,A461,$B$5:$B$1004,"&lt;"&amp;(H461-0.0003),$H$5:$H$1004,"&gt;"&amp;(B461+0.0003),$E$5:$E$1004,"&lt;&gt;İptal")&gt;1,"Çakışıyor",""))</f>
        <v/>
      </c>
      <c r="J461" s="21" t="str">
        <f aca="false">IF(AND(A461=Gün!$C$3,B461&lt;&gt;"",E461&lt;&gt;"İptal"),B461+ROW()/100000000,"")</f>
        <v/>
      </c>
    </row>
    <row r="462" customFormat="false" ht="15" hidden="false" customHeight="false" outlineLevel="0" collapsed="false">
      <c r="A462" s="12"/>
      <c r="B462" s="13"/>
      <c r="C462" s="14"/>
      <c r="D462" s="14"/>
      <c r="E462" s="15"/>
      <c r="F462" s="16"/>
      <c r="G462" s="17" t="str">
        <f aca="false">IF(D462="","",IF(E462="Geldi",IF(F462="",IFERROR(INDEX(Hizmetler!$C$5:$C$54,MATCH(D462,Hizmetler!$A$5:$A$54,0)),0),F462),0))</f>
        <v/>
      </c>
      <c r="H462" s="18" t="str">
        <f aca="false">IF(OR(B462="",D462=""),"",ROUND((B462+IFERROR(INDEX(Hizmetler!$B$5:$B$54,MATCH(D462,Hizmetler!$A$5:$A$54,0)),0)/1440)*1440,0)/1440)</f>
        <v/>
      </c>
      <c r="I462" s="19" t="str">
        <f aca="false">IF(OR(A462="",H462="",E462="İptal"),"",IF(COUNTIFS($A$5:$A$1004,A462,$B$5:$B$1004,"&lt;"&amp;(H462-0.0003),$H$5:$H$1004,"&gt;"&amp;(B462+0.0003),$E$5:$E$1004,"&lt;&gt;İptal")&gt;1,"Çakışıyor",""))</f>
        <v/>
      </c>
      <c r="J462" s="21" t="str">
        <f aca="false">IF(AND(A462=Gün!$C$3,B462&lt;&gt;"",E462&lt;&gt;"İptal"),B462+ROW()/100000000,"")</f>
        <v/>
      </c>
    </row>
    <row r="463" customFormat="false" ht="15" hidden="false" customHeight="false" outlineLevel="0" collapsed="false">
      <c r="A463" s="12"/>
      <c r="B463" s="13"/>
      <c r="C463" s="14"/>
      <c r="D463" s="14"/>
      <c r="E463" s="15"/>
      <c r="F463" s="16"/>
      <c r="G463" s="17" t="str">
        <f aca="false">IF(D463="","",IF(E463="Geldi",IF(F463="",IFERROR(INDEX(Hizmetler!$C$5:$C$54,MATCH(D463,Hizmetler!$A$5:$A$54,0)),0),F463),0))</f>
        <v/>
      </c>
      <c r="H463" s="18" t="str">
        <f aca="false">IF(OR(B463="",D463=""),"",ROUND((B463+IFERROR(INDEX(Hizmetler!$B$5:$B$54,MATCH(D463,Hizmetler!$A$5:$A$54,0)),0)/1440)*1440,0)/1440)</f>
        <v/>
      </c>
      <c r="I463" s="19" t="str">
        <f aca="false">IF(OR(A463="",H463="",E463="İptal"),"",IF(COUNTIFS($A$5:$A$1004,A463,$B$5:$B$1004,"&lt;"&amp;(H463-0.0003),$H$5:$H$1004,"&gt;"&amp;(B463+0.0003),$E$5:$E$1004,"&lt;&gt;İptal")&gt;1,"Çakışıyor",""))</f>
        <v/>
      </c>
      <c r="J463" s="21" t="str">
        <f aca="false">IF(AND(A463=Gün!$C$3,B463&lt;&gt;"",E463&lt;&gt;"İptal"),B463+ROW()/100000000,"")</f>
        <v/>
      </c>
    </row>
    <row r="464" customFormat="false" ht="15" hidden="false" customHeight="false" outlineLevel="0" collapsed="false">
      <c r="A464" s="12"/>
      <c r="B464" s="13"/>
      <c r="C464" s="14"/>
      <c r="D464" s="14"/>
      <c r="E464" s="15"/>
      <c r="F464" s="16"/>
      <c r="G464" s="17" t="str">
        <f aca="false">IF(D464="","",IF(E464="Geldi",IF(F464="",IFERROR(INDEX(Hizmetler!$C$5:$C$54,MATCH(D464,Hizmetler!$A$5:$A$54,0)),0),F464),0))</f>
        <v/>
      </c>
      <c r="H464" s="18" t="str">
        <f aca="false">IF(OR(B464="",D464=""),"",ROUND((B464+IFERROR(INDEX(Hizmetler!$B$5:$B$54,MATCH(D464,Hizmetler!$A$5:$A$54,0)),0)/1440)*1440,0)/1440)</f>
        <v/>
      </c>
      <c r="I464" s="19" t="str">
        <f aca="false">IF(OR(A464="",H464="",E464="İptal"),"",IF(COUNTIFS($A$5:$A$1004,A464,$B$5:$B$1004,"&lt;"&amp;(H464-0.0003),$H$5:$H$1004,"&gt;"&amp;(B464+0.0003),$E$5:$E$1004,"&lt;&gt;İptal")&gt;1,"Çakışıyor",""))</f>
        <v/>
      </c>
      <c r="J464" s="21" t="str">
        <f aca="false">IF(AND(A464=Gün!$C$3,B464&lt;&gt;"",E464&lt;&gt;"İptal"),B464+ROW()/100000000,"")</f>
        <v/>
      </c>
    </row>
    <row r="465" customFormat="false" ht="15" hidden="false" customHeight="false" outlineLevel="0" collapsed="false">
      <c r="A465" s="12"/>
      <c r="B465" s="13"/>
      <c r="C465" s="14"/>
      <c r="D465" s="14"/>
      <c r="E465" s="15"/>
      <c r="F465" s="16"/>
      <c r="G465" s="17" t="str">
        <f aca="false">IF(D465="","",IF(E465="Geldi",IF(F465="",IFERROR(INDEX(Hizmetler!$C$5:$C$54,MATCH(D465,Hizmetler!$A$5:$A$54,0)),0),F465),0))</f>
        <v/>
      </c>
      <c r="H465" s="18" t="str">
        <f aca="false">IF(OR(B465="",D465=""),"",ROUND((B465+IFERROR(INDEX(Hizmetler!$B$5:$B$54,MATCH(D465,Hizmetler!$A$5:$A$54,0)),0)/1440)*1440,0)/1440)</f>
        <v/>
      </c>
      <c r="I465" s="19" t="str">
        <f aca="false">IF(OR(A465="",H465="",E465="İptal"),"",IF(COUNTIFS($A$5:$A$1004,A465,$B$5:$B$1004,"&lt;"&amp;(H465-0.0003),$H$5:$H$1004,"&gt;"&amp;(B465+0.0003),$E$5:$E$1004,"&lt;&gt;İptal")&gt;1,"Çakışıyor",""))</f>
        <v/>
      </c>
      <c r="J465" s="21" t="str">
        <f aca="false">IF(AND(A465=Gün!$C$3,B465&lt;&gt;"",E465&lt;&gt;"İptal"),B465+ROW()/100000000,"")</f>
        <v/>
      </c>
    </row>
    <row r="466" customFormat="false" ht="15" hidden="false" customHeight="false" outlineLevel="0" collapsed="false">
      <c r="A466" s="12"/>
      <c r="B466" s="13"/>
      <c r="C466" s="14"/>
      <c r="D466" s="14"/>
      <c r="E466" s="15"/>
      <c r="F466" s="16"/>
      <c r="G466" s="17" t="str">
        <f aca="false">IF(D466="","",IF(E466="Geldi",IF(F466="",IFERROR(INDEX(Hizmetler!$C$5:$C$54,MATCH(D466,Hizmetler!$A$5:$A$54,0)),0),F466),0))</f>
        <v/>
      </c>
      <c r="H466" s="18" t="str">
        <f aca="false">IF(OR(B466="",D466=""),"",ROUND((B466+IFERROR(INDEX(Hizmetler!$B$5:$B$54,MATCH(D466,Hizmetler!$A$5:$A$54,0)),0)/1440)*1440,0)/1440)</f>
        <v/>
      </c>
      <c r="I466" s="19" t="str">
        <f aca="false">IF(OR(A466="",H466="",E466="İptal"),"",IF(COUNTIFS($A$5:$A$1004,A466,$B$5:$B$1004,"&lt;"&amp;(H466-0.0003),$H$5:$H$1004,"&gt;"&amp;(B466+0.0003),$E$5:$E$1004,"&lt;&gt;İptal")&gt;1,"Çakışıyor",""))</f>
        <v/>
      </c>
      <c r="J466" s="21" t="str">
        <f aca="false">IF(AND(A466=Gün!$C$3,B466&lt;&gt;"",E466&lt;&gt;"İptal"),B466+ROW()/100000000,"")</f>
        <v/>
      </c>
    </row>
    <row r="467" customFormat="false" ht="15" hidden="false" customHeight="false" outlineLevel="0" collapsed="false">
      <c r="A467" s="12"/>
      <c r="B467" s="13"/>
      <c r="C467" s="14"/>
      <c r="D467" s="14"/>
      <c r="E467" s="15"/>
      <c r="F467" s="16"/>
      <c r="G467" s="17" t="str">
        <f aca="false">IF(D467="","",IF(E467="Geldi",IF(F467="",IFERROR(INDEX(Hizmetler!$C$5:$C$54,MATCH(D467,Hizmetler!$A$5:$A$54,0)),0),F467),0))</f>
        <v/>
      </c>
      <c r="H467" s="18" t="str">
        <f aca="false">IF(OR(B467="",D467=""),"",ROUND((B467+IFERROR(INDEX(Hizmetler!$B$5:$B$54,MATCH(D467,Hizmetler!$A$5:$A$54,0)),0)/1440)*1440,0)/1440)</f>
        <v/>
      </c>
      <c r="I467" s="19" t="str">
        <f aca="false">IF(OR(A467="",H467="",E467="İptal"),"",IF(COUNTIFS($A$5:$A$1004,A467,$B$5:$B$1004,"&lt;"&amp;(H467-0.0003),$H$5:$H$1004,"&gt;"&amp;(B467+0.0003),$E$5:$E$1004,"&lt;&gt;İptal")&gt;1,"Çakışıyor",""))</f>
        <v/>
      </c>
      <c r="J467" s="21" t="str">
        <f aca="false">IF(AND(A467=Gün!$C$3,B467&lt;&gt;"",E467&lt;&gt;"İptal"),B467+ROW()/100000000,"")</f>
        <v/>
      </c>
    </row>
    <row r="468" customFormat="false" ht="15" hidden="false" customHeight="false" outlineLevel="0" collapsed="false">
      <c r="A468" s="12"/>
      <c r="B468" s="13"/>
      <c r="C468" s="14"/>
      <c r="D468" s="14"/>
      <c r="E468" s="15"/>
      <c r="F468" s="16"/>
      <c r="G468" s="17" t="str">
        <f aca="false">IF(D468="","",IF(E468="Geldi",IF(F468="",IFERROR(INDEX(Hizmetler!$C$5:$C$54,MATCH(D468,Hizmetler!$A$5:$A$54,0)),0),F468),0))</f>
        <v/>
      </c>
      <c r="H468" s="18" t="str">
        <f aca="false">IF(OR(B468="",D468=""),"",ROUND((B468+IFERROR(INDEX(Hizmetler!$B$5:$B$54,MATCH(D468,Hizmetler!$A$5:$A$54,0)),0)/1440)*1440,0)/1440)</f>
        <v/>
      </c>
      <c r="I468" s="19" t="str">
        <f aca="false">IF(OR(A468="",H468="",E468="İptal"),"",IF(COUNTIFS($A$5:$A$1004,A468,$B$5:$B$1004,"&lt;"&amp;(H468-0.0003),$H$5:$H$1004,"&gt;"&amp;(B468+0.0003),$E$5:$E$1004,"&lt;&gt;İptal")&gt;1,"Çakışıyor",""))</f>
        <v/>
      </c>
      <c r="J468" s="21" t="str">
        <f aca="false">IF(AND(A468=Gün!$C$3,B468&lt;&gt;"",E468&lt;&gt;"İptal"),B468+ROW()/100000000,"")</f>
        <v/>
      </c>
    </row>
    <row r="469" customFormat="false" ht="15" hidden="false" customHeight="false" outlineLevel="0" collapsed="false">
      <c r="A469" s="12"/>
      <c r="B469" s="13"/>
      <c r="C469" s="14"/>
      <c r="D469" s="14"/>
      <c r="E469" s="15"/>
      <c r="F469" s="16"/>
      <c r="G469" s="17" t="str">
        <f aca="false">IF(D469="","",IF(E469="Geldi",IF(F469="",IFERROR(INDEX(Hizmetler!$C$5:$C$54,MATCH(D469,Hizmetler!$A$5:$A$54,0)),0),F469),0))</f>
        <v/>
      </c>
      <c r="H469" s="18" t="str">
        <f aca="false">IF(OR(B469="",D469=""),"",ROUND((B469+IFERROR(INDEX(Hizmetler!$B$5:$B$54,MATCH(D469,Hizmetler!$A$5:$A$54,0)),0)/1440)*1440,0)/1440)</f>
        <v/>
      </c>
      <c r="I469" s="19" t="str">
        <f aca="false">IF(OR(A469="",H469="",E469="İptal"),"",IF(COUNTIFS($A$5:$A$1004,A469,$B$5:$B$1004,"&lt;"&amp;(H469-0.0003),$H$5:$H$1004,"&gt;"&amp;(B469+0.0003),$E$5:$E$1004,"&lt;&gt;İptal")&gt;1,"Çakışıyor",""))</f>
        <v/>
      </c>
      <c r="J469" s="21" t="str">
        <f aca="false">IF(AND(A469=Gün!$C$3,B469&lt;&gt;"",E469&lt;&gt;"İptal"),B469+ROW()/100000000,"")</f>
        <v/>
      </c>
    </row>
    <row r="470" customFormat="false" ht="15" hidden="false" customHeight="false" outlineLevel="0" collapsed="false">
      <c r="A470" s="12"/>
      <c r="B470" s="13"/>
      <c r="C470" s="14"/>
      <c r="D470" s="14"/>
      <c r="E470" s="15"/>
      <c r="F470" s="16"/>
      <c r="G470" s="17" t="str">
        <f aca="false">IF(D470="","",IF(E470="Geldi",IF(F470="",IFERROR(INDEX(Hizmetler!$C$5:$C$54,MATCH(D470,Hizmetler!$A$5:$A$54,0)),0),F470),0))</f>
        <v/>
      </c>
      <c r="H470" s="18" t="str">
        <f aca="false">IF(OR(B470="",D470=""),"",ROUND((B470+IFERROR(INDEX(Hizmetler!$B$5:$B$54,MATCH(D470,Hizmetler!$A$5:$A$54,0)),0)/1440)*1440,0)/1440)</f>
        <v/>
      </c>
      <c r="I470" s="19" t="str">
        <f aca="false">IF(OR(A470="",H470="",E470="İptal"),"",IF(COUNTIFS($A$5:$A$1004,A470,$B$5:$B$1004,"&lt;"&amp;(H470-0.0003),$H$5:$H$1004,"&gt;"&amp;(B470+0.0003),$E$5:$E$1004,"&lt;&gt;İptal")&gt;1,"Çakışıyor",""))</f>
        <v/>
      </c>
      <c r="J470" s="21" t="str">
        <f aca="false">IF(AND(A470=Gün!$C$3,B470&lt;&gt;"",E470&lt;&gt;"İptal"),B470+ROW()/100000000,"")</f>
        <v/>
      </c>
    </row>
    <row r="471" customFormat="false" ht="15" hidden="false" customHeight="false" outlineLevel="0" collapsed="false">
      <c r="A471" s="12"/>
      <c r="B471" s="13"/>
      <c r="C471" s="14"/>
      <c r="D471" s="14"/>
      <c r="E471" s="15"/>
      <c r="F471" s="16"/>
      <c r="G471" s="17" t="str">
        <f aca="false">IF(D471="","",IF(E471="Geldi",IF(F471="",IFERROR(INDEX(Hizmetler!$C$5:$C$54,MATCH(D471,Hizmetler!$A$5:$A$54,0)),0),F471),0))</f>
        <v/>
      </c>
      <c r="H471" s="18" t="str">
        <f aca="false">IF(OR(B471="",D471=""),"",ROUND((B471+IFERROR(INDEX(Hizmetler!$B$5:$B$54,MATCH(D471,Hizmetler!$A$5:$A$54,0)),0)/1440)*1440,0)/1440)</f>
        <v/>
      </c>
      <c r="I471" s="19" t="str">
        <f aca="false">IF(OR(A471="",H471="",E471="İptal"),"",IF(COUNTIFS($A$5:$A$1004,A471,$B$5:$B$1004,"&lt;"&amp;(H471-0.0003),$H$5:$H$1004,"&gt;"&amp;(B471+0.0003),$E$5:$E$1004,"&lt;&gt;İptal")&gt;1,"Çakışıyor",""))</f>
        <v/>
      </c>
      <c r="J471" s="21" t="str">
        <f aca="false">IF(AND(A471=Gün!$C$3,B471&lt;&gt;"",E471&lt;&gt;"İptal"),B471+ROW()/100000000,"")</f>
        <v/>
      </c>
    </row>
    <row r="472" customFormat="false" ht="15" hidden="false" customHeight="false" outlineLevel="0" collapsed="false">
      <c r="A472" s="12"/>
      <c r="B472" s="13"/>
      <c r="C472" s="14"/>
      <c r="D472" s="14"/>
      <c r="E472" s="15"/>
      <c r="F472" s="16"/>
      <c r="G472" s="17" t="str">
        <f aca="false">IF(D472="","",IF(E472="Geldi",IF(F472="",IFERROR(INDEX(Hizmetler!$C$5:$C$54,MATCH(D472,Hizmetler!$A$5:$A$54,0)),0),F472),0))</f>
        <v/>
      </c>
      <c r="H472" s="18" t="str">
        <f aca="false">IF(OR(B472="",D472=""),"",ROUND((B472+IFERROR(INDEX(Hizmetler!$B$5:$B$54,MATCH(D472,Hizmetler!$A$5:$A$54,0)),0)/1440)*1440,0)/1440)</f>
        <v/>
      </c>
      <c r="I472" s="19" t="str">
        <f aca="false">IF(OR(A472="",H472="",E472="İptal"),"",IF(COUNTIFS($A$5:$A$1004,A472,$B$5:$B$1004,"&lt;"&amp;(H472-0.0003),$H$5:$H$1004,"&gt;"&amp;(B472+0.0003),$E$5:$E$1004,"&lt;&gt;İptal")&gt;1,"Çakışıyor",""))</f>
        <v/>
      </c>
      <c r="J472" s="21" t="str">
        <f aca="false">IF(AND(A472=Gün!$C$3,B472&lt;&gt;"",E472&lt;&gt;"İptal"),B472+ROW()/100000000,"")</f>
        <v/>
      </c>
    </row>
    <row r="473" customFormat="false" ht="15" hidden="false" customHeight="false" outlineLevel="0" collapsed="false">
      <c r="A473" s="12"/>
      <c r="B473" s="13"/>
      <c r="C473" s="14"/>
      <c r="D473" s="14"/>
      <c r="E473" s="15"/>
      <c r="F473" s="16"/>
      <c r="G473" s="17" t="str">
        <f aca="false">IF(D473="","",IF(E473="Geldi",IF(F473="",IFERROR(INDEX(Hizmetler!$C$5:$C$54,MATCH(D473,Hizmetler!$A$5:$A$54,0)),0),F473),0))</f>
        <v/>
      </c>
      <c r="H473" s="18" t="str">
        <f aca="false">IF(OR(B473="",D473=""),"",ROUND((B473+IFERROR(INDEX(Hizmetler!$B$5:$B$54,MATCH(D473,Hizmetler!$A$5:$A$54,0)),0)/1440)*1440,0)/1440)</f>
        <v/>
      </c>
      <c r="I473" s="19" t="str">
        <f aca="false">IF(OR(A473="",H473="",E473="İptal"),"",IF(COUNTIFS($A$5:$A$1004,A473,$B$5:$B$1004,"&lt;"&amp;(H473-0.0003),$H$5:$H$1004,"&gt;"&amp;(B473+0.0003),$E$5:$E$1004,"&lt;&gt;İptal")&gt;1,"Çakışıyor",""))</f>
        <v/>
      </c>
      <c r="J473" s="21" t="str">
        <f aca="false">IF(AND(A473=Gün!$C$3,B473&lt;&gt;"",E473&lt;&gt;"İptal"),B473+ROW()/100000000,"")</f>
        <v/>
      </c>
    </row>
    <row r="474" customFormat="false" ht="15" hidden="false" customHeight="false" outlineLevel="0" collapsed="false">
      <c r="A474" s="12"/>
      <c r="B474" s="13"/>
      <c r="C474" s="14"/>
      <c r="D474" s="14"/>
      <c r="E474" s="15"/>
      <c r="F474" s="16"/>
      <c r="G474" s="17" t="str">
        <f aca="false">IF(D474="","",IF(E474="Geldi",IF(F474="",IFERROR(INDEX(Hizmetler!$C$5:$C$54,MATCH(D474,Hizmetler!$A$5:$A$54,0)),0),F474),0))</f>
        <v/>
      </c>
      <c r="H474" s="18" t="str">
        <f aca="false">IF(OR(B474="",D474=""),"",ROUND((B474+IFERROR(INDEX(Hizmetler!$B$5:$B$54,MATCH(D474,Hizmetler!$A$5:$A$54,0)),0)/1440)*1440,0)/1440)</f>
        <v/>
      </c>
      <c r="I474" s="19" t="str">
        <f aca="false">IF(OR(A474="",H474="",E474="İptal"),"",IF(COUNTIFS($A$5:$A$1004,A474,$B$5:$B$1004,"&lt;"&amp;(H474-0.0003),$H$5:$H$1004,"&gt;"&amp;(B474+0.0003),$E$5:$E$1004,"&lt;&gt;İptal")&gt;1,"Çakışıyor",""))</f>
        <v/>
      </c>
      <c r="J474" s="21" t="str">
        <f aca="false">IF(AND(A474=Gün!$C$3,B474&lt;&gt;"",E474&lt;&gt;"İptal"),B474+ROW()/100000000,"")</f>
        <v/>
      </c>
    </row>
    <row r="475" customFormat="false" ht="15" hidden="false" customHeight="false" outlineLevel="0" collapsed="false">
      <c r="A475" s="12"/>
      <c r="B475" s="13"/>
      <c r="C475" s="14"/>
      <c r="D475" s="14"/>
      <c r="E475" s="15"/>
      <c r="F475" s="16"/>
      <c r="G475" s="17" t="str">
        <f aca="false">IF(D475="","",IF(E475="Geldi",IF(F475="",IFERROR(INDEX(Hizmetler!$C$5:$C$54,MATCH(D475,Hizmetler!$A$5:$A$54,0)),0),F475),0))</f>
        <v/>
      </c>
      <c r="H475" s="18" t="str">
        <f aca="false">IF(OR(B475="",D475=""),"",ROUND((B475+IFERROR(INDEX(Hizmetler!$B$5:$B$54,MATCH(D475,Hizmetler!$A$5:$A$54,0)),0)/1440)*1440,0)/1440)</f>
        <v/>
      </c>
      <c r="I475" s="19" t="str">
        <f aca="false">IF(OR(A475="",H475="",E475="İptal"),"",IF(COUNTIFS($A$5:$A$1004,A475,$B$5:$B$1004,"&lt;"&amp;(H475-0.0003),$H$5:$H$1004,"&gt;"&amp;(B475+0.0003),$E$5:$E$1004,"&lt;&gt;İptal")&gt;1,"Çakışıyor",""))</f>
        <v/>
      </c>
      <c r="J475" s="21" t="str">
        <f aca="false">IF(AND(A475=Gün!$C$3,B475&lt;&gt;"",E475&lt;&gt;"İptal"),B475+ROW()/100000000,"")</f>
        <v/>
      </c>
    </row>
    <row r="476" customFormat="false" ht="15" hidden="false" customHeight="false" outlineLevel="0" collapsed="false">
      <c r="A476" s="12"/>
      <c r="B476" s="13"/>
      <c r="C476" s="14"/>
      <c r="D476" s="14"/>
      <c r="E476" s="15"/>
      <c r="F476" s="16"/>
      <c r="G476" s="17" t="str">
        <f aca="false">IF(D476="","",IF(E476="Geldi",IF(F476="",IFERROR(INDEX(Hizmetler!$C$5:$C$54,MATCH(D476,Hizmetler!$A$5:$A$54,0)),0),F476),0))</f>
        <v/>
      </c>
      <c r="H476" s="18" t="str">
        <f aca="false">IF(OR(B476="",D476=""),"",ROUND((B476+IFERROR(INDEX(Hizmetler!$B$5:$B$54,MATCH(D476,Hizmetler!$A$5:$A$54,0)),0)/1440)*1440,0)/1440)</f>
        <v/>
      </c>
      <c r="I476" s="19" t="str">
        <f aca="false">IF(OR(A476="",H476="",E476="İptal"),"",IF(COUNTIFS($A$5:$A$1004,A476,$B$5:$B$1004,"&lt;"&amp;(H476-0.0003),$H$5:$H$1004,"&gt;"&amp;(B476+0.0003),$E$5:$E$1004,"&lt;&gt;İptal")&gt;1,"Çakışıyor",""))</f>
        <v/>
      </c>
      <c r="J476" s="21" t="str">
        <f aca="false">IF(AND(A476=Gün!$C$3,B476&lt;&gt;"",E476&lt;&gt;"İptal"),B476+ROW()/100000000,"")</f>
        <v/>
      </c>
    </row>
    <row r="477" customFormat="false" ht="15" hidden="false" customHeight="false" outlineLevel="0" collapsed="false">
      <c r="A477" s="12"/>
      <c r="B477" s="13"/>
      <c r="C477" s="14"/>
      <c r="D477" s="14"/>
      <c r="E477" s="15"/>
      <c r="F477" s="16"/>
      <c r="G477" s="17" t="str">
        <f aca="false">IF(D477="","",IF(E477="Geldi",IF(F477="",IFERROR(INDEX(Hizmetler!$C$5:$C$54,MATCH(D477,Hizmetler!$A$5:$A$54,0)),0),F477),0))</f>
        <v/>
      </c>
      <c r="H477" s="18" t="str">
        <f aca="false">IF(OR(B477="",D477=""),"",ROUND((B477+IFERROR(INDEX(Hizmetler!$B$5:$B$54,MATCH(D477,Hizmetler!$A$5:$A$54,0)),0)/1440)*1440,0)/1440)</f>
        <v/>
      </c>
      <c r="I477" s="19" t="str">
        <f aca="false">IF(OR(A477="",H477="",E477="İptal"),"",IF(COUNTIFS($A$5:$A$1004,A477,$B$5:$B$1004,"&lt;"&amp;(H477-0.0003),$H$5:$H$1004,"&gt;"&amp;(B477+0.0003),$E$5:$E$1004,"&lt;&gt;İptal")&gt;1,"Çakışıyor",""))</f>
        <v/>
      </c>
      <c r="J477" s="21" t="str">
        <f aca="false">IF(AND(A477=Gün!$C$3,B477&lt;&gt;"",E477&lt;&gt;"İptal"),B477+ROW()/100000000,"")</f>
        <v/>
      </c>
    </row>
    <row r="478" customFormat="false" ht="15" hidden="false" customHeight="false" outlineLevel="0" collapsed="false">
      <c r="A478" s="12"/>
      <c r="B478" s="13"/>
      <c r="C478" s="14"/>
      <c r="D478" s="14"/>
      <c r="E478" s="15"/>
      <c r="F478" s="16"/>
      <c r="G478" s="17" t="str">
        <f aca="false">IF(D478="","",IF(E478="Geldi",IF(F478="",IFERROR(INDEX(Hizmetler!$C$5:$C$54,MATCH(D478,Hizmetler!$A$5:$A$54,0)),0),F478),0))</f>
        <v/>
      </c>
      <c r="H478" s="18" t="str">
        <f aca="false">IF(OR(B478="",D478=""),"",ROUND((B478+IFERROR(INDEX(Hizmetler!$B$5:$B$54,MATCH(D478,Hizmetler!$A$5:$A$54,0)),0)/1440)*1440,0)/1440)</f>
        <v/>
      </c>
      <c r="I478" s="19" t="str">
        <f aca="false">IF(OR(A478="",H478="",E478="İptal"),"",IF(COUNTIFS($A$5:$A$1004,A478,$B$5:$B$1004,"&lt;"&amp;(H478-0.0003),$H$5:$H$1004,"&gt;"&amp;(B478+0.0003),$E$5:$E$1004,"&lt;&gt;İptal")&gt;1,"Çakışıyor",""))</f>
        <v/>
      </c>
      <c r="J478" s="21" t="str">
        <f aca="false">IF(AND(A478=Gün!$C$3,B478&lt;&gt;"",E478&lt;&gt;"İptal"),B478+ROW()/100000000,"")</f>
        <v/>
      </c>
    </row>
    <row r="479" customFormat="false" ht="15" hidden="false" customHeight="false" outlineLevel="0" collapsed="false">
      <c r="A479" s="12"/>
      <c r="B479" s="13"/>
      <c r="C479" s="14"/>
      <c r="D479" s="14"/>
      <c r="E479" s="15"/>
      <c r="F479" s="16"/>
      <c r="G479" s="17" t="str">
        <f aca="false">IF(D479="","",IF(E479="Geldi",IF(F479="",IFERROR(INDEX(Hizmetler!$C$5:$C$54,MATCH(D479,Hizmetler!$A$5:$A$54,0)),0),F479),0))</f>
        <v/>
      </c>
      <c r="H479" s="18" t="str">
        <f aca="false">IF(OR(B479="",D479=""),"",ROUND((B479+IFERROR(INDEX(Hizmetler!$B$5:$B$54,MATCH(D479,Hizmetler!$A$5:$A$54,0)),0)/1440)*1440,0)/1440)</f>
        <v/>
      </c>
      <c r="I479" s="19" t="str">
        <f aca="false">IF(OR(A479="",H479="",E479="İptal"),"",IF(COUNTIFS($A$5:$A$1004,A479,$B$5:$B$1004,"&lt;"&amp;(H479-0.0003),$H$5:$H$1004,"&gt;"&amp;(B479+0.0003),$E$5:$E$1004,"&lt;&gt;İptal")&gt;1,"Çakışıyor",""))</f>
        <v/>
      </c>
      <c r="J479" s="21" t="str">
        <f aca="false">IF(AND(A479=Gün!$C$3,B479&lt;&gt;"",E479&lt;&gt;"İptal"),B479+ROW()/100000000,"")</f>
        <v/>
      </c>
    </row>
    <row r="480" customFormat="false" ht="15" hidden="false" customHeight="false" outlineLevel="0" collapsed="false">
      <c r="A480" s="12"/>
      <c r="B480" s="13"/>
      <c r="C480" s="14"/>
      <c r="D480" s="14"/>
      <c r="E480" s="15"/>
      <c r="F480" s="16"/>
      <c r="G480" s="17" t="str">
        <f aca="false">IF(D480="","",IF(E480="Geldi",IF(F480="",IFERROR(INDEX(Hizmetler!$C$5:$C$54,MATCH(D480,Hizmetler!$A$5:$A$54,0)),0),F480),0))</f>
        <v/>
      </c>
      <c r="H480" s="18" t="str">
        <f aca="false">IF(OR(B480="",D480=""),"",ROUND((B480+IFERROR(INDEX(Hizmetler!$B$5:$B$54,MATCH(D480,Hizmetler!$A$5:$A$54,0)),0)/1440)*1440,0)/1440)</f>
        <v/>
      </c>
      <c r="I480" s="19" t="str">
        <f aca="false">IF(OR(A480="",H480="",E480="İptal"),"",IF(COUNTIFS($A$5:$A$1004,A480,$B$5:$B$1004,"&lt;"&amp;(H480-0.0003),$H$5:$H$1004,"&gt;"&amp;(B480+0.0003),$E$5:$E$1004,"&lt;&gt;İptal")&gt;1,"Çakışıyor",""))</f>
        <v/>
      </c>
      <c r="J480" s="21" t="str">
        <f aca="false">IF(AND(A480=Gün!$C$3,B480&lt;&gt;"",E480&lt;&gt;"İptal"),B480+ROW()/100000000,"")</f>
        <v/>
      </c>
    </row>
    <row r="481" customFormat="false" ht="15" hidden="false" customHeight="false" outlineLevel="0" collapsed="false">
      <c r="A481" s="12"/>
      <c r="B481" s="13"/>
      <c r="C481" s="14"/>
      <c r="D481" s="14"/>
      <c r="E481" s="15"/>
      <c r="F481" s="16"/>
      <c r="G481" s="17" t="str">
        <f aca="false">IF(D481="","",IF(E481="Geldi",IF(F481="",IFERROR(INDEX(Hizmetler!$C$5:$C$54,MATCH(D481,Hizmetler!$A$5:$A$54,0)),0),F481),0))</f>
        <v/>
      </c>
      <c r="H481" s="18" t="str">
        <f aca="false">IF(OR(B481="",D481=""),"",ROUND((B481+IFERROR(INDEX(Hizmetler!$B$5:$B$54,MATCH(D481,Hizmetler!$A$5:$A$54,0)),0)/1440)*1440,0)/1440)</f>
        <v/>
      </c>
      <c r="I481" s="19" t="str">
        <f aca="false">IF(OR(A481="",H481="",E481="İptal"),"",IF(COUNTIFS($A$5:$A$1004,A481,$B$5:$B$1004,"&lt;"&amp;(H481-0.0003),$H$5:$H$1004,"&gt;"&amp;(B481+0.0003),$E$5:$E$1004,"&lt;&gt;İptal")&gt;1,"Çakışıyor",""))</f>
        <v/>
      </c>
      <c r="J481" s="21" t="str">
        <f aca="false">IF(AND(A481=Gün!$C$3,B481&lt;&gt;"",E481&lt;&gt;"İptal"),B481+ROW()/100000000,"")</f>
        <v/>
      </c>
    </row>
    <row r="482" customFormat="false" ht="15" hidden="false" customHeight="false" outlineLevel="0" collapsed="false">
      <c r="A482" s="12"/>
      <c r="B482" s="13"/>
      <c r="C482" s="14"/>
      <c r="D482" s="14"/>
      <c r="E482" s="15"/>
      <c r="F482" s="16"/>
      <c r="G482" s="17" t="str">
        <f aca="false">IF(D482="","",IF(E482="Geldi",IF(F482="",IFERROR(INDEX(Hizmetler!$C$5:$C$54,MATCH(D482,Hizmetler!$A$5:$A$54,0)),0),F482),0))</f>
        <v/>
      </c>
      <c r="H482" s="18" t="str">
        <f aca="false">IF(OR(B482="",D482=""),"",ROUND((B482+IFERROR(INDEX(Hizmetler!$B$5:$B$54,MATCH(D482,Hizmetler!$A$5:$A$54,0)),0)/1440)*1440,0)/1440)</f>
        <v/>
      </c>
      <c r="I482" s="19" t="str">
        <f aca="false">IF(OR(A482="",H482="",E482="İptal"),"",IF(COUNTIFS($A$5:$A$1004,A482,$B$5:$B$1004,"&lt;"&amp;(H482-0.0003),$H$5:$H$1004,"&gt;"&amp;(B482+0.0003),$E$5:$E$1004,"&lt;&gt;İptal")&gt;1,"Çakışıyor",""))</f>
        <v/>
      </c>
      <c r="J482" s="21" t="str">
        <f aca="false">IF(AND(A482=Gün!$C$3,B482&lt;&gt;"",E482&lt;&gt;"İptal"),B482+ROW()/100000000,"")</f>
        <v/>
      </c>
    </row>
    <row r="483" customFormat="false" ht="15" hidden="false" customHeight="false" outlineLevel="0" collapsed="false">
      <c r="A483" s="12"/>
      <c r="B483" s="13"/>
      <c r="C483" s="14"/>
      <c r="D483" s="14"/>
      <c r="E483" s="15"/>
      <c r="F483" s="16"/>
      <c r="G483" s="17" t="str">
        <f aca="false">IF(D483="","",IF(E483="Geldi",IF(F483="",IFERROR(INDEX(Hizmetler!$C$5:$C$54,MATCH(D483,Hizmetler!$A$5:$A$54,0)),0),F483),0))</f>
        <v/>
      </c>
      <c r="H483" s="18" t="str">
        <f aca="false">IF(OR(B483="",D483=""),"",ROUND((B483+IFERROR(INDEX(Hizmetler!$B$5:$B$54,MATCH(D483,Hizmetler!$A$5:$A$54,0)),0)/1440)*1440,0)/1440)</f>
        <v/>
      </c>
      <c r="I483" s="19" t="str">
        <f aca="false">IF(OR(A483="",H483="",E483="İptal"),"",IF(COUNTIFS($A$5:$A$1004,A483,$B$5:$B$1004,"&lt;"&amp;(H483-0.0003),$H$5:$H$1004,"&gt;"&amp;(B483+0.0003),$E$5:$E$1004,"&lt;&gt;İptal")&gt;1,"Çakışıyor",""))</f>
        <v/>
      </c>
      <c r="J483" s="21" t="str">
        <f aca="false">IF(AND(A483=Gün!$C$3,B483&lt;&gt;"",E483&lt;&gt;"İptal"),B483+ROW()/100000000,"")</f>
        <v/>
      </c>
    </row>
    <row r="484" customFormat="false" ht="15" hidden="false" customHeight="false" outlineLevel="0" collapsed="false">
      <c r="A484" s="12"/>
      <c r="B484" s="13"/>
      <c r="C484" s="14"/>
      <c r="D484" s="14"/>
      <c r="E484" s="15"/>
      <c r="F484" s="16"/>
      <c r="G484" s="17" t="str">
        <f aca="false">IF(D484="","",IF(E484="Geldi",IF(F484="",IFERROR(INDEX(Hizmetler!$C$5:$C$54,MATCH(D484,Hizmetler!$A$5:$A$54,0)),0),F484),0))</f>
        <v/>
      </c>
      <c r="H484" s="18" t="str">
        <f aca="false">IF(OR(B484="",D484=""),"",ROUND((B484+IFERROR(INDEX(Hizmetler!$B$5:$B$54,MATCH(D484,Hizmetler!$A$5:$A$54,0)),0)/1440)*1440,0)/1440)</f>
        <v/>
      </c>
      <c r="I484" s="19" t="str">
        <f aca="false">IF(OR(A484="",H484="",E484="İptal"),"",IF(COUNTIFS($A$5:$A$1004,A484,$B$5:$B$1004,"&lt;"&amp;(H484-0.0003),$H$5:$H$1004,"&gt;"&amp;(B484+0.0003),$E$5:$E$1004,"&lt;&gt;İptal")&gt;1,"Çakışıyor",""))</f>
        <v/>
      </c>
      <c r="J484" s="21" t="str">
        <f aca="false">IF(AND(A484=Gün!$C$3,B484&lt;&gt;"",E484&lt;&gt;"İptal"),B484+ROW()/100000000,"")</f>
        <v/>
      </c>
    </row>
    <row r="485" customFormat="false" ht="15" hidden="false" customHeight="false" outlineLevel="0" collapsed="false">
      <c r="A485" s="12"/>
      <c r="B485" s="13"/>
      <c r="C485" s="14"/>
      <c r="D485" s="14"/>
      <c r="E485" s="15"/>
      <c r="F485" s="16"/>
      <c r="G485" s="17" t="str">
        <f aca="false">IF(D485="","",IF(E485="Geldi",IF(F485="",IFERROR(INDEX(Hizmetler!$C$5:$C$54,MATCH(D485,Hizmetler!$A$5:$A$54,0)),0),F485),0))</f>
        <v/>
      </c>
      <c r="H485" s="18" t="str">
        <f aca="false">IF(OR(B485="",D485=""),"",ROUND((B485+IFERROR(INDEX(Hizmetler!$B$5:$B$54,MATCH(D485,Hizmetler!$A$5:$A$54,0)),0)/1440)*1440,0)/1440)</f>
        <v/>
      </c>
      <c r="I485" s="19" t="str">
        <f aca="false">IF(OR(A485="",H485="",E485="İptal"),"",IF(COUNTIFS($A$5:$A$1004,A485,$B$5:$B$1004,"&lt;"&amp;(H485-0.0003),$H$5:$H$1004,"&gt;"&amp;(B485+0.0003),$E$5:$E$1004,"&lt;&gt;İptal")&gt;1,"Çakışıyor",""))</f>
        <v/>
      </c>
      <c r="J485" s="21" t="str">
        <f aca="false">IF(AND(A485=Gün!$C$3,B485&lt;&gt;"",E485&lt;&gt;"İptal"),B485+ROW()/100000000,"")</f>
        <v/>
      </c>
    </row>
    <row r="486" customFormat="false" ht="15" hidden="false" customHeight="false" outlineLevel="0" collapsed="false">
      <c r="A486" s="12"/>
      <c r="B486" s="13"/>
      <c r="C486" s="14"/>
      <c r="D486" s="14"/>
      <c r="E486" s="15"/>
      <c r="F486" s="16"/>
      <c r="G486" s="17" t="str">
        <f aca="false">IF(D486="","",IF(E486="Geldi",IF(F486="",IFERROR(INDEX(Hizmetler!$C$5:$C$54,MATCH(D486,Hizmetler!$A$5:$A$54,0)),0),F486),0))</f>
        <v/>
      </c>
      <c r="H486" s="18" t="str">
        <f aca="false">IF(OR(B486="",D486=""),"",ROUND((B486+IFERROR(INDEX(Hizmetler!$B$5:$B$54,MATCH(D486,Hizmetler!$A$5:$A$54,0)),0)/1440)*1440,0)/1440)</f>
        <v/>
      </c>
      <c r="I486" s="19" t="str">
        <f aca="false">IF(OR(A486="",H486="",E486="İptal"),"",IF(COUNTIFS($A$5:$A$1004,A486,$B$5:$B$1004,"&lt;"&amp;(H486-0.0003),$H$5:$H$1004,"&gt;"&amp;(B486+0.0003),$E$5:$E$1004,"&lt;&gt;İptal")&gt;1,"Çakışıyor",""))</f>
        <v/>
      </c>
      <c r="J486" s="21" t="str">
        <f aca="false">IF(AND(A486=Gün!$C$3,B486&lt;&gt;"",E486&lt;&gt;"İptal"),B486+ROW()/100000000,"")</f>
        <v/>
      </c>
    </row>
    <row r="487" customFormat="false" ht="15" hidden="false" customHeight="false" outlineLevel="0" collapsed="false">
      <c r="A487" s="12"/>
      <c r="B487" s="13"/>
      <c r="C487" s="14"/>
      <c r="D487" s="14"/>
      <c r="E487" s="15"/>
      <c r="F487" s="16"/>
      <c r="G487" s="17" t="str">
        <f aca="false">IF(D487="","",IF(E487="Geldi",IF(F487="",IFERROR(INDEX(Hizmetler!$C$5:$C$54,MATCH(D487,Hizmetler!$A$5:$A$54,0)),0),F487),0))</f>
        <v/>
      </c>
      <c r="H487" s="18" t="str">
        <f aca="false">IF(OR(B487="",D487=""),"",ROUND((B487+IFERROR(INDEX(Hizmetler!$B$5:$B$54,MATCH(D487,Hizmetler!$A$5:$A$54,0)),0)/1440)*1440,0)/1440)</f>
        <v/>
      </c>
      <c r="I487" s="19" t="str">
        <f aca="false">IF(OR(A487="",H487="",E487="İptal"),"",IF(COUNTIFS($A$5:$A$1004,A487,$B$5:$B$1004,"&lt;"&amp;(H487-0.0003),$H$5:$H$1004,"&gt;"&amp;(B487+0.0003),$E$5:$E$1004,"&lt;&gt;İptal")&gt;1,"Çakışıyor",""))</f>
        <v/>
      </c>
      <c r="J487" s="21" t="str">
        <f aca="false">IF(AND(A487=Gün!$C$3,B487&lt;&gt;"",E487&lt;&gt;"İptal"),B487+ROW()/100000000,"")</f>
        <v/>
      </c>
    </row>
    <row r="488" customFormat="false" ht="15" hidden="false" customHeight="false" outlineLevel="0" collapsed="false">
      <c r="A488" s="12"/>
      <c r="B488" s="13"/>
      <c r="C488" s="14"/>
      <c r="D488" s="14"/>
      <c r="E488" s="15"/>
      <c r="F488" s="16"/>
      <c r="G488" s="17" t="str">
        <f aca="false">IF(D488="","",IF(E488="Geldi",IF(F488="",IFERROR(INDEX(Hizmetler!$C$5:$C$54,MATCH(D488,Hizmetler!$A$5:$A$54,0)),0),F488),0))</f>
        <v/>
      </c>
      <c r="H488" s="18" t="str">
        <f aca="false">IF(OR(B488="",D488=""),"",ROUND((B488+IFERROR(INDEX(Hizmetler!$B$5:$B$54,MATCH(D488,Hizmetler!$A$5:$A$54,0)),0)/1440)*1440,0)/1440)</f>
        <v/>
      </c>
      <c r="I488" s="19" t="str">
        <f aca="false">IF(OR(A488="",H488="",E488="İptal"),"",IF(COUNTIFS($A$5:$A$1004,A488,$B$5:$B$1004,"&lt;"&amp;(H488-0.0003),$H$5:$H$1004,"&gt;"&amp;(B488+0.0003),$E$5:$E$1004,"&lt;&gt;İptal")&gt;1,"Çakışıyor",""))</f>
        <v/>
      </c>
      <c r="J488" s="21" t="str">
        <f aca="false">IF(AND(A488=Gün!$C$3,B488&lt;&gt;"",E488&lt;&gt;"İptal"),B488+ROW()/100000000,"")</f>
        <v/>
      </c>
    </row>
    <row r="489" customFormat="false" ht="15" hidden="false" customHeight="false" outlineLevel="0" collapsed="false">
      <c r="A489" s="12"/>
      <c r="B489" s="13"/>
      <c r="C489" s="14"/>
      <c r="D489" s="14"/>
      <c r="E489" s="15"/>
      <c r="F489" s="16"/>
      <c r="G489" s="17" t="str">
        <f aca="false">IF(D489="","",IF(E489="Geldi",IF(F489="",IFERROR(INDEX(Hizmetler!$C$5:$C$54,MATCH(D489,Hizmetler!$A$5:$A$54,0)),0),F489),0))</f>
        <v/>
      </c>
      <c r="H489" s="18" t="str">
        <f aca="false">IF(OR(B489="",D489=""),"",ROUND((B489+IFERROR(INDEX(Hizmetler!$B$5:$B$54,MATCH(D489,Hizmetler!$A$5:$A$54,0)),0)/1440)*1440,0)/1440)</f>
        <v/>
      </c>
      <c r="I489" s="19" t="str">
        <f aca="false">IF(OR(A489="",H489="",E489="İptal"),"",IF(COUNTIFS($A$5:$A$1004,A489,$B$5:$B$1004,"&lt;"&amp;(H489-0.0003),$H$5:$H$1004,"&gt;"&amp;(B489+0.0003),$E$5:$E$1004,"&lt;&gt;İptal")&gt;1,"Çakışıyor",""))</f>
        <v/>
      </c>
      <c r="J489" s="21" t="str">
        <f aca="false">IF(AND(A489=Gün!$C$3,B489&lt;&gt;"",E489&lt;&gt;"İptal"),B489+ROW()/100000000,"")</f>
        <v/>
      </c>
    </row>
    <row r="490" customFormat="false" ht="15" hidden="false" customHeight="false" outlineLevel="0" collapsed="false">
      <c r="A490" s="12"/>
      <c r="B490" s="13"/>
      <c r="C490" s="14"/>
      <c r="D490" s="14"/>
      <c r="E490" s="15"/>
      <c r="F490" s="16"/>
      <c r="G490" s="17" t="str">
        <f aca="false">IF(D490="","",IF(E490="Geldi",IF(F490="",IFERROR(INDEX(Hizmetler!$C$5:$C$54,MATCH(D490,Hizmetler!$A$5:$A$54,0)),0),F490),0))</f>
        <v/>
      </c>
      <c r="H490" s="18" t="str">
        <f aca="false">IF(OR(B490="",D490=""),"",ROUND((B490+IFERROR(INDEX(Hizmetler!$B$5:$B$54,MATCH(D490,Hizmetler!$A$5:$A$54,0)),0)/1440)*1440,0)/1440)</f>
        <v/>
      </c>
      <c r="I490" s="19" t="str">
        <f aca="false">IF(OR(A490="",H490="",E490="İptal"),"",IF(COUNTIFS($A$5:$A$1004,A490,$B$5:$B$1004,"&lt;"&amp;(H490-0.0003),$H$5:$H$1004,"&gt;"&amp;(B490+0.0003),$E$5:$E$1004,"&lt;&gt;İptal")&gt;1,"Çakışıyor",""))</f>
        <v/>
      </c>
      <c r="J490" s="21" t="str">
        <f aca="false">IF(AND(A490=Gün!$C$3,B490&lt;&gt;"",E490&lt;&gt;"İptal"),B490+ROW()/100000000,"")</f>
        <v/>
      </c>
    </row>
    <row r="491" customFormat="false" ht="15" hidden="false" customHeight="false" outlineLevel="0" collapsed="false">
      <c r="A491" s="12"/>
      <c r="B491" s="13"/>
      <c r="C491" s="14"/>
      <c r="D491" s="14"/>
      <c r="E491" s="15"/>
      <c r="F491" s="16"/>
      <c r="G491" s="17" t="str">
        <f aca="false">IF(D491="","",IF(E491="Geldi",IF(F491="",IFERROR(INDEX(Hizmetler!$C$5:$C$54,MATCH(D491,Hizmetler!$A$5:$A$54,0)),0),F491),0))</f>
        <v/>
      </c>
      <c r="H491" s="18" t="str">
        <f aca="false">IF(OR(B491="",D491=""),"",ROUND((B491+IFERROR(INDEX(Hizmetler!$B$5:$B$54,MATCH(D491,Hizmetler!$A$5:$A$54,0)),0)/1440)*1440,0)/1440)</f>
        <v/>
      </c>
      <c r="I491" s="19" t="str">
        <f aca="false">IF(OR(A491="",H491="",E491="İptal"),"",IF(COUNTIFS($A$5:$A$1004,A491,$B$5:$B$1004,"&lt;"&amp;(H491-0.0003),$H$5:$H$1004,"&gt;"&amp;(B491+0.0003),$E$5:$E$1004,"&lt;&gt;İptal")&gt;1,"Çakışıyor",""))</f>
        <v/>
      </c>
      <c r="J491" s="21" t="str">
        <f aca="false">IF(AND(A491=Gün!$C$3,B491&lt;&gt;"",E491&lt;&gt;"İptal"),B491+ROW()/100000000,"")</f>
        <v/>
      </c>
    </row>
    <row r="492" customFormat="false" ht="15" hidden="false" customHeight="false" outlineLevel="0" collapsed="false">
      <c r="A492" s="12"/>
      <c r="B492" s="13"/>
      <c r="C492" s="14"/>
      <c r="D492" s="14"/>
      <c r="E492" s="15"/>
      <c r="F492" s="16"/>
      <c r="G492" s="17" t="str">
        <f aca="false">IF(D492="","",IF(E492="Geldi",IF(F492="",IFERROR(INDEX(Hizmetler!$C$5:$C$54,MATCH(D492,Hizmetler!$A$5:$A$54,0)),0),F492),0))</f>
        <v/>
      </c>
      <c r="H492" s="18" t="str">
        <f aca="false">IF(OR(B492="",D492=""),"",ROUND((B492+IFERROR(INDEX(Hizmetler!$B$5:$B$54,MATCH(D492,Hizmetler!$A$5:$A$54,0)),0)/1440)*1440,0)/1440)</f>
        <v/>
      </c>
      <c r="I492" s="19" t="str">
        <f aca="false">IF(OR(A492="",H492="",E492="İptal"),"",IF(COUNTIFS($A$5:$A$1004,A492,$B$5:$B$1004,"&lt;"&amp;(H492-0.0003),$H$5:$H$1004,"&gt;"&amp;(B492+0.0003),$E$5:$E$1004,"&lt;&gt;İptal")&gt;1,"Çakışıyor",""))</f>
        <v/>
      </c>
      <c r="J492" s="21" t="str">
        <f aca="false">IF(AND(A492=Gün!$C$3,B492&lt;&gt;"",E492&lt;&gt;"İptal"),B492+ROW()/100000000,"")</f>
        <v/>
      </c>
    </row>
    <row r="493" customFormat="false" ht="15" hidden="false" customHeight="false" outlineLevel="0" collapsed="false">
      <c r="A493" s="12"/>
      <c r="B493" s="13"/>
      <c r="C493" s="14"/>
      <c r="D493" s="14"/>
      <c r="E493" s="15"/>
      <c r="F493" s="16"/>
      <c r="G493" s="17" t="str">
        <f aca="false">IF(D493="","",IF(E493="Geldi",IF(F493="",IFERROR(INDEX(Hizmetler!$C$5:$C$54,MATCH(D493,Hizmetler!$A$5:$A$54,0)),0),F493),0))</f>
        <v/>
      </c>
      <c r="H493" s="18" t="str">
        <f aca="false">IF(OR(B493="",D493=""),"",ROUND((B493+IFERROR(INDEX(Hizmetler!$B$5:$B$54,MATCH(D493,Hizmetler!$A$5:$A$54,0)),0)/1440)*1440,0)/1440)</f>
        <v/>
      </c>
      <c r="I493" s="19" t="str">
        <f aca="false">IF(OR(A493="",H493="",E493="İptal"),"",IF(COUNTIFS($A$5:$A$1004,A493,$B$5:$B$1004,"&lt;"&amp;(H493-0.0003),$H$5:$H$1004,"&gt;"&amp;(B493+0.0003),$E$5:$E$1004,"&lt;&gt;İptal")&gt;1,"Çakışıyor",""))</f>
        <v/>
      </c>
      <c r="J493" s="21" t="str">
        <f aca="false">IF(AND(A493=Gün!$C$3,B493&lt;&gt;"",E493&lt;&gt;"İptal"),B493+ROW()/100000000,"")</f>
        <v/>
      </c>
    </row>
    <row r="494" customFormat="false" ht="15" hidden="false" customHeight="false" outlineLevel="0" collapsed="false">
      <c r="A494" s="12"/>
      <c r="B494" s="13"/>
      <c r="C494" s="14"/>
      <c r="D494" s="14"/>
      <c r="E494" s="15"/>
      <c r="F494" s="16"/>
      <c r="G494" s="17" t="str">
        <f aca="false">IF(D494="","",IF(E494="Geldi",IF(F494="",IFERROR(INDEX(Hizmetler!$C$5:$C$54,MATCH(D494,Hizmetler!$A$5:$A$54,0)),0),F494),0))</f>
        <v/>
      </c>
      <c r="H494" s="18" t="str">
        <f aca="false">IF(OR(B494="",D494=""),"",ROUND((B494+IFERROR(INDEX(Hizmetler!$B$5:$B$54,MATCH(D494,Hizmetler!$A$5:$A$54,0)),0)/1440)*1440,0)/1440)</f>
        <v/>
      </c>
      <c r="I494" s="19" t="str">
        <f aca="false">IF(OR(A494="",H494="",E494="İptal"),"",IF(COUNTIFS($A$5:$A$1004,A494,$B$5:$B$1004,"&lt;"&amp;(H494-0.0003),$H$5:$H$1004,"&gt;"&amp;(B494+0.0003),$E$5:$E$1004,"&lt;&gt;İptal")&gt;1,"Çakışıyor",""))</f>
        <v/>
      </c>
      <c r="J494" s="21" t="str">
        <f aca="false">IF(AND(A494=Gün!$C$3,B494&lt;&gt;"",E494&lt;&gt;"İptal"),B494+ROW()/100000000,"")</f>
        <v/>
      </c>
    </row>
    <row r="495" customFormat="false" ht="15" hidden="false" customHeight="false" outlineLevel="0" collapsed="false">
      <c r="A495" s="12"/>
      <c r="B495" s="13"/>
      <c r="C495" s="14"/>
      <c r="D495" s="14"/>
      <c r="E495" s="15"/>
      <c r="F495" s="16"/>
      <c r="G495" s="17" t="str">
        <f aca="false">IF(D495="","",IF(E495="Geldi",IF(F495="",IFERROR(INDEX(Hizmetler!$C$5:$C$54,MATCH(D495,Hizmetler!$A$5:$A$54,0)),0),F495),0))</f>
        <v/>
      </c>
      <c r="H495" s="18" t="str">
        <f aca="false">IF(OR(B495="",D495=""),"",ROUND((B495+IFERROR(INDEX(Hizmetler!$B$5:$B$54,MATCH(D495,Hizmetler!$A$5:$A$54,0)),0)/1440)*1440,0)/1440)</f>
        <v/>
      </c>
      <c r="I495" s="19" t="str">
        <f aca="false">IF(OR(A495="",H495="",E495="İptal"),"",IF(COUNTIFS($A$5:$A$1004,A495,$B$5:$B$1004,"&lt;"&amp;(H495-0.0003),$H$5:$H$1004,"&gt;"&amp;(B495+0.0003),$E$5:$E$1004,"&lt;&gt;İptal")&gt;1,"Çakışıyor",""))</f>
        <v/>
      </c>
      <c r="J495" s="21" t="str">
        <f aca="false">IF(AND(A495=Gün!$C$3,B495&lt;&gt;"",E495&lt;&gt;"İptal"),B495+ROW()/100000000,"")</f>
        <v/>
      </c>
    </row>
    <row r="496" customFormat="false" ht="15" hidden="false" customHeight="false" outlineLevel="0" collapsed="false">
      <c r="A496" s="12"/>
      <c r="B496" s="13"/>
      <c r="C496" s="14"/>
      <c r="D496" s="14"/>
      <c r="E496" s="15"/>
      <c r="F496" s="16"/>
      <c r="G496" s="17" t="str">
        <f aca="false">IF(D496="","",IF(E496="Geldi",IF(F496="",IFERROR(INDEX(Hizmetler!$C$5:$C$54,MATCH(D496,Hizmetler!$A$5:$A$54,0)),0),F496),0))</f>
        <v/>
      </c>
      <c r="H496" s="18" t="str">
        <f aca="false">IF(OR(B496="",D496=""),"",ROUND((B496+IFERROR(INDEX(Hizmetler!$B$5:$B$54,MATCH(D496,Hizmetler!$A$5:$A$54,0)),0)/1440)*1440,0)/1440)</f>
        <v/>
      </c>
      <c r="I496" s="19" t="str">
        <f aca="false">IF(OR(A496="",H496="",E496="İptal"),"",IF(COUNTIFS($A$5:$A$1004,A496,$B$5:$B$1004,"&lt;"&amp;(H496-0.0003),$H$5:$H$1004,"&gt;"&amp;(B496+0.0003),$E$5:$E$1004,"&lt;&gt;İptal")&gt;1,"Çakışıyor",""))</f>
        <v/>
      </c>
      <c r="J496" s="21" t="str">
        <f aca="false">IF(AND(A496=Gün!$C$3,B496&lt;&gt;"",E496&lt;&gt;"İptal"),B496+ROW()/100000000,"")</f>
        <v/>
      </c>
    </row>
    <row r="497" customFormat="false" ht="15" hidden="false" customHeight="false" outlineLevel="0" collapsed="false">
      <c r="A497" s="12"/>
      <c r="B497" s="13"/>
      <c r="C497" s="14"/>
      <c r="D497" s="14"/>
      <c r="E497" s="15"/>
      <c r="F497" s="16"/>
      <c r="G497" s="17" t="str">
        <f aca="false">IF(D497="","",IF(E497="Geldi",IF(F497="",IFERROR(INDEX(Hizmetler!$C$5:$C$54,MATCH(D497,Hizmetler!$A$5:$A$54,0)),0),F497),0))</f>
        <v/>
      </c>
      <c r="H497" s="18" t="str">
        <f aca="false">IF(OR(B497="",D497=""),"",ROUND((B497+IFERROR(INDEX(Hizmetler!$B$5:$B$54,MATCH(D497,Hizmetler!$A$5:$A$54,0)),0)/1440)*1440,0)/1440)</f>
        <v/>
      </c>
      <c r="I497" s="19" t="str">
        <f aca="false">IF(OR(A497="",H497="",E497="İptal"),"",IF(COUNTIFS($A$5:$A$1004,A497,$B$5:$B$1004,"&lt;"&amp;(H497-0.0003),$H$5:$H$1004,"&gt;"&amp;(B497+0.0003),$E$5:$E$1004,"&lt;&gt;İptal")&gt;1,"Çakışıyor",""))</f>
        <v/>
      </c>
      <c r="J497" s="21" t="str">
        <f aca="false">IF(AND(A497=Gün!$C$3,B497&lt;&gt;"",E497&lt;&gt;"İptal"),B497+ROW()/100000000,"")</f>
        <v/>
      </c>
    </row>
    <row r="498" customFormat="false" ht="15" hidden="false" customHeight="false" outlineLevel="0" collapsed="false">
      <c r="A498" s="12"/>
      <c r="B498" s="13"/>
      <c r="C498" s="14"/>
      <c r="D498" s="14"/>
      <c r="E498" s="15"/>
      <c r="F498" s="16"/>
      <c r="G498" s="17" t="str">
        <f aca="false">IF(D498="","",IF(E498="Geldi",IF(F498="",IFERROR(INDEX(Hizmetler!$C$5:$C$54,MATCH(D498,Hizmetler!$A$5:$A$54,0)),0),F498),0))</f>
        <v/>
      </c>
      <c r="H498" s="18" t="str">
        <f aca="false">IF(OR(B498="",D498=""),"",ROUND((B498+IFERROR(INDEX(Hizmetler!$B$5:$B$54,MATCH(D498,Hizmetler!$A$5:$A$54,0)),0)/1440)*1440,0)/1440)</f>
        <v/>
      </c>
      <c r="I498" s="19" t="str">
        <f aca="false">IF(OR(A498="",H498="",E498="İptal"),"",IF(COUNTIFS($A$5:$A$1004,A498,$B$5:$B$1004,"&lt;"&amp;(H498-0.0003),$H$5:$H$1004,"&gt;"&amp;(B498+0.0003),$E$5:$E$1004,"&lt;&gt;İptal")&gt;1,"Çakışıyor",""))</f>
        <v/>
      </c>
      <c r="J498" s="21" t="str">
        <f aca="false">IF(AND(A498=Gün!$C$3,B498&lt;&gt;"",E498&lt;&gt;"İptal"),B498+ROW()/100000000,"")</f>
        <v/>
      </c>
    </row>
    <row r="499" customFormat="false" ht="15" hidden="false" customHeight="false" outlineLevel="0" collapsed="false">
      <c r="A499" s="12"/>
      <c r="B499" s="13"/>
      <c r="C499" s="14"/>
      <c r="D499" s="14"/>
      <c r="E499" s="15"/>
      <c r="F499" s="16"/>
      <c r="G499" s="17" t="str">
        <f aca="false">IF(D499="","",IF(E499="Geldi",IF(F499="",IFERROR(INDEX(Hizmetler!$C$5:$C$54,MATCH(D499,Hizmetler!$A$5:$A$54,0)),0),F499),0))</f>
        <v/>
      </c>
      <c r="H499" s="18" t="str">
        <f aca="false">IF(OR(B499="",D499=""),"",ROUND((B499+IFERROR(INDEX(Hizmetler!$B$5:$B$54,MATCH(D499,Hizmetler!$A$5:$A$54,0)),0)/1440)*1440,0)/1440)</f>
        <v/>
      </c>
      <c r="I499" s="19" t="str">
        <f aca="false">IF(OR(A499="",H499="",E499="İptal"),"",IF(COUNTIFS($A$5:$A$1004,A499,$B$5:$B$1004,"&lt;"&amp;(H499-0.0003),$H$5:$H$1004,"&gt;"&amp;(B499+0.0003),$E$5:$E$1004,"&lt;&gt;İptal")&gt;1,"Çakışıyor",""))</f>
        <v/>
      </c>
      <c r="J499" s="21" t="str">
        <f aca="false">IF(AND(A499=Gün!$C$3,B499&lt;&gt;"",E499&lt;&gt;"İptal"),B499+ROW()/100000000,"")</f>
        <v/>
      </c>
    </row>
    <row r="500" customFormat="false" ht="15" hidden="false" customHeight="false" outlineLevel="0" collapsed="false">
      <c r="A500" s="12"/>
      <c r="B500" s="13"/>
      <c r="C500" s="14"/>
      <c r="D500" s="14"/>
      <c r="E500" s="15"/>
      <c r="F500" s="16"/>
      <c r="G500" s="17" t="str">
        <f aca="false">IF(D500="","",IF(E500="Geldi",IF(F500="",IFERROR(INDEX(Hizmetler!$C$5:$C$54,MATCH(D500,Hizmetler!$A$5:$A$54,0)),0),F500),0))</f>
        <v/>
      </c>
      <c r="H500" s="18" t="str">
        <f aca="false">IF(OR(B500="",D500=""),"",ROUND((B500+IFERROR(INDEX(Hizmetler!$B$5:$B$54,MATCH(D500,Hizmetler!$A$5:$A$54,0)),0)/1440)*1440,0)/1440)</f>
        <v/>
      </c>
      <c r="I500" s="19" t="str">
        <f aca="false">IF(OR(A500="",H500="",E500="İptal"),"",IF(COUNTIFS($A$5:$A$1004,A500,$B$5:$B$1004,"&lt;"&amp;(H500-0.0003),$H$5:$H$1004,"&gt;"&amp;(B500+0.0003),$E$5:$E$1004,"&lt;&gt;İptal")&gt;1,"Çakışıyor",""))</f>
        <v/>
      </c>
      <c r="J500" s="21" t="str">
        <f aca="false">IF(AND(A500=Gün!$C$3,B500&lt;&gt;"",E500&lt;&gt;"İptal"),B500+ROW()/100000000,"")</f>
        <v/>
      </c>
    </row>
    <row r="501" customFormat="false" ht="15" hidden="false" customHeight="false" outlineLevel="0" collapsed="false">
      <c r="A501" s="12"/>
      <c r="B501" s="13"/>
      <c r="C501" s="14"/>
      <c r="D501" s="14"/>
      <c r="E501" s="15"/>
      <c r="F501" s="16"/>
      <c r="G501" s="17" t="str">
        <f aca="false">IF(D501="","",IF(E501="Geldi",IF(F501="",IFERROR(INDEX(Hizmetler!$C$5:$C$54,MATCH(D501,Hizmetler!$A$5:$A$54,0)),0),F501),0))</f>
        <v/>
      </c>
      <c r="H501" s="18" t="str">
        <f aca="false">IF(OR(B501="",D501=""),"",ROUND((B501+IFERROR(INDEX(Hizmetler!$B$5:$B$54,MATCH(D501,Hizmetler!$A$5:$A$54,0)),0)/1440)*1440,0)/1440)</f>
        <v/>
      </c>
      <c r="I501" s="19" t="str">
        <f aca="false">IF(OR(A501="",H501="",E501="İptal"),"",IF(COUNTIFS($A$5:$A$1004,A501,$B$5:$B$1004,"&lt;"&amp;(H501-0.0003),$H$5:$H$1004,"&gt;"&amp;(B501+0.0003),$E$5:$E$1004,"&lt;&gt;İptal")&gt;1,"Çakışıyor",""))</f>
        <v/>
      </c>
      <c r="J501" s="21" t="str">
        <f aca="false">IF(AND(A501=Gün!$C$3,B501&lt;&gt;"",E501&lt;&gt;"İptal"),B501+ROW()/100000000,"")</f>
        <v/>
      </c>
    </row>
    <row r="502" customFormat="false" ht="15" hidden="false" customHeight="false" outlineLevel="0" collapsed="false">
      <c r="A502" s="12"/>
      <c r="B502" s="13"/>
      <c r="C502" s="14"/>
      <c r="D502" s="14"/>
      <c r="E502" s="15"/>
      <c r="F502" s="16"/>
      <c r="G502" s="17" t="str">
        <f aca="false">IF(D502="","",IF(E502="Geldi",IF(F502="",IFERROR(INDEX(Hizmetler!$C$5:$C$54,MATCH(D502,Hizmetler!$A$5:$A$54,0)),0),F502),0))</f>
        <v/>
      </c>
      <c r="H502" s="18" t="str">
        <f aca="false">IF(OR(B502="",D502=""),"",ROUND((B502+IFERROR(INDEX(Hizmetler!$B$5:$B$54,MATCH(D502,Hizmetler!$A$5:$A$54,0)),0)/1440)*1440,0)/1440)</f>
        <v/>
      </c>
      <c r="I502" s="19" t="str">
        <f aca="false">IF(OR(A502="",H502="",E502="İptal"),"",IF(COUNTIFS($A$5:$A$1004,A502,$B$5:$B$1004,"&lt;"&amp;(H502-0.0003),$H$5:$H$1004,"&gt;"&amp;(B502+0.0003),$E$5:$E$1004,"&lt;&gt;İptal")&gt;1,"Çakışıyor",""))</f>
        <v/>
      </c>
      <c r="J502" s="21" t="str">
        <f aca="false">IF(AND(A502=Gün!$C$3,B502&lt;&gt;"",E502&lt;&gt;"İptal"),B502+ROW()/100000000,"")</f>
        <v/>
      </c>
    </row>
    <row r="503" customFormat="false" ht="15" hidden="false" customHeight="false" outlineLevel="0" collapsed="false">
      <c r="A503" s="12"/>
      <c r="B503" s="13"/>
      <c r="C503" s="14"/>
      <c r="D503" s="14"/>
      <c r="E503" s="15"/>
      <c r="F503" s="16"/>
      <c r="G503" s="17" t="str">
        <f aca="false">IF(D503="","",IF(E503="Geldi",IF(F503="",IFERROR(INDEX(Hizmetler!$C$5:$C$54,MATCH(D503,Hizmetler!$A$5:$A$54,0)),0),F503),0))</f>
        <v/>
      </c>
      <c r="H503" s="18" t="str">
        <f aca="false">IF(OR(B503="",D503=""),"",ROUND((B503+IFERROR(INDEX(Hizmetler!$B$5:$B$54,MATCH(D503,Hizmetler!$A$5:$A$54,0)),0)/1440)*1440,0)/1440)</f>
        <v/>
      </c>
      <c r="I503" s="19" t="str">
        <f aca="false">IF(OR(A503="",H503="",E503="İptal"),"",IF(COUNTIFS($A$5:$A$1004,A503,$B$5:$B$1004,"&lt;"&amp;(H503-0.0003),$H$5:$H$1004,"&gt;"&amp;(B503+0.0003),$E$5:$E$1004,"&lt;&gt;İptal")&gt;1,"Çakışıyor",""))</f>
        <v/>
      </c>
      <c r="J503" s="21" t="str">
        <f aca="false">IF(AND(A503=Gün!$C$3,B503&lt;&gt;"",E503&lt;&gt;"İptal"),B503+ROW()/100000000,"")</f>
        <v/>
      </c>
    </row>
    <row r="504" customFormat="false" ht="15" hidden="false" customHeight="false" outlineLevel="0" collapsed="false">
      <c r="A504" s="12"/>
      <c r="B504" s="13"/>
      <c r="C504" s="14"/>
      <c r="D504" s="14"/>
      <c r="E504" s="15"/>
      <c r="F504" s="16"/>
      <c r="G504" s="17" t="str">
        <f aca="false">IF(D504="","",IF(E504="Geldi",IF(F504="",IFERROR(INDEX(Hizmetler!$C$5:$C$54,MATCH(D504,Hizmetler!$A$5:$A$54,0)),0),F504),0))</f>
        <v/>
      </c>
      <c r="H504" s="18" t="str">
        <f aca="false">IF(OR(B504="",D504=""),"",ROUND((B504+IFERROR(INDEX(Hizmetler!$B$5:$B$54,MATCH(D504,Hizmetler!$A$5:$A$54,0)),0)/1440)*1440,0)/1440)</f>
        <v/>
      </c>
      <c r="I504" s="19" t="str">
        <f aca="false">IF(OR(A504="",H504="",E504="İptal"),"",IF(COUNTIFS($A$5:$A$1004,A504,$B$5:$B$1004,"&lt;"&amp;(H504-0.0003),$H$5:$H$1004,"&gt;"&amp;(B504+0.0003),$E$5:$E$1004,"&lt;&gt;İptal")&gt;1,"Çakışıyor",""))</f>
        <v/>
      </c>
      <c r="J504" s="21" t="str">
        <f aca="false">IF(AND(A504=Gün!$C$3,B504&lt;&gt;"",E504&lt;&gt;"İptal"),B504+ROW()/100000000,"")</f>
        <v/>
      </c>
    </row>
    <row r="505" customFormat="false" ht="15" hidden="false" customHeight="false" outlineLevel="0" collapsed="false">
      <c r="A505" s="12"/>
      <c r="B505" s="13"/>
      <c r="C505" s="14"/>
      <c r="D505" s="14"/>
      <c r="E505" s="15"/>
      <c r="F505" s="16"/>
      <c r="G505" s="17" t="str">
        <f aca="false">IF(D505="","",IF(E505="Geldi",IF(F505="",IFERROR(INDEX(Hizmetler!$C$5:$C$54,MATCH(D505,Hizmetler!$A$5:$A$54,0)),0),F505),0))</f>
        <v/>
      </c>
      <c r="H505" s="18" t="str">
        <f aca="false">IF(OR(B505="",D505=""),"",ROUND((B505+IFERROR(INDEX(Hizmetler!$B$5:$B$54,MATCH(D505,Hizmetler!$A$5:$A$54,0)),0)/1440)*1440,0)/1440)</f>
        <v/>
      </c>
      <c r="I505" s="19" t="str">
        <f aca="false">IF(OR(A505="",H505="",E505="İptal"),"",IF(COUNTIFS($A$5:$A$1004,A505,$B$5:$B$1004,"&lt;"&amp;(H505-0.0003),$H$5:$H$1004,"&gt;"&amp;(B505+0.0003),$E$5:$E$1004,"&lt;&gt;İptal")&gt;1,"Çakışıyor",""))</f>
        <v/>
      </c>
      <c r="J505" s="21" t="str">
        <f aca="false">IF(AND(A505=Gün!$C$3,B505&lt;&gt;"",E505&lt;&gt;"İptal"),B505+ROW()/100000000,"")</f>
        <v/>
      </c>
    </row>
    <row r="506" customFormat="false" ht="15" hidden="false" customHeight="false" outlineLevel="0" collapsed="false">
      <c r="A506" s="12"/>
      <c r="B506" s="13"/>
      <c r="C506" s="14"/>
      <c r="D506" s="14"/>
      <c r="E506" s="15"/>
      <c r="F506" s="16"/>
      <c r="G506" s="17" t="str">
        <f aca="false">IF(D506="","",IF(E506="Geldi",IF(F506="",IFERROR(INDEX(Hizmetler!$C$5:$C$54,MATCH(D506,Hizmetler!$A$5:$A$54,0)),0),F506),0))</f>
        <v/>
      </c>
      <c r="H506" s="18" t="str">
        <f aca="false">IF(OR(B506="",D506=""),"",ROUND((B506+IFERROR(INDEX(Hizmetler!$B$5:$B$54,MATCH(D506,Hizmetler!$A$5:$A$54,0)),0)/1440)*1440,0)/1440)</f>
        <v/>
      </c>
      <c r="I506" s="19" t="str">
        <f aca="false">IF(OR(A506="",H506="",E506="İptal"),"",IF(COUNTIFS($A$5:$A$1004,A506,$B$5:$B$1004,"&lt;"&amp;(H506-0.0003),$H$5:$H$1004,"&gt;"&amp;(B506+0.0003),$E$5:$E$1004,"&lt;&gt;İptal")&gt;1,"Çakışıyor",""))</f>
        <v/>
      </c>
      <c r="J506" s="21" t="str">
        <f aca="false">IF(AND(A506=Gün!$C$3,B506&lt;&gt;"",E506&lt;&gt;"İptal"),B506+ROW()/100000000,"")</f>
        <v/>
      </c>
    </row>
    <row r="507" customFormat="false" ht="15" hidden="false" customHeight="false" outlineLevel="0" collapsed="false">
      <c r="A507" s="12"/>
      <c r="B507" s="13"/>
      <c r="C507" s="14"/>
      <c r="D507" s="14"/>
      <c r="E507" s="15"/>
      <c r="F507" s="16"/>
      <c r="G507" s="17" t="str">
        <f aca="false">IF(D507="","",IF(E507="Geldi",IF(F507="",IFERROR(INDEX(Hizmetler!$C$5:$C$54,MATCH(D507,Hizmetler!$A$5:$A$54,0)),0),F507),0))</f>
        <v/>
      </c>
      <c r="H507" s="18" t="str">
        <f aca="false">IF(OR(B507="",D507=""),"",ROUND((B507+IFERROR(INDEX(Hizmetler!$B$5:$B$54,MATCH(D507,Hizmetler!$A$5:$A$54,0)),0)/1440)*1440,0)/1440)</f>
        <v/>
      </c>
      <c r="I507" s="19" t="str">
        <f aca="false">IF(OR(A507="",H507="",E507="İptal"),"",IF(COUNTIFS($A$5:$A$1004,A507,$B$5:$B$1004,"&lt;"&amp;(H507-0.0003),$H$5:$H$1004,"&gt;"&amp;(B507+0.0003),$E$5:$E$1004,"&lt;&gt;İptal")&gt;1,"Çakışıyor",""))</f>
        <v/>
      </c>
      <c r="J507" s="21" t="str">
        <f aca="false">IF(AND(A507=Gün!$C$3,B507&lt;&gt;"",E507&lt;&gt;"İptal"),B507+ROW()/100000000,"")</f>
        <v/>
      </c>
    </row>
    <row r="508" customFormat="false" ht="15" hidden="false" customHeight="false" outlineLevel="0" collapsed="false">
      <c r="A508" s="12"/>
      <c r="B508" s="13"/>
      <c r="C508" s="14"/>
      <c r="D508" s="14"/>
      <c r="E508" s="15"/>
      <c r="F508" s="16"/>
      <c r="G508" s="17" t="str">
        <f aca="false">IF(D508="","",IF(E508="Geldi",IF(F508="",IFERROR(INDEX(Hizmetler!$C$5:$C$54,MATCH(D508,Hizmetler!$A$5:$A$54,0)),0),F508),0))</f>
        <v/>
      </c>
      <c r="H508" s="18" t="str">
        <f aca="false">IF(OR(B508="",D508=""),"",ROUND((B508+IFERROR(INDEX(Hizmetler!$B$5:$B$54,MATCH(D508,Hizmetler!$A$5:$A$54,0)),0)/1440)*1440,0)/1440)</f>
        <v/>
      </c>
      <c r="I508" s="19" t="str">
        <f aca="false">IF(OR(A508="",H508="",E508="İptal"),"",IF(COUNTIFS($A$5:$A$1004,A508,$B$5:$B$1004,"&lt;"&amp;(H508-0.0003),$H$5:$H$1004,"&gt;"&amp;(B508+0.0003),$E$5:$E$1004,"&lt;&gt;İptal")&gt;1,"Çakışıyor",""))</f>
        <v/>
      </c>
      <c r="J508" s="21" t="str">
        <f aca="false">IF(AND(A508=Gün!$C$3,B508&lt;&gt;"",E508&lt;&gt;"İptal"),B508+ROW()/100000000,"")</f>
        <v/>
      </c>
    </row>
    <row r="509" customFormat="false" ht="15" hidden="false" customHeight="false" outlineLevel="0" collapsed="false">
      <c r="A509" s="12"/>
      <c r="B509" s="13"/>
      <c r="C509" s="14"/>
      <c r="D509" s="14"/>
      <c r="E509" s="15"/>
      <c r="F509" s="16"/>
      <c r="G509" s="17" t="str">
        <f aca="false">IF(D509="","",IF(E509="Geldi",IF(F509="",IFERROR(INDEX(Hizmetler!$C$5:$C$54,MATCH(D509,Hizmetler!$A$5:$A$54,0)),0),F509),0))</f>
        <v/>
      </c>
      <c r="H509" s="18" t="str">
        <f aca="false">IF(OR(B509="",D509=""),"",ROUND((B509+IFERROR(INDEX(Hizmetler!$B$5:$B$54,MATCH(D509,Hizmetler!$A$5:$A$54,0)),0)/1440)*1440,0)/1440)</f>
        <v/>
      </c>
      <c r="I509" s="19" t="str">
        <f aca="false">IF(OR(A509="",H509="",E509="İptal"),"",IF(COUNTIFS($A$5:$A$1004,A509,$B$5:$B$1004,"&lt;"&amp;(H509-0.0003),$H$5:$H$1004,"&gt;"&amp;(B509+0.0003),$E$5:$E$1004,"&lt;&gt;İptal")&gt;1,"Çakışıyor",""))</f>
        <v/>
      </c>
      <c r="J509" s="21" t="str">
        <f aca="false">IF(AND(A509=Gün!$C$3,B509&lt;&gt;"",E509&lt;&gt;"İptal"),B509+ROW()/100000000,"")</f>
        <v/>
      </c>
    </row>
    <row r="510" customFormat="false" ht="15" hidden="false" customHeight="false" outlineLevel="0" collapsed="false">
      <c r="A510" s="12"/>
      <c r="B510" s="13"/>
      <c r="C510" s="14"/>
      <c r="D510" s="14"/>
      <c r="E510" s="15"/>
      <c r="F510" s="16"/>
      <c r="G510" s="17" t="str">
        <f aca="false">IF(D510="","",IF(E510="Geldi",IF(F510="",IFERROR(INDEX(Hizmetler!$C$5:$C$54,MATCH(D510,Hizmetler!$A$5:$A$54,0)),0),F510),0))</f>
        <v/>
      </c>
      <c r="H510" s="18" t="str">
        <f aca="false">IF(OR(B510="",D510=""),"",ROUND((B510+IFERROR(INDEX(Hizmetler!$B$5:$B$54,MATCH(D510,Hizmetler!$A$5:$A$54,0)),0)/1440)*1440,0)/1440)</f>
        <v/>
      </c>
      <c r="I510" s="19" t="str">
        <f aca="false">IF(OR(A510="",H510="",E510="İptal"),"",IF(COUNTIFS($A$5:$A$1004,A510,$B$5:$B$1004,"&lt;"&amp;(H510-0.0003),$H$5:$H$1004,"&gt;"&amp;(B510+0.0003),$E$5:$E$1004,"&lt;&gt;İptal")&gt;1,"Çakışıyor",""))</f>
        <v/>
      </c>
      <c r="J510" s="21" t="str">
        <f aca="false">IF(AND(A510=Gün!$C$3,B510&lt;&gt;"",E510&lt;&gt;"İptal"),B510+ROW()/100000000,"")</f>
        <v/>
      </c>
    </row>
    <row r="511" customFormat="false" ht="15" hidden="false" customHeight="false" outlineLevel="0" collapsed="false">
      <c r="A511" s="12"/>
      <c r="B511" s="13"/>
      <c r="C511" s="14"/>
      <c r="D511" s="14"/>
      <c r="E511" s="15"/>
      <c r="F511" s="16"/>
      <c r="G511" s="17" t="str">
        <f aca="false">IF(D511="","",IF(E511="Geldi",IF(F511="",IFERROR(INDEX(Hizmetler!$C$5:$C$54,MATCH(D511,Hizmetler!$A$5:$A$54,0)),0),F511),0))</f>
        <v/>
      </c>
      <c r="H511" s="18" t="str">
        <f aca="false">IF(OR(B511="",D511=""),"",ROUND((B511+IFERROR(INDEX(Hizmetler!$B$5:$B$54,MATCH(D511,Hizmetler!$A$5:$A$54,0)),0)/1440)*1440,0)/1440)</f>
        <v/>
      </c>
      <c r="I511" s="19" t="str">
        <f aca="false">IF(OR(A511="",H511="",E511="İptal"),"",IF(COUNTIFS($A$5:$A$1004,A511,$B$5:$B$1004,"&lt;"&amp;(H511-0.0003),$H$5:$H$1004,"&gt;"&amp;(B511+0.0003),$E$5:$E$1004,"&lt;&gt;İptal")&gt;1,"Çakışıyor",""))</f>
        <v/>
      </c>
      <c r="J511" s="21" t="str">
        <f aca="false">IF(AND(A511=Gün!$C$3,B511&lt;&gt;"",E511&lt;&gt;"İptal"),B511+ROW()/100000000,"")</f>
        <v/>
      </c>
    </row>
    <row r="512" customFormat="false" ht="15" hidden="false" customHeight="false" outlineLevel="0" collapsed="false">
      <c r="A512" s="12"/>
      <c r="B512" s="13"/>
      <c r="C512" s="14"/>
      <c r="D512" s="14"/>
      <c r="E512" s="15"/>
      <c r="F512" s="16"/>
      <c r="G512" s="17" t="str">
        <f aca="false">IF(D512="","",IF(E512="Geldi",IF(F512="",IFERROR(INDEX(Hizmetler!$C$5:$C$54,MATCH(D512,Hizmetler!$A$5:$A$54,0)),0),F512),0))</f>
        <v/>
      </c>
      <c r="H512" s="18" t="str">
        <f aca="false">IF(OR(B512="",D512=""),"",ROUND((B512+IFERROR(INDEX(Hizmetler!$B$5:$B$54,MATCH(D512,Hizmetler!$A$5:$A$54,0)),0)/1440)*1440,0)/1440)</f>
        <v/>
      </c>
      <c r="I512" s="19" t="str">
        <f aca="false">IF(OR(A512="",H512="",E512="İptal"),"",IF(COUNTIFS($A$5:$A$1004,A512,$B$5:$B$1004,"&lt;"&amp;(H512-0.0003),$H$5:$H$1004,"&gt;"&amp;(B512+0.0003),$E$5:$E$1004,"&lt;&gt;İptal")&gt;1,"Çakışıyor",""))</f>
        <v/>
      </c>
      <c r="J512" s="21" t="str">
        <f aca="false">IF(AND(A512=Gün!$C$3,B512&lt;&gt;"",E512&lt;&gt;"İptal"),B512+ROW()/100000000,"")</f>
        <v/>
      </c>
    </row>
    <row r="513" customFormat="false" ht="15" hidden="false" customHeight="false" outlineLevel="0" collapsed="false">
      <c r="A513" s="12"/>
      <c r="B513" s="13"/>
      <c r="C513" s="14"/>
      <c r="D513" s="14"/>
      <c r="E513" s="15"/>
      <c r="F513" s="16"/>
      <c r="G513" s="17" t="str">
        <f aca="false">IF(D513="","",IF(E513="Geldi",IF(F513="",IFERROR(INDEX(Hizmetler!$C$5:$C$54,MATCH(D513,Hizmetler!$A$5:$A$54,0)),0),F513),0))</f>
        <v/>
      </c>
      <c r="H513" s="18" t="str">
        <f aca="false">IF(OR(B513="",D513=""),"",ROUND((B513+IFERROR(INDEX(Hizmetler!$B$5:$B$54,MATCH(D513,Hizmetler!$A$5:$A$54,0)),0)/1440)*1440,0)/1440)</f>
        <v/>
      </c>
      <c r="I513" s="19" t="str">
        <f aca="false">IF(OR(A513="",H513="",E513="İptal"),"",IF(COUNTIFS($A$5:$A$1004,A513,$B$5:$B$1004,"&lt;"&amp;(H513-0.0003),$H$5:$H$1004,"&gt;"&amp;(B513+0.0003),$E$5:$E$1004,"&lt;&gt;İptal")&gt;1,"Çakışıyor",""))</f>
        <v/>
      </c>
      <c r="J513" s="21" t="str">
        <f aca="false">IF(AND(A513=Gün!$C$3,B513&lt;&gt;"",E513&lt;&gt;"İptal"),B513+ROW()/100000000,"")</f>
        <v/>
      </c>
    </row>
    <row r="514" customFormat="false" ht="15" hidden="false" customHeight="false" outlineLevel="0" collapsed="false">
      <c r="A514" s="12"/>
      <c r="B514" s="13"/>
      <c r="C514" s="14"/>
      <c r="D514" s="14"/>
      <c r="E514" s="15"/>
      <c r="F514" s="16"/>
      <c r="G514" s="17" t="str">
        <f aca="false">IF(D514="","",IF(E514="Geldi",IF(F514="",IFERROR(INDEX(Hizmetler!$C$5:$C$54,MATCH(D514,Hizmetler!$A$5:$A$54,0)),0),F514),0))</f>
        <v/>
      </c>
      <c r="H514" s="18" t="str">
        <f aca="false">IF(OR(B514="",D514=""),"",ROUND((B514+IFERROR(INDEX(Hizmetler!$B$5:$B$54,MATCH(D514,Hizmetler!$A$5:$A$54,0)),0)/1440)*1440,0)/1440)</f>
        <v/>
      </c>
      <c r="I514" s="19" t="str">
        <f aca="false">IF(OR(A514="",H514="",E514="İptal"),"",IF(COUNTIFS($A$5:$A$1004,A514,$B$5:$B$1004,"&lt;"&amp;(H514-0.0003),$H$5:$H$1004,"&gt;"&amp;(B514+0.0003),$E$5:$E$1004,"&lt;&gt;İptal")&gt;1,"Çakışıyor",""))</f>
        <v/>
      </c>
      <c r="J514" s="21" t="str">
        <f aca="false">IF(AND(A514=Gün!$C$3,B514&lt;&gt;"",E514&lt;&gt;"İptal"),B514+ROW()/100000000,"")</f>
        <v/>
      </c>
    </row>
    <row r="515" customFormat="false" ht="15" hidden="false" customHeight="false" outlineLevel="0" collapsed="false">
      <c r="A515" s="12"/>
      <c r="B515" s="13"/>
      <c r="C515" s="14"/>
      <c r="D515" s="14"/>
      <c r="E515" s="15"/>
      <c r="F515" s="16"/>
      <c r="G515" s="17" t="str">
        <f aca="false">IF(D515="","",IF(E515="Geldi",IF(F515="",IFERROR(INDEX(Hizmetler!$C$5:$C$54,MATCH(D515,Hizmetler!$A$5:$A$54,0)),0),F515),0))</f>
        <v/>
      </c>
      <c r="H515" s="18" t="str">
        <f aca="false">IF(OR(B515="",D515=""),"",ROUND((B515+IFERROR(INDEX(Hizmetler!$B$5:$B$54,MATCH(D515,Hizmetler!$A$5:$A$54,0)),0)/1440)*1440,0)/1440)</f>
        <v/>
      </c>
      <c r="I515" s="19" t="str">
        <f aca="false">IF(OR(A515="",H515="",E515="İptal"),"",IF(COUNTIFS($A$5:$A$1004,A515,$B$5:$B$1004,"&lt;"&amp;(H515-0.0003),$H$5:$H$1004,"&gt;"&amp;(B515+0.0003),$E$5:$E$1004,"&lt;&gt;İptal")&gt;1,"Çakışıyor",""))</f>
        <v/>
      </c>
      <c r="J515" s="21" t="str">
        <f aca="false">IF(AND(A515=Gün!$C$3,B515&lt;&gt;"",E515&lt;&gt;"İptal"),B515+ROW()/100000000,"")</f>
        <v/>
      </c>
    </row>
    <row r="516" customFormat="false" ht="15" hidden="false" customHeight="false" outlineLevel="0" collapsed="false">
      <c r="A516" s="12"/>
      <c r="B516" s="13"/>
      <c r="C516" s="14"/>
      <c r="D516" s="14"/>
      <c r="E516" s="15"/>
      <c r="F516" s="16"/>
      <c r="G516" s="17" t="str">
        <f aca="false">IF(D516="","",IF(E516="Geldi",IF(F516="",IFERROR(INDEX(Hizmetler!$C$5:$C$54,MATCH(D516,Hizmetler!$A$5:$A$54,0)),0),F516),0))</f>
        <v/>
      </c>
      <c r="H516" s="18" t="str">
        <f aca="false">IF(OR(B516="",D516=""),"",ROUND((B516+IFERROR(INDEX(Hizmetler!$B$5:$B$54,MATCH(D516,Hizmetler!$A$5:$A$54,0)),0)/1440)*1440,0)/1440)</f>
        <v/>
      </c>
      <c r="I516" s="19" t="str">
        <f aca="false">IF(OR(A516="",H516="",E516="İptal"),"",IF(COUNTIFS($A$5:$A$1004,A516,$B$5:$B$1004,"&lt;"&amp;(H516-0.0003),$H$5:$H$1004,"&gt;"&amp;(B516+0.0003),$E$5:$E$1004,"&lt;&gt;İptal")&gt;1,"Çakışıyor",""))</f>
        <v/>
      </c>
      <c r="J516" s="21" t="str">
        <f aca="false">IF(AND(A516=Gün!$C$3,B516&lt;&gt;"",E516&lt;&gt;"İptal"),B516+ROW()/100000000,"")</f>
        <v/>
      </c>
    </row>
    <row r="517" customFormat="false" ht="15" hidden="false" customHeight="false" outlineLevel="0" collapsed="false">
      <c r="A517" s="12"/>
      <c r="B517" s="13"/>
      <c r="C517" s="14"/>
      <c r="D517" s="14"/>
      <c r="E517" s="15"/>
      <c r="F517" s="16"/>
      <c r="G517" s="17" t="str">
        <f aca="false">IF(D517="","",IF(E517="Geldi",IF(F517="",IFERROR(INDEX(Hizmetler!$C$5:$C$54,MATCH(D517,Hizmetler!$A$5:$A$54,0)),0),F517),0))</f>
        <v/>
      </c>
      <c r="H517" s="18" t="str">
        <f aca="false">IF(OR(B517="",D517=""),"",ROUND((B517+IFERROR(INDEX(Hizmetler!$B$5:$B$54,MATCH(D517,Hizmetler!$A$5:$A$54,0)),0)/1440)*1440,0)/1440)</f>
        <v/>
      </c>
      <c r="I517" s="19" t="str">
        <f aca="false">IF(OR(A517="",H517="",E517="İptal"),"",IF(COUNTIFS($A$5:$A$1004,A517,$B$5:$B$1004,"&lt;"&amp;(H517-0.0003),$H$5:$H$1004,"&gt;"&amp;(B517+0.0003),$E$5:$E$1004,"&lt;&gt;İptal")&gt;1,"Çakışıyor",""))</f>
        <v/>
      </c>
      <c r="J517" s="21" t="str">
        <f aca="false">IF(AND(A517=Gün!$C$3,B517&lt;&gt;"",E517&lt;&gt;"İptal"),B517+ROW()/100000000,"")</f>
        <v/>
      </c>
    </row>
    <row r="518" customFormat="false" ht="15" hidden="false" customHeight="false" outlineLevel="0" collapsed="false">
      <c r="A518" s="12"/>
      <c r="B518" s="13"/>
      <c r="C518" s="14"/>
      <c r="D518" s="14"/>
      <c r="E518" s="15"/>
      <c r="F518" s="16"/>
      <c r="G518" s="17" t="str">
        <f aca="false">IF(D518="","",IF(E518="Geldi",IF(F518="",IFERROR(INDEX(Hizmetler!$C$5:$C$54,MATCH(D518,Hizmetler!$A$5:$A$54,0)),0),F518),0))</f>
        <v/>
      </c>
      <c r="H518" s="18" t="str">
        <f aca="false">IF(OR(B518="",D518=""),"",ROUND((B518+IFERROR(INDEX(Hizmetler!$B$5:$B$54,MATCH(D518,Hizmetler!$A$5:$A$54,0)),0)/1440)*1440,0)/1440)</f>
        <v/>
      </c>
      <c r="I518" s="19" t="str">
        <f aca="false">IF(OR(A518="",H518="",E518="İptal"),"",IF(COUNTIFS($A$5:$A$1004,A518,$B$5:$B$1004,"&lt;"&amp;(H518-0.0003),$H$5:$H$1004,"&gt;"&amp;(B518+0.0003),$E$5:$E$1004,"&lt;&gt;İptal")&gt;1,"Çakışıyor",""))</f>
        <v/>
      </c>
      <c r="J518" s="21" t="str">
        <f aca="false">IF(AND(A518=Gün!$C$3,B518&lt;&gt;"",E518&lt;&gt;"İptal"),B518+ROW()/100000000,"")</f>
        <v/>
      </c>
    </row>
    <row r="519" customFormat="false" ht="15" hidden="false" customHeight="false" outlineLevel="0" collapsed="false">
      <c r="A519" s="12"/>
      <c r="B519" s="13"/>
      <c r="C519" s="14"/>
      <c r="D519" s="14"/>
      <c r="E519" s="15"/>
      <c r="F519" s="16"/>
      <c r="G519" s="17" t="str">
        <f aca="false">IF(D519="","",IF(E519="Geldi",IF(F519="",IFERROR(INDEX(Hizmetler!$C$5:$C$54,MATCH(D519,Hizmetler!$A$5:$A$54,0)),0),F519),0))</f>
        <v/>
      </c>
      <c r="H519" s="18" t="str">
        <f aca="false">IF(OR(B519="",D519=""),"",ROUND((B519+IFERROR(INDEX(Hizmetler!$B$5:$B$54,MATCH(D519,Hizmetler!$A$5:$A$54,0)),0)/1440)*1440,0)/1440)</f>
        <v/>
      </c>
      <c r="I519" s="19" t="str">
        <f aca="false">IF(OR(A519="",H519="",E519="İptal"),"",IF(COUNTIFS($A$5:$A$1004,A519,$B$5:$B$1004,"&lt;"&amp;(H519-0.0003),$H$5:$H$1004,"&gt;"&amp;(B519+0.0003),$E$5:$E$1004,"&lt;&gt;İptal")&gt;1,"Çakışıyor",""))</f>
        <v/>
      </c>
      <c r="J519" s="21" t="str">
        <f aca="false">IF(AND(A519=Gün!$C$3,B519&lt;&gt;"",E519&lt;&gt;"İptal"),B519+ROW()/100000000,"")</f>
        <v/>
      </c>
    </row>
    <row r="520" customFormat="false" ht="15" hidden="false" customHeight="false" outlineLevel="0" collapsed="false">
      <c r="A520" s="12"/>
      <c r="B520" s="13"/>
      <c r="C520" s="14"/>
      <c r="D520" s="14"/>
      <c r="E520" s="15"/>
      <c r="F520" s="16"/>
      <c r="G520" s="17" t="str">
        <f aca="false">IF(D520="","",IF(E520="Geldi",IF(F520="",IFERROR(INDEX(Hizmetler!$C$5:$C$54,MATCH(D520,Hizmetler!$A$5:$A$54,0)),0),F520),0))</f>
        <v/>
      </c>
      <c r="H520" s="18" t="str">
        <f aca="false">IF(OR(B520="",D520=""),"",ROUND((B520+IFERROR(INDEX(Hizmetler!$B$5:$B$54,MATCH(D520,Hizmetler!$A$5:$A$54,0)),0)/1440)*1440,0)/1440)</f>
        <v/>
      </c>
      <c r="I520" s="19" t="str">
        <f aca="false">IF(OR(A520="",H520="",E520="İptal"),"",IF(COUNTIFS($A$5:$A$1004,A520,$B$5:$B$1004,"&lt;"&amp;(H520-0.0003),$H$5:$H$1004,"&gt;"&amp;(B520+0.0003),$E$5:$E$1004,"&lt;&gt;İptal")&gt;1,"Çakışıyor",""))</f>
        <v/>
      </c>
      <c r="J520" s="21" t="str">
        <f aca="false">IF(AND(A520=Gün!$C$3,B520&lt;&gt;"",E520&lt;&gt;"İptal"),B520+ROW()/100000000,"")</f>
        <v/>
      </c>
    </row>
    <row r="521" customFormat="false" ht="15" hidden="false" customHeight="false" outlineLevel="0" collapsed="false">
      <c r="A521" s="12"/>
      <c r="B521" s="13"/>
      <c r="C521" s="14"/>
      <c r="D521" s="14"/>
      <c r="E521" s="15"/>
      <c r="F521" s="16"/>
      <c r="G521" s="17" t="str">
        <f aca="false">IF(D521="","",IF(E521="Geldi",IF(F521="",IFERROR(INDEX(Hizmetler!$C$5:$C$54,MATCH(D521,Hizmetler!$A$5:$A$54,0)),0),F521),0))</f>
        <v/>
      </c>
      <c r="H521" s="18" t="str">
        <f aca="false">IF(OR(B521="",D521=""),"",ROUND((B521+IFERROR(INDEX(Hizmetler!$B$5:$B$54,MATCH(D521,Hizmetler!$A$5:$A$54,0)),0)/1440)*1440,0)/1440)</f>
        <v/>
      </c>
      <c r="I521" s="19" t="str">
        <f aca="false">IF(OR(A521="",H521="",E521="İptal"),"",IF(COUNTIFS($A$5:$A$1004,A521,$B$5:$B$1004,"&lt;"&amp;(H521-0.0003),$H$5:$H$1004,"&gt;"&amp;(B521+0.0003),$E$5:$E$1004,"&lt;&gt;İptal")&gt;1,"Çakışıyor",""))</f>
        <v/>
      </c>
      <c r="J521" s="21" t="str">
        <f aca="false">IF(AND(A521=Gün!$C$3,B521&lt;&gt;"",E521&lt;&gt;"İptal"),B521+ROW()/100000000,"")</f>
        <v/>
      </c>
    </row>
    <row r="522" customFormat="false" ht="15" hidden="false" customHeight="false" outlineLevel="0" collapsed="false">
      <c r="A522" s="12"/>
      <c r="B522" s="13"/>
      <c r="C522" s="14"/>
      <c r="D522" s="14"/>
      <c r="E522" s="15"/>
      <c r="F522" s="16"/>
      <c r="G522" s="17" t="str">
        <f aca="false">IF(D522="","",IF(E522="Geldi",IF(F522="",IFERROR(INDEX(Hizmetler!$C$5:$C$54,MATCH(D522,Hizmetler!$A$5:$A$54,0)),0),F522),0))</f>
        <v/>
      </c>
      <c r="H522" s="18" t="str">
        <f aca="false">IF(OR(B522="",D522=""),"",ROUND((B522+IFERROR(INDEX(Hizmetler!$B$5:$B$54,MATCH(D522,Hizmetler!$A$5:$A$54,0)),0)/1440)*1440,0)/1440)</f>
        <v/>
      </c>
      <c r="I522" s="19" t="str">
        <f aca="false">IF(OR(A522="",H522="",E522="İptal"),"",IF(COUNTIFS($A$5:$A$1004,A522,$B$5:$B$1004,"&lt;"&amp;(H522-0.0003),$H$5:$H$1004,"&gt;"&amp;(B522+0.0003),$E$5:$E$1004,"&lt;&gt;İptal")&gt;1,"Çakışıyor",""))</f>
        <v/>
      </c>
      <c r="J522" s="21" t="str">
        <f aca="false">IF(AND(A522=Gün!$C$3,B522&lt;&gt;"",E522&lt;&gt;"İptal"),B522+ROW()/100000000,"")</f>
        <v/>
      </c>
    </row>
    <row r="523" customFormat="false" ht="15" hidden="false" customHeight="false" outlineLevel="0" collapsed="false">
      <c r="A523" s="12"/>
      <c r="B523" s="13"/>
      <c r="C523" s="14"/>
      <c r="D523" s="14"/>
      <c r="E523" s="15"/>
      <c r="F523" s="16"/>
      <c r="G523" s="17" t="str">
        <f aca="false">IF(D523="","",IF(E523="Geldi",IF(F523="",IFERROR(INDEX(Hizmetler!$C$5:$C$54,MATCH(D523,Hizmetler!$A$5:$A$54,0)),0),F523),0))</f>
        <v/>
      </c>
      <c r="H523" s="18" t="str">
        <f aca="false">IF(OR(B523="",D523=""),"",ROUND((B523+IFERROR(INDEX(Hizmetler!$B$5:$B$54,MATCH(D523,Hizmetler!$A$5:$A$54,0)),0)/1440)*1440,0)/1440)</f>
        <v/>
      </c>
      <c r="I523" s="19" t="str">
        <f aca="false">IF(OR(A523="",H523="",E523="İptal"),"",IF(COUNTIFS($A$5:$A$1004,A523,$B$5:$B$1004,"&lt;"&amp;(H523-0.0003),$H$5:$H$1004,"&gt;"&amp;(B523+0.0003),$E$5:$E$1004,"&lt;&gt;İptal")&gt;1,"Çakışıyor",""))</f>
        <v/>
      </c>
      <c r="J523" s="21" t="str">
        <f aca="false">IF(AND(A523=Gün!$C$3,B523&lt;&gt;"",E523&lt;&gt;"İptal"),B523+ROW()/100000000,"")</f>
        <v/>
      </c>
    </row>
    <row r="524" customFormat="false" ht="15" hidden="false" customHeight="false" outlineLevel="0" collapsed="false">
      <c r="A524" s="12"/>
      <c r="B524" s="13"/>
      <c r="C524" s="14"/>
      <c r="D524" s="14"/>
      <c r="E524" s="15"/>
      <c r="F524" s="16"/>
      <c r="G524" s="17" t="str">
        <f aca="false">IF(D524="","",IF(E524="Geldi",IF(F524="",IFERROR(INDEX(Hizmetler!$C$5:$C$54,MATCH(D524,Hizmetler!$A$5:$A$54,0)),0),F524),0))</f>
        <v/>
      </c>
      <c r="H524" s="18" t="str">
        <f aca="false">IF(OR(B524="",D524=""),"",ROUND((B524+IFERROR(INDEX(Hizmetler!$B$5:$B$54,MATCH(D524,Hizmetler!$A$5:$A$54,0)),0)/1440)*1440,0)/1440)</f>
        <v/>
      </c>
      <c r="I524" s="19" t="str">
        <f aca="false">IF(OR(A524="",H524="",E524="İptal"),"",IF(COUNTIFS($A$5:$A$1004,A524,$B$5:$B$1004,"&lt;"&amp;(H524-0.0003),$H$5:$H$1004,"&gt;"&amp;(B524+0.0003),$E$5:$E$1004,"&lt;&gt;İptal")&gt;1,"Çakışıyor",""))</f>
        <v/>
      </c>
      <c r="J524" s="21" t="str">
        <f aca="false">IF(AND(A524=Gün!$C$3,B524&lt;&gt;"",E524&lt;&gt;"İptal"),B524+ROW()/100000000,"")</f>
        <v/>
      </c>
    </row>
    <row r="525" customFormat="false" ht="15" hidden="false" customHeight="false" outlineLevel="0" collapsed="false">
      <c r="A525" s="12"/>
      <c r="B525" s="13"/>
      <c r="C525" s="14"/>
      <c r="D525" s="14"/>
      <c r="E525" s="15"/>
      <c r="F525" s="16"/>
      <c r="G525" s="17" t="str">
        <f aca="false">IF(D525="","",IF(E525="Geldi",IF(F525="",IFERROR(INDEX(Hizmetler!$C$5:$C$54,MATCH(D525,Hizmetler!$A$5:$A$54,0)),0),F525),0))</f>
        <v/>
      </c>
      <c r="H525" s="18" t="str">
        <f aca="false">IF(OR(B525="",D525=""),"",ROUND((B525+IFERROR(INDEX(Hizmetler!$B$5:$B$54,MATCH(D525,Hizmetler!$A$5:$A$54,0)),0)/1440)*1440,0)/1440)</f>
        <v/>
      </c>
      <c r="I525" s="19" t="str">
        <f aca="false">IF(OR(A525="",H525="",E525="İptal"),"",IF(COUNTIFS($A$5:$A$1004,A525,$B$5:$B$1004,"&lt;"&amp;(H525-0.0003),$H$5:$H$1004,"&gt;"&amp;(B525+0.0003),$E$5:$E$1004,"&lt;&gt;İptal")&gt;1,"Çakışıyor",""))</f>
        <v/>
      </c>
      <c r="J525" s="21" t="str">
        <f aca="false">IF(AND(A525=Gün!$C$3,B525&lt;&gt;"",E525&lt;&gt;"İptal"),B525+ROW()/100000000,"")</f>
        <v/>
      </c>
    </row>
    <row r="526" customFormat="false" ht="15" hidden="false" customHeight="false" outlineLevel="0" collapsed="false">
      <c r="A526" s="12"/>
      <c r="B526" s="13"/>
      <c r="C526" s="14"/>
      <c r="D526" s="14"/>
      <c r="E526" s="15"/>
      <c r="F526" s="16"/>
      <c r="G526" s="17" t="str">
        <f aca="false">IF(D526="","",IF(E526="Geldi",IF(F526="",IFERROR(INDEX(Hizmetler!$C$5:$C$54,MATCH(D526,Hizmetler!$A$5:$A$54,0)),0),F526),0))</f>
        <v/>
      </c>
      <c r="H526" s="18" t="str">
        <f aca="false">IF(OR(B526="",D526=""),"",ROUND((B526+IFERROR(INDEX(Hizmetler!$B$5:$B$54,MATCH(D526,Hizmetler!$A$5:$A$54,0)),0)/1440)*1440,0)/1440)</f>
        <v/>
      </c>
      <c r="I526" s="19" t="str">
        <f aca="false">IF(OR(A526="",H526="",E526="İptal"),"",IF(COUNTIFS($A$5:$A$1004,A526,$B$5:$B$1004,"&lt;"&amp;(H526-0.0003),$H$5:$H$1004,"&gt;"&amp;(B526+0.0003),$E$5:$E$1004,"&lt;&gt;İptal")&gt;1,"Çakışıyor",""))</f>
        <v/>
      </c>
      <c r="J526" s="21" t="str">
        <f aca="false">IF(AND(A526=Gün!$C$3,B526&lt;&gt;"",E526&lt;&gt;"İptal"),B526+ROW()/100000000,"")</f>
        <v/>
      </c>
    </row>
    <row r="527" customFormat="false" ht="15" hidden="false" customHeight="false" outlineLevel="0" collapsed="false">
      <c r="A527" s="12"/>
      <c r="B527" s="13"/>
      <c r="C527" s="14"/>
      <c r="D527" s="14"/>
      <c r="E527" s="15"/>
      <c r="F527" s="16"/>
      <c r="G527" s="17" t="str">
        <f aca="false">IF(D527="","",IF(E527="Geldi",IF(F527="",IFERROR(INDEX(Hizmetler!$C$5:$C$54,MATCH(D527,Hizmetler!$A$5:$A$54,0)),0),F527),0))</f>
        <v/>
      </c>
      <c r="H527" s="18" t="str">
        <f aca="false">IF(OR(B527="",D527=""),"",ROUND((B527+IFERROR(INDEX(Hizmetler!$B$5:$B$54,MATCH(D527,Hizmetler!$A$5:$A$54,0)),0)/1440)*1440,0)/1440)</f>
        <v/>
      </c>
      <c r="I527" s="19" t="str">
        <f aca="false">IF(OR(A527="",H527="",E527="İptal"),"",IF(COUNTIFS($A$5:$A$1004,A527,$B$5:$B$1004,"&lt;"&amp;(H527-0.0003),$H$5:$H$1004,"&gt;"&amp;(B527+0.0003),$E$5:$E$1004,"&lt;&gt;İptal")&gt;1,"Çakışıyor",""))</f>
        <v/>
      </c>
      <c r="J527" s="21" t="str">
        <f aca="false">IF(AND(A527=Gün!$C$3,B527&lt;&gt;"",E527&lt;&gt;"İptal"),B527+ROW()/100000000,"")</f>
        <v/>
      </c>
    </row>
    <row r="528" customFormat="false" ht="15" hidden="false" customHeight="false" outlineLevel="0" collapsed="false">
      <c r="A528" s="12"/>
      <c r="B528" s="13"/>
      <c r="C528" s="14"/>
      <c r="D528" s="14"/>
      <c r="E528" s="15"/>
      <c r="F528" s="16"/>
      <c r="G528" s="17" t="str">
        <f aca="false">IF(D528="","",IF(E528="Geldi",IF(F528="",IFERROR(INDEX(Hizmetler!$C$5:$C$54,MATCH(D528,Hizmetler!$A$5:$A$54,0)),0),F528),0))</f>
        <v/>
      </c>
      <c r="H528" s="18" t="str">
        <f aca="false">IF(OR(B528="",D528=""),"",ROUND((B528+IFERROR(INDEX(Hizmetler!$B$5:$B$54,MATCH(D528,Hizmetler!$A$5:$A$54,0)),0)/1440)*1440,0)/1440)</f>
        <v/>
      </c>
      <c r="I528" s="19" t="str">
        <f aca="false">IF(OR(A528="",H528="",E528="İptal"),"",IF(COUNTIFS($A$5:$A$1004,A528,$B$5:$B$1004,"&lt;"&amp;(H528-0.0003),$H$5:$H$1004,"&gt;"&amp;(B528+0.0003),$E$5:$E$1004,"&lt;&gt;İptal")&gt;1,"Çakışıyor",""))</f>
        <v/>
      </c>
      <c r="J528" s="21" t="str">
        <f aca="false">IF(AND(A528=Gün!$C$3,B528&lt;&gt;"",E528&lt;&gt;"İptal"),B528+ROW()/100000000,"")</f>
        <v/>
      </c>
    </row>
    <row r="529" customFormat="false" ht="15" hidden="false" customHeight="false" outlineLevel="0" collapsed="false">
      <c r="A529" s="12"/>
      <c r="B529" s="13"/>
      <c r="C529" s="14"/>
      <c r="D529" s="14"/>
      <c r="E529" s="15"/>
      <c r="F529" s="16"/>
      <c r="G529" s="17" t="str">
        <f aca="false">IF(D529="","",IF(E529="Geldi",IF(F529="",IFERROR(INDEX(Hizmetler!$C$5:$C$54,MATCH(D529,Hizmetler!$A$5:$A$54,0)),0),F529),0))</f>
        <v/>
      </c>
      <c r="H529" s="18" t="str">
        <f aca="false">IF(OR(B529="",D529=""),"",ROUND((B529+IFERROR(INDEX(Hizmetler!$B$5:$B$54,MATCH(D529,Hizmetler!$A$5:$A$54,0)),0)/1440)*1440,0)/1440)</f>
        <v/>
      </c>
      <c r="I529" s="19" t="str">
        <f aca="false">IF(OR(A529="",H529="",E529="İptal"),"",IF(COUNTIFS($A$5:$A$1004,A529,$B$5:$B$1004,"&lt;"&amp;(H529-0.0003),$H$5:$H$1004,"&gt;"&amp;(B529+0.0003),$E$5:$E$1004,"&lt;&gt;İptal")&gt;1,"Çakışıyor",""))</f>
        <v/>
      </c>
      <c r="J529" s="21" t="str">
        <f aca="false">IF(AND(A529=Gün!$C$3,B529&lt;&gt;"",E529&lt;&gt;"İptal"),B529+ROW()/100000000,"")</f>
        <v/>
      </c>
    </row>
    <row r="530" customFormat="false" ht="15" hidden="false" customHeight="false" outlineLevel="0" collapsed="false">
      <c r="A530" s="12"/>
      <c r="B530" s="13"/>
      <c r="C530" s="14"/>
      <c r="D530" s="14"/>
      <c r="E530" s="15"/>
      <c r="F530" s="16"/>
      <c r="G530" s="17" t="str">
        <f aca="false">IF(D530="","",IF(E530="Geldi",IF(F530="",IFERROR(INDEX(Hizmetler!$C$5:$C$54,MATCH(D530,Hizmetler!$A$5:$A$54,0)),0),F530),0))</f>
        <v/>
      </c>
      <c r="H530" s="18" t="str">
        <f aca="false">IF(OR(B530="",D530=""),"",ROUND((B530+IFERROR(INDEX(Hizmetler!$B$5:$B$54,MATCH(D530,Hizmetler!$A$5:$A$54,0)),0)/1440)*1440,0)/1440)</f>
        <v/>
      </c>
      <c r="I530" s="19" t="str">
        <f aca="false">IF(OR(A530="",H530="",E530="İptal"),"",IF(COUNTIFS($A$5:$A$1004,A530,$B$5:$B$1004,"&lt;"&amp;(H530-0.0003),$H$5:$H$1004,"&gt;"&amp;(B530+0.0003),$E$5:$E$1004,"&lt;&gt;İptal")&gt;1,"Çakışıyor",""))</f>
        <v/>
      </c>
      <c r="J530" s="21" t="str">
        <f aca="false">IF(AND(A530=Gün!$C$3,B530&lt;&gt;"",E530&lt;&gt;"İptal"),B530+ROW()/100000000,"")</f>
        <v/>
      </c>
    </row>
    <row r="531" customFormat="false" ht="15" hidden="false" customHeight="false" outlineLevel="0" collapsed="false">
      <c r="A531" s="12"/>
      <c r="B531" s="13"/>
      <c r="C531" s="14"/>
      <c r="D531" s="14"/>
      <c r="E531" s="15"/>
      <c r="F531" s="16"/>
      <c r="G531" s="17" t="str">
        <f aca="false">IF(D531="","",IF(E531="Geldi",IF(F531="",IFERROR(INDEX(Hizmetler!$C$5:$C$54,MATCH(D531,Hizmetler!$A$5:$A$54,0)),0),F531),0))</f>
        <v/>
      </c>
      <c r="H531" s="18" t="str">
        <f aca="false">IF(OR(B531="",D531=""),"",ROUND((B531+IFERROR(INDEX(Hizmetler!$B$5:$B$54,MATCH(D531,Hizmetler!$A$5:$A$54,0)),0)/1440)*1440,0)/1440)</f>
        <v/>
      </c>
      <c r="I531" s="19" t="str">
        <f aca="false">IF(OR(A531="",H531="",E531="İptal"),"",IF(COUNTIFS($A$5:$A$1004,A531,$B$5:$B$1004,"&lt;"&amp;(H531-0.0003),$H$5:$H$1004,"&gt;"&amp;(B531+0.0003),$E$5:$E$1004,"&lt;&gt;İptal")&gt;1,"Çakışıyor",""))</f>
        <v/>
      </c>
      <c r="J531" s="21" t="str">
        <f aca="false">IF(AND(A531=Gün!$C$3,B531&lt;&gt;"",E531&lt;&gt;"İptal"),B531+ROW()/100000000,"")</f>
        <v/>
      </c>
    </row>
    <row r="532" customFormat="false" ht="15" hidden="false" customHeight="false" outlineLevel="0" collapsed="false">
      <c r="A532" s="12"/>
      <c r="B532" s="13"/>
      <c r="C532" s="14"/>
      <c r="D532" s="14"/>
      <c r="E532" s="15"/>
      <c r="F532" s="16"/>
      <c r="G532" s="17" t="str">
        <f aca="false">IF(D532="","",IF(E532="Geldi",IF(F532="",IFERROR(INDEX(Hizmetler!$C$5:$C$54,MATCH(D532,Hizmetler!$A$5:$A$54,0)),0),F532),0))</f>
        <v/>
      </c>
      <c r="H532" s="18" t="str">
        <f aca="false">IF(OR(B532="",D532=""),"",ROUND((B532+IFERROR(INDEX(Hizmetler!$B$5:$B$54,MATCH(D532,Hizmetler!$A$5:$A$54,0)),0)/1440)*1440,0)/1440)</f>
        <v/>
      </c>
      <c r="I532" s="19" t="str">
        <f aca="false">IF(OR(A532="",H532="",E532="İptal"),"",IF(COUNTIFS($A$5:$A$1004,A532,$B$5:$B$1004,"&lt;"&amp;(H532-0.0003),$H$5:$H$1004,"&gt;"&amp;(B532+0.0003),$E$5:$E$1004,"&lt;&gt;İptal")&gt;1,"Çakışıyor",""))</f>
        <v/>
      </c>
      <c r="J532" s="21" t="str">
        <f aca="false">IF(AND(A532=Gün!$C$3,B532&lt;&gt;"",E532&lt;&gt;"İptal"),B532+ROW()/100000000,"")</f>
        <v/>
      </c>
    </row>
    <row r="533" customFormat="false" ht="15" hidden="false" customHeight="false" outlineLevel="0" collapsed="false">
      <c r="A533" s="12"/>
      <c r="B533" s="13"/>
      <c r="C533" s="14"/>
      <c r="D533" s="14"/>
      <c r="E533" s="15"/>
      <c r="F533" s="16"/>
      <c r="G533" s="17" t="str">
        <f aca="false">IF(D533="","",IF(E533="Geldi",IF(F533="",IFERROR(INDEX(Hizmetler!$C$5:$C$54,MATCH(D533,Hizmetler!$A$5:$A$54,0)),0),F533),0))</f>
        <v/>
      </c>
      <c r="H533" s="18" t="str">
        <f aca="false">IF(OR(B533="",D533=""),"",ROUND((B533+IFERROR(INDEX(Hizmetler!$B$5:$B$54,MATCH(D533,Hizmetler!$A$5:$A$54,0)),0)/1440)*1440,0)/1440)</f>
        <v/>
      </c>
      <c r="I533" s="19" t="str">
        <f aca="false">IF(OR(A533="",H533="",E533="İptal"),"",IF(COUNTIFS($A$5:$A$1004,A533,$B$5:$B$1004,"&lt;"&amp;(H533-0.0003),$H$5:$H$1004,"&gt;"&amp;(B533+0.0003),$E$5:$E$1004,"&lt;&gt;İptal")&gt;1,"Çakışıyor",""))</f>
        <v/>
      </c>
      <c r="J533" s="21" t="str">
        <f aca="false">IF(AND(A533=Gün!$C$3,B533&lt;&gt;"",E533&lt;&gt;"İptal"),B533+ROW()/100000000,"")</f>
        <v/>
      </c>
    </row>
    <row r="534" customFormat="false" ht="15" hidden="false" customHeight="false" outlineLevel="0" collapsed="false">
      <c r="A534" s="12"/>
      <c r="B534" s="13"/>
      <c r="C534" s="14"/>
      <c r="D534" s="14"/>
      <c r="E534" s="15"/>
      <c r="F534" s="16"/>
      <c r="G534" s="17" t="str">
        <f aca="false">IF(D534="","",IF(E534="Geldi",IF(F534="",IFERROR(INDEX(Hizmetler!$C$5:$C$54,MATCH(D534,Hizmetler!$A$5:$A$54,0)),0),F534),0))</f>
        <v/>
      </c>
      <c r="H534" s="18" t="str">
        <f aca="false">IF(OR(B534="",D534=""),"",ROUND((B534+IFERROR(INDEX(Hizmetler!$B$5:$B$54,MATCH(D534,Hizmetler!$A$5:$A$54,0)),0)/1440)*1440,0)/1440)</f>
        <v/>
      </c>
      <c r="I534" s="19" t="str">
        <f aca="false">IF(OR(A534="",H534="",E534="İptal"),"",IF(COUNTIFS($A$5:$A$1004,A534,$B$5:$B$1004,"&lt;"&amp;(H534-0.0003),$H$5:$H$1004,"&gt;"&amp;(B534+0.0003),$E$5:$E$1004,"&lt;&gt;İptal")&gt;1,"Çakışıyor",""))</f>
        <v/>
      </c>
      <c r="J534" s="21" t="str">
        <f aca="false">IF(AND(A534=Gün!$C$3,B534&lt;&gt;"",E534&lt;&gt;"İptal"),B534+ROW()/100000000,"")</f>
        <v/>
      </c>
    </row>
    <row r="535" customFormat="false" ht="15" hidden="false" customHeight="false" outlineLevel="0" collapsed="false">
      <c r="A535" s="12"/>
      <c r="B535" s="13"/>
      <c r="C535" s="14"/>
      <c r="D535" s="14"/>
      <c r="E535" s="15"/>
      <c r="F535" s="16"/>
      <c r="G535" s="17" t="str">
        <f aca="false">IF(D535="","",IF(E535="Geldi",IF(F535="",IFERROR(INDEX(Hizmetler!$C$5:$C$54,MATCH(D535,Hizmetler!$A$5:$A$54,0)),0),F535),0))</f>
        <v/>
      </c>
      <c r="H535" s="18" t="str">
        <f aca="false">IF(OR(B535="",D535=""),"",ROUND((B535+IFERROR(INDEX(Hizmetler!$B$5:$B$54,MATCH(D535,Hizmetler!$A$5:$A$54,0)),0)/1440)*1440,0)/1440)</f>
        <v/>
      </c>
      <c r="I535" s="19" t="str">
        <f aca="false">IF(OR(A535="",H535="",E535="İptal"),"",IF(COUNTIFS($A$5:$A$1004,A535,$B$5:$B$1004,"&lt;"&amp;(H535-0.0003),$H$5:$H$1004,"&gt;"&amp;(B535+0.0003),$E$5:$E$1004,"&lt;&gt;İptal")&gt;1,"Çakışıyor",""))</f>
        <v/>
      </c>
      <c r="J535" s="21" t="str">
        <f aca="false">IF(AND(A535=Gün!$C$3,B535&lt;&gt;"",E535&lt;&gt;"İptal"),B535+ROW()/100000000,"")</f>
        <v/>
      </c>
    </row>
    <row r="536" customFormat="false" ht="15" hidden="false" customHeight="false" outlineLevel="0" collapsed="false">
      <c r="A536" s="12"/>
      <c r="B536" s="13"/>
      <c r="C536" s="14"/>
      <c r="D536" s="14"/>
      <c r="E536" s="15"/>
      <c r="F536" s="16"/>
      <c r="G536" s="17" t="str">
        <f aca="false">IF(D536="","",IF(E536="Geldi",IF(F536="",IFERROR(INDEX(Hizmetler!$C$5:$C$54,MATCH(D536,Hizmetler!$A$5:$A$54,0)),0),F536),0))</f>
        <v/>
      </c>
      <c r="H536" s="18" t="str">
        <f aca="false">IF(OR(B536="",D536=""),"",ROUND((B536+IFERROR(INDEX(Hizmetler!$B$5:$B$54,MATCH(D536,Hizmetler!$A$5:$A$54,0)),0)/1440)*1440,0)/1440)</f>
        <v/>
      </c>
      <c r="I536" s="19" t="str">
        <f aca="false">IF(OR(A536="",H536="",E536="İptal"),"",IF(COUNTIFS($A$5:$A$1004,A536,$B$5:$B$1004,"&lt;"&amp;(H536-0.0003),$H$5:$H$1004,"&gt;"&amp;(B536+0.0003),$E$5:$E$1004,"&lt;&gt;İptal")&gt;1,"Çakışıyor",""))</f>
        <v/>
      </c>
      <c r="J536" s="21" t="str">
        <f aca="false">IF(AND(A536=Gün!$C$3,B536&lt;&gt;"",E536&lt;&gt;"İptal"),B536+ROW()/100000000,"")</f>
        <v/>
      </c>
    </row>
    <row r="537" customFormat="false" ht="15" hidden="false" customHeight="false" outlineLevel="0" collapsed="false">
      <c r="A537" s="12"/>
      <c r="B537" s="13"/>
      <c r="C537" s="14"/>
      <c r="D537" s="14"/>
      <c r="E537" s="15"/>
      <c r="F537" s="16"/>
      <c r="G537" s="17" t="str">
        <f aca="false">IF(D537="","",IF(E537="Geldi",IF(F537="",IFERROR(INDEX(Hizmetler!$C$5:$C$54,MATCH(D537,Hizmetler!$A$5:$A$54,0)),0),F537),0))</f>
        <v/>
      </c>
      <c r="H537" s="18" t="str">
        <f aca="false">IF(OR(B537="",D537=""),"",ROUND((B537+IFERROR(INDEX(Hizmetler!$B$5:$B$54,MATCH(D537,Hizmetler!$A$5:$A$54,0)),0)/1440)*1440,0)/1440)</f>
        <v/>
      </c>
      <c r="I537" s="19" t="str">
        <f aca="false">IF(OR(A537="",H537="",E537="İptal"),"",IF(COUNTIFS($A$5:$A$1004,A537,$B$5:$B$1004,"&lt;"&amp;(H537-0.0003),$H$5:$H$1004,"&gt;"&amp;(B537+0.0003),$E$5:$E$1004,"&lt;&gt;İptal")&gt;1,"Çakışıyor",""))</f>
        <v/>
      </c>
      <c r="J537" s="21" t="str">
        <f aca="false">IF(AND(A537=Gün!$C$3,B537&lt;&gt;"",E537&lt;&gt;"İptal"),B537+ROW()/100000000,"")</f>
        <v/>
      </c>
    </row>
    <row r="538" customFormat="false" ht="15" hidden="false" customHeight="false" outlineLevel="0" collapsed="false">
      <c r="A538" s="12"/>
      <c r="B538" s="13"/>
      <c r="C538" s="14"/>
      <c r="D538" s="14"/>
      <c r="E538" s="15"/>
      <c r="F538" s="16"/>
      <c r="G538" s="17" t="str">
        <f aca="false">IF(D538="","",IF(E538="Geldi",IF(F538="",IFERROR(INDEX(Hizmetler!$C$5:$C$54,MATCH(D538,Hizmetler!$A$5:$A$54,0)),0),F538),0))</f>
        <v/>
      </c>
      <c r="H538" s="18" t="str">
        <f aca="false">IF(OR(B538="",D538=""),"",ROUND((B538+IFERROR(INDEX(Hizmetler!$B$5:$B$54,MATCH(D538,Hizmetler!$A$5:$A$54,0)),0)/1440)*1440,0)/1440)</f>
        <v/>
      </c>
      <c r="I538" s="19" t="str">
        <f aca="false">IF(OR(A538="",H538="",E538="İptal"),"",IF(COUNTIFS($A$5:$A$1004,A538,$B$5:$B$1004,"&lt;"&amp;(H538-0.0003),$H$5:$H$1004,"&gt;"&amp;(B538+0.0003),$E$5:$E$1004,"&lt;&gt;İptal")&gt;1,"Çakışıyor",""))</f>
        <v/>
      </c>
      <c r="J538" s="21" t="str">
        <f aca="false">IF(AND(A538=Gün!$C$3,B538&lt;&gt;"",E538&lt;&gt;"İptal"),B538+ROW()/100000000,"")</f>
        <v/>
      </c>
    </row>
    <row r="539" customFormat="false" ht="15" hidden="false" customHeight="false" outlineLevel="0" collapsed="false">
      <c r="A539" s="12"/>
      <c r="B539" s="13"/>
      <c r="C539" s="14"/>
      <c r="D539" s="14"/>
      <c r="E539" s="15"/>
      <c r="F539" s="16"/>
      <c r="G539" s="17" t="str">
        <f aca="false">IF(D539="","",IF(E539="Geldi",IF(F539="",IFERROR(INDEX(Hizmetler!$C$5:$C$54,MATCH(D539,Hizmetler!$A$5:$A$54,0)),0),F539),0))</f>
        <v/>
      </c>
      <c r="H539" s="18" t="str">
        <f aca="false">IF(OR(B539="",D539=""),"",ROUND((B539+IFERROR(INDEX(Hizmetler!$B$5:$B$54,MATCH(D539,Hizmetler!$A$5:$A$54,0)),0)/1440)*1440,0)/1440)</f>
        <v/>
      </c>
      <c r="I539" s="19" t="str">
        <f aca="false">IF(OR(A539="",H539="",E539="İptal"),"",IF(COUNTIFS($A$5:$A$1004,A539,$B$5:$B$1004,"&lt;"&amp;(H539-0.0003),$H$5:$H$1004,"&gt;"&amp;(B539+0.0003),$E$5:$E$1004,"&lt;&gt;İptal")&gt;1,"Çakışıyor",""))</f>
        <v/>
      </c>
      <c r="J539" s="21" t="str">
        <f aca="false">IF(AND(A539=Gün!$C$3,B539&lt;&gt;"",E539&lt;&gt;"İptal"),B539+ROW()/100000000,"")</f>
        <v/>
      </c>
    </row>
    <row r="540" customFormat="false" ht="15" hidden="false" customHeight="false" outlineLevel="0" collapsed="false">
      <c r="A540" s="12"/>
      <c r="B540" s="13"/>
      <c r="C540" s="14"/>
      <c r="D540" s="14"/>
      <c r="E540" s="15"/>
      <c r="F540" s="16"/>
      <c r="G540" s="17" t="str">
        <f aca="false">IF(D540="","",IF(E540="Geldi",IF(F540="",IFERROR(INDEX(Hizmetler!$C$5:$C$54,MATCH(D540,Hizmetler!$A$5:$A$54,0)),0),F540),0))</f>
        <v/>
      </c>
      <c r="H540" s="18" t="str">
        <f aca="false">IF(OR(B540="",D540=""),"",ROUND((B540+IFERROR(INDEX(Hizmetler!$B$5:$B$54,MATCH(D540,Hizmetler!$A$5:$A$54,0)),0)/1440)*1440,0)/1440)</f>
        <v/>
      </c>
      <c r="I540" s="19" t="str">
        <f aca="false">IF(OR(A540="",H540="",E540="İptal"),"",IF(COUNTIFS($A$5:$A$1004,A540,$B$5:$B$1004,"&lt;"&amp;(H540-0.0003),$H$5:$H$1004,"&gt;"&amp;(B540+0.0003),$E$5:$E$1004,"&lt;&gt;İptal")&gt;1,"Çakışıyor",""))</f>
        <v/>
      </c>
      <c r="J540" s="21" t="str">
        <f aca="false">IF(AND(A540=Gün!$C$3,B540&lt;&gt;"",E540&lt;&gt;"İptal"),B540+ROW()/100000000,"")</f>
        <v/>
      </c>
    </row>
    <row r="541" customFormat="false" ht="15" hidden="false" customHeight="false" outlineLevel="0" collapsed="false">
      <c r="A541" s="12"/>
      <c r="B541" s="13"/>
      <c r="C541" s="14"/>
      <c r="D541" s="14"/>
      <c r="E541" s="15"/>
      <c r="F541" s="16"/>
      <c r="G541" s="17" t="str">
        <f aca="false">IF(D541="","",IF(E541="Geldi",IF(F541="",IFERROR(INDEX(Hizmetler!$C$5:$C$54,MATCH(D541,Hizmetler!$A$5:$A$54,0)),0),F541),0))</f>
        <v/>
      </c>
      <c r="H541" s="18" t="str">
        <f aca="false">IF(OR(B541="",D541=""),"",ROUND((B541+IFERROR(INDEX(Hizmetler!$B$5:$B$54,MATCH(D541,Hizmetler!$A$5:$A$54,0)),0)/1440)*1440,0)/1440)</f>
        <v/>
      </c>
      <c r="I541" s="19" t="str">
        <f aca="false">IF(OR(A541="",H541="",E541="İptal"),"",IF(COUNTIFS($A$5:$A$1004,A541,$B$5:$B$1004,"&lt;"&amp;(H541-0.0003),$H$5:$H$1004,"&gt;"&amp;(B541+0.0003),$E$5:$E$1004,"&lt;&gt;İptal")&gt;1,"Çakışıyor",""))</f>
        <v/>
      </c>
      <c r="J541" s="21" t="str">
        <f aca="false">IF(AND(A541=Gün!$C$3,B541&lt;&gt;"",E541&lt;&gt;"İptal"),B541+ROW()/100000000,"")</f>
        <v/>
      </c>
    </row>
    <row r="542" customFormat="false" ht="15" hidden="false" customHeight="false" outlineLevel="0" collapsed="false">
      <c r="A542" s="12"/>
      <c r="B542" s="13"/>
      <c r="C542" s="14"/>
      <c r="D542" s="14"/>
      <c r="E542" s="15"/>
      <c r="F542" s="16"/>
      <c r="G542" s="17" t="str">
        <f aca="false">IF(D542="","",IF(E542="Geldi",IF(F542="",IFERROR(INDEX(Hizmetler!$C$5:$C$54,MATCH(D542,Hizmetler!$A$5:$A$54,0)),0),F542),0))</f>
        <v/>
      </c>
      <c r="H542" s="18" t="str">
        <f aca="false">IF(OR(B542="",D542=""),"",ROUND((B542+IFERROR(INDEX(Hizmetler!$B$5:$B$54,MATCH(D542,Hizmetler!$A$5:$A$54,0)),0)/1440)*1440,0)/1440)</f>
        <v/>
      </c>
      <c r="I542" s="19" t="str">
        <f aca="false">IF(OR(A542="",H542="",E542="İptal"),"",IF(COUNTIFS($A$5:$A$1004,A542,$B$5:$B$1004,"&lt;"&amp;(H542-0.0003),$H$5:$H$1004,"&gt;"&amp;(B542+0.0003),$E$5:$E$1004,"&lt;&gt;İptal")&gt;1,"Çakışıyor",""))</f>
        <v/>
      </c>
      <c r="J542" s="21" t="str">
        <f aca="false">IF(AND(A542=Gün!$C$3,B542&lt;&gt;"",E542&lt;&gt;"İptal"),B542+ROW()/100000000,"")</f>
        <v/>
      </c>
    </row>
    <row r="543" customFormat="false" ht="15" hidden="false" customHeight="false" outlineLevel="0" collapsed="false">
      <c r="A543" s="12"/>
      <c r="B543" s="13"/>
      <c r="C543" s="14"/>
      <c r="D543" s="14"/>
      <c r="E543" s="15"/>
      <c r="F543" s="16"/>
      <c r="G543" s="17" t="str">
        <f aca="false">IF(D543="","",IF(E543="Geldi",IF(F543="",IFERROR(INDEX(Hizmetler!$C$5:$C$54,MATCH(D543,Hizmetler!$A$5:$A$54,0)),0),F543),0))</f>
        <v/>
      </c>
      <c r="H543" s="18" t="str">
        <f aca="false">IF(OR(B543="",D543=""),"",ROUND((B543+IFERROR(INDEX(Hizmetler!$B$5:$B$54,MATCH(D543,Hizmetler!$A$5:$A$54,0)),0)/1440)*1440,0)/1440)</f>
        <v/>
      </c>
      <c r="I543" s="19" t="str">
        <f aca="false">IF(OR(A543="",H543="",E543="İptal"),"",IF(COUNTIFS($A$5:$A$1004,A543,$B$5:$B$1004,"&lt;"&amp;(H543-0.0003),$H$5:$H$1004,"&gt;"&amp;(B543+0.0003),$E$5:$E$1004,"&lt;&gt;İptal")&gt;1,"Çakışıyor",""))</f>
        <v/>
      </c>
      <c r="J543" s="21" t="str">
        <f aca="false">IF(AND(A543=Gün!$C$3,B543&lt;&gt;"",E543&lt;&gt;"İptal"),B543+ROW()/100000000,"")</f>
        <v/>
      </c>
    </row>
    <row r="544" customFormat="false" ht="15" hidden="false" customHeight="false" outlineLevel="0" collapsed="false">
      <c r="A544" s="12"/>
      <c r="B544" s="13"/>
      <c r="C544" s="14"/>
      <c r="D544" s="14"/>
      <c r="E544" s="15"/>
      <c r="F544" s="16"/>
      <c r="G544" s="17" t="str">
        <f aca="false">IF(D544="","",IF(E544="Geldi",IF(F544="",IFERROR(INDEX(Hizmetler!$C$5:$C$54,MATCH(D544,Hizmetler!$A$5:$A$54,0)),0),F544),0))</f>
        <v/>
      </c>
      <c r="H544" s="18" t="str">
        <f aca="false">IF(OR(B544="",D544=""),"",ROUND((B544+IFERROR(INDEX(Hizmetler!$B$5:$B$54,MATCH(D544,Hizmetler!$A$5:$A$54,0)),0)/1440)*1440,0)/1440)</f>
        <v/>
      </c>
      <c r="I544" s="19" t="str">
        <f aca="false">IF(OR(A544="",H544="",E544="İptal"),"",IF(COUNTIFS($A$5:$A$1004,A544,$B$5:$B$1004,"&lt;"&amp;(H544-0.0003),$H$5:$H$1004,"&gt;"&amp;(B544+0.0003),$E$5:$E$1004,"&lt;&gt;İptal")&gt;1,"Çakışıyor",""))</f>
        <v/>
      </c>
      <c r="J544" s="21" t="str">
        <f aca="false">IF(AND(A544=Gün!$C$3,B544&lt;&gt;"",E544&lt;&gt;"İptal"),B544+ROW()/100000000,"")</f>
        <v/>
      </c>
    </row>
    <row r="545" customFormat="false" ht="15" hidden="false" customHeight="false" outlineLevel="0" collapsed="false">
      <c r="A545" s="12"/>
      <c r="B545" s="13"/>
      <c r="C545" s="14"/>
      <c r="D545" s="14"/>
      <c r="E545" s="15"/>
      <c r="F545" s="16"/>
      <c r="G545" s="17" t="str">
        <f aca="false">IF(D545="","",IF(E545="Geldi",IF(F545="",IFERROR(INDEX(Hizmetler!$C$5:$C$54,MATCH(D545,Hizmetler!$A$5:$A$54,0)),0),F545),0))</f>
        <v/>
      </c>
      <c r="H545" s="18" t="str">
        <f aca="false">IF(OR(B545="",D545=""),"",ROUND((B545+IFERROR(INDEX(Hizmetler!$B$5:$B$54,MATCH(D545,Hizmetler!$A$5:$A$54,0)),0)/1440)*1440,0)/1440)</f>
        <v/>
      </c>
      <c r="I545" s="19" t="str">
        <f aca="false">IF(OR(A545="",H545="",E545="İptal"),"",IF(COUNTIFS($A$5:$A$1004,A545,$B$5:$B$1004,"&lt;"&amp;(H545-0.0003),$H$5:$H$1004,"&gt;"&amp;(B545+0.0003),$E$5:$E$1004,"&lt;&gt;İptal")&gt;1,"Çakışıyor",""))</f>
        <v/>
      </c>
      <c r="J545" s="21" t="str">
        <f aca="false">IF(AND(A545=Gün!$C$3,B545&lt;&gt;"",E545&lt;&gt;"İptal"),B545+ROW()/100000000,"")</f>
        <v/>
      </c>
    </row>
    <row r="546" customFormat="false" ht="15" hidden="false" customHeight="false" outlineLevel="0" collapsed="false">
      <c r="A546" s="12"/>
      <c r="B546" s="13"/>
      <c r="C546" s="14"/>
      <c r="D546" s="14"/>
      <c r="E546" s="15"/>
      <c r="F546" s="16"/>
      <c r="G546" s="17" t="str">
        <f aca="false">IF(D546="","",IF(E546="Geldi",IF(F546="",IFERROR(INDEX(Hizmetler!$C$5:$C$54,MATCH(D546,Hizmetler!$A$5:$A$54,0)),0),F546),0))</f>
        <v/>
      </c>
      <c r="H546" s="18" t="str">
        <f aca="false">IF(OR(B546="",D546=""),"",ROUND((B546+IFERROR(INDEX(Hizmetler!$B$5:$B$54,MATCH(D546,Hizmetler!$A$5:$A$54,0)),0)/1440)*1440,0)/1440)</f>
        <v/>
      </c>
      <c r="I546" s="19" t="str">
        <f aca="false">IF(OR(A546="",H546="",E546="İptal"),"",IF(COUNTIFS($A$5:$A$1004,A546,$B$5:$B$1004,"&lt;"&amp;(H546-0.0003),$H$5:$H$1004,"&gt;"&amp;(B546+0.0003),$E$5:$E$1004,"&lt;&gt;İptal")&gt;1,"Çakışıyor",""))</f>
        <v/>
      </c>
      <c r="J546" s="21" t="str">
        <f aca="false">IF(AND(A546=Gün!$C$3,B546&lt;&gt;"",E546&lt;&gt;"İptal"),B546+ROW()/100000000,"")</f>
        <v/>
      </c>
    </row>
    <row r="547" customFormat="false" ht="15" hidden="false" customHeight="false" outlineLevel="0" collapsed="false">
      <c r="A547" s="12"/>
      <c r="B547" s="13"/>
      <c r="C547" s="14"/>
      <c r="D547" s="14"/>
      <c r="E547" s="15"/>
      <c r="F547" s="16"/>
      <c r="G547" s="17" t="str">
        <f aca="false">IF(D547="","",IF(E547="Geldi",IF(F547="",IFERROR(INDEX(Hizmetler!$C$5:$C$54,MATCH(D547,Hizmetler!$A$5:$A$54,0)),0),F547),0))</f>
        <v/>
      </c>
      <c r="H547" s="18" t="str">
        <f aca="false">IF(OR(B547="",D547=""),"",ROUND((B547+IFERROR(INDEX(Hizmetler!$B$5:$B$54,MATCH(D547,Hizmetler!$A$5:$A$54,0)),0)/1440)*1440,0)/1440)</f>
        <v/>
      </c>
      <c r="I547" s="19" t="str">
        <f aca="false">IF(OR(A547="",H547="",E547="İptal"),"",IF(COUNTIFS($A$5:$A$1004,A547,$B$5:$B$1004,"&lt;"&amp;(H547-0.0003),$H$5:$H$1004,"&gt;"&amp;(B547+0.0003),$E$5:$E$1004,"&lt;&gt;İptal")&gt;1,"Çakışıyor",""))</f>
        <v/>
      </c>
      <c r="J547" s="21" t="str">
        <f aca="false">IF(AND(A547=Gün!$C$3,B547&lt;&gt;"",E547&lt;&gt;"İptal"),B547+ROW()/100000000,"")</f>
        <v/>
      </c>
    </row>
    <row r="548" customFormat="false" ht="15" hidden="false" customHeight="false" outlineLevel="0" collapsed="false">
      <c r="A548" s="12"/>
      <c r="B548" s="13"/>
      <c r="C548" s="14"/>
      <c r="D548" s="14"/>
      <c r="E548" s="15"/>
      <c r="F548" s="16"/>
      <c r="G548" s="17" t="str">
        <f aca="false">IF(D548="","",IF(E548="Geldi",IF(F548="",IFERROR(INDEX(Hizmetler!$C$5:$C$54,MATCH(D548,Hizmetler!$A$5:$A$54,0)),0),F548),0))</f>
        <v/>
      </c>
      <c r="H548" s="18" t="str">
        <f aca="false">IF(OR(B548="",D548=""),"",ROUND((B548+IFERROR(INDEX(Hizmetler!$B$5:$B$54,MATCH(D548,Hizmetler!$A$5:$A$54,0)),0)/1440)*1440,0)/1440)</f>
        <v/>
      </c>
      <c r="I548" s="19" t="str">
        <f aca="false">IF(OR(A548="",H548="",E548="İptal"),"",IF(COUNTIFS($A$5:$A$1004,A548,$B$5:$B$1004,"&lt;"&amp;(H548-0.0003),$H$5:$H$1004,"&gt;"&amp;(B548+0.0003),$E$5:$E$1004,"&lt;&gt;İptal")&gt;1,"Çakışıyor",""))</f>
        <v/>
      </c>
      <c r="J548" s="21" t="str">
        <f aca="false">IF(AND(A548=Gün!$C$3,B548&lt;&gt;"",E548&lt;&gt;"İptal"),B548+ROW()/100000000,"")</f>
        <v/>
      </c>
    </row>
    <row r="549" customFormat="false" ht="15" hidden="false" customHeight="false" outlineLevel="0" collapsed="false">
      <c r="A549" s="12"/>
      <c r="B549" s="13"/>
      <c r="C549" s="14"/>
      <c r="D549" s="14"/>
      <c r="E549" s="15"/>
      <c r="F549" s="16"/>
      <c r="G549" s="17" t="str">
        <f aca="false">IF(D549="","",IF(E549="Geldi",IF(F549="",IFERROR(INDEX(Hizmetler!$C$5:$C$54,MATCH(D549,Hizmetler!$A$5:$A$54,0)),0),F549),0))</f>
        <v/>
      </c>
      <c r="H549" s="18" t="str">
        <f aca="false">IF(OR(B549="",D549=""),"",ROUND((B549+IFERROR(INDEX(Hizmetler!$B$5:$B$54,MATCH(D549,Hizmetler!$A$5:$A$54,0)),0)/1440)*1440,0)/1440)</f>
        <v/>
      </c>
      <c r="I549" s="19" t="str">
        <f aca="false">IF(OR(A549="",H549="",E549="İptal"),"",IF(COUNTIFS($A$5:$A$1004,A549,$B$5:$B$1004,"&lt;"&amp;(H549-0.0003),$H$5:$H$1004,"&gt;"&amp;(B549+0.0003),$E$5:$E$1004,"&lt;&gt;İptal")&gt;1,"Çakışıyor",""))</f>
        <v/>
      </c>
      <c r="J549" s="21" t="str">
        <f aca="false">IF(AND(A549=Gün!$C$3,B549&lt;&gt;"",E549&lt;&gt;"İptal"),B549+ROW()/100000000,"")</f>
        <v/>
      </c>
    </row>
    <row r="550" customFormat="false" ht="15" hidden="false" customHeight="false" outlineLevel="0" collapsed="false">
      <c r="A550" s="12"/>
      <c r="B550" s="13"/>
      <c r="C550" s="14"/>
      <c r="D550" s="14"/>
      <c r="E550" s="15"/>
      <c r="F550" s="16"/>
      <c r="G550" s="17" t="str">
        <f aca="false">IF(D550="","",IF(E550="Geldi",IF(F550="",IFERROR(INDEX(Hizmetler!$C$5:$C$54,MATCH(D550,Hizmetler!$A$5:$A$54,0)),0),F550),0))</f>
        <v/>
      </c>
      <c r="H550" s="18" t="str">
        <f aca="false">IF(OR(B550="",D550=""),"",ROUND((B550+IFERROR(INDEX(Hizmetler!$B$5:$B$54,MATCH(D550,Hizmetler!$A$5:$A$54,0)),0)/1440)*1440,0)/1440)</f>
        <v/>
      </c>
      <c r="I550" s="19" t="str">
        <f aca="false">IF(OR(A550="",H550="",E550="İptal"),"",IF(COUNTIFS($A$5:$A$1004,A550,$B$5:$B$1004,"&lt;"&amp;(H550-0.0003),$H$5:$H$1004,"&gt;"&amp;(B550+0.0003),$E$5:$E$1004,"&lt;&gt;İptal")&gt;1,"Çakışıyor",""))</f>
        <v/>
      </c>
      <c r="J550" s="21" t="str">
        <f aca="false">IF(AND(A550=Gün!$C$3,B550&lt;&gt;"",E550&lt;&gt;"İptal"),B550+ROW()/100000000,"")</f>
        <v/>
      </c>
    </row>
    <row r="551" customFormat="false" ht="15" hidden="false" customHeight="false" outlineLevel="0" collapsed="false">
      <c r="A551" s="12"/>
      <c r="B551" s="13"/>
      <c r="C551" s="14"/>
      <c r="D551" s="14"/>
      <c r="E551" s="15"/>
      <c r="F551" s="16"/>
      <c r="G551" s="17" t="str">
        <f aca="false">IF(D551="","",IF(E551="Geldi",IF(F551="",IFERROR(INDEX(Hizmetler!$C$5:$C$54,MATCH(D551,Hizmetler!$A$5:$A$54,0)),0),F551),0))</f>
        <v/>
      </c>
      <c r="H551" s="18" t="str">
        <f aca="false">IF(OR(B551="",D551=""),"",ROUND((B551+IFERROR(INDEX(Hizmetler!$B$5:$B$54,MATCH(D551,Hizmetler!$A$5:$A$54,0)),0)/1440)*1440,0)/1440)</f>
        <v/>
      </c>
      <c r="I551" s="19" t="str">
        <f aca="false">IF(OR(A551="",H551="",E551="İptal"),"",IF(COUNTIFS($A$5:$A$1004,A551,$B$5:$B$1004,"&lt;"&amp;(H551-0.0003),$H$5:$H$1004,"&gt;"&amp;(B551+0.0003),$E$5:$E$1004,"&lt;&gt;İptal")&gt;1,"Çakışıyor",""))</f>
        <v/>
      </c>
      <c r="J551" s="21" t="str">
        <f aca="false">IF(AND(A551=Gün!$C$3,B551&lt;&gt;"",E551&lt;&gt;"İptal"),B551+ROW()/100000000,"")</f>
        <v/>
      </c>
    </row>
    <row r="552" customFormat="false" ht="15" hidden="false" customHeight="false" outlineLevel="0" collapsed="false">
      <c r="A552" s="12"/>
      <c r="B552" s="13"/>
      <c r="C552" s="14"/>
      <c r="D552" s="14"/>
      <c r="E552" s="15"/>
      <c r="F552" s="16"/>
      <c r="G552" s="17" t="str">
        <f aca="false">IF(D552="","",IF(E552="Geldi",IF(F552="",IFERROR(INDEX(Hizmetler!$C$5:$C$54,MATCH(D552,Hizmetler!$A$5:$A$54,0)),0),F552),0))</f>
        <v/>
      </c>
      <c r="H552" s="18" t="str">
        <f aca="false">IF(OR(B552="",D552=""),"",ROUND((B552+IFERROR(INDEX(Hizmetler!$B$5:$B$54,MATCH(D552,Hizmetler!$A$5:$A$54,0)),0)/1440)*1440,0)/1440)</f>
        <v/>
      </c>
      <c r="I552" s="19" t="str">
        <f aca="false">IF(OR(A552="",H552="",E552="İptal"),"",IF(COUNTIFS($A$5:$A$1004,A552,$B$5:$B$1004,"&lt;"&amp;(H552-0.0003),$H$5:$H$1004,"&gt;"&amp;(B552+0.0003),$E$5:$E$1004,"&lt;&gt;İptal")&gt;1,"Çakışıyor",""))</f>
        <v/>
      </c>
      <c r="J552" s="21" t="str">
        <f aca="false">IF(AND(A552=Gün!$C$3,B552&lt;&gt;"",E552&lt;&gt;"İptal"),B552+ROW()/100000000,"")</f>
        <v/>
      </c>
    </row>
    <row r="553" customFormat="false" ht="15" hidden="false" customHeight="false" outlineLevel="0" collapsed="false">
      <c r="A553" s="12"/>
      <c r="B553" s="13"/>
      <c r="C553" s="14"/>
      <c r="D553" s="14"/>
      <c r="E553" s="15"/>
      <c r="F553" s="16"/>
      <c r="G553" s="17" t="str">
        <f aca="false">IF(D553="","",IF(E553="Geldi",IF(F553="",IFERROR(INDEX(Hizmetler!$C$5:$C$54,MATCH(D553,Hizmetler!$A$5:$A$54,0)),0),F553),0))</f>
        <v/>
      </c>
      <c r="H553" s="18" t="str">
        <f aca="false">IF(OR(B553="",D553=""),"",ROUND((B553+IFERROR(INDEX(Hizmetler!$B$5:$B$54,MATCH(D553,Hizmetler!$A$5:$A$54,0)),0)/1440)*1440,0)/1440)</f>
        <v/>
      </c>
      <c r="I553" s="19" t="str">
        <f aca="false">IF(OR(A553="",H553="",E553="İptal"),"",IF(COUNTIFS($A$5:$A$1004,A553,$B$5:$B$1004,"&lt;"&amp;(H553-0.0003),$H$5:$H$1004,"&gt;"&amp;(B553+0.0003),$E$5:$E$1004,"&lt;&gt;İptal")&gt;1,"Çakışıyor",""))</f>
        <v/>
      </c>
      <c r="J553" s="21" t="str">
        <f aca="false">IF(AND(A553=Gün!$C$3,B553&lt;&gt;"",E553&lt;&gt;"İptal"),B553+ROW()/100000000,"")</f>
        <v/>
      </c>
    </row>
    <row r="554" customFormat="false" ht="15" hidden="false" customHeight="false" outlineLevel="0" collapsed="false">
      <c r="A554" s="12"/>
      <c r="B554" s="13"/>
      <c r="C554" s="14"/>
      <c r="D554" s="14"/>
      <c r="E554" s="15"/>
      <c r="F554" s="16"/>
      <c r="G554" s="17" t="str">
        <f aca="false">IF(D554="","",IF(E554="Geldi",IF(F554="",IFERROR(INDEX(Hizmetler!$C$5:$C$54,MATCH(D554,Hizmetler!$A$5:$A$54,0)),0),F554),0))</f>
        <v/>
      </c>
      <c r="H554" s="18" t="str">
        <f aca="false">IF(OR(B554="",D554=""),"",ROUND((B554+IFERROR(INDEX(Hizmetler!$B$5:$B$54,MATCH(D554,Hizmetler!$A$5:$A$54,0)),0)/1440)*1440,0)/1440)</f>
        <v/>
      </c>
      <c r="I554" s="19" t="str">
        <f aca="false">IF(OR(A554="",H554="",E554="İptal"),"",IF(COUNTIFS($A$5:$A$1004,A554,$B$5:$B$1004,"&lt;"&amp;(H554-0.0003),$H$5:$H$1004,"&gt;"&amp;(B554+0.0003),$E$5:$E$1004,"&lt;&gt;İptal")&gt;1,"Çakışıyor",""))</f>
        <v/>
      </c>
      <c r="J554" s="21" t="str">
        <f aca="false">IF(AND(A554=Gün!$C$3,B554&lt;&gt;"",E554&lt;&gt;"İptal"),B554+ROW()/100000000,"")</f>
        <v/>
      </c>
    </row>
    <row r="555" customFormat="false" ht="15" hidden="false" customHeight="false" outlineLevel="0" collapsed="false">
      <c r="A555" s="12"/>
      <c r="B555" s="13"/>
      <c r="C555" s="14"/>
      <c r="D555" s="14"/>
      <c r="E555" s="15"/>
      <c r="F555" s="16"/>
      <c r="G555" s="17" t="str">
        <f aca="false">IF(D555="","",IF(E555="Geldi",IF(F555="",IFERROR(INDEX(Hizmetler!$C$5:$C$54,MATCH(D555,Hizmetler!$A$5:$A$54,0)),0),F555),0))</f>
        <v/>
      </c>
      <c r="H555" s="18" t="str">
        <f aca="false">IF(OR(B555="",D555=""),"",ROUND((B555+IFERROR(INDEX(Hizmetler!$B$5:$B$54,MATCH(D555,Hizmetler!$A$5:$A$54,0)),0)/1440)*1440,0)/1440)</f>
        <v/>
      </c>
      <c r="I555" s="19" t="str">
        <f aca="false">IF(OR(A555="",H555="",E555="İptal"),"",IF(COUNTIFS($A$5:$A$1004,A555,$B$5:$B$1004,"&lt;"&amp;(H555-0.0003),$H$5:$H$1004,"&gt;"&amp;(B555+0.0003),$E$5:$E$1004,"&lt;&gt;İptal")&gt;1,"Çakışıyor",""))</f>
        <v/>
      </c>
      <c r="J555" s="21" t="str">
        <f aca="false">IF(AND(A555=Gün!$C$3,B555&lt;&gt;"",E555&lt;&gt;"İptal"),B555+ROW()/100000000,"")</f>
        <v/>
      </c>
    </row>
    <row r="556" customFormat="false" ht="15" hidden="false" customHeight="false" outlineLevel="0" collapsed="false">
      <c r="A556" s="12"/>
      <c r="B556" s="13"/>
      <c r="C556" s="14"/>
      <c r="D556" s="14"/>
      <c r="E556" s="15"/>
      <c r="F556" s="16"/>
      <c r="G556" s="17" t="str">
        <f aca="false">IF(D556="","",IF(E556="Geldi",IF(F556="",IFERROR(INDEX(Hizmetler!$C$5:$C$54,MATCH(D556,Hizmetler!$A$5:$A$54,0)),0),F556),0))</f>
        <v/>
      </c>
      <c r="H556" s="18" t="str">
        <f aca="false">IF(OR(B556="",D556=""),"",ROUND((B556+IFERROR(INDEX(Hizmetler!$B$5:$B$54,MATCH(D556,Hizmetler!$A$5:$A$54,0)),0)/1440)*1440,0)/1440)</f>
        <v/>
      </c>
      <c r="I556" s="19" t="str">
        <f aca="false">IF(OR(A556="",H556="",E556="İptal"),"",IF(COUNTIFS($A$5:$A$1004,A556,$B$5:$B$1004,"&lt;"&amp;(H556-0.0003),$H$5:$H$1004,"&gt;"&amp;(B556+0.0003),$E$5:$E$1004,"&lt;&gt;İptal")&gt;1,"Çakışıyor",""))</f>
        <v/>
      </c>
      <c r="J556" s="21" t="str">
        <f aca="false">IF(AND(A556=Gün!$C$3,B556&lt;&gt;"",E556&lt;&gt;"İptal"),B556+ROW()/100000000,"")</f>
        <v/>
      </c>
    </row>
    <row r="557" customFormat="false" ht="15" hidden="false" customHeight="false" outlineLevel="0" collapsed="false">
      <c r="A557" s="12"/>
      <c r="B557" s="13"/>
      <c r="C557" s="14"/>
      <c r="D557" s="14"/>
      <c r="E557" s="15"/>
      <c r="F557" s="16"/>
      <c r="G557" s="17" t="str">
        <f aca="false">IF(D557="","",IF(E557="Geldi",IF(F557="",IFERROR(INDEX(Hizmetler!$C$5:$C$54,MATCH(D557,Hizmetler!$A$5:$A$54,0)),0),F557),0))</f>
        <v/>
      </c>
      <c r="H557" s="18" t="str">
        <f aca="false">IF(OR(B557="",D557=""),"",ROUND((B557+IFERROR(INDEX(Hizmetler!$B$5:$B$54,MATCH(D557,Hizmetler!$A$5:$A$54,0)),0)/1440)*1440,0)/1440)</f>
        <v/>
      </c>
      <c r="I557" s="19" t="str">
        <f aca="false">IF(OR(A557="",H557="",E557="İptal"),"",IF(COUNTIFS($A$5:$A$1004,A557,$B$5:$B$1004,"&lt;"&amp;(H557-0.0003),$H$5:$H$1004,"&gt;"&amp;(B557+0.0003),$E$5:$E$1004,"&lt;&gt;İptal")&gt;1,"Çakışıyor",""))</f>
        <v/>
      </c>
      <c r="J557" s="21" t="str">
        <f aca="false">IF(AND(A557=Gün!$C$3,B557&lt;&gt;"",E557&lt;&gt;"İptal"),B557+ROW()/100000000,"")</f>
        <v/>
      </c>
    </row>
    <row r="558" customFormat="false" ht="15" hidden="false" customHeight="false" outlineLevel="0" collapsed="false">
      <c r="A558" s="12"/>
      <c r="B558" s="13"/>
      <c r="C558" s="14"/>
      <c r="D558" s="14"/>
      <c r="E558" s="15"/>
      <c r="F558" s="16"/>
      <c r="G558" s="17" t="str">
        <f aca="false">IF(D558="","",IF(E558="Geldi",IF(F558="",IFERROR(INDEX(Hizmetler!$C$5:$C$54,MATCH(D558,Hizmetler!$A$5:$A$54,0)),0),F558),0))</f>
        <v/>
      </c>
      <c r="H558" s="18" t="str">
        <f aca="false">IF(OR(B558="",D558=""),"",ROUND((B558+IFERROR(INDEX(Hizmetler!$B$5:$B$54,MATCH(D558,Hizmetler!$A$5:$A$54,0)),0)/1440)*1440,0)/1440)</f>
        <v/>
      </c>
      <c r="I558" s="19" t="str">
        <f aca="false">IF(OR(A558="",H558="",E558="İptal"),"",IF(COUNTIFS($A$5:$A$1004,A558,$B$5:$B$1004,"&lt;"&amp;(H558-0.0003),$H$5:$H$1004,"&gt;"&amp;(B558+0.0003),$E$5:$E$1004,"&lt;&gt;İptal")&gt;1,"Çakışıyor",""))</f>
        <v/>
      </c>
      <c r="J558" s="21" t="str">
        <f aca="false">IF(AND(A558=Gün!$C$3,B558&lt;&gt;"",E558&lt;&gt;"İptal"),B558+ROW()/100000000,"")</f>
        <v/>
      </c>
    </row>
    <row r="559" customFormat="false" ht="15" hidden="false" customHeight="false" outlineLevel="0" collapsed="false">
      <c r="A559" s="12"/>
      <c r="B559" s="13"/>
      <c r="C559" s="14"/>
      <c r="D559" s="14"/>
      <c r="E559" s="15"/>
      <c r="F559" s="16"/>
      <c r="G559" s="17" t="str">
        <f aca="false">IF(D559="","",IF(E559="Geldi",IF(F559="",IFERROR(INDEX(Hizmetler!$C$5:$C$54,MATCH(D559,Hizmetler!$A$5:$A$54,0)),0),F559),0))</f>
        <v/>
      </c>
      <c r="H559" s="18" t="str">
        <f aca="false">IF(OR(B559="",D559=""),"",ROUND((B559+IFERROR(INDEX(Hizmetler!$B$5:$B$54,MATCH(D559,Hizmetler!$A$5:$A$54,0)),0)/1440)*1440,0)/1440)</f>
        <v/>
      </c>
      <c r="I559" s="19" t="str">
        <f aca="false">IF(OR(A559="",H559="",E559="İptal"),"",IF(COUNTIFS($A$5:$A$1004,A559,$B$5:$B$1004,"&lt;"&amp;(H559-0.0003),$H$5:$H$1004,"&gt;"&amp;(B559+0.0003),$E$5:$E$1004,"&lt;&gt;İptal")&gt;1,"Çakışıyor",""))</f>
        <v/>
      </c>
      <c r="J559" s="21" t="str">
        <f aca="false">IF(AND(A559=Gün!$C$3,B559&lt;&gt;"",E559&lt;&gt;"İptal"),B559+ROW()/100000000,"")</f>
        <v/>
      </c>
    </row>
    <row r="560" customFormat="false" ht="15" hidden="false" customHeight="false" outlineLevel="0" collapsed="false">
      <c r="A560" s="12"/>
      <c r="B560" s="13"/>
      <c r="C560" s="14"/>
      <c r="D560" s="14"/>
      <c r="E560" s="15"/>
      <c r="F560" s="16"/>
      <c r="G560" s="17" t="str">
        <f aca="false">IF(D560="","",IF(E560="Geldi",IF(F560="",IFERROR(INDEX(Hizmetler!$C$5:$C$54,MATCH(D560,Hizmetler!$A$5:$A$54,0)),0),F560),0))</f>
        <v/>
      </c>
      <c r="H560" s="18" t="str">
        <f aca="false">IF(OR(B560="",D560=""),"",ROUND((B560+IFERROR(INDEX(Hizmetler!$B$5:$B$54,MATCH(D560,Hizmetler!$A$5:$A$54,0)),0)/1440)*1440,0)/1440)</f>
        <v/>
      </c>
      <c r="I560" s="19" t="str">
        <f aca="false">IF(OR(A560="",H560="",E560="İptal"),"",IF(COUNTIFS($A$5:$A$1004,A560,$B$5:$B$1004,"&lt;"&amp;(H560-0.0003),$H$5:$H$1004,"&gt;"&amp;(B560+0.0003),$E$5:$E$1004,"&lt;&gt;İptal")&gt;1,"Çakışıyor",""))</f>
        <v/>
      </c>
      <c r="J560" s="21" t="str">
        <f aca="false">IF(AND(A560=Gün!$C$3,B560&lt;&gt;"",E560&lt;&gt;"İptal"),B560+ROW()/100000000,"")</f>
        <v/>
      </c>
    </row>
    <row r="561" customFormat="false" ht="15" hidden="false" customHeight="false" outlineLevel="0" collapsed="false">
      <c r="A561" s="12"/>
      <c r="B561" s="13"/>
      <c r="C561" s="14"/>
      <c r="D561" s="14"/>
      <c r="E561" s="15"/>
      <c r="F561" s="16"/>
      <c r="G561" s="17" t="str">
        <f aca="false">IF(D561="","",IF(E561="Geldi",IF(F561="",IFERROR(INDEX(Hizmetler!$C$5:$C$54,MATCH(D561,Hizmetler!$A$5:$A$54,0)),0),F561),0))</f>
        <v/>
      </c>
      <c r="H561" s="18" t="str">
        <f aca="false">IF(OR(B561="",D561=""),"",ROUND((B561+IFERROR(INDEX(Hizmetler!$B$5:$B$54,MATCH(D561,Hizmetler!$A$5:$A$54,0)),0)/1440)*1440,0)/1440)</f>
        <v/>
      </c>
      <c r="I561" s="19" t="str">
        <f aca="false">IF(OR(A561="",H561="",E561="İptal"),"",IF(COUNTIFS($A$5:$A$1004,A561,$B$5:$B$1004,"&lt;"&amp;(H561-0.0003),$H$5:$H$1004,"&gt;"&amp;(B561+0.0003),$E$5:$E$1004,"&lt;&gt;İptal")&gt;1,"Çakışıyor",""))</f>
        <v/>
      </c>
      <c r="J561" s="21" t="str">
        <f aca="false">IF(AND(A561=Gün!$C$3,B561&lt;&gt;"",E561&lt;&gt;"İptal"),B561+ROW()/100000000,"")</f>
        <v/>
      </c>
    </row>
    <row r="562" customFormat="false" ht="15" hidden="false" customHeight="false" outlineLevel="0" collapsed="false">
      <c r="A562" s="12"/>
      <c r="B562" s="13"/>
      <c r="C562" s="14"/>
      <c r="D562" s="14"/>
      <c r="E562" s="15"/>
      <c r="F562" s="16"/>
      <c r="G562" s="17" t="str">
        <f aca="false">IF(D562="","",IF(E562="Geldi",IF(F562="",IFERROR(INDEX(Hizmetler!$C$5:$C$54,MATCH(D562,Hizmetler!$A$5:$A$54,0)),0),F562),0))</f>
        <v/>
      </c>
      <c r="H562" s="18" t="str">
        <f aca="false">IF(OR(B562="",D562=""),"",ROUND((B562+IFERROR(INDEX(Hizmetler!$B$5:$B$54,MATCH(D562,Hizmetler!$A$5:$A$54,0)),0)/1440)*1440,0)/1440)</f>
        <v/>
      </c>
      <c r="I562" s="19" t="str">
        <f aca="false">IF(OR(A562="",H562="",E562="İptal"),"",IF(COUNTIFS($A$5:$A$1004,A562,$B$5:$B$1004,"&lt;"&amp;(H562-0.0003),$H$5:$H$1004,"&gt;"&amp;(B562+0.0003),$E$5:$E$1004,"&lt;&gt;İptal")&gt;1,"Çakışıyor",""))</f>
        <v/>
      </c>
      <c r="J562" s="21" t="str">
        <f aca="false">IF(AND(A562=Gün!$C$3,B562&lt;&gt;"",E562&lt;&gt;"İptal"),B562+ROW()/100000000,"")</f>
        <v/>
      </c>
    </row>
    <row r="563" customFormat="false" ht="15" hidden="false" customHeight="false" outlineLevel="0" collapsed="false">
      <c r="A563" s="12"/>
      <c r="B563" s="13"/>
      <c r="C563" s="14"/>
      <c r="D563" s="14"/>
      <c r="E563" s="15"/>
      <c r="F563" s="16"/>
      <c r="G563" s="17" t="str">
        <f aca="false">IF(D563="","",IF(E563="Geldi",IF(F563="",IFERROR(INDEX(Hizmetler!$C$5:$C$54,MATCH(D563,Hizmetler!$A$5:$A$54,0)),0),F563),0))</f>
        <v/>
      </c>
      <c r="H563" s="18" t="str">
        <f aca="false">IF(OR(B563="",D563=""),"",ROUND((B563+IFERROR(INDEX(Hizmetler!$B$5:$B$54,MATCH(D563,Hizmetler!$A$5:$A$54,0)),0)/1440)*1440,0)/1440)</f>
        <v/>
      </c>
      <c r="I563" s="19" t="str">
        <f aca="false">IF(OR(A563="",H563="",E563="İptal"),"",IF(COUNTIFS($A$5:$A$1004,A563,$B$5:$B$1004,"&lt;"&amp;(H563-0.0003),$H$5:$H$1004,"&gt;"&amp;(B563+0.0003),$E$5:$E$1004,"&lt;&gt;İptal")&gt;1,"Çakışıyor",""))</f>
        <v/>
      </c>
      <c r="J563" s="21" t="str">
        <f aca="false">IF(AND(A563=Gün!$C$3,B563&lt;&gt;"",E563&lt;&gt;"İptal"),B563+ROW()/100000000,"")</f>
        <v/>
      </c>
    </row>
    <row r="564" customFormat="false" ht="15" hidden="false" customHeight="false" outlineLevel="0" collapsed="false">
      <c r="A564" s="12"/>
      <c r="B564" s="13"/>
      <c r="C564" s="14"/>
      <c r="D564" s="14"/>
      <c r="E564" s="15"/>
      <c r="F564" s="16"/>
      <c r="G564" s="17" t="str">
        <f aca="false">IF(D564="","",IF(E564="Geldi",IF(F564="",IFERROR(INDEX(Hizmetler!$C$5:$C$54,MATCH(D564,Hizmetler!$A$5:$A$54,0)),0),F564),0))</f>
        <v/>
      </c>
      <c r="H564" s="18" t="str">
        <f aca="false">IF(OR(B564="",D564=""),"",ROUND((B564+IFERROR(INDEX(Hizmetler!$B$5:$B$54,MATCH(D564,Hizmetler!$A$5:$A$54,0)),0)/1440)*1440,0)/1440)</f>
        <v/>
      </c>
      <c r="I564" s="19" t="str">
        <f aca="false">IF(OR(A564="",H564="",E564="İptal"),"",IF(COUNTIFS($A$5:$A$1004,A564,$B$5:$B$1004,"&lt;"&amp;(H564-0.0003),$H$5:$H$1004,"&gt;"&amp;(B564+0.0003),$E$5:$E$1004,"&lt;&gt;İptal")&gt;1,"Çakışıyor",""))</f>
        <v/>
      </c>
      <c r="J564" s="21" t="str">
        <f aca="false">IF(AND(A564=Gün!$C$3,B564&lt;&gt;"",E564&lt;&gt;"İptal"),B564+ROW()/100000000,"")</f>
        <v/>
      </c>
    </row>
    <row r="565" customFormat="false" ht="15" hidden="false" customHeight="false" outlineLevel="0" collapsed="false">
      <c r="A565" s="12"/>
      <c r="B565" s="13"/>
      <c r="C565" s="14"/>
      <c r="D565" s="14"/>
      <c r="E565" s="15"/>
      <c r="F565" s="16"/>
      <c r="G565" s="17" t="str">
        <f aca="false">IF(D565="","",IF(E565="Geldi",IF(F565="",IFERROR(INDEX(Hizmetler!$C$5:$C$54,MATCH(D565,Hizmetler!$A$5:$A$54,0)),0),F565),0))</f>
        <v/>
      </c>
      <c r="H565" s="18" t="str">
        <f aca="false">IF(OR(B565="",D565=""),"",ROUND((B565+IFERROR(INDEX(Hizmetler!$B$5:$B$54,MATCH(D565,Hizmetler!$A$5:$A$54,0)),0)/1440)*1440,0)/1440)</f>
        <v/>
      </c>
      <c r="I565" s="19" t="str">
        <f aca="false">IF(OR(A565="",H565="",E565="İptal"),"",IF(COUNTIFS($A$5:$A$1004,A565,$B$5:$B$1004,"&lt;"&amp;(H565-0.0003),$H$5:$H$1004,"&gt;"&amp;(B565+0.0003),$E$5:$E$1004,"&lt;&gt;İptal")&gt;1,"Çakışıyor",""))</f>
        <v/>
      </c>
      <c r="J565" s="21" t="str">
        <f aca="false">IF(AND(A565=Gün!$C$3,B565&lt;&gt;"",E565&lt;&gt;"İptal"),B565+ROW()/100000000,"")</f>
        <v/>
      </c>
    </row>
    <row r="566" customFormat="false" ht="15" hidden="false" customHeight="false" outlineLevel="0" collapsed="false">
      <c r="A566" s="12"/>
      <c r="B566" s="13"/>
      <c r="C566" s="14"/>
      <c r="D566" s="14"/>
      <c r="E566" s="15"/>
      <c r="F566" s="16"/>
      <c r="G566" s="17" t="str">
        <f aca="false">IF(D566="","",IF(E566="Geldi",IF(F566="",IFERROR(INDEX(Hizmetler!$C$5:$C$54,MATCH(D566,Hizmetler!$A$5:$A$54,0)),0),F566),0))</f>
        <v/>
      </c>
      <c r="H566" s="18" t="str">
        <f aca="false">IF(OR(B566="",D566=""),"",ROUND((B566+IFERROR(INDEX(Hizmetler!$B$5:$B$54,MATCH(D566,Hizmetler!$A$5:$A$54,0)),0)/1440)*1440,0)/1440)</f>
        <v/>
      </c>
      <c r="I566" s="19" t="str">
        <f aca="false">IF(OR(A566="",H566="",E566="İptal"),"",IF(COUNTIFS($A$5:$A$1004,A566,$B$5:$B$1004,"&lt;"&amp;(H566-0.0003),$H$5:$H$1004,"&gt;"&amp;(B566+0.0003),$E$5:$E$1004,"&lt;&gt;İptal")&gt;1,"Çakışıyor",""))</f>
        <v/>
      </c>
      <c r="J566" s="21" t="str">
        <f aca="false">IF(AND(A566=Gün!$C$3,B566&lt;&gt;"",E566&lt;&gt;"İptal"),B566+ROW()/100000000,"")</f>
        <v/>
      </c>
    </row>
    <row r="567" customFormat="false" ht="15" hidden="false" customHeight="false" outlineLevel="0" collapsed="false">
      <c r="A567" s="12"/>
      <c r="B567" s="13"/>
      <c r="C567" s="14"/>
      <c r="D567" s="14"/>
      <c r="E567" s="15"/>
      <c r="F567" s="16"/>
      <c r="G567" s="17" t="str">
        <f aca="false">IF(D567="","",IF(E567="Geldi",IF(F567="",IFERROR(INDEX(Hizmetler!$C$5:$C$54,MATCH(D567,Hizmetler!$A$5:$A$54,0)),0),F567),0))</f>
        <v/>
      </c>
      <c r="H567" s="18" t="str">
        <f aca="false">IF(OR(B567="",D567=""),"",ROUND((B567+IFERROR(INDEX(Hizmetler!$B$5:$B$54,MATCH(D567,Hizmetler!$A$5:$A$54,0)),0)/1440)*1440,0)/1440)</f>
        <v/>
      </c>
      <c r="I567" s="19" t="str">
        <f aca="false">IF(OR(A567="",H567="",E567="İptal"),"",IF(COUNTIFS($A$5:$A$1004,A567,$B$5:$B$1004,"&lt;"&amp;(H567-0.0003),$H$5:$H$1004,"&gt;"&amp;(B567+0.0003),$E$5:$E$1004,"&lt;&gt;İptal")&gt;1,"Çakışıyor",""))</f>
        <v/>
      </c>
      <c r="J567" s="21" t="str">
        <f aca="false">IF(AND(A567=Gün!$C$3,B567&lt;&gt;"",E567&lt;&gt;"İptal"),B567+ROW()/100000000,"")</f>
        <v/>
      </c>
    </row>
    <row r="568" customFormat="false" ht="15" hidden="false" customHeight="false" outlineLevel="0" collapsed="false">
      <c r="A568" s="12"/>
      <c r="B568" s="13"/>
      <c r="C568" s="14"/>
      <c r="D568" s="14"/>
      <c r="E568" s="15"/>
      <c r="F568" s="16"/>
      <c r="G568" s="17" t="str">
        <f aca="false">IF(D568="","",IF(E568="Geldi",IF(F568="",IFERROR(INDEX(Hizmetler!$C$5:$C$54,MATCH(D568,Hizmetler!$A$5:$A$54,0)),0),F568),0))</f>
        <v/>
      </c>
      <c r="H568" s="18" t="str">
        <f aca="false">IF(OR(B568="",D568=""),"",ROUND((B568+IFERROR(INDEX(Hizmetler!$B$5:$B$54,MATCH(D568,Hizmetler!$A$5:$A$54,0)),0)/1440)*1440,0)/1440)</f>
        <v/>
      </c>
      <c r="I568" s="19" t="str">
        <f aca="false">IF(OR(A568="",H568="",E568="İptal"),"",IF(COUNTIFS($A$5:$A$1004,A568,$B$5:$B$1004,"&lt;"&amp;(H568-0.0003),$H$5:$H$1004,"&gt;"&amp;(B568+0.0003),$E$5:$E$1004,"&lt;&gt;İptal")&gt;1,"Çakışıyor",""))</f>
        <v/>
      </c>
      <c r="J568" s="21" t="str">
        <f aca="false">IF(AND(A568=Gün!$C$3,B568&lt;&gt;"",E568&lt;&gt;"İptal"),B568+ROW()/100000000,"")</f>
        <v/>
      </c>
    </row>
    <row r="569" customFormat="false" ht="15" hidden="false" customHeight="false" outlineLevel="0" collapsed="false">
      <c r="A569" s="12"/>
      <c r="B569" s="13"/>
      <c r="C569" s="14"/>
      <c r="D569" s="14"/>
      <c r="E569" s="15"/>
      <c r="F569" s="16"/>
      <c r="G569" s="17" t="str">
        <f aca="false">IF(D569="","",IF(E569="Geldi",IF(F569="",IFERROR(INDEX(Hizmetler!$C$5:$C$54,MATCH(D569,Hizmetler!$A$5:$A$54,0)),0),F569),0))</f>
        <v/>
      </c>
      <c r="H569" s="18" t="str">
        <f aca="false">IF(OR(B569="",D569=""),"",ROUND((B569+IFERROR(INDEX(Hizmetler!$B$5:$B$54,MATCH(D569,Hizmetler!$A$5:$A$54,0)),0)/1440)*1440,0)/1440)</f>
        <v/>
      </c>
      <c r="I569" s="19" t="str">
        <f aca="false">IF(OR(A569="",H569="",E569="İptal"),"",IF(COUNTIFS($A$5:$A$1004,A569,$B$5:$B$1004,"&lt;"&amp;(H569-0.0003),$H$5:$H$1004,"&gt;"&amp;(B569+0.0003),$E$5:$E$1004,"&lt;&gt;İptal")&gt;1,"Çakışıyor",""))</f>
        <v/>
      </c>
      <c r="J569" s="21" t="str">
        <f aca="false">IF(AND(A569=Gün!$C$3,B569&lt;&gt;"",E569&lt;&gt;"İptal"),B569+ROW()/100000000,"")</f>
        <v/>
      </c>
    </row>
    <row r="570" customFormat="false" ht="15" hidden="false" customHeight="false" outlineLevel="0" collapsed="false">
      <c r="A570" s="12"/>
      <c r="B570" s="13"/>
      <c r="C570" s="14"/>
      <c r="D570" s="14"/>
      <c r="E570" s="15"/>
      <c r="F570" s="16"/>
      <c r="G570" s="17" t="str">
        <f aca="false">IF(D570="","",IF(E570="Geldi",IF(F570="",IFERROR(INDEX(Hizmetler!$C$5:$C$54,MATCH(D570,Hizmetler!$A$5:$A$54,0)),0),F570),0))</f>
        <v/>
      </c>
      <c r="H570" s="18" t="str">
        <f aca="false">IF(OR(B570="",D570=""),"",ROUND((B570+IFERROR(INDEX(Hizmetler!$B$5:$B$54,MATCH(D570,Hizmetler!$A$5:$A$54,0)),0)/1440)*1440,0)/1440)</f>
        <v/>
      </c>
      <c r="I570" s="19" t="str">
        <f aca="false">IF(OR(A570="",H570="",E570="İptal"),"",IF(COUNTIFS($A$5:$A$1004,A570,$B$5:$B$1004,"&lt;"&amp;(H570-0.0003),$H$5:$H$1004,"&gt;"&amp;(B570+0.0003),$E$5:$E$1004,"&lt;&gt;İptal")&gt;1,"Çakışıyor",""))</f>
        <v/>
      </c>
      <c r="J570" s="21" t="str">
        <f aca="false">IF(AND(A570=Gün!$C$3,B570&lt;&gt;"",E570&lt;&gt;"İptal"),B570+ROW()/100000000,"")</f>
        <v/>
      </c>
    </row>
    <row r="571" customFormat="false" ht="15" hidden="false" customHeight="false" outlineLevel="0" collapsed="false">
      <c r="A571" s="12"/>
      <c r="B571" s="13"/>
      <c r="C571" s="14"/>
      <c r="D571" s="14"/>
      <c r="E571" s="15"/>
      <c r="F571" s="16"/>
      <c r="G571" s="17" t="str">
        <f aca="false">IF(D571="","",IF(E571="Geldi",IF(F571="",IFERROR(INDEX(Hizmetler!$C$5:$C$54,MATCH(D571,Hizmetler!$A$5:$A$54,0)),0),F571),0))</f>
        <v/>
      </c>
      <c r="H571" s="18" t="str">
        <f aca="false">IF(OR(B571="",D571=""),"",ROUND((B571+IFERROR(INDEX(Hizmetler!$B$5:$B$54,MATCH(D571,Hizmetler!$A$5:$A$54,0)),0)/1440)*1440,0)/1440)</f>
        <v/>
      </c>
      <c r="I571" s="19" t="str">
        <f aca="false">IF(OR(A571="",H571="",E571="İptal"),"",IF(COUNTIFS($A$5:$A$1004,A571,$B$5:$B$1004,"&lt;"&amp;(H571-0.0003),$H$5:$H$1004,"&gt;"&amp;(B571+0.0003),$E$5:$E$1004,"&lt;&gt;İptal")&gt;1,"Çakışıyor",""))</f>
        <v/>
      </c>
      <c r="J571" s="21" t="str">
        <f aca="false">IF(AND(A571=Gün!$C$3,B571&lt;&gt;"",E571&lt;&gt;"İptal"),B571+ROW()/100000000,"")</f>
        <v/>
      </c>
    </row>
    <row r="572" customFormat="false" ht="15" hidden="false" customHeight="false" outlineLevel="0" collapsed="false">
      <c r="A572" s="12"/>
      <c r="B572" s="13"/>
      <c r="C572" s="14"/>
      <c r="D572" s="14"/>
      <c r="E572" s="15"/>
      <c r="F572" s="16"/>
      <c r="G572" s="17" t="str">
        <f aca="false">IF(D572="","",IF(E572="Geldi",IF(F572="",IFERROR(INDEX(Hizmetler!$C$5:$C$54,MATCH(D572,Hizmetler!$A$5:$A$54,0)),0),F572),0))</f>
        <v/>
      </c>
      <c r="H572" s="18" t="str">
        <f aca="false">IF(OR(B572="",D572=""),"",ROUND((B572+IFERROR(INDEX(Hizmetler!$B$5:$B$54,MATCH(D572,Hizmetler!$A$5:$A$54,0)),0)/1440)*1440,0)/1440)</f>
        <v/>
      </c>
      <c r="I572" s="19" t="str">
        <f aca="false">IF(OR(A572="",H572="",E572="İptal"),"",IF(COUNTIFS($A$5:$A$1004,A572,$B$5:$B$1004,"&lt;"&amp;(H572-0.0003),$H$5:$H$1004,"&gt;"&amp;(B572+0.0003),$E$5:$E$1004,"&lt;&gt;İptal")&gt;1,"Çakışıyor",""))</f>
        <v/>
      </c>
      <c r="J572" s="21" t="str">
        <f aca="false">IF(AND(A572=Gün!$C$3,B572&lt;&gt;"",E572&lt;&gt;"İptal"),B572+ROW()/100000000,"")</f>
        <v/>
      </c>
    </row>
    <row r="573" customFormat="false" ht="15" hidden="false" customHeight="false" outlineLevel="0" collapsed="false">
      <c r="A573" s="12"/>
      <c r="B573" s="13"/>
      <c r="C573" s="14"/>
      <c r="D573" s="14"/>
      <c r="E573" s="15"/>
      <c r="F573" s="16"/>
      <c r="G573" s="17" t="str">
        <f aca="false">IF(D573="","",IF(E573="Geldi",IF(F573="",IFERROR(INDEX(Hizmetler!$C$5:$C$54,MATCH(D573,Hizmetler!$A$5:$A$54,0)),0),F573),0))</f>
        <v/>
      </c>
      <c r="H573" s="18" t="str">
        <f aca="false">IF(OR(B573="",D573=""),"",ROUND((B573+IFERROR(INDEX(Hizmetler!$B$5:$B$54,MATCH(D573,Hizmetler!$A$5:$A$54,0)),0)/1440)*1440,0)/1440)</f>
        <v/>
      </c>
      <c r="I573" s="19" t="str">
        <f aca="false">IF(OR(A573="",H573="",E573="İptal"),"",IF(COUNTIFS($A$5:$A$1004,A573,$B$5:$B$1004,"&lt;"&amp;(H573-0.0003),$H$5:$H$1004,"&gt;"&amp;(B573+0.0003),$E$5:$E$1004,"&lt;&gt;İptal")&gt;1,"Çakışıyor",""))</f>
        <v/>
      </c>
      <c r="J573" s="21" t="str">
        <f aca="false">IF(AND(A573=Gün!$C$3,B573&lt;&gt;"",E573&lt;&gt;"İptal"),B573+ROW()/100000000,"")</f>
        <v/>
      </c>
    </row>
    <row r="574" customFormat="false" ht="15" hidden="false" customHeight="false" outlineLevel="0" collapsed="false">
      <c r="A574" s="12"/>
      <c r="B574" s="13"/>
      <c r="C574" s="14"/>
      <c r="D574" s="14"/>
      <c r="E574" s="15"/>
      <c r="F574" s="16"/>
      <c r="G574" s="17" t="str">
        <f aca="false">IF(D574="","",IF(E574="Geldi",IF(F574="",IFERROR(INDEX(Hizmetler!$C$5:$C$54,MATCH(D574,Hizmetler!$A$5:$A$54,0)),0),F574),0))</f>
        <v/>
      </c>
      <c r="H574" s="18" t="str">
        <f aca="false">IF(OR(B574="",D574=""),"",ROUND((B574+IFERROR(INDEX(Hizmetler!$B$5:$B$54,MATCH(D574,Hizmetler!$A$5:$A$54,0)),0)/1440)*1440,0)/1440)</f>
        <v/>
      </c>
      <c r="I574" s="19" t="str">
        <f aca="false">IF(OR(A574="",H574="",E574="İptal"),"",IF(COUNTIFS($A$5:$A$1004,A574,$B$5:$B$1004,"&lt;"&amp;(H574-0.0003),$H$5:$H$1004,"&gt;"&amp;(B574+0.0003),$E$5:$E$1004,"&lt;&gt;İptal")&gt;1,"Çakışıyor",""))</f>
        <v/>
      </c>
      <c r="J574" s="21" t="str">
        <f aca="false">IF(AND(A574=Gün!$C$3,B574&lt;&gt;"",E574&lt;&gt;"İptal"),B574+ROW()/100000000,"")</f>
        <v/>
      </c>
    </row>
    <row r="575" customFormat="false" ht="15" hidden="false" customHeight="false" outlineLevel="0" collapsed="false">
      <c r="A575" s="12"/>
      <c r="B575" s="13"/>
      <c r="C575" s="14"/>
      <c r="D575" s="14"/>
      <c r="E575" s="15"/>
      <c r="F575" s="16"/>
      <c r="G575" s="17" t="str">
        <f aca="false">IF(D575="","",IF(E575="Geldi",IF(F575="",IFERROR(INDEX(Hizmetler!$C$5:$C$54,MATCH(D575,Hizmetler!$A$5:$A$54,0)),0),F575),0))</f>
        <v/>
      </c>
      <c r="H575" s="18" t="str">
        <f aca="false">IF(OR(B575="",D575=""),"",ROUND((B575+IFERROR(INDEX(Hizmetler!$B$5:$B$54,MATCH(D575,Hizmetler!$A$5:$A$54,0)),0)/1440)*1440,0)/1440)</f>
        <v/>
      </c>
      <c r="I575" s="19" t="str">
        <f aca="false">IF(OR(A575="",H575="",E575="İptal"),"",IF(COUNTIFS($A$5:$A$1004,A575,$B$5:$B$1004,"&lt;"&amp;(H575-0.0003),$H$5:$H$1004,"&gt;"&amp;(B575+0.0003),$E$5:$E$1004,"&lt;&gt;İptal")&gt;1,"Çakışıyor",""))</f>
        <v/>
      </c>
      <c r="J575" s="21" t="str">
        <f aca="false">IF(AND(A575=Gün!$C$3,B575&lt;&gt;"",E575&lt;&gt;"İptal"),B575+ROW()/100000000,"")</f>
        <v/>
      </c>
    </row>
    <row r="576" customFormat="false" ht="15" hidden="false" customHeight="false" outlineLevel="0" collapsed="false">
      <c r="A576" s="12"/>
      <c r="B576" s="13"/>
      <c r="C576" s="14"/>
      <c r="D576" s="14"/>
      <c r="E576" s="15"/>
      <c r="F576" s="16"/>
      <c r="G576" s="17" t="str">
        <f aca="false">IF(D576="","",IF(E576="Geldi",IF(F576="",IFERROR(INDEX(Hizmetler!$C$5:$C$54,MATCH(D576,Hizmetler!$A$5:$A$54,0)),0),F576),0))</f>
        <v/>
      </c>
      <c r="H576" s="18" t="str">
        <f aca="false">IF(OR(B576="",D576=""),"",ROUND((B576+IFERROR(INDEX(Hizmetler!$B$5:$B$54,MATCH(D576,Hizmetler!$A$5:$A$54,0)),0)/1440)*1440,0)/1440)</f>
        <v/>
      </c>
      <c r="I576" s="19" t="str">
        <f aca="false">IF(OR(A576="",H576="",E576="İptal"),"",IF(COUNTIFS($A$5:$A$1004,A576,$B$5:$B$1004,"&lt;"&amp;(H576-0.0003),$H$5:$H$1004,"&gt;"&amp;(B576+0.0003),$E$5:$E$1004,"&lt;&gt;İptal")&gt;1,"Çakışıyor",""))</f>
        <v/>
      </c>
      <c r="J576" s="21" t="str">
        <f aca="false">IF(AND(A576=Gün!$C$3,B576&lt;&gt;"",E576&lt;&gt;"İptal"),B576+ROW()/100000000,"")</f>
        <v/>
      </c>
    </row>
    <row r="577" customFormat="false" ht="15" hidden="false" customHeight="false" outlineLevel="0" collapsed="false">
      <c r="A577" s="12"/>
      <c r="B577" s="13"/>
      <c r="C577" s="14"/>
      <c r="D577" s="14"/>
      <c r="E577" s="15"/>
      <c r="F577" s="16"/>
      <c r="G577" s="17" t="str">
        <f aca="false">IF(D577="","",IF(E577="Geldi",IF(F577="",IFERROR(INDEX(Hizmetler!$C$5:$C$54,MATCH(D577,Hizmetler!$A$5:$A$54,0)),0),F577),0))</f>
        <v/>
      </c>
      <c r="H577" s="18" t="str">
        <f aca="false">IF(OR(B577="",D577=""),"",ROUND((B577+IFERROR(INDEX(Hizmetler!$B$5:$B$54,MATCH(D577,Hizmetler!$A$5:$A$54,0)),0)/1440)*1440,0)/1440)</f>
        <v/>
      </c>
      <c r="I577" s="19" t="str">
        <f aca="false">IF(OR(A577="",H577="",E577="İptal"),"",IF(COUNTIFS($A$5:$A$1004,A577,$B$5:$B$1004,"&lt;"&amp;(H577-0.0003),$H$5:$H$1004,"&gt;"&amp;(B577+0.0003),$E$5:$E$1004,"&lt;&gt;İptal")&gt;1,"Çakışıyor",""))</f>
        <v/>
      </c>
      <c r="J577" s="21" t="str">
        <f aca="false">IF(AND(A577=Gün!$C$3,B577&lt;&gt;"",E577&lt;&gt;"İptal"),B577+ROW()/100000000,"")</f>
        <v/>
      </c>
    </row>
    <row r="578" customFormat="false" ht="15" hidden="false" customHeight="false" outlineLevel="0" collapsed="false">
      <c r="A578" s="12"/>
      <c r="B578" s="13"/>
      <c r="C578" s="14"/>
      <c r="D578" s="14"/>
      <c r="E578" s="15"/>
      <c r="F578" s="16"/>
      <c r="G578" s="17" t="str">
        <f aca="false">IF(D578="","",IF(E578="Geldi",IF(F578="",IFERROR(INDEX(Hizmetler!$C$5:$C$54,MATCH(D578,Hizmetler!$A$5:$A$54,0)),0),F578),0))</f>
        <v/>
      </c>
      <c r="H578" s="18" t="str">
        <f aca="false">IF(OR(B578="",D578=""),"",ROUND((B578+IFERROR(INDEX(Hizmetler!$B$5:$B$54,MATCH(D578,Hizmetler!$A$5:$A$54,0)),0)/1440)*1440,0)/1440)</f>
        <v/>
      </c>
      <c r="I578" s="19" t="str">
        <f aca="false">IF(OR(A578="",H578="",E578="İptal"),"",IF(COUNTIFS($A$5:$A$1004,A578,$B$5:$B$1004,"&lt;"&amp;(H578-0.0003),$H$5:$H$1004,"&gt;"&amp;(B578+0.0003),$E$5:$E$1004,"&lt;&gt;İptal")&gt;1,"Çakışıyor",""))</f>
        <v/>
      </c>
      <c r="J578" s="21" t="str">
        <f aca="false">IF(AND(A578=Gün!$C$3,B578&lt;&gt;"",E578&lt;&gt;"İptal"),B578+ROW()/100000000,"")</f>
        <v/>
      </c>
    </row>
    <row r="579" customFormat="false" ht="15" hidden="false" customHeight="false" outlineLevel="0" collapsed="false">
      <c r="A579" s="12"/>
      <c r="B579" s="13"/>
      <c r="C579" s="14"/>
      <c r="D579" s="14"/>
      <c r="E579" s="15"/>
      <c r="F579" s="16"/>
      <c r="G579" s="17" t="str">
        <f aca="false">IF(D579="","",IF(E579="Geldi",IF(F579="",IFERROR(INDEX(Hizmetler!$C$5:$C$54,MATCH(D579,Hizmetler!$A$5:$A$54,0)),0),F579),0))</f>
        <v/>
      </c>
      <c r="H579" s="18" t="str">
        <f aca="false">IF(OR(B579="",D579=""),"",ROUND((B579+IFERROR(INDEX(Hizmetler!$B$5:$B$54,MATCH(D579,Hizmetler!$A$5:$A$54,0)),0)/1440)*1440,0)/1440)</f>
        <v/>
      </c>
      <c r="I579" s="19" t="str">
        <f aca="false">IF(OR(A579="",H579="",E579="İptal"),"",IF(COUNTIFS($A$5:$A$1004,A579,$B$5:$B$1004,"&lt;"&amp;(H579-0.0003),$H$5:$H$1004,"&gt;"&amp;(B579+0.0003),$E$5:$E$1004,"&lt;&gt;İptal")&gt;1,"Çakışıyor",""))</f>
        <v/>
      </c>
      <c r="J579" s="21" t="str">
        <f aca="false">IF(AND(A579=Gün!$C$3,B579&lt;&gt;"",E579&lt;&gt;"İptal"),B579+ROW()/100000000,"")</f>
        <v/>
      </c>
    </row>
    <row r="580" customFormat="false" ht="15" hidden="false" customHeight="false" outlineLevel="0" collapsed="false">
      <c r="A580" s="12"/>
      <c r="B580" s="13"/>
      <c r="C580" s="14"/>
      <c r="D580" s="14"/>
      <c r="E580" s="15"/>
      <c r="F580" s="16"/>
      <c r="G580" s="17" t="str">
        <f aca="false">IF(D580="","",IF(E580="Geldi",IF(F580="",IFERROR(INDEX(Hizmetler!$C$5:$C$54,MATCH(D580,Hizmetler!$A$5:$A$54,0)),0),F580),0))</f>
        <v/>
      </c>
      <c r="H580" s="18" t="str">
        <f aca="false">IF(OR(B580="",D580=""),"",ROUND((B580+IFERROR(INDEX(Hizmetler!$B$5:$B$54,MATCH(D580,Hizmetler!$A$5:$A$54,0)),0)/1440)*1440,0)/1440)</f>
        <v/>
      </c>
      <c r="I580" s="19" t="str">
        <f aca="false">IF(OR(A580="",H580="",E580="İptal"),"",IF(COUNTIFS($A$5:$A$1004,A580,$B$5:$B$1004,"&lt;"&amp;(H580-0.0003),$H$5:$H$1004,"&gt;"&amp;(B580+0.0003),$E$5:$E$1004,"&lt;&gt;İptal")&gt;1,"Çakışıyor",""))</f>
        <v/>
      </c>
      <c r="J580" s="21" t="str">
        <f aca="false">IF(AND(A580=Gün!$C$3,B580&lt;&gt;"",E580&lt;&gt;"İptal"),B580+ROW()/100000000,"")</f>
        <v/>
      </c>
    </row>
    <row r="581" customFormat="false" ht="15" hidden="false" customHeight="false" outlineLevel="0" collapsed="false">
      <c r="A581" s="12"/>
      <c r="B581" s="13"/>
      <c r="C581" s="14"/>
      <c r="D581" s="14"/>
      <c r="E581" s="15"/>
      <c r="F581" s="16"/>
      <c r="G581" s="17" t="str">
        <f aca="false">IF(D581="","",IF(E581="Geldi",IF(F581="",IFERROR(INDEX(Hizmetler!$C$5:$C$54,MATCH(D581,Hizmetler!$A$5:$A$54,0)),0),F581),0))</f>
        <v/>
      </c>
      <c r="H581" s="18" t="str">
        <f aca="false">IF(OR(B581="",D581=""),"",ROUND((B581+IFERROR(INDEX(Hizmetler!$B$5:$B$54,MATCH(D581,Hizmetler!$A$5:$A$54,0)),0)/1440)*1440,0)/1440)</f>
        <v/>
      </c>
      <c r="I581" s="19" t="str">
        <f aca="false">IF(OR(A581="",H581="",E581="İptal"),"",IF(COUNTIFS($A$5:$A$1004,A581,$B$5:$B$1004,"&lt;"&amp;(H581-0.0003),$H$5:$H$1004,"&gt;"&amp;(B581+0.0003),$E$5:$E$1004,"&lt;&gt;İptal")&gt;1,"Çakışıyor",""))</f>
        <v/>
      </c>
      <c r="J581" s="21" t="str">
        <f aca="false">IF(AND(A581=Gün!$C$3,B581&lt;&gt;"",E581&lt;&gt;"İptal"),B581+ROW()/100000000,"")</f>
        <v/>
      </c>
    </row>
    <row r="582" customFormat="false" ht="15" hidden="false" customHeight="false" outlineLevel="0" collapsed="false">
      <c r="A582" s="12"/>
      <c r="B582" s="13"/>
      <c r="C582" s="14"/>
      <c r="D582" s="14"/>
      <c r="E582" s="15"/>
      <c r="F582" s="16"/>
      <c r="G582" s="17" t="str">
        <f aca="false">IF(D582="","",IF(E582="Geldi",IF(F582="",IFERROR(INDEX(Hizmetler!$C$5:$C$54,MATCH(D582,Hizmetler!$A$5:$A$54,0)),0),F582),0))</f>
        <v/>
      </c>
      <c r="H582" s="18" t="str">
        <f aca="false">IF(OR(B582="",D582=""),"",ROUND((B582+IFERROR(INDEX(Hizmetler!$B$5:$B$54,MATCH(D582,Hizmetler!$A$5:$A$54,0)),0)/1440)*1440,0)/1440)</f>
        <v/>
      </c>
      <c r="I582" s="19" t="str">
        <f aca="false">IF(OR(A582="",H582="",E582="İptal"),"",IF(COUNTIFS($A$5:$A$1004,A582,$B$5:$B$1004,"&lt;"&amp;(H582-0.0003),$H$5:$H$1004,"&gt;"&amp;(B582+0.0003),$E$5:$E$1004,"&lt;&gt;İptal")&gt;1,"Çakışıyor",""))</f>
        <v/>
      </c>
      <c r="J582" s="21" t="str">
        <f aca="false">IF(AND(A582=Gün!$C$3,B582&lt;&gt;"",E582&lt;&gt;"İptal"),B582+ROW()/100000000,"")</f>
        <v/>
      </c>
    </row>
    <row r="583" customFormat="false" ht="15" hidden="false" customHeight="false" outlineLevel="0" collapsed="false">
      <c r="A583" s="12"/>
      <c r="B583" s="13"/>
      <c r="C583" s="14"/>
      <c r="D583" s="14"/>
      <c r="E583" s="15"/>
      <c r="F583" s="16"/>
      <c r="G583" s="17" t="str">
        <f aca="false">IF(D583="","",IF(E583="Geldi",IF(F583="",IFERROR(INDEX(Hizmetler!$C$5:$C$54,MATCH(D583,Hizmetler!$A$5:$A$54,0)),0),F583),0))</f>
        <v/>
      </c>
      <c r="H583" s="18" t="str">
        <f aca="false">IF(OR(B583="",D583=""),"",ROUND((B583+IFERROR(INDEX(Hizmetler!$B$5:$B$54,MATCH(D583,Hizmetler!$A$5:$A$54,0)),0)/1440)*1440,0)/1440)</f>
        <v/>
      </c>
      <c r="I583" s="19" t="str">
        <f aca="false">IF(OR(A583="",H583="",E583="İptal"),"",IF(COUNTIFS($A$5:$A$1004,A583,$B$5:$B$1004,"&lt;"&amp;(H583-0.0003),$H$5:$H$1004,"&gt;"&amp;(B583+0.0003),$E$5:$E$1004,"&lt;&gt;İptal")&gt;1,"Çakışıyor",""))</f>
        <v/>
      </c>
      <c r="J583" s="21" t="str">
        <f aca="false">IF(AND(A583=Gün!$C$3,B583&lt;&gt;"",E583&lt;&gt;"İptal"),B583+ROW()/100000000,"")</f>
        <v/>
      </c>
    </row>
    <row r="584" customFormat="false" ht="15" hidden="false" customHeight="false" outlineLevel="0" collapsed="false">
      <c r="A584" s="12"/>
      <c r="B584" s="13"/>
      <c r="C584" s="14"/>
      <c r="D584" s="14"/>
      <c r="E584" s="15"/>
      <c r="F584" s="16"/>
      <c r="G584" s="17" t="str">
        <f aca="false">IF(D584="","",IF(E584="Geldi",IF(F584="",IFERROR(INDEX(Hizmetler!$C$5:$C$54,MATCH(D584,Hizmetler!$A$5:$A$54,0)),0),F584),0))</f>
        <v/>
      </c>
      <c r="H584" s="18" t="str">
        <f aca="false">IF(OR(B584="",D584=""),"",ROUND((B584+IFERROR(INDEX(Hizmetler!$B$5:$B$54,MATCH(D584,Hizmetler!$A$5:$A$54,0)),0)/1440)*1440,0)/1440)</f>
        <v/>
      </c>
      <c r="I584" s="19" t="str">
        <f aca="false">IF(OR(A584="",H584="",E584="İptal"),"",IF(COUNTIFS($A$5:$A$1004,A584,$B$5:$B$1004,"&lt;"&amp;(H584-0.0003),$H$5:$H$1004,"&gt;"&amp;(B584+0.0003),$E$5:$E$1004,"&lt;&gt;İptal")&gt;1,"Çakışıyor",""))</f>
        <v/>
      </c>
      <c r="J584" s="21" t="str">
        <f aca="false">IF(AND(A584=Gün!$C$3,B584&lt;&gt;"",E584&lt;&gt;"İptal"),B584+ROW()/100000000,"")</f>
        <v/>
      </c>
    </row>
    <row r="585" customFormat="false" ht="15" hidden="false" customHeight="false" outlineLevel="0" collapsed="false">
      <c r="A585" s="12"/>
      <c r="B585" s="13"/>
      <c r="C585" s="14"/>
      <c r="D585" s="14"/>
      <c r="E585" s="15"/>
      <c r="F585" s="16"/>
      <c r="G585" s="17" t="str">
        <f aca="false">IF(D585="","",IF(E585="Geldi",IF(F585="",IFERROR(INDEX(Hizmetler!$C$5:$C$54,MATCH(D585,Hizmetler!$A$5:$A$54,0)),0),F585),0))</f>
        <v/>
      </c>
      <c r="H585" s="18" t="str">
        <f aca="false">IF(OR(B585="",D585=""),"",ROUND((B585+IFERROR(INDEX(Hizmetler!$B$5:$B$54,MATCH(D585,Hizmetler!$A$5:$A$54,0)),0)/1440)*1440,0)/1440)</f>
        <v/>
      </c>
      <c r="I585" s="19" t="str">
        <f aca="false">IF(OR(A585="",H585="",E585="İptal"),"",IF(COUNTIFS($A$5:$A$1004,A585,$B$5:$B$1004,"&lt;"&amp;(H585-0.0003),$H$5:$H$1004,"&gt;"&amp;(B585+0.0003),$E$5:$E$1004,"&lt;&gt;İptal")&gt;1,"Çakışıyor",""))</f>
        <v/>
      </c>
      <c r="J585" s="21" t="str">
        <f aca="false">IF(AND(A585=Gün!$C$3,B585&lt;&gt;"",E585&lt;&gt;"İptal"),B585+ROW()/100000000,"")</f>
        <v/>
      </c>
    </row>
    <row r="586" customFormat="false" ht="15" hidden="false" customHeight="false" outlineLevel="0" collapsed="false">
      <c r="A586" s="12"/>
      <c r="B586" s="13"/>
      <c r="C586" s="14"/>
      <c r="D586" s="14"/>
      <c r="E586" s="15"/>
      <c r="F586" s="16"/>
      <c r="G586" s="17" t="str">
        <f aca="false">IF(D586="","",IF(E586="Geldi",IF(F586="",IFERROR(INDEX(Hizmetler!$C$5:$C$54,MATCH(D586,Hizmetler!$A$5:$A$54,0)),0),F586),0))</f>
        <v/>
      </c>
      <c r="H586" s="18" t="str">
        <f aca="false">IF(OR(B586="",D586=""),"",ROUND((B586+IFERROR(INDEX(Hizmetler!$B$5:$B$54,MATCH(D586,Hizmetler!$A$5:$A$54,0)),0)/1440)*1440,0)/1440)</f>
        <v/>
      </c>
      <c r="I586" s="19" t="str">
        <f aca="false">IF(OR(A586="",H586="",E586="İptal"),"",IF(COUNTIFS($A$5:$A$1004,A586,$B$5:$B$1004,"&lt;"&amp;(H586-0.0003),$H$5:$H$1004,"&gt;"&amp;(B586+0.0003),$E$5:$E$1004,"&lt;&gt;İptal")&gt;1,"Çakışıyor",""))</f>
        <v/>
      </c>
      <c r="J586" s="21" t="str">
        <f aca="false">IF(AND(A586=Gün!$C$3,B586&lt;&gt;"",E586&lt;&gt;"İptal"),B586+ROW()/100000000,"")</f>
        <v/>
      </c>
    </row>
    <row r="587" customFormat="false" ht="15" hidden="false" customHeight="false" outlineLevel="0" collapsed="false">
      <c r="A587" s="12"/>
      <c r="B587" s="13"/>
      <c r="C587" s="14"/>
      <c r="D587" s="14"/>
      <c r="E587" s="15"/>
      <c r="F587" s="16"/>
      <c r="G587" s="17" t="str">
        <f aca="false">IF(D587="","",IF(E587="Geldi",IF(F587="",IFERROR(INDEX(Hizmetler!$C$5:$C$54,MATCH(D587,Hizmetler!$A$5:$A$54,0)),0),F587),0))</f>
        <v/>
      </c>
      <c r="H587" s="18" t="str">
        <f aca="false">IF(OR(B587="",D587=""),"",ROUND((B587+IFERROR(INDEX(Hizmetler!$B$5:$B$54,MATCH(D587,Hizmetler!$A$5:$A$54,0)),0)/1440)*1440,0)/1440)</f>
        <v/>
      </c>
      <c r="I587" s="19" t="str">
        <f aca="false">IF(OR(A587="",H587="",E587="İptal"),"",IF(COUNTIFS($A$5:$A$1004,A587,$B$5:$B$1004,"&lt;"&amp;(H587-0.0003),$H$5:$H$1004,"&gt;"&amp;(B587+0.0003),$E$5:$E$1004,"&lt;&gt;İptal")&gt;1,"Çakışıyor",""))</f>
        <v/>
      </c>
      <c r="J587" s="21" t="str">
        <f aca="false">IF(AND(A587=Gün!$C$3,B587&lt;&gt;"",E587&lt;&gt;"İptal"),B587+ROW()/100000000,"")</f>
        <v/>
      </c>
    </row>
    <row r="588" customFormat="false" ht="15" hidden="false" customHeight="false" outlineLevel="0" collapsed="false">
      <c r="A588" s="12"/>
      <c r="B588" s="13"/>
      <c r="C588" s="14"/>
      <c r="D588" s="14"/>
      <c r="E588" s="15"/>
      <c r="F588" s="16"/>
      <c r="G588" s="17" t="str">
        <f aca="false">IF(D588="","",IF(E588="Geldi",IF(F588="",IFERROR(INDEX(Hizmetler!$C$5:$C$54,MATCH(D588,Hizmetler!$A$5:$A$54,0)),0),F588),0))</f>
        <v/>
      </c>
      <c r="H588" s="18" t="str">
        <f aca="false">IF(OR(B588="",D588=""),"",ROUND((B588+IFERROR(INDEX(Hizmetler!$B$5:$B$54,MATCH(D588,Hizmetler!$A$5:$A$54,0)),0)/1440)*1440,0)/1440)</f>
        <v/>
      </c>
      <c r="I588" s="19" t="str">
        <f aca="false">IF(OR(A588="",H588="",E588="İptal"),"",IF(COUNTIFS($A$5:$A$1004,A588,$B$5:$B$1004,"&lt;"&amp;(H588-0.0003),$H$5:$H$1004,"&gt;"&amp;(B588+0.0003),$E$5:$E$1004,"&lt;&gt;İptal")&gt;1,"Çakışıyor",""))</f>
        <v/>
      </c>
      <c r="J588" s="21" t="str">
        <f aca="false">IF(AND(A588=Gün!$C$3,B588&lt;&gt;"",E588&lt;&gt;"İptal"),B588+ROW()/100000000,"")</f>
        <v/>
      </c>
    </row>
    <row r="589" customFormat="false" ht="15" hidden="false" customHeight="false" outlineLevel="0" collapsed="false">
      <c r="A589" s="12"/>
      <c r="B589" s="13"/>
      <c r="C589" s="14"/>
      <c r="D589" s="14"/>
      <c r="E589" s="15"/>
      <c r="F589" s="16"/>
      <c r="G589" s="17" t="str">
        <f aca="false">IF(D589="","",IF(E589="Geldi",IF(F589="",IFERROR(INDEX(Hizmetler!$C$5:$C$54,MATCH(D589,Hizmetler!$A$5:$A$54,0)),0),F589),0))</f>
        <v/>
      </c>
      <c r="H589" s="18" t="str">
        <f aca="false">IF(OR(B589="",D589=""),"",ROUND((B589+IFERROR(INDEX(Hizmetler!$B$5:$B$54,MATCH(D589,Hizmetler!$A$5:$A$54,0)),0)/1440)*1440,0)/1440)</f>
        <v/>
      </c>
      <c r="I589" s="19" t="str">
        <f aca="false">IF(OR(A589="",H589="",E589="İptal"),"",IF(COUNTIFS($A$5:$A$1004,A589,$B$5:$B$1004,"&lt;"&amp;(H589-0.0003),$H$5:$H$1004,"&gt;"&amp;(B589+0.0003),$E$5:$E$1004,"&lt;&gt;İptal")&gt;1,"Çakışıyor",""))</f>
        <v/>
      </c>
      <c r="J589" s="21" t="str">
        <f aca="false">IF(AND(A589=Gün!$C$3,B589&lt;&gt;"",E589&lt;&gt;"İptal"),B589+ROW()/100000000,"")</f>
        <v/>
      </c>
    </row>
    <row r="590" customFormat="false" ht="15" hidden="false" customHeight="false" outlineLevel="0" collapsed="false">
      <c r="A590" s="12"/>
      <c r="B590" s="13"/>
      <c r="C590" s="14"/>
      <c r="D590" s="14"/>
      <c r="E590" s="15"/>
      <c r="F590" s="16"/>
      <c r="G590" s="17" t="str">
        <f aca="false">IF(D590="","",IF(E590="Geldi",IF(F590="",IFERROR(INDEX(Hizmetler!$C$5:$C$54,MATCH(D590,Hizmetler!$A$5:$A$54,0)),0),F590),0))</f>
        <v/>
      </c>
      <c r="H590" s="18" t="str">
        <f aca="false">IF(OR(B590="",D590=""),"",ROUND((B590+IFERROR(INDEX(Hizmetler!$B$5:$B$54,MATCH(D590,Hizmetler!$A$5:$A$54,0)),0)/1440)*1440,0)/1440)</f>
        <v/>
      </c>
      <c r="I590" s="19" t="str">
        <f aca="false">IF(OR(A590="",H590="",E590="İptal"),"",IF(COUNTIFS($A$5:$A$1004,A590,$B$5:$B$1004,"&lt;"&amp;(H590-0.0003),$H$5:$H$1004,"&gt;"&amp;(B590+0.0003),$E$5:$E$1004,"&lt;&gt;İptal")&gt;1,"Çakışıyor",""))</f>
        <v/>
      </c>
      <c r="J590" s="21" t="str">
        <f aca="false">IF(AND(A590=Gün!$C$3,B590&lt;&gt;"",E590&lt;&gt;"İptal"),B590+ROW()/100000000,"")</f>
        <v/>
      </c>
    </row>
    <row r="591" customFormat="false" ht="15" hidden="false" customHeight="false" outlineLevel="0" collapsed="false">
      <c r="A591" s="12"/>
      <c r="B591" s="13"/>
      <c r="C591" s="14"/>
      <c r="D591" s="14"/>
      <c r="E591" s="15"/>
      <c r="F591" s="16"/>
      <c r="G591" s="17" t="str">
        <f aca="false">IF(D591="","",IF(E591="Geldi",IF(F591="",IFERROR(INDEX(Hizmetler!$C$5:$C$54,MATCH(D591,Hizmetler!$A$5:$A$54,0)),0),F591),0))</f>
        <v/>
      </c>
      <c r="H591" s="18" t="str">
        <f aca="false">IF(OR(B591="",D591=""),"",ROUND((B591+IFERROR(INDEX(Hizmetler!$B$5:$B$54,MATCH(D591,Hizmetler!$A$5:$A$54,0)),0)/1440)*1440,0)/1440)</f>
        <v/>
      </c>
      <c r="I591" s="19" t="str">
        <f aca="false">IF(OR(A591="",H591="",E591="İptal"),"",IF(COUNTIFS($A$5:$A$1004,A591,$B$5:$B$1004,"&lt;"&amp;(H591-0.0003),$H$5:$H$1004,"&gt;"&amp;(B591+0.0003),$E$5:$E$1004,"&lt;&gt;İptal")&gt;1,"Çakışıyor",""))</f>
        <v/>
      </c>
      <c r="J591" s="21" t="str">
        <f aca="false">IF(AND(A591=Gün!$C$3,B591&lt;&gt;"",E591&lt;&gt;"İptal"),B591+ROW()/100000000,"")</f>
        <v/>
      </c>
    </row>
    <row r="592" customFormat="false" ht="15" hidden="false" customHeight="false" outlineLevel="0" collapsed="false">
      <c r="A592" s="12"/>
      <c r="B592" s="13"/>
      <c r="C592" s="14"/>
      <c r="D592" s="14"/>
      <c r="E592" s="15"/>
      <c r="F592" s="16"/>
      <c r="G592" s="17" t="str">
        <f aca="false">IF(D592="","",IF(E592="Geldi",IF(F592="",IFERROR(INDEX(Hizmetler!$C$5:$C$54,MATCH(D592,Hizmetler!$A$5:$A$54,0)),0),F592),0))</f>
        <v/>
      </c>
      <c r="H592" s="18" t="str">
        <f aca="false">IF(OR(B592="",D592=""),"",ROUND((B592+IFERROR(INDEX(Hizmetler!$B$5:$B$54,MATCH(D592,Hizmetler!$A$5:$A$54,0)),0)/1440)*1440,0)/1440)</f>
        <v/>
      </c>
      <c r="I592" s="19" t="str">
        <f aca="false">IF(OR(A592="",H592="",E592="İptal"),"",IF(COUNTIFS($A$5:$A$1004,A592,$B$5:$B$1004,"&lt;"&amp;(H592-0.0003),$H$5:$H$1004,"&gt;"&amp;(B592+0.0003),$E$5:$E$1004,"&lt;&gt;İptal")&gt;1,"Çakışıyor",""))</f>
        <v/>
      </c>
      <c r="J592" s="21" t="str">
        <f aca="false">IF(AND(A592=Gün!$C$3,B592&lt;&gt;"",E592&lt;&gt;"İptal"),B592+ROW()/100000000,"")</f>
        <v/>
      </c>
    </row>
    <row r="593" customFormat="false" ht="15" hidden="false" customHeight="false" outlineLevel="0" collapsed="false">
      <c r="A593" s="12"/>
      <c r="B593" s="13"/>
      <c r="C593" s="14"/>
      <c r="D593" s="14"/>
      <c r="E593" s="15"/>
      <c r="F593" s="16"/>
      <c r="G593" s="17" t="str">
        <f aca="false">IF(D593="","",IF(E593="Geldi",IF(F593="",IFERROR(INDEX(Hizmetler!$C$5:$C$54,MATCH(D593,Hizmetler!$A$5:$A$54,0)),0),F593),0))</f>
        <v/>
      </c>
      <c r="H593" s="18" t="str">
        <f aca="false">IF(OR(B593="",D593=""),"",ROUND((B593+IFERROR(INDEX(Hizmetler!$B$5:$B$54,MATCH(D593,Hizmetler!$A$5:$A$54,0)),0)/1440)*1440,0)/1440)</f>
        <v/>
      </c>
      <c r="I593" s="19" t="str">
        <f aca="false">IF(OR(A593="",H593="",E593="İptal"),"",IF(COUNTIFS($A$5:$A$1004,A593,$B$5:$B$1004,"&lt;"&amp;(H593-0.0003),$H$5:$H$1004,"&gt;"&amp;(B593+0.0003),$E$5:$E$1004,"&lt;&gt;İptal")&gt;1,"Çakışıyor",""))</f>
        <v/>
      </c>
      <c r="J593" s="21" t="str">
        <f aca="false">IF(AND(A593=Gün!$C$3,B593&lt;&gt;"",E593&lt;&gt;"İptal"),B593+ROW()/100000000,"")</f>
        <v/>
      </c>
    </row>
    <row r="594" customFormat="false" ht="15" hidden="false" customHeight="false" outlineLevel="0" collapsed="false">
      <c r="A594" s="12"/>
      <c r="B594" s="13"/>
      <c r="C594" s="14"/>
      <c r="D594" s="14"/>
      <c r="E594" s="15"/>
      <c r="F594" s="16"/>
      <c r="G594" s="17" t="str">
        <f aca="false">IF(D594="","",IF(E594="Geldi",IF(F594="",IFERROR(INDEX(Hizmetler!$C$5:$C$54,MATCH(D594,Hizmetler!$A$5:$A$54,0)),0),F594),0))</f>
        <v/>
      </c>
      <c r="H594" s="18" t="str">
        <f aca="false">IF(OR(B594="",D594=""),"",ROUND((B594+IFERROR(INDEX(Hizmetler!$B$5:$B$54,MATCH(D594,Hizmetler!$A$5:$A$54,0)),0)/1440)*1440,0)/1440)</f>
        <v/>
      </c>
      <c r="I594" s="19" t="str">
        <f aca="false">IF(OR(A594="",H594="",E594="İptal"),"",IF(COUNTIFS($A$5:$A$1004,A594,$B$5:$B$1004,"&lt;"&amp;(H594-0.0003),$H$5:$H$1004,"&gt;"&amp;(B594+0.0003),$E$5:$E$1004,"&lt;&gt;İptal")&gt;1,"Çakışıyor",""))</f>
        <v/>
      </c>
      <c r="J594" s="21" t="str">
        <f aca="false">IF(AND(A594=Gün!$C$3,B594&lt;&gt;"",E594&lt;&gt;"İptal"),B594+ROW()/100000000,"")</f>
        <v/>
      </c>
    </row>
    <row r="595" customFormat="false" ht="15" hidden="false" customHeight="false" outlineLevel="0" collapsed="false">
      <c r="A595" s="12"/>
      <c r="B595" s="13"/>
      <c r="C595" s="14"/>
      <c r="D595" s="14"/>
      <c r="E595" s="15"/>
      <c r="F595" s="16"/>
      <c r="G595" s="17" t="str">
        <f aca="false">IF(D595="","",IF(E595="Geldi",IF(F595="",IFERROR(INDEX(Hizmetler!$C$5:$C$54,MATCH(D595,Hizmetler!$A$5:$A$54,0)),0),F595),0))</f>
        <v/>
      </c>
      <c r="H595" s="18" t="str">
        <f aca="false">IF(OR(B595="",D595=""),"",ROUND((B595+IFERROR(INDEX(Hizmetler!$B$5:$B$54,MATCH(D595,Hizmetler!$A$5:$A$54,0)),0)/1440)*1440,0)/1440)</f>
        <v/>
      </c>
      <c r="I595" s="19" t="str">
        <f aca="false">IF(OR(A595="",H595="",E595="İptal"),"",IF(COUNTIFS($A$5:$A$1004,A595,$B$5:$B$1004,"&lt;"&amp;(H595-0.0003),$H$5:$H$1004,"&gt;"&amp;(B595+0.0003),$E$5:$E$1004,"&lt;&gt;İptal")&gt;1,"Çakışıyor",""))</f>
        <v/>
      </c>
      <c r="J595" s="21" t="str">
        <f aca="false">IF(AND(A595=Gün!$C$3,B595&lt;&gt;"",E595&lt;&gt;"İptal"),B595+ROW()/100000000,"")</f>
        <v/>
      </c>
    </row>
    <row r="596" customFormat="false" ht="15" hidden="false" customHeight="false" outlineLevel="0" collapsed="false">
      <c r="A596" s="12"/>
      <c r="B596" s="13"/>
      <c r="C596" s="14"/>
      <c r="D596" s="14"/>
      <c r="E596" s="15"/>
      <c r="F596" s="16"/>
      <c r="G596" s="17" t="str">
        <f aca="false">IF(D596="","",IF(E596="Geldi",IF(F596="",IFERROR(INDEX(Hizmetler!$C$5:$C$54,MATCH(D596,Hizmetler!$A$5:$A$54,0)),0),F596),0))</f>
        <v/>
      </c>
      <c r="H596" s="18" t="str">
        <f aca="false">IF(OR(B596="",D596=""),"",ROUND((B596+IFERROR(INDEX(Hizmetler!$B$5:$B$54,MATCH(D596,Hizmetler!$A$5:$A$54,0)),0)/1440)*1440,0)/1440)</f>
        <v/>
      </c>
      <c r="I596" s="19" t="str">
        <f aca="false">IF(OR(A596="",H596="",E596="İptal"),"",IF(COUNTIFS($A$5:$A$1004,A596,$B$5:$B$1004,"&lt;"&amp;(H596-0.0003),$H$5:$H$1004,"&gt;"&amp;(B596+0.0003),$E$5:$E$1004,"&lt;&gt;İptal")&gt;1,"Çakışıyor",""))</f>
        <v/>
      </c>
      <c r="J596" s="21" t="str">
        <f aca="false">IF(AND(A596=Gün!$C$3,B596&lt;&gt;"",E596&lt;&gt;"İptal"),B596+ROW()/100000000,"")</f>
        <v/>
      </c>
    </row>
    <row r="597" customFormat="false" ht="15" hidden="false" customHeight="false" outlineLevel="0" collapsed="false">
      <c r="A597" s="12"/>
      <c r="B597" s="13"/>
      <c r="C597" s="14"/>
      <c r="D597" s="14"/>
      <c r="E597" s="15"/>
      <c r="F597" s="16"/>
      <c r="G597" s="17" t="str">
        <f aca="false">IF(D597="","",IF(E597="Geldi",IF(F597="",IFERROR(INDEX(Hizmetler!$C$5:$C$54,MATCH(D597,Hizmetler!$A$5:$A$54,0)),0),F597),0))</f>
        <v/>
      </c>
      <c r="H597" s="18" t="str">
        <f aca="false">IF(OR(B597="",D597=""),"",ROUND((B597+IFERROR(INDEX(Hizmetler!$B$5:$B$54,MATCH(D597,Hizmetler!$A$5:$A$54,0)),0)/1440)*1440,0)/1440)</f>
        <v/>
      </c>
      <c r="I597" s="19" t="str">
        <f aca="false">IF(OR(A597="",H597="",E597="İptal"),"",IF(COUNTIFS($A$5:$A$1004,A597,$B$5:$B$1004,"&lt;"&amp;(H597-0.0003),$H$5:$H$1004,"&gt;"&amp;(B597+0.0003),$E$5:$E$1004,"&lt;&gt;İptal")&gt;1,"Çakışıyor",""))</f>
        <v/>
      </c>
      <c r="J597" s="21" t="str">
        <f aca="false">IF(AND(A597=Gün!$C$3,B597&lt;&gt;"",E597&lt;&gt;"İptal"),B597+ROW()/100000000,"")</f>
        <v/>
      </c>
    </row>
    <row r="598" customFormat="false" ht="15" hidden="false" customHeight="false" outlineLevel="0" collapsed="false">
      <c r="A598" s="12"/>
      <c r="B598" s="13"/>
      <c r="C598" s="14"/>
      <c r="D598" s="14"/>
      <c r="E598" s="15"/>
      <c r="F598" s="16"/>
      <c r="G598" s="17" t="str">
        <f aca="false">IF(D598="","",IF(E598="Geldi",IF(F598="",IFERROR(INDEX(Hizmetler!$C$5:$C$54,MATCH(D598,Hizmetler!$A$5:$A$54,0)),0),F598),0))</f>
        <v/>
      </c>
      <c r="H598" s="18" t="str">
        <f aca="false">IF(OR(B598="",D598=""),"",ROUND((B598+IFERROR(INDEX(Hizmetler!$B$5:$B$54,MATCH(D598,Hizmetler!$A$5:$A$54,0)),0)/1440)*1440,0)/1440)</f>
        <v/>
      </c>
      <c r="I598" s="19" t="str">
        <f aca="false">IF(OR(A598="",H598="",E598="İptal"),"",IF(COUNTIFS($A$5:$A$1004,A598,$B$5:$B$1004,"&lt;"&amp;(H598-0.0003),$H$5:$H$1004,"&gt;"&amp;(B598+0.0003),$E$5:$E$1004,"&lt;&gt;İptal")&gt;1,"Çakışıyor",""))</f>
        <v/>
      </c>
      <c r="J598" s="21" t="str">
        <f aca="false">IF(AND(A598=Gün!$C$3,B598&lt;&gt;"",E598&lt;&gt;"İptal"),B598+ROW()/100000000,"")</f>
        <v/>
      </c>
    </row>
    <row r="599" customFormat="false" ht="15" hidden="false" customHeight="false" outlineLevel="0" collapsed="false">
      <c r="A599" s="12"/>
      <c r="B599" s="13"/>
      <c r="C599" s="14"/>
      <c r="D599" s="14"/>
      <c r="E599" s="15"/>
      <c r="F599" s="16"/>
      <c r="G599" s="17" t="str">
        <f aca="false">IF(D599="","",IF(E599="Geldi",IF(F599="",IFERROR(INDEX(Hizmetler!$C$5:$C$54,MATCH(D599,Hizmetler!$A$5:$A$54,0)),0),F599),0))</f>
        <v/>
      </c>
      <c r="H599" s="18" t="str">
        <f aca="false">IF(OR(B599="",D599=""),"",ROUND((B599+IFERROR(INDEX(Hizmetler!$B$5:$B$54,MATCH(D599,Hizmetler!$A$5:$A$54,0)),0)/1440)*1440,0)/1440)</f>
        <v/>
      </c>
      <c r="I599" s="19" t="str">
        <f aca="false">IF(OR(A599="",H599="",E599="İptal"),"",IF(COUNTIFS($A$5:$A$1004,A599,$B$5:$B$1004,"&lt;"&amp;(H599-0.0003),$H$5:$H$1004,"&gt;"&amp;(B599+0.0003),$E$5:$E$1004,"&lt;&gt;İptal")&gt;1,"Çakışıyor",""))</f>
        <v/>
      </c>
      <c r="J599" s="21" t="str">
        <f aca="false">IF(AND(A599=Gün!$C$3,B599&lt;&gt;"",E599&lt;&gt;"İptal"),B599+ROW()/100000000,"")</f>
        <v/>
      </c>
    </row>
    <row r="600" customFormat="false" ht="15" hidden="false" customHeight="false" outlineLevel="0" collapsed="false">
      <c r="A600" s="12"/>
      <c r="B600" s="13"/>
      <c r="C600" s="14"/>
      <c r="D600" s="14"/>
      <c r="E600" s="15"/>
      <c r="F600" s="16"/>
      <c r="G600" s="17" t="str">
        <f aca="false">IF(D600="","",IF(E600="Geldi",IF(F600="",IFERROR(INDEX(Hizmetler!$C$5:$C$54,MATCH(D600,Hizmetler!$A$5:$A$54,0)),0),F600),0))</f>
        <v/>
      </c>
      <c r="H600" s="18" t="str">
        <f aca="false">IF(OR(B600="",D600=""),"",ROUND((B600+IFERROR(INDEX(Hizmetler!$B$5:$B$54,MATCH(D600,Hizmetler!$A$5:$A$54,0)),0)/1440)*1440,0)/1440)</f>
        <v/>
      </c>
      <c r="I600" s="19" t="str">
        <f aca="false">IF(OR(A600="",H600="",E600="İptal"),"",IF(COUNTIFS($A$5:$A$1004,A600,$B$5:$B$1004,"&lt;"&amp;(H600-0.0003),$H$5:$H$1004,"&gt;"&amp;(B600+0.0003),$E$5:$E$1004,"&lt;&gt;İptal")&gt;1,"Çakışıyor",""))</f>
        <v/>
      </c>
      <c r="J600" s="21" t="str">
        <f aca="false">IF(AND(A600=Gün!$C$3,B600&lt;&gt;"",E600&lt;&gt;"İptal"),B600+ROW()/100000000,"")</f>
        <v/>
      </c>
    </row>
    <row r="601" customFormat="false" ht="15" hidden="false" customHeight="false" outlineLevel="0" collapsed="false">
      <c r="A601" s="12"/>
      <c r="B601" s="13"/>
      <c r="C601" s="14"/>
      <c r="D601" s="14"/>
      <c r="E601" s="15"/>
      <c r="F601" s="16"/>
      <c r="G601" s="17" t="str">
        <f aca="false">IF(D601="","",IF(E601="Geldi",IF(F601="",IFERROR(INDEX(Hizmetler!$C$5:$C$54,MATCH(D601,Hizmetler!$A$5:$A$54,0)),0),F601),0))</f>
        <v/>
      </c>
      <c r="H601" s="18" t="str">
        <f aca="false">IF(OR(B601="",D601=""),"",ROUND((B601+IFERROR(INDEX(Hizmetler!$B$5:$B$54,MATCH(D601,Hizmetler!$A$5:$A$54,0)),0)/1440)*1440,0)/1440)</f>
        <v/>
      </c>
      <c r="I601" s="19" t="str">
        <f aca="false">IF(OR(A601="",H601="",E601="İptal"),"",IF(COUNTIFS($A$5:$A$1004,A601,$B$5:$B$1004,"&lt;"&amp;(H601-0.0003),$H$5:$H$1004,"&gt;"&amp;(B601+0.0003),$E$5:$E$1004,"&lt;&gt;İptal")&gt;1,"Çakışıyor",""))</f>
        <v/>
      </c>
      <c r="J601" s="21" t="str">
        <f aca="false">IF(AND(A601=Gün!$C$3,B601&lt;&gt;"",E601&lt;&gt;"İptal"),B601+ROW()/100000000,"")</f>
        <v/>
      </c>
    </row>
    <row r="602" customFormat="false" ht="15" hidden="false" customHeight="false" outlineLevel="0" collapsed="false">
      <c r="A602" s="12"/>
      <c r="B602" s="13"/>
      <c r="C602" s="14"/>
      <c r="D602" s="14"/>
      <c r="E602" s="15"/>
      <c r="F602" s="16"/>
      <c r="G602" s="17" t="str">
        <f aca="false">IF(D602="","",IF(E602="Geldi",IF(F602="",IFERROR(INDEX(Hizmetler!$C$5:$C$54,MATCH(D602,Hizmetler!$A$5:$A$54,0)),0),F602),0))</f>
        <v/>
      </c>
      <c r="H602" s="18" t="str">
        <f aca="false">IF(OR(B602="",D602=""),"",ROUND((B602+IFERROR(INDEX(Hizmetler!$B$5:$B$54,MATCH(D602,Hizmetler!$A$5:$A$54,0)),0)/1440)*1440,0)/1440)</f>
        <v/>
      </c>
      <c r="I602" s="19" t="str">
        <f aca="false">IF(OR(A602="",H602="",E602="İptal"),"",IF(COUNTIFS($A$5:$A$1004,A602,$B$5:$B$1004,"&lt;"&amp;(H602-0.0003),$H$5:$H$1004,"&gt;"&amp;(B602+0.0003),$E$5:$E$1004,"&lt;&gt;İptal")&gt;1,"Çakışıyor",""))</f>
        <v/>
      </c>
      <c r="J602" s="21" t="str">
        <f aca="false">IF(AND(A602=Gün!$C$3,B602&lt;&gt;"",E602&lt;&gt;"İptal"),B602+ROW()/100000000,"")</f>
        <v/>
      </c>
    </row>
    <row r="603" customFormat="false" ht="15" hidden="false" customHeight="false" outlineLevel="0" collapsed="false">
      <c r="A603" s="12"/>
      <c r="B603" s="13"/>
      <c r="C603" s="14"/>
      <c r="D603" s="14"/>
      <c r="E603" s="15"/>
      <c r="F603" s="16"/>
      <c r="G603" s="17" t="str">
        <f aca="false">IF(D603="","",IF(E603="Geldi",IF(F603="",IFERROR(INDEX(Hizmetler!$C$5:$C$54,MATCH(D603,Hizmetler!$A$5:$A$54,0)),0),F603),0))</f>
        <v/>
      </c>
      <c r="H603" s="18" t="str">
        <f aca="false">IF(OR(B603="",D603=""),"",ROUND((B603+IFERROR(INDEX(Hizmetler!$B$5:$B$54,MATCH(D603,Hizmetler!$A$5:$A$54,0)),0)/1440)*1440,0)/1440)</f>
        <v/>
      </c>
      <c r="I603" s="19" t="str">
        <f aca="false">IF(OR(A603="",H603="",E603="İptal"),"",IF(COUNTIFS($A$5:$A$1004,A603,$B$5:$B$1004,"&lt;"&amp;(H603-0.0003),$H$5:$H$1004,"&gt;"&amp;(B603+0.0003),$E$5:$E$1004,"&lt;&gt;İptal")&gt;1,"Çakışıyor",""))</f>
        <v/>
      </c>
      <c r="J603" s="21" t="str">
        <f aca="false">IF(AND(A603=Gün!$C$3,B603&lt;&gt;"",E603&lt;&gt;"İptal"),B603+ROW()/100000000,"")</f>
        <v/>
      </c>
    </row>
    <row r="604" customFormat="false" ht="15" hidden="false" customHeight="false" outlineLevel="0" collapsed="false">
      <c r="A604" s="12"/>
      <c r="B604" s="13"/>
      <c r="C604" s="14"/>
      <c r="D604" s="14"/>
      <c r="E604" s="15"/>
      <c r="F604" s="16"/>
      <c r="G604" s="17" t="str">
        <f aca="false">IF(D604="","",IF(E604="Geldi",IF(F604="",IFERROR(INDEX(Hizmetler!$C$5:$C$54,MATCH(D604,Hizmetler!$A$5:$A$54,0)),0),F604),0))</f>
        <v/>
      </c>
      <c r="H604" s="18" t="str">
        <f aca="false">IF(OR(B604="",D604=""),"",ROUND((B604+IFERROR(INDEX(Hizmetler!$B$5:$B$54,MATCH(D604,Hizmetler!$A$5:$A$54,0)),0)/1440)*1440,0)/1440)</f>
        <v/>
      </c>
      <c r="I604" s="19" t="str">
        <f aca="false">IF(OR(A604="",H604="",E604="İptal"),"",IF(COUNTIFS($A$5:$A$1004,A604,$B$5:$B$1004,"&lt;"&amp;(H604-0.0003),$H$5:$H$1004,"&gt;"&amp;(B604+0.0003),$E$5:$E$1004,"&lt;&gt;İptal")&gt;1,"Çakışıyor",""))</f>
        <v/>
      </c>
      <c r="J604" s="21" t="str">
        <f aca="false">IF(AND(A604=Gün!$C$3,B604&lt;&gt;"",E604&lt;&gt;"İptal"),B604+ROW()/100000000,"")</f>
        <v/>
      </c>
    </row>
    <row r="605" customFormat="false" ht="15" hidden="false" customHeight="false" outlineLevel="0" collapsed="false">
      <c r="A605" s="12"/>
      <c r="B605" s="13"/>
      <c r="C605" s="14"/>
      <c r="D605" s="14"/>
      <c r="E605" s="15"/>
      <c r="F605" s="16"/>
      <c r="G605" s="17" t="str">
        <f aca="false">IF(D605="","",IF(E605="Geldi",IF(F605="",IFERROR(INDEX(Hizmetler!$C$5:$C$54,MATCH(D605,Hizmetler!$A$5:$A$54,0)),0),F605),0))</f>
        <v/>
      </c>
      <c r="H605" s="18" t="str">
        <f aca="false">IF(OR(B605="",D605=""),"",ROUND((B605+IFERROR(INDEX(Hizmetler!$B$5:$B$54,MATCH(D605,Hizmetler!$A$5:$A$54,0)),0)/1440)*1440,0)/1440)</f>
        <v/>
      </c>
      <c r="I605" s="19" t="str">
        <f aca="false">IF(OR(A605="",H605="",E605="İptal"),"",IF(COUNTIFS($A$5:$A$1004,A605,$B$5:$B$1004,"&lt;"&amp;(H605-0.0003),$H$5:$H$1004,"&gt;"&amp;(B605+0.0003),$E$5:$E$1004,"&lt;&gt;İptal")&gt;1,"Çakışıyor",""))</f>
        <v/>
      </c>
      <c r="J605" s="21" t="str">
        <f aca="false">IF(AND(A605=Gün!$C$3,B605&lt;&gt;"",E605&lt;&gt;"İptal"),B605+ROW()/100000000,"")</f>
        <v/>
      </c>
    </row>
    <row r="606" customFormat="false" ht="15" hidden="false" customHeight="false" outlineLevel="0" collapsed="false">
      <c r="A606" s="12"/>
      <c r="B606" s="13"/>
      <c r="C606" s="14"/>
      <c r="D606" s="14"/>
      <c r="E606" s="15"/>
      <c r="F606" s="16"/>
      <c r="G606" s="17" t="str">
        <f aca="false">IF(D606="","",IF(E606="Geldi",IF(F606="",IFERROR(INDEX(Hizmetler!$C$5:$C$54,MATCH(D606,Hizmetler!$A$5:$A$54,0)),0),F606),0))</f>
        <v/>
      </c>
      <c r="H606" s="18" t="str">
        <f aca="false">IF(OR(B606="",D606=""),"",ROUND((B606+IFERROR(INDEX(Hizmetler!$B$5:$B$54,MATCH(D606,Hizmetler!$A$5:$A$54,0)),0)/1440)*1440,0)/1440)</f>
        <v/>
      </c>
      <c r="I606" s="19" t="str">
        <f aca="false">IF(OR(A606="",H606="",E606="İptal"),"",IF(COUNTIFS($A$5:$A$1004,A606,$B$5:$B$1004,"&lt;"&amp;(H606-0.0003),$H$5:$H$1004,"&gt;"&amp;(B606+0.0003),$E$5:$E$1004,"&lt;&gt;İptal")&gt;1,"Çakışıyor",""))</f>
        <v/>
      </c>
      <c r="J606" s="21" t="str">
        <f aca="false">IF(AND(A606=Gün!$C$3,B606&lt;&gt;"",E606&lt;&gt;"İptal"),B606+ROW()/100000000,"")</f>
        <v/>
      </c>
    </row>
    <row r="607" customFormat="false" ht="15" hidden="false" customHeight="false" outlineLevel="0" collapsed="false">
      <c r="A607" s="12"/>
      <c r="B607" s="13"/>
      <c r="C607" s="14"/>
      <c r="D607" s="14"/>
      <c r="E607" s="15"/>
      <c r="F607" s="16"/>
      <c r="G607" s="17" t="str">
        <f aca="false">IF(D607="","",IF(E607="Geldi",IF(F607="",IFERROR(INDEX(Hizmetler!$C$5:$C$54,MATCH(D607,Hizmetler!$A$5:$A$54,0)),0),F607),0))</f>
        <v/>
      </c>
      <c r="H607" s="18" t="str">
        <f aca="false">IF(OR(B607="",D607=""),"",ROUND((B607+IFERROR(INDEX(Hizmetler!$B$5:$B$54,MATCH(D607,Hizmetler!$A$5:$A$54,0)),0)/1440)*1440,0)/1440)</f>
        <v/>
      </c>
      <c r="I607" s="19" t="str">
        <f aca="false">IF(OR(A607="",H607="",E607="İptal"),"",IF(COUNTIFS($A$5:$A$1004,A607,$B$5:$B$1004,"&lt;"&amp;(H607-0.0003),$H$5:$H$1004,"&gt;"&amp;(B607+0.0003),$E$5:$E$1004,"&lt;&gt;İptal")&gt;1,"Çakışıyor",""))</f>
        <v/>
      </c>
      <c r="J607" s="21" t="str">
        <f aca="false">IF(AND(A607=Gün!$C$3,B607&lt;&gt;"",E607&lt;&gt;"İptal"),B607+ROW()/100000000,"")</f>
        <v/>
      </c>
    </row>
    <row r="608" customFormat="false" ht="15" hidden="false" customHeight="false" outlineLevel="0" collapsed="false">
      <c r="A608" s="12"/>
      <c r="B608" s="13"/>
      <c r="C608" s="14"/>
      <c r="D608" s="14"/>
      <c r="E608" s="15"/>
      <c r="F608" s="16"/>
      <c r="G608" s="17" t="str">
        <f aca="false">IF(D608="","",IF(E608="Geldi",IF(F608="",IFERROR(INDEX(Hizmetler!$C$5:$C$54,MATCH(D608,Hizmetler!$A$5:$A$54,0)),0),F608),0))</f>
        <v/>
      </c>
      <c r="H608" s="18" t="str">
        <f aca="false">IF(OR(B608="",D608=""),"",ROUND((B608+IFERROR(INDEX(Hizmetler!$B$5:$B$54,MATCH(D608,Hizmetler!$A$5:$A$54,0)),0)/1440)*1440,0)/1440)</f>
        <v/>
      </c>
      <c r="I608" s="19" t="str">
        <f aca="false">IF(OR(A608="",H608="",E608="İptal"),"",IF(COUNTIFS($A$5:$A$1004,A608,$B$5:$B$1004,"&lt;"&amp;(H608-0.0003),$H$5:$H$1004,"&gt;"&amp;(B608+0.0003),$E$5:$E$1004,"&lt;&gt;İptal")&gt;1,"Çakışıyor",""))</f>
        <v/>
      </c>
      <c r="J608" s="21" t="str">
        <f aca="false">IF(AND(A608=Gün!$C$3,B608&lt;&gt;"",E608&lt;&gt;"İptal"),B608+ROW()/100000000,"")</f>
        <v/>
      </c>
    </row>
    <row r="609" customFormat="false" ht="15" hidden="false" customHeight="false" outlineLevel="0" collapsed="false">
      <c r="A609" s="12"/>
      <c r="B609" s="13"/>
      <c r="C609" s="14"/>
      <c r="D609" s="14"/>
      <c r="E609" s="15"/>
      <c r="F609" s="16"/>
      <c r="G609" s="17" t="str">
        <f aca="false">IF(D609="","",IF(E609="Geldi",IF(F609="",IFERROR(INDEX(Hizmetler!$C$5:$C$54,MATCH(D609,Hizmetler!$A$5:$A$54,0)),0),F609),0))</f>
        <v/>
      </c>
      <c r="H609" s="18" t="str">
        <f aca="false">IF(OR(B609="",D609=""),"",ROUND((B609+IFERROR(INDEX(Hizmetler!$B$5:$B$54,MATCH(D609,Hizmetler!$A$5:$A$54,0)),0)/1440)*1440,0)/1440)</f>
        <v/>
      </c>
      <c r="I609" s="19" t="str">
        <f aca="false">IF(OR(A609="",H609="",E609="İptal"),"",IF(COUNTIFS($A$5:$A$1004,A609,$B$5:$B$1004,"&lt;"&amp;(H609-0.0003),$H$5:$H$1004,"&gt;"&amp;(B609+0.0003),$E$5:$E$1004,"&lt;&gt;İptal")&gt;1,"Çakışıyor",""))</f>
        <v/>
      </c>
      <c r="J609" s="21" t="str">
        <f aca="false">IF(AND(A609=Gün!$C$3,B609&lt;&gt;"",E609&lt;&gt;"İptal"),B609+ROW()/100000000,"")</f>
        <v/>
      </c>
    </row>
    <row r="610" customFormat="false" ht="15" hidden="false" customHeight="false" outlineLevel="0" collapsed="false">
      <c r="A610" s="12"/>
      <c r="B610" s="13"/>
      <c r="C610" s="14"/>
      <c r="D610" s="14"/>
      <c r="E610" s="15"/>
      <c r="F610" s="16"/>
      <c r="G610" s="17" t="str">
        <f aca="false">IF(D610="","",IF(E610="Geldi",IF(F610="",IFERROR(INDEX(Hizmetler!$C$5:$C$54,MATCH(D610,Hizmetler!$A$5:$A$54,0)),0),F610),0))</f>
        <v/>
      </c>
      <c r="H610" s="18" t="str">
        <f aca="false">IF(OR(B610="",D610=""),"",ROUND((B610+IFERROR(INDEX(Hizmetler!$B$5:$B$54,MATCH(D610,Hizmetler!$A$5:$A$54,0)),0)/1440)*1440,0)/1440)</f>
        <v/>
      </c>
      <c r="I610" s="19" t="str">
        <f aca="false">IF(OR(A610="",H610="",E610="İptal"),"",IF(COUNTIFS($A$5:$A$1004,A610,$B$5:$B$1004,"&lt;"&amp;(H610-0.0003),$H$5:$H$1004,"&gt;"&amp;(B610+0.0003),$E$5:$E$1004,"&lt;&gt;İptal")&gt;1,"Çakışıyor",""))</f>
        <v/>
      </c>
      <c r="J610" s="21" t="str">
        <f aca="false">IF(AND(A610=Gün!$C$3,B610&lt;&gt;"",E610&lt;&gt;"İptal"),B610+ROW()/100000000,"")</f>
        <v/>
      </c>
    </row>
    <row r="611" customFormat="false" ht="15" hidden="false" customHeight="false" outlineLevel="0" collapsed="false">
      <c r="A611" s="12"/>
      <c r="B611" s="13"/>
      <c r="C611" s="14"/>
      <c r="D611" s="14"/>
      <c r="E611" s="15"/>
      <c r="F611" s="16"/>
      <c r="G611" s="17" t="str">
        <f aca="false">IF(D611="","",IF(E611="Geldi",IF(F611="",IFERROR(INDEX(Hizmetler!$C$5:$C$54,MATCH(D611,Hizmetler!$A$5:$A$54,0)),0),F611),0))</f>
        <v/>
      </c>
      <c r="H611" s="18" t="str">
        <f aca="false">IF(OR(B611="",D611=""),"",ROUND((B611+IFERROR(INDEX(Hizmetler!$B$5:$B$54,MATCH(D611,Hizmetler!$A$5:$A$54,0)),0)/1440)*1440,0)/1440)</f>
        <v/>
      </c>
      <c r="I611" s="19" t="str">
        <f aca="false">IF(OR(A611="",H611="",E611="İptal"),"",IF(COUNTIFS($A$5:$A$1004,A611,$B$5:$B$1004,"&lt;"&amp;(H611-0.0003),$H$5:$H$1004,"&gt;"&amp;(B611+0.0003),$E$5:$E$1004,"&lt;&gt;İptal")&gt;1,"Çakışıyor",""))</f>
        <v/>
      </c>
      <c r="J611" s="21" t="str">
        <f aca="false">IF(AND(A611=Gün!$C$3,B611&lt;&gt;"",E611&lt;&gt;"İptal"),B611+ROW()/100000000,"")</f>
        <v/>
      </c>
    </row>
    <row r="612" customFormat="false" ht="15" hidden="false" customHeight="false" outlineLevel="0" collapsed="false">
      <c r="A612" s="12"/>
      <c r="B612" s="13"/>
      <c r="C612" s="14"/>
      <c r="D612" s="14"/>
      <c r="E612" s="15"/>
      <c r="F612" s="16"/>
      <c r="G612" s="17" t="str">
        <f aca="false">IF(D612="","",IF(E612="Geldi",IF(F612="",IFERROR(INDEX(Hizmetler!$C$5:$C$54,MATCH(D612,Hizmetler!$A$5:$A$54,0)),0),F612),0))</f>
        <v/>
      </c>
      <c r="H612" s="18" t="str">
        <f aca="false">IF(OR(B612="",D612=""),"",ROUND((B612+IFERROR(INDEX(Hizmetler!$B$5:$B$54,MATCH(D612,Hizmetler!$A$5:$A$54,0)),0)/1440)*1440,0)/1440)</f>
        <v/>
      </c>
      <c r="I612" s="19" t="str">
        <f aca="false">IF(OR(A612="",H612="",E612="İptal"),"",IF(COUNTIFS($A$5:$A$1004,A612,$B$5:$B$1004,"&lt;"&amp;(H612-0.0003),$H$5:$H$1004,"&gt;"&amp;(B612+0.0003),$E$5:$E$1004,"&lt;&gt;İptal")&gt;1,"Çakışıyor",""))</f>
        <v/>
      </c>
      <c r="J612" s="21" t="str">
        <f aca="false">IF(AND(A612=Gün!$C$3,B612&lt;&gt;"",E612&lt;&gt;"İptal"),B612+ROW()/100000000,"")</f>
        <v/>
      </c>
    </row>
    <row r="613" customFormat="false" ht="15" hidden="false" customHeight="false" outlineLevel="0" collapsed="false">
      <c r="A613" s="12"/>
      <c r="B613" s="13"/>
      <c r="C613" s="14"/>
      <c r="D613" s="14"/>
      <c r="E613" s="15"/>
      <c r="F613" s="16"/>
      <c r="G613" s="17" t="str">
        <f aca="false">IF(D613="","",IF(E613="Geldi",IF(F613="",IFERROR(INDEX(Hizmetler!$C$5:$C$54,MATCH(D613,Hizmetler!$A$5:$A$54,0)),0),F613),0))</f>
        <v/>
      </c>
      <c r="H613" s="18" t="str">
        <f aca="false">IF(OR(B613="",D613=""),"",ROUND((B613+IFERROR(INDEX(Hizmetler!$B$5:$B$54,MATCH(D613,Hizmetler!$A$5:$A$54,0)),0)/1440)*1440,0)/1440)</f>
        <v/>
      </c>
      <c r="I613" s="19" t="str">
        <f aca="false">IF(OR(A613="",H613="",E613="İptal"),"",IF(COUNTIFS($A$5:$A$1004,A613,$B$5:$B$1004,"&lt;"&amp;(H613-0.0003),$H$5:$H$1004,"&gt;"&amp;(B613+0.0003),$E$5:$E$1004,"&lt;&gt;İptal")&gt;1,"Çakışıyor",""))</f>
        <v/>
      </c>
      <c r="J613" s="21" t="str">
        <f aca="false">IF(AND(A613=Gün!$C$3,B613&lt;&gt;"",E613&lt;&gt;"İptal"),B613+ROW()/100000000,"")</f>
        <v/>
      </c>
    </row>
    <row r="614" customFormat="false" ht="15" hidden="false" customHeight="false" outlineLevel="0" collapsed="false">
      <c r="A614" s="12"/>
      <c r="B614" s="13"/>
      <c r="C614" s="14"/>
      <c r="D614" s="14"/>
      <c r="E614" s="15"/>
      <c r="F614" s="16"/>
      <c r="G614" s="17" t="str">
        <f aca="false">IF(D614="","",IF(E614="Geldi",IF(F614="",IFERROR(INDEX(Hizmetler!$C$5:$C$54,MATCH(D614,Hizmetler!$A$5:$A$54,0)),0),F614),0))</f>
        <v/>
      </c>
      <c r="H614" s="18" t="str">
        <f aca="false">IF(OR(B614="",D614=""),"",ROUND((B614+IFERROR(INDEX(Hizmetler!$B$5:$B$54,MATCH(D614,Hizmetler!$A$5:$A$54,0)),0)/1440)*1440,0)/1440)</f>
        <v/>
      </c>
      <c r="I614" s="19" t="str">
        <f aca="false">IF(OR(A614="",H614="",E614="İptal"),"",IF(COUNTIFS($A$5:$A$1004,A614,$B$5:$B$1004,"&lt;"&amp;(H614-0.0003),$H$5:$H$1004,"&gt;"&amp;(B614+0.0003),$E$5:$E$1004,"&lt;&gt;İptal")&gt;1,"Çakışıyor",""))</f>
        <v/>
      </c>
      <c r="J614" s="21" t="str">
        <f aca="false">IF(AND(A614=Gün!$C$3,B614&lt;&gt;"",E614&lt;&gt;"İptal"),B614+ROW()/100000000,"")</f>
        <v/>
      </c>
    </row>
    <row r="615" customFormat="false" ht="15" hidden="false" customHeight="false" outlineLevel="0" collapsed="false">
      <c r="A615" s="12"/>
      <c r="B615" s="13"/>
      <c r="C615" s="14"/>
      <c r="D615" s="14"/>
      <c r="E615" s="15"/>
      <c r="F615" s="16"/>
      <c r="G615" s="17" t="str">
        <f aca="false">IF(D615="","",IF(E615="Geldi",IF(F615="",IFERROR(INDEX(Hizmetler!$C$5:$C$54,MATCH(D615,Hizmetler!$A$5:$A$54,0)),0),F615),0))</f>
        <v/>
      </c>
      <c r="H615" s="18" t="str">
        <f aca="false">IF(OR(B615="",D615=""),"",ROUND((B615+IFERROR(INDEX(Hizmetler!$B$5:$B$54,MATCH(D615,Hizmetler!$A$5:$A$54,0)),0)/1440)*1440,0)/1440)</f>
        <v/>
      </c>
      <c r="I615" s="19" t="str">
        <f aca="false">IF(OR(A615="",H615="",E615="İptal"),"",IF(COUNTIFS($A$5:$A$1004,A615,$B$5:$B$1004,"&lt;"&amp;(H615-0.0003),$H$5:$H$1004,"&gt;"&amp;(B615+0.0003),$E$5:$E$1004,"&lt;&gt;İptal")&gt;1,"Çakışıyor",""))</f>
        <v/>
      </c>
      <c r="J615" s="21" t="str">
        <f aca="false">IF(AND(A615=Gün!$C$3,B615&lt;&gt;"",E615&lt;&gt;"İptal"),B615+ROW()/100000000,"")</f>
        <v/>
      </c>
    </row>
    <row r="616" customFormat="false" ht="15" hidden="false" customHeight="false" outlineLevel="0" collapsed="false">
      <c r="A616" s="12"/>
      <c r="B616" s="13"/>
      <c r="C616" s="14"/>
      <c r="D616" s="14"/>
      <c r="E616" s="15"/>
      <c r="F616" s="16"/>
      <c r="G616" s="17" t="str">
        <f aca="false">IF(D616="","",IF(E616="Geldi",IF(F616="",IFERROR(INDEX(Hizmetler!$C$5:$C$54,MATCH(D616,Hizmetler!$A$5:$A$54,0)),0),F616),0))</f>
        <v/>
      </c>
      <c r="H616" s="18" t="str">
        <f aca="false">IF(OR(B616="",D616=""),"",ROUND((B616+IFERROR(INDEX(Hizmetler!$B$5:$B$54,MATCH(D616,Hizmetler!$A$5:$A$54,0)),0)/1440)*1440,0)/1440)</f>
        <v/>
      </c>
      <c r="I616" s="19" t="str">
        <f aca="false">IF(OR(A616="",H616="",E616="İptal"),"",IF(COUNTIFS($A$5:$A$1004,A616,$B$5:$B$1004,"&lt;"&amp;(H616-0.0003),$H$5:$H$1004,"&gt;"&amp;(B616+0.0003),$E$5:$E$1004,"&lt;&gt;İptal")&gt;1,"Çakışıyor",""))</f>
        <v/>
      </c>
      <c r="J616" s="21" t="str">
        <f aca="false">IF(AND(A616=Gün!$C$3,B616&lt;&gt;"",E616&lt;&gt;"İptal"),B616+ROW()/100000000,"")</f>
        <v/>
      </c>
    </row>
    <row r="617" customFormat="false" ht="15" hidden="false" customHeight="false" outlineLevel="0" collapsed="false">
      <c r="A617" s="12"/>
      <c r="B617" s="13"/>
      <c r="C617" s="14"/>
      <c r="D617" s="14"/>
      <c r="E617" s="15"/>
      <c r="F617" s="16"/>
      <c r="G617" s="17" t="str">
        <f aca="false">IF(D617="","",IF(E617="Geldi",IF(F617="",IFERROR(INDEX(Hizmetler!$C$5:$C$54,MATCH(D617,Hizmetler!$A$5:$A$54,0)),0),F617),0))</f>
        <v/>
      </c>
      <c r="H617" s="18" t="str">
        <f aca="false">IF(OR(B617="",D617=""),"",ROUND((B617+IFERROR(INDEX(Hizmetler!$B$5:$B$54,MATCH(D617,Hizmetler!$A$5:$A$54,0)),0)/1440)*1440,0)/1440)</f>
        <v/>
      </c>
      <c r="I617" s="19" t="str">
        <f aca="false">IF(OR(A617="",H617="",E617="İptal"),"",IF(COUNTIFS($A$5:$A$1004,A617,$B$5:$B$1004,"&lt;"&amp;(H617-0.0003),$H$5:$H$1004,"&gt;"&amp;(B617+0.0003),$E$5:$E$1004,"&lt;&gt;İptal")&gt;1,"Çakışıyor",""))</f>
        <v/>
      </c>
      <c r="J617" s="21" t="str">
        <f aca="false">IF(AND(A617=Gün!$C$3,B617&lt;&gt;"",E617&lt;&gt;"İptal"),B617+ROW()/100000000,"")</f>
        <v/>
      </c>
    </row>
    <row r="618" customFormat="false" ht="15" hidden="false" customHeight="false" outlineLevel="0" collapsed="false">
      <c r="A618" s="12"/>
      <c r="B618" s="13"/>
      <c r="C618" s="14"/>
      <c r="D618" s="14"/>
      <c r="E618" s="15"/>
      <c r="F618" s="16"/>
      <c r="G618" s="17" t="str">
        <f aca="false">IF(D618="","",IF(E618="Geldi",IF(F618="",IFERROR(INDEX(Hizmetler!$C$5:$C$54,MATCH(D618,Hizmetler!$A$5:$A$54,0)),0),F618),0))</f>
        <v/>
      </c>
      <c r="H618" s="18" t="str">
        <f aca="false">IF(OR(B618="",D618=""),"",ROUND((B618+IFERROR(INDEX(Hizmetler!$B$5:$B$54,MATCH(D618,Hizmetler!$A$5:$A$54,0)),0)/1440)*1440,0)/1440)</f>
        <v/>
      </c>
      <c r="I618" s="19" t="str">
        <f aca="false">IF(OR(A618="",H618="",E618="İptal"),"",IF(COUNTIFS($A$5:$A$1004,A618,$B$5:$B$1004,"&lt;"&amp;(H618-0.0003),$H$5:$H$1004,"&gt;"&amp;(B618+0.0003),$E$5:$E$1004,"&lt;&gt;İptal")&gt;1,"Çakışıyor",""))</f>
        <v/>
      </c>
      <c r="J618" s="21" t="str">
        <f aca="false">IF(AND(A618=Gün!$C$3,B618&lt;&gt;"",E618&lt;&gt;"İptal"),B618+ROW()/100000000,"")</f>
        <v/>
      </c>
    </row>
    <row r="619" customFormat="false" ht="15" hidden="false" customHeight="false" outlineLevel="0" collapsed="false">
      <c r="A619" s="12"/>
      <c r="B619" s="13"/>
      <c r="C619" s="14"/>
      <c r="D619" s="14"/>
      <c r="E619" s="15"/>
      <c r="F619" s="16"/>
      <c r="G619" s="17" t="str">
        <f aca="false">IF(D619="","",IF(E619="Geldi",IF(F619="",IFERROR(INDEX(Hizmetler!$C$5:$C$54,MATCH(D619,Hizmetler!$A$5:$A$54,0)),0),F619),0))</f>
        <v/>
      </c>
      <c r="H619" s="18" t="str">
        <f aca="false">IF(OR(B619="",D619=""),"",ROUND((B619+IFERROR(INDEX(Hizmetler!$B$5:$B$54,MATCH(D619,Hizmetler!$A$5:$A$54,0)),0)/1440)*1440,0)/1440)</f>
        <v/>
      </c>
      <c r="I619" s="19" t="str">
        <f aca="false">IF(OR(A619="",H619="",E619="İptal"),"",IF(COUNTIFS($A$5:$A$1004,A619,$B$5:$B$1004,"&lt;"&amp;(H619-0.0003),$H$5:$H$1004,"&gt;"&amp;(B619+0.0003),$E$5:$E$1004,"&lt;&gt;İptal")&gt;1,"Çakışıyor",""))</f>
        <v/>
      </c>
      <c r="J619" s="21" t="str">
        <f aca="false">IF(AND(A619=Gün!$C$3,B619&lt;&gt;"",E619&lt;&gt;"İptal"),B619+ROW()/100000000,"")</f>
        <v/>
      </c>
    </row>
    <row r="620" customFormat="false" ht="15" hidden="false" customHeight="false" outlineLevel="0" collapsed="false">
      <c r="A620" s="12"/>
      <c r="B620" s="13"/>
      <c r="C620" s="14"/>
      <c r="D620" s="14"/>
      <c r="E620" s="15"/>
      <c r="F620" s="16"/>
      <c r="G620" s="17" t="str">
        <f aca="false">IF(D620="","",IF(E620="Geldi",IF(F620="",IFERROR(INDEX(Hizmetler!$C$5:$C$54,MATCH(D620,Hizmetler!$A$5:$A$54,0)),0),F620),0))</f>
        <v/>
      </c>
      <c r="H620" s="18" t="str">
        <f aca="false">IF(OR(B620="",D620=""),"",ROUND((B620+IFERROR(INDEX(Hizmetler!$B$5:$B$54,MATCH(D620,Hizmetler!$A$5:$A$54,0)),0)/1440)*1440,0)/1440)</f>
        <v/>
      </c>
      <c r="I620" s="19" t="str">
        <f aca="false">IF(OR(A620="",H620="",E620="İptal"),"",IF(COUNTIFS($A$5:$A$1004,A620,$B$5:$B$1004,"&lt;"&amp;(H620-0.0003),$H$5:$H$1004,"&gt;"&amp;(B620+0.0003),$E$5:$E$1004,"&lt;&gt;İptal")&gt;1,"Çakışıyor",""))</f>
        <v/>
      </c>
      <c r="J620" s="21" t="str">
        <f aca="false">IF(AND(A620=Gün!$C$3,B620&lt;&gt;"",E620&lt;&gt;"İptal"),B620+ROW()/100000000,"")</f>
        <v/>
      </c>
    </row>
    <row r="621" customFormat="false" ht="15" hidden="false" customHeight="false" outlineLevel="0" collapsed="false">
      <c r="A621" s="12"/>
      <c r="B621" s="13"/>
      <c r="C621" s="14"/>
      <c r="D621" s="14"/>
      <c r="E621" s="15"/>
      <c r="F621" s="16"/>
      <c r="G621" s="17" t="str">
        <f aca="false">IF(D621="","",IF(E621="Geldi",IF(F621="",IFERROR(INDEX(Hizmetler!$C$5:$C$54,MATCH(D621,Hizmetler!$A$5:$A$54,0)),0),F621),0))</f>
        <v/>
      </c>
      <c r="H621" s="18" t="str">
        <f aca="false">IF(OR(B621="",D621=""),"",ROUND((B621+IFERROR(INDEX(Hizmetler!$B$5:$B$54,MATCH(D621,Hizmetler!$A$5:$A$54,0)),0)/1440)*1440,0)/1440)</f>
        <v/>
      </c>
      <c r="I621" s="19" t="str">
        <f aca="false">IF(OR(A621="",H621="",E621="İptal"),"",IF(COUNTIFS($A$5:$A$1004,A621,$B$5:$B$1004,"&lt;"&amp;(H621-0.0003),$H$5:$H$1004,"&gt;"&amp;(B621+0.0003),$E$5:$E$1004,"&lt;&gt;İptal")&gt;1,"Çakışıyor",""))</f>
        <v/>
      </c>
      <c r="J621" s="21" t="str">
        <f aca="false">IF(AND(A621=Gün!$C$3,B621&lt;&gt;"",E621&lt;&gt;"İptal"),B621+ROW()/100000000,"")</f>
        <v/>
      </c>
    </row>
    <row r="622" customFormat="false" ht="15" hidden="false" customHeight="false" outlineLevel="0" collapsed="false">
      <c r="A622" s="12"/>
      <c r="B622" s="13"/>
      <c r="C622" s="14"/>
      <c r="D622" s="14"/>
      <c r="E622" s="15"/>
      <c r="F622" s="16"/>
      <c r="G622" s="17" t="str">
        <f aca="false">IF(D622="","",IF(E622="Geldi",IF(F622="",IFERROR(INDEX(Hizmetler!$C$5:$C$54,MATCH(D622,Hizmetler!$A$5:$A$54,0)),0),F622),0))</f>
        <v/>
      </c>
      <c r="H622" s="18" t="str">
        <f aca="false">IF(OR(B622="",D622=""),"",ROUND((B622+IFERROR(INDEX(Hizmetler!$B$5:$B$54,MATCH(D622,Hizmetler!$A$5:$A$54,0)),0)/1440)*1440,0)/1440)</f>
        <v/>
      </c>
      <c r="I622" s="19" t="str">
        <f aca="false">IF(OR(A622="",H622="",E622="İptal"),"",IF(COUNTIFS($A$5:$A$1004,A622,$B$5:$B$1004,"&lt;"&amp;(H622-0.0003),$H$5:$H$1004,"&gt;"&amp;(B622+0.0003),$E$5:$E$1004,"&lt;&gt;İptal")&gt;1,"Çakışıyor",""))</f>
        <v/>
      </c>
      <c r="J622" s="21" t="str">
        <f aca="false">IF(AND(A622=Gün!$C$3,B622&lt;&gt;"",E622&lt;&gt;"İptal"),B622+ROW()/100000000,"")</f>
        <v/>
      </c>
    </row>
    <row r="623" customFormat="false" ht="15" hidden="false" customHeight="false" outlineLevel="0" collapsed="false">
      <c r="A623" s="12"/>
      <c r="B623" s="13"/>
      <c r="C623" s="14"/>
      <c r="D623" s="14"/>
      <c r="E623" s="15"/>
      <c r="F623" s="16"/>
      <c r="G623" s="17" t="str">
        <f aca="false">IF(D623="","",IF(E623="Geldi",IF(F623="",IFERROR(INDEX(Hizmetler!$C$5:$C$54,MATCH(D623,Hizmetler!$A$5:$A$54,0)),0),F623),0))</f>
        <v/>
      </c>
      <c r="H623" s="18" t="str">
        <f aca="false">IF(OR(B623="",D623=""),"",ROUND((B623+IFERROR(INDEX(Hizmetler!$B$5:$B$54,MATCH(D623,Hizmetler!$A$5:$A$54,0)),0)/1440)*1440,0)/1440)</f>
        <v/>
      </c>
      <c r="I623" s="19" t="str">
        <f aca="false">IF(OR(A623="",H623="",E623="İptal"),"",IF(COUNTIFS($A$5:$A$1004,A623,$B$5:$B$1004,"&lt;"&amp;(H623-0.0003),$H$5:$H$1004,"&gt;"&amp;(B623+0.0003),$E$5:$E$1004,"&lt;&gt;İptal")&gt;1,"Çakışıyor",""))</f>
        <v/>
      </c>
      <c r="J623" s="21" t="str">
        <f aca="false">IF(AND(A623=Gün!$C$3,B623&lt;&gt;"",E623&lt;&gt;"İptal"),B623+ROW()/100000000,"")</f>
        <v/>
      </c>
    </row>
    <row r="624" customFormat="false" ht="15" hidden="false" customHeight="false" outlineLevel="0" collapsed="false">
      <c r="A624" s="12"/>
      <c r="B624" s="13"/>
      <c r="C624" s="14"/>
      <c r="D624" s="14"/>
      <c r="E624" s="15"/>
      <c r="F624" s="16"/>
      <c r="G624" s="17" t="str">
        <f aca="false">IF(D624="","",IF(E624="Geldi",IF(F624="",IFERROR(INDEX(Hizmetler!$C$5:$C$54,MATCH(D624,Hizmetler!$A$5:$A$54,0)),0),F624),0))</f>
        <v/>
      </c>
      <c r="H624" s="18" t="str">
        <f aca="false">IF(OR(B624="",D624=""),"",ROUND((B624+IFERROR(INDEX(Hizmetler!$B$5:$B$54,MATCH(D624,Hizmetler!$A$5:$A$54,0)),0)/1440)*1440,0)/1440)</f>
        <v/>
      </c>
      <c r="I624" s="19" t="str">
        <f aca="false">IF(OR(A624="",H624="",E624="İptal"),"",IF(COUNTIFS($A$5:$A$1004,A624,$B$5:$B$1004,"&lt;"&amp;(H624-0.0003),$H$5:$H$1004,"&gt;"&amp;(B624+0.0003),$E$5:$E$1004,"&lt;&gt;İptal")&gt;1,"Çakışıyor",""))</f>
        <v/>
      </c>
      <c r="J624" s="21" t="str">
        <f aca="false">IF(AND(A624=Gün!$C$3,B624&lt;&gt;"",E624&lt;&gt;"İptal"),B624+ROW()/100000000,"")</f>
        <v/>
      </c>
    </row>
    <row r="625" customFormat="false" ht="15" hidden="false" customHeight="false" outlineLevel="0" collapsed="false">
      <c r="A625" s="12"/>
      <c r="B625" s="13"/>
      <c r="C625" s="14"/>
      <c r="D625" s="14"/>
      <c r="E625" s="15"/>
      <c r="F625" s="16"/>
      <c r="G625" s="17" t="str">
        <f aca="false">IF(D625="","",IF(E625="Geldi",IF(F625="",IFERROR(INDEX(Hizmetler!$C$5:$C$54,MATCH(D625,Hizmetler!$A$5:$A$54,0)),0),F625),0))</f>
        <v/>
      </c>
      <c r="H625" s="18" t="str">
        <f aca="false">IF(OR(B625="",D625=""),"",ROUND((B625+IFERROR(INDEX(Hizmetler!$B$5:$B$54,MATCH(D625,Hizmetler!$A$5:$A$54,0)),0)/1440)*1440,0)/1440)</f>
        <v/>
      </c>
      <c r="I625" s="19" t="str">
        <f aca="false">IF(OR(A625="",H625="",E625="İptal"),"",IF(COUNTIFS($A$5:$A$1004,A625,$B$5:$B$1004,"&lt;"&amp;(H625-0.0003),$H$5:$H$1004,"&gt;"&amp;(B625+0.0003),$E$5:$E$1004,"&lt;&gt;İptal")&gt;1,"Çakışıyor",""))</f>
        <v/>
      </c>
      <c r="J625" s="21" t="str">
        <f aca="false">IF(AND(A625=Gün!$C$3,B625&lt;&gt;"",E625&lt;&gt;"İptal"),B625+ROW()/100000000,"")</f>
        <v/>
      </c>
    </row>
    <row r="626" customFormat="false" ht="15" hidden="false" customHeight="false" outlineLevel="0" collapsed="false">
      <c r="A626" s="12"/>
      <c r="B626" s="13"/>
      <c r="C626" s="14"/>
      <c r="D626" s="14"/>
      <c r="E626" s="15"/>
      <c r="F626" s="16"/>
      <c r="G626" s="17" t="str">
        <f aca="false">IF(D626="","",IF(E626="Geldi",IF(F626="",IFERROR(INDEX(Hizmetler!$C$5:$C$54,MATCH(D626,Hizmetler!$A$5:$A$54,0)),0),F626),0))</f>
        <v/>
      </c>
      <c r="H626" s="18" t="str">
        <f aca="false">IF(OR(B626="",D626=""),"",ROUND((B626+IFERROR(INDEX(Hizmetler!$B$5:$B$54,MATCH(D626,Hizmetler!$A$5:$A$54,0)),0)/1440)*1440,0)/1440)</f>
        <v/>
      </c>
      <c r="I626" s="19" t="str">
        <f aca="false">IF(OR(A626="",H626="",E626="İptal"),"",IF(COUNTIFS($A$5:$A$1004,A626,$B$5:$B$1004,"&lt;"&amp;(H626-0.0003),$H$5:$H$1004,"&gt;"&amp;(B626+0.0003),$E$5:$E$1004,"&lt;&gt;İptal")&gt;1,"Çakışıyor",""))</f>
        <v/>
      </c>
      <c r="J626" s="21" t="str">
        <f aca="false">IF(AND(A626=Gün!$C$3,B626&lt;&gt;"",E626&lt;&gt;"İptal"),B626+ROW()/100000000,"")</f>
        <v/>
      </c>
    </row>
    <row r="627" customFormat="false" ht="15" hidden="false" customHeight="false" outlineLevel="0" collapsed="false">
      <c r="A627" s="12"/>
      <c r="B627" s="13"/>
      <c r="C627" s="14"/>
      <c r="D627" s="14"/>
      <c r="E627" s="15"/>
      <c r="F627" s="16"/>
      <c r="G627" s="17" t="str">
        <f aca="false">IF(D627="","",IF(E627="Geldi",IF(F627="",IFERROR(INDEX(Hizmetler!$C$5:$C$54,MATCH(D627,Hizmetler!$A$5:$A$54,0)),0),F627),0))</f>
        <v/>
      </c>
      <c r="H627" s="18" t="str">
        <f aca="false">IF(OR(B627="",D627=""),"",ROUND((B627+IFERROR(INDEX(Hizmetler!$B$5:$B$54,MATCH(D627,Hizmetler!$A$5:$A$54,0)),0)/1440)*1440,0)/1440)</f>
        <v/>
      </c>
      <c r="I627" s="19" t="str">
        <f aca="false">IF(OR(A627="",H627="",E627="İptal"),"",IF(COUNTIFS($A$5:$A$1004,A627,$B$5:$B$1004,"&lt;"&amp;(H627-0.0003),$H$5:$H$1004,"&gt;"&amp;(B627+0.0003),$E$5:$E$1004,"&lt;&gt;İptal")&gt;1,"Çakışıyor",""))</f>
        <v/>
      </c>
      <c r="J627" s="21" t="str">
        <f aca="false">IF(AND(A627=Gün!$C$3,B627&lt;&gt;"",E627&lt;&gt;"İptal"),B627+ROW()/100000000,"")</f>
        <v/>
      </c>
    </row>
    <row r="628" customFormat="false" ht="15" hidden="false" customHeight="false" outlineLevel="0" collapsed="false">
      <c r="A628" s="12"/>
      <c r="B628" s="13"/>
      <c r="C628" s="14"/>
      <c r="D628" s="14"/>
      <c r="E628" s="15"/>
      <c r="F628" s="16"/>
      <c r="G628" s="17" t="str">
        <f aca="false">IF(D628="","",IF(E628="Geldi",IF(F628="",IFERROR(INDEX(Hizmetler!$C$5:$C$54,MATCH(D628,Hizmetler!$A$5:$A$54,0)),0),F628),0))</f>
        <v/>
      </c>
      <c r="H628" s="18" t="str">
        <f aca="false">IF(OR(B628="",D628=""),"",ROUND((B628+IFERROR(INDEX(Hizmetler!$B$5:$B$54,MATCH(D628,Hizmetler!$A$5:$A$54,0)),0)/1440)*1440,0)/1440)</f>
        <v/>
      </c>
      <c r="I628" s="19" t="str">
        <f aca="false">IF(OR(A628="",H628="",E628="İptal"),"",IF(COUNTIFS($A$5:$A$1004,A628,$B$5:$B$1004,"&lt;"&amp;(H628-0.0003),$H$5:$H$1004,"&gt;"&amp;(B628+0.0003),$E$5:$E$1004,"&lt;&gt;İptal")&gt;1,"Çakışıyor",""))</f>
        <v/>
      </c>
      <c r="J628" s="21" t="str">
        <f aca="false">IF(AND(A628=Gün!$C$3,B628&lt;&gt;"",E628&lt;&gt;"İptal"),B628+ROW()/100000000,"")</f>
        <v/>
      </c>
    </row>
    <row r="629" customFormat="false" ht="15" hidden="false" customHeight="false" outlineLevel="0" collapsed="false">
      <c r="A629" s="12"/>
      <c r="B629" s="13"/>
      <c r="C629" s="14"/>
      <c r="D629" s="14"/>
      <c r="E629" s="15"/>
      <c r="F629" s="16"/>
      <c r="G629" s="17" t="str">
        <f aca="false">IF(D629="","",IF(E629="Geldi",IF(F629="",IFERROR(INDEX(Hizmetler!$C$5:$C$54,MATCH(D629,Hizmetler!$A$5:$A$54,0)),0),F629),0))</f>
        <v/>
      </c>
      <c r="H629" s="18" t="str">
        <f aca="false">IF(OR(B629="",D629=""),"",ROUND((B629+IFERROR(INDEX(Hizmetler!$B$5:$B$54,MATCH(D629,Hizmetler!$A$5:$A$54,0)),0)/1440)*1440,0)/1440)</f>
        <v/>
      </c>
      <c r="I629" s="19" t="str">
        <f aca="false">IF(OR(A629="",H629="",E629="İptal"),"",IF(COUNTIFS($A$5:$A$1004,A629,$B$5:$B$1004,"&lt;"&amp;(H629-0.0003),$H$5:$H$1004,"&gt;"&amp;(B629+0.0003),$E$5:$E$1004,"&lt;&gt;İptal")&gt;1,"Çakışıyor",""))</f>
        <v/>
      </c>
      <c r="J629" s="21" t="str">
        <f aca="false">IF(AND(A629=Gün!$C$3,B629&lt;&gt;"",E629&lt;&gt;"İptal"),B629+ROW()/100000000,"")</f>
        <v/>
      </c>
    </row>
    <row r="630" customFormat="false" ht="15" hidden="false" customHeight="false" outlineLevel="0" collapsed="false">
      <c r="A630" s="12"/>
      <c r="B630" s="13"/>
      <c r="C630" s="14"/>
      <c r="D630" s="14"/>
      <c r="E630" s="15"/>
      <c r="F630" s="16"/>
      <c r="G630" s="17" t="str">
        <f aca="false">IF(D630="","",IF(E630="Geldi",IF(F630="",IFERROR(INDEX(Hizmetler!$C$5:$C$54,MATCH(D630,Hizmetler!$A$5:$A$54,0)),0),F630),0))</f>
        <v/>
      </c>
      <c r="H630" s="18" t="str">
        <f aca="false">IF(OR(B630="",D630=""),"",ROUND((B630+IFERROR(INDEX(Hizmetler!$B$5:$B$54,MATCH(D630,Hizmetler!$A$5:$A$54,0)),0)/1440)*1440,0)/1440)</f>
        <v/>
      </c>
      <c r="I630" s="19" t="str">
        <f aca="false">IF(OR(A630="",H630="",E630="İptal"),"",IF(COUNTIFS($A$5:$A$1004,A630,$B$5:$B$1004,"&lt;"&amp;(H630-0.0003),$H$5:$H$1004,"&gt;"&amp;(B630+0.0003),$E$5:$E$1004,"&lt;&gt;İptal")&gt;1,"Çakışıyor",""))</f>
        <v/>
      </c>
      <c r="J630" s="21" t="str">
        <f aca="false">IF(AND(A630=Gün!$C$3,B630&lt;&gt;"",E630&lt;&gt;"İptal"),B630+ROW()/100000000,"")</f>
        <v/>
      </c>
    </row>
    <row r="631" customFormat="false" ht="15" hidden="false" customHeight="false" outlineLevel="0" collapsed="false">
      <c r="A631" s="12"/>
      <c r="B631" s="13"/>
      <c r="C631" s="14"/>
      <c r="D631" s="14"/>
      <c r="E631" s="15"/>
      <c r="F631" s="16"/>
      <c r="G631" s="17" t="str">
        <f aca="false">IF(D631="","",IF(E631="Geldi",IF(F631="",IFERROR(INDEX(Hizmetler!$C$5:$C$54,MATCH(D631,Hizmetler!$A$5:$A$54,0)),0),F631),0))</f>
        <v/>
      </c>
      <c r="H631" s="18" t="str">
        <f aca="false">IF(OR(B631="",D631=""),"",ROUND((B631+IFERROR(INDEX(Hizmetler!$B$5:$B$54,MATCH(D631,Hizmetler!$A$5:$A$54,0)),0)/1440)*1440,0)/1440)</f>
        <v/>
      </c>
      <c r="I631" s="19" t="str">
        <f aca="false">IF(OR(A631="",H631="",E631="İptal"),"",IF(COUNTIFS($A$5:$A$1004,A631,$B$5:$B$1004,"&lt;"&amp;(H631-0.0003),$H$5:$H$1004,"&gt;"&amp;(B631+0.0003),$E$5:$E$1004,"&lt;&gt;İptal")&gt;1,"Çakışıyor",""))</f>
        <v/>
      </c>
      <c r="J631" s="21" t="str">
        <f aca="false">IF(AND(A631=Gün!$C$3,B631&lt;&gt;"",E631&lt;&gt;"İptal"),B631+ROW()/100000000,"")</f>
        <v/>
      </c>
    </row>
    <row r="632" customFormat="false" ht="15" hidden="false" customHeight="false" outlineLevel="0" collapsed="false">
      <c r="A632" s="12"/>
      <c r="B632" s="13"/>
      <c r="C632" s="14"/>
      <c r="D632" s="14"/>
      <c r="E632" s="15"/>
      <c r="F632" s="16"/>
      <c r="G632" s="17" t="str">
        <f aca="false">IF(D632="","",IF(E632="Geldi",IF(F632="",IFERROR(INDEX(Hizmetler!$C$5:$C$54,MATCH(D632,Hizmetler!$A$5:$A$54,0)),0),F632),0))</f>
        <v/>
      </c>
      <c r="H632" s="18" t="str">
        <f aca="false">IF(OR(B632="",D632=""),"",ROUND((B632+IFERROR(INDEX(Hizmetler!$B$5:$B$54,MATCH(D632,Hizmetler!$A$5:$A$54,0)),0)/1440)*1440,0)/1440)</f>
        <v/>
      </c>
      <c r="I632" s="19" t="str">
        <f aca="false">IF(OR(A632="",H632="",E632="İptal"),"",IF(COUNTIFS($A$5:$A$1004,A632,$B$5:$B$1004,"&lt;"&amp;(H632-0.0003),$H$5:$H$1004,"&gt;"&amp;(B632+0.0003),$E$5:$E$1004,"&lt;&gt;İptal")&gt;1,"Çakışıyor",""))</f>
        <v/>
      </c>
      <c r="J632" s="21" t="str">
        <f aca="false">IF(AND(A632=Gün!$C$3,B632&lt;&gt;"",E632&lt;&gt;"İptal"),B632+ROW()/100000000,"")</f>
        <v/>
      </c>
    </row>
    <row r="633" customFormat="false" ht="15" hidden="false" customHeight="false" outlineLevel="0" collapsed="false">
      <c r="A633" s="12"/>
      <c r="B633" s="13"/>
      <c r="C633" s="14"/>
      <c r="D633" s="14"/>
      <c r="E633" s="15"/>
      <c r="F633" s="16"/>
      <c r="G633" s="17" t="str">
        <f aca="false">IF(D633="","",IF(E633="Geldi",IF(F633="",IFERROR(INDEX(Hizmetler!$C$5:$C$54,MATCH(D633,Hizmetler!$A$5:$A$54,0)),0),F633),0))</f>
        <v/>
      </c>
      <c r="H633" s="18" t="str">
        <f aca="false">IF(OR(B633="",D633=""),"",ROUND((B633+IFERROR(INDEX(Hizmetler!$B$5:$B$54,MATCH(D633,Hizmetler!$A$5:$A$54,0)),0)/1440)*1440,0)/1440)</f>
        <v/>
      </c>
      <c r="I633" s="19" t="str">
        <f aca="false">IF(OR(A633="",H633="",E633="İptal"),"",IF(COUNTIFS($A$5:$A$1004,A633,$B$5:$B$1004,"&lt;"&amp;(H633-0.0003),$H$5:$H$1004,"&gt;"&amp;(B633+0.0003),$E$5:$E$1004,"&lt;&gt;İptal")&gt;1,"Çakışıyor",""))</f>
        <v/>
      </c>
      <c r="J633" s="21" t="str">
        <f aca="false">IF(AND(A633=Gün!$C$3,B633&lt;&gt;"",E633&lt;&gt;"İptal"),B633+ROW()/100000000,"")</f>
        <v/>
      </c>
    </row>
    <row r="634" customFormat="false" ht="15" hidden="false" customHeight="false" outlineLevel="0" collapsed="false">
      <c r="A634" s="12"/>
      <c r="B634" s="13"/>
      <c r="C634" s="14"/>
      <c r="D634" s="14"/>
      <c r="E634" s="15"/>
      <c r="F634" s="16"/>
      <c r="G634" s="17" t="str">
        <f aca="false">IF(D634="","",IF(E634="Geldi",IF(F634="",IFERROR(INDEX(Hizmetler!$C$5:$C$54,MATCH(D634,Hizmetler!$A$5:$A$54,0)),0),F634),0))</f>
        <v/>
      </c>
      <c r="H634" s="18" t="str">
        <f aca="false">IF(OR(B634="",D634=""),"",ROUND((B634+IFERROR(INDEX(Hizmetler!$B$5:$B$54,MATCH(D634,Hizmetler!$A$5:$A$54,0)),0)/1440)*1440,0)/1440)</f>
        <v/>
      </c>
      <c r="I634" s="19" t="str">
        <f aca="false">IF(OR(A634="",H634="",E634="İptal"),"",IF(COUNTIFS($A$5:$A$1004,A634,$B$5:$B$1004,"&lt;"&amp;(H634-0.0003),$H$5:$H$1004,"&gt;"&amp;(B634+0.0003),$E$5:$E$1004,"&lt;&gt;İptal")&gt;1,"Çakışıyor",""))</f>
        <v/>
      </c>
      <c r="J634" s="21" t="str">
        <f aca="false">IF(AND(A634=Gün!$C$3,B634&lt;&gt;"",E634&lt;&gt;"İptal"),B634+ROW()/100000000,"")</f>
        <v/>
      </c>
    </row>
    <row r="635" customFormat="false" ht="15" hidden="false" customHeight="false" outlineLevel="0" collapsed="false">
      <c r="A635" s="12"/>
      <c r="B635" s="13"/>
      <c r="C635" s="14"/>
      <c r="D635" s="14"/>
      <c r="E635" s="15"/>
      <c r="F635" s="16"/>
      <c r="G635" s="17" t="str">
        <f aca="false">IF(D635="","",IF(E635="Geldi",IF(F635="",IFERROR(INDEX(Hizmetler!$C$5:$C$54,MATCH(D635,Hizmetler!$A$5:$A$54,0)),0),F635),0))</f>
        <v/>
      </c>
      <c r="H635" s="18" t="str">
        <f aca="false">IF(OR(B635="",D635=""),"",ROUND((B635+IFERROR(INDEX(Hizmetler!$B$5:$B$54,MATCH(D635,Hizmetler!$A$5:$A$54,0)),0)/1440)*1440,0)/1440)</f>
        <v/>
      </c>
      <c r="I635" s="19" t="str">
        <f aca="false">IF(OR(A635="",H635="",E635="İptal"),"",IF(COUNTIFS($A$5:$A$1004,A635,$B$5:$B$1004,"&lt;"&amp;(H635-0.0003),$H$5:$H$1004,"&gt;"&amp;(B635+0.0003),$E$5:$E$1004,"&lt;&gt;İptal")&gt;1,"Çakışıyor",""))</f>
        <v/>
      </c>
      <c r="J635" s="21" t="str">
        <f aca="false">IF(AND(A635=Gün!$C$3,B635&lt;&gt;"",E635&lt;&gt;"İptal"),B635+ROW()/100000000,"")</f>
        <v/>
      </c>
    </row>
    <row r="636" customFormat="false" ht="15" hidden="false" customHeight="false" outlineLevel="0" collapsed="false">
      <c r="A636" s="12"/>
      <c r="B636" s="13"/>
      <c r="C636" s="14"/>
      <c r="D636" s="14"/>
      <c r="E636" s="15"/>
      <c r="F636" s="16"/>
      <c r="G636" s="17" t="str">
        <f aca="false">IF(D636="","",IF(E636="Geldi",IF(F636="",IFERROR(INDEX(Hizmetler!$C$5:$C$54,MATCH(D636,Hizmetler!$A$5:$A$54,0)),0),F636),0))</f>
        <v/>
      </c>
      <c r="H636" s="18" t="str">
        <f aca="false">IF(OR(B636="",D636=""),"",ROUND((B636+IFERROR(INDEX(Hizmetler!$B$5:$B$54,MATCH(D636,Hizmetler!$A$5:$A$54,0)),0)/1440)*1440,0)/1440)</f>
        <v/>
      </c>
      <c r="I636" s="19" t="str">
        <f aca="false">IF(OR(A636="",H636="",E636="İptal"),"",IF(COUNTIFS($A$5:$A$1004,A636,$B$5:$B$1004,"&lt;"&amp;(H636-0.0003),$H$5:$H$1004,"&gt;"&amp;(B636+0.0003),$E$5:$E$1004,"&lt;&gt;İptal")&gt;1,"Çakışıyor",""))</f>
        <v/>
      </c>
      <c r="J636" s="21" t="str">
        <f aca="false">IF(AND(A636=Gün!$C$3,B636&lt;&gt;"",E636&lt;&gt;"İptal"),B636+ROW()/100000000,"")</f>
        <v/>
      </c>
    </row>
    <row r="637" customFormat="false" ht="15" hidden="false" customHeight="false" outlineLevel="0" collapsed="false">
      <c r="A637" s="12"/>
      <c r="B637" s="13"/>
      <c r="C637" s="14"/>
      <c r="D637" s="14"/>
      <c r="E637" s="15"/>
      <c r="F637" s="16"/>
      <c r="G637" s="17" t="str">
        <f aca="false">IF(D637="","",IF(E637="Geldi",IF(F637="",IFERROR(INDEX(Hizmetler!$C$5:$C$54,MATCH(D637,Hizmetler!$A$5:$A$54,0)),0),F637),0))</f>
        <v/>
      </c>
      <c r="H637" s="18" t="str">
        <f aca="false">IF(OR(B637="",D637=""),"",ROUND((B637+IFERROR(INDEX(Hizmetler!$B$5:$B$54,MATCH(D637,Hizmetler!$A$5:$A$54,0)),0)/1440)*1440,0)/1440)</f>
        <v/>
      </c>
      <c r="I637" s="19" t="str">
        <f aca="false">IF(OR(A637="",H637="",E637="İptal"),"",IF(COUNTIFS($A$5:$A$1004,A637,$B$5:$B$1004,"&lt;"&amp;(H637-0.0003),$H$5:$H$1004,"&gt;"&amp;(B637+0.0003),$E$5:$E$1004,"&lt;&gt;İptal")&gt;1,"Çakışıyor",""))</f>
        <v/>
      </c>
      <c r="J637" s="21" t="str">
        <f aca="false">IF(AND(A637=Gün!$C$3,B637&lt;&gt;"",E637&lt;&gt;"İptal"),B637+ROW()/100000000,"")</f>
        <v/>
      </c>
    </row>
    <row r="638" customFormat="false" ht="15" hidden="false" customHeight="false" outlineLevel="0" collapsed="false">
      <c r="A638" s="12"/>
      <c r="B638" s="13"/>
      <c r="C638" s="14"/>
      <c r="D638" s="14"/>
      <c r="E638" s="15"/>
      <c r="F638" s="16"/>
      <c r="G638" s="17" t="str">
        <f aca="false">IF(D638="","",IF(E638="Geldi",IF(F638="",IFERROR(INDEX(Hizmetler!$C$5:$C$54,MATCH(D638,Hizmetler!$A$5:$A$54,0)),0),F638),0))</f>
        <v/>
      </c>
      <c r="H638" s="18" t="str">
        <f aca="false">IF(OR(B638="",D638=""),"",ROUND((B638+IFERROR(INDEX(Hizmetler!$B$5:$B$54,MATCH(D638,Hizmetler!$A$5:$A$54,0)),0)/1440)*1440,0)/1440)</f>
        <v/>
      </c>
      <c r="I638" s="19" t="str">
        <f aca="false">IF(OR(A638="",H638="",E638="İptal"),"",IF(COUNTIFS($A$5:$A$1004,A638,$B$5:$B$1004,"&lt;"&amp;(H638-0.0003),$H$5:$H$1004,"&gt;"&amp;(B638+0.0003),$E$5:$E$1004,"&lt;&gt;İptal")&gt;1,"Çakışıyor",""))</f>
        <v/>
      </c>
      <c r="J638" s="21" t="str">
        <f aca="false">IF(AND(A638=Gün!$C$3,B638&lt;&gt;"",E638&lt;&gt;"İptal"),B638+ROW()/100000000,"")</f>
        <v/>
      </c>
    </row>
    <row r="639" customFormat="false" ht="15" hidden="false" customHeight="false" outlineLevel="0" collapsed="false">
      <c r="A639" s="12"/>
      <c r="B639" s="13"/>
      <c r="C639" s="14"/>
      <c r="D639" s="14"/>
      <c r="E639" s="15"/>
      <c r="F639" s="16"/>
      <c r="G639" s="17" t="str">
        <f aca="false">IF(D639="","",IF(E639="Geldi",IF(F639="",IFERROR(INDEX(Hizmetler!$C$5:$C$54,MATCH(D639,Hizmetler!$A$5:$A$54,0)),0),F639),0))</f>
        <v/>
      </c>
      <c r="H639" s="18" t="str">
        <f aca="false">IF(OR(B639="",D639=""),"",ROUND((B639+IFERROR(INDEX(Hizmetler!$B$5:$B$54,MATCH(D639,Hizmetler!$A$5:$A$54,0)),0)/1440)*1440,0)/1440)</f>
        <v/>
      </c>
      <c r="I639" s="19" t="str">
        <f aca="false">IF(OR(A639="",H639="",E639="İptal"),"",IF(COUNTIFS($A$5:$A$1004,A639,$B$5:$B$1004,"&lt;"&amp;(H639-0.0003),$H$5:$H$1004,"&gt;"&amp;(B639+0.0003),$E$5:$E$1004,"&lt;&gt;İptal")&gt;1,"Çakışıyor",""))</f>
        <v/>
      </c>
      <c r="J639" s="21" t="str">
        <f aca="false">IF(AND(A639=Gün!$C$3,B639&lt;&gt;"",E639&lt;&gt;"İptal"),B639+ROW()/100000000,"")</f>
        <v/>
      </c>
    </row>
    <row r="640" customFormat="false" ht="15" hidden="false" customHeight="false" outlineLevel="0" collapsed="false">
      <c r="A640" s="12"/>
      <c r="B640" s="13"/>
      <c r="C640" s="14"/>
      <c r="D640" s="14"/>
      <c r="E640" s="15"/>
      <c r="F640" s="16"/>
      <c r="G640" s="17" t="str">
        <f aca="false">IF(D640="","",IF(E640="Geldi",IF(F640="",IFERROR(INDEX(Hizmetler!$C$5:$C$54,MATCH(D640,Hizmetler!$A$5:$A$54,0)),0),F640),0))</f>
        <v/>
      </c>
      <c r="H640" s="18" t="str">
        <f aca="false">IF(OR(B640="",D640=""),"",ROUND((B640+IFERROR(INDEX(Hizmetler!$B$5:$B$54,MATCH(D640,Hizmetler!$A$5:$A$54,0)),0)/1440)*1440,0)/1440)</f>
        <v/>
      </c>
      <c r="I640" s="19" t="str">
        <f aca="false">IF(OR(A640="",H640="",E640="İptal"),"",IF(COUNTIFS($A$5:$A$1004,A640,$B$5:$B$1004,"&lt;"&amp;(H640-0.0003),$H$5:$H$1004,"&gt;"&amp;(B640+0.0003),$E$5:$E$1004,"&lt;&gt;İptal")&gt;1,"Çakışıyor",""))</f>
        <v/>
      </c>
      <c r="J640" s="21" t="str">
        <f aca="false">IF(AND(A640=Gün!$C$3,B640&lt;&gt;"",E640&lt;&gt;"İptal"),B640+ROW()/100000000,"")</f>
        <v/>
      </c>
    </row>
    <row r="641" customFormat="false" ht="15" hidden="false" customHeight="false" outlineLevel="0" collapsed="false">
      <c r="A641" s="12"/>
      <c r="B641" s="13"/>
      <c r="C641" s="14"/>
      <c r="D641" s="14"/>
      <c r="E641" s="15"/>
      <c r="F641" s="16"/>
      <c r="G641" s="17" t="str">
        <f aca="false">IF(D641="","",IF(E641="Geldi",IF(F641="",IFERROR(INDEX(Hizmetler!$C$5:$C$54,MATCH(D641,Hizmetler!$A$5:$A$54,0)),0),F641),0))</f>
        <v/>
      </c>
      <c r="H641" s="18" t="str">
        <f aca="false">IF(OR(B641="",D641=""),"",ROUND((B641+IFERROR(INDEX(Hizmetler!$B$5:$B$54,MATCH(D641,Hizmetler!$A$5:$A$54,0)),0)/1440)*1440,0)/1440)</f>
        <v/>
      </c>
      <c r="I641" s="19" t="str">
        <f aca="false">IF(OR(A641="",H641="",E641="İptal"),"",IF(COUNTIFS($A$5:$A$1004,A641,$B$5:$B$1004,"&lt;"&amp;(H641-0.0003),$H$5:$H$1004,"&gt;"&amp;(B641+0.0003),$E$5:$E$1004,"&lt;&gt;İptal")&gt;1,"Çakışıyor",""))</f>
        <v/>
      </c>
      <c r="J641" s="21" t="str">
        <f aca="false">IF(AND(A641=Gün!$C$3,B641&lt;&gt;"",E641&lt;&gt;"İptal"),B641+ROW()/100000000,"")</f>
        <v/>
      </c>
    </row>
    <row r="642" customFormat="false" ht="15" hidden="false" customHeight="false" outlineLevel="0" collapsed="false">
      <c r="A642" s="12"/>
      <c r="B642" s="13"/>
      <c r="C642" s="14"/>
      <c r="D642" s="14"/>
      <c r="E642" s="15"/>
      <c r="F642" s="16"/>
      <c r="G642" s="17" t="str">
        <f aca="false">IF(D642="","",IF(E642="Geldi",IF(F642="",IFERROR(INDEX(Hizmetler!$C$5:$C$54,MATCH(D642,Hizmetler!$A$5:$A$54,0)),0),F642),0))</f>
        <v/>
      </c>
      <c r="H642" s="18" t="str">
        <f aca="false">IF(OR(B642="",D642=""),"",ROUND((B642+IFERROR(INDEX(Hizmetler!$B$5:$B$54,MATCH(D642,Hizmetler!$A$5:$A$54,0)),0)/1440)*1440,0)/1440)</f>
        <v/>
      </c>
      <c r="I642" s="19" t="str">
        <f aca="false">IF(OR(A642="",H642="",E642="İptal"),"",IF(COUNTIFS($A$5:$A$1004,A642,$B$5:$B$1004,"&lt;"&amp;(H642-0.0003),$H$5:$H$1004,"&gt;"&amp;(B642+0.0003),$E$5:$E$1004,"&lt;&gt;İptal")&gt;1,"Çakışıyor",""))</f>
        <v/>
      </c>
      <c r="J642" s="21" t="str">
        <f aca="false">IF(AND(A642=Gün!$C$3,B642&lt;&gt;"",E642&lt;&gt;"İptal"),B642+ROW()/100000000,"")</f>
        <v/>
      </c>
    </row>
    <row r="643" customFormat="false" ht="15" hidden="false" customHeight="false" outlineLevel="0" collapsed="false">
      <c r="A643" s="12"/>
      <c r="B643" s="13"/>
      <c r="C643" s="14"/>
      <c r="D643" s="14"/>
      <c r="E643" s="15"/>
      <c r="F643" s="16"/>
      <c r="G643" s="17" t="str">
        <f aca="false">IF(D643="","",IF(E643="Geldi",IF(F643="",IFERROR(INDEX(Hizmetler!$C$5:$C$54,MATCH(D643,Hizmetler!$A$5:$A$54,0)),0),F643),0))</f>
        <v/>
      </c>
      <c r="H643" s="18" t="str">
        <f aca="false">IF(OR(B643="",D643=""),"",ROUND((B643+IFERROR(INDEX(Hizmetler!$B$5:$B$54,MATCH(D643,Hizmetler!$A$5:$A$54,0)),0)/1440)*1440,0)/1440)</f>
        <v/>
      </c>
      <c r="I643" s="19" t="str">
        <f aca="false">IF(OR(A643="",H643="",E643="İptal"),"",IF(COUNTIFS($A$5:$A$1004,A643,$B$5:$B$1004,"&lt;"&amp;(H643-0.0003),$H$5:$H$1004,"&gt;"&amp;(B643+0.0003),$E$5:$E$1004,"&lt;&gt;İptal")&gt;1,"Çakışıyor",""))</f>
        <v/>
      </c>
      <c r="J643" s="21" t="str">
        <f aca="false">IF(AND(A643=Gün!$C$3,B643&lt;&gt;"",E643&lt;&gt;"İptal"),B643+ROW()/100000000,"")</f>
        <v/>
      </c>
    </row>
    <row r="644" customFormat="false" ht="15" hidden="false" customHeight="false" outlineLevel="0" collapsed="false">
      <c r="A644" s="12"/>
      <c r="B644" s="13"/>
      <c r="C644" s="14"/>
      <c r="D644" s="14"/>
      <c r="E644" s="15"/>
      <c r="F644" s="16"/>
      <c r="G644" s="17" t="str">
        <f aca="false">IF(D644="","",IF(E644="Geldi",IF(F644="",IFERROR(INDEX(Hizmetler!$C$5:$C$54,MATCH(D644,Hizmetler!$A$5:$A$54,0)),0),F644),0))</f>
        <v/>
      </c>
      <c r="H644" s="18" t="str">
        <f aca="false">IF(OR(B644="",D644=""),"",ROUND((B644+IFERROR(INDEX(Hizmetler!$B$5:$B$54,MATCH(D644,Hizmetler!$A$5:$A$54,0)),0)/1440)*1440,0)/1440)</f>
        <v/>
      </c>
      <c r="I644" s="19" t="str">
        <f aca="false">IF(OR(A644="",H644="",E644="İptal"),"",IF(COUNTIFS($A$5:$A$1004,A644,$B$5:$B$1004,"&lt;"&amp;(H644-0.0003),$H$5:$H$1004,"&gt;"&amp;(B644+0.0003),$E$5:$E$1004,"&lt;&gt;İptal")&gt;1,"Çakışıyor",""))</f>
        <v/>
      </c>
      <c r="J644" s="21" t="str">
        <f aca="false">IF(AND(A644=Gün!$C$3,B644&lt;&gt;"",E644&lt;&gt;"İptal"),B644+ROW()/100000000,"")</f>
        <v/>
      </c>
    </row>
    <row r="645" customFormat="false" ht="15" hidden="false" customHeight="false" outlineLevel="0" collapsed="false">
      <c r="A645" s="12"/>
      <c r="B645" s="13"/>
      <c r="C645" s="14"/>
      <c r="D645" s="14"/>
      <c r="E645" s="15"/>
      <c r="F645" s="16"/>
      <c r="G645" s="17" t="str">
        <f aca="false">IF(D645="","",IF(E645="Geldi",IF(F645="",IFERROR(INDEX(Hizmetler!$C$5:$C$54,MATCH(D645,Hizmetler!$A$5:$A$54,0)),0),F645),0))</f>
        <v/>
      </c>
      <c r="H645" s="18" t="str">
        <f aca="false">IF(OR(B645="",D645=""),"",ROUND((B645+IFERROR(INDEX(Hizmetler!$B$5:$B$54,MATCH(D645,Hizmetler!$A$5:$A$54,0)),0)/1440)*1440,0)/1440)</f>
        <v/>
      </c>
      <c r="I645" s="19" t="str">
        <f aca="false">IF(OR(A645="",H645="",E645="İptal"),"",IF(COUNTIFS($A$5:$A$1004,A645,$B$5:$B$1004,"&lt;"&amp;(H645-0.0003),$H$5:$H$1004,"&gt;"&amp;(B645+0.0003),$E$5:$E$1004,"&lt;&gt;İptal")&gt;1,"Çakışıyor",""))</f>
        <v/>
      </c>
      <c r="J645" s="21" t="str">
        <f aca="false">IF(AND(A645=Gün!$C$3,B645&lt;&gt;"",E645&lt;&gt;"İptal"),B645+ROW()/100000000,"")</f>
        <v/>
      </c>
    </row>
    <row r="646" customFormat="false" ht="15" hidden="false" customHeight="false" outlineLevel="0" collapsed="false">
      <c r="A646" s="12"/>
      <c r="B646" s="13"/>
      <c r="C646" s="14"/>
      <c r="D646" s="14"/>
      <c r="E646" s="15"/>
      <c r="F646" s="16"/>
      <c r="G646" s="17" t="str">
        <f aca="false">IF(D646="","",IF(E646="Geldi",IF(F646="",IFERROR(INDEX(Hizmetler!$C$5:$C$54,MATCH(D646,Hizmetler!$A$5:$A$54,0)),0),F646),0))</f>
        <v/>
      </c>
      <c r="H646" s="18" t="str">
        <f aca="false">IF(OR(B646="",D646=""),"",ROUND((B646+IFERROR(INDEX(Hizmetler!$B$5:$B$54,MATCH(D646,Hizmetler!$A$5:$A$54,0)),0)/1440)*1440,0)/1440)</f>
        <v/>
      </c>
      <c r="I646" s="19" t="str">
        <f aca="false">IF(OR(A646="",H646="",E646="İptal"),"",IF(COUNTIFS($A$5:$A$1004,A646,$B$5:$B$1004,"&lt;"&amp;(H646-0.0003),$H$5:$H$1004,"&gt;"&amp;(B646+0.0003),$E$5:$E$1004,"&lt;&gt;İptal")&gt;1,"Çakışıyor",""))</f>
        <v/>
      </c>
      <c r="J646" s="21" t="str">
        <f aca="false">IF(AND(A646=Gün!$C$3,B646&lt;&gt;"",E646&lt;&gt;"İptal"),B646+ROW()/100000000,"")</f>
        <v/>
      </c>
    </row>
    <row r="647" customFormat="false" ht="15" hidden="false" customHeight="false" outlineLevel="0" collapsed="false">
      <c r="A647" s="12"/>
      <c r="B647" s="13"/>
      <c r="C647" s="14"/>
      <c r="D647" s="14"/>
      <c r="E647" s="15"/>
      <c r="F647" s="16"/>
      <c r="G647" s="17" t="str">
        <f aca="false">IF(D647="","",IF(E647="Geldi",IF(F647="",IFERROR(INDEX(Hizmetler!$C$5:$C$54,MATCH(D647,Hizmetler!$A$5:$A$54,0)),0),F647),0))</f>
        <v/>
      </c>
      <c r="H647" s="18" t="str">
        <f aca="false">IF(OR(B647="",D647=""),"",ROUND((B647+IFERROR(INDEX(Hizmetler!$B$5:$B$54,MATCH(D647,Hizmetler!$A$5:$A$54,0)),0)/1440)*1440,0)/1440)</f>
        <v/>
      </c>
      <c r="I647" s="19" t="str">
        <f aca="false">IF(OR(A647="",H647="",E647="İptal"),"",IF(COUNTIFS($A$5:$A$1004,A647,$B$5:$B$1004,"&lt;"&amp;(H647-0.0003),$H$5:$H$1004,"&gt;"&amp;(B647+0.0003),$E$5:$E$1004,"&lt;&gt;İptal")&gt;1,"Çakışıyor",""))</f>
        <v/>
      </c>
      <c r="J647" s="21" t="str">
        <f aca="false">IF(AND(A647=Gün!$C$3,B647&lt;&gt;"",E647&lt;&gt;"İptal"),B647+ROW()/100000000,"")</f>
        <v/>
      </c>
    </row>
    <row r="648" customFormat="false" ht="15" hidden="false" customHeight="false" outlineLevel="0" collapsed="false">
      <c r="A648" s="12"/>
      <c r="B648" s="13"/>
      <c r="C648" s="14"/>
      <c r="D648" s="14"/>
      <c r="E648" s="15"/>
      <c r="F648" s="16"/>
      <c r="G648" s="17" t="str">
        <f aca="false">IF(D648="","",IF(E648="Geldi",IF(F648="",IFERROR(INDEX(Hizmetler!$C$5:$C$54,MATCH(D648,Hizmetler!$A$5:$A$54,0)),0),F648),0))</f>
        <v/>
      </c>
      <c r="H648" s="18" t="str">
        <f aca="false">IF(OR(B648="",D648=""),"",ROUND((B648+IFERROR(INDEX(Hizmetler!$B$5:$B$54,MATCH(D648,Hizmetler!$A$5:$A$54,0)),0)/1440)*1440,0)/1440)</f>
        <v/>
      </c>
      <c r="I648" s="19" t="str">
        <f aca="false">IF(OR(A648="",H648="",E648="İptal"),"",IF(COUNTIFS($A$5:$A$1004,A648,$B$5:$B$1004,"&lt;"&amp;(H648-0.0003),$H$5:$H$1004,"&gt;"&amp;(B648+0.0003),$E$5:$E$1004,"&lt;&gt;İptal")&gt;1,"Çakışıyor",""))</f>
        <v/>
      </c>
      <c r="J648" s="21" t="str">
        <f aca="false">IF(AND(A648=Gün!$C$3,B648&lt;&gt;"",E648&lt;&gt;"İptal"),B648+ROW()/100000000,"")</f>
        <v/>
      </c>
    </row>
    <row r="649" customFormat="false" ht="15" hidden="false" customHeight="false" outlineLevel="0" collapsed="false">
      <c r="A649" s="12"/>
      <c r="B649" s="13"/>
      <c r="C649" s="14"/>
      <c r="D649" s="14"/>
      <c r="E649" s="15"/>
      <c r="F649" s="16"/>
      <c r="G649" s="17" t="str">
        <f aca="false">IF(D649="","",IF(E649="Geldi",IF(F649="",IFERROR(INDEX(Hizmetler!$C$5:$C$54,MATCH(D649,Hizmetler!$A$5:$A$54,0)),0),F649),0))</f>
        <v/>
      </c>
      <c r="H649" s="18" t="str">
        <f aca="false">IF(OR(B649="",D649=""),"",ROUND((B649+IFERROR(INDEX(Hizmetler!$B$5:$B$54,MATCH(D649,Hizmetler!$A$5:$A$54,0)),0)/1440)*1440,0)/1440)</f>
        <v/>
      </c>
      <c r="I649" s="19" t="str">
        <f aca="false">IF(OR(A649="",H649="",E649="İptal"),"",IF(COUNTIFS($A$5:$A$1004,A649,$B$5:$B$1004,"&lt;"&amp;(H649-0.0003),$H$5:$H$1004,"&gt;"&amp;(B649+0.0003),$E$5:$E$1004,"&lt;&gt;İptal")&gt;1,"Çakışıyor",""))</f>
        <v/>
      </c>
      <c r="J649" s="21" t="str">
        <f aca="false">IF(AND(A649=Gün!$C$3,B649&lt;&gt;"",E649&lt;&gt;"İptal"),B649+ROW()/100000000,"")</f>
        <v/>
      </c>
    </row>
    <row r="650" customFormat="false" ht="15" hidden="false" customHeight="false" outlineLevel="0" collapsed="false">
      <c r="A650" s="12"/>
      <c r="B650" s="13"/>
      <c r="C650" s="14"/>
      <c r="D650" s="14"/>
      <c r="E650" s="15"/>
      <c r="F650" s="16"/>
      <c r="G650" s="17" t="str">
        <f aca="false">IF(D650="","",IF(E650="Geldi",IF(F650="",IFERROR(INDEX(Hizmetler!$C$5:$C$54,MATCH(D650,Hizmetler!$A$5:$A$54,0)),0),F650),0))</f>
        <v/>
      </c>
      <c r="H650" s="18" t="str">
        <f aca="false">IF(OR(B650="",D650=""),"",ROUND((B650+IFERROR(INDEX(Hizmetler!$B$5:$B$54,MATCH(D650,Hizmetler!$A$5:$A$54,0)),0)/1440)*1440,0)/1440)</f>
        <v/>
      </c>
      <c r="I650" s="19" t="str">
        <f aca="false">IF(OR(A650="",H650="",E650="İptal"),"",IF(COUNTIFS($A$5:$A$1004,A650,$B$5:$B$1004,"&lt;"&amp;(H650-0.0003),$H$5:$H$1004,"&gt;"&amp;(B650+0.0003),$E$5:$E$1004,"&lt;&gt;İptal")&gt;1,"Çakışıyor",""))</f>
        <v/>
      </c>
      <c r="J650" s="21" t="str">
        <f aca="false">IF(AND(A650=Gün!$C$3,B650&lt;&gt;"",E650&lt;&gt;"İptal"),B650+ROW()/100000000,"")</f>
        <v/>
      </c>
    </row>
    <row r="651" customFormat="false" ht="15" hidden="false" customHeight="false" outlineLevel="0" collapsed="false">
      <c r="A651" s="12"/>
      <c r="B651" s="13"/>
      <c r="C651" s="14"/>
      <c r="D651" s="14"/>
      <c r="E651" s="15"/>
      <c r="F651" s="16"/>
      <c r="G651" s="17" t="str">
        <f aca="false">IF(D651="","",IF(E651="Geldi",IF(F651="",IFERROR(INDEX(Hizmetler!$C$5:$C$54,MATCH(D651,Hizmetler!$A$5:$A$54,0)),0),F651),0))</f>
        <v/>
      </c>
      <c r="H651" s="18" t="str">
        <f aca="false">IF(OR(B651="",D651=""),"",ROUND((B651+IFERROR(INDEX(Hizmetler!$B$5:$B$54,MATCH(D651,Hizmetler!$A$5:$A$54,0)),0)/1440)*1440,0)/1440)</f>
        <v/>
      </c>
      <c r="I651" s="19" t="str">
        <f aca="false">IF(OR(A651="",H651="",E651="İptal"),"",IF(COUNTIFS($A$5:$A$1004,A651,$B$5:$B$1004,"&lt;"&amp;(H651-0.0003),$H$5:$H$1004,"&gt;"&amp;(B651+0.0003),$E$5:$E$1004,"&lt;&gt;İptal")&gt;1,"Çakışıyor",""))</f>
        <v/>
      </c>
      <c r="J651" s="21" t="str">
        <f aca="false">IF(AND(A651=Gün!$C$3,B651&lt;&gt;"",E651&lt;&gt;"İptal"),B651+ROW()/100000000,"")</f>
        <v/>
      </c>
    </row>
    <row r="652" customFormat="false" ht="15" hidden="false" customHeight="false" outlineLevel="0" collapsed="false">
      <c r="A652" s="12"/>
      <c r="B652" s="13"/>
      <c r="C652" s="14"/>
      <c r="D652" s="14"/>
      <c r="E652" s="15"/>
      <c r="F652" s="16"/>
      <c r="G652" s="17" t="str">
        <f aca="false">IF(D652="","",IF(E652="Geldi",IF(F652="",IFERROR(INDEX(Hizmetler!$C$5:$C$54,MATCH(D652,Hizmetler!$A$5:$A$54,0)),0),F652),0))</f>
        <v/>
      </c>
      <c r="H652" s="18" t="str">
        <f aca="false">IF(OR(B652="",D652=""),"",ROUND((B652+IFERROR(INDEX(Hizmetler!$B$5:$B$54,MATCH(D652,Hizmetler!$A$5:$A$54,0)),0)/1440)*1440,0)/1440)</f>
        <v/>
      </c>
      <c r="I652" s="19" t="str">
        <f aca="false">IF(OR(A652="",H652="",E652="İptal"),"",IF(COUNTIFS($A$5:$A$1004,A652,$B$5:$B$1004,"&lt;"&amp;(H652-0.0003),$H$5:$H$1004,"&gt;"&amp;(B652+0.0003),$E$5:$E$1004,"&lt;&gt;İptal")&gt;1,"Çakışıyor",""))</f>
        <v/>
      </c>
      <c r="J652" s="21" t="str">
        <f aca="false">IF(AND(A652=Gün!$C$3,B652&lt;&gt;"",E652&lt;&gt;"İptal"),B652+ROW()/100000000,"")</f>
        <v/>
      </c>
    </row>
    <row r="653" customFormat="false" ht="15" hidden="false" customHeight="false" outlineLevel="0" collapsed="false">
      <c r="A653" s="12"/>
      <c r="B653" s="13"/>
      <c r="C653" s="14"/>
      <c r="D653" s="14"/>
      <c r="E653" s="15"/>
      <c r="F653" s="16"/>
      <c r="G653" s="17" t="str">
        <f aca="false">IF(D653="","",IF(E653="Geldi",IF(F653="",IFERROR(INDEX(Hizmetler!$C$5:$C$54,MATCH(D653,Hizmetler!$A$5:$A$54,0)),0),F653),0))</f>
        <v/>
      </c>
      <c r="H653" s="18" t="str">
        <f aca="false">IF(OR(B653="",D653=""),"",ROUND((B653+IFERROR(INDEX(Hizmetler!$B$5:$B$54,MATCH(D653,Hizmetler!$A$5:$A$54,0)),0)/1440)*1440,0)/1440)</f>
        <v/>
      </c>
      <c r="I653" s="19" t="str">
        <f aca="false">IF(OR(A653="",H653="",E653="İptal"),"",IF(COUNTIFS($A$5:$A$1004,A653,$B$5:$B$1004,"&lt;"&amp;(H653-0.0003),$H$5:$H$1004,"&gt;"&amp;(B653+0.0003),$E$5:$E$1004,"&lt;&gt;İptal")&gt;1,"Çakışıyor",""))</f>
        <v/>
      </c>
      <c r="J653" s="21" t="str">
        <f aca="false">IF(AND(A653=Gün!$C$3,B653&lt;&gt;"",E653&lt;&gt;"İptal"),B653+ROW()/100000000,"")</f>
        <v/>
      </c>
    </row>
    <row r="654" customFormat="false" ht="15" hidden="false" customHeight="false" outlineLevel="0" collapsed="false">
      <c r="A654" s="12"/>
      <c r="B654" s="13"/>
      <c r="C654" s="14"/>
      <c r="D654" s="14"/>
      <c r="E654" s="15"/>
      <c r="F654" s="16"/>
      <c r="G654" s="17" t="str">
        <f aca="false">IF(D654="","",IF(E654="Geldi",IF(F654="",IFERROR(INDEX(Hizmetler!$C$5:$C$54,MATCH(D654,Hizmetler!$A$5:$A$54,0)),0),F654),0))</f>
        <v/>
      </c>
      <c r="H654" s="18" t="str">
        <f aca="false">IF(OR(B654="",D654=""),"",ROUND((B654+IFERROR(INDEX(Hizmetler!$B$5:$B$54,MATCH(D654,Hizmetler!$A$5:$A$54,0)),0)/1440)*1440,0)/1440)</f>
        <v/>
      </c>
      <c r="I654" s="19" t="str">
        <f aca="false">IF(OR(A654="",H654="",E654="İptal"),"",IF(COUNTIFS($A$5:$A$1004,A654,$B$5:$B$1004,"&lt;"&amp;(H654-0.0003),$H$5:$H$1004,"&gt;"&amp;(B654+0.0003),$E$5:$E$1004,"&lt;&gt;İptal")&gt;1,"Çakışıyor",""))</f>
        <v/>
      </c>
      <c r="J654" s="21" t="str">
        <f aca="false">IF(AND(A654=Gün!$C$3,B654&lt;&gt;"",E654&lt;&gt;"İptal"),B654+ROW()/100000000,"")</f>
        <v/>
      </c>
    </row>
    <row r="655" customFormat="false" ht="15" hidden="false" customHeight="false" outlineLevel="0" collapsed="false">
      <c r="A655" s="12"/>
      <c r="B655" s="13"/>
      <c r="C655" s="14"/>
      <c r="D655" s="14"/>
      <c r="E655" s="15"/>
      <c r="F655" s="16"/>
      <c r="G655" s="17" t="str">
        <f aca="false">IF(D655="","",IF(E655="Geldi",IF(F655="",IFERROR(INDEX(Hizmetler!$C$5:$C$54,MATCH(D655,Hizmetler!$A$5:$A$54,0)),0),F655),0))</f>
        <v/>
      </c>
      <c r="H655" s="18" t="str">
        <f aca="false">IF(OR(B655="",D655=""),"",ROUND((B655+IFERROR(INDEX(Hizmetler!$B$5:$B$54,MATCH(D655,Hizmetler!$A$5:$A$54,0)),0)/1440)*1440,0)/1440)</f>
        <v/>
      </c>
      <c r="I655" s="19" t="str">
        <f aca="false">IF(OR(A655="",H655="",E655="İptal"),"",IF(COUNTIFS($A$5:$A$1004,A655,$B$5:$B$1004,"&lt;"&amp;(H655-0.0003),$H$5:$H$1004,"&gt;"&amp;(B655+0.0003),$E$5:$E$1004,"&lt;&gt;İptal")&gt;1,"Çakışıyor",""))</f>
        <v/>
      </c>
      <c r="J655" s="21" t="str">
        <f aca="false">IF(AND(A655=Gün!$C$3,B655&lt;&gt;"",E655&lt;&gt;"İptal"),B655+ROW()/100000000,"")</f>
        <v/>
      </c>
    </row>
    <row r="656" customFormat="false" ht="15" hidden="false" customHeight="false" outlineLevel="0" collapsed="false">
      <c r="A656" s="12"/>
      <c r="B656" s="13"/>
      <c r="C656" s="14"/>
      <c r="D656" s="14"/>
      <c r="E656" s="15"/>
      <c r="F656" s="16"/>
      <c r="G656" s="17" t="str">
        <f aca="false">IF(D656="","",IF(E656="Geldi",IF(F656="",IFERROR(INDEX(Hizmetler!$C$5:$C$54,MATCH(D656,Hizmetler!$A$5:$A$54,0)),0),F656),0))</f>
        <v/>
      </c>
      <c r="H656" s="18" t="str">
        <f aca="false">IF(OR(B656="",D656=""),"",ROUND((B656+IFERROR(INDEX(Hizmetler!$B$5:$B$54,MATCH(D656,Hizmetler!$A$5:$A$54,0)),0)/1440)*1440,0)/1440)</f>
        <v/>
      </c>
      <c r="I656" s="19" t="str">
        <f aca="false">IF(OR(A656="",H656="",E656="İptal"),"",IF(COUNTIFS($A$5:$A$1004,A656,$B$5:$B$1004,"&lt;"&amp;(H656-0.0003),$H$5:$H$1004,"&gt;"&amp;(B656+0.0003),$E$5:$E$1004,"&lt;&gt;İptal")&gt;1,"Çakışıyor",""))</f>
        <v/>
      </c>
      <c r="J656" s="21" t="str">
        <f aca="false">IF(AND(A656=Gün!$C$3,B656&lt;&gt;"",E656&lt;&gt;"İptal"),B656+ROW()/100000000,"")</f>
        <v/>
      </c>
    </row>
    <row r="657" customFormat="false" ht="15" hidden="false" customHeight="false" outlineLevel="0" collapsed="false">
      <c r="A657" s="12"/>
      <c r="B657" s="13"/>
      <c r="C657" s="14"/>
      <c r="D657" s="14"/>
      <c r="E657" s="15"/>
      <c r="F657" s="16"/>
      <c r="G657" s="17" t="str">
        <f aca="false">IF(D657="","",IF(E657="Geldi",IF(F657="",IFERROR(INDEX(Hizmetler!$C$5:$C$54,MATCH(D657,Hizmetler!$A$5:$A$54,0)),0),F657),0))</f>
        <v/>
      </c>
      <c r="H657" s="18" t="str">
        <f aca="false">IF(OR(B657="",D657=""),"",ROUND((B657+IFERROR(INDEX(Hizmetler!$B$5:$B$54,MATCH(D657,Hizmetler!$A$5:$A$54,0)),0)/1440)*1440,0)/1440)</f>
        <v/>
      </c>
      <c r="I657" s="19" t="str">
        <f aca="false">IF(OR(A657="",H657="",E657="İptal"),"",IF(COUNTIFS($A$5:$A$1004,A657,$B$5:$B$1004,"&lt;"&amp;(H657-0.0003),$H$5:$H$1004,"&gt;"&amp;(B657+0.0003),$E$5:$E$1004,"&lt;&gt;İptal")&gt;1,"Çakışıyor",""))</f>
        <v/>
      </c>
      <c r="J657" s="21" t="str">
        <f aca="false">IF(AND(A657=Gün!$C$3,B657&lt;&gt;"",E657&lt;&gt;"İptal"),B657+ROW()/100000000,"")</f>
        <v/>
      </c>
    </row>
    <row r="658" customFormat="false" ht="15" hidden="false" customHeight="false" outlineLevel="0" collapsed="false">
      <c r="A658" s="12"/>
      <c r="B658" s="13"/>
      <c r="C658" s="14"/>
      <c r="D658" s="14"/>
      <c r="E658" s="15"/>
      <c r="F658" s="16"/>
      <c r="G658" s="17" t="str">
        <f aca="false">IF(D658="","",IF(E658="Geldi",IF(F658="",IFERROR(INDEX(Hizmetler!$C$5:$C$54,MATCH(D658,Hizmetler!$A$5:$A$54,0)),0),F658),0))</f>
        <v/>
      </c>
      <c r="H658" s="18" t="str">
        <f aca="false">IF(OR(B658="",D658=""),"",ROUND((B658+IFERROR(INDEX(Hizmetler!$B$5:$B$54,MATCH(D658,Hizmetler!$A$5:$A$54,0)),0)/1440)*1440,0)/1440)</f>
        <v/>
      </c>
      <c r="I658" s="19" t="str">
        <f aca="false">IF(OR(A658="",H658="",E658="İptal"),"",IF(COUNTIFS($A$5:$A$1004,A658,$B$5:$B$1004,"&lt;"&amp;(H658-0.0003),$H$5:$H$1004,"&gt;"&amp;(B658+0.0003),$E$5:$E$1004,"&lt;&gt;İptal")&gt;1,"Çakışıyor",""))</f>
        <v/>
      </c>
      <c r="J658" s="21" t="str">
        <f aca="false">IF(AND(A658=Gün!$C$3,B658&lt;&gt;"",E658&lt;&gt;"İptal"),B658+ROW()/100000000,"")</f>
        <v/>
      </c>
    </row>
    <row r="659" customFormat="false" ht="15" hidden="false" customHeight="false" outlineLevel="0" collapsed="false">
      <c r="A659" s="12"/>
      <c r="B659" s="13"/>
      <c r="C659" s="14"/>
      <c r="D659" s="14"/>
      <c r="E659" s="15"/>
      <c r="F659" s="16"/>
      <c r="G659" s="17" t="str">
        <f aca="false">IF(D659="","",IF(E659="Geldi",IF(F659="",IFERROR(INDEX(Hizmetler!$C$5:$C$54,MATCH(D659,Hizmetler!$A$5:$A$54,0)),0),F659),0))</f>
        <v/>
      </c>
      <c r="H659" s="18" t="str">
        <f aca="false">IF(OR(B659="",D659=""),"",ROUND((B659+IFERROR(INDEX(Hizmetler!$B$5:$B$54,MATCH(D659,Hizmetler!$A$5:$A$54,0)),0)/1440)*1440,0)/1440)</f>
        <v/>
      </c>
      <c r="I659" s="19" t="str">
        <f aca="false">IF(OR(A659="",H659="",E659="İptal"),"",IF(COUNTIFS($A$5:$A$1004,A659,$B$5:$B$1004,"&lt;"&amp;(H659-0.0003),$H$5:$H$1004,"&gt;"&amp;(B659+0.0003),$E$5:$E$1004,"&lt;&gt;İptal")&gt;1,"Çakışıyor",""))</f>
        <v/>
      </c>
      <c r="J659" s="21" t="str">
        <f aca="false">IF(AND(A659=Gün!$C$3,B659&lt;&gt;"",E659&lt;&gt;"İptal"),B659+ROW()/100000000,"")</f>
        <v/>
      </c>
    </row>
    <row r="660" customFormat="false" ht="15" hidden="false" customHeight="false" outlineLevel="0" collapsed="false">
      <c r="A660" s="12"/>
      <c r="B660" s="13"/>
      <c r="C660" s="14"/>
      <c r="D660" s="14"/>
      <c r="E660" s="15"/>
      <c r="F660" s="16"/>
      <c r="G660" s="17" t="str">
        <f aca="false">IF(D660="","",IF(E660="Geldi",IF(F660="",IFERROR(INDEX(Hizmetler!$C$5:$C$54,MATCH(D660,Hizmetler!$A$5:$A$54,0)),0),F660),0))</f>
        <v/>
      </c>
      <c r="H660" s="18" t="str">
        <f aca="false">IF(OR(B660="",D660=""),"",ROUND((B660+IFERROR(INDEX(Hizmetler!$B$5:$B$54,MATCH(D660,Hizmetler!$A$5:$A$54,0)),0)/1440)*1440,0)/1440)</f>
        <v/>
      </c>
      <c r="I660" s="19" t="str">
        <f aca="false">IF(OR(A660="",H660="",E660="İptal"),"",IF(COUNTIFS($A$5:$A$1004,A660,$B$5:$B$1004,"&lt;"&amp;(H660-0.0003),$H$5:$H$1004,"&gt;"&amp;(B660+0.0003),$E$5:$E$1004,"&lt;&gt;İptal")&gt;1,"Çakışıyor",""))</f>
        <v/>
      </c>
      <c r="J660" s="21" t="str">
        <f aca="false">IF(AND(A660=Gün!$C$3,B660&lt;&gt;"",E660&lt;&gt;"İptal"),B660+ROW()/100000000,"")</f>
        <v/>
      </c>
    </row>
    <row r="661" customFormat="false" ht="15" hidden="false" customHeight="false" outlineLevel="0" collapsed="false">
      <c r="A661" s="12"/>
      <c r="B661" s="13"/>
      <c r="C661" s="14"/>
      <c r="D661" s="14"/>
      <c r="E661" s="15"/>
      <c r="F661" s="16"/>
      <c r="G661" s="17" t="str">
        <f aca="false">IF(D661="","",IF(E661="Geldi",IF(F661="",IFERROR(INDEX(Hizmetler!$C$5:$C$54,MATCH(D661,Hizmetler!$A$5:$A$54,0)),0),F661),0))</f>
        <v/>
      </c>
      <c r="H661" s="18" t="str">
        <f aca="false">IF(OR(B661="",D661=""),"",ROUND((B661+IFERROR(INDEX(Hizmetler!$B$5:$B$54,MATCH(D661,Hizmetler!$A$5:$A$54,0)),0)/1440)*1440,0)/1440)</f>
        <v/>
      </c>
      <c r="I661" s="19" t="str">
        <f aca="false">IF(OR(A661="",H661="",E661="İptal"),"",IF(COUNTIFS($A$5:$A$1004,A661,$B$5:$B$1004,"&lt;"&amp;(H661-0.0003),$H$5:$H$1004,"&gt;"&amp;(B661+0.0003),$E$5:$E$1004,"&lt;&gt;İptal")&gt;1,"Çakışıyor",""))</f>
        <v/>
      </c>
      <c r="J661" s="21" t="str">
        <f aca="false">IF(AND(A661=Gün!$C$3,B661&lt;&gt;"",E661&lt;&gt;"İptal"),B661+ROW()/100000000,"")</f>
        <v/>
      </c>
    </row>
    <row r="662" customFormat="false" ht="15" hidden="false" customHeight="false" outlineLevel="0" collapsed="false">
      <c r="A662" s="12"/>
      <c r="B662" s="13"/>
      <c r="C662" s="14"/>
      <c r="D662" s="14"/>
      <c r="E662" s="15"/>
      <c r="F662" s="16"/>
      <c r="G662" s="17" t="str">
        <f aca="false">IF(D662="","",IF(E662="Geldi",IF(F662="",IFERROR(INDEX(Hizmetler!$C$5:$C$54,MATCH(D662,Hizmetler!$A$5:$A$54,0)),0),F662),0))</f>
        <v/>
      </c>
      <c r="H662" s="18" t="str">
        <f aca="false">IF(OR(B662="",D662=""),"",ROUND((B662+IFERROR(INDEX(Hizmetler!$B$5:$B$54,MATCH(D662,Hizmetler!$A$5:$A$54,0)),0)/1440)*1440,0)/1440)</f>
        <v/>
      </c>
      <c r="I662" s="19" t="str">
        <f aca="false">IF(OR(A662="",H662="",E662="İptal"),"",IF(COUNTIFS($A$5:$A$1004,A662,$B$5:$B$1004,"&lt;"&amp;(H662-0.0003),$H$5:$H$1004,"&gt;"&amp;(B662+0.0003),$E$5:$E$1004,"&lt;&gt;İptal")&gt;1,"Çakışıyor",""))</f>
        <v/>
      </c>
      <c r="J662" s="21" t="str">
        <f aca="false">IF(AND(A662=Gün!$C$3,B662&lt;&gt;"",E662&lt;&gt;"İptal"),B662+ROW()/100000000,"")</f>
        <v/>
      </c>
    </row>
    <row r="663" customFormat="false" ht="15" hidden="false" customHeight="false" outlineLevel="0" collapsed="false">
      <c r="A663" s="12"/>
      <c r="B663" s="13"/>
      <c r="C663" s="14"/>
      <c r="D663" s="14"/>
      <c r="E663" s="15"/>
      <c r="F663" s="16"/>
      <c r="G663" s="17" t="str">
        <f aca="false">IF(D663="","",IF(E663="Geldi",IF(F663="",IFERROR(INDEX(Hizmetler!$C$5:$C$54,MATCH(D663,Hizmetler!$A$5:$A$54,0)),0),F663),0))</f>
        <v/>
      </c>
      <c r="H663" s="18" t="str">
        <f aca="false">IF(OR(B663="",D663=""),"",ROUND((B663+IFERROR(INDEX(Hizmetler!$B$5:$B$54,MATCH(D663,Hizmetler!$A$5:$A$54,0)),0)/1440)*1440,0)/1440)</f>
        <v/>
      </c>
      <c r="I663" s="19" t="str">
        <f aca="false">IF(OR(A663="",H663="",E663="İptal"),"",IF(COUNTIFS($A$5:$A$1004,A663,$B$5:$B$1004,"&lt;"&amp;(H663-0.0003),$H$5:$H$1004,"&gt;"&amp;(B663+0.0003),$E$5:$E$1004,"&lt;&gt;İptal")&gt;1,"Çakışıyor",""))</f>
        <v/>
      </c>
      <c r="J663" s="21" t="str">
        <f aca="false">IF(AND(A663=Gün!$C$3,B663&lt;&gt;"",E663&lt;&gt;"İptal"),B663+ROW()/100000000,"")</f>
        <v/>
      </c>
    </row>
    <row r="664" customFormat="false" ht="15" hidden="false" customHeight="false" outlineLevel="0" collapsed="false">
      <c r="A664" s="12"/>
      <c r="B664" s="13"/>
      <c r="C664" s="14"/>
      <c r="D664" s="14"/>
      <c r="E664" s="15"/>
      <c r="F664" s="16"/>
      <c r="G664" s="17" t="str">
        <f aca="false">IF(D664="","",IF(E664="Geldi",IF(F664="",IFERROR(INDEX(Hizmetler!$C$5:$C$54,MATCH(D664,Hizmetler!$A$5:$A$54,0)),0),F664),0))</f>
        <v/>
      </c>
      <c r="H664" s="18" t="str">
        <f aca="false">IF(OR(B664="",D664=""),"",ROUND((B664+IFERROR(INDEX(Hizmetler!$B$5:$B$54,MATCH(D664,Hizmetler!$A$5:$A$54,0)),0)/1440)*1440,0)/1440)</f>
        <v/>
      </c>
      <c r="I664" s="19" t="str">
        <f aca="false">IF(OR(A664="",H664="",E664="İptal"),"",IF(COUNTIFS($A$5:$A$1004,A664,$B$5:$B$1004,"&lt;"&amp;(H664-0.0003),$H$5:$H$1004,"&gt;"&amp;(B664+0.0003),$E$5:$E$1004,"&lt;&gt;İptal")&gt;1,"Çakışıyor",""))</f>
        <v/>
      </c>
      <c r="J664" s="21" t="str">
        <f aca="false">IF(AND(A664=Gün!$C$3,B664&lt;&gt;"",E664&lt;&gt;"İptal"),B664+ROW()/100000000,"")</f>
        <v/>
      </c>
    </row>
    <row r="665" customFormat="false" ht="15" hidden="false" customHeight="false" outlineLevel="0" collapsed="false">
      <c r="A665" s="12"/>
      <c r="B665" s="13"/>
      <c r="C665" s="14"/>
      <c r="D665" s="14"/>
      <c r="E665" s="15"/>
      <c r="F665" s="16"/>
      <c r="G665" s="17" t="str">
        <f aca="false">IF(D665="","",IF(E665="Geldi",IF(F665="",IFERROR(INDEX(Hizmetler!$C$5:$C$54,MATCH(D665,Hizmetler!$A$5:$A$54,0)),0),F665),0))</f>
        <v/>
      </c>
      <c r="H665" s="18" t="str">
        <f aca="false">IF(OR(B665="",D665=""),"",ROUND((B665+IFERROR(INDEX(Hizmetler!$B$5:$B$54,MATCH(D665,Hizmetler!$A$5:$A$54,0)),0)/1440)*1440,0)/1440)</f>
        <v/>
      </c>
      <c r="I665" s="19" t="str">
        <f aca="false">IF(OR(A665="",H665="",E665="İptal"),"",IF(COUNTIFS($A$5:$A$1004,A665,$B$5:$B$1004,"&lt;"&amp;(H665-0.0003),$H$5:$H$1004,"&gt;"&amp;(B665+0.0003),$E$5:$E$1004,"&lt;&gt;İptal")&gt;1,"Çakışıyor",""))</f>
        <v/>
      </c>
      <c r="J665" s="21" t="str">
        <f aca="false">IF(AND(A665=Gün!$C$3,B665&lt;&gt;"",E665&lt;&gt;"İptal"),B665+ROW()/100000000,"")</f>
        <v/>
      </c>
    </row>
    <row r="666" customFormat="false" ht="15" hidden="false" customHeight="false" outlineLevel="0" collapsed="false">
      <c r="A666" s="12"/>
      <c r="B666" s="13"/>
      <c r="C666" s="14"/>
      <c r="D666" s="14"/>
      <c r="E666" s="15"/>
      <c r="F666" s="16"/>
      <c r="G666" s="17" t="str">
        <f aca="false">IF(D666="","",IF(E666="Geldi",IF(F666="",IFERROR(INDEX(Hizmetler!$C$5:$C$54,MATCH(D666,Hizmetler!$A$5:$A$54,0)),0),F666),0))</f>
        <v/>
      </c>
      <c r="H666" s="18" t="str">
        <f aca="false">IF(OR(B666="",D666=""),"",ROUND((B666+IFERROR(INDEX(Hizmetler!$B$5:$B$54,MATCH(D666,Hizmetler!$A$5:$A$54,0)),0)/1440)*1440,0)/1440)</f>
        <v/>
      </c>
      <c r="I666" s="19" t="str">
        <f aca="false">IF(OR(A666="",H666="",E666="İptal"),"",IF(COUNTIFS($A$5:$A$1004,A666,$B$5:$B$1004,"&lt;"&amp;(H666-0.0003),$H$5:$H$1004,"&gt;"&amp;(B666+0.0003),$E$5:$E$1004,"&lt;&gt;İptal")&gt;1,"Çakışıyor",""))</f>
        <v/>
      </c>
      <c r="J666" s="21" t="str">
        <f aca="false">IF(AND(A666=Gün!$C$3,B666&lt;&gt;"",E666&lt;&gt;"İptal"),B666+ROW()/100000000,"")</f>
        <v/>
      </c>
    </row>
    <row r="667" customFormat="false" ht="15" hidden="false" customHeight="false" outlineLevel="0" collapsed="false">
      <c r="A667" s="12"/>
      <c r="B667" s="13"/>
      <c r="C667" s="14"/>
      <c r="D667" s="14"/>
      <c r="E667" s="15"/>
      <c r="F667" s="16"/>
      <c r="G667" s="17" t="str">
        <f aca="false">IF(D667="","",IF(E667="Geldi",IF(F667="",IFERROR(INDEX(Hizmetler!$C$5:$C$54,MATCH(D667,Hizmetler!$A$5:$A$54,0)),0),F667),0))</f>
        <v/>
      </c>
      <c r="H667" s="18" t="str">
        <f aca="false">IF(OR(B667="",D667=""),"",ROUND((B667+IFERROR(INDEX(Hizmetler!$B$5:$B$54,MATCH(D667,Hizmetler!$A$5:$A$54,0)),0)/1440)*1440,0)/1440)</f>
        <v/>
      </c>
      <c r="I667" s="19" t="str">
        <f aca="false">IF(OR(A667="",H667="",E667="İptal"),"",IF(COUNTIFS($A$5:$A$1004,A667,$B$5:$B$1004,"&lt;"&amp;(H667-0.0003),$H$5:$H$1004,"&gt;"&amp;(B667+0.0003),$E$5:$E$1004,"&lt;&gt;İptal")&gt;1,"Çakışıyor",""))</f>
        <v/>
      </c>
      <c r="J667" s="21" t="str">
        <f aca="false">IF(AND(A667=Gün!$C$3,B667&lt;&gt;"",E667&lt;&gt;"İptal"),B667+ROW()/100000000,"")</f>
        <v/>
      </c>
    </row>
    <row r="668" customFormat="false" ht="15" hidden="false" customHeight="false" outlineLevel="0" collapsed="false">
      <c r="A668" s="12"/>
      <c r="B668" s="13"/>
      <c r="C668" s="14"/>
      <c r="D668" s="14"/>
      <c r="E668" s="15"/>
      <c r="F668" s="16"/>
      <c r="G668" s="17" t="str">
        <f aca="false">IF(D668="","",IF(E668="Geldi",IF(F668="",IFERROR(INDEX(Hizmetler!$C$5:$C$54,MATCH(D668,Hizmetler!$A$5:$A$54,0)),0),F668),0))</f>
        <v/>
      </c>
      <c r="H668" s="18" t="str">
        <f aca="false">IF(OR(B668="",D668=""),"",ROUND((B668+IFERROR(INDEX(Hizmetler!$B$5:$B$54,MATCH(D668,Hizmetler!$A$5:$A$54,0)),0)/1440)*1440,0)/1440)</f>
        <v/>
      </c>
      <c r="I668" s="19" t="str">
        <f aca="false">IF(OR(A668="",H668="",E668="İptal"),"",IF(COUNTIFS($A$5:$A$1004,A668,$B$5:$B$1004,"&lt;"&amp;(H668-0.0003),$H$5:$H$1004,"&gt;"&amp;(B668+0.0003),$E$5:$E$1004,"&lt;&gt;İptal")&gt;1,"Çakışıyor",""))</f>
        <v/>
      </c>
      <c r="J668" s="21" t="str">
        <f aca="false">IF(AND(A668=Gün!$C$3,B668&lt;&gt;"",E668&lt;&gt;"İptal"),B668+ROW()/100000000,"")</f>
        <v/>
      </c>
    </row>
    <row r="669" customFormat="false" ht="15" hidden="false" customHeight="false" outlineLevel="0" collapsed="false">
      <c r="A669" s="12"/>
      <c r="B669" s="13"/>
      <c r="C669" s="14"/>
      <c r="D669" s="14"/>
      <c r="E669" s="15"/>
      <c r="F669" s="16"/>
      <c r="G669" s="17" t="str">
        <f aca="false">IF(D669="","",IF(E669="Geldi",IF(F669="",IFERROR(INDEX(Hizmetler!$C$5:$C$54,MATCH(D669,Hizmetler!$A$5:$A$54,0)),0),F669),0))</f>
        <v/>
      </c>
      <c r="H669" s="18" t="str">
        <f aca="false">IF(OR(B669="",D669=""),"",ROUND((B669+IFERROR(INDEX(Hizmetler!$B$5:$B$54,MATCH(D669,Hizmetler!$A$5:$A$54,0)),0)/1440)*1440,0)/1440)</f>
        <v/>
      </c>
      <c r="I669" s="19" t="str">
        <f aca="false">IF(OR(A669="",H669="",E669="İptal"),"",IF(COUNTIFS($A$5:$A$1004,A669,$B$5:$B$1004,"&lt;"&amp;(H669-0.0003),$H$5:$H$1004,"&gt;"&amp;(B669+0.0003),$E$5:$E$1004,"&lt;&gt;İptal")&gt;1,"Çakışıyor",""))</f>
        <v/>
      </c>
      <c r="J669" s="21" t="str">
        <f aca="false">IF(AND(A669=Gün!$C$3,B669&lt;&gt;"",E669&lt;&gt;"İptal"),B669+ROW()/100000000,"")</f>
        <v/>
      </c>
    </row>
    <row r="670" customFormat="false" ht="15" hidden="false" customHeight="false" outlineLevel="0" collapsed="false">
      <c r="A670" s="12"/>
      <c r="B670" s="13"/>
      <c r="C670" s="14"/>
      <c r="D670" s="14"/>
      <c r="E670" s="15"/>
      <c r="F670" s="16"/>
      <c r="G670" s="17" t="str">
        <f aca="false">IF(D670="","",IF(E670="Geldi",IF(F670="",IFERROR(INDEX(Hizmetler!$C$5:$C$54,MATCH(D670,Hizmetler!$A$5:$A$54,0)),0),F670),0))</f>
        <v/>
      </c>
      <c r="H670" s="18" t="str">
        <f aca="false">IF(OR(B670="",D670=""),"",ROUND((B670+IFERROR(INDEX(Hizmetler!$B$5:$B$54,MATCH(D670,Hizmetler!$A$5:$A$54,0)),0)/1440)*1440,0)/1440)</f>
        <v/>
      </c>
      <c r="I670" s="19" t="str">
        <f aca="false">IF(OR(A670="",H670="",E670="İptal"),"",IF(COUNTIFS($A$5:$A$1004,A670,$B$5:$B$1004,"&lt;"&amp;(H670-0.0003),$H$5:$H$1004,"&gt;"&amp;(B670+0.0003),$E$5:$E$1004,"&lt;&gt;İptal")&gt;1,"Çakışıyor",""))</f>
        <v/>
      </c>
      <c r="J670" s="21" t="str">
        <f aca="false">IF(AND(A670=Gün!$C$3,B670&lt;&gt;"",E670&lt;&gt;"İptal"),B670+ROW()/100000000,"")</f>
        <v/>
      </c>
    </row>
    <row r="671" customFormat="false" ht="15" hidden="false" customHeight="false" outlineLevel="0" collapsed="false">
      <c r="A671" s="12"/>
      <c r="B671" s="13"/>
      <c r="C671" s="14"/>
      <c r="D671" s="14"/>
      <c r="E671" s="15"/>
      <c r="F671" s="16"/>
      <c r="G671" s="17" t="str">
        <f aca="false">IF(D671="","",IF(E671="Geldi",IF(F671="",IFERROR(INDEX(Hizmetler!$C$5:$C$54,MATCH(D671,Hizmetler!$A$5:$A$54,0)),0),F671),0))</f>
        <v/>
      </c>
      <c r="H671" s="18" t="str">
        <f aca="false">IF(OR(B671="",D671=""),"",ROUND((B671+IFERROR(INDEX(Hizmetler!$B$5:$B$54,MATCH(D671,Hizmetler!$A$5:$A$54,0)),0)/1440)*1440,0)/1440)</f>
        <v/>
      </c>
      <c r="I671" s="19" t="str">
        <f aca="false">IF(OR(A671="",H671="",E671="İptal"),"",IF(COUNTIFS($A$5:$A$1004,A671,$B$5:$B$1004,"&lt;"&amp;(H671-0.0003),$H$5:$H$1004,"&gt;"&amp;(B671+0.0003),$E$5:$E$1004,"&lt;&gt;İptal")&gt;1,"Çakışıyor",""))</f>
        <v/>
      </c>
      <c r="J671" s="21" t="str">
        <f aca="false">IF(AND(A671=Gün!$C$3,B671&lt;&gt;"",E671&lt;&gt;"İptal"),B671+ROW()/100000000,"")</f>
        <v/>
      </c>
    </row>
    <row r="672" customFormat="false" ht="15" hidden="false" customHeight="false" outlineLevel="0" collapsed="false">
      <c r="A672" s="12"/>
      <c r="B672" s="13"/>
      <c r="C672" s="14"/>
      <c r="D672" s="14"/>
      <c r="E672" s="15"/>
      <c r="F672" s="16"/>
      <c r="G672" s="17" t="str">
        <f aca="false">IF(D672="","",IF(E672="Geldi",IF(F672="",IFERROR(INDEX(Hizmetler!$C$5:$C$54,MATCH(D672,Hizmetler!$A$5:$A$54,0)),0),F672),0))</f>
        <v/>
      </c>
      <c r="H672" s="18" t="str">
        <f aca="false">IF(OR(B672="",D672=""),"",ROUND((B672+IFERROR(INDEX(Hizmetler!$B$5:$B$54,MATCH(D672,Hizmetler!$A$5:$A$54,0)),0)/1440)*1440,0)/1440)</f>
        <v/>
      </c>
      <c r="I672" s="19" t="str">
        <f aca="false">IF(OR(A672="",H672="",E672="İptal"),"",IF(COUNTIFS($A$5:$A$1004,A672,$B$5:$B$1004,"&lt;"&amp;(H672-0.0003),$H$5:$H$1004,"&gt;"&amp;(B672+0.0003),$E$5:$E$1004,"&lt;&gt;İptal")&gt;1,"Çakışıyor",""))</f>
        <v/>
      </c>
      <c r="J672" s="21" t="str">
        <f aca="false">IF(AND(A672=Gün!$C$3,B672&lt;&gt;"",E672&lt;&gt;"İptal"),B672+ROW()/100000000,"")</f>
        <v/>
      </c>
    </row>
    <row r="673" customFormat="false" ht="15" hidden="false" customHeight="false" outlineLevel="0" collapsed="false">
      <c r="A673" s="12"/>
      <c r="B673" s="13"/>
      <c r="C673" s="14"/>
      <c r="D673" s="14"/>
      <c r="E673" s="15"/>
      <c r="F673" s="16"/>
      <c r="G673" s="17" t="str">
        <f aca="false">IF(D673="","",IF(E673="Geldi",IF(F673="",IFERROR(INDEX(Hizmetler!$C$5:$C$54,MATCH(D673,Hizmetler!$A$5:$A$54,0)),0),F673),0))</f>
        <v/>
      </c>
      <c r="H673" s="18" t="str">
        <f aca="false">IF(OR(B673="",D673=""),"",ROUND((B673+IFERROR(INDEX(Hizmetler!$B$5:$B$54,MATCH(D673,Hizmetler!$A$5:$A$54,0)),0)/1440)*1440,0)/1440)</f>
        <v/>
      </c>
      <c r="I673" s="19" t="str">
        <f aca="false">IF(OR(A673="",H673="",E673="İptal"),"",IF(COUNTIFS($A$5:$A$1004,A673,$B$5:$B$1004,"&lt;"&amp;(H673-0.0003),$H$5:$H$1004,"&gt;"&amp;(B673+0.0003),$E$5:$E$1004,"&lt;&gt;İptal")&gt;1,"Çakışıyor",""))</f>
        <v/>
      </c>
      <c r="J673" s="21" t="str">
        <f aca="false">IF(AND(A673=Gün!$C$3,B673&lt;&gt;"",E673&lt;&gt;"İptal"),B673+ROW()/100000000,"")</f>
        <v/>
      </c>
    </row>
    <row r="674" customFormat="false" ht="15" hidden="false" customHeight="false" outlineLevel="0" collapsed="false">
      <c r="A674" s="12"/>
      <c r="B674" s="13"/>
      <c r="C674" s="14"/>
      <c r="D674" s="14"/>
      <c r="E674" s="15"/>
      <c r="F674" s="16"/>
      <c r="G674" s="17" t="str">
        <f aca="false">IF(D674="","",IF(E674="Geldi",IF(F674="",IFERROR(INDEX(Hizmetler!$C$5:$C$54,MATCH(D674,Hizmetler!$A$5:$A$54,0)),0),F674),0))</f>
        <v/>
      </c>
      <c r="H674" s="18" t="str">
        <f aca="false">IF(OR(B674="",D674=""),"",ROUND((B674+IFERROR(INDEX(Hizmetler!$B$5:$B$54,MATCH(D674,Hizmetler!$A$5:$A$54,0)),0)/1440)*1440,0)/1440)</f>
        <v/>
      </c>
      <c r="I674" s="19" t="str">
        <f aca="false">IF(OR(A674="",H674="",E674="İptal"),"",IF(COUNTIFS($A$5:$A$1004,A674,$B$5:$B$1004,"&lt;"&amp;(H674-0.0003),$H$5:$H$1004,"&gt;"&amp;(B674+0.0003),$E$5:$E$1004,"&lt;&gt;İptal")&gt;1,"Çakışıyor",""))</f>
        <v/>
      </c>
      <c r="J674" s="21" t="str">
        <f aca="false">IF(AND(A674=Gün!$C$3,B674&lt;&gt;"",E674&lt;&gt;"İptal"),B674+ROW()/100000000,"")</f>
        <v/>
      </c>
    </row>
    <row r="675" customFormat="false" ht="15" hidden="false" customHeight="false" outlineLevel="0" collapsed="false">
      <c r="A675" s="12"/>
      <c r="B675" s="13"/>
      <c r="C675" s="14"/>
      <c r="D675" s="14"/>
      <c r="E675" s="15"/>
      <c r="F675" s="16"/>
      <c r="G675" s="17" t="str">
        <f aca="false">IF(D675="","",IF(E675="Geldi",IF(F675="",IFERROR(INDEX(Hizmetler!$C$5:$C$54,MATCH(D675,Hizmetler!$A$5:$A$54,0)),0),F675),0))</f>
        <v/>
      </c>
      <c r="H675" s="18" t="str">
        <f aca="false">IF(OR(B675="",D675=""),"",ROUND((B675+IFERROR(INDEX(Hizmetler!$B$5:$B$54,MATCH(D675,Hizmetler!$A$5:$A$54,0)),0)/1440)*1440,0)/1440)</f>
        <v/>
      </c>
      <c r="I675" s="19" t="str">
        <f aca="false">IF(OR(A675="",H675="",E675="İptal"),"",IF(COUNTIFS($A$5:$A$1004,A675,$B$5:$B$1004,"&lt;"&amp;(H675-0.0003),$H$5:$H$1004,"&gt;"&amp;(B675+0.0003),$E$5:$E$1004,"&lt;&gt;İptal")&gt;1,"Çakışıyor",""))</f>
        <v/>
      </c>
      <c r="J675" s="21" t="str">
        <f aca="false">IF(AND(A675=Gün!$C$3,B675&lt;&gt;"",E675&lt;&gt;"İptal"),B675+ROW()/100000000,"")</f>
        <v/>
      </c>
    </row>
    <row r="676" customFormat="false" ht="15" hidden="false" customHeight="false" outlineLevel="0" collapsed="false">
      <c r="A676" s="12"/>
      <c r="B676" s="13"/>
      <c r="C676" s="14"/>
      <c r="D676" s="14"/>
      <c r="E676" s="15"/>
      <c r="F676" s="16"/>
      <c r="G676" s="17" t="str">
        <f aca="false">IF(D676="","",IF(E676="Geldi",IF(F676="",IFERROR(INDEX(Hizmetler!$C$5:$C$54,MATCH(D676,Hizmetler!$A$5:$A$54,0)),0),F676),0))</f>
        <v/>
      </c>
      <c r="H676" s="18" t="str">
        <f aca="false">IF(OR(B676="",D676=""),"",ROUND((B676+IFERROR(INDEX(Hizmetler!$B$5:$B$54,MATCH(D676,Hizmetler!$A$5:$A$54,0)),0)/1440)*1440,0)/1440)</f>
        <v/>
      </c>
      <c r="I676" s="19" t="str">
        <f aca="false">IF(OR(A676="",H676="",E676="İptal"),"",IF(COUNTIFS($A$5:$A$1004,A676,$B$5:$B$1004,"&lt;"&amp;(H676-0.0003),$H$5:$H$1004,"&gt;"&amp;(B676+0.0003),$E$5:$E$1004,"&lt;&gt;İptal")&gt;1,"Çakışıyor",""))</f>
        <v/>
      </c>
      <c r="J676" s="21" t="str">
        <f aca="false">IF(AND(A676=Gün!$C$3,B676&lt;&gt;"",E676&lt;&gt;"İptal"),B676+ROW()/100000000,"")</f>
        <v/>
      </c>
    </row>
    <row r="677" customFormat="false" ht="15" hidden="false" customHeight="false" outlineLevel="0" collapsed="false">
      <c r="A677" s="12"/>
      <c r="B677" s="13"/>
      <c r="C677" s="14"/>
      <c r="D677" s="14"/>
      <c r="E677" s="15"/>
      <c r="F677" s="16"/>
      <c r="G677" s="17" t="str">
        <f aca="false">IF(D677="","",IF(E677="Geldi",IF(F677="",IFERROR(INDEX(Hizmetler!$C$5:$C$54,MATCH(D677,Hizmetler!$A$5:$A$54,0)),0),F677),0))</f>
        <v/>
      </c>
      <c r="H677" s="18" t="str">
        <f aca="false">IF(OR(B677="",D677=""),"",ROUND((B677+IFERROR(INDEX(Hizmetler!$B$5:$B$54,MATCH(D677,Hizmetler!$A$5:$A$54,0)),0)/1440)*1440,0)/1440)</f>
        <v/>
      </c>
      <c r="I677" s="19" t="str">
        <f aca="false">IF(OR(A677="",H677="",E677="İptal"),"",IF(COUNTIFS($A$5:$A$1004,A677,$B$5:$B$1004,"&lt;"&amp;(H677-0.0003),$H$5:$H$1004,"&gt;"&amp;(B677+0.0003),$E$5:$E$1004,"&lt;&gt;İptal")&gt;1,"Çakışıyor",""))</f>
        <v/>
      </c>
      <c r="J677" s="21" t="str">
        <f aca="false">IF(AND(A677=Gün!$C$3,B677&lt;&gt;"",E677&lt;&gt;"İptal"),B677+ROW()/100000000,"")</f>
        <v/>
      </c>
    </row>
    <row r="678" customFormat="false" ht="15" hidden="false" customHeight="false" outlineLevel="0" collapsed="false">
      <c r="A678" s="12"/>
      <c r="B678" s="13"/>
      <c r="C678" s="14"/>
      <c r="D678" s="14"/>
      <c r="E678" s="15"/>
      <c r="F678" s="16"/>
      <c r="G678" s="17" t="str">
        <f aca="false">IF(D678="","",IF(E678="Geldi",IF(F678="",IFERROR(INDEX(Hizmetler!$C$5:$C$54,MATCH(D678,Hizmetler!$A$5:$A$54,0)),0),F678),0))</f>
        <v/>
      </c>
      <c r="H678" s="18" t="str">
        <f aca="false">IF(OR(B678="",D678=""),"",ROUND((B678+IFERROR(INDEX(Hizmetler!$B$5:$B$54,MATCH(D678,Hizmetler!$A$5:$A$54,0)),0)/1440)*1440,0)/1440)</f>
        <v/>
      </c>
      <c r="I678" s="19" t="str">
        <f aca="false">IF(OR(A678="",H678="",E678="İptal"),"",IF(COUNTIFS($A$5:$A$1004,A678,$B$5:$B$1004,"&lt;"&amp;(H678-0.0003),$H$5:$H$1004,"&gt;"&amp;(B678+0.0003),$E$5:$E$1004,"&lt;&gt;İptal")&gt;1,"Çakışıyor",""))</f>
        <v/>
      </c>
      <c r="J678" s="21" t="str">
        <f aca="false">IF(AND(A678=Gün!$C$3,B678&lt;&gt;"",E678&lt;&gt;"İptal"),B678+ROW()/100000000,"")</f>
        <v/>
      </c>
    </row>
    <row r="679" customFormat="false" ht="15" hidden="false" customHeight="false" outlineLevel="0" collapsed="false">
      <c r="A679" s="12"/>
      <c r="B679" s="13"/>
      <c r="C679" s="14"/>
      <c r="D679" s="14"/>
      <c r="E679" s="15"/>
      <c r="F679" s="16"/>
      <c r="G679" s="17" t="str">
        <f aca="false">IF(D679="","",IF(E679="Geldi",IF(F679="",IFERROR(INDEX(Hizmetler!$C$5:$C$54,MATCH(D679,Hizmetler!$A$5:$A$54,0)),0),F679),0))</f>
        <v/>
      </c>
      <c r="H679" s="18" t="str">
        <f aca="false">IF(OR(B679="",D679=""),"",ROUND((B679+IFERROR(INDEX(Hizmetler!$B$5:$B$54,MATCH(D679,Hizmetler!$A$5:$A$54,0)),0)/1440)*1440,0)/1440)</f>
        <v/>
      </c>
      <c r="I679" s="19" t="str">
        <f aca="false">IF(OR(A679="",H679="",E679="İptal"),"",IF(COUNTIFS($A$5:$A$1004,A679,$B$5:$B$1004,"&lt;"&amp;(H679-0.0003),$H$5:$H$1004,"&gt;"&amp;(B679+0.0003),$E$5:$E$1004,"&lt;&gt;İptal")&gt;1,"Çakışıyor",""))</f>
        <v/>
      </c>
      <c r="J679" s="21" t="str">
        <f aca="false">IF(AND(A679=Gün!$C$3,B679&lt;&gt;"",E679&lt;&gt;"İptal"),B679+ROW()/100000000,"")</f>
        <v/>
      </c>
    </row>
    <row r="680" customFormat="false" ht="15" hidden="false" customHeight="false" outlineLevel="0" collapsed="false">
      <c r="A680" s="12"/>
      <c r="B680" s="13"/>
      <c r="C680" s="14"/>
      <c r="D680" s="14"/>
      <c r="E680" s="15"/>
      <c r="F680" s="16"/>
      <c r="G680" s="17" t="str">
        <f aca="false">IF(D680="","",IF(E680="Geldi",IF(F680="",IFERROR(INDEX(Hizmetler!$C$5:$C$54,MATCH(D680,Hizmetler!$A$5:$A$54,0)),0),F680),0))</f>
        <v/>
      </c>
      <c r="H680" s="18" t="str">
        <f aca="false">IF(OR(B680="",D680=""),"",ROUND((B680+IFERROR(INDEX(Hizmetler!$B$5:$B$54,MATCH(D680,Hizmetler!$A$5:$A$54,0)),0)/1440)*1440,0)/1440)</f>
        <v/>
      </c>
      <c r="I680" s="19" t="str">
        <f aca="false">IF(OR(A680="",H680="",E680="İptal"),"",IF(COUNTIFS($A$5:$A$1004,A680,$B$5:$B$1004,"&lt;"&amp;(H680-0.0003),$H$5:$H$1004,"&gt;"&amp;(B680+0.0003),$E$5:$E$1004,"&lt;&gt;İptal")&gt;1,"Çakışıyor",""))</f>
        <v/>
      </c>
      <c r="J680" s="21" t="str">
        <f aca="false">IF(AND(A680=Gün!$C$3,B680&lt;&gt;"",E680&lt;&gt;"İptal"),B680+ROW()/100000000,"")</f>
        <v/>
      </c>
    </row>
    <row r="681" customFormat="false" ht="15" hidden="false" customHeight="false" outlineLevel="0" collapsed="false">
      <c r="A681" s="12"/>
      <c r="B681" s="13"/>
      <c r="C681" s="14"/>
      <c r="D681" s="14"/>
      <c r="E681" s="15"/>
      <c r="F681" s="16"/>
      <c r="G681" s="17" t="str">
        <f aca="false">IF(D681="","",IF(E681="Geldi",IF(F681="",IFERROR(INDEX(Hizmetler!$C$5:$C$54,MATCH(D681,Hizmetler!$A$5:$A$54,0)),0),F681),0))</f>
        <v/>
      </c>
      <c r="H681" s="18" t="str">
        <f aca="false">IF(OR(B681="",D681=""),"",ROUND((B681+IFERROR(INDEX(Hizmetler!$B$5:$B$54,MATCH(D681,Hizmetler!$A$5:$A$54,0)),0)/1440)*1440,0)/1440)</f>
        <v/>
      </c>
      <c r="I681" s="19" t="str">
        <f aca="false">IF(OR(A681="",H681="",E681="İptal"),"",IF(COUNTIFS($A$5:$A$1004,A681,$B$5:$B$1004,"&lt;"&amp;(H681-0.0003),$H$5:$H$1004,"&gt;"&amp;(B681+0.0003),$E$5:$E$1004,"&lt;&gt;İptal")&gt;1,"Çakışıyor",""))</f>
        <v/>
      </c>
      <c r="J681" s="21" t="str">
        <f aca="false">IF(AND(A681=Gün!$C$3,B681&lt;&gt;"",E681&lt;&gt;"İptal"),B681+ROW()/100000000,"")</f>
        <v/>
      </c>
    </row>
    <row r="682" customFormat="false" ht="15" hidden="false" customHeight="false" outlineLevel="0" collapsed="false">
      <c r="A682" s="12"/>
      <c r="B682" s="13"/>
      <c r="C682" s="14"/>
      <c r="D682" s="14"/>
      <c r="E682" s="15"/>
      <c r="F682" s="16"/>
      <c r="G682" s="17" t="str">
        <f aca="false">IF(D682="","",IF(E682="Geldi",IF(F682="",IFERROR(INDEX(Hizmetler!$C$5:$C$54,MATCH(D682,Hizmetler!$A$5:$A$54,0)),0),F682),0))</f>
        <v/>
      </c>
      <c r="H682" s="18" t="str">
        <f aca="false">IF(OR(B682="",D682=""),"",ROUND((B682+IFERROR(INDEX(Hizmetler!$B$5:$B$54,MATCH(D682,Hizmetler!$A$5:$A$54,0)),0)/1440)*1440,0)/1440)</f>
        <v/>
      </c>
      <c r="I682" s="19" t="str">
        <f aca="false">IF(OR(A682="",H682="",E682="İptal"),"",IF(COUNTIFS($A$5:$A$1004,A682,$B$5:$B$1004,"&lt;"&amp;(H682-0.0003),$H$5:$H$1004,"&gt;"&amp;(B682+0.0003),$E$5:$E$1004,"&lt;&gt;İptal")&gt;1,"Çakışıyor",""))</f>
        <v/>
      </c>
      <c r="J682" s="21" t="str">
        <f aca="false">IF(AND(A682=Gün!$C$3,B682&lt;&gt;"",E682&lt;&gt;"İptal"),B682+ROW()/100000000,"")</f>
        <v/>
      </c>
    </row>
    <row r="683" customFormat="false" ht="15" hidden="false" customHeight="false" outlineLevel="0" collapsed="false">
      <c r="A683" s="12"/>
      <c r="B683" s="13"/>
      <c r="C683" s="14"/>
      <c r="D683" s="14"/>
      <c r="E683" s="15"/>
      <c r="F683" s="16"/>
      <c r="G683" s="17" t="str">
        <f aca="false">IF(D683="","",IF(E683="Geldi",IF(F683="",IFERROR(INDEX(Hizmetler!$C$5:$C$54,MATCH(D683,Hizmetler!$A$5:$A$54,0)),0),F683),0))</f>
        <v/>
      </c>
      <c r="H683" s="18" t="str">
        <f aca="false">IF(OR(B683="",D683=""),"",ROUND((B683+IFERROR(INDEX(Hizmetler!$B$5:$B$54,MATCH(D683,Hizmetler!$A$5:$A$54,0)),0)/1440)*1440,0)/1440)</f>
        <v/>
      </c>
      <c r="I683" s="19" t="str">
        <f aca="false">IF(OR(A683="",H683="",E683="İptal"),"",IF(COUNTIFS($A$5:$A$1004,A683,$B$5:$B$1004,"&lt;"&amp;(H683-0.0003),$H$5:$H$1004,"&gt;"&amp;(B683+0.0003),$E$5:$E$1004,"&lt;&gt;İptal")&gt;1,"Çakışıyor",""))</f>
        <v/>
      </c>
      <c r="J683" s="21" t="str">
        <f aca="false">IF(AND(A683=Gün!$C$3,B683&lt;&gt;"",E683&lt;&gt;"İptal"),B683+ROW()/100000000,"")</f>
        <v/>
      </c>
    </row>
    <row r="684" customFormat="false" ht="15" hidden="false" customHeight="false" outlineLevel="0" collapsed="false">
      <c r="A684" s="12"/>
      <c r="B684" s="13"/>
      <c r="C684" s="14"/>
      <c r="D684" s="14"/>
      <c r="E684" s="15"/>
      <c r="F684" s="16"/>
      <c r="G684" s="17" t="str">
        <f aca="false">IF(D684="","",IF(E684="Geldi",IF(F684="",IFERROR(INDEX(Hizmetler!$C$5:$C$54,MATCH(D684,Hizmetler!$A$5:$A$54,0)),0),F684),0))</f>
        <v/>
      </c>
      <c r="H684" s="18" t="str">
        <f aca="false">IF(OR(B684="",D684=""),"",ROUND((B684+IFERROR(INDEX(Hizmetler!$B$5:$B$54,MATCH(D684,Hizmetler!$A$5:$A$54,0)),0)/1440)*1440,0)/1440)</f>
        <v/>
      </c>
      <c r="I684" s="19" t="str">
        <f aca="false">IF(OR(A684="",H684="",E684="İptal"),"",IF(COUNTIFS($A$5:$A$1004,A684,$B$5:$B$1004,"&lt;"&amp;(H684-0.0003),$H$5:$H$1004,"&gt;"&amp;(B684+0.0003),$E$5:$E$1004,"&lt;&gt;İptal")&gt;1,"Çakışıyor",""))</f>
        <v/>
      </c>
      <c r="J684" s="21" t="str">
        <f aca="false">IF(AND(A684=Gün!$C$3,B684&lt;&gt;"",E684&lt;&gt;"İptal"),B684+ROW()/100000000,"")</f>
        <v/>
      </c>
    </row>
    <row r="685" customFormat="false" ht="15" hidden="false" customHeight="false" outlineLevel="0" collapsed="false">
      <c r="A685" s="12"/>
      <c r="B685" s="13"/>
      <c r="C685" s="14"/>
      <c r="D685" s="14"/>
      <c r="E685" s="15"/>
      <c r="F685" s="16"/>
      <c r="G685" s="17" t="str">
        <f aca="false">IF(D685="","",IF(E685="Geldi",IF(F685="",IFERROR(INDEX(Hizmetler!$C$5:$C$54,MATCH(D685,Hizmetler!$A$5:$A$54,0)),0),F685),0))</f>
        <v/>
      </c>
      <c r="H685" s="18" t="str">
        <f aca="false">IF(OR(B685="",D685=""),"",ROUND((B685+IFERROR(INDEX(Hizmetler!$B$5:$B$54,MATCH(D685,Hizmetler!$A$5:$A$54,0)),0)/1440)*1440,0)/1440)</f>
        <v/>
      </c>
      <c r="I685" s="19" t="str">
        <f aca="false">IF(OR(A685="",H685="",E685="İptal"),"",IF(COUNTIFS($A$5:$A$1004,A685,$B$5:$B$1004,"&lt;"&amp;(H685-0.0003),$H$5:$H$1004,"&gt;"&amp;(B685+0.0003),$E$5:$E$1004,"&lt;&gt;İptal")&gt;1,"Çakışıyor",""))</f>
        <v/>
      </c>
      <c r="J685" s="21" t="str">
        <f aca="false">IF(AND(A685=Gün!$C$3,B685&lt;&gt;"",E685&lt;&gt;"İptal"),B685+ROW()/100000000,"")</f>
        <v/>
      </c>
    </row>
    <row r="686" customFormat="false" ht="15" hidden="false" customHeight="false" outlineLevel="0" collapsed="false">
      <c r="A686" s="12"/>
      <c r="B686" s="13"/>
      <c r="C686" s="14"/>
      <c r="D686" s="14"/>
      <c r="E686" s="15"/>
      <c r="F686" s="16"/>
      <c r="G686" s="17" t="str">
        <f aca="false">IF(D686="","",IF(E686="Geldi",IF(F686="",IFERROR(INDEX(Hizmetler!$C$5:$C$54,MATCH(D686,Hizmetler!$A$5:$A$54,0)),0),F686),0))</f>
        <v/>
      </c>
      <c r="H686" s="18" t="str">
        <f aca="false">IF(OR(B686="",D686=""),"",ROUND((B686+IFERROR(INDEX(Hizmetler!$B$5:$B$54,MATCH(D686,Hizmetler!$A$5:$A$54,0)),0)/1440)*1440,0)/1440)</f>
        <v/>
      </c>
      <c r="I686" s="19" t="str">
        <f aca="false">IF(OR(A686="",H686="",E686="İptal"),"",IF(COUNTIFS($A$5:$A$1004,A686,$B$5:$B$1004,"&lt;"&amp;(H686-0.0003),$H$5:$H$1004,"&gt;"&amp;(B686+0.0003),$E$5:$E$1004,"&lt;&gt;İptal")&gt;1,"Çakışıyor",""))</f>
        <v/>
      </c>
      <c r="J686" s="21" t="str">
        <f aca="false">IF(AND(A686=Gün!$C$3,B686&lt;&gt;"",E686&lt;&gt;"İptal"),B686+ROW()/100000000,"")</f>
        <v/>
      </c>
    </row>
    <row r="687" customFormat="false" ht="15" hidden="false" customHeight="false" outlineLevel="0" collapsed="false">
      <c r="A687" s="12"/>
      <c r="B687" s="13"/>
      <c r="C687" s="14"/>
      <c r="D687" s="14"/>
      <c r="E687" s="15"/>
      <c r="F687" s="16"/>
      <c r="G687" s="17" t="str">
        <f aca="false">IF(D687="","",IF(E687="Geldi",IF(F687="",IFERROR(INDEX(Hizmetler!$C$5:$C$54,MATCH(D687,Hizmetler!$A$5:$A$54,0)),0),F687),0))</f>
        <v/>
      </c>
      <c r="H687" s="18" t="str">
        <f aca="false">IF(OR(B687="",D687=""),"",ROUND((B687+IFERROR(INDEX(Hizmetler!$B$5:$B$54,MATCH(D687,Hizmetler!$A$5:$A$54,0)),0)/1440)*1440,0)/1440)</f>
        <v/>
      </c>
      <c r="I687" s="19" t="str">
        <f aca="false">IF(OR(A687="",H687="",E687="İptal"),"",IF(COUNTIFS($A$5:$A$1004,A687,$B$5:$B$1004,"&lt;"&amp;(H687-0.0003),$H$5:$H$1004,"&gt;"&amp;(B687+0.0003),$E$5:$E$1004,"&lt;&gt;İptal")&gt;1,"Çakışıyor",""))</f>
        <v/>
      </c>
      <c r="J687" s="21" t="str">
        <f aca="false">IF(AND(A687=Gün!$C$3,B687&lt;&gt;"",E687&lt;&gt;"İptal"),B687+ROW()/100000000,"")</f>
        <v/>
      </c>
    </row>
    <row r="688" customFormat="false" ht="15" hidden="false" customHeight="false" outlineLevel="0" collapsed="false">
      <c r="A688" s="12"/>
      <c r="B688" s="13"/>
      <c r="C688" s="14"/>
      <c r="D688" s="14"/>
      <c r="E688" s="15"/>
      <c r="F688" s="16"/>
      <c r="G688" s="17" t="str">
        <f aca="false">IF(D688="","",IF(E688="Geldi",IF(F688="",IFERROR(INDEX(Hizmetler!$C$5:$C$54,MATCH(D688,Hizmetler!$A$5:$A$54,0)),0),F688),0))</f>
        <v/>
      </c>
      <c r="H688" s="18" t="str">
        <f aca="false">IF(OR(B688="",D688=""),"",ROUND((B688+IFERROR(INDEX(Hizmetler!$B$5:$B$54,MATCH(D688,Hizmetler!$A$5:$A$54,0)),0)/1440)*1440,0)/1440)</f>
        <v/>
      </c>
      <c r="I688" s="19" t="str">
        <f aca="false">IF(OR(A688="",H688="",E688="İptal"),"",IF(COUNTIFS($A$5:$A$1004,A688,$B$5:$B$1004,"&lt;"&amp;(H688-0.0003),$H$5:$H$1004,"&gt;"&amp;(B688+0.0003),$E$5:$E$1004,"&lt;&gt;İptal")&gt;1,"Çakışıyor",""))</f>
        <v/>
      </c>
      <c r="J688" s="21" t="str">
        <f aca="false">IF(AND(A688=Gün!$C$3,B688&lt;&gt;"",E688&lt;&gt;"İptal"),B688+ROW()/100000000,"")</f>
        <v/>
      </c>
    </row>
    <row r="689" customFormat="false" ht="15" hidden="false" customHeight="false" outlineLevel="0" collapsed="false">
      <c r="A689" s="12"/>
      <c r="B689" s="13"/>
      <c r="C689" s="14"/>
      <c r="D689" s="14"/>
      <c r="E689" s="15"/>
      <c r="F689" s="16"/>
      <c r="G689" s="17" t="str">
        <f aca="false">IF(D689="","",IF(E689="Geldi",IF(F689="",IFERROR(INDEX(Hizmetler!$C$5:$C$54,MATCH(D689,Hizmetler!$A$5:$A$54,0)),0),F689),0))</f>
        <v/>
      </c>
      <c r="H689" s="18" t="str">
        <f aca="false">IF(OR(B689="",D689=""),"",ROUND((B689+IFERROR(INDEX(Hizmetler!$B$5:$B$54,MATCH(D689,Hizmetler!$A$5:$A$54,0)),0)/1440)*1440,0)/1440)</f>
        <v/>
      </c>
      <c r="I689" s="19" t="str">
        <f aca="false">IF(OR(A689="",H689="",E689="İptal"),"",IF(COUNTIFS($A$5:$A$1004,A689,$B$5:$B$1004,"&lt;"&amp;(H689-0.0003),$H$5:$H$1004,"&gt;"&amp;(B689+0.0003),$E$5:$E$1004,"&lt;&gt;İptal")&gt;1,"Çakışıyor",""))</f>
        <v/>
      </c>
      <c r="J689" s="21" t="str">
        <f aca="false">IF(AND(A689=Gün!$C$3,B689&lt;&gt;"",E689&lt;&gt;"İptal"),B689+ROW()/100000000,"")</f>
        <v/>
      </c>
    </row>
    <row r="690" customFormat="false" ht="15" hidden="false" customHeight="false" outlineLevel="0" collapsed="false">
      <c r="A690" s="12"/>
      <c r="B690" s="13"/>
      <c r="C690" s="14"/>
      <c r="D690" s="14"/>
      <c r="E690" s="15"/>
      <c r="F690" s="16"/>
      <c r="G690" s="17" t="str">
        <f aca="false">IF(D690="","",IF(E690="Geldi",IF(F690="",IFERROR(INDEX(Hizmetler!$C$5:$C$54,MATCH(D690,Hizmetler!$A$5:$A$54,0)),0),F690),0))</f>
        <v/>
      </c>
      <c r="H690" s="18" t="str">
        <f aca="false">IF(OR(B690="",D690=""),"",ROUND((B690+IFERROR(INDEX(Hizmetler!$B$5:$B$54,MATCH(D690,Hizmetler!$A$5:$A$54,0)),0)/1440)*1440,0)/1440)</f>
        <v/>
      </c>
      <c r="I690" s="19" t="str">
        <f aca="false">IF(OR(A690="",H690="",E690="İptal"),"",IF(COUNTIFS($A$5:$A$1004,A690,$B$5:$B$1004,"&lt;"&amp;(H690-0.0003),$H$5:$H$1004,"&gt;"&amp;(B690+0.0003),$E$5:$E$1004,"&lt;&gt;İptal")&gt;1,"Çakışıyor",""))</f>
        <v/>
      </c>
      <c r="J690" s="21" t="str">
        <f aca="false">IF(AND(A690=Gün!$C$3,B690&lt;&gt;"",E690&lt;&gt;"İptal"),B690+ROW()/100000000,"")</f>
        <v/>
      </c>
    </row>
    <row r="691" customFormat="false" ht="15" hidden="false" customHeight="false" outlineLevel="0" collapsed="false">
      <c r="A691" s="12"/>
      <c r="B691" s="13"/>
      <c r="C691" s="14"/>
      <c r="D691" s="14"/>
      <c r="E691" s="15"/>
      <c r="F691" s="16"/>
      <c r="G691" s="17" t="str">
        <f aca="false">IF(D691="","",IF(E691="Geldi",IF(F691="",IFERROR(INDEX(Hizmetler!$C$5:$C$54,MATCH(D691,Hizmetler!$A$5:$A$54,0)),0),F691),0))</f>
        <v/>
      </c>
      <c r="H691" s="18" t="str">
        <f aca="false">IF(OR(B691="",D691=""),"",ROUND((B691+IFERROR(INDEX(Hizmetler!$B$5:$B$54,MATCH(D691,Hizmetler!$A$5:$A$54,0)),0)/1440)*1440,0)/1440)</f>
        <v/>
      </c>
      <c r="I691" s="19" t="str">
        <f aca="false">IF(OR(A691="",H691="",E691="İptal"),"",IF(COUNTIFS($A$5:$A$1004,A691,$B$5:$B$1004,"&lt;"&amp;(H691-0.0003),$H$5:$H$1004,"&gt;"&amp;(B691+0.0003),$E$5:$E$1004,"&lt;&gt;İptal")&gt;1,"Çakışıyor",""))</f>
        <v/>
      </c>
      <c r="J691" s="21" t="str">
        <f aca="false">IF(AND(A691=Gün!$C$3,B691&lt;&gt;"",E691&lt;&gt;"İptal"),B691+ROW()/100000000,"")</f>
        <v/>
      </c>
    </row>
    <row r="692" customFormat="false" ht="15" hidden="false" customHeight="false" outlineLevel="0" collapsed="false">
      <c r="A692" s="12"/>
      <c r="B692" s="13"/>
      <c r="C692" s="14"/>
      <c r="D692" s="14"/>
      <c r="E692" s="15"/>
      <c r="F692" s="16"/>
      <c r="G692" s="17" t="str">
        <f aca="false">IF(D692="","",IF(E692="Geldi",IF(F692="",IFERROR(INDEX(Hizmetler!$C$5:$C$54,MATCH(D692,Hizmetler!$A$5:$A$54,0)),0),F692),0))</f>
        <v/>
      </c>
      <c r="H692" s="18" t="str">
        <f aca="false">IF(OR(B692="",D692=""),"",ROUND((B692+IFERROR(INDEX(Hizmetler!$B$5:$B$54,MATCH(D692,Hizmetler!$A$5:$A$54,0)),0)/1440)*1440,0)/1440)</f>
        <v/>
      </c>
      <c r="I692" s="19" t="str">
        <f aca="false">IF(OR(A692="",H692="",E692="İptal"),"",IF(COUNTIFS($A$5:$A$1004,A692,$B$5:$B$1004,"&lt;"&amp;(H692-0.0003),$H$5:$H$1004,"&gt;"&amp;(B692+0.0003),$E$5:$E$1004,"&lt;&gt;İptal")&gt;1,"Çakışıyor",""))</f>
        <v/>
      </c>
      <c r="J692" s="21" t="str">
        <f aca="false">IF(AND(A692=Gün!$C$3,B692&lt;&gt;"",E692&lt;&gt;"İptal"),B692+ROW()/100000000,"")</f>
        <v/>
      </c>
    </row>
    <row r="693" customFormat="false" ht="15" hidden="false" customHeight="false" outlineLevel="0" collapsed="false">
      <c r="A693" s="12"/>
      <c r="B693" s="13"/>
      <c r="C693" s="14"/>
      <c r="D693" s="14"/>
      <c r="E693" s="15"/>
      <c r="F693" s="16"/>
      <c r="G693" s="17" t="str">
        <f aca="false">IF(D693="","",IF(E693="Geldi",IF(F693="",IFERROR(INDEX(Hizmetler!$C$5:$C$54,MATCH(D693,Hizmetler!$A$5:$A$54,0)),0),F693),0))</f>
        <v/>
      </c>
      <c r="H693" s="18" t="str">
        <f aca="false">IF(OR(B693="",D693=""),"",ROUND((B693+IFERROR(INDEX(Hizmetler!$B$5:$B$54,MATCH(D693,Hizmetler!$A$5:$A$54,0)),0)/1440)*1440,0)/1440)</f>
        <v/>
      </c>
      <c r="I693" s="19" t="str">
        <f aca="false">IF(OR(A693="",H693="",E693="İptal"),"",IF(COUNTIFS($A$5:$A$1004,A693,$B$5:$B$1004,"&lt;"&amp;(H693-0.0003),$H$5:$H$1004,"&gt;"&amp;(B693+0.0003),$E$5:$E$1004,"&lt;&gt;İptal")&gt;1,"Çakışıyor",""))</f>
        <v/>
      </c>
      <c r="J693" s="21" t="str">
        <f aca="false">IF(AND(A693=Gün!$C$3,B693&lt;&gt;"",E693&lt;&gt;"İptal"),B693+ROW()/100000000,"")</f>
        <v/>
      </c>
    </row>
    <row r="694" customFormat="false" ht="15" hidden="false" customHeight="false" outlineLevel="0" collapsed="false">
      <c r="A694" s="12"/>
      <c r="B694" s="13"/>
      <c r="C694" s="14"/>
      <c r="D694" s="14"/>
      <c r="E694" s="15"/>
      <c r="F694" s="16"/>
      <c r="G694" s="17" t="str">
        <f aca="false">IF(D694="","",IF(E694="Geldi",IF(F694="",IFERROR(INDEX(Hizmetler!$C$5:$C$54,MATCH(D694,Hizmetler!$A$5:$A$54,0)),0),F694),0))</f>
        <v/>
      </c>
      <c r="H694" s="18" t="str">
        <f aca="false">IF(OR(B694="",D694=""),"",ROUND((B694+IFERROR(INDEX(Hizmetler!$B$5:$B$54,MATCH(D694,Hizmetler!$A$5:$A$54,0)),0)/1440)*1440,0)/1440)</f>
        <v/>
      </c>
      <c r="I694" s="19" t="str">
        <f aca="false">IF(OR(A694="",H694="",E694="İptal"),"",IF(COUNTIFS($A$5:$A$1004,A694,$B$5:$B$1004,"&lt;"&amp;(H694-0.0003),$H$5:$H$1004,"&gt;"&amp;(B694+0.0003),$E$5:$E$1004,"&lt;&gt;İptal")&gt;1,"Çakışıyor",""))</f>
        <v/>
      </c>
      <c r="J694" s="21" t="str">
        <f aca="false">IF(AND(A694=Gün!$C$3,B694&lt;&gt;"",E694&lt;&gt;"İptal"),B694+ROW()/100000000,"")</f>
        <v/>
      </c>
    </row>
    <row r="695" customFormat="false" ht="15" hidden="false" customHeight="false" outlineLevel="0" collapsed="false">
      <c r="A695" s="12"/>
      <c r="B695" s="13"/>
      <c r="C695" s="14"/>
      <c r="D695" s="14"/>
      <c r="E695" s="15"/>
      <c r="F695" s="16"/>
      <c r="G695" s="17" t="str">
        <f aca="false">IF(D695="","",IF(E695="Geldi",IF(F695="",IFERROR(INDEX(Hizmetler!$C$5:$C$54,MATCH(D695,Hizmetler!$A$5:$A$54,0)),0),F695),0))</f>
        <v/>
      </c>
      <c r="H695" s="18" t="str">
        <f aca="false">IF(OR(B695="",D695=""),"",ROUND((B695+IFERROR(INDEX(Hizmetler!$B$5:$B$54,MATCH(D695,Hizmetler!$A$5:$A$54,0)),0)/1440)*1440,0)/1440)</f>
        <v/>
      </c>
      <c r="I695" s="19" t="str">
        <f aca="false">IF(OR(A695="",H695="",E695="İptal"),"",IF(COUNTIFS($A$5:$A$1004,A695,$B$5:$B$1004,"&lt;"&amp;(H695-0.0003),$H$5:$H$1004,"&gt;"&amp;(B695+0.0003),$E$5:$E$1004,"&lt;&gt;İptal")&gt;1,"Çakışıyor",""))</f>
        <v/>
      </c>
      <c r="J695" s="21" t="str">
        <f aca="false">IF(AND(A695=Gün!$C$3,B695&lt;&gt;"",E695&lt;&gt;"İptal"),B695+ROW()/100000000,"")</f>
        <v/>
      </c>
    </row>
    <row r="696" customFormat="false" ht="15" hidden="false" customHeight="false" outlineLevel="0" collapsed="false">
      <c r="A696" s="12"/>
      <c r="B696" s="13"/>
      <c r="C696" s="14"/>
      <c r="D696" s="14"/>
      <c r="E696" s="15"/>
      <c r="F696" s="16"/>
      <c r="G696" s="17" t="str">
        <f aca="false">IF(D696="","",IF(E696="Geldi",IF(F696="",IFERROR(INDEX(Hizmetler!$C$5:$C$54,MATCH(D696,Hizmetler!$A$5:$A$54,0)),0),F696),0))</f>
        <v/>
      </c>
      <c r="H696" s="18" t="str">
        <f aca="false">IF(OR(B696="",D696=""),"",ROUND((B696+IFERROR(INDEX(Hizmetler!$B$5:$B$54,MATCH(D696,Hizmetler!$A$5:$A$54,0)),0)/1440)*1440,0)/1440)</f>
        <v/>
      </c>
      <c r="I696" s="19" t="str">
        <f aca="false">IF(OR(A696="",H696="",E696="İptal"),"",IF(COUNTIFS($A$5:$A$1004,A696,$B$5:$B$1004,"&lt;"&amp;(H696-0.0003),$H$5:$H$1004,"&gt;"&amp;(B696+0.0003),$E$5:$E$1004,"&lt;&gt;İptal")&gt;1,"Çakışıyor",""))</f>
        <v/>
      </c>
      <c r="J696" s="21" t="str">
        <f aca="false">IF(AND(A696=Gün!$C$3,B696&lt;&gt;"",E696&lt;&gt;"İptal"),B696+ROW()/100000000,"")</f>
        <v/>
      </c>
    </row>
    <row r="697" customFormat="false" ht="15" hidden="false" customHeight="false" outlineLevel="0" collapsed="false">
      <c r="A697" s="12"/>
      <c r="B697" s="13"/>
      <c r="C697" s="14"/>
      <c r="D697" s="14"/>
      <c r="E697" s="15"/>
      <c r="F697" s="16"/>
      <c r="G697" s="17" t="str">
        <f aca="false">IF(D697="","",IF(E697="Geldi",IF(F697="",IFERROR(INDEX(Hizmetler!$C$5:$C$54,MATCH(D697,Hizmetler!$A$5:$A$54,0)),0),F697),0))</f>
        <v/>
      </c>
      <c r="H697" s="18" t="str">
        <f aca="false">IF(OR(B697="",D697=""),"",ROUND((B697+IFERROR(INDEX(Hizmetler!$B$5:$B$54,MATCH(D697,Hizmetler!$A$5:$A$54,0)),0)/1440)*1440,0)/1440)</f>
        <v/>
      </c>
      <c r="I697" s="19" t="str">
        <f aca="false">IF(OR(A697="",H697="",E697="İptal"),"",IF(COUNTIFS($A$5:$A$1004,A697,$B$5:$B$1004,"&lt;"&amp;(H697-0.0003),$H$5:$H$1004,"&gt;"&amp;(B697+0.0003),$E$5:$E$1004,"&lt;&gt;İptal")&gt;1,"Çakışıyor",""))</f>
        <v/>
      </c>
      <c r="J697" s="21" t="str">
        <f aca="false">IF(AND(A697=Gün!$C$3,B697&lt;&gt;"",E697&lt;&gt;"İptal"),B697+ROW()/100000000,"")</f>
        <v/>
      </c>
    </row>
    <row r="698" customFormat="false" ht="15" hidden="false" customHeight="false" outlineLevel="0" collapsed="false">
      <c r="A698" s="12"/>
      <c r="B698" s="13"/>
      <c r="C698" s="14"/>
      <c r="D698" s="14"/>
      <c r="E698" s="15"/>
      <c r="F698" s="16"/>
      <c r="G698" s="17" t="str">
        <f aca="false">IF(D698="","",IF(E698="Geldi",IF(F698="",IFERROR(INDEX(Hizmetler!$C$5:$C$54,MATCH(D698,Hizmetler!$A$5:$A$54,0)),0),F698),0))</f>
        <v/>
      </c>
      <c r="H698" s="18" t="str">
        <f aca="false">IF(OR(B698="",D698=""),"",ROUND((B698+IFERROR(INDEX(Hizmetler!$B$5:$B$54,MATCH(D698,Hizmetler!$A$5:$A$54,0)),0)/1440)*1440,0)/1440)</f>
        <v/>
      </c>
      <c r="I698" s="19" t="str">
        <f aca="false">IF(OR(A698="",H698="",E698="İptal"),"",IF(COUNTIFS($A$5:$A$1004,A698,$B$5:$B$1004,"&lt;"&amp;(H698-0.0003),$H$5:$H$1004,"&gt;"&amp;(B698+0.0003),$E$5:$E$1004,"&lt;&gt;İptal")&gt;1,"Çakışıyor",""))</f>
        <v/>
      </c>
      <c r="J698" s="21" t="str">
        <f aca="false">IF(AND(A698=Gün!$C$3,B698&lt;&gt;"",E698&lt;&gt;"İptal"),B698+ROW()/100000000,"")</f>
        <v/>
      </c>
    </row>
    <row r="699" customFormat="false" ht="15" hidden="false" customHeight="false" outlineLevel="0" collapsed="false">
      <c r="A699" s="12"/>
      <c r="B699" s="13"/>
      <c r="C699" s="14"/>
      <c r="D699" s="14"/>
      <c r="E699" s="15"/>
      <c r="F699" s="16"/>
      <c r="G699" s="17" t="str">
        <f aca="false">IF(D699="","",IF(E699="Geldi",IF(F699="",IFERROR(INDEX(Hizmetler!$C$5:$C$54,MATCH(D699,Hizmetler!$A$5:$A$54,0)),0),F699),0))</f>
        <v/>
      </c>
      <c r="H699" s="18" t="str">
        <f aca="false">IF(OR(B699="",D699=""),"",ROUND((B699+IFERROR(INDEX(Hizmetler!$B$5:$B$54,MATCH(D699,Hizmetler!$A$5:$A$54,0)),0)/1440)*1440,0)/1440)</f>
        <v/>
      </c>
      <c r="I699" s="19" t="str">
        <f aca="false">IF(OR(A699="",H699="",E699="İptal"),"",IF(COUNTIFS($A$5:$A$1004,A699,$B$5:$B$1004,"&lt;"&amp;(H699-0.0003),$H$5:$H$1004,"&gt;"&amp;(B699+0.0003),$E$5:$E$1004,"&lt;&gt;İptal")&gt;1,"Çakışıyor",""))</f>
        <v/>
      </c>
      <c r="J699" s="21" t="str">
        <f aca="false">IF(AND(A699=Gün!$C$3,B699&lt;&gt;"",E699&lt;&gt;"İptal"),B699+ROW()/100000000,"")</f>
        <v/>
      </c>
    </row>
    <row r="700" customFormat="false" ht="15" hidden="false" customHeight="false" outlineLevel="0" collapsed="false">
      <c r="A700" s="12"/>
      <c r="B700" s="13"/>
      <c r="C700" s="14"/>
      <c r="D700" s="14"/>
      <c r="E700" s="15"/>
      <c r="F700" s="16"/>
      <c r="G700" s="17" t="str">
        <f aca="false">IF(D700="","",IF(E700="Geldi",IF(F700="",IFERROR(INDEX(Hizmetler!$C$5:$C$54,MATCH(D700,Hizmetler!$A$5:$A$54,0)),0),F700),0))</f>
        <v/>
      </c>
      <c r="H700" s="18" t="str">
        <f aca="false">IF(OR(B700="",D700=""),"",ROUND((B700+IFERROR(INDEX(Hizmetler!$B$5:$B$54,MATCH(D700,Hizmetler!$A$5:$A$54,0)),0)/1440)*1440,0)/1440)</f>
        <v/>
      </c>
      <c r="I700" s="19" t="str">
        <f aca="false">IF(OR(A700="",H700="",E700="İptal"),"",IF(COUNTIFS($A$5:$A$1004,A700,$B$5:$B$1004,"&lt;"&amp;(H700-0.0003),$H$5:$H$1004,"&gt;"&amp;(B700+0.0003),$E$5:$E$1004,"&lt;&gt;İptal")&gt;1,"Çakışıyor",""))</f>
        <v/>
      </c>
      <c r="J700" s="21" t="str">
        <f aca="false">IF(AND(A700=Gün!$C$3,B700&lt;&gt;"",E700&lt;&gt;"İptal"),B700+ROW()/100000000,"")</f>
        <v/>
      </c>
    </row>
    <row r="701" customFormat="false" ht="15" hidden="false" customHeight="false" outlineLevel="0" collapsed="false">
      <c r="A701" s="12"/>
      <c r="B701" s="13"/>
      <c r="C701" s="14"/>
      <c r="D701" s="14"/>
      <c r="E701" s="15"/>
      <c r="F701" s="16"/>
      <c r="G701" s="17" t="str">
        <f aca="false">IF(D701="","",IF(E701="Geldi",IF(F701="",IFERROR(INDEX(Hizmetler!$C$5:$C$54,MATCH(D701,Hizmetler!$A$5:$A$54,0)),0),F701),0))</f>
        <v/>
      </c>
      <c r="H701" s="18" t="str">
        <f aca="false">IF(OR(B701="",D701=""),"",ROUND((B701+IFERROR(INDEX(Hizmetler!$B$5:$B$54,MATCH(D701,Hizmetler!$A$5:$A$54,0)),0)/1440)*1440,0)/1440)</f>
        <v/>
      </c>
      <c r="I701" s="19" t="str">
        <f aca="false">IF(OR(A701="",H701="",E701="İptal"),"",IF(COUNTIFS($A$5:$A$1004,A701,$B$5:$B$1004,"&lt;"&amp;(H701-0.0003),$H$5:$H$1004,"&gt;"&amp;(B701+0.0003),$E$5:$E$1004,"&lt;&gt;İptal")&gt;1,"Çakışıyor",""))</f>
        <v/>
      </c>
      <c r="J701" s="21" t="str">
        <f aca="false">IF(AND(A701=Gün!$C$3,B701&lt;&gt;"",E701&lt;&gt;"İptal"),B701+ROW()/100000000,"")</f>
        <v/>
      </c>
    </row>
    <row r="702" customFormat="false" ht="15" hidden="false" customHeight="false" outlineLevel="0" collapsed="false">
      <c r="A702" s="12"/>
      <c r="B702" s="13"/>
      <c r="C702" s="14"/>
      <c r="D702" s="14"/>
      <c r="E702" s="15"/>
      <c r="F702" s="16"/>
      <c r="G702" s="17" t="str">
        <f aca="false">IF(D702="","",IF(E702="Geldi",IF(F702="",IFERROR(INDEX(Hizmetler!$C$5:$C$54,MATCH(D702,Hizmetler!$A$5:$A$54,0)),0),F702),0))</f>
        <v/>
      </c>
      <c r="H702" s="18" t="str">
        <f aca="false">IF(OR(B702="",D702=""),"",ROUND((B702+IFERROR(INDEX(Hizmetler!$B$5:$B$54,MATCH(D702,Hizmetler!$A$5:$A$54,0)),0)/1440)*1440,0)/1440)</f>
        <v/>
      </c>
      <c r="I702" s="19" t="str">
        <f aca="false">IF(OR(A702="",H702="",E702="İptal"),"",IF(COUNTIFS($A$5:$A$1004,A702,$B$5:$B$1004,"&lt;"&amp;(H702-0.0003),$H$5:$H$1004,"&gt;"&amp;(B702+0.0003),$E$5:$E$1004,"&lt;&gt;İptal")&gt;1,"Çakışıyor",""))</f>
        <v/>
      </c>
      <c r="J702" s="21" t="str">
        <f aca="false">IF(AND(A702=Gün!$C$3,B702&lt;&gt;"",E702&lt;&gt;"İptal"),B702+ROW()/100000000,"")</f>
        <v/>
      </c>
    </row>
    <row r="703" customFormat="false" ht="15" hidden="false" customHeight="false" outlineLevel="0" collapsed="false">
      <c r="A703" s="12"/>
      <c r="B703" s="13"/>
      <c r="C703" s="14"/>
      <c r="D703" s="14"/>
      <c r="E703" s="15"/>
      <c r="F703" s="16"/>
      <c r="G703" s="17" t="str">
        <f aca="false">IF(D703="","",IF(E703="Geldi",IF(F703="",IFERROR(INDEX(Hizmetler!$C$5:$C$54,MATCH(D703,Hizmetler!$A$5:$A$54,0)),0),F703),0))</f>
        <v/>
      </c>
      <c r="H703" s="18" t="str">
        <f aca="false">IF(OR(B703="",D703=""),"",ROUND((B703+IFERROR(INDEX(Hizmetler!$B$5:$B$54,MATCH(D703,Hizmetler!$A$5:$A$54,0)),0)/1440)*1440,0)/1440)</f>
        <v/>
      </c>
      <c r="I703" s="19" t="str">
        <f aca="false">IF(OR(A703="",H703="",E703="İptal"),"",IF(COUNTIFS($A$5:$A$1004,A703,$B$5:$B$1004,"&lt;"&amp;(H703-0.0003),$H$5:$H$1004,"&gt;"&amp;(B703+0.0003),$E$5:$E$1004,"&lt;&gt;İptal")&gt;1,"Çakışıyor",""))</f>
        <v/>
      </c>
      <c r="J703" s="21" t="str">
        <f aca="false">IF(AND(A703=Gün!$C$3,B703&lt;&gt;"",E703&lt;&gt;"İptal"),B703+ROW()/100000000,"")</f>
        <v/>
      </c>
    </row>
    <row r="704" customFormat="false" ht="15" hidden="false" customHeight="false" outlineLevel="0" collapsed="false">
      <c r="A704" s="12"/>
      <c r="B704" s="13"/>
      <c r="C704" s="14"/>
      <c r="D704" s="14"/>
      <c r="E704" s="15"/>
      <c r="F704" s="16"/>
      <c r="G704" s="17" t="str">
        <f aca="false">IF(D704="","",IF(E704="Geldi",IF(F704="",IFERROR(INDEX(Hizmetler!$C$5:$C$54,MATCH(D704,Hizmetler!$A$5:$A$54,0)),0),F704),0))</f>
        <v/>
      </c>
      <c r="H704" s="18" t="str">
        <f aca="false">IF(OR(B704="",D704=""),"",ROUND((B704+IFERROR(INDEX(Hizmetler!$B$5:$B$54,MATCH(D704,Hizmetler!$A$5:$A$54,0)),0)/1440)*1440,0)/1440)</f>
        <v/>
      </c>
      <c r="I704" s="19" t="str">
        <f aca="false">IF(OR(A704="",H704="",E704="İptal"),"",IF(COUNTIFS($A$5:$A$1004,A704,$B$5:$B$1004,"&lt;"&amp;(H704-0.0003),$H$5:$H$1004,"&gt;"&amp;(B704+0.0003),$E$5:$E$1004,"&lt;&gt;İptal")&gt;1,"Çakışıyor",""))</f>
        <v/>
      </c>
      <c r="J704" s="21" t="str">
        <f aca="false">IF(AND(A704=Gün!$C$3,B704&lt;&gt;"",E704&lt;&gt;"İptal"),B704+ROW()/100000000,"")</f>
        <v/>
      </c>
    </row>
    <row r="705" customFormat="false" ht="15" hidden="false" customHeight="false" outlineLevel="0" collapsed="false">
      <c r="A705" s="12"/>
      <c r="B705" s="13"/>
      <c r="C705" s="14"/>
      <c r="D705" s="14"/>
      <c r="E705" s="15"/>
      <c r="F705" s="16"/>
      <c r="G705" s="17" t="str">
        <f aca="false">IF(D705="","",IF(E705="Geldi",IF(F705="",IFERROR(INDEX(Hizmetler!$C$5:$C$54,MATCH(D705,Hizmetler!$A$5:$A$54,0)),0),F705),0))</f>
        <v/>
      </c>
      <c r="H705" s="18" t="str">
        <f aca="false">IF(OR(B705="",D705=""),"",ROUND((B705+IFERROR(INDEX(Hizmetler!$B$5:$B$54,MATCH(D705,Hizmetler!$A$5:$A$54,0)),0)/1440)*1440,0)/1440)</f>
        <v/>
      </c>
      <c r="I705" s="19" t="str">
        <f aca="false">IF(OR(A705="",H705="",E705="İptal"),"",IF(COUNTIFS($A$5:$A$1004,A705,$B$5:$B$1004,"&lt;"&amp;(H705-0.0003),$H$5:$H$1004,"&gt;"&amp;(B705+0.0003),$E$5:$E$1004,"&lt;&gt;İptal")&gt;1,"Çakışıyor",""))</f>
        <v/>
      </c>
      <c r="J705" s="21" t="str">
        <f aca="false">IF(AND(A705=Gün!$C$3,B705&lt;&gt;"",E705&lt;&gt;"İptal"),B705+ROW()/100000000,"")</f>
        <v/>
      </c>
    </row>
    <row r="706" customFormat="false" ht="15" hidden="false" customHeight="false" outlineLevel="0" collapsed="false">
      <c r="A706" s="12"/>
      <c r="B706" s="13"/>
      <c r="C706" s="14"/>
      <c r="D706" s="14"/>
      <c r="E706" s="15"/>
      <c r="F706" s="16"/>
      <c r="G706" s="17" t="str">
        <f aca="false">IF(D706="","",IF(E706="Geldi",IF(F706="",IFERROR(INDEX(Hizmetler!$C$5:$C$54,MATCH(D706,Hizmetler!$A$5:$A$54,0)),0),F706),0))</f>
        <v/>
      </c>
      <c r="H706" s="18" t="str">
        <f aca="false">IF(OR(B706="",D706=""),"",ROUND((B706+IFERROR(INDEX(Hizmetler!$B$5:$B$54,MATCH(D706,Hizmetler!$A$5:$A$54,0)),0)/1440)*1440,0)/1440)</f>
        <v/>
      </c>
      <c r="I706" s="19" t="str">
        <f aca="false">IF(OR(A706="",H706="",E706="İptal"),"",IF(COUNTIFS($A$5:$A$1004,A706,$B$5:$B$1004,"&lt;"&amp;(H706-0.0003),$H$5:$H$1004,"&gt;"&amp;(B706+0.0003),$E$5:$E$1004,"&lt;&gt;İptal")&gt;1,"Çakışıyor",""))</f>
        <v/>
      </c>
      <c r="J706" s="21" t="str">
        <f aca="false">IF(AND(A706=Gün!$C$3,B706&lt;&gt;"",E706&lt;&gt;"İptal"),B706+ROW()/100000000,"")</f>
        <v/>
      </c>
    </row>
    <row r="707" customFormat="false" ht="15" hidden="false" customHeight="false" outlineLevel="0" collapsed="false">
      <c r="A707" s="12"/>
      <c r="B707" s="13"/>
      <c r="C707" s="14"/>
      <c r="D707" s="14"/>
      <c r="E707" s="15"/>
      <c r="F707" s="16"/>
      <c r="G707" s="17" t="str">
        <f aca="false">IF(D707="","",IF(E707="Geldi",IF(F707="",IFERROR(INDEX(Hizmetler!$C$5:$C$54,MATCH(D707,Hizmetler!$A$5:$A$54,0)),0),F707),0))</f>
        <v/>
      </c>
      <c r="H707" s="18" t="str">
        <f aca="false">IF(OR(B707="",D707=""),"",ROUND((B707+IFERROR(INDEX(Hizmetler!$B$5:$B$54,MATCH(D707,Hizmetler!$A$5:$A$54,0)),0)/1440)*1440,0)/1440)</f>
        <v/>
      </c>
      <c r="I707" s="19" t="str">
        <f aca="false">IF(OR(A707="",H707="",E707="İptal"),"",IF(COUNTIFS($A$5:$A$1004,A707,$B$5:$B$1004,"&lt;"&amp;(H707-0.0003),$H$5:$H$1004,"&gt;"&amp;(B707+0.0003),$E$5:$E$1004,"&lt;&gt;İptal")&gt;1,"Çakışıyor",""))</f>
        <v/>
      </c>
      <c r="J707" s="21" t="str">
        <f aca="false">IF(AND(A707=Gün!$C$3,B707&lt;&gt;"",E707&lt;&gt;"İptal"),B707+ROW()/100000000,"")</f>
        <v/>
      </c>
    </row>
    <row r="708" customFormat="false" ht="15" hidden="false" customHeight="false" outlineLevel="0" collapsed="false">
      <c r="A708" s="12"/>
      <c r="B708" s="13"/>
      <c r="C708" s="14"/>
      <c r="D708" s="14"/>
      <c r="E708" s="15"/>
      <c r="F708" s="16"/>
      <c r="G708" s="17" t="str">
        <f aca="false">IF(D708="","",IF(E708="Geldi",IF(F708="",IFERROR(INDEX(Hizmetler!$C$5:$C$54,MATCH(D708,Hizmetler!$A$5:$A$54,0)),0),F708),0))</f>
        <v/>
      </c>
      <c r="H708" s="18" t="str">
        <f aca="false">IF(OR(B708="",D708=""),"",ROUND((B708+IFERROR(INDEX(Hizmetler!$B$5:$B$54,MATCH(D708,Hizmetler!$A$5:$A$54,0)),0)/1440)*1440,0)/1440)</f>
        <v/>
      </c>
      <c r="I708" s="19" t="str">
        <f aca="false">IF(OR(A708="",H708="",E708="İptal"),"",IF(COUNTIFS($A$5:$A$1004,A708,$B$5:$B$1004,"&lt;"&amp;(H708-0.0003),$H$5:$H$1004,"&gt;"&amp;(B708+0.0003),$E$5:$E$1004,"&lt;&gt;İptal")&gt;1,"Çakışıyor",""))</f>
        <v/>
      </c>
      <c r="J708" s="21" t="str">
        <f aca="false">IF(AND(A708=Gün!$C$3,B708&lt;&gt;"",E708&lt;&gt;"İptal"),B708+ROW()/100000000,"")</f>
        <v/>
      </c>
    </row>
    <row r="709" customFormat="false" ht="15" hidden="false" customHeight="false" outlineLevel="0" collapsed="false">
      <c r="A709" s="12"/>
      <c r="B709" s="13"/>
      <c r="C709" s="14"/>
      <c r="D709" s="14"/>
      <c r="E709" s="15"/>
      <c r="F709" s="16"/>
      <c r="G709" s="17" t="str">
        <f aca="false">IF(D709="","",IF(E709="Geldi",IF(F709="",IFERROR(INDEX(Hizmetler!$C$5:$C$54,MATCH(D709,Hizmetler!$A$5:$A$54,0)),0),F709),0))</f>
        <v/>
      </c>
      <c r="H709" s="18" t="str">
        <f aca="false">IF(OR(B709="",D709=""),"",ROUND((B709+IFERROR(INDEX(Hizmetler!$B$5:$B$54,MATCH(D709,Hizmetler!$A$5:$A$54,0)),0)/1440)*1440,0)/1440)</f>
        <v/>
      </c>
      <c r="I709" s="19" t="str">
        <f aca="false">IF(OR(A709="",H709="",E709="İptal"),"",IF(COUNTIFS($A$5:$A$1004,A709,$B$5:$B$1004,"&lt;"&amp;(H709-0.0003),$H$5:$H$1004,"&gt;"&amp;(B709+0.0003),$E$5:$E$1004,"&lt;&gt;İptal")&gt;1,"Çakışıyor",""))</f>
        <v/>
      </c>
      <c r="J709" s="21" t="str">
        <f aca="false">IF(AND(A709=Gün!$C$3,B709&lt;&gt;"",E709&lt;&gt;"İptal"),B709+ROW()/100000000,"")</f>
        <v/>
      </c>
    </row>
    <row r="710" customFormat="false" ht="15" hidden="false" customHeight="false" outlineLevel="0" collapsed="false">
      <c r="A710" s="12"/>
      <c r="B710" s="13"/>
      <c r="C710" s="14"/>
      <c r="D710" s="14"/>
      <c r="E710" s="15"/>
      <c r="F710" s="16"/>
      <c r="G710" s="17" t="str">
        <f aca="false">IF(D710="","",IF(E710="Geldi",IF(F710="",IFERROR(INDEX(Hizmetler!$C$5:$C$54,MATCH(D710,Hizmetler!$A$5:$A$54,0)),0),F710),0))</f>
        <v/>
      </c>
      <c r="H710" s="18" t="str">
        <f aca="false">IF(OR(B710="",D710=""),"",ROUND((B710+IFERROR(INDEX(Hizmetler!$B$5:$B$54,MATCH(D710,Hizmetler!$A$5:$A$54,0)),0)/1440)*1440,0)/1440)</f>
        <v/>
      </c>
      <c r="I710" s="19" t="str">
        <f aca="false">IF(OR(A710="",H710="",E710="İptal"),"",IF(COUNTIFS($A$5:$A$1004,A710,$B$5:$B$1004,"&lt;"&amp;(H710-0.0003),$H$5:$H$1004,"&gt;"&amp;(B710+0.0003),$E$5:$E$1004,"&lt;&gt;İptal")&gt;1,"Çakışıyor",""))</f>
        <v/>
      </c>
      <c r="J710" s="21" t="str">
        <f aca="false">IF(AND(A710=Gün!$C$3,B710&lt;&gt;"",E710&lt;&gt;"İptal"),B710+ROW()/100000000,"")</f>
        <v/>
      </c>
    </row>
    <row r="711" customFormat="false" ht="15" hidden="false" customHeight="false" outlineLevel="0" collapsed="false">
      <c r="A711" s="12"/>
      <c r="B711" s="13"/>
      <c r="C711" s="14"/>
      <c r="D711" s="14"/>
      <c r="E711" s="15"/>
      <c r="F711" s="16"/>
      <c r="G711" s="17" t="str">
        <f aca="false">IF(D711="","",IF(E711="Geldi",IF(F711="",IFERROR(INDEX(Hizmetler!$C$5:$C$54,MATCH(D711,Hizmetler!$A$5:$A$54,0)),0),F711),0))</f>
        <v/>
      </c>
      <c r="H711" s="18" t="str">
        <f aca="false">IF(OR(B711="",D711=""),"",ROUND((B711+IFERROR(INDEX(Hizmetler!$B$5:$B$54,MATCH(D711,Hizmetler!$A$5:$A$54,0)),0)/1440)*1440,0)/1440)</f>
        <v/>
      </c>
      <c r="I711" s="19" t="str">
        <f aca="false">IF(OR(A711="",H711="",E711="İptal"),"",IF(COUNTIFS($A$5:$A$1004,A711,$B$5:$B$1004,"&lt;"&amp;(H711-0.0003),$H$5:$H$1004,"&gt;"&amp;(B711+0.0003),$E$5:$E$1004,"&lt;&gt;İptal")&gt;1,"Çakışıyor",""))</f>
        <v/>
      </c>
      <c r="J711" s="21" t="str">
        <f aca="false">IF(AND(A711=Gün!$C$3,B711&lt;&gt;"",E711&lt;&gt;"İptal"),B711+ROW()/100000000,"")</f>
        <v/>
      </c>
    </row>
    <row r="712" customFormat="false" ht="15" hidden="false" customHeight="false" outlineLevel="0" collapsed="false">
      <c r="A712" s="12"/>
      <c r="B712" s="13"/>
      <c r="C712" s="14"/>
      <c r="D712" s="14"/>
      <c r="E712" s="15"/>
      <c r="F712" s="16"/>
      <c r="G712" s="17" t="str">
        <f aca="false">IF(D712="","",IF(E712="Geldi",IF(F712="",IFERROR(INDEX(Hizmetler!$C$5:$C$54,MATCH(D712,Hizmetler!$A$5:$A$54,0)),0),F712),0))</f>
        <v/>
      </c>
      <c r="H712" s="18" t="str">
        <f aca="false">IF(OR(B712="",D712=""),"",ROUND((B712+IFERROR(INDEX(Hizmetler!$B$5:$B$54,MATCH(D712,Hizmetler!$A$5:$A$54,0)),0)/1440)*1440,0)/1440)</f>
        <v/>
      </c>
      <c r="I712" s="19" t="str">
        <f aca="false">IF(OR(A712="",H712="",E712="İptal"),"",IF(COUNTIFS($A$5:$A$1004,A712,$B$5:$B$1004,"&lt;"&amp;(H712-0.0003),$H$5:$H$1004,"&gt;"&amp;(B712+0.0003),$E$5:$E$1004,"&lt;&gt;İptal")&gt;1,"Çakışıyor",""))</f>
        <v/>
      </c>
      <c r="J712" s="21" t="str">
        <f aca="false">IF(AND(A712=Gün!$C$3,B712&lt;&gt;"",E712&lt;&gt;"İptal"),B712+ROW()/100000000,"")</f>
        <v/>
      </c>
    </row>
    <row r="713" customFormat="false" ht="15" hidden="false" customHeight="false" outlineLevel="0" collapsed="false">
      <c r="A713" s="12"/>
      <c r="B713" s="13"/>
      <c r="C713" s="14"/>
      <c r="D713" s="14"/>
      <c r="E713" s="15"/>
      <c r="F713" s="16"/>
      <c r="G713" s="17" t="str">
        <f aca="false">IF(D713="","",IF(E713="Geldi",IF(F713="",IFERROR(INDEX(Hizmetler!$C$5:$C$54,MATCH(D713,Hizmetler!$A$5:$A$54,0)),0),F713),0))</f>
        <v/>
      </c>
      <c r="H713" s="18" t="str">
        <f aca="false">IF(OR(B713="",D713=""),"",ROUND((B713+IFERROR(INDEX(Hizmetler!$B$5:$B$54,MATCH(D713,Hizmetler!$A$5:$A$54,0)),0)/1440)*1440,0)/1440)</f>
        <v/>
      </c>
      <c r="I713" s="19" t="str">
        <f aca="false">IF(OR(A713="",H713="",E713="İptal"),"",IF(COUNTIFS($A$5:$A$1004,A713,$B$5:$B$1004,"&lt;"&amp;(H713-0.0003),$H$5:$H$1004,"&gt;"&amp;(B713+0.0003),$E$5:$E$1004,"&lt;&gt;İptal")&gt;1,"Çakışıyor",""))</f>
        <v/>
      </c>
      <c r="J713" s="21" t="str">
        <f aca="false">IF(AND(A713=Gün!$C$3,B713&lt;&gt;"",E713&lt;&gt;"İptal"),B713+ROW()/100000000,"")</f>
        <v/>
      </c>
    </row>
    <row r="714" customFormat="false" ht="15" hidden="false" customHeight="false" outlineLevel="0" collapsed="false">
      <c r="A714" s="12"/>
      <c r="B714" s="13"/>
      <c r="C714" s="14"/>
      <c r="D714" s="14"/>
      <c r="E714" s="15"/>
      <c r="F714" s="16"/>
      <c r="G714" s="17" t="str">
        <f aca="false">IF(D714="","",IF(E714="Geldi",IF(F714="",IFERROR(INDEX(Hizmetler!$C$5:$C$54,MATCH(D714,Hizmetler!$A$5:$A$54,0)),0),F714),0))</f>
        <v/>
      </c>
      <c r="H714" s="18" t="str">
        <f aca="false">IF(OR(B714="",D714=""),"",ROUND((B714+IFERROR(INDEX(Hizmetler!$B$5:$B$54,MATCH(D714,Hizmetler!$A$5:$A$54,0)),0)/1440)*1440,0)/1440)</f>
        <v/>
      </c>
      <c r="I714" s="19" t="str">
        <f aca="false">IF(OR(A714="",H714="",E714="İptal"),"",IF(COUNTIFS($A$5:$A$1004,A714,$B$5:$B$1004,"&lt;"&amp;(H714-0.0003),$H$5:$H$1004,"&gt;"&amp;(B714+0.0003),$E$5:$E$1004,"&lt;&gt;İptal")&gt;1,"Çakışıyor",""))</f>
        <v/>
      </c>
      <c r="J714" s="21" t="str">
        <f aca="false">IF(AND(A714=Gün!$C$3,B714&lt;&gt;"",E714&lt;&gt;"İptal"),B714+ROW()/100000000,"")</f>
        <v/>
      </c>
    </row>
    <row r="715" customFormat="false" ht="15" hidden="false" customHeight="false" outlineLevel="0" collapsed="false">
      <c r="A715" s="12"/>
      <c r="B715" s="13"/>
      <c r="C715" s="14"/>
      <c r="D715" s="14"/>
      <c r="E715" s="15"/>
      <c r="F715" s="16"/>
      <c r="G715" s="17" t="str">
        <f aca="false">IF(D715="","",IF(E715="Geldi",IF(F715="",IFERROR(INDEX(Hizmetler!$C$5:$C$54,MATCH(D715,Hizmetler!$A$5:$A$54,0)),0),F715),0))</f>
        <v/>
      </c>
      <c r="H715" s="18" t="str">
        <f aca="false">IF(OR(B715="",D715=""),"",ROUND((B715+IFERROR(INDEX(Hizmetler!$B$5:$B$54,MATCH(D715,Hizmetler!$A$5:$A$54,0)),0)/1440)*1440,0)/1440)</f>
        <v/>
      </c>
      <c r="I715" s="19" t="str">
        <f aca="false">IF(OR(A715="",H715="",E715="İptal"),"",IF(COUNTIFS($A$5:$A$1004,A715,$B$5:$B$1004,"&lt;"&amp;(H715-0.0003),$H$5:$H$1004,"&gt;"&amp;(B715+0.0003),$E$5:$E$1004,"&lt;&gt;İptal")&gt;1,"Çakışıyor",""))</f>
        <v/>
      </c>
      <c r="J715" s="21" t="str">
        <f aca="false">IF(AND(A715=Gün!$C$3,B715&lt;&gt;"",E715&lt;&gt;"İptal"),B715+ROW()/100000000,"")</f>
        <v/>
      </c>
    </row>
    <row r="716" customFormat="false" ht="15" hidden="false" customHeight="false" outlineLevel="0" collapsed="false">
      <c r="A716" s="12"/>
      <c r="B716" s="13"/>
      <c r="C716" s="14"/>
      <c r="D716" s="14"/>
      <c r="E716" s="15"/>
      <c r="F716" s="16"/>
      <c r="G716" s="17" t="str">
        <f aca="false">IF(D716="","",IF(E716="Geldi",IF(F716="",IFERROR(INDEX(Hizmetler!$C$5:$C$54,MATCH(D716,Hizmetler!$A$5:$A$54,0)),0),F716),0))</f>
        <v/>
      </c>
      <c r="H716" s="18" t="str">
        <f aca="false">IF(OR(B716="",D716=""),"",ROUND((B716+IFERROR(INDEX(Hizmetler!$B$5:$B$54,MATCH(D716,Hizmetler!$A$5:$A$54,0)),0)/1440)*1440,0)/1440)</f>
        <v/>
      </c>
      <c r="I716" s="19" t="str">
        <f aca="false">IF(OR(A716="",H716="",E716="İptal"),"",IF(COUNTIFS($A$5:$A$1004,A716,$B$5:$B$1004,"&lt;"&amp;(H716-0.0003),$H$5:$H$1004,"&gt;"&amp;(B716+0.0003),$E$5:$E$1004,"&lt;&gt;İptal")&gt;1,"Çakışıyor",""))</f>
        <v/>
      </c>
      <c r="J716" s="21" t="str">
        <f aca="false">IF(AND(A716=Gün!$C$3,B716&lt;&gt;"",E716&lt;&gt;"İptal"),B716+ROW()/100000000,"")</f>
        <v/>
      </c>
    </row>
    <row r="717" customFormat="false" ht="15" hidden="false" customHeight="false" outlineLevel="0" collapsed="false">
      <c r="A717" s="12"/>
      <c r="B717" s="13"/>
      <c r="C717" s="14"/>
      <c r="D717" s="14"/>
      <c r="E717" s="15"/>
      <c r="F717" s="16"/>
      <c r="G717" s="17" t="str">
        <f aca="false">IF(D717="","",IF(E717="Geldi",IF(F717="",IFERROR(INDEX(Hizmetler!$C$5:$C$54,MATCH(D717,Hizmetler!$A$5:$A$54,0)),0),F717),0))</f>
        <v/>
      </c>
      <c r="H717" s="18" t="str">
        <f aca="false">IF(OR(B717="",D717=""),"",ROUND((B717+IFERROR(INDEX(Hizmetler!$B$5:$B$54,MATCH(D717,Hizmetler!$A$5:$A$54,0)),0)/1440)*1440,0)/1440)</f>
        <v/>
      </c>
      <c r="I717" s="19" t="str">
        <f aca="false">IF(OR(A717="",H717="",E717="İptal"),"",IF(COUNTIFS($A$5:$A$1004,A717,$B$5:$B$1004,"&lt;"&amp;(H717-0.0003),$H$5:$H$1004,"&gt;"&amp;(B717+0.0003),$E$5:$E$1004,"&lt;&gt;İptal")&gt;1,"Çakışıyor",""))</f>
        <v/>
      </c>
      <c r="J717" s="21" t="str">
        <f aca="false">IF(AND(A717=Gün!$C$3,B717&lt;&gt;"",E717&lt;&gt;"İptal"),B717+ROW()/100000000,"")</f>
        <v/>
      </c>
    </row>
    <row r="718" customFormat="false" ht="15" hidden="false" customHeight="false" outlineLevel="0" collapsed="false">
      <c r="A718" s="12"/>
      <c r="B718" s="13"/>
      <c r="C718" s="14"/>
      <c r="D718" s="14"/>
      <c r="E718" s="15"/>
      <c r="F718" s="16"/>
      <c r="G718" s="17" t="str">
        <f aca="false">IF(D718="","",IF(E718="Geldi",IF(F718="",IFERROR(INDEX(Hizmetler!$C$5:$C$54,MATCH(D718,Hizmetler!$A$5:$A$54,0)),0),F718),0))</f>
        <v/>
      </c>
      <c r="H718" s="18" t="str">
        <f aca="false">IF(OR(B718="",D718=""),"",ROUND((B718+IFERROR(INDEX(Hizmetler!$B$5:$B$54,MATCH(D718,Hizmetler!$A$5:$A$54,0)),0)/1440)*1440,0)/1440)</f>
        <v/>
      </c>
      <c r="I718" s="19" t="str">
        <f aca="false">IF(OR(A718="",H718="",E718="İptal"),"",IF(COUNTIFS($A$5:$A$1004,A718,$B$5:$B$1004,"&lt;"&amp;(H718-0.0003),$H$5:$H$1004,"&gt;"&amp;(B718+0.0003),$E$5:$E$1004,"&lt;&gt;İptal")&gt;1,"Çakışıyor",""))</f>
        <v/>
      </c>
      <c r="J718" s="21" t="str">
        <f aca="false">IF(AND(A718=Gün!$C$3,B718&lt;&gt;"",E718&lt;&gt;"İptal"),B718+ROW()/100000000,"")</f>
        <v/>
      </c>
    </row>
    <row r="719" customFormat="false" ht="15" hidden="false" customHeight="false" outlineLevel="0" collapsed="false">
      <c r="A719" s="12"/>
      <c r="B719" s="13"/>
      <c r="C719" s="14"/>
      <c r="D719" s="14"/>
      <c r="E719" s="15"/>
      <c r="F719" s="16"/>
      <c r="G719" s="17" t="str">
        <f aca="false">IF(D719="","",IF(E719="Geldi",IF(F719="",IFERROR(INDEX(Hizmetler!$C$5:$C$54,MATCH(D719,Hizmetler!$A$5:$A$54,0)),0),F719),0))</f>
        <v/>
      </c>
      <c r="H719" s="18" t="str">
        <f aca="false">IF(OR(B719="",D719=""),"",ROUND((B719+IFERROR(INDEX(Hizmetler!$B$5:$B$54,MATCH(D719,Hizmetler!$A$5:$A$54,0)),0)/1440)*1440,0)/1440)</f>
        <v/>
      </c>
      <c r="I719" s="19" t="str">
        <f aca="false">IF(OR(A719="",H719="",E719="İptal"),"",IF(COUNTIFS($A$5:$A$1004,A719,$B$5:$B$1004,"&lt;"&amp;(H719-0.0003),$H$5:$H$1004,"&gt;"&amp;(B719+0.0003),$E$5:$E$1004,"&lt;&gt;İptal")&gt;1,"Çakışıyor",""))</f>
        <v/>
      </c>
      <c r="J719" s="21" t="str">
        <f aca="false">IF(AND(A719=Gün!$C$3,B719&lt;&gt;"",E719&lt;&gt;"İptal"),B719+ROW()/100000000,"")</f>
        <v/>
      </c>
    </row>
    <row r="720" customFormat="false" ht="15" hidden="false" customHeight="false" outlineLevel="0" collapsed="false">
      <c r="A720" s="12"/>
      <c r="B720" s="13"/>
      <c r="C720" s="14"/>
      <c r="D720" s="14"/>
      <c r="E720" s="15"/>
      <c r="F720" s="16"/>
      <c r="G720" s="17" t="str">
        <f aca="false">IF(D720="","",IF(E720="Geldi",IF(F720="",IFERROR(INDEX(Hizmetler!$C$5:$C$54,MATCH(D720,Hizmetler!$A$5:$A$54,0)),0),F720),0))</f>
        <v/>
      </c>
      <c r="H720" s="18" t="str">
        <f aca="false">IF(OR(B720="",D720=""),"",ROUND((B720+IFERROR(INDEX(Hizmetler!$B$5:$B$54,MATCH(D720,Hizmetler!$A$5:$A$54,0)),0)/1440)*1440,0)/1440)</f>
        <v/>
      </c>
      <c r="I720" s="19" t="str">
        <f aca="false">IF(OR(A720="",H720="",E720="İptal"),"",IF(COUNTIFS($A$5:$A$1004,A720,$B$5:$B$1004,"&lt;"&amp;(H720-0.0003),$H$5:$H$1004,"&gt;"&amp;(B720+0.0003),$E$5:$E$1004,"&lt;&gt;İptal")&gt;1,"Çakışıyor",""))</f>
        <v/>
      </c>
      <c r="J720" s="21" t="str">
        <f aca="false">IF(AND(A720=Gün!$C$3,B720&lt;&gt;"",E720&lt;&gt;"İptal"),B720+ROW()/100000000,"")</f>
        <v/>
      </c>
    </row>
    <row r="721" customFormat="false" ht="15" hidden="false" customHeight="false" outlineLevel="0" collapsed="false">
      <c r="A721" s="12"/>
      <c r="B721" s="13"/>
      <c r="C721" s="14"/>
      <c r="D721" s="14"/>
      <c r="E721" s="15"/>
      <c r="F721" s="16"/>
      <c r="G721" s="17" t="str">
        <f aca="false">IF(D721="","",IF(E721="Geldi",IF(F721="",IFERROR(INDEX(Hizmetler!$C$5:$C$54,MATCH(D721,Hizmetler!$A$5:$A$54,0)),0),F721),0))</f>
        <v/>
      </c>
      <c r="H721" s="18" t="str">
        <f aca="false">IF(OR(B721="",D721=""),"",ROUND((B721+IFERROR(INDEX(Hizmetler!$B$5:$B$54,MATCH(D721,Hizmetler!$A$5:$A$54,0)),0)/1440)*1440,0)/1440)</f>
        <v/>
      </c>
      <c r="I721" s="19" t="str">
        <f aca="false">IF(OR(A721="",H721="",E721="İptal"),"",IF(COUNTIFS($A$5:$A$1004,A721,$B$5:$B$1004,"&lt;"&amp;(H721-0.0003),$H$5:$H$1004,"&gt;"&amp;(B721+0.0003),$E$5:$E$1004,"&lt;&gt;İptal")&gt;1,"Çakışıyor",""))</f>
        <v/>
      </c>
      <c r="J721" s="21" t="str">
        <f aca="false">IF(AND(A721=Gün!$C$3,B721&lt;&gt;"",E721&lt;&gt;"İptal"),B721+ROW()/100000000,"")</f>
        <v/>
      </c>
    </row>
    <row r="722" customFormat="false" ht="15" hidden="false" customHeight="false" outlineLevel="0" collapsed="false">
      <c r="A722" s="12"/>
      <c r="B722" s="13"/>
      <c r="C722" s="14"/>
      <c r="D722" s="14"/>
      <c r="E722" s="15"/>
      <c r="F722" s="16"/>
      <c r="G722" s="17" t="str">
        <f aca="false">IF(D722="","",IF(E722="Geldi",IF(F722="",IFERROR(INDEX(Hizmetler!$C$5:$C$54,MATCH(D722,Hizmetler!$A$5:$A$54,0)),0),F722),0))</f>
        <v/>
      </c>
      <c r="H722" s="18" t="str">
        <f aca="false">IF(OR(B722="",D722=""),"",ROUND((B722+IFERROR(INDEX(Hizmetler!$B$5:$B$54,MATCH(D722,Hizmetler!$A$5:$A$54,0)),0)/1440)*1440,0)/1440)</f>
        <v/>
      </c>
      <c r="I722" s="19" t="str">
        <f aca="false">IF(OR(A722="",H722="",E722="İptal"),"",IF(COUNTIFS($A$5:$A$1004,A722,$B$5:$B$1004,"&lt;"&amp;(H722-0.0003),$H$5:$H$1004,"&gt;"&amp;(B722+0.0003),$E$5:$E$1004,"&lt;&gt;İptal")&gt;1,"Çakışıyor",""))</f>
        <v/>
      </c>
      <c r="J722" s="21" t="str">
        <f aca="false">IF(AND(A722=Gün!$C$3,B722&lt;&gt;"",E722&lt;&gt;"İptal"),B722+ROW()/100000000,"")</f>
        <v/>
      </c>
    </row>
    <row r="723" customFormat="false" ht="15" hidden="false" customHeight="false" outlineLevel="0" collapsed="false">
      <c r="A723" s="12"/>
      <c r="B723" s="13"/>
      <c r="C723" s="14"/>
      <c r="D723" s="14"/>
      <c r="E723" s="15"/>
      <c r="F723" s="16"/>
      <c r="G723" s="17" t="str">
        <f aca="false">IF(D723="","",IF(E723="Geldi",IF(F723="",IFERROR(INDEX(Hizmetler!$C$5:$C$54,MATCH(D723,Hizmetler!$A$5:$A$54,0)),0),F723),0))</f>
        <v/>
      </c>
      <c r="H723" s="18" t="str">
        <f aca="false">IF(OR(B723="",D723=""),"",ROUND((B723+IFERROR(INDEX(Hizmetler!$B$5:$B$54,MATCH(D723,Hizmetler!$A$5:$A$54,0)),0)/1440)*1440,0)/1440)</f>
        <v/>
      </c>
      <c r="I723" s="19" t="str">
        <f aca="false">IF(OR(A723="",H723="",E723="İptal"),"",IF(COUNTIFS($A$5:$A$1004,A723,$B$5:$B$1004,"&lt;"&amp;(H723-0.0003),$H$5:$H$1004,"&gt;"&amp;(B723+0.0003),$E$5:$E$1004,"&lt;&gt;İptal")&gt;1,"Çakışıyor",""))</f>
        <v/>
      </c>
      <c r="J723" s="21" t="str">
        <f aca="false">IF(AND(A723=Gün!$C$3,B723&lt;&gt;"",E723&lt;&gt;"İptal"),B723+ROW()/100000000,"")</f>
        <v/>
      </c>
    </row>
    <row r="724" customFormat="false" ht="15" hidden="false" customHeight="false" outlineLevel="0" collapsed="false">
      <c r="A724" s="12"/>
      <c r="B724" s="13"/>
      <c r="C724" s="14"/>
      <c r="D724" s="14"/>
      <c r="E724" s="15"/>
      <c r="F724" s="16"/>
      <c r="G724" s="17" t="str">
        <f aca="false">IF(D724="","",IF(E724="Geldi",IF(F724="",IFERROR(INDEX(Hizmetler!$C$5:$C$54,MATCH(D724,Hizmetler!$A$5:$A$54,0)),0),F724),0))</f>
        <v/>
      </c>
      <c r="H724" s="18" t="str">
        <f aca="false">IF(OR(B724="",D724=""),"",ROUND((B724+IFERROR(INDEX(Hizmetler!$B$5:$B$54,MATCH(D724,Hizmetler!$A$5:$A$54,0)),0)/1440)*1440,0)/1440)</f>
        <v/>
      </c>
      <c r="I724" s="19" t="str">
        <f aca="false">IF(OR(A724="",H724="",E724="İptal"),"",IF(COUNTIFS($A$5:$A$1004,A724,$B$5:$B$1004,"&lt;"&amp;(H724-0.0003),$H$5:$H$1004,"&gt;"&amp;(B724+0.0003),$E$5:$E$1004,"&lt;&gt;İptal")&gt;1,"Çakışıyor",""))</f>
        <v/>
      </c>
      <c r="J724" s="21" t="str">
        <f aca="false">IF(AND(A724=Gün!$C$3,B724&lt;&gt;"",E724&lt;&gt;"İptal"),B724+ROW()/100000000,"")</f>
        <v/>
      </c>
    </row>
    <row r="725" customFormat="false" ht="15" hidden="false" customHeight="false" outlineLevel="0" collapsed="false">
      <c r="A725" s="12"/>
      <c r="B725" s="13"/>
      <c r="C725" s="14"/>
      <c r="D725" s="14"/>
      <c r="E725" s="15"/>
      <c r="F725" s="16"/>
      <c r="G725" s="17" t="str">
        <f aca="false">IF(D725="","",IF(E725="Geldi",IF(F725="",IFERROR(INDEX(Hizmetler!$C$5:$C$54,MATCH(D725,Hizmetler!$A$5:$A$54,0)),0),F725),0))</f>
        <v/>
      </c>
      <c r="H725" s="18" t="str">
        <f aca="false">IF(OR(B725="",D725=""),"",ROUND((B725+IFERROR(INDEX(Hizmetler!$B$5:$B$54,MATCH(D725,Hizmetler!$A$5:$A$54,0)),0)/1440)*1440,0)/1440)</f>
        <v/>
      </c>
      <c r="I725" s="19" t="str">
        <f aca="false">IF(OR(A725="",H725="",E725="İptal"),"",IF(COUNTIFS($A$5:$A$1004,A725,$B$5:$B$1004,"&lt;"&amp;(H725-0.0003),$H$5:$H$1004,"&gt;"&amp;(B725+0.0003),$E$5:$E$1004,"&lt;&gt;İptal")&gt;1,"Çakışıyor",""))</f>
        <v/>
      </c>
      <c r="J725" s="21" t="str">
        <f aca="false">IF(AND(A725=Gün!$C$3,B725&lt;&gt;"",E725&lt;&gt;"İptal"),B725+ROW()/100000000,"")</f>
        <v/>
      </c>
    </row>
    <row r="726" customFormat="false" ht="15" hidden="false" customHeight="false" outlineLevel="0" collapsed="false">
      <c r="A726" s="12"/>
      <c r="B726" s="13"/>
      <c r="C726" s="14"/>
      <c r="D726" s="14"/>
      <c r="E726" s="15"/>
      <c r="F726" s="16"/>
      <c r="G726" s="17" t="str">
        <f aca="false">IF(D726="","",IF(E726="Geldi",IF(F726="",IFERROR(INDEX(Hizmetler!$C$5:$C$54,MATCH(D726,Hizmetler!$A$5:$A$54,0)),0),F726),0))</f>
        <v/>
      </c>
      <c r="H726" s="18" t="str">
        <f aca="false">IF(OR(B726="",D726=""),"",ROUND((B726+IFERROR(INDEX(Hizmetler!$B$5:$B$54,MATCH(D726,Hizmetler!$A$5:$A$54,0)),0)/1440)*1440,0)/1440)</f>
        <v/>
      </c>
      <c r="I726" s="19" t="str">
        <f aca="false">IF(OR(A726="",H726="",E726="İptal"),"",IF(COUNTIFS($A$5:$A$1004,A726,$B$5:$B$1004,"&lt;"&amp;(H726-0.0003),$H$5:$H$1004,"&gt;"&amp;(B726+0.0003),$E$5:$E$1004,"&lt;&gt;İptal")&gt;1,"Çakışıyor",""))</f>
        <v/>
      </c>
      <c r="J726" s="21" t="str">
        <f aca="false">IF(AND(A726=Gün!$C$3,B726&lt;&gt;"",E726&lt;&gt;"İptal"),B726+ROW()/100000000,"")</f>
        <v/>
      </c>
    </row>
    <row r="727" customFormat="false" ht="15" hidden="false" customHeight="false" outlineLevel="0" collapsed="false">
      <c r="A727" s="12"/>
      <c r="B727" s="13"/>
      <c r="C727" s="14"/>
      <c r="D727" s="14"/>
      <c r="E727" s="15"/>
      <c r="F727" s="16"/>
      <c r="G727" s="17" t="str">
        <f aca="false">IF(D727="","",IF(E727="Geldi",IF(F727="",IFERROR(INDEX(Hizmetler!$C$5:$C$54,MATCH(D727,Hizmetler!$A$5:$A$54,0)),0),F727),0))</f>
        <v/>
      </c>
      <c r="H727" s="18" t="str">
        <f aca="false">IF(OR(B727="",D727=""),"",ROUND((B727+IFERROR(INDEX(Hizmetler!$B$5:$B$54,MATCH(D727,Hizmetler!$A$5:$A$54,0)),0)/1440)*1440,0)/1440)</f>
        <v/>
      </c>
      <c r="I727" s="19" t="str">
        <f aca="false">IF(OR(A727="",H727="",E727="İptal"),"",IF(COUNTIFS($A$5:$A$1004,A727,$B$5:$B$1004,"&lt;"&amp;(H727-0.0003),$H$5:$H$1004,"&gt;"&amp;(B727+0.0003),$E$5:$E$1004,"&lt;&gt;İptal")&gt;1,"Çakışıyor",""))</f>
        <v/>
      </c>
      <c r="J727" s="21" t="str">
        <f aca="false">IF(AND(A727=Gün!$C$3,B727&lt;&gt;"",E727&lt;&gt;"İptal"),B727+ROW()/100000000,"")</f>
        <v/>
      </c>
    </row>
    <row r="728" customFormat="false" ht="15" hidden="false" customHeight="false" outlineLevel="0" collapsed="false">
      <c r="A728" s="12"/>
      <c r="B728" s="13"/>
      <c r="C728" s="14"/>
      <c r="D728" s="14"/>
      <c r="E728" s="15"/>
      <c r="F728" s="16"/>
      <c r="G728" s="17" t="str">
        <f aca="false">IF(D728="","",IF(E728="Geldi",IF(F728="",IFERROR(INDEX(Hizmetler!$C$5:$C$54,MATCH(D728,Hizmetler!$A$5:$A$54,0)),0),F728),0))</f>
        <v/>
      </c>
      <c r="H728" s="18" t="str">
        <f aca="false">IF(OR(B728="",D728=""),"",ROUND((B728+IFERROR(INDEX(Hizmetler!$B$5:$B$54,MATCH(D728,Hizmetler!$A$5:$A$54,0)),0)/1440)*1440,0)/1440)</f>
        <v/>
      </c>
      <c r="I728" s="19" t="str">
        <f aca="false">IF(OR(A728="",H728="",E728="İptal"),"",IF(COUNTIFS($A$5:$A$1004,A728,$B$5:$B$1004,"&lt;"&amp;(H728-0.0003),$H$5:$H$1004,"&gt;"&amp;(B728+0.0003),$E$5:$E$1004,"&lt;&gt;İptal")&gt;1,"Çakışıyor",""))</f>
        <v/>
      </c>
      <c r="J728" s="21" t="str">
        <f aca="false">IF(AND(A728=Gün!$C$3,B728&lt;&gt;"",E728&lt;&gt;"İptal"),B728+ROW()/100000000,"")</f>
        <v/>
      </c>
    </row>
    <row r="729" customFormat="false" ht="15" hidden="false" customHeight="false" outlineLevel="0" collapsed="false">
      <c r="A729" s="12"/>
      <c r="B729" s="13"/>
      <c r="C729" s="14"/>
      <c r="D729" s="14"/>
      <c r="E729" s="15"/>
      <c r="F729" s="16"/>
      <c r="G729" s="17" t="str">
        <f aca="false">IF(D729="","",IF(E729="Geldi",IF(F729="",IFERROR(INDEX(Hizmetler!$C$5:$C$54,MATCH(D729,Hizmetler!$A$5:$A$54,0)),0),F729),0))</f>
        <v/>
      </c>
      <c r="H729" s="18" t="str">
        <f aca="false">IF(OR(B729="",D729=""),"",ROUND((B729+IFERROR(INDEX(Hizmetler!$B$5:$B$54,MATCH(D729,Hizmetler!$A$5:$A$54,0)),0)/1440)*1440,0)/1440)</f>
        <v/>
      </c>
      <c r="I729" s="19" t="str">
        <f aca="false">IF(OR(A729="",H729="",E729="İptal"),"",IF(COUNTIFS($A$5:$A$1004,A729,$B$5:$B$1004,"&lt;"&amp;(H729-0.0003),$H$5:$H$1004,"&gt;"&amp;(B729+0.0003),$E$5:$E$1004,"&lt;&gt;İptal")&gt;1,"Çakışıyor",""))</f>
        <v/>
      </c>
      <c r="J729" s="21" t="str">
        <f aca="false">IF(AND(A729=Gün!$C$3,B729&lt;&gt;"",E729&lt;&gt;"İptal"),B729+ROW()/100000000,"")</f>
        <v/>
      </c>
    </row>
    <row r="730" customFormat="false" ht="15" hidden="false" customHeight="false" outlineLevel="0" collapsed="false">
      <c r="A730" s="12"/>
      <c r="B730" s="13"/>
      <c r="C730" s="14"/>
      <c r="D730" s="14"/>
      <c r="E730" s="15"/>
      <c r="F730" s="16"/>
      <c r="G730" s="17" t="str">
        <f aca="false">IF(D730="","",IF(E730="Geldi",IF(F730="",IFERROR(INDEX(Hizmetler!$C$5:$C$54,MATCH(D730,Hizmetler!$A$5:$A$54,0)),0),F730),0))</f>
        <v/>
      </c>
      <c r="H730" s="18" t="str">
        <f aca="false">IF(OR(B730="",D730=""),"",ROUND((B730+IFERROR(INDEX(Hizmetler!$B$5:$B$54,MATCH(D730,Hizmetler!$A$5:$A$54,0)),0)/1440)*1440,0)/1440)</f>
        <v/>
      </c>
      <c r="I730" s="19" t="str">
        <f aca="false">IF(OR(A730="",H730="",E730="İptal"),"",IF(COUNTIFS($A$5:$A$1004,A730,$B$5:$B$1004,"&lt;"&amp;(H730-0.0003),$H$5:$H$1004,"&gt;"&amp;(B730+0.0003),$E$5:$E$1004,"&lt;&gt;İptal")&gt;1,"Çakışıyor",""))</f>
        <v/>
      </c>
      <c r="J730" s="21" t="str">
        <f aca="false">IF(AND(A730=Gün!$C$3,B730&lt;&gt;"",E730&lt;&gt;"İptal"),B730+ROW()/100000000,"")</f>
        <v/>
      </c>
    </row>
    <row r="731" customFormat="false" ht="15" hidden="false" customHeight="false" outlineLevel="0" collapsed="false">
      <c r="A731" s="12"/>
      <c r="B731" s="13"/>
      <c r="C731" s="14"/>
      <c r="D731" s="14"/>
      <c r="E731" s="15"/>
      <c r="F731" s="16"/>
      <c r="G731" s="17" t="str">
        <f aca="false">IF(D731="","",IF(E731="Geldi",IF(F731="",IFERROR(INDEX(Hizmetler!$C$5:$C$54,MATCH(D731,Hizmetler!$A$5:$A$54,0)),0),F731),0))</f>
        <v/>
      </c>
      <c r="H731" s="18" t="str">
        <f aca="false">IF(OR(B731="",D731=""),"",ROUND((B731+IFERROR(INDEX(Hizmetler!$B$5:$B$54,MATCH(D731,Hizmetler!$A$5:$A$54,0)),0)/1440)*1440,0)/1440)</f>
        <v/>
      </c>
      <c r="I731" s="19" t="str">
        <f aca="false">IF(OR(A731="",H731="",E731="İptal"),"",IF(COUNTIFS($A$5:$A$1004,A731,$B$5:$B$1004,"&lt;"&amp;(H731-0.0003),$H$5:$H$1004,"&gt;"&amp;(B731+0.0003),$E$5:$E$1004,"&lt;&gt;İptal")&gt;1,"Çakışıyor",""))</f>
        <v/>
      </c>
      <c r="J731" s="21" t="str">
        <f aca="false">IF(AND(A731=Gün!$C$3,B731&lt;&gt;"",E731&lt;&gt;"İptal"),B731+ROW()/100000000,"")</f>
        <v/>
      </c>
    </row>
    <row r="732" customFormat="false" ht="15" hidden="false" customHeight="false" outlineLevel="0" collapsed="false">
      <c r="A732" s="12"/>
      <c r="B732" s="13"/>
      <c r="C732" s="14"/>
      <c r="D732" s="14"/>
      <c r="E732" s="15"/>
      <c r="F732" s="16"/>
      <c r="G732" s="17" t="str">
        <f aca="false">IF(D732="","",IF(E732="Geldi",IF(F732="",IFERROR(INDEX(Hizmetler!$C$5:$C$54,MATCH(D732,Hizmetler!$A$5:$A$54,0)),0),F732),0))</f>
        <v/>
      </c>
      <c r="H732" s="18" t="str">
        <f aca="false">IF(OR(B732="",D732=""),"",ROUND((B732+IFERROR(INDEX(Hizmetler!$B$5:$B$54,MATCH(D732,Hizmetler!$A$5:$A$54,0)),0)/1440)*1440,0)/1440)</f>
        <v/>
      </c>
      <c r="I732" s="19" t="str">
        <f aca="false">IF(OR(A732="",H732="",E732="İptal"),"",IF(COUNTIFS($A$5:$A$1004,A732,$B$5:$B$1004,"&lt;"&amp;(H732-0.0003),$H$5:$H$1004,"&gt;"&amp;(B732+0.0003),$E$5:$E$1004,"&lt;&gt;İptal")&gt;1,"Çakışıyor",""))</f>
        <v/>
      </c>
      <c r="J732" s="21" t="str">
        <f aca="false">IF(AND(A732=Gün!$C$3,B732&lt;&gt;"",E732&lt;&gt;"İptal"),B732+ROW()/100000000,"")</f>
        <v/>
      </c>
    </row>
    <row r="733" customFormat="false" ht="15" hidden="false" customHeight="false" outlineLevel="0" collapsed="false">
      <c r="A733" s="12"/>
      <c r="B733" s="13"/>
      <c r="C733" s="14"/>
      <c r="D733" s="14"/>
      <c r="E733" s="15"/>
      <c r="F733" s="16"/>
      <c r="G733" s="17" t="str">
        <f aca="false">IF(D733="","",IF(E733="Geldi",IF(F733="",IFERROR(INDEX(Hizmetler!$C$5:$C$54,MATCH(D733,Hizmetler!$A$5:$A$54,0)),0),F733),0))</f>
        <v/>
      </c>
      <c r="H733" s="18" t="str">
        <f aca="false">IF(OR(B733="",D733=""),"",ROUND((B733+IFERROR(INDEX(Hizmetler!$B$5:$B$54,MATCH(D733,Hizmetler!$A$5:$A$54,0)),0)/1440)*1440,0)/1440)</f>
        <v/>
      </c>
      <c r="I733" s="19" t="str">
        <f aca="false">IF(OR(A733="",H733="",E733="İptal"),"",IF(COUNTIFS($A$5:$A$1004,A733,$B$5:$B$1004,"&lt;"&amp;(H733-0.0003),$H$5:$H$1004,"&gt;"&amp;(B733+0.0003),$E$5:$E$1004,"&lt;&gt;İptal")&gt;1,"Çakışıyor",""))</f>
        <v/>
      </c>
      <c r="J733" s="21" t="str">
        <f aca="false">IF(AND(A733=Gün!$C$3,B733&lt;&gt;"",E733&lt;&gt;"İptal"),B733+ROW()/100000000,"")</f>
        <v/>
      </c>
    </row>
    <row r="734" customFormat="false" ht="15" hidden="false" customHeight="false" outlineLevel="0" collapsed="false">
      <c r="A734" s="12"/>
      <c r="B734" s="13"/>
      <c r="C734" s="14"/>
      <c r="D734" s="14"/>
      <c r="E734" s="15"/>
      <c r="F734" s="16"/>
      <c r="G734" s="17" t="str">
        <f aca="false">IF(D734="","",IF(E734="Geldi",IF(F734="",IFERROR(INDEX(Hizmetler!$C$5:$C$54,MATCH(D734,Hizmetler!$A$5:$A$54,0)),0),F734),0))</f>
        <v/>
      </c>
      <c r="H734" s="18" t="str">
        <f aca="false">IF(OR(B734="",D734=""),"",ROUND((B734+IFERROR(INDEX(Hizmetler!$B$5:$B$54,MATCH(D734,Hizmetler!$A$5:$A$54,0)),0)/1440)*1440,0)/1440)</f>
        <v/>
      </c>
      <c r="I734" s="19" t="str">
        <f aca="false">IF(OR(A734="",H734="",E734="İptal"),"",IF(COUNTIFS($A$5:$A$1004,A734,$B$5:$B$1004,"&lt;"&amp;(H734-0.0003),$H$5:$H$1004,"&gt;"&amp;(B734+0.0003),$E$5:$E$1004,"&lt;&gt;İptal")&gt;1,"Çakışıyor",""))</f>
        <v/>
      </c>
      <c r="J734" s="21" t="str">
        <f aca="false">IF(AND(A734=Gün!$C$3,B734&lt;&gt;"",E734&lt;&gt;"İptal"),B734+ROW()/100000000,"")</f>
        <v/>
      </c>
    </row>
    <row r="735" customFormat="false" ht="15" hidden="false" customHeight="false" outlineLevel="0" collapsed="false">
      <c r="A735" s="12"/>
      <c r="B735" s="13"/>
      <c r="C735" s="14"/>
      <c r="D735" s="14"/>
      <c r="E735" s="15"/>
      <c r="F735" s="16"/>
      <c r="G735" s="17" t="str">
        <f aca="false">IF(D735="","",IF(E735="Geldi",IF(F735="",IFERROR(INDEX(Hizmetler!$C$5:$C$54,MATCH(D735,Hizmetler!$A$5:$A$54,0)),0),F735),0))</f>
        <v/>
      </c>
      <c r="H735" s="18" t="str">
        <f aca="false">IF(OR(B735="",D735=""),"",ROUND((B735+IFERROR(INDEX(Hizmetler!$B$5:$B$54,MATCH(D735,Hizmetler!$A$5:$A$54,0)),0)/1440)*1440,0)/1440)</f>
        <v/>
      </c>
      <c r="I735" s="19" t="str">
        <f aca="false">IF(OR(A735="",H735="",E735="İptal"),"",IF(COUNTIFS($A$5:$A$1004,A735,$B$5:$B$1004,"&lt;"&amp;(H735-0.0003),$H$5:$H$1004,"&gt;"&amp;(B735+0.0003),$E$5:$E$1004,"&lt;&gt;İptal")&gt;1,"Çakışıyor",""))</f>
        <v/>
      </c>
      <c r="J735" s="21" t="str">
        <f aca="false">IF(AND(A735=Gün!$C$3,B735&lt;&gt;"",E735&lt;&gt;"İptal"),B735+ROW()/100000000,"")</f>
        <v/>
      </c>
    </row>
    <row r="736" customFormat="false" ht="15" hidden="false" customHeight="false" outlineLevel="0" collapsed="false">
      <c r="A736" s="12"/>
      <c r="B736" s="13"/>
      <c r="C736" s="14"/>
      <c r="D736" s="14"/>
      <c r="E736" s="15"/>
      <c r="F736" s="16"/>
      <c r="G736" s="17" t="str">
        <f aca="false">IF(D736="","",IF(E736="Geldi",IF(F736="",IFERROR(INDEX(Hizmetler!$C$5:$C$54,MATCH(D736,Hizmetler!$A$5:$A$54,0)),0),F736),0))</f>
        <v/>
      </c>
      <c r="H736" s="18" t="str">
        <f aca="false">IF(OR(B736="",D736=""),"",ROUND((B736+IFERROR(INDEX(Hizmetler!$B$5:$B$54,MATCH(D736,Hizmetler!$A$5:$A$54,0)),0)/1440)*1440,0)/1440)</f>
        <v/>
      </c>
      <c r="I736" s="19" t="str">
        <f aca="false">IF(OR(A736="",H736="",E736="İptal"),"",IF(COUNTIFS($A$5:$A$1004,A736,$B$5:$B$1004,"&lt;"&amp;(H736-0.0003),$H$5:$H$1004,"&gt;"&amp;(B736+0.0003),$E$5:$E$1004,"&lt;&gt;İptal")&gt;1,"Çakışıyor",""))</f>
        <v/>
      </c>
      <c r="J736" s="21" t="str">
        <f aca="false">IF(AND(A736=Gün!$C$3,B736&lt;&gt;"",E736&lt;&gt;"İptal"),B736+ROW()/100000000,"")</f>
        <v/>
      </c>
    </row>
    <row r="737" customFormat="false" ht="15" hidden="false" customHeight="false" outlineLevel="0" collapsed="false">
      <c r="A737" s="12"/>
      <c r="B737" s="13"/>
      <c r="C737" s="14"/>
      <c r="D737" s="14"/>
      <c r="E737" s="15"/>
      <c r="F737" s="16"/>
      <c r="G737" s="17" t="str">
        <f aca="false">IF(D737="","",IF(E737="Geldi",IF(F737="",IFERROR(INDEX(Hizmetler!$C$5:$C$54,MATCH(D737,Hizmetler!$A$5:$A$54,0)),0),F737),0))</f>
        <v/>
      </c>
      <c r="H737" s="18" t="str">
        <f aca="false">IF(OR(B737="",D737=""),"",ROUND((B737+IFERROR(INDEX(Hizmetler!$B$5:$B$54,MATCH(D737,Hizmetler!$A$5:$A$54,0)),0)/1440)*1440,0)/1440)</f>
        <v/>
      </c>
      <c r="I737" s="19" t="str">
        <f aca="false">IF(OR(A737="",H737="",E737="İptal"),"",IF(COUNTIFS($A$5:$A$1004,A737,$B$5:$B$1004,"&lt;"&amp;(H737-0.0003),$H$5:$H$1004,"&gt;"&amp;(B737+0.0003),$E$5:$E$1004,"&lt;&gt;İptal")&gt;1,"Çakışıyor",""))</f>
        <v/>
      </c>
      <c r="J737" s="21" t="str">
        <f aca="false">IF(AND(A737=Gün!$C$3,B737&lt;&gt;"",E737&lt;&gt;"İptal"),B737+ROW()/100000000,"")</f>
        <v/>
      </c>
    </row>
    <row r="738" customFormat="false" ht="15" hidden="false" customHeight="false" outlineLevel="0" collapsed="false">
      <c r="A738" s="12"/>
      <c r="B738" s="13"/>
      <c r="C738" s="14"/>
      <c r="D738" s="14"/>
      <c r="E738" s="15"/>
      <c r="F738" s="16"/>
      <c r="G738" s="17" t="str">
        <f aca="false">IF(D738="","",IF(E738="Geldi",IF(F738="",IFERROR(INDEX(Hizmetler!$C$5:$C$54,MATCH(D738,Hizmetler!$A$5:$A$54,0)),0),F738),0))</f>
        <v/>
      </c>
      <c r="H738" s="18" t="str">
        <f aca="false">IF(OR(B738="",D738=""),"",ROUND((B738+IFERROR(INDEX(Hizmetler!$B$5:$B$54,MATCH(D738,Hizmetler!$A$5:$A$54,0)),0)/1440)*1440,0)/1440)</f>
        <v/>
      </c>
      <c r="I738" s="19" t="str">
        <f aca="false">IF(OR(A738="",H738="",E738="İptal"),"",IF(COUNTIFS($A$5:$A$1004,A738,$B$5:$B$1004,"&lt;"&amp;(H738-0.0003),$H$5:$H$1004,"&gt;"&amp;(B738+0.0003),$E$5:$E$1004,"&lt;&gt;İptal")&gt;1,"Çakışıyor",""))</f>
        <v/>
      </c>
      <c r="J738" s="21" t="str">
        <f aca="false">IF(AND(A738=Gün!$C$3,B738&lt;&gt;"",E738&lt;&gt;"İptal"),B738+ROW()/100000000,"")</f>
        <v/>
      </c>
    </row>
    <row r="739" customFormat="false" ht="15" hidden="false" customHeight="false" outlineLevel="0" collapsed="false">
      <c r="A739" s="12"/>
      <c r="B739" s="13"/>
      <c r="C739" s="14"/>
      <c r="D739" s="14"/>
      <c r="E739" s="15"/>
      <c r="F739" s="16"/>
      <c r="G739" s="17" t="str">
        <f aca="false">IF(D739="","",IF(E739="Geldi",IF(F739="",IFERROR(INDEX(Hizmetler!$C$5:$C$54,MATCH(D739,Hizmetler!$A$5:$A$54,0)),0),F739),0))</f>
        <v/>
      </c>
      <c r="H739" s="18" t="str">
        <f aca="false">IF(OR(B739="",D739=""),"",ROUND((B739+IFERROR(INDEX(Hizmetler!$B$5:$B$54,MATCH(D739,Hizmetler!$A$5:$A$54,0)),0)/1440)*1440,0)/1440)</f>
        <v/>
      </c>
      <c r="I739" s="19" t="str">
        <f aca="false">IF(OR(A739="",H739="",E739="İptal"),"",IF(COUNTIFS($A$5:$A$1004,A739,$B$5:$B$1004,"&lt;"&amp;(H739-0.0003),$H$5:$H$1004,"&gt;"&amp;(B739+0.0003),$E$5:$E$1004,"&lt;&gt;İptal")&gt;1,"Çakışıyor",""))</f>
        <v/>
      </c>
      <c r="J739" s="21" t="str">
        <f aca="false">IF(AND(A739=Gün!$C$3,B739&lt;&gt;"",E739&lt;&gt;"İptal"),B739+ROW()/100000000,"")</f>
        <v/>
      </c>
    </row>
    <row r="740" customFormat="false" ht="15" hidden="false" customHeight="false" outlineLevel="0" collapsed="false">
      <c r="A740" s="12"/>
      <c r="B740" s="13"/>
      <c r="C740" s="14"/>
      <c r="D740" s="14"/>
      <c r="E740" s="15"/>
      <c r="F740" s="16"/>
      <c r="G740" s="17" t="str">
        <f aca="false">IF(D740="","",IF(E740="Geldi",IF(F740="",IFERROR(INDEX(Hizmetler!$C$5:$C$54,MATCH(D740,Hizmetler!$A$5:$A$54,0)),0),F740),0))</f>
        <v/>
      </c>
      <c r="H740" s="18" t="str">
        <f aca="false">IF(OR(B740="",D740=""),"",ROUND((B740+IFERROR(INDEX(Hizmetler!$B$5:$B$54,MATCH(D740,Hizmetler!$A$5:$A$54,0)),0)/1440)*1440,0)/1440)</f>
        <v/>
      </c>
      <c r="I740" s="19" t="str">
        <f aca="false">IF(OR(A740="",H740="",E740="İptal"),"",IF(COUNTIFS($A$5:$A$1004,A740,$B$5:$B$1004,"&lt;"&amp;(H740-0.0003),$H$5:$H$1004,"&gt;"&amp;(B740+0.0003),$E$5:$E$1004,"&lt;&gt;İptal")&gt;1,"Çakışıyor",""))</f>
        <v/>
      </c>
      <c r="J740" s="21" t="str">
        <f aca="false">IF(AND(A740=Gün!$C$3,B740&lt;&gt;"",E740&lt;&gt;"İptal"),B740+ROW()/100000000,"")</f>
        <v/>
      </c>
    </row>
    <row r="741" customFormat="false" ht="15" hidden="false" customHeight="false" outlineLevel="0" collapsed="false">
      <c r="A741" s="12"/>
      <c r="B741" s="13"/>
      <c r="C741" s="14"/>
      <c r="D741" s="14"/>
      <c r="E741" s="15"/>
      <c r="F741" s="16"/>
      <c r="G741" s="17" t="str">
        <f aca="false">IF(D741="","",IF(E741="Geldi",IF(F741="",IFERROR(INDEX(Hizmetler!$C$5:$C$54,MATCH(D741,Hizmetler!$A$5:$A$54,0)),0),F741),0))</f>
        <v/>
      </c>
      <c r="H741" s="18" t="str">
        <f aca="false">IF(OR(B741="",D741=""),"",ROUND((B741+IFERROR(INDEX(Hizmetler!$B$5:$B$54,MATCH(D741,Hizmetler!$A$5:$A$54,0)),0)/1440)*1440,0)/1440)</f>
        <v/>
      </c>
      <c r="I741" s="19" t="str">
        <f aca="false">IF(OR(A741="",H741="",E741="İptal"),"",IF(COUNTIFS($A$5:$A$1004,A741,$B$5:$B$1004,"&lt;"&amp;(H741-0.0003),$H$5:$H$1004,"&gt;"&amp;(B741+0.0003),$E$5:$E$1004,"&lt;&gt;İptal")&gt;1,"Çakışıyor",""))</f>
        <v/>
      </c>
      <c r="J741" s="21" t="str">
        <f aca="false">IF(AND(A741=Gün!$C$3,B741&lt;&gt;"",E741&lt;&gt;"İptal"),B741+ROW()/100000000,"")</f>
        <v/>
      </c>
    </row>
    <row r="742" customFormat="false" ht="15" hidden="false" customHeight="false" outlineLevel="0" collapsed="false">
      <c r="A742" s="12"/>
      <c r="B742" s="13"/>
      <c r="C742" s="14"/>
      <c r="D742" s="14"/>
      <c r="E742" s="15"/>
      <c r="F742" s="16"/>
      <c r="G742" s="17" t="str">
        <f aca="false">IF(D742="","",IF(E742="Geldi",IF(F742="",IFERROR(INDEX(Hizmetler!$C$5:$C$54,MATCH(D742,Hizmetler!$A$5:$A$54,0)),0),F742),0))</f>
        <v/>
      </c>
      <c r="H742" s="18" t="str">
        <f aca="false">IF(OR(B742="",D742=""),"",ROUND((B742+IFERROR(INDEX(Hizmetler!$B$5:$B$54,MATCH(D742,Hizmetler!$A$5:$A$54,0)),0)/1440)*1440,0)/1440)</f>
        <v/>
      </c>
      <c r="I742" s="19" t="str">
        <f aca="false">IF(OR(A742="",H742="",E742="İptal"),"",IF(COUNTIFS($A$5:$A$1004,A742,$B$5:$B$1004,"&lt;"&amp;(H742-0.0003),$H$5:$H$1004,"&gt;"&amp;(B742+0.0003),$E$5:$E$1004,"&lt;&gt;İptal")&gt;1,"Çakışıyor",""))</f>
        <v/>
      </c>
      <c r="J742" s="21" t="str">
        <f aca="false">IF(AND(A742=Gün!$C$3,B742&lt;&gt;"",E742&lt;&gt;"İptal"),B742+ROW()/100000000,"")</f>
        <v/>
      </c>
    </row>
    <row r="743" customFormat="false" ht="15" hidden="false" customHeight="false" outlineLevel="0" collapsed="false">
      <c r="A743" s="12"/>
      <c r="B743" s="13"/>
      <c r="C743" s="14"/>
      <c r="D743" s="14"/>
      <c r="E743" s="15"/>
      <c r="F743" s="16"/>
      <c r="G743" s="17" t="str">
        <f aca="false">IF(D743="","",IF(E743="Geldi",IF(F743="",IFERROR(INDEX(Hizmetler!$C$5:$C$54,MATCH(D743,Hizmetler!$A$5:$A$54,0)),0),F743),0))</f>
        <v/>
      </c>
      <c r="H743" s="18" t="str">
        <f aca="false">IF(OR(B743="",D743=""),"",ROUND((B743+IFERROR(INDEX(Hizmetler!$B$5:$B$54,MATCH(D743,Hizmetler!$A$5:$A$54,0)),0)/1440)*1440,0)/1440)</f>
        <v/>
      </c>
      <c r="I743" s="19" t="str">
        <f aca="false">IF(OR(A743="",H743="",E743="İptal"),"",IF(COUNTIFS($A$5:$A$1004,A743,$B$5:$B$1004,"&lt;"&amp;(H743-0.0003),$H$5:$H$1004,"&gt;"&amp;(B743+0.0003),$E$5:$E$1004,"&lt;&gt;İptal")&gt;1,"Çakışıyor",""))</f>
        <v/>
      </c>
      <c r="J743" s="21" t="str">
        <f aca="false">IF(AND(A743=Gün!$C$3,B743&lt;&gt;"",E743&lt;&gt;"İptal"),B743+ROW()/100000000,"")</f>
        <v/>
      </c>
    </row>
    <row r="744" customFormat="false" ht="15" hidden="false" customHeight="false" outlineLevel="0" collapsed="false">
      <c r="A744" s="12"/>
      <c r="B744" s="13"/>
      <c r="C744" s="14"/>
      <c r="D744" s="14"/>
      <c r="E744" s="15"/>
      <c r="F744" s="16"/>
      <c r="G744" s="17" t="str">
        <f aca="false">IF(D744="","",IF(E744="Geldi",IF(F744="",IFERROR(INDEX(Hizmetler!$C$5:$C$54,MATCH(D744,Hizmetler!$A$5:$A$54,0)),0),F744),0))</f>
        <v/>
      </c>
      <c r="H744" s="18" t="str">
        <f aca="false">IF(OR(B744="",D744=""),"",ROUND((B744+IFERROR(INDEX(Hizmetler!$B$5:$B$54,MATCH(D744,Hizmetler!$A$5:$A$54,0)),0)/1440)*1440,0)/1440)</f>
        <v/>
      </c>
      <c r="I744" s="19" t="str">
        <f aca="false">IF(OR(A744="",H744="",E744="İptal"),"",IF(COUNTIFS($A$5:$A$1004,A744,$B$5:$B$1004,"&lt;"&amp;(H744-0.0003),$H$5:$H$1004,"&gt;"&amp;(B744+0.0003),$E$5:$E$1004,"&lt;&gt;İptal")&gt;1,"Çakışıyor",""))</f>
        <v/>
      </c>
      <c r="J744" s="21" t="str">
        <f aca="false">IF(AND(A744=Gün!$C$3,B744&lt;&gt;"",E744&lt;&gt;"İptal"),B744+ROW()/100000000,"")</f>
        <v/>
      </c>
    </row>
    <row r="745" customFormat="false" ht="15" hidden="false" customHeight="false" outlineLevel="0" collapsed="false">
      <c r="A745" s="12"/>
      <c r="B745" s="13"/>
      <c r="C745" s="14"/>
      <c r="D745" s="14"/>
      <c r="E745" s="15"/>
      <c r="F745" s="16"/>
      <c r="G745" s="17" t="str">
        <f aca="false">IF(D745="","",IF(E745="Geldi",IF(F745="",IFERROR(INDEX(Hizmetler!$C$5:$C$54,MATCH(D745,Hizmetler!$A$5:$A$54,0)),0),F745),0))</f>
        <v/>
      </c>
      <c r="H745" s="18" t="str">
        <f aca="false">IF(OR(B745="",D745=""),"",ROUND((B745+IFERROR(INDEX(Hizmetler!$B$5:$B$54,MATCH(D745,Hizmetler!$A$5:$A$54,0)),0)/1440)*1440,0)/1440)</f>
        <v/>
      </c>
      <c r="I745" s="19" t="str">
        <f aca="false">IF(OR(A745="",H745="",E745="İptal"),"",IF(COUNTIFS($A$5:$A$1004,A745,$B$5:$B$1004,"&lt;"&amp;(H745-0.0003),$H$5:$H$1004,"&gt;"&amp;(B745+0.0003),$E$5:$E$1004,"&lt;&gt;İptal")&gt;1,"Çakışıyor",""))</f>
        <v/>
      </c>
      <c r="J745" s="21" t="str">
        <f aca="false">IF(AND(A745=Gün!$C$3,B745&lt;&gt;"",E745&lt;&gt;"İptal"),B745+ROW()/100000000,"")</f>
        <v/>
      </c>
    </row>
    <row r="746" customFormat="false" ht="15" hidden="false" customHeight="false" outlineLevel="0" collapsed="false">
      <c r="A746" s="12"/>
      <c r="B746" s="13"/>
      <c r="C746" s="14"/>
      <c r="D746" s="14"/>
      <c r="E746" s="15"/>
      <c r="F746" s="16"/>
      <c r="G746" s="17" t="str">
        <f aca="false">IF(D746="","",IF(E746="Geldi",IF(F746="",IFERROR(INDEX(Hizmetler!$C$5:$C$54,MATCH(D746,Hizmetler!$A$5:$A$54,0)),0),F746),0))</f>
        <v/>
      </c>
      <c r="H746" s="18" t="str">
        <f aca="false">IF(OR(B746="",D746=""),"",ROUND((B746+IFERROR(INDEX(Hizmetler!$B$5:$B$54,MATCH(D746,Hizmetler!$A$5:$A$54,0)),0)/1440)*1440,0)/1440)</f>
        <v/>
      </c>
      <c r="I746" s="19" t="str">
        <f aca="false">IF(OR(A746="",H746="",E746="İptal"),"",IF(COUNTIFS($A$5:$A$1004,A746,$B$5:$B$1004,"&lt;"&amp;(H746-0.0003),$H$5:$H$1004,"&gt;"&amp;(B746+0.0003),$E$5:$E$1004,"&lt;&gt;İptal")&gt;1,"Çakışıyor",""))</f>
        <v/>
      </c>
      <c r="J746" s="21" t="str">
        <f aca="false">IF(AND(A746=Gün!$C$3,B746&lt;&gt;"",E746&lt;&gt;"İptal"),B746+ROW()/100000000,"")</f>
        <v/>
      </c>
    </row>
    <row r="747" customFormat="false" ht="15" hidden="false" customHeight="false" outlineLevel="0" collapsed="false">
      <c r="A747" s="12"/>
      <c r="B747" s="13"/>
      <c r="C747" s="14"/>
      <c r="D747" s="14"/>
      <c r="E747" s="15"/>
      <c r="F747" s="16"/>
      <c r="G747" s="17" t="str">
        <f aca="false">IF(D747="","",IF(E747="Geldi",IF(F747="",IFERROR(INDEX(Hizmetler!$C$5:$C$54,MATCH(D747,Hizmetler!$A$5:$A$54,0)),0),F747),0))</f>
        <v/>
      </c>
      <c r="H747" s="18" t="str">
        <f aca="false">IF(OR(B747="",D747=""),"",ROUND((B747+IFERROR(INDEX(Hizmetler!$B$5:$B$54,MATCH(D747,Hizmetler!$A$5:$A$54,0)),0)/1440)*1440,0)/1440)</f>
        <v/>
      </c>
      <c r="I747" s="19" t="str">
        <f aca="false">IF(OR(A747="",H747="",E747="İptal"),"",IF(COUNTIFS($A$5:$A$1004,A747,$B$5:$B$1004,"&lt;"&amp;(H747-0.0003),$H$5:$H$1004,"&gt;"&amp;(B747+0.0003),$E$5:$E$1004,"&lt;&gt;İptal")&gt;1,"Çakışıyor",""))</f>
        <v/>
      </c>
      <c r="J747" s="21" t="str">
        <f aca="false">IF(AND(A747=Gün!$C$3,B747&lt;&gt;"",E747&lt;&gt;"İptal"),B747+ROW()/100000000,"")</f>
        <v/>
      </c>
    </row>
    <row r="748" customFormat="false" ht="15" hidden="false" customHeight="false" outlineLevel="0" collapsed="false">
      <c r="A748" s="12"/>
      <c r="B748" s="13"/>
      <c r="C748" s="14"/>
      <c r="D748" s="14"/>
      <c r="E748" s="15"/>
      <c r="F748" s="16"/>
      <c r="G748" s="17" t="str">
        <f aca="false">IF(D748="","",IF(E748="Geldi",IF(F748="",IFERROR(INDEX(Hizmetler!$C$5:$C$54,MATCH(D748,Hizmetler!$A$5:$A$54,0)),0),F748),0))</f>
        <v/>
      </c>
      <c r="H748" s="18" t="str">
        <f aca="false">IF(OR(B748="",D748=""),"",ROUND((B748+IFERROR(INDEX(Hizmetler!$B$5:$B$54,MATCH(D748,Hizmetler!$A$5:$A$54,0)),0)/1440)*1440,0)/1440)</f>
        <v/>
      </c>
      <c r="I748" s="19" t="str">
        <f aca="false">IF(OR(A748="",H748="",E748="İptal"),"",IF(COUNTIFS($A$5:$A$1004,A748,$B$5:$B$1004,"&lt;"&amp;(H748-0.0003),$H$5:$H$1004,"&gt;"&amp;(B748+0.0003),$E$5:$E$1004,"&lt;&gt;İptal")&gt;1,"Çakışıyor",""))</f>
        <v/>
      </c>
      <c r="J748" s="21" t="str">
        <f aca="false">IF(AND(A748=Gün!$C$3,B748&lt;&gt;"",E748&lt;&gt;"İptal"),B748+ROW()/100000000,"")</f>
        <v/>
      </c>
    </row>
    <row r="749" customFormat="false" ht="15" hidden="false" customHeight="false" outlineLevel="0" collapsed="false">
      <c r="A749" s="12"/>
      <c r="B749" s="13"/>
      <c r="C749" s="14"/>
      <c r="D749" s="14"/>
      <c r="E749" s="15"/>
      <c r="F749" s="16"/>
      <c r="G749" s="17" t="str">
        <f aca="false">IF(D749="","",IF(E749="Geldi",IF(F749="",IFERROR(INDEX(Hizmetler!$C$5:$C$54,MATCH(D749,Hizmetler!$A$5:$A$54,0)),0),F749),0))</f>
        <v/>
      </c>
      <c r="H749" s="18" t="str">
        <f aca="false">IF(OR(B749="",D749=""),"",ROUND((B749+IFERROR(INDEX(Hizmetler!$B$5:$B$54,MATCH(D749,Hizmetler!$A$5:$A$54,0)),0)/1440)*1440,0)/1440)</f>
        <v/>
      </c>
      <c r="I749" s="19" t="str">
        <f aca="false">IF(OR(A749="",H749="",E749="İptal"),"",IF(COUNTIFS($A$5:$A$1004,A749,$B$5:$B$1004,"&lt;"&amp;(H749-0.0003),$H$5:$H$1004,"&gt;"&amp;(B749+0.0003),$E$5:$E$1004,"&lt;&gt;İptal")&gt;1,"Çakışıyor",""))</f>
        <v/>
      </c>
      <c r="J749" s="21" t="str">
        <f aca="false">IF(AND(A749=Gün!$C$3,B749&lt;&gt;"",E749&lt;&gt;"İptal"),B749+ROW()/100000000,"")</f>
        <v/>
      </c>
    </row>
    <row r="750" customFormat="false" ht="15" hidden="false" customHeight="false" outlineLevel="0" collapsed="false">
      <c r="A750" s="12"/>
      <c r="B750" s="13"/>
      <c r="C750" s="14"/>
      <c r="D750" s="14"/>
      <c r="E750" s="15"/>
      <c r="F750" s="16"/>
      <c r="G750" s="17" t="str">
        <f aca="false">IF(D750="","",IF(E750="Geldi",IF(F750="",IFERROR(INDEX(Hizmetler!$C$5:$C$54,MATCH(D750,Hizmetler!$A$5:$A$54,0)),0),F750),0))</f>
        <v/>
      </c>
      <c r="H750" s="18" t="str">
        <f aca="false">IF(OR(B750="",D750=""),"",ROUND((B750+IFERROR(INDEX(Hizmetler!$B$5:$B$54,MATCH(D750,Hizmetler!$A$5:$A$54,0)),0)/1440)*1440,0)/1440)</f>
        <v/>
      </c>
      <c r="I750" s="19" t="str">
        <f aca="false">IF(OR(A750="",H750="",E750="İptal"),"",IF(COUNTIFS($A$5:$A$1004,A750,$B$5:$B$1004,"&lt;"&amp;(H750-0.0003),$H$5:$H$1004,"&gt;"&amp;(B750+0.0003),$E$5:$E$1004,"&lt;&gt;İptal")&gt;1,"Çakışıyor",""))</f>
        <v/>
      </c>
      <c r="J750" s="21" t="str">
        <f aca="false">IF(AND(A750=Gün!$C$3,B750&lt;&gt;"",E750&lt;&gt;"İptal"),B750+ROW()/100000000,"")</f>
        <v/>
      </c>
    </row>
    <row r="751" customFormat="false" ht="15" hidden="false" customHeight="false" outlineLevel="0" collapsed="false">
      <c r="A751" s="12"/>
      <c r="B751" s="13"/>
      <c r="C751" s="14"/>
      <c r="D751" s="14"/>
      <c r="E751" s="15"/>
      <c r="F751" s="16"/>
      <c r="G751" s="17" t="str">
        <f aca="false">IF(D751="","",IF(E751="Geldi",IF(F751="",IFERROR(INDEX(Hizmetler!$C$5:$C$54,MATCH(D751,Hizmetler!$A$5:$A$54,0)),0),F751),0))</f>
        <v/>
      </c>
      <c r="H751" s="18" t="str">
        <f aca="false">IF(OR(B751="",D751=""),"",ROUND((B751+IFERROR(INDEX(Hizmetler!$B$5:$B$54,MATCH(D751,Hizmetler!$A$5:$A$54,0)),0)/1440)*1440,0)/1440)</f>
        <v/>
      </c>
      <c r="I751" s="19" t="str">
        <f aca="false">IF(OR(A751="",H751="",E751="İptal"),"",IF(COUNTIFS($A$5:$A$1004,A751,$B$5:$B$1004,"&lt;"&amp;(H751-0.0003),$H$5:$H$1004,"&gt;"&amp;(B751+0.0003),$E$5:$E$1004,"&lt;&gt;İptal")&gt;1,"Çakışıyor",""))</f>
        <v/>
      </c>
      <c r="J751" s="21" t="str">
        <f aca="false">IF(AND(A751=Gün!$C$3,B751&lt;&gt;"",E751&lt;&gt;"İptal"),B751+ROW()/100000000,"")</f>
        <v/>
      </c>
    </row>
    <row r="752" customFormat="false" ht="15" hidden="false" customHeight="false" outlineLevel="0" collapsed="false">
      <c r="A752" s="12"/>
      <c r="B752" s="13"/>
      <c r="C752" s="14"/>
      <c r="D752" s="14"/>
      <c r="E752" s="15"/>
      <c r="F752" s="16"/>
      <c r="G752" s="17" t="str">
        <f aca="false">IF(D752="","",IF(E752="Geldi",IF(F752="",IFERROR(INDEX(Hizmetler!$C$5:$C$54,MATCH(D752,Hizmetler!$A$5:$A$54,0)),0),F752),0))</f>
        <v/>
      </c>
      <c r="H752" s="18" t="str">
        <f aca="false">IF(OR(B752="",D752=""),"",ROUND((B752+IFERROR(INDEX(Hizmetler!$B$5:$B$54,MATCH(D752,Hizmetler!$A$5:$A$54,0)),0)/1440)*1440,0)/1440)</f>
        <v/>
      </c>
      <c r="I752" s="19" t="str">
        <f aca="false">IF(OR(A752="",H752="",E752="İptal"),"",IF(COUNTIFS($A$5:$A$1004,A752,$B$5:$B$1004,"&lt;"&amp;(H752-0.0003),$H$5:$H$1004,"&gt;"&amp;(B752+0.0003),$E$5:$E$1004,"&lt;&gt;İptal")&gt;1,"Çakışıyor",""))</f>
        <v/>
      </c>
      <c r="J752" s="21" t="str">
        <f aca="false">IF(AND(A752=Gün!$C$3,B752&lt;&gt;"",E752&lt;&gt;"İptal"),B752+ROW()/100000000,"")</f>
        <v/>
      </c>
    </row>
    <row r="753" customFormat="false" ht="15" hidden="false" customHeight="false" outlineLevel="0" collapsed="false">
      <c r="A753" s="12"/>
      <c r="B753" s="13"/>
      <c r="C753" s="14"/>
      <c r="D753" s="14"/>
      <c r="E753" s="15"/>
      <c r="F753" s="16"/>
      <c r="G753" s="17" t="str">
        <f aca="false">IF(D753="","",IF(E753="Geldi",IF(F753="",IFERROR(INDEX(Hizmetler!$C$5:$C$54,MATCH(D753,Hizmetler!$A$5:$A$54,0)),0),F753),0))</f>
        <v/>
      </c>
      <c r="H753" s="18" t="str">
        <f aca="false">IF(OR(B753="",D753=""),"",ROUND((B753+IFERROR(INDEX(Hizmetler!$B$5:$B$54,MATCH(D753,Hizmetler!$A$5:$A$54,0)),0)/1440)*1440,0)/1440)</f>
        <v/>
      </c>
      <c r="I753" s="19" t="str">
        <f aca="false">IF(OR(A753="",H753="",E753="İptal"),"",IF(COUNTIFS($A$5:$A$1004,A753,$B$5:$B$1004,"&lt;"&amp;(H753-0.0003),$H$5:$H$1004,"&gt;"&amp;(B753+0.0003),$E$5:$E$1004,"&lt;&gt;İptal")&gt;1,"Çakışıyor",""))</f>
        <v/>
      </c>
      <c r="J753" s="21" t="str">
        <f aca="false">IF(AND(A753=Gün!$C$3,B753&lt;&gt;"",E753&lt;&gt;"İptal"),B753+ROW()/100000000,"")</f>
        <v/>
      </c>
    </row>
    <row r="754" customFormat="false" ht="15" hidden="false" customHeight="false" outlineLevel="0" collapsed="false">
      <c r="A754" s="12"/>
      <c r="B754" s="13"/>
      <c r="C754" s="14"/>
      <c r="D754" s="14"/>
      <c r="E754" s="15"/>
      <c r="F754" s="16"/>
      <c r="G754" s="17" t="str">
        <f aca="false">IF(D754="","",IF(E754="Geldi",IF(F754="",IFERROR(INDEX(Hizmetler!$C$5:$C$54,MATCH(D754,Hizmetler!$A$5:$A$54,0)),0),F754),0))</f>
        <v/>
      </c>
      <c r="H754" s="18" t="str">
        <f aca="false">IF(OR(B754="",D754=""),"",ROUND((B754+IFERROR(INDEX(Hizmetler!$B$5:$B$54,MATCH(D754,Hizmetler!$A$5:$A$54,0)),0)/1440)*1440,0)/1440)</f>
        <v/>
      </c>
      <c r="I754" s="19" t="str">
        <f aca="false">IF(OR(A754="",H754="",E754="İptal"),"",IF(COUNTIFS($A$5:$A$1004,A754,$B$5:$B$1004,"&lt;"&amp;(H754-0.0003),$H$5:$H$1004,"&gt;"&amp;(B754+0.0003),$E$5:$E$1004,"&lt;&gt;İptal")&gt;1,"Çakışıyor",""))</f>
        <v/>
      </c>
      <c r="J754" s="21" t="str">
        <f aca="false">IF(AND(A754=Gün!$C$3,B754&lt;&gt;"",E754&lt;&gt;"İptal"),B754+ROW()/100000000,"")</f>
        <v/>
      </c>
    </row>
    <row r="755" customFormat="false" ht="15" hidden="false" customHeight="false" outlineLevel="0" collapsed="false">
      <c r="A755" s="12"/>
      <c r="B755" s="13"/>
      <c r="C755" s="14"/>
      <c r="D755" s="14"/>
      <c r="E755" s="15"/>
      <c r="F755" s="16"/>
      <c r="G755" s="17" t="str">
        <f aca="false">IF(D755="","",IF(E755="Geldi",IF(F755="",IFERROR(INDEX(Hizmetler!$C$5:$C$54,MATCH(D755,Hizmetler!$A$5:$A$54,0)),0),F755),0))</f>
        <v/>
      </c>
      <c r="H755" s="18" t="str">
        <f aca="false">IF(OR(B755="",D755=""),"",ROUND((B755+IFERROR(INDEX(Hizmetler!$B$5:$B$54,MATCH(D755,Hizmetler!$A$5:$A$54,0)),0)/1440)*1440,0)/1440)</f>
        <v/>
      </c>
      <c r="I755" s="19" t="str">
        <f aca="false">IF(OR(A755="",H755="",E755="İptal"),"",IF(COUNTIFS($A$5:$A$1004,A755,$B$5:$B$1004,"&lt;"&amp;(H755-0.0003),$H$5:$H$1004,"&gt;"&amp;(B755+0.0003),$E$5:$E$1004,"&lt;&gt;İptal")&gt;1,"Çakışıyor",""))</f>
        <v/>
      </c>
      <c r="J755" s="21" t="str">
        <f aca="false">IF(AND(A755=Gün!$C$3,B755&lt;&gt;"",E755&lt;&gt;"İptal"),B755+ROW()/100000000,"")</f>
        <v/>
      </c>
    </row>
    <row r="756" customFormat="false" ht="15" hidden="false" customHeight="false" outlineLevel="0" collapsed="false">
      <c r="A756" s="12"/>
      <c r="B756" s="13"/>
      <c r="C756" s="14"/>
      <c r="D756" s="14"/>
      <c r="E756" s="15"/>
      <c r="F756" s="16"/>
      <c r="G756" s="17" t="str">
        <f aca="false">IF(D756="","",IF(E756="Geldi",IF(F756="",IFERROR(INDEX(Hizmetler!$C$5:$C$54,MATCH(D756,Hizmetler!$A$5:$A$54,0)),0),F756),0))</f>
        <v/>
      </c>
      <c r="H756" s="18" t="str">
        <f aca="false">IF(OR(B756="",D756=""),"",ROUND((B756+IFERROR(INDEX(Hizmetler!$B$5:$B$54,MATCH(D756,Hizmetler!$A$5:$A$54,0)),0)/1440)*1440,0)/1440)</f>
        <v/>
      </c>
      <c r="I756" s="19" t="str">
        <f aca="false">IF(OR(A756="",H756="",E756="İptal"),"",IF(COUNTIFS($A$5:$A$1004,A756,$B$5:$B$1004,"&lt;"&amp;(H756-0.0003),$H$5:$H$1004,"&gt;"&amp;(B756+0.0003),$E$5:$E$1004,"&lt;&gt;İptal")&gt;1,"Çakışıyor",""))</f>
        <v/>
      </c>
      <c r="J756" s="21" t="str">
        <f aca="false">IF(AND(A756=Gün!$C$3,B756&lt;&gt;"",E756&lt;&gt;"İptal"),B756+ROW()/100000000,"")</f>
        <v/>
      </c>
    </row>
    <row r="757" customFormat="false" ht="15" hidden="false" customHeight="false" outlineLevel="0" collapsed="false">
      <c r="A757" s="12"/>
      <c r="B757" s="13"/>
      <c r="C757" s="14"/>
      <c r="D757" s="14"/>
      <c r="E757" s="15"/>
      <c r="F757" s="16"/>
      <c r="G757" s="17" t="str">
        <f aca="false">IF(D757="","",IF(E757="Geldi",IF(F757="",IFERROR(INDEX(Hizmetler!$C$5:$C$54,MATCH(D757,Hizmetler!$A$5:$A$54,0)),0),F757),0))</f>
        <v/>
      </c>
      <c r="H757" s="18" t="str">
        <f aca="false">IF(OR(B757="",D757=""),"",ROUND((B757+IFERROR(INDEX(Hizmetler!$B$5:$B$54,MATCH(D757,Hizmetler!$A$5:$A$54,0)),0)/1440)*1440,0)/1440)</f>
        <v/>
      </c>
      <c r="I757" s="19" t="str">
        <f aca="false">IF(OR(A757="",H757="",E757="İptal"),"",IF(COUNTIFS($A$5:$A$1004,A757,$B$5:$B$1004,"&lt;"&amp;(H757-0.0003),$H$5:$H$1004,"&gt;"&amp;(B757+0.0003),$E$5:$E$1004,"&lt;&gt;İptal")&gt;1,"Çakışıyor",""))</f>
        <v/>
      </c>
      <c r="J757" s="21" t="str">
        <f aca="false">IF(AND(A757=Gün!$C$3,B757&lt;&gt;"",E757&lt;&gt;"İptal"),B757+ROW()/100000000,"")</f>
        <v/>
      </c>
    </row>
    <row r="758" customFormat="false" ht="15" hidden="false" customHeight="false" outlineLevel="0" collapsed="false">
      <c r="A758" s="12"/>
      <c r="B758" s="13"/>
      <c r="C758" s="14"/>
      <c r="D758" s="14"/>
      <c r="E758" s="15"/>
      <c r="F758" s="16"/>
      <c r="G758" s="17" t="str">
        <f aca="false">IF(D758="","",IF(E758="Geldi",IF(F758="",IFERROR(INDEX(Hizmetler!$C$5:$C$54,MATCH(D758,Hizmetler!$A$5:$A$54,0)),0),F758),0))</f>
        <v/>
      </c>
      <c r="H758" s="18" t="str">
        <f aca="false">IF(OR(B758="",D758=""),"",ROUND((B758+IFERROR(INDEX(Hizmetler!$B$5:$B$54,MATCH(D758,Hizmetler!$A$5:$A$54,0)),0)/1440)*1440,0)/1440)</f>
        <v/>
      </c>
      <c r="I758" s="19" t="str">
        <f aca="false">IF(OR(A758="",H758="",E758="İptal"),"",IF(COUNTIFS($A$5:$A$1004,A758,$B$5:$B$1004,"&lt;"&amp;(H758-0.0003),$H$5:$H$1004,"&gt;"&amp;(B758+0.0003),$E$5:$E$1004,"&lt;&gt;İptal")&gt;1,"Çakışıyor",""))</f>
        <v/>
      </c>
      <c r="J758" s="21" t="str">
        <f aca="false">IF(AND(A758=Gün!$C$3,B758&lt;&gt;"",E758&lt;&gt;"İptal"),B758+ROW()/100000000,"")</f>
        <v/>
      </c>
    </row>
    <row r="759" customFormat="false" ht="15" hidden="false" customHeight="false" outlineLevel="0" collapsed="false">
      <c r="A759" s="12"/>
      <c r="B759" s="13"/>
      <c r="C759" s="14"/>
      <c r="D759" s="14"/>
      <c r="E759" s="15"/>
      <c r="F759" s="16"/>
      <c r="G759" s="17" t="str">
        <f aca="false">IF(D759="","",IF(E759="Geldi",IF(F759="",IFERROR(INDEX(Hizmetler!$C$5:$C$54,MATCH(D759,Hizmetler!$A$5:$A$54,0)),0),F759),0))</f>
        <v/>
      </c>
      <c r="H759" s="18" t="str">
        <f aca="false">IF(OR(B759="",D759=""),"",ROUND((B759+IFERROR(INDEX(Hizmetler!$B$5:$B$54,MATCH(D759,Hizmetler!$A$5:$A$54,0)),0)/1440)*1440,0)/1440)</f>
        <v/>
      </c>
      <c r="I759" s="19" t="str">
        <f aca="false">IF(OR(A759="",H759="",E759="İptal"),"",IF(COUNTIFS($A$5:$A$1004,A759,$B$5:$B$1004,"&lt;"&amp;(H759-0.0003),$H$5:$H$1004,"&gt;"&amp;(B759+0.0003),$E$5:$E$1004,"&lt;&gt;İptal")&gt;1,"Çakışıyor",""))</f>
        <v/>
      </c>
      <c r="J759" s="21" t="str">
        <f aca="false">IF(AND(A759=Gün!$C$3,B759&lt;&gt;"",E759&lt;&gt;"İptal"),B759+ROW()/100000000,"")</f>
        <v/>
      </c>
    </row>
    <row r="760" customFormat="false" ht="15" hidden="false" customHeight="false" outlineLevel="0" collapsed="false">
      <c r="A760" s="12"/>
      <c r="B760" s="13"/>
      <c r="C760" s="14"/>
      <c r="D760" s="14"/>
      <c r="E760" s="15"/>
      <c r="F760" s="16"/>
      <c r="G760" s="17" t="str">
        <f aca="false">IF(D760="","",IF(E760="Geldi",IF(F760="",IFERROR(INDEX(Hizmetler!$C$5:$C$54,MATCH(D760,Hizmetler!$A$5:$A$54,0)),0),F760),0))</f>
        <v/>
      </c>
      <c r="H760" s="18" t="str">
        <f aca="false">IF(OR(B760="",D760=""),"",ROUND((B760+IFERROR(INDEX(Hizmetler!$B$5:$B$54,MATCH(D760,Hizmetler!$A$5:$A$54,0)),0)/1440)*1440,0)/1440)</f>
        <v/>
      </c>
      <c r="I760" s="19" t="str">
        <f aca="false">IF(OR(A760="",H760="",E760="İptal"),"",IF(COUNTIFS($A$5:$A$1004,A760,$B$5:$B$1004,"&lt;"&amp;(H760-0.0003),$H$5:$H$1004,"&gt;"&amp;(B760+0.0003),$E$5:$E$1004,"&lt;&gt;İptal")&gt;1,"Çakışıyor",""))</f>
        <v/>
      </c>
      <c r="J760" s="21" t="str">
        <f aca="false">IF(AND(A760=Gün!$C$3,B760&lt;&gt;"",E760&lt;&gt;"İptal"),B760+ROW()/100000000,"")</f>
        <v/>
      </c>
    </row>
    <row r="761" customFormat="false" ht="15" hidden="false" customHeight="false" outlineLevel="0" collapsed="false">
      <c r="A761" s="12"/>
      <c r="B761" s="13"/>
      <c r="C761" s="14"/>
      <c r="D761" s="14"/>
      <c r="E761" s="15"/>
      <c r="F761" s="16"/>
      <c r="G761" s="17" t="str">
        <f aca="false">IF(D761="","",IF(E761="Geldi",IF(F761="",IFERROR(INDEX(Hizmetler!$C$5:$C$54,MATCH(D761,Hizmetler!$A$5:$A$54,0)),0),F761),0))</f>
        <v/>
      </c>
      <c r="H761" s="18" t="str">
        <f aca="false">IF(OR(B761="",D761=""),"",ROUND((B761+IFERROR(INDEX(Hizmetler!$B$5:$B$54,MATCH(D761,Hizmetler!$A$5:$A$54,0)),0)/1440)*1440,0)/1440)</f>
        <v/>
      </c>
      <c r="I761" s="19" t="str">
        <f aca="false">IF(OR(A761="",H761="",E761="İptal"),"",IF(COUNTIFS($A$5:$A$1004,A761,$B$5:$B$1004,"&lt;"&amp;(H761-0.0003),$H$5:$H$1004,"&gt;"&amp;(B761+0.0003),$E$5:$E$1004,"&lt;&gt;İptal")&gt;1,"Çakışıyor",""))</f>
        <v/>
      </c>
      <c r="J761" s="21" t="str">
        <f aca="false">IF(AND(A761=Gün!$C$3,B761&lt;&gt;"",E761&lt;&gt;"İptal"),B761+ROW()/100000000,"")</f>
        <v/>
      </c>
    </row>
    <row r="762" customFormat="false" ht="15" hidden="false" customHeight="false" outlineLevel="0" collapsed="false">
      <c r="A762" s="12"/>
      <c r="B762" s="13"/>
      <c r="C762" s="14"/>
      <c r="D762" s="14"/>
      <c r="E762" s="15"/>
      <c r="F762" s="16"/>
      <c r="G762" s="17" t="str">
        <f aca="false">IF(D762="","",IF(E762="Geldi",IF(F762="",IFERROR(INDEX(Hizmetler!$C$5:$C$54,MATCH(D762,Hizmetler!$A$5:$A$54,0)),0),F762),0))</f>
        <v/>
      </c>
      <c r="H762" s="18" t="str">
        <f aca="false">IF(OR(B762="",D762=""),"",ROUND((B762+IFERROR(INDEX(Hizmetler!$B$5:$B$54,MATCH(D762,Hizmetler!$A$5:$A$54,0)),0)/1440)*1440,0)/1440)</f>
        <v/>
      </c>
      <c r="I762" s="19" t="str">
        <f aca="false">IF(OR(A762="",H762="",E762="İptal"),"",IF(COUNTIFS($A$5:$A$1004,A762,$B$5:$B$1004,"&lt;"&amp;(H762-0.0003),$H$5:$H$1004,"&gt;"&amp;(B762+0.0003),$E$5:$E$1004,"&lt;&gt;İptal")&gt;1,"Çakışıyor",""))</f>
        <v/>
      </c>
      <c r="J762" s="21" t="str">
        <f aca="false">IF(AND(A762=Gün!$C$3,B762&lt;&gt;"",E762&lt;&gt;"İptal"),B762+ROW()/100000000,"")</f>
        <v/>
      </c>
    </row>
    <row r="763" customFormat="false" ht="15" hidden="false" customHeight="false" outlineLevel="0" collapsed="false">
      <c r="A763" s="12"/>
      <c r="B763" s="13"/>
      <c r="C763" s="14"/>
      <c r="D763" s="14"/>
      <c r="E763" s="15"/>
      <c r="F763" s="16"/>
      <c r="G763" s="17" t="str">
        <f aca="false">IF(D763="","",IF(E763="Geldi",IF(F763="",IFERROR(INDEX(Hizmetler!$C$5:$C$54,MATCH(D763,Hizmetler!$A$5:$A$54,0)),0),F763),0))</f>
        <v/>
      </c>
      <c r="H763" s="18" t="str">
        <f aca="false">IF(OR(B763="",D763=""),"",ROUND((B763+IFERROR(INDEX(Hizmetler!$B$5:$B$54,MATCH(D763,Hizmetler!$A$5:$A$54,0)),0)/1440)*1440,0)/1440)</f>
        <v/>
      </c>
      <c r="I763" s="19" t="str">
        <f aca="false">IF(OR(A763="",H763="",E763="İptal"),"",IF(COUNTIFS($A$5:$A$1004,A763,$B$5:$B$1004,"&lt;"&amp;(H763-0.0003),$H$5:$H$1004,"&gt;"&amp;(B763+0.0003),$E$5:$E$1004,"&lt;&gt;İptal")&gt;1,"Çakışıyor",""))</f>
        <v/>
      </c>
      <c r="J763" s="21" t="str">
        <f aca="false">IF(AND(A763=Gün!$C$3,B763&lt;&gt;"",E763&lt;&gt;"İptal"),B763+ROW()/100000000,"")</f>
        <v/>
      </c>
    </row>
    <row r="764" customFormat="false" ht="15" hidden="false" customHeight="false" outlineLevel="0" collapsed="false">
      <c r="A764" s="12"/>
      <c r="B764" s="13"/>
      <c r="C764" s="14"/>
      <c r="D764" s="14"/>
      <c r="E764" s="15"/>
      <c r="F764" s="16"/>
      <c r="G764" s="17" t="str">
        <f aca="false">IF(D764="","",IF(E764="Geldi",IF(F764="",IFERROR(INDEX(Hizmetler!$C$5:$C$54,MATCH(D764,Hizmetler!$A$5:$A$54,0)),0),F764),0))</f>
        <v/>
      </c>
      <c r="H764" s="18" t="str">
        <f aca="false">IF(OR(B764="",D764=""),"",ROUND((B764+IFERROR(INDEX(Hizmetler!$B$5:$B$54,MATCH(D764,Hizmetler!$A$5:$A$54,0)),0)/1440)*1440,0)/1440)</f>
        <v/>
      </c>
      <c r="I764" s="19" t="str">
        <f aca="false">IF(OR(A764="",H764="",E764="İptal"),"",IF(COUNTIFS($A$5:$A$1004,A764,$B$5:$B$1004,"&lt;"&amp;(H764-0.0003),$H$5:$H$1004,"&gt;"&amp;(B764+0.0003),$E$5:$E$1004,"&lt;&gt;İptal")&gt;1,"Çakışıyor",""))</f>
        <v/>
      </c>
      <c r="J764" s="21" t="str">
        <f aca="false">IF(AND(A764=Gün!$C$3,B764&lt;&gt;"",E764&lt;&gt;"İptal"),B764+ROW()/100000000,"")</f>
        <v/>
      </c>
    </row>
    <row r="765" customFormat="false" ht="15" hidden="false" customHeight="false" outlineLevel="0" collapsed="false">
      <c r="A765" s="12"/>
      <c r="B765" s="13"/>
      <c r="C765" s="14"/>
      <c r="D765" s="14"/>
      <c r="E765" s="15"/>
      <c r="F765" s="16"/>
      <c r="G765" s="17" t="str">
        <f aca="false">IF(D765="","",IF(E765="Geldi",IF(F765="",IFERROR(INDEX(Hizmetler!$C$5:$C$54,MATCH(D765,Hizmetler!$A$5:$A$54,0)),0),F765),0))</f>
        <v/>
      </c>
      <c r="H765" s="18" t="str">
        <f aca="false">IF(OR(B765="",D765=""),"",ROUND((B765+IFERROR(INDEX(Hizmetler!$B$5:$B$54,MATCH(D765,Hizmetler!$A$5:$A$54,0)),0)/1440)*1440,0)/1440)</f>
        <v/>
      </c>
      <c r="I765" s="19" t="str">
        <f aca="false">IF(OR(A765="",H765="",E765="İptal"),"",IF(COUNTIFS($A$5:$A$1004,A765,$B$5:$B$1004,"&lt;"&amp;(H765-0.0003),$H$5:$H$1004,"&gt;"&amp;(B765+0.0003),$E$5:$E$1004,"&lt;&gt;İptal")&gt;1,"Çakışıyor",""))</f>
        <v/>
      </c>
      <c r="J765" s="21" t="str">
        <f aca="false">IF(AND(A765=Gün!$C$3,B765&lt;&gt;"",E765&lt;&gt;"İptal"),B765+ROW()/100000000,"")</f>
        <v/>
      </c>
    </row>
    <row r="766" customFormat="false" ht="15" hidden="false" customHeight="false" outlineLevel="0" collapsed="false">
      <c r="A766" s="12"/>
      <c r="B766" s="13"/>
      <c r="C766" s="14"/>
      <c r="D766" s="14"/>
      <c r="E766" s="15"/>
      <c r="F766" s="16"/>
      <c r="G766" s="17" t="str">
        <f aca="false">IF(D766="","",IF(E766="Geldi",IF(F766="",IFERROR(INDEX(Hizmetler!$C$5:$C$54,MATCH(D766,Hizmetler!$A$5:$A$54,0)),0),F766),0))</f>
        <v/>
      </c>
      <c r="H766" s="18" t="str">
        <f aca="false">IF(OR(B766="",D766=""),"",ROUND((B766+IFERROR(INDEX(Hizmetler!$B$5:$B$54,MATCH(D766,Hizmetler!$A$5:$A$54,0)),0)/1440)*1440,0)/1440)</f>
        <v/>
      </c>
      <c r="I766" s="19" t="str">
        <f aca="false">IF(OR(A766="",H766="",E766="İptal"),"",IF(COUNTIFS($A$5:$A$1004,A766,$B$5:$B$1004,"&lt;"&amp;(H766-0.0003),$H$5:$H$1004,"&gt;"&amp;(B766+0.0003),$E$5:$E$1004,"&lt;&gt;İptal")&gt;1,"Çakışıyor",""))</f>
        <v/>
      </c>
      <c r="J766" s="21" t="str">
        <f aca="false">IF(AND(A766=Gün!$C$3,B766&lt;&gt;"",E766&lt;&gt;"İptal"),B766+ROW()/100000000,"")</f>
        <v/>
      </c>
    </row>
    <row r="767" customFormat="false" ht="15" hidden="false" customHeight="false" outlineLevel="0" collapsed="false">
      <c r="A767" s="12"/>
      <c r="B767" s="13"/>
      <c r="C767" s="14"/>
      <c r="D767" s="14"/>
      <c r="E767" s="15"/>
      <c r="F767" s="16"/>
      <c r="G767" s="17" t="str">
        <f aca="false">IF(D767="","",IF(E767="Geldi",IF(F767="",IFERROR(INDEX(Hizmetler!$C$5:$C$54,MATCH(D767,Hizmetler!$A$5:$A$54,0)),0),F767),0))</f>
        <v/>
      </c>
      <c r="H767" s="18" t="str">
        <f aca="false">IF(OR(B767="",D767=""),"",ROUND((B767+IFERROR(INDEX(Hizmetler!$B$5:$B$54,MATCH(D767,Hizmetler!$A$5:$A$54,0)),0)/1440)*1440,0)/1440)</f>
        <v/>
      </c>
      <c r="I767" s="19" t="str">
        <f aca="false">IF(OR(A767="",H767="",E767="İptal"),"",IF(COUNTIFS($A$5:$A$1004,A767,$B$5:$B$1004,"&lt;"&amp;(H767-0.0003),$H$5:$H$1004,"&gt;"&amp;(B767+0.0003),$E$5:$E$1004,"&lt;&gt;İptal")&gt;1,"Çakışıyor",""))</f>
        <v/>
      </c>
      <c r="J767" s="21" t="str">
        <f aca="false">IF(AND(A767=Gün!$C$3,B767&lt;&gt;"",E767&lt;&gt;"İptal"),B767+ROW()/100000000,"")</f>
        <v/>
      </c>
    </row>
    <row r="768" customFormat="false" ht="15" hidden="false" customHeight="false" outlineLevel="0" collapsed="false">
      <c r="A768" s="12"/>
      <c r="B768" s="13"/>
      <c r="C768" s="14"/>
      <c r="D768" s="14"/>
      <c r="E768" s="15"/>
      <c r="F768" s="16"/>
      <c r="G768" s="17" t="str">
        <f aca="false">IF(D768="","",IF(E768="Geldi",IF(F768="",IFERROR(INDEX(Hizmetler!$C$5:$C$54,MATCH(D768,Hizmetler!$A$5:$A$54,0)),0),F768),0))</f>
        <v/>
      </c>
      <c r="H768" s="18" t="str">
        <f aca="false">IF(OR(B768="",D768=""),"",ROUND((B768+IFERROR(INDEX(Hizmetler!$B$5:$B$54,MATCH(D768,Hizmetler!$A$5:$A$54,0)),0)/1440)*1440,0)/1440)</f>
        <v/>
      </c>
      <c r="I768" s="19" t="str">
        <f aca="false">IF(OR(A768="",H768="",E768="İptal"),"",IF(COUNTIFS($A$5:$A$1004,A768,$B$5:$B$1004,"&lt;"&amp;(H768-0.0003),$H$5:$H$1004,"&gt;"&amp;(B768+0.0003),$E$5:$E$1004,"&lt;&gt;İptal")&gt;1,"Çakışıyor",""))</f>
        <v/>
      </c>
      <c r="J768" s="21" t="str">
        <f aca="false">IF(AND(A768=Gün!$C$3,B768&lt;&gt;"",E768&lt;&gt;"İptal"),B768+ROW()/100000000,"")</f>
        <v/>
      </c>
    </row>
    <row r="769" customFormat="false" ht="15" hidden="false" customHeight="false" outlineLevel="0" collapsed="false">
      <c r="A769" s="12"/>
      <c r="B769" s="13"/>
      <c r="C769" s="14"/>
      <c r="D769" s="14"/>
      <c r="E769" s="15"/>
      <c r="F769" s="16"/>
      <c r="G769" s="17" t="str">
        <f aca="false">IF(D769="","",IF(E769="Geldi",IF(F769="",IFERROR(INDEX(Hizmetler!$C$5:$C$54,MATCH(D769,Hizmetler!$A$5:$A$54,0)),0),F769),0))</f>
        <v/>
      </c>
      <c r="H769" s="18" t="str">
        <f aca="false">IF(OR(B769="",D769=""),"",ROUND((B769+IFERROR(INDEX(Hizmetler!$B$5:$B$54,MATCH(D769,Hizmetler!$A$5:$A$54,0)),0)/1440)*1440,0)/1440)</f>
        <v/>
      </c>
      <c r="I769" s="19" t="str">
        <f aca="false">IF(OR(A769="",H769="",E769="İptal"),"",IF(COUNTIFS($A$5:$A$1004,A769,$B$5:$B$1004,"&lt;"&amp;(H769-0.0003),$H$5:$H$1004,"&gt;"&amp;(B769+0.0003),$E$5:$E$1004,"&lt;&gt;İptal")&gt;1,"Çakışıyor",""))</f>
        <v/>
      </c>
      <c r="J769" s="21" t="str">
        <f aca="false">IF(AND(A769=Gün!$C$3,B769&lt;&gt;"",E769&lt;&gt;"İptal"),B769+ROW()/100000000,"")</f>
        <v/>
      </c>
    </row>
    <row r="770" customFormat="false" ht="15" hidden="false" customHeight="false" outlineLevel="0" collapsed="false">
      <c r="A770" s="12"/>
      <c r="B770" s="13"/>
      <c r="C770" s="14"/>
      <c r="D770" s="14"/>
      <c r="E770" s="15"/>
      <c r="F770" s="16"/>
      <c r="G770" s="17" t="str">
        <f aca="false">IF(D770="","",IF(E770="Geldi",IF(F770="",IFERROR(INDEX(Hizmetler!$C$5:$C$54,MATCH(D770,Hizmetler!$A$5:$A$54,0)),0),F770),0))</f>
        <v/>
      </c>
      <c r="H770" s="18" t="str">
        <f aca="false">IF(OR(B770="",D770=""),"",ROUND((B770+IFERROR(INDEX(Hizmetler!$B$5:$B$54,MATCH(D770,Hizmetler!$A$5:$A$54,0)),0)/1440)*1440,0)/1440)</f>
        <v/>
      </c>
      <c r="I770" s="19" t="str">
        <f aca="false">IF(OR(A770="",H770="",E770="İptal"),"",IF(COUNTIFS($A$5:$A$1004,A770,$B$5:$B$1004,"&lt;"&amp;(H770-0.0003),$H$5:$H$1004,"&gt;"&amp;(B770+0.0003),$E$5:$E$1004,"&lt;&gt;İptal")&gt;1,"Çakışıyor",""))</f>
        <v/>
      </c>
      <c r="J770" s="21" t="str">
        <f aca="false">IF(AND(A770=Gün!$C$3,B770&lt;&gt;"",E770&lt;&gt;"İptal"),B770+ROW()/100000000,"")</f>
        <v/>
      </c>
    </row>
    <row r="771" customFormat="false" ht="15" hidden="false" customHeight="false" outlineLevel="0" collapsed="false">
      <c r="A771" s="12"/>
      <c r="B771" s="13"/>
      <c r="C771" s="14"/>
      <c r="D771" s="14"/>
      <c r="E771" s="15"/>
      <c r="F771" s="16"/>
      <c r="G771" s="17" t="str">
        <f aca="false">IF(D771="","",IF(E771="Geldi",IF(F771="",IFERROR(INDEX(Hizmetler!$C$5:$C$54,MATCH(D771,Hizmetler!$A$5:$A$54,0)),0),F771),0))</f>
        <v/>
      </c>
      <c r="H771" s="18" t="str">
        <f aca="false">IF(OR(B771="",D771=""),"",ROUND((B771+IFERROR(INDEX(Hizmetler!$B$5:$B$54,MATCH(D771,Hizmetler!$A$5:$A$54,0)),0)/1440)*1440,0)/1440)</f>
        <v/>
      </c>
      <c r="I771" s="19" t="str">
        <f aca="false">IF(OR(A771="",H771="",E771="İptal"),"",IF(COUNTIFS($A$5:$A$1004,A771,$B$5:$B$1004,"&lt;"&amp;(H771-0.0003),$H$5:$H$1004,"&gt;"&amp;(B771+0.0003),$E$5:$E$1004,"&lt;&gt;İptal")&gt;1,"Çakışıyor",""))</f>
        <v/>
      </c>
      <c r="J771" s="21" t="str">
        <f aca="false">IF(AND(A771=Gün!$C$3,B771&lt;&gt;"",E771&lt;&gt;"İptal"),B771+ROW()/100000000,"")</f>
        <v/>
      </c>
    </row>
    <row r="772" customFormat="false" ht="15" hidden="false" customHeight="false" outlineLevel="0" collapsed="false">
      <c r="A772" s="12"/>
      <c r="B772" s="13"/>
      <c r="C772" s="14"/>
      <c r="D772" s="14"/>
      <c r="E772" s="15"/>
      <c r="F772" s="16"/>
      <c r="G772" s="17" t="str">
        <f aca="false">IF(D772="","",IF(E772="Geldi",IF(F772="",IFERROR(INDEX(Hizmetler!$C$5:$C$54,MATCH(D772,Hizmetler!$A$5:$A$54,0)),0),F772),0))</f>
        <v/>
      </c>
      <c r="H772" s="18" t="str">
        <f aca="false">IF(OR(B772="",D772=""),"",ROUND((B772+IFERROR(INDEX(Hizmetler!$B$5:$B$54,MATCH(D772,Hizmetler!$A$5:$A$54,0)),0)/1440)*1440,0)/1440)</f>
        <v/>
      </c>
      <c r="I772" s="19" t="str">
        <f aca="false">IF(OR(A772="",H772="",E772="İptal"),"",IF(COUNTIFS($A$5:$A$1004,A772,$B$5:$B$1004,"&lt;"&amp;(H772-0.0003),$H$5:$H$1004,"&gt;"&amp;(B772+0.0003),$E$5:$E$1004,"&lt;&gt;İptal")&gt;1,"Çakışıyor",""))</f>
        <v/>
      </c>
      <c r="J772" s="21" t="str">
        <f aca="false">IF(AND(A772=Gün!$C$3,B772&lt;&gt;"",E772&lt;&gt;"İptal"),B772+ROW()/100000000,"")</f>
        <v/>
      </c>
    </row>
    <row r="773" customFormat="false" ht="15" hidden="false" customHeight="false" outlineLevel="0" collapsed="false">
      <c r="A773" s="12"/>
      <c r="B773" s="13"/>
      <c r="C773" s="14"/>
      <c r="D773" s="14"/>
      <c r="E773" s="15"/>
      <c r="F773" s="16"/>
      <c r="G773" s="17" t="str">
        <f aca="false">IF(D773="","",IF(E773="Geldi",IF(F773="",IFERROR(INDEX(Hizmetler!$C$5:$C$54,MATCH(D773,Hizmetler!$A$5:$A$54,0)),0),F773),0))</f>
        <v/>
      </c>
      <c r="H773" s="18" t="str">
        <f aca="false">IF(OR(B773="",D773=""),"",ROUND((B773+IFERROR(INDEX(Hizmetler!$B$5:$B$54,MATCH(D773,Hizmetler!$A$5:$A$54,0)),0)/1440)*1440,0)/1440)</f>
        <v/>
      </c>
      <c r="I773" s="19" t="str">
        <f aca="false">IF(OR(A773="",H773="",E773="İptal"),"",IF(COUNTIFS($A$5:$A$1004,A773,$B$5:$B$1004,"&lt;"&amp;(H773-0.0003),$H$5:$H$1004,"&gt;"&amp;(B773+0.0003),$E$5:$E$1004,"&lt;&gt;İptal")&gt;1,"Çakışıyor",""))</f>
        <v/>
      </c>
      <c r="J773" s="21" t="str">
        <f aca="false">IF(AND(A773=Gün!$C$3,B773&lt;&gt;"",E773&lt;&gt;"İptal"),B773+ROW()/100000000,"")</f>
        <v/>
      </c>
    </row>
    <row r="774" customFormat="false" ht="15" hidden="false" customHeight="false" outlineLevel="0" collapsed="false">
      <c r="A774" s="12"/>
      <c r="B774" s="13"/>
      <c r="C774" s="14"/>
      <c r="D774" s="14"/>
      <c r="E774" s="15"/>
      <c r="F774" s="16"/>
      <c r="G774" s="17" t="str">
        <f aca="false">IF(D774="","",IF(E774="Geldi",IF(F774="",IFERROR(INDEX(Hizmetler!$C$5:$C$54,MATCH(D774,Hizmetler!$A$5:$A$54,0)),0),F774),0))</f>
        <v/>
      </c>
      <c r="H774" s="18" t="str">
        <f aca="false">IF(OR(B774="",D774=""),"",ROUND((B774+IFERROR(INDEX(Hizmetler!$B$5:$B$54,MATCH(D774,Hizmetler!$A$5:$A$54,0)),0)/1440)*1440,0)/1440)</f>
        <v/>
      </c>
      <c r="I774" s="19" t="str">
        <f aca="false">IF(OR(A774="",H774="",E774="İptal"),"",IF(COUNTIFS($A$5:$A$1004,A774,$B$5:$B$1004,"&lt;"&amp;(H774-0.0003),$H$5:$H$1004,"&gt;"&amp;(B774+0.0003),$E$5:$E$1004,"&lt;&gt;İptal")&gt;1,"Çakışıyor",""))</f>
        <v/>
      </c>
      <c r="J774" s="21" t="str">
        <f aca="false">IF(AND(A774=Gün!$C$3,B774&lt;&gt;"",E774&lt;&gt;"İptal"),B774+ROW()/100000000,"")</f>
        <v/>
      </c>
    </row>
    <row r="775" customFormat="false" ht="15" hidden="false" customHeight="false" outlineLevel="0" collapsed="false">
      <c r="A775" s="12"/>
      <c r="B775" s="13"/>
      <c r="C775" s="14"/>
      <c r="D775" s="14"/>
      <c r="E775" s="15"/>
      <c r="F775" s="16"/>
      <c r="G775" s="17" t="str">
        <f aca="false">IF(D775="","",IF(E775="Geldi",IF(F775="",IFERROR(INDEX(Hizmetler!$C$5:$C$54,MATCH(D775,Hizmetler!$A$5:$A$54,0)),0),F775),0))</f>
        <v/>
      </c>
      <c r="H775" s="18" t="str">
        <f aca="false">IF(OR(B775="",D775=""),"",ROUND((B775+IFERROR(INDEX(Hizmetler!$B$5:$B$54,MATCH(D775,Hizmetler!$A$5:$A$54,0)),0)/1440)*1440,0)/1440)</f>
        <v/>
      </c>
      <c r="I775" s="19" t="str">
        <f aca="false">IF(OR(A775="",H775="",E775="İptal"),"",IF(COUNTIFS($A$5:$A$1004,A775,$B$5:$B$1004,"&lt;"&amp;(H775-0.0003),$H$5:$H$1004,"&gt;"&amp;(B775+0.0003),$E$5:$E$1004,"&lt;&gt;İptal")&gt;1,"Çakışıyor",""))</f>
        <v/>
      </c>
      <c r="J775" s="21" t="str">
        <f aca="false">IF(AND(A775=Gün!$C$3,B775&lt;&gt;"",E775&lt;&gt;"İptal"),B775+ROW()/100000000,"")</f>
        <v/>
      </c>
    </row>
    <row r="776" customFormat="false" ht="15" hidden="false" customHeight="false" outlineLevel="0" collapsed="false">
      <c r="A776" s="12"/>
      <c r="B776" s="13"/>
      <c r="C776" s="14"/>
      <c r="D776" s="14"/>
      <c r="E776" s="15"/>
      <c r="F776" s="16"/>
      <c r="G776" s="17" t="str">
        <f aca="false">IF(D776="","",IF(E776="Geldi",IF(F776="",IFERROR(INDEX(Hizmetler!$C$5:$C$54,MATCH(D776,Hizmetler!$A$5:$A$54,0)),0),F776),0))</f>
        <v/>
      </c>
      <c r="H776" s="18" t="str">
        <f aca="false">IF(OR(B776="",D776=""),"",ROUND((B776+IFERROR(INDEX(Hizmetler!$B$5:$B$54,MATCH(D776,Hizmetler!$A$5:$A$54,0)),0)/1440)*1440,0)/1440)</f>
        <v/>
      </c>
      <c r="I776" s="19" t="str">
        <f aca="false">IF(OR(A776="",H776="",E776="İptal"),"",IF(COUNTIFS($A$5:$A$1004,A776,$B$5:$B$1004,"&lt;"&amp;(H776-0.0003),$H$5:$H$1004,"&gt;"&amp;(B776+0.0003),$E$5:$E$1004,"&lt;&gt;İptal")&gt;1,"Çakışıyor",""))</f>
        <v/>
      </c>
      <c r="J776" s="21" t="str">
        <f aca="false">IF(AND(A776=Gün!$C$3,B776&lt;&gt;"",E776&lt;&gt;"İptal"),B776+ROW()/100000000,"")</f>
        <v/>
      </c>
    </row>
    <row r="777" customFormat="false" ht="15" hidden="false" customHeight="false" outlineLevel="0" collapsed="false">
      <c r="A777" s="12"/>
      <c r="B777" s="13"/>
      <c r="C777" s="14"/>
      <c r="D777" s="14"/>
      <c r="E777" s="15"/>
      <c r="F777" s="16"/>
      <c r="G777" s="17" t="str">
        <f aca="false">IF(D777="","",IF(E777="Geldi",IF(F777="",IFERROR(INDEX(Hizmetler!$C$5:$C$54,MATCH(D777,Hizmetler!$A$5:$A$54,0)),0),F777),0))</f>
        <v/>
      </c>
      <c r="H777" s="18" t="str">
        <f aca="false">IF(OR(B777="",D777=""),"",ROUND((B777+IFERROR(INDEX(Hizmetler!$B$5:$B$54,MATCH(D777,Hizmetler!$A$5:$A$54,0)),0)/1440)*1440,0)/1440)</f>
        <v/>
      </c>
      <c r="I777" s="19" t="str">
        <f aca="false">IF(OR(A777="",H777="",E777="İptal"),"",IF(COUNTIFS($A$5:$A$1004,A777,$B$5:$B$1004,"&lt;"&amp;(H777-0.0003),$H$5:$H$1004,"&gt;"&amp;(B777+0.0003),$E$5:$E$1004,"&lt;&gt;İptal")&gt;1,"Çakışıyor",""))</f>
        <v/>
      </c>
      <c r="J777" s="21" t="str">
        <f aca="false">IF(AND(A777=Gün!$C$3,B777&lt;&gt;"",E777&lt;&gt;"İptal"),B777+ROW()/100000000,"")</f>
        <v/>
      </c>
    </row>
    <row r="778" customFormat="false" ht="15" hidden="false" customHeight="false" outlineLevel="0" collapsed="false">
      <c r="A778" s="12"/>
      <c r="B778" s="13"/>
      <c r="C778" s="14"/>
      <c r="D778" s="14"/>
      <c r="E778" s="15"/>
      <c r="F778" s="16"/>
      <c r="G778" s="17" t="str">
        <f aca="false">IF(D778="","",IF(E778="Geldi",IF(F778="",IFERROR(INDEX(Hizmetler!$C$5:$C$54,MATCH(D778,Hizmetler!$A$5:$A$54,0)),0),F778),0))</f>
        <v/>
      </c>
      <c r="H778" s="18" t="str">
        <f aca="false">IF(OR(B778="",D778=""),"",ROUND((B778+IFERROR(INDEX(Hizmetler!$B$5:$B$54,MATCH(D778,Hizmetler!$A$5:$A$54,0)),0)/1440)*1440,0)/1440)</f>
        <v/>
      </c>
      <c r="I778" s="19" t="str">
        <f aca="false">IF(OR(A778="",H778="",E778="İptal"),"",IF(COUNTIFS($A$5:$A$1004,A778,$B$5:$B$1004,"&lt;"&amp;(H778-0.0003),$H$5:$H$1004,"&gt;"&amp;(B778+0.0003),$E$5:$E$1004,"&lt;&gt;İptal")&gt;1,"Çakışıyor",""))</f>
        <v/>
      </c>
      <c r="J778" s="21" t="str">
        <f aca="false">IF(AND(A778=Gün!$C$3,B778&lt;&gt;"",E778&lt;&gt;"İptal"),B778+ROW()/100000000,"")</f>
        <v/>
      </c>
    </row>
    <row r="779" customFormat="false" ht="15" hidden="false" customHeight="false" outlineLevel="0" collapsed="false">
      <c r="A779" s="12"/>
      <c r="B779" s="13"/>
      <c r="C779" s="14"/>
      <c r="D779" s="14"/>
      <c r="E779" s="15"/>
      <c r="F779" s="16"/>
      <c r="G779" s="17" t="str">
        <f aca="false">IF(D779="","",IF(E779="Geldi",IF(F779="",IFERROR(INDEX(Hizmetler!$C$5:$C$54,MATCH(D779,Hizmetler!$A$5:$A$54,0)),0),F779),0))</f>
        <v/>
      </c>
      <c r="H779" s="18" t="str">
        <f aca="false">IF(OR(B779="",D779=""),"",ROUND((B779+IFERROR(INDEX(Hizmetler!$B$5:$B$54,MATCH(D779,Hizmetler!$A$5:$A$54,0)),0)/1440)*1440,0)/1440)</f>
        <v/>
      </c>
      <c r="I779" s="19" t="str">
        <f aca="false">IF(OR(A779="",H779="",E779="İptal"),"",IF(COUNTIFS($A$5:$A$1004,A779,$B$5:$B$1004,"&lt;"&amp;(H779-0.0003),$H$5:$H$1004,"&gt;"&amp;(B779+0.0003),$E$5:$E$1004,"&lt;&gt;İptal")&gt;1,"Çakışıyor",""))</f>
        <v/>
      </c>
      <c r="J779" s="21" t="str">
        <f aca="false">IF(AND(A779=Gün!$C$3,B779&lt;&gt;"",E779&lt;&gt;"İptal"),B779+ROW()/100000000,"")</f>
        <v/>
      </c>
    </row>
    <row r="780" customFormat="false" ht="15" hidden="false" customHeight="false" outlineLevel="0" collapsed="false">
      <c r="A780" s="12"/>
      <c r="B780" s="13"/>
      <c r="C780" s="14"/>
      <c r="D780" s="14"/>
      <c r="E780" s="15"/>
      <c r="F780" s="16"/>
      <c r="G780" s="17" t="str">
        <f aca="false">IF(D780="","",IF(E780="Geldi",IF(F780="",IFERROR(INDEX(Hizmetler!$C$5:$C$54,MATCH(D780,Hizmetler!$A$5:$A$54,0)),0),F780),0))</f>
        <v/>
      </c>
      <c r="H780" s="18" t="str">
        <f aca="false">IF(OR(B780="",D780=""),"",ROUND((B780+IFERROR(INDEX(Hizmetler!$B$5:$B$54,MATCH(D780,Hizmetler!$A$5:$A$54,0)),0)/1440)*1440,0)/1440)</f>
        <v/>
      </c>
      <c r="I780" s="19" t="str">
        <f aca="false">IF(OR(A780="",H780="",E780="İptal"),"",IF(COUNTIFS($A$5:$A$1004,A780,$B$5:$B$1004,"&lt;"&amp;(H780-0.0003),$H$5:$H$1004,"&gt;"&amp;(B780+0.0003),$E$5:$E$1004,"&lt;&gt;İptal")&gt;1,"Çakışıyor",""))</f>
        <v/>
      </c>
      <c r="J780" s="21" t="str">
        <f aca="false">IF(AND(A780=Gün!$C$3,B780&lt;&gt;"",E780&lt;&gt;"İptal"),B780+ROW()/100000000,"")</f>
        <v/>
      </c>
    </row>
    <row r="781" customFormat="false" ht="15" hidden="false" customHeight="false" outlineLevel="0" collapsed="false">
      <c r="A781" s="12"/>
      <c r="B781" s="13"/>
      <c r="C781" s="14"/>
      <c r="D781" s="14"/>
      <c r="E781" s="15"/>
      <c r="F781" s="16"/>
      <c r="G781" s="17" t="str">
        <f aca="false">IF(D781="","",IF(E781="Geldi",IF(F781="",IFERROR(INDEX(Hizmetler!$C$5:$C$54,MATCH(D781,Hizmetler!$A$5:$A$54,0)),0),F781),0))</f>
        <v/>
      </c>
      <c r="H781" s="18" t="str">
        <f aca="false">IF(OR(B781="",D781=""),"",ROUND((B781+IFERROR(INDEX(Hizmetler!$B$5:$B$54,MATCH(D781,Hizmetler!$A$5:$A$54,0)),0)/1440)*1440,0)/1440)</f>
        <v/>
      </c>
      <c r="I781" s="19" t="str">
        <f aca="false">IF(OR(A781="",H781="",E781="İptal"),"",IF(COUNTIFS($A$5:$A$1004,A781,$B$5:$B$1004,"&lt;"&amp;(H781-0.0003),$H$5:$H$1004,"&gt;"&amp;(B781+0.0003),$E$5:$E$1004,"&lt;&gt;İptal")&gt;1,"Çakışıyor",""))</f>
        <v/>
      </c>
      <c r="J781" s="21" t="str">
        <f aca="false">IF(AND(A781=Gün!$C$3,B781&lt;&gt;"",E781&lt;&gt;"İptal"),B781+ROW()/100000000,"")</f>
        <v/>
      </c>
    </row>
    <row r="782" customFormat="false" ht="15" hidden="false" customHeight="false" outlineLevel="0" collapsed="false">
      <c r="A782" s="12"/>
      <c r="B782" s="13"/>
      <c r="C782" s="14"/>
      <c r="D782" s="14"/>
      <c r="E782" s="15"/>
      <c r="F782" s="16"/>
      <c r="G782" s="17" t="str">
        <f aca="false">IF(D782="","",IF(E782="Geldi",IF(F782="",IFERROR(INDEX(Hizmetler!$C$5:$C$54,MATCH(D782,Hizmetler!$A$5:$A$54,0)),0),F782),0))</f>
        <v/>
      </c>
      <c r="H782" s="18" t="str">
        <f aca="false">IF(OR(B782="",D782=""),"",ROUND((B782+IFERROR(INDEX(Hizmetler!$B$5:$B$54,MATCH(D782,Hizmetler!$A$5:$A$54,0)),0)/1440)*1440,0)/1440)</f>
        <v/>
      </c>
      <c r="I782" s="19" t="str">
        <f aca="false">IF(OR(A782="",H782="",E782="İptal"),"",IF(COUNTIFS($A$5:$A$1004,A782,$B$5:$B$1004,"&lt;"&amp;(H782-0.0003),$H$5:$H$1004,"&gt;"&amp;(B782+0.0003),$E$5:$E$1004,"&lt;&gt;İptal")&gt;1,"Çakışıyor",""))</f>
        <v/>
      </c>
      <c r="J782" s="21" t="str">
        <f aca="false">IF(AND(A782=Gün!$C$3,B782&lt;&gt;"",E782&lt;&gt;"İptal"),B782+ROW()/100000000,"")</f>
        <v/>
      </c>
    </row>
    <row r="783" customFormat="false" ht="15" hidden="false" customHeight="false" outlineLevel="0" collapsed="false">
      <c r="A783" s="12"/>
      <c r="B783" s="13"/>
      <c r="C783" s="14"/>
      <c r="D783" s="14"/>
      <c r="E783" s="15"/>
      <c r="F783" s="16"/>
      <c r="G783" s="17" t="str">
        <f aca="false">IF(D783="","",IF(E783="Geldi",IF(F783="",IFERROR(INDEX(Hizmetler!$C$5:$C$54,MATCH(D783,Hizmetler!$A$5:$A$54,0)),0),F783),0))</f>
        <v/>
      </c>
      <c r="H783" s="18" t="str">
        <f aca="false">IF(OR(B783="",D783=""),"",ROUND((B783+IFERROR(INDEX(Hizmetler!$B$5:$B$54,MATCH(D783,Hizmetler!$A$5:$A$54,0)),0)/1440)*1440,0)/1440)</f>
        <v/>
      </c>
      <c r="I783" s="19" t="str">
        <f aca="false">IF(OR(A783="",H783="",E783="İptal"),"",IF(COUNTIFS($A$5:$A$1004,A783,$B$5:$B$1004,"&lt;"&amp;(H783-0.0003),$H$5:$H$1004,"&gt;"&amp;(B783+0.0003),$E$5:$E$1004,"&lt;&gt;İptal")&gt;1,"Çakışıyor",""))</f>
        <v/>
      </c>
      <c r="J783" s="21" t="str">
        <f aca="false">IF(AND(A783=Gün!$C$3,B783&lt;&gt;"",E783&lt;&gt;"İptal"),B783+ROW()/100000000,"")</f>
        <v/>
      </c>
    </row>
    <row r="784" customFormat="false" ht="15" hidden="false" customHeight="false" outlineLevel="0" collapsed="false">
      <c r="A784" s="12"/>
      <c r="B784" s="13"/>
      <c r="C784" s="14"/>
      <c r="D784" s="14"/>
      <c r="E784" s="15"/>
      <c r="F784" s="16"/>
      <c r="G784" s="17" t="str">
        <f aca="false">IF(D784="","",IF(E784="Geldi",IF(F784="",IFERROR(INDEX(Hizmetler!$C$5:$C$54,MATCH(D784,Hizmetler!$A$5:$A$54,0)),0),F784),0))</f>
        <v/>
      </c>
      <c r="H784" s="18" t="str">
        <f aca="false">IF(OR(B784="",D784=""),"",ROUND((B784+IFERROR(INDEX(Hizmetler!$B$5:$B$54,MATCH(D784,Hizmetler!$A$5:$A$54,0)),0)/1440)*1440,0)/1440)</f>
        <v/>
      </c>
      <c r="I784" s="19" t="str">
        <f aca="false">IF(OR(A784="",H784="",E784="İptal"),"",IF(COUNTIFS($A$5:$A$1004,A784,$B$5:$B$1004,"&lt;"&amp;(H784-0.0003),$H$5:$H$1004,"&gt;"&amp;(B784+0.0003),$E$5:$E$1004,"&lt;&gt;İptal")&gt;1,"Çakışıyor",""))</f>
        <v/>
      </c>
      <c r="J784" s="21" t="str">
        <f aca="false">IF(AND(A784=Gün!$C$3,B784&lt;&gt;"",E784&lt;&gt;"İptal"),B784+ROW()/100000000,"")</f>
        <v/>
      </c>
    </row>
    <row r="785" customFormat="false" ht="15" hidden="false" customHeight="false" outlineLevel="0" collapsed="false">
      <c r="A785" s="12"/>
      <c r="B785" s="13"/>
      <c r="C785" s="14"/>
      <c r="D785" s="14"/>
      <c r="E785" s="15"/>
      <c r="F785" s="16"/>
      <c r="G785" s="17" t="str">
        <f aca="false">IF(D785="","",IF(E785="Geldi",IF(F785="",IFERROR(INDEX(Hizmetler!$C$5:$C$54,MATCH(D785,Hizmetler!$A$5:$A$54,0)),0),F785),0))</f>
        <v/>
      </c>
      <c r="H785" s="18" t="str">
        <f aca="false">IF(OR(B785="",D785=""),"",ROUND((B785+IFERROR(INDEX(Hizmetler!$B$5:$B$54,MATCH(D785,Hizmetler!$A$5:$A$54,0)),0)/1440)*1440,0)/1440)</f>
        <v/>
      </c>
      <c r="I785" s="19" t="str">
        <f aca="false">IF(OR(A785="",H785="",E785="İptal"),"",IF(COUNTIFS($A$5:$A$1004,A785,$B$5:$B$1004,"&lt;"&amp;(H785-0.0003),$H$5:$H$1004,"&gt;"&amp;(B785+0.0003),$E$5:$E$1004,"&lt;&gt;İptal")&gt;1,"Çakışıyor",""))</f>
        <v/>
      </c>
      <c r="J785" s="21" t="str">
        <f aca="false">IF(AND(A785=Gün!$C$3,B785&lt;&gt;"",E785&lt;&gt;"İptal"),B785+ROW()/100000000,"")</f>
        <v/>
      </c>
    </row>
    <row r="786" customFormat="false" ht="15" hidden="false" customHeight="false" outlineLevel="0" collapsed="false">
      <c r="A786" s="12"/>
      <c r="B786" s="13"/>
      <c r="C786" s="14"/>
      <c r="D786" s="14"/>
      <c r="E786" s="15"/>
      <c r="F786" s="16"/>
      <c r="G786" s="17" t="str">
        <f aca="false">IF(D786="","",IF(E786="Geldi",IF(F786="",IFERROR(INDEX(Hizmetler!$C$5:$C$54,MATCH(D786,Hizmetler!$A$5:$A$54,0)),0),F786),0))</f>
        <v/>
      </c>
      <c r="H786" s="18" t="str">
        <f aca="false">IF(OR(B786="",D786=""),"",ROUND((B786+IFERROR(INDEX(Hizmetler!$B$5:$B$54,MATCH(D786,Hizmetler!$A$5:$A$54,0)),0)/1440)*1440,0)/1440)</f>
        <v/>
      </c>
      <c r="I786" s="19" t="str">
        <f aca="false">IF(OR(A786="",H786="",E786="İptal"),"",IF(COUNTIFS($A$5:$A$1004,A786,$B$5:$B$1004,"&lt;"&amp;(H786-0.0003),$H$5:$H$1004,"&gt;"&amp;(B786+0.0003),$E$5:$E$1004,"&lt;&gt;İptal")&gt;1,"Çakışıyor",""))</f>
        <v/>
      </c>
      <c r="J786" s="21" t="str">
        <f aca="false">IF(AND(A786=Gün!$C$3,B786&lt;&gt;"",E786&lt;&gt;"İptal"),B786+ROW()/100000000,"")</f>
        <v/>
      </c>
    </row>
    <row r="787" customFormat="false" ht="15" hidden="false" customHeight="false" outlineLevel="0" collapsed="false">
      <c r="A787" s="12"/>
      <c r="B787" s="13"/>
      <c r="C787" s="14"/>
      <c r="D787" s="14"/>
      <c r="E787" s="15"/>
      <c r="F787" s="16"/>
      <c r="G787" s="17" t="str">
        <f aca="false">IF(D787="","",IF(E787="Geldi",IF(F787="",IFERROR(INDEX(Hizmetler!$C$5:$C$54,MATCH(D787,Hizmetler!$A$5:$A$54,0)),0),F787),0))</f>
        <v/>
      </c>
      <c r="H787" s="18" t="str">
        <f aca="false">IF(OR(B787="",D787=""),"",ROUND((B787+IFERROR(INDEX(Hizmetler!$B$5:$B$54,MATCH(D787,Hizmetler!$A$5:$A$54,0)),0)/1440)*1440,0)/1440)</f>
        <v/>
      </c>
      <c r="I787" s="19" t="str">
        <f aca="false">IF(OR(A787="",H787="",E787="İptal"),"",IF(COUNTIFS($A$5:$A$1004,A787,$B$5:$B$1004,"&lt;"&amp;(H787-0.0003),$H$5:$H$1004,"&gt;"&amp;(B787+0.0003),$E$5:$E$1004,"&lt;&gt;İptal")&gt;1,"Çakışıyor",""))</f>
        <v/>
      </c>
      <c r="J787" s="21" t="str">
        <f aca="false">IF(AND(A787=Gün!$C$3,B787&lt;&gt;"",E787&lt;&gt;"İptal"),B787+ROW()/100000000,"")</f>
        <v/>
      </c>
    </row>
    <row r="788" customFormat="false" ht="15" hidden="false" customHeight="false" outlineLevel="0" collapsed="false">
      <c r="A788" s="12"/>
      <c r="B788" s="13"/>
      <c r="C788" s="14"/>
      <c r="D788" s="14"/>
      <c r="E788" s="15"/>
      <c r="F788" s="16"/>
      <c r="G788" s="17" t="str">
        <f aca="false">IF(D788="","",IF(E788="Geldi",IF(F788="",IFERROR(INDEX(Hizmetler!$C$5:$C$54,MATCH(D788,Hizmetler!$A$5:$A$54,0)),0),F788),0))</f>
        <v/>
      </c>
      <c r="H788" s="18" t="str">
        <f aca="false">IF(OR(B788="",D788=""),"",ROUND((B788+IFERROR(INDEX(Hizmetler!$B$5:$B$54,MATCH(D788,Hizmetler!$A$5:$A$54,0)),0)/1440)*1440,0)/1440)</f>
        <v/>
      </c>
      <c r="I788" s="19" t="str">
        <f aca="false">IF(OR(A788="",H788="",E788="İptal"),"",IF(COUNTIFS($A$5:$A$1004,A788,$B$5:$B$1004,"&lt;"&amp;(H788-0.0003),$H$5:$H$1004,"&gt;"&amp;(B788+0.0003),$E$5:$E$1004,"&lt;&gt;İptal")&gt;1,"Çakışıyor",""))</f>
        <v/>
      </c>
      <c r="J788" s="21" t="str">
        <f aca="false">IF(AND(A788=Gün!$C$3,B788&lt;&gt;"",E788&lt;&gt;"İptal"),B788+ROW()/100000000,"")</f>
        <v/>
      </c>
    </row>
    <row r="789" customFormat="false" ht="15" hidden="false" customHeight="false" outlineLevel="0" collapsed="false">
      <c r="A789" s="12"/>
      <c r="B789" s="13"/>
      <c r="C789" s="14"/>
      <c r="D789" s="14"/>
      <c r="E789" s="15"/>
      <c r="F789" s="16"/>
      <c r="G789" s="17" t="str">
        <f aca="false">IF(D789="","",IF(E789="Geldi",IF(F789="",IFERROR(INDEX(Hizmetler!$C$5:$C$54,MATCH(D789,Hizmetler!$A$5:$A$54,0)),0),F789),0))</f>
        <v/>
      </c>
      <c r="H789" s="18" t="str">
        <f aca="false">IF(OR(B789="",D789=""),"",ROUND((B789+IFERROR(INDEX(Hizmetler!$B$5:$B$54,MATCH(D789,Hizmetler!$A$5:$A$54,0)),0)/1440)*1440,0)/1440)</f>
        <v/>
      </c>
      <c r="I789" s="19" t="str">
        <f aca="false">IF(OR(A789="",H789="",E789="İptal"),"",IF(COUNTIFS($A$5:$A$1004,A789,$B$5:$B$1004,"&lt;"&amp;(H789-0.0003),$H$5:$H$1004,"&gt;"&amp;(B789+0.0003),$E$5:$E$1004,"&lt;&gt;İptal")&gt;1,"Çakışıyor",""))</f>
        <v/>
      </c>
      <c r="J789" s="21" t="str">
        <f aca="false">IF(AND(A789=Gün!$C$3,B789&lt;&gt;"",E789&lt;&gt;"İptal"),B789+ROW()/100000000,"")</f>
        <v/>
      </c>
    </row>
    <row r="790" customFormat="false" ht="15" hidden="false" customHeight="false" outlineLevel="0" collapsed="false">
      <c r="A790" s="12"/>
      <c r="B790" s="13"/>
      <c r="C790" s="14"/>
      <c r="D790" s="14"/>
      <c r="E790" s="15"/>
      <c r="F790" s="16"/>
      <c r="G790" s="17" t="str">
        <f aca="false">IF(D790="","",IF(E790="Geldi",IF(F790="",IFERROR(INDEX(Hizmetler!$C$5:$C$54,MATCH(D790,Hizmetler!$A$5:$A$54,0)),0),F790),0))</f>
        <v/>
      </c>
      <c r="H790" s="18" t="str">
        <f aca="false">IF(OR(B790="",D790=""),"",ROUND((B790+IFERROR(INDEX(Hizmetler!$B$5:$B$54,MATCH(D790,Hizmetler!$A$5:$A$54,0)),0)/1440)*1440,0)/1440)</f>
        <v/>
      </c>
      <c r="I790" s="19" t="str">
        <f aca="false">IF(OR(A790="",H790="",E790="İptal"),"",IF(COUNTIFS($A$5:$A$1004,A790,$B$5:$B$1004,"&lt;"&amp;(H790-0.0003),$H$5:$H$1004,"&gt;"&amp;(B790+0.0003),$E$5:$E$1004,"&lt;&gt;İptal")&gt;1,"Çakışıyor",""))</f>
        <v/>
      </c>
      <c r="J790" s="21" t="str">
        <f aca="false">IF(AND(A790=Gün!$C$3,B790&lt;&gt;"",E790&lt;&gt;"İptal"),B790+ROW()/100000000,"")</f>
        <v/>
      </c>
    </row>
    <row r="791" customFormat="false" ht="15" hidden="false" customHeight="false" outlineLevel="0" collapsed="false">
      <c r="A791" s="12"/>
      <c r="B791" s="13"/>
      <c r="C791" s="14"/>
      <c r="D791" s="14"/>
      <c r="E791" s="15"/>
      <c r="F791" s="16"/>
      <c r="G791" s="17" t="str">
        <f aca="false">IF(D791="","",IF(E791="Geldi",IF(F791="",IFERROR(INDEX(Hizmetler!$C$5:$C$54,MATCH(D791,Hizmetler!$A$5:$A$54,0)),0),F791),0))</f>
        <v/>
      </c>
      <c r="H791" s="18" t="str">
        <f aca="false">IF(OR(B791="",D791=""),"",ROUND((B791+IFERROR(INDEX(Hizmetler!$B$5:$B$54,MATCH(D791,Hizmetler!$A$5:$A$54,0)),0)/1440)*1440,0)/1440)</f>
        <v/>
      </c>
      <c r="I791" s="19" t="str">
        <f aca="false">IF(OR(A791="",H791="",E791="İptal"),"",IF(COUNTIFS($A$5:$A$1004,A791,$B$5:$B$1004,"&lt;"&amp;(H791-0.0003),$H$5:$H$1004,"&gt;"&amp;(B791+0.0003),$E$5:$E$1004,"&lt;&gt;İptal")&gt;1,"Çakışıyor",""))</f>
        <v/>
      </c>
      <c r="J791" s="21" t="str">
        <f aca="false">IF(AND(A791=Gün!$C$3,B791&lt;&gt;"",E791&lt;&gt;"İptal"),B791+ROW()/100000000,"")</f>
        <v/>
      </c>
    </row>
    <row r="792" customFormat="false" ht="15" hidden="false" customHeight="false" outlineLevel="0" collapsed="false">
      <c r="A792" s="12"/>
      <c r="B792" s="13"/>
      <c r="C792" s="14"/>
      <c r="D792" s="14"/>
      <c r="E792" s="15"/>
      <c r="F792" s="16"/>
      <c r="G792" s="17" t="str">
        <f aca="false">IF(D792="","",IF(E792="Geldi",IF(F792="",IFERROR(INDEX(Hizmetler!$C$5:$C$54,MATCH(D792,Hizmetler!$A$5:$A$54,0)),0),F792),0))</f>
        <v/>
      </c>
      <c r="H792" s="18" t="str">
        <f aca="false">IF(OR(B792="",D792=""),"",ROUND((B792+IFERROR(INDEX(Hizmetler!$B$5:$B$54,MATCH(D792,Hizmetler!$A$5:$A$54,0)),0)/1440)*1440,0)/1440)</f>
        <v/>
      </c>
      <c r="I792" s="19" t="str">
        <f aca="false">IF(OR(A792="",H792="",E792="İptal"),"",IF(COUNTIFS($A$5:$A$1004,A792,$B$5:$B$1004,"&lt;"&amp;(H792-0.0003),$H$5:$H$1004,"&gt;"&amp;(B792+0.0003),$E$5:$E$1004,"&lt;&gt;İptal")&gt;1,"Çakışıyor",""))</f>
        <v/>
      </c>
      <c r="J792" s="21" t="str">
        <f aca="false">IF(AND(A792=Gün!$C$3,B792&lt;&gt;"",E792&lt;&gt;"İptal"),B792+ROW()/100000000,"")</f>
        <v/>
      </c>
    </row>
    <row r="793" customFormat="false" ht="15" hidden="false" customHeight="false" outlineLevel="0" collapsed="false">
      <c r="A793" s="12"/>
      <c r="B793" s="13"/>
      <c r="C793" s="14"/>
      <c r="D793" s="14"/>
      <c r="E793" s="15"/>
      <c r="F793" s="16"/>
      <c r="G793" s="17" t="str">
        <f aca="false">IF(D793="","",IF(E793="Geldi",IF(F793="",IFERROR(INDEX(Hizmetler!$C$5:$C$54,MATCH(D793,Hizmetler!$A$5:$A$54,0)),0),F793),0))</f>
        <v/>
      </c>
      <c r="H793" s="18" t="str">
        <f aca="false">IF(OR(B793="",D793=""),"",ROUND((B793+IFERROR(INDEX(Hizmetler!$B$5:$B$54,MATCH(D793,Hizmetler!$A$5:$A$54,0)),0)/1440)*1440,0)/1440)</f>
        <v/>
      </c>
      <c r="I793" s="19" t="str">
        <f aca="false">IF(OR(A793="",H793="",E793="İptal"),"",IF(COUNTIFS($A$5:$A$1004,A793,$B$5:$B$1004,"&lt;"&amp;(H793-0.0003),$H$5:$H$1004,"&gt;"&amp;(B793+0.0003),$E$5:$E$1004,"&lt;&gt;İptal")&gt;1,"Çakışıyor",""))</f>
        <v/>
      </c>
      <c r="J793" s="21" t="str">
        <f aca="false">IF(AND(A793=Gün!$C$3,B793&lt;&gt;"",E793&lt;&gt;"İptal"),B793+ROW()/100000000,"")</f>
        <v/>
      </c>
    </row>
    <row r="794" customFormat="false" ht="15" hidden="false" customHeight="false" outlineLevel="0" collapsed="false">
      <c r="A794" s="12"/>
      <c r="B794" s="13"/>
      <c r="C794" s="14"/>
      <c r="D794" s="14"/>
      <c r="E794" s="15"/>
      <c r="F794" s="16"/>
      <c r="G794" s="17" t="str">
        <f aca="false">IF(D794="","",IF(E794="Geldi",IF(F794="",IFERROR(INDEX(Hizmetler!$C$5:$C$54,MATCH(D794,Hizmetler!$A$5:$A$54,0)),0),F794),0))</f>
        <v/>
      </c>
      <c r="H794" s="18" t="str">
        <f aca="false">IF(OR(B794="",D794=""),"",ROUND((B794+IFERROR(INDEX(Hizmetler!$B$5:$B$54,MATCH(D794,Hizmetler!$A$5:$A$54,0)),0)/1440)*1440,0)/1440)</f>
        <v/>
      </c>
      <c r="I794" s="19" t="str">
        <f aca="false">IF(OR(A794="",H794="",E794="İptal"),"",IF(COUNTIFS($A$5:$A$1004,A794,$B$5:$B$1004,"&lt;"&amp;(H794-0.0003),$H$5:$H$1004,"&gt;"&amp;(B794+0.0003),$E$5:$E$1004,"&lt;&gt;İptal")&gt;1,"Çakışıyor",""))</f>
        <v/>
      </c>
      <c r="J794" s="21" t="str">
        <f aca="false">IF(AND(A794=Gün!$C$3,B794&lt;&gt;"",E794&lt;&gt;"İptal"),B794+ROW()/100000000,"")</f>
        <v/>
      </c>
    </row>
    <row r="795" customFormat="false" ht="15" hidden="false" customHeight="false" outlineLevel="0" collapsed="false">
      <c r="A795" s="12"/>
      <c r="B795" s="13"/>
      <c r="C795" s="14"/>
      <c r="D795" s="14"/>
      <c r="E795" s="15"/>
      <c r="F795" s="16"/>
      <c r="G795" s="17" t="str">
        <f aca="false">IF(D795="","",IF(E795="Geldi",IF(F795="",IFERROR(INDEX(Hizmetler!$C$5:$C$54,MATCH(D795,Hizmetler!$A$5:$A$54,0)),0),F795),0))</f>
        <v/>
      </c>
      <c r="H795" s="18" t="str">
        <f aca="false">IF(OR(B795="",D795=""),"",ROUND((B795+IFERROR(INDEX(Hizmetler!$B$5:$B$54,MATCH(D795,Hizmetler!$A$5:$A$54,0)),0)/1440)*1440,0)/1440)</f>
        <v/>
      </c>
      <c r="I795" s="19" t="str">
        <f aca="false">IF(OR(A795="",H795="",E795="İptal"),"",IF(COUNTIFS($A$5:$A$1004,A795,$B$5:$B$1004,"&lt;"&amp;(H795-0.0003),$H$5:$H$1004,"&gt;"&amp;(B795+0.0003),$E$5:$E$1004,"&lt;&gt;İptal")&gt;1,"Çakışıyor",""))</f>
        <v/>
      </c>
      <c r="J795" s="21" t="str">
        <f aca="false">IF(AND(A795=Gün!$C$3,B795&lt;&gt;"",E795&lt;&gt;"İptal"),B795+ROW()/100000000,"")</f>
        <v/>
      </c>
    </row>
    <row r="796" customFormat="false" ht="15" hidden="false" customHeight="false" outlineLevel="0" collapsed="false">
      <c r="A796" s="12"/>
      <c r="B796" s="13"/>
      <c r="C796" s="14"/>
      <c r="D796" s="14"/>
      <c r="E796" s="15"/>
      <c r="F796" s="16"/>
      <c r="G796" s="17" t="str">
        <f aca="false">IF(D796="","",IF(E796="Geldi",IF(F796="",IFERROR(INDEX(Hizmetler!$C$5:$C$54,MATCH(D796,Hizmetler!$A$5:$A$54,0)),0),F796),0))</f>
        <v/>
      </c>
      <c r="H796" s="18" t="str">
        <f aca="false">IF(OR(B796="",D796=""),"",ROUND((B796+IFERROR(INDEX(Hizmetler!$B$5:$B$54,MATCH(D796,Hizmetler!$A$5:$A$54,0)),0)/1440)*1440,0)/1440)</f>
        <v/>
      </c>
      <c r="I796" s="19" t="str">
        <f aca="false">IF(OR(A796="",H796="",E796="İptal"),"",IF(COUNTIFS($A$5:$A$1004,A796,$B$5:$B$1004,"&lt;"&amp;(H796-0.0003),$H$5:$H$1004,"&gt;"&amp;(B796+0.0003),$E$5:$E$1004,"&lt;&gt;İptal")&gt;1,"Çakışıyor",""))</f>
        <v/>
      </c>
      <c r="J796" s="21" t="str">
        <f aca="false">IF(AND(A796=Gün!$C$3,B796&lt;&gt;"",E796&lt;&gt;"İptal"),B796+ROW()/100000000,"")</f>
        <v/>
      </c>
    </row>
    <row r="797" customFormat="false" ht="15" hidden="false" customHeight="false" outlineLevel="0" collapsed="false">
      <c r="A797" s="12"/>
      <c r="B797" s="13"/>
      <c r="C797" s="14"/>
      <c r="D797" s="14"/>
      <c r="E797" s="15"/>
      <c r="F797" s="16"/>
      <c r="G797" s="17" t="str">
        <f aca="false">IF(D797="","",IF(E797="Geldi",IF(F797="",IFERROR(INDEX(Hizmetler!$C$5:$C$54,MATCH(D797,Hizmetler!$A$5:$A$54,0)),0),F797),0))</f>
        <v/>
      </c>
      <c r="H797" s="18" t="str">
        <f aca="false">IF(OR(B797="",D797=""),"",ROUND((B797+IFERROR(INDEX(Hizmetler!$B$5:$B$54,MATCH(D797,Hizmetler!$A$5:$A$54,0)),0)/1440)*1440,0)/1440)</f>
        <v/>
      </c>
      <c r="I797" s="19" t="str">
        <f aca="false">IF(OR(A797="",H797="",E797="İptal"),"",IF(COUNTIFS($A$5:$A$1004,A797,$B$5:$B$1004,"&lt;"&amp;(H797-0.0003),$H$5:$H$1004,"&gt;"&amp;(B797+0.0003),$E$5:$E$1004,"&lt;&gt;İptal")&gt;1,"Çakışıyor",""))</f>
        <v/>
      </c>
      <c r="J797" s="21" t="str">
        <f aca="false">IF(AND(A797=Gün!$C$3,B797&lt;&gt;"",E797&lt;&gt;"İptal"),B797+ROW()/100000000,"")</f>
        <v/>
      </c>
    </row>
    <row r="798" customFormat="false" ht="15" hidden="false" customHeight="false" outlineLevel="0" collapsed="false">
      <c r="A798" s="12"/>
      <c r="B798" s="13"/>
      <c r="C798" s="14"/>
      <c r="D798" s="14"/>
      <c r="E798" s="15"/>
      <c r="F798" s="16"/>
      <c r="G798" s="17" t="str">
        <f aca="false">IF(D798="","",IF(E798="Geldi",IF(F798="",IFERROR(INDEX(Hizmetler!$C$5:$C$54,MATCH(D798,Hizmetler!$A$5:$A$54,0)),0),F798),0))</f>
        <v/>
      </c>
      <c r="H798" s="18" t="str">
        <f aca="false">IF(OR(B798="",D798=""),"",ROUND((B798+IFERROR(INDEX(Hizmetler!$B$5:$B$54,MATCH(D798,Hizmetler!$A$5:$A$54,0)),0)/1440)*1440,0)/1440)</f>
        <v/>
      </c>
      <c r="I798" s="19" t="str">
        <f aca="false">IF(OR(A798="",H798="",E798="İptal"),"",IF(COUNTIFS($A$5:$A$1004,A798,$B$5:$B$1004,"&lt;"&amp;(H798-0.0003),$H$5:$H$1004,"&gt;"&amp;(B798+0.0003),$E$5:$E$1004,"&lt;&gt;İptal")&gt;1,"Çakışıyor",""))</f>
        <v/>
      </c>
      <c r="J798" s="21" t="str">
        <f aca="false">IF(AND(A798=Gün!$C$3,B798&lt;&gt;"",E798&lt;&gt;"İptal"),B798+ROW()/100000000,"")</f>
        <v/>
      </c>
    </row>
    <row r="799" customFormat="false" ht="15" hidden="false" customHeight="false" outlineLevel="0" collapsed="false">
      <c r="A799" s="12"/>
      <c r="B799" s="13"/>
      <c r="C799" s="14"/>
      <c r="D799" s="14"/>
      <c r="E799" s="15"/>
      <c r="F799" s="16"/>
      <c r="G799" s="17" t="str">
        <f aca="false">IF(D799="","",IF(E799="Geldi",IF(F799="",IFERROR(INDEX(Hizmetler!$C$5:$C$54,MATCH(D799,Hizmetler!$A$5:$A$54,0)),0),F799),0))</f>
        <v/>
      </c>
      <c r="H799" s="18" t="str">
        <f aca="false">IF(OR(B799="",D799=""),"",ROUND((B799+IFERROR(INDEX(Hizmetler!$B$5:$B$54,MATCH(D799,Hizmetler!$A$5:$A$54,0)),0)/1440)*1440,0)/1440)</f>
        <v/>
      </c>
      <c r="I799" s="19" t="str">
        <f aca="false">IF(OR(A799="",H799="",E799="İptal"),"",IF(COUNTIFS($A$5:$A$1004,A799,$B$5:$B$1004,"&lt;"&amp;(H799-0.0003),$H$5:$H$1004,"&gt;"&amp;(B799+0.0003),$E$5:$E$1004,"&lt;&gt;İptal")&gt;1,"Çakışıyor",""))</f>
        <v/>
      </c>
      <c r="J799" s="21" t="str">
        <f aca="false">IF(AND(A799=Gün!$C$3,B799&lt;&gt;"",E799&lt;&gt;"İptal"),B799+ROW()/100000000,"")</f>
        <v/>
      </c>
    </row>
    <row r="800" customFormat="false" ht="15" hidden="false" customHeight="false" outlineLevel="0" collapsed="false">
      <c r="A800" s="12"/>
      <c r="B800" s="13"/>
      <c r="C800" s="14"/>
      <c r="D800" s="14"/>
      <c r="E800" s="15"/>
      <c r="F800" s="16"/>
      <c r="G800" s="17" t="str">
        <f aca="false">IF(D800="","",IF(E800="Geldi",IF(F800="",IFERROR(INDEX(Hizmetler!$C$5:$C$54,MATCH(D800,Hizmetler!$A$5:$A$54,0)),0),F800),0))</f>
        <v/>
      </c>
      <c r="H800" s="18" t="str">
        <f aca="false">IF(OR(B800="",D800=""),"",ROUND((B800+IFERROR(INDEX(Hizmetler!$B$5:$B$54,MATCH(D800,Hizmetler!$A$5:$A$54,0)),0)/1440)*1440,0)/1440)</f>
        <v/>
      </c>
      <c r="I800" s="19" t="str">
        <f aca="false">IF(OR(A800="",H800="",E800="İptal"),"",IF(COUNTIFS($A$5:$A$1004,A800,$B$5:$B$1004,"&lt;"&amp;(H800-0.0003),$H$5:$H$1004,"&gt;"&amp;(B800+0.0003),$E$5:$E$1004,"&lt;&gt;İptal")&gt;1,"Çakışıyor",""))</f>
        <v/>
      </c>
      <c r="J800" s="21" t="str">
        <f aca="false">IF(AND(A800=Gün!$C$3,B800&lt;&gt;"",E800&lt;&gt;"İptal"),B800+ROW()/100000000,"")</f>
        <v/>
      </c>
    </row>
    <row r="801" customFormat="false" ht="15" hidden="false" customHeight="false" outlineLevel="0" collapsed="false">
      <c r="A801" s="12"/>
      <c r="B801" s="13"/>
      <c r="C801" s="14"/>
      <c r="D801" s="14"/>
      <c r="E801" s="15"/>
      <c r="F801" s="16"/>
      <c r="G801" s="17" t="str">
        <f aca="false">IF(D801="","",IF(E801="Geldi",IF(F801="",IFERROR(INDEX(Hizmetler!$C$5:$C$54,MATCH(D801,Hizmetler!$A$5:$A$54,0)),0),F801),0))</f>
        <v/>
      </c>
      <c r="H801" s="18" t="str">
        <f aca="false">IF(OR(B801="",D801=""),"",ROUND((B801+IFERROR(INDEX(Hizmetler!$B$5:$B$54,MATCH(D801,Hizmetler!$A$5:$A$54,0)),0)/1440)*1440,0)/1440)</f>
        <v/>
      </c>
      <c r="I801" s="19" t="str">
        <f aca="false">IF(OR(A801="",H801="",E801="İptal"),"",IF(COUNTIFS($A$5:$A$1004,A801,$B$5:$B$1004,"&lt;"&amp;(H801-0.0003),$H$5:$H$1004,"&gt;"&amp;(B801+0.0003),$E$5:$E$1004,"&lt;&gt;İptal")&gt;1,"Çakışıyor",""))</f>
        <v/>
      </c>
      <c r="J801" s="21" t="str">
        <f aca="false">IF(AND(A801=Gün!$C$3,B801&lt;&gt;"",E801&lt;&gt;"İptal"),B801+ROW()/100000000,"")</f>
        <v/>
      </c>
    </row>
    <row r="802" customFormat="false" ht="15" hidden="false" customHeight="false" outlineLevel="0" collapsed="false">
      <c r="A802" s="12"/>
      <c r="B802" s="13"/>
      <c r="C802" s="14"/>
      <c r="D802" s="14"/>
      <c r="E802" s="15"/>
      <c r="F802" s="16"/>
      <c r="G802" s="17" t="str">
        <f aca="false">IF(D802="","",IF(E802="Geldi",IF(F802="",IFERROR(INDEX(Hizmetler!$C$5:$C$54,MATCH(D802,Hizmetler!$A$5:$A$54,0)),0),F802),0))</f>
        <v/>
      </c>
      <c r="H802" s="18" t="str">
        <f aca="false">IF(OR(B802="",D802=""),"",ROUND((B802+IFERROR(INDEX(Hizmetler!$B$5:$B$54,MATCH(D802,Hizmetler!$A$5:$A$54,0)),0)/1440)*1440,0)/1440)</f>
        <v/>
      </c>
      <c r="I802" s="19" t="str">
        <f aca="false">IF(OR(A802="",H802="",E802="İptal"),"",IF(COUNTIFS($A$5:$A$1004,A802,$B$5:$B$1004,"&lt;"&amp;(H802-0.0003),$H$5:$H$1004,"&gt;"&amp;(B802+0.0003),$E$5:$E$1004,"&lt;&gt;İptal")&gt;1,"Çakışıyor",""))</f>
        <v/>
      </c>
      <c r="J802" s="21" t="str">
        <f aca="false">IF(AND(A802=Gün!$C$3,B802&lt;&gt;"",E802&lt;&gt;"İptal"),B802+ROW()/100000000,"")</f>
        <v/>
      </c>
    </row>
    <row r="803" customFormat="false" ht="15" hidden="false" customHeight="false" outlineLevel="0" collapsed="false">
      <c r="A803" s="12"/>
      <c r="B803" s="13"/>
      <c r="C803" s="14"/>
      <c r="D803" s="14"/>
      <c r="E803" s="15"/>
      <c r="F803" s="16"/>
      <c r="G803" s="17" t="str">
        <f aca="false">IF(D803="","",IF(E803="Geldi",IF(F803="",IFERROR(INDEX(Hizmetler!$C$5:$C$54,MATCH(D803,Hizmetler!$A$5:$A$54,0)),0),F803),0))</f>
        <v/>
      </c>
      <c r="H803" s="18" t="str">
        <f aca="false">IF(OR(B803="",D803=""),"",ROUND((B803+IFERROR(INDEX(Hizmetler!$B$5:$B$54,MATCH(D803,Hizmetler!$A$5:$A$54,0)),0)/1440)*1440,0)/1440)</f>
        <v/>
      </c>
      <c r="I803" s="19" t="str">
        <f aca="false">IF(OR(A803="",H803="",E803="İptal"),"",IF(COUNTIFS($A$5:$A$1004,A803,$B$5:$B$1004,"&lt;"&amp;(H803-0.0003),$H$5:$H$1004,"&gt;"&amp;(B803+0.0003),$E$5:$E$1004,"&lt;&gt;İptal")&gt;1,"Çakışıyor",""))</f>
        <v/>
      </c>
      <c r="J803" s="21" t="str">
        <f aca="false">IF(AND(A803=Gün!$C$3,B803&lt;&gt;"",E803&lt;&gt;"İptal"),B803+ROW()/100000000,"")</f>
        <v/>
      </c>
    </row>
    <row r="804" customFormat="false" ht="15" hidden="false" customHeight="false" outlineLevel="0" collapsed="false">
      <c r="A804" s="12"/>
      <c r="B804" s="13"/>
      <c r="C804" s="14"/>
      <c r="D804" s="14"/>
      <c r="E804" s="15"/>
      <c r="F804" s="16"/>
      <c r="G804" s="17" t="str">
        <f aca="false">IF(D804="","",IF(E804="Geldi",IF(F804="",IFERROR(INDEX(Hizmetler!$C$5:$C$54,MATCH(D804,Hizmetler!$A$5:$A$54,0)),0),F804),0))</f>
        <v/>
      </c>
      <c r="H804" s="18" t="str">
        <f aca="false">IF(OR(B804="",D804=""),"",ROUND((B804+IFERROR(INDEX(Hizmetler!$B$5:$B$54,MATCH(D804,Hizmetler!$A$5:$A$54,0)),0)/1440)*1440,0)/1440)</f>
        <v/>
      </c>
      <c r="I804" s="19" t="str">
        <f aca="false">IF(OR(A804="",H804="",E804="İptal"),"",IF(COUNTIFS($A$5:$A$1004,A804,$B$5:$B$1004,"&lt;"&amp;(H804-0.0003),$H$5:$H$1004,"&gt;"&amp;(B804+0.0003),$E$5:$E$1004,"&lt;&gt;İptal")&gt;1,"Çakışıyor",""))</f>
        <v/>
      </c>
      <c r="J804" s="21" t="str">
        <f aca="false">IF(AND(A804=Gün!$C$3,B804&lt;&gt;"",E804&lt;&gt;"İptal"),B804+ROW()/100000000,"")</f>
        <v/>
      </c>
    </row>
    <row r="805" customFormat="false" ht="15" hidden="false" customHeight="false" outlineLevel="0" collapsed="false">
      <c r="A805" s="12"/>
      <c r="B805" s="13"/>
      <c r="C805" s="14"/>
      <c r="D805" s="14"/>
      <c r="E805" s="15"/>
      <c r="F805" s="16"/>
      <c r="G805" s="17" t="str">
        <f aca="false">IF(D805="","",IF(E805="Geldi",IF(F805="",IFERROR(INDEX(Hizmetler!$C$5:$C$54,MATCH(D805,Hizmetler!$A$5:$A$54,0)),0),F805),0))</f>
        <v/>
      </c>
      <c r="H805" s="18" t="str">
        <f aca="false">IF(OR(B805="",D805=""),"",ROUND((B805+IFERROR(INDEX(Hizmetler!$B$5:$B$54,MATCH(D805,Hizmetler!$A$5:$A$54,0)),0)/1440)*1440,0)/1440)</f>
        <v/>
      </c>
      <c r="I805" s="19" t="str">
        <f aca="false">IF(OR(A805="",H805="",E805="İptal"),"",IF(COUNTIFS($A$5:$A$1004,A805,$B$5:$B$1004,"&lt;"&amp;(H805-0.0003),$H$5:$H$1004,"&gt;"&amp;(B805+0.0003),$E$5:$E$1004,"&lt;&gt;İptal")&gt;1,"Çakışıyor",""))</f>
        <v/>
      </c>
      <c r="J805" s="21" t="str">
        <f aca="false">IF(AND(A805=Gün!$C$3,B805&lt;&gt;"",E805&lt;&gt;"İptal"),B805+ROW()/100000000,"")</f>
        <v/>
      </c>
    </row>
    <row r="806" customFormat="false" ht="15" hidden="false" customHeight="false" outlineLevel="0" collapsed="false">
      <c r="A806" s="12"/>
      <c r="B806" s="13"/>
      <c r="C806" s="14"/>
      <c r="D806" s="14"/>
      <c r="E806" s="15"/>
      <c r="F806" s="16"/>
      <c r="G806" s="17" t="str">
        <f aca="false">IF(D806="","",IF(E806="Geldi",IF(F806="",IFERROR(INDEX(Hizmetler!$C$5:$C$54,MATCH(D806,Hizmetler!$A$5:$A$54,0)),0),F806),0))</f>
        <v/>
      </c>
      <c r="H806" s="18" t="str">
        <f aca="false">IF(OR(B806="",D806=""),"",ROUND((B806+IFERROR(INDEX(Hizmetler!$B$5:$B$54,MATCH(D806,Hizmetler!$A$5:$A$54,0)),0)/1440)*1440,0)/1440)</f>
        <v/>
      </c>
      <c r="I806" s="19" t="str">
        <f aca="false">IF(OR(A806="",H806="",E806="İptal"),"",IF(COUNTIFS($A$5:$A$1004,A806,$B$5:$B$1004,"&lt;"&amp;(H806-0.0003),$H$5:$H$1004,"&gt;"&amp;(B806+0.0003),$E$5:$E$1004,"&lt;&gt;İptal")&gt;1,"Çakışıyor",""))</f>
        <v/>
      </c>
      <c r="J806" s="21" t="str">
        <f aca="false">IF(AND(A806=Gün!$C$3,B806&lt;&gt;"",E806&lt;&gt;"İptal"),B806+ROW()/100000000,"")</f>
        <v/>
      </c>
    </row>
    <row r="807" customFormat="false" ht="15" hidden="false" customHeight="false" outlineLevel="0" collapsed="false">
      <c r="A807" s="12"/>
      <c r="B807" s="13"/>
      <c r="C807" s="14"/>
      <c r="D807" s="14"/>
      <c r="E807" s="15"/>
      <c r="F807" s="16"/>
      <c r="G807" s="17" t="str">
        <f aca="false">IF(D807="","",IF(E807="Geldi",IF(F807="",IFERROR(INDEX(Hizmetler!$C$5:$C$54,MATCH(D807,Hizmetler!$A$5:$A$54,0)),0),F807),0))</f>
        <v/>
      </c>
      <c r="H807" s="18" t="str">
        <f aca="false">IF(OR(B807="",D807=""),"",ROUND((B807+IFERROR(INDEX(Hizmetler!$B$5:$B$54,MATCH(D807,Hizmetler!$A$5:$A$54,0)),0)/1440)*1440,0)/1440)</f>
        <v/>
      </c>
      <c r="I807" s="19" t="str">
        <f aca="false">IF(OR(A807="",H807="",E807="İptal"),"",IF(COUNTIFS($A$5:$A$1004,A807,$B$5:$B$1004,"&lt;"&amp;(H807-0.0003),$H$5:$H$1004,"&gt;"&amp;(B807+0.0003),$E$5:$E$1004,"&lt;&gt;İptal")&gt;1,"Çakışıyor",""))</f>
        <v/>
      </c>
      <c r="J807" s="21" t="str">
        <f aca="false">IF(AND(A807=Gün!$C$3,B807&lt;&gt;"",E807&lt;&gt;"İptal"),B807+ROW()/100000000,"")</f>
        <v/>
      </c>
    </row>
    <row r="808" customFormat="false" ht="15" hidden="false" customHeight="false" outlineLevel="0" collapsed="false">
      <c r="A808" s="12"/>
      <c r="B808" s="13"/>
      <c r="C808" s="14"/>
      <c r="D808" s="14"/>
      <c r="E808" s="15"/>
      <c r="F808" s="16"/>
      <c r="G808" s="17" t="str">
        <f aca="false">IF(D808="","",IF(E808="Geldi",IF(F808="",IFERROR(INDEX(Hizmetler!$C$5:$C$54,MATCH(D808,Hizmetler!$A$5:$A$54,0)),0),F808),0))</f>
        <v/>
      </c>
      <c r="H808" s="18" t="str">
        <f aca="false">IF(OR(B808="",D808=""),"",ROUND((B808+IFERROR(INDEX(Hizmetler!$B$5:$B$54,MATCH(D808,Hizmetler!$A$5:$A$54,0)),0)/1440)*1440,0)/1440)</f>
        <v/>
      </c>
      <c r="I808" s="19" t="str">
        <f aca="false">IF(OR(A808="",H808="",E808="İptal"),"",IF(COUNTIFS($A$5:$A$1004,A808,$B$5:$B$1004,"&lt;"&amp;(H808-0.0003),$H$5:$H$1004,"&gt;"&amp;(B808+0.0003),$E$5:$E$1004,"&lt;&gt;İptal")&gt;1,"Çakışıyor",""))</f>
        <v/>
      </c>
      <c r="J808" s="21" t="str">
        <f aca="false">IF(AND(A808=Gün!$C$3,B808&lt;&gt;"",E808&lt;&gt;"İptal"),B808+ROW()/100000000,"")</f>
        <v/>
      </c>
    </row>
    <row r="809" customFormat="false" ht="15" hidden="false" customHeight="false" outlineLevel="0" collapsed="false">
      <c r="A809" s="12"/>
      <c r="B809" s="13"/>
      <c r="C809" s="14"/>
      <c r="D809" s="14"/>
      <c r="E809" s="15"/>
      <c r="F809" s="16"/>
      <c r="G809" s="17" t="str">
        <f aca="false">IF(D809="","",IF(E809="Geldi",IF(F809="",IFERROR(INDEX(Hizmetler!$C$5:$C$54,MATCH(D809,Hizmetler!$A$5:$A$54,0)),0),F809),0))</f>
        <v/>
      </c>
      <c r="H809" s="18" t="str">
        <f aca="false">IF(OR(B809="",D809=""),"",ROUND((B809+IFERROR(INDEX(Hizmetler!$B$5:$B$54,MATCH(D809,Hizmetler!$A$5:$A$54,0)),0)/1440)*1440,0)/1440)</f>
        <v/>
      </c>
      <c r="I809" s="19" t="str">
        <f aca="false">IF(OR(A809="",H809="",E809="İptal"),"",IF(COUNTIFS($A$5:$A$1004,A809,$B$5:$B$1004,"&lt;"&amp;(H809-0.0003),$H$5:$H$1004,"&gt;"&amp;(B809+0.0003),$E$5:$E$1004,"&lt;&gt;İptal")&gt;1,"Çakışıyor",""))</f>
        <v/>
      </c>
      <c r="J809" s="21" t="str">
        <f aca="false">IF(AND(A809=Gün!$C$3,B809&lt;&gt;"",E809&lt;&gt;"İptal"),B809+ROW()/100000000,"")</f>
        <v/>
      </c>
    </row>
    <row r="810" customFormat="false" ht="15" hidden="false" customHeight="false" outlineLevel="0" collapsed="false">
      <c r="A810" s="12"/>
      <c r="B810" s="13"/>
      <c r="C810" s="14"/>
      <c r="D810" s="14"/>
      <c r="E810" s="15"/>
      <c r="F810" s="16"/>
      <c r="G810" s="17" t="str">
        <f aca="false">IF(D810="","",IF(E810="Geldi",IF(F810="",IFERROR(INDEX(Hizmetler!$C$5:$C$54,MATCH(D810,Hizmetler!$A$5:$A$54,0)),0),F810),0))</f>
        <v/>
      </c>
      <c r="H810" s="18" t="str">
        <f aca="false">IF(OR(B810="",D810=""),"",ROUND((B810+IFERROR(INDEX(Hizmetler!$B$5:$B$54,MATCH(D810,Hizmetler!$A$5:$A$54,0)),0)/1440)*1440,0)/1440)</f>
        <v/>
      </c>
      <c r="I810" s="19" t="str">
        <f aca="false">IF(OR(A810="",H810="",E810="İptal"),"",IF(COUNTIFS($A$5:$A$1004,A810,$B$5:$B$1004,"&lt;"&amp;(H810-0.0003),$H$5:$H$1004,"&gt;"&amp;(B810+0.0003),$E$5:$E$1004,"&lt;&gt;İptal")&gt;1,"Çakışıyor",""))</f>
        <v/>
      </c>
      <c r="J810" s="21" t="str">
        <f aca="false">IF(AND(A810=Gün!$C$3,B810&lt;&gt;"",E810&lt;&gt;"İptal"),B810+ROW()/100000000,"")</f>
        <v/>
      </c>
    </row>
    <row r="811" customFormat="false" ht="15" hidden="false" customHeight="false" outlineLevel="0" collapsed="false">
      <c r="A811" s="12"/>
      <c r="B811" s="13"/>
      <c r="C811" s="14"/>
      <c r="D811" s="14"/>
      <c r="E811" s="15"/>
      <c r="F811" s="16"/>
      <c r="G811" s="17" t="str">
        <f aca="false">IF(D811="","",IF(E811="Geldi",IF(F811="",IFERROR(INDEX(Hizmetler!$C$5:$C$54,MATCH(D811,Hizmetler!$A$5:$A$54,0)),0),F811),0))</f>
        <v/>
      </c>
      <c r="H811" s="18" t="str">
        <f aca="false">IF(OR(B811="",D811=""),"",ROUND((B811+IFERROR(INDEX(Hizmetler!$B$5:$B$54,MATCH(D811,Hizmetler!$A$5:$A$54,0)),0)/1440)*1440,0)/1440)</f>
        <v/>
      </c>
      <c r="I811" s="19" t="str">
        <f aca="false">IF(OR(A811="",H811="",E811="İptal"),"",IF(COUNTIFS($A$5:$A$1004,A811,$B$5:$B$1004,"&lt;"&amp;(H811-0.0003),$H$5:$H$1004,"&gt;"&amp;(B811+0.0003),$E$5:$E$1004,"&lt;&gt;İptal")&gt;1,"Çakışıyor",""))</f>
        <v/>
      </c>
      <c r="J811" s="21" t="str">
        <f aca="false">IF(AND(A811=Gün!$C$3,B811&lt;&gt;"",E811&lt;&gt;"İptal"),B811+ROW()/100000000,"")</f>
        <v/>
      </c>
    </row>
    <row r="812" customFormat="false" ht="15" hidden="false" customHeight="false" outlineLevel="0" collapsed="false">
      <c r="A812" s="12"/>
      <c r="B812" s="13"/>
      <c r="C812" s="14"/>
      <c r="D812" s="14"/>
      <c r="E812" s="15"/>
      <c r="F812" s="16"/>
      <c r="G812" s="17" t="str">
        <f aca="false">IF(D812="","",IF(E812="Geldi",IF(F812="",IFERROR(INDEX(Hizmetler!$C$5:$C$54,MATCH(D812,Hizmetler!$A$5:$A$54,0)),0),F812),0))</f>
        <v/>
      </c>
      <c r="H812" s="18" t="str">
        <f aca="false">IF(OR(B812="",D812=""),"",ROUND((B812+IFERROR(INDEX(Hizmetler!$B$5:$B$54,MATCH(D812,Hizmetler!$A$5:$A$54,0)),0)/1440)*1440,0)/1440)</f>
        <v/>
      </c>
      <c r="I812" s="19" t="str">
        <f aca="false">IF(OR(A812="",H812="",E812="İptal"),"",IF(COUNTIFS($A$5:$A$1004,A812,$B$5:$B$1004,"&lt;"&amp;(H812-0.0003),$H$5:$H$1004,"&gt;"&amp;(B812+0.0003),$E$5:$E$1004,"&lt;&gt;İptal")&gt;1,"Çakışıyor",""))</f>
        <v/>
      </c>
      <c r="J812" s="21" t="str">
        <f aca="false">IF(AND(A812=Gün!$C$3,B812&lt;&gt;"",E812&lt;&gt;"İptal"),B812+ROW()/100000000,"")</f>
        <v/>
      </c>
    </row>
    <row r="813" customFormat="false" ht="15" hidden="false" customHeight="false" outlineLevel="0" collapsed="false">
      <c r="A813" s="12"/>
      <c r="B813" s="13"/>
      <c r="C813" s="14"/>
      <c r="D813" s="14"/>
      <c r="E813" s="15"/>
      <c r="F813" s="16"/>
      <c r="G813" s="17" t="str">
        <f aca="false">IF(D813="","",IF(E813="Geldi",IF(F813="",IFERROR(INDEX(Hizmetler!$C$5:$C$54,MATCH(D813,Hizmetler!$A$5:$A$54,0)),0),F813),0))</f>
        <v/>
      </c>
      <c r="H813" s="18" t="str">
        <f aca="false">IF(OR(B813="",D813=""),"",ROUND((B813+IFERROR(INDEX(Hizmetler!$B$5:$B$54,MATCH(D813,Hizmetler!$A$5:$A$54,0)),0)/1440)*1440,0)/1440)</f>
        <v/>
      </c>
      <c r="I813" s="19" t="str">
        <f aca="false">IF(OR(A813="",H813="",E813="İptal"),"",IF(COUNTIFS($A$5:$A$1004,A813,$B$5:$B$1004,"&lt;"&amp;(H813-0.0003),$H$5:$H$1004,"&gt;"&amp;(B813+0.0003),$E$5:$E$1004,"&lt;&gt;İptal")&gt;1,"Çakışıyor",""))</f>
        <v/>
      </c>
      <c r="J813" s="21" t="str">
        <f aca="false">IF(AND(A813=Gün!$C$3,B813&lt;&gt;"",E813&lt;&gt;"İptal"),B813+ROW()/100000000,"")</f>
        <v/>
      </c>
    </row>
    <row r="814" customFormat="false" ht="15" hidden="false" customHeight="false" outlineLevel="0" collapsed="false">
      <c r="A814" s="12"/>
      <c r="B814" s="13"/>
      <c r="C814" s="14"/>
      <c r="D814" s="14"/>
      <c r="E814" s="15"/>
      <c r="F814" s="16"/>
      <c r="G814" s="17" t="str">
        <f aca="false">IF(D814="","",IF(E814="Geldi",IF(F814="",IFERROR(INDEX(Hizmetler!$C$5:$C$54,MATCH(D814,Hizmetler!$A$5:$A$54,0)),0),F814),0))</f>
        <v/>
      </c>
      <c r="H814" s="18" t="str">
        <f aca="false">IF(OR(B814="",D814=""),"",ROUND((B814+IFERROR(INDEX(Hizmetler!$B$5:$B$54,MATCH(D814,Hizmetler!$A$5:$A$54,0)),0)/1440)*1440,0)/1440)</f>
        <v/>
      </c>
      <c r="I814" s="19" t="str">
        <f aca="false">IF(OR(A814="",H814="",E814="İptal"),"",IF(COUNTIFS($A$5:$A$1004,A814,$B$5:$B$1004,"&lt;"&amp;(H814-0.0003),$H$5:$H$1004,"&gt;"&amp;(B814+0.0003),$E$5:$E$1004,"&lt;&gt;İptal")&gt;1,"Çakışıyor",""))</f>
        <v/>
      </c>
      <c r="J814" s="21" t="str">
        <f aca="false">IF(AND(A814=Gün!$C$3,B814&lt;&gt;"",E814&lt;&gt;"İptal"),B814+ROW()/100000000,"")</f>
        <v/>
      </c>
    </row>
    <row r="815" customFormat="false" ht="15" hidden="false" customHeight="false" outlineLevel="0" collapsed="false">
      <c r="A815" s="12"/>
      <c r="B815" s="13"/>
      <c r="C815" s="14"/>
      <c r="D815" s="14"/>
      <c r="E815" s="15"/>
      <c r="F815" s="16"/>
      <c r="G815" s="17" t="str">
        <f aca="false">IF(D815="","",IF(E815="Geldi",IF(F815="",IFERROR(INDEX(Hizmetler!$C$5:$C$54,MATCH(D815,Hizmetler!$A$5:$A$54,0)),0),F815),0))</f>
        <v/>
      </c>
      <c r="H815" s="18" t="str">
        <f aca="false">IF(OR(B815="",D815=""),"",ROUND((B815+IFERROR(INDEX(Hizmetler!$B$5:$B$54,MATCH(D815,Hizmetler!$A$5:$A$54,0)),0)/1440)*1440,0)/1440)</f>
        <v/>
      </c>
      <c r="I815" s="19" t="str">
        <f aca="false">IF(OR(A815="",H815="",E815="İptal"),"",IF(COUNTIFS($A$5:$A$1004,A815,$B$5:$B$1004,"&lt;"&amp;(H815-0.0003),$H$5:$H$1004,"&gt;"&amp;(B815+0.0003),$E$5:$E$1004,"&lt;&gt;İptal")&gt;1,"Çakışıyor",""))</f>
        <v/>
      </c>
      <c r="J815" s="21" t="str">
        <f aca="false">IF(AND(A815=Gün!$C$3,B815&lt;&gt;"",E815&lt;&gt;"İptal"),B815+ROW()/100000000,"")</f>
        <v/>
      </c>
    </row>
    <row r="816" customFormat="false" ht="15" hidden="false" customHeight="false" outlineLevel="0" collapsed="false">
      <c r="A816" s="12"/>
      <c r="B816" s="13"/>
      <c r="C816" s="14"/>
      <c r="D816" s="14"/>
      <c r="E816" s="15"/>
      <c r="F816" s="16"/>
      <c r="G816" s="17" t="str">
        <f aca="false">IF(D816="","",IF(E816="Geldi",IF(F816="",IFERROR(INDEX(Hizmetler!$C$5:$C$54,MATCH(D816,Hizmetler!$A$5:$A$54,0)),0),F816),0))</f>
        <v/>
      </c>
      <c r="H816" s="18" t="str">
        <f aca="false">IF(OR(B816="",D816=""),"",ROUND((B816+IFERROR(INDEX(Hizmetler!$B$5:$B$54,MATCH(D816,Hizmetler!$A$5:$A$54,0)),0)/1440)*1440,0)/1440)</f>
        <v/>
      </c>
      <c r="I816" s="19" t="str">
        <f aca="false">IF(OR(A816="",H816="",E816="İptal"),"",IF(COUNTIFS($A$5:$A$1004,A816,$B$5:$B$1004,"&lt;"&amp;(H816-0.0003),$H$5:$H$1004,"&gt;"&amp;(B816+0.0003),$E$5:$E$1004,"&lt;&gt;İptal")&gt;1,"Çakışıyor",""))</f>
        <v/>
      </c>
      <c r="J816" s="21" t="str">
        <f aca="false">IF(AND(A816=Gün!$C$3,B816&lt;&gt;"",E816&lt;&gt;"İptal"),B816+ROW()/100000000,"")</f>
        <v/>
      </c>
    </row>
    <row r="817" customFormat="false" ht="15" hidden="false" customHeight="false" outlineLevel="0" collapsed="false">
      <c r="A817" s="12"/>
      <c r="B817" s="13"/>
      <c r="C817" s="14"/>
      <c r="D817" s="14"/>
      <c r="E817" s="15"/>
      <c r="F817" s="16"/>
      <c r="G817" s="17" t="str">
        <f aca="false">IF(D817="","",IF(E817="Geldi",IF(F817="",IFERROR(INDEX(Hizmetler!$C$5:$C$54,MATCH(D817,Hizmetler!$A$5:$A$54,0)),0),F817),0))</f>
        <v/>
      </c>
      <c r="H817" s="18" t="str">
        <f aca="false">IF(OR(B817="",D817=""),"",ROUND((B817+IFERROR(INDEX(Hizmetler!$B$5:$B$54,MATCH(D817,Hizmetler!$A$5:$A$54,0)),0)/1440)*1440,0)/1440)</f>
        <v/>
      </c>
      <c r="I817" s="19" t="str">
        <f aca="false">IF(OR(A817="",H817="",E817="İptal"),"",IF(COUNTIFS($A$5:$A$1004,A817,$B$5:$B$1004,"&lt;"&amp;(H817-0.0003),$H$5:$H$1004,"&gt;"&amp;(B817+0.0003),$E$5:$E$1004,"&lt;&gt;İptal")&gt;1,"Çakışıyor",""))</f>
        <v/>
      </c>
      <c r="J817" s="21" t="str">
        <f aca="false">IF(AND(A817=Gün!$C$3,B817&lt;&gt;"",E817&lt;&gt;"İptal"),B817+ROW()/100000000,"")</f>
        <v/>
      </c>
    </row>
    <row r="818" customFormat="false" ht="15" hidden="false" customHeight="false" outlineLevel="0" collapsed="false">
      <c r="A818" s="12"/>
      <c r="B818" s="13"/>
      <c r="C818" s="14"/>
      <c r="D818" s="14"/>
      <c r="E818" s="15"/>
      <c r="F818" s="16"/>
      <c r="G818" s="17" t="str">
        <f aca="false">IF(D818="","",IF(E818="Geldi",IF(F818="",IFERROR(INDEX(Hizmetler!$C$5:$C$54,MATCH(D818,Hizmetler!$A$5:$A$54,0)),0),F818),0))</f>
        <v/>
      </c>
      <c r="H818" s="18" t="str">
        <f aca="false">IF(OR(B818="",D818=""),"",ROUND((B818+IFERROR(INDEX(Hizmetler!$B$5:$B$54,MATCH(D818,Hizmetler!$A$5:$A$54,0)),0)/1440)*1440,0)/1440)</f>
        <v/>
      </c>
      <c r="I818" s="19" t="str">
        <f aca="false">IF(OR(A818="",H818="",E818="İptal"),"",IF(COUNTIFS($A$5:$A$1004,A818,$B$5:$B$1004,"&lt;"&amp;(H818-0.0003),$H$5:$H$1004,"&gt;"&amp;(B818+0.0003),$E$5:$E$1004,"&lt;&gt;İptal")&gt;1,"Çakışıyor",""))</f>
        <v/>
      </c>
      <c r="J818" s="21" t="str">
        <f aca="false">IF(AND(A818=Gün!$C$3,B818&lt;&gt;"",E818&lt;&gt;"İptal"),B818+ROW()/100000000,"")</f>
        <v/>
      </c>
    </row>
    <row r="819" customFormat="false" ht="15" hidden="false" customHeight="false" outlineLevel="0" collapsed="false">
      <c r="A819" s="12"/>
      <c r="B819" s="13"/>
      <c r="C819" s="14"/>
      <c r="D819" s="14"/>
      <c r="E819" s="15"/>
      <c r="F819" s="16"/>
      <c r="G819" s="17" t="str">
        <f aca="false">IF(D819="","",IF(E819="Geldi",IF(F819="",IFERROR(INDEX(Hizmetler!$C$5:$C$54,MATCH(D819,Hizmetler!$A$5:$A$54,0)),0),F819),0))</f>
        <v/>
      </c>
      <c r="H819" s="18" t="str">
        <f aca="false">IF(OR(B819="",D819=""),"",ROUND((B819+IFERROR(INDEX(Hizmetler!$B$5:$B$54,MATCH(D819,Hizmetler!$A$5:$A$54,0)),0)/1440)*1440,0)/1440)</f>
        <v/>
      </c>
      <c r="I819" s="19" t="str">
        <f aca="false">IF(OR(A819="",H819="",E819="İptal"),"",IF(COUNTIFS($A$5:$A$1004,A819,$B$5:$B$1004,"&lt;"&amp;(H819-0.0003),$H$5:$H$1004,"&gt;"&amp;(B819+0.0003),$E$5:$E$1004,"&lt;&gt;İptal")&gt;1,"Çakışıyor",""))</f>
        <v/>
      </c>
      <c r="J819" s="21" t="str">
        <f aca="false">IF(AND(A819=Gün!$C$3,B819&lt;&gt;"",E819&lt;&gt;"İptal"),B819+ROW()/100000000,"")</f>
        <v/>
      </c>
    </row>
    <row r="820" customFormat="false" ht="15" hidden="false" customHeight="false" outlineLevel="0" collapsed="false">
      <c r="A820" s="12"/>
      <c r="B820" s="13"/>
      <c r="C820" s="14"/>
      <c r="D820" s="14"/>
      <c r="E820" s="15"/>
      <c r="F820" s="16"/>
      <c r="G820" s="17" t="str">
        <f aca="false">IF(D820="","",IF(E820="Geldi",IF(F820="",IFERROR(INDEX(Hizmetler!$C$5:$C$54,MATCH(D820,Hizmetler!$A$5:$A$54,0)),0),F820),0))</f>
        <v/>
      </c>
      <c r="H820" s="18" t="str">
        <f aca="false">IF(OR(B820="",D820=""),"",ROUND((B820+IFERROR(INDEX(Hizmetler!$B$5:$B$54,MATCH(D820,Hizmetler!$A$5:$A$54,0)),0)/1440)*1440,0)/1440)</f>
        <v/>
      </c>
      <c r="I820" s="19" t="str">
        <f aca="false">IF(OR(A820="",H820="",E820="İptal"),"",IF(COUNTIFS($A$5:$A$1004,A820,$B$5:$B$1004,"&lt;"&amp;(H820-0.0003),$H$5:$H$1004,"&gt;"&amp;(B820+0.0003),$E$5:$E$1004,"&lt;&gt;İptal")&gt;1,"Çakışıyor",""))</f>
        <v/>
      </c>
      <c r="J820" s="21" t="str">
        <f aca="false">IF(AND(A820=Gün!$C$3,B820&lt;&gt;"",E820&lt;&gt;"İptal"),B820+ROW()/100000000,"")</f>
        <v/>
      </c>
    </row>
    <row r="821" customFormat="false" ht="15" hidden="false" customHeight="false" outlineLevel="0" collapsed="false">
      <c r="A821" s="12"/>
      <c r="B821" s="13"/>
      <c r="C821" s="14"/>
      <c r="D821" s="14"/>
      <c r="E821" s="15"/>
      <c r="F821" s="16"/>
      <c r="G821" s="17" t="str">
        <f aca="false">IF(D821="","",IF(E821="Geldi",IF(F821="",IFERROR(INDEX(Hizmetler!$C$5:$C$54,MATCH(D821,Hizmetler!$A$5:$A$54,0)),0),F821),0))</f>
        <v/>
      </c>
      <c r="H821" s="18" t="str">
        <f aca="false">IF(OR(B821="",D821=""),"",ROUND((B821+IFERROR(INDEX(Hizmetler!$B$5:$B$54,MATCH(D821,Hizmetler!$A$5:$A$54,0)),0)/1440)*1440,0)/1440)</f>
        <v/>
      </c>
      <c r="I821" s="19" t="str">
        <f aca="false">IF(OR(A821="",H821="",E821="İptal"),"",IF(COUNTIFS($A$5:$A$1004,A821,$B$5:$B$1004,"&lt;"&amp;(H821-0.0003),$H$5:$H$1004,"&gt;"&amp;(B821+0.0003),$E$5:$E$1004,"&lt;&gt;İptal")&gt;1,"Çakışıyor",""))</f>
        <v/>
      </c>
      <c r="J821" s="21" t="str">
        <f aca="false">IF(AND(A821=Gün!$C$3,B821&lt;&gt;"",E821&lt;&gt;"İptal"),B821+ROW()/100000000,"")</f>
        <v/>
      </c>
    </row>
    <row r="822" customFormat="false" ht="15" hidden="false" customHeight="false" outlineLevel="0" collapsed="false">
      <c r="A822" s="12"/>
      <c r="B822" s="13"/>
      <c r="C822" s="14"/>
      <c r="D822" s="14"/>
      <c r="E822" s="15"/>
      <c r="F822" s="16"/>
      <c r="G822" s="17" t="str">
        <f aca="false">IF(D822="","",IF(E822="Geldi",IF(F822="",IFERROR(INDEX(Hizmetler!$C$5:$C$54,MATCH(D822,Hizmetler!$A$5:$A$54,0)),0),F822),0))</f>
        <v/>
      </c>
      <c r="H822" s="18" t="str">
        <f aca="false">IF(OR(B822="",D822=""),"",ROUND((B822+IFERROR(INDEX(Hizmetler!$B$5:$B$54,MATCH(D822,Hizmetler!$A$5:$A$54,0)),0)/1440)*1440,0)/1440)</f>
        <v/>
      </c>
      <c r="I822" s="19" t="str">
        <f aca="false">IF(OR(A822="",H822="",E822="İptal"),"",IF(COUNTIFS($A$5:$A$1004,A822,$B$5:$B$1004,"&lt;"&amp;(H822-0.0003),$H$5:$H$1004,"&gt;"&amp;(B822+0.0003),$E$5:$E$1004,"&lt;&gt;İptal")&gt;1,"Çakışıyor",""))</f>
        <v/>
      </c>
      <c r="J822" s="21" t="str">
        <f aca="false">IF(AND(A822=Gün!$C$3,B822&lt;&gt;"",E822&lt;&gt;"İptal"),B822+ROW()/100000000,"")</f>
        <v/>
      </c>
    </row>
    <row r="823" customFormat="false" ht="15" hidden="false" customHeight="false" outlineLevel="0" collapsed="false">
      <c r="A823" s="12"/>
      <c r="B823" s="13"/>
      <c r="C823" s="14"/>
      <c r="D823" s="14"/>
      <c r="E823" s="15"/>
      <c r="F823" s="16"/>
      <c r="G823" s="17" t="str">
        <f aca="false">IF(D823="","",IF(E823="Geldi",IF(F823="",IFERROR(INDEX(Hizmetler!$C$5:$C$54,MATCH(D823,Hizmetler!$A$5:$A$54,0)),0),F823),0))</f>
        <v/>
      </c>
      <c r="H823" s="18" t="str">
        <f aca="false">IF(OR(B823="",D823=""),"",ROUND((B823+IFERROR(INDEX(Hizmetler!$B$5:$B$54,MATCH(D823,Hizmetler!$A$5:$A$54,0)),0)/1440)*1440,0)/1440)</f>
        <v/>
      </c>
      <c r="I823" s="19" t="str">
        <f aca="false">IF(OR(A823="",H823="",E823="İptal"),"",IF(COUNTIFS($A$5:$A$1004,A823,$B$5:$B$1004,"&lt;"&amp;(H823-0.0003),$H$5:$H$1004,"&gt;"&amp;(B823+0.0003),$E$5:$E$1004,"&lt;&gt;İptal")&gt;1,"Çakışıyor",""))</f>
        <v/>
      </c>
      <c r="J823" s="21" t="str">
        <f aca="false">IF(AND(A823=Gün!$C$3,B823&lt;&gt;"",E823&lt;&gt;"İptal"),B823+ROW()/100000000,"")</f>
        <v/>
      </c>
    </row>
    <row r="824" customFormat="false" ht="15" hidden="false" customHeight="false" outlineLevel="0" collapsed="false">
      <c r="A824" s="12"/>
      <c r="B824" s="13"/>
      <c r="C824" s="14"/>
      <c r="D824" s="14"/>
      <c r="E824" s="15"/>
      <c r="F824" s="16"/>
      <c r="G824" s="17" t="str">
        <f aca="false">IF(D824="","",IF(E824="Geldi",IF(F824="",IFERROR(INDEX(Hizmetler!$C$5:$C$54,MATCH(D824,Hizmetler!$A$5:$A$54,0)),0),F824),0))</f>
        <v/>
      </c>
      <c r="H824" s="18" t="str">
        <f aca="false">IF(OR(B824="",D824=""),"",ROUND((B824+IFERROR(INDEX(Hizmetler!$B$5:$B$54,MATCH(D824,Hizmetler!$A$5:$A$54,0)),0)/1440)*1440,0)/1440)</f>
        <v/>
      </c>
      <c r="I824" s="19" t="str">
        <f aca="false">IF(OR(A824="",H824="",E824="İptal"),"",IF(COUNTIFS($A$5:$A$1004,A824,$B$5:$B$1004,"&lt;"&amp;(H824-0.0003),$H$5:$H$1004,"&gt;"&amp;(B824+0.0003),$E$5:$E$1004,"&lt;&gt;İptal")&gt;1,"Çakışıyor",""))</f>
        <v/>
      </c>
      <c r="J824" s="21" t="str">
        <f aca="false">IF(AND(A824=Gün!$C$3,B824&lt;&gt;"",E824&lt;&gt;"İptal"),B824+ROW()/100000000,"")</f>
        <v/>
      </c>
    </row>
    <row r="825" customFormat="false" ht="15" hidden="false" customHeight="false" outlineLevel="0" collapsed="false">
      <c r="A825" s="12"/>
      <c r="B825" s="13"/>
      <c r="C825" s="14"/>
      <c r="D825" s="14"/>
      <c r="E825" s="15"/>
      <c r="F825" s="16"/>
      <c r="G825" s="17" t="str">
        <f aca="false">IF(D825="","",IF(E825="Geldi",IF(F825="",IFERROR(INDEX(Hizmetler!$C$5:$C$54,MATCH(D825,Hizmetler!$A$5:$A$54,0)),0),F825),0))</f>
        <v/>
      </c>
      <c r="H825" s="18" t="str">
        <f aca="false">IF(OR(B825="",D825=""),"",ROUND((B825+IFERROR(INDEX(Hizmetler!$B$5:$B$54,MATCH(D825,Hizmetler!$A$5:$A$54,0)),0)/1440)*1440,0)/1440)</f>
        <v/>
      </c>
      <c r="I825" s="19" t="str">
        <f aca="false">IF(OR(A825="",H825="",E825="İptal"),"",IF(COUNTIFS($A$5:$A$1004,A825,$B$5:$B$1004,"&lt;"&amp;(H825-0.0003),$H$5:$H$1004,"&gt;"&amp;(B825+0.0003),$E$5:$E$1004,"&lt;&gt;İptal")&gt;1,"Çakışıyor",""))</f>
        <v/>
      </c>
      <c r="J825" s="21" t="str">
        <f aca="false">IF(AND(A825=Gün!$C$3,B825&lt;&gt;"",E825&lt;&gt;"İptal"),B825+ROW()/100000000,"")</f>
        <v/>
      </c>
    </row>
    <row r="826" customFormat="false" ht="15" hidden="false" customHeight="false" outlineLevel="0" collapsed="false">
      <c r="A826" s="12"/>
      <c r="B826" s="13"/>
      <c r="C826" s="14"/>
      <c r="D826" s="14"/>
      <c r="E826" s="15"/>
      <c r="F826" s="16"/>
      <c r="G826" s="17" t="str">
        <f aca="false">IF(D826="","",IF(E826="Geldi",IF(F826="",IFERROR(INDEX(Hizmetler!$C$5:$C$54,MATCH(D826,Hizmetler!$A$5:$A$54,0)),0),F826),0))</f>
        <v/>
      </c>
      <c r="H826" s="18" t="str">
        <f aca="false">IF(OR(B826="",D826=""),"",ROUND((B826+IFERROR(INDEX(Hizmetler!$B$5:$B$54,MATCH(D826,Hizmetler!$A$5:$A$54,0)),0)/1440)*1440,0)/1440)</f>
        <v/>
      </c>
      <c r="I826" s="19" t="str">
        <f aca="false">IF(OR(A826="",H826="",E826="İptal"),"",IF(COUNTIFS($A$5:$A$1004,A826,$B$5:$B$1004,"&lt;"&amp;(H826-0.0003),$H$5:$H$1004,"&gt;"&amp;(B826+0.0003),$E$5:$E$1004,"&lt;&gt;İptal")&gt;1,"Çakışıyor",""))</f>
        <v/>
      </c>
      <c r="J826" s="21" t="str">
        <f aca="false">IF(AND(A826=Gün!$C$3,B826&lt;&gt;"",E826&lt;&gt;"İptal"),B826+ROW()/100000000,"")</f>
        <v/>
      </c>
    </row>
    <row r="827" customFormat="false" ht="15" hidden="false" customHeight="false" outlineLevel="0" collapsed="false">
      <c r="A827" s="12"/>
      <c r="B827" s="13"/>
      <c r="C827" s="14"/>
      <c r="D827" s="14"/>
      <c r="E827" s="15"/>
      <c r="F827" s="16"/>
      <c r="G827" s="17" t="str">
        <f aca="false">IF(D827="","",IF(E827="Geldi",IF(F827="",IFERROR(INDEX(Hizmetler!$C$5:$C$54,MATCH(D827,Hizmetler!$A$5:$A$54,0)),0),F827),0))</f>
        <v/>
      </c>
      <c r="H827" s="18" t="str">
        <f aca="false">IF(OR(B827="",D827=""),"",ROUND((B827+IFERROR(INDEX(Hizmetler!$B$5:$B$54,MATCH(D827,Hizmetler!$A$5:$A$54,0)),0)/1440)*1440,0)/1440)</f>
        <v/>
      </c>
      <c r="I827" s="19" t="str">
        <f aca="false">IF(OR(A827="",H827="",E827="İptal"),"",IF(COUNTIFS($A$5:$A$1004,A827,$B$5:$B$1004,"&lt;"&amp;(H827-0.0003),$H$5:$H$1004,"&gt;"&amp;(B827+0.0003),$E$5:$E$1004,"&lt;&gt;İptal")&gt;1,"Çakışıyor",""))</f>
        <v/>
      </c>
      <c r="J827" s="21" t="str">
        <f aca="false">IF(AND(A827=Gün!$C$3,B827&lt;&gt;"",E827&lt;&gt;"İptal"),B827+ROW()/100000000,"")</f>
        <v/>
      </c>
    </row>
    <row r="828" customFormat="false" ht="15" hidden="false" customHeight="false" outlineLevel="0" collapsed="false">
      <c r="A828" s="12"/>
      <c r="B828" s="13"/>
      <c r="C828" s="14"/>
      <c r="D828" s="14"/>
      <c r="E828" s="15"/>
      <c r="F828" s="16"/>
      <c r="G828" s="17" t="str">
        <f aca="false">IF(D828="","",IF(E828="Geldi",IF(F828="",IFERROR(INDEX(Hizmetler!$C$5:$C$54,MATCH(D828,Hizmetler!$A$5:$A$54,0)),0),F828),0))</f>
        <v/>
      </c>
      <c r="H828" s="18" t="str">
        <f aca="false">IF(OR(B828="",D828=""),"",ROUND((B828+IFERROR(INDEX(Hizmetler!$B$5:$B$54,MATCH(D828,Hizmetler!$A$5:$A$54,0)),0)/1440)*1440,0)/1440)</f>
        <v/>
      </c>
      <c r="I828" s="19" t="str">
        <f aca="false">IF(OR(A828="",H828="",E828="İptal"),"",IF(COUNTIFS($A$5:$A$1004,A828,$B$5:$B$1004,"&lt;"&amp;(H828-0.0003),$H$5:$H$1004,"&gt;"&amp;(B828+0.0003),$E$5:$E$1004,"&lt;&gt;İptal")&gt;1,"Çakışıyor",""))</f>
        <v/>
      </c>
      <c r="J828" s="21" t="str">
        <f aca="false">IF(AND(A828=Gün!$C$3,B828&lt;&gt;"",E828&lt;&gt;"İptal"),B828+ROW()/100000000,"")</f>
        <v/>
      </c>
    </row>
    <row r="829" customFormat="false" ht="15" hidden="false" customHeight="false" outlineLevel="0" collapsed="false">
      <c r="A829" s="12"/>
      <c r="B829" s="13"/>
      <c r="C829" s="14"/>
      <c r="D829" s="14"/>
      <c r="E829" s="15"/>
      <c r="F829" s="16"/>
      <c r="G829" s="17" t="str">
        <f aca="false">IF(D829="","",IF(E829="Geldi",IF(F829="",IFERROR(INDEX(Hizmetler!$C$5:$C$54,MATCH(D829,Hizmetler!$A$5:$A$54,0)),0),F829),0))</f>
        <v/>
      </c>
      <c r="H829" s="18" t="str">
        <f aca="false">IF(OR(B829="",D829=""),"",ROUND((B829+IFERROR(INDEX(Hizmetler!$B$5:$B$54,MATCH(D829,Hizmetler!$A$5:$A$54,0)),0)/1440)*1440,0)/1440)</f>
        <v/>
      </c>
      <c r="I829" s="19" t="str">
        <f aca="false">IF(OR(A829="",H829="",E829="İptal"),"",IF(COUNTIFS($A$5:$A$1004,A829,$B$5:$B$1004,"&lt;"&amp;(H829-0.0003),$H$5:$H$1004,"&gt;"&amp;(B829+0.0003),$E$5:$E$1004,"&lt;&gt;İptal")&gt;1,"Çakışıyor",""))</f>
        <v/>
      </c>
      <c r="J829" s="21" t="str">
        <f aca="false">IF(AND(A829=Gün!$C$3,B829&lt;&gt;"",E829&lt;&gt;"İptal"),B829+ROW()/100000000,"")</f>
        <v/>
      </c>
    </row>
    <row r="830" customFormat="false" ht="15" hidden="false" customHeight="false" outlineLevel="0" collapsed="false">
      <c r="A830" s="12"/>
      <c r="B830" s="13"/>
      <c r="C830" s="14"/>
      <c r="D830" s="14"/>
      <c r="E830" s="15"/>
      <c r="F830" s="16"/>
      <c r="G830" s="17" t="str">
        <f aca="false">IF(D830="","",IF(E830="Geldi",IF(F830="",IFERROR(INDEX(Hizmetler!$C$5:$C$54,MATCH(D830,Hizmetler!$A$5:$A$54,0)),0),F830),0))</f>
        <v/>
      </c>
      <c r="H830" s="18" t="str">
        <f aca="false">IF(OR(B830="",D830=""),"",ROUND((B830+IFERROR(INDEX(Hizmetler!$B$5:$B$54,MATCH(D830,Hizmetler!$A$5:$A$54,0)),0)/1440)*1440,0)/1440)</f>
        <v/>
      </c>
      <c r="I830" s="19" t="str">
        <f aca="false">IF(OR(A830="",H830="",E830="İptal"),"",IF(COUNTIFS($A$5:$A$1004,A830,$B$5:$B$1004,"&lt;"&amp;(H830-0.0003),$H$5:$H$1004,"&gt;"&amp;(B830+0.0003),$E$5:$E$1004,"&lt;&gt;İptal")&gt;1,"Çakışıyor",""))</f>
        <v/>
      </c>
      <c r="J830" s="21" t="str">
        <f aca="false">IF(AND(A830=Gün!$C$3,B830&lt;&gt;"",E830&lt;&gt;"İptal"),B830+ROW()/100000000,"")</f>
        <v/>
      </c>
    </row>
    <row r="831" customFormat="false" ht="15" hidden="false" customHeight="false" outlineLevel="0" collapsed="false">
      <c r="A831" s="12"/>
      <c r="B831" s="13"/>
      <c r="C831" s="14"/>
      <c r="D831" s="14"/>
      <c r="E831" s="15"/>
      <c r="F831" s="16"/>
      <c r="G831" s="17" t="str">
        <f aca="false">IF(D831="","",IF(E831="Geldi",IF(F831="",IFERROR(INDEX(Hizmetler!$C$5:$C$54,MATCH(D831,Hizmetler!$A$5:$A$54,0)),0),F831),0))</f>
        <v/>
      </c>
      <c r="H831" s="18" t="str">
        <f aca="false">IF(OR(B831="",D831=""),"",ROUND((B831+IFERROR(INDEX(Hizmetler!$B$5:$B$54,MATCH(D831,Hizmetler!$A$5:$A$54,0)),0)/1440)*1440,0)/1440)</f>
        <v/>
      </c>
      <c r="I831" s="19" t="str">
        <f aca="false">IF(OR(A831="",H831="",E831="İptal"),"",IF(COUNTIFS($A$5:$A$1004,A831,$B$5:$B$1004,"&lt;"&amp;(H831-0.0003),$H$5:$H$1004,"&gt;"&amp;(B831+0.0003),$E$5:$E$1004,"&lt;&gt;İptal")&gt;1,"Çakışıyor",""))</f>
        <v/>
      </c>
      <c r="J831" s="21" t="str">
        <f aca="false">IF(AND(A831=Gün!$C$3,B831&lt;&gt;"",E831&lt;&gt;"İptal"),B831+ROW()/100000000,"")</f>
        <v/>
      </c>
    </row>
    <row r="832" customFormat="false" ht="15" hidden="false" customHeight="false" outlineLevel="0" collapsed="false">
      <c r="A832" s="12"/>
      <c r="B832" s="13"/>
      <c r="C832" s="14"/>
      <c r="D832" s="14"/>
      <c r="E832" s="15"/>
      <c r="F832" s="16"/>
      <c r="G832" s="17" t="str">
        <f aca="false">IF(D832="","",IF(E832="Geldi",IF(F832="",IFERROR(INDEX(Hizmetler!$C$5:$C$54,MATCH(D832,Hizmetler!$A$5:$A$54,0)),0),F832),0))</f>
        <v/>
      </c>
      <c r="H832" s="18" t="str">
        <f aca="false">IF(OR(B832="",D832=""),"",ROUND((B832+IFERROR(INDEX(Hizmetler!$B$5:$B$54,MATCH(D832,Hizmetler!$A$5:$A$54,0)),0)/1440)*1440,0)/1440)</f>
        <v/>
      </c>
      <c r="I832" s="19" t="str">
        <f aca="false">IF(OR(A832="",H832="",E832="İptal"),"",IF(COUNTIFS($A$5:$A$1004,A832,$B$5:$B$1004,"&lt;"&amp;(H832-0.0003),$H$5:$H$1004,"&gt;"&amp;(B832+0.0003),$E$5:$E$1004,"&lt;&gt;İptal")&gt;1,"Çakışıyor",""))</f>
        <v/>
      </c>
      <c r="J832" s="21" t="str">
        <f aca="false">IF(AND(A832=Gün!$C$3,B832&lt;&gt;"",E832&lt;&gt;"İptal"),B832+ROW()/100000000,"")</f>
        <v/>
      </c>
    </row>
    <row r="833" customFormat="false" ht="15" hidden="false" customHeight="false" outlineLevel="0" collapsed="false">
      <c r="A833" s="12"/>
      <c r="B833" s="13"/>
      <c r="C833" s="14"/>
      <c r="D833" s="14"/>
      <c r="E833" s="15"/>
      <c r="F833" s="16"/>
      <c r="G833" s="17" t="str">
        <f aca="false">IF(D833="","",IF(E833="Geldi",IF(F833="",IFERROR(INDEX(Hizmetler!$C$5:$C$54,MATCH(D833,Hizmetler!$A$5:$A$54,0)),0),F833),0))</f>
        <v/>
      </c>
      <c r="H833" s="18" t="str">
        <f aca="false">IF(OR(B833="",D833=""),"",ROUND((B833+IFERROR(INDEX(Hizmetler!$B$5:$B$54,MATCH(D833,Hizmetler!$A$5:$A$54,0)),0)/1440)*1440,0)/1440)</f>
        <v/>
      </c>
      <c r="I833" s="19" t="str">
        <f aca="false">IF(OR(A833="",H833="",E833="İptal"),"",IF(COUNTIFS($A$5:$A$1004,A833,$B$5:$B$1004,"&lt;"&amp;(H833-0.0003),$H$5:$H$1004,"&gt;"&amp;(B833+0.0003),$E$5:$E$1004,"&lt;&gt;İptal")&gt;1,"Çakışıyor",""))</f>
        <v/>
      </c>
      <c r="J833" s="21" t="str">
        <f aca="false">IF(AND(A833=Gün!$C$3,B833&lt;&gt;"",E833&lt;&gt;"İptal"),B833+ROW()/100000000,"")</f>
        <v/>
      </c>
    </row>
    <row r="834" customFormat="false" ht="15" hidden="false" customHeight="false" outlineLevel="0" collapsed="false">
      <c r="A834" s="12"/>
      <c r="B834" s="13"/>
      <c r="C834" s="14"/>
      <c r="D834" s="14"/>
      <c r="E834" s="15"/>
      <c r="F834" s="16"/>
      <c r="G834" s="17" t="str">
        <f aca="false">IF(D834="","",IF(E834="Geldi",IF(F834="",IFERROR(INDEX(Hizmetler!$C$5:$C$54,MATCH(D834,Hizmetler!$A$5:$A$54,0)),0),F834),0))</f>
        <v/>
      </c>
      <c r="H834" s="18" t="str">
        <f aca="false">IF(OR(B834="",D834=""),"",ROUND((B834+IFERROR(INDEX(Hizmetler!$B$5:$B$54,MATCH(D834,Hizmetler!$A$5:$A$54,0)),0)/1440)*1440,0)/1440)</f>
        <v/>
      </c>
      <c r="I834" s="19" t="str">
        <f aca="false">IF(OR(A834="",H834="",E834="İptal"),"",IF(COUNTIFS($A$5:$A$1004,A834,$B$5:$B$1004,"&lt;"&amp;(H834-0.0003),$H$5:$H$1004,"&gt;"&amp;(B834+0.0003),$E$5:$E$1004,"&lt;&gt;İptal")&gt;1,"Çakışıyor",""))</f>
        <v/>
      </c>
      <c r="J834" s="21" t="str">
        <f aca="false">IF(AND(A834=Gün!$C$3,B834&lt;&gt;"",E834&lt;&gt;"İptal"),B834+ROW()/100000000,"")</f>
        <v/>
      </c>
    </row>
    <row r="835" customFormat="false" ht="15" hidden="false" customHeight="false" outlineLevel="0" collapsed="false">
      <c r="A835" s="12"/>
      <c r="B835" s="13"/>
      <c r="C835" s="14"/>
      <c r="D835" s="14"/>
      <c r="E835" s="15"/>
      <c r="F835" s="16"/>
      <c r="G835" s="17" t="str">
        <f aca="false">IF(D835="","",IF(E835="Geldi",IF(F835="",IFERROR(INDEX(Hizmetler!$C$5:$C$54,MATCH(D835,Hizmetler!$A$5:$A$54,0)),0),F835),0))</f>
        <v/>
      </c>
      <c r="H835" s="18" t="str">
        <f aca="false">IF(OR(B835="",D835=""),"",ROUND((B835+IFERROR(INDEX(Hizmetler!$B$5:$B$54,MATCH(D835,Hizmetler!$A$5:$A$54,0)),0)/1440)*1440,0)/1440)</f>
        <v/>
      </c>
      <c r="I835" s="19" t="str">
        <f aca="false">IF(OR(A835="",H835="",E835="İptal"),"",IF(COUNTIFS($A$5:$A$1004,A835,$B$5:$B$1004,"&lt;"&amp;(H835-0.0003),$H$5:$H$1004,"&gt;"&amp;(B835+0.0003),$E$5:$E$1004,"&lt;&gt;İptal")&gt;1,"Çakışıyor",""))</f>
        <v/>
      </c>
      <c r="J835" s="21" t="str">
        <f aca="false">IF(AND(A835=Gün!$C$3,B835&lt;&gt;"",E835&lt;&gt;"İptal"),B835+ROW()/100000000,"")</f>
        <v/>
      </c>
    </row>
    <row r="836" customFormat="false" ht="15" hidden="false" customHeight="false" outlineLevel="0" collapsed="false">
      <c r="A836" s="12"/>
      <c r="B836" s="13"/>
      <c r="C836" s="14"/>
      <c r="D836" s="14"/>
      <c r="E836" s="15"/>
      <c r="F836" s="16"/>
      <c r="G836" s="17" t="str">
        <f aca="false">IF(D836="","",IF(E836="Geldi",IF(F836="",IFERROR(INDEX(Hizmetler!$C$5:$C$54,MATCH(D836,Hizmetler!$A$5:$A$54,0)),0),F836),0))</f>
        <v/>
      </c>
      <c r="H836" s="18" t="str">
        <f aca="false">IF(OR(B836="",D836=""),"",ROUND((B836+IFERROR(INDEX(Hizmetler!$B$5:$B$54,MATCH(D836,Hizmetler!$A$5:$A$54,0)),0)/1440)*1440,0)/1440)</f>
        <v/>
      </c>
      <c r="I836" s="19" t="str">
        <f aca="false">IF(OR(A836="",H836="",E836="İptal"),"",IF(COUNTIFS($A$5:$A$1004,A836,$B$5:$B$1004,"&lt;"&amp;(H836-0.0003),$H$5:$H$1004,"&gt;"&amp;(B836+0.0003),$E$5:$E$1004,"&lt;&gt;İptal")&gt;1,"Çakışıyor",""))</f>
        <v/>
      </c>
      <c r="J836" s="21" t="str">
        <f aca="false">IF(AND(A836=Gün!$C$3,B836&lt;&gt;"",E836&lt;&gt;"İptal"),B836+ROW()/100000000,"")</f>
        <v/>
      </c>
    </row>
    <row r="837" customFormat="false" ht="15" hidden="false" customHeight="false" outlineLevel="0" collapsed="false">
      <c r="A837" s="12"/>
      <c r="B837" s="13"/>
      <c r="C837" s="14"/>
      <c r="D837" s="14"/>
      <c r="E837" s="15"/>
      <c r="F837" s="16"/>
      <c r="G837" s="17" t="str">
        <f aca="false">IF(D837="","",IF(E837="Geldi",IF(F837="",IFERROR(INDEX(Hizmetler!$C$5:$C$54,MATCH(D837,Hizmetler!$A$5:$A$54,0)),0),F837),0))</f>
        <v/>
      </c>
      <c r="H837" s="18" t="str">
        <f aca="false">IF(OR(B837="",D837=""),"",ROUND((B837+IFERROR(INDEX(Hizmetler!$B$5:$B$54,MATCH(D837,Hizmetler!$A$5:$A$54,0)),0)/1440)*1440,0)/1440)</f>
        <v/>
      </c>
      <c r="I837" s="19" t="str">
        <f aca="false">IF(OR(A837="",H837="",E837="İptal"),"",IF(COUNTIFS($A$5:$A$1004,A837,$B$5:$B$1004,"&lt;"&amp;(H837-0.0003),$H$5:$H$1004,"&gt;"&amp;(B837+0.0003),$E$5:$E$1004,"&lt;&gt;İptal")&gt;1,"Çakışıyor",""))</f>
        <v/>
      </c>
      <c r="J837" s="21" t="str">
        <f aca="false">IF(AND(A837=Gün!$C$3,B837&lt;&gt;"",E837&lt;&gt;"İptal"),B837+ROW()/100000000,"")</f>
        <v/>
      </c>
    </row>
    <row r="838" customFormat="false" ht="15" hidden="false" customHeight="false" outlineLevel="0" collapsed="false">
      <c r="A838" s="12"/>
      <c r="B838" s="13"/>
      <c r="C838" s="14"/>
      <c r="D838" s="14"/>
      <c r="E838" s="15"/>
      <c r="F838" s="16"/>
      <c r="G838" s="17" t="str">
        <f aca="false">IF(D838="","",IF(E838="Geldi",IF(F838="",IFERROR(INDEX(Hizmetler!$C$5:$C$54,MATCH(D838,Hizmetler!$A$5:$A$54,0)),0),F838),0))</f>
        <v/>
      </c>
      <c r="H838" s="18" t="str">
        <f aca="false">IF(OR(B838="",D838=""),"",ROUND((B838+IFERROR(INDEX(Hizmetler!$B$5:$B$54,MATCH(D838,Hizmetler!$A$5:$A$54,0)),0)/1440)*1440,0)/1440)</f>
        <v/>
      </c>
      <c r="I838" s="19" t="str">
        <f aca="false">IF(OR(A838="",H838="",E838="İptal"),"",IF(COUNTIFS($A$5:$A$1004,A838,$B$5:$B$1004,"&lt;"&amp;(H838-0.0003),$H$5:$H$1004,"&gt;"&amp;(B838+0.0003),$E$5:$E$1004,"&lt;&gt;İptal")&gt;1,"Çakışıyor",""))</f>
        <v/>
      </c>
      <c r="J838" s="21" t="str">
        <f aca="false">IF(AND(A838=Gün!$C$3,B838&lt;&gt;"",E838&lt;&gt;"İptal"),B838+ROW()/100000000,"")</f>
        <v/>
      </c>
    </row>
    <row r="839" customFormat="false" ht="15" hidden="false" customHeight="false" outlineLevel="0" collapsed="false">
      <c r="A839" s="12"/>
      <c r="B839" s="13"/>
      <c r="C839" s="14"/>
      <c r="D839" s="14"/>
      <c r="E839" s="15"/>
      <c r="F839" s="16"/>
      <c r="G839" s="17" t="str">
        <f aca="false">IF(D839="","",IF(E839="Geldi",IF(F839="",IFERROR(INDEX(Hizmetler!$C$5:$C$54,MATCH(D839,Hizmetler!$A$5:$A$54,0)),0),F839),0))</f>
        <v/>
      </c>
      <c r="H839" s="18" t="str">
        <f aca="false">IF(OR(B839="",D839=""),"",ROUND((B839+IFERROR(INDEX(Hizmetler!$B$5:$B$54,MATCH(D839,Hizmetler!$A$5:$A$54,0)),0)/1440)*1440,0)/1440)</f>
        <v/>
      </c>
      <c r="I839" s="19" t="str">
        <f aca="false">IF(OR(A839="",H839="",E839="İptal"),"",IF(COUNTIFS($A$5:$A$1004,A839,$B$5:$B$1004,"&lt;"&amp;(H839-0.0003),$H$5:$H$1004,"&gt;"&amp;(B839+0.0003),$E$5:$E$1004,"&lt;&gt;İptal")&gt;1,"Çakışıyor",""))</f>
        <v/>
      </c>
      <c r="J839" s="21" t="str">
        <f aca="false">IF(AND(A839=Gün!$C$3,B839&lt;&gt;"",E839&lt;&gt;"İptal"),B839+ROW()/100000000,"")</f>
        <v/>
      </c>
    </row>
    <row r="840" customFormat="false" ht="15" hidden="false" customHeight="false" outlineLevel="0" collapsed="false">
      <c r="A840" s="12"/>
      <c r="B840" s="13"/>
      <c r="C840" s="14"/>
      <c r="D840" s="14"/>
      <c r="E840" s="15"/>
      <c r="F840" s="16"/>
      <c r="G840" s="17" t="str">
        <f aca="false">IF(D840="","",IF(E840="Geldi",IF(F840="",IFERROR(INDEX(Hizmetler!$C$5:$C$54,MATCH(D840,Hizmetler!$A$5:$A$54,0)),0),F840),0))</f>
        <v/>
      </c>
      <c r="H840" s="18" t="str">
        <f aca="false">IF(OR(B840="",D840=""),"",ROUND((B840+IFERROR(INDEX(Hizmetler!$B$5:$B$54,MATCH(D840,Hizmetler!$A$5:$A$54,0)),0)/1440)*1440,0)/1440)</f>
        <v/>
      </c>
      <c r="I840" s="19" t="str">
        <f aca="false">IF(OR(A840="",H840="",E840="İptal"),"",IF(COUNTIFS($A$5:$A$1004,A840,$B$5:$B$1004,"&lt;"&amp;(H840-0.0003),$H$5:$H$1004,"&gt;"&amp;(B840+0.0003),$E$5:$E$1004,"&lt;&gt;İptal")&gt;1,"Çakışıyor",""))</f>
        <v/>
      </c>
      <c r="J840" s="21" t="str">
        <f aca="false">IF(AND(A840=Gün!$C$3,B840&lt;&gt;"",E840&lt;&gt;"İptal"),B840+ROW()/100000000,"")</f>
        <v/>
      </c>
    </row>
    <row r="841" customFormat="false" ht="15" hidden="false" customHeight="false" outlineLevel="0" collapsed="false">
      <c r="A841" s="12"/>
      <c r="B841" s="13"/>
      <c r="C841" s="14"/>
      <c r="D841" s="14"/>
      <c r="E841" s="15"/>
      <c r="F841" s="16"/>
      <c r="G841" s="17" t="str">
        <f aca="false">IF(D841="","",IF(E841="Geldi",IF(F841="",IFERROR(INDEX(Hizmetler!$C$5:$C$54,MATCH(D841,Hizmetler!$A$5:$A$54,0)),0),F841),0))</f>
        <v/>
      </c>
      <c r="H841" s="18" t="str">
        <f aca="false">IF(OR(B841="",D841=""),"",ROUND((B841+IFERROR(INDEX(Hizmetler!$B$5:$B$54,MATCH(D841,Hizmetler!$A$5:$A$54,0)),0)/1440)*1440,0)/1440)</f>
        <v/>
      </c>
      <c r="I841" s="19" t="str">
        <f aca="false">IF(OR(A841="",H841="",E841="İptal"),"",IF(COUNTIFS($A$5:$A$1004,A841,$B$5:$B$1004,"&lt;"&amp;(H841-0.0003),$H$5:$H$1004,"&gt;"&amp;(B841+0.0003),$E$5:$E$1004,"&lt;&gt;İptal")&gt;1,"Çakışıyor",""))</f>
        <v/>
      </c>
      <c r="J841" s="21" t="str">
        <f aca="false">IF(AND(A841=Gün!$C$3,B841&lt;&gt;"",E841&lt;&gt;"İptal"),B841+ROW()/100000000,"")</f>
        <v/>
      </c>
    </row>
    <row r="842" customFormat="false" ht="15" hidden="false" customHeight="false" outlineLevel="0" collapsed="false">
      <c r="A842" s="12"/>
      <c r="B842" s="13"/>
      <c r="C842" s="14"/>
      <c r="D842" s="14"/>
      <c r="E842" s="15"/>
      <c r="F842" s="16"/>
      <c r="G842" s="17" t="str">
        <f aca="false">IF(D842="","",IF(E842="Geldi",IF(F842="",IFERROR(INDEX(Hizmetler!$C$5:$C$54,MATCH(D842,Hizmetler!$A$5:$A$54,0)),0),F842),0))</f>
        <v/>
      </c>
      <c r="H842" s="18" t="str">
        <f aca="false">IF(OR(B842="",D842=""),"",ROUND((B842+IFERROR(INDEX(Hizmetler!$B$5:$B$54,MATCH(D842,Hizmetler!$A$5:$A$54,0)),0)/1440)*1440,0)/1440)</f>
        <v/>
      </c>
      <c r="I842" s="19" t="str">
        <f aca="false">IF(OR(A842="",H842="",E842="İptal"),"",IF(COUNTIFS($A$5:$A$1004,A842,$B$5:$B$1004,"&lt;"&amp;(H842-0.0003),$H$5:$H$1004,"&gt;"&amp;(B842+0.0003),$E$5:$E$1004,"&lt;&gt;İptal")&gt;1,"Çakışıyor",""))</f>
        <v/>
      </c>
      <c r="J842" s="21" t="str">
        <f aca="false">IF(AND(A842=Gün!$C$3,B842&lt;&gt;"",E842&lt;&gt;"İptal"),B842+ROW()/100000000,"")</f>
        <v/>
      </c>
    </row>
    <row r="843" customFormat="false" ht="15" hidden="false" customHeight="false" outlineLevel="0" collapsed="false">
      <c r="A843" s="12"/>
      <c r="B843" s="13"/>
      <c r="C843" s="14"/>
      <c r="D843" s="14"/>
      <c r="E843" s="15"/>
      <c r="F843" s="16"/>
      <c r="G843" s="17" t="str">
        <f aca="false">IF(D843="","",IF(E843="Geldi",IF(F843="",IFERROR(INDEX(Hizmetler!$C$5:$C$54,MATCH(D843,Hizmetler!$A$5:$A$54,0)),0),F843),0))</f>
        <v/>
      </c>
      <c r="H843" s="18" t="str">
        <f aca="false">IF(OR(B843="",D843=""),"",ROUND((B843+IFERROR(INDEX(Hizmetler!$B$5:$B$54,MATCH(D843,Hizmetler!$A$5:$A$54,0)),0)/1440)*1440,0)/1440)</f>
        <v/>
      </c>
      <c r="I843" s="19" t="str">
        <f aca="false">IF(OR(A843="",H843="",E843="İptal"),"",IF(COUNTIFS($A$5:$A$1004,A843,$B$5:$B$1004,"&lt;"&amp;(H843-0.0003),$H$5:$H$1004,"&gt;"&amp;(B843+0.0003),$E$5:$E$1004,"&lt;&gt;İptal")&gt;1,"Çakışıyor",""))</f>
        <v/>
      </c>
      <c r="J843" s="21" t="str">
        <f aca="false">IF(AND(A843=Gün!$C$3,B843&lt;&gt;"",E843&lt;&gt;"İptal"),B843+ROW()/100000000,"")</f>
        <v/>
      </c>
    </row>
    <row r="844" customFormat="false" ht="15" hidden="false" customHeight="false" outlineLevel="0" collapsed="false">
      <c r="A844" s="12"/>
      <c r="B844" s="13"/>
      <c r="C844" s="14"/>
      <c r="D844" s="14"/>
      <c r="E844" s="15"/>
      <c r="F844" s="16"/>
      <c r="G844" s="17" t="str">
        <f aca="false">IF(D844="","",IF(E844="Geldi",IF(F844="",IFERROR(INDEX(Hizmetler!$C$5:$C$54,MATCH(D844,Hizmetler!$A$5:$A$54,0)),0),F844),0))</f>
        <v/>
      </c>
      <c r="H844" s="18" t="str">
        <f aca="false">IF(OR(B844="",D844=""),"",ROUND((B844+IFERROR(INDEX(Hizmetler!$B$5:$B$54,MATCH(D844,Hizmetler!$A$5:$A$54,0)),0)/1440)*1440,0)/1440)</f>
        <v/>
      </c>
      <c r="I844" s="19" t="str">
        <f aca="false">IF(OR(A844="",H844="",E844="İptal"),"",IF(COUNTIFS($A$5:$A$1004,A844,$B$5:$B$1004,"&lt;"&amp;(H844-0.0003),$H$5:$H$1004,"&gt;"&amp;(B844+0.0003),$E$5:$E$1004,"&lt;&gt;İptal")&gt;1,"Çakışıyor",""))</f>
        <v/>
      </c>
      <c r="J844" s="21" t="str">
        <f aca="false">IF(AND(A844=Gün!$C$3,B844&lt;&gt;"",E844&lt;&gt;"İptal"),B844+ROW()/100000000,"")</f>
        <v/>
      </c>
    </row>
    <row r="845" customFormat="false" ht="15" hidden="false" customHeight="false" outlineLevel="0" collapsed="false">
      <c r="A845" s="12"/>
      <c r="B845" s="13"/>
      <c r="C845" s="14"/>
      <c r="D845" s="14"/>
      <c r="E845" s="15"/>
      <c r="F845" s="16"/>
      <c r="G845" s="17" t="str">
        <f aca="false">IF(D845="","",IF(E845="Geldi",IF(F845="",IFERROR(INDEX(Hizmetler!$C$5:$C$54,MATCH(D845,Hizmetler!$A$5:$A$54,0)),0),F845),0))</f>
        <v/>
      </c>
      <c r="H845" s="18" t="str">
        <f aca="false">IF(OR(B845="",D845=""),"",ROUND((B845+IFERROR(INDEX(Hizmetler!$B$5:$B$54,MATCH(D845,Hizmetler!$A$5:$A$54,0)),0)/1440)*1440,0)/1440)</f>
        <v/>
      </c>
      <c r="I845" s="19" t="str">
        <f aca="false">IF(OR(A845="",H845="",E845="İptal"),"",IF(COUNTIFS($A$5:$A$1004,A845,$B$5:$B$1004,"&lt;"&amp;(H845-0.0003),$H$5:$H$1004,"&gt;"&amp;(B845+0.0003),$E$5:$E$1004,"&lt;&gt;İptal")&gt;1,"Çakışıyor",""))</f>
        <v/>
      </c>
      <c r="J845" s="21" t="str">
        <f aca="false">IF(AND(A845=Gün!$C$3,B845&lt;&gt;"",E845&lt;&gt;"İptal"),B845+ROW()/100000000,"")</f>
        <v/>
      </c>
    </row>
    <row r="846" customFormat="false" ht="15" hidden="false" customHeight="false" outlineLevel="0" collapsed="false">
      <c r="A846" s="12"/>
      <c r="B846" s="13"/>
      <c r="C846" s="14"/>
      <c r="D846" s="14"/>
      <c r="E846" s="15"/>
      <c r="F846" s="16"/>
      <c r="G846" s="17" t="str">
        <f aca="false">IF(D846="","",IF(E846="Geldi",IF(F846="",IFERROR(INDEX(Hizmetler!$C$5:$C$54,MATCH(D846,Hizmetler!$A$5:$A$54,0)),0),F846),0))</f>
        <v/>
      </c>
      <c r="H846" s="18" t="str">
        <f aca="false">IF(OR(B846="",D846=""),"",ROUND((B846+IFERROR(INDEX(Hizmetler!$B$5:$B$54,MATCH(D846,Hizmetler!$A$5:$A$54,0)),0)/1440)*1440,0)/1440)</f>
        <v/>
      </c>
      <c r="I846" s="19" t="str">
        <f aca="false">IF(OR(A846="",H846="",E846="İptal"),"",IF(COUNTIFS($A$5:$A$1004,A846,$B$5:$B$1004,"&lt;"&amp;(H846-0.0003),$H$5:$H$1004,"&gt;"&amp;(B846+0.0003),$E$5:$E$1004,"&lt;&gt;İptal")&gt;1,"Çakışıyor",""))</f>
        <v/>
      </c>
      <c r="J846" s="21" t="str">
        <f aca="false">IF(AND(A846=Gün!$C$3,B846&lt;&gt;"",E846&lt;&gt;"İptal"),B846+ROW()/100000000,"")</f>
        <v/>
      </c>
    </row>
    <row r="847" customFormat="false" ht="15" hidden="false" customHeight="false" outlineLevel="0" collapsed="false">
      <c r="A847" s="12"/>
      <c r="B847" s="13"/>
      <c r="C847" s="14"/>
      <c r="D847" s="14"/>
      <c r="E847" s="15"/>
      <c r="F847" s="16"/>
      <c r="G847" s="17" t="str">
        <f aca="false">IF(D847="","",IF(E847="Geldi",IF(F847="",IFERROR(INDEX(Hizmetler!$C$5:$C$54,MATCH(D847,Hizmetler!$A$5:$A$54,0)),0),F847),0))</f>
        <v/>
      </c>
      <c r="H847" s="18" t="str">
        <f aca="false">IF(OR(B847="",D847=""),"",ROUND((B847+IFERROR(INDEX(Hizmetler!$B$5:$B$54,MATCH(D847,Hizmetler!$A$5:$A$54,0)),0)/1440)*1440,0)/1440)</f>
        <v/>
      </c>
      <c r="I847" s="19" t="str">
        <f aca="false">IF(OR(A847="",H847="",E847="İptal"),"",IF(COUNTIFS($A$5:$A$1004,A847,$B$5:$B$1004,"&lt;"&amp;(H847-0.0003),$H$5:$H$1004,"&gt;"&amp;(B847+0.0003),$E$5:$E$1004,"&lt;&gt;İptal")&gt;1,"Çakışıyor",""))</f>
        <v/>
      </c>
      <c r="J847" s="21" t="str">
        <f aca="false">IF(AND(A847=Gün!$C$3,B847&lt;&gt;"",E847&lt;&gt;"İptal"),B847+ROW()/100000000,"")</f>
        <v/>
      </c>
    </row>
    <row r="848" customFormat="false" ht="15" hidden="false" customHeight="false" outlineLevel="0" collapsed="false">
      <c r="A848" s="12"/>
      <c r="B848" s="13"/>
      <c r="C848" s="14"/>
      <c r="D848" s="14"/>
      <c r="E848" s="15"/>
      <c r="F848" s="16"/>
      <c r="G848" s="17" t="str">
        <f aca="false">IF(D848="","",IF(E848="Geldi",IF(F848="",IFERROR(INDEX(Hizmetler!$C$5:$C$54,MATCH(D848,Hizmetler!$A$5:$A$54,0)),0),F848),0))</f>
        <v/>
      </c>
      <c r="H848" s="18" t="str">
        <f aca="false">IF(OR(B848="",D848=""),"",ROUND((B848+IFERROR(INDEX(Hizmetler!$B$5:$B$54,MATCH(D848,Hizmetler!$A$5:$A$54,0)),0)/1440)*1440,0)/1440)</f>
        <v/>
      </c>
      <c r="I848" s="19" t="str">
        <f aca="false">IF(OR(A848="",H848="",E848="İptal"),"",IF(COUNTIFS($A$5:$A$1004,A848,$B$5:$B$1004,"&lt;"&amp;(H848-0.0003),$H$5:$H$1004,"&gt;"&amp;(B848+0.0003),$E$5:$E$1004,"&lt;&gt;İptal")&gt;1,"Çakışıyor",""))</f>
        <v/>
      </c>
      <c r="J848" s="21" t="str">
        <f aca="false">IF(AND(A848=Gün!$C$3,B848&lt;&gt;"",E848&lt;&gt;"İptal"),B848+ROW()/100000000,"")</f>
        <v/>
      </c>
    </row>
    <row r="849" customFormat="false" ht="15" hidden="false" customHeight="false" outlineLevel="0" collapsed="false">
      <c r="A849" s="12"/>
      <c r="B849" s="13"/>
      <c r="C849" s="14"/>
      <c r="D849" s="14"/>
      <c r="E849" s="15"/>
      <c r="F849" s="16"/>
      <c r="G849" s="17" t="str">
        <f aca="false">IF(D849="","",IF(E849="Geldi",IF(F849="",IFERROR(INDEX(Hizmetler!$C$5:$C$54,MATCH(D849,Hizmetler!$A$5:$A$54,0)),0),F849),0))</f>
        <v/>
      </c>
      <c r="H849" s="18" t="str">
        <f aca="false">IF(OR(B849="",D849=""),"",ROUND((B849+IFERROR(INDEX(Hizmetler!$B$5:$B$54,MATCH(D849,Hizmetler!$A$5:$A$54,0)),0)/1440)*1440,0)/1440)</f>
        <v/>
      </c>
      <c r="I849" s="19" t="str">
        <f aca="false">IF(OR(A849="",H849="",E849="İptal"),"",IF(COUNTIFS($A$5:$A$1004,A849,$B$5:$B$1004,"&lt;"&amp;(H849-0.0003),$H$5:$H$1004,"&gt;"&amp;(B849+0.0003),$E$5:$E$1004,"&lt;&gt;İptal")&gt;1,"Çakışıyor",""))</f>
        <v/>
      </c>
      <c r="J849" s="21" t="str">
        <f aca="false">IF(AND(A849=Gün!$C$3,B849&lt;&gt;"",E849&lt;&gt;"İptal"),B849+ROW()/100000000,"")</f>
        <v/>
      </c>
    </row>
    <row r="850" customFormat="false" ht="15" hidden="false" customHeight="false" outlineLevel="0" collapsed="false">
      <c r="A850" s="12"/>
      <c r="B850" s="13"/>
      <c r="C850" s="14"/>
      <c r="D850" s="14"/>
      <c r="E850" s="15"/>
      <c r="F850" s="16"/>
      <c r="G850" s="17" t="str">
        <f aca="false">IF(D850="","",IF(E850="Geldi",IF(F850="",IFERROR(INDEX(Hizmetler!$C$5:$C$54,MATCH(D850,Hizmetler!$A$5:$A$54,0)),0),F850),0))</f>
        <v/>
      </c>
      <c r="H850" s="18" t="str">
        <f aca="false">IF(OR(B850="",D850=""),"",ROUND((B850+IFERROR(INDEX(Hizmetler!$B$5:$B$54,MATCH(D850,Hizmetler!$A$5:$A$54,0)),0)/1440)*1440,0)/1440)</f>
        <v/>
      </c>
      <c r="I850" s="19" t="str">
        <f aca="false">IF(OR(A850="",H850="",E850="İptal"),"",IF(COUNTIFS($A$5:$A$1004,A850,$B$5:$B$1004,"&lt;"&amp;(H850-0.0003),$H$5:$H$1004,"&gt;"&amp;(B850+0.0003),$E$5:$E$1004,"&lt;&gt;İptal")&gt;1,"Çakışıyor",""))</f>
        <v/>
      </c>
      <c r="J850" s="21" t="str">
        <f aca="false">IF(AND(A850=Gün!$C$3,B850&lt;&gt;"",E850&lt;&gt;"İptal"),B850+ROW()/100000000,"")</f>
        <v/>
      </c>
    </row>
    <row r="851" customFormat="false" ht="15" hidden="false" customHeight="false" outlineLevel="0" collapsed="false">
      <c r="A851" s="12"/>
      <c r="B851" s="13"/>
      <c r="C851" s="14"/>
      <c r="D851" s="14"/>
      <c r="E851" s="15"/>
      <c r="F851" s="16"/>
      <c r="G851" s="17" t="str">
        <f aca="false">IF(D851="","",IF(E851="Geldi",IF(F851="",IFERROR(INDEX(Hizmetler!$C$5:$C$54,MATCH(D851,Hizmetler!$A$5:$A$54,0)),0),F851),0))</f>
        <v/>
      </c>
      <c r="H851" s="18" t="str">
        <f aca="false">IF(OR(B851="",D851=""),"",ROUND((B851+IFERROR(INDEX(Hizmetler!$B$5:$B$54,MATCH(D851,Hizmetler!$A$5:$A$54,0)),0)/1440)*1440,0)/1440)</f>
        <v/>
      </c>
      <c r="I851" s="19" t="str">
        <f aca="false">IF(OR(A851="",H851="",E851="İptal"),"",IF(COUNTIFS($A$5:$A$1004,A851,$B$5:$B$1004,"&lt;"&amp;(H851-0.0003),$H$5:$H$1004,"&gt;"&amp;(B851+0.0003),$E$5:$E$1004,"&lt;&gt;İptal")&gt;1,"Çakışıyor",""))</f>
        <v/>
      </c>
      <c r="J851" s="21" t="str">
        <f aca="false">IF(AND(A851=Gün!$C$3,B851&lt;&gt;"",E851&lt;&gt;"İptal"),B851+ROW()/100000000,"")</f>
        <v/>
      </c>
    </row>
    <row r="852" customFormat="false" ht="15" hidden="false" customHeight="false" outlineLevel="0" collapsed="false">
      <c r="A852" s="12"/>
      <c r="B852" s="13"/>
      <c r="C852" s="14"/>
      <c r="D852" s="14"/>
      <c r="E852" s="15"/>
      <c r="F852" s="16"/>
      <c r="G852" s="17" t="str">
        <f aca="false">IF(D852="","",IF(E852="Geldi",IF(F852="",IFERROR(INDEX(Hizmetler!$C$5:$C$54,MATCH(D852,Hizmetler!$A$5:$A$54,0)),0),F852),0))</f>
        <v/>
      </c>
      <c r="H852" s="18" t="str">
        <f aca="false">IF(OR(B852="",D852=""),"",ROUND((B852+IFERROR(INDEX(Hizmetler!$B$5:$B$54,MATCH(D852,Hizmetler!$A$5:$A$54,0)),0)/1440)*1440,0)/1440)</f>
        <v/>
      </c>
      <c r="I852" s="19" t="str">
        <f aca="false">IF(OR(A852="",H852="",E852="İptal"),"",IF(COUNTIFS($A$5:$A$1004,A852,$B$5:$B$1004,"&lt;"&amp;(H852-0.0003),$H$5:$H$1004,"&gt;"&amp;(B852+0.0003),$E$5:$E$1004,"&lt;&gt;İptal")&gt;1,"Çakışıyor",""))</f>
        <v/>
      </c>
      <c r="J852" s="21" t="str">
        <f aca="false">IF(AND(A852=Gün!$C$3,B852&lt;&gt;"",E852&lt;&gt;"İptal"),B852+ROW()/100000000,"")</f>
        <v/>
      </c>
    </row>
    <row r="853" customFormat="false" ht="15" hidden="false" customHeight="false" outlineLevel="0" collapsed="false">
      <c r="A853" s="12"/>
      <c r="B853" s="13"/>
      <c r="C853" s="14"/>
      <c r="D853" s="14"/>
      <c r="E853" s="15"/>
      <c r="F853" s="16"/>
      <c r="G853" s="17" t="str">
        <f aca="false">IF(D853="","",IF(E853="Geldi",IF(F853="",IFERROR(INDEX(Hizmetler!$C$5:$C$54,MATCH(D853,Hizmetler!$A$5:$A$54,0)),0),F853),0))</f>
        <v/>
      </c>
      <c r="H853" s="18" t="str">
        <f aca="false">IF(OR(B853="",D853=""),"",ROUND((B853+IFERROR(INDEX(Hizmetler!$B$5:$B$54,MATCH(D853,Hizmetler!$A$5:$A$54,0)),0)/1440)*1440,0)/1440)</f>
        <v/>
      </c>
      <c r="I853" s="19" t="str">
        <f aca="false">IF(OR(A853="",H853="",E853="İptal"),"",IF(COUNTIFS($A$5:$A$1004,A853,$B$5:$B$1004,"&lt;"&amp;(H853-0.0003),$H$5:$H$1004,"&gt;"&amp;(B853+0.0003),$E$5:$E$1004,"&lt;&gt;İptal")&gt;1,"Çakışıyor",""))</f>
        <v/>
      </c>
      <c r="J853" s="21" t="str">
        <f aca="false">IF(AND(A853=Gün!$C$3,B853&lt;&gt;"",E853&lt;&gt;"İptal"),B853+ROW()/100000000,"")</f>
        <v/>
      </c>
    </row>
    <row r="854" customFormat="false" ht="15" hidden="false" customHeight="false" outlineLevel="0" collapsed="false">
      <c r="A854" s="12"/>
      <c r="B854" s="13"/>
      <c r="C854" s="14"/>
      <c r="D854" s="14"/>
      <c r="E854" s="15"/>
      <c r="F854" s="16"/>
      <c r="G854" s="17" t="str">
        <f aca="false">IF(D854="","",IF(E854="Geldi",IF(F854="",IFERROR(INDEX(Hizmetler!$C$5:$C$54,MATCH(D854,Hizmetler!$A$5:$A$54,0)),0),F854),0))</f>
        <v/>
      </c>
      <c r="H854" s="18" t="str">
        <f aca="false">IF(OR(B854="",D854=""),"",ROUND((B854+IFERROR(INDEX(Hizmetler!$B$5:$B$54,MATCH(D854,Hizmetler!$A$5:$A$54,0)),0)/1440)*1440,0)/1440)</f>
        <v/>
      </c>
      <c r="I854" s="19" t="str">
        <f aca="false">IF(OR(A854="",H854="",E854="İptal"),"",IF(COUNTIFS($A$5:$A$1004,A854,$B$5:$B$1004,"&lt;"&amp;(H854-0.0003),$H$5:$H$1004,"&gt;"&amp;(B854+0.0003),$E$5:$E$1004,"&lt;&gt;İptal")&gt;1,"Çakışıyor",""))</f>
        <v/>
      </c>
      <c r="J854" s="21" t="str">
        <f aca="false">IF(AND(A854=Gün!$C$3,B854&lt;&gt;"",E854&lt;&gt;"İptal"),B854+ROW()/100000000,"")</f>
        <v/>
      </c>
    </row>
    <row r="855" customFormat="false" ht="15" hidden="false" customHeight="false" outlineLevel="0" collapsed="false">
      <c r="A855" s="12"/>
      <c r="B855" s="13"/>
      <c r="C855" s="14"/>
      <c r="D855" s="14"/>
      <c r="E855" s="15"/>
      <c r="F855" s="16"/>
      <c r="G855" s="17" t="str">
        <f aca="false">IF(D855="","",IF(E855="Geldi",IF(F855="",IFERROR(INDEX(Hizmetler!$C$5:$C$54,MATCH(D855,Hizmetler!$A$5:$A$54,0)),0),F855),0))</f>
        <v/>
      </c>
      <c r="H855" s="18" t="str">
        <f aca="false">IF(OR(B855="",D855=""),"",ROUND((B855+IFERROR(INDEX(Hizmetler!$B$5:$B$54,MATCH(D855,Hizmetler!$A$5:$A$54,0)),0)/1440)*1440,0)/1440)</f>
        <v/>
      </c>
      <c r="I855" s="19" t="str">
        <f aca="false">IF(OR(A855="",H855="",E855="İptal"),"",IF(COUNTIFS($A$5:$A$1004,A855,$B$5:$B$1004,"&lt;"&amp;(H855-0.0003),$H$5:$H$1004,"&gt;"&amp;(B855+0.0003),$E$5:$E$1004,"&lt;&gt;İptal")&gt;1,"Çakışıyor",""))</f>
        <v/>
      </c>
      <c r="J855" s="21" t="str">
        <f aca="false">IF(AND(A855=Gün!$C$3,B855&lt;&gt;"",E855&lt;&gt;"İptal"),B855+ROW()/100000000,"")</f>
        <v/>
      </c>
    </row>
    <row r="856" customFormat="false" ht="15" hidden="false" customHeight="false" outlineLevel="0" collapsed="false">
      <c r="A856" s="12"/>
      <c r="B856" s="13"/>
      <c r="C856" s="14"/>
      <c r="D856" s="14"/>
      <c r="E856" s="15"/>
      <c r="F856" s="16"/>
      <c r="G856" s="17" t="str">
        <f aca="false">IF(D856="","",IF(E856="Geldi",IF(F856="",IFERROR(INDEX(Hizmetler!$C$5:$C$54,MATCH(D856,Hizmetler!$A$5:$A$54,0)),0),F856),0))</f>
        <v/>
      </c>
      <c r="H856" s="18" t="str">
        <f aca="false">IF(OR(B856="",D856=""),"",ROUND((B856+IFERROR(INDEX(Hizmetler!$B$5:$B$54,MATCH(D856,Hizmetler!$A$5:$A$54,0)),0)/1440)*1440,0)/1440)</f>
        <v/>
      </c>
      <c r="I856" s="19" t="str">
        <f aca="false">IF(OR(A856="",H856="",E856="İptal"),"",IF(COUNTIFS($A$5:$A$1004,A856,$B$5:$B$1004,"&lt;"&amp;(H856-0.0003),$H$5:$H$1004,"&gt;"&amp;(B856+0.0003),$E$5:$E$1004,"&lt;&gt;İptal")&gt;1,"Çakışıyor",""))</f>
        <v/>
      </c>
      <c r="J856" s="21" t="str">
        <f aca="false">IF(AND(A856=Gün!$C$3,B856&lt;&gt;"",E856&lt;&gt;"İptal"),B856+ROW()/100000000,"")</f>
        <v/>
      </c>
    </row>
    <row r="857" customFormat="false" ht="15" hidden="false" customHeight="false" outlineLevel="0" collapsed="false">
      <c r="A857" s="12"/>
      <c r="B857" s="13"/>
      <c r="C857" s="14"/>
      <c r="D857" s="14"/>
      <c r="E857" s="15"/>
      <c r="F857" s="16"/>
      <c r="G857" s="17" t="str">
        <f aca="false">IF(D857="","",IF(E857="Geldi",IF(F857="",IFERROR(INDEX(Hizmetler!$C$5:$C$54,MATCH(D857,Hizmetler!$A$5:$A$54,0)),0),F857),0))</f>
        <v/>
      </c>
      <c r="H857" s="18" t="str">
        <f aca="false">IF(OR(B857="",D857=""),"",ROUND((B857+IFERROR(INDEX(Hizmetler!$B$5:$B$54,MATCH(D857,Hizmetler!$A$5:$A$54,0)),0)/1440)*1440,0)/1440)</f>
        <v/>
      </c>
      <c r="I857" s="19" t="str">
        <f aca="false">IF(OR(A857="",H857="",E857="İptal"),"",IF(COUNTIFS($A$5:$A$1004,A857,$B$5:$B$1004,"&lt;"&amp;(H857-0.0003),$H$5:$H$1004,"&gt;"&amp;(B857+0.0003),$E$5:$E$1004,"&lt;&gt;İptal")&gt;1,"Çakışıyor",""))</f>
        <v/>
      </c>
      <c r="J857" s="21" t="str">
        <f aca="false">IF(AND(A857=Gün!$C$3,B857&lt;&gt;"",E857&lt;&gt;"İptal"),B857+ROW()/100000000,"")</f>
        <v/>
      </c>
    </row>
    <row r="858" customFormat="false" ht="15" hidden="false" customHeight="false" outlineLevel="0" collapsed="false">
      <c r="A858" s="12"/>
      <c r="B858" s="13"/>
      <c r="C858" s="14"/>
      <c r="D858" s="14"/>
      <c r="E858" s="15"/>
      <c r="F858" s="16"/>
      <c r="G858" s="17" t="str">
        <f aca="false">IF(D858="","",IF(E858="Geldi",IF(F858="",IFERROR(INDEX(Hizmetler!$C$5:$C$54,MATCH(D858,Hizmetler!$A$5:$A$54,0)),0),F858),0))</f>
        <v/>
      </c>
      <c r="H858" s="18" t="str">
        <f aca="false">IF(OR(B858="",D858=""),"",ROUND((B858+IFERROR(INDEX(Hizmetler!$B$5:$B$54,MATCH(D858,Hizmetler!$A$5:$A$54,0)),0)/1440)*1440,0)/1440)</f>
        <v/>
      </c>
      <c r="I858" s="19" t="str">
        <f aca="false">IF(OR(A858="",H858="",E858="İptal"),"",IF(COUNTIFS($A$5:$A$1004,A858,$B$5:$B$1004,"&lt;"&amp;(H858-0.0003),$H$5:$H$1004,"&gt;"&amp;(B858+0.0003),$E$5:$E$1004,"&lt;&gt;İptal")&gt;1,"Çakışıyor",""))</f>
        <v/>
      </c>
      <c r="J858" s="21" t="str">
        <f aca="false">IF(AND(A858=Gün!$C$3,B858&lt;&gt;"",E858&lt;&gt;"İptal"),B858+ROW()/100000000,"")</f>
        <v/>
      </c>
    </row>
    <row r="859" customFormat="false" ht="15" hidden="false" customHeight="false" outlineLevel="0" collapsed="false">
      <c r="A859" s="12"/>
      <c r="B859" s="13"/>
      <c r="C859" s="14"/>
      <c r="D859" s="14"/>
      <c r="E859" s="15"/>
      <c r="F859" s="16"/>
      <c r="G859" s="17" t="str">
        <f aca="false">IF(D859="","",IF(E859="Geldi",IF(F859="",IFERROR(INDEX(Hizmetler!$C$5:$C$54,MATCH(D859,Hizmetler!$A$5:$A$54,0)),0),F859),0))</f>
        <v/>
      </c>
      <c r="H859" s="18" t="str">
        <f aca="false">IF(OR(B859="",D859=""),"",ROUND((B859+IFERROR(INDEX(Hizmetler!$B$5:$B$54,MATCH(D859,Hizmetler!$A$5:$A$54,0)),0)/1440)*1440,0)/1440)</f>
        <v/>
      </c>
      <c r="I859" s="19" t="str">
        <f aca="false">IF(OR(A859="",H859="",E859="İptal"),"",IF(COUNTIFS($A$5:$A$1004,A859,$B$5:$B$1004,"&lt;"&amp;(H859-0.0003),$H$5:$H$1004,"&gt;"&amp;(B859+0.0003),$E$5:$E$1004,"&lt;&gt;İptal")&gt;1,"Çakışıyor",""))</f>
        <v/>
      </c>
      <c r="J859" s="21" t="str">
        <f aca="false">IF(AND(A859=Gün!$C$3,B859&lt;&gt;"",E859&lt;&gt;"İptal"),B859+ROW()/100000000,"")</f>
        <v/>
      </c>
    </row>
    <row r="860" customFormat="false" ht="15" hidden="false" customHeight="false" outlineLevel="0" collapsed="false">
      <c r="A860" s="12"/>
      <c r="B860" s="13"/>
      <c r="C860" s="14"/>
      <c r="D860" s="14"/>
      <c r="E860" s="15"/>
      <c r="F860" s="16"/>
      <c r="G860" s="17" t="str">
        <f aca="false">IF(D860="","",IF(E860="Geldi",IF(F860="",IFERROR(INDEX(Hizmetler!$C$5:$C$54,MATCH(D860,Hizmetler!$A$5:$A$54,0)),0),F860),0))</f>
        <v/>
      </c>
      <c r="H860" s="18" t="str">
        <f aca="false">IF(OR(B860="",D860=""),"",ROUND((B860+IFERROR(INDEX(Hizmetler!$B$5:$B$54,MATCH(D860,Hizmetler!$A$5:$A$54,0)),0)/1440)*1440,0)/1440)</f>
        <v/>
      </c>
      <c r="I860" s="19" t="str">
        <f aca="false">IF(OR(A860="",H860="",E860="İptal"),"",IF(COUNTIFS($A$5:$A$1004,A860,$B$5:$B$1004,"&lt;"&amp;(H860-0.0003),$H$5:$H$1004,"&gt;"&amp;(B860+0.0003),$E$5:$E$1004,"&lt;&gt;İptal")&gt;1,"Çakışıyor",""))</f>
        <v/>
      </c>
      <c r="J860" s="21" t="str">
        <f aca="false">IF(AND(A860=Gün!$C$3,B860&lt;&gt;"",E860&lt;&gt;"İptal"),B860+ROW()/100000000,"")</f>
        <v/>
      </c>
    </row>
    <row r="861" customFormat="false" ht="15" hidden="false" customHeight="false" outlineLevel="0" collapsed="false">
      <c r="A861" s="12"/>
      <c r="B861" s="13"/>
      <c r="C861" s="14"/>
      <c r="D861" s="14"/>
      <c r="E861" s="15"/>
      <c r="F861" s="16"/>
      <c r="G861" s="17" t="str">
        <f aca="false">IF(D861="","",IF(E861="Geldi",IF(F861="",IFERROR(INDEX(Hizmetler!$C$5:$C$54,MATCH(D861,Hizmetler!$A$5:$A$54,0)),0),F861),0))</f>
        <v/>
      </c>
      <c r="H861" s="18" t="str">
        <f aca="false">IF(OR(B861="",D861=""),"",ROUND((B861+IFERROR(INDEX(Hizmetler!$B$5:$B$54,MATCH(D861,Hizmetler!$A$5:$A$54,0)),0)/1440)*1440,0)/1440)</f>
        <v/>
      </c>
      <c r="I861" s="19" t="str">
        <f aca="false">IF(OR(A861="",H861="",E861="İptal"),"",IF(COUNTIFS($A$5:$A$1004,A861,$B$5:$B$1004,"&lt;"&amp;(H861-0.0003),$H$5:$H$1004,"&gt;"&amp;(B861+0.0003),$E$5:$E$1004,"&lt;&gt;İptal")&gt;1,"Çakışıyor",""))</f>
        <v/>
      </c>
      <c r="J861" s="21" t="str">
        <f aca="false">IF(AND(A861=Gün!$C$3,B861&lt;&gt;"",E861&lt;&gt;"İptal"),B861+ROW()/100000000,"")</f>
        <v/>
      </c>
    </row>
    <row r="862" customFormat="false" ht="15" hidden="false" customHeight="false" outlineLevel="0" collapsed="false">
      <c r="A862" s="12"/>
      <c r="B862" s="13"/>
      <c r="C862" s="14"/>
      <c r="D862" s="14"/>
      <c r="E862" s="15"/>
      <c r="F862" s="16"/>
      <c r="G862" s="17" t="str">
        <f aca="false">IF(D862="","",IF(E862="Geldi",IF(F862="",IFERROR(INDEX(Hizmetler!$C$5:$C$54,MATCH(D862,Hizmetler!$A$5:$A$54,0)),0),F862),0))</f>
        <v/>
      </c>
      <c r="H862" s="18" t="str">
        <f aca="false">IF(OR(B862="",D862=""),"",ROUND((B862+IFERROR(INDEX(Hizmetler!$B$5:$B$54,MATCH(D862,Hizmetler!$A$5:$A$54,0)),0)/1440)*1440,0)/1440)</f>
        <v/>
      </c>
      <c r="I862" s="19" t="str">
        <f aca="false">IF(OR(A862="",H862="",E862="İptal"),"",IF(COUNTIFS($A$5:$A$1004,A862,$B$5:$B$1004,"&lt;"&amp;(H862-0.0003),$H$5:$H$1004,"&gt;"&amp;(B862+0.0003),$E$5:$E$1004,"&lt;&gt;İptal")&gt;1,"Çakışıyor",""))</f>
        <v/>
      </c>
      <c r="J862" s="21" t="str">
        <f aca="false">IF(AND(A862=Gün!$C$3,B862&lt;&gt;"",E862&lt;&gt;"İptal"),B862+ROW()/100000000,"")</f>
        <v/>
      </c>
    </row>
    <row r="863" customFormat="false" ht="15" hidden="false" customHeight="false" outlineLevel="0" collapsed="false">
      <c r="A863" s="12"/>
      <c r="B863" s="13"/>
      <c r="C863" s="14"/>
      <c r="D863" s="14"/>
      <c r="E863" s="15"/>
      <c r="F863" s="16"/>
      <c r="G863" s="17" t="str">
        <f aca="false">IF(D863="","",IF(E863="Geldi",IF(F863="",IFERROR(INDEX(Hizmetler!$C$5:$C$54,MATCH(D863,Hizmetler!$A$5:$A$54,0)),0),F863),0))</f>
        <v/>
      </c>
      <c r="H863" s="18" t="str">
        <f aca="false">IF(OR(B863="",D863=""),"",ROUND((B863+IFERROR(INDEX(Hizmetler!$B$5:$B$54,MATCH(D863,Hizmetler!$A$5:$A$54,0)),0)/1440)*1440,0)/1440)</f>
        <v/>
      </c>
      <c r="I863" s="19" t="str">
        <f aca="false">IF(OR(A863="",H863="",E863="İptal"),"",IF(COUNTIFS($A$5:$A$1004,A863,$B$5:$B$1004,"&lt;"&amp;(H863-0.0003),$H$5:$H$1004,"&gt;"&amp;(B863+0.0003),$E$5:$E$1004,"&lt;&gt;İptal")&gt;1,"Çakışıyor",""))</f>
        <v/>
      </c>
      <c r="J863" s="21" t="str">
        <f aca="false">IF(AND(A863=Gün!$C$3,B863&lt;&gt;"",E863&lt;&gt;"İptal"),B863+ROW()/100000000,"")</f>
        <v/>
      </c>
    </row>
    <row r="864" customFormat="false" ht="15" hidden="false" customHeight="false" outlineLevel="0" collapsed="false">
      <c r="A864" s="12"/>
      <c r="B864" s="13"/>
      <c r="C864" s="14"/>
      <c r="D864" s="14"/>
      <c r="E864" s="15"/>
      <c r="F864" s="16"/>
      <c r="G864" s="17" t="str">
        <f aca="false">IF(D864="","",IF(E864="Geldi",IF(F864="",IFERROR(INDEX(Hizmetler!$C$5:$C$54,MATCH(D864,Hizmetler!$A$5:$A$54,0)),0),F864),0))</f>
        <v/>
      </c>
      <c r="H864" s="18" t="str">
        <f aca="false">IF(OR(B864="",D864=""),"",ROUND((B864+IFERROR(INDEX(Hizmetler!$B$5:$B$54,MATCH(D864,Hizmetler!$A$5:$A$54,0)),0)/1440)*1440,0)/1440)</f>
        <v/>
      </c>
      <c r="I864" s="19" t="str">
        <f aca="false">IF(OR(A864="",H864="",E864="İptal"),"",IF(COUNTIFS($A$5:$A$1004,A864,$B$5:$B$1004,"&lt;"&amp;(H864-0.0003),$H$5:$H$1004,"&gt;"&amp;(B864+0.0003),$E$5:$E$1004,"&lt;&gt;İptal")&gt;1,"Çakışıyor",""))</f>
        <v/>
      </c>
      <c r="J864" s="21" t="str">
        <f aca="false">IF(AND(A864=Gün!$C$3,B864&lt;&gt;"",E864&lt;&gt;"İptal"),B864+ROW()/100000000,"")</f>
        <v/>
      </c>
    </row>
    <row r="865" customFormat="false" ht="15" hidden="false" customHeight="false" outlineLevel="0" collapsed="false">
      <c r="A865" s="12"/>
      <c r="B865" s="13"/>
      <c r="C865" s="14"/>
      <c r="D865" s="14"/>
      <c r="E865" s="15"/>
      <c r="F865" s="16"/>
      <c r="G865" s="17" t="str">
        <f aca="false">IF(D865="","",IF(E865="Geldi",IF(F865="",IFERROR(INDEX(Hizmetler!$C$5:$C$54,MATCH(D865,Hizmetler!$A$5:$A$54,0)),0),F865),0))</f>
        <v/>
      </c>
      <c r="H865" s="18" t="str">
        <f aca="false">IF(OR(B865="",D865=""),"",ROUND((B865+IFERROR(INDEX(Hizmetler!$B$5:$B$54,MATCH(D865,Hizmetler!$A$5:$A$54,0)),0)/1440)*1440,0)/1440)</f>
        <v/>
      </c>
      <c r="I865" s="19" t="str">
        <f aca="false">IF(OR(A865="",H865="",E865="İptal"),"",IF(COUNTIFS($A$5:$A$1004,A865,$B$5:$B$1004,"&lt;"&amp;(H865-0.0003),$H$5:$H$1004,"&gt;"&amp;(B865+0.0003),$E$5:$E$1004,"&lt;&gt;İptal")&gt;1,"Çakışıyor",""))</f>
        <v/>
      </c>
      <c r="J865" s="21" t="str">
        <f aca="false">IF(AND(A865=Gün!$C$3,B865&lt;&gt;"",E865&lt;&gt;"İptal"),B865+ROW()/100000000,"")</f>
        <v/>
      </c>
    </row>
    <row r="866" customFormat="false" ht="15" hidden="false" customHeight="false" outlineLevel="0" collapsed="false">
      <c r="A866" s="12"/>
      <c r="B866" s="13"/>
      <c r="C866" s="14"/>
      <c r="D866" s="14"/>
      <c r="E866" s="15"/>
      <c r="F866" s="16"/>
      <c r="G866" s="17" t="str">
        <f aca="false">IF(D866="","",IF(E866="Geldi",IF(F866="",IFERROR(INDEX(Hizmetler!$C$5:$C$54,MATCH(D866,Hizmetler!$A$5:$A$54,0)),0),F866),0))</f>
        <v/>
      </c>
      <c r="H866" s="18" t="str">
        <f aca="false">IF(OR(B866="",D866=""),"",ROUND((B866+IFERROR(INDEX(Hizmetler!$B$5:$B$54,MATCH(D866,Hizmetler!$A$5:$A$54,0)),0)/1440)*1440,0)/1440)</f>
        <v/>
      </c>
      <c r="I866" s="19" t="str">
        <f aca="false">IF(OR(A866="",H866="",E866="İptal"),"",IF(COUNTIFS($A$5:$A$1004,A866,$B$5:$B$1004,"&lt;"&amp;(H866-0.0003),$H$5:$H$1004,"&gt;"&amp;(B866+0.0003),$E$5:$E$1004,"&lt;&gt;İptal")&gt;1,"Çakışıyor",""))</f>
        <v/>
      </c>
      <c r="J866" s="21" t="str">
        <f aca="false">IF(AND(A866=Gün!$C$3,B866&lt;&gt;"",E866&lt;&gt;"İptal"),B866+ROW()/100000000,"")</f>
        <v/>
      </c>
    </row>
    <row r="867" customFormat="false" ht="15" hidden="false" customHeight="false" outlineLevel="0" collapsed="false">
      <c r="A867" s="12"/>
      <c r="B867" s="13"/>
      <c r="C867" s="14"/>
      <c r="D867" s="14"/>
      <c r="E867" s="15"/>
      <c r="F867" s="16"/>
      <c r="G867" s="17" t="str">
        <f aca="false">IF(D867="","",IF(E867="Geldi",IF(F867="",IFERROR(INDEX(Hizmetler!$C$5:$C$54,MATCH(D867,Hizmetler!$A$5:$A$54,0)),0),F867),0))</f>
        <v/>
      </c>
      <c r="H867" s="18" t="str">
        <f aca="false">IF(OR(B867="",D867=""),"",ROUND((B867+IFERROR(INDEX(Hizmetler!$B$5:$B$54,MATCH(D867,Hizmetler!$A$5:$A$54,0)),0)/1440)*1440,0)/1440)</f>
        <v/>
      </c>
      <c r="I867" s="19" t="str">
        <f aca="false">IF(OR(A867="",H867="",E867="İptal"),"",IF(COUNTIFS($A$5:$A$1004,A867,$B$5:$B$1004,"&lt;"&amp;(H867-0.0003),$H$5:$H$1004,"&gt;"&amp;(B867+0.0003),$E$5:$E$1004,"&lt;&gt;İptal")&gt;1,"Çakışıyor",""))</f>
        <v/>
      </c>
      <c r="J867" s="21" t="str">
        <f aca="false">IF(AND(A867=Gün!$C$3,B867&lt;&gt;"",E867&lt;&gt;"İptal"),B867+ROW()/100000000,"")</f>
        <v/>
      </c>
    </row>
    <row r="868" customFormat="false" ht="15" hidden="false" customHeight="false" outlineLevel="0" collapsed="false">
      <c r="A868" s="12"/>
      <c r="B868" s="13"/>
      <c r="C868" s="14"/>
      <c r="D868" s="14"/>
      <c r="E868" s="15"/>
      <c r="F868" s="16"/>
      <c r="G868" s="17" t="str">
        <f aca="false">IF(D868="","",IF(E868="Geldi",IF(F868="",IFERROR(INDEX(Hizmetler!$C$5:$C$54,MATCH(D868,Hizmetler!$A$5:$A$54,0)),0),F868),0))</f>
        <v/>
      </c>
      <c r="H868" s="18" t="str">
        <f aca="false">IF(OR(B868="",D868=""),"",ROUND((B868+IFERROR(INDEX(Hizmetler!$B$5:$B$54,MATCH(D868,Hizmetler!$A$5:$A$54,0)),0)/1440)*1440,0)/1440)</f>
        <v/>
      </c>
      <c r="I868" s="19" t="str">
        <f aca="false">IF(OR(A868="",H868="",E868="İptal"),"",IF(COUNTIFS($A$5:$A$1004,A868,$B$5:$B$1004,"&lt;"&amp;(H868-0.0003),$H$5:$H$1004,"&gt;"&amp;(B868+0.0003),$E$5:$E$1004,"&lt;&gt;İptal")&gt;1,"Çakışıyor",""))</f>
        <v/>
      </c>
      <c r="J868" s="21" t="str">
        <f aca="false">IF(AND(A868=Gün!$C$3,B868&lt;&gt;"",E868&lt;&gt;"İptal"),B868+ROW()/100000000,"")</f>
        <v/>
      </c>
    </row>
    <row r="869" customFormat="false" ht="15" hidden="false" customHeight="false" outlineLevel="0" collapsed="false">
      <c r="A869" s="12"/>
      <c r="B869" s="13"/>
      <c r="C869" s="14"/>
      <c r="D869" s="14"/>
      <c r="E869" s="15"/>
      <c r="F869" s="16"/>
      <c r="G869" s="17" t="str">
        <f aca="false">IF(D869="","",IF(E869="Geldi",IF(F869="",IFERROR(INDEX(Hizmetler!$C$5:$C$54,MATCH(D869,Hizmetler!$A$5:$A$54,0)),0),F869),0))</f>
        <v/>
      </c>
      <c r="H869" s="18" t="str">
        <f aca="false">IF(OR(B869="",D869=""),"",ROUND((B869+IFERROR(INDEX(Hizmetler!$B$5:$B$54,MATCH(D869,Hizmetler!$A$5:$A$54,0)),0)/1440)*1440,0)/1440)</f>
        <v/>
      </c>
      <c r="I869" s="19" t="str">
        <f aca="false">IF(OR(A869="",H869="",E869="İptal"),"",IF(COUNTIFS($A$5:$A$1004,A869,$B$5:$B$1004,"&lt;"&amp;(H869-0.0003),$H$5:$H$1004,"&gt;"&amp;(B869+0.0003),$E$5:$E$1004,"&lt;&gt;İptal")&gt;1,"Çakışıyor",""))</f>
        <v/>
      </c>
      <c r="J869" s="21" t="str">
        <f aca="false">IF(AND(A869=Gün!$C$3,B869&lt;&gt;"",E869&lt;&gt;"İptal"),B869+ROW()/100000000,"")</f>
        <v/>
      </c>
    </row>
    <row r="870" customFormat="false" ht="15" hidden="false" customHeight="false" outlineLevel="0" collapsed="false">
      <c r="A870" s="12"/>
      <c r="B870" s="13"/>
      <c r="C870" s="14"/>
      <c r="D870" s="14"/>
      <c r="E870" s="15"/>
      <c r="F870" s="16"/>
      <c r="G870" s="17" t="str">
        <f aca="false">IF(D870="","",IF(E870="Geldi",IF(F870="",IFERROR(INDEX(Hizmetler!$C$5:$C$54,MATCH(D870,Hizmetler!$A$5:$A$54,0)),0),F870),0))</f>
        <v/>
      </c>
      <c r="H870" s="18" t="str">
        <f aca="false">IF(OR(B870="",D870=""),"",ROUND((B870+IFERROR(INDEX(Hizmetler!$B$5:$B$54,MATCH(D870,Hizmetler!$A$5:$A$54,0)),0)/1440)*1440,0)/1440)</f>
        <v/>
      </c>
      <c r="I870" s="19" t="str">
        <f aca="false">IF(OR(A870="",H870="",E870="İptal"),"",IF(COUNTIFS($A$5:$A$1004,A870,$B$5:$B$1004,"&lt;"&amp;(H870-0.0003),$H$5:$H$1004,"&gt;"&amp;(B870+0.0003),$E$5:$E$1004,"&lt;&gt;İptal")&gt;1,"Çakışıyor",""))</f>
        <v/>
      </c>
      <c r="J870" s="21" t="str">
        <f aca="false">IF(AND(A870=Gün!$C$3,B870&lt;&gt;"",E870&lt;&gt;"İptal"),B870+ROW()/100000000,"")</f>
        <v/>
      </c>
    </row>
    <row r="871" customFormat="false" ht="15" hidden="false" customHeight="false" outlineLevel="0" collapsed="false">
      <c r="A871" s="12"/>
      <c r="B871" s="13"/>
      <c r="C871" s="14"/>
      <c r="D871" s="14"/>
      <c r="E871" s="15"/>
      <c r="F871" s="16"/>
      <c r="G871" s="17" t="str">
        <f aca="false">IF(D871="","",IF(E871="Geldi",IF(F871="",IFERROR(INDEX(Hizmetler!$C$5:$C$54,MATCH(D871,Hizmetler!$A$5:$A$54,0)),0),F871),0))</f>
        <v/>
      </c>
      <c r="H871" s="18" t="str">
        <f aca="false">IF(OR(B871="",D871=""),"",ROUND((B871+IFERROR(INDEX(Hizmetler!$B$5:$B$54,MATCH(D871,Hizmetler!$A$5:$A$54,0)),0)/1440)*1440,0)/1440)</f>
        <v/>
      </c>
      <c r="I871" s="19" t="str">
        <f aca="false">IF(OR(A871="",H871="",E871="İptal"),"",IF(COUNTIFS($A$5:$A$1004,A871,$B$5:$B$1004,"&lt;"&amp;(H871-0.0003),$H$5:$H$1004,"&gt;"&amp;(B871+0.0003),$E$5:$E$1004,"&lt;&gt;İptal")&gt;1,"Çakışıyor",""))</f>
        <v/>
      </c>
      <c r="J871" s="21" t="str">
        <f aca="false">IF(AND(A871=Gün!$C$3,B871&lt;&gt;"",E871&lt;&gt;"İptal"),B871+ROW()/100000000,"")</f>
        <v/>
      </c>
    </row>
    <row r="872" customFormat="false" ht="15" hidden="false" customHeight="false" outlineLevel="0" collapsed="false">
      <c r="A872" s="12"/>
      <c r="B872" s="13"/>
      <c r="C872" s="14"/>
      <c r="D872" s="14"/>
      <c r="E872" s="15"/>
      <c r="F872" s="16"/>
      <c r="G872" s="17" t="str">
        <f aca="false">IF(D872="","",IF(E872="Geldi",IF(F872="",IFERROR(INDEX(Hizmetler!$C$5:$C$54,MATCH(D872,Hizmetler!$A$5:$A$54,0)),0),F872),0))</f>
        <v/>
      </c>
      <c r="H872" s="18" t="str">
        <f aca="false">IF(OR(B872="",D872=""),"",ROUND((B872+IFERROR(INDEX(Hizmetler!$B$5:$B$54,MATCH(D872,Hizmetler!$A$5:$A$54,0)),0)/1440)*1440,0)/1440)</f>
        <v/>
      </c>
      <c r="I872" s="19" t="str">
        <f aca="false">IF(OR(A872="",H872="",E872="İptal"),"",IF(COUNTIFS($A$5:$A$1004,A872,$B$5:$B$1004,"&lt;"&amp;(H872-0.0003),$H$5:$H$1004,"&gt;"&amp;(B872+0.0003),$E$5:$E$1004,"&lt;&gt;İptal")&gt;1,"Çakışıyor",""))</f>
        <v/>
      </c>
      <c r="J872" s="21" t="str">
        <f aca="false">IF(AND(A872=Gün!$C$3,B872&lt;&gt;"",E872&lt;&gt;"İptal"),B872+ROW()/100000000,"")</f>
        <v/>
      </c>
    </row>
    <row r="873" customFormat="false" ht="15" hidden="false" customHeight="false" outlineLevel="0" collapsed="false">
      <c r="A873" s="12"/>
      <c r="B873" s="13"/>
      <c r="C873" s="14"/>
      <c r="D873" s="14"/>
      <c r="E873" s="15"/>
      <c r="F873" s="16"/>
      <c r="G873" s="17" t="str">
        <f aca="false">IF(D873="","",IF(E873="Geldi",IF(F873="",IFERROR(INDEX(Hizmetler!$C$5:$C$54,MATCH(D873,Hizmetler!$A$5:$A$54,0)),0),F873),0))</f>
        <v/>
      </c>
      <c r="H873" s="18" t="str">
        <f aca="false">IF(OR(B873="",D873=""),"",ROUND((B873+IFERROR(INDEX(Hizmetler!$B$5:$B$54,MATCH(D873,Hizmetler!$A$5:$A$54,0)),0)/1440)*1440,0)/1440)</f>
        <v/>
      </c>
      <c r="I873" s="19" t="str">
        <f aca="false">IF(OR(A873="",H873="",E873="İptal"),"",IF(COUNTIFS($A$5:$A$1004,A873,$B$5:$B$1004,"&lt;"&amp;(H873-0.0003),$H$5:$H$1004,"&gt;"&amp;(B873+0.0003),$E$5:$E$1004,"&lt;&gt;İptal")&gt;1,"Çakışıyor",""))</f>
        <v/>
      </c>
      <c r="J873" s="21" t="str">
        <f aca="false">IF(AND(A873=Gün!$C$3,B873&lt;&gt;"",E873&lt;&gt;"İptal"),B873+ROW()/100000000,"")</f>
        <v/>
      </c>
    </row>
    <row r="874" customFormat="false" ht="15" hidden="false" customHeight="false" outlineLevel="0" collapsed="false">
      <c r="A874" s="12"/>
      <c r="B874" s="13"/>
      <c r="C874" s="14"/>
      <c r="D874" s="14"/>
      <c r="E874" s="15"/>
      <c r="F874" s="16"/>
      <c r="G874" s="17" t="str">
        <f aca="false">IF(D874="","",IF(E874="Geldi",IF(F874="",IFERROR(INDEX(Hizmetler!$C$5:$C$54,MATCH(D874,Hizmetler!$A$5:$A$54,0)),0),F874),0))</f>
        <v/>
      </c>
      <c r="H874" s="18" t="str">
        <f aca="false">IF(OR(B874="",D874=""),"",ROUND((B874+IFERROR(INDEX(Hizmetler!$B$5:$B$54,MATCH(D874,Hizmetler!$A$5:$A$54,0)),0)/1440)*1440,0)/1440)</f>
        <v/>
      </c>
      <c r="I874" s="19" t="str">
        <f aca="false">IF(OR(A874="",H874="",E874="İptal"),"",IF(COUNTIFS($A$5:$A$1004,A874,$B$5:$B$1004,"&lt;"&amp;(H874-0.0003),$H$5:$H$1004,"&gt;"&amp;(B874+0.0003),$E$5:$E$1004,"&lt;&gt;İptal")&gt;1,"Çakışıyor",""))</f>
        <v/>
      </c>
      <c r="J874" s="21" t="str">
        <f aca="false">IF(AND(A874=Gün!$C$3,B874&lt;&gt;"",E874&lt;&gt;"İptal"),B874+ROW()/100000000,"")</f>
        <v/>
      </c>
    </row>
    <row r="875" customFormat="false" ht="15" hidden="false" customHeight="false" outlineLevel="0" collapsed="false">
      <c r="A875" s="12"/>
      <c r="B875" s="13"/>
      <c r="C875" s="14"/>
      <c r="D875" s="14"/>
      <c r="E875" s="15"/>
      <c r="F875" s="16"/>
      <c r="G875" s="17" t="str">
        <f aca="false">IF(D875="","",IF(E875="Geldi",IF(F875="",IFERROR(INDEX(Hizmetler!$C$5:$C$54,MATCH(D875,Hizmetler!$A$5:$A$54,0)),0),F875),0))</f>
        <v/>
      </c>
      <c r="H875" s="18" t="str">
        <f aca="false">IF(OR(B875="",D875=""),"",ROUND((B875+IFERROR(INDEX(Hizmetler!$B$5:$B$54,MATCH(D875,Hizmetler!$A$5:$A$54,0)),0)/1440)*1440,0)/1440)</f>
        <v/>
      </c>
      <c r="I875" s="19" t="str">
        <f aca="false">IF(OR(A875="",H875="",E875="İptal"),"",IF(COUNTIFS($A$5:$A$1004,A875,$B$5:$B$1004,"&lt;"&amp;(H875-0.0003),$H$5:$H$1004,"&gt;"&amp;(B875+0.0003),$E$5:$E$1004,"&lt;&gt;İptal")&gt;1,"Çakışıyor",""))</f>
        <v/>
      </c>
      <c r="J875" s="21" t="str">
        <f aca="false">IF(AND(A875=Gün!$C$3,B875&lt;&gt;"",E875&lt;&gt;"İptal"),B875+ROW()/100000000,"")</f>
        <v/>
      </c>
    </row>
    <row r="876" customFormat="false" ht="15" hidden="false" customHeight="false" outlineLevel="0" collapsed="false">
      <c r="A876" s="12"/>
      <c r="B876" s="13"/>
      <c r="C876" s="14"/>
      <c r="D876" s="14"/>
      <c r="E876" s="15"/>
      <c r="F876" s="16"/>
      <c r="G876" s="17" t="str">
        <f aca="false">IF(D876="","",IF(E876="Geldi",IF(F876="",IFERROR(INDEX(Hizmetler!$C$5:$C$54,MATCH(D876,Hizmetler!$A$5:$A$54,0)),0),F876),0))</f>
        <v/>
      </c>
      <c r="H876" s="18" t="str">
        <f aca="false">IF(OR(B876="",D876=""),"",ROUND((B876+IFERROR(INDEX(Hizmetler!$B$5:$B$54,MATCH(D876,Hizmetler!$A$5:$A$54,0)),0)/1440)*1440,0)/1440)</f>
        <v/>
      </c>
      <c r="I876" s="19" t="str">
        <f aca="false">IF(OR(A876="",H876="",E876="İptal"),"",IF(COUNTIFS($A$5:$A$1004,A876,$B$5:$B$1004,"&lt;"&amp;(H876-0.0003),$H$5:$H$1004,"&gt;"&amp;(B876+0.0003),$E$5:$E$1004,"&lt;&gt;İptal")&gt;1,"Çakışıyor",""))</f>
        <v/>
      </c>
      <c r="J876" s="21" t="str">
        <f aca="false">IF(AND(A876=Gün!$C$3,B876&lt;&gt;"",E876&lt;&gt;"İptal"),B876+ROW()/100000000,"")</f>
        <v/>
      </c>
    </row>
    <row r="877" customFormat="false" ht="15" hidden="false" customHeight="false" outlineLevel="0" collapsed="false">
      <c r="A877" s="12"/>
      <c r="B877" s="13"/>
      <c r="C877" s="14"/>
      <c r="D877" s="14"/>
      <c r="E877" s="15"/>
      <c r="F877" s="16"/>
      <c r="G877" s="17" t="str">
        <f aca="false">IF(D877="","",IF(E877="Geldi",IF(F877="",IFERROR(INDEX(Hizmetler!$C$5:$C$54,MATCH(D877,Hizmetler!$A$5:$A$54,0)),0),F877),0))</f>
        <v/>
      </c>
      <c r="H877" s="18" t="str">
        <f aca="false">IF(OR(B877="",D877=""),"",ROUND((B877+IFERROR(INDEX(Hizmetler!$B$5:$B$54,MATCH(D877,Hizmetler!$A$5:$A$54,0)),0)/1440)*1440,0)/1440)</f>
        <v/>
      </c>
      <c r="I877" s="19" t="str">
        <f aca="false">IF(OR(A877="",H877="",E877="İptal"),"",IF(COUNTIFS($A$5:$A$1004,A877,$B$5:$B$1004,"&lt;"&amp;(H877-0.0003),$H$5:$H$1004,"&gt;"&amp;(B877+0.0003),$E$5:$E$1004,"&lt;&gt;İptal")&gt;1,"Çakışıyor",""))</f>
        <v/>
      </c>
      <c r="J877" s="21" t="str">
        <f aca="false">IF(AND(A877=Gün!$C$3,B877&lt;&gt;"",E877&lt;&gt;"İptal"),B877+ROW()/100000000,"")</f>
        <v/>
      </c>
    </row>
    <row r="878" customFormat="false" ht="15" hidden="false" customHeight="false" outlineLevel="0" collapsed="false">
      <c r="A878" s="12"/>
      <c r="B878" s="13"/>
      <c r="C878" s="14"/>
      <c r="D878" s="14"/>
      <c r="E878" s="15"/>
      <c r="F878" s="16"/>
      <c r="G878" s="17" t="str">
        <f aca="false">IF(D878="","",IF(E878="Geldi",IF(F878="",IFERROR(INDEX(Hizmetler!$C$5:$C$54,MATCH(D878,Hizmetler!$A$5:$A$54,0)),0),F878),0))</f>
        <v/>
      </c>
      <c r="H878" s="18" t="str">
        <f aca="false">IF(OR(B878="",D878=""),"",ROUND((B878+IFERROR(INDEX(Hizmetler!$B$5:$B$54,MATCH(D878,Hizmetler!$A$5:$A$54,0)),0)/1440)*1440,0)/1440)</f>
        <v/>
      </c>
      <c r="I878" s="19" t="str">
        <f aca="false">IF(OR(A878="",H878="",E878="İptal"),"",IF(COUNTIFS($A$5:$A$1004,A878,$B$5:$B$1004,"&lt;"&amp;(H878-0.0003),$H$5:$H$1004,"&gt;"&amp;(B878+0.0003),$E$5:$E$1004,"&lt;&gt;İptal")&gt;1,"Çakışıyor",""))</f>
        <v/>
      </c>
      <c r="J878" s="21" t="str">
        <f aca="false">IF(AND(A878=Gün!$C$3,B878&lt;&gt;"",E878&lt;&gt;"İptal"),B878+ROW()/100000000,"")</f>
        <v/>
      </c>
    </row>
    <row r="879" customFormat="false" ht="15" hidden="false" customHeight="false" outlineLevel="0" collapsed="false">
      <c r="A879" s="12"/>
      <c r="B879" s="13"/>
      <c r="C879" s="14"/>
      <c r="D879" s="14"/>
      <c r="E879" s="15"/>
      <c r="F879" s="16"/>
      <c r="G879" s="17" t="str">
        <f aca="false">IF(D879="","",IF(E879="Geldi",IF(F879="",IFERROR(INDEX(Hizmetler!$C$5:$C$54,MATCH(D879,Hizmetler!$A$5:$A$54,0)),0),F879),0))</f>
        <v/>
      </c>
      <c r="H879" s="18" t="str">
        <f aca="false">IF(OR(B879="",D879=""),"",ROUND((B879+IFERROR(INDEX(Hizmetler!$B$5:$B$54,MATCH(D879,Hizmetler!$A$5:$A$54,0)),0)/1440)*1440,0)/1440)</f>
        <v/>
      </c>
      <c r="I879" s="19" t="str">
        <f aca="false">IF(OR(A879="",H879="",E879="İptal"),"",IF(COUNTIFS($A$5:$A$1004,A879,$B$5:$B$1004,"&lt;"&amp;(H879-0.0003),$H$5:$H$1004,"&gt;"&amp;(B879+0.0003),$E$5:$E$1004,"&lt;&gt;İptal")&gt;1,"Çakışıyor",""))</f>
        <v/>
      </c>
      <c r="J879" s="21" t="str">
        <f aca="false">IF(AND(A879=Gün!$C$3,B879&lt;&gt;"",E879&lt;&gt;"İptal"),B879+ROW()/100000000,"")</f>
        <v/>
      </c>
    </row>
    <row r="880" customFormat="false" ht="15" hidden="false" customHeight="false" outlineLevel="0" collapsed="false">
      <c r="A880" s="12"/>
      <c r="B880" s="13"/>
      <c r="C880" s="14"/>
      <c r="D880" s="14"/>
      <c r="E880" s="15"/>
      <c r="F880" s="16"/>
      <c r="G880" s="17" t="str">
        <f aca="false">IF(D880="","",IF(E880="Geldi",IF(F880="",IFERROR(INDEX(Hizmetler!$C$5:$C$54,MATCH(D880,Hizmetler!$A$5:$A$54,0)),0),F880),0))</f>
        <v/>
      </c>
      <c r="H880" s="18" t="str">
        <f aca="false">IF(OR(B880="",D880=""),"",ROUND((B880+IFERROR(INDEX(Hizmetler!$B$5:$B$54,MATCH(D880,Hizmetler!$A$5:$A$54,0)),0)/1440)*1440,0)/1440)</f>
        <v/>
      </c>
      <c r="I880" s="19" t="str">
        <f aca="false">IF(OR(A880="",H880="",E880="İptal"),"",IF(COUNTIFS($A$5:$A$1004,A880,$B$5:$B$1004,"&lt;"&amp;(H880-0.0003),$H$5:$H$1004,"&gt;"&amp;(B880+0.0003),$E$5:$E$1004,"&lt;&gt;İptal")&gt;1,"Çakışıyor",""))</f>
        <v/>
      </c>
      <c r="J880" s="21" t="str">
        <f aca="false">IF(AND(A880=Gün!$C$3,B880&lt;&gt;"",E880&lt;&gt;"İptal"),B880+ROW()/100000000,"")</f>
        <v/>
      </c>
    </row>
    <row r="881" customFormat="false" ht="15" hidden="false" customHeight="false" outlineLevel="0" collapsed="false">
      <c r="A881" s="12"/>
      <c r="B881" s="13"/>
      <c r="C881" s="14"/>
      <c r="D881" s="14"/>
      <c r="E881" s="15"/>
      <c r="F881" s="16"/>
      <c r="G881" s="17" t="str">
        <f aca="false">IF(D881="","",IF(E881="Geldi",IF(F881="",IFERROR(INDEX(Hizmetler!$C$5:$C$54,MATCH(D881,Hizmetler!$A$5:$A$54,0)),0),F881),0))</f>
        <v/>
      </c>
      <c r="H881" s="18" t="str">
        <f aca="false">IF(OR(B881="",D881=""),"",ROUND((B881+IFERROR(INDEX(Hizmetler!$B$5:$B$54,MATCH(D881,Hizmetler!$A$5:$A$54,0)),0)/1440)*1440,0)/1440)</f>
        <v/>
      </c>
      <c r="I881" s="19" t="str">
        <f aca="false">IF(OR(A881="",H881="",E881="İptal"),"",IF(COUNTIFS($A$5:$A$1004,A881,$B$5:$B$1004,"&lt;"&amp;(H881-0.0003),$H$5:$H$1004,"&gt;"&amp;(B881+0.0003),$E$5:$E$1004,"&lt;&gt;İptal")&gt;1,"Çakışıyor",""))</f>
        <v/>
      </c>
      <c r="J881" s="21" t="str">
        <f aca="false">IF(AND(A881=Gün!$C$3,B881&lt;&gt;"",E881&lt;&gt;"İptal"),B881+ROW()/100000000,"")</f>
        <v/>
      </c>
    </row>
    <row r="882" customFormat="false" ht="15" hidden="false" customHeight="false" outlineLevel="0" collapsed="false">
      <c r="A882" s="12"/>
      <c r="B882" s="13"/>
      <c r="C882" s="14"/>
      <c r="D882" s="14"/>
      <c r="E882" s="15"/>
      <c r="F882" s="16"/>
      <c r="G882" s="17" t="str">
        <f aca="false">IF(D882="","",IF(E882="Geldi",IF(F882="",IFERROR(INDEX(Hizmetler!$C$5:$C$54,MATCH(D882,Hizmetler!$A$5:$A$54,0)),0),F882),0))</f>
        <v/>
      </c>
      <c r="H882" s="18" t="str">
        <f aca="false">IF(OR(B882="",D882=""),"",ROUND((B882+IFERROR(INDEX(Hizmetler!$B$5:$B$54,MATCH(D882,Hizmetler!$A$5:$A$54,0)),0)/1440)*1440,0)/1440)</f>
        <v/>
      </c>
      <c r="I882" s="19" t="str">
        <f aca="false">IF(OR(A882="",H882="",E882="İptal"),"",IF(COUNTIFS($A$5:$A$1004,A882,$B$5:$B$1004,"&lt;"&amp;(H882-0.0003),$H$5:$H$1004,"&gt;"&amp;(B882+0.0003),$E$5:$E$1004,"&lt;&gt;İptal")&gt;1,"Çakışıyor",""))</f>
        <v/>
      </c>
      <c r="J882" s="21" t="str">
        <f aca="false">IF(AND(A882=Gün!$C$3,B882&lt;&gt;"",E882&lt;&gt;"İptal"),B882+ROW()/100000000,"")</f>
        <v/>
      </c>
    </row>
    <row r="883" customFormat="false" ht="15" hidden="false" customHeight="false" outlineLevel="0" collapsed="false">
      <c r="A883" s="12"/>
      <c r="B883" s="13"/>
      <c r="C883" s="14"/>
      <c r="D883" s="14"/>
      <c r="E883" s="15"/>
      <c r="F883" s="16"/>
      <c r="G883" s="17" t="str">
        <f aca="false">IF(D883="","",IF(E883="Geldi",IF(F883="",IFERROR(INDEX(Hizmetler!$C$5:$C$54,MATCH(D883,Hizmetler!$A$5:$A$54,0)),0),F883),0))</f>
        <v/>
      </c>
      <c r="H883" s="18" t="str">
        <f aca="false">IF(OR(B883="",D883=""),"",ROUND((B883+IFERROR(INDEX(Hizmetler!$B$5:$B$54,MATCH(D883,Hizmetler!$A$5:$A$54,0)),0)/1440)*1440,0)/1440)</f>
        <v/>
      </c>
      <c r="I883" s="19" t="str">
        <f aca="false">IF(OR(A883="",H883="",E883="İptal"),"",IF(COUNTIFS($A$5:$A$1004,A883,$B$5:$B$1004,"&lt;"&amp;(H883-0.0003),$H$5:$H$1004,"&gt;"&amp;(B883+0.0003),$E$5:$E$1004,"&lt;&gt;İptal")&gt;1,"Çakışıyor",""))</f>
        <v/>
      </c>
      <c r="J883" s="21" t="str">
        <f aca="false">IF(AND(A883=Gün!$C$3,B883&lt;&gt;"",E883&lt;&gt;"İptal"),B883+ROW()/100000000,"")</f>
        <v/>
      </c>
    </row>
    <row r="884" customFormat="false" ht="15" hidden="false" customHeight="false" outlineLevel="0" collapsed="false">
      <c r="A884" s="12"/>
      <c r="B884" s="13"/>
      <c r="C884" s="14"/>
      <c r="D884" s="14"/>
      <c r="E884" s="15"/>
      <c r="F884" s="16"/>
      <c r="G884" s="17" t="str">
        <f aca="false">IF(D884="","",IF(E884="Geldi",IF(F884="",IFERROR(INDEX(Hizmetler!$C$5:$C$54,MATCH(D884,Hizmetler!$A$5:$A$54,0)),0),F884),0))</f>
        <v/>
      </c>
      <c r="H884" s="18" t="str">
        <f aca="false">IF(OR(B884="",D884=""),"",ROUND((B884+IFERROR(INDEX(Hizmetler!$B$5:$B$54,MATCH(D884,Hizmetler!$A$5:$A$54,0)),0)/1440)*1440,0)/1440)</f>
        <v/>
      </c>
      <c r="I884" s="19" t="str">
        <f aca="false">IF(OR(A884="",H884="",E884="İptal"),"",IF(COUNTIFS($A$5:$A$1004,A884,$B$5:$B$1004,"&lt;"&amp;(H884-0.0003),$H$5:$H$1004,"&gt;"&amp;(B884+0.0003),$E$5:$E$1004,"&lt;&gt;İptal")&gt;1,"Çakışıyor",""))</f>
        <v/>
      </c>
      <c r="J884" s="21" t="str">
        <f aca="false">IF(AND(A884=Gün!$C$3,B884&lt;&gt;"",E884&lt;&gt;"İptal"),B884+ROW()/100000000,"")</f>
        <v/>
      </c>
    </row>
    <row r="885" customFormat="false" ht="15" hidden="false" customHeight="false" outlineLevel="0" collapsed="false">
      <c r="A885" s="12"/>
      <c r="B885" s="13"/>
      <c r="C885" s="14"/>
      <c r="D885" s="14"/>
      <c r="E885" s="15"/>
      <c r="F885" s="16"/>
      <c r="G885" s="17" t="str">
        <f aca="false">IF(D885="","",IF(E885="Geldi",IF(F885="",IFERROR(INDEX(Hizmetler!$C$5:$C$54,MATCH(D885,Hizmetler!$A$5:$A$54,0)),0),F885),0))</f>
        <v/>
      </c>
      <c r="H885" s="18" t="str">
        <f aca="false">IF(OR(B885="",D885=""),"",ROUND((B885+IFERROR(INDEX(Hizmetler!$B$5:$B$54,MATCH(D885,Hizmetler!$A$5:$A$54,0)),0)/1440)*1440,0)/1440)</f>
        <v/>
      </c>
      <c r="I885" s="19" t="str">
        <f aca="false">IF(OR(A885="",H885="",E885="İptal"),"",IF(COUNTIFS($A$5:$A$1004,A885,$B$5:$B$1004,"&lt;"&amp;(H885-0.0003),$H$5:$H$1004,"&gt;"&amp;(B885+0.0003),$E$5:$E$1004,"&lt;&gt;İptal")&gt;1,"Çakışıyor",""))</f>
        <v/>
      </c>
      <c r="J885" s="21" t="str">
        <f aca="false">IF(AND(A885=Gün!$C$3,B885&lt;&gt;"",E885&lt;&gt;"İptal"),B885+ROW()/100000000,"")</f>
        <v/>
      </c>
    </row>
    <row r="886" customFormat="false" ht="15" hidden="false" customHeight="false" outlineLevel="0" collapsed="false">
      <c r="A886" s="12"/>
      <c r="B886" s="13"/>
      <c r="C886" s="14"/>
      <c r="D886" s="14"/>
      <c r="E886" s="15"/>
      <c r="F886" s="16"/>
      <c r="G886" s="17" t="str">
        <f aca="false">IF(D886="","",IF(E886="Geldi",IF(F886="",IFERROR(INDEX(Hizmetler!$C$5:$C$54,MATCH(D886,Hizmetler!$A$5:$A$54,0)),0),F886),0))</f>
        <v/>
      </c>
      <c r="H886" s="18" t="str">
        <f aca="false">IF(OR(B886="",D886=""),"",ROUND((B886+IFERROR(INDEX(Hizmetler!$B$5:$B$54,MATCH(D886,Hizmetler!$A$5:$A$54,0)),0)/1440)*1440,0)/1440)</f>
        <v/>
      </c>
      <c r="I886" s="19" t="str">
        <f aca="false">IF(OR(A886="",H886="",E886="İptal"),"",IF(COUNTIFS($A$5:$A$1004,A886,$B$5:$B$1004,"&lt;"&amp;(H886-0.0003),$H$5:$H$1004,"&gt;"&amp;(B886+0.0003),$E$5:$E$1004,"&lt;&gt;İptal")&gt;1,"Çakışıyor",""))</f>
        <v/>
      </c>
      <c r="J886" s="21" t="str">
        <f aca="false">IF(AND(A886=Gün!$C$3,B886&lt;&gt;"",E886&lt;&gt;"İptal"),B886+ROW()/100000000,"")</f>
        <v/>
      </c>
    </row>
    <row r="887" customFormat="false" ht="15" hidden="false" customHeight="false" outlineLevel="0" collapsed="false">
      <c r="A887" s="12"/>
      <c r="B887" s="13"/>
      <c r="C887" s="14"/>
      <c r="D887" s="14"/>
      <c r="E887" s="15"/>
      <c r="F887" s="16"/>
      <c r="G887" s="17" t="str">
        <f aca="false">IF(D887="","",IF(E887="Geldi",IF(F887="",IFERROR(INDEX(Hizmetler!$C$5:$C$54,MATCH(D887,Hizmetler!$A$5:$A$54,0)),0),F887),0))</f>
        <v/>
      </c>
      <c r="H887" s="18" t="str">
        <f aca="false">IF(OR(B887="",D887=""),"",ROUND((B887+IFERROR(INDEX(Hizmetler!$B$5:$B$54,MATCH(D887,Hizmetler!$A$5:$A$54,0)),0)/1440)*1440,0)/1440)</f>
        <v/>
      </c>
      <c r="I887" s="19" t="str">
        <f aca="false">IF(OR(A887="",H887="",E887="İptal"),"",IF(COUNTIFS($A$5:$A$1004,A887,$B$5:$B$1004,"&lt;"&amp;(H887-0.0003),$H$5:$H$1004,"&gt;"&amp;(B887+0.0003),$E$5:$E$1004,"&lt;&gt;İptal")&gt;1,"Çakışıyor",""))</f>
        <v/>
      </c>
      <c r="J887" s="21" t="str">
        <f aca="false">IF(AND(A887=Gün!$C$3,B887&lt;&gt;"",E887&lt;&gt;"İptal"),B887+ROW()/100000000,"")</f>
        <v/>
      </c>
    </row>
    <row r="888" customFormat="false" ht="15" hidden="false" customHeight="false" outlineLevel="0" collapsed="false">
      <c r="A888" s="12"/>
      <c r="B888" s="13"/>
      <c r="C888" s="14"/>
      <c r="D888" s="14"/>
      <c r="E888" s="15"/>
      <c r="F888" s="16"/>
      <c r="G888" s="17" t="str">
        <f aca="false">IF(D888="","",IF(E888="Geldi",IF(F888="",IFERROR(INDEX(Hizmetler!$C$5:$C$54,MATCH(D888,Hizmetler!$A$5:$A$54,0)),0),F888),0))</f>
        <v/>
      </c>
      <c r="H888" s="18" t="str">
        <f aca="false">IF(OR(B888="",D888=""),"",ROUND((B888+IFERROR(INDEX(Hizmetler!$B$5:$B$54,MATCH(D888,Hizmetler!$A$5:$A$54,0)),0)/1440)*1440,0)/1440)</f>
        <v/>
      </c>
      <c r="I888" s="19" t="str">
        <f aca="false">IF(OR(A888="",H888="",E888="İptal"),"",IF(COUNTIFS($A$5:$A$1004,A888,$B$5:$B$1004,"&lt;"&amp;(H888-0.0003),$H$5:$H$1004,"&gt;"&amp;(B888+0.0003),$E$5:$E$1004,"&lt;&gt;İptal")&gt;1,"Çakışıyor",""))</f>
        <v/>
      </c>
      <c r="J888" s="21" t="str">
        <f aca="false">IF(AND(A888=Gün!$C$3,B888&lt;&gt;"",E888&lt;&gt;"İptal"),B888+ROW()/100000000,"")</f>
        <v/>
      </c>
    </row>
    <row r="889" customFormat="false" ht="15" hidden="false" customHeight="false" outlineLevel="0" collapsed="false">
      <c r="A889" s="12"/>
      <c r="B889" s="13"/>
      <c r="C889" s="14"/>
      <c r="D889" s="14"/>
      <c r="E889" s="15"/>
      <c r="F889" s="16"/>
      <c r="G889" s="17" t="str">
        <f aca="false">IF(D889="","",IF(E889="Geldi",IF(F889="",IFERROR(INDEX(Hizmetler!$C$5:$C$54,MATCH(D889,Hizmetler!$A$5:$A$54,0)),0),F889),0))</f>
        <v/>
      </c>
      <c r="H889" s="18" t="str">
        <f aca="false">IF(OR(B889="",D889=""),"",ROUND((B889+IFERROR(INDEX(Hizmetler!$B$5:$B$54,MATCH(D889,Hizmetler!$A$5:$A$54,0)),0)/1440)*1440,0)/1440)</f>
        <v/>
      </c>
      <c r="I889" s="19" t="str">
        <f aca="false">IF(OR(A889="",H889="",E889="İptal"),"",IF(COUNTIFS($A$5:$A$1004,A889,$B$5:$B$1004,"&lt;"&amp;(H889-0.0003),$H$5:$H$1004,"&gt;"&amp;(B889+0.0003),$E$5:$E$1004,"&lt;&gt;İptal")&gt;1,"Çakışıyor",""))</f>
        <v/>
      </c>
      <c r="J889" s="21" t="str">
        <f aca="false">IF(AND(A889=Gün!$C$3,B889&lt;&gt;"",E889&lt;&gt;"İptal"),B889+ROW()/100000000,"")</f>
        <v/>
      </c>
    </row>
    <row r="890" customFormat="false" ht="15" hidden="false" customHeight="false" outlineLevel="0" collapsed="false">
      <c r="A890" s="12"/>
      <c r="B890" s="13"/>
      <c r="C890" s="14"/>
      <c r="D890" s="14"/>
      <c r="E890" s="15"/>
      <c r="F890" s="16"/>
      <c r="G890" s="17" t="str">
        <f aca="false">IF(D890="","",IF(E890="Geldi",IF(F890="",IFERROR(INDEX(Hizmetler!$C$5:$C$54,MATCH(D890,Hizmetler!$A$5:$A$54,0)),0),F890),0))</f>
        <v/>
      </c>
      <c r="H890" s="18" t="str">
        <f aca="false">IF(OR(B890="",D890=""),"",ROUND((B890+IFERROR(INDEX(Hizmetler!$B$5:$B$54,MATCH(D890,Hizmetler!$A$5:$A$54,0)),0)/1440)*1440,0)/1440)</f>
        <v/>
      </c>
      <c r="I890" s="19" t="str">
        <f aca="false">IF(OR(A890="",H890="",E890="İptal"),"",IF(COUNTIFS($A$5:$A$1004,A890,$B$5:$B$1004,"&lt;"&amp;(H890-0.0003),$H$5:$H$1004,"&gt;"&amp;(B890+0.0003),$E$5:$E$1004,"&lt;&gt;İptal")&gt;1,"Çakışıyor",""))</f>
        <v/>
      </c>
      <c r="J890" s="21" t="str">
        <f aca="false">IF(AND(A890=Gün!$C$3,B890&lt;&gt;"",E890&lt;&gt;"İptal"),B890+ROW()/100000000,"")</f>
        <v/>
      </c>
    </row>
    <row r="891" customFormat="false" ht="15" hidden="false" customHeight="false" outlineLevel="0" collapsed="false">
      <c r="A891" s="12"/>
      <c r="B891" s="13"/>
      <c r="C891" s="14"/>
      <c r="D891" s="14"/>
      <c r="E891" s="15"/>
      <c r="F891" s="16"/>
      <c r="G891" s="17" t="str">
        <f aca="false">IF(D891="","",IF(E891="Geldi",IF(F891="",IFERROR(INDEX(Hizmetler!$C$5:$C$54,MATCH(D891,Hizmetler!$A$5:$A$54,0)),0),F891),0))</f>
        <v/>
      </c>
      <c r="H891" s="18" t="str">
        <f aca="false">IF(OR(B891="",D891=""),"",ROUND((B891+IFERROR(INDEX(Hizmetler!$B$5:$B$54,MATCH(D891,Hizmetler!$A$5:$A$54,0)),0)/1440)*1440,0)/1440)</f>
        <v/>
      </c>
      <c r="I891" s="19" t="str">
        <f aca="false">IF(OR(A891="",H891="",E891="İptal"),"",IF(COUNTIFS($A$5:$A$1004,A891,$B$5:$B$1004,"&lt;"&amp;(H891-0.0003),$H$5:$H$1004,"&gt;"&amp;(B891+0.0003),$E$5:$E$1004,"&lt;&gt;İptal")&gt;1,"Çakışıyor",""))</f>
        <v/>
      </c>
      <c r="J891" s="21" t="str">
        <f aca="false">IF(AND(A891=Gün!$C$3,B891&lt;&gt;"",E891&lt;&gt;"İptal"),B891+ROW()/100000000,"")</f>
        <v/>
      </c>
    </row>
    <row r="892" customFormat="false" ht="15" hidden="false" customHeight="false" outlineLevel="0" collapsed="false">
      <c r="A892" s="12"/>
      <c r="B892" s="13"/>
      <c r="C892" s="14"/>
      <c r="D892" s="14"/>
      <c r="E892" s="15"/>
      <c r="F892" s="16"/>
      <c r="G892" s="17" t="str">
        <f aca="false">IF(D892="","",IF(E892="Geldi",IF(F892="",IFERROR(INDEX(Hizmetler!$C$5:$C$54,MATCH(D892,Hizmetler!$A$5:$A$54,0)),0),F892),0))</f>
        <v/>
      </c>
      <c r="H892" s="18" t="str">
        <f aca="false">IF(OR(B892="",D892=""),"",ROUND((B892+IFERROR(INDEX(Hizmetler!$B$5:$B$54,MATCH(D892,Hizmetler!$A$5:$A$54,0)),0)/1440)*1440,0)/1440)</f>
        <v/>
      </c>
      <c r="I892" s="19" t="str">
        <f aca="false">IF(OR(A892="",H892="",E892="İptal"),"",IF(COUNTIFS($A$5:$A$1004,A892,$B$5:$B$1004,"&lt;"&amp;(H892-0.0003),$H$5:$H$1004,"&gt;"&amp;(B892+0.0003),$E$5:$E$1004,"&lt;&gt;İptal")&gt;1,"Çakışıyor",""))</f>
        <v/>
      </c>
      <c r="J892" s="21" t="str">
        <f aca="false">IF(AND(A892=Gün!$C$3,B892&lt;&gt;"",E892&lt;&gt;"İptal"),B892+ROW()/100000000,"")</f>
        <v/>
      </c>
    </row>
    <row r="893" customFormat="false" ht="15" hidden="false" customHeight="false" outlineLevel="0" collapsed="false">
      <c r="A893" s="12"/>
      <c r="B893" s="13"/>
      <c r="C893" s="14"/>
      <c r="D893" s="14"/>
      <c r="E893" s="15"/>
      <c r="F893" s="16"/>
      <c r="G893" s="17" t="str">
        <f aca="false">IF(D893="","",IF(E893="Geldi",IF(F893="",IFERROR(INDEX(Hizmetler!$C$5:$C$54,MATCH(D893,Hizmetler!$A$5:$A$54,0)),0),F893),0))</f>
        <v/>
      </c>
      <c r="H893" s="18" t="str">
        <f aca="false">IF(OR(B893="",D893=""),"",ROUND((B893+IFERROR(INDEX(Hizmetler!$B$5:$B$54,MATCH(D893,Hizmetler!$A$5:$A$54,0)),0)/1440)*1440,0)/1440)</f>
        <v/>
      </c>
      <c r="I893" s="19" t="str">
        <f aca="false">IF(OR(A893="",H893="",E893="İptal"),"",IF(COUNTIFS($A$5:$A$1004,A893,$B$5:$B$1004,"&lt;"&amp;(H893-0.0003),$H$5:$H$1004,"&gt;"&amp;(B893+0.0003),$E$5:$E$1004,"&lt;&gt;İptal")&gt;1,"Çakışıyor",""))</f>
        <v/>
      </c>
      <c r="J893" s="21" t="str">
        <f aca="false">IF(AND(A893=Gün!$C$3,B893&lt;&gt;"",E893&lt;&gt;"İptal"),B893+ROW()/100000000,"")</f>
        <v/>
      </c>
    </row>
    <row r="894" customFormat="false" ht="15" hidden="false" customHeight="false" outlineLevel="0" collapsed="false">
      <c r="A894" s="12"/>
      <c r="B894" s="13"/>
      <c r="C894" s="14"/>
      <c r="D894" s="14"/>
      <c r="E894" s="15"/>
      <c r="F894" s="16"/>
      <c r="G894" s="17" t="str">
        <f aca="false">IF(D894="","",IF(E894="Geldi",IF(F894="",IFERROR(INDEX(Hizmetler!$C$5:$C$54,MATCH(D894,Hizmetler!$A$5:$A$54,0)),0),F894),0))</f>
        <v/>
      </c>
      <c r="H894" s="18" t="str">
        <f aca="false">IF(OR(B894="",D894=""),"",ROUND((B894+IFERROR(INDEX(Hizmetler!$B$5:$B$54,MATCH(D894,Hizmetler!$A$5:$A$54,0)),0)/1440)*1440,0)/1440)</f>
        <v/>
      </c>
      <c r="I894" s="19" t="str">
        <f aca="false">IF(OR(A894="",H894="",E894="İptal"),"",IF(COUNTIFS($A$5:$A$1004,A894,$B$5:$B$1004,"&lt;"&amp;(H894-0.0003),$H$5:$H$1004,"&gt;"&amp;(B894+0.0003),$E$5:$E$1004,"&lt;&gt;İptal")&gt;1,"Çakışıyor",""))</f>
        <v/>
      </c>
      <c r="J894" s="21" t="str">
        <f aca="false">IF(AND(A894=Gün!$C$3,B894&lt;&gt;"",E894&lt;&gt;"İptal"),B894+ROW()/100000000,"")</f>
        <v/>
      </c>
    </row>
    <row r="895" customFormat="false" ht="15" hidden="false" customHeight="false" outlineLevel="0" collapsed="false">
      <c r="A895" s="12"/>
      <c r="B895" s="13"/>
      <c r="C895" s="14"/>
      <c r="D895" s="14"/>
      <c r="E895" s="15"/>
      <c r="F895" s="16"/>
      <c r="G895" s="17" t="str">
        <f aca="false">IF(D895="","",IF(E895="Geldi",IF(F895="",IFERROR(INDEX(Hizmetler!$C$5:$C$54,MATCH(D895,Hizmetler!$A$5:$A$54,0)),0),F895),0))</f>
        <v/>
      </c>
      <c r="H895" s="18" t="str">
        <f aca="false">IF(OR(B895="",D895=""),"",ROUND((B895+IFERROR(INDEX(Hizmetler!$B$5:$B$54,MATCH(D895,Hizmetler!$A$5:$A$54,0)),0)/1440)*1440,0)/1440)</f>
        <v/>
      </c>
      <c r="I895" s="19" t="str">
        <f aca="false">IF(OR(A895="",H895="",E895="İptal"),"",IF(COUNTIFS($A$5:$A$1004,A895,$B$5:$B$1004,"&lt;"&amp;(H895-0.0003),$H$5:$H$1004,"&gt;"&amp;(B895+0.0003),$E$5:$E$1004,"&lt;&gt;İptal")&gt;1,"Çakışıyor",""))</f>
        <v/>
      </c>
      <c r="J895" s="21" t="str">
        <f aca="false">IF(AND(A895=Gün!$C$3,B895&lt;&gt;"",E895&lt;&gt;"İptal"),B895+ROW()/100000000,"")</f>
        <v/>
      </c>
    </row>
    <row r="896" customFormat="false" ht="15" hidden="false" customHeight="false" outlineLevel="0" collapsed="false">
      <c r="A896" s="12"/>
      <c r="B896" s="13"/>
      <c r="C896" s="14"/>
      <c r="D896" s="14"/>
      <c r="E896" s="15"/>
      <c r="F896" s="16"/>
      <c r="G896" s="17" t="str">
        <f aca="false">IF(D896="","",IF(E896="Geldi",IF(F896="",IFERROR(INDEX(Hizmetler!$C$5:$C$54,MATCH(D896,Hizmetler!$A$5:$A$54,0)),0),F896),0))</f>
        <v/>
      </c>
      <c r="H896" s="18" t="str">
        <f aca="false">IF(OR(B896="",D896=""),"",ROUND((B896+IFERROR(INDEX(Hizmetler!$B$5:$B$54,MATCH(D896,Hizmetler!$A$5:$A$54,0)),0)/1440)*1440,0)/1440)</f>
        <v/>
      </c>
      <c r="I896" s="19" t="str">
        <f aca="false">IF(OR(A896="",H896="",E896="İptal"),"",IF(COUNTIFS($A$5:$A$1004,A896,$B$5:$B$1004,"&lt;"&amp;(H896-0.0003),$H$5:$H$1004,"&gt;"&amp;(B896+0.0003),$E$5:$E$1004,"&lt;&gt;İptal")&gt;1,"Çakışıyor",""))</f>
        <v/>
      </c>
      <c r="J896" s="21" t="str">
        <f aca="false">IF(AND(A896=Gün!$C$3,B896&lt;&gt;"",E896&lt;&gt;"İptal"),B896+ROW()/100000000,"")</f>
        <v/>
      </c>
    </row>
    <row r="897" customFormat="false" ht="15" hidden="false" customHeight="false" outlineLevel="0" collapsed="false">
      <c r="A897" s="12"/>
      <c r="B897" s="13"/>
      <c r="C897" s="14"/>
      <c r="D897" s="14"/>
      <c r="E897" s="15"/>
      <c r="F897" s="16"/>
      <c r="G897" s="17" t="str">
        <f aca="false">IF(D897="","",IF(E897="Geldi",IF(F897="",IFERROR(INDEX(Hizmetler!$C$5:$C$54,MATCH(D897,Hizmetler!$A$5:$A$54,0)),0),F897),0))</f>
        <v/>
      </c>
      <c r="H897" s="18" t="str">
        <f aca="false">IF(OR(B897="",D897=""),"",ROUND((B897+IFERROR(INDEX(Hizmetler!$B$5:$B$54,MATCH(D897,Hizmetler!$A$5:$A$54,0)),0)/1440)*1440,0)/1440)</f>
        <v/>
      </c>
      <c r="I897" s="19" t="str">
        <f aca="false">IF(OR(A897="",H897="",E897="İptal"),"",IF(COUNTIFS($A$5:$A$1004,A897,$B$5:$B$1004,"&lt;"&amp;(H897-0.0003),$H$5:$H$1004,"&gt;"&amp;(B897+0.0003),$E$5:$E$1004,"&lt;&gt;İptal")&gt;1,"Çakışıyor",""))</f>
        <v/>
      </c>
      <c r="J897" s="21" t="str">
        <f aca="false">IF(AND(A897=Gün!$C$3,B897&lt;&gt;"",E897&lt;&gt;"İptal"),B897+ROW()/100000000,"")</f>
        <v/>
      </c>
    </row>
    <row r="898" customFormat="false" ht="15" hidden="false" customHeight="false" outlineLevel="0" collapsed="false">
      <c r="A898" s="12"/>
      <c r="B898" s="13"/>
      <c r="C898" s="14"/>
      <c r="D898" s="14"/>
      <c r="E898" s="15"/>
      <c r="F898" s="16"/>
      <c r="G898" s="17" t="str">
        <f aca="false">IF(D898="","",IF(E898="Geldi",IF(F898="",IFERROR(INDEX(Hizmetler!$C$5:$C$54,MATCH(D898,Hizmetler!$A$5:$A$54,0)),0),F898),0))</f>
        <v/>
      </c>
      <c r="H898" s="18" t="str">
        <f aca="false">IF(OR(B898="",D898=""),"",ROUND((B898+IFERROR(INDEX(Hizmetler!$B$5:$B$54,MATCH(D898,Hizmetler!$A$5:$A$54,0)),0)/1440)*1440,0)/1440)</f>
        <v/>
      </c>
      <c r="I898" s="19" t="str">
        <f aca="false">IF(OR(A898="",H898="",E898="İptal"),"",IF(COUNTIFS($A$5:$A$1004,A898,$B$5:$B$1004,"&lt;"&amp;(H898-0.0003),$H$5:$H$1004,"&gt;"&amp;(B898+0.0003),$E$5:$E$1004,"&lt;&gt;İptal")&gt;1,"Çakışıyor",""))</f>
        <v/>
      </c>
      <c r="J898" s="21" t="str">
        <f aca="false">IF(AND(A898=Gün!$C$3,B898&lt;&gt;"",E898&lt;&gt;"İptal"),B898+ROW()/100000000,"")</f>
        <v/>
      </c>
    </row>
    <row r="899" customFormat="false" ht="15" hidden="false" customHeight="false" outlineLevel="0" collapsed="false">
      <c r="A899" s="12"/>
      <c r="B899" s="13"/>
      <c r="C899" s="14"/>
      <c r="D899" s="14"/>
      <c r="E899" s="15"/>
      <c r="F899" s="16"/>
      <c r="G899" s="17" t="str">
        <f aca="false">IF(D899="","",IF(E899="Geldi",IF(F899="",IFERROR(INDEX(Hizmetler!$C$5:$C$54,MATCH(D899,Hizmetler!$A$5:$A$54,0)),0),F899),0))</f>
        <v/>
      </c>
      <c r="H899" s="18" t="str">
        <f aca="false">IF(OR(B899="",D899=""),"",ROUND((B899+IFERROR(INDEX(Hizmetler!$B$5:$B$54,MATCH(D899,Hizmetler!$A$5:$A$54,0)),0)/1440)*1440,0)/1440)</f>
        <v/>
      </c>
      <c r="I899" s="19" t="str">
        <f aca="false">IF(OR(A899="",H899="",E899="İptal"),"",IF(COUNTIFS($A$5:$A$1004,A899,$B$5:$B$1004,"&lt;"&amp;(H899-0.0003),$H$5:$H$1004,"&gt;"&amp;(B899+0.0003),$E$5:$E$1004,"&lt;&gt;İptal")&gt;1,"Çakışıyor",""))</f>
        <v/>
      </c>
      <c r="J899" s="21" t="str">
        <f aca="false">IF(AND(A899=Gün!$C$3,B899&lt;&gt;"",E899&lt;&gt;"İptal"),B899+ROW()/100000000,"")</f>
        <v/>
      </c>
    </row>
    <row r="900" customFormat="false" ht="15" hidden="false" customHeight="false" outlineLevel="0" collapsed="false">
      <c r="A900" s="12"/>
      <c r="B900" s="13"/>
      <c r="C900" s="14"/>
      <c r="D900" s="14"/>
      <c r="E900" s="15"/>
      <c r="F900" s="16"/>
      <c r="G900" s="17" t="str">
        <f aca="false">IF(D900="","",IF(E900="Geldi",IF(F900="",IFERROR(INDEX(Hizmetler!$C$5:$C$54,MATCH(D900,Hizmetler!$A$5:$A$54,0)),0),F900),0))</f>
        <v/>
      </c>
      <c r="H900" s="18" t="str">
        <f aca="false">IF(OR(B900="",D900=""),"",ROUND((B900+IFERROR(INDEX(Hizmetler!$B$5:$B$54,MATCH(D900,Hizmetler!$A$5:$A$54,0)),0)/1440)*1440,0)/1440)</f>
        <v/>
      </c>
      <c r="I900" s="19" t="str">
        <f aca="false">IF(OR(A900="",H900="",E900="İptal"),"",IF(COUNTIFS($A$5:$A$1004,A900,$B$5:$B$1004,"&lt;"&amp;(H900-0.0003),$H$5:$H$1004,"&gt;"&amp;(B900+0.0003),$E$5:$E$1004,"&lt;&gt;İptal")&gt;1,"Çakışıyor",""))</f>
        <v/>
      </c>
      <c r="J900" s="21" t="str">
        <f aca="false">IF(AND(A900=Gün!$C$3,B900&lt;&gt;"",E900&lt;&gt;"İptal"),B900+ROW()/100000000,"")</f>
        <v/>
      </c>
    </row>
    <row r="901" customFormat="false" ht="15" hidden="false" customHeight="false" outlineLevel="0" collapsed="false">
      <c r="A901" s="12"/>
      <c r="B901" s="13"/>
      <c r="C901" s="14"/>
      <c r="D901" s="14"/>
      <c r="E901" s="15"/>
      <c r="F901" s="16"/>
      <c r="G901" s="17" t="str">
        <f aca="false">IF(D901="","",IF(E901="Geldi",IF(F901="",IFERROR(INDEX(Hizmetler!$C$5:$C$54,MATCH(D901,Hizmetler!$A$5:$A$54,0)),0),F901),0))</f>
        <v/>
      </c>
      <c r="H901" s="18" t="str">
        <f aca="false">IF(OR(B901="",D901=""),"",ROUND((B901+IFERROR(INDEX(Hizmetler!$B$5:$B$54,MATCH(D901,Hizmetler!$A$5:$A$54,0)),0)/1440)*1440,0)/1440)</f>
        <v/>
      </c>
      <c r="I901" s="19" t="str">
        <f aca="false">IF(OR(A901="",H901="",E901="İptal"),"",IF(COUNTIFS($A$5:$A$1004,A901,$B$5:$B$1004,"&lt;"&amp;(H901-0.0003),$H$5:$H$1004,"&gt;"&amp;(B901+0.0003),$E$5:$E$1004,"&lt;&gt;İptal")&gt;1,"Çakışıyor",""))</f>
        <v/>
      </c>
      <c r="J901" s="21" t="str">
        <f aca="false">IF(AND(A901=Gün!$C$3,B901&lt;&gt;"",E901&lt;&gt;"İptal"),B901+ROW()/100000000,"")</f>
        <v/>
      </c>
    </row>
    <row r="902" customFormat="false" ht="15" hidden="false" customHeight="false" outlineLevel="0" collapsed="false">
      <c r="A902" s="12"/>
      <c r="B902" s="13"/>
      <c r="C902" s="14"/>
      <c r="D902" s="14"/>
      <c r="E902" s="15"/>
      <c r="F902" s="16"/>
      <c r="G902" s="17" t="str">
        <f aca="false">IF(D902="","",IF(E902="Geldi",IF(F902="",IFERROR(INDEX(Hizmetler!$C$5:$C$54,MATCH(D902,Hizmetler!$A$5:$A$54,0)),0),F902),0))</f>
        <v/>
      </c>
      <c r="H902" s="18" t="str">
        <f aca="false">IF(OR(B902="",D902=""),"",ROUND((B902+IFERROR(INDEX(Hizmetler!$B$5:$B$54,MATCH(D902,Hizmetler!$A$5:$A$54,0)),0)/1440)*1440,0)/1440)</f>
        <v/>
      </c>
      <c r="I902" s="19" t="str">
        <f aca="false">IF(OR(A902="",H902="",E902="İptal"),"",IF(COUNTIFS($A$5:$A$1004,A902,$B$5:$B$1004,"&lt;"&amp;(H902-0.0003),$H$5:$H$1004,"&gt;"&amp;(B902+0.0003),$E$5:$E$1004,"&lt;&gt;İptal")&gt;1,"Çakışıyor",""))</f>
        <v/>
      </c>
      <c r="J902" s="21" t="str">
        <f aca="false">IF(AND(A902=Gün!$C$3,B902&lt;&gt;"",E902&lt;&gt;"İptal"),B902+ROW()/100000000,"")</f>
        <v/>
      </c>
    </row>
    <row r="903" customFormat="false" ht="15" hidden="false" customHeight="false" outlineLevel="0" collapsed="false">
      <c r="A903" s="12"/>
      <c r="B903" s="13"/>
      <c r="C903" s="14"/>
      <c r="D903" s="14"/>
      <c r="E903" s="15"/>
      <c r="F903" s="16"/>
      <c r="G903" s="17" t="str">
        <f aca="false">IF(D903="","",IF(E903="Geldi",IF(F903="",IFERROR(INDEX(Hizmetler!$C$5:$C$54,MATCH(D903,Hizmetler!$A$5:$A$54,0)),0),F903),0))</f>
        <v/>
      </c>
      <c r="H903" s="18" t="str">
        <f aca="false">IF(OR(B903="",D903=""),"",ROUND((B903+IFERROR(INDEX(Hizmetler!$B$5:$B$54,MATCH(D903,Hizmetler!$A$5:$A$54,0)),0)/1440)*1440,0)/1440)</f>
        <v/>
      </c>
      <c r="I903" s="19" t="str">
        <f aca="false">IF(OR(A903="",H903="",E903="İptal"),"",IF(COUNTIFS($A$5:$A$1004,A903,$B$5:$B$1004,"&lt;"&amp;(H903-0.0003),$H$5:$H$1004,"&gt;"&amp;(B903+0.0003),$E$5:$E$1004,"&lt;&gt;İptal")&gt;1,"Çakışıyor",""))</f>
        <v/>
      </c>
      <c r="J903" s="21" t="str">
        <f aca="false">IF(AND(A903=Gün!$C$3,B903&lt;&gt;"",E903&lt;&gt;"İptal"),B903+ROW()/100000000,"")</f>
        <v/>
      </c>
    </row>
    <row r="904" customFormat="false" ht="15" hidden="false" customHeight="false" outlineLevel="0" collapsed="false">
      <c r="A904" s="12"/>
      <c r="B904" s="13"/>
      <c r="C904" s="14"/>
      <c r="D904" s="14"/>
      <c r="E904" s="15"/>
      <c r="F904" s="16"/>
      <c r="G904" s="17" t="str">
        <f aca="false">IF(D904="","",IF(E904="Geldi",IF(F904="",IFERROR(INDEX(Hizmetler!$C$5:$C$54,MATCH(D904,Hizmetler!$A$5:$A$54,0)),0),F904),0))</f>
        <v/>
      </c>
      <c r="H904" s="18" t="str">
        <f aca="false">IF(OR(B904="",D904=""),"",ROUND((B904+IFERROR(INDEX(Hizmetler!$B$5:$B$54,MATCH(D904,Hizmetler!$A$5:$A$54,0)),0)/1440)*1440,0)/1440)</f>
        <v/>
      </c>
      <c r="I904" s="19" t="str">
        <f aca="false">IF(OR(A904="",H904="",E904="İptal"),"",IF(COUNTIFS($A$5:$A$1004,A904,$B$5:$B$1004,"&lt;"&amp;(H904-0.0003),$H$5:$H$1004,"&gt;"&amp;(B904+0.0003),$E$5:$E$1004,"&lt;&gt;İptal")&gt;1,"Çakışıyor",""))</f>
        <v/>
      </c>
      <c r="J904" s="21" t="str">
        <f aca="false">IF(AND(A904=Gün!$C$3,B904&lt;&gt;"",E904&lt;&gt;"İptal"),B904+ROW()/100000000,"")</f>
        <v/>
      </c>
    </row>
    <row r="905" customFormat="false" ht="15" hidden="false" customHeight="false" outlineLevel="0" collapsed="false">
      <c r="A905" s="12"/>
      <c r="B905" s="13"/>
      <c r="C905" s="14"/>
      <c r="D905" s="14"/>
      <c r="E905" s="15"/>
      <c r="F905" s="16"/>
      <c r="G905" s="17" t="str">
        <f aca="false">IF(D905="","",IF(E905="Geldi",IF(F905="",IFERROR(INDEX(Hizmetler!$C$5:$C$54,MATCH(D905,Hizmetler!$A$5:$A$54,0)),0),F905),0))</f>
        <v/>
      </c>
      <c r="H905" s="18" t="str">
        <f aca="false">IF(OR(B905="",D905=""),"",ROUND((B905+IFERROR(INDEX(Hizmetler!$B$5:$B$54,MATCH(D905,Hizmetler!$A$5:$A$54,0)),0)/1440)*1440,0)/1440)</f>
        <v/>
      </c>
      <c r="I905" s="19" t="str">
        <f aca="false">IF(OR(A905="",H905="",E905="İptal"),"",IF(COUNTIFS($A$5:$A$1004,A905,$B$5:$B$1004,"&lt;"&amp;(H905-0.0003),$H$5:$H$1004,"&gt;"&amp;(B905+0.0003),$E$5:$E$1004,"&lt;&gt;İptal")&gt;1,"Çakışıyor",""))</f>
        <v/>
      </c>
      <c r="J905" s="21" t="str">
        <f aca="false">IF(AND(A905=Gün!$C$3,B905&lt;&gt;"",E905&lt;&gt;"İptal"),B905+ROW()/100000000,"")</f>
        <v/>
      </c>
    </row>
    <row r="906" customFormat="false" ht="15" hidden="false" customHeight="false" outlineLevel="0" collapsed="false">
      <c r="A906" s="12"/>
      <c r="B906" s="13"/>
      <c r="C906" s="14"/>
      <c r="D906" s="14"/>
      <c r="E906" s="15"/>
      <c r="F906" s="16"/>
      <c r="G906" s="17" t="str">
        <f aca="false">IF(D906="","",IF(E906="Geldi",IF(F906="",IFERROR(INDEX(Hizmetler!$C$5:$C$54,MATCH(D906,Hizmetler!$A$5:$A$54,0)),0),F906),0))</f>
        <v/>
      </c>
      <c r="H906" s="18" t="str">
        <f aca="false">IF(OR(B906="",D906=""),"",ROUND((B906+IFERROR(INDEX(Hizmetler!$B$5:$B$54,MATCH(D906,Hizmetler!$A$5:$A$54,0)),0)/1440)*1440,0)/1440)</f>
        <v/>
      </c>
      <c r="I906" s="19" t="str">
        <f aca="false">IF(OR(A906="",H906="",E906="İptal"),"",IF(COUNTIFS($A$5:$A$1004,A906,$B$5:$B$1004,"&lt;"&amp;(H906-0.0003),$H$5:$H$1004,"&gt;"&amp;(B906+0.0003),$E$5:$E$1004,"&lt;&gt;İptal")&gt;1,"Çakışıyor",""))</f>
        <v/>
      </c>
      <c r="J906" s="21" t="str">
        <f aca="false">IF(AND(A906=Gün!$C$3,B906&lt;&gt;"",E906&lt;&gt;"İptal"),B906+ROW()/100000000,"")</f>
        <v/>
      </c>
    </row>
    <row r="907" customFormat="false" ht="15" hidden="false" customHeight="false" outlineLevel="0" collapsed="false">
      <c r="A907" s="12"/>
      <c r="B907" s="13"/>
      <c r="C907" s="14"/>
      <c r="D907" s="14"/>
      <c r="E907" s="15"/>
      <c r="F907" s="16"/>
      <c r="G907" s="17" t="str">
        <f aca="false">IF(D907="","",IF(E907="Geldi",IF(F907="",IFERROR(INDEX(Hizmetler!$C$5:$C$54,MATCH(D907,Hizmetler!$A$5:$A$54,0)),0),F907),0))</f>
        <v/>
      </c>
      <c r="H907" s="18" t="str">
        <f aca="false">IF(OR(B907="",D907=""),"",ROUND((B907+IFERROR(INDEX(Hizmetler!$B$5:$B$54,MATCH(D907,Hizmetler!$A$5:$A$54,0)),0)/1440)*1440,0)/1440)</f>
        <v/>
      </c>
      <c r="I907" s="19" t="str">
        <f aca="false">IF(OR(A907="",H907="",E907="İptal"),"",IF(COUNTIFS($A$5:$A$1004,A907,$B$5:$B$1004,"&lt;"&amp;(H907-0.0003),$H$5:$H$1004,"&gt;"&amp;(B907+0.0003),$E$5:$E$1004,"&lt;&gt;İptal")&gt;1,"Çakışıyor",""))</f>
        <v/>
      </c>
      <c r="J907" s="21" t="str">
        <f aca="false">IF(AND(A907=Gün!$C$3,B907&lt;&gt;"",E907&lt;&gt;"İptal"),B907+ROW()/100000000,"")</f>
        <v/>
      </c>
    </row>
    <row r="908" customFormat="false" ht="15" hidden="false" customHeight="false" outlineLevel="0" collapsed="false">
      <c r="A908" s="12"/>
      <c r="B908" s="13"/>
      <c r="C908" s="14"/>
      <c r="D908" s="14"/>
      <c r="E908" s="15"/>
      <c r="F908" s="16"/>
      <c r="G908" s="17" t="str">
        <f aca="false">IF(D908="","",IF(E908="Geldi",IF(F908="",IFERROR(INDEX(Hizmetler!$C$5:$C$54,MATCH(D908,Hizmetler!$A$5:$A$54,0)),0),F908),0))</f>
        <v/>
      </c>
      <c r="H908" s="18" t="str">
        <f aca="false">IF(OR(B908="",D908=""),"",ROUND((B908+IFERROR(INDEX(Hizmetler!$B$5:$B$54,MATCH(D908,Hizmetler!$A$5:$A$54,0)),0)/1440)*1440,0)/1440)</f>
        <v/>
      </c>
      <c r="I908" s="19" t="str">
        <f aca="false">IF(OR(A908="",H908="",E908="İptal"),"",IF(COUNTIFS($A$5:$A$1004,A908,$B$5:$B$1004,"&lt;"&amp;(H908-0.0003),$H$5:$H$1004,"&gt;"&amp;(B908+0.0003),$E$5:$E$1004,"&lt;&gt;İptal")&gt;1,"Çakışıyor",""))</f>
        <v/>
      </c>
      <c r="J908" s="21" t="str">
        <f aca="false">IF(AND(A908=Gün!$C$3,B908&lt;&gt;"",E908&lt;&gt;"İptal"),B908+ROW()/100000000,"")</f>
        <v/>
      </c>
    </row>
    <row r="909" customFormat="false" ht="15" hidden="false" customHeight="false" outlineLevel="0" collapsed="false">
      <c r="A909" s="12"/>
      <c r="B909" s="13"/>
      <c r="C909" s="14"/>
      <c r="D909" s="14"/>
      <c r="E909" s="15"/>
      <c r="F909" s="16"/>
      <c r="G909" s="17" t="str">
        <f aca="false">IF(D909="","",IF(E909="Geldi",IF(F909="",IFERROR(INDEX(Hizmetler!$C$5:$C$54,MATCH(D909,Hizmetler!$A$5:$A$54,0)),0),F909),0))</f>
        <v/>
      </c>
      <c r="H909" s="18" t="str">
        <f aca="false">IF(OR(B909="",D909=""),"",ROUND((B909+IFERROR(INDEX(Hizmetler!$B$5:$B$54,MATCH(D909,Hizmetler!$A$5:$A$54,0)),0)/1440)*1440,0)/1440)</f>
        <v/>
      </c>
      <c r="I909" s="19" t="str">
        <f aca="false">IF(OR(A909="",H909="",E909="İptal"),"",IF(COUNTIFS($A$5:$A$1004,A909,$B$5:$B$1004,"&lt;"&amp;(H909-0.0003),$H$5:$H$1004,"&gt;"&amp;(B909+0.0003),$E$5:$E$1004,"&lt;&gt;İptal")&gt;1,"Çakışıyor",""))</f>
        <v/>
      </c>
      <c r="J909" s="21" t="str">
        <f aca="false">IF(AND(A909=Gün!$C$3,B909&lt;&gt;"",E909&lt;&gt;"İptal"),B909+ROW()/100000000,"")</f>
        <v/>
      </c>
    </row>
    <row r="910" customFormat="false" ht="15" hidden="false" customHeight="false" outlineLevel="0" collapsed="false">
      <c r="A910" s="12"/>
      <c r="B910" s="13"/>
      <c r="C910" s="14"/>
      <c r="D910" s="14"/>
      <c r="E910" s="15"/>
      <c r="F910" s="16"/>
      <c r="G910" s="17" t="str">
        <f aca="false">IF(D910="","",IF(E910="Geldi",IF(F910="",IFERROR(INDEX(Hizmetler!$C$5:$C$54,MATCH(D910,Hizmetler!$A$5:$A$54,0)),0),F910),0))</f>
        <v/>
      </c>
      <c r="H910" s="18" t="str">
        <f aca="false">IF(OR(B910="",D910=""),"",ROUND((B910+IFERROR(INDEX(Hizmetler!$B$5:$B$54,MATCH(D910,Hizmetler!$A$5:$A$54,0)),0)/1440)*1440,0)/1440)</f>
        <v/>
      </c>
      <c r="I910" s="19" t="str">
        <f aca="false">IF(OR(A910="",H910="",E910="İptal"),"",IF(COUNTIFS($A$5:$A$1004,A910,$B$5:$B$1004,"&lt;"&amp;(H910-0.0003),$H$5:$H$1004,"&gt;"&amp;(B910+0.0003),$E$5:$E$1004,"&lt;&gt;İptal")&gt;1,"Çakışıyor",""))</f>
        <v/>
      </c>
      <c r="J910" s="21" t="str">
        <f aca="false">IF(AND(A910=Gün!$C$3,B910&lt;&gt;"",E910&lt;&gt;"İptal"),B910+ROW()/100000000,"")</f>
        <v/>
      </c>
    </row>
    <row r="911" customFormat="false" ht="15" hidden="false" customHeight="false" outlineLevel="0" collapsed="false">
      <c r="A911" s="12"/>
      <c r="B911" s="13"/>
      <c r="C911" s="14"/>
      <c r="D911" s="14"/>
      <c r="E911" s="15"/>
      <c r="F911" s="16"/>
      <c r="G911" s="17" t="str">
        <f aca="false">IF(D911="","",IF(E911="Geldi",IF(F911="",IFERROR(INDEX(Hizmetler!$C$5:$C$54,MATCH(D911,Hizmetler!$A$5:$A$54,0)),0),F911),0))</f>
        <v/>
      </c>
      <c r="H911" s="18" t="str">
        <f aca="false">IF(OR(B911="",D911=""),"",ROUND((B911+IFERROR(INDEX(Hizmetler!$B$5:$B$54,MATCH(D911,Hizmetler!$A$5:$A$54,0)),0)/1440)*1440,0)/1440)</f>
        <v/>
      </c>
      <c r="I911" s="19" t="str">
        <f aca="false">IF(OR(A911="",H911="",E911="İptal"),"",IF(COUNTIFS($A$5:$A$1004,A911,$B$5:$B$1004,"&lt;"&amp;(H911-0.0003),$H$5:$H$1004,"&gt;"&amp;(B911+0.0003),$E$5:$E$1004,"&lt;&gt;İptal")&gt;1,"Çakışıyor",""))</f>
        <v/>
      </c>
      <c r="J911" s="21" t="str">
        <f aca="false">IF(AND(A911=Gün!$C$3,B911&lt;&gt;"",E911&lt;&gt;"İptal"),B911+ROW()/100000000,"")</f>
        <v/>
      </c>
    </row>
    <row r="912" customFormat="false" ht="15" hidden="false" customHeight="false" outlineLevel="0" collapsed="false">
      <c r="A912" s="12"/>
      <c r="B912" s="13"/>
      <c r="C912" s="14"/>
      <c r="D912" s="14"/>
      <c r="E912" s="15"/>
      <c r="F912" s="16"/>
      <c r="G912" s="17" t="str">
        <f aca="false">IF(D912="","",IF(E912="Geldi",IF(F912="",IFERROR(INDEX(Hizmetler!$C$5:$C$54,MATCH(D912,Hizmetler!$A$5:$A$54,0)),0),F912),0))</f>
        <v/>
      </c>
      <c r="H912" s="18" t="str">
        <f aca="false">IF(OR(B912="",D912=""),"",ROUND((B912+IFERROR(INDEX(Hizmetler!$B$5:$B$54,MATCH(D912,Hizmetler!$A$5:$A$54,0)),0)/1440)*1440,0)/1440)</f>
        <v/>
      </c>
      <c r="I912" s="19" t="str">
        <f aca="false">IF(OR(A912="",H912="",E912="İptal"),"",IF(COUNTIFS($A$5:$A$1004,A912,$B$5:$B$1004,"&lt;"&amp;(H912-0.0003),$H$5:$H$1004,"&gt;"&amp;(B912+0.0003),$E$5:$E$1004,"&lt;&gt;İptal")&gt;1,"Çakışıyor",""))</f>
        <v/>
      </c>
      <c r="J912" s="21" t="str">
        <f aca="false">IF(AND(A912=Gün!$C$3,B912&lt;&gt;"",E912&lt;&gt;"İptal"),B912+ROW()/100000000,"")</f>
        <v/>
      </c>
    </row>
    <row r="913" customFormat="false" ht="15" hidden="false" customHeight="false" outlineLevel="0" collapsed="false">
      <c r="A913" s="12"/>
      <c r="B913" s="13"/>
      <c r="C913" s="14"/>
      <c r="D913" s="14"/>
      <c r="E913" s="15"/>
      <c r="F913" s="16"/>
      <c r="G913" s="17" t="str">
        <f aca="false">IF(D913="","",IF(E913="Geldi",IF(F913="",IFERROR(INDEX(Hizmetler!$C$5:$C$54,MATCH(D913,Hizmetler!$A$5:$A$54,0)),0),F913),0))</f>
        <v/>
      </c>
      <c r="H913" s="18" t="str">
        <f aca="false">IF(OR(B913="",D913=""),"",ROUND((B913+IFERROR(INDEX(Hizmetler!$B$5:$B$54,MATCH(D913,Hizmetler!$A$5:$A$54,0)),0)/1440)*1440,0)/1440)</f>
        <v/>
      </c>
      <c r="I913" s="19" t="str">
        <f aca="false">IF(OR(A913="",H913="",E913="İptal"),"",IF(COUNTIFS($A$5:$A$1004,A913,$B$5:$B$1004,"&lt;"&amp;(H913-0.0003),$H$5:$H$1004,"&gt;"&amp;(B913+0.0003),$E$5:$E$1004,"&lt;&gt;İptal")&gt;1,"Çakışıyor",""))</f>
        <v/>
      </c>
      <c r="J913" s="21" t="str">
        <f aca="false">IF(AND(A913=Gün!$C$3,B913&lt;&gt;"",E913&lt;&gt;"İptal"),B913+ROW()/100000000,"")</f>
        <v/>
      </c>
    </row>
    <row r="914" customFormat="false" ht="15" hidden="false" customHeight="false" outlineLevel="0" collapsed="false">
      <c r="A914" s="12"/>
      <c r="B914" s="13"/>
      <c r="C914" s="14"/>
      <c r="D914" s="14"/>
      <c r="E914" s="15"/>
      <c r="F914" s="16"/>
      <c r="G914" s="17" t="str">
        <f aca="false">IF(D914="","",IF(E914="Geldi",IF(F914="",IFERROR(INDEX(Hizmetler!$C$5:$C$54,MATCH(D914,Hizmetler!$A$5:$A$54,0)),0),F914),0))</f>
        <v/>
      </c>
      <c r="H914" s="18" t="str">
        <f aca="false">IF(OR(B914="",D914=""),"",ROUND((B914+IFERROR(INDEX(Hizmetler!$B$5:$B$54,MATCH(D914,Hizmetler!$A$5:$A$54,0)),0)/1440)*1440,0)/1440)</f>
        <v/>
      </c>
      <c r="I914" s="19" t="str">
        <f aca="false">IF(OR(A914="",H914="",E914="İptal"),"",IF(COUNTIFS($A$5:$A$1004,A914,$B$5:$B$1004,"&lt;"&amp;(H914-0.0003),$H$5:$H$1004,"&gt;"&amp;(B914+0.0003),$E$5:$E$1004,"&lt;&gt;İptal")&gt;1,"Çakışıyor",""))</f>
        <v/>
      </c>
      <c r="J914" s="21" t="str">
        <f aca="false">IF(AND(A914=Gün!$C$3,B914&lt;&gt;"",E914&lt;&gt;"İptal"),B914+ROW()/100000000,"")</f>
        <v/>
      </c>
    </row>
    <row r="915" customFormat="false" ht="15" hidden="false" customHeight="false" outlineLevel="0" collapsed="false">
      <c r="A915" s="12"/>
      <c r="B915" s="13"/>
      <c r="C915" s="14"/>
      <c r="D915" s="14"/>
      <c r="E915" s="15"/>
      <c r="F915" s="16"/>
      <c r="G915" s="17" t="str">
        <f aca="false">IF(D915="","",IF(E915="Geldi",IF(F915="",IFERROR(INDEX(Hizmetler!$C$5:$C$54,MATCH(D915,Hizmetler!$A$5:$A$54,0)),0),F915),0))</f>
        <v/>
      </c>
      <c r="H915" s="18" t="str">
        <f aca="false">IF(OR(B915="",D915=""),"",ROUND((B915+IFERROR(INDEX(Hizmetler!$B$5:$B$54,MATCH(D915,Hizmetler!$A$5:$A$54,0)),0)/1440)*1440,0)/1440)</f>
        <v/>
      </c>
      <c r="I915" s="19" t="str">
        <f aca="false">IF(OR(A915="",H915="",E915="İptal"),"",IF(COUNTIFS($A$5:$A$1004,A915,$B$5:$B$1004,"&lt;"&amp;(H915-0.0003),$H$5:$H$1004,"&gt;"&amp;(B915+0.0003),$E$5:$E$1004,"&lt;&gt;İptal")&gt;1,"Çakışıyor",""))</f>
        <v/>
      </c>
      <c r="J915" s="21" t="str">
        <f aca="false">IF(AND(A915=Gün!$C$3,B915&lt;&gt;"",E915&lt;&gt;"İptal"),B915+ROW()/100000000,"")</f>
        <v/>
      </c>
    </row>
    <row r="916" customFormat="false" ht="15" hidden="false" customHeight="false" outlineLevel="0" collapsed="false">
      <c r="A916" s="12"/>
      <c r="B916" s="13"/>
      <c r="C916" s="14"/>
      <c r="D916" s="14"/>
      <c r="E916" s="15"/>
      <c r="F916" s="16"/>
      <c r="G916" s="17" t="str">
        <f aca="false">IF(D916="","",IF(E916="Geldi",IF(F916="",IFERROR(INDEX(Hizmetler!$C$5:$C$54,MATCH(D916,Hizmetler!$A$5:$A$54,0)),0),F916),0))</f>
        <v/>
      </c>
      <c r="H916" s="18" t="str">
        <f aca="false">IF(OR(B916="",D916=""),"",ROUND((B916+IFERROR(INDEX(Hizmetler!$B$5:$B$54,MATCH(D916,Hizmetler!$A$5:$A$54,0)),0)/1440)*1440,0)/1440)</f>
        <v/>
      </c>
      <c r="I916" s="19" t="str">
        <f aca="false">IF(OR(A916="",H916="",E916="İptal"),"",IF(COUNTIFS($A$5:$A$1004,A916,$B$5:$B$1004,"&lt;"&amp;(H916-0.0003),$H$5:$H$1004,"&gt;"&amp;(B916+0.0003),$E$5:$E$1004,"&lt;&gt;İptal")&gt;1,"Çakışıyor",""))</f>
        <v/>
      </c>
      <c r="J916" s="21" t="str">
        <f aca="false">IF(AND(A916=Gün!$C$3,B916&lt;&gt;"",E916&lt;&gt;"İptal"),B916+ROW()/100000000,"")</f>
        <v/>
      </c>
    </row>
    <row r="917" customFormat="false" ht="15" hidden="false" customHeight="false" outlineLevel="0" collapsed="false">
      <c r="A917" s="12"/>
      <c r="B917" s="13"/>
      <c r="C917" s="14"/>
      <c r="D917" s="14"/>
      <c r="E917" s="15"/>
      <c r="F917" s="16"/>
      <c r="G917" s="17" t="str">
        <f aca="false">IF(D917="","",IF(E917="Geldi",IF(F917="",IFERROR(INDEX(Hizmetler!$C$5:$C$54,MATCH(D917,Hizmetler!$A$5:$A$54,0)),0),F917),0))</f>
        <v/>
      </c>
      <c r="H917" s="18" t="str">
        <f aca="false">IF(OR(B917="",D917=""),"",ROUND((B917+IFERROR(INDEX(Hizmetler!$B$5:$B$54,MATCH(D917,Hizmetler!$A$5:$A$54,0)),0)/1440)*1440,0)/1440)</f>
        <v/>
      </c>
      <c r="I917" s="19" t="str">
        <f aca="false">IF(OR(A917="",H917="",E917="İptal"),"",IF(COUNTIFS($A$5:$A$1004,A917,$B$5:$B$1004,"&lt;"&amp;(H917-0.0003),$H$5:$H$1004,"&gt;"&amp;(B917+0.0003),$E$5:$E$1004,"&lt;&gt;İptal")&gt;1,"Çakışıyor",""))</f>
        <v/>
      </c>
      <c r="J917" s="21" t="str">
        <f aca="false">IF(AND(A917=Gün!$C$3,B917&lt;&gt;"",E917&lt;&gt;"İptal"),B917+ROW()/100000000,"")</f>
        <v/>
      </c>
    </row>
    <row r="918" customFormat="false" ht="15" hidden="false" customHeight="false" outlineLevel="0" collapsed="false">
      <c r="A918" s="12"/>
      <c r="B918" s="13"/>
      <c r="C918" s="14"/>
      <c r="D918" s="14"/>
      <c r="E918" s="15"/>
      <c r="F918" s="16"/>
      <c r="G918" s="17" t="str">
        <f aca="false">IF(D918="","",IF(E918="Geldi",IF(F918="",IFERROR(INDEX(Hizmetler!$C$5:$C$54,MATCH(D918,Hizmetler!$A$5:$A$54,0)),0),F918),0))</f>
        <v/>
      </c>
      <c r="H918" s="18" t="str">
        <f aca="false">IF(OR(B918="",D918=""),"",ROUND((B918+IFERROR(INDEX(Hizmetler!$B$5:$B$54,MATCH(D918,Hizmetler!$A$5:$A$54,0)),0)/1440)*1440,0)/1440)</f>
        <v/>
      </c>
      <c r="I918" s="19" t="str">
        <f aca="false">IF(OR(A918="",H918="",E918="İptal"),"",IF(COUNTIFS($A$5:$A$1004,A918,$B$5:$B$1004,"&lt;"&amp;(H918-0.0003),$H$5:$H$1004,"&gt;"&amp;(B918+0.0003),$E$5:$E$1004,"&lt;&gt;İptal")&gt;1,"Çakışıyor",""))</f>
        <v/>
      </c>
      <c r="J918" s="21" t="str">
        <f aca="false">IF(AND(A918=Gün!$C$3,B918&lt;&gt;"",E918&lt;&gt;"İptal"),B918+ROW()/100000000,"")</f>
        <v/>
      </c>
    </row>
    <row r="919" customFormat="false" ht="15" hidden="false" customHeight="false" outlineLevel="0" collapsed="false">
      <c r="A919" s="12"/>
      <c r="B919" s="13"/>
      <c r="C919" s="14"/>
      <c r="D919" s="14"/>
      <c r="E919" s="15"/>
      <c r="F919" s="16"/>
      <c r="G919" s="17" t="str">
        <f aca="false">IF(D919="","",IF(E919="Geldi",IF(F919="",IFERROR(INDEX(Hizmetler!$C$5:$C$54,MATCH(D919,Hizmetler!$A$5:$A$54,0)),0),F919),0))</f>
        <v/>
      </c>
      <c r="H919" s="18" t="str">
        <f aca="false">IF(OR(B919="",D919=""),"",ROUND((B919+IFERROR(INDEX(Hizmetler!$B$5:$B$54,MATCH(D919,Hizmetler!$A$5:$A$54,0)),0)/1440)*1440,0)/1440)</f>
        <v/>
      </c>
      <c r="I919" s="19" t="str">
        <f aca="false">IF(OR(A919="",H919="",E919="İptal"),"",IF(COUNTIFS($A$5:$A$1004,A919,$B$5:$B$1004,"&lt;"&amp;(H919-0.0003),$H$5:$H$1004,"&gt;"&amp;(B919+0.0003),$E$5:$E$1004,"&lt;&gt;İptal")&gt;1,"Çakışıyor",""))</f>
        <v/>
      </c>
      <c r="J919" s="21" t="str">
        <f aca="false">IF(AND(A919=Gün!$C$3,B919&lt;&gt;"",E919&lt;&gt;"İptal"),B919+ROW()/100000000,"")</f>
        <v/>
      </c>
    </row>
    <row r="920" customFormat="false" ht="15" hidden="false" customHeight="false" outlineLevel="0" collapsed="false">
      <c r="A920" s="12"/>
      <c r="B920" s="13"/>
      <c r="C920" s="14"/>
      <c r="D920" s="14"/>
      <c r="E920" s="15"/>
      <c r="F920" s="16"/>
      <c r="G920" s="17" t="str">
        <f aca="false">IF(D920="","",IF(E920="Geldi",IF(F920="",IFERROR(INDEX(Hizmetler!$C$5:$C$54,MATCH(D920,Hizmetler!$A$5:$A$54,0)),0),F920),0))</f>
        <v/>
      </c>
      <c r="H920" s="18" t="str">
        <f aca="false">IF(OR(B920="",D920=""),"",ROUND((B920+IFERROR(INDEX(Hizmetler!$B$5:$B$54,MATCH(D920,Hizmetler!$A$5:$A$54,0)),0)/1440)*1440,0)/1440)</f>
        <v/>
      </c>
      <c r="I920" s="19" t="str">
        <f aca="false">IF(OR(A920="",H920="",E920="İptal"),"",IF(COUNTIFS($A$5:$A$1004,A920,$B$5:$B$1004,"&lt;"&amp;(H920-0.0003),$H$5:$H$1004,"&gt;"&amp;(B920+0.0003),$E$5:$E$1004,"&lt;&gt;İptal")&gt;1,"Çakışıyor",""))</f>
        <v/>
      </c>
      <c r="J920" s="21" t="str">
        <f aca="false">IF(AND(A920=Gün!$C$3,B920&lt;&gt;"",E920&lt;&gt;"İptal"),B920+ROW()/100000000,"")</f>
        <v/>
      </c>
    </row>
    <row r="921" customFormat="false" ht="15" hidden="false" customHeight="false" outlineLevel="0" collapsed="false">
      <c r="A921" s="12"/>
      <c r="B921" s="13"/>
      <c r="C921" s="14"/>
      <c r="D921" s="14"/>
      <c r="E921" s="15"/>
      <c r="F921" s="16"/>
      <c r="G921" s="17" t="str">
        <f aca="false">IF(D921="","",IF(E921="Geldi",IF(F921="",IFERROR(INDEX(Hizmetler!$C$5:$C$54,MATCH(D921,Hizmetler!$A$5:$A$54,0)),0),F921),0))</f>
        <v/>
      </c>
      <c r="H921" s="18" t="str">
        <f aca="false">IF(OR(B921="",D921=""),"",ROUND((B921+IFERROR(INDEX(Hizmetler!$B$5:$B$54,MATCH(D921,Hizmetler!$A$5:$A$54,0)),0)/1440)*1440,0)/1440)</f>
        <v/>
      </c>
      <c r="I921" s="19" t="str">
        <f aca="false">IF(OR(A921="",H921="",E921="İptal"),"",IF(COUNTIFS($A$5:$A$1004,A921,$B$5:$B$1004,"&lt;"&amp;(H921-0.0003),$H$5:$H$1004,"&gt;"&amp;(B921+0.0003),$E$5:$E$1004,"&lt;&gt;İptal")&gt;1,"Çakışıyor",""))</f>
        <v/>
      </c>
      <c r="J921" s="21" t="str">
        <f aca="false">IF(AND(A921=Gün!$C$3,B921&lt;&gt;"",E921&lt;&gt;"İptal"),B921+ROW()/100000000,"")</f>
        <v/>
      </c>
    </row>
    <row r="922" customFormat="false" ht="15" hidden="false" customHeight="false" outlineLevel="0" collapsed="false">
      <c r="A922" s="12"/>
      <c r="B922" s="13"/>
      <c r="C922" s="14"/>
      <c r="D922" s="14"/>
      <c r="E922" s="15"/>
      <c r="F922" s="16"/>
      <c r="G922" s="17" t="str">
        <f aca="false">IF(D922="","",IF(E922="Geldi",IF(F922="",IFERROR(INDEX(Hizmetler!$C$5:$C$54,MATCH(D922,Hizmetler!$A$5:$A$54,0)),0),F922),0))</f>
        <v/>
      </c>
      <c r="H922" s="18" t="str">
        <f aca="false">IF(OR(B922="",D922=""),"",ROUND((B922+IFERROR(INDEX(Hizmetler!$B$5:$B$54,MATCH(D922,Hizmetler!$A$5:$A$54,0)),0)/1440)*1440,0)/1440)</f>
        <v/>
      </c>
      <c r="I922" s="19" t="str">
        <f aca="false">IF(OR(A922="",H922="",E922="İptal"),"",IF(COUNTIFS($A$5:$A$1004,A922,$B$5:$B$1004,"&lt;"&amp;(H922-0.0003),$H$5:$H$1004,"&gt;"&amp;(B922+0.0003),$E$5:$E$1004,"&lt;&gt;İptal")&gt;1,"Çakışıyor",""))</f>
        <v/>
      </c>
      <c r="J922" s="21" t="str">
        <f aca="false">IF(AND(A922=Gün!$C$3,B922&lt;&gt;"",E922&lt;&gt;"İptal"),B922+ROW()/100000000,"")</f>
        <v/>
      </c>
    </row>
    <row r="923" customFormat="false" ht="15" hidden="false" customHeight="false" outlineLevel="0" collapsed="false">
      <c r="A923" s="12"/>
      <c r="B923" s="13"/>
      <c r="C923" s="14"/>
      <c r="D923" s="14"/>
      <c r="E923" s="15"/>
      <c r="F923" s="16"/>
      <c r="G923" s="17" t="str">
        <f aca="false">IF(D923="","",IF(E923="Geldi",IF(F923="",IFERROR(INDEX(Hizmetler!$C$5:$C$54,MATCH(D923,Hizmetler!$A$5:$A$54,0)),0),F923),0))</f>
        <v/>
      </c>
      <c r="H923" s="18" t="str">
        <f aca="false">IF(OR(B923="",D923=""),"",ROUND((B923+IFERROR(INDEX(Hizmetler!$B$5:$B$54,MATCH(D923,Hizmetler!$A$5:$A$54,0)),0)/1440)*1440,0)/1440)</f>
        <v/>
      </c>
      <c r="I923" s="19" t="str">
        <f aca="false">IF(OR(A923="",H923="",E923="İptal"),"",IF(COUNTIFS($A$5:$A$1004,A923,$B$5:$B$1004,"&lt;"&amp;(H923-0.0003),$H$5:$H$1004,"&gt;"&amp;(B923+0.0003),$E$5:$E$1004,"&lt;&gt;İptal")&gt;1,"Çakışıyor",""))</f>
        <v/>
      </c>
      <c r="J923" s="21" t="str">
        <f aca="false">IF(AND(A923=Gün!$C$3,B923&lt;&gt;"",E923&lt;&gt;"İptal"),B923+ROW()/100000000,"")</f>
        <v/>
      </c>
    </row>
    <row r="924" customFormat="false" ht="15" hidden="false" customHeight="false" outlineLevel="0" collapsed="false">
      <c r="A924" s="12"/>
      <c r="B924" s="13"/>
      <c r="C924" s="14"/>
      <c r="D924" s="14"/>
      <c r="E924" s="15"/>
      <c r="F924" s="16"/>
      <c r="G924" s="17" t="str">
        <f aca="false">IF(D924="","",IF(E924="Geldi",IF(F924="",IFERROR(INDEX(Hizmetler!$C$5:$C$54,MATCH(D924,Hizmetler!$A$5:$A$54,0)),0),F924),0))</f>
        <v/>
      </c>
      <c r="H924" s="18" t="str">
        <f aca="false">IF(OR(B924="",D924=""),"",ROUND((B924+IFERROR(INDEX(Hizmetler!$B$5:$B$54,MATCH(D924,Hizmetler!$A$5:$A$54,0)),0)/1440)*1440,0)/1440)</f>
        <v/>
      </c>
      <c r="I924" s="19" t="str">
        <f aca="false">IF(OR(A924="",H924="",E924="İptal"),"",IF(COUNTIFS($A$5:$A$1004,A924,$B$5:$B$1004,"&lt;"&amp;(H924-0.0003),$H$5:$H$1004,"&gt;"&amp;(B924+0.0003),$E$5:$E$1004,"&lt;&gt;İptal")&gt;1,"Çakışıyor",""))</f>
        <v/>
      </c>
      <c r="J924" s="21" t="str">
        <f aca="false">IF(AND(A924=Gün!$C$3,B924&lt;&gt;"",E924&lt;&gt;"İptal"),B924+ROW()/100000000,"")</f>
        <v/>
      </c>
    </row>
    <row r="925" customFormat="false" ht="15" hidden="false" customHeight="false" outlineLevel="0" collapsed="false">
      <c r="A925" s="12"/>
      <c r="B925" s="13"/>
      <c r="C925" s="14"/>
      <c r="D925" s="14"/>
      <c r="E925" s="15"/>
      <c r="F925" s="16"/>
      <c r="G925" s="17" t="str">
        <f aca="false">IF(D925="","",IF(E925="Geldi",IF(F925="",IFERROR(INDEX(Hizmetler!$C$5:$C$54,MATCH(D925,Hizmetler!$A$5:$A$54,0)),0),F925),0))</f>
        <v/>
      </c>
      <c r="H925" s="18" t="str">
        <f aca="false">IF(OR(B925="",D925=""),"",ROUND((B925+IFERROR(INDEX(Hizmetler!$B$5:$B$54,MATCH(D925,Hizmetler!$A$5:$A$54,0)),0)/1440)*1440,0)/1440)</f>
        <v/>
      </c>
      <c r="I925" s="19" t="str">
        <f aca="false">IF(OR(A925="",H925="",E925="İptal"),"",IF(COUNTIFS($A$5:$A$1004,A925,$B$5:$B$1004,"&lt;"&amp;(H925-0.0003),$H$5:$H$1004,"&gt;"&amp;(B925+0.0003),$E$5:$E$1004,"&lt;&gt;İptal")&gt;1,"Çakışıyor",""))</f>
        <v/>
      </c>
      <c r="J925" s="21" t="str">
        <f aca="false">IF(AND(A925=Gün!$C$3,B925&lt;&gt;"",E925&lt;&gt;"İptal"),B925+ROW()/100000000,"")</f>
        <v/>
      </c>
    </row>
    <row r="926" customFormat="false" ht="15" hidden="false" customHeight="false" outlineLevel="0" collapsed="false">
      <c r="A926" s="12"/>
      <c r="B926" s="13"/>
      <c r="C926" s="14"/>
      <c r="D926" s="14"/>
      <c r="E926" s="15"/>
      <c r="F926" s="16"/>
      <c r="G926" s="17" t="str">
        <f aca="false">IF(D926="","",IF(E926="Geldi",IF(F926="",IFERROR(INDEX(Hizmetler!$C$5:$C$54,MATCH(D926,Hizmetler!$A$5:$A$54,0)),0),F926),0))</f>
        <v/>
      </c>
      <c r="H926" s="18" t="str">
        <f aca="false">IF(OR(B926="",D926=""),"",ROUND((B926+IFERROR(INDEX(Hizmetler!$B$5:$B$54,MATCH(D926,Hizmetler!$A$5:$A$54,0)),0)/1440)*1440,0)/1440)</f>
        <v/>
      </c>
      <c r="I926" s="19" t="str">
        <f aca="false">IF(OR(A926="",H926="",E926="İptal"),"",IF(COUNTIFS($A$5:$A$1004,A926,$B$5:$B$1004,"&lt;"&amp;(H926-0.0003),$H$5:$H$1004,"&gt;"&amp;(B926+0.0003),$E$5:$E$1004,"&lt;&gt;İptal")&gt;1,"Çakışıyor",""))</f>
        <v/>
      </c>
      <c r="J926" s="21" t="str">
        <f aca="false">IF(AND(A926=Gün!$C$3,B926&lt;&gt;"",E926&lt;&gt;"İptal"),B926+ROW()/100000000,"")</f>
        <v/>
      </c>
    </row>
    <row r="927" customFormat="false" ht="15" hidden="false" customHeight="false" outlineLevel="0" collapsed="false">
      <c r="A927" s="12"/>
      <c r="B927" s="13"/>
      <c r="C927" s="14"/>
      <c r="D927" s="14"/>
      <c r="E927" s="15"/>
      <c r="F927" s="16"/>
      <c r="G927" s="17" t="str">
        <f aca="false">IF(D927="","",IF(E927="Geldi",IF(F927="",IFERROR(INDEX(Hizmetler!$C$5:$C$54,MATCH(D927,Hizmetler!$A$5:$A$54,0)),0),F927),0))</f>
        <v/>
      </c>
      <c r="H927" s="18" t="str">
        <f aca="false">IF(OR(B927="",D927=""),"",ROUND((B927+IFERROR(INDEX(Hizmetler!$B$5:$B$54,MATCH(D927,Hizmetler!$A$5:$A$54,0)),0)/1440)*1440,0)/1440)</f>
        <v/>
      </c>
      <c r="I927" s="19" t="str">
        <f aca="false">IF(OR(A927="",H927="",E927="İptal"),"",IF(COUNTIFS($A$5:$A$1004,A927,$B$5:$B$1004,"&lt;"&amp;(H927-0.0003),$H$5:$H$1004,"&gt;"&amp;(B927+0.0003),$E$5:$E$1004,"&lt;&gt;İptal")&gt;1,"Çakışıyor",""))</f>
        <v/>
      </c>
      <c r="J927" s="21" t="str">
        <f aca="false">IF(AND(A927=Gün!$C$3,B927&lt;&gt;"",E927&lt;&gt;"İptal"),B927+ROW()/100000000,"")</f>
        <v/>
      </c>
    </row>
    <row r="928" customFormat="false" ht="15" hidden="false" customHeight="false" outlineLevel="0" collapsed="false">
      <c r="A928" s="12"/>
      <c r="B928" s="13"/>
      <c r="C928" s="14"/>
      <c r="D928" s="14"/>
      <c r="E928" s="15"/>
      <c r="F928" s="16"/>
      <c r="G928" s="17" t="str">
        <f aca="false">IF(D928="","",IF(E928="Geldi",IF(F928="",IFERROR(INDEX(Hizmetler!$C$5:$C$54,MATCH(D928,Hizmetler!$A$5:$A$54,0)),0),F928),0))</f>
        <v/>
      </c>
      <c r="H928" s="18" t="str">
        <f aca="false">IF(OR(B928="",D928=""),"",ROUND((B928+IFERROR(INDEX(Hizmetler!$B$5:$B$54,MATCH(D928,Hizmetler!$A$5:$A$54,0)),0)/1440)*1440,0)/1440)</f>
        <v/>
      </c>
      <c r="I928" s="19" t="str">
        <f aca="false">IF(OR(A928="",H928="",E928="İptal"),"",IF(COUNTIFS($A$5:$A$1004,A928,$B$5:$B$1004,"&lt;"&amp;(H928-0.0003),$H$5:$H$1004,"&gt;"&amp;(B928+0.0003),$E$5:$E$1004,"&lt;&gt;İptal")&gt;1,"Çakışıyor",""))</f>
        <v/>
      </c>
      <c r="J928" s="21" t="str">
        <f aca="false">IF(AND(A928=Gün!$C$3,B928&lt;&gt;"",E928&lt;&gt;"İptal"),B928+ROW()/100000000,"")</f>
        <v/>
      </c>
    </row>
    <row r="929" customFormat="false" ht="15" hidden="false" customHeight="false" outlineLevel="0" collapsed="false">
      <c r="A929" s="12"/>
      <c r="B929" s="13"/>
      <c r="C929" s="14"/>
      <c r="D929" s="14"/>
      <c r="E929" s="15"/>
      <c r="F929" s="16"/>
      <c r="G929" s="17" t="str">
        <f aca="false">IF(D929="","",IF(E929="Geldi",IF(F929="",IFERROR(INDEX(Hizmetler!$C$5:$C$54,MATCH(D929,Hizmetler!$A$5:$A$54,0)),0),F929),0))</f>
        <v/>
      </c>
      <c r="H929" s="18" t="str">
        <f aca="false">IF(OR(B929="",D929=""),"",ROUND((B929+IFERROR(INDEX(Hizmetler!$B$5:$B$54,MATCH(D929,Hizmetler!$A$5:$A$54,0)),0)/1440)*1440,0)/1440)</f>
        <v/>
      </c>
      <c r="I929" s="19" t="str">
        <f aca="false">IF(OR(A929="",H929="",E929="İptal"),"",IF(COUNTIFS($A$5:$A$1004,A929,$B$5:$B$1004,"&lt;"&amp;(H929-0.0003),$H$5:$H$1004,"&gt;"&amp;(B929+0.0003),$E$5:$E$1004,"&lt;&gt;İptal")&gt;1,"Çakışıyor",""))</f>
        <v/>
      </c>
      <c r="J929" s="21" t="str">
        <f aca="false">IF(AND(A929=Gün!$C$3,B929&lt;&gt;"",E929&lt;&gt;"İptal"),B929+ROW()/100000000,"")</f>
        <v/>
      </c>
    </row>
    <row r="930" customFormat="false" ht="15" hidden="false" customHeight="false" outlineLevel="0" collapsed="false">
      <c r="A930" s="12"/>
      <c r="B930" s="13"/>
      <c r="C930" s="14"/>
      <c r="D930" s="14"/>
      <c r="E930" s="15"/>
      <c r="F930" s="16"/>
      <c r="G930" s="17" t="str">
        <f aca="false">IF(D930="","",IF(E930="Geldi",IF(F930="",IFERROR(INDEX(Hizmetler!$C$5:$C$54,MATCH(D930,Hizmetler!$A$5:$A$54,0)),0),F930),0))</f>
        <v/>
      </c>
      <c r="H930" s="18" t="str">
        <f aca="false">IF(OR(B930="",D930=""),"",ROUND((B930+IFERROR(INDEX(Hizmetler!$B$5:$B$54,MATCH(D930,Hizmetler!$A$5:$A$54,0)),0)/1440)*1440,0)/1440)</f>
        <v/>
      </c>
      <c r="I930" s="19" t="str">
        <f aca="false">IF(OR(A930="",H930="",E930="İptal"),"",IF(COUNTIFS($A$5:$A$1004,A930,$B$5:$B$1004,"&lt;"&amp;(H930-0.0003),$H$5:$H$1004,"&gt;"&amp;(B930+0.0003),$E$5:$E$1004,"&lt;&gt;İptal")&gt;1,"Çakışıyor",""))</f>
        <v/>
      </c>
      <c r="J930" s="21" t="str">
        <f aca="false">IF(AND(A930=Gün!$C$3,B930&lt;&gt;"",E930&lt;&gt;"İptal"),B930+ROW()/100000000,"")</f>
        <v/>
      </c>
    </row>
    <row r="931" customFormat="false" ht="15" hidden="false" customHeight="false" outlineLevel="0" collapsed="false">
      <c r="A931" s="12"/>
      <c r="B931" s="13"/>
      <c r="C931" s="14"/>
      <c r="D931" s="14"/>
      <c r="E931" s="15"/>
      <c r="F931" s="16"/>
      <c r="G931" s="17" t="str">
        <f aca="false">IF(D931="","",IF(E931="Geldi",IF(F931="",IFERROR(INDEX(Hizmetler!$C$5:$C$54,MATCH(D931,Hizmetler!$A$5:$A$54,0)),0),F931),0))</f>
        <v/>
      </c>
      <c r="H931" s="18" t="str">
        <f aca="false">IF(OR(B931="",D931=""),"",ROUND((B931+IFERROR(INDEX(Hizmetler!$B$5:$B$54,MATCH(D931,Hizmetler!$A$5:$A$54,0)),0)/1440)*1440,0)/1440)</f>
        <v/>
      </c>
      <c r="I931" s="19" t="str">
        <f aca="false">IF(OR(A931="",H931="",E931="İptal"),"",IF(COUNTIFS($A$5:$A$1004,A931,$B$5:$B$1004,"&lt;"&amp;(H931-0.0003),$H$5:$H$1004,"&gt;"&amp;(B931+0.0003),$E$5:$E$1004,"&lt;&gt;İptal")&gt;1,"Çakışıyor",""))</f>
        <v/>
      </c>
      <c r="J931" s="21" t="str">
        <f aca="false">IF(AND(A931=Gün!$C$3,B931&lt;&gt;"",E931&lt;&gt;"İptal"),B931+ROW()/100000000,"")</f>
        <v/>
      </c>
    </row>
    <row r="932" customFormat="false" ht="15" hidden="false" customHeight="false" outlineLevel="0" collapsed="false">
      <c r="A932" s="12"/>
      <c r="B932" s="13"/>
      <c r="C932" s="14"/>
      <c r="D932" s="14"/>
      <c r="E932" s="15"/>
      <c r="F932" s="16"/>
      <c r="G932" s="17" t="str">
        <f aca="false">IF(D932="","",IF(E932="Geldi",IF(F932="",IFERROR(INDEX(Hizmetler!$C$5:$C$54,MATCH(D932,Hizmetler!$A$5:$A$54,0)),0),F932),0))</f>
        <v/>
      </c>
      <c r="H932" s="18" t="str">
        <f aca="false">IF(OR(B932="",D932=""),"",ROUND((B932+IFERROR(INDEX(Hizmetler!$B$5:$B$54,MATCH(D932,Hizmetler!$A$5:$A$54,0)),0)/1440)*1440,0)/1440)</f>
        <v/>
      </c>
      <c r="I932" s="19" t="str">
        <f aca="false">IF(OR(A932="",H932="",E932="İptal"),"",IF(COUNTIFS($A$5:$A$1004,A932,$B$5:$B$1004,"&lt;"&amp;(H932-0.0003),$H$5:$H$1004,"&gt;"&amp;(B932+0.0003),$E$5:$E$1004,"&lt;&gt;İptal")&gt;1,"Çakışıyor",""))</f>
        <v/>
      </c>
      <c r="J932" s="21" t="str">
        <f aca="false">IF(AND(A932=Gün!$C$3,B932&lt;&gt;"",E932&lt;&gt;"İptal"),B932+ROW()/100000000,"")</f>
        <v/>
      </c>
    </row>
    <row r="933" customFormat="false" ht="15" hidden="false" customHeight="false" outlineLevel="0" collapsed="false">
      <c r="A933" s="12"/>
      <c r="B933" s="13"/>
      <c r="C933" s="14"/>
      <c r="D933" s="14"/>
      <c r="E933" s="15"/>
      <c r="F933" s="16"/>
      <c r="G933" s="17" t="str">
        <f aca="false">IF(D933="","",IF(E933="Geldi",IF(F933="",IFERROR(INDEX(Hizmetler!$C$5:$C$54,MATCH(D933,Hizmetler!$A$5:$A$54,0)),0),F933),0))</f>
        <v/>
      </c>
      <c r="H933" s="18" t="str">
        <f aca="false">IF(OR(B933="",D933=""),"",ROUND((B933+IFERROR(INDEX(Hizmetler!$B$5:$B$54,MATCH(D933,Hizmetler!$A$5:$A$54,0)),0)/1440)*1440,0)/1440)</f>
        <v/>
      </c>
      <c r="I933" s="19" t="str">
        <f aca="false">IF(OR(A933="",H933="",E933="İptal"),"",IF(COUNTIFS($A$5:$A$1004,A933,$B$5:$B$1004,"&lt;"&amp;(H933-0.0003),$H$5:$H$1004,"&gt;"&amp;(B933+0.0003),$E$5:$E$1004,"&lt;&gt;İptal")&gt;1,"Çakışıyor",""))</f>
        <v/>
      </c>
      <c r="J933" s="21" t="str">
        <f aca="false">IF(AND(A933=Gün!$C$3,B933&lt;&gt;"",E933&lt;&gt;"İptal"),B933+ROW()/100000000,"")</f>
        <v/>
      </c>
    </row>
    <row r="934" customFormat="false" ht="15" hidden="false" customHeight="false" outlineLevel="0" collapsed="false">
      <c r="A934" s="12"/>
      <c r="B934" s="13"/>
      <c r="C934" s="14"/>
      <c r="D934" s="14"/>
      <c r="E934" s="15"/>
      <c r="F934" s="16"/>
      <c r="G934" s="17" t="str">
        <f aca="false">IF(D934="","",IF(E934="Geldi",IF(F934="",IFERROR(INDEX(Hizmetler!$C$5:$C$54,MATCH(D934,Hizmetler!$A$5:$A$54,0)),0),F934),0))</f>
        <v/>
      </c>
      <c r="H934" s="18" t="str">
        <f aca="false">IF(OR(B934="",D934=""),"",ROUND((B934+IFERROR(INDEX(Hizmetler!$B$5:$B$54,MATCH(D934,Hizmetler!$A$5:$A$54,0)),0)/1440)*1440,0)/1440)</f>
        <v/>
      </c>
      <c r="I934" s="19" t="str">
        <f aca="false">IF(OR(A934="",H934="",E934="İptal"),"",IF(COUNTIFS($A$5:$A$1004,A934,$B$5:$B$1004,"&lt;"&amp;(H934-0.0003),$H$5:$H$1004,"&gt;"&amp;(B934+0.0003),$E$5:$E$1004,"&lt;&gt;İptal")&gt;1,"Çakışıyor",""))</f>
        <v/>
      </c>
      <c r="J934" s="21" t="str">
        <f aca="false">IF(AND(A934=Gün!$C$3,B934&lt;&gt;"",E934&lt;&gt;"İptal"),B934+ROW()/100000000,"")</f>
        <v/>
      </c>
    </row>
    <row r="935" customFormat="false" ht="15" hidden="false" customHeight="false" outlineLevel="0" collapsed="false">
      <c r="A935" s="12"/>
      <c r="B935" s="13"/>
      <c r="C935" s="14"/>
      <c r="D935" s="14"/>
      <c r="E935" s="15"/>
      <c r="F935" s="16"/>
      <c r="G935" s="17" t="str">
        <f aca="false">IF(D935="","",IF(E935="Geldi",IF(F935="",IFERROR(INDEX(Hizmetler!$C$5:$C$54,MATCH(D935,Hizmetler!$A$5:$A$54,0)),0),F935),0))</f>
        <v/>
      </c>
      <c r="H935" s="18" t="str">
        <f aca="false">IF(OR(B935="",D935=""),"",ROUND((B935+IFERROR(INDEX(Hizmetler!$B$5:$B$54,MATCH(D935,Hizmetler!$A$5:$A$54,0)),0)/1440)*1440,0)/1440)</f>
        <v/>
      </c>
      <c r="I935" s="19" t="str">
        <f aca="false">IF(OR(A935="",H935="",E935="İptal"),"",IF(COUNTIFS($A$5:$A$1004,A935,$B$5:$B$1004,"&lt;"&amp;(H935-0.0003),$H$5:$H$1004,"&gt;"&amp;(B935+0.0003),$E$5:$E$1004,"&lt;&gt;İptal")&gt;1,"Çakışıyor",""))</f>
        <v/>
      </c>
      <c r="J935" s="21" t="str">
        <f aca="false">IF(AND(A935=Gün!$C$3,B935&lt;&gt;"",E935&lt;&gt;"İptal"),B935+ROW()/100000000,"")</f>
        <v/>
      </c>
    </row>
    <row r="936" customFormat="false" ht="15" hidden="false" customHeight="false" outlineLevel="0" collapsed="false">
      <c r="A936" s="12"/>
      <c r="B936" s="13"/>
      <c r="C936" s="14"/>
      <c r="D936" s="14"/>
      <c r="E936" s="15"/>
      <c r="F936" s="16"/>
      <c r="G936" s="17" t="str">
        <f aca="false">IF(D936="","",IF(E936="Geldi",IF(F936="",IFERROR(INDEX(Hizmetler!$C$5:$C$54,MATCH(D936,Hizmetler!$A$5:$A$54,0)),0),F936),0))</f>
        <v/>
      </c>
      <c r="H936" s="18" t="str">
        <f aca="false">IF(OR(B936="",D936=""),"",ROUND((B936+IFERROR(INDEX(Hizmetler!$B$5:$B$54,MATCH(D936,Hizmetler!$A$5:$A$54,0)),0)/1440)*1440,0)/1440)</f>
        <v/>
      </c>
      <c r="I936" s="19" t="str">
        <f aca="false">IF(OR(A936="",H936="",E936="İptal"),"",IF(COUNTIFS($A$5:$A$1004,A936,$B$5:$B$1004,"&lt;"&amp;(H936-0.0003),$H$5:$H$1004,"&gt;"&amp;(B936+0.0003),$E$5:$E$1004,"&lt;&gt;İptal")&gt;1,"Çakışıyor",""))</f>
        <v/>
      </c>
      <c r="J936" s="21" t="str">
        <f aca="false">IF(AND(A936=Gün!$C$3,B936&lt;&gt;"",E936&lt;&gt;"İptal"),B936+ROW()/100000000,"")</f>
        <v/>
      </c>
    </row>
    <row r="937" customFormat="false" ht="15" hidden="false" customHeight="false" outlineLevel="0" collapsed="false">
      <c r="A937" s="12"/>
      <c r="B937" s="13"/>
      <c r="C937" s="14"/>
      <c r="D937" s="14"/>
      <c r="E937" s="15"/>
      <c r="F937" s="16"/>
      <c r="G937" s="17" t="str">
        <f aca="false">IF(D937="","",IF(E937="Geldi",IF(F937="",IFERROR(INDEX(Hizmetler!$C$5:$C$54,MATCH(D937,Hizmetler!$A$5:$A$54,0)),0),F937),0))</f>
        <v/>
      </c>
      <c r="H937" s="18" t="str">
        <f aca="false">IF(OR(B937="",D937=""),"",ROUND((B937+IFERROR(INDEX(Hizmetler!$B$5:$B$54,MATCH(D937,Hizmetler!$A$5:$A$54,0)),0)/1440)*1440,0)/1440)</f>
        <v/>
      </c>
      <c r="I937" s="19" t="str">
        <f aca="false">IF(OR(A937="",H937="",E937="İptal"),"",IF(COUNTIFS($A$5:$A$1004,A937,$B$5:$B$1004,"&lt;"&amp;(H937-0.0003),$H$5:$H$1004,"&gt;"&amp;(B937+0.0003),$E$5:$E$1004,"&lt;&gt;İptal")&gt;1,"Çakışıyor",""))</f>
        <v/>
      </c>
      <c r="J937" s="21" t="str">
        <f aca="false">IF(AND(A937=Gün!$C$3,B937&lt;&gt;"",E937&lt;&gt;"İptal"),B937+ROW()/100000000,"")</f>
        <v/>
      </c>
    </row>
    <row r="938" customFormat="false" ht="15" hidden="false" customHeight="false" outlineLevel="0" collapsed="false">
      <c r="A938" s="12"/>
      <c r="B938" s="13"/>
      <c r="C938" s="14"/>
      <c r="D938" s="14"/>
      <c r="E938" s="15"/>
      <c r="F938" s="16"/>
      <c r="G938" s="17" t="str">
        <f aca="false">IF(D938="","",IF(E938="Geldi",IF(F938="",IFERROR(INDEX(Hizmetler!$C$5:$C$54,MATCH(D938,Hizmetler!$A$5:$A$54,0)),0),F938),0))</f>
        <v/>
      </c>
      <c r="H938" s="18" t="str">
        <f aca="false">IF(OR(B938="",D938=""),"",ROUND((B938+IFERROR(INDEX(Hizmetler!$B$5:$B$54,MATCH(D938,Hizmetler!$A$5:$A$54,0)),0)/1440)*1440,0)/1440)</f>
        <v/>
      </c>
      <c r="I938" s="19" t="str">
        <f aca="false">IF(OR(A938="",H938="",E938="İptal"),"",IF(COUNTIFS($A$5:$A$1004,A938,$B$5:$B$1004,"&lt;"&amp;(H938-0.0003),$H$5:$H$1004,"&gt;"&amp;(B938+0.0003),$E$5:$E$1004,"&lt;&gt;İptal")&gt;1,"Çakışıyor",""))</f>
        <v/>
      </c>
      <c r="J938" s="21" t="str">
        <f aca="false">IF(AND(A938=Gün!$C$3,B938&lt;&gt;"",E938&lt;&gt;"İptal"),B938+ROW()/100000000,"")</f>
        <v/>
      </c>
    </row>
    <row r="939" customFormat="false" ht="15" hidden="false" customHeight="false" outlineLevel="0" collapsed="false">
      <c r="A939" s="12"/>
      <c r="B939" s="13"/>
      <c r="C939" s="14"/>
      <c r="D939" s="14"/>
      <c r="E939" s="15"/>
      <c r="F939" s="16"/>
      <c r="G939" s="17" t="str">
        <f aca="false">IF(D939="","",IF(E939="Geldi",IF(F939="",IFERROR(INDEX(Hizmetler!$C$5:$C$54,MATCH(D939,Hizmetler!$A$5:$A$54,0)),0),F939),0))</f>
        <v/>
      </c>
      <c r="H939" s="18" t="str">
        <f aca="false">IF(OR(B939="",D939=""),"",ROUND((B939+IFERROR(INDEX(Hizmetler!$B$5:$B$54,MATCH(D939,Hizmetler!$A$5:$A$54,0)),0)/1440)*1440,0)/1440)</f>
        <v/>
      </c>
      <c r="I939" s="19" t="str">
        <f aca="false">IF(OR(A939="",H939="",E939="İptal"),"",IF(COUNTIFS($A$5:$A$1004,A939,$B$5:$B$1004,"&lt;"&amp;(H939-0.0003),$H$5:$H$1004,"&gt;"&amp;(B939+0.0003),$E$5:$E$1004,"&lt;&gt;İptal")&gt;1,"Çakışıyor",""))</f>
        <v/>
      </c>
      <c r="J939" s="21" t="str">
        <f aca="false">IF(AND(A939=Gün!$C$3,B939&lt;&gt;"",E939&lt;&gt;"İptal"),B939+ROW()/100000000,"")</f>
        <v/>
      </c>
    </row>
    <row r="940" customFormat="false" ht="15" hidden="false" customHeight="false" outlineLevel="0" collapsed="false">
      <c r="A940" s="12"/>
      <c r="B940" s="13"/>
      <c r="C940" s="14"/>
      <c r="D940" s="14"/>
      <c r="E940" s="15"/>
      <c r="F940" s="16"/>
      <c r="G940" s="17" t="str">
        <f aca="false">IF(D940="","",IF(E940="Geldi",IF(F940="",IFERROR(INDEX(Hizmetler!$C$5:$C$54,MATCH(D940,Hizmetler!$A$5:$A$54,0)),0),F940),0))</f>
        <v/>
      </c>
      <c r="H940" s="18" t="str">
        <f aca="false">IF(OR(B940="",D940=""),"",ROUND((B940+IFERROR(INDEX(Hizmetler!$B$5:$B$54,MATCH(D940,Hizmetler!$A$5:$A$54,0)),0)/1440)*1440,0)/1440)</f>
        <v/>
      </c>
      <c r="I940" s="19" t="str">
        <f aca="false">IF(OR(A940="",H940="",E940="İptal"),"",IF(COUNTIFS($A$5:$A$1004,A940,$B$5:$B$1004,"&lt;"&amp;(H940-0.0003),$H$5:$H$1004,"&gt;"&amp;(B940+0.0003),$E$5:$E$1004,"&lt;&gt;İptal")&gt;1,"Çakışıyor",""))</f>
        <v/>
      </c>
      <c r="J940" s="21" t="str">
        <f aca="false">IF(AND(A940=Gün!$C$3,B940&lt;&gt;"",E940&lt;&gt;"İptal"),B940+ROW()/100000000,"")</f>
        <v/>
      </c>
    </row>
    <row r="941" customFormat="false" ht="15" hidden="false" customHeight="false" outlineLevel="0" collapsed="false">
      <c r="A941" s="12"/>
      <c r="B941" s="13"/>
      <c r="C941" s="14"/>
      <c r="D941" s="14"/>
      <c r="E941" s="15"/>
      <c r="F941" s="16"/>
      <c r="G941" s="17" t="str">
        <f aca="false">IF(D941="","",IF(E941="Geldi",IF(F941="",IFERROR(INDEX(Hizmetler!$C$5:$C$54,MATCH(D941,Hizmetler!$A$5:$A$54,0)),0),F941),0))</f>
        <v/>
      </c>
      <c r="H941" s="18" t="str">
        <f aca="false">IF(OR(B941="",D941=""),"",ROUND((B941+IFERROR(INDEX(Hizmetler!$B$5:$B$54,MATCH(D941,Hizmetler!$A$5:$A$54,0)),0)/1440)*1440,0)/1440)</f>
        <v/>
      </c>
      <c r="I941" s="19" t="str">
        <f aca="false">IF(OR(A941="",H941="",E941="İptal"),"",IF(COUNTIFS($A$5:$A$1004,A941,$B$5:$B$1004,"&lt;"&amp;(H941-0.0003),$H$5:$H$1004,"&gt;"&amp;(B941+0.0003),$E$5:$E$1004,"&lt;&gt;İptal")&gt;1,"Çakışıyor",""))</f>
        <v/>
      </c>
      <c r="J941" s="21" t="str">
        <f aca="false">IF(AND(A941=Gün!$C$3,B941&lt;&gt;"",E941&lt;&gt;"İptal"),B941+ROW()/100000000,"")</f>
        <v/>
      </c>
    </row>
    <row r="942" customFormat="false" ht="15" hidden="false" customHeight="false" outlineLevel="0" collapsed="false">
      <c r="A942" s="12"/>
      <c r="B942" s="13"/>
      <c r="C942" s="14"/>
      <c r="D942" s="14"/>
      <c r="E942" s="15"/>
      <c r="F942" s="16"/>
      <c r="G942" s="17" t="str">
        <f aca="false">IF(D942="","",IF(E942="Geldi",IF(F942="",IFERROR(INDEX(Hizmetler!$C$5:$C$54,MATCH(D942,Hizmetler!$A$5:$A$54,0)),0),F942),0))</f>
        <v/>
      </c>
      <c r="H942" s="18" t="str">
        <f aca="false">IF(OR(B942="",D942=""),"",ROUND((B942+IFERROR(INDEX(Hizmetler!$B$5:$B$54,MATCH(D942,Hizmetler!$A$5:$A$54,0)),0)/1440)*1440,0)/1440)</f>
        <v/>
      </c>
      <c r="I942" s="19" t="str">
        <f aca="false">IF(OR(A942="",H942="",E942="İptal"),"",IF(COUNTIFS($A$5:$A$1004,A942,$B$5:$B$1004,"&lt;"&amp;(H942-0.0003),$H$5:$H$1004,"&gt;"&amp;(B942+0.0003),$E$5:$E$1004,"&lt;&gt;İptal")&gt;1,"Çakışıyor",""))</f>
        <v/>
      </c>
      <c r="J942" s="21" t="str">
        <f aca="false">IF(AND(A942=Gün!$C$3,B942&lt;&gt;"",E942&lt;&gt;"İptal"),B942+ROW()/100000000,"")</f>
        <v/>
      </c>
    </row>
    <row r="943" customFormat="false" ht="15" hidden="false" customHeight="false" outlineLevel="0" collapsed="false">
      <c r="A943" s="12"/>
      <c r="B943" s="13"/>
      <c r="C943" s="14"/>
      <c r="D943" s="14"/>
      <c r="E943" s="15"/>
      <c r="F943" s="16"/>
      <c r="G943" s="17" t="str">
        <f aca="false">IF(D943="","",IF(E943="Geldi",IF(F943="",IFERROR(INDEX(Hizmetler!$C$5:$C$54,MATCH(D943,Hizmetler!$A$5:$A$54,0)),0),F943),0))</f>
        <v/>
      </c>
      <c r="H943" s="18" t="str">
        <f aca="false">IF(OR(B943="",D943=""),"",ROUND((B943+IFERROR(INDEX(Hizmetler!$B$5:$B$54,MATCH(D943,Hizmetler!$A$5:$A$54,0)),0)/1440)*1440,0)/1440)</f>
        <v/>
      </c>
      <c r="I943" s="19" t="str">
        <f aca="false">IF(OR(A943="",H943="",E943="İptal"),"",IF(COUNTIFS($A$5:$A$1004,A943,$B$5:$B$1004,"&lt;"&amp;(H943-0.0003),$H$5:$H$1004,"&gt;"&amp;(B943+0.0003),$E$5:$E$1004,"&lt;&gt;İptal")&gt;1,"Çakışıyor",""))</f>
        <v/>
      </c>
      <c r="J943" s="21" t="str">
        <f aca="false">IF(AND(A943=Gün!$C$3,B943&lt;&gt;"",E943&lt;&gt;"İptal"),B943+ROW()/100000000,"")</f>
        <v/>
      </c>
    </row>
    <row r="944" customFormat="false" ht="15" hidden="false" customHeight="false" outlineLevel="0" collapsed="false">
      <c r="A944" s="12"/>
      <c r="B944" s="13"/>
      <c r="C944" s="14"/>
      <c r="D944" s="14"/>
      <c r="E944" s="15"/>
      <c r="F944" s="16"/>
      <c r="G944" s="17" t="str">
        <f aca="false">IF(D944="","",IF(E944="Geldi",IF(F944="",IFERROR(INDEX(Hizmetler!$C$5:$C$54,MATCH(D944,Hizmetler!$A$5:$A$54,0)),0),F944),0))</f>
        <v/>
      </c>
      <c r="H944" s="18" t="str">
        <f aca="false">IF(OR(B944="",D944=""),"",ROUND((B944+IFERROR(INDEX(Hizmetler!$B$5:$B$54,MATCH(D944,Hizmetler!$A$5:$A$54,0)),0)/1440)*1440,0)/1440)</f>
        <v/>
      </c>
      <c r="I944" s="19" t="str">
        <f aca="false">IF(OR(A944="",H944="",E944="İptal"),"",IF(COUNTIFS($A$5:$A$1004,A944,$B$5:$B$1004,"&lt;"&amp;(H944-0.0003),$H$5:$H$1004,"&gt;"&amp;(B944+0.0003),$E$5:$E$1004,"&lt;&gt;İptal")&gt;1,"Çakışıyor",""))</f>
        <v/>
      </c>
      <c r="J944" s="21" t="str">
        <f aca="false">IF(AND(A944=Gün!$C$3,B944&lt;&gt;"",E944&lt;&gt;"İptal"),B944+ROW()/100000000,"")</f>
        <v/>
      </c>
    </row>
    <row r="945" customFormat="false" ht="15" hidden="false" customHeight="false" outlineLevel="0" collapsed="false">
      <c r="A945" s="12"/>
      <c r="B945" s="13"/>
      <c r="C945" s="14"/>
      <c r="D945" s="14"/>
      <c r="E945" s="15"/>
      <c r="F945" s="16"/>
      <c r="G945" s="17" t="str">
        <f aca="false">IF(D945="","",IF(E945="Geldi",IF(F945="",IFERROR(INDEX(Hizmetler!$C$5:$C$54,MATCH(D945,Hizmetler!$A$5:$A$54,0)),0),F945),0))</f>
        <v/>
      </c>
      <c r="H945" s="18" t="str">
        <f aca="false">IF(OR(B945="",D945=""),"",ROUND((B945+IFERROR(INDEX(Hizmetler!$B$5:$B$54,MATCH(D945,Hizmetler!$A$5:$A$54,0)),0)/1440)*1440,0)/1440)</f>
        <v/>
      </c>
      <c r="I945" s="19" t="str">
        <f aca="false">IF(OR(A945="",H945="",E945="İptal"),"",IF(COUNTIFS($A$5:$A$1004,A945,$B$5:$B$1004,"&lt;"&amp;(H945-0.0003),$H$5:$H$1004,"&gt;"&amp;(B945+0.0003),$E$5:$E$1004,"&lt;&gt;İptal")&gt;1,"Çakışıyor",""))</f>
        <v/>
      </c>
      <c r="J945" s="21" t="str">
        <f aca="false">IF(AND(A945=Gün!$C$3,B945&lt;&gt;"",E945&lt;&gt;"İptal"),B945+ROW()/100000000,"")</f>
        <v/>
      </c>
    </row>
    <row r="946" customFormat="false" ht="15" hidden="false" customHeight="false" outlineLevel="0" collapsed="false">
      <c r="A946" s="12"/>
      <c r="B946" s="13"/>
      <c r="C946" s="14"/>
      <c r="D946" s="14"/>
      <c r="E946" s="15"/>
      <c r="F946" s="16"/>
      <c r="G946" s="17" t="str">
        <f aca="false">IF(D946="","",IF(E946="Geldi",IF(F946="",IFERROR(INDEX(Hizmetler!$C$5:$C$54,MATCH(D946,Hizmetler!$A$5:$A$54,0)),0),F946),0))</f>
        <v/>
      </c>
      <c r="H946" s="18" t="str">
        <f aca="false">IF(OR(B946="",D946=""),"",ROUND((B946+IFERROR(INDEX(Hizmetler!$B$5:$B$54,MATCH(D946,Hizmetler!$A$5:$A$54,0)),0)/1440)*1440,0)/1440)</f>
        <v/>
      </c>
      <c r="I946" s="19" t="str">
        <f aca="false">IF(OR(A946="",H946="",E946="İptal"),"",IF(COUNTIFS($A$5:$A$1004,A946,$B$5:$B$1004,"&lt;"&amp;(H946-0.0003),$H$5:$H$1004,"&gt;"&amp;(B946+0.0003),$E$5:$E$1004,"&lt;&gt;İptal")&gt;1,"Çakışıyor",""))</f>
        <v/>
      </c>
      <c r="J946" s="21" t="str">
        <f aca="false">IF(AND(A946=Gün!$C$3,B946&lt;&gt;"",E946&lt;&gt;"İptal"),B946+ROW()/100000000,"")</f>
        <v/>
      </c>
    </row>
    <row r="947" customFormat="false" ht="15" hidden="false" customHeight="false" outlineLevel="0" collapsed="false">
      <c r="A947" s="12"/>
      <c r="B947" s="13"/>
      <c r="C947" s="14"/>
      <c r="D947" s="14"/>
      <c r="E947" s="15"/>
      <c r="F947" s="16"/>
      <c r="G947" s="17" t="str">
        <f aca="false">IF(D947="","",IF(E947="Geldi",IF(F947="",IFERROR(INDEX(Hizmetler!$C$5:$C$54,MATCH(D947,Hizmetler!$A$5:$A$54,0)),0),F947),0))</f>
        <v/>
      </c>
      <c r="H947" s="18" t="str">
        <f aca="false">IF(OR(B947="",D947=""),"",ROUND((B947+IFERROR(INDEX(Hizmetler!$B$5:$B$54,MATCH(D947,Hizmetler!$A$5:$A$54,0)),0)/1440)*1440,0)/1440)</f>
        <v/>
      </c>
      <c r="I947" s="19" t="str">
        <f aca="false">IF(OR(A947="",H947="",E947="İptal"),"",IF(COUNTIFS($A$5:$A$1004,A947,$B$5:$B$1004,"&lt;"&amp;(H947-0.0003),$H$5:$H$1004,"&gt;"&amp;(B947+0.0003),$E$5:$E$1004,"&lt;&gt;İptal")&gt;1,"Çakışıyor",""))</f>
        <v/>
      </c>
      <c r="J947" s="21" t="str">
        <f aca="false">IF(AND(A947=Gün!$C$3,B947&lt;&gt;"",E947&lt;&gt;"İptal"),B947+ROW()/100000000,"")</f>
        <v/>
      </c>
    </row>
    <row r="948" customFormat="false" ht="15" hidden="false" customHeight="false" outlineLevel="0" collapsed="false">
      <c r="A948" s="12"/>
      <c r="B948" s="13"/>
      <c r="C948" s="14"/>
      <c r="D948" s="14"/>
      <c r="E948" s="15"/>
      <c r="F948" s="16"/>
      <c r="G948" s="17" t="str">
        <f aca="false">IF(D948="","",IF(E948="Geldi",IF(F948="",IFERROR(INDEX(Hizmetler!$C$5:$C$54,MATCH(D948,Hizmetler!$A$5:$A$54,0)),0),F948),0))</f>
        <v/>
      </c>
      <c r="H948" s="18" t="str">
        <f aca="false">IF(OR(B948="",D948=""),"",ROUND((B948+IFERROR(INDEX(Hizmetler!$B$5:$B$54,MATCH(D948,Hizmetler!$A$5:$A$54,0)),0)/1440)*1440,0)/1440)</f>
        <v/>
      </c>
      <c r="I948" s="19" t="str">
        <f aca="false">IF(OR(A948="",H948="",E948="İptal"),"",IF(COUNTIFS($A$5:$A$1004,A948,$B$5:$B$1004,"&lt;"&amp;(H948-0.0003),$H$5:$H$1004,"&gt;"&amp;(B948+0.0003),$E$5:$E$1004,"&lt;&gt;İptal")&gt;1,"Çakışıyor",""))</f>
        <v/>
      </c>
      <c r="J948" s="21" t="str">
        <f aca="false">IF(AND(A948=Gün!$C$3,B948&lt;&gt;"",E948&lt;&gt;"İptal"),B948+ROW()/100000000,"")</f>
        <v/>
      </c>
    </row>
    <row r="949" customFormat="false" ht="15" hidden="false" customHeight="false" outlineLevel="0" collapsed="false">
      <c r="A949" s="12"/>
      <c r="B949" s="13"/>
      <c r="C949" s="14"/>
      <c r="D949" s="14"/>
      <c r="E949" s="15"/>
      <c r="F949" s="16"/>
      <c r="G949" s="17" t="str">
        <f aca="false">IF(D949="","",IF(E949="Geldi",IF(F949="",IFERROR(INDEX(Hizmetler!$C$5:$C$54,MATCH(D949,Hizmetler!$A$5:$A$54,0)),0),F949),0))</f>
        <v/>
      </c>
      <c r="H949" s="18" t="str">
        <f aca="false">IF(OR(B949="",D949=""),"",ROUND((B949+IFERROR(INDEX(Hizmetler!$B$5:$B$54,MATCH(D949,Hizmetler!$A$5:$A$54,0)),0)/1440)*1440,0)/1440)</f>
        <v/>
      </c>
      <c r="I949" s="19" t="str">
        <f aca="false">IF(OR(A949="",H949="",E949="İptal"),"",IF(COUNTIFS($A$5:$A$1004,A949,$B$5:$B$1004,"&lt;"&amp;(H949-0.0003),$H$5:$H$1004,"&gt;"&amp;(B949+0.0003),$E$5:$E$1004,"&lt;&gt;İptal")&gt;1,"Çakışıyor",""))</f>
        <v/>
      </c>
      <c r="J949" s="21" t="str">
        <f aca="false">IF(AND(A949=Gün!$C$3,B949&lt;&gt;"",E949&lt;&gt;"İptal"),B949+ROW()/100000000,"")</f>
        <v/>
      </c>
    </row>
    <row r="950" customFormat="false" ht="15" hidden="false" customHeight="false" outlineLevel="0" collapsed="false">
      <c r="A950" s="12"/>
      <c r="B950" s="13"/>
      <c r="C950" s="14"/>
      <c r="D950" s="14"/>
      <c r="E950" s="15"/>
      <c r="F950" s="16"/>
      <c r="G950" s="17" t="str">
        <f aca="false">IF(D950="","",IF(E950="Geldi",IF(F950="",IFERROR(INDEX(Hizmetler!$C$5:$C$54,MATCH(D950,Hizmetler!$A$5:$A$54,0)),0),F950),0))</f>
        <v/>
      </c>
      <c r="H950" s="18" t="str">
        <f aca="false">IF(OR(B950="",D950=""),"",ROUND((B950+IFERROR(INDEX(Hizmetler!$B$5:$B$54,MATCH(D950,Hizmetler!$A$5:$A$54,0)),0)/1440)*1440,0)/1440)</f>
        <v/>
      </c>
      <c r="I950" s="19" t="str">
        <f aca="false">IF(OR(A950="",H950="",E950="İptal"),"",IF(COUNTIFS($A$5:$A$1004,A950,$B$5:$B$1004,"&lt;"&amp;(H950-0.0003),$H$5:$H$1004,"&gt;"&amp;(B950+0.0003),$E$5:$E$1004,"&lt;&gt;İptal")&gt;1,"Çakışıyor",""))</f>
        <v/>
      </c>
      <c r="J950" s="21" t="str">
        <f aca="false">IF(AND(A950=Gün!$C$3,B950&lt;&gt;"",E950&lt;&gt;"İptal"),B950+ROW()/100000000,"")</f>
        <v/>
      </c>
    </row>
    <row r="951" customFormat="false" ht="15" hidden="false" customHeight="false" outlineLevel="0" collapsed="false">
      <c r="A951" s="12"/>
      <c r="B951" s="13"/>
      <c r="C951" s="14"/>
      <c r="D951" s="14"/>
      <c r="E951" s="15"/>
      <c r="F951" s="16"/>
      <c r="G951" s="17" t="str">
        <f aca="false">IF(D951="","",IF(E951="Geldi",IF(F951="",IFERROR(INDEX(Hizmetler!$C$5:$C$54,MATCH(D951,Hizmetler!$A$5:$A$54,0)),0),F951),0))</f>
        <v/>
      </c>
      <c r="H951" s="18" t="str">
        <f aca="false">IF(OR(B951="",D951=""),"",ROUND((B951+IFERROR(INDEX(Hizmetler!$B$5:$B$54,MATCH(D951,Hizmetler!$A$5:$A$54,0)),0)/1440)*1440,0)/1440)</f>
        <v/>
      </c>
      <c r="I951" s="19" t="str">
        <f aca="false">IF(OR(A951="",H951="",E951="İptal"),"",IF(COUNTIFS($A$5:$A$1004,A951,$B$5:$B$1004,"&lt;"&amp;(H951-0.0003),$H$5:$H$1004,"&gt;"&amp;(B951+0.0003),$E$5:$E$1004,"&lt;&gt;İptal")&gt;1,"Çakışıyor",""))</f>
        <v/>
      </c>
      <c r="J951" s="21" t="str">
        <f aca="false">IF(AND(A951=Gün!$C$3,B951&lt;&gt;"",E951&lt;&gt;"İptal"),B951+ROW()/100000000,"")</f>
        <v/>
      </c>
    </row>
    <row r="952" customFormat="false" ht="15" hidden="false" customHeight="false" outlineLevel="0" collapsed="false">
      <c r="A952" s="12"/>
      <c r="B952" s="13"/>
      <c r="C952" s="14"/>
      <c r="D952" s="14"/>
      <c r="E952" s="15"/>
      <c r="F952" s="16"/>
      <c r="G952" s="17" t="str">
        <f aca="false">IF(D952="","",IF(E952="Geldi",IF(F952="",IFERROR(INDEX(Hizmetler!$C$5:$C$54,MATCH(D952,Hizmetler!$A$5:$A$54,0)),0),F952),0))</f>
        <v/>
      </c>
      <c r="H952" s="18" t="str">
        <f aca="false">IF(OR(B952="",D952=""),"",ROUND((B952+IFERROR(INDEX(Hizmetler!$B$5:$B$54,MATCH(D952,Hizmetler!$A$5:$A$54,0)),0)/1440)*1440,0)/1440)</f>
        <v/>
      </c>
      <c r="I952" s="19" t="str">
        <f aca="false">IF(OR(A952="",H952="",E952="İptal"),"",IF(COUNTIFS($A$5:$A$1004,A952,$B$5:$B$1004,"&lt;"&amp;(H952-0.0003),$H$5:$H$1004,"&gt;"&amp;(B952+0.0003),$E$5:$E$1004,"&lt;&gt;İptal")&gt;1,"Çakışıyor",""))</f>
        <v/>
      </c>
      <c r="J952" s="21" t="str">
        <f aca="false">IF(AND(A952=Gün!$C$3,B952&lt;&gt;"",E952&lt;&gt;"İptal"),B952+ROW()/100000000,"")</f>
        <v/>
      </c>
    </row>
    <row r="953" customFormat="false" ht="15" hidden="false" customHeight="false" outlineLevel="0" collapsed="false">
      <c r="A953" s="12"/>
      <c r="B953" s="13"/>
      <c r="C953" s="14"/>
      <c r="D953" s="14"/>
      <c r="E953" s="15"/>
      <c r="F953" s="16"/>
      <c r="G953" s="17" t="str">
        <f aca="false">IF(D953="","",IF(E953="Geldi",IF(F953="",IFERROR(INDEX(Hizmetler!$C$5:$C$54,MATCH(D953,Hizmetler!$A$5:$A$54,0)),0),F953),0))</f>
        <v/>
      </c>
      <c r="H953" s="18" t="str">
        <f aca="false">IF(OR(B953="",D953=""),"",ROUND((B953+IFERROR(INDEX(Hizmetler!$B$5:$B$54,MATCH(D953,Hizmetler!$A$5:$A$54,0)),0)/1440)*1440,0)/1440)</f>
        <v/>
      </c>
      <c r="I953" s="19" t="str">
        <f aca="false">IF(OR(A953="",H953="",E953="İptal"),"",IF(COUNTIFS($A$5:$A$1004,A953,$B$5:$B$1004,"&lt;"&amp;(H953-0.0003),$H$5:$H$1004,"&gt;"&amp;(B953+0.0003),$E$5:$E$1004,"&lt;&gt;İptal")&gt;1,"Çakışıyor",""))</f>
        <v/>
      </c>
      <c r="J953" s="21" t="str">
        <f aca="false">IF(AND(A953=Gün!$C$3,B953&lt;&gt;"",E953&lt;&gt;"İptal"),B953+ROW()/100000000,"")</f>
        <v/>
      </c>
    </row>
    <row r="954" customFormat="false" ht="15" hidden="false" customHeight="false" outlineLevel="0" collapsed="false">
      <c r="A954" s="12"/>
      <c r="B954" s="13"/>
      <c r="C954" s="14"/>
      <c r="D954" s="14"/>
      <c r="E954" s="15"/>
      <c r="F954" s="16"/>
      <c r="G954" s="17" t="str">
        <f aca="false">IF(D954="","",IF(E954="Geldi",IF(F954="",IFERROR(INDEX(Hizmetler!$C$5:$C$54,MATCH(D954,Hizmetler!$A$5:$A$54,0)),0),F954),0))</f>
        <v/>
      </c>
      <c r="H954" s="18" t="str">
        <f aca="false">IF(OR(B954="",D954=""),"",ROUND((B954+IFERROR(INDEX(Hizmetler!$B$5:$B$54,MATCH(D954,Hizmetler!$A$5:$A$54,0)),0)/1440)*1440,0)/1440)</f>
        <v/>
      </c>
      <c r="I954" s="19" t="str">
        <f aca="false">IF(OR(A954="",H954="",E954="İptal"),"",IF(COUNTIFS($A$5:$A$1004,A954,$B$5:$B$1004,"&lt;"&amp;(H954-0.0003),$H$5:$H$1004,"&gt;"&amp;(B954+0.0003),$E$5:$E$1004,"&lt;&gt;İptal")&gt;1,"Çakışıyor",""))</f>
        <v/>
      </c>
      <c r="J954" s="21" t="str">
        <f aca="false">IF(AND(A954=Gün!$C$3,B954&lt;&gt;"",E954&lt;&gt;"İptal"),B954+ROW()/100000000,"")</f>
        <v/>
      </c>
    </row>
    <row r="955" customFormat="false" ht="15" hidden="false" customHeight="false" outlineLevel="0" collapsed="false">
      <c r="A955" s="12"/>
      <c r="B955" s="13"/>
      <c r="C955" s="14"/>
      <c r="D955" s="14"/>
      <c r="E955" s="15"/>
      <c r="F955" s="16"/>
      <c r="G955" s="17" t="str">
        <f aca="false">IF(D955="","",IF(E955="Geldi",IF(F955="",IFERROR(INDEX(Hizmetler!$C$5:$C$54,MATCH(D955,Hizmetler!$A$5:$A$54,0)),0),F955),0))</f>
        <v/>
      </c>
      <c r="H955" s="18" t="str">
        <f aca="false">IF(OR(B955="",D955=""),"",ROUND((B955+IFERROR(INDEX(Hizmetler!$B$5:$B$54,MATCH(D955,Hizmetler!$A$5:$A$54,0)),0)/1440)*1440,0)/1440)</f>
        <v/>
      </c>
      <c r="I955" s="19" t="str">
        <f aca="false">IF(OR(A955="",H955="",E955="İptal"),"",IF(COUNTIFS($A$5:$A$1004,A955,$B$5:$B$1004,"&lt;"&amp;(H955-0.0003),$H$5:$H$1004,"&gt;"&amp;(B955+0.0003),$E$5:$E$1004,"&lt;&gt;İptal")&gt;1,"Çakışıyor",""))</f>
        <v/>
      </c>
      <c r="J955" s="21" t="str">
        <f aca="false">IF(AND(A955=Gün!$C$3,B955&lt;&gt;"",E955&lt;&gt;"İptal"),B955+ROW()/100000000,"")</f>
        <v/>
      </c>
    </row>
    <row r="956" customFormat="false" ht="15" hidden="false" customHeight="false" outlineLevel="0" collapsed="false">
      <c r="A956" s="12"/>
      <c r="B956" s="13"/>
      <c r="C956" s="14"/>
      <c r="D956" s="14"/>
      <c r="E956" s="15"/>
      <c r="F956" s="16"/>
      <c r="G956" s="17" t="str">
        <f aca="false">IF(D956="","",IF(E956="Geldi",IF(F956="",IFERROR(INDEX(Hizmetler!$C$5:$C$54,MATCH(D956,Hizmetler!$A$5:$A$54,0)),0),F956),0))</f>
        <v/>
      </c>
      <c r="H956" s="18" t="str">
        <f aca="false">IF(OR(B956="",D956=""),"",ROUND((B956+IFERROR(INDEX(Hizmetler!$B$5:$B$54,MATCH(D956,Hizmetler!$A$5:$A$54,0)),0)/1440)*1440,0)/1440)</f>
        <v/>
      </c>
      <c r="I956" s="19" t="str">
        <f aca="false">IF(OR(A956="",H956="",E956="İptal"),"",IF(COUNTIFS($A$5:$A$1004,A956,$B$5:$B$1004,"&lt;"&amp;(H956-0.0003),$H$5:$H$1004,"&gt;"&amp;(B956+0.0003),$E$5:$E$1004,"&lt;&gt;İptal")&gt;1,"Çakışıyor",""))</f>
        <v/>
      </c>
      <c r="J956" s="21" t="str">
        <f aca="false">IF(AND(A956=Gün!$C$3,B956&lt;&gt;"",E956&lt;&gt;"İptal"),B956+ROW()/100000000,"")</f>
        <v/>
      </c>
    </row>
    <row r="957" customFormat="false" ht="15" hidden="false" customHeight="false" outlineLevel="0" collapsed="false">
      <c r="A957" s="12"/>
      <c r="B957" s="13"/>
      <c r="C957" s="14"/>
      <c r="D957" s="14"/>
      <c r="E957" s="15"/>
      <c r="F957" s="16"/>
      <c r="G957" s="17" t="str">
        <f aca="false">IF(D957="","",IF(E957="Geldi",IF(F957="",IFERROR(INDEX(Hizmetler!$C$5:$C$54,MATCH(D957,Hizmetler!$A$5:$A$54,0)),0),F957),0))</f>
        <v/>
      </c>
      <c r="H957" s="18" t="str">
        <f aca="false">IF(OR(B957="",D957=""),"",ROUND((B957+IFERROR(INDEX(Hizmetler!$B$5:$B$54,MATCH(D957,Hizmetler!$A$5:$A$54,0)),0)/1440)*1440,0)/1440)</f>
        <v/>
      </c>
      <c r="I957" s="19" t="str">
        <f aca="false">IF(OR(A957="",H957="",E957="İptal"),"",IF(COUNTIFS($A$5:$A$1004,A957,$B$5:$B$1004,"&lt;"&amp;(H957-0.0003),$H$5:$H$1004,"&gt;"&amp;(B957+0.0003),$E$5:$E$1004,"&lt;&gt;İptal")&gt;1,"Çakışıyor",""))</f>
        <v/>
      </c>
      <c r="J957" s="21" t="str">
        <f aca="false">IF(AND(A957=Gün!$C$3,B957&lt;&gt;"",E957&lt;&gt;"İptal"),B957+ROW()/100000000,"")</f>
        <v/>
      </c>
    </row>
    <row r="958" customFormat="false" ht="15" hidden="false" customHeight="false" outlineLevel="0" collapsed="false">
      <c r="A958" s="12"/>
      <c r="B958" s="13"/>
      <c r="C958" s="14"/>
      <c r="D958" s="14"/>
      <c r="E958" s="15"/>
      <c r="F958" s="16"/>
      <c r="G958" s="17" t="str">
        <f aca="false">IF(D958="","",IF(E958="Geldi",IF(F958="",IFERROR(INDEX(Hizmetler!$C$5:$C$54,MATCH(D958,Hizmetler!$A$5:$A$54,0)),0),F958),0))</f>
        <v/>
      </c>
      <c r="H958" s="18" t="str">
        <f aca="false">IF(OR(B958="",D958=""),"",ROUND((B958+IFERROR(INDEX(Hizmetler!$B$5:$B$54,MATCH(D958,Hizmetler!$A$5:$A$54,0)),0)/1440)*1440,0)/1440)</f>
        <v/>
      </c>
      <c r="I958" s="19" t="str">
        <f aca="false">IF(OR(A958="",H958="",E958="İptal"),"",IF(COUNTIFS($A$5:$A$1004,A958,$B$5:$B$1004,"&lt;"&amp;(H958-0.0003),$H$5:$H$1004,"&gt;"&amp;(B958+0.0003),$E$5:$E$1004,"&lt;&gt;İptal")&gt;1,"Çakışıyor",""))</f>
        <v/>
      </c>
      <c r="J958" s="21" t="str">
        <f aca="false">IF(AND(A958=Gün!$C$3,B958&lt;&gt;"",E958&lt;&gt;"İptal"),B958+ROW()/100000000,"")</f>
        <v/>
      </c>
    </row>
    <row r="959" customFormat="false" ht="15" hidden="false" customHeight="false" outlineLevel="0" collapsed="false">
      <c r="A959" s="12"/>
      <c r="B959" s="13"/>
      <c r="C959" s="14"/>
      <c r="D959" s="14"/>
      <c r="E959" s="15"/>
      <c r="F959" s="16"/>
      <c r="G959" s="17" t="str">
        <f aca="false">IF(D959="","",IF(E959="Geldi",IF(F959="",IFERROR(INDEX(Hizmetler!$C$5:$C$54,MATCH(D959,Hizmetler!$A$5:$A$54,0)),0),F959),0))</f>
        <v/>
      </c>
      <c r="H959" s="18" t="str">
        <f aca="false">IF(OR(B959="",D959=""),"",ROUND((B959+IFERROR(INDEX(Hizmetler!$B$5:$B$54,MATCH(D959,Hizmetler!$A$5:$A$54,0)),0)/1440)*1440,0)/1440)</f>
        <v/>
      </c>
      <c r="I959" s="19" t="str">
        <f aca="false">IF(OR(A959="",H959="",E959="İptal"),"",IF(COUNTIFS($A$5:$A$1004,A959,$B$5:$B$1004,"&lt;"&amp;(H959-0.0003),$H$5:$H$1004,"&gt;"&amp;(B959+0.0003),$E$5:$E$1004,"&lt;&gt;İptal")&gt;1,"Çakışıyor",""))</f>
        <v/>
      </c>
      <c r="J959" s="21" t="str">
        <f aca="false">IF(AND(A959=Gün!$C$3,B959&lt;&gt;"",E959&lt;&gt;"İptal"),B959+ROW()/100000000,"")</f>
        <v/>
      </c>
    </row>
    <row r="960" customFormat="false" ht="15" hidden="false" customHeight="false" outlineLevel="0" collapsed="false">
      <c r="A960" s="12"/>
      <c r="B960" s="13"/>
      <c r="C960" s="14"/>
      <c r="D960" s="14"/>
      <c r="E960" s="15"/>
      <c r="F960" s="16"/>
      <c r="G960" s="17" t="str">
        <f aca="false">IF(D960="","",IF(E960="Geldi",IF(F960="",IFERROR(INDEX(Hizmetler!$C$5:$C$54,MATCH(D960,Hizmetler!$A$5:$A$54,0)),0),F960),0))</f>
        <v/>
      </c>
      <c r="H960" s="18" t="str">
        <f aca="false">IF(OR(B960="",D960=""),"",ROUND((B960+IFERROR(INDEX(Hizmetler!$B$5:$B$54,MATCH(D960,Hizmetler!$A$5:$A$54,0)),0)/1440)*1440,0)/1440)</f>
        <v/>
      </c>
      <c r="I960" s="19" t="str">
        <f aca="false">IF(OR(A960="",H960="",E960="İptal"),"",IF(COUNTIFS($A$5:$A$1004,A960,$B$5:$B$1004,"&lt;"&amp;(H960-0.0003),$H$5:$H$1004,"&gt;"&amp;(B960+0.0003),$E$5:$E$1004,"&lt;&gt;İptal")&gt;1,"Çakışıyor",""))</f>
        <v/>
      </c>
      <c r="J960" s="21" t="str">
        <f aca="false">IF(AND(A960=Gün!$C$3,B960&lt;&gt;"",E960&lt;&gt;"İptal"),B960+ROW()/100000000,"")</f>
        <v/>
      </c>
    </row>
    <row r="961" customFormat="false" ht="15" hidden="false" customHeight="false" outlineLevel="0" collapsed="false">
      <c r="A961" s="12"/>
      <c r="B961" s="13"/>
      <c r="C961" s="14"/>
      <c r="D961" s="14"/>
      <c r="E961" s="15"/>
      <c r="F961" s="16"/>
      <c r="G961" s="17" t="str">
        <f aca="false">IF(D961="","",IF(E961="Geldi",IF(F961="",IFERROR(INDEX(Hizmetler!$C$5:$C$54,MATCH(D961,Hizmetler!$A$5:$A$54,0)),0),F961),0))</f>
        <v/>
      </c>
      <c r="H961" s="18" t="str">
        <f aca="false">IF(OR(B961="",D961=""),"",ROUND((B961+IFERROR(INDEX(Hizmetler!$B$5:$B$54,MATCH(D961,Hizmetler!$A$5:$A$54,0)),0)/1440)*1440,0)/1440)</f>
        <v/>
      </c>
      <c r="I961" s="19" t="str">
        <f aca="false">IF(OR(A961="",H961="",E961="İptal"),"",IF(COUNTIFS($A$5:$A$1004,A961,$B$5:$B$1004,"&lt;"&amp;(H961-0.0003),$H$5:$H$1004,"&gt;"&amp;(B961+0.0003),$E$5:$E$1004,"&lt;&gt;İptal")&gt;1,"Çakışıyor",""))</f>
        <v/>
      </c>
      <c r="J961" s="21" t="str">
        <f aca="false">IF(AND(A961=Gün!$C$3,B961&lt;&gt;"",E961&lt;&gt;"İptal"),B961+ROW()/100000000,"")</f>
        <v/>
      </c>
    </row>
    <row r="962" customFormat="false" ht="15" hidden="false" customHeight="false" outlineLevel="0" collapsed="false">
      <c r="A962" s="12"/>
      <c r="B962" s="13"/>
      <c r="C962" s="14"/>
      <c r="D962" s="14"/>
      <c r="E962" s="15"/>
      <c r="F962" s="16"/>
      <c r="G962" s="17" t="str">
        <f aca="false">IF(D962="","",IF(E962="Geldi",IF(F962="",IFERROR(INDEX(Hizmetler!$C$5:$C$54,MATCH(D962,Hizmetler!$A$5:$A$54,0)),0),F962),0))</f>
        <v/>
      </c>
      <c r="H962" s="18" t="str">
        <f aca="false">IF(OR(B962="",D962=""),"",ROUND((B962+IFERROR(INDEX(Hizmetler!$B$5:$B$54,MATCH(D962,Hizmetler!$A$5:$A$54,0)),0)/1440)*1440,0)/1440)</f>
        <v/>
      </c>
      <c r="I962" s="19" t="str">
        <f aca="false">IF(OR(A962="",H962="",E962="İptal"),"",IF(COUNTIFS($A$5:$A$1004,A962,$B$5:$B$1004,"&lt;"&amp;(H962-0.0003),$H$5:$H$1004,"&gt;"&amp;(B962+0.0003),$E$5:$E$1004,"&lt;&gt;İptal")&gt;1,"Çakışıyor",""))</f>
        <v/>
      </c>
      <c r="J962" s="21" t="str">
        <f aca="false">IF(AND(A962=Gün!$C$3,B962&lt;&gt;"",E962&lt;&gt;"İptal"),B962+ROW()/100000000,"")</f>
        <v/>
      </c>
    </row>
    <row r="963" customFormat="false" ht="15" hidden="false" customHeight="false" outlineLevel="0" collapsed="false">
      <c r="A963" s="12"/>
      <c r="B963" s="13"/>
      <c r="C963" s="14"/>
      <c r="D963" s="14"/>
      <c r="E963" s="15"/>
      <c r="F963" s="16"/>
      <c r="G963" s="17" t="str">
        <f aca="false">IF(D963="","",IF(E963="Geldi",IF(F963="",IFERROR(INDEX(Hizmetler!$C$5:$C$54,MATCH(D963,Hizmetler!$A$5:$A$54,0)),0),F963),0))</f>
        <v/>
      </c>
      <c r="H963" s="18" t="str">
        <f aca="false">IF(OR(B963="",D963=""),"",ROUND((B963+IFERROR(INDEX(Hizmetler!$B$5:$B$54,MATCH(D963,Hizmetler!$A$5:$A$54,0)),0)/1440)*1440,0)/1440)</f>
        <v/>
      </c>
      <c r="I963" s="19" t="str">
        <f aca="false">IF(OR(A963="",H963="",E963="İptal"),"",IF(COUNTIFS($A$5:$A$1004,A963,$B$5:$B$1004,"&lt;"&amp;(H963-0.0003),$H$5:$H$1004,"&gt;"&amp;(B963+0.0003),$E$5:$E$1004,"&lt;&gt;İptal")&gt;1,"Çakışıyor",""))</f>
        <v/>
      </c>
      <c r="J963" s="21" t="str">
        <f aca="false">IF(AND(A963=Gün!$C$3,B963&lt;&gt;"",E963&lt;&gt;"İptal"),B963+ROW()/100000000,"")</f>
        <v/>
      </c>
    </row>
    <row r="964" customFormat="false" ht="15" hidden="false" customHeight="false" outlineLevel="0" collapsed="false">
      <c r="A964" s="12"/>
      <c r="B964" s="13"/>
      <c r="C964" s="14"/>
      <c r="D964" s="14"/>
      <c r="E964" s="15"/>
      <c r="F964" s="16"/>
      <c r="G964" s="17" t="str">
        <f aca="false">IF(D964="","",IF(E964="Geldi",IF(F964="",IFERROR(INDEX(Hizmetler!$C$5:$C$54,MATCH(D964,Hizmetler!$A$5:$A$54,0)),0),F964),0))</f>
        <v/>
      </c>
      <c r="H964" s="18" t="str">
        <f aca="false">IF(OR(B964="",D964=""),"",ROUND((B964+IFERROR(INDEX(Hizmetler!$B$5:$B$54,MATCH(D964,Hizmetler!$A$5:$A$54,0)),0)/1440)*1440,0)/1440)</f>
        <v/>
      </c>
      <c r="I964" s="19" t="str">
        <f aca="false">IF(OR(A964="",H964="",E964="İptal"),"",IF(COUNTIFS($A$5:$A$1004,A964,$B$5:$B$1004,"&lt;"&amp;(H964-0.0003),$H$5:$H$1004,"&gt;"&amp;(B964+0.0003),$E$5:$E$1004,"&lt;&gt;İptal")&gt;1,"Çakışıyor",""))</f>
        <v/>
      </c>
      <c r="J964" s="21" t="str">
        <f aca="false">IF(AND(A964=Gün!$C$3,B964&lt;&gt;"",E964&lt;&gt;"İptal"),B964+ROW()/100000000,"")</f>
        <v/>
      </c>
    </row>
    <row r="965" customFormat="false" ht="15" hidden="false" customHeight="false" outlineLevel="0" collapsed="false">
      <c r="A965" s="12"/>
      <c r="B965" s="13"/>
      <c r="C965" s="14"/>
      <c r="D965" s="14"/>
      <c r="E965" s="15"/>
      <c r="F965" s="16"/>
      <c r="G965" s="17" t="str">
        <f aca="false">IF(D965="","",IF(E965="Geldi",IF(F965="",IFERROR(INDEX(Hizmetler!$C$5:$C$54,MATCH(D965,Hizmetler!$A$5:$A$54,0)),0),F965),0))</f>
        <v/>
      </c>
      <c r="H965" s="18" t="str">
        <f aca="false">IF(OR(B965="",D965=""),"",ROUND((B965+IFERROR(INDEX(Hizmetler!$B$5:$B$54,MATCH(D965,Hizmetler!$A$5:$A$54,0)),0)/1440)*1440,0)/1440)</f>
        <v/>
      </c>
      <c r="I965" s="19" t="str">
        <f aca="false">IF(OR(A965="",H965="",E965="İptal"),"",IF(COUNTIFS($A$5:$A$1004,A965,$B$5:$B$1004,"&lt;"&amp;(H965-0.0003),$H$5:$H$1004,"&gt;"&amp;(B965+0.0003),$E$5:$E$1004,"&lt;&gt;İptal")&gt;1,"Çakışıyor",""))</f>
        <v/>
      </c>
      <c r="J965" s="21" t="str">
        <f aca="false">IF(AND(A965=Gün!$C$3,B965&lt;&gt;"",E965&lt;&gt;"İptal"),B965+ROW()/100000000,"")</f>
        <v/>
      </c>
    </row>
    <row r="966" customFormat="false" ht="15" hidden="false" customHeight="false" outlineLevel="0" collapsed="false">
      <c r="A966" s="12"/>
      <c r="B966" s="13"/>
      <c r="C966" s="14"/>
      <c r="D966" s="14"/>
      <c r="E966" s="15"/>
      <c r="F966" s="16"/>
      <c r="G966" s="17" t="str">
        <f aca="false">IF(D966="","",IF(E966="Geldi",IF(F966="",IFERROR(INDEX(Hizmetler!$C$5:$C$54,MATCH(D966,Hizmetler!$A$5:$A$54,0)),0),F966),0))</f>
        <v/>
      </c>
      <c r="H966" s="18" t="str">
        <f aca="false">IF(OR(B966="",D966=""),"",ROUND((B966+IFERROR(INDEX(Hizmetler!$B$5:$B$54,MATCH(D966,Hizmetler!$A$5:$A$54,0)),0)/1440)*1440,0)/1440)</f>
        <v/>
      </c>
      <c r="I966" s="19" t="str">
        <f aca="false">IF(OR(A966="",H966="",E966="İptal"),"",IF(COUNTIFS($A$5:$A$1004,A966,$B$5:$B$1004,"&lt;"&amp;(H966-0.0003),$H$5:$H$1004,"&gt;"&amp;(B966+0.0003),$E$5:$E$1004,"&lt;&gt;İptal")&gt;1,"Çakışıyor",""))</f>
        <v/>
      </c>
      <c r="J966" s="21" t="str">
        <f aca="false">IF(AND(A966=Gün!$C$3,B966&lt;&gt;"",E966&lt;&gt;"İptal"),B966+ROW()/100000000,"")</f>
        <v/>
      </c>
    </row>
    <row r="967" customFormat="false" ht="15" hidden="false" customHeight="false" outlineLevel="0" collapsed="false">
      <c r="A967" s="12"/>
      <c r="B967" s="13"/>
      <c r="C967" s="14"/>
      <c r="D967" s="14"/>
      <c r="E967" s="15"/>
      <c r="F967" s="16"/>
      <c r="G967" s="17" t="str">
        <f aca="false">IF(D967="","",IF(E967="Geldi",IF(F967="",IFERROR(INDEX(Hizmetler!$C$5:$C$54,MATCH(D967,Hizmetler!$A$5:$A$54,0)),0),F967),0))</f>
        <v/>
      </c>
      <c r="H967" s="18" t="str">
        <f aca="false">IF(OR(B967="",D967=""),"",ROUND((B967+IFERROR(INDEX(Hizmetler!$B$5:$B$54,MATCH(D967,Hizmetler!$A$5:$A$54,0)),0)/1440)*1440,0)/1440)</f>
        <v/>
      </c>
      <c r="I967" s="19" t="str">
        <f aca="false">IF(OR(A967="",H967="",E967="İptal"),"",IF(COUNTIFS($A$5:$A$1004,A967,$B$5:$B$1004,"&lt;"&amp;(H967-0.0003),$H$5:$H$1004,"&gt;"&amp;(B967+0.0003),$E$5:$E$1004,"&lt;&gt;İptal")&gt;1,"Çakışıyor",""))</f>
        <v/>
      </c>
      <c r="J967" s="21" t="str">
        <f aca="false">IF(AND(A967=Gün!$C$3,B967&lt;&gt;"",E967&lt;&gt;"İptal"),B967+ROW()/100000000,"")</f>
        <v/>
      </c>
    </row>
    <row r="968" customFormat="false" ht="15" hidden="false" customHeight="false" outlineLevel="0" collapsed="false">
      <c r="A968" s="12"/>
      <c r="B968" s="13"/>
      <c r="C968" s="14"/>
      <c r="D968" s="14"/>
      <c r="E968" s="15"/>
      <c r="F968" s="16"/>
      <c r="G968" s="17" t="str">
        <f aca="false">IF(D968="","",IF(E968="Geldi",IF(F968="",IFERROR(INDEX(Hizmetler!$C$5:$C$54,MATCH(D968,Hizmetler!$A$5:$A$54,0)),0),F968),0))</f>
        <v/>
      </c>
      <c r="H968" s="18" t="str">
        <f aca="false">IF(OR(B968="",D968=""),"",ROUND((B968+IFERROR(INDEX(Hizmetler!$B$5:$B$54,MATCH(D968,Hizmetler!$A$5:$A$54,0)),0)/1440)*1440,0)/1440)</f>
        <v/>
      </c>
      <c r="I968" s="19" t="str">
        <f aca="false">IF(OR(A968="",H968="",E968="İptal"),"",IF(COUNTIFS($A$5:$A$1004,A968,$B$5:$B$1004,"&lt;"&amp;(H968-0.0003),$H$5:$H$1004,"&gt;"&amp;(B968+0.0003),$E$5:$E$1004,"&lt;&gt;İptal")&gt;1,"Çakışıyor",""))</f>
        <v/>
      </c>
      <c r="J968" s="21" t="str">
        <f aca="false">IF(AND(A968=Gün!$C$3,B968&lt;&gt;"",E968&lt;&gt;"İptal"),B968+ROW()/100000000,"")</f>
        <v/>
      </c>
    </row>
    <row r="969" customFormat="false" ht="15" hidden="false" customHeight="false" outlineLevel="0" collapsed="false">
      <c r="A969" s="12"/>
      <c r="B969" s="13"/>
      <c r="C969" s="14"/>
      <c r="D969" s="14"/>
      <c r="E969" s="15"/>
      <c r="F969" s="16"/>
      <c r="G969" s="17" t="str">
        <f aca="false">IF(D969="","",IF(E969="Geldi",IF(F969="",IFERROR(INDEX(Hizmetler!$C$5:$C$54,MATCH(D969,Hizmetler!$A$5:$A$54,0)),0),F969),0))</f>
        <v/>
      </c>
      <c r="H969" s="18" t="str">
        <f aca="false">IF(OR(B969="",D969=""),"",ROUND((B969+IFERROR(INDEX(Hizmetler!$B$5:$B$54,MATCH(D969,Hizmetler!$A$5:$A$54,0)),0)/1440)*1440,0)/1440)</f>
        <v/>
      </c>
      <c r="I969" s="19" t="str">
        <f aca="false">IF(OR(A969="",H969="",E969="İptal"),"",IF(COUNTIFS($A$5:$A$1004,A969,$B$5:$B$1004,"&lt;"&amp;(H969-0.0003),$H$5:$H$1004,"&gt;"&amp;(B969+0.0003),$E$5:$E$1004,"&lt;&gt;İptal")&gt;1,"Çakışıyor",""))</f>
        <v/>
      </c>
      <c r="J969" s="21" t="str">
        <f aca="false">IF(AND(A969=Gün!$C$3,B969&lt;&gt;"",E969&lt;&gt;"İptal"),B969+ROW()/100000000,"")</f>
        <v/>
      </c>
    </row>
    <row r="970" customFormat="false" ht="15" hidden="false" customHeight="false" outlineLevel="0" collapsed="false">
      <c r="A970" s="12"/>
      <c r="B970" s="13"/>
      <c r="C970" s="14"/>
      <c r="D970" s="14"/>
      <c r="E970" s="15"/>
      <c r="F970" s="16"/>
      <c r="G970" s="17" t="str">
        <f aca="false">IF(D970="","",IF(E970="Geldi",IF(F970="",IFERROR(INDEX(Hizmetler!$C$5:$C$54,MATCH(D970,Hizmetler!$A$5:$A$54,0)),0),F970),0))</f>
        <v/>
      </c>
      <c r="H970" s="18" t="str">
        <f aca="false">IF(OR(B970="",D970=""),"",ROUND((B970+IFERROR(INDEX(Hizmetler!$B$5:$B$54,MATCH(D970,Hizmetler!$A$5:$A$54,0)),0)/1440)*1440,0)/1440)</f>
        <v/>
      </c>
      <c r="I970" s="19" t="str">
        <f aca="false">IF(OR(A970="",H970="",E970="İptal"),"",IF(COUNTIFS($A$5:$A$1004,A970,$B$5:$B$1004,"&lt;"&amp;(H970-0.0003),$H$5:$H$1004,"&gt;"&amp;(B970+0.0003),$E$5:$E$1004,"&lt;&gt;İptal")&gt;1,"Çakışıyor",""))</f>
        <v/>
      </c>
      <c r="J970" s="21" t="str">
        <f aca="false">IF(AND(A970=Gün!$C$3,B970&lt;&gt;"",E970&lt;&gt;"İptal"),B970+ROW()/100000000,"")</f>
        <v/>
      </c>
    </row>
    <row r="971" customFormat="false" ht="15" hidden="false" customHeight="false" outlineLevel="0" collapsed="false">
      <c r="A971" s="12"/>
      <c r="B971" s="13"/>
      <c r="C971" s="14"/>
      <c r="D971" s="14"/>
      <c r="E971" s="15"/>
      <c r="F971" s="16"/>
      <c r="G971" s="17" t="str">
        <f aca="false">IF(D971="","",IF(E971="Geldi",IF(F971="",IFERROR(INDEX(Hizmetler!$C$5:$C$54,MATCH(D971,Hizmetler!$A$5:$A$54,0)),0),F971),0))</f>
        <v/>
      </c>
      <c r="H971" s="18" t="str">
        <f aca="false">IF(OR(B971="",D971=""),"",ROUND((B971+IFERROR(INDEX(Hizmetler!$B$5:$B$54,MATCH(D971,Hizmetler!$A$5:$A$54,0)),0)/1440)*1440,0)/1440)</f>
        <v/>
      </c>
      <c r="I971" s="19" t="str">
        <f aca="false">IF(OR(A971="",H971="",E971="İptal"),"",IF(COUNTIFS($A$5:$A$1004,A971,$B$5:$B$1004,"&lt;"&amp;(H971-0.0003),$H$5:$H$1004,"&gt;"&amp;(B971+0.0003),$E$5:$E$1004,"&lt;&gt;İptal")&gt;1,"Çakışıyor",""))</f>
        <v/>
      </c>
      <c r="J971" s="21" t="str">
        <f aca="false">IF(AND(A971=Gün!$C$3,B971&lt;&gt;"",E971&lt;&gt;"İptal"),B971+ROW()/100000000,"")</f>
        <v/>
      </c>
    </row>
    <row r="972" customFormat="false" ht="15" hidden="false" customHeight="false" outlineLevel="0" collapsed="false">
      <c r="A972" s="12"/>
      <c r="B972" s="13"/>
      <c r="C972" s="14"/>
      <c r="D972" s="14"/>
      <c r="E972" s="15"/>
      <c r="F972" s="16"/>
      <c r="G972" s="17" t="str">
        <f aca="false">IF(D972="","",IF(E972="Geldi",IF(F972="",IFERROR(INDEX(Hizmetler!$C$5:$C$54,MATCH(D972,Hizmetler!$A$5:$A$54,0)),0),F972),0))</f>
        <v/>
      </c>
      <c r="H972" s="18" t="str">
        <f aca="false">IF(OR(B972="",D972=""),"",ROUND((B972+IFERROR(INDEX(Hizmetler!$B$5:$B$54,MATCH(D972,Hizmetler!$A$5:$A$54,0)),0)/1440)*1440,0)/1440)</f>
        <v/>
      </c>
      <c r="I972" s="19" t="str">
        <f aca="false">IF(OR(A972="",H972="",E972="İptal"),"",IF(COUNTIFS($A$5:$A$1004,A972,$B$5:$B$1004,"&lt;"&amp;(H972-0.0003),$H$5:$H$1004,"&gt;"&amp;(B972+0.0003),$E$5:$E$1004,"&lt;&gt;İptal")&gt;1,"Çakışıyor",""))</f>
        <v/>
      </c>
      <c r="J972" s="21" t="str">
        <f aca="false">IF(AND(A972=Gün!$C$3,B972&lt;&gt;"",E972&lt;&gt;"İptal"),B972+ROW()/100000000,"")</f>
        <v/>
      </c>
    </row>
    <row r="973" customFormat="false" ht="15" hidden="false" customHeight="false" outlineLevel="0" collapsed="false">
      <c r="A973" s="12"/>
      <c r="B973" s="13"/>
      <c r="C973" s="14"/>
      <c r="D973" s="14"/>
      <c r="E973" s="15"/>
      <c r="F973" s="16"/>
      <c r="G973" s="17" t="str">
        <f aca="false">IF(D973="","",IF(E973="Geldi",IF(F973="",IFERROR(INDEX(Hizmetler!$C$5:$C$54,MATCH(D973,Hizmetler!$A$5:$A$54,0)),0),F973),0))</f>
        <v/>
      </c>
      <c r="H973" s="18" t="str">
        <f aca="false">IF(OR(B973="",D973=""),"",ROUND((B973+IFERROR(INDEX(Hizmetler!$B$5:$B$54,MATCH(D973,Hizmetler!$A$5:$A$54,0)),0)/1440)*1440,0)/1440)</f>
        <v/>
      </c>
      <c r="I973" s="19" t="str">
        <f aca="false">IF(OR(A973="",H973="",E973="İptal"),"",IF(COUNTIFS($A$5:$A$1004,A973,$B$5:$B$1004,"&lt;"&amp;(H973-0.0003),$H$5:$H$1004,"&gt;"&amp;(B973+0.0003),$E$5:$E$1004,"&lt;&gt;İptal")&gt;1,"Çakışıyor",""))</f>
        <v/>
      </c>
      <c r="J973" s="21" t="str">
        <f aca="false">IF(AND(A973=Gün!$C$3,B973&lt;&gt;"",E973&lt;&gt;"İptal"),B973+ROW()/100000000,"")</f>
        <v/>
      </c>
    </row>
    <row r="974" customFormat="false" ht="15" hidden="false" customHeight="false" outlineLevel="0" collapsed="false">
      <c r="A974" s="12"/>
      <c r="B974" s="13"/>
      <c r="C974" s="14"/>
      <c r="D974" s="14"/>
      <c r="E974" s="15"/>
      <c r="F974" s="16"/>
      <c r="G974" s="17" t="str">
        <f aca="false">IF(D974="","",IF(E974="Geldi",IF(F974="",IFERROR(INDEX(Hizmetler!$C$5:$C$54,MATCH(D974,Hizmetler!$A$5:$A$54,0)),0),F974),0))</f>
        <v/>
      </c>
      <c r="H974" s="18" t="str">
        <f aca="false">IF(OR(B974="",D974=""),"",ROUND((B974+IFERROR(INDEX(Hizmetler!$B$5:$B$54,MATCH(D974,Hizmetler!$A$5:$A$54,0)),0)/1440)*1440,0)/1440)</f>
        <v/>
      </c>
      <c r="I974" s="19" t="str">
        <f aca="false">IF(OR(A974="",H974="",E974="İptal"),"",IF(COUNTIFS($A$5:$A$1004,A974,$B$5:$B$1004,"&lt;"&amp;(H974-0.0003),$H$5:$H$1004,"&gt;"&amp;(B974+0.0003),$E$5:$E$1004,"&lt;&gt;İptal")&gt;1,"Çakışıyor",""))</f>
        <v/>
      </c>
      <c r="J974" s="21" t="str">
        <f aca="false">IF(AND(A974=Gün!$C$3,B974&lt;&gt;"",E974&lt;&gt;"İptal"),B974+ROW()/100000000,"")</f>
        <v/>
      </c>
    </row>
    <row r="975" customFormat="false" ht="15" hidden="false" customHeight="false" outlineLevel="0" collapsed="false">
      <c r="A975" s="12"/>
      <c r="B975" s="13"/>
      <c r="C975" s="14"/>
      <c r="D975" s="14"/>
      <c r="E975" s="15"/>
      <c r="F975" s="16"/>
      <c r="G975" s="17" t="str">
        <f aca="false">IF(D975="","",IF(E975="Geldi",IF(F975="",IFERROR(INDEX(Hizmetler!$C$5:$C$54,MATCH(D975,Hizmetler!$A$5:$A$54,0)),0),F975),0))</f>
        <v/>
      </c>
      <c r="H975" s="18" t="str">
        <f aca="false">IF(OR(B975="",D975=""),"",ROUND((B975+IFERROR(INDEX(Hizmetler!$B$5:$B$54,MATCH(D975,Hizmetler!$A$5:$A$54,0)),0)/1440)*1440,0)/1440)</f>
        <v/>
      </c>
      <c r="I975" s="19" t="str">
        <f aca="false">IF(OR(A975="",H975="",E975="İptal"),"",IF(COUNTIFS($A$5:$A$1004,A975,$B$5:$B$1004,"&lt;"&amp;(H975-0.0003),$H$5:$H$1004,"&gt;"&amp;(B975+0.0003),$E$5:$E$1004,"&lt;&gt;İptal")&gt;1,"Çakışıyor",""))</f>
        <v/>
      </c>
      <c r="J975" s="21" t="str">
        <f aca="false">IF(AND(A975=Gün!$C$3,B975&lt;&gt;"",E975&lt;&gt;"İptal"),B975+ROW()/100000000,"")</f>
        <v/>
      </c>
    </row>
    <row r="976" customFormat="false" ht="15" hidden="false" customHeight="false" outlineLevel="0" collapsed="false">
      <c r="A976" s="12"/>
      <c r="B976" s="13"/>
      <c r="C976" s="14"/>
      <c r="D976" s="14"/>
      <c r="E976" s="15"/>
      <c r="F976" s="16"/>
      <c r="G976" s="17" t="str">
        <f aca="false">IF(D976="","",IF(E976="Geldi",IF(F976="",IFERROR(INDEX(Hizmetler!$C$5:$C$54,MATCH(D976,Hizmetler!$A$5:$A$54,0)),0),F976),0))</f>
        <v/>
      </c>
      <c r="H976" s="18" t="str">
        <f aca="false">IF(OR(B976="",D976=""),"",ROUND((B976+IFERROR(INDEX(Hizmetler!$B$5:$B$54,MATCH(D976,Hizmetler!$A$5:$A$54,0)),0)/1440)*1440,0)/1440)</f>
        <v/>
      </c>
      <c r="I976" s="19" t="str">
        <f aca="false">IF(OR(A976="",H976="",E976="İptal"),"",IF(COUNTIFS($A$5:$A$1004,A976,$B$5:$B$1004,"&lt;"&amp;(H976-0.0003),$H$5:$H$1004,"&gt;"&amp;(B976+0.0003),$E$5:$E$1004,"&lt;&gt;İptal")&gt;1,"Çakışıyor",""))</f>
        <v/>
      </c>
      <c r="J976" s="21" t="str">
        <f aca="false">IF(AND(A976=Gün!$C$3,B976&lt;&gt;"",E976&lt;&gt;"İptal"),B976+ROW()/100000000,"")</f>
        <v/>
      </c>
    </row>
    <row r="977" customFormat="false" ht="15" hidden="false" customHeight="false" outlineLevel="0" collapsed="false">
      <c r="A977" s="12"/>
      <c r="B977" s="13"/>
      <c r="C977" s="14"/>
      <c r="D977" s="14"/>
      <c r="E977" s="15"/>
      <c r="F977" s="16"/>
      <c r="G977" s="17" t="str">
        <f aca="false">IF(D977="","",IF(E977="Geldi",IF(F977="",IFERROR(INDEX(Hizmetler!$C$5:$C$54,MATCH(D977,Hizmetler!$A$5:$A$54,0)),0),F977),0))</f>
        <v/>
      </c>
      <c r="H977" s="18" t="str">
        <f aca="false">IF(OR(B977="",D977=""),"",ROUND((B977+IFERROR(INDEX(Hizmetler!$B$5:$B$54,MATCH(D977,Hizmetler!$A$5:$A$54,0)),0)/1440)*1440,0)/1440)</f>
        <v/>
      </c>
      <c r="I977" s="19" t="str">
        <f aca="false">IF(OR(A977="",H977="",E977="İptal"),"",IF(COUNTIFS($A$5:$A$1004,A977,$B$5:$B$1004,"&lt;"&amp;(H977-0.0003),$H$5:$H$1004,"&gt;"&amp;(B977+0.0003),$E$5:$E$1004,"&lt;&gt;İptal")&gt;1,"Çakışıyor",""))</f>
        <v/>
      </c>
      <c r="J977" s="21" t="str">
        <f aca="false">IF(AND(A977=Gün!$C$3,B977&lt;&gt;"",E977&lt;&gt;"İptal"),B977+ROW()/100000000,"")</f>
        <v/>
      </c>
    </row>
    <row r="978" customFormat="false" ht="15" hidden="false" customHeight="false" outlineLevel="0" collapsed="false">
      <c r="A978" s="12"/>
      <c r="B978" s="13"/>
      <c r="C978" s="14"/>
      <c r="D978" s="14"/>
      <c r="E978" s="15"/>
      <c r="F978" s="16"/>
      <c r="G978" s="17" t="str">
        <f aca="false">IF(D978="","",IF(E978="Geldi",IF(F978="",IFERROR(INDEX(Hizmetler!$C$5:$C$54,MATCH(D978,Hizmetler!$A$5:$A$54,0)),0),F978),0))</f>
        <v/>
      </c>
      <c r="H978" s="18" t="str">
        <f aca="false">IF(OR(B978="",D978=""),"",ROUND((B978+IFERROR(INDEX(Hizmetler!$B$5:$B$54,MATCH(D978,Hizmetler!$A$5:$A$54,0)),0)/1440)*1440,0)/1440)</f>
        <v/>
      </c>
      <c r="I978" s="19" t="str">
        <f aca="false">IF(OR(A978="",H978="",E978="İptal"),"",IF(COUNTIFS($A$5:$A$1004,A978,$B$5:$B$1004,"&lt;"&amp;(H978-0.0003),$H$5:$H$1004,"&gt;"&amp;(B978+0.0003),$E$5:$E$1004,"&lt;&gt;İptal")&gt;1,"Çakışıyor",""))</f>
        <v/>
      </c>
      <c r="J978" s="21" t="str">
        <f aca="false">IF(AND(A978=Gün!$C$3,B978&lt;&gt;"",E978&lt;&gt;"İptal"),B978+ROW()/100000000,"")</f>
        <v/>
      </c>
    </row>
    <row r="979" customFormat="false" ht="15" hidden="false" customHeight="false" outlineLevel="0" collapsed="false">
      <c r="A979" s="12"/>
      <c r="B979" s="13"/>
      <c r="C979" s="14"/>
      <c r="D979" s="14"/>
      <c r="E979" s="15"/>
      <c r="F979" s="16"/>
      <c r="G979" s="17" t="str">
        <f aca="false">IF(D979="","",IF(E979="Geldi",IF(F979="",IFERROR(INDEX(Hizmetler!$C$5:$C$54,MATCH(D979,Hizmetler!$A$5:$A$54,0)),0),F979),0))</f>
        <v/>
      </c>
      <c r="H979" s="18" t="str">
        <f aca="false">IF(OR(B979="",D979=""),"",ROUND((B979+IFERROR(INDEX(Hizmetler!$B$5:$B$54,MATCH(D979,Hizmetler!$A$5:$A$54,0)),0)/1440)*1440,0)/1440)</f>
        <v/>
      </c>
      <c r="I979" s="19" t="str">
        <f aca="false">IF(OR(A979="",H979="",E979="İptal"),"",IF(COUNTIFS($A$5:$A$1004,A979,$B$5:$B$1004,"&lt;"&amp;(H979-0.0003),$H$5:$H$1004,"&gt;"&amp;(B979+0.0003),$E$5:$E$1004,"&lt;&gt;İptal")&gt;1,"Çakışıyor",""))</f>
        <v/>
      </c>
      <c r="J979" s="21" t="str">
        <f aca="false">IF(AND(A979=Gün!$C$3,B979&lt;&gt;"",E979&lt;&gt;"İptal"),B979+ROW()/100000000,"")</f>
        <v/>
      </c>
    </row>
    <row r="980" customFormat="false" ht="15" hidden="false" customHeight="false" outlineLevel="0" collapsed="false">
      <c r="A980" s="12"/>
      <c r="B980" s="13"/>
      <c r="C980" s="14"/>
      <c r="D980" s="14"/>
      <c r="E980" s="15"/>
      <c r="F980" s="16"/>
      <c r="G980" s="17" t="str">
        <f aca="false">IF(D980="","",IF(E980="Geldi",IF(F980="",IFERROR(INDEX(Hizmetler!$C$5:$C$54,MATCH(D980,Hizmetler!$A$5:$A$54,0)),0),F980),0))</f>
        <v/>
      </c>
      <c r="H980" s="18" t="str">
        <f aca="false">IF(OR(B980="",D980=""),"",ROUND((B980+IFERROR(INDEX(Hizmetler!$B$5:$B$54,MATCH(D980,Hizmetler!$A$5:$A$54,0)),0)/1440)*1440,0)/1440)</f>
        <v/>
      </c>
      <c r="I980" s="19" t="str">
        <f aca="false">IF(OR(A980="",H980="",E980="İptal"),"",IF(COUNTIFS($A$5:$A$1004,A980,$B$5:$B$1004,"&lt;"&amp;(H980-0.0003),$H$5:$H$1004,"&gt;"&amp;(B980+0.0003),$E$5:$E$1004,"&lt;&gt;İptal")&gt;1,"Çakışıyor",""))</f>
        <v/>
      </c>
      <c r="J980" s="21" t="str">
        <f aca="false">IF(AND(A980=Gün!$C$3,B980&lt;&gt;"",E980&lt;&gt;"İptal"),B980+ROW()/100000000,"")</f>
        <v/>
      </c>
    </row>
    <row r="981" customFormat="false" ht="15" hidden="false" customHeight="false" outlineLevel="0" collapsed="false">
      <c r="A981" s="12"/>
      <c r="B981" s="13"/>
      <c r="C981" s="14"/>
      <c r="D981" s="14"/>
      <c r="E981" s="15"/>
      <c r="F981" s="16"/>
      <c r="G981" s="17" t="str">
        <f aca="false">IF(D981="","",IF(E981="Geldi",IF(F981="",IFERROR(INDEX(Hizmetler!$C$5:$C$54,MATCH(D981,Hizmetler!$A$5:$A$54,0)),0),F981),0))</f>
        <v/>
      </c>
      <c r="H981" s="18" t="str">
        <f aca="false">IF(OR(B981="",D981=""),"",ROUND((B981+IFERROR(INDEX(Hizmetler!$B$5:$B$54,MATCH(D981,Hizmetler!$A$5:$A$54,0)),0)/1440)*1440,0)/1440)</f>
        <v/>
      </c>
      <c r="I981" s="19" t="str">
        <f aca="false">IF(OR(A981="",H981="",E981="İptal"),"",IF(COUNTIFS($A$5:$A$1004,A981,$B$5:$B$1004,"&lt;"&amp;(H981-0.0003),$H$5:$H$1004,"&gt;"&amp;(B981+0.0003),$E$5:$E$1004,"&lt;&gt;İptal")&gt;1,"Çakışıyor",""))</f>
        <v/>
      </c>
      <c r="J981" s="21" t="str">
        <f aca="false">IF(AND(A981=Gün!$C$3,B981&lt;&gt;"",E981&lt;&gt;"İptal"),B981+ROW()/100000000,"")</f>
        <v/>
      </c>
    </row>
    <row r="982" customFormat="false" ht="15" hidden="false" customHeight="false" outlineLevel="0" collapsed="false">
      <c r="A982" s="12"/>
      <c r="B982" s="13"/>
      <c r="C982" s="14"/>
      <c r="D982" s="14"/>
      <c r="E982" s="15"/>
      <c r="F982" s="16"/>
      <c r="G982" s="17" t="str">
        <f aca="false">IF(D982="","",IF(E982="Geldi",IF(F982="",IFERROR(INDEX(Hizmetler!$C$5:$C$54,MATCH(D982,Hizmetler!$A$5:$A$54,0)),0),F982),0))</f>
        <v/>
      </c>
      <c r="H982" s="18" t="str">
        <f aca="false">IF(OR(B982="",D982=""),"",ROUND((B982+IFERROR(INDEX(Hizmetler!$B$5:$B$54,MATCH(D982,Hizmetler!$A$5:$A$54,0)),0)/1440)*1440,0)/1440)</f>
        <v/>
      </c>
      <c r="I982" s="19" t="str">
        <f aca="false">IF(OR(A982="",H982="",E982="İptal"),"",IF(COUNTIFS($A$5:$A$1004,A982,$B$5:$B$1004,"&lt;"&amp;(H982-0.0003),$H$5:$H$1004,"&gt;"&amp;(B982+0.0003),$E$5:$E$1004,"&lt;&gt;İptal")&gt;1,"Çakışıyor",""))</f>
        <v/>
      </c>
      <c r="J982" s="21" t="str">
        <f aca="false">IF(AND(A982=Gün!$C$3,B982&lt;&gt;"",E982&lt;&gt;"İptal"),B982+ROW()/100000000,"")</f>
        <v/>
      </c>
    </row>
    <row r="983" customFormat="false" ht="15" hidden="false" customHeight="false" outlineLevel="0" collapsed="false">
      <c r="A983" s="12"/>
      <c r="B983" s="13"/>
      <c r="C983" s="14"/>
      <c r="D983" s="14"/>
      <c r="E983" s="15"/>
      <c r="F983" s="16"/>
      <c r="G983" s="17" t="str">
        <f aca="false">IF(D983="","",IF(E983="Geldi",IF(F983="",IFERROR(INDEX(Hizmetler!$C$5:$C$54,MATCH(D983,Hizmetler!$A$5:$A$54,0)),0),F983),0))</f>
        <v/>
      </c>
      <c r="H983" s="18" t="str">
        <f aca="false">IF(OR(B983="",D983=""),"",ROUND((B983+IFERROR(INDEX(Hizmetler!$B$5:$B$54,MATCH(D983,Hizmetler!$A$5:$A$54,0)),0)/1440)*1440,0)/1440)</f>
        <v/>
      </c>
      <c r="I983" s="19" t="str">
        <f aca="false">IF(OR(A983="",H983="",E983="İptal"),"",IF(COUNTIFS($A$5:$A$1004,A983,$B$5:$B$1004,"&lt;"&amp;(H983-0.0003),$H$5:$H$1004,"&gt;"&amp;(B983+0.0003),$E$5:$E$1004,"&lt;&gt;İptal")&gt;1,"Çakışıyor",""))</f>
        <v/>
      </c>
      <c r="J983" s="21" t="str">
        <f aca="false">IF(AND(A983=Gün!$C$3,B983&lt;&gt;"",E983&lt;&gt;"İptal"),B983+ROW()/100000000,"")</f>
        <v/>
      </c>
    </row>
    <row r="984" customFormat="false" ht="15" hidden="false" customHeight="false" outlineLevel="0" collapsed="false">
      <c r="A984" s="12"/>
      <c r="B984" s="13"/>
      <c r="C984" s="14"/>
      <c r="D984" s="14"/>
      <c r="E984" s="15"/>
      <c r="F984" s="16"/>
      <c r="G984" s="17" t="str">
        <f aca="false">IF(D984="","",IF(E984="Geldi",IF(F984="",IFERROR(INDEX(Hizmetler!$C$5:$C$54,MATCH(D984,Hizmetler!$A$5:$A$54,0)),0),F984),0))</f>
        <v/>
      </c>
      <c r="H984" s="18" t="str">
        <f aca="false">IF(OR(B984="",D984=""),"",ROUND((B984+IFERROR(INDEX(Hizmetler!$B$5:$B$54,MATCH(D984,Hizmetler!$A$5:$A$54,0)),0)/1440)*1440,0)/1440)</f>
        <v/>
      </c>
      <c r="I984" s="19" t="str">
        <f aca="false">IF(OR(A984="",H984="",E984="İptal"),"",IF(COUNTIFS($A$5:$A$1004,A984,$B$5:$B$1004,"&lt;"&amp;(H984-0.0003),$H$5:$H$1004,"&gt;"&amp;(B984+0.0003),$E$5:$E$1004,"&lt;&gt;İptal")&gt;1,"Çakışıyor",""))</f>
        <v/>
      </c>
      <c r="J984" s="21" t="str">
        <f aca="false">IF(AND(A984=Gün!$C$3,B984&lt;&gt;"",E984&lt;&gt;"İptal"),B984+ROW()/100000000,"")</f>
        <v/>
      </c>
    </row>
    <row r="985" customFormat="false" ht="15" hidden="false" customHeight="false" outlineLevel="0" collapsed="false">
      <c r="A985" s="12"/>
      <c r="B985" s="13"/>
      <c r="C985" s="14"/>
      <c r="D985" s="14"/>
      <c r="E985" s="15"/>
      <c r="F985" s="16"/>
      <c r="G985" s="17" t="str">
        <f aca="false">IF(D985="","",IF(E985="Geldi",IF(F985="",IFERROR(INDEX(Hizmetler!$C$5:$C$54,MATCH(D985,Hizmetler!$A$5:$A$54,0)),0),F985),0))</f>
        <v/>
      </c>
      <c r="H985" s="18" t="str">
        <f aca="false">IF(OR(B985="",D985=""),"",ROUND((B985+IFERROR(INDEX(Hizmetler!$B$5:$B$54,MATCH(D985,Hizmetler!$A$5:$A$54,0)),0)/1440)*1440,0)/1440)</f>
        <v/>
      </c>
      <c r="I985" s="19" t="str">
        <f aca="false">IF(OR(A985="",H985="",E985="İptal"),"",IF(COUNTIFS($A$5:$A$1004,A985,$B$5:$B$1004,"&lt;"&amp;(H985-0.0003),$H$5:$H$1004,"&gt;"&amp;(B985+0.0003),$E$5:$E$1004,"&lt;&gt;İptal")&gt;1,"Çakışıyor",""))</f>
        <v/>
      </c>
      <c r="J985" s="21" t="str">
        <f aca="false">IF(AND(A985=Gün!$C$3,B985&lt;&gt;"",E985&lt;&gt;"İptal"),B985+ROW()/100000000,"")</f>
        <v/>
      </c>
    </row>
    <row r="986" customFormat="false" ht="15" hidden="false" customHeight="false" outlineLevel="0" collapsed="false">
      <c r="A986" s="12"/>
      <c r="B986" s="13"/>
      <c r="C986" s="14"/>
      <c r="D986" s="14"/>
      <c r="E986" s="15"/>
      <c r="F986" s="16"/>
      <c r="G986" s="17" t="str">
        <f aca="false">IF(D986="","",IF(E986="Geldi",IF(F986="",IFERROR(INDEX(Hizmetler!$C$5:$C$54,MATCH(D986,Hizmetler!$A$5:$A$54,0)),0),F986),0))</f>
        <v/>
      </c>
      <c r="H986" s="18" t="str">
        <f aca="false">IF(OR(B986="",D986=""),"",ROUND((B986+IFERROR(INDEX(Hizmetler!$B$5:$B$54,MATCH(D986,Hizmetler!$A$5:$A$54,0)),0)/1440)*1440,0)/1440)</f>
        <v/>
      </c>
      <c r="I986" s="19" t="str">
        <f aca="false">IF(OR(A986="",H986="",E986="İptal"),"",IF(COUNTIFS($A$5:$A$1004,A986,$B$5:$B$1004,"&lt;"&amp;(H986-0.0003),$H$5:$H$1004,"&gt;"&amp;(B986+0.0003),$E$5:$E$1004,"&lt;&gt;İptal")&gt;1,"Çakışıyor",""))</f>
        <v/>
      </c>
      <c r="J986" s="21" t="str">
        <f aca="false">IF(AND(A986=Gün!$C$3,B986&lt;&gt;"",E986&lt;&gt;"İptal"),B986+ROW()/100000000,"")</f>
        <v/>
      </c>
    </row>
    <row r="987" customFormat="false" ht="15" hidden="false" customHeight="false" outlineLevel="0" collapsed="false">
      <c r="A987" s="12"/>
      <c r="B987" s="13"/>
      <c r="C987" s="14"/>
      <c r="D987" s="14"/>
      <c r="E987" s="15"/>
      <c r="F987" s="16"/>
      <c r="G987" s="17" t="str">
        <f aca="false">IF(D987="","",IF(E987="Geldi",IF(F987="",IFERROR(INDEX(Hizmetler!$C$5:$C$54,MATCH(D987,Hizmetler!$A$5:$A$54,0)),0),F987),0))</f>
        <v/>
      </c>
      <c r="H987" s="18" t="str">
        <f aca="false">IF(OR(B987="",D987=""),"",ROUND((B987+IFERROR(INDEX(Hizmetler!$B$5:$B$54,MATCH(D987,Hizmetler!$A$5:$A$54,0)),0)/1440)*1440,0)/1440)</f>
        <v/>
      </c>
      <c r="I987" s="19" t="str">
        <f aca="false">IF(OR(A987="",H987="",E987="İptal"),"",IF(COUNTIFS($A$5:$A$1004,A987,$B$5:$B$1004,"&lt;"&amp;(H987-0.0003),$H$5:$H$1004,"&gt;"&amp;(B987+0.0003),$E$5:$E$1004,"&lt;&gt;İptal")&gt;1,"Çakışıyor",""))</f>
        <v/>
      </c>
      <c r="J987" s="21" t="str">
        <f aca="false">IF(AND(A987=Gün!$C$3,B987&lt;&gt;"",E987&lt;&gt;"İptal"),B987+ROW()/100000000,"")</f>
        <v/>
      </c>
    </row>
    <row r="988" customFormat="false" ht="15" hidden="false" customHeight="false" outlineLevel="0" collapsed="false">
      <c r="A988" s="12"/>
      <c r="B988" s="13"/>
      <c r="C988" s="14"/>
      <c r="D988" s="14"/>
      <c r="E988" s="15"/>
      <c r="F988" s="16"/>
      <c r="G988" s="17" t="str">
        <f aca="false">IF(D988="","",IF(E988="Geldi",IF(F988="",IFERROR(INDEX(Hizmetler!$C$5:$C$54,MATCH(D988,Hizmetler!$A$5:$A$54,0)),0),F988),0))</f>
        <v/>
      </c>
      <c r="H988" s="18" t="str">
        <f aca="false">IF(OR(B988="",D988=""),"",ROUND((B988+IFERROR(INDEX(Hizmetler!$B$5:$B$54,MATCH(D988,Hizmetler!$A$5:$A$54,0)),0)/1440)*1440,0)/1440)</f>
        <v/>
      </c>
      <c r="I988" s="19" t="str">
        <f aca="false">IF(OR(A988="",H988="",E988="İptal"),"",IF(COUNTIFS($A$5:$A$1004,A988,$B$5:$B$1004,"&lt;"&amp;(H988-0.0003),$H$5:$H$1004,"&gt;"&amp;(B988+0.0003),$E$5:$E$1004,"&lt;&gt;İptal")&gt;1,"Çakışıyor",""))</f>
        <v/>
      </c>
      <c r="J988" s="21" t="str">
        <f aca="false">IF(AND(A988=Gün!$C$3,B988&lt;&gt;"",E988&lt;&gt;"İptal"),B988+ROW()/100000000,"")</f>
        <v/>
      </c>
    </row>
    <row r="989" customFormat="false" ht="15" hidden="false" customHeight="false" outlineLevel="0" collapsed="false">
      <c r="A989" s="12"/>
      <c r="B989" s="13"/>
      <c r="C989" s="14"/>
      <c r="D989" s="14"/>
      <c r="E989" s="15"/>
      <c r="F989" s="16"/>
      <c r="G989" s="17" t="str">
        <f aca="false">IF(D989="","",IF(E989="Geldi",IF(F989="",IFERROR(INDEX(Hizmetler!$C$5:$C$54,MATCH(D989,Hizmetler!$A$5:$A$54,0)),0),F989),0))</f>
        <v/>
      </c>
      <c r="H989" s="18" t="str">
        <f aca="false">IF(OR(B989="",D989=""),"",ROUND((B989+IFERROR(INDEX(Hizmetler!$B$5:$B$54,MATCH(D989,Hizmetler!$A$5:$A$54,0)),0)/1440)*1440,0)/1440)</f>
        <v/>
      </c>
      <c r="I989" s="19" t="str">
        <f aca="false">IF(OR(A989="",H989="",E989="İptal"),"",IF(COUNTIFS($A$5:$A$1004,A989,$B$5:$B$1004,"&lt;"&amp;(H989-0.0003),$H$5:$H$1004,"&gt;"&amp;(B989+0.0003),$E$5:$E$1004,"&lt;&gt;İptal")&gt;1,"Çakışıyor",""))</f>
        <v/>
      </c>
      <c r="J989" s="21" t="str">
        <f aca="false">IF(AND(A989=Gün!$C$3,B989&lt;&gt;"",E989&lt;&gt;"İptal"),B989+ROW()/100000000,"")</f>
        <v/>
      </c>
    </row>
    <row r="990" customFormat="false" ht="15" hidden="false" customHeight="false" outlineLevel="0" collapsed="false">
      <c r="A990" s="12"/>
      <c r="B990" s="13"/>
      <c r="C990" s="14"/>
      <c r="D990" s="14"/>
      <c r="E990" s="15"/>
      <c r="F990" s="16"/>
      <c r="G990" s="17" t="str">
        <f aca="false">IF(D990="","",IF(E990="Geldi",IF(F990="",IFERROR(INDEX(Hizmetler!$C$5:$C$54,MATCH(D990,Hizmetler!$A$5:$A$54,0)),0),F990),0))</f>
        <v/>
      </c>
      <c r="H990" s="18" t="str">
        <f aca="false">IF(OR(B990="",D990=""),"",ROUND((B990+IFERROR(INDEX(Hizmetler!$B$5:$B$54,MATCH(D990,Hizmetler!$A$5:$A$54,0)),0)/1440)*1440,0)/1440)</f>
        <v/>
      </c>
      <c r="I990" s="19" t="str">
        <f aca="false">IF(OR(A990="",H990="",E990="İptal"),"",IF(COUNTIFS($A$5:$A$1004,A990,$B$5:$B$1004,"&lt;"&amp;(H990-0.0003),$H$5:$H$1004,"&gt;"&amp;(B990+0.0003),$E$5:$E$1004,"&lt;&gt;İptal")&gt;1,"Çakışıyor",""))</f>
        <v/>
      </c>
      <c r="J990" s="21" t="str">
        <f aca="false">IF(AND(A990=Gün!$C$3,B990&lt;&gt;"",E990&lt;&gt;"İptal"),B990+ROW()/100000000,"")</f>
        <v/>
      </c>
    </row>
    <row r="991" customFormat="false" ht="15" hidden="false" customHeight="false" outlineLevel="0" collapsed="false">
      <c r="A991" s="12"/>
      <c r="B991" s="13"/>
      <c r="C991" s="14"/>
      <c r="D991" s="14"/>
      <c r="E991" s="15"/>
      <c r="F991" s="16"/>
      <c r="G991" s="17" t="str">
        <f aca="false">IF(D991="","",IF(E991="Geldi",IF(F991="",IFERROR(INDEX(Hizmetler!$C$5:$C$54,MATCH(D991,Hizmetler!$A$5:$A$54,0)),0),F991),0))</f>
        <v/>
      </c>
      <c r="H991" s="18" t="str">
        <f aca="false">IF(OR(B991="",D991=""),"",ROUND((B991+IFERROR(INDEX(Hizmetler!$B$5:$B$54,MATCH(D991,Hizmetler!$A$5:$A$54,0)),0)/1440)*1440,0)/1440)</f>
        <v/>
      </c>
      <c r="I991" s="19" t="str">
        <f aca="false">IF(OR(A991="",H991="",E991="İptal"),"",IF(COUNTIFS($A$5:$A$1004,A991,$B$5:$B$1004,"&lt;"&amp;(H991-0.0003),$H$5:$H$1004,"&gt;"&amp;(B991+0.0003),$E$5:$E$1004,"&lt;&gt;İptal")&gt;1,"Çakışıyor",""))</f>
        <v/>
      </c>
      <c r="J991" s="21" t="str">
        <f aca="false">IF(AND(A991=Gün!$C$3,B991&lt;&gt;"",E991&lt;&gt;"İptal"),B991+ROW()/100000000,"")</f>
        <v/>
      </c>
    </row>
    <row r="992" customFormat="false" ht="15" hidden="false" customHeight="false" outlineLevel="0" collapsed="false">
      <c r="A992" s="12"/>
      <c r="B992" s="13"/>
      <c r="C992" s="14"/>
      <c r="D992" s="14"/>
      <c r="E992" s="15"/>
      <c r="F992" s="16"/>
      <c r="G992" s="17" t="str">
        <f aca="false">IF(D992="","",IF(E992="Geldi",IF(F992="",IFERROR(INDEX(Hizmetler!$C$5:$C$54,MATCH(D992,Hizmetler!$A$5:$A$54,0)),0),F992),0))</f>
        <v/>
      </c>
      <c r="H992" s="18" t="str">
        <f aca="false">IF(OR(B992="",D992=""),"",ROUND((B992+IFERROR(INDEX(Hizmetler!$B$5:$B$54,MATCH(D992,Hizmetler!$A$5:$A$54,0)),0)/1440)*1440,0)/1440)</f>
        <v/>
      </c>
      <c r="I992" s="19" t="str">
        <f aca="false">IF(OR(A992="",H992="",E992="İptal"),"",IF(COUNTIFS($A$5:$A$1004,A992,$B$5:$B$1004,"&lt;"&amp;(H992-0.0003),$H$5:$H$1004,"&gt;"&amp;(B992+0.0003),$E$5:$E$1004,"&lt;&gt;İptal")&gt;1,"Çakışıyor",""))</f>
        <v/>
      </c>
      <c r="J992" s="21" t="str">
        <f aca="false">IF(AND(A992=Gün!$C$3,B992&lt;&gt;"",E992&lt;&gt;"İptal"),B992+ROW()/100000000,"")</f>
        <v/>
      </c>
    </row>
    <row r="993" customFormat="false" ht="15" hidden="false" customHeight="false" outlineLevel="0" collapsed="false">
      <c r="A993" s="12"/>
      <c r="B993" s="13"/>
      <c r="C993" s="14"/>
      <c r="D993" s="14"/>
      <c r="E993" s="15"/>
      <c r="F993" s="16"/>
      <c r="G993" s="17" t="str">
        <f aca="false">IF(D993="","",IF(E993="Geldi",IF(F993="",IFERROR(INDEX(Hizmetler!$C$5:$C$54,MATCH(D993,Hizmetler!$A$5:$A$54,0)),0),F993),0))</f>
        <v/>
      </c>
      <c r="H993" s="18" t="str">
        <f aca="false">IF(OR(B993="",D993=""),"",ROUND((B993+IFERROR(INDEX(Hizmetler!$B$5:$B$54,MATCH(D993,Hizmetler!$A$5:$A$54,0)),0)/1440)*1440,0)/1440)</f>
        <v/>
      </c>
      <c r="I993" s="19" t="str">
        <f aca="false">IF(OR(A993="",H993="",E993="İptal"),"",IF(COUNTIFS($A$5:$A$1004,A993,$B$5:$B$1004,"&lt;"&amp;(H993-0.0003),$H$5:$H$1004,"&gt;"&amp;(B993+0.0003),$E$5:$E$1004,"&lt;&gt;İptal")&gt;1,"Çakışıyor",""))</f>
        <v/>
      </c>
      <c r="J993" s="21" t="str">
        <f aca="false">IF(AND(A993=Gün!$C$3,B993&lt;&gt;"",E993&lt;&gt;"İptal"),B993+ROW()/100000000,"")</f>
        <v/>
      </c>
    </row>
    <row r="994" customFormat="false" ht="15" hidden="false" customHeight="false" outlineLevel="0" collapsed="false">
      <c r="A994" s="12"/>
      <c r="B994" s="13"/>
      <c r="C994" s="14"/>
      <c r="D994" s="14"/>
      <c r="E994" s="15"/>
      <c r="F994" s="16"/>
      <c r="G994" s="17" t="str">
        <f aca="false">IF(D994="","",IF(E994="Geldi",IF(F994="",IFERROR(INDEX(Hizmetler!$C$5:$C$54,MATCH(D994,Hizmetler!$A$5:$A$54,0)),0),F994),0))</f>
        <v/>
      </c>
      <c r="H994" s="18" t="str">
        <f aca="false">IF(OR(B994="",D994=""),"",ROUND((B994+IFERROR(INDEX(Hizmetler!$B$5:$B$54,MATCH(D994,Hizmetler!$A$5:$A$54,0)),0)/1440)*1440,0)/1440)</f>
        <v/>
      </c>
      <c r="I994" s="19" t="str">
        <f aca="false">IF(OR(A994="",H994="",E994="İptal"),"",IF(COUNTIFS($A$5:$A$1004,A994,$B$5:$B$1004,"&lt;"&amp;(H994-0.0003),$H$5:$H$1004,"&gt;"&amp;(B994+0.0003),$E$5:$E$1004,"&lt;&gt;İptal")&gt;1,"Çakışıyor",""))</f>
        <v/>
      </c>
      <c r="J994" s="21" t="str">
        <f aca="false">IF(AND(A994=Gün!$C$3,B994&lt;&gt;"",E994&lt;&gt;"İptal"),B994+ROW()/100000000,"")</f>
        <v/>
      </c>
    </row>
    <row r="995" customFormat="false" ht="15" hidden="false" customHeight="false" outlineLevel="0" collapsed="false">
      <c r="A995" s="12"/>
      <c r="B995" s="13"/>
      <c r="C995" s="14"/>
      <c r="D995" s="14"/>
      <c r="E995" s="15"/>
      <c r="F995" s="16"/>
      <c r="G995" s="17" t="str">
        <f aca="false">IF(D995="","",IF(E995="Geldi",IF(F995="",IFERROR(INDEX(Hizmetler!$C$5:$C$54,MATCH(D995,Hizmetler!$A$5:$A$54,0)),0),F995),0))</f>
        <v/>
      </c>
      <c r="H995" s="18" t="str">
        <f aca="false">IF(OR(B995="",D995=""),"",ROUND((B995+IFERROR(INDEX(Hizmetler!$B$5:$B$54,MATCH(D995,Hizmetler!$A$5:$A$54,0)),0)/1440)*1440,0)/1440)</f>
        <v/>
      </c>
      <c r="I995" s="19" t="str">
        <f aca="false">IF(OR(A995="",H995="",E995="İptal"),"",IF(COUNTIFS($A$5:$A$1004,A995,$B$5:$B$1004,"&lt;"&amp;(H995-0.0003),$H$5:$H$1004,"&gt;"&amp;(B995+0.0003),$E$5:$E$1004,"&lt;&gt;İptal")&gt;1,"Çakışıyor",""))</f>
        <v/>
      </c>
      <c r="J995" s="21" t="str">
        <f aca="false">IF(AND(A995=Gün!$C$3,B995&lt;&gt;"",E995&lt;&gt;"İptal"),B995+ROW()/100000000,"")</f>
        <v/>
      </c>
    </row>
    <row r="996" customFormat="false" ht="15" hidden="false" customHeight="false" outlineLevel="0" collapsed="false">
      <c r="A996" s="12"/>
      <c r="B996" s="13"/>
      <c r="C996" s="14"/>
      <c r="D996" s="14"/>
      <c r="E996" s="15"/>
      <c r="F996" s="16"/>
      <c r="G996" s="17" t="str">
        <f aca="false">IF(D996="","",IF(E996="Geldi",IF(F996="",IFERROR(INDEX(Hizmetler!$C$5:$C$54,MATCH(D996,Hizmetler!$A$5:$A$54,0)),0),F996),0))</f>
        <v/>
      </c>
      <c r="H996" s="18" t="str">
        <f aca="false">IF(OR(B996="",D996=""),"",ROUND((B996+IFERROR(INDEX(Hizmetler!$B$5:$B$54,MATCH(D996,Hizmetler!$A$5:$A$54,0)),0)/1440)*1440,0)/1440)</f>
        <v/>
      </c>
      <c r="I996" s="19" t="str">
        <f aca="false">IF(OR(A996="",H996="",E996="İptal"),"",IF(COUNTIFS($A$5:$A$1004,A996,$B$5:$B$1004,"&lt;"&amp;(H996-0.0003),$H$5:$H$1004,"&gt;"&amp;(B996+0.0003),$E$5:$E$1004,"&lt;&gt;İptal")&gt;1,"Çakışıyor",""))</f>
        <v/>
      </c>
      <c r="J996" s="21" t="str">
        <f aca="false">IF(AND(A996=Gün!$C$3,B996&lt;&gt;"",E996&lt;&gt;"İptal"),B996+ROW()/100000000,"")</f>
        <v/>
      </c>
    </row>
    <row r="997" customFormat="false" ht="15" hidden="false" customHeight="false" outlineLevel="0" collapsed="false">
      <c r="A997" s="12"/>
      <c r="B997" s="13"/>
      <c r="C997" s="14"/>
      <c r="D997" s="14"/>
      <c r="E997" s="15"/>
      <c r="F997" s="16"/>
      <c r="G997" s="17" t="str">
        <f aca="false">IF(D997="","",IF(E997="Geldi",IF(F997="",IFERROR(INDEX(Hizmetler!$C$5:$C$54,MATCH(D997,Hizmetler!$A$5:$A$54,0)),0),F997),0))</f>
        <v/>
      </c>
      <c r="H997" s="18" t="str">
        <f aca="false">IF(OR(B997="",D997=""),"",ROUND((B997+IFERROR(INDEX(Hizmetler!$B$5:$B$54,MATCH(D997,Hizmetler!$A$5:$A$54,0)),0)/1440)*1440,0)/1440)</f>
        <v/>
      </c>
      <c r="I997" s="19" t="str">
        <f aca="false">IF(OR(A997="",H997="",E997="İptal"),"",IF(COUNTIFS($A$5:$A$1004,A997,$B$5:$B$1004,"&lt;"&amp;(H997-0.0003),$H$5:$H$1004,"&gt;"&amp;(B997+0.0003),$E$5:$E$1004,"&lt;&gt;İptal")&gt;1,"Çakışıyor",""))</f>
        <v/>
      </c>
      <c r="J997" s="21" t="str">
        <f aca="false">IF(AND(A997=Gün!$C$3,B997&lt;&gt;"",E997&lt;&gt;"İptal"),B997+ROW()/100000000,"")</f>
        <v/>
      </c>
    </row>
    <row r="998" customFormat="false" ht="15" hidden="false" customHeight="false" outlineLevel="0" collapsed="false">
      <c r="A998" s="12"/>
      <c r="B998" s="13"/>
      <c r="C998" s="14"/>
      <c r="D998" s="14"/>
      <c r="E998" s="15"/>
      <c r="F998" s="16"/>
      <c r="G998" s="17" t="str">
        <f aca="false">IF(D998="","",IF(E998="Geldi",IF(F998="",IFERROR(INDEX(Hizmetler!$C$5:$C$54,MATCH(D998,Hizmetler!$A$5:$A$54,0)),0),F998),0))</f>
        <v/>
      </c>
      <c r="H998" s="18" t="str">
        <f aca="false">IF(OR(B998="",D998=""),"",ROUND((B998+IFERROR(INDEX(Hizmetler!$B$5:$B$54,MATCH(D998,Hizmetler!$A$5:$A$54,0)),0)/1440)*1440,0)/1440)</f>
        <v/>
      </c>
      <c r="I998" s="19" t="str">
        <f aca="false">IF(OR(A998="",H998="",E998="İptal"),"",IF(COUNTIFS($A$5:$A$1004,A998,$B$5:$B$1004,"&lt;"&amp;(H998-0.0003),$H$5:$H$1004,"&gt;"&amp;(B998+0.0003),$E$5:$E$1004,"&lt;&gt;İptal")&gt;1,"Çakışıyor",""))</f>
        <v/>
      </c>
      <c r="J998" s="21" t="str">
        <f aca="false">IF(AND(A998=Gün!$C$3,B998&lt;&gt;"",E998&lt;&gt;"İptal"),B998+ROW()/100000000,"")</f>
        <v/>
      </c>
    </row>
    <row r="999" customFormat="false" ht="15" hidden="false" customHeight="false" outlineLevel="0" collapsed="false">
      <c r="A999" s="12"/>
      <c r="B999" s="13"/>
      <c r="C999" s="14"/>
      <c r="D999" s="14"/>
      <c r="E999" s="15"/>
      <c r="F999" s="16"/>
      <c r="G999" s="17" t="str">
        <f aca="false">IF(D999="","",IF(E999="Geldi",IF(F999="",IFERROR(INDEX(Hizmetler!$C$5:$C$54,MATCH(D999,Hizmetler!$A$5:$A$54,0)),0),F999),0))</f>
        <v/>
      </c>
      <c r="H999" s="18" t="str">
        <f aca="false">IF(OR(B999="",D999=""),"",ROUND((B999+IFERROR(INDEX(Hizmetler!$B$5:$B$54,MATCH(D999,Hizmetler!$A$5:$A$54,0)),0)/1440)*1440,0)/1440)</f>
        <v/>
      </c>
      <c r="I999" s="19" t="str">
        <f aca="false">IF(OR(A999="",H999="",E999="İptal"),"",IF(COUNTIFS($A$5:$A$1004,A999,$B$5:$B$1004,"&lt;"&amp;(H999-0.0003),$H$5:$H$1004,"&gt;"&amp;(B999+0.0003),$E$5:$E$1004,"&lt;&gt;İptal")&gt;1,"Çakışıyor",""))</f>
        <v/>
      </c>
      <c r="J999" s="21" t="str">
        <f aca="false">IF(AND(A999=Gün!$C$3,B999&lt;&gt;"",E999&lt;&gt;"İptal"),B999+ROW()/100000000,"")</f>
        <v/>
      </c>
    </row>
    <row r="1000" customFormat="false" ht="15" hidden="false" customHeight="false" outlineLevel="0" collapsed="false">
      <c r="A1000" s="12"/>
      <c r="B1000" s="13"/>
      <c r="C1000" s="14"/>
      <c r="D1000" s="14"/>
      <c r="E1000" s="15"/>
      <c r="F1000" s="16"/>
      <c r="G1000" s="17" t="str">
        <f aca="false">IF(D1000="","",IF(E1000="Geldi",IF(F1000="",IFERROR(INDEX(Hizmetler!$C$5:$C$54,MATCH(D1000,Hizmetler!$A$5:$A$54,0)),0),F1000),0))</f>
        <v/>
      </c>
      <c r="H1000" s="18" t="str">
        <f aca="false">IF(OR(B1000="",D1000=""),"",ROUND((B1000+IFERROR(INDEX(Hizmetler!$B$5:$B$54,MATCH(D1000,Hizmetler!$A$5:$A$54,0)),0)/1440)*1440,0)/1440)</f>
        <v/>
      </c>
      <c r="I1000" s="19" t="str">
        <f aca="false">IF(OR(A1000="",H1000="",E1000="İptal"),"",IF(COUNTIFS($A$5:$A$1004,A1000,$B$5:$B$1004,"&lt;"&amp;(H1000-0.0003),$H$5:$H$1004,"&gt;"&amp;(B1000+0.0003),$E$5:$E$1004,"&lt;&gt;İptal")&gt;1,"Çakışıyor",""))</f>
        <v/>
      </c>
      <c r="J1000" s="21" t="str">
        <f aca="false">IF(AND(A1000=Gün!$C$3,B1000&lt;&gt;"",E1000&lt;&gt;"İptal"),B1000+ROW()/100000000,"")</f>
        <v/>
      </c>
    </row>
    <row r="1001" customFormat="false" ht="15" hidden="false" customHeight="false" outlineLevel="0" collapsed="false">
      <c r="A1001" s="12"/>
      <c r="B1001" s="13"/>
      <c r="C1001" s="14"/>
      <c r="D1001" s="14"/>
      <c r="E1001" s="15"/>
      <c r="F1001" s="16"/>
      <c r="G1001" s="17" t="str">
        <f aca="false">IF(D1001="","",IF(E1001="Geldi",IF(F1001="",IFERROR(INDEX(Hizmetler!$C$5:$C$54,MATCH(D1001,Hizmetler!$A$5:$A$54,0)),0),F1001),0))</f>
        <v/>
      </c>
      <c r="H1001" s="18" t="str">
        <f aca="false">IF(OR(B1001="",D1001=""),"",ROUND((B1001+IFERROR(INDEX(Hizmetler!$B$5:$B$54,MATCH(D1001,Hizmetler!$A$5:$A$54,0)),0)/1440)*1440,0)/1440)</f>
        <v/>
      </c>
      <c r="I1001" s="19" t="str">
        <f aca="false">IF(OR(A1001="",H1001="",E1001="İptal"),"",IF(COUNTIFS($A$5:$A$1004,A1001,$B$5:$B$1004,"&lt;"&amp;(H1001-0.0003),$H$5:$H$1004,"&gt;"&amp;(B1001+0.0003),$E$5:$E$1004,"&lt;&gt;İptal")&gt;1,"Çakışıyor",""))</f>
        <v/>
      </c>
      <c r="J1001" s="21" t="str">
        <f aca="false">IF(AND(A1001=Gün!$C$3,B1001&lt;&gt;"",E1001&lt;&gt;"İptal"),B1001+ROW()/100000000,"")</f>
        <v/>
      </c>
    </row>
    <row r="1002" customFormat="false" ht="15" hidden="false" customHeight="false" outlineLevel="0" collapsed="false">
      <c r="A1002" s="12"/>
      <c r="B1002" s="13"/>
      <c r="C1002" s="14"/>
      <c r="D1002" s="14"/>
      <c r="E1002" s="15"/>
      <c r="F1002" s="16"/>
      <c r="G1002" s="17" t="str">
        <f aca="false">IF(D1002="","",IF(E1002="Geldi",IF(F1002="",IFERROR(INDEX(Hizmetler!$C$5:$C$54,MATCH(D1002,Hizmetler!$A$5:$A$54,0)),0),F1002),0))</f>
        <v/>
      </c>
      <c r="H1002" s="18" t="str">
        <f aca="false">IF(OR(B1002="",D1002=""),"",ROUND((B1002+IFERROR(INDEX(Hizmetler!$B$5:$B$54,MATCH(D1002,Hizmetler!$A$5:$A$54,0)),0)/1440)*1440,0)/1440)</f>
        <v/>
      </c>
      <c r="I1002" s="19" t="str">
        <f aca="false">IF(OR(A1002="",H1002="",E1002="İptal"),"",IF(COUNTIFS($A$5:$A$1004,A1002,$B$5:$B$1004,"&lt;"&amp;(H1002-0.0003),$H$5:$H$1004,"&gt;"&amp;(B1002+0.0003),$E$5:$E$1004,"&lt;&gt;İptal")&gt;1,"Çakışıyor",""))</f>
        <v/>
      </c>
      <c r="J1002" s="21" t="str">
        <f aca="false">IF(AND(A1002=Gün!$C$3,B1002&lt;&gt;"",E1002&lt;&gt;"İptal"),B1002+ROW()/100000000,"")</f>
        <v/>
      </c>
    </row>
    <row r="1003" customFormat="false" ht="15" hidden="false" customHeight="false" outlineLevel="0" collapsed="false">
      <c r="A1003" s="12"/>
      <c r="B1003" s="13"/>
      <c r="C1003" s="14"/>
      <c r="D1003" s="14"/>
      <c r="E1003" s="15"/>
      <c r="F1003" s="16"/>
      <c r="G1003" s="17" t="str">
        <f aca="false">IF(D1003="","",IF(E1003="Geldi",IF(F1003="",IFERROR(INDEX(Hizmetler!$C$5:$C$54,MATCH(D1003,Hizmetler!$A$5:$A$54,0)),0),F1003),0))</f>
        <v/>
      </c>
      <c r="H1003" s="18" t="str">
        <f aca="false">IF(OR(B1003="",D1003=""),"",ROUND((B1003+IFERROR(INDEX(Hizmetler!$B$5:$B$54,MATCH(D1003,Hizmetler!$A$5:$A$54,0)),0)/1440)*1440,0)/1440)</f>
        <v/>
      </c>
      <c r="I1003" s="19" t="str">
        <f aca="false">IF(OR(A1003="",H1003="",E1003="İptal"),"",IF(COUNTIFS($A$5:$A$1004,A1003,$B$5:$B$1004,"&lt;"&amp;(H1003-0.0003),$H$5:$H$1004,"&gt;"&amp;(B1003+0.0003),$E$5:$E$1004,"&lt;&gt;İptal")&gt;1,"Çakışıyor",""))</f>
        <v/>
      </c>
      <c r="J1003" s="21" t="str">
        <f aca="false">IF(AND(A1003=Gün!$C$3,B1003&lt;&gt;"",E1003&lt;&gt;"İptal"),B1003+ROW()/100000000,"")</f>
        <v/>
      </c>
    </row>
    <row r="1004" customFormat="false" ht="15" hidden="false" customHeight="false" outlineLevel="0" collapsed="false">
      <c r="A1004" s="12"/>
      <c r="B1004" s="13"/>
      <c r="C1004" s="14"/>
      <c r="D1004" s="14"/>
      <c r="E1004" s="15"/>
      <c r="F1004" s="16"/>
      <c r="G1004" s="17" t="str">
        <f aca="false">IF(D1004="","",IF(E1004="Geldi",IF(F1004="",IFERROR(INDEX(Hizmetler!$C$5:$C$54,MATCH(D1004,Hizmetler!$A$5:$A$54,0)),0),F1004),0))</f>
        <v/>
      </c>
      <c r="H1004" s="18" t="str">
        <f aca="false">IF(OR(B1004="",D1004=""),"",ROUND((B1004+IFERROR(INDEX(Hizmetler!$B$5:$B$54,MATCH(D1004,Hizmetler!$A$5:$A$54,0)),0)/1440)*1440,0)/1440)</f>
        <v/>
      </c>
      <c r="I1004" s="19" t="str">
        <f aca="false">IF(OR(A1004="",H1004="",E1004="İptal"),"",IF(COUNTIFS($A$5:$A$1004,A1004,$B$5:$B$1004,"&lt;"&amp;(H1004-0.0003),$H$5:$H$1004,"&gt;"&amp;(B1004+0.0003),$E$5:$E$1004,"&lt;&gt;İptal")&gt;1,"Çakışıyor",""))</f>
        <v/>
      </c>
      <c r="J1004" s="21" t="str">
        <f aca="false">IF(AND(A1004=Gün!$C$3,B1004&lt;&gt;"",E1004&lt;&gt;"İptal"),B1004+ROW()/100000000,"")</f>
        <v/>
      </c>
    </row>
  </sheetData>
  <conditionalFormatting sqref="E5:E1004">
    <cfRule type="cellIs" priority="2" operator="equal" aboveAverage="0" equalAverage="0" bottom="0" percent="0" rank="0" text="" dxfId="0">
      <formula>"Geldi"</formula>
    </cfRule>
    <cfRule type="cellIs" priority="3" operator="equal" aboveAverage="0" equalAverage="0" bottom="0" percent="0" rank="0" text="" dxfId="1">
      <formula>"Gelmedi"</formula>
    </cfRule>
    <cfRule type="cellIs" priority="4" operator="equal" aboveAverage="0" equalAverage="0" bottom="0" percent="0" rank="0" text="" dxfId="2">
      <formula>"İptal"</formula>
    </cfRule>
  </conditionalFormatting>
  <conditionalFormatting sqref="I5:I1004">
    <cfRule type="cellIs" priority="5" operator="equal" aboveAverage="0" equalAverage="0" bottom="0" percent="0" rank="0" text="" dxfId="1">
      <formula>"Çakışıyor"</formula>
    </cfRule>
  </conditionalFormatting>
  <dataValidations count="6">
    <dataValidation allowBlank="true" error="Geçerli bir tarih gir (örnek: 05.10.2026)." errorStyle="stop" errorTitle="Kontrol" operator="greaterThan" showDropDown="false" showErrorMessage="true" showInputMessage="false" sqref="A5:A1004" type="date">
      <formula1>36526</formula1>
      <formula2>0</formula2>
    </dataValidation>
    <dataValidation allowBlank="true" error="Listeden seç." errorStyle="stop" errorTitle="Kontrol" operator="between" showDropDown="false" showErrorMessage="true" showInputMessage="false" sqref="C5:C1004" type="list">
      <formula1>Müşteriler!$A$5:$A$304</formula1>
      <formula2>0</formula2>
    </dataValidation>
    <dataValidation allowBlank="true" error="Listeden seç." errorStyle="stop" errorTitle="Kontrol" operator="between" showDropDown="false" showErrorMessage="true" showInputMessage="false" sqref="D5:D1004" type="list">
      <formula1>Hizmetler!$A$5:$A$54</formula1>
      <formula2>0</formula2>
    </dataValidation>
    <dataValidation allowBlank="true" error="Listeden seç." errorStyle="stop" errorTitle="Kontrol" operator="between" showDropDown="false" showErrorMessage="true" showInputMessage="false" sqref="E5:E1004" type="list">
      <formula1>"Bekliyor,Geldi,Gelmedi,İptal"</formula1>
      <formula2>0</formula2>
    </dataValidation>
    <dataValidation allowBlank="true" error="Sıfırdan büyük bir sayı gir." errorStyle="stop" errorTitle="Kontrol" operator="greaterThan" showDropDown="false" showErrorMessage="true" showInputMessage="false" sqref="F5:F1004" type="decimal">
      <formula1>0</formula1>
      <formula2>0</formula2>
    </dataValidation>
    <dataValidation allowBlank="true" error="Saati 14:30 biçiminde gir." errorStyle="stop" errorTitle="Kontrol" operator="between" showDropDown="false" showErrorMessage="true" showInputMessage="false" sqref="B5:B1004" type="custom">
      <formula1>AND(ISNUMBER(B5),B5&gt;=0,B5&lt;1)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24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true" outlineLevel="0" max="8" min="8" style="0" width="13"/>
  </cols>
  <sheetData>
    <row r="1" customFormat="false" ht="19.7" hidden="false" customHeight="false" outlineLevel="0" collapsed="false">
      <c r="A1" s="8" t="s">
        <v>48</v>
      </c>
    </row>
    <row r="2" customFormat="false" ht="15" hidden="false" customHeight="false" outlineLevel="0" collapsed="false">
      <c r="A2" s="9" t="s">
        <v>49</v>
      </c>
    </row>
    <row r="3" customFormat="false" ht="15" hidden="false" customHeight="false" outlineLevel="0" collapsed="false">
      <c r="B3" s="22" t="s">
        <v>28</v>
      </c>
      <c r="C3" s="23" t="n">
        <v>46300</v>
      </c>
    </row>
    <row r="5" customFormat="false" ht="30" hidden="false" customHeight="true" outlineLevel="0" collapsed="false">
      <c r="E5" s="24" t="s">
        <v>50</v>
      </c>
      <c r="F5" s="24" t="s">
        <v>51</v>
      </c>
    </row>
    <row r="6" customFormat="false" ht="27.75" hidden="false" customHeight="true" outlineLevel="0" collapsed="false">
      <c r="E6" s="25" t="n">
        <f aca="false">COUNT(Randevular!$J$5:$J$1004)</f>
        <v>4</v>
      </c>
      <c r="F6" s="26" t="n">
        <f aca="false">SUM(H10:H39)</f>
        <v>3200</v>
      </c>
    </row>
    <row r="9" customFormat="false" ht="21.75" hidden="false" customHeight="true" outlineLevel="0" collapsed="false">
      <c r="B9" s="10" t="s">
        <v>29</v>
      </c>
      <c r="C9" s="10" t="s">
        <v>35</v>
      </c>
      <c r="D9" s="10" t="s">
        <v>30</v>
      </c>
      <c r="E9" s="10" t="s">
        <v>31</v>
      </c>
      <c r="F9" s="10" t="s">
        <v>32</v>
      </c>
      <c r="G9" s="10" t="s">
        <v>52</v>
      </c>
      <c r="H9" s="10" t="s">
        <v>53</v>
      </c>
    </row>
    <row r="10" customFormat="false" ht="15" hidden="false" customHeight="false" outlineLevel="0" collapsed="false">
      <c r="B10" s="18" t="n">
        <f aca="false">IFERROR(INDEX(Randevular!$B$5:$B$1004,MATCH(SMALL(Randevular!$J$5:$J$1004,1),Randevular!$J$5:$J$1004,0)),"")</f>
        <v>0.416666666666667</v>
      </c>
      <c r="C10" s="18" t="n">
        <f aca="false">IF(B10="","",INDEX(Randevular!$H$5:$H$1004,MATCH(SMALL(Randevular!$J$5:$J$1004,1),Randevular!$J$5:$J$1004,0)))</f>
        <v>0.4375</v>
      </c>
      <c r="D10" s="21" t="str">
        <f aca="false">IF(B10="","",INDEX(Randevular!$C$5:$C$1004,MATCH(SMALL(Randevular!$J$5:$J$1004,1),Randevular!$J$5:$J$1004,0)))</f>
        <v>Müşteri Alfa</v>
      </c>
      <c r="E10" s="21" t="str">
        <f aca="false">IF(B10="","",INDEX(Randevular!$D$5:$D$1004,MATCH(SMALL(Randevular!$J$5:$J$1004,1),Randevular!$J$5:$J$1004,0)))</f>
        <v>Saç kesimi</v>
      </c>
      <c r="F10" s="19" t="str">
        <f aca="false">IF(B10="","",INDEX(Randevular!$E$5:$E$1004,MATCH(SMALL(Randevular!$J$5:$J$1004,1),Randevular!$J$5:$J$1004,0)))</f>
        <v>Geldi</v>
      </c>
      <c r="G10" s="21" t="str">
        <f aca="false">IF(D10="","",IFERROR(INDEX(Müşteriler!$B$5:$B$304,MATCH(D10,Müşteriler!$A$5:$A$304,0))&amp;"",""))</f>
        <v/>
      </c>
      <c r="H10" s="17" t="n">
        <f aca="false">IF(B10="","",IF(F10="Gelmedi",0,IF(INDEX(Randevular!$F$5:$F$1004,MATCH(SMALL(Randevular!$J$5:$J$1004,1),Randevular!$J$5:$J$1004,0))="",IFERROR(INDEX(Hizmetler!$C$5:$C$54,MATCH(E10,Hizmetler!$A$5:$A$54,0)),0),INDEX(Randevular!$F$5:$F$1004,MATCH(SMALL(Randevular!$J$5:$J$1004,1),Randevular!$J$5:$J$1004,0)))))</f>
        <v>600</v>
      </c>
    </row>
    <row r="11" customFormat="false" ht="15" hidden="false" customHeight="false" outlineLevel="0" collapsed="false">
      <c r="B11" s="27" t="n">
        <f aca="false">IFERROR(INDEX(Randevular!$B$5:$B$1004,MATCH(SMALL(Randevular!$J$5:$J$1004,2),Randevular!$J$5:$J$1004,0)),"")</f>
        <v>0.4375</v>
      </c>
      <c r="C11" s="27" t="n">
        <f aca="false">IF(B11="","",INDEX(Randevular!$H$5:$H$1004,MATCH(SMALL(Randevular!$J$5:$J$1004,2),Randevular!$J$5:$J$1004,0)))</f>
        <v>0.458333333333333</v>
      </c>
      <c r="D11" s="28" t="str">
        <f aca="false">IF(B11="","",INDEX(Randevular!$C$5:$C$1004,MATCH(SMALL(Randevular!$J$5:$J$1004,2),Randevular!$J$5:$J$1004,0)))</f>
        <v>Müşteri Delta</v>
      </c>
      <c r="E11" s="28" t="str">
        <f aca="false">IF(B11="","",INDEX(Randevular!$D$5:$D$1004,MATCH(SMALL(Randevular!$J$5:$J$1004,2),Randevular!$J$5:$J$1004,0)))</f>
        <v>Fön</v>
      </c>
      <c r="F11" s="29" t="str">
        <f aca="false">IF(B11="","",INDEX(Randevular!$E$5:$E$1004,MATCH(SMALL(Randevular!$J$5:$J$1004,2),Randevular!$J$5:$J$1004,0)))</f>
        <v>Geldi</v>
      </c>
      <c r="G11" s="28" t="str">
        <f aca="false">IF(D11="","",IFERROR(INDEX(Müşteriler!$B$5:$B$304,MATCH(D11,Müşteriler!$A$5:$A$304,0))&amp;"",""))</f>
        <v/>
      </c>
      <c r="H11" s="30" t="n">
        <f aca="false">IF(B11="","",IF(F11="Gelmedi",0,IF(INDEX(Randevular!$F$5:$F$1004,MATCH(SMALL(Randevular!$J$5:$J$1004,2),Randevular!$J$5:$J$1004,0))="",IFERROR(INDEX(Hizmetler!$C$5:$C$54,MATCH(E11,Hizmetler!$A$5:$A$54,0)),0),INDEX(Randevular!$F$5:$F$1004,MATCH(SMALL(Randevular!$J$5:$J$1004,2),Randevular!$J$5:$J$1004,0)))))</f>
        <v>400</v>
      </c>
    </row>
    <row r="12" customFormat="false" ht="15" hidden="false" customHeight="false" outlineLevel="0" collapsed="false">
      <c r="B12" s="18" t="n">
        <f aca="false">IFERROR(INDEX(Randevular!$B$5:$B$1004,MATCH(SMALL(Randevular!$J$5:$J$1004,3),Randevular!$J$5:$J$1004,0)),"")</f>
        <v>0.458333333333333</v>
      </c>
      <c r="C12" s="18" t="n">
        <f aca="false">IF(B12="","",INDEX(Randevular!$H$5:$H$1004,MATCH(SMALL(Randevular!$J$5:$J$1004,3),Randevular!$J$5:$J$1004,0)))</f>
        <v>0.520833333333333</v>
      </c>
      <c r="D12" s="21" t="str">
        <f aca="false">IF(B12="","",INDEX(Randevular!$C$5:$C$1004,MATCH(SMALL(Randevular!$J$5:$J$1004,3),Randevular!$J$5:$J$1004,0)))</f>
        <v>Müşteri Beta</v>
      </c>
      <c r="E12" s="21" t="str">
        <f aca="false">IF(B12="","",INDEX(Randevular!$D$5:$D$1004,MATCH(SMALL(Randevular!$J$5:$J$1004,3),Randevular!$J$5:$J$1004,0)))</f>
        <v>Boya</v>
      </c>
      <c r="F12" s="19" t="str">
        <f aca="false">IF(B12="","",INDEX(Randevular!$E$5:$E$1004,MATCH(SMALL(Randevular!$J$5:$J$1004,3),Randevular!$J$5:$J$1004,0)))</f>
        <v>Geldi</v>
      </c>
      <c r="G12" s="21" t="str">
        <f aca="false">IF(D12="","",IFERROR(INDEX(Müşteriler!$B$5:$B$304,MATCH(D12,Müşteriler!$A$5:$A$304,0))&amp;"",""))</f>
        <v/>
      </c>
      <c r="H12" s="17" t="n">
        <f aca="false">IF(B12="","",IF(F12="Gelmedi",0,IF(INDEX(Randevular!$F$5:$F$1004,MATCH(SMALL(Randevular!$J$5:$J$1004,3),Randevular!$J$5:$J$1004,0))="",IFERROR(INDEX(Hizmetler!$C$5:$C$54,MATCH(E12,Hizmetler!$A$5:$A$54,0)),0),INDEX(Randevular!$F$5:$F$1004,MATCH(SMALL(Randevular!$J$5:$J$1004,3),Randevular!$J$5:$J$1004,0)))))</f>
        <v>2200</v>
      </c>
    </row>
    <row r="13" customFormat="false" ht="15" hidden="false" customHeight="false" outlineLevel="0" collapsed="false">
      <c r="B13" s="27" t="n">
        <f aca="false">IFERROR(INDEX(Randevular!$B$5:$B$1004,MATCH(SMALL(Randevular!$J$5:$J$1004,4),Randevular!$J$5:$J$1004,0)),"")</f>
        <v>0.520833333333333</v>
      </c>
      <c r="C13" s="27" t="n">
        <f aca="false">IF(B13="","",INDEX(Randevular!$H$5:$H$1004,MATCH(SMALL(Randevular!$J$5:$J$1004,4),Randevular!$J$5:$J$1004,0)))</f>
        <v>0.541666666666667</v>
      </c>
      <c r="D13" s="28" t="str">
        <f aca="false">IF(B13="","",INDEX(Randevular!$C$5:$C$1004,MATCH(SMALL(Randevular!$J$5:$J$1004,4),Randevular!$J$5:$J$1004,0)))</f>
        <v>Müşteri Gama</v>
      </c>
      <c r="E13" s="28" t="str">
        <f aca="false">IF(B13="","",INDEX(Randevular!$D$5:$D$1004,MATCH(SMALL(Randevular!$J$5:$J$1004,4),Randevular!$J$5:$J$1004,0)))</f>
        <v>Saç kesimi</v>
      </c>
      <c r="F13" s="29" t="str">
        <f aca="false">IF(B13="","",INDEX(Randevular!$E$5:$E$1004,MATCH(SMALL(Randevular!$J$5:$J$1004,4),Randevular!$J$5:$J$1004,0)))</f>
        <v>Gelmedi</v>
      </c>
      <c r="G13" s="28" t="str">
        <f aca="false">IF(D13="","",IFERROR(INDEX(Müşteriler!$B$5:$B$304,MATCH(D13,Müşteriler!$A$5:$A$304,0))&amp;"",""))</f>
        <v/>
      </c>
      <c r="H13" s="30" t="n">
        <f aca="false">IF(B13="","",IF(F13="Gelmedi",0,IF(INDEX(Randevular!$F$5:$F$1004,MATCH(SMALL(Randevular!$J$5:$J$1004,4),Randevular!$J$5:$J$1004,0))="",IFERROR(INDEX(Hizmetler!$C$5:$C$54,MATCH(E13,Hizmetler!$A$5:$A$54,0)),0),INDEX(Randevular!$F$5:$F$1004,MATCH(SMALL(Randevular!$J$5:$J$1004,4),Randevular!$J$5:$J$1004,0)))))</f>
        <v>0</v>
      </c>
    </row>
    <row r="14" customFormat="false" ht="15" hidden="false" customHeight="false" outlineLevel="0" collapsed="false">
      <c r="B14" s="18" t="str">
        <f aca="false">IFERROR(INDEX(Randevular!$B$5:$B$1004,MATCH(SMALL(Randevular!$J$5:$J$1004,5),Randevular!$J$5:$J$1004,0)),"")</f>
        <v/>
      </c>
      <c r="C14" s="18" t="str">
        <f aca="false">IF(B14="","",INDEX(Randevular!$H$5:$H$1004,MATCH(SMALL(Randevular!$J$5:$J$1004,5),Randevular!$J$5:$J$1004,0)))</f>
        <v/>
      </c>
      <c r="D14" s="21" t="str">
        <f aca="false">IF(B14="","",INDEX(Randevular!$C$5:$C$1004,MATCH(SMALL(Randevular!$J$5:$J$1004,5),Randevular!$J$5:$J$1004,0)))</f>
        <v/>
      </c>
      <c r="E14" s="21" t="str">
        <f aca="false">IF(B14="","",INDEX(Randevular!$D$5:$D$1004,MATCH(SMALL(Randevular!$J$5:$J$1004,5),Randevular!$J$5:$J$1004,0)))</f>
        <v/>
      </c>
      <c r="F14" s="19" t="str">
        <f aca="false">IF(B14="","",INDEX(Randevular!$E$5:$E$1004,MATCH(SMALL(Randevular!$J$5:$J$1004,5),Randevular!$J$5:$J$1004,0)))</f>
        <v/>
      </c>
      <c r="G14" s="21" t="str">
        <f aca="false">IF(D14="","",IFERROR(INDEX(Müşteriler!$B$5:$B$304,MATCH(D14,Müşteriler!$A$5:$A$304,0))&amp;"",""))</f>
        <v/>
      </c>
      <c r="H14" s="17" t="str">
        <f aca="false">IF(B14="","",IF(F14="Gelmedi",0,IF(INDEX(Randevular!$F$5:$F$1004,MATCH(SMALL(Randevular!$J$5:$J$1004,5),Randevular!$J$5:$J$1004,0))="",IFERROR(INDEX(Hizmetler!$C$5:$C$54,MATCH(E14,Hizmetler!$A$5:$A$54,0)),0),INDEX(Randevular!$F$5:$F$1004,MATCH(SMALL(Randevular!$J$5:$J$1004,5),Randevular!$J$5:$J$1004,0)))))</f>
        <v/>
      </c>
    </row>
    <row r="15" customFormat="false" ht="15" hidden="false" customHeight="false" outlineLevel="0" collapsed="false">
      <c r="B15" s="27" t="str">
        <f aca="false">IFERROR(INDEX(Randevular!$B$5:$B$1004,MATCH(SMALL(Randevular!$J$5:$J$1004,6),Randevular!$J$5:$J$1004,0)),"")</f>
        <v/>
      </c>
      <c r="C15" s="27" t="str">
        <f aca="false">IF(B15="","",INDEX(Randevular!$H$5:$H$1004,MATCH(SMALL(Randevular!$J$5:$J$1004,6),Randevular!$J$5:$J$1004,0)))</f>
        <v/>
      </c>
      <c r="D15" s="28" t="str">
        <f aca="false">IF(B15="","",INDEX(Randevular!$C$5:$C$1004,MATCH(SMALL(Randevular!$J$5:$J$1004,6),Randevular!$J$5:$J$1004,0)))</f>
        <v/>
      </c>
      <c r="E15" s="28" t="str">
        <f aca="false">IF(B15="","",INDEX(Randevular!$D$5:$D$1004,MATCH(SMALL(Randevular!$J$5:$J$1004,6),Randevular!$J$5:$J$1004,0)))</f>
        <v/>
      </c>
      <c r="F15" s="29" t="str">
        <f aca="false">IF(B15="","",INDEX(Randevular!$E$5:$E$1004,MATCH(SMALL(Randevular!$J$5:$J$1004,6),Randevular!$J$5:$J$1004,0)))</f>
        <v/>
      </c>
      <c r="G15" s="28" t="str">
        <f aca="false">IF(D15="","",IFERROR(INDEX(Müşteriler!$B$5:$B$304,MATCH(D15,Müşteriler!$A$5:$A$304,0))&amp;"",""))</f>
        <v/>
      </c>
      <c r="H15" s="30" t="str">
        <f aca="false">IF(B15="","",IF(F15="Gelmedi",0,IF(INDEX(Randevular!$F$5:$F$1004,MATCH(SMALL(Randevular!$J$5:$J$1004,6),Randevular!$J$5:$J$1004,0))="",IFERROR(INDEX(Hizmetler!$C$5:$C$54,MATCH(E15,Hizmetler!$A$5:$A$54,0)),0),INDEX(Randevular!$F$5:$F$1004,MATCH(SMALL(Randevular!$J$5:$J$1004,6),Randevular!$J$5:$J$1004,0)))))</f>
        <v/>
      </c>
    </row>
    <row r="16" customFormat="false" ht="15" hidden="false" customHeight="false" outlineLevel="0" collapsed="false">
      <c r="B16" s="18" t="str">
        <f aca="false">IFERROR(INDEX(Randevular!$B$5:$B$1004,MATCH(SMALL(Randevular!$J$5:$J$1004,7),Randevular!$J$5:$J$1004,0)),"")</f>
        <v/>
      </c>
      <c r="C16" s="18" t="str">
        <f aca="false">IF(B16="","",INDEX(Randevular!$H$5:$H$1004,MATCH(SMALL(Randevular!$J$5:$J$1004,7),Randevular!$J$5:$J$1004,0)))</f>
        <v/>
      </c>
      <c r="D16" s="21" t="str">
        <f aca="false">IF(B16="","",INDEX(Randevular!$C$5:$C$1004,MATCH(SMALL(Randevular!$J$5:$J$1004,7),Randevular!$J$5:$J$1004,0)))</f>
        <v/>
      </c>
      <c r="E16" s="21" t="str">
        <f aca="false">IF(B16="","",INDEX(Randevular!$D$5:$D$1004,MATCH(SMALL(Randevular!$J$5:$J$1004,7),Randevular!$J$5:$J$1004,0)))</f>
        <v/>
      </c>
      <c r="F16" s="19" t="str">
        <f aca="false">IF(B16="","",INDEX(Randevular!$E$5:$E$1004,MATCH(SMALL(Randevular!$J$5:$J$1004,7),Randevular!$J$5:$J$1004,0)))</f>
        <v/>
      </c>
      <c r="G16" s="21" t="str">
        <f aca="false">IF(D16="","",IFERROR(INDEX(Müşteriler!$B$5:$B$304,MATCH(D16,Müşteriler!$A$5:$A$304,0))&amp;"",""))</f>
        <v/>
      </c>
      <c r="H16" s="17" t="str">
        <f aca="false">IF(B16="","",IF(F16="Gelmedi",0,IF(INDEX(Randevular!$F$5:$F$1004,MATCH(SMALL(Randevular!$J$5:$J$1004,7),Randevular!$J$5:$J$1004,0))="",IFERROR(INDEX(Hizmetler!$C$5:$C$54,MATCH(E16,Hizmetler!$A$5:$A$54,0)),0),INDEX(Randevular!$F$5:$F$1004,MATCH(SMALL(Randevular!$J$5:$J$1004,7),Randevular!$J$5:$J$1004,0)))))</f>
        <v/>
      </c>
    </row>
    <row r="17" customFormat="false" ht="15" hidden="false" customHeight="false" outlineLevel="0" collapsed="false">
      <c r="B17" s="27" t="str">
        <f aca="false">IFERROR(INDEX(Randevular!$B$5:$B$1004,MATCH(SMALL(Randevular!$J$5:$J$1004,8),Randevular!$J$5:$J$1004,0)),"")</f>
        <v/>
      </c>
      <c r="C17" s="27" t="str">
        <f aca="false">IF(B17="","",INDEX(Randevular!$H$5:$H$1004,MATCH(SMALL(Randevular!$J$5:$J$1004,8),Randevular!$J$5:$J$1004,0)))</f>
        <v/>
      </c>
      <c r="D17" s="28" t="str">
        <f aca="false">IF(B17="","",INDEX(Randevular!$C$5:$C$1004,MATCH(SMALL(Randevular!$J$5:$J$1004,8),Randevular!$J$5:$J$1004,0)))</f>
        <v/>
      </c>
      <c r="E17" s="28" t="str">
        <f aca="false">IF(B17="","",INDEX(Randevular!$D$5:$D$1004,MATCH(SMALL(Randevular!$J$5:$J$1004,8),Randevular!$J$5:$J$1004,0)))</f>
        <v/>
      </c>
      <c r="F17" s="29" t="str">
        <f aca="false">IF(B17="","",INDEX(Randevular!$E$5:$E$1004,MATCH(SMALL(Randevular!$J$5:$J$1004,8),Randevular!$J$5:$J$1004,0)))</f>
        <v/>
      </c>
      <c r="G17" s="28" t="str">
        <f aca="false">IF(D17="","",IFERROR(INDEX(Müşteriler!$B$5:$B$304,MATCH(D17,Müşteriler!$A$5:$A$304,0))&amp;"",""))</f>
        <v/>
      </c>
      <c r="H17" s="30" t="str">
        <f aca="false">IF(B17="","",IF(F17="Gelmedi",0,IF(INDEX(Randevular!$F$5:$F$1004,MATCH(SMALL(Randevular!$J$5:$J$1004,8),Randevular!$J$5:$J$1004,0))="",IFERROR(INDEX(Hizmetler!$C$5:$C$54,MATCH(E17,Hizmetler!$A$5:$A$54,0)),0),INDEX(Randevular!$F$5:$F$1004,MATCH(SMALL(Randevular!$J$5:$J$1004,8),Randevular!$J$5:$J$1004,0)))))</f>
        <v/>
      </c>
    </row>
    <row r="18" customFormat="false" ht="15" hidden="false" customHeight="false" outlineLevel="0" collapsed="false">
      <c r="B18" s="18" t="str">
        <f aca="false">IFERROR(INDEX(Randevular!$B$5:$B$1004,MATCH(SMALL(Randevular!$J$5:$J$1004,9),Randevular!$J$5:$J$1004,0)),"")</f>
        <v/>
      </c>
      <c r="C18" s="18" t="str">
        <f aca="false">IF(B18="","",INDEX(Randevular!$H$5:$H$1004,MATCH(SMALL(Randevular!$J$5:$J$1004,9),Randevular!$J$5:$J$1004,0)))</f>
        <v/>
      </c>
      <c r="D18" s="21" t="str">
        <f aca="false">IF(B18="","",INDEX(Randevular!$C$5:$C$1004,MATCH(SMALL(Randevular!$J$5:$J$1004,9),Randevular!$J$5:$J$1004,0)))</f>
        <v/>
      </c>
      <c r="E18" s="21" t="str">
        <f aca="false">IF(B18="","",INDEX(Randevular!$D$5:$D$1004,MATCH(SMALL(Randevular!$J$5:$J$1004,9),Randevular!$J$5:$J$1004,0)))</f>
        <v/>
      </c>
      <c r="F18" s="19" t="str">
        <f aca="false">IF(B18="","",INDEX(Randevular!$E$5:$E$1004,MATCH(SMALL(Randevular!$J$5:$J$1004,9),Randevular!$J$5:$J$1004,0)))</f>
        <v/>
      </c>
      <c r="G18" s="21" t="str">
        <f aca="false">IF(D18="","",IFERROR(INDEX(Müşteriler!$B$5:$B$304,MATCH(D18,Müşteriler!$A$5:$A$304,0))&amp;"",""))</f>
        <v/>
      </c>
      <c r="H18" s="17" t="str">
        <f aca="false">IF(B18="","",IF(F18="Gelmedi",0,IF(INDEX(Randevular!$F$5:$F$1004,MATCH(SMALL(Randevular!$J$5:$J$1004,9),Randevular!$J$5:$J$1004,0))="",IFERROR(INDEX(Hizmetler!$C$5:$C$54,MATCH(E18,Hizmetler!$A$5:$A$54,0)),0),INDEX(Randevular!$F$5:$F$1004,MATCH(SMALL(Randevular!$J$5:$J$1004,9),Randevular!$J$5:$J$1004,0)))))</f>
        <v/>
      </c>
    </row>
    <row r="19" customFormat="false" ht="15" hidden="false" customHeight="false" outlineLevel="0" collapsed="false">
      <c r="B19" s="27" t="str">
        <f aca="false">IFERROR(INDEX(Randevular!$B$5:$B$1004,MATCH(SMALL(Randevular!$J$5:$J$1004,10),Randevular!$J$5:$J$1004,0)),"")</f>
        <v/>
      </c>
      <c r="C19" s="27" t="str">
        <f aca="false">IF(B19="","",INDEX(Randevular!$H$5:$H$1004,MATCH(SMALL(Randevular!$J$5:$J$1004,10),Randevular!$J$5:$J$1004,0)))</f>
        <v/>
      </c>
      <c r="D19" s="28" t="str">
        <f aca="false">IF(B19="","",INDEX(Randevular!$C$5:$C$1004,MATCH(SMALL(Randevular!$J$5:$J$1004,10),Randevular!$J$5:$J$1004,0)))</f>
        <v/>
      </c>
      <c r="E19" s="28" t="str">
        <f aca="false">IF(B19="","",INDEX(Randevular!$D$5:$D$1004,MATCH(SMALL(Randevular!$J$5:$J$1004,10),Randevular!$J$5:$J$1004,0)))</f>
        <v/>
      </c>
      <c r="F19" s="29" t="str">
        <f aca="false">IF(B19="","",INDEX(Randevular!$E$5:$E$1004,MATCH(SMALL(Randevular!$J$5:$J$1004,10),Randevular!$J$5:$J$1004,0)))</f>
        <v/>
      </c>
      <c r="G19" s="28" t="str">
        <f aca="false">IF(D19="","",IFERROR(INDEX(Müşteriler!$B$5:$B$304,MATCH(D19,Müşteriler!$A$5:$A$304,0))&amp;"",""))</f>
        <v/>
      </c>
      <c r="H19" s="30" t="str">
        <f aca="false">IF(B19="","",IF(F19="Gelmedi",0,IF(INDEX(Randevular!$F$5:$F$1004,MATCH(SMALL(Randevular!$J$5:$J$1004,10),Randevular!$J$5:$J$1004,0))="",IFERROR(INDEX(Hizmetler!$C$5:$C$54,MATCH(E19,Hizmetler!$A$5:$A$54,0)),0),INDEX(Randevular!$F$5:$F$1004,MATCH(SMALL(Randevular!$J$5:$J$1004,10),Randevular!$J$5:$J$1004,0)))))</f>
        <v/>
      </c>
    </row>
    <row r="20" customFormat="false" ht="15" hidden="false" customHeight="false" outlineLevel="0" collapsed="false">
      <c r="B20" s="18" t="str">
        <f aca="false">IFERROR(INDEX(Randevular!$B$5:$B$1004,MATCH(SMALL(Randevular!$J$5:$J$1004,11),Randevular!$J$5:$J$1004,0)),"")</f>
        <v/>
      </c>
      <c r="C20" s="18" t="str">
        <f aca="false">IF(B20="","",INDEX(Randevular!$H$5:$H$1004,MATCH(SMALL(Randevular!$J$5:$J$1004,11),Randevular!$J$5:$J$1004,0)))</f>
        <v/>
      </c>
      <c r="D20" s="21" t="str">
        <f aca="false">IF(B20="","",INDEX(Randevular!$C$5:$C$1004,MATCH(SMALL(Randevular!$J$5:$J$1004,11),Randevular!$J$5:$J$1004,0)))</f>
        <v/>
      </c>
      <c r="E20" s="21" t="str">
        <f aca="false">IF(B20="","",INDEX(Randevular!$D$5:$D$1004,MATCH(SMALL(Randevular!$J$5:$J$1004,11),Randevular!$J$5:$J$1004,0)))</f>
        <v/>
      </c>
      <c r="F20" s="19" t="str">
        <f aca="false">IF(B20="","",INDEX(Randevular!$E$5:$E$1004,MATCH(SMALL(Randevular!$J$5:$J$1004,11),Randevular!$J$5:$J$1004,0)))</f>
        <v/>
      </c>
      <c r="G20" s="21" t="str">
        <f aca="false">IF(D20="","",IFERROR(INDEX(Müşteriler!$B$5:$B$304,MATCH(D20,Müşteriler!$A$5:$A$304,0))&amp;"",""))</f>
        <v/>
      </c>
      <c r="H20" s="17" t="str">
        <f aca="false">IF(B20="","",IF(F20="Gelmedi",0,IF(INDEX(Randevular!$F$5:$F$1004,MATCH(SMALL(Randevular!$J$5:$J$1004,11),Randevular!$J$5:$J$1004,0))="",IFERROR(INDEX(Hizmetler!$C$5:$C$54,MATCH(E20,Hizmetler!$A$5:$A$54,0)),0),INDEX(Randevular!$F$5:$F$1004,MATCH(SMALL(Randevular!$J$5:$J$1004,11),Randevular!$J$5:$J$1004,0)))))</f>
        <v/>
      </c>
    </row>
    <row r="21" customFormat="false" ht="15" hidden="false" customHeight="false" outlineLevel="0" collapsed="false">
      <c r="B21" s="27" t="str">
        <f aca="false">IFERROR(INDEX(Randevular!$B$5:$B$1004,MATCH(SMALL(Randevular!$J$5:$J$1004,12),Randevular!$J$5:$J$1004,0)),"")</f>
        <v/>
      </c>
      <c r="C21" s="27" t="str">
        <f aca="false">IF(B21="","",INDEX(Randevular!$H$5:$H$1004,MATCH(SMALL(Randevular!$J$5:$J$1004,12),Randevular!$J$5:$J$1004,0)))</f>
        <v/>
      </c>
      <c r="D21" s="28" t="str">
        <f aca="false">IF(B21="","",INDEX(Randevular!$C$5:$C$1004,MATCH(SMALL(Randevular!$J$5:$J$1004,12),Randevular!$J$5:$J$1004,0)))</f>
        <v/>
      </c>
      <c r="E21" s="28" t="str">
        <f aca="false">IF(B21="","",INDEX(Randevular!$D$5:$D$1004,MATCH(SMALL(Randevular!$J$5:$J$1004,12),Randevular!$J$5:$J$1004,0)))</f>
        <v/>
      </c>
      <c r="F21" s="29" t="str">
        <f aca="false">IF(B21="","",INDEX(Randevular!$E$5:$E$1004,MATCH(SMALL(Randevular!$J$5:$J$1004,12),Randevular!$J$5:$J$1004,0)))</f>
        <v/>
      </c>
      <c r="G21" s="28" t="str">
        <f aca="false">IF(D21="","",IFERROR(INDEX(Müşteriler!$B$5:$B$304,MATCH(D21,Müşteriler!$A$5:$A$304,0))&amp;"",""))</f>
        <v/>
      </c>
      <c r="H21" s="30" t="str">
        <f aca="false">IF(B21="","",IF(F21="Gelmedi",0,IF(INDEX(Randevular!$F$5:$F$1004,MATCH(SMALL(Randevular!$J$5:$J$1004,12),Randevular!$J$5:$J$1004,0))="",IFERROR(INDEX(Hizmetler!$C$5:$C$54,MATCH(E21,Hizmetler!$A$5:$A$54,0)),0),INDEX(Randevular!$F$5:$F$1004,MATCH(SMALL(Randevular!$J$5:$J$1004,12),Randevular!$J$5:$J$1004,0)))))</f>
        <v/>
      </c>
    </row>
    <row r="22" customFormat="false" ht="15" hidden="false" customHeight="false" outlineLevel="0" collapsed="false">
      <c r="B22" s="18" t="str">
        <f aca="false">IFERROR(INDEX(Randevular!$B$5:$B$1004,MATCH(SMALL(Randevular!$J$5:$J$1004,13),Randevular!$J$5:$J$1004,0)),"")</f>
        <v/>
      </c>
      <c r="C22" s="18" t="str">
        <f aca="false">IF(B22="","",INDEX(Randevular!$H$5:$H$1004,MATCH(SMALL(Randevular!$J$5:$J$1004,13),Randevular!$J$5:$J$1004,0)))</f>
        <v/>
      </c>
      <c r="D22" s="21" t="str">
        <f aca="false">IF(B22="","",INDEX(Randevular!$C$5:$C$1004,MATCH(SMALL(Randevular!$J$5:$J$1004,13),Randevular!$J$5:$J$1004,0)))</f>
        <v/>
      </c>
      <c r="E22" s="21" t="str">
        <f aca="false">IF(B22="","",INDEX(Randevular!$D$5:$D$1004,MATCH(SMALL(Randevular!$J$5:$J$1004,13),Randevular!$J$5:$J$1004,0)))</f>
        <v/>
      </c>
      <c r="F22" s="19" t="str">
        <f aca="false">IF(B22="","",INDEX(Randevular!$E$5:$E$1004,MATCH(SMALL(Randevular!$J$5:$J$1004,13),Randevular!$J$5:$J$1004,0)))</f>
        <v/>
      </c>
      <c r="G22" s="21" t="str">
        <f aca="false">IF(D22="","",IFERROR(INDEX(Müşteriler!$B$5:$B$304,MATCH(D22,Müşteriler!$A$5:$A$304,0))&amp;"",""))</f>
        <v/>
      </c>
      <c r="H22" s="17" t="str">
        <f aca="false">IF(B22="","",IF(F22="Gelmedi",0,IF(INDEX(Randevular!$F$5:$F$1004,MATCH(SMALL(Randevular!$J$5:$J$1004,13),Randevular!$J$5:$J$1004,0))="",IFERROR(INDEX(Hizmetler!$C$5:$C$54,MATCH(E22,Hizmetler!$A$5:$A$54,0)),0),INDEX(Randevular!$F$5:$F$1004,MATCH(SMALL(Randevular!$J$5:$J$1004,13),Randevular!$J$5:$J$1004,0)))))</f>
        <v/>
      </c>
    </row>
    <row r="23" customFormat="false" ht="15" hidden="false" customHeight="false" outlineLevel="0" collapsed="false">
      <c r="B23" s="27" t="str">
        <f aca="false">IFERROR(INDEX(Randevular!$B$5:$B$1004,MATCH(SMALL(Randevular!$J$5:$J$1004,14),Randevular!$J$5:$J$1004,0)),"")</f>
        <v/>
      </c>
      <c r="C23" s="27" t="str">
        <f aca="false">IF(B23="","",INDEX(Randevular!$H$5:$H$1004,MATCH(SMALL(Randevular!$J$5:$J$1004,14),Randevular!$J$5:$J$1004,0)))</f>
        <v/>
      </c>
      <c r="D23" s="28" t="str">
        <f aca="false">IF(B23="","",INDEX(Randevular!$C$5:$C$1004,MATCH(SMALL(Randevular!$J$5:$J$1004,14),Randevular!$J$5:$J$1004,0)))</f>
        <v/>
      </c>
      <c r="E23" s="28" t="str">
        <f aca="false">IF(B23="","",INDEX(Randevular!$D$5:$D$1004,MATCH(SMALL(Randevular!$J$5:$J$1004,14),Randevular!$J$5:$J$1004,0)))</f>
        <v/>
      </c>
      <c r="F23" s="29" t="str">
        <f aca="false">IF(B23="","",INDEX(Randevular!$E$5:$E$1004,MATCH(SMALL(Randevular!$J$5:$J$1004,14),Randevular!$J$5:$J$1004,0)))</f>
        <v/>
      </c>
      <c r="G23" s="28" t="str">
        <f aca="false">IF(D23="","",IFERROR(INDEX(Müşteriler!$B$5:$B$304,MATCH(D23,Müşteriler!$A$5:$A$304,0))&amp;"",""))</f>
        <v/>
      </c>
      <c r="H23" s="30" t="str">
        <f aca="false">IF(B23="","",IF(F23="Gelmedi",0,IF(INDEX(Randevular!$F$5:$F$1004,MATCH(SMALL(Randevular!$J$5:$J$1004,14),Randevular!$J$5:$J$1004,0))="",IFERROR(INDEX(Hizmetler!$C$5:$C$54,MATCH(E23,Hizmetler!$A$5:$A$54,0)),0),INDEX(Randevular!$F$5:$F$1004,MATCH(SMALL(Randevular!$J$5:$J$1004,14),Randevular!$J$5:$J$1004,0)))))</f>
        <v/>
      </c>
    </row>
    <row r="24" customFormat="false" ht="15" hidden="false" customHeight="false" outlineLevel="0" collapsed="false">
      <c r="B24" s="18" t="str">
        <f aca="false">IFERROR(INDEX(Randevular!$B$5:$B$1004,MATCH(SMALL(Randevular!$J$5:$J$1004,15),Randevular!$J$5:$J$1004,0)),"")</f>
        <v/>
      </c>
      <c r="C24" s="18" t="str">
        <f aca="false">IF(B24="","",INDEX(Randevular!$H$5:$H$1004,MATCH(SMALL(Randevular!$J$5:$J$1004,15),Randevular!$J$5:$J$1004,0)))</f>
        <v/>
      </c>
      <c r="D24" s="21" t="str">
        <f aca="false">IF(B24="","",INDEX(Randevular!$C$5:$C$1004,MATCH(SMALL(Randevular!$J$5:$J$1004,15),Randevular!$J$5:$J$1004,0)))</f>
        <v/>
      </c>
      <c r="E24" s="21" t="str">
        <f aca="false">IF(B24="","",INDEX(Randevular!$D$5:$D$1004,MATCH(SMALL(Randevular!$J$5:$J$1004,15),Randevular!$J$5:$J$1004,0)))</f>
        <v/>
      </c>
      <c r="F24" s="19" t="str">
        <f aca="false">IF(B24="","",INDEX(Randevular!$E$5:$E$1004,MATCH(SMALL(Randevular!$J$5:$J$1004,15),Randevular!$J$5:$J$1004,0)))</f>
        <v/>
      </c>
      <c r="G24" s="21" t="str">
        <f aca="false">IF(D24="","",IFERROR(INDEX(Müşteriler!$B$5:$B$304,MATCH(D24,Müşteriler!$A$5:$A$304,0))&amp;"",""))</f>
        <v/>
      </c>
      <c r="H24" s="17" t="str">
        <f aca="false">IF(B24="","",IF(F24="Gelmedi",0,IF(INDEX(Randevular!$F$5:$F$1004,MATCH(SMALL(Randevular!$J$5:$J$1004,15),Randevular!$J$5:$J$1004,0))="",IFERROR(INDEX(Hizmetler!$C$5:$C$54,MATCH(E24,Hizmetler!$A$5:$A$54,0)),0),INDEX(Randevular!$F$5:$F$1004,MATCH(SMALL(Randevular!$J$5:$J$1004,15),Randevular!$J$5:$J$1004,0)))))</f>
        <v/>
      </c>
    </row>
    <row r="25" customFormat="false" ht="15" hidden="false" customHeight="false" outlineLevel="0" collapsed="false">
      <c r="B25" s="27" t="str">
        <f aca="false">IFERROR(INDEX(Randevular!$B$5:$B$1004,MATCH(SMALL(Randevular!$J$5:$J$1004,16),Randevular!$J$5:$J$1004,0)),"")</f>
        <v/>
      </c>
      <c r="C25" s="27" t="str">
        <f aca="false">IF(B25="","",INDEX(Randevular!$H$5:$H$1004,MATCH(SMALL(Randevular!$J$5:$J$1004,16),Randevular!$J$5:$J$1004,0)))</f>
        <v/>
      </c>
      <c r="D25" s="28" t="str">
        <f aca="false">IF(B25="","",INDEX(Randevular!$C$5:$C$1004,MATCH(SMALL(Randevular!$J$5:$J$1004,16),Randevular!$J$5:$J$1004,0)))</f>
        <v/>
      </c>
      <c r="E25" s="28" t="str">
        <f aca="false">IF(B25="","",INDEX(Randevular!$D$5:$D$1004,MATCH(SMALL(Randevular!$J$5:$J$1004,16),Randevular!$J$5:$J$1004,0)))</f>
        <v/>
      </c>
      <c r="F25" s="29" t="str">
        <f aca="false">IF(B25="","",INDEX(Randevular!$E$5:$E$1004,MATCH(SMALL(Randevular!$J$5:$J$1004,16),Randevular!$J$5:$J$1004,0)))</f>
        <v/>
      </c>
      <c r="G25" s="28" t="str">
        <f aca="false">IF(D25="","",IFERROR(INDEX(Müşteriler!$B$5:$B$304,MATCH(D25,Müşteriler!$A$5:$A$304,0))&amp;"",""))</f>
        <v/>
      </c>
      <c r="H25" s="30" t="str">
        <f aca="false">IF(B25="","",IF(F25="Gelmedi",0,IF(INDEX(Randevular!$F$5:$F$1004,MATCH(SMALL(Randevular!$J$5:$J$1004,16),Randevular!$J$5:$J$1004,0))="",IFERROR(INDEX(Hizmetler!$C$5:$C$54,MATCH(E25,Hizmetler!$A$5:$A$54,0)),0),INDEX(Randevular!$F$5:$F$1004,MATCH(SMALL(Randevular!$J$5:$J$1004,16),Randevular!$J$5:$J$1004,0)))))</f>
        <v/>
      </c>
    </row>
    <row r="26" customFormat="false" ht="15" hidden="false" customHeight="false" outlineLevel="0" collapsed="false">
      <c r="B26" s="18" t="str">
        <f aca="false">IFERROR(INDEX(Randevular!$B$5:$B$1004,MATCH(SMALL(Randevular!$J$5:$J$1004,17),Randevular!$J$5:$J$1004,0)),"")</f>
        <v/>
      </c>
      <c r="C26" s="18" t="str">
        <f aca="false">IF(B26="","",INDEX(Randevular!$H$5:$H$1004,MATCH(SMALL(Randevular!$J$5:$J$1004,17),Randevular!$J$5:$J$1004,0)))</f>
        <v/>
      </c>
      <c r="D26" s="21" t="str">
        <f aca="false">IF(B26="","",INDEX(Randevular!$C$5:$C$1004,MATCH(SMALL(Randevular!$J$5:$J$1004,17),Randevular!$J$5:$J$1004,0)))</f>
        <v/>
      </c>
      <c r="E26" s="21" t="str">
        <f aca="false">IF(B26="","",INDEX(Randevular!$D$5:$D$1004,MATCH(SMALL(Randevular!$J$5:$J$1004,17),Randevular!$J$5:$J$1004,0)))</f>
        <v/>
      </c>
      <c r="F26" s="19" t="str">
        <f aca="false">IF(B26="","",INDEX(Randevular!$E$5:$E$1004,MATCH(SMALL(Randevular!$J$5:$J$1004,17),Randevular!$J$5:$J$1004,0)))</f>
        <v/>
      </c>
      <c r="G26" s="21" t="str">
        <f aca="false">IF(D26="","",IFERROR(INDEX(Müşteriler!$B$5:$B$304,MATCH(D26,Müşteriler!$A$5:$A$304,0))&amp;"",""))</f>
        <v/>
      </c>
      <c r="H26" s="17" t="str">
        <f aca="false">IF(B26="","",IF(F26="Gelmedi",0,IF(INDEX(Randevular!$F$5:$F$1004,MATCH(SMALL(Randevular!$J$5:$J$1004,17),Randevular!$J$5:$J$1004,0))="",IFERROR(INDEX(Hizmetler!$C$5:$C$54,MATCH(E26,Hizmetler!$A$5:$A$54,0)),0),INDEX(Randevular!$F$5:$F$1004,MATCH(SMALL(Randevular!$J$5:$J$1004,17),Randevular!$J$5:$J$1004,0)))))</f>
        <v/>
      </c>
    </row>
    <row r="27" customFormat="false" ht="15" hidden="false" customHeight="false" outlineLevel="0" collapsed="false">
      <c r="B27" s="27" t="str">
        <f aca="false">IFERROR(INDEX(Randevular!$B$5:$B$1004,MATCH(SMALL(Randevular!$J$5:$J$1004,18),Randevular!$J$5:$J$1004,0)),"")</f>
        <v/>
      </c>
      <c r="C27" s="27" t="str">
        <f aca="false">IF(B27="","",INDEX(Randevular!$H$5:$H$1004,MATCH(SMALL(Randevular!$J$5:$J$1004,18),Randevular!$J$5:$J$1004,0)))</f>
        <v/>
      </c>
      <c r="D27" s="28" t="str">
        <f aca="false">IF(B27="","",INDEX(Randevular!$C$5:$C$1004,MATCH(SMALL(Randevular!$J$5:$J$1004,18),Randevular!$J$5:$J$1004,0)))</f>
        <v/>
      </c>
      <c r="E27" s="28" t="str">
        <f aca="false">IF(B27="","",INDEX(Randevular!$D$5:$D$1004,MATCH(SMALL(Randevular!$J$5:$J$1004,18),Randevular!$J$5:$J$1004,0)))</f>
        <v/>
      </c>
      <c r="F27" s="29" t="str">
        <f aca="false">IF(B27="","",INDEX(Randevular!$E$5:$E$1004,MATCH(SMALL(Randevular!$J$5:$J$1004,18),Randevular!$J$5:$J$1004,0)))</f>
        <v/>
      </c>
      <c r="G27" s="28" t="str">
        <f aca="false">IF(D27="","",IFERROR(INDEX(Müşteriler!$B$5:$B$304,MATCH(D27,Müşteriler!$A$5:$A$304,0))&amp;"",""))</f>
        <v/>
      </c>
      <c r="H27" s="30" t="str">
        <f aca="false">IF(B27="","",IF(F27="Gelmedi",0,IF(INDEX(Randevular!$F$5:$F$1004,MATCH(SMALL(Randevular!$J$5:$J$1004,18),Randevular!$J$5:$J$1004,0))="",IFERROR(INDEX(Hizmetler!$C$5:$C$54,MATCH(E27,Hizmetler!$A$5:$A$54,0)),0),INDEX(Randevular!$F$5:$F$1004,MATCH(SMALL(Randevular!$J$5:$J$1004,18),Randevular!$J$5:$J$1004,0)))))</f>
        <v/>
      </c>
    </row>
    <row r="28" customFormat="false" ht="15" hidden="false" customHeight="false" outlineLevel="0" collapsed="false">
      <c r="B28" s="18" t="str">
        <f aca="false">IFERROR(INDEX(Randevular!$B$5:$B$1004,MATCH(SMALL(Randevular!$J$5:$J$1004,19),Randevular!$J$5:$J$1004,0)),"")</f>
        <v/>
      </c>
      <c r="C28" s="18" t="str">
        <f aca="false">IF(B28="","",INDEX(Randevular!$H$5:$H$1004,MATCH(SMALL(Randevular!$J$5:$J$1004,19),Randevular!$J$5:$J$1004,0)))</f>
        <v/>
      </c>
      <c r="D28" s="21" t="str">
        <f aca="false">IF(B28="","",INDEX(Randevular!$C$5:$C$1004,MATCH(SMALL(Randevular!$J$5:$J$1004,19),Randevular!$J$5:$J$1004,0)))</f>
        <v/>
      </c>
      <c r="E28" s="21" t="str">
        <f aca="false">IF(B28="","",INDEX(Randevular!$D$5:$D$1004,MATCH(SMALL(Randevular!$J$5:$J$1004,19),Randevular!$J$5:$J$1004,0)))</f>
        <v/>
      </c>
      <c r="F28" s="19" t="str">
        <f aca="false">IF(B28="","",INDEX(Randevular!$E$5:$E$1004,MATCH(SMALL(Randevular!$J$5:$J$1004,19),Randevular!$J$5:$J$1004,0)))</f>
        <v/>
      </c>
      <c r="G28" s="21" t="str">
        <f aca="false">IF(D28="","",IFERROR(INDEX(Müşteriler!$B$5:$B$304,MATCH(D28,Müşteriler!$A$5:$A$304,0))&amp;"",""))</f>
        <v/>
      </c>
      <c r="H28" s="17" t="str">
        <f aca="false">IF(B28="","",IF(F28="Gelmedi",0,IF(INDEX(Randevular!$F$5:$F$1004,MATCH(SMALL(Randevular!$J$5:$J$1004,19),Randevular!$J$5:$J$1004,0))="",IFERROR(INDEX(Hizmetler!$C$5:$C$54,MATCH(E28,Hizmetler!$A$5:$A$54,0)),0),INDEX(Randevular!$F$5:$F$1004,MATCH(SMALL(Randevular!$J$5:$J$1004,19),Randevular!$J$5:$J$1004,0)))))</f>
        <v/>
      </c>
    </row>
    <row r="29" customFormat="false" ht="15" hidden="false" customHeight="false" outlineLevel="0" collapsed="false">
      <c r="B29" s="27" t="str">
        <f aca="false">IFERROR(INDEX(Randevular!$B$5:$B$1004,MATCH(SMALL(Randevular!$J$5:$J$1004,20),Randevular!$J$5:$J$1004,0)),"")</f>
        <v/>
      </c>
      <c r="C29" s="27" t="str">
        <f aca="false">IF(B29="","",INDEX(Randevular!$H$5:$H$1004,MATCH(SMALL(Randevular!$J$5:$J$1004,20),Randevular!$J$5:$J$1004,0)))</f>
        <v/>
      </c>
      <c r="D29" s="28" t="str">
        <f aca="false">IF(B29="","",INDEX(Randevular!$C$5:$C$1004,MATCH(SMALL(Randevular!$J$5:$J$1004,20),Randevular!$J$5:$J$1004,0)))</f>
        <v/>
      </c>
      <c r="E29" s="28" t="str">
        <f aca="false">IF(B29="","",INDEX(Randevular!$D$5:$D$1004,MATCH(SMALL(Randevular!$J$5:$J$1004,20),Randevular!$J$5:$J$1004,0)))</f>
        <v/>
      </c>
      <c r="F29" s="29" t="str">
        <f aca="false">IF(B29="","",INDEX(Randevular!$E$5:$E$1004,MATCH(SMALL(Randevular!$J$5:$J$1004,20),Randevular!$J$5:$J$1004,0)))</f>
        <v/>
      </c>
      <c r="G29" s="28" t="str">
        <f aca="false">IF(D29="","",IFERROR(INDEX(Müşteriler!$B$5:$B$304,MATCH(D29,Müşteriler!$A$5:$A$304,0))&amp;"",""))</f>
        <v/>
      </c>
      <c r="H29" s="30" t="str">
        <f aca="false">IF(B29="","",IF(F29="Gelmedi",0,IF(INDEX(Randevular!$F$5:$F$1004,MATCH(SMALL(Randevular!$J$5:$J$1004,20),Randevular!$J$5:$J$1004,0))="",IFERROR(INDEX(Hizmetler!$C$5:$C$54,MATCH(E29,Hizmetler!$A$5:$A$54,0)),0),INDEX(Randevular!$F$5:$F$1004,MATCH(SMALL(Randevular!$J$5:$J$1004,20),Randevular!$J$5:$J$1004,0)))))</f>
        <v/>
      </c>
    </row>
    <row r="30" customFormat="false" ht="15" hidden="false" customHeight="false" outlineLevel="0" collapsed="false">
      <c r="B30" s="18" t="str">
        <f aca="false">IFERROR(INDEX(Randevular!$B$5:$B$1004,MATCH(SMALL(Randevular!$J$5:$J$1004,21),Randevular!$J$5:$J$1004,0)),"")</f>
        <v/>
      </c>
      <c r="C30" s="18" t="str">
        <f aca="false">IF(B30="","",INDEX(Randevular!$H$5:$H$1004,MATCH(SMALL(Randevular!$J$5:$J$1004,21),Randevular!$J$5:$J$1004,0)))</f>
        <v/>
      </c>
      <c r="D30" s="21" t="str">
        <f aca="false">IF(B30="","",INDEX(Randevular!$C$5:$C$1004,MATCH(SMALL(Randevular!$J$5:$J$1004,21),Randevular!$J$5:$J$1004,0)))</f>
        <v/>
      </c>
      <c r="E30" s="21" t="str">
        <f aca="false">IF(B30="","",INDEX(Randevular!$D$5:$D$1004,MATCH(SMALL(Randevular!$J$5:$J$1004,21),Randevular!$J$5:$J$1004,0)))</f>
        <v/>
      </c>
      <c r="F30" s="19" t="str">
        <f aca="false">IF(B30="","",INDEX(Randevular!$E$5:$E$1004,MATCH(SMALL(Randevular!$J$5:$J$1004,21),Randevular!$J$5:$J$1004,0)))</f>
        <v/>
      </c>
      <c r="G30" s="21" t="str">
        <f aca="false">IF(D30="","",IFERROR(INDEX(Müşteriler!$B$5:$B$304,MATCH(D30,Müşteriler!$A$5:$A$304,0))&amp;"",""))</f>
        <v/>
      </c>
      <c r="H30" s="17" t="str">
        <f aca="false">IF(B30="","",IF(F30="Gelmedi",0,IF(INDEX(Randevular!$F$5:$F$1004,MATCH(SMALL(Randevular!$J$5:$J$1004,21),Randevular!$J$5:$J$1004,0))="",IFERROR(INDEX(Hizmetler!$C$5:$C$54,MATCH(E30,Hizmetler!$A$5:$A$54,0)),0),INDEX(Randevular!$F$5:$F$1004,MATCH(SMALL(Randevular!$J$5:$J$1004,21),Randevular!$J$5:$J$1004,0)))))</f>
        <v/>
      </c>
    </row>
    <row r="31" customFormat="false" ht="15" hidden="false" customHeight="false" outlineLevel="0" collapsed="false">
      <c r="B31" s="27" t="str">
        <f aca="false">IFERROR(INDEX(Randevular!$B$5:$B$1004,MATCH(SMALL(Randevular!$J$5:$J$1004,22),Randevular!$J$5:$J$1004,0)),"")</f>
        <v/>
      </c>
      <c r="C31" s="27" t="str">
        <f aca="false">IF(B31="","",INDEX(Randevular!$H$5:$H$1004,MATCH(SMALL(Randevular!$J$5:$J$1004,22),Randevular!$J$5:$J$1004,0)))</f>
        <v/>
      </c>
      <c r="D31" s="28" t="str">
        <f aca="false">IF(B31="","",INDEX(Randevular!$C$5:$C$1004,MATCH(SMALL(Randevular!$J$5:$J$1004,22),Randevular!$J$5:$J$1004,0)))</f>
        <v/>
      </c>
      <c r="E31" s="28" t="str">
        <f aca="false">IF(B31="","",INDEX(Randevular!$D$5:$D$1004,MATCH(SMALL(Randevular!$J$5:$J$1004,22),Randevular!$J$5:$J$1004,0)))</f>
        <v/>
      </c>
      <c r="F31" s="29" t="str">
        <f aca="false">IF(B31="","",INDEX(Randevular!$E$5:$E$1004,MATCH(SMALL(Randevular!$J$5:$J$1004,22),Randevular!$J$5:$J$1004,0)))</f>
        <v/>
      </c>
      <c r="G31" s="28" t="str">
        <f aca="false">IF(D31="","",IFERROR(INDEX(Müşteriler!$B$5:$B$304,MATCH(D31,Müşteriler!$A$5:$A$304,0))&amp;"",""))</f>
        <v/>
      </c>
      <c r="H31" s="30" t="str">
        <f aca="false">IF(B31="","",IF(F31="Gelmedi",0,IF(INDEX(Randevular!$F$5:$F$1004,MATCH(SMALL(Randevular!$J$5:$J$1004,22),Randevular!$J$5:$J$1004,0))="",IFERROR(INDEX(Hizmetler!$C$5:$C$54,MATCH(E31,Hizmetler!$A$5:$A$54,0)),0),INDEX(Randevular!$F$5:$F$1004,MATCH(SMALL(Randevular!$J$5:$J$1004,22),Randevular!$J$5:$J$1004,0)))))</f>
        <v/>
      </c>
    </row>
    <row r="32" customFormat="false" ht="15" hidden="false" customHeight="false" outlineLevel="0" collapsed="false">
      <c r="B32" s="18" t="str">
        <f aca="false">IFERROR(INDEX(Randevular!$B$5:$B$1004,MATCH(SMALL(Randevular!$J$5:$J$1004,23),Randevular!$J$5:$J$1004,0)),"")</f>
        <v/>
      </c>
      <c r="C32" s="18" t="str">
        <f aca="false">IF(B32="","",INDEX(Randevular!$H$5:$H$1004,MATCH(SMALL(Randevular!$J$5:$J$1004,23),Randevular!$J$5:$J$1004,0)))</f>
        <v/>
      </c>
      <c r="D32" s="21" t="str">
        <f aca="false">IF(B32="","",INDEX(Randevular!$C$5:$C$1004,MATCH(SMALL(Randevular!$J$5:$J$1004,23),Randevular!$J$5:$J$1004,0)))</f>
        <v/>
      </c>
      <c r="E32" s="21" t="str">
        <f aca="false">IF(B32="","",INDEX(Randevular!$D$5:$D$1004,MATCH(SMALL(Randevular!$J$5:$J$1004,23),Randevular!$J$5:$J$1004,0)))</f>
        <v/>
      </c>
      <c r="F32" s="19" t="str">
        <f aca="false">IF(B32="","",INDEX(Randevular!$E$5:$E$1004,MATCH(SMALL(Randevular!$J$5:$J$1004,23),Randevular!$J$5:$J$1004,0)))</f>
        <v/>
      </c>
      <c r="G32" s="21" t="str">
        <f aca="false">IF(D32="","",IFERROR(INDEX(Müşteriler!$B$5:$B$304,MATCH(D32,Müşteriler!$A$5:$A$304,0))&amp;"",""))</f>
        <v/>
      </c>
      <c r="H32" s="17" t="str">
        <f aca="false">IF(B32="","",IF(F32="Gelmedi",0,IF(INDEX(Randevular!$F$5:$F$1004,MATCH(SMALL(Randevular!$J$5:$J$1004,23),Randevular!$J$5:$J$1004,0))="",IFERROR(INDEX(Hizmetler!$C$5:$C$54,MATCH(E32,Hizmetler!$A$5:$A$54,0)),0),INDEX(Randevular!$F$5:$F$1004,MATCH(SMALL(Randevular!$J$5:$J$1004,23),Randevular!$J$5:$J$1004,0)))))</f>
        <v/>
      </c>
    </row>
    <row r="33" customFormat="false" ht="15" hidden="false" customHeight="false" outlineLevel="0" collapsed="false">
      <c r="B33" s="27" t="str">
        <f aca="false">IFERROR(INDEX(Randevular!$B$5:$B$1004,MATCH(SMALL(Randevular!$J$5:$J$1004,24),Randevular!$J$5:$J$1004,0)),"")</f>
        <v/>
      </c>
      <c r="C33" s="27" t="str">
        <f aca="false">IF(B33="","",INDEX(Randevular!$H$5:$H$1004,MATCH(SMALL(Randevular!$J$5:$J$1004,24),Randevular!$J$5:$J$1004,0)))</f>
        <v/>
      </c>
      <c r="D33" s="28" t="str">
        <f aca="false">IF(B33="","",INDEX(Randevular!$C$5:$C$1004,MATCH(SMALL(Randevular!$J$5:$J$1004,24),Randevular!$J$5:$J$1004,0)))</f>
        <v/>
      </c>
      <c r="E33" s="28" t="str">
        <f aca="false">IF(B33="","",INDEX(Randevular!$D$5:$D$1004,MATCH(SMALL(Randevular!$J$5:$J$1004,24),Randevular!$J$5:$J$1004,0)))</f>
        <v/>
      </c>
      <c r="F33" s="29" t="str">
        <f aca="false">IF(B33="","",INDEX(Randevular!$E$5:$E$1004,MATCH(SMALL(Randevular!$J$5:$J$1004,24),Randevular!$J$5:$J$1004,0)))</f>
        <v/>
      </c>
      <c r="G33" s="28" t="str">
        <f aca="false">IF(D33="","",IFERROR(INDEX(Müşteriler!$B$5:$B$304,MATCH(D33,Müşteriler!$A$5:$A$304,0))&amp;"",""))</f>
        <v/>
      </c>
      <c r="H33" s="30" t="str">
        <f aca="false">IF(B33="","",IF(F33="Gelmedi",0,IF(INDEX(Randevular!$F$5:$F$1004,MATCH(SMALL(Randevular!$J$5:$J$1004,24),Randevular!$J$5:$J$1004,0))="",IFERROR(INDEX(Hizmetler!$C$5:$C$54,MATCH(E33,Hizmetler!$A$5:$A$54,0)),0),INDEX(Randevular!$F$5:$F$1004,MATCH(SMALL(Randevular!$J$5:$J$1004,24),Randevular!$J$5:$J$1004,0)))))</f>
        <v/>
      </c>
    </row>
    <row r="34" customFormat="false" ht="15" hidden="false" customHeight="false" outlineLevel="0" collapsed="false">
      <c r="B34" s="18" t="str">
        <f aca="false">IFERROR(INDEX(Randevular!$B$5:$B$1004,MATCH(SMALL(Randevular!$J$5:$J$1004,25),Randevular!$J$5:$J$1004,0)),"")</f>
        <v/>
      </c>
      <c r="C34" s="18" t="str">
        <f aca="false">IF(B34="","",INDEX(Randevular!$H$5:$H$1004,MATCH(SMALL(Randevular!$J$5:$J$1004,25),Randevular!$J$5:$J$1004,0)))</f>
        <v/>
      </c>
      <c r="D34" s="21" t="str">
        <f aca="false">IF(B34="","",INDEX(Randevular!$C$5:$C$1004,MATCH(SMALL(Randevular!$J$5:$J$1004,25),Randevular!$J$5:$J$1004,0)))</f>
        <v/>
      </c>
      <c r="E34" s="21" t="str">
        <f aca="false">IF(B34="","",INDEX(Randevular!$D$5:$D$1004,MATCH(SMALL(Randevular!$J$5:$J$1004,25),Randevular!$J$5:$J$1004,0)))</f>
        <v/>
      </c>
      <c r="F34" s="19" t="str">
        <f aca="false">IF(B34="","",INDEX(Randevular!$E$5:$E$1004,MATCH(SMALL(Randevular!$J$5:$J$1004,25),Randevular!$J$5:$J$1004,0)))</f>
        <v/>
      </c>
      <c r="G34" s="21" t="str">
        <f aca="false">IF(D34="","",IFERROR(INDEX(Müşteriler!$B$5:$B$304,MATCH(D34,Müşteriler!$A$5:$A$304,0))&amp;"",""))</f>
        <v/>
      </c>
      <c r="H34" s="17" t="str">
        <f aca="false">IF(B34="","",IF(F34="Gelmedi",0,IF(INDEX(Randevular!$F$5:$F$1004,MATCH(SMALL(Randevular!$J$5:$J$1004,25),Randevular!$J$5:$J$1004,0))="",IFERROR(INDEX(Hizmetler!$C$5:$C$54,MATCH(E34,Hizmetler!$A$5:$A$54,0)),0),INDEX(Randevular!$F$5:$F$1004,MATCH(SMALL(Randevular!$J$5:$J$1004,25),Randevular!$J$5:$J$1004,0)))))</f>
        <v/>
      </c>
    </row>
    <row r="35" customFormat="false" ht="15" hidden="false" customHeight="false" outlineLevel="0" collapsed="false">
      <c r="B35" s="27" t="str">
        <f aca="false">IFERROR(INDEX(Randevular!$B$5:$B$1004,MATCH(SMALL(Randevular!$J$5:$J$1004,26),Randevular!$J$5:$J$1004,0)),"")</f>
        <v/>
      </c>
      <c r="C35" s="27" t="str">
        <f aca="false">IF(B35="","",INDEX(Randevular!$H$5:$H$1004,MATCH(SMALL(Randevular!$J$5:$J$1004,26),Randevular!$J$5:$J$1004,0)))</f>
        <v/>
      </c>
      <c r="D35" s="28" t="str">
        <f aca="false">IF(B35="","",INDEX(Randevular!$C$5:$C$1004,MATCH(SMALL(Randevular!$J$5:$J$1004,26),Randevular!$J$5:$J$1004,0)))</f>
        <v/>
      </c>
      <c r="E35" s="28" t="str">
        <f aca="false">IF(B35="","",INDEX(Randevular!$D$5:$D$1004,MATCH(SMALL(Randevular!$J$5:$J$1004,26),Randevular!$J$5:$J$1004,0)))</f>
        <v/>
      </c>
      <c r="F35" s="29" t="str">
        <f aca="false">IF(B35="","",INDEX(Randevular!$E$5:$E$1004,MATCH(SMALL(Randevular!$J$5:$J$1004,26),Randevular!$J$5:$J$1004,0)))</f>
        <v/>
      </c>
      <c r="G35" s="28" t="str">
        <f aca="false">IF(D35="","",IFERROR(INDEX(Müşteriler!$B$5:$B$304,MATCH(D35,Müşteriler!$A$5:$A$304,0))&amp;"",""))</f>
        <v/>
      </c>
      <c r="H35" s="30" t="str">
        <f aca="false">IF(B35="","",IF(F35="Gelmedi",0,IF(INDEX(Randevular!$F$5:$F$1004,MATCH(SMALL(Randevular!$J$5:$J$1004,26),Randevular!$J$5:$J$1004,0))="",IFERROR(INDEX(Hizmetler!$C$5:$C$54,MATCH(E35,Hizmetler!$A$5:$A$54,0)),0),INDEX(Randevular!$F$5:$F$1004,MATCH(SMALL(Randevular!$J$5:$J$1004,26),Randevular!$J$5:$J$1004,0)))))</f>
        <v/>
      </c>
    </row>
    <row r="36" customFormat="false" ht="15" hidden="false" customHeight="false" outlineLevel="0" collapsed="false">
      <c r="B36" s="18" t="str">
        <f aca="false">IFERROR(INDEX(Randevular!$B$5:$B$1004,MATCH(SMALL(Randevular!$J$5:$J$1004,27),Randevular!$J$5:$J$1004,0)),"")</f>
        <v/>
      </c>
      <c r="C36" s="18" t="str">
        <f aca="false">IF(B36="","",INDEX(Randevular!$H$5:$H$1004,MATCH(SMALL(Randevular!$J$5:$J$1004,27),Randevular!$J$5:$J$1004,0)))</f>
        <v/>
      </c>
      <c r="D36" s="21" t="str">
        <f aca="false">IF(B36="","",INDEX(Randevular!$C$5:$C$1004,MATCH(SMALL(Randevular!$J$5:$J$1004,27),Randevular!$J$5:$J$1004,0)))</f>
        <v/>
      </c>
      <c r="E36" s="21" t="str">
        <f aca="false">IF(B36="","",INDEX(Randevular!$D$5:$D$1004,MATCH(SMALL(Randevular!$J$5:$J$1004,27),Randevular!$J$5:$J$1004,0)))</f>
        <v/>
      </c>
      <c r="F36" s="19" t="str">
        <f aca="false">IF(B36="","",INDEX(Randevular!$E$5:$E$1004,MATCH(SMALL(Randevular!$J$5:$J$1004,27),Randevular!$J$5:$J$1004,0)))</f>
        <v/>
      </c>
      <c r="G36" s="21" t="str">
        <f aca="false">IF(D36="","",IFERROR(INDEX(Müşteriler!$B$5:$B$304,MATCH(D36,Müşteriler!$A$5:$A$304,0))&amp;"",""))</f>
        <v/>
      </c>
      <c r="H36" s="17" t="str">
        <f aca="false">IF(B36="","",IF(F36="Gelmedi",0,IF(INDEX(Randevular!$F$5:$F$1004,MATCH(SMALL(Randevular!$J$5:$J$1004,27),Randevular!$J$5:$J$1004,0))="",IFERROR(INDEX(Hizmetler!$C$5:$C$54,MATCH(E36,Hizmetler!$A$5:$A$54,0)),0),INDEX(Randevular!$F$5:$F$1004,MATCH(SMALL(Randevular!$J$5:$J$1004,27),Randevular!$J$5:$J$1004,0)))))</f>
        <v/>
      </c>
    </row>
    <row r="37" customFormat="false" ht="15" hidden="false" customHeight="false" outlineLevel="0" collapsed="false">
      <c r="B37" s="27" t="str">
        <f aca="false">IFERROR(INDEX(Randevular!$B$5:$B$1004,MATCH(SMALL(Randevular!$J$5:$J$1004,28),Randevular!$J$5:$J$1004,0)),"")</f>
        <v/>
      </c>
      <c r="C37" s="27" t="str">
        <f aca="false">IF(B37="","",INDEX(Randevular!$H$5:$H$1004,MATCH(SMALL(Randevular!$J$5:$J$1004,28),Randevular!$J$5:$J$1004,0)))</f>
        <v/>
      </c>
      <c r="D37" s="28" t="str">
        <f aca="false">IF(B37="","",INDEX(Randevular!$C$5:$C$1004,MATCH(SMALL(Randevular!$J$5:$J$1004,28),Randevular!$J$5:$J$1004,0)))</f>
        <v/>
      </c>
      <c r="E37" s="28" t="str">
        <f aca="false">IF(B37="","",INDEX(Randevular!$D$5:$D$1004,MATCH(SMALL(Randevular!$J$5:$J$1004,28),Randevular!$J$5:$J$1004,0)))</f>
        <v/>
      </c>
      <c r="F37" s="29" t="str">
        <f aca="false">IF(B37="","",INDEX(Randevular!$E$5:$E$1004,MATCH(SMALL(Randevular!$J$5:$J$1004,28),Randevular!$J$5:$J$1004,0)))</f>
        <v/>
      </c>
      <c r="G37" s="28" t="str">
        <f aca="false">IF(D37="","",IFERROR(INDEX(Müşteriler!$B$5:$B$304,MATCH(D37,Müşteriler!$A$5:$A$304,0))&amp;"",""))</f>
        <v/>
      </c>
      <c r="H37" s="30" t="str">
        <f aca="false">IF(B37="","",IF(F37="Gelmedi",0,IF(INDEX(Randevular!$F$5:$F$1004,MATCH(SMALL(Randevular!$J$5:$J$1004,28),Randevular!$J$5:$J$1004,0))="",IFERROR(INDEX(Hizmetler!$C$5:$C$54,MATCH(E37,Hizmetler!$A$5:$A$54,0)),0),INDEX(Randevular!$F$5:$F$1004,MATCH(SMALL(Randevular!$J$5:$J$1004,28),Randevular!$J$5:$J$1004,0)))))</f>
        <v/>
      </c>
    </row>
    <row r="38" customFormat="false" ht="15" hidden="false" customHeight="false" outlineLevel="0" collapsed="false">
      <c r="B38" s="18" t="str">
        <f aca="false">IFERROR(INDEX(Randevular!$B$5:$B$1004,MATCH(SMALL(Randevular!$J$5:$J$1004,29),Randevular!$J$5:$J$1004,0)),"")</f>
        <v/>
      </c>
      <c r="C38" s="18" t="str">
        <f aca="false">IF(B38="","",INDEX(Randevular!$H$5:$H$1004,MATCH(SMALL(Randevular!$J$5:$J$1004,29),Randevular!$J$5:$J$1004,0)))</f>
        <v/>
      </c>
      <c r="D38" s="21" t="str">
        <f aca="false">IF(B38="","",INDEX(Randevular!$C$5:$C$1004,MATCH(SMALL(Randevular!$J$5:$J$1004,29),Randevular!$J$5:$J$1004,0)))</f>
        <v/>
      </c>
      <c r="E38" s="21" t="str">
        <f aca="false">IF(B38="","",INDEX(Randevular!$D$5:$D$1004,MATCH(SMALL(Randevular!$J$5:$J$1004,29),Randevular!$J$5:$J$1004,0)))</f>
        <v/>
      </c>
      <c r="F38" s="19" t="str">
        <f aca="false">IF(B38="","",INDEX(Randevular!$E$5:$E$1004,MATCH(SMALL(Randevular!$J$5:$J$1004,29),Randevular!$J$5:$J$1004,0)))</f>
        <v/>
      </c>
      <c r="G38" s="21" t="str">
        <f aca="false">IF(D38="","",IFERROR(INDEX(Müşteriler!$B$5:$B$304,MATCH(D38,Müşteriler!$A$5:$A$304,0))&amp;"",""))</f>
        <v/>
      </c>
      <c r="H38" s="17" t="str">
        <f aca="false">IF(B38="","",IF(F38="Gelmedi",0,IF(INDEX(Randevular!$F$5:$F$1004,MATCH(SMALL(Randevular!$J$5:$J$1004,29),Randevular!$J$5:$J$1004,0))="",IFERROR(INDEX(Hizmetler!$C$5:$C$54,MATCH(E38,Hizmetler!$A$5:$A$54,0)),0),INDEX(Randevular!$F$5:$F$1004,MATCH(SMALL(Randevular!$J$5:$J$1004,29),Randevular!$J$5:$J$1004,0)))))</f>
        <v/>
      </c>
    </row>
    <row r="39" customFormat="false" ht="15" hidden="false" customHeight="false" outlineLevel="0" collapsed="false">
      <c r="B39" s="27" t="str">
        <f aca="false">IFERROR(INDEX(Randevular!$B$5:$B$1004,MATCH(SMALL(Randevular!$J$5:$J$1004,30),Randevular!$J$5:$J$1004,0)),"")</f>
        <v/>
      </c>
      <c r="C39" s="27" t="str">
        <f aca="false">IF(B39="","",INDEX(Randevular!$H$5:$H$1004,MATCH(SMALL(Randevular!$J$5:$J$1004,30),Randevular!$J$5:$J$1004,0)))</f>
        <v/>
      </c>
      <c r="D39" s="28" t="str">
        <f aca="false">IF(B39="","",INDEX(Randevular!$C$5:$C$1004,MATCH(SMALL(Randevular!$J$5:$J$1004,30),Randevular!$J$5:$J$1004,0)))</f>
        <v/>
      </c>
      <c r="E39" s="28" t="str">
        <f aca="false">IF(B39="","",INDEX(Randevular!$D$5:$D$1004,MATCH(SMALL(Randevular!$J$5:$J$1004,30),Randevular!$J$5:$J$1004,0)))</f>
        <v/>
      </c>
      <c r="F39" s="29" t="str">
        <f aca="false">IF(B39="","",INDEX(Randevular!$E$5:$E$1004,MATCH(SMALL(Randevular!$J$5:$J$1004,30),Randevular!$J$5:$J$1004,0)))</f>
        <v/>
      </c>
      <c r="G39" s="28" t="str">
        <f aca="false">IF(D39="","",IFERROR(INDEX(Müşteriler!$B$5:$B$304,MATCH(D39,Müşteriler!$A$5:$A$304,0))&amp;"",""))</f>
        <v/>
      </c>
      <c r="H39" s="30" t="str">
        <f aca="false">IF(B39="","",IF(F39="Gelmedi",0,IF(INDEX(Randevular!$F$5:$F$1004,MATCH(SMALL(Randevular!$J$5:$J$1004,30),Randevular!$J$5:$J$1004,0))="",IFERROR(INDEX(Hizmetler!$C$5:$C$54,MATCH(E39,Hizmetler!$A$5:$A$54,0)),0),INDEX(Randevular!$F$5:$F$1004,MATCH(SMALL(Randevular!$J$5:$J$1004,30),Randevular!$J$5:$J$1004,0))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14"/>
    <col collapsed="false" customWidth="true" hidden="false" outlineLevel="0" max="7" min="6" style="0" width="16"/>
    <col collapsed="false" customWidth="true" hidden="false" outlineLevel="0" max="8" min="8" style="0" width="3"/>
    <col collapsed="false" customWidth="true" hidden="false" outlineLevel="0" max="9" min="9" style="0" width="26"/>
    <col collapsed="false" customWidth="true" hidden="false" outlineLevel="0" max="10" min="10" style="0" width="16"/>
  </cols>
  <sheetData>
    <row r="1" customFormat="false" ht="19.7" hidden="false" customHeight="false" outlineLevel="0" collapsed="false">
      <c r="A1" s="8" t="s">
        <v>54</v>
      </c>
    </row>
    <row r="2" customFormat="false" ht="15" hidden="false" customHeight="false" outlineLevel="0" collapsed="false">
      <c r="A2" s="9" t="s">
        <v>55</v>
      </c>
    </row>
    <row r="3" customFormat="false" ht="15" hidden="false" customHeight="false" outlineLevel="0" collapsed="false">
      <c r="B3" s="0" t="s">
        <v>56</v>
      </c>
      <c r="C3" s="31" t="n">
        <v>2026</v>
      </c>
    </row>
    <row r="5" customFormat="false" ht="30" hidden="false" customHeight="true" outlineLevel="0" collapsed="false">
      <c r="B5" s="24" t="s">
        <v>57</v>
      </c>
      <c r="C5" s="24" t="s">
        <v>50</v>
      </c>
      <c r="D5" s="24" t="s">
        <v>58</v>
      </c>
      <c r="E5" s="24" t="s">
        <v>59</v>
      </c>
      <c r="F5" s="24" t="s">
        <v>60</v>
      </c>
    </row>
    <row r="6" customFormat="false" ht="27.75" hidden="false" customHeight="true" outlineLevel="0" collapsed="false">
      <c r="B6" s="26" t="n">
        <f aca="false">F23</f>
        <v>6300</v>
      </c>
      <c r="C6" s="25" t="n">
        <f aca="false">C23</f>
        <v>8</v>
      </c>
      <c r="D6" s="25" t="n">
        <f aca="false">D23</f>
        <v>5</v>
      </c>
      <c r="E6" s="32" t="n">
        <f aca="false">E23</f>
        <v>1</v>
      </c>
      <c r="F6" s="33" t="n">
        <f aca="false">IF(C23=0,0,E23/C23)</f>
        <v>0.125</v>
      </c>
    </row>
    <row r="9" customFormat="false" ht="15" hidden="false" customHeight="false" outlineLevel="0" collapsed="false">
      <c r="B9" s="34" t="s">
        <v>61</v>
      </c>
      <c r="I9" s="34" t="s">
        <v>62</v>
      </c>
    </row>
    <row r="10" customFormat="false" ht="21.75" hidden="false" customHeight="true" outlineLevel="0" collapsed="false">
      <c r="B10" s="10" t="s">
        <v>63</v>
      </c>
      <c r="C10" s="10" t="s">
        <v>50</v>
      </c>
      <c r="D10" s="10" t="s">
        <v>39</v>
      </c>
      <c r="E10" s="10" t="s">
        <v>45</v>
      </c>
      <c r="F10" s="10" t="s">
        <v>64</v>
      </c>
      <c r="I10" s="10" t="s">
        <v>31</v>
      </c>
      <c r="J10" s="10" t="s">
        <v>65</v>
      </c>
    </row>
    <row r="11" customFormat="false" ht="15" hidden="false" customHeight="false" outlineLevel="0" collapsed="false">
      <c r="B11" s="21" t="s">
        <v>66</v>
      </c>
      <c r="C11" s="35" t="n">
        <f aca="false">COUNTIFS(Randevular!$A$5:$A$1004,"&gt;="&amp;DATE($C$3,1,1),Randevular!$A$5:$A$1004,"&lt;"&amp;DATE($C$3,2,1),Randevular!$E$5:$E$1004,"&lt;&gt;İptal",Randevular!$E$5:$E$1004,"&lt;&gt;")</f>
        <v>0</v>
      </c>
      <c r="D11" s="35" t="n">
        <f aca="false">COUNTIFS(Randevular!$A$5:$A$1004,"&gt;="&amp;DATE($C$3,1,1),Randevular!$A$5:$A$1004,"&lt;"&amp;DATE($C$3,2,1),Randevular!$E$5:$E$1004,"Geldi")</f>
        <v>0</v>
      </c>
      <c r="E11" s="35" t="n">
        <f aca="false">COUNTIFS(Randevular!$A$5:$A$1004,"&gt;="&amp;DATE($C$3,1,1),Randevular!$A$5:$A$1004,"&lt;"&amp;DATE($C$3,2,1),Randevular!$E$5:$E$1004,"Gelmedi")</f>
        <v>0</v>
      </c>
      <c r="F11" s="17" t="n">
        <f aca="false">SUMIFS(Randevular!$G$5:$G$1004,Randevular!$A$5:$A$1004,"&gt;="&amp;DATE($C$3,1,1),Randevular!$A$5:$A$1004,"&lt;"&amp;DATE($C$3,2,1))</f>
        <v>0</v>
      </c>
      <c r="I11" s="21" t="str">
        <f aca="false">IFERROR(IF(LARGE(Hizmetler!$F$5:$F$54,1)&lt;1,"",INDEX(Hizmetler!$A$5:$A$54,MATCH(LARGE(Hizmetler!$F$5:$F$54,1),Hizmetler!$F$5:$F$54,0))),"")</f>
        <v>Boya</v>
      </c>
      <c r="J11" s="35" t="n">
        <f aca="false">IF(I11="","",INDEX(Hizmetler!$D$5:$D$54,MATCH(I11,Hizmetler!$A$5:$A$54,0)))</f>
        <v>2</v>
      </c>
    </row>
    <row r="12" customFormat="false" ht="15" hidden="false" customHeight="false" outlineLevel="0" collapsed="false">
      <c r="B12" s="28" t="s">
        <v>67</v>
      </c>
      <c r="C12" s="36" t="n">
        <f aca="false">COUNTIFS(Randevular!$A$5:$A$1004,"&gt;="&amp;DATE($C$3,2,1),Randevular!$A$5:$A$1004,"&lt;"&amp;DATE($C$3,3,1),Randevular!$E$5:$E$1004,"&lt;&gt;İptal",Randevular!$E$5:$E$1004,"&lt;&gt;")</f>
        <v>0</v>
      </c>
      <c r="D12" s="36" t="n">
        <f aca="false">COUNTIFS(Randevular!$A$5:$A$1004,"&gt;="&amp;DATE($C$3,2,1),Randevular!$A$5:$A$1004,"&lt;"&amp;DATE($C$3,3,1),Randevular!$E$5:$E$1004,"Geldi")</f>
        <v>0</v>
      </c>
      <c r="E12" s="36" t="n">
        <f aca="false">COUNTIFS(Randevular!$A$5:$A$1004,"&gt;="&amp;DATE($C$3,2,1),Randevular!$A$5:$A$1004,"&lt;"&amp;DATE($C$3,3,1),Randevular!$E$5:$E$1004,"Gelmedi")</f>
        <v>0</v>
      </c>
      <c r="F12" s="30" t="n">
        <f aca="false">SUMIFS(Randevular!$G$5:$G$1004,Randevular!$A$5:$A$1004,"&gt;="&amp;DATE($C$3,2,1),Randevular!$A$5:$A$1004,"&lt;"&amp;DATE($C$3,3,1))</f>
        <v>0</v>
      </c>
      <c r="I12" s="28" t="str">
        <f aca="false">IFERROR(IF(LARGE(Hizmetler!$F$5:$F$54,2)&lt;1,"",INDEX(Hizmetler!$A$5:$A$54,MATCH(LARGE(Hizmetler!$F$5:$F$54,2),Hizmetler!$F$5:$F$54,0))),"")</f>
        <v>Saç kesimi</v>
      </c>
      <c r="J12" s="36" t="n">
        <f aca="false">IF(I12="","",INDEX(Hizmetler!$D$5:$D$54,MATCH(I12,Hizmetler!$A$5:$A$54,0)))</f>
        <v>2</v>
      </c>
    </row>
    <row r="13" customFormat="false" ht="15" hidden="false" customHeight="false" outlineLevel="0" collapsed="false">
      <c r="B13" s="21" t="s">
        <v>68</v>
      </c>
      <c r="C13" s="35" t="n">
        <f aca="false">COUNTIFS(Randevular!$A$5:$A$1004,"&gt;="&amp;DATE($C$3,3,1),Randevular!$A$5:$A$1004,"&lt;"&amp;DATE($C$3,4,1),Randevular!$E$5:$E$1004,"&lt;&gt;İptal",Randevular!$E$5:$E$1004,"&lt;&gt;")</f>
        <v>0</v>
      </c>
      <c r="D13" s="35" t="n">
        <f aca="false">COUNTIFS(Randevular!$A$5:$A$1004,"&gt;="&amp;DATE($C$3,3,1),Randevular!$A$5:$A$1004,"&lt;"&amp;DATE($C$3,4,1),Randevular!$E$5:$E$1004,"Geldi")</f>
        <v>0</v>
      </c>
      <c r="E13" s="35" t="n">
        <f aca="false">COUNTIFS(Randevular!$A$5:$A$1004,"&gt;="&amp;DATE($C$3,3,1),Randevular!$A$5:$A$1004,"&lt;"&amp;DATE($C$3,4,1),Randevular!$E$5:$E$1004,"Gelmedi")</f>
        <v>0</v>
      </c>
      <c r="F13" s="17" t="n">
        <f aca="false">SUMIFS(Randevular!$G$5:$G$1004,Randevular!$A$5:$A$1004,"&gt;="&amp;DATE($C$3,3,1),Randevular!$A$5:$A$1004,"&lt;"&amp;DATE($C$3,4,1))</f>
        <v>0</v>
      </c>
      <c r="I13" s="21" t="str">
        <f aca="false">IFERROR(IF(LARGE(Hizmetler!$F$5:$F$54,3)&lt;1,"",INDEX(Hizmetler!$A$5:$A$54,MATCH(LARGE(Hizmetler!$F$5:$F$54,3),Hizmetler!$F$5:$F$54,0))),"")</f>
        <v>Fön</v>
      </c>
      <c r="J13" s="35" t="n">
        <f aca="false">IF(I13="","",INDEX(Hizmetler!$D$5:$D$54,MATCH(I13,Hizmetler!$A$5:$A$54,0)))</f>
        <v>1</v>
      </c>
    </row>
    <row r="14" customFormat="false" ht="15" hidden="false" customHeight="false" outlineLevel="0" collapsed="false">
      <c r="B14" s="28" t="s">
        <v>69</v>
      </c>
      <c r="C14" s="36" t="n">
        <f aca="false">COUNTIFS(Randevular!$A$5:$A$1004,"&gt;="&amp;DATE($C$3,4,1),Randevular!$A$5:$A$1004,"&lt;"&amp;DATE($C$3,5,1),Randevular!$E$5:$E$1004,"&lt;&gt;İptal",Randevular!$E$5:$E$1004,"&lt;&gt;")</f>
        <v>0</v>
      </c>
      <c r="D14" s="36" t="n">
        <f aca="false">COUNTIFS(Randevular!$A$5:$A$1004,"&gt;="&amp;DATE($C$3,4,1),Randevular!$A$5:$A$1004,"&lt;"&amp;DATE($C$3,5,1),Randevular!$E$5:$E$1004,"Geldi")</f>
        <v>0</v>
      </c>
      <c r="E14" s="36" t="n">
        <f aca="false">COUNTIFS(Randevular!$A$5:$A$1004,"&gt;="&amp;DATE($C$3,4,1),Randevular!$A$5:$A$1004,"&lt;"&amp;DATE($C$3,5,1),Randevular!$E$5:$E$1004,"Gelmedi")</f>
        <v>0</v>
      </c>
      <c r="F14" s="30" t="n">
        <f aca="false">SUMIFS(Randevular!$G$5:$G$1004,Randevular!$A$5:$A$1004,"&gt;="&amp;DATE($C$3,4,1),Randevular!$A$5:$A$1004,"&lt;"&amp;DATE($C$3,5,1))</f>
        <v>0</v>
      </c>
      <c r="I14" s="28" t="str">
        <f aca="false">IFERROR(IF(LARGE(Hizmetler!$F$5:$F$54,4)&lt;1,"",INDEX(Hizmetler!$A$5:$A$54,MATCH(LARGE(Hizmetler!$F$5:$F$54,4),Hizmetler!$F$5:$F$54,0))),"")</f>
        <v/>
      </c>
      <c r="J14" s="36" t="str">
        <f aca="false">IF(I14="","",INDEX(Hizmetler!$D$5:$D$54,MATCH(I14,Hizmetler!$A$5:$A$54,0)))</f>
        <v/>
      </c>
    </row>
    <row r="15" customFormat="false" ht="15" hidden="false" customHeight="false" outlineLevel="0" collapsed="false">
      <c r="B15" s="21" t="s">
        <v>70</v>
      </c>
      <c r="C15" s="35" t="n">
        <f aca="false">COUNTIFS(Randevular!$A$5:$A$1004,"&gt;="&amp;DATE($C$3,5,1),Randevular!$A$5:$A$1004,"&lt;"&amp;DATE($C$3,6,1),Randevular!$E$5:$E$1004,"&lt;&gt;İptal",Randevular!$E$5:$E$1004,"&lt;&gt;")</f>
        <v>0</v>
      </c>
      <c r="D15" s="35" t="n">
        <f aca="false">COUNTIFS(Randevular!$A$5:$A$1004,"&gt;="&amp;DATE($C$3,5,1),Randevular!$A$5:$A$1004,"&lt;"&amp;DATE($C$3,6,1),Randevular!$E$5:$E$1004,"Geldi")</f>
        <v>0</v>
      </c>
      <c r="E15" s="35" t="n">
        <f aca="false">COUNTIFS(Randevular!$A$5:$A$1004,"&gt;="&amp;DATE($C$3,5,1),Randevular!$A$5:$A$1004,"&lt;"&amp;DATE($C$3,6,1),Randevular!$E$5:$E$1004,"Gelmedi")</f>
        <v>0</v>
      </c>
      <c r="F15" s="17" t="n">
        <f aca="false">SUMIFS(Randevular!$G$5:$G$1004,Randevular!$A$5:$A$1004,"&gt;="&amp;DATE($C$3,5,1),Randevular!$A$5:$A$1004,"&lt;"&amp;DATE($C$3,6,1))</f>
        <v>0</v>
      </c>
      <c r="I15" s="21" t="str">
        <f aca="false">IFERROR(IF(LARGE(Hizmetler!$F$5:$F$54,5)&lt;1,"",INDEX(Hizmetler!$A$5:$A$54,MATCH(LARGE(Hizmetler!$F$5:$F$54,5),Hizmetler!$F$5:$F$54,0))),"")</f>
        <v/>
      </c>
      <c r="J15" s="35" t="str">
        <f aca="false">IF(I15="","",INDEX(Hizmetler!$D$5:$D$54,MATCH(I15,Hizmetler!$A$5:$A$54,0)))</f>
        <v/>
      </c>
    </row>
    <row r="16" customFormat="false" ht="15" hidden="false" customHeight="false" outlineLevel="0" collapsed="false">
      <c r="B16" s="28" t="s">
        <v>71</v>
      </c>
      <c r="C16" s="36" t="n">
        <f aca="false">COUNTIFS(Randevular!$A$5:$A$1004,"&gt;="&amp;DATE($C$3,6,1),Randevular!$A$5:$A$1004,"&lt;"&amp;DATE($C$3,7,1),Randevular!$E$5:$E$1004,"&lt;&gt;İptal",Randevular!$E$5:$E$1004,"&lt;&gt;")</f>
        <v>0</v>
      </c>
      <c r="D16" s="36" t="n">
        <f aca="false">COUNTIFS(Randevular!$A$5:$A$1004,"&gt;="&amp;DATE($C$3,6,1),Randevular!$A$5:$A$1004,"&lt;"&amp;DATE($C$3,7,1),Randevular!$E$5:$E$1004,"Geldi")</f>
        <v>0</v>
      </c>
      <c r="E16" s="36" t="n">
        <f aca="false">COUNTIFS(Randevular!$A$5:$A$1004,"&gt;="&amp;DATE($C$3,6,1),Randevular!$A$5:$A$1004,"&lt;"&amp;DATE($C$3,7,1),Randevular!$E$5:$E$1004,"Gelmedi")</f>
        <v>0</v>
      </c>
      <c r="F16" s="30" t="n">
        <f aca="false">SUMIFS(Randevular!$G$5:$G$1004,Randevular!$A$5:$A$1004,"&gt;="&amp;DATE($C$3,6,1),Randevular!$A$5:$A$1004,"&lt;"&amp;DATE($C$3,7,1))</f>
        <v>0</v>
      </c>
    </row>
    <row r="17" customFormat="false" ht="15" hidden="false" customHeight="false" outlineLevel="0" collapsed="false">
      <c r="B17" s="21" t="s">
        <v>72</v>
      </c>
      <c r="C17" s="35" t="n">
        <f aca="false">COUNTIFS(Randevular!$A$5:$A$1004,"&gt;="&amp;DATE($C$3,7,1),Randevular!$A$5:$A$1004,"&lt;"&amp;DATE($C$3,8,1),Randevular!$E$5:$E$1004,"&lt;&gt;İptal",Randevular!$E$5:$E$1004,"&lt;&gt;")</f>
        <v>0</v>
      </c>
      <c r="D17" s="35" t="n">
        <f aca="false">COUNTIFS(Randevular!$A$5:$A$1004,"&gt;="&amp;DATE($C$3,7,1),Randevular!$A$5:$A$1004,"&lt;"&amp;DATE($C$3,8,1),Randevular!$E$5:$E$1004,"Geldi")</f>
        <v>0</v>
      </c>
      <c r="E17" s="35" t="n">
        <f aca="false">COUNTIFS(Randevular!$A$5:$A$1004,"&gt;="&amp;DATE($C$3,7,1),Randevular!$A$5:$A$1004,"&lt;"&amp;DATE($C$3,8,1),Randevular!$E$5:$E$1004,"Gelmedi")</f>
        <v>0</v>
      </c>
      <c r="F17" s="17" t="n">
        <f aca="false">SUMIFS(Randevular!$G$5:$G$1004,Randevular!$A$5:$A$1004,"&gt;="&amp;DATE($C$3,7,1),Randevular!$A$5:$A$1004,"&lt;"&amp;DATE($C$3,8,1))</f>
        <v>0</v>
      </c>
      <c r="I17" s="34" t="s">
        <v>73</v>
      </c>
    </row>
    <row r="18" customFormat="false" ht="21.75" hidden="false" customHeight="true" outlineLevel="0" collapsed="false">
      <c r="B18" s="28" t="s">
        <v>74</v>
      </c>
      <c r="C18" s="36" t="n">
        <f aca="false">COUNTIFS(Randevular!$A$5:$A$1004,"&gt;="&amp;DATE($C$3,8,1),Randevular!$A$5:$A$1004,"&lt;"&amp;DATE($C$3,9,1),Randevular!$E$5:$E$1004,"&lt;&gt;İptal",Randevular!$E$5:$E$1004,"&lt;&gt;")</f>
        <v>0</v>
      </c>
      <c r="D18" s="36" t="n">
        <f aca="false">COUNTIFS(Randevular!$A$5:$A$1004,"&gt;="&amp;DATE($C$3,8,1),Randevular!$A$5:$A$1004,"&lt;"&amp;DATE($C$3,9,1),Randevular!$E$5:$E$1004,"Geldi")</f>
        <v>0</v>
      </c>
      <c r="E18" s="36" t="n">
        <f aca="false">COUNTIFS(Randevular!$A$5:$A$1004,"&gt;="&amp;DATE($C$3,8,1),Randevular!$A$5:$A$1004,"&lt;"&amp;DATE($C$3,9,1),Randevular!$E$5:$E$1004,"Gelmedi")</f>
        <v>0</v>
      </c>
      <c r="F18" s="30" t="n">
        <f aca="false">SUMIFS(Randevular!$G$5:$G$1004,Randevular!$A$5:$A$1004,"&gt;="&amp;DATE($C$3,8,1),Randevular!$A$5:$A$1004,"&lt;"&amp;DATE($C$3,9,1))</f>
        <v>0</v>
      </c>
      <c r="I18" s="10" t="s">
        <v>30</v>
      </c>
      <c r="J18" s="10" t="s">
        <v>75</v>
      </c>
    </row>
    <row r="19" customFormat="false" ht="15" hidden="false" customHeight="false" outlineLevel="0" collapsed="false">
      <c r="B19" s="21" t="s">
        <v>76</v>
      </c>
      <c r="C19" s="35" t="n">
        <f aca="false">COUNTIFS(Randevular!$A$5:$A$1004,"&gt;="&amp;DATE($C$3,9,1),Randevular!$A$5:$A$1004,"&lt;"&amp;DATE($C$3,10,1),Randevular!$E$5:$E$1004,"&lt;&gt;İptal",Randevular!$E$5:$E$1004,"&lt;&gt;")</f>
        <v>2</v>
      </c>
      <c r="D19" s="35" t="n">
        <f aca="false">COUNTIFS(Randevular!$A$5:$A$1004,"&gt;="&amp;DATE($C$3,9,1),Randevular!$A$5:$A$1004,"&lt;"&amp;DATE($C$3,10,1),Randevular!$E$5:$E$1004,"Geldi")</f>
        <v>2</v>
      </c>
      <c r="E19" s="35" t="n">
        <f aca="false">COUNTIFS(Randevular!$A$5:$A$1004,"&gt;="&amp;DATE($C$3,9,1),Randevular!$A$5:$A$1004,"&lt;"&amp;DATE($C$3,10,1),Randevular!$E$5:$E$1004,"Gelmedi")</f>
        <v>0</v>
      </c>
      <c r="F19" s="17" t="n">
        <f aca="false">SUMIFS(Randevular!$G$5:$G$1004,Randevular!$A$5:$A$1004,"&gt;="&amp;DATE($C$3,9,1),Randevular!$A$5:$A$1004,"&lt;"&amp;DATE($C$3,10,1))</f>
        <v>3100</v>
      </c>
      <c r="I19" s="21" t="str">
        <f aca="false">IFERROR(IF(LARGE(Müşteriler!$H$5:$H$304,1)&lt;1,"",INDEX(Müşteriler!$A$5:$A$304,MATCH(LARGE(Müşteriler!$H$5:$H$304,1),Müşteriler!$H$5:$H$304,0))),"")</f>
        <v>Müşteri Gama</v>
      </c>
      <c r="J19" s="17" t="n">
        <f aca="false">IF(I19="","",INDEX(Müşteriler!$F$5:$F$304,MATCH(I19,Müşteriler!$A$5:$A$304,0)))</f>
        <v>2500</v>
      </c>
    </row>
    <row r="20" customFormat="false" ht="15" hidden="false" customHeight="false" outlineLevel="0" collapsed="false">
      <c r="B20" s="28" t="s">
        <v>77</v>
      </c>
      <c r="C20" s="36" t="n">
        <f aca="false">COUNTIFS(Randevular!$A$5:$A$1004,"&gt;="&amp;DATE($C$3,10,1),Randevular!$A$5:$A$1004,"&lt;"&amp;DATE($C$3,11,1),Randevular!$E$5:$E$1004,"&lt;&gt;İptal",Randevular!$E$5:$E$1004,"&lt;&gt;")</f>
        <v>6</v>
      </c>
      <c r="D20" s="36" t="n">
        <f aca="false">COUNTIFS(Randevular!$A$5:$A$1004,"&gt;="&amp;DATE($C$3,10,1),Randevular!$A$5:$A$1004,"&lt;"&amp;DATE($C$3,11,1),Randevular!$E$5:$E$1004,"Geldi")</f>
        <v>3</v>
      </c>
      <c r="E20" s="36" t="n">
        <f aca="false">COUNTIFS(Randevular!$A$5:$A$1004,"&gt;="&amp;DATE($C$3,10,1),Randevular!$A$5:$A$1004,"&lt;"&amp;DATE($C$3,11,1),Randevular!$E$5:$E$1004,"Gelmedi")</f>
        <v>1</v>
      </c>
      <c r="F20" s="30" t="n">
        <f aca="false">SUMIFS(Randevular!$G$5:$G$1004,Randevular!$A$5:$A$1004,"&gt;="&amp;DATE($C$3,10,1),Randevular!$A$5:$A$1004,"&lt;"&amp;DATE($C$3,11,1))</f>
        <v>3200</v>
      </c>
      <c r="I20" s="28" t="str">
        <f aca="false">IFERROR(IF(LARGE(Müşteriler!$H$5:$H$304,2)&lt;1,"",INDEX(Müşteriler!$A$5:$A$304,MATCH(LARGE(Müşteriler!$H$5:$H$304,2),Müşteriler!$H$5:$H$304,0))),"")</f>
        <v>Müşteri Beta</v>
      </c>
      <c r="J20" s="30" t="n">
        <f aca="false">IF(I20="","",INDEX(Müşteriler!$F$5:$F$304,MATCH(I20,Müşteriler!$A$5:$A$304,0)))</f>
        <v>2200</v>
      </c>
    </row>
    <row r="21" customFormat="false" ht="15" hidden="false" customHeight="false" outlineLevel="0" collapsed="false">
      <c r="B21" s="21" t="s">
        <v>78</v>
      </c>
      <c r="C21" s="35" t="n">
        <f aca="false">COUNTIFS(Randevular!$A$5:$A$1004,"&gt;="&amp;DATE($C$3,11,1),Randevular!$A$5:$A$1004,"&lt;"&amp;DATE($C$3,12,1),Randevular!$E$5:$E$1004,"&lt;&gt;İptal",Randevular!$E$5:$E$1004,"&lt;&gt;")</f>
        <v>0</v>
      </c>
      <c r="D21" s="35" t="n">
        <f aca="false">COUNTIFS(Randevular!$A$5:$A$1004,"&gt;="&amp;DATE($C$3,11,1),Randevular!$A$5:$A$1004,"&lt;"&amp;DATE($C$3,12,1),Randevular!$E$5:$E$1004,"Geldi")</f>
        <v>0</v>
      </c>
      <c r="E21" s="35" t="n">
        <f aca="false">COUNTIFS(Randevular!$A$5:$A$1004,"&gt;="&amp;DATE($C$3,11,1),Randevular!$A$5:$A$1004,"&lt;"&amp;DATE($C$3,12,1),Randevular!$E$5:$E$1004,"Gelmedi")</f>
        <v>0</v>
      </c>
      <c r="F21" s="17" t="n">
        <f aca="false">SUMIFS(Randevular!$G$5:$G$1004,Randevular!$A$5:$A$1004,"&gt;="&amp;DATE($C$3,11,1),Randevular!$A$5:$A$1004,"&lt;"&amp;DATE($C$3,12,1))</f>
        <v>0</v>
      </c>
      <c r="I21" s="21" t="str">
        <f aca="false">IFERROR(IF(LARGE(Müşteriler!$H$5:$H$304,3)&lt;1,"",INDEX(Müşteriler!$A$5:$A$304,MATCH(LARGE(Müşteriler!$H$5:$H$304,3),Müşteriler!$H$5:$H$304,0))),"")</f>
        <v>Müşteri Delta</v>
      </c>
      <c r="J21" s="17" t="n">
        <f aca="false">IF(I21="","",INDEX(Müşteriler!$F$5:$F$304,MATCH(I21,Müşteriler!$A$5:$A$304,0)))</f>
        <v>1000</v>
      </c>
    </row>
    <row r="22" customFormat="false" ht="15" hidden="false" customHeight="false" outlineLevel="0" collapsed="false">
      <c r="B22" s="28" t="s">
        <v>79</v>
      </c>
      <c r="C22" s="36" t="n">
        <f aca="false">COUNTIFS(Randevular!$A$5:$A$1004,"&gt;="&amp;DATE($C$3,12,1),Randevular!$A$5:$A$1004,"&lt;"&amp;DATE($C$3,13,1),Randevular!$E$5:$E$1004,"&lt;&gt;İptal",Randevular!$E$5:$E$1004,"&lt;&gt;")</f>
        <v>0</v>
      </c>
      <c r="D22" s="36" t="n">
        <f aca="false">COUNTIFS(Randevular!$A$5:$A$1004,"&gt;="&amp;DATE($C$3,12,1),Randevular!$A$5:$A$1004,"&lt;"&amp;DATE($C$3,13,1),Randevular!$E$5:$E$1004,"Geldi")</f>
        <v>0</v>
      </c>
      <c r="E22" s="36" t="n">
        <f aca="false">COUNTIFS(Randevular!$A$5:$A$1004,"&gt;="&amp;DATE($C$3,12,1),Randevular!$A$5:$A$1004,"&lt;"&amp;DATE($C$3,13,1),Randevular!$E$5:$E$1004,"Gelmedi")</f>
        <v>0</v>
      </c>
      <c r="F22" s="30" t="n">
        <f aca="false">SUMIFS(Randevular!$G$5:$G$1004,Randevular!$A$5:$A$1004,"&gt;="&amp;DATE($C$3,12,1),Randevular!$A$5:$A$1004,"&lt;"&amp;DATE($C$3,13,1))</f>
        <v>0</v>
      </c>
      <c r="I22" s="28" t="str">
        <f aca="false">IFERROR(IF(LARGE(Müşteriler!$H$5:$H$304,4)&lt;1,"",INDEX(Müşteriler!$A$5:$A$304,MATCH(LARGE(Müşteriler!$H$5:$H$304,4),Müşteriler!$H$5:$H$304,0))),"")</f>
        <v>Müşteri Alfa</v>
      </c>
      <c r="J22" s="30" t="n">
        <f aca="false">IF(I22="","",INDEX(Müşteriler!$F$5:$F$304,MATCH(I22,Müşteriler!$A$5:$A$304,0)))</f>
        <v>600</v>
      </c>
    </row>
    <row r="23" customFormat="false" ht="15" hidden="false" customHeight="false" outlineLevel="0" collapsed="false">
      <c r="B23" s="21" t="s">
        <v>80</v>
      </c>
      <c r="C23" s="37" t="n">
        <f aca="false">SUM(C11:C22)</f>
        <v>8</v>
      </c>
      <c r="D23" s="37" t="n">
        <f aca="false">SUM(D11:D22)</f>
        <v>5</v>
      </c>
      <c r="E23" s="37" t="n">
        <f aca="false">SUM(E11:E22)</f>
        <v>1</v>
      </c>
      <c r="F23" s="38" t="n">
        <f aca="false">SUM(F11:F22)</f>
        <v>6300</v>
      </c>
      <c r="I23" s="21" t="str">
        <f aca="false">IFERROR(IF(LARGE(Müşteriler!$H$5:$H$304,5)&lt;1,"",INDEX(Müşteriler!$A$5:$A$304,MATCH(LARGE(Müşteriler!$H$5:$H$304,5),Müşteriler!$H$5:$H$304,0))),"")</f>
        <v/>
      </c>
      <c r="J23" s="17" t="str">
        <f aca="false">IF(I23="","",INDEX(Müşteriler!$F$5:$F$304,MATCH(I23,Müşteriler!$A$5:$A$304,0)))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F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4" min="3" style="0" width="13"/>
    <col collapsed="false" customWidth="true" hidden="false" outlineLevel="0" max="5" min="5" style="0" width="15"/>
    <col collapsed="false" customWidth="true" hidden="true" outlineLevel="0" max="6" min="6" style="0" width="4"/>
  </cols>
  <sheetData>
    <row r="1" customFormat="false" ht="19.7" hidden="false" customHeight="false" outlineLevel="0" collapsed="false">
      <c r="A1" s="8" t="s">
        <v>81</v>
      </c>
    </row>
    <row r="2" customFormat="false" ht="15" hidden="false" customHeight="false" outlineLevel="0" collapsed="false">
      <c r="A2" s="9" t="s">
        <v>82</v>
      </c>
    </row>
    <row r="4" customFormat="false" ht="27.75" hidden="false" customHeight="true" outlineLevel="0" collapsed="false">
      <c r="A4" s="10" t="s">
        <v>31</v>
      </c>
      <c r="B4" s="10" t="s">
        <v>83</v>
      </c>
      <c r="C4" s="10" t="s">
        <v>84</v>
      </c>
      <c r="D4" s="11" t="s">
        <v>65</v>
      </c>
      <c r="E4" s="11" t="s">
        <v>64</v>
      </c>
      <c r="F4" s="11" t="s">
        <v>36</v>
      </c>
    </row>
    <row r="5" customFormat="false" ht="15" hidden="false" customHeight="false" outlineLevel="0" collapsed="false">
      <c r="A5" s="14" t="s">
        <v>38</v>
      </c>
      <c r="B5" s="39" t="n">
        <v>30</v>
      </c>
      <c r="C5" s="16" t="n">
        <v>600</v>
      </c>
      <c r="D5" s="35" t="n">
        <f aca="false">IF(A5="","",COUNTIFS(Randevular!$D$5:$D$1004,A5,Randevular!$E$5:$E$1004,"Geldi"))</f>
        <v>2</v>
      </c>
      <c r="E5" s="17" t="n">
        <f aca="false">IF(A5="","",SUMIFS(Randevular!$G$5:$G$1004,Randevular!$D$5:$D$1004,A5))</f>
        <v>1200</v>
      </c>
      <c r="F5" s="21" t="n">
        <f aca="false">IF(A5="","",D5+ROW()/1000000)</f>
        <v>2.000005</v>
      </c>
    </row>
    <row r="6" customFormat="false" ht="15" hidden="false" customHeight="false" outlineLevel="0" collapsed="false">
      <c r="A6" s="14" t="s">
        <v>41</v>
      </c>
      <c r="B6" s="39" t="n">
        <v>30</v>
      </c>
      <c r="C6" s="16" t="n">
        <v>400</v>
      </c>
      <c r="D6" s="35" t="n">
        <f aca="false">IF(A6="","",COUNTIFS(Randevular!$D$5:$D$1004,A6,Randevular!$E$5:$E$1004,"Geldi"))</f>
        <v>1</v>
      </c>
      <c r="E6" s="17" t="n">
        <f aca="false">IF(A6="","",SUMIFS(Randevular!$G$5:$G$1004,Randevular!$D$5:$D$1004,A6))</f>
        <v>400</v>
      </c>
      <c r="F6" s="21" t="n">
        <f aca="false">IF(A6="","",D6+ROW()/1000000)</f>
        <v>1.000006</v>
      </c>
    </row>
    <row r="7" customFormat="false" ht="15" hidden="false" customHeight="false" outlineLevel="0" collapsed="false">
      <c r="A7" s="14" t="s">
        <v>43</v>
      </c>
      <c r="B7" s="39" t="n">
        <v>90</v>
      </c>
      <c r="C7" s="16" t="n">
        <v>2500</v>
      </c>
      <c r="D7" s="35" t="n">
        <f aca="false">IF(A7="","",COUNTIFS(Randevular!$D$5:$D$1004,A7,Randevular!$E$5:$E$1004,"Geldi"))</f>
        <v>2</v>
      </c>
      <c r="E7" s="17" t="n">
        <f aca="false">IF(A7="","",SUMIFS(Randevular!$G$5:$G$1004,Randevular!$D$5:$D$1004,A7))</f>
        <v>4700</v>
      </c>
      <c r="F7" s="21" t="n">
        <f aca="false">IF(A7="","",D7+ROW()/1000000)</f>
        <v>2.000007</v>
      </c>
    </row>
    <row r="8" customFormat="false" ht="15" hidden="false" customHeight="false" outlineLevel="0" collapsed="false">
      <c r="A8" s="14"/>
      <c r="B8" s="39"/>
      <c r="C8" s="16"/>
      <c r="D8" s="35" t="str">
        <f aca="false">IF(A8="","",COUNTIFS(Randevular!$D$5:$D$1004,A8,Randevular!$E$5:$E$1004,"Geldi"))</f>
        <v/>
      </c>
      <c r="E8" s="17" t="str">
        <f aca="false">IF(A8="","",SUMIFS(Randevular!$G$5:$G$1004,Randevular!$D$5:$D$1004,A8))</f>
        <v/>
      </c>
      <c r="F8" s="21" t="str">
        <f aca="false">IF(A8="","",D8+ROW()/1000000)</f>
        <v/>
      </c>
    </row>
    <row r="9" customFormat="false" ht="15" hidden="false" customHeight="false" outlineLevel="0" collapsed="false">
      <c r="A9" s="14"/>
      <c r="B9" s="39"/>
      <c r="C9" s="16"/>
      <c r="D9" s="35" t="str">
        <f aca="false">IF(A9="","",COUNTIFS(Randevular!$D$5:$D$1004,A9,Randevular!$E$5:$E$1004,"Geldi"))</f>
        <v/>
      </c>
      <c r="E9" s="17" t="str">
        <f aca="false">IF(A9="","",SUMIFS(Randevular!$G$5:$G$1004,Randevular!$D$5:$D$1004,A9))</f>
        <v/>
      </c>
      <c r="F9" s="21" t="str">
        <f aca="false">IF(A9="","",D9+ROW()/1000000)</f>
        <v/>
      </c>
    </row>
    <row r="10" customFormat="false" ht="15" hidden="false" customHeight="false" outlineLevel="0" collapsed="false">
      <c r="A10" s="14"/>
      <c r="B10" s="39"/>
      <c r="C10" s="16"/>
      <c r="D10" s="35" t="str">
        <f aca="false">IF(A10="","",COUNTIFS(Randevular!$D$5:$D$1004,A10,Randevular!$E$5:$E$1004,"Geldi"))</f>
        <v/>
      </c>
      <c r="E10" s="17" t="str">
        <f aca="false">IF(A10="","",SUMIFS(Randevular!$G$5:$G$1004,Randevular!$D$5:$D$1004,A10))</f>
        <v/>
      </c>
      <c r="F10" s="21" t="str">
        <f aca="false">IF(A10="","",D10+ROW()/1000000)</f>
        <v/>
      </c>
    </row>
    <row r="11" customFormat="false" ht="15" hidden="false" customHeight="false" outlineLevel="0" collapsed="false">
      <c r="A11" s="14"/>
      <c r="B11" s="39"/>
      <c r="C11" s="16"/>
      <c r="D11" s="35" t="str">
        <f aca="false">IF(A11="","",COUNTIFS(Randevular!$D$5:$D$1004,A11,Randevular!$E$5:$E$1004,"Geldi"))</f>
        <v/>
      </c>
      <c r="E11" s="17" t="str">
        <f aca="false">IF(A11="","",SUMIFS(Randevular!$G$5:$G$1004,Randevular!$D$5:$D$1004,A11))</f>
        <v/>
      </c>
      <c r="F11" s="21" t="str">
        <f aca="false">IF(A11="","",D11+ROW()/1000000)</f>
        <v/>
      </c>
    </row>
    <row r="12" customFormat="false" ht="15" hidden="false" customHeight="false" outlineLevel="0" collapsed="false">
      <c r="A12" s="14"/>
      <c r="B12" s="39"/>
      <c r="C12" s="16"/>
      <c r="D12" s="35" t="str">
        <f aca="false">IF(A12="","",COUNTIFS(Randevular!$D$5:$D$1004,A12,Randevular!$E$5:$E$1004,"Geldi"))</f>
        <v/>
      </c>
      <c r="E12" s="17" t="str">
        <f aca="false">IF(A12="","",SUMIFS(Randevular!$G$5:$G$1004,Randevular!$D$5:$D$1004,A12))</f>
        <v/>
      </c>
      <c r="F12" s="21" t="str">
        <f aca="false">IF(A12="","",D12+ROW()/1000000)</f>
        <v/>
      </c>
    </row>
    <row r="13" customFormat="false" ht="15" hidden="false" customHeight="false" outlineLevel="0" collapsed="false">
      <c r="A13" s="14"/>
      <c r="B13" s="39"/>
      <c r="C13" s="16"/>
      <c r="D13" s="35" t="str">
        <f aca="false">IF(A13="","",COUNTIFS(Randevular!$D$5:$D$1004,A13,Randevular!$E$5:$E$1004,"Geldi"))</f>
        <v/>
      </c>
      <c r="E13" s="17" t="str">
        <f aca="false">IF(A13="","",SUMIFS(Randevular!$G$5:$G$1004,Randevular!$D$5:$D$1004,A13))</f>
        <v/>
      </c>
      <c r="F13" s="21" t="str">
        <f aca="false">IF(A13="","",D13+ROW()/1000000)</f>
        <v/>
      </c>
    </row>
    <row r="14" customFormat="false" ht="15" hidden="false" customHeight="false" outlineLevel="0" collapsed="false">
      <c r="A14" s="14"/>
      <c r="B14" s="39"/>
      <c r="C14" s="16"/>
      <c r="D14" s="35" t="str">
        <f aca="false">IF(A14="","",COUNTIFS(Randevular!$D$5:$D$1004,A14,Randevular!$E$5:$E$1004,"Geldi"))</f>
        <v/>
      </c>
      <c r="E14" s="17" t="str">
        <f aca="false">IF(A14="","",SUMIFS(Randevular!$G$5:$G$1004,Randevular!$D$5:$D$1004,A14))</f>
        <v/>
      </c>
      <c r="F14" s="21" t="str">
        <f aca="false">IF(A14="","",D14+ROW()/1000000)</f>
        <v/>
      </c>
    </row>
    <row r="15" customFormat="false" ht="15" hidden="false" customHeight="false" outlineLevel="0" collapsed="false">
      <c r="A15" s="14"/>
      <c r="B15" s="39"/>
      <c r="C15" s="16"/>
      <c r="D15" s="35" t="str">
        <f aca="false">IF(A15="","",COUNTIFS(Randevular!$D$5:$D$1004,A15,Randevular!$E$5:$E$1004,"Geldi"))</f>
        <v/>
      </c>
      <c r="E15" s="17" t="str">
        <f aca="false">IF(A15="","",SUMIFS(Randevular!$G$5:$G$1004,Randevular!$D$5:$D$1004,A15))</f>
        <v/>
      </c>
      <c r="F15" s="21" t="str">
        <f aca="false">IF(A15="","",D15+ROW()/1000000)</f>
        <v/>
      </c>
    </row>
    <row r="16" customFormat="false" ht="15" hidden="false" customHeight="false" outlineLevel="0" collapsed="false">
      <c r="A16" s="14"/>
      <c r="B16" s="39"/>
      <c r="C16" s="16"/>
      <c r="D16" s="35" t="str">
        <f aca="false">IF(A16="","",COUNTIFS(Randevular!$D$5:$D$1004,A16,Randevular!$E$5:$E$1004,"Geldi"))</f>
        <v/>
      </c>
      <c r="E16" s="17" t="str">
        <f aca="false">IF(A16="","",SUMIFS(Randevular!$G$5:$G$1004,Randevular!$D$5:$D$1004,A16))</f>
        <v/>
      </c>
      <c r="F16" s="21" t="str">
        <f aca="false">IF(A16="","",D16+ROW()/1000000)</f>
        <v/>
      </c>
    </row>
    <row r="17" customFormat="false" ht="15" hidden="false" customHeight="false" outlineLevel="0" collapsed="false">
      <c r="A17" s="14"/>
      <c r="B17" s="39"/>
      <c r="C17" s="16"/>
      <c r="D17" s="35" t="str">
        <f aca="false">IF(A17="","",COUNTIFS(Randevular!$D$5:$D$1004,A17,Randevular!$E$5:$E$1004,"Geldi"))</f>
        <v/>
      </c>
      <c r="E17" s="17" t="str">
        <f aca="false">IF(A17="","",SUMIFS(Randevular!$G$5:$G$1004,Randevular!$D$5:$D$1004,A17))</f>
        <v/>
      </c>
      <c r="F17" s="21" t="str">
        <f aca="false">IF(A17="","",D17+ROW()/1000000)</f>
        <v/>
      </c>
    </row>
    <row r="18" customFormat="false" ht="15" hidden="false" customHeight="false" outlineLevel="0" collapsed="false">
      <c r="A18" s="14"/>
      <c r="B18" s="39"/>
      <c r="C18" s="16"/>
      <c r="D18" s="35" t="str">
        <f aca="false">IF(A18="","",COUNTIFS(Randevular!$D$5:$D$1004,A18,Randevular!$E$5:$E$1004,"Geldi"))</f>
        <v/>
      </c>
      <c r="E18" s="17" t="str">
        <f aca="false">IF(A18="","",SUMIFS(Randevular!$G$5:$G$1004,Randevular!$D$5:$D$1004,A18))</f>
        <v/>
      </c>
      <c r="F18" s="21" t="str">
        <f aca="false">IF(A18="","",D18+ROW()/1000000)</f>
        <v/>
      </c>
    </row>
    <row r="19" customFormat="false" ht="15" hidden="false" customHeight="false" outlineLevel="0" collapsed="false">
      <c r="A19" s="14"/>
      <c r="B19" s="39"/>
      <c r="C19" s="16"/>
      <c r="D19" s="35" t="str">
        <f aca="false">IF(A19="","",COUNTIFS(Randevular!$D$5:$D$1004,A19,Randevular!$E$5:$E$1004,"Geldi"))</f>
        <v/>
      </c>
      <c r="E19" s="17" t="str">
        <f aca="false">IF(A19="","",SUMIFS(Randevular!$G$5:$G$1004,Randevular!$D$5:$D$1004,A19))</f>
        <v/>
      </c>
      <c r="F19" s="21" t="str">
        <f aca="false">IF(A19="","",D19+ROW()/1000000)</f>
        <v/>
      </c>
    </row>
    <row r="20" customFormat="false" ht="15" hidden="false" customHeight="false" outlineLevel="0" collapsed="false">
      <c r="A20" s="14"/>
      <c r="B20" s="39"/>
      <c r="C20" s="16"/>
      <c r="D20" s="35" t="str">
        <f aca="false">IF(A20="","",COUNTIFS(Randevular!$D$5:$D$1004,A20,Randevular!$E$5:$E$1004,"Geldi"))</f>
        <v/>
      </c>
      <c r="E20" s="17" t="str">
        <f aca="false">IF(A20="","",SUMIFS(Randevular!$G$5:$G$1004,Randevular!$D$5:$D$1004,A20))</f>
        <v/>
      </c>
      <c r="F20" s="21" t="str">
        <f aca="false">IF(A20="","",D20+ROW()/1000000)</f>
        <v/>
      </c>
    </row>
    <row r="21" customFormat="false" ht="15" hidden="false" customHeight="false" outlineLevel="0" collapsed="false">
      <c r="A21" s="14"/>
      <c r="B21" s="39"/>
      <c r="C21" s="16"/>
      <c r="D21" s="35" t="str">
        <f aca="false">IF(A21="","",COUNTIFS(Randevular!$D$5:$D$1004,A21,Randevular!$E$5:$E$1004,"Geldi"))</f>
        <v/>
      </c>
      <c r="E21" s="17" t="str">
        <f aca="false">IF(A21="","",SUMIFS(Randevular!$G$5:$G$1004,Randevular!$D$5:$D$1004,A21))</f>
        <v/>
      </c>
      <c r="F21" s="21" t="str">
        <f aca="false">IF(A21="","",D21+ROW()/1000000)</f>
        <v/>
      </c>
    </row>
    <row r="22" customFormat="false" ht="15" hidden="false" customHeight="false" outlineLevel="0" collapsed="false">
      <c r="A22" s="14"/>
      <c r="B22" s="39"/>
      <c r="C22" s="16"/>
      <c r="D22" s="35" t="str">
        <f aca="false">IF(A22="","",COUNTIFS(Randevular!$D$5:$D$1004,A22,Randevular!$E$5:$E$1004,"Geldi"))</f>
        <v/>
      </c>
      <c r="E22" s="17" t="str">
        <f aca="false">IF(A22="","",SUMIFS(Randevular!$G$5:$G$1004,Randevular!$D$5:$D$1004,A22))</f>
        <v/>
      </c>
      <c r="F22" s="21" t="str">
        <f aca="false">IF(A22="","",D22+ROW()/1000000)</f>
        <v/>
      </c>
    </row>
    <row r="23" customFormat="false" ht="15" hidden="false" customHeight="false" outlineLevel="0" collapsed="false">
      <c r="A23" s="14"/>
      <c r="B23" s="39"/>
      <c r="C23" s="16"/>
      <c r="D23" s="35" t="str">
        <f aca="false">IF(A23="","",COUNTIFS(Randevular!$D$5:$D$1004,A23,Randevular!$E$5:$E$1004,"Geldi"))</f>
        <v/>
      </c>
      <c r="E23" s="17" t="str">
        <f aca="false">IF(A23="","",SUMIFS(Randevular!$G$5:$G$1004,Randevular!$D$5:$D$1004,A23))</f>
        <v/>
      </c>
      <c r="F23" s="21" t="str">
        <f aca="false">IF(A23="","",D23+ROW()/1000000)</f>
        <v/>
      </c>
    </row>
    <row r="24" customFormat="false" ht="15" hidden="false" customHeight="false" outlineLevel="0" collapsed="false">
      <c r="A24" s="14"/>
      <c r="B24" s="39"/>
      <c r="C24" s="16"/>
      <c r="D24" s="35" t="str">
        <f aca="false">IF(A24="","",COUNTIFS(Randevular!$D$5:$D$1004,A24,Randevular!$E$5:$E$1004,"Geldi"))</f>
        <v/>
      </c>
      <c r="E24" s="17" t="str">
        <f aca="false">IF(A24="","",SUMIFS(Randevular!$G$5:$G$1004,Randevular!$D$5:$D$1004,A24))</f>
        <v/>
      </c>
      <c r="F24" s="21" t="str">
        <f aca="false">IF(A24="","",D24+ROW()/1000000)</f>
        <v/>
      </c>
    </row>
    <row r="25" customFormat="false" ht="15" hidden="false" customHeight="false" outlineLevel="0" collapsed="false">
      <c r="A25" s="14"/>
      <c r="B25" s="39"/>
      <c r="C25" s="16"/>
      <c r="D25" s="35" t="str">
        <f aca="false">IF(A25="","",COUNTIFS(Randevular!$D$5:$D$1004,A25,Randevular!$E$5:$E$1004,"Geldi"))</f>
        <v/>
      </c>
      <c r="E25" s="17" t="str">
        <f aca="false">IF(A25="","",SUMIFS(Randevular!$G$5:$G$1004,Randevular!$D$5:$D$1004,A25))</f>
        <v/>
      </c>
      <c r="F25" s="21" t="str">
        <f aca="false">IF(A25="","",D25+ROW()/1000000)</f>
        <v/>
      </c>
    </row>
    <row r="26" customFormat="false" ht="15" hidden="false" customHeight="false" outlineLevel="0" collapsed="false">
      <c r="A26" s="14"/>
      <c r="B26" s="39"/>
      <c r="C26" s="16"/>
      <c r="D26" s="35" t="str">
        <f aca="false">IF(A26="","",COUNTIFS(Randevular!$D$5:$D$1004,A26,Randevular!$E$5:$E$1004,"Geldi"))</f>
        <v/>
      </c>
      <c r="E26" s="17" t="str">
        <f aca="false">IF(A26="","",SUMIFS(Randevular!$G$5:$G$1004,Randevular!$D$5:$D$1004,A26))</f>
        <v/>
      </c>
      <c r="F26" s="21" t="str">
        <f aca="false">IF(A26="","",D26+ROW()/1000000)</f>
        <v/>
      </c>
    </row>
    <row r="27" customFormat="false" ht="15" hidden="false" customHeight="false" outlineLevel="0" collapsed="false">
      <c r="A27" s="14"/>
      <c r="B27" s="39"/>
      <c r="C27" s="16"/>
      <c r="D27" s="35" t="str">
        <f aca="false">IF(A27="","",COUNTIFS(Randevular!$D$5:$D$1004,A27,Randevular!$E$5:$E$1004,"Geldi"))</f>
        <v/>
      </c>
      <c r="E27" s="17" t="str">
        <f aca="false">IF(A27="","",SUMIFS(Randevular!$G$5:$G$1004,Randevular!$D$5:$D$1004,A27))</f>
        <v/>
      </c>
      <c r="F27" s="21" t="str">
        <f aca="false">IF(A27="","",D27+ROW()/1000000)</f>
        <v/>
      </c>
    </row>
    <row r="28" customFormat="false" ht="15" hidden="false" customHeight="false" outlineLevel="0" collapsed="false">
      <c r="A28" s="14"/>
      <c r="B28" s="39"/>
      <c r="C28" s="16"/>
      <c r="D28" s="35" t="str">
        <f aca="false">IF(A28="","",COUNTIFS(Randevular!$D$5:$D$1004,A28,Randevular!$E$5:$E$1004,"Geldi"))</f>
        <v/>
      </c>
      <c r="E28" s="17" t="str">
        <f aca="false">IF(A28="","",SUMIFS(Randevular!$G$5:$G$1004,Randevular!$D$5:$D$1004,A28))</f>
        <v/>
      </c>
      <c r="F28" s="21" t="str">
        <f aca="false">IF(A28="","",D28+ROW()/1000000)</f>
        <v/>
      </c>
    </row>
    <row r="29" customFormat="false" ht="15" hidden="false" customHeight="false" outlineLevel="0" collapsed="false">
      <c r="A29" s="14"/>
      <c r="B29" s="39"/>
      <c r="C29" s="16"/>
      <c r="D29" s="35" t="str">
        <f aca="false">IF(A29="","",COUNTIFS(Randevular!$D$5:$D$1004,A29,Randevular!$E$5:$E$1004,"Geldi"))</f>
        <v/>
      </c>
      <c r="E29" s="17" t="str">
        <f aca="false">IF(A29="","",SUMIFS(Randevular!$G$5:$G$1004,Randevular!$D$5:$D$1004,A29))</f>
        <v/>
      </c>
      <c r="F29" s="21" t="str">
        <f aca="false">IF(A29="","",D29+ROW()/1000000)</f>
        <v/>
      </c>
    </row>
    <row r="30" customFormat="false" ht="15" hidden="false" customHeight="false" outlineLevel="0" collapsed="false">
      <c r="A30" s="14"/>
      <c r="B30" s="39"/>
      <c r="C30" s="16"/>
      <c r="D30" s="35" t="str">
        <f aca="false">IF(A30="","",COUNTIFS(Randevular!$D$5:$D$1004,A30,Randevular!$E$5:$E$1004,"Geldi"))</f>
        <v/>
      </c>
      <c r="E30" s="17" t="str">
        <f aca="false">IF(A30="","",SUMIFS(Randevular!$G$5:$G$1004,Randevular!$D$5:$D$1004,A30))</f>
        <v/>
      </c>
      <c r="F30" s="21" t="str">
        <f aca="false">IF(A30="","",D30+ROW()/1000000)</f>
        <v/>
      </c>
    </row>
    <row r="31" customFormat="false" ht="15" hidden="false" customHeight="false" outlineLevel="0" collapsed="false">
      <c r="A31" s="14"/>
      <c r="B31" s="39"/>
      <c r="C31" s="16"/>
      <c r="D31" s="35" t="str">
        <f aca="false">IF(A31="","",COUNTIFS(Randevular!$D$5:$D$1004,A31,Randevular!$E$5:$E$1004,"Geldi"))</f>
        <v/>
      </c>
      <c r="E31" s="17" t="str">
        <f aca="false">IF(A31="","",SUMIFS(Randevular!$G$5:$G$1004,Randevular!$D$5:$D$1004,A31))</f>
        <v/>
      </c>
      <c r="F31" s="21" t="str">
        <f aca="false">IF(A31="","",D31+ROW()/1000000)</f>
        <v/>
      </c>
    </row>
    <row r="32" customFormat="false" ht="15" hidden="false" customHeight="false" outlineLevel="0" collapsed="false">
      <c r="A32" s="14"/>
      <c r="B32" s="39"/>
      <c r="C32" s="16"/>
      <c r="D32" s="35" t="str">
        <f aca="false">IF(A32="","",COUNTIFS(Randevular!$D$5:$D$1004,A32,Randevular!$E$5:$E$1004,"Geldi"))</f>
        <v/>
      </c>
      <c r="E32" s="17" t="str">
        <f aca="false">IF(A32="","",SUMIFS(Randevular!$G$5:$G$1004,Randevular!$D$5:$D$1004,A32))</f>
        <v/>
      </c>
      <c r="F32" s="21" t="str">
        <f aca="false">IF(A32="","",D32+ROW()/1000000)</f>
        <v/>
      </c>
    </row>
    <row r="33" customFormat="false" ht="15" hidden="false" customHeight="false" outlineLevel="0" collapsed="false">
      <c r="A33" s="14"/>
      <c r="B33" s="39"/>
      <c r="C33" s="16"/>
      <c r="D33" s="35" t="str">
        <f aca="false">IF(A33="","",COUNTIFS(Randevular!$D$5:$D$1004,A33,Randevular!$E$5:$E$1004,"Geldi"))</f>
        <v/>
      </c>
      <c r="E33" s="17" t="str">
        <f aca="false">IF(A33="","",SUMIFS(Randevular!$G$5:$G$1004,Randevular!$D$5:$D$1004,A33))</f>
        <v/>
      </c>
      <c r="F33" s="21" t="str">
        <f aca="false">IF(A33="","",D33+ROW()/1000000)</f>
        <v/>
      </c>
    </row>
    <row r="34" customFormat="false" ht="15" hidden="false" customHeight="false" outlineLevel="0" collapsed="false">
      <c r="A34" s="14"/>
      <c r="B34" s="39"/>
      <c r="C34" s="16"/>
      <c r="D34" s="35" t="str">
        <f aca="false">IF(A34="","",COUNTIFS(Randevular!$D$5:$D$1004,A34,Randevular!$E$5:$E$1004,"Geldi"))</f>
        <v/>
      </c>
      <c r="E34" s="17" t="str">
        <f aca="false">IF(A34="","",SUMIFS(Randevular!$G$5:$G$1004,Randevular!$D$5:$D$1004,A34))</f>
        <v/>
      </c>
      <c r="F34" s="21" t="str">
        <f aca="false">IF(A34="","",D34+ROW()/1000000)</f>
        <v/>
      </c>
    </row>
    <row r="35" customFormat="false" ht="15" hidden="false" customHeight="false" outlineLevel="0" collapsed="false">
      <c r="A35" s="14"/>
      <c r="B35" s="39"/>
      <c r="C35" s="16"/>
      <c r="D35" s="35" t="str">
        <f aca="false">IF(A35="","",COUNTIFS(Randevular!$D$5:$D$1004,A35,Randevular!$E$5:$E$1004,"Geldi"))</f>
        <v/>
      </c>
      <c r="E35" s="17" t="str">
        <f aca="false">IF(A35="","",SUMIFS(Randevular!$G$5:$G$1004,Randevular!$D$5:$D$1004,A35))</f>
        <v/>
      </c>
      <c r="F35" s="21" t="str">
        <f aca="false">IF(A35="","",D35+ROW()/1000000)</f>
        <v/>
      </c>
    </row>
    <row r="36" customFormat="false" ht="15" hidden="false" customHeight="false" outlineLevel="0" collapsed="false">
      <c r="A36" s="14"/>
      <c r="B36" s="39"/>
      <c r="C36" s="16"/>
      <c r="D36" s="35" t="str">
        <f aca="false">IF(A36="","",COUNTIFS(Randevular!$D$5:$D$1004,A36,Randevular!$E$5:$E$1004,"Geldi"))</f>
        <v/>
      </c>
      <c r="E36" s="17" t="str">
        <f aca="false">IF(A36="","",SUMIFS(Randevular!$G$5:$G$1004,Randevular!$D$5:$D$1004,A36))</f>
        <v/>
      </c>
      <c r="F36" s="21" t="str">
        <f aca="false">IF(A36="","",D36+ROW()/1000000)</f>
        <v/>
      </c>
    </row>
    <row r="37" customFormat="false" ht="15" hidden="false" customHeight="false" outlineLevel="0" collapsed="false">
      <c r="A37" s="14"/>
      <c r="B37" s="39"/>
      <c r="C37" s="16"/>
      <c r="D37" s="35" t="str">
        <f aca="false">IF(A37="","",COUNTIFS(Randevular!$D$5:$D$1004,A37,Randevular!$E$5:$E$1004,"Geldi"))</f>
        <v/>
      </c>
      <c r="E37" s="17" t="str">
        <f aca="false">IF(A37="","",SUMIFS(Randevular!$G$5:$G$1004,Randevular!$D$5:$D$1004,A37))</f>
        <v/>
      </c>
      <c r="F37" s="21" t="str">
        <f aca="false">IF(A37="","",D37+ROW()/1000000)</f>
        <v/>
      </c>
    </row>
    <row r="38" customFormat="false" ht="15" hidden="false" customHeight="false" outlineLevel="0" collapsed="false">
      <c r="A38" s="14"/>
      <c r="B38" s="39"/>
      <c r="C38" s="16"/>
      <c r="D38" s="35" t="str">
        <f aca="false">IF(A38="","",COUNTIFS(Randevular!$D$5:$D$1004,A38,Randevular!$E$5:$E$1004,"Geldi"))</f>
        <v/>
      </c>
      <c r="E38" s="17" t="str">
        <f aca="false">IF(A38="","",SUMIFS(Randevular!$G$5:$G$1004,Randevular!$D$5:$D$1004,A38))</f>
        <v/>
      </c>
      <c r="F38" s="21" t="str">
        <f aca="false">IF(A38="","",D38+ROW()/1000000)</f>
        <v/>
      </c>
    </row>
    <row r="39" customFormat="false" ht="15" hidden="false" customHeight="false" outlineLevel="0" collapsed="false">
      <c r="A39" s="14"/>
      <c r="B39" s="39"/>
      <c r="C39" s="16"/>
      <c r="D39" s="35" t="str">
        <f aca="false">IF(A39="","",COUNTIFS(Randevular!$D$5:$D$1004,A39,Randevular!$E$5:$E$1004,"Geldi"))</f>
        <v/>
      </c>
      <c r="E39" s="17" t="str">
        <f aca="false">IF(A39="","",SUMIFS(Randevular!$G$5:$G$1004,Randevular!$D$5:$D$1004,A39))</f>
        <v/>
      </c>
      <c r="F39" s="21" t="str">
        <f aca="false">IF(A39="","",D39+ROW()/1000000)</f>
        <v/>
      </c>
    </row>
    <row r="40" customFormat="false" ht="15" hidden="false" customHeight="false" outlineLevel="0" collapsed="false">
      <c r="A40" s="14"/>
      <c r="B40" s="39"/>
      <c r="C40" s="16"/>
      <c r="D40" s="35" t="str">
        <f aca="false">IF(A40="","",COUNTIFS(Randevular!$D$5:$D$1004,A40,Randevular!$E$5:$E$1004,"Geldi"))</f>
        <v/>
      </c>
      <c r="E40" s="17" t="str">
        <f aca="false">IF(A40="","",SUMIFS(Randevular!$G$5:$G$1004,Randevular!$D$5:$D$1004,A40))</f>
        <v/>
      </c>
      <c r="F40" s="21" t="str">
        <f aca="false">IF(A40="","",D40+ROW()/1000000)</f>
        <v/>
      </c>
    </row>
    <row r="41" customFormat="false" ht="15" hidden="false" customHeight="false" outlineLevel="0" collapsed="false">
      <c r="A41" s="14"/>
      <c r="B41" s="39"/>
      <c r="C41" s="16"/>
      <c r="D41" s="35" t="str">
        <f aca="false">IF(A41="","",COUNTIFS(Randevular!$D$5:$D$1004,A41,Randevular!$E$5:$E$1004,"Geldi"))</f>
        <v/>
      </c>
      <c r="E41" s="17" t="str">
        <f aca="false">IF(A41="","",SUMIFS(Randevular!$G$5:$G$1004,Randevular!$D$5:$D$1004,A41))</f>
        <v/>
      </c>
      <c r="F41" s="21" t="str">
        <f aca="false">IF(A41="","",D41+ROW()/1000000)</f>
        <v/>
      </c>
    </row>
    <row r="42" customFormat="false" ht="15" hidden="false" customHeight="false" outlineLevel="0" collapsed="false">
      <c r="A42" s="14"/>
      <c r="B42" s="39"/>
      <c r="C42" s="16"/>
      <c r="D42" s="35" t="str">
        <f aca="false">IF(A42="","",COUNTIFS(Randevular!$D$5:$D$1004,A42,Randevular!$E$5:$E$1004,"Geldi"))</f>
        <v/>
      </c>
      <c r="E42" s="17" t="str">
        <f aca="false">IF(A42="","",SUMIFS(Randevular!$G$5:$G$1004,Randevular!$D$5:$D$1004,A42))</f>
        <v/>
      </c>
      <c r="F42" s="21" t="str">
        <f aca="false">IF(A42="","",D42+ROW()/1000000)</f>
        <v/>
      </c>
    </row>
    <row r="43" customFormat="false" ht="15" hidden="false" customHeight="false" outlineLevel="0" collapsed="false">
      <c r="A43" s="14"/>
      <c r="B43" s="39"/>
      <c r="C43" s="16"/>
      <c r="D43" s="35" t="str">
        <f aca="false">IF(A43="","",COUNTIFS(Randevular!$D$5:$D$1004,A43,Randevular!$E$5:$E$1004,"Geldi"))</f>
        <v/>
      </c>
      <c r="E43" s="17" t="str">
        <f aca="false">IF(A43="","",SUMIFS(Randevular!$G$5:$G$1004,Randevular!$D$5:$D$1004,A43))</f>
        <v/>
      </c>
      <c r="F43" s="21" t="str">
        <f aca="false">IF(A43="","",D43+ROW()/1000000)</f>
        <v/>
      </c>
    </row>
    <row r="44" customFormat="false" ht="15" hidden="false" customHeight="false" outlineLevel="0" collapsed="false">
      <c r="A44" s="14"/>
      <c r="B44" s="39"/>
      <c r="C44" s="16"/>
      <c r="D44" s="35" t="str">
        <f aca="false">IF(A44="","",COUNTIFS(Randevular!$D$5:$D$1004,A44,Randevular!$E$5:$E$1004,"Geldi"))</f>
        <v/>
      </c>
      <c r="E44" s="17" t="str">
        <f aca="false">IF(A44="","",SUMIFS(Randevular!$G$5:$G$1004,Randevular!$D$5:$D$1004,A44))</f>
        <v/>
      </c>
      <c r="F44" s="21" t="str">
        <f aca="false">IF(A44="","",D44+ROW()/1000000)</f>
        <v/>
      </c>
    </row>
    <row r="45" customFormat="false" ht="15" hidden="false" customHeight="false" outlineLevel="0" collapsed="false">
      <c r="A45" s="14"/>
      <c r="B45" s="39"/>
      <c r="C45" s="16"/>
      <c r="D45" s="35" t="str">
        <f aca="false">IF(A45="","",COUNTIFS(Randevular!$D$5:$D$1004,A45,Randevular!$E$5:$E$1004,"Geldi"))</f>
        <v/>
      </c>
      <c r="E45" s="17" t="str">
        <f aca="false">IF(A45="","",SUMIFS(Randevular!$G$5:$G$1004,Randevular!$D$5:$D$1004,A45))</f>
        <v/>
      </c>
      <c r="F45" s="21" t="str">
        <f aca="false">IF(A45="","",D45+ROW()/1000000)</f>
        <v/>
      </c>
    </row>
    <row r="46" customFormat="false" ht="15" hidden="false" customHeight="false" outlineLevel="0" collapsed="false">
      <c r="A46" s="14"/>
      <c r="B46" s="39"/>
      <c r="C46" s="16"/>
      <c r="D46" s="35" t="str">
        <f aca="false">IF(A46="","",COUNTIFS(Randevular!$D$5:$D$1004,A46,Randevular!$E$5:$E$1004,"Geldi"))</f>
        <v/>
      </c>
      <c r="E46" s="17" t="str">
        <f aca="false">IF(A46="","",SUMIFS(Randevular!$G$5:$G$1004,Randevular!$D$5:$D$1004,A46))</f>
        <v/>
      </c>
      <c r="F46" s="21" t="str">
        <f aca="false">IF(A46="","",D46+ROW()/1000000)</f>
        <v/>
      </c>
    </row>
    <row r="47" customFormat="false" ht="15" hidden="false" customHeight="false" outlineLevel="0" collapsed="false">
      <c r="A47" s="14"/>
      <c r="B47" s="39"/>
      <c r="C47" s="16"/>
      <c r="D47" s="35" t="str">
        <f aca="false">IF(A47="","",COUNTIFS(Randevular!$D$5:$D$1004,A47,Randevular!$E$5:$E$1004,"Geldi"))</f>
        <v/>
      </c>
      <c r="E47" s="17" t="str">
        <f aca="false">IF(A47="","",SUMIFS(Randevular!$G$5:$G$1004,Randevular!$D$5:$D$1004,A47))</f>
        <v/>
      </c>
      <c r="F47" s="21" t="str">
        <f aca="false">IF(A47="","",D47+ROW()/1000000)</f>
        <v/>
      </c>
    </row>
    <row r="48" customFormat="false" ht="15" hidden="false" customHeight="false" outlineLevel="0" collapsed="false">
      <c r="A48" s="14"/>
      <c r="B48" s="39"/>
      <c r="C48" s="16"/>
      <c r="D48" s="35" t="str">
        <f aca="false">IF(A48="","",COUNTIFS(Randevular!$D$5:$D$1004,A48,Randevular!$E$5:$E$1004,"Geldi"))</f>
        <v/>
      </c>
      <c r="E48" s="17" t="str">
        <f aca="false">IF(A48="","",SUMIFS(Randevular!$G$5:$G$1004,Randevular!$D$5:$D$1004,A48))</f>
        <v/>
      </c>
      <c r="F48" s="21" t="str">
        <f aca="false">IF(A48="","",D48+ROW()/1000000)</f>
        <v/>
      </c>
    </row>
    <row r="49" customFormat="false" ht="15" hidden="false" customHeight="false" outlineLevel="0" collapsed="false">
      <c r="A49" s="14"/>
      <c r="B49" s="39"/>
      <c r="C49" s="16"/>
      <c r="D49" s="35" t="str">
        <f aca="false">IF(A49="","",COUNTIFS(Randevular!$D$5:$D$1004,A49,Randevular!$E$5:$E$1004,"Geldi"))</f>
        <v/>
      </c>
      <c r="E49" s="17" t="str">
        <f aca="false">IF(A49="","",SUMIFS(Randevular!$G$5:$G$1004,Randevular!$D$5:$D$1004,A49))</f>
        <v/>
      </c>
      <c r="F49" s="21" t="str">
        <f aca="false">IF(A49="","",D49+ROW()/1000000)</f>
        <v/>
      </c>
    </row>
    <row r="50" customFormat="false" ht="15" hidden="false" customHeight="false" outlineLevel="0" collapsed="false">
      <c r="A50" s="14"/>
      <c r="B50" s="39"/>
      <c r="C50" s="16"/>
      <c r="D50" s="35" t="str">
        <f aca="false">IF(A50="","",COUNTIFS(Randevular!$D$5:$D$1004,A50,Randevular!$E$5:$E$1004,"Geldi"))</f>
        <v/>
      </c>
      <c r="E50" s="17" t="str">
        <f aca="false">IF(A50="","",SUMIFS(Randevular!$G$5:$G$1004,Randevular!$D$5:$D$1004,A50))</f>
        <v/>
      </c>
      <c r="F50" s="21" t="str">
        <f aca="false">IF(A50="","",D50+ROW()/1000000)</f>
        <v/>
      </c>
    </row>
    <row r="51" customFormat="false" ht="15" hidden="false" customHeight="false" outlineLevel="0" collapsed="false">
      <c r="A51" s="14"/>
      <c r="B51" s="39"/>
      <c r="C51" s="16"/>
      <c r="D51" s="35" t="str">
        <f aca="false">IF(A51="","",COUNTIFS(Randevular!$D$5:$D$1004,A51,Randevular!$E$5:$E$1004,"Geldi"))</f>
        <v/>
      </c>
      <c r="E51" s="17" t="str">
        <f aca="false">IF(A51="","",SUMIFS(Randevular!$G$5:$G$1004,Randevular!$D$5:$D$1004,A51))</f>
        <v/>
      </c>
      <c r="F51" s="21" t="str">
        <f aca="false">IF(A51="","",D51+ROW()/1000000)</f>
        <v/>
      </c>
    </row>
    <row r="52" customFormat="false" ht="15" hidden="false" customHeight="false" outlineLevel="0" collapsed="false">
      <c r="A52" s="14"/>
      <c r="B52" s="39"/>
      <c r="C52" s="16"/>
      <c r="D52" s="35" t="str">
        <f aca="false">IF(A52="","",COUNTIFS(Randevular!$D$5:$D$1004,A52,Randevular!$E$5:$E$1004,"Geldi"))</f>
        <v/>
      </c>
      <c r="E52" s="17" t="str">
        <f aca="false">IF(A52="","",SUMIFS(Randevular!$G$5:$G$1004,Randevular!$D$5:$D$1004,A52))</f>
        <v/>
      </c>
      <c r="F52" s="21" t="str">
        <f aca="false">IF(A52="","",D52+ROW()/1000000)</f>
        <v/>
      </c>
    </row>
    <row r="53" customFormat="false" ht="15" hidden="false" customHeight="false" outlineLevel="0" collapsed="false">
      <c r="A53" s="14"/>
      <c r="B53" s="39"/>
      <c r="C53" s="16"/>
      <c r="D53" s="35" t="str">
        <f aca="false">IF(A53="","",COUNTIFS(Randevular!$D$5:$D$1004,A53,Randevular!$E$5:$E$1004,"Geldi"))</f>
        <v/>
      </c>
      <c r="E53" s="17" t="str">
        <f aca="false">IF(A53="","",SUMIFS(Randevular!$G$5:$G$1004,Randevular!$D$5:$D$1004,A53))</f>
        <v/>
      </c>
      <c r="F53" s="21" t="str">
        <f aca="false">IF(A53="","",D53+ROW()/1000000)</f>
        <v/>
      </c>
    </row>
    <row r="54" customFormat="false" ht="15" hidden="false" customHeight="false" outlineLevel="0" collapsed="false">
      <c r="A54" s="14"/>
      <c r="B54" s="39"/>
      <c r="C54" s="16"/>
      <c r="D54" s="35" t="str">
        <f aca="false">IF(A54="","",COUNTIFS(Randevular!$D$5:$D$1004,A54,Randevular!$E$5:$E$1004,"Geldi"))</f>
        <v/>
      </c>
      <c r="E54" s="17" t="str">
        <f aca="false">IF(A54="","",SUMIFS(Randevular!$G$5:$G$1004,Randevular!$D$5:$D$1004,A54))</f>
        <v/>
      </c>
      <c r="F54" s="21" t="str">
        <f aca="false">IF(A54="","",D54+ROW()/1000000)</f>
        <v/>
      </c>
    </row>
  </sheetData>
  <dataValidations count="2">
    <dataValidation allowBlank="true" error="Sıfırdan büyük bir sayı gir." errorStyle="stop" errorTitle="Kontrol" operator="greaterThan" showDropDown="false" showErrorMessage="true" showInputMessage="false" sqref="B5:C54" type="decimal">
      <formula1>0</formula1>
      <formula2>0</formula2>
    </dataValidation>
    <dataValidation allowBlank="true" error="Bu ad zaten var. Her ad bir kez girilebilir." errorStyle="stop" errorTitle="Kontrol" operator="between" showDropDown="false" showErrorMessage="true" showInputMessage="false" sqref="A5:A54" type="custom">
      <formula1>COUNTIF($A$5:$A$54,A5)=1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H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5" min="4" style="0" width="11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true" outlineLevel="0" max="8" min="8" style="0" width="4"/>
  </cols>
  <sheetData>
    <row r="1" customFormat="false" ht="19.7" hidden="false" customHeight="false" outlineLevel="0" collapsed="false">
      <c r="A1" s="8" t="s">
        <v>85</v>
      </c>
    </row>
    <row r="2" customFormat="false" ht="15" hidden="false" customHeight="false" outlineLevel="0" collapsed="false">
      <c r="A2" s="9" t="s">
        <v>86</v>
      </c>
    </row>
    <row r="4" customFormat="false" ht="27.75" hidden="false" customHeight="true" outlineLevel="0" collapsed="false">
      <c r="A4" s="10" t="s">
        <v>87</v>
      </c>
      <c r="B4" s="10" t="s">
        <v>52</v>
      </c>
      <c r="C4" s="10" t="s">
        <v>88</v>
      </c>
      <c r="D4" s="11" t="s">
        <v>50</v>
      </c>
      <c r="E4" s="11" t="s">
        <v>45</v>
      </c>
      <c r="F4" s="11" t="s">
        <v>89</v>
      </c>
      <c r="G4" s="11" t="s">
        <v>90</v>
      </c>
      <c r="H4" s="11" t="s">
        <v>36</v>
      </c>
    </row>
    <row r="5" customFormat="false" ht="15" hidden="false" customHeight="false" outlineLevel="0" collapsed="false">
      <c r="A5" s="14" t="s">
        <v>37</v>
      </c>
      <c r="B5" s="40"/>
      <c r="C5" s="14" t="s">
        <v>91</v>
      </c>
      <c r="D5" s="35" t="n">
        <f aca="false">IF(A5="","",COUNTIFS(Randevular!$C$5:$C$1004,A5,Randevular!$E$5:$E$1004,"&lt;&gt;İptal"))</f>
        <v>2</v>
      </c>
      <c r="E5" s="35" t="n">
        <f aca="false">IF(A5="","",COUNTIFS(Randevular!$C$5:$C$1004,A5,Randevular!$E$5:$E$1004,"Gelmedi"))</f>
        <v>0</v>
      </c>
      <c r="F5" s="17" t="n">
        <f aca="false">IF(A5="","",SUMIFS(Randevular!$G$5:$G$1004,Randevular!$C$5:$C$1004,A5))</f>
        <v>600</v>
      </c>
      <c r="G5" s="41" t="n">
        <f aca="false">IF(A5="","",IF(SUMPRODUCT(MAX((Randevular!$C$5:$C$1004=A5)*(Randevular!$E$5:$E$1004="Geldi")*Randevular!$A$5:$A$1004))=0,"",SUMPRODUCT(MAX((Randevular!$C$5:$C$1004=A5)*(Randevular!$E$5:$E$1004="Geldi")*Randevular!$A$5:$A$1004))))</f>
        <v>46300</v>
      </c>
      <c r="H5" s="21" t="n">
        <f aca="false">IF(A5="","",F5+ROW()/1000000)</f>
        <v>600.000005</v>
      </c>
    </row>
    <row r="6" customFormat="false" ht="15" hidden="false" customHeight="false" outlineLevel="0" collapsed="false">
      <c r="A6" s="14" t="s">
        <v>40</v>
      </c>
      <c r="B6" s="40"/>
      <c r="C6" s="14" t="s">
        <v>91</v>
      </c>
      <c r="D6" s="35" t="n">
        <f aca="false">IF(A6="","",COUNTIFS(Randevular!$C$5:$C$1004,A6,Randevular!$E$5:$E$1004,"&lt;&gt;İptal"))</f>
        <v>3</v>
      </c>
      <c r="E6" s="35" t="n">
        <f aca="false">IF(A6="","",COUNTIFS(Randevular!$C$5:$C$1004,A6,Randevular!$E$5:$E$1004,"Gelmedi"))</f>
        <v>0</v>
      </c>
      <c r="F6" s="17" t="n">
        <f aca="false">IF(A6="","",SUMIFS(Randevular!$G$5:$G$1004,Randevular!$C$5:$C$1004,A6))</f>
        <v>1000</v>
      </c>
      <c r="G6" s="41" t="n">
        <f aca="false">IF(A6="","",IF(SUMPRODUCT(MAX((Randevular!$C$5:$C$1004=A6)*(Randevular!$E$5:$E$1004="Geldi")*Randevular!$A$5:$A$1004))=0,"",SUMPRODUCT(MAX((Randevular!$C$5:$C$1004=A6)*(Randevular!$E$5:$E$1004="Geldi")*Randevular!$A$5:$A$1004))))</f>
        <v>46300</v>
      </c>
      <c r="H6" s="21" t="n">
        <f aca="false">IF(A6="","",F6+ROW()/1000000)</f>
        <v>1000.000006</v>
      </c>
    </row>
    <row r="7" customFormat="false" ht="15" hidden="false" customHeight="false" outlineLevel="0" collapsed="false">
      <c r="A7" s="14" t="s">
        <v>42</v>
      </c>
      <c r="B7" s="40"/>
      <c r="C7" s="14" t="s">
        <v>91</v>
      </c>
      <c r="D7" s="35" t="n">
        <f aca="false">IF(A7="","",COUNTIFS(Randevular!$C$5:$C$1004,A7,Randevular!$E$5:$E$1004,"&lt;&gt;İptal"))</f>
        <v>1</v>
      </c>
      <c r="E7" s="35" t="n">
        <f aca="false">IF(A7="","",COUNTIFS(Randevular!$C$5:$C$1004,A7,Randevular!$E$5:$E$1004,"Gelmedi"))</f>
        <v>0</v>
      </c>
      <c r="F7" s="17" t="n">
        <f aca="false">IF(A7="","",SUMIFS(Randevular!$G$5:$G$1004,Randevular!$C$5:$C$1004,A7))</f>
        <v>2200</v>
      </c>
      <c r="G7" s="41" t="n">
        <f aca="false">IF(A7="","",IF(SUMPRODUCT(MAX((Randevular!$C$5:$C$1004=A7)*(Randevular!$E$5:$E$1004="Geldi")*Randevular!$A$5:$A$1004))=0,"",SUMPRODUCT(MAX((Randevular!$C$5:$C$1004=A7)*(Randevular!$E$5:$E$1004="Geldi")*Randevular!$A$5:$A$1004))))</f>
        <v>46300</v>
      </c>
      <c r="H7" s="21" t="n">
        <f aca="false">IF(A7="","",F7+ROW()/1000000)</f>
        <v>2200.000007</v>
      </c>
    </row>
    <row r="8" customFormat="false" ht="15" hidden="false" customHeight="false" outlineLevel="0" collapsed="false">
      <c r="A8" s="14" t="s">
        <v>44</v>
      </c>
      <c r="B8" s="40"/>
      <c r="C8" s="14" t="s">
        <v>91</v>
      </c>
      <c r="D8" s="35" t="n">
        <f aca="false">IF(A8="","",COUNTIFS(Randevular!$C$5:$C$1004,A8,Randevular!$E$5:$E$1004,"&lt;&gt;İptal"))</f>
        <v>2</v>
      </c>
      <c r="E8" s="35" t="n">
        <f aca="false">IF(A8="","",COUNTIFS(Randevular!$C$5:$C$1004,A8,Randevular!$E$5:$E$1004,"Gelmedi"))</f>
        <v>1</v>
      </c>
      <c r="F8" s="17" t="n">
        <f aca="false">IF(A8="","",SUMIFS(Randevular!$G$5:$G$1004,Randevular!$C$5:$C$1004,A8))</f>
        <v>2500</v>
      </c>
      <c r="G8" s="41" t="n">
        <f aca="false">IF(A8="","",IF(SUMPRODUCT(MAX((Randevular!$C$5:$C$1004=A8)*(Randevular!$E$5:$E$1004="Geldi")*Randevular!$A$5:$A$1004))=0,"",SUMPRODUCT(MAX((Randevular!$C$5:$C$1004=A8)*(Randevular!$E$5:$E$1004="Geldi")*Randevular!$A$5:$A$1004))))</f>
        <v>46285</v>
      </c>
      <c r="H8" s="21" t="n">
        <f aca="false">IF(A8="","",F8+ROW()/1000000)</f>
        <v>2500.000008</v>
      </c>
    </row>
    <row r="9" customFormat="false" ht="15" hidden="false" customHeight="false" outlineLevel="0" collapsed="false">
      <c r="A9" s="14"/>
      <c r="B9" s="40"/>
      <c r="C9" s="14"/>
      <c r="D9" s="35" t="str">
        <f aca="false">IF(A9="","",COUNTIFS(Randevular!$C$5:$C$1004,A9,Randevular!$E$5:$E$1004,"&lt;&gt;İptal"))</f>
        <v/>
      </c>
      <c r="E9" s="35" t="str">
        <f aca="false">IF(A9="","",COUNTIFS(Randevular!$C$5:$C$1004,A9,Randevular!$E$5:$E$1004,"Gelmedi"))</f>
        <v/>
      </c>
      <c r="F9" s="17" t="str">
        <f aca="false">IF(A9="","",SUMIFS(Randevular!$G$5:$G$1004,Randevular!$C$5:$C$1004,A9))</f>
        <v/>
      </c>
      <c r="G9" s="41" t="str">
        <f aca="false">IF(A9="","",IF(SUMPRODUCT(MAX((Randevular!$C$5:$C$1004=A9)*(Randevular!$E$5:$E$1004="Geldi")*Randevular!$A$5:$A$1004))=0,"",SUMPRODUCT(MAX((Randevular!$C$5:$C$1004=A9)*(Randevular!$E$5:$E$1004="Geldi")*Randevular!$A$5:$A$1004))))</f>
        <v/>
      </c>
      <c r="H9" s="21" t="str">
        <f aca="false">IF(A9="","",F9+ROW()/1000000)</f>
        <v/>
      </c>
    </row>
    <row r="10" customFormat="false" ht="15" hidden="false" customHeight="false" outlineLevel="0" collapsed="false">
      <c r="A10" s="14"/>
      <c r="B10" s="40"/>
      <c r="C10" s="14"/>
      <c r="D10" s="35" t="str">
        <f aca="false">IF(A10="","",COUNTIFS(Randevular!$C$5:$C$1004,A10,Randevular!$E$5:$E$1004,"&lt;&gt;İptal"))</f>
        <v/>
      </c>
      <c r="E10" s="35" t="str">
        <f aca="false">IF(A10="","",COUNTIFS(Randevular!$C$5:$C$1004,A10,Randevular!$E$5:$E$1004,"Gelmedi"))</f>
        <v/>
      </c>
      <c r="F10" s="17" t="str">
        <f aca="false">IF(A10="","",SUMIFS(Randevular!$G$5:$G$1004,Randevular!$C$5:$C$1004,A10))</f>
        <v/>
      </c>
      <c r="G10" s="41" t="str">
        <f aca="false">IF(A10="","",IF(SUMPRODUCT(MAX((Randevular!$C$5:$C$1004=A10)*(Randevular!$E$5:$E$1004="Geldi")*Randevular!$A$5:$A$1004))=0,"",SUMPRODUCT(MAX((Randevular!$C$5:$C$1004=A10)*(Randevular!$E$5:$E$1004="Geldi")*Randevular!$A$5:$A$1004))))</f>
        <v/>
      </c>
      <c r="H10" s="21" t="str">
        <f aca="false">IF(A10="","",F10+ROW()/1000000)</f>
        <v/>
      </c>
    </row>
    <row r="11" customFormat="false" ht="15" hidden="false" customHeight="false" outlineLevel="0" collapsed="false">
      <c r="A11" s="14"/>
      <c r="B11" s="40"/>
      <c r="C11" s="14"/>
      <c r="D11" s="35" t="str">
        <f aca="false">IF(A11="","",COUNTIFS(Randevular!$C$5:$C$1004,A11,Randevular!$E$5:$E$1004,"&lt;&gt;İptal"))</f>
        <v/>
      </c>
      <c r="E11" s="35" t="str">
        <f aca="false">IF(A11="","",COUNTIFS(Randevular!$C$5:$C$1004,A11,Randevular!$E$5:$E$1004,"Gelmedi"))</f>
        <v/>
      </c>
      <c r="F11" s="17" t="str">
        <f aca="false">IF(A11="","",SUMIFS(Randevular!$G$5:$G$1004,Randevular!$C$5:$C$1004,A11))</f>
        <v/>
      </c>
      <c r="G11" s="41" t="str">
        <f aca="false">IF(A11="","",IF(SUMPRODUCT(MAX((Randevular!$C$5:$C$1004=A11)*(Randevular!$E$5:$E$1004="Geldi")*Randevular!$A$5:$A$1004))=0,"",SUMPRODUCT(MAX((Randevular!$C$5:$C$1004=A11)*(Randevular!$E$5:$E$1004="Geldi")*Randevular!$A$5:$A$1004))))</f>
        <v/>
      </c>
      <c r="H11" s="21" t="str">
        <f aca="false">IF(A11="","",F11+ROW()/1000000)</f>
        <v/>
      </c>
    </row>
    <row r="12" customFormat="false" ht="15" hidden="false" customHeight="false" outlineLevel="0" collapsed="false">
      <c r="A12" s="14"/>
      <c r="B12" s="40"/>
      <c r="C12" s="14"/>
      <c r="D12" s="35" t="str">
        <f aca="false">IF(A12="","",COUNTIFS(Randevular!$C$5:$C$1004,A12,Randevular!$E$5:$E$1004,"&lt;&gt;İptal"))</f>
        <v/>
      </c>
      <c r="E12" s="35" t="str">
        <f aca="false">IF(A12="","",COUNTIFS(Randevular!$C$5:$C$1004,A12,Randevular!$E$5:$E$1004,"Gelmedi"))</f>
        <v/>
      </c>
      <c r="F12" s="17" t="str">
        <f aca="false">IF(A12="","",SUMIFS(Randevular!$G$5:$G$1004,Randevular!$C$5:$C$1004,A12))</f>
        <v/>
      </c>
      <c r="G12" s="41" t="str">
        <f aca="false">IF(A12="","",IF(SUMPRODUCT(MAX((Randevular!$C$5:$C$1004=A12)*(Randevular!$E$5:$E$1004="Geldi")*Randevular!$A$5:$A$1004))=0,"",SUMPRODUCT(MAX((Randevular!$C$5:$C$1004=A12)*(Randevular!$E$5:$E$1004="Geldi")*Randevular!$A$5:$A$1004))))</f>
        <v/>
      </c>
      <c r="H12" s="21" t="str">
        <f aca="false">IF(A12="","",F12+ROW()/1000000)</f>
        <v/>
      </c>
    </row>
    <row r="13" customFormat="false" ht="15" hidden="false" customHeight="false" outlineLevel="0" collapsed="false">
      <c r="A13" s="14"/>
      <c r="B13" s="40"/>
      <c r="C13" s="14"/>
      <c r="D13" s="35" t="str">
        <f aca="false">IF(A13="","",COUNTIFS(Randevular!$C$5:$C$1004,A13,Randevular!$E$5:$E$1004,"&lt;&gt;İptal"))</f>
        <v/>
      </c>
      <c r="E13" s="35" t="str">
        <f aca="false">IF(A13="","",COUNTIFS(Randevular!$C$5:$C$1004,A13,Randevular!$E$5:$E$1004,"Gelmedi"))</f>
        <v/>
      </c>
      <c r="F13" s="17" t="str">
        <f aca="false">IF(A13="","",SUMIFS(Randevular!$G$5:$G$1004,Randevular!$C$5:$C$1004,A13))</f>
        <v/>
      </c>
      <c r="G13" s="41" t="str">
        <f aca="false">IF(A13="","",IF(SUMPRODUCT(MAX((Randevular!$C$5:$C$1004=A13)*(Randevular!$E$5:$E$1004="Geldi")*Randevular!$A$5:$A$1004))=0,"",SUMPRODUCT(MAX((Randevular!$C$5:$C$1004=A13)*(Randevular!$E$5:$E$1004="Geldi")*Randevular!$A$5:$A$1004))))</f>
        <v/>
      </c>
      <c r="H13" s="21" t="str">
        <f aca="false">IF(A13="","",F13+ROW()/1000000)</f>
        <v/>
      </c>
    </row>
    <row r="14" customFormat="false" ht="15" hidden="false" customHeight="false" outlineLevel="0" collapsed="false">
      <c r="A14" s="14"/>
      <c r="B14" s="40"/>
      <c r="C14" s="14"/>
      <c r="D14" s="35" t="str">
        <f aca="false">IF(A14="","",COUNTIFS(Randevular!$C$5:$C$1004,A14,Randevular!$E$5:$E$1004,"&lt;&gt;İptal"))</f>
        <v/>
      </c>
      <c r="E14" s="35" t="str">
        <f aca="false">IF(A14="","",COUNTIFS(Randevular!$C$5:$C$1004,A14,Randevular!$E$5:$E$1004,"Gelmedi"))</f>
        <v/>
      </c>
      <c r="F14" s="17" t="str">
        <f aca="false">IF(A14="","",SUMIFS(Randevular!$G$5:$G$1004,Randevular!$C$5:$C$1004,A14))</f>
        <v/>
      </c>
      <c r="G14" s="41" t="str">
        <f aca="false">IF(A14="","",IF(SUMPRODUCT(MAX((Randevular!$C$5:$C$1004=A14)*(Randevular!$E$5:$E$1004="Geldi")*Randevular!$A$5:$A$1004))=0,"",SUMPRODUCT(MAX((Randevular!$C$5:$C$1004=A14)*(Randevular!$E$5:$E$1004="Geldi")*Randevular!$A$5:$A$1004))))</f>
        <v/>
      </c>
      <c r="H14" s="21" t="str">
        <f aca="false">IF(A14="","",F14+ROW()/1000000)</f>
        <v/>
      </c>
    </row>
    <row r="15" customFormat="false" ht="15" hidden="false" customHeight="false" outlineLevel="0" collapsed="false">
      <c r="A15" s="14"/>
      <c r="B15" s="40"/>
      <c r="C15" s="14"/>
      <c r="D15" s="35" t="str">
        <f aca="false">IF(A15="","",COUNTIFS(Randevular!$C$5:$C$1004,A15,Randevular!$E$5:$E$1004,"&lt;&gt;İptal"))</f>
        <v/>
      </c>
      <c r="E15" s="35" t="str">
        <f aca="false">IF(A15="","",COUNTIFS(Randevular!$C$5:$C$1004,A15,Randevular!$E$5:$E$1004,"Gelmedi"))</f>
        <v/>
      </c>
      <c r="F15" s="17" t="str">
        <f aca="false">IF(A15="","",SUMIFS(Randevular!$G$5:$G$1004,Randevular!$C$5:$C$1004,A15))</f>
        <v/>
      </c>
      <c r="G15" s="41" t="str">
        <f aca="false">IF(A15="","",IF(SUMPRODUCT(MAX((Randevular!$C$5:$C$1004=A15)*(Randevular!$E$5:$E$1004="Geldi")*Randevular!$A$5:$A$1004))=0,"",SUMPRODUCT(MAX((Randevular!$C$5:$C$1004=A15)*(Randevular!$E$5:$E$1004="Geldi")*Randevular!$A$5:$A$1004))))</f>
        <v/>
      </c>
      <c r="H15" s="21" t="str">
        <f aca="false">IF(A15="","",F15+ROW()/1000000)</f>
        <v/>
      </c>
    </row>
    <row r="16" customFormat="false" ht="15" hidden="false" customHeight="false" outlineLevel="0" collapsed="false">
      <c r="A16" s="14"/>
      <c r="B16" s="40"/>
      <c r="C16" s="14"/>
      <c r="D16" s="35" t="str">
        <f aca="false">IF(A16="","",COUNTIFS(Randevular!$C$5:$C$1004,A16,Randevular!$E$5:$E$1004,"&lt;&gt;İptal"))</f>
        <v/>
      </c>
      <c r="E16" s="35" t="str">
        <f aca="false">IF(A16="","",COUNTIFS(Randevular!$C$5:$C$1004,A16,Randevular!$E$5:$E$1004,"Gelmedi"))</f>
        <v/>
      </c>
      <c r="F16" s="17" t="str">
        <f aca="false">IF(A16="","",SUMIFS(Randevular!$G$5:$G$1004,Randevular!$C$5:$C$1004,A16))</f>
        <v/>
      </c>
      <c r="G16" s="41" t="str">
        <f aca="false">IF(A16="","",IF(SUMPRODUCT(MAX((Randevular!$C$5:$C$1004=A16)*(Randevular!$E$5:$E$1004="Geldi")*Randevular!$A$5:$A$1004))=0,"",SUMPRODUCT(MAX((Randevular!$C$5:$C$1004=A16)*(Randevular!$E$5:$E$1004="Geldi")*Randevular!$A$5:$A$1004))))</f>
        <v/>
      </c>
      <c r="H16" s="21" t="str">
        <f aca="false">IF(A16="","",F16+ROW()/1000000)</f>
        <v/>
      </c>
    </row>
    <row r="17" customFormat="false" ht="15" hidden="false" customHeight="false" outlineLevel="0" collapsed="false">
      <c r="A17" s="14"/>
      <c r="B17" s="40"/>
      <c r="C17" s="14"/>
      <c r="D17" s="35" t="str">
        <f aca="false">IF(A17="","",COUNTIFS(Randevular!$C$5:$C$1004,A17,Randevular!$E$5:$E$1004,"&lt;&gt;İptal"))</f>
        <v/>
      </c>
      <c r="E17" s="35" t="str">
        <f aca="false">IF(A17="","",COUNTIFS(Randevular!$C$5:$C$1004,A17,Randevular!$E$5:$E$1004,"Gelmedi"))</f>
        <v/>
      </c>
      <c r="F17" s="17" t="str">
        <f aca="false">IF(A17="","",SUMIFS(Randevular!$G$5:$G$1004,Randevular!$C$5:$C$1004,A17))</f>
        <v/>
      </c>
      <c r="G17" s="41" t="str">
        <f aca="false">IF(A17="","",IF(SUMPRODUCT(MAX((Randevular!$C$5:$C$1004=A17)*(Randevular!$E$5:$E$1004="Geldi")*Randevular!$A$5:$A$1004))=0,"",SUMPRODUCT(MAX((Randevular!$C$5:$C$1004=A17)*(Randevular!$E$5:$E$1004="Geldi")*Randevular!$A$5:$A$1004))))</f>
        <v/>
      </c>
      <c r="H17" s="21" t="str">
        <f aca="false">IF(A17="","",F17+ROW()/1000000)</f>
        <v/>
      </c>
    </row>
    <row r="18" customFormat="false" ht="15" hidden="false" customHeight="false" outlineLevel="0" collapsed="false">
      <c r="A18" s="14"/>
      <c r="B18" s="40"/>
      <c r="C18" s="14"/>
      <c r="D18" s="35" t="str">
        <f aca="false">IF(A18="","",COUNTIFS(Randevular!$C$5:$C$1004,A18,Randevular!$E$5:$E$1004,"&lt;&gt;İptal"))</f>
        <v/>
      </c>
      <c r="E18" s="35" t="str">
        <f aca="false">IF(A18="","",COUNTIFS(Randevular!$C$5:$C$1004,A18,Randevular!$E$5:$E$1004,"Gelmedi"))</f>
        <v/>
      </c>
      <c r="F18" s="17" t="str">
        <f aca="false">IF(A18="","",SUMIFS(Randevular!$G$5:$G$1004,Randevular!$C$5:$C$1004,A18))</f>
        <v/>
      </c>
      <c r="G18" s="41" t="str">
        <f aca="false">IF(A18="","",IF(SUMPRODUCT(MAX((Randevular!$C$5:$C$1004=A18)*(Randevular!$E$5:$E$1004="Geldi")*Randevular!$A$5:$A$1004))=0,"",SUMPRODUCT(MAX((Randevular!$C$5:$C$1004=A18)*(Randevular!$E$5:$E$1004="Geldi")*Randevular!$A$5:$A$1004))))</f>
        <v/>
      </c>
      <c r="H18" s="21" t="str">
        <f aca="false">IF(A18="","",F18+ROW()/1000000)</f>
        <v/>
      </c>
    </row>
    <row r="19" customFormat="false" ht="15" hidden="false" customHeight="false" outlineLevel="0" collapsed="false">
      <c r="A19" s="14"/>
      <c r="B19" s="40"/>
      <c r="C19" s="14"/>
      <c r="D19" s="35" t="str">
        <f aca="false">IF(A19="","",COUNTIFS(Randevular!$C$5:$C$1004,A19,Randevular!$E$5:$E$1004,"&lt;&gt;İptal"))</f>
        <v/>
      </c>
      <c r="E19" s="35" t="str">
        <f aca="false">IF(A19="","",COUNTIFS(Randevular!$C$5:$C$1004,A19,Randevular!$E$5:$E$1004,"Gelmedi"))</f>
        <v/>
      </c>
      <c r="F19" s="17" t="str">
        <f aca="false">IF(A19="","",SUMIFS(Randevular!$G$5:$G$1004,Randevular!$C$5:$C$1004,A19))</f>
        <v/>
      </c>
      <c r="G19" s="41" t="str">
        <f aca="false">IF(A19="","",IF(SUMPRODUCT(MAX((Randevular!$C$5:$C$1004=A19)*(Randevular!$E$5:$E$1004="Geldi")*Randevular!$A$5:$A$1004))=0,"",SUMPRODUCT(MAX((Randevular!$C$5:$C$1004=A19)*(Randevular!$E$5:$E$1004="Geldi")*Randevular!$A$5:$A$1004))))</f>
        <v/>
      </c>
      <c r="H19" s="21" t="str">
        <f aca="false">IF(A19="","",F19+ROW()/1000000)</f>
        <v/>
      </c>
    </row>
    <row r="20" customFormat="false" ht="15" hidden="false" customHeight="false" outlineLevel="0" collapsed="false">
      <c r="A20" s="14"/>
      <c r="B20" s="40"/>
      <c r="C20" s="14"/>
      <c r="D20" s="35" t="str">
        <f aca="false">IF(A20="","",COUNTIFS(Randevular!$C$5:$C$1004,A20,Randevular!$E$5:$E$1004,"&lt;&gt;İptal"))</f>
        <v/>
      </c>
      <c r="E20" s="35" t="str">
        <f aca="false">IF(A20="","",COUNTIFS(Randevular!$C$5:$C$1004,A20,Randevular!$E$5:$E$1004,"Gelmedi"))</f>
        <v/>
      </c>
      <c r="F20" s="17" t="str">
        <f aca="false">IF(A20="","",SUMIFS(Randevular!$G$5:$G$1004,Randevular!$C$5:$C$1004,A20))</f>
        <v/>
      </c>
      <c r="G20" s="41" t="str">
        <f aca="false">IF(A20="","",IF(SUMPRODUCT(MAX((Randevular!$C$5:$C$1004=A20)*(Randevular!$E$5:$E$1004="Geldi")*Randevular!$A$5:$A$1004))=0,"",SUMPRODUCT(MAX((Randevular!$C$5:$C$1004=A20)*(Randevular!$E$5:$E$1004="Geldi")*Randevular!$A$5:$A$1004))))</f>
        <v/>
      </c>
      <c r="H20" s="21" t="str">
        <f aca="false">IF(A20="","",F20+ROW()/1000000)</f>
        <v/>
      </c>
    </row>
    <row r="21" customFormat="false" ht="15" hidden="false" customHeight="false" outlineLevel="0" collapsed="false">
      <c r="A21" s="14"/>
      <c r="B21" s="40"/>
      <c r="C21" s="14"/>
      <c r="D21" s="35" t="str">
        <f aca="false">IF(A21="","",COUNTIFS(Randevular!$C$5:$C$1004,A21,Randevular!$E$5:$E$1004,"&lt;&gt;İptal"))</f>
        <v/>
      </c>
      <c r="E21" s="35" t="str">
        <f aca="false">IF(A21="","",COUNTIFS(Randevular!$C$5:$C$1004,A21,Randevular!$E$5:$E$1004,"Gelmedi"))</f>
        <v/>
      </c>
      <c r="F21" s="17" t="str">
        <f aca="false">IF(A21="","",SUMIFS(Randevular!$G$5:$G$1004,Randevular!$C$5:$C$1004,A21))</f>
        <v/>
      </c>
      <c r="G21" s="41" t="str">
        <f aca="false">IF(A21="","",IF(SUMPRODUCT(MAX((Randevular!$C$5:$C$1004=A21)*(Randevular!$E$5:$E$1004="Geldi")*Randevular!$A$5:$A$1004))=0,"",SUMPRODUCT(MAX((Randevular!$C$5:$C$1004=A21)*(Randevular!$E$5:$E$1004="Geldi")*Randevular!$A$5:$A$1004))))</f>
        <v/>
      </c>
      <c r="H21" s="21" t="str">
        <f aca="false">IF(A21="","",F21+ROW()/1000000)</f>
        <v/>
      </c>
    </row>
    <row r="22" customFormat="false" ht="15" hidden="false" customHeight="false" outlineLevel="0" collapsed="false">
      <c r="A22" s="14"/>
      <c r="B22" s="40"/>
      <c r="C22" s="14"/>
      <c r="D22" s="35" t="str">
        <f aca="false">IF(A22="","",COUNTIFS(Randevular!$C$5:$C$1004,A22,Randevular!$E$5:$E$1004,"&lt;&gt;İptal"))</f>
        <v/>
      </c>
      <c r="E22" s="35" t="str">
        <f aca="false">IF(A22="","",COUNTIFS(Randevular!$C$5:$C$1004,A22,Randevular!$E$5:$E$1004,"Gelmedi"))</f>
        <v/>
      </c>
      <c r="F22" s="17" t="str">
        <f aca="false">IF(A22="","",SUMIFS(Randevular!$G$5:$G$1004,Randevular!$C$5:$C$1004,A22))</f>
        <v/>
      </c>
      <c r="G22" s="41" t="str">
        <f aca="false">IF(A22="","",IF(SUMPRODUCT(MAX((Randevular!$C$5:$C$1004=A22)*(Randevular!$E$5:$E$1004="Geldi")*Randevular!$A$5:$A$1004))=0,"",SUMPRODUCT(MAX((Randevular!$C$5:$C$1004=A22)*(Randevular!$E$5:$E$1004="Geldi")*Randevular!$A$5:$A$1004))))</f>
        <v/>
      </c>
      <c r="H22" s="21" t="str">
        <f aca="false">IF(A22="","",F22+ROW()/1000000)</f>
        <v/>
      </c>
    </row>
    <row r="23" customFormat="false" ht="15" hidden="false" customHeight="false" outlineLevel="0" collapsed="false">
      <c r="A23" s="14"/>
      <c r="B23" s="40"/>
      <c r="C23" s="14"/>
      <c r="D23" s="35" t="str">
        <f aca="false">IF(A23="","",COUNTIFS(Randevular!$C$5:$C$1004,A23,Randevular!$E$5:$E$1004,"&lt;&gt;İptal"))</f>
        <v/>
      </c>
      <c r="E23" s="35" t="str">
        <f aca="false">IF(A23="","",COUNTIFS(Randevular!$C$5:$C$1004,A23,Randevular!$E$5:$E$1004,"Gelmedi"))</f>
        <v/>
      </c>
      <c r="F23" s="17" t="str">
        <f aca="false">IF(A23="","",SUMIFS(Randevular!$G$5:$G$1004,Randevular!$C$5:$C$1004,A23))</f>
        <v/>
      </c>
      <c r="G23" s="41" t="str">
        <f aca="false">IF(A23="","",IF(SUMPRODUCT(MAX((Randevular!$C$5:$C$1004=A23)*(Randevular!$E$5:$E$1004="Geldi")*Randevular!$A$5:$A$1004))=0,"",SUMPRODUCT(MAX((Randevular!$C$5:$C$1004=A23)*(Randevular!$E$5:$E$1004="Geldi")*Randevular!$A$5:$A$1004))))</f>
        <v/>
      </c>
      <c r="H23" s="21" t="str">
        <f aca="false">IF(A23="","",F23+ROW()/1000000)</f>
        <v/>
      </c>
    </row>
    <row r="24" customFormat="false" ht="15" hidden="false" customHeight="false" outlineLevel="0" collapsed="false">
      <c r="A24" s="14"/>
      <c r="B24" s="40"/>
      <c r="C24" s="14"/>
      <c r="D24" s="35" t="str">
        <f aca="false">IF(A24="","",COUNTIFS(Randevular!$C$5:$C$1004,A24,Randevular!$E$5:$E$1004,"&lt;&gt;İptal"))</f>
        <v/>
      </c>
      <c r="E24" s="35" t="str">
        <f aca="false">IF(A24="","",COUNTIFS(Randevular!$C$5:$C$1004,A24,Randevular!$E$5:$E$1004,"Gelmedi"))</f>
        <v/>
      </c>
      <c r="F24" s="17" t="str">
        <f aca="false">IF(A24="","",SUMIFS(Randevular!$G$5:$G$1004,Randevular!$C$5:$C$1004,A24))</f>
        <v/>
      </c>
      <c r="G24" s="41" t="str">
        <f aca="false">IF(A24="","",IF(SUMPRODUCT(MAX((Randevular!$C$5:$C$1004=A24)*(Randevular!$E$5:$E$1004="Geldi")*Randevular!$A$5:$A$1004))=0,"",SUMPRODUCT(MAX((Randevular!$C$5:$C$1004=A24)*(Randevular!$E$5:$E$1004="Geldi")*Randevular!$A$5:$A$1004))))</f>
        <v/>
      </c>
      <c r="H24" s="21" t="str">
        <f aca="false">IF(A24="","",F24+ROW()/1000000)</f>
        <v/>
      </c>
    </row>
    <row r="25" customFormat="false" ht="15" hidden="false" customHeight="false" outlineLevel="0" collapsed="false">
      <c r="A25" s="14"/>
      <c r="B25" s="40"/>
      <c r="C25" s="14"/>
      <c r="D25" s="35" t="str">
        <f aca="false">IF(A25="","",COUNTIFS(Randevular!$C$5:$C$1004,A25,Randevular!$E$5:$E$1004,"&lt;&gt;İptal"))</f>
        <v/>
      </c>
      <c r="E25" s="35" t="str">
        <f aca="false">IF(A25="","",COUNTIFS(Randevular!$C$5:$C$1004,A25,Randevular!$E$5:$E$1004,"Gelmedi"))</f>
        <v/>
      </c>
      <c r="F25" s="17" t="str">
        <f aca="false">IF(A25="","",SUMIFS(Randevular!$G$5:$G$1004,Randevular!$C$5:$C$1004,A25))</f>
        <v/>
      </c>
      <c r="G25" s="41" t="str">
        <f aca="false">IF(A25="","",IF(SUMPRODUCT(MAX((Randevular!$C$5:$C$1004=A25)*(Randevular!$E$5:$E$1004="Geldi")*Randevular!$A$5:$A$1004))=0,"",SUMPRODUCT(MAX((Randevular!$C$5:$C$1004=A25)*(Randevular!$E$5:$E$1004="Geldi")*Randevular!$A$5:$A$1004))))</f>
        <v/>
      </c>
      <c r="H25" s="21" t="str">
        <f aca="false">IF(A25="","",F25+ROW()/1000000)</f>
        <v/>
      </c>
    </row>
    <row r="26" customFormat="false" ht="15" hidden="false" customHeight="false" outlineLevel="0" collapsed="false">
      <c r="A26" s="14"/>
      <c r="B26" s="40"/>
      <c r="C26" s="14"/>
      <c r="D26" s="35" t="str">
        <f aca="false">IF(A26="","",COUNTIFS(Randevular!$C$5:$C$1004,A26,Randevular!$E$5:$E$1004,"&lt;&gt;İptal"))</f>
        <v/>
      </c>
      <c r="E26" s="35" t="str">
        <f aca="false">IF(A26="","",COUNTIFS(Randevular!$C$5:$C$1004,A26,Randevular!$E$5:$E$1004,"Gelmedi"))</f>
        <v/>
      </c>
      <c r="F26" s="17" t="str">
        <f aca="false">IF(A26="","",SUMIFS(Randevular!$G$5:$G$1004,Randevular!$C$5:$C$1004,A26))</f>
        <v/>
      </c>
      <c r="G26" s="41" t="str">
        <f aca="false">IF(A26="","",IF(SUMPRODUCT(MAX((Randevular!$C$5:$C$1004=A26)*(Randevular!$E$5:$E$1004="Geldi")*Randevular!$A$5:$A$1004))=0,"",SUMPRODUCT(MAX((Randevular!$C$5:$C$1004=A26)*(Randevular!$E$5:$E$1004="Geldi")*Randevular!$A$5:$A$1004))))</f>
        <v/>
      </c>
      <c r="H26" s="21" t="str">
        <f aca="false">IF(A26="","",F26+ROW()/1000000)</f>
        <v/>
      </c>
    </row>
    <row r="27" customFormat="false" ht="15" hidden="false" customHeight="false" outlineLevel="0" collapsed="false">
      <c r="A27" s="14"/>
      <c r="B27" s="40"/>
      <c r="C27" s="14"/>
      <c r="D27" s="35" t="str">
        <f aca="false">IF(A27="","",COUNTIFS(Randevular!$C$5:$C$1004,A27,Randevular!$E$5:$E$1004,"&lt;&gt;İptal"))</f>
        <v/>
      </c>
      <c r="E27" s="35" t="str">
        <f aca="false">IF(A27="","",COUNTIFS(Randevular!$C$5:$C$1004,A27,Randevular!$E$5:$E$1004,"Gelmedi"))</f>
        <v/>
      </c>
      <c r="F27" s="17" t="str">
        <f aca="false">IF(A27="","",SUMIFS(Randevular!$G$5:$G$1004,Randevular!$C$5:$C$1004,A27))</f>
        <v/>
      </c>
      <c r="G27" s="41" t="str">
        <f aca="false">IF(A27="","",IF(SUMPRODUCT(MAX((Randevular!$C$5:$C$1004=A27)*(Randevular!$E$5:$E$1004="Geldi")*Randevular!$A$5:$A$1004))=0,"",SUMPRODUCT(MAX((Randevular!$C$5:$C$1004=A27)*(Randevular!$E$5:$E$1004="Geldi")*Randevular!$A$5:$A$1004))))</f>
        <v/>
      </c>
      <c r="H27" s="21" t="str">
        <f aca="false">IF(A27="","",F27+ROW()/1000000)</f>
        <v/>
      </c>
    </row>
    <row r="28" customFormat="false" ht="15" hidden="false" customHeight="false" outlineLevel="0" collapsed="false">
      <c r="A28" s="14"/>
      <c r="B28" s="40"/>
      <c r="C28" s="14"/>
      <c r="D28" s="35" t="str">
        <f aca="false">IF(A28="","",COUNTIFS(Randevular!$C$5:$C$1004,A28,Randevular!$E$5:$E$1004,"&lt;&gt;İptal"))</f>
        <v/>
      </c>
      <c r="E28" s="35" t="str">
        <f aca="false">IF(A28="","",COUNTIFS(Randevular!$C$5:$C$1004,A28,Randevular!$E$5:$E$1004,"Gelmedi"))</f>
        <v/>
      </c>
      <c r="F28" s="17" t="str">
        <f aca="false">IF(A28="","",SUMIFS(Randevular!$G$5:$G$1004,Randevular!$C$5:$C$1004,A28))</f>
        <v/>
      </c>
      <c r="G28" s="41" t="str">
        <f aca="false">IF(A28="","",IF(SUMPRODUCT(MAX((Randevular!$C$5:$C$1004=A28)*(Randevular!$E$5:$E$1004="Geldi")*Randevular!$A$5:$A$1004))=0,"",SUMPRODUCT(MAX((Randevular!$C$5:$C$1004=A28)*(Randevular!$E$5:$E$1004="Geldi")*Randevular!$A$5:$A$1004))))</f>
        <v/>
      </c>
      <c r="H28" s="21" t="str">
        <f aca="false">IF(A28="","",F28+ROW()/1000000)</f>
        <v/>
      </c>
    </row>
    <row r="29" customFormat="false" ht="15" hidden="false" customHeight="false" outlineLevel="0" collapsed="false">
      <c r="A29" s="14"/>
      <c r="B29" s="40"/>
      <c r="C29" s="14"/>
      <c r="D29" s="35" t="str">
        <f aca="false">IF(A29="","",COUNTIFS(Randevular!$C$5:$C$1004,A29,Randevular!$E$5:$E$1004,"&lt;&gt;İptal"))</f>
        <v/>
      </c>
      <c r="E29" s="35" t="str">
        <f aca="false">IF(A29="","",COUNTIFS(Randevular!$C$5:$C$1004,A29,Randevular!$E$5:$E$1004,"Gelmedi"))</f>
        <v/>
      </c>
      <c r="F29" s="17" t="str">
        <f aca="false">IF(A29="","",SUMIFS(Randevular!$G$5:$G$1004,Randevular!$C$5:$C$1004,A29))</f>
        <v/>
      </c>
      <c r="G29" s="41" t="str">
        <f aca="false">IF(A29="","",IF(SUMPRODUCT(MAX((Randevular!$C$5:$C$1004=A29)*(Randevular!$E$5:$E$1004="Geldi")*Randevular!$A$5:$A$1004))=0,"",SUMPRODUCT(MAX((Randevular!$C$5:$C$1004=A29)*(Randevular!$E$5:$E$1004="Geldi")*Randevular!$A$5:$A$1004))))</f>
        <v/>
      </c>
      <c r="H29" s="21" t="str">
        <f aca="false">IF(A29="","",F29+ROW()/1000000)</f>
        <v/>
      </c>
    </row>
    <row r="30" customFormat="false" ht="15" hidden="false" customHeight="false" outlineLevel="0" collapsed="false">
      <c r="A30" s="14"/>
      <c r="B30" s="40"/>
      <c r="C30" s="14"/>
      <c r="D30" s="35" t="str">
        <f aca="false">IF(A30="","",COUNTIFS(Randevular!$C$5:$C$1004,A30,Randevular!$E$5:$E$1004,"&lt;&gt;İptal"))</f>
        <v/>
      </c>
      <c r="E30" s="35" t="str">
        <f aca="false">IF(A30="","",COUNTIFS(Randevular!$C$5:$C$1004,A30,Randevular!$E$5:$E$1004,"Gelmedi"))</f>
        <v/>
      </c>
      <c r="F30" s="17" t="str">
        <f aca="false">IF(A30="","",SUMIFS(Randevular!$G$5:$G$1004,Randevular!$C$5:$C$1004,A30))</f>
        <v/>
      </c>
      <c r="G30" s="41" t="str">
        <f aca="false">IF(A30="","",IF(SUMPRODUCT(MAX((Randevular!$C$5:$C$1004=A30)*(Randevular!$E$5:$E$1004="Geldi")*Randevular!$A$5:$A$1004))=0,"",SUMPRODUCT(MAX((Randevular!$C$5:$C$1004=A30)*(Randevular!$E$5:$E$1004="Geldi")*Randevular!$A$5:$A$1004))))</f>
        <v/>
      </c>
      <c r="H30" s="21" t="str">
        <f aca="false">IF(A30="","",F30+ROW()/1000000)</f>
        <v/>
      </c>
    </row>
    <row r="31" customFormat="false" ht="15" hidden="false" customHeight="false" outlineLevel="0" collapsed="false">
      <c r="A31" s="14"/>
      <c r="B31" s="40"/>
      <c r="C31" s="14"/>
      <c r="D31" s="35" t="str">
        <f aca="false">IF(A31="","",COUNTIFS(Randevular!$C$5:$C$1004,A31,Randevular!$E$5:$E$1004,"&lt;&gt;İptal"))</f>
        <v/>
      </c>
      <c r="E31" s="35" t="str">
        <f aca="false">IF(A31="","",COUNTIFS(Randevular!$C$5:$C$1004,A31,Randevular!$E$5:$E$1004,"Gelmedi"))</f>
        <v/>
      </c>
      <c r="F31" s="17" t="str">
        <f aca="false">IF(A31="","",SUMIFS(Randevular!$G$5:$G$1004,Randevular!$C$5:$C$1004,A31))</f>
        <v/>
      </c>
      <c r="G31" s="41" t="str">
        <f aca="false">IF(A31="","",IF(SUMPRODUCT(MAX((Randevular!$C$5:$C$1004=A31)*(Randevular!$E$5:$E$1004="Geldi")*Randevular!$A$5:$A$1004))=0,"",SUMPRODUCT(MAX((Randevular!$C$5:$C$1004=A31)*(Randevular!$E$5:$E$1004="Geldi")*Randevular!$A$5:$A$1004))))</f>
        <v/>
      </c>
      <c r="H31" s="21" t="str">
        <f aca="false">IF(A31="","",F31+ROW()/1000000)</f>
        <v/>
      </c>
    </row>
    <row r="32" customFormat="false" ht="15" hidden="false" customHeight="false" outlineLevel="0" collapsed="false">
      <c r="A32" s="14"/>
      <c r="B32" s="40"/>
      <c r="C32" s="14"/>
      <c r="D32" s="35" t="str">
        <f aca="false">IF(A32="","",COUNTIFS(Randevular!$C$5:$C$1004,A32,Randevular!$E$5:$E$1004,"&lt;&gt;İptal"))</f>
        <v/>
      </c>
      <c r="E32" s="35" t="str">
        <f aca="false">IF(A32="","",COUNTIFS(Randevular!$C$5:$C$1004,A32,Randevular!$E$5:$E$1004,"Gelmedi"))</f>
        <v/>
      </c>
      <c r="F32" s="17" t="str">
        <f aca="false">IF(A32="","",SUMIFS(Randevular!$G$5:$G$1004,Randevular!$C$5:$C$1004,A32))</f>
        <v/>
      </c>
      <c r="G32" s="41" t="str">
        <f aca="false">IF(A32="","",IF(SUMPRODUCT(MAX((Randevular!$C$5:$C$1004=A32)*(Randevular!$E$5:$E$1004="Geldi")*Randevular!$A$5:$A$1004))=0,"",SUMPRODUCT(MAX((Randevular!$C$5:$C$1004=A32)*(Randevular!$E$5:$E$1004="Geldi")*Randevular!$A$5:$A$1004))))</f>
        <v/>
      </c>
      <c r="H32" s="21" t="str">
        <f aca="false">IF(A32="","",F32+ROW()/1000000)</f>
        <v/>
      </c>
    </row>
    <row r="33" customFormat="false" ht="15" hidden="false" customHeight="false" outlineLevel="0" collapsed="false">
      <c r="A33" s="14"/>
      <c r="B33" s="40"/>
      <c r="C33" s="14"/>
      <c r="D33" s="35" t="str">
        <f aca="false">IF(A33="","",COUNTIFS(Randevular!$C$5:$C$1004,A33,Randevular!$E$5:$E$1004,"&lt;&gt;İptal"))</f>
        <v/>
      </c>
      <c r="E33" s="35" t="str">
        <f aca="false">IF(A33="","",COUNTIFS(Randevular!$C$5:$C$1004,A33,Randevular!$E$5:$E$1004,"Gelmedi"))</f>
        <v/>
      </c>
      <c r="F33" s="17" t="str">
        <f aca="false">IF(A33="","",SUMIFS(Randevular!$G$5:$G$1004,Randevular!$C$5:$C$1004,A33))</f>
        <v/>
      </c>
      <c r="G33" s="41" t="str">
        <f aca="false">IF(A33="","",IF(SUMPRODUCT(MAX((Randevular!$C$5:$C$1004=A33)*(Randevular!$E$5:$E$1004="Geldi")*Randevular!$A$5:$A$1004))=0,"",SUMPRODUCT(MAX((Randevular!$C$5:$C$1004=A33)*(Randevular!$E$5:$E$1004="Geldi")*Randevular!$A$5:$A$1004))))</f>
        <v/>
      </c>
      <c r="H33" s="21" t="str">
        <f aca="false">IF(A33="","",F33+ROW()/1000000)</f>
        <v/>
      </c>
    </row>
    <row r="34" customFormat="false" ht="15" hidden="false" customHeight="false" outlineLevel="0" collapsed="false">
      <c r="A34" s="14"/>
      <c r="B34" s="40"/>
      <c r="C34" s="14"/>
      <c r="D34" s="35" t="str">
        <f aca="false">IF(A34="","",COUNTIFS(Randevular!$C$5:$C$1004,A34,Randevular!$E$5:$E$1004,"&lt;&gt;İptal"))</f>
        <v/>
      </c>
      <c r="E34" s="35" t="str">
        <f aca="false">IF(A34="","",COUNTIFS(Randevular!$C$5:$C$1004,A34,Randevular!$E$5:$E$1004,"Gelmedi"))</f>
        <v/>
      </c>
      <c r="F34" s="17" t="str">
        <f aca="false">IF(A34="","",SUMIFS(Randevular!$G$5:$G$1004,Randevular!$C$5:$C$1004,A34))</f>
        <v/>
      </c>
      <c r="G34" s="41" t="str">
        <f aca="false">IF(A34="","",IF(SUMPRODUCT(MAX((Randevular!$C$5:$C$1004=A34)*(Randevular!$E$5:$E$1004="Geldi")*Randevular!$A$5:$A$1004))=0,"",SUMPRODUCT(MAX((Randevular!$C$5:$C$1004=A34)*(Randevular!$E$5:$E$1004="Geldi")*Randevular!$A$5:$A$1004))))</f>
        <v/>
      </c>
      <c r="H34" s="21" t="str">
        <f aca="false">IF(A34="","",F34+ROW()/1000000)</f>
        <v/>
      </c>
    </row>
    <row r="35" customFormat="false" ht="15" hidden="false" customHeight="false" outlineLevel="0" collapsed="false">
      <c r="A35" s="14"/>
      <c r="B35" s="40"/>
      <c r="C35" s="14"/>
      <c r="D35" s="35" t="str">
        <f aca="false">IF(A35="","",COUNTIFS(Randevular!$C$5:$C$1004,A35,Randevular!$E$5:$E$1004,"&lt;&gt;İptal"))</f>
        <v/>
      </c>
      <c r="E35" s="35" t="str">
        <f aca="false">IF(A35="","",COUNTIFS(Randevular!$C$5:$C$1004,A35,Randevular!$E$5:$E$1004,"Gelmedi"))</f>
        <v/>
      </c>
      <c r="F35" s="17" t="str">
        <f aca="false">IF(A35="","",SUMIFS(Randevular!$G$5:$G$1004,Randevular!$C$5:$C$1004,A35))</f>
        <v/>
      </c>
      <c r="G35" s="41" t="str">
        <f aca="false">IF(A35="","",IF(SUMPRODUCT(MAX((Randevular!$C$5:$C$1004=A35)*(Randevular!$E$5:$E$1004="Geldi")*Randevular!$A$5:$A$1004))=0,"",SUMPRODUCT(MAX((Randevular!$C$5:$C$1004=A35)*(Randevular!$E$5:$E$1004="Geldi")*Randevular!$A$5:$A$1004))))</f>
        <v/>
      </c>
      <c r="H35" s="21" t="str">
        <f aca="false">IF(A35="","",F35+ROW()/1000000)</f>
        <v/>
      </c>
    </row>
    <row r="36" customFormat="false" ht="15" hidden="false" customHeight="false" outlineLevel="0" collapsed="false">
      <c r="A36" s="14"/>
      <c r="B36" s="40"/>
      <c r="C36" s="14"/>
      <c r="D36" s="35" t="str">
        <f aca="false">IF(A36="","",COUNTIFS(Randevular!$C$5:$C$1004,A36,Randevular!$E$5:$E$1004,"&lt;&gt;İptal"))</f>
        <v/>
      </c>
      <c r="E36" s="35" t="str">
        <f aca="false">IF(A36="","",COUNTIFS(Randevular!$C$5:$C$1004,A36,Randevular!$E$5:$E$1004,"Gelmedi"))</f>
        <v/>
      </c>
      <c r="F36" s="17" t="str">
        <f aca="false">IF(A36="","",SUMIFS(Randevular!$G$5:$G$1004,Randevular!$C$5:$C$1004,A36))</f>
        <v/>
      </c>
      <c r="G36" s="41" t="str">
        <f aca="false">IF(A36="","",IF(SUMPRODUCT(MAX((Randevular!$C$5:$C$1004=A36)*(Randevular!$E$5:$E$1004="Geldi")*Randevular!$A$5:$A$1004))=0,"",SUMPRODUCT(MAX((Randevular!$C$5:$C$1004=A36)*(Randevular!$E$5:$E$1004="Geldi")*Randevular!$A$5:$A$1004))))</f>
        <v/>
      </c>
      <c r="H36" s="21" t="str">
        <f aca="false">IF(A36="","",F36+ROW()/1000000)</f>
        <v/>
      </c>
    </row>
    <row r="37" customFormat="false" ht="15" hidden="false" customHeight="false" outlineLevel="0" collapsed="false">
      <c r="A37" s="14"/>
      <c r="B37" s="40"/>
      <c r="C37" s="14"/>
      <c r="D37" s="35" t="str">
        <f aca="false">IF(A37="","",COUNTIFS(Randevular!$C$5:$C$1004,A37,Randevular!$E$5:$E$1004,"&lt;&gt;İptal"))</f>
        <v/>
      </c>
      <c r="E37" s="35" t="str">
        <f aca="false">IF(A37="","",COUNTIFS(Randevular!$C$5:$C$1004,A37,Randevular!$E$5:$E$1004,"Gelmedi"))</f>
        <v/>
      </c>
      <c r="F37" s="17" t="str">
        <f aca="false">IF(A37="","",SUMIFS(Randevular!$G$5:$G$1004,Randevular!$C$5:$C$1004,A37))</f>
        <v/>
      </c>
      <c r="G37" s="41" t="str">
        <f aca="false">IF(A37="","",IF(SUMPRODUCT(MAX((Randevular!$C$5:$C$1004=A37)*(Randevular!$E$5:$E$1004="Geldi")*Randevular!$A$5:$A$1004))=0,"",SUMPRODUCT(MAX((Randevular!$C$5:$C$1004=A37)*(Randevular!$E$5:$E$1004="Geldi")*Randevular!$A$5:$A$1004))))</f>
        <v/>
      </c>
      <c r="H37" s="21" t="str">
        <f aca="false">IF(A37="","",F37+ROW()/1000000)</f>
        <v/>
      </c>
    </row>
    <row r="38" customFormat="false" ht="15" hidden="false" customHeight="false" outlineLevel="0" collapsed="false">
      <c r="A38" s="14"/>
      <c r="B38" s="40"/>
      <c r="C38" s="14"/>
      <c r="D38" s="35" t="str">
        <f aca="false">IF(A38="","",COUNTIFS(Randevular!$C$5:$C$1004,A38,Randevular!$E$5:$E$1004,"&lt;&gt;İptal"))</f>
        <v/>
      </c>
      <c r="E38" s="35" t="str">
        <f aca="false">IF(A38="","",COUNTIFS(Randevular!$C$5:$C$1004,A38,Randevular!$E$5:$E$1004,"Gelmedi"))</f>
        <v/>
      </c>
      <c r="F38" s="17" t="str">
        <f aca="false">IF(A38="","",SUMIFS(Randevular!$G$5:$G$1004,Randevular!$C$5:$C$1004,A38))</f>
        <v/>
      </c>
      <c r="G38" s="41" t="str">
        <f aca="false">IF(A38="","",IF(SUMPRODUCT(MAX((Randevular!$C$5:$C$1004=A38)*(Randevular!$E$5:$E$1004="Geldi")*Randevular!$A$5:$A$1004))=0,"",SUMPRODUCT(MAX((Randevular!$C$5:$C$1004=A38)*(Randevular!$E$5:$E$1004="Geldi")*Randevular!$A$5:$A$1004))))</f>
        <v/>
      </c>
      <c r="H38" s="21" t="str">
        <f aca="false">IF(A38="","",F38+ROW()/1000000)</f>
        <v/>
      </c>
    </row>
    <row r="39" customFormat="false" ht="15" hidden="false" customHeight="false" outlineLevel="0" collapsed="false">
      <c r="A39" s="14"/>
      <c r="B39" s="40"/>
      <c r="C39" s="14"/>
      <c r="D39" s="35" t="str">
        <f aca="false">IF(A39="","",COUNTIFS(Randevular!$C$5:$C$1004,A39,Randevular!$E$5:$E$1004,"&lt;&gt;İptal"))</f>
        <v/>
      </c>
      <c r="E39" s="35" t="str">
        <f aca="false">IF(A39="","",COUNTIFS(Randevular!$C$5:$C$1004,A39,Randevular!$E$5:$E$1004,"Gelmedi"))</f>
        <v/>
      </c>
      <c r="F39" s="17" t="str">
        <f aca="false">IF(A39="","",SUMIFS(Randevular!$G$5:$G$1004,Randevular!$C$5:$C$1004,A39))</f>
        <v/>
      </c>
      <c r="G39" s="41" t="str">
        <f aca="false">IF(A39="","",IF(SUMPRODUCT(MAX((Randevular!$C$5:$C$1004=A39)*(Randevular!$E$5:$E$1004="Geldi")*Randevular!$A$5:$A$1004))=0,"",SUMPRODUCT(MAX((Randevular!$C$5:$C$1004=A39)*(Randevular!$E$5:$E$1004="Geldi")*Randevular!$A$5:$A$1004))))</f>
        <v/>
      </c>
      <c r="H39" s="21" t="str">
        <f aca="false">IF(A39="","",F39+ROW()/1000000)</f>
        <v/>
      </c>
    </row>
    <row r="40" customFormat="false" ht="15" hidden="false" customHeight="false" outlineLevel="0" collapsed="false">
      <c r="A40" s="14"/>
      <c r="B40" s="40"/>
      <c r="C40" s="14"/>
      <c r="D40" s="35" t="str">
        <f aca="false">IF(A40="","",COUNTIFS(Randevular!$C$5:$C$1004,A40,Randevular!$E$5:$E$1004,"&lt;&gt;İptal"))</f>
        <v/>
      </c>
      <c r="E40" s="35" t="str">
        <f aca="false">IF(A40="","",COUNTIFS(Randevular!$C$5:$C$1004,A40,Randevular!$E$5:$E$1004,"Gelmedi"))</f>
        <v/>
      </c>
      <c r="F40" s="17" t="str">
        <f aca="false">IF(A40="","",SUMIFS(Randevular!$G$5:$G$1004,Randevular!$C$5:$C$1004,A40))</f>
        <v/>
      </c>
      <c r="G40" s="41" t="str">
        <f aca="false">IF(A40="","",IF(SUMPRODUCT(MAX((Randevular!$C$5:$C$1004=A40)*(Randevular!$E$5:$E$1004="Geldi")*Randevular!$A$5:$A$1004))=0,"",SUMPRODUCT(MAX((Randevular!$C$5:$C$1004=A40)*(Randevular!$E$5:$E$1004="Geldi")*Randevular!$A$5:$A$1004))))</f>
        <v/>
      </c>
      <c r="H40" s="21" t="str">
        <f aca="false">IF(A40="","",F40+ROW()/1000000)</f>
        <v/>
      </c>
    </row>
    <row r="41" customFormat="false" ht="15" hidden="false" customHeight="false" outlineLevel="0" collapsed="false">
      <c r="A41" s="14"/>
      <c r="B41" s="40"/>
      <c r="C41" s="14"/>
      <c r="D41" s="35" t="str">
        <f aca="false">IF(A41="","",COUNTIFS(Randevular!$C$5:$C$1004,A41,Randevular!$E$5:$E$1004,"&lt;&gt;İptal"))</f>
        <v/>
      </c>
      <c r="E41" s="35" t="str">
        <f aca="false">IF(A41="","",COUNTIFS(Randevular!$C$5:$C$1004,A41,Randevular!$E$5:$E$1004,"Gelmedi"))</f>
        <v/>
      </c>
      <c r="F41" s="17" t="str">
        <f aca="false">IF(A41="","",SUMIFS(Randevular!$G$5:$G$1004,Randevular!$C$5:$C$1004,A41))</f>
        <v/>
      </c>
      <c r="G41" s="41" t="str">
        <f aca="false">IF(A41="","",IF(SUMPRODUCT(MAX((Randevular!$C$5:$C$1004=A41)*(Randevular!$E$5:$E$1004="Geldi")*Randevular!$A$5:$A$1004))=0,"",SUMPRODUCT(MAX((Randevular!$C$5:$C$1004=A41)*(Randevular!$E$5:$E$1004="Geldi")*Randevular!$A$5:$A$1004))))</f>
        <v/>
      </c>
      <c r="H41" s="21" t="str">
        <f aca="false">IF(A41="","",F41+ROW()/1000000)</f>
        <v/>
      </c>
    </row>
    <row r="42" customFormat="false" ht="15" hidden="false" customHeight="false" outlineLevel="0" collapsed="false">
      <c r="A42" s="14"/>
      <c r="B42" s="40"/>
      <c r="C42" s="14"/>
      <c r="D42" s="35" t="str">
        <f aca="false">IF(A42="","",COUNTIFS(Randevular!$C$5:$C$1004,A42,Randevular!$E$5:$E$1004,"&lt;&gt;İptal"))</f>
        <v/>
      </c>
      <c r="E42" s="35" t="str">
        <f aca="false">IF(A42="","",COUNTIFS(Randevular!$C$5:$C$1004,A42,Randevular!$E$5:$E$1004,"Gelmedi"))</f>
        <v/>
      </c>
      <c r="F42" s="17" t="str">
        <f aca="false">IF(A42="","",SUMIFS(Randevular!$G$5:$G$1004,Randevular!$C$5:$C$1004,A42))</f>
        <v/>
      </c>
      <c r="G42" s="41" t="str">
        <f aca="false">IF(A42="","",IF(SUMPRODUCT(MAX((Randevular!$C$5:$C$1004=A42)*(Randevular!$E$5:$E$1004="Geldi")*Randevular!$A$5:$A$1004))=0,"",SUMPRODUCT(MAX((Randevular!$C$5:$C$1004=A42)*(Randevular!$E$5:$E$1004="Geldi")*Randevular!$A$5:$A$1004))))</f>
        <v/>
      </c>
      <c r="H42" s="21" t="str">
        <f aca="false">IF(A42="","",F42+ROW()/1000000)</f>
        <v/>
      </c>
    </row>
    <row r="43" customFormat="false" ht="15" hidden="false" customHeight="false" outlineLevel="0" collapsed="false">
      <c r="A43" s="14"/>
      <c r="B43" s="40"/>
      <c r="C43" s="14"/>
      <c r="D43" s="35" t="str">
        <f aca="false">IF(A43="","",COUNTIFS(Randevular!$C$5:$C$1004,A43,Randevular!$E$5:$E$1004,"&lt;&gt;İptal"))</f>
        <v/>
      </c>
      <c r="E43" s="35" t="str">
        <f aca="false">IF(A43="","",COUNTIFS(Randevular!$C$5:$C$1004,A43,Randevular!$E$5:$E$1004,"Gelmedi"))</f>
        <v/>
      </c>
      <c r="F43" s="17" t="str">
        <f aca="false">IF(A43="","",SUMIFS(Randevular!$G$5:$G$1004,Randevular!$C$5:$C$1004,A43))</f>
        <v/>
      </c>
      <c r="G43" s="41" t="str">
        <f aca="false">IF(A43="","",IF(SUMPRODUCT(MAX((Randevular!$C$5:$C$1004=A43)*(Randevular!$E$5:$E$1004="Geldi")*Randevular!$A$5:$A$1004))=0,"",SUMPRODUCT(MAX((Randevular!$C$5:$C$1004=A43)*(Randevular!$E$5:$E$1004="Geldi")*Randevular!$A$5:$A$1004))))</f>
        <v/>
      </c>
      <c r="H43" s="21" t="str">
        <f aca="false">IF(A43="","",F43+ROW()/1000000)</f>
        <v/>
      </c>
    </row>
    <row r="44" customFormat="false" ht="15" hidden="false" customHeight="false" outlineLevel="0" collapsed="false">
      <c r="A44" s="14"/>
      <c r="B44" s="40"/>
      <c r="C44" s="14"/>
      <c r="D44" s="35" t="str">
        <f aca="false">IF(A44="","",COUNTIFS(Randevular!$C$5:$C$1004,A44,Randevular!$E$5:$E$1004,"&lt;&gt;İptal"))</f>
        <v/>
      </c>
      <c r="E44" s="35" t="str">
        <f aca="false">IF(A44="","",COUNTIFS(Randevular!$C$5:$C$1004,A44,Randevular!$E$5:$E$1004,"Gelmedi"))</f>
        <v/>
      </c>
      <c r="F44" s="17" t="str">
        <f aca="false">IF(A44="","",SUMIFS(Randevular!$G$5:$G$1004,Randevular!$C$5:$C$1004,A44))</f>
        <v/>
      </c>
      <c r="G44" s="41" t="str">
        <f aca="false">IF(A44="","",IF(SUMPRODUCT(MAX((Randevular!$C$5:$C$1004=A44)*(Randevular!$E$5:$E$1004="Geldi")*Randevular!$A$5:$A$1004))=0,"",SUMPRODUCT(MAX((Randevular!$C$5:$C$1004=A44)*(Randevular!$E$5:$E$1004="Geldi")*Randevular!$A$5:$A$1004))))</f>
        <v/>
      </c>
      <c r="H44" s="21" t="str">
        <f aca="false">IF(A44="","",F44+ROW()/1000000)</f>
        <v/>
      </c>
    </row>
    <row r="45" customFormat="false" ht="15" hidden="false" customHeight="false" outlineLevel="0" collapsed="false">
      <c r="A45" s="14"/>
      <c r="B45" s="40"/>
      <c r="C45" s="14"/>
      <c r="D45" s="35" t="str">
        <f aca="false">IF(A45="","",COUNTIFS(Randevular!$C$5:$C$1004,A45,Randevular!$E$5:$E$1004,"&lt;&gt;İptal"))</f>
        <v/>
      </c>
      <c r="E45" s="35" t="str">
        <f aca="false">IF(A45="","",COUNTIFS(Randevular!$C$5:$C$1004,A45,Randevular!$E$5:$E$1004,"Gelmedi"))</f>
        <v/>
      </c>
      <c r="F45" s="17" t="str">
        <f aca="false">IF(A45="","",SUMIFS(Randevular!$G$5:$G$1004,Randevular!$C$5:$C$1004,A45))</f>
        <v/>
      </c>
      <c r="G45" s="41" t="str">
        <f aca="false">IF(A45="","",IF(SUMPRODUCT(MAX((Randevular!$C$5:$C$1004=A45)*(Randevular!$E$5:$E$1004="Geldi")*Randevular!$A$5:$A$1004))=0,"",SUMPRODUCT(MAX((Randevular!$C$5:$C$1004=A45)*(Randevular!$E$5:$E$1004="Geldi")*Randevular!$A$5:$A$1004))))</f>
        <v/>
      </c>
      <c r="H45" s="21" t="str">
        <f aca="false">IF(A45="","",F45+ROW()/1000000)</f>
        <v/>
      </c>
    </row>
    <row r="46" customFormat="false" ht="15" hidden="false" customHeight="false" outlineLevel="0" collapsed="false">
      <c r="A46" s="14"/>
      <c r="B46" s="40"/>
      <c r="C46" s="14"/>
      <c r="D46" s="35" t="str">
        <f aca="false">IF(A46="","",COUNTIFS(Randevular!$C$5:$C$1004,A46,Randevular!$E$5:$E$1004,"&lt;&gt;İptal"))</f>
        <v/>
      </c>
      <c r="E46" s="35" t="str">
        <f aca="false">IF(A46="","",COUNTIFS(Randevular!$C$5:$C$1004,A46,Randevular!$E$5:$E$1004,"Gelmedi"))</f>
        <v/>
      </c>
      <c r="F46" s="17" t="str">
        <f aca="false">IF(A46="","",SUMIFS(Randevular!$G$5:$G$1004,Randevular!$C$5:$C$1004,A46))</f>
        <v/>
      </c>
      <c r="G46" s="41" t="str">
        <f aca="false">IF(A46="","",IF(SUMPRODUCT(MAX((Randevular!$C$5:$C$1004=A46)*(Randevular!$E$5:$E$1004="Geldi")*Randevular!$A$5:$A$1004))=0,"",SUMPRODUCT(MAX((Randevular!$C$5:$C$1004=A46)*(Randevular!$E$5:$E$1004="Geldi")*Randevular!$A$5:$A$1004))))</f>
        <v/>
      </c>
      <c r="H46" s="21" t="str">
        <f aca="false">IF(A46="","",F46+ROW()/1000000)</f>
        <v/>
      </c>
    </row>
    <row r="47" customFormat="false" ht="15" hidden="false" customHeight="false" outlineLevel="0" collapsed="false">
      <c r="A47" s="14"/>
      <c r="B47" s="40"/>
      <c r="C47" s="14"/>
      <c r="D47" s="35" t="str">
        <f aca="false">IF(A47="","",COUNTIFS(Randevular!$C$5:$C$1004,A47,Randevular!$E$5:$E$1004,"&lt;&gt;İptal"))</f>
        <v/>
      </c>
      <c r="E47" s="35" t="str">
        <f aca="false">IF(A47="","",COUNTIFS(Randevular!$C$5:$C$1004,A47,Randevular!$E$5:$E$1004,"Gelmedi"))</f>
        <v/>
      </c>
      <c r="F47" s="17" t="str">
        <f aca="false">IF(A47="","",SUMIFS(Randevular!$G$5:$G$1004,Randevular!$C$5:$C$1004,A47))</f>
        <v/>
      </c>
      <c r="G47" s="41" t="str">
        <f aca="false">IF(A47="","",IF(SUMPRODUCT(MAX((Randevular!$C$5:$C$1004=A47)*(Randevular!$E$5:$E$1004="Geldi")*Randevular!$A$5:$A$1004))=0,"",SUMPRODUCT(MAX((Randevular!$C$5:$C$1004=A47)*(Randevular!$E$5:$E$1004="Geldi")*Randevular!$A$5:$A$1004))))</f>
        <v/>
      </c>
      <c r="H47" s="21" t="str">
        <f aca="false">IF(A47="","",F47+ROW()/1000000)</f>
        <v/>
      </c>
    </row>
    <row r="48" customFormat="false" ht="15" hidden="false" customHeight="false" outlineLevel="0" collapsed="false">
      <c r="A48" s="14"/>
      <c r="B48" s="40"/>
      <c r="C48" s="14"/>
      <c r="D48" s="35" t="str">
        <f aca="false">IF(A48="","",COUNTIFS(Randevular!$C$5:$C$1004,A48,Randevular!$E$5:$E$1004,"&lt;&gt;İptal"))</f>
        <v/>
      </c>
      <c r="E48" s="35" t="str">
        <f aca="false">IF(A48="","",COUNTIFS(Randevular!$C$5:$C$1004,A48,Randevular!$E$5:$E$1004,"Gelmedi"))</f>
        <v/>
      </c>
      <c r="F48" s="17" t="str">
        <f aca="false">IF(A48="","",SUMIFS(Randevular!$G$5:$G$1004,Randevular!$C$5:$C$1004,A48))</f>
        <v/>
      </c>
      <c r="G48" s="41" t="str">
        <f aca="false">IF(A48="","",IF(SUMPRODUCT(MAX((Randevular!$C$5:$C$1004=A48)*(Randevular!$E$5:$E$1004="Geldi")*Randevular!$A$5:$A$1004))=0,"",SUMPRODUCT(MAX((Randevular!$C$5:$C$1004=A48)*(Randevular!$E$5:$E$1004="Geldi")*Randevular!$A$5:$A$1004))))</f>
        <v/>
      </c>
      <c r="H48" s="21" t="str">
        <f aca="false">IF(A48="","",F48+ROW()/1000000)</f>
        <v/>
      </c>
    </row>
    <row r="49" customFormat="false" ht="15" hidden="false" customHeight="false" outlineLevel="0" collapsed="false">
      <c r="A49" s="14"/>
      <c r="B49" s="40"/>
      <c r="C49" s="14"/>
      <c r="D49" s="35" t="str">
        <f aca="false">IF(A49="","",COUNTIFS(Randevular!$C$5:$C$1004,A49,Randevular!$E$5:$E$1004,"&lt;&gt;İptal"))</f>
        <v/>
      </c>
      <c r="E49" s="35" t="str">
        <f aca="false">IF(A49="","",COUNTIFS(Randevular!$C$5:$C$1004,A49,Randevular!$E$5:$E$1004,"Gelmedi"))</f>
        <v/>
      </c>
      <c r="F49" s="17" t="str">
        <f aca="false">IF(A49="","",SUMIFS(Randevular!$G$5:$G$1004,Randevular!$C$5:$C$1004,A49))</f>
        <v/>
      </c>
      <c r="G49" s="41" t="str">
        <f aca="false">IF(A49="","",IF(SUMPRODUCT(MAX((Randevular!$C$5:$C$1004=A49)*(Randevular!$E$5:$E$1004="Geldi")*Randevular!$A$5:$A$1004))=0,"",SUMPRODUCT(MAX((Randevular!$C$5:$C$1004=A49)*(Randevular!$E$5:$E$1004="Geldi")*Randevular!$A$5:$A$1004))))</f>
        <v/>
      </c>
      <c r="H49" s="21" t="str">
        <f aca="false">IF(A49="","",F49+ROW()/1000000)</f>
        <v/>
      </c>
    </row>
    <row r="50" customFormat="false" ht="15" hidden="false" customHeight="false" outlineLevel="0" collapsed="false">
      <c r="A50" s="14"/>
      <c r="B50" s="40"/>
      <c r="C50" s="14"/>
      <c r="D50" s="35" t="str">
        <f aca="false">IF(A50="","",COUNTIFS(Randevular!$C$5:$C$1004,A50,Randevular!$E$5:$E$1004,"&lt;&gt;İptal"))</f>
        <v/>
      </c>
      <c r="E50" s="35" t="str">
        <f aca="false">IF(A50="","",COUNTIFS(Randevular!$C$5:$C$1004,A50,Randevular!$E$5:$E$1004,"Gelmedi"))</f>
        <v/>
      </c>
      <c r="F50" s="17" t="str">
        <f aca="false">IF(A50="","",SUMIFS(Randevular!$G$5:$G$1004,Randevular!$C$5:$C$1004,A50))</f>
        <v/>
      </c>
      <c r="G50" s="41" t="str">
        <f aca="false">IF(A50="","",IF(SUMPRODUCT(MAX((Randevular!$C$5:$C$1004=A50)*(Randevular!$E$5:$E$1004="Geldi")*Randevular!$A$5:$A$1004))=0,"",SUMPRODUCT(MAX((Randevular!$C$5:$C$1004=A50)*(Randevular!$E$5:$E$1004="Geldi")*Randevular!$A$5:$A$1004))))</f>
        <v/>
      </c>
      <c r="H50" s="21" t="str">
        <f aca="false">IF(A50="","",F50+ROW()/1000000)</f>
        <v/>
      </c>
    </row>
    <row r="51" customFormat="false" ht="15" hidden="false" customHeight="false" outlineLevel="0" collapsed="false">
      <c r="A51" s="14"/>
      <c r="B51" s="40"/>
      <c r="C51" s="14"/>
      <c r="D51" s="35" t="str">
        <f aca="false">IF(A51="","",COUNTIFS(Randevular!$C$5:$C$1004,A51,Randevular!$E$5:$E$1004,"&lt;&gt;İptal"))</f>
        <v/>
      </c>
      <c r="E51" s="35" t="str">
        <f aca="false">IF(A51="","",COUNTIFS(Randevular!$C$5:$C$1004,A51,Randevular!$E$5:$E$1004,"Gelmedi"))</f>
        <v/>
      </c>
      <c r="F51" s="17" t="str">
        <f aca="false">IF(A51="","",SUMIFS(Randevular!$G$5:$G$1004,Randevular!$C$5:$C$1004,A51))</f>
        <v/>
      </c>
      <c r="G51" s="41" t="str">
        <f aca="false">IF(A51="","",IF(SUMPRODUCT(MAX((Randevular!$C$5:$C$1004=A51)*(Randevular!$E$5:$E$1004="Geldi")*Randevular!$A$5:$A$1004))=0,"",SUMPRODUCT(MAX((Randevular!$C$5:$C$1004=A51)*(Randevular!$E$5:$E$1004="Geldi")*Randevular!$A$5:$A$1004))))</f>
        <v/>
      </c>
      <c r="H51" s="21" t="str">
        <f aca="false">IF(A51="","",F51+ROW()/1000000)</f>
        <v/>
      </c>
    </row>
    <row r="52" customFormat="false" ht="15" hidden="false" customHeight="false" outlineLevel="0" collapsed="false">
      <c r="A52" s="14"/>
      <c r="B52" s="40"/>
      <c r="C52" s="14"/>
      <c r="D52" s="35" t="str">
        <f aca="false">IF(A52="","",COUNTIFS(Randevular!$C$5:$C$1004,A52,Randevular!$E$5:$E$1004,"&lt;&gt;İptal"))</f>
        <v/>
      </c>
      <c r="E52" s="35" t="str">
        <f aca="false">IF(A52="","",COUNTIFS(Randevular!$C$5:$C$1004,A52,Randevular!$E$5:$E$1004,"Gelmedi"))</f>
        <v/>
      </c>
      <c r="F52" s="17" t="str">
        <f aca="false">IF(A52="","",SUMIFS(Randevular!$G$5:$G$1004,Randevular!$C$5:$C$1004,A52))</f>
        <v/>
      </c>
      <c r="G52" s="41" t="str">
        <f aca="false">IF(A52="","",IF(SUMPRODUCT(MAX((Randevular!$C$5:$C$1004=A52)*(Randevular!$E$5:$E$1004="Geldi")*Randevular!$A$5:$A$1004))=0,"",SUMPRODUCT(MAX((Randevular!$C$5:$C$1004=A52)*(Randevular!$E$5:$E$1004="Geldi")*Randevular!$A$5:$A$1004))))</f>
        <v/>
      </c>
      <c r="H52" s="21" t="str">
        <f aca="false">IF(A52="","",F52+ROW()/1000000)</f>
        <v/>
      </c>
    </row>
    <row r="53" customFormat="false" ht="15" hidden="false" customHeight="false" outlineLevel="0" collapsed="false">
      <c r="A53" s="14"/>
      <c r="B53" s="40"/>
      <c r="C53" s="14"/>
      <c r="D53" s="35" t="str">
        <f aca="false">IF(A53="","",COUNTIFS(Randevular!$C$5:$C$1004,A53,Randevular!$E$5:$E$1004,"&lt;&gt;İptal"))</f>
        <v/>
      </c>
      <c r="E53" s="35" t="str">
        <f aca="false">IF(A53="","",COUNTIFS(Randevular!$C$5:$C$1004,A53,Randevular!$E$5:$E$1004,"Gelmedi"))</f>
        <v/>
      </c>
      <c r="F53" s="17" t="str">
        <f aca="false">IF(A53="","",SUMIFS(Randevular!$G$5:$G$1004,Randevular!$C$5:$C$1004,A53))</f>
        <v/>
      </c>
      <c r="G53" s="41" t="str">
        <f aca="false">IF(A53="","",IF(SUMPRODUCT(MAX((Randevular!$C$5:$C$1004=A53)*(Randevular!$E$5:$E$1004="Geldi")*Randevular!$A$5:$A$1004))=0,"",SUMPRODUCT(MAX((Randevular!$C$5:$C$1004=A53)*(Randevular!$E$5:$E$1004="Geldi")*Randevular!$A$5:$A$1004))))</f>
        <v/>
      </c>
      <c r="H53" s="21" t="str">
        <f aca="false">IF(A53="","",F53+ROW()/1000000)</f>
        <v/>
      </c>
    </row>
    <row r="54" customFormat="false" ht="15" hidden="false" customHeight="false" outlineLevel="0" collapsed="false">
      <c r="A54" s="14"/>
      <c r="B54" s="40"/>
      <c r="C54" s="14"/>
      <c r="D54" s="35" t="str">
        <f aca="false">IF(A54="","",COUNTIFS(Randevular!$C$5:$C$1004,A54,Randevular!$E$5:$E$1004,"&lt;&gt;İptal"))</f>
        <v/>
      </c>
      <c r="E54" s="35" t="str">
        <f aca="false">IF(A54="","",COUNTIFS(Randevular!$C$5:$C$1004,A54,Randevular!$E$5:$E$1004,"Gelmedi"))</f>
        <v/>
      </c>
      <c r="F54" s="17" t="str">
        <f aca="false">IF(A54="","",SUMIFS(Randevular!$G$5:$G$1004,Randevular!$C$5:$C$1004,A54))</f>
        <v/>
      </c>
      <c r="G54" s="41" t="str">
        <f aca="false">IF(A54="","",IF(SUMPRODUCT(MAX((Randevular!$C$5:$C$1004=A54)*(Randevular!$E$5:$E$1004="Geldi")*Randevular!$A$5:$A$1004))=0,"",SUMPRODUCT(MAX((Randevular!$C$5:$C$1004=A54)*(Randevular!$E$5:$E$1004="Geldi")*Randevular!$A$5:$A$1004))))</f>
        <v/>
      </c>
      <c r="H54" s="21" t="str">
        <f aca="false">IF(A54="","",F54+ROW()/1000000)</f>
        <v/>
      </c>
    </row>
    <row r="55" customFormat="false" ht="15" hidden="false" customHeight="false" outlineLevel="0" collapsed="false">
      <c r="A55" s="14"/>
      <c r="B55" s="40"/>
      <c r="C55" s="14"/>
      <c r="D55" s="35" t="str">
        <f aca="false">IF(A55="","",COUNTIFS(Randevular!$C$5:$C$1004,A55,Randevular!$E$5:$E$1004,"&lt;&gt;İptal"))</f>
        <v/>
      </c>
      <c r="E55" s="35" t="str">
        <f aca="false">IF(A55="","",COUNTIFS(Randevular!$C$5:$C$1004,A55,Randevular!$E$5:$E$1004,"Gelmedi"))</f>
        <v/>
      </c>
      <c r="F55" s="17" t="str">
        <f aca="false">IF(A55="","",SUMIFS(Randevular!$G$5:$G$1004,Randevular!$C$5:$C$1004,A55))</f>
        <v/>
      </c>
      <c r="G55" s="41" t="str">
        <f aca="false">IF(A55="","",IF(SUMPRODUCT(MAX((Randevular!$C$5:$C$1004=A55)*(Randevular!$E$5:$E$1004="Geldi")*Randevular!$A$5:$A$1004))=0,"",SUMPRODUCT(MAX((Randevular!$C$5:$C$1004=A55)*(Randevular!$E$5:$E$1004="Geldi")*Randevular!$A$5:$A$1004))))</f>
        <v/>
      </c>
      <c r="H55" s="21" t="str">
        <f aca="false">IF(A55="","",F55+ROW()/1000000)</f>
        <v/>
      </c>
    </row>
    <row r="56" customFormat="false" ht="15" hidden="false" customHeight="false" outlineLevel="0" collapsed="false">
      <c r="A56" s="14"/>
      <c r="B56" s="40"/>
      <c r="C56" s="14"/>
      <c r="D56" s="35" t="str">
        <f aca="false">IF(A56="","",COUNTIFS(Randevular!$C$5:$C$1004,A56,Randevular!$E$5:$E$1004,"&lt;&gt;İptal"))</f>
        <v/>
      </c>
      <c r="E56" s="35" t="str">
        <f aca="false">IF(A56="","",COUNTIFS(Randevular!$C$5:$C$1004,A56,Randevular!$E$5:$E$1004,"Gelmedi"))</f>
        <v/>
      </c>
      <c r="F56" s="17" t="str">
        <f aca="false">IF(A56="","",SUMIFS(Randevular!$G$5:$G$1004,Randevular!$C$5:$C$1004,A56))</f>
        <v/>
      </c>
      <c r="G56" s="41" t="str">
        <f aca="false">IF(A56="","",IF(SUMPRODUCT(MAX((Randevular!$C$5:$C$1004=A56)*(Randevular!$E$5:$E$1004="Geldi")*Randevular!$A$5:$A$1004))=0,"",SUMPRODUCT(MAX((Randevular!$C$5:$C$1004=A56)*(Randevular!$E$5:$E$1004="Geldi")*Randevular!$A$5:$A$1004))))</f>
        <v/>
      </c>
      <c r="H56" s="21" t="str">
        <f aca="false">IF(A56="","",F56+ROW()/1000000)</f>
        <v/>
      </c>
    </row>
    <row r="57" customFormat="false" ht="15" hidden="false" customHeight="false" outlineLevel="0" collapsed="false">
      <c r="A57" s="14"/>
      <c r="B57" s="40"/>
      <c r="C57" s="14"/>
      <c r="D57" s="35" t="str">
        <f aca="false">IF(A57="","",COUNTIFS(Randevular!$C$5:$C$1004,A57,Randevular!$E$5:$E$1004,"&lt;&gt;İptal"))</f>
        <v/>
      </c>
      <c r="E57" s="35" t="str">
        <f aca="false">IF(A57="","",COUNTIFS(Randevular!$C$5:$C$1004,A57,Randevular!$E$5:$E$1004,"Gelmedi"))</f>
        <v/>
      </c>
      <c r="F57" s="17" t="str">
        <f aca="false">IF(A57="","",SUMIFS(Randevular!$G$5:$G$1004,Randevular!$C$5:$C$1004,A57))</f>
        <v/>
      </c>
      <c r="G57" s="41" t="str">
        <f aca="false">IF(A57="","",IF(SUMPRODUCT(MAX((Randevular!$C$5:$C$1004=A57)*(Randevular!$E$5:$E$1004="Geldi")*Randevular!$A$5:$A$1004))=0,"",SUMPRODUCT(MAX((Randevular!$C$5:$C$1004=A57)*(Randevular!$E$5:$E$1004="Geldi")*Randevular!$A$5:$A$1004))))</f>
        <v/>
      </c>
      <c r="H57" s="21" t="str">
        <f aca="false">IF(A57="","",F57+ROW()/1000000)</f>
        <v/>
      </c>
    </row>
    <row r="58" customFormat="false" ht="15" hidden="false" customHeight="false" outlineLevel="0" collapsed="false">
      <c r="A58" s="14"/>
      <c r="B58" s="40"/>
      <c r="C58" s="14"/>
      <c r="D58" s="35" t="str">
        <f aca="false">IF(A58="","",COUNTIFS(Randevular!$C$5:$C$1004,A58,Randevular!$E$5:$E$1004,"&lt;&gt;İptal"))</f>
        <v/>
      </c>
      <c r="E58" s="35" t="str">
        <f aca="false">IF(A58="","",COUNTIFS(Randevular!$C$5:$C$1004,A58,Randevular!$E$5:$E$1004,"Gelmedi"))</f>
        <v/>
      </c>
      <c r="F58" s="17" t="str">
        <f aca="false">IF(A58="","",SUMIFS(Randevular!$G$5:$G$1004,Randevular!$C$5:$C$1004,A58))</f>
        <v/>
      </c>
      <c r="G58" s="41" t="str">
        <f aca="false">IF(A58="","",IF(SUMPRODUCT(MAX((Randevular!$C$5:$C$1004=A58)*(Randevular!$E$5:$E$1004="Geldi")*Randevular!$A$5:$A$1004))=0,"",SUMPRODUCT(MAX((Randevular!$C$5:$C$1004=A58)*(Randevular!$E$5:$E$1004="Geldi")*Randevular!$A$5:$A$1004))))</f>
        <v/>
      </c>
      <c r="H58" s="21" t="str">
        <f aca="false">IF(A58="","",F58+ROW()/1000000)</f>
        <v/>
      </c>
    </row>
    <row r="59" customFormat="false" ht="15" hidden="false" customHeight="false" outlineLevel="0" collapsed="false">
      <c r="A59" s="14"/>
      <c r="B59" s="40"/>
      <c r="C59" s="14"/>
      <c r="D59" s="35" t="str">
        <f aca="false">IF(A59="","",COUNTIFS(Randevular!$C$5:$C$1004,A59,Randevular!$E$5:$E$1004,"&lt;&gt;İptal"))</f>
        <v/>
      </c>
      <c r="E59" s="35" t="str">
        <f aca="false">IF(A59="","",COUNTIFS(Randevular!$C$5:$C$1004,A59,Randevular!$E$5:$E$1004,"Gelmedi"))</f>
        <v/>
      </c>
      <c r="F59" s="17" t="str">
        <f aca="false">IF(A59="","",SUMIFS(Randevular!$G$5:$G$1004,Randevular!$C$5:$C$1004,A59))</f>
        <v/>
      </c>
      <c r="G59" s="41" t="str">
        <f aca="false">IF(A59="","",IF(SUMPRODUCT(MAX((Randevular!$C$5:$C$1004=A59)*(Randevular!$E$5:$E$1004="Geldi")*Randevular!$A$5:$A$1004))=0,"",SUMPRODUCT(MAX((Randevular!$C$5:$C$1004=A59)*(Randevular!$E$5:$E$1004="Geldi")*Randevular!$A$5:$A$1004))))</f>
        <v/>
      </c>
      <c r="H59" s="21" t="str">
        <f aca="false">IF(A59="","",F59+ROW()/1000000)</f>
        <v/>
      </c>
    </row>
    <row r="60" customFormat="false" ht="15" hidden="false" customHeight="false" outlineLevel="0" collapsed="false">
      <c r="A60" s="14"/>
      <c r="B60" s="40"/>
      <c r="C60" s="14"/>
      <c r="D60" s="35" t="str">
        <f aca="false">IF(A60="","",COUNTIFS(Randevular!$C$5:$C$1004,A60,Randevular!$E$5:$E$1004,"&lt;&gt;İptal"))</f>
        <v/>
      </c>
      <c r="E60" s="35" t="str">
        <f aca="false">IF(A60="","",COUNTIFS(Randevular!$C$5:$C$1004,A60,Randevular!$E$5:$E$1004,"Gelmedi"))</f>
        <v/>
      </c>
      <c r="F60" s="17" t="str">
        <f aca="false">IF(A60="","",SUMIFS(Randevular!$G$5:$G$1004,Randevular!$C$5:$C$1004,A60))</f>
        <v/>
      </c>
      <c r="G60" s="41" t="str">
        <f aca="false">IF(A60="","",IF(SUMPRODUCT(MAX((Randevular!$C$5:$C$1004=A60)*(Randevular!$E$5:$E$1004="Geldi")*Randevular!$A$5:$A$1004))=0,"",SUMPRODUCT(MAX((Randevular!$C$5:$C$1004=A60)*(Randevular!$E$5:$E$1004="Geldi")*Randevular!$A$5:$A$1004))))</f>
        <v/>
      </c>
      <c r="H60" s="21" t="str">
        <f aca="false">IF(A60="","",F60+ROW()/1000000)</f>
        <v/>
      </c>
    </row>
    <row r="61" customFormat="false" ht="15" hidden="false" customHeight="false" outlineLevel="0" collapsed="false">
      <c r="A61" s="14"/>
      <c r="B61" s="40"/>
      <c r="C61" s="14"/>
      <c r="D61" s="35" t="str">
        <f aca="false">IF(A61="","",COUNTIFS(Randevular!$C$5:$C$1004,A61,Randevular!$E$5:$E$1004,"&lt;&gt;İptal"))</f>
        <v/>
      </c>
      <c r="E61" s="35" t="str">
        <f aca="false">IF(A61="","",COUNTIFS(Randevular!$C$5:$C$1004,A61,Randevular!$E$5:$E$1004,"Gelmedi"))</f>
        <v/>
      </c>
      <c r="F61" s="17" t="str">
        <f aca="false">IF(A61="","",SUMIFS(Randevular!$G$5:$G$1004,Randevular!$C$5:$C$1004,A61))</f>
        <v/>
      </c>
      <c r="G61" s="41" t="str">
        <f aca="false">IF(A61="","",IF(SUMPRODUCT(MAX((Randevular!$C$5:$C$1004=A61)*(Randevular!$E$5:$E$1004="Geldi")*Randevular!$A$5:$A$1004))=0,"",SUMPRODUCT(MAX((Randevular!$C$5:$C$1004=A61)*(Randevular!$E$5:$E$1004="Geldi")*Randevular!$A$5:$A$1004))))</f>
        <v/>
      </c>
      <c r="H61" s="21" t="str">
        <f aca="false">IF(A61="","",F61+ROW()/1000000)</f>
        <v/>
      </c>
    </row>
    <row r="62" customFormat="false" ht="15" hidden="false" customHeight="false" outlineLevel="0" collapsed="false">
      <c r="A62" s="14"/>
      <c r="B62" s="40"/>
      <c r="C62" s="14"/>
      <c r="D62" s="35" t="str">
        <f aca="false">IF(A62="","",COUNTIFS(Randevular!$C$5:$C$1004,A62,Randevular!$E$5:$E$1004,"&lt;&gt;İptal"))</f>
        <v/>
      </c>
      <c r="E62" s="35" t="str">
        <f aca="false">IF(A62="","",COUNTIFS(Randevular!$C$5:$C$1004,A62,Randevular!$E$5:$E$1004,"Gelmedi"))</f>
        <v/>
      </c>
      <c r="F62" s="17" t="str">
        <f aca="false">IF(A62="","",SUMIFS(Randevular!$G$5:$G$1004,Randevular!$C$5:$C$1004,A62))</f>
        <v/>
      </c>
      <c r="G62" s="41" t="str">
        <f aca="false">IF(A62="","",IF(SUMPRODUCT(MAX((Randevular!$C$5:$C$1004=A62)*(Randevular!$E$5:$E$1004="Geldi")*Randevular!$A$5:$A$1004))=0,"",SUMPRODUCT(MAX((Randevular!$C$5:$C$1004=A62)*(Randevular!$E$5:$E$1004="Geldi")*Randevular!$A$5:$A$1004))))</f>
        <v/>
      </c>
      <c r="H62" s="21" t="str">
        <f aca="false">IF(A62="","",F62+ROW()/1000000)</f>
        <v/>
      </c>
    </row>
    <row r="63" customFormat="false" ht="15" hidden="false" customHeight="false" outlineLevel="0" collapsed="false">
      <c r="A63" s="14"/>
      <c r="B63" s="40"/>
      <c r="C63" s="14"/>
      <c r="D63" s="35" t="str">
        <f aca="false">IF(A63="","",COUNTIFS(Randevular!$C$5:$C$1004,A63,Randevular!$E$5:$E$1004,"&lt;&gt;İptal"))</f>
        <v/>
      </c>
      <c r="E63" s="35" t="str">
        <f aca="false">IF(A63="","",COUNTIFS(Randevular!$C$5:$C$1004,A63,Randevular!$E$5:$E$1004,"Gelmedi"))</f>
        <v/>
      </c>
      <c r="F63" s="17" t="str">
        <f aca="false">IF(A63="","",SUMIFS(Randevular!$G$5:$G$1004,Randevular!$C$5:$C$1004,A63))</f>
        <v/>
      </c>
      <c r="G63" s="41" t="str">
        <f aca="false">IF(A63="","",IF(SUMPRODUCT(MAX((Randevular!$C$5:$C$1004=A63)*(Randevular!$E$5:$E$1004="Geldi")*Randevular!$A$5:$A$1004))=0,"",SUMPRODUCT(MAX((Randevular!$C$5:$C$1004=A63)*(Randevular!$E$5:$E$1004="Geldi")*Randevular!$A$5:$A$1004))))</f>
        <v/>
      </c>
      <c r="H63" s="21" t="str">
        <f aca="false">IF(A63="","",F63+ROW()/1000000)</f>
        <v/>
      </c>
    </row>
    <row r="64" customFormat="false" ht="15" hidden="false" customHeight="false" outlineLevel="0" collapsed="false">
      <c r="A64" s="14"/>
      <c r="B64" s="40"/>
      <c r="C64" s="14"/>
      <c r="D64" s="35" t="str">
        <f aca="false">IF(A64="","",COUNTIFS(Randevular!$C$5:$C$1004,A64,Randevular!$E$5:$E$1004,"&lt;&gt;İptal"))</f>
        <v/>
      </c>
      <c r="E64" s="35" t="str">
        <f aca="false">IF(A64="","",COUNTIFS(Randevular!$C$5:$C$1004,A64,Randevular!$E$5:$E$1004,"Gelmedi"))</f>
        <v/>
      </c>
      <c r="F64" s="17" t="str">
        <f aca="false">IF(A64="","",SUMIFS(Randevular!$G$5:$G$1004,Randevular!$C$5:$C$1004,A64))</f>
        <v/>
      </c>
      <c r="G64" s="41" t="str">
        <f aca="false">IF(A64="","",IF(SUMPRODUCT(MAX((Randevular!$C$5:$C$1004=A64)*(Randevular!$E$5:$E$1004="Geldi")*Randevular!$A$5:$A$1004))=0,"",SUMPRODUCT(MAX((Randevular!$C$5:$C$1004=A64)*(Randevular!$E$5:$E$1004="Geldi")*Randevular!$A$5:$A$1004))))</f>
        <v/>
      </c>
      <c r="H64" s="21" t="str">
        <f aca="false">IF(A64="","",F64+ROW()/1000000)</f>
        <v/>
      </c>
    </row>
    <row r="65" customFormat="false" ht="15" hidden="false" customHeight="false" outlineLevel="0" collapsed="false">
      <c r="A65" s="14"/>
      <c r="B65" s="40"/>
      <c r="C65" s="14"/>
      <c r="D65" s="35" t="str">
        <f aca="false">IF(A65="","",COUNTIFS(Randevular!$C$5:$C$1004,A65,Randevular!$E$5:$E$1004,"&lt;&gt;İptal"))</f>
        <v/>
      </c>
      <c r="E65" s="35" t="str">
        <f aca="false">IF(A65="","",COUNTIFS(Randevular!$C$5:$C$1004,A65,Randevular!$E$5:$E$1004,"Gelmedi"))</f>
        <v/>
      </c>
      <c r="F65" s="17" t="str">
        <f aca="false">IF(A65="","",SUMIFS(Randevular!$G$5:$G$1004,Randevular!$C$5:$C$1004,A65))</f>
        <v/>
      </c>
      <c r="G65" s="41" t="str">
        <f aca="false">IF(A65="","",IF(SUMPRODUCT(MAX((Randevular!$C$5:$C$1004=A65)*(Randevular!$E$5:$E$1004="Geldi")*Randevular!$A$5:$A$1004))=0,"",SUMPRODUCT(MAX((Randevular!$C$5:$C$1004=A65)*(Randevular!$E$5:$E$1004="Geldi")*Randevular!$A$5:$A$1004))))</f>
        <v/>
      </c>
      <c r="H65" s="21" t="str">
        <f aca="false">IF(A65="","",F65+ROW()/1000000)</f>
        <v/>
      </c>
    </row>
    <row r="66" customFormat="false" ht="15" hidden="false" customHeight="false" outlineLevel="0" collapsed="false">
      <c r="A66" s="14"/>
      <c r="B66" s="40"/>
      <c r="C66" s="14"/>
      <c r="D66" s="35" t="str">
        <f aca="false">IF(A66="","",COUNTIFS(Randevular!$C$5:$C$1004,A66,Randevular!$E$5:$E$1004,"&lt;&gt;İptal"))</f>
        <v/>
      </c>
      <c r="E66" s="35" t="str">
        <f aca="false">IF(A66="","",COUNTIFS(Randevular!$C$5:$C$1004,A66,Randevular!$E$5:$E$1004,"Gelmedi"))</f>
        <v/>
      </c>
      <c r="F66" s="17" t="str">
        <f aca="false">IF(A66="","",SUMIFS(Randevular!$G$5:$G$1004,Randevular!$C$5:$C$1004,A66))</f>
        <v/>
      </c>
      <c r="G66" s="41" t="str">
        <f aca="false">IF(A66="","",IF(SUMPRODUCT(MAX((Randevular!$C$5:$C$1004=A66)*(Randevular!$E$5:$E$1004="Geldi")*Randevular!$A$5:$A$1004))=0,"",SUMPRODUCT(MAX((Randevular!$C$5:$C$1004=A66)*(Randevular!$E$5:$E$1004="Geldi")*Randevular!$A$5:$A$1004))))</f>
        <v/>
      </c>
      <c r="H66" s="21" t="str">
        <f aca="false">IF(A66="","",F66+ROW()/1000000)</f>
        <v/>
      </c>
    </row>
    <row r="67" customFormat="false" ht="15" hidden="false" customHeight="false" outlineLevel="0" collapsed="false">
      <c r="A67" s="14"/>
      <c r="B67" s="40"/>
      <c r="C67" s="14"/>
      <c r="D67" s="35" t="str">
        <f aca="false">IF(A67="","",COUNTIFS(Randevular!$C$5:$C$1004,A67,Randevular!$E$5:$E$1004,"&lt;&gt;İptal"))</f>
        <v/>
      </c>
      <c r="E67" s="35" t="str">
        <f aca="false">IF(A67="","",COUNTIFS(Randevular!$C$5:$C$1004,A67,Randevular!$E$5:$E$1004,"Gelmedi"))</f>
        <v/>
      </c>
      <c r="F67" s="17" t="str">
        <f aca="false">IF(A67="","",SUMIFS(Randevular!$G$5:$G$1004,Randevular!$C$5:$C$1004,A67))</f>
        <v/>
      </c>
      <c r="G67" s="41" t="str">
        <f aca="false">IF(A67="","",IF(SUMPRODUCT(MAX((Randevular!$C$5:$C$1004=A67)*(Randevular!$E$5:$E$1004="Geldi")*Randevular!$A$5:$A$1004))=0,"",SUMPRODUCT(MAX((Randevular!$C$5:$C$1004=A67)*(Randevular!$E$5:$E$1004="Geldi")*Randevular!$A$5:$A$1004))))</f>
        <v/>
      </c>
      <c r="H67" s="21" t="str">
        <f aca="false">IF(A67="","",F67+ROW()/1000000)</f>
        <v/>
      </c>
    </row>
    <row r="68" customFormat="false" ht="15" hidden="false" customHeight="false" outlineLevel="0" collapsed="false">
      <c r="A68" s="14"/>
      <c r="B68" s="40"/>
      <c r="C68" s="14"/>
      <c r="D68" s="35" t="str">
        <f aca="false">IF(A68="","",COUNTIFS(Randevular!$C$5:$C$1004,A68,Randevular!$E$5:$E$1004,"&lt;&gt;İptal"))</f>
        <v/>
      </c>
      <c r="E68" s="35" t="str">
        <f aca="false">IF(A68="","",COUNTIFS(Randevular!$C$5:$C$1004,A68,Randevular!$E$5:$E$1004,"Gelmedi"))</f>
        <v/>
      </c>
      <c r="F68" s="17" t="str">
        <f aca="false">IF(A68="","",SUMIFS(Randevular!$G$5:$G$1004,Randevular!$C$5:$C$1004,A68))</f>
        <v/>
      </c>
      <c r="G68" s="41" t="str">
        <f aca="false">IF(A68="","",IF(SUMPRODUCT(MAX((Randevular!$C$5:$C$1004=A68)*(Randevular!$E$5:$E$1004="Geldi")*Randevular!$A$5:$A$1004))=0,"",SUMPRODUCT(MAX((Randevular!$C$5:$C$1004=A68)*(Randevular!$E$5:$E$1004="Geldi")*Randevular!$A$5:$A$1004))))</f>
        <v/>
      </c>
      <c r="H68" s="21" t="str">
        <f aca="false">IF(A68="","",F68+ROW()/1000000)</f>
        <v/>
      </c>
    </row>
    <row r="69" customFormat="false" ht="15" hidden="false" customHeight="false" outlineLevel="0" collapsed="false">
      <c r="A69" s="14"/>
      <c r="B69" s="40"/>
      <c r="C69" s="14"/>
      <c r="D69" s="35" t="str">
        <f aca="false">IF(A69="","",COUNTIFS(Randevular!$C$5:$C$1004,A69,Randevular!$E$5:$E$1004,"&lt;&gt;İptal"))</f>
        <v/>
      </c>
      <c r="E69" s="35" t="str">
        <f aca="false">IF(A69="","",COUNTIFS(Randevular!$C$5:$C$1004,A69,Randevular!$E$5:$E$1004,"Gelmedi"))</f>
        <v/>
      </c>
      <c r="F69" s="17" t="str">
        <f aca="false">IF(A69="","",SUMIFS(Randevular!$G$5:$G$1004,Randevular!$C$5:$C$1004,A69))</f>
        <v/>
      </c>
      <c r="G69" s="41" t="str">
        <f aca="false">IF(A69="","",IF(SUMPRODUCT(MAX((Randevular!$C$5:$C$1004=A69)*(Randevular!$E$5:$E$1004="Geldi")*Randevular!$A$5:$A$1004))=0,"",SUMPRODUCT(MAX((Randevular!$C$5:$C$1004=A69)*(Randevular!$E$5:$E$1004="Geldi")*Randevular!$A$5:$A$1004))))</f>
        <v/>
      </c>
      <c r="H69" s="21" t="str">
        <f aca="false">IF(A69="","",F69+ROW()/1000000)</f>
        <v/>
      </c>
    </row>
    <row r="70" customFormat="false" ht="15" hidden="false" customHeight="false" outlineLevel="0" collapsed="false">
      <c r="A70" s="14"/>
      <c r="B70" s="40"/>
      <c r="C70" s="14"/>
      <c r="D70" s="35" t="str">
        <f aca="false">IF(A70="","",COUNTIFS(Randevular!$C$5:$C$1004,A70,Randevular!$E$5:$E$1004,"&lt;&gt;İptal"))</f>
        <v/>
      </c>
      <c r="E70" s="35" t="str">
        <f aca="false">IF(A70="","",COUNTIFS(Randevular!$C$5:$C$1004,A70,Randevular!$E$5:$E$1004,"Gelmedi"))</f>
        <v/>
      </c>
      <c r="F70" s="17" t="str">
        <f aca="false">IF(A70="","",SUMIFS(Randevular!$G$5:$G$1004,Randevular!$C$5:$C$1004,A70))</f>
        <v/>
      </c>
      <c r="G70" s="41" t="str">
        <f aca="false">IF(A70="","",IF(SUMPRODUCT(MAX((Randevular!$C$5:$C$1004=A70)*(Randevular!$E$5:$E$1004="Geldi")*Randevular!$A$5:$A$1004))=0,"",SUMPRODUCT(MAX((Randevular!$C$5:$C$1004=A70)*(Randevular!$E$5:$E$1004="Geldi")*Randevular!$A$5:$A$1004))))</f>
        <v/>
      </c>
      <c r="H70" s="21" t="str">
        <f aca="false">IF(A70="","",F70+ROW()/1000000)</f>
        <v/>
      </c>
    </row>
    <row r="71" customFormat="false" ht="15" hidden="false" customHeight="false" outlineLevel="0" collapsed="false">
      <c r="A71" s="14"/>
      <c r="B71" s="40"/>
      <c r="C71" s="14"/>
      <c r="D71" s="35" t="str">
        <f aca="false">IF(A71="","",COUNTIFS(Randevular!$C$5:$C$1004,A71,Randevular!$E$5:$E$1004,"&lt;&gt;İptal"))</f>
        <v/>
      </c>
      <c r="E71" s="35" t="str">
        <f aca="false">IF(A71="","",COUNTIFS(Randevular!$C$5:$C$1004,A71,Randevular!$E$5:$E$1004,"Gelmedi"))</f>
        <v/>
      </c>
      <c r="F71" s="17" t="str">
        <f aca="false">IF(A71="","",SUMIFS(Randevular!$G$5:$G$1004,Randevular!$C$5:$C$1004,A71))</f>
        <v/>
      </c>
      <c r="G71" s="41" t="str">
        <f aca="false">IF(A71="","",IF(SUMPRODUCT(MAX((Randevular!$C$5:$C$1004=A71)*(Randevular!$E$5:$E$1004="Geldi")*Randevular!$A$5:$A$1004))=0,"",SUMPRODUCT(MAX((Randevular!$C$5:$C$1004=A71)*(Randevular!$E$5:$E$1004="Geldi")*Randevular!$A$5:$A$1004))))</f>
        <v/>
      </c>
      <c r="H71" s="21" t="str">
        <f aca="false">IF(A71="","",F71+ROW()/1000000)</f>
        <v/>
      </c>
    </row>
    <row r="72" customFormat="false" ht="15" hidden="false" customHeight="false" outlineLevel="0" collapsed="false">
      <c r="A72" s="14"/>
      <c r="B72" s="40"/>
      <c r="C72" s="14"/>
      <c r="D72" s="35" t="str">
        <f aca="false">IF(A72="","",COUNTIFS(Randevular!$C$5:$C$1004,A72,Randevular!$E$5:$E$1004,"&lt;&gt;İptal"))</f>
        <v/>
      </c>
      <c r="E72" s="35" t="str">
        <f aca="false">IF(A72="","",COUNTIFS(Randevular!$C$5:$C$1004,A72,Randevular!$E$5:$E$1004,"Gelmedi"))</f>
        <v/>
      </c>
      <c r="F72" s="17" t="str">
        <f aca="false">IF(A72="","",SUMIFS(Randevular!$G$5:$G$1004,Randevular!$C$5:$C$1004,A72))</f>
        <v/>
      </c>
      <c r="G72" s="41" t="str">
        <f aca="false">IF(A72="","",IF(SUMPRODUCT(MAX((Randevular!$C$5:$C$1004=A72)*(Randevular!$E$5:$E$1004="Geldi")*Randevular!$A$5:$A$1004))=0,"",SUMPRODUCT(MAX((Randevular!$C$5:$C$1004=A72)*(Randevular!$E$5:$E$1004="Geldi")*Randevular!$A$5:$A$1004))))</f>
        <v/>
      </c>
      <c r="H72" s="21" t="str">
        <f aca="false">IF(A72="","",F72+ROW()/1000000)</f>
        <v/>
      </c>
    </row>
    <row r="73" customFormat="false" ht="15" hidden="false" customHeight="false" outlineLevel="0" collapsed="false">
      <c r="A73" s="14"/>
      <c r="B73" s="40"/>
      <c r="C73" s="14"/>
      <c r="D73" s="35" t="str">
        <f aca="false">IF(A73="","",COUNTIFS(Randevular!$C$5:$C$1004,A73,Randevular!$E$5:$E$1004,"&lt;&gt;İptal"))</f>
        <v/>
      </c>
      <c r="E73" s="35" t="str">
        <f aca="false">IF(A73="","",COUNTIFS(Randevular!$C$5:$C$1004,A73,Randevular!$E$5:$E$1004,"Gelmedi"))</f>
        <v/>
      </c>
      <c r="F73" s="17" t="str">
        <f aca="false">IF(A73="","",SUMIFS(Randevular!$G$5:$G$1004,Randevular!$C$5:$C$1004,A73))</f>
        <v/>
      </c>
      <c r="G73" s="41" t="str">
        <f aca="false">IF(A73="","",IF(SUMPRODUCT(MAX((Randevular!$C$5:$C$1004=A73)*(Randevular!$E$5:$E$1004="Geldi")*Randevular!$A$5:$A$1004))=0,"",SUMPRODUCT(MAX((Randevular!$C$5:$C$1004=A73)*(Randevular!$E$5:$E$1004="Geldi")*Randevular!$A$5:$A$1004))))</f>
        <v/>
      </c>
      <c r="H73" s="21" t="str">
        <f aca="false">IF(A73="","",F73+ROW()/1000000)</f>
        <v/>
      </c>
    </row>
    <row r="74" customFormat="false" ht="15" hidden="false" customHeight="false" outlineLevel="0" collapsed="false">
      <c r="A74" s="14"/>
      <c r="B74" s="40"/>
      <c r="C74" s="14"/>
      <c r="D74" s="35" t="str">
        <f aca="false">IF(A74="","",COUNTIFS(Randevular!$C$5:$C$1004,A74,Randevular!$E$5:$E$1004,"&lt;&gt;İptal"))</f>
        <v/>
      </c>
      <c r="E74" s="35" t="str">
        <f aca="false">IF(A74="","",COUNTIFS(Randevular!$C$5:$C$1004,A74,Randevular!$E$5:$E$1004,"Gelmedi"))</f>
        <v/>
      </c>
      <c r="F74" s="17" t="str">
        <f aca="false">IF(A74="","",SUMIFS(Randevular!$G$5:$G$1004,Randevular!$C$5:$C$1004,A74))</f>
        <v/>
      </c>
      <c r="G74" s="41" t="str">
        <f aca="false">IF(A74="","",IF(SUMPRODUCT(MAX((Randevular!$C$5:$C$1004=A74)*(Randevular!$E$5:$E$1004="Geldi")*Randevular!$A$5:$A$1004))=0,"",SUMPRODUCT(MAX((Randevular!$C$5:$C$1004=A74)*(Randevular!$E$5:$E$1004="Geldi")*Randevular!$A$5:$A$1004))))</f>
        <v/>
      </c>
      <c r="H74" s="21" t="str">
        <f aca="false">IF(A74="","",F74+ROW()/1000000)</f>
        <v/>
      </c>
    </row>
    <row r="75" customFormat="false" ht="15" hidden="false" customHeight="false" outlineLevel="0" collapsed="false">
      <c r="A75" s="14"/>
      <c r="B75" s="40"/>
      <c r="C75" s="14"/>
      <c r="D75" s="35" t="str">
        <f aca="false">IF(A75="","",COUNTIFS(Randevular!$C$5:$C$1004,A75,Randevular!$E$5:$E$1004,"&lt;&gt;İptal"))</f>
        <v/>
      </c>
      <c r="E75" s="35" t="str">
        <f aca="false">IF(A75="","",COUNTIFS(Randevular!$C$5:$C$1004,A75,Randevular!$E$5:$E$1004,"Gelmedi"))</f>
        <v/>
      </c>
      <c r="F75" s="17" t="str">
        <f aca="false">IF(A75="","",SUMIFS(Randevular!$G$5:$G$1004,Randevular!$C$5:$C$1004,A75))</f>
        <v/>
      </c>
      <c r="G75" s="41" t="str">
        <f aca="false">IF(A75="","",IF(SUMPRODUCT(MAX((Randevular!$C$5:$C$1004=A75)*(Randevular!$E$5:$E$1004="Geldi")*Randevular!$A$5:$A$1004))=0,"",SUMPRODUCT(MAX((Randevular!$C$5:$C$1004=A75)*(Randevular!$E$5:$E$1004="Geldi")*Randevular!$A$5:$A$1004))))</f>
        <v/>
      </c>
      <c r="H75" s="21" t="str">
        <f aca="false">IF(A75="","",F75+ROW()/1000000)</f>
        <v/>
      </c>
    </row>
    <row r="76" customFormat="false" ht="15" hidden="false" customHeight="false" outlineLevel="0" collapsed="false">
      <c r="A76" s="14"/>
      <c r="B76" s="40"/>
      <c r="C76" s="14"/>
      <c r="D76" s="35" t="str">
        <f aca="false">IF(A76="","",COUNTIFS(Randevular!$C$5:$C$1004,A76,Randevular!$E$5:$E$1004,"&lt;&gt;İptal"))</f>
        <v/>
      </c>
      <c r="E76" s="35" t="str">
        <f aca="false">IF(A76="","",COUNTIFS(Randevular!$C$5:$C$1004,A76,Randevular!$E$5:$E$1004,"Gelmedi"))</f>
        <v/>
      </c>
      <c r="F76" s="17" t="str">
        <f aca="false">IF(A76="","",SUMIFS(Randevular!$G$5:$G$1004,Randevular!$C$5:$C$1004,A76))</f>
        <v/>
      </c>
      <c r="G76" s="41" t="str">
        <f aca="false">IF(A76="","",IF(SUMPRODUCT(MAX((Randevular!$C$5:$C$1004=A76)*(Randevular!$E$5:$E$1004="Geldi")*Randevular!$A$5:$A$1004))=0,"",SUMPRODUCT(MAX((Randevular!$C$5:$C$1004=A76)*(Randevular!$E$5:$E$1004="Geldi")*Randevular!$A$5:$A$1004))))</f>
        <v/>
      </c>
      <c r="H76" s="21" t="str">
        <f aca="false">IF(A76="","",F76+ROW()/1000000)</f>
        <v/>
      </c>
    </row>
    <row r="77" customFormat="false" ht="15" hidden="false" customHeight="false" outlineLevel="0" collapsed="false">
      <c r="A77" s="14"/>
      <c r="B77" s="40"/>
      <c r="C77" s="14"/>
      <c r="D77" s="35" t="str">
        <f aca="false">IF(A77="","",COUNTIFS(Randevular!$C$5:$C$1004,A77,Randevular!$E$5:$E$1004,"&lt;&gt;İptal"))</f>
        <v/>
      </c>
      <c r="E77" s="35" t="str">
        <f aca="false">IF(A77="","",COUNTIFS(Randevular!$C$5:$C$1004,A77,Randevular!$E$5:$E$1004,"Gelmedi"))</f>
        <v/>
      </c>
      <c r="F77" s="17" t="str">
        <f aca="false">IF(A77="","",SUMIFS(Randevular!$G$5:$G$1004,Randevular!$C$5:$C$1004,A77))</f>
        <v/>
      </c>
      <c r="G77" s="41" t="str">
        <f aca="false">IF(A77="","",IF(SUMPRODUCT(MAX((Randevular!$C$5:$C$1004=A77)*(Randevular!$E$5:$E$1004="Geldi")*Randevular!$A$5:$A$1004))=0,"",SUMPRODUCT(MAX((Randevular!$C$5:$C$1004=A77)*(Randevular!$E$5:$E$1004="Geldi")*Randevular!$A$5:$A$1004))))</f>
        <v/>
      </c>
      <c r="H77" s="21" t="str">
        <f aca="false">IF(A77="","",F77+ROW()/1000000)</f>
        <v/>
      </c>
    </row>
    <row r="78" customFormat="false" ht="15" hidden="false" customHeight="false" outlineLevel="0" collapsed="false">
      <c r="A78" s="14"/>
      <c r="B78" s="40"/>
      <c r="C78" s="14"/>
      <c r="D78" s="35" t="str">
        <f aca="false">IF(A78="","",COUNTIFS(Randevular!$C$5:$C$1004,A78,Randevular!$E$5:$E$1004,"&lt;&gt;İptal"))</f>
        <v/>
      </c>
      <c r="E78" s="35" t="str">
        <f aca="false">IF(A78="","",COUNTIFS(Randevular!$C$5:$C$1004,A78,Randevular!$E$5:$E$1004,"Gelmedi"))</f>
        <v/>
      </c>
      <c r="F78" s="17" t="str">
        <f aca="false">IF(A78="","",SUMIFS(Randevular!$G$5:$G$1004,Randevular!$C$5:$C$1004,A78))</f>
        <v/>
      </c>
      <c r="G78" s="41" t="str">
        <f aca="false">IF(A78="","",IF(SUMPRODUCT(MAX((Randevular!$C$5:$C$1004=A78)*(Randevular!$E$5:$E$1004="Geldi")*Randevular!$A$5:$A$1004))=0,"",SUMPRODUCT(MAX((Randevular!$C$5:$C$1004=A78)*(Randevular!$E$5:$E$1004="Geldi")*Randevular!$A$5:$A$1004))))</f>
        <v/>
      </c>
      <c r="H78" s="21" t="str">
        <f aca="false">IF(A78="","",F78+ROW()/1000000)</f>
        <v/>
      </c>
    </row>
    <row r="79" customFormat="false" ht="15" hidden="false" customHeight="false" outlineLevel="0" collapsed="false">
      <c r="A79" s="14"/>
      <c r="B79" s="40"/>
      <c r="C79" s="14"/>
      <c r="D79" s="35" t="str">
        <f aca="false">IF(A79="","",COUNTIFS(Randevular!$C$5:$C$1004,A79,Randevular!$E$5:$E$1004,"&lt;&gt;İptal"))</f>
        <v/>
      </c>
      <c r="E79" s="35" t="str">
        <f aca="false">IF(A79="","",COUNTIFS(Randevular!$C$5:$C$1004,A79,Randevular!$E$5:$E$1004,"Gelmedi"))</f>
        <v/>
      </c>
      <c r="F79" s="17" t="str">
        <f aca="false">IF(A79="","",SUMIFS(Randevular!$G$5:$G$1004,Randevular!$C$5:$C$1004,A79))</f>
        <v/>
      </c>
      <c r="G79" s="41" t="str">
        <f aca="false">IF(A79="","",IF(SUMPRODUCT(MAX((Randevular!$C$5:$C$1004=A79)*(Randevular!$E$5:$E$1004="Geldi")*Randevular!$A$5:$A$1004))=0,"",SUMPRODUCT(MAX((Randevular!$C$5:$C$1004=A79)*(Randevular!$E$5:$E$1004="Geldi")*Randevular!$A$5:$A$1004))))</f>
        <v/>
      </c>
      <c r="H79" s="21" t="str">
        <f aca="false">IF(A79="","",F79+ROW()/1000000)</f>
        <v/>
      </c>
    </row>
    <row r="80" customFormat="false" ht="15" hidden="false" customHeight="false" outlineLevel="0" collapsed="false">
      <c r="A80" s="14"/>
      <c r="B80" s="40"/>
      <c r="C80" s="14"/>
      <c r="D80" s="35" t="str">
        <f aca="false">IF(A80="","",COUNTIFS(Randevular!$C$5:$C$1004,A80,Randevular!$E$5:$E$1004,"&lt;&gt;İptal"))</f>
        <v/>
      </c>
      <c r="E80" s="35" t="str">
        <f aca="false">IF(A80="","",COUNTIFS(Randevular!$C$5:$C$1004,A80,Randevular!$E$5:$E$1004,"Gelmedi"))</f>
        <v/>
      </c>
      <c r="F80" s="17" t="str">
        <f aca="false">IF(A80="","",SUMIFS(Randevular!$G$5:$G$1004,Randevular!$C$5:$C$1004,A80))</f>
        <v/>
      </c>
      <c r="G80" s="41" t="str">
        <f aca="false">IF(A80="","",IF(SUMPRODUCT(MAX((Randevular!$C$5:$C$1004=A80)*(Randevular!$E$5:$E$1004="Geldi")*Randevular!$A$5:$A$1004))=0,"",SUMPRODUCT(MAX((Randevular!$C$5:$C$1004=A80)*(Randevular!$E$5:$E$1004="Geldi")*Randevular!$A$5:$A$1004))))</f>
        <v/>
      </c>
      <c r="H80" s="21" t="str">
        <f aca="false">IF(A80="","",F80+ROW()/1000000)</f>
        <v/>
      </c>
    </row>
    <row r="81" customFormat="false" ht="15" hidden="false" customHeight="false" outlineLevel="0" collapsed="false">
      <c r="A81" s="14"/>
      <c r="B81" s="40"/>
      <c r="C81" s="14"/>
      <c r="D81" s="35" t="str">
        <f aca="false">IF(A81="","",COUNTIFS(Randevular!$C$5:$C$1004,A81,Randevular!$E$5:$E$1004,"&lt;&gt;İptal"))</f>
        <v/>
      </c>
      <c r="E81" s="35" t="str">
        <f aca="false">IF(A81="","",COUNTIFS(Randevular!$C$5:$C$1004,A81,Randevular!$E$5:$E$1004,"Gelmedi"))</f>
        <v/>
      </c>
      <c r="F81" s="17" t="str">
        <f aca="false">IF(A81="","",SUMIFS(Randevular!$G$5:$G$1004,Randevular!$C$5:$C$1004,A81))</f>
        <v/>
      </c>
      <c r="G81" s="41" t="str">
        <f aca="false">IF(A81="","",IF(SUMPRODUCT(MAX((Randevular!$C$5:$C$1004=A81)*(Randevular!$E$5:$E$1004="Geldi")*Randevular!$A$5:$A$1004))=0,"",SUMPRODUCT(MAX((Randevular!$C$5:$C$1004=A81)*(Randevular!$E$5:$E$1004="Geldi")*Randevular!$A$5:$A$1004))))</f>
        <v/>
      </c>
      <c r="H81" s="21" t="str">
        <f aca="false">IF(A81="","",F81+ROW()/1000000)</f>
        <v/>
      </c>
    </row>
    <row r="82" customFormat="false" ht="15" hidden="false" customHeight="false" outlineLevel="0" collapsed="false">
      <c r="A82" s="14"/>
      <c r="B82" s="40"/>
      <c r="C82" s="14"/>
      <c r="D82" s="35" t="str">
        <f aca="false">IF(A82="","",COUNTIFS(Randevular!$C$5:$C$1004,A82,Randevular!$E$5:$E$1004,"&lt;&gt;İptal"))</f>
        <v/>
      </c>
      <c r="E82" s="35" t="str">
        <f aca="false">IF(A82="","",COUNTIFS(Randevular!$C$5:$C$1004,A82,Randevular!$E$5:$E$1004,"Gelmedi"))</f>
        <v/>
      </c>
      <c r="F82" s="17" t="str">
        <f aca="false">IF(A82="","",SUMIFS(Randevular!$G$5:$G$1004,Randevular!$C$5:$C$1004,A82))</f>
        <v/>
      </c>
      <c r="G82" s="41" t="str">
        <f aca="false">IF(A82="","",IF(SUMPRODUCT(MAX((Randevular!$C$5:$C$1004=A82)*(Randevular!$E$5:$E$1004="Geldi")*Randevular!$A$5:$A$1004))=0,"",SUMPRODUCT(MAX((Randevular!$C$5:$C$1004=A82)*(Randevular!$E$5:$E$1004="Geldi")*Randevular!$A$5:$A$1004))))</f>
        <v/>
      </c>
      <c r="H82" s="21" t="str">
        <f aca="false">IF(A82="","",F82+ROW()/1000000)</f>
        <v/>
      </c>
    </row>
    <row r="83" customFormat="false" ht="15" hidden="false" customHeight="false" outlineLevel="0" collapsed="false">
      <c r="A83" s="14"/>
      <c r="B83" s="40"/>
      <c r="C83" s="14"/>
      <c r="D83" s="35" t="str">
        <f aca="false">IF(A83="","",COUNTIFS(Randevular!$C$5:$C$1004,A83,Randevular!$E$5:$E$1004,"&lt;&gt;İptal"))</f>
        <v/>
      </c>
      <c r="E83" s="35" t="str">
        <f aca="false">IF(A83="","",COUNTIFS(Randevular!$C$5:$C$1004,A83,Randevular!$E$5:$E$1004,"Gelmedi"))</f>
        <v/>
      </c>
      <c r="F83" s="17" t="str">
        <f aca="false">IF(A83="","",SUMIFS(Randevular!$G$5:$G$1004,Randevular!$C$5:$C$1004,A83))</f>
        <v/>
      </c>
      <c r="G83" s="41" t="str">
        <f aca="false">IF(A83="","",IF(SUMPRODUCT(MAX((Randevular!$C$5:$C$1004=A83)*(Randevular!$E$5:$E$1004="Geldi")*Randevular!$A$5:$A$1004))=0,"",SUMPRODUCT(MAX((Randevular!$C$5:$C$1004=A83)*(Randevular!$E$5:$E$1004="Geldi")*Randevular!$A$5:$A$1004))))</f>
        <v/>
      </c>
      <c r="H83" s="21" t="str">
        <f aca="false">IF(A83="","",F83+ROW()/1000000)</f>
        <v/>
      </c>
    </row>
    <row r="84" customFormat="false" ht="15" hidden="false" customHeight="false" outlineLevel="0" collapsed="false">
      <c r="A84" s="14"/>
      <c r="B84" s="40"/>
      <c r="C84" s="14"/>
      <c r="D84" s="35" t="str">
        <f aca="false">IF(A84="","",COUNTIFS(Randevular!$C$5:$C$1004,A84,Randevular!$E$5:$E$1004,"&lt;&gt;İptal"))</f>
        <v/>
      </c>
      <c r="E84" s="35" t="str">
        <f aca="false">IF(A84="","",COUNTIFS(Randevular!$C$5:$C$1004,A84,Randevular!$E$5:$E$1004,"Gelmedi"))</f>
        <v/>
      </c>
      <c r="F84" s="17" t="str">
        <f aca="false">IF(A84="","",SUMIFS(Randevular!$G$5:$G$1004,Randevular!$C$5:$C$1004,A84))</f>
        <v/>
      </c>
      <c r="G84" s="41" t="str">
        <f aca="false">IF(A84="","",IF(SUMPRODUCT(MAX((Randevular!$C$5:$C$1004=A84)*(Randevular!$E$5:$E$1004="Geldi")*Randevular!$A$5:$A$1004))=0,"",SUMPRODUCT(MAX((Randevular!$C$5:$C$1004=A84)*(Randevular!$E$5:$E$1004="Geldi")*Randevular!$A$5:$A$1004))))</f>
        <v/>
      </c>
      <c r="H84" s="21" t="str">
        <f aca="false">IF(A84="","",F84+ROW()/1000000)</f>
        <v/>
      </c>
    </row>
    <row r="85" customFormat="false" ht="15" hidden="false" customHeight="false" outlineLevel="0" collapsed="false">
      <c r="A85" s="14"/>
      <c r="B85" s="40"/>
      <c r="C85" s="14"/>
      <c r="D85" s="35" t="str">
        <f aca="false">IF(A85="","",COUNTIFS(Randevular!$C$5:$C$1004,A85,Randevular!$E$5:$E$1004,"&lt;&gt;İptal"))</f>
        <v/>
      </c>
      <c r="E85" s="35" t="str">
        <f aca="false">IF(A85="","",COUNTIFS(Randevular!$C$5:$C$1004,A85,Randevular!$E$5:$E$1004,"Gelmedi"))</f>
        <v/>
      </c>
      <c r="F85" s="17" t="str">
        <f aca="false">IF(A85="","",SUMIFS(Randevular!$G$5:$G$1004,Randevular!$C$5:$C$1004,A85))</f>
        <v/>
      </c>
      <c r="G85" s="41" t="str">
        <f aca="false">IF(A85="","",IF(SUMPRODUCT(MAX((Randevular!$C$5:$C$1004=A85)*(Randevular!$E$5:$E$1004="Geldi")*Randevular!$A$5:$A$1004))=0,"",SUMPRODUCT(MAX((Randevular!$C$5:$C$1004=A85)*(Randevular!$E$5:$E$1004="Geldi")*Randevular!$A$5:$A$1004))))</f>
        <v/>
      </c>
      <c r="H85" s="21" t="str">
        <f aca="false">IF(A85="","",F85+ROW()/1000000)</f>
        <v/>
      </c>
    </row>
    <row r="86" customFormat="false" ht="15" hidden="false" customHeight="false" outlineLevel="0" collapsed="false">
      <c r="A86" s="14"/>
      <c r="B86" s="40"/>
      <c r="C86" s="14"/>
      <c r="D86" s="35" t="str">
        <f aca="false">IF(A86="","",COUNTIFS(Randevular!$C$5:$C$1004,A86,Randevular!$E$5:$E$1004,"&lt;&gt;İptal"))</f>
        <v/>
      </c>
      <c r="E86" s="35" t="str">
        <f aca="false">IF(A86="","",COUNTIFS(Randevular!$C$5:$C$1004,A86,Randevular!$E$5:$E$1004,"Gelmedi"))</f>
        <v/>
      </c>
      <c r="F86" s="17" t="str">
        <f aca="false">IF(A86="","",SUMIFS(Randevular!$G$5:$G$1004,Randevular!$C$5:$C$1004,A86))</f>
        <v/>
      </c>
      <c r="G86" s="41" t="str">
        <f aca="false">IF(A86="","",IF(SUMPRODUCT(MAX((Randevular!$C$5:$C$1004=A86)*(Randevular!$E$5:$E$1004="Geldi")*Randevular!$A$5:$A$1004))=0,"",SUMPRODUCT(MAX((Randevular!$C$5:$C$1004=A86)*(Randevular!$E$5:$E$1004="Geldi")*Randevular!$A$5:$A$1004))))</f>
        <v/>
      </c>
      <c r="H86" s="21" t="str">
        <f aca="false">IF(A86="","",F86+ROW()/1000000)</f>
        <v/>
      </c>
    </row>
    <row r="87" customFormat="false" ht="15" hidden="false" customHeight="false" outlineLevel="0" collapsed="false">
      <c r="A87" s="14"/>
      <c r="B87" s="40"/>
      <c r="C87" s="14"/>
      <c r="D87" s="35" t="str">
        <f aca="false">IF(A87="","",COUNTIFS(Randevular!$C$5:$C$1004,A87,Randevular!$E$5:$E$1004,"&lt;&gt;İptal"))</f>
        <v/>
      </c>
      <c r="E87" s="35" t="str">
        <f aca="false">IF(A87="","",COUNTIFS(Randevular!$C$5:$C$1004,A87,Randevular!$E$5:$E$1004,"Gelmedi"))</f>
        <v/>
      </c>
      <c r="F87" s="17" t="str">
        <f aca="false">IF(A87="","",SUMIFS(Randevular!$G$5:$G$1004,Randevular!$C$5:$C$1004,A87))</f>
        <v/>
      </c>
      <c r="G87" s="41" t="str">
        <f aca="false">IF(A87="","",IF(SUMPRODUCT(MAX((Randevular!$C$5:$C$1004=A87)*(Randevular!$E$5:$E$1004="Geldi")*Randevular!$A$5:$A$1004))=0,"",SUMPRODUCT(MAX((Randevular!$C$5:$C$1004=A87)*(Randevular!$E$5:$E$1004="Geldi")*Randevular!$A$5:$A$1004))))</f>
        <v/>
      </c>
      <c r="H87" s="21" t="str">
        <f aca="false">IF(A87="","",F87+ROW()/1000000)</f>
        <v/>
      </c>
    </row>
    <row r="88" customFormat="false" ht="15" hidden="false" customHeight="false" outlineLevel="0" collapsed="false">
      <c r="A88" s="14"/>
      <c r="B88" s="40"/>
      <c r="C88" s="14"/>
      <c r="D88" s="35" t="str">
        <f aca="false">IF(A88="","",COUNTIFS(Randevular!$C$5:$C$1004,A88,Randevular!$E$5:$E$1004,"&lt;&gt;İptal"))</f>
        <v/>
      </c>
      <c r="E88" s="35" t="str">
        <f aca="false">IF(A88="","",COUNTIFS(Randevular!$C$5:$C$1004,A88,Randevular!$E$5:$E$1004,"Gelmedi"))</f>
        <v/>
      </c>
      <c r="F88" s="17" t="str">
        <f aca="false">IF(A88="","",SUMIFS(Randevular!$G$5:$G$1004,Randevular!$C$5:$C$1004,A88))</f>
        <v/>
      </c>
      <c r="G88" s="41" t="str">
        <f aca="false">IF(A88="","",IF(SUMPRODUCT(MAX((Randevular!$C$5:$C$1004=A88)*(Randevular!$E$5:$E$1004="Geldi")*Randevular!$A$5:$A$1004))=0,"",SUMPRODUCT(MAX((Randevular!$C$5:$C$1004=A88)*(Randevular!$E$5:$E$1004="Geldi")*Randevular!$A$5:$A$1004))))</f>
        <v/>
      </c>
      <c r="H88" s="21" t="str">
        <f aca="false">IF(A88="","",F88+ROW()/1000000)</f>
        <v/>
      </c>
    </row>
    <row r="89" customFormat="false" ht="15" hidden="false" customHeight="false" outlineLevel="0" collapsed="false">
      <c r="A89" s="14"/>
      <c r="B89" s="40"/>
      <c r="C89" s="14"/>
      <c r="D89" s="35" t="str">
        <f aca="false">IF(A89="","",COUNTIFS(Randevular!$C$5:$C$1004,A89,Randevular!$E$5:$E$1004,"&lt;&gt;İptal"))</f>
        <v/>
      </c>
      <c r="E89" s="35" t="str">
        <f aca="false">IF(A89="","",COUNTIFS(Randevular!$C$5:$C$1004,A89,Randevular!$E$5:$E$1004,"Gelmedi"))</f>
        <v/>
      </c>
      <c r="F89" s="17" t="str">
        <f aca="false">IF(A89="","",SUMIFS(Randevular!$G$5:$G$1004,Randevular!$C$5:$C$1004,A89))</f>
        <v/>
      </c>
      <c r="G89" s="41" t="str">
        <f aca="false">IF(A89="","",IF(SUMPRODUCT(MAX((Randevular!$C$5:$C$1004=A89)*(Randevular!$E$5:$E$1004="Geldi")*Randevular!$A$5:$A$1004))=0,"",SUMPRODUCT(MAX((Randevular!$C$5:$C$1004=A89)*(Randevular!$E$5:$E$1004="Geldi")*Randevular!$A$5:$A$1004))))</f>
        <v/>
      </c>
      <c r="H89" s="21" t="str">
        <f aca="false">IF(A89="","",F89+ROW()/1000000)</f>
        <v/>
      </c>
    </row>
    <row r="90" customFormat="false" ht="15" hidden="false" customHeight="false" outlineLevel="0" collapsed="false">
      <c r="A90" s="14"/>
      <c r="B90" s="40"/>
      <c r="C90" s="14"/>
      <c r="D90" s="35" t="str">
        <f aca="false">IF(A90="","",COUNTIFS(Randevular!$C$5:$C$1004,A90,Randevular!$E$5:$E$1004,"&lt;&gt;İptal"))</f>
        <v/>
      </c>
      <c r="E90" s="35" t="str">
        <f aca="false">IF(A90="","",COUNTIFS(Randevular!$C$5:$C$1004,A90,Randevular!$E$5:$E$1004,"Gelmedi"))</f>
        <v/>
      </c>
      <c r="F90" s="17" t="str">
        <f aca="false">IF(A90="","",SUMIFS(Randevular!$G$5:$G$1004,Randevular!$C$5:$C$1004,A90))</f>
        <v/>
      </c>
      <c r="G90" s="41" t="str">
        <f aca="false">IF(A90="","",IF(SUMPRODUCT(MAX((Randevular!$C$5:$C$1004=A90)*(Randevular!$E$5:$E$1004="Geldi")*Randevular!$A$5:$A$1004))=0,"",SUMPRODUCT(MAX((Randevular!$C$5:$C$1004=A90)*(Randevular!$E$5:$E$1004="Geldi")*Randevular!$A$5:$A$1004))))</f>
        <v/>
      </c>
      <c r="H90" s="21" t="str">
        <f aca="false">IF(A90="","",F90+ROW()/1000000)</f>
        <v/>
      </c>
    </row>
    <row r="91" customFormat="false" ht="15" hidden="false" customHeight="false" outlineLevel="0" collapsed="false">
      <c r="A91" s="14"/>
      <c r="B91" s="40"/>
      <c r="C91" s="14"/>
      <c r="D91" s="35" t="str">
        <f aca="false">IF(A91="","",COUNTIFS(Randevular!$C$5:$C$1004,A91,Randevular!$E$5:$E$1004,"&lt;&gt;İptal"))</f>
        <v/>
      </c>
      <c r="E91" s="35" t="str">
        <f aca="false">IF(A91="","",COUNTIFS(Randevular!$C$5:$C$1004,A91,Randevular!$E$5:$E$1004,"Gelmedi"))</f>
        <v/>
      </c>
      <c r="F91" s="17" t="str">
        <f aca="false">IF(A91="","",SUMIFS(Randevular!$G$5:$G$1004,Randevular!$C$5:$C$1004,A91))</f>
        <v/>
      </c>
      <c r="G91" s="41" t="str">
        <f aca="false">IF(A91="","",IF(SUMPRODUCT(MAX((Randevular!$C$5:$C$1004=A91)*(Randevular!$E$5:$E$1004="Geldi")*Randevular!$A$5:$A$1004))=0,"",SUMPRODUCT(MAX((Randevular!$C$5:$C$1004=A91)*(Randevular!$E$5:$E$1004="Geldi")*Randevular!$A$5:$A$1004))))</f>
        <v/>
      </c>
      <c r="H91" s="21" t="str">
        <f aca="false">IF(A91="","",F91+ROW()/1000000)</f>
        <v/>
      </c>
    </row>
    <row r="92" customFormat="false" ht="15" hidden="false" customHeight="false" outlineLevel="0" collapsed="false">
      <c r="A92" s="14"/>
      <c r="B92" s="40"/>
      <c r="C92" s="14"/>
      <c r="D92" s="35" t="str">
        <f aca="false">IF(A92="","",COUNTIFS(Randevular!$C$5:$C$1004,A92,Randevular!$E$5:$E$1004,"&lt;&gt;İptal"))</f>
        <v/>
      </c>
      <c r="E92" s="35" t="str">
        <f aca="false">IF(A92="","",COUNTIFS(Randevular!$C$5:$C$1004,A92,Randevular!$E$5:$E$1004,"Gelmedi"))</f>
        <v/>
      </c>
      <c r="F92" s="17" t="str">
        <f aca="false">IF(A92="","",SUMIFS(Randevular!$G$5:$G$1004,Randevular!$C$5:$C$1004,A92))</f>
        <v/>
      </c>
      <c r="G92" s="41" t="str">
        <f aca="false">IF(A92="","",IF(SUMPRODUCT(MAX((Randevular!$C$5:$C$1004=A92)*(Randevular!$E$5:$E$1004="Geldi")*Randevular!$A$5:$A$1004))=0,"",SUMPRODUCT(MAX((Randevular!$C$5:$C$1004=A92)*(Randevular!$E$5:$E$1004="Geldi")*Randevular!$A$5:$A$1004))))</f>
        <v/>
      </c>
      <c r="H92" s="21" t="str">
        <f aca="false">IF(A92="","",F92+ROW()/1000000)</f>
        <v/>
      </c>
    </row>
    <row r="93" customFormat="false" ht="15" hidden="false" customHeight="false" outlineLevel="0" collapsed="false">
      <c r="A93" s="14"/>
      <c r="B93" s="40"/>
      <c r="C93" s="14"/>
      <c r="D93" s="35" t="str">
        <f aca="false">IF(A93="","",COUNTIFS(Randevular!$C$5:$C$1004,A93,Randevular!$E$5:$E$1004,"&lt;&gt;İptal"))</f>
        <v/>
      </c>
      <c r="E93" s="35" t="str">
        <f aca="false">IF(A93="","",COUNTIFS(Randevular!$C$5:$C$1004,A93,Randevular!$E$5:$E$1004,"Gelmedi"))</f>
        <v/>
      </c>
      <c r="F93" s="17" t="str">
        <f aca="false">IF(A93="","",SUMIFS(Randevular!$G$5:$G$1004,Randevular!$C$5:$C$1004,A93))</f>
        <v/>
      </c>
      <c r="G93" s="41" t="str">
        <f aca="false">IF(A93="","",IF(SUMPRODUCT(MAX((Randevular!$C$5:$C$1004=A93)*(Randevular!$E$5:$E$1004="Geldi")*Randevular!$A$5:$A$1004))=0,"",SUMPRODUCT(MAX((Randevular!$C$5:$C$1004=A93)*(Randevular!$E$5:$E$1004="Geldi")*Randevular!$A$5:$A$1004))))</f>
        <v/>
      </c>
      <c r="H93" s="21" t="str">
        <f aca="false">IF(A93="","",F93+ROW()/1000000)</f>
        <v/>
      </c>
    </row>
    <row r="94" customFormat="false" ht="15" hidden="false" customHeight="false" outlineLevel="0" collapsed="false">
      <c r="A94" s="14"/>
      <c r="B94" s="40"/>
      <c r="C94" s="14"/>
      <c r="D94" s="35" t="str">
        <f aca="false">IF(A94="","",COUNTIFS(Randevular!$C$5:$C$1004,A94,Randevular!$E$5:$E$1004,"&lt;&gt;İptal"))</f>
        <v/>
      </c>
      <c r="E94" s="35" t="str">
        <f aca="false">IF(A94="","",COUNTIFS(Randevular!$C$5:$C$1004,A94,Randevular!$E$5:$E$1004,"Gelmedi"))</f>
        <v/>
      </c>
      <c r="F94" s="17" t="str">
        <f aca="false">IF(A94="","",SUMIFS(Randevular!$G$5:$G$1004,Randevular!$C$5:$C$1004,A94))</f>
        <v/>
      </c>
      <c r="G94" s="41" t="str">
        <f aca="false">IF(A94="","",IF(SUMPRODUCT(MAX((Randevular!$C$5:$C$1004=A94)*(Randevular!$E$5:$E$1004="Geldi")*Randevular!$A$5:$A$1004))=0,"",SUMPRODUCT(MAX((Randevular!$C$5:$C$1004=A94)*(Randevular!$E$5:$E$1004="Geldi")*Randevular!$A$5:$A$1004))))</f>
        <v/>
      </c>
      <c r="H94" s="21" t="str">
        <f aca="false">IF(A94="","",F94+ROW()/1000000)</f>
        <v/>
      </c>
    </row>
    <row r="95" customFormat="false" ht="15" hidden="false" customHeight="false" outlineLevel="0" collapsed="false">
      <c r="A95" s="14"/>
      <c r="B95" s="40"/>
      <c r="C95" s="14"/>
      <c r="D95" s="35" t="str">
        <f aca="false">IF(A95="","",COUNTIFS(Randevular!$C$5:$C$1004,A95,Randevular!$E$5:$E$1004,"&lt;&gt;İptal"))</f>
        <v/>
      </c>
      <c r="E95" s="35" t="str">
        <f aca="false">IF(A95="","",COUNTIFS(Randevular!$C$5:$C$1004,A95,Randevular!$E$5:$E$1004,"Gelmedi"))</f>
        <v/>
      </c>
      <c r="F95" s="17" t="str">
        <f aca="false">IF(A95="","",SUMIFS(Randevular!$G$5:$G$1004,Randevular!$C$5:$C$1004,A95))</f>
        <v/>
      </c>
      <c r="G95" s="41" t="str">
        <f aca="false">IF(A95="","",IF(SUMPRODUCT(MAX((Randevular!$C$5:$C$1004=A95)*(Randevular!$E$5:$E$1004="Geldi")*Randevular!$A$5:$A$1004))=0,"",SUMPRODUCT(MAX((Randevular!$C$5:$C$1004=A95)*(Randevular!$E$5:$E$1004="Geldi")*Randevular!$A$5:$A$1004))))</f>
        <v/>
      </c>
      <c r="H95" s="21" t="str">
        <f aca="false">IF(A95="","",F95+ROW()/1000000)</f>
        <v/>
      </c>
    </row>
    <row r="96" customFormat="false" ht="15" hidden="false" customHeight="false" outlineLevel="0" collapsed="false">
      <c r="A96" s="14"/>
      <c r="B96" s="40"/>
      <c r="C96" s="14"/>
      <c r="D96" s="35" t="str">
        <f aca="false">IF(A96="","",COUNTIFS(Randevular!$C$5:$C$1004,A96,Randevular!$E$5:$E$1004,"&lt;&gt;İptal"))</f>
        <v/>
      </c>
      <c r="E96" s="35" t="str">
        <f aca="false">IF(A96="","",COUNTIFS(Randevular!$C$5:$C$1004,A96,Randevular!$E$5:$E$1004,"Gelmedi"))</f>
        <v/>
      </c>
      <c r="F96" s="17" t="str">
        <f aca="false">IF(A96="","",SUMIFS(Randevular!$G$5:$G$1004,Randevular!$C$5:$C$1004,A96))</f>
        <v/>
      </c>
      <c r="G96" s="41" t="str">
        <f aca="false">IF(A96="","",IF(SUMPRODUCT(MAX((Randevular!$C$5:$C$1004=A96)*(Randevular!$E$5:$E$1004="Geldi")*Randevular!$A$5:$A$1004))=0,"",SUMPRODUCT(MAX((Randevular!$C$5:$C$1004=A96)*(Randevular!$E$5:$E$1004="Geldi")*Randevular!$A$5:$A$1004))))</f>
        <v/>
      </c>
      <c r="H96" s="21" t="str">
        <f aca="false">IF(A96="","",F96+ROW()/1000000)</f>
        <v/>
      </c>
    </row>
    <row r="97" customFormat="false" ht="15" hidden="false" customHeight="false" outlineLevel="0" collapsed="false">
      <c r="A97" s="14"/>
      <c r="B97" s="40"/>
      <c r="C97" s="14"/>
      <c r="D97" s="35" t="str">
        <f aca="false">IF(A97="","",COUNTIFS(Randevular!$C$5:$C$1004,A97,Randevular!$E$5:$E$1004,"&lt;&gt;İptal"))</f>
        <v/>
      </c>
      <c r="E97" s="35" t="str">
        <f aca="false">IF(A97="","",COUNTIFS(Randevular!$C$5:$C$1004,A97,Randevular!$E$5:$E$1004,"Gelmedi"))</f>
        <v/>
      </c>
      <c r="F97" s="17" t="str">
        <f aca="false">IF(A97="","",SUMIFS(Randevular!$G$5:$G$1004,Randevular!$C$5:$C$1004,A97))</f>
        <v/>
      </c>
      <c r="G97" s="41" t="str">
        <f aca="false">IF(A97="","",IF(SUMPRODUCT(MAX((Randevular!$C$5:$C$1004=A97)*(Randevular!$E$5:$E$1004="Geldi")*Randevular!$A$5:$A$1004))=0,"",SUMPRODUCT(MAX((Randevular!$C$5:$C$1004=A97)*(Randevular!$E$5:$E$1004="Geldi")*Randevular!$A$5:$A$1004))))</f>
        <v/>
      </c>
      <c r="H97" s="21" t="str">
        <f aca="false">IF(A97="","",F97+ROW()/1000000)</f>
        <v/>
      </c>
    </row>
    <row r="98" customFormat="false" ht="15" hidden="false" customHeight="false" outlineLevel="0" collapsed="false">
      <c r="A98" s="14"/>
      <c r="B98" s="40"/>
      <c r="C98" s="14"/>
      <c r="D98" s="35" t="str">
        <f aca="false">IF(A98="","",COUNTIFS(Randevular!$C$5:$C$1004,A98,Randevular!$E$5:$E$1004,"&lt;&gt;İptal"))</f>
        <v/>
      </c>
      <c r="E98" s="35" t="str">
        <f aca="false">IF(A98="","",COUNTIFS(Randevular!$C$5:$C$1004,A98,Randevular!$E$5:$E$1004,"Gelmedi"))</f>
        <v/>
      </c>
      <c r="F98" s="17" t="str">
        <f aca="false">IF(A98="","",SUMIFS(Randevular!$G$5:$G$1004,Randevular!$C$5:$C$1004,A98))</f>
        <v/>
      </c>
      <c r="G98" s="41" t="str">
        <f aca="false">IF(A98="","",IF(SUMPRODUCT(MAX((Randevular!$C$5:$C$1004=A98)*(Randevular!$E$5:$E$1004="Geldi")*Randevular!$A$5:$A$1004))=0,"",SUMPRODUCT(MAX((Randevular!$C$5:$C$1004=A98)*(Randevular!$E$5:$E$1004="Geldi")*Randevular!$A$5:$A$1004))))</f>
        <v/>
      </c>
      <c r="H98" s="21" t="str">
        <f aca="false">IF(A98="","",F98+ROW()/1000000)</f>
        <v/>
      </c>
    </row>
    <row r="99" customFormat="false" ht="15" hidden="false" customHeight="false" outlineLevel="0" collapsed="false">
      <c r="A99" s="14"/>
      <c r="B99" s="40"/>
      <c r="C99" s="14"/>
      <c r="D99" s="35" t="str">
        <f aca="false">IF(A99="","",COUNTIFS(Randevular!$C$5:$C$1004,A99,Randevular!$E$5:$E$1004,"&lt;&gt;İptal"))</f>
        <v/>
      </c>
      <c r="E99" s="35" t="str">
        <f aca="false">IF(A99="","",COUNTIFS(Randevular!$C$5:$C$1004,A99,Randevular!$E$5:$E$1004,"Gelmedi"))</f>
        <v/>
      </c>
      <c r="F99" s="17" t="str">
        <f aca="false">IF(A99="","",SUMIFS(Randevular!$G$5:$G$1004,Randevular!$C$5:$C$1004,A99))</f>
        <v/>
      </c>
      <c r="G99" s="41" t="str">
        <f aca="false">IF(A99="","",IF(SUMPRODUCT(MAX((Randevular!$C$5:$C$1004=A99)*(Randevular!$E$5:$E$1004="Geldi")*Randevular!$A$5:$A$1004))=0,"",SUMPRODUCT(MAX((Randevular!$C$5:$C$1004=A99)*(Randevular!$E$5:$E$1004="Geldi")*Randevular!$A$5:$A$1004))))</f>
        <v/>
      </c>
      <c r="H99" s="21" t="str">
        <f aca="false">IF(A99="","",F99+ROW()/1000000)</f>
        <v/>
      </c>
    </row>
    <row r="100" customFormat="false" ht="15" hidden="false" customHeight="false" outlineLevel="0" collapsed="false">
      <c r="A100" s="14"/>
      <c r="B100" s="40"/>
      <c r="C100" s="14"/>
      <c r="D100" s="35" t="str">
        <f aca="false">IF(A100="","",COUNTIFS(Randevular!$C$5:$C$1004,A100,Randevular!$E$5:$E$1004,"&lt;&gt;İptal"))</f>
        <v/>
      </c>
      <c r="E100" s="35" t="str">
        <f aca="false">IF(A100="","",COUNTIFS(Randevular!$C$5:$C$1004,A100,Randevular!$E$5:$E$1004,"Gelmedi"))</f>
        <v/>
      </c>
      <c r="F100" s="17" t="str">
        <f aca="false">IF(A100="","",SUMIFS(Randevular!$G$5:$G$1004,Randevular!$C$5:$C$1004,A100))</f>
        <v/>
      </c>
      <c r="G100" s="41" t="str">
        <f aca="false">IF(A100="","",IF(SUMPRODUCT(MAX((Randevular!$C$5:$C$1004=A100)*(Randevular!$E$5:$E$1004="Geldi")*Randevular!$A$5:$A$1004))=0,"",SUMPRODUCT(MAX((Randevular!$C$5:$C$1004=A100)*(Randevular!$E$5:$E$1004="Geldi")*Randevular!$A$5:$A$1004))))</f>
        <v/>
      </c>
      <c r="H100" s="21" t="str">
        <f aca="false">IF(A100="","",F100+ROW()/1000000)</f>
        <v/>
      </c>
    </row>
    <row r="101" customFormat="false" ht="15" hidden="false" customHeight="false" outlineLevel="0" collapsed="false">
      <c r="A101" s="14"/>
      <c r="B101" s="40"/>
      <c r="C101" s="14"/>
      <c r="D101" s="35" t="str">
        <f aca="false">IF(A101="","",COUNTIFS(Randevular!$C$5:$C$1004,A101,Randevular!$E$5:$E$1004,"&lt;&gt;İptal"))</f>
        <v/>
      </c>
      <c r="E101" s="35" t="str">
        <f aca="false">IF(A101="","",COUNTIFS(Randevular!$C$5:$C$1004,A101,Randevular!$E$5:$E$1004,"Gelmedi"))</f>
        <v/>
      </c>
      <c r="F101" s="17" t="str">
        <f aca="false">IF(A101="","",SUMIFS(Randevular!$G$5:$G$1004,Randevular!$C$5:$C$1004,A101))</f>
        <v/>
      </c>
      <c r="G101" s="41" t="str">
        <f aca="false">IF(A101="","",IF(SUMPRODUCT(MAX((Randevular!$C$5:$C$1004=A101)*(Randevular!$E$5:$E$1004="Geldi")*Randevular!$A$5:$A$1004))=0,"",SUMPRODUCT(MAX((Randevular!$C$5:$C$1004=A101)*(Randevular!$E$5:$E$1004="Geldi")*Randevular!$A$5:$A$1004))))</f>
        <v/>
      </c>
      <c r="H101" s="21" t="str">
        <f aca="false">IF(A101="","",F101+ROW()/1000000)</f>
        <v/>
      </c>
    </row>
    <row r="102" customFormat="false" ht="15" hidden="false" customHeight="false" outlineLevel="0" collapsed="false">
      <c r="A102" s="14"/>
      <c r="B102" s="40"/>
      <c r="C102" s="14"/>
      <c r="D102" s="35" t="str">
        <f aca="false">IF(A102="","",COUNTIFS(Randevular!$C$5:$C$1004,A102,Randevular!$E$5:$E$1004,"&lt;&gt;İptal"))</f>
        <v/>
      </c>
      <c r="E102" s="35" t="str">
        <f aca="false">IF(A102="","",COUNTIFS(Randevular!$C$5:$C$1004,A102,Randevular!$E$5:$E$1004,"Gelmedi"))</f>
        <v/>
      </c>
      <c r="F102" s="17" t="str">
        <f aca="false">IF(A102="","",SUMIFS(Randevular!$G$5:$G$1004,Randevular!$C$5:$C$1004,A102))</f>
        <v/>
      </c>
      <c r="G102" s="41" t="str">
        <f aca="false">IF(A102="","",IF(SUMPRODUCT(MAX((Randevular!$C$5:$C$1004=A102)*(Randevular!$E$5:$E$1004="Geldi")*Randevular!$A$5:$A$1004))=0,"",SUMPRODUCT(MAX((Randevular!$C$5:$C$1004=A102)*(Randevular!$E$5:$E$1004="Geldi")*Randevular!$A$5:$A$1004))))</f>
        <v/>
      </c>
      <c r="H102" s="21" t="str">
        <f aca="false">IF(A102="","",F102+ROW()/1000000)</f>
        <v/>
      </c>
    </row>
    <row r="103" customFormat="false" ht="15" hidden="false" customHeight="false" outlineLevel="0" collapsed="false">
      <c r="A103" s="14"/>
      <c r="B103" s="40"/>
      <c r="C103" s="14"/>
      <c r="D103" s="35" t="str">
        <f aca="false">IF(A103="","",COUNTIFS(Randevular!$C$5:$C$1004,A103,Randevular!$E$5:$E$1004,"&lt;&gt;İptal"))</f>
        <v/>
      </c>
      <c r="E103" s="35" t="str">
        <f aca="false">IF(A103="","",COUNTIFS(Randevular!$C$5:$C$1004,A103,Randevular!$E$5:$E$1004,"Gelmedi"))</f>
        <v/>
      </c>
      <c r="F103" s="17" t="str">
        <f aca="false">IF(A103="","",SUMIFS(Randevular!$G$5:$G$1004,Randevular!$C$5:$C$1004,A103))</f>
        <v/>
      </c>
      <c r="G103" s="41" t="str">
        <f aca="false">IF(A103="","",IF(SUMPRODUCT(MAX((Randevular!$C$5:$C$1004=A103)*(Randevular!$E$5:$E$1004="Geldi")*Randevular!$A$5:$A$1004))=0,"",SUMPRODUCT(MAX((Randevular!$C$5:$C$1004=A103)*(Randevular!$E$5:$E$1004="Geldi")*Randevular!$A$5:$A$1004))))</f>
        <v/>
      </c>
      <c r="H103" s="21" t="str">
        <f aca="false">IF(A103="","",F103+ROW()/1000000)</f>
        <v/>
      </c>
    </row>
    <row r="104" customFormat="false" ht="15" hidden="false" customHeight="false" outlineLevel="0" collapsed="false">
      <c r="A104" s="14"/>
      <c r="B104" s="40"/>
      <c r="C104" s="14"/>
      <c r="D104" s="35" t="str">
        <f aca="false">IF(A104="","",COUNTIFS(Randevular!$C$5:$C$1004,A104,Randevular!$E$5:$E$1004,"&lt;&gt;İptal"))</f>
        <v/>
      </c>
      <c r="E104" s="35" t="str">
        <f aca="false">IF(A104="","",COUNTIFS(Randevular!$C$5:$C$1004,A104,Randevular!$E$5:$E$1004,"Gelmedi"))</f>
        <v/>
      </c>
      <c r="F104" s="17" t="str">
        <f aca="false">IF(A104="","",SUMIFS(Randevular!$G$5:$G$1004,Randevular!$C$5:$C$1004,A104))</f>
        <v/>
      </c>
      <c r="G104" s="41" t="str">
        <f aca="false">IF(A104="","",IF(SUMPRODUCT(MAX((Randevular!$C$5:$C$1004=A104)*(Randevular!$E$5:$E$1004="Geldi")*Randevular!$A$5:$A$1004))=0,"",SUMPRODUCT(MAX((Randevular!$C$5:$C$1004=A104)*(Randevular!$E$5:$E$1004="Geldi")*Randevular!$A$5:$A$1004))))</f>
        <v/>
      </c>
      <c r="H104" s="21" t="str">
        <f aca="false">IF(A104="","",F104+ROW()/1000000)</f>
        <v/>
      </c>
    </row>
    <row r="105" customFormat="false" ht="15" hidden="false" customHeight="false" outlineLevel="0" collapsed="false">
      <c r="A105" s="14"/>
      <c r="B105" s="40"/>
      <c r="C105" s="14"/>
      <c r="D105" s="35" t="str">
        <f aca="false">IF(A105="","",COUNTIFS(Randevular!$C$5:$C$1004,A105,Randevular!$E$5:$E$1004,"&lt;&gt;İptal"))</f>
        <v/>
      </c>
      <c r="E105" s="35" t="str">
        <f aca="false">IF(A105="","",COUNTIFS(Randevular!$C$5:$C$1004,A105,Randevular!$E$5:$E$1004,"Gelmedi"))</f>
        <v/>
      </c>
      <c r="F105" s="17" t="str">
        <f aca="false">IF(A105="","",SUMIFS(Randevular!$G$5:$G$1004,Randevular!$C$5:$C$1004,A105))</f>
        <v/>
      </c>
      <c r="G105" s="41" t="str">
        <f aca="false">IF(A105="","",IF(SUMPRODUCT(MAX((Randevular!$C$5:$C$1004=A105)*(Randevular!$E$5:$E$1004="Geldi")*Randevular!$A$5:$A$1004))=0,"",SUMPRODUCT(MAX((Randevular!$C$5:$C$1004=A105)*(Randevular!$E$5:$E$1004="Geldi")*Randevular!$A$5:$A$1004))))</f>
        <v/>
      </c>
      <c r="H105" s="21" t="str">
        <f aca="false">IF(A105="","",F105+ROW()/1000000)</f>
        <v/>
      </c>
    </row>
    <row r="106" customFormat="false" ht="15" hidden="false" customHeight="false" outlineLevel="0" collapsed="false">
      <c r="A106" s="14"/>
      <c r="B106" s="40"/>
      <c r="C106" s="14"/>
      <c r="D106" s="35" t="str">
        <f aca="false">IF(A106="","",COUNTIFS(Randevular!$C$5:$C$1004,A106,Randevular!$E$5:$E$1004,"&lt;&gt;İptal"))</f>
        <v/>
      </c>
      <c r="E106" s="35" t="str">
        <f aca="false">IF(A106="","",COUNTIFS(Randevular!$C$5:$C$1004,A106,Randevular!$E$5:$E$1004,"Gelmedi"))</f>
        <v/>
      </c>
      <c r="F106" s="17" t="str">
        <f aca="false">IF(A106="","",SUMIFS(Randevular!$G$5:$G$1004,Randevular!$C$5:$C$1004,A106))</f>
        <v/>
      </c>
      <c r="G106" s="41" t="str">
        <f aca="false">IF(A106="","",IF(SUMPRODUCT(MAX((Randevular!$C$5:$C$1004=A106)*(Randevular!$E$5:$E$1004="Geldi")*Randevular!$A$5:$A$1004))=0,"",SUMPRODUCT(MAX((Randevular!$C$5:$C$1004=A106)*(Randevular!$E$5:$E$1004="Geldi")*Randevular!$A$5:$A$1004))))</f>
        <v/>
      </c>
      <c r="H106" s="21" t="str">
        <f aca="false">IF(A106="","",F106+ROW()/1000000)</f>
        <v/>
      </c>
    </row>
    <row r="107" customFormat="false" ht="15" hidden="false" customHeight="false" outlineLevel="0" collapsed="false">
      <c r="A107" s="14"/>
      <c r="B107" s="40"/>
      <c r="C107" s="14"/>
      <c r="D107" s="35" t="str">
        <f aca="false">IF(A107="","",COUNTIFS(Randevular!$C$5:$C$1004,A107,Randevular!$E$5:$E$1004,"&lt;&gt;İptal"))</f>
        <v/>
      </c>
      <c r="E107" s="35" t="str">
        <f aca="false">IF(A107="","",COUNTIFS(Randevular!$C$5:$C$1004,A107,Randevular!$E$5:$E$1004,"Gelmedi"))</f>
        <v/>
      </c>
      <c r="F107" s="17" t="str">
        <f aca="false">IF(A107="","",SUMIFS(Randevular!$G$5:$G$1004,Randevular!$C$5:$C$1004,A107))</f>
        <v/>
      </c>
      <c r="G107" s="41" t="str">
        <f aca="false">IF(A107="","",IF(SUMPRODUCT(MAX((Randevular!$C$5:$C$1004=A107)*(Randevular!$E$5:$E$1004="Geldi")*Randevular!$A$5:$A$1004))=0,"",SUMPRODUCT(MAX((Randevular!$C$5:$C$1004=A107)*(Randevular!$E$5:$E$1004="Geldi")*Randevular!$A$5:$A$1004))))</f>
        <v/>
      </c>
      <c r="H107" s="21" t="str">
        <f aca="false">IF(A107="","",F107+ROW()/1000000)</f>
        <v/>
      </c>
    </row>
    <row r="108" customFormat="false" ht="15" hidden="false" customHeight="false" outlineLevel="0" collapsed="false">
      <c r="A108" s="14"/>
      <c r="B108" s="40"/>
      <c r="C108" s="14"/>
      <c r="D108" s="35" t="str">
        <f aca="false">IF(A108="","",COUNTIFS(Randevular!$C$5:$C$1004,A108,Randevular!$E$5:$E$1004,"&lt;&gt;İptal"))</f>
        <v/>
      </c>
      <c r="E108" s="35" t="str">
        <f aca="false">IF(A108="","",COUNTIFS(Randevular!$C$5:$C$1004,A108,Randevular!$E$5:$E$1004,"Gelmedi"))</f>
        <v/>
      </c>
      <c r="F108" s="17" t="str">
        <f aca="false">IF(A108="","",SUMIFS(Randevular!$G$5:$G$1004,Randevular!$C$5:$C$1004,A108))</f>
        <v/>
      </c>
      <c r="G108" s="41" t="str">
        <f aca="false">IF(A108="","",IF(SUMPRODUCT(MAX((Randevular!$C$5:$C$1004=A108)*(Randevular!$E$5:$E$1004="Geldi")*Randevular!$A$5:$A$1004))=0,"",SUMPRODUCT(MAX((Randevular!$C$5:$C$1004=A108)*(Randevular!$E$5:$E$1004="Geldi")*Randevular!$A$5:$A$1004))))</f>
        <v/>
      </c>
      <c r="H108" s="21" t="str">
        <f aca="false">IF(A108="","",F108+ROW()/1000000)</f>
        <v/>
      </c>
    </row>
    <row r="109" customFormat="false" ht="15" hidden="false" customHeight="false" outlineLevel="0" collapsed="false">
      <c r="A109" s="14"/>
      <c r="B109" s="40"/>
      <c r="C109" s="14"/>
      <c r="D109" s="35" t="str">
        <f aca="false">IF(A109="","",COUNTIFS(Randevular!$C$5:$C$1004,A109,Randevular!$E$5:$E$1004,"&lt;&gt;İptal"))</f>
        <v/>
      </c>
      <c r="E109" s="35" t="str">
        <f aca="false">IF(A109="","",COUNTIFS(Randevular!$C$5:$C$1004,A109,Randevular!$E$5:$E$1004,"Gelmedi"))</f>
        <v/>
      </c>
      <c r="F109" s="17" t="str">
        <f aca="false">IF(A109="","",SUMIFS(Randevular!$G$5:$G$1004,Randevular!$C$5:$C$1004,A109))</f>
        <v/>
      </c>
      <c r="G109" s="41" t="str">
        <f aca="false">IF(A109="","",IF(SUMPRODUCT(MAX((Randevular!$C$5:$C$1004=A109)*(Randevular!$E$5:$E$1004="Geldi")*Randevular!$A$5:$A$1004))=0,"",SUMPRODUCT(MAX((Randevular!$C$5:$C$1004=A109)*(Randevular!$E$5:$E$1004="Geldi")*Randevular!$A$5:$A$1004))))</f>
        <v/>
      </c>
      <c r="H109" s="21" t="str">
        <f aca="false">IF(A109="","",F109+ROW()/1000000)</f>
        <v/>
      </c>
    </row>
    <row r="110" customFormat="false" ht="15" hidden="false" customHeight="false" outlineLevel="0" collapsed="false">
      <c r="A110" s="14"/>
      <c r="B110" s="40"/>
      <c r="C110" s="14"/>
      <c r="D110" s="35" t="str">
        <f aca="false">IF(A110="","",COUNTIFS(Randevular!$C$5:$C$1004,A110,Randevular!$E$5:$E$1004,"&lt;&gt;İptal"))</f>
        <v/>
      </c>
      <c r="E110" s="35" t="str">
        <f aca="false">IF(A110="","",COUNTIFS(Randevular!$C$5:$C$1004,A110,Randevular!$E$5:$E$1004,"Gelmedi"))</f>
        <v/>
      </c>
      <c r="F110" s="17" t="str">
        <f aca="false">IF(A110="","",SUMIFS(Randevular!$G$5:$G$1004,Randevular!$C$5:$C$1004,A110))</f>
        <v/>
      </c>
      <c r="G110" s="41" t="str">
        <f aca="false">IF(A110="","",IF(SUMPRODUCT(MAX((Randevular!$C$5:$C$1004=A110)*(Randevular!$E$5:$E$1004="Geldi")*Randevular!$A$5:$A$1004))=0,"",SUMPRODUCT(MAX((Randevular!$C$5:$C$1004=A110)*(Randevular!$E$5:$E$1004="Geldi")*Randevular!$A$5:$A$1004))))</f>
        <v/>
      </c>
      <c r="H110" s="21" t="str">
        <f aca="false">IF(A110="","",F110+ROW()/1000000)</f>
        <v/>
      </c>
    </row>
    <row r="111" customFormat="false" ht="15" hidden="false" customHeight="false" outlineLevel="0" collapsed="false">
      <c r="A111" s="14"/>
      <c r="B111" s="40"/>
      <c r="C111" s="14"/>
      <c r="D111" s="35" t="str">
        <f aca="false">IF(A111="","",COUNTIFS(Randevular!$C$5:$C$1004,A111,Randevular!$E$5:$E$1004,"&lt;&gt;İptal"))</f>
        <v/>
      </c>
      <c r="E111" s="35" t="str">
        <f aca="false">IF(A111="","",COUNTIFS(Randevular!$C$5:$C$1004,A111,Randevular!$E$5:$E$1004,"Gelmedi"))</f>
        <v/>
      </c>
      <c r="F111" s="17" t="str">
        <f aca="false">IF(A111="","",SUMIFS(Randevular!$G$5:$G$1004,Randevular!$C$5:$C$1004,A111))</f>
        <v/>
      </c>
      <c r="G111" s="41" t="str">
        <f aca="false">IF(A111="","",IF(SUMPRODUCT(MAX((Randevular!$C$5:$C$1004=A111)*(Randevular!$E$5:$E$1004="Geldi")*Randevular!$A$5:$A$1004))=0,"",SUMPRODUCT(MAX((Randevular!$C$5:$C$1004=A111)*(Randevular!$E$5:$E$1004="Geldi")*Randevular!$A$5:$A$1004))))</f>
        <v/>
      </c>
      <c r="H111" s="21" t="str">
        <f aca="false">IF(A111="","",F111+ROW()/1000000)</f>
        <v/>
      </c>
    </row>
    <row r="112" customFormat="false" ht="15" hidden="false" customHeight="false" outlineLevel="0" collapsed="false">
      <c r="A112" s="14"/>
      <c r="B112" s="40"/>
      <c r="C112" s="14"/>
      <c r="D112" s="35" t="str">
        <f aca="false">IF(A112="","",COUNTIFS(Randevular!$C$5:$C$1004,A112,Randevular!$E$5:$E$1004,"&lt;&gt;İptal"))</f>
        <v/>
      </c>
      <c r="E112" s="35" t="str">
        <f aca="false">IF(A112="","",COUNTIFS(Randevular!$C$5:$C$1004,A112,Randevular!$E$5:$E$1004,"Gelmedi"))</f>
        <v/>
      </c>
      <c r="F112" s="17" t="str">
        <f aca="false">IF(A112="","",SUMIFS(Randevular!$G$5:$G$1004,Randevular!$C$5:$C$1004,A112))</f>
        <v/>
      </c>
      <c r="G112" s="41" t="str">
        <f aca="false">IF(A112="","",IF(SUMPRODUCT(MAX((Randevular!$C$5:$C$1004=A112)*(Randevular!$E$5:$E$1004="Geldi")*Randevular!$A$5:$A$1004))=0,"",SUMPRODUCT(MAX((Randevular!$C$5:$C$1004=A112)*(Randevular!$E$5:$E$1004="Geldi")*Randevular!$A$5:$A$1004))))</f>
        <v/>
      </c>
      <c r="H112" s="21" t="str">
        <f aca="false">IF(A112="","",F112+ROW()/1000000)</f>
        <v/>
      </c>
    </row>
    <row r="113" customFormat="false" ht="15" hidden="false" customHeight="false" outlineLevel="0" collapsed="false">
      <c r="A113" s="14"/>
      <c r="B113" s="40"/>
      <c r="C113" s="14"/>
      <c r="D113" s="35" t="str">
        <f aca="false">IF(A113="","",COUNTIFS(Randevular!$C$5:$C$1004,A113,Randevular!$E$5:$E$1004,"&lt;&gt;İptal"))</f>
        <v/>
      </c>
      <c r="E113" s="35" t="str">
        <f aca="false">IF(A113="","",COUNTIFS(Randevular!$C$5:$C$1004,A113,Randevular!$E$5:$E$1004,"Gelmedi"))</f>
        <v/>
      </c>
      <c r="F113" s="17" t="str">
        <f aca="false">IF(A113="","",SUMIFS(Randevular!$G$5:$G$1004,Randevular!$C$5:$C$1004,A113))</f>
        <v/>
      </c>
      <c r="G113" s="41" t="str">
        <f aca="false">IF(A113="","",IF(SUMPRODUCT(MAX((Randevular!$C$5:$C$1004=A113)*(Randevular!$E$5:$E$1004="Geldi")*Randevular!$A$5:$A$1004))=0,"",SUMPRODUCT(MAX((Randevular!$C$5:$C$1004=A113)*(Randevular!$E$5:$E$1004="Geldi")*Randevular!$A$5:$A$1004))))</f>
        <v/>
      </c>
      <c r="H113" s="21" t="str">
        <f aca="false">IF(A113="","",F113+ROW()/1000000)</f>
        <v/>
      </c>
    </row>
    <row r="114" customFormat="false" ht="15" hidden="false" customHeight="false" outlineLevel="0" collapsed="false">
      <c r="A114" s="14"/>
      <c r="B114" s="40"/>
      <c r="C114" s="14"/>
      <c r="D114" s="35" t="str">
        <f aca="false">IF(A114="","",COUNTIFS(Randevular!$C$5:$C$1004,A114,Randevular!$E$5:$E$1004,"&lt;&gt;İptal"))</f>
        <v/>
      </c>
      <c r="E114" s="35" t="str">
        <f aca="false">IF(A114="","",COUNTIFS(Randevular!$C$5:$C$1004,A114,Randevular!$E$5:$E$1004,"Gelmedi"))</f>
        <v/>
      </c>
      <c r="F114" s="17" t="str">
        <f aca="false">IF(A114="","",SUMIFS(Randevular!$G$5:$G$1004,Randevular!$C$5:$C$1004,A114))</f>
        <v/>
      </c>
      <c r="G114" s="41" t="str">
        <f aca="false">IF(A114="","",IF(SUMPRODUCT(MAX((Randevular!$C$5:$C$1004=A114)*(Randevular!$E$5:$E$1004="Geldi")*Randevular!$A$5:$A$1004))=0,"",SUMPRODUCT(MAX((Randevular!$C$5:$C$1004=A114)*(Randevular!$E$5:$E$1004="Geldi")*Randevular!$A$5:$A$1004))))</f>
        <v/>
      </c>
      <c r="H114" s="21" t="str">
        <f aca="false">IF(A114="","",F114+ROW()/1000000)</f>
        <v/>
      </c>
    </row>
    <row r="115" customFormat="false" ht="15" hidden="false" customHeight="false" outlineLevel="0" collapsed="false">
      <c r="A115" s="14"/>
      <c r="B115" s="40"/>
      <c r="C115" s="14"/>
      <c r="D115" s="35" t="str">
        <f aca="false">IF(A115="","",COUNTIFS(Randevular!$C$5:$C$1004,A115,Randevular!$E$5:$E$1004,"&lt;&gt;İptal"))</f>
        <v/>
      </c>
      <c r="E115" s="35" t="str">
        <f aca="false">IF(A115="","",COUNTIFS(Randevular!$C$5:$C$1004,A115,Randevular!$E$5:$E$1004,"Gelmedi"))</f>
        <v/>
      </c>
      <c r="F115" s="17" t="str">
        <f aca="false">IF(A115="","",SUMIFS(Randevular!$G$5:$G$1004,Randevular!$C$5:$C$1004,A115))</f>
        <v/>
      </c>
      <c r="G115" s="41" t="str">
        <f aca="false">IF(A115="","",IF(SUMPRODUCT(MAX((Randevular!$C$5:$C$1004=A115)*(Randevular!$E$5:$E$1004="Geldi")*Randevular!$A$5:$A$1004))=0,"",SUMPRODUCT(MAX((Randevular!$C$5:$C$1004=A115)*(Randevular!$E$5:$E$1004="Geldi")*Randevular!$A$5:$A$1004))))</f>
        <v/>
      </c>
      <c r="H115" s="21" t="str">
        <f aca="false">IF(A115="","",F115+ROW()/1000000)</f>
        <v/>
      </c>
    </row>
    <row r="116" customFormat="false" ht="15" hidden="false" customHeight="false" outlineLevel="0" collapsed="false">
      <c r="A116" s="14"/>
      <c r="B116" s="40"/>
      <c r="C116" s="14"/>
      <c r="D116" s="35" t="str">
        <f aca="false">IF(A116="","",COUNTIFS(Randevular!$C$5:$C$1004,A116,Randevular!$E$5:$E$1004,"&lt;&gt;İptal"))</f>
        <v/>
      </c>
      <c r="E116" s="35" t="str">
        <f aca="false">IF(A116="","",COUNTIFS(Randevular!$C$5:$C$1004,A116,Randevular!$E$5:$E$1004,"Gelmedi"))</f>
        <v/>
      </c>
      <c r="F116" s="17" t="str">
        <f aca="false">IF(A116="","",SUMIFS(Randevular!$G$5:$G$1004,Randevular!$C$5:$C$1004,A116))</f>
        <v/>
      </c>
      <c r="G116" s="41" t="str">
        <f aca="false">IF(A116="","",IF(SUMPRODUCT(MAX((Randevular!$C$5:$C$1004=A116)*(Randevular!$E$5:$E$1004="Geldi")*Randevular!$A$5:$A$1004))=0,"",SUMPRODUCT(MAX((Randevular!$C$5:$C$1004=A116)*(Randevular!$E$5:$E$1004="Geldi")*Randevular!$A$5:$A$1004))))</f>
        <v/>
      </c>
      <c r="H116" s="21" t="str">
        <f aca="false">IF(A116="","",F116+ROW()/1000000)</f>
        <v/>
      </c>
    </row>
    <row r="117" customFormat="false" ht="15" hidden="false" customHeight="false" outlineLevel="0" collapsed="false">
      <c r="A117" s="14"/>
      <c r="B117" s="40"/>
      <c r="C117" s="14"/>
      <c r="D117" s="35" t="str">
        <f aca="false">IF(A117="","",COUNTIFS(Randevular!$C$5:$C$1004,A117,Randevular!$E$5:$E$1004,"&lt;&gt;İptal"))</f>
        <v/>
      </c>
      <c r="E117" s="35" t="str">
        <f aca="false">IF(A117="","",COUNTIFS(Randevular!$C$5:$C$1004,A117,Randevular!$E$5:$E$1004,"Gelmedi"))</f>
        <v/>
      </c>
      <c r="F117" s="17" t="str">
        <f aca="false">IF(A117="","",SUMIFS(Randevular!$G$5:$G$1004,Randevular!$C$5:$C$1004,A117))</f>
        <v/>
      </c>
      <c r="G117" s="41" t="str">
        <f aca="false">IF(A117="","",IF(SUMPRODUCT(MAX((Randevular!$C$5:$C$1004=A117)*(Randevular!$E$5:$E$1004="Geldi")*Randevular!$A$5:$A$1004))=0,"",SUMPRODUCT(MAX((Randevular!$C$5:$C$1004=A117)*(Randevular!$E$5:$E$1004="Geldi")*Randevular!$A$5:$A$1004))))</f>
        <v/>
      </c>
      <c r="H117" s="21" t="str">
        <f aca="false">IF(A117="","",F117+ROW()/1000000)</f>
        <v/>
      </c>
    </row>
    <row r="118" customFormat="false" ht="15" hidden="false" customHeight="false" outlineLevel="0" collapsed="false">
      <c r="A118" s="14"/>
      <c r="B118" s="40"/>
      <c r="C118" s="14"/>
      <c r="D118" s="35" t="str">
        <f aca="false">IF(A118="","",COUNTIFS(Randevular!$C$5:$C$1004,A118,Randevular!$E$5:$E$1004,"&lt;&gt;İptal"))</f>
        <v/>
      </c>
      <c r="E118" s="35" t="str">
        <f aca="false">IF(A118="","",COUNTIFS(Randevular!$C$5:$C$1004,A118,Randevular!$E$5:$E$1004,"Gelmedi"))</f>
        <v/>
      </c>
      <c r="F118" s="17" t="str">
        <f aca="false">IF(A118="","",SUMIFS(Randevular!$G$5:$G$1004,Randevular!$C$5:$C$1004,A118))</f>
        <v/>
      </c>
      <c r="G118" s="41" t="str">
        <f aca="false">IF(A118="","",IF(SUMPRODUCT(MAX((Randevular!$C$5:$C$1004=A118)*(Randevular!$E$5:$E$1004="Geldi")*Randevular!$A$5:$A$1004))=0,"",SUMPRODUCT(MAX((Randevular!$C$5:$C$1004=A118)*(Randevular!$E$5:$E$1004="Geldi")*Randevular!$A$5:$A$1004))))</f>
        <v/>
      </c>
      <c r="H118" s="21" t="str">
        <f aca="false">IF(A118="","",F118+ROW()/1000000)</f>
        <v/>
      </c>
    </row>
    <row r="119" customFormat="false" ht="15" hidden="false" customHeight="false" outlineLevel="0" collapsed="false">
      <c r="A119" s="14"/>
      <c r="B119" s="40"/>
      <c r="C119" s="14"/>
      <c r="D119" s="35" t="str">
        <f aca="false">IF(A119="","",COUNTIFS(Randevular!$C$5:$C$1004,A119,Randevular!$E$5:$E$1004,"&lt;&gt;İptal"))</f>
        <v/>
      </c>
      <c r="E119" s="35" t="str">
        <f aca="false">IF(A119="","",COUNTIFS(Randevular!$C$5:$C$1004,A119,Randevular!$E$5:$E$1004,"Gelmedi"))</f>
        <v/>
      </c>
      <c r="F119" s="17" t="str">
        <f aca="false">IF(A119="","",SUMIFS(Randevular!$G$5:$G$1004,Randevular!$C$5:$C$1004,A119))</f>
        <v/>
      </c>
      <c r="G119" s="41" t="str">
        <f aca="false">IF(A119="","",IF(SUMPRODUCT(MAX((Randevular!$C$5:$C$1004=A119)*(Randevular!$E$5:$E$1004="Geldi")*Randevular!$A$5:$A$1004))=0,"",SUMPRODUCT(MAX((Randevular!$C$5:$C$1004=A119)*(Randevular!$E$5:$E$1004="Geldi")*Randevular!$A$5:$A$1004))))</f>
        <v/>
      </c>
      <c r="H119" s="21" t="str">
        <f aca="false">IF(A119="","",F119+ROW()/1000000)</f>
        <v/>
      </c>
    </row>
    <row r="120" customFormat="false" ht="15" hidden="false" customHeight="false" outlineLevel="0" collapsed="false">
      <c r="A120" s="14"/>
      <c r="B120" s="40"/>
      <c r="C120" s="14"/>
      <c r="D120" s="35" t="str">
        <f aca="false">IF(A120="","",COUNTIFS(Randevular!$C$5:$C$1004,A120,Randevular!$E$5:$E$1004,"&lt;&gt;İptal"))</f>
        <v/>
      </c>
      <c r="E120" s="35" t="str">
        <f aca="false">IF(A120="","",COUNTIFS(Randevular!$C$5:$C$1004,A120,Randevular!$E$5:$E$1004,"Gelmedi"))</f>
        <v/>
      </c>
      <c r="F120" s="17" t="str">
        <f aca="false">IF(A120="","",SUMIFS(Randevular!$G$5:$G$1004,Randevular!$C$5:$C$1004,A120))</f>
        <v/>
      </c>
      <c r="G120" s="41" t="str">
        <f aca="false">IF(A120="","",IF(SUMPRODUCT(MAX((Randevular!$C$5:$C$1004=A120)*(Randevular!$E$5:$E$1004="Geldi")*Randevular!$A$5:$A$1004))=0,"",SUMPRODUCT(MAX((Randevular!$C$5:$C$1004=A120)*(Randevular!$E$5:$E$1004="Geldi")*Randevular!$A$5:$A$1004))))</f>
        <v/>
      </c>
      <c r="H120" s="21" t="str">
        <f aca="false">IF(A120="","",F120+ROW()/1000000)</f>
        <v/>
      </c>
    </row>
    <row r="121" customFormat="false" ht="15" hidden="false" customHeight="false" outlineLevel="0" collapsed="false">
      <c r="A121" s="14"/>
      <c r="B121" s="40"/>
      <c r="C121" s="14"/>
      <c r="D121" s="35" t="str">
        <f aca="false">IF(A121="","",COUNTIFS(Randevular!$C$5:$C$1004,A121,Randevular!$E$5:$E$1004,"&lt;&gt;İptal"))</f>
        <v/>
      </c>
      <c r="E121" s="35" t="str">
        <f aca="false">IF(A121="","",COUNTIFS(Randevular!$C$5:$C$1004,A121,Randevular!$E$5:$E$1004,"Gelmedi"))</f>
        <v/>
      </c>
      <c r="F121" s="17" t="str">
        <f aca="false">IF(A121="","",SUMIFS(Randevular!$G$5:$G$1004,Randevular!$C$5:$C$1004,A121))</f>
        <v/>
      </c>
      <c r="G121" s="41" t="str">
        <f aca="false">IF(A121="","",IF(SUMPRODUCT(MAX((Randevular!$C$5:$C$1004=A121)*(Randevular!$E$5:$E$1004="Geldi")*Randevular!$A$5:$A$1004))=0,"",SUMPRODUCT(MAX((Randevular!$C$5:$C$1004=A121)*(Randevular!$E$5:$E$1004="Geldi")*Randevular!$A$5:$A$1004))))</f>
        <v/>
      </c>
      <c r="H121" s="21" t="str">
        <f aca="false">IF(A121="","",F121+ROW()/1000000)</f>
        <v/>
      </c>
    </row>
    <row r="122" customFormat="false" ht="15" hidden="false" customHeight="false" outlineLevel="0" collapsed="false">
      <c r="A122" s="14"/>
      <c r="B122" s="40"/>
      <c r="C122" s="14"/>
      <c r="D122" s="35" t="str">
        <f aca="false">IF(A122="","",COUNTIFS(Randevular!$C$5:$C$1004,A122,Randevular!$E$5:$E$1004,"&lt;&gt;İptal"))</f>
        <v/>
      </c>
      <c r="E122" s="35" t="str">
        <f aca="false">IF(A122="","",COUNTIFS(Randevular!$C$5:$C$1004,A122,Randevular!$E$5:$E$1004,"Gelmedi"))</f>
        <v/>
      </c>
      <c r="F122" s="17" t="str">
        <f aca="false">IF(A122="","",SUMIFS(Randevular!$G$5:$G$1004,Randevular!$C$5:$C$1004,A122))</f>
        <v/>
      </c>
      <c r="G122" s="41" t="str">
        <f aca="false">IF(A122="","",IF(SUMPRODUCT(MAX((Randevular!$C$5:$C$1004=A122)*(Randevular!$E$5:$E$1004="Geldi")*Randevular!$A$5:$A$1004))=0,"",SUMPRODUCT(MAX((Randevular!$C$5:$C$1004=A122)*(Randevular!$E$5:$E$1004="Geldi")*Randevular!$A$5:$A$1004))))</f>
        <v/>
      </c>
      <c r="H122" s="21" t="str">
        <f aca="false">IF(A122="","",F122+ROW()/1000000)</f>
        <v/>
      </c>
    </row>
    <row r="123" customFormat="false" ht="15" hidden="false" customHeight="false" outlineLevel="0" collapsed="false">
      <c r="A123" s="14"/>
      <c r="B123" s="40"/>
      <c r="C123" s="14"/>
      <c r="D123" s="35" t="str">
        <f aca="false">IF(A123="","",COUNTIFS(Randevular!$C$5:$C$1004,A123,Randevular!$E$5:$E$1004,"&lt;&gt;İptal"))</f>
        <v/>
      </c>
      <c r="E123" s="35" t="str">
        <f aca="false">IF(A123="","",COUNTIFS(Randevular!$C$5:$C$1004,A123,Randevular!$E$5:$E$1004,"Gelmedi"))</f>
        <v/>
      </c>
      <c r="F123" s="17" t="str">
        <f aca="false">IF(A123="","",SUMIFS(Randevular!$G$5:$G$1004,Randevular!$C$5:$C$1004,A123))</f>
        <v/>
      </c>
      <c r="G123" s="41" t="str">
        <f aca="false">IF(A123="","",IF(SUMPRODUCT(MAX((Randevular!$C$5:$C$1004=A123)*(Randevular!$E$5:$E$1004="Geldi")*Randevular!$A$5:$A$1004))=0,"",SUMPRODUCT(MAX((Randevular!$C$5:$C$1004=A123)*(Randevular!$E$5:$E$1004="Geldi")*Randevular!$A$5:$A$1004))))</f>
        <v/>
      </c>
      <c r="H123" s="21" t="str">
        <f aca="false">IF(A123="","",F123+ROW()/1000000)</f>
        <v/>
      </c>
    </row>
    <row r="124" customFormat="false" ht="15" hidden="false" customHeight="false" outlineLevel="0" collapsed="false">
      <c r="A124" s="14"/>
      <c r="B124" s="40"/>
      <c r="C124" s="14"/>
      <c r="D124" s="35" t="str">
        <f aca="false">IF(A124="","",COUNTIFS(Randevular!$C$5:$C$1004,A124,Randevular!$E$5:$E$1004,"&lt;&gt;İptal"))</f>
        <v/>
      </c>
      <c r="E124" s="35" t="str">
        <f aca="false">IF(A124="","",COUNTIFS(Randevular!$C$5:$C$1004,A124,Randevular!$E$5:$E$1004,"Gelmedi"))</f>
        <v/>
      </c>
      <c r="F124" s="17" t="str">
        <f aca="false">IF(A124="","",SUMIFS(Randevular!$G$5:$G$1004,Randevular!$C$5:$C$1004,A124))</f>
        <v/>
      </c>
      <c r="G124" s="41" t="str">
        <f aca="false">IF(A124="","",IF(SUMPRODUCT(MAX((Randevular!$C$5:$C$1004=A124)*(Randevular!$E$5:$E$1004="Geldi")*Randevular!$A$5:$A$1004))=0,"",SUMPRODUCT(MAX((Randevular!$C$5:$C$1004=A124)*(Randevular!$E$5:$E$1004="Geldi")*Randevular!$A$5:$A$1004))))</f>
        <v/>
      </c>
      <c r="H124" s="21" t="str">
        <f aca="false">IF(A124="","",F124+ROW()/1000000)</f>
        <v/>
      </c>
    </row>
    <row r="125" customFormat="false" ht="15" hidden="false" customHeight="false" outlineLevel="0" collapsed="false">
      <c r="A125" s="14"/>
      <c r="B125" s="40"/>
      <c r="C125" s="14"/>
      <c r="D125" s="35" t="str">
        <f aca="false">IF(A125="","",COUNTIFS(Randevular!$C$5:$C$1004,A125,Randevular!$E$5:$E$1004,"&lt;&gt;İptal"))</f>
        <v/>
      </c>
      <c r="E125" s="35" t="str">
        <f aca="false">IF(A125="","",COUNTIFS(Randevular!$C$5:$C$1004,A125,Randevular!$E$5:$E$1004,"Gelmedi"))</f>
        <v/>
      </c>
      <c r="F125" s="17" t="str">
        <f aca="false">IF(A125="","",SUMIFS(Randevular!$G$5:$G$1004,Randevular!$C$5:$C$1004,A125))</f>
        <v/>
      </c>
      <c r="G125" s="41" t="str">
        <f aca="false">IF(A125="","",IF(SUMPRODUCT(MAX((Randevular!$C$5:$C$1004=A125)*(Randevular!$E$5:$E$1004="Geldi")*Randevular!$A$5:$A$1004))=0,"",SUMPRODUCT(MAX((Randevular!$C$5:$C$1004=A125)*(Randevular!$E$5:$E$1004="Geldi")*Randevular!$A$5:$A$1004))))</f>
        <v/>
      </c>
      <c r="H125" s="21" t="str">
        <f aca="false">IF(A125="","",F125+ROW()/1000000)</f>
        <v/>
      </c>
    </row>
    <row r="126" customFormat="false" ht="15" hidden="false" customHeight="false" outlineLevel="0" collapsed="false">
      <c r="A126" s="14"/>
      <c r="B126" s="40"/>
      <c r="C126" s="14"/>
      <c r="D126" s="35" t="str">
        <f aca="false">IF(A126="","",COUNTIFS(Randevular!$C$5:$C$1004,A126,Randevular!$E$5:$E$1004,"&lt;&gt;İptal"))</f>
        <v/>
      </c>
      <c r="E126" s="35" t="str">
        <f aca="false">IF(A126="","",COUNTIFS(Randevular!$C$5:$C$1004,A126,Randevular!$E$5:$E$1004,"Gelmedi"))</f>
        <v/>
      </c>
      <c r="F126" s="17" t="str">
        <f aca="false">IF(A126="","",SUMIFS(Randevular!$G$5:$G$1004,Randevular!$C$5:$C$1004,A126))</f>
        <v/>
      </c>
      <c r="G126" s="41" t="str">
        <f aca="false">IF(A126="","",IF(SUMPRODUCT(MAX((Randevular!$C$5:$C$1004=A126)*(Randevular!$E$5:$E$1004="Geldi")*Randevular!$A$5:$A$1004))=0,"",SUMPRODUCT(MAX((Randevular!$C$5:$C$1004=A126)*(Randevular!$E$5:$E$1004="Geldi")*Randevular!$A$5:$A$1004))))</f>
        <v/>
      </c>
      <c r="H126" s="21" t="str">
        <f aca="false">IF(A126="","",F126+ROW()/1000000)</f>
        <v/>
      </c>
    </row>
    <row r="127" customFormat="false" ht="15" hidden="false" customHeight="false" outlineLevel="0" collapsed="false">
      <c r="A127" s="14"/>
      <c r="B127" s="40"/>
      <c r="C127" s="14"/>
      <c r="D127" s="35" t="str">
        <f aca="false">IF(A127="","",COUNTIFS(Randevular!$C$5:$C$1004,A127,Randevular!$E$5:$E$1004,"&lt;&gt;İptal"))</f>
        <v/>
      </c>
      <c r="E127" s="35" t="str">
        <f aca="false">IF(A127="","",COUNTIFS(Randevular!$C$5:$C$1004,A127,Randevular!$E$5:$E$1004,"Gelmedi"))</f>
        <v/>
      </c>
      <c r="F127" s="17" t="str">
        <f aca="false">IF(A127="","",SUMIFS(Randevular!$G$5:$G$1004,Randevular!$C$5:$C$1004,A127))</f>
        <v/>
      </c>
      <c r="G127" s="41" t="str">
        <f aca="false">IF(A127="","",IF(SUMPRODUCT(MAX((Randevular!$C$5:$C$1004=A127)*(Randevular!$E$5:$E$1004="Geldi")*Randevular!$A$5:$A$1004))=0,"",SUMPRODUCT(MAX((Randevular!$C$5:$C$1004=A127)*(Randevular!$E$5:$E$1004="Geldi")*Randevular!$A$5:$A$1004))))</f>
        <v/>
      </c>
      <c r="H127" s="21" t="str">
        <f aca="false">IF(A127="","",F127+ROW()/1000000)</f>
        <v/>
      </c>
    </row>
    <row r="128" customFormat="false" ht="15" hidden="false" customHeight="false" outlineLevel="0" collapsed="false">
      <c r="A128" s="14"/>
      <c r="B128" s="40"/>
      <c r="C128" s="14"/>
      <c r="D128" s="35" t="str">
        <f aca="false">IF(A128="","",COUNTIFS(Randevular!$C$5:$C$1004,A128,Randevular!$E$5:$E$1004,"&lt;&gt;İptal"))</f>
        <v/>
      </c>
      <c r="E128" s="35" t="str">
        <f aca="false">IF(A128="","",COUNTIFS(Randevular!$C$5:$C$1004,A128,Randevular!$E$5:$E$1004,"Gelmedi"))</f>
        <v/>
      </c>
      <c r="F128" s="17" t="str">
        <f aca="false">IF(A128="","",SUMIFS(Randevular!$G$5:$G$1004,Randevular!$C$5:$C$1004,A128))</f>
        <v/>
      </c>
      <c r="G128" s="41" t="str">
        <f aca="false">IF(A128="","",IF(SUMPRODUCT(MAX((Randevular!$C$5:$C$1004=A128)*(Randevular!$E$5:$E$1004="Geldi")*Randevular!$A$5:$A$1004))=0,"",SUMPRODUCT(MAX((Randevular!$C$5:$C$1004=A128)*(Randevular!$E$5:$E$1004="Geldi")*Randevular!$A$5:$A$1004))))</f>
        <v/>
      </c>
      <c r="H128" s="21" t="str">
        <f aca="false">IF(A128="","",F128+ROW()/1000000)</f>
        <v/>
      </c>
    </row>
    <row r="129" customFormat="false" ht="15" hidden="false" customHeight="false" outlineLevel="0" collapsed="false">
      <c r="A129" s="14"/>
      <c r="B129" s="40"/>
      <c r="C129" s="14"/>
      <c r="D129" s="35" t="str">
        <f aca="false">IF(A129="","",COUNTIFS(Randevular!$C$5:$C$1004,A129,Randevular!$E$5:$E$1004,"&lt;&gt;İptal"))</f>
        <v/>
      </c>
      <c r="E129" s="35" t="str">
        <f aca="false">IF(A129="","",COUNTIFS(Randevular!$C$5:$C$1004,A129,Randevular!$E$5:$E$1004,"Gelmedi"))</f>
        <v/>
      </c>
      <c r="F129" s="17" t="str">
        <f aca="false">IF(A129="","",SUMIFS(Randevular!$G$5:$G$1004,Randevular!$C$5:$C$1004,A129))</f>
        <v/>
      </c>
      <c r="G129" s="41" t="str">
        <f aca="false">IF(A129="","",IF(SUMPRODUCT(MAX((Randevular!$C$5:$C$1004=A129)*(Randevular!$E$5:$E$1004="Geldi")*Randevular!$A$5:$A$1004))=0,"",SUMPRODUCT(MAX((Randevular!$C$5:$C$1004=A129)*(Randevular!$E$5:$E$1004="Geldi")*Randevular!$A$5:$A$1004))))</f>
        <v/>
      </c>
      <c r="H129" s="21" t="str">
        <f aca="false">IF(A129="","",F129+ROW()/1000000)</f>
        <v/>
      </c>
    </row>
    <row r="130" customFormat="false" ht="15" hidden="false" customHeight="false" outlineLevel="0" collapsed="false">
      <c r="A130" s="14"/>
      <c r="B130" s="40"/>
      <c r="C130" s="14"/>
      <c r="D130" s="35" t="str">
        <f aca="false">IF(A130="","",COUNTIFS(Randevular!$C$5:$C$1004,A130,Randevular!$E$5:$E$1004,"&lt;&gt;İptal"))</f>
        <v/>
      </c>
      <c r="E130" s="35" t="str">
        <f aca="false">IF(A130="","",COUNTIFS(Randevular!$C$5:$C$1004,A130,Randevular!$E$5:$E$1004,"Gelmedi"))</f>
        <v/>
      </c>
      <c r="F130" s="17" t="str">
        <f aca="false">IF(A130="","",SUMIFS(Randevular!$G$5:$G$1004,Randevular!$C$5:$C$1004,A130))</f>
        <v/>
      </c>
      <c r="G130" s="41" t="str">
        <f aca="false">IF(A130="","",IF(SUMPRODUCT(MAX((Randevular!$C$5:$C$1004=A130)*(Randevular!$E$5:$E$1004="Geldi")*Randevular!$A$5:$A$1004))=0,"",SUMPRODUCT(MAX((Randevular!$C$5:$C$1004=A130)*(Randevular!$E$5:$E$1004="Geldi")*Randevular!$A$5:$A$1004))))</f>
        <v/>
      </c>
      <c r="H130" s="21" t="str">
        <f aca="false">IF(A130="","",F130+ROW()/1000000)</f>
        <v/>
      </c>
    </row>
    <row r="131" customFormat="false" ht="15" hidden="false" customHeight="false" outlineLevel="0" collapsed="false">
      <c r="A131" s="14"/>
      <c r="B131" s="40"/>
      <c r="C131" s="14"/>
      <c r="D131" s="35" t="str">
        <f aca="false">IF(A131="","",COUNTIFS(Randevular!$C$5:$C$1004,A131,Randevular!$E$5:$E$1004,"&lt;&gt;İptal"))</f>
        <v/>
      </c>
      <c r="E131" s="35" t="str">
        <f aca="false">IF(A131="","",COUNTIFS(Randevular!$C$5:$C$1004,A131,Randevular!$E$5:$E$1004,"Gelmedi"))</f>
        <v/>
      </c>
      <c r="F131" s="17" t="str">
        <f aca="false">IF(A131="","",SUMIFS(Randevular!$G$5:$G$1004,Randevular!$C$5:$C$1004,A131))</f>
        <v/>
      </c>
      <c r="G131" s="41" t="str">
        <f aca="false">IF(A131="","",IF(SUMPRODUCT(MAX((Randevular!$C$5:$C$1004=A131)*(Randevular!$E$5:$E$1004="Geldi")*Randevular!$A$5:$A$1004))=0,"",SUMPRODUCT(MAX((Randevular!$C$5:$C$1004=A131)*(Randevular!$E$5:$E$1004="Geldi")*Randevular!$A$5:$A$1004))))</f>
        <v/>
      </c>
      <c r="H131" s="21" t="str">
        <f aca="false">IF(A131="","",F131+ROW()/1000000)</f>
        <v/>
      </c>
    </row>
    <row r="132" customFormat="false" ht="15" hidden="false" customHeight="false" outlineLevel="0" collapsed="false">
      <c r="A132" s="14"/>
      <c r="B132" s="40"/>
      <c r="C132" s="14"/>
      <c r="D132" s="35" t="str">
        <f aca="false">IF(A132="","",COUNTIFS(Randevular!$C$5:$C$1004,A132,Randevular!$E$5:$E$1004,"&lt;&gt;İptal"))</f>
        <v/>
      </c>
      <c r="E132" s="35" t="str">
        <f aca="false">IF(A132="","",COUNTIFS(Randevular!$C$5:$C$1004,A132,Randevular!$E$5:$E$1004,"Gelmedi"))</f>
        <v/>
      </c>
      <c r="F132" s="17" t="str">
        <f aca="false">IF(A132="","",SUMIFS(Randevular!$G$5:$G$1004,Randevular!$C$5:$C$1004,A132))</f>
        <v/>
      </c>
      <c r="G132" s="41" t="str">
        <f aca="false">IF(A132="","",IF(SUMPRODUCT(MAX((Randevular!$C$5:$C$1004=A132)*(Randevular!$E$5:$E$1004="Geldi")*Randevular!$A$5:$A$1004))=0,"",SUMPRODUCT(MAX((Randevular!$C$5:$C$1004=A132)*(Randevular!$E$5:$E$1004="Geldi")*Randevular!$A$5:$A$1004))))</f>
        <v/>
      </c>
      <c r="H132" s="21" t="str">
        <f aca="false">IF(A132="","",F132+ROW()/1000000)</f>
        <v/>
      </c>
    </row>
    <row r="133" customFormat="false" ht="15" hidden="false" customHeight="false" outlineLevel="0" collapsed="false">
      <c r="A133" s="14"/>
      <c r="B133" s="40"/>
      <c r="C133" s="14"/>
      <c r="D133" s="35" t="str">
        <f aca="false">IF(A133="","",COUNTIFS(Randevular!$C$5:$C$1004,A133,Randevular!$E$5:$E$1004,"&lt;&gt;İptal"))</f>
        <v/>
      </c>
      <c r="E133" s="35" t="str">
        <f aca="false">IF(A133="","",COUNTIFS(Randevular!$C$5:$C$1004,A133,Randevular!$E$5:$E$1004,"Gelmedi"))</f>
        <v/>
      </c>
      <c r="F133" s="17" t="str">
        <f aca="false">IF(A133="","",SUMIFS(Randevular!$G$5:$G$1004,Randevular!$C$5:$C$1004,A133))</f>
        <v/>
      </c>
      <c r="G133" s="41" t="str">
        <f aca="false">IF(A133="","",IF(SUMPRODUCT(MAX((Randevular!$C$5:$C$1004=A133)*(Randevular!$E$5:$E$1004="Geldi")*Randevular!$A$5:$A$1004))=0,"",SUMPRODUCT(MAX((Randevular!$C$5:$C$1004=A133)*(Randevular!$E$5:$E$1004="Geldi")*Randevular!$A$5:$A$1004))))</f>
        <v/>
      </c>
      <c r="H133" s="21" t="str">
        <f aca="false">IF(A133="","",F133+ROW()/1000000)</f>
        <v/>
      </c>
    </row>
    <row r="134" customFormat="false" ht="15" hidden="false" customHeight="false" outlineLevel="0" collapsed="false">
      <c r="A134" s="14"/>
      <c r="B134" s="40"/>
      <c r="C134" s="14"/>
      <c r="D134" s="35" t="str">
        <f aca="false">IF(A134="","",COUNTIFS(Randevular!$C$5:$C$1004,A134,Randevular!$E$5:$E$1004,"&lt;&gt;İptal"))</f>
        <v/>
      </c>
      <c r="E134" s="35" t="str">
        <f aca="false">IF(A134="","",COUNTIFS(Randevular!$C$5:$C$1004,A134,Randevular!$E$5:$E$1004,"Gelmedi"))</f>
        <v/>
      </c>
      <c r="F134" s="17" t="str">
        <f aca="false">IF(A134="","",SUMIFS(Randevular!$G$5:$G$1004,Randevular!$C$5:$C$1004,A134))</f>
        <v/>
      </c>
      <c r="G134" s="41" t="str">
        <f aca="false">IF(A134="","",IF(SUMPRODUCT(MAX((Randevular!$C$5:$C$1004=A134)*(Randevular!$E$5:$E$1004="Geldi")*Randevular!$A$5:$A$1004))=0,"",SUMPRODUCT(MAX((Randevular!$C$5:$C$1004=A134)*(Randevular!$E$5:$E$1004="Geldi")*Randevular!$A$5:$A$1004))))</f>
        <v/>
      </c>
      <c r="H134" s="21" t="str">
        <f aca="false">IF(A134="","",F134+ROW()/1000000)</f>
        <v/>
      </c>
    </row>
    <row r="135" customFormat="false" ht="15" hidden="false" customHeight="false" outlineLevel="0" collapsed="false">
      <c r="A135" s="14"/>
      <c r="B135" s="40"/>
      <c r="C135" s="14"/>
      <c r="D135" s="35" t="str">
        <f aca="false">IF(A135="","",COUNTIFS(Randevular!$C$5:$C$1004,A135,Randevular!$E$5:$E$1004,"&lt;&gt;İptal"))</f>
        <v/>
      </c>
      <c r="E135" s="35" t="str">
        <f aca="false">IF(A135="","",COUNTIFS(Randevular!$C$5:$C$1004,A135,Randevular!$E$5:$E$1004,"Gelmedi"))</f>
        <v/>
      </c>
      <c r="F135" s="17" t="str">
        <f aca="false">IF(A135="","",SUMIFS(Randevular!$G$5:$G$1004,Randevular!$C$5:$C$1004,A135))</f>
        <v/>
      </c>
      <c r="G135" s="41" t="str">
        <f aca="false">IF(A135="","",IF(SUMPRODUCT(MAX((Randevular!$C$5:$C$1004=A135)*(Randevular!$E$5:$E$1004="Geldi")*Randevular!$A$5:$A$1004))=0,"",SUMPRODUCT(MAX((Randevular!$C$5:$C$1004=A135)*(Randevular!$E$5:$E$1004="Geldi")*Randevular!$A$5:$A$1004))))</f>
        <v/>
      </c>
      <c r="H135" s="21" t="str">
        <f aca="false">IF(A135="","",F135+ROW()/1000000)</f>
        <v/>
      </c>
    </row>
    <row r="136" customFormat="false" ht="15" hidden="false" customHeight="false" outlineLevel="0" collapsed="false">
      <c r="A136" s="14"/>
      <c r="B136" s="40"/>
      <c r="C136" s="14"/>
      <c r="D136" s="35" t="str">
        <f aca="false">IF(A136="","",COUNTIFS(Randevular!$C$5:$C$1004,A136,Randevular!$E$5:$E$1004,"&lt;&gt;İptal"))</f>
        <v/>
      </c>
      <c r="E136" s="35" t="str">
        <f aca="false">IF(A136="","",COUNTIFS(Randevular!$C$5:$C$1004,A136,Randevular!$E$5:$E$1004,"Gelmedi"))</f>
        <v/>
      </c>
      <c r="F136" s="17" t="str">
        <f aca="false">IF(A136="","",SUMIFS(Randevular!$G$5:$G$1004,Randevular!$C$5:$C$1004,A136))</f>
        <v/>
      </c>
      <c r="G136" s="41" t="str">
        <f aca="false">IF(A136="","",IF(SUMPRODUCT(MAX((Randevular!$C$5:$C$1004=A136)*(Randevular!$E$5:$E$1004="Geldi")*Randevular!$A$5:$A$1004))=0,"",SUMPRODUCT(MAX((Randevular!$C$5:$C$1004=A136)*(Randevular!$E$5:$E$1004="Geldi")*Randevular!$A$5:$A$1004))))</f>
        <v/>
      </c>
      <c r="H136" s="21" t="str">
        <f aca="false">IF(A136="","",F136+ROW()/1000000)</f>
        <v/>
      </c>
    </row>
    <row r="137" customFormat="false" ht="15" hidden="false" customHeight="false" outlineLevel="0" collapsed="false">
      <c r="A137" s="14"/>
      <c r="B137" s="40"/>
      <c r="C137" s="14"/>
      <c r="D137" s="35" t="str">
        <f aca="false">IF(A137="","",COUNTIFS(Randevular!$C$5:$C$1004,A137,Randevular!$E$5:$E$1004,"&lt;&gt;İptal"))</f>
        <v/>
      </c>
      <c r="E137" s="35" t="str">
        <f aca="false">IF(A137="","",COUNTIFS(Randevular!$C$5:$C$1004,A137,Randevular!$E$5:$E$1004,"Gelmedi"))</f>
        <v/>
      </c>
      <c r="F137" s="17" t="str">
        <f aca="false">IF(A137="","",SUMIFS(Randevular!$G$5:$G$1004,Randevular!$C$5:$C$1004,A137))</f>
        <v/>
      </c>
      <c r="G137" s="41" t="str">
        <f aca="false">IF(A137="","",IF(SUMPRODUCT(MAX((Randevular!$C$5:$C$1004=A137)*(Randevular!$E$5:$E$1004="Geldi")*Randevular!$A$5:$A$1004))=0,"",SUMPRODUCT(MAX((Randevular!$C$5:$C$1004=A137)*(Randevular!$E$5:$E$1004="Geldi")*Randevular!$A$5:$A$1004))))</f>
        <v/>
      </c>
      <c r="H137" s="21" t="str">
        <f aca="false">IF(A137="","",F137+ROW()/1000000)</f>
        <v/>
      </c>
    </row>
    <row r="138" customFormat="false" ht="15" hidden="false" customHeight="false" outlineLevel="0" collapsed="false">
      <c r="A138" s="14"/>
      <c r="B138" s="40"/>
      <c r="C138" s="14"/>
      <c r="D138" s="35" t="str">
        <f aca="false">IF(A138="","",COUNTIFS(Randevular!$C$5:$C$1004,A138,Randevular!$E$5:$E$1004,"&lt;&gt;İptal"))</f>
        <v/>
      </c>
      <c r="E138" s="35" t="str">
        <f aca="false">IF(A138="","",COUNTIFS(Randevular!$C$5:$C$1004,A138,Randevular!$E$5:$E$1004,"Gelmedi"))</f>
        <v/>
      </c>
      <c r="F138" s="17" t="str">
        <f aca="false">IF(A138="","",SUMIFS(Randevular!$G$5:$G$1004,Randevular!$C$5:$C$1004,A138))</f>
        <v/>
      </c>
      <c r="G138" s="41" t="str">
        <f aca="false">IF(A138="","",IF(SUMPRODUCT(MAX((Randevular!$C$5:$C$1004=A138)*(Randevular!$E$5:$E$1004="Geldi")*Randevular!$A$5:$A$1004))=0,"",SUMPRODUCT(MAX((Randevular!$C$5:$C$1004=A138)*(Randevular!$E$5:$E$1004="Geldi")*Randevular!$A$5:$A$1004))))</f>
        <v/>
      </c>
      <c r="H138" s="21" t="str">
        <f aca="false">IF(A138="","",F138+ROW()/1000000)</f>
        <v/>
      </c>
    </row>
    <row r="139" customFormat="false" ht="15" hidden="false" customHeight="false" outlineLevel="0" collapsed="false">
      <c r="A139" s="14"/>
      <c r="B139" s="40"/>
      <c r="C139" s="14"/>
      <c r="D139" s="35" t="str">
        <f aca="false">IF(A139="","",COUNTIFS(Randevular!$C$5:$C$1004,A139,Randevular!$E$5:$E$1004,"&lt;&gt;İptal"))</f>
        <v/>
      </c>
      <c r="E139" s="35" t="str">
        <f aca="false">IF(A139="","",COUNTIFS(Randevular!$C$5:$C$1004,A139,Randevular!$E$5:$E$1004,"Gelmedi"))</f>
        <v/>
      </c>
      <c r="F139" s="17" t="str">
        <f aca="false">IF(A139="","",SUMIFS(Randevular!$G$5:$G$1004,Randevular!$C$5:$C$1004,A139))</f>
        <v/>
      </c>
      <c r="G139" s="41" t="str">
        <f aca="false">IF(A139="","",IF(SUMPRODUCT(MAX((Randevular!$C$5:$C$1004=A139)*(Randevular!$E$5:$E$1004="Geldi")*Randevular!$A$5:$A$1004))=0,"",SUMPRODUCT(MAX((Randevular!$C$5:$C$1004=A139)*(Randevular!$E$5:$E$1004="Geldi")*Randevular!$A$5:$A$1004))))</f>
        <v/>
      </c>
      <c r="H139" s="21" t="str">
        <f aca="false">IF(A139="","",F139+ROW()/1000000)</f>
        <v/>
      </c>
    </row>
    <row r="140" customFormat="false" ht="15" hidden="false" customHeight="false" outlineLevel="0" collapsed="false">
      <c r="A140" s="14"/>
      <c r="B140" s="40"/>
      <c r="C140" s="14"/>
      <c r="D140" s="35" t="str">
        <f aca="false">IF(A140="","",COUNTIFS(Randevular!$C$5:$C$1004,A140,Randevular!$E$5:$E$1004,"&lt;&gt;İptal"))</f>
        <v/>
      </c>
      <c r="E140" s="35" t="str">
        <f aca="false">IF(A140="","",COUNTIFS(Randevular!$C$5:$C$1004,A140,Randevular!$E$5:$E$1004,"Gelmedi"))</f>
        <v/>
      </c>
      <c r="F140" s="17" t="str">
        <f aca="false">IF(A140="","",SUMIFS(Randevular!$G$5:$G$1004,Randevular!$C$5:$C$1004,A140))</f>
        <v/>
      </c>
      <c r="G140" s="41" t="str">
        <f aca="false">IF(A140="","",IF(SUMPRODUCT(MAX((Randevular!$C$5:$C$1004=A140)*(Randevular!$E$5:$E$1004="Geldi")*Randevular!$A$5:$A$1004))=0,"",SUMPRODUCT(MAX((Randevular!$C$5:$C$1004=A140)*(Randevular!$E$5:$E$1004="Geldi")*Randevular!$A$5:$A$1004))))</f>
        <v/>
      </c>
      <c r="H140" s="21" t="str">
        <f aca="false">IF(A140="","",F140+ROW()/1000000)</f>
        <v/>
      </c>
    </row>
    <row r="141" customFormat="false" ht="15" hidden="false" customHeight="false" outlineLevel="0" collapsed="false">
      <c r="A141" s="14"/>
      <c r="B141" s="40"/>
      <c r="C141" s="14"/>
      <c r="D141" s="35" t="str">
        <f aca="false">IF(A141="","",COUNTIFS(Randevular!$C$5:$C$1004,A141,Randevular!$E$5:$E$1004,"&lt;&gt;İptal"))</f>
        <v/>
      </c>
      <c r="E141" s="35" t="str">
        <f aca="false">IF(A141="","",COUNTIFS(Randevular!$C$5:$C$1004,A141,Randevular!$E$5:$E$1004,"Gelmedi"))</f>
        <v/>
      </c>
      <c r="F141" s="17" t="str">
        <f aca="false">IF(A141="","",SUMIFS(Randevular!$G$5:$G$1004,Randevular!$C$5:$C$1004,A141))</f>
        <v/>
      </c>
      <c r="G141" s="41" t="str">
        <f aca="false">IF(A141="","",IF(SUMPRODUCT(MAX((Randevular!$C$5:$C$1004=A141)*(Randevular!$E$5:$E$1004="Geldi")*Randevular!$A$5:$A$1004))=0,"",SUMPRODUCT(MAX((Randevular!$C$5:$C$1004=A141)*(Randevular!$E$5:$E$1004="Geldi")*Randevular!$A$5:$A$1004))))</f>
        <v/>
      </c>
      <c r="H141" s="21" t="str">
        <f aca="false">IF(A141="","",F141+ROW()/1000000)</f>
        <v/>
      </c>
    </row>
    <row r="142" customFormat="false" ht="15" hidden="false" customHeight="false" outlineLevel="0" collapsed="false">
      <c r="A142" s="14"/>
      <c r="B142" s="40"/>
      <c r="C142" s="14"/>
      <c r="D142" s="35" t="str">
        <f aca="false">IF(A142="","",COUNTIFS(Randevular!$C$5:$C$1004,A142,Randevular!$E$5:$E$1004,"&lt;&gt;İptal"))</f>
        <v/>
      </c>
      <c r="E142" s="35" t="str">
        <f aca="false">IF(A142="","",COUNTIFS(Randevular!$C$5:$C$1004,A142,Randevular!$E$5:$E$1004,"Gelmedi"))</f>
        <v/>
      </c>
      <c r="F142" s="17" t="str">
        <f aca="false">IF(A142="","",SUMIFS(Randevular!$G$5:$G$1004,Randevular!$C$5:$C$1004,A142))</f>
        <v/>
      </c>
      <c r="G142" s="41" t="str">
        <f aca="false">IF(A142="","",IF(SUMPRODUCT(MAX((Randevular!$C$5:$C$1004=A142)*(Randevular!$E$5:$E$1004="Geldi")*Randevular!$A$5:$A$1004))=0,"",SUMPRODUCT(MAX((Randevular!$C$5:$C$1004=A142)*(Randevular!$E$5:$E$1004="Geldi")*Randevular!$A$5:$A$1004))))</f>
        <v/>
      </c>
      <c r="H142" s="21" t="str">
        <f aca="false">IF(A142="","",F142+ROW()/1000000)</f>
        <v/>
      </c>
    </row>
    <row r="143" customFormat="false" ht="15" hidden="false" customHeight="false" outlineLevel="0" collapsed="false">
      <c r="A143" s="14"/>
      <c r="B143" s="40"/>
      <c r="C143" s="14"/>
      <c r="D143" s="35" t="str">
        <f aca="false">IF(A143="","",COUNTIFS(Randevular!$C$5:$C$1004,A143,Randevular!$E$5:$E$1004,"&lt;&gt;İptal"))</f>
        <v/>
      </c>
      <c r="E143" s="35" t="str">
        <f aca="false">IF(A143="","",COUNTIFS(Randevular!$C$5:$C$1004,A143,Randevular!$E$5:$E$1004,"Gelmedi"))</f>
        <v/>
      </c>
      <c r="F143" s="17" t="str">
        <f aca="false">IF(A143="","",SUMIFS(Randevular!$G$5:$G$1004,Randevular!$C$5:$C$1004,A143))</f>
        <v/>
      </c>
      <c r="G143" s="41" t="str">
        <f aca="false">IF(A143="","",IF(SUMPRODUCT(MAX((Randevular!$C$5:$C$1004=A143)*(Randevular!$E$5:$E$1004="Geldi")*Randevular!$A$5:$A$1004))=0,"",SUMPRODUCT(MAX((Randevular!$C$5:$C$1004=A143)*(Randevular!$E$5:$E$1004="Geldi")*Randevular!$A$5:$A$1004))))</f>
        <v/>
      </c>
      <c r="H143" s="21" t="str">
        <f aca="false">IF(A143="","",F143+ROW()/1000000)</f>
        <v/>
      </c>
    </row>
    <row r="144" customFormat="false" ht="15" hidden="false" customHeight="false" outlineLevel="0" collapsed="false">
      <c r="A144" s="14"/>
      <c r="B144" s="40"/>
      <c r="C144" s="14"/>
      <c r="D144" s="35" t="str">
        <f aca="false">IF(A144="","",COUNTIFS(Randevular!$C$5:$C$1004,A144,Randevular!$E$5:$E$1004,"&lt;&gt;İptal"))</f>
        <v/>
      </c>
      <c r="E144" s="35" t="str">
        <f aca="false">IF(A144="","",COUNTIFS(Randevular!$C$5:$C$1004,A144,Randevular!$E$5:$E$1004,"Gelmedi"))</f>
        <v/>
      </c>
      <c r="F144" s="17" t="str">
        <f aca="false">IF(A144="","",SUMIFS(Randevular!$G$5:$G$1004,Randevular!$C$5:$C$1004,A144))</f>
        <v/>
      </c>
      <c r="G144" s="41" t="str">
        <f aca="false">IF(A144="","",IF(SUMPRODUCT(MAX((Randevular!$C$5:$C$1004=A144)*(Randevular!$E$5:$E$1004="Geldi")*Randevular!$A$5:$A$1004))=0,"",SUMPRODUCT(MAX((Randevular!$C$5:$C$1004=A144)*(Randevular!$E$5:$E$1004="Geldi")*Randevular!$A$5:$A$1004))))</f>
        <v/>
      </c>
      <c r="H144" s="21" t="str">
        <f aca="false">IF(A144="","",F144+ROW()/1000000)</f>
        <v/>
      </c>
    </row>
    <row r="145" customFormat="false" ht="15" hidden="false" customHeight="false" outlineLevel="0" collapsed="false">
      <c r="A145" s="14"/>
      <c r="B145" s="40"/>
      <c r="C145" s="14"/>
      <c r="D145" s="35" t="str">
        <f aca="false">IF(A145="","",COUNTIFS(Randevular!$C$5:$C$1004,A145,Randevular!$E$5:$E$1004,"&lt;&gt;İptal"))</f>
        <v/>
      </c>
      <c r="E145" s="35" t="str">
        <f aca="false">IF(A145="","",COUNTIFS(Randevular!$C$5:$C$1004,A145,Randevular!$E$5:$E$1004,"Gelmedi"))</f>
        <v/>
      </c>
      <c r="F145" s="17" t="str">
        <f aca="false">IF(A145="","",SUMIFS(Randevular!$G$5:$G$1004,Randevular!$C$5:$C$1004,A145))</f>
        <v/>
      </c>
      <c r="G145" s="41" t="str">
        <f aca="false">IF(A145="","",IF(SUMPRODUCT(MAX((Randevular!$C$5:$C$1004=A145)*(Randevular!$E$5:$E$1004="Geldi")*Randevular!$A$5:$A$1004))=0,"",SUMPRODUCT(MAX((Randevular!$C$5:$C$1004=A145)*(Randevular!$E$5:$E$1004="Geldi")*Randevular!$A$5:$A$1004))))</f>
        <v/>
      </c>
      <c r="H145" s="21" t="str">
        <f aca="false">IF(A145="","",F145+ROW()/1000000)</f>
        <v/>
      </c>
    </row>
    <row r="146" customFormat="false" ht="15" hidden="false" customHeight="false" outlineLevel="0" collapsed="false">
      <c r="A146" s="14"/>
      <c r="B146" s="40"/>
      <c r="C146" s="14"/>
      <c r="D146" s="35" t="str">
        <f aca="false">IF(A146="","",COUNTIFS(Randevular!$C$5:$C$1004,A146,Randevular!$E$5:$E$1004,"&lt;&gt;İptal"))</f>
        <v/>
      </c>
      <c r="E146" s="35" t="str">
        <f aca="false">IF(A146="","",COUNTIFS(Randevular!$C$5:$C$1004,A146,Randevular!$E$5:$E$1004,"Gelmedi"))</f>
        <v/>
      </c>
      <c r="F146" s="17" t="str">
        <f aca="false">IF(A146="","",SUMIFS(Randevular!$G$5:$G$1004,Randevular!$C$5:$C$1004,A146))</f>
        <v/>
      </c>
      <c r="G146" s="41" t="str">
        <f aca="false">IF(A146="","",IF(SUMPRODUCT(MAX((Randevular!$C$5:$C$1004=A146)*(Randevular!$E$5:$E$1004="Geldi")*Randevular!$A$5:$A$1004))=0,"",SUMPRODUCT(MAX((Randevular!$C$5:$C$1004=A146)*(Randevular!$E$5:$E$1004="Geldi")*Randevular!$A$5:$A$1004))))</f>
        <v/>
      </c>
      <c r="H146" s="21" t="str">
        <f aca="false">IF(A146="","",F146+ROW()/1000000)</f>
        <v/>
      </c>
    </row>
    <row r="147" customFormat="false" ht="15" hidden="false" customHeight="false" outlineLevel="0" collapsed="false">
      <c r="A147" s="14"/>
      <c r="B147" s="40"/>
      <c r="C147" s="14"/>
      <c r="D147" s="35" t="str">
        <f aca="false">IF(A147="","",COUNTIFS(Randevular!$C$5:$C$1004,A147,Randevular!$E$5:$E$1004,"&lt;&gt;İptal"))</f>
        <v/>
      </c>
      <c r="E147" s="35" t="str">
        <f aca="false">IF(A147="","",COUNTIFS(Randevular!$C$5:$C$1004,A147,Randevular!$E$5:$E$1004,"Gelmedi"))</f>
        <v/>
      </c>
      <c r="F147" s="17" t="str">
        <f aca="false">IF(A147="","",SUMIFS(Randevular!$G$5:$G$1004,Randevular!$C$5:$C$1004,A147))</f>
        <v/>
      </c>
      <c r="G147" s="41" t="str">
        <f aca="false">IF(A147="","",IF(SUMPRODUCT(MAX((Randevular!$C$5:$C$1004=A147)*(Randevular!$E$5:$E$1004="Geldi")*Randevular!$A$5:$A$1004))=0,"",SUMPRODUCT(MAX((Randevular!$C$5:$C$1004=A147)*(Randevular!$E$5:$E$1004="Geldi")*Randevular!$A$5:$A$1004))))</f>
        <v/>
      </c>
      <c r="H147" s="21" t="str">
        <f aca="false">IF(A147="","",F147+ROW()/1000000)</f>
        <v/>
      </c>
    </row>
    <row r="148" customFormat="false" ht="15" hidden="false" customHeight="false" outlineLevel="0" collapsed="false">
      <c r="A148" s="14"/>
      <c r="B148" s="40"/>
      <c r="C148" s="14"/>
      <c r="D148" s="35" t="str">
        <f aca="false">IF(A148="","",COUNTIFS(Randevular!$C$5:$C$1004,A148,Randevular!$E$5:$E$1004,"&lt;&gt;İptal"))</f>
        <v/>
      </c>
      <c r="E148" s="35" t="str">
        <f aca="false">IF(A148="","",COUNTIFS(Randevular!$C$5:$C$1004,A148,Randevular!$E$5:$E$1004,"Gelmedi"))</f>
        <v/>
      </c>
      <c r="F148" s="17" t="str">
        <f aca="false">IF(A148="","",SUMIFS(Randevular!$G$5:$G$1004,Randevular!$C$5:$C$1004,A148))</f>
        <v/>
      </c>
      <c r="G148" s="41" t="str">
        <f aca="false">IF(A148="","",IF(SUMPRODUCT(MAX((Randevular!$C$5:$C$1004=A148)*(Randevular!$E$5:$E$1004="Geldi")*Randevular!$A$5:$A$1004))=0,"",SUMPRODUCT(MAX((Randevular!$C$5:$C$1004=A148)*(Randevular!$E$5:$E$1004="Geldi")*Randevular!$A$5:$A$1004))))</f>
        <v/>
      </c>
      <c r="H148" s="21" t="str">
        <f aca="false">IF(A148="","",F148+ROW()/1000000)</f>
        <v/>
      </c>
    </row>
    <row r="149" customFormat="false" ht="15" hidden="false" customHeight="false" outlineLevel="0" collapsed="false">
      <c r="A149" s="14"/>
      <c r="B149" s="40"/>
      <c r="C149" s="14"/>
      <c r="D149" s="35" t="str">
        <f aca="false">IF(A149="","",COUNTIFS(Randevular!$C$5:$C$1004,A149,Randevular!$E$5:$E$1004,"&lt;&gt;İptal"))</f>
        <v/>
      </c>
      <c r="E149" s="35" t="str">
        <f aca="false">IF(A149="","",COUNTIFS(Randevular!$C$5:$C$1004,A149,Randevular!$E$5:$E$1004,"Gelmedi"))</f>
        <v/>
      </c>
      <c r="F149" s="17" t="str">
        <f aca="false">IF(A149="","",SUMIFS(Randevular!$G$5:$G$1004,Randevular!$C$5:$C$1004,A149))</f>
        <v/>
      </c>
      <c r="G149" s="41" t="str">
        <f aca="false">IF(A149="","",IF(SUMPRODUCT(MAX((Randevular!$C$5:$C$1004=A149)*(Randevular!$E$5:$E$1004="Geldi")*Randevular!$A$5:$A$1004))=0,"",SUMPRODUCT(MAX((Randevular!$C$5:$C$1004=A149)*(Randevular!$E$5:$E$1004="Geldi")*Randevular!$A$5:$A$1004))))</f>
        <v/>
      </c>
      <c r="H149" s="21" t="str">
        <f aca="false">IF(A149="","",F149+ROW()/1000000)</f>
        <v/>
      </c>
    </row>
    <row r="150" customFormat="false" ht="15" hidden="false" customHeight="false" outlineLevel="0" collapsed="false">
      <c r="A150" s="14"/>
      <c r="B150" s="40"/>
      <c r="C150" s="14"/>
      <c r="D150" s="35" t="str">
        <f aca="false">IF(A150="","",COUNTIFS(Randevular!$C$5:$C$1004,A150,Randevular!$E$5:$E$1004,"&lt;&gt;İptal"))</f>
        <v/>
      </c>
      <c r="E150" s="35" t="str">
        <f aca="false">IF(A150="","",COUNTIFS(Randevular!$C$5:$C$1004,A150,Randevular!$E$5:$E$1004,"Gelmedi"))</f>
        <v/>
      </c>
      <c r="F150" s="17" t="str">
        <f aca="false">IF(A150="","",SUMIFS(Randevular!$G$5:$G$1004,Randevular!$C$5:$C$1004,A150))</f>
        <v/>
      </c>
      <c r="G150" s="41" t="str">
        <f aca="false">IF(A150="","",IF(SUMPRODUCT(MAX((Randevular!$C$5:$C$1004=A150)*(Randevular!$E$5:$E$1004="Geldi")*Randevular!$A$5:$A$1004))=0,"",SUMPRODUCT(MAX((Randevular!$C$5:$C$1004=A150)*(Randevular!$E$5:$E$1004="Geldi")*Randevular!$A$5:$A$1004))))</f>
        <v/>
      </c>
      <c r="H150" s="21" t="str">
        <f aca="false">IF(A150="","",F150+ROW()/1000000)</f>
        <v/>
      </c>
    </row>
    <row r="151" customFormat="false" ht="15" hidden="false" customHeight="false" outlineLevel="0" collapsed="false">
      <c r="A151" s="14"/>
      <c r="B151" s="40"/>
      <c r="C151" s="14"/>
      <c r="D151" s="35" t="str">
        <f aca="false">IF(A151="","",COUNTIFS(Randevular!$C$5:$C$1004,A151,Randevular!$E$5:$E$1004,"&lt;&gt;İptal"))</f>
        <v/>
      </c>
      <c r="E151" s="35" t="str">
        <f aca="false">IF(A151="","",COUNTIFS(Randevular!$C$5:$C$1004,A151,Randevular!$E$5:$E$1004,"Gelmedi"))</f>
        <v/>
      </c>
      <c r="F151" s="17" t="str">
        <f aca="false">IF(A151="","",SUMIFS(Randevular!$G$5:$G$1004,Randevular!$C$5:$C$1004,A151))</f>
        <v/>
      </c>
      <c r="G151" s="41" t="str">
        <f aca="false">IF(A151="","",IF(SUMPRODUCT(MAX((Randevular!$C$5:$C$1004=A151)*(Randevular!$E$5:$E$1004="Geldi")*Randevular!$A$5:$A$1004))=0,"",SUMPRODUCT(MAX((Randevular!$C$5:$C$1004=A151)*(Randevular!$E$5:$E$1004="Geldi")*Randevular!$A$5:$A$1004))))</f>
        <v/>
      </c>
      <c r="H151" s="21" t="str">
        <f aca="false">IF(A151="","",F151+ROW()/1000000)</f>
        <v/>
      </c>
    </row>
    <row r="152" customFormat="false" ht="15" hidden="false" customHeight="false" outlineLevel="0" collapsed="false">
      <c r="A152" s="14"/>
      <c r="B152" s="40"/>
      <c r="C152" s="14"/>
      <c r="D152" s="35" t="str">
        <f aca="false">IF(A152="","",COUNTIFS(Randevular!$C$5:$C$1004,A152,Randevular!$E$5:$E$1004,"&lt;&gt;İptal"))</f>
        <v/>
      </c>
      <c r="E152" s="35" t="str">
        <f aca="false">IF(A152="","",COUNTIFS(Randevular!$C$5:$C$1004,A152,Randevular!$E$5:$E$1004,"Gelmedi"))</f>
        <v/>
      </c>
      <c r="F152" s="17" t="str">
        <f aca="false">IF(A152="","",SUMIFS(Randevular!$G$5:$G$1004,Randevular!$C$5:$C$1004,A152))</f>
        <v/>
      </c>
      <c r="G152" s="41" t="str">
        <f aca="false">IF(A152="","",IF(SUMPRODUCT(MAX((Randevular!$C$5:$C$1004=A152)*(Randevular!$E$5:$E$1004="Geldi")*Randevular!$A$5:$A$1004))=0,"",SUMPRODUCT(MAX((Randevular!$C$5:$C$1004=A152)*(Randevular!$E$5:$E$1004="Geldi")*Randevular!$A$5:$A$1004))))</f>
        <v/>
      </c>
      <c r="H152" s="21" t="str">
        <f aca="false">IF(A152="","",F152+ROW()/1000000)</f>
        <v/>
      </c>
    </row>
    <row r="153" customFormat="false" ht="15" hidden="false" customHeight="false" outlineLevel="0" collapsed="false">
      <c r="A153" s="14"/>
      <c r="B153" s="40"/>
      <c r="C153" s="14"/>
      <c r="D153" s="35" t="str">
        <f aca="false">IF(A153="","",COUNTIFS(Randevular!$C$5:$C$1004,A153,Randevular!$E$5:$E$1004,"&lt;&gt;İptal"))</f>
        <v/>
      </c>
      <c r="E153" s="35" t="str">
        <f aca="false">IF(A153="","",COUNTIFS(Randevular!$C$5:$C$1004,A153,Randevular!$E$5:$E$1004,"Gelmedi"))</f>
        <v/>
      </c>
      <c r="F153" s="17" t="str">
        <f aca="false">IF(A153="","",SUMIFS(Randevular!$G$5:$G$1004,Randevular!$C$5:$C$1004,A153))</f>
        <v/>
      </c>
      <c r="G153" s="41" t="str">
        <f aca="false">IF(A153="","",IF(SUMPRODUCT(MAX((Randevular!$C$5:$C$1004=A153)*(Randevular!$E$5:$E$1004="Geldi")*Randevular!$A$5:$A$1004))=0,"",SUMPRODUCT(MAX((Randevular!$C$5:$C$1004=A153)*(Randevular!$E$5:$E$1004="Geldi")*Randevular!$A$5:$A$1004))))</f>
        <v/>
      </c>
      <c r="H153" s="21" t="str">
        <f aca="false">IF(A153="","",F153+ROW()/1000000)</f>
        <v/>
      </c>
    </row>
    <row r="154" customFormat="false" ht="15" hidden="false" customHeight="false" outlineLevel="0" collapsed="false">
      <c r="A154" s="14"/>
      <c r="B154" s="40"/>
      <c r="C154" s="14"/>
      <c r="D154" s="35" t="str">
        <f aca="false">IF(A154="","",COUNTIFS(Randevular!$C$5:$C$1004,A154,Randevular!$E$5:$E$1004,"&lt;&gt;İptal"))</f>
        <v/>
      </c>
      <c r="E154" s="35" t="str">
        <f aca="false">IF(A154="","",COUNTIFS(Randevular!$C$5:$C$1004,A154,Randevular!$E$5:$E$1004,"Gelmedi"))</f>
        <v/>
      </c>
      <c r="F154" s="17" t="str">
        <f aca="false">IF(A154="","",SUMIFS(Randevular!$G$5:$G$1004,Randevular!$C$5:$C$1004,A154))</f>
        <v/>
      </c>
      <c r="G154" s="41" t="str">
        <f aca="false">IF(A154="","",IF(SUMPRODUCT(MAX((Randevular!$C$5:$C$1004=A154)*(Randevular!$E$5:$E$1004="Geldi")*Randevular!$A$5:$A$1004))=0,"",SUMPRODUCT(MAX((Randevular!$C$5:$C$1004=A154)*(Randevular!$E$5:$E$1004="Geldi")*Randevular!$A$5:$A$1004))))</f>
        <v/>
      </c>
      <c r="H154" s="21" t="str">
        <f aca="false">IF(A154="","",F154+ROW()/1000000)</f>
        <v/>
      </c>
    </row>
    <row r="155" customFormat="false" ht="15" hidden="false" customHeight="false" outlineLevel="0" collapsed="false">
      <c r="A155" s="14"/>
      <c r="B155" s="40"/>
      <c r="C155" s="14"/>
      <c r="D155" s="35" t="str">
        <f aca="false">IF(A155="","",COUNTIFS(Randevular!$C$5:$C$1004,A155,Randevular!$E$5:$E$1004,"&lt;&gt;İptal"))</f>
        <v/>
      </c>
      <c r="E155" s="35" t="str">
        <f aca="false">IF(A155="","",COUNTIFS(Randevular!$C$5:$C$1004,A155,Randevular!$E$5:$E$1004,"Gelmedi"))</f>
        <v/>
      </c>
      <c r="F155" s="17" t="str">
        <f aca="false">IF(A155="","",SUMIFS(Randevular!$G$5:$G$1004,Randevular!$C$5:$C$1004,A155))</f>
        <v/>
      </c>
      <c r="G155" s="41" t="str">
        <f aca="false">IF(A155="","",IF(SUMPRODUCT(MAX((Randevular!$C$5:$C$1004=A155)*(Randevular!$E$5:$E$1004="Geldi")*Randevular!$A$5:$A$1004))=0,"",SUMPRODUCT(MAX((Randevular!$C$5:$C$1004=A155)*(Randevular!$E$5:$E$1004="Geldi")*Randevular!$A$5:$A$1004))))</f>
        <v/>
      </c>
      <c r="H155" s="21" t="str">
        <f aca="false">IF(A155="","",F155+ROW()/1000000)</f>
        <v/>
      </c>
    </row>
    <row r="156" customFormat="false" ht="15" hidden="false" customHeight="false" outlineLevel="0" collapsed="false">
      <c r="A156" s="14"/>
      <c r="B156" s="40"/>
      <c r="C156" s="14"/>
      <c r="D156" s="35" t="str">
        <f aca="false">IF(A156="","",COUNTIFS(Randevular!$C$5:$C$1004,A156,Randevular!$E$5:$E$1004,"&lt;&gt;İptal"))</f>
        <v/>
      </c>
      <c r="E156" s="35" t="str">
        <f aca="false">IF(A156="","",COUNTIFS(Randevular!$C$5:$C$1004,A156,Randevular!$E$5:$E$1004,"Gelmedi"))</f>
        <v/>
      </c>
      <c r="F156" s="17" t="str">
        <f aca="false">IF(A156="","",SUMIFS(Randevular!$G$5:$G$1004,Randevular!$C$5:$C$1004,A156))</f>
        <v/>
      </c>
      <c r="G156" s="41" t="str">
        <f aca="false">IF(A156="","",IF(SUMPRODUCT(MAX((Randevular!$C$5:$C$1004=A156)*(Randevular!$E$5:$E$1004="Geldi")*Randevular!$A$5:$A$1004))=0,"",SUMPRODUCT(MAX((Randevular!$C$5:$C$1004=A156)*(Randevular!$E$5:$E$1004="Geldi")*Randevular!$A$5:$A$1004))))</f>
        <v/>
      </c>
      <c r="H156" s="21" t="str">
        <f aca="false">IF(A156="","",F156+ROW()/1000000)</f>
        <v/>
      </c>
    </row>
    <row r="157" customFormat="false" ht="15" hidden="false" customHeight="false" outlineLevel="0" collapsed="false">
      <c r="A157" s="14"/>
      <c r="B157" s="40"/>
      <c r="C157" s="14"/>
      <c r="D157" s="35" t="str">
        <f aca="false">IF(A157="","",COUNTIFS(Randevular!$C$5:$C$1004,A157,Randevular!$E$5:$E$1004,"&lt;&gt;İptal"))</f>
        <v/>
      </c>
      <c r="E157" s="35" t="str">
        <f aca="false">IF(A157="","",COUNTIFS(Randevular!$C$5:$C$1004,A157,Randevular!$E$5:$E$1004,"Gelmedi"))</f>
        <v/>
      </c>
      <c r="F157" s="17" t="str">
        <f aca="false">IF(A157="","",SUMIFS(Randevular!$G$5:$G$1004,Randevular!$C$5:$C$1004,A157))</f>
        <v/>
      </c>
      <c r="G157" s="41" t="str">
        <f aca="false">IF(A157="","",IF(SUMPRODUCT(MAX((Randevular!$C$5:$C$1004=A157)*(Randevular!$E$5:$E$1004="Geldi")*Randevular!$A$5:$A$1004))=0,"",SUMPRODUCT(MAX((Randevular!$C$5:$C$1004=A157)*(Randevular!$E$5:$E$1004="Geldi")*Randevular!$A$5:$A$1004))))</f>
        <v/>
      </c>
      <c r="H157" s="21" t="str">
        <f aca="false">IF(A157="","",F157+ROW()/1000000)</f>
        <v/>
      </c>
    </row>
    <row r="158" customFormat="false" ht="15" hidden="false" customHeight="false" outlineLevel="0" collapsed="false">
      <c r="A158" s="14"/>
      <c r="B158" s="40"/>
      <c r="C158" s="14"/>
      <c r="D158" s="35" t="str">
        <f aca="false">IF(A158="","",COUNTIFS(Randevular!$C$5:$C$1004,A158,Randevular!$E$5:$E$1004,"&lt;&gt;İptal"))</f>
        <v/>
      </c>
      <c r="E158" s="35" t="str">
        <f aca="false">IF(A158="","",COUNTIFS(Randevular!$C$5:$C$1004,A158,Randevular!$E$5:$E$1004,"Gelmedi"))</f>
        <v/>
      </c>
      <c r="F158" s="17" t="str">
        <f aca="false">IF(A158="","",SUMIFS(Randevular!$G$5:$G$1004,Randevular!$C$5:$C$1004,A158))</f>
        <v/>
      </c>
      <c r="G158" s="41" t="str">
        <f aca="false">IF(A158="","",IF(SUMPRODUCT(MAX((Randevular!$C$5:$C$1004=A158)*(Randevular!$E$5:$E$1004="Geldi")*Randevular!$A$5:$A$1004))=0,"",SUMPRODUCT(MAX((Randevular!$C$5:$C$1004=A158)*(Randevular!$E$5:$E$1004="Geldi")*Randevular!$A$5:$A$1004))))</f>
        <v/>
      </c>
      <c r="H158" s="21" t="str">
        <f aca="false">IF(A158="","",F158+ROW()/1000000)</f>
        <v/>
      </c>
    </row>
    <row r="159" customFormat="false" ht="15" hidden="false" customHeight="false" outlineLevel="0" collapsed="false">
      <c r="A159" s="14"/>
      <c r="B159" s="40"/>
      <c r="C159" s="14"/>
      <c r="D159" s="35" t="str">
        <f aca="false">IF(A159="","",COUNTIFS(Randevular!$C$5:$C$1004,A159,Randevular!$E$5:$E$1004,"&lt;&gt;İptal"))</f>
        <v/>
      </c>
      <c r="E159" s="35" t="str">
        <f aca="false">IF(A159="","",COUNTIFS(Randevular!$C$5:$C$1004,A159,Randevular!$E$5:$E$1004,"Gelmedi"))</f>
        <v/>
      </c>
      <c r="F159" s="17" t="str">
        <f aca="false">IF(A159="","",SUMIFS(Randevular!$G$5:$G$1004,Randevular!$C$5:$C$1004,A159))</f>
        <v/>
      </c>
      <c r="G159" s="41" t="str">
        <f aca="false">IF(A159="","",IF(SUMPRODUCT(MAX((Randevular!$C$5:$C$1004=A159)*(Randevular!$E$5:$E$1004="Geldi")*Randevular!$A$5:$A$1004))=0,"",SUMPRODUCT(MAX((Randevular!$C$5:$C$1004=A159)*(Randevular!$E$5:$E$1004="Geldi")*Randevular!$A$5:$A$1004))))</f>
        <v/>
      </c>
      <c r="H159" s="21" t="str">
        <f aca="false">IF(A159="","",F159+ROW()/1000000)</f>
        <v/>
      </c>
    </row>
    <row r="160" customFormat="false" ht="15" hidden="false" customHeight="false" outlineLevel="0" collapsed="false">
      <c r="A160" s="14"/>
      <c r="B160" s="40"/>
      <c r="C160" s="14"/>
      <c r="D160" s="35" t="str">
        <f aca="false">IF(A160="","",COUNTIFS(Randevular!$C$5:$C$1004,A160,Randevular!$E$5:$E$1004,"&lt;&gt;İptal"))</f>
        <v/>
      </c>
      <c r="E160" s="35" t="str">
        <f aca="false">IF(A160="","",COUNTIFS(Randevular!$C$5:$C$1004,A160,Randevular!$E$5:$E$1004,"Gelmedi"))</f>
        <v/>
      </c>
      <c r="F160" s="17" t="str">
        <f aca="false">IF(A160="","",SUMIFS(Randevular!$G$5:$G$1004,Randevular!$C$5:$C$1004,A160))</f>
        <v/>
      </c>
      <c r="G160" s="41" t="str">
        <f aca="false">IF(A160="","",IF(SUMPRODUCT(MAX((Randevular!$C$5:$C$1004=A160)*(Randevular!$E$5:$E$1004="Geldi")*Randevular!$A$5:$A$1004))=0,"",SUMPRODUCT(MAX((Randevular!$C$5:$C$1004=A160)*(Randevular!$E$5:$E$1004="Geldi")*Randevular!$A$5:$A$1004))))</f>
        <v/>
      </c>
      <c r="H160" s="21" t="str">
        <f aca="false">IF(A160="","",F160+ROW()/1000000)</f>
        <v/>
      </c>
    </row>
    <row r="161" customFormat="false" ht="15" hidden="false" customHeight="false" outlineLevel="0" collapsed="false">
      <c r="A161" s="14"/>
      <c r="B161" s="40"/>
      <c r="C161" s="14"/>
      <c r="D161" s="35" t="str">
        <f aca="false">IF(A161="","",COUNTIFS(Randevular!$C$5:$C$1004,A161,Randevular!$E$5:$E$1004,"&lt;&gt;İptal"))</f>
        <v/>
      </c>
      <c r="E161" s="35" t="str">
        <f aca="false">IF(A161="","",COUNTIFS(Randevular!$C$5:$C$1004,A161,Randevular!$E$5:$E$1004,"Gelmedi"))</f>
        <v/>
      </c>
      <c r="F161" s="17" t="str">
        <f aca="false">IF(A161="","",SUMIFS(Randevular!$G$5:$G$1004,Randevular!$C$5:$C$1004,A161))</f>
        <v/>
      </c>
      <c r="G161" s="41" t="str">
        <f aca="false">IF(A161="","",IF(SUMPRODUCT(MAX((Randevular!$C$5:$C$1004=A161)*(Randevular!$E$5:$E$1004="Geldi")*Randevular!$A$5:$A$1004))=0,"",SUMPRODUCT(MAX((Randevular!$C$5:$C$1004=A161)*(Randevular!$E$5:$E$1004="Geldi")*Randevular!$A$5:$A$1004))))</f>
        <v/>
      </c>
      <c r="H161" s="21" t="str">
        <f aca="false">IF(A161="","",F161+ROW()/1000000)</f>
        <v/>
      </c>
    </row>
    <row r="162" customFormat="false" ht="15" hidden="false" customHeight="false" outlineLevel="0" collapsed="false">
      <c r="A162" s="14"/>
      <c r="B162" s="40"/>
      <c r="C162" s="14"/>
      <c r="D162" s="35" t="str">
        <f aca="false">IF(A162="","",COUNTIFS(Randevular!$C$5:$C$1004,A162,Randevular!$E$5:$E$1004,"&lt;&gt;İptal"))</f>
        <v/>
      </c>
      <c r="E162" s="35" t="str">
        <f aca="false">IF(A162="","",COUNTIFS(Randevular!$C$5:$C$1004,A162,Randevular!$E$5:$E$1004,"Gelmedi"))</f>
        <v/>
      </c>
      <c r="F162" s="17" t="str">
        <f aca="false">IF(A162="","",SUMIFS(Randevular!$G$5:$G$1004,Randevular!$C$5:$C$1004,A162))</f>
        <v/>
      </c>
      <c r="G162" s="41" t="str">
        <f aca="false">IF(A162="","",IF(SUMPRODUCT(MAX((Randevular!$C$5:$C$1004=A162)*(Randevular!$E$5:$E$1004="Geldi")*Randevular!$A$5:$A$1004))=0,"",SUMPRODUCT(MAX((Randevular!$C$5:$C$1004=A162)*(Randevular!$E$5:$E$1004="Geldi")*Randevular!$A$5:$A$1004))))</f>
        <v/>
      </c>
      <c r="H162" s="21" t="str">
        <f aca="false">IF(A162="","",F162+ROW()/1000000)</f>
        <v/>
      </c>
    </row>
    <row r="163" customFormat="false" ht="15" hidden="false" customHeight="false" outlineLevel="0" collapsed="false">
      <c r="A163" s="14"/>
      <c r="B163" s="40"/>
      <c r="C163" s="14"/>
      <c r="D163" s="35" t="str">
        <f aca="false">IF(A163="","",COUNTIFS(Randevular!$C$5:$C$1004,A163,Randevular!$E$5:$E$1004,"&lt;&gt;İptal"))</f>
        <v/>
      </c>
      <c r="E163" s="35" t="str">
        <f aca="false">IF(A163="","",COUNTIFS(Randevular!$C$5:$C$1004,A163,Randevular!$E$5:$E$1004,"Gelmedi"))</f>
        <v/>
      </c>
      <c r="F163" s="17" t="str">
        <f aca="false">IF(A163="","",SUMIFS(Randevular!$G$5:$G$1004,Randevular!$C$5:$C$1004,A163))</f>
        <v/>
      </c>
      <c r="G163" s="41" t="str">
        <f aca="false">IF(A163="","",IF(SUMPRODUCT(MAX((Randevular!$C$5:$C$1004=A163)*(Randevular!$E$5:$E$1004="Geldi")*Randevular!$A$5:$A$1004))=0,"",SUMPRODUCT(MAX((Randevular!$C$5:$C$1004=A163)*(Randevular!$E$5:$E$1004="Geldi")*Randevular!$A$5:$A$1004))))</f>
        <v/>
      </c>
      <c r="H163" s="21" t="str">
        <f aca="false">IF(A163="","",F163+ROW()/1000000)</f>
        <v/>
      </c>
    </row>
    <row r="164" customFormat="false" ht="15" hidden="false" customHeight="false" outlineLevel="0" collapsed="false">
      <c r="A164" s="14"/>
      <c r="B164" s="40"/>
      <c r="C164" s="14"/>
      <c r="D164" s="35" t="str">
        <f aca="false">IF(A164="","",COUNTIFS(Randevular!$C$5:$C$1004,A164,Randevular!$E$5:$E$1004,"&lt;&gt;İptal"))</f>
        <v/>
      </c>
      <c r="E164" s="35" t="str">
        <f aca="false">IF(A164="","",COUNTIFS(Randevular!$C$5:$C$1004,A164,Randevular!$E$5:$E$1004,"Gelmedi"))</f>
        <v/>
      </c>
      <c r="F164" s="17" t="str">
        <f aca="false">IF(A164="","",SUMIFS(Randevular!$G$5:$G$1004,Randevular!$C$5:$C$1004,A164))</f>
        <v/>
      </c>
      <c r="G164" s="41" t="str">
        <f aca="false">IF(A164="","",IF(SUMPRODUCT(MAX((Randevular!$C$5:$C$1004=A164)*(Randevular!$E$5:$E$1004="Geldi")*Randevular!$A$5:$A$1004))=0,"",SUMPRODUCT(MAX((Randevular!$C$5:$C$1004=A164)*(Randevular!$E$5:$E$1004="Geldi")*Randevular!$A$5:$A$1004))))</f>
        <v/>
      </c>
      <c r="H164" s="21" t="str">
        <f aca="false">IF(A164="","",F164+ROW()/1000000)</f>
        <v/>
      </c>
    </row>
    <row r="165" customFormat="false" ht="15" hidden="false" customHeight="false" outlineLevel="0" collapsed="false">
      <c r="A165" s="14"/>
      <c r="B165" s="40"/>
      <c r="C165" s="14"/>
      <c r="D165" s="35" t="str">
        <f aca="false">IF(A165="","",COUNTIFS(Randevular!$C$5:$C$1004,A165,Randevular!$E$5:$E$1004,"&lt;&gt;İptal"))</f>
        <v/>
      </c>
      <c r="E165" s="35" t="str">
        <f aca="false">IF(A165="","",COUNTIFS(Randevular!$C$5:$C$1004,A165,Randevular!$E$5:$E$1004,"Gelmedi"))</f>
        <v/>
      </c>
      <c r="F165" s="17" t="str">
        <f aca="false">IF(A165="","",SUMIFS(Randevular!$G$5:$G$1004,Randevular!$C$5:$C$1004,A165))</f>
        <v/>
      </c>
      <c r="G165" s="41" t="str">
        <f aca="false">IF(A165="","",IF(SUMPRODUCT(MAX((Randevular!$C$5:$C$1004=A165)*(Randevular!$E$5:$E$1004="Geldi")*Randevular!$A$5:$A$1004))=0,"",SUMPRODUCT(MAX((Randevular!$C$5:$C$1004=A165)*(Randevular!$E$5:$E$1004="Geldi")*Randevular!$A$5:$A$1004))))</f>
        <v/>
      </c>
      <c r="H165" s="21" t="str">
        <f aca="false">IF(A165="","",F165+ROW()/1000000)</f>
        <v/>
      </c>
    </row>
    <row r="166" customFormat="false" ht="15" hidden="false" customHeight="false" outlineLevel="0" collapsed="false">
      <c r="A166" s="14"/>
      <c r="B166" s="40"/>
      <c r="C166" s="14"/>
      <c r="D166" s="35" t="str">
        <f aca="false">IF(A166="","",COUNTIFS(Randevular!$C$5:$C$1004,A166,Randevular!$E$5:$E$1004,"&lt;&gt;İptal"))</f>
        <v/>
      </c>
      <c r="E166" s="35" t="str">
        <f aca="false">IF(A166="","",COUNTIFS(Randevular!$C$5:$C$1004,A166,Randevular!$E$5:$E$1004,"Gelmedi"))</f>
        <v/>
      </c>
      <c r="F166" s="17" t="str">
        <f aca="false">IF(A166="","",SUMIFS(Randevular!$G$5:$G$1004,Randevular!$C$5:$C$1004,A166))</f>
        <v/>
      </c>
      <c r="G166" s="41" t="str">
        <f aca="false">IF(A166="","",IF(SUMPRODUCT(MAX((Randevular!$C$5:$C$1004=A166)*(Randevular!$E$5:$E$1004="Geldi")*Randevular!$A$5:$A$1004))=0,"",SUMPRODUCT(MAX((Randevular!$C$5:$C$1004=A166)*(Randevular!$E$5:$E$1004="Geldi")*Randevular!$A$5:$A$1004))))</f>
        <v/>
      </c>
      <c r="H166" s="21" t="str">
        <f aca="false">IF(A166="","",F166+ROW()/1000000)</f>
        <v/>
      </c>
    </row>
    <row r="167" customFormat="false" ht="15" hidden="false" customHeight="false" outlineLevel="0" collapsed="false">
      <c r="A167" s="14"/>
      <c r="B167" s="40"/>
      <c r="C167" s="14"/>
      <c r="D167" s="35" t="str">
        <f aca="false">IF(A167="","",COUNTIFS(Randevular!$C$5:$C$1004,A167,Randevular!$E$5:$E$1004,"&lt;&gt;İptal"))</f>
        <v/>
      </c>
      <c r="E167" s="35" t="str">
        <f aca="false">IF(A167="","",COUNTIFS(Randevular!$C$5:$C$1004,A167,Randevular!$E$5:$E$1004,"Gelmedi"))</f>
        <v/>
      </c>
      <c r="F167" s="17" t="str">
        <f aca="false">IF(A167="","",SUMIFS(Randevular!$G$5:$G$1004,Randevular!$C$5:$C$1004,A167))</f>
        <v/>
      </c>
      <c r="G167" s="41" t="str">
        <f aca="false">IF(A167="","",IF(SUMPRODUCT(MAX((Randevular!$C$5:$C$1004=A167)*(Randevular!$E$5:$E$1004="Geldi")*Randevular!$A$5:$A$1004))=0,"",SUMPRODUCT(MAX((Randevular!$C$5:$C$1004=A167)*(Randevular!$E$5:$E$1004="Geldi")*Randevular!$A$5:$A$1004))))</f>
        <v/>
      </c>
      <c r="H167" s="21" t="str">
        <f aca="false">IF(A167="","",F167+ROW()/1000000)</f>
        <v/>
      </c>
    </row>
    <row r="168" customFormat="false" ht="15" hidden="false" customHeight="false" outlineLevel="0" collapsed="false">
      <c r="A168" s="14"/>
      <c r="B168" s="40"/>
      <c r="C168" s="14"/>
      <c r="D168" s="35" t="str">
        <f aca="false">IF(A168="","",COUNTIFS(Randevular!$C$5:$C$1004,A168,Randevular!$E$5:$E$1004,"&lt;&gt;İptal"))</f>
        <v/>
      </c>
      <c r="E168" s="35" t="str">
        <f aca="false">IF(A168="","",COUNTIFS(Randevular!$C$5:$C$1004,A168,Randevular!$E$5:$E$1004,"Gelmedi"))</f>
        <v/>
      </c>
      <c r="F168" s="17" t="str">
        <f aca="false">IF(A168="","",SUMIFS(Randevular!$G$5:$G$1004,Randevular!$C$5:$C$1004,A168))</f>
        <v/>
      </c>
      <c r="G168" s="41" t="str">
        <f aca="false">IF(A168="","",IF(SUMPRODUCT(MAX((Randevular!$C$5:$C$1004=A168)*(Randevular!$E$5:$E$1004="Geldi")*Randevular!$A$5:$A$1004))=0,"",SUMPRODUCT(MAX((Randevular!$C$5:$C$1004=A168)*(Randevular!$E$5:$E$1004="Geldi")*Randevular!$A$5:$A$1004))))</f>
        <v/>
      </c>
      <c r="H168" s="21" t="str">
        <f aca="false">IF(A168="","",F168+ROW()/1000000)</f>
        <v/>
      </c>
    </row>
    <row r="169" customFormat="false" ht="15" hidden="false" customHeight="false" outlineLevel="0" collapsed="false">
      <c r="A169" s="14"/>
      <c r="B169" s="40"/>
      <c r="C169" s="14"/>
      <c r="D169" s="35" t="str">
        <f aca="false">IF(A169="","",COUNTIFS(Randevular!$C$5:$C$1004,A169,Randevular!$E$5:$E$1004,"&lt;&gt;İptal"))</f>
        <v/>
      </c>
      <c r="E169" s="35" t="str">
        <f aca="false">IF(A169="","",COUNTIFS(Randevular!$C$5:$C$1004,A169,Randevular!$E$5:$E$1004,"Gelmedi"))</f>
        <v/>
      </c>
      <c r="F169" s="17" t="str">
        <f aca="false">IF(A169="","",SUMIFS(Randevular!$G$5:$G$1004,Randevular!$C$5:$C$1004,A169))</f>
        <v/>
      </c>
      <c r="G169" s="41" t="str">
        <f aca="false">IF(A169="","",IF(SUMPRODUCT(MAX((Randevular!$C$5:$C$1004=A169)*(Randevular!$E$5:$E$1004="Geldi")*Randevular!$A$5:$A$1004))=0,"",SUMPRODUCT(MAX((Randevular!$C$5:$C$1004=A169)*(Randevular!$E$5:$E$1004="Geldi")*Randevular!$A$5:$A$1004))))</f>
        <v/>
      </c>
      <c r="H169" s="21" t="str">
        <f aca="false">IF(A169="","",F169+ROW()/1000000)</f>
        <v/>
      </c>
    </row>
    <row r="170" customFormat="false" ht="15" hidden="false" customHeight="false" outlineLevel="0" collapsed="false">
      <c r="A170" s="14"/>
      <c r="B170" s="40"/>
      <c r="C170" s="14"/>
      <c r="D170" s="35" t="str">
        <f aca="false">IF(A170="","",COUNTIFS(Randevular!$C$5:$C$1004,A170,Randevular!$E$5:$E$1004,"&lt;&gt;İptal"))</f>
        <v/>
      </c>
      <c r="E170" s="35" t="str">
        <f aca="false">IF(A170="","",COUNTIFS(Randevular!$C$5:$C$1004,A170,Randevular!$E$5:$E$1004,"Gelmedi"))</f>
        <v/>
      </c>
      <c r="F170" s="17" t="str">
        <f aca="false">IF(A170="","",SUMIFS(Randevular!$G$5:$G$1004,Randevular!$C$5:$C$1004,A170))</f>
        <v/>
      </c>
      <c r="G170" s="41" t="str">
        <f aca="false">IF(A170="","",IF(SUMPRODUCT(MAX((Randevular!$C$5:$C$1004=A170)*(Randevular!$E$5:$E$1004="Geldi")*Randevular!$A$5:$A$1004))=0,"",SUMPRODUCT(MAX((Randevular!$C$5:$C$1004=A170)*(Randevular!$E$5:$E$1004="Geldi")*Randevular!$A$5:$A$1004))))</f>
        <v/>
      </c>
      <c r="H170" s="21" t="str">
        <f aca="false">IF(A170="","",F170+ROW()/1000000)</f>
        <v/>
      </c>
    </row>
    <row r="171" customFormat="false" ht="15" hidden="false" customHeight="false" outlineLevel="0" collapsed="false">
      <c r="A171" s="14"/>
      <c r="B171" s="40"/>
      <c r="C171" s="14"/>
      <c r="D171" s="35" t="str">
        <f aca="false">IF(A171="","",COUNTIFS(Randevular!$C$5:$C$1004,A171,Randevular!$E$5:$E$1004,"&lt;&gt;İptal"))</f>
        <v/>
      </c>
      <c r="E171" s="35" t="str">
        <f aca="false">IF(A171="","",COUNTIFS(Randevular!$C$5:$C$1004,A171,Randevular!$E$5:$E$1004,"Gelmedi"))</f>
        <v/>
      </c>
      <c r="F171" s="17" t="str">
        <f aca="false">IF(A171="","",SUMIFS(Randevular!$G$5:$G$1004,Randevular!$C$5:$C$1004,A171))</f>
        <v/>
      </c>
      <c r="G171" s="41" t="str">
        <f aca="false">IF(A171="","",IF(SUMPRODUCT(MAX((Randevular!$C$5:$C$1004=A171)*(Randevular!$E$5:$E$1004="Geldi")*Randevular!$A$5:$A$1004))=0,"",SUMPRODUCT(MAX((Randevular!$C$5:$C$1004=A171)*(Randevular!$E$5:$E$1004="Geldi")*Randevular!$A$5:$A$1004))))</f>
        <v/>
      </c>
      <c r="H171" s="21" t="str">
        <f aca="false">IF(A171="","",F171+ROW()/1000000)</f>
        <v/>
      </c>
    </row>
    <row r="172" customFormat="false" ht="15" hidden="false" customHeight="false" outlineLevel="0" collapsed="false">
      <c r="A172" s="14"/>
      <c r="B172" s="40"/>
      <c r="C172" s="14"/>
      <c r="D172" s="35" t="str">
        <f aca="false">IF(A172="","",COUNTIFS(Randevular!$C$5:$C$1004,A172,Randevular!$E$5:$E$1004,"&lt;&gt;İptal"))</f>
        <v/>
      </c>
      <c r="E172" s="35" t="str">
        <f aca="false">IF(A172="","",COUNTIFS(Randevular!$C$5:$C$1004,A172,Randevular!$E$5:$E$1004,"Gelmedi"))</f>
        <v/>
      </c>
      <c r="F172" s="17" t="str">
        <f aca="false">IF(A172="","",SUMIFS(Randevular!$G$5:$G$1004,Randevular!$C$5:$C$1004,A172))</f>
        <v/>
      </c>
      <c r="G172" s="41" t="str">
        <f aca="false">IF(A172="","",IF(SUMPRODUCT(MAX((Randevular!$C$5:$C$1004=A172)*(Randevular!$E$5:$E$1004="Geldi")*Randevular!$A$5:$A$1004))=0,"",SUMPRODUCT(MAX((Randevular!$C$5:$C$1004=A172)*(Randevular!$E$5:$E$1004="Geldi")*Randevular!$A$5:$A$1004))))</f>
        <v/>
      </c>
      <c r="H172" s="21" t="str">
        <f aca="false">IF(A172="","",F172+ROW()/1000000)</f>
        <v/>
      </c>
    </row>
    <row r="173" customFormat="false" ht="15" hidden="false" customHeight="false" outlineLevel="0" collapsed="false">
      <c r="A173" s="14"/>
      <c r="B173" s="40"/>
      <c r="C173" s="14"/>
      <c r="D173" s="35" t="str">
        <f aca="false">IF(A173="","",COUNTIFS(Randevular!$C$5:$C$1004,A173,Randevular!$E$5:$E$1004,"&lt;&gt;İptal"))</f>
        <v/>
      </c>
      <c r="E173" s="35" t="str">
        <f aca="false">IF(A173="","",COUNTIFS(Randevular!$C$5:$C$1004,A173,Randevular!$E$5:$E$1004,"Gelmedi"))</f>
        <v/>
      </c>
      <c r="F173" s="17" t="str">
        <f aca="false">IF(A173="","",SUMIFS(Randevular!$G$5:$G$1004,Randevular!$C$5:$C$1004,A173))</f>
        <v/>
      </c>
      <c r="G173" s="41" t="str">
        <f aca="false">IF(A173="","",IF(SUMPRODUCT(MAX((Randevular!$C$5:$C$1004=A173)*(Randevular!$E$5:$E$1004="Geldi")*Randevular!$A$5:$A$1004))=0,"",SUMPRODUCT(MAX((Randevular!$C$5:$C$1004=A173)*(Randevular!$E$5:$E$1004="Geldi")*Randevular!$A$5:$A$1004))))</f>
        <v/>
      </c>
      <c r="H173" s="21" t="str">
        <f aca="false">IF(A173="","",F173+ROW()/1000000)</f>
        <v/>
      </c>
    </row>
    <row r="174" customFormat="false" ht="15" hidden="false" customHeight="false" outlineLevel="0" collapsed="false">
      <c r="A174" s="14"/>
      <c r="B174" s="40"/>
      <c r="C174" s="14"/>
      <c r="D174" s="35" t="str">
        <f aca="false">IF(A174="","",COUNTIFS(Randevular!$C$5:$C$1004,A174,Randevular!$E$5:$E$1004,"&lt;&gt;İptal"))</f>
        <v/>
      </c>
      <c r="E174" s="35" t="str">
        <f aca="false">IF(A174="","",COUNTIFS(Randevular!$C$5:$C$1004,A174,Randevular!$E$5:$E$1004,"Gelmedi"))</f>
        <v/>
      </c>
      <c r="F174" s="17" t="str">
        <f aca="false">IF(A174="","",SUMIFS(Randevular!$G$5:$G$1004,Randevular!$C$5:$C$1004,A174))</f>
        <v/>
      </c>
      <c r="G174" s="41" t="str">
        <f aca="false">IF(A174="","",IF(SUMPRODUCT(MAX((Randevular!$C$5:$C$1004=A174)*(Randevular!$E$5:$E$1004="Geldi")*Randevular!$A$5:$A$1004))=0,"",SUMPRODUCT(MAX((Randevular!$C$5:$C$1004=A174)*(Randevular!$E$5:$E$1004="Geldi")*Randevular!$A$5:$A$1004))))</f>
        <v/>
      </c>
      <c r="H174" s="21" t="str">
        <f aca="false">IF(A174="","",F174+ROW()/1000000)</f>
        <v/>
      </c>
    </row>
    <row r="175" customFormat="false" ht="15" hidden="false" customHeight="false" outlineLevel="0" collapsed="false">
      <c r="A175" s="14"/>
      <c r="B175" s="40"/>
      <c r="C175" s="14"/>
      <c r="D175" s="35" t="str">
        <f aca="false">IF(A175="","",COUNTIFS(Randevular!$C$5:$C$1004,A175,Randevular!$E$5:$E$1004,"&lt;&gt;İptal"))</f>
        <v/>
      </c>
      <c r="E175" s="35" t="str">
        <f aca="false">IF(A175="","",COUNTIFS(Randevular!$C$5:$C$1004,A175,Randevular!$E$5:$E$1004,"Gelmedi"))</f>
        <v/>
      </c>
      <c r="F175" s="17" t="str">
        <f aca="false">IF(A175="","",SUMIFS(Randevular!$G$5:$G$1004,Randevular!$C$5:$C$1004,A175))</f>
        <v/>
      </c>
      <c r="G175" s="41" t="str">
        <f aca="false">IF(A175="","",IF(SUMPRODUCT(MAX((Randevular!$C$5:$C$1004=A175)*(Randevular!$E$5:$E$1004="Geldi")*Randevular!$A$5:$A$1004))=0,"",SUMPRODUCT(MAX((Randevular!$C$5:$C$1004=A175)*(Randevular!$E$5:$E$1004="Geldi")*Randevular!$A$5:$A$1004))))</f>
        <v/>
      </c>
      <c r="H175" s="21" t="str">
        <f aca="false">IF(A175="","",F175+ROW()/1000000)</f>
        <v/>
      </c>
    </row>
    <row r="176" customFormat="false" ht="15" hidden="false" customHeight="false" outlineLevel="0" collapsed="false">
      <c r="A176" s="14"/>
      <c r="B176" s="40"/>
      <c r="C176" s="14"/>
      <c r="D176" s="35" t="str">
        <f aca="false">IF(A176="","",COUNTIFS(Randevular!$C$5:$C$1004,A176,Randevular!$E$5:$E$1004,"&lt;&gt;İptal"))</f>
        <v/>
      </c>
      <c r="E176" s="35" t="str">
        <f aca="false">IF(A176="","",COUNTIFS(Randevular!$C$5:$C$1004,A176,Randevular!$E$5:$E$1004,"Gelmedi"))</f>
        <v/>
      </c>
      <c r="F176" s="17" t="str">
        <f aca="false">IF(A176="","",SUMIFS(Randevular!$G$5:$G$1004,Randevular!$C$5:$C$1004,A176))</f>
        <v/>
      </c>
      <c r="G176" s="41" t="str">
        <f aca="false">IF(A176="","",IF(SUMPRODUCT(MAX((Randevular!$C$5:$C$1004=A176)*(Randevular!$E$5:$E$1004="Geldi")*Randevular!$A$5:$A$1004))=0,"",SUMPRODUCT(MAX((Randevular!$C$5:$C$1004=A176)*(Randevular!$E$5:$E$1004="Geldi")*Randevular!$A$5:$A$1004))))</f>
        <v/>
      </c>
      <c r="H176" s="21" t="str">
        <f aca="false">IF(A176="","",F176+ROW()/1000000)</f>
        <v/>
      </c>
    </row>
    <row r="177" customFormat="false" ht="15" hidden="false" customHeight="false" outlineLevel="0" collapsed="false">
      <c r="A177" s="14"/>
      <c r="B177" s="40"/>
      <c r="C177" s="14"/>
      <c r="D177" s="35" t="str">
        <f aca="false">IF(A177="","",COUNTIFS(Randevular!$C$5:$C$1004,A177,Randevular!$E$5:$E$1004,"&lt;&gt;İptal"))</f>
        <v/>
      </c>
      <c r="E177" s="35" t="str">
        <f aca="false">IF(A177="","",COUNTIFS(Randevular!$C$5:$C$1004,A177,Randevular!$E$5:$E$1004,"Gelmedi"))</f>
        <v/>
      </c>
      <c r="F177" s="17" t="str">
        <f aca="false">IF(A177="","",SUMIFS(Randevular!$G$5:$G$1004,Randevular!$C$5:$C$1004,A177))</f>
        <v/>
      </c>
      <c r="G177" s="41" t="str">
        <f aca="false">IF(A177="","",IF(SUMPRODUCT(MAX((Randevular!$C$5:$C$1004=A177)*(Randevular!$E$5:$E$1004="Geldi")*Randevular!$A$5:$A$1004))=0,"",SUMPRODUCT(MAX((Randevular!$C$5:$C$1004=A177)*(Randevular!$E$5:$E$1004="Geldi")*Randevular!$A$5:$A$1004))))</f>
        <v/>
      </c>
      <c r="H177" s="21" t="str">
        <f aca="false">IF(A177="","",F177+ROW()/1000000)</f>
        <v/>
      </c>
    </row>
    <row r="178" customFormat="false" ht="15" hidden="false" customHeight="false" outlineLevel="0" collapsed="false">
      <c r="A178" s="14"/>
      <c r="B178" s="40"/>
      <c r="C178" s="14"/>
      <c r="D178" s="35" t="str">
        <f aca="false">IF(A178="","",COUNTIFS(Randevular!$C$5:$C$1004,A178,Randevular!$E$5:$E$1004,"&lt;&gt;İptal"))</f>
        <v/>
      </c>
      <c r="E178" s="35" t="str">
        <f aca="false">IF(A178="","",COUNTIFS(Randevular!$C$5:$C$1004,A178,Randevular!$E$5:$E$1004,"Gelmedi"))</f>
        <v/>
      </c>
      <c r="F178" s="17" t="str">
        <f aca="false">IF(A178="","",SUMIFS(Randevular!$G$5:$G$1004,Randevular!$C$5:$C$1004,A178))</f>
        <v/>
      </c>
      <c r="G178" s="41" t="str">
        <f aca="false">IF(A178="","",IF(SUMPRODUCT(MAX((Randevular!$C$5:$C$1004=A178)*(Randevular!$E$5:$E$1004="Geldi")*Randevular!$A$5:$A$1004))=0,"",SUMPRODUCT(MAX((Randevular!$C$5:$C$1004=A178)*(Randevular!$E$5:$E$1004="Geldi")*Randevular!$A$5:$A$1004))))</f>
        <v/>
      </c>
      <c r="H178" s="21" t="str">
        <f aca="false">IF(A178="","",F178+ROW()/1000000)</f>
        <v/>
      </c>
    </row>
    <row r="179" customFormat="false" ht="15" hidden="false" customHeight="false" outlineLevel="0" collapsed="false">
      <c r="A179" s="14"/>
      <c r="B179" s="40"/>
      <c r="C179" s="14"/>
      <c r="D179" s="35" t="str">
        <f aca="false">IF(A179="","",COUNTIFS(Randevular!$C$5:$C$1004,A179,Randevular!$E$5:$E$1004,"&lt;&gt;İptal"))</f>
        <v/>
      </c>
      <c r="E179" s="35" t="str">
        <f aca="false">IF(A179="","",COUNTIFS(Randevular!$C$5:$C$1004,A179,Randevular!$E$5:$E$1004,"Gelmedi"))</f>
        <v/>
      </c>
      <c r="F179" s="17" t="str">
        <f aca="false">IF(A179="","",SUMIFS(Randevular!$G$5:$G$1004,Randevular!$C$5:$C$1004,A179))</f>
        <v/>
      </c>
      <c r="G179" s="41" t="str">
        <f aca="false">IF(A179="","",IF(SUMPRODUCT(MAX((Randevular!$C$5:$C$1004=A179)*(Randevular!$E$5:$E$1004="Geldi")*Randevular!$A$5:$A$1004))=0,"",SUMPRODUCT(MAX((Randevular!$C$5:$C$1004=A179)*(Randevular!$E$5:$E$1004="Geldi")*Randevular!$A$5:$A$1004))))</f>
        <v/>
      </c>
      <c r="H179" s="21" t="str">
        <f aca="false">IF(A179="","",F179+ROW()/1000000)</f>
        <v/>
      </c>
    </row>
    <row r="180" customFormat="false" ht="15" hidden="false" customHeight="false" outlineLevel="0" collapsed="false">
      <c r="A180" s="14"/>
      <c r="B180" s="40"/>
      <c r="C180" s="14"/>
      <c r="D180" s="35" t="str">
        <f aca="false">IF(A180="","",COUNTIFS(Randevular!$C$5:$C$1004,A180,Randevular!$E$5:$E$1004,"&lt;&gt;İptal"))</f>
        <v/>
      </c>
      <c r="E180" s="35" t="str">
        <f aca="false">IF(A180="","",COUNTIFS(Randevular!$C$5:$C$1004,A180,Randevular!$E$5:$E$1004,"Gelmedi"))</f>
        <v/>
      </c>
      <c r="F180" s="17" t="str">
        <f aca="false">IF(A180="","",SUMIFS(Randevular!$G$5:$G$1004,Randevular!$C$5:$C$1004,A180))</f>
        <v/>
      </c>
      <c r="G180" s="41" t="str">
        <f aca="false">IF(A180="","",IF(SUMPRODUCT(MAX((Randevular!$C$5:$C$1004=A180)*(Randevular!$E$5:$E$1004="Geldi")*Randevular!$A$5:$A$1004))=0,"",SUMPRODUCT(MAX((Randevular!$C$5:$C$1004=A180)*(Randevular!$E$5:$E$1004="Geldi")*Randevular!$A$5:$A$1004))))</f>
        <v/>
      </c>
      <c r="H180" s="21" t="str">
        <f aca="false">IF(A180="","",F180+ROW()/1000000)</f>
        <v/>
      </c>
    </row>
    <row r="181" customFormat="false" ht="15" hidden="false" customHeight="false" outlineLevel="0" collapsed="false">
      <c r="A181" s="14"/>
      <c r="B181" s="40"/>
      <c r="C181" s="14"/>
      <c r="D181" s="35" t="str">
        <f aca="false">IF(A181="","",COUNTIFS(Randevular!$C$5:$C$1004,A181,Randevular!$E$5:$E$1004,"&lt;&gt;İptal"))</f>
        <v/>
      </c>
      <c r="E181" s="35" t="str">
        <f aca="false">IF(A181="","",COUNTIFS(Randevular!$C$5:$C$1004,A181,Randevular!$E$5:$E$1004,"Gelmedi"))</f>
        <v/>
      </c>
      <c r="F181" s="17" t="str">
        <f aca="false">IF(A181="","",SUMIFS(Randevular!$G$5:$G$1004,Randevular!$C$5:$C$1004,A181))</f>
        <v/>
      </c>
      <c r="G181" s="41" t="str">
        <f aca="false">IF(A181="","",IF(SUMPRODUCT(MAX((Randevular!$C$5:$C$1004=A181)*(Randevular!$E$5:$E$1004="Geldi")*Randevular!$A$5:$A$1004))=0,"",SUMPRODUCT(MAX((Randevular!$C$5:$C$1004=A181)*(Randevular!$E$5:$E$1004="Geldi")*Randevular!$A$5:$A$1004))))</f>
        <v/>
      </c>
      <c r="H181" s="21" t="str">
        <f aca="false">IF(A181="","",F181+ROW()/1000000)</f>
        <v/>
      </c>
    </row>
    <row r="182" customFormat="false" ht="15" hidden="false" customHeight="false" outlineLevel="0" collapsed="false">
      <c r="A182" s="14"/>
      <c r="B182" s="40"/>
      <c r="C182" s="14"/>
      <c r="D182" s="35" t="str">
        <f aca="false">IF(A182="","",COUNTIFS(Randevular!$C$5:$C$1004,A182,Randevular!$E$5:$E$1004,"&lt;&gt;İptal"))</f>
        <v/>
      </c>
      <c r="E182" s="35" t="str">
        <f aca="false">IF(A182="","",COUNTIFS(Randevular!$C$5:$C$1004,A182,Randevular!$E$5:$E$1004,"Gelmedi"))</f>
        <v/>
      </c>
      <c r="F182" s="17" t="str">
        <f aca="false">IF(A182="","",SUMIFS(Randevular!$G$5:$G$1004,Randevular!$C$5:$C$1004,A182))</f>
        <v/>
      </c>
      <c r="G182" s="41" t="str">
        <f aca="false">IF(A182="","",IF(SUMPRODUCT(MAX((Randevular!$C$5:$C$1004=A182)*(Randevular!$E$5:$E$1004="Geldi")*Randevular!$A$5:$A$1004))=0,"",SUMPRODUCT(MAX((Randevular!$C$5:$C$1004=A182)*(Randevular!$E$5:$E$1004="Geldi")*Randevular!$A$5:$A$1004))))</f>
        <v/>
      </c>
      <c r="H182" s="21" t="str">
        <f aca="false">IF(A182="","",F182+ROW()/1000000)</f>
        <v/>
      </c>
    </row>
    <row r="183" customFormat="false" ht="15" hidden="false" customHeight="false" outlineLevel="0" collapsed="false">
      <c r="A183" s="14"/>
      <c r="B183" s="40"/>
      <c r="C183" s="14"/>
      <c r="D183" s="35" t="str">
        <f aca="false">IF(A183="","",COUNTIFS(Randevular!$C$5:$C$1004,A183,Randevular!$E$5:$E$1004,"&lt;&gt;İptal"))</f>
        <v/>
      </c>
      <c r="E183" s="35" t="str">
        <f aca="false">IF(A183="","",COUNTIFS(Randevular!$C$5:$C$1004,A183,Randevular!$E$5:$E$1004,"Gelmedi"))</f>
        <v/>
      </c>
      <c r="F183" s="17" t="str">
        <f aca="false">IF(A183="","",SUMIFS(Randevular!$G$5:$G$1004,Randevular!$C$5:$C$1004,A183))</f>
        <v/>
      </c>
      <c r="G183" s="41" t="str">
        <f aca="false">IF(A183="","",IF(SUMPRODUCT(MAX((Randevular!$C$5:$C$1004=A183)*(Randevular!$E$5:$E$1004="Geldi")*Randevular!$A$5:$A$1004))=0,"",SUMPRODUCT(MAX((Randevular!$C$5:$C$1004=A183)*(Randevular!$E$5:$E$1004="Geldi")*Randevular!$A$5:$A$1004))))</f>
        <v/>
      </c>
      <c r="H183" s="21" t="str">
        <f aca="false">IF(A183="","",F183+ROW()/1000000)</f>
        <v/>
      </c>
    </row>
    <row r="184" customFormat="false" ht="15" hidden="false" customHeight="false" outlineLevel="0" collapsed="false">
      <c r="A184" s="14"/>
      <c r="B184" s="40"/>
      <c r="C184" s="14"/>
      <c r="D184" s="35" t="str">
        <f aca="false">IF(A184="","",COUNTIFS(Randevular!$C$5:$C$1004,A184,Randevular!$E$5:$E$1004,"&lt;&gt;İptal"))</f>
        <v/>
      </c>
      <c r="E184" s="35" t="str">
        <f aca="false">IF(A184="","",COUNTIFS(Randevular!$C$5:$C$1004,A184,Randevular!$E$5:$E$1004,"Gelmedi"))</f>
        <v/>
      </c>
      <c r="F184" s="17" t="str">
        <f aca="false">IF(A184="","",SUMIFS(Randevular!$G$5:$G$1004,Randevular!$C$5:$C$1004,A184))</f>
        <v/>
      </c>
      <c r="G184" s="41" t="str">
        <f aca="false">IF(A184="","",IF(SUMPRODUCT(MAX((Randevular!$C$5:$C$1004=A184)*(Randevular!$E$5:$E$1004="Geldi")*Randevular!$A$5:$A$1004))=0,"",SUMPRODUCT(MAX((Randevular!$C$5:$C$1004=A184)*(Randevular!$E$5:$E$1004="Geldi")*Randevular!$A$5:$A$1004))))</f>
        <v/>
      </c>
      <c r="H184" s="21" t="str">
        <f aca="false">IF(A184="","",F184+ROW()/1000000)</f>
        <v/>
      </c>
    </row>
    <row r="185" customFormat="false" ht="15" hidden="false" customHeight="false" outlineLevel="0" collapsed="false">
      <c r="A185" s="14"/>
      <c r="B185" s="40"/>
      <c r="C185" s="14"/>
      <c r="D185" s="35" t="str">
        <f aca="false">IF(A185="","",COUNTIFS(Randevular!$C$5:$C$1004,A185,Randevular!$E$5:$E$1004,"&lt;&gt;İptal"))</f>
        <v/>
      </c>
      <c r="E185" s="35" t="str">
        <f aca="false">IF(A185="","",COUNTIFS(Randevular!$C$5:$C$1004,A185,Randevular!$E$5:$E$1004,"Gelmedi"))</f>
        <v/>
      </c>
      <c r="F185" s="17" t="str">
        <f aca="false">IF(A185="","",SUMIFS(Randevular!$G$5:$G$1004,Randevular!$C$5:$C$1004,A185))</f>
        <v/>
      </c>
      <c r="G185" s="41" t="str">
        <f aca="false">IF(A185="","",IF(SUMPRODUCT(MAX((Randevular!$C$5:$C$1004=A185)*(Randevular!$E$5:$E$1004="Geldi")*Randevular!$A$5:$A$1004))=0,"",SUMPRODUCT(MAX((Randevular!$C$5:$C$1004=A185)*(Randevular!$E$5:$E$1004="Geldi")*Randevular!$A$5:$A$1004))))</f>
        <v/>
      </c>
      <c r="H185" s="21" t="str">
        <f aca="false">IF(A185="","",F185+ROW()/1000000)</f>
        <v/>
      </c>
    </row>
    <row r="186" customFormat="false" ht="15" hidden="false" customHeight="false" outlineLevel="0" collapsed="false">
      <c r="A186" s="14"/>
      <c r="B186" s="40"/>
      <c r="C186" s="14"/>
      <c r="D186" s="35" t="str">
        <f aca="false">IF(A186="","",COUNTIFS(Randevular!$C$5:$C$1004,A186,Randevular!$E$5:$E$1004,"&lt;&gt;İptal"))</f>
        <v/>
      </c>
      <c r="E186" s="35" t="str">
        <f aca="false">IF(A186="","",COUNTIFS(Randevular!$C$5:$C$1004,A186,Randevular!$E$5:$E$1004,"Gelmedi"))</f>
        <v/>
      </c>
      <c r="F186" s="17" t="str">
        <f aca="false">IF(A186="","",SUMIFS(Randevular!$G$5:$G$1004,Randevular!$C$5:$C$1004,A186))</f>
        <v/>
      </c>
      <c r="G186" s="41" t="str">
        <f aca="false">IF(A186="","",IF(SUMPRODUCT(MAX((Randevular!$C$5:$C$1004=A186)*(Randevular!$E$5:$E$1004="Geldi")*Randevular!$A$5:$A$1004))=0,"",SUMPRODUCT(MAX((Randevular!$C$5:$C$1004=A186)*(Randevular!$E$5:$E$1004="Geldi")*Randevular!$A$5:$A$1004))))</f>
        <v/>
      </c>
      <c r="H186" s="21" t="str">
        <f aca="false">IF(A186="","",F186+ROW()/1000000)</f>
        <v/>
      </c>
    </row>
    <row r="187" customFormat="false" ht="15" hidden="false" customHeight="false" outlineLevel="0" collapsed="false">
      <c r="A187" s="14"/>
      <c r="B187" s="40"/>
      <c r="C187" s="14"/>
      <c r="D187" s="35" t="str">
        <f aca="false">IF(A187="","",COUNTIFS(Randevular!$C$5:$C$1004,A187,Randevular!$E$5:$E$1004,"&lt;&gt;İptal"))</f>
        <v/>
      </c>
      <c r="E187" s="35" t="str">
        <f aca="false">IF(A187="","",COUNTIFS(Randevular!$C$5:$C$1004,A187,Randevular!$E$5:$E$1004,"Gelmedi"))</f>
        <v/>
      </c>
      <c r="F187" s="17" t="str">
        <f aca="false">IF(A187="","",SUMIFS(Randevular!$G$5:$G$1004,Randevular!$C$5:$C$1004,A187))</f>
        <v/>
      </c>
      <c r="G187" s="41" t="str">
        <f aca="false">IF(A187="","",IF(SUMPRODUCT(MAX((Randevular!$C$5:$C$1004=A187)*(Randevular!$E$5:$E$1004="Geldi")*Randevular!$A$5:$A$1004))=0,"",SUMPRODUCT(MAX((Randevular!$C$5:$C$1004=A187)*(Randevular!$E$5:$E$1004="Geldi")*Randevular!$A$5:$A$1004))))</f>
        <v/>
      </c>
      <c r="H187" s="21" t="str">
        <f aca="false">IF(A187="","",F187+ROW()/1000000)</f>
        <v/>
      </c>
    </row>
    <row r="188" customFormat="false" ht="15" hidden="false" customHeight="false" outlineLevel="0" collapsed="false">
      <c r="A188" s="14"/>
      <c r="B188" s="40"/>
      <c r="C188" s="14"/>
      <c r="D188" s="35" t="str">
        <f aca="false">IF(A188="","",COUNTIFS(Randevular!$C$5:$C$1004,A188,Randevular!$E$5:$E$1004,"&lt;&gt;İptal"))</f>
        <v/>
      </c>
      <c r="E188" s="35" t="str">
        <f aca="false">IF(A188="","",COUNTIFS(Randevular!$C$5:$C$1004,A188,Randevular!$E$5:$E$1004,"Gelmedi"))</f>
        <v/>
      </c>
      <c r="F188" s="17" t="str">
        <f aca="false">IF(A188="","",SUMIFS(Randevular!$G$5:$G$1004,Randevular!$C$5:$C$1004,A188))</f>
        <v/>
      </c>
      <c r="G188" s="41" t="str">
        <f aca="false">IF(A188="","",IF(SUMPRODUCT(MAX((Randevular!$C$5:$C$1004=A188)*(Randevular!$E$5:$E$1004="Geldi")*Randevular!$A$5:$A$1004))=0,"",SUMPRODUCT(MAX((Randevular!$C$5:$C$1004=A188)*(Randevular!$E$5:$E$1004="Geldi")*Randevular!$A$5:$A$1004))))</f>
        <v/>
      </c>
      <c r="H188" s="21" t="str">
        <f aca="false">IF(A188="","",F188+ROW()/1000000)</f>
        <v/>
      </c>
    </row>
    <row r="189" customFormat="false" ht="15" hidden="false" customHeight="false" outlineLevel="0" collapsed="false">
      <c r="A189" s="14"/>
      <c r="B189" s="40"/>
      <c r="C189" s="14"/>
      <c r="D189" s="35" t="str">
        <f aca="false">IF(A189="","",COUNTIFS(Randevular!$C$5:$C$1004,A189,Randevular!$E$5:$E$1004,"&lt;&gt;İptal"))</f>
        <v/>
      </c>
      <c r="E189" s="35" t="str">
        <f aca="false">IF(A189="","",COUNTIFS(Randevular!$C$5:$C$1004,A189,Randevular!$E$5:$E$1004,"Gelmedi"))</f>
        <v/>
      </c>
      <c r="F189" s="17" t="str">
        <f aca="false">IF(A189="","",SUMIFS(Randevular!$G$5:$G$1004,Randevular!$C$5:$C$1004,A189))</f>
        <v/>
      </c>
      <c r="G189" s="41" t="str">
        <f aca="false">IF(A189="","",IF(SUMPRODUCT(MAX((Randevular!$C$5:$C$1004=A189)*(Randevular!$E$5:$E$1004="Geldi")*Randevular!$A$5:$A$1004))=0,"",SUMPRODUCT(MAX((Randevular!$C$5:$C$1004=A189)*(Randevular!$E$5:$E$1004="Geldi")*Randevular!$A$5:$A$1004))))</f>
        <v/>
      </c>
      <c r="H189" s="21" t="str">
        <f aca="false">IF(A189="","",F189+ROW()/1000000)</f>
        <v/>
      </c>
    </row>
    <row r="190" customFormat="false" ht="15" hidden="false" customHeight="false" outlineLevel="0" collapsed="false">
      <c r="A190" s="14"/>
      <c r="B190" s="40"/>
      <c r="C190" s="14"/>
      <c r="D190" s="35" t="str">
        <f aca="false">IF(A190="","",COUNTIFS(Randevular!$C$5:$C$1004,A190,Randevular!$E$5:$E$1004,"&lt;&gt;İptal"))</f>
        <v/>
      </c>
      <c r="E190" s="35" t="str">
        <f aca="false">IF(A190="","",COUNTIFS(Randevular!$C$5:$C$1004,A190,Randevular!$E$5:$E$1004,"Gelmedi"))</f>
        <v/>
      </c>
      <c r="F190" s="17" t="str">
        <f aca="false">IF(A190="","",SUMIFS(Randevular!$G$5:$G$1004,Randevular!$C$5:$C$1004,A190))</f>
        <v/>
      </c>
      <c r="G190" s="41" t="str">
        <f aca="false">IF(A190="","",IF(SUMPRODUCT(MAX((Randevular!$C$5:$C$1004=A190)*(Randevular!$E$5:$E$1004="Geldi")*Randevular!$A$5:$A$1004))=0,"",SUMPRODUCT(MAX((Randevular!$C$5:$C$1004=A190)*(Randevular!$E$5:$E$1004="Geldi")*Randevular!$A$5:$A$1004))))</f>
        <v/>
      </c>
      <c r="H190" s="21" t="str">
        <f aca="false">IF(A190="","",F190+ROW()/1000000)</f>
        <v/>
      </c>
    </row>
    <row r="191" customFormat="false" ht="15" hidden="false" customHeight="false" outlineLevel="0" collapsed="false">
      <c r="A191" s="14"/>
      <c r="B191" s="40"/>
      <c r="C191" s="14"/>
      <c r="D191" s="35" t="str">
        <f aca="false">IF(A191="","",COUNTIFS(Randevular!$C$5:$C$1004,A191,Randevular!$E$5:$E$1004,"&lt;&gt;İptal"))</f>
        <v/>
      </c>
      <c r="E191" s="35" t="str">
        <f aca="false">IF(A191="","",COUNTIFS(Randevular!$C$5:$C$1004,A191,Randevular!$E$5:$E$1004,"Gelmedi"))</f>
        <v/>
      </c>
      <c r="F191" s="17" t="str">
        <f aca="false">IF(A191="","",SUMIFS(Randevular!$G$5:$G$1004,Randevular!$C$5:$C$1004,A191))</f>
        <v/>
      </c>
      <c r="G191" s="41" t="str">
        <f aca="false">IF(A191="","",IF(SUMPRODUCT(MAX((Randevular!$C$5:$C$1004=A191)*(Randevular!$E$5:$E$1004="Geldi")*Randevular!$A$5:$A$1004))=0,"",SUMPRODUCT(MAX((Randevular!$C$5:$C$1004=A191)*(Randevular!$E$5:$E$1004="Geldi")*Randevular!$A$5:$A$1004))))</f>
        <v/>
      </c>
      <c r="H191" s="21" t="str">
        <f aca="false">IF(A191="","",F191+ROW()/1000000)</f>
        <v/>
      </c>
    </row>
    <row r="192" customFormat="false" ht="15" hidden="false" customHeight="false" outlineLevel="0" collapsed="false">
      <c r="A192" s="14"/>
      <c r="B192" s="40"/>
      <c r="C192" s="14"/>
      <c r="D192" s="35" t="str">
        <f aca="false">IF(A192="","",COUNTIFS(Randevular!$C$5:$C$1004,A192,Randevular!$E$5:$E$1004,"&lt;&gt;İptal"))</f>
        <v/>
      </c>
      <c r="E192" s="35" t="str">
        <f aca="false">IF(A192="","",COUNTIFS(Randevular!$C$5:$C$1004,A192,Randevular!$E$5:$E$1004,"Gelmedi"))</f>
        <v/>
      </c>
      <c r="F192" s="17" t="str">
        <f aca="false">IF(A192="","",SUMIFS(Randevular!$G$5:$G$1004,Randevular!$C$5:$C$1004,A192))</f>
        <v/>
      </c>
      <c r="G192" s="41" t="str">
        <f aca="false">IF(A192="","",IF(SUMPRODUCT(MAX((Randevular!$C$5:$C$1004=A192)*(Randevular!$E$5:$E$1004="Geldi")*Randevular!$A$5:$A$1004))=0,"",SUMPRODUCT(MAX((Randevular!$C$5:$C$1004=A192)*(Randevular!$E$5:$E$1004="Geldi")*Randevular!$A$5:$A$1004))))</f>
        <v/>
      </c>
      <c r="H192" s="21" t="str">
        <f aca="false">IF(A192="","",F192+ROW()/1000000)</f>
        <v/>
      </c>
    </row>
    <row r="193" customFormat="false" ht="15" hidden="false" customHeight="false" outlineLevel="0" collapsed="false">
      <c r="A193" s="14"/>
      <c r="B193" s="40"/>
      <c r="C193" s="14"/>
      <c r="D193" s="35" t="str">
        <f aca="false">IF(A193="","",COUNTIFS(Randevular!$C$5:$C$1004,A193,Randevular!$E$5:$E$1004,"&lt;&gt;İptal"))</f>
        <v/>
      </c>
      <c r="E193" s="35" t="str">
        <f aca="false">IF(A193="","",COUNTIFS(Randevular!$C$5:$C$1004,A193,Randevular!$E$5:$E$1004,"Gelmedi"))</f>
        <v/>
      </c>
      <c r="F193" s="17" t="str">
        <f aca="false">IF(A193="","",SUMIFS(Randevular!$G$5:$G$1004,Randevular!$C$5:$C$1004,A193))</f>
        <v/>
      </c>
      <c r="G193" s="41" t="str">
        <f aca="false">IF(A193="","",IF(SUMPRODUCT(MAX((Randevular!$C$5:$C$1004=A193)*(Randevular!$E$5:$E$1004="Geldi")*Randevular!$A$5:$A$1004))=0,"",SUMPRODUCT(MAX((Randevular!$C$5:$C$1004=A193)*(Randevular!$E$5:$E$1004="Geldi")*Randevular!$A$5:$A$1004))))</f>
        <v/>
      </c>
      <c r="H193" s="21" t="str">
        <f aca="false">IF(A193="","",F193+ROW()/1000000)</f>
        <v/>
      </c>
    </row>
    <row r="194" customFormat="false" ht="15" hidden="false" customHeight="false" outlineLevel="0" collapsed="false">
      <c r="A194" s="14"/>
      <c r="B194" s="40"/>
      <c r="C194" s="14"/>
      <c r="D194" s="35" t="str">
        <f aca="false">IF(A194="","",COUNTIFS(Randevular!$C$5:$C$1004,A194,Randevular!$E$5:$E$1004,"&lt;&gt;İptal"))</f>
        <v/>
      </c>
      <c r="E194" s="35" t="str">
        <f aca="false">IF(A194="","",COUNTIFS(Randevular!$C$5:$C$1004,A194,Randevular!$E$5:$E$1004,"Gelmedi"))</f>
        <v/>
      </c>
      <c r="F194" s="17" t="str">
        <f aca="false">IF(A194="","",SUMIFS(Randevular!$G$5:$G$1004,Randevular!$C$5:$C$1004,A194))</f>
        <v/>
      </c>
      <c r="G194" s="41" t="str">
        <f aca="false">IF(A194="","",IF(SUMPRODUCT(MAX((Randevular!$C$5:$C$1004=A194)*(Randevular!$E$5:$E$1004="Geldi")*Randevular!$A$5:$A$1004))=0,"",SUMPRODUCT(MAX((Randevular!$C$5:$C$1004=A194)*(Randevular!$E$5:$E$1004="Geldi")*Randevular!$A$5:$A$1004))))</f>
        <v/>
      </c>
      <c r="H194" s="21" t="str">
        <f aca="false">IF(A194="","",F194+ROW()/1000000)</f>
        <v/>
      </c>
    </row>
    <row r="195" customFormat="false" ht="15" hidden="false" customHeight="false" outlineLevel="0" collapsed="false">
      <c r="A195" s="14"/>
      <c r="B195" s="40"/>
      <c r="C195" s="14"/>
      <c r="D195" s="35" t="str">
        <f aca="false">IF(A195="","",COUNTIFS(Randevular!$C$5:$C$1004,A195,Randevular!$E$5:$E$1004,"&lt;&gt;İptal"))</f>
        <v/>
      </c>
      <c r="E195" s="35" t="str">
        <f aca="false">IF(A195="","",COUNTIFS(Randevular!$C$5:$C$1004,A195,Randevular!$E$5:$E$1004,"Gelmedi"))</f>
        <v/>
      </c>
      <c r="F195" s="17" t="str">
        <f aca="false">IF(A195="","",SUMIFS(Randevular!$G$5:$G$1004,Randevular!$C$5:$C$1004,A195))</f>
        <v/>
      </c>
      <c r="G195" s="41" t="str">
        <f aca="false">IF(A195="","",IF(SUMPRODUCT(MAX((Randevular!$C$5:$C$1004=A195)*(Randevular!$E$5:$E$1004="Geldi")*Randevular!$A$5:$A$1004))=0,"",SUMPRODUCT(MAX((Randevular!$C$5:$C$1004=A195)*(Randevular!$E$5:$E$1004="Geldi")*Randevular!$A$5:$A$1004))))</f>
        <v/>
      </c>
      <c r="H195" s="21" t="str">
        <f aca="false">IF(A195="","",F195+ROW()/1000000)</f>
        <v/>
      </c>
    </row>
    <row r="196" customFormat="false" ht="15" hidden="false" customHeight="false" outlineLevel="0" collapsed="false">
      <c r="A196" s="14"/>
      <c r="B196" s="40"/>
      <c r="C196" s="14"/>
      <c r="D196" s="35" t="str">
        <f aca="false">IF(A196="","",COUNTIFS(Randevular!$C$5:$C$1004,A196,Randevular!$E$5:$E$1004,"&lt;&gt;İptal"))</f>
        <v/>
      </c>
      <c r="E196" s="35" t="str">
        <f aca="false">IF(A196="","",COUNTIFS(Randevular!$C$5:$C$1004,A196,Randevular!$E$5:$E$1004,"Gelmedi"))</f>
        <v/>
      </c>
      <c r="F196" s="17" t="str">
        <f aca="false">IF(A196="","",SUMIFS(Randevular!$G$5:$G$1004,Randevular!$C$5:$C$1004,A196))</f>
        <v/>
      </c>
      <c r="G196" s="41" t="str">
        <f aca="false">IF(A196="","",IF(SUMPRODUCT(MAX((Randevular!$C$5:$C$1004=A196)*(Randevular!$E$5:$E$1004="Geldi")*Randevular!$A$5:$A$1004))=0,"",SUMPRODUCT(MAX((Randevular!$C$5:$C$1004=A196)*(Randevular!$E$5:$E$1004="Geldi")*Randevular!$A$5:$A$1004))))</f>
        <v/>
      </c>
      <c r="H196" s="21" t="str">
        <f aca="false">IF(A196="","",F196+ROW()/1000000)</f>
        <v/>
      </c>
    </row>
    <row r="197" customFormat="false" ht="15" hidden="false" customHeight="false" outlineLevel="0" collapsed="false">
      <c r="A197" s="14"/>
      <c r="B197" s="40"/>
      <c r="C197" s="14"/>
      <c r="D197" s="35" t="str">
        <f aca="false">IF(A197="","",COUNTIFS(Randevular!$C$5:$C$1004,A197,Randevular!$E$5:$E$1004,"&lt;&gt;İptal"))</f>
        <v/>
      </c>
      <c r="E197" s="35" t="str">
        <f aca="false">IF(A197="","",COUNTIFS(Randevular!$C$5:$C$1004,A197,Randevular!$E$5:$E$1004,"Gelmedi"))</f>
        <v/>
      </c>
      <c r="F197" s="17" t="str">
        <f aca="false">IF(A197="","",SUMIFS(Randevular!$G$5:$G$1004,Randevular!$C$5:$C$1004,A197))</f>
        <v/>
      </c>
      <c r="G197" s="41" t="str">
        <f aca="false">IF(A197="","",IF(SUMPRODUCT(MAX((Randevular!$C$5:$C$1004=A197)*(Randevular!$E$5:$E$1004="Geldi")*Randevular!$A$5:$A$1004))=0,"",SUMPRODUCT(MAX((Randevular!$C$5:$C$1004=A197)*(Randevular!$E$5:$E$1004="Geldi")*Randevular!$A$5:$A$1004))))</f>
        <v/>
      </c>
      <c r="H197" s="21" t="str">
        <f aca="false">IF(A197="","",F197+ROW()/1000000)</f>
        <v/>
      </c>
    </row>
    <row r="198" customFormat="false" ht="15" hidden="false" customHeight="false" outlineLevel="0" collapsed="false">
      <c r="A198" s="14"/>
      <c r="B198" s="40"/>
      <c r="C198" s="14"/>
      <c r="D198" s="35" t="str">
        <f aca="false">IF(A198="","",COUNTIFS(Randevular!$C$5:$C$1004,A198,Randevular!$E$5:$E$1004,"&lt;&gt;İptal"))</f>
        <v/>
      </c>
      <c r="E198" s="35" t="str">
        <f aca="false">IF(A198="","",COUNTIFS(Randevular!$C$5:$C$1004,A198,Randevular!$E$5:$E$1004,"Gelmedi"))</f>
        <v/>
      </c>
      <c r="F198" s="17" t="str">
        <f aca="false">IF(A198="","",SUMIFS(Randevular!$G$5:$G$1004,Randevular!$C$5:$C$1004,A198))</f>
        <v/>
      </c>
      <c r="G198" s="41" t="str">
        <f aca="false">IF(A198="","",IF(SUMPRODUCT(MAX((Randevular!$C$5:$C$1004=A198)*(Randevular!$E$5:$E$1004="Geldi")*Randevular!$A$5:$A$1004))=0,"",SUMPRODUCT(MAX((Randevular!$C$5:$C$1004=A198)*(Randevular!$E$5:$E$1004="Geldi")*Randevular!$A$5:$A$1004))))</f>
        <v/>
      </c>
      <c r="H198" s="21" t="str">
        <f aca="false">IF(A198="","",F198+ROW()/1000000)</f>
        <v/>
      </c>
    </row>
    <row r="199" customFormat="false" ht="15" hidden="false" customHeight="false" outlineLevel="0" collapsed="false">
      <c r="A199" s="14"/>
      <c r="B199" s="40"/>
      <c r="C199" s="14"/>
      <c r="D199" s="35" t="str">
        <f aca="false">IF(A199="","",COUNTIFS(Randevular!$C$5:$C$1004,A199,Randevular!$E$5:$E$1004,"&lt;&gt;İptal"))</f>
        <v/>
      </c>
      <c r="E199" s="35" t="str">
        <f aca="false">IF(A199="","",COUNTIFS(Randevular!$C$5:$C$1004,A199,Randevular!$E$5:$E$1004,"Gelmedi"))</f>
        <v/>
      </c>
      <c r="F199" s="17" t="str">
        <f aca="false">IF(A199="","",SUMIFS(Randevular!$G$5:$G$1004,Randevular!$C$5:$C$1004,A199))</f>
        <v/>
      </c>
      <c r="G199" s="41" t="str">
        <f aca="false">IF(A199="","",IF(SUMPRODUCT(MAX((Randevular!$C$5:$C$1004=A199)*(Randevular!$E$5:$E$1004="Geldi")*Randevular!$A$5:$A$1004))=0,"",SUMPRODUCT(MAX((Randevular!$C$5:$C$1004=A199)*(Randevular!$E$5:$E$1004="Geldi")*Randevular!$A$5:$A$1004))))</f>
        <v/>
      </c>
      <c r="H199" s="21" t="str">
        <f aca="false">IF(A199="","",F199+ROW()/1000000)</f>
        <v/>
      </c>
    </row>
    <row r="200" customFormat="false" ht="15" hidden="false" customHeight="false" outlineLevel="0" collapsed="false">
      <c r="A200" s="14"/>
      <c r="B200" s="40"/>
      <c r="C200" s="14"/>
      <c r="D200" s="35" t="str">
        <f aca="false">IF(A200="","",COUNTIFS(Randevular!$C$5:$C$1004,A200,Randevular!$E$5:$E$1004,"&lt;&gt;İptal"))</f>
        <v/>
      </c>
      <c r="E200" s="35" t="str">
        <f aca="false">IF(A200="","",COUNTIFS(Randevular!$C$5:$C$1004,A200,Randevular!$E$5:$E$1004,"Gelmedi"))</f>
        <v/>
      </c>
      <c r="F200" s="17" t="str">
        <f aca="false">IF(A200="","",SUMIFS(Randevular!$G$5:$G$1004,Randevular!$C$5:$C$1004,A200))</f>
        <v/>
      </c>
      <c r="G200" s="41" t="str">
        <f aca="false">IF(A200="","",IF(SUMPRODUCT(MAX((Randevular!$C$5:$C$1004=A200)*(Randevular!$E$5:$E$1004="Geldi")*Randevular!$A$5:$A$1004))=0,"",SUMPRODUCT(MAX((Randevular!$C$5:$C$1004=A200)*(Randevular!$E$5:$E$1004="Geldi")*Randevular!$A$5:$A$1004))))</f>
        <v/>
      </c>
      <c r="H200" s="21" t="str">
        <f aca="false">IF(A200="","",F200+ROW()/1000000)</f>
        <v/>
      </c>
    </row>
    <row r="201" customFormat="false" ht="15" hidden="false" customHeight="false" outlineLevel="0" collapsed="false">
      <c r="A201" s="14"/>
      <c r="B201" s="40"/>
      <c r="C201" s="14"/>
      <c r="D201" s="35" t="str">
        <f aca="false">IF(A201="","",COUNTIFS(Randevular!$C$5:$C$1004,A201,Randevular!$E$5:$E$1004,"&lt;&gt;İptal"))</f>
        <v/>
      </c>
      <c r="E201" s="35" t="str">
        <f aca="false">IF(A201="","",COUNTIFS(Randevular!$C$5:$C$1004,A201,Randevular!$E$5:$E$1004,"Gelmedi"))</f>
        <v/>
      </c>
      <c r="F201" s="17" t="str">
        <f aca="false">IF(A201="","",SUMIFS(Randevular!$G$5:$G$1004,Randevular!$C$5:$C$1004,A201))</f>
        <v/>
      </c>
      <c r="G201" s="41" t="str">
        <f aca="false">IF(A201="","",IF(SUMPRODUCT(MAX((Randevular!$C$5:$C$1004=A201)*(Randevular!$E$5:$E$1004="Geldi")*Randevular!$A$5:$A$1004))=0,"",SUMPRODUCT(MAX((Randevular!$C$5:$C$1004=A201)*(Randevular!$E$5:$E$1004="Geldi")*Randevular!$A$5:$A$1004))))</f>
        <v/>
      </c>
      <c r="H201" s="21" t="str">
        <f aca="false">IF(A201="","",F201+ROW()/1000000)</f>
        <v/>
      </c>
    </row>
    <row r="202" customFormat="false" ht="15" hidden="false" customHeight="false" outlineLevel="0" collapsed="false">
      <c r="A202" s="14"/>
      <c r="B202" s="40"/>
      <c r="C202" s="14"/>
      <c r="D202" s="35" t="str">
        <f aca="false">IF(A202="","",COUNTIFS(Randevular!$C$5:$C$1004,A202,Randevular!$E$5:$E$1004,"&lt;&gt;İptal"))</f>
        <v/>
      </c>
      <c r="E202" s="35" t="str">
        <f aca="false">IF(A202="","",COUNTIFS(Randevular!$C$5:$C$1004,A202,Randevular!$E$5:$E$1004,"Gelmedi"))</f>
        <v/>
      </c>
      <c r="F202" s="17" t="str">
        <f aca="false">IF(A202="","",SUMIFS(Randevular!$G$5:$G$1004,Randevular!$C$5:$C$1004,A202))</f>
        <v/>
      </c>
      <c r="G202" s="41" t="str">
        <f aca="false">IF(A202="","",IF(SUMPRODUCT(MAX((Randevular!$C$5:$C$1004=A202)*(Randevular!$E$5:$E$1004="Geldi")*Randevular!$A$5:$A$1004))=0,"",SUMPRODUCT(MAX((Randevular!$C$5:$C$1004=A202)*(Randevular!$E$5:$E$1004="Geldi")*Randevular!$A$5:$A$1004))))</f>
        <v/>
      </c>
      <c r="H202" s="21" t="str">
        <f aca="false">IF(A202="","",F202+ROW()/1000000)</f>
        <v/>
      </c>
    </row>
    <row r="203" customFormat="false" ht="15" hidden="false" customHeight="false" outlineLevel="0" collapsed="false">
      <c r="A203" s="14"/>
      <c r="B203" s="40"/>
      <c r="C203" s="14"/>
      <c r="D203" s="35" t="str">
        <f aca="false">IF(A203="","",COUNTIFS(Randevular!$C$5:$C$1004,A203,Randevular!$E$5:$E$1004,"&lt;&gt;İptal"))</f>
        <v/>
      </c>
      <c r="E203" s="35" t="str">
        <f aca="false">IF(A203="","",COUNTIFS(Randevular!$C$5:$C$1004,A203,Randevular!$E$5:$E$1004,"Gelmedi"))</f>
        <v/>
      </c>
      <c r="F203" s="17" t="str">
        <f aca="false">IF(A203="","",SUMIFS(Randevular!$G$5:$G$1004,Randevular!$C$5:$C$1004,A203))</f>
        <v/>
      </c>
      <c r="G203" s="41" t="str">
        <f aca="false">IF(A203="","",IF(SUMPRODUCT(MAX((Randevular!$C$5:$C$1004=A203)*(Randevular!$E$5:$E$1004="Geldi")*Randevular!$A$5:$A$1004))=0,"",SUMPRODUCT(MAX((Randevular!$C$5:$C$1004=A203)*(Randevular!$E$5:$E$1004="Geldi")*Randevular!$A$5:$A$1004))))</f>
        <v/>
      </c>
      <c r="H203" s="21" t="str">
        <f aca="false">IF(A203="","",F203+ROW()/1000000)</f>
        <v/>
      </c>
    </row>
    <row r="204" customFormat="false" ht="15" hidden="false" customHeight="false" outlineLevel="0" collapsed="false">
      <c r="A204" s="14"/>
      <c r="B204" s="40"/>
      <c r="C204" s="14"/>
      <c r="D204" s="35" t="str">
        <f aca="false">IF(A204="","",COUNTIFS(Randevular!$C$5:$C$1004,A204,Randevular!$E$5:$E$1004,"&lt;&gt;İptal"))</f>
        <v/>
      </c>
      <c r="E204" s="35" t="str">
        <f aca="false">IF(A204="","",COUNTIFS(Randevular!$C$5:$C$1004,A204,Randevular!$E$5:$E$1004,"Gelmedi"))</f>
        <v/>
      </c>
      <c r="F204" s="17" t="str">
        <f aca="false">IF(A204="","",SUMIFS(Randevular!$G$5:$G$1004,Randevular!$C$5:$C$1004,A204))</f>
        <v/>
      </c>
      <c r="G204" s="41" t="str">
        <f aca="false">IF(A204="","",IF(SUMPRODUCT(MAX((Randevular!$C$5:$C$1004=A204)*(Randevular!$E$5:$E$1004="Geldi")*Randevular!$A$5:$A$1004))=0,"",SUMPRODUCT(MAX((Randevular!$C$5:$C$1004=A204)*(Randevular!$E$5:$E$1004="Geldi")*Randevular!$A$5:$A$1004))))</f>
        <v/>
      </c>
      <c r="H204" s="21" t="str">
        <f aca="false">IF(A204="","",F204+ROW()/1000000)</f>
        <v/>
      </c>
    </row>
    <row r="205" customFormat="false" ht="15" hidden="false" customHeight="false" outlineLevel="0" collapsed="false">
      <c r="A205" s="14"/>
      <c r="B205" s="40"/>
      <c r="C205" s="14"/>
      <c r="D205" s="35" t="str">
        <f aca="false">IF(A205="","",COUNTIFS(Randevular!$C$5:$C$1004,A205,Randevular!$E$5:$E$1004,"&lt;&gt;İptal"))</f>
        <v/>
      </c>
      <c r="E205" s="35" t="str">
        <f aca="false">IF(A205="","",COUNTIFS(Randevular!$C$5:$C$1004,A205,Randevular!$E$5:$E$1004,"Gelmedi"))</f>
        <v/>
      </c>
      <c r="F205" s="17" t="str">
        <f aca="false">IF(A205="","",SUMIFS(Randevular!$G$5:$G$1004,Randevular!$C$5:$C$1004,A205))</f>
        <v/>
      </c>
      <c r="G205" s="41" t="str">
        <f aca="false">IF(A205="","",IF(SUMPRODUCT(MAX((Randevular!$C$5:$C$1004=A205)*(Randevular!$E$5:$E$1004="Geldi")*Randevular!$A$5:$A$1004))=0,"",SUMPRODUCT(MAX((Randevular!$C$5:$C$1004=A205)*(Randevular!$E$5:$E$1004="Geldi")*Randevular!$A$5:$A$1004))))</f>
        <v/>
      </c>
      <c r="H205" s="21" t="str">
        <f aca="false">IF(A205="","",F205+ROW()/1000000)</f>
        <v/>
      </c>
    </row>
    <row r="206" customFormat="false" ht="15" hidden="false" customHeight="false" outlineLevel="0" collapsed="false">
      <c r="A206" s="14"/>
      <c r="B206" s="40"/>
      <c r="C206" s="14"/>
      <c r="D206" s="35" t="str">
        <f aca="false">IF(A206="","",COUNTIFS(Randevular!$C$5:$C$1004,A206,Randevular!$E$5:$E$1004,"&lt;&gt;İptal"))</f>
        <v/>
      </c>
      <c r="E206" s="35" t="str">
        <f aca="false">IF(A206="","",COUNTIFS(Randevular!$C$5:$C$1004,A206,Randevular!$E$5:$E$1004,"Gelmedi"))</f>
        <v/>
      </c>
      <c r="F206" s="17" t="str">
        <f aca="false">IF(A206="","",SUMIFS(Randevular!$G$5:$G$1004,Randevular!$C$5:$C$1004,A206))</f>
        <v/>
      </c>
      <c r="G206" s="41" t="str">
        <f aca="false">IF(A206="","",IF(SUMPRODUCT(MAX((Randevular!$C$5:$C$1004=A206)*(Randevular!$E$5:$E$1004="Geldi")*Randevular!$A$5:$A$1004))=0,"",SUMPRODUCT(MAX((Randevular!$C$5:$C$1004=A206)*(Randevular!$E$5:$E$1004="Geldi")*Randevular!$A$5:$A$1004))))</f>
        <v/>
      </c>
      <c r="H206" s="21" t="str">
        <f aca="false">IF(A206="","",F206+ROW()/1000000)</f>
        <v/>
      </c>
    </row>
    <row r="207" customFormat="false" ht="15" hidden="false" customHeight="false" outlineLevel="0" collapsed="false">
      <c r="A207" s="14"/>
      <c r="B207" s="40"/>
      <c r="C207" s="14"/>
      <c r="D207" s="35" t="str">
        <f aca="false">IF(A207="","",COUNTIFS(Randevular!$C$5:$C$1004,A207,Randevular!$E$5:$E$1004,"&lt;&gt;İptal"))</f>
        <v/>
      </c>
      <c r="E207" s="35" t="str">
        <f aca="false">IF(A207="","",COUNTIFS(Randevular!$C$5:$C$1004,A207,Randevular!$E$5:$E$1004,"Gelmedi"))</f>
        <v/>
      </c>
      <c r="F207" s="17" t="str">
        <f aca="false">IF(A207="","",SUMIFS(Randevular!$G$5:$G$1004,Randevular!$C$5:$C$1004,A207))</f>
        <v/>
      </c>
      <c r="G207" s="41" t="str">
        <f aca="false">IF(A207="","",IF(SUMPRODUCT(MAX((Randevular!$C$5:$C$1004=A207)*(Randevular!$E$5:$E$1004="Geldi")*Randevular!$A$5:$A$1004))=0,"",SUMPRODUCT(MAX((Randevular!$C$5:$C$1004=A207)*(Randevular!$E$5:$E$1004="Geldi")*Randevular!$A$5:$A$1004))))</f>
        <v/>
      </c>
      <c r="H207" s="21" t="str">
        <f aca="false">IF(A207="","",F207+ROW()/1000000)</f>
        <v/>
      </c>
    </row>
    <row r="208" customFormat="false" ht="15" hidden="false" customHeight="false" outlineLevel="0" collapsed="false">
      <c r="A208" s="14"/>
      <c r="B208" s="40"/>
      <c r="C208" s="14"/>
      <c r="D208" s="35" t="str">
        <f aca="false">IF(A208="","",COUNTIFS(Randevular!$C$5:$C$1004,A208,Randevular!$E$5:$E$1004,"&lt;&gt;İptal"))</f>
        <v/>
      </c>
      <c r="E208" s="35" t="str">
        <f aca="false">IF(A208="","",COUNTIFS(Randevular!$C$5:$C$1004,A208,Randevular!$E$5:$E$1004,"Gelmedi"))</f>
        <v/>
      </c>
      <c r="F208" s="17" t="str">
        <f aca="false">IF(A208="","",SUMIFS(Randevular!$G$5:$G$1004,Randevular!$C$5:$C$1004,A208))</f>
        <v/>
      </c>
      <c r="G208" s="41" t="str">
        <f aca="false">IF(A208="","",IF(SUMPRODUCT(MAX((Randevular!$C$5:$C$1004=A208)*(Randevular!$E$5:$E$1004="Geldi")*Randevular!$A$5:$A$1004))=0,"",SUMPRODUCT(MAX((Randevular!$C$5:$C$1004=A208)*(Randevular!$E$5:$E$1004="Geldi")*Randevular!$A$5:$A$1004))))</f>
        <v/>
      </c>
      <c r="H208" s="21" t="str">
        <f aca="false">IF(A208="","",F208+ROW()/1000000)</f>
        <v/>
      </c>
    </row>
    <row r="209" customFormat="false" ht="15" hidden="false" customHeight="false" outlineLevel="0" collapsed="false">
      <c r="A209" s="14"/>
      <c r="B209" s="40"/>
      <c r="C209" s="14"/>
      <c r="D209" s="35" t="str">
        <f aca="false">IF(A209="","",COUNTIFS(Randevular!$C$5:$C$1004,A209,Randevular!$E$5:$E$1004,"&lt;&gt;İptal"))</f>
        <v/>
      </c>
      <c r="E209" s="35" t="str">
        <f aca="false">IF(A209="","",COUNTIFS(Randevular!$C$5:$C$1004,A209,Randevular!$E$5:$E$1004,"Gelmedi"))</f>
        <v/>
      </c>
      <c r="F209" s="17" t="str">
        <f aca="false">IF(A209="","",SUMIFS(Randevular!$G$5:$G$1004,Randevular!$C$5:$C$1004,A209))</f>
        <v/>
      </c>
      <c r="G209" s="41" t="str">
        <f aca="false">IF(A209="","",IF(SUMPRODUCT(MAX((Randevular!$C$5:$C$1004=A209)*(Randevular!$E$5:$E$1004="Geldi")*Randevular!$A$5:$A$1004))=0,"",SUMPRODUCT(MAX((Randevular!$C$5:$C$1004=A209)*(Randevular!$E$5:$E$1004="Geldi")*Randevular!$A$5:$A$1004))))</f>
        <v/>
      </c>
      <c r="H209" s="21" t="str">
        <f aca="false">IF(A209="","",F209+ROW()/1000000)</f>
        <v/>
      </c>
    </row>
    <row r="210" customFormat="false" ht="15" hidden="false" customHeight="false" outlineLevel="0" collapsed="false">
      <c r="A210" s="14"/>
      <c r="B210" s="40"/>
      <c r="C210" s="14"/>
      <c r="D210" s="35" t="str">
        <f aca="false">IF(A210="","",COUNTIFS(Randevular!$C$5:$C$1004,A210,Randevular!$E$5:$E$1004,"&lt;&gt;İptal"))</f>
        <v/>
      </c>
      <c r="E210" s="35" t="str">
        <f aca="false">IF(A210="","",COUNTIFS(Randevular!$C$5:$C$1004,A210,Randevular!$E$5:$E$1004,"Gelmedi"))</f>
        <v/>
      </c>
      <c r="F210" s="17" t="str">
        <f aca="false">IF(A210="","",SUMIFS(Randevular!$G$5:$G$1004,Randevular!$C$5:$C$1004,A210))</f>
        <v/>
      </c>
      <c r="G210" s="41" t="str">
        <f aca="false">IF(A210="","",IF(SUMPRODUCT(MAX((Randevular!$C$5:$C$1004=A210)*(Randevular!$E$5:$E$1004="Geldi")*Randevular!$A$5:$A$1004))=0,"",SUMPRODUCT(MAX((Randevular!$C$5:$C$1004=A210)*(Randevular!$E$5:$E$1004="Geldi")*Randevular!$A$5:$A$1004))))</f>
        <v/>
      </c>
      <c r="H210" s="21" t="str">
        <f aca="false">IF(A210="","",F210+ROW()/1000000)</f>
        <v/>
      </c>
    </row>
    <row r="211" customFormat="false" ht="15" hidden="false" customHeight="false" outlineLevel="0" collapsed="false">
      <c r="A211" s="14"/>
      <c r="B211" s="40"/>
      <c r="C211" s="14"/>
      <c r="D211" s="35" t="str">
        <f aca="false">IF(A211="","",COUNTIFS(Randevular!$C$5:$C$1004,A211,Randevular!$E$5:$E$1004,"&lt;&gt;İptal"))</f>
        <v/>
      </c>
      <c r="E211" s="35" t="str">
        <f aca="false">IF(A211="","",COUNTIFS(Randevular!$C$5:$C$1004,A211,Randevular!$E$5:$E$1004,"Gelmedi"))</f>
        <v/>
      </c>
      <c r="F211" s="17" t="str">
        <f aca="false">IF(A211="","",SUMIFS(Randevular!$G$5:$G$1004,Randevular!$C$5:$C$1004,A211))</f>
        <v/>
      </c>
      <c r="G211" s="41" t="str">
        <f aca="false">IF(A211="","",IF(SUMPRODUCT(MAX((Randevular!$C$5:$C$1004=A211)*(Randevular!$E$5:$E$1004="Geldi")*Randevular!$A$5:$A$1004))=0,"",SUMPRODUCT(MAX((Randevular!$C$5:$C$1004=A211)*(Randevular!$E$5:$E$1004="Geldi")*Randevular!$A$5:$A$1004))))</f>
        <v/>
      </c>
      <c r="H211" s="21" t="str">
        <f aca="false">IF(A211="","",F211+ROW()/1000000)</f>
        <v/>
      </c>
    </row>
    <row r="212" customFormat="false" ht="15" hidden="false" customHeight="false" outlineLevel="0" collapsed="false">
      <c r="A212" s="14"/>
      <c r="B212" s="40"/>
      <c r="C212" s="14"/>
      <c r="D212" s="35" t="str">
        <f aca="false">IF(A212="","",COUNTIFS(Randevular!$C$5:$C$1004,A212,Randevular!$E$5:$E$1004,"&lt;&gt;İptal"))</f>
        <v/>
      </c>
      <c r="E212" s="35" t="str">
        <f aca="false">IF(A212="","",COUNTIFS(Randevular!$C$5:$C$1004,A212,Randevular!$E$5:$E$1004,"Gelmedi"))</f>
        <v/>
      </c>
      <c r="F212" s="17" t="str">
        <f aca="false">IF(A212="","",SUMIFS(Randevular!$G$5:$G$1004,Randevular!$C$5:$C$1004,A212))</f>
        <v/>
      </c>
      <c r="G212" s="41" t="str">
        <f aca="false">IF(A212="","",IF(SUMPRODUCT(MAX((Randevular!$C$5:$C$1004=A212)*(Randevular!$E$5:$E$1004="Geldi")*Randevular!$A$5:$A$1004))=0,"",SUMPRODUCT(MAX((Randevular!$C$5:$C$1004=A212)*(Randevular!$E$5:$E$1004="Geldi")*Randevular!$A$5:$A$1004))))</f>
        <v/>
      </c>
      <c r="H212" s="21" t="str">
        <f aca="false">IF(A212="","",F212+ROW()/1000000)</f>
        <v/>
      </c>
    </row>
    <row r="213" customFormat="false" ht="15" hidden="false" customHeight="false" outlineLevel="0" collapsed="false">
      <c r="A213" s="14"/>
      <c r="B213" s="40"/>
      <c r="C213" s="14"/>
      <c r="D213" s="35" t="str">
        <f aca="false">IF(A213="","",COUNTIFS(Randevular!$C$5:$C$1004,A213,Randevular!$E$5:$E$1004,"&lt;&gt;İptal"))</f>
        <v/>
      </c>
      <c r="E213" s="35" t="str">
        <f aca="false">IF(A213="","",COUNTIFS(Randevular!$C$5:$C$1004,A213,Randevular!$E$5:$E$1004,"Gelmedi"))</f>
        <v/>
      </c>
      <c r="F213" s="17" t="str">
        <f aca="false">IF(A213="","",SUMIFS(Randevular!$G$5:$G$1004,Randevular!$C$5:$C$1004,A213))</f>
        <v/>
      </c>
      <c r="G213" s="41" t="str">
        <f aca="false">IF(A213="","",IF(SUMPRODUCT(MAX((Randevular!$C$5:$C$1004=A213)*(Randevular!$E$5:$E$1004="Geldi")*Randevular!$A$5:$A$1004))=0,"",SUMPRODUCT(MAX((Randevular!$C$5:$C$1004=A213)*(Randevular!$E$5:$E$1004="Geldi")*Randevular!$A$5:$A$1004))))</f>
        <v/>
      </c>
      <c r="H213" s="21" t="str">
        <f aca="false">IF(A213="","",F213+ROW()/1000000)</f>
        <v/>
      </c>
    </row>
    <row r="214" customFormat="false" ht="15" hidden="false" customHeight="false" outlineLevel="0" collapsed="false">
      <c r="A214" s="14"/>
      <c r="B214" s="40"/>
      <c r="C214" s="14"/>
      <c r="D214" s="35" t="str">
        <f aca="false">IF(A214="","",COUNTIFS(Randevular!$C$5:$C$1004,A214,Randevular!$E$5:$E$1004,"&lt;&gt;İptal"))</f>
        <v/>
      </c>
      <c r="E214" s="35" t="str">
        <f aca="false">IF(A214="","",COUNTIFS(Randevular!$C$5:$C$1004,A214,Randevular!$E$5:$E$1004,"Gelmedi"))</f>
        <v/>
      </c>
      <c r="F214" s="17" t="str">
        <f aca="false">IF(A214="","",SUMIFS(Randevular!$G$5:$G$1004,Randevular!$C$5:$C$1004,A214))</f>
        <v/>
      </c>
      <c r="G214" s="41" t="str">
        <f aca="false">IF(A214="","",IF(SUMPRODUCT(MAX((Randevular!$C$5:$C$1004=A214)*(Randevular!$E$5:$E$1004="Geldi")*Randevular!$A$5:$A$1004))=0,"",SUMPRODUCT(MAX((Randevular!$C$5:$C$1004=A214)*(Randevular!$E$5:$E$1004="Geldi")*Randevular!$A$5:$A$1004))))</f>
        <v/>
      </c>
      <c r="H214" s="21" t="str">
        <f aca="false">IF(A214="","",F214+ROW()/1000000)</f>
        <v/>
      </c>
    </row>
    <row r="215" customFormat="false" ht="15" hidden="false" customHeight="false" outlineLevel="0" collapsed="false">
      <c r="A215" s="14"/>
      <c r="B215" s="40"/>
      <c r="C215" s="14"/>
      <c r="D215" s="35" t="str">
        <f aca="false">IF(A215="","",COUNTIFS(Randevular!$C$5:$C$1004,A215,Randevular!$E$5:$E$1004,"&lt;&gt;İptal"))</f>
        <v/>
      </c>
      <c r="E215" s="35" t="str">
        <f aca="false">IF(A215="","",COUNTIFS(Randevular!$C$5:$C$1004,A215,Randevular!$E$5:$E$1004,"Gelmedi"))</f>
        <v/>
      </c>
      <c r="F215" s="17" t="str">
        <f aca="false">IF(A215="","",SUMIFS(Randevular!$G$5:$G$1004,Randevular!$C$5:$C$1004,A215))</f>
        <v/>
      </c>
      <c r="G215" s="41" t="str">
        <f aca="false">IF(A215="","",IF(SUMPRODUCT(MAX((Randevular!$C$5:$C$1004=A215)*(Randevular!$E$5:$E$1004="Geldi")*Randevular!$A$5:$A$1004))=0,"",SUMPRODUCT(MAX((Randevular!$C$5:$C$1004=A215)*(Randevular!$E$5:$E$1004="Geldi")*Randevular!$A$5:$A$1004))))</f>
        <v/>
      </c>
      <c r="H215" s="21" t="str">
        <f aca="false">IF(A215="","",F215+ROW()/1000000)</f>
        <v/>
      </c>
    </row>
    <row r="216" customFormat="false" ht="15" hidden="false" customHeight="false" outlineLevel="0" collapsed="false">
      <c r="A216" s="14"/>
      <c r="B216" s="40"/>
      <c r="C216" s="14"/>
      <c r="D216" s="35" t="str">
        <f aca="false">IF(A216="","",COUNTIFS(Randevular!$C$5:$C$1004,A216,Randevular!$E$5:$E$1004,"&lt;&gt;İptal"))</f>
        <v/>
      </c>
      <c r="E216" s="35" t="str">
        <f aca="false">IF(A216="","",COUNTIFS(Randevular!$C$5:$C$1004,A216,Randevular!$E$5:$E$1004,"Gelmedi"))</f>
        <v/>
      </c>
      <c r="F216" s="17" t="str">
        <f aca="false">IF(A216="","",SUMIFS(Randevular!$G$5:$G$1004,Randevular!$C$5:$C$1004,A216))</f>
        <v/>
      </c>
      <c r="G216" s="41" t="str">
        <f aca="false">IF(A216="","",IF(SUMPRODUCT(MAX((Randevular!$C$5:$C$1004=A216)*(Randevular!$E$5:$E$1004="Geldi")*Randevular!$A$5:$A$1004))=0,"",SUMPRODUCT(MAX((Randevular!$C$5:$C$1004=A216)*(Randevular!$E$5:$E$1004="Geldi")*Randevular!$A$5:$A$1004))))</f>
        <v/>
      </c>
      <c r="H216" s="21" t="str">
        <f aca="false">IF(A216="","",F216+ROW()/1000000)</f>
        <v/>
      </c>
    </row>
    <row r="217" customFormat="false" ht="15" hidden="false" customHeight="false" outlineLevel="0" collapsed="false">
      <c r="A217" s="14"/>
      <c r="B217" s="40"/>
      <c r="C217" s="14"/>
      <c r="D217" s="35" t="str">
        <f aca="false">IF(A217="","",COUNTIFS(Randevular!$C$5:$C$1004,A217,Randevular!$E$5:$E$1004,"&lt;&gt;İptal"))</f>
        <v/>
      </c>
      <c r="E217" s="35" t="str">
        <f aca="false">IF(A217="","",COUNTIFS(Randevular!$C$5:$C$1004,A217,Randevular!$E$5:$E$1004,"Gelmedi"))</f>
        <v/>
      </c>
      <c r="F217" s="17" t="str">
        <f aca="false">IF(A217="","",SUMIFS(Randevular!$G$5:$G$1004,Randevular!$C$5:$C$1004,A217))</f>
        <v/>
      </c>
      <c r="G217" s="41" t="str">
        <f aca="false">IF(A217="","",IF(SUMPRODUCT(MAX((Randevular!$C$5:$C$1004=A217)*(Randevular!$E$5:$E$1004="Geldi")*Randevular!$A$5:$A$1004))=0,"",SUMPRODUCT(MAX((Randevular!$C$5:$C$1004=A217)*(Randevular!$E$5:$E$1004="Geldi")*Randevular!$A$5:$A$1004))))</f>
        <v/>
      </c>
      <c r="H217" s="21" t="str">
        <f aca="false">IF(A217="","",F217+ROW()/1000000)</f>
        <v/>
      </c>
    </row>
    <row r="218" customFormat="false" ht="15" hidden="false" customHeight="false" outlineLevel="0" collapsed="false">
      <c r="A218" s="14"/>
      <c r="B218" s="40"/>
      <c r="C218" s="14"/>
      <c r="D218" s="35" t="str">
        <f aca="false">IF(A218="","",COUNTIFS(Randevular!$C$5:$C$1004,A218,Randevular!$E$5:$E$1004,"&lt;&gt;İptal"))</f>
        <v/>
      </c>
      <c r="E218" s="35" t="str">
        <f aca="false">IF(A218="","",COUNTIFS(Randevular!$C$5:$C$1004,A218,Randevular!$E$5:$E$1004,"Gelmedi"))</f>
        <v/>
      </c>
      <c r="F218" s="17" t="str">
        <f aca="false">IF(A218="","",SUMIFS(Randevular!$G$5:$G$1004,Randevular!$C$5:$C$1004,A218))</f>
        <v/>
      </c>
      <c r="G218" s="41" t="str">
        <f aca="false">IF(A218="","",IF(SUMPRODUCT(MAX((Randevular!$C$5:$C$1004=A218)*(Randevular!$E$5:$E$1004="Geldi")*Randevular!$A$5:$A$1004))=0,"",SUMPRODUCT(MAX((Randevular!$C$5:$C$1004=A218)*(Randevular!$E$5:$E$1004="Geldi")*Randevular!$A$5:$A$1004))))</f>
        <v/>
      </c>
      <c r="H218" s="21" t="str">
        <f aca="false">IF(A218="","",F218+ROW()/1000000)</f>
        <v/>
      </c>
    </row>
    <row r="219" customFormat="false" ht="15" hidden="false" customHeight="false" outlineLevel="0" collapsed="false">
      <c r="A219" s="14"/>
      <c r="B219" s="40"/>
      <c r="C219" s="14"/>
      <c r="D219" s="35" t="str">
        <f aca="false">IF(A219="","",COUNTIFS(Randevular!$C$5:$C$1004,A219,Randevular!$E$5:$E$1004,"&lt;&gt;İptal"))</f>
        <v/>
      </c>
      <c r="E219" s="35" t="str">
        <f aca="false">IF(A219="","",COUNTIFS(Randevular!$C$5:$C$1004,A219,Randevular!$E$5:$E$1004,"Gelmedi"))</f>
        <v/>
      </c>
      <c r="F219" s="17" t="str">
        <f aca="false">IF(A219="","",SUMIFS(Randevular!$G$5:$G$1004,Randevular!$C$5:$C$1004,A219))</f>
        <v/>
      </c>
      <c r="G219" s="41" t="str">
        <f aca="false">IF(A219="","",IF(SUMPRODUCT(MAX((Randevular!$C$5:$C$1004=A219)*(Randevular!$E$5:$E$1004="Geldi")*Randevular!$A$5:$A$1004))=0,"",SUMPRODUCT(MAX((Randevular!$C$5:$C$1004=A219)*(Randevular!$E$5:$E$1004="Geldi")*Randevular!$A$5:$A$1004))))</f>
        <v/>
      </c>
      <c r="H219" s="21" t="str">
        <f aca="false">IF(A219="","",F219+ROW()/1000000)</f>
        <v/>
      </c>
    </row>
    <row r="220" customFormat="false" ht="15" hidden="false" customHeight="false" outlineLevel="0" collapsed="false">
      <c r="A220" s="14"/>
      <c r="B220" s="40"/>
      <c r="C220" s="14"/>
      <c r="D220" s="35" t="str">
        <f aca="false">IF(A220="","",COUNTIFS(Randevular!$C$5:$C$1004,A220,Randevular!$E$5:$E$1004,"&lt;&gt;İptal"))</f>
        <v/>
      </c>
      <c r="E220" s="35" t="str">
        <f aca="false">IF(A220="","",COUNTIFS(Randevular!$C$5:$C$1004,A220,Randevular!$E$5:$E$1004,"Gelmedi"))</f>
        <v/>
      </c>
      <c r="F220" s="17" t="str">
        <f aca="false">IF(A220="","",SUMIFS(Randevular!$G$5:$G$1004,Randevular!$C$5:$C$1004,A220))</f>
        <v/>
      </c>
      <c r="G220" s="41" t="str">
        <f aca="false">IF(A220="","",IF(SUMPRODUCT(MAX((Randevular!$C$5:$C$1004=A220)*(Randevular!$E$5:$E$1004="Geldi")*Randevular!$A$5:$A$1004))=0,"",SUMPRODUCT(MAX((Randevular!$C$5:$C$1004=A220)*(Randevular!$E$5:$E$1004="Geldi")*Randevular!$A$5:$A$1004))))</f>
        <v/>
      </c>
      <c r="H220" s="21" t="str">
        <f aca="false">IF(A220="","",F220+ROW()/1000000)</f>
        <v/>
      </c>
    </row>
    <row r="221" customFormat="false" ht="15" hidden="false" customHeight="false" outlineLevel="0" collapsed="false">
      <c r="A221" s="14"/>
      <c r="B221" s="40"/>
      <c r="C221" s="14"/>
      <c r="D221" s="35" t="str">
        <f aca="false">IF(A221="","",COUNTIFS(Randevular!$C$5:$C$1004,A221,Randevular!$E$5:$E$1004,"&lt;&gt;İptal"))</f>
        <v/>
      </c>
      <c r="E221" s="35" t="str">
        <f aca="false">IF(A221="","",COUNTIFS(Randevular!$C$5:$C$1004,A221,Randevular!$E$5:$E$1004,"Gelmedi"))</f>
        <v/>
      </c>
      <c r="F221" s="17" t="str">
        <f aca="false">IF(A221="","",SUMIFS(Randevular!$G$5:$G$1004,Randevular!$C$5:$C$1004,A221))</f>
        <v/>
      </c>
      <c r="G221" s="41" t="str">
        <f aca="false">IF(A221="","",IF(SUMPRODUCT(MAX((Randevular!$C$5:$C$1004=A221)*(Randevular!$E$5:$E$1004="Geldi")*Randevular!$A$5:$A$1004))=0,"",SUMPRODUCT(MAX((Randevular!$C$5:$C$1004=A221)*(Randevular!$E$5:$E$1004="Geldi")*Randevular!$A$5:$A$1004))))</f>
        <v/>
      </c>
      <c r="H221" s="21" t="str">
        <f aca="false">IF(A221="","",F221+ROW()/1000000)</f>
        <v/>
      </c>
    </row>
    <row r="222" customFormat="false" ht="15" hidden="false" customHeight="false" outlineLevel="0" collapsed="false">
      <c r="A222" s="14"/>
      <c r="B222" s="40"/>
      <c r="C222" s="14"/>
      <c r="D222" s="35" t="str">
        <f aca="false">IF(A222="","",COUNTIFS(Randevular!$C$5:$C$1004,A222,Randevular!$E$5:$E$1004,"&lt;&gt;İptal"))</f>
        <v/>
      </c>
      <c r="E222" s="35" t="str">
        <f aca="false">IF(A222="","",COUNTIFS(Randevular!$C$5:$C$1004,A222,Randevular!$E$5:$E$1004,"Gelmedi"))</f>
        <v/>
      </c>
      <c r="F222" s="17" t="str">
        <f aca="false">IF(A222="","",SUMIFS(Randevular!$G$5:$G$1004,Randevular!$C$5:$C$1004,A222))</f>
        <v/>
      </c>
      <c r="G222" s="41" t="str">
        <f aca="false">IF(A222="","",IF(SUMPRODUCT(MAX((Randevular!$C$5:$C$1004=A222)*(Randevular!$E$5:$E$1004="Geldi")*Randevular!$A$5:$A$1004))=0,"",SUMPRODUCT(MAX((Randevular!$C$5:$C$1004=A222)*(Randevular!$E$5:$E$1004="Geldi")*Randevular!$A$5:$A$1004))))</f>
        <v/>
      </c>
      <c r="H222" s="21" t="str">
        <f aca="false">IF(A222="","",F222+ROW()/1000000)</f>
        <v/>
      </c>
    </row>
    <row r="223" customFormat="false" ht="15" hidden="false" customHeight="false" outlineLevel="0" collapsed="false">
      <c r="A223" s="14"/>
      <c r="B223" s="40"/>
      <c r="C223" s="14"/>
      <c r="D223" s="35" t="str">
        <f aca="false">IF(A223="","",COUNTIFS(Randevular!$C$5:$C$1004,A223,Randevular!$E$5:$E$1004,"&lt;&gt;İptal"))</f>
        <v/>
      </c>
      <c r="E223" s="35" t="str">
        <f aca="false">IF(A223="","",COUNTIFS(Randevular!$C$5:$C$1004,A223,Randevular!$E$5:$E$1004,"Gelmedi"))</f>
        <v/>
      </c>
      <c r="F223" s="17" t="str">
        <f aca="false">IF(A223="","",SUMIFS(Randevular!$G$5:$G$1004,Randevular!$C$5:$C$1004,A223))</f>
        <v/>
      </c>
      <c r="G223" s="41" t="str">
        <f aca="false">IF(A223="","",IF(SUMPRODUCT(MAX((Randevular!$C$5:$C$1004=A223)*(Randevular!$E$5:$E$1004="Geldi")*Randevular!$A$5:$A$1004))=0,"",SUMPRODUCT(MAX((Randevular!$C$5:$C$1004=A223)*(Randevular!$E$5:$E$1004="Geldi")*Randevular!$A$5:$A$1004))))</f>
        <v/>
      </c>
      <c r="H223" s="21" t="str">
        <f aca="false">IF(A223="","",F223+ROW()/1000000)</f>
        <v/>
      </c>
    </row>
    <row r="224" customFormat="false" ht="15" hidden="false" customHeight="false" outlineLevel="0" collapsed="false">
      <c r="A224" s="14"/>
      <c r="B224" s="40"/>
      <c r="C224" s="14"/>
      <c r="D224" s="35" t="str">
        <f aca="false">IF(A224="","",COUNTIFS(Randevular!$C$5:$C$1004,A224,Randevular!$E$5:$E$1004,"&lt;&gt;İptal"))</f>
        <v/>
      </c>
      <c r="E224" s="35" t="str">
        <f aca="false">IF(A224="","",COUNTIFS(Randevular!$C$5:$C$1004,A224,Randevular!$E$5:$E$1004,"Gelmedi"))</f>
        <v/>
      </c>
      <c r="F224" s="17" t="str">
        <f aca="false">IF(A224="","",SUMIFS(Randevular!$G$5:$G$1004,Randevular!$C$5:$C$1004,A224))</f>
        <v/>
      </c>
      <c r="G224" s="41" t="str">
        <f aca="false">IF(A224="","",IF(SUMPRODUCT(MAX((Randevular!$C$5:$C$1004=A224)*(Randevular!$E$5:$E$1004="Geldi")*Randevular!$A$5:$A$1004))=0,"",SUMPRODUCT(MAX((Randevular!$C$5:$C$1004=A224)*(Randevular!$E$5:$E$1004="Geldi")*Randevular!$A$5:$A$1004))))</f>
        <v/>
      </c>
      <c r="H224" s="21" t="str">
        <f aca="false">IF(A224="","",F224+ROW()/1000000)</f>
        <v/>
      </c>
    </row>
    <row r="225" customFormat="false" ht="15" hidden="false" customHeight="false" outlineLevel="0" collapsed="false">
      <c r="A225" s="14"/>
      <c r="B225" s="40"/>
      <c r="C225" s="14"/>
      <c r="D225" s="35" t="str">
        <f aca="false">IF(A225="","",COUNTIFS(Randevular!$C$5:$C$1004,A225,Randevular!$E$5:$E$1004,"&lt;&gt;İptal"))</f>
        <v/>
      </c>
      <c r="E225" s="35" t="str">
        <f aca="false">IF(A225="","",COUNTIFS(Randevular!$C$5:$C$1004,A225,Randevular!$E$5:$E$1004,"Gelmedi"))</f>
        <v/>
      </c>
      <c r="F225" s="17" t="str">
        <f aca="false">IF(A225="","",SUMIFS(Randevular!$G$5:$G$1004,Randevular!$C$5:$C$1004,A225))</f>
        <v/>
      </c>
      <c r="G225" s="41" t="str">
        <f aca="false">IF(A225="","",IF(SUMPRODUCT(MAX((Randevular!$C$5:$C$1004=A225)*(Randevular!$E$5:$E$1004="Geldi")*Randevular!$A$5:$A$1004))=0,"",SUMPRODUCT(MAX((Randevular!$C$5:$C$1004=A225)*(Randevular!$E$5:$E$1004="Geldi")*Randevular!$A$5:$A$1004))))</f>
        <v/>
      </c>
      <c r="H225" s="21" t="str">
        <f aca="false">IF(A225="","",F225+ROW()/1000000)</f>
        <v/>
      </c>
    </row>
    <row r="226" customFormat="false" ht="15" hidden="false" customHeight="false" outlineLevel="0" collapsed="false">
      <c r="A226" s="14"/>
      <c r="B226" s="40"/>
      <c r="C226" s="14"/>
      <c r="D226" s="35" t="str">
        <f aca="false">IF(A226="","",COUNTIFS(Randevular!$C$5:$C$1004,A226,Randevular!$E$5:$E$1004,"&lt;&gt;İptal"))</f>
        <v/>
      </c>
      <c r="E226" s="35" t="str">
        <f aca="false">IF(A226="","",COUNTIFS(Randevular!$C$5:$C$1004,A226,Randevular!$E$5:$E$1004,"Gelmedi"))</f>
        <v/>
      </c>
      <c r="F226" s="17" t="str">
        <f aca="false">IF(A226="","",SUMIFS(Randevular!$G$5:$G$1004,Randevular!$C$5:$C$1004,A226))</f>
        <v/>
      </c>
      <c r="G226" s="41" t="str">
        <f aca="false">IF(A226="","",IF(SUMPRODUCT(MAX((Randevular!$C$5:$C$1004=A226)*(Randevular!$E$5:$E$1004="Geldi")*Randevular!$A$5:$A$1004))=0,"",SUMPRODUCT(MAX((Randevular!$C$5:$C$1004=A226)*(Randevular!$E$5:$E$1004="Geldi")*Randevular!$A$5:$A$1004))))</f>
        <v/>
      </c>
      <c r="H226" s="21" t="str">
        <f aca="false">IF(A226="","",F226+ROW()/1000000)</f>
        <v/>
      </c>
    </row>
    <row r="227" customFormat="false" ht="15" hidden="false" customHeight="false" outlineLevel="0" collapsed="false">
      <c r="A227" s="14"/>
      <c r="B227" s="40"/>
      <c r="C227" s="14"/>
      <c r="D227" s="35" t="str">
        <f aca="false">IF(A227="","",COUNTIFS(Randevular!$C$5:$C$1004,A227,Randevular!$E$5:$E$1004,"&lt;&gt;İptal"))</f>
        <v/>
      </c>
      <c r="E227" s="35" t="str">
        <f aca="false">IF(A227="","",COUNTIFS(Randevular!$C$5:$C$1004,A227,Randevular!$E$5:$E$1004,"Gelmedi"))</f>
        <v/>
      </c>
      <c r="F227" s="17" t="str">
        <f aca="false">IF(A227="","",SUMIFS(Randevular!$G$5:$G$1004,Randevular!$C$5:$C$1004,A227))</f>
        <v/>
      </c>
      <c r="G227" s="41" t="str">
        <f aca="false">IF(A227="","",IF(SUMPRODUCT(MAX((Randevular!$C$5:$C$1004=A227)*(Randevular!$E$5:$E$1004="Geldi")*Randevular!$A$5:$A$1004))=0,"",SUMPRODUCT(MAX((Randevular!$C$5:$C$1004=A227)*(Randevular!$E$5:$E$1004="Geldi")*Randevular!$A$5:$A$1004))))</f>
        <v/>
      </c>
      <c r="H227" s="21" t="str">
        <f aca="false">IF(A227="","",F227+ROW()/1000000)</f>
        <v/>
      </c>
    </row>
    <row r="228" customFormat="false" ht="15" hidden="false" customHeight="false" outlineLevel="0" collapsed="false">
      <c r="A228" s="14"/>
      <c r="B228" s="40"/>
      <c r="C228" s="14"/>
      <c r="D228" s="35" t="str">
        <f aca="false">IF(A228="","",COUNTIFS(Randevular!$C$5:$C$1004,A228,Randevular!$E$5:$E$1004,"&lt;&gt;İptal"))</f>
        <v/>
      </c>
      <c r="E228" s="35" t="str">
        <f aca="false">IF(A228="","",COUNTIFS(Randevular!$C$5:$C$1004,A228,Randevular!$E$5:$E$1004,"Gelmedi"))</f>
        <v/>
      </c>
      <c r="F228" s="17" t="str">
        <f aca="false">IF(A228="","",SUMIFS(Randevular!$G$5:$G$1004,Randevular!$C$5:$C$1004,A228))</f>
        <v/>
      </c>
      <c r="G228" s="41" t="str">
        <f aca="false">IF(A228="","",IF(SUMPRODUCT(MAX((Randevular!$C$5:$C$1004=A228)*(Randevular!$E$5:$E$1004="Geldi")*Randevular!$A$5:$A$1004))=0,"",SUMPRODUCT(MAX((Randevular!$C$5:$C$1004=A228)*(Randevular!$E$5:$E$1004="Geldi")*Randevular!$A$5:$A$1004))))</f>
        <v/>
      </c>
      <c r="H228" s="21" t="str">
        <f aca="false">IF(A228="","",F228+ROW()/1000000)</f>
        <v/>
      </c>
    </row>
    <row r="229" customFormat="false" ht="15" hidden="false" customHeight="false" outlineLevel="0" collapsed="false">
      <c r="A229" s="14"/>
      <c r="B229" s="40"/>
      <c r="C229" s="14"/>
      <c r="D229" s="35" t="str">
        <f aca="false">IF(A229="","",COUNTIFS(Randevular!$C$5:$C$1004,A229,Randevular!$E$5:$E$1004,"&lt;&gt;İptal"))</f>
        <v/>
      </c>
      <c r="E229" s="35" t="str">
        <f aca="false">IF(A229="","",COUNTIFS(Randevular!$C$5:$C$1004,A229,Randevular!$E$5:$E$1004,"Gelmedi"))</f>
        <v/>
      </c>
      <c r="F229" s="17" t="str">
        <f aca="false">IF(A229="","",SUMIFS(Randevular!$G$5:$G$1004,Randevular!$C$5:$C$1004,A229))</f>
        <v/>
      </c>
      <c r="G229" s="41" t="str">
        <f aca="false">IF(A229="","",IF(SUMPRODUCT(MAX((Randevular!$C$5:$C$1004=A229)*(Randevular!$E$5:$E$1004="Geldi")*Randevular!$A$5:$A$1004))=0,"",SUMPRODUCT(MAX((Randevular!$C$5:$C$1004=A229)*(Randevular!$E$5:$E$1004="Geldi")*Randevular!$A$5:$A$1004))))</f>
        <v/>
      </c>
      <c r="H229" s="21" t="str">
        <f aca="false">IF(A229="","",F229+ROW()/1000000)</f>
        <v/>
      </c>
    </row>
    <row r="230" customFormat="false" ht="15" hidden="false" customHeight="false" outlineLevel="0" collapsed="false">
      <c r="A230" s="14"/>
      <c r="B230" s="40"/>
      <c r="C230" s="14"/>
      <c r="D230" s="35" t="str">
        <f aca="false">IF(A230="","",COUNTIFS(Randevular!$C$5:$C$1004,A230,Randevular!$E$5:$E$1004,"&lt;&gt;İptal"))</f>
        <v/>
      </c>
      <c r="E230" s="35" t="str">
        <f aca="false">IF(A230="","",COUNTIFS(Randevular!$C$5:$C$1004,A230,Randevular!$E$5:$E$1004,"Gelmedi"))</f>
        <v/>
      </c>
      <c r="F230" s="17" t="str">
        <f aca="false">IF(A230="","",SUMIFS(Randevular!$G$5:$G$1004,Randevular!$C$5:$C$1004,A230))</f>
        <v/>
      </c>
      <c r="G230" s="41" t="str">
        <f aca="false">IF(A230="","",IF(SUMPRODUCT(MAX((Randevular!$C$5:$C$1004=A230)*(Randevular!$E$5:$E$1004="Geldi")*Randevular!$A$5:$A$1004))=0,"",SUMPRODUCT(MAX((Randevular!$C$5:$C$1004=A230)*(Randevular!$E$5:$E$1004="Geldi")*Randevular!$A$5:$A$1004))))</f>
        <v/>
      </c>
      <c r="H230" s="21" t="str">
        <f aca="false">IF(A230="","",F230+ROW()/1000000)</f>
        <v/>
      </c>
    </row>
    <row r="231" customFormat="false" ht="15" hidden="false" customHeight="false" outlineLevel="0" collapsed="false">
      <c r="A231" s="14"/>
      <c r="B231" s="40"/>
      <c r="C231" s="14"/>
      <c r="D231" s="35" t="str">
        <f aca="false">IF(A231="","",COUNTIFS(Randevular!$C$5:$C$1004,A231,Randevular!$E$5:$E$1004,"&lt;&gt;İptal"))</f>
        <v/>
      </c>
      <c r="E231" s="35" t="str">
        <f aca="false">IF(A231="","",COUNTIFS(Randevular!$C$5:$C$1004,A231,Randevular!$E$5:$E$1004,"Gelmedi"))</f>
        <v/>
      </c>
      <c r="F231" s="17" t="str">
        <f aca="false">IF(A231="","",SUMIFS(Randevular!$G$5:$G$1004,Randevular!$C$5:$C$1004,A231))</f>
        <v/>
      </c>
      <c r="G231" s="41" t="str">
        <f aca="false">IF(A231="","",IF(SUMPRODUCT(MAX((Randevular!$C$5:$C$1004=A231)*(Randevular!$E$5:$E$1004="Geldi")*Randevular!$A$5:$A$1004))=0,"",SUMPRODUCT(MAX((Randevular!$C$5:$C$1004=A231)*(Randevular!$E$5:$E$1004="Geldi")*Randevular!$A$5:$A$1004))))</f>
        <v/>
      </c>
      <c r="H231" s="21" t="str">
        <f aca="false">IF(A231="","",F231+ROW()/1000000)</f>
        <v/>
      </c>
    </row>
    <row r="232" customFormat="false" ht="15" hidden="false" customHeight="false" outlineLevel="0" collapsed="false">
      <c r="A232" s="14"/>
      <c r="B232" s="40"/>
      <c r="C232" s="14"/>
      <c r="D232" s="35" t="str">
        <f aca="false">IF(A232="","",COUNTIFS(Randevular!$C$5:$C$1004,A232,Randevular!$E$5:$E$1004,"&lt;&gt;İptal"))</f>
        <v/>
      </c>
      <c r="E232" s="35" t="str">
        <f aca="false">IF(A232="","",COUNTIFS(Randevular!$C$5:$C$1004,A232,Randevular!$E$5:$E$1004,"Gelmedi"))</f>
        <v/>
      </c>
      <c r="F232" s="17" t="str">
        <f aca="false">IF(A232="","",SUMIFS(Randevular!$G$5:$G$1004,Randevular!$C$5:$C$1004,A232))</f>
        <v/>
      </c>
      <c r="G232" s="41" t="str">
        <f aca="false">IF(A232="","",IF(SUMPRODUCT(MAX((Randevular!$C$5:$C$1004=A232)*(Randevular!$E$5:$E$1004="Geldi")*Randevular!$A$5:$A$1004))=0,"",SUMPRODUCT(MAX((Randevular!$C$5:$C$1004=A232)*(Randevular!$E$5:$E$1004="Geldi")*Randevular!$A$5:$A$1004))))</f>
        <v/>
      </c>
      <c r="H232" s="21" t="str">
        <f aca="false">IF(A232="","",F232+ROW()/1000000)</f>
        <v/>
      </c>
    </row>
    <row r="233" customFormat="false" ht="15" hidden="false" customHeight="false" outlineLevel="0" collapsed="false">
      <c r="A233" s="14"/>
      <c r="B233" s="40"/>
      <c r="C233" s="14"/>
      <c r="D233" s="35" t="str">
        <f aca="false">IF(A233="","",COUNTIFS(Randevular!$C$5:$C$1004,A233,Randevular!$E$5:$E$1004,"&lt;&gt;İptal"))</f>
        <v/>
      </c>
      <c r="E233" s="35" t="str">
        <f aca="false">IF(A233="","",COUNTIFS(Randevular!$C$5:$C$1004,A233,Randevular!$E$5:$E$1004,"Gelmedi"))</f>
        <v/>
      </c>
      <c r="F233" s="17" t="str">
        <f aca="false">IF(A233="","",SUMIFS(Randevular!$G$5:$G$1004,Randevular!$C$5:$C$1004,A233))</f>
        <v/>
      </c>
      <c r="G233" s="41" t="str">
        <f aca="false">IF(A233="","",IF(SUMPRODUCT(MAX((Randevular!$C$5:$C$1004=A233)*(Randevular!$E$5:$E$1004="Geldi")*Randevular!$A$5:$A$1004))=0,"",SUMPRODUCT(MAX((Randevular!$C$5:$C$1004=A233)*(Randevular!$E$5:$E$1004="Geldi")*Randevular!$A$5:$A$1004))))</f>
        <v/>
      </c>
      <c r="H233" s="21" t="str">
        <f aca="false">IF(A233="","",F233+ROW()/1000000)</f>
        <v/>
      </c>
    </row>
    <row r="234" customFormat="false" ht="15" hidden="false" customHeight="false" outlineLevel="0" collapsed="false">
      <c r="A234" s="14"/>
      <c r="B234" s="40"/>
      <c r="C234" s="14"/>
      <c r="D234" s="35" t="str">
        <f aca="false">IF(A234="","",COUNTIFS(Randevular!$C$5:$C$1004,A234,Randevular!$E$5:$E$1004,"&lt;&gt;İptal"))</f>
        <v/>
      </c>
      <c r="E234" s="35" t="str">
        <f aca="false">IF(A234="","",COUNTIFS(Randevular!$C$5:$C$1004,A234,Randevular!$E$5:$E$1004,"Gelmedi"))</f>
        <v/>
      </c>
      <c r="F234" s="17" t="str">
        <f aca="false">IF(A234="","",SUMIFS(Randevular!$G$5:$G$1004,Randevular!$C$5:$C$1004,A234))</f>
        <v/>
      </c>
      <c r="G234" s="41" t="str">
        <f aca="false">IF(A234="","",IF(SUMPRODUCT(MAX((Randevular!$C$5:$C$1004=A234)*(Randevular!$E$5:$E$1004="Geldi")*Randevular!$A$5:$A$1004))=0,"",SUMPRODUCT(MAX((Randevular!$C$5:$C$1004=A234)*(Randevular!$E$5:$E$1004="Geldi")*Randevular!$A$5:$A$1004))))</f>
        <v/>
      </c>
      <c r="H234" s="21" t="str">
        <f aca="false">IF(A234="","",F234+ROW()/1000000)</f>
        <v/>
      </c>
    </row>
    <row r="235" customFormat="false" ht="15" hidden="false" customHeight="false" outlineLevel="0" collapsed="false">
      <c r="A235" s="14"/>
      <c r="B235" s="40"/>
      <c r="C235" s="14"/>
      <c r="D235" s="35" t="str">
        <f aca="false">IF(A235="","",COUNTIFS(Randevular!$C$5:$C$1004,A235,Randevular!$E$5:$E$1004,"&lt;&gt;İptal"))</f>
        <v/>
      </c>
      <c r="E235" s="35" t="str">
        <f aca="false">IF(A235="","",COUNTIFS(Randevular!$C$5:$C$1004,A235,Randevular!$E$5:$E$1004,"Gelmedi"))</f>
        <v/>
      </c>
      <c r="F235" s="17" t="str">
        <f aca="false">IF(A235="","",SUMIFS(Randevular!$G$5:$G$1004,Randevular!$C$5:$C$1004,A235))</f>
        <v/>
      </c>
      <c r="G235" s="41" t="str">
        <f aca="false">IF(A235="","",IF(SUMPRODUCT(MAX((Randevular!$C$5:$C$1004=A235)*(Randevular!$E$5:$E$1004="Geldi")*Randevular!$A$5:$A$1004))=0,"",SUMPRODUCT(MAX((Randevular!$C$5:$C$1004=A235)*(Randevular!$E$5:$E$1004="Geldi")*Randevular!$A$5:$A$1004))))</f>
        <v/>
      </c>
      <c r="H235" s="21" t="str">
        <f aca="false">IF(A235="","",F235+ROW()/1000000)</f>
        <v/>
      </c>
    </row>
    <row r="236" customFormat="false" ht="15" hidden="false" customHeight="false" outlineLevel="0" collapsed="false">
      <c r="A236" s="14"/>
      <c r="B236" s="40"/>
      <c r="C236" s="14"/>
      <c r="D236" s="35" t="str">
        <f aca="false">IF(A236="","",COUNTIFS(Randevular!$C$5:$C$1004,A236,Randevular!$E$5:$E$1004,"&lt;&gt;İptal"))</f>
        <v/>
      </c>
      <c r="E236" s="35" t="str">
        <f aca="false">IF(A236="","",COUNTIFS(Randevular!$C$5:$C$1004,A236,Randevular!$E$5:$E$1004,"Gelmedi"))</f>
        <v/>
      </c>
      <c r="F236" s="17" t="str">
        <f aca="false">IF(A236="","",SUMIFS(Randevular!$G$5:$G$1004,Randevular!$C$5:$C$1004,A236))</f>
        <v/>
      </c>
      <c r="G236" s="41" t="str">
        <f aca="false">IF(A236="","",IF(SUMPRODUCT(MAX((Randevular!$C$5:$C$1004=A236)*(Randevular!$E$5:$E$1004="Geldi")*Randevular!$A$5:$A$1004))=0,"",SUMPRODUCT(MAX((Randevular!$C$5:$C$1004=A236)*(Randevular!$E$5:$E$1004="Geldi")*Randevular!$A$5:$A$1004))))</f>
        <v/>
      </c>
      <c r="H236" s="21" t="str">
        <f aca="false">IF(A236="","",F236+ROW()/1000000)</f>
        <v/>
      </c>
    </row>
    <row r="237" customFormat="false" ht="15" hidden="false" customHeight="false" outlineLevel="0" collapsed="false">
      <c r="A237" s="14"/>
      <c r="B237" s="40"/>
      <c r="C237" s="14"/>
      <c r="D237" s="35" t="str">
        <f aca="false">IF(A237="","",COUNTIFS(Randevular!$C$5:$C$1004,A237,Randevular!$E$5:$E$1004,"&lt;&gt;İptal"))</f>
        <v/>
      </c>
      <c r="E237" s="35" t="str">
        <f aca="false">IF(A237="","",COUNTIFS(Randevular!$C$5:$C$1004,A237,Randevular!$E$5:$E$1004,"Gelmedi"))</f>
        <v/>
      </c>
      <c r="F237" s="17" t="str">
        <f aca="false">IF(A237="","",SUMIFS(Randevular!$G$5:$G$1004,Randevular!$C$5:$C$1004,A237))</f>
        <v/>
      </c>
      <c r="G237" s="41" t="str">
        <f aca="false">IF(A237="","",IF(SUMPRODUCT(MAX((Randevular!$C$5:$C$1004=A237)*(Randevular!$E$5:$E$1004="Geldi")*Randevular!$A$5:$A$1004))=0,"",SUMPRODUCT(MAX((Randevular!$C$5:$C$1004=A237)*(Randevular!$E$5:$E$1004="Geldi")*Randevular!$A$5:$A$1004))))</f>
        <v/>
      </c>
      <c r="H237" s="21" t="str">
        <f aca="false">IF(A237="","",F237+ROW()/1000000)</f>
        <v/>
      </c>
    </row>
    <row r="238" customFormat="false" ht="15" hidden="false" customHeight="false" outlineLevel="0" collapsed="false">
      <c r="A238" s="14"/>
      <c r="B238" s="40"/>
      <c r="C238" s="14"/>
      <c r="D238" s="35" t="str">
        <f aca="false">IF(A238="","",COUNTIFS(Randevular!$C$5:$C$1004,A238,Randevular!$E$5:$E$1004,"&lt;&gt;İptal"))</f>
        <v/>
      </c>
      <c r="E238" s="35" t="str">
        <f aca="false">IF(A238="","",COUNTIFS(Randevular!$C$5:$C$1004,A238,Randevular!$E$5:$E$1004,"Gelmedi"))</f>
        <v/>
      </c>
      <c r="F238" s="17" t="str">
        <f aca="false">IF(A238="","",SUMIFS(Randevular!$G$5:$G$1004,Randevular!$C$5:$C$1004,A238))</f>
        <v/>
      </c>
      <c r="G238" s="41" t="str">
        <f aca="false">IF(A238="","",IF(SUMPRODUCT(MAX((Randevular!$C$5:$C$1004=A238)*(Randevular!$E$5:$E$1004="Geldi")*Randevular!$A$5:$A$1004))=0,"",SUMPRODUCT(MAX((Randevular!$C$5:$C$1004=A238)*(Randevular!$E$5:$E$1004="Geldi")*Randevular!$A$5:$A$1004))))</f>
        <v/>
      </c>
      <c r="H238" s="21" t="str">
        <f aca="false">IF(A238="","",F238+ROW()/1000000)</f>
        <v/>
      </c>
    </row>
    <row r="239" customFormat="false" ht="15" hidden="false" customHeight="false" outlineLevel="0" collapsed="false">
      <c r="A239" s="14"/>
      <c r="B239" s="40"/>
      <c r="C239" s="14"/>
      <c r="D239" s="35" t="str">
        <f aca="false">IF(A239="","",COUNTIFS(Randevular!$C$5:$C$1004,A239,Randevular!$E$5:$E$1004,"&lt;&gt;İptal"))</f>
        <v/>
      </c>
      <c r="E239" s="35" t="str">
        <f aca="false">IF(A239="","",COUNTIFS(Randevular!$C$5:$C$1004,A239,Randevular!$E$5:$E$1004,"Gelmedi"))</f>
        <v/>
      </c>
      <c r="F239" s="17" t="str">
        <f aca="false">IF(A239="","",SUMIFS(Randevular!$G$5:$G$1004,Randevular!$C$5:$C$1004,A239))</f>
        <v/>
      </c>
      <c r="G239" s="41" t="str">
        <f aca="false">IF(A239="","",IF(SUMPRODUCT(MAX((Randevular!$C$5:$C$1004=A239)*(Randevular!$E$5:$E$1004="Geldi")*Randevular!$A$5:$A$1004))=0,"",SUMPRODUCT(MAX((Randevular!$C$5:$C$1004=A239)*(Randevular!$E$5:$E$1004="Geldi")*Randevular!$A$5:$A$1004))))</f>
        <v/>
      </c>
      <c r="H239" s="21" t="str">
        <f aca="false">IF(A239="","",F239+ROW()/1000000)</f>
        <v/>
      </c>
    </row>
    <row r="240" customFormat="false" ht="15" hidden="false" customHeight="false" outlineLevel="0" collapsed="false">
      <c r="A240" s="14"/>
      <c r="B240" s="40"/>
      <c r="C240" s="14"/>
      <c r="D240" s="35" t="str">
        <f aca="false">IF(A240="","",COUNTIFS(Randevular!$C$5:$C$1004,A240,Randevular!$E$5:$E$1004,"&lt;&gt;İptal"))</f>
        <v/>
      </c>
      <c r="E240" s="35" t="str">
        <f aca="false">IF(A240="","",COUNTIFS(Randevular!$C$5:$C$1004,A240,Randevular!$E$5:$E$1004,"Gelmedi"))</f>
        <v/>
      </c>
      <c r="F240" s="17" t="str">
        <f aca="false">IF(A240="","",SUMIFS(Randevular!$G$5:$G$1004,Randevular!$C$5:$C$1004,A240))</f>
        <v/>
      </c>
      <c r="G240" s="41" t="str">
        <f aca="false">IF(A240="","",IF(SUMPRODUCT(MAX((Randevular!$C$5:$C$1004=A240)*(Randevular!$E$5:$E$1004="Geldi")*Randevular!$A$5:$A$1004))=0,"",SUMPRODUCT(MAX((Randevular!$C$5:$C$1004=A240)*(Randevular!$E$5:$E$1004="Geldi")*Randevular!$A$5:$A$1004))))</f>
        <v/>
      </c>
      <c r="H240" s="21" t="str">
        <f aca="false">IF(A240="","",F240+ROW()/1000000)</f>
        <v/>
      </c>
    </row>
    <row r="241" customFormat="false" ht="15" hidden="false" customHeight="false" outlineLevel="0" collapsed="false">
      <c r="A241" s="14"/>
      <c r="B241" s="40"/>
      <c r="C241" s="14"/>
      <c r="D241" s="35" t="str">
        <f aca="false">IF(A241="","",COUNTIFS(Randevular!$C$5:$C$1004,A241,Randevular!$E$5:$E$1004,"&lt;&gt;İptal"))</f>
        <v/>
      </c>
      <c r="E241" s="35" t="str">
        <f aca="false">IF(A241="","",COUNTIFS(Randevular!$C$5:$C$1004,A241,Randevular!$E$5:$E$1004,"Gelmedi"))</f>
        <v/>
      </c>
      <c r="F241" s="17" t="str">
        <f aca="false">IF(A241="","",SUMIFS(Randevular!$G$5:$G$1004,Randevular!$C$5:$C$1004,A241))</f>
        <v/>
      </c>
      <c r="G241" s="41" t="str">
        <f aca="false">IF(A241="","",IF(SUMPRODUCT(MAX((Randevular!$C$5:$C$1004=A241)*(Randevular!$E$5:$E$1004="Geldi")*Randevular!$A$5:$A$1004))=0,"",SUMPRODUCT(MAX((Randevular!$C$5:$C$1004=A241)*(Randevular!$E$5:$E$1004="Geldi")*Randevular!$A$5:$A$1004))))</f>
        <v/>
      </c>
      <c r="H241" s="21" t="str">
        <f aca="false">IF(A241="","",F241+ROW()/1000000)</f>
        <v/>
      </c>
    </row>
    <row r="242" customFormat="false" ht="15" hidden="false" customHeight="false" outlineLevel="0" collapsed="false">
      <c r="A242" s="14"/>
      <c r="B242" s="40"/>
      <c r="C242" s="14"/>
      <c r="D242" s="35" t="str">
        <f aca="false">IF(A242="","",COUNTIFS(Randevular!$C$5:$C$1004,A242,Randevular!$E$5:$E$1004,"&lt;&gt;İptal"))</f>
        <v/>
      </c>
      <c r="E242" s="35" t="str">
        <f aca="false">IF(A242="","",COUNTIFS(Randevular!$C$5:$C$1004,A242,Randevular!$E$5:$E$1004,"Gelmedi"))</f>
        <v/>
      </c>
      <c r="F242" s="17" t="str">
        <f aca="false">IF(A242="","",SUMIFS(Randevular!$G$5:$G$1004,Randevular!$C$5:$C$1004,A242))</f>
        <v/>
      </c>
      <c r="G242" s="41" t="str">
        <f aca="false">IF(A242="","",IF(SUMPRODUCT(MAX((Randevular!$C$5:$C$1004=A242)*(Randevular!$E$5:$E$1004="Geldi")*Randevular!$A$5:$A$1004))=0,"",SUMPRODUCT(MAX((Randevular!$C$5:$C$1004=A242)*(Randevular!$E$5:$E$1004="Geldi")*Randevular!$A$5:$A$1004))))</f>
        <v/>
      </c>
      <c r="H242" s="21" t="str">
        <f aca="false">IF(A242="","",F242+ROW()/1000000)</f>
        <v/>
      </c>
    </row>
    <row r="243" customFormat="false" ht="15" hidden="false" customHeight="false" outlineLevel="0" collapsed="false">
      <c r="A243" s="14"/>
      <c r="B243" s="40"/>
      <c r="C243" s="14"/>
      <c r="D243" s="35" t="str">
        <f aca="false">IF(A243="","",COUNTIFS(Randevular!$C$5:$C$1004,A243,Randevular!$E$5:$E$1004,"&lt;&gt;İptal"))</f>
        <v/>
      </c>
      <c r="E243" s="35" t="str">
        <f aca="false">IF(A243="","",COUNTIFS(Randevular!$C$5:$C$1004,A243,Randevular!$E$5:$E$1004,"Gelmedi"))</f>
        <v/>
      </c>
      <c r="F243" s="17" t="str">
        <f aca="false">IF(A243="","",SUMIFS(Randevular!$G$5:$G$1004,Randevular!$C$5:$C$1004,A243))</f>
        <v/>
      </c>
      <c r="G243" s="41" t="str">
        <f aca="false">IF(A243="","",IF(SUMPRODUCT(MAX((Randevular!$C$5:$C$1004=A243)*(Randevular!$E$5:$E$1004="Geldi")*Randevular!$A$5:$A$1004))=0,"",SUMPRODUCT(MAX((Randevular!$C$5:$C$1004=A243)*(Randevular!$E$5:$E$1004="Geldi")*Randevular!$A$5:$A$1004))))</f>
        <v/>
      </c>
      <c r="H243" s="21" t="str">
        <f aca="false">IF(A243="","",F243+ROW()/1000000)</f>
        <v/>
      </c>
    </row>
    <row r="244" customFormat="false" ht="15" hidden="false" customHeight="false" outlineLevel="0" collapsed="false">
      <c r="A244" s="14"/>
      <c r="B244" s="40"/>
      <c r="C244" s="14"/>
      <c r="D244" s="35" t="str">
        <f aca="false">IF(A244="","",COUNTIFS(Randevular!$C$5:$C$1004,A244,Randevular!$E$5:$E$1004,"&lt;&gt;İptal"))</f>
        <v/>
      </c>
      <c r="E244" s="35" t="str">
        <f aca="false">IF(A244="","",COUNTIFS(Randevular!$C$5:$C$1004,A244,Randevular!$E$5:$E$1004,"Gelmedi"))</f>
        <v/>
      </c>
      <c r="F244" s="17" t="str">
        <f aca="false">IF(A244="","",SUMIFS(Randevular!$G$5:$G$1004,Randevular!$C$5:$C$1004,A244))</f>
        <v/>
      </c>
      <c r="G244" s="41" t="str">
        <f aca="false">IF(A244="","",IF(SUMPRODUCT(MAX((Randevular!$C$5:$C$1004=A244)*(Randevular!$E$5:$E$1004="Geldi")*Randevular!$A$5:$A$1004))=0,"",SUMPRODUCT(MAX((Randevular!$C$5:$C$1004=A244)*(Randevular!$E$5:$E$1004="Geldi")*Randevular!$A$5:$A$1004))))</f>
        <v/>
      </c>
      <c r="H244" s="21" t="str">
        <f aca="false">IF(A244="","",F244+ROW()/1000000)</f>
        <v/>
      </c>
    </row>
    <row r="245" customFormat="false" ht="15" hidden="false" customHeight="false" outlineLevel="0" collapsed="false">
      <c r="A245" s="14"/>
      <c r="B245" s="40"/>
      <c r="C245" s="14"/>
      <c r="D245" s="35" t="str">
        <f aca="false">IF(A245="","",COUNTIFS(Randevular!$C$5:$C$1004,A245,Randevular!$E$5:$E$1004,"&lt;&gt;İptal"))</f>
        <v/>
      </c>
      <c r="E245" s="35" t="str">
        <f aca="false">IF(A245="","",COUNTIFS(Randevular!$C$5:$C$1004,A245,Randevular!$E$5:$E$1004,"Gelmedi"))</f>
        <v/>
      </c>
      <c r="F245" s="17" t="str">
        <f aca="false">IF(A245="","",SUMIFS(Randevular!$G$5:$G$1004,Randevular!$C$5:$C$1004,A245))</f>
        <v/>
      </c>
      <c r="G245" s="41" t="str">
        <f aca="false">IF(A245="","",IF(SUMPRODUCT(MAX((Randevular!$C$5:$C$1004=A245)*(Randevular!$E$5:$E$1004="Geldi")*Randevular!$A$5:$A$1004))=0,"",SUMPRODUCT(MAX((Randevular!$C$5:$C$1004=A245)*(Randevular!$E$5:$E$1004="Geldi")*Randevular!$A$5:$A$1004))))</f>
        <v/>
      </c>
      <c r="H245" s="21" t="str">
        <f aca="false">IF(A245="","",F245+ROW()/1000000)</f>
        <v/>
      </c>
    </row>
    <row r="246" customFormat="false" ht="15" hidden="false" customHeight="false" outlineLevel="0" collapsed="false">
      <c r="A246" s="14"/>
      <c r="B246" s="40"/>
      <c r="C246" s="14"/>
      <c r="D246" s="35" t="str">
        <f aca="false">IF(A246="","",COUNTIFS(Randevular!$C$5:$C$1004,A246,Randevular!$E$5:$E$1004,"&lt;&gt;İptal"))</f>
        <v/>
      </c>
      <c r="E246" s="35" t="str">
        <f aca="false">IF(A246="","",COUNTIFS(Randevular!$C$5:$C$1004,A246,Randevular!$E$5:$E$1004,"Gelmedi"))</f>
        <v/>
      </c>
      <c r="F246" s="17" t="str">
        <f aca="false">IF(A246="","",SUMIFS(Randevular!$G$5:$G$1004,Randevular!$C$5:$C$1004,A246))</f>
        <v/>
      </c>
      <c r="G246" s="41" t="str">
        <f aca="false">IF(A246="","",IF(SUMPRODUCT(MAX((Randevular!$C$5:$C$1004=A246)*(Randevular!$E$5:$E$1004="Geldi")*Randevular!$A$5:$A$1004))=0,"",SUMPRODUCT(MAX((Randevular!$C$5:$C$1004=A246)*(Randevular!$E$5:$E$1004="Geldi")*Randevular!$A$5:$A$1004))))</f>
        <v/>
      </c>
      <c r="H246" s="21" t="str">
        <f aca="false">IF(A246="","",F246+ROW()/1000000)</f>
        <v/>
      </c>
    </row>
    <row r="247" customFormat="false" ht="15" hidden="false" customHeight="false" outlineLevel="0" collapsed="false">
      <c r="A247" s="14"/>
      <c r="B247" s="40"/>
      <c r="C247" s="14"/>
      <c r="D247" s="35" t="str">
        <f aca="false">IF(A247="","",COUNTIFS(Randevular!$C$5:$C$1004,A247,Randevular!$E$5:$E$1004,"&lt;&gt;İptal"))</f>
        <v/>
      </c>
      <c r="E247" s="35" t="str">
        <f aca="false">IF(A247="","",COUNTIFS(Randevular!$C$5:$C$1004,A247,Randevular!$E$5:$E$1004,"Gelmedi"))</f>
        <v/>
      </c>
      <c r="F247" s="17" t="str">
        <f aca="false">IF(A247="","",SUMIFS(Randevular!$G$5:$G$1004,Randevular!$C$5:$C$1004,A247))</f>
        <v/>
      </c>
      <c r="G247" s="41" t="str">
        <f aca="false">IF(A247="","",IF(SUMPRODUCT(MAX((Randevular!$C$5:$C$1004=A247)*(Randevular!$E$5:$E$1004="Geldi")*Randevular!$A$5:$A$1004))=0,"",SUMPRODUCT(MAX((Randevular!$C$5:$C$1004=A247)*(Randevular!$E$5:$E$1004="Geldi")*Randevular!$A$5:$A$1004))))</f>
        <v/>
      </c>
      <c r="H247" s="21" t="str">
        <f aca="false">IF(A247="","",F247+ROW()/1000000)</f>
        <v/>
      </c>
    </row>
    <row r="248" customFormat="false" ht="15" hidden="false" customHeight="false" outlineLevel="0" collapsed="false">
      <c r="A248" s="14"/>
      <c r="B248" s="40"/>
      <c r="C248" s="14"/>
      <c r="D248" s="35" t="str">
        <f aca="false">IF(A248="","",COUNTIFS(Randevular!$C$5:$C$1004,A248,Randevular!$E$5:$E$1004,"&lt;&gt;İptal"))</f>
        <v/>
      </c>
      <c r="E248" s="35" t="str">
        <f aca="false">IF(A248="","",COUNTIFS(Randevular!$C$5:$C$1004,A248,Randevular!$E$5:$E$1004,"Gelmedi"))</f>
        <v/>
      </c>
      <c r="F248" s="17" t="str">
        <f aca="false">IF(A248="","",SUMIFS(Randevular!$G$5:$G$1004,Randevular!$C$5:$C$1004,A248))</f>
        <v/>
      </c>
      <c r="G248" s="41" t="str">
        <f aca="false">IF(A248="","",IF(SUMPRODUCT(MAX((Randevular!$C$5:$C$1004=A248)*(Randevular!$E$5:$E$1004="Geldi")*Randevular!$A$5:$A$1004))=0,"",SUMPRODUCT(MAX((Randevular!$C$5:$C$1004=A248)*(Randevular!$E$5:$E$1004="Geldi")*Randevular!$A$5:$A$1004))))</f>
        <v/>
      </c>
      <c r="H248" s="21" t="str">
        <f aca="false">IF(A248="","",F248+ROW()/1000000)</f>
        <v/>
      </c>
    </row>
    <row r="249" customFormat="false" ht="15" hidden="false" customHeight="false" outlineLevel="0" collapsed="false">
      <c r="A249" s="14"/>
      <c r="B249" s="40"/>
      <c r="C249" s="14"/>
      <c r="D249" s="35" t="str">
        <f aca="false">IF(A249="","",COUNTIFS(Randevular!$C$5:$C$1004,A249,Randevular!$E$5:$E$1004,"&lt;&gt;İptal"))</f>
        <v/>
      </c>
      <c r="E249" s="35" t="str">
        <f aca="false">IF(A249="","",COUNTIFS(Randevular!$C$5:$C$1004,A249,Randevular!$E$5:$E$1004,"Gelmedi"))</f>
        <v/>
      </c>
      <c r="F249" s="17" t="str">
        <f aca="false">IF(A249="","",SUMIFS(Randevular!$G$5:$G$1004,Randevular!$C$5:$C$1004,A249))</f>
        <v/>
      </c>
      <c r="G249" s="41" t="str">
        <f aca="false">IF(A249="","",IF(SUMPRODUCT(MAX((Randevular!$C$5:$C$1004=A249)*(Randevular!$E$5:$E$1004="Geldi")*Randevular!$A$5:$A$1004))=0,"",SUMPRODUCT(MAX((Randevular!$C$5:$C$1004=A249)*(Randevular!$E$5:$E$1004="Geldi")*Randevular!$A$5:$A$1004))))</f>
        <v/>
      </c>
      <c r="H249" s="21" t="str">
        <f aca="false">IF(A249="","",F249+ROW()/1000000)</f>
        <v/>
      </c>
    </row>
    <row r="250" customFormat="false" ht="15" hidden="false" customHeight="false" outlineLevel="0" collapsed="false">
      <c r="A250" s="14"/>
      <c r="B250" s="40"/>
      <c r="C250" s="14"/>
      <c r="D250" s="35" t="str">
        <f aca="false">IF(A250="","",COUNTIFS(Randevular!$C$5:$C$1004,A250,Randevular!$E$5:$E$1004,"&lt;&gt;İptal"))</f>
        <v/>
      </c>
      <c r="E250" s="35" t="str">
        <f aca="false">IF(A250="","",COUNTIFS(Randevular!$C$5:$C$1004,A250,Randevular!$E$5:$E$1004,"Gelmedi"))</f>
        <v/>
      </c>
      <c r="F250" s="17" t="str">
        <f aca="false">IF(A250="","",SUMIFS(Randevular!$G$5:$G$1004,Randevular!$C$5:$C$1004,A250))</f>
        <v/>
      </c>
      <c r="G250" s="41" t="str">
        <f aca="false">IF(A250="","",IF(SUMPRODUCT(MAX((Randevular!$C$5:$C$1004=A250)*(Randevular!$E$5:$E$1004="Geldi")*Randevular!$A$5:$A$1004))=0,"",SUMPRODUCT(MAX((Randevular!$C$5:$C$1004=A250)*(Randevular!$E$5:$E$1004="Geldi")*Randevular!$A$5:$A$1004))))</f>
        <v/>
      </c>
      <c r="H250" s="21" t="str">
        <f aca="false">IF(A250="","",F250+ROW()/1000000)</f>
        <v/>
      </c>
    </row>
    <row r="251" customFormat="false" ht="15" hidden="false" customHeight="false" outlineLevel="0" collapsed="false">
      <c r="A251" s="14"/>
      <c r="B251" s="40"/>
      <c r="C251" s="14"/>
      <c r="D251" s="35" t="str">
        <f aca="false">IF(A251="","",COUNTIFS(Randevular!$C$5:$C$1004,A251,Randevular!$E$5:$E$1004,"&lt;&gt;İptal"))</f>
        <v/>
      </c>
      <c r="E251" s="35" t="str">
        <f aca="false">IF(A251="","",COUNTIFS(Randevular!$C$5:$C$1004,A251,Randevular!$E$5:$E$1004,"Gelmedi"))</f>
        <v/>
      </c>
      <c r="F251" s="17" t="str">
        <f aca="false">IF(A251="","",SUMIFS(Randevular!$G$5:$G$1004,Randevular!$C$5:$C$1004,A251))</f>
        <v/>
      </c>
      <c r="G251" s="41" t="str">
        <f aca="false">IF(A251="","",IF(SUMPRODUCT(MAX((Randevular!$C$5:$C$1004=A251)*(Randevular!$E$5:$E$1004="Geldi")*Randevular!$A$5:$A$1004))=0,"",SUMPRODUCT(MAX((Randevular!$C$5:$C$1004=A251)*(Randevular!$E$5:$E$1004="Geldi")*Randevular!$A$5:$A$1004))))</f>
        <v/>
      </c>
      <c r="H251" s="21" t="str">
        <f aca="false">IF(A251="","",F251+ROW()/1000000)</f>
        <v/>
      </c>
    </row>
    <row r="252" customFormat="false" ht="15" hidden="false" customHeight="false" outlineLevel="0" collapsed="false">
      <c r="A252" s="14"/>
      <c r="B252" s="40"/>
      <c r="C252" s="14"/>
      <c r="D252" s="35" t="str">
        <f aca="false">IF(A252="","",COUNTIFS(Randevular!$C$5:$C$1004,A252,Randevular!$E$5:$E$1004,"&lt;&gt;İptal"))</f>
        <v/>
      </c>
      <c r="E252" s="35" t="str">
        <f aca="false">IF(A252="","",COUNTIFS(Randevular!$C$5:$C$1004,A252,Randevular!$E$5:$E$1004,"Gelmedi"))</f>
        <v/>
      </c>
      <c r="F252" s="17" t="str">
        <f aca="false">IF(A252="","",SUMIFS(Randevular!$G$5:$G$1004,Randevular!$C$5:$C$1004,A252))</f>
        <v/>
      </c>
      <c r="G252" s="41" t="str">
        <f aca="false">IF(A252="","",IF(SUMPRODUCT(MAX((Randevular!$C$5:$C$1004=A252)*(Randevular!$E$5:$E$1004="Geldi")*Randevular!$A$5:$A$1004))=0,"",SUMPRODUCT(MAX((Randevular!$C$5:$C$1004=A252)*(Randevular!$E$5:$E$1004="Geldi")*Randevular!$A$5:$A$1004))))</f>
        <v/>
      </c>
      <c r="H252" s="21" t="str">
        <f aca="false">IF(A252="","",F252+ROW()/1000000)</f>
        <v/>
      </c>
    </row>
    <row r="253" customFormat="false" ht="15" hidden="false" customHeight="false" outlineLevel="0" collapsed="false">
      <c r="A253" s="14"/>
      <c r="B253" s="40"/>
      <c r="C253" s="14"/>
      <c r="D253" s="35" t="str">
        <f aca="false">IF(A253="","",COUNTIFS(Randevular!$C$5:$C$1004,A253,Randevular!$E$5:$E$1004,"&lt;&gt;İptal"))</f>
        <v/>
      </c>
      <c r="E253" s="35" t="str">
        <f aca="false">IF(A253="","",COUNTIFS(Randevular!$C$5:$C$1004,A253,Randevular!$E$5:$E$1004,"Gelmedi"))</f>
        <v/>
      </c>
      <c r="F253" s="17" t="str">
        <f aca="false">IF(A253="","",SUMIFS(Randevular!$G$5:$G$1004,Randevular!$C$5:$C$1004,A253))</f>
        <v/>
      </c>
      <c r="G253" s="41" t="str">
        <f aca="false">IF(A253="","",IF(SUMPRODUCT(MAX((Randevular!$C$5:$C$1004=A253)*(Randevular!$E$5:$E$1004="Geldi")*Randevular!$A$5:$A$1004))=0,"",SUMPRODUCT(MAX((Randevular!$C$5:$C$1004=A253)*(Randevular!$E$5:$E$1004="Geldi")*Randevular!$A$5:$A$1004))))</f>
        <v/>
      </c>
      <c r="H253" s="21" t="str">
        <f aca="false">IF(A253="","",F253+ROW()/1000000)</f>
        <v/>
      </c>
    </row>
    <row r="254" customFormat="false" ht="15" hidden="false" customHeight="false" outlineLevel="0" collapsed="false">
      <c r="A254" s="14"/>
      <c r="B254" s="40"/>
      <c r="C254" s="14"/>
      <c r="D254" s="35" t="str">
        <f aca="false">IF(A254="","",COUNTIFS(Randevular!$C$5:$C$1004,A254,Randevular!$E$5:$E$1004,"&lt;&gt;İptal"))</f>
        <v/>
      </c>
      <c r="E254" s="35" t="str">
        <f aca="false">IF(A254="","",COUNTIFS(Randevular!$C$5:$C$1004,A254,Randevular!$E$5:$E$1004,"Gelmedi"))</f>
        <v/>
      </c>
      <c r="F254" s="17" t="str">
        <f aca="false">IF(A254="","",SUMIFS(Randevular!$G$5:$G$1004,Randevular!$C$5:$C$1004,A254))</f>
        <v/>
      </c>
      <c r="G254" s="41" t="str">
        <f aca="false">IF(A254="","",IF(SUMPRODUCT(MAX((Randevular!$C$5:$C$1004=A254)*(Randevular!$E$5:$E$1004="Geldi")*Randevular!$A$5:$A$1004))=0,"",SUMPRODUCT(MAX((Randevular!$C$5:$C$1004=A254)*(Randevular!$E$5:$E$1004="Geldi")*Randevular!$A$5:$A$1004))))</f>
        <v/>
      </c>
      <c r="H254" s="21" t="str">
        <f aca="false">IF(A254="","",F254+ROW()/1000000)</f>
        <v/>
      </c>
    </row>
    <row r="255" customFormat="false" ht="15" hidden="false" customHeight="false" outlineLevel="0" collapsed="false">
      <c r="A255" s="14"/>
      <c r="B255" s="40"/>
      <c r="C255" s="14"/>
      <c r="D255" s="35" t="str">
        <f aca="false">IF(A255="","",COUNTIFS(Randevular!$C$5:$C$1004,A255,Randevular!$E$5:$E$1004,"&lt;&gt;İptal"))</f>
        <v/>
      </c>
      <c r="E255" s="35" t="str">
        <f aca="false">IF(A255="","",COUNTIFS(Randevular!$C$5:$C$1004,A255,Randevular!$E$5:$E$1004,"Gelmedi"))</f>
        <v/>
      </c>
      <c r="F255" s="17" t="str">
        <f aca="false">IF(A255="","",SUMIFS(Randevular!$G$5:$G$1004,Randevular!$C$5:$C$1004,A255))</f>
        <v/>
      </c>
      <c r="G255" s="41" t="str">
        <f aca="false">IF(A255="","",IF(SUMPRODUCT(MAX((Randevular!$C$5:$C$1004=A255)*(Randevular!$E$5:$E$1004="Geldi")*Randevular!$A$5:$A$1004))=0,"",SUMPRODUCT(MAX((Randevular!$C$5:$C$1004=A255)*(Randevular!$E$5:$E$1004="Geldi")*Randevular!$A$5:$A$1004))))</f>
        <v/>
      </c>
      <c r="H255" s="21" t="str">
        <f aca="false">IF(A255="","",F255+ROW()/1000000)</f>
        <v/>
      </c>
    </row>
    <row r="256" customFormat="false" ht="15" hidden="false" customHeight="false" outlineLevel="0" collapsed="false">
      <c r="A256" s="14"/>
      <c r="B256" s="40"/>
      <c r="C256" s="14"/>
      <c r="D256" s="35" t="str">
        <f aca="false">IF(A256="","",COUNTIFS(Randevular!$C$5:$C$1004,A256,Randevular!$E$5:$E$1004,"&lt;&gt;İptal"))</f>
        <v/>
      </c>
      <c r="E256" s="35" t="str">
        <f aca="false">IF(A256="","",COUNTIFS(Randevular!$C$5:$C$1004,A256,Randevular!$E$5:$E$1004,"Gelmedi"))</f>
        <v/>
      </c>
      <c r="F256" s="17" t="str">
        <f aca="false">IF(A256="","",SUMIFS(Randevular!$G$5:$G$1004,Randevular!$C$5:$C$1004,A256))</f>
        <v/>
      </c>
      <c r="G256" s="41" t="str">
        <f aca="false">IF(A256="","",IF(SUMPRODUCT(MAX((Randevular!$C$5:$C$1004=A256)*(Randevular!$E$5:$E$1004="Geldi")*Randevular!$A$5:$A$1004))=0,"",SUMPRODUCT(MAX((Randevular!$C$5:$C$1004=A256)*(Randevular!$E$5:$E$1004="Geldi")*Randevular!$A$5:$A$1004))))</f>
        <v/>
      </c>
      <c r="H256" s="21" t="str">
        <f aca="false">IF(A256="","",F256+ROW()/1000000)</f>
        <v/>
      </c>
    </row>
    <row r="257" customFormat="false" ht="15" hidden="false" customHeight="false" outlineLevel="0" collapsed="false">
      <c r="A257" s="14"/>
      <c r="B257" s="40"/>
      <c r="C257" s="14"/>
      <c r="D257" s="35" t="str">
        <f aca="false">IF(A257="","",COUNTIFS(Randevular!$C$5:$C$1004,A257,Randevular!$E$5:$E$1004,"&lt;&gt;İptal"))</f>
        <v/>
      </c>
      <c r="E257" s="35" t="str">
        <f aca="false">IF(A257="","",COUNTIFS(Randevular!$C$5:$C$1004,A257,Randevular!$E$5:$E$1004,"Gelmedi"))</f>
        <v/>
      </c>
      <c r="F257" s="17" t="str">
        <f aca="false">IF(A257="","",SUMIFS(Randevular!$G$5:$G$1004,Randevular!$C$5:$C$1004,A257))</f>
        <v/>
      </c>
      <c r="G257" s="41" t="str">
        <f aca="false">IF(A257="","",IF(SUMPRODUCT(MAX((Randevular!$C$5:$C$1004=A257)*(Randevular!$E$5:$E$1004="Geldi")*Randevular!$A$5:$A$1004))=0,"",SUMPRODUCT(MAX((Randevular!$C$5:$C$1004=A257)*(Randevular!$E$5:$E$1004="Geldi")*Randevular!$A$5:$A$1004))))</f>
        <v/>
      </c>
      <c r="H257" s="21" t="str">
        <f aca="false">IF(A257="","",F257+ROW()/1000000)</f>
        <v/>
      </c>
    </row>
    <row r="258" customFormat="false" ht="15" hidden="false" customHeight="false" outlineLevel="0" collapsed="false">
      <c r="A258" s="14"/>
      <c r="B258" s="40"/>
      <c r="C258" s="14"/>
      <c r="D258" s="35" t="str">
        <f aca="false">IF(A258="","",COUNTIFS(Randevular!$C$5:$C$1004,A258,Randevular!$E$5:$E$1004,"&lt;&gt;İptal"))</f>
        <v/>
      </c>
      <c r="E258" s="35" t="str">
        <f aca="false">IF(A258="","",COUNTIFS(Randevular!$C$5:$C$1004,A258,Randevular!$E$5:$E$1004,"Gelmedi"))</f>
        <v/>
      </c>
      <c r="F258" s="17" t="str">
        <f aca="false">IF(A258="","",SUMIFS(Randevular!$G$5:$G$1004,Randevular!$C$5:$C$1004,A258))</f>
        <v/>
      </c>
      <c r="G258" s="41" t="str">
        <f aca="false">IF(A258="","",IF(SUMPRODUCT(MAX((Randevular!$C$5:$C$1004=A258)*(Randevular!$E$5:$E$1004="Geldi")*Randevular!$A$5:$A$1004))=0,"",SUMPRODUCT(MAX((Randevular!$C$5:$C$1004=A258)*(Randevular!$E$5:$E$1004="Geldi")*Randevular!$A$5:$A$1004))))</f>
        <v/>
      </c>
      <c r="H258" s="21" t="str">
        <f aca="false">IF(A258="","",F258+ROW()/1000000)</f>
        <v/>
      </c>
    </row>
    <row r="259" customFormat="false" ht="15" hidden="false" customHeight="false" outlineLevel="0" collapsed="false">
      <c r="A259" s="14"/>
      <c r="B259" s="40"/>
      <c r="C259" s="14"/>
      <c r="D259" s="35" t="str">
        <f aca="false">IF(A259="","",COUNTIFS(Randevular!$C$5:$C$1004,A259,Randevular!$E$5:$E$1004,"&lt;&gt;İptal"))</f>
        <v/>
      </c>
      <c r="E259" s="35" t="str">
        <f aca="false">IF(A259="","",COUNTIFS(Randevular!$C$5:$C$1004,A259,Randevular!$E$5:$E$1004,"Gelmedi"))</f>
        <v/>
      </c>
      <c r="F259" s="17" t="str">
        <f aca="false">IF(A259="","",SUMIFS(Randevular!$G$5:$G$1004,Randevular!$C$5:$C$1004,A259))</f>
        <v/>
      </c>
      <c r="G259" s="41" t="str">
        <f aca="false">IF(A259="","",IF(SUMPRODUCT(MAX((Randevular!$C$5:$C$1004=A259)*(Randevular!$E$5:$E$1004="Geldi")*Randevular!$A$5:$A$1004))=0,"",SUMPRODUCT(MAX((Randevular!$C$5:$C$1004=A259)*(Randevular!$E$5:$E$1004="Geldi")*Randevular!$A$5:$A$1004))))</f>
        <v/>
      </c>
      <c r="H259" s="21" t="str">
        <f aca="false">IF(A259="","",F259+ROW()/1000000)</f>
        <v/>
      </c>
    </row>
    <row r="260" customFormat="false" ht="15" hidden="false" customHeight="false" outlineLevel="0" collapsed="false">
      <c r="A260" s="14"/>
      <c r="B260" s="40"/>
      <c r="C260" s="14"/>
      <c r="D260" s="35" t="str">
        <f aca="false">IF(A260="","",COUNTIFS(Randevular!$C$5:$C$1004,A260,Randevular!$E$5:$E$1004,"&lt;&gt;İptal"))</f>
        <v/>
      </c>
      <c r="E260" s="35" t="str">
        <f aca="false">IF(A260="","",COUNTIFS(Randevular!$C$5:$C$1004,A260,Randevular!$E$5:$E$1004,"Gelmedi"))</f>
        <v/>
      </c>
      <c r="F260" s="17" t="str">
        <f aca="false">IF(A260="","",SUMIFS(Randevular!$G$5:$G$1004,Randevular!$C$5:$C$1004,A260))</f>
        <v/>
      </c>
      <c r="G260" s="41" t="str">
        <f aca="false">IF(A260="","",IF(SUMPRODUCT(MAX((Randevular!$C$5:$C$1004=A260)*(Randevular!$E$5:$E$1004="Geldi")*Randevular!$A$5:$A$1004))=0,"",SUMPRODUCT(MAX((Randevular!$C$5:$C$1004=A260)*(Randevular!$E$5:$E$1004="Geldi")*Randevular!$A$5:$A$1004))))</f>
        <v/>
      </c>
      <c r="H260" s="21" t="str">
        <f aca="false">IF(A260="","",F260+ROW()/1000000)</f>
        <v/>
      </c>
    </row>
    <row r="261" customFormat="false" ht="15" hidden="false" customHeight="false" outlineLevel="0" collapsed="false">
      <c r="A261" s="14"/>
      <c r="B261" s="40"/>
      <c r="C261" s="14"/>
      <c r="D261" s="35" t="str">
        <f aca="false">IF(A261="","",COUNTIFS(Randevular!$C$5:$C$1004,A261,Randevular!$E$5:$E$1004,"&lt;&gt;İptal"))</f>
        <v/>
      </c>
      <c r="E261" s="35" t="str">
        <f aca="false">IF(A261="","",COUNTIFS(Randevular!$C$5:$C$1004,A261,Randevular!$E$5:$E$1004,"Gelmedi"))</f>
        <v/>
      </c>
      <c r="F261" s="17" t="str">
        <f aca="false">IF(A261="","",SUMIFS(Randevular!$G$5:$G$1004,Randevular!$C$5:$C$1004,A261))</f>
        <v/>
      </c>
      <c r="G261" s="41" t="str">
        <f aca="false">IF(A261="","",IF(SUMPRODUCT(MAX((Randevular!$C$5:$C$1004=A261)*(Randevular!$E$5:$E$1004="Geldi")*Randevular!$A$5:$A$1004))=0,"",SUMPRODUCT(MAX((Randevular!$C$5:$C$1004=A261)*(Randevular!$E$5:$E$1004="Geldi")*Randevular!$A$5:$A$1004))))</f>
        <v/>
      </c>
      <c r="H261" s="21" t="str">
        <f aca="false">IF(A261="","",F261+ROW()/1000000)</f>
        <v/>
      </c>
    </row>
    <row r="262" customFormat="false" ht="15" hidden="false" customHeight="false" outlineLevel="0" collapsed="false">
      <c r="A262" s="14"/>
      <c r="B262" s="40"/>
      <c r="C262" s="14"/>
      <c r="D262" s="35" t="str">
        <f aca="false">IF(A262="","",COUNTIFS(Randevular!$C$5:$C$1004,A262,Randevular!$E$5:$E$1004,"&lt;&gt;İptal"))</f>
        <v/>
      </c>
      <c r="E262" s="35" t="str">
        <f aca="false">IF(A262="","",COUNTIFS(Randevular!$C$5:$C$1004,A262,Randevular!$E$5:$E$1004,"Gelmedi"))</f>
        <v/>
      </c>
      <c r="F262" s="17" t="str">
        <f aca="false">IF(A262="","",SUMIFS(Randevular!$G$5:$G$1004,Randevular!$C$5:$C$1004,A262))</f>
        <v/>
      </c>
      <c r="G262" s="41" t="str">
        <f aca="false">IF(A262="","",IF(SUMPRODUCT(MAX((Randevular!$C$5:$C$1004=A262)*(Randevular!$E$5:$E$1004="Geldi")*Randevular!$A$5:$A$1004))=0,"",SUMPRODUCT(MAX((Randevular!$C$5:$C$1004=A262)*(Randevular!$E$5:$E$1004="Geldi")*Randevular!$A$5:$A$1004))))</f>
        <v/>
      </c>
      <c r="H262" s="21" t="str">
        <f aca="false">IF(A262="","",F262+ROW()/1000000)</f>
        <v/>
      </c>
    </row>
    <row r="263" customFormat="false" ht="15" hidden="false" customHeight="false" outlineLevel="0" collapsed="false">
      <c r="A263" s="14"/>
      <c r="B263" s="40"/>
      <c r="C263" s="14"/>
      <c r="D263" s="35" t="str">
        <f aca="false">IF(A263="","",COUNTIFS(Randevular!$C$5:$C$1004,A263,Randevular!$E$5:$E$1004,"&lt;&gt;İptal"))</f>
        <v/>
      </c>
      <c r="E263" s="35" t="str">
        <f aca="false">IF(A263="","",COUNTIFS(Randevular!$C$5:$C$1004,A263,Randevular!$E$5:$E$1004,"Gelmedi"))</f>
        <v/>
      </c>
      <c r="F263" s="17" t="str">
        <f aca="false">IF(A263="","",SUMIFS(Randevular!$G$5:$G$1004,Randevular!$C$5:$C$1004,A263))</f>
        <v/>
      </c>
      <c r="G263" s="41" t="str">
        <f aca="false">IF(A263="","",IF(SUMPRODUCT(MAX((Randevular!$C$5:$C$1004=A263)*(Randevular!$E$5:$E$1004="Geldi")*Randevular!$A$5:$A$1004))=0,"",SUMPRODUCT(MAX((Randevular!$C$5:$C$1004=A263)*(Randevular!$E$5:$E$1004="Geldi")*Randevular!$A$5:$A$1004))))</f>
        <v/>
      </c>
      <c r="H263" s="21" t="str">
        <f aca="false">IF(A263="","",F263+ROW()/1000000)</f>
        <v/>
      </c>
    </row>
    <row r="264" customFormat="false" ht="15" hidden="false" customHeight="false" outlineLevel="0" collapsed="false">
      <c r="A264" s="14"/>
      <c r="B264" s="40"/>
      <c r="C264" s="14"/>
      <c r="D264" s="35" t="str">
        <f aca="false">IF(A264="","",COUNTIFS(Randevular!$C$5:$C$1004,A264,Randevular!$E$5:$E$1004,"&lt;&gt;İptal"))</f>
        <v/>
      </c>
      <c r="E264" s="35" t="str">
        <f aca="false">IF(A264="","",COUNTIFS(Randevular!$C$5:$C$1004,A264,Randevular!$E$5:$E$1004,"Gelmedi"))</f>
        <v/>
      </c>
      <c r="F264" s="17" t="str">
        <f aca="false">IF(A264="","",SUMIFS(Randevular!$G$5:$G$1004,Randevular!$C$5:$C$1004,A264))</f>
        <v/>
      </c>
      <c r="G264" s="41" t="str">
        <f aca="false">IF(A264="","",IF(SUMPRODUCT(MAX((Randevular!$C$5:$C$1004=A264)*(Randevular!$E$5:$E$1004="Geldi")*Randevular!$A$5:$A$1004))=0,"",SUMPRODUCT(MAX((Randevular!$C$5:$C$1004=A264)*(Randevular!$E$5:$E$1004="Geldi")*Randevular!$A$5:$A$1004))))</f>
        <v/>
      </c>
      <c r="H264" s="21" t="str">
        <f aca="false">IF(A264="","",F264+ROW()/1000000)</f>
        <v/>
      </c>
    </row>
    <row r="265" customFormat="false" ht="15" hidden="false" customHeight="false" outlineLevel="0" collapsed="false">
      <c r="A265" s="14"/>
      <c r="B265" s="40"/>
      <c r="C265" s="14"/>
      <c r="D265" s="35" t="str">
        <f aca="false">IF(A265="","",COUNTIFS(Randevular!$C$5:$C$1004,A265,Randevular!$E$5:$E$1004,"&lt;&gt;İptal"))</f>
        <v/>
      </c>
      <c r="E265" s="35" t="str">
        <f aca="false">IF(A265="","",COUNTIFS(Randevular!$C$5:$C$1004,A265,Randevular!$E$5:$E$1004,"Gelmedi"))</f>
        <v/>
      </c>
      <c r="F265" s="17" t="str">
        <f aca="false">IF(A265="","",SUMIFS(Randevular!$G$5:$G$1004,Randevular!$C$5:$C$1004,A265))</f>
        <v/>
      </c>
      <c r="G265" s="41" t="str">
        <f aca="false">IF(A265="","",IF(SUMPRODUCT(MAX((Randevular!$C$5:$C$1004=A265)*(Randevular!$E$5:$E$1004="Geldi")*Randevular!$A$5:$A$1004))=0,"",SUMPRODUCT(MAX((Randevular!$C$5:$C$1004=A265)*(Randevular!$E$5:$E$1004="Geldi")*Randevular!$A$5:$A$1004))))</f>
        <v/>
      </c>
      <c r="H265" s="21" t="str">
        <f aca="false">IF(A265="","",F265+ROW()/1000000)</f>
        <v/>
      </c>
    </row>
    <row r="266" customFormat="false" ht="15" hidden="false" customHeight="false" outlineLevel="0" collapsed="false">
      <c r="A266" s="14"/>
      <c r="B266" s="40"/>
      <c r="C266" s="14"/>
      <c r="D266" s="35" t="str">
        <f aca="false">IF(A266="","",COUNTIFS(Randevular!$C$5:$C$1004,A266,Randevular!$E$5:$E$1004,"&lt;&gt;İptal"))</f>
        <v/>
      </c>
      <c r="E266" s="35" t="str">
        <f aca="false">IF(A266="","",COUNTIFS(Randevular!$C$5:$C$1004,A266,Randevular!$E$5:$E$1004,"Gelmedi"))</f>
        <v/>
      </c>
      <c r="F266" s="17" t="str">
        <f aca="false">IF(A266="","",SUMIFS(Randevular!$G$5:$G$1004,Randevular!$C$5:$C$1004,A266))</f>
        <v/>
      </c>
      <c r="G266" s="41" t="str">
        <f aca="false">IF(A266="","",IF(SUMPRODUCT(MAX((Randevular!$C$5:$C$1004=A266)*(Randevular!$E$5:$E$1004="Geldi")*Randevular!$A$5:$A$1004))=0,"",SUMPRODUCT(MAX((Randevular!$C$5:$C$1004=A266)*(Randevular!$E$5:$E$1004="Geldi")*Randevular!$A$5:$A$1004))))</f>
        <v/>
      </c>
      <c r="H266" s="21" t="str">
        <f aca="false">IF(A266="","",F266+ROW()/1000000)</f>
        <v/>
      </c>
    </row>
    <row r="267" customFormat="false" ht="15" hidden="false" customHeight="false" outlineLevel="0" collapsed="false">
      <c r="A267" s="14"/>
      <c r="B267" s="40"/>
      <c r="C267" s="14"/>
      <c r="D267" s="35" t="str">
        <f aca="false">IF(A267="","",COUNTIFS(Randevular!$C$5:$C$1004,A267,Randevular!$E$5:$E$1004,"&lt;&gt;İptal"))</f>
        <v/>
      </c>
      <c r="E267" s="35" t="str">
        <f aca="false">IF(A267="","",COUNTIFS(Randevular!$C$5:$C$1004,A267,Randevular!$E$5:$E$1004,"Gelmedi"))</f>
        <v/>
      </c>
      <c r="F267" s="17" t="str">
        <f aca="false">IF(A267="","",SUMIFS(Randevular!$G$5:$G$1004,Randevular!$C$5:$C$1004,A267))</f>
        <v/>
      </c>
      <c r="G267" s="41" t="str">
        <f aca="false">IF(A267="","",IF(SUMPRODUCT(MAX((Randevular!$C$5:$C$1004=A267)*(Randevular!$E$5:$E$1004="Geldi")*Randevular!$A$5:$A$1004))=0,"",SUMPRODUCT(MAX((Randevular!$C$5:$C$1004=A267)*(Randevular!$E$5:$E$1004="Geldi")*Randevular!$A$5:$A$1004))))</f>
        <v/>
      </c>
      <c r="H267" s="21" t="str">
        <f aca="false">IF(A267="","",F267+ROW()/1000000)</f>
        <v/>
      </c>
    </row>
    <row r="268" customFormat="false" ht="15" hidden="false" customHeight="false" outlineLevel="0" collapsed="false">
      <c r="A268" s="14"/>
      <c r="B268" s="40"/>
      <c r="C268" s="14"/>
      <c r="D268" s="35" t="str">
        <f aca="false">IF(A268="","",COUNTIFS(Randevular!$C$5:$C$1004,A268,Randevular!$E$5:$E$1004,"&lt;&gt;İptal"))</f>
        <v/>
      </c>
      <c r="E268" s="35" t="str">
        <f aca="false">IF(A268="","",COUNTIFS(Randevular!$C$5:$C$1004,A268,Randevular!$E$5:$E$1004,"Gelmedi"))</f>
        <v/>
      </c>
      <c r="F268" s="17" t="str">
        <f aca="false">IF(A268="","",SUMIFS(Randevular!$G$5:$G$1004,Randevular!$C$5:$C$1004,A268))</f>
        <v/>
      </c>
      <c r="G268" s="41" t="str">
        <f aca="false">IF(A268="","",IF(SUMPRODUCT(MAX((Randevular!$C$5:$C$1004=A268)*(Randevular!$E$5:$E$1004="Geldi")*Randevular!$A$5:$A$1004))=0,"",SUMPRODUCT(MAX((Randevular!$C$5:$C$1004=A268)*(Randevular!$E$5:$E$1004="Geldi")*Randevular!$A$5:$A$1004))))</f>
        <v/>
      </c>
      <c r="H268" s="21" t="str">
        <f aca="false">IF(A268="","",F268+ROW()/1000000)</f>
        <v/>
      </c>
    </row>
    <row r="269" customFormat="false" ht="15" hidden="false" customHeight="false" outlineLevel="0" collapsed="false">
      <c r="A269" s="14"/>
      <c r="B269" s="40"/>
      <c r="C269" s="14"/>
      <c r="D269" s="35" t="str">
        <f aca="false">IF(A269="","",COUNTIFS(Randevular!$C$5:$C$1004,A269,Randevular!$E$5:$E$1004,"&lt;&gt;İptal"))</f>
        <v/>
      </c>
      <c r="E269" s="35" t="str">
        <f aca="false">IF(A269="","",COUNTIFS(Randevular!$C$5:$C$1004,A269,Randevular!$E$5:$E$1004,"Gelmedi"))</f>
        <v/>
      </c>
      <c r="F269" s="17" t="str">
        <f aca="false">IF(A269="","",SUMIFS(Randevular!$G$5:$G$1004,Randevular!$C$5:$C$1004,A269))</f>
        <v/>
      </c>
      <c r="G269" s="41" t="str">
        <f aca="false">IF(A269="","",IF(SUMPRODUCT(MAX((Randevular!$C$5:$C$1004=A269)*(Randevular!$E$5:$E$1004="Geldi")*Randevular!$A$5:$A$1004))=0,"",SUMPRODUCT(MAX((Randevular!$C$5:$C$1004=A269)*(Randevular!$E$5:$E$1004="Geldi")*Randevular!$A$5:$A$1004))))</f>
        <v/>
      </c>
      <c r="H269" s="21" t="str">
        <f aca="false">IF(A269="","",F269+ROW()/1000000)</f>
        <v/>
      </c>
    </row>
    <row r="270" customFormat="false" ht="15" hidden="false" customHeight="false" outlineLevel="0" collapsed="false">
      <c r="A270" s="14"/>
      <c r="B270" s="40"/>
      <c r="C270" s="14"/>
      <c r="D270" s="35" t="str">
        <f aca="false">IF(A270="","",COUNTIFS(Randevular!$C$5:$C$1004,A270,Randevular!$E$5:$E$1004,"&lt;&gt;İptal"))</f>
        <v/>
      </c>
      <c r="E270" s="35" t="str">
        <f aca="false">IF(A270="","",COUNTIFS(Randevular!$C$5:$C$1004,A270,Randevular!$E$5:$E$1004,"Gelmedi"))</f>
        <v/>
      </c>
      <c r="F270" s="17" t="str">
        <f aca="false">IF(A270="","",SUMIFS(Randevular!$G$5:$G$1004,Randevular!$C$5:$C$1004,A270))</f>
        <v/>
      </c>
      <c r="G270" s="41" t="str">
        <f aca="false">IF(A270="","",IF(SUMPRODUCT(MAX((Randevular!$C$5:$C$1004=A270)*(Randevular!$E$5:$E$1004="Geldi")*Randevular!$A$5:$A$1004))=0,"",SUMPRODUCT(MAX((Randevular!$C$5:$C$1004=A270)*(Randevular!$E$5:$E$1004="Geldi")*Randevular!$A$5:$A$1004))))</f>
        <v/>
      </c>
      <c r="H270" s="21" t="str">
        <f aca="false">IF(A270="","",F270+ROW()/1000000)</f>
        <v/>
      </c>
    </row>
    <row r="271" customFormat="false" ht="15" hidden="false" customHeight="false" outlineLevel="0" collapsed="false">
      <c r="A271" s="14"/>
      <c r="B271" s="40"/>
      <c r="C271" s="14"/>
      <c r="D271" s="35" t="str">
        <f aca="false">IF(A271="","",COUNTIFS(Randevular!$C$5:$C$1004,A271,Randevular!$E$5:$E$1004,"&lt;&gt;İptal"))</f>
        <v/>
      </c>
      <c r="E271" s="35" t="str">
        <f aca="false">IF(A271="","",COUNTIFS(Randevular!$C$5:$C$1004,A271,Randevular!$E$5:$E$1004,"Gelmedi"))</f>
        <v/>
      </c>
      <c r="F271" s="17" t="str">
        <f aca="false">IF(A271="","",SUMIFS(Randevular!$G$5:$G$1004,Randevular!$C$5:$C$1004,A271))</f>
        <v/>
      </c>
      <c r="G271" s="41" t="str">
        <f aca="false">IF(A271="","",IF(SUMPRODUCT(MAX((Randevular!$C$5:$C$1004=A271)*(Randevular!$E$5:$E$1004="Geldi")*Randevular!$A$5:$A$1004))=0,"",SUMPRODUCT(MAX((Randevular!$C$5:$C$1004=A271)*(Randevular!$E$5:$E$1004="Geldi")*Randevular!$A$5:$A$1004))))</f>
        <v/>
      </c>
      <c r="H271" s="21" t="str">
        <f aca="false">IF(A271="","",F271+ROW()/1000000)</f>
        <v/>
      </c>
    </row>
    <row r="272" customFormat="false" ht="15" hidden="false" customHeight="false" outlineLevel="0" collapsed="false">
      <c r="A272" s="14"/>
      <c r="B272" s="40"/>
      <c r="C272" s="14"/>
      <c r="D272" s="35" t="str">
        <f aca="false">IF(A272="","",COUNTIFS(Randevular!$C$5:$C$1004,A272,Randevular!$E$5:$E$1004,"&lt;&gt;İptal"))</f>
        <v/>
      </c>
      <c r="E272" s="35" t="str">
        <f aca="false">IF(A272="","",COUNTIFS(Randevular!$C$5:$C$1004,A272,Randevular!$E$5:$E$1004,"Gelmedi"))</f>
        <v/>
      </c>
      <c r="F272" s="17" t="str">
        <f aca="false">IF(A272="","",SUMIFS(Randevular!$G$5:$G$1004,Randevular!$C$5:$C$1004,A272))</f>
        <v/>
      </c>
      <c r="G272" s="41" t="str">
        <f aca="false">IF(A272="","",IF(SUMPRODUCT(MAX((Randevular!$C$5:$C$1004=A272)*(Randevular!$E$5:$E$1004="Geldi")*Randevular!$A$5:$A$1004))=0,"",SUMPRODUCT(MAX((Randevular!$C$5:$C$1004=A272)*(Randevular!$E$5:$E$1004="Geldi")*Randevular!$A$5:$A$1004))))</f>
        <v/>
      </c>
      <c r="H272" s="21" t="str">
        <f aca="false">IF(A272="","",F272+ROW()/1000000)</f>
        <v/>
      </c>
    </row>
    <row r="273" customFormat="false" ht="15" hidden="false" customHeight="false" outlineLevel="0" collapsed="false">
      <c r="A273" s="14"/>
      <c r="B273" s="40"/>
      <c r="C273" s="14"/>
      <c r="D273" s="35" t="str">
        <f aca="false">IF(A273="","",COUNTIFS(Randevular!$C$5:$C$1004,A273,Randevular!$E$5:$E$1004,"&lt;&gt;İptal"))</f>
        <v/>
      </c>
      <c r="E273" s="35" t="str">
        <f aca="false">IF(A273="","",COUNTIFS(Randevular!$C$5:$C$1004,A273,Randevular!$E$5:$E$1004,"Gelmedi"))</f>
        <v/>
      </c>
      <c r="F273" s="17" t="str">
        <f aca="false">IF(A273="","",SUMIFS(Randevular!$G$5:$G$1004,Randevular!$C$5:$C$1004,A273))</f>
        <v/>
      </c>
      <c r="G273" s="41" t="str">
        <f aca="false">IF(A273="","",IF(SUMPRODUCT(MAX((Randevular!$C$5:$C$1004=A273)*(Randevular!$E$5:$E$1004="Geldi")*Randevular!$A$5:$A$1004))=0,"",SUMPRODUCT(MAX((Randevular!$C$5:$C$1004=A273)*(Randevular!$E$5:$E$1004="Geldi")*Randevular!$A$5:$A$1004))))</f>
        <v/>
      </c>
      <c r="H273" s="21" t="str">
        <f aca="false">IF(A273="","",F273+ROW()/1000000)</f>
        <v/>
      </c>
    </row>
    <row r="274" customFormat="false" ht="15" hidden="false" customHeight="false" outlineLevel="0" collapsed="false">
      <c r="A274" s="14"/>
      <c r="B274" s="40"/>
      <c r="C274" s="14"/>
      <c r="D274" s="35" t="str">
        <f aca="false">IF(A274="","",COUNTIFS(Randevular!$C$5:$C$1004,A274,Randevular!$E$5:$E$1004,"&lt;&gt;İptal"))</f>
        <v/>
      </c>
      <c r="E274" s="35" t="str">
        <f aca="false">IF(A274="","",COUNTIFS(Randevular!$C$5:$C$1004,A274,Randevular!$E$5:$E$1004,"Gelmedi"))</f>
        <v/>
      </c>
      <c r="F274" s="17" t="str">
        <f aca="false">IF(A274="","",SUMIFS(Randevular!$G$5:$G$1004,Randevular!$C$5:$C$1004,A274))</f>
        <v/>
      </c>
      <c r="G274" s="41" t="str">
        <f aca="false">IF(A274="","",IF(SUMPRODUCT(MAX((Randevular!$C$5:$C$1004=A274)*(Randevular!$E$5:$E$1004="Geldi")*Randevular!$A$5:$A$1004))=0,"",SUMPRODUCT(MAX((Randevular!$C$5:$C$1004=A274)*(Randevular!$E$5:$E$1004="Geldi")*Randevular!$A$5:$A$1004))))</f>
        <v/>
      </c>
      <c r="H274" s="21" t="str">
        <f aca="false">IF(A274="","",F274+ROW()/1000000)</f>
        <v/>
      </c>
    </row>
    <row r="275" customFormat="false" ht="15" hidden="false" customHeight="false" outlineLevel="0" collapsed="false">
      <c r="A275" s="14"/>
      <c r="B275" s="40"/>
      <c r="C275" s="14"/>
      <c r="D275" s="35" t="str">
        <f aca="false">IF(A275="","",COUNTIFS(Randevular!$C$5:$C$1004,A275,Randevular!$E$5:$E$1004,"&lt;&gt;İptal"))</f>
        <v/>
      </c>
      <c r="E275" s="35" t="str">
        <f aca="false">IF(A275="","",COUNTIFS(Randevular!$C$5:$C$1004,A275,Randevular!$E$5:$E$1004,"Gelmedi"))</f>
        <v/>
      </c>
      <c r="F275" s="17" t="str">
        <f aca="false">IF(A275="","",SUMIFS(Randevular!$G$5:$G$1004,Randevular!$C$5:$C$1004,A275))</f>
        <v/>
      </c>
      <c r="G275" s="41" t="str">
        <f aca="false">IF(A275="","",IF(SUMPRODUCT(MAX((Randevular!$C$5:$C$1004=A275)*(Randevular!$E$5:$E$1004="Geldi")*Randevular!$A$5:$A$1004))=0,"",SUMPRODUCT(MAX((Randevular!$C$5:$C$1004=A275)*(Randevular!$E$5:$E$1004="Geldi")*Randevular!$A$5:$A$1004))))</f>
        <v/>
      </c>
      <c r="H275" s="21" t="str">
        <f aca="false">IF(A275="","",F275+ROW()/1000000)</f>
        <v/>
      </c>
    </row>
    <row r="276" customFormat="false" ht="15" hidden="false" customHeight="false" outlineLevel="0" collapsed="false">
      <c r="A276" s="14"/>
      <c r="B276" s="40"/>
      <c r="C276" s="14"/>
      <c r="D276" s="35" t="str">
        <f aca="false">IF(A276="","",COUNTIFS(Randevular!$C$5:$C$1004,A276,Randevular!$E$5:$E$1004,"&lt;&gt;İptal"))</f>
        <v/>
      </c>
      <c r="E276" s="35" t="str">
        <f aca="false">IF(A276="","",COUNTIFS(Randevular!$C$5:$C$1004,A276,Randevular!$E$5:$E$1004,"Gelmedi"))</f>
        <v/>
      </c>
      <c r="F276" s="17" t="str">
        <f aca="false">IF(A276="","",SUMIFS(Randevular!$G$5:$G$1004,Randevular!$C$5:$C$1004,A276))</f>
        <v/>
      </c>
      <c r="G276" s="41" t="str">
        <f aca="false">IF(A276="","",IF(SUMPRODUCT(MAX((Randevular!$C$5:$C$1004=A276)*(Randevular!$E$5:$E$1004="Geldi")*Randevular!$A$5:$A$1004))=0,"",SUMPRODUCT(MAX((Randevular!$C$5:$C$1004=A276)*(Randevular!$E$5:$E$1004="Geldi")*Randevular!$A$5:$A$1004))))</f>
        <v/>
      </c>
      <c r="H276" s="21" t="str">
        <f aca="false">IF(A276="","",F276+ROW()/1000000)</f>
        <v/>
      </c>
    </row>
    <row r="277" customFormat="false" ht="15" hidden="false" customHeight="false" outlineLevel="0" collapsed="false">
      <c r="A277" s="14"/>
      <c r="B277" s="40"/>
      <c r="C277" s="14"/>
      <c r="D277" s="35" t="str">
        <f aca="false">IF(A277="","",COUNTIFS(Randevular!$C$5:$C$1004,A277,Randevular!$E$5:$E$1004,"&lt;&gt;İptal"))</f>
        <v/>
      </c>
      <c r="E277" s="35" t="str">
        <f aca="false">IF(A277="","",COUNTIFS(Randevular!$C$5:$C$1004,A277,Randevular!$E$5:$E$1004,"Gelmedi"))</f>
        <v/>
      </c>
      <c r="F277" s="17" t="str">
        <f aca="false">IF(A277="","",SUMIFS(Randevular!$G$5:$G$1004,Randevular!$C$5:$C$1004,A277))</f>
        <v/>
      </c>
      <c r="G277" s="41" t="str">
        <f aca="false">IF(A277="","",IF(SUMPRODUCT(MAX((Randevular!$C$5:$C$1004=A277)*(Randevular!$E$5:$E$1004="Geldi")*Randevular!$A$5:$A$1004))=0,"",SUMPRODUCT(MAX((Randevular!$C$5:$C$1004=A277)*(Randevular!$E$5:$E$1004="Geldi")*Randevular!$A$5:$A$1004))))</f>
        <v/>
      </c>
      <c r="H277" s="21" t="str">
        <f aca="false">IF(A277="","",F277+ROW()/1000000)</f>
        <v/>
      </c>
    </row>
    <row r="278" customFormat="false" ht="15" hidden="false" customHeight="false" outlineLevel="0" collapsed="false">
      <c r="A278" s="14"/>
      <c r="B278" s="40"/>
      <c r="C278" s="14"/>
      <c r="D278" s="35" t="str">
        <f aca="false">IF(A278="","",COUNTIFS(Randevular!$C$5:$C$1004,A278,Randevular!$E$5:$E$1004,"&lt;&gt;İptal"))</f>
        <v/>
      </c>
      <c r="E278" s="35" t="str">
        <f aca="false">IF(A278="","",COUNTIFS(Randevular!$C$5:$C$1004,A278,Randevular!$E$5:$E$1004,"Gelmedi"))</f>
        <v/>
      </c>
      <c r="F278" s="17" t="str">
        <f aca="false">IF(A278="","",SUMIFS(Randevular!$G$5:$G$1004,Randevular!$C$5:$C$1004,A278))</f>
        <v/>
      </c>
      <c r="G278" s="41" t="str">
        <f aca="false">IF(A278="","",IF(SUMPRODUCT(MAX((Randevular!$C$5:$C$1004=A278)*(Randevular!$E$5:$E$1004="Geldi")*Randevular!$A$5:$A$1004))=0,"",SUMPRODUCT(MAX((Randevular!$C$5:$C$1004=A278)*(Randevular!$E$5:$E$1004="Geldi")*Randevular!$A$5:$A$1004))))</f>
        <v/>
      </c>
      <c r="H278" s="21" t="str">
        <f aca="false">IF(A278="","",F278+ROW()/1000000)</f>
        <v/>
      </c>
    </row>
    <row r="279" customFormat="false" ht="15" hidden="false" customHeight="false" outlineLevel="0" collapsed="false">
      <c r="A279" s="14"/>
      <c r="B279" s="40"/>
      <c r="C279" s="14"/>
      <c r="D279" s="35" t="str">
        <f aca="false">IF(A279="","",COUNTIFS(Randevular!$C$5:$C$1004,A279,Randevular!$E$5:$E$1004,"&lt;&gt;İptal"))</f>
        <v/>
      </c>
      <c r="E279" s="35" t="str">
        <f aca="false">IF(A279="","",COUNTIFS(Randevular!$C$5:$C$1004,A279,Randevular!$E$5:$E$1004,"Gelmedi"))</f>
        <v/>
      </c>
      <c r="F279" s="17" t="str">
        <f aca="false">IF(A279="","",SUMIFS(Randevular!$G$5:$G$1004,Randevular!$C$5:$C$1004,A279))</f>
        <v/>
      </c>
      <c r="G279" s="41" t="str">
        <f aca="false">IF(A279="","",IF(SUMPRODUCT(MAX((Randevular!$C$5:$C$1004=A279)*(Randevular!$E$5:$E$1004="Geldi")*Randevular!$A$5:$A$1004))=0,"",SUMPRODUCT(MAX((Randevular!$C$5:$C$1004=A279)*(Randevular!$E$5:$E$1004="Geldi")*Randevular!$A$5:$A$1004))))</f>
        <v/>
      </c>
      <c r="H279" s="21" t="str">
        <f aca="false">IF(A279="","",F279+ROW()/1000000)</f>
        <v/>
      </c>
    </row>
    <row r="280" customFormat="false" ht="15" hidden="false" customHeight="false" outlineLevel="0" collapsed="false">
      <c r="A280" s="14"/>
      <c r="B280" s="40"/>
      <c r="C280" s="14"/>
      <c r="D280" s="35" t="str">
        <f aca="false">IF(A280="","",COUNTIFS(Randevular!$C$5:$C$1004,A280,Randevular!$E$5:$E$1004,"&lt;&gt;İptal"))</f>
        <v/>
      </c>
      <c r="E280" s="35" t="str">
        <f aca="false">IF(A280="","",COUNTIFS(Randevular!$C$5:$C$1004,A280,Randevular!$E$5:$E$1004,"Gelmedi"))</f>
        <v/>
      </c>
      <c r="F280" s="17" t="str">
        <f aca="false">IF(A280="","",SUMIFS(Randevular!$G$5:$G$1004,Randevular!$C$5:$C$1004,A280))</f>
        <v/>
      </c>
      <c r="G280" s="41" t="str">
        <f aca="false">IF(A280="","",IF(SUMPRODUCT(MAX((Randevular!$C$5:$C$1004=A280)*(Randevular!$E$5:$E$1004="Geldi")*Randevular!$A$5:$A$1004))=0,"",SUMPRODUCT(MAX((Randevular!$C$5:$C$1004=A280)*(Randevular!$E$5:$E$1004="Geldi")*Randevular!$A$5:$A$1004))))</f>
        <v/>
      </c>
      <c r="H280" s="21" t="str">
        <f aca="false">IF(A280="","",F280+ROW()/1000000)</f>
        <v/>
      </c>
    </row>
    <row r="281" customFormat="false" ht="15" hidden="false" customHeight="false" outlineLevel="0" collapsed="false">
      <c r="A281" s="14"/>
      <c r="B281" s="40"/>
      <c r="C281" s="14"/>
      <c r="D281" s="35" t="str">
        <f aca="false">IF(A281="","",COUNTIFS(Randevular!$C$5:$C$1004,A281,Randevular!$E$5:$E$1004,"&lt;&gt;İptal"))</f>
        <v/>
      </c>
      <c r="E281" s="35" t="str">
        <f aca="false">IF(A281="","",COUNTIFS(Randevular!$C$5:$C$1004,A281,Randevular!$E$5:$E$1004,"Gelmedi"))</f>
        <v/>
      </c>
      <c r="F281" s="17" t="str">
        <f aca="false">IF(A281="","",SUMIFS(Randevular!$G$5:$G$1004,Randevular!$C$5:$C$1004,A281))</f>
        <v/>
      </c>
      <c r="G281" s="41" t="str">
        <f aca="false">IF(A281="","",IF(SUMPRODUCT(MAX((Randevular!$C$5:$C$1004=A281)*(Randevular!$E$5:$E$1004="Geldi")*Randevular!$A$5:$A$1004))=0,"",SUMPRODUCT(MAX((Randevular!$C$5:$C$1004=A281)*(Randevular!$E$5:$E$1004="Geldi")*Randevular!$A$5:$A$1004))))</f>
        <v/>
      </c>
      <c r="H281" s="21" t="str">
        <f aca="false">IF(A281="","",F281+ROW()/1000000)</f>
        <v/>
      </c>
    </row>
    <row r="282" customFormat="false" ht="15" hidden="false" customHeight="false" outlineLevel="0" collapsed="false">
      <c r="A282" s="14"/>
      <c r="B282" s="40"/>
      <c r="C282" s="14"/>
      <c r="D282" s="35" t="str">
        <f aca="false">IF(A282="","",COUNTIFS(Randevular!$C$5:$C$1004,A282,Randevular!$E$5:$E$1004,"&lt;&gt;İptal"))</f>
        <v/>
      </c>
      <c r="E282" s="35" t="str">
        <f aca="false">IF(A282="","",COUNTIFS(Randevular!$C$5:$C$1004,A282,Randevular!$E$5:$E$1004,"Gelmedi"))</f>
        <v/>
      </c>
      <c r="F282" s="17" t="str">
        <f aca="false">IF(A282="","",SUMIFS(Randevular!$G$5:$G$1004,Randevular!$C$5:$C$1004,A282))</f>
        <v/>
      </c>
      <c r="G282" s="41" t="str">
        <f aca="false">IF(A282="","",IF(SUMPRODUCT(MAX((Randevular!$C$5:$C$1004=A282)*(Randevular!$E$5:$E$1004="Geldi")*Randevular!$A$5:$A$1004))=0,"",SUMPRODUCT(MAX((Randevular!$C$5:$C$1004=A282)*(Randevular!$E$5:$E$1004="Geldi")*Randevular!$A$5:$A$1004))))</f>
        <v/>
      </c>
      <c r="H282" s="21" t="str">
        <f aca="false">IF(A282="","",F282+ROW()/1000000)</f>
        <v/>
      </c>
    </row>
    <row r="283" customFormat="false" ht="15" hidden="false" customHeight="false" outlineLevel="0" collapsed="false">
      <c r="A283" s="14"/>
      <c r="B283" s="40"/>
      <c r="C283" s="14"/>
      <c r="D283" s="35" t="str">
        <f aca="false">IF(A283="","",COUNTIFS(Randevular!$C$5:$C$1004,A283,Randevular!$E$5:$E$1004,"&lt;&gt;İptal"))</f>
        <v/>
      </c>
      <c r="E283" s="35" t="str">
        <f aca="false">IF(A283="","",COUNTIFS(Randevular!$C$5:$C$1004,A283,Randevular!$E$5:$E$1004,"Gelmedi"))</f>
        <v/>
      </c>
      <c r="F283" s="17" t="str">
        <f aca="false">IF(A283="","",SUMIFS(Randevular!$G$5:$G$1004,Randevular!$C$5:$C$1004,A283))</f>
        <v/>
      </c>
      <c r="G283" s="41" t="str">
        <f aca="false">IF(A283="","",IF(SUMPRODUCT(MAX((Randevular!$C$5:$C$1004=A283)*(Randevular!$E$5:$E$1004="Geldi")*Randevular!$A$5:$A$1004))=0,"",SUMPRODUCT(MAX((Randevular!$C$5:$C$1004=A283)*(Randevular!$E$5:$E$1004="Geldi")*Randevular!$A$5:$A$1004))))</f>
        <v/>
      </c>
      <c r="H283" s="21" t="str">
        <f aca="false">IF(A283="","",F283+ROW()/1000000)</f>
        <v/>
      </c>
    </row>
    <row r="284" customFormat="false" ht="15" hidden="false" customHeight="false" outlineLevel="0" collapsed="false">
      <c r="A284" s="14"/>
      <c r="B284" s="40"/>
      <c r="C284" s="14"/>
      <c r="D284" s="35" t="str">
        <f aca="false">IF(A284="","",COUNTIFS(Randevular!$C$5:$C$1004,A284,Randevular!$E$5:$E$1004,"&lt;&gt;İptal"))</f>
        <v/>
      </c>
      <c r="E284" s="35" t="str">
        <f aca="false">IF(A284="","",COUNTIFS(Randevular!$C$5:$C$1004,A284,Randevular!$E$5:$E$1004,"Gelmedi"))</f>
        <v/>
      </c>
      <c r="F284" s="17" t="str">
        <f aca="false">IF(A284="","",SUMIFS(Randevular!$G$5:$G$1004,Randevular!$C$5:$C$1004,A284))</f>
        <v/>
      </c>
      <c r="G284" s="41" t="str">
        <f aca="false">IF(A284="","",IF(SUMPRODUCT(MAX((Randevular!$C$5:$C$1004=A284)*(Randevular!$E$5:$E$1004="Geldi")*Randevular!$A$5:$A$1004))=0,"",SUMPRODUCT(MAX((Randevular!$C$5:$C$1004=A284)*(Randevular!$E$5:$E$1004="Geldi")*Randevular!$A$5:$A$1004))))</f>
        <v/>
      </c>
      <c r="H284" s="21" t="str">
        <f aca="false">IF(A284="","",F284+ROW()/1000000)</f>
        <v/>
      </c>
    </row>
    <row r="285" customFormat="false" ht="15" hidden="false" customHeight="false" outlineLevel="0" collapsed="false">
      <c r="A285" s="14"/>
      <c r="B285" s="40"/>
      <c r="C285" s="14"/>
      <c r="D285" s="35" t="str">
        <f aca="false">IF(A285="","",COUNTIFS(Randevular!$C$5:$C$1004,A285,Randevular!$E$5:$E$1004,"&lt;&gt;İptal"))</f>
        <v/>
      </c>
      <c r="E285" s="35" t="str">
        <f aca="false">IF(A285="","",COUNTIFS(Randevular!$C$5:$C$1004,A285,Randevular!$E$5:$E$1004,"Gelmedi"))</f>
        <v/>
      </c>
      <c r="F285" s="17" t="str">
        <f aca="false">IF(A285="","",SUMIFS(Randevular!$G$5:$G$1004,Randevular!$C$5:$C$1004,A285))</f>
        <v/>
      </c>
      <c r="G285" s="41" t="str">
        <f aca="false">IF(A285="","",IF(SUMPRODUCT(MAX((Randevular!$C$5:$C$1004=A285)*(Randevular!$E$5:$E$1004="Geldi")*Randevular!$A$5:$A$1004))=0,"",SUMPRODUCT(MAX((Randevular!$C$5:$C$1004=A285)*(Randevular!$E$5:$E$1004="Geldi")*Randevular!$A$5:$A$1004))))</f>
        <v/>
      </c>
      <c r="H285" s="21" t="str">
        <f aca="false">IF(A285="","",F285+ROW()/1000000)</f>
        <v/>
      </c>
    </row>
    <row r="286" customFormat="false" ht="15" hidden="false" customHeight="false" outlineLevel="0" collapsed="false">
      <c r="A286" s="14"/>
      <c r="B286" s="40"/>
      <c r="C286" s="14"/>
      <c r="D286" s="35" t="str">
        <f aca="false">IF(A286="","",COUNTIFS(Randevular!$C$5:$C$1004,A286,Randevular!$E$5:$E$1004,"&lt;&gt;İptal"))</f>
        <v/>
      </c>
      <c r="E286" s="35" t="str">
        <f aca="false">IF(A286="","",COUNTIFS(Randevular!$C$5:$C$1004,A286,Randevular!$E$5:$E$1004,"Gelmedi"))</f>
        <v/>
      </c>
      <c r="F286" s="17" t="str">
        <f aca="false">IF(A286="","",SUMIFS(Randevular!$G$5:$G$1004,Randevular!$C$5:$C$1004,A286))</f>
        <v/>
      </c>
      <c r="G286" s="41" t="str">
        <f aca="false">IF(A286="","",IF(SUMPRODUCT(MAX((Randevular!$C$5:$C$1004=A286)*(Randevular!$E$5:$E$1004="Geldi")*Randevular!$A$5:$A$1004))=0,"",SUMPRODUCT(MAX((Randevular!$C$5:$C$1004=A286)*(Randevular!$E$5:$E$1004="Geldi")*Randevular!$A$5:$A$1004))))</f>
        <v/>
      </c>
      <c r="H286" s="21" t="str">
        <f aca="false">IF(A286="","",F286+ROW()/1000000)</f>
        <v/>
      </c>
    </row>
    <row r="287" customFormat="false" ht="15" hidden="false" customHeight="false" outlineLevel="0" collapsed="false">
      <c r="A287" s="14"/>
      <c r="B287" s="40"/>
      <c r="C287" s="14"/>
      <c r="D287" s="35" t="str">
        <f aca="false">IF(A287="","",COUNTIFS(Randevular!$C$5:$C$1004,A287,Randevular!$E$5:$E$1004,"&lt;&gt;İptal"))</f>
        <v/>
      </c>
      <c r="E287" s="35" t="str">
        <f aca="false">IF(A287="","",COUNTIFS(Randevular!$C$5:$C$1004,A287,Randevular!$E$5:$E$1004,"Gelmedi"))</f>
        <v/>
      </c>
      <c r="F287" s="17" t="str">
        <f aca="false">IF(A287="","",SUMIFS(Randevular!$G$5:$G$1004,Randevular!$C$5:$C$1004,A287))</f>
        <v/>
      </c>
      <c r="G287" s="41" t="str">
        <f aca="false">IF(A287="","",IF(SUMPRODUCT(MAX((Randevular!$C$5:$C$1004=A287)*(Randevular!$E$5:$E$1004="Geldi")*Randevular!$A$5:$A$1004))=0,"",SUMPRODUCT(MAX((Randevular!$C$5:$C$1004=A287)*(Randevular!$E$5:$E$1004="Geldi")*Randevular!$A$5:$A$1004))))</f>
        <v/>
      </c>
      <c r="H287" s="21" t="str">
        <f aca="false">IF(A287="","",F287+ROW()/1000000)</f>
        <v/>
      </c>
    </row>
    <row r="288" customFormat="false" ht="15" hidden="false" customHeight="false" outlineLevel="0" collapsed="false">
      <c r="A288" s="14"/>
      <c r="B288" s="40"/>
      <c r="C288" s="14"/>
      <c r="D288" s="35" t="str">
        <f aca="false">IF(A288="","",COUNTIFS(Randevular!$C$5:$C$1004,A288,Randevular!$E$5:$E$1004,"&lt;&gt;İptal"))</f>
        <v/>
      </c>
      <c r="E288" s="35" t="str">
        <f aca="false">IF(A288="","",COUNTIFS(Randevular!$C$5:$C$1004,A288,Randevular!$E$5:$E$1004,"Gelmedi"))</f>
        <v/>
      </c>
      <c r="F288" s="17" t="str">
        <f aca="false">IF(A288="","",SUMIFS(Randevular!$G$5:$G$1004,Randevular!$C$5:$C$1004,A288))</f>
        <v/>
      </c>
      <c r="G288" s="41" t="str">
        <f aca="false">IF(A288="","",IF(SUMPRODUCT(MAX((Randevular!$C$5:$C$1004=A288)*(Randevular!$E$5:$E$1004="Geldi")*Randevular!$A$5:$A$1004))=0,"",SUMPRODUCT(MAX((Randevular!$C$5:$C$1004=A288)*(Randevular!$E$5:$E$1004="Geldi")*Randevular!$A$5:$A$1004))))</f>
        <v/>
      </c>
      <c r="H288" s="21" t="str">
        <f aca="false">IF(A288="","",F288+ROW()/1000000)</f>
        <v/>
      </c>
    </row>
    <row r="289" customFormat="false" ht="15" hidden="false" customHeight="false" outlineLevel="0" collapsed="false">
      <c r="A289" s="14"/>
      <c r="B289" s="40"/>
      <c r="C289" s="14"/>
      <c r="D289" s="35" t="str">
        <f aca="false">IF(A289="","",COUNTIFS(Randevular!$C$5:$C$1004,A289,Randevular!$E$5:$E$1004,"&lt;&gt;İptal"))</f>
        <v/>
      </c>
      <c r="E289" s="35" t="str">
        <f aca="false">IF(A289="","",COUNTIFS(Randevular!$C$5:$C$1004,A289,Randevular!$E$5:$E$1004,"Gelmedi"))</f>
        <v/>
      </c>
      <c r="F289" s="17" t="str">
        <f aca="false">IF(A289="","",SUMIFS(Randevular!$G$5:$G$1004,Randevular!$C$5:$C$1004,A289))</f>
        <v/>
      </c>
      <c r="G289" s="41" t="str">
        <f aca="false">IF(A289="","",IF(SUMPRODUCT(MAX((Randevular!$C$5:$C$1004=A289)*(Randevular!$E$5:$E$1004="Geldi")*Randevular!$A$5:$A$1004))=0,"",SUMPRODUCT(MAX((Randevular!$C$5:$C$1004=A289)*(Randevular!$E$5:$E$1004="Geldi")*Randevular!$A$5:$A$1004))))</f>
        <v/>
      </c>
      <c r="H289" s="21" t="str">
        <f aca="false">IF(A289="","",F289+ROW()/1000000)</f>
        <v/>
      </c>
    </row>
    <row r="290" customFormat="false" ht="15" hidden="false" customHeight="false" outlineLevel="0" collapsed="false">
      <c r="A290" s="14"/>
      <c r="B290" s="40"/>
      <c r="C290" s="14"/>
      <c r="D290" s="35" t="str">
        <f aca="false">IF(A290="","",COUNTIFS(Randevular!$C$5:$C$1004,A290,Randevular!$E$5:$E$1004,"&lt;&gt;İptal"))</f>
        <v/>
      </c>
      <c r="E290" s="35" t="str">
        <f aca="false">IF(A290="","",COUNTIFS(Randevular!$C$5:$C$1004,A290,Randevular!$E$5:$E$1004,"Gelmedi"))</f>
        <v/>
      </c>
      <c r="F290" s="17" t="str">
        <f aca="false">IF(A290="","",SUMIFS(Randevular!$G$5:$G$1004,Randevular!$C$5:$C$1004,A290))</f>
        <v/>
      </c>
      <c r="G290" s="41" t="str">
        <f aca="false">IF(A290="","",IF(SUMPRODUCT(MAX((Randevular!$C$5:$C$1004=A290)*(Randevular!$E$5:$E$1004="Geldi")*Randevular!$A$5:$A$1004))=0,"",SUMPRODUCT(MAX((Randevular!$C$5:$C$1004=A290)*(Randevular!$E$5:$E$1004="Geldi")*Randevular!$A$5:$A$1004))))</f>
        <v/>
      </c>
      <c r="H290" s="21" t="str">
        <f aca="false">IF(A290="","",F290+ROW()/1000000)</f>
        <v/>
      </c>
    </row>
    <row r="291" customFormat="false" ht="15" hidden="false" customHeight="false" outlineLevel="0" collapsed="false">
      <c r="A291" s="14"/>
      <c r="B291" s="40"/>
      <c r="C291" s="14"/>
      <c r="D291" s="35" t="str">
        <f aca="false">IF(A291="","",COUNTIFS(Randevular!$C$5:$C$1004,A291,Randevular!$E$5:$E$1004,"&lt;&gt;İptal"))</f>
        <v/>
      </c>
      <c r="E291" s="35" t="str">
        <f aca="false">IF(A291="","",COUNTIFS(Randevular!$C$5:$C$1004,A291,Randevular!$E$5:$E$1004,"Gelmedi"))</f>
        <v/>
      </c>
      <c r="F291" s="17" t="str">
        <f aca="false">IF(A291="","",SUMIFS(Randevular!$G$5:$G$1004,Randevular!$C$5:$C$1004,A291))</f>
        <v/>
      </c>
      <c r="G291" s="41" t="str">
        <f aca="false">IF(A291="","",IF(SUMPRODUCT(MAX((Randevular!$C$5:$C$1004=A291)*(Randevular!$E$5:$E$1004="Geldi")*Randevular!$A$5:$A$1004))=0,"",SUMPRODUCT(MAX((Randevular!$C$5:$C$1004=A291)*(Randevular!$E$5:$E$1004="Geldi")*Randevular!$A$5:$A$1004))))</f>
        <v/>
      </c>
      <c r="H291" s="21" t="str">
        <f aca="false">IF(A291="","",F291+ROW()/1000000)</f>
        <v/>
      </c>
    </row>
    <row r="292" customFormat="false" ht="15" hidden="false" customHeight="false" outlineLevel="0" collapsed="false">
      <c r="A292" s="14"/>
      <c r="B292" s="40"/>
      <c r="C292" s="14"/>
      <c r="D292" s="35" t="str">
        <f aca="false">IF(A292="","",COUNTIFS(Randevular!$C$5:$C$1004,A292,Randevular!$E$5:$E$1004,"&lt;&gt;İptal"))</f>
        <v/>
      </c>
      <c r="E292" s="35" t="str">
        <f aca="false">IF(A292="","",COUNTIFS(Randevular!$C$5:$C$1004,A292,Randevular!$E$5:$E$1004,"Gelmedi"))</f>
        <v/>
      </c>
      <c r="F292" s="17" t="str">
        <f aca="false">IF(A292="","",SUMIFS(Randevular!$G$5:$G$1004,Randevular!$C$5:$C$1004,A292))</f>
        <v/>
      </c>
      <c r="G292" s="41" t="str">
        <f aca="false">IF(A292="","",IF(SUMPRODUCT(MAX((Randevular!$C$5:$C$1004=A292)*(Randevular!$E$5:$E$1004="Geldi")*Randevular!$A$5:$A$1004))=0,"",SUMPRODUCT(MAX((Randevular!$C$5:$C$1004=A292)*(Randevular!$E$5:$E$1004="Geldi")*Randevular!$A$5:$A$1004))))</f>
        <v/>
      </c>
      <c r="H292" s="21" t="str">
        <f aca="false">IF(A292="","",F292+ROW()/1000000)</f>
        <v/>
      </c>
    </row>
    <row r="293" customFormat="false" ht="15" hidden="false" customHeight="false" outlineLevel="0" collapsed="false">
      <c r="A293" s="14"/>
      <c r="B293" s="40"/>
      <c r="C293" s="14"/>
      <c r="D293" s="35" t="str">
        <f aca="false">IF(A293="","",COUNTIFS(Randevular!$C$5:$C$1004,A293,Randevular!$E$5:$E$1004,"&lt;&gt;İptal"))</f>
        <v/>
      </c>
      <c r="E293" s="35" t="str">
        <f aca="false">IF(A293="","",COUNTIFS(Randevular!$C$5:$C$1004,A293,Randevular!$E$5:$E$1004,"Gelmedi"))</f>
        <v/>
      </c>
      <c r="F293" s="17" t="str">
        <f aca="false">IF(A293="","",SUMIFS(Randevular!$G$5:$G$1004,Randevular!$C$5:$C$1004,A293))</f>
        <v/>
      </c>
      <c r="G293" s="41" t="str">
        <f aca="false">IF(A293="","",IF(SUMPRODUCT(MAX((Randevular!$C$5:$C$1004=A293)*(Randevular!$E$5:$E$1004="Geldi")*Randevular!$A$5:$A$1004))=0,"",SUMPRODUCT(MAX((Randevular!$C$5:$C$1004=A293)*(Randevular!$E$5:$E$1004="Geldi")*Randevular!$A$5:$A$1004))))</f>
        <v/>
      </c>
      <c r="H293" s="21" t="str">
        <f aca="false">IF(A293="","",F293+ROW()/1000000)</f>
        <v/>
      </c>
    </row>
    <row r="294" customFormat="false" ht="15" hidden="false" customHeight="false" outlineLevel="0" collapsed="false">
      <c r="A294" s="14"/>
      <c r="B294" s="40"/>
      <c r="C294" s="14"/>
      <c r="D294" s="35" t="str">
        <f aca="false">IF(A294="","",COUNTIFS(Randevular!$C$5:$C$1004,A294,Randevular!$E$5:$E$1004,"&lt;&gt;İptal"))</f>
        <v/>
      </c>
      <c r="E294" s="35" t="str">
        <f aca="false">IF(A294="","",COUNTIFS(Randevular!$C$5:$C$1004,A294,Randevular!$E$5:$E$1004,"Gelmedi"))</f>
        <v/>
      </c>
      <c r="F294" s="17" t="str">
        <f aca="false">IF(A294="","",SUMIFS(Randevular!$G$5:$G$1004,Randevular!$C$5:$C$1004,A294))</f>
        <v/>
      </c>
      <c r="G294" s="41" t="str">
        <f aca="false">IF(A294="","",IF(SUMPRODUCT(MAX((Randevular!$C$5:$C$1004=A294)*(Randevular!$E$5:$E$1004="Geldi")*Randevular!$A$5:$A$1004))=0,"",SUMPRODUCT(MAX((Randevular!$C$5:$C$1004=A294)*(Randevular!$E$5:$E$1004="Geldi")*Randevular!$A$5:$A$1004))))</f>
        <v/>
      </c>
      <c r="H294" s="21" t="str">
        <f aca="false">IF(A294="","",F294+ROW()/1000000)</f>
        <v/>
      </c>
    </row>
    <row r="295" customFormat="false" ht="15" hidden="false" customHeight="false" outlineLevel="0" collapsed="false">
      <c r="A295" s="14"/>
      <c r="B295" s="40"/>
      <c r="C295" s="14"/>
      <c r="D295" s="35" t="str">
        <f aca="false">IF(A295="","",COUNTIFS(Randevular!$C$5:$C$1004,A295,Randevular!$E$5:$E$1004,"&lt;&gt;İptal"))</f>
        <v/>
      </c>
      <c r="E295" s="35" t="str">
        <f aca="false">IF(A295="","",COUNTIFS(Randevular!$C$5:$C$1004,A295,Randevular!$E$5:$E$1004,"Gelmedi"))</f>
        <v/>
      </c>
      <c r="F295" s="17" t="str">
        <f aca="false">IF(A295="","",SUMIFS(Randevular!$G$5:$G$1004,Randevular!$C$5:$C$1004,A295))</f>
        <v/>
      </c>
      <c r="G295" s="41" t="str">
        <f aca="false">IF(A295="","",IF(SUMPRODUCT(MAX((Randevular!$C$5:$C$1004=A295)*(Randevular!$E$5:$E$1004="Geldi")*Randevular!$A$5:$A$1004))=0,"",SUMPRODUCT(MAX((Randevular!$C$5:$C$1004=A295)*(Randevular!$E$5:$E$1004="Geldi")*Randevular!$A$5:$A$1004))))</f>
        <v/>
      </c>
      <c r="H295" s="21" t="str">
        <f aca="false">IF(A295="","",F295+ROW()/1000000)</f>
        <v/>
      </c>
    </row>
    <row r="296" customFormat="false" ht="15" hidden="false" customHeight="false" outlineLevel="0" collapsed="false">
      <c r="A296" s="14"/>
      <c r="B296" s="40"/>
      <c r="C296" s="14"/>
      <c r="D296" s="35" t="str">
        <f aca="false">IF(A296="","",COUNTIFS(Randevular!$C$5:$C$1004,A296,Randevular!$E$5:$E$1004,"&lt;&gt;İptal"))</f>
        <v/>
      </c>
      <c r="E296" s="35" t="str">
        <f aca="false">IF(A296="","",COUNTIFS(Randevular!$C$5:$C$1004,A296,Randevular!$E$5:$E$1004,"Gelmedi"))</f>
        <v/>
      </c>
      <c r="F296" s="17" t="str">
        <f aca="false">IF(A296="","",SUMIFS(Randevular!$G$5:$G$1004,Randevular!$C$5:$C$1004,A296))</f>
        <v/>
      </c>
      <c r="G296" s="41" t="str">
        <f aca="false">IF(A296="","",IF(SUMPRODUCT(MAX((Randevular!$C$5:$C$1004=A296)*(Randevular!$E$5:$E$1004="Geldi")*Randevular!$A$5:$A$1004))=0,"",SUMPRODUCT(MAX((Randevular!$C$5:$C$1004=A296)*(Randevular!$E$5:$E$1004="Geldi")*Randevular!$A$5:$A$1004))))</f>
        <v/>
      </c>
      <c r="H296" s="21" t="str">
        <f aca="false">IF(A296="","",F296+ROW()/1000000)</f>
        <v/>
      </c>
    </row>
    <row r="297" customFormat="false" ht="15" hidden="false" customHeight="false" outlineLevel="0" collapsed="false">
      <c r="A297" s="14"/>
      <c r="B297" s="40"/>
      <c r="C297" s="14"/>
      <c r="D297" s="35" t="str">
        <f aca="false">IF(A297="","",COUNTIFS(Randevular!$C$5:$C$1004,A297,Randevular!$E$5:$E$1004,"&lt;&gt;İptal"))</f>
        <v/>
      </c>
      <c r="E297" s="35" t="str">
        <f aca="false">IF(A297="","",COUNTIFS(Randevular!$C$5:$C$1004,A297,Randevular!$E$5:$E$1004,"Gelmedi"))</f>
        <v/>
      </c>
      <c r="F297" s="17" t="str">
        <f aca="false">IF(A297="","",SUMIFS(Randevular!$G$5:$G$1004,Randevular!$C$5:$C$1004,A297))</f>
        <v/>
      </c>
      <c r="G297" s="41" t="str">
        <f aca="false">IF(A297="","",IF(SUMPRODUCT(MAX((Randevular!$C$5:$C$1004=A297)*(Randevular!$E$5:$E$1004="Geldi")*Randevular!$A$5:$A$1004))=0,"",SUMPRODUCT(MAX((Randevular!$C$5:$C$1004=A297)*(Randevular!$E$5:$E$1004="Geldi")*Randevular!$A$5:$A$1004))))</f>
        <v/>
      </c>
      <c r="H297" s="21" t="str">
        <f aca="false">IF(A297="","",F297+ROW()/1000000)</f>
        <v/>
      </c>
    </row>
    <row r="298" customFormat="false" ht="15" hidden="false" customHeight="false" outlineLevel="0" collapsed="false">
      <c r="A298" s="14"/>
      <c r="B298" s="40"/>
      <c r="C298" s="14"/>
      <c r="D298" s="35" t="str">
        <f aca="false">IF(A298="","",COUNTIFS(Randevular!$C$5:$C$1004,A298,Randevular!$E$5:$E$1004,"&lt;&gt;İptal"))</f>
        <v/>
      </c>
      <c r="E298" s="35" t="str">
        <f aca="false">IF(A298="","",COUNTIFS(Randevular!$C$5:$C$1004,A298,Randevular!$E$5:$E$1004,"Gelmedi"))</f>
        <v/>
      </c>
      <c r="F298" s="17" t="str">
        <f aca="false">IF(A298="","",SUMIFS(Randevular!$G$5:$G$1004,Randevular!$C$5:$C$1004,A298))</f>
        <v/>
      </c>
      <c r="G298" s="41" t="str">
        <f aca="false">IF(A298="","",IF(SUMPRODUCT(MAX((Randevular!$C$5:$C$1004=A298)*(Randevular!$E$5:$E$1004="Geldi")*Randevular!$A$5:$A$1004))=0,"",SUMPRODUCT(MAX((Randevular!$C$5:$C$1004=A298)*(Randevular!$E$5:$E$1004="Geldi")*Randevular!$A$5:$A$1004))))</f>
        <v/>
      </c>
      <c r="H298" s="21" t="str">
        <f aca="false">IF(A298="","",F298+ROW()/1000000)</f>
        <v/>
      </c>
    </row>
    <row r="299" customFormat="false" ht="15" hidden="false" customHeight="false" outlineLevel="0" collapsed="false">
      <c r="A299" s="14"/>
      <c r="B299" s="40"/>
      <c r="C299" s="14"/>
      <c r="D299" s="35" t="str">
        <f aca="false">IF(A299="","",COUNTIFS(Randevular!$C$5:$C$1004,A299,Randevular!$E$5:$E$1004,"&lt;&gt;İptal"))</f>
        <v/>
      </c>
      <c r="E299" s="35" t="str">
        <f aca="false">IF(A299="","",COUNTIFS(Randevular!$C$5:$C$1004,A299,Randevular!$E$5:$E$1004,"Gelmedi"))</f>
        <v/>
      </c>
      <c r="F299" s="17" t="str">
        <f aca="false">IF(A299="","",SUMIFS(Randevular!$G$5:$G$1004,Randevular!$C$5:$C$1004,A299))</f>
        <v/>
      </c>
      <c r="G299" s="41" t="str">
        <f aca="false">IF(A299="","",IF(SUMPRODUCT(MAX((Randevular!$C$5:$C$1004=A299)*(Randevular!$E$5:$E$1004="Geldi")*Randevular!$A$5:$A$1004))=0,"",SUMPRODUCT(MAX((Randevular!$C$5:$C$1004=A299)*(Randevular!$E$5:$E$1004="Geldi")*Randevular!$A$5:$A$1004))))</f>
        <v/>
      </c>
      <c r="H299" s="21" t="str">
        <f aca="false">IF(A299="","",F299+ROW()/1000000)</f>
        <v/>
      </c>
    </row>
    <row r="300" customFormat="false" ht="15" hidden="false" customHeight="false" outlineLevel="0" collapsed="false">
      <c r="A300" s="14"/>
      <c r="B300" s="40"/>
      <c r="C300" s="14"/>
      <c r="D300" s="35" t="str">
        <f aca="false">IF(A300="","",COUNTIFS(Randevular!$C$5:$C$1004,A300,Randevular!$E$5:$E$1004,"&lt;&gt;İptal"))</f>
        <v/>
      </c>
      <c r="E300" s="35" t="str">
        <f aca="false">IF(A300="","",COUNTIFS(Randevular!$C$5:$C$1004,A300,Randevular!$E$5:$E$1004,"Gelmedi"))</f>
        <v/>
      </c>
      <c r="F300" s="17" t="str">
        <f aca="false">IF(A300="","",SUMIFS(Randevular!$G$5:$G$1004,Randevular!$C$5:$C$1004,A300))</f>
        <v/>
      </c>
      <c r="G300" s="41" t="str">
        <f aca="false">IF(A300="","",IF(SUMPRODUCT(MAX((Randevular!$C$5:$C$1004=A300)*(Randevular!$E$5:$E$1004="Geldi")*Randevular!$A$5:$A$1004))=0,"",SUMPRODUCT(MAX((Randevular!$C$5:$C$1004=A300)*(Randevular!$E$5:$E$1004="Geldi")*Randevular!$A$5:$A$1004))))</f>
        <v/>
      </c>
      <c r="H300" s="21" t="str">
        <f aca="false">IF(A300="","",F300+ROW()/1000000)</f>
        <v/>
      </c>
    </row>
    <row r="301" customFormat="false" ht="15" hidden="false" customHeight="false" outlineLevel="0" collapsed="false">
      <c r="A301" s="14"/>
      <c r="B301" s="40"/>
      <c r="C301" s="14"/>
      <c r="D301" s="35" t="str">
        <f aca="false">IF(A301="","",COUNTIFS(Randevular!$C$5:$C$1004,A301,Randevular!$E$5:$E$1004,"&lt;&gt;İptal"))</f>
        <v/>
      </c>
      <c r="E301" s="35" t="str">
        <f aca="false">IF(A301="","",COUNTIFS(Randevular!$C$5:$C$1004,A301,Randevular!$E$5:$E$1004,"Gelmedi"))</f>
        <v/>
      </c>
      <c r="F301" s="17" t="str">
        <f aca="false">IF(A301="","",SUMIFS(Randevular!$G$5:$G$1004,Randevular!$C$5:$C$1004,A301))</f>
        <v/>
      </c>
      <c r="G301" s="41" t="str">
        <f aca="false">IF(A301="","",IF(SUMPRODUCT(MAX((Randevular!$C$5:$C$1004=A301)*(Randevular!$E$5:$E$1004="Geldi")*Randevular!$A$5:$A$1004))=0,"",SUMPRODUCT(MAX((Randevular!$C$5:$C$1004=A301)*(Randevular!$E$5:$E$1004="Geldi")*Randevular!$A$5:$A$1004))))</f>
        <v/>
      </c>
      <c r="H301" s="21" t="str">
        <f aca="false">IF(A301="","",F301+ROW()/1000000)</f>
        <v/>
      </c>
    </row>
    <row r="302" customFormat="false" ht="15" hidden="false" customHeight="false" outlineLevel="0" collapsed="false">
      <c r="A302" s="14"/>
      <c r="B302" s="40"/>
      <c r="C302" s="14"/>
      <c r="D302" s="35" t="str">
        <f aca="false">IF(A302="","",COUNTIFS(Randevular!$C$5:$C$1004,A302,Randevular!$E$5:$E$1004,"&lt;&gt;İptal"))</f>
        <v/>
      </c>
      <c r="E302" s="35" t="str">
        <f aca="false">IF(A302="","",COUNTIFS(Randevular!$C$5:$C$1004,A302,Randevular!$E$5:$E$1004,"Gelmedi"))</f>
        <v/>
      </c>
      <c r="F302" s="17" t="str">
        <f aca="false">IF(A302="","",SUMIFS(Randevular!$G$5:$G$1004,Randevular!$C$5:$C$1004,A302))</f>
        <v/>
      </c>
      <c r="G302" s="41" t="str">
        <f aca="false">IF(A302="","",IF(SUMPRODUCT(MAX((Randevular!$C$5:$C$1004=A302)*(Randevular!$E$5:$E$1004="Geldi")*Randevular!$A$5:$A$1004))=0,"",SUMPRODUCT(MAX((Randevular!$C$5:$C$1004=A302)*(Randevular!$E$5:$E$1004="Geldi")*Randevular!$A$5:$A$1004))))</f>
        <v/>
      </c>
      <c r="H302" s="21" t="str">
        <f aca="false">IF(A302="","",F302+ROW()/1000000)</f>
        <v/>
      </c>
    </row>
    <row r="303" customFormat="false" ht="15" hidden="false" customHeight="false" outlineLevel="0" collapsed="false">
      <c r="A303" s="14"/>
      <c r="B303" s="40"/>
      <c r="C303" s="14"/>
      <c r="D303" s="35" t="str">
        <f aca="false">IF(A303="","",COUNTIFS(Randevular!$C$5:$C$1004,A303,Randevular!$E$5:$E$1004,"&lt;&gt;İptal"))</f>
        <v/>
      </c>
      <c r="E303" s="35" t="str">
        <f aca="false">IF(A303="","",COUNTIFS(Randevular!$C$5:$C$1004,A303,Randevular!$E$5:$E$1004,"Gelmedi"))</f>
        <v/>
      </c>
      <c r="F303" s="17" t="str">
        <f aca="false">IF(A303="","",SUMIFS(Randevular!$G$5:$G$1004,Randevular!$C$5:$C$1004,A303))</f>
        <v/>
      </c>
      <c r="G303" s="41" t="str">
        <f aca="false">IF(A303="","",IF(SUMPRODUCT(MAX((Randevular!$C$5:$C$1004=A303)*(Randevular!$E$5:$E$1004="Geldi")*Randevular!$A$5:$A$1004))=0,"",SUMPRODUCT(MAX((Randevular!$C$5:$C$1004=A303)*(Randevular!$E$5:$E$1004="Geldi")*Randevular!$A$5:$A$1004))))</f>
        <v/>
      </c>
      <c r="H303" s="21" t="str">
        <f aca="false">IF(A303="","",F303+ROW()/1000000)</f>
        <v/>
      </c>
    </row>
    <row r="304" customFormat="false" ht="15" hidden="false" customHeight="false" outlineLevel="0" collapsed="false">
      <c r="A304" s="14"/>
      <c r="B304" s="40"/>
      <c r="C304" s="14"/>
      <c r="D304" s="35" t="str">
        <f aca="false">IF(A304="","",COUNTIFS(Randevular!$C$5:$C$1004,A304,Randevular!$E$5:$E$1004,"&lt;&gt;İptal"))</f>
        <v/>
      </c>
      <c r="E304" s="35" t="str">
        <f aca="false">IF(A304="","",COUNTIFS(Randevular!$C$5:$C$1004,A304,Randevular!$E$5:$E$1004,"Gelmedi"))</f>
        <v/>
      </c>
      <c r="F304" s="17" t="str">
        <f aca="false">IF(A304="","",SUMIFS(Randevular!$G$5:$G$1004,Randevular!$C$5:$C$1004,A304))</f>
        <v/>
      </c>
      <c r="G304" s="41" t="str">
        <f aca="false">IF(A304="","",IF(SUMPRODUCT(MAX((Randevular!$C$5:$C$1004=A304)*(Randevular!$E$5:$E$1004="Geldi")*Randevular!$A$5:$A$1004))=0,"",SUMPRODUCT(MAX((Randevular!$C$5:$C$1004=A304)*(Randevular!$E$5:$E$1004="Geldi")*Randevular!$A$5:$A$1004))))</f>
        <v/>
      </c>
      <c r="H304" s="21" t="str">
        <f aca="false">IF(A304="","",F304+ROW()/1000000)</f>
        <v/>
      </c>
    </row>
  </sheetData>
  <dataValidations count="1">
    <dataValidation allowBlank="true" error="Bu ad zaten var. Her ad bir kez girilebilir." errorStyle="stop" errorTitle="Kontrol" operator="between" showDropDown="false" showErrorMessage="true" showInputMessage="false" sqref="A5:A304" type="custom">
      <formula1>COUNTIF($A$5:$A$304,A5)=1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6"/>
  </cols>
  <sheetData>
    <row r="1" customFormat="false" ht="19.7" hidden="false" customHeight="false" outlineLevel="0" collapsed="false">
      <c r="B1" s="8" t="s">
        <v>92</v>
      </c>
    </row>
    <row r="2" customFormat="false" ht="30" hidden="false" customHeight="true" outlineLevel="0" collapsed="false">
      <c r="B2" s="42" t="s">
        <v>93</v>
      </c>
      <c r="C2" s="42"/>
    </row>
    <row r="3" customFormat="false" ht="31.5" hidden="false" customHeight="true" outlineLevel="0" collapsed="false">
      <c r="B3" s="43" t="s">
        <v>94</v>
      </c>
      <c r="C3" s="43"/>
    </row>
    <row r="5" customFormat="false" ht="15" hidden="false" customHeight="false" outlineLevel="0" collapsed="false">
      <c r="B5" s="44" t="s">
        <v>95</v>
      </c>
      <c r="C5" s="44" t="s">
        <v>96</v>
      </c>
    </row>
    <row r="6" customFormat="false" ht="31.5" hidden="false" customHeight="true" outlineLevel="0" collapsed="false">
      <c r="B6" s="45" t="s">
        <v>97</v>
      </c>
      <c r="C6" s="46" t="s">
        <v>98</v>
      </c>
    </row>
    <row r="7" customFormat="false" ht="31.5" hidden="false" customHeight="true" outlineLevel="0" collapsed="false">
      <c r="B7" s="47" t="s">
        <v>99</v>
      </c>
      <c r="C7" s="48" t="s">
        <v>100</v>
      </c>
    </row>
    <row r="8" customFormat="false" ht="31.5" hidden="false" customHeight="true" outlineLevel="0" collapsed="false">
      <c r="B8" s="45" t="s">
        <v>101</v>
      </c>
      <c r="C8" s="46" t="s">
        <v>102</v>
      </c>
    </row>
    <row r="9" customFormat="false" ht="31.5" hidden="false" customHeight="true" outlineLevel="0" collapsed="false">
      <c r="B9" s="47" t="s">
        <v>103</v>
      </c>
      <c r="C9" s="48" t="s">
        <v>104</v>
      </c>
    </row>
    <row r="10" customFormat="false" ht="31.5" hidden="false" customHeight="true" outlineLevel="0" collapsed="false">
      <c r="B10" s="45" t="s">
        <v>105</v>
      </c>
      <c r="C10" s="46" t="s">
        <v>106</v>
      </c>
    </row>
    <row r="11" customFormat="false" ht="31.5" hidden="false" customHeight="true" outlineLevel="0" collapsed="false">
      <c r="B11" s="47" t="s">
        <v>107</v>
      </c>
      <c r="C11" s="48" t="s">
        <v>108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2026-10-04T22:00:00Z</dcterms:created>
  <dc:creator>openpyxl</dc:creator>
  <dc:description/>
  <dc:language>en-US</dc:language>
  <cp:lastModifiedBy/>
  <dcterms:modified xsi:type="dcterms:W3CDTF">2026-10-04T22:00:02Z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