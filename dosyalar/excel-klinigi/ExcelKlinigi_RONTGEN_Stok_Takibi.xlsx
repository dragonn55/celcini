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Hareketler" sheetId="2" state="visible" r:id="rId4"/>
    <sheet name="Özet" sheetId="3" state="visible" r:id="rId5"/>
    <sheet name="Ürün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<sst xmlns="http://schemas.openxmlformats.org/spreadsheetml/2006/main" count="137" uniqueCount="97">
  <si>
    <t xml:space="preserve">EXCEL KLİNİĞİ</t>
  </si>
  <si>
    <t xml:space="preserve">RÖNTGEN  |  Stok takibi</t>
  </si>
  <si>
    <t xml:space="preserve">Rafın içini gösterir: ne girdi, ne çıktı, ne kaldı, ne bitmek üzere.</t>
  </si>
  <si>
    <t xml:space="preserve">NASIL KULLANILIR</t>
  </si>
  <si>
    <t xml:space="preserve">1. Ürünler</t>
  </si>
  <si>
    <t xml:space="preserve">Ürünlerini, birim maliyetini, elindeki açılış stokunu ve kritik seviyeyi yaz.</t>
  </si>
  <si>
    <t xml:space="preserve">2. Hareketler</t>
  </si>
  <si>
    <t xml:space="preserve">Her mal girişini ve çıkışını bir satır olarak gir. Sayımda fark çıkarsa farkı Giriş ya da Çıkış satırıyla düzelt.</t>
  </si>
  <si>
    <t xml:space="preserve">3. Özet</t>
  </si>
  <si>
    <t xml:space="preserve">Stok değeri, kritik ve tükenen ürünler, hareketsiz ürünler ve aylık hareket kendiliğinden hesaplanır.</t>
  </si>
  <si>
    <t xml:space="preserve">BİLMEN GEREKENLER</t>
  </si>
  <si>
    <t xml:space="preserve">Stok değeri</t>
  </si>
  <si>
    <t xml:space="preserve">Mevcut adet × Ürünler sayfasındaki birim maliyet. Maliyeti değiştirirsen stok değeri de değişir.</t>
  </si>
  <si>
    <t xml:space="preserve">Hareketsiz ürün</t>
  </si>
  <si>
    <t xml:space="preserve">Son hareketinden bu yana eşikten (varsayılan 60 gün) uzun süre geçen ürün. Hiç hareketi olmayan ürün sayılmaz.</t>
  </si>
  <si>
    <t xml:space="preserve">Kapasite</t>
  </si>
  <si>
    <t xml:space="preserve">300 ürün ve 1500 hareket. Ürün adını sonradan değiştirirsen eski hareketlerdeki adı da değiştir.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</si>
  <si>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</si>
  <si>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</si>
  <si>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</si>
  <si>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</si>
  <si>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</si>
  <si>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Hareketler</t>
  </si>
  <si>
    <t xml:space="preserve">Her giriş ya da çıkış bir satır. Sayım farkını da Giriş ya da Çıkış olarak yaz.</t>
  </si>
  <si>
    <t xml:space="preserve">Tarih</t>
  </si>
  <si>
    <t xml:space="preserve">Tür</t>
  </si>
  <si>
    <t xml:space="preserve">Ürün</t>
  </si>
  <si>
    <t xml:space="preserve">Adet</t>
  </si>
  <si>
    <t xml:space="preserve">Açıklama</t>
  </si>
  <si>
    <t xml:space="preserve">Uyarı</t>
  </si>
  <si>
    <t xml:space="preserve">Çıkış</t>
  </si>
  <si>
    <t xml:space="preserve">Çay 1 kg</t>
  </si>
  <si>
    <t xml:space="preserve">Örnek</t>
  </si>
  <si>
    <t xml:space="preserve">Makarna 500 g</t>
  </si>
  <si>
    <t xml:space="preserve">Giriş</t>
  </si>
  <si>
    <t xml:space="preserve">Örnek: toptancı</t>
  </si>
  <si>
    <t xml:space="preserve">Toz şeker 5 kg</t>
  </si>
  <si>
    <t xml:space="preserve">Ayçiçek yağı 5 L</t>
  </si>
  <si>
    <t xml:space="preserve">Pirinç 1 kg</t>
  </si>
  <si>
    <t xml:space="preserve">Özet</t>
  </si>
  <si>
    <t xml:space="preserve">Bu sayfada yalnızca yılı ve hareketsizlik eşiğini değiştir.</t>
  </si>
  <si>
    <t xml:space="preserve">Yıl</t>
  </si>
  <si>
    <t xml:space="preserve">Hareketsiz sayılma eşiği (gün)</t>
  </si>
  <si>
    <t xml:space="preserve">Ürün çeşidi</t>
  </si>
  <si>
    <t xml:space="preserve">Kritik ürün</t>
  </si>
  <si>
    <t xml:space="preserve">Tükenen ürün</t>
  </si>
  <si>
    <t xml:space="preserve">Aylık hareket (adet)</t>
  </si>
  <si>
    <t xml:space="preserve">Stok uyarısı (ilk 10)</t>
  </si>
  <si>
    <t xml:space="preserve">Ay</t>
  </si>
  <si>
    <t xml:space="preserve">Giren</t>
  </si>
  <si>
    <t xml:space="preserve">Çıkan</t>
  </si>
  <si>
    <t xml:space="preserve">Mevcut</t>
  </si>
  <si>
    <t xml:space="preserve">Durum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</si>
  <si>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</si>
  <si>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</si>
  <si>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</si>
  <si>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</si>
  <si>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</si>
  <si>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</si>
  <si>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</si>
  <si>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</si>
  <si>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</si>
  <si>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</si>
  <si>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</si>
  <si>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</si>
  <si>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Parası en çok bağlı 5 ürün</t>
  </si>
  <si>
    <t xml:space="preserve">Stok değeri (₺)</t>
  </si>
  <si>
    <t xml:space="preserve">Ürünler</t>
  </si>
  <si>
    <t xml:space="preserve">Sarı sütunları doldur. Giren, çıkan, mevcut ve durum Hareketler sayfasından hesaplanır.</t>
  </si>
  <si>
    <t xml:space="preserve">Birim</t>
  </si>
  <si>
    <t xml:space="preserve">Birim maliyet (₺)</t>
  </si>
  <si>
    <t xml:space="preserve">Açılış stoku</t>
  </si>
  <si>
    <t xml:space="preserve">Kritik seviye</t>
  </si>
  <si>
    <t xml:space="preserve">Son hareket</t>
  </si>
  <si>
    <t xml:space="preserve">Hareketsiz gün</t>
  </si>
  <si>
    <t xml:space="preserve">y1</t>
  </si>
  <si>
    <t xml:space="preserve">y2</t>
  </si>
  <si>
    <t xml:space="preserve">Paket</t>
  </si>
  <si>
    <t xml:space="preserve">Şişe</t>
  </si>
  <si>
    <t xml:space="preserve">Bulaşık deterjanı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</si>
  <si>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</si>
  <si>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</si>
  <si>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Tedarikçi ve müşteri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</si>
  <si>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</si>
  <si>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</si>
  <si>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Sipariş listesi</t>
  </si>
  <si>
    <t xml:space="preserve">[Ürünler sayfası] Durumu Kritik ya da Tükendi olan ürünler için sipariş listesi hazırla. Her üründen kritik seviyenin üç katına çıkacak kadar adet öner.</t>
  </si>
  <si>
    <t xml:space="preserve">Ölü stok</t>
  </si>
  <si>
    <t xml:space="preserve">[Ürünler sayfası] Hareketsiz gün sayısı en yüksek ürünleri ve bunlara bağlı parayı listele. Eritmek için birer öneri ver.</t>
  </si>
  <si>
    <t xml:space="preserve">Hızlı dönenler</t>
  </si>
  <si>
    <t xml:space="preserve">[Hareketler sayfası] Son 30 günde en çok çıkan 5 ürünü bul. Bu hızla her birinin mevcut stoku kaç gün yeter, hesapla.</t>
  </si>
  <si>
    <t xml:space="preserve">Kritik seviye önerisi</t>
  </si>
  <si>
    <t xml:space="preserve">[Ürünler ve Hareketler sayfaları] Her ürünün haftalık ortalama çıkışına bakarak iki haftalık satışı karşılayacak kritik seviye öner.</t>
  </si>
  <si>
    <t xml:space="preserve">Sayım planı</t>
  </si>
  <si>
    <t xml:space="preserve">[Ürünler sayfası] Stok değeri en yüksek ürünlerden başlayarak haftalık bir sayım planı çıkar.</t>
  </si>
  <si>
    <t xml:space="preserve">Hareket kontrolü</t>
  </si>
  <si>
    <t xml:space="preserve">[Hareketler sayfası] Olağan dışı yüksek adetli, tarihi eksik ya da iki kez girilmiş gibi duran satırları göster.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</si>
</sst>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;[RED]\-#,##0;\-"/>
    <numFmt numFmtId="167" formatCode="0"/>
    <numFmt numFmtId="168" formatCode="#,##0.00&quot; ₺&quot;;[RED]\-#,##0.00&quot; ₺&quot;;\-"/>
    <numFmt numFmtId="169" formatCode="#,##0"/>
    <numFmt numFmtId="170" formatCode="#,##0.00&quot; ₺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sz val="9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1F6F43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Aylık giren ve çıkan (adet)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Özet!C9</c:f>
              <c:strCache>
                <c:ptCount val="1"/>
                <c:pt idx="0">
                  <c:v>Giren</c:v>
                </c:pt>
              </c:strCache>
            </c:strRef>
          </c:tx>
          <c:spPr>
            <a:solidFill>
              <a:srgbClr val="1f6f4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Özet!$B$10:$B$21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Özet!$C$10:$C$21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Özet!D9</c:f>
              <c:strCache>
                <c:ptCount val="1"/>
                <c:pt idx="0">
                  <c:v>Çıkan</c:v>
                </c:pt>
              </c:strCache>
            </c:strRef>
          </c:tx>
          <c:spPr>
            <a:solidFill>
              <a:srgbClr val="d92d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Özet!$B$10:$B$21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Özet!$D$10:$D$21</c:f>
              <c:numCache>
                <c:formatCode>#,##0;[RED]\-#,##0;\-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171</c:v>
                </c:pt>
                <c:pt idx="9">
                  <c:v>180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16101204"/>
        <c:axId val="2400251"/>
      </c:barChart>
      <c:catAx>
        <c:axId val="16101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251"/>
        <c:crosses val="autoZero"/>
        <c:auto val="1"/>
        <c:lblAlgn val="ctr"/>
        <c:lblOffset val="100"/>
        <c:noMultiLvlLbl val="0"/>
      </c:catAx>
      <c:valAx>
        <c:axId val="240025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012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216720</xdr:rowOff>
    </xdr:from>
    <xdr:to>
      <xdr:col>5</xdr:col>
      <xdr:colOff>888480</xdr:colOff>
      <xdr:row>35</xdr:row>
      <xdr:rowOff>163440</xdr:rowOff>
    </xdr:to>
    <xdr:graphicFrame>
      <xdr:nvGraphicFramePr>
        <xdr:cNvPr id="0" name="Chart 1"/>
        <xdr:cNvGraphicFramePr/>
      </xdr:nvGraphicFramePr>
      <xdr:xfrm>
        <a:off x="211320" y="47149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30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1" t="s">
        <v>29</v>
      </c>
    </row>
    <row r="5" customFormat="false" ht="15" hidden="false" customHeight="false" outlineLevel="0" collapsed="false">
      <c r="A5" s="12" t="n">
        <v>46266</v>
      </c>
      <c r="B5" s="13" t="s">
        <v>30</v>
      </c>
      <c r="C5" s="14" t="s">
        <v>31</v>
      </c>
      <c r="D5" s="15" t="n">
        <v>12</v>
      </c>
      <c r="E5" s="14" t="s">
        <v>32</v>
      </c>
      <c r="F5" s="16" t="str">
        <f aca="false">IF(OR(C5="",D5=""),"",IF(OR(A5="",B5=""),"Tarih ya da tür eksik",IF(AND(B5="Çıkış",IFERROR(INDEX(Ürünler!$H$5:$H$304,MATCH(C5,Ürünler!$A$5:$A$304,0)),0)&lt;0),"Stok eksiye düştü","")))</f>
        <v/>
      </c>
    </row>
    <row r="6" customFormat="false" ht="15" hidden="false" customHeight="false" outlineLevel="0" collapsed="false">
      <c r="A6" s="12" t="n">
        <v>46268</v>
      </c>
      <c r="B6" s="13" t="s">
        <v>30</v>
      </c>
      <c r="C6" s="14" t="s">
        <v>33</v>
      </c>
      <c r="D6" s="15" t="n">
        <v>90</v>
      </c>
      <c r="E6" s="14" t="s">
        <v>32</v>
      </c>
      <c r="F6" s="16" t="str">
        <f aca="false">IF(OR(C6="",D6=""),"",IF(OR(A6="",B6=""),"Tarih ya da tür eksik",IF(AND(B6="Çıkış",IFERROR(INDEX(Ürünler!$H$5:$H$304,MATCH(C6,Ürünler!$A$5:$A$304,0)),0)&lt;0),"Stok eksiye düştü","")))</f>
        <v/>
      </c>
    </row>
    <row r="7" customFormat="false" ht="15" hidden="false" customHeight="false" outlineLevel="0" collapsed="false">
      <c r="A7" s="12" t="n">
        <v>46273</v>
      </c>
      <c r="B7" s="13" t="s">
        <v>34</v>
      </c>
      <c r="C7" s="14" t="s">
        <v>33</v>
      </c>
      <c r="D7" s="15" t="n">
        <v>100</v>
      </c>
      <c r="E7" s="14" t="s">
        <v>35</v>
      </c>
      <c r="F7" s="16" t="str">
        <f aca="false">IF(OR(C7="",D7=""),"",IF(OR(A7="",B7=""),"Tarih ya da tür eksik",IF(AND(B7="Çıkış",IFERROR(INDEX(Ürünler!$H$5:$H$304,MATCH(C7,Ürünler!$A$5:$A$304,0)),0)&lt;0),"Stok eksiye düştü","")))</f>
        <v/>
      </c>
    </row>
    <row r="8" customFormat="false" ht="15" hidden="false" customHeight="false" outlineLevel="0" collapsed="false">
      <c r="A8" s="12" t="n">
        <v>46277</v>
      </c>
      <c r="B8" s="13" t="s">
        <v>30</v>
      </c>
      <c r="C8" s="14" t="s">
        <v>36</v>
      </c>
      <c r="D8" s="15" t="n">
        <v>25</v>
      </c>
      <c r="E8" s="14" t="s">
        <v>32</v>
      </c>
      <c r="F8" s="16" t="str">
        <f aca="false">IF(OR(C8="",D8=""),"",IF(OR(A8="",B8=""),"Tarih ya da tür eksik",IF(AND(B8="Çıkış",IFERROR(INDEX(Ürünler!$H$5:$H$304,MATCH(C8,Ürünler!$A$5:$A$304,0)),0)&lt;0),"Stok eksiye düştü","")))</f>
        <v/>
      </c>
    </row>
    <row r="9" customFormat="false" ht="15" hidden="false" customHeight="false" outlineLevel="0" collapsed="false">
      <c r="A9" s="12" t="n">
        <v>46285</v>
      </c>
      <c r="B9" s="13" t="s">
        <v>30</v>
      </c>
      <c r="C9" s="14" t="s">
        <v>37</v>
      </c>
      <c r="D9" s="15" t="n">
        <v>24</v>
      </c>
      <c r="E9" s="14" t="s">
        <v>32</v>
      </c>
      <c r="F9" s="16" t="str">
        <f aca="false">IF(OR(C9="",D9=""),"",IF(OR(A9="",B9=""),"Tarih ya da tür eksik",IF(AND(B9="Çıkış",IFERROR(INDEX(Ürünler!$H$5:$H$304,MATCH(C9,Ürünler!$A$5:$A$304,0)),0)&lt;0),"Stok eksiye düştü","")))</f>
        <v/>
      </c>
    </row>
    <row r="10" customFormat="false" ht="15" hidden="false" customHeight="false" outlineLevel="0" collapsed="false">
      <c r="A10" s="12" t="n">
        <v>46290</v>
      </c>
      <c r="B10" s="13" t="s">
        <v>30</v>
      </c>
      <c r="C10" s="14" t="s">
        <v>31</v>
      </c>
      <c r="D10" s="15" t="n">
        <v>20</v>
      </c>
      <c r="E10" s="14" t="s">
        <v>32</v>
      </c>
      <c r="F10" s="16" t="str">
        <f aca="false">IF(OR(C10="",D10=""),"",IF(OR(A10="",B10=""),"Tarih ya da tür eksik",IF(AND(B10="Çıkış",IFERROR(INDEX(Ürünler!$H$5:$H$304,MATCH(C10,Ürünler!$A$5:$A$304,0)),0)&lt;0),"Stok eksiye düştü","")))</f>
        <v/>
      </c>
    </row>
    <row r="11" customFormat="false" ht="15" hidden="false" customHeight="false" outlineLevel="0" collapsed="false">
      <c r="A11" s="12" t="n">
        <v>46296</v>
      </c>
      <c r="B11" s="13" t="s">
        <v>34</v>
      </c>
      <c r="C11" s="14" t="s">
        <v>31</v>
      </c>
      <c r="D11" s="15" t="n">
        <v>30</v>
      </c>
      <c r="E11" s="14" t="s">
        <v>35</v>
      </c>
      <c r="F11" s="16" t="str">
        <f aca="false">IF(OR(C11="",D11=""),"",IF(OR(A11="",B11=""),"Tarih ya da tür eksik",IF(AND(B11="Çıkış",IFERROR(INDEX(Ürünler!$H$5:$H$304,MATCH(C11,Ürünler!$A$5:$A$304,0)),0)&lt;0),"Stok eksiye düştü","")))</f>
        <v/>
      </c>
    </row>
    <row r="12" customFormat="false" ht="15" hidden="false" customHeight="false" outlineLevel="0" collapsed="false">
      <c r="A12" s="12" t="n">
        <v>46297</v>
      </c>
      <c r="B12" s="13" t="s">
        <v>30</v>
      </c>
      <c r="C12" s="14" t="s">
        <v>38</v>
      </c>
      <c r="D12" s="15" t="n">
        <v>35</v>
      </c>
      <c r="E12" s="14" t="s">
        <v>32</v>
      </c>
      <c r="F12" s="16" t="str">
        <f aca="false">IF(OR(C12="",D12=""),"",IF(OR(A12="",B12=""),"Tarih ya da tür eksik",IF(AND(B12="Çıkış",IFERROR(INDEX(Ürünler!$H$5:$H$304,MATCH(C12,Ürünler!$A$5:$A$304,0)),0)&lt;0),"Stok eksiye düştü","")))</f>
        <v/>
      </c>
    </row>
    <row r="13" customFormat="false" ht="15" hidden="false" customHeight="false" outlineLevel="0" collapsed="false">
      <c r="A13" s="12" t="n">
        <v>46298</v>
      </c>
      <c r="B13" s="13" t="s">
        <v>30</v>
      </c>
      <c r="C13" s="14" t="s">
        <v>33</v>
      </c>
      <c r="D13" s="15" t="n">
        <v>120</v>
      </c>
      <c r="E13" s="14" t="s">
        <v>32</v>
      </c>
      <c r="F13" s="16" t="str">
        <f aca="false">IF(OR(C13="",D13=""),"",IF(OR(A13="",B13=""),"Tarih ya da tür eksik",IF(AND(B13="Çıkış",IFERROR(INDEX(Ürünler!$H$5:$H$304,MATCH(C13,Ürünler!$A$5:$A$304,0)),0)&lt;0),"Stok eksiye düştü","")))</f>
        <v/>
      </c>
    </row>
    <row r="14" customFormat="false" ht="15" hidden="false" customHeight="false" outlineLevel="0" collapsed="false">
      <c r="A14" s="12" t="n">
        <v>46299</v>
      </c>
      <c r="B14" s="13" t="s">
        <v>30</v>
      </c>
      <c r="C14" s="14" t="s">
        <v>31</v>
      </c>
      <c r="D14" s="15" t="n">
        <v>25</v>
      </c>
      <c r="E14" s="14" t="s">
        <v>32</v>
      </c>
      <c r="F14" s="16" t="str">
        <f aca="false">IF(OR(C14="",D14=""),"",IF(OR(A14="",B14=""),"Tarih ya da tür eksik",IF(AND(B14="Çıkış",IFERROR(INDEX(Ürünler!$H$5:$H$304,MATCH(C14,Ürünler!$A$5:$A$304,0)),0)&lt;0),"Stok eksiye düştü","")))</f>
        <v/>
      </c>
    </row>
    <row r="15" customFormat="false" ht="15" hidden="false" customHeight="false" outlineLevel="0" collapsed="false">
      <c r="A15" s="12"/>
      <c r="B15" s="13"/>
      <c r="C15" s="14"/>
      <c r="D15" s="15"/>
      <c r="E15" s="14"/>
      <c r="F15" s="16" t="str">
        <f aca="false">IF(OR(C15="",D15=""),"",IF(OR(A15="",B15=""),"Tarih ya da tür eksik",IF(AND(B15="Çıkış",IFERROR(INDEX(Ürünler!$H$5:$H$304,MATCH(C15,Ürünler!$A$5:$A$304,0)),0)&lt;0),"Stok eksiye düştü","")))</f>
        <v/>
      </c>
    </row>
    <row r="16" customFormat="false" ht="15" hidden="false" customHeight="false" outlineLevel="0" collapsed="false">
      <c r="A16" s="12"/>
      <c r="B16" s="13"/>
      <c r="C16" s="14"/>
      <c r="D16" s="15"/>
      <c r="E16" s="14"/>
      <c r="F16" s="16" t="str">
        <f aca="false">IF(OR(C16="",D16=""),"",IF(OR(A16="",B16=""),"Tarih ya da tür eksik",IF(AND(B16="Çıkış",IFERROR(INDEX(Ürünler!$H$5:$H$304,MATCH(C16,Ürünler!$A$5:$A$304,0)),0)&lt;0),"Stok eksiye düştü","")))</f>
        <v/>
      </c>
    </row>
    <row r="17" customFormat="false" ht="15" hidden="false" customHeight="false" outlineLevel="0" collapsed="false">
      <c r="A17" s="12"/>
      <c r="B17" s="13"/>
      <c r="C17" s="14"/>
      <c r="D17" s="15"/>
      <c r="E17" s="14"/>
      <c r="F17" s="16" t="str">
        <f aca="false">IF(OR(C17="",D17=""),"",IF(OR(A17="",B17=""),"Tarih ya da tür eksik",IF(AND(B17="Çıkış",IFERROR(INDEX(Ürünler!$H$5:$H$304,MATCH(C17,Ürünler!$A$5:$A$304,0)),0)&lt;0),"Stok eksiye düştü","")))</f>
        <v/>
      </c>
    </row>
    <row r="18" customFormat="false" ht="15" hidden="false" customHeight="false" outlineLevel="0" collapsed="false">
      <c r="A18" s="12"/>
      <c r="B18" s="13"/>
      <c r="C18" s="14"/>
      <c r="D18" s="15"/>
      <c r="E18" s="14"/>
      <c r="F18" s="16" t="str">
        <f aca="false">IF(OR(C18="",D18=""),"",IF(OR(A18="",B18=""),"Tarih ya da tür eksik",IF(AND(B18="Çıkış",IFERROR(INDEX(Ürünler!$H$5:$H$304,MATCH(C18,Ürünler!$A$5:$A$304,0)),0)&lt;0),"Stok eksiye düştü","")))</f>
        <v/>
      </c>
    </row>
    <row r="19" customFormat="false" ht="15" hidden="false" customHeight="false" outlineLevel="0" collapsed="false">
      <c r="A19" s="12"/>
      <c r="B19" s="13"/>
      <c r="C19" s="14"/>
      <c r="D19" s="15"/>
      <c r="E19" s="14"/>
      <c r="F19" s="16" t="str">
        <f aca="false">IF(OR(C19="",D19=""),"",IF(OR(A19="",B19=""),"Tarih ya da tür eksik",IF(AND(B19="Çıkış",IFERROR(INDEX(Ürünler!$H$5:$H$304,MATCH(C19,Ürünler!$A$5:$A$304,0)),0)&lt;0),"Stok eksiye düştü","")))</f>
        <v/>
      </c>
    </row>
    <row r="20" customFormat="false" ht="15" hidden="false" customHeight="false" outlineLevel="0" collapsed="false">
      <c r="A20" s="12"/>
      <c r="B20" s="13"/>
      <c r="C20" s="14"/>
      <c r="D20" s="15"/>
      <c r="E20" s="14"/>
      <c r="F20" s="16" t="str">
        <f aca="false">IF(OR(C20="",D20=""),"",IF(OR(A20="",B20=""),"Tarih ya da tür eksik",IF(AND(B20="Çıkış",IFERROR(INDEX(Ürünler!$H$5:$H$304,MATCH(C20,Ürünler!$A$5:$A$304,0)),0)&lt;0),"Stok eksiye düştü","")))</f>
        <v/>
      </c>
    </row>
    <row r="21" customFormat="false" ht="15" hidden="false" customHeight="false" outlineLevel="0" collapsed="false">
      <c r="A21" s="12"/>
      <c r="B21" s="13"/>
      <c r="C21" s="14"/>
      <c r="D21" s="15"/>
      <c r="E21" s="14"/>
      <c r="F21" s="16" t="str">
        <f aca="false">IF(OR(C21="",D21=""),"",IF(OR(A21="",B21=""),"Tarih ya da tür eksik",IF(AND(B21="Çıkış",IFERROR(INDEX(Ürünler!$H$5:$H$304,MATCH(C21,Ürünler!$A$5:$A$304,0)),0)&lt;0),"Stok eksiye düştü","")))</f>
        <v/>
      </c>
    </row>
    <row r="22" customFormat="false" ht="15" hidden="false" customHeight="false" outlineLevel="0" collapsed="false">
      <c r="A22" s="12"/>
      <c r="B22" s="13"/>
      <c r="C22" s="14"/>
      <c r="D22" s="15"/>
      <c r="E22" s="14"/>
      <c r="F22" s="16" t="str">
        <f aca="false">IF(OR(C22="",D22=""),"",IF(OR(A22="",B22=""),"Tarih ya da tür eksik",IF(AND(B22="Çıkış",IFERROR(INDEX(Ürünler!$H$5:$H$304,MATCH(C22,Ürünler!$A$5:$A$304,0)),0)&lt;0),"Stok eksiye düştü","")))</f>
        <v/>
      </c>
    </row>
    <row r="23" customFormat="false" ht="15" hidden="false" customHeight="false" outlineLevel="0" collapsed="false">
      <c r="A23" s="12"/>
      <c r="B23" s="13"/>
      <c r="C23" s="14"/>
      <c r="D23" s="15"/>
      <c r="E23" s="14"/>
      <c r="F23" s="16" t="str">
        <f aca="false">IF(OR(C23="",D23=""),"",IF(OR(A23="",B23=""),"Tarih ya da tür eksik",IF(AND(B23="Çıkış",IFERROR(INDEX(Ürünler!$H$5:$H$304,MATCH(C23,Ürünler!$A$5:$A$304,0)),0)&lt;0),"Stok eksiye düştü","")))</f>
        <v/>
      </c>
    </row>
    <row r="24" customFormat="false" ht="15" hidden="false" customHeight="false" outlineLevel="0" collapsed="false">
      <c r="A24" s="12"/>
      <c r="B24" s="13"/>
      <c r="C24" s="14"/>
      <c r="D24" s="15"/>
      <c r="E24" s="14"/>
      <c r="F24" s="16" t="str">
        <f aca="false">IF(OR(C24="",D24=""),"",IF(OR(A24="",B24=""),"Tarih ya da tür eksik",IF(AND(B24="Çıkış",IFERROR(INDEX(Ürünler!$H$5:$H$304,MATCH(C24,Ürünler!$A$5:$A$304,0)),0)&lt;0),"Stok eksiye düştü","")))</f>
        <v/>
      </c>
    </row>
    <row r="25" customFormat="false" ht="15" hidden="false" customHeight="false" outlineLevel="0" collapsed="false">
      <c r="A25" s="12"/>
      <c r="B25" s="13"/>
      <c r="C25" s="14"/>
      <c r="D25" s="15"/>
      <c r="E25" s="14"/>
      <c r="F25" s="16" t="str">
        <f aca="false">IF(OR(C25="",D25=""),"",IF(OR(A25="",B25=""),"Tarih ya da tür eksik",IF(AND(B25="Çıkış",IFERROR(INDEX(Ürünler!$H$5:$H$304,MATCH(C25,Ürünler!$A$5:$A$304,0)),0)&lt;0),"Stok eksiye düştü","")))</f>
        <v/>
      </c>
    </row>
    <row r="26" customFormat="false" ht="15" hidden="false" customHeight="false" outlineLevel="0" collapsed="false">
      <c r="A26" s="12"/>
      <c r="B26" s="13"/>
      <c r="C26" s="14"/>
      <c r="D26" s="15"/>
      <c r="E26" s="14"/>
      <c r="F26" s="16" t="str">
        <f aca="false">IF(OR(C26="",D26=""),"",IF(OR(A26="",B26=""),"Tarih ya da tür eksik",IF(AND(B26="Çıkış",IFERROR(INDEX(Ürünler!$H$5:$H$304,MATCH(C26,Ürünler!$A$5:$A$304,0)),0)&lt;0),"Stok eksiye düştü","")))</f>
        <v/>
      </c>
    </row>
    <row r="27" customFormat="false" ht="15" hidden="false" customHeight="false" outlineLevel="0" collapsed="false">
      <c r="A27" s="12"/>
      <c r="B27" s="13"/>
      <c r="C27" s="14"/>
      <c r="D27" s="15"/>
      <c r="E27" s="14"/>
      <c r="F27" s="16" t="str">
        <f aca="false">IF(OR(C27="",D27=""),"",IF(OR(A27="",B27=""),"Tarih ya da tür eksik",IF(AND(B27="Çıkış",IFERROR(INDEX(Ürünler!$H$5:$H$304,MATCH(C27,Ürünler!$A$5:$A$304,0)),0)&lt;0),"Stok eksiye düştü","")))</f>
        <v/>
      </c>
    </row>
    <row r="28" customFormat="false" ht="15" hidden="false" customHeight="false" outlineLevel="0" collapsed="false">
      <c r="A28" s="12"/>
      <c r="B28" s="13"/>
      <c r="C28" s="14"/>
      <c r="D28" s="15"/>
      <c r="E28" s="14"/>
      <c r="F28" s="16" t="str">
        <f aca="false">IF(OR(C28="",D28=""),"",IF(OR(A28="",B28=""),"Tarih ya da tür eksik",IF(AND(B28="Çıkış",IFERROR(INDEX(Ürünler!$H$5:$H$304,MATCH(C28,Ürünler!$A$5:$A$304,0)),0)&lt;0),"Stok eksiye düştü","")))</f>
        <v/>
      </c>
    </row>
    <row r="29" customFormat="false" ht="15" hidden="false" customHeight="false" outlineLevel="0" collapsed="false">
      <c r="A29" s="12"/>
      <c r="B29" s="13"/>
      <c r="C29" s="14"/>
      <c r="D29" s="15"/>
      <c r="E29" s="14"/>
      <c r="F29" s="16" t="str">
        <f aca="false">IF(OR(C29="",D29=""),"",IF(OR(A29="",B29=""),"Tarih ya da tür eksik",IF(AND(B29="Çıkış",IFERROR(INDEX(Ürünler!$H$5:$H$304,MATCH(C29,Ürünler!$A$5:$A$304,0)),0)&lt;0),"Stok eksiye düştü","")))</f>
        <v/>
      </c>
    </row>
    <row r="30" customFormat="false" ht="15" hidden="false" customHeight="false" outlineLevel="0" collapsed="false">
      <c r="A30" s="12"/>
      <c r="B30" s="13"/>
      <c r="C30" s="14"/>
      <c r="D30" s="15"/>
      <c r="E30" s="14"/>
      <c r="F30" s="16" t="str">
        <f aca="false">IF(OR(C30="",D30=""),"",IF(OR(A30="",B30=""),"Tarih ya da tür eksik",IF(AND(B30="Çıkış",IFERROR(INDEX(Ürünler!$H$5:$H$304,MATCH(C30,Ürünler!$A$5:$A$304,0)),0)&lt;0),"Stok eksiye düştü","")))</f>
        <v/>
      </c>
    </row>
    <row r="31" customFormat="false" ht="15" hidden="false" customHeight="false" outlineLevel="0" collapsed="false">
      <c r="A31" s="12"/>
      <c r="B31" s="13"/>
      <c r="C31" s="14"/>
      <c r="D31" s="15"/>
      <c r="E31" s="14"/>
      <c r="F31" s="16" t="str">
        <f aca="false">IF(OR(C31="",D31=""),"",IF(OR(A31="",B31=""),"Tarih ya da tür eksik",IF(AND(B31="Çıkış",IFERROR(INDEX(Ürünler!$H$5:$H$304,MATCH(C31,Ürünler!$A$5:$A$304,0)),0)&lt;0),"Stok eksiye düştü","")))</f>
        <v/>
      </c>
    </row>
    <row r="32" customFormat="false" ht="15" hidden="false" customHeight="false" outlineLevel="0" collapsed="false">
      <c r="A32" s="12"/>
      <c r="B32" s="13"/>
      <c r="C32" s="14"/>
      <c r="D32" s="15"/>
      <c r="E32" s="14"/>
      <c r="F32" s="16" t="str">
        <f aca="false">IF(OR(C32="",D32=""),"",IF(OR(A32="",B32=""),"Tarih ya da tür eksik",IF(AND(B32="Çıkış",IFERROR(INDEX(Ürünler!$H$5:$H$304,MATCH(C32,Ürünler!$A$5:$A$304,0)),0)&lt;0),"Stok eksiye düştü","")))</f>
        <v/>
      </c>
    </row>
    <row r="33" customFormat="false" ht="15" hidden="false" customHeight="false" outlineLevel="0" collapsed="false">
      <c r="A33" s="12"/>
      <c r="B33" s="13"/>
      <c r="C33" s="14"/>
      <c r="D33" s="15"/>
      <c r="E33" s="14"/>
      <c r="F33" s="16" t="str">
        <f aca="false">IF(OR(C33="",D33=""),"",IF(OR(A33="",B33=""),"Tarih ya da tür eksik",IF(AND(B33="Çıkış",IFERROR(INDEX(Ürünler!$H$5:$H$304,MATCH(C33,Ürünler!$A$5:$A$304,0)),0)&lt;0),"Stok eksiye düştü","")))</f>
        <v/>
      </c>
    </row>
    <row r="34" customFormat="false" ht="15" hidden="false" customHeight="false" outlineLevel="0" collapsed="false">
      <c r="A34" s="12"/>
      <c r="B34" s="13"/>
      <c r="C34" s="14"/>
      <c r="D34" s="15"/>
      <c r="E34" s="14"/>
      <c r="F34" s="16" t="str">
        <f aca="false">IF(OR(C34="",D34=""),"",IF(OR(A34="",B34=""),"Tarih ya da tür eksik",IF(AND(B34="Çıkış",IFERROR(INDEX(Ürünler!$H$5:$H$304,MATCH(C34,Ürünler!$A$5:$A$304,0)),0)&lt;0),"Stok eksiye düştü","")))</f>
        <v/>
      </c>
    </row>
    <row r="35" customFormat="false" ht="15" hidden="false" customHeight="false" outlineLevel="0" collapsed="false">
      <c r="A35" s="12"/>
      <c r="B35" s="13"/>
      <c r="C35" s="14"/>
      <c r="D35" s="15"/>
      <c r="E35" s="14"/>
      <c r="F35" s="16" t="str">
        <f aca="false">IF(OR(C35="",D35=""),"",IF(OR(A35="",B35=""),"Tarih ya da tür eksik",IF(AND(B35="Çıkış",IFERROR(INDEX(Ürünler!$H$5:$H$304,MATCH(C35,Ürünler!$A$5:$A$304,0)),0)&lt;0),"Stok eksiye düştü","")))</f>
        <v/>
      </c>
    </row>
    <row r="36" customFormat="false" ht="15" hidden="false" customHeight="false" outlineLevel="0" collapsed="false">
      <c r="A36" s="12"/>
      <c r="B36" s="13"/>
      <c r="C36" s="14"/>
      <c r="D36" s="15"/>
      <c r="E36" s="14"/>
      <c r="F36" s="16" t="str">
        <f aca="false">IF(OR(C36="",D36=""),"",IF(OR(A36="",B36=""),"Tarih ya da tür eksik",IF(AND(B36="Çıkış",IFERROR(INDEX(Ürünler!$H$5:$H$304,MATCH(C36,Ürünler!$A$5:$A$304,0)),0)&lt;0),"Stok eksiye düştü","")))</f>
        <v/>
      </c>
    </row>
    <row r="37" customFormat="false" ht="15" hidden="false" customHeight="false" outlineLevel="0" collapsed="false">
      <c r="A37" s="12"/>
      <c r="B37" s="13"/>
      <c r="C37" s="14"/>
      <c r="D37" s="15"/>
      <c r="E37" s="14"/>
      <c r="F37" s="16" t="str">
        <f aca="false">IF(OR(C37="",D37=""),"",IF(OR(A37="",B37=""),"Tarih ya da tür eksik",IF(AND(B37="Çıkış",IFERROR(INDEX(Ürünler!$H$5:$H$304,MATCH(C37,Ürünler!$A$5:$A$304,0)),0)&lt;0),"Stok eksiye düştü","")))</f>
        <v/>
      </c>
    </row>
    <row r="38" customFormat="false" ht="15" hidden="false" customHeight="false" outlineLevel="0" collapsed="false">
      <c r="A38" s="12"/>
      <c r="B38" s="13"/>
      <c r="C38" s="14"/>
      <c r="D38" s="15"/>
      <c r="E38" s="14"/>
      <c r="F38" s="16" t="str">
        <f aca="false">IF(OR(C38="",D38=""),"",IF(OR(A38="",B38=""),"Tarih ya da tür eksik",IF(AND(B38="Çıkış",IFERROR(INDEX(Ürünler!$H$5:$H$304,MATCH(C38,Ürünler!$A$5:$A$304,0)),0)&lt;0),"Stok eksiye düştü","")))</f>
        <v/>
      </c>
    </row>
    <row r="39" customFormat="false" ht="15" hidden="false" customHeight="false" outlineLevel="0" collapsed="false">
      <c r="A39" s="12"/>
      <c r="B39" s="13"/>
      <c r="C39" s="14"/>
      <c r="D39" s="15"/>
      <c r="E39" s="14"/>
      <c r="F39" s="16" t="str">
        <f aca="false">IF(OR(C39="",D39=""),"",IF(OR(A39="",B39=""),"Tarih ya da tür eksik",IF(AND(B39="Çıkış",IFERROR(INDEX(Ürünler!$H$5:$H$304,MATCH(C39,Ürünler!$A$5:$A$304,0)),0)&lt;0),"Stok eksiye düştü","")))</f>
        <v/>
      </c>
    </row>
    <row r="40" customFormat="false" ht="15" hidden="false" customHeight="false" outlineLevel="0" collapsed="false">
      <c r="A40" s="12"/>
      <c r="B40" s="13"/>
      <c r="C40" s="14"/>
      <c r="D40" s="15"/>
      <c r="E40" s="14"/>
      <c r="F40" s="16" t="str">
        <f aca="false">IF(OR(C40="",D40=""),"",IF(OR(A40="",B40=""),"Tarih ya da tür eksik",IF(AND(B40="Çıkış",IFERROR(INDEX(Ürünler!$H$5:$H$304,MATCH(C40,Ürünler!$A$5:$A$304,0)),0)&lt;0),"Stok eksiye düştü","")))</f>
        <v/>
      </c>
    </row>
    <row r="41" customFormat="false" ht="15" hidden="false" customHeight="false" outlineLevel="0" collapsed="false">
      <c r="A41" s="12"/>
      <c r="B41" s="13"/>
      <c r="C41" s="14"/>
      <c r="D41" s="15"/>
      <c r="E41" s="14"/>
      <c r="F41" s="16" t="str">
        <f aca="false">IF(OR(C41="",D41=""),"",IF(OR(A41="",B41=""),"Tarih ya da tür eksik",IF(AND(B41="Çıkış",IFERROR(INDEX(Ürünler!$H$5:$H$304,MATCH(C41,Ürünler!$A$5:$A$304,0)),0)&lt;0),"Stok eksiye düştü","")))</f>
        <v/>
      </c>
    </row>
    <row r="42" customFormat="false" ht="15" hidden="false" customHeight="false" outlineLevel="0" collapsed="false">
      <c r="A42" s="12"/>
      <c r="B42" s="13"/>
      <c r="C42" s="14"/>
      <c r="D42" s="15"/>
      <c r="E42" s="14"/>
      <c r="F42" s="16" t="str">
        <f aca="false">IF(OR(C42="",D42=""),"",IF(OR(A42="",B42=""),"Tarih ya da tür eksik",IF(AND(B42="Çıkış",IFERROR(INDEX(Ürünler!$H$5:$H$304,MATCH(C42,Ürünler!$A$5:$A$304,0)),0)&lt;0),"Stok eksiye düştü","")))</f>
        <v/>
      </c>
    </row>
    <row r="43" customFormat="false" ht="15" hidden="false" customHeight="false" outlineLevel="0" collapsed="false">
      <c r="A43" s="12"/>
      <c r="B43" s="13"/>
      <c r="C43" s="14"/>
      <c r="D43" s="15"/>
      <c r="E43" s="14"/>
      <c r="F43" s="16" t="str">
        <f aca="false">IF(OR(C43="",D43=""),"",IF(OR(A43="",B43=""),"Tarih ya da tür eksik",IF(AND(B43="Çıkış",IFERROR(INDEX(Ürünler!$H$5:$H$304,MATCH(C43,Ürünler!$A$5:$A$304,0)),0)&lt;0),"Stok eksiye düştü","")))</f>
        <v/>
      </c>
    </row>
    <row r="44" customFormat="false" ht="15" hidden="false" customHeight="false" outlineLevel="0" collapsed="false">
      <c r="A44" s="12"/>
      <c r="B44" s="13"/>
      <c r="C44" s="14"/>
      <c r="D44" s="15"/>
      <c r="E44" s="14"/>
      <c r="F44" s="16" t="str">
        <f aca="false">IF(OR(C44="",D44=""),"",IF(OR(A44="",B44=""),"Tarih ya da tür eksik",IF(AND(B44="Çıkış",IFERROR(INDEX(Ürünler!$H$5:$H$304,MATCH(C44,Ürünler!$A$5:$A$304,0)),0)&lt;0),"Stok eksiye düştü","")))</f>
        <v/>
      </c>
    </row>
    <row r="45" customFormat="false" ht="15" hidden="false" customHeight="false" outlineLevel="0" collapsed="false">
      <c r="A45" s="12"/>
      <c r="B45" s="13"/>
      <c r="C45" s="14"/>
      <c r="D45" s="15"/>
      <c r="E45" s="14"/>
      <c r="F45" s="16" t="str">
        <f aca="false">IF(OR(C45="",D45=""),"",IF(OR(A45="",B45=""),"Tarih ya da tür eksik",IF(AND(B45="Çıkış",IFERROR(INDEX(Ürünler!$H$5:$H$304,MATCH(C45,Ürünler!$A$5:$A$304,0)),0)&lt;0),"Stok eksiye düştü","")))</f>
        <v/>
      </c>
    </row>
    <row r="46" customFormat="false" ht="15" hidden="false" customHeight="false" outlineLevel="0" collapsed="false">
      <c r="A46" s="12"/>
      <c r="B46" s="13"/>
      <c r="C46" s="14"/>
      <c r="D46" s="15"/>
      <c r="E46" s="14"/>
      <c r="F46" s="16" t="str">
        <f aca="false">IF(OR(C46="",D46=""),"",IF(OR(A46="",B46=""),"Tarih ya da tür eksik",IF(AND(B46="Çıkış",IFERROR(INDEX(Ürünler!$H$5:$H$304,MATCH(C46,Ürünler!$A$5:$A$304,0)),0)&lt;0),"Stok eksiye düştü","")))</f>
        <v/>
      </c>
    </row>
    <row r="47" customFormat="false" ht="15" hidden="false" customHeight="false" outlineLevel="0" collapsed="false">
      <c r="A47" s="12"/>
      <c r="B47" s="13"/>
      <c r="C47" s="14"/>
      <c r="D47" s="15"/>
      <c r="E47" s="14"/>
      <c r="F47" s="16" t="str">
        <f aca="false">IF(OR(C47="",D47=""),"",IF(OR(A47="",B47=""),"Tarih ya da tür eksik",IF(AND(B47="Çıkış",IFERROR(INDEX(Ürünler!$H$5:$H$304,MATCH(C47,Ürünler!$A$5:$A$304,0)),0)&lt;0),"Stok eksiye düştü","")))</f>
        <v/>
      </c>
    </row>
    <row r="48" customFormat="false" ht="15" hidden="false" customHeight="false" outlineLevel="0" collapsed="false">
      <c r="A48" s="12"/>
      <c r="B48" s="13"/>
      <c r="C48" s="14"/>
      <c r="D48" s="15"/>
      <c r="E48" s="14"/>
      <c r="F48" s="16" t="str">
        <f aca="false">IF(OR(C48="",D48=""),"",IF(OR(A48="",B48=""),"Tarih ya da tür eksik",IF(AND(B48="Çıkış",IFERROR(INDEX(Ürünler!$H$5:$H$304,MATCH(C48,Ürünler!$A$5:$A$304,0)),0)&lt;0),"Stok eksiye düştü","")))</f>
        <v/>
      </c>
    </row>
    <row r="49" customFormat="false" ht="15" hidden="false" customHeight="false" outlineLevel="0" collapsed="false">
      <c r="A49" s="12"/>
      <c r="B49" s="13"/>
      <c r="C49" s="14"/>
      <c r="D49" s="15"/>
      <c r="E49" s="14"/>
      <c r="F49" s="16" t="str">
        <f aca="false">IF(OR(C49="",D49=""),"",IF(OR(A49="",B49=""),"Tarih ya da tür eksik",IF(AND(B49="Çıkış",IFERROR(INDEX(Ürünler!$H$5:$H$304,MATCH(C49,Ürünler!$A$5:$A$304,0)),0)&lt;0),"Stok eksiye düştü","")))</f>
        <v/>
      </c>
    </row>
    <row r="50" customFormat="false" ht="15" hidden="false" customHeight="false" outlineLevel="0" collapsed="false">
      <c r="A50" s="12"/>
      <c r="B50" s="13"/>
      <c r="C50" s="14"/>
      <c r="D50" s="15"/>
      <c r="E50" s="14"/>
      <c r="F50" s="16" t="str">
        <f aca="false">IF(OR(C50="",D50=""),"",IF(OR(A50="",B50=""),"Tarih ya da tür eksik",IF(AND(B50="Çıkış",IFERROR(INDEX(Ürünler!$H$5:$H$304,MATCH(C50,Ürünler!$A$5:$A$304,0)),0)&lt;0),"Stok eksiye düştü","")))</f>
        <v/>
      </c>
    </row>
    <row r="51" customFormat="false" ht="15" hidden="false" customHeight="false" outlineLevel="0" collapsed="false">
      <c r="A51" s="12"/>
      <c r="B51" s="13"/>
      <c r="C51" s="14"/>
      <c r="D51" s="15"/>
      <c r="E51" s="14"/>
      <c r="F51" s="16" t="str">
        <f aca="false">IF(OR(C51="",D51=""),"",IF(OR(A51="",B51=""),"Tarih ya da tür eksik",IF(AND(B51="Çıkış",IFERROR(INDEX(Ürünler!$H$5:$H$304,MATCH(C51,Ürünler!$A$5:$A$304,0)),0)&lt;0),"Stok eksiye düştü","")))</f>
        <v/>
      </c>
    </row>
    <row r="52" customFormat="false" ht="15" hidden="false" customHeight="false" outlineLevel="0" collapsed="false">
      <c r="A52" s="12"/>
      <c r="B52" s="13"/>
      <c r="C52" s="14"/>
      <c r="D52" s="15"/>
      <c r="E52" s="14"/>
      <c r="F52" s="16" t="str">
        <f aca="false">IF(OR(C52="",D52=""),"",IF(OR(A52="",B52=""),"Tarih ya da tür eksik",IF(AND(B52="Çıkış",IFERROR(INDEX(Ürünler!$H$5:$H$304,MATCH(C52,Ürünler!$A$5:$A$304,0)),0)&lt;0),"Stok eksiye düştü","")))</f>
        <v/>
      </c>
    </row>
    <row r="53" customFormat="false" ht="15" hidden="false" customHeight="false" outlineLevel="0" collapsed="false">
      <c r="A53" s="12"/>
      <c r="B53" s="13"/>
      <c r="C53" s="14"/>
      <c r="D53" s="15"/>
      <c r="E53" s="14"/>
      <c r="F53" s="16" t="str">
        <f aca="false">IF(OR(C53="",D53=""),"",IF(OR(A53="",B53=""),"Tarih ya da tür eksik",IF(AND(B53="Çıkış",IFERROR(INDEX(Ürünler!$H$5:$H$304,MATCH(C53,Ürünler!$A$5:$A$304,0)),0)&lt;0),"Stok eksiye düştü","")))</f>
        <v/>
      </c>
    </row>
    <row r="54" customFormat="false" ht="15" hidden="false" customHeight="false" outlineLevel="0" collapsed="false">
      <c r="A54" s="12"/>
      <c r="B54" s="13"/>
      <c r="C54" s="14"/>
      <c r="D54" s="15"/>
      <c r="E54" s="14"/>
      <c r="F54" s="16" t="str">
        <f aca="false">IF(OR(C54="",D54=""),"",IF(OR(A54="",B54=""),"Tarih ya da tür eksik",IF(AND(B54="Çıkış",IFERROR(INDEX(Ürünler!$H$5:$H$304,MATCH(C54,Ürünler!$A$5:$A$304,0)),0)&lt;0),"Stok eksiye düştü","")))</f>
        <v/>
      </c>
    </row>
    <row r="55" customFormat="false" ht="15" hidden="false" customHeight="false" outlineLevel="0" collapsed="false">
      <c r="A55" s="12"/>
      <c r="B55" s="13"/>
      <c r="C55" s="14"/>
      <c r="D55" s="15"/>
      <c r="E55" s="14"/>
      <c r="F55" s="16" t="str">
        <f aca="false">IF(OR(C55="",D55=""),"",IF(OR(A55="",B55=""),"Tarih ya da tür eksik",IF(AND(B55="Çıkış",IFERROR(INDEX(Ürünler!$H$5:$H$304,MATCH(C55,Ürünler!$A$5:$A$304,0)),0)&lt;0),"Stok eksiye düştü","")))</f>
        <v/>
      </c>
    </row>
    <row r="56" customFormat="false" ht="15" hidden="false" customHeight="false" outlineLevel="0" collapsed="false">
      <c r="A56" s="12"/>
      <c r="B56" s="13"/>
      <c r="C56" s="14"/>
      <c r="D56" s="15"/>
      <c r="E56" s="14"/>
      <c r="F56" s="16" t="str">
        <f aca="false">IF(OR(C56="",D56=""),"",IF(OR(A56="",B56=""),"Tarih ya da tür eksik",IF(AND(B56="Çıkış",IFERROR(INDEX(Ürünler!$H$5:$H$304,MATCH(C56,Ürünler!$A$5:$A$304,0)),0)&lt;0),"Stok eksiye düştü","")))</f>
        <v/>
      </c>
    </row>
    <row r="57" customFormat="false" ht="15" hidden="false" customHeight="false" outlineLevel="0" collapsed="false">
      <c r="A57" s="12"/>
      <c r="B57" s="13"/>
      <c r="C57" s="14"/>
      <c r="D57" s="15"/>
      <c r="E57" s="14"/>
      <c r="F57" s="16" t="str">
        <f aca="false">IF(OR(C57="",D57=""),"",IF(OR(A57="",B57=""),"Tarih ya da tür eksik",IF(AND(B57="Çıkış",IFERROR(INDEX(Ürünler!$H$5:$H$304,MATCH(C57,Ürünler!$A$5:$A$304,0)),0)&lt;0),"Stok eksiye düştü","")))</f>
        <v/>
      </c>
    </row>
    <row r="58" customFormat="false" ht="15" hidden="false" customHeight="false" outlineLevel="0" collapsed="false">
      <c r="A58" s="12"/>
      <c r="B58" s="13"/>
      <c r="C58" s="14"/>
      <c r="D58" s="15"/>
      <c r="E58" s="14"/>
      <c r="F58" s="16" t="str">
        <f aca="false">IF(OR(C58="",D58=""),"",IF(OR(A58="",B58=""),"Tarih ya da tür eksik",IF(AND(B58="Çıkış",IFERROR(INDEX(Ürünler!$H$5:$H$304,MATCH(C58,Ürünler!$A$5:$A$304,0)),0)&lt;0),"Stok eksiye düştü","")))</f>
        <v/>
      </c>
    </row>
    <row r="59" customFormat="false" ht="15" hidden="false" customHeight="false" outlineLevel="0" collapsed="false">
      <c r="A59" s="12"/>
      <c r="B59" s="13"/>
      <c r="C59" s="14"/>
      <c r="D59" s="15"/>
      <c r="E59" s="14"/>
      <c r="F59" s="16" t="str">
        <f aca="false">IF(OR(C59="",D59=""),"",IF(OR(A59="",B59=""),"Tarih ya da tür eksik",IF(AND(B59="Çıkış",IFERROR(INDEX(Ürünler!$H$5:$H$304,MATCH(C59,Ürünler!$A$5:$A$304,0)),0)&lt;0),"Stok eksiye düştü","")))</f>
        <v/>
      </c>
    </row>
    <row r="60" customFormat="false" ht="15" hidden="false" customHeight="false" outlineLevel="0" collapsed="false">
      <c r="A60" s="12"/>
      <c r="B60" s="13"/>
      <c r="C60" s="14"/>
      <c r="D60" s="15"/>
      <c r="E60" s="14"/>
      <c r="F60" s="16" t="str">
        <f aca="false">IF(OR(C60="",D60=""),"",IF(OR(A60="",B60=""),"Tarih ya da tür eksik",IF(AND(B60="Çıkış",IFERROR(INDEX(Ürünler!$H$5:$H$304,MATCH(C60,Ürünler!$A$5:$A$304,0)),0)&lt;0),"Stok eksiye düştü","")))</f>
        <v/>
      </c>
    </row>
    <row r="61" customFormat="false" ht="15" hidden="false" customHeight="false" outlineLevel="0" collapsed="false">
      <c r="A61" s="12"/>
      <c r="B61" s="13"/>
      <c r="C61" s="14"/>
      <c r="D61" s="15"/>
      <c r="E61" s="14"/>
      <c r="F61" s="16" t="str">
        <f aca="false">IF(OR(C61="",D61=""),"",IF(OR(A61="",B61=""),"Tarih ya da tür eksik",IF(AND(B61="Çıkış",IFERROR(INDEX(Ürünler!$H$5:$H$304,MATCH(C61,Ürünler!$A$5:$A$304,0)),0)&lt;0),"Stok eksiye düştü","")))</f>
        <v/>
      </c>
    </row>
    <row r="62" customFormat="false" ht="15" hidden="false" customHeight="false" outlineLevel="0" collapsed="false">
      <c r="A62" s="12"/>
      <c r="B62" s="13"/>
      <c r="C62" s="14"/>
      <c r="D62" s="15"/>
      <c r="E62" s="14"/>
      <c r="F62" s="16" t="str">
        <f aca="false">IF(OR(C62="",D62=""),"",IF(OR(A62="",B62=""),"Tarih ya da tür eksik",IF(AND(B62="Çıkış",IFERROR(INDEX(Ürünler!$H$5:$H$304,MATCH(C62,Ürünler!$A$5:$A$304,0)),0)&lt;0),"Stok eksiye düştü","")))</f>
        <v/>
      </c>
    </row>
    <row r="63" customFormat="false" ht="15" hidden="false" customHeight="false" outlineLevel="0" collapsed="false">
      <c r="A63" s="12"/>
      <c r="B63" s="13"/>
      <c r="C63" s="14"/>
      <c r="D63" s="15"/>
      <c r="E63" s="14"/>
      <c r="F63" s="16" t="str">
        <f aca="false">IF(OR(C63="",D63=""),"",IF(OR(A63="",B63=""),"Tarih ya da tür eksik",IF(AND(B63="Çıkış",IFERROR(INDEX(Ürünler!$H$5:$H$304,MATCH(C63,Ürünler!$A$5:$A$304,0)),0)&lt;0),"Stok eksiye düştü","")))</f>
        <v/>
      </c>
    </row>
    <row r="64" customFormat="false" ht="15" hidden="false" customHeight="false" outlineLevel="0" collapsed="false">
      <c r="A64" s="12"/>
      <c r="B64" s="13"/>
      <c r="C64" s="14"/>
      <c r="D64" s="15"/>
      <c r="E64" s="14"/>
      <c r="F64" s="16" t="str">
        <f aca="false">IF(OR(C64="",D64=""),"",IF(OR(A64="",B64=""),"Tarih ya da tür eksik",IF(AND(B64="Çıkış",IFERROR(INDEX(Ürünler!$H$5:$H$304,MATCH(C64,Ürünler!$A$5:$A$304,0)),0)&lt;0),"Stok eksiye düştü","")))</f>
        <v/>
      </c>
    </row>
    <row r="65" customFormat="false" ht="15" hidden="false" customHeight="false" outlineLevel="0" collapsed="false">
      <c r="A65" s="12"/>
      <c r="B65" s="13"/>
      <c r="C65" s="14"/>
      <c r="D65" s="15"/>
      <c r="E65" s="14"/>
      <c r="F65" s="16" t="str">
        <f aca="false">IF(OR(C65="",D65=""),"",IF(OR(A65="",B65=""),"Tarih ya da tür eksik",IF(AND(B65="Çıkış",IFERROR(INDEX(Ürünler!$H$5:$H$304,MATCH(C65,Ürünler!$A$5:$A$304,0)),0)&lt;0),"Stok eksiye düştü","")))</f>
        <v/>
      </c>
    </row>
    <row r="66" customFormat="false" ht="15" hidden="false" customHeight="false" outlineLevel="0" collapsed="false">
      <c r="A66" s="12"/>
      <c r="B66" s="13"/>
      <c r="C66" s="14"/>
      <c r="D66" s="15"/>
      <c r="E66" s="14"/>
      <c r="F66" s="16" t="str">
        <f aca="false">IF(OR(C66="",D66=""),"",IF(OR(A66="",B66=""),"Tarih ya da tür eksik",IF(AND(B66="Çıkış",IFERROR(INDEX(Ürünler!$H$5:$H$304,MATCH(C66,Ürünler!$A$5:$A$304,0)),0)&lt;0),"Stok eksiye düştü","")))</f>
        <v/>
      </c>
    </row>
    <row r="67" customFormat="false" ht="15" hidden="false" customHeight="false" outlineLevel="0" collapsed="false">
      <c r="A67" s="12"/>
      <c r="B67" s="13"/>
      <c r="C67" s="14"/>
      <c r="D67" s="15"/>
      <c r="E67" s="14"/>
      <c r="F67" s="16" t="str">
        <f aca="false">IF(OR(C67="",D67=""),"",IF(OR(A67="",B67=""),"Tarih ya da tür eksik",IF(AND(B67="Çıkış",IFERROR(INDEX(Ürünler!$H$5:$H$304,MATCH(C67,Ürünler!$A$5:$A$304,0)),0)&lt;0),"Stok eksiye düştü","")))</f>
        <v/>
      </c>
    </row>
    <row r="68" customFormat="false" ht="15" hidden="false" customHeight="false" outlineLevel="0" collapsed="false">
      <c r="A68" s="12"/>
      <c r="B68" s="13"/>
      <c r="C68" s="14"/>
      <c r="D68" s="15"/>
      <c r="E68" s="14"/>
      <c r="F68" s="16" t="str">
        <f aca="false">IF(OR(C68="",D68=""),"",IF(OR(A68="",B68=""),"Tarih ya da tür eksik",IF(AND(B68="Çıkış",IFERROR(INDEX(Ürünler!$H$5:$H$304,MATCH(C68,Ürünler!$A$5:$A$304,0)),0)&lt;0),"Stok eksiye düştü","")))</f>
        <v/>
      </c>
    </row>
    <row r="69" customFormat="false" ht="15" hidden="false" customHeight="false" outlineLevel="0" collapsed="false">
      <c r="A69" s="12"/>
      <c r="B69" s="13"/>
      <c r="C69" s="14"/>
      <c r="D69" s="15"/>
      <c r="E69" s="14"/>
      <c r="F69" s="16" t="str">
        <f aca="false">IF(OR(C69="",D69=""),"",IF(OR(A69="",B69=""),"Tarih ya da tür eksik",IF(AND(B69="Çıkış",IFERROR(INDEX(Ürünler!$H$5:$H$304,MATCH(C69,Ürünler!$A$5:$A$304,0)),0)&lt;0),"Stok eksiye düştü","")))</f>
        <v/>
      </c>
    </row>
    <row r="70" customFormat="false" ht="15" hidden="false" customHeight="false" outlineLevel="0" collapsed="false">
      <c r="A70" s="12"/>
      <c r="B70" s="13"/>
      <c r="C70" s="14"/>
      <c r="D70" s="15"/>
      <c r="E70" s="14"/>
      <c r="F70" s="16" t="str">
        <f aca="false">IF(OR(C70="",D70=""),"",IF(OR(A70="",B70=""),"Tarih ya da tür eksik",IF(AND(B70="Çıkış",IFERROR(INDEX(Ürünler!$H$5:$H$304,MATCH(C70,Ürünler!$A$5:$A$304,0)),0)&lt;0),"Stok eksiye düştü","")))</f>
        <v/>
      </c>
    </row>
    <row r="71" customFormat="false" ht="15" hidden="false" customHeight="false" outlineLevel="0" collapsed="false">
      <c r="A71" s="12"/>
      <c r="B71" s="13"/>
      <c r="C71" s="14"/>
      <c r="D71" s="15"/>
      <c r="E71" s="14"/>
      <c r="F71" s="16" t="str">
        <f aca="false">IF(OR(C71="",D71=""),"",IF(OR(A71="",B71=""),"Tarih ya da tür eksik",IF(AND(B71="Çıkış",IFERROR(INDEX(Ürünler!$H$5:$H$304,MATCH(C71,Ürünler!$A$5:$A$304,0)),0)&lt;0),"Stok eksiye düştü","")))</f>
        <v/>
      </c>
    </row>
    <row r="72" customFormat="false" ht="15" hidden="false" customHeight="false" outlineLevel="0" collapsed="false">
      <c r="A72" s="12"/>
      <c r="B72" s="13"/>
      <c r="C72" s="14"/>
      <c r="D72" s="15"/>
      <c r="E72" s="14"/>
      <c r="F72" s="16" t="str">
        <f aca="false">IF(OR(C72="",D72=""),"",IF(OR(A72="",B72=""),"Tarih ya da tür eksik",IF(AND(B72="Çıkış",IFERROR(INDEX(Ürünler!$H$5:$H$304,MATCH(C72,Ürünler!$A$5:$A$304,0)),0)&lt;0),"Stok eksiye düştü","")))</f>
        <v/>
      </c>
    </row>
    <row r="73" customFormat="false" ht="15" hidden="false" customHeight="false" outlineLevel="0" collapsed="false">
      <c r="A73" s="12"/>
      <c r="B73" s="13"/>
      <c r="C73" s="14"/>
      <c r="D73" s="15"/>
      <c r="E73" s="14"/>
      <c r="F73" s="16" t="str">
        <f aca="false">IF(OR(C73="",D73=""),"",IF(OR(A73="",B73=""),"Tarih ya da tür eksik",IF(AND(B73="Çıkış",IFERROR(INDEX(Ürünler!$H$5:$H$304,MATCH(C73,Ürünler!$A$5:$A$304,0)),0)&lt;0),"Stok eksiye düştü","")))</f>
        <v/>
      </c>
    </row>
    <row r="74" customFormat="false" ht="15" hidden="false" customHeight="false" outlineLevel="0" collapsed="false">
      <c r="A74" s="12"/>
      <c r="B74" s="13"/>
      <c r="C74" s="14"/>
      <c r="D74" s="15"/>
      <c r="E74" s="14"/>
      <c r="F74" s="16" t="str">
        <f aca="false">IF(OR(C74="",D74=""),"",IF(OR(A74="",B74=""),"Tarih ya da tür eksik",IF(AND(B74="Çıkış",IFERROR(INDEX(Ürünler!$H$5:$H$304,MATCH(C74,Ürünler!$A$5:$A$304,0)),0)&lt;0),"Stok eksiye düştü","")))</f>
        <v/>
      </c>
    </row>
    <row r="75" customFormat="false" ht="15" hidden="false" customHeight="false" outlineLevel="0" collapsed="false">
      <c r="A75" s="12"/>
      <c r="B75" s="13"/>
      <c r="C75" s="14"/>
      <c r="D75" s="15"/>
      <c r="E75" s="14"/>
      <c r="F75" s="16" t="str">
        <f aca="false">IF(OR(C75="",D75=""),"",IF(OR(A75="",B75=""),"Tarih ya da tür eksik",IF(AND(B75="Çıkış",IFERROR(INDEX(Ürünler!$H$5:$H$304,MATCH(C75,Ürünler!$A$5:$A$304,0)),0)&lt;0),"Stok eksiye düştü","")))</f>
        <v/>
      </c>
    </row>
    <row r="76" customFormat="false" ht="15" hidden="false" customHeight="false" outlineLevel="0" collapsed="false">
      <c r="A76" s="12"/>
      <c r="B76" s="13"/>
      <c r="C76" s="14"/>
      <c r="D76" s="15"/>
      <c r="E76" s="14"/>
      <c r="F76" s="16" t="str">
        <f aca="false">IF(OR(C76="",D76=""),"",IF(OR(A76="",B76=""),"Tarih ya da tür eksik",IF(AND(B76="Çıkış",IFERROR(INDEX(Ürünler!$H$5:$H$304,MATCH(C76,Ürünler!$A$5:$A$304,0)),0)&lt;0),"Stok eksiye düştü","")))</f>
        <v/>
      </c>
    </row>
    <row r="77" customFormat="false" ht="15" hidden="false" customHeight="false" outlineLevel="0" collapsed="false">
      <c r="A77" s="12"/>
      <c r="B77" s="13"/>
      <c r="C77" s="14"/>
      <c r="D77" s="15"/>
      <c r="E77" s="14"/>
      <c r="F77" s="16" t="str">
        <f aca="false">IF(OR(C77="",D77=""),"",IF(OR(A77="",B77=""),"Tarih ya da tür eksik",IF(AND(B77="Çıkış",IFERROR(INDEX(Ürünler!$H$5:$H$304,MATCH(C77,Ürünler!$A$5:$A$304,0)),0)&lt;0),"Stok eksiye düştü","")))</f>
        <v/>
      </c>
    </row>
    <row r="78" customFormat="false" ht="15" hidden="false" customHeight="false" outlineLevel="0" collapsed="false">
      <c r="A78" s="12"/>
      <c r="B78" s="13"/>
      <c r="C78" s="14"/>
      <c r="D78" s="15"/>
      <c r="E78" s="14"/>
      <c r="F78" s="16" t="str">
        <f aca="false">IF(OR(C78="",D78=""),"",IF(OR(A78="",B78=""),"Tarih ya da tür eksik",IF(AND(B78="Çıkış",IFERROR(INDEX(Ürünler!$H$5:$H$304,MATCH(C78,Ürünler!$A$5:$A$304,0)),0)&lt;0),"Stok eksiye düştü","")))</f>
        <v/>
      </c>
    </row>
    <row r="79" customFormat="false" ht="15" hidden="false" customHeight="false" outlineLevel="0" collapsed="false">
      <c r="A79" s="12"/>
      <c r="B79" s="13"/>
      <c r="C79" s="14"/>
      <c r="D79" s="15"/>
      <c r="E79" s="14"/>
      <c r="F79" s="16" t="str">
        <f aca="false">IF(OR(C79="",D79=""),"",IF(OR(A79="",B79=""),"Tarih ya da tür eksik",IF(AND(B79="Çıkış",IFERROR(INDEX(Ürünler!$H$5:$H$304,MATCH(C79,Ürünler!$A$5:$A$304,0)),0)&lt;0),"Stok eksiye düştü","")))</f>
        <v/>
      </c>
    </row>
    <row r="80" customFormat="false" ht="15" hidden="false" customHeight="false" outlineLevel="0" collapsed="false">
      <c r="A80" s="12"/>
      <c r="B80" s="13"/>
      <c r="C80" s="14"/>
      <c r="D80" s="15"/>
      <c r="E80" s="14"/>
      <c r="F80" s="16" t="str">
        <f aca="false">IF(OR(C80="",D80=""),"",IF(OR(A80="",B80=""),"Tarih ya da tür eksik",IF(AND(B80="Çıkış",IFERROR(INDEX(Ürünler!$H$5:$H$304,MATCH(C80,Ürünler!$A$5:$A$304,0)),0)&lt;0),"Stok eksiye düştü","")))</f>
        <v/>
      </c>
    </row>
    <row r="81" customFormat="false" ht="15" hidden="false" customHeight="false" outlineLevel="0" collapsed="false">
      <c r="A81" s="12"/>
      <c r="B81" s="13"/>
      <c r="C81" s="14"/>
      <c r="D81" s="15"/>
      <c r="E81" s="14"/>
      <c r="F81" s="16" t="str">
        <f aca="false">IF(OR(C81="",D81=""),"",IF(OR(A81="",B81=""),"Tarih ya da tür eksik",IF(AND(B81="Çıkış",IFERROR(INDEX(Ürünler!$H$5:$H$304,MATCH(C81,Ürünler!$A$5:$A$304,0)),0)&lt;0),"Stok eksiye düştü","")))</f>
        <v/>
      </c>
    </row>
    <row r="82" customFormat="false" ht="15" hidden="false" customHeight="false" outlineLevel="0" collapsed="false">
      <c r="A82" s="12"/>
      <c r="B82" s="13"/>
      <c r="C82" s="14"/>
      <c r="D82" s="15"/>
      <c r="E82" s="14"/>
      <c r="F82" s="16" t="str">
        <f aca="false">IF(OR(C82="",D82=""),"",IF(OR(A82="",B82=""),"Tarih ya da tür eksik",IF(AND(B82="Çıkış",IFERROR(INDEX(Ürünler!$H$5:$H$304,MATCH(C82,Ürünler!$A$5:$A$304,0)),0)&lt;0),"Stok eksiye düştü","")))</f>
        <v/>
      </c>
    </row>
    <row r="83" customFormat="false" ht="15" hidden="false" customHeight="false" outlineLevel="0" collapsed="false">
      <c r="A83" s="12"/>
      <c r="B83" s="13"/>
      <c r="C83" s="14"/>
      <c r="D83" s="15"/>
      <c r="E83" s="14"/>
      <c r="F83" s="16" t="str">
        <f aca="false">IF(OR(C83="",D83=""),"",IF(OR(A83="",B83=""),"Tarih ya da tür eksik",IF(AND(B83="Çıkış",IFERROR(INDEX(Ürünler!$H$5:$H$304,MATCH(C83,Ürünler!$A$5:$A$304,0)),0)&lt;0),"Stok eksiye düştü","")))</f>
        <v/>
      </c>
    </row>
    <row r="84" customFormat="false" ht="15" hidden="false" customHeight="false" outlineLevel="0" collapsed="false">
      <c r="A84" s="12"/>
      <c r="B84" s="13"/>
      <c r="C84" s="14"/>
      <c r="D84" s="15"/>
      <c r="E84" s="14"/>
      <c r="F84" s="16" t="str">
        <f aca="false">IF(OR(C84="",D84=""),"",IF(OR(A84="",B84=""),"Tarih ya da tür eksik",IF(AND(B84="Çıkış",IFERROR(INDEX(Ürünler!$H$5:$H$304,MATCH(C84,Ürünler!$A$5:$A$304,0)),0)&lt;0),"Stok eksiye düştü","")))</f>
        <v/>
      </c>
    </row>
    <row r="85" customFormat="false" ht="15" hidden="false" customHeight="false" outlineLevel="0" collapsed="false">
      <c r="A85" s="12"/>
      <c r="B85" s="13"/>
      <c r="C85" s="14"/>
      <c r="D85" s="15"/>
      <c r="E85" s="14"/>
      <c r="F85" s="16" t="str">
        <f aca="false">IF(OR(C85="",D85=""),"",IF(OR(A85="",B85=""),"Tarih ya da tür eksik",IF(AND(B85="Çıkış",IFERROR(INDEX(Ürünler!$H$5:$H$304,MATCH(C85,Ürünler!$A$5:$A$304,0)),0)&lt;0),"Stok eksiye düştü","")))</f>
        <v/>
      </c>
    </row>
    <row r="86" customFormat="false" ht="15" hidden="false" customHeight="false" outlineLevel="0" collapsed="false">
      <c r="A86" s="12"/>
      <c r="B86" s="13"/>
      <c r="C86" s="14"/>
      <c r="D86" s="15"/>
      <c r="E86" s="14"/>
      <c r="F86" s="16" t="str">
        <f aca="false">IF(OR(C86="",D86=""),"",IF(OR(A86="",B86=""),"Tarih ya da tür eksik",IF(AND(B86="Çıkış",IFERROR(INDEX(Ürünler!$H$5:$H$304,MATCH(C86,Ürünler!$A$5:$A$304,0)),0)&lt;0),"Stok eksiye düştü","")))</f>
        <v/>
      </c>
    </row>
    <row r="87" customFormat="false" ht="15" hidden="false" customHeight="false" outlineLevel="0" collapsed="false">
      <c r="A87" s="12"/>
      <c r="B87" s="13"/>
      <c r="C87" s="14"/>
      <c r="D87" s="15"/>
      <c r="E87" s="14"/>
      <c r="F87" s="16" t="str">
        <f aca="false">IF(OR(C87="",D87=""),"",IF(OR(A87="",B87=""),"Tarih ya da tür eksik",IF(AND(B87="Çıkış",IFERROR(INDEX(Ürünler!$H$5:$H$304,MATCH(C87,Ürünler!$A$5:$A$304,0)),0)&lt;0),"Stok eksiye düştü","")))</f>
        <v/>
      </c>
    </row>
    <row r="88" customFormat="false" ht="15" hidden="false" customHeight="false" outlineLevel="0" collapsed="false">
      <c r="A88" s="12"/>
      <c r="B88" s="13"/>
      <c r="C88" s="14"/>
      <c r="D88" s="15"/>
      <c r="E88" s="14"/>
      <c r="F88" s="16" t="str">
        <f aca="false">IF(OR(C88="",D88=""),"",IF(OR(A88="",B88=""),"Tarih ya da tür eksik",IF(AND(B88="Çıkış",IFERROR(INDEX(Ürünler!$H$5:$H$304,MATCH(C88,Ürünler!$A$5:$A$304,0)),0)&lt;0),"Stok eksiye düştü","")))</f>
        <v/>
      </c>
    </row>
    <row r="89" customFormat="false" ht="15" hidden="false" customHeight="false" outlineLevel="0" collapsed="false">
      <c r="A89" s="12"/>
      <c r="B89" s="13"/>
      <c r="C89" s="14"/>
      <c r="D89" s="15"/>
      <c r="E89" s="14"/>
      <c r="F89" s="16" t="str">
        <f aca="false">IF(OR(C89="",D89=""),"",IF(OR(A89="",B89=""),"Tarih ya da tür eksik",IF(AND(B89="Çıkış",IFERROR(INDEX(Ürünler!$H$5:$H$304,MATCH(C89,Ürünler!$A$5:$A$304,0)),0)&lt;0),"Stok eksiye düştü","")))</f>
        <v/>
      </c>
    </row>
    <row r="90" customFormat="false" ht="15" hidden="false" customHeight="false" outlineLevel="0" collapsed="false">
      <c r="A90" s="12"/>
      <c r="B90" s="13"/>
      <c r="C90" s="14"/>
      <c r="D90" s="15"/>
      <c r="E90" s="14"/>
      <c r="F90" s="16" t="str">
        <f aca="false">IF(OR(C90="",D90=""),"",IF(OR(A90="",B90=""),"Tarih ya da tür eksik",IF(AND(B90="Çıkış",IFERROR(INDEX(Ürünler!$H$5:$H$304,MATCH(C90,Ürünler!$A$5:$A$304,0)),0)&lt;0),"Stok eksiye düştü","")))</f>
        <v/>
      </c>
    </row>
    <row r="91" customFormat="false" ht="15" hidden="false" customHeight="false" outlineLevel="0" collapsed="false">
      <c r="A91" s="12"/>
      <c r="B91" s="13"/>
      <c r="C91" s="14"/>
      <c r="D91" s="15"/>
      <c r="E91" s="14"/>
      <c r="F91" s="16" t="str">
        <f aca="false">IF(OR(C91="",D91=""),"",IF(OR(A91="",B91=""),"Tarih ya da tür eksik",IF(AND(B91="Çıkış",IFERROR(INDEX(Ürünler!$H$5:$H$304,MATCH(C91,Ürünler!$A$5:$A$304,0)),0)&lt;0),"Stok eksiye düştü","")))</f>
        <v/>
      </c>
    </row>
    <row r="92" customFormat="false" ht="15" hidden="false" customHeight="false" outlineLevel="0" collapsed="false">
      <c r="A92" s="12"/>
      <c r="B92" s="13"/>
      <c r="C92" s="14"/>
      <c r="D92" s="15"/>
      <c r="E92" s="14"/>
      <c r="F92" s="16" t="str">
        <f aca="false">IF(OR(C92="",D92=""),"",IF(OR(A92="",B92=""),"Tarih ya da tür eksik",IF(AND(B92="Çıkış",IFERROR(INDEX(Ürünler!$H$5:$H$304,MATCH(C92,Ürünler!$A$5:$A$304,0)),0)&lt;0),"Stok eksiye düştü","")))</f>
        <v/>
      </c>
    </row>
    <row r="93" customFormat="false" ht="15" hidden="false" customHeight="false" outlineLevel="0" collapsed="false">
      <c r="A93" s="12"/>
      <c r="B93" s="13"/>
      <c r="C93" s="14"/>
      <c r="D93" s="15"/>
      <c r="E93" s="14"/>
      <c r="F93" s="16" t="str">
        <f aca="false">IF(OR(C93="",D93=""),"",IF(OR(A93="",B93=""),"Tarih ya da tür eksik",IF(AND(B93="Çıkış",IFERROR(INDEX(Ürünler!$H$5:$H$304,MATCH(C93,Ürünler!$A$5:$A$304,0)),0)&lt;0),"Stok eksiye düştü","")))</f>
        <v/>
      </c>
    </row>
    <row r="94" customFormat="false" ht="15" hidden="false" customHeight="false" outlineLevel="0" collapsed="false">
      <c r="A94" s="12"/>
      <c r="B94" s="13"/>
      <c r="C94" s="14"/>
      <c r="D94" s="15"/>
      <c r="E94" s="14"/>
      <c r="F94" s="16" t="str">
        <f aca="false">IF(OR(C94="",D94=""),"",IF(OR(A94="",B94=""),"Tarih ya da tür eksik",IF(AND(B94="Çıkış",IFERROR(INDEX(Ürünler!$H$5:$H$304,MATCH(C94,Ürünler!$A$5:$A$304,0)),0)&lt;0),"Stok eksiye düştü","")))</f>
        <v/>
      </c>
    </row>
    <row r="95" customFormat="false" ht="15" hidden="false" customHeight="false" outlineLevel="0" collapsed="false">
      <c r="A95" s="12"/>
      <c r="B95" s="13"/>
      <c r="C95" s="14"/>
      <c r="D95" s="15"/>
      <c r="E95" s="14"/>
      <c r="F95" s="16" t="str">
        <f aca="false">IF(OR(C95="",D95=""),"",IF(OR(A95="",B95=""),"Tarih ya da tür eksik",IF(AND(B95="Çıkış",IFERROR(INDEX(Ürünler!$H$5:$H$304,MATCH(C95,Ürünler!$A$5:$A$304,0)),0)&lt;0),"Stok eksiye düştü","")))</f>
        <v/>
      </c>
    </row>
    <row r="96" customFormat="false" ht="15" hidden="false" customHeight="false" outlineLevel="0" collapsed="false">
      <c r="A96" s="12"/>
      <c r="B96" s="13"/>
      <c r="C96" s="14"/>
      <c r="D96" s="15"/>
      <c r="E96" s="14"/>
      <c r="F96" s="16" t="str">
        <f aca="false">IF(OR(C96="",D96=""),"",IF(OR(A96="",B96=""),"Tarih ya da tür eksik",IF(AND(B96="Çıkış",IFERROR(INDEX(Ürünler!$H$5:$H$304,MATCH(C96,Ürünler!$A$5:$A$304,0)),0)&lt;0),"Stok eksiye düştü","")))</f>
        <v/>
      </c>
    </row>
    <row r="97" customFormat="false" ht="15" hidden="false" customHeight="false" outlineLevel="0" collapsed="false">
      <c r="A97" s="12"/>
      <c r="B97" s="13"/>
      <c r="C97" s="14"/>
      <c r="D97" s="15"/>
      <c r="E97" s="14"/>
      <c r="F97" s="16" t="str">
        <f aca="false">IF(OR(C97="",D97=""),"",IF(OR(A97="",B97=""),"Tarih ya da tür eksik",IF(AND(B97="Çıkış",IFERROR(INDEX(Ürünler!$H$5:$H$304,MATCH(C97,Ürünler!$A$5:$A$304,0)),0)&lt;0),"Stok eksiye düştü","")))</f>
        <v/>
      </c>
    </row>
    <row r="98" customFormat="false" ht="15" hidden="false" customHeight="false" outlineLevel="0" collapsed="false">
      <c r="A98" s="12"/>
      <c r="B98" s="13"/>
      <c r="C98" s="14"/>
      <c r="D98" s="15"/>
      <c r="E98" s="14"/>
      <c r="F98" s="16" t="str">
        <f aca="false">IF(OR(C98="",D98=""),"",IF(OR(A98="",B98=""),"Tarih ya da tür eksik",IF(AND(B98="Çıkış",IFERROR(INDEX(Ürünler!$H$5:$H$304,MATCH(C98,Ürünler!$A$5:$A$304,0)),0)&lt;0),"Stok eksiye düştü","")))</f>
        <v/>
      </c>
    </row>
    <row r="99" customFormat="false" ht="15" hidden="false" customHeight="false" outlineLevel="0" collapsed="false">
      <c r="A99" s="12"/>
      <c r="B99" s="13"/>
      <c r="C99" s="14"/>
      <c r="D99" s="15"/>
      <c r="E99" s="14"/>
      <c r="F99" s="16" t="str">
        <f aca="false">IF(OR(C99="",D99=""),"",IF(OR(A99="",B99=""),"Tarih ya da tür eksik",IF(AND(B99="Çıkış",IFERROR(INDEX(Ürünler!$H$5:$H$304,MATCH(C99,Ürünler!$A$5:$A$304,0)),0)&lt;0),"Stok eksiye düştü","")))</f>
        <v/>
      </c>
    </row>
    <row r="100" customFormat="false" ht="15" hidden="false" customHeight="false" outlineLevel="0" collapsed="false">
      <c r="A100" s="12"/>
      <c r="B100" s="13"/>
      <c r="C100" s="14"/>
      <c r="D100" s="15"/>
      <c r="E100" s="14"/>
      <c r="F100" s="16" t="str">
        <f aca="false">IF(OR(C100="",D100=""),"",IF(OR(A100="",B100=""),"Tarih ya da tür eksik",IF(AND(B100="Çıkış",IFERROR(INDEX(Ürünler!$H$5:$H$304,MATCH(C100,Ürünler!$A$5:$A$304,0)),0)&lt;0),"Stok eksiye düştü","")))</f>
        <v/>
      </c>
    </row>
    <row r="101" customFormat="false" ht="15" hidden="false" customHeight="false" outlineLevel="0" collapsed="false">
      <c r="A101" s="12"/>
      <c r="B101" s="13"/>
      <c r="C101" s="14"/>
      <c r="D101" s="15"/>
      <c r="E101" s="14"/>
      <c r="F101" s="16" t="str">
        <f aca="false">IF(OR(C101="",D101=""),"",IF(OR(A101="",B101=""),"Tarih ya da tür eksik",IF(AND(B101="Çıkış",IFERROR(INDEX(Ürünler!$H$5:$H$304,MATCH(C101,Ürünler!$A$5:$A$304,0)),0)&lt;0),"Stok eksiye düştü","")))</f>
        <v/>
      </c>
    </row>
    <row r="102" customFormat="false" ht="15" hidden="false" customHeight="false" outlineLevel="0" collapsed="false">
      <c r="A102" s="12"/>
      <c r="B102" s="13"/>
      <c r="C102" s="14"/>
      <c r="D102" s="15"/>
      <c r="E102" s="14"/>
      <c r="F102" s="16" t="str">
        <f aca="false">IF(OR(C102="",D102=""),"",IF(OR(A102="",B102=""),"Tarih ya da tür eksik",IF(AND(B102="Çıkış",IFERROR(INDEX(Ürünler!$H$5:$H$304,MATCH(C102,Ürünler!$A$5:$A$304,0)),0)&lt;0),"Stok eksiye düştü","")))</f>
        <v/>
      </c>
    </row>
    <row r="103" customFormat="false" ht="15" hidden="false" customHeight="false" outlineLevel="0" collapsed="false">
      <c r="A103" s="12"/>
      <c r="B103" s="13"/>
      <c r="C103" s="14"/>
      <c r="D103" s="15"/>
      <c r="E103" s="14"/>
      <c r="F103" s="16" t="str">
        <f aca="false">IF(OR(C103="",D103=""),"",IF(OR(A103="",B103=""),"Tarih ya da tür eksik",IF(AND(B103="Çıkış",IFERROR(INDEX(Ürünler!$H$5:$H$304,MATCH(C103,Ürünler!$A$5:$A$304,0)),0)&lt;0),"Stok eksiye düştü","")))</f>
        <v/>
      </c>
    </row>
    <row r="104" customFormat="false" ht="15" hidden="false" customHeight="false" outlineLevel="0" collapsed="false">
      <c r="A104" s="12"/>
      <c r="B104" s="13"/>
      <c r="C104" s="14"/>
      <c r="D104" s="15"/>
      <c r="E104" s="14"/>
      <c r="F104" s="16" t="str">
        <f aca="false">IF(OR(C104="",D104=""),"",IF(OR(A104="",B104=""),"Tarih ya da tür eksik",IF(AND(B104="Çıkış",IFERROR(INDEX(Ürünler!$H$5:$H$304,MATCH(C104,Ürünler!$A$5:$A$304,0)),0)&lt;0),"Stok eksiye düştü","")))</f>
        <v/>
      </c>
    </row>
    <row r="105" customFormat="false" ht="15" hidden="false" customHeight="false" outlineLevel="0" collapsed="false">
      <c r="A105" s="12"/>
      <c r="B105" s="13"/>
      <c r="C105" s="14"/>
      <c r="D105" s="15"/>
      <c r="E105" s="14"/>
      <c r="F105" s="16" t="str">
        <f aca="false">IF(OR(C105="",D105=""),"",IF(OR(A105="",B105=""),"Tarih ya da tür eksik",IF(AND(B105="Çıkış",IFERROR(INDEX(Ürünler!$H$5:$H$304,MATCH(C105,Ürünler!$A$5:$A$304,0)),0)&lt;0),"Stok eksiye düştü","")))</f>
        <v/>
      </c>
    </row>
    <row r="106" customFormat="false" ht="15" hidden="false" customHeight="false" outlineLevel="0" collapsed="false">
      <c r="A106" s="12"/>
      <c r="B106" s="13"/>
      <c r="C106" s="14"/>
      <c r="D106" s="15"/>
      <c r="E106" s="14"/>
      <c r="F106" s="16" t="str">
        <f aca="false">IF(OR(C106="",D106=""),"",IF(OR(A106="",B106=""),"Tarih ya da tür eksik",IF(AND(B106="Çıkış",IFERROR(INDEX(Ürünler!$H$5:$H$304,MATCH(C106,Ürünler!$A$5:$A$304,0)),0)&lt;0),"Stok eksiye düştü","")))</f>
        <v/>
      </c>
    </row>
    <row r="107" customFormat="false" ht="15" hidden="false" customHeight="false" outlineLevel="0" collapsed="false">
      <c r="A107" s="12"/>
      <c r="B107" s="13"/>
      <c r="C107" s="14"/>
      <c r="D107" s="15"/>
      <c r="E107" s="14"/>
      <c r="F107" s="16" t="str">
        <f aca="false">IF(OR(C107="",D107=""),"",IF(OR(A107="",B107=""),"Tarih ya da tür eksik",IF(AND(B107="Çıkış",IFERROR(INDEX(Ürünler!$H$5:$H$304,MATCH(C107,Ürünler!$A$5:$A$304,0)),0)&lt;0),"Stok eksiye düştü","")))</f>
        <v/>
      </c>
    </row>
    <row r="108" customFormat="false" ht="15" hidden="false" customHeight="false" outlineLevel="0" collapsed="false">
      <c r="A108" s="12"/>
      <c r="B108" s="13"/>
      <c r="C108" s="14"/>
      <c r="D108" s="15"/>
      <c r="E108" s="14"/>
      <c r="F108" s="16" t="str">
        <f aca="false">IF(OR(C108="",D108=""),"",IF(OR(A108="",B108=""),"Tarih ya da tür eksik",IF(AND(B108="Çıkış",IFERROR(INDEX(Ürünler!$H$5:$H$304,MATCH(C108,Ürünler!$A$5:$A$304,0)),0)&lt;0),"Stok eksiye düştü","")))</f>
        <v/>
      </c>
    </row>
    <row r="109" customFormat="false" ht="15" hidden="false" customHeight="false" outlineLevel="0" collapsed="false">
      <c r="A109" s="12"/>
      <c r="B109" s="13"/>
      <c r="C109" s="14"/>
      <c r="D109" s="15"/>
      <c r="E109" s="14"/>
      <c r="F109" s="16" t="str">
        <f aca="false">IF(OR(C109="",D109=""),"",IF(OR(A109="",B109=""),"Tarih ya da tür eksik",IF(AND(B109="Çıkış",IFERROR(INDEX(Ürünler!$H$5:$H$304,MATCH(C109,Ürünler!$A$5:$A$304,0)),0)&lt;0),"Stok eksiye düştü","")))</f>
        <v/>
      </c>
    </row>
    <row r="110" customFormat="false" ht="15" hidden="false" customHeight="false" outlineLevel="0" collapsed="false">
      <c r="A110" s="12"/>
      <c r="B110" s="13"/>
      <c r="C110" s="14"/>
      <c r="D110" s="15"/>
      <c r="E110" s="14"/>
      <c r="F110" s="16" t="str">
        <f aca="false">IF(OR(C110="",D110=""),"",IF(OR(A110="",B110=""),"Tarih ya da tür eksik",IF(AND(B110="Çıkış",IFERROR(INDEX(Ürünler!$H$5:$H$304,MATCH(C110,Ürünler!$A$5:$A$304,0)),0)&lt;0),"Stok eksiye düştü","")))</f>
        <v/>
      </c>
    </row>
    <row r="111" customFormat="false" ht="15" hidden="false" customHeight="false" outlineLevel="0" collapsed="false">
      <c r="A111" s="12"/>
      <c r="B111" s="13"/>
      <c r="C111" s="14"/>
      <c r="D111" s="15"/>
      <c r="E111" s="14"/>
      <c r="F111" s="16" t="str">
        <f aca="false">IF(OR(C111="",D111=""),"",IF(OR(A111="",B111=""),"Tarih ya da tür eksik",IF(AND(B111="Çıkış",IFERROR(INDEX(Ürünler!$H$5:$H$304,MATCH(C111,Ürünler!$A$5:$A$304,0)),0)&lt;0),"Stok eksiye düştü","")))</f>
        <v/>
      </c>
    </row>
    <row r="112" customFormat="false" ht="15" hidden="false" customHeight="false" outlineLevel="0" collapsed="false">
      <c r="A112" s="12"/>
      <c r="B112" s="13"/>
      <c r="C112" s="14"/>
      <c r="D112" s="15"/>
      <c r="E112" s="14"/>
      <c r="F112" s="16" t="str">
        <f aca="false">IF(OR(C112="",D112=""),"",IF(OR(A112="",B112=""),"Tarih ya da tür eksik",IF(AND(B112="Çıkış",IFERROR(INDEX(Ürünler!$H$5:$H$304,MATCH(C112,Ürünler!$A$5:$A$304,0)),0)&lt;0),"Stok eksiye düştü","")))</f>
        <v/>
      </c>
    </row>
    <row r="113" customFormat="false" ht="15" hidden="false" customHeight="false" outlineLevel="0" collapsed="false">
      <c r="A113" s="12"/>
      <c r="B113" s="13"/>
      <c r="C113" s="14"/>
      <c r="D113" s="15"/>
      <c r="E113" s="14"/>
      <c r="F113" s="16" t="str">
        <f aca="false">IF(OR(C113="",D113=""),"",IF(OR(A113="",B113=""),"Tarih ya da tür eksik",IF(AND(B113="Çıkış",IFERROR(INDEX(Ürünler!$H$5:$H$304,MATCH(C113,Ürünler!$A$5:$A$304,0)),0)&lt;0),"Stok eksiye düştü","")))</f>
        <v/>
      </c>
    </row>
    <row r="114" customFormat="false" ht="15" hidden="false" customHeight="false" outlineLevel="0" collapsed="false">
      <c r="A114" s="12"/>
      <c r="B114" s="13"/>
      <c r="C114" s="14"/>
      <c r="D114" s="15"/>
      <c r="E114" s="14"/>
      <c r="F114" s="16" t="str">
        <f aca="false">IF(OR(C114="",D114=""),"",IF(OR(A114="",B114=""),"Tarih ya da tür eksik",IF(AND(B114="Çıkış",IFERROR(INDEX(Ürünler!$H$5:$H$304,MATCH(C114,Ürünler!$A$5:$A$304,0)),0)&lt;0),"Stok eksiye düştü","")))</f>
        <v/>
      </c>
    </row>
    <row r="115" customFormat="false" ht="15" hidden="false" customHeight="false" outlineLevel="0" collapsed="false">
      <c r="A115" s="12"/>
      <c r="B115" s="13"/>
      <c r="C115" s="14"/>
      <c r="D115" s="15"/>
      <c r="E115" s="14"/>
      <c r="F115" s="16" t="str">
        <f aca="false">IF(OR(C115="",D115=""),"",IF(OR(A115="",B115=""),"Tarih ya da tür eksik",IF(AND(B115="Çıkış",IFERROR(INDEX(Ürünler!$H$5:$H$304,MATCH(C115,Ürünler!$A$5:$A$304,0)),0)&lt;0),"Stok eksiye düştü","")))</f>
        <v/>
      </c>
    </row>
    <row r="116" customFormat="false" ht="15" hidden="false" customHeight="false" outlineLevel="0" collapsed="false">
      <c r="A116" s="12"/>
      <c r="B116" s="13"/>
      <c r="C116" s="14"/>
      <c r="D116" s="15"/>
      <c r="E116" s="14"/>
      <c r="F116" s="16" t="str">
        <f aca="false">IF(OR(C116="",D116=""),"",IF(OR(A116="",B116=""),"Tarih ya da tür eksik",IF(AND(B116="Çıkış",IFERROR(INDEX(Ürünler!$H$5:$H$304,MATCH(C116,Ürünler!$A$5:$A$304,0)),0)&lt;0),"Stok eksiye düştü","")))</f>
        <v/>
      </c>
    </row>
    <row r="117" customFormat="false" ht="15" hidden="false" customHeight="false" outlineLevel="0" collapsed="false">
      <c r="A117" s="12"/>
      <c r="B117" s="13"/>
      <c r="C117" s="14"/>
      <c r="D117" s="15"/>
      <c r="E117" s="14"/>
      <c r="F117" s="16" t="str">
        <f aca="false">IF(OR(C117="",D117=""),"",IF(OR(A117="",B117=""),"Tarih ya da tür eksik",IF(AND(B117="Çıkış",IFERROR(INDEX(Ürünler!$H$5:$H$304,MATCH(C117,Ürünler!$A$5:$A$304,0)),0)&lt;0),"Stok eksiye düştü","")))</f>
        <v/>
      </c>
    </row>
    <row r="118" customFormat="false" ht="15" hidden="false" customHeight="false" outlineLevel="0" collapsed="false">
      <c r="A118" s="12"/>
      <c r="B118" s="13"/>
      <c r="C118" s="14"/>
      <c r="D118" s="15"/>
      <c r="E118" s="14"/>
      <c r="F118" s="16" t="str">
        <f aca="false">IF(OR(C118="",D118=""),"",IF(OR(A118="",B118=""),"Tarih ya da tür eksik",IF(AND(B118="Çıkış",IFERROR(INDEX(Ürünler!$H$5:$H$304,MATCH(C118,Ürünler!$A$5:$A$304,0)),0)&lt;0),"Stok eksiye düştü","")))</f>
        <v/>
      </c>
    </row>
    <row r="119" customFormat="false" ht="15" hidden="false" customHeight="false" outlineLevel="0" collapsed="false">
      <c r="A119" s="12"/>
      <c r="B119" s="13"/>
      <c r="C119" s="14"/>
      <c r="D119" s="15"/>
      <c r="E119" s="14"/>
      <c r="F119" s="16" t="str">
        <f aca="false">IF(OR(C119="",D119=""),"",IF(OR(A119="",B119=""),"Tarih ya da tür eksik",IF(AND(B119="Çıkış",IFERROR(INDEX(Ürünler!$H$5:$H$304,MATCH(C119,Ürünler!$A$5:$A$304,0)),0)&lt;0),"Stok eksiye düştü","")))</f>
        <v/>
      </c>
    </row>
    <row r="120" customFormat="false" ht="15" hidden="false" customHeight="false" outlineLevel="0" collapsed="false">
      <c r="A120" s="12"/>
      <c r="B120" s="13"/>
      <c r="C120" s="14"/>
      <c r="D120" s="15"/>
      <c r="E120" s="14"/>
      <c r="F120" s="16" t="str">
        <f aca="false">IF(OR(C120="",D120=""),"",IF(OR(A120="",B120=""),"Tarih ya da tür eksik",IF(AND(B120="Çıkış",IFERROR(INDEX(Ürünler!$H$5:$H$304,MATCH(C120,Ürünler!$A$5:$A$304,0)),0)&lt;0),"Stok eksiye düştü","")))</f>
        <v/>
      </c>
    </row>
    <row r="121" customFormat="false" ht="15" hidden="false" customHeight="false" outlineLevel="0" collapsed="false">
      <c r="A121" s="12"/>
      <c r="B121" s="13"/>
      <c r="C121" s="14"/>
      <c r="D121" s="15"/>
      <c r="E121" s="14"/>
      <c r="F121" s="16" t="str">
        <f aca="false">IF(OR(C121="",D121=""),"",IF(OR(A121="",B121=""),"Tarih ya da tür eksik",IF(AND(B121="Çıkış",IFERROR(INDEX(Ürünler!$H$5:$H$304,MATCH(C121,Ürünler!$A$5:$A$304,0)),0)&lt;0),"Stok eksiye düştü","")))</f>
        <v/>
      </c>
    </row>
    <row r="122" customFormat="false" ht="15" hidden="false" customHeight="false" outlineLevel="0" collapsed="false">
      <c r="A122" s="12"/>
      <c r="B122" s="13"/>
      <c r="C122" s="14"/>
      <c r="D122" s="15"/>
      <c r="E122" s="14"/>
      <c r="F122" s="16" t="str">
        <f aca="false">IF(OR(C122="",D122=""),"",IF(OR(A122="",B122=""),"Tarih ya da tür eksik",IF(AND(B122="Çıkış",IFERROR(INDEX(Ürünler!$H$5:$H$304,MATCH(C122,Ürünler!$A$5:$A$304,0)),0)&lt;0),"Stok eksiye düştü","")))</f>
        <v/>
      </c>
    </row>
    <row r="123" customFormat="false" ht="15" hidden="false" customHeight="false" outlineLevel="0" collapsed="false">
      <c r="A123" s="12"/>
      <c r="B123" s="13"/>
      <c r="C123" s="14"/>
      <c r="D123" s="15"/>
      <c r="E123" s="14"/>
      <c r="F123" s="16" t="str">
        <f aca="false">IF(OR(C123="",D123=""),"",IF(OR(A123="",B123=""),"Tarih ya da tür eksik",IF(AND(B123="Çıkış",IFERROR(INDEX(Ürünler!$H$5:$H$304,MATCH(C123,Ürünler!$A$5:$A$304,0)),0)&lt;0),"Stok eksiye düştü","")))</f>
        <v/>
      </c>
    </row>
    <row r="124" customFormat="false" ht="15" hidden="false" customHeight="false" outlineLevel="0" collapsed="false">
      <c r="A124" s="12"/>
      <c r="B124" s="13"/>
      <c r="C124" s="14"/>
      <c r="D124" s="15"/>
      <c r="E124" s="14"/>
      <c r="F124" s="16" t="str">
        <f aca="false">IF(OR(C124="",D124=""),"",IF(OR(A124="",B124=""),"Tarih ya da tür eksik",IF(AND(B124="Çıkış",IFERROR(INDEX(Ürünler!$H$5:$H$304,MATCH(C124,Ürünler!$A$5:$A$304,0)),0)&lt;0),"Stok eksiye düştü","")))</f>
        <v/>
      </c>
    </row>
    <row r="125" customFormat="false" ht="15" hidden="false" customHeight="false" outlineLevel="0" collapsed="false">
      <c r="A125" s="12"/>
      <c r="B125" s="13"/>
      <c r="C125" s="14"/>
      <c r="D125" s="15"/>
      <c r="E125" s="14"/>
      <c r="F125" s="16" t="str">
        <f aca="false">IF(OR(C125="",D125=""),"",IF(OR(A125="",B125=""),"Tarih ya da tür eksik",IF(AND(B125="Çıkış",IFERROR(INDEX(Ürünler!$H$5:$H$304,MATCH(C125,Ürünler!$A$5:$A$304,0)),0)&lt;0),"Stok eksiye düştü","")))</f>
        <v/>
      </c>
    </row>
    <row r="126" customFormat="false" ht="15" hidden="false" customHeight="false" outlineLevel="0" collapsed="false">
      <c r="A126" s="12"/>
      <c r="B126" s="13"/>
      <c r="C126" s="14"/>
      <c r="D126" s="15"/>
      <c r="E126" s="14"/>
      <c r="F126" s="16" t="str">
        <f aca="false">IF(OR(C126="",D126=""),"",IF(OR(A126="",B126=""),"Tarih ya da tür eksik",IF(AND(B126="Çıkış",IFERROR(INDEX(Ürünler!$H$5:$H$304,MATCH(C126,Ürünler!$A$5:$A$304,0)),0)&lt;0),"Stok eksiye düştü","")))</f>
        <v/>
      </c>
    </row>
    <row r="127" customFormat="false" ht="15" hidden="false" customHeight="false" outlineLevel="0" collapsed="false">
      <c r="A127" s="12"/>
      <c r="B127" s="13"/>
      <c r="C127" s="14"/>
      <c r="D127" s="15"/>
      <c r="E127" s="14"/>
      <c r="F127" s="16" t="str">
        <f aca="false">IF(OR(C127="",D127=""),"",IF(OR(A127="",B127=""),"Tarih ya da tür eksik",IF(AND(B127="Çıkış",IFERROR(INDEX(Ürünler!$H$5:$H$304,MATCH(C127,Ürünler!$A$5:$A$304,0)),0)&lt;0),"Stok eksiye düştü","")))</f>
        <v/>
      </c>
    </row>
    <row r="128" customFormat="false" ht="15" hidden="false" customHeight="false" outlineLevel="0" collapsed="false">
      <c r="A128" s="12"/>
      <c r="B128" s="13"/>
      <c r="C128" s="14"/>
      <c r="D128" s="15"/>
      <c r="E128" s="14"/>
      <c r="F128" s="16" t="str">
        <f aca="false">IF(OR(C128="",D128=""),"",IF(OR(A128="",B128=""),"Tarih ya da tür eksik",IF(AND(B128="Çıkış",IFERROR(INDEX(Ürünler!$H$5:$H$304,MATCH(C128,Ürünler!$A$5:$A$304,0)),0)&lt;0),"Stok eksiye düştü","")))</f>
        <v/>
      </c>
    </row>
    <row r="129" customFormat="false" ht="15" hidden="false" customHeight="false" outlineLevel="0" collapsed="false">
      <c r="A129" s="12"/>
      <c r="B129" s="13"/>
      <c r="C129" s="14"/>
      <c r="D129" s="15"/>
      <c r="E129" s="14"/>
      <c r="F129" s="16" t="str">
        <f aca="false">IF(OR(C129="",D129=""),"",IF(OR(A129="",B129=""),"Tarih ya da tür eksik",IF(AND(B129="Çıkış",IFERROR(INDEX(Ürünler!$H$5:$H$304,MATCH(C129,Ürünler!$A$5:$A$304,0)),0)&lt;0),"Stok eksiye düştü","")))</f>
        <v/>
      </c>
    </row>
    <row r="130" customFormat="false" ht="15" hidden="false" customHeight="false" outlineLevel="0" collapsed="false">
      <c r="A130" s="12"/>
      <c r="B130" s="13"/>
      <c r="C130" s="14"/>
      <c r="D130" s="15"/>
      <c r="E130" s="14"/>
      <c r="F130" s="16" t="str">
        <f aca="false">IF(OR(C130="",D130=""),"",IF(OR(A130="",B130=""),"Tarih ya da tür eksik",IF(AND(B130="Çıkış",IFERROR(INDEX(Ürünler!$H$5:$H$304,MATCH(C130,Ürünler!$A$5:$A$304,0)),0)&lt;0),"Stok eksiye düştü","")))</f>
        <v/>
      </c>
    </row>
    <row r="131" customFormat="false" ht="15" hidden="false" customHeight="false" outlineLevel="0" collapsed="false">
      <c r="A131" s="12"/>
      <c r="B131" s="13"/>
      <c r="C131" s="14"/>
      <c r="D131" s="15"/>
      <c r="E131" s="14"/>
      <c r="F131" s="16" t="str">
        <f aca="false">IF(OR(C131="",D131=""),"",IF(OR(A131="",B131=""),"Tarih ya da tür eksik",IF(AND(B131="Çıkış",IFERROR(INDEX(Ürünler!$H$5:$H$304,MATCH(C131,Ürünler!$A$5:$A$304,0)),0)&lt;0),"Stok eksiye düştü","")))</f>
        <v/>
      </c>
    </row>
    <row r="132" customFormat="false" ht="15" hidden="false" customHeight="false" outlineLevel="0" collapsed="false">
      <c r="A132" s="12"/>
      <c r="B132" s="13"/>
      <c r="C132" s="14"/>
      <c r="D132" s="15"/>
      <c r="E132" s="14"/>
      <c r="F132" s="16" t="str">
        <f aca="false">IF(OR(C132="",D132=""),"",IF(OR(A132="",B132=""),"Tarih ya da tür eksik",IF(AND(B132="Çıkış",IFERROR(INDEX(Ürünler!$H$5:$H$304,MATCH(C132,Ürünler!$A$5:$A$304,0)),0)&lt;0),"Stok eksiye düştü","")))</f>
        <v/>
      </c>
    </row>
    <row r="133" customFormat="false" ht="15" hidden="false" customHeight="false" outlineLevel="0" collapsed="false">
      <c r="A133" s="12"/>
      <c r="B133" s="13"/>
      <c r="C133" s="14"/>
      <c r="D133" s="15"/>
      <c r="E133" s="14"/>
      <c r="F133" s="16" t="str">
        <f aca="false">IF(OR(C133="",D133=""),"",IF(OR(A133="",B133=""),"Tarih ya da tür eksik",IF(AND(B133="Çıkış",IFERROR(INDEX(Ürünler!$H$5:$H$304,MATCH(C133,Ürünler!$A$5:$A$304,0)),0)&lt;0),"Stok eksiye düştü","")))</f>
        <v/>
      </c>
    </row>
    <row r="134" customFormat="false" ht="15" hidden="false" customHeight="false" outlineLevel="0" collapsed="false">
      <c r="A134" s="12"/>
      <c r="B134" s="13"/>
      <c r="C134" s="14"/>
      <c r="D134" s="15"/>
      <c r="E134" s="14"/>
      <c r="F134" s="16" t="str">
        <f aca="false">IF(OR(C134="",D134=""),"",IF(OR(A134="",B134=""),"Tarih ya da tür eksik",IF(AND(B134="Çıkış",IFERROR(INDEX(Ürünler!$H$5:$H$304,MATCH(C134,Ürünler!$A$5:$A$304,0)),0)&lt;0),"Stok eksiye düştü","")))</f>
        <v/>
      </c>
    </row>
    <row r="135" customFormat="false" ht="15" hidden="false" customHeight="false" outlineLevel="0" collapsed="false">
      <c r="A135" s="12"/>
      <c r="B135" s="13"/>
      <c r="C135" s="14"/>
      <c r="D135" s="15"/>
      <c r="E135" s="14"/>
      <c r="F135" s="16" t="str">
        <f aca="false">IF(OR(C135="",D135=""),"",IF(OR(A135="",B135=""),"Tarih ya da tür eksik",IF(AND(B135="Çıkış",IFERROR(INDEX(Ürünler!$H$5:$H$304,MATCH(C135,Ürünler!$A$5:$A$304,0)),0)&lt;0),"Stok eksiye düştü","")))</f>
        <v/>
      </c>
    </row>
    <row r="136" customFormat="false" ht="15" hidden="false" customHeight="false" outlineLevel="0" collapsed="false">
      <c r="A136" s="12"/>
      <c r="B136" s="13"/>
      <c r="C136" s="14"/>
      <c r="D136" s="15"/>
      <c r="E136" s="14"/>
      <c r="F136" s="16" t="str">
        <f aca="false">IF(OR(C136="",D136=""),"",IF(OR(A136="",B136=""),"Tarih ya da tür eksik",IF(AND(B136="Çıkış",IFERROR(INDEX(Ürünler!$H$5:$H$304,MATCH(C136,Ürünler!$A$5:$A$304,0)),0)&lt;0),"Stok eksiye düştü","")))</f>
        <v/>
      </c>
    </row>
    <row r="137" customFormat="false" ht="15" hidden="false" customHeight="false" outlineLevel="0" collapsed="false">
      <c r="A137" s="12"/>
      <c r="B137" s="13"/>
      <c r="C137" s="14"/>
      <c r="D137" s="15"/>
      <c r="E137" s="14"/>
      <c r="F137" s="16" t="str">
        <f aca="false">IF(OR(C137="",D137=""),"",IF(OR(A137="",B137=""),"Tarih ya da tür eksik",IF(AND(B137="Çıkış",IFERROR(INDEX(Ürünler!$H$5:$H$304,MATCH(C137,Ürünler!$A$5:$A$304,0)),0)&lt;0),"Stok eksiye düştü","")))</f>
        <v/>
      </c>
    </row>
    <row r="138" customFormat="false" ht="15" hidden="false" customHeight="false" outlineLevel="0" collapsed="false">
      <c r="A138" s="12"/>
      <c r="B138" s="13"/>
      <c r="C138" s="14"/>
      <c r="D138" s="15"/>
      <c r="E138" s="14"/>
      <c r="F138" s="16" t="str">
        <f aca="false">IF(OR(C138="",D138=""),"",IF(OR(A138="",B138=""),"Tarih ya da tür eksik",IF(AND(B138="Çıkış",IFERROR(INDEX(Ürünler!$H$5:$H$304,MATCH(C138,Ürünler!$A$5:$A$304,0)),0)&lt;0),"Stok eksiye düştü","")))</f>
        <v/>
      </c>
    </row>
    <row r="139" customFormat="false" ht="15" hidden="false" customHeight="false" outlineLevel="0" collapsed="false">
      <c r="A139" s="12"/>
      <c r="B139" s="13"/>
      <c r="C139" s="14"/>
      <c r="D139" s="15"/>
      <c r="E139" s="14"/>
      <c r="F139" s="16" t="str">
        <f aca="false">IF(OR(C139="",D139=""),"",IF(OR(A139="",B139=""),"Tarih ya da tür eksik",IF(AND(B139="Çıkış",IFERROR(INDEX(Ürünler!$H$5:$H$304,MATCH(C139,Ürünler!$A$5:$A$304,0)),0)&lt;0),"Stok eksiye düştü","")))</f>
        <v/>
      </c>
    </row>
    <row r="140" customFormat="false" ht="15" hidden="false" customHeight="false" outlineLevel="0" collapsed="false">
      <c r="A140" s="12"/>
      <c r="B140" s="13"/>
      <c r="C140" s="14"/>
      <c r="D140" s="15"/>
      <c r="E140" s="14"/>
      <c r="F140" s="16" t="str">
        <f aca="false">IF(OR(C140="",D140=""),"",IF(OR(A140="",B140=""),"Tarih ya da tür eksik",IF(AND(B140="Çıkış",IFERROR(INDEX(Ürünler!$H$5:$H$304,MATCH(C140,Ürünler!$A$5:$A$304,0)),0)&lt;0),"Stok eksiye düştü","")))</f>
        <v/>
      </c>
    </row>
    <row r="141" customFormat="false" ht="15" hidden="false" customHeight="false" outlineLevel="0" collapsed="false">
      <c r="A141" s="12"/>
      <c r="B141" s="13"/>
      <c r="C141" s="14"/>
      <c r="D141" s="15"/>
      <c r="E141" s="14"/>
      <c r="F141" s="16" t="str">
        <f aca="false">IF(OR(C141="",D141=""),"",IF(OR(A141="",B141=""),"Tarih ya da tür eksik",IF(AND(B141="Çıkış",IFERROR(INDEX(Ürünler!$H$5:$H$304,MATCH(C141,Ürünler!$A$5:$A$304,0)),0)&lt;0),"Stok eksiye düştü","")))</f>
        <v/>
      </c>
    </row>
    <row r="142" customFormat="false" ht="15" hidden="false" customHeight="false" outlineLevel="0" collapsed="false">
      <c r="A142" s="12"/>
      <c r="B142" s="13"/>
      <c r="C142" s="14"/>
      <c r="D142" s="15"/>
      <c r="E142" s="14"/>
      <c r="F142" s="16" t="str">
        <f aca="false">IF(OR(C142="",D142=""),"",IF(OR(A142="",B142=""),"Tarih ya da tür eksik",IF(AND(B142="Çıkış",IFERROR(INDEX(Ürünler!$H$5:$H$304,MATCH(C142,Ürünler!$A$5:$A$304,0)),0)&lt;0),"Stok eksiye düştü","")))</f>
        <v/>
      </c>
    </row>
    <row r="143" customFormat="false" ht="15" hidden="false" customHeight="false" outlineLevel="0" collapsed="false">
      <c r="A143" s="12"/>
      <c r="B143" s="13"/>
      <c r="C143" s="14"/>
      <c r="D143" s="15"/>
      <c r="E143" s="14"/>
      <c r="F143" s="16" t="str">
        <f aca="false">IF(OR(C143="",D143=""),"",IF(OR(A143="",B143=""),"Tarih ya da tür eksik",IF(AND(B143="Çıkış",IFERROR(INDEX(Ürünler!$H$5:$H$304,MATCH(C143,Ürünler!$A$5:$A$304,0)),0)&lt;0),"Stok eksiye düştü","")))</f>
        <v/>
      </c>
    </row>
    <row r="144" customFormat="false" ht="15" hidden="false" customHeight="false" outlineLevel="0" collapsed="false">
      <c r="A144" s="12"/>
      <c r="B144" s="13"/>
      <c r="C144" s="14"/>
      <c r="D144" s="15"/>
      <c r="E144" s="14"/>
      <c r="F144" s="16" t="str">
        <f aca="false">IF(OR(C144="",D144=""),"",IF(OR(A144="",B144=""),"Tarih ya da tür eksik",IF(AND(B144="Çıkış",IFERROR(INDEX(Ürünler!$H$5:$H$304,MATCH(C144,Ürünler!$A$5:$A$304,0)),0)&lt;0),"Stok eksiye düştü","")))</f>
        <v/>
      </c>
    </row>
    <row r="145" customFormat="false" ht="15" hidden="false" customHeight="false" outlineLevel="0" collapsed="false">
      <c r="A145" s="12"/>
      <c r="B145" s="13"/>
      <c r="C145" s="14"/>
      <c r="D145" s="15"/>
      <c r="E145" s="14"/>
      <c r="F145" s="16" t="str">
        <f aca="false">IF(OR(C145="",D145=""),"",IF(OR(A145="",B145=""),"Tarih ya da tür eksik",IF(AND(B145="Çıkış",IFERROR(INDEX(Ürünler!$H$5:$H$304,MATCH(C145,Ürünler!$A$5:$A$304,0)),0)&lt;0),"Stok eksiye düştü","")))</f>
        <v/>
      </c>
    </row>
    <row r="146" customFormat="false" ht="15" hidden="false" customHeight="false" outlineLevel="0" collapsed="false">
      <c r="A146" s="12"/>
      <c r="B146" s="13"/>
      <c r="C146" s="14"/>
      <c r="D146" s="15"/>
      <c r="E146" s="14"/>
      <c r="F146" s="16" t="str">
        <f aca="false">IF(OR(C146="",D146=""),"",IF(OR(A146="",B146=""),"Tarih ya da tür eksik",IF(AND(B146="Çıkış",IFERROR(INDEX(Ürünler!$H$5:$H$304,MATCH(C146,Ürünler!$A$5:$A$304,0)),0)&lt;0),"Stok eksiye düştü","")))</f>
        <v/>
      </c>
    </row>
    <row r="147" customFormat="false" ht="15" hidden="false" customHeight="false" outlineLevel="0" collapsed="false">
      <c r="A147" s="12"/>
      <c r="B147" s="13"/>
      <c r="C147" s="14"/>
      <c r="D147" s="15"/>
      <c r="E147" s="14"/>
      <c r="F147" s="16" t="str">
        <f aca="false">IF(OR(C147="",D147=""),"",IF(OR(A147="",B147=""),"Tarih ya da tür eksik",IF(AND(B147="Çıkış",IFERROR(INDEX(Ürünler!$H$5:$H$304,MATCH(C147,Ürünler!$A$5:$A$304,0)),0)&lt;0),"Stok eksiye düştü","")))</f>
        <v/>
      </c>
    </row>
    <row r="148" customFormat="false" ht="15" hidden="false" customHeight="false" outlineLevel="0" collapsed="false">
      <c r="A148" s="12"/>
      <c r="B148" s="13"/>
      <c r="C148" s="14"/>
      <c r="D148" s="15"/>
      <c r="E148" s="14"/>
      <c r="F148" s="16" t="str">
        <f aca="false">IF(OR(C148="",D148=""),"",IF(OR(A148="",B148=""),"Tarih ya da tür eksik",IF(AND(B148="Çıkış",IFERROR(INDEX(Ürünler!$H$5:$H$304,MATCH(C148,Ürünler!$A$5:$A$304,0)),0)&lt;0),"Stok eksiye düştü","")))</f>
        <v/>
      </c>
    </row>
    <row r="149" customFormat="false" ht="15" hidden="false" customHeight="false" outlineLevel="0" collapsed="false">
      <c r="A149" s="12"/>
      <c r="B149" s="13"/>
      <c r="C149" s="14"/>
      <c r="D149" s="15"/>
      <c r="E149" s="14"/>
      <c r="F149" s="16" t="str">
        <f aca="false">IF(OR(C149="",D149=""),"",IF(OR(A149="",B149=""),"Tarih ya da tür eksik",IF(AND(B149="Çıkış",IFERROR(INDEX(Ürünler!$H$5:$H$304,MATCH(C149,Ürünler!$A$5:$A$304,0)),0)&lt;0),"Stok eksiye düştü","")))</f>
        <v/>
      </c>
    </row>
    <row r="150" customFormat="false" ht="15" hidden="false" customHeight="false" outlineLevel="0" collapsed="false">
      <c r="A150" s="12"/>
      <c r="B150" s="13"/>
      <c r="C150" s="14"/>
      <c r="D150" s="15"/>
      <c r="E150" s="14"/>
      <c r="F150" s="16" t="str">
        <f aca="false">IF(OR(C150="",D150=""),"",IF(OR(A150="",B150=""),"Tarih ya da tür eksik",IF(AND(B150="Çıkış",IFERROR(INDEX(Ürünler!$H$5:$H$304,MATCH(C150,Ürünler!$A$5:$A$304,0)),0)&lt;0),"Stok eksiye düştü","")))</f>
        <v/>
      </c>
    </row>
    <row r="151" customFormat="false" ht="15" hidden="false" customHeight="false" outlineLevel="0" collapsed="false">
      <c r="A151" s="12"/>
      <c r="B151" s="13"/>
      <c r="C151" s="14"/>
      <c r="D151" s="15"/>
      <c r="E151" s="14"/>
      <c r="F151" s="16" t="str">
        <f aca="false">IF(OR(C151="",D151=""),"",IF(OR(A151="",B151=""),"Tarih ya da tür eksik",IF(AND(B151="Çıkış",IFERROR(INDEX(Ürünler!$H$5:$H$304,MATCH(C151,Ürünler!$A$5:$A$304,0)),0)&lt;0),"Stok eksiye düştü","")))</f>
        <v/>
      </c>
    </row>
    <row r="152" customFormat="false" ht="15" hidden="false" customHeight="false" outlineLevel="0" collapsed="false">
      <c r="A152" s="12"/>
      <c r="B152" s="13"/>
      <c r="C152" s="14"/>
      <c r="D152" s="15"/>
      <c r="E152" s="14"/>
      <c r="F152" s="16" t="str">
        <f aca="false">IF(OR(C152="",D152=""),"",IF(OR(A152="",B152=""),"Tarih ya da tür eksik",IF(AND(B152="Çıkış",IFERROR(INDEX(Ürünler!$H$5:$H$304,MATCH(C152,Ürünler!$A$5:$A$304,0)),0)&lt;0),"Stok eksiye düştü","")))</f>
        <v/>
      </c>
    </row>
    <row r="153" customFormat="false" ht="15" hidden="false" customHeight="false" outlineLevel="0" collapsed="false">
      <c r="A153" s="12"/>
      <c r="B153" s="13"/>
      <c r="C153" s="14"/>
      <c r="D153" s="15"/>
      <c r="E153" s="14"/>
      <c r="F153" s="16" t="str">
        <f aca="false">IF(OR(C153="",D153=""),"",IF(OR(A153="",B153=""),"Tarih ya da tür eksik",IF(AND(B153="Çıkış",IFERROR(INDEX(Ürünler!$H$5:$H$304,MATCH(C153,Ürünler!$A$5:$A$304,0)),0)&lt;0),"Stok eksiye düştü","")))</f>
        <v/>
      </c>
    </row>
    <row r="154" customFormat="false" ht="15" hidden="false" customHeight="false" outlineLevel="0" collapsed="false">
      <c r="A154" s="12"/>
      <c r="B154" s="13"/>
      <c r="C154" s="14"/>
      <c r="D154" s="15"/>
      <c r="E154" s="14"/>
      <c r="F154" s="16" t="str">
        <f aca="false">IF(OR(C154="",D154=""),"",IF(OR(A154="",B154=""),"Tarih ya da tür eksik",IF(AND(B154="Çıkış",IFERROR(INDEX(Ürünler!$H$5:$H$304,MATCH(C154,Ürünler!$A$5:$A$304,0)),0)&lt;0),"Stok eksiye düştü","")))</f>
        <v/>
      </c>
    </row>
    <row r="155" customFormat="false" ht="15" hidden="false" customHeight="false" outlineLevel="0" collapsed="false">
      <c r="A155" s="12"/>
      <c r="B155" s="13"/>
      <c r="C155" s="14"/>
      <c r="D155" s="15"/>
      <c r="E155" s="14"/>
      <c r="F155" s="16" t="str">
        <f aca="false">IF(OR(C155="",D155=""),"",IF(OR(A155="",B155=""),"Tarih ya da tür eksik",IF(AND(B155="Çıkış",IFERROR(INDEX(Ürünler!$H$5:$H$304,MATCH(C155,Ürünler!$A$5:$A$304,0)),0)&lt;0),"Stok eksiye düştü","")))</f>
        <v/>
      </c>
    </row>
    <row r="156" customFormat="false" ht="15" hidden="false" customHeight="false" outlineLevel="0" collapsed="false">
      <c r="A156" s="12"/>
      <c r="B156" s="13"/>
      <c r="C156" s="14"/>
      <c r="D156" s="15"/>
      <c r="E156" s="14"/>
      <c r="F156" s="16" t="str">
        <f aca="false">IF(OR(C156="",D156=""),"",IF(OR(A156="",B156=""),"Tarih ya da tür eksik",IF(AND(B156="Çıkış",IFERROR(INDEX(Ürünler!$H$5:$H$304,MATCH(C156,Ürünler!$A$5:$A$304,0)),0)&lt;0),"Stok eksiye düştü","")))</f>
        <v/>
      </c>
    </row>
    <row r="157" customFormat="false" ht="15" hidden="false" customHeight="false" outlineLevel="0" collapsed="false">
      <c r="A157" s="12"/>
      <c r="B157" s="13"/>
      <c r="C157" s="14"/>
      <c r="D157" s="15"/>
      <c r="E157" s="14"/>
      <c r="F157" s="16" t="str">
        <f aca="false">IF(OR(C157="",D157=""),"",IF(OR(A157="",B157=""),"Tarih ya da tür eksik",IF(AND(B157="Çıkış",IFERROR(INDEX(Ürünler!$H$5:$H$304,MATCH(C157,Ürünler!$A$5:$A$304,0)),0)&lt;0),"Stok eksiye düştü","")))</f>
        <v/>
      </c>
    </row>
    <row r="158" customFormat="false" ht="15" hidden="false" customHeight="false" outlineLevel="0" collapsed="false">
      <c r="A158" s="12"/>
      <c r="B158" s="13"/>
      <c r="C158" s="14"/>
      <c r="D158" s="15"/>
      <c r="E158" s="14"/>
      <c r="F158" s="16" t="str">
        <f aca="false">IF(OR(C158="",D158=""),"",IF(OR(A158="",B158=""),"Tarih ya da tür eksik",IF(AND(B158="Çıkış",IFERROR(INDEX(Ürünler!$H$5:$H$304,MATCH(C158,Ürünler!$A$5:$A$304,0)),0)&lt;0),"Stok eksiye düştü","")))</f>
        <v/>
      </c>
    </row>
    <row r="159" customFormat="false" ht="15" hidden="false" customHeight="false" outlineLevel="0" collapsed="false">
      <c r="A159" s="12"/>
      <c r="B159" s="13"/>
      <c r="C159" s="14"/>
      <c r="D159" s="15"/>
      <c r="E159" s="14"/>
      <c r="F159" s="16" t="str">
        <f aca="false">IF(OR(C159="",D159=""),"",IF(OR(A159="",B159=""),"Tarih ya da tür eksik",IF(AND(B159="Çıkış",IFERROR(INDEX(Ürünler!$H$5:$H$304,MATCH(C159,Ürünler!$A$5:$A$304,0)),0)&lt;0),"Stok eksiye düştü","")))</f>
        <v/>
      </c>
    </row>
    <row r="160" customFormat="false" ht="15" hidden="false" customHeight="false" outlineLevel="0" collapsed="false">
      <c r="A160" s="12"/>
      <c r="B160" s="13"/>
      <c r="C160" s="14"/>
      <c r="D160" s="15"/>
      <c r="E160" s="14"/>
      <c r="F160" s="16" t="str">
        <f aca="false">IF(OR(C160="",D160=""),"",IF(OR(A160="",B160=""),"Tarih ya da tür eksik",IF(AND(B160="Çıkış",IFERROR(INDEX(Ürünler!$H$5:$H$304,MATCH(C160,Ürünler!$A$5:$A$304,0)),0)&lt;0),"Stok eksiye düştü","")))</f>
        <v/>
      </c>
    </row>
    <row r="161" customFormat="false" ht="15" hidden="false" customHeight="false" outlineLevel="0" collapsed="false">
      <c r="A161" s="12"/>
      <c r="B161" s="13"/>
      <c r="C161" s="14"/>
      <c r="D161" s="15"/>
      <c r="E161" s="14"/>
      <c r="F161" s="16" t="str">
        <f aca="false">IF(OR(C161="",D161=""),"",IF(OR(A161="",B161=""),"Tarih ya da tür eksik",IF(AND(B161="Çıkış",IFERROR(INDEX(Ürünler!$H$5:$H$304,MATCH(C161,Ürünler!$A$5:$A$304,0)),0)&lt;0),"Stok eksiye düştü","")))</f>
        <v/>
      </c>
    </row>
    <row r="162" customFormat="false" ht="15" hidden="false" customHeight="false" outlineLevel="0" collapsed="false">
      <c r="A162" s="12"/>
      <c r="B162" s="13"/>
      <c r="C162" s="14"/>
      <c r="D162" s="15"/>
      <c r="E162" s="14"/>
      <c r="F162" s="16" t="str">
        <f aca="false">IF(OR(C162="",D162=""),"",IF(OR(A162="",B162=""),"Tarih ya da tür eksik",IF(AND(B162="Çıkış",IFERROR(INDEX(Ürünler!$H$5:$H$304,MATCH(C162,Ürünler!$A$5:$A$304,0)),0)&lt;0),"Stok eksiye düştü","")))</f>
        <v/>
      </c>
    </row>
    <row r="163" customFormat="false" ht="15" hidden="false" customHeight="false" outlineLevel="0" collapsed="false">
      <c r="A163" s="12"/>
      <c r="B163" s="13"/>
      <c r="C163" s="14"/>
      <c r="D163" s="15"/>
      <c r="E163" s="14"/>
      <c r="F163" s="16" t="str">
        <f aca="false">IF(OR(C163="",D163=""),"",IF(OR(A163="",B163=""),"Tarih ya da tür eksik",IF(AND(B163="Çıkış",IFERROR(INDEX(Ürünler!$H$5:$H$304,MATCH(C163,Ürünler!$A$5:$A$304,0)),0)&lt;0),"Stok eksiye düştü","")))</f>
        <v/>
      </c>
    </row>
    <row r="164" customFormat="false" ht="15" hidden="false" customHeight="false" outlineLevel="0" collapsed="false">
      <c r="A164" s="12"/>
      <c r="B164" s="13"/>
      <c r="C164" s="14"/>
      <c r="D164" s="15"/>
      <c r="E164" s="14"/>
      <c r="F164" s="16" t="str">
        <f aca="false">IF(OR(C164="",D164=""),"",IF(OR(A164="",B164=""),"Tarih ya da tür eksik",IF(AND(B164="Çıkış",IFERROR(INDEX(Ürünler!$H$5:$H$304,MATCH(C164,Ürünler!$A$5:$A$304,0)),0)&lt;0),"Stok eksiye düştü","")))</f>
        <v/>
      </c>
    </row>
    <row r="165" customFormat="false" ht="15" hidden="false" customHeight="false" outlineLevel="0" collapsed="false">
      <c r="A165" s="12"/>
      <c r="B165" s="13"/>
      <c r="C165" s="14"/>
      <c r="D165" s="15"/>
      <c r="E165" s="14"/>
      <c r="F165" s="16" t="str">
        <f aca="false">IF(OR(C165="",D165=""),"",IF(OR(A165="",B165=""),"Tarih ya da tür eksik",IF(AND(B165="Çıkış",IFERROR(INDEX(Ürünler!$H$5:$H$304,MATCH(C165,Ürünler!$A$5:$A$304,0)),0)&lt;0),"Stok eksiye düştü","")))</f>
        <v/>
      </c>
    </row>
    <row r="166" customFormat="false" ht="15" hidden="false" customHeight="false" outlineLevel="0" collapsed="false">
      <c r="A166" s="12"/>
      <c r="B166" s="13"/>
      <c r="C166" s="14"/>
      <c r="D166" s="15"/>
      <c r="E166" s="14"/>
      <c r="F166" s="16" t="str">
        <f aca="false">IF(OR(C166="",D166=""),"",IF(OR(A166="",B166=""),"Tarih ya da tür eksik",IF(AND(B166="Çıkış",IFERROR(INDEX(Ürünler!$H$5:$H$304,MATCH(C166,Ürünler!$A$5:$A$304,0)),0)&lt;0),"Stok eksiye düştü","")))</f>
        <v/>
      </c>
    </row>
    <row r="167" customFormat="false" ht="15" hidden="false" customHeight="false" outlineLevel="0" collapsed="false">
      <c r="A167" s="12"/>
      <c r="B167" s="13"/>
      <c r="C167" s="14"/>
      <c r="D167" s="15"/>
      <c r="E167" s="14"/>
      <c r="F167" s="16" t="str">
        <f aca="false">IF(OR(C167="",D167=""),"",IF(OR(A167="",B167=""),"Tarih ya da tür eksik",IF(AND(B167="Çıkış",IFERROR(INDEX(Ürünler!$H$5:$H$304,MATCH(C167,Ürünler!$A$5:$A$304,0)),0)&lt;0),"Stok eksiye düştü","")))</f>
        <v/>
      </c>
    </row>
    <row r="168" customFormat="false" ht="15" hidden="false" customHeight="false" outlineLevel="0" collapsed="false">
      <c r="A168" s="12"/>
      <c r="B168" s="13"/>
      <c r="C168" s="14"/>
      <c r="D168" s="15"/>
      <c r="E168" s="14"/>
      <c r="F168" s="16" t="str">
        <f aca="false">IF(OR(C168="",D168=""),"",IF(OR(A168="",B168=""),"Tarih ya da tür eksik",IF(AND(B168="Çıkış",IFERROR(INDEX(Ürünler!$H$5:$H$304,MATCH(C168,Ürünler!$A$5:$A$304,0)),0)&lt;0),"Stok eksiye düştü","")))</f>
        <v/>
      </c>
    </row>
    <row r="169" customFormat="false" ht="15" hidden="false" customHeight="false" outlineLevel="0" collapsed="false">
      <c r="A169" s="12"/>
      <c r="B169" s="13"/>
      <c r="C169" s="14"/>
      <c r="D169" s="15"/>
      <c r="E169" s="14"/>
      <c r="F169" s="16" t="str">
        <f aca="false">IF(OR(C169="",D169=""),"",IF(OR(A169="",B169=""),"Tarih ya da tür eksik",IF(AND(B169="Çıkış",IFERROR(INDEX(Ürünler!$H$5:$H$304,MATCH(C169,Ürünler!$A$5:$A$304,0)),0)&lt;0),"Stok eksiye düştü","")))</f>
        <v/>
      </c>
    </row>
    <row r="170" customFormat="false" ht="15" hidden="false" customHeight="false" outlineLevel="0" collapsed="false">
      <c r="A170" s="12"/>
      <c r="B170" s="13"/>
      <c r="C170" s="14"/>
      <c r="D170" s="15"/>
      <c r="E170" s="14"/>
      <c r="F170" s="16" t="str">
        <f aca="false">IF(OR(C170="",D170=""),"",IF(OR(A170="",B170=""),"Tarih ya da tür eksik",IF(AND(B170="Çıkış",IFERROR(INDEX(Ürünler!$H$5:$H$304,MATCH(C170,Ürünler!$A$5:$A$304,0)),0)&lt;0),"Stok eksiye düştü","")))</f>
        <v/>
      </c>
    </row>
    <row r="171" customFormat="false" ht="15" hidden="false" customHeight="false" outlineLevel="0" collapsed="false">
      <c r="A171" s="12"/>
      <c r="B171" s="13"/>
      <c r="C171" s="14"/>
      <c r="D171" s="15"/>
      <c r="E171" s="14"/>
      <c r="F171" s="16" t="str">
        <f aca="false">IF(OR(C171="",D171=""),"",IF(OR(A171="",B171=""),"Tarih ya da tür eksik",IF(AND(B171="Çıkış",IFERROR(INDEX(Ürünler!$H$5:$H$304,MATCH(C171,Ürünler!$A$5:$A$304,0)),0)&lt;0),"Stok eksiye düştü","")))</f>
        <v/>
      </c>
    </row>
    <row r="172" customFormat="false" ht="15" hidden="false" customHeight="false" outlineLevel="0" collapsed="false">
      <c r="A172" s="12"/>
      <c r="B172" s="13"/>
      <c r="C172" s="14"/>
      <c r="D172" s="15"/>
      <c r="E172" s="14"/>
      <c r="F172" s="16" t="str">
        <f aca="false">IF(OR(C172="",D172=""),"",IF(OR(A172="",B172=""),"Tarih ya da tür eksik",IF(AND(B172="Çıkış",IFERROR(INDEX(Ürünler!$H$5:$H$304,MATCH(C172,Ürünler!$A$5:$A$304,0)),0)&lt;0),"Stok eksiye düştü","")))</f>
        <v/>
      </c>
    </row>
    <row r="173" customFormat="false" ht="15" hidden="false" customHeight="false" outlineLevel="0" collapsed="false">
      <c r="A173" s="12"/>
      <c r="B173" s="13"/>
      <c r="C173" s="14"/>
      <c r="D173" s="15"/>
      <c r="E173" s="14"/>
      <c r="F173" s="16" t="str">
        <f aca="false">IF(OR(C173="",D173=""),"",IF(OR(A173="",B173=""),"Tarih ya da tür eksik",IF(AND(B173="Çıkış",IFERROR(INDEX(Ürünler!$H$5:$H$304,MATCH(C173,Ürünler!$A$5:$A$304,0)),0)&lt;0),"Stok eksiye düştü","")))</f>
        <v/>
      </c>
    </row>
    <row r="174" customFormat="false" ht="15" hidden="false" customHeight="false" outlineLevel="0" collapsed="false">
      <c r="A174" s="12"/>
      <c r="B174" s="13"/>
      <c r="C174" s="14"/>
      <c r="D174" s="15"/>
      <c r="E174" s="14"/>
      <c r="F174" s="16" t="str">
        <f aca="false">IF(OR(C174="",D174=""),"",IF(OR(A174="",B174=""),"Tarih ya da tür eksik",IF(AND(B174="Çıkış",IFERROR(INDEX(Ürünler!$H$5:$H$304,MATCH(C174,Ürünler!$A$5:$A$304,0)),0)&lt;0),"Stok eksiye düştü","")))</f>
        <v/>
      </c>
    </row>
    <row r="175" customFormat="false" ht="15" hidden="false" customHeight="false" outlineLevel="0" collapsed="false">
      <c r="A175" s="12"/>
      <c r="B175" s="13"/>
      <c r="C175" s="14"/>
      <c r="D175" s="15"/>
      <c r="E175" s="14"/>
      <c r="F175" s="16" t="str">
        <f aca="false">IF(OR(C175="",D175=""),"",IF(OR(A175="",B175=""),"Tarih ya da tür eksik",IF(AND(B175="Çıkış",IFERROR(INDEX(Ürünler!$H$5:$H$304,MATCH(C175,Ürünler!$A$5:$A$304,0)),0)&lt;0),"Stok eksiye düştü","")))</f>
        <v/>
      </c>
    </row>
    <row r="176" customFormat="false" ht="15" hidden="false" customHeight="false" outlineLevel="0" collapsed="false">
      <c r="A176" s="12"/>
      <c r="B176" s="13"/>
      <c r="C176" s="14"/>
      <c r="D176" s="15"/>
      <c r="E176" s="14"/>
      <c r="F176" s="16" t="str">
        <f aca="false">IF(OR(C176="",D176=""),"",IF(OR(A176="",B176=""),"Tarih ya da tür eksik",IF(AND(B176="Çıkış",IFERROR(INDEX(Ürünler!$H$5:$H$304,MATCH(C176,Ürünler!$A$5:$A$304,0)),0)&lt;0),"Stok eksiye düştü","")))</f>
        <v/>
      </c>
    </row>
    <row r="177" customFormat="false" ht="15" hidden="false" customHeight="false" outlineLevel="0" collapsed="false">
      <c r="A177" s="12"/>
      <c r="B177" s="13"/>
      <c r="C177" s="14"/>
      <c r="D177" s="15"/>
      <c r="E177" s="14"/>
      <c r="F177" s="16" t="str">
        <f aca="false">IF(OR(C177="",D177=""),"",IF(OR(A177="",B177=""),"Tarih ya da tür eksik",IF(AND(B177="Çıkış",IFERROR(INDEX(Ürünler!$H$5:$H$304,MATCH(C177,Ürünler!$A$5:$A$304,0)),0)&lt;0),"Stok eksiye düştü","")))</f>
        <v/>
      </c>
    </row>
    <row r="178" customFormat="false" ht="15" hidden="false" customHeight="false" outlineLevel="0" collapsed="false">
      <c r="A178" s="12"/>
      <c r="B178" s="13"/>
      <c r="C178" s="14"/>
      <c r="D178" s="15"/>
      <c r="E178" s="14"/>
      <c r="F178" s="16" t="str">
        <f aca="false">IF(OR(C178="",D178=""),"",IF(OR(A178="",B178=""),"Tarih ya da tür eksik",IF(AND(B178="Çıkış",IFERROR(INDEX(Ürünler!$H$5:$H$304,MATCH(C178,Ürünler!$A$5:$A$304,0)),0)&lt;0),"Stok eksiye düştü","")))</f>
        <v/>
      </c>
    </row>
    <row r="179" customFormat="false" ht="15" hidden="false" customHeight="false" outlineLevel="0" collapsed="false">
      <c r="A179" s="12"/>
      <c r="B179" s="13"/>
      <c r="C179" s="14"/>
      <c r="D179" s="15"/>
      <c r="E179" s="14"/>
      <c r="F179" s="16" t="str">
        <f aca="false">IF(OR(C179="",D179=""),"",IF(OR(A179="",B179=""),"Tarih ya da tür eksik",IF(AND(B179="Çıkış",IFERROR(INDEX(Ürünler!$H$5:$H$304,MATCH(C179,Ürünler!$A$5:$A$304,0)),0)&lt;0),"Stok eksiye düştü","")))</f>
        <v/>
      </c>
    </row>
    <row r="180" customFormat="false" ht="15" hidden="false" customHeight="false" outlineLevel="0" collapsed="false">
      <c r="A180" s="12"/>
      <c r="B180" s="13"/>
      <c r="C180" s="14"/>
      <c r="D180" s="15"/>
      <c r="E180" s="14"/>
      <c r="F180" s="16" t="str">
        <f aca="false">IF(OR(C180="",D180=""),"",IF(OR(A180="",B180=""),"Tarih ya da tür eksik",IF(AND(B180="Çıkış",IFERROR(INDEX(Ürünler!$H$5:$H$304,MATCH(C180,Ürünler!$A$5:$A$304,0)),0)&lt;0),"Stok eksiye düştü","")))</f>
        <v/>
      </c>
    </row>
    <row r="181" customFormat="false" ht="15" hidden="false" customHeight="false" outlineLevel="0" collapsed="false">
      <c r="A181" s="12"/>
      <c r="B181" s="13"/>
      <c r="C181" s="14"/>
      <c r="D181" s="15"/>
      <c r="E181" s="14"/>
      <c r="F181" s="16" t="str">
        <f aca="false">IF(OR(C181="",D181=""),"",IF(OR(A181="",B181=""),"Tarih ya da tür eksik",IF(AND(B181="Çıkış",IFERROR(INDEX(Ürünler!$H$5:$H$304,MATCH(C181,Ürünler!$A$5:$A$304,0)),0)&lt;0),"Stok eksiye düştü","")))</f>
        <v/>
      </c>
    </row>
    <row r="182" customFormat="false" ht="15" hidden="false" customHeight="false" outlineLevel="0" collapsed="false">
      <c r="A182" s="12"/>
      <c r="B182" s="13"/>
      <c r="C182" s="14"/>
      <c r="D182" s="15"/>
      <c r="E182" s="14"/>
      <c r="F182" s="16" t="str">
        <f aca="false">IF(OR(C182="",D182=""),"",IF(OR(A182="",B182=""),"Tarih ya da tür eksik",IF(AND(B182="Çıkış",IFERROR(INDEX(Ürünler!$H$5:$H$304,MATCH(C182,Ürünler!$A$5:$A$304,0)),0)&lt;0),"Stok eksiye düştü","")))</f>
        <v/>
      </c>
    </row>
    <row r="183" customFormat="false" ht="15" hidden="false" customHeight="false" outlineLevel="0" collapsed="false">
      <c r="A183" s="12"/>
      <c r="B183" s="13"/>
      <c r="C183" s="14"/>
      <c r="D183" s="15"/>
      <c r="E183" s="14"/>
      <c r="F183" s="16" t="str">
        <f aca="false">IF(OR(C183="",D183=""),"",IF(OR(A183="",B183=""),"Tarih ya da tür eksik",IF(AND(B183="Çıkış",IFERROR(INDEX(Ürünler!$H$5:$H$304,MATCH(C183,Ürünler!$A$5:$A$304,0)),0)&lt;0),"Stok eksiye düştü","")))</f>
        <v/>
      </c>
    </row>
    <row r="184" customFormat="false" ht="15" hidden="false" customHeight="false" outlineLevel="0" collapsed="false">
      <c r="A184" s="12"/>
      <c r="B184" s="13"/>
      <c r="C184" s="14"/>
      <c r="D184" s="15"/>
      <c r="E184" s="14"/>
      <c r="F184" s="16" t="str">
        <f aca="false">IF(OR(C184="",D184=""),"",IF(OR(A184="",B184=""),"Tarih ya da tür eksik",IF(AND(B184="Çıkış",IFERROR(INDEX(Ürünler!$H$5:$H$304,MATCH(C184,Ürünler!$A$5:$A$304,0)),0)&lt;0),"Stok eksiye düştü","")))</f>
        <v/>
      </c>
    </row>
    <row r="185" customFormat="false" ht="15" hidden="false" customHeight="false" outlineLevel="0" collapsed="false">
      <c r="A185" s="12"/>
      <c r="B185" s="13"/>
      <c r="C185" s="14"/>
      <c r="D185" s="15"/>
      <c r="E185" s="14"/>
      <c r="F185" s="16" t="str">
        <f aca="false">IF(OR(C185="",D185=""),"",IF(OR(A185="",B185=""),"Tarih ya da tür eksik",IF(AND(B185="Çıkış",IFERROR(INDEX(Ürünler!$H$5:$H$304,MATCH(C185,Ürünler!$A$5:$A$304,0)),0)&lt;0),"Stok eksiye düştü","")))</f>
        <v/>
      </c>
    </row>
    <row r="186" customFormat="false" ht="15" hidden="false" customHeight="false" outlineLevel="0" collapsed="false">
      <c r="A186" s="12"/>
      <c r="B186" s="13"/>
      <c r="C186" s="14"/>
      <c r="D186" s="15"/>
      <c r="E186" s="14"/>
      <c r="F186" s="16" t="str">
        <f aca="false">IF(OR(C186="",D186=""),"",IF(OR(A186="",B186=""),"Tarih ya da tür eksik",IF(AND(B186="Çıkış",IFERROR(INDEX(Ürünler!$H$5:$H$304,MATCH(C186,Ürünler!$A$5:$A$304,0)),0)&lt;0),"Stok eksiye düştü","")))</f>
        <v/>
      </c>
    </row>
    <row r="187" customFormat="false" ht="15" hidden="false" customHeight="false" outlineLevel="0" collapsed="false">
      <c r="A187" s="12"/>
      <c r="B187" s="13"/>
      <c r="C187" s="14"/>
      <c r="D187" s="15"/>
      <c r="E187" s="14"/>
      <c r="F187" s="16" t="str">
        <f aca="false">IF(OR(C187="",D187=""),"",IF(OR(A187="",B187=""),"Tarih ya da tür eksik",IF(AND(B187="Çıkış",IFERROR(INDEX(Ürünler!$H$5:$H$304,MATCH(C187,Ürünler!$A$5:$A$304,0)),0)&lt;0),"Stok eksiye düştü","")))</f>
        <v/>
      </c>
    </row>
    <row r="188" customFormat="false" ht="15" hidden="false" customHeight="false" outlineLevel="0" collapsed="false">
      <c r="A188" s="12"/>
      <c r="B188" s="13"/>
      <c r="C188" s="14"/>
      <c r="D188" s="15"/>
      <c r="E188" s="14"/>
      <c r="F188" s="16" t="str">
        <f aca="false">IF(OR(C188="",D188=""),"",IF(OR(A188="",B188=""),"Tarih ya da tür eksik",IF(AND(B188="Çıkış",IFERROR(INDEX(Ürünler!$H$5:$H$304,MATCH(C188,Ürünler!$A$5:$A$304,0)),0)&lt;0),"Stok eksiye düştü","")))</f>
        <v/>
      </c>
    </row>
    <row r="189" customFormat="false" ht="15" hidden="false" customHeight="false" outlineLevel="0" collapsed="false">
      <c r="A189" s="12"/>
      <c r="B189" s="13"/>
      <c r="C189" s="14"/>
      <c r="D189" s="15"/>
      <c r="E189" s="14"/>
      <c r="F189" s="16" t="str">
        <f aca="false">IF(OR(C189="",D189=""),"",IF(OR(A189="",B189=""),"Tarih ya da tür eksik",IF(AND(B189="Çıkış",IFERROR(INDEX(Ürünler!$H$5:$H$304,MATCH(C189,Ürünler!$A$5:$A$304,0)),0)&lt;0),"Stok eksiye düştü","")))</f>
        <v/>
      </c>
    </row>
    <row r="190" customFormat="false" ht="15" hidden="false" customHeight="false" outlineLevel="0" collapsed="false">
      <c r="A190" s="12"/>
      <c r="B190" s="13"/>
      <c r="C190" s="14"/>
      <c r="D190" s="15"/>
      <c r="E190" s="14"/>
      <c r="F190" s="16" t="str">
        <f aca="false">IF(OR(C190="",D190=""),"",IF(OR(A190="",B190=""),"Tarih ya da tür eksik",IF(AND(B190="Çıkış",IFERROR(INDEX(Ürünler!$H$5:$H$304,MATCH(C190,Ürünler!$A$5:$A$304,0)),0)&lt;0),"Stok eksiye düştü","")))</f>
        <v/>
      </c>
    </row>
    <row r="191" customFormat="false" ht="15" hidden="false" customHeight="false" outlineLevel="0" collapsed="false">
      <c r="A191" s="12"/>
      <c r="B191" s="13"/>
      <c r="C191" s="14"/>
      <c r="D191" s="15"/>
      <c r="E191" s="14"/>
      <c r="F191" s="16" t="str">
        <f aca="false">IF(OR(C191="",D191=""),"",IF(OR(A191="",B191=""),"Tarih ya da tür eksik",IF(AND(B191="Çıkış",IFERROR(INDEX(Ürünler!$H$5:$H$304,MATCH(C191,Ürünler!$A$5:$A$304,0)),0)&lt;0),"Stok eksiye düştü","")))</f>
        <v/>
      </c>
    </row>
    <row r="192" customFormat="false" ht="15" hidden="false" customHeight="false" outlineLevel="0" collapsed="false">
      <c r="A192" s="12"/>
      <c r="B192" s="13"/>
      <c r="C192" s="14"/>
      <c r="D192" s="15"/>
      <c r="E192" s="14"/>
      <c r="F192" s="16" t="str">
        <f aca="false">IF(OR(C192="",D192=""),"",IF(OR(A192="",B192=""),"Tarih ya da tür eksik",IF(AND(B192="Çıkış",IFERROR(INDEX(Ürünler!$H$5:$H$304,MATCH(C192,Ürünler!$A$5:$A$304,0)),0)&lt;0),"Stok eksiye düştü","")))</f>
        <v/>
      </c>
    </row>
    <row r="193" customFormat="false" ht="15" hidden="false" customHeight="false" outlineLevel="0" collapsed="false">
      <c r="A193" s="12"/>
      <c r="B193" s="13"/>
      <c r="C193" s="14"/>
      <c r="D193" s="15"/>
      <c r="E193" s="14"/>
      <c r="F193" s="16" t="str">
        <f aca="false">IF(OR(C193="",D193=""),"",IF(OR(A193="",B193=""),"Tarih ya da tür eksik",IF(AND(B193="Çıkış",IFERROR(INDEX(Ürünler!$H$5:$H$304,MATCH(C193,Ürünler!$A$5:$A$304,0)),0)&lt;0),"Stok eksiye düştü","")))</f>
        <v/>
      </c>
    </row>
    <row r="194" customFormat="false" ht="15" hidden="false" customHeight="false" outlineLevel="0" collapsed="false">
      <c r="A194" s="12"/>
      <c r="B194" s="13"/>
      <c r="C194" s="14"/>
      <c r="D194" s="15"/>
      <c r="E194" s="14"/>
      <c r="F194" s="16" t="str">
        <f aca="false">IF(OR(C194="",D194=""),"",IF(OR(A194="",B194=""),"Tarih ya da tür eksik",IF(AND(B194="Çıkış",IFERROR(INDEX(Ürünler!$H$5:$H$304,MATCH(C194,Ürünler!$A$5:$A$304,0)),0)&lt;0),"Stok eksiye düştü","")))</f>
        <v/>
      </c>
    </row>
    <row r="195" customFormat="false" ht="15" hidden="false" customHeight="false" outlineLevel="0" collapsed="false">
      <c r="A195" s="12"/>
      <c r="B195" s="13"/>
      <c r="C195" s="14"/>
      <c r="D195" s="15"/>
      <c r="E195" s="14"/>
      <c r="F195" s="16" t="str">
        <f aca="false">IF(OR(C195="",D195=""),"",IF(OR(A195="",B195=""),"Tarih ya da tür eksik",IF(AND(B195="Çıkış",IFERROR(INDEX(Ürünler!$H$5:$H$304,MATCH(C195,Ürünler!$A$5:$A$304,0)),0)&lt;0),"Stok eksiye düştü","")))</f>
        <v/>
      </c>
    </row>
    <row r="196" customFormat="false" ht="15" hidden="false" customHeight="false" outlineLevel="0" collapsed="false">
      <c r="A196" s="12"/>
      <c r="B196" s="13"/>
      <c r="C196" s="14"/>
      <c r="D196" s="15"/>
      <c r="E196" s="14"/>
      <c r="F196" s="16" t="str">
        <f aca="false">IF(OR(C196="",D196=""),"",IF(OR(A196="",B196=""),"Tarih ya da tür eksik",IF(AND(B196="Çıkış",IFERROR(INDEX(Ürünler!$H$5:$H$304,MATCH(C196,Ürünler!$A$5:$A$304,0)),0)&lt;0),"Stok eksiye düştü","")))</f>
        <v/>
      </c>
    </row>
    <row r="197" customFormat="false" ht="15" hidden="false" customHeight="false" outlineLevel="0" collapsed="false">
      <c r="A197" s="12"/>
      <c r="B197" s="13"/>
      <c r="C197" s="14"/>
      <c r="D197" s="15"/>
      <c r="E197" s="14"/>
      <c r="F197" s="16" t="str">
        <f aca="false">IF(OR(C197="",D197=""),"",IF(OR(A197="",B197=""),"Tarih ya da tür eksik",IF(AND(B197="Çıkış",IFERROR(INDEX(Ürünler!$H$5:$H$304,MATCH(C197,Ürünler!$A$5:$A$304,0)),0)&lt;0),"Stok eksiye düştü","")))</f>
        <v/>
      </c>
    </row>
    <row r="198" customFormat="false" ht="15" hidden="false" customHeight="false" outlineLevel="0" collapsed="false">
      <c r="A198" s="12"/>
      <c r="B198" s="13"/>
      <c r="C198" s="14"/>
      <c r="D198" s="15"/>
      <c r="E198" s="14"/>
      <c r="F198" s="16" t="str">
        <f aca="false">IF(OR(C198="",D198=""),"",IF(OR(A198="",B198=""),"Tarih ya da tür eksik",IF(AND(B198="Çıkış",IFERROR(INDEX(Ürünler!$H$5:$H$304,MATCH(C198,Ürünler!$A$5:$A$304,0)),0)&lt;0),"Stok eksiye düştü","")))</f>
        <v/>
      </c>
    </row>
    <row r="199" customFormat="false" ht="15" hidden="false" customHeight="false" outlineLevel="0" collapsed="false">
      <c r="A199" s="12"/>
      <c r="B199" s="13"/>
      <c r="C199" s="14"/>
      <c r="D199" s="15"/>
      <c r="E199" s="14"/>
      <c r="F199" s="16" t="str">
        <f aca="false">IF(OR(C199="",D199=""),"",IF(OR(A199="",B199=""),"Tarih ya da tür eksik",IF(AND(B199="Çıkış",IFERROR(INDEX(Ürünler!$H$5:$H$304,MATCH(C199,Ürünler!$A$5:$A$304,0)),0)&lt;0),"Stok eksiye düştü","")))</f>
        <v/>
      </c>
    </row>
    <row r="200" customFormat="false" ht="15" hidden="false" customHeight="false" outlineLevel="0" collapsed="false">
      <c r="A200" s="12"/>
      <c r="B200" s="13"/>
      <c r="C200" s="14"/>
      <c r="D200" s="15"/>
      <c r="E200" s="14"/>
      <c r="F200" s="16" t="str">
        <f aca="false">IF(OR(C200="",D200=""),"",IF(OR(A200="",B200=""),"Tarih ya da tür eksik",IF(AND(B200="Çıkış",IFERROR(INDEX(Ürünler!$H$5:$H$304,MATCH(C200,Ürünler!$A$5:$A$304,0)),0)&lt;0),"Stok eksiye düştü","")))</f>
        <v/>
      </c>
    </row>
    <row r="201" customFormat="false" ht="15" hidden="false" customHeight="false" outlineLevel="0" collapsed="false">
      <c r="A201" s="12"/>
      <c r="B201" s="13"/>
      <c r="C201" s="14"/>
      <c r="D201" s="15"/>
      <c r="E201" s="14"/>
      <c r="F201" s="16" t="str">
        <f aca="false">IF(OR(C201="",D201=""),"",IF(OR(A201="",B201=""),"Tarih ya da tür eksik",IF(AND(B201="Çıkış",IFERROR(INDEX(Ürünler!$H$5:$H$304,MATCH(C201,Ürünler!$A$5:$A$304,0)),0)&lt;0),"Stok eksiye düştü","")))</f>
        <v/>
      </c>
    </row>
    <row r="202" customFormat="false" ht="15" hidden="false" customHeight="false" outlineLevel="0" collapsed="false">
      <c r="A202" s="12"/>
      <c r="B202" s="13"/>
      <c r="C202" s="14"/>
      <c r="D202" s="15"/>
      <c r="E202" s="14"/>
      <c r="F202" s="16" t="str">
        <f aca="false">IF(OR(C202="",D202=""),"",IF(OR(A202="",B202=""),"Tarih ya da tür eksik",IF(AND(B202="Çıkış",IFERROR(INDEX(Ürünler!$H$5:$H$304,MATCH(C202,Ürünler!$A$5:$A$304,0)),0)&lt;0),"Stok eksiye düştü","")))</f>
        <v/>
      </c>
    </row>
    <row r="203" customFormat="false" ht="15" hidden="false" customHeight="false" outlineLevel="0" collapsed="false">
      <c r="A203" s="12"/>
      <c r="B203" s="13"/>
      <c r="C203" s="14"/>
      <c r="D203" s="15"/>
      <c r="E203" s="14"/>
      <c r="F203" s="16" t="str">
        <f aca="false">IF(OR(C203="",D203=""),"",IF(OR(A203="",B203=""),"Tarih ya da tür eksik",IF(AND(B203="Çıkış",IFERROR(INDEX(Ürünler!$H$5:$H$304,MATCH(C203,Ürünler!$A$5:$A$304,0)),0)&lt;0),"Stok eksiye düştü","")))</f>
        <v/>
      </c>
    </row>
    <row r="204" customFormat="false" ht="15" hidden="false" customHeight="false" outlineLevel="0" collapsed="false">
      <c r="A204" s="12"/>
      <c r="B204" s="13"/>
      <c r="C204" s="14"/>
      <c r="D204" s="15"/>
      <c r="E204" s="14"/>
      <c r="F204" s="16" t="str">
        <f aca="false">IF(OR(C204="",D204=""),"",IF(OR(A204="",B204=""),"Tarih ya da tür eksik",IF(AND(B204="Çıkış",IFERROR(INDEX(Ürünler!$H$5:$H$304,MATCH(C204,Ürünler!$A$5:$A$304,0)),0)&lt;0),"Stok eksiye düştü","")))</f>
        <v/>
      </c>
    </row>
    <row r="205" customFormat="false" ht="15" hidden="false" customHeight="false" outlineLevel="0" collapsed="false">
      <c r="A205" s="12"/>
      <c r="B205" s="13"/>
      <c r="C205" s="14"/>
      <c r="D205" s="15"/>
      <c r="E205" s="14"/>
      <c r="F205" s="16" t="str">
        <f aca="false">IF(OR(C205="",D205=""),"",IF(OR(A205="",B205=""),"Tarih ya da tür eksik",IF(AND(B205="Çıkış",IFERROR(INDEX(Ürünler!$H$5:$H$304,MATCH(C205,Ürünler!$A$5:$A$304,0)),0)&lt;0),"Stok eksiye düştü","")))</f>
        <v/>
      </c>
    </row>
    <row r="206" customFormat="false" ht="15" hidden="false" customHeight="false" outlineLevel="0" collapsed="false">
      <c r="A206" s="12"/>
      <c r="B206" s="13"/>
      <c r="C206" s="14"/>
      <c r="D206" s="15"/>
      <c r="E206" s="14"/>
      <c r="F206" s="16" t="str">
        <f aca="false">IF(OR(C206="",D206=""),"",IF(OR(A206="",B206=""),"Tarih ya da tür eksik",IF(AND(B206="Çıkış",IFERROR(INDEX(Ürünler!$H$5:$H$304,MATCH(C206,Ürünler!$A$5:$A$304,0)),0)&lt;0),"Stok eksiye düştü","")))</f>
        <v/>
      </c>
    </row>
    <row r="207" customFormat="false" ht="15" hidden="false" customHeight="false" outlineLevel="0" collapsed="false">
      <c r="A207" s="12"/>
      <c r="B207" s="13"/>
      <c r="C207" s="14"/>
      <c r="D207" s="15"/>
      <c r="E207" s="14"/>
      <c r="F207" s="16" t="str">
        <f aca="false">IF(OR(C207="",D207=""),"",IF(OR(A207="",B207=""),"Tarih ya da tür eksik",IF(AND(B207="Çıkış",IFERROR(INDEX(Ürünler!$H$5:$H$304,MATCH(C207,Ürünler!$A$5:$A$304,0)),0)&lt;0),"Stok eksiye düştü","")))</f>
        <v/>
      </c>
    </row>
    <row r="208" customFormat="false" ht="15" hidden="false" customHeight="false" outlineLevel="0" collapsed="false">
      <c r="A208" s="12"/>
      <c r="B208" s="13"/>
      <c r="C208" s="14"/>
      <c r="D208" s="15"/>
      <c r="E208" s="14"/>
      <c r="F208" s="16" t="str">
        <f aca="false">IF(OR(C208="",D208=""),"",IF(OR(A208="",B208=""),"Tarih ya da tür eksik",IF(AND(B208="Çıkış",IFERROR(INDEX(Ürünler!$H$5:$H$304,MATCH(C208,Ürünler!$A$5:$A$304,0)),0)&lt;0),"Stok eksiye düştü","")))</f>
        <v/>
      </c>
    </row>
    <row r="209" customFormat="false" ht="15" hidden="false" customHeight="false" outlineLevel="0" collapsed="false">
      <c r="A209" s="12"/>
      <c r="B209" s="13"/>
      <c r="C209" s="14"/>
      <c r="D209" s="15"/>
      <c r="E209" s="14"/>
      <c r="F209" s="16" t="str">
        <f aca="false">IF(OR(C209="",D209=""),"",IF(OR(A209="",B209=""),"Tarih ya da tür eksik",IF(AND(B209="Çıkış",IFERROR(INDEX(Ürünler!$H$5:$H$304,MATCH(C209,Ürünler!$A$5:$A$304,0)),0)&lt;0),"Stok eksiye düştü","")))</f>
        <v/>
      </c>
    </row>
    <row r="210" customFormat="false" ht="15" hidden="false" customHeight="false" outlineLevel="0" collapsed="false">
      <c r="A210" s="12"/>
      <c r="B210" s="13"/>
      <c r="C210" s="14"/>
      <c r="D210" s="15"/>
      <c r="E210" s="14"/>
      <c r="F210" s="16" t="str">
        <f aca="false">IF(OR(C210="",D210=""),"",IF(OR(A210="",B210=""),"Tarih ya da tür eksik",IF(AND(B210="Çıkış",IFERROR(INDEX(Ürünler!$H$5:$H$304,MATCH(C210,Ürünler!$A$5:$A$304,0)),0)&lt;0),"Stok eksiye düştü","")))</f>
        <v/>
      </c>
    </row>
    <row r="211" customFormat="false" ht="15" hidden="false" customHeight="false" outlineLevel="0" collapsed="false">
      <c r="A211" s="12"/>
      <c r="B211" s="13"/>
      <c r="C211" s="14"/>
      <c r="D211" s="15"/>
      <c r="E211" s="14"/>
      <c r="F211" s="16" t="str">
        <f aca="false">IF(OR(C211="",D211=""),"",IF(OR(A211="",B211=""),"Tarih ya da tür eksik",IF(AND(B211="Çıkış",IFERROR(INDEX(Ürünler!$H$5:$H$304,MATCH(C211,Ürünler!$A$5:$A$304,0)),0)&lt;0),"Stok eksiye düştü","")))</f>
        <v/>
      </c>
    </row>
    <row r="212" customFormat="false" ht="15" hidden="false" customHeight="false" outlineLevel="0" collapsed="false">
      <c r="A212" s="12"/>
      <c r="B212" s="13"/>
      <c r="C212" s="14"/>
      <c r="D212" s="15"/>
      <c r="E212" s="14"/>
      <c r="F212" s="16" t="str">
        <f aca="false">IF(OR(C212="",D212=""),"",IF(OR(A212="",B212=""),"Tarih ya da tür eksik",IF(AND(B212="Çıkış",IFERROR(INDEX(Ürünler!$H$5:$H$304,MATCH(C212,Ürünler!$A$5:$A$304,0)),0)&lt;0),"Stok eksiye düştü","")))</f>
        <v/>
      </c>
    </row>
    <row r="213" customFormat="false" ht="15" hidden="false" customHeight="false" outlineLevel="0" collapsed="false">
      <c r="A213" s="12"/>
      <c r="B213" s="13"/>
      <c r="C213" s="14"/>
      <c r="D213" s="15"/>
      <c r="E213" s="14"/>
      <c r="F213" s="16" t="str">
        <f aca="false">IF(OR(C213="",D213=""),"",IF(OR(A213="",B213=""),"Tarih ya da tür eksik",IF(AND(B213="Çıkış",IFERROR(INDEX(Ürünler!$H$5:$H$304,MATCH(C213,Ürünler!$A$5:$A$304,0)),0)&lt;0),"Stok eksiye düştü","")))</f>
        <v/>
      </c>
    </row>
    <row r="214" customFormat="false" ht="15" hidden="false" customHeight="false" outlineLevel="0" collapsed="false">
      <c r="A214" s="12"/>
      <c r="B214" s="13"/>
      <c r="C214" s="14"/>
      <c r="D214" s="15"/>
      <c r="E214" s="14"/>
      <c r="F214" s="16" t="str">
        <f aca="false">IF(OR(C214="",D214=""),"",IF(OR(A214="",B214=""),"Tarih ya da tür eksik",IF(AND(B214="Çıkış",IFERROR(INDEX(Ürünler!$H$5:$H$304,MATCH(C214,Ürünler!$A$5:$A$304,0)),0)&lt;0),"Stok eksiye düştü","")))</f>
        <v/>
      </c>
    </row>
    <row r="215" customFormat="false" ht="15" hidden="false" customHeight="false" outlineLevel="0" collapsed="false">
      <c r="A215" s="12"/>
      <c r="B215" s="13"/>
      <c r="C215" s="14"/>
      <c r="D215" s="15"/>
      <c r="E215" s="14"/>
      <c r="F215" s="16" t="str">
        <f aca="false">IF(OR(C215="",D215=""),"",IF(OR(A215="",B215=""),"Tarih ya da tür eksik",IF(AND(B215="Çıkış",IFERROR(INDEX(Ürünler!$H$5:$H$304,MATCH(C215,Ürünler!$A$5:$A$304,0)),0)&lt;0),"Stok eksiye düştü","")))</f>
        <v/>
      </c>
    </row>
    <row r="216" customFormat="false" ht="15" hidden="false" customHeight="false" outlineLevel="0" collapsed="false">
      <c r="A216" s="12"/>
      <c r="B216" s="13"/>
      <c r="C216" s="14"/>
      <c r="D216" s="15"/>
      <c r="E216" s="14"/>
      <c r="F216" s="16" t="str">
        <f aca="false">IF(OR(C216="",D216=""),"",IF(OR(A216="",B216=""),"Tarih ya da tür eksik",IF(AND(B216="Çıkış",IFERROR(INDEX(Ürünler!$H$5:$H$304,MATCH(C216,Ürünler!$A$5:$A$304,0)),0)&lt;0),"Stok eksiye düştü","")))</f>
        <v/>
      </c>
    </row>
    <row r="217" customFormat="false" ht="15" hidden="false" customHeight="false" outlineLevel="0" collapsed="false">
      <c r="A217" s="12"/>
      <c r="B217" s="13"/>
      <c r="C217" s="14"/>
      <c r="D217" s="15"/>
      <c r="E217" s="14"/>
      <c r="F217" s="16" t="str">
        <f aca="false">IF(OR(C217="",D217=""),"",IF(OR(A217="",B217=""),"Tarih ya da tür eksik",IF(AND(B217="Çıkış",IFERROR(INDEX(Ürünler!$H$5:$H$304,MATCH(C217,Ürünler!$A$5:$A$304,0)),0)&lt;0),"Stok eksiye düştü","")))</f>
        <v/>
      </c>
    </row>
    <row r="218" customFormat="false" ht="15" hidden="false" customHeight="false" outlineLevel="0" collapsed="false">
      <c r="A218" s="12"/>
      <c r="B218" s="13"/>
      <c r="C218" s="14"/>
      <c r="D218" s="15"/>
      <c r="E218" s="14"/>
      <c r="F218" s="16" t="str">
        <f aca="false">IF(OR(C218="",D218=""),"",IF(OR(A218="",B218=""),"Tarih ya da tür eksik",IF(AND(B218="Çıkış",IFERROR(INDEX(Ürünler!$H$5:$H$304,MATCH(C218,Ürünler!$A$5:$A$304,0)),0)&lt;0),"Stok eksiye düştü","")))</f>
        <v/>
      </c>
    </row>
    <row r="219" customFormat="false" ht="15" hidden="false" customHeight="false" outlineLevel="0" collapsed="false">
      <c r="A219" s="12"/>
      <c r="B219" s="13"/>
      <c r="C219" s="14"/>
      <c r="D219" s="15"/>
      <c r="E219" s="14"/>
      <c r="F219" s="16" t="str">
        <f aca="false">IF(OR(C219="",D219=""),"",IF(OR(A219="",B219=""),"Tarih ya da tür eksik",IF(AND(B219="Çıkış",IFERROR(INDEX(Ürünler!$H$5:$H$304,MATCH(C219,Ürünler!$A$5:$A$304,0)),0)&lt;0),"Stok eksiye düştü","")))</f>
        <v/>
      </c>
    </row>
    <row r="220" customFormat="false" ht="15" hidden="false" customHeight="false" outlineLevel="0" collapsed="false">
      <c r="A220" s="12"/>
      <c r="B220" s="13"/>
      <c r="C220" s="14"/>
      <c r="D220" s="15"/>
      <c r="E220" s="14"/>
      <c r="F220" s="16" t="str">
        <f aca="false">IF(OR(C220="",D220=""),"",IF(OR(A220="",B220=""),"Tarih ya da tür eksik",IF(AND(B220="Çıkış",IFERROR(INDEX(Ürünler!$H$5:$H$304,MATCH(C220,Ürünler!$A$5:$A$304,0)),0)&lt;0),"Stok eksiye düştü","")))</f>
        <v/>
      </c>
    </row>
    <row r="221" customFormat="false" ht="15" hidden="false" customHeight="false" outlineLevel="0" collapsed="false">
      <c r="A221" s="12"/>
      <c r="B221" s="13"/>
      <c r="C221" s="14"/>
      <c r="D221" s="15"/>
      <c r="E221" s="14"/>
      <c r="F221" s="16" t="str">
        <f aca="false">IF(OR(C221="",D221=""),"",IF(OR(A221="",B221=""),"Tarih ya da tür eksik",IF(AND(B221="Çıkış",IFERROR(INDEX(Ürünler!$H$5:$H$304,MATCH(C221,Ürünler!$A$5:$A$304,0)),0)&lt;0),"Stok eksiye düştü","")))</f>
        <v/>
      </c>
    </row>
    <row r="222" customFormat="false" ht="15" hidden="false" customHeight="false" outlineLevel="0" collapsed="false">
      <c r="A222" s="12"/>
      <c r="B222" s="13"/>
      <c r="C222" s="14"/>
      <c r="D222" s="15"/>
      <c r="E222" s="14"/>
      <c r="F222" s="16" t="str">
        <f aca="false">IF(OR(C222="",D222=""),"",IF(OR(A222="",B222=""),"Tarih ya da tür eksik",IF(AND(B222="Çıkış",IFERROR(INDEX(Ürünler!$H$5:$H$304,MATCH(C222,Ürünler!$A$5:$A$304,0)),0)&lt;0),"Stok eksiye düştü","")))</f>
        <v/>
      </c>
    </row>
    <row r="223" customFormat="false" ht="15" hidden="false" customHeight="false" outlineLevel="0" collapsed="false">
      <c r="A223" s="12"/>
      <c r="B223" s="13"/>
      <c r="C223" s="14"/>
      <c r="D223" s="15"/>
      <c r="E223" s="14"/>
      <c r="F223" s="16" t="str">
        <f aca="false">IF(OR(C223="",D223=""),"",IF(OR(A223="",B223=""),"Tarih ya da tür eksik",IF(AND(B223="Çıkış",IFERROR(INDEX(Ürünler!$H$5:$H$304,MATCH(C223,Ürünler!$A$5:$A$304,0)),0)&lt;0),"Stok eksiye düştü","")))</f>
        <v/>
      </c>
    </row>
    <row r="224" customFormat="false" ht="15" hidden="false" customHeight="false" outlineLevel="0" collapsed="false">
      <c r="A224" s="12"/>
      <c r="B224" s="13"/>
      <c r="C224" s="14"/>
      <c r="D224" s="15"/>
      <c r="E224" s="14"/>
      <c r="F224" s="16" t="str">
        <f aca="false">IF(OR(C224="",D224=""),"",IF(OR(A224="",B224=""),"Tarih ya da tür eksik",IF(AND(B224="Çıkış",IFERROR(INDEX(Ürünler!$H$5:$H$304,MATCH(C224,Ürünler!$A$5:$A$304,0)),0)&lt;0),"Stok eksiye düştü","")))</f>
        <v/>
      </c>
    </row>
    <row r="225" customFormat="false" ht="15" hidden="false" customHeight="false" outlineLevel="0" collapsed="false">
      <c r="A225" s="12"/>
      <c r="B225" s="13"/>
      <c r="C225" s="14"/>
      <c r="D225" s="15"/>
      <c r="E225" s="14"/>
      <c r="F225" s="16" t="str">
        <f aca="false">IF(OR(C225="",D225=""),"",IF(OR(A225="",B225=""),"Tarih ya da tür eksik",IF(AND(B225="Çıkış",IFERROR(INDEX(Ürünler!$H$5:$H$304,MATCH(C225,Ürünler!$A$5:$A$304,0)),0)&lt;0),"Stok eksiye düştü","")))</f>
        <v/>
      </c>
    </row>
    <row r="226" customFormat="false" ht="15" hidden="false" customHeight="false" outlineLevel="0" collapsed="false">
      <c r="A226" s="12"/>
      <c r="B226" s="13"/>
      <c r="C226" s="14"/>
      <c r="D226" s="15"/>
      <c r="E226" s="14"/>
      <c r="F226" s="16" t="str">
        <f aca="false">IF(OR(C226="",D226=""),"",IF(OR(A226="",B226=""),"Tarih ya da tür eksik",IF(AND(B226="Çıkış",IFERROR(INDEX(Ürünler!$H$5:$H$304,MATCH(C226,Ürünler!$A$5:$A$304,0)),0)&lt;0),"Stok eksiye düştü","")))</f>
        <v/>
      </c>
    </row>
    <row r="227" customFormat="false" ht="15" hidden="false" customHeight="false" outlineLevel="0" collapsed="false">
      <c r="A227" s="12"/>
      <c r="B227" s="13"/>
      <c r="C227" s="14"/>
      <c r="D227" s="15"/>
      <c r="E227" s="14"/>
      <c r="F227" s="16" t="str">
        <f aca="false">IF(OR(C227="",D227=""),"",IF(OR(A227="",B227=""),"Tarih ya da tür eksik",IF(AND(B227="Çıkış",IFERROR(INDEX(Ürünler!$H$5:$H$304,MATCH(C227,Ürünler!$A$5:$A$304,0)),0)&lt;0),"Stok eksiye düştü","")))</f>
        <v/>
      </c>
    </row>
    <row r="228" customFormat="false" ht="15" hidden="false" customHeight="false" outlineLevel="0" collapsed="false">
      <c r="A228" s="12"/>
      <c r="B228" s="13"/>
      <c r="C228" s="14"/>
      <c r="D228" s="15"/>
      <c r="E228" s="14"/>
      <c r="F228" s="16" t="str">
        <f aca="false">IF(OR(C228="",D228=""),"",IF(OR(A228="",B228=""),"Tarih ya da tür eksik",IF(AND(B228="Çıkış",IFERROR(INDEX(Ürünler!$H$5:$H$304,MATCH(C228,Ürünler!$A$5:$A$304,0)),0)&lt;0),"Stok eksiye düştü","")))</f>
        <v/>
      </c>
    </row>
    <row r="229" customFormat="false" ht="15" hidden="false" customHeight="false" outlineLevel="0" collapsed="false">
      <c r="A229" s="12"/>
      <c r="B229" s="13"/>
      <c r="C229" s="14"/>
      <c r="D229" s="15"/>
      <c r="E229" s="14"/>
      <c r="F229" s="16" t="str">
        <f aca="false">IF(OR(C229="",D229=""),"",IF(OR(A229="",B229=""),"Tarih ya da tür eksik",IF(AND(B229="Çıkış",IFERROR(INDEX(Ürünler!$H$5:$H$304,MATCH(C229,Ürünler!$A$5:$A$304,0)),0)&lt;0),"Stok eksiye düştü","")))</f>
        <v/>
      </c>
    </row>
    <row r="230" customFormat="false" ht="15" hidden="false" customHeight="false" outlineLevel="0" collapsed="false">
      <c r="A230" s="12"/>
      <c r="B230" s="13"/>
      <c r="C230" s="14"/>
      <c r="D230" s="15"/>
      <c r="E230" s="14"/>
      <c r="F230" s="16" t="str">
        <f aca="false">IF(OR(C230="",D230=""),"",IF(OR(A230="",B230=""),"Tarih ya da tür eksik",IF(AND(B230="Çıkış",IFERROR(INDEX(Ürünler!$H$5:$H$304,MATCH(C230,Ürünler!$A$5:$A$304,0)),0)&lt;0),"Stok eksiye düştü","")))</f>
        <v/>
      </c>
    </row>
    <row r="231" customFormat="false" ht="15" hidden="false" customHeight="false" outlineLevel="0" collapsed="false">
      <c r="A231" s="12"/>
      <c r="B231" s="13"/>
      <c r="C231" s="14"/>
      <c r="D231" s="15"/>
      <c r="E231" s="14"/>
      <c r="F231" s="16" t="str">
        <f aca="false">IF(OR(C231="",D231=""),"",IF(OR(A231="",B231=""),"Tarih ya da tür eksik",IF(AND(B231="Çıkış",IFERROR(INDEX(Ürünler!$H$5:$H$304,MATCH(C231,Ürünler!$A$5:$A$304,0)),0)&lt;0),"Stok eksiye düştü","")))</f>
        <v/>
      </c>
    </row>
    <row r="232" customFormat="false" ht="15" hidden="false" customHeight="false" outlineLevel="0" collapsed="false">
      <c r="A232" s="12"/>
      <c r="B232" s="13"/>
      <c r="C232" s="14"/>
      <c r="D232" s="15"/>
      <c r="E232" s="14"/>
      <c r="F232" s="16" t="str">
        <f aca="false">IF(OR(C232="",D232=""),"",IF(OR(A232="",B232=""),"Tarih ya da tür eksik",IF(AND(B232="Çıkış",IFERROR(INDEX(Ürünler!$H$5:$H$304,MATCH(C232,Ürünler!$A$5:$A$304,0)),0)&lt;0),"Stok eksiye düştü","")))</f>
        <v/>
      </c>
    </row>
    <row r="233" customFormat="false" ht="15" hidden="false" customHeight="false" outlineLevel="0" collapsed="false">
      <c r="A233" s="12"/>
      <c r="B233" s="13"/>
      <c r="C233" s="14"/>
      <c r="D233" s="15"/>
      <c r="E233" s="14"/>
      <c r="F233" s="16" t="str">
        <f aca="false">IF(OR(C233="",D233=""),"",IF(OR(A233="",B233=""),"Tarih ya da tür eksik",IF(AND(B233="Çıkış",IFERROR(INDEX(Ürünler!$H$5:$H$304,MATCH(C233,Ürünler!$A$5:$A$304,0)),0)&lt;0),"Stok eksiye düştü","")))</f>
        <v/>
      </c>
    </row>
    <row r="234" customFormat="false" ht="15" hidden="false" customHeight="false" outlineLevel="0" collapsed="false">
      <c r="A234" s="12"/>
      <c r="B234" s="13"/>
      <c r="C234" s="14"/>
      <c r="D234" s="15"/>
      <c r="E234" s="14"/>
      <c r="F234" s="16" t="str">
        <f aca="false">IF(OR(C234="",D234=""),"",IF(OR(A234="",B234=""),"Tarih ya da tür eksik",IF(AND(B234="Çıkış",IFERROR(INDEX(Ürünler!$H$5:$H$304,MATCH(C234,Ürünler!$A$5:$A$304,0)),0)&lt;0),"Stok eksiye düştü","")))</f>
        <v/>
      </c>
    </row>
    <row r="235" customFormat="false" ht="15" hidden="false" customHeight="false" outlineLevel="0" collapsed="false">
      <c r="A235" s="12"/>
      <c r="B235" s="13"/>
      <c r="C235" s="14"/>
      <c r="D235" s="15"/>
      <c r="E235" s="14"/>
      <c r="F235" s="16" t="str">
        <f aca="false">IF(OR(C235="",D235=""),"",IF(OR(A235="",B235=""),"Tarih ya da tür eksik",IF(AND(B235="Çıkış",IFERROR(INDEX(Ürünler!$H$5:$H$304,MATCH(C235,Ürünler!$A$5:$A$304,0)),0)&lt;0),"Stok eksiye düştü","")))</f>
        <v/>
      </c>
    </row>
    <row r="236" customFormat="false" ht="15" hidden="false" customHeight="false" outlineLevel="0" collapsed="false">
      <c r="A236" s="12"/>
      <c r="B236" s="13"/>
      <c r="C236" s="14"/>
      <c r="D236" s="15"/>
      <c r="E236" s="14"/>
      <c r="F236" s="16" t="str">
        <f aca="false">IF(OR(C236="",D236=""),"",IF(OR(A236="",B236=""),"Tarih ya da tür eksik",IF(AND(B236="Çıkış",IFERROR(INDEX(Ürünler!$H$5:$H$304,MATCH(C236,Ürünler!$A$5:$A$304,0)),0)&lt;0),"Stok eksiye düştü","")))</f>
        <v/>
      </c>
    </row>
    <row r="237" customFormat="false" ht="15" hidden="false" customHeight="false" outlineLevel="0" collapsed="false">
      <c r="A237" s="12"/>
      <c r="B237" s="13"/>
      <c r="C237" s="14"/>
      <c r="D237" s="15"/>
      <c r="E237" s="14"/>
      <c r="F237" s="16" t="str">
        <f aca="false">IF(OR(C237="",D237=""),"",IF(OR(A237="",B237=""),"Tarih ya da tür eksik",IF(AND(B237="Çıkış",IFERROR(INDEX(Ürünler!$H$5:$H$304,MATCH(C237,Ürünler!$A$5:$A$304,0)),0)&lt;0),"Stok eksiye düştü","")))</f>
        <v/>
      </c>
    </row>
    <row r="238" customFormat="false" ht="15" hidden="false" customHeight="false" outlineLevel="0" collapsed="false">
      <c r="A238" s="12"/>
      <c r="B238" s="13"/>
      <c r="C238" s="14"/>
      <c r="D238" s="15"/>
      <c r="E238" s="14"/>
      <c r="F238" s="16" t="str">
        <f aca="false">IF(OR(C238="",D238=""),"",IF(OR(A238="",B238=""),"Tarih ya da tür eksik",IF(AND(B238="Çıkış",IFERROR(INDEX(Ürünler!$H$5:$H$304,MATCH(C238,Ürünler!$A$5:$A$304,0)),0)&lt;0),"Stok eksiye düştü","")))</f>
        <v/>
      </c>
    </row>
    <row r="239" customFormat="false" ht="15" hidden="false" customHeight="false" outlineLevel="0" collapsed="false">
      <c r="A239" s="12"/>
      <c r="B239" s="13"/>
      <c r="C239" s="14"/>
      <c r="D239" s="15"/>
      <c r="E239" s="14"/>
      <c r="F239" s="16" t="str">
        <f aca="false">IF(OR(C239="",D239=""),"",IF(OR(A239="",B239=""),"Tarih ya da tür eksik",IF(AND(B239="Çıkış",IFERROR(INDEX(Ürünler!$H$5:$H$304,MATCH(C239,Ürünler!$A$5:$A$304,0)),0)&lt;0),"Stok eksiye düştü","")))</f>
        <v/>
      </c>
    </row>
    <row r="240" customFormat="false" ht="15" hidden="false" customHeight="false" outlineLevel="0" collapsed="false">
      <c r="A240" s="12"/>
      <c r="B240" s="13"/>
      <c r="C240" s="14"/>
      <c r="D240" s="15"/>
      <c r="E240" s="14"/>
      <c r="F240" s="16" t="str">
        <f aca="false">IF(OR(C240="",D240=""),"",IF(OR(A240="",B240=""),"Tarih ya da tür eksik",IF(AND(B240="Çıkış",IFERROR(INDEX(Ürünler!$H$5:$H$304,MATCH(C240,Ürünler!$A$5:$A$304,0)),0)&lt;0),"Stok eksiye düştü","")))</f>
        <v/>
      </c>
    </row>
    <row r="241" customFormat="false" ht="15" hidden="false" customHeight="false" outlineLevel="0" collapsed="false">
      <c r="A241" s="12"/>
      <c r="B241" s="13"/>
      <c r="C241" s="14"/>
      <c r="D241" s="15"/>
      <c r="E241" s="14"/>
      <c r="F241" s="16" t="str">
        <f aca="false">IF(OR(C241="",D241=""),"",IF(OR(A241="",B241=""),"Tarih ya da tür eksik",IF(AND(B241="Çıkış",IFERROR(INDEX(Ürünler!$H$5:$H$304,MATCH(C241,Ürünler!$A$5:$A$304,0)),0)&lt;0),"Stok eksiye düştü","")))</f>
        <v/>
      </c>
    </row>
    <row r="242" customFormat="false" ht="15" hidden="false" customHeight="false" outlineLevel="0" collapsed="false">
      <c r="A242" s="12"/>
      <c r="B242" s="13"/>
      <c r="C242" s="14"/>
      <c r="D242" s="15"/>
      <c r="E242" s="14"/>
      <c r="F242" s="16" t="str">
        <f aca="false">IF(OR(C242="",D242=""),"",IF(OR(A242="",B242=""),"Tarih ya da tür eksik",IF(AND(B242="Çıkış",IFERROR(INDEX(Ürünler!$H$5:$H$304,MATCH(C242,Ürünler!$A$5:$A$304,0)),0)&lt;0),"Stok eksiye düştü","")))</f>
        <v/>
      </c>
    </row>
    <row r="243" customFormat="false" ht="15" hidden="false" customHeight="false" outlineLevel="0" collapsed="false">
      <c r="A243" s="12"/>
      <c r="B243" s="13"/>
      <c r="C243" s="14"/>
      <c r="D243" s="15"/>
      <c r="E243" s="14"/>
      <c r="F243" s="16" t="str">
        <f aca="false">IF(OR(C243="",D243=""),"",IF(OR(A243="",B243=""),"Tarih ya da tür eksik",IF(AND(B243="Çıkış",IFERROR(INDEX(Ürünler!$H$5:$H$304,MATCH(C243,Ürünler!$A$5:$A$304,0)),0)&lt;0),"Stok eksiye düştü","")))</f>
        <v/>
      </c>
    </row>
    <row r="244" customFormat="false" ht="15" hidden="false" customHeight="false" outlineLevel="0" collapsed="false">
      <c r="A244" s="12"/>
      <c r="B244" s="13"/>
      <c r="C244" s="14"/>
      <c r="D244" s="15"/>
      <c r="E244" s="14"/>
      <c r="F244" s="16" t="str">
        <f aca="false">IF(OR(C244="",D244=""),"",IF(OR(A244="",B244=""),"Tarih ya da tür eksik",IF(AND(B244="Çıkış",IFERROR(INDEX(Ürünler!$H$5:$H$304,MATCH(C244,Ürünler!$A$5:$A$304,0)),0)&lt;0),"Stok eksiye düştü","")))</f>
        <v/>
      </c>
    </row>
    <row r="245" customFormat="false" ht="15" hidden="false" customHeight="false" outlineLevel="0" collapsed="false">
      <c r="A245" s="12"/>
      <c r="B245" s="13"/>
      <c r="C245" s="14"/>
      <c r="D245" s="15"/>
      <c r="E245" s="14"/>
      <c r="F245" s="16" t="str">
        <f aca="false">IF(OR(C245="",D245=""),"",IF(OR(A245="",B245=""),"Tarih ya da tür eksik",IF(AND(B245="Çıkış",IFERROR(INDEX(Ürünler!$H$5:$H$304,MATCH(C245,Ürünler!$A$5:$A$304,0)),0)&lt;0),"Stok eksiye düştü","")))</f>
        <v/>
      </c>
    </row>
    <row r="246" customFormat="false" ht="15" hidden="false" customHeight="false" outlineLevel="0" collapsed="false">
      <c r="A246" s="12"/>
      <c r="B246" s="13"/>
      <c r="C246" s="14"/>
      <c r="D246" s="15"/>
      <c r="E246" s="14"/>
      <c r="F246" s="16" t="str">
        <f aca="false">IF(OR(C246="",D246=""),"",IF(OR(A246="",B246=""),"Tarih ya da tür eksik",IF(AND(B246="Çıkış",IFERROR(INDEX(Ürünler!$H$5:$H$304,MATCH(C246,Ürünler!$A$5:$A$304,0)),0)&lt;0),"Stok eksiye düştü","")))</f>
        <v/>
      </c>
    </row>
    <row r="247" customFormat="false" ht="15" hidden="false" customHeight="false" outlineLevel="0" collapsed="false">
      <c r="A247" s="12"/>
      <c r="B247" s="13"/>
      <c r="C247" s="14"/>
      <c r="D247" s="15"/>
      <c r="E247" s="14"/>
      <c r="F247" s="16" t="str">
        <f aca="false">IF(OR(C247="",D247=""),"",IF(OR(A247="",B247=""),"Tarih ya da tür eksik",IF(AND(B247="Çıkış",IFERROR(INDEX(Ürünler!$H$5:$H$304,MATCH(C247,Ürünler!$A$5:$A$304,0)),0)&lt;0),"Stok eksiye düştü","")))</f>
        <v/>
      </c>
    </row>
    <row r="248" customFormat="false" ht="15" hidden="false" customHeight="false" outlineLevel="0" collapsed="false">
      <c r="A248" s="12"/>
      <c r="B248" s="13"/>
      <c r="C248" s="14"/>
      <c r="D248" s="15"/>
      <c r="E248" s="14"/>
      <c r="F248" s="16" t="str">
        <f aca="false">IF(OR(C248="",D248=""),"",IF(OR(A248="",B248=""),"Tarih ya da tür eksik",IF(AND(B248="Çıkış",IFERROR(INDEX(Ürünler!$H$5:$H$304,MATCH(C248,Ürünler!$A$5:$A$304,0)),0)&lt;0),"Stok eksiye düştü","")))</f>
        <v/>
      </c>
    </row>
    <row r="249" customFormat="false" ht="15" hidden="false" customHeight="false" outlineLevel="0" collapsed="false">
      <c r="A249" s="12"/>
      <c r="B249" s="13"/>
      <c r="C249" s="14"/>
      <c r="D249" s="15"/>
      <c r="E249" s="14"/>
      <c r="F249" s="16" t="str">
        <f aca="false">IF(OR(C249="",D249=""),"",IF(OR(A249="",B249=""),"Tarih ya da tür eksik",IF(AND(B249="Çıkış",IFERROR(INDEX(Ürünler!$H$5:$H$304,MATCH(C249,Ürünler!$A$5:$A$304,0)),0)&lt;0),"Stok eksiye düştü","")))</f>
        <v/>
      </c>
    </row>
    <row r="250" customFormat="false" ht="15" hidden="false" customHeight="false" outlineLevel="0" collapsed="false">
      <c r="A250" s="12"/>
      <c r="B250" s="13"/>
      <c r="C250" s="14"/>
      <c r="D250" s="15"/>
      <c r="E250" s="14"/>
      <c r="F250" s="16" t="str">
        <f aca="false">IF(OR(C250="",D250=""),"",IF(OR(A250="",B250=""),"Tarih ya da tür eksik",IF(AND(B250="Çıkış",IFERROR(INDEX(Ürünler!$H$5:$H$304,MATCH(C250,Ürünler!$A$5:$A$304,0)),0)&lt;0),"Stok eksiye düştü","")))</f>
        <v/>
      </c>
    </row>
    <row r="251" customFormat="false" ht="15" hidden="false" customHeight="false" outlineLevel="0" collapsed="false">
      <c r="A251" s="12"/>
      <c r="B251" s="13"/>
      <c r="C251" s="14"/>
      <c r="D251" s="15"/>
      <c r="E251" s="14"/>
      <c r="F251" s="16" t="str">
        <f aca="false">IF(OR(C251="",D251=""),"",IF(OR(A251="",B251=""),"Tarih ya da tür eksik",IF(AND(B251="Çıkış",IFERROR(INDEX(Ürünler!$H$5:$H$304,MATCH(C251,Ürünler!$A$5:$A$304,0)),0)&lt;0),"Stok eksiye düştü","")))</f>
        <v/>
      </c>
    </row>
    <row r="252" customFormat="false" ht="15" hidden="false" customHeight="false" outlineLevel="0" collapsed="false">
      <c r="A252" s="12"/>
      <c r="B252" s="13"/>
      <c r="C252" s="14"/>
      <c r="D252" s="15"/>
      <c r="E252" s="14"/>
      <c r="F252" s="16" t="str">
        <f aca="false">IF(OR(C252="",D252=""),"",IF(OR(A252="",B252=""),"Tarih ya da tür eksik",IF(AND(B252="Çıkış",IFERROR(INDEX(Ürünler!$H$5:$H$304,MATCH(C252,Ürünler!$A$5:$A$304,0)),0)&lt;0),"Stok eksiye düştü","")))</f>
        <v/>
      </c>
    </row>
    <row r="253" customFormat="false" ht="15" hidden="false" customHeight="false" outlineLevel="0" collapsed="false">
      <c r="A253" s="12"/>
      <c r="B253" s="13"/>
      <c r="C253" s="14"/>
      <c r="D253" s="15"/>
      <c r="E253" s="14"/>
      <c r="F253" s="16" t="str">
        <f aca="false">IF(OR(C253="",D253=""),"",IF(OR(A253="",B253=""),"Tarih ya da tür eksik",IF(AND(B253="Çıkış",IFERROR(INDEX(Ürünler!$H$5:$H$304,MATCH(C253,Ürünler!$A$5:$A$304,0)),0)&lt;0),"Stok eksiye düştü","")))</f>
        <v/>
      </c>
    </row>
    <row r="254" customFormat="false" ht="15" hidden="false" customHeight="false" outlineLevel="0" collapsed="false">
      <c r="A254" s="12"/>
      <c r="B254" s="13"/>
      <c r="C254" s="14"/>
      <c r="D254" s="15"/>
      <c r="E254" s="14"/>
      <c r="F254" s="16" t="str">
        <f aca="false">IF(OR(C254="",D254=""),"",IF(OR(A254="",B254=""),"Tarih ya da tür eksik",IF(AND(B254="Çıkış",IFERROR(INDEX(Ürünler!$H$5:$H$304,MATCH(C254,Ürünler!$A$5:$A$304,0)),0)&lt;0),"Stok eksiye düştü","")))</f>
        <v/>
      </c>
    </row>
    <row r="255" customFormat="false" ht="15" hidden="false" customHeight="false" outlineLevel="0" collapsed="false">
      <c r="A255" s="12"/>
      <c r="B255" s="13"/>
      <c r="C255" s="14"/>
      <c r="D255" s="15"/>
      <c r="E255" s="14"/>
      <c r="F255" s="16" t="str">
        <f aca="false">IF(OR(C255="",D255=""),"",IF(OR(A255="",B255=""),"Tarih ya da tür eksik",IF(AND(B255="Çıkış",IFERROR(INDEX(Ürünler!$H$5:$H$304,MATCH(C255,Ürünler!$A$5:$A$304,0)),0)&lt;0),"Stok eksiye düştü","")))</f>
        <v/>
      </c>
    </row>
    <row r="256" customFormat="false" ht="15" hidden="false" customHeight="false" outlineLevel="0" collapsed="false">
      <c r="A256" s="12"/>
      <c r="B256" s="13"/>
      <c r="C256" s="14"/>
      <c r="D256" s="15"/>
      <c r="E256" s="14"/>
      <c r="F256" s="16" t="str">
        <f aca="false">IF(OR(C256="",D256=""),"",IF(OR(A256="",B256=""),"Tarih ya da tür eksik",IF(AND(B256="Çıkış",IFERROR(INDEX(Ürünler!$H$5:$H$304,MATCH(C256,Ürünler!$A$5:$A$304,0)),0)&lt;0),"Stok eksiye düştü","")))</f>
        <v/>
      </c>
    </row>
    <row r="257" customFormat="false" ht="15" hidden="false" customHeight="false" outlineLevel="0" collapsed="false">
      <c r="A257" s="12"/>
      <c r="B257" s="13"/>
      <c r="C257" s="14"/>
      <c r="D257" s="15"/>
      <c r="E257" s="14"/>
      <c r="F257" s="16" t="str">
        <f aca="false">IF(OR(C257="",D257=""),"",IF(OR(A257="",B257=""),"Tarih ya da tür eksik",IF(AND(B257="Çıkış",IFERROR(INDEX(Ürünler!$H$5:$H$304,MATCH(C257,Ürünler!$A$5:$A$304,0)),0)&lt;0),"Stok eksiye düştü","")))</f>
        <v/>
      </c>
    </row>
    <row r="258" customFormat="false" ht="15" hidden="false" customHeight="false" outlineLevel="0" collapsed="false">
      <c r="A258" s="12"/>
      <c r="B258" s="13"/>
      <c r="C258" s="14"/>
      <c r="D258" s="15"/>
      <c r="E258" s="14"/>
      <c r="F258" s="16" t="str">
        <f aca="false">IF(OR(C258="",D258=""),"",IF(OR(A258="",B258=""),"Tarih ya da tür eksik",IF(AND(B258="Çıkış",IFERROR(INDEX(Ürünler!$H$5:$H$304,MATCH(C258,Ürünler!$A$5:$A$304,0)),0)&lt;0),"Stok eksiye düştü","")))</f>
        <v/>
      </c>
    </row>
    <row r="259" customFormat="false" ht="15" hidden="false" customHeight="false" outlineLevel="0" collapsed="false">
      <c r="A259" s="12"/>
      <c r="B259" s="13"/>
      <c r="C259" s="14"/>
      <c r="D259" s="15"/>
      <c r="E259" s="14"/>
      <c r="F259" s="16" t="str">
        <f aca="false">IF(OR(C259="",D259=""),"",IF(OR(A259="",B259=""),"Tarih ya da tür eksik",IF(AND(B259="Çıkış",IFERROR(INDEX(Ürünler!$H$5:$H$304,MATCH(C259,Ürünler!$A$5:$A$304,0)),0)&lt;0),"Stok eksiye düştü","")))</f>
        <v/>
      </c>
    </row>
    <row r="260" customFormat="false" ht="15" hidden="false" customHeight="false" outlineLevel="0" collapsed="false">
      <c r="A260" s="12"/>
      <c r="B260" s="13"/>
      <c r="C260" s="14"/>
      <c r="D260" s="15"/>
      <c r="E260" s="14"/>
      <c r="F260" s="16" t="str">
        <f aca="false">IF(OR(C260="",D260=""),"",IF(OR(A260="",B260=""),"Tarih ya da tür eksik",IF(AND(B260="Çıkış",IFERROR(INDEX(Ürünler!$H$5:$H$304,MATCH(C260,Ürünler!$A$5:$A$304,0)),0)&lt;0),"Stok eksiye düştü","")))</f>
        <v/>
      </c>
    </row>
    <row r="261" customFormat="false" ht="15" hidden="false" customHeight="false" outlineLevel="0" collapsed="false">
      <c r="A261" s="12"/>
      <c r="B261" s="13"/>
      <c r="C261" s="14"/>
      <c r="D261" s="15"/>
      <c r="E261" s="14"/>
      <c r="F261" s="16" t="str">
        <f aca="false">IF(OR(C261="",D261=""),"",IF(OR(A261="",B261=""),"Tarih ya da tür eksik",IF(AND(B261="Çıkış",IFERROR(INDEX(Ürünler!$H$5:$H$304,MATCH(C261,Ürünler!$A$5:$A$304,0)),0)&lt;0),"Stok eksiye düştü","")))</f>
        <v/>
      </c>
    </row>
    <row r="262" customFormat="false" ht="15" hidden="false" customHeight="false" outlineLevel="0" collapsed="false">
      <c r="A262" s="12"/>
      <c r="B262" s="13"/>
      <c r="C262" s="14"/>
      <c r="D262" s="15"/>
      <c r="E262" s="14"/>
      <c r="F262" s="16" t="str">
        <f aca="false">IF(OR(C262="",D262=""),"",IF(OR(A262="",B262=""),"Tarih ya da tür eksik",IF(AND(B262="Çıkış",IFERROR(INDEX(Ürünler!$H$5:$H$304,MATCH(C262,Ürünler!$A$5:$A$304,0)),0)&lt;0),"Stok eksiye düştü","")))</f>
        <v/>
      </c>
    </row>
    <row r="263" customFormat="false" ht="15" hidden="false" customHeight="false" outlineLevel="0" collapsed="false">
      <c r="A263" s="12"/>
      <c r="B263" s="13"/>
      <c r="C263" s="14"/>
      <c r="D263" s="15"/>
      <c r="E263" s="14"/>
      <c r="F263" s="16" t="str">
        <f aca="false">IF(OR(C263="",D263=""),"",IF(OR(A263="",B263=""),"Tarih ya da tür eksik",IF(AND(B263="Çıkış",IFERROR(INDEX(Ürünler!$H$5:$H$304,MATCH(C263,Ürünler!$A$5:$A$304,0)),0)&lt;0),"Stok eksiye düştü","")))</f>
        <v/>
      </c>
    </row>
    <row r="264" customFormat="false" ht="15" hidden="false" customHeight="false" outlineLevel="0" collapsed="false">
      <c r="A264" s="12"/>
      <c r="B264" s="13"/>
      <c r="C264" s="14"/>
      <c r="D264" s="15"/>
      <c r="E264" s="14"/>
      <c r="F264" s="16" t="str">
        <f aca="false">IF(OR(C264="",D264=""),"",IF(OR(A264="",B264=""),"Tarih ya da tür eksik",IF(AND(B264="Çıkış",IFERROR(INDEX(Ürünler!$H$5:$H$304,MATCH(C264,Ürünler!$A$5:$A$304,0)),0)&lt;0),"Stok eksiye düştü","")))</f>
        <v/>
      </c>
    </row>
    <row r="265" customFormat="false" ht="15" hidden="false" customHeight="false" outlineLevel="0" collapsed="false">
      <c r="A265" s="12"/>
      <c r="B265" s="13"/>
      <c r="C265" s="14"/>
      <c r="D265" s="15"/>
      <c r="E265" s="14"/>
      <c r="F265" s="16" t="str">
        <f aca="false">IF(OR(C265="",D265=""),"",IF(OR(A265="",B265=""),"Tarih ya da tür eksik",IF(AND(B265="Çıkış",IFERROR(INDEX(Ürünler!$H$5:$H$304,MATCH(C265,Ürünler!$A$5:$A$304,0)),0)&lt;0),"Stok eksiye düştü","")))</f>
        <v/>
      </c>
    </row>
    <row r="266" customFormat="false" ht="15" hidden="false" customHeight="false" outlineLevel="0" collapsed="false">
      <c r="A266" s="12"/>
      <c r="B266" s="13"/>
      <c r="C266" s="14"/>
      <c r="D266" s="15"/>
      <c r="E266" s="14"/>
      <c r="F266" s="16" t="str">
        <f aca="false">IF(OR(C266="",D266=""),"",IF(OR(A266="",B266=""),"Tarih ya da tür eksik",IF(AND(B266="Çıkış",IFERROR(INDEX(Ürünler!$H$5:$H$304,MATCH(C266,Ürünler!$A$5:$A$304,0)),0)&lt;0),"Stok eksiye düştü","")))</f>
        <v/>
      </c>
    </row>
    <row r="267" customFormat="false" ht="15" hidden="false" customHeight="false" outlineLevel="0" collapsed="false">
      <c r="A267" s="12"/>
      <c r="B267" s="13"/>
      <c r="C267" s="14"/>
      <c r="D267" s="15"/>
      <c r="E267" s="14"/>
      <c r="F267" s="16" t="str">
        <f aca="false">IF(OR(C267="",D267=""),"",IF(OR(A267="",B267=""),"Tarih ya da tür eksik",IF(AND(B267="Çıkış",IFERROR(INDEX(Ürünler!$H$5:$H$304,MATCH(C267,Ürünler!$A$5:$A$304,0)),0)&lt;0),"Stok eksiye düştü","")))</f>
        <v/>
      </c>
    </row>
    <row r="268" customFormat="false" ht="15" hidden="false" customHeight="false" outlineLevel="0" collapsed="false">
      <c r="A268" s="12"/>
      <c r="B268" s="13"/>
      <c r="C268" s="14"/>
      <c r="D268" s="15"/>
      <c r="E268" s="14"/>
      <c r="F268" s="16" t="str">
        <f aca="false">IF(OR(C268="",D268=""),"",IF(OR(A268="",B268=""),"Tarih ya da tür eksik",IF(AND(B268="Çıkış",IFERROR(INDEX(Ürünler!$H$5:$H$304,MATCH(C268,Ürünler!$A$5:$A$304,0)),0)&lt;0),"Stok eksiye düştü","")))</f>
        <v/>
      </c>
    </row>
    <row r="269" customFormat="false" ht="15" hidden="false" customHeight="false" outlineLevel="0" collapsed="false">
      <c r="A269" s="12"/>
      <c r="B269" s="13"/>
      <c r="C269" s="14"/>
      <c r="D269" s="15"/>
      <c r="E269" s="14"/>
      <c r="F269" s="16" t="str">
        <f aca="false">IF(OR(C269="",D269=""),"",IF(OR(A269="",B269=""),"Tarih ya da tür eksik",IF(AND(B269="Çıkış",IFERROR(INDEX(Ürünler!$H$5:$H$304,MATCH(C269,Ürünler!$A$5:$A$304,0)),0)&lt;0),"Stok eksiye düştü","")))</f>
        <v/>
      </c>
    </row>
    <row r="270" customFormat="false" ht="15" hidden="false" customHeight="false" outlineLevel="0" collapsed="false">
      <c r="A270" s="12"/>
      <c r="B270" s="13"/>
      <c r="C270" s="14"/>
      <c r="D270" s="15"/>
      <c r="E270" s="14"/>
      <c r="F270" s="16" t="str">
        <f aca="false">IF(OR(C270="",D270=""),"",IF(OR(A270="",B270=""),"Tarih ya da tür eksik",IF(AND(B270="Çıkış",IFERROR(INDEX(Ürünler!$H$5:$H$304,MATCH(C270,Ürünler!$A$5:$A$304,0)),0)&lt;0),"Stok eksiye düştü","")))</f>
        <v/>
      </c>
    </row>
    <row r="271" customFormat="false" ht="15" hidden="false" customHeight="false" outlineLevel="0" collapsed="false">
      <c r="A271" s="12"/>
      <c r="B271" s="13"/>
      <c r="C271" s="14"/>
      <c r="D271" s="15"/>
      <c r="E271" s="14"/>
      <c r="F271" s="16" t="str">
        <f aca="false">IF(OR(C271="",D271=""),"",IF(OR(A271="",B271=""),"Tarih ya da tür eksik",IF(AND(B271="Çıkış",IFERROR(INDEX(Ürünler!$H$5:$H$304,MATCH(C271,Ürünler!$A$5:$A$304,0)),0)&lt;0),"Stok eksiye düştü","")))</f>
        <v/>
      </c>
    </row>
    <row r="272" customFormat="false" ht="15" hidden="false" customHeight="false" outlineLevel="0" collapsed="false">
      <c r="A272" s="12"/>
      <c r="B272" s="13"/>
      <c r="C272" s="14"/>
      <c r="D272" s="15"/>
      <c r="E272" s="14"/>
      <c r="F272" s="16" t="str">
        <f aca="false">IF(OR(C272="",D272=""),"",IF(OR(A272="",B272=""),"Tarih ya da tür eksik",IF(AND(B272="Çıkış",IFERROR(INDEX(Ürünler!$H$5:$H$304,MATCH(C272,Ürünler!$A$5:$A$304,0)),0)&lt;0),"Stok eksiye düştü","")))</f>
        <v/>
      </c>
    </row>
    <row r="273" customFormat="false" ht="15" hidden="false" customHeight="false" outlineLevel="0" collapsed="false">
      <c r="A273" s="12"/>
      <c r="B273" s="13"/>
      <c r="C273" s="14"/>
      <c r="D273" s="15"/>
      <c r="E273" s="14"/>
      <c r="F273" s="16" t="str">
        <f aca="false">IF(OR(C273="",D273=""),"",IF(OR(A273="",B273=""),"Tarih ya da tür eksik",IF(AND(B273="Çıkış",IFERROR(INDEX(Ürünler!$H$5:$H$304,MATCH(C273,Ürünler!$A$5:$A$304,0)),0)&lt;0),"Stok eksiye düştü","")))</f>
        <v/>
      </c>
    </row>
    <row r="274" customFormat="false" ht="15" hidden="false" customHeight="false" outlineLevel="0" collapsed="false">
      <c r="A274" s="12"/>
      <c r="B274" s="13"/>
      <c r="C274" s="14"/>
      <c r="D274" s="15"/>
      <c r="E274" s="14"/>
      <c r="F274" s="16" t="str">
        <f aca="false">IF(OR(C274="",D274=""),"",IF(OR(A274="",B274=""),"Tarih ya da tür eksik",IF(AND(B274="Çıkış",IFERROR(INDEX(Ürünler!$H$5:$H$304,MATCH(C274,Ürünler!$A$5:$A$304,0)),0)&lt;0),"Stok eksiye düştü","")))</f>
        <v/>
      </c>
    </row>
    <row r="275" customFormat="false" ht="15" hidden="false" customHeight="false" outlineLevel="0" collapsed="false">
      <c r="A275" s="12"/>
      <c r="B275" s="13"/>
      <c r="C275" s="14"/>
      <c r="D275" s="15"/>
      <c r="E275" s="14"/>
      <c r="F275" s="16" t="str">
        <f aca="false">IF(OR(C275="",D275=""),"",IF(OR(A275="",B275=""),"Tarih ya da tür eksik",IF(AND(B275="Çıkış",IFERROR(INDEX(Ürünler!$H$5:$H$304,MATCH(C275,Ürünler!$A$5:$A$304,0)),0)&lt;0),"Stok eksiye düştü","")))</f>
        <v/>
      </c>
    </row>
    <row r="276" customFormat="false" ht="15" hidden="false" customHeight="false" outlineLevel="0" collapsed="false">
      <c r="A276" s="12"/>
      <c r="B276" s="13"/>
      <c r="C276" s="14"/>
      <c r="D276" s="15"/>
      <c r="E276" s="14"/>
      <c r="F276" s="16" t="str">
        <f aca="false">IF(OR(C276="",D276=""),"",IF(OR(A276="",B276=""),"Tarih ya da tür eksik",IF(AND(B276="Çıkış",IFERROR(INDEX(Ürünler!$H$5:$H$304,MATCH(C276,Ürünler!$A$5:$A$304,0)),0)&lt;0),"Stok eksiye düştü","")))</f>
        <v/>
      </c>
    </row>
    <row r="277" customFormat="false" ht="15" hidden="false" customHeight="false" outlineLevel="0" collapsed="false">
      <c r="A277" s="12"/>
      <c r="B277" s="13"/>
      <c r="C277" s="14"/>
      <c r="D277" s="15"/>
      <c r="E277" s="14"/>
      <c r="F277" s="16" t="str">
        <f aca="false">IF(OR(C277="",D277=""),"",IF(OR(A277="",B277=""),"Tarih ya da tür eksik",IF(AND(B277="Çıkış",IFERROR(INDEX(Ürünler!$H$5:$H$304,MATCH(C277,Ürünler!$A$5:$A$304,0)),0)&lt;0),"Stok eksiye düştü","")))</f>
        <v/>
      </c>
    </row>
    <row r="278" customFormat="false" ht="15" hidden="false" customHeight="false" outlineLevel="0" collapsed="false">
      <c r="A278" s="12"/>
      <c r="B278" s="13"/>
      <c r="C278" s="14"/>
      <c r="D278" s="15"/>
      <c r="E278" s="14"/>
      <c r="F278" s="16" t="str">
        <f aca="false">IF(OR(C278="",D278=""),"",IF(OR(A278="",B278=""),"Tarih ya da tür eksik",IF(AND(B278="Çıkış",IFERROR(INDEX(Ürünler!$H$5:$H$304,MATCH(C278,Ürünler!$A$5:$A$304,0)),0)&lt;0),"Stok eksiye düştü","")))</f>
        <v/>
      </c>
    </row>
    <row r="279" customFormat="false" ht="15" hidden="false" customHeight="false" outlineLevel="0" collapsed="false">
      <c r="A279" s="12"/>
      <c r="B279" s="13"/>
      <c r="C279" s="14"/>
      <c r="D279" s="15"/>
      <c r="E279" s="14"/>
      <c r="F279" s="16" t="str">
        <f aca="false">IF(OR(C279="",D279=""),"",IF(OR(A279="",B279=""),"Tarih ya da tür eksik",IF(AND(B279="Çıkış",IFERROR(INDEX(Ürünler!$H$5:$H$304,MATCH(C279,Ürünler!$A$5:$A$304,0)),0)&lt;0),"Stok eksiye düştü","")))</f>
        <v/>
      </c>
    </row>
    <row r="280" customFormat="false" ht="15" hidden="false" customHeight="false" outlineLevel="0" collapsed="false">
      <c r="A280" s="12"/>
      <c r="B280" s="13"/>
      <c r="C280" s="14"/>
      <c r="D280" s="15"/>
      <c r="E280" s="14"/>
      <c r="F280" s="16" t="str">
        <f aca="false">IF(OR(C280="",D280=""),"",IF(OR(A280="",B280=""),"Tarih ya da tür eksik",IF(AND(B280="Çıkış",IFERROR(INDEX(Ürünler!$H$5:$H$304,MATCH(C280,Ürünler!$A$5:$A$304,0)),0)&lt;0),"Stok eksiye düştü","")))</f>
        <v/>
      </c>
    </row>
    <row r="281" customFormat="false" ht="15" hidden="false" customHeight="false" outlineLevel="0" collapsed="false">
      <c r="A281" s="12"/>
      <c r="B281" s="13"/>
      <c r="C281" s="14"/>
      <c r="D281" s="15"/>
      <c r="E281" s="14"/>
      <c r="F281" s="16" t="str">
        <f aca="false">IF(OR(C281="",D281=""),"",IF(OR(A281="",B281=""),"Tarih ya da tür eksik",IF(AND(B281="Çıkış",IFERROR(INDEX(Ürünler!$H$5:$H$304,MATCH(C281,Ürünler!$A$5:$A$304,0)),0)&lt;0),"Stok eksiye düştü","")))</f>
        <v/>
      </c>
    </row>
    <row r="282" customFormat="false" ht="15" hidden="false" customHeight="false" outlineLevel="0" collapsed="false">
      <c r="A282" s="12"/>
      <c r="B282" s="13"/>
      <c r="C282" s="14"/>
      <c r="D282" s="15"/>
      <c r="E282" s="14"/>
      <c r="F282" s="16" t="str">
        <f aca="false">IF(OR(C282="",D282=""),"",IF(OR(A282="",B282=""),"Tarih ya da tür eksik",IF(AND(B282="Çıkış",IFERROR(INDEX(Ürünler!$H$5:$H$304,MATCH(C282,Ürünler!$A$5:$A$304,0)),0)&lt;0),"Stok eksiye düştü","")))</f>
        <v/>
      </c>
    </row>
    <row r="283" customFormat="false" ht="15" hidden="false" customHeight="false" outlineLevel="0" collapsed="false">
      <c r="A283" s="12"/>
      <c r="B283" s="13"/>
      <c r="C283" s="14"/>
      <c r="D283" s="15"/>
      <c r="E283" s="14"/>
      <c r="F283" s="16" t="str">
        <f aca="false">IF(OR(C283="",D283=""),"",IF(OR(A283="",B283=""),"Tarih ya da tür eksik",IF(AND(B283="Çıkış",IFERROR(INDEX(Ürünler!$H$5:$H$304,MATCH(C283,Ürünler!$A$5:$A$304,0)),0)&lt;0),"Stok eksiye düştü","")))</f>
        <v/>
      </c>
    </row>
    <row r="284" customFormat="false" ht="15" hidden="false" customHeight="false" outlineLevel="0" collapsed="false">
      <c r="A284" s="12"/>
      <c r="B284" s="13"/>
      <c r="C284" s="14"/>
      <c r="D284" s="15"/>
      <c r="E284" s="14"/>
      <c r="F284" s="16" t="str">
        <f aca="false">IF(OR(C284="",D284=""),"",IF(OR(A284="",B284=""),"Tarih ya da tür eksik",IF(AND(B284="Çıkış",IFERROR(INDEX(Ürünler!$H$5:$H$304,MATCH(C284,Ürünler!$A$5:$A$304,0)),0)&lt;0),"Stok eksiye düştü","")))</f>
        <v/>
      </c>
    </row>
    <row r="285" customFormat="false" ht="15" hidden="false" customHeight="false" outlineLevel="0" collapsed="false">
      <c r="A285" s="12"/>
      <c r="B285" s="13"/>
      <c r="C285" s="14"/>
      <c r="D285" s="15"/>
      <c r="E285" s="14"/>
      <c r="F285" s="16" t="str">
        <f aca="false">IF(OR(C285="",D285=""),"",IF(OR(A285="",B285=""),"Tarih ya da tür eksik",IF(AND(B285="Çıkış",IFERROR(INDEX(Ürünler!$H$5:$H$304,MATCH(C285,Ürünler!$A$5:$A$304,0)),0)&lt;0),"Stok eksiye düştü","")))</f>
        <v/>
      </c>
    </row>
    <row r="286" customFormat="false" ht="15" hidden="false" customHeight="false" outlineLevel="0" collapsed="false">
      <c r="A286" s="12"/>
      <c r="B286" s="13"/>
      <c r="C286" s="14"/>
      <c r="D286" s="15"/>
      <c r="E286" s="14"/>
      <c r="F286" s="16" t="str">
        <f aca="false">IF(OR(C286="",D286=""),"",IF(OR(A286="",B286=""),"Tarih ya da tür eksik",IF(AND(B286="Çıkış",IFERROR(INDEX(Ürünler!$H$5:$H$304,MATCH(C286,Ürünler!$A$5:$A$304,0)),0)&lt;0),"Stok eksiye düştü","")))</f>
        <v/>
      </c>
    </row>
    <row r="287" customFormat="false" ht="15" hidden="false" customHeight="false" outlineLevel="0" collapsed="false">
      <c r="A287" s="12"/>
      <c r="B287" s="13"/>
      <c r="C287" s="14"/>
      <c r="D287" s="15"/>
      <c r="E287" s="14"/>
      <c r="F287" s="16" t="str">
        <f aca="false">IF(OR(C287="",D287=""),"",IF(OR(A287="",B287=""),"Tarih ya da tür eksik",IF(AND(B287="Çıkış",IFERROR(INDEX(Ürünler!$H$5:$H$304,MATCH(C287,Ürünler!$A$5:$A$304,0)),0)&lt;0),"Stok eksiye düştü","")))</f>
        <v/>
      </c>
    </row>
    <row r="288" customFormat="false" ht="15" hidden="false" customHeight="false" outlineLevel="0" collapsed="false">
      <c r="A288" s="12"/>
      <c r="B288" s="13"/>
      <c r="C288" s="14"/>
      <c r="D288" s="15"/>
      <c r="E288" s="14"/>
      <c r="F288" s="16" t="str">
        <f aca="false">IF(OR(C288="",D288=""),"",IF(OR(A288="",B288=""),"Tarih ya da tür eksik",IF(AND(B288="Çıkış",IFERROR(INDEX(Ürünler!$H$5:$H$304,MATCH(C288,Ürünler!$A$5:$A$304,0)),0)&lt;0),"Stok eksiye düştü","")))</f>
        <v/>
      </c>
    </row>
    <row r="289" customFormat="false" ht="15" hidden="false" customHeight="false" outlineLevel="0" collapsed="false">
      <c r="A289" s="12"/>
      <c r="B289" s="13"/>
      <c r="C289" s="14"/>
      <c r="D289" s="15"/>
      <c r="E289" s="14"/>
      <c r="F289" s="16" t="str">
        <f aca="false">IF(OR(C289="",D289=""),"",IF(OR(A289="",B289=""),"Tarih ya da tür eksik",IF(AND(B289="Çıkış",IFERROR(INDEX(Ürünler!$H$5:$H$304,MATCH(C289,Ürünler!$A$5:$A$304,0)),0)&lt;0),"Stok eksiye düştü","")))</f>
        <v/>
      </c>
    </row>
    <row r="290" customFormat="false" ht="15" hidden="false" customHeight="false" outlineLevel="0" collapsed="false">
      <c r="A290" s="12"/>
      <c r="B290" s="13"/>
      <c r="C290" s="14"/>
      <c r="D290" s="15"/>
      <c r="E290" s="14"/>
      <c r="F290" s="16" t="str">
        <f aca="false">IF(OR(C290="",D290=""),"",IF(OR(A290="",B290=""),"Tarih ya da tür eksik",IF(AND(B290="Çıkış",IFERROR(INDEX(Ürünler!$H$5:$H$304,MATCH(C290,Ürünler!$A$5:$A$304,0)),0)&lt;0),"Stok eksiye düştü","")))</f>
        <v/>
      </c>
    </row>
    <row r="291" customFormat="false" ht="15" hidden="false" customHeight="false" outlineLevel="0" collapsed="false">
      <c r="A291" s="12"/>
      <c r="B291" s="13"/>
      <c r="C291" s="14"/>
      <c r="D291" s="15"/>
      <c r="E291" s="14"/>
      <c r="F291" s="16" t="str">
        <f aca="false">IF(OR(C291="",D291=""),"",IF(OR(A291="",B291=""),"Tarih ya da tür eksik",IF(AND(B291="Çıkış",IFERROR(INDEX(Ürünler!$H$5:$H$304,MATCH(C291,Ürünler!$A$5:$A$304,0)),0)&lt;0),"Stok eksiye düştü","")))</f>
        <v/>
      </c>
    </row>
    <row r="292" customFormat="false" ht="15" hidden="false" customHeight="false" outlineLevel="0" collapsed="false">
      <c r="A292" s="12"/>
      <c r="B292" s="13"/>
      <c r="C292" s="14"/>
      <c r="D292" s="15"/>
      <c r="E292" s="14"/>
      <c r="F292" s="16" t="str">
        <f aca="false">IF(OR(C292="",D292=""),"",IF(OR(A292="",B292=""),"Tarih ya da tür eksik",IF(AND(B292="Çıkış",IFERROR(INDEX(Ürünler!$H$5:$H$304,MATCH(C292,Ürünler!$A$5:$A$304,0)),0)&lt;0),"Stok eksiye düştü","")))</f>
        <v/>
      </c>
    </row>
    <row r="293" customFormat="false" ht="15" hidden="false" customHeight="false" outlineLevel="0" collapsed="false">
      <c r="A293" s="12"/>
      <c r="B293" s="13"/>
      <c r="C293" s="14"/>
      <c r="D293" s="15"/>
      <c r="E293" s="14"/>
      <c r="F293" s="16" t="str">
        <f aca="false">IF(OR(C293="",D293=""),"",IF(OR(A293="",B293=""),"Tarih ya da tür eksik",IF(AND(B293="Çıkış",IFERROR(INDEX(Ürünler!$H$5:$H$304,MATCH(C293,Ürünler!$A$5:$A$304,0)),0)&lt;0),"Stok eksiye düştü","")))</f>
        <v/>
      </c>
    </row>
    <row r="294" customFormat="false" ht="15" hidden="false" customHeight="false" outlineLevel="0" collapsed="false">
      <c r="A294" s="12"/>
      <c r="B294" s="13"/>
      <c r="C294" s="14"/>
      <c r="D294" s="15"/>
      <c r="E294" s="14"/>
      <c r="F294" s="16" t="str">
        <f aca="false">IF(OR(C294="",D294=""),"",IF(OR(A294="",B294=""),"Tarih ya da tür eksik",IF(AND(B294="Çıkış",IFERROR(INDEX(Ürünler!$H$5:$H$304,MATCH(C294,Ürünler!$A$5:$A$304,0)),0)&lt;0),"Stok eksiye düştü","")))</f>
        <v/>
      </c>
    </row>
    <row r="295" customFormat="false" ht="15" hidden="false" customHeight="false" outlineLevel="0" collapsed="false">
      <c r="A295" s="12"/>
      <c r="B295" s="13"/>
      <c r="C295" s="14"/>
      <c r="D295" s="15"/>
      <c r="E295" s="14"/>
      <c r="F295" s="16" t="str">
        <f aca="false">IF(OR(C295="",D295=""),"",IF(OR(A295="",B295=""),"Tarih ya da tür eksik",IF(AND(B295="Çıkış",IFERROR(INDEX(Ürünler!$H$5:$H$304,MATCH(C295,Ürünler!$A$5:$A$304,0)),0)&lt;0),"Stok eksiye düştü","")))</f>
        <v/>
      </c>
    </row>
    <row r="296" customFormat="false" ht="15" hidden="false" customHeight="false" outlineLevel="0" collapsed="false">
      <c r="A296" s="12"/>
      <c r="B296" s="13"/>
      <c r="C296" s="14"/>
      <c r="D296" s="15"/>
      <c r="E296" s="14"/>
      <c r="F296" s="16" t="str">
        <f aca="false">IF(OR(C296="",D296=""),"",IF(OR(A296="",B296=""),"Tarih ya da tür eksik",IF(AND(B296="Çıkış",IFERROR(INDEX(Ürünler!$H$5:$H$304,MATCH(C296,Ürünler!$A$5:$A$304,0)),0)&lt;0),"Stok eksiye düştü","")))</f>
        <v/>
      </c>
    </row>
    <row r="297" customFormat="false" ht="15" hidden="false" customHeight="false" outlineLevel="0" collapsed="false">
      <c r="A297" s="12"/>
      <c r="B297" s="13"/>
      <c r="C297" s="14"/>
      <c r="D297" s="15"/>
      <c r="E297" s="14"/>
      <c r="F297" s="16" t="str">
        <f aca="false">IF(OR(C297="",D297=""),"",IF(OR(A297="",B297=""),"Tarih ya da tür eksik",IF(AND(B297="Çıkış",IFERROR(INDEX(Ürünler!$H$5:$H$304,MATCH(C297,Ürünler!$A$5:$A$304,0)),0)&lt;0),"Stok eksiye düştü","")))</f>
        <v/>
      </c>
    </row>
    <row r="298" customFormat="false" ht="15" hidden="false" customHeight="false" outlineLevel="0" collapsed="false">
      <c r="A298" s="12"/>
      <c r="B298" s="13"/>
      <c r="C298" s="14"/>
      <c r="D298" s="15"/>
      <c r="E298" s="14"/>
      <c r="F298" s="16" t="str">
        <f aca="false">IF(OR(C298="",D298=""),"",IF(OR(A298="",B298=""),"Tarih ya da tür eksik",IF(AND(B298="Çıkış",IFERROR(INDEX(Ürünler!$H$5:$H$304,MATCH(C298,Ürünler!$A$5:$A$304,0)),0)&lt;0),"Stok eksiye düştü","")))</f>
        <v/>
      </c>
    </row>
    <row r="299" customFormat="false" ht="15" hidden="false" customHeight="false" outlineLevel="0" collapsed="false">
      <c r="A299" s="12"/>
      <c r="B299" s="13"/>
      <c r="C299" s="14"/>
      <c r="D299" s="15"/>
      <c r="E299" s="14"/>
      <c r="F299" s="16" t="str">
        <f aca="false">IF(OR(C299="",D299=""),"",IF(OR(A299="",B299=""),"Tarih ya da tür eksik",IF(AND(B299="Çıkış",IFERROR(INDEX(Ürünler!$H$5:$H$304,MATCH(C299,Ürünler!$A$5:$A$304,0)),0)&lt;0),"Stok eksiye düştü","")))</f>
        <v/>
      </c>
    </row>
    <row r="300" customFormat="false" ht="15" hidden="false" customHeight="false" outlineLevel="0" collapsed="false">
      <c r="A300" s="12"/>
      <c r="B300" s="13"/>
      <c r="C300" s="14"/>
      <c r="D300" s="15"/>
      <c r="E300" s="14"/>
      <c r="F300" s="16" t="str">
        <f aca="false">IF(OR(C300="",D300=""),"",IF(OR(A300="",B300=""),"Tarih ya da tür eksik",IF(AND(B300="Çıkış",IFERROR(INDEX(Ürünler!$H$5:$H$304,MATCH(C300,Ürünler!$A$5:$A$304,0)),0)&lt;0),"Stok eksiye düştü","")))</f>
        <v/>
      </c>
    </row>
    <row r="301" customFormat="false" ht="15" hidden="false" customHeight="false" outlineLevel="0" collapsed="false">
      <c r="A301" s="12"/>
      <c r="B301" s="13"/>
      <c r="C301" s="14"/>
      <c r="D301" s="15"/>
      <c r="E301" s="14"/>
      <c r="F301" s="16" t="str">
        <f aca="false">IF(OR(C301="",D301=""),"",IF(OR(A301="",B301=""),"Tarih ya da tür eksik",IF(AND(B301="Çıkış",IFERROR(INDEX(Ürünler!$H$5:$H$304,MATCH(C301,Ürünler!$A$5:$A$304,0)),0)&lt;0),"Stok eksiye düştü","")))</f>
        <v/>
      </c>
    </row>
    <row r="302" customFormat="false" ht="15" hidden="false" customHeight="false" outlineLevel="0" collapsed="false">
      <c r="A302" s="12"/>
      <c r="B302" s="13"/>
      <c r="C302" s="14"/>
      <c r="D302" s="15"/>
      <c r="E302" s="14"/>
      <c r="F302" s="16" t="str">
        <f aca="false">IF(OR(C302="",D302=""),"",IF(OR(A302="",B302=""),"Tarih ya da tür eksik",IF(AND(B302="Çıkış",IFERROR(INDEX(Ürünler!$H$5:$H$304,MATCH(C302,Ürünler!$A$5:$A$304,0)),0)&lt;0),"Stok eksiye düştü","")))</f>
        <v/>
      </c>
    </row>
    <row r="303" customFormat="false" ht="15" hidden="false" customHeight="false" outlineLevel="0" collapsed="false">
      <c r="A303" s="12"/>
      <c r="B303" s="13"/>
      <c r="C303" s="14"/>
      <c r="D303" s="15"/>
      <c r="E303" s="14"/>
      <c r="F303" s="16" t="str">
        <f aca="false">IF(OR(C303="",D303=""),"",IF(OR(A303="",B303=""),"Tarih ya da tür eksik",IF(AND(B303="Çıkış",IFERROR(INDEX(Ürünler!$H$5:$H$304,MATCH(C303,Ürünler!$A$5:$A$304,0)),0)&lt;0),"Stok eksiye düştü","")))</f>
        <v/>
      </c>
    </row>
    <row r="304" customFormat="false" ht="15" hidden="false" customHeight="false" outlineLevel="0" collapsed="false">
      <c r="A304" s="12"/>
      <c r="B304" s="13"/>
      <c r="C304" s="14"/>
      <c r="D304" s="15"/>
      <c r="E304" s="14"/>
      <c r="F304" s="16" t="str">
        <f aca="false">IF(OR(C304="",D304=""),"",IF(OR(A304="",B304=""),"Tarih ya da tür eksik",IF(AND(B304="Çıkış",IFERROR(INDEX(Ürünler!$H$5:$H$304,MATCH(C304,Ürünler!$A$5:$A$304,0)),0)&lt;0),"Stok eksiye düştü","")))</f>
        <v/>
      </c>
    </row>
    <row r="305" customFormat="false" ht="15" hidden="false" customHeight="false" outlineLevel="0" collapsed="false">
      <c r="A305" s="12"/>
      <c r="B305" s="13"/>
      <c r="C305" s="14"/>
      <c r="D305" s="15"/>
      <c r="E305" s="14"/>
      <c r="F305" s="16" t="str">
        <f aca="false">IF(OR(C305="",D305=""),"",IF(OR(A305="",B305=""),"Tarih ya da tür eksik",IF(AND(B305="Çıkış",IFERROR(INDEX(Ürünler!$H$5:$H$304,MATCH(C305,Ürünler!$A$5:$A$304,0)),0)&lt;0),"Stok eksiye düştü","")))</f>
        <v/>
      </c>
    </row>
    <row r="306" customFormat="false" ht="15" hidden="false" customHeight="false" outlineLevel="0" collapsed="false">
      <c r="A306" s="12"/>
      <c r="B306" s="13"/>
      <c r="C306" s="14"/>
      <c r="D306" s="15"/>
      <c r="E306" s="14"/>
      <c r="F306" s="16" t="str">
        <f aca="false">IF(OR(C306="",D306=""),"",IF(OR(A306="",B306=""),"Tarih ya da tür eksik",IF(AND(B306="Çıkış",IFERROR(INDEX(Ürünler!$H$5:$H$304,MATCH(C306,Ürünler!$A$5:$A$304,0)),0)&lt;0),"Stok eksiye düştü","")))</f>
        <v/>
      </c>
    </row>
    <row r="307" customFormat="false" ht="15" hidden="false" customHeight="false" outlineLevel="0" collapsed="false">
      <c r="A307" s="12"/>
      <c r="B307" s="13"/>
      <c r="C307" s="14"/>
      <c r="D307" s="15"/>
      <c r="E307" s="14"/>
      <c r="F307" s="16" t="str">
        <f aca="false">IF(OR(C307="",D307=""),"",IF(OR(A307="",B307=""),"Tarih ya da tür eksik",IF(AND(B307="Çıkış",IFERROR(INDEX(Ürünler!$H$5:$H$304,MATCH(C307,Ürünler!$A$5:$A$304,0)),0)&lt;0),"Stok eksiye düştü","")))</f>
        <v/>
      </c>
    </row>
    <row r="308" customFormat="false" ht="15" hidden="false" customHeight="false" outlineLevel="0" collapsed="false">
      <c r="A308" s="12"/>
      <c r="B308" s="13"/>
      <c r="C308" s="14"/>
      <c r="D308" s="15"/>
      <c r="E308" s="14"/>
      <c r="F308" s="16" t="str">
        <f aca="false">IF(OR(C308="",D308=""),"",IF(OR(A308="",B308=""),"Tarih ya da tür eksik",IF(AND(B308="Çıkış",IFERROR(INDEX(Ürünler!$H$5:$H$304,MATCH(C308,Ürünler!$A$5:$A$304,0)),0)&lt;0),"Stok eksiye düştü","")))</f>
        <v/>
      </c>
    </row>
    <row r="309" customFormat="false" ht="15" hidden="false" customHeight="false" outlineLevel="0" collapsed="false">
      <c r="A309" s="12"/>
      <c r="B309" s="13"/>
      <c r="C309" s="14"/>
      <c r="D309" s="15"/>
      <c r="E309" s="14"/>
      <c r="F309" s="16" t="str">
        <f aca="false">IF(OR(C309="",D309=""),"",IF(OR(A309="",B309=""),"Tarih ya da tür eksik",IF(AND(B309="Çıkış",IFERROR(INDEX(Ürünler!$H$5:$H$304,MATCH(C309,Ürünler!$A$5:$A$304,0)),0)&lt;0),"Stok eksiye düştü","")))</f>
        <v/>
      </c>
    </row>
    <row r="310" customFormat="false" ht="15" hidden="false" customHeight="false" outlineLevel="0" collapsed="false">
      <c r="A310" s="12"/>
      <c r="B310" s="13"/>
      <c r="C310" s="14"/>
      <c r="D310" s="15"/>
      <c r="E310" s="14"/>
      <c r="F310" s="16" t="str">
        <f aca="false">IF(OR(C310="",D310=""),"",IF(OR(A310="",B310=""),"Tarih ya da tür eksik",IF(AND(B310="Çıkış",IFERROR(INDEX(Ürünler!$H$5:$H$304,MATCH(C310,Ürünler!$A$5:$A$304,0)),0)&lt;0),"Stok eksiye düştü","")))</f>
        <v/>
      </c>
    </row>
    <row r="311" customFormat="false" ht="15" hidden="false" customHeight="false" outlineLevel="0" collapsed="false">
      <c r="A311" s="12"/>
      <c r="B311" s="13"/>
      <c r="C311" s="14"/>
      <c r="D311" s="15"/>
      <c r="E311" s="14"/>
      <c r="F311" s="16" t="str">
        <f aca="false">IF(OR(C311="",D311=""),"",IF(OR(A311="",B311=""),"Tarih ya da tür eksik",IF(AND(B311="Çıkış",IFERROR(INDEX(Ürünler!$H$5:$H$304,MATCH(C311,Ürünler!$A$5:$A$304,0)),0)&lt;0),"Stok eksiye düştü","")))</f>
        <v/>
      </c>
    </row>
    <row r="312" customFormat="false" ht="15" hidden="false" customHeight="false" outlineLevel="0" collapsed="false">
      <c r="A312" s="12"/>
      <c r="B312" s="13"/>
      <c r="C312" s="14"/>
      <c r="D312" s="15"/>
      <c r="E312" s="14"/>
      <c r="F312" s="16" t="str">
        <f aca="false">IF(OR(C312="",D312=""),"",IF(OR(A312="",B312=""),"Tarih ya da tür eksik",IF(AND(B312="Çıkış",IFERROR(INDEX(Ürünler!$H$5:$H$304,MATCH(C312,Ürünler!$A$5:$A$304,0)),0)&lt;0),"Stok eksiye düştü","")))</f>
        <v/>
      </c>
    </row>
    <row r="313" customFormat="false" ht="15" hidden="false" customHeight="false" outlineLevel="0" collapsed="false">
      <c r="A313" s="12"/>
      <c r="B313" s="13"/>
      <c r="C313" s="14"/>
      <c r="D313" s="15"/>
      <c r="E313" s="14"/>
      <c r="F313" s="16" t="str">
        <f aca="false">IF(OR(C313="",D313=""),"",IF(OR(A313="",B313=""),"Tarih ya da tür eksik",IF(AND(B313="Çıkış",IFERROR(INDEX(Ürünler!$H$5:$H$304,MATCH(C313,Ürünler!$A$5:$A$304,0)),0)&lt;0),"Stok eksiye düştü","")))</f>
        <v/>
      </c>
    </row>
    <row r="314" customFormat="false" ht="15" hidden="false" customHeight="false" outlineLevel="0" collapsed="false">
      <c r="A314" s="12"/>
      <c r="B314" s="13"/>
      <c r="C314" s="14"/>
      <c r="D314" s="15"/>
      <c r="E314" s="14"/>
      <c r="F314" s="16" t="str">
        <f aca="false">IF(OR(C314="",D314=""),"",IF(OR(A314="",B314=""),"Tarih ya da tür eksik",IF(AND(B314="Çıkış",IFERROR(INDEX(Ürünler!$H$5:$H$304,MATCH(C314,Ürünler!$A$5:$A$304,0)),0)&lt;0),"Stok eksiye düştü","")))</f>
        <v/>
      </c>
    </row>
    <row r="315" customFormat="false" ht="15" hidden="false" customHeight="false" outlineLevel="0" collapsed="false">
      <c r="A315" s="12"/>
      <c r="B315" s="13"/>
      <c r="C315" s="14"/>
      <c r="D315" s="15"/>
      <c r="E315" s="14"/>
      <c r="F315" s="16" t="str">
        <f aca="false">IF(OR(C315="",D315=""),"",IF(OR(A315="",B315=""),"Tarih ya da tür eksik",IF(AND(B315="Çıkış",IFERROR(INDEX(Ürünler!$H$5:$H$304,MATCH(C315,Ürünler!$A$5:$A$304,0)),0)&lt;0),"Stok eksiye düştü","")))</f>
        <v/>
      </c>
    </row>
    <row r="316" customFormat="false" ht="15" hidden="false" customHeight="false" outlineLevel="0" collapsed="false">
      <c r="A316" s="12"/>
      <c r="B316" s="13"/>
      <c r="C316" s="14"/>
      <c r="D316" s="15"/>
      <c r="E316" s="14"/>
      <c r="F316" s="16" t="str">
        <f aca="false">IF(OR(C316="",D316=""),"",IF(OR(A316="",B316=""),"Tarih ya da tür eksik",IF(AND(B316="Çıkış",IFERROR(INDEX(Ürünler!$H$5:$H$304,MATCH(C316,Ürünler!$A$5:$A$304,0)),0)&lt;0),"Stok eksiye düştü","")))</f>
        <v/>
      </c>
    </row>
    <row r="317" customFormat="false" ht="15" hidden="false" customHeight="false" outlineLevel="0" collapsed="false">
      <c r="A317" s="12"/>
      <c r="B317" s="13"/>
      <c r="C317" s="14"/>
      <c r="D317" s="15"/>
      <c r="E317" s="14"/>
      <c r="F317" s="16" t="str">
        <f aca="false">IF(OR(C317="",D317=""),"",IF(OR(A317="",B317=""),"Tarih ya da tür eksik",IF(AND(B317="Çıkış",IFERROR(INDEX(Ürünler!$H$5:$H$304,MATCH(C317,Ürünler!$A$5:$A$304,0)),0)&lt;0),"Stok eksiye düştü","")))</f>
        <v/>
      </c>
    </row>
    <row r="318" customFormat="false" ht="15" hidden="false" customHeight="false" outlineLevel="0" collapsed="false">
      <c r="A318" s="12"/>
      <c r="B318" s="13"/>
      <c r="C318" s="14"/>
      <c r="D318" s="15"/>
      <c r="E318" s="14"/>
      <c r="F318" s="16" t="str">
        <f aca="false">IF(OR(C318="",D318=""),"",IF(OR(A318="",B318=""),"Tarih ya da tür eksik",IF(AND(B318="Çıkış",IFERROR(INDEX(Ürünler!$H$5:$H$304,MATCH(C318,Ürünler!$A$5:$A$304,0)),0)&lt;0),"Stok eksiye düştü","")))</f>
        <v/>
      </c>
    </row>
    <row r="319" customFormat="false" ht="15" hidden="false" customHeight="false" outlineLevel="0" collapsed="false">
      <c r="A319" s="12"/>
      <c r="B319" s="13"/>
      <c r="C319" s="14"/>
      <c r="D319" s="15"/>
      <c r="E319" s="14"/>
      <c r="F319" s="16" t="str">
        <f aca="false">IF(OR(C319="",D319=""),"",IF(OR(A319="",B319=""),"Tarih ya da tür eksik",IF(AND(B319="Çıkış",IFERROR(INDEX(Ürünler!$H$5:$H$304,MATCH(C319,Ürünler!$A$5:$A$304,0)),0)&lt;0),"Stok eksiye düştü","")))</f>
        <v/>
      </c>
    </row>
    <row r="320" customFormat="false" ht="15" hidden="false" customHeight="false" outlineLevel="0" collapsed="false">
      <c r="A320" s="12"/>
      <c r="B320" s="13"/>
      <c r="C320" s="14"/>
      <c r="D320" s="15"/>
      <c r="E320" s="14"/>
      <c r="F320" s="16" t="str">
        <f aca="false">IF(OR(C320="",D320=""),"",IF(OR(A320="",B320=""),"Tarih ya da tür eksik",IF(AND(B320="Çıkış",IFERROR(INDEX(Ürünler!$H$5:$H$304,MATCH(C320,Ürünler!$A$5:$A$304,0)),0)&lt;0),"Stok eksiye düştü","")))</f>
        <v/>
      </c>
    </row>
    <row r="321" customFormat="false" ht="15" hidden="false" customHeight="false" outlineLevel="0" collapsed="false">
      <c r="A321" s="12"/>
      <c r="B321" s="13"/>
      <c r="C321" s="14"/>
      <c r="D321" s="15"/>
      <c r="E321" s="14"/>
      <c r="F321" s="16" t="str">
        <f aca="false">IF(OR(C321="",D321=""),"",IF(OR(A321="",B321=""),"Tarih ya da tür eksik",IF(AND(B321="Çıkış",IFERROR(INDEX(Ürünler!$H$5:$H$304,MATCH(C321,Ürünler!$A$5:$A$304,0)),0)&lt;0),"Stok eksiye düştü","")))</f>
        <v/>
      </c>
    </row>
    <row r="322" customFormat="false" ht="15" hidden="false" customHeight="false" outlineLevel="0" collapsed="false">
      <c r="A322" s="12"/>
      <c r="B322" s="13"/>
      <c r="C322" s="14"/>
      <c r="D322" s="15"/>
      <c r="E322" s="14"/>
      <c r="F322" s="16" t="str">
        <f aca="false">IF(OR(C322="",D322=""),"",IF(OR(A322="",B322=""),"Tarih ya da tür eksik",IF(AND(B322="Çıkış",IFERROR(INDEX(Ürünler!$H$5:$H$304,MATCH(C322,Ürünler!$A$5:$A$304,0)),0)&lt;0),"Stok eksiye düştü","")))</f>
        <v/>
      </c>
    </row>
    <row r="323" customFormat="false" ht="15" hidden="false" customHeight="false" outlineLevel="0" collapsed="false">
      <c r="A323" s="12"/>
      <c r="B323" s="13"/>
      <c r="C323" s="14"/>
      <c r="D323" s="15"/>
      <c r="E323" s="14"/>
      <c r="F323" s="16" t="str">
        <f aca="false">IF(OR(C323="",D323=""),"",IF(OR(A323="",B323=""),"Tarih ya da tür eksik",IF(AND(B323="Çıkış",IFERROR(INDEX(Ürünler!$H$5:$H$304,MATCH(C323,Ürünler!$A$5:$A$304,0)),0)&lt;0),"Stok eksiye düştü","")))</f>
        <v/>
      </c>
    </row>
    <row r="324" customFormat="false" ht="15" hidden="false" customHeight="false" outlineLevel="0" collapsed="false">
      <c r="A324" s="12"/>
      <c r="B324" s="13"/>
      <c r="C324" s="14"/>
      <c r="D324" s="15"/>
      <c r="E324" s="14"/>
      <c r="F324" s="16" t="str">
        <f aca="false">IF(OR(C324="",D324=""),"",IF(OR(A324="",B324=""),"Tarih ya da tür eksik",IF(AND(B324="Çıkış",IFERROR(INDEX(Ürünler!$H$5:$H$304,MATCH(C324,Ürünler!$A$5:$A$304,0)),0)&lt;0),"Stok eksiye düştü","")))</f>
        <v/>
      </c>
    </row>
    <row r="325" customFormat="false" ht="15" hidden="false" customHeight="false" outlineLevel="0" collapsed="false">
      <c r="A325" s="12"/>
      <c r="B325" s="13"/>
      <c r="C325" s="14"/>
      <c r="D325" s="15"/>
      <c r="E325" s="14"/>
      <c r="F325" s="16" t="str">
        <f aca="false">IF(OR(C325="",D325=""),"",IF(OR(A325="",B325=""),"Tarih ya da tür eksik",IF(AND(B325="Çıkış",IFERROR(INDEX(Ürünler!$H$5:$H$304,MATCH(C325,Ürünler!$A$5:$A$304,0)),0)&lt;0),"Stok eksiye düştü","")))</f>
        <v/>
      </c>
    </row>
    <row r="326" customFormat="false" ht="15" hidden="false" customHeight="false" outlineLevel="0" collapsed="false">
      <c r="A326" s="12"/>
      <c r="B326" s="13"/>
      <c r="C326" s="14"/>
      <c r="D326" s="15"/>
      <c r="E326" s="14"/>
      <c r="F326" s="16" t="str">
        <f aca="false">IF(OR(C326="",D326=""),"",IF(OR(A326="",B326=""),"Tarih ya da tür eksik",IF(AND(B326="Çıkış",IFERROR(INDEX(Ürünler!$H$5:$H$304,MATCH(C326,Ürünler!$A$5:$A$304,0)),0)&lt;0),"Stok eksiye düştü","")))</f>
        <v/>
      </c>
    </row>
    <row r="327" customFormat="false" ht="15" hidden="false" customHeight="false" outlineLevel="0" collapsed="false">
      <c r="A327" s="12"/>
      <c r="B327" s="13"/>
      <c r="C327" s="14"/>
      <c r="D327" s="15"/>
      <c r="E327" s="14"/>
      <c r="F327" s="16" t="str">
        <f aca="false">IF(OR(C327="",D327=""),"",IF(OR(A327="",B327=""),"Tarih ya da tür eksik",IF(AND(B327="Çıkış",IFERROR(INDEX(Ürünler!$H$5:$H$304,MATCH(C327,Ürünler!$A$5:$A$304,0)),0)&lt;0),"Stok eksiye düştü","")))</f>
        <v/>
      </c>
    </row>
    <row r="328" customFormat="false" ht="15" hidden="false" customHeight="false" outlineLevel="0" collapsed="false">
      <c r="A328" s="12"/>
      <c r="B328" s="13"/>
      <c r="C328" s="14"/>
      <c r="D328" s="15"/>
      <c r="E328" s="14"/>
      <c r="F328" s="16" t="str">
        <f aca="false">IF(OR(C328="",D328=""),"",IF(OR(A328="",B328=""),"Tarih ya da tür eksik",IF(AND(B328="Çıkış",IFERROR(INDEX(Ürünler!$H$5:$H$304,MATCH(C328,Ürünler!$A$5:$A$304,0)),0)&lt;0),"Stok eksiye düştü","")))</f>
        <v/>
      </c>
    </row>
    <row r="329" customFormat="false" ht="15" hidden="false" customHeight="false" outlineLevel="0" collapsed="false">
      <c r="A329" s="12"/>
      <c r="B329" s="13"/>
      <c r="C329" s="14"/>
      <c r="D329" s="15"/>
      <c r="E329" s="14"/>
      <c r="F329" s="16" t="str">
        <f aca="false">IF(OR(C329="",D329=""),"",IF(OR(A329="",B329=""),"Tarih ya da tür eksik",IF(AND(B329="Çıkış",IFERROR(INDEX(Ürünler!$H$5:$H$304,MATCH(C329,Ürünler!$A$5:$A$304,0)),0)&lt;0),"Stok eksiye düştü","")))</f>
        <v/>
      </c>
    </row>
    <row r="330" customFormat="false" ht="15" hidden="false" customHeight="false" outlineLevel="0" collapsed="false">
      <c r="A330" s="12"/>
      <c r="B330" s="13"/>
      <c r="C330" s="14"/>
      <c r="D330" s="15"/>
      <c r="E330" s="14"/>
      <c r="F330" s="16" t="str">
        <f aca="false">IF(OR(C330="",D330=""),"",IF(OR(A330="",B330=""),"Tarih ya da tür eksik",IF(AND(B330="Çıkış",IFERROR(INDEX(Ürünler!$H$5:$H$304,MATCH(C330,Ürünler!$A$5:$A$304,0)),0)&lt;0),"Stok eksiye düştü","")))</f>
        <v/>
      </c>
    </row>
    <row r="331" customFormat="false" ht="15" hidden="false" customHeight="false" outlineLevel="0" collapsed="false">
      <c r="A331" s="12"/>
      <c r="B331" s="13"/>
      <c r="C331" s="14"/>
      <c r="D331" s="15"/>
      <c r="E331" s="14"/>
      <c r="F331" s="16" t="str">
        <f aca="false">IF(OR(C331="",D331=""),"",IF(OR(A331="",B331=""),"Tarih ya da tür eksik",IF(AND(B331="Çıkış",IFERROR(INDEX(Ürünler!$H$5:$H$304,MATCH(C331,Ürünler!$A$5:$A$304,0)),0)&lt;0),"Stok eksiye düştü","")))</f>
        <v/>
      </c>
    </row>
    <row r="332" customFormat="false" ht="15" hidden="false" customHeight="false" outlineLevel="0" collapsed="false">
      <c r="A332" s="12"/>
      <c r="B332" s="13"/>
      <c r="C332" s="14"/>
      <c r="D332" s="15"/>
      <c r="E332" s="14"/>
      <c r="F332" s="16" t="str">
        <f aca="false">IF(OR(C332="",D332=""),"",IF(OR(A332="",B332=""),"Tarih ya da tür eksik",IF(AND(B332="Çıkış",IFERROR(INDEX(Ürünler!$H$5:$H$304,MATCH(C332,Ürünler!$A$5:$A$304,0)),0)&lt;0),"Stok eksiye düştü","")))</f>
        <v/>
      </c>
    </row>
    <row r="333" customFormat="false" ht="15" hidden="false" customHeight="false" outlineLevel="0" collapsed="false">
      <c r="A333" s="12"/>
      <c r="B333" s="13"/>
      <c r="C333" s="14"/>
      <c r="D333" s="15"/>
      <c r="E333" s="14"/>
      <c r="F333" s="16" t="str">
        <f aca="false">IF(OR(C333="",D333=""),"",IF(OR(A333="",B333=""),"Tarih ya da tür eksik",IF(AND(B333="Çıkış",IFERROR(INDEX(Ürünler!$H$5:$H$304,MATCH(C333,Ürünler!$A$5:$A$304,0)),0)&lt;0),"Stok eksiye düştü","")))</f>
        <v/>
      </c>
    </row>
    <row r="334" customFormat="false" ht="15" hidden="false" customHeight="false" outlineLevel="0" collapsed="false">
      <c r="A334" s="12"/>
      <c r="B334" s="13"/>
      <c r="C334" s="14"/>
      <c r="D334" s="15"/>
      <c r="E334" s="14"/>
      <c r="F334" s="16" t="str">
        <f aca="false">IF(OR(C334="",D334=""),"",IF(OR(A334="",B334=""),"Tarih ya da tür eksik",IF(AND(B334="Çıkış",IFERROR(INDEX(Ürünler!$H$5:$H$304,MATCH(C334,Ürünler!$A$5:$A$304,0)),0)&lt;0),"Stok eksiye düştü","")))</f>
        <v/>
      </c>
    </row>
    <row r="335" customFormat="false" ht="15" hidden="false" customHeight="false" outlineLevel="0" collapsed="false">
      <c r="A335" s="12"/>
      <c r="B335" s="13"/>
      <c r="C335" s="14"/>
      <c r="D335" s="15"/>
      <c r="E335" s="14"/>
      <c r="F335" s="16" t="str">
        <f aca="false">IF(OR(C335="",D335=""),"",IF(OR(A335="",B335=""),"Tarih ya da tür eksik",IF(AND(B335="Çıkış",IFERROR(INDEX(Ürünler!$H$5:$H$304,MATCH(C335,Ürünler!$A$5:$A$304,0)),0)&lt;0),"Stok eksiye düştü","")))</f>
        <v/>
      </c>
    </row>
    <row r="336" customFormat="false" ht="15" hidden="false" customHeight="false" outlineLevel="0" collapsed="false">
      <c r="A336" s="12"/>
      <c r="B336" s="13"/>
      <c r="C336" s="14"/>
      <c r="D336" s="15"/>
      <c r="E336" s="14"/>
      <c r="F336" s="16" t="str">
        <f aca="false">IF(OR(C336="",D336=""),"",IF(OR(A336="",B336=""),"Tarih ya da tür eksik",IF(AND(B336="Çıkış",IFERROR(INDEX(Ürünler!$H$5:$H$304,MATCH(C336,Ürünler!$A$5:$A$304,0)),0)&lt;0),"Stok eksiye düştü","")))</f>
        <v/>
      </c>
    </row>
    <row r="337" customFormat="false" ht="15" hidden="false" customHeight="false" outlineLevel="0" collapsed="false">
      <c r="A337" s="12"/>
      <c r="B337" s="13"/>
      <c r="C337" s="14"/>
      <c r="D337" s="15"/>
      <c r="E337" s="14"/>
      <c r="F337" s="16" t="str">
        <f aca="false">IF(OR(C337="",D337=""),"",IF(OR(A337="",B337=""),"Tarih ya da tür eksik",IF(AND(B337="Çıkış",IFERROR(INDEX(Ürünler!$H$5:$H$304,MATCH(C337,Ürünler!$A$5:$A$304,0)),0)&lt;0),"Stok eksiye düştü","")))</f>
        <v/>
      </c>
    </row>
    <row r="338" customFormat="false" ht="15" hidden="false" customHeight="false" outlineLevel="0" collapsed="false">
      <c r="A338" s="12"/>
      <c r="B338" s="13"/>
      <c r="C338" s="14"/>
      <c r="D338" s="15"/>
      <c r="E338" s="14"/>
      <c r="F338" s="16" t="str">
        <f aca="false">IF(OR(C338="",D338=""),"",IF(OR(A338="",B338=""),"Tarih ya da tür eksik",IF(AND(B338="Çıkış",IFERROR(INDEX(Ürünler!$H$5:$H$304,MATCH(C338,Ürünler!$A$5:$A$304,0)),0)&lt;0),"Stok eksiye düştü","")))</f>
        <v/>
      </c>
    </row>
    <row r="339" customFormat="false" ht="15" hidden="false" customHeight="false" outlineLevel="0" collapsed="false">
      <c r="A339" s="12"/>
      <c r="B339" s="13"/>
      <c r="C339" s="14"/>
      <c r="D339" s="15"/>
      <c r="E339" s="14"/>
      <c r="F339" s="16" t="str">
        <f aca="false">IF(OR(C339="",D339=""),"",IF(OR(A339="",B339=""),"Tarih ya da tür eksik",IF(AND(B339="Çıkış",IFERROR(INDEX(Ürünler!$H$5:$H$304,MATCH(C339,Ürünler!$A$5:$A$304,0)),0)&lt;0),"Stok eksiye düştü","")))</f>
        <v/>
      </c>
    </row>
    <row r="340" customFormat="false" ht="15" hidden="false" customHeight="false" outlineLevel="0" collapsed="false">
      <c r="A340" s="12"/>
      <c r="B340" s="13"/>
      <c r="C340" s="14"/>
      <c r="D340" s="15"/>
      <c r="E340" s="14"/>
      <c r="F340" s="16" t="str">
        <f aca="false">IF(OR(C340="",D340=""),"",IF(OR(A340="",B340=""),"Tarih ya da tür eksik",IF(AND(B340="Çıkış",IFERROR(INDEX(Ürünler!$H$5:$H$304,MATCH(C340,Ürünler!$A$5:$A$304,0)),0)&lt;0),"Stok eksiye düştü","")))</f>
        <v/>
      </c>
    </row>
    <row r="341" customFormat="false" ht="15" hidden="false" customHeight="false" outlineLevel="0" collapsed="false">
      <c r="A341" s="12"/>
      <c r="B341" s="13"/>
      <c r="C341" s="14"/>
      <c r="D341" s="15"/>
      <c r="E341" s="14"/>
      <c r="F341" s="16" t="str">
        <f aca="false">IF(OR(C341="",D341=""),"",IF(OR(A341="",B341=""),"Tarih ya da tür eksik",IF(AND(B341="Çıkış",IFERROR(INDEX(Ürünler!$H$5:$H$304,MATCH(C341,Ürünler!$A$5:$A$304,0)),0)&lt;0),"Stok eksiye düştü","")))</f>
        <v/>
      </c>
    </row>
    <row r="342" customFormat="false" ht="15" hidden="false" customHeight="false" outlineLevel="0" collapsed="false">
      <c r="A342" s="12"/>
      <c r="B342" s="13"/>
      <c r="C342" s="14"/>
      <c r="D342" s="15"/>
      <c r="E342" s="14"/>
      <c r="F342" s="16" t="str">
        <f aca="false">IF(OR(C342="",D342=""),"",IF(OR(A342="",B342=""),"Tarih ya da tür eksik",IF(AND(B342="Çıkış",IFERROR(INDEX(Ürünler!$H$5:$H$304,MATCH(C342,Ürünler!$A$5:$A$304,0)),0)&lt;0),"Stok eksiye düştü","")))</f>
        <v/>
      </c>
    </row>
    <row r="343" customFormat="false" ht="15" hidden="false" customHeight="false" outlineLevel="0" collapsed="false">
      <c r="A343" s="12"/>
      <c r="B343" s="13"/>
      <c r="C343" s="14"/>
      <c r="D343" s="15"/>
      <c r="E343" s="14"/>
      <c r="F343" s="16" t="str">
        <f aca="false">IF(OR(C343="",D343=""),"",IF(OR(A343="",B343=""),"Tarih ya da tür eksik",IF(AND(B343="Çıkış",IFERROR(INDEX(Ürünler!$H$5:$H$304,MATCH(C343,Ürünler!$A$5:$A$304,0)),0)&lt;0),"Stok eksiye düştü","")))</f>
        <v/>
      </c>
    </row>
    <row r="344" customFormat="false" ht="15" hidden="false" customHeight="false" outlineLevel="0" collapsed="false">
      <c r="A344" s="12"/>
      <c r="B344" s="13"/>
      <c r="C344" s="14"/>
      <c r="D344" s="15"/>
      <c r="E344" s="14"/>
      <c r="F344" s="16" t="str">
        <f aca="false">IF(OR(C344="",D344=""),"",IF(OR(A344="",B344=""),"Tarih ya da tür eksik",IF(AND(B344="Çıkış",IFERROR(INDEX(Ürünler!$H$5:$H$304,MATCH(C344,Ürünler!$A$5:$A$304,0)),0)&lt;0),"Stok eksiye düştü","")))</f>
        <v/>
      </c>
    </row>
    <row r="345" customFormat="false" ht="15" hidden="false" customHeight="false" outlineLevel="0" collapsed="false">
      <c r="A345" s="12"/>
      <c r="B345" s="13"/>
      <c r="C345" s="14"/>
      <c r="D345" s="15"/>
      <c r="E345" s="14"/>
      <c r="F345" s="16" t="str">
        <f aca="false">IF(OR(C345="",D345=""),"",IF(OR(A345="",B345=""),"Tarih ya da tür eksik",IF(AND(B345="Çıkış",IFERROR(INDEX(Ürünler!$H$5:$H$304,MATCH(C345,Ürünler!$A$5:$A$304,0)),0)&lt;0),"Stok eksiye düştü","")))</f>
        <v/>
      </c>
    </row>
    <row r="346" customFormat="false" ht="15" hidden="false" customHeight="false" outlineLevel="0" collapsed="false">
      <c r="A346" s="12"/>
      <c r="B346" s="13"/>
      <c r="C346" s="14"/>
      <c r="D346" s="15"/>
      <c r="E346" s="14"/>
      <c r="F346" s="16" t="str">
        <f aca="false">IF(OR(C346="",D346=""),"",IF(OR(A346="",B346=""),"Tarih ya da tür eksik",IF(AND(B346="Çıkış",IFERROR(INDEX(Ürünler!$H$5:$H$304,MATCH(C346,Ürünler!$A$5:$A$304,0)),0)&lt;0),"Stok eksiye düştü","")))</f>
        <v/>
      </c>
    </row>
    <row r="347" customFormat="false" ht="15" hidden="false" customHeight="false" outlineLevel="0" collapsed="false">
      <c r="A347" s="12"/>
      <c r="B347" s="13"/>
      <c r="C347" s="14"/>
      <c r="D347" s="15"/>
      <c r="E347" s="14"/>
      <c r="F347" s="16" t="str">
        <f aca="false">IF(OR(C347="",D347=""),"",IF(OR(A347="",B347=""),"Tarih ya da tür eksik",IF(AND(B347="Çıkış",IFERROR(INDEX(Ürünler!$H$5:$H$304,MATCH(C347,Ürünler!$A$5:$A$304,0)),0)&lt;0),"Stok eksiye düştü","")))</f>
        <v/>
      </c>
    </row>
    <row r="348" customFormat="false" ht="15" hidden="false" customHeight="false" outlineLevel="0" collapsed="false">
      <c r="A348" s="12"/>
      <c r="B348" s="13"/>
      <c r="C348" s="14"/>
      <c r="D348" s="15"/>
      <c r="E348" s="14"/>
      <c r="F348" s="16" t="str">
        <f aca="false">IF(OR(C348="",D348=""),"",IF(OR(A348="",B348=""),"Tarih ya da tür eksik",IF(AND(B348="Çıkış",IFERROR(INDEX(Ürünler!$H$5:$H$304,MATCH(C348,Ürünler!$A$5:$A$304,0)),0)&lt;0),"Stok eksiye düştü","")))</f>
        <v/>
      </c>
    </row>
    <row r="349" customFormat="false" ht="15" hidden="false" customHeight="false" outlineLevel="0" collapsed="false">
      <c r="A349" s="12"/>
      <c r="B349" s="13"/>
      <c r="C349" s="14"/>
      <c r="D349" s="15"/>
      <c r="E349" s="14"/>
      <c r="F349" s="16" t="str">
        <f aca="false">IF(OR(C349="",D349=""),"",IF(OR(A349="",B349=""),"Tarih ya da tür eksik",IF(AND(B349="Çıkış",IFERROR(INDEX(Ürünler!$H$5:$H$304,MATCH(C349,Ürünler!$A$5:$A$304,0)),0)&lt;0),"Stok eksiye düştü","")))</f>
        <v/>
      </c>
    </row>
    <row r="350" customFormat="false" ht="15" hidden="false" customHeight="false" outlineLevel="0" collapsed="false">
      <c r="A350" s="12"/>
      <c r="B350" s="13"/>
      <c r="C350" s="14"/>
      <c r="D350" s="15"/>
      <c r="E350" s="14"/>
      <c r="F350" s="16" t="str">
        <f aca="false">IF(OR(C350="",D350=""),"",IF(OR(A350="",B350=""),"Tarih ya da tür eksik",IF(AND(B350="Çıkış",IFERROR(INDEX(Ürünler!$H$5:$H$304,MATCH(C350,Ürünler!$A$5:$A$304,0)),0)&lt;0),"Stok eksiye düştü","")))</f>
        <v/>
      </c>
    </row>
    <row r="351" customFormat="false" ht="15" hidden="false" customHeight="false" outlineLevel="0" collapsed="false">
      <c r="A351" s="12"/>
      <c r="B351" s="13"/>
      <c r="C351" s="14"/>
      <c r="D351" s="15"/>
      <c r="E351" s="14"/>
      <c r="F351" s="16" t="str">
        <f aca="false">IF(OR(C351="",D351=""),"",IF(OR(A351="",B351=""),"Tarih ya da tür eksik",IF(AND(B351="Çıkış",IFERROR(INDEX(Ürünler!$H$5:$H$304,MATCH(C351,Ürünler!$A$5:$A$304,0)),0)&lt;0),"Stok eksiye düştü","")))</f>
        <v/>
      </c>
    </row>
    <row r="352" customFormat="false" ht="15" hidden="false" customHeight="false" outlineLevel="0" collapsed="false">
      <c r="A352" s="12"/>
      <c r="B352" s="13"/>
      <c r="C352" s="14"/>
      <c r="D352" s="15"/>
      <c r="E352" s="14"/>
      <c r="F352" s="16" t="str">
        <f aca="false">IF(OR(C352="",D352=""),"",IF(OR(A352="",B352=""),"Tarih ya da tür eksik",IF(AND(B352="Çıkış",IFERROR(INDEX(Ürünler!$H$5:$H$304,MATCH(C352,Ürünler!$A$5:$A$304,0)),0)&lt;0),"Stok eksiye düştü","")))</f>
        <v/>
      </c>
    </row>
    <row r="353" customFormat="false" ht="15" hidden="false" customHeight="false" outlineLevel="0" collapsed="false">
      <c r="A353" s="12"/>
      <c r="B353" s="13"/>
      <c r="C353" s="14"/>
      <c r="D353" s="15"/>
      <c r="E353" s="14"/>
      <c r="F353" s="16" t="str">
        <f aca="false">IF(OR(C353="",D353=""),"",IF(OR(A353="",B353=""),"Tarih ya da tür eksik",IF(AND(B353="Çıkış",IFERROR(INDEX(Ürünler!$H$5:$H$304,MATCH(C353,Ürünler!$A$5:$A$304,0)),0)&lt;0),"Stok eksiye düştü","")))</f>
        <v/>
      </c>
    </row>
    <row r="354" customFormat="false" ht="15" hidden="false" customHeight="false" outlineLevel="0" collapsed="false">
      <c r="A354" s="12"/>
      <c r="B354" s="13"/>
      <c r="C354" s="14"/>
      <c r="D354" s="15"/>
      <c r="E354" s="14"/>
      <c r="F354" s="16" t="str">
        <f aca="false">IF(OR(C354="",D354=""),"",IF(OR(A354="",B354=""),"Tarih ya da tür eksik",IF(AND(B354="Çıkış",IFERROR(INDEX(Ürünler!$H$5:$H$304,MATCH(C354,Ürünler!$A$5:$A$304,0)),0)&lt;0),"Stok eksiye düştü","")))</f>
        <v/>
      </c>
    </row>
    <row r="355" customFormat="false" ht="15" hidden="false" customHeight="false" outlineLevel="0" collapsed="false">
      <c r="A355" s="12"/>
      <c r="B355" s="13"/>
      <c r="C355" s="14"/>
      <c r="D355" s="15"/>
      <c r="E355" s="14"/>
      <c r="F355" s="16" t="str">
        <f aca="false">IF(OR(C355="",D355=""),"",IF(OR(A355="",B355=""),"Tarih ya da tür eksik",IF(AND(B355="Çıkış",IFERROR(INDEX(Ürünler!$H$5:$H$304,MATCH(C355,Ürünler!$A$5:$A$304,0)),0)&lt;0),"Stok eksiye düştü","")))</f>
        <v/>
      </c>
    </row>
    <row r="356" customFormat="false" ht="15" hidden="false" customHeight="false" outlineLevel="0" collapsed="false">
      <c r="A356" s="12"/>
      <c r="B356" s="13"/>
      <c r="C356" s="14"/>
      <c r="D356" s="15"/>
      <c r="E356" s="14"/>
      <c r="F356" s="16" t="str">
        <f aca="false">IF(OR(C356="",D356=""),"",IF(OR(A356="",B356=""),"Tarih ya da tür eksik",IF(AND(B356="Çıkış",IFERROR(INDEX(Ürünler!$H$5:$H$304,MATCH(C356,Ürünler!$A$5:$A$304,0)),0)&lt;0),"Stok eksiye düştü","")))</f>
        <v/>
      </c>
    </row>
    <row r="357" customFormat="false" ht="15" hidden="false" customHeight="false" outlineLevel="0" collapsed="false">
      <c r="A357" s="12"/>
      <c r="B357" s="13"/>
      <c r="C357" s="14"/>
      <c r="D357" s="15"/>
      <c r="E357" s="14"/>
      <c r="F357" s="16" t="str">
        <f aca="false">IF(OR(C357="",D357=""),"",IF(OR(A357="",B357=""),"Tarih ya da tür eksik",IF(AND(B357="Çıkış",IFERROR(INDEX(Ürünler!$H$5:$H$304,MATCH(C357,Ürünler!$A$5:$A$304,0)),0)&lt;0),"Stok eksiye düştü","")))</f>
        <v/>
      </c>
    </row>
    <row r="358" customFormat="false" ht="15" hidden="false" customHeight="false" outlineLevel="0" collapsed="false">
      <c r="A358" s="12"/>
      <c r="B358" s="13"/>
      <c r="C358" s="14"/>
      <c r="D358" s="15"/>
      <c r="E358" s="14"/>
      <c r="F358" s="16" t="str">
        <f aca="false">IF(OR(C358="",D358=""),"",IF(OR(A358="",B358=""),"Tarih ya da tür eksik",IF(AND(B358="Çıkış",IFERROR(INDEX(Ürünler!$H$5:$H$304,MATCH(C358,Ürünler!$A$5:$A$304,0)),0)&lt;0),"Stok eksiye düştü","")))</f>
        <v/>
      </c>
    </row>
    <row r="359" customFormat="false" ht="15" hidden="false" customHeight="false" outlineLevel="0" collapsed="false">
      <c r="A359" s="12"/>
      <c r="B359" s="13"/>
      <c r="C359" s="14"/>
      <c r="D359" s="15"/>
      <c r="E359" s="14"/>
      <c r="F359" s="16" t="str">
        <f aca="false">IF(OR(C359="",D359=""),"",IF(OR(A359="",B359=""),"Tarih ya da tür eksik",IF(AND(B359="Çıkış",IFERROR(INDEX(Ürünler!$H$5:$H$304,MATCH(C359,Ürünler!$A$5:$A$304,0)),0)&lt;0),"Stok eksiye düştü","")))</f>
        <v/>
      </c>
    </row>
    <row r="360" customFormat="false" ht="15" hidden="false" customHeight="false" outlineLevel="0" collapsed="false">
      <c r="A360" s="12"/>
      <c r="B360" s="13"/>
      <c r="C360" s="14"/>
      <c r="D360" s="15"/>
      <c r="E360" s="14"/>
      <c r="F360" s="16" t="str">
        <f aca="false">IF(OR(C360="",D360=""),"",IF(OR(A360="",B360=""),"Tarih ya da tür eksik",IF(AND(B360="Çıkış",IFERROR(INDEX(Ürünler!$H$5:$H$304,MATCH(C360,Ürünler!$A$5:$A$304,0)),0)&lt;0),"Stok eksiye düştü","")))</f>
        <v/>
      </c>
    </row>
    <row r="361" customFormat="false" ht="15" hidden="false" customHeight="false" outlineLevel="0" collapsed="false">
      <c r="A361" s="12"/>
      <c r="B361" s="13"/>
      <c r="C361" s="14"/>
      <c r="D361" s="15"/>
      <c r="E361" s="14"/>
      <c r="F361" s="16" t="str">
        <f aca="false">IF(OR(C361="",D361=""),"",IF(OR(A361="",B361=""),"Tarih ya da tür eksik",IF(AND(B361="Çıkış",IFERROR(INDEX(Ürünler!$H$5:$H$304,MATCH(C361,Ürünler!$A$5:$A$304,0)),0)&lt;0),"Stok eksiye düştü","")))</f>
        <v/>
      </c>
    </row>
    <row r="362" customFormat="false" ht="15" hidden="false" customHeight="false" outlineLevel="0" collapsed="false">
      <c r="A362" s="12"/>
      <c r="B362" s="13"/>
      <c r="C362" s="14"/>
      <c r="D362" s="15"/>
      <c r="E362" s="14"/>
      <c r="F362" s="16" t="str">
        <f aca="false">IF(OR(C362="",D362=""),"",IF(OR(A362="",B362=""),"Tarih ya da tür eksik",IF(AND(B362="Çıkış",IFERROR(INDEX(Ürünler!$H$5:$H$304,MATCH(C362,Ürünler!$A$5:$A$304,0)),0)&lt;0),"Stok eksiye düştü","")))</f>
        <v/>
      </c>
    </row>
    <row r="363" customFormat="false" ht="15" hidden="false" customHeight="false" outlineLevel="0" collapsed="false">
      <c r="A363" s="12"/>
      <c r="B363" s="13"/>
      <c r="C363" s="14"/>
      <c r="D363" s="15"/>
      <c r="E363" s="14"/>
      <c r="F363" s="16" t="str">
        <f aca="false">IF(OR(C363="",D363=""),"",IF(OR(A363="",B363=""),"Tarih ya da tür eksik",IF(AND(B363="Çıkış",IFERROR(INDEX(Ürünler!$H$5:$H$304,MATCH(C363,Ürünler!$A$5:$A$304,0)),0)&lt;0),"Stok eksiye düştü","")))</f>
        <v/>
      </c>
    </row>
    <row r="364" customFormat="false" ht="15" hidden="false" customHeight="false" outlineLevel="0" collapsed="false">
      <c r="A364" s="12"/>
      <c r="B364" s="13"/>
      <c r="C364" s="14"/>
      <c r="D364" s="15"/>
      <c r="E364" s="14"/>
      <c r="F364" s="16" t="str">
        <f aca="false">IF(OR(C364="",D364=""),"",IF(OR(A364="",B364=""),"Tarih ya da tür eksik",IF(AND(B364="Çıkış",IFERROR(INDEX(Ürünler!$H$5:$H$304,MATCH(C364,Ürünler!$A$5:$A$304,0)),0)&lt;0),"Stok eksiye düştü","")))</f>
        <v/>
      </c>
    </row>
    <row r="365" customFormat="false" ht="15" hidden="false" customHeight="false" outlineLevel="0" collapsed="false">
      <c r="A365" s="12"/>
      <c r="B365" s="13"/>
      <c r="C365" s="14"/>
      <c r="D365" s="15"/>
      <c r="E365" s="14"/>
      <c r="F365" s="16" t="str">
        <f aca="false">IF(OR(C365="",D365=""),"",IF(OR(A365="",B365=""),"Tarih ya da tür eksik",IF(AND(B365="Çıkış",IFERROR(INDEX(Ürünler!$H$5:$H$304,MATCH(C365,Ürünler!$A$5:$A$304,0)),0)&lt;0),"Stok eksiye düştü","")))</f>
        <v/>
      </c>
    </row>
    <row r="366" customFormat="false" ht="15" hidden="false" customHeight="false" outlineLevel="0" collapsed="false">
      <c r="A366" s="12"/>
      <c r="B366" s="13"/>
      <c r="C366" s="14"/>
      <c r="D366" s="15"/>
      <c r="E366" s="14"/>
      <c r="F366" s="16" t="str">
        <f aca="false">IF(OR(C366="",D366=""),"",IF(OR(A366="",B366=""),"Tarih ya da tür eksik",IF(AND(B366="Çıkış",IFERROR(INDEX(Ürünler!$H$5:$H$304,MATCH(C366,Ürünler!$A$5:$A$304,0)),0)&lt;0),"Stok eksiye düştü","")))</f>
        <v/>
      </c>
    </row>
    <row r="367" customFormat="false" ht="15" hidden="false" customHeight="false" outlineLevel="0" collapsed="false">
      <c r="A367" s="12"/>
      <c r="B367" s="13"/>
      <c r="C367" s="14"/>
      <c r="D367" s="15"/>
      <c r="E367" s="14"/>
      <c r="F367" s="16" t="str">
        <f aca="false">IF(OR(C367="",D367=""),"",IF(OR(A367="",B367=""),"Tarih ya da tür eksik",IF(AND(B367="Çıkış",IFERROR(INDEX(Ürünler!$H$5:$H$304,MATCH(C367,Ürünler!$A$5:$A$304,0)),0)&lt;0),"Stok eksiye düştü","")))</f>
        <v/>
      </c>
    </row>
    <row r="368" customFormat="false" ht="15" hidden="false" customHeight="false" outlineLevel="0" collapsed="false">
      <c r="A368" s="12"/>
      <c r="B368" s="13"/>
      <c r="C368" s="14"/>
      <c r="D368" s="15"/>
      <c r="E368" s="14"/>
      <c r="F368" s="16" t="str">
        <f aca="false">IF(OR(C368="",D368=""),"",IF(OR(A368="",B368=""),"Tarih ya da tür eksik",IF(AND(B368="Çıkış",IFERROR(INDEX(Ürünler!$H$5:$H$304,MATCH(C368,Ürünler!$A$5:$A$304,0)),0)&lt;0),"Stok eksiye düştü","")))</f>
        <v/>
      </c>
    </row>
    <row r="369" customFormat="false" ht="15" hidden="false" customHeight="false" outlineLevel="0" collapsed="false">
      <c r="A369" s="12"/>
      <c r="B369" s="13"/>
      <c r="C369" s="14"/>
      <c r="D369" s="15"/>
      <c r="E369" s="14"/>
      <c r="F369" s="16" t="str">
        <f aca="false">IF(OR(C369="",D369=""),"",IF(OR(A369="",B369=""),"Tarih ya da tür eksik",IF(AND(B369="Çıkış",IFERROR(INDEX(Ürünler!$H$5:$H$304,MATCH(C369,Ürünler!$A$5:$A$304,0)),0)&lt;0),"Stok eksiye düştü","")))</f>
        <v/>
      </c>
    </row>
    <row r="370" customFormat="false" ht="15" hidden="false" customHeight="false" outlineLevel="0" collapsed="false">
      <c r="A370" s="12"/>
      <c r="B370" s="13"/>
      <c r="C370" s="14"/>
      <c r="D370" s="15"/>
      <c r="E370" s="14"/>
      <c r="F370" s="16" t="str">
        <f aca="false">IF(OR(C370="",D370=""),"",IF(OR(A370="",B370=""),"Tarih ya da tür eksik",IF(AND(B370="Çıkış",IFERROR(INDEX(Ürünler!$H$5:$H$304,MATCH(C370,Ürünler!$A$5:$A$304,0)),0)&lt;0),"Stok eksiye düştü","")))</f>
        <v/>
      </c>
    </row>
    <row r="371" customFormat="false" ht="15" hidden="false" customHeight="false" outlineLevel="0" collapsed="false">
      <c r="A371" s="12"/>
      <c r="B371" s="13"/>
      <c r="C371" s="14"/>
      <c r="D371" s="15"/>
      <c r="E371" s="14"/>
      <c r="F371" s="16" t="str">
        <f aca="false">IF(OR(C371="",D371=""),"",IF(OR(A371="",B371=""),"Tarih ya da tür eksik",IF(AND(B371="Çıkış",IFERROR(INDEX(Ürünler!$H$5:$H$304,MATCH(C371,Ürünler!$A$5:$A$304,0)),0)&lt;0),"Stok eksiye düştü","")))</f>
        <v/>
      </c>
    </row>
    <row r="372" customFormat="false" ht="15" hidden="false" customHeight="false" outlineLevel="0" collapsed="false">
      <c r="A372" s="12"/>
      <c r="B372" s="13"/>
      <c r="C372" s="14"/>
      <c r="D372" s="15"/>
      <c r="E372" s="14"/>
      <c r="F372" s="16" t="str">
        <f aca="false">IF(OR(C372="",D372=""),"",IF(OR(A372="",B372=""),"Tarih ya da tür eksik",IF(AND(B372="Çıkış",IFERROR(INDEX(Ürünler!$H$5:$H$304,MATCH(C372,Ürünler!$A$5:$A$304,0)),0)&lt;0),"Stok eksiye düştü","")))</f>
        <v/>
      </c>
    </row>
    <row r="373" customFormat="false" ht="15" hidden="false" customHeight="false" outlineLevel="0" collapsed="false">
      <c r="A373" s="12"/>
      <c r="B373" s="13"/>
      <c r="C373" s="14"/>
      <c r="D373" s="15"/>
      <c r="E373" s="14"/>
      <c r="F373" s="16" t="str">
        <f aca="false">IF(OR(C373="",D373=""),"",IF(OR(A373="",B373=""),"Tarih ya da tür eksik",IF(AND(B373="Çıkış",IFERROR(INDEX(Ürünler!$H$5:$H$304,MATCH(C373,Ürünler!$A$5:$A$304,0)),0)&lt;0),"Stok eksiye düştü","")))</f>
        <v/>
      </c>
    </row>
    <row r="374" customFormat="false" ht="15" hidden="false" customHeight="false" outlineLevel="0" collapsed="false">
      <c r="A374" s="12"/>
      <c r="B374" s="13"/>
      <c r="C374" s="14"/>
      <c r="D374" s="15"/>
      <c r="E374" s="14"/>
      <c r="F374" s="16" t="str">
        <f aca="false">IF(OR(C374="",D374=""),"",IF(OR(A374="",B374=""),"Tarih ya da tür eksik",IF(AND(B374="Çıkış",IFERROR(INDEX(Ürünler!$H$5:$H$304,MATCH(C374,Ürünler!$A$5:$A$304,0)),0)&lt;0),"Stok eksiye düştü","")))</f>
        <v/>
      </c>
    </row>
    <row r="375" customFormat="false" ht="15" hidden="false" customHeight="false" outlineLevel="0" collapsed="false">
      <c r="A375" s="12"/>
      <c r="B375" s="13"/>
      <c r="C375" s="14"/>
      <c r="D375" s="15"/>
      <c r="E375" s="14"/>
      <c r="F375" s="16" t="str">
        <f aca="false">IF(OR(C375="",D375=""),"",IF(OR(A375="",B375=""),"Tarih ya da tür eksik",IF(AND(B375="Çıkış",IFERROR(INDEX(Ürünler!$H$5:$H$304,MATCH(C375,Ürünler!$A$5:$A$304,0)),0)&lt;0),"Stok eksiye düştü","")))</f>
        <v/>
      </c>
    </row>
    <row r="376" customFormat="false" ht="15" hidden="false" customHeight="false" outlineLevel="0" collapsed="false">
      <c r="A376" s="12"/>
      <c r="B376" s="13"/>
      <c r="C376" s="14"/>
      <c r="D376" s="15"/>
      <c r="E376" s="14"/>
      <c r="F376" s="16" t="str">
        <f aca="false">IF(OR(C376="",D376=""),"",IF(OR(A376="",B376=""),"Tarih ya da tür eksik",IF(AND(B376="Çıkış",IFERROR(INDEX(Ürünler!$H$5:$H$304,MATCH(C376,Ürünler!$A$5:$A$304,0)),0)&lt;0),"Stok eksiye düştü","")))</f>
        <v/>
      </c>
    </row>
    <row r="377" customFormat="false" ht="15" hidden="false" customHeight="false" outlineLevel="0" collapsed="false">
      <c r="A377" s="12"/>
      <c r="B377" s="13"/>
      <c r="C377" s="14"/>
      <c r="D377" s="15"/>
      <c r="E377" s="14"/>
      <c r="F377" s="16" t="str">
        <f aca="false">IF(OR(C377="",D377=""),"",IF(OR(A377="",B377=""),"Tarih ya da tür eksik",IF(AND(B377="Çıkış",IFERROR(INDEX(Ürünler!$H$5:$H$304,MATCH(C377,Ürünler!$A$5:$A$304,0)),0)&lt;0),"Stok eksiye düştü","")))</f>
        <v/>
      </c>
    </row>
    <row r="378" customFormat="false" ht="15" hidden="false" customHeight="false" outlineLevel="0" collapsed="false">
      <c r="A378" s="12"/>
      <c r="B378" s="13"/>
      <c r="C378" s="14"/>
      <c r="D378" s="15"/>
      <c r="E378" s="14"/>
      <c r="F378" s="16" t="str">
        <f aca="false">IF(OR(C378="",D378=""),"",IF(OR(A378="",B378=""),"Tarih ya da tür eksik",IF(AND(B378="Çıkış",IFERROR(INDEX(Ürünler!$H$5:$H$304,MATCH(C378,Ürünler!$A$5:$A$304,0)),0)&lt;0),"Stok eksiye düştü","")))</f>
        <v/>
      </c>
    </row>
    <row r="379" customFormat="false" ht="15" hidden="false" customHeight="false" outlineLevel="0" collapsed="false">
      <c r="A379" s="12"/>
      <c r="B379" s="13"/>
      <c r="C379" s="14"/>
      <c r="D379" s="15"/>
      <c r="E379" s="14"/>
      <c r="F379" s="16" t="str">
        <f aca="false">IF(OR(C379="",D379=""),"",IF(OR(A379="",B379=""),"Tarih ya da tür eksik",IF(AND(B379="Çıkış",IFERROR(INDEX(Ürünler!$H$5:$H$304,MATCH(C379,Ürünler!$A$5:$A$304,0)),0)&lt;0),"Stok eksiye düştü","")))</f>
        <v/>
      </c>
    </row>
    <row r="380" customFormat="false" ht="15" hidden="false" customHeight="false" outlineLevel="0" collapsed="false">
      <c r="A380" s="12"/>
      <c r="B380" s="13"/>
      <c r="C380" s="14"/>
      <c r="D380" s="15"/>
      <c r="E380" s="14"/>
      <c r="F380" s="16" t="str">
        <f aca="false">IF(OR(C380="",D380=""),"",IF(OR(A380="",B380=""),"Tarih ya da tür eksik",IF(AND(B380="Çıkış",IFERROR(INDEX(Ürünler!$H$5:$H$304,MATCH(C380,Ürünler!$A$5:$A$304,0)),0)&lt;0),"Stok eksiye düştü","")))</f>
        <v/>
      </c>
    </row>
    <row r="381" customFormat="false" ht="15" hidden="false" customHeight="false" outlineLevel="0" collapsed="false">
      <c r="A381" s="12"/>
      <c r="B381" s="13"/>
      <c r="C381" s="14"/>
      <c r="D381" s="15"/>
      <c r="E381" s="14"/>
      <c r="F381" s="16" t="str">
        <f aca="false">IF(OR(C381="",D381=""),"",IF(OR(A381="",B381=""),"Tarih ya da tür eksik",IF(AND(B381="Çıkış",IFERROR(INDEX(Ürünler!$H$5:$H$304,MATCH(C381,Ürünler!$A$5:$A$304,0)),0)&lt;0),"Stok eksiye düştü","")))</f>
        <v/>
      </c>
    </row>
    <row r="382" customFormat="false" ht="15" hidden="false" customHeight="false" outlineLevel="0" collapsed="false">
      <c r="A382" s="12"/>
      <c r="B382" s="13"/>
      <c r="C382" s="14"/>
      <c r="D382" s="15"/>
      <c r="E382" s="14"/>
      <c r="F382" s="16" t="str">
        <f aca="false">IF(OR(C382="",D382=""),"",IF(OR(A382="",B382=""),"Tarih ya da tür eksik",IF(AND(B382="Çıkış",IFERROR(INDEX(Ürünler!$H$5:$H$304,MATCH(C382,Ürünler!$A$5:$A$304,0)),0)&lt;0),"Stok eksiye düştü","")))</f>
        <v/>
      </c>
    </row>
    <row r="383" customFormat="false" ht="15" hidden="false" customHeight="false" outlineLevel="0" collapsed="false">
      <c r="A383" s="12"/>
      <c r="B383" s="13"/>
      <c r="C383" s="14"/>
      <c r="D383" s="15"/>
      <c r="E383" s="14"/>
      <c r="F383" s="16" t="str">
        <f aca="false">IF(OR(C383="",D383=""),"",IF(OR(A383="",B383=""),"Tarih ya da tür eksik",IF(AND(B383="Çıkış",IFERROR(INDEX(Ürünler!$H$5:$H$304,MATCH(C383,Ürünler!$A$5:$A$304,0)),0)&lt;0),"Stok eksiye düştü","")))</f>
        <v/>
      </c>
    </row>
    <row r="384" customFormat="false" ht="15" hidden="false" customHeight="false" outlineLevel="0" collapsed="false">
      <c r="A384" s="12"/>
      <c r="B384" s="13"/>
      <c r="C384" s="14"/>
      <c r="D384" s="15"/>
      <c r="E384" s="14"/>
      <c r="F384" s="16" t="str">
        <f aca="false">IF(OR(C384="",D384=""),"",IF(OR(A384="",B384=""),"Tarih ya da tür eksik",IF(AND(B384="Çıkış",IFERROR(INDEX(Ürünler!$H$5:$H$304,MATCH(C384,Ürünler!$A$5:$A$304,0)),0)&lt;0),"Stok eksiye düştü","")))</f>
        <v/>
      </c>
    </row>
    <row r="385" customFormat="false" ht="15" hidden="false" customHeight="false" outlineLevel="0" collapsed="false">
      <c r="A385" s="12"/>
      <c r="B385" s="13"/>
      <c r="C385" s="14"/>
      <c r="D385" s="15"/>
      <c r="E385" s="14"/>
      <c r="F385" s="16" t="str">
        <f aca="false">IF(OR(C385="",D385=""),"",IF(OR(A385="",B385=""),"Tarih ya da tür eksik",IF(AND(B385="Çıkış",IFERROR(INDEX(Ürünler!$H$5:$H$304,MATCH(C385,Ürünler!$A$5:$A$304,0)),0)&lt;0),"Stok eksiye düştü","")))</f>
        <v/>
      </c>
    </row>
    <row r="386" customFormat="false" ht="15" hidden="false" customHeight="false" outlineLevel="0" collapsed="false">
      <c r="A386" s="12"/>
      <c r="B386" s="13"/>
      <c r="C386" s="14"/>
      <c r="D386" s="15"/>
      <c r="E386" s="14"/>
      <c r="F386" s="16" t="str">
        <f aca="false">IF(OR(C386="",D386=""),"",IF(OR(A386="",B386=""),"Tarih ya da tür eksik",IF(AND(B386="Çıkış",IFERROR(INDEX(Ürünler!$H$5:$H$304,MATCH(C386,Ürünler!$A$5:$A$304,0)),0)&lt;0),"Stok eksiye düştü","")))</f>
        <v/>
      </c>
    </row>
    <row r="387" customFormat="false" ht="15" hidden="false" customHeight="false" outlineLevel="0" collapsed="false">
      <c r="A387" s="12"/>
      <c r="B387" s="13"/>
      <c r="C387" s="14"/>
      <c r="D387" s="15"/>
      <c r="E387" s="14"/>
      <c r="F387" s="16" t="str">
        <f aca="false">IF(OR(C387="",D387=""),"",IF(OR(A387="",B387=""),"Tarih ya da tür eksik",IF(AND(B387="Çıkış",IFERROR(INDEX(Ürünler!$H$5:$H$304,MATCH(C387,Ürünler!$A$5:$A$304,0)),0)&lt;0),"Stok eksiye düştü","")))</f>
        <v/>
      </c>
    </row>
    <row r="388" customFormat="false" ht="15" hidden="false" customHeight="false" outlineLevel="0" collapsed="false">
      <c r="A388" s="12"/>
      <c r="B388" s="13"/>
      <c r="C388" s="14"/>
      <c r="D388" s="15"/>
      <c r="E388" s="14"/>
      <c r="F388" s="16" t="str">
        <f aca="false">IF(OR(C388="",D388=""),"",IF(OR(A388="",B388=""),"Tarih ya da tür eksik",IF(AND(B388="Çıkış",IFERROR(INDEX(Ürünler!$H$5:$H$304,MATCH(C388,Ürünler!$A$5:$A$304,0)),0)&lt;0),"Stok eksiye düştü","")))</f>
        <v/>
      </c>
    </row>
    <row r="389" customFormat="false" ht="15" hidden="false" customHeight="false" outlineLevel="0" collapsed="false">
      <c r="A389" s="12"/>
      <c r="B389" s="13"/>
      <c r="C389" s="14"/>
      <c r="D389" s="15"/>
      <c r="E389" s="14"/>
      <c r="F389" s="16" t="str">
        <f aca="false">IF(OR(C389="",D389=""),"",IF(OR(A389="",B389=""),"Tarih ya da tür eksik",IF(AND(B389="Çıkış",IFERROR(INDEX(Ürünler!$H$5:$H$304,MATCH(C389,Ürünler!$A$5:$A$304,0)),0)&lt;0),"Stok eksiye düştü","")))</f>
        <v/>
      </c>
    </row>
    <row r="390" customFormat="false" ht="15" hidden="false" customHeight="false" outlineLevel="0" collapsed="false">
      <c r="A390" s="12"/>
      <c r="B390" s="13"/>
      <c r="C390" s="14"/>
      <c r="D390" s="15"/>
      <c r="E390" s="14"/>
      <c r="F390" s="16" t="str">
        <f aca="false">IF(OR(C390="",D390=""),"",IF(OR(A390="",B390=""),"Tarih ya da tür eksik",IF(AND(B390="Çıkış",IFERROR(INDEX(Ürünler!$H$5:$H$304,MATCH(C390,Ürünler!$A$5:$A$304,0)),0)&lt;0),"Stok eksiye düştü","")))</f>
        <v/>
      </c>
    </row>
    <row r="391" customFormat="false" ht="15" hidden="false" customHeight="false" outlineLevel="0" collapsed="false">
      <c r="A391" s="12"/>
      <c r="B391" s="13"/>
      <c r="C391" s="14"/>
      <c r="D391" s="15"/>
      <c r="E391" s="14"/>
      <c r="F391" s="16" t="str">
        <f aca="false">IF(OR(C391="",D391=""),"",IF(OR(A391="",B391=""),"Tarih ya da tür eksik",IF(AND(B391="Çıkış",IFERROR(INDEX(Ürünler!$H$5:$H$304,MATCH(C391,Ürünler!$A$5:$A$304,0)),0)&lt;0),"Stok eksiye düştü","")))</f>
        <v/>
      </c>
    </row>
    <row r="392" customFormat="false" ht="15" hidden="false" customHeight="false" outlineLevel="0" collapsed="false">
      <c r="A392" s="12"/>
      <c r="B392" s="13"/>
      <c r="C392" s="14"/>
      <c r="D392" s="15"/>
      <c r="E392" s="14"/>
      <c r="F392" s="16" t="str">
        <f aca="false">IF(OR(C392="",D392=""),"",IF(OR(A392="",B392=""),"Tarih ya da tür eksik",IF(AND(B392="Çıkış",IFERROR(INDEX(Ürünler!$H$5:$H$304,MATCH(C392,Ürünler!$A$5:$A$304,0)),0)&lt;0),"Stok eksiye düştü","")))</f>
        <v/>
      </c>
    </row>
    <row r="393" customFormat="false" ht="15" hidden="false" customHeight="false" outlineLevel="0" collapsed="false">
      <c r="A393" s="12"/>
      <c r="B393" s="13"/>
      <c r="C393" s="14"/>
      <c r="D393" s="15"/>
      <c r="E393" s="14"/>
      <c r="F393" s="16" t="str">
        <f aca="false">IF(OR(C393="",D393=""),"",IF(OR(A393="",B393=""),"Tarih ya da tür eksik",IF(AND(B393="Çıkış",IFERROR(INDEX(Ürünler!$H$5:$H$304,MATCH(C393,Ürünler!$A$5:$A$304,0)),0)&lt;0),"Stok eksiye düştü","")))</f>
        <v/>
      </c>
    </row>
    <row r="394" customFormat="false" ht="15" hidden="false" customHeight="false" outlineLevel="0" collapsed="false">
      <c r="A394" s="12"/>
      <c r="B394" s="13"/>
      <c r="C394" s="14"/>
      <c r="D394" s="15"/>
      <c r="E394" s="14"/>
      <c r="F394" s="16" t="str">
        <f aca="false">IF(OR(C394="",D394=""),"",IF(OR(A394="",B394=""),"Tarih ya da tür eksik",IF(AND(B394="Çıkış",IFERROR(INDEX(Ürünler!$H$5:$H$304,MATCH(C394,Ürünler!$A$5:$A$304,0)),0)&lt;0),"Stok eksiye düştü","")))</f>
        <v/>
      </c>
    </row>
    <row r="395" customFormat="false" ht="15" hidden="false" customHeight="false" outlineLevel="0" collapsed="false">
      <c r="A395" s="12"/>
      <c r="B395" s="13"/>
      <c r="C395" s="14"/>
      <c r="D395" s="15"/>
      <c r="E395" s="14"/>
      <c r="F395" s="16" t="str">
        <f aca="false">IF(OR(C395="",D395=""),"",IF(OR(A395="",B395=""),"Tarih ya da tür eksik",IF(AND(B395="Çıkış",IFERROR(INDEX(Ürünler!$H$5:$H$304,MATCH(C395,Ürünler!$A$5:$A$304,0)),0)&lt;0),"Stok eksiye düştü","")))</f>
        <v/>
      </c>
    </row>
    <row r="396" customFormat="false" ht="15" hidden="false" customHeight="false" outlineLevel="0" collapsed="false">
      <c r="A396" s="12"/>
      <c r="B396" s="13"/>
      <c r="C396" s="14"/>
      <c r="D396" s="15"/>
      <c r="E396" s="14"/>
      <c r="F396" s="16" t="str">
        <f aca="false">IF(OR(C396="",D396=""),"",IF(OR(A396="",B396=""),"Tarih ya da tür eksik",IF(AND(B396="Çıkış",IFERROR(INDEX(Ürünler!$H$5:$H$304,MATCH(C396,Ürünler!$A$5:$A$304,0)),0)&lt;0),"Stok eksiye düştü","")))</f>
        <v/>
      </c>
    </row>
    <row r="397" customFormat="false" ht="15" hidden="false" customHeight="false" outlineLevel="0" collapsed="false">
      <c r="A397" s="12"/>
      <c r="B397" s="13"/>
      <c r="C397" s="14"/>
      <c r="D397" s="15"/>
      <c r="E397" s="14"/>
      <c r="F397" s="16" t="str">
        <f aca="false">IF(OR(C397="",D397=""),"",IF(OR(A397="",B397=""),"Tarih ya da tür eksik",IF(AND(B397="Çıkış",IFERROR(INDEX(Ürünler!$H$5:$H$304,MATCH(C397,Ürünler!$A$5:$A$304,0)),0)&lt;0),"Stok eksiye düştü","")))</f>
        <v/>
      </c>
    </row>
    <row r="398" customFormat="false" ht="15" hidden="false" customHeight="false" outlineLevel="0" collapsed="false">
      <c r="A398" s="12"/>
      <c r="B398" s="13"/>
      <c r="C398" s="14"/>
      <c r="D398" s="15"/>
      <c r="E398" s="14"/>
      <c r="F398" s="16" t="str">
        <f aca="false">IF(OR(C398="",D398=""),"",IF(OR(A398="",B398=""),"Tarih ya da tür eksik",IF(AND(B398="Çıkış",IFERROR(INDEX(Ürünler!$H$5:$H$304,MATCH(C398,Ürünler!$A$5:$A$304,0)),0)&lt;0),"Stok eksiye düştü","")))</f>
        <v/>
      </c>
    </row>
    <row r="399" customFormat="false" ht="15" hidden="false" customHeight="false" outlineLevel="0" collapsed="false">
      <c r="A399" s="12"/>
      <c r="B399" s="13"/>
      <c r="C399" s="14"/>
      <c r="D399" s="15"/>
      <c r="E399" s="14"/>
      <c r="F399" s="16" t="str">
        <f aca="false">IF(OR(C399="",D399=""),"",IF(OR(A399="",B399=""),"Tarih ya da tür eksik",IF(AND(B399="Çıkış",IFERROR(INDEX(Ürünler!$H$5:$H$304,MATCH(C399,Ürünler!$A$5:$A$304,0)),0)&lt;0),"Stok eksiye düştü","")))</f>
        <v/>
      </c>
    </row>
    <row r="400" customFormat="false" ht="15" hidden="false" customHeight="false" outlineLevel="0" collapsed="false">
      <c r="A400" s="12"/>
      <c r="B400" s="13"/>
      <c r="C400" s="14"/>
      <c r="D400" s="15"/>
      <c r="E400" s="14"/>
      <c r="F400" s="16" t="str">
        <f aca="false">IF(OR(C400="",D400=""),"",IF(OR(A400="",B400=""),"Tarih ya da tür eksik",IF(AND(B400="Çıkış",IFERROR(INDEX(Ürünler!$H$5:$H$304,MATCH(C400,Ürünler!$A$5:$A$304,0)),0)&lt;0),"Stok eksiye düştü","")))</f>
        <v/>
      </c>
    </row>
    <row r="401" customFormat="false" ht="15" hidden="false" customHeight="false" outlineLevel="0" collapsed="false">
      <c r="A401" s="12"/>
      <c r="B401" s="13"/>
      <c r="C401" s="14"/>
      <c r="D401" s="15"/>
      <c r="E401" s="14"/>
      <c r="F401" s="16" t="str">
        <f aca="false">IF(OR(C401="",D401=""),"",IF(OR(A401="",B401=""),"Tarih ya da tür eksik",IF(AND(B401="Çıkış",IFERROR(INDEX(Ürünler!$H$5:$H$304,MATCH(C401,Ürünler!$A$5:$A$304,0)),0)&lt;0),"Stok eksiye düştü","")))</f>
        <v/>
      </c>
    </row>
    <row r="402" customFormat="false" ht="15" hidden="false" customHeight="false" outlineLevel="0" collapsed="false">
      <c r="A402" s="12"/>
      <c r="B402" s="13"/>
      <c r="C402" s="14"/>
      <c r="D402" s="15"/>
      <c r="E402" s="14"/>
      <c r="F402" s="16" t="str">
        <f aca="false">IF(OR(C402="",D402=""),"",IF(OR(A402="",B402=""),"Tarih ya da tür eksik",IF(AND(B402="Çıkış",IFERROR(INDEX(Ürünler!$H$5:$H$304,MATCH(C402,Ürünler!$A$5:$A$304,0)),0)&lt;0),"Stok eksiye düştü","")))</f>
        <v/>
      </c>
    </row>
    <row r="403" customFormat="false" ht="15" hidden="false" customHeight="false" outlineLevel="0" collapsed="false">
      <c r="A403" s="12"/>
      <c r="B403" s="13"/>
      <c r="C403" s="14"/>
      <c r="D403" s="15"/>
      <c r="E403" s="14"/>
      <c r="F403" s="16" t="str">
        <f aca="false">IF(OR(C403="",D403=""),"",IF(OR(A403="",B403=""),"Tarih ya da tür eksik",IF(AND(B403="Çıkış",IFERROR(INDEX(Ürünler!$H$5:$H$304,MATCH(C403,Ürünler!$A$5:$A$304,0)),0)&lt;0),"Stok eksiye düştü","")))</f>
        <v/>
      </c>
    </row>
    <row r="404" customFormat="false" ht="15" hidden="false" customHeight="false" outlineLevel="0" collapsed="false">
      <c r="A404" s="12"/>
      <c r="B404" s="13"/>
      <c r="C404" s="14"/>
      <c r="D404" s="15"/>
      <c r="E404" s="14"/>
      <c r="F404" s="16" t="str">
        <f aca="false">IF(OR(C404="",D404=""),"",IF(OR(A404="",B404=""),"Tarih ya da tür eksik",IF(AND(B404="Çıkış",IFERROR(INDEX(Ürünler!$H$5:$H$304,MATCH(C404,Ürünler!$A$5:$A$304,0)),0)&lt;0),"Stok eksiye düştü","")))</f>
        <v/>
      </c>
    </row>
    <row r="405" customFormat="false" ht="15" hidden="false" customHeight="false" outlineLevel="0" collapsed="false">
      <c r="A405" s="12"/>
      <c r="B405" s="13"/>
      <c r="C405" s="14"/>
      <c r="D405" s="15"/>
      <c r="E405" s="14"/>
      <c r="F405" s="16" t="str">
        <f aca="false">IF(OR(C405="",D405=""),"",IF(OR(A405="",B405=""),"Tarih ya da tür eksik",IF(AND(B405="Çıkış",IFERROR(INDEX(Ürünler!$H$5:$H$304,MATCH(C405,Ürünler!$A$5:$A$304,0)),0)&lt;0),"Stok eksiye düştü","")))</f>
        <v/>
      </c>
    </row>
    <row r="406" customFormat="false" ht="15" hidden="false" customHeight="false" outlineLevel="0" collapsed="false">
      <c r="A406" s="12"/>
      <c r="B406" s="13"/>
      <c r="C406" s="14"/>
      <c r="D406" s="15"/>
      <c r="E406" s="14"/>
      <c r="F406" s="16" t="str">
        <f aca="false">IF(OR(C406="",D406=""),"",IF(OR(A406="",B406=""),"Tarih ya da tür eksik",IF(AND(B406="Çıkış",IFERROR(INDEX(Ürünler!$H$5:$H$304,MATCH(C406,Ürünler!$A$5:$A$304,0)),0)&lt;0),"Stok eksiye düştü","")))</f>
        <v/>
      </c>
    </row>
    <row r="407" customFormat="false" ht="15" hidden="false" customHeight="false" outlineLevel="0" collapsed="false">
      <c r="A407" s="12"/>
      <c r="B407" s="13"/>
      <c r="C407" s="14"/>
      <c r="D407" s="15"/>
      <c r="E407" s="14"/>
      <c r="F407" s="16" t="str">
        <f aca="false">IF(OR(C407="",D407=""),"",IF(OR(A407="",B407=""),"Tarih ya da tür eksik",IF(AND(B407="Çıkış",IFERROR(INDEX(Ürünler!$H$5:$H$304,MATCH(C407,Ürünler!$A$5:$A$304,0)),0)&lt;0),"Stok eksiye düştü","")))</f>
        <v/>
      </c>
    </row>
    <row r="408" customFormat="false" ht="15" hidden="false" customHeight="false" outlineLevel="0" collapsed="false">
      <c r="A408" s="12"/>
      <c r="B408" s="13"/>
      <c r="C408" s="14"/>
      <c r="D408" s="15"/>
      <c r="E408" s="14"/>
      <c r="F408" s="16" t="str">
        <f aca="false">IF(OR(C408="",D408=""),"",IF(OR(A408="",B408=""),"Tarih ya da tür eksik",IF(AND(B408="Çıkış",IFERROR(INDEX(Ürünler!$H$5:$H$304,MATCH(C408,Ürünler!$A$5:$A$304,0)),0)&lt;0),"Stok eksiye düştü","")))</f>
        <v/>
      </c>
    </row>
    <row r="409" customFormat="false" ht="15" hidden="false" customHeight="false" outlineLevel="0" collapsed="false">
      <c r="A409" s="12"/>
      <c r="B409" s="13"/>
      <c r="C409" s="14"/>
      <c r="D409" s="15"/>
      <c r="E409" s="14"/>
      <c r="F409" s="16" t="str">
        <f aca="false">IF(OR(C409="",D409=""),"",IF(OR(A409="",B409=""),"Tarih ya da tür eksik",IF(AND(B409="Çıkış",IFERROR(INDEX(Ürünler!$H$5:$H$304,MATCH(C409,Ürünler!$A$5:$A$304,0)),0)&lt;0),"Stok eksiye düştü","")))</f>
        <v/>
      </c>
    </row>
    <row r="410" customFormat="false" ht="15" hidden="false" customHeight="false" outlineLevel="0" collapsed="false">
      <c r="A410" s="12"/>
      <c r="B410" s="13"/>
      <c r="C410" s="14"/>
      <c r="D410" s="15"/>
      <c r="E410" s="14"/>
      <c r="F410" s="16" t="str">
        <f aca="false">IF(OR(C410="",D410=""),"",IF(OR(A410="",B410=""),"Tarih ya da tür eksik",IF(AND(B410="Çıkış",IFERROR(INDEX(Ürünler!$H$5:$H$304,MATCH(C410,Ürünler!$A$5:$A$304,0)),0)&lt;0),"Stok eksiye düştü","")))</f>
        <v/>
      </c>
    </row>
    <row r="411" customFormat="false" ht="15" hidden="false" customHeight="false" outlineLevel="0" collapsed="false">
      <c r="A411" s="12"/>
      <c r="B411" s="13"/>
      <c r="C411" s="14"/>
      <c r="D411" s="15"/>
      <c r="E411" s="14"/>
      <c r="F411" s="16" t="str">
        <f aca="false">IF(OR(C411="",D411=""),"",IF(OR(A411="",B411=""),"Tarih ya da tür eksik",IF(AND(B411="Çıkış",IFERROR(INDEX(Ürünler!$H$5:$H$304,MATCH(C411,Ürünler!$A$5:$A$304,0)),0)&lt;0),"Stok eksiye düştü","")))</f>
        <v/>
      </c>
    </row>
    <row r="412" customFormat="false" ht="15" hidden="false" customHeight="false" outlineLevel="0" collapsed="false">
      <c r="A412" s="12"/>
      <c r="B412" s="13"/>
      <c r="C412" s="14"/>
      <c r="D412" s="15"/>
      <c r="E412" s="14"/>
      <c r="F412" s="16" t="str">
        <f aca="false">IF(OR(C412="",D412=""),"",IF(OR(A412="",B412=""),"Tarih ya da tür eksik",IF(AND(B412="Çıkış",IFERROR(INDEX(Ürünler!$H$5:$H$304,MATCH(C412,Ürünler!$A$5:$A$304,0)),0)&lt;0),"Stok eksiye düştü","")))</f>
        <v/>
      </c>
    </row>
    <row r="413" customFormat="false" ht="15" hidden="false" customHeight="false" outlineLevel="0" collapsed="false">
      <c r="A413" s="12"/>
      <c r="B413" s="13"/>
      <c r="C413" s="14"/>
      <c r="D413" s="15"/>
      <c r="E413" s="14"/>
      <c r="F413" s="16" t="str">
        <f aca="false">IF(OR(C413="",D413=""),"",IF(OR(A413="",B413=""),"Tarih ya da tür eksik",IF(AND(B413="Çıkış",IFERROR(INDEX(Ürünler!$H$5:$H$304,MATCH(C413,Ürünler!$A$5:$A$304,0)),0)&lt;0),"Stok eksiye düştü","")))</f>
        <v/>
      </c>
    </row>
    <row r="414" customFormat="false" ht="15" hidden="false" customHeight="false" outlineLevel="0" collapsed="false">
      <c r="A414" s="12"/>
      <c r="B414" s="13"/>
      <c r="C414" s="14"/>
      <c r="D414" s="15"/>
      <c r="E414" s="14"/>
      <c r="F414" s="16" t="str">
        <f aca="false">IF(OR(C414="",D414=""),"",IF(OR(A414="",B414=""),"Tarih ya da tür eksik",IF(AND(B414="Çıkış",IFERROR(INDEX(Ürünler!$H$5:$H$304,MATCH(C414,Ürünler!$A$5:$A$304,0)),0)&lt;0),"Stok eksiye düştü","")))</f>
        <v/>
      </c>
    </row>
    <row r="415" customFormat="false" ht="15" hidden="false" customHeight="false" outlineLevel="0" collapsed="false">
      <c r="A415" s="12"/>
      <c r="B415" s="13"/>
      <c r="C415" s="14"/>
      <c r="D415" s="15"/>
      <c r="E415" s="14"/>
      <c r="F415" s="16" t="str">
        <f aca="false">IF(OR(C415="",D415=""),"",IF(OR(A415="",B415=""),"Tarih ya da tür eksik",IF(AND(B415="Çıkış",IFERROR(INDEX(Ürünler!$H$5:$H$304,MATCH(C415,Ürünler!$A$5:$A$304,0)),0)&lt;0),"Stok eksiye düştü","")))</f>
        <v/>
      </c>
    </row>
    <row r="416" customFormat="false" ht="15" hidden="false" customHeight="false" outlineLevel="0" collapsed="false">
      <c r="A416" s="12"/>
      <c r="B416" s="13"/>
      <c r="C416" s="14"/>
      <c r="D416" s="15"/>
      <c r="E416" s="14"/>
      <c r="F416" s="16" t="str">
        <f aca="false">IF(OR(C416="",D416=""),"",IF(OR(A416="",B416=""),"Tarih ya da tür eksik",IF(AND(B416="Çıkış",IFERROR(INDEX(Ürünler!$H$5:$H$304,MATCH(C416,Ürünler!$A$5:$A$304,0)),0)&lt;0),"Stok eksiye düştü","")))</f>
        <v/>
      </c>
    </row>
    <row r="417" customFormat="false" ht="15" hidden="false" customHeight="false" outlineLevel="0" collapsed="false">
      <c r="A417" s="12"/>
      <c r="B417" s="13"/>
      <c r="C417" s="14"/>
      <c r="D417" s="15"/>
      <c r="E417" s="14"/>
      <c r="F417" s="16" t="str">
        <f aca="false">IF(OR(C417="",D417=""),"",IF(OR(A417="",B417=""),"Tarih ya da tür eksik",IF(AND(B417="Çıkış",IFERROR(INDEX(Ürünler!$H$5:$H$304,MATCH(C417,Ürünler!$A$5:$A$304,0)),0)&lt;0),"Stok eksiye düştü","")))</f>
        <v/>
      </c>
    </row>
    <row r="418" customFormat="false" ht="15" hidden="false" customHeight="false" outlineLevel="0" collapsed="false">
      <c r="A418" s="12"/>
      <c r="B418" s="13"/>
      <c r="C418" s="14"/>
      <c r="D418" s="15"/>
      <c r="E418" s="14"/>
      <c r="F418" s="16" t="str">
        <f aca="false">IF(OR(C418="",D418=""),"",IF(OR(A418="",B418=""),"Tarih ya da tür eksik",IF(AND(B418="Çıkış",IFERROR(INDEX(Ürünler!$H$5:$H$304,MATCH(C418,Ürünler!$A$5:$A$304,0)),0)&lt;0),"Stok eksiye düştü","")))</f>
        <v/>
      </c>
    </row>
    <row r="419" customFormat="false" ht="15" hidden="false" customHeight="false" outlineLevel="0" collapsed="false">
      <c r="A419" s="12"/>
      <c r="B419" s="13"/>
      <c r="C419" s="14"/>
      <c r="D419" s="15"/>
      <c r="E419" s="14"/>
      <c r="F419" s="16" t="str">
        <f aca="false">IF(OR(C419="",D419=""),"",IF(OR(A419="",B419=""),"Tarih ya da tür eksik",IF(AND(B419="Çıkış",IFERROR(INDEX(Ürünler!$H$5:$H$304,MATCH(C419,Ürünler!$A$5:$A$304,0)),0)&lt;0),"Stok eksiye düştü","")))</f>
        <v/>
      </c>
    </row>
    <row r="420" customFormat="false" ht="15" hidden="false" customHeight="false" outlineLevel="0" collapsed="false">
      <c r="A420" s="12"/>
      <c r="B420" s="13"/>
      <c r="C420" s="14"/>
      <c r="D420" s="15"/>
      <c r="E420" s="14"/>
      <c r="F420" s="16" t="str">
        <f aca="false">IF(OR(C420="",D420=""),"",IF(OR(A420="",B420=""),"Tarih ya da tür eksik",IF(AND(B420="Çıkış",IFERROR(INDEX(Ürünler!$H$5:$H$304,MATCH(C420,Ürünler!$A$5:$A$304,0)),0)&lt;0),"Stok eksiye düştü","")))</f>
        <v/>
      </c>
    </row>
    <row r="421" customFormat="false" ht="15" hidden="false" customHeight="false" outlineLevel="0" collapsed="false">
      <c r="A421" s="12"/>
      <c r="B421" s="13"/>
      <c r="C421" s="14"/>
      <c r="D421" s="15"/>
      <c r="E421" s="14"/>
      <c r="F421" s="16" t="str">
        <f aca="false">IF(OR(C421="",D421=""),"",IF(OR(A421="",B421=""),"Tarih ya da tür eksik",IF(AND(B421="Çıkış",IFERROR(INDEX(Ürünler!$H$5:$H$304,MATCH(C421,Ürünler!$A$5:$A$304,0)),0)&lt;0),"Stok eksiye düştü","")))</f>
        <v/>
      </c>
    </row>
    <row r="422" customFormat="false" ht="15" hidden="false" customHeight="false" outlineLevel="0" collapsed="false">
      <c r="A422" s="12"/>
      <c r="B422" s="13"/>
      <c r="C422" s="14"/>
      <c r="D422" s="15"/>
      <c r="E422" s="14"/>
      <c r="F422" s="16" t="str">
        <f aca="false">IF(OR(C422="",D422=""),"",IF(OR(A422="",B422=""),"Tarih ya da tür eksik",IF(AND(B422="Çıkış",IFERROR(INDEX(Ürünler!$H$5:$H$304,MATCH(C422,Ürünler!$A$5:$A$304,0)),0)&lt;0),"Stok eksiye düştü","")))</f>
        <v/>
      </c>
    </row>
    <row r="423" customFormat="false" ht="15" hidden="false" customHeight="false" outlineLevel="0" collapsed="false">
      <c r="A423" s="12"/>
      <c r="B423" s="13"/>
      <c r="C423" s="14"/>
      <c r="D423" s="15"/>
      <c r="E423" s="14"/>
      <c r="F423" s="16" t="str">
        <f aca="false">IF(OR(C423="",D423=""),"",IF(OR(A423="",B423=""),"Tarih ya da tür eksik",IF(AND(B423="Çıkış",IFERROR(INDEX(Ürünler!$H$5:$H$304,MATCH(C423,Ürünler!$A$5:$A$304,0)),0)&lt;0),"Stok eksiye düştü","")))</f>
        <v/>
      </c>
    </row>
    <row r="424" customFormat="false" ht="15" hidden="false" customHeight="false" outlineLevel="0" collapsed="false">
      <c r="A424" s="12"/>
      <c r="B424" s="13"/>
      <c r="C424" s="14"/>
      <c r="D424" s="15"/>
      <c r="E424" s="14"/>
      <c r="F424" s="16" t="str">
        <f aca="false">IF(OR(C424="",D424=""),"",IF(OR(A424="",B424=""),"Tarih ya da tür eksik",IF(AND(B424="Çıkış",IFERROR(INDEX(Ürünler!$H$5:$H$304,MATCH(C424,Ürünler!$A$5:$A$304,0)),0)&lt;0),"Stok eksiye düştü","")))</f>
        <v/>
      </c>
    </row>
    <row r="425" customFormat="false" ht="15" hidden="false" customHeight="false" outlineLevel="0" collapsed="false">
      <c r="A425" s="12"/>
      <c r="B425" s="13"/>
      <c r="C425" s="14"/>
      <c r="D425" s="15"/>
      <c r="E425" s="14"/>
      <c r="F425" s="16" t="str">
        <f aca="false">IF(OR(C425="",D425=""),"",IF(OR(A425="",B425=""),"Tarih ya da tür eksik",IF(AND(B425="Çıkış",IFERROR(INDEX(Ürünler!$H$5:$H$304,MATCH(C425,Ürünler!$A$5:$A$304,0)),0)&lt;0),"Stok eksiye düştü","")))</f>
        <v/>
      </c>
    </row>
    <row r="426" customFormat="false" ht="15" hidden="false" customHeight="false" outlineLevel="0" collapsed="false">
      <c r="A426" s="12"/>
      <c r="B426" s="13"/>
      <c r="C426" s="14"/>
      <c r="D426" s="15"/>
      <c r="E426" s="14"/>
      <c r="F426" s="16" t="str">
        <f aca="false">IF(OR(C426="",D426=""),"",IF(OR(A426="",B426=""),"Tarih ya da tür eksik",IF(AND(B426="Çıkış",IFERROR(INDEX(Ürünler!$H$5:$H$304,MATCH(C426,Ürünler!$A$5:$A$304,0)),0)&lt;0),"Stok eksiye düştü","")))</f>
        <v/>
      </c>
    </row>
    <row r="427" customFormat="false" ht="15" hidden="false" customHeight="false" outlineLevel="0" collapsed="false">
      <c r="A427" s="12"/>
      <c r="B427" s="13"/>
      <c r="C427" s="14"/>
      <c r="D427" s="15"/>
      <c r="E427" s="14"/>
      <c r="F427" s="16" t="str">
        <f aca="false">IF(OR(C427="",D427=""),"",IF(OR(A427="",B427=""),"Tarih ya da tür eksik",IF(AND(B427="Çıkış",IFERROR(INDEX(Ürünler!$H$5:$H$304,MATCH(C427,Ürünler!$A$5:$A$304,0)),0)&lt;0),"Stok eksiye düştü","")))</f>
        <v/>
      </c>
    </row>
    <row r="428" customFormat="false" ht="15" hidden="false" customHeight="false" outlineLevel="0" collapsed="false">
      <c r="A428" s="12"/>
      <c r="B428" s="13"/>
      <c r="C428" s="14"/>
      <c r="D428" s="15"/>
      <c r="E428" s="14"/>
      <c r="F428" s="16" t="str">
        <f aca="false">IF(OR(C428="",D428=""),"",IF(OR(A428="",B428=""),"Tarih ya da tür eksik",IF(AND(B428="Çıkış",IFERROR(INDEX(Ürünler!$H$5:$H$304,MATCH(C428,Ürünler!$A$5:$A$304,0)),0)&lt;0),"Stok eksiye düştü","")))</f>
        <v/>
      </c>
    </row>
    <row r="429" customFormat="false" ht="15" hidden="false" customHeight="false" outlineLevel="0" collapsed="false">
      <c r="A429" s="12"/>
      <c r="B429" s="13"/>
      <c r="C429" s="14"/>
      <c r="D429" s="15"/>
      <c r="E429" s="14"/>
      <c r="F429" s="16" t="str">
        <f aca="false">IF(OR(C429="",D429=""),"",IF(OR(A429="",B429=""),"Tarih ya da tür eksik",IF(AND(B429="Çıkış",IFERROR(INDEX(Ürünler!$H$5:$H$304,MATCH(C429,Ürünler!$A$5:$A$304,0)),0)&lt;0),"Stok eksiye düştü","")))</f>
        <v/>
      </c>
    </row>
    <row r="430" customFormat="false" ht="15" hidden="false" customHeight="false" outlineLevel="0" collapsed="false">
      <c r="A430" s="12"/>
      <c r="B430" s="13"/>
      <c r="C430" s="14"/>
      <c r="D430" s="15"/>
      <c r="E430" s="14"/>
      <c r="F430" s="16" t="str">
        <f aca="false">IF(OR(C430="",D430=""),"",IF(OR(A430="",B430=""),"Tarih ya da tür eksik",IF(AND(B430="Çıkış",IFERROR(INDEX(Ürünler!$H$5:$H$304,MATCH(C430,Ürünler!$A$5:$A$304,0)),0)&lt;0),"Stok eksiye düştü","")))</f>
        <v/>
      </c>
    </row>
    <row r="431" customFormat="false" ht="15" hidden="false" customHeight="false" outlineLevel="0" collapsed="false">
      <c r="A431" s="12"/>
      <c r="B431" s="13"/>
      <c r="C431" s="14"/>
      <c r="D431" s="15"/>
      <c r="E431" s="14"/>
      <c r="F431" s="16" t="str">
        <f aca="false">IF(OR(C431="",D431=""),"",IF(OR(A431="",B431=""),"Tarih ya da tür eksik",IF(AND(B431="Çıkış",IFERROR(INDEX(Ürünler!$H$5:$H$304,MATCH(C431,Ürünler!$A$5:$A$304,0)),0)&lt;0),"Stok eksiye düştü","")))</f>
        <v/>
      </c>
    </row>
    <row r="432" customFormat="false" ht="15" hidden="false" customHeight="false" outlineLevel="0" collapsed="false">
      <c r="A432" s="12"/>
      <c r="B432" s="13"/>
      <c r="C432" s="14"/>
      <c r="D432" s="15"/>
      <c r="E432" s="14"/>
      <c r="F432" s="16" t="str">
        <f aca="false">IF(OR(C432="",D432=""),"",IF(OR(A432="",B432=""),"Tarih ya da tür eksik",IF(AND(B432="Çıkış",IFERROR(INDEX(Ürünler!$H$5:$H$304,MATCH(C432,Ürünler!$A$5:$A$304,0)),0)&lt;0),"Stok eksiye düştü","")))</f>
        <v/>
      </c>
    </row>
    <row r="433" customFormat="false" ht="15" hidden="false" customHeight="false" outlineLevel="0" collapsed="false">
      <c r="A433" s="12"/>
      <c r="B433" s="13"/>
      <c r="C433" s="14"/>
      <c r="D433" s="15"/>
      <c r="E433" s="14"/>
      <c r="F433" s="16" t="str">
        <f aca="false">IF(OR(C433="",D433=""),"",IF(OR(A433="",B433=""),"Tarih ya da tür eksik",IF(AND(B433="Çıkış",IFERROR(INDEX(Ürünler!$H$5:$H$304,MATCH(C433,Ürünler!$A$5:$A$304,0)),0)&lt;0),"Stok eksiye düştü","")))</f>
        <v/>
      </c>
    </row>
    <row r="434" customFormat="false" ht="15" hidden="false" customHeight="false" outlineLevel="0" collapsed="false">
      <c r="A434" s="12"/>
      <c r="B434" s="13"/>
      <c r="C434" s="14"/>
      <c r="D434" s="15"/>
      <c r="E434" s="14"/>
      <c r="F434" s="16" t="str">
        <f aca="false">IF(OR(C434="",D434=""),"",IF(OR(A434="",B434=""),"Tarih ya da tür eksik",IF(AND(B434="Çıkış",IFERROR(INDEX(Ürünler!$H$5:$H$304,MATCH(C434,Ürünler!$A$5:$A$304,0)),0)&lt;0),"Stok eksiye düştü","")))</f>
        <v/>
      </c>
    </row>
    <row r="435" customFormat="false" ht="15" hidden="false" customHeight="false" outlineLevel="0" collapsed="false">
      <c r="A435" s="12"/>
      <c r="B435" s="13"/>
      <c r="C435" s="14"/>
      <c r="D435" s="15"/>
      <c r="E435" s="14"/>
      <c r="F435" s="16" t="str">
        <f aca="false">IF(OR(C435="",D435=""),"",IF(OR(A435="",B435=""),"Tarih ya da tür eksik",IF(AND(B435="Çıkış",IFERROR(INDEX(Ürünler!$H$5:$H$304,MATCH(C435,Ürünler!$A$5:$A$304,0)),0)&lt;0),"Stok eksiye düştü","")))</f>
        <v/>
      </c>
    </row>
    <row r="436" customFormat="false" ht="15" hidden="false" customHeight="false" outlineLevel="0" collapsed="false">
      <c r="A436" s="12"/>
      <c r="B436" s="13"/>
      <c r="C436" s="14"/>
      <c r="D436" s="15"/>
      <c r="E436" s="14"/>
      <c r="F436" s="16" t="str">
        <f aca="false">IF(OR(C436="",D436=""),"",IF(OR(A436="",B436=""),"Tarih ya da tür eksik",IF(AND(B436="Çıkış",IFERROR(INDEX(Ürünler!$H$5:$H$304,MATCH(C436,Ürünler!$A$5:$A$304,0)),0)&lt;0),"Stok eksiye düştü","")))</f>
        <v/>
      </c>
    </row>
    <row r="437" customFormat="false" ht="15" hidden="false" customHeight="false" outlineLevel="0" collapsed="false">
      <c r="A437" s="12"/>
      <c r="B437" s="13"/>
      <c r="C437" s="14"/>
      <c r="D437" s="15"/>
      <c r="E437" s="14"/>
      <c r="F437" s="16" t="str">
        <f aca="false">IF(OR(C437="",D437=""),"",IF(OR(A437="",B437=""),"Tarih ya da tür eksik",IF(AND(B437="Çıkış",IFERROR(INDEX(Ürünler!$H$5:$H$304,MATCH(C437,Ürünler!$A$5:$A$304,0)),0)&lt;0),"Stok eksiye düştü","")))</f>
        <v/>
      </c>
    </row>
    <row r="438" customFormat="false" ht="15" hidden="false" customHeight="false" outlineLevel="0" collapsed="false">
      <c r="A438" s="12"/>
      <c r="B438" s="13"/>
      <c r="C438" s="14"/>
      <c r="D438" s="15"/>
      <c r="E438" s="14"/>
      <c r="F438" s="16" t="str">
        <f aca="false">IF(OR(C438="",D438=""),"",IF(OR(A438="",B438=""),"Tarih ya da tür eksik",IF(AND(B438="Çıkış",IFERROR(INDEX(Ürünler!$H$5:$H$304,MATCH(C438,Ürünler!$A$5:$A$304,0)),0)&lt;0),"Stok eksiye düştü","")))</f>
        <v/>
      </c>
    </row>
    <row r="439" customFormat="false" ht="15" hidden="false" customHeight="false" outlineLevel="0" collapsed="false">
      <c r="A439" s="12"/>
      <c r="B439" s="13"/>
      <c r="C439" s="14"/>
      <c r="D439" s="15"/>
      <c r="E439" s="14"/>
      <c r="F439" s="16" t="str">
        <f aca="false">IF(OR(C439="",D439=""),"",IF(OR(A439="",B439=""),"Tarih ya da tür eksik",IF(AND(B439="Çıkış",IFERROR(INDEX(Ürünler!$H$5:$H$304,MATCH(C439,Ürünler!$A$5:$A$304,0)),0)&lt;0),"Stok eksiye düştü","")))</f>
        <v/>
      </c>
    </row>
    <row r="440" customFormat="false" ht="15" hidden="false" customHeight="false" outlineLevel="0" collapsed="false">
      <c r="A440" s="12"/>
      <c r="B440" s="13"/>
      <c r="C440" s="14"/>
      <c r="D440" s="15"/>
      <c r="E440" s="14"/>
      <c r="F440" s="16" t="str">
        <f aca="false">IF(OR(C440="",D440=""),"",IF(OR(A440="",B440=""),"Tarih ya da tür eksik",IF(AND(B440="Çıkış",IFERROR(INDEX(Ürünler!$H$5:$H$304,MATCH(C440,Ürünler!$A$5:$A$304,0)),0)&lt;0),"Stok eksiye düştü","")))</f>
        <v/>
      </c>
    </row>
    <row r="441" customFormat="false" ht="15" hidden="false" customHeight="false" outlineLevel="0" collapsed="false">
      <c r="A441" s="12"/>
      <c r="B441" s="13"/>
      <c r="C441" s="14"/>
      <c r="D441" s="15"/>
      <c r="E441" s="14"/>
      <c r="F441" s="16" t="str">
        <f aca="false">IF(OR(C441="",D441=""),"",IF(OR(A441="",B441=""),"Tarih ya da tür eksik",IF(AND(B441="Çıkış",IFERROR(INDEX(Ürünler!$H$5:$H$304,MATCH(C441,Ürünler!$A$5:$A$304,0)),0)&lt;0),"Stok eksiye düştü","")))</f>
        <v/>
      </c>
    </row>
    <row r="442" customFormat="false" ht="15" hidden="false" customHeight="false" outlineLevel="0" collapsed="false">
      <c r="A442" s="12"/>
      <c r="B442" s="13"/>
      <c r="C442" s="14"/>
      <c r="D442" s="15"/>
      <c r="E442" s="14"/>
      <c r="F442" s="16" t="str">
        <f aca="false">IF(OR(C442="",D442=""),"",IF(OR(A442="",B442=""),"Tarih ya da tür eksik",IF(AND(B442="Çıkış",IFERROR(INDEX(Ürünler!$H$5:$H$304,MATCH(C442,Ürünler!$A$5:$A$304,0)),0)&lt;0),"Stok eksiye düştü","")))</f>
        <v/>
      </c>
    </row>
    <row r="443" customFormat="false" ht="15" hidden="false" customHeight="false" outlineLevel="0" collapsed="false">
      <c r="A443" s="12"/>
      <c r="B443" s="13"/>
      <c r="C443" s="14"/>
      <c r="D443" s="15"/>
      <c r="E443" s="14"/>
      <c r="F443" s="16" t="str">
        <f aca="false">IF(OR(C443="",D443=""),"",IF(OR(A443="",B443=""),"Tarih ya da tür eksik",IF(AND(B443="Çıkış",IFERROR(INDEX(Ürünler!$H$5:$H$304,MATCH(C443,Ürünler!$A$5:$A$304,0)),0)&lt;0),"Stok eksiye düştü","")))</f>
        <v/>
      </c>
    </row>
    <row r="444" customFormat="false" ht="15" hidden="false" customHeight="false" outlineLevel="0" collapsed="false">
      <c r="A444" s="12"/>
      <c r="B444" s="13"/>
      <c r="C444" s="14"/>
      <c r="D444" s="15"/>
      <c r="E444" s="14"/>
      <c r="F444" s="16" t="str">
        <f aca="false">IF(OR(C444="",D444=""),"",IF(OR(A444="",B444=""),"Tarih ya da tür eksik",IF(AND(B444="Çıkış",IFERROR(INDEX(Ürünler!$H$5:$H$304,MATCH(C444,Ürünler!$A$5:$A$304,0)),0)&lt;0),"Stok eksiye düştü","")))</f>
        <v/>
      </c>
    </row>
    <row r="445" customFormat="false" ht="15" hidden="false" customHeight="false" outlineLevel="0" collapsed="false">
      <c r="A445" s="12"/>
      <c r="B445" s="13"/>
      <c r="C445" s="14"/>
      <c r="D445" s="15"/>
      <c r="E445" s="14"/>
      <c r="F445" s="16" t="str">
        <f aca="false">IF(OR(C445="",D445=""),"",IF(OR(A445="",B445=""),"Tarih ya da tür eksik",IF(AND(B445="Çıkış",IFERROR(INDEX(Ürünler!$H$5:$H$304,MATCH(C445,Ürünler!$A$5:$A$304,0)),0)&lt;0),"Stok eksiye düştü","")))</f>
        <v/>
      </c>
    </row>
    <row r="446" customFormat="false" ht="15" hidden="false" customHeight="false" outlineLevel="0" collapsed="false">
      <c r="A446" s="12"/>
      <c r="B446" s="13"/>
      <c r="C446" s="14"/>
      <c r="D446" s="15"/>
      <c r="E446" s="14"/>
      <c r="F446" s="16" t="str">
        <f aca="false">IF(OR(C446="",D446=""),"",IF(OR(A446="",B446=""),"Tarih ya da tür eksik",IF(AND(B446="Çıkış",IFERROR(INDEX(Ürünler!$H$5:$H$304,MATCH(C446,Ürünler!$A$5:$A$304,0)),0)&lt;0),"Stok eksiye düştü","")))</f>
        <v/>
      </c>
    </row>
    <row r="447" customFormat="false" ht="15" hidden="false" customHeight="false" outlineLevel="0" collapsed="false">
      <c r="A447" s="12"/>
      <c r="B447" s="13"/>
      <c r="C447" s="14"/>
      <c r="D447" s="15"/>
      <c r="E447" s="14"/>
      <c r="F447" s="16" t="str">
        <f aca="false">IF(OR(C447="",D447=""),"",IF(OR(A447="",B447=""),"Tarih ya da tür eksik",IF(AND(B447="Çıkış",IFERROR(INDEX(Ürünler!$H$5:$H$304,MATCH(C447,Ürünler!$A$5:$A$304,0)),0)&lt;0),"Stok eksiye düştü","")))</f>
        <v/>
      </c>
    </row>
    <row r="448" customFormat="false" ht="15" hidden="false" customHeight="false" outlineLevel="0" collapsed="false">
      <c r="A448" s="12"/>
      <c r="B448" s="13"/>
      <c r="C448" s="14"/>
      <c r="D448" s="15"/>
      <c r="E448" s="14"/>
      <c r="F448" s="16" t="str">
        <f aca="false">IF(OR(C448="",D448=""),"",IF(OR(A448="",B448=""),"Tarih ya da tür eksik",IF(AND(B448="Çıkış",IFERROR(INDEX(Ürünler!$H$5:$H$304,MATCH(C448,Ürünler!$A$5:$A$304,0)),0)&lt;0),"Stok eksiye düştü","")))</f>
        <v/>
      </c>
    </row>
    <row r="449" customFormat="false" ht="15" hidden="false" customHeight="false" outlineLevel="0" collapsed="false">
      <c r="A449" s="12"/>
      <c r="B449" s="13"/>
      <c r="C449" s="14"/>
      <c r="D449" s="15"/>
      <c r="E449" s="14"/>
      <c r="F449" s="16" t="str">
        <f aca="false">IF(OR(C449="",D449=""),"",IF(OR(A449="",B449=""),"Tarih ya da tür eksik",IF(AND(B449="Çıkış",IFERROR(INDEX(Ürünler!$H$5:$H$304,MATCH(C449,Ürünler!$A$5:$A$304,0)),0)&lt;0),"Stok eksiye düştü","")))</f>
        <v/>
      </c>
    </row>
    <row r="450" customFormat="false" ht="15" hidden="false" customHeight="false" outlineLevel="0" collapsed="false">
      <c r="A450" s="12"/>
      <c r="B450" s="13"/>
      <c r="C450" s="14"/>
      <c r="D450" s="15"/>
      <c r="E450" s="14"/>
      <c r="F450" s="16" t="str">
        <f aca="false">IF(OR(C450="",D450=""),"",IF(OR(A450="",B450=""),"Tarih ya da tür eksik",IF(AND(B450="Çıkış",IFERROR(INDEX(Ürünler!$H$5:$H$304,MATCH(C450,Ürünler!$A$5:$A$304,0)),0)&lt;0),"Stok eksiye düştü","")))</f>
        <v/>
      </c>
    </row>
    <row r="451" customFormat="false" ht="15" hidden="false" customHeight="false" outlineLevel="0" collapsed="false">
      <c r="A451" s="12"/>
      <c r="B451" s="13"/>
      <c r="C451" s="14"/>
      <c r="D451" s="15"/>
      <c r="E451" s="14"/>
      <c r="F451" s="16" t="str">
        <f aca="false">IF(OR(C451="",D451=""),"",IF(OR(A451="",B451=""),"Tarih ya da tür eksik",IF(AND(B451="Çıkış",IFERROR(INDEX(Ürünler!$H$5:$H$304,MATCH(C451,Ürünler!$A$5:$A$304,0)),0)&lt;0),"Stok eksiye düştü","")))</f>
        <v/>
      </c>
    </row>
    <row r="452" customFormat="false" ht="15" hidden="false" customHeight="false" outlineLevel="0" collapsed="false">
      <c r="A452" s="12"/>
      <c r="B452" s="13"/>
      <c r="C452" s="14"/>
      <c r="D452" s="15"/>
      <c r="E452" s="14"/>
      <c r="F452" s="16" t="str">
        <f aca="false">IF(OR(C452="",D452=""),"",IF(OR(A452="",B452=""),"Tarih ya da tür eksik",IF(AND(B452="Çıkış",IFERROR(INDEX(Ürünler!$H$5:$H$304,MATCH(C452,Ürünler!$A$5:$A$304,0)),0)&lt;0),"Stok eksiye düştü","")))</f>
        <v/>
      </c>
    </row>
    <row r="453" customFormat="false" ht="15" hidden="false" customHeight="false" outlineLevel="0" collapsed="false">
      <c r="A453" s="12"/>
      <c r="B453" s="13"/>
      <c r="C453" s="14"/>
      <c r="D453" s="15"/>
      <c r="E453" s="14"/>
      <c r="F453" s="16" t="str">
        <f aca="false">IF(OR(C453="",D453=""),"",IF(OR(A453="",B453=""),"Tarih ya da tür eksik",IF(AND(B453="Çıkış",IFERROR(INDEX(Ürünler!$H$5:$H$304,MATCH(C453,Ürünler!$A$5:$A$304,0)),0)&lt;0),"Stok eksiye düştü","")))</f>
        <v/>
      </c>
    </row>
    <row r="454" customFormat="false" ht="15" hidden="false" customHeight="false" outlineLevel="0" collapsed="false">
      <c r="A454" s="12"/>
      <c r="B454" s="13"/>
      <c r="C454" s="14"/>
      <c r="D454" s="15"/>
      <c r="E454" s="14"/>
      <c r="F454" s="16" t="str">
        <f aca="false">IF(OR(C454="",D454=""),"",IF(OR(A454="",B454=""),"Tarih ya da tür eksik",IF(AND(B454="Çıkış",IFERROR(INDEX(Ürünler!$H$5:$H$304,MATCH(C454,Ürünler!$A$5:$A$304,0)),0)&lt;0),"Stok eksiye düştü","")))</f>
        <v/>
      </c>
    </row>
    <row r="455" customFormat="false" ht="15" hidden="false" customHeight="false" outlineLevel="0" collapsed="false">
      <c r="A455" s="12"/>
      <c r="B455" s="13"/>
      <c r="C455" s="14"/>
      <c r="D455" s="15"/>
      <c r="E455" s="14"/>
      <c r="F455" s="16" t="str">
        <f aca="false">IF(OR(C455="",D455=""),"",IF(OR(A455="",B455=""),"Tarih ya da tür eksik",IF(AND(B455="Çıkış",IFERROR(INDEX(Ürünler!$H$5:$H$304,MATCH(C455,Ürünler!$A$5:$A$304,0)),0)&lt;0),"Stok eksiye düştü","")))</f>
        <v/>
      </c>
    </row>
    <row r="456" customFormat="false" ht="15" hidden="false" customHeight="false" outlineLevel="0" collapsed="false">
      <c r="A456" s="12"/>
      <c r="B456" s="13"/>
      <c r="C456" s="14"/>
      <c r="D456" s="15"/>
      <c r="E456" s="14"/>
      <c r="F456" s="16" t="str">
        <f aca="false">IF(OR(C456="",D456=""),"",IF(OR(A456="",B456=""),"Tarih ya da tür eksik",IF(AND(B456="Çıkış",IFERROR(INDEX(Ürünler!$H$5:$H$304,MATCH(C456,Ürünler!$A$5:$A$304,0)),0)&lt;0),"Stok eksiye düştü","")))</f>
        <v/>
      </c>
    </row>
    <row r="457" customFormat="false" ht="15" hidden="false" customHeight="false" outlineLevel="0" collapsed="false">
      <c r="A457" s="12"/>
      <c r="B457" s="13"/>
      <c r="C457" s="14"/>
      <c r="D457" s="15"/>
      <c r="E457" s="14"/>
      <c r="F457" s="16" t="str">
        <f aca="false">IF(OR(C457="",D457=""),"",IF(OR(A457="",B457=""),"Tarih ya da tür eksik",IF(AND(B457="Çıkış",IFERROR(INDEX(Ürünler!$H$5:$H$304,MATCH(C457,Ürünler!$A$5:$A$304,0)),0)&lt;0),"Stok eksiye düştü","")))</f>
        <v/>
      </c>
    </row>
    <row r="458" customFormat="false" ht="15" hidden="false" customHeight="false" outlineLevel="0" collapsed="false">
      <c r="A458" s="12"/>
      <c r="B458" s="13"/>
      <c r="C458" s="14"/>
      <c r="D458" s="15"/>
      <c r="E458" s="14"/>
      <c r="F458" s="16" t="str">
        <f aca="false">IF(OR(C458="",D458=""),"",IF(OR(A458="",B458=""),"Tarih ya da tür eksik",IF(AND(B458="Çıkış",IFERROR(INDEX(Ürünler!$H$5:$H$304,MATCH(C458,Ürünler!$A$5:$A$304,0)),0)&lt;0),"Stok eksiye düştü","")))</f>
        <v/>
      </c>
    </row>
    <row r="459" customFormat="false" ht="15" hidden="false" customHeight="false" outlineLevel="0" collapsed="false">
      <c r="A459" s="12"/>
      <c r="B459" s="13"/>
      <c r="C459" s="14"/>
      <c r="D459" s="15"/>
      <c r="E459" s="14"/>
      <c r="F459" s="16" t="str">
        <f aca="false">IF(OR(C459="",D459=""),"",IF(OR(A459="",B459=""),"Tarih ya da tür eksik",IF(AND(B459="Çıkış",IFERROR(INDEX(Ürünler!$H$5:$H$304,MATCH(C459,Ürünler!$A$5:$A$304,0)),0)&lt;0),"Stok eksiye düştü","")))</f>
        <v/>
      </c>
    </row>
    <row r="460" customFormat="false" ht="15" hidden="false" customHeight="false" outlineLevel="0" collapsed="false">
      <c r="A460" s="12"/>
      <c r="B460" s="13"/>
      <c r="C460" s="14"/>
      <c r="D460" s="15"/>
      <c r="E460" s="14"/>
      <c r="F460" s="16" t="str">
        <f aca="false">IF(OR(C460="",D460=""),"",IF(OR(A460="",B460=""),"Tarih ya da tür eksik",IF(AND(B460="Çıkış",IFERROR(INDEX(Ürünler!$H$5:$H$304,MATCH(C460,Ürünler!$A$5:$A$304,0)),0)&lt;0),"Stok eksiye düştü","")))</f>
        <v/>
      </c>
    </row>
    <row r="461" customFormat="false" ht="15" hidden="false" customHeight="false" outlineLevel="0" collapsed="false">
      <c r="A461" s="12"/>
      <c r="B461" s="13"/>
      <c r="C461" s="14"/>
      <c r="D461" s="15"/>
      <c r="E461" s="14"/>
      <c r="F461" s="16" t="str">
        <f aca="false">IF(OR(C461="",D461=""),"",IF(OR(A461="",B461=""),"Tarih ya da tür eksik",IF(AND(B461="Çıkış",IFERROR(INDEX(Ürünler!$H$5:$H$304,MATCH(C461,Ürünler!$A$5:$A$304,0)),0)&lt;0),"Stok eksiye düştü","")))</f>
        <v/>
      </c>
    </row>
    <row r="462" customFormat="false" ht="15" hidden="false" customHeight="false" outlineLevel="0" collapsed="false">
      <c r="A462" s="12"/>
      <c r="B462" s="13"/>
      <c r="C462" s="14"/>
      <c r="D462" s="15"/>
      <c r="E462" s="14"/>
      <c r="F462" s="16" t="str">
        <f aca="false">IF(OR(C462="",D462=""),"",IF(OR(A462="",B462=""),"Tarih ya da tür eksik",IF(AND(B462="Çıkış",IFERROR(INDEX(Ürünler!$H$5:$H$304,MATCH(C462,Ürünler!$A$5:$A$304,0)),0)&lt;0),"Stok eksiye düştü","")))</f>
        <v/>
      </c>
    </row>
    <row r="463" customFormat="false" ht="15" hidden="false" customHeight="false" outlineLevel="0" collapsed="false">
      <c r="A463" s="12"/>
      <c r="B463" s="13"/>
      <c r="C463" s="14"/>
      <c r="D463" s="15"/>
      <c r="E463" s="14"/>
      <c r="F463" s="16" t="str">
        <f aca="false">IF(OR(C463="",D463=""),"",IF(OR(A463="",B463=""),"Tarih ya da tür eksik",IF(AND(B463="Çıkış",IFERROR(INDEX(Ürünler!$H$5:$H$304,MATCH(C463,Ürünler!$A$5:$A$304,0)),0)&lt;0),"Stok eksiye düştü","")))</f>
        <v/>
      </c>
    </row>
    <row r="464" customFormat="false" ht="15" hidden="false" customHeight="false" outlineLevel="0" collapsed="false">
      <c r="A464" s="12"/>
      <c r="B464" s="13"/>
      <c r="C464" s="14"/>
      <c r="D464" s="15"/>
      <c r="E464" s="14"/>
      <c r="F464" s="16" t="str">
        <f aca="false">IF(OR(C464="",D464=""),"",IF(OR(A464="",B464=""),"Tarih ya da tür eksik",IF(AND(B464="Çıkış",IFERROR(INDEX(Ürünler!$H$5:$H$304,MATCH(C464,Ürünler!$A$5:$A$304,0)),0)&lt;0),"Stok eksiye düştü","")))</f>
        <v/>
      </c>
    </row>
    <row r="465" customFormat="false" ht="15" hidden="false" customHeight="false" outlineLevel="0" collapsed="false">
      <c r="A465" s="12"/>
      <c r="B465" s="13"/>
      <c r="C465" s="14"/>
      <c r="D465" s="15"/>
      <c r="E465" s="14"/>
      <c r="F465" s="16" t="str">
        <f aca="false">IF(OR(C465="",D465=""),"",IF(OR(A465="",B465=""),"Tarih ya da tür eksik",IF(AND(B465="Çıkış",IFERROR(INDEX(Ürünler!$H$5:$H$304,MATCH(C465,Ürünler!$A$5:$A$304,0)),0)&lt;0),"Stok eksiye düştü","")))</f>
        <v/>
      </c>
    </row>
    <row r="466" customFormat="false" ht="15" hidden="false" customHeight="false" outlineLevel="0" collapsed="false">
      <c r="A466" s="12"/>
      <c r="B466" s="13"/>
      <c r="C466" s="14"/>
      <c r="D466" s="15"/>
      <c r="E466" s="14"/>
      <c r="F466" s="16" t="str">
        <f aca="false">IF(OR(C466="",D466=""),"",IF(OR(A466="",B466=""),"Tarih ya da tür eksik",IF(AND(B466="Çıkış",IFERROR(INDEX(Ürünler!$H$5:$H$304,MATCH(C466,Ürünler!$A$5:$A$304,0)),0)&lt;0),"Stok eksiye düştü","")))</f>
        <v/>
      </c>
    </row>
    <row r="467" customFormat="false" ht="15" hidden="false" customHeight="false" outlineLevel="0" collapsed="false">
      <c r="A467" s="12"/>
      <c r="B467" s="13"/>
      <c r="C467" s="14"/>
      <c r="D467" s="15"/>
      <c r="E467" s="14"/>
      <c r="F467" s="16" t="str">
        <f aca="false">IF(OR(C467="",D467=""),"",IF(OR(A467="",B467=""),"Tarih ya da tür eksik",IF(AND(B467="Çıkış",IFERROR(INDEX(Ürünler!$H$5:$H$304,MATCH(C467,Ürünler!$A$5:$A$304,0)),0)&lt;0),"Stok eksiye düştü","")))</f>
        <v/>
      </c>
    </row>
    <row r="468" customFormat="false" ht="15" hidden="false" customHeight="false" outlineLevel="0" collapsed="false">
      <c r="A468" s="12"/>
      <c r="B468" s="13"/>
      <c r="C468" s="14"/>
      <c r="D468" s="15"/>
      <c r="E468" s="14"/>
      <c r="F468" s="16" t="str">
        <f aca="false">IF(OR(C468="",D468=""),"",IF(OR(A468="",B468=""),"Tarih ya da tür eksik",IF(AND(B468="Çıkış",IFERROR(INDEX(Ürünler!$H$5:$H$304,MATCH(C468,Ürünler!$A$5:$A$304,0)),0)&lt;0),"Stok eksiye düştü","")))</f>
        <v/>
      </c>
    </row>
    <row r="469" customFormat="false" ht="15" hidden="false" customHeight="false" outlineLevel="0" collapsed="false">
      <c r="A469" s="12"/>
      <c r="B469" s="13"/>
      <c r="C469" s="14"/>
      <c r="D469" s="15"/>
      <c r="E469" s="14"/>
      <c r="F469" s="16" t="str">
        <f aca="false">IF(OR(C469="",D469=""),"",IF(OR(A469="",B469=""),"Tarih ya da tür eksik",IF(AND(B469="Çıkış",IFERROR(INDEX(Ürünler!$H$5:$H$304,MATCH(C469,Ürünler!$A$5:$A$304,0)),0)&lt;0),"Stok eksiye düştü","")))</f>
        <v/>
      </c>
    </row>
    <row r="470" customFormat="false" ht="15" hidden="false" customHeight="false" outlineLevel="0" collapsed="false">
      <c r="A470" s="12"/>
      <c r="B470" s="13"/>
      <c r="C470" s="14"/>
      <c r="D470" s="15"/>
      <c r="E470" s="14"/>
      <c r="F470" s="16" t="str">
        <f aca="false">IF(OR(C470="",D470=""),"",IF(OR(A470="",B470=""),"Tarih ya da tür eksik",IF(AND(B470="Çıkış",IFERROR(INDEX(Ürünler!$H$5:$H$304,MATCH(C470,Ürünler!$A$5:$A$304,0)),0)&lt;0),"Stok eksiye düştü","")))</f>
        <v/>
      </c>
    </row>
    <row r="471" customFormat="false" ht="15" hidden="false" customHeight="false" outlineLevel="0" collapsed="false">
      <c r="A471" s="12"/>
      <c r="B471" s="13"/>
      <c r="C471" s="14"/>
      <c r="D471" s="15"/>
      <c r="E471" s="14"/>
      <c r="F471" s="16" t="str">
        <f aca="false">IF(OR(C471="",D471=""),"",IF(OR(A471="",B471=""),"Tarih ya da tür eksik",IF(AND(B471="Çıkış",IFERROR(INDEX(Ürünler!$H$5:$H$304,MATCH(C471,Ürünler!$A$5:$A$304,0)),0)&lt;0),"Stok eksiye düştü","")))</f>
        <v/>
      </c>
    </row>
    <row r="472" customFormat="false" ht="15" hidden="false" customHeight="false" outlineLevel="0" collapsed="false">
      <c r="A472" s="12"/>
      <c r="B472" s="13"/>
      <c r="C472" s="14"/>
      <c r="D472" s="15"/>
      <c r="E472" s="14"/>
      <c r="F472" s="16" t="str">
        <f aca="false">IF(OR(C472="",D472=""),"",IF(OR(A472="",B472=""),"Tarih ya da tür eksik",IF(AND(B472="Çıkış",IFERROR(INDEX(Ürünler!$H$5:$H$304,MATCH(C472,Ürünler!$A$5:$A$304,0)),0)&lt;0),"Stok eksiye düştü","")))</f>
        <v/>
      </c>
    </row>
    <row r="473" customFormat="false" ht="15" hidden="false" customHeight="false" outlineLevel="0" collapsed="false">
      <c r="A473" s="12"/>
      <c r="B473" s="13"/>
      <c r="C473" s="14"/>
      <c r="D473" s="15"/>
      <c r="E473" s="14"/>
      <c r="F473" s="16" t="str">
        <f aca="false">IF(OR(C473="",D473=""),"",IF(OR(A473="",B473=""),"Tarih ya da tür eksik",IF(AND(B473="Çıkış",IFERROR(INDEX(Ürünler!$H$5:$H$304,MATCH(C473,Ürünler!$A$5:$A$304,0)),0)&lt;0),"Stok eksiye düştü","")))</f>
        <v/>
      </c>
    </row>
    <row r="474" customFormat="false" ht="15" hidden="false" customHeight="false" outlineLevel="0" collapsed="false">
      <c r="A474" s="12"/>
      <c r="B474" s="13"/>
      <c r="C474" s="14"/>
      <c r="D474" s="15"/>
      <c r="E474" s="14"/>
      <c r="F474" s="16" t="str">
        <f aca="false">IF(OR(C474="",D474=""),"",IF(OR(A474="",B474=""),"Tarih ya da tür eksik",IF(AND(B474="Çıkış",IFERROR(INDEX(Ürünler!$H$5:$H$304,MATCH(C474,Ürünler!$A$5:$A$304,0)),0)&lt;0),"Stok eksiye düştü","")))</f>
        <v/>
      </c>
    </row>
    <row r="475" customFormat="false" ht="15" hidden="false" customHeight="false" outlineLevel="0" collapsed="false">
      <c r="A475" s="12"/>
      <c r="B475" s="13"/>
      <c r="C475" s="14"/>
      <c r="D475" s="15"/>
      <c r="E475" s="14"/>
      <c r="F475" s="16" t="str">
        <f aca="false">IF(OR(C475="",D475=""),"",IF(OR(A475="",B475=""),"Tarih ya da tür eksik",IF(AND(B475="Çıkış",IFERROR(INDEX(Ürünler!$H$5:$H$304,MATCH(C475,Ürünler!$A$5:$A$304,0)),0)&lt;0),"Stok eksiye düştü","")))</f>
        <v/>
      </c>
    </row>
    <row r="476" customFormat="false" ht="15" hidden="false" customHeight="false" outlineLevel="0" collapsed="false">
      <c r="A476" s="12"/>
      <c r="B476" s="13"/>
      <c r="C476" s="14"/>
      <c r="D476" s="15"/>
      <c r="E476" s="14"/>
      <c r="F476" s="16" t="str">
        <f aca="false">IF(OR(C476="",D476=""),"",IF(OR(A476="",B476=""),"Tarih ya da tür eksik",IF(AND(B476="Çıkış",IFERROR(INDEX(Ürünler!$H$5:$H$304,MATCH(C476,Ürünler!$A$5:$A$304,0)),0)&lt;0),"Stok eksiye düştü","")))</f>
        <v/>
      </c>
    </row>
    <row r="477" customFormat="false" ht="15" hidden="false" customHeight="false" outlineLevel="0" collapsed="false">
      <c r="A477" s="12"/>
      <c r="B477" s="13"/>
      <c r="C477" s="14"/>
      <c r="D477" s="15"/>
      <c r="E477" s="14"/>
      <c r="F477" s="16" t="str">
        <f aca="false">IF(OR(C477="",D477=""),"",IF(OR(A477="",B477=""),"Tarih ya da tür eksik",IF(AND(B477="Çıkış",IFERROR(INDEX(Ürünler!$H$5:$H$304,MATCH(C477,Ürünler!$A$5:$A$304,0)),0)&lt;0),"Stok eksiye düştü","")))</f>
        <v/>
      </c>
    </row>
    <row r="478" customFormat="false" ht="15" hidden="false" customHeight="false" outlineLevel="0" collapsed="false">
      <c r="A478" s="12"/>
      <c r="B478" s="13"/>
      <c r="C478" s="14"/>
      <c r="D478" s="15"/>
      <c r="E478" s="14"/>
      <c r="F478" s="16" t="str">
        <f aca="false">IF(OR(C478="",D478=""),"",IF(OR(A478="",B478=""),"Tarih ya da tür eksik",IF(AND(B478="Çıkış",IFERROR(INDEX(Ürünler!$H$5:$H$304,MATCH(C478,Ürünler!$A$5:$A$304,0)),0)&lt;0),"Stok eksiye düştü","")))</f>
        <v/>
      </c>
    </row>
    <row r="479" customFormat="false" ht="15" hidden="false" customHeight="false" outlineLevel="0" collapsed="false">
      <c r="A479" s="12"/>
      <c r="B479" s="13"/>
      <c r="C479" s="14"/>
      <c r="D479" s="15"/>
      <c r="E479" s="14"/>
      <c r="F479" s="16" t="str">
        <f aca="false">IF(OR(C479="",D479=""),"",IF(OR(A479="",B479=""),"Tarih ya da tür eksik",IF(AND(B479="Çıkış",IFERROR(INDEX(Ürünler!$H$5:$H$304,MATCH(C479,Ürünler!$A$5:$A$304,0)),0)&lt;0),"Stok eksiye düştü","")))</f>
        <v/>
      </c>
    </row>
    <row r="480" customFormat="false" ht="15" hidden="false" customHeight="false" outlineLevel="0" collapsed="false">
      <c r="A480" s="12"/>
      <c r="B480" s="13"/>
      <c r="C480" s="14"/>
      <c r="D480" s="15"/>
      <c r="E480" s="14"/>
      <c r="F480" s="16" t="str">
        <f aca="false">IF(OR(C480="",D480=""),"",IF(OR(A480="",B480=""),"Tarih ya da tür eksik",IF(AND(B480="Çıkış",IFERROR(INDEX(Ürünler!$H$5:$H$304,MATCH(C480,Ürünler!$A$5:$A$304,0)),0)&lt;0),"Stok eksiye düştü","")))</f>
        <v/>
      </c>
    </row>
    <row r="481" customFormat="false" ht="15" hidden="false" customHeight="false" outlineLevel="0" collapsed="false">
      <c r="A481" s="12"/>
      <c r="B481" s="13"/>
      <c r="C481" s="14"/>
      <c r="D481" s="15"/>
      <c r="E481" s="14"/>
      <c r="F481" s="16" t="str">
        <f aca="false">IF(OR(C481="",D481=""),"",IF(OR(A481="",B481=""),"Tarih ya da tür eksik",IF(AND(B481="Çıkış",IFERROR(INDEX(Ürünler!$H$5:$H$304,MATCH(C481,Ürünler!$A$5:$A$304,0)),0)&lt;0),"Stok eksiye düştü","")))</f>
        <v/>
      </c>
    </row>
    <row r="482" customFormat="false" ht="15" hidden="false" customHeight="false" outlineLevel="0" collapsed="false">
      <c r="A482" s="12"/>
      <c r="B482" s="13"/>
      <c r="C482" s="14"/>
      <c r="D482" s="15"/>
      <c r="E482" s="14"/>
      <c r="F482" s="16" t="str">
        <f aca="false">IF(OR(C482="",D482=""),"",IF(OR(A482="",B482=""),"Tarih ya da tür eksik",IF(AND(B482="Çıkış",IFERROR(INDEX(Ürünler!$H$5:$H$304,MATCH(C482,Ürünler!$A$5:$A$304,0)),0)&lt;0),"Stok eksiye düştü","")))</f>
        <v/>
      </c>
    </row>
    <row r="483" customFormat="false" ht="15" hidden="false" customHeight="false" outlineLevel="0" collapsed="false">
      <c r="A483" s="12"/>
      <c r="B483" s="13"/>
      <c r="C483" s="14"/>
      <c r="D483" s="15"/>
      <c r="E483" s="14"/>
      <c r="F483" s="16" t="str">
        <f aca="false">IF(OR(C483="",D483=""),"",IF(OR(A483="",B483=""),"Tarih ya da tür eksik",IF(AND(B483="Çıkış",IFERROR(INDEX(Ürünler!$H$5:$H$304,MATCH(C483,Ürünler!$A$5:$A$304,0)),0)&lt;0),"Stok eksiye düştü","")))</f>
        <v/>
      </c>
    </row>
    <row r="484" customFormat="false" ht="15" hidden="false" customHeight="false" outlineLevel="0" collapsed="false">
      <c r="A484" s="12"/>
      <c r="B484" s="13"/>
      <c r="C484" s="14"/>
      <c r="D484" s="15"/>
      <c r="E484" s="14"/>
      <c r="F484" s="16" t="str">
        <f aca="false">IF(OR(C484="",D484=""),"",IF(OR(A484="",B484=""),"Tarih ya da tür eksik",IF(AND(B484="Çıkış",IFERROR(INDEX(Ürünler!$H$5:$H$304,MATCH(C484,Ürünler!$A$5:$A$304,0)),0)&lt;0),"Stok eksiye düştü","")))</f>
        <v/>
      </c>
    </row>
    <row r="485" customFormat="false" ht="15" hidden="false" customHeight="false" outlineLevel="0" collapsed="false">
      <c r="A485" s="12"/>
      <c r="B485" s="13"/>
      <c r="C485" s="14"/>
      <c r="D485" s="15"/>
      <c r="E485" s="14"/>
      <c r="F485" s="16" t="str">
        <f aca="false">IF(OR(C485="",D485=""),"",IF(OR(A485="",B485=""),"Tarih ya da tür eksik",IF(AND(B485="Çıkış",IFERROR(INDEX(Ürünler!$H$5:$H$304,MATCH(C485,Ürünler!$A$5:$A$304,0)),0)&lt;0),"Stok eksiye düştü","")))</f>
        <v/>
      </c>
    </row>
    <row r="486" customFormat="false" ht="15" hidden="false" customHeight="false" outlineLevel="0" collapsed="false">
      <c r="A486" s="12"/>
      <c r="B486" s="13"/>
      <c r="C486" s="14"/>
      <c r="D486" s="15"/>
      <c r="E486" s="14"/>
      <c r="F486" s="16" t="str">
        <f aca="false">IF(OR(C486="",D486=""),"",IF(OR(A486="",B486=""),"Tarih ya da tür eksik",IF(AND(B486="Çıkış",IFERROR(INDEX(Ürünler!$H$5:$H$304,MATCH(C486,Ürünler!$A$5:$A$304,0)),0)&lt;0),"Stok eksiye düştü","")))</f>
        <v/>
      </c>
    </row>
    <row r="487" customFormat="false" ht="15" hidden="false" customHeight="false" outlineLevel="0" collapsed="false">
      <c r="A487" s="12"/>
      <c r="B487" s="13"/>
      <c r="C487" s="14"/>
      <c r="D487" s="15"/>
      <c r="E487" s="14"/>
      <c r="F487" s="16" t="str">
        <f aca="false">IF(OR(C487="",D487=""),"",IF(OR(A487="",B487=""),"Tarih ya da tür eksik",IF(AND(B487="Çıkış",IFERROR(INDEX(Ürünler!$H$5:$H$304,MATCH(C487,Ürünler!$A$5:$A$304,0)),0)&lt;0),"Stok eksiye düştü","")))</f>
        <v/>
      </c>
    </row>
    <row r="488" customFormat="false" ht="15" hidden="false" customHeight="false" outlineLevel="0" collapsed="false">
      <c r="A488" s="12"/>
      <c r="B488" s="13"/>
      <c r="C488" s="14"/>
      <c r="D488" s="15"/>
      <c r="E488" s="14"/>
      <c r="F488" s="16" t="str">
        <f aca="false">IF(OR(C488="",D488=""),"",IF(OR(A488="",B488=""),"Tarih ya da tür eksik",IF(AND(B488="Çıkış",IFERROR(INDEX(Ürünler!$H$5:$H$304,MATCH(C488,Ürünler!$A$5:$A$304,0)),0)&lt;0),"Stok eksiye düştü","")))</f>
        <v/>
      </c>
    </row>
    <row r="489" customFormat="false" ht="15" hidden="false" customHeight="false" outlineLevel="0" collapsed="false">
      <c r="A489" s="12"/>
      <c r="B489" s="13"/>
      <c r="C489" s="14"/>
      <c r="D489" s="15"/>
      <c r="E489" s="14"/>
      <c r="F489" s="16" t="str">
        <f aca="false">IF(OR(C489="",D489=""),"",IF(OR(A489="",B489=""),"Tarih ya da tür eksik",IF(AND(B489="Çıkış",IFERROR(INDEX(Ürünler!$H$5:$H$304,MATCH(C489,Ürünler!$A$5:$A$304,0)),0)&lt;0),"Stok eksiye düştü","")))</f>
        <v/>
      </c>
    </row>
    <row r="490" customFormat="false" ht="15" hidden="false" customHeight="false" outlineLevel="0" collapsed="false">
      <c r="A490" s="12"/>
      <c r="B490" s="13"/>
      <c r="C490" s="14"/>
      <c r="D490" s="15"/>
      <c r="E490" s="14"/>
      <c r="F490" s="16" t="str">
        <f aca="false">IF(OR(C490="",D490=""),"",IF(OR(A490="",B490=""),"Tarih ya da tür eksik",IF(AND(B490="Çıkış",IFERROR(INDEX(Ürünler!$H$5:$H$304,MATCH(C490,Ürünler!$A$5:$A$304,0)),0)&lt;0),"Stok eksiye düştü","")))</f>
        <v/>
      </c>
    </row>
    <row r="491" customFormat="false" ht="15" hidden="false" customHeight="false" outlineLevel="0" collapsed="false">
      <c r="A491" s="12"/>
      <c r="B491" s="13"/>
      <c r="C491" s="14"/>
      <c r="D491" s="15"/>
      <c r="E491" s="14"/>
      <c r="F491" s="16" t="str">
        <f aca="false">IF(OR(C491="",D491=""),"",IF(OR(A491="",B491=""),"Tarih ya da tür eksik",IF(AND(B491="Çıkış",IFERROR(INDEX(Ürünler!$H$5:$H$304,MATCH(C491,Ürünler!$A$5:$A$304,0)),0)&lt;0),"Stok eksiye düştü","")))</f>
        <v/>
      </c>
    </row>
    <row r="492" customFormat="false" ht="15" hidden="false" customHeight="false" outlineLevel="0" collapsed="false">
      <c r="A492" s="12"/>
      <c r="B492" s="13"/>
      <c r="C492" s="14"/>
      <c r="D492" s="15"/>
      <c r="E492" s="14"/>
      <c r="F492" s="16" t="str">
        <f aca="false">IF(OR(C492="",D492=""),"",IF(OR(A492="",B492=""),"Tarih ya da tür eksik",IF(AND(B492="Çıkış",IFERROR(INDEX(Ürünler!$H$5:$H$304,MATCH(C492,Ürünler!$A$5:$A$304,0)),0)&lt;0),"Stok eksiye düştü","")))</f>
        <v/>
      </c>
    </row>
    <row r="493" customFormat="false" ht="15" hidden="false" customHeight="false" outlineLevel="0" collapsed="false">
      <c r="A493" s="12"/>
      <c r="B493" s="13"/>
      <c r="C493" s="14"/>
      <c r="D493" s="15"/>
      <c r="E493" s="14"/>
      <c r="F493" s="16" t="str">
        <f aca="false">IF(OR(C493="",D493=""),"",IF(OR(A493="",B493=""),"Tarih ya da tür eksik",IF(AND(B493="Çıkış",IFERROR(INDEX(Ürünler!$H$5:$H$304,MATCH(C493,Ürünler!$A$5:$A$304,0)),0)&lt;0),"Stok eksiye düştü","")))</f>
        <v/>
      </c>
    </row>
    <row r="494" customFormat="false" ht="15" hidden="false" customHeight="false" outlineLevel="0" collapsed="false">
      <c r="A494" s="12"/>
      <c r="B494" s="13"/>
      <c r="C494" s="14"/>
      <c r="D494" s="15"/>
      <c r="E494" s="14"/>
      <c r="F494" s="16" t="str">
        <f aca="false">IF(OR(C494="",D494=""),"",IF(OR(A494="",B494=""),"Tarih ya da tür eksik",IF(AND(B494="Çıkış",IFERROR(INDEX(Ürünler!$H$5:$H$304,MATCH(C494,Ürünler!$A$5:$A$304,0)),0)&lt;0),"Stok eksiye düştü","")))</f>
        <v/>
      </c>
    </row>
    <row r="495" customFormat="false" ht="15" hidden="false" customHeight="false" outlineLevel="0" collapsed="false">
      <c r="A495" s="12"/>
      <c r="B495" s="13"/>
      <c r="C495" s="14"/>
      <c r="D495" s="15"/>
      <c r="E495" s="14"/>
      <c r="F495" s="16" t="str">
        <f aca="false">IF(OR(C495="",D495=""),"",IF(OR(A495="",B495=""),"Tarih ya da tür eksik",IF(AND(B495="Çıkış",IFERROR(INDEX(Ürünler!$H$5:$H$304,MATCH(C495,Ürünler!$A$5:$A$304,0)),0)&lt;0),"Stok eksiye düştü","")))</f>
        <v/>
      </c>
    </row>
    <row r="496" customFormat="false" ht="15" hidden="false" customHeight="false" outlineLevel="0" collapsed="false">
      <c r="A496" s="12"/>
      <c r="B496" s="13"/>
      <c r="C496" s="14"/>
      <c r="D496" s="15"/>
      <c r="E496" s="14"/>
      <c r="F496" s="16" t="str">
        <f aca="false">IF(OR(C496="",D496=""),"",IF(OR(A496="",B496=""),"Tarih ya da tür eksik",IF(AND(B496="Çıkış",IFERROR(INDEX(Ürünler!$H$5:$H$304,MATCH(C496,Ürünler!$A$5:$A$304,0)),0)&lt;0),"Stok eksiye düştü","")))</f>
        <v/>
      </c>
    </row>
    <row r="497" customFormat="false" ht="15" hidden="false" customHeight="false" outlineLevel="0" collapsed="false">
      <c r="A497" s="12"/>
      <c r="B497" s="13"/>
      <c r="C497" s="14"/>
      <c r="D497" s="15"/>
      <c r="E497" s="14"/>
      <c r="F497" s="16" t="str">
        <f aca="false">IF(OR(C497="",D497=""),"",IF(OR(A497="",B497=""),"Tarih ya da tür eksik",IF(AND(B497="Çıkış",IFERROR(INDEX(Ürünler!$H$5:$H$304,MATCH(C497,Ürünler!$A$5:$A$304,0)),0)&lt;0),"Stok eksiye düştü","")))</f>
        <v/>
      </c>
    </row>
    <row r="498" customFormat="false" ht="15" hidden="false" customHeight="false" outlineLevel="0" collapsed="false">
      <c r="A498" s="12"/>
      <c r="B498" s="13"/>
      <c r="C498" s="14"/>
      <c r="D498" s="15"/>
      <c r="E498" s="14"/>
      <c r="F498" s="16" t="str">
        <f aca="false">IF(OR(C498="",D498=""),"",IF(OR(A498="",B498=""),"Tarih ya da tür eksik",IF(AND(B498="Çıkış",IFERROR(INDEX(Ürünler!$H$5:$H$304,MATCH(C498,Ürünler!$A$5:$A$304,0)),0)&lt;0),"Stok eksiye düştü","")))</f>
        <v/>
      </c>
    </row>
    <row r="499" customFormat="false" ht="15" hidden="false" customHeight="false" outlineLevel="0" collapsed="false">
      <c r="A499" s="12"/>
      <c r="B499" s="13"/>
      <c r="C499" s="14"/>
      <c r="D499" s="15"/>
      <c r="E499" s="14"/>
      <c r="F499" s="16" t="str">
        <f aca="false">IF(OR(C499="",D499=""),"",IF(OR(A499="",B499=""),"Tarih ya da tür eksik",IF(AND(B499="Çıkış",IFERROR(INDEX(Ürünler!$H$5:$H$304,MATCH(C499,Ürünler!$A$5:$A$304,0)),0)&lt;0),"Stok eksiye düştü","")))</f>
        <v/>
      </c>
    </row>
    <row r="500" customFormat="false" ht="15" hidden="false" customHeight="false" outlineLevel="0" collapsed="false">
      <c r="A500" s="12"/>
      <c r="B500" s="13"/>
      <c r="C500" s="14"/>
      <c r="D500" s="15"/>
      <c r="E500" s="14"/>
      <c r="F500" s="16" t="str">
        <f aca="false">IF(OR(C500="",D500=""),"",IF(OR(A500="",B500=""),"Tarih ya da tür eksik",IF(AND(B500="Çıkış",IFERROR(INDEX(Ürünler!$H$5:$H$304,MATCH(C500,Ürünler!$A$5:$A$304,0)),0)&lt;0),"Stok eksiye düştü","")))</f>
        <v/>
      </c>
    </row>
    <row r="501" customFormat="false" ht="15" hidden="false" customHeight="false" outlineLevel="0" collapsed="false">
      <c r="A501" s="12"/>
      <c r="B501" s="13"/>
      <c r="C501" s="14"/>
      <c r="D501" s="15"/>
      <c r="E501" s="14"/>
      <c r="F501" s="16" t="str">
        <f aca="false">IF(OR(C501="",D501=""),"",IF(OR(A501="",B501=""),"Tarih ya da tür eksik",IF(AND(B501="Çıkış",IFERROR(INDEX(Ürünler!$H$5:$H$304,MATCH(C501,Ürünler!$A$5:$A$304,0)),0)&lt;0),"Stok eksiye düştü","")))</f>
        <v/>
      </c>
    </row>
    <row r="502" customFormat="false" ht="15" hidden="false" customHeight="false" outlineLevel="0" collapsed="false">
      <c r="A502" s="12"/>
      <c r="B502" s="13"/>
      <c r="C502" s="14"/>
      <c r="D502" s="15"/>
      <c r="E502" s="14"/>
      <c r="F502" s="16" t="str">
        <f aca="false">IF(OR(C502="",D502=""),"",IF(OR(A502="",B502=""),"Tarih ya da tür eksik",IF(AND(B502="Çıkış",IFERROR(INDEX(Ürünler!$H$5:$H$304,MATCH(C502,Ürünler!$A$5:$A$304,0)),0)&lt;0),"Stok eksiye düştü","")))</f>
        <v/>
      </c>
    </row>
    <row r="503" customFormat="false" ht="15" hidden="false" customHeight="false" outlineLevel="0" collapsed="false">
      <c r="A503" s="12"/>
      <c r="B503" s="13"/>
      <c r="C503" s="14"/>
      <c r="D503" s="15"/>
      <c r="E503" s="14"/>
      <c r="F503" s="16" t="str">
        <f aca="false">IF(OR(C503="",D503=""),"",IF(OR(A503="",B503=""),"Tarih ya da tür eksik",IF(AND(B503="Çıkış",IFERROR(INDEX(Ürünler!$H$5:$H$304,MATCH(C503,Ürünler!$A$5:$A$304,0)),0)&lt;0),"Stok eksiye düştü","")))</f>
        <v/>
      </c>
    </row>
    <row r="504" customFormat="false" ht="15" hidden="false" customHeight="false" outlineLevel="0" collapsed="false">
      <c r="A504" s="12"/>
      <c r="B504" s="13"/>
      <c r="C504" s="14"/>
      <c r="D504" s="15"/>
      <c r="E504" s="14"/>
      <c r="F504" s="16" t="str">
        <f aca="false">IF(OR(C504="",D504=""),"",IF(OR(A504="",B504=""),"Tarih ya da tür eksik",IF(AND(B504="Çıkış",IFERROR(INDEX(Ürünler!$H$5:$H$304,MATCH(C504,Ürünler!$A$5:$A$304,0)),0)&lt;0),"Stok eksiye düştü","")))</f>
        <v/>
      </c>
    </row>
    <row r="505" customFormat="false" ht="15" hidden="false" customHeight="false" outlineLevel="0" collapsed="false">
      <c r="A505" s="12"/>
      <c r="B505" s="13"/>
      <c r="C505" s="14"/>
      <c r="D505" s="15"/>
      <c r="E505" s="14"/>
      <c r="F505" s="16" t="str">
        <f aca="false">IF(OR(C505="",D505=""),"",IF(OR(A505="",B505=""),"Tarih ya da tür eksik",IF(AND(B505="Çıkış",IFERROR(INDEX(Ürünler!$H$5:$H$304,MATCH(C505,Ürünler!$A$5:$A$304,0)),0)&lt;0),"Stok eksiye düştü","")))</f>
        <v/>
      </c>
    </row>
    <row r="506" customFormat="false" ht="15" hidden="false" customHeight="false" outlineLevel="0" collapsed="false">
      <c r="A506" s="12"/>
      <c r="B506" s="13"/>
      <c r="C506" s="14"/>
      <c r="D506" s="15"/>
      <c r="E506" s="14"/>
      <c r="F506" s="16" t="str">
        <f aca="false">IF(OR(C506="",D506=""),"",IF(OR(A506="",B506=""),"Tarih ya da tür eksik",IF(AND(B506="Çıkış",IFERROR(INDEX(Ürünler!$H$5:$H$304,MATCH(C506,Ürünler!$A$5:$A$304,0)),0)&lt;0),"Stok eksiye düştü","")))</f>
        <v/>
      </c>
    </row>
    <row r="507" customFormat="false" ht="15" hidden="false" customHeight="false" outlineLevel="0" collapsed="false">
      <c r="A507" s="12"/>
      <c r="B507" s="13"/>
      <c r="C507" s="14"/>
      <c r="D507" s="15"/>
      <c r="E507" s="14"/>
      <c r="F507" s="16" t="str">
        <f aca="false">IF(OR(C507="",D507=""),"",IF(OR(A507="",B507=""),"Tarih ya da tür eksik",IF(AND(B507="Çıkış",IFERROR(INDEX(Ürünler!$H$5:$H$304,MATCH(C507,Ürünler!$A$5:$A$304,0)),0)&lt;0),"Stok eksiye düştü","")))</f>
        <v/>
      </c>
    </row>
    <row r="508" customFormat="false" ht="15" hidden="false" customHeight="false" outlineLevel="0" collapsed="false">
      <c r="A508" s="12"/>
      <c r="B508" s="13"/>
      <c r="C508" s="14"/>
      <c r="D508" s="15"/>
      <c r="E508" s="14"/>
      <c r="F508" s="16" t="str">
        <f aca="false">IF(OR(C508="",D508=""),"",IF(OR(A508="",B508=""),"Tarih ya da tür eksik",IF(AND(B508="Çıkış",IFERROR(INDEX(Ürünler!$H$5:$H$304,MATCH(C508,Ürünler!$A$5:$A$304,0)),0)&lt;0),"Stok eksiye düştü","")))</f>
        <v/>
      </c>
    </row>
    <row r="509" customFormat="false" ht="15" hidden="false" customHeight="false" outlineLevel="0" collapsed="false">
      <c r="A509" s="12"/>
      <c r="B509" s="13"/>
      <c r="C509" s="14"/>
      <c r="D509" s="15"/>
      <c r="E509" s="14"/>
      <c r="F509" s="16" t="str">
        <f aca="false">IF(OR(C509="",D509=""),"",IF(OR(A509="",B509=""),"Tarih ya da tür eksik",IF(AND(B509="Çıkış",IFERROR(INDEX(Ürünler!$H$5:$H$304,MATCH(C509,Ürünler!$A$5:$A$304,0)),0)&lt;0),"Stok eksiye düştü","")))</f>
        <v/>
      </c>
    </row>
    <row r="510" customFormat="false" ht="15" hidden="false" customHeight="false" outlineLevel="0" collapsed="false">
      <c r="A510" s="12"/>
      <c r="B510" s="13"/>
      <c r="C510" s="14"/>
      <c r="D510" s="15"/>
      <c r="E510" s="14"/>
      <c r="F510" s="16" t="str">
        <f aca="false">IF(OR(C510="",D510=""),"",IF(OR(A510="",B510=""),"Tarih ya da tür eksik",IF(AND(B510="Çıkış",IFERROR(INDEX(Ürünler!$H$5:$H$304,MATCH(C510,Ürünler!$A$5:$A$304,0)),0)&lt;0),"Stok eksiye düştü","")))</f>
        <v/>
      </c>
    </row>
    <row r="511" customFormat="false" ht="15" hidden="false" customHeight="false" outlineLevel="0" collapsed="false">
      <c r="A511" s="12"/>
      <c r="B511" s="13"/>
      <c r="C511" s="14"/>
      <c r="D511" s="15"/>
      <c r="E511" s="14"/>
      <c r="F511" s="16" t="str">
        <f aca="false">IF(OR(C511="",D511=""),"",IF(OR(A511="",B511=""),"Tarih ya da tür eksik",IF(AND(B511="Çıkış",IFERROR(INDEX(Ürünler!$H$5:$H$304,MATCH(C511,Ürünler!$A$5:$A$304,0)),0)&lt;0),"Stok eksiye düştü","")))</f>
        <v/>
      </c>
    </row>
    <row r="512" customFormat="false" ht="15" hidden="false" customHeight="false" outlineLevel="0" collapsed="false">
      <c r="A512" s="12"/>
      <c r="B512" s="13"/>
      <c r="C512" s="14"/>
      <c r="D512" s="15"/>
      <c r="E512" s="14"/>
      <c r="F512" s="16" t="str">
        <f aca="false">IF(OR(C512="",D512=""),"",IF(OR(A512="",B512=""),"Tarih ya da tür eksik",IF(AND(B512="Çıkış",IFERROR(INDEX(Ürünler!$H$5:$H$304,MATCH(C512,Ürünler!$A$5:$A$304,0)),0)&lt;0),"Stok eksiye düştü","")))</f>
        <v/>
      </c>
    </row>
    <row r="513" customFormat="false" ht="15" hidden="false" customHeight="false" outlineLevel="0" collapsed="false">
      <c r="A513" s="12"/>
      <c r="B513" s="13"/>
      <c r="C513" s="14"/>
      <c r="D513" s="15"/>
      <c r="E513" s="14"/>
      <c r="F513" s="16" t="str">
        <f aca="false">IF(OR(C513="",D513=""),"",IF(OR(A513="",B513=""),"Tarih ya da tür eksik",IF(AND(B513="Çıkış",IFERROR(INDEX(Ürünler!$H$5:$H$304,MATCH(C513,Ürünler!$A$5:$A$304,0)),0)&lt;0),"Stok eksiye düştü","")))</f>
        <v/>
      </c>
    </row>
    <row r="514" customFormat="false" ht="15" hidden="false" customHeight="false" outlineLevel="0" collapsed="false">
      <c r="A514" s="12"/>
      <c r="B514" s="13"/>
      <c r="C514" s="14"/>
      <c r="D514" s="15"/>
      <c r="E514" s="14"/>
      <c r="F514" s="16" t="str">
        <f aca="false">IF(OR(C514="",D514=""),"",IF(OR(A514="",B514=""),"Tarih ya da tür eksik",IF(AND(B514="Çıkış",IFERROR(INDEX(Ürünler!$H$5:$H$304,MATCH(C514,Ürünler!$A$5:$A$304,0)),0)&lt;0),"Stok eksiye düştü","")))</f>
        <v/>
      </c>
    </row>
    <row r="515" customFormat="false" ht="15" hidden="false" customHeight="false" outlineLevel="0" collapsed="false">
      <c r="A515" s="12"/>
      <c r="B515" s="13"/>
      <c r="C515" s="14"/>
      <c r="D515" s="15"/>
      <c r="E515" s="14"/>
      <c r="F515" s="16" t="str">
        <f aca="false">IF(OR(C515="",D515=""),"",IF(OR(A515="",B515=""),"Tarih ya da tür eksik",IF(AND(B515="Çıkış",IFERROR(INDEX(Ürünler!$H$5:$H$304,MATCH(C515,Ürünler!$A$5:$A$304,0)),0)&lt;0),"Stok eksiye düştü","")))</f>
        <v/>
      </c>
    </row>
    <row r="516" customFormat="false" ht="15" hidden="false" customHeight="false" outlineLevel="0" collapsed="false">
      <c r="A516" s="12"/>
      <c r="B516" s="13"/>
      <c r="C516" s="14"/>
      <c r="D516" s="15"/>
      <c r="E516" s="14"/>
      <c r="F516" s="16" t="str">
        <f aca="false">IF(OR(C516="",D516=""),"",IF(OR(A516="",B516=""),"Tarih ya da tür eksik",IF(AND(B516="Çıkış",IFERROR(INDEX(Ürünler!$H$5:$H$304,MATCH(C516,Ürünler!$A$5:$A$304,0)),0)&lt;0),"Stok eksiye düştü","")))</f>
        <v/>
      </c>
    </row>
    <row r="517" customFormat="false" ht="15" hidden="false" customHeight="false" outlineLevel="0" collapsed="false">
      <c r="A517" s="12"/>
      <c r="B517" s="13"/>
      <c r="C517" s="14"/>
      <c r="D517" s="15"/>
      <c r="E517" s="14"/>
      <c r="F517" s="16" t="str">
        <f aca="false">IF(OR(C517="",D517=""),"",IF(OR(A517="",B517=""),"Tarih ya da tür eksik",IF(AND(B517="Çıkış",IFERROR(INDEX(Ürünler!$H$5:$H$304,MATCH(C517,Ürünler!$A$5:$A$304,0)),0)&lt;0),"Stok eksiye düştü","")))</f>
        <v/>
      </c>
    </row>
    <row r="518" customFormat="false" ht="15" hidden="false" customHeight="false" outlineLevel="0" collapsed="false">
      <c r="A518" s="12"/>
      <c r="B518" s="13"/>
      <c r="C518" s="14"/>
      <c r="D518" s="15"/>
      <c r="E518" s="14"/>
      <c r="F518" s="16" t="str">
        <f aca="false">IF(OR(C518="",D518=""),"",IF(OR(A518="",B518=""),"Tarih ya da tür eksik",IF(AND(B518="Çıkış",IFERROR(INDEX(Ürünler!$H$5:$H$304,MATCH(C518,Ürünler!$A$5:$A$304,0)),0)&lt;0),"Stok eksiye düştü","")))</f>
        <v/>
      </c>
    </row>
    <row r="519" customFormat="false" ht="15" hidden="false" customHeight="false" outlineLevel="0" collapsed="false">
      <c r="A519" s="12"/>
      <c r="B519" s="13"/>
      <c r="C519" s="14"/>
      <c r="D519" s="15"/>
      <c r="E519" s="14"/>
      <c r="F519" s="16" t="str">
        <f aca="false">IF(OR(C519="",D519=""),"",IF(OR(A519="",B519=""),"Tarih ya da tür eksik",IF(AND(B519="Çıkış",IFERROR(INDEX(Ürünler!$H$5:$H$304,MATCH(C519,Ürünler!$A$5:$A$304,0)),0)&lt;0),"Stok eksiye düştü","")))</f>
        <v/>
      </c>
    </row>
    <row r="520" customFormat="false" ht="15" hidden="false" customHeight="false" outlineLevel="0" collapsed="false">
      <c r="A520" s="12"/>
      <c r="B520" s="13"/>
      <c r="C520" s="14"/>
      <c r="D520" s="15"/>
      <c r="E520" s="14"/>
      <c r="F520" s="16" t="str">
        <f aca="false">IF(OR(C520="",D520=""),"",IF(OR(A520="",B520=""),"Tarih ya da tür eksik",IF(AND(B520="Çıkış",IFERROR(INDEX(Ürünler!$H$5:$H$304,MATCH(C520,Ürünler!$A$5:$A$304,0)),0)&lt;0),"Stok eksiye düştü","")))</f>
        <v/>
      </c>
    </row>
    <row r="521" customFormat="false" ht="15" hidden="false" customHeight="false" outlineLevel="0" collapsed="false">
      <c r="A521" s="12"/>
      <c r="B521" s="13"/>
      <c r="C521" s="14"/>
      <c r="D521" s="15"/>
      <c r="E521" s="14"/>
      <c r="F521" s="16" t="str">
        <f aca="false">IF(OR(C521="",D521=""),"",IF(OR(A521="",B521=""),"Tarih ya da tür eksik",IF(AND(B521="Çıkış",IFERROR(INDEX(Ürünler!$H$5:$H$304,MATCH(C521,Ürünler!$A$5:$A$304,0)),0)&lt;0),"Stok eksiye düştü","")))</f>
        <v/>
      </c>
    </row>
    <row r="522" customFormat="false" ht="15" hidden="false" customHeight="false" outlineLevel="0" collapsed="false">
      <c r="A522" s="12"/>
      <c r="B522" s="13"/>
      <c r="C522" s="14"/>
      <c r="D522" s="15"/>
      <c r="E522" s="14"/>
      <c r="F522" s="16" t="str">
        <f aca="false">IF(OR(C522="",D522=""),"",IF(OR(A522="",B522=""),"Tarih ya da tür eksik",IF(AND(B522="Çıkış",IFERROR(INDEX(Ürünler!$H$5:$H$304,MATCH(C522,Ürünler!$A$5:$A$304,0)),0)&lt;0),"Stok eksiye düştü","")))</f>
        <v/>
      </c>
    </row>
    <row r="523" customFormat="false" ht="15" hidden="false" customHeight="false" outlineLevel="0" collapsed="false">
      <c r="A523" s="12"/>
      <c r="B523" s="13"/>
      <c r="C523" s="14"/>
      <c r="D523" s="15"/>
      <c r="E523" s="14"/>
      <c r="F523" s="16" t="str">
        <f aca="false">IF(OR(C523="",D523=""),"",IF(OR(A523="",B523=""),"Tarih ya da tür eksik",IF(AND(B523="Çıkış",IFERROR(INDEX(Ürünler!$H$5:$H$304,MATCH(C523,Ürünler!$A$5:$A$304,0)),0)&lt;0),"Stok eksiye düştü","")))</f>
        <v/>
      </c>
    </row>
    <row r="524" customFormat="false" ht="15" hidden="false" customHeight="false" outlineLevel="0" collapsed="false">
      <c r="A524" s="12"/>
      <c r="B524" s="13"/>
      <c r="C524" s="14"/>
      <c r="D524" s="15"/>
      <c r="E524" s="14"/>
      <c r="F524" s="16" t="str">
        <f aca="false">IF(OR(C524="",D524=""),"",IF(OR(A524="",B524=""),"Tarih ya da tür eksik",IF(AND(B524="Çıkış",IFERROR(INDEX(Ürünler!$H$5:$H$304,MATCH(C524,Ürünler!$A$5:$A$304,0)),0)&lt;0),"Stok eksiye düştü","")))</f>
        <v/>
      </c>
    </row>
    <row r="525" customFormat="false" ht="15" hidden="false" customHeight="false" outlineLevel="0" collapsed="false">
      <c r="A525" s="12"/>
      <c r="B525" s="13"/>
      <c r="C525" s="14"/>
      <c r="D525" s="15"/>
      <c r="E525" s="14"/>
      <c r="F525" s="16" t="str">
        <f aca="false">IF(OR(C525="",D525=""),"",IF(OR(A525="",B525=""),"Tarih ya da tür eksik",IF(AND(B525="Çıkış",IFERROR(INDEX(Ürünler!$H$5:$H$304,MATCH(C525,Ürünler!$A$5:$A$304,0)),0)&lt;0),"Stok eksiye düştü","")))</f>
        <v/>
      </c>
    </row>
    <row r="526" customFormat="false" ht="15" hidden="false" customHeight="false" outlineLevel="0" collapsed="false">
      <c r="A526" s="12"/>
      <c r="B526" s="13"/>
      <c r="C526" s="14"/>
      <c r="D526" s="15"/>
      <c r="E526" s="14"/>
      <c r="F526" s="16" t="str">
        <f aca="false">IF(OR(C526="",D526=""),"",IF(OR(A526="",B526=""),"Tarih ya da tür eksik",IF(AND(B526="Çıkış",IFERROR(INDEX(Ürünler!$H$5:$H$304,MATCH(C526,Ürünler!$A$5:$A$304,0)),0)&lt;0),"Stok eksiye düştü","")))</f>
        <v/>
      </c>
    </row>
    <row r="527" customFormat="false" ht="15" hidden="false" customHeight="false" outlineLevel="0" collapsed="false">
      <c r="A527" s="12"/>
      <c r="B527" s="13"/>
      <c r="C527" s="14"/>
      <c r="D527" s="15"/>
      <c r="E527" s="14"/>
      <c r="F527" s="16" t="str">
        <f aca="false">IF(OR(C527="",D527=""),"",IF(OR(A527="",B527=""),"Tarih ya da tür eksik",IF(AND(B527="Çıkış",IFERROR(INDEX(Ürünler!$H$5:$H$304,MATCH(C527,Ürünler!$A$5:$A$304,0)),0)&lt;0),"Stok eksiye düştü","")))</f>
        <v/>
      </c>
    </row>
    <row r="528" customFormat="false" ht="15" hidden="false" customHeight="false" outlineLevel="0" collapsed="false">
      <c r="A528" s="12"/>
      <c r="B528" s="13"/>
      <c r="C528" s="14"/>
      <c r="D528" s="15"/>
      <c r="E528" s="14"/>
      <c r="F528" s="16" t="str">
        <f aca="false">IF(OR(C528="",D528=""),"",IF(OR(A528="",B528=""),"Tarih ya da tür eksik",IF(AND(B528="Çıkış",IFERROR(INDEX(Ürünler!$H$5:$H$304,MATCH(C528,Ürünler!$A$5:$A$304,0)),0)&lt;0),"Stok eksiye düştü","")))</f>
        <v/>
      </c>
    </row>
    <row r="529" customFormat="false" ht="15" hidden="false" customHeight="false" outlineLevel="0" collapsed="false">
      <c r="A529" s="12"/>
      <c r="B529" s="13"/>
      <c r="C529" s="14"/>
      <c r="D529" s="15"/>
      <c r="E529" s="14"/>
      <c r="F529" s="16" t="str">
        <f aca="false">IF(OR(C529="",D529=""),"",IF(OR(A529="",B529=""),"Tarih ya da tür eksik",IF(AND(B529="Çıkış",IFERROR(INDEX(Ürünler!$H$5:$H$304,MATCH(C529,Ürünler!$A$5:$A$304,0)),0)&lt;0),"Stok eksiye düştü","")))</f>
        <v/>
      </c>
    </row>
    <row r="530" customFormat="false" ht="15" hidden="false" customHeight="false" outlineLevel="0" collapsed="false">
      <c r="A530" s="12"/>
      <c r="B530" s="13"/>
      <c r="C530" s="14"/>
      <c r="D530" s="15"/>
      <c r="E530" s="14"/>
      <c r="F530" s="16" t="str">
        <f aca="false">IF(OR(C530="",D530=""),"",IF(OR(A530="",B530=""),"Tarih ya da tür eksik",IF(AND(B530="Çıkış",IFERROR(INDEX(Ürünler!$H$5:$H$304,MATCH(C530,Ürünler!$A$5:$A$304,0)),0)&lt;0),"Stok eksiye düştü","")))</f>
        <v/>
      </c>
    </row>
    <row r="531" customFormat="false" ht="15" hidden="false" customHeight="false" outlineLevel="0" collapsed="false">
      <c r="A531" s="12"/>
      <c r="B531" s="13"/>
      <c r="C531" s="14"/>
      <c r="D531" s="15"/>
      <c r="E531" s="14"/>
      <c r="F531" s="16" t="str">
        <f aca="false">IF(OR(C531="",D531=""),"",IF(OR(A531="",B531=""),"Tarih ya da tür eksik",IF(AND(B531="Çıkış",IFERROR(INDEX(Ürünler!$H$5:$H$304,MATCH(C531,Ürünler!$A$5:$A$304,0)),0)&lt;0),"Stok eksiye düştü","")))</f>
        <v/>
      </c>
    </row>
    <row r="532" customFormat="false" ht="15" hidden="false" customHeight="false" outlineLevel="0" collapsed="false">
      <c r="A532" s="12"/>
      <c r="B532" s="13"/>
      <c r="C532" s="14"/>
      <c r="D532" s="15"/>
      <c r="E532" s="14"/>
      <c r="F532" s="16" t="str">
        <f aca="false">IF(OR(C532="",D532=""),"",IF(OR(A532="",B532=""),"Tarih ya da tür eksik",IF(AND(B532="Çıkış",IFERROR(INDEX(Ürünler!$H$5:$H$304,MATCH(C532,Ürünler!$A$5:$A$304,0)),0)&lt;0),"Stok eksiye düştü","")))</f>
        <v/>
      </c>
    </row>
    <row r="533" customFormat="false" ht="15" hidden="false" customHeight="false" outlineLevel="0" collapsed="false">
      <c r="A533" s="12"/>
      <c r="B533" s="13"/>
      <c r="C533" s="14"/>
      <c r="D533" s="15"/>
      <c r="E533" s="14"/>
      <c r="F533" s="16" t="str">
        <f aca="false">IF(OR(C533="",D533=""),"",IF(OR(A533="",B533=""),"Tarih ya da tür eksik",IF(AND(B533="Çıkış",IFERROR(INDEX(Ürünler!$H$5:$H$304,MATCH(C533,Ürünler!$A$5:$A$304,0)),0)&lt;0),"Stok eksiye düştü","")))</f>
        <v/>
      </c>
    </row>
    <row r="534" customFormat="false" ht="15" hidden="false" customHeight="false" outlineLevel="0" collapsed="false">
      <c r="A534" s="12"/>
      <c r="B534" s="13"/>
      <c r="C534" s="14"/>
      <c r="D534" s="15"/>
      <c r="E534" s="14"/>
      <c r="F534" s="16" t="str">
        <f aca="false">IF(OR(C534="",D534=""),"",IF(OR(A534="",B534=""),"Tarih ya da tür eksik",IF(AND(B534="Çıkış",IFERROR(INDEX(Ürünler!$H$5:$H$304,MATCH(C534,Ürünler!$A$5:$A$304,0)),0)&lt;0),"Stok eksiye düştü","")))</f>
        <v/>
      </c>
    </row>
    <row r="535" customFormat="false" ht="15" hidden="false" customHeight="false" outlineLevel="0" collapsed="false">
      <c r="A535" s="12"/>
      <c r="B535" s="13"/>
      <c r="C535" s="14"/>
      <c r="D535" s="15"/>
      <c r="E535" s="14"/>
      <c r="F535" s="16" t="str">
        <f aca="false">IF(OR(C535="",D535=""),"",IF(OR(A535="",B535=""),"Tarih ya da tür eksik",IF(AND(B535="Çıkış",IFERROR(INDEX(Ürünler!$H$5:$H$304,MATCH(C535,Ürünler!$A$5:$A$304,0)),0)&lt;0),"Stok eksiye düştü","")))</f>
        <v/>
      </c>
    </row>
    <row r="536" customFormat="false" ht="15" hidden="false" customHeight="false" outlineLevel="0" collapsed="false">
      <c r="A536" s="12"/>
      <c r="B536" s="13"/>
      <c r="C536" s="14"/>
      <c r="D536" s="15"/>
      <c r="E536" s="14"/>
      <c r="F536" s="16" t="str">
        <f aca="false">IF(OR(C536="",D536=""),"",IF(OR(A536="",B536=""),"Tarih ya da tür eksik",IF(AND(B536="Çıkış",IFERROR(INDEX(Ürünler!$H$5:$H$304,MATCH(C536,Ürünler!$A$5:$A$304,0)),0)&lt;0),"Stok eksiye düştü","")))</f>
        <v/>
      </c>
    </row>
    <row r="537" customFormat="false" ht="15" hidden="false" customHeight="false" outlineLevel="0" collapsed="false">
      <c r="A537" s="12"/>
      <c r="B537" s="13"/>
      <c r="C537" s="14"/>
      <c r="D537" s="15"/>
      <c r="E537" s="14"/>
      <c r="F537" s="16" t="str">
        <f aca="false">IF(OR(C537="",D537=""),"",IF(OR(A537="",B537=""),"Tarih ya da tür eksik",IF(AND(B537="Çıkış",IFERROR(INDEX(Ürünler!$H$5:$H$304,MATCH(C537,Ürünler!$A$5:$A$304,0)),0)&lt;0),"Stok eksiye düştü","")))</f>
        <v/>
      </c>
    </row>
    <row r="538" customFormat="false" ht="15" hidden="false" customHeight="false" outlineLevel="0" collapsed="false">
      <c r="A538" s="12"/>
      <c r="B538" s="13"/>
      <c r="C538" s="14"/>
      <c r="D538" s="15"/>
      <c r="E538" s="14"/>
      <c r="F538" s="16" t="str">
        <f aca="false">IF(OR(C538="",D538=""),"",IF(OR(A538="",B538=""),"Tarih ya da tür eksik",IF(AND(B538="Çıkış",IFERROR(INDEX(Ürünler!$H$5:$H$304,MATCH(C538,Ürünler!$A$5:$A$304,0)),0)&lt;0),"Stok eksiye düştü","")))</f>
        <v/>
      </c>
    </row>
    <row r="539" customFormat="false" ht="15" hidden="false" customHeight="false" outlineLevel="0" collapsed="false">
      <c r="A539" s="12"/>
      <c r="B539" s="13"/>
      <c r="C539" s="14"/>
      <c r="D539" s="15"/>
      <c r="E539" s="14"/>
      <c r="F539" s="16" t="str">
        <f aca="false">IF(OR(C539="",D539=""),"",IF(OR(A539="",B539=""),"Tarih ya da tür eksik",IF(AND(B539="Çıkış",IFERROR(INDEX(Ürünler!$H$5:$H$304,MATCH(C539,Ürünler!$A$5:$A$304,0)),0)&lt;0),"Stok eksiye düştü","")))</f>
        <v/>
      </c>
    </row>
    <row r="540" customFormat="false" ht="15" hidden="false" customHeight="false" outlineLevel="0" collapsed="false">
      <c r="A540" s="12"/>
      <c r="B540" s="13"/>
      <c r="C540" s="14"/>
      <c r="D540" s="15"/>
      <c r="E540" s="14"/>
      <c r="F540" s="16" t="str">
        <f aca="false">IF(OR(C540="",D540=""),"",IF(OR(A540="",B540=""),"Tarih ya da tür eksik",IF(AND(B540="Çıkış",IFERROR(INDEX(Ürünler!$H$5:$H$304,MATCH(C540,Ürünler!$A$5:$A$304,0)),0)&lt;0),"Stok eksiye düştü","")))</f>
        <v/>
      </c>
    </row>
    <row r="541" customFormat="false" ht="15" hidden="false" customHeight="false" outlineLevel="0" collapsed="false">
      <c r="A541" s="12"/>
      <c r="B541" s="13"/>
      <c r="C541" s="14"/>
      <c r="D541" s="15"/>
      <c r="E541" s="14"/>
      <c r="F541" s="16" t="str">
        <f aca="false">IF(OR(C541="",D541=""),"",IF(OR(A541="",B541=""),"Tarih ya da tür eksik",IF(AND(B541="Çıkış",IFERROR(INDEX(Ürünler!$H$5:$H$304,MATCH(C541,Ürünler!$A$5:$A$304,0)),0)&lt;0),"Stok eksiye düştü","")))</f>
        <v/>
      </c>
    </row>
    <row r="542" customFormat="false" ht="15" hidden="false" customHeight="false" outlineLevel="0" collapsed="false">
      <c r="A542" s="12"/>
      <c r="B542" s="13"/>
      <c r="C542" s="14"/>
      <c r="D542" s="15"/>
      <c r="E542" s="14"/>
      <c r="F542" s="16" t="str">
        <f aca="false">IF(OR(C542="",D542=""),"",IF(OR(A542="",B542=""),"Tarih ya da tür eksik",IF(AND(B542="Çıkış",IFERROR(INDEX(Ürünler!$H$5:$H$304,MATCH(C542,Ürünler!$A$5:$A$304,0)),0)&lt;0),"Stok eksiye düştü","")))</f>
        <v/>
      </c>
    </row>
    <row r="543" customFormat="false" ht="15" hidden="false" customHeight="false" outlineLevel="0" collapsed="false">
      <c r="A543" s="12"/>
      <c r="B543" s="13"/>
      <c r="C543" s="14"/>
      <c r="D543" s="15"/>
      <c r="E543" s="14"/>
      <c r="F543" s="16" t="str">
        <f aca="false">IF(OR(C543="",D543=""),"",IF(OR(A543="",B543=""),"Tarih ya da tür eksik",IF(AND(B543="Çıkış",IFERROR(INDEX(Ürünler!$H$5:$H$304,MATCH(C543,Ürünler!$A$5:$A$304,0)),0)&lt;0),"Stok eksiye düştü","")))</f>
        <v/>
      </c>
    </row>
    <row r="544" customFormat="false" ht="15" hidden="false" customHeight="false" outlineLevel="0" collapsed="false">
      <c r="A544" s="12"/>
      <c r="B544" s="13"/>
      <c r="C544" s="14"/>
      <c r="D544" s="15"/>
      <c r="E544" s="14"/>
      <c r="F544" s="16" t="str">
        <f aca="false">IF(OR(C544="",D544=""),"",IF(OR(A544="",B544=""),"Tarih ya da tür eksik",IF(AND(B544="Çıkış",IFERROR(INDEX(Ürünler!$H$5:$H$304,MATCH(C544,Ürünler!$A$5:$A$304,0)),0)&lt;0),"Stok eksiye düştü","")))</f>
        <v/>
      </c>
    </row>
    <row r="545" customFormat="false" ht="15" hidden="false" customHeight="false" outlineLevel="0" collapsed="false">
      <c r="A545" s="12"/>
      <c r="B545" s="13"/>
      <c r="C545" s="14"/>
      <c r="D545" s="15"/>
      <c r="E545" s="14"/>
      <c r="F545" s="16" t="str">
        <f aca="false">IF(OR(C545="",D545=""),"",IF(OR(A545="",B545=""),"Tarih ya da tür eksik",IF(AND(B545="Çıkış",IFERROR(INDEX(Ürünler!$H$5:$H$304,MATCH(C545,Ürünler!$A$5:$A$304,0)),0)&lt;0),"Stok eksiye düştü","")))</f>
        <v/>
      </c>
    </row>
    <row r="546" customFormat="false" ht="15" hidden="false" customHeight="false" outlineLevel="0" collapsed="false">
      <c r="A546" s="12"/>
      <c r="B546" s="13"/>
      <c r="C546" s="14"/>
      <c r="D546" s="15"/>
      <c r="E546" s="14"/>
      <c r="F546" s="16" t="str">
        <f aca="false">IF(OR(C546="",D546=""),"",IF(OR(A546="",B546=""),"Tarih ya da tür eksik",IF(AND(B546="Çıkış",IFERROR(INDEX(Ürünler!$H$5:$H$304,MATCH(C546,Ürünler!$A$5:$A$304,0)),0)&lt;0),"Stok eksiye düştü","")))</f>
        <v/>
      </c>
    </row>
    <row r="547" customFormat="false" ht="15" hidden="false" customHeight="false" outlineLevel="0" collapsed="false">
      <c r="A547" s="12"/>
      <c r="B547" s="13"/>
      <c r="C547" s="14"/>
      <c r="D547" s="15"/>
      <c r="E547" s="14"/>
      <c r="F547" s="16" t="str">
        <f aca="false">IF(OR(C547="",D547=""),"",IF(OR(A547="",B547=""),"Tarih ya da tür eksik",IF(AND(B547="Çıkış",IFERROR(INDEX(Ürünler!$H$5:$H$304,MATCH(C547,Ürünler!$A$5:$A$304,0)),0)&lt;0),"Stok eksiye düştü","")))</f>
        <v/>
      </c>
    </row>
    <row r="548" customFormat="false" ht="15" hidden="false" customHeight="false" outlineLevel="0" collapsed="false">
      <c r="A548" s="12"/>
      <c r="B548" s="13"/>
      <c r="C548" s="14"/>
      <c r="D548" s="15"/>
      <c r="E548" s="14"/>
      <c r="F548" s="16" t="str">
        <f aca="false">IF(OR(C548="",D548=""),"",IF(OR(A548="",B548=""),"Tarih ya da tür eksik",IF(AND(B548="Çıkış",IFERROR(INDEX(Ürünler!$H$5:$H$304,MATCH(C548,Ürünler!$A$5:$A$304,0)),0)&lt;0),"Stok eksiye düştü","")))</f>
        <v/>
      </c>
    </row>
    <row r="549" customFormat="false" ht="15" hidden="false" customHeight="false" outlineLevel="0" collapsed="false">
      <c r="A549" s="12"/>
      <c r="B549" s="13"/>
      <c r="C549" s="14"/>
      <c r="D549" s="15"/>
      <c r="E549" s="14"/>
      <c r="F549" s="16" t="str">
        <f aca="false">IF(OR(C549="",D549=""),"",IF(OR(A549="",B549=""),"Tarih ya da tür eksik",IF(AND(B549="Çıkış",IFERROR(INDEX(Ürünler!$H$5:$H$304,MATCH(C549,Ürünler!$A$5:$A$304,0)),0)&lt;0),"Stok eksiye düştü","")))</f>
        <v/>
      </c>
    </row>
    <row r="550" customFormat="false" ht="15" hidden="false" customHeight="false" outlineLevel="0" collapsed="false">
      <c r="A550" s="12"/>
      <c r="B550" s="13"/>
      <c r="C550" s="14"/>
      <c r="D550" s="15"/>
      <c r="E550" s="14"/>
      <c r="F550" s="16" t="str">
        <f aca="false">IF(OR(C550="",D550=""),"",IF(OR(A550="",B550=""),"Tarih ya da tür eksik",IF(AND(B550="Çıkış",IFERROR(INDEX(Ürünler!$H$5:$H$304,MATCH(C550,Ürünler!$A$5:$A$304,0)),0)&lt;0),"Stok eksiye düştü","")))</f>
        <v/>
      </c>
    </row>
    <row r="551" customFormat="false" ht="15" hidden="false" customHeight="false" outlineLevel="0" collapsed="false">
      <c r="A551" s="12"/>
      <c r="B551" s="13"/>
      <c r="C551" s="14"/>
      <c r="D551" s="15"/>
      <c r="E551" s="14"/>
      <c r="F551" s="16" t="str">
        <f aca="false">IF(OR(C551="",D551=""),"",IF(OR(A551="",B551=""),"Tarih ya da tür eksik",IF(AND(B551="Çıkış",IFERROR(INDEX(Ürünler!$H$5:$H$304,MATCH(C551,Ürünler!$A$5:$A$304,0)),0)&lt;0),"Stok eksiye düştü","")))</f>
        <v/>
      </c>
    </row>
    <row r="552" customFormat="false" ht="15" hidden="false" customHeight="false" outlineLevel="0" collapsed="false">
      <c r="A552" s="12"/>
      <c r="B552" s="13"/>
      <c r="C552" s="14"/>
      <c r="D552" s="15"/>
      <c r="E552" s="14"/>
      <c r="F552" s="16" t="str">
        <f aca="false">IF(OR(C552="",D552=""),"",IF(OR(A552="",B552=""),"Tarih ya da tür eksik",IF(AND(B552="Çıkış",IFERROR(INDEX(Ürünler!$H$5:$H$304,MATCH(C552,Ürünler!$A$5:$A$304,0)),0)&lt;0),"Stok eksiye düştü","")))</f>
        <v/>
      </c>
    </row>
    <row r="553" customFormat="false" ht="15" hidden="false" customHeight="false" outlineLevel="0" collapsed="false">
      <c r="A553" s="12"/>
      <c r="B553" s="13"/>
      <c r="C553" s="14"/>
      <c r="D553" s="15"/>
      <c r="E553" s="14"/>
      <c r="F553" s="16" t="str">
        <f aca="false">IF(OR(C553="",D553=""),"",IF(OR(A553="",B553=""),"Tarih ya da tür eksik",IF(AND(B553="Çıkış",IFERROR(INDEX(Ürünler!$H$5:$H$304,MATCH(C553,Ürünler!$A$5:$A$304,0)),0)&lt;0),"Stok eksiye düştü","")))</f>
        <v/>
      </c>
    </row>
    <row r="554" customFormat="false" ht="15" hidden="false" customHeight="false" outlineLevel="0" collapsed="false">
      <c r="A554" s="12"/>
      <c r="B554" s="13"/>
      <c r="C554" s="14"/>
      <c r="D554" s="15"/>
      <c r="E554" s="14"/>
      <c r="F554" s="16" t="str">
        <f aca="false">IF(OR(C554="",D554=""),"",IF(OR(A554="",B554=""),"Tarih ya da tür eksik",IF(AND(B554="Çıkış",IFERROR(INDEX(Ürünler!$H$5:$H$304,MATCH(C554,Ürünler!$A$5:$A$304,0)),0)&lt;0),"Stok eksiye düştü","")))</f>
        <v/>
      </c>
    </row>
    <row r="555" customFormat="false" ht="15" hidden="false" customHeight="false" outlineLevel="0" collapsed="false">
      <c r="A555" s="12"/>
      <c r="B555" s="13"/>
      <c r="C555" s="14"/>
      <c r="D555" s="15"/>
      <c r="E555" s="14"/>
      <c r="F555" s="16" t="str">
        <f aca="false">IF(OR(C555="",D555=""),"",IF(OR(A555="",B555=""),"Tarih ya da tür eksik",IF(AND(B555="Çıkış",IFERROR(INDEX(Ürünler!$H$5:$H$304,MATCH(C555,Ürünler!$A$5:$A$304,0)),0)&lt;0),"Stok eksiye düştü","")))</f>
        <v/>
      </c>
    </row>
    <row r="556" customFormat="false" ht="15" hidden="false" customHeight="false" outlineLevel="0" collapsed="false">
      <c r="A556" s="12"/>
      <c r="B556" s="13"/>
      <c r="C556" s="14"/>
      <c r="D556" s="15"/>
      <c r="E556" s="14"/>
      <c r="F556" s="16" t="str">
        <f aca="false">IF(OR(C556="",D556=""),"",IF(OR(A556="",B556=""),"Tarih ya da tür eksik",IF(AND(B556="Çıkış",IFERROR(INDEX(Ürünler!$H$5:$H$304,MATCH(C556,Ürünler!$A$5:$A$304,0)),0)&lt;0),"Stok eksiye düştü","")))</f>
        <v/>
      </c>
    </row>
    <row r="557" customFormat="false" ht="15" hidden="false" customHeight="false" outlineLevel="0" collapsed="false">
      <c r="A557" s="12"/>
      <c r="B557" s="13"/>
      <c r="C557" s="14"/>
      <c r="D557" s="15"/>
      <c r="E557" s="14"/>
      <c r="F557" s="16" t="str">
        <f aca="false">IF(OR(C557="",D557=""),"",IF(OR(A557="",B557=""),"Tarih ya da tür eksik",IF(AND(B557="Çıkış",IFERROR(INDEX(Ürünler!$H$5:$H$304,MATCH(C557,Ürünler!$A$5:$A$304,0)),0)&lt;0),"Stok eksiye düştü","")))</f>
        <v/>
      </c>
    </row>
    <row r="558" customFormat="false" ht="15" hidden="false" customHeight="false" outlineLevel="0" collapsed="false">
      <c r="A558" s="12"/>
      <c r="B558" s="13"/>
      <c r="C558" s="14"/>
      <c r="D558" s="15"/>
      <c r="E558" s="14"/>
      <c r="F558" s="16" t="str">
        <f aca="false">IF(OR(C558="",D558=""),"",IF(OR(A558="",B558=""),"Tarih ya da tür eksik",IF(AND(B558="Çıkış",IFERROR(INDEX(Ürünler!$H$5:$H$304,MATCH(C558,Ürünler!$A$5:$A$304,0)),0)&lt;0),"Stok eksiye düştü","")))</f>
        <v/>
      </c>
    </row>
    <row r="559" customFormat="false" ht="15" hidden="false" customHeight="false" outlineLevel="0" collapsed="false">
      <c r="A559" s="12"/>
      <c r="B559" s="13"/>
      <c r="C559" s="14"/>
      <c r="D559" s="15"/>
      <c r="E559" s="14"/>
      <c r="F559" s="16" t="str">
        <f aca="false">IF(OR(C559="",D559=""),"",IF(OR(A559="",B559=""),"Tarih ya da tür eksik",IF(AND(B559="Çıkış",IFERROR(INDEX(Ürünler!$H$5:$H$304,MATCH(C559,Ürünler!$A$5:$A$304,0)),0)&lt;0),"Stok eksiye düştü","")))</f>
        <v/>
      </c>
    </row>
    <row r="560" customFormat="false" ht="15" hidden="false" customHeight="false" outlineLevel="0" collapsed="false">
      <c r="A560" s="12"/>
      <c r="B560" s="13"/>
      <c r="C560" s="14"/>
      <c r="D560" s="15"/>
      <c r="E560" s="14"/>
      <c r="F560" s="16" t="str">
        <f aca="false">IF(OR(C560="",D560=""),"",IF(OR(A560="",B560=""),"Tarih ya da tür eksik",IF(AND(B560="Çıkış",IFERROR(INDEX(Ürünler!$H$5:$H$304,MATCH(C560,Ürünler!$A$5:$A$304,0)),0)&lt;0),"Stok eksiye düştü","")))</f>
        <v/>
      </c>
    </row>
    <row r="561" customFormat="false" ht="15" hidden="false" customHeight="false" outlineLevel="0" collapsed="false">
      <c r="A561" s="12"/>
      <c r="B561" s="13"/>
      <c r="C561" s="14"/>
      <c r="D561" s="15"/>
      <c r="E561" s="14"/>
      <c r="F561" s="16" t="str">
        <f aca="false">IF(OR(C561="",D561=""),"",IF(OR(A561="",B561=""),"Tarih ya da tür eksik",IF(AND(B561="Çıkış",IFERROR(INDEX(Ürünler!$H$5:$H$304,MATCH(C561,Ürünler!$A$5:$A$304,0)),0)&lt;0),"Stok eksiye düştü","")))</f>
        <v/>
      </c>
    </row>
    <row r="562" customFormat="false" ht="15" hidden="false" customHeight="false" outlineLevel="0" collapsed="false">
      <c r="A562" s="12"/>
      <c r="B562" s="13"/>
      <c r="C562" s="14"/>
      <c r="D562" s="15"/>
      <c r="E562" s="14"/>
      <c r="F562" s="16" t="str">
        <f aca="false">IF(OR(C562="",D562=""),"",IF(OR(A562="",B562=""),"Tarih ya da tür eksik",IF(AND(B562="Çıkış",IFERROR(INDEX(Ürünler!$H$5:$H$304,MATCH(C562,Ürünler!$A$5:$A$304,0)),0)&lt;0),"Stok eksiye düştü","")))</f>
        <v/>
      </c>
    </row>
    <row r="563" customFormat="false" ht="15" hidden="false" customHeight="false" outlineLevel="0" collapsed="false">
      <c r="A563" s="12"/>
      <c r="B563" s="13"/>
      <c r="C563" s="14"/>
      <c r="D563" s="15"/>
      <c r="E563" s="14"/>
      <c r="F563" s="16" t="str">
        <f aca="false">IF(OR(C563="",D563=""),"",IF(OR(A563="",B563=""),"Tarih ya da tür eksik",IF(AND(B563="Çıkış",IFERROR(INDEX(Ürünler!$H$5:$H$304,MATCH(C563,Ürünler!$A$5:$A$304,0)),0)&lt;0),"Stok eksiye düştü","")))</f>
        <v/>
      </c>
    </row>
    <row r="564" customFormat="false" ht="15" hidden="false" customHeight="false" outlineLevel="0" collapsed="false">
      <c r="A564" s="12"/>
      <c r="B564" s="13"/>
      <c r="C564" s="14"/>
      <c r="D564" s="15"/>
      <c r="E564" s="14"/>
      <c r="F564" s="16" t="str">
        <f aca="false">IF(OR(C564="",D564=""),"",IF(OR(A564="",B564=""),"Tarih ya da tür eksik",IF(AND(B564="Çıkış",IFERROR(INDEX(Ürünler!$H$5:$H$304,MATCH(C564,Ürünler!$A$5:$A$304,0)),0)&lt;0),"Stok eksiye düştü","")))</f>
        <v/>
      </c>
    </row>
    <row r="565" customFormat="false" ht="15" hidden="false" customHeight="false" outlineLevel="0" collapsed="false">
      <c r="A565" s="12"/>
      <c r="B565" s="13"/>
      <c r="C565" s="14"/>
      <c r="D565" s="15"/>
      <c r="E565" s="14"/>
      <c r="F565" s="16" t="str">
        <f aca="false">IF(OR(C565="",D565=""),"",IF(OR(A565="",B565=""),"Tarih ya da tür eksik",IF(AND(B565="Çıkış",IFERROR(INDEX(Ürünler!$H$5:$H$304,MATCH(C565,Ürünler!$A$5:$A$304,0)),0)&lt;0),"Stok eksiye düştü","")))</f>
        <v/>
      </c>
    </row>
    <row r="566" customFormat="false" ht="15" hidden="false" customHeight="false" outlineLevel="0" collapsed="false">
      <c r="A566" s="12"/>
      <c r="B566" s="13"/>
      <c r="C566" s="14"/>
      <c r="D566" s="15"/>
      <c r="E566" s="14"/>
      <c r="F566" s="16" t="str">
        <f aca="false">IF(OR(C566="",D566=""),"",IF(OR(A566="",B566=""),"Tarih ya da tür eksik",IF(AND(B566="Çıkış",IFERROR(INDEX(Ürünler!$H$5:$H$304,MATCH(C566,Ürünler!$A$5:$A$304,0)),0)&lt;0),"Stok eksiye düştü","")))</f>
        <v/>
      </c>
    </row>
    <row r="567" customFormat="false" ht="15" hidden="false" customHeight="false" outlineLevel="0" collapsed="false">
      <c r="A567" s="12"/>
      <c r="B567" s="13"/>
      <c r="C567" s="14"/>
      <c r="D567" s="15"/>
      <c r="E567" s="14"/>
      <c r="F567" s="16" t="str">
        <f aca="false">IF(OR(C567="",D567=""),"",IF(OR(A567="",B567=""),"Tarih ya da tür eksik",IF(AND(B567="Çıkış",IFERROR(INDEX(Ürünler!$H$5:$H$304,MATCH(C567,Ürünler!$A$5:$A$304,0)),0)&lt;0),"Stok eksiye düştü","")))</f>
        <v/>
      </c>
    </row>
    <row r="568" customFormat="false" ht="15" hidden="false" customHeight="false" outlineLevel="0" collapsed="false">
      <c r="A568" s="12"/>
      <c r="B568" s="13"/>
      <c r="C568" s="14"/>
      <c r="D568" s="15"/>
      <c r="E568" s="14"/>
      <c r="F568" s="16" t="str">
        <f aca="false">IF(OR(C568="",D568=""),"",IF(OR(A568="",B568=""),"Tarih ya da tür eksik",IF(AND(B568="Çıkış",IFERROR(INDEX(Ürünler!$H$5:$H$304,MATCH(C568,Ürünler!$A$5:$A$304,0)),0)&lt;0),"Stok eksiye düştü","")))</f>
        <v/>
      </c>
    </row>
    <row r="569" customFormat="false" ht="15" hidden="false" customHeight="false" outlineLevel="0" collapsed="false">
      <c r="A569" s="12"/>
      <c r="B569" s="13"/>
      <c r="C569" s="14"/>
      <c r="D569" s="15"/>
      <c r="E569" s="14"/>
      <c r="F569" s="16" t="str">
        <f aca="false">IF(OR(C569="",D569=""),"",IF(OR(A569="",B569=""),"Tarih ya da tür eksik",IF(AND(B569="Çıkış",IFERROR(INDEX(Ürünler!$H$5:$H$304,MATCH(C569,Ürünler!$A$5:$A$304,0)),0)&lt;0),"Stok eksiye düştü","")))</f>
        <v/>
      </c>
    </row>
    <row r="570" customFormat="false" ht="15" hidden="false" customHeight="false" outlineLevel="0" collapsed="false">
      <c r="A570" s="12"/>
      <c r="B570" s="13"/>
      <c r="C570" s="14"/>
      <c r="D570" s="15"/>
      <c r="E570" s="14"/>
      <c r="F570" s="16" t="str">
        <f aca="false">IF(OR(C570="",D570=""),"",IF(OR(A570="",B570=""),"Tarih ya da tür eksik",IF(AND(B570="Çıkış",IFERROR(INDEX(Ürünler!$H$5:$H$304,MATCH(C570,Ürünler!$A$5:$A$304,0)),0)&lt;0),"Stok eksiye düştü","")))</f>
        <v/>
      </c>
    </row>
    <row r="571" customFormat="false" ht="15" hidden="false" customHeight="false" outlineLevel="0" collapsed="false">
      <c r="A571" s="12"/>
      <c r="B571" s="13"/>
      <c r="C571" s="14"/>
      <c r="D571" s="15"/>
      <c r="E571" s="14"/>
      <c r="F571" s="16" t="str">
        <f aca="false">IF(OR(C571="",D571=""),"",IF(OR(A571="",B571=""),"Tarih ya da tür eksik",IF(AND(B571="Çıkış",IFERROR(INDEX(Ürünler!$H$5:$H$304,MATCH(C571,Ürünler!$A$5:$A$304,0)),0)&lt;0),"Stok eksiye düştü","")))</f>
        <v/>
      </c>
    </row>
    <row r="572" customFormat="false" ht="15" hidden="false" customHeight="false" outlineLevel="0" collapsed="false">
      <c r="A572" s="12"/>
      <c r="B572" s="13"/>
      <c r="C572" s="14"/>
      <c r="D572" s="15"/>
      <c r="E572" s="14"/>
      <c r="F572" s="16" t="str">
        <f aca="false">IF(OR(C572="",D572=""),"",IF(OR(A572="",B572=""),"Tarih ya da tür eksik",IF(AND(B572="Çıkış",IFERROR(INDEX(Ürünler!$H$5:$H$304,MATCH(C572,Ürünler!$A$5:$A$304,0)),0)&lt;0),"Stok eksiye düştü","")))</f>
        <v/>
      </c>
    </row>
    <row r="573" customFormat="false" ht="15" hidden="false" customHeight="false" outlineLevel="0" collapsed="false">
      <c r="A573" s="12"/>
      <c r="B573" s="13"/>
      <c r="C573" s="14"/>
      <c r="D573" s="15"/>
      <c r="E573" s="14"/>
      <c r="F573" s="16" t="str">
        <f aca="false">IF(OR(C573="",D573=""),"",IF(OR(A573="",B573=""),"Tarih ya da tür eksik",IF(AND(B573="Çıkış",IFERROR(INDEX(Ürünler!$H$5:$H$304,MATCH(C573,Ürünler!$A$5:$A$304,0)),0)&lt;0),"Stok eksiye düştü","")))</f>
        <v/>
      </c>
    </row>
    <row r="574" customFormat="false" ht="15" hidden="false" customHeight="false" outlineLevel="0" collapsed="false">
      <c r="A574" s="12"/>
      <c r="B574" s="13"/>
      <c r="C574" s="14"/>
      <c r="D574" s="15"/>
      <c r="E574" s="14"/>
      <c r="F574" s="16" t="str">
        <f aca="false">IF(OR(C574="",D574=""),"",IF(OR(A574="",B574=""),"Tarih ya da tür eksik",IF(AND(B574="Çıkış",IFERROR(INDEX(Ürünler!$H$5:$H$304,MATCH(C574,Ürünler!$A$5:$A$304,0)),0)&lt;0),"Stok eksiye düştü","")))</f>
        <v/>
      </c>
    </row>
    <row r="575" customFormat="false" ht="15" hidden="false" customHeight="false" outlineLevel="0" collapsed="false">
      <c r="A575" s="12"/>
      <c r="B575" s="13"/>
      <c r="C575" s="14"/>
      <c r="D575" s="15"/>
      <c r="E575" s="14"/>
      <c r="F575" s="16" t="str">
        <f aca="false">IF(OR(C575="",D575=""),"",IF(OR(A575="",B575=""),"Tarih ya da tür eksik",IF(AND(B575="Çıkış",IFERROR(INDEX(Ürünler!$H$5:$H$304,MATCH(C575,Ürünler!$A$5:$A$304,0)),0)&lt;0),"Stok eksiye düştü","")))</f>
        <v/>
      </c>
    </row>
    <row r="576" customFormat="false" ht="15" hidden="false" customHeight="false" outlineLevel="0" collapsed="false">
      <c r="A576" s="12"/>
      <c r="B576" s="13"/>
      <c r="C576" s="14"/>
      <c r="D576" s="15"/>
      <c r="E576" s="14"/>
      <c r="F576" s="16" t="str">
        <f aca="false">IF(OR(C576="",D576=""),"",IF(OR(A576="",B576=""),"Tarih ya da tür eksik",IF(AND(B576="Çıkış",IFERROR(INDEX(Ürünler!$H$5:$H$304,MATCH(C576,Ürünler!$A$5:$A$304,0)),0)&lt;0),"Stok eksiye düştü","")))</f>
        <v/>
      </c>
    </row>
    <row r="577" customFormat="false" ht="15" hidden="false" customHeight="false" outlineLevel="0" collapsed="false">
      <c r="A577" s="12"/>
      <c r="B577" s="13"/>
      <c r="C577" s="14"/>
      <c r="D577" s="15"/>
      <c r="E577" s="14"/>
      <c r="F577" s="16" t="str">
        <f aca="false">IF(OR(C577="",D577=""),"",IF(OR(A577="",B577=""),"Tarih ya da tür eksik",IF(AND(B577="Çıkış",IFERROR(INDEX(Ürünler!$H$5:$H$304,MATCH(C577,Ürünler!$A$5:$A$304,0)),0)&lt;0),"Stok eksiye düştü","")))</f>
        <v/>
      </c>
    </row>
    <row r="578" customFormat="false" ht="15" hidden="false" customHeight="false" outlineLevel="0" collapsed="false">
      <c r="A578" s="12"/>
      <c r="B578" s="13"/>
      <c r="C578" s="14"/>
      <c r="D578" s="15"/>
      <c r="E578" s="14"/>
      <c r="F578" s="16" t="str">
        <f aca="false">IF(OR(C578="",D578=""),"",IF(OR(A578="",B578=""),"Tarih ya da tür eksik",IF(AND(B578="Çıkış",IFERROR(INDEX(Ürünler!$H$5:$H$304,MATCH(C578,Ürünler!$A$5:$A$304,0)),0)&lt;0),"Stok eksiye düştü","")))</f>
        <v/>
      </c>
    </row>
    <row r="579" customFormat="false" ht="15" hidden="false" customHeight="false" outlineLevel="0" collapsed="false">
      <c r="A579" s="12"/>
      <c r="B579" s="13"/>
      <c r="C579" s="14"/>
      <c r="D579" s="15"/>
      <c r="E579" s="14"/>
      <c r="F579" s="16" t="str">
        <f aca="false">IF(OR(C579="",D579=""),"",IF(OR(A579="",B579=""),"Tarih ya da tür eksik",IF(AND(B579="Çıkış",IFERROR(INDEX(Ürünler!$H$5:$H$304,MATCH(C579,Ürünler!$A$5:$A$304,0)),0)&lt;0),"Stok eksiye düştü","")))</f>
        <v/>
      </c>
    </row>
    <row r="580" customFormat="false" ht="15" hidden="false" customHeight="false" outlineLevel="0" collapsed="false">
      <c r="A580" s="12"/>
      <c r="B580" s="13"/>
      <c r="C580" s="14"/>
      <c r="D580" s="15"/>
      <c r="E580" s="14"/>
      <c r="F580" s="16" t="str">
        <f aca="false">IF(OR(C580="",D580=""),"",IF(OR(A580="",B580=""),"Tarih ya da tür eksik",IF(AND(B580="Çıkış",IFERROR(INDEX(Ürünler!$H$5:$H$304,MATCH(C580,Ürünler!$A$5:$A$304,0)),0)&lt;0),"Stok eksiye düştü","")))</f>
        <v/>
      </c>
    </row>
    <row r="581" customFormat="false" ht="15" hidden="false" customHeight="false" outlineLevel="0" collapsed="false">
      <c r="A581" s="12"/>
      <c r="B581" s="13"/>
      <c r="C581" s="14"/>
      <c r="D581" s="15"/>
      <c r="E581" s="14"/>
      <c r="F581" s="16" t="str">
        <f aca="false">IF(OR(C581="",D581=""),"",IF(OR(A581="",B581=""),"Tarih ya da tür eksik",IF(AND(B581="Çıkış",IFERROR(INDEX(Ürünler!$H$5:$H$304,MATCH(C581,Ürünler!$A$5:$A$304,0)),0)&lt;0),"Stok eksiye düştü","")))</f>
        <v/>
      </c>
    </row>
    <row r="582" customFormat="false" ht="15" hidden="false" customHeight="false" outlineLevel="0" collapsed="false">
      <c r="A582" s="12"/>
      <c r="B582" s="13"/>
      <c r="C582" s="14"/>
      <c r="D582" s="15"/>
      <c r="E582" s="14"/>
      <c r="F582" s="16" t="str">
        <f aca="false">IF(OR(C582="",D582=""),"",IF(OR(A582="",B582=""),"Tarih ya da tür eksik",IF(AND(B582="Çıkış",IFERROR(INDEX(Ürünler!$H$5:$H$304,MATCH(C582,Ürünler!$A$5:$A$304,0)),0)&lt;0),"Stok eksiye düştü","")))</f>
        <v/>
      </c>
    </row>
    <row r="583" customFormat="false" ht="15" hidden="false" customHeight="false" outlineLevel="0" collapsed="false">
      <c r="A583" s="12"/>
      <c r="B583" s="13"/>
      <c r="C583" s="14"/>
      <c r="D583" s="15"/>
      <c r="E583" s="14"/>
      <c r="F583" s="16" t="str">
        <f aca="false">IF(OR(C583="",D583=""),"",IF(OR(A583="",B583=""),"Tarih ya da tür eksik",IF(AND(B583="Çıkış",IFERROR(INDEX(Ürünler!$H$5:$H$304,MATCH(C583,Ürünler!$A$5:$A$304,0)),0)&lt;0),"Stok eksiye düştü","")))</f>
        <v/>
      </c>
    </row>
    <row r="584" customFormat="false" ht="15" hidden="false" customHeight="false" outlineLevel="0" collapsed="false">
      <c r="A584" s="12"/>
      <c r="B584" s="13"/>
      <c r="C584" s="14"/>
      <c r="D584" s="15"/>
      <c r="E584" s="14"/>
      <c r="F584" s="16" t="str">
        <f aca="false">IF(OR(C584="",D584=""),"",IF(OR(A584="",B584=""),"Tarih ya da tür eksik",IF(AND(B584="Çıkış",IFERROR(INDEX(Ürünler!$H$5:$H$304,MATCH(C584,Ürünler!$A$5:$A$304,0)),0)&lt;0),"Stok eksiye düştü","")))</f>
        <v/>
      </c>
    </row>
    <row r="585" customFormat="false" ht="15" hidden="false" customHeight="false" outlineLevel="0" collapsed="false">
      <c r="A585" s="12"/>
      <c r="B585" s="13"/>
      <c r="C585" s="14"/>
      <c r="D585" s="15"/>
      <c r="E585" s="14"/>
      <c r="F585" s="16" t="str">
        <f aca="false">IF(OR(C585="",D585=""),"",IF(OR(A585="",B585=""),"Tarih ya da tür eksik",IF(AND(B585="Çıkış",IFERROR(INDEX(Ürünler!$H$5:$H$304,MATCH(C585,Ürünler!$A$5:$A$304,0)),0)&lt;0),"Stok eksiye düştü","")))</f>
        <v/>
      </c>
    </row>
    <row r="586" customFormat="false" ht="15" hidden="false" customHeight="false" outlineLevel="0" collapsed="false">
      <c r="A586" s="12"/>
      <c r="B586" s="13"/>
      <c r="C586" s="14"/>
      <c r="D586" s="15"/>
      <c r="E586" s="14"/>
      <c r="F586" s="16" t="str">
        <f aca="false">IF(OR(C586="",D586=""),"",IF(OR(A586="",B586=""),"Tarih ya da tür eksik",IF(AND(B586="Çıkış",IFERROR(INDEX(Ürünler!$H$5:$H$304,MATCH(C586,Ürünler!$A$5:$A$304,0)),0)&lt;0),"Stok eksiye düştü","")))</f>
        <v/>
      </c>
    </row>
    <row r="587" customFormat="false" ht="15" hidden="false" customHeight="false" outlineLevel="0" collapsed="false">
      <c r="A587" s="12"/>
      <c r="B587" s="13"/>
      <c r="C587" s="14"/>
      <c r="D587" s="15"/>
      <c r="E587" s="14"/>
      <c r="F587" s="16" t="str">
        <f aca="false">IF(OR(C587="",D587=""),"",IF(OR(A587="",B587=""),"Tarih ya da tür eksik",IF(AND(B587="Çıkış",IFERROR(INDEX(Ürünler!$H$5:$H$304,MATCH(C587,Ürünler!$A$5:$A$304,0)),0)&lt;0),"Stok eksiye düştü","")))</f>
        <v/>
      </c>
    </row>
    <row r="588" customFormat="false" ht="15" hidden="false" customHeight="false" outlineLevel="0" collapsed="false">
      <c r="A588" s="12"/>
      <c r="B588" s="13"/>
      <c r="C588" s="14"/>
      <c r="D588" s="15"/>
      <c r="E588" s="14"/>
      <c r="F588" s="16" t="str">
        <f aca="false">IF(OR(C588="",D588=""),"",IF(OR(A588="",B588=""),"Tarih ya da tür eksik",IF(AND(B588="Çıkış",IFERROR(INDEX(Ürünler!$H$5:$H$304,MATCH(C588,Ürünler!$A$5:$A$304,0)),0)&lt;0),"Stok eksiye düştü","")))</f>
        <v/>
      </c>
    </row>
    <row r="589" customFormat="false" ht="15" hidden="false" customHeight="false" outlineLevel="0" collapsed="false">
      <c r="A589" s="12"/>
      <c r="B589" s="13"/>
      <c r="C589" s="14"/>
      <c r="D589" s="15"/>
      <c r="E589" s="14"/>
      <c r="F589" s="16" t="str">
        <f aca="false">IF(OR(C589="",D589=""),"",IF(OR(A589="",B589=""),"Tarih ya da tür eksik",IF(AND(B589="Çıkış",IFERROR(INDEX(Ürünler!$H$5:$H$304,MATCH(C589,Ürünler!$A$5:$A$304,0)),0)&lt;0),"Stok eksiye düştü","")))</f>
        <v/>
      </c>
    </row>
    <row r="590" customFormat="false" ht="15" hidden="false" customHeight="false" outlineLevel="0" collapsed="false">
      <c r="A590" s="12"/>
      <c r="B590" s="13"/>
      <c r="C590" s="14"/>
      <c r="D590" s="15"/>
      <c r="E590" s="14"/>
      <c r="F590" s="16" t="str">
        <f aca="false">IF(OR(C590="",D590=""),"",IF(OR(A590="",B590=""),"Tarih ya da tür eksik",IF(AND(B590="Çıkış",IFERROR(INDEX(Ürünler!$H$5:$H$304,MATCH(C590,Ürünler!$A$5:$A$304,0)),0)&lt;0),"Stok eksiye düştü","")))</f>
        <v/>
      </c>
    </row>
    <row r="591" customFormat="false" ht="15" hidden="false" customHeight="false" outlineLevel="0" collapsed="false">
      <c r="A591" s="12"/>
      <c r="B591" s="13"/>
      <c r="C591" s="14"/>
      <c r="D591" s="15"/>
      <c r="E591" s="14"/>
      <c r="F591" s="16" t="str">
        <f aca="false">IF(OR(C591="",D591=""),"",IF(OR(A591="",B591=""),"Tarih ya da tür eksik",IF(AND(B591="Çıkış",IFERROR(INDEX(Ürünler!$H$5:$H$304,MATCH(C591,Ürünler!$A$5:$A$304,0)),0)&lt;0),"Stok eksiye düştü","")))</f>
        <v/>
      </c>
    </row>
    <row r="592" customFormat="false" ht="15" hidden="false" customHeight="false" outlineLevel="0" collapsed="false">
      <c r="A592" s="12"/>
      <c r="B592" s="13"/>
      <c r="C592" s="14"/>
      <c r="D592" s="15"/>
      <c r="E592" s="14"/>
      <c r="F592" s="16" t="str">
        <f aca="false">IF(OR(C592="",D592=""),"",IF(OR(A592="",B592=""),"Tarih ya da tür eksik",IF(AND(B592="Çıkış",IFERROR(INDEX(Ürünler!$H$5:$H$304,MATCH(C592,Ürünler!$A$5:$A$304,0)),0)&lt;0),"Stok eksiye düştü","")))</f>
        <v/>
      </c>
    </row>
    <row r="593" customFormat="false" ht="15" hidden="false" customHeight="false" outlineLevel="0" collapsed="false">
      <c r="A593" s="12"/>
      <c r="B593" s="13"/>
      <c r="C593" s="14"/>
      <c r="D593" s="15"/>
      <c r="E593" s="14"/>
      <c r="F593" s="16" t="str">
        <f aca="false">IF(OR(C593="",D593=""),"",IF(OR(A593="",B593=""),"Tarih ya da tür eksik",IF(AND(B593="Çıkış",IFERROR(INDEX(Ürünler!$H$5:$H$304,MATCH(C593,Ürünler!$A$5:$A$304,0)),0)&lt;0),"Stok eksiye düştü","")))</f>
        <v/>
      </c>
    </row>
    <row r="594" customFormat="false" ht="15" hidden="false" customHeight="false" outlineLevel="0" collapsed="false">
      <c r="A594" s="12"/>
      <c r="B594" s="13"/>
      <c r="C594" s="14"/>
      <c r="D594" s="15"/>
      <c r="E594" s="14"/>
      <c r="F594" s="16" t="str">
        <f aca="false">IF(OR(C594="",D594=""),"",IF(OR(A594="",B594=""),"Tarih ya da tür eksik",IF(AND(B594="Çıkış",IFERROR(INDEX(Ürünler!$H$5:$H$304,MATCH(C594,Ürünler!$A$5:$A$304,0)),0)&lt;0),"Stok eksiye düştü","")))</f>
        <v/>
      </c>
    </row>
    <row r="595" customFormat="false" ht="15" hidden="false" customHeight="false" outlineLevel="0" collapsed="false">
      <c r="A595" s="12"/>
      <c r="B595" s="13"/>
      <c r="C595" s="14"/>
      <c r="D595" s="15"/>
      <c r="E595" s="14"/>
      <c r="F595" s="16" t="str">
        <f aca="false">IF(OR(C595="",D595=""),"",IF(OR(A595="",B595=""),"Tarih ya da tür eksik",IF(AND(B595="Çıkış",IFERROR(INDEX(Ürünler!$H$5:$H$304,MATCH(C595,Ürünler!$A$5:$A$304,0)),0)&lt;0),"Stok eksiye düştü","")))</f>
        <v/>
      </c>
    </row>
    <row r="596" customFormat="false" ht="15" hidden="false" customHeight="false" outlineLevel="0" collapsed="false">
      <c r="A596" s="12"/>
      <c r="B596" s="13"/>
      <c r="C596" s="14"/>
      <c r="D596" s="15"/>
      <c r="E596" s="14"/>
      <c r="F596" s="16" t="str">
        <f aca="false">IF(OR(C596="",D596=""),"",IF(OR(A596="",B596=""),"Tarih ya da tür eksik",IF(AND(B596="Çıkış",IFERROR(INDEX(Ürünler!$H$5:$H$304,MATCH(C596,Ürünler!$A$5:$A$304,0)),0)&lt;0),"Stok eksiye düştü","")))</f>
        <v/>
      </c>
    </row>
    <row r="597" customFormat="false" ht="15" hidden="false" customHeight="false" outlineLevel="0" collapsed="false">
      <c r="A597" s="12"/>
      <c r="B597" s="13"/>
      <c r="C597" s="14"/>
      <c r="D597" s="15"/>
      <c r="E597" s="14"/>
      <c r="F597" s="16" t="str">
        <f aca="false">IF(OR(C597="",D597=""),"",IF(OR(A597="",B597=""),"Tarih ya da tür eksik",IF(AND(B597="Çıkış",IFERROR(INDEX(Ürünler!$H$5:$H$304,MATCH(C597,Ürünler!$A$5:$A$304,0)),0)&lt;0),"Stok eksiye düştü","")))</f>
        <v/>
      </c>
    </row>
    <row r="598" customFormat="false" ht="15" hidden="false" customHeight="false" outlineLevel="0" collapsed="false">
      <c r="A598" s="12"/>
      <c r="B598" s="13"/>
      <c r="C598" s="14"/>
      <c r="D598" s="15"/>
      <c r="E598" s="14"/>
      <c r="F598" s="16" t="str">
        <f aca="false">IF(OR(C598="",D598=""),"",IF(OR(A598="",B598=""),"Tarih ya da tür eksik",IF(AND(B598="Çıkış",IFERROR(INDEX(Ürünler!$H$5:$H$304,MATCH(C598,Ürünler!$A$5:$A$304,0)),0)&lt;0),"Stok eksiye düştü","")))</f>
        <v/>
      </c>
    </row>
    <row r="599" customFormat="false" ht="15" hidden="false" customHeight="false" outlineLevel="0" collapsed="false">
      <c r="A599" s="12"/>
      <c r="B599" s="13"/>
      <c r="C599" s="14"/>
      <c r="D599" s="15"/>
      <c r="E599" s="14"/>
      <c r="F599" s="16" t="str">
        <f aca="false">IF(OR(C599="",D599=""),"",IF(OR(A599="",B599=""),"Tarih ya da tür eksik",IF(AND(B599="Çıkış",IFERROR(INDEX(Ürünler!$H$5:$H$304,MATCH(C599,Ürünler!$A$5:$A$304,0)),0)&lt;0),"Stok eksiye düştü","")))</f>
        <v/>
      </c>
    </row>
    <row r="600" customFormat="false" ht="15" hidden="false" customHeight="false" outlineLevel="0" collapsed="false">
      <c r="A600" s="12"/>
      <c r="B600" s="13"/>
      <c r="C600" s="14"/>
      <c r="D600" s="15"/>
      <c r="E600" s="14"/>
      <c r="F600" s="16" t="str">
        <f aca="false">IF(OR(C600="",D600=""),"",IF(OR(A600="",B600=""),"Tarih ya da tür eksik",IF(AND(B600="Çıkış",IFERROR(INDEX(Ürünler!$H$5:$H$304,MATCH(C600,Ürünler!$A$5:$A$304,0)),0)&lt;0),"Stok eksiye düştü","")))</f>
        <v/>
      </c>
    </row>
    <row r="601" customFormat="false" ht="15" hidden="false" customHeight="false" outlineLevel="0" collapsed="false">
      <c r="A601" s="12"/>
      <c r="B601" s="13"/>
      <c r="C601" s="14"/>
      <c r="D601" s="15"/>
      <c r="E601" s="14"/>
      <c r="F601" s="16" t="str">
        <f aca="false">IF(OR(C601="",D601=""),"",IF(OR(A601="",B601=""),"Tarih ya da tür eksik",IF(AND(B601="Çıkış",IFERROR(INDEX(Ürünler!$H$5:$H$304,MATCH(C601,Ürünler!$A$5:$A$304,0)),0)&lt;0),"Stok eksiye düştü","")))</f>
        <v/>
      </c>
    </row>
    <row r="602" customFormat="false" ht="15" hidden="false" customHeight="false" outlineLevel="0" collapsed="false">
      <c r="A602" s="12"/>
      <c r="B602" s="13"/>
      <c r="C602" s="14"/>
      <c r="D602" s="15"/>
      <c r="E602" s="14"/>
      <c r="F602" s="16" t="str">
        <f aca="false">IF(OR(C602="",D602=""),"",IF(OR(A602="",B602=""),"Tarih ya da tür eksik",IF(AND(B602="Çıkış",IFERROR(INDEX(Ürünler!$H$5:$H$304,MATCH(C602,Ürünler!$A$5:$A$304,0)),0)&lt;0),"Stok eksiye düştü","")))</f>
        <v/>
      </c>
    </row>
    <row r="603" customFormat="false" ht="15" hidden="false" customHeight="false" outlineLevel="0" collapsed="false">
      <c r="A603" s="12"/>
      <c r="B603" s="13"/>
      <c r="C603" s="14"/>
      <c r="D603" s="15"/>
      <c r="E603" s="14"/>
      <c r="F603" s="16" t="str">
        <f aca="false">IF(OR(C603="",D603=""),"",IF(OR(A603="",B603=""),"Tarih ya da tür eksik",IF(AND(B603="Çıkış",IFERROR(INDEX(Ürünler!$H$5:$H$304,MATCH(C603,Ürünler!$A$5:$A$304,0)),0)&lt;0),"Stok eksiye düştü","")))</f>
        <v/>
      </c>
    </row>
    <row r="604" customFormat="false" ht="15" hidden="false" customHeight="false" outlineLevel="0" collapsed="false">
      <c r="A604" s="12"/>
      <c r="B604" s="13"/>
      <c r="C604" s="14"/>
      <c r="D604" s="15"/>
      <c r="E604" s="14"/>
      <c r="F604" s="16" t="str">
        <f aca="false">IF(OR(C604="",D604=""),"",IF(OR(A604="",B604=""),"Tarih ya da tür eksik",IF(AND(B604="Çıkış",IFERROR(INDEX(Ürünler!$H$5:$H$304,MATCH(C604,Ürünler!$A$5:$A$304,0)),0)&lt;0),"Stok eksiye düştü","")))</f>
        <v/>
      </c>
    </row>
    <row r="605" customFormat="false" ht="15" hidden="false" customHeight="false" outlineLevel="0" collapsed="false">
      <c r="A605" s="12"/>
      <c r="B605" s="13"/>
      <c r="C605" s="14"/>
      <c r="D605" s="15"/>
      <c r="E605" s="14"/>
      <c r="F605" s="16" t="str">
        <f aca="false">IF(OR(C605="",D605=""),"",IF(OR(A605="",B605=""),"Tarih ya da tür eksik",IF(AND(B605="Çıkış",IFERROR(INDEX(Ürünler!$H$5:$H$304,MATCH(C605,Ürünler!$A$5:$A$304,0)),0)&lt;0),"Stok eksiye düştü","")))</f>
        <v/>
      </c>
    </row>
    <row r="606" customFormat="false" ht="15" hidden="false" customHeight="false" outlineLevel="0" collapsed="false">
      <c r="A606" s="12"/>
      <c r="B606" s="13"/>
      <c r="C606" s="14"/>
      <c r="D606" s="15"/>
      <c r="E606" s="14"/>
      <c r="F606" s="16" t="str">
        <f aca="false">IF(OR(C606="",D606=""),"",IF(OR(A606="",B606=""),"Tarih ya da tür eksik",IF(AND(B606="Çıkış",IFERROR(INDEX(Ürünler!$H$5:$H$304,MATCH(C606,Ürünler!$A$5:$A$304,0)),0)&lt;0),"Stok eksiye düştü","")))</f>
        <v/>
      </c>
    </row>
    <row r="607" customFormat="false" ht="15" hidden="false" customHeight="false" outlineLevel="0" collapsed="false">
      <c r="A607" s="12"/>
      <c r="B607" s="13"/>
      <c r="C607" s="14"/>
      <c r="D607" s="15"/>
      <c r="E607" s="14"/>
      <c r="F607" s="16" t="str">
        <f aca="false">IF(OR(C607="",D607=""),"",IF(OR(A607="",B607=""),"Tarih ya da tür eksik",IF(AND(B607="Çıkış",IFERROR(INDEX(Ürünler!$H$5:$H$304,MATCH(C607,Ürünler!$A$5:$A$304,0)),0)&lt;0),"Stok eksiye düştü","")))</f>
        <v/>
      </c>
    </row>
    <row r="608" customFormat="false" ht="15" hidden="false" customHeight="false" outlineLevel="0" collapsed="false">
      <c r="A608" s="12"/>
      <c r="B608" s="13"/>
      <c r="C608" s="14"/>
      <c r="D608" s="15"/>
      <c r="E608" s="14"/>
      <c r="F608" s="16" t="str">
        <f aca="false">IF(OR(C608="",D608=""),"",IF(OR(A608="",B608=""),"Tarih ya da tür eksik",IF(AND(B608="Çıkış",IFERROR(INDEX(Ürünler!$H$5:$H$304,MATCH(C608,Ürünler!$A$5:$A$304,0)),0)&lt;0),"Stok eksiye düştü","")))</f>
        <v/>
      </c>
    </row>
    <row r="609" customFormat="false" ht="15" hidden="false" customHeight="false" outlineLevel="0" collapsed="false">
      <c r="A609" s="12"/>
      <c r="B609" s="13"/>
      <c r="C609" s="14"/>
      <c r="D609" s="15"/>
      <c r="E609" s="14"/>
      <c r="F609" s="16" t="str">
        <f aca="false">IF(OR(C609="",D609=""),"",IF(OR(A609="",B609=""),"Tarih ya da tür eksik",IF(AND(B609="Çıkış",IFERROR(INDEX(Ürünler!$H$5:$H$304,MATCH(C609,Ürünler!$A$5:$A$304,0)),0)&lt;0),"Stok eksiye düştü","")))</f>
        <v/>
      </c>
    </row>
    <row r="610" customFormat="false" ht="15" hidden="false" customHeight="false" outlineLevel="0" collapsed="false">
      <c r="A610" s="12"/>
      <c r="B610" s="13"/>
      <c r="C610" s="14"/>
      <c r="D610" s="15"/>
      <c r="E610" s="14"/>
      <c r="F610" s="16" t="str">
        <f aca="false">IF(OR(C610="",D610=""),"",IF(OR(A610="",B610=""),"Tarih ya da tür eksik",IF(AND(B610="Çıkış",IFERROR(INDEX(Ürünler!$H$5:$H$304,MATCH(C610,Ürünler!$A$5:$A$304,0)),0)&lt;0),"Stok eksiye düştü","")))</f>
        <v/>
      </c>
    </row>
    <row r="611" customFormat="false" ht="15" hidden="false" customHeight="false" outlineLevel="0" collapsed="false">
      <c r="A611" s="12"/>
      <c r="B611" s="13"/>
      <c r="C611" s="14"/>
      <c r="D611" s="15"/>
      <c r="E611" s="14"/>
      <c r="F611" s="16" t="str">
        <f aca="false">IF(OR(C611="",D611=""),"",IF(OR(A611="",B611=""),"Tarih ya da tür eksik",IF(AND(B611="Çıkış",IFERROR(INDEX(Ürünler!$H$5:$H$304,MATCH(C611,Ürünler!$A$5:$A$304,0)),0)&lt;0),"Stok eksiye düştü","")))</f>
        <v/>
      </c>
    </row>
    <row r="612" customFormat="false" ht="15" hidden="false" customHeight="false" outlineLevel="0" collapsed="false">
      <c r="A612" s="12"/>
      <c r="B612" s="13"/>
      <c r="C612" s="14"/>
      <c r="D612" s="15"/>
      <c r="E612" s="14"/>
      <c r="F612" s="16" t="str">
        <f aca="false">IF(OR(C612="",D612=""),"",IF(OR(A612="",B612=""),"Tarih ya da tür eksik",IF(AND(B612="Çıkış",IFERROR(INDEX(Ürünler!$H$5:$H$304,MATCH(C612,Ürünler!$A$5:$A$304,0)),0)&lt;0),"Stok eksiye düştü","")))</f>
        <v/>
      </c>
    </row>
    <row r="613" customFormat="false" ht="15" hidden="false" customHeight="false" outlineLevel="0" collapsed="false">
      <c r="A613" s="12"/>
      <c r="B613" s="13"/>
      <c r="C613" s="14"/>
      <c r="D613" s="15"/>
      <c r="E613" s="14"/>
      <c r="F613" s="16" t="str">
        <f aca="false">IF(OR(C613="",D613=""),"",IF(OR(A613="",B613=""),"Tarih ya da tür eksik",IF(AND(B613="Çıkış",IFERROR(INDEX(Ürünler!$H$5:$H$304,MATCH(C613,Ürünler!$A$5:$A$304,0)),0)&lt;0),"Stok eksiye düştü","")))</f>
        <v/>
      </c>
    </row>
    <row r="614" customFormat="false" ht="15" hidden="false" customHeight="false" outlineLevel="0" collapsed="false">
      <c r="A614" s="12"/>
      <c r="B614" s="13"/>
      <c r="C614" s="14"/>
      <c r="D614" s="15"/>
      <c r="E614" s="14"/>
      <c r="F614" s="16" t="str">
        <f aca="false">IF(OR(C614="",D614=""),"",IF(OR(A614="",B614=""),"Tarih ya da tür eksik",IF(AND(B614="Çıkış",IFERROR(INDEX(Ürünler!$H$5:$H$304,MATCH(C614,Ürünler!$A$5:$A$304,0)),0)&lt;0),"Stok eksiye düştü","")))</f>
        <v/>
      </c>
    </row>
    <row r="615" customFormat="false" ht="15" hidden="false" customHeight="false" outlineLevel="0" collapsed="false">
      <c r="A615" s="12"/>
      <c r="B615" s="13"/>
      <c r="C615" s="14"/>
      <c r="D615" s="15"/>
      <c r="E615" s="14"/>
      <c r="F615" s="16" t="str">
        <f aca="false">IF(OR(C615="",D615=""),"",IF(OR(A615="",B615=""),"Tarih ya da tür eksik",IF(AND(B615="Çıkış",IFERROR(INDEX(Ürünler!$H$5:$H$304,MATCH(C615,Ürünler!$A$5:$A$304,0)),0)&lt;0),"Stok eksiye düştü","")))</f>
        <v/>
      </c>
    </row>
    <row r="616" customFormat="false" ht="15" hidden="false" customHeight="false" outlineLevel="0" collapsed="false">
      <c r="A616" s="12"/>
      <c r="B616" s="13"/>
      <c r="C616" s="14"/>
      <c r="D616" s="15"/>
      <c r="E616" s="14"/>
      <c r="F616" s="16" t="str">
        <f aca="false">IF(OR(C616="",D616=""),"",IF(OR(A616="",B616=""),"Tarih ya da tür eksik",IF(AND(B616="Çıkış",IFERROR(INDEX(Ürünler!$H$5:$H$304,MATCH(C616,Ürünler!$A$5:$A$304,0)),0)&lt;0),"Stok eksiye düştü","")))</f>
        <v/>
      </c>
    </row>
    <row r="617" customFormat="false" ht="15" hidden="false" customHeight="false" outlineLevel="0" collapsed="false">
      <c r="A617" s="12"/>
      <c r="B617" s="13"/>
      <c r="C617" s="14"/>
      <c r="D617" s="15"/>
      <c r="E617" s="14"/>
      <c r="F617" s="16" t="str">
        <f aca="false">IF(OR(C617="",D617=""),"",IF(OR(A617="",B617=""),"Tarih ya da tür eksik",IF(AND(B617="Çıkış",IFERROR(INDEX(Ürünler!$H$5:$H$304,MATCH(C617,Ürünler!$A$5:$A$304,0)),0)&lt;0),"Stok eksiye düştü","")))</f>
        <v/>
      </c>
    </row>
    <row r="618" customFormat="false" ht="15" hidden="false" customHeight="false" outlineLevel="0" collapsed="false">
      <c r="A618" s="12"/>
      <c r="B618" s="13"/>
      <c r="C618" s="14"/>
      <c r="D618" s="15"/>
      <c r="E618" s="14"/>
      <c r="F618" s="16" t="str">
        <f aca="false">IF(OR(C618="",D618=""),"",IF(OR(A618="",B618=""),"Tarih ya da tür eksik",IF(AND(B618="Çıkış",IFERROR(INDEX(Ürünler!$H$5:$H$304,MATCH(C618,Ürünler!$A$5:$A$304,0)),0)&lt;0),"Stok eksiye düştü","")))</f>
        <v/>
      </c>
    </row>
    <row r="619" customFormat="false" ht="15" hidden="false" customHeight="false" outlineLevel="0" collapsed="false">
      <c r="A619" s="12"/>
      <c r="B619" s="13"/>
      <c r="C619" s="14"/>
      <c r="D619" s="15"/>
      <c r="E619" s="14"/>
      <c r="F619" s="16" t="str">
        <f aca="false">IF(OR(C619="",D619=""),"",IF(OR(A619="",B619=""),"Tarih ya da tür eksik",IF(AND(B619="Çıkış",IFERROR(INDEX(Ürünler!$H$5:$H$304,MATCH(C619,Ürünler!$A$5:$A$304,0)),0)&lt;0),"Stok eksiye düştü","")))</f>
        <v/>
      </c>
    </row>
    <row r="620" customFormat="false" ht="15" hidden="false" customHeight="false" outlineLevel="0" collapsed="false">
      <c r="A620" s="12"/>
      <c r="B620" s="13"/>
      <c r="C620" s="14"/>
      <c r="D620" s="15"/>
      <c r="E620" s="14"/>
      <c r="F620" s="16" t="str">
        <f aca="false">IF(OR(C620="",D620=""),"",IF(OR(A620="",B620=""),"Tarih ya da tür eksik",IF(AND(B620="Çıkış",IFERROR(INDEX(Ürünler!$H$5:$H$304,MATCH(C620,Ürünler!$A$5:$A$304,0)),0)&lt;0),"Stok eksiye düştü","")))</f>
        <v/>
      </c>
    </row>
    <row r="621" customFormat="false" ht="15" hidden="false" customHeight="false" outlineLevel="0" collapsed="false">
      <c r="A621" s="12"/>
      <c r="B621" s="13"/>
      <c r="C621" s="14"/>
      <c r="D621" s="15"/>
      <c r="E621" s="14"/>
      <c r="F621" s="16" t="str">
        <f aca="false">IF(OR(C621="",D621=""),"",IF(OR(A621="",B621=""),"Tarih ya da tür eksik",IF(AND(B621="Çıkış",IFERROR(INDEX(Ürünler!$H$5:$H$304,MATCH(C621,Ürünler!$A$5:$A$304,0)),0)&lt;0),"Stok eksiye düştü","")))</f>
        <v/>
      </c>
    </row>
    <row r="622" customFormat="false" ht="15" hidden="false" customHeight="false" outlineLevel="0" collapsed="false">
      <c r="A622" s="12"/>
      <c r="B622" s="13"/>
      <c r="C622" s="14"/>
      <c r="D622" s="15"/>
      <c r="E622" s="14"/>
      <c r="F622" s="16" t="str">
        <f aca="false">IF(OR(C622="",D622=""),"",IF(OR(A622="",B622=""),"Tarih ya da tür eksik",IF(AND(B622="Çıkış",IFERROR(INDEX(Ürünler!$H$5:$H$304,MATCH(C622,Ürünler!$A$5:$A$304,0)),0)&lt;0),"Stok eksiye düştü","")))</f>
        <v/>
      </c>
    </row>
    <row r="623" customFormat="false" ht="15" hidden="false" customHeight="false" outlineLevel="0" collapsed="false">
      <c r="A623" s="12"/>
      <c r="B623" s="13"/>
      <c r="C623" s="14"/>
      <c r="D623" s="15"/>
      <c r="E623" s="14"/>
      <c r="F623" s="16" t="str">
        <f aca="false">IF(OR(C623="",D623=""),"",IF(OR(A623="",B623=""),"Tarih ya da tür eksik",IF(AND(B623="Çıkış",IFERROR(INDEX(Ürünler!$H$5:$H$304,MATCH(C623,Ürünler!$A$5:$A$304,0)),0)&lt;0),"Stok eksiye düştü","")))</f>
        <v/>
      </c>
    </row>
    <row r="624" customFormat="false" ht="15" hidden="false" customHeight="false" outlineLevel="0" collapsed="false">
      <c r="A624" s="12"/>
      <c r="B624" s="13"/>
      <c r="C624" s="14"/>
      <c r="D624" s="15"/>
      <c r="E624" s="14"/>
      <c r="F624" s="16" t="str">
        <f aca="false">IF(OR(C624="",D624=""),"",IF(OR(A624="",B624=""),"Tarih ya da tür eksik",IF(AND(B624="Çıkış",IFERROR(INDEX(Ürünler!$H$5:$H$304,MATCH(C624,Ürünler!$A$5:$A$304,0)),0)&lt;0),"Stok eksiye düştü","")))</f>
        <v/>
      </c>
    </row>
    <row r="625" customFormat="false" ht="15" hidden="false" customHeight="false" outlineLevel="0" collapsed="false">
      <c r="A625" s="12"/>
      <c r="B625" s="13"/>
      <c r="C625" s="14"/>
      <c r="D625" s="15"/>
      <c r="E625" s="14"/>
      <c r="F625" s="16" t="str">
        <f aca="false">IF(OR(C625="",D625=""),"",IF(OR(A625="",B625=""),"Tarih ya da tür eksik",IF(AND(B625="Çıkış",IFERROR(INDEX(Ürünler!$H$5:$H$304,MATCH(C625,Ürünler!$A$5:$A$304,0)),0)&lt;0),"Stok eksiye düştü","")))</f>
        <v/>
      </c>
    </row>
    <row r="626" customFormat="false" ht="15" hidden="false" customHeight="false" outlineLevel="0" collapsed="false">
      <c r="A626" s="12"/>
      <c r="B626" s="13"/>
      <c r="C626" s="14"/>
      <c r="D626" s="15"/>
      <c r="E626" s="14"/>
      <c r="F626" s="16" t="str">
        <f aca="false">IF(OR(C626="",D626=""),"",IF(OR(A626="",B626=""),"Tarih ya da tür eksik",IF(AND(B626="Çıkış",IFERROR(INDEX(Ürünler!$H$5:$H$304,MATCH(C626,Ürünler!$A$5:$A$304,0)),0)&lt;0),"Stok eksiye düştü","")))</f>
        <v/>
      </c>
    </row>
    <row r="627" customFormat="false" ht="15" hidden="false" customHeight="false" outlineLevel="0" collapsed="false">
      <c r="A627" s="12"/>
      <c r="B627" s="13"/>
      <c r="C627" s="14"/>
      <c r="D627" s="15"/>
      <c r="E627" s="14"/>
      <c r="F627" s="16" t="str">
        <f aca="false">IF(OR(C627="",D627=""),"",IF(OR(A627="",B627=""),"Tarih ya da tür eksik",IF(AND(B627="Çıkış",IFERROR(INDEX(Ürünler!$H$5:$H$304,MATCH(C627,Ürünler!$A$5:$A$304,0)),0)&lt;0),"Stok eksiye düştü","")))</f>
        <v/>
      </c>
    </row>
    <row r="628" customFormat="false" ht="15" hidden="false" customHeight="false" outlineLevel="0" collapsed="false">
      <c r="A628" s="12"/>
      <c r="B628" s="13"/>
      <c r="C628" s="14"/>
      <c r="D628" s="15"/>
      <c r="E628" s="14"/>
      <c r="F628" s="16" t="str">
        <f aca="false">IF(OR(C628="",D628=""),"",IF(OR(A628="",B628=""),"Tarih ya da tür eksik",IF(AND(B628="Çıkış",IFERROR(INDEX(Ürünler!$H$5:$H$304,MATCH(C628,Ürünler!$A$5:$A$304,0)),0)&lt;0),"Stok eksiye düştü","")))</f>
        <v/>
      </c>
    </row>
    <row r="629" customFormat="false" ht="15" hidden="false" customHeight="false" outlineLevel="0" collapsed="false">
      <c r="A629" s="12"/>
      <c r="B629" s="13"/>
      <c r="C629" s="14"/>
      <c r="D629" s="15"/>
      <c r="E629" s="14"/>
      <c r="F629" s="16" t="str">
        <f aca="false">IF(OR(C629="",D629=""),"",IF(OR(A629="",B629=""),"Tarih ya da tür eksik",IF(AND(B629="Çıkış",IFERROR(INDEX(Ürünler!$H$5:$H$304,MATCH(C629,Ürünler!$A$5:$A$304,0)),0)&lt;0),"Stok eksiye düştü","")))</f>
        <v/>
      </c>
    </row>
    <row r="630" customFormat="false" ht="15" hidden="false" customHeight="false" outlineLevel="0" collapsed="false">
      <c r="A630" s="12"/>
      <c r="B630" s="13"/>
      <c r="C630" s="14"/>
      <c r="D630" s="15"/>
      <c r="E630" s="14"/>
      <c r="F630" s="16" t="str">
        <f aca="false">IF(OR(C630="",D630=""),"",IF(OR(A630="",B630=""),"Tarih ya da tür eksik",IF(AND(B630="Çıkış",IFERROR(INDEX(Ürünler!$H$5:$H$304,MATCH(C630,Ürünler!$A$5:$A$304,0)),0)&lt;0),"Stok eksiye düştü","")))</f>
        <v/>
      </c>
    </row>
    <row r="631" customFormat="false" ht="15" hidden="false" customHeight="false" outlineLevel="0" collapsed="false">
      <c r="A631" s="12"/>
      <c r="B631" s="13"/>
      <c r="C631" s="14"/>
      <c r="D631" s="15"/>
      <c r="E631" s="14"/>
      <c r="F631" s="16" t="str">
        <f aca="false">IF(OR(C631="",D631=""),"",IF(OR(A631="",B631=""),"Tarih ya da tür eksik",IF(AND(B631="Çıkış",IFERROR(INDEX(Ürünler!$H$5:$H$304,MATCH(C631,Ürünler!$A$5:$A$304,0)),0)&lt;0),"Stok eksiye düştü","")))</f>
        <v/>
      </c>
    </row>
    <row r="632" customFormat="false" ht="15" hidden="false" customHeight="false" outlineLevel="0" collapsed="false">
      <c r="A632" s="12"/>
      <c r="B632" s="13"/>
      <c r="C632" s="14"/>
      <c r="D632" s="15"/>
      <c r="E632" s="14"/>
      <c r="F632" s="16" t="str">
        <f aca="false">IF(OR(C632="",D632=""),"",IF(OR(A632="",B632=""),"Tarih ya da tür eksik",IF(AND(B632="Çıkış",IFERROR(INDEX(Ürünler!$H$5:$H$304,MATCH(C632,Ürünler!$A$5:$A$304,0)),0)&lt;0),"Stok eksiye düştü","")))</f>
        <v/>
      </c>
    </row>
    <row r="633" customFormat="false" ht="15" hidden="false" customHeight="false" outlineLevel="0" collapsed="false">
      <c r="A633" s="12"/>
      <c r="B633" s="13"/>
      <c r="C633" s="14"/>
      <c r="D633" s="15"/>
      <c r="E633" s="14"/>
      <c r="F633" s="16" t="str">
        <f aca="false">IF(OR(C633="",D633=""),"",IF(OR(A633="",B633=""),"Tarih ya da tür eksik",IF(AND(B633="Çıkış",IFERROR(INDEX(Ürünler!$H$5:$H$304,MATCH(C633,Ürünler!$A$5:$A$304,0)),0)&lt;0),"Stok eksiye düştü","")))</f>
        <v/>
      </c>
    </row>
    <row r="634" customFormat="false" ht="15" hidden="false" customHeight="false" outlineLevel="0" collapsed="false">
      <c r="A634" s="12"/>
      <c r="B634" s="13"/>
      <c r="C634" s="14"/>
      <c r="D634" s="15"/>
      <c r="E634" s="14"/>
      <c r="F634" s="16" t="str">
        <f aca="false">IF(OR(C634="",D634=""),"",IF(OR(A634="",B634=""),"Tarih ya da tür eksik",IF(AND(B634="Çıkış",IFERROR(INDEX(Ürünler!$H$5:$H$304,MATCH(C634,Ürünler!$A$5:$A$304,0)),0)&lt;0),"Stok eksiye düştü","")))</f>
        <v/>
      </c>
    </row>
    <row r="635" customFormat="false" ht="15" hidden="false" customHeight="false" outlineLevel="0" collapsed="false">
      <c r="A635" s="12"/>
      <c r="B635" s="13"/>
      <c r="C635" s="14"/>
      <c r="D635" s="15"/>
      <c r="E635" s="14"/>
      <c r="F635" s="16" t="str">
        <f aca="false">IF(OR(C635="",D635=""),"",IF(OR(A635="",B635=""),"Tarih ya da tür eksik",IF(AND(B635="Çıkış",IFERROR(INDEX(Ürünler!$H$5:$H$304,MATCH(C635,Ürünler!$A$5:$A$304,0)),0)&lt;0),"Stok eksiye düştü","")))</f>
        <v/>
      </c>
    </row>
    <row r="636" customFormat="false" ht="15" hidden="false" customHeight="false" outlineLevel="0" collapsed="false">
      <c r="A636" s="12"/>
      <c r="B636" s="13"/>
      <c r="C636" s="14"/>
      <c r="D636" s="15"/>
      <c r="E636" s="14"/>
      <c r="F636" s="16" t="str">
        <f aca="false">IF(OR(C636="",D636=""),"",IF(OR(A636="",B636=""),"Tarih ya da tür eksik",IF(AND(B636="Çıkış",IFERROR(INDEX(Ürünler!$H$5:$H$304,MATCH(C636,Ürünler!$A$5:$A$304,0)),0)&lt;0),"Stok eksiye düştü","")))</f>
        <v/>
      </c>
    </row>
    <row r="637" customFormat="false" ht="15" hidden="false" customHeight="false" outlineLevel="0" collapsed="false">
      <c r="A637" s="12"/>
      <c r="B637" s="13"/>
      <c r="C637" s="14"/>
      <c r="D637" s="15"/>
      <c r="E637" s="14"/>
      <c r="F637" s="16" t="str">
        <f aca="false">IF(OR(C637="",D637=""),"",IF(OR(A637="",B637=""),"Tarih ya da tür eksik",IF(AND(B637="Çıkış",IFERROR(INDEX(Ürünler!$H$5:$H$304,MATCH(C637,Ürünler!$A$5:$A$304,0)),0)&lt;0),"Stok eksiye düştü","")))</f>
        <v/>
      </c>
    </row>
    <row r="638" customFormat="false" ht="15" hidden="false" customHeight="false" outlineLevel="0" collapsed="false">
      <c r="A638" s="12"/>
      <c r="B638" s="13"/>
      <c r="C638" s="14"/>
      <c r="D638" s="15"/>
      <c r="E638" s="14"/>
      <c r="F638" s="16" t="str">
        <f aca="false">IF(OR(C638="",D638=""),"",IF(OR(A638="",B638=""),"Tarih ya da tür eksik",IF(AND(B638="Çıkış",IFERROR(INDEX(Ürünler!$H$5:$H$304,MATCH(C638,Ürünler!$A$5:$A$304,0)),0)&lt;0),"Stok eksiye düştü","")))</f>
        <v/>
      </c>
    </row>
    <row r="639" customFormat="false" ht="15" hidden="false" customHeight="false" outlineLevel="0" collapsed="false">
      <c r="A639" s="12"/>
      <c r="B639" s="13"/>
      <c r="C639" s="14"/>
      <c r="D639" s="15"/>
      <c r="E639" s="14"/>
      <c r="F639" s="16" t="str">
        <f aca="false">IF(OR(C639="",D639=""),"",IF(OR(A639="",B639=""),"Tarih ya da tür eksik",IF(AND(B639="Çıkış",IFERROR(INDEX(Ürünler!$H$5:$H$304,MATCH(C639,Ürünler!$A$5:$A$304,0)),0)&lt;0),"Stok eksiye düştü","")))</f>
        <v/>
      </c>
    </row>
    <row r="640" customFormat="false" ht="15" hidden="false" customHeight="false" outlineLevel="0" collapsed="false">
      <c r="A640" s="12"/>
      <c r="B640" s="13"/>
      <c r="C640" s="14"/>
      <c r="D640" s="15"/>
      <c r="E640" s="14"/>
      <c r="F640" s="16" t="str">
        <f aca="false">IF(OR(C640="",D640=""),"",IF(OR(A640="",B640=""),"Tarih ya da tür eksik",IF(AND(B640="Çıkış",IFERROR(INDEX(Ürünler!$H$5:$H$304,MATCH(C640,Ürünler!$A$5:$A$304,0)),0)&lt;0),"Stok eksiye düştü","")))</f>
        <v/>
      </c>
    </row>
    <row r="641" customFormat="false" ht="15" hidden="false" customHeight="false" outlineLevel="0" collapsed="false">
      <c r="A641" s="12"/>
      <c r="B641" s="13"/>
      <c r="C641" s="14"/>
      <c r="D641" s="15"/>
      <c r="E641" s="14"/>
      <c r="F641" s="16" t="str">
        <f aca="false">IF(OR(C641="",D641=""),"",IF(OR(A641="",B641=""),"Tarih ya da tür eksik",IF(AND(B641="Çıkış",IFERROR(INDEX(Ürünler!$H$5:$H$304,MATCH(C641,Ürünler!$A$5:$A$304,0)),0)&lt;0),"Stok eksiye düştü","")))</f>
        <v/>
      </c>
    </row>
    <row r="642" customFormat="false" ht="15" hidden="false" customHeight="false" outlineLevel="0" collapsed="false">
      <c r="A642" s="12"/>
      <c r="B642" s="13"/>
      <c r="C642" s="14"/>
      <c r="D642" s="15"/>
      <c r="E642" s="14"/>
      <c r="F642" s="16" t="str">
        <f aca="false">IF(OR(C642="",D642=""),"",IF(OR(A642="",B642=""),"Tarih ya da tür eksik",IF(AND(B642="Çıkış",IFERROR(INDEX(Ürünler!$H$5:$H$304,MATCH(C642,Ürünler!$A$5:$A$304,0)),0)&lt;0),"Stok eksiye düştü","")))</f>
        <v/>
      </c>
    </row>
    <row r="643" customFormat="false" ht="15" hidden="false" customHeight="false" outlineLevel="0" collapsed="false">
      <c r="A643" s="12"/>
      <c r="B643" s="13"/>
      <c r="C643" s="14"/>
      <c r="D643" s="15"/>
      <c r="E643" s="14"/>
      <c r="F643" s="16" t="str">
        <f aca="false">IF(OR(C643="",D643=""),"",IF(OR(A643="",B643=""),"Tarih ya da tür eksik",IF(AND(B643="Çıkış",IFERROR(INDEX(Ürünler!$H$5:$H$304,MATCH(C643,Ürünler!$A$5:$A$304,0)),0)&lt;0),"Stok eksiye düştü","")))</f>
        <v/>
      </c>
    </row>
    <row r="644" customFormat="false" ht="15" hidden="false" customHeight="false" outlineLevel="0" collapsed="false">
      <c r="A644" s="12"/>
      <c r="B644" s="13"/>
      <c r="C644" s="14"/>
      <c r="D644" s="15"/>
      <c r="E644" s="14"/>
      <c r="F644" s="16" t="str">
        <f aca="false">IF(OR(C644="",D644=""),"",IF(OR(A644="",B644=""),"Tarih ya da tür eksik",IF(AND(B644="Çıkış",IFERROR(INDEX(Ürünler!$H$5:$H$304,MATCH(C644,Ürünler!$A$5:$A$304,0)),0)&lt;0),"Stok eksiye düştü","")))</f>
        <v/>
      </c>
    </row>
    <row r="645" customFormat="false" ht="15" hidden="false" customHeight="false" outlineLevel="0" collapsed="false">
      <c r="A645" s="12"/>
      <c r="B645" s="13"/>
      <c r="C645" s="14"/>
      <c r="D645" s="15"/>
      <c r="E645" s="14"/>
      <c r="F645" s="16" t="str">
        <f aca="false">IF(OR(C645="",D645=""),"",IF(OR(A645="",B645=""),"Tarih ya da tür eksik",IF(AND(B645="Çıkış",IFERROR(INDEX(Ürünler!$H$5:$H$304,MATCH(C645,Ürünler!$A$5:$A$304,0)),0)&lt;0),"Stok eksiye düştü","")))</f>
        <v/>
      </c>
    </row>
    <row r="646" customFormat="false" ht="15" hidden="false" customHeight="false" outlineLevel="0" collapsed="false">
      <c r="A646" s="12"/>
      <c r="B646" s="13"/>
      <c r="C646" s="14"/>
      <c r="D646" s="15"/>
      <c r="E646" s="14"/>
      <c r="F646" s="16" t="str">
        <f aca="false">IF(OR(C646="",D646=""),"",IF(OR(A646="",B646=""),"Tarih ya da tür eksik",IF(AND(B646="Çıkış",IFERROR(INDEX(Ürünler!$H$5:$H$304,MATCH(C646,Ürünler!$A$5:$A$304,0)),0)&lt;0),"Stok eksiye düştü","")))</f>
        <v/>
      </c>
    </row>
    <row r="647" customFormat="false" ht="15" hidden="false" customHeight="false" outlineLevel="0" collapsed="false">
      <c r="A647" s="12"/>
      <c r="B647" s="13"/>
      <c r="C647" s="14"/>
      <c r="D647" s="15"/>
      <c r="E647" s="14"/>
      <c r="F647" s="16" t="str">
        <f aca="false">IF(OR(C647="",D647=""),"",IF(OR(A647="",B647=""),"Tarih ya da tür eksik",IF(AND(B647="Çıkış",IFERROR(INDEX(Ürünler!$H$5:$H$304,MATCH(C647,Ürünler!$A$5:$A$304,0)),0)&lt;0),"Stok eksiye düştü","")))</f>
        <v/>
      </c>
    </row>
    <row r="648" customFormat="false" ht="15" hidden="false" customHeight="false" outlineLevel="0" collapsed="false">
      <c r="A648" s="12"/>
      <c r="B648" s="13"/>
      <c r="C648" s="14"/>
      <c r="D648" s="15"/>
      <c r="E648" s="14"/>
      <c r="F648" s="16" t="str">
        <f aca="false">IF(OR(C648="",D648=""),"",IF(OR(A648="",B648=""),"Tarih ya da tür eksik",IF(AND(B648="Çıkış",IFERROR(INDEX(Ürünler!$H$5:$H$304,MATCH(C648,Ürünler!$A$5:$A$304,0)),0)&lt;0),"Stok eksiye düştü","")))</f>
        <v/>
      </c>
    </row>
    <row r="649" customFormat="false" ht="15" hidden="false" customHeight="false" outlineLevel="0" collapsed="false">
      <c r="A649" s="12"/>
      <c r="B649" s="13"/>
      <c r="C649" s="14"/>
      <c r="D649" s="15"/>
      <c r="E649" s="14"/>
      <c r="F649" s="16" t="str">
        <f aca="false">IF(OR(C649="",D649=""),"",IF(OR(A649="",B649=""),"Tarih ya da tür eksik",IF(AND(B649="Çıkış",IFERROR(INDEX(Ürünler!$H$5:$H$304,MATCH(C649,Ürünler!$A$5:$A$304,0)),0)&lt;0),"Stok eksiye düştü","")))</f>
        <v/>
      </c>
    </row>
    <row r="650" customFormat="false" ht="15" hidden="false" customHeight="false" outlineLevel="0" collapsed="false">
      <c r="A650" s="12"/>
      <c r="B650" s="13"/>
      <c r="C650" s="14"/>
      <c r="D650" s="15"/>
      <c r="E650" s="14"/>
      <c r="F650" s="16" t="str">
        <f aca="false">IF(OR(C650="",D650=""),"",IF(OR(A650="",B650=""),"Tarih ya da tür eksik",IF(AND(B650="Çıkış",IFERROR(INDEX(Ürünler!$H$5:$H$304,MATCH(C650,Ürünler!$A$5:$A$304,0)),0)&lt;0),"Stok eksiye düştü","")))</f>
        <v/>
      </c>
    </row>
    <row r="651" customFormat="false" ht="15" hidden="false" customHeight="false" outlineLevel="0" collapsed="false">
      <c r="A651" s="12"/>
      <c r="B651" s="13"/>
      <c r="C651" s="14"/>
      <c r="D651" s="15"/>
      <c r="E651" s="14"/>
      <c r="F651" s="16" t="str">
        <f aca="false">IF(OR(C651="",D651=""),"",IF(OR(A651="",B651=""),"Tarih ya da tür eksik",IF(AND(B651="Çıkış",IFERROR(INDEX(Ürünler!$H$5:$H$304,MATCH(C651,Ürünler!$A$5:$A$304,0)),0)&lt;0),"Stok eksiye düştü","")))</f>
        <v/>
      </c>
    </row>
    <row r="652" customFormat="false" ht="15" hidden="false" customHeight="false" outlineLevel="0" collapsed="false">
      <c r="A652" s="12"/>
      <c r="B652" s="13"/>
      <c r="C652" s="14"/>
      <c r="D652" s="15"/>
      <c r="E652" s="14"/>
      <c r="F652" s="16" t="str">
        <f aca="false">IF(OR(C652="",D652=""),"",IF(OR(A652="",B652=""),"Tarih ya da tür eksik",IF(AND(B652="Çıkış",IFERROR(INDEX(Ürünler!$H$5:$H$304,MATCH(C652,Ürünler!$A$5:$A$304,0)),0)&lt;0),"Stok eksiye düştü","")))</f>
        <v/>
      </c>
    </row>
    <row r="653" customFormat="false" ht="15" hidden="false" customHeight="false" outlineLevel="0" collapsed="false">
      <c r="A653" s="12"/>
      <c r="B653" s="13"/>
      <c r="C653" s="14"/>
      <c r="D653" s="15"/>
      <c r="E653" s="14"/>
      <c r="F653" s="16" t="str">
        <f aca="false">IF(OR(C653="",D653=""),"",IF(OR(A653="",B653=""),"Tarih ya da tür eksik",IF(AND(B653="Çıkış",IFERROR(INDEX(Ürünler!$H$5:$H$304,MATCH(C653,Ürünler!$A$5:$A$304,0)),0)&lt;0),"Stok eksiye düştü","")))</f>
        <v/>
      </c>
    </row>
    <row r="654" customFormat="false" ht="15" hidden="false" customHeight="false" outlineLevel="0" collapsed="false">
      <c r="A654" s="12"/>
      <c r="B654" s="13"/>
      <c r="C654" s="14"/>
      <c r="D654" s="15"/>
      <c r="E654" s="14"/>
      <c r="F654" s="16" t="str">
        <f aca="false">IF(OR(C654="",D654=""),"",IF(OR(A654="",B654=""),"Tarih ya da tür eksik",IF(AND(B654="Çıkış",IFERROR(INDEX(Ürünler!$H$5:$H$304,MATCH(C654,Ürünler!$A$5:$A$304,0)),0)&lt;0),"Stok eksiye düştü","")))</f>
        <v/>
      </c>
    </row>
    <row r="655" customFormat="false" ht="15" hidden="false" customHeight="false" outlineLevel="0" collapsed="false">
      <c r="A655" s="12"/>
      <c r="B655" s="13"/>
      <c r="C655" s="14"/>
      <c r="D655" s="15"/>
      <c r="E655" s="14"/>
      <c r="F655" s="16" t="str">
        <f aca="false">IF(OR(C655="",D655=""),"",IF(OR(A655="",B655=""),"Tarih ya da tür eksik",IF(AND(B655="Çıkış",IFERROR(INDEX(Ürünler!$H$5:$H$304,MATCH(C655,Ürünler!$A$5:$A$304,0)),0)&lt;0),"Stok eksiye düştü","")))</f>
        <v/>
      </c>
    </row>
    <row r="656" customFormat="false" ht="15" hidden="false" customHeight="false" outlineLevel="0" collapsed="false">
      <c r="A656" s="12"/>
      <c r="B656" s="13"/>
      <c r="C656" s="14"/>
      <c r="D656" s="15"/>
      <c r="E656" s="14"/>
      <c r="F656" s="16" t="str">
        <f aca="false">IF(OR(C656="",D656=""),"",IF(OR(A656="",B656=""),"Tarih ya da tür eksik",IF(AND(B656="Çıkış",IFERROR(INDEX(Ürünler!$H$5:$H$304,MATCH(C656,Ürünler!$A$5:$A$304,0)),0)&lt;0),"Stok eksiye düştü","")))</f>
        <v/>
      </c>
    </row>
    <row r="657" customFormat="false" ht="15" hidden="false" customHeight="false" outlineLevel="0" collapsed="false">
      <c r="A657" s="12"/>
      <c r="B657" s="13"/>
      <c r="C657" s="14"/>
      <c r="D657" s="15"/>
      <c r="E657" s="14"/>
      <c r="F657" s="16" t="str">
        <f aca="false">IF(OR(C657="",D657=""),"",IF(OR(A657="",B657=""),"Tarih ya da tür eksik",IF(AND(B657="Çıkış",IFERROR(INDEX(Ürünler!$H$5:$H$304,MATCH(C657,Ürünler!$A$5:$A$304,0)),0)&lt;0),"Stok eksiye düştü","")))</f>
        <v/>
      </c>
    </row>
    <row r="658" customFormat="false" ht="15" hidden="false" customHeight="false" outlineLevel="0" collapsed="false">
      <c r="A658" s="12"/>
      <c r="B658" s="13"/>
      <c r="C658" s="14"/>
      <c r="D658" s="15"/>
      <c r="E658" s="14"/>
      <c r="F658" s="16" t="str">
        <f aca="false">IF(OR(C658="",D658=""),"",IF(OR(A658="",B658=""),"Tarih ya da tür eksik",IF(AND(B658="Çıkış",IFERROR(INDEX(Ürünler!$H$5:$H$304,MATCH(C658,Ürünler!$A$5:$A$304,0)),0)&lt;0),"Stok eksiye düştü","")))</f>
        <v/>
      </c>
    </row>
    <row r="659" customFormat="false" ht="15" hidden="false" customHeight="false" outlineLevel="0" collapsed="false">
      <c r="A659" s="12"/>
      <c r="B659" s="13"/>
      <c r="C659" s="14"/>
      <c r="D659" s="15"/>
      <c r="E659" s="14"/>
      <c r="F659" s="16" t="str">
        <f aca="false">IF(OR(C659="",D659=""),"",IF(OR(A659="",B659=""),"Tarih ya da tür eksik",IF(AND(B659="Çıkış",IFERROR(INDEX(Ürünler!$H$5:$H$304,MATCH(C659,Ürünler!$A$5:$A$304,0)),0)&lt;0),"Stok eksiye düştü","")))</f>
        <v/>
      </c>
    </row>
    <row r="660" customFormat="false" ht="15" hidden="false" customHeight="false" outlineLevel="0" collapsed="false">
      <c r="A660" s="12"/>
      <c r="B660" s="13"/>
      <c r="C660" s="14"/>
      <c r="D660" s="15"/>
      <c r="E660" s="14"/>
      <c r="F660" s="16" t="str">
        <f aca="false">IF(OR(C660="",D660=""),"",IF(OR(A660="",B660=""),"Tarih ya da tür eksik",IF(AND(B660="Çıkış",IFERROR(INDEX(Ürünler!$H$5:$H$304,MATCH(C660,Ürünler!$A$5:$A$304,0)),0)&lt;0),"Stok eksiye düştü","")))</f>
        <v/>
      </c>
    </row>
    <row r="661" customFormat="false" ht="15" hidden="false" customHeight="false" outlineLevel="0" collapsed="false">
      <c r="A661" s="12"/>
      <c r="B661" s="13"/>
      <c r="C661" s="14"/>
      <c r="D661" s="15"/>
      <c r="E661" s="14"/>
      <c r="F661" s="16" t="str">
        <f aca="false">IF(OR(C661="",D661=""),"",IF(OR(A661="",B661=""),"Tarih ya da tür eksik",IF(AND(B661="Çıkış",IFERROR(INDEX(Ürünler!$H$5:$H$304,MATCH(C661,Ürünler!$A$5:$A$304,0)),0)&lt;0),"Stok eksiye düştü","")))</f>
        <v/>
      </c>
    </row>
    <row r="662" customFormat="false" ht="15" hidden="false" customHeight="false" outlineLevel="0" collapsed="false">
      <c r="A662" s="12"/>
      <c r="B662" s="13"/>
      <c r="C662" s="14"/>
      <c r="D662" s="15"/>
      <c r="E662" s="14"/>
      <c r="F662" s="16" t="str">
        <f aca="false">IF(OR(C662="",D662=""),"",IF(OR(A662="",B662=""),"Tarih ya da tür eksik",IF(AND(B662="Çıkış",IFERROR(INDEX(Ürünler!$H$5:$H$304,MATCH(C662,Ürünler!$A$5:$A$304,0)),0)&lt;0),"Stok eksiye düştü","")))</f>
        <v/>
      </c>
    </row>
    <row r="663" customFormat="false" ht="15" hidden="false" customHeight="false" outlineLevel="0" collapsed="false">
      <c r="A663" s="12"/>
      <c r="B663" s="13"/>
      <c r="C663" s="14"/>
      <c r="D663" s="15"/>
      <c r="E663" s="14"/>
      <c r="F663" s="16" t="str">
        <f aca="false">IF(OR(C663="",D663=""),"",IF(OR(A663="",B663=""),"Tarih ya da tür eksik",IF(AND(B663="Çıkış",IFERROR(INDEX(Ürünler!$H$5:$H$304,MATCH(C663,Ürünler!$A$5:$A$304,0)),0)&lt;0),"Stok eksiye düştü","")))</f>
        <v/>
      </c>
    </row>
    <row r="664" customFormat="false" ht="15" hidden="false" customHeight="false" outlineLevel="0" collapsed="false">
      <c r="A664" s="12"/>
      <c r="B664" s="13"/>
      <c r="C664" s="14"/>
      <c r="D664" s="15"/>
      <c r="E664" s="14"/>
      <c r="F664" s="16" t="str">
        <f aca="false">IF(OR(C664="",D664=""),"",IF(OR(A664="",B664=""),"Tarih ya da tür eksik",IF(AND(B664="Çıkış",IFERROR(INDEX(Ürünler!$H$5:$H$304,MATCH(C664,Ürünler!$A$5:$A$304,0)),0)&lt;0),"Stok eksiye düştü","")))</f>
        <v/>
      </c>
    </row>
    <row r="665" customFormat="false" ht="15" hidden="false" customHeight="false" outlineLevel="0" collapsed="false">
      <c r="A665" s="12"/>
      <c r="B665" s="13"/>
      <c r="C665" s="14"/>
      <c r="D665" s="15"/>
      <c r="E665" s="14"/>
      <c r="F665" s="16" t="str">
        <f aca="false">IF(OR(C665="",D665=""),"",IF(OR(A665="",B665=""),"Tarih ya da tür eksik",IF(AND(B665="Çıkış",IFERROR(INDEX(Ürünler!$H$5:$H$304,MATCH(C665,Ürünler!$A$5:$A$304,0)),0)&lt;0),"Stok eksiye düştü","")))</f>
        <v/>
      </c>
    </row>
    <row r="666" customFormat="false" ht="15" hidden="false" customHeight="false" outlineLevel="0" collapsed="false">
      <c r="A666" s="12"/>
      <c r="B666" s="13"/>
      <c r="C666" s="14"/>
      <c r="D666" s="15"/>
      <c r="E666" s="14"/>
      <c r="F666" s="16" t="str">
        <f aca="false">IF(OR(C666="",D666=""),"",IF(OR(A666="",B666=""),"Tarih ya da tür eksik",IF(AND(B666="Çıkış",IFERROR(INDEX(Ürünler!$H$5:$H$304,MATCH(C666,Ürünler!$A$5:$A$304,0)),0)&lt;0),"Stok eksiye düştü","")))</f>
        <v/>
      </c>
    </row>
    <row r="667" customFormat="false" ht="15" hidden="false" customHeight="false" outlineLevel="0" collapsed="false">
      <c r="A667" s="12"/>
      <c r="B667" s="13"/>
      <c r="C667" s="14"/>
      <c r="D667" s="15"/>
      <c r="E667" s="14"/>
      <c r="F667" s="16" t="str">
        <f aca="false">IF(OR(C667="",D667=""),"",IF(OR(A667="",B667=""),"Tarih ya da tür eksik",IF(AND(B667="Çıkış",IFERROR(INDEX(Ürünler!$H$5:$H$304,MATCH(C667,Ürünler!$A$5:$A$304,0)),0)&lt;0),"Stok eksiye düştü","")))</f>
        <v/>
      </c>
    </row>
    <row r="668" customFormat="false" ht="15" hidden="false" customHeight="false" outlineLevel="0" collapsed="false">
      <c r="A668" s="12"/>
      <c r="B668" s="13"/>
      <c r="C668" s="14"/>
      <c r="D668" s="15"/>
      <c r="E668" s="14"/>
      <c r="F668" s="16" t="str">
        <f aca="false">IF(OR(C668="",D668=""),"",IF(OR(A668="",B668=""),"Tarih ya da tür eksik",IF(AND(B668="Çıkış",IFERROR(INDEX(Ürünler!$H$5:$H$304,MATCH(C668,Ürünler!$A$5:$A$304,0)),0)&lt;0),"Stok eksiye düştü","")))</f>
        <v/>
      </c>
    </row>
    <row r="669" customFormat="false" ht="15" hidden="false" customHeight="false" outlineLevel="0" collapsed="false">
      <c r="A669" s="12"/>
      <c r="B669" s="13"/>
      <c r="C669" s="14"/>
      <c r="D669" s="15"/>
      <c r="E669" s="14"/>
      <c r="F669" s="16" t="str">
        <f aca="false">IF(OR(C669="",D669=""),"",IF(OR(A669="",B669=""),"Tarih ya da tür eksik",IF(AND(B669="Çıkış",IFERROR(INDEX(Ürünler!$H$5:$H$304,MATCH(C669,Ürünler!$A$5:$A$304,0)),0)&lt;0),"Stok eksiye düştü","")))</f>
        <v/>
      </c>
    </row>
    <row r="670" customFormat="false" ht="15" hidden="false" customHeight="false" outlineLevel="0" collapsed="false">
      <c r="A670" s="12"/>
      <c r="B670" s="13"/>
      <c r="C670" s="14"/>
      <c r="D670" s="15"/>
      <c r="E670" s="14"/>
      <c r="F670" s="16" t="str">
        <f aca="false">IF(OR(C670="",D670=""),"",IF(OR(A670="",B670=""),"Tarih ya da tür eksik",IF(AND(B670="Çıkış",IFERROR(INDEX(Ürünler!$H$5:$H$304,MATCH(C670,Ürünler!$A$5:$A$304,0)),0)&lt;0),"Stok eksiye düştü","")))</f>
        <v/>
      </c>
    </row>
    <row r="671" customFormat="false" ht="15" hidden="false" customHeight="false" outlineLevel="0" collapsed="false">
      <c r="A671" s="12"/>
      <c r="B671" s="13"/>
      <c r="C671" s="14"/>
      <c r="D671" s="15"/>
      <c r="E671" s="14"/>
      <c r="F671" s="16" t="str">
        <f aca="false">IF(OR(C671="",D671=""),"",IF(OR(A671="",B671=""),"Tarih ya da tür eksik",IF(AND(B671="Çıkış",IFERROR(INDEX(Ürünler!$H$5:$H$304,MATCH(C671,Ürünler!$A$5:$A$304,0)),0)&lt;0),"Stok eksiye düştü","")))</f>
        <v/>
      </c>
    </row>
    <row r="672" customFormat="false" ht="15" hidden="false" customHeight="false" outlineLevel="0" collapsed="false">
      <c r="A672" s="12"/>
      <c r="B672" s="13"/>
      <c r="C672" s="14"/>
      <c r="D672" s="15"/>
      <c r="E672" s="14"/>
      <c r="F672" s="16" t="str">
        <f aca="false">IF(OR(C672="",D672=""),"",IF(OR(A672="",B672=""),"Tarih ya da tür eksik",IF(AND(B672="Çıkış",IFERROR(INDEX(Ürünler!$H$5:$H$304,MATCH(C672,Ürünler!$A$5:$A$304,0)),0)&lt;0),"Stok eksiye düştü","")))</f>
        <v/>
      </c>
    </row>
    <row r="673" customFormat="false" ht="15" hidden="false" customHeight="false" outlineLevel="0" collapsed="false">
      <c r="A673" s="12"/>
      <c r="B673" s="13"/>
      <c r="C673" s="14"/>
      <c r="D673" s="15"/>
      <c r="E673" s="14"/>
      <c r="F673" s="16" t="str">
        <f aca="false">IF(OR(C673="",D673=""),"",IF(OR(A673="",B673=""),"Tarih ya da tür eksik",IF(AND(B673="Çıkış",IFERROR(INDEX(Ürünler!$H$5:$H$304,MATCH(C673,Ürünler!$A$5:$A$304,0)),0)&lt;0),"Stok eksiye düştü","")))</f>
        <v/>
      </c>
    </row>
    <row r="674" customFormat="false" ht="15" hidden="false" customHeight="false" outlineLevel="0" collapsed="false">
      <c r="A674" s="12"/>
      <c r="B674" s="13"/>
      <c r="C674" s="14"/>
      <c r="D674" s="15"/>
      <c r="E674" s="14"/>
      <c r="F674" s="16" t="str">
        <f aca="false">IF(OR(C674="",D674=""),"",IF(OR(A674="",B674=""),"Tarih ya da tür eksik",IF(AND(B674="Çıkış",IFERROR(INDEX(Ürünler!$H$5:$H$304,MATCH(C674,Ürünler!$A$5:$A$304,0)),0)&lt;0),"Stok eksiye düştü","")))</f>
        <v/>
      </c>
    </row>
    <row r="675" customFormat="false" ht="15" hidden="false" customHeight="false" outlineLevel="0" collapsed="false">
      <c r="A675" s="12"/>
      <c r="B675" s="13"/>
      <c r="C675" s="14"/>
      <c r="D675" s="15"/>
      <c r="E675" s="14"/>
      <c r="F675" s="16" t="str">
        <f aca="false">IF(OR(C675="",D675=""),"",IF(OR(A675="",B675=""),"Tarih ya da tür eksik",IF(AND(B675="Çıkış",IFERROR(INDEX(Ürünler!$H$5:$H$304,MATCH(C675,Ürünler!$A$5:$A$304,0)),0)&lt;0),"Stok eksiye düştü","")))</f>
        <v/>
      </c>
    </row>
    <row r="676" customFormat="false" ht="15" hidden="false" customHeight="false" outlineLevel="0" collapsed="false">
      <c r="A676" s="12"/>
      <c r="B676" s="13"/>
      <c r="C676" s="14"/>
      <c r="D676" s="15"/>
      <c r="E676" s="14"/>
      <c r="F676" s="16" t="str">
        <f aca="false">IF(OR(C676="",D676=""),"",IF(OR(A676="",B676=""),"Tarih ya da tür eksik",IF(AND(B676="Çıkış",IFERROR(INDEX(Ürünler!$H$5:$H$304,MATCH(C676,Ürünler!$A$5:$A$304,0)),0)&lt;0),"Stok eksiye düştü","")))</f>
        <v/>
      </c>
    </row>
    <row r="677" customFormat="false" ht="15" hidden="false" customHeight="false" outlineLevel="0" collapsed="false">
      <c r="A677" s="12"/>
      <c r="B677" s="13"/>
      <c r="C677" s="14"/>
      <c r="D677" s="15"/>
      <c r="E677" s="14"/>
      <c r="F677" s="16" t="str">
        <f aca="false">IF(OR(C677="",D677=""),"",IF(OR(A677="",B677=""),"Tarih ya da tür eksik",IF(AND(B677="Çıkış",IFERROR(INDEX(Ürünler!$H$5:$H$304,MATCH(C677,Ürünler!$A$5:$A$304,0)),0)&lt;0),"Stok eksiye düştü","")))</f>
        <v/>
      </c>
    </row>
    <row r="678" customFormat="false" ht="15" hidden="false" customHeight="false" outlineLevel="0" collapsed="false">
      <c r="A678" s="12"/>
      <c r="B678" s="13"/>
      <c r="C678" s="14"/>
      <c r="D678" s="15"/>
      <c r="E678" s="14"/>
      <c r="F678" s="16" t="str">
        <f aca="false">IF(OR(C678="",D678=""),"",IF(OR(A678="",B678=""),"Tarih ya da tür eksik",IF(AND(B678="Çıkış",IFERROR(INDEX(Ürünler!$H$5:$H$304,MATCH(C678,Ürünler!$A$5:$A$304,0)),0)&lt;0),"Stok eksiye düştü","")))</f>
        <v/>
      </c>
    </row>
    <row r="679" customFormat="false" ht="15" hidden="false" customHeight="false" outlineLevel="0" collapsed="false">
      <c r="A679" s="12"/>
      <c r="B679" s="13"/>
      <c r="C679" s="14"/>
      <c r="D679" s="15"/>
      <c r="E679" s="14"/>
      <c r="F679" s="16" t="str">
        <f aca="false">IF(OR(C679="",D679=""),"",IF(OR(A679="",B679=""),"Tarih ya da tür eksik",IF(AND(B679="Çıkış",IFERROR(INDEX(Ürünler!$H$5:$H$304,MATCH(C679,Ürünler!$A$5:$A$304,0)),0)&lt;0),"Stok eksiye düştü","")))</f>
        <v/>
      </c>
    </row>
    <row r="680" customFormat="false" ht="15" hidden="false" customHeight="false" outlineLevel="0" collapsed="false">
      <c r="A680" s="12"/>
      <c r="B680" s="13"/>
      <c r="C680" s="14"/>
      <c r="D680" s="15"/>
      <c r="E680" s="14"/>
      <c r="F680" s="16" t="str">
        <f aca="false">IF(OR(C680="",D680=""),"",IF(OR(A680="",B680=""),"Tarih ya da tür eksik",IF(AND(B680="Çıkış",IFERROR(INDEX(Ürünler!$H$5:$H$304,MATCH(C680,Ürünler!$A$5:$A$304,0)),0)&lt;0),"Stok eksiye düştü","")))</f>
        <v/>
      </c>
    </row>
    <row r="681" customFormat="false" ht="15" hidden="false" customHeight="false" outlineLevel="0" collapsed="false">
      <c r="A681" s="12"/>
      <c r="B681" s="13"/>
      <c r="C681" s="14"/>
      <c r="D681" s="15"/>
      <c r="E681" s="14"/>
      <c r="F681" s="16" t="str">
        <f aca="false">IF(OR(C681="",D681=""),"",IF(OR(A681="",B681=""),"Tarih ya da tür eksik",IF(AND(B681="Çıkış",IFERROR(INDEX(Ürünler!$H$5:$H$304,MATCH(C681,Ürünler!$A$5:$A$304,0)),0)&lt;0),"Stok eksiye düştü","")))</f>
        <v/>
      </c>
    </row>
    <row r="682" customFormat="false" ht="15" hidden="false" customHeight="false" outlineLevel="0" collapsed="false">
      <c r="A682" s="12"/>
      <c r="B682" s="13"/>
      <c r="C682" s="14"/>
      <c r="D682" s="15"/>
      <c r="E682" s="14"/>
      <c r="F682" s="16" t="str">
        <f aca="false">IF(OR(C682="",D682=""),"",IF(OR(A682="",B682=""),"Tarih ya da tür eksik",IF(AND(B682="Çıkış",IFERROR(INDEX(Ürünler!$H$5:$H$304,MATCH(C682,Ürünler!$A$5:$A$304,0)),0)&lt;0),"Stok eksiye düştü","")))</f>
        <v/>
      </c>
    </row>
    <row r="683" customFormat="false" ht="15" hidden="false" customHeight="false" outlineLevel="0" collapsed="false">
      <c r="A683" s="12"/>
      <c r="B683" s="13"/>
      <c r="C683" s="14"/>
      <c r="D683" s="15"/>
      <c r="E683" s="14"/>
      <c r="F683" s="16" t="str">
        <f aca="false">IF(OR(C683="",D683=""),"",IF(OR(A683="",B683=""),"Tarih ya da tür eksik",IF(AND(B683="Çıkış",IFERROR(INDEX(Ürünler!$H$5:$H$304,MATCH(C683,Ürünler!$A$5:$A$304,0)),0)&lt;0),"Stok eksiye düştü","")))</f>
        <v/>
      </c>
    </row>
    <row r="684" customFormat="false" ht="15" hidden="false" customHeight="false" outlineLevel="0" collapsed="false">
      <c r="A684" s="12"/>
      <c r="B684" s="13"/>
      <c r="C684" s="14"/>
      <c r="D684" s="15"/>
      <c r="E684" s="14"/>
      <c r="F684" s="16" t="str">
        <f aca="false">IF(OR(C684="",D684=""),"",IF(OR(A684="",B684=""),"Tarih ya da tür eksik",IF(AND(B684="Çıkış",IFERROR(INDEX(Ürünler!$H$5:$H$304,MATCH(C684,Ürünler!$A$5:$A$304,0)),0)&lt;0),"Stok eksiye düştü","")))</f>
        <v/>
      </c>
    </row>
    <row r="685" customFormat="false" ht="15" hidden="false" customHeight="false" outlineLevel="0" collapsed="false">
      <c r="A685" s="12"/>
      <c r="B685" s="13"/>
      <c r="C685" s="14"/>
      <c r="D685" s="15"/>
      <c r="E685" s="14"/>
      <c r="F685" s="16" t="str">
        <f aca="false">IF(OR(C685="",D685=""),"",IF(OR(A685="",B685=""),"Tarih ya da tür eksik",IF(AND(B685="Çıkış",IFERROR(INDEX(Ürünler!$H$5:$H$304,MATCH(C685,Ürünler!$A$5:$A$304,0)),0)&lt;0),"Stok eksiye düştü","")))</f>
        <v/>
      </c>
    </row>
    <row r="686" customFormat="false" ht="15" hidden="false" customHeight="false" outlineLevel="0" collapsed="false">
      <c r="A686" s="12"/>
      <c r="B686" s="13"/>
      <c r="C686" s="14"/>
      <c r="D686" s="15"/>
      <c r="E686" s="14"/>
      <c r="F686" s="16" t="str">
        <f aca="false">IF(OR(C686="",D686=""),"",IF(OR(A686="",B686=""),"Tarih ya da tür eksik",IF(AND(B686="Çıkış",IFERROR(INDEX(Ürünler!$H$5:$H$304,MATCH(C686,Ürünler!$A$5:$A$304,0)),0)&lt;0),"Stok eksiye düştü","")))</f>
        <v/>
      </c>
    </row>
    <row r="687" customFormat="false" ht="15" hidden="false" customHeight="false" outlineLevel="0" collapsed="false">
      <c r="A687" s="12"/>
      <c r="B687" s="13"/>
      <c r="C687" s="14"/>
      <c r="D687" s="15"/>
      <c r="E687" s="14"/>
      <c r="F687" s="16" t="str">
        <f aca="false">IF(OR(C687="",D687=""),"",IF(OR(A687="",B687=""),"Tarih ya da tür eksik",IF(AND(B687="Çıkış",IFERROR(INDEX(Ürünler!$H$5:$H$304,MATCH(C687,Ürünler!$A$5:$A$304,0)),0)&lt;0),"Stok eksiye düştü","")))</f>
        <v/>
      </c>
    </row>
    <row r="688" customFormat="false" ht="15" hidden="false" customHeight="false" outlineLevel="0" collapsed="false">
      <c r="A688" s="12"/>
      <c r="B688" s="13"/>
      <c r="C688" s="14"/>
      <c r="D688" s="15"/>
      <c r="E688" s="14"/>
      <c r="F688" s="16" t="str">
        <f aca="false">IF(OR(C688="",D688=""),"",IF(OR(A688="",B688=""),"Tarih ya da tür eksik",IF(AND(B688="Çıkış",IFERROR(INDEX(Ürünler!$H$5:$H$304,MATCH(C688,Ürünler!$A$5:$A$304,0)),0)&lt;0),"Stok eksiye düştü","")))</f>
        <v/>
      </c>
    </row>
    <row r="689" customFormat="false" ht="15" hidden="false" customHeight="false" outlineLevel="0" collapsed="false">
      <c r="A689" s="12"/>
      <c r="B689" s="13"/>
      <c r="C689" s="14"/>
      <c r="D689" s="15"/>
      <c r="E689" s="14"/>
      <c r="F689" s="16" t="str">
        <f aca="false">IF(OR(C689="",D689=""),"",IF(OR(A689="",B689=""),"Tarih ya da tür eksik",IF(AND(B689="Çıkış",IFERROR(INDEX(Ürünler!$H$5:$H$304,MATCH(C689,Ürünler!$A$5:$A$304,0)),0)&lt;0),"Stok eksiye düştü","")))</f>
        <v/>
      </c>
    </row>
    <row r="690" customFormat="false" ht="15" hidden="false" customHeight="false" outlineLevel="0" collapsed="false">
      <c r="A690" s="12"/>
      <c r="B690" s="13"/>
      <c r="C690" s="14"/>
      <c r="D690" s="15"/>
      <c r="E690" s="14"/>
      <c r="F690" s="16" t="str">
        <f aca="false">IF(OR(C690="",D690=""),"",IF(OR(A690="",B690=""),"Tarih ya da tür eksik",IF(AND(B690="Çıkış",IFERROR(INDEX(Ürünler!$H$5:$H$304,MATCH(C690,Ürünler!$A$5:$A$304,0)),0)&lt;0),"Stok eksiye düştü","")))</f>
        <v/>
      </c>
    </row>
    <row r="691" customFormat="false" ht="15" hidden="false" customHeight="false" outlineLevel="0" collapsed="false">
      <c r="A691" s="12"/>
      <c r="B691" s="13"/>
      <c r="C691" s="14"/>
      <c r="D691" s="15"/>
      <c r="E691" s="14"/>
      <c r="F691" s="16" t="str">
        <f aca="false">IF(OR(C691="",D691=""),"",IF(OR(A691="",B691=""),"Tarih ya da tür eksik",IF(AND(B691="Çıkış",IFERROR(INDEX(Ürünler!$H$5:$H$304,MATCH(C691,Ürünler!$A$5:$A$304,0)),0)&lt;0),"Stok eksiye düştü","")))</f>
        <v/>
      </c>
    </row>
    <row r="692" customFormat="false" ht="15" hidden="false" customHeight="false" outlineLevel="0" collapsed="false">
      <c r="A692" s="12"/>
      <c r="B692" s="13"/>
      <c r="C692" s="14"/>
      <c r="D692" s="15"/>
      <c r="E692" s="14"/>
      <c r="F692" s="16" t="str">
        <f aca="false">IF(OR(C692="",D692=""),"",IF(OR(A692="",B692=""),"Tarih ya da tür eksik",IF(AND(B692="Çıkış",IFERROR(INDEX(Ürünler!$H$5:$H$304,MATCH(C692,Ürünler!$A$5:$A$304,0)),0)&lt;0),"Stok eksiye düştü","")))</f>
        <v/>
      </c>
    </row>
    <row r="693" customFormat="false" ht="15" hidden="false" customHeight="false" outlineLevel="0" collapsed="false">
      <c r="A693" s="12"/>
      <c r="B693" s="13"/>
      <c r="C693" s="14"/>
      <c r="D693" s="15"/>
      <c r="E693" s="14"/>
      <c r="F693" s="16" t="str">
        <f aca="false">IF(OR(C693="",D693=""),"",IF(OR(A693="",B693=""),"Tarih ya da tür eksik",IF(AND(B693="Çıkış",IFERROR(INDEX(Ürünler!$H$5:$H$304,MATCH(C693,Ürünler!$A$5:$A$304,0)),0)&lt;0),"Stok eksiye düştü","")))</f>
        <v/>
      </c>
    </row>
    <row r="694" customFormat="false" ht="15" hidden="false" customHeight="false" outlineLevel="0" collapsed="false">
      <c r="A694" s="12"/>
      <c r="B694" s="13"/>
      <c r="C694" s="14"/>
      <c r="D694" s="15"/>
      <c r="E694" s="14"/>
      <c r="F694" s="16" t="str">
        <f aca="false">IF(OR(C694="",D694=""),"",IF(OR(A694="",B694=""),"Tarih ya da tür eksik",IF(AND(B694="Çıkış",IFERROR(INDEX(Ürünler!$H$5:$H$304,MATCH(C694,Ürünler!$A$5:$A$304,0)),0)&lt;0),"Stok eksiye düştü","")))</f>
        <v/>
      </c>
    </row>
    <row r="695" customFormat="false" ht="15" hidden="false" customHeight="false" outlineLevel="0" collapsed="false">
      <c r="A695" s="12"/>
      <c r="B695" s="13"/>
      <c r="C695" s="14"/>
      <c r="D695" s="15"/>
      <c r="E695" s="14"/>
      <c r="F695" s="16" t="str">
        <f aca="false">IF(OR(C695="",D695=""),"",IF(OR(A695="",B695=""),"Tarih ya da tür eksik",IF(AND(B695="Çıkış",IFERROR(INDEX(Ürünler!$H$5:$H$304,MATCH(C695,Ürünler!$A$5:$A$304,0)),0)&lt;0),"Stok eksiye düştü","")))</f>
        <v/>
      </c>
    </row>
    <row r="696" customFormat="false" ht="15" hidden="false" customHeight="false" outlineLevel="0" collapsed="false">
      <c r="A696" s="12"/>
      <c r="B696" s="13"/>
      <c r="C696" s="14"/>
      <c r="D696" s="15"/>
      <c r="E696" s="14"/>
      <c r="F696" s="16" t="str">
        <f aca="false">IF(OR(C696="",D696=""),"",IF(OR(A696="",B696=""),"Tarih ya da tür eksik",IF(AND(B696="Çıkış",IFERROR(INDEX(Ürünler!$H$5:$H$304,MATCH(C696,Ürünler!$A$5:$A$304,0)),0)&lt;0),"Stok eksiye düştü","")))</f>
        <v/>
      </c>
    </row>
    <row r="697" customFormat="false" ht="15" hidden="false" customHeight="false" outlineLevel="0" collapsed="false">
      <c r="A697" s="12"/>
      <c r="B697" s="13"/>
      <c r="C697" s="14"/>
      <c r="D697" s="15"/>
      <c r="E697" s="14"/>
      <c r="F697" s="16" t="str">
        <f aca="false">IF(OR(C697="",D697=""),"",IF(OR(A697="",B697=""),"Tarih ya da tür eksik",IF(AND(B697="Çıkış",IFERROR(INDEX(Ürünler!$H$5:$H$304,MATCH(C697,Ürünler!$A$5:$A$304,0)),0)&lt;0),"Stok eksiye düştü","")))</f>
        <v/>
      </c>
    </row>
    <row r="698" customFormat="false" ht="15" hidden="false" customHeight="false" outlineLevel="0" collapsed="false">
      <c r="A698" s="12"/>
      <c r="B698" s="13"/>
      <c r="C698" s="14"/>
      <c r="D698" s="15"/>
      <c r="E698" s="14"/>
      <c r="F698" s="16" t="str">
        <f aca="false">IF(OR(C698="",D698=""),"",IF(OR(A698="",B698=""),"Tarih ya da tür eksik",IF(AND(B698="Çıkış",IFERROR(INDEX(Ürünler!$H$5:$H$304,MATCH(C698,Ürünler!$A$5:$A$304,0)),0)&lt;0),"Stok eksiye düştü","")))</f>
        <v/>
      </c>
    </row>
    <row r="699" customFormat="false" ht="15" hidden="false" customHeight="false" outlineLevel="0" collapsed="false">
      <c r="A699" s="12"/>
      <c r="B699" s="13"/>
      <c r="C699" s="14"/>
      <c r="D699" s="15"/>
      <c r="E699" s="14"/>
      <c r="F699" s="16" t="str">
        <f aca="false">IF(OR(C699="",D699=""),"",IF(OR(A699="",B699=""),"Tarih ya da tür eksik",IF(AND(B699="Çıkış",IFERROR(INDEX(Ürünler!$H$5:$H$304,MATCH(C699,Ürünler!$A$5:$A$304,0)),0)&lt;0),"Stok eksiye düştü","")))</f>
        <v/>
      </c>
    </row>
    <row r="700" customFormat="false" ht="15" hidden="false" customHeight="false" outlineLevel="0" collapsed="false">
      <c r="A700" s="12"/>
      <c r="B700" s="13"/>
      <c r="C700" s="14"/>
      <c r="D700" s="15"/>
      <c r="E700" s="14"/>
      <c r="F700" s="16" t="str">
        <f aca="false">IF(OR(C700="",D700=""),"",IF(OR(A700="",B700=""),"Tarih ya da tür eksik",IF(AND(B700="Çıkış",IFERROR(INDEX(Ürünler!$H$5:$H$304,MATCH(C700,Ürünler!$A$5:$A$304,0)),0)&lt;0),"Stok eksiye düştü","")))</f>
        <v/>
      </c>
    </row>
    <row r="701" customFormat="false" ht="15" hidden="false" customHeight="false" outlineLevel="0" collapsed="false">
      <c r="A701" s="12"/>
      <c r="B701" s="13"/>
      <c r="C701" s="14"/>
      <c r="D701" s="15"/>
      <c r="E701" s="14"/>
      <c r="F701" s="16" t="str">
        <f aca="false">IF(OR(C701="",D701=""),"",IF(OR(A701="",B701=""),"Tarih ya da tür eksik",IF(AND(B701="Çıkış",IFERROR(INDEX(Ürünler!$H$5:$H$304,MATCH(C701,Ürünler!$A$5:$A$304,0)),0)&lt;0),"Stok eksiye düştü","")))</f>
        <v/>
      </c>
    </row>
    <row r="702" customFormat="false" ht="15" hidden="false" customHeight="false" outlineLevel="0" collapsed="false">
      <c r="A702" s="12"/>
      <c r="B702" s="13"/>
      <c r="C702" s="14"/>
      <c r="D702" s="15"/>
      <c r="E702" s="14"/>
      <c r="F702" s="16" t="str">
        <f aca="false">IF(OR(C702="",D702=""),"",IF(OR(A702="",B702=""),"Tarih ya da tür eksik",IF(AND(B702="Çıkış",IFERROR(INDEX(Ürünler!$H$5:$H$304,MATCH(C702,Ürünler!$A$5:$A$304,0)),0)&lt;0),"Stok eksiye düştü","")))</f>
        <v/>
      </c>
    </row>
    <row r="703" customFormat="false" ht="15" hidden="false" customHeight="false" outlineLevel="0" collapsed="false">
      <c r="A703" s="12"/>
      <c r="B703" s="13"/>
      <c r="C703" s="14"/>
      <c r="D703" s="15"/>
      <c r="E703" s="14"/>
      <c r="F703" s="16" t="str">
        <f aca="false">IF(OR(C703="",D703=""),"",IF(OR(A703="",B703=""),"Tarih ya da tür eksik",IF(AND(B703="Çıkış",IFERROR(INDEX(Ürünler!$H$5:$H$304,MATCH(C703,Ürünler!$A$5:$A$304,0)),0)&lt;0),"Stok eksiye düştü","")))</f>
        <v/>
      </c>
    </row>
    <row r="704" customFormat="false" ht="15" hidden="false" customHeight="false" outlineLevel="0" collapsed="false">
      <c r="A704" s="12"/>
      <c r="B704" s="13"/>
      <c r="C704" s="14"/>
      <c r="D704" s="15"/>
      <c r="E704" s="14"/>
      <c r="F704" s="16" t="str">
        <f aca="false">IF(OR(C704="",D704=""),"",IF(OR(A704="",B704=""),"Tarih ya da tür eksik",IF(AND(B704="Çıkış",IFERROR(INDEX(Ürünler!$H$5:$H$304,MATCH(C704,Ürünler!$A$5:$A$304,0)),0)&lt;0),"Stok eksiye düştü","")))</f>
        <v/>
      </c>
    </row>
    <row r="705" customFormat="false" ht="15" hidden="false" customHeight="false" outlineLevel="0" collapsed="false">
      <c r="A705" s="12"/>
      <c r="B705" s="13"/>
      <c r="C705" s="14"/>
      <c r="D705" s="15"/>
      <c r="E705" s="14"/>
      <c r="F705" s="16" t="str">
        <f aca="false">IF(OR(C705="",D705=""),"",IF(OR(A705="",B705=""),"Tarih ya da tür eksik",IF(AND(B705="Çıkış",IFERROR(INDEX(Ürünler!$H$5:$H$304,MATCH(C705,Ürünler!$A$5:$A$304,0)),0)&lt;0),"Stok eksiye düştü","")))</f>
        <v/>
      </c>
    </row>
    <row r="706" customFormat="false" ht="15" hidden="false" customHeight="false" outlineLevel="0" collapsed="false">
      <c r="A706" s="12"/>
      <c r="B706" s="13"/>
      <c r="C706" s="14"/>
      <c r="D706" s="15"/>
      <c r="E706" s="14"/>
      <c r="F706" s="16" t="str">
        <f aca="false">IF(OR(C706="",D706=""),"",IF(OR(A706="",B706=""),"Tarih ya da tür eksik",IF(AND(B706="Çıkış",IFERROR(INDEX(Ürünler!$H$5:$H$304,MATCH(C706,Ürünler!$A$5:$A$304,0)),0)&lt;0),"Stok eksiye düştü","")))</f>
        <v/>
      </c>
    </row>
    <row r="707" customFormat="false" ht="15" hidden="false" customHeight="false" outlineLevel="0" collapsed="false">
      <c r="A707" s="12"/>
      <c r="B707" s="13"/>
      <c r="C707" s="14"/>
      <c r="D707" s="15"/>
      <c r="E707" s="14"/>
      <c r="F707" s="16" t="str">
        <f aca="false">IF(OR(C707="",D707=""),"",IF(OR(A707="",B707=""),"Tarih ya da tür eksik",IF(AND(B707="Çıkış",IFERROR(INDEX(Ürünler!$H$5:$H$304,MATCH(C707,Ürünler!$A$5:$A$304,0)),0)&lt;0),"Stok eksiye düştü","")))</f>
        <v/>
      </c>
    </row>
    <row r="708" customFormat="false" ht="15" hidden="false" customHeight="false" outlineLevel="0" collapsed="false">
      <c r="A708" s="12"/>
      <c r="B708" s="13"/>
      <c r="C708" s="14"/>
      <c r="D708" s="15"/>
      <c r="E708" s="14"/>
      <c r="F708" s="16" t="str">
        <f aca="false">IF(OR(C708="",D708=""),"",IF(OR(A708="",B708=""),"Tarih ya da tür eksik",IF(AND(B708="Çıkış",IFERROR(INDEX(Ürünler!$H$5:$H$304,MATCH(C708,Ürünler!$A$5:$A$304,0)),0)&lt;0),"Stok eksiye düştü","")))</f>
        <v/>
      </c>
    </row>
    <row r="709" customFormat="false" ht="15" hidden="false" customHeight="false" outlineLevel="0" collapsed="false">
      <c r="A709" s="12"/>
      <c r="B709" s="13"/>
      <c r="C709" s="14"/>
      <c r="D709" s="15"/>
      <c r="E709" s="14"/>
      <c r="F709" s="16" t="str">
        <f aca="false">IF(OR(C709="",D709=""),"",IF(OR(A709="",B709=""),"Tarih ya da tür eksik",IF(AND(B709="Çıkış",IFERROR(INDEX(Ürünler!$H$5:$H$304,MATCH(C709,Ürünler!$A$5:$A$304,0)),0)&lt;0),"Stok eksiye düştü","")))</f>
        <v/>
      </c>
    </row>
    <row r="710" customFormat="false" ht="15" hidden="false" customHeight="false" outlineLevel="0" collapsed="false">
      <c r="A710" s="12"/>
      <c r="B710" s="13"/>
      <c r="C710" s="14"/>
      <c r="D710" s="15"/>
      <c r="E710" s="14"/>
      <c r="F710" s="16" t="str">
        <f aca="false">IF(OR(C710="",D710=""),"",IF(OR(A710="",B710=""),"Tarih ya da tür eksik",IF(AND(B710="Çıkış",IFERROR(INDEX(Ürünler!$H$5:$H$304,MATCH(C710,Ürünler!$A$5:$A$304,0)),0)&lt;0),"Stok eksiye düştü","")))</f>
        <v/>
      </c>
    </row>
    <row r="711" customFormat="false" ht="15" hidden="false" customHeight="false" outlineLevel="0" collapsed="false">
      <c r="A711" s="12"/>
      <c r="B711" s="13"/>
      <c r="C711" s="14"/>
      <c r="D711" s="15"/>
      <c r="E711" s="14"/>
      <c r="F711" s="16" t="str">
        <f aca="false">IF(OR(C711="",D711=""),"",IF(OR(A711="",B711=""),"Tarih ya da tür eksik",IF(AND(B711="Çıkış",IFERROR(INDEX(Ürünler!$H$5:$H$304,MATCH(C711,Ürünler!$A$5:$A$304,0)),0)&lt;0),"Stok eksiye düştü","")))</f>
        <v/>
      </c>
    </row>
    <row r="712" customFormat="false" ht="15" hidden="false" customHeight="false" outlineLevel="0" collapsed="false">
      <c r="A712" s="12"/>
      <c r="B712" s="13"/>
      <c r="C712" s="14"/>
      <c r="D712" s="15"/>
      <c r="E712" s="14"/>
      <c r="F712" s="16" t="str">
        <f aca="false">IF(OR(C712="",D712=""),"",IF(OR(A712="",B712=""),"Tarih ya da tür eksik",IF(AND(B712="Çıkış",IFERROR(INDEX(Ürünler!$H$5:$H$304,MATCH(C712,Ürünler!$A$5:$A$304,0)),0)&lt;0),"Stok eksiye düştü","")))</f>
        <v/>
      </c>
    </row>
    <row r="713" customFormat="false" ht="15" hidden="false" customHeight="false" outlineLevel="0" collapsed="false">
      <c r="A713" s="12"/>
      <c r="B713" s="13"/>
      <c r="C713" s="14"/>
      <c r="D713" s="15"/>
      <c r="E713" s="14"/>
      <c r="F713" s="16" t="str">
        <f aca="false">IF(OR(C713="",D713=""),"",IF(OR(A713="",B713=""),"Tarih ya da tür eksik",IF(AND(B713="Çıkış",IFERROR(INDEX(Ürünler!$H$5:$H$304,MATCH(C713,Ürünler!$A$5:$A$304,0)),0)&lt;0),"Stok eksiye düştü","")))</f>
        <v/>
      </c>
    </row>
    <row r="714" customFormat="false" ht="15" hidden="false" customHeight="false" outlineLevel="0" collapsed="false">
      <c r="A714" s="12"/>
      <c r="B714" s="13"/>
      <c r="C714" s="14"/>
      <c r="D714" s="15"/>
      <c r="E714" s="14"/>
      <c r="F714" s="16" t="str">
        <f aca="false">IF(OR(C714="",D714=""),"",IF(OR(A714="",B714=""),"Tarih ya da tür eksik",IF(AND(B714="Çıkış",IFERROR(INDEX(Ürünler!$H$5:$H$304,MATCH(C714,Ürünler!$A$5:$A$304,0)),0)&lt;0),"Stok eksiye düştü","")))</f>
        <v/>
      </c>
    </row>
    <row r="715" customFormat="false" ht="15" hidden="false" customHeight="false" outlineLevel="0" collapsed="false">
      <c r="A715" s="12"/>
      <c r="B715" s="13"/>
      <c r="C715" s="14"/>
      <c r="D715" s="15"/>
      <c r="E715" s="14"/>
      <c r="F715" s="16" t="str">
        <f aca="false">IF(OR(C715="",D715=""),"",IF(OR(A715="",B715=""),"Tarih ya da tür eksik",IF(AND(B715="Çıkış",IFERROR(INDEX(Ürünler!$H$5:$H$304,MATCH(C715,Ürünler!$A$5:$A$304,0)),0)&lt;0),"Stok eksiye düştü","")))</f>
        <v/>
      </c>
    </row>
    <row r="716" customFormat="false" ht="15" hidden="false" customHeight="false" outlineLevel="0" collapsed="false">
      <c r="A716" s="12"/>
      <c r="B716" s="13"/>
      <c r="C716" s="14"/>
      <c r="D716" s="15"/>
      <c r="E716" s="14"/>
      <c r="F716" s="16" t="str">
        <f aca="false">IF(OR(C716="",D716=""),"",IF(OR(A716="",B716=""),"Tarih ya da tür eksik",IF(AND(B716="Çıkış",IFERROR(INDEX(Ürünler!$H$5:$H$304,MATCH(C716,Ürünler!$A$5:$A$304,0)),0)&lt;0),"Stok eksiye düştü","")))</f>
        <v/>
      </c>
    </row>
    <row r="717" customFormat="false" ht="15" hidden="false" customHeight="false" outlineLevel="0" collapsed="false">
      <c r="A717" s="12"/>
      <c r="B717" s="13"/>
      <c r="C717" s="14"/>
      <c r="D717" s="15"/>
      <c r="E717" s="14"/>
      <c r="F717" s="16" t="str">
        <f aca="false">IF(OR(C717="",D717=""),"",IF(OR(A717="",B717=""),"Tarih ya da tür eksik",IF(AND(B717="Çıkış",IFERROR(INDEX(Ürünler!$H$5:$H$304,MATCH(C717,Ürünler!$A$5:$A$304,0)),0)&lt;0),"Stok eksiye düştü","")))</f>
        <v/>
      </c>
    </row>
    <row r="718" customFormat="false" ht="15" hidden="false" customHeight="false" outlineLevel="0" collapsed="false">
      <c r="A718" s="12"/>
      <c r="B718" s="13"/>
      <c r="C718" s="14"/>
      <c r="D718" s="15"/>
      <c r="E718" s="14"/>
      <c r="F718" s="16" t="str">
        <f aca="false">IF(OR(C718="",D718=""),"",IF(OR(A718="",B718=""),"Tarih ya da tür eksik",IF(AND(B718="Çıkış",IFERROR(INDEX(Ürünler!$H$5:$H$304,MATCH(C718,Ürünler!$A$5:$A$304,0)),0)&lt;0),"Stok eksiye düştü","")))</f>
        <v/>
      </c>
    </row>
    <row r="719" customFormat="false" ht="15" hidden="false" customHeight="false" outlineLevel="0" collapsed="false">
      <c r="A719" s="12"/>
      <c r="B719" s="13"/>
      <c r="C719" s="14"/>
      <c r="D719" s="15"/>
      <c r="E719" s="14"/>
      <c r="F719" s="16" t="str">
        <f aca="false">IF(OR(C719="",D719=""),"",IF(OR(A719="",B719=""),"Tarih ya da tür eksik",IF(AND(B719="Çıkış",IFERROR(INDEX(Ürünler!$H$5:$H$304,MATCH(C719,Ürünler!$A$5:$A$304,0)),0)&lt;0),"Stok eksiye düştü","")))</f>
        <v/>
      </c>
    </row>
    <row r="720" customFormat="false" ht="15" hidden="false" customHeight="false" outlineLevel="0" collapsed="false">
      <c r="A720" s="12"/>
      <c r="B720" s="13"/>
      <c r="C720" s="14"/>
      <c r="D720" s="15"/>
      <c r="E720" s="14"/>
      <c r="F720" s="16" t="str">
        <f aca="false">IF(OR(C720="",D720=""),"",IF(OR(A720="",B720=""),"Tarih ya da tür eksik",IF(AND(B720="Çıkış",IFERROR(INDEX(Ürünler!$H$5:$H$304,MATCH(C720,Ürünler!$A$5:$A$304,0)),0)&lt;0),"Stok eksiye düştü","")))</f>
        <v/>
      </c>
    </row>
    <row r="721" customFormat="false" ht="15" hidden="false" customHeight="false" outlineLevel="0" collapsed="false">
      <c r="A721" s="12"/>
      <c r="B721" s="13"/>
      <c r="C721" s="14"/>
      <c r="D721" s="15"/>
      <c r="E721" s="14"/>
      <c r="F721" s="16" t="str">
        <f aca="false">IF(OR(C721="",D721=""),"",IF(OR(A721="",B721=""),"Tarih ya da tür eksik",IF(AND(B721="Çıkış",IFERROR(INDEX(Ürünler!$H$5:$H$304,MATCH(C721,Ürünler!$A$5:$A$304,0)),0)&lt;0),"Stok eksiye düştü","")))</f>
        <v/>
      </c>
    </row>
    <row r="722" customFormat="false" ht="15" hidden="false" customHeight="false" outlineLevel="0" collapsed="false">
      <c r="A722" s="12"/>
      <c r="B722" s="13"/>
      <c r="C722" s="14"/>
      <c r="D722" s="15"/>
      <c r="E722" s="14"/>
      <c r="F722" s="16" t="str">
        <f aca="false">IF(OR(C722="",D722=""),"",IF(OR(A722="",B722=""),"Tarih ya da tür eksik",IF(AND(B722="Çıkış",IFERROR(INDEX(Ürünler!$H$5:$H$304,MATCH(C722,Ürünler!$A$5:$A$304,0)),0)&lt;0),"Stok eksiye düştü","")))</f>
        <v/>
      </c>
    </row>
    <row r="723" customFormat="false" ht="15" hidden="false" customHeight="false" outlineLevel="0" collapsed="false">
      <c r="A723" s="12"/>
      <c r="B723" s="13"/>
      <c r="C723" s="14"/>
      <c r="D723" s="15"/>
      <c r="E723" s="14"/>
      <c r="F723" s="16" t="str">
        <f aca="false">IF(OR(C723="",D723=""),"",IF(OR(A723="",B723=""),"Tarih ya da tür eksik",IF(AND(B723="Çıkış",IFERROR(INDEX(Ürünler!$H$5:$H$304,MATCH(C723,Ürünler!$A$5:$A$304,0)),0)&lt;0),"Stok eksiye düştü","")))</f>
        <v/>
      </c>
    </row>
    <row r="724" customFormat="false" ht="15" hidden="false" customHeight="false" outlineLevel="0" collapsed="false">
      <c r="A724" s="12"/>
      <c r="B724" s="13"/>
      <c r="C724" s="14"/>
      <c r="D724" s="15"/>
      <c r="E724" s="14"/>
      <c r="F724" s="16" t="str">
        <f aca="false">IF(OR(C724="",D724=""),"",IF(OR(A724="",B724=""),"Tarih ya da tür eksik",IF(AND(B724="Çıkış",IFERROR(INDEX(Ürünler!$H$5:$H$304,MATCH(C724,Ürünler!$A$5:$A$304,0)),0)&lt;0),"Stok eksiye düştü","")))</f>
        <v/>
      </c>
    </row>
    <row r="725" customFormat="false" ht="15" hidden="false" customHeight="false" outlineLevel="0" collapsed="false">
      <c r="A725" s="12"/>
      <c r="B725" s="13"/>
      <c r="C725" s="14"/>
      <c r="D725" s="15"/>
      <c r="E725" s="14"/>
      <c r="F725" s="16" t="str">
        <f aca="false">IF(OR(C725="",D725=""),"",IF(OR(A725="",B725=""),"Tarih ya da tür eksik",IF(AND(B725="Çıkış",IFERROR(INDEX(Ürünler!$H$5:$H$304,MATCH(C725,Ürünler!$A$5:$A$304,0)),0)&lt;0),"Stok eksiye düştü","")))</f>
        <v/>
      </c>
    </row>
    <row r="726" customFormat="false" ht="15" hidden="false" customHeight="false" outlineLevel="0" collapsed="false">
      <c r="A726" s="12"/>
      <c r="B726" s="13"/>
      <c r="C726" s="14"/>
      <c r="D726" s="15"/>
      <c r="E726" s="14"/>
      <c r="F726" s="16" t="str">
        <f aca="false">IF(OR(C726="",D726=""),"",IF(OR(A726="",B726=""),"Tarih ya da tür eksik",IF(AND(B726="Çıkış",IFERROR(INDEX(Ürünler!$H$5:$H$304,MATCH(C726,Ürünler!$A$5:$A$304,0)),0)&lt;0),"Stok eksiye düştü","")))</f>
        <v/>
      </c>
    </row>
    <row r="727" customFormat="false" ht="15" hidden="false" customHeight="false" outlineLevel="0" collapsed="false">
      <c r="A727" s="12"/>
      <c r="B727" s="13"/>
      <c r="C727" s="14"/>
      <c r="D727" s="15"/>
      <c r="E727" s="14"/>
      <c r="F727" s="16" t="str">
        <f aca="false">IF(OR(C727="",D727=""),"",IF(OR(A727="",B727=""),"Tarih ya da tür eksik",IF(AND(B727="Çıkış",IFERROR(INDEX(Ürünler!$H$5:$H$304,MATCH(C727,Ürünler!$A$5:$A$304,0)),0)&lt;0),"Stok eksiye düştü","")))</f>
        <v/>
      </c>
    </row>
    <row r="728" customFormat="false" ht="15" hidden="false" customHeight="false" outlineLevel="0" collapsed="false">
      <c r="A728" s="12"/>
      <c r="B728" s="13"/>
      <c r="C728" s="14"/>
      <c r="D728" s="15"/>
      <c r="E728" s="14"/>
      <c r="F728" s="16" t="str">
        <f aca="false">IF(OR(C728="",D728=""),"",IF(OR(A728="",B728=""),"Tarih ya da tür eksik",IF(AND(B728="Çıkış",IFERROR(INDEX(Ürünler!$H$5:$H$304,MATCH(C728,Ürünler!$A$5:$A$304,0)),0)&lt;0),"Stok eksiye düştü","")))</f>
        <v/>
      </c>
    </row>
    <row r="729" customFormat="false" ht="15" hidden="false" customHeight="false" outlineLevel="0" collapsed="false">
      <c r="A729" s="12"/>
      <c r="B729" s="13"/>
      <c r="C729" s="14"/>
      <c r="D729" s="15"/>
      <c r="E729" s="14"/>
      <c r="F729" s="16" t="str">
        <f aca="false">IF(OR(C729="",D729=""),"",IF(OR(A729="",B729=""),"Tarih ya da tür eksik",IF(AND(B729="Çıkış",IFERROR(INDEX(Ürünler!$H$5:$H$304,MATCH(C729,Ürünler!$A$5:$A$304,0)),0)&lt;0),"Stok eksiye düştü","")))</f>
        <v/>
      </c>
    </row>
    <row r="730" customFormat="false" ht="15" hidden="false" customHeight="false" outlineLevel="0" collapsed="false">
      <c r="A730" s="12"/>
      <c r="B730" s="13"/>
      <c r="C730" s="14"/>
      <c r="D730" s="15"/>
      <c r="E730" s="14"/>
      <c r="F730" s="16" t="str">
        <f aca="false">IF(OR(C730="",D730=""),"",IF(OR(A730="",B730=""),"Tarih ya da tür eksik",IF(AND(B730="Çıkış",IFERROR(INDEX(Ürünler!$H$5:$H$304,MATCH(C730,Ürünler!$A$5:$A$304,0)),0)&lt;0),"Stok eksiye düştü","")))</f>
        <v/>
      </c>
    </row>
    <row r="731" customFormat="false" ht="15" hidden="false" customHeight="false" outlineLevel="0" collapsed="false">
      <c r="A731" s="12"/>
      <c r="B731" s="13"/>
      <c r="C731" s="14"/>
      <c r="D731" s="15"/>
      <c r="E731" s="14"/>
      <c r="F731" s="16" t="str">
        <f aca="false">IF(OR(C731="",D731=""),"",IF(OR(A731="",B731=""),"Tarih ya da tür eksik",IF(AND(B731="Çıkış",IFERROR(INDEX(Ürünler!$H$5:$H$304,MATCH(C731,Ürünler!$A$5:$A$304,0)),0)&lt;0),"Stok eksiye düştü","")))</f>
        <v/>
      </c>
    </row>
    <row r="732" customFormat="false" ht="15" hidden="false" customHeight="false" outlineLevel="0" collapsed="false">
      <c r="A732" s="12"/>
      <c r="B732" s="13"/>
      <c r="C732" s="14"/>
      <c r="D732" s="15"/>
      <c r="E732" s="14"/>
      <c r="F732" s="16" t="str">
        <f aca="false">IF(OR(C732="",D732=""),"",IF(OR(A732="",B732=""),"Tarih ya da tür eksik",IF(AND(B732="Çıkış",IFERROR(INDEX(Ürünler!$H$5:$H$304,MATCH(C732,Ürünler!$A$5:$A$304,0)),0)&lt;0),"Stok eksiye düştü","")))</f>
        <v/>
      </c>
    </row>
    <row r="733" customFormat="false" ht="15" hidden="false" customHeight="false" outlineLevel="0" collapsed="false">
      <c r="A733" s="12"/>
      <c r="B733" s="13"/>
      <c r="C733" s="14"/>
      <c r="D733" s="15"/>
      <c r="E733" s="14"/>
      <c r="F733" s="16" t="str">
        <f aca="false">IF(OR(C733="",D733=""),"",IF(OR(A733="",B733=""),"Tarih ya da tür eksik",IF(AND(B733="Çıkış",IFERROR(INDEX(Ürünler!$H$5:$H$304,MATCH(C733,Ürünler!$A$5:$A$304,0)),0)&lt;0),"Stok eksiye düştü","")))</f>
        <v/>
      </c>
    </row>
    <row r="734" customFormat="false" ht="15" hidden="false" customHeight="false" outlineLevel="0" collapsed="false">
      <c r="A734" s="12"/>
      <c r="B734" s="13"/>
      <c r="C734" s="14"/>
      <c r="D734" s="15"/>
      <c r="E734" s="14"/>
      <c r="F734" s="16" t="str">
        <f aca="false">IF(OR(C734="",D734=""),"",IF(OR(A734="",B734=""),"Tarih ya da tür eksik",IF(AND(B734="Çıkış",IFERROR(INDEX(Ürünler!$H$5:$H$304,MATCH(C734,Ürünler!$A$5:$A$304,0)),0)&lt;0),"Stok eksiye düştü","")))</f>
        <v/>
      </c>
    </row>
    <row r="735" customFormat="false" ht="15" hidden="false" customHeight="false" outlineLevel="0" collapsed="false">
      <c r="A735" s="12"/>
      <c r="B735" s="13"/>
      <c r="C735" s="14"/>
      <c r="D735" s="15"/>
      <c r="E735" s="14"/>
      <c r="F735" s="16" t="str">
        <f aca="false">IF(OR(C735="",D735=""),"",IF(OR(A735="",B735=""),"Tarih ya da tür eksik",IF(AND(B735="Çıkış",IFERROR(INDEX(Ürünler!$H$5:$H$304,MATCH(C735,Ürünler!$A$5:$A$304,0)),0)&lt;0),"Stok eksiye düştü","")))</f>
        <v/>
      </c>
    </row>
    <row r="736" customFormat="false" ht="15" hidden="false" customHeight="false" outlineLevel="0" collapsed="false">
      <c r="A736" s="12"/>
      <c r="B736" s="13"/>
      <c r="C736" s="14"/>
      <c r="D736" s="15"/>
      <c r="E736" s="14"/>
      <c r="F736" s="16" t="str">
        <f aca="false">IF(OR(C736="",D736=""),"",IF(OR(A736="",B736=""),"Tarih ya da tür eksik",IF(AND(B736="Çıkış",IFERROR(INDEX(Ürünler!$H$5:$H$304,MATCH(C736,Ürünler!$A$5:$A$304,0)),0)&lt;0),"Stok eksiye düştü","")))</f>
        <v/>
      </c>
    </row>
    <row r="737" customFormat="false" ht="15" hidden="false" customHeight="false" outlineLevel="0" collapsed="false">
      <c r="A737" s="12"/>
      <c r="B737" s="13"/>
      <c r="C737" s="14"/>
      <c r="D737" s="15"/>
      <c r="E737" s="14"/>
      <c r="F737" s="16" t="str">
        <f aca="false">IF(OR(C737="",D737=""),"",IF(OR(A737="",B737=""),"Tarih ya da tür eksik",IF(AND(B737="Çıkış",IFERROR(INDEX(Ürünler!$H$5:$H$304,MATCH(C737,Ürünler!$A$5:$A$304,0)),0)&lt;0),"Stok eksiye düştü","")))</f>
        <v/>
      </c>
    </row>
    <row r="738" customFormat="false" ht="15" hidden="false" customHeight="false" outlineLevel="0" collapsed="false">
      <c r="A738" s="12"/>
      <c r="B738" s="13"/>
      <c r="C738" s="14"/>
      <c r="D738" s="15"/>
      <c r="E738" s="14"/>
      <c r="F738" s="16" t="str">
        <f aca="false">IF(OR(C738="",D738=""),"",IF(OR(A738="",B738=""),"Tarih ya da tür eksik",IF(AND(B738="Çıkış",IFERROR(INDEX(Ürünler!$H$5:$H$304,MATCH(C738,Ürünler!$A$5:$A$304,0)),0)&lt;0),"Stok eksiye düştü","")))</f>
        <v/>
      </c>
    </row>
    <row r="739" customFormat="false" ht="15" hidden="false" customHeight="false" outlineLevel="0" collapsed="false">
      <c r="A739" s="12"/>
      <c r="B739" s="13"/>
      <c r="C739" s="14"/>
      <c r="D739" s="15"/>
      <c r="E739" s="14"/>
      <c r="F739" s="16" t="str">
        <f aca="false">IF(OR(C739="",D739=""),"",IF(OR(A739="",B739=""),"Tarih ya da tür eksik",IF(AND(B739="Çıkış",IFERROR(INDEX(Ürünler!$H$5:$H$304,MATCH(C739,Ürünler!$A$5:$A$304,0)),0)&lt;0),"Stok eksiye düştü","")))</f>
        <v/>
      </c>
    </row>
    <row r="740" customFormat="false" ht="15" hidden="false" customHeight="false" outlineLevel="0" collapsed="false">
      <c r="A740" s="12"/>
      <c r="B740" s="13"/>
      <c r="C740" s="14"/>
      <c r="D740" s="15"/>
      <c r="E740" s="14"/>
      <c r="F740" s="16" t="str">
        <f aca="false">IF(OR(C740="",D740=""),"",IF(OR(A740="",B740=""),"Tarih ya da tür eksik",IF(AND(B740="Çıkış",IFERROR(INDEX(Ürünler!$H$5:$H$304,MATCH(C740,Ürünler!$A$5:$A$304,0)),0)&lt;0),"Stok eksiye düştü","")))</f>
        <v/>
      </c>
    </row>
    <row r="741" customFormat="false" ht="15" hidden="false" customHeight="false" outlineLevel="0" collapsed="false">
      <c r="A741" s="12"/>
      <c r="B741" s="13"/>
      <c r="C741" s="14"/>
      <c r="D741" s="15"/>
      <c r="E741" s="14"/>
      <c r="F741" s="16" t="str">
        <f aca="false">IF(OR(C741="",D741=""),"",IF(OR(A741="",B741=""),"Tarih ya da tür eksik",IF(AND(B741="Çıkış",IFERROR(INDEX(Ürünler!$H$5:$H$304,MATCH(C741,Ürünler!$A$5:$A$304,0)),0)&lt;0),"Stok eksiye düştü","")))</f>
        <v/>
      </c>
    </row>
    <row r="742" customFormat="false" ht="15" hidden="false" customHeight="false" outlineLevel="0" collapsed="false">
      <c r="A742" s="12"/>
      <c r="B742" s="13"/>
      <c r="C742" s="14"/>
      <c r="D742" s="15"/>
      <c r="E742" s="14"/>
      <c r="F742" s="16" t="str">
        <f aca="false">IF(OR(C742="",D742=""),"",IF(OR(A742="",B742=""),"Tarih ya da tür eksik",IF(AND(B742="Çıkış",IFERROR(INDEX(Ürünler!$H$5:$H$304,MATCH(C742,Ürünler!$A$5:$A$304,0)),0)&lt;0),"Stok eksiye düştü","")))</f>
        <v/>
      </c>
    </row>
    <row r="743" customFormat="false" ht="15" hidden="false" customHeight="false" outlineLevel="0" collapsed="false">
      <c r="A743" s="12"/>
      <c r="B743" s="13"/>
      <c r="C743" s="14"/>
      <c r="D743" s="15"/>
      <c r="E743" s="14"/>
      <c r="F743" s="16" t="str">
        <f aca="false">IF(OR(C743="",D743=""),"",IF(OR(A743="",B743=""),"Tarih ya da tür eksik",IF(AND(B743="Çıkış",IFERROR(INDEX(Ürünler!$H$5:$H$304,MATCH(C743,Ürünler!$A$5:$A$304,0)),0)&lt;0),"Stok eksiye düştü","")))</f>
        <v/>
      </c>
    </row>
    <row r="744" customFormat="false" ht="15" hidden="false" customHeight="false" outlineLevel="0" collapsed="false">
      <c r="A744" s="12"/>
      <c r="B744" s="13"/>
      <c r="C744" s="14"/>
      <c r="D744" s="15"/>
      <c r="E744" s="14"/>
      <c r="F744" s="16" t="str">
        <f aca="false">IF(OR(C744="",D744=""),"",IF(OR(A744="",B744=""),"Tarih ya da tür eksik",IF(AND(B744="Çıkış",IFERROR(INDEX(Ürünler!$H$5:$H$304,MATCH(C744,Ürünler!$A$5:$A$304,0)),0)&lt;0),"Stok eksiye düştü","")))</f>
        <v/>
      </c>
    </row>
    <row r="745" customFormat="false" ht="15" hidden="false" customHeight="false" outlineLevel="0" collapsed="false">
      <c r="A745" s="12"/>
      <c r="B745" s="13"/>
      <c r="C745" s="14"/>
      <c r="D745" s="15"/>
      <c r="E745" s="14"/>
      <c r="F745" s="16" t="str">
        <f aca="false">IF(OR(C745="",D745=""),"",IF(OR(A745="",B745=""),"Tarih ya da tür eksik",IF(AND(B745="Çıkış",IFERROR(INDEX(Ürünler!$H$5:$H$304,MATCH(C745,Ürünler!$A$5:$A$304,0)),0)&lt;0),"Stok eksiye düştü","")))</f>
        <v/>
      </c>
    </row>
    <row r="746" customFormat="false" ht="15" hidden="false" customHeight="false" outlineLevel="0" collapsed="false">
      <c r="A746" s="12"/>
      <c r="B746" s="13"/>
      <c r="C746" s="14"/>
      <c r="D746" s="15"/>
      <c r="E746" s="14"/>
      <c r="F746" s="16" t="str">
        <f aca="false">IF(OR(C746="",D746=""),"",IF(OR(A746="",B746=""),"Tarih ya da tür eksik",IF(AND(B746="Çıkış",IFERROR(INDEX(Ürünler!$H$5:$H$304,MATCH(C746,Ürünler!$A$5:$A$304,0)),0)&lt;0),"Stok eksiye düştü","")))</f>
        <v/>
      </c>
    </row>
    <row r="747" customFormat="false" ht="15" hidden="false" customHeight="false" outlineLevel="0" collapsed="false">
      <c r="A747" s="12"/>
      <c r="B747" s="13"/>
      <c r="C747" s="14"/>
      <c r="D747" s="15"/>
      <c r="E747" s="14"/>
      <c r="F747" s="16" t="str">
        <f aca="false">IF(OR(C747="",D747=""),"",IF(OR(A747="",B747=""),"Tarih ya da tür eksik",IF(AND(B747="Çıkış",IFERROR(INDEX(Ürünler!$H$5:$H$304,MATCH(C747,Ürünler!$A$5:$A$304,0)),0)&lt;0),"Stok eksiye düştü","")))</f>
        <v/>
      </c>
    </row>
    <row r="748" customFormat="false" ht="15" hidden="false" customHeight="false" outlineLevel="0" collapsed="false">
      <c r="A748" s="12"/>
      <c r="B748" s="13"/>
      <c r="C748" s="14"/>
      <c r="D748" s="15"/>
      <c r="E748" s="14"/>
      <c r="F748" s="16" t="str">
        <f aca="false">IF(OR(C748="",D748=""),"",IF(OR(A748="",B748=""),"Tarih ya da tür eksik",IF(AND(B748="Çıkış",IFERROR(INDEX(Ürünler!$H$5:$H$304,MATCH(C748,Ürünler!$A$5:$A$304,0)),0)&lt;0),"Stok eksiye düştü","")))</f>
        <v/>
      </c>
    </row>
    <row r="749" customFormat="false" ht="15" hidden="false" customHeight="false" outlineLevel="0" collapsed="false">
      <c r="A749" s="12"/>
      <c r="B749" s="13"/>
      <c r="C749" s="14"/>
      <c r="D749" s="15"/>
      <c r="E749" s="14"/>
      <c r="F749" s="16" t="str">
        <f aca="false">IF(OR(C749="",D749=""),"",IF(OR(A749="",B749=""),"Tarih ya da tür eksik",IF(AND(B749="Çıkış",IFERROR(INDEX(Ürünler!$H$5:$H$304,MATCH(C749,Ürünler!$A$5:$A$304,0)),0)&lt;0),"Stok eksiye düştü","")))</f>
        <v/>
      </c>
    </row>
    <row r="750" customFormat="false" ht="15" hidden="false" customHeight="false" outlineLevel="0" collapsed="false">
      <c r="A750" s="12"/>
      <c r="B750" s="13"/>
      <c r="C750" s="14"/>
      <c r="D750" s="15"/>
      <c r="E750" s="14"/>
      <c r="F750" s="16" t="str">
        <f aca="false">IF(OR(C750="",D750=""),"",IF(OR(A750="",B750=""),"Tarih ya da tür eksik",IF(AND(B750="Çıkış",IFERROR(INDEX(Ürünler!$H$5:$H$304,MATCH(C750,Ürünler!$A$5:$A$304,0)),0)&lt;0),"Stok eksiye düştü","")))</f>
        <v/>
      </c>
    </row>
    <row r="751" customFormat="false" ht="15" hidden="false" customHeight="false" outlineLevel="0" collapsed="false">
      <c r="A751" s="12"/>
      <c r="B751" s="13"/>
      <c r="C751" s="14"/>
      <c r="D751" s="15"/>
      <c r="E751" s="14"/>
      <c r="F751" s="16" t="str">
        <f aca="false">IF(OR(C751="",D751=""),"",IF(OR(A751="",B751=""),"Tarih ya da tür eksik",IF(AND(B751="Çıkış",IFERROR(INDEX(Ürünler!$H$5:$H$304,MATCH(C751,Ürünler!$A$5:$A$304,0)),0)&lt;0),"Stok eksiye düştü","")))</f>
        <v/>
      </c>
    </row>
    <row r="752" customFormat="false" ht="15" hidden="false" customHeight="false" outlineLevel="0" collapsed="false">
      <c r="A752" s="12"/>
      <c r="B752" s="13"/>
      <c r="C752" s="14"/>
      <c r="D752" s="15"/>
      <c r="E752" s="14"/>
      <c r="F752" s="16" t="str">
        <f aca="false">IF(OR(C752="",D752=""),"",IF(OR(A752="",B752=""),"Tarih ya da tür eksik",IF(AND(B752="Çıkış",IFERROR(INDEX(Ürünler!$H$5:$H$304,MATCH(C752,Ürünler!$A$5:$A$304,0)),0)&lt;0),"Stok eksiye düştü","")))</f>
        <v/>
      </c>
    </row>
    <row r="753" customFormat="false" ht="15" hidden="false" customHeight="false" outlineLevel="0" collapsed="false">
      <c r="A753" s="12"/>
      <c r="B753" s="13"/>
      <c r="C753" s="14"/>
      <c r="D753" s="15"/>
      <c r="E753" s="14"/>
      <c r="F753" s="16" t="str">
        <f aca="false">IF(OR(C753="",D753=""),"",IF(OR(A753="",B753=""),"Tarih ya da tür eksik",IF(AND(B753="Çıkış",IFERROR(INDEX(Ürünler!$H$5:$H$304,MATCH(C753,Ürünler!$A$5:$A$304,0)),0)&lt;0),"Stok eksiye düştü","")))</f>
        <v/>
      </c>
    </row>
    <row r="754" customFormat="false" ht="15" hidden="false" customHeight="false" outlineLevel="0" collapsed="false">
      <c r="A754" s="12"/>
      <c r="B754" s="13"/>
      <c r="C754" s="14"/>
      <c r="D754" s="15"/>
      <c r="E754" s="14"/>
      <c r="F754" s="16" t="str">
        <f aca="false">IF(OR(C754="",D754=""),"",IF(OR(A754="",B754=""),"Tarih ya da tür eksik",IF(AND(B754="Çıkış",IFERROR(INDEX(Ürünler!$H$5:$H$304,MATCH(C754,Ürünler!$A$5:$A$304,0)),0)&lt;0),"Stok eksiye düştü","")))</f>
        <v/>
      </c>
    </row>
    <row r="755" customFormat="false" ht="15" hidden="false" customHeight="false" outlineLevel="0" collapsed="false">
      <c r="A755" s="12"/>
      <c r="B755" s="13"/>
      <c r="C755" s="14"/>
      <c r="D755" s="15"/>
      <c r="E755" s="14"/>
      <c r="F755" s="16" t="str">
        <f aca="false">IF(OR(C755="",D755=""),"",IF(OR(A755="",B755=""),"Tarih ya da tür eksik",IF(AND(B755="Çıkış",IFERROR(INDEX(Ürünler!$H$5:$H$304,MATCH(C755,Ürünler!$A$5:$A$304,0)),0)&lt;0),"Stok eksiye düştü","")))</f>
        <v/>
      </c>
    </row>
    <row r="756" customFormat="false" ht="15" hidden="false" customHeight="false" outlineLevel="0" collapsed="false">
      <c r="A756" s="12"/>
      <c r="B756" s="13"/>
      <c r="C756" s="14"/>
      <c r="D756" s="15"/>
      <c r="E756" s="14"/>
      <c r="F756" s="16" t="str">
        <f aca="false">IF(OR(C756="",D756=""),"",IF(OR(A756="",B756=""),"Tarih ya da tür eksik",IF(AND(B756="Çıkış",IFERROR(INDEX(Ürünler!$H$5:$H$304,MATCH(C756,Ürünler!$A$5:$A$304,0)),0)&lt;0),"Stok eksiye düştü","")))</f>
        <v/>
      </c>
    </row>
    <row r="757" customFormat="false" ht="15" hidden="false" customHeight="false" outlineLevel="0" collapsed="false">
      <c r="A757" s="12"/>
      <c r="B757" s="13"/>
      <c r="C757" s="14"/>
      <c r="D757" s="15"/>
      <c r="E757" s="14"/>
      <c r="F757" s="16" t="str">
        <f aca="false">IF(OR(C757="",D757=""),"",IF(OR(A757="",B757=""),"Tarih ya da tür eksik",IF(AND(B757="Çıkış",IFERROR(INDEX(Ürünler!$H$5:$H$304,MATCH(C757,Ürünler!$A$5:$A$304,0)),0)&lt;0),"Stok eksiye düştü","")))</f>
        <v/>
      </c>
    </row>
    <row r="758" customFormat="false" ht="15" hidden="false" customHeight="false" outlineLevel="0" collapsed="false">
      <c r="A758" s="12"/>
      <c r="B758" s="13"/>
      <c r="C758" s="14"/>
      <c r="D758" s="15"/>
      <c r="E758" s="14"/>
      <c r="F758" s="16" t="str">
        <f aca="false">IF(OR(C758="",D758=""),"",IF(OR(A758="",B758=""),"Tarih ya da tür eksik",IF(AND(B758="Çıkış",IFERROR(INDEX(Ürünler!$H$5:$H$304,MATCH(C758,Ürünler!$A$5:$A$304,0)),0)&lt;0),"Stok eksiye düştü","")))</f>
        <v/>
      </c>
    </row>
    <row r="759" customFormat="false" ht="15" hidden="false" customHeight="false" outlineLevel="0" collapsed="false">
      <c r="A759" s="12"/>
      <c r="B759" s="13"/>
      <c r="C759" s="14"/>
      <c r="D759" s="15"/>
      <c r="E759" s="14"/>
      <c r="F759" s="16" t="str">
        <f aca="false">IF(OR(C759="",D759=""),"",IF(OR(A759="",B759=""),"Tarih ya da tür eksik",IF(AND(B759="Çıkış",IFERROR(INDEX(Ürünler!$H$5:$H$304,MATCH(C759,Ürünler!$A$5:$A$304,0)),0)&lt;0),"Stok eksiye düştü","")))</f>
        <v/>
      </c>
    </row>
    <row r="760" customFormat="false" ht="15" hidden="false" customHeight="false" outlineLevel="0" collapsed="false">
      <c r="A760" s="12"/>
      <c r="B760" s="13"/>
      <c r="C760" s="14"/>
      <c r="D760" s="15"/>
      <c r="E760" s="14"/>
      <c r="F760" s="16" t="str">
        <f aca="false">IF(OR(C760="",D760=""),"",IF(OR(A760="",B760=""),"Tarih ya da tür eksik",IF(AND(B760="Çıkış",IFERROR(INDEX(Ürünler!$H$5:$H$304,MATCH(C760,Ürünler!$A$5:$A$304,0)),0)&lt;0),"Stok eksiye düştü","")))</f>
        <v/>
      </c>
    </row>
    <row r="761" customFormat="false" ht="15" hidden="false" customHeight="false" outlineLevel="0" collapsed="false">
      <c r="A761" s="12"/>
      <c r="B761" s="13"/>
      <c r="C761" s="14"/>
      <c r="D761" s="15"/>
      <c r="E761" s="14"/>
      <c r="F761" s="16" t="str">
        <f aca="false">IF(OR(C761="",D761=""),"",IF(OR(A761="",B761=""),"Tarih ya da tür eksik",IF(AND(B761="Çıkış",IFERROR(INDEX(Ürünler!$H$5:$H$304,MATCH(C761,Ürünler!$A$5:$A$304,0)),0)&lt;0),"Stok eksiye düştü","")))</f>
        <v/>
      </c>
    </row>
    <row r="762" customFormat="false" ht="15" hidden="false" customHeight="false" outlineLevel="0" collapsed="false">
      <c r="A762" s="12"/>
      <c r="B762" s="13"/>
      <c r="C762" s="14"/>
      <c r="D762" s="15"/>
      <c r="E762" s="14"/>
      <c r="F762" s="16" t="str">
        <f aca="false">IF(OR(C762="",D762=""),"",IF(OR(A762="",B762=""),"Tarih ya da tür eksik",IF(AND(B762="Çıkış",IFERROR(INDEX(Ürünler!$H$5:$H$304,MATCH(C762,Ürünler!$A$5:$A$304,0)),0)&lt;0),"Stok eksiye düştü","")))</f>
        <v/>
      </c>
    </row>
    <row r="763" customFormat="false" ht="15" hidden="false" customHeight="false" outlineLevel="0" collapsed="false">
      <c r="A763" s="12"/>
      <c r="B763" s="13"/>
      <c r="C763" s="14"/>
      <c r="D763" s="15"/>
      <c r="E763" s="14"/>
      <c r="F763" s="16" t="str">
        <f aca="false">IF(OR(C763="",D763=""),"",IF(OR(A763="",B763=""),"Tarih ya da tür eksik",IF(AND(B763="Çıkış",IFERROR(INDEX(Ürünler!$H$5:$H$304,MATCH(C763,Ürünler!$A$5:$A$304,0)),0)&lt;0),"Stok eksiye düştü","")))</f>
        <v/>
      </c>
    </row>
    <row r="764" customFormat="false" ht="15" hidden="false" customHeight="false" outlineLevel="0" collapsed="false">
      <c r="A764" s="12"/>
      <c r="B764" s="13"/>
      <c r="C764" s="14"/>
      <c r="D764" s="15"/>
      <c r="E764" s="14"/>
      <c r="F764" s="16" t="str">
        <f aca="false">IF(OR(C764="",D764=""),"",IF(OR(A764="",B764=""),"Tarih ya da tür eksik",IF(AND(B764="Çıkış",IFERROR(INDEX(Ürünler!$H$5:$H$304,MATCH(C764,Ürünler!$A$5:$A$304,0)),0)&lt;0),"Stok eksiye düştü","")))</f>
        <v/>
      </c>
    </row>
    <row r="765" customFormat="false" ht="15" hidden="false" customHeight="false" outlineLevel="0" collapsed="false">
      <c r="A765" s="12"/>
      <c r="B765" s="13"/>
      <c r="C765" s="14"/>
      <c r="D765" s="15"/>
      <c r="E765" s="14"/>
      <c r="F765" s="16" t="str">
        <f aca="false">IF(OR(C765="",D765=""),"",IF(OR(A765="",B765=""),"Tarih ya da tür eksik",IF(AND(B765="Çıkış",IFERROR(INDEX(Ürünler!$H$5:$H$304,MATCH(C765,Ürünler!$A$5:$A$304,0)),0)&lt;0),"Stok eksiye düştü","")))</f>
        <v/>
      </c>
    </row>
    <row r="766" customFormat="false" ht="15" hidden="false" customHeight="false" outlineLevel="0" collapsed="false">
      <c r="A766" s="12"/>
      <c r="B766" s="13"/>
      <c r="C766" s="14"/>
      <c r="D766" s="15"/>
      <c r="E766" s="14"/>
      <c r="F766" s="16" t="str">
        <f aca="false">IF(OR(C766="",D766=""),"",IF(OR(A766="",B766=""),"Tarih ya da tür eksik",IF(AND(B766="Çıkış",IFERROR(INDEX(Ürünler!$H$5:$H$304,MATCH(C766,Ürünler!$A$5:$A$304,0)),0)&lt;0),"Stok eksiye düştü","")))</f>
        <v/>
      </c>
    </row>
    <row r="767" customFormat="false" ht="15" hidden="false" customHeight="false" outlineLevel="0" collapsed="false">
      <c r="A767" s="12"/>
      <c r="B767" s="13"/>
      <c r="C767" s="14"/>
      <c r="D767" s="15"/>
      <c r="E767" s="14"/>
      <c r="F767" s="16" t="str">
        <f aca="false">IF(OR(C767="",D767=""),"",IF(OR(A767="",B767=""),"Tarih ya da tür eksik",IF(AND(B767="Çıkış",IFERROR(INDEX(Ürünler!$H$5:$H$304,MATCH(C767,Ürünler!$A$5:$A$304,0)),0)&lt;0),"Stok eksiye düştü","")))</f>
        <v/>
      </c>
    </row>
    <row r="768" customFormat="false" ht="15" hidden="false" customHeight="false" outlineLevel="0" collapsed="false">
      <c r="A768" s="12"/>
      <c r="B768" s="13"/>
      <c r="C768" s="14"/>
      <c r="D768" s="15"/>
      <c r="E768" s="14"/>
      <c r="F768" s="16" t="str">
        <f aca="false">IF(OR(C768="",D768=""),"",IF(OR(A768="",B768=""),"Tarih ya da tür eksik",IF(AND(B768="Çıkış",IFERROR(INDEX(Ürünler!$H$5:$H$304,MATCH(C768,Ürünler!$A$5:$A$304,0)),0)&lt;0),"Stok eksiye düştü","")))</f>
        <v/>
      </c>
    </row>
    <row r="769" customFormat="false" ht="15" hidden="false" customHeight="false" outlineLevel="0" collapsed="false">
      <c r="A769" s="12"/>
      <c r="B769" s="13"/>
      <c r="C769" s="14"/>
      <c r="D769" s="15"/>
      <c r="E769" s="14"/>
      <c r="F769" s="16" t="str">
        <f aca="false">IF(OR(C769="",D769=""),"",IF(OR(A769="",B769=""),"Tarih ya da tür eksik",IF(AND(B769="Çıkış",IFERROR(INDEX(Ürünler!$H$5:$H$304,MATCH(C769,Ürünler!$A$5:$A$304,0)),0)&lt;0),"Stok eksiye düştü","")))</f>
        <v/>
      </c>
    </row>
    <row r="770" customFormat="false" ht="15" hidden="false" customHeight="false" outlineLevel="0" collapsed="false">
      <c r="A770" s="12"/>
      <c r="B770" s="13"/>
      <c r="C770" s="14"/>
      <c r="D770" s="15"/>
      <c r="E770" s="14"/>
      <c r="F770" s="16" t="str">
        <f aca="false">IF(OR(C770="",D770=""),"",IF(OR(A770="",B770=""),"Tarih ya da tür eksik",IF(AND(B770="Çıkış",IFERROR(INDEX(Ürünler!$H$5:$H$304,MATCH(C770,Ürünler!$A$5:$A$304,0)),0)&lt;0),"Stok eksiye düştü","")))</f>
        <v/>
      </c>
    </row>
    <row r="771" customFormat="false" ht="15" hidden="false" customHeight="false" outlineLevel="0" collapsed="false">
      <c r="A771" s="12"/>
      <c r="B771" s="13"/>
      <c r="C771" s="14"/>
      <c r="D771" s="15"/>
      <c r="E771" s="14"/>
      <c r="F771" s="16" t="str">
        <f aca="false">IF(OR(C771="",D771=""),"",IF(OR(A771="",B771=""),"Tarih ya da tür eksik",IF(AND(B771="Çıkış",IFERROR(INDEX(Ürünler!$H$5:$H$304,MATCH(C771,Ürünler!$A$5:$A$304,0)),0)&lt;0),"Stok eksiye düştü","")))</f>
        <v/>
      </c>
    </row>
    <row r="772" customFormat="false" ht="15" hidden="false" customHeight="false" outlineLevel="0" collapsed="false">
      <c r="A772" s="12"/>
      <c r="B772" s="13"/>
      <c r="C772" s="14"/>
      <c r="D772" s="15"/>
      <c r="E772" s="14"/>
      <c r="F772" s="16" t="str">
        <f aca="false">IF(OR(C772="",D772=""),"",IF(OR(A772="",B772=""),"Tarih ya da tür eksik",IF(AND(B772="Çıkış",IFERROR(INDEX(Ürünler!$H$5:$H$304,MATCH(C772,Ürünler!$A$5:$A$304,0)),0)&lt;0),"Stok eksiye düştü","")))</f>
        <v/>
      </c>
    </row>
    <row r="773" customFormat="false" ht="15" hidden="false" customHeight="false" outlineLevel="0" collapsed="false">
      <c r="A773" s="12"/>
      <c r="B773" s="13"/>
      <c r="C773" s="14"/>
      <c r="D773" s="15"/>
      <c r="E773" s="14"/>
      <c r="F773" s="16" t="str">
        <f aca="false">IF(OR(C773="",D773=""),"",IF(OR(A773="",B773=""),"Tarih ya da tür eksik",IF(AND(B773="Çıkış",IFERROR(INDEX(Ürünler!$H$5:$H$304,MATCH(C773,Ürünler!$A$5:$A$304,0)),0)&lt;0),"Stok eksiye düştü","")))</f>
        <v/>
      </c>
    </row>
    <row r="774" customFormat="false" ht="15" hidden="false" customHeight="false" outlineLevel="0" collapsed="false">
      <c r="A774" s="12"/>
      <c r="B774" s="13"/>
      <c r="C774" s="14"/>
      <c r="D774" s="15"/>
      <c r="E774" s="14"/>
      <c r="F774" s="16" t="str">
        <f aca="false">IF(OR(C774="",D774=""),"",IF(OR(A774="",B774=""),"Tarih ya da tür eksik",IF(AND(B774="Çıkış",IFERROR(INDEX(Ürünler!$H$5:$H$304,MATCH(C774,Ürünler!$A$5:$A$304,0)),0)&lt;0),"Stok eksiye düştü","")))</f>
        <v/>
      </c>
    </row>
    <row r="775" customFormat="false" ht="15" hidden="false" customHeight="false" outlineLevel="0" collapsed="false">
      <c r="A775" s="12"/>
      <c r="B775" s="13"/>
      <c r="C775" s="14"/>
      <c r="D775" s="15"/>
      <c r="E775" s="14"/>
      <c r="F775" s="16" t="str">
        <f aca="false">IF(OR(C775="",D775=""),"",IF(OR(A775="",B775=""),"Tarih ya da tür eksik",IF(AND(B775="Çıkış",IFERROR(INDEX(Ürünler!$H$5:$H$304,MATCH(C775,Ürünler!$A$5:$A$304,0)),0)&lt;0),"Stok eksiye düştü","")))</f>
        <v/>
      </c>
    </row>
    <row r="776" customFormat="false" ht="15" hidden="false" customHeight="false" outlineLevel="0" collapsed="false">
      <c r="A776" s="12"/>
      <c r="B776" s="13"/>
      <c r="C776" s="14"/>
      <c r="D776" s="15"/>
      <c r="E776" s="14"/>
      <c r="F776" s="16" t="str">
        <f aca="false">IF(OR(C776="",D776=""),"",IF(OR(A776="",B776=""),"Tarih ya da tür eksik",IF(AND(B776="Çıkış",IFERROR(INDEX(Ürünler!$H$5:$H$304,MATCH(C776,Ürünler!$A$5:$A$304,0)),0)&lt;0),"Stok eksiye düştü","")))</f>
        <v/>
      </c>
    </row>
    <row r="777" customFormat="false" ht="15" hidden="false" customHeight="false" outlineLevel="0" collapsed="false">
      <c r="A777" s="12"/>
      <c r="B777" s="13"/>
      <c r="C777" s="14"/>
      <c r="D777" s="15"/>
      <c r="E777" s="14"/>
      <c r="F777" s="16" t="str">
        <f aca="false">IF(OR(C777="",D777=""),"",IF(OR(A777="",B777=""),"Tarih ya da tür eksik",IF(AND(B777="Çıkış",IFERROR(INDEX(Ürünler!$H$5:$H$304,MATCH(C777,Ürünler!$A$5:$A$304,0)),0)&lt;0),"Stok eksiye düştü","")))</f>
        <v/>
      </c>
    </row>
    <row r="778" customFormat="false" ht="15" hidden="false" customHeight="false" outlineLevel="0" collapsed="false">
      <c r="A778" s="12"/>
      <c r="B778" s="13"/>
      <c r="C778" s="14"/>
      <c r="D778" s="15"/>
      <c r="E778" s="14"/>
      <c r="F778" s="16" t="str">
        <f aca="false">IF(OR(C778="",D778=""),"",IF(OR(A778="",B778=""),"Tarih ya da tür eksik",IF(AND(B778="Çıkış",IFERROR(INDEX(Ürünler!$H$5:$H$304,MATCH(C778,Ürünler!$A$5:$A$304,0)),0)&lt;0),"Stok eksiye düştü","")))</f>
        <v/>
      </c>
    </row>
    <row r="779" customFormat="false" ht="15" hidden="false" customHeight="false" outlineLevel="0" collapsed="false">
      <c r="A779" s="12"/>
      <c r="B779" s="13"/>
      <c r="C779" s="14"/>
      <c r="D779" s="15"/>
      <c r="E779" s="14"/>
      <c r="F779" s="16" t="str">
        <f aca="false">IF(OR(C779="",D779=""),"",IF(OR(A779="",B779=""),"Tarih ya da tür eksik",IF(AND(B779="Çıkış",IFERROR(INDEX(Ürünler!$H$5:$H$304,MATCH(C779,Ürünler!$A$5:$A$304,0)),0)&lt;0),"Stok eksiye düştü","")))</f>
        <v/>
      </c>
    </row>
    <row r="780" customFormat="false" ht="15" hidden="false" customHeight="false" outlineLevel="0" collapsed="false">
      <c r="A780" s="12"/>
      <c r="B780" s="13"/>
      <c r="C780" s="14"/>
      <c r="D780" s="15"/>
      <c r="E780" s="14"/>
      <c r="F780" s="16" t="str">
        <f aca="false">IF(OR(C780="",D780=""),"",IF(OR(A780="",B780=""),"Tarih ya da tür eksik",IF(AND(B780="Çıkış",IFERROR(INDEX(Ürünler!$H$5:$H$304,MATCH(C780,Ürünler!$A$5:$A$304,0)),0)&lt;0),"Stok eksiye düştü","")))</f>
        <v/>
      </c>
    </row>
    <row r="781" customFormat="false" ht="15" hidden="false" customHeight="false" outlineLevel="0" collapsed="false">
      <c r="A781" s="12"/>
      <c r="B781" s="13"/>
      <c r="C781" s="14"/>
      <c r="D781" s="15"/>
      <c r="E781" s="14"/>
      <c r="F781" s="16" t="str">
        <f aca="false">IF(OR(C781="",D781=""),"",IF(OR(A781="",B781=""),"Tarih ya da tür eksik",IF(AND(B781="Çıkış",IFERROR(INDEX(Ürünler!$H$5:$H$304,MATCH(C781,Ürünler!$A$5:$A$304,0)),0)&lt;0),"Stok eksiye düştü","")))</f>
        <v/>
      </c>
    </row>
    <row r="782" customFormat="false" ht="15" hidden="false" customHeight="false" outlineLevel="0" collapsed="false">
      <c r="A782" s="12"/>
      <c r="B782" s="13"/>
      <c r="C782" s="14"/>
      <c r="D782" s="15"/>
      <c r="E782" s="14"/>
      <c r="F782" s="16" t="str">
        <f aca="false">IF(OR(C782="",D782=""),"",IF(OR(A782="",B782=""),"Tarih ya da tür eksik",IF(AND(B782="Çıkış",IFERROR(INDEX(Ürünler!$H$5:$H$304,MATCH(C782,Ürünler!$A$5:$A$304,0)),0)&lt;0),"Stok eksiye düştü","")))</f>
        <v/>
      </c>
    </row>
    <row r="783" customFormat="false" ht="15" hidden="false" customHeight="false" outlineLevel="0" collapsed="false">
      <c r="A783" s="12"/>
      <c r="B783" s="13"/>
      <c r="C783" s="14"/>
      <c r="D783" s="15"/>
      <c r="E783" s="14"/>
      <c r="F783" s="16" t="str">
        <f aca="false">IF(OR(C783="",D783=""),"",IF(OR(A783="",B783=""),"Tarih ya da tür eksik",IF(AND(B783="Çıkış",IFERROR(INDEX(Ürünler!$H$5:$H$304,MATCH(C783,Ürünler!$A$5:$A$304,0)),0)&lt;0),"Stok eksiye düştü","")))</f>
        <v/>
      </c>
    </row>
    <row r="784" customFormat="false" ht="15" hidden="false" customHeight="false" outlineLevel="0" collapsed="false">
      <c r="A784" s="12"/>
      <c r="B784" s="13"/>
      <c r="C784" s="14"/>
      <c r="D784" s="15"/>
      <c r="E784" s="14"/>
      <c r="F784" s="16" t="str">
        <f aca="false">IF(OR(C784="",D784=""),"",IF(OR(A784="",B784=""),"Tarih ya da tür eksik",IF(AND(B784="Çıkış",IFERROR(INDEX(Ürünler!$H$5:$H$304,MATCH(C784,Ürünler!$A$5:$A$304,0)),0)&lt;0),"Stok eksiye düştü","")))</f>
        <v/>
      </c>
    </row>
    <row r="785" customFormat="false" ht="15" hidden="false" customHeight="false" outlineLevel="0" collapsed="false">
      <c r="A785" s="12"/>
      <c r="B785" s="13"/>
      <c r="C785" s="14"/>
      <c r="D785" s="15"/>
      <c r="E785" s="14"/>
      <c r="F785" s="16" t="str">
        <f aca="false">IF(OR(C785="",D785=""),"",IF(OR(A785="",B785=""),"Tarih ya da tür eksik",IF(AND(B785="Çıkış",IFERROR(INDEX(Ürünler!$H$5:$H$304,MATCH(C785,Ürünler!$A$5:$A$304,0)),0)&lt;0),"Stok eksiye düştü","")))</f>
        <v/>
      </c>
    </row>
    <row r="786" customFormat="false" ht="15" hidden="false" customHeight="false" outlineLevel="0" collapsed="false">
      <c r="A786" s="12"/>
      <c r="B786" s="13"/>
      <c r="C786" s="14"/>
      <c r="D786" s="15"/>
      <c r="E786" s="14"/>
      <c r="F786" s="16" t="str">
        <f aca="false">IF(OR(C786="",D786=""),"",IF(OR(A786="",B786=""),"Tarih ya da tür eksik",IF(AND(B786="Çıkış",IFERROR(INDEX(Ürünler!$H$5:$H$304,MATCH(C786,Ürünler!$A$5:$A$304,0)),0)&lt;0),"Stok eksiye düştü","")))</f>
        <v/>
      </c>
    </row>
    <row r="787" customFormat="false" ht="15" hidden="false" customHeight="false" outlineLevel="0" collapsed="false">
      <c r="A787" s="12"/>
      <c r="B787" s="13"/>
      <c r="C787" s="14"/>
      <c r="D787" s="15"/>
      <c r="E787" s="14"/>
      <c r="F787" s="16" t="str">
        <f aca="false">IF(OR(C787="",D787=""),"",IF(OR(A787="",B787=""),"Tarih ya da tür eksik",IF(AND(B787="Çıkış",IFERROR(INDEX(Ürünler!$H$5:$H$304,MATCH(C787,Ürünler!$A$5:$A$304,0)),0)&lt;0),"Stok eksiye düştü","")))</f>
        <v/>
      </c>
    </row>
    <row r="788" customFormat="false" ht="15" hidden="false" customHeight="false" outlineLevel="0" collapsed="false">
      <c r="A788" s="12"/>
      <c r="B788" s="13"/>
      <c r="C788" s="14"/>
      <c r="D788" s="15"/>
      <c r="E788" s="14"/>
      <c r="F788" s="16" t="str">
        <f aca="false">IF(OR(C788="",D788=""),"",IF(OR(A788="",B788=""),"Tarih ya da tür eksik",IF(AND(B788="Çıkış",IFERROR(INDEX(Ürünler!$H$5:$H$304,MATCH(C788,Ürünler!$A$5:$A$304,0)),0)&lt;0),"Stok eksiye düştü","")))</f>
        <v/>
      </c>
    </row>
    <row r="789" customFormat="false" ht="15" hidden="false" customHeight="false" outlineLevel="0" collapsed="false">
      <c r="A789" s="12"/>
      <c r="B789" s="13"/>
      <c r="C789" s="14"/>
      <c r="D789" s="15"/>
      <c r="E789" s="14"/>
      <c r="F789" s="16" t="str">
        <f aca="false">IF(OR(C789="",D789=""),"",IF(OR(A789="",B789=""),"Tarih ya da tür eksik",IF(AND(B789="Çıkış",IFERROR(INDEX(Ürünler!$H$5:$H$304,MATCH(C789,Ürünler!$A$5:$A$304,0)),0)&lt;0),"Stok eksiye düştü","")))</f>
        <v/>
      </c>
    </row>
    <row r="790" customFormat="false" ht="15" hidden="false" customHeight="false" outlineLevel="0" collapsed="false">
      <c r="A790" s="12"/>
      <c r="B790" s="13"/>
      <c r="C790" s="14"/>
      <c r="D790" s="15"/>
      <c r="E790" s="14"/>
      <c r="F790" s="16" t="str">
        <f aca="false">IF(OR(C790="",D790=""),"",IF(OR(A790="",B790=""),"Tarih ya da tür eksik",IF(AND(B790="Çıkış",IFERROR(INDEX(Ürünler!$H$5:$H$304,MATCH(C790,Ürünler!$A$5:$A$304,0)),0)&lt;0),"Stok eksiye düştü","")))</f>
        <v/>
      </c>
    </row>
    <row r="791" customFormat="false" ht="15" hidden="false" customHeight="false" outlineLevel="0" collapsed="false">
      <c r="A791" s="12"/>
      <c r="B791" s="13"/>
      <c r="C791" s="14"/>
      <c r="D791" s="15"/>
      <c r="E791" s="14"/>
      <c r="F791" s="16" t="str">
        <f aca="false">IF(OR(C791="",D791=""),"",IF(OR(A791="",B791=""),"Tarih ya da tür eksik",IF(AND(B791="Çıkış",IFERROR(INDEX(Ürünler!$H$5:$H$304,MATCH(C791,Ürünler!$A$5:$A$304,0)),0)&lt;0),"Stok eksiye düştü","")))</f>
        <v/>
      </c>
    </row>
    <row r="792" customFormat="false" ht="15" hidden="false" customHeight="false" outlineLevel="0" collapsed="false">
      <c r="A792" s="12"/>
      <c r="B792" s="13"/>
      <c r="C792" s="14"/>
      <c r="D792" s="15"/>
      <c r="E792" s="14"/>
      <c r="F792" s="16" t="str">
        <f aca="false">IF(OR(C792="",D792=""),"",IF(OR(A792="",B792=""),"Tarih ya da tür eksik",IF(AND(B792="Çıkış",IFERROR(INDEX(Ürünler!$H$5:$H$304,MATCH(C792,Ürünler!$A$5:$A$304,0)),0)&lt;0),"Stok eksiye düştü","")))</f>
        <v/>
      </c>
    </row>
    <row r="793" customFormat="false" ht="15" hidden="false" customHeight="false" outlineLevel="0" collapsed="false">
      <c r="A793" s="12"/>
      <c r="B793" s="13"/>
      <c r="C793" s="14"/>
      <c r="D793" s="15"/>
      <c r="E793" s="14"/>
      <c r="F793" s="16" t="str">
        <f aca="false">IF(OR(C793="",D793=""),"",IF(OR(A793="",B793=""),"Tarih ya da tür eksik",IF(AND(B793="Çıkış",IFERROR(INDEX(Ürünler!$H$5:$H$304,MATCH(C793,Ürünler!$A$5:$A$304,0)),0)&lt;0),"Stok eksiye düştü","")))</f>
        <v/>
      </c>
    </row>
    <row r="794" customFormat="false" ht="15" hidden="false" customHeight="false" outlineLevel="0" collapsed="false">
      <c r="A794" s="12"/>
      <c r="B794" s="13"/>
      <c r="C794" s="14"/>
      <c r="D794" s="15"/>
      <c r="E794" s="14"/>
      <c r="F794" s="16" t="str">
        <f aca="false">IF(OR(C794="",D794=""),"",IF(OR(A794="",B794=""),"Tarih ya da tür eksik",IF(AND(B794="Çıkış",IFERROR(INDEX(Ürünler!$H$5:$H$304,MATCH(C794,Ürünler!$A$5:$A$304,0)),0)&lt;0),"Stok eksiye düştü","")))</f>
        <v/>
      </c>
    </row>
    <row r="795" customFormat="false" ht="15" hidden="false" customHeight="false" outlineLevel="0" collapsed="false">
      <c r="A795" s="12"/>
      <c r="B795" s="13"/>
      <c r="C795" s="14"/>
      <c r="D795" s="15"/>
      <c r="E795" s="14"/>
      <c r="F795" s="16" t="str">
        <f aca="false">IF(OR(C795="",D795=""),"",IF(OR(A795="",B795=""),"Tarih ya da tür eksik",IF(AND(B795="Çıkış",IFERROR(INDEX(Ürünler!$H$5:$H$304,MATCH(C795,Ürünler!$A$5:$A$304,0)),0)&lt;0),"Stok eksiye düştü","")))</f>
        <v/>
      </c>
    </row>
    <row r="796" customFormat="false" ht="15" hidden="false" customHeight="false" outlineLevel="0" collapsed="false">
      <c r="A796" s="12"/>
      <c r="B796" s="13"/>
      <c r="C796" s="14"/>
      <c r="D796" s="15"/>
      <c r="E796" s="14"/>
      <c r="F796" s="16" t="str">
        <f aca="false">IF(OR(C796="",D796=""),"",IF(OR(A796="",B796=""),"Tarih ya da tür eksik",IF(AND(B796="Çıkış",IFERROR(INDEX(Ürünler!$H$5:$H$304,MATCH(C796,Ürünler!$A$5:$A$304,0)),0)&lt;0),"Stok eksiye düştü","")))</f>
        <v/>
      </c>
    </row>
    <row r="797" customFormat="false" ht="15" hidden="false" customHeight="false" outlineLevel="0" collapsed="false">
      <c r="A797" s="12"/>
      <c r="B797" s="13"/>
      <c r="C797" s="14"/>
      <c r="D797" s="15"/>
      <c r="E797" s="14"/>
      <c r="F797" s="16" t="str">
        <f aca="false">IF(OR(C797="",D797=""),"",IF(OR(A797="",B797=""),"Tarih ya da tür eksik",IF(AND(B797="Çıkış",IFERROR(INDEX(Ürünler!$H$5:$H$304,MATCH(C797,Ürünler!$A$5:$A$304,0)),0)&lt;0),"Stok eksiye düştü","")))</f>
        <v/>
      </c>
    </row>
    <row r="798" customFormat="false" ht="15" hidden="false" customHeight="false" outlineLevel="0" collapsed="false">
      <c r="A798" s="12"/>
      <c r="B798" s="13"/>
      <c r="C798" s="14"/>
      <c r="D798" s="15"/>
      <c r="E798" s="14"/>
      <c r="F798" s="16" t="str">
        <f aca="false">IF(OR(C798="",D798=""),"",IF(OR(A798="",B798=""),"Tarih ya da tür eksik",IF(AND(B798="Çıkış",IFERROR(INDEX(Ürünler!$H$5:$H$304,MATCH(C798,Ürünler!$A$5:$A$304,0)),0)&lt;0),"Stok eksiye düştü","")))</f>
        <v/>
      </c>
    </row>
    <row r="799" customFormat="false" ht="15" hidden="false" customHeight="false" outlineLevel="0" collapsed="false">
      <c r="A799" s="12"/>
      <c r="B799" s="13"/>
      <c r="C799" s="14"/>
      <c r="D799" s="15"/>
      <c r="E799" s="14"/>
      <c r="F799" s="16" t="str">
        <f aca="false">IF(OR(C799="",D799=""),"",IF(OR(A799="",B799=""),"Tarih ya da tür eksik",IF(AND(B799="Çıkış",IFERROR(INDEX(Ürünler!$H$5:$H$304,MATCH(C799,Ürünler!$A$5:$A$304,0)),0)&lt;0),"Stok eksiye düştü","")))</f>
        <v/>
      </c>
    </row>
    <row r="800" customFormat="false" ht="15" hidden="false" customHeight="false" outlineLevel="0" collapsed="false">
      <c r="A800" s="12"/>
      <c r="B800" s="13"/>
      <c r="C800" s="14"/>
      <c r="D800" s="15"/>
      <c r="E800" s="14"/>
      <c r="F800" s="16" t="str">
        <f aca="false">IF(OR(C800="",D800=""),"",IF(OR(A800="",B800=""),"Tarih ya da tür eksik",IF(AND(B800="Çıkış",IFERROR(INDEX(Ürünler!$H$5:$H$304,MATCH(C800,Ürünler!$A$5:$A$304,0)),0)&lt;0),"Stok eksiye düştü","")))</f>
        <v/>
      </c>
    </row>
    <row r="801" customFormat="false" ht="15" hidden="false" customHeight="false" outlineLevel="0" collapsed="false">
      <c r="A801" s="12"/>
      <c r="B801" s="13"/>
      <c r="C801" s="14"/>
      <c r="D801" s="15"/>
      <c r="E801" s="14"/>
      <c r="F801" s="16" t="str">
        <f aca="false">IF(OR(C801="",D801=""),"",IF(OR(A801="",B801=""),"Tarih ya da tür eksik",IF(AND(B801="Çıkış",IFERROR(INDEX(Ürünler!$H$5:$H$304,MATCH(C801,Ürünler!$A$5:$A$304,0)),0)&lt;0),"Stok eksiye düştü","")))</f>
        <v/>
      </c>
    </row>
    <row r="802" customFormat="false" ht="15" hidden="false" customHeight="false" outlineLevel="0" collapsed="false">
      <c r="A802" s="12"/>
      <c r="B802" s="13"/>
      <c r="C802" s="14"/>
      <c r="D802" s="15"/>
      <c r="E802" s="14"/>
      <c r="F802" s="16" t="str">
        <f aca="false">IF(OR(C802="",D802=""),"",IF(OR(A802="",B802=""),"Tarih ya da tür eksik",IF(AND(B802="Çıkış",IFERROR(INDEX(Ürünler!$H$5:$H$304,MATCH(C802,Ürünler!$A$5:$A$304,0)),0)&lt;0),"Stok eksiye düştü","")))</f>
        <v/>
      </c>
    </row>
    <row r="803" customFormat="false" ht="15" hidden="false" customHeight="false" outlineLevel="0" collapsed="false">
      <c r="A803" s="12"/>
      <c r="B803" s="13"/>
      <c r="C803" s="14"/>
      <c r="D803" s="15"/>
      <c r="E803" s="14"/>
      <c r="F803" s="16" t="str">
        <f aca="false">IF(OR(C803="",D803=""),"",IF(OR(A803="",B803=""),"Tarih ya da tür eksik",IF(AND(B803="Çıkış",IFERROR(INDEX(Ürünler!$H$5:$H$304,MATCH(C803,Ürünler!$A$5:$A$304,0)),0)&lt;0),"Stok eksiye düştü","")))</f>
        <v/>
      </c>
    </row>
    <row r="804" customFormat="false" ht="15" hidden="false" customHeight="false" outlineLevel="0" collapsed="false">
      <c r="A804" s="12"/>
      <c r="B804" s="13"/>
      <c r="C804" s="14"/>
      <c r="D804" s="15"/>
      <c r="E804" s="14"/>
      <c r="F804" s="16" t="str">
        <f aca="false">IF(OR(C804="",D804=""),"",IF(OR(A804="",B804=""),"Tarih ya da tür eksik",IF(AND(B804="Çıkış",IFERROR(INDEX(Ürünler!$H$5:$H$304,MATCH(C804,Ürünler!$A$5:$A$304,0)),0)&lt;0),"Stok eksiye düştü","")))</f>
        <v/>
      </c>
    </row>
    <row r="805" customFormat="false" ht="15" hidden="false" customHeight="false" outlineLevel="0" collapsed="false">
      <c r="A805" s="12"/>
      <c r="B805" s="13"/>
      <c r="C805" s="14"/>
      <c r="D805" s="15"/>
      <c r="E805" s="14"/>
      <c r="F805" s="16" t="str">
        <f aca="false">IF(OR(C805="",D805=""),"",IF(OR(A805="",B805=""),"Tarih ya da tür eksik",IF(AND(B805="Çıkış",IFERROR(INDEX(Ürünler!$H$5:$H$304,MATCH(C805,Ürünler!$A$5:$A$304,0)),0)&lt;0),"Stok eksiye düştü","")))</f>
        <v/>
      </c>
    </row>
    <row r="806" customFormat="false" ht="15" hidden="false" customHeight="false" outlineLevel="0" collapsed="false">
      <c r="A806" s="12"/>
      <c r="B806" s="13"/>
      <c r="C806" s="14"/>
      <c r="D806" s="15"/>
      <c r="E806" s="14"/>
      <c r="F806" s="16" t="str">
        <f aca="false">IF(OR(C806="",D806=""),"",IF(OR(A806="",B806=""),"Tarih ya da tür eksik",IF(AND(B806="Çıkış",IFERROR(INDEX(Ürünler!$H$5:$H$304,MATCH(C806,Ürünler!$A$5:$A$304,0)),0)&lt;0),"Stok eksiye düştü","")))</f>
        <v/>
      </c>
    </row>
    <row r="807" customFormat="false" ht="15" hidden="false" customHeight="false" outlineLevel="0" collapsed="false">
      <c r="A807" s="12"/>
      <c r="B807" s="13"/>
      <c r="C807" s="14"/>
      <c r="D807" s="15"/>
      <c r="E807" s="14"/>
      <c r="F807" s="16" t="str">
        <f aca="false">IF(OR(C807="",D807=""),"",IF(OR(A807="",B807=""),"Tarih ya da tür eksik",IF(AND(B807="Çıkış",IFERROR(INDEX(Ürünler!$H$5:$H$304,MATCH(C807,Ürünler!$A$5:$A$304,0)),0)&lt;0),"Stok eksiye düştü","")))</f>
        <v/>
      </c>
    </row>
    <row r="808" customFormat="false" ht="15" hidden="false" customHeight="false" outlineLevel="0" collapsed="false">
      <c r="A808" s="12"/>
      <c r="B808" s="13"/>
      <c r="C808" s="14"/>
      <c r="D808" s="15"/>
      <c r="E808" s="14"/>
      <c r="F808" s="16" t="str">
        <f aca="false">IF(OR(C808="",D808=""),"",IF(OR(A808="",B808=""),"Tarih ya da tür eksik",IF(AND(B808="Çıkış",IFERROR(INDEX(Ürünler!$H$5:$H$304,MATCH(C808,Ürünler!$A$5:$A$304,0)),0)&lt;0),"Stok eksiye düştü","")))</f>
        <v/>
      </c>
    </row>
    <row r="809" customFormat="false" ht="15" hidden="false" customHeight="false" outlineLevel="0" collapsed="false">
      <c r="A809" s="12"/>
      <c r="B809" s="13"/>
      <c r="C809" s="14"/>
      <c r="D809" s="15"/>
      <c r="E809" s="14"/>
      <c r="F809" s="16" t="str">
        <f aca="false">IF(OR(C809="",D809=""),"",IF(OR(A809="",B809=""),"Tarih ya da tür eksik",IF(AND(B809="Çıkış",IFERROR(INDEX(Ürünler!$H$5:$H$304,MATCH(C809,Ürünler!$A$5:$A$304,0)),0)&lt;0),"Stok eksiye düştü","")))</f>
        <v/>
      </c>
    </row>
    <row r="810" customFormat="false" ht="15" hidden="false" customHeight="false" outlineLevel="0" collapsed="false">
      <c r="A810" s="12"/>
      <c r="B810" s="13"/>
      <c r="C810" s="14"/>
      <c r="D810" s="15"/>
      <c r="E810" s="14"/>
      <c r="F810" s="16" t="str">
        <f aca="false">IF(OR(C810="",D810=""),"",IF(OR(A810="",B810=""),"Tarih ya da tür eksik",IF(AND(B810="Çıkış",IFERROR(INDEX(Ürünler!$H$5:$H$304,MATCH(C810,Ürünler!$A$5:$A$304,0)),0)&lt;0),"Stok eksiye düştü","")))</f>
        <v/>
      </c>
    </row>
    <row r="811" customFormat="false" ht="15" hidden="false" customHeight="false" outlineLevel="0" collapsed="false">
      <c r="A811" s="12"/>
      <c r="B811" s="13"/>
      <c r="C811" s="14"/>
      <c r="D811" s="15"/>
      <c r="E811" s="14"/>
      <c r="F811" s="16" t="str">
        <f aca="false">IF(OR(C811="",D811=""),"",IF(OR(A811="",B811=""),"Tarih ya da tür eksik",IF(AND(B811="Çıkış",IFERROR(INDEX(Ürünler!$H$5:$H$304,MATCH(C811,Ürünler!$A$5:$A$304,0)),0)&lt;0),"Stok eksiye düştü","")))</f>
        <v/>
      </c>
    </row>
    <row r="812" customFormat="false" ht="15" hidden="false" customHeight="false" outlineLevel="0" collapsed="false">
      <c r="A812" s="12"/>
      <c r="B812" s="13"/>
      <c r="C812" s="14"/>
      <c r="D812" s="15"/>
      <c r="E812" s="14"/>
      <c r="F812" s="16" t="str">
        <f aca="false">IF(OR(C812="",D812=""),"",IF(OR(A812="",B812=""),"Tarih ya da tür eksik",IF(AND(B812="Çıkış",IFERROR(INDEX(Ürünler!$H$5:$H$304,MATCH(C812,Ürünler!$A$5:$A$304,0)),0)&lt;0),"Stok eksiye düştü","")))</f>
        <v/>
      </c>
    </row>
    <row r="813" customFormat="false" ht="15" hidden="false" customHeight="false" outlineLevel="0" collapsed="false">
      <c r="A813" s="12"/>
      <c r="B813" s="13"/>
      <c r="C813" s="14"/>
      <c r="D813" s="15"/>
      <c r="E813" s="14"/>
      <c r="F813" s="16" t="str">
        <f aca="false">IF(OR(C813="",D813=""),"",IF(OR(A813="",B813=""),"Tarih ya da tür eksik",IF(AND(B813="Çıkış",IFERROR(INDEX(Ürünler!$H$5:$H$304,MATCH(C813,Ürünler!$A$5:$A$304,0)),0)&lt;0),"Stok eksiye düştü","")))</f>
        <v/>
      </c>
    </row>
    <row r="814" customFormat="false" ht="15" hidden="false" customHeight="false" outlineLevel="0" collapsed="false">
      <c r="A814" s="12"/>
      <c r="B814" s="13"/>
      <c r="C814" s="14"/>
      <c r="D814" s="15"/>
      <c r="E814" s="14"/>
      <c r="F814" s="16" t="str">
        <f aca="false">IF(OR(C814="",D814=""),"",IF(OR(A814="",B814=""),"Tarih ya da tür eksik",IF(AND(B814="Çıkış",IFERROR(INDEX(Ürünler!$H$5:$H$304,MATCH(C814,Ürünler!$A$5:$A$304,0)),0)&lt;0),"Stok eksiye düştü","")))</f>
        <v/>
      </c>
    </row>
    <row r="815" customFormat="false" ht="15" hidden="false" customHeight="false" outlineLevel="0" collapsed="false">
      <c r="A815" s="12"/>
      <c r="B815" s="13"/>
      <c r="C815" s="14"/>
      <c r="D815" s="15"/>
      <c r="E815" s="14"/>
      <c r="F815" s="16" t="str">
        <f aca="false">IF(OR(C815="",D815=""),"",IF(OR(A815="",B815=""),"Tarih ya da tür eksik",IF(AND(B815="Çıkış",IFERROR(INDEX(Ürünler!$H$5:$H$304,MATCH(C815,Ürünler!$A$5:$A$304,0)),0)&lt;0),"Stok eksiye düştü","")))</f>
        <v/>
      </c>
    </row>
    <row r="816" customFormat="false" ht="15" hidden="false" customHeight="false" outlineLevel="0" collapsed="false">
      <c r="A816" s="12"/>
      <c r="B816" s="13"/>
      <c r="C816" s="14"/>
      <c r="D816" s="15"/>
      <c r="E816" s="14"/>
      <c r="F816" s="16" t="str">
        <f aca="false">IF(OR(C816="",D816=""),"",IF(OR(A816="",B816=""),"Tarih ya da tür eksik",IF(AND(B816="Çıkış",IFERROR(INDEX(Ürünler!$H$5:$H$304,MATCH(C816,Ürünler!$A$5:$A$304,0)),0)&lt;0),"Stok eksiye düştü","")))</f>
        <v/>
      </c>
    </row>
    <row r="817" customFormat="false" ht="15" hidden="false" customHeight="false" outlineLevel="0" collapsed="false">
      <c r="A817" s="12"/>
      <c r="B817" s="13"/>
      <c r="C817" s="14"/>
      <c r="D817" s="15"/>
      <c r="E817" s="14"/>
      <c r="F817" s="16" t="str">
        <f aca="false">IF(OR(C817="",D817=""),"",IF(OR(A817="",B817=""),"Tarih ya da tür eksik",IF(AND(B817="Çıkış",IFERROR(INDEX(Ürünler!$H$5:$H$304,MATCH(C817,Ürünler!$A$5:$A$304,0)),0)&lt;0),"Stok eksiye düştü","")))</f>
        <v/>
      </c>
    </row>
    <row r="818" customFormat="false" ht="15" hidden="false" customHeight="false" outlineLevel="0" collapsed="false">
      <c r="A818" s="12"/>
      <c r="B818" s="13"/>
      <c r="C818" s="14"/>
      <c r="D818" s="15"/>
      <c r="E818" s="14"/>
      <c r="F818" s="16" t="str">
        <f aca="false">IF(OR(C818="",D818=""),"",IF(OR(A818="",B818=""),"Tarih ya da tür eksik",IF(AND(B818="Çıkış",IFERROR(INDEX(Ürünler!$H$5:$H$304,MATCH(C818,Ürünler!$A$5:$A$304,0)),0)&lt;0),"Stok eksiye düştü","")))</f>
        <v/>
      </c>
    </row>
    <row r="819" customFormat="false" ht="15" hidden="false" customHeight="false" outlineLevel="0" collapsed="false">
      <c r="A819" s="12"/>
      <c r="B819" s="13"/>
      <c r="C819" s="14"/>
      <c r="D819" s="15"/>
      <c r="E819" s="14"/>
      <c r="F819" s="16" t="str">
        <f aca="false">IF(OR(C819="",D819=""),"",IF(OR(A819="",B819=""),"Tarih ya da tür eksik",IF(AND(B819="Çıkış",IFERROR(INDEX(Ürünler!$H$5:$H$304,MATCH(C819,Ürünler!$A$5:$A$304,0)),0)&lt;0),"Stok eksiye düştü","")))</f>
        <v/>
      </c>
    </row>
    <row r="820" customFormat="false" ht="15" hidden="false" customHeight="false" outlineLevel="0" collapsed="false">
      <c r="A820" s="12"/>
      <c r="B820" s="13"/>
      <c r="C820" s="14"/>
      <c r="D820" s="15"/>
      <c r="E820" s="14"/>
      <c r="F820" s="16" t="str">
        <f aca="false">IF(OR(C820="",D820=""),"",IF(OR(A820="",B820=""),"Tarih ya da tür eksik",IF(AND(B820="Çıkış",IFERROR(INDEX(Ürünler!$H$5:$H$304,MATCH(C820,Ürünler!$A$5:$A$304,0)),0)&lt;0),"Stok eksiye düştü","")))</f>
        <v/>
      </c>
    </row>
    <row r="821" customFormat="false" ht="15" hidden="false" customHeight="false" outlineLevel="0" collapsed="false">
      <c r="A821" s="12"/>
      <c r="B821" s="13"/>
      <c r="C821" s="14"/>
      <c r="D821" s="15"/>
      <c r="E821" s="14"/>
      <c r="F821" s="16" t="str">
        <f aca="false">IF(OR(C821="",D821=""),"",IF(OR(A821="",B821=""),"Tarih ya da tür eksik",IF(AND(B821="Çıkış",IFERROR(INDEX(Ürünler!$H$5:$H$304,MATCH(C821,Ürünler!$A$5:$A$304,0)),0)&lt;0),"Stok eksiye düştü","")))</f>
        <v/>
      </c>
    </row>
    <row r="822" customFormat="false" ht="15" hidden="false" customHeight="false" outlineLevel="0" collapsed="false">
      <c r="A822" s="12"/>
      <c r="B822" s="13"/>
      <c r="C822" s="14"/>
      <c r="D822" s="15"/>
      <c r="E822" s="14"/>
      <c r="F822" s="16" t="str">
        <f aca="false">IF(OR(C822="",D822=""),"",IF(OR(A822="",B822=""),"Tarih ya da tür eksik",IF(AND(B822="Çıkış",IFERROR(INDEX(Ürünler!$H$5:$H$304,MATCH(C822,Ürünler!$A$5:$A$304,0)),0)&lt;0),"Stok eksiye düştü","")))</f>
        <v/>
      </c>
    </row>
    <row r="823" customFormat="false" ht="15" hidden="false" customHeight="false" outlineLevel="0" collapsed="false">
      <c r="A823" s="12"/>
      <c r="B823" s="13"/>
      <c r="C823" s="14"/>
      <c r="D823" s="15"/>
      <c r="E823" s="14"/>
      <c r="F823" s="16" t="str">
        <f aca="false">IF(OR(C823="",D823=""),"",IF(OR(A823="",B823=""),"Tarih ya da tür eksik",IF(AND(B823="Çıkış",IFERROR(INDEX(Ürünler!$H$5:$H$304,MATCH(C823,Ürünler!$A$5:$A$304,0)),0)&lt;0),"Stok eksiye düştü","")))</f>
        <v/>
      </c>
    </row>
    <row r="824" customFormat="false" ht="15" hidden="false" customHeight="false" outlineLevel="0" collapsed="false">
      <c r="A824" s="12"/>
      <c r="B824" s="13"/>
      <c r="C824" s="14"/>
      <c r="D824" s="15"/>
      <c r="E824" s="14"/>
      <c r="F824" s="16" t="str">
        <f aca="false">IF(OR(C824="",D824=""),"",IF(OR(A824="",B824=""),"Tarih ya da tür eksik",IF(AND(B824="Çıkış",IFERROR(INDEX(Ürünler!$H$5:$H$304,MATCH(C824,Ürünler!$A$5:$A$304,0)),0)&lt;0),"Stok eksiye düştü","")))</f>
        <v/>
      </c>
    </row>
    <row r="825" customFormat="false" ht="15" hidden="false" customHeight="false" outlineLevel="0" collapsed="false">
      <c r="A825" s="12"/>
      <c r="B825" s="13"/>
      <c r="C825" s="14"/>
      <c r="D825" s="15"/>
      <c r="E825" s="14"/>
      <c r="F825" s="16" t="str">
        <f aca="false">IF(OR(C825="",D825=""),"",IF(OR(A825="",B825=""),"Tarih ya da tür eksik",IF(AND(B825="Çıkış",IFERROR(INDEX(Ürünler!$H$5:$H$304,MATCH(C825,Ürünler!$A$5:$A$304,0)),0)&lt;0),"Stok eksiye düştü","")))</f>
        <v/>
      </c>
    </row>
    <row r="826" customFormat="false" ht="15" hidden="false" customHeight="false" outlineLevel="0" collapsed="false">
      <c r="A826" s="12"/>
      <c r="B826" s="13"/>
      <c r="C826" s="14"/>
      <c r="D826" s="15"/>
      <c r="E826" s="14"/>
      <c r="F826" s="16" t="str">
        <f aca="false">IF(OR(C826="",D826=""),"",IF(OR(A826="",B826=""),"Tarih ya da tür eksik",IF(AND(B826="Çıkış",IFERROR(INDEX(Ürünler!$H$5:$H$304,MATCH(C826,Ürünler!$A$5:$A$304,0)),0)&lt;0),"Stok eksiye düştü","")))</f>
        <v/>
      </c>
    </row>
    <row r="827" customFormat="false" ht="15" hidden="false" customHeight="false" outlineLevel="0" collapsed="false">
      <c r="A827" s="12"/>
      <c r="B827" s="13"/>
      <c r="C827" s="14"/>
      <c r="D827" s="15"/>
      <c r="E827" s="14"/>
      <c r="F827" s="16" t="str">
        <f aca="false">IF(OR(C827="",D827=""),"",IF(OR(A827="",B827=""),"Tarih ya da tür eksik",IF(AND(B827="Çıkış",IFERROR(INDEX(Ürünler!$H$5:$H$304,MATCH(C827,Ürünler!$A$5:$A$304,0)),0)&lt;0),"Stok eksiye düştü","")))</f>
        <v/>
      </c>
    </row>
    <row r="828" customFormat="false" ht="15" hidden="false" customHeight="false" outlineLevel="0" collapsed="false">
      <c r="A828" s="12"/>
      <c r="B828" s="13"/>
      <c r="C828" s="14"/>
      <c r="D828" s="15"/>
      <c r="E828" s="14"/>
      <c r="F828" s="16" t="str">
        <f aca="false">IF(OR(C828="",D828=""),"",IF(OR(A828="",B828=""),"Tarih ya da tür eksik",IF(AND(B828="Çıkış",IFERROR(INDEX(Ürünler!$H$5:$H$304,MATCH(C828,Ürünler!$A$5:$A$304,0)),0)&lt;0),"Stok eksiye düştü","")))</f>
        <v/>
      </c>
    </row>
    <row r="829" customFormat="false" ht="15" hidden="false" customHeight="false" outlineLevel="0" collapsed="false">
      <c r="A829" s="12"/>
      <c r="B829" s="13"/>
      <c r="C829" s="14"/>
      <c r="D829" s="15"/>
      <c r="E829" s="14"/>
      <c r="F829" s="16" t="str">
        <f aca="false">IF(OR(C829="",D829=""),"",IF(OR(A829="",B829=""),"Tarih ya da tür eksik",IF(AND(B829="Çıkış",IFERROR(INDEX(Ürünler!$H$5:$H$304,MATCH(C829,Ürünler!$A$5:$A$304,0)),0)&lt;0),"Stok eksiye düştü","")))</f>
        <v/>
      </c>
    </row>
    <row r="830" customFormat="false" ht="15" hidden="false" customHeight="false" outlineLevel="0" collapsed="false">
      <c r="A830" s="12"/>
      <c r="B830" s="13"/>
      <c r="C830" s="14"/>
      <c r="D830" s="15"/>
      <c r="E830" s="14"/>
      <c r="F830" s="16" t="str">
        <f aca="false">IF(OR(C830="",D830=""),"",IF(OR(A830="",B830=""),"Tarih ya da tür eksik",IF(AND(B830="Çıkış",IFERROR(INDEX(Ürünler!$H$5:$H$304,MATCH(C830,Ürünler!$A$5:$A$304,0)),0)&lt;0),"Stok eksiye düştü","")))</f>
        <v/>
      </c>
    </row>
    <row r="831" customFormat="false" ht="15" hidden="false" customHeight="false" outlineLevel="0" collapsed="false">
      <c r="A831" s="12"/>
      <c r="B831" s="13"/>
      <c r="C831" s="14"/>
      <c r="D831" s="15"/>
      <c r="E831" s="14"/>
      <c r="F831" s="16" t="str">
        <f aca="false">IF(OR(C831="",D831=""),"",IF(OR(A831="",B831=""),"Tarih ya da tür eksik",IF(AND(B831="Çıkış",IFERROR(INDEX(Ürünler!$H$5:$H$304,MATCH(C831,Ürünler!$A$5:$A$304,0)),0)&lt;0),"Stok eksiye düştü","")))</f>
        <v/>
      </c>
    </row>
    <row r="832" customFormat="false" ht="15" hidden="false" customHeight="false" outlineLevel="0" collapsed="false">
      <c r="A832" s="12"/>
      <c r="B832" s="13"/>
      <c r="C832" s="14"/>
      <c r="D832" s="15"/>
      <c r="E832" s="14"/>
      <c r="F832" s="16" t="str">
        <f aca="false">IF(OR(C832="",D832=""),"",IF(OR(A832="",B832=""),"Tarih ya da tür eksik",IF(AND(B832="Çıkış",IFERROR(INDEX(Ürünler!$H$5:$H$304,MATCH(C832,Ürünler!$A$5:$A$304,0)),0)&lt;0),"Stok eksiye düştü","")))</f>
        <v/>
      </c>
    </row>
    <row r="833" customFormat="false" ht="15" hidden="false" customHeight="false" outlineLevel="0" collapsed="false">
      <c r="A833" s="12"/>
      <c r="B833" s="13"/>
      <c r="C833" s="14"/>
      <c r="D833" s="15"/>
      <c r="E833" s="14"/>
      <c r="F833" s="16" t="str">
        <f aca="false">IF(OR(C833="",D833=""),"",IF(OR(A833="",B833=""),"Tarih ya da tür eksik",IF(AND(B833="Çıkış",IFERROR(INDEX(Ürünler!$H$5:$H$304,MATCH(C833,Ürünler!$A$5:$A$304,0)),0)&lt;0),"Stok eksiye düştü","")))</f>
        <v/>
      </c>
    </row>
    <row r="834" customFormat="false" ht="15" hidden="false" customHeight="false" outlineLevel="0" collapsed="false">
      <c r="A834" s="12"/>
      <c r="B834" s="13"/>
      <c r="C834" s="14"/>
      <c r="D834" s="15"/>
      <c r="E834" s="14"/>
      <c r="F834" s="16" t="str">
        <f aca="false">IF(OR(C834="",D834=""),"",IF(OR(A834="",B834=""),"Tarih ya da tür eksik",IF(AND(B834="Çıkış",IFERROR(INDEX(Ürünler!$H$5:$H$304,MATCH(C834,Ürünler!$A$5:$A$304,0)),0)&lt;0),"Stok eksiye düştü","")))</f>
        <v/>
      </c>
    </row>
    <row r="835" customFormat="false" ht="15" hidden="false" customHeight="false" outlineLevel="0" collapsed="false">
      <c r="A835" s="12"/>
      <c r="B835" s="13"/>
      <c r="C835" s="14"/>
      <c r="D835" s="15"/>
      <c r="E835" s="14"/>
      <c r="F835" s="16" t="str">
        <f aca="false">IF(OR(C835="",D835=""),"",IF(OR(A835="",B835=""),"Tarih ya da tür eksik",IF(AND(B835="Çıkış",IFERROR(INDEX(Ürünler!$H$5:$H$304,MATCH(C835,Ürünler!$A$5:$A$304,0)),0)&lt;0),"Stok eksiye düştü","")))</f>
        <v/>
      </c>
    </row>
    <row r="836" customFormat="false" ht="15" hidden="false" customHeight="false" outlineLevel="0" collapsed="false">
      <c r="A836" s="12"/>
      <c r="B836" s="13"/>
      <c r="C836" s="14"/>
      <c r="D836" s="15"/>
      <c r="E836" s="14"/>
      <c r="F836" s="16" t="str">
        <f aca="false">IF(OR(C836="",D836=""),"",IF(OR(A836="",B836=""),"Tarih ya da tür eksik",IF(AND(B836="Çıkış",IFERROR(INDEX(Ürünler!$H$5:$H$304,MATCH(C836,Ürünler!$A$5:$A$304,0)),0)&lt;0),"Stok eksiye düştü","")))</f>
        <v/>
      </c>
    </row>
    <row r="837" customFormat="false" ht="15" hidden="false" customHeight="false" outlineLevel="0" collapsed="false">
      <c r="A837" s="12"/>
      <c r="B837" s="13"/>
      <c r="C837" s="14"/>
      <c r="D837" s="15"/>
      <c r="E837" s="14"/>
      <c r="F837" s="16" t="str">
        <f aca="false">IF(OR(C837="",D837=""),"",IF(OR(A837="",B837=""),"Tarih ya da tür eksik",IF(AND(B837="Çıkış",IFERROR(INDEX(Ürünler!$H$5:$H$304,MATCH(C837,Ürünler!$A$5:$A$304,0)),0)&lt;0),"Stok eksiye düştü","")))</f>
        <v/>
      </c>
    </row>
    <row r="838" customFormat="false" ht="15" hidden="false" customHeight="false" outlineLevel="0" collapsed="false">
      <c r="A838" s="12"/>
      <c r="B838" s="13"/>
      <c r="C838" s="14"/>
      <c r="D838" s="15"/>
      <c r="E838" s="14"/>
      <c r="F838" s="16" t="str">
        <f aca="false">IF(OR(C838="",D838=""),"",IF(OR(A838="",B838=""),"Tarih ya da tür eksik",IF(AND(B838="Çıkış",IFERROR(INDEX(Ürünler!$H$5:$H$304,MATCH(C838,Ürünler!$A$5:$A$304,0)),0)&lt;0),"Stok eksiye düştü","")))</f>
        <v/>
      </c>
    </row>
    <row r="839" customFormat="false" ht="15" hidden="false" customHeight="false" outlineLevel="0" collapsed="false">
      <c r="A839" s="12"/>
      <c r="B839" s="13"/>
      <c r="C839" s="14"/>
      <c r="D839" s="15"/>
      <c r="E839" s="14"/>
      <c r="F839" s="16" t="str">
        <f aca="false">IF(OR(C839="",D839=""),"",IF(OR(A839="",B839=""),"Tarih ya da tür eksik",IF(AND(B839="Çıkış",IFERROR(INDEX(Ürünler!$H$5:$H$304,MATCH(C839,Ürünler!$A$5:$A$304,0)),0)&lt;0),"Stok eksiye düştü","")))</f>
        <v/>
      </c>
    </row>
    <row r="840" customFormat="false" ht="15" hidden="false" customHeight="false" outlineLevel="0" collapsed="false">
      <c r="A840" s="12"/>
      <c r="B840" s="13"/>
      <c r="C840" s="14"/>
      <c r="D840" s="15"/>
      <c r="E840" s="14"/>
      <c r="F840" s="16" t="str">
        <f aca="false">IF(OR(C840="",D840=""),"",IF(OR(A840="",B840=""),"Tarih ya da tür eksik",IF(AND(B840="Çıkış",IFERROR(INDEX(Ürünler!$H$5:$H$304,MATCH(C840,Ürünler!$A$5:$A$304,0)),0)&lt;0),"Stok eksiye düştü","")))</f>
        <v/>
      </c>
    </row>
    <row r="841" customFormat="false" ht="15" hidden="false" customHeight="false" outlineLevel="0" collapsed="false">
      <c r="A841" s="12"/>
      <c r="B841" s="13"/>
      <c r="C841" s="14"/>
      <c r="D841" s="15"/>
      <c r="E841" s="14"/>
      <c r="F841" s="16" t="str">
        <f aca="false">IF(OR(C841="",D841=""),"",IF(OR(A841="",B841=""),"Tarih ya da tür eksik",IF(AND(B841="Çıkış",IFERROR(INDEX(Ürünler!$H$5:$H$304,MATCH(C841,Ürünler!$A$5:$A$304,0)),0)&lt;0),"Stok eksiye düştü","")))</f>
        <v/>
      </c>
    </row>
    <row r="842" customFormat="false" ht="15" hidden="false" customHeight="false" outlineLevel="0" collapsed="false">
      <c r="A842" s="12"/>
      <c r="B842" s="13"/>
      <c r="C842" s="14"/>
      <c r="D842" s="15"/>
      <c r="E842" s="14"/>
      <c r="F842" s="16" t="str">
        <f aca="false">IF(OR(C842="",D842=""),"",IF(OR(A842="",B842=""),"Tarih ya da tür eksik",IF(AND(B842="Çıkış",IFERROR(INDEX(Ürünler!$H$5:$H$304,MATCH(C842,Ürünler!$A$5:$A$304,0)),0)&lt;0),"Stok eksiye düştü","")))</f>
        <v/>
      </c>
    </row>
    <row r="843" customFormat="false" ht="15" hidden="false" customHeight="false" outlineLevel="0" collapsed="false">
      <c r="A843" s="12"/>
      <c r="B843" s="13"/>
      <c r="C843" s="14"/>
      <c r="D843" s="15"/>
      <c r="E843" s="14"/>
      <c r="F843" s="16" t="str">
        <f aca="false">IF(OR(C843="",D843=""),"",IF(OR(A843="",B843=""),"Tarih ya da tür eksik",IF(AND(B843="Çıkış",IFERROR(INDEX(Ürünler!$H$5:$H$304,MATCH(C843,Ürünler!$A$5:$A$304,0)),0)&lt;0),"Stok eksiye düştü","")))</f>
        <v/>
      </c>
    </row>
    <row r="844" customFormat="false" ht="15" hidden="false" customHeight="false" outlineLevel="0" collapsed="false">
      <c r="A844" s="12"/>
      <c r="B844" s="13"/>
      <c r="C844" s="14"/>
      <c r="D844" s="15"/>
      <c r="E844" s="14"/>
      <c r="F844" s="16" t="str">
        <f aca="false">IF(OR(C844="",D844=""),"",IF(OR(A844="",B844=""),"Tarih ya da tür eksik",IF(AND(B844="Çıkış",IFERROR(INDEX(Ürünler!$H$5:$H$304,MATCH(C844,Ürünler!$A$5:$A$304,0)),0)&lt;0),"Stok eksiye düştü","")))</f>
        <v/>
      </c>
    </row>
    <row r="845" customFormat="false" ht="15" hidden="false" customHeight="false" outlineLevel="0" collapsed="false">
      <c r="A845" s="12"/>
      <c r="B845" s="13"/>
      <c r="C845" s="14"/>
      <c r="D845" s="15"/>
      <c r="E845" s="14"/>
      <c r="F845" s="16" t="str">
        <f aca="false">IF(OR(C845="",D845=""),"",IF(OR(A845="",B845=""),"Tarih ya da tür eksik",IF(AND(B845="Çıkış",IFERROR(INDEX(Ürünler!$H$5:$H$304,MATCH(C845,Ürünler!$A$5:$A$304,0)),0)&lt;0),"Stok eksiye düştü","")))</f>
        <v/>
      </c>
    </row>
    <row r="846" customFormat="false" ht="15" hidden="false" customHeight="false" outlineLevel="0" collapsed="false">
      <c r="A846" s="12"/>
      <c r="B846" s="13"/>
      <c r="C846" s="14"/>
      <c r="D846" s="15"/>
      <c r="E846" s="14"/>
      <c r="F846" s="16" t="str">
        <f aca="false">IF(OR(C846="",D846=""),"",IF(OR(A846="",B846=""),"Tarih ya da tür eksik",IF(AND(B846="Çıkış",IFERROR(INDEX(Ürünler!$H$5:$H$304,MATCH(C846,Ürünler!$A$5:$A$304,0)),0)&lt;0),"Stok eksiye düştü","")))</f>
        <v/>
      </c>
    </row>
    <row r="847" customFormat="false" ht="15" hidden="false" customHeight="false" outlineLevel="0" collapsed="false">
      <c r="A847" s="12"/>
      <c r="B847" s="13"/>
      <c r="C847" s="14"/>
      <c r="D847" s="15"/>
      <c r="E847" s="14"/>
      <c r="F847" s="16" t="str">
        <f aca="false">IF(OR(C847="",D847=""),"",IF(OR(A847="",B847=""),"Tarih ya da tür eksik",IF(AND(B847="Çıkış",IFERROR(INDEX(Ürünler!$H$5:$H$304,MATCH(C847,Ürünler!$A$5:$A$304,0)),0)&lt;0),"Stok eksiye düştü","")))</f>
        <v/>
      </c>
    </row>
    <row r="848" customFormat="false" ht="15" hidden="false" customHeight="false" outlineLevel="0" collapsed="false">
      <c r="A848" s="12"/>
      <c r="B848" s="13"/>
      <c r="C848" s="14"/>
      <c r="D848" s="15"/>
      <c r="E848" s="14"/>
      <c r="F848" s="16" t="str">
        <f aca="false">IF(OR(C848="",D848=""),"",IF(OR(A848="",B848=""),"Tarih ya da tür eksik",IF(AND(B848="Çıkış",IFERROR(INDEX(Ürünler!$H$5:$H$304,MATCH(C848,Ürünler!$A$5:$A$304,0)),0)&lt;0),"Stok eksiye düştü","")))</f>
        <v/>
      </c>
    </row>
    <row r="849" customFormat="false" ht="15" hidden="false" customHeight="false" outlineLevel="0" collapsed="false">
      <c r="A849" s="12"/>
      <c r="B849" s="13"/>
      <c r="C849" s="14"/>
      <c r="D849" s="15"/>
      <c r="E849" s="14"/>
      <c r="F849" s="16" t="str">
        <f aca="false">IF(OR(C849="",D849=""),"",IF(OR(A849="",B849=""),"Tarih ya da tür eksik",IF(AND(B849="Çıkış",IFERROR(INDEX(Ürünler!$H$5:$H$304,MATCH(C849,Ürünler!$A$5:$A$304,0)),0)&lt;0),"Stok eksiye düştü","")))</f>
        <v/>
      </c>
    </row>
    <row r="850" customFormat="false" ht="15" hidden="false" customHeight="false" outlineLevel="0" collapsed="false">
      <c r="A850" s="12"/>
      <c r="B850" s="13"/>
      <c r="C850" s="14"/>
      <c r="D850" s="15"/>
      <c r="E850" s="14"/>
      <c r="F850" s="16" t="str">
        <f aca="false">IF(OR(C850="",D850=""),"",IF(OR(A850="",B850=""),"Tarih ya da tür eksik",IF(AND(B850="Çıkış",IFERROR(INDEX(Ürünler!$H$5:$H$304,MATCH(C850,Ürünler!$A$5:$A$304,0)),0)&lt;0),"Stok eksiye düştü","")))</f>
        <v/>
      </c>
    </row>
    <row r="851" customFormat="false" ht="15" hidden="false" customHeight="false" outlineLevel="0" collapsed="false">
      <c r="A851" s="12"/>
      <c r="B851" s="13"/>
      <c r="C851" s="14"/>
      <c r="D851" s="15"/>
      <c r="E851" s="14"/>
      <c r="F851" s="16" t="str">
        <f aca="false">IF(OR(C851="",D851=""),"",IF(OR(A851="",B851=""),"Tarih ya da tür eksik",IF(AND(B851="Çıkış",IFERROR(INDEX(Ürünler!$H$5:$H$304,MATCH(C851,Ürünler!$A$5:$A$304,0)),0)&lt;0),"Stok eksiye düştü","")))</f>
        <v/>
      </c>
    </row>
    <row r="852" customFormat="false" ht="15" hidden="false" customHeight="false" outlineLevel="0" collapsed="false">
      <c r="A852" s="12"/>
      <c r="B852" s="13"/>
      <c r="C852" s="14"/>
      <c r="D852" s="15"/>
      <c r="E852" s="14"/>
      <c r="F852" s="16" t="str">
        <f aca="false">IF(OR(C852="",D852=""),"",IF(OR(A852="",B852=""),"Tarih ya da tür eksik",IF(AND(B852="Çıkış",IFERROR(INDEX(Ürünler!$H$5:$H$304,MATCH(C852,Ürünler!$A$5:$A$304,0)),0)&lt;0),"Stok eksiye düştü","")))</f>
        <v/>
      </c>
    </row>
    <row r="853" customFormat="false" ht="15" hidden="false" customHeight="false" outlineLevel="0" collapsed="false">
      <c r="A853" s="12"/>
      <c r="B853" s="13"/>
      <c r="C853" s="14"/>
      <c r="D853" s="15"/>
      <c r="E853" s="14"/>
      <c r="F853" s="16" t="str">
        <f aca="false">IF(OR(C853="",D853=""),"",IF(OR(A853="",B853=""),"Tarih ya da tür eksik",IF(AND(B853="Çıkış",IFERROR(INDEX(Ürünler!$H$5:$H$304,MATCH(C853,Ürünler!$A$5:$A$304,0)),0)&lt;0),"Stok eksiye düştü","")))</f>
        <v/>
      </c>
    </row>
    <row r="854" customFormat="false" ht="15" hidden="false" customHeight="false" outlineLevel="0" collapsed="false">
      <c r="A854" s="12"/>
      <c r="B854" s="13"/>
      <c r="C854" s="14"/>
      <c r="D854" s="15"/>
      <c r="E854" s="14"/>
      <c r="F854" s="16" t="str">
        <f aca="false">IF(OR(C854="",D854=""),"",IF(OR(A854="",B854=""),"Tarih ya da tür eksik",IF(AND(B854="Çıkış",IFERROR(INDEX(Ürünler!$H$5:$H$304,MATCH(C854,Ürünler!$A$5:$A$304,0)),0)&lt;0),"Stok eksiye düştü","")))</f>
        <v/>
      </c>
    </row>
    <row r="855" customFormat="false" ht="15" hidden="false" customHeight="false" outlineLevel="0" collapsed="false">
      <c r="A855" s="12"/>
      <c r="B855" s="13"/>
      <c r="C855" s="14"/>
      <c r="D855" s="15"/>
      <c r="E855" s="14"/>
      <c r="F855" s="16" t="str">
        <f aca="false">IF(OR(C855="",D855=""),"",IF(OR(A855="",B855=""),"Tarih ya da tür eksik",IF(AND(B855="Çıkış",IFERROR(INDEX(Ürünler!$H$5:$H$304,MATCH(C855,Ürünler!$A$5:$A$304,0)),0)&lt;0),"Stok eksiye düştü","")))</f>
        <v/>
      </c>
    </row>
    <row r="856" customFormat="false" ht="15" hidden="false" customHeight="false" outlineLevel="0" collapsed="false">
      <c r="A856" s="12"/>
      <c r="B856" s="13"/>
      <c r="C856" s="14"/>
      <c r="D856" s="15"/>
      <c r="E856" s="14"/>
      <c r="F856" s="16" t="str">
        <f aca="false">IF(OR(C856="",D856=""),"",IF(OR(A856="",B856=""),"Tarih ya da tür eksik",IF(AND(B856="Çıkış",IFERROR(INDEX(Ürünler!$H$5:$H$304,MATCH(C856,Ürünler!$A$5:$A$304,0)),0)&lt;0),"Stok eksiye düştü","")))</f>
        <v/>
      </c>
    </row>
    <row r="857" customFormat="false" ht="15" hidden="false" customHeight="false" outlineLevel="0" collapsed="false">
      <c r="A857" s="12"/>
      <c r="B857" s="13"/>
      <c r="C857" s="14"/>
      <c r="D857" s="15"/>
      <c r="E857" s="14"/>
      <c r="F857" s="16" t="str">
        <f aca="false">IF(OR(C857="",D857=""),"",IF(OR(A857="",B857=""),"Tarih ya da tür eksik",IF(AND(B857="Çıkış",IFERROR(INDEX(Ürünler!$H$5:$H$304,MATCH(C857,Ürünler!$A$5:$A$304,0)),0)&lt;0),"Stok eksiye düştü","")))</f>
        <v/>
      </c>
    </row>
    <row r="858" customFormat="false" ht="15" hidden="false" customHeight="false" outlineLevel="0" collapsed="false">
      <c r="A858" s="12"/>
      <c r="B858" s="13"/>
      <c r="C858" s="14"/>
      <c r="D858" s="15"/>
      <c r="E858" s="14"/>
      <c r="F858" s="16" t="str">
        <f aca="false">IF(OR(C858="",D858=""),"",IF(OR(A858="",B858=""),"Tarih ya da tür eksik",IF(AND(B858="Çıkış",IFERROR(INDEX(Ürünler!$H$5:$H$304,MATCH(C858,Ürünler!$A$5:$A$304,0)),0)&lt;0),"Stok eksiye düştü","")))</f>
        <v/>
      </c>
    </row>
    <row r="859" customFormat="false" ht="15" hidden="false" customHeight="false" outlineLevel="0" collapsed="false">
      <c r="A859" s="12"/>
      <c r="B859" s="13"/>
      <c r="C859" s="14"/>
      <c r="D859" s="15"/>
      <c r="E859" s="14"/>
      <c r="F859" s="16" t="str">
        <f aca="false">IF(OR(C859="",D859=""),"",IF(OR(A859="",B859=""),"Tarih ya da tür eksik",IF(AND(B859="Çıkış",IFERROR(INDEX(Ürünler!$H$5:$H$304,MATCH(C859,Ürünler!$A$5:$A$304,0)),0)&lt;0),"Stok eksiye düştü","")))</f>
        <v/>
      </c>
    </row>
    <row r="860" customFormat="false" ht="15" hidden="false" customHeight="false" outlineLevel="0" collapsed="false">
      <c r="A860" s="12"/>
      <c r="B860" s="13"/>
      <c r="C860" s="14"/>
      <c r="D860" s="15"/>
      <c r="E860" s="14"/>
      <c r="F860" s="16" t="str">
        <f aca="false">IF(OR(C860="",D860=""),"",IF(OR(A860="",B860=""),"Tarih ya da tür eksik",IF(AND(B860="Çıkış",IFERROR(INDEX(Ürünler!$H$5:$H$304,MATCH(C860,Ürünler!$A$5:$A$304,0)),0)&lt;0),"Stok eksiye düştü","")))</f>
        <v/>
      </c>
    </row>
    <row r="861" customFormat="false" ht="15" hidden="false" customHeight="false" outlineLevel="0" collapsed="false">
      <c r="A861" s="12"/>
      <c r="B861" s="13"/>
      <c r="C861" s="14"/>
      <c r="D861" s="15"/>
      <c r="E861" s="14"/>
      <c r="F861" s="16" t="str">
        <f aca="false">IF(OR(C861="",D861=""),"",IF(OR(A861="",B861=""),"Tarih ya da tür eksik",IF(AND(B861="Çıkış",IFERROR(INDEX(Ürünler!$H$5:$H$304,MATCH(C861,Ürünler!$A$5:$A$304,0)),0)&lt;0),"Stok eksiye düştü","")))</f>
        <v/>
      </c>
    </row>
    <row r="862" customFormat="false" ht="15" hidden="false" customHeight="false" outlineLevel="0" collapsed="false">
      <c r="A862" s="12"/>
      <c r="B862" s="13"/>
      <c r="C862" s="14"/>
      <c r="D862" s="15"/>
      <c r="E862" s="14"/>
      <c r="F862" s="16" t="str">
        <f aca="false">IF(OR(C862="",D862=""),"",IF(OR(A862="",B862=""),"Tarih ya da tür eksik",IF(AND(B862="Çıkış",IFERROR(INDEX(Ürünler!$H$5:$H$304,MATCH(C862,Ürünler!$A$5:$A$304,0)),0)&lt;0),"Stok eksiye düştü","")))</f>
        <v/>
      </c>
    </row>
    <row r="863" customFormat="false" ht="15" hidden="false" customHeight="false" outlineLevel="0" collapsed="false">
      <c r="A863" s="12"/>
      <c r="B863" s="13"/>
      <c r="C863" s="14"/>
      <c r="D863" s="15"/>
      <c r="E863" s="14"/>
      <c r="F863" s="16" t="str">
        <f aca="false">IF(OR(C863="",D863=""),"",IF(OR(A863="",B863=""),"Tarih ya da tür eksik",IF(AND(B863="Çıkış",IFERROR(INDEX(Ürünler!$H$5:$H$304,MATCH(C863,Ürünler!$A$5:$A$304,0)),0)&lt;0),"Stok eksiye düştü","")))</f>
        <v/>
      </c>
    </row>
    <row r="864" customFormat="false" ht="15" hidden="false" customHeight="false" outlineLevel="0" collapsed="false">
      <c r="A864" s="12"/>
      <c r="B864" s="13"/>
      <c r="C864" s="14"/>
      <c r="D864" s="15"/>
      <c r="E864" s="14"/>
      <c r="F864" s="16" t="str">
        <f aca="false">IF(OR(C864="",D864=""),"",IF(OR(A864="",B864=""),"Tarih ya da tür eksik",IF(AND(B864="Çıkış",IFERROR(INDEX(Ürünler!$H$5:$H$304,MATCH(C864,Ürünler!$A$5:$A$304,0)),0)&lt;0),"Stok eksiye düştü","")))</f>
        <v/>
      </c>
    </row>
    <row r="865" customFormat="false" ht="15" hidden="false" customHeight="false" outlineLevel="0" collapsed="false">
      <c r="A865" s="12"/>
      <c r="B865" s="13"/>
      <c r="C865" s="14"/>
      <c r="D865" s="15"/>
      <c r="E865" s="14"/>
      <c r="F865" s="16" t="str">
        <f aca="false">IF(OR(C865="",D865=""),"",IF(OR(A865="",B865=""),"Tarih ya da tür eksik",IF(AND(B865="Çıkış",IFERROR(INDEX(Ürünler!$H$5:$H$304,MATCH(C865,Ürünler!$A$5:$A$304,0)),0)&lt;0),"Stok eksiye düştü","")))</f>
        <v/>
      </c>
    </row>
    <row r="866" customFormat="false" ht="15" hidden="false" customHeight="false" outlineLevel="0" collapsed="false">
      <c r="A866" s="12"/>
      <c r="B866" s="13"/>
      <c r="C866" s="14"/>
      <c r="D866" s="15"/>
      <c r="E866" s="14"/>
      <c r="F866" s="16" t="str">
        <f aca="false">IF(OR(C866="",D866=""),"",IF(OR(A866="",B866=""),"Tarih ya da tür eksik",IF(AND(B866="Çıkış",IFERROR(INDEX(Ürünler!$H$5:$H$304,MATCH(C866,Ürünler!$A$5:$A$304,0)),0)&lt;0),"Stok eksiye düştü","")))</f>
        <v/>
      </c>
    </row>
    <row r="867" customFormat="false" ht="15" hidden="false" customHeight="false" outlineLevel="0" collapsed="false">
      <c r="A867" s="12"/>
      <c r="B867" s="13"/>
      <c r="C867" s="14"/>
      <c r="D867" s="15"/>
      <c r="E867" s="14"/>
      <c r="F867" s="16" t="str">
        <f aca="false">IF(OR(C867="",D867=""),"",IF(OR(A867="",B867=""),"Tarih ya da tür eksik",IF(AND(B867="Çıkış",IFERROR(INDEX(Ürünler!$H$5:$H$304,MATCH(C867,Ürünler!$A$5:$A$304,0)),0)&lt;0),"Stok eksiye düştü","")))</f>
        <v/>
      </c>
    </row>
    <row r="868" customFormat="false" ht="15" hidden="false" customHeight="false" outlineLevel="0" collapsed="false">
      <c r="A868" s="12"/>
      <c r="B868" s="13"/>
      <c r="C868" s="14"/>
      <c r="D868" s="15"/>
      <c r="E868" s="14"/>
      <c r="F868" s="16" t="str">
        <f aca="false">IF(OR(C868="",D868=""),"",IF(OR(A868="",B868=""),"Tarih ya da tür eksik",IF(AND(B868="Çıkış",IFERROR(INDEX(Ürünler!$H$5:$H$304,MATCH(C868,Ürünler!$A$5:$A$304,0)),0)&lt;0),"Stok eksiye düştü","")))</f>
        <v/>
      </c>
    </row>
    <row r="869" customFormat="false" ht="15" hidden="false" customHeight="false" outlineLevel="0" collapsed="false">
      <c r="A869" s="12"/>
      <c r="B869" s="13"/>
      <c r="C869" s="14"/>
      <c r="D869" s="15"/>
      <c r="E869" s="14"/>
      <c r="F869" s="16" t="str">
        <f aca="false">IF(OR(C869="",D869=""),"",IF(OR(A869="",B869=""),"Tarih ya da tür eksik",IF(AND(B869="Çıkış",IFERROR(INDEX(Ürünler!$H$5:$H$304,MATCH(C869,Ürünler!$A$5:$A$304,0)),0)&lt;0),"Stok eksiye düştü","")))</f>
        <v/>
      </c>
    </row>
    <row r="870" customFormat="false" ht="15" hidden="false" customHeight="false" outlineLevel="0" collapsed="false">
      <c r="A870" s="12"/>
      <c r="B870" s="13"/>
      <c r="C870" s="14"/>
      <c r="D870" s="15"/>
      <c r="E870" s="14"/>
      <c r="F870" s="16" t="str">
        <f aca="false">IF(OR(C870="",D870=""),"",IF(OR(A870="",B870=""),"Tarih ya da tür eksik",IF(AND(B870="Çıkış",IFERROR(INDEX(Ürünler!$H$5:$H$304,MATCH(C870,Ürünler!$A$5:$A$304,0)),0)&lt;0),"Stok eksiye düştü","")))</f>
        <v/>
      </c>
    </row>
    <row r="871" customFormat="false" ht="15" hidden="false" customHeight="false" outlineLevel="0" collapsed="false">
      <c r="A871" s="12"/>
      <c r="B871" s="13"/>
      <c r="C871" s="14"/>
      <c r="D871" s="15"/>
      <c r="E871" s="14"/>
      <c r="F871" s="16" t="str">
        <f aca="false">IF(OR(C871="",D871=""),"",IF(OR(A871="",B871=""),"Tarih ya da tür eksik",IF(AND(B871="Çıkış",IFERROR(INDEX(Ürünler!$H$5:$H$304,MATCH(C871,Ürünler!$A$5:$A$304,0)),0)&lt;0),"Stok eksiye düştü","")))</f>
        <v/>
      </c>
    </row>
    <row r="872" customFormat="false" ht="15" hidden="false" customHeight="false" outlineLevel="0" collapsed="false">
      <c r="A872" s="12"/>
      <c r="B872" s="13"/>
      <c r="C872" s="14"/>
      <c r="D872" s="15"/>
      <c r="E872" s="14"/>
      <c r="F872" s="16" t="str">
        <f aca="false">IF(OR(C872="",D872=""),"",IF(OR(A872="",B872=""),"Tarih ya da tür eksik",IF(AND(B872="Çıkış",IFERROR(INDEX(Ürünler!$H$5:$H$304,MATCH(C872,Ürünler!$A$5:$A$304,0)),0)&lt;0),"Stok eksiye düştü","")))</f>
        <v/>
      </c>
    </row>
    <row r="873" customFormat="false" ht="15" hidden="false" customHeight="false" outlineLevel="0" collapsed="false">
      <c r="A873" s="12"/>
      <c r="B873" s="13"/>
      <c r="C873" s="14"/>
      <c r="D873" s="15"/>
      <c r="E873" s="14"/>
      <c r="F873" s="16" t="str">
        <f aca="false">IF(OR(C873="",D873=""),"",IF(OR(A873="",B873=""),"Tarih ya da tür eksik",IF(AND(B873="Çıkış",IFERROR(INDEX(Ürünler!$H$5:$H$304,MATCH(C873,Ürünler!$A$5:$A$304,0)),0)&lt;0),"Stok eksiye düştü","")))</f>
        <v/>
      </c>
    </row>
    <row r="874" customFormat="false" ht="15" hidden="false" customHeight="false" outlineLevel="0" collapsed="false">
      <c r="A874" s="12"/>
      <c r="B874" s="13"/>
      <c r="C874" s="14"/>
      <c r="D874" s="15"/>
      <c r="E874" s="14"/>
      <c r="F874" s="16" t="str">
        <f aca="false">IF(OR(C874="",D874=""),"",IF(OR(A874="",B874=""),"Tarih ya da tür eksik",IF(AND(B874="Çıkış",IFERROR(INDEX(Ürünler!$H$5:$H$304,MATCH(C874,Ürünler!$A$5:$A$304,0)),0)&lt;0),"Stok eksiye düştü","")))</f>
        <v/>
      </c>
    </row>
    <row r="875" customFormat="false" ht="15" hidden="false" customHeight="false" outlineLevel="0" collapsed="false">
      <c r="A875" s="12"/>
      <c r="B875" s="13"/>
      <c r="C875" s="14"/>
      <c r="D875" s="15"/>
      <c r="E875" s="14"/>
      <c r="F875" s="16" t="str">
        <f aca="false">IF(OR(C875="",D875=""),"",IF(OR(A875="",B875=""),"Tarih ya da tür eksik",IF(AND(B875="Çıkış",IFERROR(INDEX(Ürünler!$H$5:$H$304,MATCH(C875,Ürünler!$A$5:$A$304,0)),0)&lt;0),"Stok eksiye düştü","")))</f>
        <v/>
      </c>
    </row>
    <row r="876" customFormat="false" ht="15" hidden="false" customHeight="false" outlineLevel="0" collapsed="false">
      <c r="A876" s="12"/>
      <c r="B876" s="13"/>
      <c r="C876" s="14"/>
      <c r="D876" s="15"/>
      <c r="E876" s="14"/>
      <c r="F876" s="16" t="str">
        <f aca="false">IF(OR(C876="",D876=""),"",IF(OR(A876="",B876=""),"Tarih ya da tür eksik",IF(AND(B876="Çıkış",IFERROR(INDEX(Ürünler!$H$5:$H$304,MATCH(C876,Ürünler!$A$5:$A$304,0)),0)&lt;0),"Stok eksiye düştü","")))</f>
        <v/>
      </c>
    </row>
    <row r="877" customFormat="false" ht="15" hidden="false" customHeight="false" outlineLevel="0" collapsed="false">
      <c r="A877" s="12"/>
      <c r="B877" s="13"/>
      <c r="C877" s="14"/>
      <c r="D877" s="15"/>
      <c r="E877" s="14"/>
      <c r="F877" s="16" t="str">
        <f aca="false">IF(OR(C877="",D877=""),"",IF(OR(A877="",B877=""),"Tarih ya da tür eksik",IF(AND(B877="Çıkış",IFERROR(INDEX(Ürünler!$H$5:$H$304,MATCH(C877,Ürünler!$A$5:$A$304,0)),0)&lt;0),"Stok eksiye düştü","")))</f>
        <v/>
      </c>
    </row>
    <row r="878" customFormat="false" ht="15" hidden="false" customHeight="false" outlineLevel="0" collapsed="false">
      <c r="A878" s="12"/>
      <c r="B878" s="13"/>
      <c r="C878" s="14"/>
      <c r="D878" s="15"/>
      <c r="E878" s="14"/>
      <c r="F878" s="16" t="str">
        <f aca="false">IF(OR(C878="",D878=""),"",IF(OR(A878="",B878=""),"Tarih ya da tür eksik",IF(AND(B878="Çıkış",IFERROR(INDEX(Ürünler!$H$5:$H$304,MATCH(C878,Ürünler!$A$5:$A$304,0)),0)&lt;0),"Stok eksiye düştü","")))</f>
        <v/>
      </c>
    </row>
    <row r="879" customFormat="false" ht="15" hidden="false" customHeight="false" outlineLevel="0" collapsed="false">
      <c r="A879" s="12"/>
      <c r="B879" s="13"/>
      <c r="C879" s="14"/>
      <c r="D879" s="15"/>
      <c r="E879" s="14"/>
      <c r="F879" s="16" t="str">
        <f aca="false">IF(OR(C879="",D879=""),"",IF(OR(A879="",B879=""),"Tarih ya da tür eksik",IF(AND(B879="Çıkış",IFERROR(INDEX(Ürünler!$H$5:$H$304,MATCH(C879,Ürünler!$A$5:$A$304,0)),0)&lt;0),"Stok eksiye düştü","")))</f>
        <v/>
      </c>
    </row>
    <row r="880" customFormat="false" ht="15" hidden="false" customHeight="false" outlineLevel="0" collapsed="false">
      <c r="A880" s="12"/>
      <c r="B880" s="13"/>
      <c r="C880" s="14"/>
      <c r="D880" s="15"/>
      <c r="E880" s="14"/>
      <c r="F880" s="16" t="str">
        <f aca="false">IF(OR(C880="",D880=""),"",IF(OR(A880="",B880=""),"Tarih ya da tür eksik",IF(AND(B880="Çıkış",IFERROR(INDEX(Ürünler!$H$5:$H$304,MATCH(C880,Ürünler!$A$5:$A$304,0)),0)&lt;0),"Stok eksiye düştü","")))</f>
        <v/>
      </c>
    </row>
    <row r="881" customFormat="false" ht="15" hidden="false" customHeight="false" outlineLevel="0" collapsed="false">
      <c r="A881" s="12"/>
      <c r="B881" s="13"/>
      <c r="C881" s="14"/>
      <c r="D881" s="15"/>
      <c r="E881" s="14"/>
      <c r="F881" s="16" t="str">
        <f aca="false">IF(OR(C881="",D881=""),"",IF(OR(A881="",B881=""),"Tarih ya da tür eksik",IF(AND(B881="Çıkış",IFERROR(INDEX(Ürünler!$H$5:$H$304,MATCH(C881,Ürünler!$A$5:$A$304,0)),0)&lt;0),"Stok eksiye düştü","")))</f>
        <v/>
      </c>
    </row>
    <row r="882" customFormat="false" ht="15" hidden="false" customHeight="false" outlineLevel="0" collapsed="false">
      <c r="A882" s="12"/>
      <c r="B882" s="13"/>
      <c r="C882" s="14"/>
      <c r="D882" s="15"/>
      <c r="E882" s="14"/>
      <c r="F882" s="16" t="str">
        <f aca="false">IF(OR(C882="",D882=""),"",IF(OR(A882="",B882=""),"Tarih ya da tür eksik",IF(AND(B882="Çıkış",IFERROR(INDEX(Ürünler!$H$5:$H$304,MATCH(C882,Ürünler!$A$5:$A$304,0)),0)&lt;0),"Stok eksiye düştü","")))</f>
        <v/>
      </c>
    </row>
    <row r="883" customFormat="false" ht="15" hidden="false" customHeight="false" outlineLevel="0" collapsed="false">
      <c r="A883" s="12"/>
      <c r="B883" s="13"/>
      <c r="C883" s="14"/>
      <c r="D883" s="15"/>
      <c r="E883" s="14"/>
      <c r="F883" s="16" t="str">
        <f aca="false">IF(OR(C883="",D883=""),"",IF(OR(A883="",B883=""),"Tarih ya da tür eksik",IF(AND(B883="Çıkış",IFERROR(INDEX(Ürünler!$H$5:$H$304,MATCH(C883,Ürünler!$A$5:$A$304,0)),0)&lt;0),"Stok eksiye düştü","")))</f>
        <v/>
      </c>
    </row>
    <row r="884" customFormat="false" ht="15" hidden="false" customHeight="false" outlineLevel="0" collapsed="false">
      <c r="A884" s="12"/>
      <c r="B884" s="13"/>
      <c r="C884" s="14"/>
      <c r="D884" s="15"/>
      <c r="E884" s="14"/>
      <c r="F884" s="16" t="str">
        <f aca="false">IF(OR(C884="",D884=""),"",IF(OR(A884="",B884=""),"Tarih ya da tür eksik",IF(AND(B884="Çıkış",IFERROR(INDEX(Ürünler!$H$5:$H$304,MATCH(C884,Ürünler!$A$5:$A$304,0)),0)&lt;0),"Stok eksiye düştü","")))</f>
        <v/>
      </c>
    </row>
    <row r="885" customFormat="false" ht="15" hidden="false" customHeight="false" outlineLevel="0" collapsed="false">
      <c r="A885" s="12"/>
      <c r="B885" s="13"/>
      <c r="C885" s="14"/>
      <c r="D885" s="15"/>
      <c r="E885" s="14"/>
      <c r="F885" s="16" t="str">
        <f aca="false">IF(OR(C885="",D885=""),"",IF(OR(A885="",B885=""),"Tarih ya da tür eksik",IF(AND(B885="Çıkış",IFERROR(INDEX(Ürünler!$H$5:$H$304,MATCH(C885,Ürünler!$A$5:$A$304,0)),0)&lt;0),"Stok eksiye düştü","")))</f>
        <v/>
      </c>
    </row>
    <row r="886" customFormat="false" ht="15" hidden="false" customHeight="false" outlineLevel="0" collapsed="false">
      <c r="A886" s="12"/>
      <c r="B886" s="13"/>
      <c r="C886" s="14"/>
      <c r="D886" s="15"/>
      <c r="E886" s="14"/>
      <c r="F886" s="16" t="str">
        <f aca="false">IF(OR(C886="",D886=""),"",IF(OR(A886="",B886=""),"Tarih ya da tür eksik",IF(AND(B886="Çıkış",IFERROR(INDEX(Ürünler!$H$5:$H$304,MATCH(C886,Ürünler!$A$5:$A$304,0)),0)&lt;0),"Stok eksiye düştü","")))</f>
        <v/>
      </c>
    </row>
    <row r="887" customFormat="false" ht="15" hidden="false" customHeight="false" outlineLevel="0" collapsed="false">
      <c r="A887" s="12"/>
      <c r="B887" s="13"/>
      <c r="C887" s="14"/>
      <c r="D887" s="15"/>
      <c r="E887" s="14"/>
      <c r="F887" s="16" t="str">
        <f aca="false">IF(OR(C887="",D887=""),"",IF(OR(A887="",B887=""),"Tarih ya da tür eksik",IF(AND(B887="Çıkış",IFERROR(INDEX(Ürünler!$H$5:$H$304,MATCH(C887,Ürünler!$A$5:$A$304,0)),0)&lt;0),"Stok eksiye düştü","")))</f>
        <v/>
      </c>
    </row>
    <row r="888" customFormat="false" ht="15" hidden="false" customHeight="false" outlineLevel="0" collapsed="false">
      <c r="A888" s="12"/>
      <c r="B888" s="13"/>
      <c r="C888" s="14"/>
      <c r="D888" s="15"/>
      <c r="E888" s="14"/>
      <c r="F888" s="16" t="str">
        <f aca="false">IF(OR(C888="",D888=""),"",IF(OR(A888="",B888=""),"Tarih ya da tür eksik",IF(AND(B888="Çıkış",IFERROR(INDEX(Ürünler!$H$5:$H$304,MATCH(C888,Ürünler!$A$5:$A$304,0)),0)&lt;0),"Stok eksiye düştü","")))</f>
        <v/>
      </c>
    </row>
    <row r="889" customFormat="false" ht="15" hidden="false" customHeight="false" outlineLevel="0" collapsed="false">
      <c r="A889" s="12"/>
      <c r="B889" s="13"/>
      <c r="C889" s="14"/>
      <c r="D889" s="15"/>
      <c r="E889" s="14"/>
      <c r="F889" s="16" t="str">
        <f aca="false">IF(OR(C889="",D889=""),"",IF(OR(A889="",B889=""),"Tarih ya da tür eksik",IF(AND(B889="Çıkış",IFERROR(INDEX(Ürünler!$H$5:$H$304,MATCH(C889,Ürünler!$A$5:$A$304,0)),0)&lt;0),"Stok eksiye düştü","")))</f>
        <v/>
      </c>
    </row>
    <row r="890" customFormat="false" ht="15" hidden="false" customHeight="false" outlineLevel="0" collapsed="false">
      <c r="A890" s="12"/>
      <c r="B890" s="13"/>
      <c r="C890" s="14"/>
      <c r="D890" s="15"/>
      <c r="E890" s="14"/>
      <c r="F890" s="16" t="str">
        <f aca="false">IF(OR(C890="",D890=""),"",IF(OR(A890="",B890=""),"Tarih ya da tür eksik",IF(AND(B890="Çıkış",IFERROR(INDEX(Ürünler!$H$5:$H$304,MATCH(C890,Ürünler!$A$5:$A$304,0)),0)&lt;0),"Stok eksiye düştü","")))</f>
        <v/>
      </c>
    </row>
    <row r="891" customFormat="false" ht="15" hidden="false" customHeight="false" outlineLevel="0" collapsed="false">
      <c r="A891" s="12"/>
      <c r="B891" s="13"/>
      <c r="C891" s="14"/>
      <c r="D891" s="15"/>
      <c r="E891" s="14"/>
      <c r="F891" s="16" t="str">
        <f aca="false">IF(OR(C891="",D891=""),"",IF(OR(A891="",B891=""),"Tarih ya da tür eksik",IF(AND(B891="Çıkış",IFERROR(INDEX(Ürünler!$H$5:$H$304,MATCH(C891,Ürünler!$A$5:$A$304,0)),0)&lt;0),"Stok eksiye düştü","")))</f>
        <v/>
      </c>
    </row>
    <row r="892" customFormat="false" ht="15" hidden="false" customHeight="false" outlineLevel="0" collapsed="false">
      <c r="A892" s="12"/>
      <c r="B892" s="13"/>
      <c r="C892" s="14"/>
      <c r="D892" s="15"/>
      <c r="E892" s="14"/>
      <c r="F892" s="16" t="str">
        <f aca="false">IF(OR(C892="",D892=""),"",IF(OR(A892="",B892=""),"Tarih ya da tür eksik",IF(AND(B892="Çıkış",IFERROR(INDEX(Ürünler!$H$5:$H$304,MATCH(C892,Ürünler!$A$5:$A$304,0)),0)&lt;0),"Stok eksiye düştü","")))</f>
        <v/>
      </c>
    </row>
    <row r="893" customFormat="false" ht="15" hidden="false" customHeight="false" outlineLevel="0" collapsed="false">
      <c r="A893" s="12"/>
      <c r="B893" s="13"/>
      <c r="C893" s="14"/>
      <c r="D893" s="15"/>
      <c r="E893" s="14"/>
      <c r="F893" s="16" t="str">
        <f aca="false">IF(OR(C893="",D893=""),"",IF(OR(A893="",B893=""),"Tarih ya da tür eksik",IF(AND(B893="Çıkış",IFERROR(INDEX(Ürünler!$H$5:$H$304,MATCH(C893,Ürünler!$A$5:$A$304,0)),0)&lt;0),"Stok eksiye düştü","")))</f>
        <v/>
      </c>
    </row>
    <row r="894" customFormat="false" ht="15" hidden="false" customHeight="false" outlineLevel="0" collapsed="false">
      <c r="A894" s="12"/>
      <c r="B894" s="13"/>
      <c r="C894" s="14"/>
      <c r="D894" s="15"/>
      <c r="E894" s="14"/>
      <c r="F894" s="16" t="str">
        <f aca="false">IF(OR(C894="",D894=""),"",IF(OR(A894="",B894=""),"Tarih ya da tür eksik",IF(AND(B894="Çıkış",IFERROR(INDEX(Ürünler!$H$5:$H$304,MATCH(C894,Ürünler!$A$5:$A$304,0)),0)&lt;0),"Stok eksiye düştü","")))</f>
        <v/>
      </c>
    </row>
    <row r="895" customFormat="false" ht="15" hidden="false" customHeight="false" outlineLevel="0" collapsed="false">
      <c r="A895" s="12"/>
      <c r="B895" s="13"/>
      <c r="C895" s="14"/>
      <c r="D895" s="15"/>
      <c r="E895" s="14"/>
      <c r="F895" s="16" t="str">
        <f aca="false">IF(OR(C895="",D895=""),"",IF(OR(A895="",B895=""),"Tarih ya da tür eksik",IF(AND(B895="Çıkış",IFERROR(INDEX(Ürünler!$H$5:$H$304,MATCH(C895,Ürünler!$A$5:$A$304,0)),0)&lt;0),"Stok eksiye düştü","")))</f>
        <v/>
      </c>
    </row>
    <row r="896" customFormat="false" ht="15" hidden="false" customHeight="false" outlineLevel="0" collapsed="false">
      <c r="A896" s="12"/>
      <c r="B896" s="13"/>
      <c r="C896" s="14"/>
      <c r="D896" s="15"/>
      <c r="E896" s="14"/>
      <c r="F896" s="16" t="str">
        <f aca="false">IF(OR(C896="",D896=""),"",IF(OR(A896="",B896=""),"Tarih ya da tür eksik",IF(AND(B896="Çıkış",IFERROR(INDEX(Ürünler!$H$5:$H$304,MATCH(C896,Ürünler!$A$5:$A$304,0)),0)&lt;0),"Stok eksiye düştü","")))</f>
        <v/>
      </c>
    </row>
    <row r="897" customFormat="false" ht="15" hidden="false" customHeight="false" outlineLevel="0" collapsed="false">
      <c r="A897" s="12"/>
      <c r="B897" s="13"/>
      <c r="C897" s="14"/>
      <c r="D897" s="15"/>
      <c r="E897" s="14"/>
      <c r="F897" s="16" t="str">
        <f aca="false">IF(OR(C897="",D897=""),"",IF(OR(A897="",B897=""),"Tarih ya da tür eksik",IF(AND(B897="Çıkış",IFERROR(INDEX(Ürünler!$H$5:$H$304,MATCH(C897,Ürünler!$A$5:$A$304,0)),0)&lt;0),"Stok eksiye düştü","")))</f>
        <v/>
      </c>
    </row>
    <row r="898" customFormat="false" ht="15" hidden="false" customHeight="false" outlineLevel="0" collapsed="false">
      <c r="A898" s="12"/>
      <c r="B898" s="13"/>
      <c r="C898" s="14"/>
      <c r="D898" s="15"/>
      <c r="E898" s="14"/>
      <c r="F898" s="16" t="str">
        <f aca="false">IF(OR(C898="",D898=""),"",IF(OR(A898="",B898=""),"Tarih ya da tür eksik",IF(AND(B898="Çıkış",IFERROR(INDEX(Ürünler!$H$5:$H$304,MATCH(C898,Ürünler!$A$5:$A$304,0)),0)&lt;0),"Stok eksiye düştü","")))</f>
        <v/>
      </c>
    </row>
    <row r="899" customFormat="false" ht="15" hidden="false" customHeight="false" outlineLevel="0" collapsed="false">
      <c r="A899" s="12"/>
      <c r="B899" s="13"/>
      <c r="C899" s="14"/>
      <c r="D899" s="15"/>
      <c r="E899" s="14"/>
      <c r="F899" s="16" t="str">
        <f aca="false">IF(OR(C899="",D899=""),"",IF(OR(A899="",B899=""),"Tarih ya da tür eksik",IF(AND(B899="Çıkış",IFERROR(INDEX(Ürünler!$H$5:$H$304,MATCH(C899,Ürünler!$A$5:$A$304,0)),0)&lt;0),"Stok eksiye düştü","")))</f>
        <v/>
      </c>
    </row>
    <row r="900" customFormat="false" ht="15" hidden="false" customHeight="false" outlineLevel="0" collapsed="false">
      <c r="A900" s="12"/>
      <c r="B900" s="13"/>
      <c r="C900" s="14"/>
      <c r="D900" s="15"/>
      <c r="E900" s="14"/>
      <c r="F900" s="16" t="str">
        <f aca="false">IF(OR(C900="",D900=""),"",IF(OR(A900="",B900=""),"Tarih ya da tür eksik",IF(AND(B900="Çıkış",IFERROR(INDEX(Ürünler!$H$5:$H$304,MATCH(C900,Ürünler!$A$5:$A$304,0)),0)&lt;0),"Stok eksiye düştü","")))</f>
        <v/>
      </c>
    </row>
    <row r="901" customFormat="false" ht="15" hidden="false" customHeight="false" outlineLevel="0" collapsed="false">
      <c r="A901" s="12"/>
      <c r="B901" s="13"/>
      <c r="C901" s="14"/>
      <c r="D901" s="15"/>
      <c r="E901" s="14"/>
      <c r="F901" s="16" t="str">
        <f aca="false">IF(OR(C901="",D901=""),"",IF(OR(A901="",B901=""),"Tarih ya da tür eksik",IF(AND(B901="Çıkış",IFERROR(INDEX(Ürünler!$H$5:$H$304,MATCH(C901,Ürünler!$A$5:$A$304,0)),0)&lt;0),"Stok eksiye düştü","")))</f>
        <v/>
      </c>
    </row>
    <row r="902" customFormat="false" ht="15" hidden="false" customHeight="false" outlineLevel="0" collapsed="false">
      <c r="A902" s="12"/>
      <c r="B902" s="13"/>
      <c r="C902" s="14"/>
      <c r="D902" s="15"/>
      <c r="E902" s="14"/>
      <c r="F902" s="16" t="str">
        <f aca="false">IF(OR(C902="",D902=""),"",IF(OR(A902="",B902=""),"Tarih ya da tür eksik",IF(AND(B902="Çıkış",IFERROR(INDEX(Ürünler!$H$5:$H$304,MATCH(C902,Ürünler!$A$5:$A$304,0)),0)&lt;0),"Stok eksiye düştü","")))</f>
        <v/>
      </c>
    </row>
    <row r="903" customFormat="false" ht="15" hidden="false" customHeight="false" outlineLevel="0" collapsed="false">
      <c r="A903" s="12"/>
      <c r="B903" s="13"/>
      <c r="C903" s="14"/>
      <c r="D903" s="15"/>
      <c r="E903" s="14"/>
      <c r="F903" s="16" t="str">
        <f aca="false">IF(OR(C903="",D903=""),"",IF(OR(A903="",B903=""),"Tarih ya da tür eksik",IF(AND(B903="Çıkış",IFERROR(INDEX(Ürünler!$H$5:$H$304,MATCH(C903,Ürünler!$A$5:$A$304,0)),0)&lt;0),"Stok eksiye düştü","")))</f>
        <v/>
      </c>
    </row>
    <row r="904" customFormat="false" ht="15" hidden="false" customHeight="false" outlineLevel="0" collapsed="false">
      <c r="A904" s="12"/>
      <c r="B904" s="13"/>
      <c r="C904" s="14"/>
      <c r="D904" s="15"/>
      <c r="E904" s="14"/>
      <c r="F904" s="16" t="str">
        <f aca="false">IF(OR(C904="",D904=""),"",IF(OR(A904="",B904=""),"Tarih ya da tür eksik",IF(AND(B904="Çıkış",IFERROR(INDEX(Ürünler!$H$5:$H$304,MATCH(C904,Ürünler!$A$5:$A$304,0)),0)&lt;0),"Stok eksiye düştü","")))</f>
        <v/>
      </c>
    </row>
    <row r="905" customFormat="false" ht="15" hidden="false" customHeight="false" outlineLevel="0" collapsed="false">
      <c r="A905" s="12"/>
      <c r="B905" s="13"/>
      <c r="C905" s="14"/>
      <c r="D905" s="15"/>
      <c r="E905" s="14"/>
      <c r="F905" s="16" t="str">
        <f aca="false">IF(OR(C905="",D905=""),"",IF(OR(A905="",B905=""),"Tarih ya da tür eksik",IF(AND(B905="Çıkış",IFERROR(INDEX(Ürünler!$H$5:$H$304,MATCH(C905,Ürünler!$A$5:$A$304,0)),0)&lt;0),"Stok eksiye düştü","")))</f>
        <v/>
      </c>
    </row>
    <row r="906" customFormat="false" ht="15" hidden="false" customHeight="false" outlineLevel="0" collapsed="false">
      <c r="A906" s="12"/>
      <c r="B906" s="13"/>
      <c r="C906" s="14"/>
      <c r="D906" s="15"/>
      <c r="E906" s="14"/>
      <c r="F906" s="16" t="str">
        <f aca="false">IF(OR(C906="",D906=""),"",IF(OR(A906="",B906=""),"Tarih ya da tür eksik",IF(AND(B906="Çıkış",IFERROR(INDEX(Ürünler!$H$5:$H$304,MATCH(C906,Ürünler!$A$5:$A$304,0)),0)&lt;0),"Stok eksiye düştü","")))</f>
        <v/>
      </c>
    </row>
    <row r="907" customFormat="false" ht="15" hidden="false" customHeight="false" outlineLevel="0" collapsed="false">
      <c r="A907" s="12"/>
      <c r="B907" s="13"/>
      <c r="C907" s="14"/>
      <c r="D907" s="15"/>
      <c r="E907" s="14"/>
      <c r="F907" s="16" t="str">
        <f aca="false">IF(OR(C907="",D907=""),"",IF(OR(A907="",B907=""),"Tarih ya da tür eksik",IF(AND(B907="Çıkış",IFERROR(INDEX(Ürünler!$H$5:$H$304,MATCH(C907,Ürünler!$A$5:$A$304,0)),0)&lt;0),"Stok eksiye düştü","")))</f>
        <v/>
      </c>
    </row>
    <row r="908" customFormat="false" ht="15" hidden="false" customHeight="false" outlineLevel="0" collapsed="false">
      <c r="A908" s="12"/>
      <c r="B908" s="13"/>
      <c r="C908" s="14"/>
      <c r="D908" s="15"/>
      <c r="E908" s="14"/>
      <c r="F908" s="16" t="str">
        <f aca="false">IF(OR(C908="",D908=""),"",IF(OR(A908="",B908=""),"Tarih ya da tür eksik",IF(AND(B908="Çıkış",IFERROR(INDEX(Ürünler!$H$5:$H$304,MATCH(C908,Ürünler!$A$5:$A$304,0)),0)&lt;0),"Stok eksiye düştü","")))</f>
        <v/>
      </c>
    </row>
    <row r="909" customFormat="false" ht="15" hidden="false" customHeight="false" outlineLevel="0" collapsed="false">
      <c r="A909" s="12"/>
      <c r="B909" s="13"/>
      <c r="C909" s="14"/>
      <c r="D909" s="15"/>
      <c r="E909" s="14"/>
      <c r="F909" s="16" t="str">
        <f aca="false">IF(OR(C909="",D909=""),"",IF(OR(A909="",B909=""),"Tarih ya da tür eksik",IF(AND(B909="Çıkış",IFERROR(INDEX(Ürünler!$H$5:$H$304,MATCH(C909,Ürünler!$A$5:$A$304,0)),0)&lt;0),"Stok eksiye düştü","")))</f>
        <v/>
      </c>
    </row>
    <row r="910" customFormat="false" ht="15" hidden="false" customHeight="false" outlineLevel="0" collapsed="false">
      <c r="A910" s="12"/>
      <c r="B910" s="13"/>
      <c r="C910" s="14"/>
      <c r="D910" s="15"/>
      <c r="E910" s="14"/>
      <c r="F910" s="16" t="str">
        <f aca="false">IF(OR(C910="",D910=""),"",IF(OR(A910="",B910=""),"Tarih ya da tür eksik",IF(AND(B910="Çıkış",IFERROR(INDEX(Ürünler!$H$5:$H$304,MATCH(C910,Ürünler!$A$5:$A$304,0)),0)&lt;0),"Stok eksiye düştü","")))</f>
        <v/>
      </c>
    </row>
    <row r="911" customFormat="false" ht="15" hidden="false" customHeight="false" outlineLevel="0" collapsed="false">
      <c r="A911" s="12"/>
      <c r="B911" s="13"/>
      <c r="C911" s="14"/>
      <c r="D911" s="15"/>
      <c r="E911" s="14"/>
      <c r="F911" s="16" t="str">
        <f aca="false">IF(OR(C911="",D911=""),"",IF(OR(A911="",B911=""),"Tarih ya da tür eksik",IF(AND(B911="Çıkış",IFERROR(INDEX(Ürünler!$H$5:$H$304,MATCH(C911,Ürünler!$A$5:$A$304,0)),0)&lt;0),"Stok eksiye düştü","")))</f>
        <v/>
      </c>
    </row>
    <row r="912" customFormat="false" ht="15" hidden="false" customHeight="false" outlineLevel="0" collapsed="false">
      <c r="A912" s="12"/>
      <c r="B912" s="13"/>
      <c r="C912" s="14"/>
      <c r="D912" s="15"/>
      <c r="E912" s="14"/>
      <c r="F912" s="16" t="str">
        <f aca="false">IF(OR(C912="",D912=""),"",IF(OR(A912="",B912=""),"Tarih ya da tür eksik",IF(AND(B912="Çıkış",IFERROR(INDEX(Ürünler!$H$5:$H$304,MATCH(C912,Ürünler!$A$5:$A$304,0)),0)&lt;0),"Stok eksiye düştü","")))</f>
        <v/>
      </c>
    </row>
    <row r="913" customFormat="false" ht="15" hidden="false" customHeight="false" outlineLevel="0" collapsed="false">
      <c r="A913" s="12"/>
      <c r="B913" s="13"/>
      <c r="C913" s="14"/>
      <c r="D913" s="15"/>
      <c r="E913" s="14"/>
      <c r="F913" s="16" t="str">
        <f aca="false">IF(OR(C913="",D913=""),"",IF(OR(A913="",B913=""),"Tarih ya da tür eksik",IF(AND(B913="Çıkış",IFERROR(INDEX(Ürünler!$H$5:$H$304,MATCH(C913,Ürünler!$A$5:$A$304,0)),0)&lt;0),"Stok eksiye düştü","")))</f>
        <v/>
      </c>
    </row>
    <row r="914" customFormat="false" ht="15" hidden="false" customHeight="false" outlineLevel="0" collapsed="false">
      <c r="A914" s="12"/>
      <c r="B914" s="13"/>
      <c r="C914" s="14"/>
      <c r="D914" s="15"/>
      <c r="E914" s="14"/>
      <c r="F914" s="16" t="str">
        <f aca="false">IF(OR(C914="",D914=""),"",IF(OR(A914="",B914=""),"Tarih ya da tür eksik",IF(AND(B914="Çıkış",IFERROR(INDEX(Ürünler!$H$5:$H$304,MATCH(C914,Ürünler!$A$5:$A$304,0)),0)&lt;0),"Stok eksiye düştü","")))</f>
        <v/>
      </c>
    </row>
    <row r="915" customFormat="false" ht="15" hidden="false" customHeight="false" outlineLevel="0" collapsed="false">
      <c r="A915" s="12"/>
      <c r="B915" s="13"/>
      <c r="C915" s="14"/>
      <c r="D915" s="15"/>
      <c r="E915" s="14"/>
      <c r="F915" s="16" t="str">
        <f aca="false">IF(OR(C915="",D915=""),"",IF(OR(A915="",B915=""),"Tarih ya da tür eksik",IF(AND(B915="Çıkış",IFERROR(INDEX(Ürünler!$H$5:$H$304,MATCH(C915,Ürünler!$A$5:$A$304,0)),0)&lt;0),"Stok eksiye düştü","")))</f>
        <v/>
      </c>
    </row>
    <row r="916" customFormat="false" ht="15" hidden="false" customHeight="false" outlineLevel="0" collapsed="false">
      <c r="A916" s="12"/>
      <c r="B916" s="13"/>
      <c r="C916" s="14"/>
      <c r="D916" s="15"/>
      <c r="E916" s="14"/>
      <c r="F916" s="16" t="str">
        <f aca="false">IF(OR(C916="",D916=""),"",IF(OR(A916="",B916=""),"Tarih ya da tür eksik",IF(AND(B916="Çıkış",IFERROR(INDEX(Ürünler!$H$5:$H$304,MATCH(C916,Ürünler!$A$5:$A$304,0)),0)&lt;0),"Stok eksiye düştü","")))</f>
        <v/>
      </c>
    </row>
    <row r="917" customFormat="false" ht="15" hidden="false" customHeight="false" outlineLevel="0" collapsed="false">
      <c r="A917" s="12"/>
      <c r="B917" s="13"/>
      <c r="C917" s="14"/>
      <c r="D917" s="15"/>
      <c r="E917" s="14"/>
      <c r="F917" s="16" t="str">
        <f aca="false">IF(OR(C917="",D917=""),"",IF(OR(A917="",B917=""),"Tarih ya da tür eksik",IF(AND(B917="Çıkış",IFERROR(INDEX(Ürünler!$H$5:$H$304,MATCH(C917,Ürünler!$A$5:$A$304,0)),0)&lt;0),"Stok eksiye düştü","")))</f>
        <v/>
      </c>
    </row>
    <row r="918" customFormat="false" ht="15" hidden="false" customHeight="false" outlineLevel="0" collapsed="false">
      <c r="A918" s="12"/>
      <c r="B918" s="13"/>
      <c r="C918" s="14"/>
      <c r="D918" s="15"/>
      <c r="E918" s="14"/>
      <c r="F918" s="16" t="str">
        <f aca="false">IF(OR(C918="",D918=""),"",IF(OR(A918="",B918=""),"Tarih ya da tür eksik",IF(AND(B918="Çıkış",IFERROR(INDEX(Ürünler!$H$5:$H$304,MATCH(C918,Ürünler!$A$5:$A$304,0)),0)&lt;0),"Stok eksiye düştü","")))</f>
        <v/>
      </c>
    </row>
    <row r="919" customFormat="false" ht="15" hidden="false" customHeight="false" outlineLevel="0" collapsed="false">
      <c r="A919" s="12"/>
      <c r="B919" s="13"/>
      <c r="C919" s="14"/>
      <c r="D919" s="15"/>
      <c r="E919" s="14"/>
      <c r="F919" s="16" t="str">
        <f aca="false">IF(OR(C919="",D919=""),"",IF(OR(A919="",B919=""),"Tarih ya da tür eksik",IF(AND(B919="Çıkış",IFERROR(INDEX(Ürünler!$H$5:$H$304,MATCH(C919,Ürünler!$A$5:$A$304,0)),0)&lt;0),"Stok eksiye düştü","")))</f>
        <v/>
      </c>
    </row>
    <row r="920" customFormat="false" ht="15" hidden="false" customHeight="false" outlineLevel="0" collapsed="false">
      <c r="A920" s="12"/>
      <c r="B920" s="13"/>
      <c r="C920" s="14"/>
      <c r="D920" s="15"/>
      <c r="E920" s="14"/>
      <c r="F920" s="16" t="str">
        <f aca="false">IF(OR(C920="",D920=""),"",IF(OR(A920="",B920=""),"Tarih ya da tür eksik",IF(AND(B920="Çıkış",IFERROR(INDEX(Ürünler!$H$5:$H$304,MATCH(C920,Ürünler!$A$5:$A$304,0)),0)&lt;0),"Stok eksiye düştü","")))</f>
        <v/>
      </c>
    </row>
    <row r="921" customFormat="false" ht="15" hidden="false" customHeight="false" outlineLevel="0" collapsed="false">
      <c r="A921" s="12"/>
      <c r="B921" s="13"/>
      <c r="C921" s="14"/>
      <c r="D921" s="15"/>
      <c r="E921" s="14"/>
      <c r="F921" s="16" t="str">
        <f aca="false">IF(OR(C921="",D921=""),"",IF(OR(A921="",B921=""),"Tarih ya da tür eksik",IF(AND(B921="Çıkış",IFERROR(INDEX(Ürünler!$H$5:$H$304,MATCH(C921,Ürünler!$A$5:$A$304,0)),0)&lt;0),"Stok eksiye düştü","")))</f>
        <v/>
      </c>
    </row>
    <row r="922" customFormat="false" ht="15" hidden="false" customHeight="false" outlineLevel="0" collapsed="false">
      <c r="A922" s="12"/>
      <c r="B922" s="13"/>
      <c r="C922" s="14"/>
      <c r="D922" s="15"/>
      <c r="E922" s="14"/>
      <c r="F922" s="16" t="str">
        <f aca="false">IF(OR(C922="",D922=""),"",IF(OR(A922="",B922=""),"Tarih ya da tür eksik",IF(AND(B922="Çıkış",IFERROR(INDEX(Ürünler!$H$5:$H$304,MATCH(C922,Ürünler!$A$5:$A$304,0)),0)&lt;0),"Stok eksiye düştü","")))</f>
        <v/>
      </c>
    </row>
    <row r="923" customFormat="false" ht="15" hidden="false" customHeight="false" outlineLevel="0" collapsed="false">
      <c r="A923" s="12"/>
      <c r="B923" s="13"/>
      <c r="C923" s="14"/>
      <c r="D923" s="15"/>
      <c r="E923" s="14"/>
      <c r="F923" s="16" t="str">
        <f aca="false">IF(OR(C923="",D923=""),"",IF(OR(A923="",B923=""),"Tarih ya da tür eksik",IF(AND(B923="Çıkış",IFERROR(INDEX(Ürünler!$H$5:$H$304,MATCH(C923,Ürünler!$A$5:$A$304,0)),0)&lt;0),"Stok eksiye düştü","")))</f>
        <v/>
      </c>
    </row>
    <row r="924" customFormat="false" ht="15" hidden="false" customHeight="false" outlineLevel="0" collapsed="false">
      <c r="A924" s="12"/>
      <c r="B924" s="13"/>
      <c r="C924" s="14"/>
      <c r="D924" s="15"/>
      <c r="E924" s="14"/>
      <c r="F924" s="16" t="str">
        <f aca="false">IF(OR(C924="",D924=""),"",IF(OR(A924="",B924=""),"Tarih ya da tür eksik",IF(AND(B924="Çıkış",IFERROR(INDEX(Ürünler!$H$5:$H$304,MATCH(C924,Ürünler!$A$5:$A$304,0)),0)&lt;0),"Stok eksiye düştü","")))</f>
        <v/>
      </c>
    </row>
    <row r="925" customFormat="false" ht="15" hidden="false" customHeight="false" outlineLevel="0" collapsed="false">
      <c r="A925" s="12"/>
      <c r="B925" s="13"/>
      <c r="C925" s="14"/>
      <c r="D925" s="15"/>
      <c r="E925" s="14"/>
      <c r="F925" s="16" t="str">
        <f aca="false">IF(OR(C925="",D925=""),"",IF(OR(A925="",B925=""),"Tarih ya da tür eksik",IF(AND(B925="Çıkış",IFERROR(INDEX(Ürünler!$H$5:$H$304,MATCH(C925,Ürünler!$A$5:$A$304,0)),0)&lt;0),"Stok eksiye düştü","")))</f>
        <v/>
      </c>
    </row>
    <row r="926" customFormat="false" ht="15" hidden="false" customHeight="false" outlineLevel="0" collapsed="false">
      <c r="A926" s="12"/>
      <c r="B926" s="13"/>
      <c r="C926" s="14"/>
      <c r="D926" s="15"/>
      <c r="E926" s="14"/>
      <c r="F926" s="16" t="str">
        <f aca="false">IF(OR(C926="",D926=""),"",IF(OR(A926="",B926=""),"Tarih ya da tür eksik",IF(AND(B926="Çıkış",IFERROR(INDEX(Ürünler!$H$5:$H$304,MATCH(C926,Ürünler!$A$5:$A$304,0)),0)&lt;0),"Stok eksiye düştü","")))</f>
        <v/>
      </c>
    </row>
    <row r="927" customFormat="false" ht="15" hidden="false" customHeight="false" outlineLevel="0" collapsed="false">
      <c r="A927" s="12"/>
      <c r="B927" s="13"/>
      <c r="C927" s="14"/>
      <c r="D927" s="15"/>
      <c r="E927" s="14"/>
      <c r="F927" s="16" t="str">
        <f aca="false">IF(OR(C927="",D927=""),"",IF(OR(A927="",B927=""),"Tarih ya da tür eksik",IF(AND(B927="Çıkış",IFERROR(INDEX(Ürünler!$H$5:$H$304,MATCH(C927,Ürünler!$A$5:$A$304,0)),0)&lt;0),"Stok eksiye düştü","")))</f>
        <v/>
      </c>
    </row>
    <row r="928" customFormat="false" ht="15" hidden="false" customHeight="false" outlineLevel="0" collapsed="false">
      <c r="A928" s="12"/>
      <c r="B928" s="13"/>
      <c r="C928" s="14"/>
      <c r="D928" s="15"/>
      <c r="E928" s="14"/>
      <c r="F928" s="16" t="str">
        <f aca="false">IF(OR(C928="",D928=""),"",IF(OR(A928="",B928=""),"Tarih ya da tür eksik",IF(AND(B928="Çıkış",IFERROR(INDEX(Ürünler!$H$5:$H$304,MATCH(C928,Ürünler!$A$5:$A$304,0)),0)&lt;0),"Stok eksiye düştü","")))</f>
        <v/>
      </c>
    </row>
    <row r="929" customFormat="false" ht="15" hidden="false" customHeight="false" outlineLevel="0" collapsed="false">
      <c r="A929" s="12"/>
      <c r="B929" s="13"/>
      <c r="C929" s="14"/>
      <c r="D929" s="15"/>
      <c r="E929" s="14"/>
      <c r="F929" s="16" t="str">
        <f aca="false">IF(OR(C929="",D929=""),"",IF(OR(A929="",B929=""),"Tarih ya da tür eksik",IF(AND(B929="Çıkış",IFERROR(INDEX(Ürünler!$H$5:$H$304,MATCH(C929,Ürünler!$A$5:$A$304,0)),0)&lt;0),"Stok eksiye düştü","")))</f>
        <v/>
      </c>
    </row>
    <row r="930" customFormat="false" ht="15" hidden="false" customHeight="false" outlineLevel="0" collapsed="false">
      <c r="A930" s="12"/>
      <c r="B930" s="13"/>
      <c r="C930" s="14"/>
      <c r="D930" s="15"/>
      <c r="E930" s="14"/>
      <c r="F930" s="16" t="str">
        <f aca="false">IF(OR(C930="",D930=""),"",IF(OR(A930="",B930=""),"Tarih ya da tür eksik",IF(AND(B930="Çıkış",IFERROR(INDEX(Ürünler!$H$5:$H$304,MATCH(C930,Ürünler!$A$5:$A$304,0)),0)&lt;0),"Stok eksiye düştü","")))</f>
        <v/>
      </c>
    </row>
    <row r="931" customFormat="false" ht="15" hidden="false" customHeight="false" outlineLevel="0" collapsed="false">
      <c r="A931" s="12"/>
      <c r="B931" s="13"/>
      <c r="C931" s="14"/>
      <c r="D931" s="15"/>
      <c r="E931" s="14"/>
      <c r="F931" s="16" t="str">
        <f aca="false">IF(OR(C931="",D931=""),"",IF(OR(A931="",B931=""),"Tarih ya da tür eksik",IF(AND(B931="Çıkış",IFERROR(INDEX(Ürünler!$H$5:$H$304,MATCH(C931,Ürünler!$A$5:$A$304,0)),0)&lt;0),"Stok eksiye düştü","")))</f>
        <v/>
      </c>
    </row>
    <row r="932" customFormat="false" ht="15" hidden="false" customHeight="false" outlineLevel="0" collapsed="false">
      <c r="A932" s="12"/>
      <c r="B932" s="13"/>
      <c r="C932" s="14"/>
      <c r="D932" s="15"/>
      <c r="E932" s="14"/>
      <c r="F932" s="16" t="str">
        <f aca="false">IF(OR(C932="",D932=""),"",IF(OR(A932="",B932=""),"Tarih ya da tür eksik",IF(AND(B932="Çıkış",IFERROR(INDEX(Ürünler!$H$5:$H$304,MATCH(C932,Ürünler!$A$5:$A$304,0)),0)&lt;0),"Stok eksiye düştü","")))</f>
        <v/>
      </c>
    </row>
    <row r="933" customFormat="false" ht="15" hidden="false" customHeight="false" outlineLevel="0" collapsed="false">
      <c r="A933" s="12"/>
      <c r="B933" s="13"/>
      <c r="C933" s="14"/>
      <c r="D933" s="15"/>
      <c r="E933" s="14"/>
      <c r="F933" s="16" t="str">
        <f aca="false">IF(OR(C933="",D933=""),"",IF(OR(A933="",B933=""),"Tarih ya da tür eksik",IF(AND(B933="Çıkış",IFERROR(INDEX(Ürünler!$H$5:$H$304,MATCH(C933,Ürünler!$A$5:$A$304,0)),0)&lt;0),"Stok eksiye düştü","")))</f>
        <v/>
      </c>
    </row>
    <row r="934" customFormat="false" ht="15" hidden="false" customHeight="false" outlineLevel="0" collapsed="false">
      <c r="A934" s="12"/>
      <c r="B934" s="13"/>
      <c r="C934" s="14"/>
      <c r="D934" s="15"/>
      <c r="E934" s="14"/>
      <c r="F934" s="16" t="str">
        <f aca="false">IF(OR(C934="",D934=""),"",IF(OR(A934="",B934=""),"Tarih ya da tür eksik",IF(AND(B934="Çıkış",IFERROR(INDEX(Ürünler!$H$5:$H$304,MATCH(C934,Ürünler!$A$5:$A$304,0)),0)&lt;0),"Stok eksiye düştü","")))</f>
        <v/>
      </c>
    </row>
    <row r="935" customFormat="false" ht="15" hidden="false" customHeight="false" outlineLevel="0" collapsed="false">
      <c r="A935" s="12"/>
      <c r="B935" s="13"/>
      <c r="C935" s="14"/>
      <c r="D935" s="15"/>
      <c r="E935" s="14"/>
      <c r="F935" s="16" t="str">
        <f aca="false">IF(OR(C935="",D935=""),"",IF(OR(A935="",B935=""),"Tarih ya da tür eksik",IF(AND(B935="Çıkış",IFERROR(INDEX(Ürünler!$H$5:$H$304,MATCH(C935,Ürünler!$A$5:$A$304,0)),0)&lt;0),"Stok eksiye düştü","")))</f>
        <v/>
      </c>
    </row>
    <row r="936" customFormat="false" ht="15" hidden="false" customHeight="false" outlineLevel="0" collapsed="false">
      <c r="A936" s="12"/>
      <c r="B936" s="13"/>
      <c r="C936" s="14"/>
      <c r="D936" s="15"/>
      <c r="E936" s="14"/>
      <c r="F936" s="16" t="str">
        <f aca="false">IF(OR(C936="",D936=""),"",IF(OR(A936="",B936=""),"Tarih ya da tür eksik",IF(AND(B936="Çıkış",IFERROR(INDEX(Ürünler!$H$5:$H$304,MATCH(C936,Ürünler!$A$5:$A$304,0)),0)&lt;0),"Stok eksiye düştü","")))</f>
        <v/>
      </c>
    </row>
    <row r="937" customFormat="false" ht="15" hidden="false" customHeight="false" outlineLevel="0" collapsed="false">
      <c r="A937" s="12"/>
      <c r="B937" s="13"/>
      <c r="C937" s="14"/>
      <c r="D937" s="15"/>
      <c r="E937" s="14"/>
      <c r="F937" s="16" t="str">
        <f aca="false">IF(OR(C937="",D937=""),"",IF(OR(A937="",B937=""),"Tarih ya da tür eksik",IF(AND(B937="Çıkış",IFERROR(INDEX(Ürünler!$H$5:$H$304,MATCH(C937,Ürünler!$A$5:$A$304,0)),0)&lt;0),"Stok eksiye düştü","")))</f>
        <v/>
      </c>
    </row>
    <row r="938" customFormat="false" ht="15" hidden="false" customHeight="false" outlineLevel="0" collapsed="false">
      <c r="A938" s="12"/>
      <c r="B938" s="13"/>
      <c r="C938" s="14"/>
      <c r="D938" s="15"/>
      <c r="E938" s="14"/>
      <c r="F938" s="16" t="str">
        <f aca="false">IF(OR(C938="",D938=""),"",IF(OR(A938="",B938=""),"Tarih ya da tür eksik",IF(AND(B938="Çıkış",IFERROR(INDEX(Ürünler!$H$5:$H$304,MATCH(C938,Ürünler!$A$5:$A$304,0)),0)&lt;0),"Stok eksiye düştü","")))</f>
        <v/>
      </c>
    </row>
    <row r="939" customFormat="false" ht="15" hidden="false" customHeight="false" outlineLevel="0" collapsed="false">
      <c r="A939" s="12"/>
      <c r="B939" s="13"/>
      <c r="C939" s="14"/>
      <c r="D939" s="15"/>
      <c r="E939" s="14"/>
      <c r="F939" s="16" t="str">
        <f aca="false">IF(OR(C939="",D939=""),"",IF(OR(A939="",B939=""),"Tarih ya da tür eksik",IF(AND(B939="Çıkış",IFERROR(INDEX(Ürünler!$H$5:$H$304,MATCH(C939,Ürünler!$A$5:$A$304,0)),0)&lt;0),"Stok eksiye düştü","")))</f>
        <v/>
      </c>
    </row>
    <row r="940" customFormat="false" ht="15" hidden="false" customHeight="false" outlineLevel="0" collapsed="false">
      <c r="A940" s="12"/>
      <c r="B940" s="13"/>
      <c r="C940" s="14"/>
      <c r="D940" s="15"/>
      <c r="E940" s="14"/>
      <c r="F940" s="16" t="str">
        <f aca="false">IF(OR(C940="",D940=""),"",IF(OR(A940="",B940=""),"Tarih ya da tür eksik",IF(AND(B940="Çıkış",IFERROR(INDEX(Ürünler!$H$5:$H$304,MATCH(C940,Ürünler!$A$5:$A$304,0)),0)&lt;0),"Stok eksiye düştü","")))</f>
        <v/>
      </c>
    </row>
    <row r="941" customFormat="false" ht="15" hidden="false" customHeight="false" outlineLevel="0" collapsed="false">
      <c r="A941" s="12"/>
      <c r="B941" s="13"/>
      <c r="C941" s="14"/>
      <c r="D941" s="15"/>
      <c r="E941" s="14"/>
      <c r="F941" s="16" t="str">
        <f aca="false">IF(OR(C941="",D941=""),"",IF(OR(A941="",B941=""),"Tarih ya da tür eksik",IF(AND(B941="Çıkış",IFERROR(INDEX(Ürünler!$H$5:$H$304,MATCH(C941,Ürünler!$A$5:$A$304,0)),0)&lt;0),"Stok eksiye düştü","")))</f>
        <v/>
      </c>
    </row>
    <row r="942" customFormat="false" ht="15" hidden="false" customHeight="false" outlineLevel="0" collapsed="false">
      <c r="A942" s="12"/>
      <c r="B942" s="13"/>
      <c r="C942" s="14"/>
      <c r="D942" s="15"/>
      <c r="E942" s="14"/>
      <c r="F942" s="16" t="str">
        <f aca="false">IF(OR(C942="",D942=""),"",IF(OR(A942="",B942=""),"Tarih ya da tür eksik",IF(AND(B942="Çıkış",IFERROR(INDEX(Ürünler!$H$5:$H$304,MATCH(C942,Ürünler!$A$5:$A$304,0)),0)&lt;0),"Stok eksiye düştü","")))</f>
        <v/>
      </c>
    </row>
    <row r="943" customFormat="false" ht="15" hidden="false" customHeight="false" outlineLevel="0" collapsed="false">
      <c r="A943" s="12"/>
      <c r="B943" s="13"/>
      <c r="C943" s="14"/>
      <c r="D943" s="15"/>
      <c r="E943" s="14"/>
      <c r="F943" s="16" t="str">
        <f aca="false">IF(OR(C943="",D943=""),"",IF(OR(A943="",B943=""),"Tarih ya da tür eksik",IF(AND(B943="Çıkış",IFERROR(INDEX(Ürünler!$H$5:$H$304,MATCH(C943,Ürünler!$A$5:$A$304,0)),0)&lt;0),"Stok eksiye düştü","")))</f>
        <v/>
      </c>
    </row>
    <row r="944" customFormat="false" ht="15" hidden="false" customHeight="false" outlineLevel="0" collapsed="false">
      <c r="A944" s="12"/>
      <c r="B944" s="13"/>
      <c r="C944" s="14"/>
      <c r="D944" s="15"/>
      <c r="E944" s="14"/>
      <c r="F944" s="16" t="str">
        <f aca="false">IF(OR(C944="",D944=""),"",IF(OR(A944="",B944=""),"Tarih ya da tür eksik",IF(AND(B944="Çıkış",IFERROR(INDEX(Ürünler!$H$5:$H$304,MATCH(C944,Ürünler!$A$5:$A$304,0)),0)&lt;0),"Stok eksiye düştü","")))</f>
        <v/>
      </c>
    </row>
    <row r="945" customFormat="false" ht="15" hidden="false" customHeight="false" outlineLevel="0" collapsed="false">
      <c r="A945" s="12"/>
      <c r="B945" s="13"/>
      <c r="C945" s="14"/>
      <c r="D945" s="15"/>
      <c r="E945" s="14"/>
      <c r="F945" s="16" t="str">
        <f aca="false">IF(OR(C945="",D945=""),"",IF(OR(A945="",B945=""),"Tarih ya da tür eksik",IF(AND(B945="Çıkış",IFERROR(INDEX(Ürünler!$H$5:$H$304,MATCH(C945,Ürünler!$A$5:$A$304,0)),0)&lt;0),"Stok eksiye düştü","")))</f>
        <v/>
      </c>
    </row>
    <row r="946" customFormat="false" ht="15" hidden="false" customHeight="false" outlineLevel="0" collapsed="false">
      <c r="A946" s="12"/>
      <c r="B946" s="13"/>
      <c r="C946" s="14"/>
      <c r="D946" s="15"/>
      <c r="E946" s="14"/>
      <c r="F946" s="16" t="str">
        <f aca="false">IF(OR(C946="",D946=""),"",IF(OR(A946="",B946=""),"Tarih ya da tür eksik",IF(AND(B946="Çıkış",IFERROR(INDEX(Ürünler!$H$5:$H$304,MATCH(C946,Ürünler!$A$5:$A$304,0)),0)&lt;0),"Stok eksiye düştü","")))</f>
        <v/>
      </c>
    </row>
    <row r="947" customFormat="false" ht="15" hidden="false" customHeight="false" outlineLevel="0" collapsed="false">
      <c r="A947" s="12"/>
      <c r="B947" s="13"/>
      <c r="C947" s="14"/>
      <c r="D947" s="15"/>
      <c r="E947" s="14"/>
      <c r="F947" s="16" t="str">
        <f aca="false">IF(OR(C947="",D947=""),"",IF(OR(A947="",B947=""),"Tarih ya da tür eksik",IF(AND(B947="Çıkış",IFERROR(INDEX(Ürünler!$H$5:$H$304,MATCH(C947,Ürünler!$A$5:$A$304,0)),0)&lt;0),"Stok eksiye düştü","")))</f>
        <v/>
      </c>
    </row>
    <row r="948" customFormat="false" ht="15" hidden="false" customHeight="false" outlineLevel="0" collapsed="false">
      <c r="A948" s="12"/>
      <c r="B948" s="13"/>
      <c r="C948" s="14"/>
      <c r="D948" s="15"/>
      <c r="E948" s="14"/>
      <c r="F948" s="16" t="str">
        <f aca="false">IF(OR(C948="",D948=""),"",IF(OR(A948="",B948=""),"Tarih ya da tür eksik",IF(AND(B948="Çıkış",IFERROR(INDEX(Ürünler!$H$5:$H$304,MATCH(C948,Ürünler!$A$5:$A$304,0)),0)&lt;0),"Stok eksiye düştü","")))</f>
        <v/>
      </c>
    </row>
    <row r="949" customFormat="false" ht="15" hidden="false" customHeight="false" outlineLevel="0" collapsed="false">
      <c r="A949" s="12"/>
      <c r="B949" s="13"/>
      <c r="C949" s="14"/>
      <c r="D949" s="15"/>
      <c r="E949" s="14"/>
      <c r="F949" s="16" t="str">
        <f aca="false">IF(OR(C949="",D949=""),"",IF(OR(A949="",B949=""),"Tarih ya da tür eksik",IF(AND(B949="Çıkış",IFERROR(INDEX(Ürünler!$H$5:$H$304,MATCH(C949,Ürünler!$A$5:$A$304,0)),0)&lt;0),"Stok eksiye düştü","")))</f>
        <v/>
      </c>
    </row>
    <row r="950" customFormat="false" ht="15" hidden="false" customHeight="false" outlineLevel="0" collapsed="false">
      <c r="A950" s="12"/>
      <c r="B950" s="13"/>
      <c r="C950" s="14"/>
      <c r="D950" s="15"/>
      <c r="E950" s="14"/>
      <c r="F950" s="16" t="str">
        <f aca="false">IF(OR(C950="",D950=""),"",IF(OR(A950="",B950=""),"Tarih ya da tür eksik",IF(AND(B950="Çıkış",IFERROR(INDEX(Ürünler!$H$5:$H$304,MATCH(C950,Ürünler!$A$5:$A$304,0)),0)&lt;0),"Stok eksiye düştü","")))</f>
        <v/>
      </c>
    </row>
    <row r="951" customFormat="false" ht="15" hidden="false" customHeight="false" outlineLevel="0" collapsed="false">
      <c r="A951" s="12"/>
      <c r="B951" s="13"/>
      <c r="C951" s="14"/>
      <c r="D951" s="15"/>
      <c r="E951" s="14"/>
      <c r="F951" s="16" t="str">
        <f aca="false">IF(OR(C951="",D951=""),"",IF(OR(A951="",B951=""),"Tarih ya da tür eksik",IF(AND(B951="Çıkış",IFERROR(INDEX(Ürünler!$H$5:$H$304,MATCH(C951,Ürünler!$A$5:$A$304,0)),0)&lt;0),"Stok eksiye düştü","")))</f>
        <v/>
      </c>
    </row>
    <row r="952" customFormat="false" ht="15" hidden="false" customHeight="false" outlineLevel="0" collapsed="false">
      <c r="A952" s="12"/>
      <c r="B952" s="13"/>
      <c r="C952" s="14"/>
      <c r="D952" s="15"/>
      <c r="E952" s="14"/>
      <c r="F952" s="16" t="str">
        <f aca="false">IF(OR(C952="",D952=""),"",IF(OR(A952="",B952=""),"Tarih ya da tür eksik",IF(AND(B952="Çıkış",IFERROR(INDEX(Ürünler!$H$5:$H$304,MATCH(C952,Ürünler!$A$5:$A$304,0)),0)&lt;0),"Stok eksiye düştü","")))</f>
        <v/>
      </c>
    </row>
    <row r="953" customFormat="false" ht="15" hidden="false" customHeight="false" outlineLevel="0" collapsed="false">
      <c r="A953" s="12"/>
      <c r="B953" s="13"/>
      <c r="C953" s="14"/>
      <c r="D953" s="15"/>
      <c r="E953" s="14"/>
      <c r="F953" s="16" t="str">
        <f aca="false">IF(OR(C953="",D953=""),"",IF(OR(A953="",B953=""),"Tarih ya da tür eksik",IF(AND(B953="Çıkış",IFERROR(INDEX(Ürünler!$H$5:$H$304,MATCH(C953,Ürünler!$A$5:$A$304,0)),0)&lt;0),"Stok eksiye düştü","")))</f>
        <v/>
      </c>
    </row>
    <row r="954" customFormat="false" ht="15" hidden="false" customHeight="false" outlineLevel="0" collapsed="false">
      <c r="A954" s="12"/>
      <c r="B954" s="13"/>
      <c r="C954" s="14"/>
      <c r="D954" s="15"/>
      <c r="E954" s="14"/>
      <c r="F954" s="16" t="str">
        <f aca="false">IF(OR(C954="",D954=""),"",IF(OR(A954="",B954=""),"Tarih ya da tür eksik",IF(AND(B954="Çıkış",IFERROR(INDEX(Ürünler!$H$5:$H$304,MATCH(C954,Ürünler!$A$5:$A$304,0)),0)&lt;0),"Stok eksiye düştü","")))</f>
        <v/>
      </c>
    </row>
    <row r="955" customFormat="false" ht="15" hidden="false" customHeight="false" outlineLevel="0" collapsed="false">
      <c r="A955" s="12"/>
      <c r="B955" s="13"/>
      <c r="C955" s="14"/>
      <c r="D955" s="15"/>
      <c r="E955" s="14"/>
      <c r="F955" s="16" t="str">
        <f aca="false">IF(OR(C955="",D955=""),"",IF(OR(A955="",B955=""),"Tarih ya da tür eksik",IF(AND(B955="Çıkış",IFERROR(INDEX(Ürünler!$H$5:$H$304,MATCH(C955,Ürünler!$A$5:$A$304,0)),0)&lt;0),"Stok eksiye düştü","")))</f>
        <v/>
      </c>
    </row>
    <row r="956" customFormat="false" ht="15" hidden="false" customHeight="false" outlineLevel="0" collapsed="false">
      <c r="A956" s="12"/>
      <c r="B956" s="13"/>
      <c r="C956" s="14"/>
      <c r="D956" s="15"/>
      <c r="E956" s="14"/>
      <c r="F956" s="16" t="str">
        <f aca="false">IF(OR(C956="",D956=""),"",IF(OR(A956="",B956=""),"Tarih ya da tür eksik",IF(AND(B956="Çıkış",IFERROR(INDEX(Ürünler!$H$5:$H$304,MATCH(C956,Ürünler!$A$5:$A$304,0)),0)&lt;0),"Stok eksiye düştü","")))</f>
        <v/>
      </c>
    </row>
    <row r="957" customFormat="false" ht="15" hidden="false" customHeight="false" outlineLevel="0" collapsed="false">
      <c r="A957" s="12"/>
      <c r="B957" s="13"/>
      <c r="C957" s="14"/>
      <c r="D957" s="15"/>
      <c r="E957" s="14"/>
      <c r="F957" s="16" t="str">
        <f aca="false">IF(OR(C957="",D957=""),"",IF(OR(A957="",B957=""),"Tarih ya da tür eksik",IF(AND(B957="Çıkış",IFERROR(INDEX(Ürünler!$H$5:$H$304,MATCH(C957,Ürünler!$A$5:$A$304,0)),0)&lt;0),"Stok eksiye düştü","")))</f>
        <v/>
      </c>
    </row>
    <row r="958" customFormat="false" ht="15" hidden="false" customHeight="false" outlineLevel="0" collapsed="false">
      <c r="A958" s="12"/>
      <c r="B958" s="13"/>
      <c r="C958" s="14"/>
      <c r="D958" s="15"/>
      <c r="E958" s="14"/>
      <c r="F958" s="16" t="str">
        <f aca="false">IF(OR(C958="",D958=""),"",IF(OR(A958="",B958=""),"Tarih ya da tür eksik",IF(AND(B958="Çıkış",IFERROR(INDEX(Ürünler!$H$5:$H$304,MATCH(C958,Ürünler!$A$5:$A$304,0)),0)&lt;0),"Stok eksiye düştü","")))</f>
        <v/>
      </c>
    </row>
    <row r="959" customFormat="false" ht="15" hidden="false" customHeight="false" outlineLevel="0" collapsed="false">
      <c r="A959" s="12"/>
      <c r="B959" s="13"/>
      <c r="C959" s="14"/>
      <c r="D959" s="15"/>
      <c r="E959" s="14"/>
      <c r="F959" s="16" t="str">
        <f aca="false">IF(OR(C959="",D959=""),"",IF(OR(A959="",B959=""),"Tarih ya da tür eksik",IF(AND(B959="Çıkış",IFERROR(INDEX(Ürünler!$H$5:$H$304,MATCH(C959,Ürünler!$A$5:$A$304,0)),0)&lt;0),"Stok eksiye düştü","")))</f>
        <v/>
      </c>
    </row>
    <row r="960" customFormat="false" ht="15" hidden="false" customHeight="false" outlineLevel="0" collapsed="false">
      <c r="A960" s="12"/>
      <c r="B960" s="13"/>
      <c r="C960" s="14"/>
      <c r="D960" s="15"/>
      <c r="E960" s="14"/>
      <c r="F960" s="16" t="str">
        <f aca="false">IF(OR(C960="",D960=""),"",IF(OR(A960="",B960=""),"Tarih ya da tür eksik",IF(AND(B960="Çıkış",IFERROR(INDEX(Ürünler!$H$5:$H$304,MATCH(C960,Ürünler!$A$5:$A$304,0)),0)&lt;0),"Stok eksiye düştü","")))</f>
        <v/>
      </c>
    </row>
    <row r="961" customFormat="false" ht="15" hidden="false" customHeight="false" outlineLevel="0" collapsed="false">
      <c r="A961" s="12"/>
      <c r="B961" s="13"/>
      <c r="C961" s="14"/>
      <c r="D961" s="15"/>
      <c r="E961" s="14"/>
      <c r="F961" s="16" t="str">
        <f aca="false">IF(OR(C961="",D961=""),"",IF(OR(A961="",B961=""),"Tarih ya da tür eksik",IF(AND(B961="Çıkış",IFERROR(INDEX(Ürünler!$H$5:$H$304,MATCH(C961,Ürünler!$A$5:$A$304,0)),0)&lt;0),"Stok eksiye düştü","")))</f>
        <v/>
      </c>
    </row>
    <row r="962" customFormat="false" ht="15" hidden="false" customHeight="false" outlineLevel="0" collapsed="false">
      <c r="A962" s="12"/>
      <c r="B962" s="13"/>
      <c r="C962" s="14"/>
      <c r="D962" s="15"/>
      <c r="E962" s="14"/>
      <c r="F962" s="16" t="str">
        <f aca="false">IF(OR(C962="",D962=""),"",IF(OR(A962="",B962=""),"Tarih ya da tür eksik",IF(AND(B962="Çıkış",IFERROR(INDEX(Ürünler!$H$5:$H$304,MATCH(C962,Ürünler!$A$5:$A$304,0)),0)&lt;0),"Stok eksiye düştü","")))</f>
        <v/>
      </c>
    </row>
    <row r="963" customFormat="false" ht="15" hidden="false" customHeight="false" outlineLevel="0" collapsed="false">
      <c r="A963" s="12"/>
      <c r="B963" s="13"/>
      <c r="C963" s="14"/>
      <c r="D963" s="15"/>
      <c r="E963" s="14"/>
      <c r="F963" s="16" t="str">
        <f aca="false">IF(OR(C963="",D963=""),"",IF(OR(A963="",B963=""),"Tarih ya da tür eksik",IF(AND(B963="Çıkış",IFERROR(INDEX(Ürünler!$H$5:$H$304,MATCH(C963,Ürünler!$A$5:$A$304,0)),0)&lt;0),"Stok eksiye düştü","")))</f>
        <v/>
      </c>
    </row>
    <row r="964" customFormat="false" ht="15" hidden="false" customHeight="false" outlineLevel="0" collapsed="false">
      <c r="A964" s="12"/>
      <c r="B964" s="13"/>
      <c r="C964" s="14"/>
      <c r="D964" s="15"/>
      <c r="E964" s="14"/>
      <c r="F964" s="16" t="str">
        <f aca="false">IF(OR(C964="",D964=""),"",IF(OR(A964="",B964=""),"Tarih ya da tür eksik",IF(AND(B964="Çıkış",IFERROR(INDEX(Ürünler!$H$5:$H$304,MATCH(C964,Ürünler!$A$5:$A$304,0)),0)&lt;0),"Stok eksiye düştü","")))</f>
        <v/>
      </c>
    </row>
    <row r="965" customFormat="false" ht="15" hidden="false" customHeight="false" outlineLevel="0" collapsed="false">
      <c r="A965" s="12"/>
      <c r="B965" s="13"/>
      <c r="C965" s="14"/>
      <c r="D965" s="15"/>
      <c r="E965" s="14"/>
      <c r="F965" s="16" t="str">
        <f aca="false">IF(OR(C965="",D965=""),"",IF(OR(A965="",B965=""),"Tarih ya da tür eksik",IF(AND(B965="Çıkış",IFERROR(INDEX(Ürünler!$H$5:$H$304,MATCH(C965,Ürünler!$A$5:$A$304,0)),0)&lt;0),"Stok eksiye düştü","")))</f>
        <v/>
      </c>
    </row>
    <row r="966" customFormat="false" ht="15" hidden="false" customHeight="false" outlineLevel="0" collapsed="false">
      <c r="A966" s="12"/>
      <c r="B966" s="13"/>
      <c r="C966" s="14"/>
      <c r="D966" s="15"/>
      <c r="E966" s="14"/>
      <c r="F966" s="16" t="str">
        <f aca="false">IF(OR(C966="",D966=""),"",IF(OR(A966="",B966=""),"Tarih ya da tür eksik",IF(AND(B966="Çıkış",IFERROR(INDEX(Ürünler!$H$5:$H$304,MATCH(C966,Ürünler!$A$5:$A$304,0)),0)&lt;0),"Stok eksiye düştü","")))</f>
        <v/>
      </c>
    </row>
    <row r="967" customFormat="false" ht="15" hidden="false" customHeight="false" outlineLevel="0" collapsed="false">
      <c r="A967" s="12"/>
      <c r="B967" s="13"/>
      <c r="C967" s="14"/>
      <c r="D967" s="15"/>
      <c r="E967" s="14"/>
      <c r="F967" s="16" t="str">
        <f aca="false">IF(OR(C967="",D967=""),"",IF(OR(A967="",B967=""),"Tarih ya da tür eksik",IF(AND(B967="Çıkış",IFERROR(INDEX(Ürünler!$H$5:$H$304,MATCH(C967,Ürünler!$A$5:$A$304,0)),0)&lt;0),"Stok eksiye düştü","")))</f>
        <v/>
      </c>
    </row>
    <row r="968" customFormat="false" ht="15" hidden="false" customHeight="false" outlineLevel="0" collapsed="false">
      <c r="A968" s="12"/>
      <c r="B968" s="13"/>
      <c r="C968" s="14"/>
      <c r="D968" s="15"/>
      <c r="E968" s="14"/>
      <c r="F968" s="16" t="str">
        <f aca="false">IF(OR(C968="",D968=""),"",IF(OR(A968="",B968=""),"Tarih ya da tür eksik",IF(AND(B968="Çıkış",IFERROR(INDEX(Ürünler!$H$5:$H$304,MATCH(C968,Ürünler!$A$5:$A$304,0)),0)&lt;0),"Stok eksiye düştü","")))</f>
        <v/>
      </c>
    </row>
    <row r="969" customFormat="false" ht="15" hidden="false" customHeight="false" outlineLevel="0" collapsed="false">
      <c r="A969" s="12"/>
      <c r="B969" s="13"/>
      <c r="C969" s="14"/>
      <c r="D969" s="15"/>
      <c r="E969" s="14"/>
      <c r="F969" s="16" t="str">
        <f aca="false">IF(OR(C969="",D969=""),"",IF(OR(A969="",B969=""),"Tarih ya da tür eksik",IF(AND(B969="Çıkış",IFERROR(INDEX(Ürünler!$H$5:$H$304,MATCH(C969,Ürünler!$A$5:$A$304,0)),0)&lt;0),"Stok eksiye düştü","")))</f>
        <v/>
      </c>
    </row>
    <row r="970" customFormat="false" ht="15" hidden="false" customHeight="false" outlineLevel="0" collapsed="false">
      <c r="A970" s="12"/>
      <c r="B970" s="13"/>
      <c r="C970" s="14"/>
      <c r="D970" s="15"/>
      <c r="E970" s="14"/>
      <c r="F970" s="16" t="str">
        <f aca="false">IF(OR(C970="",D970=""),"",IF(OR(A970="",B970=""),"Tarih ya da tür eksik",IF(AND(B970="Çıkış",IFERROR(INDEX(Ürünler!$H$5:$H$304,MATCH(C970,Ürünler!$A$5:$A$304,0)),0)&lt;0),"Stok eksiye düştü","")))</f>
        <v/>
      </c>
    </row>
    <row r="971" customFormat="false" ht="15" hidden="false" customHeight="false" outlineLevel="0" collapsed="false">
      <c r="A971" s="12"/>
      <c r="B971" s="13"/>
      <c r="C971" s="14"/>
      <c r="D971" s="15"/>
      <c r="E971" s="14"/>
      <c r="F971" s="16" t="str">
        <f aca="false">IF(OR(C971="",D971=""),"",IF(OR(A971="",B971=""),"Tarih ya da tür eksik",IF(AND(B971="Çıkış",IFERROR(INDEX(Ürünler!$H$5:$H$304,MATCH(C971,Ürünler!$A$5:$A$304,0)),0)&lt;0),"Stok eksiye düştü","")))</f>
        <v/>
      </c>
    </row>
    <row r="972" customFormat="false" ht="15" hidden="false" customHeight="false" outlineLevel="0" collapsed="false">
      <c r="A972" s="12"/>
      <c r="B972" s="13"/>
      <c r="C972" s="14"/>
      <c r="D972" s="15"/>
      <c r="E972" s="14"/>
      <c r="F972" s="16" t="str">
        <f aca="false">IF(OR(C972="",D972=""),"",IF(OR(A972="",B972=""),"Tarih ya da tür eksik",IF(AND(B972="Çıkış",IFERROR(INDEX(Ürünler!$H$5:$H$304,MATCH(C972,Ürünler!$A$5:$A$304,0)),0)&lt;0),"Stok eksiye düştü","")))</f>
        <v/>
      </c>
    </row>
    <row r="973" customFormat="false" ht="15" hidden="false" customHeight="false" outlineLevel="0" collapsed="false">
      <c r="A973" s="12"/>
      <c r="B973" s="13"/>
      <c r="C973" s="14"/>
      <c r="D973" s="15"/>
      <c r="E973" s="14"/>
      <c r="F973" s="16" t="str">
        <f aca="false">IF(OR(C973="",D973=""),"",IF(OR(A973="",B973=""),"Tarih ya da tür eksik",IF(AND(B973="Çıkış",IFERROR(INDEX(Ürünler!$H$5:$H$304,MATCH(C973,Ürünler!$A$5:$A$304,0)),0)&lt;0),"Stok eksiye düştü","")))</f>
        <v/>
      </c>
    </row>
    <row r="974" customFormat="false" ht="15" hidden="false" customHeight="false" outlineLevel="0" collapsed="false">
      <c r="A974" s="12"/>
      <c r="B974" s="13"/>
      <c r="C974" s="14"/>
      <c r="D974" s="15"/>
      <c r="E974" s="14"/>
      <c r="F974" s="16" t="str">
        <f aca="false">IF(OR(C974="",D974=""),"",IF(OR(A974="",B974=""),"Tarih ya da tür eksik",IF(AND(B974="Çıkış",IFERROR(INDEX(Ürünler!$H$5:$H$304,MATCH(C974,Ürünler!$A$5:$A$304,0)),0)&lt;0),"Stok eksiye düştü","")))</f>
        <v/>
      </c>
    </row>
    <row r="975" customFormat="false" ht="15" hidden="false" customHeight="false" outlineLevel="0" collapsed="false">
      <c r="A975" s="12"/>
      <c r="B975" s="13"/>
      <c r="C975" s="14"/>
      <c r="D975" s="15"/>
      <c r="E975" s="14"/>
      <c r="F975" s="16" t="str">
        <f aca="false">IF(OR(C975="",D975=""),"",IF(OR(A975="",B975=""),"Tarih ya da tür eksik",IF(AND(B975="Çıkış",IFERROR(INDEX(Ürünler!$H$5:$H$304,MATCH(C975,Ürünler!$A$5:$A$304,0)),0)&lt;0),"Stok eksiye düştü","")))</f>
        <v/>
      </c>
    </row>
    <row r="976" customFormat="false" ht="15" hidden="false" customHeight="false" outlineLevel="0" collapsed="false">
      <c r="A976" s="12"/>
      <c r="B976" s="13"/>
      <c r="C976" s="14"/>
      <c r="D976" s="15"/>
      <c r="E976" s="14"/>
      <c r="F976" s="16" t="str">
        <f aca="false">IF(OR(C976="",D976=""),"",IF(OR(A976="",B976=""),"Tarih ya da tür eksik",IF(AND(B976="Çıkış",IFERROR(INDEX(Ürünler!$H$5:$H$304,MATCH(C976,Ürünler!$A$5:$A$304,0)),0)&lt;0),"Stok eksiye düştü","")))</f>
        <v/>
      </c>
    </row>
    <row r="977" customFormat="false" ht="15" hidden="false" customHeight="false" outlineLevel="0" collapsed="false">
      <c r="A977" s="12"/>
      <c r="B977" s="13"/>
      <c r="C977" s="14"/>
      <c r="D977" s="15"/>
      <c r="E977" s="14"/>
      <c r="F977" s="16" t="str">
        <f aca="false">IF(OR(C977="",D977=""),"",IF(OR(A977="",B977=""),"Tarih ya da tür eksik",IF(AND(B977="Çıkış",IFERROR(INDEX(Ürünler!$H$5:$H$304,MATCH(C977,Ürünler!$A$5:$A$304,0)),0)&lt;0),"Stok eksiye düştü","")))</f>
        <v/>
      </c>
    </row>
    <row r="978" customFormat="false" ht="15" hidden="false" customHeight="false" outlineLevel="0" collapsed="false">
      <c r="A978" s="12"/>
      <c r="B978" s="13"/>
      <c r="C978" s="14"/>
      <c r="D978" s="15"/>
      <c r="E978" s="14"/>
      <c r="F978" s="16" t="str">
        <f aca="false">IF(OR(C978="",D978=""),"",IF(OR(A978="",B978=""),"Tarih ya da tür eksik",IF(AND(B978="Çıkış",IFERROR(INDEX(Ürünler!$H$5:$H$304,MATCH(C978,Ürünler!$A$5:$A$304,0)),0)&lt;0),"Stok eksiye düştü","")))</f>
        <v/>
      </c>
    </row>
    <row r="979" customFormat="false" ht="15" hidden="false" customHeight="false" outlineLevel="0" collapsed="false">
      <c r="A979" s="12"/>
      <c r="B979" s="13"/>
      <c r="C979" s="14"/>
      <c r="D979" s="15"/>
      <c r="E979" s="14"/>
      <c r="F979" s="16" t="str">
        <f aca="false">IF(OR(C979="",D979=""),"",IF(OR(A979="",B979=""),"Tarih ya da tür eksik",IF(AND(B979="Çıkış",IFERROR(INDEX(Ürünler!$H$5:$H$304,MATCH(C979,Ürünler!$A$5:$A$304,0)),0)&lt;0),"Stok eksiye düştü","")))</f>
        <v/>
      </c>
    </row>
    <row r="980" customFormat="false" ht="15" hidden="false" customHeight="false" outlineLevel="0" collapsed="false">
      <c r="A980" s="12"/>
      <c r="B980" s="13"/>
      <c r="C980" s="14"/>
      <c r="D980" s="15"/>
      <c r="E980" s="14"/>
      <c r="F980" s="16" t="str">
        <f aca="false">IF(OR(C980="",D980=""),"",IF(OR(A980="",B980=""),"Tarih ya da tür eksik",IF(AND(B980="Çıkış",IFERROR(INDEX(Ürünler!$H$5:$H$304,MATCH(C980,Ürünler!$A$5:$A$304,0)),0)&lt;0),"Stok eksiye düştü","")))</f>
        <v/>
      </c>
    </row>
    <row r="981" customFormat="false" ht="15" hidden="false" customHeight="false" outlineLevel="0" collapsed="false">
      <c r="A981" s="12"/>
      <c r="B981" s="13"/>
      <c r="C981" s="14"/>
      <c r="D981" s="15"/>
      <c r="E981" s="14"/>
      <c r="F981" s="16" t="str">
        <f aca="false">IF(OR(C981="",D981=""),"",IF(OR(A981="",B981=""),"Tarih ya da tür eksik",IF(AND(B981="Çıkış",IFERROR(INDEX(Ürünler!$H$5:$H$304,MATCH(C981,Ürünler!$A$5:$A$304,0)),0)&lt;0),"Stok eksiye düştü","")))</f>
        <v/>
      </c>
    </row>
    <row r="982" customFormat="false" ht="15" hidden="false" customHeight="false" outlineLevel="0" collapsed="false">
      <c r="A982" s="12"/>
      <c r="B982" s="13"/>
      <c r="C982" s="14"/>
      <c r="D982" s="15"/>
      <c r="E982" s="14"/>
      <c r="F982" s="16" t="str">
        <f aca="false">IF(OR(C982="",D982=""),"",IF(OR(A982="",B982=""),"Tarih ya da tür eksik",IF(AND(B982="Çıkış",IFERROR(INDEX(Ürünler!$H$5:$H$304,MATCH(C982,Ürünler!$A$5:$A$304,0)),0)&lt;0),"Stok eksiye düştü","")))</f>
        <v/>
      </c>
    </row>
    <row r="983" customFormat="false" ht="15" hidden="false" customHeight="false" outlineLevel="0" collapsed="false">
      <c r="A983" s="12"/>
      <c r="B983" s="13"/>
      <c r="C983" s="14"/>
      <c r="D983" s="15"/>
      <c r="E983" s="14"/>
      <c r="F983" s="16" t="str">
        <f aca="false">IF(OR(C983="",D983=""),"",IF(OR(A983="",B983=""),"Tarih ya da tür eksik",IF(AND(B983="Çıkış",IFERROR(INDEX(Ürünler!$H$5:$H$304,MATCH(C983,Ürünler!$A$5:$A$304,0)),0)&lt;0),"Stok eksiye düştü","")))</f>
        <v/>
      </c>
    </row>
    <row r="984" customFormat="false" ht="15" hidden="false" customHeight="false" outlineLevel="0" collapsed="false">
      <c r="A984" s="12"/>
      <c r="B984" s="13"/>
      <c r="C984" s="14"/>
      <c r="D984" s="15"/>
      <c r="E984" s="14"/>
      <c r="F984" s="16" t="str">
        <f aca="false">IF(OR(C984="",D984=""),"",IF(OR(A984="",B984=""),"Tarih ya da tür eksik",IF(AND(B984="Çıkış",IFERROR(INDEX(Ürünler!$H$5:$H$304,MATCH(C984,Ürünler!$A$5:$A$304,0)),0)&lt;0),"Stok eksiye düştü","")))</f>
        <v/>
      </c>
    </row>
    <row r="985" customFormat="false" ht="15" hidden="false" customHeight="false" outlineLevel="0" collapsed="false">
      <c r="A985" s="12"/>
      <c r="B985" s="13"/>
      <c r="C985" s="14"/>
      <c r="D985" s="15"/>
      <c r="E985" s="14"/>
      <c r="F985" s="16" t="str">
        <f aca="false">IF(OR(C985="",D985=""),"",IF(OR(A985="",B985=""),"Tarih ya da tür eksik",IF(AND(B985="Çıkış",IFERROR(INDEX(Ürünler!$H$5:$H$304,MATCH(C985,Ürünler!$A$5:$A$304,0)),0)&lt;0),"Stok eksiye düştü","")))</f>
        <v/>
      </c>
    </row>
    <row r="986" customFormat="false" ht="15" hidden="false" customHeight="false" outlineLevel="0" collapsed="false">
      <c r="A986" s="12"/>
      <c r="B986" s="13"/>
      <c r="C986" s="14"/>
      <c r="D986" s="15"/>
      <c r="E986" s="14"/>
      <c r="F986" s="16" t="str">
        <f aca="false">IF(OR(C986="",D986=""),"",IF(OR(A986="",B986=""),"Tarih ya da tür eksik",IF(AND(B986="Çıkış",IFERROR(INDEX(Ürünler!$H$5:$H$304,MATCH(C986,Ürünler!$A$5:$A$304,0)),0)&lt;0),"Stok eksiye düştü","")))</f>
        <v/>
      </c>
    </row>
    <row r="987" customFormat="false" ht="15" hidden="false" customHeight="false" outlineLevel="0" collapsed="false">
      <c r="A987" s="12"/>
      <c r="B987" s="13"/>
      <c r="C987" s="14"/>
      <c r="D987" s="15"/>
      <c r="E987" s="14"/>
      <c r="F987" s="16" t="str">
        <f aca="false">IF(OR(C987="",D987=""),"",IF(OR(A987="",B987=""),"Tarih ya da tür eksik",IF(AND(B987="Çıkış",IFERROR(INDEX(Ürünler!$H$5:$H$304,MATCH(C987,Ürünler!$A$5:$A$304,0)),0)&lt;0),"Stok eksiye düştü","")))</f>
        <v/>
      </c>
    </row>
    <row r="988" customFormat="false" ht="15" hidden="false" customHeight="false" outlineLevel="0" collapsed="false">
      <c r="A988" s="12"/>
      <c r="B988" s="13"/>
      <c r="C988" s="14"/>
      <c r="D988" s="15"/>
      <c r="E988" s="14"/>
      <c r="F988" s="16" t="str">
        <f aca="false">IF(OR(C988="",D988=""),"",IF(OR(A988="",B988=""),"Tarih ya da tür eksik",IF(AND(B988="Çıkış",IFERROR(INDEX(Ürünler!$H$5:$H$304,MATCH(C988,Ürünler!$A$5:$A$304,0)),0)&lt;0),"Stok eksiye düştü","")))</f>
        <v/>
      </c>
    </row>
    <row r="989" customFormat="false" ht="15" hidden="false" customHeight="false" outlineLevel="0" collapsed="false">
      <c r="A989" s="12"/>
      <c r="B989" s="13"/>
      <c r="C989" s="14"/>
      <c r="D989" s="15"/>
      <c r="E989" s="14"/>
      <c r="F989" s="16" t="str">
        <f aca="false">IF(OR(C989="",D989=""),"",IF(OR(A989="",B989=""),"Tarih ya da tür eksik",IF(AND(B989="Çıkış",IFERROR(INDEX(Ürünler!$H$5:$H$304,MATCH(C989,Ürünler!$A$5:$A$304,0)),0)&lt;0),"Stok eksiye düştü","")))</f>
        <v/>
      </c>
    </row>
    <row r="990" customFormat="false" ht="15" hidden="false" customHeight="false" outlineLevel="0" collapsed="false">
      <c r="A990" s="12"/>
      <c r="B990" s="13"/>
      <c r="C990" s="14"/>
      <c r="D990" s="15"/>
      <c r="E990" s="14"/>
      <c r="F990" s="16" t="str">
        <f aca="false">IF(OR(C990="",D990=""),"",IF(OR(A990="",B990=""),"Tarih ya da tür eksik",IF(AND(B990="Çıkış",IFERROR(INDEX(Ürünler!$H$5:$H$304,MATCH(C990,Ürünler!$A$5:$A$304,0)),0)&lt;0),"Stok eksiye düştü","")))</f>
        <v/>
      </c>
    </row>
    <row r="991" customFormat="false" ht="15" hidden="false" customHeight="false" outlineLevel="0" collapsed="false">
      <c r="A991" s="12"/>
      <c r="B991" s="13"/>
      <c r="C991" s="14"/>
      <c r="D991" s="15"/>
      <c r="E991" s="14"/>
      <c r="F991" s="16" t="str">
        <f aca="false">IF(OR(C991="",D991=""),"",IF(OR(A991="",B991=""),"Tarih ya da tür eksik",IF(AND(B991="Çıkış",IFERROR(INDEX(Ürünler!$H$5:$H$304,MATCH(C991,Ürünler!$A$5:$A$304,0)),0)&lt;0),"Stok eksiye düştü","")))</f>
        <v/>
      </c>
    </row>
    <row r="992" customFormat="false" ht="15" hidden="false" customHeight="false" outlineLevel="0" collapsed="false">
      <c r="A992" s="12"/>
      <c r="B992" s="13"/>
      <c r="C992" s="14"/>
      <c r="D992" s="15"/>
      <c r="E992" s="14"/>
      <c r="F992" s="16" t="str">
        <f aca="false">IF(OR(C992="",D992=""),"",IF(OR(A992="",B992=""),"Tarih ya da tür eksik",IF(AND(B992="Çıkış",IFERROR(INDEX(Ürünler!$H$5:$H$304,MATCH(C992,Ürünler!$A$5:$A$304,0)),0)&lt;0),"Stok eksiye düştü","")))</f>
        <v/>
      </c>
    </row>
    <row r="993" customFormat="false" ht="15" hidden="false" customHeight="false" outlineLevel="0" collapsed="false">
      <c r="A993" s="12"/>
      <c r="B993" s="13"/>
      <c r="C993" s="14"/>
      <c r="D993" s="15"/>
      <c r="E993" s="14"/>
      <c r="F993" s="16" t="str">
        <f aca="false">IF(OR(C993="",D993=""),"",IF(OR(A993="",B993=""),"Tarih ya da tür eksik",IF(AND(B993="Çıkış",IFERROR(INDEX(Ürünler!$H$5:$H$304,MATCH(C993,Ürünler!$A$5:$A$304,0)),0)&lt;0),"Stok eksiye düştü","")))</f>
        <v/>
      </c>
    </row>
    <row r="994" customFormat="false" ht="15" hidden="false" customHeight="false" outlineLevel="0" collapsed="false">
      <c r="A994" s="12"/>
      <c r="B994" s="13"/>
      <c r="C994" s="14"/>
      <c r="D994" s="15"/>
      <c r="E994" s="14"/>
      <c r="F994" s="16" t="str">
        <f aca="false">IF(OR(C994="",D994=""),"",IF(OR(A994="",B994=""),"Tarih ya da tür eksik",IF(AND(B994="Çıkış",IFERROR(INDEX(Ürünler!$H$5:$H$304,MATCH(C994,Ürünler!$A$5:$A$304,0)),0)&lt;0),"Stok eksiye düştü","")))</f>
        <v/>
      </c>
    </row>
    <row r="995" customFormat="false" ht="15" hidden="false" customHeight="false" outlineLevel="0" collapsed="false">
      <c r="A995" s="12"/>
      <c r="B995" s="13"/>
      <c r="C995" s="14"/>
      <c r="D995" s="15"/>
      <c r="E995" s="14"/>
      <c r="F995" s="16" t="str">
        <f aca="false">IF(OR(C995="",D995=""),"",IF(OR(A995="",B995=""),"Tarih ya da tür eksik",IF(AND(B995="Çıkış",IFERROR(INDEX(Ürünler!$H$5:$H$304,MATCH(C995,Ürünler!$A$5:$A$304,0)),0)&lt;0),"Stok eksiye düştü","")))</f>
        <v/>
      </c>
    </row>
    <row r="996" customFormat="false" ht="15" hidden="false" customHeight="false" outlineLevel="0" collapsed="false">
      <c r="A996" s="12"/>
      <c r="B996" s="13"/>
      <c r="C996" s="14"/>
      <c r="D996" s="15"/>
      <c r="E996" s="14"/>
      <c r="F996" s="16" t="str">
        <f aca="false">IF(OR(C996="",D996=""),"",IF(OR(A996="",B996=""),"Tarih ya da tür eksik",IF(AND(B996="Çıkış",IFERROR(INDEX(Ürünler!$H$5:$H$304,MATCH(C996,Ürünler!$A$5:$A$304,0)),0)&lt;0),"Stok eksiye düştü","")))</f>
        <v/>
      </c>
    </row>
    <row r="997" customFormat="false" ht="15" hidden="false" customHeight="false" outlineLevel="0" collapsed="false">
      <c r="A997" s="12"/>
      <c r="B997" s="13"/>
      <c r="C997" s="14"/>
      <c r="D997" s="15"/>
      <c r="E997" s="14"/>
      <c r="F997" s="16" t="str">
        <f aca="false">IF(OR(C997="",D997=""),"",IF(OR(A997="",B997=""),"Tarih ya da tür eksik",IF(AND(B997="Çıkış",IFERROR(INDEX(Ürünler!$H$5:$H$304,MATCH(C997,Ürünler!$A$5:$A$304,0)),0)&lt;0),"Stok eksiye düştü","")))</f>
        <v/>
      </c>
    </row>
    <row r="998" customFormat="false" ht="15" hidden="false" customHeight="false" outlineLevel="0" collapsed="false">
      <c r="A998" s="12"/>
      <c r="B998" s="13"/>
      <c r="C998" s="14"/>
      <c r="D998" s="15"/>
      <c r="E998" s="14"/>
      <c r="F998" s="16" t="str">
        <f aca="false">IF(OR(C998="",D998=""),"",IF(OR(A998="",B998=""),"Tarih ya da tür eksik",IF(AND(B998="Çıkış",IFERROR(INDEX(Ürünler!$H$5:$H$304,MATCH(C998,Ürünler!$A$5:$A$304,0)),0)&lt;0),"Stok eksiye düştü","")))</f>
        <v/>
      </c>
    </row>
    <row r="999" customFormat="false" ht="15" hidden="false" customHeight="false" outlineLevel="0" collapsed="false">
      <c r="A999" s="12"/>
      <c r="B999" s="13"/>
      <c r="C999" s="14"/>
      <c r="D999" s="15"/>
      <c r="E999" s="14"/>
      <c r="F999" s="16" t="str">
        <f aca="false">IF(OR(C999="",D999=""),"",IF(OR(A999="",B999=""),"Tarih ya da tür eksik",IF(AND(B999="Çıkış",IFERROR(INDEX(Ürünler!$H$5:$H$304,MATCH(C999,Ürünler!$A$5:$A$304,0)),0)&lt;0),"Stok eksiye düştü","")))</f>
        <v/>
      </c>
    </row>
    <row r="1000" customFormat="false" ht="15" hidden="false" customHeight="false" outlineLevel="0" collapsed="false">
      <c r="A1000" s="12"/>
      <c r="B1000" s="13"/>
      <c r="C1000" s="14"/>
      <c r="D1000" s="15"/>
      <c r="E1000" s="14"/>
      <c r="F1000" s="16" t="str">
        <f aca="false">IF(OR(C1000="",D1000=""),"",IF(OR(A1000="",B1000=""),"Tarih ya da tür eksik",IF(AND(B1000="Çıkış",IFERROR(INDEX(Ürünler!$H$5:$H$304,MATCH(C1000,Ürünler!$A$5:$A$304,0)),0)&lt;0),"Stok eksiye düştü","")))</f>
        <v/>
      </c>
    </row>
    <row r="1001" customFormat="false" ht="15" hidden="false" customHeight="false" outlineLevel="0" collapsed="false">
      <c r="A1001" s="12"/>
      <c r="B1001" s="13"/>
      <c r="C1001" s="14"/>
      <c r="D1001" s="15"/>
      <c r="E1001" s="14"/>
      <c r="F1001" s="16" t="str">
        <f aca="false">IF(OR(C1001="",D1001=""),"",IF(OR(A1001="",B1001=""),"Tarih ya da tür eksik",IF(AND(B1001="Çıkış",IFERROR(INDEX(Ürünler!$H$5:$H$304,MATCH(C1001,Ürünler!$A$5:$A$304,0)),0)&lt;0),"Stok eksiye düştü","")))</f>
        <v/>
      </c>
    </row>
    <row r="1002" customFormat="false" ht="15" hidden="false" customHeight="false" outlineLevel="0" collapsed="false">
      <c r="A1002" s="12"/>
      <c r="B1002" s="13"/>
      <c r="C1002" s="14"/>
      <c r="D1002" s="15"/>
      <c r="E1002" s="14"/>
      <c r="F1002" s="16" t="str">
        <f aca="false">IF(OR(C1002="",D1002=""),"",IF(OR(A1002="",B1002=""),"Tarih ya da tür eksik",IF(AND(B1002="Çıkış",IFERROR(INDEX(Ürünler!$H$5:$H$304,MATCH(C1002,Ürünler!$A$5:$A$304,0)),0)&lt;0),"Stok eksiye düştü","")))</f>
        <v/>
      </c>
    </row>
    <row r="1003" customFormat="false" ht="15" hidden="false" customHeight="false" outlineLevel="0" collapsed="false">
      <c r="A1003" s="12"/>
      <c r="B1003" s="13"/>
      <c r="C1003" s="14"/>
      <c r="D1003" s="15"/>
      <c r="E1003" s="14"/>
      <c r="F1003" s="16" t="str">
        <f aca="false">IF(OR(C1003="",D1003=""),"",IF(OR(A1003="",B1003=""),"Tarih ya da tür eksik",IF(AND(B1003="Çıkış",IFERROR(INDEX(Ürünler!$H$5:$H$304,MATCH(C1003,Ürünler!$A$5:$A$304,0)),0)&lt;0),"Stok eksiye düştü","")))</f>
        <v/>
      </c>
    </row>
    <row r="1004" customFormat="false" ht="15" hidden="false" customHeight="false" outlineLevel="0" collapsed="false">
      <c r="A1004" s="12"/>
      <c r="B1004" s="13"/>
      <c r="C1004" s="14"/>
      <c r="D1004" s="15"/>
      <c r="E1004" s="14"/>
      <c r="F1004" s="16" t="str">
        <f aca="false">IF(OR(C1004="",D1004=""),"",IF(OR(A1004="",B1004=""),"Tarih ya da tür eksik",IF(AND(B1004="Çıkış",IFERROR(INDEX(Ürünler!$H$5:$H$304,MATCH(C1004,Ürünler!$A$5:$A$304,0)),0)&lt;0),"Stok eksiye düştü","")))</f>
        <v/>
      </c>
    </row>
    <row r="1005" customFormat="false" ht="15" hidden="false" customHeight="false" outlineLevel="0" collapsed="false">
      <c r="A1005" s="12"/>
      <c r="B1005" s="13"/>
      <c r="C1005" s="14"/>
      <c r="D1005" s="15"/>
      <c r="E1005" s="14"/>
      <c r="F1005" s="16" t="str">
        <f aca="false">IF(OR(C1005="",D1005=""),"",IF(OR(A1005="",B1005=""),"Tarih ya da tür eksik",IF(AND(B1005="Çıkış",IFERROR(INDEX(Ürünler!$H$5:$H$304,MATCH(C1005,Ürünler!$A$5:$A$304,0)),0)&lt;0),"Stok eksiye düştü","")))</f>
        <v/>
      </c>
    </row>
    <row r="1006" customFormat="false" ht="15" hidden="false" customHeight="false" outlineLevel="0" collapsed="false">
      <c r="A1006" s="12"/>
      <c r="B1006" s="13"/>
      <c r="C1006" s="14"/>
      <c r="D1006" s="15"/>
      <c r="E1006" s="14"/>
      <c r="F1006" s="16" t="str">
        <f aca="false">IF(OR(C1006="",D1006=""),"",IF(OR(A1006="",B1006=""),"Tarih ya da tür eksik",IF(AND(B1006="Çıkış",IFERROR(INDEX(Ürünler!$H$5:$H$304,MATCH(C1006,Ürünler!$A$5:$A$304,0)),0)&lt;0),"Stok eksiye düştü","")))</f>
        <v/>
      </c>
    </row>
    <row r="1007" customFormat="false" ht="15" hidden="false" customHeight="false" outlineLevel="0" collapsed="false">
      <c r="A1007" s="12"/>
      <c r="B1007" s="13"/>
      <c r="C1007" s="14"/>
      <c r="D1007" s="15"/>
      <c r="E1007" s="14"/>
      <c r="F1007" s="16" t="str">
        <f aca="false">IF(OR(C1007="",D1007=""),"",IF(OR(A1007="",B1007=""),"Tarih ya da tür eksik",IF(AND(B1007="Çıkış",IFERROR(INDEX(Ürünler!$H$5:$H$304,MATCH(C1007,Ürünler!$A$5:$A$304,0)),0)&lt;0),"Stok eksiye düştü","")))</f>
        <v/>
      </c>
    </row>
    <row r="1008" customFormat="false" ht="15" hidden="false" customHeight="false" outlineLevel="0" collapsed="false">
      <c r="A1008" s="12"/>
      <c r="B1008" s="13"/>
      <c r="C1008" s="14"/>
      <c r="D1008" s="15"/>
      <c r="E1008" s="14"/>
      <c r="F1008" s="16" t="str">
        <f aca="false">IF(OR(C1008="",D1008=""),"",IF(OR(A1008="",B1008=""),"Tarih ya da tür eksik",IF(AND(B1008="Çıkış",IFERROR(INDEX(Ürünler!$H$5:$H$304,MATCH(C1008,Ürünler!$A$5:$A$304,0)),0)&lt;0),"Stok eksiye düştü","")))</f>
        <v/>
      </c>
    </row>
    <row r="1009" customFormat="false" ht="15" hidden="false" customHeight="false" outlineLevel="0" collapsed="false">
      <c r="A1009" s="12"/>
      <c r="B1009" s="13"/>
      <c r="C1009" s="14"/>
      <c r="D1009" s="15"/>
      <c r="E1009" s="14"/>
      <c r="F1009" s="16" t="str">
        <f aca="false">IF(OR(C1009="",D1009=""),"",IF(OR(A1009="",B1009=""),"Tarih ya da tür eksik",IF(AND(B1009="Çıkış",IFERROR(INDEX(Ürünler!$H$5:$H$304,MATCH(C1009,Ürünler!$A$5:$A$304,0)),0)&lt;0),"Stok eksiye düştü","")))</f>
        <v/>
      </c>
    </row>
    <row r="1010" customFormat="false" ht="15" hidden="false" customHeight="false" outlineLevel="0" collapsed="false">
      <c r="A1010" s="12"/>
      <c r="B1010" s="13"/>
      <c r="C1010" s="14"/>
      <c r="D1010" s="15"/>
      <c r="E1010" s="14"/>
      <c r="F1010" s="16" t="str">
        <f aca="false">IF(OR(C1010="",D1010=""),"",IF(OR(A1010="",B1010=""),"Tarih ya da tür eksik",IF(AND(B1010="Çıkış",IFERROR(INDEX(Ürünler!$H$5:$H$304,MATCH(C1010,Ürünler!$A$5:$A$304,0)),0)&lt;0),"Stok eksiye düştü","")))</f>
        <v/>
      </c>
    </row>
    <row r="1011" customFormat="false" ht="15" hidden="false" customHeight="false" outlineLevel="0" collapsed="false">
      <c r="A1011" s="12"/>
      <c r="B1011" s="13"/>
      <c r="C1011" s="14"/>
      <c r="D1011" s="15"/>
      <c r="E1011" s="14"/>
      <c r="F1011" s="16" t="str">
        <f aca="false">IF(OR(C1011="",D1011=""),"",IF(OR(A1011="",B1011=""),"Tarih ya da tür eksik",IF(AND(B1011="Çıkış",IFERROR(INDEX(Ürünler!$H$5:$H$304,MATCH(C1011,Ürünler!$A$5:$A$304,0)),0)&lt;0),"Stok eksiye düştü","")))</f>
        <v/>
      </c>
    </row>
    <row r="1012" customFormat="false" ht="15" hidden="false" customHeight="false" outlineLevel="0" collapsed="false">
      <c r="A1012" s="12"/>
      <c r="B1012" s="13"/>
      <c r="C1012" s="14"/>
      <c r="D1012" s="15"/>
      <c r="E1012" s="14"/>
      <c r="F1012" s="16" t="str">
        <f aca="false">IF(OR(C1012="",D1012=""),"",IF(OR(A1012="",B1012=""),"Tarih ya da tür eksik",IF(AND(B1012="Çıkış",IFERROR(INDEX(Ürünler!$H$5:$H$304,MATCH(C1012,Ürünler!$A$5:$A$304,0)),0)&lt;0),"Stok eksiye düştü","")))</f>
        <v/>
      </c>
    </row>
    <row r="1013" customFormat="false" ht="15" hidden="false" customHeight="false" outlineLevel="0" collapsed="false">
      <c r="A1013" s="12"/>
      <c r="B1013" s="13"/>
      <c r="C1013" s="14"/>
      <c r="D1013" s="15"/>
      <c r="E1013" s="14"/>
      <c r="F1013" s="16" t="str">
        <f aca="false">IF(OR(C1013="",D1013=""),"",IF(OR(A1013="",B1013=""),"Tarih ya da tür eksik",IF(AND(B1013="Çıkış",IFERROR(INDEX(Ürünler!$H$5:$H$304,MATCH(C1013,Ürünler!$A$5:$A$304,0)),0)&lt;0),"Stok eksiye düştü","")))</f>
        <v/>
      </c>
    </row>
    <row r="1014" customFormat="false" ht="15" hidden="false" customHeight="false" outlineLevel="0" collapsed="false">
      <c r="A1014" s="12"/>
      <c r="B1014" s="13"/>
      <c r="C1014" s="14"/>
      <c r="D1014" s="15"/>
      <c r="E1014" s="14"/>
      <c r="F1014" s="16" t="str">
        <f aca="false">IF(OR(C1014="",D1014=""),"",IF(OR(A1014="",B1014=""),"Tarih ya da tür eksik",IF(AND(B1014="Çıkış",IFERROR(INDEX(Ürünler!$H$5:$H$304,MATCH(C1014,Ürünler!$A$5:$A$304,0)),0)&lt;0),"Stok eksiye düştü","")))</f>
        <v/>
      </c>
    </row>
    <row r="1015" customFormat="false" ht="15" hidden="false" customHeight="false" outlineLevel="0" collapsed="false">
      <c r="A1015" s="12"/>
      <c r="B1015" s="13"/>
      <c r="C1015" s="14"/>
      <c r="D1015" s="15"/>
      <c r="E1015" s="14"/>
      <c r="F1015" s="16" t="str">
        <f aca="false">IF(OR(C1015="",D1015=""),"",IF(OR(A1015="",B1015=""),"Tarih ya da tür eksik",IF(AND(B1015="Çıkış",IFERROR(INDEX(Ürünler!$H$5:$H$304,MATCH(C1015,Ürünler!$A$5:$A$304,0)),0)&lt;0),"Stok eksiye düştü","")))</f>
        <v/>
      </c>
    </row>
    <row r="1016" customFormat="false" ht="15" hidden="false" customHeight="false" outlineLevel="0" collapsed="false">
      <c r="A1016" s="12"/>
      <c r="B1016" s="13"/>
      <c r="C1016" s="14"/>
      <c r="D1016" s="15"/>
      <c r="E1016" s="14"/>
      <c r="F1016" s="16" t="str">
        <f aca="false">IF(OR(C1016="",D1016=""),"",IF(OR(A1016="",B1016=""),"Tarih ya da tür eksik",IF(AND(B1016="Çıkış",IFERROR(INDEX(Ürünler!$H$5:$H$304,MATCH(C1016,Ürünler!$A$5:$A$304,0)),0)&lt;0),"Stok eksiye düştü","")))</f>
        <v/>
      </c>
    </row>
    <row r="1017" customFormat="false" ht="15" hidden="false" customHeight="false" outlineLevel="0" collapsed="false">
      <c r="A1017" s="12"/>
      <c r="B1017" s="13"/>
      <c r="C1017" s="14"/>
      <c r="D1017" s="15"/>
      <c r="E1017" s="14"/>
      <c r="F1017" s="16" t="str">
        <f aca="false">IF(OR(C1017="",D1017=""),"",IF(OR(A1017="",B1017=""),"Tarih ya da tür eksik",IF(AND(B1017="Çıkış",IFERROR(INDEX(Ürünler!$H$5:$H$304,MATCH(C1017,Ürünler!$A$5:$A$304,0)),0)&lt;0),"Stok eksiye düştü","")))</f>
        <v/>
      </c>
    </row>
    <row r="1018" customFormat="false" ht="15" hidden="false" customHeight="false" outlineLevel="0" collapsed="false">
      <c r="A1018" s="12"/>
      <c r="B1018" s="13"/>
      <c r="C1018" s="14"/>
      <c r="D1018" s="15"/>
      <c r="E1018" s="14"/>
      <c r="F1018" s="16" t="str">
        <f aca="false">IF(OR(C1018="",D1018=""),"",IF(OR(A1018="",B1018=""),"Tarih ya da tür eksik",IF(AND(B1018="Çıkış",IFERROR(INDEX(Ürünler!$H$5:$H$304,MATCH(C1018,Ürünler!$A$5:$A$304,0)),0)&lt;0),"Stok eksiye düştü","")))</f>
        <v/>
      </c>
    </row>
    <row r="1019" customFormat="false" ht="15" hidden="false" customHeight="false" outlineLevel="0" collapsed="false">
      <c r="A1019" s="12"/>
      <c r="B1019" s="13"/>
      <c r="C1019" s="14"/>
      <c r="D1019" s="15"/>
      <c r="E1019" s="14"/>
      <c r="F1019" s="16" t="str">
        <f aca="false">IF(OR(C1019="",D1019=""),"",IF(OR(A1019="",B1019=""),"Tarih ya da tür eksik",IF(AND(B1019="Çıkış",IFERROR(INDEX(Ürünler!$H$5:$H$304,MATCH(C1019,Ürünler!$A$5:$A$304,0)),0)&lt;0),"Stok eksiye düştü","")))</f>
        <v/>
      </c>
    </row>
    <row r="1020" customFormat="false" ht="15" hidden="false" customHeight="false" outlineLevel="0" collapsed="false">
      <c r="A1020" s="12"/>
      <c r="B1020" s="13"/>
      <c r="C1020" s="14"/>
      <c r="D1020" s="15"/>
      <c r="E1020" s="14"/>
      <c r="F1020" s="16" t="str">
        <f aca="false">IF(OR(C1020="",D1020=""),"",IF(OR(A1020="",B1020=""),"Tarih ya da tür eksik",IF(AND(B1020="Çıkış",IFERROR(INDEX(Ürünler!$H$5:$H$304,MATCH(C1020,Ürünler!$A$5:$A$304,0)),0)&lt;0),"Stok eksiye düştü","")))</f>
        <v/>
      </c>
    </row>
    <row r="1021" customFormat="false" ht="15" hidden="false" customHeight="false" outlineLevel="0" collapsed="false">
      <c r="A1021" s="12"/>
      <c r="B1021" s="13"/>
      <c r="C1021" s="14"/>
      <c r="D1021" s="15"/>
      <c r="E1021" s="14"/>
      <c r="F1021" s="16" t="str">
        <f aca="false">IF(OR(C1021="",D1021=""),"",IF(OR(A1021="",B1021=""),"Tarih ya da tür eksik",IF(AND(B1021="Çıkış",IFERROR(INDEX(Ürünler!$H$5:$H$304,MATCH(C1021,Ürünler!$A$5:$A$304,0)),0)&lt;0),"Stok eksiye düştü","")))</f>
        <v/>
      </c>
    </row>
    <row r="1022" customFormat="false" ht="15" hidden="false" customHeight="false" outlineLevel="0" collapsed="false">
      <c r="A1022" s="12"/>
      <c r="B1022" s="13"/>
      <c r="C1022" s="14"/>
      <c r="D1022" s="15"/>
      <c r="E1022" s="14"/>
      <c r="F1022" s="16" t="str">
        <f aca="false">IF(OR(C1022="",D1022=""),"",IF(OR(A1022="",B1022=""),"Tarih ya da tür eksik",IF(AND(B1022="Çıkış",IFERROR(INDEX(Ürünler!$H$5:$H$304,MATCH(C1022,Ürünler!$A$5:$A$304,0)),0)&lt;0),"Stok eksiye düştü","")))</f>
        <v/>
      </c>
    </row>
    <row r="1023" customFormat="false" ht="15" hidden="false" customHeight="false" outlineLevel="0" collapsed="false">
      <c r="A1023" s="12"/>
      <c r="B1023" s="13"/>
      <c r="C1023" s="14"/>
      <c r="D1023" s="15"/>
      <c r="E1023" s="14"/>
      <c r="F1023" s="16" t="str">
        <f aca="false">IF(OR(C1023="",D1023=""),"",IF(OR(A1023="",B1023=""),"Tarih ya da tür eksik",IF(AND(B1023="Çıkış",IFERROR(INDEX(Ürünler!$H$5:$H$304,MATCH(C1023,Ürünler!$A$5:$A$304,0)),0)&lt;0),"Stok eksiye düştü","")))</f>
        <v/>
      </c>
    </row>
    <row r="1024" customFormat="false" ht="15" hidden="false" customHeight="false" outlineLevel="0" collapsed="false">
      <c r="A1024" s="12"/>
      <c r="B1024" s="13"/>
      <c r="C1024" s="14"/>
      <c r="D1024" s="15"/>
      <c r="E1024" s="14"/>
      <c r="F1024" s="16" t="str">
        <f aca="false">IF(OR(C1024="",D1024=""),"",IF(OR(A1024="",B1024=""),"Tarih ya da tür eksik",IF(AND(B1024="Çıkış",IFERROR(INDEX(Ürünler!$H$5:$H$304,MATCH(C1024,Ürünler!$A$5:$A$304,0)),0)&lt;0),"Stok eksiye düştü","")))</f>
        <v/>
      </c>
    </row>
    <row r="1025" customFormat="false" ht="15" hidden="false" customHeight="false" outlineLevel="0" collapsed="false">
      <c r="A1025" s="12"/>
      <c r="B1025" s="13"/>
      <c r="C1025" s="14"/>
      <c r="D1025" s="15"/>
      <c r="E1025" s="14"/>
      <c r="F1025" s="16" t="str">
        <f aca="false">IF(OR(C1025="",D1025=""),"",IF(OR(A1025="",B1025=""),"Tarih ya da tür eksik",IF(AND(B1025="Çıkış",IFERROR(INDEX(Ürünler!$H$5:$H$304,MATCH(C1025,Ürünler!$A$5:$A$304,0)),0)&lt;0),"Stok eksiye düştü","")))</f>
        <v/>
      </c>
    </row>
    <row r="1026" customFormat="false" ht="15" hidden="false" customHeight="false" outlineLevel="0" collapsed="false">
      <c r="A1026" s="12"/>
      <c r="B1026" s="13"/>
      <c r="C1026" s="14"/>
      <c r="D1026" s="15"/>
      <c r="E1026" s="14"/>
      <c r="F1026" s="16" t="str">
        <f aca="false">IF(OR(C1026="",D1026=""),"",IF(OR(A1026="",B1026=""),"Tarih ya da tür eksik",IF(AND(B1026="Çıkış",IFERROR(INDEX(Ürünler!$H$5:$H$304,MATCH(C1026,Ürünler!$A$5:$A$304,0)),0)&lt;0),"Stok eksiye düştü","")))</f>
        <v/>
      </c>
    </row>
    <row r="1027" customFormat="false" ht="15" hidden="false" customHeight="false" outlineLevel="0" collapsed="false">
      <c r="A1027" s="12"/>
      <c r="B1027" s="13"/>
      <c r="C1027" s="14"/>
      <c r="D1027" s="15"/>
      <c r="E1027" s="14"/>
      <c r="F1027" s="16" t="str">
        <f aca="false">IF(OR(C1027="",D1027=""),"",IF(OR(A1027="",B1027=""),"Tarih ya da tür eksik",IF(AND(B1027="Çıkış",IFERROR(INDEX(Ürünler!$H$5:$H$304,MATCH(C1027,Ürünler!$A$5:$A$304,0)),0)&lt;0),"Stok eksiye düştü","")))</f>
        <v/>
      </c>
    </row>
    <row r="1028" customFormat="false" ht="15" hidden="false" customHeight="false" outlineLevel="0" collapsed="false">
      <c r="A1028" s="12"/>
      <c r="B1028" s="13"/>
      <c r="C1028" s="14"/>
      <c r="D1028" s="15"/>
      <c r="E1028" s="14"/>
      <c r="F1028" s="16" t="str">
        <f aca="false">IF(OR(C1028="",D1028=""),"",IF(OR(A1028="",B1028=""),"Tarih ya da tür eksik",IF(AND(B1028="Çıkış",IFERROR(INDEX(Ürünler!$H$5:$H$304,MATCH(C1028,Ürünler!$A$5:$A$304,0)),0)&lt;0),"Stok eksiye düştü","")))</f>
        <v/>
      </c>
    </row>
    <row r="1029" customFormat="false" ht="15" hidden="false" customHeight="false" outlineLevel="0" collapsed="false">
      <c r="A1029" s="12"/>
      <c r="B1029" s="13"/>
      <c r="C1029" s="14"/>
      <c r="D1029" s="15"/>
      <c r="E1029" s="14"/>
      <c r="F1029" s="16" t="str">
        <f aca="false">IF(OR(C1029="",D1029=""),"",IF(OR(A1029="",B1029=""),"Tarih ya da tür eksik",IF(AND(B1029="Çıkış",IFERROR(INDEX(Ürünler!$H$5:$H$304,MATCH(C1029,Ürünler!$A$5:$A$304,0)),0)&lt;0),"Stok eksiye düştü","")))</f>
        <v/>
      </c>
    </row>
    <row r="1030" customFormat="false" ht="15" hidden="false" customHeight="false" outlineLevel="0" collapsed="false">
      <c r="A1030" s="12"/>
      <c r="B1030" s="13"/>
      <c r="C1030" s="14"/>
      <c r="D1030" s="15"/>
      <c r="E1030" s="14"/>
      <c r="F1030" s="16" t="str">
        <f aca="false">IF(OR(C1030="",D1030=""),"",IF(OR(A1030="",B1030=""),"Tarih ya da tür eksik",IF(AND(B1030="Çıkış",IFERROR(INDEX(Ürünler!$H$5:$H$304,MATCH(C1030,Ürünler!$A$5:$A$304,0)),0)&lt;0),"Stok eksiye düştü","")))</f>
        <v/>
      </c>
    </row>
    <row r="1031" customFormat="false" ht="15" hidden="false" customHeight="false" outlineLevel="0" collapsed="false">
      <c r="A1031" s="12"/>
      <c r="B1031" s="13"/>
      <c r="C1031" s="14"/>
      <c r="D1031" s="15"/>
      <c r="E1031" s="14"/>
      <c r="F1031" s="16" t="str">
        <f aca="false">IF(OR(C1031="",D1031=""),"",IF(OR(A1031="",B1031=""),"Tarih ya da tür eksik",IF(AND(B1031="Çıkış",IFERROR(INDEX(Ürünler!$H$5:$H$304,MATCH(C1031,Ürünler!$A$5:$A$304,0)),0)&lt;0),"Stok eksiye düştü","")))</f>
        <v/>
      </c>
    </row>
    <row r="1032" customFormat="false" ht="15" hidden="false" customHeight="false" outlineLevel="0" collapsed="false">
      <c r="A1032" s="12"/>
      <c r="B1032" s="13"/>
      <c r="C1032" s="14"/>
      <c r="D1032" s="15"/>
      <c r="E1032" s="14"/>
      <c r="F1032" s="16" t="str">
        <f aca="false">IF(OR(C1032="",D1032=""),"",IF(OR(A1032="",B1032=""),"Tarih ya da tür eksik",IF(AND(B1032="Çıkış",IFERROR(INDEX(Ürünler!$H$5:$H$304,MATCH(C1032,Ürünler!$A$5:$A$304,0)),0)&lt;0),"Stok eksiye düştü","")))</f>
        <v/>
      </c>
    </row>
    <row r="1033" customFormat="false" ht="15" hidden="false" customHeight="false" outlineLevel="0" collapsed="false">
      <c r="A1033" s="12"/>
      <c r="B1033" s="13"/>
      <c r="C1033" s="14"/>
      <c r="D1033" s="15"/>
      <c r="E1033" s="14"/>
      <c r="F1033" s="16" t="str">
        <f aca="false">IF(OR(C1033="",D1033=""),"",IF(OR(A1033="",B1033=""),"Tarih ya da tür eksik",IF(AND(B1033="Çıkış",IFERROR(INDEX(Ürünler!$H$5:$H$304,MATCH(C1033,Ürünler!$A$5:$A$304,0)),0)&lt;0),"Stok eksiye düştü","")))</f>
        <v/>
      </c>
    </row>
    <row r="1034" customFormat="false" ht="15" hidden="false" customHeight="false" outlineLevel="0" collapsed="false">
      <c r="A1034" s="12"/>
      <c r="B1034" s="13"/>
      <c r="C1034" s="14"/>
      <c r="D1034" s="15"/>
      <c r="E1034" s="14"/>
      <c r="F1034" s="16" t="str">
        <f aca="false">IF(OR(C1034="",D1034=""),"",IF(OR(A1034="",B1034=""),"Tarih ya da tür eksik",IF(AND(B1034="Çıkış",IFERROR(INDEX(Ürünler!$H$5:$H$304,MATCH(C1034,Ürünler!$A$5:$A$304,0)),0)&lt;0),"Stok eksiye düştü","")))</f>
        <v/>
      </c>
    </row>
    <row r="1035" customFormat="false" ht="15" hidden="false" customHeight="false" outlineLevel="0" collapsed="false">
      <c r="A1035" s="12"/>
      <c r="B1035" s="13"/>
      <c r="C1035" s="14"/>
      <c r="D1035" s="15"/>
      <c r="E1035" s="14"/>
      <c r="F1035" s="16" t="str">
        <f aca="false">IF(OR(C1035="",D1035=""),"",IF(OR(A1035="",B1035=""),"Tarih ya da tür eksik",IF(AND(B1035="Çıkış",IFERROR(INDEX(Ürünler!$H$5:$H$304,MATCH(C1035,Ürünler!$A$5:$A$304,0)),0)&lt;0),"Stok eksiye düştü","")))</f>
        <v/>
      </c>
    </row>
    <row r="1036" customFormat="false" ht="15" hidden="false" customHeight="false" outlineLevel="0" collapsed="false">
      <c r="A1036" s="12"/>
      <c r="B1036" s="13"/>
      <c r="C1036" s="14"/>
      <c r="D1036" s="15"/>
      <c r="E1036" s="14"/>
      <c r="F1036" s="16" t="str">
        <f aca="false">IF(OR(C1036="",D1036=""),"",IF(OR(A1036="",B1036=""),"Tarih ya da tür eksik",IF(AND(B1036="Çıkış",IFERROR(INDEX(Ürünler!$H$5:$H$304,MATCH(C1036,Ürünler!$A$5:$A$304,0)),0)&lt;0),"Stok eksiye düştü","")))</f>
        <v/>
      </c>
    </row>
    <row r="1037" customFormat="false" ht="15" hidden="false" customHeight="false" outlineLevel="0" collapsed="false">
      <c r="A1037" s="12"/>
      <c r="B1037" s="13"/>
      <c r="C1037" s="14"/>
      <c r="D1037" s="15"/>
      <c r="E1037" s="14"/>
      <c r="F1037" s="16" t="str">
        <f aca="false">IF(OR(C1037="",D1037=""),"",IF(OR(A1037="",B1037=""),"Tarih ya da tür eksik",IF(AND(B1037="Çıkış",IFERROR(INDEX(Ürünler!$H$5:$H$304,MATCH(C1037,Ürünler!$A$5:$A$304,0)),0)&lt;0),"Stok eksiye düştü","")))</f>
        <v/>
      </c>
    </row>
    <row r="1038" customFormat="false" ht="15" hidden="false" customHeight="false" outlineLevel="0" collapsed="false">
      <c r="A1038" s="12"/>
      <c r="B1038" s="13"/>
      <c r="C1038" s="14"/>
      <c r="D1038" s="15"/>
      <c r="E1038" s="14"/>
      <c r="F1038" s="16" t="str">
        <f aca="false">IF(OR(C1038="",D1038=""),"",IF(OR(A1038="",B1038=""),"Tarih ya da tür eksik",IF(AND(B1038="Çıkış",IFERROR(INDEX(Ürünler!$H$5:$H$304,MATCH(C1038,Ürünler!$A$5:$A$304,0)),0)&lt;0),"Stok eksiye düştü","")))</f>
        <v/>
      </c>
    </row>
    <row r="1039" customFormat="false" ht="15" hidden="false" customHeight="false" outlineLevel="0" collapsed="false">
      <c r="A1039" s="12"/>
      <c r="B1039" s="13"/>
      <c r="C1039" s="14"/>
      <c r="D1039" s="15"/>
      <c r="E1039" s="14"/>
      <c r="F1039" s="16" t="str">
        <f aca="false">IF(OR(C1039="",D1039=""),"",IF(OR(A1039="",B1039=""),"Tarih ya da tür eksik",IF(AND(B1039="Çıkış",IFERROR(INDEX(Ürünler!$H$5:$H$304,MATCH(C1039,Ürünler!$A$5:$A$304,0)),0)&lt;0),"Stok eksiye düştü","")))</f>
        <v/>
      </c>
    </row>
    <row r="1040" customFormat="false" ht="15" hidden="false" customHeight="false" outlineLevel="0" collapsed="false">
      <c r="A1040" s="12"/>
      <c r="B1040" s="13"/>
      <c r="C1040" s="14"/>
      <c r="D1040" s="15"/>
      <c r="E1040" s="14"/>
      <c r="F1040" s="16" t="str">
        <f aca="false">IF(OR(C1040="",D1040=""),"",IF(OR(A1040="",B1040=""),"Tarih ya da tür eksik",IF(AND(B1040="Çıkış",IFERROR(INDEX(Ürünler!$H$5:$H$304,MATCH(C1040,Ürünler!$A$5:$A$304,0)),0)&lt;0),"Stok eksiye düştü","")))</f>
        <v/>
      </c>
    </row>
    <row r="1041" customFormat="false" ht="15" hidden="false" customHeight="false" outlineLevel="0" collapsed="false">
      <c r="A1041" s="12"/>
      <c r="B1041" s="13"/>
      <c r="C1041" s="14"/>
      <c r="D1041" s="15"/>
      <c r="E1041" s="14"/>
      <c r="F1041" s="16" t="str">
        <f aca="false">IF(OR(C1041="",D1041=""),"",IF(OR(A1041="",B1041=""),"Tarih ya da tür eksik",IF(AND(B1041="Çıkış",IFERROR(INDEX(Ürünler!$H$5:$H$304,MATCH(C1041,Ürünler!$A$5:$A$304,0)),0)&lt;0),"Stok eksiye düştü","")))</f>
        <v/>
      </c>
    </row>
    <row r="1042" customFormat="false" ht="15" hidden="false" customHeight="false" outlineLevel="0" collapsed="false">
      <c r="A1042" s="12"/>
      <c r="B1042" s="13"/>
      <c r="C1042" s="14"/>
      <c r="D1042" s="15"/>
      <c r="E1042" s="14"/>
      <c r="F1042" s="16" t="str">
        <f aca="false">IF(OR(C1042="",D1042=""),"",IF(OR(A1042="",B1042=""),"Tarih ya da tür eksik",IF(AND(B1042="Çıkış",IFERROR(INDEX(Ürünler!$H$5:$H$304,MATCH(C1042,Ürünler!$A$5:$A$304,0)),0)&lt;0),"Stok eksiye düştü","")))</f>
        <v/>
      </c>
    </row>
    <row r="1043" customFormat="false" ht="15" hidden="false" customHeight="false" outlineLevel="0" collapsed="false">
      <c r="A1043" s="12"/>
      <c r="B1043" s="13"/>
      <c r="C1043" s="14"/>
      <c r="D1043" s="15"/>
      <c r="E1043" s="14"/>
      <c r="F1043" s="16" t="str">
        <f aca="false">IF(OR(C1043="",D1043=""),"",IF(OR(A1043="",B1043=""),"Tarih ya da tür eksik",IF(AND(B1043="Çıkış",IFERROR(INDEX(Ürünler!$H$5:$H$304,MATCH(C1043,Ürünler!$A$5:$A$304,0)),0)&lt;0),"Stok eksiye düştü","")))</f>
        <v/>
      </c>
    </row>
    <row r="1044" customFormat="false" ht="15" hidden="false" customHeight="false" outlineLevel="0" collapsed="false">
      <c r="A1044" s="12"/>
      <c r="B1044" s="13"/>
      <c r="C1044" s="14"/>
      <c r="D1044" s="15"/>
      <c r="E1044" s="14"/>
      <c r="F1044" s="16" t="str">
        <f aca="false">IF(OR(C1044="",D1044=""),"",IF(OR(A1044="",B1044=""),"Tarih ya da tür eksik",IF(AND(B1044="Çıkış",IFERROR(INDEX(Ürünler!$H$5:$H$304,MATCH(C1044,Ürünler!$A$5:$A$304,0)),0)&lt;0),"Stok eksiye düştü","")))</f>
        <v/>
      </c>
    </row>
    <row r="1045" customFormat="false" ht="15" hidden="false" customHeight="false" outlineLevel="0" collapsed="false">
      <c r="A1045" s="12"/>
      <c r="B1045" s="13"/>
      <c r="C1045" s="14"/>
      <c r="D1045" s="15"/>
      <c r="E1045" s="14"/>
      <c r="F1045" s="16" t="str">
        <f aca="false">IF(OR(C1045="",D1045=""),"",IF(OR(A1045="",B1045=""),"Tarih ya da tür eksik",IF(AND(B1045="Çıkış",IFERROR(INDEX(Ürünler!$H$5:$H$304,MATCH(C1045,Ürünler!$A$5:$A$304,0)),0)&lt;0),"Stok eksiye düştü","")))</f>
        <v/>
      </c>
    </row>
    <row r="1046" customFormat="false" ht="15" hidden="false" customHeight="false" outlineLevel="0" collapsed="false">
      <c r="A1046" s="12"/>
      <c r="B1046" s="13"/>
      <c r="C1046" s="14"/>
      <c r="D1046" s="15"/>
      <c r="E1046" s="14"/>
      <c r="F1046" s="16" t="str">
        <f aca="false">IF(OR(C1046="",D1046=""),"",IF(OR(A1046="",B1046=""),"Tarih ya da tür eksik",IF(AND(B1046="Çıkış",IFERROR(INDEX(Ürünler!$H$5:$H$304,MATCH(C1046,Ürünler!$A$5:$A$304,0)),0)&lt;0),"Stok eksiye düştü","")))</f>
        <v/>
      </c>
    </row>
    <row r="1047" customFormat="false" ht="15" hidden="false" customHeight="false" outlineLevel="0" collapsed="false">
      <c r="A1047" s="12"/>
      <c r="B1047" s="13"/>
      <c r="C1047" s="14"/>
      <c r="D1047" s="15"/>
      <c r="E1047" s="14"/>
      <c r="F1047" s="16" t="str">
        <f aca="false">IF(OR(C1047="",D1047=""),"",IF(OR(A1047="",B1047=""),"Tarih ya da tür eksik",IF(AND(B1047="Çıkış",IFERROR(INDEX(Ürünler!$H$5:$H$304,MATCH(C1047,Ürünler!$A$5:$A$304,0)),0)&lt;0),"Stok eksiye düştü","")))</f>
        <v/>
      </c>
    </row>
    <row r="1048" customFormat="false" ht="15" hidden="false" customHeight="false" outlineLevel="0" collapsed="false">
      <c r="A1048" s="12"/>
      <c r="B1048" s="13"/>
      <c r="C1048" s="14"/>
      <c r="D1048" s="15"/>
      <c r="E1048" s="14"/>
      <c r="F1048" s="16" t="str">
        <f aca="false">IF(OR(C1048="",D1048=""),"",IF(OR(A1048="",B1048=""),"Tarih ya da tür eksik",IF(AND(B1048="Çıkış",IFERROR(INDEX(Ürünler!$H$5:$H$304,MATCH(C1048,Ürünler!$A$5:$A$304,0)),0)&lt;0),"Stok eksiye düştü","")))</f>
        <v/>
      </c>
    </row>
    <row r="1049" customFormat="false" ht="15" hidden="false" customHeight="false" outlineLevel="0" collapsed="false">
      <c r="A1049" s="12"/>
      <c r="B1049" s="13"/>
      <c r="C1049" s="14"/>
      <c r="D1049" s="15"/>
      <c r="E1049" s="14"/>
      <c r="F1049" s="16" t="str">
        <f aca="false">IF(OR(C1049="",D1049=""),"",IF(OR(A1049="",B1049=""),"Tarih ya da tür eksik",IF(AND(B1049="Çıkış",IFERROR(INDEX(Ürünler!$H$5:$H$304,MATCH(C1049,Ürünler!$A$5:$A$304,0)),0)&lt;0),"Stok eksiye düştü","")))</f>
        <v/>
      </c>
    </row>
    <row r="1050" customFormat="false" ht="15" hidden="false" customHeight="false" outlineLevel="0" collapsed="false">
      <c r="A1050" s="12"/>
      <c r="B1050" s="13"/>
      <c r="C1050" s="14"/>
      <c r="D1050" s="15"/>
      <c r="E1050" s="14"/>
      <c r="F1050" s="16" t="str">
        <f aca="false">IF(OR(C1050="",D1050=""),"",IF(OR(A1050="",B1050=""),"Tarih ya da tür eksik",IF(AND(B1050="Çıkış",IFERROR(INDEX(Ürünler!$H$5:$H$304,MATCH(C1050,Ürünler!$A$5:$A$304,0)),0)&lt;0),"Stok eksiye düştü","")))</f>
        <v/>
      </c>
    </row>
    <row r="1051" customFormat="false" ht="15" hidden="false" customHeight="false" outlineLevel="0" collapsed="false">
      <c r="A1051" s="12"/>
      <c r="B1051" s="13"/>
      <c r="C1051" s="14"/>
      <c r="D1051" s="15"/>
      <c r="E1051" s="14"/>
      <c r="F1051" s="16" t="str">
        <f aca="false">IF(OR(C1051="",D1051=""),"",IF(OR(A1051="",B1051=""),"Tarih ya da tür eksik",IF(AND(B1051="Çıkış",IFERROR(INDEX(Ürünler!$H$5:$H$304,MATCH(C1051,Ürünler!$A$5:$A$304,0)),0)&lt;0),"Stok eksiye düştü","")))</f>
        <v/>
      </c>
    </row>
    <row r="1052" customFormat="false" ht="15" hidden="false" customHeight="false" outlineLevel="0" collapsed="false">
      <c r="A1052" s="12"/>
      <c r="B1052" s="13"/>
      <c r="C1052" s="14"/>
      <c r="D1052" s="15"/>
      <c r="E1052" s="14"/>
      <c r="F1052" s="16" t="str">
        <f aca="false">IF(OR(C1052="",D1052=""),"",IF(OR(A1052="",B1052=""),"Tarih ya da tür eksik",IF(AND(B1052="Çıkış",IFERROR(INDEX(Ürünler!$H$5:$H$304,MATCH(C1052,Ürünler!$A$5:$A$304,0)),0)&lt;0),"Stok eksiye düştü","")))</f>
        <v/>
      </c>
    </row>
    <row r="1053" customFormat="false" ht="15" hidden="false" customHeight="false" outlineLevel="0" collapsed="false">
      <c r="A1053" s="12"/>
      <c r="B1053" s="13"/>
      <c r="C1053" s="14"/>
      <c r="D1053" s="15"/>
      <c r="E1053" s="14"/>
      <c r="F1053" s="16" t="str">
        <f aca="false">IF(OR(C1053="",D1053=""),"",IF(OR(A1053="",B1053=""),"Tarih ya da tür eksik",IF(AND(B1053="Çıkış",IFERROR(INDEX(Ürünler!$H$5:$H$304,MATCH(C1053,Ürünler!$A$5:$A$304,0)),0)&lt;0),"Stok eksiye düştü","")))</f>
        <v/>
      </c>
    </row>
    <row r="1054" customFormat="false" ht="15" hidden="false" customHeight="false" outlineLevel="0" collapsed="false">
      <c r="A1054" s="12"/>
      <c r="B1054" s="13"/>
      <c r="C1054" s="14"/>
      <c r="D1054" s="15"/>
      <c r="E1054" s="14"/>
      <c r="F1054" s="16" t="str">
        <f aca="false">IF(OR(C1054="",D1054=""),"",IF(OR(A1054="",B1054=""),"Tarih ya da tür eksik",IF(AND(B1054="Çıkış",IFERROR(INDEX(Ürünler!$H$5:$H$304,MATCH(C1054,Ürünler!$A$5:$A$304,0)),0)&lt;0),"Stok eksiye düştü","")))</f>
        <v/>
      </c>
    </row>
    <row r="1055" customFormat="false" ht="15" hidden="false" customHeight="false" outlineLevel="0" collapsed="false">
      <c r="A1055" s="12"/>
      <c r="B1055" s="13"/>
      <c r="C1055" s="14"/>
      <c r="D1055" s="15"/>
      <c r="E1055" s="14"/>
      <c r="F1055" s="16" t="str">
        <f aca="false">IF(OR(C1055="",D1055=""),"",IF(OR(A1055="",B1055=""),"Tarih ya da tür eksik",IF(AND(B1055="Çıkış",IFERROR(INDEX(Ürünler!$H$5:$H$304,MATCH(C1055,Ürünler!$A$5:$A$304,0)),0)&lt;0),"Stok eksiye düştü","")))</f>
        <v/>
      </c>
    </row>
    <row r="1056" customFormat="false" ht="15" hidden="false" customHeight="false" outlineLevel="0" collapsed="false">
      <c r="A1056" s="12"/>
      <c r="B1056" s="13"/>
      <c r="C1056" s="14"/>
      <c r="D1056" s="15"/>
      <c r="E1056" s="14"/>
      <c r="F1056" s="16" t="str">
        <f aca="false">IF(OR(C1056="",D1056=""),"",IF(OR(A1056="",B1056=""),"Tarih ya da tür eksik",IF(AND(B1056="Çıkış",IFERROR(INDEX(Ürünler!$H$5:$H$304,MATCH(C1056,Ürünler!$A$5:$A$304,0)),0)&lt;0),"Stok eksiye düştü","")))</f>
        <v/>
      </c>
    </row>
    <row r="1057" customFormat="false" ht="15" hidden="false" customHeight="false" outlineLevel="0" collapsed="false">
      <c r="A1057" s="12"/>
      <c r="B1057" s="13"/>
      <c r="C1057" s="14"/>
      <c r="D1057" s="15"/>
      <c r="E1057" s="14"/>
      <c r="F1057" s="16" t="str">
        <f aca="false">IF(OR(C1057="",D1057=""),"",IF(OR(A1057="",B1057=""),"Tarih ya da tür eksik",IF(AND(B1057="Çıkış",IFERROR(INDEX(Ürünler!$H$5:$H$304,MATCH(C1057,Ürünler!$A$5:$A$304,0)),0)&lt;0),"Stok eksiye düştü","")))</f>
        <v/>
      </c>
    </row>
    <row r="1058" customFormat="false" ht="15" hidden="false" customHeight="false" outlineLevel="0" collapsed="false">
      <c r="A1058" s="12"/>
      <c r="B1058" s="13"/>
      <c r="C1058" s="14"/>
      <c r="D1058" s="15"/>
      <c r="E1058" s="14"/>
      <c r="F1058" s="16" t="str">
        <f aca="false">IF(OR(C1058="",D1058=""),"",IF(OR(A1058="",B1058=""),"Tarih ya da tür eksik",IF(AND(B1058="Çıkış",IFERROR(INDEX(Ürünler!$H$5:$H$304,MATCH(C1058,Ürünler!$A$5:$A$304,0)),0)&lt;0),"Stok eksiye düştü","")))</f>
        <v/>
      </c>
    </row>
    <row r="1059" customFormat="false" ht="15" hidden="false" customHeight="false" outlineLevel="0" collapsed="false">
      <c r="A1059" s="12"/>
      <c r="B1059" s="13"/>
      <c r="C1059" s="14"/>
      <c r="D1059" s="15"/>
      <c r="E1059" s="14"/>
      <c r="F1059" s="16" t="str">
        <f aca="false">IF(OR(C1059="",D1059=""),"",IF(OR(A1059="",B1059=""),"Tarih ya da tür eksik",IF(AND(B1059="Çıkış",IFERROR(INDEX(Ürünler!$H$5:$H$304,MATCH(C1059,Ürünler!$A$5:$A$304,0)),0)&lt;0),"Stok eksiye düştü","")))</f>
        <v/>
      </c>
    </row>
    <row r="1060" customFormat="false" ht="15" hidden="false" customHeight="false" outlineLevel="0" collapsed="false">
      <c r="A1060" s="12"/>
      <c r="B1060" s="13"/>
      <c r="C1060" s="14"/>
      <c r="D1060" s="15"/>
      <c r="E1060" s="14"/>
      <c r="F1060" s="16" t="str">
        <f aca="false">IF(OR(C1060="",D1060=""),"",IF(OR(A1060="",B1060=""),"Tarih ya da tür eksik",IF(AND(B1060="Çıkış",IFERROR(INDEX(Ürünler!$H$5:$H$304,MATCH(C1060,Ürünler!$A$5:$A$304,0)),0)&lt;0),"Stok eksiye düştü","")))</f>
        <v/>
      </c>
    </row>
    <row r="1061" customFormat="false" ht="15" hidden="false" customHeight="false" outlineLevel="0" collapsed="false">
      <c r="A1061" s="12"/>
      <c r="B1061" s="13"/>
      <c r="C1061" s="14"/>
      <c r="D1061" s="15"/>
      <c r="E1061" s="14"/>
      <c r="F1061" s="16" t="str">
        <f aca="false">IF(OR(C1061="",D1061=""),"",IF(OR(A1061="",B1061=""),"Tarih ya da tür eksik",IF(AND(B1061="Çıkış",IFERROR(INDEX(Ürünler!$H$5:$H$304,MATCH(C1061,Ürünler!$A$5:$A$304,0)),0)&lt;0),"Stok eksiye düştü","")))</f>
        <v/>
      </c>
    </row>
    <row r="1062" customFormat="false" ht="15" hidden="false" customHeight="false" outlineLevel="0" collapsed="false">
      <c r="A1062" s="12"/>
      <c r="B1062" s="13"/>
      <c r="C1062" s="14"/>
      <c r="D1062" s="15"/>
      <c r="E1062" s="14"/>
      <c r="F1062" s="16" t="str">
        <f aca="false">IF(OR(C1062="",D1062=""),"",IF(OR(A1062="",B1062=""),"Tarih ya da tür eksik",IF(AND(B1062="Çıkış",IFERROR(INDEX(Ürünler!$H$5:$H$304,MATCH(C1062,Ürünler!$A$5:$A$304,0)),0)&lt;0),"Stok eksiye düştü","")))</f>
        <v/>
      </c>
    </row>
    <row r="1063" customFormat="false" ht="15" hidden="false" customHeight="false" outlineLevel="0" collapsed="false">
      <c r="A1063" s="12"/>
      <c r="B1063" s="13"/>
      <c r="C1063" s="14"/>
      <c r="D1063" s="15"/>
      <c r="E1063" s="14"/>
      <c r="F1063" s="16" t="str">
        <f aca="false">IF(OR(C1063="",D1063=""),"",IF(OR(A1063="",B1063=""),"Tarih ya da tür eksik",IF(AND(B1063="Çıkış",IFERROR(INDEX(Ürünler!$H$5:$H$304,MATCH(C1063,Ürünler!$A$5:$A$304,0)),0)&lt;0),"Stok eksiye düştü","")))</f>
        <v/>
      </c>
    </row>
    <row r="1064" customFormat="false" ht="15" hidden="false" customHeight="false" outlineLevel="0" collapsed="false">
      <c r="A1064" s="12"/>
      <c r="B1064" s="13"/>
      <c r="C1064" s="14"/>
      <c r="D1064" s="15"/>
      <c r="E1064" s="14"/>
      <c r="F1064" s="16" t="str">
        <f aca="false">IF(OR(C1064="",D1064=""),"",IF(OR(A1064="",B1064=""),"Tarih ya da tür eksik",IF(AND(B1064="Çıkış",IFERROR(INDEX(Ürünler!$H$5:$H$304,MATCH(C1064,Ürünler!$A$5:$A$304,0)),0)&lt;0),"Stok eksiye düştü","")))</f>
        <v/>
      </c>
    </row>
    <row r="1065" customFormat="false" ht="15" hidden="false" customHeight="false" outlineLevel="0" collapsed="false">
      <c r="A1065" s="12"/>
      <c r="B1065" s="13"/>
      <c r="C1065" s="14"/>
      <c r="D1065" s="15"/>
      <c r="E1065" s="14"/>
      <c r="F1065" s="16" t="str">
        <f aca="false">IF(OR(C1065="",D1065=""),"",IF(OR(A1065="",B1065=""),"Tarih ya da tür eksik",IF(AND(B1065="Çıkış",IFERROR(INDEX(Ürünler!$H$5:$H$304,MATCH(C1065,Ürünler!$A$5:$A$304,0)),0)&lt;0),"Stok eksiye düştü","")))</f>
        <v/>
      </c>
    </row>
    <row r="1066" customFormat="false" ht="15" hidden="false" customHeight="false" outlineLevel="0" collapsed="false">
      <c r="A1066" s="12"/>
      <c r="B1066" s="13"/>
      <c r="C1066" s="14"/>
      <c r="D1066" s="15"/>
      <c r="E1066" s="14"/>
      <c r="F1066" s="16" t="str">
        <f aca="false">IF(OR(C1066="",D1066=""),"",IF(OR(A1066="",B1066=""),"Tarih ya da tür eksik",IF(AND(B1066="Çıkış",IFERROR(INDEX(Ürünler!$H$5:$H$304,MATCH(C1066,Ürünler!$A$5:$A$304,0)),0)&lt;0),"Stok eksiye düştü","")))</f>
        <v/>
      </c>
    </row>
    <row r="1067" customFormat="false" ht="15" hidden="false" customHeight="false" outlineLevel="0" collapsed="false">
      <c r="A1067" s="12"/>
      <c r="B1067" s="13"/>
      <c r="C1067" s="14"/>
      <c r="D1067" s="15"/>
      <c r="E1067" s="14"/>
      <c r="F1067" s="16" t="str">
        <f aca="false">IF(OR(C1067="",D1067=""),"",IF(OR(A1067="",B1067=""),"Tarih ya da tür eksik",IF(AND(B1067="Çıkış",IFERROR(INDEX(Ürünler!$H$5:$H$304,MATCH(C1067,Ürünler!$A$5:$A$304,0)),0)&lt;0),"Stok eksiye düştü","")))</f>
        <v/>
      </c>
    </row>
    <row r="1068" customFormat="false" ht="15" hidden="false" customHeight="false" outlineLevel="0" collapsed="false">
      <c r="A1068" s="12"/>
      <c r="B1068" s="13"/>
      <c r="C1068" s="14"/>
      <c r="D1068" s="15"/>
      <c r="E1068" s="14"/>
      <c r="F1068" s="16" t="str">
        <f aca="false">IF(OR(C1068="",D1068=""),"",IF(OR(A1068="",B1068=""),"Tarih ya da tür eksik",IF(AND(B1068="Çıkış",IFERROR(INDEX(Ürünler!$H$5:$H$304,MATCH(C1068,Ürünler!$A$5:$A$304,0)),0)&lt;0),"Stok eksiye düştü","")))</f>
        <v/>
      </c>
    </row>
    <row r="1069" customFormat="false" ht="15" hidden="false" customHeight="false" outlineLevel="0" collapsed="false">
      <c r="A1069" s="12"/>
      <c r="B1069" s="13"/>
      <c r="C1069" s="14"/>
      <c r="D1069" s="15"/>
      <c r="E1069" s="14"/>
      <c r="F1069" s="16" t="str">
        <f aca="false">IF(OR(C1069="",D1069=""),"",IF(OR(A1069="",B1069=""),"Tarih ya da tür eksik",IF(AND(B1069="Çıkış",IFERROR(INDEX(Ürünler!$H$5:$H$304,MATCH(C1069,Ürünler!$A$5:$A$304,0)),0)&lt;0),"Stok eksiye düştü","")))</f>
        <v/>
      </c>
    </row>
    <row r="1070" customFormat="false" ht="15" hidden="false" customHeight="false" outlineLevel="0" collapsed="false">
      <c r="A1070" s="12"/>
      <c r="B1070" s="13"/>
      <c r="C1070" s="14"/>
      <c r="D1070" s="15"/>
      <c r="E1070" s="14"/>
      <c r="F1070" s="16" t="str">
        <f aca="false">IF(OR(C1070="",D1070=""),"",IF(OR(A1070="",B1070=""),"Tarih ya da tür eksik",IF(AND(B1070="Çıkış",IFERROR(INDEX(Ürünler!$H$5:$H$304,MATCH(C1070,Ürünler!$A$5:$A$304,0)),0)&lt;0),"Stok eksiye düştü","")))</f>
        <v/>
      </c>
    </row>
    <row r="1071" customFormat="false" ht="15" hidden="false" customHeight="false" outlineLevel="0" collapsed="false">
      <c r="A1071" s="12"/>
      <c r="B1071" s="13"/>
      <c r="C1071" s="14"/>
      <c r="D1071" s="15"/>
      <c r="E1071" s="14"/>
      <c r="F1071" s="16" t="str">
        <f aca="false">IF(OR(C1071="",D1071=""),"",IF(OR(A1071="",B1071=""),"Tarih ya da tür eksik",IF(AND(B1071="Çıkış",IFERROR(INDEX(Ürünler!$H$5:$H$304,MATCH(C1071,Ürünler!$A$5:$A$304,0)),0)&lt;0),"Stok eksiye düştü","")))</f>
        <v/>
      </c>
    </row>
    <row r="1072" customFormat="false" ht="15" hidden="false" customHeight="false" outlineLevel="0" collapsed="false">
      <c r="A1072" s="12"/>
      <c r="B1072" s="13"/>
      <c r="C1072" s="14"/>
      <c r="D1072" s="15"/>
      <c r="E1072" s="14"/>
      <c r="F1072" s="16" t="str">
        <f aca="false">IF(OR(C1072="",D1072=""),"",IF(OR(A1072="",B1072=""),"Tarih ya da tür eksik",IF(AND(B1072="Çıkış",IFERROR(INDEX(Ürünler!$H$5:$H$304,MATCH(C1072,Ürünler!$A$5:$A$304,0)),0)&lt;0),"Stok eksiye düştü","")))</f>
        <v/>
      </c>
    </row>
    <row r="1073" customFormat="false" ht="15" hidden="false" customHeight="false" outlineLevel="0" collapsed="false">
      <c r="A1073" s="12"/>
      <c r="B1073" s="13"/>
      <c r="C1073" s="14"/>
      <c r="D1073" s="15"/>
      <c r="E1073" s="14"/>
      <c r="F1073" s="16" t="str">
        <f aca="false">IF(OR(C1073="",D1073=""),"",IF(OR(A1073="",B1073=""),"Tarih ya da tür eksik",IF(AND(B1073="Çıkış",IFERROR(INDEX(Ürünler!$H$5:$H$304,MATCH(C1073,Ürünler!$A$5:$A$304,0)),0)&lt;0),"Stok eksiye düştü","")))</f>
        <v/>
      </c>
    </row>
    <row r="1074" customFormat="false" ht="15" hidden="false" customHeight="false" outlineLevel="0" collapsed="false">
      <c r="A1074" s="12"/>
      <c r="B1074" s="13"/>
      <c r="C1074" s="14"/>
      <c r="D1074" s="15"/>
      <c r="E1074" s="14"/>
      <c r="F1074" s="16" t="str">
        <f aca="false">IF(OR(C1074="",D1074=""),"",IF(OR(A1074="",B1074=""),"Tarih ya da tür eksik",IF(AND(B1074="Çıkış",IFERROR(INDEX(Ürünler!$H$5:$H$304,MATCH(C1074,Ürünler!$A$5:$A$304,0)),0)&lt;0),"Stok eksiye düştü","")))</f>
        <v/>
      </c>
    </row>
    <row r="1075" customFormat="false" ht="15" hidden="false" customHeight="false" outlineLevel="0" collapsed="false">
      <c r="A1075" s="12"/>
      <c r="B1075" s="13"/>
      <c r="C1075" s="14"/>
      <c r="D1075" s="15"/>
      <c r="E1075" s="14"/>
      <c r="F1075" s="16" t="str">
        <f aca="false">IF(OR(C1075="",D1075=""),"",IF(OR(A1075="",B1075=""),"Tarih ya da tür eksik",IF(AND(B1075="Çıkış",IFERROR(INDEX(Ürünler!$H$5:$H$304,MATCH(C1075,Ürünler!$A$5:$A$304,0)),0)&lt;0),"Stok eksiye düştü","")))</f>
        <v/>
      </c>
    </row>
    <row r="1076" customFormat="false" ht="15" hidden="false" customHeight="false" outlineLevel="0" collapsed="false">
      <c r="A1076" s="12"/>
      <c r="B1076" s="13"/>
      <c r="C1076" s="14"/>
      <c r="D1076" s="15"/>
      <c r="E1076" s="14"/>
      <c r="F1076" s="16" t="str">
        <f aca="false">IF(OR(C1076="",D1076=""),"",IF(OR(A1076="",B1076=""),"Tarih ya da tür eksik",IF(AND(B1076="Çıkış",IFERROR(INDEX(Ürünler!$H$5:$H$304,MATCH(C1076,Ürünler!$A$5:$A$304,0)),0)&lt;0),"Stok eksiye düştü","")))</f>
        <v/>
      </c>
    </row>
    <row r="1077" customFormat="false" ht="15" hidden="false" customHeight="false" outlineLevel="0" collapsed="false">
      <c r="A1077" s="12"/>
      <c r="B1077" s="13"/>
      <c r="C1077" s="14"/>
      <c r="D1077" s="15"/>
      <c r="E1077" s="14"/>
      <c r="F1077" s="16" t="str">
        <f aca="false">IF(OR(C1077="",D1077=""),"",IF(OR(A1077="",B1077=""),"Tarih ya da tür eksik",IF(AND(B1077="Çıkış",IFERROR(INDEX(Ürünler!$H$5:$H$304,MATCH(C1077,Ürünler!$A$5:$A$304,0)),0)&lt;0),"Stok eksiye düştü","")))</f>
        <v/>
      </c>
    </row>
    <row r="1078" customFormat="false" ht="15" hidden="false" customHeight="false" outlineLevel="0" collapsed="false">
      <c r="A1078" s="12"/>
      <c r="B1078" s="13"/>
      <c r="C1078" s="14"/>
      <c r="D1078" s="15"/>
      <c r="E1078" s="14"/>
      <c r="F1078" s="16" t="str">
        <f aca="false">IF(OR(C1078="",D1078=""),"",IF(OR(A1078="",B1078=""),"Tarih ya da tür eksik",IF(AND(B1078="Çıkış",IFERROR(INDEX(Ürünler!$H$5:$H$304,MATCH(C1078,Ürünler!$A$5:$A$304,0)),0)&lt;0),"Stok eksiye düştü","")))</f>
        <v/>
      </c>
    </row>
    <row r="1079" customFormat="false" ht="15" hidden="false" customHeight="false" outlineLevel="0" collapsed="false">
      <c r="A1079" s="12"/>
      <c r="B1079" s="13"/>
      <c r="C1079" s="14"/>
      <c r="D1079" s="15"/>
      <c r="E1079" s="14"/>
      <c r="F1079" s="16" t="str">
        <f aca="false">IF(OR(C1079="",D1079=""),"",IF(OR(A1079="",B1079=""),"Tarih ya da tür eksik",IF(AND(B1079="Çıkış",IFERROR(INDEX(Ürünler!$H$5:$H$304,MATCH(C1079,Ürünler!$A$5:$A$304,0)),0)&lt;0),"Stok eksiye düştü","")))</f>
        <v/>
      </c>
    </row>
    <row r="1080" customFormat="false" ht="15" hidden="false" customHeight="false" outlineLevel="0" collapsed="false">
      <c r="A1080" s="12"/>
      <c r="B1080" s="13"/>
      <c r="C1080" s="14"/>
      <c r="D1080" s="15"/>
      <c r="E1080" s="14"/>
      <c r="F1080" s="16" t="str">
        <f aca="false">IF(OR(C1080="",D1080=""),"",IF(OR(A1080="",B1080=""),"Tarih ya da tür eksik",IF(AND(B1080="Çıkış",IFERROR(INDEX(Ürünler!$H$5:$H$304,MATCH(C1080,Ürünler!$A$5:$A$304,0)),0)&lt;0),"Stok eksiye düştü","")))</f>
        <v/>
      </c>
    </row>
    <row r="1081" customFormat="false" ht="15" hidden="false" customHeight="false" outlineLevel="0" collapsed="false">
      <c r="A1081" s="12"/>
      <c r="B1081" s="13"/>
      <c r="C1081" s="14"/>
      <c r="D1081" s="15"/>
      <c r="E1081" s="14"/>
      <c r="F1081" s="16" t="str">
        <f aca="false">IF(OR(C1081="",D1081=""),"",IF(OR(A1081="",B1081=""),"Tarih ya da tür eksik",IF(AND(B1081="Çıkış",IFERROR(INDEX(Ürünler!$H$5:$H$304,MATCH(C1081,Ürünler!$A$5:$A$304,0)),0)&lt;0),"Stok eksiye düştü","")))</f>
        <v/>
      </c>
    </row>
    <row r="1082" customFormat="false" ht="15" hidden="false" customHeight="false" outlineLevel="0" collapsed="false">
      <c r="A1082" s="12"/>
      <c r="B1082" s="13"/>
      <c r="C1082" s="14"/>
      <c r="D1082" s="15"/>
      <c r="E1082" s="14"/>
      <c r="F1082" s="16" t="str">
        <f aca="false">IF(OR(C1082="",D1082=""),"",IF(OR(A1082="",B1082=""),"Tarih ya da tür eksik",IF(AND(B1082="Çıkış",IFERROR(INDEX(Ürünler!$H$5:$H$304,MATCH(C1082,Ürünler!$A$5:$A$304,0)),0)&lt;0),"Stok eksiye düştü","")))</f>
        <v/>
      </c>
    </row>
    <row r="1083" customFormat="false" ht="15" hidden="false" customHeight="false" outlineLevel="0" collapsed="false">
      <c r="A1083" s="12"/>
      <c r="B1083" s="13"/>
      <c r="C1083" s="14"/>
      <c r="D1083" s="15"/>
      <c r="E1083" s="14"/>
      <c r="F1083" s="16" t="str">
        <f aca="false">IF(OR(C1083="",D1083=""),"",IF(OR(A1083="",B1083=""),"Tarih ya da tür eksik",IF(AND(B1083="Çıkış",IFERROR(INDEX(Ürünler!$H$5:$H$304,MATCH(C1083,Ürünler!$A$5:$A$304,0)),0)&lt;0),"Stok eksiye düştü","")))</f>
        <v/>
      </c>
    </row>
    <row r="1084" customFormat="false" ht="15" hidden="false" customHeight="false" outlineLevel="0" collapsed="false">
      <c r="A1084" s="12"/>
      <c r="B1084" s="13"/>
      <c r="C1084" s="14"/>
      <c r="D1084" s="15"/>
      <c r="E1084" s="14"/>
      <c r="F1084" s="16" t="str">
        <f aca="false">IF(OR(C1084="",D1084=""),"",IF(OR(A1084="",B1084=""),"Tarih ya da tür eksik",IF(AND(B1084="Çıkış",IFERROR(INDEX(Ürünler!$H$5:$H$304,MATCH(C1084,Ürünler!$A$5:$A$304,0)),0)&lt;0),"Stok eksiye düştü","")))</f>
        <v/>
      </c>
    </row>
    <row r="1085" customFormat="false" ht="15" hidden="false" customHeight="false" outlineLevel="0" collapsed="false">
      <c r="A1085" s="12"/>
      <c r="B1085" s="13"/>
      <c r="C1085" s="14"/>
      <c r="D1085" s="15"/>
      <c r="E1085" s="14"/>
      <c r="F1085" s="16" t="str">
        <f aca="false">IF(OR(C1085="",D1085=""),"",IF(OR(A1085="",B1085=""),"Tarih ya da tür eksik",IF(AND(B1085="Çıkış",IFERROR(INDEX(Ürünler!$H$5:$H$304,MATCH(C1085,Ürünler!$A$5:$A$304,0)),0)&lt;0),"Stok eksiye düştü","")))</f>
        <v/>
      </c>
    </row>
    <row r="1086" customFormat="false" ht="15" hidden="false" customHeight="false" outlineLevel="0" collapsed="false">
      <c r="A1086" s="12"/>
      <c r="B1086" s="13"/>
      <c r="C1086" s="14"/>
      <c r="D1086" s="15"/>
      <c r="E1086" s="14"/>
      <c r="F1086" s="16" t="str">
        <f aca="false">IF(OR(C1086="",D1086=""),"",IF(OR(A1086="",B1086=""),"Tarih ya da tür eksik",IF(AND(B1086="Çıkış",IFERROR(INDEX(Ürünler!$H$5:$H$304,MATCH(C1086,Ürünler!$A$5:$A$304,0)),0)&lt;0),"Stok eksiye düştü","")))</f>
        <v/>
      </c>
    </row>
    <row r="1087" customFormat="false" ht="15" hidden="false" customHeight="false" outlineLevel="0" collapsed="false">
      <c r="A1087" s="12"/>
      <c r="B1087" s="13"/>
      <c r="C1087" s="14"/>
      <c r="D1087" s="15"/>
      <c r="E1087" s="14"/>
      <c r="F1087" s="16" t="str">
        <f aca="false">IF(OR(C1087="",D1087=""),"",IF(OR(A1087="",B1087=""),"Tarih ya da tür eksik",IF(AND(B1087="Çıkış",IFERROR(INDEX(Ürünler!$H$5:$H$304,MATCH(C1087,Ürünler!$A$5:$A$304,0)),0)&lt;0),"Stok eksiye düştü","")))</f>
        <v/>
      </c>
    </row>
    <row r="1088" customFormat="false" ht="15" hidden="false" customHeight="false" outlineLevel="0" collapsed="false">
      <c r="A1088" s="12"/>
      <c r="B1088" s="13"/>
      <c r="C1088" s="14"/>
      <c r="D1088" s="15"/>
      <c r="E1088" s="14"/>
      <c r="F1088" s="16" t="str">
        <f aca="false">IF(OR(C1088="",D1088=""),"",IF(OR(A1088="",B1088=""),"Tarih ya da tür eksik",IF(AND(B1088="Çıkış",IFERROR(INDEX(Ürünler!$H$5:$H$304,MATCH(C1088,Ürünler!$A$5:$A$304,0)),0)&lt;0),"Stok eksiye düştü","")))</f>
        <v/>
      </c>
    </row>
    <row r="1089" customFormat="false" ht="15" hidden="false" customHeight="false" outlineLevel="0" collapsed="false">
      <c r="A1089" s="12"/>
      <c r="B1089" s="13"/>
      <c r="C1089" s="14"/>
      <c r="D1089" s="15"/>
      <c r="E1089" s="14"/>
      <c r="F1089" s="16" t="str">
        <f aca="false">IF(OR(C1089="",D1089=""),"",IF(OR(A1089="",B1089=""),"Tarih ya da tür eksik",IF(AND(B1089="Çıkış",IFERROR(INDEX(Ürünler!$H$5:$H$304,MATCH(C1089,Ürünler!$A$5:$A$304,0)),0)&lt;0),"Stok eksiye düştü","")))</f>
        <v/>
      </c>
    </row>
    <row r="1090" customFormat="false" ht="15" hidden="false" customHeight="false" outlineLevel="0" collapsed="false">
      <c r="A1090" s="12"/>
      <c r="B1090" s="13"/>
      <c r="C1090" s="14"/>
      <c r="D1090" s="15"/>
      <c r="E1090" s="14"/>
      <c r="F1090" s="16" t="str">
        <f aca="false">IF(OR(C1090="",D1090=""),"",IF(OR(A1090="",B1090=""),"Tarih ya da tür eksik",IF(AND(B1090="Çıkış",IFERROR(INDEX(Ürünler!$H$5:$H$304,MATCH(C1090,Ürünler!$A$5:$A$304,0)),0)&lt;0),"Stok eksiye düştü","")))</f>
        <v/>
      </c>
    </row>
    <row r="1091" customFormat="false" ht="15" hidden="false" customHeight="false" outlineLevel="0" collapsed="false">
      <c r="A1091" s="12"/>
      <c r="B1091" s="13"/>
      <c r="C1091" s="14"/>
      <c r="D1091" s="15"/>
      <c r="E1091" s="14"/>
      <c r="F1091" s="16" t="str">
        <f aca="false">IF(OR(C1091="",D1091=""),"",IF(OR(A1091="",B1091=""),"Tarih ya da tür eksik",IF(AND(B1091="Çıkış",IFERROR(INDEX(Ürünler!$H$5:$H$304,MATCH(C1091,Ürünler!$A$5:$A$304,0)),0)&lt;0),"Stok eksiye düştü","")))</f>
        <v/>
      </c>
    </row>
    <row r="1092" customFormat="false" ht="15" hidden="false" customHeight="false" outlineLevel="0" collapsed="false">
      <c r="A1092" s="12"/>
      <c r="B1092" s="13"/>
      <c r="C1092" s="14"/>
      <c r="D1092" s="15"/>
      <c r="E1092" s="14"/>
      <c r="F1092" s="16" t="str">
        <f aca="false">IF(OR(C1092="",D1092=""),"",IF(OR(A1092="",B1092=""),"Tarih ya da tür eksik",IF(AND(B1092="Çıkış",IFERROR(INDEX(Ürünler!$H$5:$H$304,MATCH(C1092,Ürünler!$A$5:$A$304,0)),0)&lt;0),"Stok eksiye düştü","")))</f>
        <v/>
      </c>
    </row>
    <row r="1093" customFormat="false" ht="15" hidden="false" customHeight="false" outlineLevel="0" collapsed="false">
      <c r="A1093" s="12"/>
      <c r="B1093" s="13"/>
      <c r="C1093" s="14"/>
      <c r="D1093" s="15"/>
      <c r="E1093" s="14"/>
      <c r="F1093" s="16" t="str">
        <f aca="false">IF(OR(C1093="",D1093=""),"",IF(OR(A1093="",B1093=""),"Tarih ya da tür eksik",IF(AND(B1093="Çıkış",IFERROR(INDEX(Ürünler!$H$5:$H$304,MATCH(C1093,Ürünler!$A$5:$A$304,0)),0)&lt;0),"Stok eksiye düştü","")))</f>
        <v/>
      </c>
    </row>
    <row r="1094" customFormat="false" ht="15" hidden="false" customHeight="false" outlineLevel="0" collapsed="false">
      <c r="A1094" s="12"/>
      <c r="B1094" s="13"/>
      <c r="C1094" s="14"/>
      <c r="D1094" s="15"/>
      <c r="E1094" s="14"/>
      <c r="F1094" s="16" t="str">
        <f aca="false">IF(OR(C1094="",D1094=""),"",IF(OR(A1094="",B1094=""),"Tarih ya da tür eksik",IF(AND(B1094="Çıkış",IFERROR(INDEX(Ürünler!$H$5:$H$304,MATCH(C1094,Ürünler!$A$5:$A$304,0)),0)&lt;0),"Stok eksiye düştü","")))</f>
        <v/>
      </c>
    </row>
    <row r="1095" customFormat="false" ht="15" hidden="false" customHeight="false" outlineLevel="0" collapsed="false">
      <c r="A1095" s="12"/>
      <c r="B1095" s="13"/>
      <c r="C1095" s="14"/>
      <c r="D1095" s="15"/>
      <c r="E1095" s="14"/>
      <c r="F1095" s="16" t="str">
        <f aca="false">IF(OR(C1095="",D1095=""),"",IF(OR(A1095="",B1095=""),"Tarih ya da tür eksik",IF(AND(B1095="Çıkış",IFERROR(INDEX(Ürünler!$H$5:$H$304,MATCH(C1095,Ürünler!$A$5:$A$304,0)),0)&lt;0),"Stok eksiye düştü","")))</f>
        <v/>
      </c>
    </row>
    <row r="1096" customFormat="false" ht="15" hidden="false" customHeight="false" outlineLevel="0" collapsed="false">
      <c r="A1096" s="12"/>
      <c r="B1096" s="13"/>
      <c r="C1096" s="14"/>
      <c r="D1096" s="15"/>
      <c r="E1096" s="14"/>
      <c r="F1096" s="16" t="str">
        <f aca="false">IF(OR(C1096="",D1096=""),"",IF(OR(A1096="",B1096=""),"Tarih ya da tür eksik",IF(AND(B1096="Çıkış",IFERROR(INDEX(Ürünler!$H$5:$H$304,MATCH(C1096,Ürünler!$A$5:$A$304,0)),0)&lt;0),"Stok eksiye düştü","")))</f>
        <v/>
      </c>
    </row>
    <row r="1097" customFormat="false" ht="15" hidden="false" customHeight="false" outlineLevel="0" collapsed="false">
      <c r="A1097" s="12"/>
      <c r="B1097" s="13"/>
      <c r="C1097" s="14"/>
      <c r="D1097" s="15"/>
      <c r="E1097" s="14"/>
      <c r="F1097" s="16" t="str">
        <f aca="false">IF(OR(C1097="",D1097=""),"",IF(OR(A1097="",B1097=""),"Tarih ya da tür eksik",IF(AND(B1097="Çıkış",IFERROR(INDEX(Ürünler!$H$5:$H$304,MATCH(C1097,Ürünler!$A$5:$A$304,0)),0)&lt;0),"Stok eksiye düştü","")))</f>
        <v/>
      </c>
    </row>
    <row r="1098" customFormat="false" ht="15" hidden="false" customHeight="false" outlineLevel="0" collapsed="false">
      <c r="A1098" s="12"/>
      <c r="B1098" s="13"/>
      <c r="C1098" s="14"/>
      <c r="D1098" s="15"/>
      <c r="E1098" s="14"/>
      <c r="F1098" s="16" t="str">
        <f aca="false">IF(OR(C1098="",D1098=""),"",IF(OR(A1098="",B1098=""),"Tarih ya da tür eksik",IF(AND(B1098="Çıkış",IFERROR(INDEX(Ürünler!$H$5:$H$304,MATCH(C1098,Ürünler!$A$5:$A$304,0)),0)&lt;0),"Stok eksiye düştü","")))</f>
        <v/>
      </c>
    </row>
    <row r="1099" customFormat="false" ht="15" hidden="false" customHeight="false" outlineLevel="0" collapsed="false">
      <c r="A1099" s="12"/>
      <c r="B1099" s="13"/>
      <c r="C1099" s="14"/>
      <c r="D1099" s="15"/>
      <c r="E1099" s="14"/>
      <c r="F1099" s="16" t="str">
        <f aca="false">IF(OR(C1099="",D1099=""),"",IF(OR(A1099="",B1099=""),"Tarih ya da tür eksik",IF(AND(B1099="Çıkış",IFERROR(INDEX(Ürünler!$H$5:$H$304,MATCH(C1099,Ürünler!$A$5:$A$304,0)),0)&lt;0),"Stok eksiye düştü","")))</f>
        <v/>
      </c>
    </row>
    <row r="1100" customFormat="false" ht="15" hidden="false" customHeight="false" outlineLevel="0" collapsed="false">
      <c r="A1100" s="12"/>
      <c r="B1100" s="13"/>
      <c r="C1100" s="14"/>
      <c r="D1100" s="15"/>
      <c r="E1100" s="14"/>
      <c r="F1100" s="16" t="str">
        <f aca="false">IF(OR(C1100="",D1100=""),"",IF(OR(A1100="",B1100=""),"Tarih ya da tür eksik",IF(AND(B1100="Çıkış",IFERROR(INDEX(Ürünler!$H$5:$H$304,MATCH(C1100,Ürünler!$A$5:$A$304,0)),0)&lt;0),"Stok eksiye düştü","")))</f>
        <v/>
      </c>
    </row>
    <row r="1101" customFormat="false" ht="15" hidden="false" customHeight="false" outlineLevel="0" collapsed="false">
      <c r="A1101" s="12"/>
      <c r="B1101" s="13"/>
      <c r="C1101" s="14"/>
      <c r="D1101" s="15"/>
      <c r="E1101" s="14"/>
      <c r="F1101" s="16" t="str">
        <f aca="false">IF(OR(C1101="",D1101=""),"",IF(OR(A1101="",B1101=""),"Tarih ya da tür eksik",IF(AND(B1101="Çıkış",IFERROR(INDEX(Ürünler!$H$5:$H$304,MATCH(C1101,Ürünler!$A$5:$A$304,0)),0)&lt;0),"Stok eksiye düştü","")))</f>
        <v/>
      </c>
    </row>
    <row r="1102" customFormat="false" ht="15" hidden="false" customHeight="false" outlineLevel="0" collapsed="false">
      <c r="A1102" s="12"/>
      <c r="B1102" s="13"/>
      <c r="C1102" s="14"/>
      <c r="D1102" s="15"/>
      <c r="E1102" s="14"/>
      <c r="F1102" s="16" t="str">
        <f aca="false">IF(OR(C1102="",D1102=""),"",IF(OR(A1102="",B1102=""),"Tarih ya da tür eksik",IF(AND(B1102="Çıkış",IFERROR(INDEX(Ürünler!$H$5:$H$304,MATCH(C1102,Ürünler!$A$5:$A$304,0)),0)&lt;0),"Stok eksiye düştü","")))</f>
        <v/>
      </c>
    </row>
    <row r="1103" customFormat="false" ht="15" hidden="false" customHeight="false" outlineLevel="0" collapsed="false">
      <c r="A1103" s="12"/>
      <c r="B1103" s="13"/>
      <c r="C1103" s="14"/>
      <c r="D1103" s="15"/>
      <c r="E1103" s="14"/>
      <c r="F1103" s="16" t="str">
        <f aca="false">IF(OR(C1103="",D1103=""),"",IF(OR(A1103="",B1103=""),"Tarih ya da tür eksik",IF(AND(B1103="Çıkış",IFERROR(INDEX(Ürünler!$H$5:$H$304,MATCH(C1103,Ürünler!$A$5:$A$304,0)),0)&lt;0),"Stok eksiye düştü","")))</f>
        <v/>
      </c>
    </row>
    <row r="1104" customFormat="false" ht="15" hidden="false" customHeight="false" outlineLevel="0" collapsed="false">
      <c r="A1104" s="12"/>
      <c r="B1104" s="13"/>
      <c r="C1104" s="14"/>
      <c r="D1104" s="15"/>
      <c r="E1104" s="14"/>
      <c r="F1104" s="16" t="str">
        <f aca="false">IF(OR(C1104="",D1104=""),"",IF(OR(A1104="",B1104=""),"Tarih ya da tür eksik",IF(AND(B1104="Çıkış",IFERROR(INDEX(Ürünler!$H$5:$H$304,MATCH(C1104,Ürünler!$A$5:$A$304,0)),0)&lt;0),"Stok eksiye düştü","")))</f>
        <v/>
      </c>
    </row>
    <row r="1105" customFormat="false" ht="15" hidden="false" customHeight="false" outlineLevel="0" collapsed="false">
      <c r="A1105" s="12"/>
      <c r="B1105" s="13"/>
      <c r="C1105" s="14"/>
      <c r="D1105" s="15"/>
      <c r="E1105" s="14"/>
      <c r="F1105" s="16" t="str">
        <f aca="false">IF(OR(C1105="",D1105=""),"",IF(OR(A1105="",B1105=""),"Tarih ya da tür eksik",IF(AND(B1105="Çıkış",IFERROR(INDEX(Ürünler!$H$5:$H$304,MATCH(C1105,Ürünler!$A$5:$A$304,0)),0)&lt;0),"Stok eksiye düştü","")))</f>
        <v/>
      </c>
    </row>
    <row r="1106" customFormat="false" ht="15" hidden="false" customHeight="false" outlineLevel="0" collapsed="false">
      <c r="A1106" s="12"/>
      <c r="B1106" s="13"/>
      <c r="C1106" s="14"/>
      <c r="D1106" s="15"/>
      <c r="E1106" s="14"/>
      <c r="F1106" s="16" t="str">
        <f aca="false">IF(OR(C1106="",D1106=""),"",IF(OR(A1106="",B1106=""),"Tarih ya da tür eksik",IF(AND(B1106="Çıkış",IFERROR(INDEX(Ürünler!$H$5:$H$304,MATCH(C1106,Ürünler!$A$5:$A$304,0)),0)&lt;0),"Stok eksiye düştü","")))</f>
        <v/>
      </c>
    </row>
    <row r="1107" customFormat="false" ht="15" hidden="false" customHeight="false" outlineLevel="0" collapsed="false">
      <c r="A1107" s="12"/>
      <c r="B1107" s="13"/>
      <c r="C1107" s="14"/>
      <c r="D1107" s="15"/>
      <c r="E1107" s="14"/>
      <c r="F1107" s="16" t="str">
        <f aca="false">IF(OR(C1107="",D1107=""),"",IF(OR(A1107="",B1107=""),"Tarih ya da tür eksik",IF(AND(B1107="Çıkış",IFERROR(INDEX(Ürünler!$H$5:$H$304,MATCH(C1107,Ürünler!$A$5:$A$304,0)),0)&lt;0),"Stok eksiye düştü","")))</f>
        <v/>
      </c>
    </row>
    <row r="1108" customFormat="false" ht="15" hidden="false" customHeight="false" outlineLevel="0" collapsed="false">
      <c r="A1108" s="12"/>
      <c r="B1108" s="13"/>
      <c r="C1108" s="14"/>
      <c r="D1108" s="15"/>
      <c r="E1108" s="14"/>
      <c r="F1108" s="16" t="str">
        <f aca="false">IF(OR(C1108="",D1108=""),"",IF(OR(A1108="",B1108=""),"Tarih ya da tür eksik",IF(AND(B1108="Çıkış",IFERROR(INDEX(Ürünler!$H$5:$H$304,MATCH(C1108,Ürünler!$A$5:$A$304,0)),0)&lt;0),"Stok eksiye düştü","")))</f>
        <v/>
      </c>
    </row>
    <row r="1109" customFormat="false" ht="15" hidden="false" customHeight="false" outlineLevel="0" collapsed="false">
      <c r="A1109" s="12"/>
      <c r="B1109" s="13"/>
      <c r="C1109" s="14"/>
      <c r="D1109" s="15"/>
      <c r="E1109" s="14"/>
      <c r="F1109" s="16" t="str">
        <f aca="false">IF(OR(C1109="",D1109=""),"",IF(OR(A1109="",B1109=""),"Tarih ya da tür eksik",IF(AND(B1109="Çıkış",IFERROR(INDEX(Ürünler!$H$5:$H$304,MATCH(C1109,Ürünler!$A$5:$A$304,0)),0)&lt;0),"Stok eksiye düştü","")))</f>
        <v/>
      </c>
    </row>
    <row r="1110" customFormat="false" ht="15" hidden="false" customHeight="false" outlineLevel="0" collapsed="false">
      <c r="A1110" s="12"/>
      <c r="B1110" s="13"/>
      <c r="C1110" s="14"/>
      <c r="D1110" s="15"/>
      <c r="E1110" s="14"/>
      <c r="F1110" s="16" t="str">
        <f aca="false">IF(OR(C1110="",D1110=""),"",IF(OR(A1110="",B1110=""),"Tarih ya da tür eksik",IF(AND(B1110="Çıkış",IFERROR(INDEX(Ürünler!$H$5:$H$304,MATCH(C1110,Ürünler!$A$5:$A$304,0)),0)&lt;0),"Stok eksiye düştü","")))</f>
        <v/>
      </c>
    </row>
    <row r="1111" customFormat="false" ht="15" hidden="false" customHeight="false" outlineLevel="0" collapsed="false">
      <c r="A1111" s="12"/>
      <c r="B1111" s="13"/>
      <c r="C1111" s="14"/>
      <c r="D1111" s="15"/>
      <c r="E1111" s="14"/>
      <c r="F1111" s="16" t="str">
        <f aca="false">IF(OR(C1111="",D1111=""),"",IF(OR(A1111="",B1111=""),"Tarih ya da tür eksik",IF(AND(B1111="Çıkış",IFERROR(INDEX(Ürünler!$H$5:$H$304,MATCH(C1111,Ürünler!$A$5:$A$304,0)),0)&lt;0),"Stok eksiye düştü","")))</f>
        <v/>
      </c>
    </row>
    <row r="1112" customFormat="false" ht="15" hidden="false" customHeight="false" outlineLevel="0" collapsed="false">
      <c r="A1112" s="12"/>
      <c r="B1112" s="13"/>
      <c r="C1112" s="14"/>
      <c r="D1112" s="15"/>
      <c r="E1112" s="14"/>
      <c r="F1112" s="16" t="str">
        <f aca="false">IF(OR(C1112="",D1112=""),"",IF(OR(A1112="",B1112=""),"Tarih ya da tür eksik",IF(AND(B1112="Çıkış",IFERROR(INDEX(Ürünler!$H$5:$H$304,MATCH(C1112,Ürünler!$A$5:$A$304,0)),0)&lt;0),"Stok eksiye düştü","")))</f>
        <v/>
      </c>
    </row>
    <row r="1113" customFormat="false" ht="15" hidden="false" customHeight="false" outlineLevel="0" collapsed="false">
      <c r="A1113" s="12"/>
      <c r="B1113" s="13"/>
      <c r="C1113" s="14"/>
      <c r="D1113" s="15"/>
      <c r="E1113" s="14"/>
      <c r="F1113" s="16" t="str">
        <f aca="false">IF(OR(C1113="",D1113=""),"",IF(OR(A1113="",B1113=""),"Tarih ya da tür eksik",IF(AND(B1113="Çıkış",IFERROR(INDEX(Ürünler!$H$5:$H$304,MATCH(C1113,Ürünler!$A$5:$A$304,0)),0)&lt;0),"Stok eksiye düştü","")))</f>
        <v/>
      </c>
    </row>
    <row r="1114" customFormat="false" ht="15" hidden="false" customHeight="false" outlineLevel="0" collapsed="false">
      <c r="A1114" s="12"/>
      <c r="B1114" s="13"/>
      <c r="C1114" s="14"/>
      <c r="D1114" s="15"/>
      <c r="E1114" s="14"/>
      <c r="F1114" s="16" t="str">
        <f aca="false">IF(OR(C1114="",D1114=""),"",IF(OR(A1114="",B1114=""),"Tarih ya da tür eksik",IF(AND(B1114="Çıkış",IFERROR(INDEX(Ürünler!$H$5:$H$304,MATCH(C1114,Ürünler!$A$5:$A$304,0)),0)&lt;0),"Stok eksiye düştü","")))</f>
        <v/>
      </c>
    </row>
    <row r="1115" customFormat="false" ht="15" hidden="false" customHeight="false" outlineLevel="0" collapsed="false">
      <c r="A1115" s="12"/>
      <c r="B1115" s="13"/>
      <c r="C1115" s="14"/>
      <c r="D1115" s="15"/>
      <c r="E1115" s="14"/>
      <c r="F1115" s="16" t="str">
        <f aca="false">IF(OR(C1115="",D1115=""),"",IF(OR(A1115="",B1115=""),"Tarih ya da tür eksik",IF(AND(B1115="Çıkış",IFERROR(INDEX(Ürünler!$H$5:$H$304,MATCH(C1115,Ürünler!$A$5:$A$304,0)),0)&lt;0),"Stok eksiye düştü","")))</f>
        <v/>
      </c>
    </row>
    <row r="1116" customFormat="false" ht="15" hidden="false" customHeight="false" outlineLevel="0" collapsed="false">
      <c r="A1116" s="12"/>
      <c r="B1116" s="13"/>
      <c r="C1116" s="14"/>
      <c r="D1116" s="15"/>
      <c r="E1116" s="14"/>
      <c r="F1116" s="16" t="str">
        <f aca="false">IF(OR(C1116="",D1116=""),"",IF(OR(A1116="",B1116=""),"Tarih ya da tür eksik",IF(AND(B1116="Çıkış",IFERROR(INDEX(Ürünler!$H$5:$H$304,MATCH(C1116,Ürünler!$A$5:$A$304,0)),0)&lt;0),"Stok eksiye düştü","")))</f>
        <v/>
      </c>
    </row>
    <row r="1117" customFormat="false" ht="15" hidden="false" customHeight="false" outlineLevel="0" collapsed="false">
      <c r="A1117" s="12"/>
      <c r="B1117" s="13"/>
      <c r="C1117" s="14"/>
      <c r="D1117" s="15"/>
      <c r="E1117" s="14"/>
      <c r="F1117" s="16" t="str">
        <f aca="false">IF(OR(C1117="",D1117=""),"",IF(OR(A1117="",B1117=""),"Tarih ya da tür eksik",IF(AND(B1117="Çıkış",IFERROR(INDEX(Ürünler!$H$5:$H$304,MATCH(C1117,Ürünler!$A$5:$A$304,0)),0)&lt;0),"Stok eksiye düştü","")))</f>
        <v/>
      </c>
    </row>
    <row r="1118" customFormat="false" ht="15" hidden="false" customHeight="false" outlineLevel="0" collapsed="false">
      <c r="A1118" s="12"/>
      <c r="B1118" s="13"/>
      <c r="C1118" s="14"/>
      <c r="D1118" s="15"/>
      <c r="E1118" s="14"/>
      <c r="F1118" s="16" t="str">
        <f aca="false">IF(OR(C1118="",D1118=""),"",IF(OR(A1118="",B1118=""),"Tarih ya da tür eksik",IF(AND(B1118="Çıkış",IFERROR(INDEX(Ürünler!$H$5:$H$304,MATCH(C1118,Ürünler!$A$5:$A$304,0)),0)&lt;0),"Stok eksiye düştü","")))</f>
        <v/>
      </c>
    </row>
    <row r="1119" customFormat="false" ht="15" hidden="false" customHeight="false" outlineLevel="0" collapsed="false">
      <c r="A1119" s="12"/>
      <c r="B1119" s="13"/>
      <c r="C1119" s="14"/>
      <c r="D1119" s="15"/>
      <c r="E1119" s="14"/>
      <c r="F1119" s="16" t="str">
        <f aca="false">IF(OR(C1119="",D1119=""),"",IF(OR(A1119="",B1119=""),"Tarih ya da tür eksik",IF(AND(B1119="Çıkış",IFERROR(INDEX(Ürünler!$H$5:$H$304,MATCH(C1119,Ürünler!$A$5:$A$304,0)),0)&lt;0),"Stok eksiye düştü","")))</f>
        <v/>
      </c>
    </row>
    <row r="1120" customFormat="false" ht="15" hidden="false" customHeight="false" outlineLevel="0" collapsed="false">
      <c r="A1120" s="12"/>
      <c r="B1120" s="13"/>
      <c r="C1120" s="14"/>
      <c r="D1120" s="15"/>
      <c r="E1120" s="14"/>
      <c r="F1120" s="16" t="str">
        <f aca="false">IF(OR(C1120="",D1120=""),"",IF(OR(A1120="",B1120=""),"Tarih ya da tür eksik",IF(AND(B1120="Çıkış",IFERROR(INDEX(Ürünler!$H$5:$H$304,MATCH(C1120,Ürünler!$A$5:$A$304,0)),0)&lt;0),"Stok eksiye düştü","")))</f>
        <v/>
      </c>
    </row>
    <row r="1121" customFormat="false" ht="15" hidden="false" customHeight="false" outlineLevel="0" collapsed="false">
      <c r="A1121" s="12"/>
      <c r="B1121" s="13"/>
      <c r="C1121" s="14"/>
      <c r="D1121" s="15"/>
      <c r="E1121" s="14"/>
      <c r="F1121" s="16" t="str">
        <f aca="false">IF(OR(C1121="",D1121=""),"",IF(OR(A1121="",B1121=""),"Tarih ya da tür eksik",IF(AND(B1121="Çıkış",IFERROR(INDEX(Ürünler!$H$5:$H$304,MATCH(C1121,Ürünler!$A$5:$A$304,0)),0)&lt;0),"Stok eksiye düştü","")))</f>
        <v/>
      </c>
    </row>
    <row r="1122" customFormat="false" ht="15" hidden="false" customHeight="false" outlineLevel="0" collapsed="false">
      <c r="A1122" s="12"/>
      <c r="B1122" s="13"/>
      <c r="C1122" s="14"/>
      <c r="D1122" s="15"/>
      <c r="E1122" s="14"/>
      <c r="F1122" s="16" t="str">
        <f aca="false">IF(OR(C1122="",D1122=""),"",IF(OR(A1122="",B1122=""),"Tarih ya da tür eksik",IF(AND(B1122="Çıkış",IFERROR(INDEX(Ürünler!$H$5:$H$304,MATCH(C1122,Ürünler!$A$5:$A$304,0)),0)&lt;0),"Stok eksiye düştü","")))</f>
        <v/>
      </c>
    </row>
    <row r="1123" customFormat="false" ht="15" hidden="false" customHeight="false" outlineLevel="0" collapsed="false">
      <c r="A1123" s="12"/>
      <c r="B1123" s="13"/>
      <c r="C1123" s="14"/>
      <c r="D1123" s="15"/>
      <c r="E1123" s="14"/>
      <c r="F1123" s="16" t="str">
        <f aca="false">IF(OR(C1123="",D1123=""),"",IF(OR(A1123="",B1123=""),"Tarih ya da tür eksik",IF(AND(B1123="Çıkış",IFERROR(INDEX(Ürünler!$H$5:$H$304,MATCH(C1123,Ürünler!$A$5:$A$304,0)),0)&lt;0),"Stok eksiye düştü","")))</f>
        <v/>
      </c>
    </row>
    <row r="1124" customFormat="false" ht="15" hidden="false" customHeight="false" outlineLevel="0" collapsed="false">
      <c r="A1124" s="12"/>
      <c r="B1124" s="13"/>
      <c r="C1124" s="14"/>
      <c r="D1124" s="15"/>
      <c r="E1124" s="14"/>
      <c r="F1124" s="16" t="str">
        <f aca="false">IF(OR(C1124="",D1124=""),"",IF(OR(A1124="",B1124=""),"Tarih ya da tür eksik",IF(AND(B1124="Çıkış",IFERROR(INDEX(Ürünler!$H$5:$H$304,MATCH(C1124,Ürünler!$A$5:$A$304,0)),0)&lt;0),"Stok eksiye düştü","")))</f>
        <v/>
      </c>
    </row>
    <row r="1125" customFormat="false" ht="15" hidden="false" customHeight="false" outlineLevel="0" collapsed="false">
      <c r="A1125" s="12"/>
      <c r="B1125" s="13"/>
      <c r="C1125" s="14"/>
      <c r="D1125" s="15"/>
      <c r="E1125" s="14"/>
      <c r="F1125" s="16" t="str">
        <f aca="false">IF(OR(C1125="",D1125=""),"",IF(OR(A1125="",B1125=""),"Tarih ya da tür eksik",IF(AND(B1125="Çıkış",IFERROR(INDEX(Ürünler!$H$5:$H$304,MATCH(C1125,Ürünler!$A$5:$A$304,0)),0)&lt;0),"Stok eksiye düştü","")))</f>
        <v/>
      </c>
    </row>
    <row r="1126" customFormat="false" ht="15" hidden="false" customHeight="false" outlineLevel="0" collapsed="false">
      <c r="A1126" s="12"/>
      <c r="B1126" s="13"/>
      <c r="C1126" s="14"/>
      <c r="D1126" s="15"/>
      <c r="E1126" s="14"/>
      <c r="F1126" s="16" t="str">
        <f aca="false">IF(OR(C1126="",D1126=""),"",IF(OR(A1126="",B1126=""),"Tarih ya da tür eksik",IF(AND(B1126="Çıkış",IFERROR(INDEX(Ürünler!$H$5:$H$304,MATCH(C1126,Ürünler!$A$5:$A$304,0)),0)&lt;0),"Stok eksiye düştü","")))</f>
        <v/>
      </c>
    </row>
    <row r="1127" customFormat="false" ht="15" hidden="false" customHeight="false" outlineLevel="0" collapsed="false">
      <c r="A1127" s="12"/>
      <c r="B1127" s="13"/>
      <c r="C1127" s="14"/>
      <c r="D1127" s="15"/>
      <c r="E1127" s="14"/>
      <c r="F1127" s="16" t="str">
        <f aca="false">IF(OR(C1127="",D1127=""),"",IF(OR(A1127="",B1127=""),"Tarih ya da tür eksik",IF(AND(B1127="Çıkış",IFERROR(INDEX(Ürünler!$H$5:$H$304,MATCH(C1127,Ürünler!$A$5:$A$304,0)),0)&lt;0),"Stok eksiye düştü","")))</f>
        <v/>
      </c>
    </row>
    <row r="1128" customFormat="false" ht="15" hidden="false" customHeight="false" outlineLevel="0" collapsed="false">
      <c r="A1128" s="12"/>
      <c r="B1128" s="13"/>
      <c r="C1128" s="14"/>
      <c r="D1128" s="15"/>
      <c r="E1128" s="14"/>
      <c r="F1128" s="16" t="str">
        <f aca="false">IF(OR(C1128="",D1128=""),"",IF(OR(A1128="",B1128=""),"Tarih ya da tür eksik",IF(AND(B1128="Çıkış",IFERROR(INDEX(Ürünler!$H$5:$H$304,MATCH(C1128,Ürünler!$A$5:$A$304,0)),0)&lt;0),"Stok eksiye düştü","")))</f>
        <v/>
      </c>
    </row>
    <row r="1129" customFormat="false" ht="15" hidden="false" customHeight="false" outlineLevel="0" collapsed="false">
      <c r="A1129" s="12"/>
      <c r="B1129" s="13"/>
      <c r="C1129" s="14"/>
      <c r="D1129" s="15"/>
      <c r="E1129" s="14"/>
      <c r="F1129" s="16" t="str">
        <f aca="false">IF(OR(C1129="",D1129=""),"",IF(OR(A1129="",B1129=""),"Tarih ya da tür eksik",IF(AND(B1129="Çıkış",IFERROR(INDEX(Ürünler!$H$5:$H$304,MATCH(C1129,Ürünler!$A$5:$A$304,0)),0)&lt;0),"Stok eksiye düştü","")))</f>
        <v/>
      </c>
    </row>
    <row r="1130" customFormat="false" ht="15" hidden="false" customHeight="false" outlineLevel="0" collapsed="false">
      <c r="A1130" s="12"/>
      <c r="B1130" s="13"/>
      <c r="C1130" s="14"/>
      <c r="D1130" s="15"/>
      <c r="E1130" s="14"/>
      <c r="F1130" s="16" t="str">
        <f aca="false">IF(OR(C1130="",D1130=""),"",IF(OR(A1130="",B1130=""),"Tarih ya da tür eksik",IF(AND(B1130="Çıkış",IFERROR(INDEX(Ürünler!$H$5:$H$304,MATCH(C1130,Ürünler!$A$5:$A$304,0)),0)&lt;0),"Stok eksiye düştü","")))</f>
        <v/>
      </c>
    </row>
    <row r="1131" customFormat="false" ht="15" hidden="false" customHeight="false" outlineLevel="0" collapsed="false">
      <c r="A1131" s="12"/>
      <c r="B1131" s="13"/>
      <c r="C1131" s="14"/>
      <c r="D1131" s="15"/>
      <c r="E1131" s="14"/>
      <c r="F1131" s="16" t="str">
        <f aca="false">IF(OR(C1131="",D1131=""),"",IF(OR(A1131="",B1131=""),"Tarih ya da tür eksik",IF(AND(B1131="Çıkış",IFERROR(INDEX(Ürünler!$H$5:$H$304,MATCH(C1131,Ürünler!$A$5:$A$304,0)),0)&lt;0),"Stok eksiye düştü","")))</f>
        <v/>
      </c>
    </row>
    <row r="1132" customFormat="false" ht="15" hidden="false" customHeight="false" outlineLevel="0" collapsed="false">
      <c r="A1132" s="12"/>
      <c r="B1132" s="13"/>
      <c r="C1132" s="14"/>
      <c r="D1132" s="15"/>
      <c r="E1132" s="14"/>
      <c r="F1132" s="16" t="str">
        <f aca="false">IF(OR(C1132="",D1132=""),"",IF(OR(A1132="",B1132=""),"Tarih ya da tür eksik",IF(AND(B1132="Çıkış",IFERROR(INDEX(Ürünler!$H$5:$H$304,MATCH(C1132,Ürünler!$A$5:$A$304,0)),0)&lt;0),"Stok eksiye düştü","")))</f>
        <v/>
      </c>
    </row>
    <row r="1133" customFormat="false" ht="15" hidden="false" customHeight="false" outlineLevel="0" collapsed="false">
      <c r="A1133" s="12"/>
      <c r="B1133" s="13"/>
      <c r="C1133" s="14"/>
      <c r="D1133" s="15"/>
      <c r="E1133" s="14"/>
      <c r="F1133" s="16" t="str">
        <f aca="false">IF(OR(C1133="",D1133=""),"",IF(OR(A1133="",B1133=""),"Tarih ya da tür eksik",IF(AND(B1133="Çıkış",IFERROR(INDEX(Ürünler!$H$5:$H$304,MATCH(C1133,Ürünler!$A$5:$A$304,0)),0)&lt;0),"Stok eksiye düştü","")))</f>
        <v/>
      </c>
    </row>
    <row r="1134" customFormat="false" ht="15" hidden="false" customHeight="false" outlineLevel="0" collapsed="false">
      <c r="A1134" s="12"/>
      <c r="B1134" s="13"/>
      <c r="C1134" s="14"/>
      <c r="D1134" s="15"/>
      <c r="E1134" s="14"/>
      <c r="F1134" s="16" t="str">
        <f aca="false">IF(OR(C1134="",D1134=""),"",IF(OR(A1134="",B1134=""),"Tarih ya da tür eksik",IF(AND(B1134="Çıkış",IFERROR(INDEX(Ürünler!$H$5:$H$304,MATCH(C1134,Ürünler!$A$5:$A$304,0)),0)&lt;0),"Stok eksiye düştü","")))</f>
        <v/>
      </c>
    </row>
    <row r="1135" customFormat="false" ht="15" hidden="false" customHeight="false" outlineLevel="0" collapsed="false">
      <c r="A1135" s="12"/>
      <c r="B1135" s="13"/>
      <c r="C1135" s="14"/>
      <c r="D1135" s="15"/>
      <c r="E1135" s="14"/>
      <c r="F1135" s="16" t="str">
        <f aca="false">IF(OR(C1135="",D1135=""),"",IF(OR(A1135="",B1135=""),"Tarih ya da tür eksik",IF(AND(B1135="Çıkış",IFERROR(INDEX(Ürünler!$H$5:$H$304,MATCH(C1135,Ürünler!$A$5:$A$304,0)),0)&lt;0),"Stok eksiye düştü","")))</f>
        <v/>
      </c>
    </row>
    <row r="1136" customFormat="false" ht="15" hidden="false" customHeight="false" outlineLevel="0" collapsed="false">
      <c r="A1136" s="12"/>
      <c r="B1136" s="13"/>
      <c r="C1136" s="14"/>
      <c r="D1136" s="15"/>
      <c r="E1136" s="14"/>
      <c r="F1136" s="16" t="str">
        <f aca="false">IF(OR(C1136="",D1136=""),"",IF(OR(A1136="",B1136=""),"Tarih ya da tür eksik",IF(AND(B1136="Çıkış",IFERROR(INDEX(Ürünler!$H$5:$H$304,MATCH(C1136,Ürünler!$A$5:$A$304,0)),0)&lt;0),"Stok eksiye düştü","")))</f>
        <v/>
      </c>
    </row>
    <row r="1137" customFormat="false" ht="15" hidden="false" customHeight="false" outlineLevel="0" collapsed="false">
      <c r="A1137" s="12"/>
      <c r="B1137" s="13"/>
      <c r="C1137" s="14"/>
      <c r="D1137" s="15"/>
      <c r="E1137" s="14"/>
      <c r="F1137" s="16" t="str">
        <f aca="false">IF(OR(C1137="",D1137=""),"",IF(OR(A1137="",B1137=""),"Tarih ya da tür eksik",IF(AND(B1137="Çıkış",IFERROR(INDEX(Ürünler!$H$5:$H$304,MATCH(C1137,Ürünler!$A$5:$A$304,0)),0)&lt;0),"Stok eksiye düştü","")))</f>
        <v/>
      </c>
    </row>
    <row r="1138" customFormat="false" ht="15" hidden="false" customHeight="false" outlineLevel="0" collapsed="false">
      <c r="A1138" s="12"/>
      <c r="B1138" s="13"/>
      <c r="C1138" s="14"/>
      <c r="D1138" s="15"/>
      <c r="E1138" s="14"/>
      <c r="F1138" s="16" t="str">
        <f aca="false">IF(OR(C1138="",D1138=""),"",IF(OR(A1138="",B1138=""),"Tarih ya da tür eksik",IF(AND(B1138="Çıkış",IFERROR(INDEX(Ürünler!$H$5:$H$304,MATCH(C1138,Ürünler!$A$5:$A$304,0)),0)&lt;0),"Stok eksiye düştü","")))</f>
        <v/>
      </c>
    </row>
    <row r="1139" customFormat="false" ht="15" hidden="false" customHeight="false" outlineLevel="0" collapsed="false">
      <c r="A1139" s="12"/>
      <c r="B1139" s="13"/>
      <c r="C1139" s="14"/>
      <c r="D1139" s="15"/>
      <c r="E1139" s="14"/>
      <c r="F1139" s="16" t="str">
        <f aca="false">IF(OR(C1139="",D1139=""),"",IF(OR(A1139="",B1139=""),"Tarih ya da tür eksik",IF(AND(B1139="Çıkış",IFERROR(INDEX(Ürünler!$H$5:$H$304,MATCH(C1139,Ürünler!$A$5:$A$304,0)),0)&lt;0),"Stok eksiye düştü","")))</f>
        <v/>
      </c>
    </row>
    <row r="1140" customFormat="false" ht="15" hidden="false" customHeight="false" outlineLevel="0" collapsed="false">
      <c r="A1140" s="12"/>
      <c r="B1140" s="13"/>
      <c r="C1140" s="14"/>
      <c r="D1140" s="15"/>
      <c r="E1140" s="14"/>
      <c r="F1140" s="16" t="str">
        <f aca="false">IF(OR(C1140="",D1140=""),"",IF(OR(A1140="",B1140=""),"Tarih ya da tür eksik",IF(AND(B1140="Çıkış",IFERROR(INDEX(Ürünler!$H$5:$H$304,MATCH(C1140,Ürünler!$A$5:$A$304,0)),0)&lt;0),"Stok eksiye düştü","")))</f>
        <v/>
      </c>
    </row>
    <row r="1141" customFormat="false" ht="15" hidden="false" customHeight="false" outlineLevel="0" collapsed="false">
      <c r="A1141" s="12"/>
      <c r="B1141" s="13"/>
      <c r="C1141" s="14"/>
      <c r="D1141" s="15"/>
      <c r="E1141" s="14"/>
      <c r="F1141" s="16" t="str">
        <f aca="false">IF(OR(C1141="",D1141=""),"",IF(OR(A1141="",B1141=""),"Tarih ya da tür eksik",IF(AND(B1141="Çıkış",IFERROR(INDEX(Ürünler!$H$5:$H$304,MATCH(C1141,Ürünler!$A$5:$A$304,0)),0)&lt;0),"Stok eksiye düştü","")))</f>
        <v/>
      </c>
    </row>
    <row r="1142" customFormat="false" ht="15" hidden="false" customHeight="false" outlineLevel="0" collapsed="false">
      <c r="A1142" s="12"/>
      <c r="B1142" s="13"/>
      <c r="C1142" s="14"/>
      <c r="D1142" s="15"/>
      <c r="E1142" s="14"/>
      <c r="F1142" s="16" t="str">
        <f aca="false">IF(OR(C1142="",D1142=""),"",IF(OR(A1142="",B1142=""),"Tarih ya da tür eksik",IF(AND(B1142="Çıkış",IFERROR(INDEX(Ürünler!$H$5:$H$304,MATCH(C1142,Ürünler!$A$5:$A$304,0)),0)&lt;0),"Stok eksiye düştü","")))</f>
        <v/>
      </c>
    </row>
    <row r="1143" customFormat="false" ht="15" hidden="false" customHeight="false" outlineLevel="0" collapsed="false">
      <c r="A1143" s="12"/>
      <c r="B1143" s="13"/>
      <c r="C1143" s="14"/>
      <c r="D1143" s="15"/>
      <c r="E1143" s="14"/>
      <c r="F1143" s="16" t="str">
        <f aca="false">IF(OR(C1143="",D1143=""),"",IF(OR(A1143="",B1143=""),"Tarih ya da tür eksik",IF(AND(B1143="Çıkış",IFERROR(INDEX(Ürünler!$H$5:$H$304,MATCH(C1143,Ürünler!$A$5:$A$304,0)),0)&lt;0),"Stok eksiye düştü","")))</f>
        <v/>
      </c>
    </row>
    <row r="1144" customFormat="false" ht="15" hidden="false" customHeight="false" outlineLevel="0" collapsed="false">
      <c r="A1144" s="12"/>
      <c r="B1144" s="13"/>
      <c r="C1144" s="14"/>
      <c r="D1144" s="15"/>
      <c r="E1144" s="14"/>
      <c r="F1144" s="16" t="str">
        <f aca="false">IF(OR(C1144="",D1144=""),"",IF(OR(A1144="",B1144=""),"Tarih ya da tür eksik",IF(AND(B1144="Çıkış",IFERROR(INDEX(Ürünler!$H$5:$H$304,MATCH(C1144,Ürünler!$A$5:$A$304,0)),0)&lt;0),"Stok eksiye düştü","")))</f>
        <v/>
      </c>
    </row>
    <row r="1145" customFormat="false" ht="15" hidden="false" customHeight="false" outlineLevel="0" collapsed="false">
      <c r="A1145" s="12"/>
      <c r="B1145" s="13"/>
      <c r="C1145" s="14"/>
      <c r="D1145" s="15"/>
      <c r="E1145" s="14"/>
      <c r="F1145" s="16" t="str">
        <f aca="false">IF(OR(C1145="",D1145=""),"",IF(OR(A1145="",B1145=""),"Tarih ya da tür eksik",IF(AND(B1145="Çıkış",IFERROR(INDEX(Ürünler!$H$5:$H$304,MATCH(C1145,Ürünler!$A$5:$A$304,0)),0)&lt;0),"Stok eksiye düştü","")))</f>
        <v/>
      </c>
    </row>
    <row r="1146" customFormat="false" ht="15" hidden="false" customHeight="false" outlineLevel="0" collapsed="false">
      <c r="A1146" s="12"/>
      <c r="B1146" s="13"/>
      <c r="C1146" s="14"/>
      <c r="D1146" s="15"/>
      <c r="E1146" s="14"/>
      <c r="F1146" s="16" t="str">
        <f aca="false">IF(OR(C1146="",D1146=""),"",IF(OR(A1146="",B1146=""),"Tarih ya da tür eksik",IF(AND(B1146="Çıkış",IFERROR(INDEX(Ürünler!$H$5:$H$304,MATCH(C1146,Ürünler!$A$5:$A$304,0)),0)&lt;0),"Stok eksiye düştü","")))</f>
        <v/>
      </c>
    </row>
    <row r="1147" customFormat="false" ht="15" hidden="false" customHeight="false" outlineLevel="0" collapsed="false">
      <c r="A1147" s="12"/>
      <c r="B1147" s="13"/>
      <c r="C1147" s="14"/>
      <c r="D1147" s="15"/>
      <c r="E1147" s="14"/>
      <c r="F1147" s="16" t="str">
        <f aca="false">IF(OR(C1147="",D1147=""),"",IF(OR(A1147="",B1147=""),"Tarih ya da tür eksik",IF(AND(B1147="Çıkış",IFERROR(INDEX(Ürünler!$H$5:$H$304,MATCH(C1147,Ürünler!$A$5:$A$304,0)),0)&lt;0),"Stok eksiye düştü","")))</f>
        <v/>
      </c>
    </row>
    <row r="1148" customFormat="false" ht="15" hidden="false" customHeight="false" outlineLevel="0" collapsed="false">
      <c r="A1148" s="12"/>
      <c r="B1148" s="13"/>
      <c r="C1148" s="14"/>
      <c r="D1148" s="15"/>
      <c r="E1148" s="14"/>
      <c r="F1148" s="16" t="str">
        <f aca="false">IF(OR(C1148="",D1148=""),"",IF(OR(A1148="",B1148=""),"Tarih ya da tür eksik",IF(AND(B1148="Çıkış",IFERROR(INDEX(Ürünler!$H$5:$H$304,MATCH(C1148,Ürünler!$A$5:$A$304,0)),0)&lt;0),"Stok eksiye düştü","")))</f>
        <v/>
      </c>
    </row>
    <row r="1149" customFormat="false" ht="15" hidden="false" customHeight="false" outlineLevel="0" collapsed="false">
      <c r="A1149" s="12"/>
      <c r="B1149" s="13"/>
      <c r="C1149" s="14"/>
      <c r="D1149" s="15"/>
      <c r="E1149" s="14"/>
      <c r="F1149" s="16" t="str">
        <f aca="false">IF(OR(C1149="",D1149=""),"",IF(OR(A1149="",B1149=""),"Tarih ya da tür eksik",IF(AND(B1149="Çıkış",IFERROR(INDEX(Ürünler!$H$5:$H$304,MATCH(C1149,Ürünler!$A$5:$A$304,0)),0)&lt;0),"Stok eksiye düştü","")))</f>
        <v/>
      </c>
    </row>
    <row r="1150" customFormat="false" ht="15" hidden="false" customHeight="false" outlineLevel="0" collapsed="false">
      <c r="A1150" s="12"/>
      <c r="B1150" s="13"/>
      <c r="C1150" s="14"/>
      <c r="D1150" s="15"/>
      <c r="E1150" s="14"/>
      <c r="F1150" s="16" t="str">
        <f aca="false">IF(OR(C1150="",D1150=""),"",IF(OR(A1150="",B1150=""),"Tarih ya da tür eksik",IF(AND(B1150="Çıkış",IFERROR(INDEX(Ürünler!$H$5:$H$304,MATCH(C1150,Ürünler!$A$5:$A$304,0)),0)&lt;0),"Stok eksiye düştü","")))</f>
        <v/>
      </c>
    </row>
    <row r="1151" customFormat="false" ht="15" hidden="false" customHeight="false" outlineLevel="0" collapsed="false">
      <c r="A1151" s="12"/>
      <c r="B1151" s="13"/>
      <c r="C1151" s="14"/>
      <c r="D1151" s="15"/>
      <c r="E1151" s="14"/>
      <c r="F1151" s="16" t="str">
        <f aca="false">IF(OR(C1151="",D1151=""),"",IF(OR(A1151="",B1151=""),"Tarih ya da tür eksik",IF(AND(B1151="Çıkış",IFERROR(INDEX(Ürünler!$H$5:$H$304,MATCH(C1151,Ürünler!$A$5:$A$304,0)),0)&lt;0),"Stok eksiye düştü","")))</f>
        <v/>
      </c>
    </row>
    <row r="1152" customFormat="false" ht="15" hidden="false" customHeight="false" outlineLevel="0" collapsed="false">
      <c r="A1152" s="12"/>
      <c r="B1152" s="13"/>
      <c r="C1152" s="14"/>
      <c r="D1152" s="15"/>
      <c r="E1152" s="14"/>
      <c r="F1152" s="16" t="str">
        <f aca="false">IF(OR(C1152="",D1152=""),"",IF(OR(A1152="",B1152=""),"Tarih ya da tür eksik",IF(AND(B1152="Çıkış",IFERROR(INDEX(Ürünler!$H$5:$H$304,MATCH(C1152,Ürünler!$A$5:$A$304,0)),0)&lt;0),"Stok eksiye düştü","")))</f>
        <v/>
      </c>
    </row>
    <row r="1153" customFormat="false" ht="15" hidden="false" customHeight="false" outlineLevel="0" collapsed="false">
      <c r="A1153" s="12"/>
      <c r="B1153" s="13"/>
      <c r="C1153" s="14"/>
      <c r="D1153" s="15"/>
      <c r="E1153" s="14"/>
      <c r="F1153" s="16" t="str">
        <f aca="false">IF(OR(C1153="",D1153=""),"",IF(OR(A1153="",B1153=""),"Tarih ya da tür eksik",IF(AND(B1153="Çıkış",IFERROR(INDEX(Ürünler!$H$5:$H$304,MATCH(C1153,Ürünler!$A$5:$A$304,0)),0)&lt;0),"Stok eksiye düştü","")))</f>
        <v/>
      </c>
    </row>
    <row r="1154" customFormat="false" ht="15" hidden="false" customHeight="false" outlineLevel="0" collapsed="false">
      <c r="A1154" s="12"/>
      <c r="B1154" s="13"/>
      <c r="C1154" s="14"/>
      <c r="D1154" s="15"/>
      <c r="E1154" s="14"/>
      <c r="F1154" s="16" t="str">
        <f aca="false">IF(OR(C1154="",D1154=""),"",IF(OR(A1154="",B1154=""),"Tarih ya da tür eksik",IF(AND(B1154="Çıkış",IFERROR(INDEX(Ürünler!$H$5:$H$304,MATCH(C1154,Ürünler!$A$5:$A$304,0)),0)&lt;0),"Stok eksiye düştü","")))</f>
        <v/>
      </c>
    </row>
    <row r="1155" customFormat="false" ht="15" hidden="false" customHeight="false" outlineLevel="0" collapsed="false">
      <c r="A1155" s="12"/>
      <c r="B1155" s="13"/>
      <c r="C1155" s="14"/>
      <c r="D1155" s="15"/>
      <c r="E1155" s="14"/>
      <c r="F1155" s="16" t="str">
        <f aca="false">IF(OR(C1155="",D1155=""),"",IF(OR(A1155="",B1155=""),"Tarih ya da tür eksik",IF(AND(B1155="Çıkış",IFERROR(INDEX(Ürünler!$H$5:$H$304,MATCH(C1155,Ürünler!$A$5:$A$304,0)),0)&lt;0),"Stok eksiye düştü","")))</f>
        <v/>
      </c>
    </row>
    <row r="1156" customFormat="false" ht="15" hidden="false" customHeight="false" outlineLevel="0" collapsed="false">
      <c r="A1156" s="12"/>
      <c r="B1156" s="13"/>
      <c r="C1156" s="14"/>
      <c r="D1156" s="15"/>
      <c r="E1156" s="14"/>
      <c r="F1156" s="16" t="str">
        <f aca="false">IF(OR(C1156="",D1156=""),"",IF(OR(A1156="",B1156=""),"Tarih ya da tür eksik",IF(AND(B1156="Çıkış",IFERROR(INDEX(Ürünler!$H$5:$H$304,MATCH(C1156,Ürünler!$A$5:$A$304,0)),0)&lt;0),"Stok eksiye düştü","")))</f>
        <v/>
      </c>
    </row>
    <row r="1157" customFormat="false" ht="15" hidden="false" customHeight="false" outlineLevel="0" collapsed="false">
      <c r="A1157" s="12"/>
      <c r="B1157" s="13"/>
      <c r="C1157" s="14"/>
      <c r="D1157" s="15"/>
      <c r="E1157" s="14"/>
      <c r="F1157" s="16" t="str">
        <f aca="false">IF(OR(C1157="",D1157=""),"",IF(OR(A1157="",B1157=""),"Tarih ya da tür eksik",IF(AND(B1157="Çıkış",IFERROR(INDEX(Ürünler!$H$5:$H$304,MATCH(C1157,Ürünler!$A$5:$A$304,0)),0)&lt;0),"Stok eksiye düştü","")))</f>
        <v/>
      </c>
    </row>
    <row r="1158" customFormat="false" ht="15" hidden="false" customHeight="false" outlineLevel="0" collapsed="false">
      <c r="A1158" s="12"/>
      <c r="B1158" s="13"/>
      <c r="C1158" s="14"/>
      <c r="D1158" s="15"/>
      <c r="E1158" s="14"/>
      <c r="F1158" s="16" t="str">
        <f aca="false">IF(OR(C1158="",D1158=""),"",IF(OR(A1158="",B1158=""),"Tarih ya da tür eksik",IF(AND(B1158="Çıkış",IFERROR(INDEX(Ürünler!$H$5:$H$304,MATCH(C1158,Ürünler!$A$5:$A$304,0)),0)&lt;0),"Stok eksiye düştü","")))</f>
        <v/>
      </c>
    </row>
    <row r="1159" customFormat="false" ht="15" hidden="false" customHeight="false" outlineLevel="0" collapsed="false">
      <c r="A1159" s="12"/>
      <c r="B1159" s="13"/>
      <c r="C1159" s="14"/>
      <c r="D1159" s="15"/>
      <c r="E1159" s="14"/>
      <c r="F1159" s="16" t="str">
        <f aca="false">IF(OR(C1159="",D1159=""),"",IF(OR(A1159="",B1159=""),"Tarih ya da tür eksik",IF(AND(B1159="Çıkış",IFERROR(INDEX(Ürünler!$H$5:$H$304,MATCH(C1159,Ürünler!$A$5:$A$304,0)),0)&lt;0),"Stok eksiye düştü","")))</f>
        <v/>
      </c>
    </row>
    <row r="1160" customFormat="false" ht="15" hidden="false" customHeight="false" outlineLevel="0" collapsed="false">
      <c r="A1160" s="12"/>
      <c r="B1160" s="13"/>
      <c r="C1160" s="14"/>
      <c r="D1160" s="15"/>
      <c r="E1160" s="14"/>
      <c r="F1160" s="16" t="str">
        <f aca="false">IF(OR(C1160="",D1160=""),"",IF(OR(A1160="",B1160=""),"Tarih ya da tür eksik",IF(AND(B1160="Çıkış",IFERROR(INDEX(Ürünler!$H$5:$H$304,MATCH(C1160,Ürünler!$A$5:$A$304,0)),0)&lt;0),"Stok eksiye düştü","")))</f>
        <v/>
      </c>
    </row>
    <row r="1161" customFormat="false" ht="15" hidden="false" customHeight="false" outlineLevel="0" collapsed="false">
      <c r="A1161" s="12"/>
      <c r="B1161" s="13"/>
      <c r="C1161" s="14"/>
      <c r="D1161" s="15"/>
      <c r="E1161" s="14"/>
      <c r="F1161" s="16" t="str">
        <f aca="false">IF(OR(C1161="",D1161=""),"",IF(OR(A1161="",B1161=""),"Tarih ya da tür eksik",IF(AND(B1161="Çıkış",IFERROR(INDEX(Ürünler!$H$5:$H$304,MATCH(C1161,Ürünler!$A$5:$A$304,0)),0)&lt;0),"Stok eksiye düştü","")))</f>
        <v/>
      </c>
    </row>
    <row r="1162" customFormat="false" ht="15" hidden="false" customHeight="false" outlineLevel="0" collapsed="false">
      <c r="A1162" s="12"/>
      <c r="B1162" s="13"/>
      <c r="C1162" s="14"/>
      <c r="D1162" s="15"/>
      <c r="E1162" s="14"/>
      <c r="F1162" s="16" t="str">
        <f aca="false">IF(OR(C1162="",D1162=""),"",IF(OR(A1162="",B1162=""),"Tarih ya da tür eksik",IF(AND(B1162="Çıkış",IFERROR(INDEX(Ürünler!$H$5:$H$304,MATCH(C1162,Ürünler!$A$5:$A$304,0)),0)&lt;0),"Stok eksiye düştü","")))</f>
        <v/>
      </c>
    </row>
    <row r="1163" customFormat="false" ht="15" hidden="false" customHeight="false" outlineLevel="0" collapsed="false">
      <c r="A1163" s="12"/>
      <c r="B1163" s="13"/>
      <c r="C1163" s="14"/>
      <c r="D1163" s="15"/>
      <c r="E1163" s="14"/>
      <c r="F1163" s="16" t="str">
        <f aca="false">IF(OR(C1163="",D1163=""),"",IF(OR(A1163="",B1163=""),"Tarih ya da tür eksik",IF(AND(B1163="Çıkış",IFERROR(INDEX(Ürünler!$H$5:$H$304,MATCH(C1163,Ürünler!$A$5:$A$304,0)),0)&lt;0),"Stok eksiye düştü","")))</f>
        <v/>
      </c>
    </row>
    <row r="1164" customFormat="false" ht="15" hidden="false" customHeight="false" outlineLevel="0" collapsed="false">
      <c r="A1164" s="12"/>
      <c r="B1164" s="13"/>
      <c r="C1164" s="14"/>
      <c r="D1164" s="15"/>
      <c r="E1164" s="14"/>
      <c r="F1164" s="16" t="str">
        <f aca="false">IF(OR(C1164="",D1164=""),"",IF(OR(A1164="",B1164=""),"Tarih ya da tür eksik",IF(AND(B1164="Çıkış",IFERROR(INDEX(Ürünler!$H$5:$H$304,MATCH(C1164,Ürünler!$A$5:$A$304,0)),0)&lt;0),"Stok eksiye düştü","")))</f>
        <v/>
      </c>
    </row>
    <row r="1165" customFormat="false" ht="15" hidden="false" customHeight="false" outlineLevel="0" collapsed="false">
      <c r="A1165" s="12"/>
      <c r="B1165" s="13"/>
      <c r="C1165" s="14"/>
      <c r="D1165" s="15"/>
      <c r="E1165" s="14"/>
      <c r="F1165" s="16" t="str">
        <f aca="false">IF(OR(C1165="",D1165=""),"",IF(OR(A1165="",B1165=""),"Tarih ya da tür eksik",IF(AND(B1165="Çıkış",IFERROR(INDEX(Ürünler!$H$5:$H$304,MATCH(C1165,Ürünler!$A$5:$A$304,0)),0)&lt;0),"Stok eksiye düştü","")))</f>
        <v/>
      </c>
    </row>
    <row r="1166" customFormat="false" ht="15" hidden="false" customHeight="false" outlineLevel="0" collapsed="false">
      <c r="A1166" s="12"/>
      <c r="B1166" s="13"/>
      <c r="C1166" s="14"/>
      <c r="D1166" s="15"/>
      <c r="E1166" s="14"/>
      <c r="F1166" s="16" t="str">
        <f aca="false">IF(OR(C1166="",D1166=""),"",IF(OR(A1166="",B1166=""),"Tarih ya da tür eksik",IF(AND(B1166="Çıkış",IFERROR(INDEX(Ürünler!$H$5:$H$304,MATCH(C1166,Ürünler!$A$5:$A$304,0)),0)&lt;0),"Stok eksiye düştü","")))</f>
        <v/>
      </c>
    </row>
    <row r="1167" customFormat="false" ht="15" hidden="false" customHeight="false" outlineLevel="0" collapsed="false">
      <c r="A1167" s="12"/>
      <c r="B1167" s="13"/>
      <c r="C1167" s="14"/>
      <c r="D1167" s="15"/>
      <c r="E1167" s="14"/>
      <c r="F1167" s="16" t="str">
        <f aca="false">IF(OR(C1167="",D1167=""),"",IF(OR(A1167="",B1167=""),"Tarih ya da tür eksik",IF(AND(B1167="Çıkış",IFERROR(INDEX(Ürünler!$H$5:$H$304,MATCH(C1167,Ürünler!$A$5:$A$304,0)),0)&lt;0),"Stok eksiye düştü","")))</f>
        <v/>
      </c>
    </row>
    <row r="1168" customFormat="false" ht="15" hidden="false" customHeight="false" outlineLevel="0" collapsed="false">
      <c r="A1168" s="12"/>
      <c r="B1168" s="13"/>
      <c r="C1168" s="14"/>
      <c r="D1168" s="15"/>
      <c r="E1168" s="14"/>
      <c r="F1168" s="16" t="str">
        <f aca="false">IF(OR(C1168="",D1168=""),"",IF(OR(A1168="",B1168=""),"Tarih ya da tür eksik",IF(AND(B1168="Çıkış",IFERROR(INDEX(Ürünler!$H$5:$H$304,MATCH(C1168,Ürünler!$A$5:$A$304,0)),0)&lt;0),"Stok eksiye düştü","")))</f>
        <v/>
      </c>
    </row>
    <row r="1169" customFormat="false" ht="15" hidden="false" customHeight="false" outlineLevel="0" collapsed="false">
      <c r="A1169" s="12"/>
      <c r="B1169" s="13"/>
      <c r="C1169" s="14"/>
      <c r="D1169" s="15"/>
      <c r="E1169" s="14"/>
      <c r="F1169" s="16" t="str">
        <f aca="false">IF(OR(C1169="",D1169=""),"",IF(OR(A1169="",B1169=""),"Tarih ya da tür eksik",IF(AND(B1169="Çıkış",IFERROR(INDEX(Ürünler!$H$5:$H$304,MATCH(C1169,Ürünler!$A$5:$A$304,0)),0)&lt;0),"Stok eksiye düştü","")))</f>
        <v/>
      </c>
    </row>
    <row r="1170" customFormat="false" ht="15" hidden="false" customHeight="false" outlineLevel="0" collapsed="false">
      <c r="A1170" s="12"/>
      <c r="B1170" s="13"/>
      <c r="C1170" s="14"/>
      <c r="D1170" s="15"/>
      <c r="E1170" s="14"/>
      <c r="F1170" s="16" t="str">
        <f aca="false">IF(OR(C1170="",D1170=""),"",IF(OR(A1170="",B1170=""),"Tarih ya da tür eksik",IF(AND(B1170="Çıkış",IFERROR(INDEX(Ürünler!$H$5:$H$304,MATCH(C1170,Ürünler!$A$5:$A$304,0)),0)&lt;0),"Stok eksiye düştü","")))</f>
        <v/>
      </c>
    </row>
    <row r="1171" customFormat="false" ht="15" hidden="false" customHeight="false" outlineLevel="0" collapsed="false">
      <c r="A1171" s="12"/>
      <c r="B1171" s="13"/>
      <c r="C1171" s="14"/>
      <c r="D1171" s="15"/>
      <c r="E1171" s="14"/>
      <c r="F1171" s="16" t="str">
        <f aca="false">IF(OR(C1171="",D1171=""),"",IF(OR(A1171="",B1171=""),"Tarih ya da tür eksik",IF(AND(B1171="Çıkış",IFERROR(INDEX(Ürünler!$H$5:$H$304,MATCH(C1171,Ürünler!$A$5:$A$304,0)),0)&lt;0),"Stok eksiye düştü","")))</f>
        <v/>
      </c>
    </row>
    <row r="1172" customFormat="false" ht="15" hidden="false" customHeight="false" outlineLevel="0" collapsed="false">
      <c r="A1172" s="12"/>
      <c r="B1172" s="13"/>
      <c r="C1172" s="14"/>
      <c r="D1172" s="15"/>
      <c r="E1172" s="14"/>
      <c r="F1172" s="16" t="str">
        <f aca="false">IF(OR(C1172="",D1172=""),"",IF(OR(A1172="",B1172=""),"Tarih ya da tür eksik",IF(AND(B1172="Çıkış",IFERROR(INDEX(Ürünler!$H$5:$H$304,MATCH(C1172,Ürünler!$A$5:$A$304,0)),0)&lt;0),"Stok eksiye düştü","")))</f>
        <v/>
      </c>
    </row>
    <row r="1173" customFormat="false" ht="15" hidden="false" customHeight="false" outlineLevel="0" collapsed="false">
      <c r="A1173" s="12"/>
      <c r="B1173" s="13"/>
      <c r="C1173" s="14"/>
      <c r="D1173" s="15"/>
      <c r="E1173" s="14"/>
      <c r="F1173" s="16" t="str">
        <f aca="false">IF(OR(C1173="",D1173=""),"",IF(OR(A1173="",B1173=""),"Tarih ya da tür eksik",IF(AND(B1173="Çıkış",IFERROR(INDEX(Ürünler!$H$5:$H$304,MATCH(C1173,Ürünler!$A$5:$A$304,0)),0)&lt;0),"Stok eksiye düştü","")))</f>
        <v/>
      </c>
    </row>
    <row r="1174" customFormat="false" ht="15" hidden="false" customHeight="false" outlineLevel="0" collapsed="false">
      <c r="A1174" s="12"/>
      <c r="B1174" s="13"/>
      <c r="C1174" s="14"/>
      <c r="D1174" s="15"/>
      <c r="E1174" s="14"/>
      <c r="F1174" s="16" t="str">
        <f aca="false">IF(OR(C1174="",D1174=""),"",IF(OR(A1174="",B1174=""),"Tarih ya da tür eksik",IF(AND(B1174="Çıkış",IFERROR(INDEX(Ürünler!$H$5:$H$304,MATCH(C1174,Ürünler!$A$5:$A$304,0)),0)&lt;0),"Stok eksiye düştü","")))</f>
        <v/>
      </c>
    </row>
    <row r="1175" customFormat="false" ht="15" hidden="false" customHeight="false" outlineLevel="0" collapsed="false">
      <c r="A1175" s="12"/>
      <c r="B1175" s="13"/>
      <c r="C1175" s="14"/>
      <c r="D1175" s="15"/>
      <c r="E1175" s="14"/>
      <c r="F1175" s="16" t="str">
        <f aca="false">IF(OR(C1175="",D1175=""),"",IF(OR(A1175="",B1175=""),"Tarih ya da tür eksik",IF(AND(B1175="Çıkış",IFERROR(INDEX(Ürünler!$H$5:$H$304,MATCH(C1175,Ürünler!$A$5:$A$304,0)),0)&lt;0),"Stok eksiye düştü","")))</f>
        <v/>
      </c>
    </row>
    <row r="1176" customFormat="false" ht="15" hidden="false" customHeight="false" outlineLevel="0" collapsed="false">
      <c r="A1176" s="12"/>
      <c r="B1176" s="13"/>
      <c r="C1176" s="14"/>
      <c r="D1176" s="15"/>
      <c r="E1176" s="14"/>
      <c r="F1176" s="16" t="str">
        <f aca="false">IF(OR(C1176="",D1176=""),"",IF(OR(A1176="",B1176=""),"Tarih ya da tür eksik",IF(AND(B1176="Çıkış",IFERROR(INDEX(Ürünler!$H$5:$H$304,MATCH(C1176,Ürünler!$A$5:$A$304,0)),0)&lt;0),"Stok eksiye düştü","")))</f>
        <v/>
      </c>
    </row>
    <row r="1177" customFormat="false" ht="15" hidden="false" customHeight="false" outlineLevel="0" collapsed="false">
      <c r="A1177" s="12"/>
      <c r="B1177" s="13"/>
      <c r="C1177" s="14"/>
      <c r="D1177" s="15"/>
      <c r="E1177" s="14"/>
      <c r="F1177" s="16" t="str">
        <f aca="false">IF(OR(C1177="",D1177=""),"",IF(OR(A1177="",B1177=""),"Tarih ya da tür eksik",IF(AND(B1177="Çıkış",IFERROR(INDEX(Ürünler!$H$5:$H$304,MATCH(C1177,Ürünler!$A$5:$A$304,0)),0)&lt;0),"Stok eksiye düştü","")))</f>
        <v/>
      </c>
    </row>
    <row r="1178" customFormat="false" ht="15" hidden="false" customHeight="false" outlineLevel="0" collapsed="false">
      <c r="A1178" s="12"/>
      <c r="B1178" s="13"/>
      <c r="C1178" s="14"/>
      <c r="D1178" s="15"/>
      <c r="E1178" s="14"/>
      <c r="F1178" s="16" t="str">
        <f aca="false">IF(OR(C1178="",D1178=""),"",IF(OR(A1178="",B1178=""),"Tarih ya da tür eksik",IF(AND(B1178="Çıkış",IFERROR(INDEX(Ürünler!$H$5:$H$304,MATCH(C1178,Ürünler!$A$5:$A$304,0)),0)&lt;0),"Stok eksiye düştü","")))</f>
        <v/>
      </c>
    </row>
    <row r="1179" customFormat="false" ht="15" hidden="false" customHeight="false" outlineLevel="0" collapsed="false">
      <c r="A1179" s="12"/>
      <c r="B1179" s="13"/>
      <c r="C1179" s="14"/>
      <c r="D1179" s="15"/>
      <c r="E1179" s="14"/>
      <c r="F1179" s="16" t="str">
        <f aca="false">IF(OR(C1179="",D1179=""),"",IF(OR(A1179="",B1179=""),"Tarih ya da tür eksik",IF(AND(B1179="Çıkış",IFERROR(INDEX(Ürünler!$H$5:$H$304,MATCH(C1179,Ürünler!$A$5:$A$304,0)),0)&lt;0),"Stok eksiye düştü","")))</f>
        <v/>
      </c>
    </row>
    <row r="1180" customFormat="false" ht="15" hidden="false" customHeight="false" outlineLevel="0" collapsed="false">
      <c r="A1180" s="12"/>
      <c r="B1180" s="13"/>
      <c r="C1180" s="14"/>
      <c r="D1180" s="15"/>
      <c r="E1180" s="14"/>
      <c r="F1180" s="16" t="str">
        <f aca="false">IF(OR(C1180="",D1180=""),"",IF(OR(A1180="",B1180=""),"Tarih ya da tür eksik",IF(AND(B1180="Çıkış",IFERROR(INDEX(Ürünler!$H$5:$H$304,MATCH(C1180,Ürünler!$A$5:$A$304,0)),0)&lt;0),"Stok eksiye düştü","")))</f>
        <v/>
      </c>
    </row>
    <row r="1181" customFormat="false" ht="15" hidden="false" customHeight="false" outlineLevel="0" collapsed="false">
      <c r="A1181" s="12"/>
      <c r="B1181" s="13"/>
      <c r="C1181" s="14"/>
      <c r="D1181" s="15"/>
      <c r="E1181" s="14"/>
      <c r="F1181" s="16" t="str">
        <f aca="false">IF(OR(C1181="",D1181=""),"",IF(OR(A1181="",B1181=""),"Tarih ya da tür eksik",IF(AND(B1181="Çıkış",IFERROR(INDEX(Ürünler!$H$5:$H$304,MATCH(C1181,Ürünler!$A$5:$A$304,0)),0)&lt;0),"Stok eksiye düştü","")))</f>
        <v/>
      </c>
    </row>
    <row r="1182" customFormat="false" ht="15" hidden="false" customHeight="false" outlineLevel="0" collapsed="false">
      <c r="A1182" s="12"/>
      <c r="B1182" s="13"/>
      <c r="C1182" s="14"/>
      <c r="D1182" s="15"/>
      <c r="E1182" s="14"/>
      <c r="F1182" s="16" t="str">
        <f aca="false">IF(OR(C1182="",D1182=""),"",IF(OR(A1182="",B1182=""),"Tarih ya da tür eksik",IF(AND(B1182="Çıkış",IFERROR(INDEX(Ürünler!$H$5:$H$304,MATCH(C1182,Ürünler!$A$5:$A$304,0)),0)&lt;0),"Stok eksiye düştü","")))</f>
        <v/>
      </c>
    </row>
    <row r="1183" customFormat="false" ht="15" hidden="false" customHeight="false" outlineLevel="0" collapsed="false">
      <c r="A1183" s="12"/>
      <c r="B1183" s="13"/>
      <c r="C1183" s="14"/>
      <c r="D1183" s="15"/>
      <c r="E1183" s="14"/>
      <c r="F1183" s="16" t="str">
        <f aca="false">IF(OR(C1183="",D1183=""),"",IF(OR(A1183="",B1183=""),"Tarih ya da tür eksik",IF(AND(B1183="Çıkış",IFERROR(INDEX(Ürünler!$H$5:$H$304,MATCH(C1183,Ürünler!$A$5:$A$304,0)),0)&lt;0),"Stok eksiye düştü","")))</f>
        <v/>
      </c>
    </row>
    <row r="1184" customFormat="false" ht="15" hidden="false" customHeight="false" outlineLevel="0" collapsed="false">
      <c r="A1184" s="12"/>
      <c r="B1184" s="13"/>
      <c r="C1184" s="14"/>
      <c r="D1184" s="15"/>
      <c r="E1184" s="14"/>
      <c r="F1184" s="16" t="str">
        <f aca="false">IF(OR(C1184="",D1184=""),"",IF(OR(A1184="",B1184=""),"Tarih ya da tür eksik",IF(AND(B1184="Çıkış",IFERROR(INDEX(Ürünler!$H$5:$H$304,MATCH(C1184,Ürünler!$A$5:$A$304,0)),0)&lt;0),"Stok eksiye düştü","")))</f>
        <v/>
      </c>
    </row>
    <row r="1185" customFormat="false" ht="15" hidden="false" customHeight="false" outlineLevel="0" collapsed="false">
      <c r="A1185" s="12"/>
      <c r="B1185" s="13"/>
      <c r="C1185" s="14"/>
      <c r="D1185" s="15"/>
      <c r="E1185" s="14"/>
      <c r="F1185" s="16" t="str">
        <f aca="false">IF(OR(C1185="",D1185=""),"",IF(OR(A1185="",B1185=""),"Tarih ya da tür eksik",IF(AND(B1185="Çıkış",IFERROR(INDEX(Ürünler!$H$5:$H$304,MATCH(C1185,Ürünler!$A$5:$A$304,0)),0)&lt;0),"Stok eksiye düştü","")))</f>
        <v/>
      </c>
    </row>
    <row r="1186" customFormat="false" ht="15" hidden="false" customHeight="false" outlineLevel="0" collapsed="false">
      <c r="A1186" s="12"/>
      <c r="B1186" s="13"/>
      <c r="C1186" s="14"/>
      <c r="D1186" s="15"/>
      <c r="E1186" s="14"/>
      <c r="F1186" s="16" t="str">
        <f aca="false">IF(OR(C1186="",D1186=""),"",IF(OR(A1186="",B1186=""),"Tarih ya da tür eksik",IF(AND(B1186="Çıkış",IFERROR(INDEX(Ürünler!$H$5:$H$304,MATCH(C1186,Ürünler!$A$5:$A$304,0)),0)&lt;0),"Stok eksiye düştü","")))</f>
        <v/>
      </c>
    </row>
    <row r="1187" customFormat="false" ht="15" hidden="false" customHeight="false" outlineLevel="0" collapsed="false">
      <c r="A1187" s="12"/>
      <c r="B1187" s="13"/>
      <c r="C1187" s="14"/>
      <c r="D1187" s="15"/>
      <c r="E1187" s="14"/>
      <c r="F1187" s="16" t="str">
        <f aca="false">IF(OR(C1187="",D1187=""),"",IF(OR(A1187="",B1187=""),"Tarih ya da tür eksik",IF(AND(B1187="Çıkış",IFERROR(INDEX(Ürünler!$H$5:$H$304,MATCH(C1187,Ürünler!$A$5:$A$304,0)),0)&lt;0),"Stok eksiye düştü","")))</f>
        <v/>
      </c>
    </row>
    <row r="1188" customFormat="false" ht="15" hidden="false" customHeight="false" outlineLevel="0" collapsed="false">
      <c r="A1188" s="12"/>
      <c r="B1188" s="13"/>
      <c r="C1188" s="14"/>
      <c r="D1188" s="15"/>
      <c r="E1188" s="14"/>
      <c r="F1188" s="16" t="str">
        <f aca="false">IF(OR(C1188="",D1188=""),"",IF(OR(A1188="",B1188=""),"Tarih ya da tür eksik",IF(AND(B1188="Çıkış",IFERROR(INDEX(Ürünler!$H$5:$H$304,MATCH(C1188,Ürünler!$A$5:$A$304,0)),0)&lt;0),"Stok eksiye düştü","")))</f>
        <v/>
      </c>
    </row>
    <row r="1189" customFormat="false" ht="15" hidden="false" customHeight="false" outlineLevel="0" collapsed="false">
      <c r="A1189" s="12"/>
      <c r="B1189" s="13"/>
      <c r="C1189" s="14"/>
      <c r="D1189" s="15"/>
      <c r="E1189" s="14"/>
      <c r="F1189" s="16" t="str">
        <f aca="false">IF(OR(C1189="",D1189=""),"",IF(OR(A1189="",B1189=""),"Tarih ya da tür eksik",IF(AND(B1189="Çıkış",IFERROR(INDEX(Ürünler!$H$5:$H$304,MATCH(C1189,Ürünler!$A$5:$A$304,0)),0)&lt;0),"Stok eksiye düştü","")))</f>
        <v/>
      </c>
    </row>
    <row r="1190" customFormat="false" ht="15" hidden="false" customHeight="false" outlineLevel="0" collapsed="false">
      <c r="A1190" s="12"/>
      <c r="B1190" s="13"/>
      <c r="C1190" s="14"/>
      <c r="D1190" s="15"/>
      <c r="E1190" s="14"/>
      <c r="F1190" s="16" t="str">
        <f aca="false">IF(OR(C1190="",D1190=""),"",IF(OR(A1190="",B1190=""),"Tarih ya da tür eksik",IF(AND(B1190="Çıkış",IFERROR(INDEX(Ürünler!$H$5:$H$304,MATCH(C1190,Ürünler!$A$5:$A$304,0)),0)&lt;0),"Stok eksiye düştü","")))</f>
        <v/>
      </c>
    </row>
    <row r="1191" customFormat="false" ht="15" hidden="false" customHeight="false" outlineLevel="0" collapsed="false">
      <c r="A1191" s="12"/>
      <c r="B1191" s="13"/>
      <c r="C1191" s="14"/>
      <c r="D1191" s="15"/>
      <c r="E1191" s="14"/>
      <c r="F1191" s="16" t="str">
        <f aca="false">IF(OR(C1191="",D1191=""),"",IF(OR(A1191="",B1191=""),"Tarih ya da tür eksik",IF(AND(B1191="Çıkış",IFERROR(INDEX(Ürünler!$H$5:$H$304,MATCH(C1191,Ürünler!$A$5:$A$304,0)),0)&lt;0),"Stok eksiye düştü","")))</f>
        <v/>
      </c>
    </row>
    <row r="1192" customFormat="false" ht="15" hidden="false" customHeight="false" outlineLevel="0" collapsed="false">
      <c r="A1192" s="12"/>
      <c r="B1192" s="13"/>
      <c r="C1192" s="14"/>
      <c r="D1192" s="15"/>
      <c r="E1192" s="14"/>
      <c r="F1192" s="16" t="str">
        <f aca="false">IF(OR(C1192="",D1192=""),"",IF(OR(A1192="",B1192=""),"Tarih ya da tür eksik",IF(AND(B1192="Çıkış",IFERROR(INDEX(Ürünler!$H$5:$H$304,MATCH(C1192,Ürünler!$A$5:$A$304,0)),0)&lt;0),"Stok eksiye düştü","")))</f>
        <v/>
      </c>
    </row>
    <row r="1193" customFormat="false" ht="15" hidden="false" customHeight="false" outlineLevel="0" collapsed="false">
      <c r="A1193" s="12"/>
      <c r="B1193" s="13"/>
      <c r="C1193" s="14"/>
      <c r="D1193" s="15"/>
      <c r="E1193" s="14"/>
      <c r="F1193" s="16" t="str">
        <f aca="false">IF(OR(C1193="",D1193=""),"",IF(OR(A1193="",B1193=""),"Tarih ya da tür eksik",IF(AND(B1193="Çıkış",IFERROR(INDEX(Ürünler!$H$5:$H$304,MATCH(C1193,Ürünler!$A$5:$A$304,0)),0)&lt;0),"Stok eksiye düştü","")))</f>
        <v/>
      </c>
    </row>
    <row r="1194" customFormat="false" ht="15" hidden="false" customHeight="false" outlineLevel="0" collapsed="false">
      <c r="A1194" s="12"/>
      <c r="B1194" s="13"/>
      <c r="C1194" s="14"/>
      <c r="D1194" s="15"/>
      <c r="E1194" s="14"/>
      <c r="F1194" s="16" t="str">
        <f aca="false">IF(OR(C1194="",D1194=""),"",IF(OR(A1194="",B1194=""),"Tarih ya da tür eksik",IF(AND(B1194="Çıkış",IFERROR(INDEX(Ürünler!$H$5:$H$304,MATCH(C1194,Ürünler!$A$5:$A$304,0)),0)&lt;0),"Stok eksiye düştü","")))</f>
        <v/>
      </c>
    </row>
    <row r="1195" customFormat="false" ht="15" hidden="false" customHeight="false" outlineLevel="0" collapsed="false">
      <c r="A1195" s="12"/>
      <c r="B1195" s="13"/>
      <c r="C1195" s="14"/>
      <c r="D1195" s="15"/>
      <c r="E1195" s="14"/>
      <c r="F1195" s="16" t="str">
        <f aca="false">IF(OR(C1195="",D1195=""),"",IF(OR(A1195="",B1195=""),"Tarih ya da tür eksik",IF(AND(B1195="Çıkış",IFERROR(INDEX(Ürünler!$H$5:$H$304,MATCH(C1195,Ürünler!$A$5:$A$304,0)),0)&lt;0),"Stok eksiye düştü","")))</f>
        <v/>
      </c>
    </row>
    <row r="1196" customFormat="false" ht="15" hidden="false" customHeight="false" outlineLevel="0" collapsed="false">
      <c r="A1196" s="12"/>
      <c r="B1196" s="13"/>
      <c r="C1196" s="14"/>
      <c r="D1196" s="15"/>
      <c r="E1196" s="14"/>
      <c r="F1196" s="16" t="str">
        <f aca="false">IF(OR(C1196="",D1196=""),"",IF(OR(A1196="",B1196=""),"Tarih ya da tür eksik",IF(AND(B1196="Çıkış",IFERROR(INDEX(Ürünler!$H$5:$H$304,MATCH(C1196,Ürünler!$A$5:$A$304,0)),0)&lt;0),"Stok eksiye düştü","")))</f>
        <v/>
      </c>
    </row>
    <row r="1197" customFormat="false" ht="15" hidden="false" customHeight="false" outlineLevel="0" collapsed="false">
      <c r="A1197" s="12"/>
      <c r="B1197" s="13"/>
      <c r="C1197" s="14"/>
      <c r="D1197" s="15"/>
      <c r="E1197" s="14"/>
      <c r="F1197" s="16" t="str">
        <f aca="false">IF(OR(C1197="",D1197=""),"",IF(OR(A1197="",B1197=""),"Tarih ya da tür eksik",IF(AND(B1197="Çıkış",IFERROR(INDEX(Ürünler!$H$5:$H$304,MATCH(C1197,Ürünler!$A$5:$A$304,0)),0)&lt;0),"Stok eksiye düştü","")))</f>
        <v/>
      </c>
    </row>
    <row r="1198" customFormat="false" ht="15" hidden="false" customHeight="false" outlineLevel="0" collapsed="false">
      <c r="A1198" s="12"/>
      <c r="B1198" s="13"/>
      <c r="C1198" s="14"/>
      <c r="D1198" s="15"/>
      <c r="E1198" s="14"/>
      <c r="F1198" s="16" t="str">
        <f aca="false">IF(OR(C1198="",D1198=""),"",IF(OR(A1198="",B1198=""),"Tarih ya da tür eksik",IF(AND(B1198="Çıkış",IFERROR(INDEX(Ürünler!$H$5:$H$304,MATCH(C1198,Ürünler!$A$5:$A$304,0)),0)&lt;0),"Stok eksiye düştü","")))</f>
        <v/>
      </c>
    </row>
    <row r="1199" customFormat="false" ht="15" hidden="false" customHeight="false" outlineLevel="0" collapsed="false">
      <c r="A1199" s="12"/>
      <c r="B1199" s="13"/>
      <c r="C1199" s="14"/>
      <c r="D1199" s="15"/>
      <c r="E1199" s="14"/>
      <c r="F1199" s="16" t="str">
        <f aca="false">IF(OR(C1199="",D1199=""),"",IF(OR(A1199="",B1199=""),"Tarih ya da tür eksik",IF(AND(B1199="Çıkış",IFERROR(INDEX(Ürünler!$H$5:$H$304,MATCH(C1199,Ürünler!$A$5:$A$304,0)),0)&lt;0),"Stok eksiye düştü","")))</f>
        <v/>
      </c>
    </row>
    <row r="1200" customFormat="false" ht="15" hidden="false" customHeight="false" outlineLevel="0" collapsed="false">
      <c r="A1200" s="12"/>
      <c r="B1200" s="13"/>
      <c r="C1200" s="14"/>
      <c r="D1200" s="15"/>
      <c r="E1200" s="14"/>
      <c r="F1200" s="16" t="str">
        <f aca="false">IF(OR(C1200="",D1200=""),"",IF(OR(A1200="",B1200=""),"Tarih ya da tür eksik",IF(AND(B1200="Çıkış",IFERROR(INDEX(Ürünler!$H$5:$H$304,MATCH(C1200,Ürünler!$A$5:$A$304,0)),0)&lt;0),"Stok eksiye düştü","")))</f>
        <v/>
      </c>
    </row>
    <row r="1201" customFormat="false" ht="15" hidden="false" customHeight="false" outlineLevel="0" collapsed="false">
      <c r="A1201" s="12"/>
      <c r="B1201" s="13"/>
      <c r="C1201" s="14"/>
      <c r="D1201" s="15"/>
      <c r="E1201" s="14"/>
      <c r="F1201" s="16" t="str">
        <f aca="false">IF(OR(C1201="",D1201=""),"",IF(OR(A1201="",B1201=""),"Tarih ya da tür eksik",IF(AND(B1201="Çıkış",IFERROR(INDEX(Ürünler!$H$5:$H$304,MATCH(C1201,Ürünler!$A$5:$A$304,0)),0)&lt;0),"Stok eksiye düştü","")))</f>
        <v/>
      </c>
    </row>
    <row r="1202" customFormat="false" ht="15" hidden="false" customHeight="false" outlineLevel="0" collapsed="false">
      <c r="A1202" s="12"/>
      <c r="B1202" s="13"/>
      <c r="C1202" s="14"/>
      <c r="D1202" s="15"/>
      <c r="E1202" s="14"/>
      <c r="F1202" s="16" t="str">
        <f aca="false">IF(OR(C1202="",D1202=""),"",IF(OR(A1202="",B1202=""),"Tarih ya da tür eksik",IF(AND(B1202="Çıkış",IFERROR(INDEX(Ürünler!$H$5:$H$304,MATCH(C1202,Ürünler!$A$5:$A$304,0)),0)&lt;0),"Stok eksiye düştü","")))</f>
        <v/>
      </c>
    </row>
    <row r="1203" customFormat="false" ht="15" hidden="false" customHeight="false" outlineLevel="0" collapsed="false">
      <c r="A1203" s="12"/>
      <c r="B1203" s="13"/>
      <c r="C1203" s="14"/>
      <c r="D1203" s="15"/>
      <c r="E1203" s="14"/>
      <c r="F1203" s="16" t="str">
        <f aca="false">IF(OR(C1203="",D1203=""),"",IF(OR(A1203="",B1203=""),"Tarih ya da tür eksik",IF(AND(B1203="Çıkış",IFERROR(INDEX(Ürünler!$H$5:$H$304,MATCH(C1203,Ürünler!$A$5:$A$304,0)),0)&lt;0),"Stok eksiye düştü","")))</f>
        <v/>
      </c>
    </row>
    <row r="1204" customFormat="false" ht="15" hidden="false" customHeight="false" outlineLevel="0" collapsed="false">
      <c r="A1204" s="12"/>
      <c r="B1204" s="13"/>
      <c r="C1204" s="14"/>
      <c r="D1204" s="15"/>
      <c r="E1204" s="14"/>
      <c r="F1204" s="16" t="str">
        <f aca="false">IF(OR(C1204="",D1204=""),"",IF(OR(A1204="",B1204=""),"Tarih ya da tür eksik",IF(AND(B1204="Çıkış",IFERROR(INDEX(Ürünler!$H$5:$H$304,MATCH(C1204,Ürünler!$A$5:$A$304,0)),0)&lt;0),"Stok eksiye düştü","")))</f>
        <v/>
      </c>
    </row>
    <row r="1205" customFormat="false" ht="15" hidden="false" customHeight="false" outlineLevel="0" collapsed="false">
      <c r="A1205" s="12"/>
      <c r="B1205" s="13"/>
      <c r="C1205" s="14"/>
      <c r="D1205" s="15"/>
      <c r="E1205" s="14"/>
      <c r="F1205" s="16" t="str">
        <f aca="false">IF(OR(C1205="",D1205=""),"",IF(OR(A1205="",B1205=""),"Tarih ya da tür eksik",IF(AND(B1205="Çıkış",IFERROR(INDEX(Ürünler!$H$5:$H$304,MATCH(C1205,Ürünler!$A$5:$A$304,0)),0)&lt;0),"Stok eksiye düştü","")))</f>
        <v/>
      </c>
    </row>
    <row r="1206" customFormat="false" ht="15" hidden="false" customHeight="false" outlineLevel="0" collapsed="false">
      <c r="A1206" s="12"/>
      <c r="B1206" s="13"/>
      <c r="C1206" s="14"/>
      <c r="D1206" s="15"/>
      <c r="E1206" s="14"/>
      <c r="F1206" s="16" t="str">
        <f aca="false">IF(OR(C1206="",D1206=""),"",IF(OR(A1206="",B1206=""),"Tarih ya da tür eksik",IF(AND(B1206="Çıkış",IFERROR(INDEX(Ürünler!$H$5:$H$304,MATCH(C1206,Ürünler!$A$5:$A$304,0)),0)&lt;0),"Stok eksiye düştü","")))</f>
        <v/>
      </c>
    </row>
    <row r="1207" customFormat="false" ht="15" hidden="false" customHeight="false" outlineLevel="0" collapsed="false">
      <c r="A1207" s="12"/>
      <c r="B1207" s="13"/>
      <c r="C1207" s="14"/>
      <c r="D1207" s="15"/>
      <c r="E1207" s="14"/>
      <c r="F1207" s="16" t="str">
        <f aca="false">IF(OR(C1207="",D1207=""),"",IF(OR(A1207="",B1207=""),"Tarih ya da tür eksik",IF(AND(B1207="Çıkış",IFERROR(INDEX(Ürünler!$H$5:$H$304,MATCH(C1207,Ürünler!$A$5:$A$304,0)),0)&lt;0),"Stok eksiye düştü","")))</f>
        <v/>
      </c>
    </row>
    <row r="1208" customFormat="false" ht="15" hidden="false" customHeight="false" outlineLevel="0" collapsed="false">
      <c r="A1208" s="12"/>
      <c r="B1208" s="13"/>
      <c r="C1208" s="14"/>
      <c r="D1208" s="15"/>
      <c r="E1208" s="14"/>
      <c r="F1208" s="16" t="str">
        <f aca="false">IF(OR(C1208="",D1208=""),"",IF(OR(A1208="",B1208=""),"Tarih ya da tür eksik",IF(AND(B1208="Çıkış",IFERROR(INDEX(Ürünler!$H$5:$H$304,MATCH(C1208,Ürünler!$A$5:$A$304,0)),0)&lt;0),"Stok eksiye düştü","")))</f>
        <v/>
      </c>
    </row>
    <row r="1209" customFormat="false" ht="15" hidden="false" customHeight="false" outlineLevel="0" collapsed="false">
      <c r="A1209" s="12"/>
      <c r="B1209" s="13"/>
      <c r="C1209" s="14"/>
      <c r="D1209" s="15"/>
      <c r="E1209" s="14"/>
      <c r="F1209" s="16" t="str">
        <f aca="false">IF(OR(C1209="",D1209=""),"",IF(OR(A1209="",B1209=""),"Tarih ya da tür eksik",IF(AND(B1209="Çıkış",IFERROR(INDEX(Ürünler!$H$5:$H$304,MATCH(C1209,Ürünler!$A$5:$A$304,0)),0)&lt;0),"Stok eksiye düştü","")))</f>
        <v/>
      </c>
    </row>
    <row r="1210" customFormat="false" ht="15" hidden="false" customHeight="false" outlineLevel="0" collapsed="false">
      <c r="A1210" s="12"/>
      <c r="B1210" s="13"/>
      <c r="C1210" s="14"/>
      <c r="D1210" s="15"/>
      <c r="E1210" s="14"/>
      <c r="F1210" s="16" t="str">
        <f aca="false">IF(OR(C1210="",D1210=""),"",IF(OR(A1210="",B1210=""),"Tarih ya da tür eksik",IF(AND(B1210="Çıkış",IFERROR(INDEX(Ürünler!$H$5:$H$304,MATCH(C1210,Ürünler!$A$5:$A$304,0)),0)&lt;0),"Stok eksiye düştü","")))</f>
        <v/>
      </c>
    </row>
    <row r="1211" customFormat="false" ht="15" hidden="false" customHeight="false" outlineLevel="0" collapsed="false">
      <c r="A1211" s="12"/>
      <c r="B1211" s="13"/>
      <c r="C1211" s="14"/>
      <c r="D1211" s="15"/>
      <c r="E1211" s="14"/>
      <c r="F1211" s="16" t="str">
        <f aca="false">IF(OR(C1211="",D1211=""),"",IF(OR(A1211="",B1211=""),"Tarih ya da tür eksik",IF(AND(B1211="Çıkış",IFERROR(INDEX(Ürünler!$H$5:$H$304,MATCH(C1211,Ürünler!$A$5:$A$304,0)),0)&lt;0),"Stok eksiye düştü","")))</f>
        <v/>
      </c>
    </row>
    <row r="1212" customFormat="false" ht="15" hidden="false" customHeight="false" outlineLevel="0" collapsed="false">
      <c r="A1212" s="12"/>
      <c r="B1212" s="13"/>
      <c r="C1212" s="14"/>
      <c r="D1212" s="15"/>
      <c r="E1212" s="14"/>
      <c r="F1212" s="16" t="str">
        <f aca="false">IF(OR(C1212="",D1212=""),"",IF(OR(A1212="",B1212=""),"Tarih ya da tür eksik",IF(AND(B1212="Çıkış",IFERROR(INDEX(Ürünler!$H$5:$H$304,MATCH(C1212,Ürünler!$A$5:$A$304,0)),0)&lt;0),"Stok eksiye düştü","")))</f>
        <v/>
      </c>
    </row>
    <row r="1213" customFormat="false" ht="15" hidden="false" customHeight="false" outlineLevel="0" collapsed="false">
      <c r="A1213" s="12"/>
      <c r="B1213" s="13"/>
      <c r="C1213" s="14"/>
      <c r="D1213" s="15"/>
      <c r="E1213" s="14"/>
      <c r="F1213" s="16" t="str">
        <f aca="false">IF(OR(C1213="",D1213=""),"",IF(OR(A1213="",B1213=""),"Tarih ya da tür eksik",IF(AND(B1213="Çıkış",IFERROR(INDEX(Ürünler!$H$5:$H$304,MATCH(C1213,Ürünler!$A$5:$A$304,0)),0)&lt;0),"Stok eksiye düştü","")))</f>
        <v/>
      </c>
    </row>
    <row r="1214" customFormat="false" ht="15" hidden="false" customHeight="false" outlineLevel="0" collapsed="false">
      <c r="A1214" s="12"/>
      <c r="B1214" s="13"/>
      <c r="C1214" s="14"/>
      <c r="D1214" s="15"/>
      <c r="E1214" s="14"/>
      <c r="F1214" s="16" t="str">
        <f aca="false">IF(OR(C1214="",D1214=""),"",IF(OR(A1214="",B1214=""),"Tarih ya da tür eksik",IF(AND(B1214="Çıkış",IFERROR(INDEX(Ürünler!$H$5:$H$304,MATCH(C1214,Ürünler!$A$5:$A$304,0)),0)&lt;0),"Stok eksiye düştü","")))</f>
        <v/>
      </c>
    </row>
    <row r="1215" customFormat="false" ht="15" hidden="false" customHeight="false" outlineLevel="0" collapsed="false">
      <c r="A1215" s="12"/>
      <c r="B1215" s="13"/>
      <c r="C1215" s="14"/>
      <c r="D1215" s="15"/>
      <c r="E1215" s="14"/>
      <c r="F1215" s="16" t="str">
        <f aca="false">IF(OR(C1215="",D1215=""),"",IF(OR(A1215="",B1215=""),"Tarih ya da tür eksik",IF(AND(B1215="Çıkış",IFERROR(INDEX(Ürünler!$H$5:$H$304,MATCH(C1215,Ürünler!$A$5:$A$304,0)),0)&lt;0),"Stok eksiye düştü","")))</f>
        <v/>
      </c>
    </row>
    <row r="1216" customFormat="false" ht="15" hidden="false" customHeight="false" outlineLevel="0" collapsed="false">
      <c r="A1216" s="12"/>
      <c r="B1216" s="13"/>
      <c r="C1216" s="14"/>
      <c r="D1216" s="15"/>
      <c r="E1216" s="14"/>
      <c r="F1216" s="16" t="str">
        <f aca="false">IF(OR(C1216="",D1216=""),"",IF(OR(A1216="",B1216=""),"Tarih ya da tür eksik",IF(AND(B1216="Çıkış",IFERROR(INDEX(Ürünler!$H$5:$H$304,MATCH(C1216,Ürünler!$A$5:$A$304,0)),0)&lt;0),"Stok eksiye düştü","")))</f>
        <v/>
      </c>
    </row>
    <row r="1217" customFormat="false" ht="15" hidden="false" customHeight="false" outlineLevel="0" collapsed="false">
      <c r="A1217" s="12"/>
      <c r="B1217" s="13"/>
      <c r="C1217" s="14"/>
      <c r="D1217" s="15"/>
      <c r="E1217" s="14"/>
      <c r="F1217" s="16" t="str">
        <f aca="false">IF(OR(C1217="",D1217=""),"",IF(OR(A1217="",B1217=""),"Tarih ya da tür eksik",IF(AND(B1217="Çıkış",IFERROR(INDEX(Ürünler!$H$5:$H$304,MATCH(C1217,Ürünler!$A$5:$A$304,0)),0)&lt;0),"Stok eksiye düştü","")))</f>
        <v/>
      </c>
    </row>
    <row r="1218" customFormat="false" ht="15" hidden="false" customHeight="false" outlineLevel="0" collapsed="false">
      <c r="A1218" s="12"/>
      <c r="B1218" s="13"/>
      <c r="C1218" s="14"/>
      <c r="D1218" s="15"/>
      <c r="E1218" s="14"/>
      <c r="F1218" s="16" t="str">
        <f aca="false">IF(OR(C1218="",D1218=""),"",IF(OR(A1218="",B1218=""),"Tarih ya da tür eksik",IF(AND(B1218="Çıkış",IFERROR(INDEX(Ürünler!$H$5:$H$304,MATCH(C1218,Ürünler!$A$5:$A$304,0)),0)&lt;0),"Stok eksiye düştü","")))</f>
        <v/>
      </c>
    </row>
    <row r="1219" customFormat="false" ht="15" hidden="false" customHeight="false" outlineLevel="0" collapsed="false">
      <c r="A1219" s="12"/>
      <c r="B1219" s="13"/>
      <c r="C1219" s="14"/>
      <c r="D1219" s="15"/>
      <c r="E1219" s="14"/>
      <c r="F1219" s="16" t="str">
        <f aca="false">IF(OR(C1219="",D1219=""),"",IF(OR(A1219="",B1219=""),"Tarih ya da tür eksik",IF(AND(B1219="Çıkış",IFERROR(INDEX(Ürünler!$H$5:$H$304,MATCH(C1219,Ürünler!$A$5:$A$304,0)),0)&lt;0),"Stok eksiye düştü","")))</f>
        <v/>
      </c>
    </row>
    <row r="1220" customFormat="false" ht="15" hidden="false" customHeight="false" outlineLevel="0" collapsed="false">
      <c r="A1220" s="12"/>
      <c r="B1220" s="13"/>
      <c r="C1220" s="14"/>
      <c r="D1220" s="15"/>
      <c r="E1220" s="14"/>
      <c r="F1220" s="16" t="str">
        <f aca="false">IF(OR(C1220="",D1220=""),"",IF(OR(A1220="",B1220=""),"Tarih ya da tür eksik",IF(AND(B1220="Çıkış",IFERROR(INDEX(Ürünler!$H$5:$H$304,MATCH(C1220,Ürünler!$A$5:$A$304,0)),0)&lt;0),"Stok eksiye düştü","")))</f>
        <v/>
      </c>
    </row>
    <row r="1221" customFormat="false" ht="15" hidden="false" customHeight="false" outlineLevel="0" collapsed="false">
      <c r="A1221" s="12"/>
      <c r="B1221" s="13"/>
      <c r="C1221" s="14"/>
      <c r="D1221" s="15"/>
      <c r="E1221" s="14"/>
      <c r="F1221" s="16" t="str">
        <f aca="false">IF(OR(C1221="",D1221=""),"",IF(OR(A1221="",B1221=""),"Tarih ya da tür eksik",IF(AND(B1221="Çıkış",IFERROR(INDEX(Ürünler!$H$5:$H$304,MATCH(C1221,Ürünler!$A$5:$A$304,0)),0)&lt;0),"Stok eksiye düştü","")))</f>
        <v/>
      </c>
    </row>
    <row r="1222" customFormat="false" ht="15" hidden="false" customHeight="false" outlineLevel="0" collapsed="false">
      <c r="A1222" s="12"/>
      <c r="B1222" s="13"/>
      <c r="C1222" s="14"/>
      <c r="D1222" s="15"/>
      <c r="E1222" s="14"/>
      <c r="F1222" s="16" t="str">
        <f aca="false">IF(OR(C1222="",D1222=""),"",IF(OR(A1222="",B1222=""),"Tarih ya da tür eksik",IF(AND(B1222="Çıkış",IFERROR(INDEX(Ürünler!$H$5:$H$304,MATCH(C1222,Ürünler!$A$5:$A$304,0)),0)&lt;0),"Stok eksiye düştü","")))</f>
        <v/>
      </c>
    </row>
    <row r="1223" customFormat="false" ht="15" hidden="false" customHeight="false" outlineLevel="0" collapsed="false">
      <c r="A1223" s="12"/>
      <c r="B1223" s="13"/>
      <c r="C1223" s="14"/>
      <c r="D1223" s="15"/>
      <c r="E1223" s="14"/>
      <c r="F1223" s="16" t="str">
        <f aca="false">IF(OR(C1223="",D1223=""),"",IF(OR(A1223="",B1223=""),"Tarih ya da tür eksik",IF(AND(B1223="Çıkış",IFERROR(INDEX(Ürünler!$H$5:$H$304,MATCH(C1223,Ürünler!$A$5:$A$304,0)),0)&lt;0),"Stok eksiye düştü","")))</f>
        <v/>
      </c>
    </row>
    <row r="1224" customFormat="false" ht="15" hidden="false" customHeight="false" outlineLevel="0" collapsed="false">
      <c r="A1224" s="12"/>
      <c r="B1224" s="13"/>
      <c r="C1224" s="14"/>
      <c r="D1224" s="15"/>
      <c r="E1224" s="14"/>
      <c r="F1224" s="16" t="str">
        <f aca="false">IF(OR(C1224="",D1224=""),"",IF(OR(A1224="",B1224=""),"Tarih ya da tür eksik",IF(AND(B1224="Çıkış",IFERROR(INDEX(Ürünler!$H$5:$H$304,MATCH(C1224,Ürünler!$A$5:$A$304,0)),0)&lt;0),"Stok eksiye düştü","")))</f>
        <v/>
      </c>
    </row>
    <row r="1225" customFormat="false" ht="15" hidden="false" customHeight="false" outlineLevel="0" collapsed="false">
      <c r="A1225" s="12"/>
      <c r="B1225" s="13"/>
      <c r="C1225" s="14"/>
      <c r="D1225" s="15"/>
      <c r="E1225" s="14"/>
      <c r="F1225" s="16" t="str">
        <f aca="false">IF(OR(C1225="",D1225=""),"",IF(OR(A1225="",B1225=""),"Tarih ya da tür eksik",IF(AND(B1225="Çıkış",IFERROR(INDEX(Ürünler!$H$5:$H$304,MATCH(C1225,Ürünler!$A$5:$A$304,0)),0)&lt;0),"Stok eksiye düştü","")))</f>
        <v/>
      </c>
    </row>
    <row r="1226" customFormat="false" ht="15" hidden="false" customHeight="false" outlineLevel="0" collapsed="false">
      <c r="A1226" s="12"/>
      <c r="B1226" s="13"/>
      <c r="C1226" s="14"/>
      <c r="D1226" s="15"/>
      <c r="E1226" s="14"/>
      <c r="F1226" s="16" t="str">
        <f aca="false">IF(OR(C1226="",D1226=""),"",IF(OR(A1226="",B1226=""),"Tarih ya da tür eksik",IF(AND(B1226="Çıkış",IFERROR(INDEX(Ürünler!$H$5:$H$304,MATCH(C1226,Ürünler!$A$5:$A$304,0)),0)&lt;0),"Stok eksiye düştü","")))</f>
        <v/>
      </c>
    </row>
    <row r="1227" customFormat="false" ht="15" hidden="false" customHeight="false" outlineLevel="0" collapsed="false">
      <c r="A1227" s="12"/>
      <c r="B1227" s="13"/>
      <c r="C1227" s="14"/>
      <c r="D1227" s="15"/>
      <c r="E1227" s="14"/>
      <c r="F1227" s="16" t="str">
        <f aca="false">IF(OR(C1227="",D1227=""),"",IF(OR(A1227="",B1227=""),"Tarih ya da tür eksik",IF(AND(B1227="Çıkış",IFERROR(INDEX(Ürünler!$H$5:$H$304,MATCH(C1227,Ürünler!$A$5:$A$304,0)),0)&lt;0),"Stok eksiye düştü","")))</f>
        <v/>
      </c>
    </row>
    <row r="1228" customFormat="false" ht="15" hidden="false" customHeight="false" outlineLevel="0" collapsed="false">
      <c r="A1228" s="12"/>
      <c r="B1228" s="13"/>
      <c r="C1228" s="14"/>
      <c r="D1228" s="15"/>
      <c r="E1228" s="14"/>
      <c r="F1228" s="16" t="str">
        <f aca="false">IF(OR(C1228="",D1228=""),"",IF(OR(A1228="",B1228=""),"Tarih ya da tür eksik",IF(AND(B1228="Çıkış",IFERROR(INDEX(Ürünler!$H$5:$H$304,MATCH(C1228,Ürünler!$A$5:$A$304,0)),0)&lt;0),"Stok eksiye düştü","")))</f>
        <v/>
      </c>
    </row>
    <row r="1229" customFormat="false" ht="15" hidden="false" customHeight="false" outlineLevel="0" collapsed="false">
      <c r="A1229" s="12"/>
      <c r="B1229" s="13"/>
      <c r="C1229" s="14"/>
      <c r="D1229" s="15"/>
      <c r="E1229" s="14"/>
      <c r="F1229" s="16" t="str">
        <f aca="false">IF(OR(C1229="",D1229=""),"",IF(OR(A1229="",B1229=""),"Tarih ya da tür eksik",IF(AND(B1229="Çıkış",IFERROR(INDEX(Ürünler!$H$5:$H$304,MATCH(C1229,Ürünler!$A$5:$A$304,0)),0)&lt;0),"Stok eksiye düştü","")))</f>
        <v/>
      </c>
    </row>
    <row r="1230" customFormat="false" ht="15" hidden="false" customHeight="false" outlineLevel="0" collapsed="false">
      <c r="A1230" s="12"/>
      <c r="B1230" s="13"/>
      <c r="C1230" s="14"/>
      <c r="D1230" s="15"/>
      <c r="E1230" s="14"/>
      <c r="F1230" s="16" t="str">
        <f aca="false">IF(OR(C1230="",D1230=""),"",IF(OR(A1230="",B1230=""),"Tarih ya da tür eksik",IF(AND(B1230="Çıkış",IFERROR(INDEX(Ürünler!$H$5:$H$304,MATCH(C1230,Ürünler!$A$5:$A$304,0)),0)&lt;0),"Stok eksiye düştü","")))</f>
        <v/>
      </c>
    </row>
    <row r="1231" customFormat="false" ht="15" hidden="false" customHeight="false" outlineLevel="0" collapsed="false">
      <c r="A1231" s="12"/>
      <c r="B1231" s="13"/>
      <c r="C1231" s="14"/>
      <c r="D1231" s="15"/>
      <c r="E1231" s="14"/>
      <c r="F1231" s="16" t="str">
        <f aca="false">IF(OR(C1231="",D1231=""),"",IF(OR(A1231="",B1231=""),"Tarih ya da tür eksik",IF(AND(B1231="Çıkış",IFERROR(INDEX(Ürünler!$H$5:$H$304,MATCH(C1231,Ürünler!$A$5:$A$304,0)),0)&lt;0),"Stok eksiye düştü","")))</f>
        <v/>
      </c>
    </row>
    <row r="1232" customFormat="false" ht="15" hidden="false" customHeight="false" outlineLevel="0" collapsed="false">
      <c r="A1232" s="12"/>
      <c r="B1232" s="13"/>
      <c r="C1232" s="14"/>
      <c r="D1232" s="15"/>
      <c r="E1232" s="14"/>
      <c r="F1232" s="16" t="str">
        <f aca="false">IF(OR(C1232="",D1232=""),"",IF(OR(A1232="",B1232=""),"Tarih ya da tür eksik",IF(AND(B1232="Çıkış",IFERROR(INDEX(Ürünler!$H$5:$H$304,MATCH(C1232,Ürünler!$A$5:$A$304,0)),0)&lt;0),"Stok eksiye düştü","")))</f>
        <v/>
      </c>
    </row>
    <row r="1233" customFormat="false" ht="15" hidden="false" customHeight="false" outlineLevel="0" collapsed="false">
      <c r="A1233" s="12"/>
      <c r="B1233" s="13"/>
      <c r="C1233" s="14"/>
      <c r="D1233" s="15"/>
      <c r="E1233" s="14"/>
      <c r="F1233" s="16" t="str">
        <f aca="false">IF(OR(C1233="",D1233=""),"",IF(OR(A1233="",B1233=""),"Tarih ya da tür eksik",IF(AND(B1233="Çıkış",IFERROR(INDEX(Ürünler!$H$5:$H$304,MATCH(C1233,Ürünler!$A$5:$A$304,0)),0)&lt;0),"Stok eksiye düştü","")))</f>
        <v/>
      </c>
    </row>
    <row r="1234" customFormat="false" ht="15" hidden="false" customHeight="false" outlineLevel="0" collapsed="false">
      <c r="A1234" s="12"/>
      <c r="B1234" s="13"/>
      <c r="C1234" s="14"/>
      <c r="D1234" s="15"/>
      <c r="E1234" s="14"/>
      <c r="F1234" s="16" t="str">
        <f aca="false">IF(OR(C1234="",D1234=""),"",IF(OR(A1234="",B1234=""),"Tarih ya da tür eksik",IF(AND(B1234="Çıkış",IFERROR(INDEX(Ürünler!$H$5:$H$304,MATCH(C1234,Ürünler!$A$5:$A$304,0)),0)&lt;0),"Stok eksiye düştü","")))</f>
        <v/>
      </c>
    </row>
    <row r="1235" customFormat="false" ht="15" hidden="false" customHeight="false" outlineLevel="0" collapsed="false">
      <c r="A1235" s="12"/>
      <c r="B1235" s="13"/>
      <c r="C1235" s="14"/>
      <c r="D1235" s="15"/>
      <c r="E1235" s="14"/>
      <c r="F1235" s="16" t="str">
        <f aca="false">IF(OR(C1235="",D1235=""),"",IF(OR(A1235="",B1235=""),"Tarih ya da tür eksik",IF(AND(B1235="Çıkış",IFERROR(INDEX(Ürünler!$H$5:$H$304,MATCH(C1235,Ürünler!$A$5:$A$304,0)),0)&lt;0),"Stok eksiye düştü","")))</f>
        <v/>
      </c>
    </row>
    <row r="1236" customFormat="false" ht="15" hidden="false" customHeight="false" outlineLevel="0" collapsed="false">
      <c r="A1236" s="12"/>
      <c r="B1236" s="13"/>
      <c r="C1236" s="14"/>
      <c r="D1236" s="15"/>
      <c r="E1236" s="14"/>
      <c r="F1236" s="16" t="str">
        <f aca="false">IF(OR(C1236="",D1236=""),"",IF(OR(A1236="",B1236=""),"Tarih ya da tür eksik",IF(AND(B1236="Çıkış",IFERROR(INDEX(Ürünler!$H$5:$H$304,MATCH(C1236,Ürünler!$A$5:$A$304,0)),0)&lt;0),"Stok eksiye düştü","")))</f>
        <v/>
      </c>
    </row>
    <row r="1237" customFormat="false" ht="15" hidden="false" customHeight="false" outlineLevel="0" collapsed="false">
      <c r="A1237" s="12"/>
      <c r="B1237" s="13"/>
      <c r="C1237" s="14"/>
      <c r="D1237" s="15"/>
      <c r="E1237" s="14"/>
      <c r="F1237" s="16" t="str">
        <f aca="false">IF(OR(C1237="",D1237=""),"",IF(OR(A1237="",B1237=""),"Tarih ya da tür eksik",IF(AND(B1237="Çıkış",IFERROR(INDEX(Ürünler!$H$5:$H$304,MATCH(C1237,Ürünler!$A$5:$A$304,0)),0)&lt;0),"Stok eksiye düştü","")))</f>
        <v/>
      </c>
    </row>
    <row r="1238" customFormat="false" ht="15" hidden="false" customHeight="false" outlineLevel="0" collapsed="false">
      <c r="A1238" s="12"/>
      <c r="B1238" s="13"/>
      <c r="C1238" s="14"/>
      <c r="D1238" s="15"/>
      <c r="E1238" s="14"/>
      <c r="F1238" s="16" t="str">
        <f aca="false">IF(OR(C1238="",D1238=""),"",IF(OR(A1238="",B1238=""),"Tarih ya da tür eksik",IF(AND(B1238="Çıkış",IFERROR(INDEX(Ürünler!$H$5:$H$304,MATCH(C1238,Ürünler!$A$5:$A$304,0)),0)&lt;0),"Stok eksiye düştü","")))</f>
        <v/>
      </c>
    </row>
    <row r="1239" customFormat="false" ht="15" hidden="false" customHeight="false" outlineLevel="0" collapsed="false">
      <c r="A1239" s="12"/>
      <c r="B1239" s="13"/>
      <c r="C1239" s="14"/>
      <c r="D1239" s="15"/>
      <c r="E1239" s="14"/>
      <c r="F1239" s="16" t="str">
        <f aca="false">IF(OR(C1239="",D1239=""),"",IF(OR(A1239="",B1239=""),"Tarih ya da tür eksik",IF(AND(B1239="Çıkış",IFERROR(INDEX(Ürünler!$H$5:$H$304,MATCH(C1239,Ürünler!$A$5:$A$304,0)),0)&lt;0),"Stok eksiye düştü","")))</f>
        <v/>
      </c>
    </row>
    <row r="1240" customFormat="false" ht="15" hidden="false" customHeight="false" outlineLevel="0" collapsed="false">
      <c r="A1240" s="12"/>
      <c r="B1240" s="13"/>
      <c r="C1240" s="14"/>
      <c r="D1240" s="15"/>
      <c r="E1240" s="14"/>
      <c r="F1240" s="16" t="str">
        <f aca="false">IF(OR(C1240="",D1240=""),"",IF(OR(A1240="",B1240=""),"Tarih ya da tür eksik",IF(AND(B1240="Çıkış",IFERROR(INDEX(Ürünler!$H$5:$H$304,MATCH(C1240,Ürünler!$A$5:$A$304,0)),0)&lt;0),"Stok eksiye düştü","")))</f>
        <v/>
      </c>
    </row>
    <row r="1241" customFormat="false" ht="15" hidden="false" customHeight="false" outlineLevel="0" collapsed="false">
      <c r="A1241" s="12"/>
      <c r="B1241" s="13"/>
      <c r="C1241" s="14"/>
      <c r="D1241" s="15"/>
      <c r="E1241" s="14"/>
      <c r="F1241" s="16" t="str">
        <f aca="false">IF(OR(C1241="",D1241=""),"",IF(OR(A1241="",B1241=""),"Tarih ya da tür eksik",IF(AND(B1241="Çıkış",IFERROR(INDEX(Ürünler!$H$5:$H$304,MATCH(C1241,Ürünler!$A$5:$A$304,0)),0)&lt;0),"Stok eksiye düştü","")))</f>
        <v/>
      </c>
    </row>
    <row r="1242" customFormat="false" ht="15" hidden="false" customHeight="false" outlineLevel="0" collapsed="false">
      <c r="A1242" s="12"/>
      <c r="B1242" s="13"/>
      <c r="C1242" s="14"/>
      <c r="D1242" s="15"/>
      <c r="E1242" s="14"/>
      <c r="F1242" s="16" t="str">
        <f aca="false">IF(OR(C1242="",D1242=""),"",IF(OR(A1242="",B1242=""),"Tarih ya da tür eksik",IF(AND(B1242="Çıkış",IFERROR(INDEX(Ürünler!$H$5:$H$304,MATCH(C1242,Ürünler!$A$5:$A$304,0)),0)&lt;0),"Stok eksiye düştü","")))</f>
        <v/>
      </c>
    </row>
    <row r="1243" customFormat="false" ht="15" hidden="false" customHeight="false" outlineLevel="0" collapsed="false">
      <c r="A1243" s="12"/>
      <c r="B1243" s="13"/>
      <c r="C1243" s="14"/>
      <c r="D1243" s="15"/>
      <c r="E1243" s="14"/>
      <c r="F1243" s="16" t="str">
        <f aca="false">IF(OR(C1243="",D1243=""),"",IF(OR(A1243="",B1243=""),"Tarih ya da tür eksik",IF(AND(B1243="Çıkış",IFERROR(INDEX(Ürünler!$H$5:$H$304,MATCH(C1243,Ürünler!$A$5:$A$304,0)),0)&lt;0),"Stok eksiye düştü","")))</f>
        <v/>
      </c>
    </row>
    <row r="1244" customFormat="false" ht="15" hidden="false" customHeight="false" outlineLevel="0" collapsed="false">
      <c r="A1244" s="12"/>
      <c r="B1244" s="13"/>
      <c r="C1244" s="14"/>
      <c r="D1244" s="15"/>
      <c r="E1244" s="14"/>
      <c r="F1244" s="16" t="str">
        <f aca="false">IF(OR(C1244="",D1244=""),"",IF(OR(A1244="",B1244=""),"Tarih ya da tür eksik",IF(AND(B1244="Çıkış",IFERROR(INDEX(Ürünler!$H$5:$H$304,MATCH(C1244,Ürünler!$A$5:$A$304,0)),0)&lt;0),"Stok eksiye düştü","")))</f>
        <v/>
      </c>
    </row>
    <row r="1245" customFormat="false" ht="15" hidden="false" customHeight="false" outlineLevel="0" collapsed="false">
      <c r="A1245" s="12"/>
      <c r="B1245" s="13"/>
      <c r="C1245" s="14"/>
      <c r="D1245" s="15"/>
      <c r="E1245" s="14"/>
      <c r="F1245" s="16" t="str">
        <f aca="false">IF(OR(C1245="",D1245=""),"",IF(OR(A1245="",B1245=""),"Tarih ya da tür eksik",IF(AND(B1245="Çıkış",IFERROR(INDEX(Ürünler!$H$5:$H$304,MATCH(C1245,Ürünler!$A$5:$A$304,0)),0)&lt;0),"Stok eksiye düştü","")))</f>
        <v/>
      </c>
    </row>
    <row r="1246" customFormat="false" ht="15" hidden="false" customHeight="false" outlineLevel="0" collapsed="false">
      <c r="A1246" s="12"/>
      <c r="B1246" s="13"/>
      <c r="C1246" s="14"/>
      <c r="D1246" s="15"/>
      <c r="E1246" s="14"/>
      <c r="F1246" s="16" t="str">
        <f aca="false">IF(OR(C1246="",D1246=""),"",IF(OR(A1246="",B1246=""),"Tarih ya da tür eksik",IF(AND(B1246="Çıkış",IFERROR(INDEX(Ürünler!$H$5:$H$304,MATCH(C1246,Ürünler!$A$5:$A$304,0)),0)&lt;0),"Stok eksiye düştü","")))</f>
        <v/>
      </c>
    </row>
    <row r="1247" customFormat="false" ht="15" hidden="false" customHeight="false" outlineLevel="0" collapsed="false">
      <c r="A1247" s="12"/>
      <c r="B1247" s="13"/>
      <c r="C1247" s="14"/>
      <c r="D1247" s="15"/>
      <c r="E1247" s="14"/>
      <c r="F1247" s="16" t="str">
        <f aca="false">IF(OR(C1247="",D1247=""),"",IF(OR(A1247="",B1247=""),"Tarih ya da tür eksik",IF(AND(B1247="Çıkış",IFERROR(INDEX(Ürünler!$H$5:$H$304,MATCH(C1247,Ürünler!$A$5:$A$304,0)),0)&lt;0),"Stok eksiye düştü","")))</f>
        <v/>
      </c>
    </row>
    <row r="1248" customFormat="false" ht="15" hidden="false" customHeight="false" outlineLevel="0" collapsed="false">
      <c r="A1248" s="12"/>
      <c r="B1248" s="13"/>
      <c r="C1248" s="14"/>
      <c r="D1248" s="15"/>
      <c r="E1248" s="14"/>
      <c r="F1248" s="16" t="str">
        <f aca="false">IF(OR(C1248="",D1248=""),"",IF(OR(A1248="",B1248=""),"Tarih ya da tür eksik",IF(AND(B1248="Çıkış",IFERROR(INDEX(Ürünler!$H$5:$H$304,MATCH(C1248,Ürünler!$A$5:$A$304,0)),0)&lt;0),"Stok eksiye düştü","")))</f>
        <v/>
      </c>
    </row>
    <row r="1249" customFormat="false" ht="15" hidden="false" customHeight="false" outlineLevel="0" collapsed="false">
      <c r="A1249" s="12"/>
      <c r="B1249" s="13"/>
      <c r="C1249" s="14"/>
      <c r="D1249" s="15"/>
      <c r="E1249" s="14"/>
      <c r="F1249" s="16" t="str">
        <f aca="false">IF(OR(C1249="",D1249=""),"",IF(OR(A1249="",B1249=""),"Tarih ya da tür eksik",IF(AND(B1249="Çıkış",IFERROR(INDEX(Ürünler!$H$5:$H$304,MATCH(C1249,Ürünler!$A$5:$A$304,0)),0)&lt;0),"Stok eksiye düştü","")))</f>
        <v/>
      </c>
    </row>
    <row r="1250" customFormat="false" ht="15" hidden="false" customHeight="false" outlineLevel="0" collapsed="false">
      <c r="A1250" s="12"/>
      <c r="B1250" s="13"/>
      <c r="C1250" s="14"/>
      <c r="D1250" s="15"/>
      <c r="E1250" s="14"/>
      <c r="F1250" s="16" t="str">
        <f aca="false">IF(OR(C1250="",D1250=""),"",IF(OR(A1250="",B1250=""),"Tarih ya da tür eksik",IF(AND(B1250="Çıkış",IFERROR(INDEX(Ürünler!$H$5:$H$304,MATCH(C1250,Ürünler!$A$5:$A$304,0)),0)&lt;0),"Stok eksiye düştü","")))</f>
        <v/>
      </c>
    </row>
    <row r="1251" customFormat="false" ht="15" hidden="false" customHeight="false" outlineLevel="0" collapsed="false">
      <c r="A1251" s="12"/>
      <c r="B1251" s="13"/>
      <c r="C1251" s="14"/>
      <c r="D1251" s="15"/>
      <c r="E1251" s="14"/>
      <c r="F1251" s="16" t="str">
        <f aca="false">IF(OR(C1251="",D1251=""),"",IF(OR(A1251="",B1251=""),"Tarih ya da tür eksik",IF(AND(B1251="Çıkış",IFERROR(INDEX(Ürünler!$H$5:$H$304,MATCH(C1251,Ürünler!$A$5:$A$304,0)),0)&lt;0),"Stok eksiye düştü","")))</f>
        <v/>
      </c>
    </row>
    <row r="1252" customFormat="false" ht="15" hidden="false" customHeight="false" outlineLevel="0" collapsed="false">
      <c r="A1252" s="12"/>
      <c r="B1252" s="13"/>
      <c r="C1252" s="14"/>
      <c r="D1252" s="15"/>
      <c r="E1252" s="14"/>
      <c r="F1252" s="16" t="str">
        <f aca="false">IF(OR(C1252="",D1252=""),"",IF(OR(A1252="",B1252=""),"Tarih ya da tür eksik",IF(AND(B1252="Çıkış",IFERROR(INDEX(Ürünler!$H$5:$H$304,MATCH(C1252,Ürünler!$A$5:$A$304,0)),0)&lt;0),"Stok eksiye düştü","")))</f>
        <v/>
      </c>
    </row>
    <row r="1253" customFormat="false" ht="15" hidden="false" customHeight="false" outlineLevel="0" collapsed="false">
      <c r="A1253" s="12"/>
      <c r="B1253" s="13"/>
      <c r="C1253" s="14"/>
      <c r="D1253" s="15"/>
      <c r="E1253" s="14"/>
      <c r="F1253" s="16" t="str">
        <f aca="false">IF(OR(C1253="",D1253=""),"",IF(OR(A1253="",B1253=""),"Tarih ya da tür eksik",IF(AND(B1253="Çıkış",IFERROR(INDEX(Ürünler!$H$5:$H$304,MATCH(C1253,Ürünler!$A$5:$A$304,0)),0)&lt;0),"Stok eksiye düştü","")))</f>
        <v/>
      </c>
    </row>
    <row r="1254" customFormat="false" ht="15" hidden="false" customHeight="false" outlineLevel="0" collapsed="false">
      <c r="A1254" s="12"/>
      <c r="B1254" s="13"/>
      <c r="C1254" s="14"/>
      <c r="D1254" s="15"/>
      <c r="E1254" s="14"/>
      <c r="F1254" s="16" t="str">
        <f aca="false">IF(OR(C1254="",D1254=""),"",IF(OR(A1254="",B1254=""),"Tarih ya da tür eksik",IF(AND(B1254="Çıkış",IFERROR(INDEX(Ürünler!$H$5:$H$304,MATCH(C1254,Ürünler!$A$5:$A$304,0)),0)&lt;0),"Stok eksiye düştü","")))</f>
        <v/>
      </c>
    </row>
    <row r="1255" customFormat="false" ht="15" hidden="false" customHeight="false" outlineLevel="0" collapsed="false">
      <c r="A1255" s="12"/>
      <c r="B1255" s="13"/>
      <c r="C1255" s="14"/>
      <c r="D1255" s="15"/>
      <c r="E1255" s="14"/>
      <c r="F1255" s="16" t="str">
        <f aca="false">IF(OR(C1255="",D1255=""),"",IF(OR(A1255="",B1255=""),"Tarih ya da tür eksik",IF(AND(B1255="Çıkış",IFERROR(INDEX(Ürünler!$H$5:$H$304,MATCH(C1255,Ürünler!$A$5:$A$304,0)),0)&lt;0),"Stok eksiye düştü","")))</f>
        <v/>
      </c>
    </row>
    <row r="1256" customFormat="false" ht="15" hidden="false" customHeight="false" outlineLevel="0" collapsed="false">
      <c r="A1256" s="12"/>
      <c r="B1256" s="13"/>
      <c r="C1256" s="14"/>
      <c r="D1256" s="15"/>
      <c r="E1256" s="14"/>
      <c r="F1256" s="16" t="str">
        <f aca="false">IF(OR(C1256="",D1256=""),"",IF(OR(A1256="",B1256=""),"Tarih ya da tür eksik",IF(AND(B1256="Çıkış",IFERROR(INDEX(Ürünler!$H$5:$H$304,MATCH(C1256,Ürünler!$A$5:$A$304,0)),0)&lt;0),"Stok eksiye düştü","")))</f>
        <v/>
      </c>
    </row>
    <row r="1257" customFormat="false" ht="15" hidden="false" customHeight="false" outlineLevel="0" collapsed="false">
      <c r="A1257" s="12"/>
      <c r="B1257" s="13"/>
      <c r="C1257" s="14"/>
      <c r="D1257" s="15"/>
      <c r="E1257" s="14"/>
      <c r="F1257" s="16" t="str">
        <f aca="false">IF(OR(C1257="",D1257=""),"",IF(OR(A1257="",B1257=""),"Tarih ya da tür eksik",IF(AND(B1257="Çıkış",IFERROR(INDEX(Ürünler!$H$5:$H$304,MATCH(C1257,Ürünler!$A$5:$A$304,0)),0)&lt;0),"Stok eksiye düştü","")))</f>
        <v/>
      </c>
    </row>
    <row r="1258" customFormat="false" ht="15" hidden="false" customHeight="false" outlineLevel="0" collapsed="false">
      <c r="A1258" s="12"/>
      <c r="B1258" s="13"/>
      <c r="C1258" s="14"/>
      <c r="D1258" s="15"/>
      <c r="E1258" s="14"/>
      <c r="F1258" s="16" t="str">
        <f aca="false">IF(OR(C1258="",D1258=""),"",IF(OR(A1258="",B1258=""),"Tarih ya da tür eksik",IF(AND(B1258="Çıkış",IFERROR(INDEX(Ürünler!$H$5:$H$304,MATCH(C1258,Ürünler!$A$5:$A$304,0)),0)&lt;0),"Stok eksiye düştü","")))</f>
        <v/>
      </c>
    </row>
    <row r="1259" customFormat="false" ht="15" hidden="false" customHeight="false" outlineLevel="0" collapsed="false">
      <c r="A1259" s="12"/>
      <c r="B1259" s="13"/>
      <c r="C1259" s="14"/>
      <c r="D1259" s="15"/>
      <c r="E1259" s="14"/>
      <c r="F1259" s="16" t="str">
        <f aca="false">IF(OR(C1259="",D1259=""),"",IF(OR(A1259="",B1259=""),"Tarih ya da tür eksik",IF(AND(B1259="Çıkış",IFERROR(INDEX(Ürünler!$H$5:$H$304,MATCH(C1259,Ürünler!$A$5:$A$304,0)),0)&lt;0),"Stok eksiye düştü","")))</f>
        <v/>
      </c>
    </row>
    <row r="1260" customFormat="false" ht="15" hidden="false" customHeight="false" outlineLevel="0" collapsed="false">
      <c r="A1260" s="12"/>
      <c r="B1260" s="13"/>
      <c r="C1260" s="14"/>
      <c r="D1260" s="15"/>
      <c r="E1260" s="14"/>
      <c r="F1260" s="16" t="str">
        <f aca="false">IF(OR(C1260="",D1260=""),"",IF(OR(A1260="",B1260=""),"Tarih ya da tür eksik",IF(AND(B1260="Çıkış",IFERROR(INDEX(Ürünler!$H$5:$H$304,MATCH(C1260,Ürünler!$A$5:$A$304,0)),0)&lt;0),"Stok eksiye düştü","")))</f>
        <v/>
      </c>
    </row>
    <row r="1261" customFormat="false" ht="15" hidden="false" customHeight="false" outlineLevel="0" collapsed="false">
      <c r="A1261" s="12"/>
      <c r="B1261" s="13"/>
      <c r="C1261" s="14"/>
      <c r="D1261" s="15"/>
      <c r="E1261" s="14"/>
      <c r="F1261" s="16" t="str">
        <f aca="false">IF(OR(C1261="",D1261=""),"",IF(OR(A1261="",B1261=""),"Tarih ya da tür eksik",IF(AND(B1261="Çıkış",IFERROR(INDEX(Ürünler!$H$5:$H$304,MATCH(C1261,Ürünler!$A$5:$A$304,0)),0)&lt;0),"Stok eksiye düştü","")))</f>
        <v/>
      </c>
    </row>
    <row r="1262" customFormat="false" ht="15" hidden="false" customHeight="false" outlineLevel="0" collapsed="false">
      <c r="A1262" s="12"/>
      <c r="B1262" s="13"/>
      <c r="C1262" s="14"/>
      <c r="D1262" s="15"/>
      <c r="E1262" s="14"/>
      <c r="F1262" s="16" t="str">
        <f aca="false">IF(OR(C1262="",D1262=""),"",IF(OR(A1262="",B1262=""),"Tarih ya da tür eksik",IF(AND(B1262="Çıkış",IFERROR(INDEX(Ürünler!$H$5:$H$304,MATCH(C1262,Ürünler!$A$5:$A$304,0)),0)&lt;0),"Stok eksiye düştü","")))</f>
        <v/>
      </c>
    </row>
    <row r="1263" customFormat="false" ht="15" hidden="false" customHeight="false" outlineLevel="0" collapsed="false">
      <c r="A1263" s="12"/>
      <c r="B1263" s="13"/>
      <c r="C1263" s="14"/>
      <c r="D1263" s="15"/>
      <c r="E1263" s="14"/>
      <c r="F1263" s="16" t="str">
        <f aca="false">IF(OR(C1263="",D1263=""),"",IF(OR(A1263="",B1263=""),"Tarih ya da tür eksik",IF(AND(B1263="Çıkış",IFERROR(INDEX(Ürünler!$H$5:$H$304,MATCH(C1263,Ürünler!$A$5:$A$304,0)),0)&lt;0),"Stok eksiye düştü","")))</f>
        <v/>
      </c>
    </row>
    <row r="1264" customFormat="false" ht="15" hidden="false" customHeight="false" outlineLevel="0" collapsed="false">
      <c r="A1264" s="12"/>
      <c r="B1264" s="13"/>
      <c r="C1264" s="14"/>
      <c r="D1264" s="15"/>
      <c r="E1264" s="14"/>
      <c r="F1264" s="16" t="str">
        <f aca="false">IF(OR(C1264="",D1264=""),"",IF(OR(A1264="",B1264=""),"Tarih ya da tür eksik",IF(AND(B1264="Çıkış",IFERROR(INDEX(Ürünler!$H$5:$H$304,MATCH(C1264,Ürünler!$A$5:$A$304,0)),0)&lt;0),"Stok eksiye düştü","")))</f>
        <v/>
      </c>
    </row>
    <row r="1265" customFormat="false" ht="15" hidden="false" customHeight="false" outlineLevel="0" collapsed="false">
      <c r="A1265" s="12"/>
      <c r="B1265" s="13"/>
      <c r="C1265" s="14"/>
      <c r="D1265" s="15"/>
      <c r="E1265" s="14"/>
      <c r="F1265" s="16" t="str">
        <f aca="false">IF(OR(C1265="",D1265=""),"",IF(OR(A1265="",B1265=""),"Tarih ya da tür eksik",IF(AND(B1265="Çıkış",IFERROR(INDEX(Ürünler!$H$5:$H$304,MATCH(C1265,Ürünler!$A$5:$A$304,0)),0)&lt;0),"Stok eksiye düştü","")))</f>
        <v/>
      </c>
    </row>
    <row r="1266" customFormat="false" ht="15" hidden="false" customHeight="false" outlineLevel="0" collapsed="false">
      <c r="A1266" s="12"/>
      <c r="B1266" s="13"/>
      <c r="C1266" s="14"/>
      <c r="D1266" s="15"/>
      <c r="E1266" s="14"/>
      <c r="F1266" s="16" t="str">
        <f aca="false">IF(OR(C1266="",D1266=""),"",IF(OR(A1266="",B1266=""),"Tarih ya da tür eksik",IF(AND(B1266="Çıkış",IFERROR(INDEX(Ürünler!$H$5:$H$304,MATCH(C1266,Ürünler!$A$5:$A$304,0)),0)&lt;0),"Stok eksiye düştü","")))</f>
        <v/>
      </c>
    </row>
    <row r="1267" customFormat="false" ht="15" hidden="false" customHeight="false" outlineLevel="0" collapsed="false">
      <c r="A1267" s="12"/>
      <c r="B1267" s="13"/>
      <c r="C1267" s="14"/>
      <c r="D1267" s="15"/>
      <c r="E1267" s="14"/>
      <c r="F1267" s="16" t="str">
        <f aca="false">IF(OR(C1267="",D1267=""),"",IF(OR(A1267="",B1267=""),"Tarih ya da tür eksik",IF(AND(B1267="Çıkış",IFERROR(INDEX(Ürünler!$H$5:$H$304,MATCH(C1267,Ürünler!$A$5:$A$304,0)),0)&lt;0),"Stok eksiye düştü","")))</f>
        <v/>
      </c>
    </row>
    <row r="1268" customFormat="false" ht="15" hidden="false" customHeight="false" outlineLevel="0" collapsed="false">
      <c r="A1268" s="12"/>
      <c r="B1268" s="13"/>
      <c r="C1268" s="14"/>
      <c r="D1268" s="15"/>
      <c r="E1268" s="14"/>
      <c r="F1268" s="16" t="str">
        <f aca="false">IF(OR(C1268="",D1268=""),"",IF(OR(A1268="",B1268=""),"Tarih ya da tür eksik",IF(AND(B1268="Çıkış",IFERROR(INDEX(Ürünler!$H$5:$H$304,MATCH(C1268,Ürünler!$A$5:$A$304,0)),0)&lt;0),"Stok eksiye düştü","")))</f>
        <v/>
      </c>
    </row>
    <row r="1269" customFormat="false" ht="15" hidden="false" customHeight="false" outlineLevel="0" collapsed="false">
      <c r="A1269" s="12"/>
      <c r="B1269" s="13"/>
      <c r="C1269" s="14"/>
      <c r="D1269" s="15"/>
      <c r="E1269" s="14"/>
      <c r="F1269" s="16" t="str">
        <f aca="false">IF(OR(C1269="",D1269=""),"",IF(OR(A1269="",B1269=""),"Tarih ya da tür eksik",IF(AND(B1269="Çıkış",IFERROR(INDEX(Ürünler!$H$5:$H$304,MATCH(C1269,Ürünler!$A$5:$A$304,0)),0)&lt;0),"Stok eksiye düştü","")))</f>
        <v/>
      </c>
    </row>
    <row r="1270" customFormat="false" ht="15" hidden="false" customHeight="false" outlineLevel="0" collapsed="false">
      <c r="A1270" s="12"/>
      <c r="B1270" s="13"/>
      <c r="C1270" s="14"/>
      <c r="D1270" s="15"/>
      <c r="E1270" s="14"/>
      <c r="F1270" s="16" t="str">
        <f aca="false">IF(OR(C1270="",D1270=""),"",IF(OR(A1270="",B1270=""),"Tarih ya da tür eksik",IF(AND(B1270="Çıkış",IFERROR(INDEX(Ürünler!$H$5:$H$304,MATCH(C1270,Ürünler!$A$5:$A$304,0)),0)&lt;0),"Stok eksiye düştü","")))</f>
        <v/>
      </c>
    </row>
    <row r="1271" customFormat="false" ht="15" hidden="false" customHeight="false" outlineLevel="0" collapsed="false">
      <c r="A1271" s="12"/>
      <c r="B1271" s="13"/>
      <c r="C1271" s="14"/>
      <c r="D1271" s="15"/>
      <c r="E1271" s="14"/>
      <c r="F1271" s="16" t="str">
        <f aca="false">IF(OR(C1271="",D1271=""),"",IF(OR(A1271="",B1271=""),"Tarih ya da tür eksik",IF(AND(B1271="Çıkış",IFERROR(INDEX(Ürünler!$H$5:$H$304,MATCH(C1271,Ürünler!$A$5:$A$304,0)),0)&lt;0),"Stok eksiye düştü","")))</f>
        <v/>
      </c>
    </row>
    <row r="1272" customFormat="false" ht="15" hidden="false" customHeight="false" outlineLevel="0" collapsed="false">
      <c r="A1272" s="12"/>
      <c r="B1272" s="13"/>
      <c r="C1272" s="14"/>
      <c r="D1272" s="15"/>
      <c r="E1272" s="14"/>
      <c r="F1272" s="16" t="str">
        <f aca="false">IF(OR(C1272="",D1272=""),"",IF(OR(A1272="",B1272=""),"Tarih ya da tür eksik",IF(AND(B1272="Çıkış",IFERROR(INDEX(Ürünler!$H$5:$H$304,MATCH(C1272,Ürünler!$A$5:$A$304,0)),0)&lt;0),"Stok eksiye düştü","")))</f>
        <v/>
      </c>
    </row>
    <row r="1273" customFormat="false" ht="15" hidden="false" customHeight="false" outlineLevel="0" collapsed="false">
      <c r="A1273" s="12"/>
      <c r="B1273" s="13"/>
      <c r="C1273" s="14"/>
      <c r="D1273" s="15"/>
      <c r="E1273" s="14"/>
      <c r="F1273" s="16" t="str">
        <f aca="false">IF(OR(C1273="",D1273=""),"",IF(OR(A1273="",B1273=""),"Tarih ya da tür eksik",IF(AND(B1273="Çıkış",IFERROR(INDEX(Ürünler!$H$5:$H$304,MATCH(C1273,Ürünler!$A$5:$A$304,0)),0)&lt;0),"Stok eksiye düştü","")))</f>
        <v/>
      </c>
    </row>
    <row r="1274" customFormat="false" ht="15" hidden="false" customHeight="false" outlineLevel="0" collapsed="false">
      <c r="A1274" s="12"/>
      <c r="B1274" s="13"/>
      <c r="C1274" s="14"/>
      <c r="D1274" s="15"/>
      <c r="E1274" s="14"/>
      <c r="F1274" s="16" t="str">
        <f aca="false">IF(OR(C1274="",D1274=""),"",IF(OR(A1274="",B1274=""),"Tarih ya da tür eksik",IF(AND(B1274="Çıkış",IFERROR(INDEX(Ürünler!$H$5:$H$304,MATCH(C1274,Ürünler!$A$5:$A$304,0)),0)&lt;0),"Stok eksiye düştü","")))</f>
        <v/>
      </c>
    </row>
    <row r="1275" customFormat="false" ht="15" hidden="false" customHeight="false" outlineLevel="0" collapsed="false">
      <c r="A1275" s="12"/>
      <c r="B1275" s="13"/>
      <c r="C1275" s="14"/>
      <c r="D1275" s="15"/>
      <c r="E1275" s="14"/>
      <c r="F1275" s="16" t="str">
        <f aca="false">IF(OR(C1275="",D1275=""),"",IF(OR(A1275="",B1275=""),"Tarih ya da tür eksik",IF(AND(B1275="Çıkış",IFERROR(INDEX(Ürünler!$H$5:$H$304,MATCH(C1275,Ürünler!$A$5:$A$304,0)),0)&lt;0),"Stok eksiye düştü","")))</f>
        <v/>
      </c>
    </row>
    <row r="1276" customFormat="false" ht="15" hidden="false" customHeight="false" outlineLevel="0" collapsed="false">
      <c r="A1276" s="12"/>
      <c r="B1276" s="13"/>
      <c r="C1276" s="14"/>
      <c r="D1276" s="15"/>
      <c r="E1276" s="14"/>
      <c r="F1276" s="16" t="str">
        <f aca="false">IF(OR(C1276="",D1276=""),"",IF(OR(A1276="",B1276=""),"Tarih ya da tür eksik",IF(AND(B1276="Çıkış",IFERROR(INDEX(Ürünler!$H$5:$H$304,MATCH(C1276,Ürünler!$A$5:$A$304,0)),0)&lt;0),"Stok eksiye düştü","")))</f>
        <v/>
      </c>
    </row>
    <row r="1277" customFormat="false" ht="15" hidden="false" customHeight="false" outlineLevel="0" collapsed="false">
      <c r="A1277" s="12"/>
      <c r="B1277" s="13"/>
      <c r="C1277" s="14"/>
      <c r="D1277" s="15"/>
      <c r="E1277" s="14"/>
      <c r="F1277" s="16" t="str">
        <f aca="false">IF(OR(C1277="",D1277=""),"",IF(OR(A1277="",B1277=""),"Tarih ya da tür eksik",IF(AND(B1277="Çıkış",IFERROR(INDEX(Ürünler!$H$5:$H$304,MATCH(C1277,Ürünler!$A$5:$A$304,0)),0)&lt;0),"Stok eksiye düştü","")))</f>
        <v/>
      </c>
    </row>
    <row r="1278" customFormat="false" ht="15" hidden="false" customHeight="false" outlineLevel="0" collapsed="false">
      <c r="A1278" s="12"/>
      <c r="B1278" s="13"/>
      <c r="C1278" s="14"/>
      <c r="D1278" s="15"/>
      <c r="E1278" s="14"/>
      <c r="F1278" s="16" t="str">
        <f aca="false">IF(OR(C1278="",D1278=""),"",IF(OR(A1278="",B1278=""),"Tarih ya da tür eksik",IF(AND(B1278="Çıkış",IFERROR(INDEX(Ürünler!$H$5:$H$304,MATCH(C1278,Ürünler!$A$5:$A$304,0)),0)&lt;0),"Stok eksiye düştü","")))</f>
        <v/>
      </c>
    </row>
    <row r="1279" customFormat="false" ht="15" hidden="false" customHeight="false" outlineLevel="0" collapsed="false">
      <c r="A1279" s="12"/>
      <c r="B1279" s="13"/>
      <c r="C1279" s="14"/>
      <c r="D1279" s="15"/>
      <c r="E1279" s="14"/>
      <c r="F1279" s="16" t="str">
        <f aca="false">IF(OR(C1279="",D1279=""),"",IF(OR(A1279="",B1279=""),"Tarih ya da tür eksik",IF(AND(B1279="Çıkış",IFERROR(INDEX(Ürünler!$H$5:$H$304,MATCH(C1279,Ürünler!$A$5:$A$304,0)),0)&lt;0),"Stok eksiye düştü","")))</f>
        <v/>
      </c>
    </row>
    <row r="1280" customFormat="false" ht="15" hidden="false" customHeight="false" outlineLevel="0" collapsed="false">
      <c r="A1280" s="12"/>
      <c r="B1280" s="13"/>
      <c r="C1280" s="14"/>
      <c r="D1280" s="15"/>
      <c r="E1280" s="14"/>
      <c r="F1280" s="16" t="str">
        <f aca="false">IF(OR(C1280="",D1280=""),"",IF(OR(A1280="",B1280=""),"Tarih ya da tür eksik",IF(AND(B1280="Çıkış",IFERROR(INDEX(Ürünler!$H$5:$H$304,MATCH(C1280,Ürünler!$A$5:$A$304,0)),0)&lt;0),"Stok eksiye düştü","")))</f>
        <v/>
      </c>
    </row>
    <row r="1281" customFormat="false" ht="15" hidden="false" customHeight="false" outlineLevel="0" collapsed="false">
      <c r="A1281" s="12"/>
      <c r="B1281" s="13"/>
      <c r="C1281" s="14"/>
      <c r="D1281" s="15"/>
      <c r="E1281" s="14"/>
      <c r="F1281" s="16" t="str">
        <f aca="false">IF(OR(C1281="",D1281=""),"",IF(OR(A1281="",B1281=""),"Tarih ya da tür eksik",IF(AND(B1281="Çıkış",IFERROR(INDEX(Ürünler!$H$5:$H$304,MATCH(C1281,Ürünler!$A$5:$A$304,0)),0)&lt;0),"Stok eksiye düştü","")))</f>
        <v/>
      </c>
    </row>
    <row r="1282" customFormat="false" ht="15" hidden="false" customHeight="false" outlineLevel="0" collapsed="false">
      <c r="A1282" s="12"/>
      <c r="B1282" s="13"/>
      <c r="C1282" s="14"/>
      <c r="D1282" s="15"/>
      <c r="E1282" s="14"/>
      <c r="F1282" s="16" t="str">
        <f aca="false">IF(OR(C1282="",D1282=""),"",IF(OR(A1282="",B1282=""),"Tarih ya da tür eksik",IF(AND(B1282="Çıkış",IFERROR(INDEX(Ürünler!$H$5:$H$304,MATCH(C1282,Ürünler!$A$5:$A$304,0)),0)&lt;0),"Stok eksiye düştü","")))</f>
        <v/>
      </c>
    </row>
    <row r="1283" customFormat="false" ht="15" hidden="false" customHeight="false" outlineLevel="0" collapsed="false">
      <c r="A1283" s="12"/>
      <c r="B1283" s="13"/>
      <c r="C1283" s="14"/>
      <c r="D1283" s="15"/>
      <c r="E1283" s="14"/>
      <c r="F1283" s="16" t="str">
        <f aca="false">IF(OR(C1283="",D1283=""),"",IF(OR(A1283="",B1283=""),"Tarih ya da tür eksik",IF(AND(B1283="Çıkış",IFERROR(INDEX(Ürünler!$H$5:$H$304,MATCH(C1283,Ürünler!$A$5:$A$304,0)),0)&lt;0),"Stok eksiye düştü","")))</f>
        <v/>
      </c>
    </row>
    <row r="1284" customFormat="false" ht="15" hidden="false" customHeight="false" outlineLevel="0" collapsed="false">
      <c r="A1284" s="12"/>
      <c r="B1284" s="13"/>
      <c r="C1284" s="14"/>
      <c r="D1284" s="15"/>
      <c r="E1284" s="14"/>
      <c r="F1284" s="16" t="str">
        <f aca="false">IF(OR(C1284="",D1284=""),"",IF(OR(A1284="",B1284=""),"Tarih ya da tür eksik",IF(AND(B1284="Çıkış",IFERROR(INDEX(Ürünler!$H$5:$H$304,MATCH(C1284,Ürünler!$A$5:$A$304,0)),0)&lt;0),"Stok eksiye düştü","")))</f>
        <v/>
      </c>
    </row>
    <row r="1285" customFormat="false" ht="15" hidden="false" customHeight="false" outlineLevel="0" collapsed="false">
      <c r="A1285" s="12"/>
      <c r="B1285" s="13"/>
      <c r="C1285" s="14"/>
      <c r="D1285" s="15"/>
      <c r="E1285" s="14"/>
      <c r="F1285" s="16" t="str">
        <f aca="false">IF(OR(C1285="",D1285=""),"",IF(OR(A1285="",B1285=""),"Tarih ya da tür eksik",IF(AND(B1285="Çıkış",IFERROR(INDEX(Ürünler!$H$5:$H$304,MATCH(C1285,Ürünler!$A$5:$A$304,0)),0)&lt;0),"Stok eksiye düştü","")))</f>
        <v/>
      </c>
    </row>
    <row r="1286" customFormat="false" ht="15" hidden="false" customHeight="false" outlineLevel="0" collapsed="false">
      <c r="A1286" s="12"/>
      <c r="B1286" s="13"/>
      <c r="C1286" s="14"/>
      <c r="D1286" s="15"/>
      <c r="E1286" s="14"/>
      <c r="F1286" s="16" t="str">
        <f aca="false">IF(OR(C1286="",D1286=""),"",IF(OR(A1286="",B1286=""),"Tarih ya da tür eksik",IF(AND(B1286="Çıkış",IFERROR(INDEX(Ürünler!$H$5:$H$304,MATCH(C1286,Ürünler!$A$5:$A$304,0)),0)&lt;0),"Stok eksiye düştü","")))</f>
        <v/>
      </c>
    </row>
    <row r="1287" customFormat="false" ht="15" hidden="false" customHeight="false" outlineLevel="0" collapsed="false">
      <c r="A1287" s="12"/>
      <c r="B1287" s="13"/>
      <c r="C1287" s="14"/>
      <c r="D1287" s="15"/>
      <c r="E1287" s="14"/>
      <c r="F1287" s="16" t="str">
        <f aca="false">IF(OR(C1287="",D1287=""),"",IF(OR(A1287="",B1287=""),"Tarih ya da tür eksik",IF(AND(B1287="Çıkış",IFERROR(INDEX(Ürünler!$H$5:$H$304,MATCH(C1287,Ürünler!$A$5:$A$304,0)),0)&lt;0),"Stok eksiye düştü","")))</f>
        <v/>
      </c>
    </row>
    <row r="1288" customFormat="false" ht="15" hidden="false" customHeight="false" outlineLevel="0" collapsed="false">
      <c r="A1288" s="12"/>
      <c r="B1288" s="13"/>
      <c r="C1288" s="14"/>
      <c r="D1288" s="15"/>
      <c r="E1288" s="14"/>
      <c r="F1288" s="16" t="str">
        <f aca="false">IF(OR(C1288="",D1288=""),"",IF(OR(A1288="",B1288=""),"Tarih ya da tür eksik",IF(AND(B1288="Çıkış",IFERROR(INDEX(Ürünler!$H$5:$H$304,MATCH(C1288,Ürünler!$A$5:$A$304,0)),0)&lt;0),"Stok eksiye düştü","")))</f>
        <v/>
      </c>
    </row>
    <row r="1289" customFormat="false" ht="15" hidden="false" customHeight="false" outlineLevel="0" collapsed="false">
      <c r="A1289" s="12"/>
      <c r="B1289" s="13"/>
      <c r="C1289" s="14"/>
      <c r="D1289" s="15"/>
      <c r="E1289" s="14"/>
      <c r="F1289" s="16" t="str">
        <f aca="false">IF(OR(C1289="",D1289=""),"",IF(OR(A1289="",B1289=""),"Tarih ya da tür eksik",IF(AND(B1289="Çıkış",IFERROR(INDEX(Ürünler!$H$5:$H$304,MATCH(C1289,Ürünler!$A$5:$A$304,0)),0)&lt;0),"Stok eksiye düştü","")))</f>
        <v/>
      </c>
    </row>
    <row r="1290" customFormat="false" ht="15" hidden="false" customHeight="false" outlineLevel="0" collapsed="false">
      <c r="A1290" s="12"/>
      <c r="B1290" s="13"/>
      <c r="C1290" s="14"/>
      <c r="D1290" s="15"/>
      <c r="E1290" s="14"/>
      <c r="F1290" s="16" t="str">
        <f aca="false">IF(OR(C1290="",D1290=""),"",IF(OR(A1290="",B1290=""),"Tarih ya da tür eksik",IF(AND(B1290="Çıkış",IFERROR(INDEX(Ürünler!$H$5:$H$304,MATCH(C1290,Ürünler!$A$5:$A$304,0)),0)&lt;0),"Stok eksiye düştü","")))</f>
        <v/>
      </c>
    </row>
    <row r="1291" customFormat="false" ht="15" hidden="false" customHeight="false" outlineLevel="0" collapsed="false">
      <c r="A1291" s="12"/>
      <c r="B1291" s="13"/>
      <c r="C1291" s="14"/>
      <c r="D1291" s="15"/>
      <c r="E1291" s="14"/>
      <c r="F1291" s="16" t="str">
        <f aca="false">IF(OR(C1291="",D1291=""),"",IF(OR(A1291="",B1291=""),"Tarih ya da tür eksik",IF(AND(B1291="Çıkış",IFERROR(INDEX(Ürünler!$H$5:$H$304,MATCH(C1291,Ürünler!$A$5:$A$304,0)),0)&lt;0),"Stok eksiye düştü","")))</f>
        <v/>
      </c>
    </row>
    <row r="1292" customFormat="false" ht="15" hidden="false" customHeight="false" outlineLevel="0" collapsed="false">
      <c r="A1292" s="12"/>
      <c r="B1292" s="13"/>
      <c r="C1292" s="14"/>
      <c r="D1292" s="15"/>
      <c r="E1292" s="14"/>
      <c r="F1292" s="16" t="str">
        <f aca="false">IF(OR(C1292="",D1292=""),"",IF(OR(A1292="",B1292=""),"Tarih ya da tür eksik",IF(AND(B1292="Çıkış",IFERROR(INDEX(Ürünler!$H$5:$H$304,MATCH(C1292,Ürünler!$A$5:$A$304,0)),0)&lt;0),"Stok eksiye düştü","")))</f>
        <v/>
      </c>
    </row>
    <row r="1293" customFormat="false" ht="15" hidden="false" customHeight="false" outlineLevel="0" collapsed="false">
      <c r="A1293" s="12"/>
      <c r="B1293" s="13"/>
      <c r="C1293" s="14"/>
      <c r="D1293" s="15"/>
      <c r="E1293" s="14"/>
      <c r="F1293" s="16" t="str">
        <f aca="false">IF(OR(C1293="",D1293=""),"",IF(OR(A1293="",B1293=""),"Tarih ya da tür eksik",IF(AND(B1293="Çıkış",IFERROR(INDEX(Ürünler!$H$5:$H$304,MATCH(C1293,Ürünler!$A$5:$A$304,0)),0)&lt;0),"Stok eksiye düştü","")))</f>
        <v/>
      </c>
    </row>
    <row r="1294" customFormat="false" ht="15" hidden="false" customHeight="false" outlineLevel="0" collapsed="false">
      <c r="A1294" s="12"/>
      <c r="B1294" s="13"/>
      <c r="C1294" s="14"/>
      <c r="D1294" s="15"/>
      <c r="E1294" s="14"/>
      <c r="F1294" s="16" t="str">
        <f aca="false">IF(OR(C1294="",D1294=""),"",IF(OR(A1294="",B1294=""),"Tarih ya da tür eksik",IF(AND(B1294="Çıkış",IFERROR(INDEX(Ürünler!$H$5:$H$304,MATCH(C1294,Ürünler!$A$5:$A$304,0)),0)&lt;0),"Stok eksiye düştü","")))</f>
        <v/>
      </c>
    </row>
    <row r="1295" customFormat="false" ht="15" hidden="false" customHeight="false" outlineLevel="0" collapsed="false">
      <c r="A1295" s="12"/>
      <c r="B1295" s="13"/>
      <c r="C1295" s="14"/>
      <c r="D1295" s="15"/>
      <c r="E1295" s="14"/>
      <c r="F1295" s="16" t="str">
        <f aca="false">IF(OR(C1295="",D1295=""),"",IF(OR(A1295="",B1295=""),"Tarih ya da tür eksik",IF(AND(B1295="Çıkış",IFERROR(INDEX(Ürünler!$H$5:$H$304,MATCH(C1295,Ürünler!$A$5:$A$304,0)),0)&lt;0),"Stok eksiye düştü","")))</f>
        <v/>
      </c>
    </row>
    <row r="1296" customFormat="false" ht="15" hidden="false" customHeight="false" outlineLevel="0" collapsed="false">
      <c r="A1296" s="12"/>
      <c r="B1296" s="13"/>
      <c r="C1296" s="14"/>
      <c r="D1296" s="15"/>
      <c r="E1296" s="14"/>
      <c r="F1296" s="16" t="str">
        <f aca="false">IF(OR(C1296="",D1296=""),"",IF(OR(A1296="",B1296=""),"Tarih ya da tür eksik",IF(AND(B1296="Çıkış",IFERROR(INDEX(Ürünler!$H$5:$H$304,MATCH(C1296,Ürünler!$A$5:$A$304,0)),0)&lt;0),"Stok eksiye düştü","")))</f>
        <v/>
      </c>
    </row>
    <row r="1297" customFormat="false" ht="15" hidden="false" customHeight="false" outlineLevel="0" collapsed="false">
      <c r="A1297" s="12"/>
      <c r="B1297" s="13"/>
      <c r="C1297" s="14"/>
      <c r="D1297" s="15"/>
      <c r="E1297" s="14"/>
      <c r="F1297" s="16" t="str">
        <f aca="false">IF(OR(C1297="",D1297=""),"",IF(OR(A1297="",B1297=""),"Tarih ya da tür eksik",IF(AND(B1297="Çıkış",IFERROR(INDEX(Ürünler!$H$5:$H$304,MATCH(C1297,Ürünler!$A$5:$A$304,0)),0)&lt;0),"Stok eksiye düştü","")))</f>
        <v/>
      </c>
    </row>
    <row r="1298" customFormat="false" ht="15" hidden="false" customHeight="false" outlineLevel="0" collapsed="false">
      <c r="A1298" s="12"/>
      <c r="B1298" s="13"/>
      <c r="C1298" s="14"/>
      <c r="D1298" s="15"/>
      <c r="E1298" s="14"/>
      <c r="F1298" s="16" t="str">
        <f aca="false">IF(OR(C1298="",D1298=""),"",IF(OR(A1298="",B1298=""),"Tarih ya da tür eksik",IF(AND(B1298="Çıkış",IFERROR(INDEX(Ürünler!$H$5:$H$304,MATCH(C1298,Ürünler!$A$5:$A$304,0)),0)&lt;0),"Stok eksiye düştü","")))</f>
        <v/>
      </c>
    </row>
    <row r="1299" customFormat="false" ht="15" hidden="false" customHeight="false" outlineLevel="0" collapsed="false">
      <c r="A1299" s="12"/>
      <c r="B1299" s="13"/>
      <c r="C1299" s="14"/>
      <c r="D1299" s="15"/>
      <c r="E1299" s="14"/>
      <c r="F1299" s="16" t="str">
        <f aca="false">IF(OR(C1299="",D1299=""),"",IF(OR(A1299="",B1299=""),"Tarih ya da tür eksik",IF(AND(B1299="Çıkış",IFERROR(INDEX(Ürünler!$H$5:$H$304,MATCH(C1299,Ürünler!$A$5:$A$304,0)),0)&lt;0),"Stok eksiye düştü","")))</f>
        <v/>
      </c>
    </row>
    <row r="1300" customFormat="false" ht="15" hidden="false" customHeight="false" outlineLevel="0" collapsed="false">
      <c r="A1300" s="12"/>
      <c r="B1300" s="13"/>
      <c r="C1300" s="14"/>
      <c r="D1300" s="15"/>
      <c r="E1300" s="14"/>
      <c r="F1300" s="16" t="str">
        <f aca="false">IF(OR(C1300="",D1300=""),"",IF(OR(A1300="",B1300=""),"Tarih ya da tür eksik",IF(AND(B1300="Çıkış",IFERROR(INDEX(Ürünler!$H$5:$H$304,MATCH(C1300,Ürünler!$A$5:$A$304,0)),0)&lt;0),"Stok eksiye düştü","")))</f>
        <v/>
      </c>
    </row>
    <row r="1301" customFormat="false" ht="15" hidden="false" customHeight="false" outlineLevel="0" collapsed="false">
      <c r="A1301" s="12"/>
      <c r="B1301" s="13"/>
      <c r="C1301" s="14"/>
      <c r="D1301" s="15"/>
      <c r="E1301" s="14"/>
      <c r="F1301" s="16" t="str">
        <f aca="false">IF(OR(C1301="",D1301=""),"",IF(OR(A1301="",B1301=""),"Tarih ya da tür eksik",IF(AND(B1301="Çıkış",IFERROR(INDEX(Ürünler!$H$5:$H$304,MATCH(C1301,Ürünler!$A$5:$A$304,0)),0)&lt;0),"Stok eksiye düştü","")))</f>
        <v/>
      </c>
    </row>
    <row r="1302" customFormat="false" ht="15" hidden="false" customHeight="false" outlineLevel="0" collapsed="false">
      <c r="A1302" s="12"/>
      <c r="B1302" s="13"/>
      <c r="C1302" s="14"/>
      <c r="D1302" s="15"/>
      <c r="E1302" s="14"/>
      <c r="F1302" s="16" t="str">
        <f aca="false">IF(OR(C1302="",D1302=""),"",IF(OR(A1302="",B1302=""),"Tarih ya da tür eksik",IF(AND(B1302="Çıkış",IFERROR(INDEX(Ürünler!$H$5:$H$304,MATCH(C1302,Ürünler!$A$5:$A$304,0)),0)&lt;0),"Stok eksiye düştü","")))</f>
        <v/>
      </c>
    </row>
    <row r="1303" customFormat="false" ht="15" hidden="false" customHeight="false" outlineLevel="0" collapsed="false">
      <c r="A1303" s="12"/>
      <c r="B1303" s="13"/>
      <c r="C1303" s="14"/>
      <c r="D1303" s="15"/>
      <c r="E1303" s="14"/>
      <c r="F1303" s="16" t="str">
        <f aca="false">IF(OR(C1303="",D1303=""),"",IF(OR(A1303="",B1303=""),"Tarih ya da tür eksik",IF(AND(B1303="Çıkış",IFERROR(INDEX(Ürünler!$H$5:$H$304,MATCH(C1303,Ürünler!$A$5:$A$304,0)),0)&lt;0),"Stok eksiye düştü","")))</f>
        <v/>
      </c>
    </row>
    <row r="1304" customFormat="false" ht="15" hidden="false" customHeight="false" outlineLevel="0" collapsed="false">
      <c r="A1304" s="12"/>
      <c r="B1304" s="13"/>
      <c r="C1304" s="14"/>
      <c r="D1304" s="15"/>
      <c r="E1304" s="14"/>
      <c r="F1304" s="16" t="str">
        <f aca="false">IF(OR(C1304="",D1304=""),"",IF(OR(A1304="",B1304=""),"Tarih ya da tür eksik",IF(AND(B1304="Çıkış",IFERROR(INDEX(Ürünler!$H$5:$H$304,MATCH(C1304,Ürünler!$A$5:$A$304,0)),0)&lt;0),"Stok eksiye düştü","")))</f>
        <v/>
      </c>
    </row>
    <row r="1305" customFormat="false" ht="15" hidden="false" customHeight="false" outlineLevel="0" collapsed="false">
      <c r="A1305" s="12"/>
      <c r="B1305" s="13"/>
      <c r="C1305" s="14"/>
      <c r="D1305" s="15"/>
      <c r="E1305" s="14"/>
      <c r="F1305" s="16" t="str">
        <f aca="false">IF(OR(C1305="",D1305=""),"",IF(OR(A1305="",B1305=""),"Tarih ya da tür eksik",IF(AND(B1305="Çıkış",IFERROR(INDEX(Ürünler!$H$5:$H$304,MATCH(C1305,Ürünler!$A$5:$A$304,0)),0)&lt;0),"Stok eksiye düştü","")))</f>
        <v/>
      </c>
    </row>
    <row r="1306" customFormat="false" ht="15" hidden="false" customHeight="false" outlineLevel="0" collapsed="false">
      <c r="A1306" s="12"/>
      <c r="B1306" s="13"/>
      <c r="C1306" s="14"/>
      <c r="D1306" s="15"/>
      <c r="E1306" s="14"/>
      <c r="F1306" s="16" t="str">
        <f aca="false">IF(OR(C1306="",D1306=""),"",IF(OR(A1306="",B1306=""),"Tarih ya da tür eksik",IF(AND(B1306="Çıkış",IFERROR(INDEX(Ürünler!$H$5:$H$304,MATCH(C1306,Ürünler!$A$5:$A$304,0)),0)&lt;0),"Stok eksiye düştü","")))</f>
        <v/>
      </c>
    </row>
    <row r="1307" customFormat="false" ht="15" hidden="false" customHeight="false" outlineLevel="0" collapsed="false">
      <c r="A1307" s="12"/>
      <c r="B1307" s="13"/>
      <c r="C1307" s="14"/>
      <c r="D1307" s="15"/>
      <c r="E1307" s="14"/>
      <c r="F1307" s="16" t="str">
        <f aca="false">IF(OR(C1307="",D1307=""),"",IF(OR(A1307="",B1307=""),"Tarih ya da tür eksik",IF(AND(B1307="Çıkış",IFERROR(INDEX(Ürünler!$H$5:$H$304,MATCH(C1307,Ürünler!$A$5:$A$304,0)),0)&lt;0),"Stok eksiye düştü","")))</f>
        <v/>
      </c>
    </row>
    <row r="1308" customFormat="false" ht="15" hidden="false" customHeight="false" outlineLevel="0" collapsed="false">
      <c r="A1308" s="12"/>
      <c r="B1308" s="13"/>
      <c r="C1308" s="14"/>
      <c r="D1308" s="15"/>
      <c r="E1308" s="14"/>
      <c r="F1308" s="16" t="str">
        <f aca="false">IF(OR(C1308="",D1308=""),"",IF(OR(A1308="",B1308=""),"Tarih ya da tür eksik",IF(AND(B1308="Çıkış",IFERROR(INDEX(Ürünler!$H$5:$H$304,MATCH(C1308,Ürünler!$A$5:$A$304,0)),0)&lt;0),"Stok eksiye düştü","")))</f>
        <v/>
      </c>
    </row>
    <row r="1309" customFormat="false" ht="15" hidden="false" customHeight="false" outlineLevel="0" collapsed="false">
      <c r="A1309" s="12"/>
      <c r="B1309" s="13"/>
      <c r="C1309" s="14"/>
      <c r="D1309" s="15"/>
      <c r="E1309" s="14"/>
      <c r="F1309" s="16" t="str">
        <f aca="false">IF(OR(C1309="",D1309=""),"",IF(OR(A1309="",B1309=""),"Tarih ya da tür eksik",IF(AND(B1309="Çıkış",IFERROR(INDEX(Ürünler!$H$5:$H$304,MATCH(C1309,Ürünler!$A$5:$A$304,0)),0)&lt;0),"Stok eksiye düştü","")))</f>
        <v/>
      </c>
    </row>
    <row r="1310" customFormat="false" ht="15" hidden="false" customHeight="false" outlineLevel="0" collapsed="false">
      <c r="A1310" s="12"/>
      <c r="B1310" s="13"/>
      <c r="C1310" s="14"/>
      <c r="D1310" s="15"/>
      <c r="E1310" s="14"/>
      <c r="F1310" s="16" t="str">
        <f aca="false">IF(OR(C1310="",D1310=""),"",IF(OR(A1310="",B1310=""),"Tarih ya da tür eksik",IF(AND(B1310="Çıkış",IFERROR(INDEX(Ürünler!$H$5:$H$304,MATCH(C1310,Ürünler!$A$5:$A$304,0)),0)&lt;0),"Stok eksiye düştü","")))</f>
        <v/>
      </c>
    </row>
    <row r="1311" customFormat="false" ht="15" hidden="false" customHeight="false" outlineLevel="0" collapsed="false">
      <c r="A1311" s="12"/>
      <c r="B1311" s="13"/>
      <c r="C1311" s="14"/>
      <c r="D1311" s="15"/>
      <c r="E1311" s="14"/>
      <c r="F1311" s="16" t="str">
        <f aca="false">IF(OR(C1311="",D1311=""),"",IF(OR(A1311="",B1311=""),"Tarih ya da tür eksik",IF(AND(B1311="Çıkış",IFERROR(INDEX(Ürünler!$H$5:$H$304,MATCH(C1311,Ürünler!$A$5:$A$304,0)),0)&lt;0),"Stok eksiye düştü","")))</f>
        <v/>
      </c>
    </row>
    <row r="1312" customFormat="false" ht="15" hidden="false" customHeight="false" outlineLevel="0" collapsed="false">
      <c r="A1312" s="12"/>
      <c r="B1312" s="13"/>
      <c r="C1312" s="14"/>
      <c r="D1312" s="15"/>
      <c r="E1312" s="14"/>
      <c r="F1312" s="16" t="str">
        <f aca="false">IF(OR(C1312="",D1312=""),"",IF(OR(A1312="",B1312=""),"Tarih ya da tür eksik",IF(AND(B1312="Çıkış",IFERROR(INDEX(Ürünler!$H$5:$H$304,MATCH(C1312,Ürünler!$A$5:$A$304,0)),0)&lt;0),"Stok eksiye düştü","")))</f>
        <v/>
      </c>
    </row>
    <row r="1313" customFormat="false" ht="15" hidden="false" customHeight="false" outlineLevel="0" collapsed="false">
      <c r="A1313" s="12"/>
      <c r="B1313" s="13"/>
      <c r="C1313" s="14"/>
      <c r="D1313" s="15"/>
      <c r="E1313" s="14"/>
      <c r="F1313" s="16" t="str">
        <f aca="false">IF(OR(C1313="",D1313=""),"",IF(OR(A1313="",B1313=""),"Tarih ya da tür eksik",IF(AND(B1313="Çıkış",IFERROR(INDEX(Ürünler!$H$5:$H$304,MATCH(C1313,Ürünler!$A$5:$A$304,0)),0)&lt;0),"Stok eksiye düştü","")))</f>
        <v/>
      </c>
    </row>
    <row r="1314" customFormat="false" ht="15" hidden="false" customHeight="false" outlineLevel="0" collapsed="false">
      <c r="A1314" s="12"/>
      <c r="B1314" s="13"/>
      <c r="C1314" s="14"/>
      <c r="D1314" s="15"/>
      <c r="E1314" s="14"/>
      <c r="F1314" s="16" t="str">
        <f aca="false">IF(OR(C1314="",D1314=""),"",IF(OR(A1314="",B1314=""),"Tarih ya da tür eksik",IF(AND(B1314="Çıkış",IFERROR(INDEX(Ürünler!$H$5:$H$304,MATCH(C1314,Ürünler!$A$5:$A$304,0)),0)&lt;0),"Stok eksiye düştü","")))</f>
        <v/>
      </c>
    </row>
    <row r="1315" customFormat="false" ht="15" hidden="false" customHeight="false" outlineLevel="0" collapsed="false">
      <c r="A1315" s="12"/>
      <c r="B1315" s="13"/>
      <c r="C1315" s="14"/>
      <c r="D1315" s="15"/>
      <c r="E1315" s="14"/>
      <c r="F1315" s="16" t="str">
        <f aca="false">IF(OR(C1315="",D1315=""),"",IF(OR(A1315="",B1315=""),"Tarih ya da tür eksik",IF(AND(B1315="Çıkış",IFERROR(INDEX(Ürünler!$H$5:$H$304,MATCH(C1315,Ürünler!$A$5:$A$304,0)),0)&lt;0),"Stok eksiye düştü","")))</f>
        <v/>
      </c>
    </row>
    <row r="1316" customFormat="false" ht="15" hidden="false" customHeight="false" outlineLevel="0" collapsed="false">
      <c r="A1316" s="12"/>
      <c r="B1316" s="13"/>
      <c r="C1316" s="14"/>
      <c r="D1316" s="15"/>
      <c r="E1316" s="14"/>
      <c r="F1316" s="16" t="str">
        <f aca="false">IF(OR(C1316="",D1316=""),"",IF(OR(A1316="",B1316=""),"Tarih ya da tür eksik",IF(AND(B1316="Çıkış",IFERROR(INDEX(Ürünler!$H$5:$H$304,MATCH(C1316,Ürünler!$A$5:$A$304,0)),0)&lt;0),"Stok eksiye düştü","")))</f>
        <v/>
      </c>
    </row>
    <row r="1317" customFormat="false" ht="15" hidden="false" customHeight="false" outlineLevel="0" collapsed="false">
      <c r="A1317" s="12"/>
      <c r="B1317" s="13"/>
      <c r="C1317" s="14"/>
      <c r="D1317" s="15"/>
      <c r="E1317" s="14"/>
      <c r="F1317" s="16" t="str">
        <f aca="false">IF(OR(C1317="",D1317=""),"",IF(OR(A1317="",B1317=""),"Tarih ya da tür eksik",IF(AND(B1317="Çıkış",IFERROR(INDEX(Ürünler!$H$5:$H$304,MATCH(C1317,Ürünler!$A$5:$A$304,0)),0)&lt;0),"Stok eksiye düştü","")))</f>
        <v/>
      </c>
    </row>
    <row r="1318" customFormat="false" ht="15" hidden="false" customHeight="false" outlineLevel="0" collapsed="false">
      <c r="A1318" s="12"/>
      <c r="B1318" s="13"/>
      <c r="C1318" s="14"/>
      <c r="D1318" s="15"/>
      <c r="E1318" s="14"/>
      <c r="F1318" s="16" t="str">
        <f aca="false">IF(OR(C1318="",D1318=""),"",IF(OR(A1318="",B1318=""),"Tarih ya da tür eksik",IF(AND(B1318="Çıkış",IFERROR(INDEX(Ürünler!$H$5:$H$304,MATCH(C1318,Ürünler!$A$5:$A$304,0)),0)&lt;0),"Stok eksiye düştü","")))</f>
        <v/>
      </c>
    </row>
    <row r="1319" customFormat="false" ht="15" hidden="false" customHeight="false" outlineLevel="0" collapsed="false">
      <c r="A1319" s="12"/>
      <c r="B1319" s="13"/>
      <c r="C1319" s="14"/>
      <c r="D1319" s="15"/>
      <c r="E1319" s="14"/>
      <c r="F1319" s="16" t="str">
        <f aca="false">IF(OR(C1319="",D1319=""),"",IF(OR(A1319="",B1319=""),"Tarih ya da tür eksik",IF(AND(B1319="Çıkış",IFERROR(INDEX(Ürünler!$H$5:$H$304,MATCH(C1319,Ürünler!$A$5:$A$304,0)),0)&lt;0),"Stok eksiye düştü","")))</f>
        <v/>
      </c>
    </row>
    <row r="1320" customFormat="false" ht="15" hidden="false" customHeight="false" outlineLevel="0" collapsed="false">
      <c r="A1320" s="12"/>
      <c r="B1320" s="13"/>
      <c r="C1320" s="14"/>
      <c r="D1320" s="15"/>
      <c r="E1320" s="14"/>
      <c r="F1320" s="16" t="str">
        <f aca="false">IF(OR(C1320="",D1320=""),"",IF(OR(A1320="",B1320=""),"Tarih ya da tür eksik",IF(AND(B1320="Çıkış",IFERROR(INDEX(Ürünler!$H$5:$H$304,MATCH(C1320,Ürünler!$A$5:$A$304,0)),0)&lt;0),"Stok eksiye düştü","")))</f>
        <v/>
      </c>
    </row>
    <row r="1321" customFormat="false" ht="15" hidden="false" customHeight="false" outlineLevel="0" collapsed="false">
      <c r="A1321" s="12"/>
      <c r="B1321" s="13"/>
      <c r="C1321" s="14"/>
      <c r="D1321" s="15"/>
      <c r="E1321" s="14"/>
      <c r="F1321" s="16" t="str">
        <f aca="false">IF(OR(C1321="",D1321=""),"",IF(OR(A1321="",B1321=""),"Tarih ya da tür eksik",IF(AND(B1321="Çıkış",IFERROR(INDEX(Ürünler!$H$5:$H$304,MATCH(C1321,Ürünler!$A$5:$A$304,0)),0)&lt;0),"Stok eksiye düştü","")))</f>
        <v/>
      </c>
    </row>
    <row r="1322" customFormat="false" ht="15" hidden="false" customHeight="false" outlineLevel="0" collapsed="false">
      <c r="A1322" s="12"/>
      <c r="B1322" s="13"/>
      <c r="C1322" s="14"/>
      <c r="D1322" s="15"/>
      <c r="E1322" s="14"/>
      <c r="F1322" s="16" t="str">
        <f aca="false">IF(OR(C1322="",D1322=""),"",IF(OR(A1322="",B1322=""),"Tarih ya da tür eksik",IF(AND(B1322="Çıkış",IFERROR(INDEX(Ürünler!$H$5:$H$304,MATCH(C1322,Ürünler!$A$5:$A$304,0)),0)&lt;0),"Stok eksiye düştü","")))</f>
        <v/>
      </c>
    </row>
    <row r="1323" customFormat="false" ht="15" hidden="false" customHeight="false" outlineLevel="0" collapsed="false">
      <c r="A1323" s="12"/>
      <c r="B1323" s="13"/>
      <c r="C1323" s="14"/>
      <c r="D1323" s="15"/>
      <c r="E1323" s="14"/>
      <c r="F1323" s="16" t="str">
        <f aca="false">IF(OR(C1323="",D1323=""),"",IF(OR(A1323="",B1323=""),"Tarih ya da tür eksik",IF(AND(B1323="Çıkış",IFERROR(INDEX(Ürünler!$H$5:$H$304,MATCH(C1323,Ürünler!$A$5:$A$304,0)),0)&lt;0),"Stok eksiye düştü","")))</f>
        <v/>
      </c>
    </row>
    <row r="1324" customFormat="false" ht="15" hidden="false" customHeight="false" outlineLevel="0" collapsed="false">
      <c r="A1324" s="12"/>
      <c r="B1324" s="13"/>
      <c r="C1324" s="14"/>
      <c r="D1324" s="15"/>
      <c r="E1324" s="14"/>
      <c r="F1324" s="16" t="str">
        <f aca="false">IF(OR(C1324="",D1324=""),"",IF(OR(A1324="",B1324=""),"Tarih ya da tür eksik",IF(AND(B1324="Çıkış",IFERROR(INDEX(Ürünler!$H$5:$H$304,MATCH(C1324,Ürünler!$A$5:$A$304,0)),0)&lt;0),"Stok eksiye düştü","")))</f>
        <v/>
      </c>
    </row>
    <row r="1325" customFormat="false" ht="15" hidden="false" customHeight="false" outlineLevel="0" collapsed="false">
      <c r="A1325" s="12"/>
      <c r="B1325" s="13"/>
      <c r="C1325" s="14"/>
      <c r="D1325" s="15"/>
      <c r="E1325" s="14"/>
      <c r="F1325" s="16" t="str">
        <f aca="false">IF(OR(C1325="",D1325=""),"",IF(OR(A1325="",B1325=""),"Tarih ya da tür eksik",IF(AND(B1325="Çıkış",IFERROR(INDEX(Ürünler!$H$5:$H$304,MATCH(C1325,Ürünler!$A$5:$A$304,0)),0)&lt;0),"Stok eksiye düştü","")))</f>
        <v/>
      </c>
    </row>
    <row r="1326" customFormat="false" ht="15" hidden="false" customHeight="false" outlineLevel="0" collapsed="false">
      <c r="A1326" s="12"/>
      <c r="B1326" s="13"/>
      <c r="C1326" s="14"/>
      <c r="D1326" s="15"/>
      <c r="E1326" s="14"/>
      <c r="F1326" s="16" t="str">
        <f aca="false">IF(OR(C1326="",D1326=""),"",IF(OR(A1326="",B1326=""),"Tarih ya da tür eksik",IF(AND(B1326="Çıkış",IFERROR(INDEX(Ürünler!$H$5:$H$304,MATCH(C1326,Ürünler!$A$5:$A$304,0)),0)&lt;0),"Stok eksiye düştü","")))</f>
        <v/>
      </c>
    </row>
    <row r="1327" customFormat="false" ht="15" hidden="false" customHeight="false" outlineLevel="0" collapsed="false">
      <c r="A1327" s="12"/>
      <c r="B1327" s="13"/>
      <c r="C1327" s="14"/>
      <c r="D1327" s="15"/>
      <c r="E1327" s="14"/>
      <c r="F1327" s="16" t="str">
        <f aca="false">IF(OR(C1327="",D1327=""),"",IF(OR(A1327="",B1327=""),"Tarih ya da tür eksik",IF(AND(B1327="Çıkış",IFERROR(INDEX(Ürünler!$H$5:$H$304,MATCH(C1327,Ürünler!$A$5:$A$304,0)),0)&lt;0),"Stok eksiye düştü","")))</f>
        <v/>
      </c>
    </row>
    <row r="1328" customFormat="false" ht="15" hidden="false" customHeight="false" outlineLevel="0" collapsed="false">
      <c r="A1328" s="12"/>
      <c r="B1328" s="13"/>
      <c r="C1328" s="14"/>
      <c r="D1328" s="15"/>
      <c r="E1328" s="14"/>
      <c r="F1328" s="16" t="str">
        <f aca="false">IF(OR(C1328="",D1328=""),"",IF(OR(A1328="",B1328=""),"Tarih ya da tür eksik",IF(AND(B1328="Çıkış",IFERROR(INDEX(Ürünler!$H$5:$H$304,MATCH(C1328,Ürünler!$A$5:$A$304,0)),0)&lt;0),"Stok eksiye düştü","")))</f>
        <v/>
      </c>
    </row>
    <row r="1329" customFormat="false" ht="15" hidden="false" customHeight="false" outlineLevel="0" collapsed="false">
      <c r="A1329" s="12"/>
      <c r="B1329" s="13"/>
      <c r="C1329" s="14"/>
      <c r="D1329" s="15"/>
      <c r="E1329" s="14"/>
      <c r="F1329" s="16" t="str">
        <f aca="false">IF(OR(C1329="",D1329=""),"",IF(OR(A1329="",B1329=""),"Tarih ya da tür eksik",IF(AND(B1329="Çıkış",IFERROR(INDEX(Ürünler!$H$5:$H$304,MATCH(C1329,Ürünler!$A$5:$A$304,0)),0)&lt;0),"Stok eksiye düştü","")))</f>
        <v/>
      </c>
    </row>
    <row r="1330" customFormat="false" ht="15" hidden="false" customHeight="false" outlineLevel="0" collapsed="false">
      <c r="A1330" s="12"/>
      <c r="B1330" s="13"/>
      <c r="C1330" s="14"/>
      <c r="D1330" s="15"/>
      <c r="E1330" s="14"/>
      <c r="F1330" s="16" t="str">
        <f aca="false">IF(OR(C1330="",D1330=""),"",IF(OR(A1330="",B1330=""),"Tarih ya da tür eksik",IF(AND(B1330="Çıkış",IFERROR(INDEX(Ürünler!$H$5:$H$304,MATCH(C1330,Ürünler!$A$5:$A$304,0)),0)&lt;0),"Stok eksiye düştü","")))</f>
        <v/>
      </c>
    </row>
    <row r="1331" customFormat="false" ht="15" hidden="false" customHeight="false" outlineLevel="0" collapsed="false">
      <c r="A1331" s="12"/>
      <c r="B1331" s="13"/>
      <c r="C1331" s="14"/>
      <c r="D1331" s="15"/>
      <c r="E1331" s="14"/>
      <c r="F1331" s="16" t="str">
        <f aca="false">IF(OR(C1331="",D1331=""),"",IF(OR(A1331="",B1331=""),"Tarih ya da tür eksik",IF(AND(B1331="Çıkış",IFERROR(INDEX(Ürünler!$H$5:$H$304,MATCH(C1331,Ürünler!$A$5:$A$304,0)),0)&lt;0),"Stok eksiye düştü","")))</f>
        <v/>
      </c>
    </row>
    <row r="1332" customFormat="false" ht="15" hidden="false" customHeight="false" outlineLevel="0" collapsed="false">
      <c r="A1332" s="12"/>
      <c r="B1332" s="13"/>
      <c r="C1332" s="14"/>
      <c r="D1332" s="15"/>
      <c r="E1332" s="14"/>
      <c r="F1332" s="16" t="str">
        <f aca="false">IF(OR(C1332="",D1332=""),"",IF(OR(A1332="",B1332=""),"Tarih ya da tür eksik",IF(AND(B1332="Çıkış",IFERROR(INDEX(Ürünler!$H$5:$H$304,MATCH(C1332,Ürünler!$A$5:$A$304,0)),0)&lt;0),"Stok eksiye düştü","")))</f>
        <v/>
      </c>
    </row>
    <row r="1333" customFormat="false" ht="15" hidden="false" customHeight="false" outlineLevel="0" collapsed="false">
      <c r="A1333" s="12"/>
      <c r="B1333" s="13"/>
      <c r="C1333" s="14"/>
      <c r="D1333" s="15"/>
      <c r="E1333" s="14"/>
      <c r="F1333" s="16" t="str">
        <f aca="false">IF(OR(C1333="",D1333=""),"",IF(OR(A1333="",B1333=""),"Tarih ya da tür eksik",IF(AND(B1333="Çıkış",IFERROR(INDEX(Ürünler!$H$5:$H$304,MATCH(C1333,Ürünler!$A$5:$A$304,0)),0)&lt;0),"Stok eksiye düştü","")))</f>
        <v/>
      </c>
    </row>
    <row r="1334" customFormat="false" ht="15" hidden="false" customHeight="false" outlineLevel="0" collapsed="false">
      <c r="A1334" s="12"/>
      <c r="B1334" s="13"/>
      <c r="C1334" s="14"/>
      <c r="D1334" s="15"/>
      <c r="E1334" s="14"/>
      <c r="F1334" s="16" t="str">
        <f aca="false">IF(OR(C1334="",D1334=""),"",IF(OR(A1334="",B1334=""),"Tarih ya da tür eksik",IF(AND(B1334="Çıkış",IFERROR(INDEX(Ürünler!$H$5:$H$304,MATCH(C1334,Ürünler!$A$5:$A$304,0)),0)&lt;0),"Stok eksiye düştü","")))</f>
        <v/>
      </c>
    </row>
    <row r="1335" customFormat="false" ht="15" hidden="false" customHeight="false" outlineLevel="0" collapsed="false">
      <c r="A1335" s="12"/>
      <c r="B1335" s="13"/>
      <c r="C1335" s="14"/>
      <c r="D1335" s="15"/>
      <c r="E1335" s="14"/>
      <c r="F1335" s="16" t="str">
        <f aca="false">IF(OR(C1335="",D1335=""),"",IF(OR(A1335="",B1335=""),"Tarih ya da tür eksik",IF(AND(B1335="Çıkış",IFERROR(INDEX(Ürünler!$H$5:$H$304,MATCH(C1335,Ürünler!$A$5:$A$304,0)),0)&lt;0),"Stok eksiye düştü","")))</f>
        <v/>
      </c>
    </row>
    <row r="1336" customFormat="false" ht="15" hidden="false" customHeight="false" outlineLevel="0" collapsed="false">
      <c r="A1336" s="12"/>
      <c r="B1336" s="13"/>
      <c r="C1336" s="14"/>
      <c r="D1336" s="15"/>
      <c r="E1336" s="14"/>
      <c r="F1336" s="16" t="str">
        <f aca="false">IF(OR(C1336="",D1336=""),"",IF(OR(A1336="",B1336=""),"Tarih ya da tür eksik",IF(AND(B1336="Çıkış",IFERROR(INDEX(Ürünler!$H$5:$H$304,MATCH(C1336,Ürünler!$A$5:$A$304,0)),0)&lt;0),"Stok eksiye düştü","")))</f>
        <v/>
      </c>
    </row>
    <row r="1337" customFormat="false" ht="15" hidden="false" customHeight="false" outlineLevel="0" collapsed="false">
      <c r="A1337" s="12"/>
      <c r="B1337" s="13"/>
      <c r="C1337" s="14"/>
      <c r="D1337" s="15"/>
      <c r="E1337" s="14"/>
      <c r="F1337" s="16" t="str">
        <f aca="false">IF(OR(C1337="",D1337=""),"",IF(OR(A1337="",B1337=""),"Tarih ya da tür eksik",IF(AND(B1337="Çıkış",IFERROR(INDEX(Ürünler!$H$5:$H$304,MATCH(C1337,Ürünler!$A$5:$A$304,0)),0)&lt;0),"Stok eksiye düştü","")))</f>
        <v/>
      </c>
    </row>
    <row r="1338" customFormat="false" ht="15" hidden="false" customHeight="false" outlineLevel="0" collapsed="false">
      <c r="A1338" s="12"/>
      <c r="B1338" s="13"/>
      <c r="C1338" s="14"/>
      <c r="D1338" s="15"/>
      <c r="E1338" s="14"/>
      <c r="F1338" s="16" t="str">
        <f aca="false">IF(OR(C1338="",D1338=""),"",IF(OR(A1338="",B1338=""),"Tarih ya da tür eksik",IF(AND(B1338="Çıkış",IFERROR(INDEX(Ürünler!$H$5:$H$304,MATCH(C1338,Ürünler!$A$5:$A$304,0)),0)&lt;0),"Stok eksiye düştü","")))</f>
        <v/>
      </c>
    </row>
    <row r="1339" customFormat="false" ht="15" hidden="false" customHeight="false" outlineLevel="0" collapsed="false">
      <c r="A1339" s="12"/>
      <c r="B1339" s="13"/>
      <c r="C1339" s="14"/>
      <c r="D1339" s="15"/>
      <c r="E1339" s="14"/>
      <c r="F1339" s="16" t="str">
        <f aca="false">IF(OR(C1339="",D1339=""),"",IF(OR(A1339="",B1339=""),"Tarih ya da tür eksik",IF(AND(B1339="Çıkış",IFERROR(INDEX(Ürünler!$H$5:$H$304,MATCH(C1339,Ürünler!$A$5:$A$304,0)),0)&lt;0),"Stok eksiye düştü","")))</f>
        <v/>
      </c>
    </row>
    <row r="1340" customFormat="false" ht="15" hidden="false" customHeight="false" outlineLevel="0" collapsed="false">
      <c r="A1340" s="12"/>
      <c r="B1340" s="13"/>
      <c r="C1340" s="14"/>
      <c r="D1340" s="15"/>
      <c r="E1340" s="14"/>
      <c r="F1340" s="16" t="str">
        <f aca="false">IF(OR(C1340="",D1340=""),"",IF(OR(A1340="",B1340=""),"Tarih ya da tür eksik",IF(AND(B1340="Çıkış",IFERROR(INDEX(Ürünler!$H$5:$H$304,MATCH(C1340,Ürünler!$A$5:$A$304,0)),0)&lt;0),"Stok eksiye düştü","")))</f>
        <v/>
      </c>
    </row>
    <row r="1341" customFormat="false" ht="15" hidden="false" customHeight="false" outlineLevel="0" collapsed="false">
      <c r="A1341" s="12"/>
      <c r="B1341" s="13"/>
      <c r="C1341" s="14"/>
      <c r="D1341" s="15"/>
      <c r="E1341" s="14"/>
      <c r="F1341" s="16" t="str">
        <f aca="false">IF(OR(C1341="",D1341=""),"",IF(OR(A1341="",B1341=""),"Tarih ya da tür eksik",IF(AND(B1341="Çıkış",IFERROR(INDEX(Ürünler!$H$5:$H$304,MATCH(C1341,Ürünler!$A$5:$A$304,0)),0)&lt;0),"Stok eksiye düştü","")))</f>
        <v/>
      </c>
    </row>
    <row r="1342" customFormat="false" ht="15" hidden="false" customHeight="false" outlineLevel="0" collapsed="false">
      <c r="A1342" s="12"/>
      <c r="B1342" s="13"/>
      <c r="C1342" s="14"/>
      <c r="D1342" s="15"/>
      <c r="E1342" s="14"/>
      <c r="F1342" s="16" t="str">
        <f aca="false">IF(OR(C1342="",D1342=""),"",IF(OR(A1342="",B1342=""),"Tarih ya da tür eksik",IF(AND(B1342="Çıkış",IFERROR(INDEX(Ürünler!$H$5:$H$304,MATCH(C1342,Ürünler!$A$5:$A$304,0)),0)&lt;0),"Stok eksiye düştü","")))</f>
        <v/>
      </c>
    </row>
    <row r="1343" customFormat="false" ht="15" hidden="false" customHeight="false" outlineLevel="0" collapsed="false">
      <c r="A1343" s="12"/>
      <c r="B1343" s="13"/>
      <c r="C1343" s="14"/>
      <c r="D1343" s="15"/>
      <c r="E1343" s="14"/>
      <c r="F1343" s="16" t="str">
        <f aca="false">IF(OR(C1343="",D1343=""),"",IF(OR(A1343="",B1343=""),"Tarih ya da tür eksik",IF(AND(B1343="Çıkış",IFERROR(INDEX(Ürünler!$H$5:$H$304,MATCH(C1343,Ürünler!$A$5:$A$304,0)),0)&lt;0),"Stok eksiye düştü","")))</f>
        <v/>
      </c>
    </row>
    <row r="1344" customFormat="false" ht="15" hidden="false" customHeight="false" outlineLevel="0" collapsed="false">
      <c r="A1344" s="12"/>
      <c r="B1344" s="13"/>
      <c r="C1344" s="14"/>
      <c r="D1344" s="15"/>
      <c r="E1344" s="14"/>
      <c r="F1344" s="16" t="str">
        <f aca="false">IF(OR(C1344="",D1344=""),"",IF(OR(A1344="",B1344=""),"Tarih ya da tür eksik",IF(AND(B1344="Çıkış",IFERROR(INDEX(Ürünler!$H$5:$H$304,MATCH(C1344,Ürünler!$A$5:$A$304,0)),0)&lt;0),"Stok eksiye düştü","")))</f>
        <v/>
      </c>
    </row>
    <row r="1345" customFormat="false" ht="15" hidden="false" customHeight="false" outlineLevel="0" collapsed="false">
      <c r="A1345" s="12"/>
      <c r="B1345" s="13"/>
      <c r="C1345" s="14"/>
      <c r="D1345" s="15"/>
      <c r="E1345" s="14"/>
      <c r="F1345" s="16" t="str">
        <f aca="false">IF(OR(C1345="",D1345=""),"",IF(OR(A1345="",B1345=""),"Tarih ya da tür eksik",IF(AND(B1345="Çıkış",IFERROR(INDEX(Ürünler!$H$5:$H$304,MATCH(C1345,Ürünler!$A$5:$A$304,0)),0)&lt;0),"Stok eksiye düştü","")))</f>
        <v/>
      </c>
    </row>
    <row r="1346" customFormat="false" ht="15" hidden="false" customHeight="false" outlineLevel="0" collapsed="false">
      <c r="A1346" s="12"/>
      <c r="B1346" s="13"/>
      <c r="C1346" s="14"/>
      <c r="D1346" s="15"/>
      <c r="E1346" s="14"/>
      <c r="F1346" s="16" t="str">
        <f aca="false">IF(OR(C1346="",D1346=""),"",IF(OR(A1346="",B1346=""),"Tarih ya da tür eksik",IF(AND(B1346="Çıkış",IFERROR(INDEX(Ürünler!$H$5:$H$304,MATCH(C1346,Ürünler!$A$5:$A$304,0)),0)&lt;0),"Stok eksiye düştü","")))</f>
        <v/>
      </c>
    </row>
    <row r="1347" customFormat="false" ht="15" hidden="false" customHeight="false" outlineLevel="0" collapsed="false">
      <c r="A1347" s="12"/>
      <c r="B1347" s="13"/>
      <c r="C1347" s="14"/>
      <c r="D1347" s="15"/>
      <c r="E1347" s="14"/>
      <c r="F1347" s="16" t="str">
        <f aca="false">IF(OR(C1347="",D1347=""),"",IF(OR(A1347="",B1347=""),"Tarih ya da tür eksik",IF(AND(B1347="Çıkış",IFERROR(INDEX(Ürünler!$H$5:$H$304,MATCH(C1347,Ürünler!$A$5:$A$304,0)),0)&lt;0),"Stok eksiye düştü","")))</f>
        <v/>
      </c>
    </row>
    <row r="1348" customFormat="false" ht="15" hidden="false" customHeight="false" outlineLevel="0" collapsed="false">
      <c r="A1348" s="12"/>
      <c r="B1348" s="13"/>
      <c r="C1348" s="14"/>
      <c r="D1348" s="15"/>
      <c r="E1348" s="14"/>
      <c r="F1348" s="16" t="str">
        <f aca="false">IF(OR(C1348="",D1348=""),"",IF(OR(A1348="",B1348=""),"Tarih ya da tür eksik",IF(AND(B1348="Çıkış",IFERROR(INDEX(Ürünler!$H$5:$H$304,MATCH(C1348,Ürünler!$A$5:$A$304,0)),0)&lt;0),"Stok eksiye düştü","")))</f>
        <v/>
      </c>
    </row>
    <row r="1349" customFormat="false" ht="15" hidden="false" customHeight="false" outlineLevel="0" collapsed="false">
      <c r="A1349" s="12"/>
      <c r="B1349" s="13"/>
      <c r="C1349" s="14"/>
      <c r="D1349" s="15"/>
      <c r="E1349" s="14"/>
      <c r="F1349" s="16" t="str">
        <f aca="false">IF(OR(C1349="",D1349=""),"",IF(OR(A1349="",B1349=""),"Tarih ya da tür eksik",IF(AND(B1349="Çıkış",IFERROR(INDEX(Ürünler!$H$5:$H$304,MATCH(C1349,Ürünler!$A$5:$A$304,0)),0)&lt;0),"Stok eksiye düştü","")))</f>
        <v/>
      </c>
    </row>
    <row r="1350" customFormat="false" ht="15" hidden="false" customHeight="false" outlineLevel="0" collapsed="false">
      <c r="A1350" s="12"/>
      <c r="B1350" s="13"/>
      <c r="C1350" s="14"/>
      <c r="D1350" s="15"/>
      <c r="E1350" s="14"/>
      <c r="F1350" s="16" t="str">
        <f aca="false">IF(OR(C1350="",D1350=""),"",IF(OR(A1350="",B1350=""),"Tarih ya da tür eksik",IF(AND(B1350="Çıkış",IFERROR(INDEX(Ürünler!$H$5:$H$304,MATCH(C1350,Ürünler!$A$5:$A$304,0)),0)&lt;0),"Stok eksiye düştü","")))</f>
        <v/>
      </c>
    </row>
    <row r="1351" customFormat="false" ht="15" hidden="false" customHeight="false" outlineLevel="0" collapsed="false">
      <c r="A1351" s="12"/>
      <c r="B1351" s="13"/>
      <c r="C1351" s="14"/>
      <c r="D1351" s="15"/>
      <c r="E1351" s="14"/>
      <c r="F1351" s="16" t="str">
        <f aca="false">IF(OR(C1351="",D1351=""),"",IF(OR(A1351="",B1351=""),"Tarih ya da tür eksik",IF(AND(B1351="Çıkış",IFERROR(INDEX(Ürünler!$H$5:$H$304,MATCH(C1351,Ürünler!$A$5:$A$304,0)),0)&lt;0),"Stok eksiye düştü","")))</f>
        <v/>
      </c>
    </row>
    <row r="1352" customFormat="false" ht="15" hidden="false" customHeight="false" outlineLevel="0" collapsed="false">
      <c r="A1352" s="12"/>
      <c r="B1352" s="13"/>
      <c r="C1352" s="14"/>
      <c r="D1352" s="15"/>
      <c r="E1352" s="14"/>
      <c r="F1352" s="16" t="str">
        <f aca="false">IF(OR(C1352="",D1352=""),"",IF(OR(A1352="",B1352=""),"Tarih ya da tür eksik",IF(AND(B1352="Çıkış",IFERROR(INDEX(Ürünler!$H$5:$H$304,MATCH(C1352,Ürünler!$A$5:$A$304,0)),0)&lt;0),"Stok eksiye düştü","")))</f>
        <v/>
      </c>
    </row>
    <row r="1353" customFormat="false" ht="15" hidden="false" customHeight="false" outlineLevel="0" collapsed="false">
      <c r="A1353" s="12"/>
      <c r="B1353" s="13"/>
      <c r="C1353" s="14"/>
      <c r="D1353" s="15"/>
      <c r="E1353" s="14"/>
      <c r="F1353" s="16" t="str">
        <f aca="false">IF(OR(C1353="",D1353=""),"",IF(OR(A1353="",B1353=""),"Tarih ya da tür eksik",IF(AND(B1353="Çıkış",IFERROR(INDEX(Ürünler!$H$5:$H$304,MATCH(C1353,Ürünler!$A$5:$A$304,0)),0)&lt;0),"Stok eksiye düştü","")))</f>
        <v/>
      </c>
    </row>
    <row r="1354" customFormat="false" ht="15" hidden="false" customHeight="false" outlineLevel="0" collapsed="false">
      <c r="A1354" s="12"/>
      <c r="B1354" s="13"/>
      <c r="C1354" s="14"/>
      <c r="D1354" s="15"/>
      <c r="E1354" s="14"/>
      <c r="F1354" s="16" t="str">
        <f aca="false">IF(OR(C1354="",D1354=""),"",IF(OR(A1354="",B1354=""),"Tarih ya da tür eksik",IF(AND(B1354="Çıkış",IFERROR(INDEX(Ürünler!$H$5:$H$304,MATCH(C1354,Ürünler!$A$5:$A$304,0)),0)&lt;0),"Stok eksiye düştü","")))</f>
        <v/>
      </c>
    </row>
    <row r="1355" customFormat="false" ht="15" hidden="false" customHeight="false" outlineLevel="0" collapsed="false">
      <c r="A1355" s="12"/>
      <c r="B1355" s="13"/>
      <c r="C1355" s="14"/>
      <c r="D1355" s="15"/>
      <c r="E1355" s="14"/>
      <c r="F1355" s="16" t="str">
        <f aca="false">IF(OR(C1355="",D1355=""),"",IF(OR(A1355="",B1355=""),"Tarih ya da tür eksik",IF(AND(B1355="Çıkış",IFERROR(INDEX(Ürünler!$H$5:$H$304,MATCH(C1355,Ürünler!$A$5:$A$304,0)),0)&lt;0),"Stok eksiye düştü","")))</f>
        <v/>
      </c>
    </row>
    <row r="1356" customFormat="false" ht="15" hidden="false" customHeight="false" outlineLevel="0" collapsed="false">
      <c r="A1356" s="12"/>
      <c r="B1356" s="13"/>
      <c r="C1356" s="14"/>
      <c r="D1356" s="15"/>
      <c r="E1356" s="14"/>
      <c r="F1356" s="16" t="str">
        <f aca="false">IF(OR(C1356="",D1356=""),"",IF(OR(A1356="",B1356=""),"Tarih ya da tür eksik",IF(AND(B1356="Çıkış",IFERROR(INDEX(Ürünler!$H$5:$H$304,MATCH(C1356,Ürünler!$A$5:$A$304,0)),0)&lt;0),"Stok eksiye düştü","")))</f>
        <v/>
      </c>
    </row>
    <row r="1357" customFormat="false" ht="15" hidden="false" customHeight="false" outlineLevel="0" collapsed="false">
      <c r="A1357" s="12"/>
      <c r="B1357" s="13"/>
      <c r="C1357" s="14"/>
      <c r="D1357" s="15"/>
      <c r="E1357" s="14"/>
      <c r="F1357" s="16" t="str">
        <f aca="false">IF(OR(C1357="",D1357=""),"",IF(OR(A1357="",B1357=""),"Tarih ya da tür eksik",IF(AND(B1357="Çıkış",IFERROR(INDEX(Ürünler!$H$5:$H$304,MATCH(C1357,Ürünler!$A$5:$A$304,0)),0)&lt;0),"Stok eksiye düştü","")))</f>
        <v/>
      </c>
    </row>
    <row r="1358" customFormat="false" ht="15" hidden="false" customHeight="false" outlineLevel="0" collapsed="false">
      <c r="A1358" s="12"/>
      <c r="B1358" s="13"/>
      <c r="C1358" s="14"/>
      <c r="D1358" s="15"/>
      <c r="E1358" s="14"/>
      <c r="F1358" s="16" t="str">
        <f aca="false">IF(OR(C1358="",D1358=""),"",IF(OR(A1358="",B1358=""),"Tarih ya da tür eksik",IF(AND(B1358="Çıkış",IFERROR(INDEX(Ürünler!$H$5:$H$304,MATCH(C1358,Ürünler!$A$5:$A$304,0)),0)&lt;0),"Stok eksiye düştü","")))</f>
        <v/>
      </c>
    </row>
    <row r="1359" customFormat="false" ht="15" hidden="false" customHeight="false" outlineLevel="0" collapsed="false">
      <c r="A1359" s="12"/>
      <c r="B1359" s="13"/>
      <c r="C1359" s="14"/>
      <c r="D1359" s="15"/>
      <c r="E1359" s="14"/>
      <c r="F1359" s="16" t="str">
        <f aca="false">IF(OR(C1359="",D1359=""),"",IF(OR(A1359="",B1359=""),"Tarih ya da tür eksik",IF(AND(B1359="Çıkış",IFERROR(INDEX(Ürünler!$H$5:$H$304,MATCH(C1359,Ürünler!$A$5:$A$304,0)),0)&lt;0),"Stok eksiye düştü","")))</f>
        <v/>
      </c>
    </row>
    <row r="1360" customFormat="false" ht="15" hidden="false" customHeight="false" outlineLevel="0" collapsed="false">
      <c r="A1360" s="12"/>
      <c r="B1360" s="13"/>
      <c r="C1360" s="14"/>
      <c r="D1360" s="15"/>
      <c r="E1360" s="14"/>
      <c r="F1360" s="16" t="str">
        <f aca="false">IF(OR(C1360="",D1360=""),"",IF(OR(A1360="",B1360=""),"Tarih ya da tür eksik",IF(AND(B1360="Çıkış",IFERROR(INDEX(Ürünler!$H$5:$H$304,MATCH(C1360,Ürünler!$A$5:$A$304,0)),0)&lt;0),"Stok eksiye düştü","")))</f>
        <v/>
      </c>
    </row>
    <row r="1361" customFormat="false" ht="15" hidden="false" customHeight="false" outlineLevel="0" collapsed="false">
      <c r="A1361" s="12"/>
      <c r="B1361" s="13"/>
      <c r="C1361" s="14"/>
      <c r="D1361" s="15"/>
      <c r="E1361" s="14"/>
      <c r="F1361" s="16" t="str">
        <f aca="false">IF(OR(C1361="",D1361=""),"",IF(OR(A1361="",B1361=""),"Tarih ya da tür eksik",IF(AND(B1361="Çıkış",IFERROR(INDEX(Ürünler!$H$5:$H$304,MATCH(C1361,Ürünler!$A$5:$A$304,0)),0)&lt;0),"Stok eksiye düştü","")))</f>
        <v/>
      </c>
    </row>
    <row r="1362" customFormat="false" ht="15" hidden="false" customHeight="false" outlineLevel="0" collapsed="false">
      <c r="A1362" s="12"/>
      <c r="B1362" s="13"/>
      <c r="C1362" s="14"/>
      <c r="D1362" s="15"/>
      <c r="E1362" s="14"/>
      <c r="F1362" s="16" t="str">
        <f aca="false">IF(OR(C1362="",D1362=""),"",IF(OR(A1362="",B1362=""),"Tarih ya da tür eksik",IF(AND(B1362="Çıkış",IFERROR(INDEX(Ürünler!$H$5:$H$304,MATCH(C1362,Ürünler!$A$5:$A$304,0)),0)&lt;0),"Stok eksiye düştü","")))</f>
        <v/>
      </c>
    </row>
    <row r="1363" customFormat="false" ht="15" hidden="false" customHeight="false" outlineLevel="0" collapsed="false">
      <c r="A1363" s="12"/>
      <c r="B1363" s="13"/>
      <c r="C1363" s="14"/>
      <c r="D1363" s="15"/>
      <c r="E1363" s="14"/>
      <c r="F1363" s="16" t="str">
        <f aca="false">IF(OR(C1363="",D1363=""),"",IF(OR(A1363="",B1363=""),"Tarih ya da tür eksik",IF(AND(B1363="Çıkış",IFERROR(INDEX(Ürünler!$H$5:$H$304,MATCH(C1363,Ürünler!$A$5:$A$304,0)),0)&lt;0),"Stok eksiye düştü","")))</f>
        <v/>
      </c>
    </row>
    <row r="1364" customFormat="false" ht="15" hidden="false" customHeight="false" outlineLevel="0" collapsed="false">
      <c r="A1364" s="12"/>
      <c r="B1364" s="13"/>
      <c r="C1364" s="14"/>
      <c r="D1364" s="15"/>
      <c r="E1364" s="14"/>
      <c r="F1364" s="16" t="str">
        <f aca="false">IF(OR(C1364="",D1364=""),"",IF(OR(A1364="",B1364=""),"Tarih ya da tür eksik",IF(AND(B1364="Çıkış",IFERROR(INDEX(Ürünler!$H$5:$H$304,MATCH(C1364,Ürünler!$A$5:$A$304,0)),0)&lt;0),"Stok eksiye düştü","")))</f>
        <v/>
      </c>
    </row>
    <row r="1365" customFormat="false" ht="15" hidden="false" customHeight="false" outlineLevel="0" collapsed="false">
      <c r="A1365" s="12"/>
      <c r="B1365" s="13"/>
      <c r="C1365" s="14"/>
      <c r="D1365" s="15"/>
      <c r="E1365" s="14"/>
      <c r="F1365" s="16" t="str">
        <f aca="false">IF(OR(C1365="",D1365=""),"",IF(OR(A1365="",B1365=""),"Tarih ya da tür eksik",IF(AND(B1365="Çıkış",IFERROR(INDEX(Ürünler!$H$5:$H$304,MATCH(C1365,Ürünler!$A$5:$A$304,0)),0)&lt;0),"Stok eksiye düştü","")))</f>
        <v/>
      </c>
    </row>
    <row r="1366" customFormat="false" ht="15" hidden="false" customHeight="false" outlineLevel="0" collapsed="false">
      <c r="A1366" s="12"/>
      <c r="B1366" s="13"/>
      <c r="C1366" s="14"/>
      <c r="D1366" s="15"/>
      <c r="E1366" s="14"/>
      <c r="F1366" s="16" t="str">
        <f aca="false">IF(OR(C1366="",D1366=""),"",IF(OR(A1366="",B1366=""),"Tarih ya da tür eksik",IF(AND(B1366="Çıkış",IFERROR(INDEX(Ürünler!$H$5:$H$304,MATCH(C1366,Ürünler!$A$5:$A$304,0)),0)&lt;0),"Stok eksiye düştü","")))</f>
        <v/>
      </c>
    </row>
    <row r="1367" customFormat="false" ht="15" hidden="false" customHeight="false" outlineLevel="0" collapsed="false">
      <c r="A1367" s="12"/>
      <c r="B1367" s="13"/>
      <c r="C1367" s="14"/>
      <c r="D1367" s="15"/>
      <c r="E1367" s="14"/>
      <c r="F1367" s="16" t="str">
        <f aca="false">IF(OR(C1367="",D1367=""),"",IF(OR(A1367="",B1367=""),"Tarih ya da tür eksik",IF(AND(B1367="Çıkış",IFERROR(INDEX(Ürünler!$H$5:$H$304,MATCH(C1367,Ürünler!$A$5:$A$304,0)),0)&lt;0),"Stok eksiye düştü","")))</f>
        <v/>
      </c>
    </row>
    <row r="1368" customFormat="false" ht="15" hidden="false" customHeight="false" outlineLevel="0" collapsed="false">
      <c r="A1368" s="12"/>
      <c r="B1368" s="13"/>
      <c r="C1368" s="14"/>
      <c r="D1368" s="15"/>
      <c r="E1368" s="14"/>
      <c r="F1368" s="16" t="str">
        <f aca="false">IF(OR(C1368="",D1368=""),"",IF(OR(A1368="",B1368=""),"Tarih ya da tür eksik",IF(AND(B1368="Çıkış",IFERROR(INDEX(Ürünler!$H$5:$H$304,MATCH(C1368,Ürünler!$A$5:$A$304,0)),0)&lt;0),"Stok eksiye düştü","")))</f>
        <v/>
      </c>
    </row>
    <row r="1369" customFormat="false" ht="15" hidden="false" customHeight="false" outlineLevel="0" collapsed="false">
      <c r="A1369" s="12"/>
      <c r="B1369" s="13"/>
      <c r="C1369" s="14"/>
      <c r="D1369" s="15"/>
      <c r="E1369" s="14"/>
      <c r="F1369" s="16" t="str">
        <f aca="false">IF(OR(C1369="",D1369=""),"",IF(OR(A1369="",B1369=""),"Tarih ya da tür eksik",IF(AND(B1369="Çıkış",IFERROR(INDEX(Ürünler!$H$5:$H$304,MATCH(C1369,Ürünler!$A$5:$A$304,0)),0)&lt;0),"Stok eksiye düştü","")))</f>
        <v/>
      </c>
    </row>
    <row r="1370" customFormat="false" ht="15" hidden="false" customHeight="false" outlineLevel="0" collapsed="false">
      <c r="A1370" s="12"/>
      <c r="B1370" s="13"/>
      <c r="C1370" s="14"/>
      <c r="D1370" s="15"/>
      <c r="E1370" s="14"/>
      <c r="F1370" s="16" t="str">
        <f aca="false">IF(OR(C1370="",D1370=""),"",IF(OR(A1370="",B1370=""),"Tarih ya da tür eksik",IF(AND(B1370="Çıkış",IFERROR(INDEX(Ürünler!$H$5:$H$304,MATCH(C1370,Ürünler!$A$5:$A$304,0)),0)&lt;0),"Stok eksiye düştü","")))</f>
        <v/>
      </c>
    </row>
    <row r="1371" customFormat="false" ht="15" hidden="false" customHeight="false" outlineLevel="0" collapsed="false">
      <c r="A1371" s="12"/>
      <c r="B1371" s="13"/>
      <c r="C1371" s="14"/>
      <c r="D1371" s="15"/>
      <c r="E1371" s="14"/>
      <c r="F1371" s="16" t="str">
        <f aca="false">IF(OR(C1371="",D1371=""),"",IF(OR(A1371="",B1371=""),"Tarih ya da tür eksik",IF(AND(B1371="Çıkış",IFERROR(INDEX(Ürünler!$H$5:$H$304,MATCH(C1371,Ürünler!$A$5:$A$304,0)),0)&lt;0),"Stok eksiye düştü","")))</f>
        <v/>
      </c>
    </row>
    <row r="1372" customFormat="false" ht="15" hidden="false" customHeight="false" outlineLevel="0" collapsed="false">
      <c r="A1372" s="12"/>
      <c r="B1372" s="13"/>
      <c r="C1372" s="14"/>
      <c r="D1372" s="15"/>
      <c r="E1372" s="14"/>
      <c r="F1372" s="16" t="str">
        <f aca="false">IF(OR(C1372="",D1372=""),"",IF(OR(A1372="",B1372=""),"Tarih ya da tür eksik",IF(AND(B1372="Çıkış",IFERROR(INDEX(Ürünler!$H$5:$H$304,MATCH(C1372,Ürünler!$A$5:$A$304,0)),0)&lt;0),"Stok eksiye düştü","")))</f>
        <v/>
      </c>
    </row>
    <row r="1373" customFormat="false" ht="15" hidden="false" customHeight="false" outlineLevel="0" collapsed="false">
      <c r="A1373" s="12"/>
      <c r="B1373" s="13"/>
      <c r="C1373" s="14"/>
      <c r="D1373" s="15"/>
      <c r="E1373" s="14"/>
      <c r="F1373" s="16" t="str">
        <f aca="false">IF(OR(C1373="",D1373=""),"",IF(OR(A1373="",B1373=""),"Tarih ya da tür eksik",IF(AND(B1373="Çıkış",IFERROR(INDEX(Ürünler!$H$5:$H$304,MATCH(C1373,Ürünler!$A$5:$A$304,0)),0)&lt;0),"Stok eksiye düştü","")))</f>
        <v/>
      </c>
    </row>
    <row r="1374" customFormat="false" ht="15" hidden="false" customHeight="false" outlineLevel="0" collapsed="false">
      <c r="A1374" s="12"/>
      <c r="B1374" s="13"/>
      <c r="C1374" s="14"/>
      <c r="D1374" s="15"/>
      <c r="E1374" s="14"/>
      <c r="F1374" s="16" t="str">
        <f aca="false">IF(OR(C1374="",D1374=""),"",IF(OR(A1374="",B1374=""),"Tarih ya da tür eksik",IF(AND(B1374="Çıkış",IFERROR(INDEX(Ürünler!$H$5:$H$304,MATCH(C1374,Ürünler!$A$5:$A$304,0)),0)&lt;0),"Stok eksiye düştü","")))</f>
        <v/>
      </c>
    </row>
    <row r="1375" customFormat="false" ht="15" hidden="false" customHeight="false" outlineLevel="0" collapsed="false">
      <c r="A1375" s="12"/>
      <c r="B1375" s="13"/>
      <c r="C1375" s="14"/>
      <c r="D1375" s="15"/>
      <c r="E1375" s="14"/>
      <c r="F1375" s="16" t="str">
        <f aca="false">IF(OR(C1375="",D1375=""),"",IF(OR(A1375="",B1375=""),"Tarih ya da tür eksik",IF(AND(B1375="Çıkış",IFERROR(INDEX(Ürünler!$H$5:$H$304,MATCH(C1375,Ürünler!$A$5:$A$304,0)),0)&lt;0),"Stok eksiye düştü","")))</f>
        <v/>
      </c>
    </row>
    <row r="1376" customFormat="false" ht="15" hidden="false" customHeight="false" outlineLevel="0" collapsed="false">
      <c r="A1376" s="12"/>
      <c r="B1376" s="13"/>
      <c r="C1376" s="14"/>
      <c r="D1376" s="15"/>
      <c r="E1376" s="14"/>
      <c r="F1376" s="16" t="str">
        <f aca="false">IF(OR(C1376="",D1376=""),"",IF(OR(A1376="",B1376=""),"Tarih ya da tür eksik",IF(AND(B1376="Çıkış",IFERROR(INDEX(Ürünler!$H$5:$H$304,MATCH(C1376,Ürünler!$A$5:$A$304,0)),0)&lt;0),"Stok eksiye düştü","")))</f>
        <v/>
      </c>
    </row>
    <row r="1377" customFormat="false" ht="15" hidden="false" customHeight="false" outlineLevel="0" collapsed="false">
      <c r="A1377" s="12"/>
      <c r="B1377" s="13"/>
      <c r="C1377" s="14"/>
      <c r="D1377" s="15"/>
      <c r="E1377" s="14"/>
      <c r="F1377" s="16" t="str">
        <f aca="false">IF(OR(C1377="",D1377=""),"",IF(OR(A1377="",B1377=""),"Tarih ya da tür eksik",IF(AND(B1377="Çıkış",IFERROR(INDEX(Ürünler!$H$5:$H$304,MATCH(C1377,Ürünler!$A$5:$A$304,0)),0)&lt;0),"Stok eksiye düştü","")))</f>
        <v/>
      </c>
    </row>
    <row r="1378" customFormat="false" ht="15" hidden="false" customHeight="false" outlineLevel="0" collapsed="false">
      <c r="A1378" s="12"/>
      <c r="B1378" s="13"/>
      <c r="C1378" s="14"/>
      <c r="D1378" s="15"/>
      <c r="E1378" s="14"/>
      <c r="F1378" s="16" t="str">
        <f aca="false">IF(OR(C1378="",D1378=""),"",IF(OR(A1378="",B1378=""),"Tarih ya da tür eksik",IF(AND(B1378="Çıkış",IFERROR(INDEX(Ürünler!$H$5:$H$304,MATCH(C1378,Ürünler!$A$5:$A$304,0)),0)&lt;0),"Stok eksiye düştü","")))</f>
        <v/>
      </c>
    </row>
    <row r="1379" customFormat="false" ht="15" hidden="false" customHeight="false" outlineLevel="0" collapsed="false">
      <c r="A1379" s="12"/>
      <c r="B1379" s="13"/>
      <c r="C1379" s="14"/>
      <c r="D1379" s="15"/>
      <c r="E1379" s="14"/>
      <c r="F1379" s="16" t="str">
        <f aca="false">IF(OR(C1379="",D1379=""),"",IF(OR(A1379="",B1379=""),"Tarih ya da tür eksik",IF(AND(B1379="Çıkış",IFERROR(INDEX(Ürünler!$H$5:$H$304,MATCH(C1379,Ürünler!$A$5:$A$304,0)),0)&lt;0),"Stok eksiye düştü","")))</f>
        <v/>
      </c>
    </row>
    <row r="1380" customFormat="false" ht="15" hidden="false" customHeight="false" outlineLevel="0" collapsed="false">
      <c r="A1380" s="12"/>
      <c r="B1380" s="13"/>
      <c r="C1380" s="14"/>
      <c r="D1380" s="15"/>
      <c r="E1380" s="14"/>
      <c r="F1380" s="16" t="str">
        <f aca="false">IF(OR(C1380="",D1380=""),"",IF(OR(A1380="",B1380=""),"Tarih ya da tür eksik",IF(AND(B1380="Çıkış",IFERROR(INDEX(Ürünler!$H$5:$H$304,MATCH(C1380,Ürünler!$A$5:$A$304,0)),0)&lt;0),"Stok eksiye düştü","")))</f>
        <v/>
      </c>
    </row>
    <row r="1381" customFormat="false" ht="15" hidden="false" customHeight="false" outlineLevel="0" collapsed="false">
      <c r="A1381" s="12"/>
      <c r="B1381" s="13"/>
      <c r="C1381" s="14"/>
      <c r="D1381" s="15"/>
      <c r="E1381" s="14"/>
      <c r="F1381" s="16" t="str">
        <f aca="false">IF(OR(C1381="",D1381=""),"",IF(OR(A1381="",B1381=""),"Tarih ya da tür eksik",IF(AND(B1381="Çıkış",IFERROR(INDEX(Ürünler!$H$5:$H$304,MATCH(C1381,Ürünler!$A$5:$A$304,0)),0)&lt;0),"Stok eksiye düştü","")))</f>
        <v/>
      </c>
    </row>
    <row r="1382" customFormat="false" ht="15" hidden="false" customHeight="false" outlineLevel="0" collapsed="false">
      <c r="A1382" s="12"/>
      <c r="B1382" s="13"/>
      <c r="C1382" s="14"/>
      <c r="D1382" s="15"/>
      <c r="E1382" s="14"/>
      <c r="F1382" s="16" t="str">
        <f aca="false">IF(OR(C1382="",D1382=""),"",IF(OR(A1382="",B1382=""),"Tarih ya da tür eksik",IF(AND(B1382="Çıkış",IFERROR(INDEX(Ürünler!$H$5:$H$304,MATCH(C1382,Ürünler!$A$5:$A$304,0)),0)&lt;0),"Stok eksiye düştü","")))</f>
        <v/>
      </c>
    </row>
    <row r="1383" customFormat="false" ht="15" hidden="false" customHeight="false" outlineLevel="0" collapsed="false">
      <c r="A1383" s="12"/>
      <c r="B1383" s="13"/>
      <c r="C1383" s="14"/>
      <c r="D1383" s="15"/>
      <c r="E1383" s="14"/>
      <c r="F1383" s="16" t="str">
        <f aca="false">IF(OR(C1383="",D1383=""),"",IF(OR(A1383="",B1383=""),"Tarih ya da tür eksik",IF(AND(B1383="Çıkış",IFERROR(INDEX(Ürünler!$H$5:$H$304,MATCH(C1383,Ürünler!$A$5:$A$304,0)),0)&lt;0),"Stok eksiye düştü","")))</f>
        <v/>
      </c>
    </row>
    <row r="1384" customFormat="false" ht="15" hidden="false" customHeight="false" outlineLevel="0" collapsed="false">
      <c r="A1384" s="12"/>
      <c r="B1384" s="13"/>
      <c r="C1384" s="14"/>
      <c r="D1384" s="15"/>
      <c r="E1384" s="14"/>
      <c r="F1384" s="16" t="str">
        <f aca="false">IF(OR(C1384="",D1384=""),"",IF(OR(A1384="",B1384=""),"Tarih ya da tür eksik",IF(AND(B1384="Çıkış",IFERROR(INDEX(Ürünler!$H$5:$H$304,MATCH(C1384,Ürünler!$A$5:$A$304,0)),0)&lt;0),"Stok eksiye düştü","")))</f>
        <v/>
      </c>
    </row>
    <row r="1385" customFormat="false" ht="15" hidden="false" customHeight="false" outlineLevel="0" collapsed="false">
      <c r="A1385" s="12"/>
      <c r="B1385" s="13"/>
      <c r="C1385" s="14"/>
      <c r="D1385" s="15"/>
      <c r="E1385" s="14"/>
      <c r="F1385" s="16" t="str">
        <f aca="false">IF(OR(C1385="",D1385=""),"",IF(OR(A1385="",B1385=""),"Tarih ya da tür eksik",IF(AND(B1385="Çıkış",IFERROR(INDEX(Ürünler!$H$5:$H$304,MATCH(C1385,Ürünler!$A$5:$A$304,0)),0)&lt;0),"Stok eksiye düştü","")))</f>
        <v/>
      </c>
    </row>
    <row r="1386" customFormat="false" ht="15" hidden="false" customHeight="false" outlineLevel="0" collapsed="false">
      <c r="A1386" s="12"/>
      <c r="B1386" s="13"/>
      <c r="C1386" s="14"/>
      <c r="D1386" s="15"/>
      <c r="E1386" s="14"/>
      <c r="F1386" s="16" t="str">
        <f aca="false">IF(OR(C1386="",D1386=""),"",IF(OR(A1386="",B1386=""),"Tarih ya da tür eksik",IF(AND(B1386="Çıkış",IFERROR(INDEX(Ürünler!$H$5:$H$304,MATCH(C1386,Ürünler!$A$5:$A$304,0)),0)&lt;0),"Stok eksiye düştü","")))</f>
        <v/>
      </c>
    </row>
    <row r="1387" customFormat="false" ht="15" hidden="false" customHeight="false" outlineLevel="0" collapsed="false">
      <c r="A1387" s="12"/>
      <c r="B1387" s="13"/>
      <c r="C1387" s="14"/>
      <c r="D1387" s="15"/>
      <c r="E1387" s="14"/>
      <c r="F1387" s="16" t="str">
        <f aca="false">IF(OR(C1387="",D1387=""),"",IF(OR(A1387="",B1387=""),"Tarih ya da tür eksik",IF(AND(B1387="Çıkış",IFERROR(INDEX(Ürünler!$H$5:$H$304,MATCH(C1387,Ürünler!$A$5:$A$304,0)),0)&lt;0),"Stok eksiye düştü","")))</f>
        <v/>
      </c>
    </row>
    <row r="1388" customFormat="false" ht="15" hidden="false" customHeight="false" outlineLevel="0" collapsed="false">
      <c r="A1388" s="12"/>
      <c r="B1388" s="13"/>
      <c r="C1388" s="14"/>
      <c r="D1388" s="15"/>
      <c r="E1388" s="14"/>
      <c r="F1388" s="16" t="str">
        <f aca="false">IF(OR(C1388="",D1388=""),"",IF(OR(A1388="",B1388=""),"Tarih ya da tür eksik",IF(AND(B1388="Çıkış",IFERROR(INDEX(Ürünler!$H$5:$H$304,MATCH(C1388,Ürünler!$A$5:$A$304,0)),0)&lt;0),"Stok eksiye düştü","")))</f>
        <v/>
      </c>
    </row>
    <row r="1389" customFormat="false" ht="15" hidden="false" customHeight="false" outlineLevel="0" collapsed="false">
      <c r="A1389" s="12"/>
      <c r="B1389" s="13"/>
      <c r="C1389" s="14"/>
      <c r="D1389" s="15"/>
      <c r="E1389" s="14"/>
      <c r="F1389" s="16" t="str">
        <f aca="false">IF(OR(C1389="",D1389=""),"",IF(OR(A1389="",B1389=""),"Tarih ya da tür eksik",IF(AND(B1389="Çıkış",IFERROR(INDEX(Ürünler!$H$5:$H$304,MATCH(C1389,Ürünler!$A$5:$A$304,0)),0)&lt;0),"Stok eksiye düştü","")))</f>
        <v/>
      </c>
    </row>
    <row r="1390" customFormat="false" ht="15" hidden="false" customHeight="false" outlineLevel="0" collapsed="false">
      <c r="A1390" s="12"/>
      <c r="B1390" s="13"/>
      <c r="C1390" s="14"/>
      <c r="D1390" s="15"/>
      <c r="E1390" s="14"/>
      <c r="F1390" s="16" t="str">
        <f aca="false">IF(OR(C1390="",D1390=""),"",IF(OR(A1390="",B1390=""),"Tarih ya da tür eksik",IF(AND(B1390="Çıkış",IFERROR(INDEX(Ürünler!$H$5:$H$304,MATCH(C1390,Ürünler!$A$5:$A$304,0)),0)&lt;0),"Stok eksiye düştü","")))</f>
        <v/>
      </c>
    </row>
    <row r="1391" customFormat="false" ht="15" hidden="false" customHeight="false" outlineLevel="0" collapsed="false">
      <c r="A1391" s="12"/>
      <c r="B1391" s="13"/>
      <c r="C1391" s="14"/>
      <c r="D1391" s="15"/>
      <c r="E1391" s="14"/>
      <c r="F1391" s="16" t="str">
        <f aca="false">IF(OR(C1391="",D1391=""),"",IF(OR(A1391="",B1391=""),"Tarih ya da tür eksik",IF(AND(B1391="Çıkış",IFERROR(INDEX(Ürünler!$H$5:$H$304,MATCH(C1391,Ürünler!$A$5:$A$304,0)),0)&lt;0),"Stok eksiye düştü","")))</f>
        <v/>
      </c>
    </row>
    <row r="1392" customFormat="false" ht="15" hidden="false" customHeight="false" outlineLevel="0" collapsed="false">
      <c r="A1392" s="12"/>
      <c r="B1392" s="13"/>
      <c r="C1392" s="14"/>
      <c r="D1392" s="15"/>
      <c r="E1392" s="14"/>
      <c r="F1392" s="16" t="str">
        <f aca="false">IF(OR(C1392="",D1392=""),"",IF(OR(A1392="",B1392=""),"Tarih ya da tür eksik",IF(AND(B1392="Çıkış",IFERROR(INDEX(Ürünler!$H$5:$H$304,MATCH(C1392,Ürünler!$A$5:$A$304,0)),0)&lt;0),"Stok eksiye düştü","")))</f>
        <v/>
      </c>
    </row>
    <row r="1393" customFormat="false" ht="15" hidden="false" customHeight="false" outlineLevel="0" collapsed="false">
      <c r="A1393" s="12"/>
      <c r="B1393" s="13"/>
      <c r="C1393" s="14"/>
      <c r="D1393" s="15"/>
      <c r="E1393" s="14"/>
      <c r="F1393" s="16" t="str">
        <f aca="false">IF(OR(C1393="",D1393=""),"",IF(OR(A1393="",B1393=""),"Tarih ya da tür eksik",IF(AND(B1393="Çıkış",IFERROR(INDEX(Ürünler!$H$5:$H$304,MATCH(C1393,Ürünler!$A$5:$A$304,0)),0)&lt;0),"Stok eksiye düştü","")))</f>
        <v/>
      </c>
    </row>
    <row r="1394" customFormat="false" ht="15" hidden="false" customHeight="false" outlineLevel="0" collapsed="false">
      <c r="A1394" s="12"/>
      <c r="B1394" s="13"/>
      <c r="C1394" s="14"/>
      <c r="D1394" s="15"/>
      <c r="E1394" s="14"/>
      <c r="F1394" s="16" t="str">
        <f aca="false">IF(OR(C1394="",D1394=""),"",IF(OR(A1394="",B1394=""),"Tarih ya da tür eksik",IF(AND(B1394="Çıkış",IFERROR(INDEX(Ürünler!$H$5:$H$304,MATCH(C1394,Ürünler!$A$5:$A$304,0)),0)&lt;0),"Stok eksiye düştü","")))</f>
        <v/>
      </c>
    </row>
    <row r="1395" customFormat="false" ht="15" hidden="false" customHeight="false" outlineLevel="0" collapsed="false">
      <c r="A1395" s="12"/>
      <c r="B1395" s="13"/>
      <c r="C1395" s="14"/>
      <c r="D1395" s="15"/>
      <c r="E1395" s="14"/>
      <c r="F1395" s="16" t="str">
        <f aca="false">IF(OR(C1395="",D1395=""),"",IF(OR(A1395="",B1395=""),"Tarih ya da tür eksik",IF(AND(B1395="Çıkış",IFERROR(INDEX(Ürünler!$H$5:$H$304,MATCH(C1395,Ürünler!$A$5:$A$304,0)),0)&lt;0),"Stok eksiye düştü","")))</f>
        <v/>
      </c>
    </row>
    <row r="1396" customFormat="false" ht="15" hidden="false" customHeight="false" outlineLevel="0" collapsed="false">
      <c r="A1396" s="12"/>
      <c r="B1396" s="13"/>
      <c r="C1396" s="14"/>
      <c r="D1396" s="15"/>
      <c r="E1396" s="14"/>
      <c r="F1396" s="16" t="str">
        <f aca="false">IF(OR(C1396="",D1396=""),"",IF(OR(A1396="",B1396=""),"Tarih ya da tür eksik",IF(AND(B1396="Çıkış",IFERROR(INDEX(Ürünler!$H$5:$H$304,MATCH(C1396,Ürünler!$A$5:$A$304,0)),0)&lt;0),"Stok eksiye düştü","")))</f>
        <v/>
      </c>
    </row>
    <row r="1397" customFormat="false" ht="15" hidden="false" customHeight="false" outlineLevel="0" collapsed="false">
      <c r="A1397" s="12"/>
      <c r="B1397" s="13"/>
      <c r="C1397" s="14"/>
      <c r="D1397" s="15"/>
      <c r="E1397" s="14"/>
      <c r="F1397" s="16" t="str">
        <f aca="false">IF(OR(C1397="",D1397=""),"",IF(OR(A1397="",B1397=""),"Tarih ya da tür eksik",IF(AND(B1397="Çıkış",IFERROR(INDEX(Ürünler!$H$5:$H$304,MATCH(C1397,Ürünler!$A$5:$A$304,0)),0)&lt;0),"Stok eksiye düştü","")))</f>
        <v/>
      </c>
    </row>
    <row r="1398" customFormat="false" ht="15" hidden="false" customHeight="false" outlineLevel="0" collapsed="false">
      <c r="A1398" s="12"/>
      <c r="B1398" s="13"/>
      <c r="C1398" s="14"/>
      <c r="D1398" s="15"/>
      <c r="E1398" s="14"/>
      <c r="F1398" s="16" t="str">
        <f aca="false">IF(OR(C1398="",D1398=""),"",IF(OR(A1398="",B1398=""),"Tarih ya da tür eksik",IF(AND(B1398="Çıkış",IFERROR(INDEX(Ürünler!$H$5:$H$304,MATCH(C1398,Ürünler!$A$5:$A$304,0)),0)&lt;0),"Stok eksiye düştü","")))</f>
        <v/>
      </c>
    </row>
    <row r="1399" customFormat="false" ht="15" hidden="false" customHeight="false" outlineLevel="0" collapsed="false">
      <c r="A1399" s="12"/>
      <c r="B1399" s="13"/>
      <c r="C1399" s="14"/>
      <c r="D1399" s="15"/>
      <c r="E1399" s="14"/>
      <c r="F1399" s="16" t="str">
        <f aca="false">IF(OR(C1399="",D1399=""),"",IF(OR(A1399="",B1399=""),"Tarih ya da tür eksik",IF(AND(B1399="Çıkış",IFERROR(INDEX(Ürünler!$H$5:$H$304,MATCH(C1399,Ürünler!$A$5:$A$304,0)),0)&lt;0),"Stok eksiye düştü","")))</f>
        <v/>
      </c>
    </row>
    <row r="1400" customFormat="false" ht="15" hidden="false" customHeight="false" outlineLevel="0" collapsed="false">
      <c r="A1400" s="12"/>
      <c r="B1400" s="13"/>
      <c r="C1400" s="14"/>
      <c r="D1400" s="15"/>
      <c r="E1400" s="14"/>
      <c r="F1400" s="16" t="str">
        <f aca="false">IF(OR(C1400="",D1400=""),"",IF(OR(A1400="",B1400=""),"Tarih ya da tür eksik",IF(AND(B1400="Çıkış",IFERROR(INDEX(Ürünler!$H$5:$H$304,MATCH(C1400,Ürünler!$A$5:$A$304,0)),0)&lt;0),"Stok eksiye düştü","")))</f>
        <v/>
      </c>
    </row>
    <row r="1401" customFormat="false" ht="15" hidden="false" customHeight="false" outlineLevel="0" collapsed="false">
      <c r="A1401" s="12"/>
      <c r="B1401" s="13"/>
      <c r="C1401" s="14"/>
      <c r="D1401" s="15"/>
      <c r="E1401" s="14"/>
      <c r="F1401" s="16" t="str">
        <f aca="false">IF(OR(C1401="",D1401=""),"",IF(OR(A1401="",B1401=""),"Tarih ya da tür eksik",IF(AND(B1401="Çıkış",IFERROR(INDEX(Ürünler!$H$5:$H$304,MATCH(C1401,Ürünler!$A$5:$A$304,0)),0)&lt;0),"Stok eksiye düştü","")))</f>
        <v/>
      </c>
    </row>
    <row r="1402" customFormat="false" ht="15" hidden="false" customHeight="false" outlineLevel="0" collapsed="false">
      <c r="A1402" s="12"/>
      <c r="B1402" s="13"/>
      <c r="C1402" s="14"/>
      <c r="D1402" s="15"/>
      <c r="E1402" s="14"/>
      <c r="F1402" s="16" t="str">
        <f aca="false">IF(OR(C1402="",D1402=""),"",IF(OR(A1402="",B1402=""),"Tarih ya da tür eksik",IF(AND(B1402="Çıkış",IFERROR(INDEX(Ürünler!$H$5:$H$304,MATCH(C1402,Ürünler!$A$5:$A$304,0)),0)&lt;0),"Stok eksiye düştü","")))</f>
        <v/>
      </c>
    </row>
    <row r="1403" customFormat="false" ht="15" hidden="false" customHeight="false" outlineLevel="0" collapsed="false">
      <c r="A1403" s="12"/>
      <c r="B1403" s="13"/>
      <c r="C1403" s="14"/>
      <c r="D1403" s="15"/>
      <c r="E1403" s="14"/>
      <c r="F1403" s="16" t="str">
        <f aca="false">IF(OR(C1403="",D1403=""),"",IF(OR(A1403="",B1403=""),"Tarih ya da tür eksik",IF(AND(B1403="Çıkış",IFERROR(INDEX(Ürünler!$H$5:$H$304,MATCH(C1403,Ürünler!$A$5:$A$304,0)),0)&lt;0),"Stok eksiye düştü","")))</f>
        <v/>
      </c>
    </row>
    <row r="1404" customFormat="false" ht="15" hidden="false" customHeight="false" outlineLevel="0" collapsed="false">
      <c r="A1404" s="12"/>
      <c r="B1404" s="13"/>
      <c r="C1404" s="14"/>
      <c r="D1404" s="15"/>
      <c r="E1404" s="14"/>
      <c r="F1404" s="16" t="str">
        <f aca="false">IF(OR(C1404="",D1404=""),"",IF(OR(A1404="",B1404=""),"Tarih ya da tür eksik",IF(AND(B1404="Çıkış",IFERROR(INDEX(Ürünler!$H$5:$H$304,MATCH(C1404,Ürünler!$A$5:$A$304,0)),0)&lt;0),"Stok eksiye düştü","")))</f>
        <v/>
      </c>
    </row>
    <row r="1405" customFormat="false" ht="15" hidden="false" customHeight="false" outlineLevel="0" collapsed="false">
      <c r="A1405" s="12"/>
      <c r="B1405" s="13"/>
      <c r="C1405" s="14"/>
      <c r="D1405" s="15"/>
      <c r="E1405" s="14"/>
      <c r="F1405" s="16" t="str">
        <f aca="false">IF(OR(C1405="",D1405=""),"",IF(OR(A1405="",B1405=""),"Tarih ya da tür eksik",IF(AND(B1405="Çıkış",IFERROR(INDEX(Ürünler!$H$5:$H$304,MATCH(C1405,Ürünler!$A$5:$A$304,0)),0)&lt;0),"Stok eksiye düştü","")))</f>
        <v/>
      </c>
    </row>
    <row r="1406" customFormat="false" ht="15" hidden="false" customHeight="false" outlineLevel="0" collapsed="false">
      <c r="A1406" s="12"/>
      <c r="B1406" s="13"/>
      <c r="C1406" s="14"/>
      <c r="D1406" s="15"/>
      <c r="E1406" s="14"/>
      <c r="F1406" s="16" t="str">
        <f aca="false">IF(OR(C1406="",D1406=""),"",IF(OR(A1406="",B1406=""),"Tarih ya da tür eksik",IF(AND(B1406="Çıkış",IFERROR(INDEX(Ürünler!$H$5:$H$304,MATCH(C1406,Ürünler!$A$5:$A$304,0)),0)&lt;0),"Stok eksiye düştü","")))</f>
        <v/>
      </c>
    </row>
    <row r="1407" customFormat="false" ht="15" hidden="false" customHeight="false" outlineLevel="0" collapsed="false">
      <c r="A1407" s="12"/>
      <c r="B1407" s="13"/>
      <c r="C1407" s="14"/>
      <c r="D1407" s="15"/>
      <c r="E1407" s="14"/>
      <c r="F1407" s="16" t="str">
        <f aca="false">IF(OR(C1407="",D1407=""),"",IF(OR(A1407="",B1407=""),"Tarih ya da tür eksik",IF(AND(B1407="Çıkış",IFERROR(INDEX(Ürünler!$H$5:$H$304,MATCH(C1407,Ürünler!$A$5:$A$304,0)),0)&lt;0),"Stok eksiye düştü","")))</f>
        <v/>
      </c>
    </row>
    <row r="1408" customFormat="false" ht="15" hidden="false" customHeight="false" outlineLevel="0" collapsed="false">
      <c r="A1408" s="12"/>
      <c r="B1408" s="13"/>
      <c r="C1408" s="14"/>
      <c r="D1408" s="15"/>
      <c r="E1408" s="14"/>
      <c r="F1408" s="16" t="str">
        <f aca="false">IF(OR(C1408="",D1408=""),"",IF(OR(A1408="",B1408=""),"Tarih ya da tür eksik",IF(AND(B1408="Çıkış",IFERROR(INDEX(Ürünler!$H$5:$H$304,MATCH(C1408,Ürünler!$A$5:$A$304,0)),0)&lt;0),"Stok eksiye düştü","")))</f>
        <v/>
      </c>
    </row>
    <row r="1409" customFormat="false" ht="15" hidden="false" customHeight="false" outlineLevel="0" collapsed="false">
      <c r="A1409" s="12"/>
      <c r="B1409" s="13"/>
      <c r="C1409" s="14"/>
      <c r="D1409" s="15"/>
      <c r="E1409" s="14"/>
      <c r="F1409" s="16" t="str">
        <f aca="false">IF(OR(C1409="",D1409=""),"",IF(OR(A1409="",B1409=""),"Tarih ya da tür eksik",IF(AND(B1409="Çıkış",IFERROR(INDEX(Ürünler!$H$5:$H$304,MATCH(C1409,Ürünler!$A$5:$A$304,0)),0)&lt;0),"Stok eksiye düştü","")))</f>
        <v/>
      </c>
    </row>
    <row r="1410" customFormat="false" ht="15" hidden="false" customHeight="false" outlineLevel="0" collapsed="false">
      <c r="A1410" s="12"/>
      <c r="B1410" s="13"/>
      <c r="C1410" s="14"/>
      <c r="D1410" s="15"/>
      <c r="E1410" s="14"/>
      <c r="F1410" s="16" t="str">
        <f aca="false">IF(OR(C1410="",D1410=""),"",IF(OR(A1410="",B1410=""),"Tarih ya da tür eksik",IF(AND(B1410="Çıkış",IFERROR(INDEX(Ürünler!$H$5:$H$304,MATCH(C1410,Ürünler!$A$5:$A$304,0)),0)&lt;0),"Stok eksiye düştü","")))</f>
        <v/>
      </c>
    </row>
    <row r="1411" customFormat="false" ht="15" hidden="false" customHeight="false" outlineLevel="0" collapsed="false">
      <c r="A1411" s="12"/>
      <c r="B1411" s="13"/>
      <c r="C1411" s="14"/>
      <c r="D1411" s="15"/>
      <c r="E1411" s="14"/>
      <c r="F1411" s="16" t="str">
        <f aca="false">IF(OR(C1411="",D1411=""),"",IF(OR(A1411="",B1411=""),"Tarih ya da tür eksik",IF(AND(B1411="Çıkış",IFERROR(INDEX(Ürünler!$H$5:$H$304,MATCH(C1411,Ürünler!$A$5:$A$304,0)),0)&lt;0),"Stok eksiye düştü","")))</f>
        <v/>
      </c>
    </row>
    <row r="1412" customFormat="false" ht="15" hidden="false" customHeight="false" outlineLevel="0" collapsed="false">
      <c r="A1412" s="12"/>
      <c r="B1412" s="13"/>
      <c r="C1412" s="14"/>
      <c r="D1412" s="15"/>
      <c r="E1412" s="14"/>
      <c r="F1412" s="16" t="str">
        <f aca="false">IF(OR(C1412="",D1412=""),"",IF(OR(A1412="",B1412=""),"Tarih ya da tür eksik",IF(AND(B1412="Çıkış",IFERROR(INDEX(Ürünler!$H$5:$H$304,MATCH(C1412,Ürünler!$A$5:$A$304,0)),0)&lt;0),"Stok eksiye düştü","")))</f>
        <v/>
      </c>
    </row>
    <row r="1413" customFormat="false" ht="15" hidden="false" customHeight="false" outlineLevel="0" collapsed="false">
      <c r="A1413" s="12"/>
      <c r="B1413" s="13"/>
      <c r="C1413" s="14"/>
      <c r="D1413" s="15"/>
      <c r="E1413" s="14"/>
      <c r="F1413" s="16" t="str">
        <f aca="false">IF(OR(C1413="",D1413=""),"",IF(OR(A1413="",B1413=""),"Tarih ya da tür eksik",IF(AND(B1413="Çıkış",IFERROR(INDEX(Ürünler!$H$5:$H$304,MATCH(C1413,Ürünler!$A$5:$A$304,0)),0)&lt;0),"Stok eksiye düştü","")))</f>
        <v/>
      </c>
    </row>
    <row r="1414" customFormat="false" ht="15" hidden="false" customHeight="false" outlineLevel="0" collapsed="false">
      <c r="A1414" s="12"/>
      <c r="B1414" s="13"/>
      <c r="C1414" s="14"/>
      <c r="D1414" s="15"/>
      <c r="E1414" s="14"/>
      <c r="F1414" s="16" t="str">
        <f aca="false">IF(OR(C1414="",D1414=""),"",IF(OR(A1414="",B1414=""),"Tarih ya da tür eksik",IF(AND(B1414="Çıkış",IFERROR(INDEX(Ürünler!$H$5:$H$304,MATCH(C1414,Ürünler!$A$5:$A$304,0)),0)&lt;0),"Stok eksiye düştü","")))</f>
        <v/>
      </c>
    </row>
    <row r="1415" customFormat="false" ht="15" hidden="false" customHeight="false" outlineLevel="0" collapsed="false">
      <c r="A1415" s="12"/>
      <c r="B1415" s="13"/>
      <c r="C1415" s="14"/>
      <c r="D1415" s="15"/>
      <c r="E1415" s="14"/>
      <c r="F1415" s="16" t="str">
        <f aca="false">IF(OR(C1415="",D1415=""),"",IF(OR(A1415="",B1415=""),"Tarih ya da tür eksik",IF(AND(B1415="Çıkış",IFERROR(INDEX(Ürünler!$H$5:$H$304,MATCH(C1415,Ürünler!$A$5:$A$304,0)),0)&lt;0),"Stok eksiye düştü","")))</f>
        <v/>
      </c>
    </row>
    <row r="1416" customFormat="false" ht="15" hidden="false" customHeight="false" outlineLevel="0" collapsed="false">
      <c r="A1416" s="12"/>
      <c r="B1416" s="13"/>
      <c r="C1416" s="14"/>
      <c r="D1416" s="15"/>
      <c r="E1416" s="14"/>
      <c r="F1416" s="16" t="str">
        <f aca="false">IF(OR(C1416="",D1416=""),"",IF(OR(A1416="",B1416=""),"Tarih ya da tür eksik",IF(AND(B1416="Çıkış",IFERROR(INDEX(Ürünler!$H$5:$H$304,MATCH(C1416,Ürünler!$A$5:$A$304,0)),0)&lt;0),"Stok eksiye düştü","")))</f>
        <v/>
      </c>
    </row>
    <row r="1417" customFormat="false" ht="15" hidden="false" customHeight="false" outlineLevel="0" collapsed="false">
      <c r="A1417" s="12"/>
      <c r="B1417" s="13"/>
      <c r="C1417" s="14"/>
      <c r="D1417" s="15"/>
      <c r="E1417" s="14"/>
      <c r="F1417" s="16" t="str">
        <f aca="false">IF(OR(C1417="",D1417=""),"",IF(OR(A1417="",B1417=""),"Tarih ya da tür eksik",IF(AND(B1417="Çıkış",IFERROR(INDEX(Ürünler!$H$5:$H$304,MATCH(C1417,Ürünler!$A$5:$A$304,0)),0)&lt;0),"Stok eksiye düştü","")))</f>
        <v/>
      </c>
    </row>
    <row r="1418" customFormat="false" ht="15" hidden="false" customHeight="false" outlineLevel="0" collapsed="false">
      <c r="A1418" s="12"/>
      <c r="B1418" s="13"/>
      <c r="C1418" s="14"/>
      <c r="D1418" s="15"/>
      <c r="E1418" s="14"/>
      <c r="F1418" s="16" t="str">
        <f aca="false">IF(OR(C1418="",D1418=""),"",IF(OR(A1418="",B1418=""),"Tarih ya da tür eksik",IF(AND(B1418="Çıkış",IFERROR(INDEX(Ürünler!$H$5:$H$304,MATCH(C1418,Ürünler!$A$5:$A$304,0)),0)&lt;0),"Stok eksiye düştü","")))</f>
        <v/>
      </c>
    </row>
    <row r="1419" customFormat="false" ht="15" hidden="false" customHeight="false" outlineLevel="0" collapsed="false">
      <c r="A1419" s="12"/>
      <c r="B1419" s="13"/>
      <c r="C1419" s="14"/>
      <c r="D1419" s="15"/>
      <c r="E1419" s="14"/>
      <c r="F1419" s="16" t="str">
        <f aca="false">IF(OR(C1419="",D1419=""),"",IF(OR(A1419="",B1419=""),"Tarih ya da tür eksik",IF(AND(B1419="Çıkış",IFERROR(INDEX(Ürünler!$H$5:$H$304,MATCH(C1419,Ürünler!$A$5:$A$304,0)),0)&lt;0),"Stok eksiye düştü","")))</f>
        <v/>
      </c>
    </row>
    <row r="1420" customFormat="false" ht="15" hidden="false" customHeight="false" outlineLevel="0" collapsed="false">
      <c r="A1420" s="12"/>
      <c r="B1420" s="13"/>
      <c r="C1420" s="14"/>
      <c r="D1420" s="15"/>
      <c r="E1420" s="14"/>
      <c r="F1420" s="16" t="str">
        <f aca="false">IF(OR(C1420="",D1420=""),"",IF(OR(A1420="",B1420=""),"Tarih ya da tür eksik",IF(AND(B1420="Çıkış",IFERROR(INDEX(Ürünler!$H$5:$H$304,MATCH(C1420,Ürünler!$A$5:$A$304,0)),0)&lt;0),"Stok eksiye düştü","")))</f>
        <v/>
      </c>
    </row>
    <row r="1421" customFormat="false" ht="15" hidden="false" customHeight="false" outlineLevel="0" collapsed="false">
      <c r="A1421" s="12"/>
      <c r="B1421" s="13"/>
      <c r="C1421" s="14"/>
      <c r="D1421" s="15"/>
      <c r="E1421" s="14"/>
      <c r="F1421" s="16" t="str">
        <f aca="false">IF(OR(C1421="",D1421=""),"",IF(OR(A1421="",B1421=""),"Tarih ya da tür eksik",IF(AND(B1421="Çıkış",IFERROR(INDEX(Ürünler!$H$5:$H$304,MATCH(C1421,Ürünler!$A$5:$A$304,0)),0)&lt;0),"Stok eksiye düştü","")))</f>
        <v/>
      </c>
    </row>
    <row r="1422" customFormat="false" ht="15" hidden="false" customHeight="false" outlineLevel="0" collapsed="false">
      <c r="A1422" s="12"/>
      <c r="B1422" s="13"/>
      <c r="C1422" s="14"/>
      <c r="D1422" s="15"/>
      <c r="E1422" s="14"/>
      <c r="F1422" s="16" t="str">
        <f aca="false">IF(OR(C1422="",D1422=""),"",IF(OR(A1422="",B1422=""),"Tarih ya da tür eksik",IF(AND(B1422="Çıkış",IFERROR(INDEX(Ürünler!$H$5:$H$304,MATCH(C1422,Ürünler!$A$5:$A$304,0)),0)&lt;0),"Stok eksiye düştü","")))</f>
        <v/>
      </c>
    </row>
    <row r="1423" customFormat="false" ht="15" hidden="false" customHeight="false" outlineLevel="0" collapsed="false">
      <c r="A1423" s="12"/>
      <c r="B1423" s="13"/>
      <c r="C1423" s="14"/>
      <c r="D1423" s="15"/>
      <c r="E1423" s="14"/>
      <c r="F1423" s="16" t="str">
        <f aca="false">IF(OR(C1423="",D1423=""),"",IF(OR(A1423="",B1423=""),"Tarih ya da tür eksik",IF(AND(B1423="Çıkış",IFERROR(INDEX(Ürünler!$H$5:$H$304,MATCH(C1423,Ürünler!$A$5:$A$304,0)),0)&lt;0),"Stok eksiye düştü","")))</f>
        <v/>
      </c>
    </row>
    <row r="1424" customFormat="false" ht="15" hidden="false" customHeight="false" outlineLevel="0" collapsed="false">
      <c r="A1424" s="12"/>
      <c r="B1424" s="13"/>
      <c r="C1424" s="14"/>
      <c r="D1424" s="15"/>
      <c r="E1424" s="14"/>
      <c r="F1424" s="16" t="str">
        <f aca="false">IF(OR(C1424="",D1424=""),"",IF(OR(A1424="",B1424=""),"Tarih ya da tür eksik",IF(AND(B1424="Çıkış",IFERROR(INDEX(Ürünler!$H$5:$H$304,MATCH(C1424,Ürünler!$A$5:$A$304,0)),0)&lt;0),"Stok eksiye düştü","")))</f>
        <v/>
      </c>
    </row>
    <row r="1425" customFormat="false" ht="15" hidden="false" customHeight="false" outlineLevel="0" collapsed="false">
      <c r="A1425" s="12"/>
      <c r="B1425" s="13"/>
      <c r="C1425" s="14"/>
      <c r="D1425" s="15"/>
      <c r="E1425" s="14"/>
      <c r="F1425" s="16" t="str">
        <f aca="false">IF(OR(C1425="",D1425=""),"",IF(OR(A1425="",B1425=""),"Tarih ya da tür eksik",IF(AND(B1425="Çıkış",IFERROR(INDEX(Ürünler!$H$5:$H$304,MATCH(C1425,Ürünler!$A$5:$A$304,0)),0)&lt;0),"Stok eksiye düştü","")))</f>
        <v/>
      </c>
    </row>
    <row r="1426" customFormat="false" ht="15" hidden="false" customHeight="false" outlineLevel="0" collapsed="false">
      <c r="A1426" s="12"/>
      <c r="B1426" s="13"/>
      <c r="C1426" s="14"/>
      <c r="D1426" s="15"/>
      <c r="E1426" s="14"/>
      <c r="F1426" s="16" t="str">
        <f aca="false">IF(OR(C1426="",D1426=""),"",IF(OR(A1426="",B1426=""),"Tarih ya da tür eksik",IF(AND(B1426="Çıkış",IFERROR(INDEX(Ürünler!$H$5:$H$304,MATCH(C1426,Ürünler!$A$5:$A$304,0)),0)&lt;0),"Stok eksiye düştü","")))</f>
        <v/>
      </c>
    </row>
    <row r="1427" customFormat="false" ht="15" hidden="false" customHeight="false" outlineLevel="0" collapsed="false">
      <c r="A1427" s="12"/>
      <c r="B1427" s="13"/>
      <c r="C1427" s="14"/>
      <c r="D1427" s="15"/>
      <c r="E1427" s="14"/>
      <c r="F1427" s="16" t="str">
        <f aca="false">IF(OR(C1427="",D1427=""),"",IF(OR(A1427="",B1427=""),"Tarih ya da tür eksik",IF(AND(B1427="Çıkış",IFERROR(INDEX(Ürünler!$H$5:$H$304,MATCH(C1427,Ürünler!$A$5:$A$304,0)),0)&lt;0),"Stok eksiye düştü","")))</f>
        <v/>
      </c>
    </row>
    <row r="1428" customFormat="false" ht="15" hidden="false" customHeight="false" outlineLevel="0" collapsed="false">
      <c r="A1428" s="12"/>
      <c r="B1428" s="13"/>
      <c r="C1428" s="14"/>
      <c r="D1428" s="15"/>
      <c r="E1428" s="14"/>
      <c r="F1428" s="16" t="str">
        <f aca="false">IF(OR(C1428="",D1428=""),"",IF(OR(A1428="",B1428=""),"Tarih ya da tür eksik",IF(AND(B1428="Çıkış",IFERROR(INDEX(Ürünler!$H$5:$H$304,MATCH(C1428,Ürünler!$A$5:$A$304,0)),0)&lt;0),"Stok eksiye düştü","")))</f>
        <v/>
      </c>
    </row>
    <row r="1429" customFormat="false" ht="15" hidden="false" customHeight="false" outlineLevel="0" collapsed="false">
      <c r="A1429" s="12"/>
      <c r="B1429" s="13"/>
      <c r="C1429" s="14"/>
      <c r="D1429" s="15"/>
      <c r="E1429" s="14"/>
      <c r="F1429" s="16" t="str">
        <f aca="false">IF(OR(C1429="",D1429=""),"",IF(OR(A1429="",B1429=""),"Tarih ya da tür eksik",IF(AND(B1429="Çıkış",IFERROR(INDEX(Ürünler!$H$5:$H$304,MATCH(C1429,Ürünler!$A$5:$A$304,0)),0)&lt;0),"Stok eksiye düştü","")))</f>
        <v/>
      </c>
    </row>
    <row r="1430" customFormat="false" ht="15" hidden="false" customHeight="false" outlineLevel="0" collapsed="false">
      <c r="A1430" s="12"/>
      <c r="B1430" s="13"/>
      <c r="C1430" s="14"/>
      <c r="D1430" s="15"/>
      <c r="E1430" s="14"/>
      <c r="F1430" s="16" t="str">
        <f aca="false">IF(OR(C1430="",D1430=""),"",IF(OR(A1430="",B1430=""),"Tarih ya da tür eksik",IF(AND(B1430="Çıkış",IFERROR(INDEX(Ürünler!$H$5:$H$304,MATCH(C1430,Ürünler!$A$5:$A$304,0)),0)&lt;0),"Stok eksiye düştü","")))</f>
        <v/>
      </c>
    </row>
    <row r="1431" customFormat="false" ht="15" hidden="false" customHeight="false" outlineLevel="0" collapsed="false">
      <c r="A1431" s="12"/>
      <c r="B1431" s="13"/>
      <c r="C1431" s="14"/>
      <c r="D1431" s="15"/>
      <c r="E1431" s="14"/>
      <c r="F1431" s="16" t="str">
        <f aca="false">IF(OR(C1431="",D1431=""),"",IF(OR(A1431="",B1431=""),"Tarih ya da tür eksik",IF(AND(B1431="Çıkış",IFERROR(INDEX(Ürünler!$H$5:$H$304,MATCH(C1431,Ürünler!$A$5:$A$304,0)),0)&lt;0),"Stok eksiye düştü","")))</f>
        <v/>
      </c>
    </row>
    <row r="1432" customFormat="false" ht="15" hidden="false" customHeight="false" outlineLevel="0" collapsed="false">
      <c r="A1432" s="12"/>
      <c r="B1432" s="13"/>
      <c r="C1432" s="14"/>
      <c r="D1432" s="15"/>
      <c r="E1432" s="14"/>
      <c r="F1432" s="16" t="str">
        <f aca="false">IF(OR(C1432="",D1432=""),"",IF(OR(A1432="",B1432=""),"Tarih ya da tür eksik",IF(AND(B1432="Çıkış",IFERROR(INDEX(Ürünler!$H$5:$H$304,MATCH(C1432,Ürünler!$A$5:$A$304,0)),0)&lt;0),"Stok eksiye düştü","")))</f>
        <v/>
      </c>
    </row>
    <row r="1433" customFormat="false" ht="15" hidden="false" customHeight="false" outlineLevel="0" collapsed="false">
      <c r="A1433" s="12"/>
      <c r="B1433" s="13"/>
      <c r="C1433" s="14"/>
      <c r="D1433" s="15"/>
      <c r="E1433" s="14"/>
      <c r="F1433" s="16" t="str">
        <f aca="false">IF(OR(C1433="",D1433=""),"",IF(OR(A1433="",B1433=""),"Tarih ya da tür eksik",IF(AND(B1433="Çıkış",IFERROR(INDEX(Ürünler!$H$5:$H$304,MATCH(C1433,Ürünler!$A$5:$A$304,0)),0)&lt;0),"Stok eksiye düştü","")))</f>
        <v/>
      </c>
    </row>
    <row r="1434" customFormat="false" ht="15" hidden="false" customHeight="false" outlineLevel="0" collapsed="false">
      <c r="A1434" s="12"/>
      <c r="B1434" s="13"/>
      <c r="C1434" s="14"/>
      <c r="D1434" s="15"/>
      <c r="E1434" s="14"/>
      <c r="F1434" s="16" t="str">
        <f aca="false">IF(OR(C1434="",D1434=""),"",IF(OR(A1434="",B1434=""),"Tarih ya da tür eksik",IF(AND(B1434="Çıkış",IFERROR(INDEX(Ürünler!$H$5:$H$304,MATCH(C1434,Ürünler!$A$5:$A$304,0)),0)&lt;0),"Stok eksiye düştü","")))</f>
        <v/>
      </c>
    </row>
    <row r="1435" customFormat="false" ht="15" hidden="false" customHeight="false" outlineLevel="0" collapsed="false">
      <c r="A1435" s="12"/>
      <c r="B1435" s="13"/>
      <c r="C1435" s="14"/>
      <c r="D1435" s="15"/>
      <c r="E1435" s="14"/>
      <c r="F1435" s="16" t="str">
        <f aca="false">IF(OR(C1435="",D1435=""),"",IF(OR(A1435="",B1435=""),"Tarih ya da tür eksik",IF(AND(B1435="Çıkış",IFERROR(INDEX(Ürünler!$H$5:$H$304,MATCH(C1435,Ürünler!$A$5:$A$304,0)),0)&lt;0),"Stok eksiye düştü","")))</f>
        <v/>
      </c>
    </row>
    <row r="1436" customFormat="false" ht="15" hidden="false" customHeight="false" outlineLevel="0" collapsed="false">
      <c r="A1436" s="12"/>
      <c r="B1436" s="13"/>
      <c r="C1436" s="14"/>
      <c r="D1436" s="15"/>
      <c r="E1436" s="14"/>
      <c r="F1436" s="16" t="str">
        <f aca="false">IF(OR(C1436="",D1436=""),"",IF(OR(A1436="",B1436=""),"Tarih ya da tür eksik",IF(AND(B1436="Çıkış",IFERROR(INDEX(Ürünler!$H$5:$H$304,MATCH(C1436,Ürünler!$A$5:$A$304,0)),0)&lt;0),"Stok eksiye düştü","")))</f>
        <v/>
      </c>
    </row>
    <row r="1437" customFormat="false" ht="15" hidden="false" customHeight="false" outlineLevel="0" collapsed="false">
      <c r="A1437" s="12"/>
      <c r="B1437" s="13"/>
      <c r="C1437" s="14"/>
      <c r="D1437" s="15"/>
      <c r="E1437" s="14"/>
      <c r="F1437" s="16" t="str">
        <f aca="false">IF(OR(C1437="",D1437=""),"",IF(OR(A1437="",B1437=""),"Tarih ya da tür eksik",IF(AND(B1437="Çıkış",IFERROR(INDEX(Ürünler!$H$5:$H$304,MATCH(C1437,Ürünler!$A$5:$A$304,0)),0)&lt;0),"Stok eksiye düştü","")))</f>
        <v/>
      </c>
    </row>
    <row r="1438" customFormat="false" ht="15" hidden="false" customHeight="false" outlineLevel="0" collapsed="false">
      <c r="A1438" s="12"/>
      <c r="B1438" s="13"/>
      <c r="C1438" s="14"/>
      <c r="D1438" s="15"/>
      <c r="E1438" s="14"/>
      <c r="F1438" s="16" t="str">
        <f aca="false">IF(OR(C1438="",D1438=""),"",IF(OR(A1438="",B1438=""),"Tarih ya da tür eksik",IF(AND(B1438="Çıkış",IFERROR(INDEX(Ürünler!$H$5:$H$304,MATCH(C1438,Ürünler!$A$5:$A$304,0)),0)&lt;0),"Stok eksiye düştü","")))</f>
        <v/>
      </c>
    </row>
    <row r="1439" customFormat="false" ht="15" hidden="false" customHeight="false" outlineLevel="0" collapsed="false">
      <c r="A1439" s="12"/>
      <c r="B1439" s="13"/>
      <c r="C1439" s="14"/>
      <c r="D1439" s="15"/>
      <c r="E1439" s="14"/>
      <c r="F1439" s="16" t="str">
        <f aca="false">IF(OR(C1439="",D1439=""),"",IF(OR(A1439="",B1439=""),"Tarih ya da tür eksik",IF(AND(B1439="Çıkış",IFERROR(INDEX(Ürünler!$H$5:$H$304,MATCH(C1439,Ürünler!$A$5:$A$304,0)),0)&lt;0),"Stok eksiye düştü","")))</f>
        <v/>
      </c>
    </row>
    <row r="1440" customFormat="false" ht="15" hidden="false" customHeight="false" outlineLevel="0" collapsed="false">
      <c r="A1440" s="12"/>
      <c r="B1440" s="13"/>
      <c r="C1440" s="14"/>
      <c r="D1440" s="15"/>
      <c r="E1440" s="14"/>
      <c r="F1440" s="16" t="str">
        <f aca="false">IF(OR(C1440="",D1440=""),"",IF(OR(A1440="",B1440=""),"Tarih ya da tür eksik",IF(AND(B1440="Çıkış",IFERROR(INDEX(Ürünler!$H$5:$H$304,MATCH(C1440,Ürünler!$A$5:$A$304,0)),0)&lt;0),"Stok eksiye düştü","")))</f>
        <v/>
      </c>
    </row>
    <row r="1441" customFormat="false" ht="15" hidden="false" customHeight="false" outlineLevel="0" collapsed="false">
      <c r="A1441" s="12"/>
      <c r="B1441" s="13"/>
      <c r="C1441" s="14"/>
      <c r="D1441" s="15"/>
      <c r="E1441" s="14"/>
      <c r="F1441" s="16" t="str">
        <f aca="false">IF(OR(C1441="",D1441=""),"",IF(OR(A1441="",B1441=""),"Tarih ya da tür eksik",IF(AND(B1441="Çıkış",IFERROR(INDEX(Ürünler!$H$5:$H$304,MATCH(C1441,Ürünler!$A$5:$A$304,0)),0)&lt;0),"Stok eksiye düştü","")))</f>
        <v/>
      </c>
    </row>
    <row r="1442" customFormat="false" ht="15" hidden="false" customHeight="false" outlineLevel="0" collapsed="false">
      <c r="A1442" s="12"/>
      <c r="B1442" s="13"/>
      <c r="C1442" s="14"/>
      <c r="D1442" s="15"/>
      <c r="E1442" s="14"/>
      <c r="F1442" s="16" t="str">
        <f aca="false">IF(OR(C1442="",D1442=""),"",IF(OR(A1442="",B1442=""),"Tarih ya da tür eksik",IF(AND(B1442="Çıkış",IFERROR(INDEX(Ürünler!$H$5:$H$304,MATCH(C1442,Ürünler!$A$5:$A$304,0)),0)&lt;0),"Stok eksiye düştü","")))</f>
        <v/>
      </c>
    </row>
    <row r="1443" customFormat="false" ht="15" hidden="false" customHeight="false" outlineLevel="0" collapsed="false">
      <c r="A1443" s="12"/>
      <c r="B1443" s="13"/>
      <c r="C1443" s="14"/>
      <c r="D1443" s="15"/>
      <c r="E1443" s="14"/>
      <c r="F1443" s="16" t="str">
        <f aca="false">IF(OR(C1443="",D1443=""),"",IF(OR(A1443="",B1443=""),"Tarih ya da tür eksik",IF(AND(B1443="Çıkış",IFERROR(INDEX(Ürünler!$H$5:$H$304,MATCH(C1443,Ürünler!$A$5:$A$304,0)),0)&lt;0),"Stok eksiye düştü","")))</f>
        <v/>
      </c>
    </row>
    <row r="1444" customFormat="false" ht="15" hidden="false" customHeight="false" outlineLevel="0" collapsed="false">
      <c r="A1444" s="12"/>
      <c r="B1444" s="13"/>
      <c r="C1444" s="14"/>
      <c r="D1444" s="15"/>
      <c r="E1444" s="14"/>
      <c r="F1444" s="16" t="str">
        <f aca="false">IF(OR(C1444="",D1444=""),"",IF(OR(A1444="",B1444=""),"Tarih ya da tür eksik",IF(AND(B1444="Çıkış",IFERROR(INDEX(Ürünler!$H$5:$H$304,MATCH(C1444,Ürünler!$A$5:$A$304,0)),0)&lt;0),"Stok eksiye düştü","")))</f>
        <v/>
      </c>
    </row>
    <row r="1445" customFormat="false" ht="15" hidden="false" customHeight="false" outlineLevel="0" collapsed="false">
      <c r="A1445" s="12"/>
      <c r="B1445" s="13"/>
      <c r="C1445" s="14"/>
      <c r="D1445" s="15"/>
      <c r="E1445" s="14"/>
      <c r="F1445" s="16" t="str">
        <f aca="false">IF(OR(C1445="",D1445=""),"",IF(OR(A1445="",B1445=""),"Tarih ya da tür eksik",IF(AND(B1445="Çıkış",IFERROR(INDEX(Ürünler!$H$5:$H$304,MATCH(C1445,Ürünler!$A$5:$A$304,0)),0)&lt;0),"Stok eksiye düştü","")))</f>
        <v/>
      </c>
    </row>
    <row r="1446" customFormat="false" ht="15" hidden="false" customHeight="false" outlineLevel="0" collapsed="false">
      <c r="A1446" s="12"/>
      <c r="B1446" s="13"/>
      <c r="C1446" s="14"/>
      <c r="D1446" s="15"/>
      <c r="E1446" s="14"/>
      <c r="F1446" s="16" t="str">
        <f aca="false">IF(OR(C1446="",D1446=""),"",IF(OR(A1446="",B1446=""),"Tarih ya da tür eksik",IF(AND(B1446="Çıkış",IFERROR(INDEX(Ürünler!$H$5:$H$304,MATCH(C1446,Ürünler!$A$5:$A$304,0)),0)&lt;0),"Stok eksiye düştü","")))</f>
        <v/>
      </c>
    </row>
    <row r="1447" customFormat="false" ht="15" hidden="false" customHeight="false" outlineLevel="0" collapsed="false">
      <c r="A1447" s="12"/>
      <c r="B1447" s="13"/>
      <c r="C1447" s="14"/>
      <c r="D1447" s="15"/>
      <c r="E1447" s="14"/>
      <c r="F1447" s="16" t="str">
        <f aca="false">IF(OR(C1447="",D1447=""),"",IF(OR(A1447="",B1447=""),"Tarih ya da tür eksik",IF(AND(B1447="Çıkış",IFERROR(INDEX(Ürünler!$H$5:$H$304,MATCH(C1447,Ürünler!$A$5:$A$304,0)),0)&lt;0),"Stok eksiye düştü","")))</f>
        <v/>
      </c>
    </row>
    <row r="1448" customFormat="false" ht="15" hidden="false" customHeight="false" outlineLevel="0" collapsed="false">
      <c r="A1448" s="12"/>
      <c r="B1448" s="13"/>
      <c r="C1448" s="14"/>
      <c r="D1448" s="15"/>
      <c r="E1448" s="14"/>
      <c r="F1448" s="16" t="str">
        <f aca="false">IF(OR(C1448="",D1448=""),"",IF(OR(A1448="",B1448=""),"Tarih ya da tür eksik",IF(AND(B1448="Çıkış",IFERROR(INDEX(Ürünler!$H$5:$H$304,MATCH(C1448,Ürünler!$A$5:$A$304,0)),0)&lt;0),"Stok eksiye düştü","")))</f>
        <v/>
      </c>
    </row>
    <row r="1449" customFormat="false" ht="15" hidden="false" customHeight="false" outlineLevel="0" collapsed="false">
      <c r="A1449" s="12"/>
      <c r="B1449" s="13"/>
      <c r="C1449" s="14"/>
      <c r="D1449" s="15"/>
      <c r="E1449" s="14"/>
      <c r="F1449" s="16" t="str">
        <f aca="false">IF(OR(C1449="",D1449=""),"",IF(OR(A1449="",B1449=""),"Tarih ya da tür eksik",IF(AND(B1449="Çıkış",IFERROR(INDEX(Ürünler!$H$5:$H$304,MATCH(C1449,Ürünler!$A$5:$A$304,0)),0)&lt;0),"Stok eksiye düştü","")))</f>
        <v/>
      </c>
    </row>
    <row r="1450" customFormat="false" ht="15" hidden="false" customHeight="false" outlineLevel="0" collapsed="false">
      <c r="A1450" s="12"/>
      <c r="B1450" s="13"/>
      <c r="C1450" s="14"/>
      <c r="D1450" s="15"/>
      <c r="E1450" s="14"/>
      <c r="F1450" s="16" t="str">
        <f aca="false">IF(OR(C1450="",D1450=""),"",IF(OR(A1450="",B1450=""),"Tarih ya da tür eksik",IF(AND(B1450="Çıkış",IFERROR(INDEX(Ürünler!$H$5:$H$304,MATCH(C1450,Ürünler!$A$5:$A$304,0)),0)&lt;0),"Stok eksiye düştü","")))</f>
        <v/>
      </c>
    </row>
    <row r="1451" customFormat="false" ht="15" hidden="false" customHeight="false" outlineLevel="0" collapsed="false">
      <c r="A1451" s="12"/>
      <c r="B1451" s="13"/>
      <c r="C1451" s="14"/>
      <c r="D1451" s="15"/>
      <c r="E1451" s="14"/>
      <c r="F1451" s="16" t="str">
        <f aca="false">IF(OR(C1451="",D1451=""),"",IF(OR(A1451="",B1451=""),"Tarih ya da tür eksik",IF(AND(B1451="Çıkış",IFERROR(INDEX(Ürünler!$H$5:$H$304,MATCH(C1451,Ürünler!$A$5:$A$304,0)),0)&lt;0),"Stok eksiye düştü","")))</f>
        <v/>
      </c>
    </row>
    <row r="1452" customFormat="false" ht="15" hidden="false" customHeight="false" outlineLevel="0" collapsed="false">
      <c r="A1452" s="12"/>
      <c r="B1452" s="13"/>
      <c r="C1452" s="14"/>
      <c r="D1452" s="15"/>
      <c r="E1452" s="14"/>
      <c r="F1452" s="16" t="str">
        <f aca="false">IF(OR(C1452="",D1452=""),"",IF(OR(A1452="",B1452=""),"Tarih ya da tür eksik",IF(AND(B1452="Çıkış",IFERROR(INDEX(Ürünler!$H$5:$H$304,MATCH(C1452,Ürünler!$A$5:$A$304,0)),0)&lt;0),"Stok eksiye düştü","")))</f>
        <v/>
      </c>
    </row>
    <row r="1453" customFormat="false" ht="15" hidden="false" customHeight="false" outlineLevel="0" collapsed="false">
      <c r="A1453" s="12"/>
      <c r="B1453" s="13"/>
      <c r="C1453" s="14"/>
      <c r="D1453" s="15"/>
      <c r="E1453" s="14"/>
      <c r="F1453" s="16" t="str">
        <f aca="false">IF(OR(C1453="",D1453=""),"",IF(OR(A1453="",B1453=""),"Tarih ya da tür eksik",IF(AND(B1453="Çıkış",IFERROR(INDEX(Ürünler!$H$5:$H$304,MATCH(C1453,Ürünler!$A$5:$A$304,0)),0)&lt;0),"Stok eksiye düştü","")))</f>
        <v/>
      </c>
    </row>
    <row r="1454" customFormat="false" ht="15" hidden="false" customHeight="false" outlineLevel="0" collapsed="false">
      <c r="A1454" s="12"/>
      <c r="B1454" s="13"/>
      <c r="C1454" s="14"/>
      <c r="D1454" s="15"/>
      <c r="E1454" s="14"/>
      <c r="F1454" s="16" t="str">
        <f aca="false">IF(OR(C1454="",D1454=""),"",IF(OR(A1454="",B1454=""),"Tarih ya da tür eksik",IF(AND(B1454="Çıkış",IFERROR(INDEX(Ürünler!$H$5:$H$304,MATCH(C1454,Ürünler!$A$5:$A$304,0)),0)&lt;0),"Stok eksiye düştü","")))</f>
        <v/>
      </c>
    </row>
    <row r="1455" customFormat="false" ht="15" hidden="false" customHeight="false" outlineLevel="0" collapsed="false">
      <c r="A1455" s="12"/>
      <c r="B1455" s="13"/>
      <c r="C1455" s="14"/>
      <c r="D1455" s="15"/>
      <c r="E1455" s="14"/>
      <c r="F1455" s="16" t="str">
        <f aca="false">IF(OR(C1455="",D1455=""),"",IF(OR(A1455="",B1455=""),"Tarih ya da tür eksik",IF(AND(B1455="Çıkış",IFERROR(INDEX(Ürünler!$H$5:$H$304,MATCH(C1455,Ürünler!$A$5:$A$304,0)),0)&lt;0),"Stok eksiye düştü","")))</f>
        <v/>
      </c>
    </row>
    <row r="1456" customFormat="false" ht="15" hidden="false" customHeight="false" outlineLevel="0" collapsed="false">
      <c r="A1456" s="12"/>
      <c r="B1456" s="13"/>
      <c r="C1456" s="14"/>
      <c r="D1456" s="15"/>
      <c r="E1456" s="14"/>
      <c r="F1456" s="16" t="str">
        <f aca="false">IF(OR(C1456="",D1456=""),"",IF(OR(A1456="",B1456=""),"Tarih ya da tür eksik",IF(AND(B1456="Çıkış",IFERROR(INDEX(Ürünler!$H$5:$H$304,MATCH(C1456,Ürünler!$A$5:$A$304,0)),0)&lt;0),"Stok eksiye düştü","")))</f>
        <v/>
      </c>
    </row>
    <row r="1457" customFormat="false" ht="15" hidden="false" customHeight="false" outlineLevel="0" collapsed="false">
      <c r="A1457" s="12"/>
      <c r="B1457" s="13"/>
      <c r="C1457" s="14"/>
      <c r="D1457" s="15"/>
      <c r="E1457" s="14"/>
      <c r="F1457" s="16" t="str">
        <f aca="false">IF(OR(C1457="",D1457=""),"",IF(OR(A1457="",B1457=""),"Tarih ya da tür eksik",IF(AND(B1457="Çıkış",IFERROR(INDEX(Ürünler!$H$5:$H$304,MATCH(C1457,Ürünler!$A$5:$A$304,0)),0)&lt;0),"Stok eksiye düştü","")))</f>
        <v/>
      </c>
    </row>
    <row r="1458" customFormat="false" ht="15" hidden="false" customHeight="false" outlineLevel="0" collapsed="false">
      <c r="A1458" s="12"/>
      <c r="B1458" s="13"/>
      <c r="C1458" s="14"/>
      <c r="D1458" s="15"/>
      <c r="E1458" s="14"/>
      <c r="F1458" s="16" t="str">
        <f aca="false">IF(OR(C1458="",D1458=""),"",IF(OR(A1458="",B1458=""),"Tarih ya da tür eksik",IF(AND(B1458="Çıkış",IFERROR(INDEX(Ürünler!$H$5:$H$304,MATCH(C1458,Ürünler!$A$5:$A$304,0)),0)&lt;0),"Stok eksiye düştü","")))</f>
        <v/>
      </c>
    </row>
    <row r="1459" customFormat="false" ht="15" hidden="false" customHeight="false" outlineLevel="0" collapsed="false">
      <c r="A1459" s="12"/>
      <c r="B1459" s="13"/>
      <c r="C1459" s="14"/>
      <c r="D1459" s="15"/>
      <c r="E1459" s="14"/>
      <c r="F1459" s="16" t="str">
        <f aca="false">IF(OR(C1459="",D1459=""),"",IF(OR(A1459="",B1459=""),"Tarih ya da tür eksik",IF(AND(B1459="Çıkış",IFERROR(INDEX(Ürünler!$H$5:$H$304,MATCH(C1459,Ürünler!$A$5:$A$304,0)),0)&lt;0),"Stok eksiye düştü","")))</f>
        <v/>
      </c>
    </row>
    <row r="1460" customFormat="false" ht="15" hidden="false" customHeight="false" outlineLevel="0" collapsed="false">
      <c r="A1460" s="12"/>
      <c r="B1460" s="13"/>
      <c r="C1460" s="14"/>
      <c r="D1460" s="15"/>
      <c r="E1460" s="14"/>
      <c r="F1460" s="16" t="str">
        <f aca="false">IF(OR(C1460="",D1460=""),"",IF(OR(A1460="",B1460=""),"Tarih ya da tür eksik",IF(AND(B1460="Çıkış",IFERROR(INDEX(Ürünler!$H$5:$H$304,MATCH(C1460,Ürünler!$A$5:$A$304,0)),0)&lt;0),"Stok eksiye düştü","")))</f>
        <v/>
      </c>
    </row>
    <row r="1461" customFormat="false" ht="15" hidden="false" customHeight="false" outlineLevel="0" collapsed="false">
      <c r="A1461" s="12"/>
      <c r="B1461" s="13"/>
      <c r="C1461" s="14"/>
      <c r="D1461" s="15"/>
      <c r="E1461" s="14"/>
      <c r="F1461" s="16" t="str">
        <f aca="false">IF(OR(C1461="",D1461=""),"",IF(OR(A1461="",B1461=""),"Tarih ya da tür eksik",IF(AND(B1461="Çıkış",IFERROR(INDEX(Ürünler!$H$5:$H$304,MATCH(C1461,Ürünler!$A$5:$A$304,0)),0)&lt;0),"Stok eksiye düştü","")))</f>
        <v/>
      </c>
    </row>
    <row r="1462" customFormat="false" ht="15" hidden="false" customHeight="false" outlineLevel="0" collapsed="false">
      <c r="A1462" s="12"/>
      <c r="B1462" s="13"/>
      <c r="C1462" s="14"/>
      <c r="D1462" s="15"/>
      <c r="E1462" s="14"/>
      <c r="F1462" s="16" t="str">
        <f aca="false">IF(OR(C1462="",D1462=""),"",IF(OR(A1462="",B1462=""),"Tarih ya da tür eksik",IF(AND(B1462="Çıkış",IFERROR(INDEX(Ürünler!$H$5:$H$304,MATCH(C1462,Ürünler!$A$5:$A$304,0)),0)&lt;0),"Stok eksiye düştü","")))</f>
        <v/>
      </c>
    </row>
    <row r="1463" customFormat="false" ht="15" hidden="false" customHeight="false" outlineLevel="0" collapsed="false">
      <c r="A1463" s="12"/>
      <c r="B1463" s="13"/>
      <c r="C1463" s="14"/>
      <c r="D1463" s="15"/>
      <c r="E1463" s="14"/>
      <c r="F1463" s="16" t="str">
        <f aca="false">IF(OR(C1463="",D1463=""),"",IF(OR(A1463="",B1463=""),"Tarih ya da tür eksik",IF(AND(B1463="Çıkış",IFERROR(INDEX(Ürünler!$H$5:$H$304,MATCH(C1463,Ürünler!$A$5:$A$304,0)),0)&lt;0),"Stok eksiye düştü","")))</f>
        <v/>
      </c>
    </row>
    <row r="1464" customFormat="false" ht="15" hidden="false" customHeight="false" outlineLevel="0" collapsed="false">
      <c r="A1464" s="12"/>
      <c r="B1464" s="13"/>
      <c r="C1464" s="14"/>
      <c r="D1464" s="15"/>
      <c r="E1464" s="14"/>
      <c r="F1464" s="16" t="str">
        <f aca="false">IF(OR(C1464="",D1464=""),"",IF(OR(A1464="",B1464=""),"Tarih ya da tür eksik",IF(AND(B1464="Çıkış",IFERROR(INDEX(Ürünler!$H$5:$H$304,MATCH(C1464,Ürünler!$A$5:$A$304,0)),0)&lt;0),"Stok eksiye düştü","")))</f>
        <v/>
      </c>
    </row>
    <row r="1465" customFormat="false" ht="15" hidden="false" customHeight="false" outlineLevel="0" collapsed="false">
      <c r="A1465" s="12"/>
      <c r="B1465" s="13"/>
      <c r="C1465" s="14"/>
      <c r="D1465" s="15"/>
      <c r="E1465" s="14"/>
      <c r="F1465" s="16" t="str">
        <f aca="false">IF(OR(C1465="",D1465=""),"",IF(OR(A1465="",B1465=""),"Tarih ya da tür eksik",IF(AND(B1465="Çıkış",IFERROR(INDEX(Ürünler!$H$5:$H$304,MATCH(C1465,Ürünler!$A$5:$A$304,0)),0)&lt;0),"Stok eksiye düştü","")))</f>
        <v/>
      </c>
    </row>
    <row r="1466" customFormat="false" ht="15" hidden="false" customHeight="false" outlineLevel="0" collapsed="false">
      <c r="A1466" s="12"/>
      <c r="B1466" s="13"/>
      <c r="C1466" s="14"/>
      <c r="D1466" s="15"/>
      <c r="E1466" s="14"/>
      <c r="F1466" s="16" t="str">
        <f aca="false">IF(OR(C1466="",D1466=""),"",IF(OR(A1466="",B1466=""),"Tarih ya da tür eksik",IF(AND(B1466="Çıkış",IFERROR(INDEX(Ürünler!$H$5:$H$304,MATCH(C1466,Ürünler!$A$5:$A$304,0)),0)&lt;0),"Stok eksiye düştü","")))</f>
        <v/>
      </c>
    </row>
    <row r="1467" customFormat="false" ht="15" hidden="false" customHeight="false" outlineLevel="0" collapsed="false">
      <c r="A1467" s="12"/>
      <c r="B1467" s="13"/>
      <c r="C1467" s="14"/>
      <c r="D1467" s="15"/>
      <c r="E1467" s="14"/>
      <c r="F1467" s="16" t="str">
        <f aca="false">IF(OR(C1467="",D1467=""),"",IF(OR(A1467="",B1467=""),"Tarih ya da tür eksik",IF(AND(B1467="Çıkış",IFERROR(INDEX(Ürünler!$H$5:$H$304,MATCH(C1467,Ürünler!$A$5:$A$304,0)),0)&lt;0),"Stok eksiye düştü","")))</f>
        <v/>
      </c>
    </row>
    <row r="1468" customFormat="false" ht="15" hidden="false" customHeight="false" outlineLevel="0" collapsed="false">
      <c r="A1468" s="12"/>
      <c r="B1468" s="13"/>
      <c r="C1468" s="14"/>
      <c r="D1468" s="15"/>
      <c r="E1468" s="14"/>
      <c r="F1468" s="16" t="str">
        <f aca="false">IF(OR(C1468="",D1468=""),"",IF(OR(A1468="",B1468=""),"Tarih ya da tür eksik",IF(AND(B1468="Çıkış",IFERROR(INDEX(Ürünler!$H$5:$H$304,MATCH(C1468,Ürünler!$A$5:$A$304,0)),0)&lt;0),"Stok eksiye düştü","")))</f>
        <v/>
      </c>
    </row>
    <row r="1469" customFormat="false" ht="15" hidden="false" customHeight="false" outlineLevel="0" collapsed="false">
      <c r="A1469" s="12"/>
      <c r="B1469" s="13"/>
      <c r="C1469" s="14"/>
      <c r="D1469" s="15"/>
      <c r="E1469" s="14"/>
      <c r="F1469" s="16" t="str">
        <f aca="false">IF(OR(C1469="",D1469=""),"",IF(OR(A1469="",B1469=""),"Tarih ya da tür eksik",IF(AND(B1469="Çıkış",IFERROR(INDEX(Ürünler!$H$5:$H$304,MATCH(C1469,Ürünler!$A$5:$A$304,0)),0)&lt;0),"Stok eksiye düştü","")))</f>
        <v/>
      </c>
    </row>
    <row r="1470" customFormat="false" ht="15" hidden="false" customHeight="false" outlineLevel="0" collapsed="false">
      <c r="A1470" s="12"/>
      <c r="B1470" s="13"/>
      <c r="C1470" s="14"/>
      <c r="D1470" s="15"/>
      <c r="E1470" s="14"/>
      <c r="F1470" s="16" t="str">
        <f aca="false">IF(OR(C1470="",D1470=""),"",IF(OR(A1470="",B1470=""),"Tarih ya da tür eksik",IF(AND(B1470="Çıkış",IFERROR(INDEX(Ürünler!$H$5:$H$304,MATCH(C1470,Ürünler!$A$5:$A$304,0)),0)&lt;0),"Stok eksiye düştü","")))</f>
        <v/>
      </c>
    </row>
    <row r="1471" customFormat="false" ht="15" hidden="false" customHeight="false" outlineLevel="0" collapsed="false">
      <c r="A1471" s="12"/>
      <c r="B1471" s="13"/>
      <c r="C1471" s="14"/>
      <c r="D1471" s="15"/>
      <c r="E1471" s="14"/>
      <c r="F1471" s="16" t="str">
        <f aca="false">IF(OR(C1471="",D1471=""),"",IF(OR(A1471="",B1471=""),"Tarih ya da tür eksik",IF(AND(B1471="Çıkış",IFERROR(INDEX(Ürünler!$H$5:$H$304,MATCH(C1471,Ürünler!$A$5:$A$304,0)),0)&lt;0),"Stok eksiye düştü","")))</f>
        <v/>
      </c>
    </row>
    <row r="1472" customFormat="false" ht="15" hidden="false" customHeight="false" outlineLevel="0" collapsed="false">
      <c r="A1472" s="12"/>
      <c r="B1472" s="13"/>
      <c r="C1472" s="14"/>
      <c r="D1472" s="15"/>
      <c r="E1472" s="14"/>
      <c r="F1472" s="16" t="str">
        <f aca="false">IF(OR(C1472="",D1472=""),"",IF(OR(A1472="",B1472=""),"Tarih ya da tür eksik",IF(AND(B1472="Çıkış",IFERROR(INDEX(Ürünler!$H$5:$H$304,MATCH(C1472,Ürünler!$A$5:$A$304,0)),0)&lt;0),"Stok eksiye düştü","")))</f>
        <v/>
      </c>
    </row>
    <row r="1473" customFormat="false" ht="15" hidden="false" customHeight="false" outlineLevel="0" collapsed="false">
      <c r="A1473" s="12"/>
      <c r="B1473" s="13"/>
      <c r="C1473" s="14"/>
      <c r="D1473" s="15"/>
      <c r="E1473" s="14"/>
      <c r="F1473" s="16" t="str">
        <f aca="false">IF(OR(C1473="",D1473=""),"",IF(OR(A1473="",B1473=""),"Tarih ya da tür eksik",IF(AND(B1473="Çıkış",IFERROR(INDEX(Ürünler!$H$5:$H$304,MATCH(C1473,Ürünler!$A$5:$A$304,0)),0)&lt;0),"Stok eksiye düştü","")))</f>
        <v/>
      </c>
    </row>
    <row r="1474" customFormat="false" ht="15" hidden="false" customHeight="false" outlineLevel="0" collapsed="false">
      <c r="A1474" s="12"/>
      <c r="B1474" s="13"/>
      <c r="C1474" s="14"/>
      <c r="D1474" s="15"/>
      <c r="E1474" s="14"/>
      <c r="F1474" s="16" t="str">
        <f aca="false">IF(OR(C1474="",D1474=""),"",IF(OR(A1474="",B1474=""),"Tarih ya da tür eksik",IF(AND(B1474="Çıkış",IFERROR(INDEX(Ürünler!$H$5:$H$304,MATCH(C1474,Ürünler!$A$5:$A$304,0)),0)&lt;0),"Stok eksiye düştü","")))</f>
        <v/>
      </c>
    </row>
    <row r="1475" customFormat="false" ht="15" hidden="false" customHeight="false" outlineLevel="0" collapsed="false">
      <c r="A1475" s="12"/>
      <c r="B1475" s="13"/>
      <c r="C1475" s="14"/>
      <c r="D1475" s="15"/>
      <c r="E1475" s="14"/>
      <c r="F1475" s="16" t="str">
        <f aca="false">IF(OR(C1475="",D1475=""),"",IF(OR(A1475="",B1475=""),"Tarih ya da tür eksik",IF(AND(B1475="Çıkış",IFERROR(INDEX(Ürünler!$H$5:$H$304,MATCH(C1475,Ürünler!$A$5:$A$304,0)),0)&lt;0),"Stok eksiye düştü","")))</f>
        <v/>
      </c>
    </row>
    <row r="1476" customFormat="false" ht="15" hidden="false" customHeight="false" outlineLevel="0" collapsed="false">
      <c r="A1476" s="12"/>
      <c r="B1476" s="13"/>
      <c r="C1476" s="14"/>
      <c r="D1476" s="15"/>
      <c r="E1476" s="14"/>
      <c r="F1476" s="16" t="str">
        <f aca="false">IF(OR(C1476="",D1476=""),"",IF(OR(A1476="",B1476=""),"Tarih ya da tür eksik",IF(AND(B1476="Çıkış",IFERROR(INDEX(Ürünler!$H$5:$H$304,MATCH(C1476,Ürünler!$A$5:$A$304,0)),0)&lt;0),"Stok eksiye düştü","")))</f>
        <v/>
      </c>
    </row>
    <row r="1477" customFormat="false" ht="15" hidden="false" customHeight="false" outlineLevel="0" collapsed="false">
      <c r="A1477" s="12"/>
      <c r="B1477" s="13"/>
      <c r="C1477" s="14"/>
      <c r="D1477" s="15"/>
      <c r="E1477" s="14"/>
      <c r="F1477" s="16" t="str">
        <f aca="false">IF(OR(C1477="",D1477=""),"",IF(OR(A1477="",B1477=""),"Tarih ya da tür eksik",IF(AND(B1477="Çıkış",IFERROR(INDEX(Ürünler!$H$5:$H$304,MATCH(C1477,Ürünler!$A$5:$A$304,0)),0)&lt;0),"Stok eksiye düştü","")))</f>
        <v/>
      </c>
    </row>
    <row r="1478" customFormat="false" ht="15" hidden="false" customHeight="false" outlineLevel="0" collapsed="false">
      <c r="A1478" s="12"/>
      <c r="B1478" s="13"/>
      <c r="C1478" s="14"/>
      <c r="D1478" s="15"/>
      <c r="E1478" s="14"/>
      <c r="F1478" s="16" t="str">
        <f aca="false">IF(OR(C1478="",D1478=""),"",IF(OR(A1478="",B1478=""),"Tarih ya da tür eksik",IF(AND(B1478="Çıkış",IFERROR(INDEX(Ürünler!$H$5:$H$304,MATCH(C1478,Ürünler!$A$5:$A$304,0)),0)&lt;0),"Stok eksiye düştü","")))</f>
        <v/>
      </c>
    </row>
    <row r="1479" customFormat="false" ht="15" hidden="false" customHeight="false" outlineLevel="0" collapsed="false">
      <c r="A1479" s="12"/>
      <c r="B1479" s="13"/>
      <c r="C1479" s="14"/>
      <c r="D1479" s="15"/>
      <c r="E1479" s="14"/>
      <c r="F1479" s="16" t="str">
        <f aca="false">IF(OR(C1479="",D1479=""),"",IF(OR(A1479="",B1479=""),"Tarih ya da tür eksik",IF(AND(B1479="Çıkış",IFERROR(INDEX(Ürünler!$H$5:$H$304,MATCH(C1479,Ürünler!$A$5:$A$304,0)),0)&lt;0),"Stok eksiye düştü","")))</f>
        <v/>
      </c>
    </row>
    <row r="1480" customFormat="false" ht="15" hidden="false" customHeight="false" outlineLevel="0" collapsed="false">
      <c r="A1480" s="12"/>
      <c r="B1480" s="13"/>
      <c r="C1480" s="14"/>
      <c r="D1480" s="15"/>
      <c r="E1480" s="14"/>
      <c r="F1480" s="16" t="str">
        <f aca="false">IF(OR(C1480="",D1480=""),"",IF(OR(A1480="",B1480=""),"Tarih ya da tür eksik",IF(AND(B1480="Çıkış",IFERROR(INDEX(Ürünler!$H$5:$H$304,MATCH(C1480,Ürünler!$A$5:$A$304,0)),0)&lt;0),"Stok eksiye düştü","")))</f>
        <v/>
      </c>
    </row>
    <row r="1481" customFormat="false" ht="15" hidden="false" customHeight="false" outlineLevel="0" collapsed="false">
      <c r="A1481" s="12"/>
      <c r="B1481" s="13"/>
      <c r="C1481" s="14"/>
      <c r="D1481" s="15"/>
      <c r="E1481" s="14"/>
      <c r="F1481" s="16" t="str">
        <f aca="false">IF(OR(C1481="",D1481=""),"",IF(OR(A1481="",B1481=""),"Tarih ya da tür eksik",IF(AND(B1481="Çıkış",IFERROR(INDEX(Ürünler!$H$5:$H$304,MATCH(C1481,Ürünler!$A$5:$A$304,0)),0)&lt;0),"Stok eksiye düştü","")))</f>
        <v/>
      </c>
    </row>
    <row r="1482" customFormat="false" ht="15" hidden="false" customHeight="false" outlineLevel="0" collapsed="false">
      <c r="A1482" s="12"/>
      <c r="B1482" s="13"/>
      <c r="C1482" s="14"/>
      <c r="D1482" s="15"/>
      <c r="E1482" s="14"/>
      <c r="F1482" s="16" t="str">
        <f aca="false">IF(OR(C1482="",D1482=""),"",IF(OR(A1482="",B1482=""),"Tarih ya da tür eksik",IF(AND(B1482="Çıkış",IFERROR(INDEX(Ürünler!$H$5:$H$304,MATCH(C1482,Ürünler!$A$5:$A$304,0)),0)&lt;0),"Stok eksiye düştü","")))</f>
        <v/>
      </c>
    </row>
    <row r="1483" customFormat="false" ht="15" hidden="false" customHeight="false" outlineLevel="0" collapsed="false">
      <c r="A1483" s="12"/>
      <c r="B1483" s="13"/>
      <c r="C1483" s="14"/>
      <c r="D1483" s="15"/>
      <c r="E1483" s="14"/>
      <c r="F1483" s="16" t="str">
        <f aca="false">IF(OR(C1483="",D1483=""),"",IF(OR(A1483="",B1483=""),"Tarih ya da tür eksik",IF(AND(B1483="Çıkış",IFERROR(INDEX(Ürünler!$H$5:$H$304,MATCH(C1483,Ürünler!$A$5:$A$304,0)),0)&lt;0),"Stok eksiye düştü","")))</f>
        <v/>
      </c>
    </row>
    <row r="1484" customFormat="false" ht="15" hidden="false" customHeight="false" outlineLevel="0" collapsed="false">
      <c r="A1484" s="12"/>
      <c r="B1484" s="13"/>
      <c r="C1484" s="14"/>
      <c r="D1484" s="15"/>
      <c r="E1484" s="14"/>
      <c r="F1484" s="16" t="str">
        <f aca="false">IF(OR(C1484="",D1484=""),"",IF(OR(A1484="",B1484=""),"Tarih ya da tür eksik",IF(AND(B1484="Çıkış",IFERROR(INDEX(Ürünler!$H$5:$H$304,MATCH(C1484,Ürünler!$A$5:$A$304,0)),0)&lt;0),"Stok eksiye düştü","")))</f>
        <v/>
      </c>
    </row>
    <row r="1485" customFormat="false" ht="15" hidden="false" customHeight="false" outlineLevel="0" collapsed="false">
      <c r="A1485" s="12"/>
      <c r="B1485" s="13"/>
      <c r="C1485" s="14"/>
      <c r="D1485" s="15"/>
      <c r="E1485" s="14"/>
      <c r="F1485" s="16" t="str">
        <f aca="false">IF(OR(C1485="",D1485=""),"",IF(OR(A1485="",B1485=""),"Tarih ya da tür eksik",IF(AND(B1485="Çıkış",IFERROR(INDEX(Ürünler!$H$5:$H$304,MATCH(C1485,Ürünler!$A$5:$A$304,0)),0)&lt;0),"Stok eksiye düştü","")))</f>
        <v/>
      </c>
    </row>
    <row r="1486" customFormat="false" ht="15" hidden="false" customHeight="false" outlineLevel="0" collapsed="false">
      <c r="A1486" s="12"/>
      <c r="B1486" s="13"/>
      <c r="C1486" s="14"/>
      <c r="D1486" s="15"/>
      <c r="E1486" s="14"/>
      <c r="F1486" s="16" t="str">
        <f aca="false">IF(OR(C1486="",D1486=""),"",IF(OR(A1486="",B1486=""),"Tarih ya da tür eksik",IF(AND(B1486="Çıkış",IFERROR(INDEX(Ürünler!$H$5:$H$304,MATCH(C1486,Ürünler!$A$5:$A$304,0)),0)&lt;0),"Stok eksiye düştü","")))</f>
        <v/>
      </c>
    </row>
    <row r="1487" customFormat="false" ht="15" hidden="false" customHeight="false" outlineLevel="0" collapsed="false">
      <c r="A1487" s="12"/>
      <c r="B1487" s="13"/>
      <c r="C1487" s="14"/>
      <c r="D1487" s="15"/>
      <c r="E1487" s="14"/>
      <c r="F1487" s="16" t="str">
        <f aca="false">IF(OR(C1487="",D1487=""),"",IF(OR(A1487="",B1487=""),"Tarih ya da tür eksik",IF(AND(B1487="Çıkış",IFERROR(INDEX(Ürünler!$H$5:$H$304,MATCH(C1487,Ürünler!$A$5:$A$304,0)),0)&lt;0),"Stok eksiye düştü","")))</f>
        <v/>
      </c>
    </row>
    <row r="1488" customFormat="false" ht="15" hidden="false" customHeight="false" outlineLevel="0" collapsed="false">
      <c r="A1488" s="12"/>
      <c r="B1488" s="13"/>
      <c r="C1488" s="14"/>
      <c r="D1488" s="15"/>
      <c r="E1488" s="14"/>
      <c r="F1488" s="16" t="str">
        <f aca="false">IF(OR(C1488="",D1488=""),"",IF(OR(A1488="",B1488=""),"Tarih ya da tür eksik",IF(AND(B1488="Çıkış",IFERROR(INDEX(Ürünler!$H$5:$H$304,MATCH(C1488,Ürünler!$A$5:$A$304,0)),0)&lt;0),"Stok eksiye düştü","")))</f>
        <v/>
      </c>
    </row>
    <row r="1489" customFormat="false" ht="15" hidden="false" customHeight="false" outlineLevel="0" collapsed="false">
      <c r="A1489" s="12"/>
      <c r="B1489" s="13"/>
      <c r="C1489" s="14"/>
      <c r="D1489" s="15"/>
      <c r="E1489" s="14"/>
      <c r="F1489" s="16" t="str">
        <f aca="false">IF(OR(C1489="",D1489=""),"",IF(OR(A1489="",B1489=""),"Tarih ya da tür eksik",IF(AND(B1489="Çıkış",IFERROR(INDEX(Ürünler!$H$5:$H$304,MATCH(C1489,Ürünler!$A$5:$A$304,0)),0)&lt;0),"Stok eksiye düştü","")))</f>
        <v/>
      </c>
    </row>
    <row r="1490" customFormat="false" ht="15" hidden="false" customHeight="false" outlineLevel="0" collapsed="false">
      <c r="A1490" s="12"/>
      <c r="B1490" s="13"/>
      <c r="C1490" s="14"/>
      <c r="D1490" s="15"/>
      <c r="E1490" s="14"/>
      <c r="F1490" s="16" t="str">
        <f aca="false">IF(OR(C1490="",D1490=""),"",IF(OR(A1490="",B1490=""),"Tarih ya da tür eksik",IF(AND(B1490="Çıkış",IFERROR(INDEX(Ürünler!$H$5:$H$304,MATCH(C1490,Ürünler!$A$5:$A$304,0)),0)&lt;0),"Stok eksiye düştü","")))</f>
        <v/>
      </c>
    </row>
    <row r="1491" customFormat="false" ht="15" hidden="false" customHeight="false" outlineLevel="0" collapsed="false">
      <c r="A1491" s="12"/>
      <c r="B1491" s="13"/>
      <c r="C1491" s="14"/>
      <c r="D1491" s="15"/>
      <c r="E1491" s="14"/>
      <c r="F1491" s="16" t="str">
        <f aca="false">IF(OR(C1491="",D1491=""),"",IF(OR(A1491="",B1491=""),"Tarih ya da tür eksik",IF(AND(B1491="Çıkış",IFERROR(INDEX(Ürünler!$H$5:$H$304,MATCH(C1491,Ürünler!$A$5:$A$304,0)),0)&lt;0),"Stok eksiye düştü","")))</f>
        <v/>
      </c>
    </row>
    <row r="1492" customFormat="false" ht="15" hidden="false" customHeight="false" outlineLevel="0" collapsed="false">
      <c r="A1492" s="12"/>
      <c r="B1492" s="13"/>
      <c r="C1492" s="14"/>
      <c r="D1492" s="15"/>
      <c r="E1492" s="14"/>
      <c r="F1492" s="16" t="str">
        <f aca="false">IF(OR(C1492="",D1492=""),"",IF(OR(A1492="",B1492=""),"Tarih ya da tür eksik",IF(AND(B1492="Çıkış",IFERROR(INDEX(Ürünler!$H$5:$H$304,MATCH(C1492,Ürünler!$A$5:$A$304,0)),0)&lt;0),"Stok eksiye düştü","")))</f>
        <v/>
      </c>
    </row>
    <row r="1493" customFormat="false" ht="15" hidden="false" customHeight="false" outlineLevel="0" collapsed="false">
      <c r="A1493" s="12"/>
      <c r="B1493" s="13"/>
      <c r="C1493" s="14"/>
      <c r="D1493" s="15"/>
      <c r="E1493" s="14"/>
      <c r="F1493" s="16" t="str">
        <f aca="false">IF(OR(C1493="",D1493=""),"",IF(OR(A1493="",B1493=""),"Tarih ya da tür eksik",IF(AND(B1493="Çıkış",IFERROR(INDEX(Ürünler!$H$5:$H$304,MATCH(C1493,Ürünler!$A$5:$A$304,0)),0)&lt;0),"Stok eksiye düştü","")))</f>
        <v/>
      </c>
    </row>
    <row r="1494" customFormat="false" ht="15" hidden="false" customHeight="false" outlineLevel="0" collapsed="false">
      <c r="A1494" s="12"/>
      <c r="B1494" s="13"/>
      <c r="C1494" s="14"/>
      <c r="D1494" s="15"/>
      <c r="E1494" s="14"/>
      <c r="F1494" s="16" t="str">
        <f aca="false">IF(OR(C1494="",D1494=""),"",IF(OR(A1494="",B1494=""),"Tarih ya da tür eksik",IF(AND(B1494="Çıkış",IFERROR(INDEX(Ürünler!$H$5:$H$304,MATCH(C1494,Ürünler!$A$5:$A$304,0)),0)&lt;0),"Stok eksiye düştü","")))</f>
        <v/>
      </c>
    </row>
    <row r="1495" customFormat="false" ht="15" hidden="false" customHeight="false" outlineLevel="0" collapsed="false">
      <c r="A1495" s="12"/>
      <c r="B1495" s="13"/>
      <c r="C1495" s="14"/>
      <c r="D1495" s="15"/>
      <c r="E1495" s="14"/>
      <c r="F1495" s="16" t="str">
        <f aca="false">IF(OR(C1495="",D1495=""),"",IF(OR(A1495="",B1495=""),"Tarih ya da tür eksik",IF(AND(B1495="Çıkış",IFERROR(INDEX(Ürünler!$H$5:$H$304,MATCH(C1495,Ürünler!$A$5:$A$304,0)),0)&lt;0),"Stok eksiye düştü","")))</f>
        <v/>
      </c>
    </row>
    <row r="1496" customFormat="false" ht="15" hidden="false" customHeight="false" outlineLevel="0" collapsed="false">
      <c r="A1496" s="12"/>
      <c r="B1496" s="13"/>
      <c r="C1496" s="14"/>
      <c r="D1496" s="15"/>
      <c r="E1496" s="14"/>
      <c r="F1496" s="16" t="str">
        <f aca="false">IF(OR(C1496="",D1496=""),"",IF(OR(A1496="",B1496=""),"Tarih ya da tür eksik",IF(AND(B1496="Çıkış",IFERROR(INDEX(Ürünler!$H$5:$H$304,MATCH(C1496,Ürünler!$A$5:$A$304,0)),0)&lt;0),"Stok eksiye düştü","")))</f>
        <v/>
      </c>
    </row>
    <row r="1497" customFormat="false" ht="15" hidden="false" customHeight="false" outlineLevel="0" collapsed="false">
      <c r="A1497" s="12"/>
      <c r="B1497" s="13"/>
      <c r="C1497" s="14"/>
      <c r="D1497" s="15"/>
      <c r="E1497" s="14"/>
      <c r="F1497" s="16" t="str">
        <f aca="false">IF(OR(C1497="",D1497=""),"",IF(OR(A1497="",B1497=""),"Tarih ya da tür eksik",IF(AND(B1497="Çıkış",IFERROR(INDEX(Ürünler!$H$5:$H$304,MATCH(C1497,Ürünler!$A$5:$A$304,0)),0)&lt;0),"Stok eksiye düştü","")))</f>
        <v/>
      </c>
    </row>
    <row r="1498" customFormat="false" ht="15" hidden="false" customHeight="false" outlineLevel="0" collapsed="false">
      <c r="A1498" s="12"/>
      <c r="B1498" s="13"/>
      <c r="C1498" s="14"/>
      <c r="D1498" s="15"/>
      <c r="E1498" s="14"/>
      <c r="F1498" s="16" t="str">
        <f aca="false">IF(OR(C1498="",D1498=""),"",IF(OR(A1498="",B1498=""),"Tarih ya da tür eksik",IF(AND(B1498="Çıkış",IFERROR(INDEX(Ürünler!$H$5:$H$304,MATCH(C1498,Ürünler!$A$5:$A$304,0)),0)&lt;0),"Stok eksiye düştü","")))</f>
        <v/>
      </c>
    </row>
    <row r="1499" customFormat="false" ht="15" hidden="false" customHeight="false" outlineLevel="0" collapsed="false">
      <c r="A1499" s="12"/>
      <c r="B1499" s="13"/>
      <c r="C1499" s="14"/>
      <c r="D1499" s="15"/>
      <c r="E1499" s="14"/>
      <c r="F1499" s="16" t="str">
        <f aca="false">IF(OR(C1499="",D1499=""),"",IF(OR(A1499="",B1499=""),"Tarih ya da tür eksik",IF(AND(B1499="Çıkış",IFERROR(INDEX(Ürünler!$H$5:$H$304,MATCH(C1499,Ürünler!$A$5:$A$304,0)),0)&lt;0),"Stok eksiye düştü","")))</f>
        <v/>
      </c>
    </row>
    <row r="1500" customFormat="false" ht="15" hidden="false" customHeight="false" outlineLevel="0" collapsed="false">
      <c r="A1500" s="12"/>
      <c r="B1500" s="13"/>
      <c r="C1500" s="14"/>
      <c r="D1500" s="15"/>
      <c r="E1500" s="14"/>
      <c r="F1500" s="16" t="str">
        <f aca="false">IF(OR(C1500="",D1500=""),"",IF(OR(A1500="",B1500=""),"Tarih ya da tür eksik",IF(AND(B1500="Çıkış",IFERROR(INDEX(Ürünler!$H$5:$H$304,MATCH(C1500,Ürünler!$A$5:$A$304,0)),0)&lt;0),"Stok eksiye düştü","")))</f>
        <v/>
      </c>
    </row>
    <row r="1501" customFormat="false" ht="15" hidden="false" customHeight="false" outlineLevel="0" collapsed="false">
      <c r="A1501" s="12"/>
      <c r="B1501" s="13"/>
      <c r="C1501" s="14"/>
      <c r="D1501" s="15"/>
      <c r="E1501" s="14"/>
      <c r="F1501" s="16" t="str">
        <f aca="false">IF(OR(C1501="",D1501=""),"",IF(OR(A1501="",B1501=""),"Tarih ya da tür eksik",IF(AND(B1501="Çıkış",IFERROR(INDEX(Ürünler!$H$5:$H$304,MATCH(C1501,Ürünler!$A$5:$A$304,0)),0)&lt;0),"Stok eksiye düştü","")))</f>
        <v/>
      </c>
    </row>
    <row r="1502" customFormat="false" ht="15" hidden="false" customHeight="false" outlineLevel="0" collapsed="false">
      <c r="A1502" s="12"/>
      <c r="B1502" s="13"/>
      <c r="C1502" s="14"/>
      <c r="D1502" s="15"/>
      <c r="E1502" s="14"/>
      <c r="F1502" s="16" t="str">
        <f aca="false">IF(OR(C1502="",D1502=""),"",IF(OR(A1502="",B1502=""),"Tarih ya da tür eksik",IF(AND(B1502="Çıkış",IFERROR(INDEX(Ürünler!$H$5:$H$304,MATCH(C1502,Ürünler!$A$5:$A$304,0)),0)&lt;0),"Stok eksiye düştü","")))</f>
        <v/>
      </c>
    </row>
    <row r="1503" customFormat="false" ht="15" hidden="false" customHeight="false" outlineLevel="0" collapsed="false">
      <c r="A1503" s="12"/>
      <c r="B1503" s="13"/>
      <c r="C1503" s="14"/>
      <c r="D1503" s="15"/>
      <c r="E1503" s="14"/>
      <c r="F1503" s="16" t="str">
        <f aca="false">IF(OR(C1503="",D1503=""),"",IF(OR(A1503="",B1503=""),"Tarih ya da tür eksik",IF(AND(B1503="Çıkış",IFERROR(INDEX(Ürünler!$H$5:$H$304,MATCH(C1503,Ürünler!$A$5:$A$304,0)),0)&lt;0),"Stok eksiye düştü","")))</f>
        <v/>
      </c>
    </row>
    <row r="1504" customFormat="false" ht="15" hidden="false" customHeight="false" outlineLevel="0" collapsed="false">
      <c r="A1504" s="12"/>
      <c r="B1504" s="13"/>
      <c r="C1504" s="14"/>
      <c r="D1504" s="15"/>
      <c r="E1504" s="14"/>
      <c r="F1504" s="16" t="str">
        <f aca="false">IF(OR(C1504="",D1504=""),"",IF(OR(A1504="",B1504=""),"Tarih ya da tür eksik",IF(AND(B1504="Çıkış",IFERROR(INDEX(Ürünler!$H$5:$H$304,MATCH(C1504,Ürünler!$A$5:$A$304,0)),0)&lt;0),"Stok eksiye düştü","")))</f>
        <v/>
      </c>
    </row>
  </sheetData>
  <conditionalFormatting sqref="F5:F1504">
    <cfRule type="expression" priority="2" aboveAverage="0" equalAverage="0" bottom="0" percent="0" rank="0" text="" dxfId="0">
      <formula>F5&lt;&gt;""</formula>
    </cfRule>
  </conditionalFormatting>
  <conditionalFormatting sqref="B5:B1504">
    <cfRule type="cellIs" priority="3" operator="equal" aboveAverage="0" equalAverage="0" bottom="0" percent="0" rank="0" text="" dxfId="1">
      <formula>"Giriş"</formula>
    </cfRule>
    <cfRule type="cellIs" priority="4" operator="equal" aboveAverage="0" equalAverage="0" bottom="0" percent="0" rank="0" text="" dxfId="2">
      <formula>"Çıkış"</formula>
    </cfRule>
  </conditionalFormatting>
  <dataValidations count="4">
    <dataValidation allowBlank="true" error="Geçerli bir tarih gir (örnek: 05.10.2026)." errorStyle="stop" errorTitle="Kontrol" operator="greaterThan" showDropDown="false" showErrorMessage="true" showInputMessage="false" sqref="A5:A1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1504" type="list">
      <formula1>"Giriş,Çıkış"</formula1>
      <formula2>0</formula2>
    </dataValidation>
    <dataValidation allowBlank="true" error="Listeden seç." errorStyle="stop" errorTitle="Kontrol" operator="between" showDropDown="false" showErrorMessage="true" showInputMessage="false" sqref="C5:C1504" type="list">
      <formula1>Ürünler!$A$5:$A$304</formula1>
      <formula2>0</formula2>
    </dataValidation>
    <dataValidation allowBlank="true" error="Sıfırdan büyük bir sayı gir." errorStyle="stop" errorTitle="Kontrol" operator="greaterThan" showDropDown="false" showErrorMessage="true" showInputMessage="false" sqref="D5:D1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8" t="s">
        <v>39</v>
      </c>
    </row>
    <row r="2" customFormat="false" ht="15" hidden="false" customHeight="false" outlineLevel="0" collapsed="false">
      <c r="A2" s="9" t="s">
        <v>40</v>
      </c>
    </row>
    <row r="3" customFormat="false" ht="15" hidden="false" customHeight="false" outlineLevel="0" collapsed="false">
      <c r="B3" s="0" t="s">
        <v>41</v>
      </c>
      <c r="C3" s="17" t="n">
        <v>2026</v>
      </c>
      <c r="D3" s="18" t="s">
        <v>42</v>
      </c>
      <c r="F3" s="17" t="n">
        <v>60</v>
      </c>
    </row>
    <row r="5" customFormat="false" ht="30" hidden="false" customHeight="true" outlineLevel="0" collapsed="false">
      <c r="B5" s="19" t="s">
        <v>43</v>
      </c>
      <c r="C5" s="19" t="s">
        <v>11</v>
      </c>
      <c r="D5" s="19" t="s">
        <v>44</v>
      </c>
      <c r="E5" s="19" t="s">
        <v>45</v>
      </c>
      <c r="F5" s="19" t="s">
        <v>13</v>
      </c>
    </row>
    <row r="6" customFormat="false" ht="27.75" hidden="false" customHeight="true" outlineLevel="0" collapsed="false">
      <c r="B6" s="20" t="n">
        <f aca="false">COUNTA(Ürünler!$A$5:$A$304)</f>
        <v>6</v>
      </c>
      <c r="C6" s="21" t="n">
        <f aca="false">SUM(Ürünler!$I$5:$I$304)</f>
        <v>11545</v>
      </c>
      <c r="D6" s="22" t="n">
        <f aca="false">COUNTIF(Ürünler!$J$5:$J$304,"Kritik")</f>
        <v>1</v>
      </c>
      <c r="E6" s="22" t="n">
        <f aca="false">COUNTIF(Ürünler!$J$5:$J$304,"Tükendi")</f>
        <v>1</v>
      </c>
      <c r="F6" s="20" t="n">
        <f aca="false">COUNTIF(Ürünler!$L$5:$L$304,"&gt;="&amp;F3)</f>
        <v>0</v>
      </c>
    </row>
    <row r="8" customFormat="false" ht="15" hidden="false" customHeight="false" outlineLevel="0" collapsed="false">
      <c r="B8" s="23" t="s">
        <v>46</v>
      </c>
      <c r="H8" s="23" t="s">
        <v>47</v>
      </c>
    </row>
    <row r="9" customFormat="false" ht="21.75" hidden="false" customHeight="true" outlineLevel="0" collapsed="false">
      <c r="B9" s="10" t="s">
        <v>48</v>
      </c>
      <c r="C9" s="10" t="s">
        <v>49</v>
      </c>
      <c r="D9" s="10" t="s">
        <v>50</v>
      </c>
      <c r="H9" s="10" t="s">
        <v>26</v>
      </c>
      <c r="I9" s="10" t="s">
        <v>51</v>
      </c>
      <c r="J9" s="10" t="s">
        <v>52</v>
      </c>
    </row>
    <row r="10" customFormat="false" ht="15" hidden="false" customHeight="false" outlineLevel="0" collapsed="false">
      <c r="B10" s="16" t="s">
        <v>53</v>
      </c>
      <c r="C10" s="24" t="n">
        <f aca="false">SUMIFS(Hareketler!$D$5:$D$1504,Hareketler!$A$5:$A$1504,"&gt;="&amp;DATE($C$3,1,1),Hareketler!$A$5:$A$1504,"&lt;"&amp;DATE($C$3,2,1),Hareketler!$B$5:$B$1504,"Giriş")</f>
        <v>0</v>
      </c>
      <c r="D10" s="24" t="n">
        <f aca="false">SUMIFS(Hareketler!$D$5:$D$1504,Hareketler!$A$5:$A$1504,"&gt;="&amp;DATE($C$3,1,1),Hareketler!$A$5:$A$1504,"&lt;"&amp;DATE($C$3,2,1),Hareketler!$B$5:$B$1504,"Çıkış")</f>
        <v>0</v>
      </c>
      <c r="H10" s="16" t="str">
        <f aca="false">IFERROR(INDEX(Ürünler!$A$1:$A$304,SMALL(Ürünler!$M$5:$M$304,1)),"")</f>
        <v>Toz şeker 5 kg</v>
      </c>
      <c r="I10" s="24" t="n">
        <f aca="false">IF(H10="","",INDEX(Ürünler!$H$5:$H$304,MATCH(H10,Ürünler!$A$5:$A$304,0)))</f>
        <v>5</v>
      </c>
      <c r="J10" s="25" t="str">
        <f aca="false">IF(H10="","",INDEX(Ürünler!$J$5:$J$304,MATCH(H10,Ürünler!$A$5:$A$304,0)))</f>
        <v>Kritik</v>
      </c>
    </row>
    <row r="11" customFormat="false" ht="15" hidden="false" customHeight="false" outlineLevel="0" collapsed="false">
      <c r="B11" s="26" t="s">
        <v>54</v>
      </c>
      <c r="C11" s="27" t="n">
        <f aca="false">SUMIFS(Hareketler!$D$5:$D$1504,Hareketler!$A$5:$A$1504,"&gt;="&amp;DATE($C$3,2,1),Hareketler!$A$5:$A$1504,"&lt;"&amp;DATE($C$3,3,1),Hareketler!$B$5:$B$1504,"Giriş")</f>
        <v>0</v>
      </c>
      <c r="D11" s="27" t="n">
        <f aca="false">SUMIFS(Hareketler!$D$5:$D$1504,Hareketler!$A$5:$A$1504,"&gt;="&amp;DATE($C$3,2,1),Hareketler!$A$5:$A$1504,"&lt;"&amp;DATE($C$3,3,1),Hareketler!$B$5:$B$1504,"Çıkış")</f>
        <v>0</v>
      </c>
      <c r="H11" s="26" t="str">
        <f aca="false">IFERROR(INDEX(Ürünler!$A$1:$A$304,SMALL(Ürünler!$M$5:$M$304,2)),"")</f>
        <v>Ayçiçek yağı 5 L</v>
      </c>
      <c r="I11" s="27" t="n">
        <f aca="false">IF(H11="","",INDEX(Ürünler!$H$5:$H$304,MATCH(H11,Ürünler!$A$5:$A$304,0)))</f>
        <v>0</v>
      </c>
      <c r="J11" s="28" t="str">
        <f aca="false">IF(H11="","",INDEX(Ürünler!$J$5:$J$304,MATCH(H11,Ürünler!$A$5:$A$304,0)))</f>
        <v>Tükendi</v>
      </c>
    </row>
    <row r="12" customFormat="false" ht="15" hidden="false" customHeight="false" outlineLevel="0" collapsed="false">
      <c r="B12" s="16" t="s">
        <v>55</v>
      </c>
      <c r="C12" s="24" t="n">
        <f aca="false">SUMIFS(Hareketler!$D$5:$D$1504,Hareketler!$A$5:$A$1504,"&gt;="&amp;DATE($C$3,3,1),Hareketler!$A$5:$A$1504,"&lt;"&amp;DATE($C$3,4,1),Hareketler!$B$5:$B$1504,"Giriş")</f>
        <v>0</v>
      </c>
      <c r="D12" s="24" t="n">
        <f aca="false">SUMIFS(Hareketler!$D$5:$D$1504,Hareketler!$A$5:$A$1504,"&gt;="&amp;DATE($C$3,3,1),Hareketler!$A$5:$A$1504,"&lt;"&amp;DATE($C$3,4,1),Hareketler!$B$5:$B$1504,"Çıkış")</f>
        <v>0</v>
      </c>
      <c r="H12" s="16" t="str">
        <f aca="false">IFERROR(INDEX(Ürünler!$A$1:$A$304,SMALL(Ürünler!$M$5:$M$304,3)),"")</f>
        <v/>
      </c>
      <c r="I12" s="24" t="str">
        <f aca="false">IF(H12="","",INDEX(Ürünler!$H$5:$H$304,MATCH(H12,Ürünler!$A$5:$A$304,0)))</f>
        <v/>
      </c>
      <c r="J12" s="25" t="str">
        <f aca="false">IF(H12="","",INDEX(Ürünler!$J$5:$J$304,MATCH(H12,Ürünler!$A$5:$A$304,0)))</f>
        <v/>
      </c>
    </row>
    <row r="13" customFormat="false" ht="15" hidden="false" customHeight="false" outlineLevel="0" collapsed="false">
      <c r="B13" s="26" t="s">
        <v>56</v>
      </c>
      <c r="C13" s="27" t="n">
        <f aca="false">SUMIFS(Hareketler!$D$5:$D$1504,Hareketler!$A$5:$A$1504,"&gt;="&amp;DATE($C$3,4,1),Hareketler!$A$5:$A$1504,"&lt;"&amp;DATE($C$3,5,1),Hareketler!$B$5:$B$1504,"Giriş")</f>
        <v>0</v>
      </c>
      <c r="D13" s="27" t="n">
        <f aca="false">SUMIFS(Hareketler!$D$5:$D$1504,Hareketler!$A$5:$A$1504,"&gt;="&amp;DATE($C$3,4,1),Hareketler!$A$5:$A$1504,"&lt;"&amp;DATE($C$3,5,1),Hareketler!$B$5:$B$1504,"Çıkış")</f>
        <v>0</v>
      </c>
      <c r="H13" s="26" t="str">
        <f aca="false">IFERROR(INDEX(Ürünler!$A$1:$A$304,SMALL(Ürünler!$M$5:$M$304,4)),"")</f>
        <v/>
      </c>
      <c r="I13" s="27" t="str">
        <f aca="false">IF(H13="","",INDEX(Ürünler!$H$5:$H$304,MATCH(H13,Ürünler!$A$5:$A$304,0)))</f>
        <v/>
      </c>
      <c r="J13" s="28" t="str">
        <f aca="false">IF(H13="","",INDEX(Ürünler!$J$5:$J$304,MATCH(H13,Ürünler!$A$5:$A$304,0)))</f>
        <v/>
      </c>
    </row>
    <row r="14" customFormat="false" ht="15" hidden="false" customHeight="false" outlineLevel="0" collapsed="false">
      <c r="B14" s="16" t="s">
        <v>57</v>
      </c>
      <c r="C14" s="24" t="n">
        <f aca="false">SUMIFS(Hareketler!$D$5:$D$1504,Hareketler!$A$5:$A$1504,"&gt;="&amp;DATE($C$3,5,1),Hareketler!$A$5:$A$1504,"&lt;"&amp;DATE($C$3,6,1),Hareketler!$B$5:$B$1504,"Giriş")</f>
        <v>0</v>
      </c>
      <c r="D14" s="24" t="n">
        <f aca="false">SUMIFS(Hareketler!$D$5:$D$1504,Hareketler!$A$5:$A$1504,"&gt;="&amp;DATE($C$3,5,1),Hareketler!$A$5:$A$1504,"&lt;"&amp;DATE($C$3,6,1),Hareketler!$B$5:$B$1504,"Çıkış")</f>
        <v>0</v>
      </c>
      <c r="H14" s="16" t="str">
        <f aca="false">IFERROR(INDEX(Ürünler!$A$1:$A$304,SMALL(Ürünler!$M$5:$M$304,5)),"")</f>
        <v/>
      </c>
      <c r="I14" s="24" t="str">
        <f aca="false">IF(H14="","",INDEX(Ürünler!$H$5:$H$304,MATCH(H14,Ürünler!$A$5:$A$304,0)))</f>
        <v/>
      </c>
      <c r="J14" s="25" t="str">
        <f aca="false">IF(H14="","",INDEX(Ürünler!$J$5:$J$304,MATCH(H14,Ürünler!$A$5:$A$304,0)))</f>
        <v/>
      </c>
    </row>
    <row r="15" customFormat="false" ht="15" hidden="false" customHeight="false" outlineLevel="0" collapsed="false">
      <c r="B15" s="26" t="s">
        <v>58</v>
      </c>
      <c r="C15" s="27" t="n">
        <f aca="false">SUMIFS(Hareketler!$D$5:$D$1504,Hareketler!$A$5:$A$1504,"&gt;="&amp;DATE($C$3,6,1),Hareketler!$A$5:$A$1504,"&lt;"&amp;DATE($C$3,7,1),Hareketler!$B$5:$B$1504,"Giriş")</f>
        <v>0</v>
      </c>
      <c r="D15" s="27" t="n">
        <f aca="false">SUMIFS(Hareketler!$D$5:$D$1504,Hareketler!$A$5:$A$1504,"&gt;="&amp;DATE($C$3,6,1),Hareketler!$A$5:$A$1504,"&lt;"&amp;DATE($C$3,7,1),Hareketler!$B$5:$B$1504,"Çıkış")</f>
        <v>0</v>
      </c>
      <c r="H15" s="26" t="str">
        <f aca="false">IFERROR(INDEX(Ürünler!$A$1:$A$304,SMALL(Ürünler!$M$5:$M$304,6)),"")</f>
        <v/>
      </c>
      <c r="I15" s="27" t="str">
        <f aca="false">IF(H15="","",INDEX(Ürünler!$H$5:$H$304,MATCH(H15,Ürünler!$A$5:$A$304,0)))</f>
        <v/>
      </c>
      <c r="J15" s="28" t="str">
        <f aca="false">IF(H15="","",INDEX(Ürünler!$J$5:$J$304,MATCH(H15,Ürünler!$A$5:$A$304,0)))</f>
        <v/>
      </c>
    </row>
    <row r="16" customFormat="false" ht="15" hidden="false" customHeight="false" outlineLevel="0" collapsed="false">
      <c r="B16" s="16" t="s">
        <v>59</v>
      </c>
      <c r="C16" s="24" t="n">
        <f aca="false">SUMIFS(Hareketler!$D$5:$D$1504,Hareketler!$A$5:$A$1504,"&gt;="&amp;DATE($C$3,7,1),Hareketler!$A$5:$A$1504,"&lt;"&amp;DATE($C$3,8,1),Hareketler!$B$5:$B$1504,"Giriş")</f>
        <v>0</v>
      </c>
      <c r="D16" s="24" t="n">
        <f aca="false">SUMIFS(Hareketler!$D$5:$D$1504,Hareketler!$A$5:$A$1504,"&gt;="&amp;DATE($C$3,7,1),Hareketler!$A$5:$A$1504,"&lt;"&amp;DATE($C$3,8,1),Hareketler!$B$5:$B$1504,"Çıkış")</f>
        <v>0</v>
      </c>
      <c r="H16" s="16" t="str">
        <f aca="false">IFERROR(INDEX(Ürünler!$A$1:$A$304,SMALL(Ürünler!$M$5:$M$304,7)),"")</f>
        <v/>
      </c>
      <c r="I16" s="24" t="str">
        <f aca="false">IF(H16="","",INDEX(Ürünler!$H$5:$H$304,MATCH(H16,Ürünler!$A$5:$A$304,0)))</f>
        <v/>
      </c>
      <c r="J16" s="25" t="str">
        <f aca="false">IF(H16="","",INDEX(Ürünler!$J$5:$J$304,MATCH(H16,Ürünler!$A$5:$A$304,0)))</f>
        <v/>
      </c>
    </row>
    <row r="17" customFormat="false" ht="15" hidden="false" customHeight="false" outlineLevel="0" collapsed="false">
      <c r="B17" s="26" t="s">
        <v>60</v>
      </c>
      <c r="C17" s="27" t="n">
        <f aca="false">SUMIFS(Hareketler!$D$5:$D$1504,Hareketler!$A$5:$A$1504,"&gt;="&amp;DATE($C$3,8,1),Hareketler!$A$5:$A$1504,"&lt;"&amp;DATE($C$3,9,1),Hareketler!$B$5:$B$1504,"Giriş")</f>
        <v>0</v>
      </c>
      <c r="D17" s="27" t="n">
        <f aca="false">SUMIFS(Hareketler!$D$5:$D$1504,Hareketler!$A$5:$A$1504,"&gt;="&amp;DATE($C$3,8,1),Hareketler!$A$5:$A$1504,"&lt;"&amp;DATE($C$3,9,1),Hareketler!$B$5:$B$1504,"Çıkış")</f>
        <v>0</v>
      </c>
      <c r="H17" s="26" t="str">
        <f aca="false">IFERROR(INDEX(Ürünler!$A$1:$A$304,SMALL(Ürünler!$M$5:$M$304,8)),"")</f>
        <v/>
      </c>
      <c r="I17" s="27" t="str">
        <f aca="false">IF(H17="","",INDEX(Ürünler!$H$5:$H$304,MATCH(H17,Ürünler!$A$5:$A$304,0)))</f>
        <v/>
      </c>
      <c r="J17" s="28" t="str">
        <f aca="false">IF(H17="","",INDEX(Ürünler!$J$5:$J$304,MATCH(H17,Ürünler!$A$5:$A$304,0)))</f>
        <v/>
      </c>
    </row>
    <row r="18" customFormat="false" ht="15" hidden="false" customHeight="false" outlineLevel="0" collapsed="false">
      <c r="B18" s="16" t="s">
        <v>61</v>
      </c>
      <c r="C18" s="24" t="n">
        <f aca="false">SUMIFS(Hareketler!$D$5:$D$1504,Hareketler!$A$5:$A$1504,"&gt;="&amp;DATE($C$3,9,1),Hareketler!$A$5:$A$1504,"&lt;"&amp;DATE($C$3,10,1),Hareketler!$B$5:$B$1504,"Giriş")</f>
        <v>100</v>
      </c>
      <c r="D18" s="24" t="n">
        <f aca="false">SUMIFS(Hareketler!$D$5:$D$1504,Hareketler!$A$5:$A$1504,"&gt;="&amp;DATE($C$3,9,1),Hareketler!$A$5:$A$1504,"&lt;"&amp;DATE($C$3,10,1),Hareketler!$B$5:$B$1504,"Çıkış")</f>
        <v>171</v>
      </c>
      <c r="H18" s="16" t="str">
        <f aca="false">IFERROR(INDEX(Ürünler!$A$1:$A$304,SMALL(Ürünler!$M$5:$M$304,9)),"")</f>
        <v/>
      </c>
      <c r="I18" s="24" t="str">
        <f aca="false">IF(H18="","",INDEX(Ürünler!$H$5:$H$304,MATCH(H18,Ürünler!$A$5:$A$304,0)))</f>
        <v/>
      </c>
      <c r="J18" s="25" t="str">
        <f aca="false">IF(H18="","",INDEX(Ürünler!$J$5:$J$304,MATCH(H18,Ürünler!$A$5:$A$304,0)))</f>
        <v/>
      </c>
    </row>
    <row r="19" customFormat="false" ht="15" hidden="false" customHeight="false" outlineLevel="0" collapsed="false">
      <c r="B19" s="26" t="s">
        <v>62</v>
      </c>
      <c r="C19" s="27" t="n">
        <f aca="false">SUMIFS(Hareketler!$D$5:$D$1504,Hareketler!$A$5:$A$1504,"&gt;="&amp;DATE($C$3,10,1),Hareketler!$A$5:$A$1504,"&lt;"&amp;DATE($C$3,11,1),Hareketler!$B$5:$B$1504,"Giriş")</f>
        <v>30</v>
      </c>
      <c r="D19" s="27" t="n">
        <f aca="false">SUMIFS(Hareketler!$D$5:$D$1504,Hareketler!$A$5:$A$1504,"&gt;="&amp;DATE($C$3,10,1),Hareketler!$A$5:$A$1504,"&lt;"&amp;DATE($C$3,11,1),Hareketler!$B$5:$B$1504,"Çıkış")</f>
        <v>180</v>
      </c>
      <c r="H19" s="26" t="str">
        <f aca="false">IFERROR(INDEX(Ürünler!$A$1:$A$304,SMALL(Ürünler!$M$5:$M$304,10)),"")</f>
        <v/>
      </c>
      <c r="I19" s="27" t="str">
        <f aca="false">IF(H19="","",INDEX(Ürünler!$H$5:$H$304,MATCH(H19,Ürünler!$A$5:$A$304,0)))</f>
        <v/>
      </c>
      <c r="J19" s="28" t="str">
        <f aca="false">IF(H19="","",INDEX(Ürünler!$J$5:$J$304,MATCH(H19,Ürünler!$A$5:$A$304,0)))</f>
        <v/>
      </c>
    </row>
    <row r="20" customFormat="false" ht="15" hidden="false" customHeight="false" outlineLevel="0" collapsed="false">
      <c r="B20" s="16" t="s">
        <v>63</v>
      </c>
      <c r="C20" s="24" t="n">
        <f aca="false">SUMIFS(Hareketler!$D$5:$D$1504,Hareketler!$A$5:$A$1504,"&gt;="&amp;DATE($C$3,11,1),Hareketler!$A$5:$A$1504,"&lt;"&amp;DATE($C$3,12,1),Hareketler!$B$5:$B$1504,"Giriş")</f>
        <v>0</v>
      </c>
      <c r="D20" s="24" t="n">
        <f aca="false">SUMIFS(Hareketler!$D$5:$D$1504,Hareketler!$A$5:$A$1504,"&gt;="&amp;DATE($C$3,11,1),Hareketler!$A$5:$A$1504,"&lt;"&amp;DATE($C$3,12,1),Hareketler!$B$5:$B$1504,"Çıkış")</f>
        <v>0</v>
      </c>
    </row>
    <row r="21" customFormat="false" ht="15" hidden="false" customHeight="false" outlineLevel="0" collapsed="false">
      <c r="B21" s="26" t="s">
        <v>64</v>
      </c>
      <c r="C21" s="27" t="n">
        <f aca="false">SUMIFS(Hareketler!$D$5:$D$1504,Hareketler!$A$5:$A$1504,"&gt;="&amp;DATE($C$3,12,1),Hareketler!$A$5:$A$1504,"&lt;"&amp;DATE($C$3,13,1),Hareketler!$B$5:$B$1504,"Giriş")</f>
        <v>0</v>
      </c>
      <c r="D21" s="27" t="n">
        <f aca="false">SUMIFS(Hareketler!$D$5:$D$1504,Hareketler!$A$5:$A$1504,"&gt;="&amp;DATE($C$3,12,1),Hareketler!$A$5:$A$1504,"&lt;"&amp;DATE($C$3,13,1),Hareketler!$B$5:$B$1504,"Çıkış")</f>
        <v>0</v>
      </c>
      <c r="H21" s="23" t="s">
        <v>65</v>
      </c>
    </row>
    <row r="22" customFormat="false" ht="21.75" hidden="false" customHeight="true" outlineLevel="0" collapsed="false">
      <c r="H22" s="10" t="s">
        <v>26</v>
      </c>
      <c r="I22" s="10" t="s">
        <v>66</v>
      </c>
    </row>
    <row r="23" customFormat="false" ht="15" hidden="false" customHeight="false" outlineLevel="0" collapsed="false">
      <c r="H23" s="16" t="str">
        <f aca="false">IFERROR(IF(LARGE(Ürünler!$N$5:$N$304,1)&lt;1,"",INDEX(Ürünler!$A$5:$A$304,MATCH(LARGE(Ürünler!$N$5:$N$304,1),Ürünler!$N$5:$N$304,0))),"")</f>
        <v>Bulaşık deterjanı</v>
      </c>
      <c r="I23" s="29" t="n">
        <f aca="false">IF(H23="","",INDEX(Ürünler!$I$5:$I$304,MATCH(H23,Ürünler!$A$5:$A$304,0)))</f>
        <v>3420</v>
      </c>
    </row>
    <row r="24" customFormat="false" ht="15" hidden="false" customHeight="false" outlineLevel="0" collapsed="false">
      <c r="H24" s="26" t="str">
        <f aca="false">IFERROR(IF(LARGE(Ürünler!$N$5:$N$304,2)&lt;1,"",INDEX(Ürünler!$A$5:$A$304,MATCH(LARGE(Ürünler!$N$5:$N$304,2),Ürünler!$N$5:$N$304,0))),"")</f>
        <v>Çay 1 kg</v>
      </c>
      <c r="I24" s="30" t="n">
        <f aca="false">IF(H24="","",INDEX(Ürünler!$I$5:$I$304,MATCH(H24,Ürünler!$A$5:$A$304,0)))</f>
        <v>3250</v>
      </c>
    </row>
    <row r="25" customFormat="false" ht="15" hidden="false" customHeight="false" outlineLevel="0" collapsed="false">
      <c r="H25" s="16" t="str">
        <f aca="false">IFERROR(IF(LARGE(Ürünler!$N$5:$N$304,3)&lt;1,"",INDEX(Ürünler!$A$5:$A$304,MATCH(LARGE(Ürünler!$N$5:$N$304,3),Ürünler!$N$5:$N$304,0))),"")</f>
        <v>Pirinç 1 kg</v>
      </c>
      <c r="I25" s="29" t="n">
        <f aca="false">IF(H25="","",INDEX(Ürünler!$I$5:$I$304,MATCH(H25,Ürünler!$A$5:$A$304,0)))</f>
        <v>2250</v>
      </c>
    </row>
    <row r="26" customFormat="false" ht="15" hidden="false" customHeight="false" outlineLevel="0" collapsed="false">
      <c r="H26" s="26" t="str">
        <f aca="false">IFERROR(IF(LARGE(Ürünler!$N$5:$N$304,4)&lt;1,"",INDEX(Ürünler!$A$5:$A$304,MATCH(LARGE(Ürünler!$N$5:$N$304,4),Ürünler!$N$5:$N$304,0))),"")</f>
        <v>Makarna 500 g</v>
      </c>
      <c r="I26" s="30" t="n">
        <f aca="false">IF(H26="","",INDEX(Ürünler!$I$5:$I$304,MATCH(H26,Ürünler!$A$5:$A$304,0)))</f>
        <v>1530</v>
      </c>
    </row>
    <row r="27" customFormat="false" ht="15" hidden="false" customHeight="false" outlineLevel="0" collapsed="false">
      <c r="H27" s="16" t="str">
        <f aca="false">IFERROR(IF(LARGE(Ürünler!$N$5:$N$304,5)&lt;1,"",INDEX(Ürünler!$A$5:$A$304,MATCH(LARGE(Ürünler!$N$5:$N$304,5),Ürünler!$N$5:$N$304,0))),"")</f>
        <v>Toz şeker 5 kg</v>
      </c>
      <c r="I27" s="29" t="n">
        <f aca="false">IF(H27="","",INDEX(Ürünler!$I$5:$I$304,MATCH(H27,Ürünler!$A$5:$A$304,0)))</f>
        <v>1095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true" outlineLevel="0" max="14" min="13" style="0" width="4"/>
  </cols>
  <sheetData>
    <row r="1" customFormat="false" ht="19.7" hidden="false" customHeight="false" outlineLevel="0" collapsed="false">
      <c r="A1" s="8" t="s">
        <v>67</v>
      </c>
    </row>
    <row r="2" customFormat="false" ht="15" hidden="false" customHeight="false" outlineLevel="0" collapsed="false">
      <c r="A2" s="9" t="s">
        <v>68</v>
      </c>
    </row>
    <row r="4" customFormat="false" ht="27.75" hidden="false" customHeight="true" outlineLevel="0" collapsed="false">
      <c r="A4" s="10" t="s">
        <v>26</v>
      </c>
      <c r="B4" s="10" t="s">
        <v>69</v>
      </c>
      <c r="C4" s="10" t="s">
        <v>70</v>
      </c>
      <c r="D4" s="10" t="s">
        <v>71</v>
      </c>
      <c r="E4" s="10" t="s">
        <v>72</v>
      </c>
      <c r="F4" s="11" t="s">
        <v>49</v>
      </c>
      <c r="G4" s="11" t="s">
        <v>50</v>
      </c>
      <c r="H4" s="11" t="s">
        <v>51</v>
      </c>
      <c r="I4" s="11" t="s">
        <v>66</v>
      </c>
      <c r="J4" s="11" t="s">
        <v>52</v>
      </c>
      <c r="K4" s="11" t="s">
        <v>73</v>
      </c>
      <c r="L4" s="11" t="s">
        <v>74</v>
      </c>
      <c r="M4" s="11" t="s">
        <v>75</v>
      </c>
      <c r="N4" s="11" t="s">
        <v>76</v>
      </c>
    </row>
    <row r="5" customFormat="false" ht="15" hidden="false" customHeight="false" outlineLevel="0" collapsed="false">
      <c r="A5" s="14" t="s">
        <v>31</v>
      </c>
      <c r="B5" s="13" t="s">
        <v>77</v>
      </c>
      <c r="C5" s="31" t="n">
        <v>250</v>
      </c>
      <c r="D5" s="15" t="n">
        <v>40</v>
      </c>
      <c r="E5" s="15" t="n">
        <v>10</v>
      </c>
      <c r="F5" s="24" t="n">
        <f aca="false">IF(A5="","",SUMIFS(Hareketler!$D$5:$D$1504,Hareketler!$C$5:$C$1504,A5,Hareketler!$B$5:$B$1504,"Giriş"))</f>
        <v>30</v>
      </c>
      <c r="G5" s="24" t="n">
        <f aca="false">IF(A5="","",SUMIFS(Hareketler!$D$5:$D$1504,Hareketler!$C$5:$C$1504,A5,Hareketler!$B$5:$B$1504,"Çıkış"))</f>
        <v>57</v>
      </c>
      <c r="H5" s="32" t="n">
        <f aca="false">IF(A5="","",D5+F5-G5)</f>
        <v>13</v>
      </c>
      <c r="I5" s="29" t="n">
        <f aca="false">IF(A5="","",H5*C5)</f>
        <v>3250</v>
      </c>
      <c r="J5" s="25" t="str">
        <f aca="false">IF(A5="","",IF(H5&lt;=0,"Tükendi",IF(H5&lt;=E5,"Kritik","Yeterli")))</f>
        <v>Yeterli</v>
      </c>
      <c r="K5" s="33" t="n">
        <f aca="false">IF(A5="","",IF(SUMPRODUCT(MAX((Hareketler!$C$5:$C$1504=A5)*Hareketler!$A$5:$A$1504))=0,"",SUMPRODUCT(MAX((Hareketler!$C$5:$C$1504=A5)*Hareketler!$A$5:$A$1504))))</f>
        <v>46299</v>
      </c>
      <c r="L5" s="24" t="n">
        <f aca="true">IF(OR(A5="",K5=""),"",TODAY()-K5)</f>
        <v>0</v>
      </c>
      <c r="M5" s="16" t="str">
        <f aca="false">IF(OR(J5="Tükendi",J5="Kritik"),ROW(),"")</f>
        <v/>
      </c>
      <c r="N5" s="16" t="n">
        <f aca="false">IF(A5="","",I5+ROW()/1000000)</f>
        <v>3250.000005</v>
      </c>
    </row>
    <row r="6" customFormat="false" ht="15" hidden="false" customHeight="false" outlineLevel="0" collapsed="false">
      <c r="A6" s="14" t="s">
        <v>36</v>
      </c>
      <c r="B6" s="13" t="s">
        <v>77</v>
      </c>
      <c r="C6" s="31" t="n">
        <v>219</v>
      </c>
      <c r="D6" s="15" t="n">
        <v>30</v>
      </c>
      <c r="E6" s="15" t="n">
        <v>8</v>
      </c>
      <c r="F6" s="24" t="n">
        <f aca="false">IF(A6="","",SUMIFS(Hareketler!$D$5:$D$1504,Hareketler!$C$5:$C$1504,A6,Hareketler!$B$5:$B$1504,"Giriş"))</f>
        <v>0</v>
      </c>
      <c r="G6" s="24" t="n">
        <f aca="false">IF(A6="","",SUMIFS(Hareketler!$D$5:$D$1504,Hareketler!$C$5:$C$1504,A6,Hareketler!$B$5:$B$1504,"Çıkış"))</f>
        <v>25</v>
      </c>
      <c r="H6" s="32" t="n">
        <f aca="false">IF(A6="","",D6+F6-G6)</f>
        <v>5</v>
      </c>
      <c r="I6" s="29" t="n">
        <f aca="false">IF(A6="","",H6*C6)</f>
        <v>1095</v>
      </c>
      <c r="J6" s="25" t="str">
        <f aca="false">IF(A6="","",IF(H6&lt;=0,"Tükendi",IF(H6&lt;=E6,"Kritik","Yeterli")))</f>
        <v>Kritik</v>
      </c>
      <c r="K6" s="33" t="n">
        <f aca="false">IF(A6="","",IF(SUMPRODUCT(MAX((Hareketler!$C$5:$C$1504=A6)*Hareketler!$A$5:$A$1504))=0,"",SUMPRODUCT(MAX((Hareketler!$C$5:$C$1504=A6)*Hareketler!$A$5:$A$1504))))</f>
        <v>46277</v>
      </c>
      <c r="L6" s="24" t="n">
        <f aca="true">IF(OR(A6="",K6=""),"",TODAY()-K6)</f>
        <v>22</v>
      </c>
      <c r="M6" s="16" t="n">
        <f aca="false">IF(OR(J6="Tükendi",J6="Kritik"),ROW(),"")</f>
        <v>6</v>
      </c>
      <c r="N6" s="16" t="n">
        <f aca="false">IF(A6="","",I6+ROW()/1000000)</f>
        <v>1095.000006</v>
      </c>
    </row>
    <row r="7" customFormat="false" ht="15" hidden="false" customHeight="false" outlineLevel="0" collapsed="false">
      <c r="A7" s="14" t="s">
        <v>37</v>
      </c>
      <c r="B7" s="13" t="s">
        <v>78</v>
      </c>
      <c r="C7" s="31" t="n">
        <v>450</v>
      </c>
      <c r="D7" s="15" t="n">
        <v>24</v>
      </c>
      <c r="E7" s="15" t="n">
        <v>6</v>
      </c>
      <c r="F7" s="24" t="n">
        <f aca="false">IF(A7="","",SUMIFS(Hareketler!$D$5:$D$1504,Hareketler!$C$5:$C$1504,A7,Hareketler!$B$5:$B$1504,"Giriş"))</f>
        <v>0</v>
      </c>
      <c r="G7" s="24" t="n">
        <f aca="false">IF(A7="","",SUMIFS(Hareketler!$D$5:$D$1504,Hareketler!$C$5:$C$1504,A7,Hareketler!$B$5:$B$1504,"Çıkış"))</f>
        <v>24</v>
      </c>
      <c r="H7" s="32" t="n">
        <f aca="false">IF(A7="","",D7+F7-G7)</f>
        <v>0</v>
      </c>
      <c r="I7" s="29" t="n">
        <f aca="false">IF(A7="","",H7*C7)</f>
        <v>0</v>
      </c>
      <c r="J7" s="25" t="str">
        <f aca="false">IF(A7="","",IF(H7&lt;=0,"Tükendi",IF(H7&lt;=E7,"Kritik","Yeterli")))</f>
        <v>Tükendi</v>
      </c>
      <c r="K7" s="33" t="n">
        <f aca="false">IF(A7="","",IF(SUMPRODUCT(MAX((Hareketler!$C$5:$C$1504=A7)*Hareketler!$A$5:$A$1504))=0,"",SUMPRODUCT(MAX((Hareketler!$C$5:$C$1504=A7)*Hareketler!$A$5:$A$1504))))</f>
        <v>46285</v>
      </c>
      <c r="L7" s="24" t="n">
        <f aca="true">IF(OR(A7="",K7=""),"",TODAY()-K7)</f>
        <v>14</v>
      </c>
      <c r="M7" s="16" t="n">
        <f aca="false">IF(OR(J7="Tükendi",J7="Kritik"),ROW(),"")</f>
        <v>7</v>
      </c>
      <c r="N7" s="16" t="n">
        <f aca="false">IF(A7="","",I7+ROW()/1000000)</f>
        <v>7E-006</v>
      </c>
    </row>
    <row r="8" customFormat="false" ht="15" hidden="false" customHeight="false" outlineLevel="0" collapsed="false">
      <c r="A8" s="14" t="s">
        <v>33</v>
      </c>
      <c r="B8" s="13" t="s">
        <v>77</v>
      </c>
      <c r="C8" s="31" t="n">
        <v>17</v>
      </c>
      <c r="D8" s="15" t="n">
        <v>200</v>
      </c>
      <c r="E8" s="15" t="n">
        <v>50</v>
      </c>
      <c r="F8" s="24" t="n">
        <f aca="false">IF(A8="","",SUMIFS(Hareketler!$D$5:$D$1504,Hareketler!$C$5:$C$1504,A8,Hareketler!$B$5:$B$1504,"Giriş"))</f>
        <v>100</v>
      </c>
      <c r="G8" s="24" t="n">
        <f aca="false">IF(A8="","",SUMIFS(Hareketler!$D$5:$D$1504,Hareketler!$C$5:$C$1504,A8,Hareketler!$B$5:$B$1504,"Çıkış"))</f>
        <v>210</v>
      </c>
      <c r="H8" s="32" t="n">
        <f aca="false">IF(A8="","",D8+F8-G8)</f>
        <v>90</v>
      </c>
      <c r="I8" s="29" t="n">
        <f aca="false">IF(A8="","",H8*C8)</f>
        <v>1530</v>
      </c>
      <c r="J8" s="25" t="str">
        <f aca="false">IF(A8="","",IF(H8&lt;=0,"Tükendi",IF(H8&lt;=E8,"Kritik","Yeterli")))</f>
        <v>Yeterli</v>
      </c>
      <c r="K8" s="33" t="n">
        <f aca="false">IF(A8="","",IF(SUMPRODUCT(MAX((Hareketler!$C$5:$C$1504=A8)*Hareketler!$A$5:$A$1504))=0,"",SUMPRODUCT(MAX((Hareketler!$C$5:$C$1504=A8)*Hareketler!$A$5:$A$1504))))</f>
        <v>46298</v>
      </c>
      <c r="L8" s="24" t="n">
        <f aca="true">IF(OR(A8="",K8=""),"",TODAY()-K8)</f>
        <v>1</v>
      </c>
      <c r="M8" s="16" t="str">
        <f aca="false">IF(OR(J8="Tükendi",J8="Kritik"),ROW(),"")</f>
        <v/>
      </c>
      <c r="N8" s="16" t="n">
        <f aca="false">IF(A8="","",I8+ROW()/1000000)</f>
        <v>1530.000008</v>
      </c>
    </row>
    <row r="9" customFormat="false" ht="15" hidden="false" customHeight="false" outlineLevel="0" collapsed="false">
      <c r="A9" s="14" t="s">
        <v>38</v>
      </c>
      <c r="B9" s="13" t="s">
        <v>77</v>
      </c>
      <c r="C9" s="31" t="n">
        <v>50</v>
      </c>
      <c r="D9" s="15" t="n">
        <v>80</v>
      </c>
      <c r="E9" s="15" t="n">
        <v>20</v>
      </c>
      <c r="F9" s="24" t="n">
        <f aca="false">IF(A9="","",SUMIFS(Hareketler!$D$5:$D$1504,Hareketler!$C$5:$C$1504,A9,Hareketler!$B$5:$B$1504,"Giriş"))</f>
        <v>0</v>
      </c>
      <c r="G9" s="24" t="n">
        <f aca="false">IF(A9="","",SUMIFS(Hareketler!$D$5:$D$1504,Hareketler!$C$5:$C$1504,A9,Hareketler!$B$5:$B$1504,"Çıkış"))</f>
        <v>35</v>
      </c>
      <c r="H9" s="32" t="n">
        <f aca="false">IF(A9="","",D9+F9-G9)</f>
        <v>45</v>
      </c>
      <c r="I9" s="29" t="n">
        <f aca="false">IF(A9="","",H9*C9)</f>
        <v>2250</v>
      </c>
      <c r="J9" s="25" t="str">
        <f aca="false">IF(A9="","",IF(H9&lt;=0,"Tükendi",IF(H9&lt;=E9,"Kritik","Yeterli")))</f>
        <v>Yeterli</v>
      </c>
      <c r="K9" s="33" t="n">
        <f aca="false">IF(A9="","",IF(SUMPRODUCT(MAX((Hareketler!$C$5:$C$1504=A9)*Hareketler!$A$5:$A$1504))=0,"",SUMPRODUCT(MAX((Hareketler!$C$5:$C$1504=A9)*Hareketler!$A$5:$A$1504))))</f>
        <v>46297</v>
      </c>
      <c r="L9" s="24" t="n">
        <f aca="true">IF(OR(A9="",K9=""),"",TODAY()-K9)</f>
        <v>2</v>
      </c>
      <c r="M9" s="16" t="str">
        <f aca="false">IF(OR(J9="Tükendi",J9="Kritik"),ROW(),"")</f>
        <v/>
      </c>
      <c r="N9" s="16" t="n">
        <f aca="false">IF(A9="","",I9+ROW()/1000000)</f>
        <v>2250.000009</v>
      </c>
    </row>
    <row r="10" customFormat="false" ht="15" hidden="false" customHeight="false" outlineLevel="0" collapsed="false">
      <c r="A10" s="14" t="s">
        <v>79</v>
      </c>
      <c r="B10" s="13" t="s">
        <v>78</v>
      </c>
      <c r="C10" s="31" t="n">
        <v>95</v>
      </c>
      <c r="D10" s="15" t="n">
        <v>36</v>
      </c>
      <c r="E10" s="15" t="n">
        <v>10</v>
      </c>
      <c r="F10" s="24" t="n">
        <f aca="false">IF(A10="","",SUMIFS(Hareketler!$D$5:$D$1504,Hareketler!$C$5:$C$1504,A10,Hareketler!$B$5:$B$1504,"Giriş"))</f>
        <v>0</v>
      </c>
      <c r="G10" s="24" t="n">
        <f aca="false">IF(A10="","",SUMIFS(Hareketler!$D$5:$D$1504,Hareketler!$C$5:$C$1504,A10,Hareketler!$B$5:$B$1504,"Çıkış"))</f>
        <v>0</v>
      </c>
      <c r="H10" s="32" t="n">
        <f aca="false">IF(A10="","",D10+F10-G10)</f>
        <v>36</v>
      </c>
      <c r="I10" s="29" t="n">
        <f aca="false">IF(A10="","",H10*C10)</f>
        <v>3420</v>
      </c>
      <c r="J10" s="25" t="str">
        <f aca="false">IF(A10="","",IF(H10&lt;=0,"Tükendi",IF(H10&lt;=E10,"Kritik","Yeterli")))</f>
        <v>Yeterli</v>
      </c>
      <c r="K10" s="33" t="str">
        <f aca="false">IF(A10="","",IF(SUMPRODUCT(MAX((Hareketler!$C$5:$C$1504=A10)*Hareketler!$A$5:$A$1504))=0,"",SUMPRODUCT(MAX((Hareketler!$C$5:$C$1504=A10)*Hareketler!$A$5:$A$1504))))</f>
        <v/>
      </c>
      <c r="L10" s="24" t="str">
        <f aca="true">IF(OR(A10="",K10=""),"",TODAY()-K10)</f>
        <v/>
      </c>
      <c r="M10" s="16" t="str">
        <f aca="false">IF(OR(J10="Tükendi",J10="Kritik"),ROW(),"")</f>
        <v/>
      </c>
      <c r="N10" s="16" t="n">
        <f aca="false">IF(A10="","",I10+ROW()/1000000)</f>
        <v>3420.00001</v>
      </c>
    </row>
    <row r="11" customFormat="false" ht="15" hidden="false" customHeight="false" outlineLevel="0" collapsed="false">
      <c r="A11" s="14"/>
      <c r="B11" s="13"/>
      <c r="C11" s="31"/>
      <c r="D11" s="15"/>
      <c r="E11" s="15"/>
      <c r="F11" s="24" t="str">
        <f aca="false">IF(A11="","",SUMIFS(Hareketler!$D$5:$D$1504,Hareketler!$C$5:$C$1504,A11,Hareketler!$B$5:$B$1504,"Giriş"))</f>
        <v/>
      </c>
      <c r="G11" s="24" t="str">
        <f aca="false">IF(A11="","",SUMIFS(Hareketler!$D$5:$D$1504,Hareketler!$C$5:$C$1504,A11,Hareketler!$B$5:$B$1504,"Çıkış"))</f>
        <v/>
      </c>
      <c r="H11" s="32" t="str">
        <f aca="false">IF(A11="","",D11+F11-G11)</f>
        <v/>
      </c>
      <c r="I11" s="29" t="str">
        <f aca="false">IF(A11="","",H11*C11)</f>
        <v/>
      </c>
      <c r="J11" s="25" t="str">
        <f aca="false">IF(A11="","",IF(H11&lt;=0,"Tükendi",IF(H11&lt;=E11,"Kritik","Yeterli")))</f>
        <v/>
      </c>
      <c r="K11" s="33" t="str">
        <f aca="false">IF(A11="","",IF(SUMPRODUCT(MAX((Hareketler!$C$5:$C$1504=A11)*Hareketler!$A$5:$A$1504))=0,"",SUMPRODUCT(MAX((Hareketler!$C$5:$C$1504=A11)*Hareketler!$A$5:$A$1504))))</f>
        <v/>
      </c>
      <c r="L11" s="24" t="str">
        <f aca="true">IF(OR(A11="",K11=""),"",TODAY()-K11)</f>
        <v/>
      </c>
      <c r="M11" s="16" t="str">
        <f aca="false">IF(OR(J11="Tükendi",J11="Kritik"),ROW(),"")</f>
        <v/>
      </c>
      <c r="N11" s="16" t="str">
        <f aca="false">IF(A11="","",I11+ROW()/1000000)</f>
        <v/>
      </c>
    </row>
    <row r="12" customFormat="false" ht="15" hidden="false" customHeight="false" outlineLevel="0" collapsed="false">
      <c r="A12" s="14"/>
      <c r="B12" s="13"/>
      <c r="C12" s="31"/>
      <c r="D12" s="15"/>
      <c r="E12" s="15"/>
      <c r="F12" s="24" t="str">
        <f aca="false">IF(A12="","",SUMIFS(Hareketler!$D$5:$D$1504,Hareketler!$C$5:$C$1504,A12,Hareketler!$B$5:$B$1504,"Giriş"))</f>
        <v/>
      </c>
      <c r="G12" s="24" t="str">
        <f aca="false">IF(A12="","",SUMIFS(Hareketler!$D$5:$D$1504,Hareketler!$C$5:$C$1504,A12,Hareketler!$B$5:$B$1504,"Çıkış"))</f>
        <v/>
      </c>
      <c r="H12" s="32" t="str">
        <f aca="false">IF(A12="","",D12+F12-G12)</f>
        <v/>
      </c>
      <c r="I12" s="29" t="str">
        <f aca="false">IF(A12="","",H12*C12)</f>
        <v/>
      </c>
      <c r="J12" s="25" t="str">
        <f aca="false">IF(A12="","",IF(H12&lt;=0,"Tükendi",IF(H12&lt;=E12,"Kritik","Yeterli")))</f>
        <v/>
      </c>
      <c r="K12" s="33" t="str">
        <f aca="false">IF(A12="","",IF(SUMPRODUCT(MAX((Hareketler!$C$5:$C$1504=A12)*Hareketler!$A$5:$A$1504))=0,"",SUMPRODUCT(MAX((Hareketler!$C$5:$C$1504=A12)*Hareketler!$A$5:$A$1504))))</f>
        <v/>
      </c>
      <c r="L12" s="24" t="str">
        <f aca="true">IF(OR(A12="",K12=""),"",TODAY()-K12)</f>
        <v/>
      </c>
      <c r="M12" s="16" t="str">
        <f aca="false">IF(OR(J12="Tükendi",J12="Kritik"),ROW(),"")</f>
        <v/>
      </c>
      <c r="N12" s="16" t="str">
        <f aca="false">IF(A12="","",I12+ROW()/1000000)</f>
        <v/>
      </c>
    </row>
    <row r="13" customFormat="false" ht="15" hidden="false" customHeight="false" outlineLevel="0" collapsed="false">
      <c r="A13" s="14"/>
      <c r="B13" s="13"/>
      <c r="C13" s="31"/>
      <c r="D13" s="15"/>
      <c r="E13" s="15"/>
      <c r="F13" s="24" t="str">
        <f aca="false">IF(A13="","",SUMIFS(Hareketler!$D$5:$D$1504,Hareketler!$C$5:$C$1504,A13,Hareketler!$B$5:$B$1504,"Giriş"))</f>
        <v/>
      </c>
      <c r="G13" s="24" t="str">
        <f aca="false">IF(A13="","",SUMIFS(Hareketler!$D$5:$D$1504,Hareketler!$C$5:$C$1504,A13,Hareketler!$B$5:$B$1504,"Çıkış"))</f>
        <v/>
      </c>
      <c r="H13" s="32" t="str">
        <f aca="false">IF(A13="","",D13+F13-G13)</f>
        <v/>
      </c>
      <c r="I13" s="29" t="str">
        <f aca="false">IF(A13="","",H13*C13)</f>
        <v/>
      </c>
      <c r="J13" s="25" t="str">
        <f aca="false">IF(A13="","",IF(H13&lt;=0,"Tükendi",IF(H13&lt;=E13,"Kritik","Yeterli")))</f>
        <v/>
      </c>
      <c r="K13" s="33" t="str">
        <f aca="false">IF(A13="","",IF(SUMPRODUCT(MAX((Hareketler!$C$5:$C$1504=A13)*Hareketler!$A$5:$A$1504))=0,"",SUMPRODUCT(MAX((Hareketler!$C$5:$C$1504=A13)*Hareketler!$A$5:$A$1504))))</f>
        <v/>
      </c>
      <c r="L13" s="24" t="str">
        <f aca="true">IF(OR(A13="",K13=""),"",TODAY()-K13)</f>
        <v/>
      </c>
      <c r="M13" s="16" t="str">
        <f aca="false">IF(OR(J13="Tükendi",J13="Kritik"),ROW(),"")</f>
        <v/>
      </c>
      <c r="N13" s="16" t="str">
        <f aca="false">IF(A13="","",I13+ROW()/1000000)</f>
        <v/>
      </c>
    </row>
    <row r="14" customFormat="false" ht="15" hidden="false" customHeight="false" outlineLevel="0" collapsed="false">
      <c r="A14" s="14"/>
      <c r="B14" s="13"/>
      <c r="C14" s="31"/>
      <c r="D14" s="15"/>
      <c r="E14" s="15"/>
      <c r="F14" s="24" t="str">
        <f aca="false">IF(A14="","",SUMIFS(Hareketler!$D$5:$D$1504,Hareketler!$C$5:$C$1504,A14,Hareketler!$B$5:$B$1504,"Giriş"))</f>
        <v/>
      </c>
      <c r="G14" s="24" t="str">
        <f aca="false">IF(A14="","",SUMIFS(Hareketler!$D$5:$D$1504,Hareketler!$C$5:$C$1504,A14,Hareketler!$B$5:$B$1504,"Çıkış"))</f>
        <v/>
      </c>
      <c r="H14" s="32" t="str">
        <f aca="false">IF(A14="","",D14+F14-G14)</f>
        <v/>
      </c>
      <c r="I14" s="29" t="str">
        <f aca="false">IF(A14="","",H14*C14)</f>
        <v/>
      </c>
      <c r="J14" s="25" t="str">
        <f aca="false">IF(A14="","",IF(H14&lt;=0,"Tükendi",IF(H14&lt;=E14,"Kritik","Yeterli")))</f>
        <v/>
      </c>
      <c r="K14" s="33" t="str">
        <f aca="false">IF(A14="","",IF(SUMPRODUCT(MAX((Hareketler!$C$5:$C$1504=A14)*Hareketler!$A$5:$A$1504))=0,"",SUMPRODUCT(MAX((Hareketler!$C$5:$C$1504=A14)*Hareketler!$A$5:$A$1504))))</f>
        <v/>
      </c>
      <c r="L14" s="24" t="str">
        <f aca="true">IF(OR(A14="",K14=""),"",TODAY()-K14)</f>
        <v/>
      </c>
      <c r="M14" s="16" t="str">
        <f aca="false">IF(OR(J14="Tükendi",J14="Kritik"),ROW(),"")</f>
        <v/>
      </c>
      <c r="N14" s="16" t="str">
        <f aca="false">IF(A14="","",I14+ROW()/1000000)</f>
        <v/>
      </c>
    </row>
    <row r="15" customFormat="false" ht="15" hidden="false" customHeight="false" outlineLevel="0" collapsed="false">
      <c r="A15" s="14"/>
      <c r="B15" s="13"/>
      <c r="C15" s="31"/>
      <c r="D15" s="15"/>
      <c r="E15" s="15"/>
      <c r="F15" s="24" t="str">
        <f aca="false">IF(A15="","",SUMIFS(Hareketler!$D$5:$D$1504,Hareketler!$C$5:$C$1504,A15,Hareketler!$B$5:$B$1504,"Giriş"))</f>
        <v/>
      </c>
      <c r="G15" s="24" t="str">
        <f aca="false">IF(A15="","",SUMIFS(Hareketler!$D$5:$D$1504,Hareketler!$C$5:$C$1504,A15,Hareketler!$B$5:$B$1504,"Çıkış"))</f>
        <v/>
      </c>
      <c r="H15" s="32" t="str">
        <f aca="false">IF(A15="","",D15+F15-G15)</f>
        <v/>
      </c>
      <c r="I15" s="29" t="str">
        <f aca="false">IF(A15="","",H15*C15)</f>
        <v/>
      </c>
      <c r="J15" s="25" t="str">
        <f aca="false">IF(A15="","",IF(H15&lt;=0,"Tükendi",IF(H15&lt;=E15,"Kritik","Yeterli")))</f>
        <v/>
      </c>
      <c r="K15" s="33" t="str">
        <f aca="false">IF(A15="","",IF(SUMPRODUCT(MAX((Hareketler!$C$5:$C$1504=A15)*Hareketler!$A$5:$A$1504))=0,"",SUMPRODUCT(MAX((Hareketler!$C$5:$C$1504=A15)*Hareketler!$A$5:$A$1504))))</f>
        <v/>
      </c>
      <c r="L15" s="24" t="str">
        <f aca="true">IF(OR(A15="",K15=""),"",TODAY()-K15)</f>
        <v/>
      </c>
      <c r="M15" s="16" t="str">
        <f aca="false">IF(OR(J15="Tükendi",J15="Kritik"),ROW(),"")</f>
        <v/>
      </c>
      <c r="N15" s="16" t="str">
        <f aca="false">IF(A15="","",I15+ROW()/1000000)</f>
        <v/>
      </c>
    </row>
    <row r="16" customFormat="false" ht="15" hidden="false" customHeight="false" outlineLevel="0" collapsed="false">
      <c r="A16" s="14"/>
      <c r="B16" s="13"/>
      <c r="C16" s="31"/>
      <c r="D16" s="15"/>
      <c r="E16" s="15"/>
      <c r="F16" s="24" t="str">
        <f aca="false">IF(A16="","",SUMIFS(Hareketler!$D$5:$D$1504,Hareketler!$C$5:$C$1504,A16,Hareketler!$B$5:$B$1504,"Giriş"))</f>
        <v/>
      </c>
      <c r="G16" s="24" t="str">
        <f aca="false">IF(A16="","",SUMIFS(Hareketler!$D$5:$D$1504,Hareketler!$C$5:$C$1504,A16,Hareketler!$B$5:$B$1504,"Çıkış"))</f>
        <v/>
      </c>
      <c r="H16" s="32" t="str">
        <f aca="false">IF(A16="","",D16+F16-G16)</f>
        <v/>
      </c>
      <c r="I16" s="29" t="str">
        <f aca="false">IF(A16="","",H16*C16)</f>
        <v/>
      </c>
      <c r="J16" s="25" t="str">
        <f aca="false">IF(A16="","",IF(H16&lt;=0,"Tükendi",IF(H16&lt;=E16,"Kritik","Yeterli")))</f>
        <v/>
      </c>
      <c r="K16" s="33" t="str">
        <f aca="false">IF(A16="","",IF(SUMPRODUCT(MAX((Hareketler!$C$5:$C$1504=A16)*Hareketler!$A$5:$A$1504))=0,"",SUMPRODUCT(MAX((Hareketler!$C$5:$C$1504=A16)*Hareketler!$A$5:$A$1504))))</f>
        <v/>
      </c>
      <c r="L16" s="24" t="str">
        <f aca="true">IF(OR(A16="",K16=""),"",TODAY()-K16)</f>
        <v/>
      </c>
      <c r="M16" s="16" t="str">
        <f aca="false">IF(OR(J16="Tükendi",J16="Kritik"),ROW(),"")</f>
        <v/>
      </c>
      <c r="N16" s="16" t="str">
        <f aca="false">IF(A16="","",I16+ROW()/1000000)</f>
        <v/>
      </c>
    </row>
    <row r="17" customFormat="false" ht="15" hidden="false" customHeight="false" outlineLevel="0" collapsed="false">
      <c r="A17" s="14"/>
      <c r="B17" s="13"/>
      <c r="C17" s="31"/>
      <c r="D17" s="15"/>
      <c r="E17" s="15"/>
      <c r="F17" s="24" t="str">
        <f aca="false">IF(A17="","",SUMIFS(Hareketler!$D$5:$D$1504,Hareketler!$C$5:$C$1504,A17,Hareketler!$B$5:$B$1504,"Giriş"))</f>
        <v/>
      </c>
      <c r="G17" s="24" t="str">
        <f aca="false">IF(A17="","",SUMIFS(Hareketler!$D$5:$D$1504,Hareketler!$C$5:$C$1504,A17,Hareketler!$B$5:$B$1504,"Çıkış"))</f>
        <v/>
      </c>
      <c r="H17" s="32" t="str">
        <f aca="false">IF(A17="","",D17+F17-G17)</f>
        <v/>
      </c>
      <c r="I17" s="29" t="str">
        <f aca="false">IF(A17="","",H17*C17)</f>
        <v/>
      </c>
      <c r="J17" s="25" t="str">
        <f aca="false">IF(A17="","",IF(H17&lt;=0,"Tükendi",IF(H17&lt;=E17,"Kritik","Yeterli")))</f>
        <v/>
      </c>
      <c r="K17" s="33" t="str">
        <f aca="false">IF(A17="","",IF(SUMPRODUCT(MAX((Hareketler!$C$5:$C$1504=A17)*Hareketler!$A$5:$A$1504))=0,"",SUMPRODUCT(MAX((Hareketler!$C$5:$C$1504=A17)*Hareketler!$A$5:$A$1504))))</f>
        <v/>
      </c>
      <c r="L17" s="24" t="str">
        <f aca="true">IF(OR(A17="",K17=""),"",TODAY()-K17)</f>
        <v/>
      </c>
      <c r="M17" s="16" t="str">
        <f aca="false">IF(OR(J17="Tükendi",J17="Kritik"),ROW(),"")</f>
        <v/>
      </c>
      <c r="N17" s="16" t="str">
        <f aca="false">IF(A17="","",I17+ROW()/1000000)</f>
        <v/>
      </c>
    </row>
    <row r="18" customFormat="false" ht="15" hidden="false" customHeight="false" outlineLevel="0" collapsed="false">
      <c r="A18" s="14"/>
      <c r="B18" s="13"/>
      <c r="C18" s="31"/>
      <c r="D18" s="15"/>
      <c r="E18" s="15"/>
      <c r="F18" s="24" t="str">
        <f aca="false">IF(A18="","",SUMIFS(Hareketler!$D$5:$D$1504,Hareketler!$C$5:$C$1504,A18,Hareketler!$B$5:$B$1504,"Giriş"))</f>
        <v/>
      </c>
      <c r="G18" s="24" t="str">
        <f aca="false">IF(A18="","",SUMIFS(Hareketler!$D$5:$D$1504,Hareketler!$C$5:$C$1504,A18,Hareketler!$B$5:$B$1504,"Çıkış"))</f>
        <v/>
      </c>
      <c r="H18" s="32" t="str">
        <f aca="false">IF(A18="","",D18+F18-G18)</f>
        <v/>
      </c>
      <c r="I18" s="29" t="str">
        <f aca="false">IF(A18="","",H18*C18)</f>
        <v/>
      </c>
      <c r="J18" s="25" t="str">
        <f aca="false">IF(A18="","",IF(H18&lt;=0,"Tükendi",IF(H18&lt;=E18,"Kritik","Yeterli")))</f>
        <v/>
      </c>
      <c r="K18" s="33" t="str">
        <f aca="false">IF(A18="","",IF(SUMPRODUCT(MAX((Hareketler!$C$5:$C$1504=A18)*Hareketler!$A$5:$A$1504))=0,"",SUMPRODUCT(MAX((Hareketler!$C$5:$C$1504=A18)*Hareketler!$A$5:$A$1504))))</f>
        <v/>
      </c>
      <c r="L18" s="24" t="str">
        <f aca="true">IF(OR(A18="",K18=""),"",TODAY()-K18)</f>
        <v/>
      </c>
      <c r="M18" s="16" t="str">
        <f aca="false">IF(OR(J18="Tükendi",J18="Kritik"),ROW(),"")</f>
        <v/>
      </c>
      <c r="N18" s="16" t="str">
        <f aca="false">IF(A18="","",I18+ROW()/1000000)</f>
        <v/>
      </c>
    </row>
    <row r="19" customFormat="false" ht="15" hidden="false" customHeight="false" outlineLevel="0" collapsed="false">
      <c r="A19" s="14"/>
      <c r="B19" s="13"/>
      <c r="C19" s="31"/>
      <c r="D19" s="15"/>
      <c r="E19" s="15"/>
      <c r="F19" s="24" t="str">
        <f aca="false">IF(A19="","",SUMIFS(Hareketler!$D$5:$D$1504,Hareketler!$C$5:$C$1504,A19,Hareketler!$B$5:$B$1504,"Giriş"))</f>
        <v/>
      </c>
      <c r="G19" s="24" t="str">
        <f aca="false">IF(A19="","",SUMIFS(Hareketler!$D$5:$D$1504,Hareketler!$C$5:$C$1504,A19,Hareketler!$B$5:$B$1504,"Çıkış"))</f>
        <v/>
      </c>
      <c r="H19" s="32" t="str">
        <f aca="false">IF(A19="","",D19+F19-G19)</f>
        <v/>
      </c>
      <c r="I19" s="29" t="str">
        <f aca="false">IF(A19="","",H19*C19)</f>
        <v/>
      </c>
      <c r="J19" s="25" t="str">
        <f aca="false">IF(A19="","",IF(H19&lt;=0,"Tükendi",IF(H19&lt;=E19,"Kritik","Yeterli")))</f>
        <v/>
      </c>
      <c r="K19" s="33" t="str">
        <f aca="false">IF(A19="","",IF(SUMPRODUCT(MAX((Hareketler!$C$5:$C$1504=A19)*Hareketler!$A$5:$A$1504))=0,"",SUMPRODUCT(MAX((Hareketler!$C$5:$C$1504=A19)*Hareketler!$A$5:$A$1504))))</f>
        <v/>
      </c>
      <c r="L19" s="24" t="str">
        <f aca="true">IF(OR(A19="",K19=""),"",TODAY()-K19)</f>
        <v/>
      </c>
      <c r="M19" s="16" t="str">
        <f aca="false">IF(OR(J19="Tükendi",J19="Kritik"),ROW(),"")</f>
        <v/>
      </c>
      <c r="N19" s="16" t="str">
        <f aca="false">IF(A19="","",I19+ROW()/1000000)</f>
        <v/>
      </c>
    </row>
    <row r="20" customFormat="false" ht="15" hidden="false" customHeight="false" outlineLevel="0" collapsed="false">
      <c r="A20" s="14"/>
      <c r="B20" s="13"/>
      <c r="C20" s="31"/>
      <c r="D20" s="15"/>
      <c r="E20" s="15"/>
      <c r="F20" s="24" t="str">
        <f aca="false">IF(A20="","",SUMIFS(Hareketler!$D$5:$D$1504,Hareketler!$C$5:$C$1504,A20,Hareketler!$B$5:$B$1504,"Giriş"))</f>
        <v/>
      </c>
      <c r="G20" s="24" t="str">
        <f aca="false">IF(A20="","",SUMIFS(Hareketler!$D$5:$D$1504,Hareketler!$C$5:$C$1504,A20,Hareketler!$B$5:$B$1504,"Çıkış"))</f>
        <v/>
      </c>
      <c r="H20" s="32" t="str">
        <f aca="false">IF(A20="","",D20+F20-G20)</f>
        <v/>
      </c>
      <c r="I20" s="29" t="str">
        <f aca="false">IF(A20="","",H20*C20)</f>
        <v/>
      </c>
      <c r="J20" s="25" t="str">
        <f aca="false">IF(A20="","",IF(H20&lt;=0,"Tükendi",IF(H20&lt;=E20,"Kritik","Yeterli")))</f>
        <v/>
      </c>
      <c r="K20" s="33" t="str">
        <f aca="false">IF(A20="","",IF(SUMPRODUCT(MAX((Hareketler!$C$5:$C$1504=A20)*Hareketler!$A$5:$A$1504))=0,"",SUMPRODUCT(MAX((Hareketler!$C$5:$C$1504=A20)*Hareketler!$A$5:$A$1504))))</f>
        <v/>
      </c>
      <c r="L20" s="24" t="str">
        <f aca="true">IF(OR(A20="",K20=""),"",TODAY()-K20)</f>
        <v/>
      </c>
      <c r="M20" s="16" t="str">
        <f aca="false">IF(OR(J20="Tükendi",J20="Kritik"),ROW(),"")</f>
        <v/>
      </c>
      <c r="N20" s="16" t="str">
        <f aca="false">IF(A20="","",I20+ROW()/1000000)</f>
        <v/>
      </c>
    </row>
    <row r="21" customFormat="false" ht="15" hidden="false" customHeight="false" outlineLevel="0" collapsed="false">
      <c r="A21" s="14"/>
      <c r="B21" s="13"/>
      <c r="C21" s="31"/>
      <c r="D21" s="15"/>
      <c r="E21" s="15"/>
      <c r="F21" s="24" t="str">
        <f aca="false">IF(A21="","",SUMIFS(Hareketler!$D$5:$D$1504,Hareketler!$C$5:$C$1504,A21,Hareketler!$B$5:$B$1504,"Giriş"))</f>
        <v/>
      </c>
      <c r="G21" s="24" t="str">
        <f aca="false">IF(A21="","",SUMIFS(Hareketler!$D$5:$D$1504,Hareketler!$C$5:$C$1504,A21,Hareketler!$B$5:$B$1504,"Çıkış"))</f>
        <v/>
      </c>
      <c r="H21" s="32" t="str">
        <f aca="false">IF(A21="","",D21+F21-G21)</f>
        <v/>
      </c>
      <c r="I21" s="29" t="str">
        <f aca="false">IF(A21="","",H21*C21)</f>
        <v/>
      </c>
      <c r="J21" s="25" t="str">
        <f aca="false">IF(A21="","",IF(H21&lt;=0,"Tükendi",IF(H21&lt;=E21,"Kritik","Yeterli")))</f>
        <v/>
      </c>
      <c r="K21" s="33" t="str">
        <f aca="false">IF(A21="","",IF(SUMPRODUCT(MAX((Hareketler!$C$5:$C$1504=A21)*Hareketler!$A$5:$A$1504))=0,"",SUMPRODUCT(MAX((Hareketler!$C$5:$C$1504=A21)*Hareketler!$A$5:$A$1504))))</f>
        <v/>
      </c>
      <c r="L21" s="24" t="str">
        <f aca="true">IF(OR(A21="",K21=""),"",TODAY()-K21)</f>
        <v/>
      </c>
      <c r="M21" s="16" t="str">
        <f aca="false">IF(OR(J21="Tükendi",J21="Kritik"),ROW(),"")</f>
        <v/>
      </c>
      <c r="N21" s="16" t="str">
        <f aca="false">IF(A21="","",I21+ROW()/1000000)</f>
        <v/>
      </c>
    </row>
    <row r="22" customFormat="false" ht="15" hidden="false" customHeight="false" outlineLevel="0" collapsed="false">
      <c r="A22" s="14"/>
      <c r="B22" s="13"/>
      <c r="C22" s="31"/>
      <c r="D22" s="15"/>
      <c r="E22" s="15"/>
      <c r="F22" s="24" t="str">
        <f aca="false">IF(A22="","",SUMIFS(Hareketler!$D$5:$D$1504,Hareketler!$C$5:$C$1504,A22,Hareketler!$B$5:$B$1504,"Giriş"))</f>
        <v/>
      </c>
      <c r="G22" s="24" t="str">
        <f aca="false">IF(A22="","",SUMIFS(Hareketler!$D$5:$D$1504,Hareketler!$C$5:$C$1504,A22,Hareketler!$B$5:$B$1504,"Çıkış"))</f>
        <v/>
      </c>
      <c r="H22" s="32" t="str">
        <f aca="false">IF(A22="","",D22+F22-G22)</f>
        <v/>
      </c>
      <c r="I22" s="29" t="str">
        <f aca="false">IF(A22="","",H22*C22)</f>
        <v/>
      </c>
      <c r="J22" s="25" t="str">
        <f aca="false">IF(A22="","",IF(H22&lt;=0,"Tükendi",IF(H22&lt;=E22,"Kritik","Yeterli")))</f>
        <v/>
      </c>
      <c r="K22" s="33" t="str">
        <f aca="false">IF(A22="","",IF(SUMPRODUCT(MAX((Hareketler!$C$5:$C$1504=A22)*Hareketler!$A$5:$A$1504))=0,"",SUMPRODUCT(MAX((Hareketler!$C$5:$C$1504=A22)*Hareketler!$A$5:$A$1504))))</f>
        <v/>
      </c>
      <c r="L22" s="24" t="str">
        <f aca="true">IF(OR(A22="",K22=""),"",TODAY()-K22)</f>
        <v/>
      </c>
      <c r="M22" s="16" t="str">
        <f aca="false">IF(OR(J22="Tükendi",J22="Kritik"),ROW(),"")</f>
        <v/>
      </c>
      <c r="N22" s="16" t="str">
        <f aca="false">IF(A22="","",I22+ROW()/1000000)</f>
        <v/>
      </c>
    </row>
    <row r="23" customFormat="false" ht="15" hidden="false" customHeight="false" outlineLevel="0" collapsed="false">
      <c r="A23" s="14"/>
      <c r="B23" s="13"/>
      <c r="C23" s="31"/>
      <c r="D23" s="15"/>
      <c r="E23" s="15"/>
      <c r="F23" s="24" t="str">
        <f aca="false">IF(A23="","",SUMIFS(Hareketler!$D$5:$D$1504,Hareketler!$C$5:$C$1504,A23,Hareketler!$B$5:$B$1504,"Giriş"))</f>
        <v/>
      </c>
      <c r="G23" s="24" t="str">
        <f aca="false">IF(A23="","",SUMIFS(Hareketler!$D$5:$D$1504,Hareketler!$C$5:$C$1504,A23,Hareketler!$B$5:$B$1504,"Çıkış"))</f>
        <v/>
      </c>
      <c r="H23" s="32" t="str">
        <f aca="false">IF(A23="","",D23+F23-G23)</f>
        <v/>
      </c>
      <c r="I23" s="29" t="str">
        <f aca="false">IF(A23="","",H23*C23)</f>
        <v/>
      </c>
      <c r="J23" s="25" t="str">
        <f aca="false">IF(A23="","",IF(H23&lt;=0,"Tükendi",IF(H23&lt;=E23,"Kritik","Yeterli")))</f>
        <v/>
      </c>
      <c r="K23" s="33" t="str">
        <f aca="false">IF(A23="","",IF(SUMPRODUCT(MAX((Hareketler!$C$5:$C$1504=A23)*Hareketler!$A$5:$A$1504))=0,"",SUMPRODUCT(MAX((Hareketler!$C$5:$C$1504=A23)*Hareketler!$A$5:$A$1504))))</f>
        <v/>
      </c>
      <c r="L23" s="24" t="str">
        <f aca="true">IF(OR(A23="",K23=""),"",TODAY()-K23)</f>
        <v/>
      </c>
      <c r="M23" s="16" t="str">
        <f aca="false">IF(OR(J23="Tükendi",J23="Kritik"),ROW(),"")</f>
        <v/>
      </c>
      <c r="N23" s="16" t="str">
        <f aca="false">IF(A23="","",I23+ROW()/1000000)</f>
        <v/>
      </c>
    </row>
    <row r="24" customFormat="false" ht="15" hidden="false" customHeight="false" outlineLevel="0" collapsed="false">
      <c r="A24" s="14"/>
      <c r="B24" s="13"/>
      <c r="C24" s="31"/>
      <c r="D24" s="15"/>
      <c r="E24" s="15"/>
      <c r="F24" s="24" t="str">
        <f aca="false">IF(A24="","",SUMIFS(Hareketler!$D$5:$D$1504,Hareketler!$C$5:$C$1504,A24,Hareketler!$B$5:$B$1504,"Giriş"))</f>
        <v/>
      </c>
      <c r="G24" s="24" t="str">
        <f aca="false">IF(A24="","",SUMIFS(Hareketler!$D$5:$D$1504,Hareketler!$C$5:$C$1504,A24,Hareketler!$B$5:$B$1504,"Çıkış"))</f>
        <v/>
      </c>
      <c r="H24" s="32" t="str">
        <f aca="false">IF(A24="","",D24+F24-G24)</f>
        <v/>
      </c>
      <c r="I24" s="29" t="str">
        <f aca="false">IF(A24="","",H24*C24)</f>
        <v/>
      </c>
      <c r="J24" s="25" t="str">
        <f aca="false">IF(A24="","",IF(H24&lt;=0,"Tükendi",IF(H24&lt;=E24,"Kritik","Yeterli")))</f>
        <v/>
      </c>
      <c r="K24" s="33" t="str">
        <f aca="false">IF(A24="","",IF(SUMPRODUCT(MAX((Hareketler!$C$5:$C$1504=A24)*Hareketler!$A$5:$A$1504))=0,"",SUMPRODUCT(MAX((Hareketler!$C$5:$C$1504=A24)*Hareketler!$A$5:$A$1504))))</f>
        <v/>
      </c>
      <c r="L24" s="24" t="str">
        <f aca="true">IF(OR(A24="",K24=""),"",TODAY()-K24)</f>
        <v/>
      </c>
      <c r="M24" s="16" t="str">
        <f aca="false">IF(OR(J24="Tükendi",J24="Kritik"),ROW(),"")</f>
        <v/>
      </c>
      <c r="N24" s="16" t="str">
        <f aca="false">IF(A24="","",I24+ROW()/1000000)</f>
        <v/>
      </c>
    </row>
    <row r="25" customFormat="false" ht="15" hidden="false" customHeight="false" outlineLevel="0" collapsed="false">
      <c r="A25" s="14"/>
      <c r="B25" s="13"/>
      <c r="C25" s="31"/>
      <c r="D25" s="15"/>
      <c r="E25" s="15"/>
      <c r="F25" s="24" t="str">
        <f aca="false">IF(A25="","",SUMIFS(Hareketler!$D$5:$D$1504,Hareketler!$C$5:$C$1504,A25,Hareketler!$B$5:$B$1504,"Giriş"))</f>
        <v/>
      </c>
      <c r="G25" s="24" t="str">
        <f aca="false">IF(A25="","",SUMIFS(Hareketler!$D$5:$D$1504,Hareketler!$C$5:$C$1504,A25,Hareketler!$B$5:$B$1504,"Çıkış"))</f>
        <v/>
      </c>
      <c r="H25" s="32" t="str">
        <f aca="false">IF(A25="","",D25+F25-G25)</f>
        <v/>
      </c>
      <c r="I25" s="29" t="str">
        <f aca="false">IF(A25="","",H25*C25)</f>
        <v/>
      </c>
      <c r="J25" s="25" t="str">
        <f aca="false">IF(A25="","",IF(H25&lt;=0,"Tükendi",IF(H25&lt;=E25,"Kritik","Yeterli")))</f>
        <v/>
      </c>
      <c r="K25" s="33" t="str">
        <f aca="false">IF(A25="","",IF(SUMPRODUCT(MAX((Hareketler!$C$5:$C$1504=A25)*Hareketler!$A$5:$A$1504))=0,"",SUMPRODUCT(MAX((Hareketler!$C$5:$C$1504=A25)*Hareketler!$A$5:$A$1504))))</f>
        <v/>
      </c>
      <c r="L25" s="24" t="str">
        <f aca="true">IF(OR(A25="",K25=""),"",TODAY()-K25)</f>
        <v/>
      </c>
      <c r="M25" s="16" t="str">
        <f aca="false">IF(OR(J25="Tükendi",J25="Kritik"),ROW(),"")</f>
        <v/>
      </c>
      <c r="N25" s="16" t="str">
        <f aca="false">IF(A25="","",I25+ROW()/1000000)</f>
        <v/>
      </c>
    </row>
    <row r="26" customFormat="false" ht="15" hidden="false" customHeight="false" outlineLevel="0" collapsed="false">
      <c r="A26" s="14"/>
      <c r="B26" s="13"/>
      <c r="C26" s="31"/>
      <c r="D26" s="15"/>
      <c r="E26" s="15"/>
      <c r="F26" s="24" t="str">
        <f aca="false">IF(A26="","",SUMIFS(Hareketler!$D$5:$D$1504,Hareketler!$C$5:$C$1504,A26,Hareketler!$B$5:$B$1504,"Giriş"))</f>
        <v/>
      </c>
      <c r="G26" s="24" t="str">
        <f aca="false">IF(A26="","",SUMIFS(Hareketler!$D$5:$D$1504,Hareketler!$C$5:$C$1504,A26,Hareketler!$B$5:$B$1504,"Çıkış"))</f>
        <v/>
      </c>
      <c r="H26" s="32" t="str">
        <f aca="false">IF(A26="","",D26+F26-G26)</f>
        <v/>
      </c>
      <c r="I26" s="29" t="str">
        <f aca="false">IF(A26="","",H26*C26)</f>
        <v/>
      </c>
      <c r="J26" s="25" t="str">
        <f aca="false">IF(A26="","",IF(H26&lt;=0,"Tükendi",IF(H26&lt;=E26,"Kritik","Yeterli")))</f>
        <v/>
      </c>
      <c r="K26" s="33" t="str">
        <f aca="false">IF(A26="","",IF(SUMPRODUCT(MAX((Hareketler!$C$5:$C$1504=A26)*Hareketler!$A$5:$A$1504))=0,"",SUMPRODUCT(MAX((Hareketler!$C$5:$C$1504=A26)*Hareketler!$A$5:$A$1504))))</f>
        <v/>
      </c>
      <c r="L26" s="24" t="str">
        <f aca="true">IF(OR(A26="",K26=""),"",TODAY()-K26)</f>
        <v/>
      </c>
      <c r="M26" s="16" t="str">
        <f aca="false">IF(OR(J26="Tükendi",J26="Kritik"),ROW(),"")</f>
        <v/>
      </c>
      <c r="N26" s="16" t="str">
        <f aca="false">IF(A26="","",I26+ROW()/1000000)</f>
        <v/>
      </c>
    </row>
    <row r="27" customFormat="false" ht="15" hidden="false" customHeight="false" outlineLevel="0" collapsed="false">
      <c r="A27" s="14"/>
      <c r="B27" s="13"/>
      <c r="C27" s="31"/>
      <c r="D27" s="15"/>
      <c r="E27" s="15"/>
      <c r="F27" s="24" t="str">
        <f aca="false">IF(A27="","",SUMIFS(Hareketler!$D$5:$D$1504,Hareketler!$C$5:$C$1504,A27,Hareketler!$B$5:$B$1504,"Giriş"))</f>
        <v/>
      </c>
      <c r="G27" s="24" t="str">
        <f aca="false">IF(A27="","",SUMIFS(Hareketler!$D$5:$D$1504,Hareketler!$C$5:$C$1504,A27,Hareketler!$B$5:$B$1504,"Çıkış"))</f>
        <v/>
      </c>
      <c r="H27" s="32" t="str">
        <f aca="false">IF(A27="","",D27+F27-G27)</f>
        <v/>
      </c>
      <c r="I27" s="29" t="str">
        <f aca="false">IF(A27="","",H27*C27)</f>
        <v/>
      </c>
      <c r="J27" s="25" t="str">
        <f aca="false">IF(A27="","",IF(H27&lt;=0,"Tükendi",IF(H27&lt;=E27,"Kritik","Yeterli")))</f>
        <v/>
      </c>
      <c r="K27" s="33" t="str">
        <f aca="false">IF(A27="","",IF(SUMPRODUCT(MAX((Hareketler!$C$5:$C$1504=A27)*Hareketler!$A$5:$A$1504))=0,"",SUMPRODUCT(MAX((Hareketler!$C$5:$C$1504=A27)*Hareketler!$A$5:$A$1504))))</f>
        <v/>
      </c>
      <c r="L27" s="24" t="str">
        <f aca="true">IF(OR(A27="",K27=""),"",TODAY()-K27)</f>
        <v/>
      </c>
      <c r="M27" s="16" t="str">
        <f aca="false">IF(OR(J27="Tükendi",J27="Kritik"),ROW(),"")</f>
        <v/>
      </c>
      <c r="N27" s="16" t="str">
        <f aca="false">IF(A27="","",I27+ROW()/1000000)</f>
        <v/>
      </c>
    </row>
    <row r="28" customFormat="false" ht="15" hidden="false" customHeight="false" outlineLevel="0" collapsed="false">
      <c r="A28" s="14"/>
      <c r="B28" s="13"/>
      <c r="C28" s="31"/>
      <c r="D28" s="15"/>
      <c r="E28" s="15"/>
      <c r="F28" s="24" t="str">
        <f aca="false">IF(A28="","",SUMIFS(Hareketler!$D$5:$D$1504,Hareketler!$C$5:$C$1504,A28,Hareketler!$B$5:$B$1504,"Giriş"))</f>
        <v/>
      </c>
      <c r="G28" s="24" t="str">
        <f aca="false">IF(A28="","",SUMIFS(Hareketler!$D$5:$D$1504,Hareketler!$C$5:$C$1504,A28,Hareketler!$B$5:$B$1504,"Çıkış"))</f>
        <v/>
      </c>
      <c r="H28" s="32" t="str">
        <f aca="false">IF(A28="","",D28+F28-G28)</f>
        <v/>
      </c>
      <c r="I28" s="29" t="str">
        <f aca="false">IF(A28="","",H28*C28)</f>
        <v/>
      </c>
      <c r="J28" s="25" t="str">
        <f aca="false">IF(A28="","",IF(H28&lt;=0,"Tükendi",IF(H28&lt;=E28,"Kritik","Yeterli")))</f>
        <v/>
      </c>
      <c r="K28" s="33" t="str">
        <f aca="false">IF(A28="","",IF(SUMPRODUCT(MAX((Hareketler!$C$5:$C$1504=A28)*Hareketler!$A$5:$A$1504))=0,"",SUMPRODUCT(MAX((Hareketler!$C$5:$C$1504=A28)*Hareketler!$A$5:$A$1504))))</f>
        <v/>
      </c>
      <c r="L28" s="24" t="str">
        <f aca="true">IF(OR(A28="",K28=""),"",TODAY()-K28)</f>
        <v/>
      </c>
      <c r="M28" s="16" t="str">
        <f aca="false">IF(OR(J28="Tükendi",J28="Kritik"),ROW(),"")</f>
        <v/>
      </c>
      <c r="N28" s="16" t="str">
        <f aca="false">IF(A28="","",I28+ROW()/1000000)</f>
        <v/>
      </c>
    </row>
    <row r="29" customFormat="false" ht="15" hidden="false" customHeight="false" outlineLevel="0" collapsed="false">
      <c r="A29" s="14"/>
      <c r="B29" s="13"/>
      <c r="C29" s="31"/>
      <c r="D29" s="15"/>
      <c r="E29" s="15"/>
      <c r="F29" s="24" t="str">
        <f aca="false">IF(A29="","",SUMIFS(Hareketler!$D$5:$D$1504,Hareketler!$C$5:$C$1504,A29,Hareketler!$B$5:$B$1504,"Giriş"))</f>
        <v/>
      </c>
      <c r="G29" s="24" t="str">
        <f aca="false">IF(A29="","",SUMIFS(Hareketler!$D$5:$D$1504,Hareketler!$C$5:$C$1504,A29,Hareketler!$B$5:$B$1504,"Çıkış"))</f>
        <v/>
      </c>
      <c r="H29" s="32" t="str">
        <f aca="false">IF(A29="","",D29+F29-G29)</f>
        <v/>
      </c>
      <c r="I29" s="29" t="str">
        <f aca="false">IF(A29="","",H29*C29)</f>
        <v/>
      </c>
      <c r="J29" s="25" t="str">
        <f aca="false">IF(A29="","",IF(H29&lt;=0,"Tükendi",IF(H29&lt;=E29,"Kritik","Yeterli")))</f>
        <v/>
      </c>
      <c r="K29" s="33" t="str">
        <f aca="false">IF(A29="","",IF(SUMPRODUCT(MAX((Hareketler!$C$5:$C$1504=A29)*Hareketler!$A$5:$A$1504))=0,"",SUMPRODUCT(MAX((Hareketler!$C$5:$C$1504=A29)*Hareketler!$A$5:$A$1504))))</f>
        <v/>
      </c>
      <c r="L29" s="24" t="str">
        <f aca="true">IF(OR(A29="",K29=""),"",TODAY()-K29)</f>
        <v/>
      </c>
      <c r="M29" s="16" t="str">
        <f aca="false">IF(OR(J29="Tükendi",J29="Kritik"),ROW(),"")</f>
        <v/>
      </c>
      <c r="N29" s="16" t="str">
        <f aca="false">IF(A29="","",I29+ROW()/1000000)</f>
        <v/>
      </c>
    </row>
    <row r="30" customFormat="false" ht="15" hidden="false" customHeight="false" outlineLevel="0" collapsed="false">
      <c r="A30" s="14"/>
      <c r="B30" s="13"/>
      <c r="C30" s="31"/>
      <c r="D30" s="15"/>
      <c r="E30" s="15"/>
      <c r="F30" s="24" t="str">
        <f aca="false">IF(A30="","",SUMIFS(Hareketler!$D$5:$D$1504,Hareketler!$C$5:$C$1504,A30,Hareketler!$B$5:$B$1504,"Giriş"))</f>
        <v/>
      </c>
      <c r="G30" s="24" t="str">
        <f aca="false">IF(A30="","",SUMIFS(Hareketler!$D$5:$D$1504,Hareketler!$C$5:$C$1504,A30,Hareketler!$B$5:$B$1504,"Çıkış"))</f>
        <v/>
      </c>
      <c r="H30" s="32" t="str">
        <f aca="false">IF(A30="","",D30+F30-G30)</f>
        <v/>
      </c>
      <c r="I30" s="29" t="str">
        <f aca="false">IF(A30="","",H30*C30)</f>
        <v/>
      </c>
      <c r="J30" s="25" t="str">
        <f aca="false">IF(A30="","",IF(H30&lt;=0,"Tükendi",IF(H30&lt;=E30,"Kritik","Yeterli")))</f>
        <v/>
      </c>
      <c r="K30" s="33" t="str">
        <f aca="false">IF(A30="","",IF(SUMPRODUCT(MAX((Hareketler!$C$5:$C$1504=A30)*Hareketler!$A$5:$A$1504))=0,"",SUMPRODUCT(MAX((Hareketler!$C$5:$C$1504=A30)*Hareketler!$A$5:$A$1504))))</f>
        <v/>
      </c>
      <c r="L30" s="24" t="str">
        <f aca="true">IF(OR(A30="",K30=""),"",TODAY()-K30)</f>
        <v/>
      </c>
      <c r="M30" s="16" t="str">
        <f aca="false">IF(OR(J30="Tükendi",J30="Kritik"),ROW(),"")</f>
        <v/>
      </c>
      <c r="N30" s="16" t="str">
        <f aca="false">IF(A30="","",I30+ROW()/1000000)</f>
        <v/>
      </c>
    </row>
    <row r="31" customFormat="false" ht="15" hidden="false" customHeight="false" outlineLevel="0" collapsed="false">
      <c r="A31" s="14"/>
      <c r="B31" s="13"/>
      <c r="C31" s="31"/>
      <c r="D31" s="15"/>
      <c r="E31" s="15"/>
      <c r="F31" s="24" t="str">
        <f aca="false">IF(A31="","",SUMIFS(Hareketler!$D$5:$D$1504,Hareketler!$C$5:$C$1504,A31,Hareketler!$B$5:$B$1504,"Giriş"))</f>
        <v/>
      </c>
      <c r="G31" s="24" t="str">
        <f aca="false">IF(A31="","",SUMIFS(Hareketler!$D$5:$D$1504,Hareketler!$C$5:$C$1504,A31,Hareketler!$B$5:$B$1504,"Çıkış"))</f>
        <v/>
      </c>
      <c r="H31" s="32" t="str">
        <f aca="false">IF(A31="","",D31+F31-G31)</f>
        <v/>
      </c>
      <c r="I31" s="29" t="str">
        <f aca="false">IF(A31="","",H31*C31)</f>
        <v/>
      </c>
      <c r="J31" s="25" t="str">
        <f aca="false">IF(A31="","",IF(H31&lt;=0,"Tükendi",IF(H31&lt;=E31,"Kritik","Yeterli")))</f>
        <v/>
      </c>
      <c r="K31" s="33" t="str">
        <f aca="false">IF(A31="","",IF(SUMPRODUCT(MAX((Hareketler!$C$5:$C$1504=A31)*Hareketler!$A$5:$A$1504))=0,"",SUMPRODUCT(MAX((Hareketler!$C$5:$C$1504=A31)*Hareketler!$A$5:$A$1504))))</f>
        <v/>
      </c>
      <c r="L31" s="24" t="str">
        <f aca="true">IF(OR(A31="",K31=""),"",TODAY()-K31)</f>
        <v/>
      </c>
      <c r="M31" s="16" t="str">
        <f aca="false">IF(OR(J31="Tükendi",J31="Kritik"),ROW(),"")</f>
        <v/>
      </c>
      <c r="N31" s="16" t="str">
        <f aca="false">IF(A31="","",I31+ROW()/1000000)</f>
        <v/>
      </c>
    </row>
    <row r="32" customFormat="false" ht="15" hidden="false" customHeight="false" outlineLevel="0" collapsed="false">
      <c r="A32" s="14"/>
      <c r="B32" s="13"/>
      <c r="C32" s="31"/>
      <c r="D32" s="15"/>
      <c r="E32" s="15"/>
      <c r="F32" s="24" t="str">
        <f aca="false">IF(A32="","",SUMIFS(Hareketler!$D$5:$D$1504,Hareketler!$C$5:$C$1504,A32,Hareketler!$B$5:$B$1504,"Giriş"))</f>
        <v/>
      </c>
      <c r="G32" s="24" t="str">
        <f aca="false">IF(A32="","",SUMIFS(Hareketler!$D$5:$D$1504,Hareketler!$C$5:$C$1504,A32,Hareketler!$B$5:$B$1504,"Çıkış"))</f>
        <v/>
      </c>
      <c r="H32" s="32" t="str">
        <f aca="false">IF(A32="","",D32+F32-G32)</f>
        <v/>
      </c>
      <c r="I32" s="29" t="str">
        <f aca="false">IF(A32="","",H32*C32)</f>
        <v/>
      </c>
      <c r="J32" s="25" t="str">
        <f aca="false">IF(A32="","",IF(H32&lt;=0,"Tükendi",IF(H32&lt;=E32,"Kritik","Yeterli")))</f>
        <v/>
      </c>
      <c r="K32" s="33" t="str">
        <f aca="false">IF(A32="","",IF(SUMPRODUCT(MAX((Hareketler!$C$5:$C$1504=A32)*Hareketler!$A$5:$A$1504))=0,"",SUMPRODUCT(MAX((Hareketler!$C$5:$C$1504=A32)*Hareketler!$A$5:$A$1504))))</f>
        <v/>
      </c>
      <c r="L32" s="24" t="str">
        <f aca="true">IF(OR(A32="",K32=""),"",TODAY()-K32)</f>
        <v/>
      </c>
      <c r="M32" s="16" t="str">
        <f aca="false">IF(OR(J32="Tükendi",J32="Kritik"),ROW(),"")</f>
        <v/>
      </c>
      <c r="N32" s="16" t="str">
        <f aca="false">IF(A32="","",I32+ROW()/1000000)</f>
        <v/>
      </c>
    </row>
    <row r="33" customFormat="false" ht="15" hidden="false" customHeight="false" outlineLevel="0" collapsed="false">
      <c r="A33" s="14"/>
      <c r="B33" s="13"/>
      <c r="C33" s="31"/>
      <c r="D33" s="15"/>
      <c r="E33" s="15"/>
      <c r="F33" s="24" t="str">
        <f aca="false">IF(A33="","",SUMIFS(Hareketler!$D$5:$D$1504,Hareketler!$C$5:$C$1504,A33,Hareketler!$B$5:$B$1504,"Giriş"))</f>
        <v/>
      </c>
      <c r="G33" s="24" t="str">
        <f aca="false">IF(A33="","",SUMIFS(Hareketler!$D$5:$D$1504,Hareketler!$C$5:$C$1504,A33,Hareketler!$B$5:$B$1504,"Çıkış"))</f>
        <v/>
      </c>
      <c r="H33" s="32" t="str">
        <f aca="false">IF(A33="","",D33+F33-G33)</f>
        <v/>
      </c>
      <c r="I33" s="29" t="str">
        <f aca="false">IF(A33="","",H33*C33)</f>
        <v/>
      </c>
      <c r="J33" s="25" t="str">
        <f aca="false">IF(A33="","",IF(H33&lt;=0,"Tükendi",IF(H33&lt;=E33,"Kritik","Yeterli")))</f>
        <v/>
      </c>
      <c r="K33" s="33" t="str">
        <f aca="false">IF(A33="","",IF(SUMPRODUCT(MAX((Hareketler!$C$5:$C$1504=A33)*Hareketler!$A$5:$A$1504))=0,"",SUMPRODUCT(MAX((Hareketler!$C$5:$C$1504=A33)*Hareketler!$A$5:$A$1504))))</f>
        <v/>
      </c>
      <c r="L33" s="24" t="str">
        <f aca="true">IF(OR(A33="",K33=""),"",TODAY()-K33)</f>
        <v/>
      </c>
      <c r="M33" s="16" t="str">
        <f aca="false">IF(OR(J33="Tükendi",J33="Kritik"),ROW(),"")</f>
        <v/>
      </c>
      <c r="N33" s="16" t="str">
        <f aca="false">IF(A33="","",I33+ROW()/1000000)</f>
        <v/>
      </c>
    </row>
    <row r="34" customFormat="false" ht="15" hidden="false" customHeight="false" outlineLevel="0" collapsed="false">
      <c r="A34" s="14"/>
      <c r="B34" s="13"/>
      <c r="C34" s="31"/>
      <c r="D34" s="15"/>
      <c r="E34" s="15"/>
      <c r="F34" s="24" t="str">
        <f aca="false">IF(A34="","",SUMIFS(Hareketler!$D$5:$D$1504,Hareketler!$C$5:$C$1504,A34,Hareketler!$B$5:$B$1504,"Giriş"))</f>
        <v/>
      </c>
      <c r="G34" s="24" t="str">
        <f aca="false">IF(A34="","",SUMIFS(Hareketler!$D$5:$D$1504,Hareketler!$C$5:$C$1504,A34,Hareketler!$B$5:$B$1504,"Çıkış"))</f>
        <v/>
      </c>
      <c r="H34" s="32" t="str">
        <f aca="false">IF(A34="","",D34+F34-G34)</f>
        <v/>
      </c>
      <c r="I34" s="29" t="str">
        <f aca="false">IF(A34="","",H34*C34)</f>
        <v/>
      </c>
      <c r="J34" s="25" t="str">
        <f aca="false">IF(A34="","",IF(H34&lt;=0,"Tükendi",IF(H34&lt;=E34,"Kritik","Yeterli")))</f>
        <v/>
      </c>
      <c r="K34" s="33" t="str">
        <f aca="false">IF(A34="","",IF(SUMPRODUCT(MAX((Hareketler!$C$5:$C$1504=A34)*Hareketler!$A$5:$A$1504))=0,"",SUMPRODUCT(MAX((Hareketler!$C$5:$C$1504=A34)*Hareketler!$A$5:$A$1504))))</f>
        <v/>
      </c>
      <c r="L34" s="24" t="str">
        <f aca="true">IF(OR(A34="",K34=""),"",TODAY()-K34)</f>
        <v/>
      </c>
      <c r="M34" s="16" t="str">
        <f aca="false">IF(OR(J34="Tükendi",J34="Kritik"),ROW(),"")</f>
        <v/>
      </c>
      <c r="N34" s="16" t="str">
        <f aca="false">IF(A34="","",I34+ROW()/1000000)</f>
        <v/>
      </c>
    </row>
    <row r="35" customFormat="false" ht="15" hidden="false" customHeight="false" outlineLevel="0" collapsed="false">
      <c r="A35" s="14"/>
      <c r="B35" s="13"/>
      <c r="C35" s="31"/>
      <c r="D35" s="15"/>
      <c r="E35" s="15"/>
      <c r="F35" s="24" t="str">
        <f aca="false">IF(A35="","",SUMIFS(Hareketler!$D$5:$D$1504,Hareketler!$C$5:$C$1504,A35,Hareketler!$B$5:$B$1504,"Giriş"))</f>
        <v/>
      </c>
      <c r="G35" s="24" t="str">
        <f aca="false">IF(A35="","",SUMIFS(Hareketler!$D$5:$D$1504,Hareketler!$C$5:$C$1504,A35,Hareketler!$B$5:$B$1504,"Çıkış"))</f>
        <v/>
      </c>
      <c r="H35" s="32" t="str">
        <f aca="false">IF(A35="","",D35+F35-G35)</f>
        <v/>
      </c>
      <c r="I35" s="29" t="str">
        <f aca="false">IF(A35="","",H35*C35)</f>
        <v/>
      </c>
      <c r="J35" s="25" t="str">
        <f aca="false">IF(A35="","",IF(H35&lt;=0,"Tükendi",IF(H35&lt;=E35,"Kritik","Yeterli")))</f>
        <v/>
      </c>
      <c r="K35" s="33" t="str">
        <f aca="false">IF(A35="","",IF(SUMPRODUCT(MAX((Hareketler!$C$5:$C$1504=A35)*Hareketler!$A$5:$A$1504))=0,"",SUMPRODUCT(MAX((Hareketler!$C$5:$C$1504=A35)*Hareketler!$A$5:$A$1504))))</f>
        <v/>
      </c>
      <c r="L35" s="24" t="str">
        <f aca="true">IF(OR(A35="",K35=""),"",TODAY()-K35)</f>
        <v/>
      </c>
      <c r="M35" s="16" t="str">
        <f aca="false">IF(OR(J35="Tükendi",J35="Kritik"),ROW(),"")</f>
        <v/>
      </c>
      <c r="N35" s="16" t="str">
        <f aca="false">IF(A35="","",I35+ROW()/1000000)</f>
        <v/>
      </c>
    </row>
    <row r="36" customFormat="false" ht="15" hidden="false" customHeight="false" outlineLevel="0" collapsed="false">
      <c r="A36" s="14"/>
      <c r="B36" s="13"/>
      <c r="C36" s="31"/>
      <c r="D36" s="15"/>
      <c r="E36" s="15"/>
      <c r="F36" s="24" t="str">
        <f aca="false">IF(A36="","",SUMIFS(Hareketler!$D$5:$D$1504,Hareketler!$C$5:$C$1504,A36,Hareketler!$B$5:$B$1504,"Giriş"))</f>
        <v/>
      </c>
      <c r="G36" s="24" t="str">
        <f aca="false">IF(A36="","",SUMIFS(Hareketler!$D$5:$D$1504,Hareketler!$C$5:$C$1504,A36,Hareketler!$B$5:$B$1504,"Çıkış"))</f>
        <v/>
      </c>
      <c r="H36" s="32" t="str">
        <f aca="false">IF(A36="","",D36+F36-G36)</f>
        <v/>
      </c>
      <c r="I36" s="29" t="str">
        <f aca="false">IF(A36="","",H36*C36)</f>
        <v/>
      </c>
      <c r="J36" s="25" t="str">
        <f aca="false">IF(A36="","",IF(H36&lt;=0,"Tükendi",IF(H36&lt;=E36,"Kritik","Yeterli")))</f>
        <v/>
      </c>
      <c r="K36" s="33" t="str">
        <f aca="false">IF(A36="","",IF(SUMPRODUCT(MAX((Hareketler!$C$5:$C$1504=A36)*Hareketler!$A$5:$A$1504))=0,"",SUMPRODUCT(MAX((Hareketler!$C$5:$C$1504=A36)*Hareketler!$A$5:$A$1504))))</f>
        <v/>
      </c>
      <c r="L36" s="24" t="str">
        <f aca="true">IF(OR(A36="",K36=""),"",TODAY()-K36)</f>
        <v/>
      </c>
      <c r="M36" s="16" t="str">
        <f aca="false">IF(OR(J36="Tükendi",J36="Kritik"),ROW(),"")</f>
        <v/>
      </c>
      <c r="N36" s="16" t="str">
        <f aca="false">IF(A36="","",I36+ROW()/1000000)</f>
        <v/>
      </c>
    </row>
    <row r="37" customFormat="false" ht="15" hidden="false" customHeight="false" outlineLevel="0" collapsed="false">
      <c r="A37" s="14"/>
      <c r="B37" s="13"/>
      <c r="C37" s="31"/>
      <c r="D37" s="15"/>
      <c r="E37" s="15"/>
      <c r="F37" s="24" t="str">
        <f aca="false">IF(A37="","",SUMIFS(Hareketler!$D$5:$D$1504,Hareketler!$C$5:$C$1504,A37,Hareketler!$B$5:$B$1504,"Giriş"))</f>
        <v/>
      </c>
      <c r="G37" s="24" t="str">
        <f aca="false">IF(A37="","",SUMIFS(Hareketler!$D$5:$D$1504,Hareketler!$C$5:$C$1504,A37,Hareketler!$B$5:$B$1504,"Çıkış"))</f>
        <v/>
      </c>
      <c r="H37" s="32" t="str">
        <f aca="false">IF(A37="","",D37+F37-G37)</f>
        <v/>
      </c>
      <c r="I37" s="29" t="str">
        <f aca="false">IF(A37="","",H37*C37)</f>
        <v/>
      </c>
      <c r="J37" s="25" t="str">
        <f aca="false">IF(A37="","",IF(H37&lt;=0,"Tükendi",IF(H37&lt;=E37,"Kritik","Yeterli")))</f>
        <v/>
      </c>
      <c r="K37" s="33" t="str">
        <f aca="false">IF(A37="","",IF(SUMPRODUCT(MAX((Hareketler!$C$5:$C$1504=A37)*Hareketler!$A$5:$A$1504))=0,"",SUMPRODUCT(MAX((Hareketler!$C$5:$C$1504=A37)*Hareketler!$A$5:$A$1504))))</f>
        <v/>
      </c>
      <c r="L37" s="24" t="str">
        <f aca="true">IF(OR(A37="",K37=""),"",TODAY()-K37)</f>
        <v/>
      </c>
      <c r="M37" s="16" t="str">
        <f aca="false">IF(OR(J37="Tükendi",J37="Kritik"),ROW(),"")</f>
        <v/>
      </c>
      <c r="N37" s="16" t="str">
        <f aca="false">IF(A37="","",I37+ROW()/1000000)</f>
        <v/>
      </c>
    </row>
    <row r="38" customFormat="false" ht="15" hidden="false" customHeight="false" outlineLevel="0" collapsed="false">
      <c r="A38" s="14"/>
      <c r="B38" s="13"/>
      <c r="C38" s="31"/>
      <c r="D38" s="15"/>
      <c r="E38" s="15"/>
      <c r="F38" s="24" t="str">
        <f aca="false">IF(A38="","",SUMIFS(Hareketler!$D$5:$D$1504,Hareketler!$C$5:$C$1504,A38,Hareketler!$B$5:$B$1504,"Giriş"))</f>
        <v/>
      </c>
      <c r="G38" s="24" t="str">
        <f aca="false">IF(A38="","",SUMIFS(Hareketler!$D$5:$D$1504,Hareketler!$C$5:$C$1504,A38,Hareketler!$B$5:$B$1504,"Çıkış"))</f>
        <v/>
      </c>
      <c r="H38" s="32" t="str">
        <f aca="false">IF(A38="","",D38+F38-G38)</f>
        <v/>
      </c>
      <c r="I38" s="29" t="str">
        <f aca="false">IF(A38="","",H38*C38)</f>
        <v/>
      </c>
      <c r="J38" s="25" t="str">
        <f aca="false">IF(A38="","",IF(H38&lt;=0,"Tükendi",IF(H38&lt;=E38,"Kritik","Yeterli")))</f>
        <v/>
      </c>
      <c r="K38" s="33" t="str">
        <f aca="false">IF(A38="","",IF(SUMPRODUCT(MAX((Hareketler!$C$5:$C$1504=A38)*Hareketler!$A$5:$A$1504))=0,"",SUMPRODUCT(MAX((Hareketler!$C$5:$C$1504=A38)*Hareketler!$A$5:$A$1504))))</f>
        <v/>
      </c>
      <c r="L38" s="24" t="str">
        <f aca="true">IF(OR(A38="",K38=""),"",TODAY()-K38)</f>
        <v/>
      </c>
      <c r="M38" s="16" t="str">
        <f aca="false">IF(OR(J38="Tükendi",J38="Kritik"),ROW(),"")</f>
        <v/>
      </c>
      <c r="N38" s="16" t="str">
        <f aca="false">IF(A38="","",I38+ROW()/1000000)</f>
        <v/>
      </c>
    </row>
    <row r="39" customFormat="false" ht="15" hidden="false" customHeight="false" outlineLevel="0" collapsed="false">
      <c r="A39" s="14"/>
      <c r="B39" s="13"/>
      <c r="C39" s="31"/>
      <c r="D39" s="15"/>
      <c r="E39" s="15"/>
      <c r="F39" s="24" t="str">
        <f aca="false">IF(A39="","",SUMIFS(Hareketler!$D$5:$D$1504,Hareketler!$C$5:$C$1504,A39,Hareketler!$B$5:$B$1504,"Giriş"))</f>
        <v/>
      </c>
      <c r="G39" s="24" t="str">
        <f aca="false">IF(A39="","",SUMIFS(Hareketler!$D$5:$D$1504,Hareketler!$C$5:$C$1504,A39,Hareketler!$B$5:$B$1504,"Çıkış"))</f>
        <v/>
      </c>
      <c r="H39" s="32" t="str">
        <f aca="false">IF(A39="","",D39+F39-G39)</f>
        <v/>
      </c>
      <c r="I39" s="29" t="str">
        <f aca="false">IF(A39="","",H39*C39)</f>
        <v/>
      </c>
      <c r="J39" s="25" t="str">
        <f aca="false">IF(A39="","",IF(H39&lt;=0,"Tükendi",IF(H39&lt;=E39,"Kritik","Yeterli")))</f>
        <v/>
      </c>
      <c r="K39" s="33" t="str">
        <f aca="false">IF(A39="","",IF(SUMPRODUCT(MAX((Hareketler!$C$5:$C$1504=A39)*Hareketler!$A$5:$A$1504))=0,"",SUMPRODUCT(MAX((Hareketler!$C$5:$C$1504=A39)*Hareketler!$A$5:$A$1504))))</f>
        <v/>
      </c>
      <c r="L39" s="24" t="str">
        <f aca="true">IF(OR(A39="",K39=""),"",TODAY()-K39)</f>
        <v/>
      </c>
      <c r="M39" s="16" t="str">
        <f aca="false">IF(OR(J39="Tükendi",J39="Kritik"),ROW(),"")</f>
        <v/>
      </c>
      <c r="N39" s="16" t="str">
        <f aca="false">IF(A39="","",I39+ROW()/1000000)</f>
        <v/>
      </c>
    </row>
    <row r="40" customFormat="false" ht="15" hidden="false" customHeight="false" outlineLevel="0" collapsed="false">
      <c r="A40" s="14"/>
      <c r="B40" s="13"/>
      <c r="C40" s="31"/>
      <c r="D40" s="15"/>
      <c r="E40" s="15"/>
      <c r="F40" s="24" t="str">
        <f aca="false">IF(A40="","",SUMIFS(Hareketler!$D$5:$D$1504,Hareketler!$C$5:$C$1504,A40,Hareketler!$B$5:$B$1504,"Giriş"))</f>
        <v/>
      </c>
      <c r="G40" s="24" t="str">
        <f aca="false">IF(A40="","",SUMIFS(Hareketler!$D$5:$D$1504,Hareketler!$C$5:$C$1504,A40,Hareketler!$B$5:$B$1504,"Çıkış"))</f>
        <v/>
      </c>
      <c r="H40" s="32" t="str">
        <f aca="false">IF(A40="","",D40+F40-G40)</f>
        <v/>
      </c>
      <c r="I40" s="29" t="str">
        <f aca="false">IF(A40="","",H40*C40)</f>
        <v/>
      </c>
      <c r="J40" s="25" t="str">
        <f aca="false">IF(A40="","",IF(H40&lt;=0,"Tükendi",IF(H40&lt;=E40,"Kritik","Yeterli")))</f>
        <v/>
      </c>
      <c r="K40" s="33" t="str">
        <f aca="false">IF(A40="","",IF(SUMPRODUCT(MAX((Hareketler!$C$5:$C$1504=A40)*Hareketler!$A$5:$A$1504))=0,"",SUMPRODUCT(MAX((Hareketler!$C$5:$C$1504=A40)*Hareketler!$A$5:$A$1504))))</f>
        <v/>
      </c>
      <c r="L40" s="24" t="str">
        <f aca="true">IF(OR(A40="",K40=""),"",TODAY()-K40)</f>
        <v/>
      </c>
      <c r="M40" s="16" t="str">
        <f aca="false">IF(OR(J40="Tükendi",J40="Kritik"),ROW(),"")</f>
        <v/>
      </c>
      <c r="N40" s="16" t="str">
        <f aca="false">IF(A40="","",I40+ROW()/1000000)</f>
        <v/>
      </c>
    </row>
    <row r="41" customFormat="false" ht="15" hidden="false" customHeight="false" outlineLevel="0" collapsed="false">
      <c r="A41" s="14"/>
      <c r="B41" s="13"/>
      <c r="C41" s="31"/>
      <c r="D41" s="15"/>
      <c r="E41" s="15"/>
      <c r="F41" s="24" t="str">
        <f aca="false">IF(A41="","",SUMIFS(Hareketler!$D$5:$D$1504,Hareketler!$C$5:$C$1504,A41,Hareketler!$B$5:$B$1504,"Giriş"))</f>
        <v/>
      </c>
      <c r="G41" s="24" t="str">
        <f aca="false">IF(A41="","",SUMIFS(Hareketler!$D$5:$D$1504,Hareketler!$C$5:$C$1504,A41,Hareketler!$B$5:$B$1504,"Çıkış"))</f>
        <v/>
      </c>
      <c r="H41" s="32" t="str">
        <f aca="false">IF(A41="","",D41+F41-G41)</f>
        <v/>
      </c>
      <c r="I41" s="29" t="str">
        <f aca="false">IF(A41="","",H41*C41)</f>
        <v/>
      </c>
      <c r="J41" s="25" t="str">
        <f aca="false">IF(A41="","",IF(H41&lt;=0,"Tükendi",IF(H41&lt;=E41,"Kritik","Yeterli")))</f>
        <v/>
      </c>
      <c r="K41" s="33" t="str">
        <f aca="false">IF(A41="","",IF(SUMPRODUCT(MAX((Hareketler!$C$5:$C$1504=A41)*Hareketler!$A$5:$A$1504))=0,"",SUMPRODUCT(MAX((Hareketler!$C$5:$C$1504=A41)*Hareketler!$A$5:$A$1504))))</f>
        <v/>
      </c>
      <c r="L41" s="24" t="str">
        <f aca="true">IF(OR(A41="",K41=""),"",TODAY()-K41)</f>
        <v/>
      </c>
      <c r="M41" s="16" t="str">
        <f aca="false">IF(OR(J41="Tükendi",J41="Kritik"),ROW(),"")</f>
        <v/>
      </c>
      <c r="N41" s="16" t="str">
        <f aca="false">IF(A41="","",I41+ROW()/1000000)</f>
        <v/>
      </c>
    </row>
    <row r="42" customFormat="false" ht="15" hidden="false" customHeight="false" outlineLevel="0" collapsed="false">
      <c r="A42" s="14"/>
      <c r="B42" s="13"/>
      <c r="C42" s="31"/>
      <c r="D42" s="15"/>
      <c r="E42" s="15"/>
      <c r="F42" s="24" t="str">
        <f aca="false">IF(A42="","",SUMIFS(Hareketler!$D$5:$D$1504,Hareketler!$C$5:$C$1504,A42,Hareketler!$B$5:$B$1504,"Giriş"))</f>
        <v/>
      </c>
      <c r="G42" s="24" t="str">
        <f aca="false">IF(A42="","",SUMIFS(Hareketler!$D$5:$D$1504,Hareketler!$C$5:$C$1504,A42,Hareketler!$B$5:$B$1504,"Çıkış"))</f>
        <v/>
      </c>
      <c r="H42" s="32" t="str">
        <f aca="false">IF(A42="","",D42+F42-G42)</f>
        <v/>
      </c>
      <c r="I42" s="29" t="str">
        <f aca="false">IF(A42="","",H42*C42)</f>
        <v/>
      </c>
      <c r="J42" s="25" t="str">
        <f aca="false">IF(A42="","",IF(H42&lt;=0,"Tükendi",IF(H42&lt;=E42,"Kritik","Yeterli")))</f>
        <v/>
      </c>
      <c r="K42" s="33" t="str">
        <f aca="false">IF(A42="","",IF(SUMPRODUCT(MAX((Hareketler!$C$5:$C$1504=A42)*Hareketler!$A$5:$A$1504))=0,"",SUMPRODUCT(MAX((Hareketler!$C$5:$C$1504=A42)*Hareketler!$A$5:$A$1504))))</f>
        <v/>
      </c>
      <c r="L42" s="24" t="str">
        <f aca="true">IF(OR(A42="",K42=""),"",TODAY()-K42)</f>
        <v/>
      </c>
      <c r="M42" s="16" t="str">
        <f aca="false">IF(OR(J42="Tükendi",J42="Kritik"),ROW(),"")</f>
        <v/>
      </c>
      <c r="N42" s="16" t="str">
        <f aca="false">IF(A42="","",I42+ROW()/1000000)</f>
        <v/>
      </c>
    </row>
    <row r="43" customFormat="false" ht="15" hidden="false" customHeight="false" outlineLevel="0" collapsed="false">
      <c r="A43" s="14"/>
      <c r="B43" s="13"/>
      <c r="C43" s="31"/>
      <c r="D43" s="15"/>
      <c r="E43" s="15"/>
      <c r="F43" s="24" t="str">
        <f aca="false">IF(A43="","",SUMIFS(Hareketler!$D$5:$D$1504,Hareketler!$C$5:$C$1504,A43,Hareketler!$B$5:$B$1504,"Giriş"))</f>
        <v/>
      </c>
      <c r="G43" s="24" t="str">
        <f aca="false">IF(A43="","",SUMIFS(Hareketler!$D$5:$D$1504,Hareketler!$C$5:$C$1504,A43,Hareketler!$B$5:$B$1504,"Çıkış"))</f>
        <v/>
      </c>
      <c r="H43" s="32" t="str">
        <f aca="false">IF(A43="","",D43+F43-G43)</f>
        <v/>
      </c>
      <c r="I43" s="29" t="str">
        <f aca="false">IF(A43="","",H43*C43)</f>
        <v/>
      </c>
      <c r="J43" s="25" t="str">
        <f aca="false">IF(A43="","",IF(H43&lt;=0,"Tükendi",IF(H43&lt;=E43,"Kritik","Yeterli")))</f>
        <v/>
      </c>
      <c r="K43" s="33" t="str">
        <f aca="false">IF(A43="","",IF(SUMPRODUCT(MAX((Hareketler!$C$5:$C$1504=A43)*Hareketler!$A$5:$A$1504))=0,"",SUMPRODUCT(MAX((Hareketler!$C$5:$C$1504=A43)*Hareketler!$A$5:$A$1504))))</f>
        <v/>
      </c>
      <c r="L43" s="24" t="str">
        <f aca="true">IF(OR(A43="",K43=""),"",TODAY()-K43)</f>
        <v/>
      </c>
      <c r="M43" s="16" t="str">
        <f aca="false">IF(OR(J43="Tükendi",J43="Kritik"),ROW(),"")</f>
        <v/>
      </c>
      <c r="N43" s="16" t="str">
        <f aca="false">IF(A43="","",I43+ROW()/1000000)</f>
        <v/>
      </c>
    </row>
    <row r="44" customFormat="false" ht="15" hidden="false" customHeight="false" outlineLevel="0" collapsed="false">
      <c r="A44" s="14"/>
      <c r="B44" s="13"/>
      <c r="C44" s="31"/>
      <c r="D44" s="15"/>
      <c r="E44" s="15"/>
      <c r="F44" s="24" t="str">
        <f aca="false">IF(A44="","",SUMIFS(Hareketler!$D$5:$D$1504,Hareketler!$C$5:$C$1504,A44,Hareketler!$B$5:$B$1504,"Giriş"))</f>
        <v/>
      </c>
      <c r="G44" s="24" t="str">
        <f aca="false">IF(A44="","",SUMIFS(Hareketler!$D$5:$D$1504,Hareketler!$C$5:$C$1504,A44,Hareketler!$B$5:$B$1504,"Çıkış"))</f>
        <v/>
      </c>
      <c r="H44" s="32" t="str">
        <f aca="false">IF(A44="","",D44+F44-G44)</f>
        <v/>
      </c>
      <c r="I44" s="29" t="str">
        <f aca="false">IF(A44="","",H44*C44)</f>
        <v/>
      </c>
      <c r="J44" s="25" t="str">
        <f aca="false">IF(A44="","",IF(H44&lt;=0,"Tükendi",IF(H44&lt;=E44,"Kritik","Yeterli")))</f>
        <v/>
      </c>
      <c r="K44" s="33" t="str">
        <f aca="false">IF(A44="","",IF(SUMPRODUCT(MAX((Hareketler!$C$5:$C$1504=A44)*Hareketler!$A$5:$A$1504))=0,"",SUMPRODUCT(MAX((Hareketler!$C$5:$C$1504=A44)*Hareketler!$A$5:$A$1504))))</f>
        <v/>
      </c>
      <c r="L44" s="24" t="str">
        <f aca="true">IF(OR(A44="",K44=""),"",TODAY()-K44)</f>
        <v/>
      </c>
      <c r="M44" s="16" t="str">
        <f aca="false">IF(OR(J44="Tükendi",J44="Kritik"),ROW(),"")</f>
        <v/>
      </c>
      <c r="N44" s="16" t="str">
        <f aca="false">IF(A44="","",I44+ROW()/1000000)</f>
        <v/>
      </c>
    </row>
    <row r="45" customFormat="false" ht="15" hidden="false" customHeight="false" outlineLevel="0" collapsed="false">
      <c r="A45" s="14"/>
      <c r="B45" s="13"/>
      <c r="C45" s="31"/>
      <c r="D45" s="15"/>
      <c r="E45" s="15"/>
      <c r="F45" s="24" t="str">
        <f aca="false">IF(A45="","",SUMIFS(Hareketler!$D$5:$D$1504,Hareketler!$C$5:$C$1504,A45,Hareketler!$B$5:$B$1504,"Giriş"))</f>
        <v/>
      </c>
      <c r="G45" s="24" t="str">
        <f aca="false">IF(A45="","",SUMIFS(Hareketler!$D$5:$D$1504,Hareketler!$C$5:$C$1504,A45,Hareketler!$B$5:$B$1504,"Çıkış"))</f>
        <v/>
      </c>
      <c r="H45" s="32" t="str">
        <f aca="false">IF(A45="","",D45+F45-G45)</f>
        <v/>
      </c>
      <c r="I45" s="29" t="str">
        <f aca="false">IF(A45="","",H45*C45)</f>
        <v/>
      </c>
      <c r="J45" s="25" t="str">
        <f aca="false">IF(A45="","",IF(H45&lt;=0,"Tükendi",IF(H45&lt;=E45,"Kritik","Yeterli")))</f>
        <v/>
      </c>
      <c r="K45" s="33" t="str">
        <f aca="false">IF(A45="","",IF(SUMPRODUCT(MAX((Hareketler!$C$5:$C$1504=A45)*Hareketler!$A$5:$A$1504))=0,"",SUMPRODUCT(MAX((Hareketler!$C$5:$C$1504=A45)*Hareketler!$A$5:$A$1504))))</f>
        <v/>
      </c>
      <c r="L45" s="24" t="str">
        <f aca="true">IF(OR(A45="",K45=""),"",TODAY()-K45)</f>
        <v/>
      </c>
      <c r="M45" s="16" t="str">
        <f aca="false">IF(OR(J45="Tükendi",J45="Kritik"),ROW(),"")</f>
        <v/>
      </c>
      <c r="N45" s="16" t="str">
        <f aca="false">IF(A45="","",I45+ROW()/1000000)</f>
        <v/>
      </c>
    </row>
    <row r="46" customFormat="false" ht="15" hidden="false" customHeight="false" outlineLevel="0" collapsed="false">
      <c r="A46" s="14"/>
      <c r="B46" s="13"/>
      <c r="C46" s="31"/>
      <c r="D46" s="15"/>
      <c r="E46" s="15"/>
      <c r="F46" s="24" t="str">
        <f aca="false">IF(A46="","",SUMIFS(Hareketler!$D$5:$D$1504,Hareketler!$C$5:$C$1504,A46,Hareketler!$B$5:$B$1504,"Giriş"))</f>
        <v/>
      </c>
      <c r="G46" s="24" t="str">
        <f aca="false">IF(A46="","",SUMIFS(Hareketler!$D$5:$D$1504,Hareketler!$C$5:$C$1504,A46,Hareketler!$B$5:$B$1504,"Çıkış"))</f>
        <v/>
      </c>
      <c r="H46" s="32" t="str">
        <f aca="false">IF(A46="","",D46+F46-G46)</f>
        <v/>
      </c>
      <c r="I46" s="29" t="str">
        <f aca="false">IF(A46="","",H46*C46)</f>
        <v/>
      </c>
      <c r="J46" s="25" t="str">
        <f aca="false">IF(A46="","",IF(H46&lt;=0,"Tükendi",IF(H46&lt;=E46,"Kritik","Yeterli")))</f>
        <v/>
      </c>
      <c r="K46" s="33" t="str">
        <f aca="false">IF(A46="","",IF(SUMPRODUCT(MAX((Hareketler!$C$5:$C$1504=A46)*Hareketler!$A$5:$A$1504))=0,"",SUMPRODUCT(MAX((Hareketler!$C$5:$C$1504=A46)*Hareketler!$A$5:$A$1504))))</f>
        <v/>
      </c>
      <c r="L46" s="24" t="str">
        <f aca="true">IF(OR(A46="",K46=""),"",TODAY()-K46)</f>
        <v/>
      </c>
      <c r="M46" s="16" t="str">
        <f aca="false">IF(OR(J46="Tükendi",J46="Kritik"),ROW(),"")</f>
        <v/>
      </c>
      <c r="N46" s="16" t="str">
        <f aca="false">IF(A46="","",I46+ROW()/1000000)</f>
        <v/>
      </c>
    </row>
    <row r="47" customFormat="false" ht="15" hidden="false" customHeight="false" outlineLevel="0" collapsed="false">
      <c r="A47" s="14"/>
      <c r="B47" s="13"/>
      <c r="C47" s="31"/>
      <c r="D47" s="15"/>
      <c r="E47" s="15"/>
      <c r="F47" s="24" t="str">
        <f aca="false">IF(A47="","",SUMIFS(Hareketler!$D$5:$D$1504,Hareketler!$C$5:$C$1504,A47,Hareketler!$B$5:$B$1504,"Giriş"))</f>
        <v/>
      </c>
      <c r="G47" s="24" t="str">
        <f aca="false">IF(A47="","",SUMIFS(Hareketler!$D$5:$D$1504,Hareketler!$C$5:$C$1504,A47,Hareketler!$B$5:$B$1504,"Çıkış"))</f>
        <v/>
      </c>
      <c r="H47" s="32" t="str">
        <f aca="false">IF(A47="","",D47+F47-G47)</f>
        <v/>
      </c>
      <c r="I47" s="29" t="str">
        <f aca="false">IF(A47="","",H47*C47)</f>
        <v/>
      </c>
      <c r="J47" s="25" t="str">
        <f aca="false">IF(A47="","",IF(H47&lt;=0,"Tükendi",IF(H47&lt;=E47,"Kritik","Yeterli")))</f>
        <v/>
      </c>
      <c r="K47" s="33" t="str">
        <f aca="false">IF(A47="","",IF(SUMPRODUCT(MAX((Hareketler!$C$5:$C$1504=A47)*Hareketler!$A$5:$A$1504))=0,"",SUMPRODUCT(MAX((Hareketler!$C$5:$C$1504=A47)*Hareketler!$A$5:$A$1504))))</f>
        <v/>
      </c>
      <c r="L47" s="24" t="str">
        <f aca="true">IF(OR(A47="",K47=""),"",TODAY()-K47)</f>
        <v/>
      </c>
      <c r="M47" s="16" t="str">
        <f aca="false">IF(OR(J47="Tükendi",J47="Kritik"),ROW(),"")</f>
        <v/>
      </c>
      <c r="N47" s="16" t="str">
        <f aca="false">IF(A47="","",I47+ROW()/1000000)</f>
        <v/>
      </c>
    </row>
    <row r="48" customFormat="false" ht="15" hidden="false" customHeight="false" outlineLevel="0" collapsed="false">
      <c r="A48" s="14"/>
      <c r="B48" s="13"/>
      <c r="C48" s="31"/>
      <c r="D48" s="15"/>
      <c r="E48" s="15"/>
      <c r="F48" s="24" t="str">
        <f aca="false">IF(A48="","",SUMIFS(Hareketler!$D$5:$D$1504,Hareketler!$C$5:$C$1504,A48,Hareketler!$B$5:$B$1504,"Giriş"))</f>
        <v/>
      </c>
      <c r="G48" s="24" t="str">
        <f aca="false">IF(A48="","",SUMIFS(Hareketler!$D$5:$D$1504,Hareketler!$C$5:$C$1504,A48,Hareketler!$B$5:$B$1504,"Çıkış"))</f>
        <v/>
      </c>
      <c r="H48" s="32" t="str">
        <f aca="false">IF(A48="","",D48+F48-G48)</f>
        <v/>
      </c>
      <c r="I48" s="29" t="str">
        <f aca="false">IF(A48="","",H48*C48)</f>
        <v/>
      </c>
      <c r="J48" s="25" t="str">
        <f aca="false">IF(A48="","",IF(H48&lt;=0,"Tükendi",IF(H48&lt;=E48,"Kritik","Yeterli")))</f>
        <v/>
      </c>
      <c r="K48" s="33" t="str">
        <f aca="false">IF(A48="","",IF(SUMPRODUCT(MAX((Hareketler!$C$5:$C$1504=A48)*Hareketler!$A$5:$A$1504))=0,"",SUMPRODUCT(MAX((Hareketler!$C$5:$C$1504=A48)*Hareketler!$A$5:$A$1504))))</f>
        <v/>
      </c>
      <c r="L48" s="24" t="str">
        <f aca="true">IF(OR(A48="",K48=""),"",TODAY()-K48)</f>
        <v/>
      </c>
      <c r="M48" s="16" t="str">
        <f aca="false">IF(OR(J48="Tükendi",J48="Kritik"),ROW(),"")</f>
        <v/>
      </c>
      <c r="N48" s="16" t="str">
        <f aca="false">IF(A48="","",I48+ROW()/1000000)</f>
        <v/>
      </c>
    </row>
    <row r="49" customFormat="false" ht="15" hidden="false" customHeight="false" outlineLevel="0" collapsed="false">
      <c r="A49" s="14"/>
      <c r="B49" s="13"/>
      <c r="C49" s="31"/>
      <c r="D49" s="15"/>
      <c r="E49" s="15"/>
      <c r="F49" s="24" t="str">
        <f aca="false">IF(A49="","",SUMIFS(Hareketler!$D$5:$D$1504,Hareketler!$C$5:$C$1504,A49,Hareketler!$B$5:$B$1504,"Giriş"))</f>
        <v/>
      </c>
      <c r="G49" s="24" t="str">
        <f aca="false">IF(A49="","",SUMIFS(Hareketler!$D$5:$D$1504,Hareketler!$C$5:$C$1504,A49,Hareketler!$B$5:$B$1504,"Çıkış"))</f>
        <v/>
      </c>
      <c r="H49" s="32" t="str">
        <f aca="false">IF(A49="","",D49+F49-G49)</f>
        <v/>
      </c>
      <c r="I49" s="29" t="str">
        <f aca="false">IF(A49="","",H49*C49)</f>
        <v/>
      </c>
      <c r="J49" s="25" t="str">
        <f aca="false">IF(A49="","",IF(H49&lt;=0,"Tükendi",IF(H49&lt;=E49,"Kritik","Yeterli")))</f>
        <v/>
      </c>
      <c r="K49" s="33" t="str">
        <f aca="false">IF(A49="","",IF(SUMPRODUCT(MAX((Hareketler!$C$5:$C$1504=A49)*Hareketler!$A$5:$A$1504))=0,"",SUMPRODUCT(MAX((Hareketler!$C$5:$C$1504=A49)*Hareketler!$A$5:$A$1504))))</f>
        <v/>
      </c>
      <c r="L49" s="24" t="str">
        <f aca="true">IF(OR(A49="",K49=""),"",TODAY()-K49)</f>
        <v/>
      </c>
      <c r="M49" s="16" t="str">
        <f aca="false">IF(OR(J49="Tükendi",J49="Kritik"),ROW(),"")</f>
        <v/>
      </c>
      <c r="N49" s="16" t="str">
        <f aca="false">IF(A49="","",I49+ROW()/1000000)</f>
        <v/>
      </c>
    </row>
    <row r="50" customFormat="false" ht="15" hidden="false" customHeight="false" outlineLevel="0" collapsed="false">
      <c r="A50" s="14"/>
      <c r="B50" s="13"/>
      <c r="C50" s="31"/>
      <c r="D50" s="15"/>
      <c r="E50" s="15"/>
      <c r="F50" s="24" t="str">
        <f aca="false">IF(A50="","",SUMIFS(Hareketler!$D$5:$D$1504,Hareketler!$C$5:$C$1504,A50,Hareketler!$B$5:$B$1504,"Giriş"))</f>
        <v/>
      </c>
      <c r="G50" s="24" t="str">
        <f aca="false">IF(A50="","",SUMIFS(Hareketler!$D$5:$D$1504,Hareketler!$C$5:$C$1504,A50,Hareketler!$B$5:$B$1504,"Çıkış"))</f>
        <v/>
      </c>
      <c r="H50" s="32" t="str">
        <f aca="false">IF(A50="","",D50+F50-G50)</f>
        <v/>
      </c>
      <c r="I50" s="29" t="str">
        <f aca="false">IF(A50="","",H50*C50)</f>
        <v/>
      </c>
      <c r="J50" s="25" t="str">
        <f aca="false">IF(A50="","",IF(H50&lt;=0,"Tükendi",IF(H50&lt;=E50,"Kritik","Yeterli")))</f>
        <v/>
      </c>
      <c r="K50" s="33" t="str">
        <f aca="false">IF(A50="","",IF(SUMPRODUCT(MAX((Hareketler!$C$5:$C$1504=A50)*Hareketler!$A$5:$A$1504))=0,"",SUMPRODUCT(MAX((Hareketler!$C$5:$C$1504=A50)*Hareketler!$A$5:$A$1504))))</f>
        <v/>
      </c>
      <c r="L50" s="24" t="str">
        <f aca="true">IF(OR(A50="",K50=""),"",TODAY()-K50)</f>
        <v/>
      </c>
      <c r="M50" s="16" t="str">
        <f aca="false">IF(OR(J50="Tükendi",J50="Kritik"),ROW(),"")</f>
        <v/>
      </c>
      <c r="N50" s="16" t="str">
        <f aca="false">IF(A50="","",I50+ROW()/1000000)</f>
        <v/>
      </c>
    </row>
    <row r="51" customFormat="false" ht="15" hidden="false" customHeight="false" outlineLevel="0" collapsed="false">
      <c r="A51" s="14"/>
      <c r="B51" s="13"/>
      <c r="C51" s="31"/>
      <c r="D51" s="15"/>
      <c r="E51" s="15"/>
      <c r="F51" s="24" t="str">
        <f aca="false">IF(A51="","",SUMIFS(Hareketler!$D$5:$D$1504,Hareketler!$C$5:$C$1504,A51,Hareketler!$B$5:$B$1504,"Giriş"))</f>
        <v/>
      </c>
      <c r="G51" s="24" t="str">
        <f aca="false">IF(A51="","",SUMIFS(Hareketler!$D$5:$D$1504,Hareketler!$C$5:$C$1504,A51,Hareketler!$B$5:$B$1504,"Çıkış"))</f>
        <v/>
      </c>
      <c r="H51" s="32" t="str">
        <f aca="false">IF(A51="","",D51+F51-G51)</f>
        <v/>
      </c>
      <c r="I51" s="29" t="str">
        <f aca="false">IF(A51="","",H51*C51)</f>
        <v/>
      </c>
      <c r="J51" s="25" t="str">
        <f aca="false">IF(A51="","",IF(H51&lt;=0,"Tükendi",IF(H51&lt;=E51,"Kritik","Yeterli")))</f>
        <v/>
      </c>
      <c r="K51" s="33" t="str">
        <f aca="false">IF(A51="","",IF(SUMPRODUCT(MAX((Hareketler!$C$5:$C$1504=A51)*Hareketler!$A$5:$A$1504))=0,"",SUMPRODUCT(MAX((Hareketler!$C$5:$C$1504=A51)*Hareketler!$A$5:$A$1504))))</f>
        <v/>
      </c>
      <c r="L51" s="24" t="str">
        <f aca="true">IF(OR(A51="",K51=""),"",TODAY()-K51)</f>
        <v/>
      </c>
      <c r="M51" s="16" t="str">
        <f aca="false">IF(OR(J51="Tükendi",J51="Kritik"),ROW(),"")</f>
        <v/>
      </c>
      <c r="N51" s="16" t="str">
        <f aca="false">IF(A51="","",I51+ROW()/1000000)</f>
        <v/>
      </c>
    </row>
    <row r="52" customFormat="false" ht="15" hidden="false" customHeight="false" outlineLevel="0" collapsed="false">
      <c r="A52" s="14"/>
      <c r="B52" s="13"/>
      <c r="C52" s="31"/>
      <c r="D52" s="15"/>
      <c r="E52" s="15"/>
      <c r="F52" s="24" t="str">
        <f aca="false">IF(A52="","",SUMIFS(Hareketler!$D$5:$D$1504,Hareketler!$C$5:$C$1504,A52,Hareketler!$B$5:$B$1504,"Giriş"))</f>
        <v/>
      </c>
      <c r="G52" s="24" t="str">
        <f aca="false">IF(A52="","",SUMIFS(Hareketler!$D$5:$D$1504,Hareketler!$C$5:$C$1504,A52,Hareketler!$B$5:$B$1504,"Çıkış"))</f>
        <v/>
      </c>
      <c r="H52" s="32" t="str">
        <f aca="false">IF(A52="","",D52+F52-G52)</f>
        <v/>
      </c>
      <c r="I52" s="29" t="str">
        <f aca="false">IF(A52="","",H52*C52)</f>
        <v/>
      </c>
      <c r="J52" s="25" t="str">
        <f aca="false">IF(A52="","",IF(H52&lt;=0,"Tükendi",IF(H52&lt;=E52,"Kritik","Yeterli")))</f>
        <v/>
      </c>
      <c r="K52" s="33" t="str">
        <f aca="false">IF(A52="","",IF(SUMPRODUCT(MAX((Hareketler!$C$5:$C$1504=A52)*Hareketler!$A$5:$A$1504))=0,"",SUMPRODUCT(MAX((Hareketler!$C$5:$C$1504=A52)*Hareketler!$A$5:$A$1504))))</f>
        <v/>
      </c>
      <c r="L52" s="24" t="str">
        <f aca="true">IF(OR(A52="",K52=""),"",TODAY()-K52)</f>
        <v/>
      </c>
      <c r="M52" s="16" t="str">
        <f aca="false">IF(OR(J52="Tükendi",J52="Kritik"),ROW(),"")</f>
        <v/>
      </c>
      <c r="N52" s="16" t="str">
        <f aca="false">IF(A52="","",I52+ROW()/1000000)</f>
        <v/>
      </c>
    </row>
    <row r="53" customFormat="false" ht="15" hidden="false" customHeight="false" outlineLevel="0" collapsed="false">
      <c r="A53" s="14"/>
      <c r="B53" s="13"/>
      <c r="C53" s="31"/>
      <c r="D53" s="15"/>
      <c r="E53" s="15"/>
      <c r="F53" s="24" t="str">
        <f aca="false">IF(A53="","",SUMIFS(Hareketler!$D$5:$D$1504,Hareketler!$C$5:$C$1504,A53,Hareketler!$B$5:$B$1504,"Giriş"))</f>
        <v/>
      </c>
      <c r="G53" s="24" t="str">
        <f aca="false">IF(A53="","",SUMIFS(Hareketler!$D$5:$D$1504,Hareketler!$C$5:$C$1504,A53,Hareketler!$B$5:$B$1504,"Çıkış"))</f>
        <v/>
      </c>
      <c r="H53" s="32" t="str">
        <f aca="false">IF(A53="","",D53+F53-G53)</f>
        <v/>
      </c>
      <c r="I53" s="29" t="str">
        <f aca="false">IF(A53="","",H53*C53)</f>
        <v/>
      </c>
      <c r="J53" s="25" t="str">
        <f aca="false">IF(A53="","",IF(H53&lt;=0,"Tükendi",IF(H53&lt;=E53,"Kritik","Yeterli")))</f>
        <v/>
      </c>
      <c r="K53" s="33" t="str">
        <f aca="false">IF(A53="","",IF(SUMPRODUCT(MAX((Hareketler!$C$5:$C$1504=A53)*Hareketler!$A$5:$A$1504))=0,"",SUMPRODUCT(MAX((Hareketler!$C$5:$C$1504=A53)*Hareketler!$A$5:$A$1504))))</f>
        <v/>
      </c>
      <c r="L53" s="24" t="str">
        <f aca="true">IF(OR(A53="",K53=""),"",TODAY()-K53)</f>
        <v/>
      </c>
      <c r="M53" s="16" t="str">
        <f aca="false">IF(OR(J53="Tükendi",J53="Kritik"),ROW(),"")</f>
        <v/>
      </c>
      <c r="N53" s="16" t="str">
        <f aca="false">IF(A53="","",I53+ROW()/1000000)</f>
        <v/>
      </c>
    </row>
    <row r="54" customFormat="false" ht="15" hidden="false" customHeight="false" outlineLevel="0" collapsed="false">
      <c r="A54" s="14"/>
      <c r="B54" s="13"/>
      <c r="C54" s="31"/>
      <c r="D54" s="15"/>
      <c r="E54" s="15"/>
      <c r="F54" s="24" t="str">
        <f aca="false">IF(A54="","",SUMIFS(Hareketler!$D$5:$D$1504,Hareketler!$C$5:$C$1504,A54,Hareketler!$B$5:$B$1504,"Giriş"))</f>
        <v/>
      </c>
      <c r="G54" s="24" t="str">
        <f aca="false">IF(A54="","",SUMIFS(Hareketler!$D$5:$D$1504,Hareketler!$C$5:$C$1504,A54,Hareketler!$B$5:$B$1504,"Çıkış"))</f>
        <v/>
      </c>
      <c r="H54" s="32" t="str">
        <f aca="false">IF(A54="","",D54+F54-G54)</f>
        <v/>
      </c>
      <c r="I54" s="29" t="str">
        <f aca="false">IF(A54="","",H54*C54)</f>
        <v/>
      </c>
      <c r="J54" s="25" t="str">
        <f aca="false">IF(A54="","",IF(H54&lt;=0,"Tükendi",IF(H54&lt;=E54,"Kritik","Yeterli")))</f>
        <v/>
      </c>
      <c r="K54" s="33" t="str">
        <f aca="false">IF(A54="","",IF(SUMPRODUCT(MAX((Hareketler!$C$5:$C$1504=A54)*Hareketler!$A$5:$A$1504))=0,"",SUMPRODUCT(MAX((Hareketler!$C$5:$C$1504=A54)*Hareketler!$A$5:$A$1504))))</f>
        <v/>
      </c>
      <c r="L54" s="24" t="str">
        <f aca="true">IF(OR(A54="",K54=""),"",TODAY()-K54)</f>
        <v/>
      </c>
      <c r="M54" s="16" t="str">
        <f aca="false">IF(OR(J54="Tükendi",J54="Kritik"),ROW(),"")</f>
        <v/>
      </c>
      <c r="N54" s="16" t="str">
        <f aca="false">IF(A54="","",I54+ROW()/1000000)</f>
        <v/>
      </c>
    </row>
    <row r="55" customFormat="false" ht="15" hidden="false" customHeight="false" outlineLevel="0" collapsed="false">
      <c r="A55" s="14"/>
      <c r="B55" s="13"/>
      <c r="C55" s="31"/>
      <c r="D55" s="15"/>
      <c r="E55" s="15"/>
      <c r="F55" s="24" t="str">
        <f aca="false">IF(A55="","",SUMIFS(Hareketler!$D$5:$D$1504,Hareketler!$C$5:$C$1504,A55,Hareketler!$B$5:$B$1504,"Giriş"))</f>
        <v/>
      </c>
      <c r="G55" s="24" t="str">
        <f aca="false">IF(A55="","",SUMIFS(Hareketler!$D$5:$D$1504,Hareketler!$C$5:$C$1504,A55,Hareketler!$B$5:$B$1504,"Çıkış"))</f>
        <v/>
      </c>
      <c r="H55" s="32" t="str">
        <f aca="false">IF(A55="","",D55+F55-G55)</f>
        <v/>
      </c>
      <c r="I55" s="29" t="str">
        <f aca="false">IF(A55="","",H55*C55)</f>
        <v/>
      </c>
      <c r="J55" s="25" t="str">
        <f aca="false">IF(A55="","",IF(H55&lt;=0,"Tükendi",IF(H55&lt;=E55,"Kritik","Yeterli")))</f>
        <v/>
      </c>
      <c r="K55" s="33" t="str">
        <f aca="false">IF(A55="","",IF(SUMPRODUCT(MAX((Hareketler!$C$5:$C$1504=A55)*Hareketler!$A$5:$A$1504))=0,"",SUMPRODUCT(MAX((Hareketler!$C$5:$C$1504=A55)*Hareketler!$A$5:$A$1504))))</f>
        <v/>
      </c>
      <c r="L55" s="24" t="str">
        <f aca="true">IF(OR(A55="",K55=""),"",TODAY()-K55)</f>
        <v/>
      </c>
      <c r="M55" s="16" t="str">
        <f aca="false">IF(OR(J55="Tükendi",J55="Kritik"),ROW(),"")</f>
        <v/>
      </c>
      <c r="N55" s="16" t="str">
        <f aca="false">IF(A55="","",I55+ROW()/1000000)</f>
        <v/>
      </c>
    </row>
    <row r="56" customFormat="false" ht="15" hidden="false" customHeight="false" outlineLevel="0" collapsed="false">
      <c r="A56" s="14"/>
      <c r="B56" s="13"/>
      <c r="C56" s="31"/>
      <c r="D56" s="15"/>
      <c r="E56" s="15"/>
      <c r="F56" s="24" t="str">
        <f aca="false">IF(A56="","",SUMIFS(Hareketler!$D$5:$D$1504,Hareketler!$C$5:$C$1504,A56,Hareketler!$B$5:$B$1504,"Giriş"))</f>
        <v/>
      </c>
      <c r="G56" s="24" t="str">
        <f aca="false">IF(A56="","",SUMIFS(Hareketler!$D$5:$D$1504,Hareketler!$C$5:$C$1504,A56,Hareketler!$B$5:$B$1504,"Çıkış"))</f>
        <v/>
      </c>
      <c r="H56" s="32" t="str">
        <f aca="false">IF(A56="","",D56+F56-G56)</f>
        <v/>
      </c>
      <c r="I56" s="29" t="str">
        <f aca="false">IF(A56="","",H56*C56)</f>
        <v/>
      </c>
      <c r="J56" s="25" t="str">
        <f aca="false">IF(A56="","",IF(H56&lt;=0,"Tükendi",IF(H56&lt;=E56,"Kritik","Yeterli")))</f>
        <v/>
      </c>
      <c r="K56" s="33" t="str">
        <f aca="false">IF(A56="","",IF(SUMPRODUCT(MAX((Hareketler!$C$5:$C$1504=A56)*Hareketler!$A$5:$A$1504))=0,"",SUMPRODUCT(MAX((Hareketler!$C$5:$C$1504=A56)*Hareketler!$A$5:$A$1504))))</f>
        <v/>
      </c>
      <c r="L56" s="24" t="str">
        <f aca="true">IF(OR(A56="",K56=""),"",TODAY()-K56)</f>
        <v/>
      </c>
      <c r="M56" s="16" t="str">
        <f aca="false">IF(OR(J56="Tükendi",J56="Kritik"),ROW(),"")</f>
        <v/>
      </c>
      <c r="N56" s="16" t="str">
        <f aca="false">IF(A56="","",I56+ROW()/1000000)</f>
        <v/>
      </c>
    </row>
    <row r="57" customFormat="false" ht="15" hidden="false" customHeight="false" outlineLevel="0" collapsed="false">
      <c r="A57" s="14"/>
      <c r="B57" s="13"/>
      <c r="C57" s="31"/>
      <c r="D57" s="15"/>
      <c r="E57" s="15"/>
      <c r="F57" s="24" t="str">
        <f aca="false">IF(A57="","",SUMIFS(Hareketler!$D$5:$D$1504,Hareketler!$C$5:$C$1504,A57,Hareketler!$B$5:$B$1504,"Giriş"))</f>
        <v/>
      </c>
      <c r="G57" s="24" t="str">
        <f aca="false">IF(A57="","",SUMIFS(Hareketler!$D$5:$D$1504,Hareketler!$C$5:$C$1504,A57,Hareketler!$B$5:$B$1504,"Çıkış"))</f>
        <v/>
      </c>
      <c r="H57" s="32" t="str">
        <f aca="false">IF(A57="","",D57+F57-G57)</f>
        <v/>
      </c>
      <c r="I57" s="29" t="str">
        <f aca="false">IF(A57="","",H57*C57)</f>
        <v/>
      </c>
      <c r="J57" s="25" t="str">
        <f aca="false">IF(A57="","",IF(H57&lt;=0,"Tükendi",IF(H57&lt;=E57,"Kritik","Yeterli")))</f>
        <v/>
      </c>
      <c r="K57" s="33" t="str">
        <f aca="false">IF(A57="","",IF(SUMPRODUCT(MAX((Hareketler!$C$5:$C$1504=A57)*Hareketler!$A$5:$A$1504))=0,"",SUMPRODUCT(MAX((Hareketler!$C$5:$C$1504=A57)*Hareketler!$A$5:$A$1504))))</f>
        <v/>
      </c>
      <c r="L57" s="24" t="str">
        <f aca="true">IF(OR(A57="",K57=""),"",TODAY()-K57)</f>
        <v/>
      </c>
      <c r="M57" s="16" t="str">
        <f aca="false">IF(OR(J57="Tükendi",J57="Kritik"),ROW(),"")</f>
        <v/>
      </c>
      <c r="N57" s="16" t="str">
        <f aca="false">IF(A57="","",I57+ROW()/1000000)</f>
        <v/>
      </c>
    </row>
    <row r="58" customFormat="false" ht="15" hidden="false" customHeight="false" outlineLevel="0" collapsed="false">
      <c r="A58" s="14"/>
      <c r="B58" s="13"/>
      <c r="C58" s="31"/>
      <c r="D58" s="15"/>
      <c r="E58" s="15"/>
      <c r="F58" s="24" t="str">
        <f aca="false">IF(A58="","",SUMIFS(Hareketler!$D$5:$D$1504,Hareketler!$C$5:$C$1504,A58,Hareketler!$B$5:$B$1504,"Giriş"))</f>
        <v/>
      </c>
      <c r="G58" s="24" t="str">
        <f aca="false">IF(A58="","",SUMIFS(Hareketler!$D$5:$D$1504,Hareketler!$C$5:$C$1504,A58,Hareketler!$B$5:$B$1504,"Çıkış"))</f>
        <v/>
      </c>
      <c r="H58" s="32" t="str">
        <f aca="false">IF(A58="","",D58+F58-G58)</f>
        <v/>
      </c>
      <c r="I58" s="29" t="str">
        <f aca="false">IF(A58="","",H58*C58)</f>
        <v/>
      </c>
      <c r="J58" s="25" t="str">
        <f aca="false">IF(A58="","",IF(H58&lt;=0,"Tükendi",IF(H58&lt;=E58,"Kritik","Yeterli")))</f>
        <v/>
      </c>
      <c r="K58" s="33" t="str">
        <f aca="false">IF(A58="","",IF(SUMPRODUCT(MAX((Hareketler!$C$5:$C$1504=A58)*Hareketler!$A$5:$A$1504))=0,"",SUMPRODUCT(MAX((Hareketler!$C$5:$C$1504=A58)*Hareketler!$A$5:$A$1504))))</f>
        <v/>
      </c>
      <c r="L58" s="24" t="str">
        <f aca="true">IF(OR(A58="",K58=""),"",TODAY()-K58)</f>
        <v/>
      </c>
      <c r="M58" s="16" t="str">
        <f aca="false">IF(OR(J58="Tükendi",J58="Kritik"),ROW(),"")</f>
        <v/>
      </c>
      <c r="N58" s="16" t="str">
        <f aca="false">IF(A58="","",I58+ROW()/1000000)</f>
        <v/>
      </c>
    </row>
    <row r="59" customFormat="false" ht="15" hidden="false" customHeight="false" outlineLevel="0" collapsed="false">
      <c r="A59" s="14"/>
      <c r="B59" s="13"/>
      <c r="C59" s="31"/>
      <c r="D59" s="15"/>
      <c r="E59" s="15"/>
      <c r="F59" s="24" t="str">
        <f aca="false">IF(A59="","",SUMIFS(Hareketler!$D$5:$D$1504,Hareketler!$C$5:$C$1504,A59,Hareketler!$B$5:$B$1504,"Giriş"))</f>
        <v/>
      </c>
      <c r="G59" s="24" t="str">
        <f aca="false">IF(A59="","",SUMIFS(Hareketler!$D$5:$D$1504,Hareketler!$C$5:$C$1504,A59,Hareketler!$B$5:$B$1504,"Çıkış"))</f>
        <v/>
      </c>
      <c r="H59" s="32" t="str">
        <f aca="false">IF(A59="","",D59+F59-G59)</f>
        <v/>
      </c>
      <c r="I59" s="29" t="str">
        <f aca="false">IF(A59="","",H59*C59)</f>
        <v/>
      </c>
      <c r="J59" s="25" t="str">
        <f aca="false">IF(A59="","",IF(H59&lt;=0,"Tükendi",IF(H59&lt;=E59,"Kritik","Yeterli")))</f>
        <v/>
      </c>
      <c r="K59" s="33" t="str">
        <f aca="false">IF(A59="","",IF(SUMPRODUCT(MAX((Hareketler!$C$5:$C$1504=A59)*Hareketler!$A$5:$A$1504))=0,"",SUMPRODUCT(MAX((Hareketler!$C$5:$C$1504=A59)*Hareketler!$A$5:$A$1504))))</f>
        <v/>
      </c>
      <c r="L59" s="24" t="str">
        <f aca="true">IF(OR(A59="",K59=""),"",TODAY()-K59)</f>
        <v/>
      </c>
      <c r="M59" s="16" t="str">
        <f aca="false">IF(OR(J59="Tükendi",J59="Kritik"),ROW(),"")</f>
        <v/>
      </c>
      <c r="N59" s="16" t="str">
        <f aca="false">IF(A59="","",I59+ROW()/1000000)</f>
        <v/>
      </c>
    </row>
    <row r="60" customFormat="false" ht="15" hidden="false" customHeight="false" outlineLevel="0" collapsed="false">
      <c r="A60" s="14"/>
      <c r="B60" s="13"/>
      <c r="C60" s="31"/>
      <c r="D60" s="15"/>
      <c r="E60" s="15"/>
      <c r="F60" s="24" t="str">
        <f aca="false">IF(A60="","",SUMIFS(Hareketler!$D$5:$D$1504,Hareketler!$C$5:$C$1504,A60,Hareketler!$B$5:$B$1504,"Giriş"))</f>
        <v/>
      </c>
      <c r="G60" s="24" t="str">
        <f aca="false">IF(A60="","",SUMIFS(Hareketler!$D$5:$D$1504,Hareketler!$C$5:$C$1504,A60,Hareketler!$B$5:$B$1504,"Çıkış"))</f>
        <v/>
      </c>
      <c r="H60" s="32" t="str">
        <f aca="false">IF(A60="","",D60+F60-G60)</f>
        <v/>
      </c>
      <c r="I60" s="29" t="str">
        <f aca="false">IF(A60="","",H60*C60)</f>
        <v/>
      </c>
      <c r="J60" s="25" t="str">
        <f aca="false">IF(A60="","",IF(H60&lt;=0,"Tükendi",IF(H60&lt;=E60,"Kritik","Yeterli")))</f>
        <v/>
      </c>
      <c r="K60" s="33" t="str">
        <f aca="false">IF(A60="","",IF(SUMPRODUCT(MAX((Hareketler!$C$5:$C$1504=A60)*Hareketler!$A$5:$A$1504))=0,"",SUMPRODUCT(MAX((Hareketler!$C$5:$C$1504=A60)*Hareketler!$A$5:$A$1504))))</f>
        <v/>
      </c>
      <c r="L60" s="24" t="str">
        <f aca="true">IF(OR(A60="",K60=""),"",TODAY()-K60)</f>
        <v/>
      </c>
      <c r="M60" s="16" t="str">
        <f aca="false">IF(OR(J60="Tükendi",J60="Kritik"),ROW(),"")</f>
        <v/>
      </c>
      <c r="N60" s="16" t="str">
        <f aca="false">IF(A60="","",I60+ROW()/1000000)</f>
        <v/>
      </c>
    </row>
    <row r="61" customFormat="false" ht="15" hidden="false" customHeight="false" outlineLevel="0" collapsed="false">
      <c r="A61" s="14"/>
      <c r="B61" s="13"/>
      <c r="C61" s="31"/>
      <c r="D61" s="15"/>
      <c r="E61" s="15"/>
      <c r="F61" s="24" t="str">
        <f aca="false">IF(A61="","",SUMIFS(Hareketler!$D$5:$D$1504,Hareketler!$C$5:$C$1504,A61,Hareketler!$B$5:$B$1504,"Giriş"))</f>
        <v/>
      </c>
      <c r="G61" s="24" t="str">
        <f aca="false">IF(A61="","",SUMIFS(Hareketler!$D$5:$D$1504,Hareketler!$C$5:$C$1504,A61,Hareketler!$B$5:$B$1504,"Çıkış"))</f>
        <v/>
      </c>
      <c r="H61" s="32" t="str">
        <f aca="false">IF(A61="","",D61+F61-G61)</f>
        <v/>
      </c>
      <c r="I61" s="29" t="str">
        <f aca="false">IF(A61="","",H61*C61)</f>
        <v/>
      </c>
      <c r="J61" s="25" t="str">
        <f aca="false">IF(A61="","",IF(H61&lt;=0,"Tükendi",IF(H61&lt;=E61,"Kritik","Yeterli")))</f>
        <v/>
      </c>
      <c r="K61" s="33" t="str">
        <f aca="false">IF(A61="","",IF(SUMPRODUCT(MAX((Hareketler!$C$5:$C$1504=A61)*Hareketler!$A$5:$A$1504))=0,"",SUMPRODUCT(MAX((Hareketler!$C$5:$C$1504=A61)*Hareketler!$A$5:$A$1504))))</f>
        <v/>
      </c>
      <c r="L61" s="24" t="str">
        <f aca="true">IF(OR(A61="",K61=""),"",TODAY()-K61)</f>
        <v/>
      </c>
      <c r="M61" s="16" t="str">
        <f aca="false">IF(OR(J61="Tükendi",J61="Kritik"),ROW(),"")</f>
        <v/>
      </c>
      <c r="N61" s="16" t="str">
        <f aca="false">IF(A61="","",I61+ROW()/1000000)</f>
        <v/>
      </c>
    </row>
    <row r="62" customFormat="false" ht="15" hidden="false" customHeight="false" outlineLevel="0" collapsed="false">
      <c r="A62" s="14"/>
      <c r="B62" s="13"/>
      <c r="C62" s="31"/>
      <c r="D62" s="15"/>
      <c r="E62" s="15"/>
      <c r="F62" s="24" t="str">
        <f aca="false">IF(A62="","",SUMIFS(Hareketler!$D$5:$D$1504,Hareketler!$C$5:$C$1504,A62,Hareketler!$B$5:$B$1504,"Giriş"))</f>
        <v/>
      </c>
      <c r="G62" s="24" t="str">
        <f aca="false">IF(A62="","",SUMIFS(Hareketler!$D$5:$D$1504,Hareketler!$C$5:$C$1504,A62,Hareketler!$B$5:$B$1504,"Çıkış"))</f>
        <v/>
      </c>
      <c r="H62" s="32" t="str">
        <f aca="false">IF(A62="","",D62+F62-G62)</f>
        <v/>
      </c>
      <c r="I62" s="29" t="str">
        <f aca="false">IF(A62="","",H62*C62)</f>
        <v/>
      </c>
      <c r="J62" s="25" t="str">
        <f aca="false">IF(A62="","",IF(H62&lt;=0,"Tükendi",IF(H62&lt;=E62,"Kritik","Yeterli")))</f>
        <v/>
      </c>
      <c r="K62" s="33" t="str">
        <f aca="false">IF(A62="","",IF(SUMPRODUCT(MAX((Hareketler!$C$5:$C$1504=A62)*Hareketler!$A$5:$A$1504))=0,"",SUMPRODUCT(MAX((Hareketler!$C$5:$C$1504=A62)*Hareketler!$A$5:$A$1504))))</f>
        <v/>
      </c>
      <c r="L62" s="24" t="str">
        <f aca="true">IF(OR(A62="",K62=""),"",TODAY()-K62)</f>
        <v/>
      </c>
      <c r="M62" s="16" t="str">
        <f aca="false">IF(OR(J62="Tükendi",J62="Kritik"),ROW(),"")</f>
        <v/>
      </c>
      <c r="N62" s="16" t="str">
        <f aca="false">IF(A62="","",I62+ROW()/1000000)</f>
        <v/>
      </c>
    </row>
    <row r="63" customFormat="false" ht="15" hidden="false" customHeight="false" outlineLevel="0" collapsed="false">
      <c r="A63" s="14"/>
      <c r="B63" s="13"/>
      <c r="C63" s="31"/>
      <c r="D63" s="15"/>
      <c r="E63" s="15"/>
      <c r="F63" s="24" t="str">
        <f aca="false">IF(A63="","",SUMIFS(Hareketler!$D$5:$D$1504,Hareketler!$C$5:$C$1504,A63,Hareketler!$B$5:$B$1504,"Giriş"))</f>
        <v/>
      </c>
      <c r="G63" s="24" t="str">
        <f aca="false">IF(A63="","",SUMIFS(Hareketler!$D$5:$D$1504,Hareketler!$C$5:$C$1504,A63,Hareketler!$B$5:$B$1504,"Çıkış"))</f>
        <v/>
      </c>
      <c r="H63" s="32" t="str">
        <f aca="false">IF(A63="","",D63+F63-G63)</f>
        <v/>
      </c>
      <c r="I63" s="29" t="str">
        <f aca="false">IF(A63="","",H63*C63)</f>
        <v/>
      </c>
      <c r="J63" s="25" t="str">
        <f aca="false">IF(A63="","",IF(H63&lt;=0,"Tükendi",IF(H63&lt;=E63,"Kritik","Yeterli")))</f>
        <v/>
      </c>
      <c r="K63" s="33" t="str">
        <f aca="false">IF(A63="","",IF(SUMPRODUCT(MAX((Hareketler!$C$5:$C$1504=A63)*Hareketler!$A$5:$A$1504))=0,"",SUMPRODUCT(MAX((Hareketler!$C$5:$C$1504=A63)*Hareketler!$A$5:$A$1504))))</f>
        <v/>
      </c>
      <c r="L63" s="24" t="str">
        <f aca="true">IF(OR(A63="",K63=""),"",TODAY()-K63)</f>
        <v/>
      </c>
      <c r="M63" s="16" t="str">
        <f aca="false">IF(OR(J63="Tükendi",J63="Kritik"),ROW(),"")</f>
        <v/>
      </c>
      <c r="N63" s="16" t="str">
        <f aca="false">IF(A63="","",I63+ROW()/1000000)</f>
        <v/>
      </c>
    </row>
    <row r="64" customFormat="false" ht="15" hidden="false" customHeight="false" outlineLevel="0" collapsed="false">
      <c r="A64" s="14"/>
      <c r="B64" s="13"/>
      <c r="C64" s="31"/>
      <c r="D64" s="15"/>
      <c r="E64" s="15"/>
      <c r="F64" s="24" t="str">
        <f aca="false">IF(A64="","",SUMIFS(Hareketler!$D$5:$D$1504,Hareketler!$C$5:$C$1504,A64,Hareketler!$B$5:$B$1504,"Giriş"))</f>
        <v/>
      </c>
      <c r="G64" s="24" t="str">
        <f aca="false">IF(A64="","",SUMIFS(Hareketler!$D$5:$D$1504,Hareketler!$C$5:$C$1504,A64,Hareketler!$B$5:$B$1504,"Çıkış"))</f>
        <v/>
      </c>
      <c r="H64" s="32" t="str">
        <f aca="false">IF(A64="","",D64+F64-G64)</f>
        <v/>
      </c>
      <c r="I64" s="29" t="str">
        <f aca="false">IF(A64="","",H64*C64)</f>
        <v/>
      </c>
      <c r="J64" s="25" t="str">
        <f aca="false">IF(A64="","",IF(H64&lt;=0,"Tükendi",IF(H64&lt;=E64,"Kritik","Yeterli")))</f>
        <v/>
      </c>
      <c r="K64" s="33" t="str">
        <f aca="false">IF(A64="","",IF(SUMPRODUCT(MAX((Hareketler!$C$5:$C$1504=A64)*Hareketler!$A$5:$A$1504))=0,"",SUMPRODUCT(MAX((Hareketler!$C$5:$C$1504=A64)*Hareketler!$A$5:$A$1504))))</f>
        <v/>
      </c>
      <c r="L64" s="24" t="str">
        <f aca="true">IF(OR(A64="",K64=""),"",TODAY()-K64)</f>
        <v/>
      </c>
      <c r="M64" s="16" t="str">
        <f aca="false">IF(OR(J64="Tükendi",J64="Kritik"),ROW(),"")</f>
        <v/>
      </c>
      <c r="N64" s="16" t="str">
        <f aca="false">IF(A64="","",I64+ROW()/1000000)</f>
        <v/>
      </c>
    </row>
    <row r="65" customFormat="false" ht="15" hidden="false" customHeight="false" outlineLevel="0" collapsed="false">
      <c r="A65" s="14"/>
      <c r="B65" s="13"/>
      <c r="C65" s="31"/>
      <c r="D65" s="15"/>
      <c r="E65" s="15"/>
      <c r="F65" s="24" t="str">
        <f aca="false">IF(A65="","",SUMIFS(Hareketler!$D$5:$D$1504,Hareketler!$C$5:$C$1504,A65,Hareketler!$B$5:$B$1504,"Giriş"))</f>
        <v/>
      </c>
      <c r="G65" s="24" t="str">
        <f aca="false">IF(A65="","",SUMIFS(Hareketler!$D$5:$D$1504,Hareketler!$C$5:$C$1504,A65,Hareketler!$B$5:$B$1504,"Çıkış"))</f>
        <v/>
      </c>
      <c r="H65" s="32" t="str">
        <f aca="false">IF(A65="","",D65+F65-G65)</f>
        <v/>
      </c>
      <c r="I65" s="29" t="str">
        <f aca="false">IF(A65="","",H65*C65)</f>
        <v/>
      </c>
      <c r="J65" s="25" t="str">
        <f aca="false">IF(A65="","",IF(H65&lt;=0,"Tükendi",IF(H65&lt;=E65,"Kritik","Yeterli")))</f>
        <v/>
      </c>
      <c r="K65" s="33" t="str">
        <f aca="false">IF(A65="","",IF(SUMPRODUCT(MAX((Hareketler!$C$5:$C$1504=A65)*Hareketler!$A$5:$A$1504))=0,"",SUMPRODUCT(MAX((Hareketler!$C$5:$C$1504=A65)*Hareketler!$A$5:$A$1504))))</f>
        <v/>
      </c>
      <c r="L65" s="24" t="str">
        <f aca="true">IF(OR(A65="",K65=""),"",TODAY()-K65)</f>
        <v/>
      </c>
      <c r="M65" s="16" t="str">
        <f aca="false">IF(OR(J65="Tükendi",J65="Kritik"),ROW(),"")</f>
        <v/>
      </c>
      <c r="N65" s="16" t="str">
        <f aca="false">IF(A65="","",I65+ROW()/1000000)</f>
        <v/>
      </c>
    </row>
    <row r="66" customFormat="false" ht="15" hidden="false" customHeight="false" outlineLevel="0" collapsed="false">
      <c r="A66" s="14"/>
      <c r="B66" s="13"/>
      <c r="C66" s="31"/>
      <c r="D66" s="15"/>
      <c r="E66" s="15"/>
      <c r="F66" s="24" t="str">
        <f aca="false">IF(A66="","",SUMIFS(Hareketler!$D$5:$D$1504,Hareketler!$C$5:$C$1504,A66,Hareketler!$B$5:$B$1504,"Giriş"))</f>
        <v/>
      </c>
      <c r="G66" s="24" t="str">
        <f aca="false">IF(A66="","",SUMIFS(Hareketler!$D$5:$D$1504,Hareketler!$C$5:$C$1504,A66,Hareketler!$B$5:$B$1504,"Çıkış"))</f>
        <v/>
      </c>
      <c r="H66" s="32" t="str">
        <f aca="false">IF(A66="","",D66+F66-G66)</f>
        <v/>
      </c>
      <c r="I66" s="29" t="str">
        <f aca="false">IF(A66="","",H66*C66)</f>
        <v/>
      </c>
      <c r="J66" s="25" t="str">
        <f aca="false">IF(A66="","",IF(H66&lt;=0,"Tükendi",IF(H66&lt;=E66,"Kritik","Yeterli")))</f>
        <v/>
      </c>
      <c r="K66" s="33" t="str">
        <f aca="false">IF(A66="","",IF(SUMPRODUCT(MAX((Hareketler!$C$5:$C$1504=A66)*Hareketler!$A$5:$A$1504))=0,"",SUMPRODUCT(MAX((Hareketler!$C$5:$C$1504=A66)*Hareketler!$A$5:$A$1504))))</f>
        <v/>
      </c>
      <c r="L66" s="24" t="str">
        <f aca="true">IF(OR(A66="",K66=""),"",TODAY()-K66)</f>
        <v/>
      </c>
      <c r="M66" s="16" t="str">
        <f aca="false">IF(OR(J66="Tükendi",J66="Kritik"),ROW(),"")</f>
        <v/>
      </c>
      <c r="N66" s="16" t="str">
        <f aca="false">IF(A66="","",I66+ROW()/1000000)</f>
        <v/>
      </c>
    </row>
    <row r="67" customFormat="false" ht="15" hidden="false" customHeight="false" outlineLevel="0" collapsed="false">
      <c r="A67" s="14"/>
      <c r="B67" s="13"/>
      <c r="C67" s="31"/>
      <c r="D67" s="15"/>
      <c r="E67" s="15"/>
      <c r="F67" s="24" t="str">
        <f aca="false">IF(A67="","",SUMIFS(Hareketler!$D$5:$D$1504,Hareketler!$C$5:$C$1504,A67,Hareketler!$B$5:$B$1504,"Giriş"))</f>
        <v/>
      </c>
      <c r="G67" s="24" t="str">
        <f aca="false">IF(A67="","",SUMIFS(Hareketler!$D$5:$D$1504,Hareketler!$C$5:$C$1504,A67,Hareketler!$B$5:$B$1504,"Çıkış"))</f>
        <v/>
      </c>
      <c r="H67" s="32" t="str">
        <f aca="false">IF(A67="","",D67+F67-G67)</f>
        <v/>
      </c>
      <c r="I67" s="29" t="str">
        <f aca="false">IF(A67="","",H67*C67)</f>
        <v/>
      </c>
      <c r="J67" s="25" t="str">
        <f aca="false">IF(A67="","",IF(H67&lt;=0,"Tükendi",IF(H67&lt;=E67,"Kritik","Yeterli")))</f>
        <v/>
      </c>
      <c r="K67" s="33" t="str">
        <f aca="false">IF(A67="","",IF(SUMPRODUCT(MAX((Hareketler!$C$5:$C$1504=A67)*Hareketler!$A$5:$A$1504))=0,"",SUMPRODUCT(MAX((Hareketler!$C$5:$C$1504=A67)*Hareketler!$A$5:$A$1504))))</f>
        <v/>
      </c>
      <c r="L67" s="24" t="str">
        <f aca="true">IF(OR(A67="",K67=""),"",TODAY()-K67)</f>
        <v/>
      </c>
      <c r="M67" s="16" t="str">
        <f aca="false">IF(OR(J67="Tükendi",J67="Kritik"),ROW(),"")</f>
        <v/>
      </c>
      <c r="N67" s="16" t="str">
        <f aca="false">IF(A67="","",I67+ROW()/1000000)</f>
        <v/>
      </c>
    </row>
    <row r="68" customFormat="false" ht="15" hidden="false" customHeight="false" outlineLevel="0" collapsed="false">
      <c r="A68" s="14"/>
      <c r="B68" s="13"/>
      <c r="C68" s="31"/>
      <c r="D68" s="15"/>
      <c r="E68" s="15"/>
      <c r="F68" s="24" t="str">
        <f aca="false">IF(A68="","",SUMIFS(Hareketler!$D$5:$D$1504,Hareketler!$C$5:$C$1504,A68,Hareketler!$B$5:$B$1504,"Giriş"))</f>
        <v/>
      </c>
      <c r="G68" s="24" t="str">
        <f aca="false">IF(A68="","",SUMIFS(Hareketler!$D$5:$D$1504,Hareketler!$C$5:$C$1504,A68,Hareketler!$B$5:$B$1504,"Çıkış"))</f>
        <v/>
      </c>
      <c r="H68" s="32" t="str">
        <f aca="false">IF(A68="","",D68+F68-G68)</f>
        <v/>
      </c>
      <c r="I68" s="29" t="str">
        <f aca="false">IF(A68="","",H68*C68)</f>
        <v/>
      </c>
      <c r="J68" s="25" t="str">
        <f aca="false">IF(A68="","",IF(H68&lt;=0,"Tükendi",IF(H68&lt;=E68,"Kritik","Yeterli")))</f>
        <v/>
      </c>
      <c r="K68" s="33" t="str">
        <f aca="false">IF(A68="","",IF(SUMPRODUCT(MAX((Hareketler!$C$5:$C$1504=A68)*Hareketler!$A$5:$A$1504))=0,"",SUMPRODUCT(MAX((Hareketler!$C$5:$C$1504=A68)*Hareketler!$A$5:$A$1504))))</f>
        <v/>
      </c>
      <c r="L68" s="24" t="str">
        <f aca="true">IF(OR(A68="",K68=""),"",TODAY()-K68)</f>
        <v/>
      </c>
      <c r="M68" s="16" t="str">
        <f aca="false">IF(OR(J68="Tükendi",J68="Kritik"),ROW(),"")</f>
        <v/>
      </c>
      <c r="N68" s="16" t="str">
        <f aca="false">IF(A68="","",I68+ROW()/1000000)</f>
        <v/>
      </c>
    </row>
    <row r="69" customFormat="false" ht="15" hidden="false" customHeight="false" outlineLevel="0" collapsed="false">
      <c r="A69" s="14"/>
      <c r="B69" s="13"/>
      <c r="C69" s="31"/>
      <c r="D69" s="15"/>
      <c r="E69" s="15"/>
      <c r="F69" s="24" t="str">
        <f aca="false">IF(A69="","",SUMIFS(Hareketler!$D$5:$D$1504,Hareketler!$C$5:$C$1504,A69,Hareketler!$B$5:$B$1504,"Giriş"))</f>
        <v/>
      </c>
      <c r="G69" s="24" t="str">
        <f aca="false">IF(A69="","",SUMIFS(Hareketler!$D$5:$D$1504,Hareketler!$C$5:$C$1504,A69,Hareketler!$B$5:$B$1504,"Çıkış"))</f>
        <v/>
      </c>
      <c r="H69" s="32" t="str">
        <f aca="false">IF(A69="","",D69+F69-G69)</f>
        <v/>
      </c>
      <c r="I69" s="29" t="str">
        <f aca="false">IF(A69="","",H69*C69)</f>
        <v/>
      </c>
      <c r="J69" s="25" t="str">
        <f aca="false">IF(A69="","",IF(H69&lt;=0,"Tükendi",IF(H69&lt;=E69,"Kritik","Yeterli")))</f>
        <v/>
      </c>
      <c r="K69" s="33" t="str">
        <f aca="false">IF(A69="","",IF(SUMPRODUCT(MAX((Hareketler!$C$5:$C$1504=A69)*Hareketler!$A$5:$A$1504))=0,"",SUMPRODUCT(MAX((Hareketler!$C$5:$C$1504=A69)*Hareketler!$A$5:$A$1504))))</f>
        <v/>
      </c>
      <c r="L69" s="24" t="str">
        <f aca="true">IF(OR(A69="",K69=""),"",TODAY()-K69)</f>
        <v/>
      </c>
      <c r="M69" s="16" t="str">
        <f aca="false">IF(OR(J69="Tükendi",J69="Kritik"),ROW(),"")</f>
        <v/>
      </c>
      <c r="N69" s="16" t="str">
        <f aca="false">IF(A69="","",I69+ROW()/1000000)</f>
        <v/>
      </c>
    </row>
    <row r="70" customFormat="false" ht="15" hidden="false" customHeight="false" outlineLevel="0" collapsed="false">
      <c r="A70" s="14"/>
      <c r="B70" s="13"/>
      <c r="C70" s="31"/>
      <c r="D70" s="15"/>
      <c r="E70" s="15"/>
      <c r="F70" s="24" t="str">
        <f aca="false">IF(A70="","",SUMIFS(Hareketler!$D$5:$D$1504,Hareketler!$C$5:$C$1504,A70,Hareketler!$B$5:$B$1504,"Giriş"))</f>
        <v/>
      </c>
      <c r="G70" s="24" t="str">
        <f aca="false">IF(A70="","",SUMIFS(Hareketler!$D$5:$D$1504,Hareketler!$C$5:$C$1504,A70,Hareketler!$B$5:$B$1504,"Çıkış"))</f>
        <v/>
      </c>
      <c r="H70" s="32" t="str">
        <f aca="false">IF(A70="","",D70+F70-G70)</f>
        <v/>
      </c>
      <c r="I70" s="29" t="str">
        <f aca="false">IF(A70="","",H70*C70)</f>
        <v/>
      </c>
      <c r="J70" s="25" t="str">
        <f aca="false">IF(A70="","",IF(H70&lt;=0,"Tükendi",IF(H70&lt;=E70,"Kritik","Yeterli")))</f>
        <v/>
      </c>
      <c r="K70" s="33" t="str">
        <f aca="false">IF(A70="","",IF(SUMPRODUCT(MAX((Hareketler!$C$5:$C$1504=A70)*Hareketler!$A$5:$A$1504))=0,"",SUMPRODUCT(MAX((Hareketler!$C$5:$C$1504=A70)*Hareketler!$A$5:$A$1504))))</f>
        <v/>
      </c>
      <c r="L70" s="24" t="str">
        <f aca="true">IF(OR(A70="",K70=""),"",TODAY()-K70)</f>
        <v/>
      </c>
      <c r="M70" s="16" t="str">
        <f aca="false">IF(OR(J70="Tükendi",J70="Kritik"),ROW(),"")</f>
        <v/>
      </c>
      <c r="N70" s="16" t="str">
        <f aca="false">IF(A70="","",I70+ROW()/1000000)</f>
        <v/>
      </c>
    </row>
    <row r="71" customFormat="false" ht="15" hidden="false" customHeight="false" outlineLevel="0" collapsed="false">
      <c r="A71" s="14"/>
      <c r="B71" s="13"/>
      <c r="C71" s="31"/>
      <c r="D71" s="15"/>
      <c r="E71" s="15"/>
      <c r="F71" s="24" t="str">
        <f aca="false">IF(A71="","",SUMIFS(Hareketler!$D$5:$D$1504,Hareketler!$C$5:$C$1504,A71,Hareketler!$B$5:$B$1504,"Giriş"))</f>
        <v/>
      </c>
      <c r="G71" s="24" t="str">
        <f aca="false">IF(A71="","",SUMIFS(Hareketler!$D$5:$D$1504,Hareketler!$C$5:$C$1504,A71,Hareketler!$B$5:$B$1504,"Çıkış"))</f>
        <v/>
      </c>
      <c r="H71" s="32" t="str">
        <f aca="false">IF(A71="","",D71+F71-G71)</f>
        <v/>
      </c>
      <c r="I71" s="29" t="str">
        <f aca="false">IF(A71="","",H71*C71)</f>
        <v/>
      </c>
      <c r="J71" s="25" t="str">
        <f aca="false">IF(A71="","",IF(H71&lt;=0,"Tükendi",IF(H71&lt;=E71,"Kritik","Yeterli")))</f>
        <v/>
      </c>
      <c r="K71" s="33" t="str">
        <f aca="false">IF(A71="","",IF(SUMPRODUCT(MAX((Hareketler!$C$5:$C$1504=A71)*Hareketler!$A$5:$A$1504))=0,"",SUMPRODUCT(MAX((Hareketler!$C$5:$C$1504=A71)*Hareketler!$A$5:$A$1504))))</f>
        <v/>
      </c>
      <c r="L71" s="24" t="str">
        <f aca="true">IF(OR(A71="",K71=""),"",TODAY()-K71)</f>
        <v/>
      </c>
      <c r="M71" s="16" t="str">
        <f aca="false">IF(OR(J71="Tükendi",J71="Kritik"),ROW(),"")</f>
        <v/>
      </c>
      <c r="N71" s="16" t="str">
        <f aca="false">IF(A71="","",I71+ROW()/1000000)</f>
        <v/>
      </c>
    </row>
    <row r="72" customFormat="false" ht="15" hidden="false" customHeight="false" outlineLevel="0" collapsed="false">
      <c r="A72" s="14"/>
      <c r="B72" s="13"/>
      <c r="C72" s="31"/>
      <c r="D72" s="15"/>
      <c r="E72" s="15"/>
      <c r="F72" s="24" t="str">
        <f aca="false">IF(A72="","",SUMIFS(Hareketler!$D$5:$D$1504,Hareketler!$C$5:$C$1504,A72,Hareketler!$B$5:$B$1504,"Giriş"))</f>
        <v/>
      </c>
      <c r="G72" s="24" t="str">
        <f aca="false">IF(A72="","",SUMIFS(Hareketler!$D$5:$D$1504,Hareketler!$C$5:$C$1504,A72,Hareketler!$B$5:$B$1504,"Çıkış"))</f>
        <v/>
      </c>
      <c r="H72" s="32" t="str">
        <f aca="false">IF(A72="","",D72+F72-G72)</f>
        <v/>
      </c>
      <c r="I72" s="29" t="str">
        <f aca="false">IF(A72="","",H72*C72)</f>
        <v/>
      </c>
      <c r="J72" s="25" t="str">
        <f aca="false">IF(A72="","",IF(H72&lt;=0,"Tükendi",IF(H72&lt;=E72,"Kritik","Yeterli")))</f>
        <v/>
      </c>
      <c r="K72" s="33" t="str">
        <f aca="false">IF(A72="","",IF(SUMPRODUCT(MAX((Hareketler!$C$5:$C$1504=A72)*Hareketler!$A$5:$A$1504))=0,"",SUMPRODUCT(MAX((Hareketler!$C$5:$C$1504=A72)*Hareketler!$A$5:$A$1504))))</f>
        <v/>
      </c>
      <c r="L72" s="24" t="str">
        <f aca="true">IF(OR(A72="",K72=""),"",TODAY()-K72)</f>
        <v/>
      </c>
      <c r="M72" s="16" t="str">
        <f aca="false">IF(OR(J72="Tükendi",J72="Kritik"),ROW(),"")</f>
        <v/>
      </c>
      <c r="N72" s="16" t="str">
        <f aca="false">IF(A72="","",I72+ROW()/1000000)</f>
        <v/>
      </c>
    </row>
    <row r="73" customFormat="false" ht="15" hidden="false" customHeight="false" outlineLevel="0" collapsed="false">
      <c r="A73" s="14"/>
      <c r="B73" s="13"/>
      <c r="C73" s="31"/>
      <c r="D73" s="15"/>
      <c r="E73" s="15"/>
      <c r="F73" s="24" t="str">
        <f aca="false">IF(A73="","",SUMIFS(Hareketler!$D$5:$D$1504,Hareketler!$C$5:$C$1504,A73,Hareketler!$B$5:$B$1504,"Giriş"))</f>
        <v/>
      </c>
      <c r="G73" s="24" t="str">
        <f aca="false">IF(A73="","",SUMIFS(Hareketler!$D$5:$D$1504,Hareketler!$C$5:$C$1504,A73,Hareketler!$B$5:$B$1504,"Çıkış"))</f>
        <v/>
      </c>
      <c r="H73" s="32" t="str">
        <f aca="false">IF(A73="","",D73+F73-G73)</f>
        <v/>
      </c>
      <c r="I73" s="29" t="str">
        <f aca="false">IF(A73="","",H73*C73)</f>
        <v/>
      </c>
      <c r="J73" s="25" t="str">
        <f aca="false">IF(A73="","",IF(H73&lt;=0,"Tükendi",IF(H73&lt;=E73,"Kritik","Yeterli")))</f>
        <v/>
      </c>
      <c r="K73" s="33" t="str">
        <f aca="false">IF(A73="","",IF(SUMPRODUCT(MAX((Hareketler!$C$5:$C$1504=A73)*Hareketler!$A$5:$A$1504))=0,"",SUMPRODUCT(MAX((Hareketler!$C$5:$C$1504=A73)*Hareketler!$A$5:$A$1504))))</f>
        <v/>
      </c>
      <c r="L73" s="24" t="str">
        <f aca="true">IF(OR(A73="",K73=""),"",TODAY()-K73)</f>
        <v/>
      </c>
      <c r="M73" s="16" t="str">
        <f aca="false">IF(OR(J73="Tükendi",J73="Kritik"),ROW(),"")</f>
        <v/>
      </c>
      <c r="N73" s="16" t="str">
        <f aca="false">IF(A73="","",I73+ROW()/1000000)</f>
        <v/>
      </c>
    </row>
    <row r="74" customFormat="false" ht="15" hidden="false" customHeight="false" outlineLevel="0" collapsed="false">
      <c r="A74" s="14"/>
      <c r="B74" s="13"/>
      <c r="C74" s="31"/>
      <c r="D74" s="15"/>
      <c r="E74" s="15"/>
      <c r="F74" s="24" t="str">
        <f aca="false">IF(A74="","",SUMIFS(Hareketler!$D$5:$D$1504,Hareketler!$C$5:$C$1504,A74,Hareketler!$B$5:$B$1504,"Giriş"))</f>
        <v/>
      </c>
      <c r="G74" s="24" t="str">
        <f aca="false">IF(A74="","",SUMIFS(Hareketler!$D$5:$D$1504,Hareketler!$C$5:$C$1504,A74,Hareketler!$B$5:$B$1504,"Çıkış"))</f>
        <v/>
      </c>
      <c r="H74" s="32" t="str">
        <f aca="false">IF(A74="","",D74+F74-G74)</f>
        <v/>
      </c>
      <c r="I74" s="29" t="str">
        <f aca="false">IF(A74="","",H74*C74)</f>
        <v/>
      </c>
      <c r="J74" s="25" t="str">
        <f aca="false">IF(A74="","",IF(H74&lt;=0,"Tükendi",IF(H74&lt;=E74,"Kritik","Yeterli")))</f>
        <v/>
      </c>
      <c r="K74" s="33" t="str">
        <f aca="false">IF(A74="","",IF(SUMPRODUCT(MAX((Hareketler!$C$5:$C$1504=A74)*Hareketler!$A$5:$A$1504))=0,"",SUMPRODUCT(MAX((Hareketler!$C$5:$C$1504=A74)*Hareketler!$A$5:$A$1504))))</f>
        <v/>
      </c>
      <c r="L74" s="24" t="str">
        <f aca="true">IF(OR(A74="",K74=""),"",TODAY()-K74)</f>
        <v/>
      </c>
      <c r="M74" s="16" t="str">
        <f aca="false">IF(OR(J74="Tükendi",J74="Kritik"),ROW(),"")</f>
        <v/>
      </c>
      <c r="N74" s="16" t="str">
        <f aca="false">IF(A74="","",I74+ROW()/1000000)</f>
        <v/>
      </c>
    </row>
    <row r="75" customFormat="false" ht="15" hidden="false" customHeight="false" outlineLevel="0" collapsed="false">
      <c r="A75" s="14"/>
      <c r="B75" s="13"/>
      <c r="C75" s="31"/>
      <c r="D75" s="15"/>
      <c r="E75" s="15"/>
      <c r="F75" s="24" t="str">
        <f aca="false">IF(A75="","",SUMIFS(Hareketler!$D$5:$D$1504,Hareketler!$C$5:$C$1504,A75,Hareketler!$B$5:$B$1504,"Giriş"))</f>
        <v/>
      </c>
      <c r="G75" s="24" t="str">
        <f aca="false">IF(A75="","",SUMIFS(Hareketler!$D$5:$D$1504,Hareketler!$C$5:$C$1504,A75,Hareketler!$B$5:$B$1504,"Çıkış"))</f>
        <v/>
      </c>
      <c r="H75" s="32" t="str">
        <f aca="false">IF(A75="","",D75+F75-G75)</f>
        <v/>
      </c>
      <c r="I75" s="29" t="str">
        <f aca="false">IF(A75="","",H75*C75)</f>
        <v/>
      </c>
      <c r="J75" s="25" t="str">
        <f aca="false">IF(A75="","",IF(H75&lt;=0,"Tükendi",IF(H75&lt;=E75,"Kritik","Yeterli")))</f>
        <v/>
      </c>
      <c r="K75" s="33" t="str">
        <f aca="false">IF(A75="","",IF(SUMPRODUCT(MAX((Hareketler!$C$5:$C$1504=A75)*Hareketler!$A$5:$A$1504))=0,"",SUMPRODUCT(MAX((Hareketler!$C$5:$C$1504=A75)*Hareketler!$A$5:$A$1504))))</f>
        <v/>
      </c>
      <c r="L75" s="24" t="str">
        <f aca="true">IF(OR(A75="",K75=""),"",TODAY()-K75)</f>
        <v/>
      </c>
      <c r="M75" s="16" t="str">
        <f aca="false">IF(OR(J75="Tükendi",J75="Kritik"),ROW(),"")</f>
        <v/>
      </c>
      <c r="N75" s="16" t="str">
        <f aca="false">IF(A75="","",I75+ROW()/1000000)</f>
        <v/>
      </c>
    </row>
    <row r="76" customFormat="false" ht="15" hidden="false" customHeight="false" outlineLevel="0" collapsed="false">
      <c r="A76" s="14"/>
      <c r="B76" s="13"/>
      <c r="C76" s="31"/>
      <c r="D76" s="15"/>
      <c r="E76" s="15"/>
      <c r="F76" s="24" t="str">
        <f aca="false">IF(A76="","",SUMIFS(Hareketler!$D$5:$D$1504,Hareketler!$C$5:$C$1504,A76,Hareketler!$B$5:$B$1504,"Giriş"))</f>
        <v/>
      </c>
      <c r="G76" s="24" t="str">
        <f aca="false">IF(A76="","",SUMIFS(Hareketler!$D$5:$D$1504,Hareketler!$C$5:$C$1504,A76,Hareketler!$B$5:$B$1504,"Çıkış"))</f>
        <v/>
      </c>
      <c r="H76" s="32" t="str">
        <f aca="false">IF(A76="","",D76+F76-G76)</f>
        <v/>
      </c>
      <c r="I76" s="29" t="str">
        <f aca="false">IF(A76="","",H76*C76)</f>
        <v/>
      </c>
      <c r="J76" s="25" t="str">
        <f aca="false">IF(A76="","",IF(H76&lt;=0,"Tükendi",IF(H76&lt;=E76,"Kritik","Yeterli")))</f>
        <v/>
      </c>
      <c r="K76" s="33" t="str">
        <f aca="false">IF(A76="","",IF(SUMPRODUCT(MAX((Hareketler!$C$5:$C$1504=A76)*Hareketler!$A$5:$A$1504))=0,"",SUMPRODUCT(MAX((Hareketler!$C$5:$C$1504=A76)*Hareketler!$A$5:$A$1504))))</f>
        <v/>
      </c>
      <c r="L76" s="24" t="str">
        <f aca="true">IF(OR(A76="",K76=""),"",TODAY()-K76)</f>
        <v/>
      </c>
      <c r="M76" s="16" t="str">
        <f aca="false">IF(OR(J76="Tükendi",J76="Kritik"),ROW(),"")</f>
        <v/>
      </c>
      <c r="N76" s="16" t="str">
        <f aca="false">IF(A76="","",I76+ROW()/1000000)</f>
        <v/>
      </c>
    </row>
    <row r="77" customFormat="false" ht="15" hidden="false" customHeight="false" outlineLevel="0" collapsed="false">
      <c r="A77" s="14"/>
      <c r="B77" s="13"/>
      <c r="C77" s="31"/>
      <c r="D77" s="15"/>
      <c r="E77" s="15"/>
      <c r="F77" s="24" t="str">
        <f aca="false">IF(A77="","",SUMIFS(Hareketler!$D$5:$D$1504,Hareketler!$C$5:$C$1504,A77,Hareketler!$B$5:$B$1504,"Giriş"))</f>
        <v/>
      </c>
      <c r="G77" s="24" t="str">
        <f aca="false">IF(A77="","",SUMIFS(Hareketler!$D$5:$D$1504,Hareketler!$C$5:$C$1504,A77,Hareketler!$B$5:$B$1504,"Çıkış"))</f>
        <v/>
      </c>
      <c r="H77" s="32" t="str">
        <f aca="false">IF(A77="","",D77+F77-G77)</f>
        <v/>
      </c>
      <c r="I77" s="29" t="str">
        <f aca="false">IF(A77="","",H77*C77)</f>
        <v/>
      </c>
      <c r="J77" s="25" t="str">
        <f aca="false">IF(A77="","",IF(H77&lt;=0,"Tükendi",IF(H77&lt;=E77,"Kritik","Yeterli")))</f>
        <v/>
      </c>
      <c r="K77" s="33" t="str">
        <f aca="false">IF(A77="","",IF(SUMPRODUCT(MAX((Hareketler!$C$5:$C$1504=A77)*Hareketler!$A$5:$A$1504))=0,"",SUMPRODUCT(MAX((Hareketler!$C$5:$C$1504=A77)*Hareketler!$A$5:$A$1504))))</f>
        <v/>
      </c>
      <c r="L77" s="24" t="str">
        <f aca="true">IF(OR(A77="",K77=""),"",TODAY()-K77)</f>
        <v/>
      </c>
      <c r="M77" s="16" t="str">
        <f aca="false">IF(OR(J77="Tükendi",J77="Kritik"),ROW(),"")</f>
        <v/>
      </c>
      <c r="N77" s="16" t="str">
        <f aca="false">IF(A77="","",I77+ROW()/1000000)</f>
        <v/>
      </c>
    </row>
    <row r="78" customFormat="false" ht="15" hidden="false" customHeight="false" outlineLevel="0" collapsed="false">
      <c r="A78" s="14"/>
      <c r="B78" s="13"/>
      <c r="C78" s="31"/>
      <c r="D78" s="15"/>
      <c r="E78" s="15"/>
      <c r="F78" s="24" t="str">
        <f aca="false">IF(A78="","",SUMIFS(Hareketler!$D$5:$D$1504,Hareketler!$C$5:$C$1504,A78,Hareketler!$B$5:$B$1504,"Giriş"))</f>
        <v/>
      </c>
      <c r="G78" s="24" t="str">
        <f aca="false">IF(A78="","",SUMIFS(Hareketler!$D$5:$D$1504,Hareketler!$C$5:$C$1504,A78,Hareketler!$B$5:$B$1504,"Çıkış"))</f>
        <v/>
      </c>
      <c r="H78" s="32" t="str">
        <f aca="false">IF(A78="","",D78+F78-G78)</f>
        <v/>
      </c>
      <c r="I78" s="29" t="str">
        <f aca="false">IF(A78="","",H78*C78)</f>
        <v/>
      </c>
      <c r="J78" s="25" t="str">
        <f aca="false">IF(A78="","",IF(H78&lt;=0,"Tükendi",IF(H78&lt;=E78,"Kritik","Yeterli")))</f>
        <v/>
      </c>
      <c r="K78" s="33" t="str">
        <f aca="false">IF(A78="","",IF(SUMPRODUCT(MAX((Hareketler!$C$5:$C$1504=A78)*Hareketler!$A$5:$A$1504))=0,"",SUMPRODUCT(MAX((Hareketler!$C$5:$C$1504=A78)*Hareketler!$A$5:$A$1504))))</f>
        <v/>
      </c>
      <c r="L78" s="24" t="str">
        <f aca="true">IF(OR(A78="",K78=""),"",TODAY()-K78)</f>
        <v/>
      </c>
      <c r="M78" s="16" t="str">
        <f aca="false">IF(OR(J78="Tükendi",J78="Kritik"),ROW(),"")</f>
        <v/>
      </c>
      <c r="N78" s="16" t="str">
        <f aca="false">IF(A78="","",I78+ROW()/1000000)</f>
        <v/>
      </c>
    </row>
    <row r="79" customFormat="false" ht="15" hidden="false" customHeight="false" outlineLevel="0" collapsed="false">
      <c r="A79" s="14"/>
      <c r="B79" s="13"/>
      <c r="C79" s="31"/>
      <c r="D79" s="15"/>
      <c r="E79" s="15"/>
      <c r="F79" s="24" t="str">
        <f aca="false">IF(A79="","",SUMIFS(Hareketler!$D$5:$D$1504,Hareketler!$C$5:$C$1504,A79,Hareketler!$B$5:$B$1504,"Giriş"))</f>
        <v/>
      </c>
      <c r="G79" s="24" t="str">
        <f aca="false">IF(A79="","",SUMIFS(Hareketler!$D$5:$D$1504,Hareketler!$C$5:$C$1504,A79,Hareketler!$B$5:$B$1504,"Çıkış"))</f>
        <v/>
      </c>
      <c r="H79" s="32" t="str">
        <f aca="false">IF(A79="","",D79+F79-G79)</f>
        <v/>
      </c>
      <c r="I79" s="29" t="str">
        <f aca="false">IF(A79="","",H79*C79)</f>
        <v/>
      </c>
      <c r="J79" s="25" t="str">
        <f aca="false">IF(A79="","",IF(H79&lt;=0,"Tükendi",IF(H79&lt;=E79,"Kritik","Yeterli")))</f>
        <v/>
      </c>
      <c r="K79" s="33" t="str">
        <f aca="false">IF(A79="","",IF(SUMPRODUCT(MAX((Hareketler!$C$5:$C$1504=A79)*Hareketler!$A$5:$A$1504))=0,"",SUMPRODUCT(MAX((Hareketler!$C$5:$C$1504=A79)*Hareketler!$A$5:$A$1504))))</f>
        <v/>
      </c>
      <c r="L79" s="24" t="str">
        <f aca="true">IF(OR(A79="",K79=""),"",TODAY()-K79)</f>
        <v/>
      </c>
      <c r="M79" s="16" t="str">
        <f aca="false">IF(OR(J79="Tükendi",J79="Kritik"),ROW(),"")</f>
        <v/>
      </c>
      <c r="N79" s="16" t="str">
        <f aca="false">IF(A79="","",I79+ROW()/1000000)</f>
        <v/>
      </c>
    </row>
    <row r="80" customFormat="false" ht="15" hidden="false" customHeight="false" outlineLevel="0" collapsed="false">
      <c r="A80" s="14"/>
      <c r="B80" s="13"/>
      <c r="C80" s="31"/>
      <c r="D80" s="15"/>
      <c r="E80" s="15"/>
      <c r="F80" s="24" t="str">
        <f aca="false">IF(A80="","",SUMIFS(Hareketler!$D$5:$D$1504,Hareketler!$C$5:$C$1504,A80,Hareketler!$B$5:$B$1504,"Giriş"))</f>
        <v/>
      </c>
      <c r="G80" s="24" t="str">
        <f aca="false">IF(A80="","",SUMIFS(Hareketler!$D$5:$D$1504,Hareketler!$C$5:$C$1504,A80,Hareketler!$B$5:$B$1504,"Çıkış"))</f>
        <v/>
      </c>
      <c r="H80" s="32" t="str">
        <f aca="false">IF(A80="","",D80+F80-G80)</f>
        <v/>
      </c>
      <c r="I80" s="29" t="str">
        <f aca="false">IF(A80="","",H80*C80)</f>
        <v/>
      </c>
      <c r="J80" s="25" t="str">
        <f aca="false">IF(A80="","",IF(H80&lt;=0,"Tükendi",IF(H80&lt;=E80,"Kritik","Yeterli")))</f>
        <v/>
      </c>
      <c r="K80" s="33" t="str">
        <f aca="false">IF(A80="","",IF(SUMPRODUCT(MAX((Hareketler!$C$5:$C$1504=A80)*Hareketler!$A$5:$A$1504))=0,"",SUMPRODUCT(MAX((Hareketler!$C$5:$C$1504=A80)*Hareketler!$A$5:$A$1504))))</f>
        <v/>
      </c>
      <c r="L80" s="24" t="str">
        <f aca="true">IF(OR(A80="",K80=""),"",TODAY()-K80)</f>
        <v/>
      </c>
      <c r="M80" s="16" t="str">
        <f aca="false">IF(OR(J80="Tükendi",J80="Kritik"),ROW(),"")</f>
        <v/>
      </c>
      <c r="N80" s="16" t="str">
        <f aca="false">IF(A80="","",I80+ROW()/1000000)</f>
        <v/>
      </c>
    </row>
    <row r="81" customFormat="false" ht="15" hidden="false" customHeight="false" outlineLevel="0" collapsed="false">
      <c r="A81" s="14"/>
      <c r="B81" s="13"/>
      <c r="C81" s="31"/>
      <c r="D81" s="15"/>
      <c r="E81" s="15"/>
      <c r="F81" s="24" t="str">
        <f aca="false">IF(A81="","",SUMIFS(Hareketler!$D$5:$D$1504,Hareketler!$C$5:$C$1504,A81,Hareketler!$B$5:$B$1504,"Giriş"))</f>
        <v/>
      </c>
      <c r="G81" s="24" t="str">
        <f aca="false">IF(A81="","",SUMIFS(Hareketler!$D$5:$D$1504,Hareketler!$C$5:$C$1504,A81,Hareketler!$B$5:$B$1504,"Çıkış"))</f>
        <v/>
      </c>
      <c r="H81" s="32" t="str">
        <f aca="false">IF(A81="","",D81+F81-G81)</f>
        <v/>
      </c>
      <c r="I81" s="29" t="str">
        <f aca="false">IF(A81="","",H81*C81)</f>
        <v/>
      </c>
      <c r="J81" s="25" t="str">
        <f aca="false">IF(A81="","",IF(H81&lt;=0,"Tükendi",IF(H81&lt;=E81,"Kritik","Yeterli")))</f>
        <v/>
      </c>
      <c r="K81" s="33" t="str">
        <f aca="false">IF(A81="","",IF(SUMPRODUCT(MAX((Hareketler!$C$5:$C$1504=A81)*Hareketler!$A$5:$A$1504))=0,"",SUMPRODUCT(MAX((Hareketler!$C$5:$C$1504=A81)*Hareketler!$A$5:$A$1504))))</f>
        <v/>
      </c>
      <c r="L81" s="24" t="str">
        <f aca="true">IF(OR(A81="",K81=""),"",TODAY()-K81)</f>
        <v/>
      </c>
      <c r="M81" s="16" t="str">
        <f aca="false">IF(OR(J81="Tükendi",J81="Kritik"),ROW(),"")</f>
        <v/>
      </c>
      <c r="N81" s="16" t="str">
        <f aca="false">IF(A81="","",I81+ROW()/1000000)</f>
        <v/>
      </c>
    </row>
    <row r="82" customFormat="false" ht="15" hidden="false" customHeight="false" outlineLevel="0" collapsed="false">
      <c r="A82" s="14"/>
      <c r="B82" s="13"/>
      <c r="C82" s="31"/>
      <c r="D82" s="15"/>
      <c r="E82" s="15"/>
      <c r="F82" s="24" t="str">
        <f aca="false">IF(A82="","",SUMIFS(Hareketler!$D$5:$D$1504,Hareketler!$C$5:$C$1504,A82,Hareketler!$B$5:$B$1504,"Giriş"))</f>
        <v/>
      </c>
      <c r="G82" s="24" t="str">
        <f aca="false">IF(A82="","",SUMIFS(Hareketler!$D$5:$D$1504,Hareketler!$C$5:$C$1504,A82,Hareketler!$B$5:$B$1504,"Çıkış"))</f>
        <v/>
      </c>
      <c r="H82" s="32" t="str">
        <f aca="false">IF(A82="","",D82+F82-G82)</f>
        <v/>
      </c>
      <c r="I82" s="29" t="str">
        <f aca="false">IF(A82="","",H82*C82)</f>
        <v/>
      </c>
      <c r="J82" s="25" t="str">
        <f aca="false">IF(A82="","",IF(H82&lt;=0,"Tükendi",IF(H82&lt;=E82,"Kritik","Yeterli")))</f>
        <v/>
      </c>
      <c r="K82" s="33" t="str">
        <f aca="false">IF(A82="","",IF(SUMPRODUCT(MAX((Hareketler!$C$5:$C$1504=A82)*Hareketler!$A$5:$A$1504))=0,"",SUMPRODUCT(MAX((Hareketler!$C$5:$C$1504=A82)*Hareketler!$A$5:$A$1504))))</f>
        <v/>
      </c>
      <c r="L82" s="24" t="str">
        <f aca="true">IF(OR(A82="",K82=""),"",TODAY()-K82)</f>
        <v/>
      </c>
      <c r="M82" s="16" t="str">
        <f aca="false">IF(OR(J82="Tükendi",J82="Kritik"),ROW(),"")</f>
        <v/>
      </c>
      <c r="N82" s="16" t="str">
        <f aca="false">IF(A82="","",I82+ROW()/1000000)</f>
        <v/>
      </c>
    </row>
    <row r="83" customFormat="false" ht="15" hidden="false" customHeight="false" outlineLevel="0" collapsed="false">
      <c r="A83" s="14"/>
      <c r="B83" s="13"/>
      <c r="C83" s="31"/>
      <c r="D83" s="15"/>
      <c r="E83" s="15"/>
      <c r="F83" s="24" t="str">
        <f aca="false">IF(A83="","",SUMIFS(Hareketler!$D$5:$D$1504,Hareketler!$C$5:$C$1504,A83,Hareketler!$B$5:$B$1504,"Giriş"))</f>
        <v/>
      </c>
      <c r="G83" s="24" t="str">
        <f aca="false">IF(A83="","",SUMIFS(Hareketler!$D$5:$D$1504,Hareketler!$C$5:$C$1504,A83,Hareketler!$B$5:$B$1504,"Çıkış"))</f>
        <v/>
      </c>
      <c r="H83" s="32" t="str">
        <f aca="false">IF(A83="","",D83+F83-G83)</f>
        <v/>
      </c>
      <c r="I83" s="29" t="str">
        <f aca="false">IF(A83="","",H83*C83)</f>
        <v/>
      </c>
      <c r="J83" s="25" t="str">
        <f aca="false">IF(A83="","",IF(H83&lt;=0,"Tükendi",IF(H83&lt;=E83,"Kritik","Yeterli")))</f>
        <v/>
      </c>
      <c r="K83" s="33" t="str">
        <f aca="false">IF(A83="","",IF(SUMPRODUCT(MAX((Hareketler!$C$5:$C$1504=A83)*Hareketler!$A$5:$A$1504))=0,"",SUMPRODUCT(MAX((Hareketler!$C$5:$C$1504=A83)*Hareketler!$A$5:$A$1504))))</f>
        <v/>
      </c>
      <c r="L83" s="24" t="str">
        <f aca="true">IF(OR(A83="",K83=""),"",TODAY()-K83)</f>
        <v/>
      </c>
      <c r="M83" s="16" t="str">
        <f aca="false">IF(OR(J83="Tükendi",J83="Kritik"),ROW(),"")</f>
        <v/>
      </c>
      <c r="N83" s="16" t="str">
        <f aca="false">IF(A83="","",I83+ROW()/1000000)</f>
        <v/>
      </c>
    </row>
    <row r="84" customFormat="false" ht="15" hidden="false" customHeight="false" outlineLevel="0" collapsed="false">
      <c r="A84" s="14"/>
      <c r="B84" s="13"/>
      <c r="C84" s="31"/>
      <c r="D84" s="15"/>
      <c r="E84" s="15"/>
      <c r="F84" s="24" t="str">
        <f aca="false">IF(A84="","",SUMIFS(Hareketler!$D$5:$D$1504,Hareketler!$C$5:$C$1504,A84,Hareketler!$B$5:$B$1504,"Giriş"))</f>
        <v/>
      </c>
      <c r="G84" s="24" t="str">
        <f aca="false">IF(A84="","",SUMIFS(Hareketler!$D$5:$D$1504,Hareketler!$C$5:$C$1504,A84,Hareketler!$B$5:$B$1504,"Çıkış"))</f>
        <v/>
      </c>
      <c r="H84" s="32" t="str">
        <f aca="false">IF(A84="","",D84+F84-G84)</f>
        <v/>
      </c>
      <c r="I84" s="29" t="str">
        <f aca="false">IF(A84="","",H84*C84)</f>
        <v/>
      </c>
      <c r="J84" s="25" t="str">
        <f aca="false">IF(A84="","",IF(H84&lt;=0,"Tükendi",IF(H84&lt;=E84,"Kritik","Yeterli")))</f>
        <v/>
      </c>
      <c r="K84" s="33" t="str">
        <f aca="false">IF(A84="","",IF(SUMPRODUCT(MAX((Hareketler!$C$5:$C$1504=A84)*Hareketler!$A$5:$A$1504))=0,"",SUMPRODUCT(MAX((Hareketler!$C$5:$C$1504=A84)*Hareketler!$A$5:$A$1504))))</f>
        <v/>
      </c>
      <c r="L84" s="24" t="str">
        <f aca="true">IF(OR(A84="",K84=""),"",TODAY()-K84)</f>
        <v/>
      </c>
      <c r="M84" s="16" t="str">
        <f aca="false">IF(OR(J84="Tükendi",J84="Kritik"),ROW(),"")</f>
        <v/>
      </c>
      <c r="N84" s="16" t="str">
        <f aca="false">IF(A84="","",I84+ROW()/1000000)</f>
        <v/>
      </c>
    </row>
    <row r="85" customFormat="false" ht="15" hidden="false" customHeight="false" outlineLevel="0" collapsed="false">
      <c r="A85" s="14"/>
      <c r="B85" s="13"/>
      <c r="C85" s="31"/>
      <c r="D85" s="15"/>
      <c r="E85" s="15"/>
      <c r="F85" s="24" t="str">
        <f aca="false">IF(A85="","",SUMIFS(Hareketler!$D$5:$D$1504,Hareketler!$C$5:$C$1504,A85,Hareketler!$B$5:$B$1504,"Giriş"))</f>
        <v/>
      </c>
      <c r="G85" s="24" t="str">
        <f aca="false">IF(A85="","",SUMIFS(Hareketler!$D$5:$D$1504,Hareketler!$C$5:$C$1504,A85,Hareketler!$B$5:$B$1504,"Çıkış"))</f>
        <v/>
      </c>
      <c r="H85" s="32" t="str">
        <f aca="false">IF(A85="","",D85+F85-G85)</f>
        <v/>
      </c>
      <c r="I85" s="29" t="str">
        <f aca="false">IF(A85="","",H85*C85)</f>
        <v/>
      </c>
      <c r="J85" s="25" t="str">
        <f aca="false">IF(A85="","",IF(H85&lt;=0,"Tükendi",IF(H85&lt;=E85,"Kritik","Yeterli")))</f>
        <v/>
      </c>
      <c r="K85" s="33" t="str">
        <f aca="false">IF(A85="","",IF(SUMPRODUCT(MAX((Hareketler!$C$5:$C$1504=A85)*Hareketler!$A$5:$A$1504))=0,"",SUMPRODUCT(MAX((Hareketler!$C$5:$C$1504=A85)*Hareketler!$A$5:$A$1504))))</f>
        <v/>
      </c>
      <c r="L85" s="24" t="str">
        <f aca="true">IF(OR(A85="",K85=""),"",TODAY()-K85)</f>
        <v/>
      </c>
      <c r="M85" s="16" t="str">
        <f aca="false">IF(OR(J85="Tükendi",J85="Kritik"),ROW(),"")</f>
        <v/>
      </c>
      <c r="N85" s="16" t="str">
        <f aca="false">IF(A85="","",I85+ROW()/1000000)</f>
        <v/>
      </c>
    </row>
    <row r="86" customFormat="false" ht="15" hidden="false" customHeight="false" outlineLevel="0" collapsed="false">
      <c r="A86" s="14"/>
      <c r="B86" s="13"/>
      <c r="C86" s="31"/>
      <c r="D86" s="15"/>
      <c r="E86" s="15"/>
      <c r="F86" s="24" t="str">
        <f aca="false">IF(A86="","",SUMIFS(Hareketler!$D$5:$D$1504,Hareketler!$C$5:$C$1504,A86,Hareketler!$B$5:$B$1504,"Giriş"))</f>
        <v/>
      </c>
      <c r="G86" s="24" t="str">
        <f aca="false">IF(A86="","",SUMIFS(Hareketler!$D$5:$D$1504,Hareketler!$C$5:$C$1504,A86,Hareketler!$B$5:$B$1504,"Çıkış"))</f>
        <v/>
      </c>
      <c r="H86" s="32" t="str">
        <f aca="false">IF(A86="","",D86+F86-G86)</f>
        <v/>
      </c>
      <c r="I86" s="29" t="str">
        <f aca="false">IF(A86="","",H86*C86)</f>
        <v/>
      </c>
      <c r="J86" s="25" t="str">
        <f aca="false">IF(A86="","",IF(H86&lt;=0,"Tükendi",IF(H86&lt;=E86,"Kritik","Yeterli")))</f>
        <v/>
      </c>
      <c r="K86" s="33" t="str">
        <f aca="false">IF(A86="","",IF(SUMPRODUCT(MAX((Hareketler!$C$5:$C$1504=A86)*Hareketler!$A$5:$A$1504))=0,"",SUMPRODUCT(MAX((Hareketler!$C$5:$C$1504=A86)*Hareketler!$A$5:$A$1504))))</f>
        <v/>
      </c>
      <c r="L86" s="24" t="str">
        <f aca="true">IF(OR(A86="",K86=""),"",TODAY()-K86)</f>
        <v/>
      </c>
      <c r="M86" s="16" t="str">
        <f aca="false">IF(OR(J86="Tükendi",J86="Kritik"),ROW(),"")</f>
        <v/>
      </c>
      <c r="N86" s="16" t="str">
        <f aca="false">IF(A86="","",I86+ROW()/1000000)</f>
        <v/>
      </c>
    </row>
    <row r="87" customFormat="false" ht="15" hidden="false" customHeight="false" outlineLevel="0" collapsed="false">
      <c r="A87" s="14"/>
      <c r="B87" s="13"/>
      <c r="C87" s="31"/>
      <c r="D87" s="15"/>
      <c r="E87" s="15"/>
      <c r="F87" s="24" t="str">
        <f aca="false">IF(A87="","",SUMIFS(Hareketler!$D$5:$D$1504,Hareketler!$C$5:$C$1504,A87,Hareketler!$B$5:$B$1504,"Giriş"))</f>
        <v/>
      </c>
      <c r="G87" s="24" t="str">
        <f aca="false">IF(A87="","",SUMIFS(Hareketler!$D$5:$D$1504,Hareketler!$C$5:$C$1504,A87,Hareketler!$B$5:$B$1504,"Çıkış"))</f>
        <v/>
      </c>
      <c r="H87" s="32" t="str">
        <f aca="false">IF(A87="","",D87+F87-G87)</f>
        <v/>
      </c>
      <c r="I87" s="29" t="str">
        <f aca="false">IF(A87="","",H87*C87)</f>
        <v/>
      </c>
      <c r="J87" s="25" t="str">
        <f aca="false">IF(A87="","",IF(H87&lt;=0,"Tükendi",IF(H87&lt;=E87,"Kritik","Yeterli")))</f>
        <v/>
      </c>
      <c r="K87" s="33" t="str">
        <f aca="false">IF(A87="","",IF(SUMPRODUCT(MAX((Hareketler!$C$5:$C$1504=A87)*Hareketler!$A$5:$A$1504))=0,"",SUMPRODUCT(MAX((Hareketler!$C$5:$C$1504=A87)*Hareketler!$A$5:$A$1504))))</f>
        <v/>
      </c>
      <c r="L87" s="24" t="str">
        <f aca="true">IF(OR(A87="",K87=""),"",TODAY()-K87)</f>
        <v/>
      </c>
      <c r="M87" s="16" t="str">
        <f aca="false">IF(OR(J87="Tükendi",J87="Kritik"),ROW(),"")</f>
        <v/>
      </c>
      <c r="N87" s="16" t="str">
        <f aca="false">IF(A87="","",I87+ROW()/1000000)</f>
        <v/>
      </c>
    </row>
    <row r="88" customFormat="false" ht="15" hidden="false" customHeight="false" outlineLevel="0" collapsed="false">
      <c r="A88" s="14"/>
      <c r="B88" s="13"/>
      <c r="C88" s="31"/>
      <c r="D88" s="15"/>
      <c r="E88" s="15"/>
      <c r="F88" s="24" t="str">
        <f aca="false">IF(A88="","",SUMIFS(Hareketler!$D$5:$D$1504,Hareketler!$C$5:$C$1504,A88,Hareketler!$B$5:$B$1504,"Giriş"))</f>
        <v/>
      </c>
      <c r="G88" s="24" t="str">
        <f aca="false">IF(A88="","",SUMIFS(Hareketler!$D$5:$D$1504,Hareketler!$C$5:$C$1504,A88,Hareketler!$B$5:$B$1504,"Çıkış"))</f>
        <v/>
      </c>
      <c r="H88" s="32" t="str">
        <f aca="false">IF(A88="","",D88+F88-G88)</f>
        <v/>
      </c>
      <c r="I88" s="29" t="str">
        <f aca="false">IF(A88="","",H88*C88)</f>
        <v/>
      </c>
      <c r="J88" s="25" t="str">
        <f aca="false">IF(A88="","",IF(H88&lt;=0,"Tükendi",IF(H88&lt;=E88,"Kritik","Yeterli")))</f>
        <v/>
      </c>
      <c r="K88" s="33" t="str">
        <f aca="false">IF(A88="","",IF(SUMPRODUCT(MAX((Hareketler!$C$5:$C$1504=A88)*Hareketler!$A$5:$A$1504))=0,"",SUMPRODUCT(MAX((Hareketler!$C$5:$C$1504=A88)*Hareketler!$A$5:$A$1504))))</f>
        <v/>
      </c>
      <c r="L88" s="24" t="str">
        <f aca="true">IF(OR(A88="",K88=""),"",TODAY()-K88)</f>
        <v/>
      </c>
      <c r="M88" s="16" t="str">
        <f aca="false">IF(OR(J88="Tükendi",J88="Kritik"),ROW(),"")</f>
        <v/>
      </c>
      <c r="N88" s="16" t="str">
        <f aca="false">IF(A88="","",I88+ROW()/1000000)</f>
        <v/>
      </c>
    </row>
    <row r="89" customFormat="false" ht="15" hidden="false" customHeight="false" outlineLevel="0" collapsed="false">
      <c r="A89" s="14"/>
      <c r="B89" s="13"/>
      <c r="C89" s="31"/>
      <c r="D89" s="15"/>
      <c r="E89" s="15"/>
      <c r="F89" s="24" t="str">
        <f aca="false">IF(A89="","",SUMIFS(Hareketler!$D$5:$D$1504,Hareketler!$C$5:$C$1504,A89,Hareketler!$B$5:$B$1504,"Giriş"))</f>
        <v/>
      </c>
      <c r="G89" s="24" t="str">
        <f aca="false">IF(A89="","",SUMIFS(Hareketler!$D$5:$D$1504,Hareketler!$C$5:$C$1504,A89,Hareketler!$B$5:$B$1504,"Çıkış"))</f>
        <v/>
      </c>
      <c r="H89" s="32" t="str">
        <f aca="false">IF(A89="","",D89+F89-G89)</f>
        <v/>
      </c>
      <c r="I89" s="29" t="str">
        <f aca="false">IF(A89="","",H89*C89)</f>
        <v/>
      </c>
      <c r="J89" s="25" t="str">
        <f aca="false">IF(A89="","",IF(H89&lt;=0,"Tükendi",IF(H89&lt;=E89,"Kritik","Yeterli")))</f>
        <v/>
      </c>
      <c r="K89" s="33" t="str">
        <f aca="false">IF(A89="","",IF(SUMPRODUCT(MAX((Hareketler!$C$5:$C$1504=A89)*Hareketler!$A$5:$A$1504))=0,"",SUMPRODUCT(MAX((Hareketler!$C$5:$C$1504=A89)*Hareketler!$A$5:$A$1504))))</f>
        <v/>
      </c>
      <c r="L89" s="24" t="str">
        <f aca="true">IF(OR(A89="",K89=""),"",TODAY()-K89)</f>
        <v/>
      </c>
      <c r="M89" s="16" t="str">
        <f aca="false">IF(OR(J89="Tükendi",J89="Kritik"),ROW(),"")</f>
        <v/>
      </c>
      <c r="N89" s="16" t="str">
        <f aca="false">IF(A89="","",I89+ROW()/1000000)</f>
        <v/>
      </c>
    </row>
    <row r="90" customFormat="false" ht="15" hidden="false" customHeight="false" outlineLevel="0" collapsed="false">
      <c r="A90" s="14"/>
      <c r="B90" s="13"/>
      <c r="C90" s="31"/>
      <c r="D90" s="15"/>
      <c r="E90" s="15"/>
      <c r="F90" s="24" t="str">
        <f aca="false">IF(A90="","",SUMIFS(Hareketler!$D$5:$D$1504,Hareketler!$C$5:$C$1504,A90,Hareketler!$B$5:$B$1504,"Giriş"))</f>
        <v/>
      </c>
      <c r="G90" s="24" t="str">
        <f aca="false">IF(A90="","",SUMIFS(Hareketler!$D$5:$D$1504,Hareketler!$C$5:$C$1504,A90,Hareketler!$B$5:$B$1504,"Çıkış"))</f>
        <v/>
      </c>
      <c r="H90" s="32" t="str">
        <f aca="false">IF(A90="","",D90+F90-G90)</f>
        <v/>
      </c>
      <c r="I90" s="29" t="str">
        <f aca="false">IF(A90="","",H90*C90)</f>
        <v/>
      </c>
      <c r="J90" s="25" t="str">
        <f aca="false">IF(A90="","",IF(H90&lt;=0,"Tükendi",IF(H90&lt;=E90,"Kritik","Yeterli")))</f>
        <v/>
      </c>
      <c r="K90" s="33" t="str">
        <f aca="false">IF(A90="","",IF(SUMPRODUCT(MAX((Hareketler!$C$5:$C$1504=A90)*Hareketler!$A$5:$A$1504))=0,"",SUMPRODUCT(MAX((Hareketler!$C$5:$C$1504=A90)*Hareketler!$A$5:$A$1504))))</f>
        <v/>
      </c>
      <c r="L90" s="24" t="str">
        <f aca="true">IF(OR(A90="",K90=""),"",TODAY()-K90)</f>
        <v/>
      </c>
      <c r="M90" s="16" t="str">
        <f aca="false">IF(OR(J90="Tükendi",J90="Kritik"),ROW(),"")</f>
        <v/>
      </c>
      <c r="N90" s="16" t="str">
        <f aca="false">IF(A90="","",I90+ROW()/1000000)</f>
        <v/>
      </c>
    </row>
    <row r="91" customFormat="false" ht="15" hidden="false" customHeight="false" outlineLevel="0" collapsed="false">
      <c r="A91" s="14"/>
      <c r="B91" s="13"/>
      <c r="C91" s="31"/>
      <c r="D91" s="15"/>
      <c r="E91" s="15"/>
      <c r="F91" s="24" t="str">
        <f aca="false">IF(A91="","",SUMIFS(Hareketler!$D$5:$D$1504,Hareketler!$C$5:$C$1504,A91,Hareketler!$B$5:$B$1504,"Giriş"))</f>
        <v/>
      </c>
      <c r="G91" s="24" t="str">
        <f aca="false">IF(A91="","",SUMIFS(Hareketler!$D$5:$D$1504,Hareketler!$C$5:$C$1504,A91,Hareketler!$B$5:$B$1504,"Çıkış"))</f>
        <v/>
      </c>
      <c r="H91" s="32" t="str">
        <f aca="false">IF(A91="","",D91+F91-G91)</f>
        <v/>
      </c>
      <c r="I91" s="29" t="str">
        <f aca="false">IF(A91="","",H91*C91)</f>
        <v/>
      </c>
      <c r="J91" s="25" t="str">
        <f aca="false">IF(A91="","",IF(H91&lt;=0,"Tükendi",IF(H91&lt;=E91,"Kritik","Yeterli")))</f>
        <v/>
      </c>
      <c r="K91" s="33" t="str">
        <f aca="false">IF(A91="","",IF(SUMPRODUCT(MAX((Hareketler!$C$5:$C$1504=A91)*Hareketler!$A$5:$A$1504))=0,"",SUMPRODUCT(MAX((Hareketler!$C$5:$C$1504=A91)*Hareketler!$A$5:$A$1504))))</f>
        <v/>
      </c>
      <c r="L91" s="24" t="str">
        <f aca="true">IF(OR(A91="",K91=""),"",TODAY()-K91)</f>
        <v/>
      </c>
      <c r="M91" s="16" t="str">
        <f aca="false">IF(OR(J91="Tükendi",J91="Kritik"),ROW(),"")</f>
        <v/>
      </c>
      <c r="N91" s="16" t="str">
        <f aca="false">IF(A91="","",I91+ROW()/1000000)</f>
        <v/>
      </c>
    </row>
    <row r="92" customFormat="false" ht="15" hidden="false" customHeight="false" outlineLevel="0" collapsed="false">
      <c r="A92" s="14"/>
      <c r="B92" s="13"/>
      <c r="C92" s="31"/>
      <c r="D92" s="15"/>
      <c r="E92" s="15"/>
      <c r="F92" s="24" t="str">
        <f aca="false">IF(A92="","",SUMIFS(Hareketler!$D$5:$D$1504,Hareketler!$C$5:$C$1504,A92,Hareketler!$B$5:$B$1504,"Giriş"))</f>
        <v/>
      </c>
      <c r="G92" s="24" t="str">
        <f aca="false">IF(A92="","",SUMIFS(Hareketler!$D$5:$D$1504,Hareketler!$C$5:$C$1504,A92,Hareketler!$B$5:$B$1504,"Çıkış"))</f>
        <v/>
      </c>
      <c r="H92" s="32" t="str">
        <f aca="false">IF(A92="","",D92+F92-G92)</f>
        <v/>
      </c>
      <c r="I92" s="29" t="str">
        <f aca="false">IF(A92="","",H92*C92)</f>
        <v/>
      </c>
      <c r="J92" s="25" t="str">
        <f aca="false">IF(A92="","",IF(H92&lt;=0,"Tükendi",IF(H92&lt;=E92,"Kritik","Yeterli")))</f>
        <v/>
      </c>
      <c r="K92" s="33" t="str">
        <f aca="false">IF(A92="","",IF(SUMPRODUCT(MAX((Hareketler!$C$5:$C$1504=A92)*Hareketler!$A$5:$A$1504))=0,"",SUMPRODUCT(MAX((Hareketler!$C$5:$C$1504=A92)*Hareketler!$A$5:$A$1504))))</f>
        <v/>
      </c>
      <c r="L92" s="24" t="str">
        <f aca="true">IF(OR(A92="",K92=""),"",TODAY()-K92)</f>
        <v/>
      </c>
      <c r="M92" s="16" t="str">
        <f aca="false">IF(OR(J92="Tükendi",J92="Kritik"),ROW(),"")</f>
        <v/>
      </c>
      <c r="N92" s="16" t="str">
        <f aca="false">IF(A92="","",I92+ROW()/1000000)</f>
        <v/>
      </c>
    </row>
    <row r="93" customFormat="false" ht="15" hidden="false" customHeight="false" outlineLevel="0" collapsed="false">
      <c r="A93" s="14"/>
      <c r="B93" s="13"/>
      <c r="C93" s="31"/>
      <c r="D93" s="15"/>
      <c r="E93" s="15"/>
      <c r="F93" s="24" t="str">
        <f aca="false">IF(A93="","",SUMIFS(Hareketler!$D$5:$D$1504,Hareketler!$C$5:$C$1504,A93,Hareketler!$B$5:$B$1504,"Giriş"))</f>
        <v/>
      </c>
      <c r="G93" s="24" t="str">
        <f aca="false">IF(A93="","",SUMIFS(Hareketler!$D$5:$D$1504,Hareketler!$C$5:$C$1504,A93,Hareketler!$B$5:$B$1504,"Çıkış"))</f>
        <v/>
      </c>
      <c r="H93" s="32" t="str">
        <f aca="false">IF(A93="","",D93+F93-G93)</f>
        <v/>
      </c>
      <c r="I93" s="29" t="str">
        <f aca="false">IF(A93="","",H93*C93)</f>
        <v/>
      </c>
      <c r="J93" s="25" t="str">
        <f aca="false">IF(A93="","",IF(H93&lt;=0,"Tükendi",IF(H93&lt;=E93,"Kritik","Yeterli")))</f>
        <v/>
      </c>
      <c r="K93" s="33" t="str">
        <f aca="false">IF(A93="","",IF(SUMPRODUCT(MAX((Hareketler!$C$5:$C$1504=A93)*Hareketler!$A$5:$A$1504))=0,"",SUMPRODUCT(MAX((Hareketler!$C$5:$C$1504=A93)*Hareketler!$A$5:$A$1504))))</f>
        <v/>
      </c>
      <c r="L93" s="24" t="str">
        <f aca="true">IF(OR(A93="",K93=""),"",TODAY()-K93)</f>
        <v/>
      </c>
      <c r="M93" s="16" t="str">
        <f aca="false">IF(OR(J93="Tükendi",J93="Kritik"),ROW(),"")</f>
        <v/>
      </c>
      <c r="N93" s="16" t="str">
        <f aca="false">IF(A93="","",I93+ROW()/1000000)</f>
        <v/>
      </c>
    </row>
    <row r="94" customFormat="false" ht="15" hidden="false" customHeight="false" outlineLevel="0" collapsed="false">
      <c r="A94" s="14"/>
      <c r="B94" s="13"/>
      <c r="C94" s="31"/>
      <c r="D94" s="15"/>
      <c r="E94" s="15"/>
      <c r="F94" s="24" t="str">
        <f aca="false">IF(A94="","",SUMIFS(Hareketler!$D$5:$D$1504,Hareketler!$C$5:$C$1504,A94,Hareketler!$B$5:$B$1504,"Giriş"))</f>
        <v/>
      </c>
      <c r="G94" s="24" t="str">
        <f aca="false">IF(A94="","",SUMIFS(Hareketler!$D$5:$D$1504,Hareketler!$C$5:$C$1504,A94,Hareketler!$B$5:$B$1504,"Çıkış"))</f>
        <v/>
      </c>
      <c r="H94" s="32" t="str">
        <f aca="false">IF(A94="","",D94+F94-G94)</f>
        <v/>
      </c>
      <c r="I94" s="29" t="str">
        <f aca="false">IF(A94="","",H94*C94)</f>
        <v/>
      </c>
      <c r="J94" s="25" t="str">
        <f aca="false">IF(A94="","",IF(H94&lt;=0,"Tükendi",IF(H94&lt;=E94,"Kritik","Yeterli")))</f>
        <v/>
      </c>
      <c r="K94" s="33" t="str">
        <f aca="false">IF(A94="","",IF(SUMPRODUCT(MAX((Hareketler!$C$5:$C$1504=A94)*Hareketler!$A$5:$A$1504))=0,"",SUMPRODUCT(MAX((Hareketler!$C$5:$C$1504=A94)*Hareketler!$A$5:$A$1504))))</f>
        <v/>
      </c>
      <c r="L94" s="24" t="str">
        <f aca="true">IF(OR(A94="",K94=""),"",TODAY()-K94)</f>
        <v/>
      </c>
      <c r="M94" s="16" t="str">
        <f aca="false">IF(OR(J94="Tükendi",J94="Kritik"),ROW(),"")</f>
        <v/>
      </c>
      <c r="N94" s="16" t="str">
        <f aca="false">IF(A94="","",I94+ROW()/1000000)</f>
        <v/>
      </c>
    </row>
    <row r="95" customFormat="false" ht="15" hidden="false" customHeight="false" outlineLevel="0" collapsed="false">
      <c r="A95" s="14"/>
      <c r="B95" s="13"/>
      <c r="C95" s="31"/>
      <c r="D95" s="15"/>
      <c r="E95" s="15"/>
      <c r="F95" s="24" t="str">
        <f aca="false">IF(A95="","",SUMIFS(Hareketler!$D$5:$D$1504,Hareketler!$C$5:$C$1504,A95,Hareketler!$B$5:$B$1504,"Giriş"))</f>
        <v/>
      </c>
      <c r="G95" s="24" t="str">
        <f aca="false">IF(A95="","",SUMIFS(Hareketler!$D$5:$D$1504,Hareketler!$C$5:$C$1504,A95,Hareketler!$B$5:$B$1504,"Çıkış"))</f>
        <v/>
      </c>
      <c r="H95" s="32" t="str">
        <f aca="false">IF(A95="","",D95+F95-G95)</f>
        <v/>
      </c>
      <c r="I95" s="29" t="str">
        <f aca="false">IF(A95="","",H95*C95)</f>
        <v/>
      </c>
      <c r="J95" s="25" t="str">
        <f aca="false">IF(A95="","",IF(H95&lt;=0,"Tükendi",IF(H95&lt;=E95,"Kritik","Yeterli")))</f>
        <v/>
      </c>
      <c r="K95" s="33" t="str">
        <f aca="false">IF(A95="","",IF(SUMPRODUCT(MAX((Hareketler!$C$5:$C$1504=A95)*Hareketler!$A$5:$A$1504))=0,"",SUMPRODUCT(MAX((Hareketler!$C$5:$C$1504=A95)*Hareketler!$A$5:$A$1504))))</f>
        <v/>
      </c>
      <c r="L95" s="24" t="str">
        <f aca="true">IF(OR(A95="",K95=""),"",TODAY()-K95)</f>
        <v/>
      </c>
      <c r="M95" s="16" t="str">
        <f aca="false">IF(OR(J95="Tükendi",J95="Kritik"),ROW(),"")</f>
        <v/>
      </c>
      <c r="N95" s="16" t="str">
        <f aca="false">IF(A95="","",I95+ROW()/1000000)</f>
        <v/>
      </c>
    </row>
    <row r="96" customFormat="false" ht="15" hidden="false" customHeight="false" outlineLevel="0" collapsed="false">
      <c r="A96" s="14"/>
      <c r="B96" s="13"/>
      <c r="C96" s="31"/>
      <c r="D96" s="15"/>
      <c r="E96" s="15"/>
      <c r="F96" s="24" t="str">
        <f aca="false">IF(A96="","",SUMIFS(Hareketler!$D$5:$D$1504,Hareketler!$C$5:$C$1504,A96,Hareketler!$B$5:$B$1504,"Giriş"))</f>
        <v/>
      </c>
      <c r="G96" s="24" t="str">
        <f aca="false">IF(A96="","",SUMIFS(Hareketler!$D$5:$D$1504,Hareketler!$C$5:$C$1504,A96,Hareketler!$B$5:$B$1504,"Çıkış"))</f>
        <v/>
      </c>
      <c r="H96" s="32" t="str">
        <f aca="false">IF(A96="","",D96+F96-G96)</f>
        <v/>
      </c>
      <c r="I96" s="29" t="str">
        <f aca="false">IF(A96="","",H96*C96)</f>
        <v/>
      </c>
      <c r="J96" s="25" t="str">
        <f aca="false">IF(A96="","",IF(H96&lt;=0,"Tükendi",IF(H96&lt;=E96,"Kritik","Yeterli")))</f>
        <v/>
      </c>
      <c r="K96" s="33" t="str">
        <f aca="false">IF(A96="","",IF(SUMPRODUCT(MAX((Hareketler!$C$5:$C$1504=A96)*Hareketler!$A$5:$A$1504))=0,"",SUMPRODUCT(MAX((Hareketler!$C$5:$C$1504=A96)*Hareketler!$A$5:$A$1504))))</f>
        <v/>
      </c>
      <c r="L96" s="24" t="str">
        <f aca="true">IF(OR(A96="",K96=""),"",TODAY()-K96)</f>
        <v/>
      </c>
      <c r="M96" s="16" t="str">
        <f aca="false">IF(OR(J96="Tükendi",J96="Kritik"),ROW(),"")</f>
        <v/>
      </c>
      <c r="N96" s="16" t="str">
        <f aca="false">IF(A96="","",I96+ROW()/1000000)</f>
        <v/>
      </c>
    </row>
    <row r="97" customFormat="false" ht="15" hidden="false" customHeight="false" outlineLevel="0" collapsed="false">
      <c r="A97" s="14"/>
      <c r="B97" s="13"/>
      <c r="C97" s="31"/>
      <c r="D97" s="15"/>
      <c r="E97" s="15"/>
      <c r="F97" s="24" t="str">
        <f aca="false">IF(A97="","",SUMIFS(Hareketler!$D$5:$D$1504,Hareketler!$C$5:$C$1504,A97,Hareketler!$B$5:$B$1504,"Giriş"))</f>
        <v/>
      </c>
      <c r="G97" s="24" t="str">
        <f aca="false">IF(A97="","",SUMIFS(Hareketler!$D$5:$D$1504,Hareketler!$C$5:$C$1504,A97,Hareketler!$B$5:$B$1504,"Çıkış"))</f>
        <v/>
      </c>
      <c r="H97" s="32" t="str">
        <f aca="false">IF(A97="","",D97+F97-G97)</f>
        <v/>
      </c>
      <c r="I97" s="29" t="str">
        <f aca="false">IF(A97="","",H97*C97)</f>
        <v/>
      </c>
      <c r="J97" s="25" t="str">
        <f aca="false">IF(A97="","",IF(H97&lt;=0,"Tükendi",IF(H97&lt;=E97,"Kritik","Yeterli")))</f>
        <v/>
      </c>
      <c r="K97" s="33" t="str">
        <f aca="false">IF(A97="","",IF(SUMPRODUCT(MAX((Hareketler!$C$5:$C$1504=A97)*Hareketler!$A$5:$A$1504))=0,"",SUMPRODUCT(MAX((Hareketler!$C$5:$C$1504=A97)*Hareketler!$A$5:$A$1504))))</f>
        <v/>
      </c>
      <c r="L97" s="24" t="str">
        <f aca="true">IF(OR(A97="",K97=""),"",TODAY()-K97)</f>
        <v/>
      </c>
      <c r="M97" s="16" t="str">
        <f aca="false">IF(OR(J97="Tükendi",J97="Kritik"),ROW(),"")</f>
        <v/>
      </c>
      <c r="N97" s="16" t="str">
        <f aca="false">IF(A97="","",I97+ROW()/1000000)</f>
        <v/>
      </c>
    </row>
    <row r="98" customFormat="false" ht="15" hidden="false" customHeight="false" outlineLevel="0" collapsed="false">
      <c r="A98" s="14"/>
      <c r="B98" s="13"/>
      <c r="C98" s="31"/>
      <c r="D98" s="15"/>
      <c r="E98" s="15"/>
      <c r="F98" s="24" t="str">
        <f aca="false">IF(A98="","",SUMIFS(Hareketler!$D$5:$D$1504,Hareketler!$C$5:$C$1504,A98,Hareketler!$B$5:$B$1504,"Giriş"))</f>
        <v/>
      </c>
      <c r="G98" s="24" t="str">
        <f aca="false">IF(A98="","",SUMIFS(Hareketler!$D$5:$D$1504,Hareketler!$C$5:$C$1504,A98,Hareketler!$B$5:$B$1504,"Çıkış"))</f>
        <v/>
      </c>
      <c r="H98" s="32" t="str">
        <f aca="false">IF(A98="","",D98+F98-G98)</f>
        <v/>
      </c>
      <c r="I98" s="29" t="str">
        <f aca="false">IF(A98="","",H98*C98)</f>
        <v/>
      </c>
      <c r="J98" s="25" t="str">
        <f aca="false">IF(A98="","",IF(H98&lt;=0,"Tükendi",IF(H98&lt;=E98,"Kritik","Yeterli")))</f>
        <v/>
      </c>
      <c r="K98" s="33" t="str">
        <f aca="false">IF(A98="","",IF(SUMPRODUCT(MAX((Hareketler!$C$5:$C$1504=A98)*Hareketler!$A$5:$A$1504))=0,"",SUMPRODUCT(MAX((Hareketler!$C$5:$C$1504=A98)*Hareketler!$A$5:$A$1504))))</f>
        <v/>
      </c>
      <c r="L98" s="24" t="str">
        <f aca="true">IF(OR(A98="",K98=""),"",TODAY()-K98)</f>
        <v/>
      </c>
      <c r="M98" s="16" t="str">
        <f aca="false">IF(OR(J98="Tükendi",J98="Kritik"),ROW(),"")</f>
        <v/>
      </c>
      <c r="N98" s="16" t="str">
        <f aca="false">IF(A98="","",I98+ROW()/1000000)</f>
        <v/>
      </c>
    </row>
    <row r="99" customFormat="false" ht="15" hidden="false" customHeight="false" outlineLevel="0" collapsed="false">
      <c r="A99" s="14"/>
      <c r="B99" s="13"/>
      <c r="C99" s="31"/>
      <c r="D99" s="15"/>
      <c r="E99" s="15"/>
      <c r="F99" s="24" t="str">
        <f aca="false">IF(A99="","",SUMIFS(Hareketler!$D$5:$D$1504,Hareketler!$C$5:$C$1504,A99,Hareketler!$B$5:$B$1504,"Giriş"))</f>
        <v/>
      </c>
      <c r="G99" s="24" t="str">
        <f aca="false">IF(A99="","",SUMIFS(Hareketler!$D$5:$D$1504,Hareketler!$C$5:$C$1504,A99,Hareketler!$B$5:$B$1504,"Çıkış"))</f>
        <v/>
      </c>
      <c r="H99" s="32" t="str">
        <f aca="false">IF(A99="","",D99+F99-G99)</f>
        <v/>
      </c>
      <c r="I99" s="29" t="str">
        <f aca="false">IF(A99="","",H99*C99)</f>
        <v/>
      </c>
      <c r="J99" s="25" t="str">
        <f aca="false">IF(A99="","",IF(H99&lt;=0,"Tükendi",IF(H99&lt;=E99,"Kritik","Yeterli")))</f>
        <v/>
      </c>
      <c r="K99" s="33" t="str">
        <f aca="false">IF(A99="","",IF(SUMPRODUCT(MAX((Hareketler!$C$5:$C$1504=A99)*Hareketler!$A$5:$A$1504))=0,"",SUMPRODUCT(MAX((Hareketler!$C$5:$C$1504=A99)*Hareketler!$A$5:$A$1504))))</f>
        <v/>
      </c>
      <c r="L99" s="24" t="str">
        <f aca="true">IF(OR(A99="",K99=""),"",TODAY()-K99)</f>
        <v/>
      </c>
      <c r="M99" s="16" t="str">
        <f aca="false">IF(OR(J99="Tükendi",J99="Kritik"),ROW(),"")</f>
        <v/>
      </c>
      <c r="N99" s="16" t="str">
        <f aca="false">IF(A99="","",I99+ROW()/1000000)</f>
        <v/>
      </c>
    </row>
    <row r="100" customFormat="false" ht="15" hidden="false" customHeight="false" outlineLevel="0" collapsed="false">
      <c r="A100" s="14"/>
      <c r="B100" s="13"/>
      <c r="C100" s="31"/>
      <c r="D100" s="15"/>
      <c r="E100" s="15"/>
      <c r="F100" s="24" t="str">
        <f aca="false">IF(A100="","",SUMIFS(Hareketler!$D$5:$D$1504,Hareketler!$C$5:$C$1504,A100,Hareketler!$B$5:$B$1504,"Giriş"))</f>
        <v/>
      </c>
      <c r="G100" s="24" t="str">
        <f aca="false">IF(A100="","",SUMIFS(Hareketler!$D$5:$D$1504,Hareketler!$C$5:$C$1504,A100,Hareketler!$B$5:$B$1504,"Çıkış"))</f>
        <v/>
      </c>
      <c r="H100" s="32" t="str">
        <f aca="false">IF(A100="","",D100+F100-G100)</f>
        <v/>
      </c>
      <c r="I100" s="29" t="str">
        <f aca="false">IF(A100="","",H100*C100)</f>
        <v/>
      </c>
      <c r="J100" s="25" t="str">
        <f aca="false">IF(A100="","",IF(H100&lt;=0,"Tükendi",IF(H100&lt;=E100,"Kritik","Yeterli")))</f>
        <v/>
      </c>
      <c r="K100" s="33" t="str">
        <f aca="false">IF(A100="","",IF(SUMPRODUCT(MAX((Hareketler!$C$5:$C$1504=A100)*Hareketler!$A$5:$A$1504))=0,"",SUMPRODUCT(MAX((Hareketler!$C$5:$C$1504=A100)*Hareketler!$A$5:$A$1504))))</f>
        <v/>
      </c>
      <c r="L100" s="24" t="str">
        <f aca="true">IF(OR(A100="",K100=""),"",TODAY()-K100)</f>
        <v/>
      </c>
      <c r="M100" s="16" t="str">
        <f aca="false">IF(OR(J100="Tükendi",J100="Kritik"),ROW(),"")</f>
        <v/>
      </c>
      <c r="N100" s="16" t="str">
        <f aca="false">IF(A100="","",I100+ROW()/1000000)</f>
        <v/>
      </c>
    </row>
    <row r="101" customFormat="false" ht="15" hidden="false" customHeight="false" outlineLevel="0" collapsed="false">
      <c r="A101" s="14"/>
      <c r="B101" s="13"/>
      <c r="C101" s="31"/>
      <c r="D101" s="15"/>
      <c r="E101" s="15"/>
      <c r="F101" s="24" t="str">
        <f aca="false">IF(A101="","",SUMIFS(Hareketler!$D$5:$D$1504,Hareketler!$C$5:$C$1504,A101,Hareketler!$B$5:$B$1504,"Giriş"))</f>
        <v/>
      </c>
      <c r="G101" s="24" t="str">
        <f aca="false">IF(A101="","",SUMIFS(Hareketler!$D$5:$D$1504,Hareketler!$C$5:$C$1504,A101,Hareketler!$B$5:$B$1504,"Çıkış"))</f>
        <v/>
      </c>
      <c r="H101" s="32" t="str">
        <f aca="false">IF(A101="","",D101+F101-G101)</f>
        <v/>
      </c>
      <c r="I101" s="29" t="str">
        <f aca="false">IF(A101="","",H101*C101)</f>
        <v/>
      </c>
      <c r="J101" s="25" t="str">
        <f aca="false">IF(A101="","",IF(H101&lt;=0,"Tükendi",IF(H101&lt;=E101,"Kritik","Yeterli")))</f>
        <v/>
      </c>
      <c r="K101" s="33" t="str">
        <f aca="false">IF(A101="","",IF(SUMPRODUCT(MAX((Hareketler!$C$5:$C$1504=A101)*Hareketler!$A$5:$A$1504))=0,"",SUMPRODUCT(MAX((Hareketler!$C$5:$C$1504=A101)*Hareketler!$A$5:$A$1504))))</f>
        <v/>
      </c>
      <c r="L101" s="24" t="str">
        <f aca="true">IF(OR(A101="",K101=""),"",TODAY()-K101)</f>
        <v/>
      </c>
      <c r="M101" s="16" t="str">
        <f aca="false">IF(OR(J101="Tükendi",J101="Kritik"),ROW(),"")</f>
        <v/>
      </c>
      <c r="N101" s="16" t="str">
        <f aca="false">IF(A101="","",I101+ROW()/1000000)</f>
        <v/>
      </c>
    </row>
    <row r="102" customFormat="false" ht="15" hidden="false" customHeight="false" outlineLevel="0" collapsed="false">
      <c r="A102" s="14"/>
      <c r="B102" s="13"/>
      <c r="C102" s="31"/>
      <c r="D102" s="15"/>
      <c r="E102" s="15"/>
      <c r="F102" s="24" t="str">
        <f aca="false">IF(A102="","",SUMIFS(Hareketler!$D$5:$D$1504,Hareketler!$C$5:$C$1504,A102,Hareketler!$B$5:$B$1504,"Giriş"))</f>
        <v/>
      </c>
      <c r="G102" s="24" t="str">
        <f aca="false">IF(A102="","",SUMIFS(Hareketler!$D$5:$D$1504,Hareketler!$C$5:$C$1504,A102,Hareketler!$B$5:$B$1504,"Çıkış"))</f>
        <v/>
      </c>
      <c r="H102" s="32" t="str">
        <f aca="false">IF(A102="","",D102+F102-G102)</f>
        <v/>
      </c>
      <c r="I102" s="29" t="str">
        <f aca="false">IF(A102="","",H102*C102)</f>
        <v/>
      </c>
      <c r="J102" s="25" t="str">
        <f aca="false">IF(A102="","",IF(H102&lt;=0,"Tükendi",IF(H102&lt;=E102,"Kritik","Yeterli")))</f>
        <v/>
      </c>
      <c r="K102" s="33" t="str">
        <f aca="false">IF(A102="","",IF(SUMPRODUCT(MAX((Hareketler!$C$5:$C$1504=A102)*Hareketler!$A$5:$A$1504))=0,"",SUMPRODUCT(MAX((Hareketler!$C$5:$C$1504=A102)*Hareketler!$A$5:$A$1504))))</f>
        <v/>
      </c>
      <c r="L102" s="24" t="str">
        <f aca="true">IF(OR(A102="",K102=""),"",TODAY()-K102)</f>
        <v/>
      </c>
      <c r="M102" s="16" t="str">
        <f aca="false">IF(OR(J102="Tükendi",J102="Kritik"),ROW(),"")</f>
        <v/>
      </c>
      <c r="N102" s="16" t="str">
        <f aca="false">IF(A102="","",I102+ROW()/1000000)</f>
        <v/>
      </c>
    </row>
    <row r="103" customFormat="false" ht="15" hidden="false" customHeight="false" outlineLevel="0" collapsed="false">
      <c r="A103" s="14"/>
      <c r="B103" s="13"/>
      <c r="C103" s="31"/>
      <c r="D103" s="15"/>
      <c r="E103" s="15"/>
      <c r="F103" s="24" t="str">
        <f aca="false">IF(A103="","",SUMIFS(Hareketler!$D$5:$D$1504,Hareketler!$C$5:$C$1504,A103,Hareketler!$B$5:$B$1504,"Giriş"))</f>
        <v/>
      </c>
      <c r="G103" s="24" t="str">
        <f aca="false">IF(A103="","",SUMIFS(Hareketler!$D$5:$D$1504,Hareketler!$C$5:$C$1504,A103,Hareketler!$B$5:$B$1504,"Çıkış"))</f>
        <v/>
      </c>
      <c r="H103" s="32" t="str">
        <f aca="false">IF(A103="","",D103+F103-G103)</f>
        <v/>
      </c>
      <c r="I103" s="29" t="str">
        <f aca="false">IF(A103="","",H103*C103)</f>
        <v/>
      </c>
      <c r="J103" s="25" t="str">
        <f aca="false">IF(A103="","",IF(H103&lt;=0,"Tükendi",IF(H103&lt;=E103,"Kritik","Yeterli")))</f>
        <v/>
      </c>
      <c r="K103" s="33" t="str">
        <f aca="false">IF(A103="","",IF(SUMPRODUCT(MAX((Hareketler!$C$5:$C$1504=A103)*Hareketler!$A$5:$A$1504))=0,"",SUMPRODUCT(MAX((Hareketler!$C$5:$C$1504=A103)*Hareketler!$A$5:$A$1504))))</f>
        <v/>
      </c>
      <c r="L103" s="24" t="str">
        <f aca="true">IF(OR(A103="",K103=""),"",TODAY()-K103)</f>
        <v/>
      </c>
      <c r="M103" s="16" t="str">
        <f aca="false">IF(OR(J103="Tükendi",J103="Kritik"),ROW(),"")</f>
        <v/>
      </c>
      <c r="N103" s="16" t="str">
        <f aca="false">IF(A103="","",I103+ROW()/1000000)</f>
        <v/>
      </c>
    </row>
    <row r="104" customFormat="false" ht="15" hidden="false" customHeight="false" outlineLevel="0" collapsed="false">
      <c r="A104" s="14"/>
      <c r="B104" s="13"/>
      <c r="C104" s="31"/>
      <c r="D104" s="15"/>
      <c r="E104" s="15"/>
      <c r="F104" s="24" t="str">
        <f aca="false">IF(A104="","",SUMIFS(Hareketler!$D$5:$D$1504,Hareketler!$C$5:$C$1504,A104,Hareketler!$B$5:$B$1504,"Giriş"))</f>
        <v/>
      </c>
      <c r="G104" s="24" t="str">
        <f aca="false">IF(A104="","",SUMIFS(Hareketler!$D$5:$D$1504,Hareketler!$C$5:$C$1504,A104,Hareketler!$B$5:$B$1504,"Çıkış"))</f>
        <v/>
      </c>
      <c r="H104" s="32" t="str">
        <f aca="false">IF(A104="","",D104+F104-G104)</f>
        <v/>
      </c>
      <c r="I104" s="29" t="str">
        <f aca="false">IF(A104="","",H104*C104)</f>
        <v/>
      </c>
      <c r="J104" s="25" t="str">
        <f aca="false">IF(A104="","",IF(H104&lt;=0,"Tükendi",IF(H104&lt;=E104,"Kritik","Yeterli")))</f>
        <v/>
      </c>
      <c r="K104" s="33" t="str">
        <f aca="false">IF(A104="","",IF(SUMPRODUCT(MAX((Hareketler!$C$5:$C$1504=A104)*Hareketler!$A$5:$A$1504))=0,"",SUMPRODUCT(MAX((Hareketler!$C$5:$C$1504=A104)*Hareketler!$A$5:$A$1504))))</f>
        <v/>
      </c>
      <c r="L104" s="24" t="str">
        <f aca="true">IF(OR(A104="",K104=""),"",TODAY()-K104)</f>
        <v/>
      </c>
      <c r="M104" s="16" t="str">
        <f aca="false">IF(OR(J104="Tükendi",J104="Kritik"),ROW(),"")</f>
        <v/>
      </c>
      <c r="N104" s="16" t="str">
        <f aca="false">IF(A104="","",I104+ROW()/1000000)</f>
        <v/>
      </c>
    </row>
    <row r="105" customFormat="false" ht="15" hidden="false" customHeight="false" outlineLevel="0" collapsed="false">
      <c r="A105" s="14"/>
      <c r="B105" s="13"/>
      <c r="C105" s="31"/>
      <c r="D105" s="15"/>
      <c r="E105" s="15"/>
      <c r="F105" s="24" t="str">
        <f aca="false">IF(A105="","",SUMIFS(Hareketler!$D$5:$D$1504,Hareketler!$C$5:$C$1504,A105,Hareketler!$B$5:$B$1504,"Giriş"))</f>
        <v/>
      </c>
      <c r="G105" s="24" t="str">
        <f aca="false">IF(A105="","",SUMIFS(Hareketler!$D$5:$D$1504,Hareketler!$C$5:$C$1504,A105,Hareketler!$B$5:$B$1504,"Çıkış"))</f>
        <v/>
      </c>
      <c r="H105" s="32" t="str">
        <f aca="false">IF(A105="","",D105+F105-G105)</f>
        <v/>
      </c>
      <c r="I105" s="29" t="str">
        <f aca="false">IF(A105="","",H105*C105)</f>
        <v/>
      </c>
      <c r="J105" s="25" t="str">
        <f aca="false">IF(A105="","",IF(H105&lt;=0,"Tükendi",IF(H105&lt;=E105,"Kritik","Yeterli")))</f>
        <v/>
      </c>
      <c r="K105" s="33" t="str">
        <f aca="false">IF(A105="","",IF(SUMPRODUCT(MAX((Hareketler!$C$5:$C$1504=A105)*Hareketler!$A$5:$A$1504))=0,"",SUMPRODUCT(MAX((Hareketler!$C$5:$C$1504=A105)*Hareketler!$A$5:$A$1504))))</f>
        <v/>
      </c>
      <c r="L105" s="24" t="str">
        <f aca="true">IF(OR(A105="",K105=""),"",TODAY()-K105)</f>
        <v/>
      </c>
      <c r="M105" s="16" t="str">
        <f aca="false">IF(OR(J105="Tükendi",J105="Kritik"),ROW(),"")</f>
        <v/>
      </c>
      <c r="N105" s="16" t="str">
        <f aca="false">IF(A105="","",I105+ROW()/1000000)</f>
        <v/>
      </c>
    </row>
    <row r="106" customFormat="false" ht="15" hidden="false" customHeight="false" outlineLevel="0" collapsed="false">
      <c r="A106" s="14"/>
      <c r="B106" s="13"/>
      <c r="C106" s="31"/>
      <c r="D106" s="15"/>
      <c r="E106" s="15"/>
      <c r="F106" s="24" t="str">
        <f aca="false">IF(A106="","",SUMIFS(Hareketler!$D$5:$D$1504,Hareketler!$C$5:$C$1504,A106,Hareketler!$B$5:$B$1504,"Giriş"))</f>
        <v/>
      </c>
      <c r="G106" s="24" t="str">
        <f aca="false">IF(A106="","",SUMIFS(Hareketler!$D$5:$D$1504,Hareketler!$C$5:$C$1504,A106,Hareketler!$B$5:$B$1504,"Çıkış"))</f>
        <v/>
      </c>
      <c r="H106" s="32" t="str">
        <f aca="false">IF(A106="","",D106+F106-G106)</f>
        <v/>
      </c>
      <c r="I106" s="29" t="str">
        <f aca="false">IF(A106="","",H106*C106)</f>
        <v/>
      </c>
      <c r="J106" s="25" t="str">
        <f aca="false">IF(A106="","",IF(H106&lt;=0,"Tükendi",IF(H106&lt;=E106,"Kritik","Yeterli")))</f>
        <v/>
      </c>
      <c r="K106" s="33" t="str">
        <f aca="false">IF(A106="","",IF(SUMPRODUCT(MAX((Hareketler!$C$5:$C$1504=A106)*Hareketler!$A$5:$A$1504))=0,"",SUMPRODUCT(MAX((Hareketler!$C$5:$C$1504=A106)*Hareketler!$A$5:$A$1504))))</f>
        <v/>
      </c>
      <c r="L106" s="24" t="str">
        <f aca="true">IF(OR(A106="",K106=""),"",TODAY()-K106)</f>
        <v/>
      </c>
      <c r="M106" s="16" t="str">
        <f aca="false">IF(OR(J106="Tükendi",J106="Kritik"),ROW(),"")</f>
        <v/>
      </c>
      <c r="N106" s="16" t="str">
        <f aca="false">IF(A106="","",I106+ROW()/1000000)</f>
        <v/>
      </c>
    </row>
    <row r="107" customFormat="false" ht="15" hidden="false" customHeight="false" outlineLevel="0" collapsed="false">
      <c r="A107" s="14"/>
      <c r="B107" s="13"/>
      <c r="C107" s="31"/>
      <c r="D107" s="15"/>
      <c r="E107" s="15"/>
      <c r="F107" s="24" t="str">
        <f aca="false">IF(A107="","",SUMIFS(Hareketler!$D$5:$D$1504,Hareketler!$C$5:$C$1504,A107,Hareketler!$B$5:$B$1504,"Giriş"))</f>
        <v/>
      </c>
      <c r="G107" s="24" t="str">
        <f aca="false">IF(A107="","",SUMIFS(Hareketler!$D$5:$D$1504,Hareketler!$C$5:$C$1504,A107,Hareketler!$B$5:$B$1504,"Çıkış"))</f>
        <v/>
      </c>
      <c r="H107" s="32" t="str">
        <f aca="false">IF(A107="","",D107+F107-G107)</f>
        <v/>
      </c>
      <c r="I107" s="29" t="str">
        <f aca="false">IF(A107="","",H107*C107)</f>
        <v/>
      </c>
      <c r="J107" s="25" t="str">
        <f aca="false">IF(A107="","",IF(H107&lt;=0,"Tükendi",IF(H107&lt;=E107,"Kritik","Yeterli")))</f>
        <v/>
      </c>
      <c r="K107" s="33" t="str">
        <f aca="false">IF(A107="","",IF(SUMPRODUCT(MAX((Hareketler!$C$5:$C$1504=A107)*Hareketler!$A$5:$A$1504))=0,"",SUMPRODUCT(MAX((Hareketler!$C$5:$C$1504=A107)*Hareketler!$A$5:$A$1504))))</f>
        <v/>
      </c>
      <c r="L107" s="24" t="str">
        <f aca="true">IF(OR(A107="",K107=""),"",TODAY()-K107)</f>
        <v/>
      </c>
      <c r="M107" s="16" t="str">
        <f aca="false">IF(OR(J107="Tükendi",J107="Kritik"),ROW(),"")</f>
        <v/>
      </c>
      <c r="N107" s="16" t="str">
        <f aca="false">IF(A107="","",I107+ROW()/1000000)</f>
        <v/>
      </c>
    </row>
    <row r="108" customFormat="false" ht="15" hidden="false" customHeight="false" outlineLevel="0" collapsed="false">
      <c r="A108" s="14"/>
      <c r="B108" s="13"/>
      <c r="C108" s="31"/>
      <c r="D108" s="15"/>
      <c r="E108" s="15"/>
      <c r="F108" s="24" t="str">
        <f aca="false">IF(A108="","",SUMIFS(Hareketler!$D$5:$D$1504,Hareketler!$C$5:$C$1504,A108,Hareketler!$B$5:$B$1504,"Giriş"))</f>
        <v/>
      </c>
      <c r="G108" s="24" t="str">
        <f aca="false">IF(A108="","",SUMIFS(Hareketler!$D$5:$D$1504,Hareketler!$C$5:$C$1504,A108,Hareketler!$B$5:$B$1504,"Çıkış"))</f>
        <v/>
      </c>
      <c r="H108" s="32" t="str">
        <f aca="false">IF(A108="","",D108+F108-G108)</f>
        <v/>
      </c>
      <c r="I108" s="29" t="str">
        <f aca="false">IF(A108="","",H108*C108)</f>
        <v/>
      </c>
      <c r="J108" s="25" t="str">
        <f aca="false">IF(A108="","",IF(H108&lt;=0,"Tükendi",IF(H108&lt;=E108,"Kritik","Yeterli")))</f>
        <v/>
      </c>
      <c r="K108" s="33" t="str">
        <f aca="false">IF(A108="","",IF(SUMPRODUCT(MAX((Hareketler!$C$5:$C$1504=A108)*Hareketler!$A$5:$A$1504))=0,"",SUMPRODUCT(MAX((Hareketler!$C$5:$C$1504=A108)*Hareketler!$A$5:$A$1504))))</f>
        <v/>
      </c>
      <c r="L108" s="24" t="str">
        <f aca="true">IF(OR(A108="",K108=""),"",TODAY()-K108)</f>
        <v/>
      </c>
      <c r="M108" s="16" t="str">
        <f aca="false">IF(OR(J108="Tükendi",J108="Kritik"),ROW(),"")</f>
        <v/>
      </c>
      <c r="N108" s="16" t="str">
        <f aca="false">IF(A108="","",I108+ROW()/1000000)</f>
        <v/>
      </c>
    </row>
    <row r="109" customFormat="false" ht="15" hidden="false" customHeight="false" outlineLevel="0" collapsed="false">
      <c r="A109" s="14"/>
      <c r="B109" s="13"/>
      <c r="C109" s="31"/>
      <c r="D109" s="15"/>
      <c r="E109" s="15"/>
      <c r="F109" s="24" t="str">
        <f aca="false">IF(A109="","",SUMIFS(Hareketler!$D$5:$D$1504,Hareketler!$C$5:$C$1504,A109,Hareketler!$B$5:$B$1504,"Giriş"))</f>
        <v/>
      </c>
      <c r="G109" s="24" t="str">
        <f aca="false">IF(A109="","",SUMIFS(Hareketler!$D$5:$D$1504,Hareketler!$C$5:$C$1504,A109,Hareketler!$B$5:$B$1504,"Çıkış"))</f>
        <v/>
      </c>
      <c r="H109" s="32" t="str">
        <f aca="false">IF(A109="","",D109+F109-G109)</f>
        <v/>
      </c>
      <c r="I109" s="29" t="str">
        <f aca="false">IF(A109="","",H109*C109)</f>
        <v/>
      </c>
      <c r="J109" s="25" t="str">
        <f aca="false">IF(A109="","",IF(H109&lt;=0,"Tükendi",IF(H109&lt;=E109,"Kritik","Yeterli")))</f>
        <v/>
      </c>
      <c r="K109" s="33" t="str">
        <f aca="false">IF(A109="","",IF(SUMPRODUCT(MAX((Hareketler!$C$5:$C$1504=A109)*Hareketler!$A$5:$A$1504))=0,"",SUMPRODUCT(MAX((Hareketler!$C$5:$C$1504=A109)*Hareketler!$A$5:$A$1504))))</f>
        <v/>
      </c>
      <c r="L109" s="24" t="str">
        <f aca="true">IF(OR(A109="",K109=""),"",TODAY()-K109)</f>
        <v/>
      </c>
      <c r="M109" s="16" t="str">
        <f aca="false">IF(OR(J109="Tükendi",J109="Kritik"),ROW(),"")</f>
        <v/>
      </c>
      <c r="N109" s="16" t="str">
        <f aca="false">IF(A109="","",I109+ROW()/1000000)</f>
        <v/>
      </c>
    </row>
    <row r="110" customFormat="false" ht="15" hidden="false" customHeight="false" outlineLevel="0" collapsed="false">
      <c r="A110" s="14"/>
      <c r="B110" s="13"/>
      <c r="C110" s="31"/>
      <c r="D110" s="15"/>
      <c r="E110" s="15"/>
      <c r="F110" s="24" t="str">
        <f aca="false">IF(A110="","",SUMIFS(Hareketler!$D$5:$D$1504,Hareketler!$C$5:$C$1504,A110,Hareketler!$B$5:$B$1504,"Giriş"))</f>
        <v/>
      </c>
      <c r="G110" s="24" t="str">
        <f aca="false">IF(A110="","",SUMIFS(Hareketler!$D$5:$D$1504,Hareketler!$C$5:$C$1504,A110,Hareketler!$B$5:$B$1504,"Çıkış"))</f>
        <v/>
      </c>
      <c r="H110" s="32" t="str">
        <f aca="false">IF(A110="","",D110+F110-G110)</f>
        <v/>
      </c>
      <c r="I110" s="29" t="str">
        <f aca="false">IF(A110="","",H110*C110)</f>
        <v/>
      </c>
      <c r="J110" s="25" t="str">
        <f aca="false">IF(A110="","",IF(H110&lt;=0,"Tükendi",IF(H110&lt;=E110,"Kritik","Yeterli")))</f>
        <v/>
      </c>
      <c r="K110" s="33" t="str">
        <f aca="false">IF(A110="","",IF(SUMPRODUCT(MAX((Hareketler!$C$5:$C$1504=A110)*Hareketler!$A$5:$A$1504))=0,"",SUMPRODUCT(MAX((Hareketler!$C$5:$C$1504=A110)*Hareketler!$A$5:$A$1504))))</f>
        <v/>
      </c>
      <c r="L110" s="24" t="str">
        <f aca="true">IF(OR(A110="",K110=""),"",TODAY()-K110)</f>
        <v/>
      </c>
      <c r="M110" s="16" t="str">
        <f aca="false">IF(OR(J110="Tükendi",J110="Kritik"),ROW(),"")</f>
        <v/>
      </c>
      <c r="N110" s="16" t="str">
        <f aca="false">IF(A110="","",I110+ROW()/1000000)</f>
        <v/>
      </c>
    </row>
    <row r="111" customFormat="false" ht="15" hidden="false" customHeight="false" outlineLevel="0" collapsed="false">
      <c r="A111" s="14"/>
      <c r="B111" s="13"/>
      <c r="C111" s="31"/>
      <c r="D111" s="15"/>
      <c r="E111" s="15"/>
      <c r="F111" s="24" t="str">
        <f aca="false">IF(A111="","",SUMIFS(Hareketler!$D$5:$D$1504,Hareketler!$C$5:$C$1504,A111,Hareketler!$B$5:$B$1504,"Giriş"))</f>
        <v/>
      </c>
      <c r="G111" s="24" t="str">
        <f aca="false">IF(A111="","",SUMIFS(Hareketler!$D$5:$D$1504,Hareketler!$C$5:$C$1504,A111,Hareketler!$B$5:$B$1504,"Çıkış"))</f>
        <v/>
      </c>
      <c r="H111" s="32" t="str">
        <f aca="false">IF(A111="","",D111+F111-G111)</f>
        <v/>
      </c>
      <c r="I111" s="29" t="str">
        <f aca="false">IF(A111="","",H111*C111)</f>
        <v/>
      </c>
      <c r="J111" s="25" t="str">
        <f aca="false">IF(A111="","",IF(H111&lt;=0,"Tükendi",IF(H111&lt;=E111,"Kritik","Yeterli")))</f>
        <v/>
      </c>
      <c r="K111" s="33" t="str">
        <f aca="false">IF(A111="","",IF(SUMPRODUCT(MAX((Hareketler!$C$5:$C$1504=A111)*Hareketler!$A$5:$A$1504))=0,"",SUMPRODUCT(MAX((Hareketler!$C$5:$C$1504=A111)*Hareketler!$A$5:$A$1504))))</f>
        <v/>
      </c>
      <c r="L111" s="24" t="str">
        <f aca="true">IF(OR(A111="",K111=""),"",TODAY()-K111)</f>
        <v/>
      </c>
      <c r="M111" s="16" t="str">
        <f aca="false">IF(OR(J111="Tükendi",J111="Kritik"),ROW(),"")</f>
        <v/>
      </c>
      <c r="N111" s="16" t="str">
        <f aca="false">IF(A111="","",I111+ROW()/1000000)</f>
        <v/>
      </c>
    </row>
    <row r="112" customFormat="false" ht="15" hidden="false" customHeight="false" outlineLevel="0" collapsed="false">
      <c r="A112" s="14"/>
      <c r="B112" s="13"/>
      <c r="C112" s="31"/>
      <c r="D112" s="15"/>
      <c r="E112" s="15"/>
      <c r="F112" s="24" t="str">
        <f aca="false">IF(A112="","",SUMIFS(Hareketler!$D$5:$D$1504,Hareketler!$C$5:$C$1504,A112,Hareketler!$B$5:$B$1504,"Giriş"))</f>
        <v/>
      </c>
      <c r="G112" s="24" t="str">
        <f aca="false">IF(A112="","",SUMIFS(Hareketler!$D$5:$D$1504,Hareketler!$C$5:$C$1504,A112,Hareketler!$B$5:$B$1504,"Çıkış"))</f>
        <v/>
      </c>
      <c r="H112" s="32" t="str">
        <f aca="false">IF(A112="","",D112+F112-G112)</f>
        <v/>
      </c>
      <c r="I112" s="29" t="str">
        <f aca="false">IF(A112="","",H112*C112)</f>
        <v/>
      </c>
      <c r="J112" s="25" t="str">
        <f aca="false">IF(A112="","",IF(H112&lt;=0,"Tükendi",IF(H112&lt;=E112,"Kritik","Yeterli")))</f>
        <v/>
      </c>
      <c r="K112" s="33" t="str">
        <f aca="false">IF(A112="","",IF(SUMPRODUCT(MAX((Hareketler!$C$5:$C$1504=A112)*Hareketler!$A$5:$A$1504))=0,"",SUMPRODUCT(MAX((Hareketler!$C$5:$C$1504=A112)*Hareketler!$A$5:$A$1504))))</f>
        <v/>
      </c>
      <c r="L112" s="24" t="str">
        <f aca="true">IF(OR(A112="",K112=""),"",TODAY()-K112)</f>
        <v/>
      </c>
      <c r="M112" s="16" t="str">
        <f aca="false">IF(OR(J112="Tükendi",J112="Kritik"),ROW(),"")</f>
        <v/>
      </c>
      <c r="N112" s="16" t="str">
        <f aca="false">IF(A112="","",I112+ROW()/1000000)</f>
        <v/>
      </c>
    </row>
    <row r="113" customFormat="false" ht="15" hidden="false" customHeight="false" outlineLevel="0" collapsed="false">
      <c r="A113" s="14"/>
      <c r="B113" s="13"/>
      <c r="C113" s="31"/>
      <c r="D113" s="15"/>
      <c r="E113" s="15"/>
      <c r="F113" s="24" t="str">
        <f aca="false">IF(A113="","",SUMIFS(Hareketler!$D$5:$D$1504,Hareketler!$C$5:$C$1504,A113,Hareketler!$B$5:$B$1504,"Giriş"))</f>
        <v/>
      </c>
      <c r="G113" s="24" t="str">
        <f aca="false">IF(A113="","",SUMIFS(Hareketler!$D$5:$D$1504,Hareketler!$C$5:$C$1504,A113,Hareketler!$B$5:$B$1504,"Çıkış"))</f>
        <v/>
      </c>
      <c r="H113" s="32" t="str">
        <f aca="false">IF(A113="","",D113+F113-G113)</f>
        <v/>
      </c>
      <c r="I113" s="29" t="str">
        <f aca="false">IF(A113="","",H113*C113)</f>
        <v/>
      </c>
      <c r="J113" s="25" t="str">
        <f aca="false">IF(A113="","",IF(H113&lt;=0,"Tükendi",IF(H113&lt;=E113,"Kritik","Yeterli")))</f>
        <v/>
      </c>
      <c r="K113" s="33" t="str">
        <f aca="false">IF(A113="","",IF(SUMPRODUCT(MAX((Hareketler!$C$5:$C$1504=A113)*Hareketler!$A$5:$A$1504))=0,"",SUMPRODUCT(MAX((Hareketler!$C$5:$C$1504=A113)*Hareketler!$A$5:$A$1504))))</f>
        <v/>
      </c>
      <c r="L113" s="24" t="str">
        <f aca="true">IF(OR(A113="",K113=""),"",TODAY()-K113)</f>
        <v/>
      </c>
      <c r="M113" s="16" t="str">
        <f aca="false">IF(OR(J113="Tükendi",J113="Kritik"),ROW(),"")</f>
        <v/>
      </c>
      <c r="N113" s="16" t="str">
        <f aca="false">IF(A113="","",I113+ROW()/1000000)</f>
        <v/>
      </c>
    </row>
    <row r="114" customFormat="false" ht="15" hidden="false" customHeight="false" outlineLevel="0" collapsed="false">
      <c r="A114" s="14"/>
      <c r="B114" s="13"/>
      <c r="C114" s="31"/>
      <c r="D114" s="15"/>
      <c r="E114" s="15"/>
      <c r="F114" s="24" t="str">
        <f aca="false">IF(A114="","",SUMIFS(Hareketler!$D$5:$D$1504,Hareketler!$C$5:$C$1504,A114,Hareketler!$B$5:$B$1504,"Giriş"))</f>
        <v/>
      </c>
      <c r="G114" s="24" t="str">
        <f aca="false">IF(A114="","",SUMIFS(Hareketler!$D$5:$D$1504,Hareketler!$C$5:$C$1504,A114,Hareketler!$B$5:$B$1504,"Çıkış"))</f>
        <v/>
      </c>
      <c r="H114" s="32" t="str">
        <f aca="false">IF(A114="","",D114+F114-G114)</f>
        <v/>
      </c>
      <c r="I114" s="29" t="str">
        <f aca="false">IF(A114="","",H114*C114)</f>
        <v/>
      </c>
      <c r="J114" s="25" t="str">
        <f aca="false">IF(A114="","",IF(H114&lt;=0,"Tükendi",IF(H114&lt;=E114,"Kritik","Yeterli")))</f>
        <v/>
      </c>
      <c r="K114" s="33" t="str">
        <f aca="false">IF(A114="","",IF(SUMPRODUCT(MAX((Hareketler!$C$5:$C$1504=A114)*Hareketler!$A$5:$A$1504))=0,"",SUMPRODUCT(MAX((Hareketler!$C$5:$C$1504=A114)*Hareketler!$A$5:$A$1504))))</f>
        <v/>
      </c>
      <c r="L114" s="24" t="str">
        <f aca="true">IF(OR(A114="",K114=""),"",TODAY()-K114)</f>
        <v/>
      </c>
      <c r="M114" s="16" t="str">
        <f aca="false">IF(OR(J114="Tükendi",J114="Kritik"),ROW(),"")</f>
        <v/>
      </c>
      <c r="N114" s="16" t="str">
        <f aca="false">IF(A114="","",I114+ROW()/1000000)</f>
        <v/>
      </c>
    </row>
    <row r="115" customFormat="false" ht="15" hidden="false" customHeight="false" outlineLevel="0" collapsed="false">
      <c r="A115" s="14"/>
      <c r="B115" s="13"/>
      <c r="C115" s="31"/>
      <c r="D115" s="15"/>
      <c r="E115" s="15"/>
      <c r="F115" s="24" t="str">
        <f aca="false">IF(A115="","",SUMIFS(Hareketler!$D$5:$D$1504,Hareketler!$C$5:$C$1504,A115,Hareketler!$B$5:$B$1504,"Giriş"))</f>
        <v/>
      </c>
      <c r="G115" s="24" t="str">
        <f aca="false">IF(A115="","",SUMIFS(Hareketler!$D$5:$D$1504,Hareketler!$C$5:$C$1504,A115,Hareketler!$B$5:$B$1504,"Çıkış"))</f>
        <v/>
      </c>
      <c r="H115" s="32" t="str">
        <f aca="false">IF(A115="","",D115+F115-G115)</f>
        <v/>
      </c>
      <c r="I115" s="29" t="str">
        <f aca="false">IF(A115="","",H115*C115)</f>
        <v/>
      </c>
      <c r="J115" s="25" t="str">
        <f aca="false">IF(A115="","",IF(H115&lt;=0,"Tükendi",IF(H115&lt;=E115,"Kritik","Yeterli")))</f>
        <v/>
      </c>
      <c r="K115" s="33" t="str">
        <f aca="false">IF(A115="","",IF(SUMPRODUCT(MAX((Hareketler!$C$5:$C$1504=A115)*Hareketler!$A$5:$A$1504))=0,"",SUMPRODUCT(MAX((Hareketler!$C$5:$C$1504=A115)*Hareketler!$A$5:$A$1504))))</f>
        <v/>
      </c>
      <c r="L115" s="24" t="str">
        <f aca="true">IF(OR(A115="",K115=""),"",TODAY()-K115)</f>
        <v/>
      </c>
      <c r="M115" s="16" t="str">
        <f aca="false">IF(OR(J115="Tükendi",J115="Kritik"),ROW(),"")</f>
        <v/>
      </c>
      <c r="N115" s="16" t="str">
        <f aca="false">IF(A115="","",I115+ROW()/1000000)</f>
        <v/>
      </c>
    </row>
    <row r="116" customFormat="false" ht="15" hidden="false" customHeight="false" outlineLevel="0" collapsed="false">
      <c r="A116" s="14"/>
      <c r="B116" s="13"/>
      <c r="C116" s="31"/>
      <c r="D116" s="15"/>
      <c r="E116" s="15"/>
      <c r="F116" s="24" t="str">
        <f aca="false">IF(A116="","",SUMIFS(Hareketler!$D$5:$D$1504,Hareketler!$C$5:$C$1504,A116,Hareketler!$B$5:$B$1504,"Giriş"))</f>
        <v/>
      </c>
      <c r="G116" s="24" t="str">
        <f aca="false">IF(A116="","",SUMIFS(Hareketler!$D$5:$D$1504,Hareketler!$C$5:$C$1504,A116,Hareketler!$B$5:$B$1504,"Çıkış"))</f>
        <v/>
      </c>
      <c r="H116" s="32" t="str">
        <f aca="false">IF(A116="","",D116+F116-G116)</f>
        <v/>
      </c>
      <c r="I116" s="29" t="str">
        <f aca="false">IF(A116="","",H116*C116)</f>
        <v/>
      </c>
      <c r="J116" s="25" t="str">
        <f aca="false">IF(A116="","",IF(H116&lt;=0,"Tükendi",IF(H116&lt;=E116,"Kritik","Yeterli")))</f>
        <v/>
      </c>
      <c r="K116" s="33" t="str">
        <f aca="false">IF(A116="","",IF(SUMPRODUCT(MAX((Hareketler!$C$5:$C$1504=A116)*Hareketler!$A$5:$A$1504))=0,"",SUMPRODUCT(MAX((Hareketler!$C$5:$C$1504=A116)*Hareketler!$A$5:$A$1504))))</f>
        <v/>
      </c>
      <c r="L116" s="24" t="str">
        <f aca="true">IF(OR(A116="",K116=""),"",TODAY()-K116)</f>
        <v/>
      </c>
      <c r="M116" s="16" t="str">
        <f aca="false">IF(OR(J116="Tükendi",J116="Kritik"),ROW(),"")</f>
        <v/>
      </c>
      <c r="N116" s="16" t="str">
        <f aca="false">IF(A116="","",I116+ROW()/1000000)</f>
        <v/>
      </c>
    </row>
    <row r="117" customFormat="false" ht="15" hidden="false" customHeight="false" outlineLevel="0" collapsed="false">
      <c r="A117" s="14"/>
      <c r="B117" s="13"/>
      <c r="C117" s="31"/>
      <c r="D117" s="15"/>
      <c r="E117" s="15"/>
      <c r="F117" s="24" t="str">
        <f aca="false">IF(A117="","",SUMIFS(Hareketler!$D$5:$D$1504,Hareketler!$C$5:$C$1504,A117,Hareketler!$B$5:$B$1504,"Giriş"))</f>
        <v/>
      </c>
      <c r="G117" s="24" t="str">
        <f aca="false">IF(A117="","",SUMIFS(Hareketler!$D$5:$D$1504,Hareketler!$C$5:$C$1504,A117,Hareketler!$B$5:$B$1504,"Çıkış"))</f>
        <v/>
      </c>
      <c r="H117" s="32" t="str">
        <f aca="false">IF(A117="","",D117+F117-G117)</f>
        <v/>
      </c>
      <c r="I117" s="29" t="str">
        <f aca="false">IF(A117="","",H117*C117)</f>
        <v/>
      </c>
      <c r="J117" s="25" t="str">
        <f aca="false">IF(A117="","",IF(H117&lt;=0,"Tükendi",IF(H117&lt;=E117,"Kritik","Yeterli")))</f>
        <v/>
      </c>
      <c r="K117" s="33" t="str">
        <f aca="false">IF(A117="","",IF(SUMPRODUCT(MAX((Hareketler!$C$5:$C$1504=A117)*Hareketler!$A$5:$A$1504))=0,"",SUMPRODUCT(MAX((Hareketler!$C$5:$C$1504=A117)*Hareketler!$A$5:$A$1504))))</f>
        <v/>
      </c>
      <c r="L117" s="24" t="str">
        <f aca="true">IF(OR(A117="",K117=""),"",TODAY()-K117)</f>
        <v/>
      </c>
      <c r="M117" s="16" t="str">
        <f aca="false">IF(OR(J117="Tükendi",J117="Kritik"),ROW(),"")</f>
        <v/>
      </c>
      <c r="N117" s="16" t="str">
        <f aca="false">IF(A117="","",I117+ROW()/1000000)</f>
        <v/>
      </c>
    </row>
    <row r="118" customFormat="false" ht="15" hidden="false" customHeight="false" outlineLevel="0" collapsed="false">
      <c r="A118" s="14"/>
      <c r="B118" s="13"/>
      <c r="C118" s="31"/>
      <c r="D118" s="15"/>
      <c r="E118" s="15"/>
      <c r="F118" s="24" t="str">
        <f aca="false">IF(A118="","",SUMIFS(Hareketler!$D$5:$D$1504,Hareketler!$C$5:$C$1504,A118,Hareketler!$B$5:$B$1504,"Giriş"))</f>
        <v/>
      </c>
      <c r="G118" s="24" t="str">
        <f aca="false">IF(A118="","",SUMIFS(Hareketler!$D$5:$D$1504,Hareketler!$C$5:$C$1504,A118,Hareketler!$B$5:$B$1504,"Çıkış"))</f>
        <v/>
      </c>
      <c r="H118" s="32" t="str">
        <f aca="false">IF(A118="","",D118+F118-G118)</f>
        <v/>
      </c>
      <c r="I118" s="29" t="str">
        <f aca="false">IF(A118="","",H118*C118)</f>
        <v/>
      </c>
      <c r="J118" s="25" t="str">
        <f aca="false">IF(A118="","",IF(H118&lt;=0,"Tükendi",IF(H118&lt;=E118,"Kritik","Yeterli")))</f>
        <v/>
      </c>
      <c r="K118" s="33" t="str">
        <f aca="false">IF(A118="","",IF(SUMPRODUCT(MAX((Hareketler!$C$5:$C$1504=A118)*Hareketler!$A$5:$A$1504))=0,"",SUMPRODUCT(MAX((Hareketler!$C$5:$C$1504=A118)*Hareketler!$A$5:$A$1504))))</f>
        <v/>
      </c>
      <c r="L118" s="24" t="str">
        <f aca="true">IF(OR(A118="",K118=""),"",TODAY()-K118)</f>
        <v/>
      </c>
      <c r="M118" s="16" t="str">
        <f aca="false">IF(OR(J118="Tükendi",J118="Kritik"),ROW(),"")</f>
        <v/>
      </c>
      <c r="N118" s="16" t="str">
        <f aca="false">IF(A118="","",I118+ROW()/1000000)</f>
        <v/>
      </c>
    </row>
    <row r="119" customFormat="false" ht="15" hidden="false" customHeight="false" outlineLevel="0" collapsed="false">
      <c r="A119" s="14"/>
      <c r="B119" s="13"/>
      <c r="C119" s="31"/>
      <c r="D119" s="15"/>
      <c r="E119" s="15"/>
      <c r="F119" s="24" t="str">
        <f aca="false">IF(A119="","",SUMIFS(Hareketler!$D$5:$D$1504,Hareketler!$C$5:$C$1504,A119,Hareketler!$B$5:$B$1504,"Giriş"))</f>
        <v/>
      </c>
      <c r="G119" s="24" t="str">
        <f aca="false">IF(A119="","",SUMIFS(Hareketler!$D$5:$D$1504,Hareketler!$C$5:$C$1504,A119,Hareketler!$B$5:$B$1504,"Çıkış"))</f>
        <v/>
      </c>
      <c r="H119" s="32" t="str">
        <f aca="false">IF(A119="","",D119+F119-G119)</f>
        <v/>
      </c>
      <c r="I119" s="29" t="str">
        <f aca="false">IF(A119="","",H119*C119)</f>
        <v/>
      </c>
      <c r="J119" s="25" t="str">
        <f aca="false">IF(A119="","",IF(H119&lt;=0,"Tükendi",IF(H119&lt;=E119,"Kritik","Yeterli")))</f>
        <v/>
      </c>
      <c r="K119" s="33" t="str">
        <f aca="false">IF(A119="","",IF(SUMPRODUCT(MAX((Hareketler!$C$5:$C$1504=A119)*Hareketler!$A$5:$A$1504))=0,"",SUMPRODUCT(MAX((Hareketler!$C$5:$C$1504=A119)*Hareketler!$A$5:$A$1504))))</f>
        <v/>
      </c>
      <c r="L119" s="24" t="str">
        <f aca="true">IF(OR(A119="",K119=""),"",TODAY()-K119)</f>
        <v/>
      </c>
      <c r="M119" s="16" t="str">
        <f aca="false">IF(OR(J119="Tükendi",J119="Kritik"),ROW(),"")</f>
        <v/>
      </c>
      <c r="N119" s="16" t="str">
        <f aca="false">IF(A119="","",I119+ROW()/1000000)</f>
        <v/>
      </c>
    </row>
    <row r="120" customFormat="false" ht="15" hidden="false" customHeight="false" outlineLevel="0" collapsed="false">
      <c r="A120" s="14"/>
      <c r="B120" s="13"/>
      <c r="C120" s="31"/>
      <c r="D120" s="15"/>
      <c r="E120" s="15"/>
      <c r="F120" s="24" t="str">
        <f aca="false">IF(A120="","",SUMIFS(Hareketler!$D$5:$D$1504,Hareketler!$C$5:$C$1504,A120,Hareketler!$B$5:$B$1504,"Giriş"))</f>
        <v/>
      </c>
      <c r="G120" s="24" t="str">
        <f aca="false">IF(A120="","",SUMIFS(Hareketler!$D$5:$D$1504,Hareketler!$C$5:$C$1504,A120,Hareketler!$B$5:$B$1504,"Çıkış"))</f>
        <v/>
      </c>
      <c r="H120" s="32" t="str">
        <f aca="false">IF(A120="","",D120+F120-G120)</f>
        <v/>
      </c>
      <c r="I120" s="29" t="str">
        <f aca="false">IF(A120="","",H120*C120)</f>
        <v/>
      </c>
      <c r="J120" s="25" t="str">
        <f aca="false">IF(A120="","",IF(H120&lt;=0,"Tükendi",IF(H120&lt;=E120,"Kritik","Yeterli")))</f>
        <v/>
      </c>
      <c r="K120" s="33" t="str">
        <f aca="false">IF(A120="","",IF(SUMPRODUCT(MAX((Hareketler!$C$5:$C$1504=A120)*Hareketler!$A$5:$A$1504))=0,"",SUMPRODUCT(MAX((Hareketler!$C$5:$C$1504=A120)*Hareketler!$A$5:$A$1504))))</f>
        <v/>
      </c>
      <c r="L120" s="24" t="str">
        <f aca="true">IF(OR(A120="",K120=""),"",TODAY()-K120)</f>
        <v/>
      </c>
      <c r="M120" s="16" t="str">
        <f aca="false">IF(OR(J120="Tükendi",J120="Kritik"),ROW(),"")</f>
        <v/>
      </c>
      <c r="N120" s="16" t="str">
        <f aca="false">IF(A120="","",I120+ROW()/1000000)</f>
        <v/>
      </c>
    </row>
    <row r="121" customFormat="false" ht="15" hidden="false" customHeight="false" outlineLevel="0" collapsed="false">
      <c r="A121" s="14"/>
      <c r="B121" s="13"/>
      <c r="C121" s="31"/>
      <c r="D121" s="15"/>
      <c r="E121" s="15"/>
      <c r="F121" s="24" t="str">
        <f aca="false">IF(A121="","",SUMIFS(Hareketler!$D$5:$D$1504,Hareketler!$C$5:$C$1504,A121,Hareketler!$B$5:$B$1504,"Giriş"))</f>
        <v/>
      </c>
      <c r="G121" s="24" t="str">
        <f aca="false">IF(A121="","",SUMIFS(Hareketler!$D$5:$D$1504,Hareketler!$C$5:$C$1504,A121,Hareketler!$B$5:$B$1504,"Çıkış"))</f>
        <v/>
      </c>
      <c r="H121" s="32" t="str">
        <f aca="false">IF(A121="","",D121+F121-G121)</f>
        <v/>
      </c>
      <c r="I121" s="29" t="str">
        <f aca="false">IF(A121="","",H121*C121)</f>
        <v/>
      </c>
      <c r="J121" s="25" t="str">
        <f aca="false">IF(A121="","",IF(H121&lt;=0,"Tükendi",IF(H121&lt;=E121,"Kritik","Yeterli")))</f>
        <v/>
      </c>
      <c r="K121" s="33" t="str">
        <f aca="false">IF(A121="","",IF(SUMPRODUCT(MAX((Hareketler!$C$5:$C$1504=A121)*Hareketler!$A$5:$A$1504))=0,"",SUMPRODUCT(MAX((Hareketler!$C$5:$C$1504=A121)*Hareketler!$A$5:$A$1504))))</f>
        <v/>
      </c>
      <c r="L121" s="24" t="str">
        <f aca="true">IF(OR(A121="",K121=""),"",TODAY()-K121)</f>
        <v/>
      </c>
      <c r="M121" s="16" t="str">
        <f aca="false">IF(OR(J121="Tükendi",J121="Kritik"),ROW(),"")</f>
        <v/>
      </c>
      <c r="N121" s="16" t="str">
        <f aca="false">IF(A121="","",I121+ROW()/1000000)</f>
        <v/>
      </c>
    </row>
    <row r="122" customFormat="false" ht="15" hidden="false" customHeight="false" outlineLevel="0" collapsed="false">
      <c r="A122" s="14"/>
      <c r="B122" s="13"/>
      <c r="C122" s="31"/>
      <c r="D122" s="15"/>
      <c r="E122" s="15"/>
      <c r="F122" s="24" t="str">
        <f aca="false">IF(A122="","",SUMIFS(Hareketler!$D$5:$D$1504,Hareketler!$C$5:$C$1504,A122,Hareketler!$B$5:$B$1504,"Giriş"))</f>
        <v/>
      </c>
      <c r="G122" s="24" t="str">
        <f aca="false">IF(A122="","",SUMIFS(Hareketler!$D$5:$D$1504,Hareketler!$C$5:$C$1504,A122,Hareketler!$B$5:$B$1504,"Çıkış"))</f>
        <v/>
      </c>
      <c r="H122" s="32" t="str">
        <f aca="false">IF(A122="","",D122+F122-G122)</f>
        <v/>
      </c>
      <c r="I122" s="29" t="str">
        <f aca="false">IF(A122="","",H122*C122)</f>
        <v/>
      </c>
      <c r="J122" s="25" t="str">
        <f aca="false">IF(A122="","",IF(H122&lt;=0,"Tükendi",IF(H122&lt;=E122,"Kritik","Yeterli")))</f>
        <v/>
      </c>
      <c r="K122" s="33" t="str">
        <f aca="false">IF(A122="","",IF(SUMPRODUCT(MAX((Hareketler!$C$5:$C$1504=A122)*Hareketler!$A$5:$A$1504))=0,"",SUMPRODUCT(MAX((Hareketler!$C$5:$C$1504=A122)*Hareketler!$A$5:$A$1504))))</f>
        <v/>
      </c>
      <c r="L122" s="24" t="str">
        <f aca="true">IF(OR(A122="",K122=""),"",TODAY()-K122)</f>
        <v/>
      </c>
      <c r="M122" s="16" t="str">
        <f aca="false">IF(OR(J122="Tükendi",J122="Kritik"),ROW(),"")</f>
        <v/>
      </c>
      <c r="N122" s="16" t="str">
        <f aca="false">IF(A122="","",I122+ROW()/1000000)</f>
        <v/>
      </c>
    </row>
    <row r="123" customFormat="false" ht="15" hidden="false" customHeight="false" outlineLevel="0" collapsed="false">
      <c r="A123" s="14"/>
      <c r="B123" s="13"/>
      <c r="C123" s="31"/>
      <c r="D123" s="15"/>
      <c r="E123" s="15"/>
      <c r="F123" s="24" t="str">
        <f aca="false">IF(A123="","",SUMIFS(Hareketler!$D$5:$D$1504,Hareketler!$C$5:$C$1504,A123,Hareketler!$B$5:$B$1504,"Giriş"))</f>
        <v/>
      </c>
      <c r="G123" s="24" t="str">
        <f aca="false">IF(A123="","",SUMIFS(Hareketler!$D$5:$D$1504,Hareketler!$C$5:$C$1504,A123,Hareketler!$B$5:$B$1504,"Çıkış"))</f>
        <v/>
      </c>
      <c r="H123" s="32" t="str">
        <f aca="false">IF(A123="","",D123+F123-G123)</f>
        <v/>
      </c>
      <c r="I123" s="29" t="str">
        <f aca="false">IF(A123="","",H123*C123)</f>
        <v/>
      </c>
      <c r="J123" s="25" t="str">
        <f aca="false">IF(A123="","",IF(H123&lt;=0,"Tükendi",IF(H123&lt;=E123,"Kritik","Yeterli")))</f>
        <v/>
      </c>
      <c r="K123" s="33" t="str">
        <f aca="false">IF(A123="","",IF(SUMPRODUCT(MAX((Hareketler!$C$5:$C$1504=A123)*Hareketler!$A$5:$A$1504))=0,"",SUMPRODUCT(MAX((Hareketler!$C$5:$C$1504=A123)*Hareketler!$A$5:$A$1504))))</f>
        <v/>
      </c>
      <c r="L123" s="24" t="str">
        <f aca="true">IF(OR(A123="",K123=""),"",TODAY()-K123)</f>
        <v/>
      </c>
      <c r="M123" s="16" t="str">
        <f aca="false">IF(OR(J123="Tükendi",J123="Kritik"),ROW(),"")</f>
        <v/>
      </c>
      <c r="N123" s="16" t="str">
        <f aca="false">IF(A123="","",I123+ROW()/1000000)</f>
        <v/>
      </c>
    </row>
    <row r="124" customFormat="false" ht="15" hidden="false" customHeight="false" outlineLevel="0" collapsed="false">
      <c r="A124" s="14"/>
      <c r="B124" s="13"/>
      <c r="C124" s="31"/>
      <c r="D124" s="15"/>
      <c r="E124" s="15"/>
      <c r="F124" s="24" t="str">
        <f aca="false">IF(A124="","",SUMIFS(Hareketler!$D$5:$D$1504,Hareketler!$C$5:$C$1504,A124,Hareketler!$B$5:$B$1504,"Giriş"))</f>
        <v/>
      </c>
      <c r="G124" s="24" t="str">
        <f aca="false">IF(A124="","",SUMIFS(Hareketler!$D$5:$D$1504,Hareketler!$C$5:$C$1504,A124,Hareketler!$B$5:$B$1504,"Çıkış"))</f>
        <v/>
      </c>
      <c r="H124" s="32" t="str">
        <f aca="false">IF(A124="","",D124+F124-G124)</f>
        <v/>
      </c>
      <c r="I124" s="29" t="str">
        <f aca="false">IF(A124="","",H124*C124)</f>
        <v/>
      </c>
      <c r="J124" s="25" t="str">
        <f aca="false">IF(A124="","",IF(H124&lt;=0,"Tükendi",IF(H124&lt;=E124,"Kritik","Yeterli")))</f>
        <v/>
      </c>
      <c r="K124" s="33" t="str">
        <f aca="false">IF(A124="","",IF(SUMPRODUCT(MAX((Hareketler!$C$5:$C$1504=A124)*Hareketler!$A$5:$A$1504))=0,"",SUMPRODUCT(MAX((Hareketler!$C$5:$C$1504=A124)*Hareketler!$A$5:$A$1504))))</f>
        <v/>
      </c>
      <c r="L124" s="24" t="str">
        <f aca="true">IF(OR(A124="",K124=""),"",TODAY()-K124)</f>
        <v/>
      </c>
      <c r="M124" s="16" t="str">
        <f aca="false">IF(OR(J124="Tükendi",J124="Kritik"),ROW(),"")</f>
        <v/>
      </c>
      <c r="N124" s="16" t="str">
        <f aca="false">IF(A124="","",I124+ROW()/1000000)</f>
        <v/>
      </c>
    </row>
    <row r="125" customFormat="false" ht="15" hidden="false" customHeight="false" outlineLevel="0" collapsed="false">
      <c r="A125" s="14"/>
      <c r="B125" s="13"/>
      <c r="C125" s="31"/>
      <c r="D125" s="15"/>
      <c r="E125" s="15"/>
      <c r="F125" s="24" t="str">
        <f aca="false">IF(A125="","",SUMIFS(Hareketler!$D$5:$D$1504,Hareketler!$C$5:$C$1504,A125,Hareketler!$B$5:$B$1504,"Giriş"))</f>
        <v/>
      </c>
      <c r="G125" s="24" t="str">
        <f aca="false">IF(A125="","",SUMIFS(Hareketler!$D$5:$D$1504,Hareketler!$C$5:$C$1504,A125,Hareketler!$B$5:$B$1504,"Çıkış"))</f>
        <v/>
      </c>
      <c r="H125" s="32" t="str">
        <f aca="false">IF(A125="","",D125+F125-G125)</f>
        <v/>
      </c>
      <c r="I125" s="29" t="str">
        <f aca="false">IF(A125="","",H125*C125)</f>
        <v/>
      </c>
      <c r="J125" s="25" t="str">
        <f aca="false">IF(A125="","",IF(H125&lt;=0,"Tükendi",IF(H125&lt;=E125,"Kritik","Yeterli")))</f>
        <v/>
      </c>
      <c r="K125" s="33" t="str">
        <f aca="false">IF(A125="","",IF(SUMPRODUCT(MAX((Hareketler!$C$5:$C$1504=A125)*Hareketler!$A$5:$A$1504))=0,"",SUMPRODUCT(MAX((Hareketler!$C$5:$C$1504=A125)*Hareketler!$A$5:$A$1504))))</f>
        <v/>
      </c>
      <c r="L125" s="24" t="str">
        <f aca="true">IF(OR(A125="",K125=""),"",TODAY()-K125)</f>
        <v/>
      </c>
      <c r="M125" s="16" t="str">
        <f aca="false">IF(OR(J125="Tükendi",J125="Kritik"),ROW(),"")</f>
        <v/>
      </c>
      <c r="N125" s="16" t="str">
        <f aca="false">IF(A125="","",I125+ROW()/1000000)</f>
        <v/>
      </c>
    </row>
    <row r="126" customFormat="false" ht="15" hidden="false" customHeight="false" outlineLevel="0" collapsed="false">
      <c r="A126" s="14"/>
      <c r="B126" s="13"/>
      <c r="C126" s="31"/>
      <c r="D126" s="15"/>
      <c r="E126" s="15"/>
      <c r="F126" s="24" t="str">
        <f aca="false">IF(A126="","",SUMIFS(Hareketler!$D$5:$D$1504,Hareketler!$C$5:$C$1504,A126,Hareketler!$B$5:$B$1504,"Giriş"))</f>
        <v/>
      </c>
      <c r="G126" s="24" t="str">
        <f aca="false">IF(A126="","",SUMIFS(Hareketler!$D$5:$D$1504,Hareketler!$C$5:$C$1504,A126,Hareketler!$B$5:$B$1504,"Çıkış"))</f>
        <v/>
      </c>
      <c r="H126" s="32" t="str">
        <f aca="false">IF(A126="","",D126+F126-G126)</f>
        <v/>
      </c>
      <c r="I126" s="29" t="str">
        <f aca="false">IF(A126="","",H126*C126)</f>
        <v/>
      </c>
      <c r="J126" s="25" t="str">
        <f aca="false">IF(A126="","",IF(H126&lt;=0,"Tükendi",IF(H126&lt;=E126,"Kritik","Yeterli")))</f>
        <v/>
      </c>
      <c r="K126" s="33" t="str">
        <f aca="false">IF(A126="","",IF(SUMPRODUCT(MAX((Hareketler!$C$5:$C$1504=A126)*Hareketler!$A$5:$A$1504))=0,"",SUMPRODUCT(MAX((Hareketler!$C$5:$C$1504=A126)*Hareketler!$A$5:$A$1504))))</f>
        <v/>
      </c>
      <c r="L126" s="24" t="str">
        <f aca="true">IF(OR(A126="",K126=""),"",TODAY()-K126)</f>
        <v/>
      </c>
      <c r="M126" s="16" t="str">
        <f aca="false">IF(OR(J126="Tükendi",J126="Kritik"),ROW(),"")</f>
        <v/>
      </c>
      <c r="N126" s="16" t="str">
        <f aca="false">IF(A126="","",I126+ROW()/1000000)</f>
        <v/>
      </c>
    </row>
    <row r="127" customFormat="false" ht="15" hidden="false" customHeight="false" outlineLevel="0" collapsed="false">
      <c r="A127" s="14"/>
      <c r="B127" s="13"/>
      <c r="C127" s="31"/>
      <c r="D127" s="15"/>
      <c r="E127" s="15"/>
      <c r="F127" s="24" t="str">
        <f aca="false">IF(A127="","",SUMIFS(Hareketler!$D$5:$D$1504,Hareketler!$C$5:$C$1504,A127,Hareketler!$B$5:$B$1504,"Giriş"))</f>
        <v/>
      </c>
      <c r="G127" s="24" t="str">
        <f aca="false">IF(A127="","",SUMIFS(Hareketler!$D$5:$D$1504,Hareketler!$C$5:$C$1504,A127,Hareketler!$B$5:$B$1504,"Çıkış"))</f>
        <v/>
      </c>
      <c r="H127" s="32" t="str">
        <f aca="false">IF(A127="","",D127+F127-G127)</f>
        <v/>
      </c>
      <c r="I127" s="29" t="str">
        <f aca="false">IF(A127="","",H127*C127)</f>
        <v/>
      </c>
      <c r="J127" s="25" t="str">
        <f aca="false">IF(A127="","",IF(H127&lt;=0,"Tükendi",IF(H127&lt;=E127,"Kritik","Yeterli")))</f>
        <v/>
      </c>
      <c r="K127" s="33" t="str">
        <f aca="false">IF(A127="","",IF(SUMPRODUCT(MAX((Hareketler!$C$5:$C$1504=A127)*Hareketler!$A$5:$A$1504))=0,"",SUMPRODUCT(MAX((Hareketler!$C$5:$C$1504=A127)*Hareketler!$A$5:$A$1504))))</f>
        <v/>
      </c>
      <c r="L127" s="24" t="str">
        <f aca="true">IF(OR(A127="",K127=""),"",TODAY()-K127)</f>
        <v/>
      </c>
      <c r="M127" s="16" t="str">
        <f aca="false">IF(OR(J127="Tükendi",J127="Kritik"),ROW(),"")</f>
        <v/>
      </c>
      <c r="N127" s="16" t="str">
        <f aca="false">IF(A127="","",I127+ROW()/1000000)</f>
        <v/>
      </c>
    </row>
    <row r="128" customFormat="false" ht="15" hidden="false" customHeight="false" outlineLevel="0" collapsed="false">
      <c r="A128" s="14"/>
      <c r="B128" s="13"/>
      <c r="C128" s="31"/>
      <c r="D128" s="15"/>
      <c r="E128" s="15"/>
      <c r="F128" s="24" t="str">
        <f aca="false">IF(A128="","",SUMIFS(Hareketler!$D$5:$D$1504,Hareketler!$C$5:$C$1504,A128,Hareketler!$B$5:$B$1504,"Giriş"))</f>
        <v/>
      </c>
      <c r="G128" s="24" t="str">
        <f aca="false">IF(A128="","",SUMIFS(Hareketler!$D$5:$D$1504,Hareketler!$C$5:$C$1504,A128,Hareketler!$B$5:$B$1504,"Çıkış"))</f>
        <v/>
      </c>
      <c r="H128" s="32" t="str">
        <f aca="false">IF(A128="","",D128+F128-G128)</f>
        <v/>
      </c>
      <c r="I128" s="29" t="str">
        <f aca="false">IF(A128="","",H128*C128)</f>
        <v/>
      </c>
      <c r="J128" s="25" t="str">
        <f aca="false">IF(A128="","",IF(H128&lt;=0,"Tükendi",IF(H128&lt;=E128,"Kritik","Yeterli")))</f>
        <v/>
      </c>
      <c r="K128" s="33" t="str">
        <f aca="false">IF(A128="","",IF(SUMPRODUCT(MAX((Hareketler!$C$5:$C$1504=A128)*Hareketler!$A$5:$A$1504))=0,"",SUMPRODUCT(MAX((Hareketler!$C$5:$C$1504=A128)*Hareketler!$A$5:$A$1504))))</f>
        <v/>
      </c>
      <c r="L128" s="24" t="str">
        <f aca="true">IF(OR(A128="",K128=""),"",TODAY()-K128)</f>
        <v/>
      </c>
      <c r="M128" s="16" t="str">
        <f aca="false">IF(OR(J128="Tükendi",J128="Kritik"),ROW(),"")</f>
        <v/>
      </c>
      <c r="N128" s="16" t="str">
        <f aca="false">IF(A128="","",I128+ROW()/1000000)</f>
        <v/>
      </c>
    </row>
    <row r="129" customFormat="false" ht="15" hidden="false" customHeight="false" outlineLevel="0" collapsed="false">
      <c r="A129" s="14"/>
      <c r="B129" s="13"/>
      <c r="C129" s="31"/>
      <c r="D129" s="15"/>
      <c r="E129" s="15"/>
      <c r="F129" s="24" t="str">
        <f aca="false">IF(A129="","",SUMIFS(Hareketler!$D$5:$D$1504,Hareketler!$C$5:$C$1504,A129,Hareketler!$B$5:$B$1504,"Giriş"))</f>
        <v/>
      </c>
      <c r="G129" s="24" t="str">
        <f aca="false">IF(A129="","",SUMIFS(Hareketler!$D$5:$D$1504,Hareketler!$C$5:$C$1504,A129,Hareketler!$B$5:$B$1504,"Çıkış"))</f>
        <v/>
      </c>
      <c r="H129" s="32" t="str">
        <f aca="false">IF(A129="","",D129+F129-G129)</f>
        <v/>
      </c>
      <c r="I129" s="29" t="str">
        <f aca="false">IF(A129="","",H129*C129)</f>
        <v/>
      </c>
      <c r="J129" s="25" t="str">
        <f aca="false">IF(A129="","",IF(H129&lt;=0,"Tükendi",IF(H129&lt;=E129,"Kritik","Yeterli")))</f>
        <v/>
      </c>
      <c r="K129" s="33" t="str">
        <f aca="false">IF(A129="","",IF(SUMPRODUCT(MAX((Hareketler!$C$5:$C$1504=A129)*Hareketler!$A$5:$A$1504))=0,"",SUMPRODUCT(MAX((Hareketler!$C$5:$C$1504=A129)*Hareketler!$A$5:$A$1504))))</f>
        <v/>
      </c>
      <c r="L129" s="24" t="str">
        <f aca="true">IF(OR(A129="",K129=""),"",TODAY()-K129)</f>
        <v/>
      </c>
      <c r="M129" s="16" t="str">
        <f aca="false">IF(OR(J129="Tükendi",J129="Kritik"),ROW(),"")</f>
        <v/>
      </c>
      <c r="N129" s="16" t="str">
        <f aca="false">IF(A129="","",I129+ROW()/1000000)</f>
        <v/>
      </c>
    </row>
    <row r="130" customFormat="false" ht="15" hidden="false" customHeight="false" outlineLevel="0" collapsed="false">
      <c r="A130" s="14"/>
      <c r="B130" s="13"/>
      <c r="C130" s="31"/>
      <c r="D130" s="15"/>
      <c r="E130" s="15"/>
      <c r="F130" s="24" t="str">
        <f aca="false">IF(A130="","",SUMIFS(Hareketler!$D$5:$D$1504,Hareketler!$C$5:$C$1504,A130,Hareketler!$B$5:$B$1504,"Giriş"))</f>
        <v/>
      </c>
      <c r="G130" s="24" t="str">
        <f aca="false">IF(A130="","",SUMIFS(Hareketler!$D$5:$D$1504,Hareketler!$C$5:$C$1504,A130,Hareketler!$B$5:$B$1504,"Çıkış"))</f>
        <v/>
      </c>
      <c r="H130" s="32" t="str">
        <f aca="false">IF(A130="","",D130+F130-G130)</f>
        <v/>
      </c>
      <c r="I130" s="29" t="str">
        <f aca="false">IF(A130="","",H130*C130)</f>
        <v/>
      </c>
      <c r="J130" s="25" t="str">
        <f aca="false">IF(A130="","",IF(H130&lt;=0,"Tükendi",IF(H130&lt;=E130,"Kritik","Yeterli")))</f>
        <v/>
      </c>
      <c r="K130" s="33" t="str">
        <f aca="false">IF(A130="","",IF(SUMPRODUCT(MAX((Hareketler!$C$5:$C$1504=A130)*Hareketler!$A$5:$A$1504))=0,"",SUMPRODUCT(MAX((Hareketler!$C$5:$C$1504=A130)*Hareketler!$A$5:$A$1504))))</f>
        <v/>
      </c>
      <c r="L130" s="24" t="str">
        <f aca="true">IF(OR(A130="",K130=""),"",TODAY()-K130)</f>
        <v/>
      </c>
      <c r="M130" s="16" t="str">
        <f aca="false">IF(OR(J130="Tükendi",J130="Kritik"),ROW(),"")</f>
        <v/>
      </c>
      <c r="N130" s="16" t="str">
        <f aca="false">IF(A130="","",I130+ROW()/1000000)</f>
        <v/>
      </c>
    </row>
    <row r="131" customFormat="false" ht="15" hidden="false" customHeight="false" outlineLevel="0" collapsed="false">
      <c r="A131" s="14"/>
      <c r="B131" s="13"/>
      <c r="C131" s="31"/>
      <c r="D131" s="15"/>
      <c r="E131" s="15"/>
      <c r="F131" s="24" t="str">
        <f aca="false">IF(A131="","",SUMIFS(Hareketler!$D$5:$D$1504,Hareketler!$C$5:$C$1504,A131,Hareketler!$B$5:$B$1504,"Giriş"))</f>
        <v/>
      </c>
      <c r="G131" s="24" t="str">
        <f aca="false">IF(A131="","",SUMIFS(Hareketler!$D$5:$D$1504,Hareketler!$C$5:$C$1504,A131,Hareketler!$B$5:$B$1504,"Çıkış"))</f>
        <v/>
      </c>
      <c r="H131" s="32" t="str">
        <f aca="false">IF(A131="","",D131+F131-G131)</f>
        <v/>
      </c>
      <c r="I131" s="29" t="str">
        <f aca="false">IF(A131="","",H131*C131)</f>
        <v/>
      </c>
      <c r="J131" s="25" t="str">
        <f aca="false">IF(A131="","",IF(H131&lt;=0,"Tükendi",IF(H131&lt;=E131,"Kritik","Yeterli")))</f>
        <v/>
      </c>
      <c r="K131" s="33" t="str">
        <f aca="false">IF(A131="","",IF(SUMPRODUCT(MAX((Hareketler!$C$5:$C$1504=A131)*Hareketler!$A$5:$A$1504))=0,"",SUMPRODUCT(MAX((Hareketler!$C$5:$C$1504=A131)*Hareketler!$A$5:$A$1504))))</f>
        <v/>
      </c>
      <c r="L131" s="24" t="str">
        <f aca="true">IF(OR(A131="",K131=""),"",TODAY()-K131)</f>
        <v/>
      </c>
      <c r="M131" s="16" t="str">
        <f aca="false">IF(OR(J131="Tükendi",J131="Kritik"),ROW(),"")</f>
        <v/>
      </c>
      <c r="N131" s="16" t="str">
        <f aca="false">IF(A131="","",I131+ROW()/1000000)</f>
        <v/>
      </c>
    </row>
    <row r="132" customFormat="false" ht="15" hidden="false" customHeight="false" outlineLevel="0" collapsed="false">
      <c r="A132" s="14"/>
      <c r="B132" s="13"/>
      <c r="C132" s="31"/>
      <c r="D132" s="15"/>
      <c r="E132" s="15"/>
      <c r="F132" s="24" t="str">
        <f aca="false">IF(A132="","",SUMIFS(Hareketler!$D$5:$D$1504,Hareketler!$C$5:$C$1504,A132,Hareketler!$B$5:$B$1504,"Giriş"))</f>
        <v/>
      </c>
      <c r="G132" s="24" t="str">
        <f aca="false">IF(A132="","",SUMIFS(Hareketler!$D$5:$D$1504,Hareketler!$C$5:$C$1504,A132,Hareketler!$B$5:$B$1504,"Çıkış"))</f>
        <v/>
      </c>
      <c r="H132" s="32" t="str">
        <f aca="false">IF(A132="","",D132+F132-G132)</f>
        <v/>
      </c>
      <c r="I132" s="29" t="str">
        <f aca="false">IF(A132="","",H132*C132)</f>
        <v/>
      </c>
      <c r="J132" s="25" t="str">
        <f aca="false">IF(A132="","",IF(H132&lt;=0,"Tükendi",IF(H132&lt;=E132,"Kritik","Yeterli")))</f>
        <v/>
      </c>
      <c r="K132" s="33" t="str">
        <f aca="false">IF(A132="","",IF(SUMPRODUCT(MAX((Hareketler!$C$5:$C$1504=A132)*Hareketler!$A$5:$A$1504))=0,"",SUMPRODUCT(MAX((Hareketler!$C$5:$C$1504=A132)*Hareketler!$A$5:$A$1504))))</f>
        <v/>
      </c>
      <c r="L132" s="24" t="str">
        <f aca="true">IF(OR(A132="",K132=""),"",TODAY()-K132)</f>
        <v/>
      </c>
      <c r="M132" s="16" t="str">
        <f aca="false">IF(OR(J132="Tükendi",J132="Kritik"),ROW(),"")</f>
        <v/>
      </c>
      <c r="N132" s="16" t="str">
        <f aca="false">IF(A132="","",I132+ROW()/1000000)</f>
        <v/>
      </c>
    </row>
    <row r="133" customFormat="false" ht="15" hidden="false" customHeight="false" outlineLevel="0" collapsed="false">
      <c r="A133" s="14"/>
      <c r="B133" s="13"/>
      <c r="C133" s="31"/>
      <c r="D133" s="15"/>
      <c r="E133" s="15"/>
      <c r="F133" s="24" t="str">
        <f aca="false">IF(A133="","",SUMIFS(Hareketler!$D$5:$D$1504,Hareketler!$C$5:$C$1504,A133,Hareketler!$B$5:$B$1504,"Giriş"))</f>
        <v/>
      </c>
      <c r="G133" s="24" t="str">
        <f aca="false">IF(A133="","",SUMIFS(Hareketler!$D$5:$D$1504,Hareketler!$C$5:$C$1504,A133,Hareketler!$B$5:$B$1504,"Çıkış"))</f>
        <v/>
      </c>
      <c r="H133" s="32" t="str">
        <f aca="false">IF(A133="","",D133+F133-G133)</f>
        <v/>
      </c>
      <c r="I133" s="29" t="str">
        <f aca="false">IF(A133="","",H133*C133)</f>
        <v/>
      </c>
      <c r="J133" s="25" t="str">
        <f aca="false">IF(A133="","",IF(H133&lt;=0,"Tükendi",IF(H133&lt;=E133,"Kritik","Yeterli")))</f>
        <v/>
      </c>
      <c r="K133" s="33" t="str">
        <f aca="false">IF(A133="","",IF(SUMPRODUCT(MAX((Hareketler!$C$5:$C$1504=A133)*Hareketler!$A$5:$A$1504))=0,"",SUMPRODUCT(MAX((Hareketler!$C$5:$C$1504=A133)*Hareketler!$A$5:$A$1504))))</f>
        <v/>
      </c>
      <c r="L133" s="24" t="str">
        <f aca="true">IF(OR(A133="",K133=""),"",TODAY()-K133)</f>
        <v/>
      </c>
      <c r="M133" s="16" t="str">
        <f aca="false">IF(OR(J133="Tükendi",J133="Kritik"),ROW(),"")</f>
        <v/>
      </c>
      <c r="N133" s="16" t="str">
        <f aca="false">IF(A133="","",I133+ROW()/1000000)</f>
        <v/>
      </c>
    </row>
    <row r="134" customFormat="false" ht="15" hidden="false" customHeight="false" outlineLevel="0" collapsed="false">
      <c r="A134" s="14"/>
      <c r="B134" s="13"/>
      <c r="C134" s="31"/>
      <c r="D134" s="15"/>
      <c r="E134" s="15"/>
      <c r="F134" s="24" t="str">
        <f aca="false">IF(A134="","",SUMIFS(Hareketler!$D$5:$D$1504,Hareketler!$C$5:$C$1504,A134,Hareketler!$B$5:$B$1504,"Giriş"))</f>
        <v/>
      </c>
      <c r="G134" s="24" t="str">
        <f aca="false">IF(A134="","",SUMIFS(Hareketler!$D$5:$D$1504,Hareketler!$C$5:$C$1504,A134,Hareketler!$B$5:$B$1504,"Çıkış"))</f>
        <v/>
      </c>
      <c r="H134" s="32" t="str">
        <f aca="false">IF(A134="","",D134+F134-G134)</f>
        <v/>
      </c>
      <c r="I134" s="29" t="str">
        <f aca="false">IF(A134="","",H134*C134)</f>
        <v/>
      </c>
      <c r="J134" s="25" t="str">
        <f aca="false">IF(A134="","",IF(H134&lt;=0,"Tükendi",IF(H134&lt;=E134,"Kritik","Yeterli")))</f>
        <v/>
      </c>
      <c r="K134" s="33" t="str">
        <f aca="false">IF(A134="","",IF(SUMPRODUCT(MAX((Hareketler!$C$5:$C$1504=A134)*Hareketler!$A$5:$A$1504))=0,"",SUMPRODUCT(MAX((Hareketler!$C$5:$C$1504=A134)*Hareketler!$A$5:$A$1504))))</f>
        <v/>
      </c>
      <c r="L134" s="24" t="str">
        <f aca="true">IF(OR(A134="",K134=""),"",TODAY()-K134)</f>
        <v/>
      </c>
      <c r="M134" s="16" t="str">
        <f aca="false">IF(OR(J134="Tükendi",J134="Kritik"),ROW(),"")</f>
        <v/>
      </c>
      <c r="N134" s="16" t="str">
        <f aca="false">IF(A134="","",I134+ROW()/1000000)</f>
        <v/>
      </c>
    </row>
    <row r="135" customFormat="false" ht="15" hidden="false" customHeight="false" outlineLevel="0" collapsed="false">
      <c r="A135" s="14"/>
      <c r="B135" s="13"/>
      <c r="C135" s="31"/>
      <c r="D135" s="15"/>
      <c r="E135" s="15"/>
      <c r="F135" s="24" t="str">
        <f aca="false">IF(A135="","",SUMIFS(Hareketler!$D$5:$D$1504,Hareketler!$C$5:$C$1504,A135,Hareketler!$B$5:$B$1504,"Giriş"))</f>
        <v/>
      </c>
      <c r="G135" s="24" t="str">
        <f aca="false">IF(A135="","",SUMIFS(Hareketler!$D$5:$D$1504,Hareketler!$C$5:$C$1504,A135,Hareketler!$B$5:$B$1504,"Çıkış"))</f>
        <v/>
      </c>
      <c r="H135" s="32" t="str">
        <f aca="false">IF(A135="","",D135+F135-G135)</f>
        <v/>
      </c>
      <c r="I135" s="29" t="str">
        <f aca="false">IF(A135="","",H135*C135)</f>
        <v/>
      </c>
      <c r="J135" s="25" t="str">
        <f aca="false">IF(A135="","",IF(H135&lt;=0,"Tükendi",IF(H135&lt;=E135,"Kritik","Yeterli")))</f>
        <v/>
      </c>
      <c r="K135" s="33" t="str">
        <f aca="false">IF(A135="","",IF(SUMPRODUCT(MAX((Hareketler!$C$5:$C$1504=A135)*Hareketler!$A$5:$A$1504))=0,"",SUMPRODUCT(MAX((Hareketler!$C$5:$C$1504=A135)*Hareketler!$A$5:$A$1504))))</f>
        <v/>
      </c>
      <c r="L135" s="24" t="str">
        <f aca="true">IF(OR(A135="",K135=""),"",TODAY()-K135)</f>
        <v/>
      </c>
      <c r="M135" s="16" t="str">
        <f aca="false">IF(OR(J135="Tükendi",J135="Kritik"),ROW(),"")</f>
        <v/>
      </c>
      <c r="N135" s="16" t="str">
        <f aca="false">IF(A135="","",I135+ROW()/1000000)</f>
        <v/>
      </c>
    </row>
    <row r="136" customFormat="false" ht="15" hidden="false" customHeight="false" outlineLevel="0" collapsed="false">
      <c r="A136" s="14"/>
      <c r="B136" s="13"/>
      <c r="C136" s="31"/>
      <c r="D136" s="15"/>
      <c r="E136" s="15"/>
      <c r="F136" s="24" t="str">
        <f aca="false">IF(A136="","",SUMIFS(Hareketler!$D$5:$D$1504,Hareketler!$C$5:$C$1504,A136,Hareketler!$B$5:$B$1504,"Giriş"))</f>
        <v/>
      </c>
      <c r="G136" s="24" t="str">
        <f aca="false">IF(A136="","",SUMIFS(Hareketler!$D$5:$D$1504,Hareketler!$C$5:$C$1504,A136,Hareketler!$B$5:$B$1504,"Çıkış"))</f>
        <v/>
      </c>
      <c r="H136" s="32" t="str">
        <f aca="false">IF(A136="","",D136+F136-G136)</f>
        <v/>
      </c>
      <c r="I136" s="29" t="str">
        <f aca="false">IF(A136="","",H136*C136)</f>
        <v/>
      </c>
      <c r="J136" s="25" t="str">
        <f aca="false">IF(A136="","",IF(H136&lt;=0,"Tükendi",IF(H136&lt;=E136,"Kritik","Yeterli")))</f>
        <v/>
      </c>
      <c r="K136" s="33" t="str">
        <f aca="false">IF(A136="","",IF(SUMPRODUCT(MAX((Hareketler!$C$5:$C$1504=A136)*Hareketler!$A$5:$A$1504))=0,"",SUMPRODUCT(MAX((Hareketler!$C$5:$C$1504=A136)*Hareketler!$A$5:$A$1504))))</f>
        <v/>
      </c>
      <c r="L136" s="24" t="str">
        <f aca="true">IF(OR(A136="",K136=""),"",TODAY()-K136)</f>
        <v/>
      </c>
      <c r="M136" s="16" t="str">
        <f aca="false">IF(OR(J136="Tükendi",J136="Kritik"),ROW(),"")</f>
        <v/>
      </c>
      <c r="N136" s="16" t="str">
        <f aca="false">IF(A136="","",I136+ROW()/1000000)</f>
        <v/>
      </c>
    </row>
    <row r="137" customFormat="false" ht="15" hidden="false" customHeight="false" outlineLevel="0" collapsed="false">
      <c r="A137" s="14"/>
      <c r="B137" s="13"/>
      <c r="C137" s="31"/>
      <c r="D137" s="15"/>
      <c r="E137" s="15"/>
      <c r="F137" s="24" t="str">
        <f aca="false">IF(A137="","",SUMIFS(Hareketler!$D$5:$D$1504,Hareketler!$C$5:$C$1504,A137,Hareketler!$B$5:$B$1504,"Giriş"))</f>
        <v/>
      </c>
      <c r="G137" s="24" t="str">
        <f aca="false">IF(A137="","",SUMIFS(Hareketler!$D$5:$D$1504,Hareketler!$C$5:$C$1504,A137,Hareketler!$B$5:$B$1504,"Çıkış"))</f>
        <v/>
      </c>
      <c r="H137" s="32" t="str">
        <f aca="false">IF(A137="","",D137+F137-G137)</f>
        <v/>
      </c>
      <c r="I137" s="29" t="str">
        <f aca="false">IF(A137="","",H137*C137)</f>
        <v/>
      </c>
      <c r="J137" s="25" t="str">
        <f aca="false">IF(A137="","",IF(H137&lt;=0,"Tükendi",IF(H137&lt;=E137,"Kritik","Yeterli")))</f>
        <v/>
      </c>
      <c r="K137" s="33" t="str">
        <f aca="false">IF(A137="","",IF(SUMPRODUCT(MAX((Hareketler!$C$5:$C$1504=A137)*Hareketler!$A$5:$A$1504))=0,"",SUMPRODUCT(MAX((Hareketler!$C$5:$C$1504=A137)*Hareketler!$A$5:$A$1504))))</f>
        <v/>
      </c>
      <c r="L137" s="24" t="str">
        <f aca="true">IF(OR(A137="",K137=""),"",TODAY()-K137)</f>
        <v/>
      </c>
      <c r="M137" s="16" t="str">
        <f aca="false">IF(OR(J137="Tükendi",J137="Kritik"),ROW(),"")</f>
        <v/>
      </c>
      <c r="N137" s="16" t="str">
        <f aca="false">IF(A137="","",I137+ROW()/1000000)</f>
        <v/>
      </c>
    </row>
    <row r="138" customFormat="false" ht="15" hidden="false" customHeight="false" outlineLevel="0" collapsed="false">
      <c r="A138" s="14"/>
      <c r="B138" s="13"/>
      <c r="C138" s="31"/>
      <c r="D138" s="15"/>
      <c r="E138" s="15"/>
      <c r="F138" s="24" t="str">
        <f aca="false">IF(A138="","",SUMIFS(Hareketler!$D$5:$D$1504,Hareketler!$C$5:$C$1504,A138,Hareketler!$B$5:$B$1504,"Giriş"))</f>
        <v/>
      </c>
      <c r="G138" s="24" t="str">
        <f aca="false">IF(A138="","",SUMIFS(Hareketler!$D$5:$D$1504,Hareketler!$C$5:$C$1504,A138,Hareketler!$B$5:$B$1504,"Çıkış"))</f>
        <v/>
      </c>
      <c r="H138" s="32" t="str">
        <f aca="false">IF(A138="","",D138+F138-G138)</f>
        <v/>
      </c>
      <c r="I138" s="29" t="str">
        <f aca="false">IF(A138="","",H138*C138)</f>
        <v/>
      </c>
      <c r="J138" s="25" t="str">
        <f aca="false">IF(A138="","",IF(H138&lt;=0,"Tükendi",IF(H138&lt;=E138,"Kritik","Yeterli")))</f>
        <v/>
      </c>
      <c r="K138" s="33" t="str">
        <f aca="false">IF(A138="","",IF(SUMPRODUCT(MAX((Hareketler!$C$5:$C$1504=A138)*Hareketler!$A$5:$A$1504))=0,"",SUMPRODUCT(MAX((Hareketler!$C$5:$C$1504=A138)*Hareketler!$A$5:$A$1504))))</f>
        <v/>
      </c>
      <c r="L138" s="24" t="str">
        <f aca="true">IF(OR(A138="",K138=""),"",TODAY()-K138)</f>
        <v/>
      </c>
      <c r="M138" s="16" t="str">
        <f aca="false">IF(OR(J138="Tükendi",J138="Kritik"),ROW(),"")</f>
        <v/>
      </c>
      <c r="N138" s="16" t="str">
        <f aca="false">IF(A138="","",I138+ROW()/1000000)</f>
        <v/>
      </c>
    </row>
    <row r="139" customFormat="false" ht="15" hidden="false" customHeight="false" outlineLevel="0" collapsed="false">
      <c r="A139" s="14"/>
      <c r="B139" s="13"/>
      <c r="C139" s="31"/>
      <c r="D139" s="15"/>
      <c r="E139" s="15"/>
      <c r="F139" s="24" t="str">
        <f aca="false">IF(A139="","",SUMIFS(Hareketler!$D$5:$D$1504,Hareketler!$C$5:$C$1504,A139,Hareketler!$B$5:$B$1504,"Giriş"))</f>
        <v/>
      </c>
      <c r="G139" s="24" t="str">
        <f aca="false">IF(A139="","",SUMIFS(Hareketler!$D$5:$D$1504,Hareketler!$C$5:$C$1504,A139,Hareketler!$B$5:$B$1504,"Çıkış"))</f>
        <v/>
      </c>
      <c r="H139" s="32" t="str">
        <f aca="false">IF(A139="","",D139+F139-G139)</f>
        <v/>
      </c>
      <c r="I139" s="29" t="str">
        <f aca="false">IF(A139="","",H139*C139)</f>
        <v/>
      </c>
      <c r="J139" s="25" t="str">
        <f aca="false">IF(A139="","",IF(H139&lt;=0,"Tükendi",IF(H139&lt;=E139,"Kritik","Yeterli")))</f>
        <v/>
      </c>
      <c r="K139" s="33" t="str">
        <f aca="false">IF(A139="","",IF(SUMPRODUCT(MAX((Hareketler!$C$5:$C$1504=A139)*Hareketler!$A$5:$A$1504))=0,"",SUMPRODUCT(MAX((Hareketler!$C$5:$C$1504=A139)*Hareketler!$A$5:$A$1504))))</f>
        <v/>
      </c>
      <c r="L139" s="24" t="str">
        <f aca="true">IF(OR(A139="",K139=""),"",TODAY()-K139)</f>
        <v/>
      </c>
      <c r="M139" s="16" t="str">
        <f aca="false">IF(OR(J139="Tükendi",J139="Kritik"),ROW(),"")</f>
        <v/>
      </c>
      <c r="N139" s="16" t="str">
        <f aca="false">IF(A139="","",I139+ROW()/1000000)</f>
        <v/>
      </c>
    </row>
    <row r="140" customFormat="false" ht="15" hidden="false" customHeight="false" outlineLevel="0" collapsed="false">
      <c r="A140" s="14"/>
      <c r="B140" s="13"/>
      <c r="C140" s="31"/>
      <c r="D140" s="15"/>
      <c r="E140" s="15"/>
      <c r="F140" s="24" t="str">
        <f aca="false">IF(A140="","",SUMIFS(Hareketler!$D$5:$D$1504,Hareketler!$C$5:$C$1504,A140,Hareketler!$B$5:$B$1504,"Giriş"))</f>
        <v/>
      </c>
      <c r="G140" s="24" t="str">
        <f aca="false">IF(A140="","",SUMIFS(Hareketler!$D$5:$D$1504,Hareketler!$C$5:$C$1504,A140,Hareketler!$B$5:$B$1504,"Çıkış"))</f>
        <v/>
      </c>
      <c r="H140" s="32" t="str">
        <f aca="false">IF(A140="","",D140+F140-G140)</f>
        <v/>
      </c>
      <c r="I140" s="29" t="str">
        <f aca="false">IF(A140="","",H140*C140)</f>
        <v/>
      </c>
      <c r="J140" s="25" t="str">
        <f aca="false">IF(A140="","",IF(H140&lt;=0,"Tükendi",IF(H140&lt;=E140,"Kritik","Yeterli")))</f>
        <v/>
      </c>
      <c r="K140" s="33" t="str">
        <f aca="false">IF(A140="","",IF(SUMPRODUCT(MAX((Hareketler!$C$5:$C$1504=A140)*Hareketler!$A$5:$A$1504))=0,"",SUMPRODUCT(MAX((Hareketler!$C$5:$C$1504=A140)*Hareketler!$A$5:$A$1504))))</f>
        <v/>
      </c>
      <c r="L140" s="24" t="str">
        <f aca="true">IF(OR(A140="",K140=""),"",TODAY()-K140)</f>
        <v/>
      </c>
      <c r="M140" s="16" t="str">
        <f aca="false">IF(OR(J140="Tükendi",J140="Kritik"),ROW(),"")</f>
        <v/>
      </c>
      <c r="N140" s="16" t="str">
        <f aca="false">IF(A140="","",I140+ROW()/1000000)</f>
        <v/>
      </c>
    </row>
    <row r="141" customFormat="false" ht="15" hidden="false" customHeight="false" outlineLevel="0" collapsed="false">
      <c r="A141" s="14"/>
      <c r="B141" s="13"/>
      <c r="C141" s="31"/>
      <c r="D141" s="15"/>
      <c r="E141" s="15"/>
      <c r="F141" s="24" t="str">
        <f aca="false">IF(A141="","",SUMIFS(Hareketler!$D$5:$D$1504,Hareketler!$C$5:$C$1504,A141,Hareketler!$B$5:$B$1504,"Giriş"))</f>
        <v/>
      </c>
      <c r="G141" s="24" t="str">
        <f aca="false">IF(A141="","",SUMIFS(Hareketler!$D$5:$D$1504,Hareketler!$C$5:$C$1504,A141,Hareketler!$B$5:$B$1504,"Çıkış"))</f>
        <v/>
      </c>
      <c r="H141" s="32" t="str">
        <f aca="false">IF(A141="","",D141+F141-G141)</f>
        <v/>
      </c>
      <c r="I141" s="29" t="str">
        <f aca="false">IF(A141="","",H141*C141)</f>
        <v/>
      </c>
      <c r="J141" s="25" t="str">
        <f aca="false">IF(A141="","",IF(H141&lt;=0,"Tükendi",IF(H141&lt;=E141,"Kritik","Yeterli")))</f>
        <v/>
      </c>
      <c r="K141" s="33" t="str">
        <f aca="false">IF(A141="","",IF(SUMPRODUCT(MAX((Hareketler!$C$5:$C$1504=A141)*Hareketler!$A$5:$A$1504))=0,"",SUMPRODUCT(MAX((Hareketler!$C$5:$C$1504=A141)*Hareketler!$A$5:$A$1504))))</f>
        <v/>
      </c>
      <c r="L141" s="24" t="str">
        <f aca="true">IF(OR(A141="",K141=""),"",TODAY()-K141)</f>
        <v/>
      </c>
      <c r="M141" s="16" t="str">
        <f aca="false">IF(OR(J141="Tükendi",J141="Kritik"),ROW(),"")</f>
        <v/>
      </c>
      <c r="N141" s="16" t="str">
        <f aca="false">IF(A141="","",I141+ROW()/1000000)</f>
        <v/>
      </c>
    </row>
    <row r="142" customFormat="false" ht="15" hidden="false" customHeight="false" outlineLevel="0" collapsed="false">
      <c r="A142" s="14"/>
      <c r="B142" s="13"/>
      <c r="C142" s="31"/>
      <c r="D142" s="15"/>
      <c r="E142" s="15"/>
      <c r="F142" s="24" t="str">
        <f aca="false">IF(A142="","",SUMIFS(Hareketler!$D$5:$D$1504,Hareketler!$C$5:$C$1504,A142,Hareketler!$B$5:$B$1504,"Giriş"))</f>
        <v/>
      </c>
      <c r="G142" s="24" t="str">
        <f aca="false">IF(A142="","",SUMIFS(Hareketler!$D$5:$D$1504,Hareketler!$C$5:$C$1504,A142,Hareketler!$B$5:$B$1504,"Çıkış"))</f>
        <v/>
      </c>
      <c r="H142" s="32" t="str">
        <f aca="false">IF(A142="","",D142+F142-G142)</f>
        <v/>
      </c>
      <c r="I142" s="29" t="str">
        <f aca="false">IF(A142="","",H142*C142)</f>
        <v/>
      </c>
      <c r="J142" s="25" t="str">
        <f aca="false">IF(A142="","",IF(H142&lt;=0,"Tükendi",IF(H142&lt;=E142,"Kritik","Yeterli")))</f>
        <v/>
      </c>
      <c r="K142" s="33" t="str">
        <f aca="false">IF(A142="","",IF(SUMPRODUCT(MAX((Hareketler!$C$5:$C$1504=A142)*Hareketler!$A$5:$A$1504))=0,"",SUMPRODUCT(MAX((Hareketler!$C$5:$C$1504=A142)*Hareketler!$A$5:$A$1504))))</f>
        <v/>
      </c>
      <c r="L142" s="24" t="str">
        <f aca="true">IF(OR(A142="",K142=""),"",TODAY()-K142)</f>
        <v/>
      </c>
      <c r="M142" s="16" t="str">
        <f aca="false">IF(OR(J142="Tükendi",J142="Kritik"),ROW(),"")</f>
        <v/>
      </c>
      <c r="N142" s="16" t="str">
        <f aca="false">IF(A142="","",I142+ROW()/1000000)</f>
        <v/>
      </c>
    </row>
    <row r="143" customFormat="false" ht="15" hidden="false" customHeight="false" outlineLevel="0" collapsed="false">
      <c r="A143" s="14"/>
      <c r="B143" s="13"/>
      <c r="C143" s="31"/>
      <c r="D143" s="15"/>
      <c r="E143" s="15"/>
      <c r="F143" s="24" t="str">
        <f aca="false">IF(A143="","",SUMIFS(Hareketler!$D$5:$D$1504,Hareketler!$C$5:$C$1504,A143,Hareketler!$B$5:$B$1504,"Giriş"))</f>
        <v/>
      </c>
      <c r="G143" s="24" t="str">
        <f aca="false">IF(A143="","",SUMIFS(Hareketler!$D$5:$D$1504,Hareketler!$C$5:$C$1504,A143,Hareketler!$B$5:$B$1504,"Çıkış"))</f>
        <v/>
      </c>
      <c r="H143" s="32" t="str">
        <f aca="false">IF(A143="","",D143+F143-G143)</f>
        <v/>
      </c>
      <c r="I143" s="29" t="str">
        <f aca="false">IF(A143="","",H143*C143)</f>
        <v/>
      </c>
      <c r="J143" s="25" t="str">
        <f aca="false">IF(A143="","",IF(H143&lt;=0,"Tükendi",IF(H143&lt;=E143,"Kritik","Yeterli")))</f>
        <v/>
      </c>
      <c r="K143" s="33" t="str">
        <f aca="false">IF(A143="","",IF(SUMPRODUCT(MAX((Hareketler!$C$5:$C$1504=A143)*Hareketler!$A$5:$A$1504))=0,"",SUMPRODUCT(MAX((Hareketler!$C$5:$C$1504=A143)*Hareketler!$A$5:$A$1504))))</f>
        <v/>
      </c>
      <c r="L143" s="24" t="str">
        <f aca="true">IF(OR(A143="",K143=""),"",TODAY()-K143)</f>
        <v/>
      </c>
      <c r="M143" s="16" t="str">
        <f aca="false">IF(OR(J143="Tükendi",J143="Kritik"),ROW(),"")</f>
        <v/>
      </c>
      <c r="N143" s="16" t="str">
        <f aca="false">IF(A143="","",I143+ROW()/1000000)</f>
        <v/>
      </c>
    </row>
    <row r="144" customFormat="false" ht="15" hidden="false" customHeight="false" outlineLevel="0" collapsed="false">
      <c r="A144" s="14"/>
      <c r="B144" s="13"/>
      <c r="C144" s="31"/>
      <c r="D144" s="15"/>
      <c r="E144" s="15"/>
      <c r="F144" s="24" t="str">
        <f aca="false">IF(A144="","",SUMIFS(Hareketler!$D$5:$D$1504,Hareketler!$C$5:$C$1504,A144,Hareketler!$B$5:$B$1504,"Giriş"))</f>
        <v/>
      </c>
      <c r="G144" s="24" t="str">
        <f aca="false">IF(A144="","",SUMIFS(Hareketler!$D$5:$D$1504,Hareketler!$C$5:$C$1504,A144,Hareketler!$B$5:$B$1504,"Çıkış"))</f>
        <v/>
      </c>
      <c r="H144" s="32" t="str">
        <f aca="false">IF(A144="","",D144+F144-G144)</f>
        <v/>
      </c>
      <c r="I144" s="29" t="str">
        <f aca="false">IF(A144="","",H144*C144)</f>
        <v/>
      </c>
      <c r="J144" s="25" t="str">
        <f aca="false">IF(A144="","",IF(H144&lt;=0,"Tükendi",IF(H144&lt;=E144,"Kritik","Yeterli")))</f>
        <v/>
      </c>
      <c r="K144" s="33" t="str">
        <f aca="false">IF(A144="","",IF(SUMPRODUCT(MAX((Hareketler!$C$5:$C$1504=A144)*Hareketler!$A$5:$A$1504))=0,"",SUMPRODUCT(MAX((Hareketler!$C$5:$C$1504=A144)*Hareketler!$A$5:$A$1504))))</f>
        <v/>
      </c>
      <c r="L144" s="24" t="str">
        <f aca="true">IF(OR(A144="",K144=""),"",TODAY()-K144)</f>
        <v/>
      </c>
      <c r="M144" s="16" t="str">
        <f aca="false">IF(OR(J144="Tükendi",J144="Kritik"),ROW(),"")</f>
        <v/>
      </c>
      <c r="N144" s="16" t="str">
        <f aca="false">IF(A144="","",I144+ROW()/1000000)</f>
        <v/>
      </c>
    </row>
    <row r="145" customFormat="false" ht="15" hidden="false" customHeight="false" outlineLevel="0" collapsed="false">
      <c r="A145" s="14"/>
      <c r="B145" s="13"/>
      <c r="C145" s="31"/>
      <c r="D145" s="15"/>
      <c r="E145" s="15"/>
      <c r="F145" s="24" t="str">
        <f aca="false">IF(A145="","",SUMIFS(Hareketler!$D$5:$D$1504,Hareketler!$C$5:$C$1504,A145,Hareketler!$B$5:$B$1504,"Giriş"))</f>
        <v/>
      </c>
      <c r="G145" s="24" t="str">
        <f aca="false">IF(A145="","",SUMIFS(Hareketler!$D$5:$D$1504,Hareketler!$C$5:$C$1504,A145,Hareketler!$B$5:$B$1504,"Çıkış"))</f>
        <v/>
      </c>
      <c r="H145" s="32" t="str">
        <f aca="false">IF(A145="","",D145+F145-G145)</f>
        <v/>
      </c>
      <c r="I145" s="29" t="str">
        <f aca="false">IF(A145="","",H145*C145)</f>
        <v/>
      </c>
      <c r="J145" s="25" t="str">
        <f aca="false">IF(A145="","",IF(H145&lt;=0,"Tükendi",IF(H145&lt;=E145,"Kritik","Yeterli")))</f>
        <v/>
      </c>
      <c r="K145" s="33" t="str">
        <f aca="false">IF(A145="","",IF(SUMPRODUCT(MAX((Hareketler!$C$5:$C$1504=A145)*Hareketler!$A$5:$A$1504))=0,"",SUMPRODUCT(MAX((Hareketler!$C$5:$C$1504=A145)*Hareketler!$A$5:$A$1504))))</f>
        <v/>
      </c>
      <c r="L145" s="24" t="str">
        <f aca="true">IF(OR(A145="",K145=""),"",TODAY()-K145)</f>
        <v/>
      </c>
      <c r="M145" s="16" t="str">
        <f aca="false">IF(OR(J145="Tükendi",J145="Kritik"),ROW(),"")</f>
        <v/>
      </c>
      <c r="N145" s="16" t="str">
        <f aca="false">IF(A145="","",I145+ROW()/1000000)</f>
        <v/>
      </c>
    </row>
    <row r="146" customFormat="false" ht="15" hidden="false" customHeight="false" outlineLevel="0" collapsed="false">
      <c r="A146" s="14"/>
      <c r="B146" s="13"/>
      <c r="C146" s="31"/>
      <c r="D146" s="15"/>
      <c r="E146" s="15"/>
      <c r="F146" s="24" t="str">
        <f aca="false">IF(A146="","",SUMIFS(Hareketler!$D$5:$D$1504,Hareketler!$C$5:$C$1504,A146,Hareketler!$B$5:$B$1504,"Giriş"))</f>
        <v/>
      </c>
      <c r="G146" s="24" t="str">
        <f aca="false">IF(A146="","",SUMIFS(Hareketler!$D$5:$D$1504,Hareketler!$C$5:$C$1504,A146,Hareketler!$B$5:$B$1504,"Çıkış"))</f>
        <v/>
      </c>
      <c r="H146" s="32" t="str">
        <f aca="false">IF(A146="","",D146+F146-G146)</f>
        <v/>
      </c>
      <c r="I146" s="29" t="str">
        <f aca="false">IF(A146="","",H146*C146)</f>
        <v/>
      </c>
      <c r="J146" s="25" t="str">
        <f aca="false">IF(A146="","",IF(H146&lt;=0,"Tükendi",IF(H146&lt;=E146,"Kritik","Yeterli")))</f>
        <v/>
      </c>
      <c r="K146" s="33" t="str">
        <f aca="false">IF(A146="","",IF(SUMPRODUCT(MAX((Hareketler!$C$5:$C$1504=A146)*Hareketler!$A$5:$A$1504))=0,"",SUMPRODUCT(MAX((Hareketler!$C$5:$C$1504=A146)*Hareketler!$A$5:$A$1504))))</f>
        <v/>
      </c>
      <c r="L146" s="24" t="str">
        <f aca="true">IF(OR(A146="",K146=""),"",TODAY()-K146)</f>
        <v/>
      </c>
      <c r="M146" s="16" t="str">
        <f aca="false">IF(OR(J146="Tükendi",J146="Kritik"),ROW(),"")</f>
        <v/>
      </c>
      <c r="N146" s="16" t="str">
        <f aca="false">IF(A146="","",I146+ROW()/1000000)</f>
        <v/>
      </c>
    </row>
    <row r="147" customFormat="false" ht="15" hidden="false" customHeight="false" outlineLevel="0" collapsed="false">
      <c r="A147" s="14"/>
      <c r="B147" s="13"/>
      <c r="C147" s="31"/>
      <c r="D147" s="15"/>
      <c r="E147" s="15"/>
      <c r="F147" s="24" t="str">
        <f aca="false">IF(A147="","",SUMIFS(Hareketler!$D$5:$D$1504,Hareketler!$C$5:$C$1504,A147,Hareketler!$B$5:$B$1504,"Giriş"))</f>
        <v/>
      </c>
      <c r="G147" s="24" t="str">
        <f aca="false">IF(A147="","",SUMIFS(Hareketler!$D$5:$D$1504,Hareketler!$C$5:$C$1504,A147,Hareketler!$B$5:$B$1504,"Çıkış"))</f>
        <v/>
      </c>
      <c r="H147" s="32" t="str">
        <f aca="false">IF(A147="","",D147+F147-G147)</f>
        <v/>
      </c>
      <c r="I147" s="29" t="str">
        <f aca="false">IF(A147="","",H147*C147)</f>
        <v/>
      </c>
      <c r="J147" s="25" t="str">
        <f aca="false">IF(A147="","",IF(H147&lt;=0,"Tükendi",IF(H147&lt;=E147,"Kritik","Yeterli")))</f>
        <v/>
      </c>
      <c r="K147" s="33" t="str">
        <f aca="false">IF(A147="","",IF(SUMPRODUCT(MAX((Hareketler!$C$5:$C$1504=A147)*Hareketler!$A$5:$A$1504))=0,"",SUMPRODUCT(MAX((Hareketler!$C$5:$C$1504=A147)*Hareketler!$A$5:$A$1504))))</f>
        <v/>
      </c>
      <c r="L147" s="24" t="str">
        <f aca="true">IF(OR(A147="",K147=""),"",TODAY()-K147)</f>
        <v/>
      </c>
      <c r="M147" s="16" t="str">
        <f aca="false">IF(OR(J147="Tükendi",J147="Kritik"),ROW(),"")</f>
        <v/>
      </c>
      <c r="N147" s="16" t="str">
        <f aca="false">IF(A147="","",I147+ROW()/1000000)</f>
        <v/>
      </c>
    </row>
    <row r="148" customFormat="false" ht="15" hidden="false" customHeight="false" outlineLevel="0" collapsed="false">
      <c r="A148" s="14"/>
      <c r="B148" s="13"/>
      <c r="C148" s="31"/>
      <c r="D148" s="15"/>
      <c r="E148" s="15"/>
      <c r="F148" s="24" t="str">
        <f aca="false">IF(A148="","",SUMIFS(Hareketler!$D$5:$D$1504,Hareketler!$C$5:$C$1504,A148,Hareketler!$B$5:$B$1504,"Giriş"))</f>
        <v/>
      </c>
      <c r="G148" s="24" t="str">
        <f aca="false">IF(A148="","",SUMIFS(Hareketler!$D$5:$D$1504,Hareketler!$C$5:$C$1504,A148,Hareketler!$B$5:$B$1504,"Çıkış"))</f>
        <v/>
      </c>
      <c r="H148" s="32" t="str">
        <f aca="false">IF(A148="","",D148+F148-G148)</f>
        <v/>
      </c>
      <c r="I148" s="29" t="str">
        <f aca="false">IF(A148="","",H148*C148)</f>
        <v/>
      </c>
      <c r="J148" s="25" t="str">
        <f aca="false">IF(A148="","",IF(H148&lt;=0,"Tükendi",IF(H148&lt;=E148,"Kritik","Yeterli")))</f>
        <v/>
      </c>
      <c r="K148" s="33" t="str">
        <f aca="false">IF(A148="","",IF(SUMPRODUCT(MAX((Hareketler!$C$5:$C$1504=A148)*Hareketler!$A$5:$A$1504))=0,"",SUMPRODUCT(MAX((Hareketler!$C$5:$C$1504=A148)*Hareketler!$A$5:$A$1504))))</f>
        <v/>
      </c>
      <c r="L148" s="24" t="str">
        <f aca="true">IF(OR(A148="",K148=""),"",TODAY()-K148)</f>
        <v/>
      </c>
      <c r="M148" s="16" t="str">
        <f aca="false">IF(OR(J148="Tükendi",J148="Kritik"),ROW(),"")</f>
        <v/>
      </c>
      <c r="N148" s="16" t="str">
        <f aca="false">IF(A148="","",I148+ROW()/1000000)</f>
        <v/>
      </c>
    </row>
    <row r="149" customFormat="false" ht="15" hidden="false" customHeight="false" outlineLevel="0" collapsed="false">
      <c r="A149" s="14"/>
      <c r="B149" s="13"/>
      <c r="C149" s="31"/>
      <c r="D149" s="15"/>
      <c r="E149" s="15"/>
      <c r="F149" s="24" t="str">
        <f aca="false">IF(A149="","",SUMIFS(Hareketler!$D$5:$D$1504,Hareketler!$C$5:$C$1504,A149,Hareketler!$B$5:$B$1504,"Giriş"))</f>
        <v/>
      </c>
      <c r="G149" s="24" t="str">
        <f aca="false">IF(A149="","",SUMIFS(Hareketler!$D$5:$D$1504,Hareketler!$C$5:$C$1504,A149,Hareketler!$B$5:$B$1504,"Çıkış"))</f>
        <v/>
      </c>
      <c r="H149" s="32" t="str">
        <f aca="false">IF(A149="","",D149+F149-G149)</f>
        <v/>
      </c>
      <c r="I149" s="29" t="str">
        <f aca="false">IF(A149="","",H149*C149)</f>
        <v/>
      </c>
      <c r="J149" s="25" t="str">
        <f aca="false">IF(A149="","",IF(H149&lt;=0,"Tükendi",IF(H149&lt;=E149,"Kritik","Yeterli")))</f>
        <v/>
      </c>
      <c r="K149" s="33" t="str">
        <f aca="false">IF(A149="","",IF(SUMPRODUCT(MAX((Hareketler!$C$5:$C$1504=A149)*Hareketler!$A$5:$A$1504))=0,"",SUMPRODUCT(MAX((Hareketler!$C$5:$C$1504=A149)*Hareketler!$A$5:$A$1504))))</f>
        <v/>
      </c>
      <c r="L149" s="24" t="str">
        <f aca="true">IF(OR(A149="",K149=""),"",TODAY()-K149)</f>
        <v/>
      </c>
      <c r="M149" s="16" t="str">
        <f aca="false">IF(OR(J149="Tükendi",J149="Kritik"),ROW(),"")</f>
        <v/>
      </c>
      <c r="N149" s="16" t="str">
        <f aca="false">IF(A149="","",I149+ROW()/1000000)</f>
        <v/>
      </c>
    </row>
    <row r="150" customFormat="false" ht="15" hidden="false" customHeight="false" outlineLevel="0" collapsed="false">
      <c r="A150" s="14"/>
      <c r="B150" s="13"/>
      <c r="C150" s="31"/>
      <c r="D150" s="15"/>
      <c r="E150" s="15"/>
      <c r="F150" s="24" t="str">
        <f aca="false">IF(A150="","",SUMIFS(Hareketler!$D$5:$D$1504,Hareketler!$C$5:$C$1504,A150,Hareketler!$B$5:$B$1504,"Giriş"))</f>
        <v/>
      </c>
      <c r="G150" s="24" t="str">
        <f aca="false">IF(A150="","",SUMIFS(Hareketler!$D$5:$D$1504,Hareketler!$C$5:$C$1504,A150,Hareketler!$B$5:$B$1504,"Çıkış"))</f>
        <v/>
      </c>
      <c r="H150" s="32" t="str">
        <f aca="false">IF(A150="","",D150+F150-G150)</f>
        <v/>
      </c>
      <c r="I150" s="29" t="str">
        <f aca="false">IF(A150="","",H150*C150)</f>
        <v/>
      </c>
      <c r="J150" s="25" t="str">
        <f aca="false">IF(A150="","",IF(H150&lt;=0,"Tükendi",IF(H150&lt;=E150,"Kritik","Yeterli")))</f>
        <v/>
      </c>
      <c r="K150" s="33" t="str">
        <f aca="false">IF(A150="","",IF(SUMPRODUCT(MAX((Hareketler!$C$5:$C$1504=A150)*Hareketler!$A$5:$A$1504))=0,"",SUMPRODUCT(MAX((Hareketler!$C$5:$C$1504=A150)*Hareketler!$A$5:$A$1504))))</f>
        <v/>
      </c>
      <c r="L150" s="24" t="str">
        <f aca="true">IF(OR(A150="",K150=""),"",TODAY()-K150)</f>
        <v/>
      </c>
      <c r="M150" s="16" t="str">
        <f aca="false">IF(OR(J150="Tükendi",J150="Kritik"),ROW(),"")</f>
        <v/>
      </c>
      <c r="N150" s="16" t="str">
        <f aca="false">IF(A150="","",I150+ROW()/1000000)</f>
        <v/>
      </c>
    </row>
    <row r="151" customFormat="false" ht="15" hidden="false" customHeight="false" outlineLevel="0" collapsed="false">
      <c r="A151" s="14"/>
      <c r="B151" s="13"/>
      <c r="C151" s="31"/>
      <c r="D151" s="15"/>
      <c r="E151" s="15"/>
      <c r="F151" s="24" t="str">
        <f aca="false">IF(A151="","",SUMIFS(Hareketler!$D$5:$D$1504,Hareketler!$C$5:$C$1504,A151,Hareketler!$B$5:$B$1504,"Giriş"))</f>
        <v/>
      </c>
      <c r="G151" s="24" t="str">
        <f aca="false">IF(A151="","",SUMIFS(Hareketler!$D$5:$D$1504,Hareketler!$C$5:$C$1504,A151,Hareketler!$B$5:$B$1504,"Çıkış"))</f>
        <v/>
      </c>
      <c r="H151" s="32" t="str">
        <f aca="false">IF(A151="","",D151+F151-G151)</f>
        <v/>
      </c>
      <c r="I151" s="29" t="str">
        <f aca="false">IF(A151="","",H151*C151)</f>
        <v/>
      </c>
      <c r="J151" s="25" t="str">
        <f aca="false">IF(A151="","",IF(H151&lt;=0,"Tükendi",IF(H151&lt;=E151,"Kritik","Yeterli")))</f>
        <v/>
      </c>
      <c r="K151" s="33" t="str">
        <f aca="false">IF(A151="","",IF(SUMPRODUCT(MAX((Hareketler!$C$5:$C$1504=A151)*Hareketler!$A$5:$A$1504))=0,"",SUMPRODUCT(MAX((Hareketler!$C$5:$C$1504=A151)*Hareketler!$A$5:$A$1504))))</f>
        <v/>
      </c>
      <c r="L151" s="24" t="str">
        <f aca="true">IF(OR(A151="",K151=""),"",TODAY()-K151)</f>
        <v/>
      </c>
      <c r="M151" s="16" t="str">
        <f aca="false">IF(OR(J151="Tükendi",J151="Kritik"),ROW(),"")</f>
        <v/>
      </c>
      <c r="N151" s="16" t="str">
        <f aca="false">IF(A151="","",I151+ROW()/1000000)</f>
        <v/>
      </c>
    </row>
    <row r="152" customFormat="false" ht="15" hidden="false" customHeight="false" outlineLevel="0" collapsed="false">
      <c r="A152" s="14"/>
      <c r="B152" s="13"/>
      <c r="C152" s="31"/>
      <c r="D152" s="15"/>
      <c r="E152" s="15"/>
      <c r="F152" s="24" t="str">
        <f aca="false">IF(A152="","",SUMIFS(Hareketler!$D$5:$D$1504,Hareketler!$C$5:$C$1504,A152,Hareketler!$B$5:$B$1504,"Giriş"))</f>
        <v/>
      </c>
      <c r="G152" s="24" t="str">
        <f aca="false">IF(A152="","",SUMIFS(Hareketler!$D$5:$D$1504,Hareketler!$C$5:$C$1504,A152,Hareketler!$B$5:$B$1504,"Çıkış"))</f>
        <v/>
      </c>
      <c r="H152" s="32" t="str">
        <f aca="false">IF(A152="","",D152+F152-G152)</f>
        <v/>
      </c>
      <c r="I152" s="29" t="str">
        <f aca="false">IF(A152="","",H152*C152)</f>
        <v/>
      </c>
      <c r="J152" s="25" t="str">
        <f aca="false">IF(A152="","",IF(H152&lt;=0,"Tükendi",IF(H152&lt;=E152,"Kritik","Yeterli")))</f>
        <v/>
      </c>
      <c r="K152" s="33" t="str">
        <f aca="false">IF(A152="","",IF(SUMPRODUCT(MAX((Hareketler!$C$5:$C$1504=A152)*Hareketler!$A$5:$A$1504))=0,"",SUMPRODUCT(MAX((Hareketler!$C$5:$C$1504=A152)*Hareketler!$A$5:$A$1504))))</f>
        <v/>
      </c>
      <c r="L152" s="24" t="str">
        <f aca="true">IF(OR(A152="",K152=""),"",TODAY()-K152)</f>
        <v/>
      </c>
      <c r="M152" s="16" t="str">
        <f aca="false">IF(OR(J152="Tükendi",J152="Kritik"),ROW(),"")</f>
        <v/>
      </c>
      <c r="N152" s="16" t="str">
        <f aca="false">IF(A152="","",I152+ROW()/1000000)</f>
        <v/>
      </c>
    </row>
    <row r="153" customFormat="false" ht="15" hidden="false" customHeight="false" outlineLevel="0" collapsed="false">
      <c r="A153" s="14"/>
      <c r="B153" s="13"/>
      <c r="C153" s="31"/>
      <c r="D153" s="15"/>
      <c r="E153" s="15"/>
      <c r="F153" s="24" t="str">
        <f aca="false">IF(A153="","",SUMIFS(Hareketler!$D$5:$D$1504,Hareketler!$C$5:$C$1504,A153,Hareketler!$B$5:$B$1504,"Giriş"))</f>
        <v/>
      </c>
      <c r="G153" s="24" t="str">
        <f aca="false">IF(A153="","",SUMIFS(Hareketler!$D$5:$D$1504,Hareketler!$C$5:$C$1504,A153,Hareketler!$B$5:$B$1504,"Çıkış"))</f>
        <v/>
      </c>
      <c r="H153" s="32" t="str">
        <f aca="false">IF(A153="","",D153+F153-G153)</f>
        <v/>
      </c>
      <c r="I153" s="29" t="str">
        <f aca="false">IF(A153="","",H153*C153)</f>
        <v/>
      </c>
      <c r="J153" s="25" t="str">
        <f aca="false">IF(A153="","",IF(H153&lt;=0,"Tükendi",IF(H153&lt;=E153,"Kritik","Yeterli")))</f>
        <v/>
      </c>
      <c r="K153" s="33" t="str">
        <f aca="false">IF(A153="","",IF(SUMPRODUCT(MAX((Hareketler!$C$5:$C$1504=A153)*Hareketler!$A$5:$A$1504))=0,"",SUMPRODUCT(MAX((Hareketler!$C$5:$C$1504=A153)*Hareketler!$A$5:$A$1504))))</f>
        <v/>
      </c>
      <c r="L153" s="24" t="str">
        <f aca="true">IF(OR(A153="",K153=""),"",TODAY()-K153)</f>
        <v/>
      </c>
      <c r="M153" s="16" t="str">
        <f aca="false">IF(OR(J153="Tükendi",J153="Kritik"),ROW(),"")</f>
        <v/>
      </c>
      <c r="N153" s="16" t="str">
        <f aca="false">IF(A153="","",I153+ROW()/1000000)</f>
        <v/>
      </c>
    </row>
    <row r="154" customFormat="false" ht="15" hidden="false" customHeight="false" outlineLevel="0" collapsed="false">
      <c r="A154" s="14"/>
      <c r="B154" s="13"/>
      <c r="C154" s="31"/>
      <c r="D154" s="15"/>
      <c r="E154" s="15"/>
      <c r="F154" s="24" t="str">
        <f aca="false">IF(A154="","",SUMIFS(Hareketler!$D$5:$D$1504,Hareketler!$C$5:$C$1504,A154,Hareketler!$B$5:$B$1504,"Giriş"))</f>
        <v/>
      </c>
      <c r="G154" s="24" t="str">
        <f aca="false">IF(A154="","",SUMIFS(Hareketler!$D$5:$D$1504,Hareketler!$C$5:$C$1504,A154,Hareketler!$B$5:$B$1504,"Çıkış"))</f>
        <v/>
      </c>
      <c r="H154" s="32" t="str">
        <f aca="false">IF(A154="","",D154+F154-G154)</f>
        <v/>
      </c>
      <c r="I154" s="29" t="str">
        <f aca="false">IF(A154="","",H154*C154)</f>
        <v/>
      </c>
      <c r="J154" s="25" t="str">
        <f aca="false">IF(A154="","",IF(H154&lt;=0,"Tükendi",IF(H154&lt;=E154,"Kritik","Yeterli")))</f>
        <v/>
      </c>
      <c r="K154" s="33" t="str">
        <f aca="false">IF(A154="","",IF(SUMPRODUCT(MAX((Hareketler!$C$5:$C$1504=A154)*Hareketler!$A$5:$A$1504))=0,"",SUMPRODUCT(MAX((Hareketler!$C$5:$C$1504=A154)*Hareketler!$A$5:$A$1504))))</f>
        <v/>
      </c>
      <c r="L154" s="24" t="str">
        <f aca="true">IF(OR(A154="",K154=""),"",TODAY()-K154)</f>
        <v/>
      </c>
      <c r="M154" s="16" t="str">
        <f aca="false">IF(OR(J154="Tükendi",J154="Kritik"),ROW(),"")</f>
        <v/>
      </c>
      <c r="N154" s="16" t="str">
        <f aca="false">IF(A154="","",I154+ROW()/1000000)</f>
        <v/>
      </c>
    </row>
    <row r="155" customFormat="false" ht="15" hidden="false" customHeight="false" outlineLevel="0" collapsed="false">
      <c r="A155" s="14"/>
      <c r="B155" s="13"/>
      <c r="C155" s="31"/>
      <c r="D155" s="15"/>
      <c r="E155" s="15"/>
      <c r="F155" s="24" t="str">
        <f aca="false">IF(A155="","",SUMIFS(Hareketler!$D$5:$D$1504,Hareketler!$C$5:$C$1504,A155,Hareketler!$B$5:$B$1504,"Giriş"))</f>
        <v/>
      </c>
      <c r="G155" s="24" t="str">
        <f aca="false">IF(A155="","",SUMIFS(Hareketler!$D$5:$D$1504,Hareketler!$C$5:$C$1504,A155,Hareketler!$B$5:$B$1504,"Çıkış"))</f>
        <v/>
      </c>
      <c r="H155" s="32" t="str">
        <f aca="false">IF(A155="","",D155+F155-G155)</f>
        <v/>
      </c>
      <c r="I155" s="29" t="str">
        <f aca="false">IF(A155="","",H155*C155)</f>
        <v/>
      </c>
      <c r="J155" s="25" t="str">
        <f aca="false">IF(A155="","",IF(H155&lt;=0,"Tükendi",IF(H155&lt;=E155,"Kritik","Yeterli")))</f>
        <v/>
      </c>
      <c r="K155" s="33" t="str">
        <f aca="false">IF(A155="","",IF(SUMPRODUCT(MAX((Hareketler!$C$5:$C$1504=A155)*Hareketler!$A$5:$A$1504))=0,"",SUMPRODUCT(MAX((Hareketler!$C$5:$C$1504=A155)*Hareketler!$A$5:$A$1504))))</f>
        <v/>
      </c>
      <c r="L155" s="24" t="str">
        <f aca="true">IF(OR(A155="",K155=""),"",TODAY()-K155)</f>
        <v/>
      </c>
      <c r="M155" s="16" t="str">
        <f aca="false">IF(OR(J155="Tükendi",J155="Kritik"),ROW(),"")</f>
        <v/>
      </c>
      <c r="N155" s="16" t="str">
        <f aca="false">IF(A155="","",I155+ROW()/1000000)</f>
        <v/>
      </c>
    </row>
    <row r="156" customFormat="false" ht="15" hidden="false" customHeight="false" outlineLevel="0" collapsed="false">
      <c r="A156" s="14"/>
      <c r="B156" s="13"/>
      <c r="C156" s="31"/>
      <c r="D156" s="15"/>
      <c r="E156" s="15"/>
      <c r="F156" s="24" t="str">
        <f aca="false">IF(A156="","",SUMIFS(Hareketler!$D$5:$D$1504,Hareketler!$C$5:$C$1504,A156,Hareketler!$B$5:$B$1504,"Giriş"))</f>
        <v/>
      </c>
      <c r="G156" s="24" t="str">
        <f aca="false">IF(A156="","",SUMIFS(Hareketler!$D$5:$D$1504,Hareketler!$C$5:$C$1504,A156,Hareketler!$B$5:$B$1504,"Çıkış"))</f>
        <v/>
      </c>
      <c r="H156" s="32" t="str">
        <f aca="false">IF(A156="","",D156+F156-G156)</f>
        <v/>
      </c>
      <c r="I156" s="29" t="str">
        <f aca="false">IF(A156="","",H156*C156)</f>
        <v/>
      </c>
      <c r="J156" s="25" t="str">
        <f aca="false">IF(A156="","",IF(H156&lt;=0,"Tükendi",IF(H156&lt;=E156,"Kritik","Yeterli")))</f>
        <v/>
      </c>
      <c r="K156" s="33" t="str">
        <f aca="false">IF(A156="","",IF(SUMPRODUCT(MAX((Hareketler!$C$5:$C$1504=A156)*Hareketler!$A$5:$A$1504))=0,"",SUMPRODUCT(MAX((Hareketler!$C$5:$C$1504=A156)*Hareketler!$A$5:$A$1504))))</f>
        <v/>
      </c>
      <c r="L156" s="24" t="str">
        <f aca="true">IF(OR(A156="",K156=""),"",TODAY()-K156)</f>
        <v/>
      </c>
      <c r="M156" s="16" t="str">
        <f aca="false">IF(OR(J156="Tükendi",J156="Kritik"),ROW(),"")</f>
        <v/>
      </c>
      <c r="N156" s="16" t="str">
        <f aca="false">IF(A156="","",I156+ROW()/1000000)</f>
        <v/>
      </c>
    </row>
    <row r="157" customFormat="false" ht="15" hidden="false" customHeight="false" outlineLevel="0" collapsed="false">
      <c r="A157" s="14"/>
      <c r="B157" s="13"/>
      <c r="C157" s="31"/>
      <c r="D157" s="15"/>
      <c r="E157" s="15"/>
      <c r="F157" s="24" t="str">
        <f aca="false">IF(A157="","",SUMIFS(Hareketler!$D$5:$D$1504,Hareketler!$C$5:$C$1504,A157,Hareketler!$B$5:$B$1504,"Giriş"))</f>
        <v/>
      </c>
      <c r="G157" s="24" t="str">
        <f aca="false">IF(A157="","",SUMIFS(Hareketler!$D$5:$D$1504,Hareketler!$C$5:$C$1504,A157,Hareketler!$B$5:$B$1504,"Çıkış"))</f>
        <v/>
      </c>
      <c r="H157" s="32" t="str">
        <f aca="false">IF(A157="","",D157+F157-G157)</f>
        <v/>
      </c>
      <c r="I157" s="29" t="str">
        <f aca="false">IF(A157="","",H157*C157)</f>
        <v/>
      </c>
      <c r="J157" s="25" t="str">
        <f aca="false">IF(A157="","",IF(H157&lt;=0,"Tükendi",IF(H157&lt;=E157,"Kritik","Yeterli")))</f>
        <v/>
      </c>
      <c r="K157" s="33" t="str">
        <f aca="false">IF(A157="","",IF(SUMPRODUCT(MAX((Hareketler!$C$5:$C$1504=A157)*Hareketler!$A$5:$A$1504))=0,"",SUMPRODUCT(MAX((Hareketler!$C$5:$C$1504=A157)*Hareketler!$A$5:$A$1504))))</f>
        <v/>
      </c>
      <c r="L157" s="24" t="str">
        <f aca="true">IF(OR(A157="",K157=""),"",TODAY()-K157)</f>
        <v/>
      </c>
      <c r="M157" s="16" t="str">
        <f aca="false">IF(OR(J157="Tükendi",J157="Kritik"),ROW(),"")</f>
        <v/>
      </c>
      <c r="N157" s="16" t="str">
        <f aca="false">IF(A157="","",I157+ROW()/1000000)</f>
        <v/>
      </c>
    </row>
    <row r="158" customFormat="false" ht="15" hidden="false" customHeight="false" outlineLevel="0" collapsed="false">
      <c r="A158" s="14"/>
      <c r="B158" s="13"/>
      <c r="C158" s="31"/>
      <c r="D158" s="15"/>
      <c r="E158" s="15"/>
      <c r="F158" s="24" t="str">
        <f aca="false">IF(A158="","",SUMIFS(Hareketler!$D$5:$D$1504,Hareketler!$C$5:$C$1504,A158,Hareketler!$B$5:$B$1504,"Giriş"))</f>
        <v/>
      </c>
      <c r="G158" s="24" t="str">
        <f aca="false">IF(A158="","",SUMIFS(Hareketler!$D$5:$D$1504,Hareketler!$C$5:$C$1504,A158,Hareketler!$B$5:$B$1504,"Çıkış"))</f>
        <v/>
      </c>
      <c r="H158" s="32" t="str">
        <f aca="false">IF(A158="","",D158+F158-G158)</f>
        <v/>
      </c>
      <c r="I158" s="29" t="str">
        <f aca="false">IF(A158="","",H158*C158)</f>
        <v/>
      </c>
      <c r="J158" s="25" t="str">
        <f aca="false">IF(A158="","",IF(H158&lt;=0,"Tükendi",IF(H158&lt;=E158,"Kritik","Yeterli")))</f>
        <v/>
      </c>
      <c r="K158" s="33" t="str">
        <f aca="false">IF(A158="","",IF(SUMPRODUCT(MAX((Hareketler!$C$5:$C$1504=A158)*Hareketler!$A$5:$A$1504))=0,"",SUMPRODUCT(MAX((Hareketler!$C$5:$C$1504=A158)*Hareketler!$A$5:$A$1504))))</f>
        <v/>
      </c>
      <c r="L158" s="24" t="str">
        <f aca="true">IF(OR(A158="",K158=""),"",TODAY()-K158)</f>
        <v/>
      </c>
      <c r="M158" s="16" t="str">
        <f aca="false">IF(OR(J158="Tükendi",J158="Kritik"),ROW(),"")</f>
        <v/>
      </c>
      <c r="N158" s="16" t="str">
        <f aca="false">IF(A158="","",I158+ROW()/1000000)</f>
        <v/>
      </c>
    </row>
    <row r="159" customFormat="false" ht="15" hidden="false" customHeight="false" outlineLevel="0" collapsed="false">
      <c r="A159" s="14"/>
      <c r="B159" s="13"/>
      <c r="C159" s="31"/>
      <c r="D159" s="15"/>
      <c r="E159" s="15"/>
      <c r="F159" s="24" t="str">
        <f aca="false">IF(A159="","",SUMIFS(Hareketler!$D$5:$D$1504,Hareketler!$C$5:$C$1504,A159,Hareketler!$B$5:$B$1504,"Giriş"))</f>
        <v/>
      </c>
      <c r="G159" s="24" t="str">
        <f aca="false">IF(A159="","",SUMIFS(Hareketler!$D$5:$D$1504,Hareketler!$C$5:$C$1504,A159,Hareketler!$B$5:$B$1504,"Çıkış"))</f>
        <v/>
      </c>
      <c r="H159" s="32" t="str">
        <f aca="false">IF(A159="","",D159+F159-G159)</f>
        <v/>
      </c>
      <c r="I159" s="29" t="str">
        <f aca="false">IF(A159="","",H159*C159)</f>
        <v/>
      </c>
      <c r="J159" s="25" t="str">
        <f aca="false">IF(A159="","",IF(H159&lt;=0,"Tükendi",IF(H159&lt;=E159,"Kritik","Yeterli")))</f>
        <v/>
      </c>
      <c r="K159" s="33" t="str">
        <f aca="false">IF(A159="","",IF(SUMPRODUCT(MAX((Hareketler!$C$5:$C$1504=A159)*Hareketler!$A$5:$A$1504))=0,"",SUMPRODUCT(MAX((Hareketler!$C$5:$C$1504=A159)*Hareketler!$A$5:$A$1504))))</f>
        <v/>
      </c>
      <c r="L159" s="24" t="str">
        <f aca="true">IF(OR(A159="",K159=""),"",TODAY()-K159)</f>
        <v/>
      </c>
      <c r="M159" s="16" t="str">
        <f aca="false">IF(OR(J159="Tükendi",J159="Kritik"),ROW(),"")</f>
        <v/>
      </c>
      <c r="N159" s="16" t="str">
        <f aca="false">IF(A159="","",I159+ROW()/1000000)</f>
        <v/>
      </c>
    </row>
    <row r="160" customFormat="false" ht="15" hidden="false" customHeight="false" outlineLevel="0" collapsed="false">
      <c r="A160" s="14"/>
      <c r="B160" s="13"/>
      <c r="C160" s="31"/>
      <c r="D160" s="15"/>
      <c r="E160" s="15"/>
      <c r="F160" s="24" t="str">
        <f aca="false">IF(A160="","",SUMIFS(Hareketler!$D$5:$D$1504,Hareketler!$C$5:$C$1504,A160,Hareketler!$B$5:$B$1504,"Giriş"))</f>
        <v/>
      </c>
      <c r="G160" s="24" t="str">
        <f aca="false">IF(A160="","",SUMIFS(Hareketler!$D$5:$D$1504,Hareketler!$C$5:$C$1504,A160,Hareketler!$B$5:$B$1504,"Çıkış"))</f>
        <v/>
      </c>
      <c r="H160" s="32" t="str">
        <f aca="false">IF(A160="","",D160+F160-G160)</f>
        <v/>
      </c>
      <c r="I160" s="29" t="str">
        <f aca="false">IF(A160="","",H160*C160)</f>
        <v/>
      </c>
      <c r="J160" s="25" t="str">
        <f aca="false">IF(A160="","",IF(H160&lt;=0,"Tükendi",IF(H160&lt;=E160,"Kritik","Yeterli")))</f>
        <v/>
      </c>
      <c r="K160" s="33" t="str">
        <f aca="false">IF(A160="","",IF(SUMPRODUCT(MAX((Hareketler!$C$5:$C$1504=A160)*Hareketler!$A$5:$A$1504))=0,"",SUMPRODUCT(MAX((Hareketler!$C$5:$C$1504=A160)*Hareketler!$A$5:$A$1504))))</f>
        <v/>
      </c>
      <c r="L160" s="24" t="str">
        <f aca="true">IF(OR(A160="",K160=""),"",TODAY()-K160)</f>
        <v/>
      </c>
      <c r="M160" s="16" t="str">
        <f aca="false">IF(OR(J160="Tükendi",J160="Kritik"),ROW(),"")</f>
        <v/>
      </c>
      <c r="N160" s="16" t="str">
        <f aca="false">IF(A160="","",I160+ROW()/1000000)</f>
        <v/>
      </c>
    </row>
    <row r="161" customFormat="false" ht="15" hidden="false" customHeight="false" outlineLevel="0" collapsed="false">
      <c r="A161" s="14"/>
      <c r="B161" s="13"/>
      <c r="C161" s="31"/>
      <c r="D161" s="15"/>
      <c r="E161" s="15"/>
      <c r="F161" s="24" t="str">
        <f aca="false">IF(A161="","",SUMIFS(Hareketler!$D$5:$D$1504,Hareketler!$C$5:$C$1504,A161,Hareketler!$B$5:$B$1504,"Giriş"))</f>
        <v/>
      </c>
      <c r="G161" s="24" t="str">
        <f aca="false">IF(A161="","",SUMIFS(Hareketler!$D$5:$D$1504,Hareketler!$C$5:$C$1504,A161,Hareketler!$B$5:$B$1504,"Çıkış"))</f>
        <v/>
      </c>
      <c r="H161" s="32" t="str">
        <f aca="false">IF(A161="","",D161+F161-G161)</f>
        <v/>
      </c>
      <c r="I161" s="29" t="str">
        <f aca="false">IF(A161="","",H161*C161)</f>
        <v/>
      </c>
      <c r="J161" s="25" t="str">
        <f aca="false">IF(A161="","",IF(H161&lt;=0,"Tükendi",IF(H161&lt;=E161,"Kritik","Yeterli")))</f>
        <v/>
      </c>
      <c r="K161" s="33" t="str">
        <f aca="false">IF(A161="","",IF(SUMPRODUCT(MAX((Hareketler!$C$5:$C$1504=A161)*Hareketler!$A$5:$A$1504))=0,"",SUMPRODUCT(MAX((Hareketler!$C$5:$C$1504=A161)*Hareketler!$A$5:$A$1504))))</f>
        <v/>
      </c>
      <c r="L161" s="24" t="str">
        <f aca="true">IF(OR(A161="",K161=""),"",TODAY()-K161)</f>
        <v/>
      </c>
      <c r="M161" s="16" t="str">
        <f aca="false">IF(OR(J161="Tükendi",J161="Kritik"),ROW(),"")</f>
        <v/>
      </c>
      <c r="N161" s="16" t="str">
        <f aca="false">IF(A161="","",I161+ROW()/1000000)</f>
        <v/>
      </c>
    </row>
    <row r="162" customFormat="false" ht="15" hidden="false" customHeight="false" outlineLevel="0" collapsed="false">
      <c r="A162" s="14"/>
      <c r="B162" s="13"/>
      <c r="C162" s="31"/>
      <c r="D162" s="15"/>
      <c r="E162" s="15"/>
      <c r="F162" s="24" t="str">
        <f aca="false">IF(A162="","",SUMIFS(Hareketler!$D$5:$D$1504,Hareketler!$C$5:$C$1504,A162,Hareketler!$B$5:$B$1504,"Giriş"))</f>
        <v/>
      </c>
      <c r="G162" s="24" t="str">
        <f aca="false">IF(A162="","",SUMIFS(Hareketler!$D$5:$D$1504,Hareketler!$C$5:$C$1504,A162,Hareketler!$B$5:$B$1504,"Çıkış"))</f>
        <v/>
      </c>
      <c r="H162" s="32" t="str">
        <f aca="false">IF(A162="","",D162+F162-G162)</f>
        <v/>
      </c>
      <c r="I162" s="29" t="str">
        <f aca="false">IF(A162="","",H162*C162)</f>
        <v/>
      </c>
      <c r="J162" s="25" t="str">
        <f aca="false">IF(A162="","",IF(H162&lt;=0,"Tükendi",IF(H162&lt;=E162,"Kritik","Yeterli")))</f>
        <v/>
      </c>
      <c r="K162" s="33" t="str">
        <f aca="false">IF(A162="","",IF(SUMPRODUCT(MAX((Hareketler!$C$5:$C$1504=A162)*Hareketler!$A$5:$A$1504))=0,"",SUMPRODUCT(MAX((Hareketler!$C$5:$C$1504=A162)*Hareketler!$A$5:$A$1504))))</f>
        <v/>
      </c>
      <c r="L162" s="24" t="str">
        <f aca="true">IF(OR(A162="",K162=""),"",TODAY()-K162)</f>
        <v/>
      </c>
      <c r="M162" s="16" t="str">
        <f aca="false">IF(OR(J162="Tükendi",J162="Kritik"),ROW(),"")</f>
        <v/>
      </c>
      <c r="N162" s="16" t="str">
        <f aca="false">IF(A162="","",I162+ROW()/1000000)</f>
        <v/>
      </c>
    </row>
    <row r="163" customFormat="false" ht="15" hidden="false" customHeight="false" outlineLevel="0" collapsed="false">
      <c r="A163" s="14"/>
      <c r="B163" s="13"/>
      <c r="C163" s="31"/>
      <c r="D163" s="15"/>
      <c r="E163" s="15"/>
      <c r="F163" s="24" t="str">
        <f aca="false">IF(A163="","",SUMIFS(Hareketler!$D$5:$D$1504,Hareketler!$C$5:$C$1504,A163,Hareketler!$B$5:$B$1504,"Giriş"))</f>
        <v/>
      </c>
      <c r="G163" s="24" t="str">
        <f aca="false">IF(A163="","",SUMIFS(Hareketler!$D$5:$D$1504,Hareketler!$C$5:$C$1504,A163,Hareketler!$B$5:$B$1504,"Çıkış"))</f>
        <v/>
      </c>
      <c r="H163" s="32" t="str">
        <f aca="false">IF(A163="","",D163+F163-G163)</f>
        <v/>
      </c>
      <c r="I163" s="29" t="str">
        <f aca="false">IF(A163="","",H163*C163)</f>
        <v/>
      </c>
      <c r="J163" s="25" t="str">
        <f aca="false">IF(A163="","",IF(H163&lt;=0,"Tükendi",IF(H163&lt;=E163,"Kritik","Yeterli")))</f>
        <v/>
      </c>
      <c r="K163" s="33" t="str">
        <f aca="false">IF(A163="","",IF(SUMPRODUCT(MAX((Hareketler!$C$5:$C$1504=A163)*Hareketler!$A$5:$A$1504))=0,"",SUMPRODUCT(MAX((Hareketler!$C$5:$C$1504=A163)*Hareketler!$A$5:$A$1504))))</f>
        <v/>
      </c>
      <c r="L163" s="24" t="str">
        <f aca="true">IF(OR(A163="",K163=""),"",TODAY()-K163)</f>
        <v/>
      </c>
      <c r="M163" s="16" t="str">
        <f aca="false">IF(OR(J163="Tükendi",J163="Kritik"),ROW(),"")</f>
        <v/>
      </c>
      <c r="N163" s="16" t="str">
        <f aca="false">IF(A163="","",I163+ROW()/1000000)</f>
        <v/>
      </c>
    </row>
    <row r="164" customFormat="false" ht="15" hidden="false" customHeight="false" outlineLevel="0" collapsed="false">
      <c r="A164" s="14"/>
      <c r="B164" s="13"/>
      <c r="C164" s="31"/>
      <c r="D164" s="15"/>
      <c r="E164" s="15"/>
      <c r="F164" s="24" t="str">
        <f aca="false">IF(A164="","",SUMIFS(Hareketler!$D$5:$D$1504,Hareketler!$C$5:$C$1504,A164,Hareketler!$B$5:$B$1504,"Giriş"))</f>
        <v/>
      </c>
      <c r="G164" s="24" t="str">
        <f aca="false">IF(A164="","",SUMIFS(Hareketler!$D$5:$D$1504,Hareketler!$C$5:$C$1504,A164,Hareketler!$B$5:$B$1504,"Çıkış"))</f>
        <v/>
      </c>
      <c r="H164" s="32" t="str">
        <f aca="false">IF(A164="","",D164+F164-G164)</f>
        <v/>
      </c>
      <c r="I164" s="29" t="str">
        <f aca="false">IF(A164="","",H164*C164)</f>
        <v/>
      </c>
      <c r="J164" s="25" t="str">
        <f aca="false">IF(A164="","",IF(H164&lt;=0,"Tükendi",IF(H164&lt;=E164,"Kritik","Yeterli")))</f>
        <v/>
      </c>
      <c r="K164" s="33" t="str">
        <f aca="false">IF(A164="","",IF(SUMPRODUCT(MAX((Hareketler!$C$5:$C$1504=A164)*Hareketler!$A$5:$A$1504))=0,"",SUMPRODUCT(MAX((Hareketler!$C$5:$C$1504=A164)*Hareketler!$A$5:$A$1504))))</f>
        <v/>
      </c>
      <c r="L164" s="24" t="str">
        <f aca="true">IF(OR(A164="",K164=""),"",TODAY()-K164)</f>
        <v/>
      </c>
      <c r="M164" s="16" t="str">
        <f aca="false">IF(OR(J164="Tükendi",J164="Kritik"),ROW(),"")</f>
        <v/>
      </c>
      <c r="N164" s="16" t="str">
        <f aca="false">IF(A164="","",I164+ROW()/1000000)</f>
        <v/>
      </c>
    </row>
    <row r="165" customFormat="false" ht="15" hidden="false" customHeight="false" outlineLevel="0" collapsed="false">
      <c r="A165" s="14"/>
      <c r="B165" s="13"/>
      <c r="C165" s="31"/>
      <c r="D165" s="15"/>
      <c r="E165" s="15"/>
      <c r="F165" s="24" t="str">
        <f aca="false">IF(A165="","",SUMIFS(Hareketler!$D$5:$D$1504,Hareketler!$C$5:$C$1504,A165,Hareketler!$B$5:$B$1504,"Giriş"))</f>
        <v/>
      </c>
      <c r="G165" s="24" t="str">
        <f aca="false">IF(A165="","",SUMIFS(Hareketler!$D$5:$D$1504,Hareketler!$C$5:$C$1504,A165,Hareketler!$B$5:$B$1504,"Çıkış"))</f>
        <v/>
      </c>
      <c r="H165" s="32" t="str">
        <f aca="false">IF(A165="","",D165+F165-G165)</f>
        <v/>
      </c>
      <c r="I165" s="29" t="str">
        <f aca="false">IF(A165="","",H165*C165)</f>
        <v/>
      </c>
      <c r="J165" s="25" t="str">
        <f aca="false">IF(A165="","",IF(H165&lt;=0,"Tükendi",IF(H165&lt;=E165,"Kritik","Yeterli")))</f>
        <v/>
      </c>
      <c r="K165" s="33" t="str">
        <f aca="false">IF(A165="","",IF(SUMPRODUCT(MAX((Hareketler!$C$5:$C$1504=A165)*Hareketler!$A$5:$A$1504))=0,"",SUMPRODUCT(MAX((Hareketler!$C$5:$C$1504=A165)*Hareketler!$A$5:$A$1504))))</f>
        <v/>
      </c>
      <c r="L165" s="24" t="str">
        <f aca="true">IF(OR(A165="",K165=""),"",TODAY()-K165)</f>
        <v/>
      </c>
      <c r="M165" s="16" t="str">
        <f aca="false">IF(OR(J165="Tükendi",J165="Kritik"),ROW(),"")</f>
        <v/>
      </c>
      <c r="N165" s="16" t="str">
        <f aca="false">IF(A165="","",I165+ROW()/1000000)</f>
        <v/>
      </c>
    </row>
    <row r="166" customFormat="false" ht="15" hidden="false" customHeight="false" outlineLevel="0" collapsed="false">
      <c r="A166" s="14"/>
      <c r="B166" s="13"/>
      <c r="C166" s="31"/>
      <c r="D166" s="15"/>
      <c r="E166" s="15"/>
      <c r="F166" s="24" t="str">
        <f aca="false">IF(A166="","",SUMIFS(Hareketler!$D$5:$D$1504,Hareketler!$C$5:$C$1504,A166,Hareketler!$B$5:$B$1504,"Giriş"))</f>
        <v/>
      </c>
      <c r="G166" s="24" t="str">
        <f aca="false">IF(A166="","",SUMIFS(Hareketler!$D$5:$D$1504,Hareketler!$C$5:$C$1504,A166,Hareketler!$B$5:$B$1504,"Çıkış"))</f>
        <v/>
      </c>
      <c r="H166" s="32" t="str">
        <f aca="false">IF(A166="","",D166+F166-G166)</f>
        <v/>
      </c>
      <c r="I166" s="29" t="str">
        <f aca="false">IF(A166="","",H166*C166)</f>
        <v/>
      </c>
      <c r="J166" s="25" t="str">
        <f aca="false">IF(A166="","",IF(H166&lt;=0,"Tükendi",IF(H166&lt;=E166,"Kritik","Yeterli")))</f>
        <v/>
      </c>
      <c r="K166" s="33" t="str">
        <f aca="false">IF(A166="","",IF(SUMPRODUCT(MAX((Hareketler!$C$5:$C$1504=A166)*Hareketler!$A$5:$A$1504))=0,"",SUMPRODUCT(MAX((Hareketler!$C$5:$C$1504=A166)*Hareketler!$A$5:$A$1504))))</f>
        <v/>
      </c>
      <c r="L166" s="24" t="str">
        <f aca="true">IF(OR(A166="",K166=""),"",TODAY()-K166)</f>
        <v/>
      </c>
      <c r="M166" s="16" t="str">
        <f aca="false">IF(OR(J166="Tükendi",J166="Kritik"),ROW(),"")</f>
        <v/>
      </c>
      <c r="N166" s="16" t="str">
        <f aca="false">IF(A166="","",I166+ROW()/1000000)</f>
        <v/>
      </c>
    </row>
    <row r="167" customFormat="false" ht="15" hidden="false" customHeight="false" outlineLevel="0" collapsed="false">
      <c r="A167" s="14"/>
      <c r="B167" s="13"/>
      <c r="C167" s="31"/>
      <c r="D167" s="15"/>
      <c r="E167" s="15"/>
      <c r="F167" s="24" t="str">
        <f aca="false">IF(A167="","",SUMIFS(Hareketler!$D$5:$D$1504,Hareketler!$C$5:$C$1504,A167,Hareketler!$B$5:$B$1504,"Giriş"))</f>
        <v/>
      </c>
      <c r="G167" s="24" t="str">
        <f aca="false">IF(A167="","",SUMIFS(Hareketler!$D$5:$D$1504,Hareketler!$C$5:$C$1504,A167,Hareketler!$B$5:$B$1504,"Çıkış"))</f>
        <v/>
      </c>
      <c r="H167" s="32" t="str">
        <f aca="false">IF(A167="","",D167+F167-G167)</f>
        <v/>
      </c>
      <c r="I167" s="29" t="str">
        <f aca="false">IF(A167="","",H167*C167)</f>
        <v/>
      </c>
      <c r="J167" s="25" t="str">
        <f aca="false">IF(A167="","",IF(H167&lt;=0,"Tükendi",IF(H167&lt;=E167,"Kritik","Yeterli")))</f>
        <v/>
      </c>
      <c r="K167" s="33" t="str">
        <f aca="false">IF(A167="","",IF(SUMPRODUCT(MAX((Hareketler!$C$5:$C$1504=A167)*Hareketler!$A$5:$A$1504))=0,"",SUMPRODUCT(MAX((Hareketler!$C$5:$C$1504=A167)*Hareketler!$A$5:$A$1504))))</f>
        <v/>
      </c>
      <c r="L167" s="24" t="str">
        <f aca="true">IF(OR(A167="",K167=""),"",TODAY()-K167)</f>
        <v/>
      </c>
      <c r="M167" s="16" t="str">
        <f aca="false">IF(OR(J167="Tükendi",J167="Kritik"),ROW(),"")</f>
        <v/>
      </c>
      <c r="N167" s="16" t="str">
        <f aca="false">IF(A167="","",I167+ROW()/1000000)</f>
        <v/>
      </c>
    </row>
    <row r="168" customFormat="false" ht="15" hidden="false" customHeight="false" outlineLevel="0" collapsed="false">
      <c r="A168" s="14"/>
      <c r="B168" s="13"/>
      <c r="C168" s="31"/>
      <c r="D168" s="15"/>
      <c r="E168" s="15"/>
      <c r="F168" s="24" t="str">
        <f aca="false">IF(A168="","",SUMIFS(Hareketler!$D$5:$D$1504,Hareketler!$C$5:$C$1504,A168,Hareketler!$B$5:$B$1504,"Giriş"))</f>
        <v/>
      </c>
      <c r="G168" s="24" t="str">
        <f aca="false">IF(A168="","",SUMIFS(Hareketler!$D$5:$D$1504,Hareketler!$C$5:$C$1504,A168,Hareketler!$B$5:$B$1504,"Çıkış"))</f>
        <v/>
      </c>
      <c r="H168" s="32" t="str">
        <f aca="false">IF(A168="","",D168+F168-G168)</f>
        <v/>
      </c>
      <c r="I168" s="29" t="str">
        <f aca="false">IF(A168="","",H168*C168)</f>
        <v/>
      </c>
      <c r="J168" s="25" t="str">
        <f aca="false">IF(A168="","",IF(H168&lt;=0,"Tükendi",IF(H168&lt;=E168,"Kritik","Yeterli")))</f>
        <v/>
      </c>
      <c r="K168" s="33" t="str">
        <f aca="false">IF(A168="","",IF(SUMPRODUCT(MAX((Hareketler!$C$5:$C$1504=A168)*Hareketler!$A$5:$A$1504))=0,"",SUMPRODUCT(MAX((Hareketler!$C$5:$C$1504=A168)*Hareketler!$A$5:$A$1504))))</f>
        <v/>
      </c>
      <c r="L168" s="24" t="str">
        <f aca="true">IF(OR(A168="",K168=""),"",TODAY()-K168)</f>
        <v/>
      </c>
      <c r="M168" s="16" t="str">
        <f aca="false">IF(OR(J168="Tükendi",J168="Kritik"),ROW(),"")</f>
        <v/>
      </c>
      <c r="N168" s="16" t="str">
        <f aca="false">IF(A168="","",I168+ROW()/1000000)</f>
        <v/>
      </c>
    </row>
    <row r="169" customFormat="false" ht="15" hidden="false" customHeight="false" outlineLevel="0" collapsed="false">
      <c r="A169" s="14"/>
      <c r="B169" s="13"/>
      <c r="C169" s="31"/>
      <c r="D169" s="15"/>
      <c r="E169" s="15"/>
      <c r="F169" s="24" t="str">
        <f aca="false">IF(A169="","",SUMIFS(Hareketler!$D$5:$D$1504,Hareketler!$C$5:$C$1504,A169,Hareketler!$B$5:$B$1504,"Giriş"))</f>
        <v/>
      </c>
      <c r="G169" s="24" t="str">
        <f aca="false">IF(A169="","",SUMIFS(Hareketler!$D$5:$D$1504,Hareketler!$C$5:$C$1504,A169,Hareketler!$B$5:$B$1504,"Çıkış"))</f>
        <v/>
      </c>
      <c r="H169" s="32" t="str">
        <f aca="false">IF(A169="","",D169+F169-G169)</f>
        <v/>
      </c>
      <c r="I169" s="29" t="str">
        <f aca="false">IF(A169="","",H169*C169)</f>
        <v/>
      </c>
      <c r="J169" s="25" t="str">
        <f aca="false">IF(A169="","",IF(H169&lt;=0,"Tükendi",IF(H169&lt;=E169,"Kritik","Yeterli")))</f>
        <v/>
      </c>
      <c r="K169" s="33" t="str">
        <f aca="false">IF(A169="","",IF(SUMPRODUCT(MAX((Hareketler!$C$5:$C$1504=A169)*Hareketler!$A$5:$A$1504))=0,"",SUMPRODUCT(MAX((Hareketler!$C$5:$C$1504=A169)*Hareketler!$A$5:$A$1504))))</f>
        <v/>
      </c>
      <c r="L169" s="24" t="str">
        <f aca="true">IF(OR(A169="",K169=""),"",TODAY()-K169)</f>
        <v/>
      </c>
      <c r="M169" s="16" t="str">
        <f aca="false">IF(OR(J169="Tükendi",J169="Kritik"),ROW(),"")</f>
        <v/>
      </c>
      <c r="N169" s="16" t="str">
        <f aca="false">IF(A169="","",I169+ROW()/1000000)</f>
        <v/>
      </c>
    </row>
    <row r="170" customFormat="false" ht="15" hidden="false" customHeight="false" outlineLevel="0" collapsed="false">
      <c r="A170" s="14"/>
      <c r="B170" s="13"/>
      <c r="C170" s="31"/>
      <c r="D170" s="15"/>
      <c r="E170" s="15"/>
      <c r="F170" s="24" t="str">
        <f aca="false">IF(A170="","",SUMIFS(Hareketler!$D$5:$D$1504,Hareketler!$C$5:$C$1504,A170,Hareketler!$B$5:$B$1504,"Giriş"))</f>
        <v/>
      </c>
      <c r="G170" s="24" t="str">
        <f aca="false">IF(A170="","",SUMIFS(Hareketler!$D$5:$D$1504,Hareketler!$C$5:$C$1504,A170,Hareketler!$B$5:$B$1504,"Çıkış"))</f>
        <v/>
      </c>
      <c r="H170" s="32" t="str">
        <f aca="false">IF(A170="","",D170+F170-G170)</f>
        <v/>
      </c>
      <c r="I170" s="29" t="str">
        <f aca="false">IF(A170="","",H170*C170)</f>
        <v/>
      </c>
      <c r="J170" s="25" t="str">
        <f aca="false">IF(A170="","",IF(H170&lt;=0,"Tükendi",IF(H170&lt;=E170,"Kritik","Yeterli")))</f>
        <v/>
      </c>
      <c r="K170" s="33" t="str">
        <f aca="false">IF(A170="","",IF(SUMPRODUCT(MAX((Hareketler!$C$5:$C$1504=A170)*Hareketler!$A$5:$A$1504))=0,"",SUMPRODUCT(MAX((Hareketler!$C$5:$C$1504=A170)*Hareketler!$A$5:$A$1504))))</f>
        <v/>
      </c>
      <c r="L170" s="24" t="str">
        <f aca="true">IF(OR(A170="",K170=""),"",TODAY()-K170)</f>
        <v/>
      </c>
      <c r="M170" s="16" t="str">
        <f aca="false">IF(OR(J170="Tükendi",J170="Kritik"),ROW(),"")</f>
        <v/>
      </c>
      <c r="N170" s="16" t="str">
        <f aca="false">IF(A170="","",I170+ROW()/1000000)</f>
        <v/>
      </c>
    </row>
    <row r="171" customFormat="false" ht="15" hidden="false" customHeight="false" outlineLevel="0" collapsed="false">
      <c r="A171" s="14"/>
      <c r="B171" s="13"/>
      <c r="C171" s="31"/>
      <c r="D171" s="15"/>
      <c r="E171" s="15"/>
      <c r="F171" s="24" t="str">
        <f aca="false">IF(A171="","",SUMIFS(Hareketler!$D$5:$D$1504,Hareketler!$C$5:$C$1504,A171,Hareketler!$B$5:$B$1504,"Giriş"))</f>
        <v/>
      </c>
      <c r="G171" s="24" t="str">
        <f aca="false">IF(A171="","",SUMIFS(Hareketler!$D$5:$D$1504,Hareketler!$C$5:$C$1504,A171,Hareketler!$B$5:$B$1504,"Çıkış"))</f>
        <v/>
      </c>
      <c r="H171" s="32" t="str">
        <f aca="false">IF(A171="","",D171+F171-G171)</f>
        <v/>
      </c>
      <c r="I171" s="29" t="str">
        <f aca="false">IF(A171="","",H171*C171)</f>
        <v/>
      </c>
      <c r="J171" s="25" t="str">
        <f aca="false">IF(A171="","",IF(H171&lt;=0,"Tükendi",IF(H171&lt;=E171,"Kritik","Yeterli")))</f>
        <v/>
      </c>
      <c r="K171" s="33" t="str">
        <f aca="false">IF(A171="","",IF(SUMPRODUCT(MAX((Hareketler!$C$5:$C$1504=A171)*Hareketler!$A$5:$A$1504))=0,"",SUMPRODUCT(MAX((Hareketler!$C$5:$C$1504=A171)*Hareketler!$A$5:$A$1504))))</f>
        <v/>
      </c>
      <c r="L171" s="24" t="str">
        <f aca="true">IF(OR(A171="",K171=""),"",TODAY()-K171)</f>
        <v/>
      </c>
      <c r="M171" s="16" t="str">
        <f aca="false">IF(OR(J171="Tükendi",J171="Kritik"),ROW(),"")</f>
        <v/>
      </c>
      <c r="N171" s="16" t="str">
        <f aca="false">IF(A171="","",I171+ROW()/1000000)</f>
        <v/>
      </c>
    </row>
    <row r="172" customFormat="false" ht="15" hidden="false" customHeight="false" outlineLevel="0" collapsed="false">
      <c r="A172" s="14"/>
      <c r="B172" s="13"/>
      <c r="C172" s="31"/>
      <c r="D172" s="15"/>
      <c r="E172" s="15"/>
      <c r="F172" s="24" t="str">
        <f aca="false">IF(A172="","",SUMIFS(Hareketler!$D$5:$D$1504,Hareketler!$C$5:$C$1504,A172,Hareketler!$B$5:$B$1504,"Giriş"))</f>
        <v/>
      </c>
      <c r="G172" s="24" t="str">
        <f aca="false">IF(A172="","",SUMIFS(Hareketler!$D$5:$D$1504,Hareketler!$C$5:$C$1504,A172,Hareketler!$B$5:$B$1504,"Çıkış"))</f>
        <v/>
      </c>
      <c r="H172" s="32" t="str">
        <f aca="false">IF(A172="","",D172+F172-G172)</f>
        <v/>
      </c>
      <c r="I172" s="29" t="str">
        <f aca="false">IF(A172="","",H172*C172)</f>
        <v/>
      </c>
      <c r="J172" s="25" t="str">
        <f aca="false">IF(A172="","",IF(H172&lt;=0,"Tükendi",IF(H172&lt;=E172,"Kritik","Yeterli")))</f>
        <v/>
      </c>
      <c r="K172" s="33" t="str">
        <f aca="false">IF(A172="","",IF(SUMPRODUCT(MAX((Hareketler!$C$5:$C$1504=A172)*Hareketler!$A$5:$A$1504))=0,"",SUMPRODUCT(MAX((Hareketler!$C$5:$C$1504=A172)*Hareketler!$A$5:$A$1504))))</f>
        <v/>
      </c>
      <c r="L172" s="24" t="str">
        <f aca="true">IF(OR(A172="",K172=""),"",TODAY()-K172)</f>
        <v/>
      </c>
      <c r="M172" s="16" t="str">
        <f aca="false">IF(OR(J172="Tükendi",J172="Kritik"),ROW(),"")</f>
        <v/>
      </c>
      <c r="N172" s="16" t="str">
        <f aca="false">IF(A172="","",I172+ROW()/1000000)</f>
        <v/>
      </c>
    </row>
    <row r="173" customFormat="false" ht="15" hidden="false" customHeight="false" outlineLevel="0" collapsed="false">
      <c r="A173" s="14"/>
      <c r="B173" s="13"/>
      <c r="C173" s="31"/>
      <c r="D173" s="15"/>
      <c r="E173" s="15"/>
      <c r="F173" s="24" t="str">
        <f aca="false">IF(A173="","",SUMIFS(Hareketler!$D$5:$D$1504,Hareketler!$C$5:$C$1504,A173,Hareketler!$B$5:$B$1504,"Giriş"))</f>
        <v/>
      </c>
      <c r="G173" s="24" t="str">
        <f aca="false">IF(A173="","",SUMIFS(Hareketler!$D$5:$D$1504,Hareketler!$C$5:$C$1504,A173,Hareketler!$B$5:$B$1504,"Çıkış"))</f>
        <v/>
      </c>
      <c r="H173" s="32" t="str">
        <f aca="false">IF(A173="","",D173+F173-G173)</f>
        <v/>
      </c>
      <c r="I173" s="29" t="str">
        <f aca="false">IF(A173="","",H173*C173)</f>
        <v/>
      </c>
      <c r="J173" s="25" t="str">
        <f aca="false">IF(A173="","",IF(H173&lt;=0,"Tükendi",IF(H173&lt;=E173,"Kritik","Yeterli")))</f>
        <v/>
      </c>
      <c r="K173" s="33" t="str">
        <f aca="false">IF(A173="","",IF(SUMPRODUCT(MAX((Hareketler!$C$5:$C$1504=A173)*Hareketler!$A$5:$A$1504))=0,"",SUMPRODUCT(MAX((Hareketler!$C$5:$C$1504=A173)*Hareketler!$A$5:$A$1504))))</f>
        <v/>
      </c>
      <c r="L173" s="24" t="str">
        <f aca="true">IF(OR(A173="",K173=""),"",TODAY()-K173)</f>
        <v/>
      </c>
      <c r="M173" s="16" t="str">
        <f aca="false">IF(OR(J173="Tükendi",J173="Kritik"),ROW(),"")</f>
        <v/>
      </c>
      <c r="N173" s="16" t="str">
        <f aca="false">IF(A173="","",I173+ROW()/1000000)</f>
        <v/>
      </c>
    </row>
    <row r="174" customFormat="false" ht="15" hidden="false" customHeight="false" outlineLevel="0" collapsed="false">
      <c r="A174" s="14"/>
      <c r="B174" s="13"/>
      <c r="C174" s="31"/>
      <c r="D174" s="15"/>
      <c r="E174" s="15"/>
      <c r="F174" s="24" t="str">
        <f aca="false">IF(A174="","",SUMIFS(Hareketler!$D$5:$D$1504,Hareketler!$C$5:$C$1504,A174,Hareketler!$B$5:$B$1504,"Giriş"))</f>
        <v/>
      </c>
      <c r="G174" s="24" t="str">
        <f aca="false">IF(A174="","",SUMIFS(Hareketler!$D$5:$D$1504,Hareketler!$C$5:$C$1504,A174,Hareketler!$B$5:$B$1504,"Çıkış"))</f>
        <v/>
      </c>
      <c r="H174" s="32" t="str">
        <f aca="false">IF(A174="","",D174+F174-G174)</f>
        <v/>
      </c>
      <c r="I174" s="29" t="str">
        <f aca="false">IF(A174="","",H174*C174)</f>
        <v/>
      </c>
      <c r="J174" s="25" t="str">
        <f aca="false">IF(A174="","",IF(H174&lt;=0,"Tükendi",IF(H174&lt;=E174,"Kritik","Yeterli")))</f>
        <v/>
      </c>
      <c r="K174" s="33" t="str">
        <f aca="false">IF(A174="","",IF(SUMPRODUCT(MAX((Hareketler!$C$5:$C$1504=A174)*Hareketler!$A$5:$A$1504))=0,"",SUMPRODUCT(MAX((Hareketler!$C$5:$C$1504=A174)*Hareketler!$A$5:$A$1504))))</f>
        <v/>
      </c>
      <c r="L174" s="24" t="str">
        <f aca="true">IF(OR(A174="",K174=""),"",TODAY()-K174)</f>
        <v/>
      </c>
      <c r="M174" s="16" t="str">
        <f aca="false">IF(OR(J174="Tükendi",J174="Kritik"),ROW(),"")</f>
        <v/>
      </c>
      <c r="N174" s="16" t="str">
        <f aca="false">IF(A174="","",I174+ROW()/1000000)</f>
        <v/>
      </c>
    </row>
    <row r="175" customFormat="false" ht="15" hidden="false" customHeight="false" outlineLevel="0" collapsed="false">
      <c r="A175" s="14"/>
      <c r="B175" s="13"/>
      <c r="C175" s="31"/>
      <c r="D175" s="15"/>
      <c r="E175" s="15"/>
      <c r="F175" s="24" t="str">
        <f aca="false">IF(A175="","",SUMIFS(Hareketler!$D$5:$D$1504,Hareketler!$C$5:$C$1504,A175,Hareketler!$B$5:$B$1504,"Giriş"))</f>
        <v/>
      </c>
      <c r="G175" s="24" t="str">
        <f aca="false">IF(A175="","",SUMIFS(Hareketler!$D$5:$D$1504,Hareketler!$C$5:$C$1504,A175,Hareketler!$B$5:$B$1504,"Çıkış"))</f>
        <v/>
      </c>
      <c r="H175" s="32" t="str">
        <f aca="false">IF(A175="","",D175+F175-G175)</f>
        <v/>
      </c>
      <c r="I175" s="29" t="str">
        <f aca="false">IF(A175="","",H175*C175)</f>
        <v/>
      </c>
      <c r="J175" s="25" t="str">
        <f aca="false">IF(A175="","",IF(H175&lt;=0,"Tükendi",IF(H175&lt;=E175,"Kritik","Yeterli")))</f>
        <v/>
      </c>
      <c r="K175" s="33" t="str">
        <f aca="false">IF(A175="","",IF(SUMPRODUCT(MAX((Hareketler!$C$5:$C$1504=A175)*Hareketler!$A$5:$A$1504))=0,"",SUMPRODUCT(MAX((Hareketler!$C$5:$C$1504=A175)*Hareketler!$A$5:$A$1504))))</f>
        <v/>
      </c>
      <c r="L175" s="24" t="str">
        <f aca="true">IF(OR(A175="",K175=""),"",TODAY()-K175)</f>
        <v/>
      </c>
      <c r="M175" s="16" t="str">
        <f aca="false">IF(OR(J175="Tükendi",J175="Kritik"),ROW(),"")</f>
        <v/>
      </c>
      <c r="N175" s="16" t="str">
        <f aca="false">IF(A175="","",I175+ROW()/1000000)</f>
        <v/>
      </c>
    </row>
    <row r="176" customFormat="false" ht="15" hidden="false" customHeight="false" outlineLevel="0" collapsed="false">
      <c r="A176" s="14"/>
      <c r="B176" s="13"/>
      <c r="C176" s="31"/>
      <c r="D176" s="15"/>
      <c r="E176" s="15"/>
      <c r="F176" s="24" t="str">
        <f aca="false">IF(A176="","",SUMIFS(Hareketler!$D$5:$D$1504,Hareketler!$C$5:$C$1504,A176,Hareketler!$B$5:$B$1504,"Giriş"))</f>
        <v/>
      </c>
      <c r="G176" s="24" t="str">
        <f aca="false">IF(A176="","",SUMIFS(Hareketler!$D$5:$D$1504,Hareketler!$C$5:$C$1504,A176,Hareketler!$B$5:$B$1504,"Çıkış"))</f>
        <v/>
      </c>
      <c r="H176" s="32" t="str">
        <f aca="false">IF(A176="","",D176+F176-G176)</f>
        <v/>
      </c>
      <c r="I176" s="29" t="str">
        <f aca="false">IF(A176="","",H176*C176)</f>
        <v/>
      </c>
      <c r="J176" s="25" t="str">
        <f aca="false">IF(A176="","",IF(H176&lt;=0,"Tükendi",IF(H176&lt;=E176,"Kritik","Yeterli")))</f>
        <v/>
      </c>
      <c r="K176" s="33" t="str">
        <f aca="false">IF(A176="","",IF(SUMPRODUCT(MAX((Hareketler!$C$5:$C$1504=A176)*Hareketler!$A$5:$A$1504))=0,"",SUMPRODUCT(MAX((Hareketler!$C$5:$C$1504=A176)*Hareketler!$A$5:$A$1504))))</f>
        <v/>
      </c>
      <c r="L176" s="24" t="str">
        <f aca="true">IF(OR(A176="",K176=""),"",TODAY()-K176)</f>
        <v/>
      </c>
      <c r="M176" s="16" t="str">
        <f aca="false">IF(OR(J176="Tükendi",J176="Kritik"),ROW(),"")</f>
        <v/>
      </c>
      <c r="N176" s="16" t="str">
        <f aca="false">IF(A176="","",I176+ROW()/1000000)</f>
        <v/>
      </c>
    </row>
    <row r="177" customFormat="false" ht="15" hidden="false" customHeight="false" outlineLevel="0" collapsed="false">
      <c r="A177" s="14"/>
      <c r="B177" s="13"/>
      <c r="C177" s="31"/>
      <c r="D177" s="15"/>
      <c r="E177" s="15"/>
      <c r="F177" s="24" t="str">
        <f aca="false">IF(A177="","",SUMIFS(Hareketler!$D$5:$D$1504,Hareketler!$C$5:$C$1504,A177,Hareketler!$B$5:$B$1504,"Giriş"))</f>
        <v/>
      </c>
      <c r="G177" s="24" t="str">
        <f aca="false">IF(A177="","",SUMIFS(Hareketler!$D$5:$D$1504,Hareketler!$C$5:$C$1504,A177,Hareketler!$B$5:$B$1504,"Çıkış"))</f>
        <v/>
      </c>
      <c r="H177" s="32" t="str">
        <f aca="false">IF(A177="","",D177+F177-G177)</f>
        <v/>
      </c>
      <c r="I177" s="29" t="str">
        <f aca="false">IF(A177="","",H177*C177)</f>
        <v/>
      </c>
      <c r="J177" s="25" t="str">
        <f aca="false">IF(A177="","",IF(H177&lt;=0,"Tükendi",IF(H177&lt;=E177,"Kritik","Yeterli")))</f>
        <v/>
      </c>
      <c r="K177" s="33" t="str">
        <f aca="false">IF(A177="","",IF(SUMPRODUCT(MAX((Hareketler!$C$5:$C$1504=A177)*Hareketler!$A$5:$A$1504))=0,"",SUMPRODUCT(MAX((Hareketler!$C$5:$C$1504=A177)*Hareketler!$A$5:$A$1504))))</f>
        <v/>
      </c>
      <c r="L177" s="24" t="str">
        <f aca="true">IF(OR(A177="",K177=""),"",TODAY()-K177)</f>
        <v/>
      </c>
      <c r="M177" s="16" t="str">
        <f aca="false">IF(OR(J177="Tükendi",J177="Kritik"),ROW(),"")</f>
        <v/>
      </c>
      <c r="N177" s="16" t="str">
        <f aca="false">IF(A177="","",I177+ROW()/1000000)</f>
        <v/>
      </c>
    </row>
    <row r="178" customFormat="false" ht="15" hidden="false" customHeight="false" outlineLevel="0" collapsed="false">
      <c r="A178" s="14"/>
      <c r="B178" s="13"/>
      <c r="C178" s="31"/>
      <c r="D178" s="15"/>
      <c r="E178" s="15"/>
      <c r="F178" s="24" t="str">
        <f aca="false">IF(A178="","",SUMIFS(Hareketler!$D$5:$D$1504,Hareketler!$C$5:$C$1504,A178,Hareketler!$B$5:$B$1504,"Giriş"))</f>
        <v/>
      </c>
      <c r="G178" s="24" t="str">
        <f aca="false">IF(A178="","",SUMIFS(Hareketler!$D$5:$D$1504,Hareketler!$C$5:$C$1504,A178,Hareketler!$B$5:$B$1504,"Çıkış"))</f>
        <v/>
      </c>
      <c r="H178" s="32" t="str">
        <f aca="false">IF(A178="","",D178+F178-G178)</f>
        <v/>
      </c>
      <c r="I178" s="29" t="str">
        <f aca="false">IF(A178="","",H178*C178)</f>
        <v/>
      </c>
      <c r="J178" s="25" t="str">
        <f aca="false">IF(A178="","",IF(H178&lt;=0,"Tükendi",IF(H178&lt;=E178,"Kritik","Yeterli")))</f>
        <v/>
      </c>
      <c r="K178" s="33" t="str">
        <f aca="false">IF(A178="","",IF(SUMPRODUCT(MAX((Hareketler!$C$5:$C$1504=A178)*Hareketler!$A$5:$A$1504))=0,"",SUMPRODUCT(MAX((Hareketler!$C$5:$C$1504=A178)*Hareketler!$A$5:$A$1504))))</f>
        <v/>
      </c>
      <c r="L178" s="24" t="str">
        <f aca="true">IF(OR(A178="",K178=""),"",TODAY()-K178)</f>
        <v/>
      </c>
      <c r="M178" s="16" t="str">
        <f aca="false">IF(OR(J178="Tükendi",J178="Kritik"),ROW(),"")</f>
        <v/>
      </c>
      <c r="N178" s="16" t="str">
        <f aca="false">IF(A178="","",I178+ROW()/1000000)</f>
        <v/>
      </c>
    </row>
    <row r="179" customFormat="false" ht="15" hidden="false" customHeight="false" outlineLevel="0" collapsed="false">
      <c r="A179" s="14"/>
      <c r="B179" s="13"/>
      <c r="C179" s="31"/>
      <c r="D179" s="15"/>
      <c r="E179" s="15"/>
      <c r="F179" s="24" t="str">
        <f aca="false">IF(A179="","",SUMIFS(Hareketler!$D$5:$D$1504,Hareketler!$C$5:$C$1504,A179,Hareketler!$B$5:$B$1504,"Giriş"))</f>
        <v/>
      </c>
      <c r="G179" s="24" t="str">
        <f aca="false">IF(A179="","",SUMIFS(Hareketler!$D$5:$D$1504,Hareketler!$C$5:$C$1504,A179,Hareketler!$B$5:$B$1504,"Çıkış"))</f>
        <v/>
      </c>
      <c r="H179" s="32" t="str">
        <f aca="false">IF(A179="","",D179+F179-G179)</f>
        <v/>
      </c>
      <c r="I179" s="29" t="str">
        <f aca="false">IF(A179="","",H179*C179)</f>
        <v/>
      </c>
      <c r="J179" s="25" t="str">
        <f aca="false">IF(A179="","",IF(H179&lt;=0,"Tükendi",IF(H179&lt;=E179,"Kritik","Yeterli")))</f>
        <v/>
      </c>
      <c r="K179" s="33" t="str">
        <f aca="false">IF(A179="","",IF(SUMPRODUCT(MAX((Hareketler!$C$5:$C$1504=A179)*Hareketler!$A$5:$A$1504))=0,"",SUMPRODUCT(MAX((Hareketler!$C$5:$C$1504=A179)*Hareketler!$A$5:$A$1504))))</f>
        <v/>
      </c>
      <c r="L179" s="24" t="str">
        <f aca="true">IF(OR(A179="",K179=""),"",TODAY()-K179)</f>
        <v/>
      </c>
      <c r="M179" s="16" t="str">
        <f aca="false">IF(OR(J179="Tükendi",J179="Kritik"),ROW(),"")</f>
        <v/>
      </c>
      <c r="N179" s="16" t="str">
        <f aca="false">IF(A179="","",I179+ROW()/1000000)</f>
        <v/>
      </c>
    </row>
    <row r="180" customFormat="false" ht="15" hidden="false" customHeight="false" outlineLevel="0" collapsed="false">
      <c r="A180" s="14"/>
      <c r="B180" s="13"/>
      <c r="C180" s="31"/>
      <c r="D180" s="15"/>
      <c r="E180" s="15"/>
      <c r="F180" s="24" t="str">
        <f aca="false">IF(A180="","",SUMIFS(Hareketler!$D$5:$D$1504,Hareketler!$C$5:$C$1504,A180,Hareketler!$B$5:$B$1504,"Giriş"))</f>
        <v/>
      </c>
      <c r="G180" s="24" t="str">
        <f aca="false">IF(A180="","",SUMIFS(Hareketler!$D$5:$D$1504,Hareketler!$C$5:$C$1504,A180,Hareketler!$B$5:$B$1504,"Çıkış"))</f>
        <v/>
      </c>
      <c r="H180" s="32" t="str">
        <f aca="false">IF(A180="","",D180+F180-G180)</f>
        <v/>
      </c>
      <c r="I180" s="29" t="str">
        <f aca="false">IF(A180="","",H180*C180)</f>
        <v/>
      </c>
      <c r="J180" s="25" t="str">
        <f aca="false">IF(A180="","",IF(H180&lt;=0,"Tükendi",IF(H180&lt;=E180,"Kritik","Yeterli")))</f>
        <v/>
      </c>
      <c r="K180" s="33" t="str">
        <f aca="false">IF(A180="","",IF(SUMPRODUCT(MAX((Hareketler!$C$5:$C$1504=A180)*Hareketler!$A$5:$A$1504))=0,"",SUMPRODUCT(MAX((Hareketler!$C$5:$C$1504=A180)*Hareketler!$A$5:$A$1504))))</f>
        <v/>
      </c>
      <c r="L180" s="24" t="str">
        <f aca="true">IF(OR(A180="",K180=""),"",TODAY()-K180)</f>
        <v/>
      </c>
      <c r="M180" s="16" t="str">
        <f aca="false">IF(OR(J180="Tükendi",J180="Kritik"),ROW(),"")</f>
        <v/>
      </c>
      <c r="N180" s="16" t="str">
        <f aca="false">IF(A180="","",I180+ROW()/1000000)</f>
        <v/>
      </c>
    </row>
    <row r="181" customFormat="false" ht="15" hidden="false" customHeight="false" outlineLevel="0" collapsed="false">
      <c r="A181" s="14"/>
      <c r="B181" s="13"/>
      <c r="C181" s="31"/>
      <c r="D181" s="15"/>
      <c r="E181" s="15"/>
      <c r="F181" s="24" t="str">
        <f aca="false">IF(A181="","",SUMIFS(Hareketler!$D$5:$D$1504,Hareketler!$C$5:$C$1504,A181,Hareketler!$B$5:$B$1504,"Giriş"))</f>
        <v/>
      </c>
      <c r="G181" s="24" t="str">
        <f aca="false">IF(A181="","",SUMIFS(Hareketler!$D$5:$D$1504,Hareketler!$C$5:$C$1504,A181,Hareketler!$B$5:$B$1504,"Çıkış"))</f>
        <v/>
      </c>
      <c r="H181" s="32" t="str">
        <f aca="false">IF(A181="","",D181+F181-G181)</f>
        <v/>
      </c>
      <c r="I181" s="29" t="str">
        <f aca="false">IF(A181="","",H181*C181)</f>
        <v/>
      </c>
      <c r="J181" s="25" t="str">
        <f aca="false">IF(A181="","",IF(H181&lt;=0,"Tükendi",IF(H181&lt;=E181,"Kritik","Yeterli")))</f>
        <v/>
      </c>
      <c r="K181" s="33" t="str">
        <f aca="false">IF(A181="","",IF(SUMPRODUCT(MAX((Hareketler!$C$5:$C$1504=A181)*Hareketler!$A$5:$A$1504))=0,"",SUMPRODUCT(MAX((Hareketler!$C$5:$C$1504=A181)*Hareketler!$A$5:$A$1504))))</f>
        <v/>
      </c>
      <c r="L181" s="24" t="str">
        <f aca="true">IF(OR(A181="",K181=""),"",TODAY()-K181)</f>
        <v/>
      </c>
      <c r="M181" s="16" t="str">
        <f aca="false">IF(OR(J181="Tükendi",J181="Kritik"),ROW(),"")</f>
        <v/>
      </c>
      <c r="N181" s="16" t="str">
        <f aca="false">IF(A181="","",I181+ROW()/1000000)</f>
        <v/>
      </c>
    </row>
    <row r="182" customFormat="false" ht="15" hidden="false" customHeight="false" outlineLevel="0" collapsed="false">
      <c r="A182" s="14"/>
      <c r="B182" s="13"/>
      <c r="C182" s="31"/>
      <c r="D182" s="15"/>
      <c r="E182" s="15"/>
      <c r="F182" s="24" t="str">
        <f aca="false">IF(A182="","",SUMIFS(Hareketler!$D$5:$D$1504,Hareketler!$C$5:$C$1504,A182,Hareketler!$B$5:$B$1504,"Giriş"))</f>
        <v/>
      </c>
      <c r="G182" s="24" t="str">
        <f aca="false">IF(A182="","",SUMIFS(Hareketler!$D$5:$D$1504,Hareketler!$C$5:$C$1504,A182,Hareketler!$B$5:$B$1504,"Çıkış"))</f>
        <v/>
      </c>
      <c r="H182" s="32" t="str">
        <f aca="false">IF(A182="","",D182+F182-G182)</f>
        <v/>
      </c>
      <c r="I182" s="29" t="str">
        <f aca="false">IF(A182="","",H182*C182)</f>
        <v/>
      </c>
      <c r="J182" s="25" t="str">
        <f aca="false">IF(A182="","",IF(H182&lt;=0,"Tükendi",IF(H182&lt;=E182,"Kritik","Yeterli")))</f>
        <v/>
      </c>
      <c r="K182" s="33" t="str">
        <f aca="false">IF(A182="","",IF(SUMPRODUCT(MAX((Hareketler!$C$5:$C$1504=A182)*Hareketler!$A$5:$A$1504))=0,"",SUMPRODUCT(MAX((Hareketler!$C$5:$C$1504=A182)*Hareketler!$A$5:$A$1504))))</f>
        <v/>
      </c>
      <c r="L182" s="24" t="str">
        <f aca="true">IF(OR(A182="",K182=""),"",TODAY()-K182)</f>
        <v/>
      </c>
      <c r="M182" s="16" t="str">
        <f aca="false">IF(OR(J182="Tükendi",J182="Kritik"),ROW(),"")</f>
        <v/>
      </c>
      <c r="N182" s="16" t="str">
        <f aca="false">IF(A182="","",I182+ROW()/1000000)</f>
        <v/>
      </c>
    </row>
    <row r="183" customFormat="false" ht="15" hidden="false" customHeight="false" outlineLevel="0" collapsed="false">
      <c r="A183" s="14"/>
      <c r="B183" s="13"/>
      <c r="C183" s="31"/>
      <c r="D183" s="15"/>
      <c r="E183" s="15"/>
      <c r="F183" s="24" t="str">
        <f aca="false">IF(A183="","",SUMIFS(Hareketler!$D$5:$D$1504,Hareketler!$C$5:$C$1504,A183,Hareketler!$B$5:$B$1504,"Giriş"))</f>
        <v/>
      </c>
      <c r="G183" s="24" t="str">
        <f aca="false">IF(A183="","",SUMIFS(Hareketler!$D$5:$D$1504,Hareketler!$C$5:$C$1504,A183,Hareketler!$B$5:$B$1504,"Çıkış"))</f>
        <v/>
      </c>
      <c r="H183" s="32" t="str">
        <f aca="false">IF(A183="","",D183+F183-G183)</f>
        <v/>
      </c>
      <c r="I183" s="29" t="str">
        <f aca="false">IF(A183="","",H183*C183)</f>
        <v/>
      </c>
      <c r="J183" s="25" t="str">
        <f aca="false">IF(A183="","",IF(H183&lt;=0,"Tükendi",IF(H183&lt;=E183,"Kritik","Yeterli")))</f>
        <v/>
      </c>
      <c r="K183" s="33" t="str">
        <f aca="false">IF(A183="","",IF(SUMPRODUCT(MAX((Hareketler!$C$5:$C$1504=A183)*Hareketler!$A$5:$A$1504))=0,"",SUMPRODUCT(MAX((Hareketler!$C$5:$C$1504=A183)*Hareketler!$A$5:$A$1504))))</f>
        <v/>
      </c>
      <c r="L183" s="24" t="str">
        <f aca="true">IF(OR(A183="",K183=""),"",TODAY()-K183)</f>
        <v/>
      </c>
      <c r="M183" s="16" t="str">
        <f aca="false">IF(OR(J183="Tükendi",J183="Kritik"),ROW(),"")</f>
        <v/>
      </c>
      <c r="N183" s="16" t="str">
        <f aca="false">IF(A183="","",I183+ROW()/1000000)</f>
        <v/>
      </c>
    </row>
    <row r="184" customFormat="false" ht="15" hidden="false" customHeight="false" outlineLevel="0" collapsed="false">
      <c r="A184" s="14"/>
      <c r="B184" s="13"/>
      <c r="C184" s="31"/>
      <c r="D184" s="15"/>
      <c r="E184" s="15"/>
      <c r="F184" s="24" t="str">
        <f aca="false">IF(A184="","",SUMIFS(Hareketler!$D$5:$D$1504,Hareketler!$C$5:$C$1504,A184,Hareketler!$B$5:$B$1504,"Giriş"))</f>
        <v/>
      </c>
      <c r="G184" s="24" t="str">
        <f aca="false">IF(A184="","",SUMIFS(Hareketler!$D$5:$D$1504,Hareketler!$C$5:$C$1504,A184,Hareketler!$B$5:$B$1504,"Çıkış"))</f>
        <v/>
      </c>
      <c r="H184" s="32" t="str">
        <f aca="false">IF(A184="","",D184+F184-G184)</f>
        <v/>
      </c>
      <c r="I184" s="29" t="str">
        <f aca="false">IF(A184="","",H184*C184)</f>
        <v/>
      </c>
      <c r="J184" s="25" t="str">
        <f aca="false">IF(A184="","",IF(H184&lt;=0,"Tükendi",IF(H184&lt;=E184,"Kritik","Yeterli")))</f>
        <v/>
      </c>
      <c r="K184" s="33" t="str">
        <f aca="false">IF(A184="","",IF(SUMPRODUCT(MAX((Hareketler!$C$5:$C$1504=A184)*Hareketler!$A$5:$A$1504))=0,"",SUMPRODUCT(MAX((Hareketler!$C$5:$C$1504=A184)*Hareketler!$A$5:$A$1504))))</f>
        <v/>
      </c>
      <c r="L184" s="24" t="str">
        <f aca="true">IF(OR(A184="",K184=""),"",TODAY()-K184)</f>
        <v/>
      </c>
      <c r="M184" s="16" t="str">
        <f aca="false">IF(OR(J184="Tükendi",J184="Kritik"),ROW(),"")</f>
        <v/>
      </c>
      <c r="N184" s="16" t="str">
        <f aca="false">IF(A184="","",I184+ROW()/1000000)</f>
        <v/>
      </c>
    </row>
    <row r="185" customFormat="false" ht="15" hidden="false" customHeight="false" outlineLevel="0" collapsed="false">
      <c r="A185" s="14"/>
      <c r="B185" s="13"/>
      <c r="C185" s="31"/>
      <c r="D185" s="15"/>
      <c r="E185" s="15"/>
      <c r="F185" s="24" t="str">
        <f aca="false">IF(A185="","",SUMIFS(Hareketler!$D$5:$D$1504,Hareketler!$C$5:$C$1504,A185,Hareketler!$B$5:$B$1504,"Giriş"))</f>
        <v/>
      </c>
      <c r="G185" s="24" t="str">
        <f aca="false">IF(A185="","",SUMIFS(Hareketler!$D$5:$D$1504,Hareketler!$C$5:$C$1504,A185,Hareketler!$B$5:$B$1504,"Çıkış"))</f>
        <v/>
      </c>
      <c r="H185" s="32" t="str">
        <f aca="false">IF(A185="","",D185+F185-G185)</f>
        <v/>
      </c>
      <c r="I185" s="29" t="str">
        <f aca="false">IF(A185="","",H185*C185)</f>
        <v/>
      </c>
      <c r="J185" s="25" t="str">
        <f aca="false">IF(A185="","",IF(H185&lt;=0,"Tükendi",IF(H185&lt;=E185,"Kritik","Yeterli")))</f>
        <v/>
      </c>
      <c r="K185" s="33" t="str">
        <f aca="false">IF(A185="","",IF(SUMPRODUCT(MAX((Hareketler!$C$5:$C$1504=A185)*Hareketler!$A$5:$A$1504))=0,"",SUMPRODUCT(MAX((Hareketler!$C$5:$C$1504=A185)*Hareketler!$A$5:$A$1504))))</f>
        <v/>
      </c>
      <c r="L185" s="24" t="str">
        <f aca="true">IF(OR(A185="",K185=""),"",TODAY()-K185)</f>
        <v/>
      </c>
      <c r="M185" s="16" t="str">
        <f aca="false">IF(OR(J185="Tükendi",J185="Kritik"),ROW(),"")</f>
        <v/>
      </c>
      <c r="N185" s="16" t="str">
        <f aca="false">IF(A185="","",I185+ROW()/1000000)</f>
        <v/>
      </c>
    </row>
    <row r="186" customFormat="false" ht="15" hidden="false" customHeight="false" outlineLevel="0" collapsed="false">
      <c r="A186" s="14"/>
      <c r="B186" s="13"/>
      <c r="C186" s="31"/>
      <c r="D186" s="15"/>
      <c r="E186" s="15"/>
      <c r="F186" s="24" t="str">
        <f aca="false">IF(A186="","",SUMIFS(Hareketler!$D$5:$D$1504,Hareketler!$C$5:$C$1504,A186,Hareketler!$B$5:$B$1504,"Giriş"))</f>
        <v/>
      </c>
      <c r="G186" s="24" t="str">
        <f aca="false">IF(A186="","",SUMIFS(Hareketler!$D$5:$D$1504,Hareketler!$C$5:$C$1504,A186,Hareketler!$B$5:$B$1504,"Çıkış"))</f>
        <v/>
      </c>
      <c r="H186" s="32" t="str">
        <f aca="false">IF(A186="","",D186+F186-G186)</f>
        <v/>
      </c>
      <c r="I186" s="29" t="str">
        <f aca="false">IF(A186="","",H186*C186)</f>
        <v/>
      </c>
      <c r="J186" s="25" t="str">
        <f aca="false">IF(A186="","",IF(H186&lt;=0,"Tükendi",IF(H186&lt;=E186,"Kritik","Yeterli")))</f>
        <v/>
      </c>
      <c r="K186" s="33" t="str">
        <f aca="false">IF(A186="","",IF(SUMPRODUCT(MAX((Hareketler!$C$5:$C$1504=A186)*Hareketler!$A$5:$A$1504))=0,"",SUMPRODUCT(MAX((Hareketler!$C$5:$C$1504=A186)*Hareketler!$A$5:$A$1504))))</f>
        <v/>
      </c>
      <c r="L186" s="24" t="str">
        <f aca="true">IF(OR(A186="",K186=""),"",TODAY()-K186)</f>
        <v/>
      </c>
      <c r="M186" s="16" t="str">
        <f aca="false">IF(OR(J186="Tükendi",J186="Kritik"),ROW(),"")</f>
        <v/>
      </c>
      <c r="N186" s="16" t="str">
        <f aca="false">IF(A186="","",I186+ROW()/1000000)</f>
        <v/>
      </c>
    </row>
    <row r="187" customFormat="false" ht="15" hidden="false" customHeight="false" outlineLevel="0" collapsed="false">
      <c r="A187" s="14"/>
      <c r="B187" s="13"/>
      <c r="C187" s="31"/>
      <c r="D187" s="15"/>
      <c r="E187" s="15"/>
      <c r="F187" s="24" t="str">
        <f aca="false">IF(A187="","",SUMIFS(Hareketler!$D$5:$D$1504,Hareketler!$C$5:$C$1504,A187,Hareketler!$B$5:$B$1504,"Giriş"))</f>
        <v/>
      </c>
      <c r="G187" s="24" t="str">
        <f aca="false">IF(A187="","",SUMIFS(Hareketler!$D$5:$D$1504,Hareketler!$C$5:$C$1504,A187,Hareketler!$B$5:$B$1504,"Çıkış"))</f>
        <v/>
      </c>
      <c r="H187" s="32" t="str">
        <f aca="false">IF(A187="","",D187+F187-G187)</f>
        <v/>
      </c>
      <c r="I187" s="29" t="str">
        <f aca="false">IF(A187="","",H187*C187)</f>
        <v/>
      </c>
      <c r="J187" s="25" t="str">
        <f aca="false">IF(A187="","",IF(H187&lt;=0,"Tükendi",IF(H187&lt;=E187,"Kritik","Yeterli")))</f>
        <v/>
      </c>
      <c r="K187" s="33" t="str">
        <f aca="false">IF(A187="","",IF(SUMPRODUCT(MAX((Hareketler!$C$5:$C$1504=A187)*Hareketler!$A$5:$A$1504))=0,"",SUMPRODUCT(MAX((Hareketler!$C$5:$C$1504=A187)*Hareketler!$A$5:$A$1504))))</f>
        <v/>
      </c>
      <c r="L187" s="24" t="str">
        <f aca="true">IF(OR(A187="",K187=""),"",TODAY()-K187)</f>
        <v/>
      </c>
      <c r="M187" s="16" t="str">
        <f aca="false">IF(OR(J187="Tükendi",J187="Kritik"),ROW(),"")</f>
        <v/>
      </c>
      <c r="N187" s="16" t="str">
        <f aca="false">IF(A187="","",I187+ROW()/1000000)</f>
        <v/>
      </c>
    </row>
    <row r="188" customFormat="false" ht="15" hidden="false" customHeight="false" outlineLevel="0" collapsed="false">
      <c r="A188" s="14"/>
      <c r="B188" s="13"/>
      <c r="C188" s="31"/>
      <c r="D188" s="15"/>
      <c r="E188" s="15"/>
      <c r="F188" s="24" t="str">
        <f aca="false">IF(A188="","",SUMIFS(Hareketler!$D$5:$D$1504,Hareketler!$C$5:$C$1504,A188,Hareketler!$B$5:$B$1504,"Giriş"))</f>
        <v/>
      </c>
      <c r="G188" s="24" t="str">
        <f aca="false">IF(A188="","",SUMIFS(Hareketler!$D$5:$D$1504,Hareketler!$C$5:$C$1504,A188,Hareketler!$B$5:$B$1504,"Çıkış"))</f>
        <v/>
      </c>
      <c r="H188" s="32" t="str">
        <f aca="false">IF(A188="","",D188+F188-G188)</f>
        <v/>
      </c>
      <c r="I188" s="29" t="str">
        <f aca="false">IF(A188="","",H188*C188)</f>
        <v/>
      </c>
      <c r="J188" s="25" t="str">
        <f aca="false">IF(A188="","",IF(H188&lt;=0,"Tükendi",IF(H188&lt;=E188,"Kritik","Yeterli")))</f>
        <v/>
      </c>
      <c r="K188" s="33" t="str">
        <f aca="false">IF(A188="","",IF(SUMPRODUCT(MAX((Hareketler!$C$5:$C$1504=A188)*Hareketler!$A$5:$A$1504))=0,"",SUMPRODUCT(MAX((Hareketler!$C$5:$C$1504=A188)*Hareketler!$A$5:$A$1504))))</f>
        <v/>
      </c>
      <c r="L188" s="24" t="str">
        <f aca="true">IF(OR(A188="",K188=""),"",TODAY()-K188)</f>
        <v/>
      </c>
      <c r="M188" s="16" t="str">
        <f aca="false">IF(OR(J188="Tükendi",J188="Kritik"),ROW(),"")</f>
        <v/>
      </c>
      <c r="N188" s="16" t="str">
        <f aca="false">IF(A188="","",I188+ROW()/1000000)</f>
        <v/>
      </c>
    </row>
    <row r="189" customFormat="false" ht="15" hidden="false" customHeight="false" outlineLevel="0" collapsed="false">
      <c r="A189" s="14"/>
      <c r="B189" s="13"/>
      <c r="C189" s="31"/>
      <c r="D189" s="15"/>
      <c r="E189" s="15"/>
      <c r="F189" s="24" t="str">
        <f aca="false">IF(A189="","",SUMIFS(Hareketler!$D$5:$D$1504,Hareketler!$C$5:$C$1504,A189,Hareketler!$B$5:$B$1504,"Giriş"))</f>
        <v/>
      </c>
      <c r="G189" s="24" t="str">
        <f aca="false">IF(A189="","",SUMIFS(Hareketler!$D$5:$D$1504,Hareketler!$C$5:$C$1504,A189,Hareketler!$B$5:$B$1504,"Çıkış"))</f>
        <v/>
      </c>
      <c r="H189" s="32" t="str">
        <f aca="false">IF(A189="","",D189+F189-G189)</f>
        <v/>
      </c>
      <c r="I189" s="29" t="str">
        <f aca="false">IF(A189="","",H189*C189)</f>
        <v/>
      </c>
      <c r="J189" s="25" t="str">
        <f aca="false">IF(A189="","",IF(H189&lt;=0,"Tükendi",IF(H189&lt;=E189,"Kritik","Yeterli")))</f>
        <v/>
      </c>
      <c r="K189" s="33" t="str">
        <f aca="false">IF(A189="","",IF(SUMPRODUCT(MAX((Hareketler!$C$5:$C$1504=A189)*Hareketler!$A$5:$A$1504))=0,"",SUMPRODUCT(MAX((Hareketler!$C$5:$C$1504=A189)*Hareketler!$A$5:$A$1504))))</f>
        <v/>
      </c>
      <c r="L189" s="24" t="str">
        <f aca="true">IF(OR(A189="",K189=""),"",TODAY()-K189)</f>
        <v/>
      </c>
      <c r="M189" s="16" t="str">
        <f aca="false">IF(OR(J189="Tükendi",J189="Kritik"),ROW(),"")</f>
        <v/>
      </c>
      <c r="N189" s="16" t="str">
        <f aca="false">IF(A189="","",I189+ROW()/1000000)</f>
        <v/>
      </c>
    </row>
    <row r="190" customFormat="false" ht="15" hidden="false" customHeight="false" outlineLevel="0" collapsed="false">
      <c r="A190" s="14"/>
      <c r="B190" s="13"/>
      <c r="C190" s="31"/>
      <c r="D190" s="15"/>
      <c r="E190" s="15"/>
      <c r="F190" s="24" t="str">
        <f aca="false">IF(A190="","",SUMIFS(Hareketler!$D$5:$D$1504,Hareketler!$C$5:$C$1504,A190,Hareketler!$B$5:$B$1504,"Giriş"))</f>
        <v/>
      </c>
      <c r="G190" s="24" t="str">
        <f aca="false">IF(A190="","",SUMIFS(Hareketler!$D$5:$D$1504,Hareketler!$C$5:$C$1504,A190,Hareketler!$B$5:$B$1504,"Çıkış"))</f>
        <v/>
      </c>
      <c r="H190" s="32" t="str">
        <f aca="false">IF(A190="","",D190+F190-G190)</f>
        <v/>
      </c>
      <c r="I190" s="29" t="str">
        <f aca="false">IF(A190="","",H190*C190)</f>
        <v/>
      </c>
      <c r="J190" s="25" t="str">
        <f aca="false">IF(A190="","",IF(H190&lt;=0,"Tükendi",IF(H190&lt;=E190,"Kritik","Yeterli")))</f>
        <v/>
      </c>
      <c r="K190" s="33" t="str">
        <f aca="false">IF(A190="","",IF(SUMPRODUCT(MAX((Hareketler!$C$5:$C$1504=A190)*Hareketler!$A$5:$A$1504))=0,"",SUMPRODUCT(MAX((Hareketler!$C$5:$C$1504=A190)*Hareketler!$A$5:$A$1504))))</f>
        <v/>
      </c>
      <c r="L190" s="24" t="str">
        <f aca="true">IF(OR(A190="",K190=""),"",TODAY()-K190)</f>
        <v/>
      </c>
      <c r="M190" s="16" t="str">
        <f aca="false">IF(OR(J190="Tükendi",J190="Kritik"),ROW(),"")</f>
        <v/>
      </c>
      <c r="N190" s="16" t="str">
        <f aca="false">IF(A190="","",I190+ROW()/1000000)</f>
        <v/>
      </c>
    </row>
    <row r="191" customFormat="false" ht="15" hidden="false" customHeight="false" outlineLevel="0" collapsed="false">
      <c r="A191" s="14"/>
      <c r="B191" s="13"/>
      <c r="C191" s="31"/>
      <c r="D191" s="15"/>
      <c r="E191" s="15"/>
      <c r="F191" s="24" t="str">
        <f aca="false">IF(A191="","",SUMIFS(Hareketler!$D$5:$D$1504,Hareketler!$C$5:$C$1504,A191,Hareketler!$B$5:$B$1504,"Giriş"))</f>
        <v/>
      </c>
      <c r="G191" s="24" t="str">
        <f aca="false">IF(A191="","",SUMIFS(Hareketler!$D$5:$D$1504,Hareketler!$C$5:$C$1504,A191,Hareketler!$B$5:$B$1504,"Çıkış"))</f>
        <v/>
      </c>
      <c r="H191" s="32" t="str">
        <f aca="false">IF(A191="","",D191+F191-G191)</f>
        <v/>
      </c>
      <c r="I191" s="29" t="str">
        <f aca="false">IF(A191="","",H191*C191)</f>
        <v/>
      </c>
      <c r="J191" s="25" t="str">
        <f aca="false">IF(A191="","",IF(H191&lt;=0,"Tükendi",IF(H191&lt;=E191,"Kritik","Yeterli")))</f>
        <v/>
      </c>
      <c r="K191" s="33" t="str">
        <f aca="false">IF(A191="","",IF(SUMPRODUCT(MAX((Hareketler!$C$5:$C$1504=A191)*Hareketler!$A$5:$A$1504))=0,"",SUMPRODUCT(MAX((Hareketler!$C$5:$C$1504=A191)*Hareketler!$A$5:$A$1504))))</f>
        <v/>
      </c>
      <c r="L191" s="24" t="str">
        <f aca="true">IF(OR(A191="",K191=""),"",TODAY()-K191)</f>
        <v/>
      </c>
      <c r="M191" s="16" t="str">
        <f aca="false">IF(OR(J191="Tükendi",J191="Kritik"),ROW(),"")</f>
        <v/>
      </c>
      <c r="N191" s="16" t="str">
        <f aca="false">IF(A191="","",I191+ROW()/1000000)</f>
        <v/>
      </c>
    </row>
    <row r="192" customFormat="false" ht="15" hidden="false" customHeight="false" outlineLevel="0" collapsed="false">
      <c r="A192" s="14"/>
      <c r="B192" s="13"/>
      <c r="C192" s="31"/>
      <c r="D192" s="15"/>
      <c r="E192" s="15"/>
      <c r="F192" s="24" t="str">
        <f aca="false">IF(A192="","",SUMIFS(Hareketler!$D$5:$D$1504,Hareketler!$C$5:$C$1504,A192,Hareketler!$B$5:$B$1504,"Giriş"))</f>
        <v/>
      </c>
      <c r="G192" s="24" t="str">
        <f aca="false">IF(A192="","",SUMIFS(Hareketler!$D$5:$D$1504,Hareketler!$C$5:$C$1504,A192,Hareketler!$B$5:$B$1504,"Çıkış"))</f>
        <v/>
      </c>
      <c r="H192" s="32" t="str">
        <f aca="false">IF(A192="","",D192+F192-G192)</f>
        <v/>
      </c>
      <c r="I192" s="29" t="str">
        <f aca="false">IF(A192="","",H192*C192)</f>
        <v/>
      </c>
      <c r="J192" s="25" t="str">
        <f aca="false">IF(A192="","",IF(H192&lt;=0,"Tükendi",IF(H192&lt;=E192,"Kritik","Yeterli")))</f>
        <v/>
      </c>
      <c r="K192" s="33" t="str">
        <f aca="false">IF(A192="","",IF(SUMPRODUCT(MAX((Hareketler!$C$5:$C$1504=A192)*Hareketler!$A$5:$A$1504))=0,"",SUMPRODUCT(MAX((Hareketler!$C$5:$C$1504=A192)*Hareketler!$A$5:$A$1504))))</f>
        <v/>
      </c>
      <c r="L192" s="24" t="str">
        <f aca="true">IF(OR(A192="",K192=""),"",TODAY()-K192)</f>
        <v/>
      </c>
      <c r="M192" s="16" t="str">
        <f aca="false">IF(OR(J192="Tükendi",J192="Kritik"),ROW(),"")</f>
        <v/>
      </c>
      <c r="N192" s="16" t="str">
        <f aca="false">IF(A192="","",I192+ROW()/1000000)</f>
        <v/>
      </c>
    </row>
    <row r="193" customFormat="false" ht="15" hidden="false" customHeight="false" outlineLevel="0" collapsed="false">
      <c r="A193" s="14"/>
      <c r="B193" s="13"/>
      <c r="C193" s="31"/>
      <c r="D193" s="15"/>
      <c r="E193" s="15"/>
      <c r="F193" s="24" t="str">
        <f aca="false">IF(A193="","",SUMIFS(Hareketler!$D$5:$D$1504,Hareketler!$C$5:$C$1504,A193,Hareketler!$B$5:$B$1504,"Giriş"))</f>
        <v/>
      </c>
      <c r="G193" s="24" t="str">
        <f aca="false">IF(A193="","",SUMIFS(Hareketler!$D$5:$D$1504,Hareketler!$C$5:$C$1504,A193,Hareketler!$B$5:$B$1504,"Çıkış"))</f>
        <v/>
      </c>
      <c r="H193" s="32" t="str">
        <f aca="false">IF(A193="","",D193+F193-G193)</f>
        <v/>
      </c>
      <c r="I193" s="29" t="str">
        <f aca="false">IF(A193="","",H193*C193)</f>
        <v/>
      </c>
      <c r="J193" s="25" t="str">
        <f aca="false">IF(A193="","",IF(H193&lt;=0,"Tükendi",IF(H193&lt;=E193,"Kritik","Yeterli")))</f>
        <v/>
      </c>
      <c r="K193" s="33" t="str">
        <f aca="false">IF(A193="","",IF(SUMPRODUCT(MAX((Hareketler!$C$5:$C$1504=A193)*Hareketler!$A$5:$A$1504))=0,"",SUMPRODUCT(MAX((Hareketler!$C$5:$C$1504=A193)*Hareketler!$A$5:$A$1504))))</f>
        <v/>
      </c>
      <c r="L193" s="24" t="str">
        <f aca="true">IF(OR(A193="",K193=""),"",TODAY()-K193)</f>
        <v/>
      </c>
      <c r="M193" s="16" t="str">
        <f aca="false">IF(OR(J193="Tükendi",J193="Kritik"),ROW(),"")</f>
        <v/>
      </c>
      <c r="N193" s="16" t="str">
        <f aca="false">IF(A193="","",I193+ROW()/1000000)</f>
        <v/>
      </c>
    </row>
    <row r="194" customFormat="false" ht="15" hidden="false" customHeight="false" outlineLevel="0" collapsed="false">
      <c r="A194" s="14"/>
      <c r="B194" s="13"/>
      <c r="C194" s="31"/>
      <c r="D194" s="15"/>
      <c r="E194" s="15"/>
      <c r="F194" s="24" t="str">
        <f aca="false">IF(A194="","",SUMIFS(Hareketler!$D$5:$D$1504,Hareketler!$C$5:$C$1504,A194,Hareketler!$B$5:$B$1504,"Giriş"))</f>
        <v/>
      </c>
      <c r="G194" s="24" t="str">
        <f aca="false">IF(A194="","",SUMIFS(Hareketler!$D$5:$D$1504,Hareketler!$C$5:$C$1504,A194,Hareketler!$B$5:$B$1504,"Çıkış"))</f>
        <v/>
      </c>
      <c r="H194" s="32" t="str">
        <f aca="false">IF(A194="","",D194+F194-G194)</f>
        <v/>
      </c>
      <c r="I194" s="29" t="str">
        <f aca="false">IF(A194="","",H194*C194)</f>
        <v/>
      </c>
      <c r="J194" s="25" t="str">
        <f aca="false">IF(A194="","",IF(H194&lt;=0,"Tükendi",IF(H194&lt;=E194,"Kritik","Yeterli")))</f>
        <v/>
      </c>
      <c r="K194" s="33" t="str">
        <f aca="false">IF(A194="","",IF(SUMPRODUCT(MAX((Hareketler!$C$5:$C$1504=A194)*Hareketler!$A$5:$A$1504))=0,"",SUMPRODUCT(MAX((Hareketler!$C$5:$C$1504=A194)*Hareketler!$A$5:$A$1504))))</f>
        <v/>
      </c>
      <c r="L194" s="24" t="str">
        <f aca="true">IF(OR(A194="",K194=""),"",TODAY()-K194)</f>
        <v/>
      </c>
      <c r="M194" s="16" t="str">
        <f aca="false">IF(OR(J194="Tükendi",J194="Kritik"),ROW(),"")</f>
        <v/>
      </c>
      <c r="N194" s="16" t="str">
        <f aca="false">IF(A194="","",I194+ROW()/1000000)</f>
        <v/>
      </c>
    </row>
    <row r="195" customFormat="false" ht="15" hidden="false" customHeight="false" outlineLevel="0" collapsed="false">
      <c r="A195" s="14"/>
      <c r="B195" s="13"/>
      <c r="C195" s="31"/>
      <c r="D195" s="15"/>
      <c r="E195" s="15"/>
      <c r="F195" s="24" t="str">
        <f aca="false">IF(A195="","",SUMIFS(Hareketler!$D$5:$D$1504,Hareketler!$C$5:$C$1504,A195,Hareketler!$B$5:$B$1504,"Giriş"))</f>
        <v/>
      </c>
      <c r="G195" s="24" t="str">
        <f aca="false">IF(A195="","",SUMIFS(Hareketler!$D$5:$D$1504,Hareketler!$C$5:$C$1504,A195,Hareketler!$B$5:$B$1504,"Çıkış"))</f>
        <v/>
      </c>
      <c r="H195" s="32" t="str">
        <f aca="false">IF(A195="","",D195+F195-G195)</f>
        <v/>
      </c>
      <c r="I195" s="29" t="str">
        <f aca="false">IF(A195="","",H195*C195)</f>
        <v/>
      </c>
      <c r="J195" s="25" t="str">
        <f aca="false">IF(A195="","",IF(H195&lt;=0,"Tükendi",IF(H195&lt;=E195,"Kritik","Yeterli")))</f>
        <v/>
      </c>
      <c r="K195" s="33" t="str">
        <f aca="false">IF(A195="","",IF(SUMPRODUCT(MAX((Hareketler!$C$5:$C$1504=A195)*Hareketler!$A$5:$A$1504))=0,"",SUMPRODUCT(MAX((Hareketler!$C$5:$C$1504=A195)*Hareketler!$A$5:$A$1504))))</f>
        <v/>
      </c>
      <c r="L195" s="24" t="str">
        <f aca="true">IF(OR(A195="",K195=""),"",TODAY()-K195)</f>
        <v/>
      </c>
      <c r="M195" s="16" t="str">
        <f aca="false">IF(OR(J195="Tükendi",J195="Kritik"),ROW(),"")</f>
        <v/>
      </c>
      <c r="N195" s="16" t="str">
        <f aca="false">IF(A195="","",I195+ROW()/1000000)</f>
        <v/>
      </c>
    </row>
    <row r="196" customFormat="false" ht="15" hidden="false" customHeight="false" outlineLevel="0" collapsed="false">
      <c r="A196" s="14"/>
      <c r="B196" s="13"/>
      <c r="C196" s="31"/>
      <c r="D196" s="15"/>
      <c r="E196" s="15"/>
      <c r="F196" s="24" t="str">
        <f aca="false">IF(A196="","",SUMIFS(Hareketler!$D$5:$D$1504,Hareketler!$C$5:$C$1504,A196,Hareketler!$B$5:$B$1504,"Giriş"))</f>
        <v/>
      </c>
      <c r="G196" s="24" t="str">
        <f aca="false">IF(A196="","",SUMIFS(Hareketler!$D$5:$D$1504,Hareketler!$C$5:$C$1504,A196,Hareketler!$B$5:$B$1504,"Çıkış"))</f>
        <v/>
      </c>
      <c r="H196" s="32" t="str">
        <f aca="false">IF(A196="","",D196+F196-G196)</f>
        <v/>
      </c>
      <c r="I196" s="29" t="str">
        <f aca="false">IF(A196="","",H196*C196)</f>
        <v/>
      </c>
      <c r="J196" s="25" t="str">
        <f aca="false">IF(A196="","",IF(H196&lt;=0,"Tükendi",IF(H196&lt;=E196,"Kritik","Yeterli")))</f>
        <v/>
      </c>
      <c r="K196" s="33" t="str">
        <f aca="false">IF(A196="","",IF(SUMPRODUCT(MAX((Hareketler!$C$5:$C$1504=A196)*Hareketler!$A$5:$A$1504))=0,"",SUMPRODUCT(MAX((Hareketler!$C$5:$C$1504=A196)*Hareketler!$A$5:$A$1504))))</f>
        <v/>
      </c>
      <c r="L196" s="24" t="str">
        <f aca="true">IF(OR(A196="",K196=""),"",TODAY()-K196)</f>
        <v/>
      </c>
      <c r="M196" s="16" t="str">
        <f aca="false">IF(OR(J196="Tükendi",J196="Kritik"),ROW(),"")</f>
        <v/>
      </c>
      <c r="N196" s="16" t="str">
        <f aca="false">IF(A196="","",I196+ROW()/1000000)</f>
        <v/>
      </c>
    </row>
    <row r="197" customFormat="false" ht="15" hidden="false" customHeight="false" outlineLevel="0" collapsed="false">
      <c r="A197" s="14"/>
      <c r="B197" s="13"/>
      <c r="C197" s="31"/>
      <c r="D197" s="15"/>
      <c r="E197" s="15"/>
      <c r="F197" s="24" t="str">
        <f aca="false">IF(A197="","",SUMIFS(Hareketler!$D$5:$D$1504,Hareketler!$C$5:$C$1504,A197,Hareketler!$B$5:$B$1504,"Giriş"))</f>
        <v/>
      </c>
      <c r="G197" s="24" t="str">
        <f aca="false">IF(A197="","",SUMIFS(Hareketler!$D$5:$D$1504,Hareketler!$C$5:$C$1504,A197,Hareketler!$B$5:$B$1504,"Çıkış"))</f>
        <v/>
      </c>
      <c r="H197" s="32" t="str">
        <f aca="false">IF(A197="","",D197+F197-G197)</f>
        <v/>
      </c>
      <c r="I197" s="29" t="str">
        <f aca="false">IF(A197="","",H197*C197)</f>
        <v/>
      </c>
      <c r="J197" s="25" t="str">
        <f aca="false">IF(A197="","",IF(H197&lt;=0,"Tükendi",IF(H197&lt;=E197,"Kritik","Yeterli")))</f>
        <v/>
      </c>
      <c r="K197" s="33" t="str">
        <f aca="false">IF(A197="","",IF(SUMPRODUCT(MAX((Hareketler!$C$5:$C$1504=A197)*Hareketler!$A$5:$A$1504))=0,"",SUMPRODUCT(MAX((Hareketler!$C$5:$C$1504=A197)*Hareketler!$A$5:$A$1504))))</f>
        <v/>
      </c>
      <c r="L197" s="24" t="str">
        <f aca="true">IF(OR(A197="",K197=""),"",TODAY()-K197)</f>
        <v/>
      </c>
      <c r="M197" s="16" t="str">
        <f aca="false">IF(OR(J197="Tükendi",J197="Kritik"),ROW(),"")</f>
        <v/>
      </c>
      <c r="N197" s="16" t="str">
        <f aca="false">IF(A197="","",I197+ROW()/1000000)</f>
        <v/>
      </c>
    </row>
    <row r="198" customFormat="false" ht="15" hidden="false" customHeight="false" outlineLevel="0" collapsed="false">
      <c r="A198" s="14"/>
      <c r="B198" s="13"/>
      <c r="C198" s="31"/>
      <c r="D198" s="15"/>
      <c r="E198" s="15"/>
      <c r="F198" s="24" t="str">
        <f aca="false">IF(A198="","",SUMIFS(Hareketler!$D$5:$D$1504,Hareketler!$C$5:$C$1504,A198,Hareketler!$B$5:$B$1504,"Giriş"))</f>
        <v/>
      </c>
      <c r="G198" s="24" t="str">
        <f aca="false">IF(A198="","",SUMIFS(Hareketler!$D$5:$D$1504,Hareketler!$C$5:$C$1504,A198,Hareketler!$B$5:$B$1504,"Çıkış"))</f>
        <v/>
      </c>
      <c r="H198" s="32" t="str">
        <f aca="false">IF(A198="","",D198+F198-G198)</f>
        <v/>
      </c>
      <c r="I198" s="29" t="str">
        <f aca="false">IF(A198="","",H198*C198)</f>
        <v/>
      </c>
      <c r="J198" s="25" t="str">
        <f aca="false">IF(A198="","",IF(H198&lt;=0,"Tükendi",IF(H198&lt;=E198,"Kritik","Yeterli")))</f>
        <v/>
      </c>
      <c r="K198" s="33" t="str">
        <f aca="false">IF(A198="","",IF(SUMPRODUCT(MAX((Hareketler!$C$5:$C$1504=A198)*Hareketler!$A$5:$A$1504))=0,"",SUMPRODUCT(MAX((Hareketler!$C$5:$C$1504=A198)*Hareketler!$A$5:$A$1504))))</f>
        <v/>
      </c>
      <c r="L198" s="24" t="str">
        <f aca="true">IF(OR(A198="",K198=""),"",TODAY()-K198)</f>
        <v/>
      </c>
      <c r="M198" s="16" t="str">
        <f aca="false">IF(OR(J198="Tükendi",J198="Kritik"),ROW(),"")</f>
        <v/>
      </c>
      <c r="N198" s="16" t="str">
        <f aca="false">IF(A198="","",I198+ROW()/1000000)</f>
        <v/>
      </c>
    </row>
    <row r="199" customFormat="false" ht="15" hidden="false" customHeight="false" outlineLevel="0" collapsed="false">
      <c r="A199" s="14"/>
      <c r="B199" s="13"/>
      <c r="C199" s="31"/>
      <c r="D199" s="15"/>
      <c r="E199" s="15"/>
      <c r="F199" s="24" t="str">
        <f aca="false">IF(A199="","",SUMIFS(Hareketler!$D$5:$D$1504,Hareketler!$C$5:$C$1504,A199,Hareketler!$B$5:$B$1504,"Giriş"))</f>
        <v/>
      </c>
      <c r="G199" s="24" t="str">
        <f aca="false">IF(A199="","",SUMIFS(Hareketler!$D$5:$D$1504,Hareketler!$C$5:$C$1504,A199,Hareketler!$B$5:$B$1504,"Çıkış"))</f>
        <v/>
      </c>
      <c r="H199" s="32" t="str">
        <f aca="false">IF(A199="","",D199+F199-G199)</f>
        <v/>
      </c>
      <c r="I199" s="29" t="str">
        <f aca="false">IF(A199="","",H199*C199)</f>
        <v/>
      </c>
      <c r="J199" s="25" t="str">
        <f aca="false">IF(A199="","",IF(H199&lt;=0,"Tükendi",IF(H199&lt;=E199,"Kritik","Yeterli")))</f>
        <v/>
      </c>
      <c r="K199" s="33" t="str">
        <f aca="false">IF(A199="","",IF(SUMPRODUCT(MAX((Hareketler!$C$5:$C$1504=A199)*Hareketler!$A$5:$A$1504))=0,"",SUMPRODUCT(MAX((Hareketler!$C$5:$C$1504=A199)*Hareketler!$A$5:$A$1504))))</f>
        <v/>
      </c>
      <c r="L199" s="24" t="str">
        <f aca="true">IF(OR(A199="",K199=""),"",TODAY()-K199)</f>
        <v/>
      </c>
      <c r="M199" s="16" t="str">
        <f aca="false">IF(OR(J199="Tükendi",J199="Kritik"),ROW(),"")</f>
        <v/>
      </c>
      <c r="N199" s="16" t="str">
        <f aca="false">IF(A199="","",I199+ROW()/1000000)</f>
        <v/>
      </c>
    </row>
    <row r="200" customFormat="false" ht="15" hidden="false" customHeight="false" outlineLevel="0" collapsed="false">
      <c r="A200" s="14"/>
      <c r="B200" s="13"/>
      <c r="C200" s="31"/>
      <c r="D200" s="15"/>
      <c r="E200" s="15"/>
      <c r="F200" s="24" t="str">
        <f aca="false">IF(A200="","",SUMIFS(Hareketler!$D$5:$D$1504,Hareketler!$C$5:$C$1504,A200,Hareketler!$B$5:$B$1504,"Giriş"))</f>
        <v/>
      </c>
      <c r="G200" s="24" t="str">
        <f aca="false">IF(A200="","",SUMIFS(Hareketler!$D$5:$D$1504,Hareketler!$C$5:$C$1504,A200,Hareketler!$B$5:$B$1504,"Çıkış"))</f>
        <v/>
      </c>
      <c r="H200" s="32" t="str">
        <f aca="false">IF(A200="","",D200+F200-G200)</f>
        <v/>
      </c>
      <c r="I200" s="29" t="str">
        <f aca="false">IF(A200="","",H200*C200)</f>
        <v/>
      </c>
      <c r="J200" s="25" t="str">
        <f aca="false">IF(A200="","",IF(H200&lt;=0,"Tükendi",IF(H200&lt;=E200,"Kritik","Yeterli")))</f>
        <v/>
      </c>
      <c r="K200" s="33" t="str">
        <f aca="false">IF(A200="","",IF(SUMPRODUCT(MAX((Hareketler!$C$5:$C$1504=A200)*Hareketler!$A$5:$A$1504))=0,"",SUMPRODUCT(MAX((Hareketler!$C$5:$C$1504=A200)*Hareketler!$A$5:$A$1504))))</f>
        <v/>
      </c>
      <c r="L200" s="24" t="str">
        <f aca="true">IF(OR(A200="",K200=""),"",TODAY()-K200)</f>
        <v/>
      </c>
      <c r="M200" s="16" t="str">
        <f aca="false">IF(OR(J200="Tükendi",J200="Kritik"),ROW(),"")</f>
        <v/>
      </c>
      <c r="N200" s="16" t="str">
        <f aca="false">IF(A200="","",I200+ROW()/1000000)</f>
        <v/>
      </c>
    </row>
    <row r="201" customFormat="false" ht="15" hidden="false" customHeight="false" outlineLevel="0" collapsed="false">
      <c r="A201" s="14"/>
      <c r="B201" s="13"/>
      <c r="C201" s="31"/>
      <c r="D201" s="15"/>
      <c r="E201" s="15"/>
      <c r="F201" s="24" t="str">
        <f aca="false">IF(A201="","",SUMIFS(Hareketler!$D$5:$D$1504,Hareketler!$C$5:$C$1504,A201,Hareketler!$B$5:$B$1504,"Giriş"))</f>
        <v/>
      </c>
      <c r="G201" s="24" t="str">
        <f aca="false">IF(A201="","",SUMIFS(Hareketler!$D$5:$D$1504,Hareketler!$C$5:$C$1504,A201,Hareketler!$B$5:$B$1504,"Çıkış"))</f>
        <v/>
      </c>
      <c r="H201" s="32" t="str">
        <f aca="false">IF(A201="","",D201+F201-G201)</f>
        <v/>
      </c>
      <c r="I201" s="29" t="str">
        <f aca="false">IF(A201="","",H201*C201)</f>
        <v/>
      </c>
      <c r="J201" s="25" t="str">
        <f aca="false">IF(A201="","",IF(H201&lt;=0,"Tükendi",IF(H201&lt;=E201,"Kritik","Yeterli")))</f>
        <v/>
      </c>
      <c r="K201" s="33" t="str">
        <f aca="false">IF(A201="","",IF(SUMPRODUCT(MAX((Hareketler!$C$5:$C$1504=A201)*Hareketler!$A$5:$A$1504))=0,"",SUMPRODUCT(MAX((Hareketler!$C$5:$C$1504=A201)*Hareketler!$A$5:$A$1504))))</f>
        <v/>
      </c>
      <c r="L201" s="24" t="str">
        <f aca="true">IF(OR(A201="",K201=""),"",TODAY()-K201)</f>
        <v/>
      </c>
      <c r="M201" s="16" t="str">
        <f aca="false">IF(OR(J201="Tükendi",J201="Kritik"),ROW(),"")</f>
        <v/>
      </c>
      <c r="N201" s="16" t="str">
        <f aca="false">IF(A201="","",I201+ROW()/1000000)</f>
        <v/>
      </c>
    </row>
    <row r="202" customFormat="false" ht="15" hidden="false" customHeight="false" outlineLevel="0" collapsed="false">
      <c r="A202" s="14"/>
      <c r="B202" s="13"/>
      <c r="C202" s="31"/>
      <c r="D202" s="15"/>
      <c r="E202" s="15"/>
      <c r="F202" s="24" t="str">
        <f aca="false">IF(A202="","",SUMIFS(Hareketler!$D$5:$D$1504,Hareketler!$C$5:$C$1504,A202,Hareketler!$B$5:$B$1504,"Giriş"))</f>
        <v/>
      </c>
      <c r="G202" s="24" t="str">
        <f aca="false">IF(A202="","",SUMIFS(Hareketler!$D$5:$D$1504,Hareketler!$C$5:$C$1504,A202,Hareketler!$B$5:$B$1504,"Çıkış"))</f>
        <v/>
      </c>
      <c r="H202" s="32" t="str">
        <f aca="false">IF(A202="","",D202+F202-G202)</f>
        <v/>
      </c>
      <c r="I202" s="29" t="str">
        <f aca="false">IF(A202="","",H202*C202)</f>
        <v/>
      </c>
      <c r="J202" s="25" t="str">
        <f aca="false">IF(A202="","",IF(H202&lt;=0,"Tükendi",IF(H202&lt;=E202,"Kritik","Yeterli")))</f>
        <v/>
      </c>
      <c r="K202" s="33" t="str">
        <f aca="false">IF(A202="","",IF(SUMPRODUCT(MAX((Hareketler!$C$5:$C$1504=A202)*Hareketler!$A$5:$A$1504))=0,"",SUMPRODUCT(MAX((Hareketler!$C$5:$C$1504=A202)*Hareketler!$A$5:$A$1504))))</f>
        <v/>
      </c>
      <c r="L202" s="24" t="str">
        <f aca="true">IF(OR(A202="",K202=""),"",TODAY()-K202)</f>
        <v/>
      </c>
      <c r="M202" s="16" t="str">
        <f aca="false">IF(OR(J202="Tükendi",J202="Kritik"),ROW(),"")</f>
        <v/>
      </c>
      <c r="N202" s="16" t="str">
        <f aca="false">IF(A202="","",I202+ROW()/1000000)</f>
        <v/>
      </c>
    </row>
    <row r="203" customFormat="false" ht="15" hidden="false" customHeight="false" outlineLevel="0" collapsed="false">
      <c r="A203" s="14"/>
      <c r="B203" s="13"/>
      <c r="C203" s="31"/>
      <c r="D203" s="15"/>
      <c r="E203" s="15"/>
      <c r="F203" s="24" t="str">
        <f aca="false">IF(A203="","",SUMIFS(Hareketler!$D$5:$D$1504,Hareketler!$C$5:$C$1504,A203,Hareketler!$B$5:$B$1504,"Giriş"))</f>
        <v/>
      </c>
      <c r="G203" s="24" t="str">
        <f aca="false">IF(A203="","",SUMIFS(Hareketler!$D$5:$D$1504,Hareketler!$C$5:$C$1504,A203,Hareketler!$B$5:$B$1504,"Çıkış"))</f>
        <v/>
      </c>
      <c r="H203" s="32" t="str">
        <f aca="false">IF(A203="","",D203+F203-G203)</f>
        <v/>
      </c>
      <c r="I203" s="29" t="str">
        <f aca="false">IF(A203="","",H203*C203)</f>
        <v/>
      </c>
      <c r="J203" s="25" t="str">
        <f aca="false">IF(A203="","",IF(H203&lt;=0,"Tükendi",IF(H203&lt;=E203,"Kritik","Yeterli")))</f>
        <v/>
      </c>
      <c r="K203" s="33" t="str">
        <f aca="false">IF(A203="","",IF(SUMPRODUCT(MAX((Hareketler!$C$5:$C$1504=A203)*Hareketler!$A$5:$A$1504))=0,"",SUMPRODUCT(MAX((Hareketler!$C$5:$C$1504=A203)*Hareketler!$A$5:$A$1504))))</f>
        <v/>
      </c>
      <c r="L203" s="24" t="str">
        <f aca="true">IF(OR(A203="",K203=""),"",TODAY()-K203)</f>
        <v/>
      </c>
      <c r="M203" s="16" t="str">
        <f aca="false">IF(OR(J203="Tükendi",J203="Kritik"),ROW(),"")</f>
        <v/>
      </c>
      <c r="N203" s="16" t="str">
        <f aca="false">IF(A203="","",I203+ROW()/1000000)</f>
        <v/>
      </c>
    </row>
    <row r="204" customFormat="false" ht="15" hidden="false" customHeight="false" outlineLevel="0" collapsed="false">
      <c r="A204" s="14"/>
      <c r="B204" s="13"/>
      <c r="C204" s="31"/>
      <c r="D204" s="15"/>
      <c r="E204" s="15"/>
      <c r="F204" s="24" t="str">
        <f aca="false">IF(A204="","",SUMIFS(Hareketler!$D$5:$D$1504,Hareketler!$C$5:$C$1504,A204,Hareketler!$B$5:$B$1504,"Giriş"))</f>
        <v/>
      </c>
      <c r="G204" s="24" t="str">
        <f aca="false">IF(A204="","",SUMIFS(Hareketler!$D$5:$D$1504,Hareketler!$C$5:$C$1504,A204,Hareketler!$B$5:$B$1504,"Çıkış"))</f>
        <v/>
      </c>
      <c r="H204" s="32" t="str">
        <f aca="false">IF(A204="","",D204+F204-G204)</f>
        <v/>
      </c>
      <c r="I204" s="29" t="str">
        <f aca="false">IF(A204="","",H204*C204)</f>
        <v/>
      </c>
      <c r="J204" s="25" t="str">
        <f aca="false">IF(A204="","",IF(H204&lt;=0,"Tükendi",IF(H204&lt;=E204,"Kritik","Yeterli")))</f>
        <v/>
      </c>
      <c r="K204" s="33" t="str">
        <f aca="false">IF(A204="","",IF(SUMPRODUCT(MAX((Hareketler!$C$5:$C$1504=A204)*Hareketler!$A$5:$A$1504))=0,"",SUMPRODUCT(MAX((Hareketler!$C$5:$C$1504=A204)*Hareketler!$A$5:$A$1504))))</f>
        <v/>
      </c>
      <c r="L204" s="24" t="str">
        <f aca="true">IF(OR(A204="",K204=""),"",TODAY()-K204)</f>
        <v/>
      </c>
      <c r="M204" s="16" t="str">
        <f aca="false">IF(OR(J204="Tükendi",J204="Kritik"),ROW(),"")</f>
        <v/>
      </c>
      <c r="N204" s="16" t="str">
        <f aca="false">IF(A204="","",I204+ROW()/1000000)</f>
        <v/>
      </c>
    </row>
    <row r="205" customFormat="false" ht="15" hidden="false" customHeight="false" outlineLevel="0" collapsed="false">
      <c r="A205" s="14"/>
      <c r="B205" s="13"/>
      <c r="C205" s="31"/>
      <c r="D205" s="15"/>
      <c r="E205" s="15"/>
      <c r="F205" s="24" t="str">
        <f aca="false">IF(A205="","",SUMIFS(Hareketler!$D$5:$D$1504,Hareketler!$C$5:$C$1504,A205,Hareketler!$B$5:$B$1504,"Giriş"))</f>
        <v/>
      </c>
      <c r="G205" s="24" t="str">
        <f aca="false">IF(A205="","",SUMIFS(Hareketler!$D$5:$D$1504,Hareketler!$C$5:$C$1504,A205,Hareketler!$B$5:$B$1504,"Çıkış"))</f>
        <v/>
      </c>
      <c r="H205" s="32" t="str">
        <f aca="false">IF(A205="","",D205+F205-G205)</f>
        <v/>
      </c>
      <c r="I205" s="29" t="str">
        <f aca="false">IF(A205="","",H205*C205)</f>
        <v/>
      </c>
      <c r="J205" s="25" t="str">
        <f aca="false">IF(A205="","",IF(H205&lt;=0,"Tükendi",IF(H205&lt;=E205,"Kritik","Yeterli")))</f>
        <v/>
      </c>
      <c r="K205" s="33" t="str">
        <f aca="false">IF(A205="","",IF(SUMPRODUCT(MAX((Hareketler!$C$5:$C$1504=A205)*Hareketler!$A$5:$A$1504))=0,"",SUMPRODUCT(MAX((Hareketler!$C$5:$C$1504=A205)*Hareketler!$A$5:$A$1504))))</f>
        <v/>
      </c>
      <c r="L205" s="24" t="str">
        <f aca="true">IF(OR(A205="",K205=""),"",TODAY()-K205)</f>
        <v/>
      </c>
      <c r="M205" s="16" t="str">
        <f aca="false">IF(OR(J205="Tükendi",J205="Kritik"),ROW(),"")</f>
        <v/>
      </c>
      <c r="N205" s="16" t="str">
        <f aca="false">IF(A205="","",I205+ROW()/1000000)</f>
        <v/>
      </c>
    </row>
    <row r="206" customFormat="false" ht="15" hidden="false" customHeight="false" outlineLevel="0" collapsed="false">
      <c r="A206" s="14"/>
      <c r="B206" s="13"/>
      <c r="C206" s="31"/>
      <c r="D206" s="15"/>
      <c r="E206" s="15"/>
      <c r="F206" s="24" t="str">
        <f aca="false">IF(A206="","",SUMIFS(Hareketler!$D$5:$D$1504,Hareketler!$C$5:$C$1504,A206,Hareketler!$B$5:$B$1504,"Giriş"))</f>
        <v/>
      </c>
      <c r="G206" s="24" t="str">
        <f aca="false">IF(A206="","",SUMIFS(Hareketler!$D$5:$D$1504,Hareketler!$C$5:$C$1504,A206,Hareketler!$B$5:$B$1504,"Çıkış"))</f>
        <v/>
      </c>
      <c r="H206" s="32" t="str">
        <f aca="false">IF(A206="","",D206+F206-G206)</f>
        <v/>
      </c>
      <c r="I206" s="29" t="str">
        <f aca="false">IF(A206="","",H206*C206)</f>
        <v/>
      </c>
      <c r="J206" s="25" t="str">
        <f aca="false">IF(A206="","",IF(H206&lt;=0,"Tükendi",IF(H206&lt;=E206,"Kritik","Yeterli")))</f>
        <v/>
      </c>
      <c r="K206" s="33" t="str">
        <f aca="false">IF(A206="","",IF(SUMPRODUCT(MAX((Hareketler!$C$5:$C$1504=A206)*Hareketler!$A$5:$A$1504))=0,"",SUMPRODUCT(MAX((Hareketler!$C$5:$C$1504=A206)*Hareketler!$A$5:$A$1504))))</f>
        <v/>
      </c>
      <c r="L206" s="24" t="str">
        <f aca="true">IF(OR(A206="",K206=""),"",TODAY()-K206)</f>
        <v/>
      </c>
      <c r="M206" s="16" t="str">
        <f aca="false">IF(OR(J206="Tükendi",J206="Kritik"),ROW(),"")</f>
        <v/>
      </c>
      <c r="N206" s="16" t="str">
        <f aca="false">IF(A206="","",I206+ROW()/1000000)</f>
        <v/>
      </c>
    </row>
    <row r="207" customFormat="false" ht="15" hidden="false" customHeight="false" outlineLevel="0" collapsed="false">
      <c r="A207" s="14"/>
      <c r="B207" s="13"/>
      <c r="C207" s="31"/>
      <c r="D207" s="15"/>
      <c r="E207" s="15"/>
      <c r="F207" s="24" t="str">
        <f aca="false">IF(A207="","",SUMIFS(Hareketler!$D$5:$D$1504,Hareketler!$C$5:$C$1504,A207,Hareketler!$B$5:$B$1504,"Giriş"))</f>
        <v/>
      </c>
      <c r="G207" s="24" t="str">
        <f aca="false">IF(A207="","",SUMIFS(Hareketler!$D$5:$D$1504,Hareketler!$C$5:$C$1504,A207,Hareketler!$B$5:$B$1504,"Çıkış"))</f>
        <v/>
      </c>
      <c r="H207" s="32" t="str">
        <f aca="false">IF(A207="","",D207+F207-G207)</f>
        <v/>
      </c>
      <c r="I207" s="29" t="str">
        <f aca="false">IF(A207="","",H207*C207)</f>
        <v/>
      </c>
      <c r="J207" s="25" t="str">
        <f aca="false">IF(A207="","",IF(H207&lt;=0,"Tükendi",IF(H207&lt;=E207,"Kritik","Yeterli")))</f>
        <v/>
      </c>
      <c r="K207" s="33" t="str">
        <f aca="false">IF(A207="","",IF(SUMPRODUCT(MAX((Hareketler!$C$5:$C$1504=A207)*Hareketler!$A$5:$A$1504))=0,"",SUMPRODUCT(MAX((Hareketler!$C$5:$C$1504=A207)*Hareketler!$A$5:$A$1504))))</f>
        <v/>
      </c>
      <c r="L207" s="24" t="str">
        <f aca="true">IF(OR(A207="",K207=""),"",TODAY()-K207)</f>
        <v/>
      </c>
      <c r="M207" s="16" t="str">
        <f aca="false">IF(OR(J207="Tükendi",J207="Kritik"),ROW(),"")</f>
        <v/>
      </c>
      <c r="N207" s="16" t="str">
        <f aca="false">IF(A207="","",I207+ROW()/1000000)</f>
        <v/>
      </c>
    </row>
    <row r="208" customFormat="false" ht="15" hidden="false" customHeight="false" outlineLevel="0" collapsed="false">
      <c r="A208" s="14"/>
      <c r="B208" s="13"/>
      <c r="C208" s="31"/>
      <c r="D208" s="15"/>
      <c r="E208" s="15"/>
      <c r="F208" s="24" t="str">
        <f aca="false">IF(A208="","",SUMIFS(Hareketler!$D$5:$D$1504,Hareketler!$C$5:$C$1504,A208,Hareketler!$B$5:$B$1504,"Giriş"))</f>
        <v/>
      </c>
      <c r="G208" s="24" t="str">
        <f aca="false">IF(A208="","",SUMIFS(Hareketler!$D$5:$D$1504,Hareketler!$C$5:$C$1504,A208,Hareketler!$B$5:$B$1504,"Çıkış"))</f>
        <v/>
      </c>
      <c r="H208" s="32" t="str">
        <f aca="false">IF(A208="","",D208+F208-G208)</f>
        <v/>
      </c>
      <c r="I208" s="29" t="str">
        <f aca="false">IF(A208="","",H208*C208)</f>
        <v/>
      </c>
      <c r="J208" s="25" t="str">
        <f aca="false">IF(A208="","",IF(H208&lt;=0,"Tükendi",IF(H208&lt;=E208,"Kritik","Yeterli")))</f>
        <v/>
      </c>
      <c r="K208" s="33" t="str">
        <f aca="false">IF(A208="","",IF(SUMPRODUCT(MAX((Hareketler!$C$5:$C$1504=A208)*Hareketler!$A$5:$A$1504))=0,"",SUMPRODUCT(MAX((Hareketler!$C$5:$C$1504=A208)*Hareketler!$A$5:$A$1504))))</f>
        <v/>
      </c>
      <c r="L208" s="24" t="str">
        <f aca="true">IF(OR(A208="",K208=""),"",TODAY()-K208)</f>
        <v/>
      </c>
      <c r="M208" s="16" t="str">
        <f aca="false">IF(OR(J208="Tükendi",J208="Kritik"),ROW(),"")</f>
        <v/>
      </c>
      <c r="N208" s="16" t="str">
        <f aca="false">IF(A208="","",I208+ROW()/1000000)</f>
        <v/>
      </c>
    </row>
    <row r="209" customFormat="false" ht="15" hidden="false" customHeight="false" outlineLevel="0" collapsed="false">
      <c r="A209" s="14"/>
      <c r="B209" s="13"/>
      <c r="C209" s="31"/>
      <c r="D209" s="15"/>
      <c r="E209" s="15"/>
      <c r="F209" s="24" t="str">
        <f aca="false">IF(A209="","",SUMIFS(Hareketler!$D$5:$D$1504,Hareketler!$C$5:$C$1504,A209,Hareketler!$B$5:$B$1504,"Giriş"))</f>
        <v/>
      </c>
      <c r="G209" s="24" t="str">
        <f aca="false">IF(A209="","",SUMIFS(Hareketler!$D$5:$D$1504,Hareketler!$C$5:$C$1504,A209,Hareketler!$B$5:$B$1504,"Çıkış"))</f>
        <v/>
      </c>
      <c r="H209" s="32" t="str">
        <f aca="false">IF(A209="","",D209+F209-G209)</f>
        <v/>
      </c>
      <c r="I209" s="29" t="str">
        <f aca="false">IF(A209="","",H209*C209)</f>
        <v/>
      </c>
      <c r="J209" s="25" t="str">
        <f aca="false">IF(A209="","",IF(H209&lt;=0,"Tükendi",IF(H209&lt;=E209,"Kritik","Yeterli")))</f>
        <v/>
      </c>
      <c r="K209" s="33" t="str">
        <f aca="false">IF(A209="","",IF(SUMPRODUCT(MAX((Hareketler!$C$5:$C$1504=A209)*Hareketler!$A$5:$A$1504))=0,"",SUMPRODUCT(MAX((Hareketler!$C$5:$C$1504=A209)*Hareketler!$A$5:$A$1504))))</f>
        <v/>
      </c>
      <c r="L209" s="24" t="str">
        <f aca="true">IF(OR(A209="",K209=""),"",TODAY()-K209)</f>
        <v/>
      </c>
      <c r="M209" s="16" t="str">
        <f aca="false">IF(OR(J209="Tükendi",J209="Kritik"),ROW(),"")</f>
        <v/>
      </c>
      <c r="N209" s="16" t="str">
        <f aca="false">IF(A209="","",I209+ROW()/1000000)</f>
        <v/>
      </c>
    </row>
    <row r="210" customFormat="false" ht="15" hidden="false" customHeight="false" outlineLevel="0" collapsed="false">
      <c r="A210" s="14"/>
      <c r="B210" s="13"/>
      <c r="C210" s="31"/>
      <c r="D210" s="15"/>
      <c r="E210" s="15"/>
      <c r="F210" s="24" t="str">
        <f aca="false">IF(A210="","",SUMIFS(Hareketler!$D$5:$D$1504,Hareketler!$C$5:$C$1504,A210,Hareketler!$B$5:$B$1504,"Giriş"))</f>
        <v/>
      </c>
      <c r="G210" s="24" t="str">
        <f aca="false">IF(A210="","",SUMIFS(Hareketler!$D$5:$D$1504,Hareketler!$C$5:$C$1504,A210,Hareketler!$B$5:$B$1504,"Çıkış"))</f>
        <v/>
      </c>
      <c r="H210" s="32" t="str">
        <f aca="false">IF(A210="","",D210+F210-G210)</f>
        <v/>
      </c>
      <c r="I210" s="29" t="str">
        <f aca="false">IF(A210="","",H210*C210)</f>
        <v/>
      </c>
      <c r="J210" s="25" t="str">
        <f aca="false">IF(A210="","",IF(H210&lt;=0,"Tükendi",IF(H210&lt;=E210,"Kritik","Yeterli")))</f>
        <v/>
      </c>
      <c r="K210" s="33" t="str">
        <f aca="false">IF(A210="","",IF(SUMPRODUCT(MAX((Hareketler!$C$5:$C$1504=A210)*Hareketler!$A$5:$A$1504))=0,"",SUMPRODUCT(MAX((Hareketler!$C$5:$C$1504=A210)*Hareketler!$A$5:$A$1504))))</f>
        <v/>
      </c>
      <c r="L210" s="24" t="str">
        <f aca="true">IF(OR(A210="",K210=""),"",TODAY()-K210)</f>
        <v/>
      </c>
      <c r="M210" s="16" t="str">
        <f aca="false">IF(OR(J210="Tükendi",J210="Kritik"),ROW(),"")</f>
        <v/>
      </c>
      <c r="N210" s="16" t="str">
        <f aca="false">IF(A210="","",I210+ROW()/1000000)</f>
        <v/>
      </c>
    </row>
    <row r="211" customFormat="false" ht="15" hidden="false" customHeight="false" outlineLevel="0" collapsed="false">
      <c r="A211" s="14"/>
      <c r="B211" s="13"/>
      <c r="C211" s="31"/>
      <c r="D211" s="15"/>
      <c r="E211" s="15"/>
      <c r="F211" s="24" t="str">
        <f aca="false">IF(A211="","",SUMIFS(Hareketler!$D$5:$D$1504,Hareketler!$C$5:$C$1504,A211,Hareketler!$B$5:$B$1504,"Giriş"))</f>
        <v/>
      </c>
      <c r="G211" s="24" t="str">
        <f aca="false">IF(A211="","",SUMIFS(Hareketler!$D$5:$D$1504,Hareketler!$C$5:$C$1504,A211,Hareketler!$B$5:$B$1504,"Çıkış"))</f>
        <v/>
      </c>
      <c r="H211" s="32" t="str">
        <f aca="false">IF(A211="","",D211+F211-G211)</f>
        <v/>
      </c>
      <c r="I211" s="29" t="str">
        <f aca="false">IF(A211="","",H211*C211)</f>
        <v/>
      </c>
      <c r="J211" s="25" t="str">
        <f aca="false">IF(A211="","",IF(H211&lt;=0,"Tükendi",IF(H211&lt;=E211,"Kritik","Yeterli")))</f>
        <v/>
      </c>
      <c r="K211" s="33" t="str">
        <f aca="false">IF(A211="","",IF(SUMPRODUCT(MAX((Hareketler!$C$5:$C$1504=A211)*Hareketler!$A$5:$A$1504))=0,"",SUMPRODUCT(MAX((Hareketler!$C$5:$C$1504=A211)*Hareketler!$A$5:$A$1504))))</f>
        <v/>
      </c>
      <c r="L211" s="24" t="str">
        <f aca="true">IF(OR(A211="",K211=""),"",TODAY()-K211)</f>
        <v/>
      </c>
      <c r="M211" s="16" t="str">
        <f aca="false">IF(OR(J211="Tükendi",J211="Kritik"),ROW(),"")</f>
        <v/>
      </c>
      <c r="N211" s="16" t="str">
        <f aca="false">IF(A211="","",I211+ROW()/1000000)</f>
        <v/>
      </c>
    </row>
    <row r="212" customFormat="false" ht="15" hidden="false" customHeight="false" outlineLevel="0" collapsed="false">
      <c r="A212" s="14"/>
      <c r="B212" s="13"/>
      <c r="C212" s="31"/>
      <c r="D212" s="15"/>
      <c r="E212" s="15"/>
      <c r="F212" s="24" t="str">
        <f aca="false">IF(A212="","",SUMIFS(Hareketler!$D$5:$D$1504,Hareketler!$C$5:$C$1504,A212,Hareketler!$B$5:$B$1504,"Giriş"))</f>
        <v/>
      </c>
      <c r="G212" s="24" t="str">
        <f aca="false">IF(A212="","",SUMIFS(Hareketler!$D$5:$D$1504,Hareketler!$C$5:$C$1504,A212,Hareketler!$B$5:$B$1504,"Çıkış"))</f>
        <v/>
      </c>
      <c r="H212" s="32" t="str">
        <f aca="false">IF(A212="","",D212+F212-G212)</f>
        <v/>
      </c>
      <c r="I212" s="29" t="str">
        <f aca="false">IF(A212="","",H212*C212)</f>
        <v/>
      </c>
      <c r="J212" s="25" t="str">
        <f aca="false">IF(A212="","",IF(H212&lt;=0,"Tükendi",IF(H212&lt;=E212,"Kritik","Yeterli")))</f>
        <v/>
      </c>
      <c r="K212" s="33" t="str">
        <f aca="false">IF(A212="","",IF(SUMPRODUCT(MAX((Hareketler!$C$5:$C$1504=A212)*Hareketler!$A$5:$A$1504))=0,"",SUMPRODUCT(MAX((Hareketler!$C$5:$C$1504=A212)*Hareketler!$A$5:$A$1504))))</f>
        <v/>
      </c>
      <c r="L212" s="24" t="str">
        <f aca="true">IF(OR(A212="",K212=""),"",TODAY()-K212)</f>
        <v/>
      </c>
      <c r="M212" s="16" t="str">
        <f aca="false">IF(OR(J212="Tükendi",J212="Kritik"),ROW(),"")</f>
        <v/>
      </c>
      <c r="N212" s="16" t="str">
        <f aca="false">IF(A212="","",I212+ROW()/1000000)</f>
        <v/>
      </c>
    </row>
    <row r="213" customFormat="false" ht="15" hidden="false" customHeight="false" outlineLevel="0" collapsed="false">
      <c r="A213" s="14"/>
      <c r="B213" s="13"/>
      <c r="C213" s="31"/>
      <c r="D213" s="15"/>
      <c r="E213" s="15"/>
      <c r="F213" s="24" t="str">
        <f aca="false">IF(A213="","",SUMIFS(Hareketler!$D$5:$D$1504,Hareketler!$C$5:$C$1504,A213,Hareketler!$B$5:$B$1504,"Giriş"))</f>
        <v/>
      </c>
      <c r="G213" s="24" t="str">
        <f aca="false">IF(A213="","",SUMIFS(Hareketler!$D$5:$D$1504,Hareketler!$C$5:$C$1504,A213,Hareketler!$B$5:$B$1504,"Çıkış"))</f>
        <v/>
      </c>
      <c r="H213" s="32" t="str">
        <f aca="false">IF(A213="","",D213+F213-G213)</f>
        <v/>
      </c>
      <c r="I213" s="29" t="str">
        <f aca="false">IF(A213="","",H213*C213)</f>
        <v/>
      </c>
      <c r="J213" s="25" t="str">
        <f aca="false">IF(A213="","",IF(H213&lt;=0,"Tükendi",IF(H213&lt;=E213,"Kritik","Yeterli")))</f>
        <v/>
      </c>
      <c r="K213" s="33" t="str">
        <f aca="false">IF(A213="","",IF(SUMPRODUCT(MAX((Hareketler!$C$5:$C$1504=A213)*Hareketler!$A$5:$A$1504))=0,"",SUMPRODUCT(MAX((Hareketler!$C$5:$C$1504=A213)*Hareketler!$A$5:$A$1504))))</f>
        <v/>
      </c>
      <c r="L213" s="24" t="str">
        <f aca="true">IF(OR(A213="",K213=""),"",TODAY()-K213)</f>
        <v/>
      </c>
      <c r="M213" s="16" t="str">
        <f aca="false">IF(OR(J213="Tükendi",J213="Kritik"),ROW(),"")</f>
        <v/>
      </c>
      <c r="N213" s="16" t="str">
        <f aca="false">IF(A213="","",I213+ROW()/1000000)</f>
        <v/>
      </c>
    </row>
    <row r="214" customFormat="false" ht="15" hidden="false" customHeight="false" outlineLevel="0" collapsed="false">
      <c r="A214" s="14"/>
      <c r="B214" s="13"/>
      <c r="C214" s="31"/>
      <c r="D214" s="15"/>
      <c r="E214" s="15"/>
      <c r="F214" s="24" t="str">
        <f aca="false">IF(A214="","",SUMIFS(Hareketler!$D$5:$D$1504,Hareketler!$C$5:$C$1504,A214,Hareketler!$B$5:$B$1504,"Giriş"))</f>
        <v/>
      </c>
      <c r="G214" s="24" t="str">
        <f aca="false">IF(A214="","",SUMIFS(Hareketler!$D$5:$D$1504,Hareketler!$C$5:$C$1504,A214,Hareketler!$B$5:$B$1504,"Çıkış"))</f>
        <v/>
      </c>
      <c r="H214" s="32" t="str">
        <f aca="false">IF(A214="","",D214+F214-G214)</f>
        <v/>
      </c>
      <c r="I214" s="29" t="str">
        <f aca="false">IF(A214="","",H214*C214)</f>
        <v/>
      </c>
      <c r="J214" s="25" t="str">
        <f aca="false">IF(A214="","",IF(H214&lt;=0,"Tükendi",IF(H214&lt;=E214,"Kritik","Yeterli")))</f>
        <v/>
      </c>
      <c r="K214" s="33" t="str">
        <f aca="false">IF(A214="","",IF(SUMPRODUCT(MAX((Hareketler!$C$5:$C$1504=A214)*Hareketler!$A$5:$A$1504))=0,"",SUMPRODUCT(MAX((Hareketler!$C$5:$C$1504=A214)*Hareketler!$A$5:$A$1504))))</f>
        <v/>
      </c>
      <c r="L214" s="24" t="str">
        <f aca="true">IF(OR(A214="",K214=""),"",TODAY()-K214)</f>
        <v/>
      </c>
      <c r="M214" s="16" t="str">
        <f aca="false">IF(OR(J214="Tükendi",J214="Kritik"),ROW(),"")</f>
        <v/>
      </c>
      <c r="N214" s="16" t="str">
        <f aca="false">IF(A214="","",I214+ROW()/1000000)</f>
        <v/>
      </c>
    </row>
    <row r="215" customFormat="false" ht="15" hidden="false" customHeight="false" outlineLevel="0" collapsed="false">
      <c r="A215" s="14"/>
      <c r="B215" s="13"/>
      <c r="C215" s="31"/>
      <c r="D215" s="15"/>
      <c r="E215" s="15"/>
      <c r="F215" s="24" t="str">
        <f aca="false">IF(A215="","",SUMIFS(Hareketler!$D$5:$D$1504,Hareketler!$C$5:$C$1504,A215,Hareketler!$B$5:$B$1504,"Giriş"))</f>
        <v/>
      </c>
      <c r="G215" s="24" t="str">
        <f aca="false">IF(A215="","",SUMIFS(Hareketler!$D$5:$D$1504,Hareketler!$C$5:$C$1504,A215,Hareketler!$B$5:$B$1504,"Çıkış"))</f>
        <v/>
      </c>
      <c r="H215" s="32" t="str">
        <f aca="false">IF(A215="","",D215+F215-G215)</f>
        <v/>
      </c>
      <c r="I215" s="29" t="str">
        <f aca="false">IF(A215="","",H215*C215)</f>
        <v/>
      </c>
      <c r="J215" s="25" t="str">
        <f aca="false">IF(A215="","",IF(H215&lt;=0,"Tükendi",IF(H215&lt;=E215,"Kritik","Yeterli")))</f>
        <v/>
      </c>
      <c r="K215" s="33" t="str">
        <f aca="false">IF(A215="","",IF(SUMPRODUCT(MAX((Hareketler!$C$5:$C$1504=A215)*Hareketler!$A$5:$A$1504))=0,"",SUMPRODUCT(MAX((Hareketler!$C$5:$C$1504=A215)*Hareketler!$A$5:$A$1504))))</f>
        <v/>
      </c>
      <c r="L215" s="24" t="str">
        <f aca="true">IF(OR(A215="",K215=""),"",TODAY()-K215)</f>
        <v/>
      </c>
      <c r="M215" s="16" t="str">
        <f aca="false">IF(OR(J215="Tükendi",J215="Kritik"),ROW(),"")</f>
        <v/>
      </c>
      <c r="N215" s="16" t="str">
        <f aca="false">IF(A215="","",I215+ROW()/1000000)</f>
        <v/>
      </c>
    </row>
    <row r="216" customFormat="false" ht="15" hidden="false" customHeight="false" outlineLevel="0" collapsed="false">
      <c r="A216" s="14"/>
      <c r="B216" s="13"/>
      <c r="C216" s="31"/>
      <c r="D216" s="15"/>
      <c r="E216" s="15"/>
      <c r="F216" s="24" t="str">
        <f aca="false">IF(A216="","",SUMIFS(Hareketler!$D$5:$D$1504,Hareketler!$C$5:$C$1504,A216,Hareketler!$B$5:$B$1504,"Giriş"))</f>
        <v/>
      </c>
      <c r="G216" s="24" t="str">
        <f aca="false">IF(A216="","",SUMIFS(Hareketler!$D$5:$D$1504,Hareketler!$C$5:$C$1504,A216,Hareketler!$B$5:$B$1504,"Çıkış"))</f>
        <v/>
      </c>
      <c r="H216" s="32" t="str">
        <f aca="false">IF(A216="","",D216+F216-G216)</f>
        <v/>
      </c>
      <c r="I216" s="29" t="str">
        <f aca="false">IF(A216="","",H216*C216)</f>
        <v/>
      </c>
      <c r="J216" s="25" t="str">
        <f aca="false">IF(A216="","",IF(H216&lt;=0,"Tükendi",IF(H216&lt;=E216,"Kritik","Yeterli")))</f>
        <v/>
      </c>
      <c r="K216" s="33" t="str">
        <f aca="false">IF(A216="","",IF(SUMPRODUCT(MAX((Hareketler!$C$5:$C$1504=A216)*Hareketler!$A$5:$A$1504))=0,"",SUMPRODUCT(MAX((Hareketler!$C$5:$C$1504=A216)*Hareketler!$A$5:$A$1504))))</f>
        <v/>
      </c>
      <c r="L216" s="24" t="str">
        <f aca="true">IF(OR(A216="",K216=""),"",TODAY()-K216)</f>
        <v/>
      </c>
      <c r="M216" s="16" t="str">
        <f aca="false">IF(OR(J216="Tükendi",J216="Kritik"),ROW(),"")</f>
        <v/>
      </c>
      <c r="N216" s="16" t="str">
        <f aca="false">IF(A216="","",I216+ROW()/1000000)</f>
        <v/>
      </c>
    </row>
    <row r="217" customFormat="false" ht="15" hidden="false" customHeight="false" outlineLevel="0" collapsed="false">
      <c r="A217" s="14"/>
      <c r="B217" s="13"/>
      <c r="C217" s="31"/>
      <c r="D217" s="15"/>
      <c r="E217" s="15"/>
      <c r="F217" s="24" t="str">
        <f aca="false">IF(A217="","",SUMIFS(Hareketler!$D$5:$D$1504,Hareketler!$C$5:$C$1504,A217,Hareketler!$B$5:$B$1504,"Giriş"))</f>
        <v/>
      </c>
      <c r="G217" s="24" t="str">
        <f aca="false">IF(A217="","",SUMIFS(Hareketler!$D$5:$D$1504,Hareketler!$C$5:$C$1504,A217,Hareketler!$B$5:$B$1504,"Çıkış"))</f>
        <v/>
      </c>
      <c r="H217" s="32" t="str">
        <f aca="false">IF(A217="","",D217+F217-G217)</f>
        <v/>
      </c>
      <c r="I217" s="29" t="str">
        <f aca="false">IF(A217="","",H217*C217)</f>
        <v/>
      </c>
      <c r="J217" s="25" t="str">
        <f aca="false">IF(A217="","",IF(H217&lt;=0,"Tükendi",IF(H217&lt;=E217,"Kritik","Yeterli")))</f>
        <v/>
      </c>
      <c r="K217" s="33" t="str">
        <f aca="false">IF(A217="","",IF(SUMPRODUCT(MAX((Hareketler!$C$5:$C$1504=A217)*Hareketler!$A$5:$A$1504))=0,"",SUMPRODUCT(MAX((Hareketler!$C$5:$C$1504=A217)*Hareketler!$A$5:$A$1504))))</f>
        <v/>
      </c>
      <c r="L217" s="24" t="str">
        <f aca="true">IF(OR(A217="",K217=""),"",TODAY()-K217)</f>
        <v/>
      </c>
      <c r="M217" s="16" t="str">
        <f aca="false">IF(OR(J217="Tükendi",J217="Kritik"),ROW(),"")</f>
        <v/>
      </c>
      <c r="N217" s="16" t="str">
        <f aca="false">IF(A217="","",I217+ROW()/1000000)</f>
        <v/>
      </c>
    </row>
    <row r="218" customFormat="false" ht="15" hidden="false" customHeight="false" outlineLevel="0" collapsed="false">
      <c r="A218" s="14"/>
      <c r="B218" s="13"/>
      <c r="C218" s="31"/>
      <c r="D218" s="15"/>
      <c r="E218" s="15"/>
      <c r="F218" s="24" t="str">
        <f aca="false">IF(A218="","",SUMIFS(Hareketler!$D$5:$D$1504,Hareketler!$C$5:$C$1504,A218,Hareketler!$B$5:$B$1504,"Giriş"))</f>
        <v/>
      </c>
      <c r="G218" s="24" t="str">
        <f aca="false">IF(A218="","",SUMIFS(Hareketler!$D$5:$D$1504,Hareketler!$C$5:$C$1504,A218,Hareketler!$B$5:$B$1504,"Çıkış"))</f>
        <v/>
      </c>
      <c r="H218" s="32" t="str">
        <f aca="false">IF(A218="","",D218+F218-G218)</f>
        <v/>
      </c>
      <c r="I218" s="29" t="str">
        <f aca="false">IF(A218="","",H218*C218)</f>
        <v/>
      </c>
      <c r="J218" s="25" t="str">
        <f aca="false">IF(A218="","",IF(H218&lt;=0,"Tükendi",IF(H218&lt;=E218,"Kritik","Yeterli")))</f>
        <v/>
      </c>
      <c r="K218" s="33" t="str">
        <f aca="false">IF(A218="","",IF(SUMPRODUCT(MAX((Hareketler!$C$5:$C$1504=A218)*Hareketler!$A$5:$A$1504))=0,"",SUMPRODUCT(MAX((Hareketler!$C$5:$C$1504=A218)*Hareketler!$A$5:$A$1504))))</f>
        <v/>
      </c>
      <c r="L218" s="24" t="str">
        <f aca="true">IF(OR(A218="",K218=""),"",TODAY()-K218)</f>
        <v/>
      </c>
      <c r="M218" s="16" t="str">
        <f aca="false">IF(OR(J218="Tükendi",J218="Kritik"),ROW(),"")</f>
        <v/>
      </c>
      <c r="N218" s="16" t="str">
        <f aca="false">IF(A218="","",I218+ROW()/1000000)</f>
        <v/>
      </c>
    </row>
    <row r="219" customFormat="false" ht="15" hidden="false" customHeight="false" outlineLevel="0" collapsed="false">
      <c r="A219" s="14"/>
      <c r="B219" s="13"/>
      <c r="C219" s="31"/>
      <c r="D219" s="15"/>
      <c r="E219" s="15"/>
      <c r="F219" s="24" t="str">
        <f aca="false">IF(A219="","",SUMIFS(Hareketler!$D$5:$D$1504,Hareketler!$C$5:$C$1504,A219,Hareketler!$B$5:$B$1504,"Giriş"))</f>
        <v/>
      </c>
      <c r="G219" s="24" t="str">
        <f aca="false">IF(A219="","",SUMIFS(Hareketler!$D$5:$D$1504,Hareketler!$C$5:$C$1504,A219,Hareketler!$B$5:$B$1504,"Çıkış"))</f>
        <v/>
      </c>
      <c r="H219" s="32" t="str">
        <f aca="false">IF(A219="","",D219+F219-G219)</f>
        <v/>
      </c>
      <c r="I219" s="29" t="str">
        <f aca="false">IF(A219="","",H219*C219)</f>
        <v/>
      </c>
      <c r="J219" s="25" t="str">
        <f aca="false">IF(A219="","",IF(H219&lt;=0,"Tükendi",IF(H219&lt;=E219,"Kritik","Yeterli")))</f>
        <v/>
      </c>
      <c r="K219" s="33" t="str">
        <f aca="false">IF(A219="","",IF(SUMPRODUCT(MAX((Hareketler!$C$5:$C$1504=A219)*Hareketler!$A$5:$A$1504))=0,"",SUMPRODUCT(MAX((Hareketler!$C$5:$C$1504=A219)*Hareketler!$A$5:$A$1504))))</f>
        <v/>
      </c>
      <c r="L219" s="24" t="str">
        <f aca="true">IF(OR(A219="",K219=""),"",TODAY()-K219)</f>
        <v/>
      </c>
      <c r="M219" s="16" t="str">
        <f aca="false">IF(OR(J219="Tükendi",J219="Kritik"),ROW(),"")</f>
        <v/>
      </c>
      <c r="N219" s="16" t="str">
        <f aca="false">IF(A219="","",I219+ROW()/1000000)</f>
        <v/>
      </c>
    </row>
    <row r="220" customFormat="false" ht="15" hidden="false" customHeight="false" outlineLevel="0" collapsed="false">
      <c r="A220" s="14"/>
      <c r="B220" s="13"/>
      <c r="C220" s="31"/>
      <c r="D220" s="15"/>
      <c r="E220" s="15"/>
      <c r="F220" s="24" t="str">
        <f aca="false">IF(A220="","",SUMIFS(Hareketler!$D$5:$D$1504,Hareketler!$C$5:$C$1504,A220,Hareketler!$B$5:$B$1504,"Giriş"))</f>
        <v/>
      </c>
      <c r="G220" s="24" t="str">
        <f aca="false">IF(A220="","",SUMIFS(Hareketler!$D$5:$D$1504,Hareketler!$C$5:$C$1504,A220,Hareketler!$B$5:$B$1504,"Çıkış"))</f>
        <v/>
      </c>
      <c r="H220" s="32" t="str">
        <f aca="false">IF(A220="","",D220+F220-G220)</f>
        <v/>
      </c>
      <c r="I220" s="29" t="str">
        <f aca="false">IF(A220="","",H220*C220)</f>
        <v/>
      </c>
      <c r="J220" s="25" t="str">
        <f aca="false">IF(A220="","",IF(H220&lt;=0,"Tükendi",IF(H220&lt;=E220,"Kritik","Yeterli")))</f>
        <v/>
      </c>
      <c r="K220" s="33" t="str">
        <f aca="false">IF(A220="","",IF(SUMPRODUCT(MAX((Hareketler!$C$5:$C$1504=A220)*Hareketler!$A$5:$A$1504))=0,"",SUMPRODUCT(MAX((Hareketler!$C$5:$C$1504=A220)*Hareketler!$A$5:$A$1504))))</f>
        <v/>
      </c>
      <c r="L220" s="24" t="str">
        <f aca="true">IF(OR(A220="",K220=""),"",TODAY()-K220)</f>
        <v/>
      </c>
      <c r="M220" s="16" t="str">
        <f aca="false">IF(OR(J220="Tükendi",J220="Kritik"),ROW(),"")</f>
        <v/>
      </c>
      <c r="N220" s="16" t="str">
        <f aca="false">IF(A220="","",I220+ROW()/1000000)</f>
        <v/>
      </c>
    </row>
    <row r="221" customFormat="false" ht="15" hidden="false" customHeight="false" outlineLevel="0" collapsed="false">
      <c r="A221" s="14"/>
      <c r="B221" s="13"/>
      <c r="C221" s="31"/>
      <c r="D221" s="15"/>
      <c r="E221" s="15"/>
      <c r="F221" s="24" t="str">
        <f aca="false">IF(A221="","",SUMIFS(Hareketler!$D$5:$D$1504,Hareketler!$C$5:$C$1504,A221,Hareketler!$B$5:$B$1504,"Giriş"))</f>
        <v/>
      </c>
      <c r="G221" s="24" t="str">
        <f aca="false">IF(A221="","",SUMIFS(Hareketler!$D$5:$D$1504,Hareketler!$C$5:$C$1504,A221,Hareketler!$B$5:$B$1504,"Çıkış"))</f>
        <v/>
      </c>
      <c r="H221" s="32" t="str">
        <f aca="false">IF(A221="","",D221+F221-G221)</f>
        <v/>
      </c>
      <c r="I221" s="29" t="str">
        <f aca="false">IF(A221="","",H221*C221)</f>
        <v/>
      </c>
      <c r="J221" s="25" t="str">
        <f aca="false">IF(A221="","",IF(H221&lt;=0,"Tükendi",IF(H221&lt;=E221,"Kritik","Yeterli")))</f>
        <v/>
      </c>
      <c r="K221" s="33" t="str">
        <f aca="false">IF(A221="","",IF(SUMPRODUCT(MAX((Hareketler!$C$5:$C$1504=A221)*Hareketler!$A$5:$A$1504))=0,"",SUMPRODUCT(MAX((Hareketler!$C$5:$C$1504=A221)*Hareketler!$A$5:$A$1504))))</f>
        <v/>
      </c>
      <c r="L221" s="24" t="str">
        <f aca="true">IF(OR(A221="",K221=""),"",TODAY()-K221)</f>
        <v/>
      </c>
      <c r="M221" s="16" t="str">
        <f aca="false">IF(OR(J221="Tükendi",J221="Kritik"),ROW(),"")</f>
        <v/>
      </c>
      <c r="N221" s="16" t="str">
        <f aca="false">IF(A221="","",I221+ROW()/1000000)</f>
        <v/>
      </c>
    </row>
    <row r="222" customFormat="false" ht="15" hidden="false" customHeight="false" outlineLevel="0" collapsed="false">
      <c r="A222" s="14"/>
      <c r="B222" s="13"/>
      <c r="C222" s="31"/>
      <c r="D222" s="15"/>
      <c r="E222" s="15"/>
      <c r="F222" s="24" t="str">
        <f aca="false">IF(A222="","",SUMIFS(Hareketler!$D$5:$D$1504,Hareketler!$C$5:$C$1504,A222,Hareketler!$B$5:$B$1504,"Giriş"))</f>
        <v/>
      </c>
      <c r="G222" s="24" t="str">
        <f aca="false">IF(A222="","",SUMIFS(Hareketler!$D$5:$D$1504,Hareketler!$C$5:$C$1504,A222,Hareketler!$B$5:$B$1504,"Çıkış"))</f>
        <v/>
      </c>
      <c r="H222" s="32" t="str">
        <f aca="false">IF(A222="","",D222+F222-G222)</f>
        <v/>
      </c>
      <c r="I222" s="29" t="str">
        <f aca="false">IF(A222="","",H222*C222)</f>
        <v/>
      </c>
      <c r="J222" s="25" t="str">
        <f aca="false">IF(A222="","",IF(H222&lt;=0,"Tükendi",IF(H222&lt;=E222,"Kritik","Yeterli")))</f>
        <v/>
      </c>
      <c r="K222" s="33" t="str">
        <f aca="false">IF(A222="","",IF(SUMPRODUCT(MAX((Hareketler!$C$5:$C$1504=A222)*Hareketler!$A$5:$A$1504))=0,"",SUMPRODUCT(MAX((Hareketler!$C$5:$C$1504=A222)*Hareketler!$A$5:$A$1504))))</f>
        <v/>
      </c>
      <c r="L222" s="24" t="str">
        <f aca="true">IF(OR(A222="",K222=""),"",TODAY()-K222)</f>
        <v/>
      </c>
      <c r="M222" s="16" t="str">
        <f aca="false">IF(OR(J222="Tükendi",J222="Kritik"),ROW(),"")</f>
        <v/>
      </c>
      <c r="N222" s="16" t="str">
        <f aca="false">IF(A222="","",I222+ROW()/1000000)</f>
        <v/>
      </c>
    </row>
    <row r="223" customFormat="false" ht="15" hidden="false" customHeight="false" outlineLevel="0" collapsed="false">
      <c r="A223" s="14"/>
      <c r="B223" s="13"/>
      <c r="C223" s="31"/>
      <c r="D223" s="15"/>
      <c r="E223" s="15"/>
      <c r="F223" s="24" t="str">
        <f aca="false">IF(A223="","",SUMIFS(Hareketler!$D$5:$D$1504,Hareketler!$C$5:$C$1504,A223,Hareketler!$B$5:$B$1504,"Giriş"))</f>
        <v/>
      </c>
      <c r="G223" s="24" t="str">
        <f aca="false">IF(A223="","",SUMIFS(Hareketler!$D$5:$D$1504,Hareketler!$C$5:$C$1504,A223,Hareketler!$B$5:$B$1504,"Çıkış"))</f>
        <v/>
      </c>
      <c r="H223" s="32" t="str">
        <f aca="false">IF(A223="","",D223+F223-G223)</f>
        <v/>
      </c>
      <c r="I223" s="29" t="str">
        <f aca="false">IF(A223="","",H223*C223)</f>
        <v/>
      </c>
      <c r="J223" s="25" t="str">
        <f aca="false">IF(A223="","",IF(H223&lt;=0,"Tükendi",IF(H223&lt;=E223,"Kritik","Yeterli")))</f>
        <v/>
      </c>
      <c r="K223" s="33" t="str">
        <f aca="false">IF(A223="","",IF(SUMPRODUCT(MAX((Hareketler!$C$5:$C$1504=A223)*Hareketler!$A$5:$A$1504))=0,"",SUMPRODUCT(MAX((Hareketler!$C$5:$C$1504=A223)*Hareketler!$A$5:$A$1504))))</f>
        <v/>
      </c>
      <c r="L223" s="24" t="str">
        <f aca="true">IF(OR(A223="",K223=""),"",TODAY()-K223)</f>
        <v/>
      </c>
      <c r="M223" s="16" t="str">
        <f aca="false">IF(OR(J223="Tükendi",J223="Kritik"),ROW(),"")</f>
        <v/>
      </c>
      <c r="N223" s="16" t="str">
        <f aca="false">IF(A223="","",I223+ROW()/1000000)</f>
        <v/>
      </c>
    </row>
    <row r="224" customFormat="false" ht="15" hidden="false" customHeight="false" outlineLevel="0" collapsed="false">
      <c r="A224" s="14"/>
      <c r="B224" s="13"/>
      <c r="C224" s="31"/>
      <c r="D224" s="15"/>
      <c r="E224" s="15"/>
      <c r="F224" s="24" t="str">
        <f aca="false">IF(A224="","",SUMIFS(Hareketler!$D$5:$D$1504,Hareketler!$C$5:$C$1504,A224,Hareketler!$B$5:$B$1504,"Giriş"))</f>
        <v/>
      </c>
      <c r="G224" s="24" t="str">
        <f aca="false">IF(A224="","",SUMIFS(Hareketler!$D$5:$D$1504,Hareketler!$C$5:$C$1504,A224,Hareketler!$B$5:$B$1504,"Çıkış"))</f>
        <v/>
      </c>
      <c r="H224" s="32" t="str">
        <f aca="false">IF(A224="","",D224+F224-G224)</f>
        <v/>
      </c>
      <c r="I224" s="29" t="str">
        <f aca="false">IF(A224="","",H224*C224)</f>
        <v/>
      </c>
      <c r="J224" s="25" t="str">
        <f aca="false">IF(A224="","",IF(H224&lt;=0,"Tükendi",IF(H224&lt;=E224,"Kritik","Yeterli")))</f>
        <v/>
      </c>
      <c r="K224" s="33" t="str">
        <f aca="false">IF(A224="","",IF(SUMPRODUCT(MAX((Hareketler!$C$5:$C$1504=A224)*Hareketler!$A$5:$A$1504))=0,"",SUMPRODUCT(MAX((Hareketler!$C$5:$C$1504=A224)*Hareketler!$A$5:$A$1504))))</f>
        <v/>
      </c>
      <c r="L224" s="24" t="str">
        <f aca="true">IF(OR(A224="",K224=""),"",TODAY()-K224)</f>
        <v/>
      </c>
      <c r="M224" s="16" t="str">
        <f aca="false">IF(OR(J224="Tükendi",J224="Kritik"),ROW(),"")</f>
        <v/>
      </c>
      <c r="N224" s="16" t="str">
        <f aca="false">IF(A224="","",I224+ROW()/1000000)</f>
        <v/>
      </c>
    </row>
    <row r="225" customFormat="false" ht="15" hidden="false" customHeight="false" outlineLevel="0" collapsed="false">
      <c r="A225" s="14"/>
      <c r="B225" s="13"/>
      <c r="C225" s="31"/>
      <c r="D225" s="15"/>
      <c r="E225" s="15"/>
      <c r="F225" s="24" t="str">
        <f aca="false">IF(A225="","",SUMIFS(Hareketler!$D$5:$D$1504,Hareketler!$C$5:$C$1504,A225,Hareketler!$B$5:$B$1504,"Giriş"))</f>
        <v/>
      </c>
      <c r="G225" s="24" t="str">
        <f aca="false">IF(A225="","",SUMIFS(Hareketler!$D$5:$D$1504,Hareketler!$C$5:$C$1504,A225,Hareketler!$B$5:$B$1504,"Çıkış"))</f>
        <v/>
      </c>
      <c r="H225" s="32" t="str">
        <f aca="false">IF(A225="","",D225+F225-G225)</f>
        <v/>
      </c>
      <c r="I225" s="29" t="str">
        <f aca="false">IF(A225="","",H225*C225)</f>
        <v/>
      </c>
      <c r="J225" s="25" t="str">
        <f aca="false">IF(A225="","",IF(H225&lt;=0,"Tükendi",IF(H225&lt;=E225,"Kritik","Yeterli")))</f>
        <v/>
      </c>
      <c r="K225" s="33" t="str">
        <f aca="false">IF(A225="","",IF(SUMPRODUCT(MAX((Hareketler!$C$5:$C$1504=A225)*Hareketler!$A$5:$A$1504))=0,"",SUMPRODUCT(MAX((Hareketler!$C$5:$C$1504=A225)*Hareketler!$A$5:$A$1504))))</f>
        <v/>
      </c>
      <c r="L225" s="24" t="str">
        <f aca="true">IF(OR(A225="",K225=""),"",TODAY()-K225)</f>
        <v/>
      </c>
      <c r="M225" s="16" t="str">
        <f aca="false">IF(OR(J225="Tükendi",J225="Kritik"),ROW(),"")</f>
        <v/>
      </c>
      <c r="N225" s="16" t="str">
        <f aca="false">IF(A225="","",I225+ROW()/1000000)</f>
        <v/>
      </c>
    </row>
    <row r="226" customFormat="false" ht="15" hidden="false" customHeight="false" outlineLevel="0" collapsed="false">
      <c r="A226" s="14"/>
      <c r="B226" s="13"/>
      <c r="C226" s="31"/>
      <c r="D226" s="15"/>
      <c r="E226" s="15"/>
      <c r="F226" s="24" t="str">
        <f aca="false">IF(A226="","",SUMIFS(Hareketler!$D$5:$D$1504,Hareketler!$C$5:$C$1504,A226,Hareketler!$B$5:$B$1504,"Giriş"))</f>
        <v/>
      </c>
      <c r="G226" s="24" t="str">
        <f aca="false">IF(A226="","",SUMIFS(Hareketler!$D$5:$D$1504,Hareketler!$C$5:$C$1504,A226,Hareketler!$B$5:$B$1504,"Çıkış"))</f>
        <v/>
      </c>
      <c r="H226" s="32" t="str">
        <f aca="false">IF(A226="","",D226+F226-G226)</f>
        <v/>
      </c>
      <c r="I226" s="29" t="str">
        <f aca="false">IF(A226="","",H226*C226)</f>
        <v/>
      </c>
      <c r="J226" s="25" t="str">
        <f aca="false">IF(A226="","",IF(H226&lt;=0,"Tükendi",IF(H226&lt;=E226,"Kritik","Yeterli")))</f>
        <v/>
      </c>
      <c r="K226" s="33" t="str">
        <f aca="false">IF(A226="","",IF(SUMPRODUCT(MAX((Hareketler!$C$5:$C$1504=A226)*Hareketler!$A$5:$A$1504))=0,"",SUMPRODUCT(MAX((Hareketler!$C$5:$C$1504=A226)*Hareketler!$A$5:$A$1504))))</f>
        <v/>
      </c>
      <c r="L226" s="24" t="str">
        <f aca="true">IF(OR(A226="",K226=""),"",TODAY()-K226)</f>
        <v/>
      </c>
      <c r="M226" s="16" t="str">
        <f aca="false">IF(OR(J226="Tükendi",J226="Kritik"),ROW(),"")</f>
        <v/>
      </c>
      <c r="N226" s="16" t="str">
        <f aca="false">IF(A226="","",I226+ROW()/1000000)</f>
        <v/>
      </c>
    </row>
    <row r="227" customFormat="false" ht="15" hidden="false" customHeight="false" outlineLevel="0" collapsed="false">
      <c r="A227" s="14"/>
      <c r="B227" s="13"/>
      <c r="C227" s="31"/>
      <c r="D227" s="15"/>
      <c r="E227" s="15"/>
      <c r="F227" s="24" t="str">
        <f aca="false">IF(A227="","",SUMIFS(Hareketler!$D$5:$D$1504,Hareketler!$C$5:$C$1504,A227,Hareketler!$B$5:$B$1504,"Giriş"))</f>
        <v/>
      </c>
      <c r="G227" s="24" t="str">
        <f aca="false">IF(A227="","",SUMIFS(Hareketler!$D$5:$D$1504,Hareketler!$C$5:$C$1504,A227,Hareketler!$B$5:$B$1504,"Çıkış"))</f>
        <v/>
      </c>
      <c r="H227" s="32" t="str">
        <f aca="false">IF(A227="","",D227+F227-G227)</f>
        <v/>
      </c>
      <c r="I227" s="29" t="str">
        <f aca="false">IF(A227="","",H227*C227)</f>
        <v/>
      </c>
      <c r="J227" s="25" t="str">
        <f aca="false">IF(A227="","",IF(H227&lt;=0,"Tükendi",IF(H227&lt;=E227,"Kritik","Yeterli")))</f>
        <v/>
      </c>
      <c r="K227" s="33" t="str">
        <f aca="false">IF(A227="","",IF(SUMPRODUCT(MAX((Hareketler!$C$5:$C$1504=A227)*Hareketler!$A$5:$A$1504))=0,"",SUMPRODUCT(MAX((Hareketler!$C$5:$C$1504=A227)*Hareketler!$A$5:$A$1504))))</f>
        <v/>
      </c>
      <c r="L227" s="24" t="str">
        <f aca="true">IF(OR(A227="",K227=""),"",TODAY()-K227)</f>
        <v/>
      </c>
      <c r="M227" s="16" t="str">
        <f aca="false">IF(OR(J227="Tükendi",J227="Kritik"),ROW(),"")</f>
        <v/>
      </c>
      <c r="N227" s="16" t="str">
        <f aca="false">IF(A227="","",I227+ROW()/1000000)</f>
        <v/>
      </c>
    </row>
    <row r="228" customFormat="false" ht="15" hidden="false" customHeight="false" outlineLevel="0" collapsed="false">
      <c r="A228" s="14"/>
      <c r="B228" s="13"/>
      <c r="C228" s="31"/>
      <c r="D228" s="15"/>
      <c r="E228" s="15"/>
      <c r="F228" s="24" t="str">
        <f aca="false">IF(A228="","",SUMIFS(Hareketler!$D$5:$D$1504,Hareketler!$C$5:$C$1504,A228,Hareketler!$B$5:$B$1504,"Giriş"))</f>
        <v/>
      </c>
      <c r="G228" s="24" t="str">
        <f aca="false">IF(A228="","",SUMIFS(Hareketler!$D$5:$D$1504,Hareketler!$C$5:$C$1504,A228,Hareketler!$B$5:$B$1504,"Çıkış"))</f>
        <v/>
      </c>
      <c r="H228" s="32" t="str">
        <f aca="false">IF(A228="","",D228+F228-G228)</f>
        <v/>
      </c>
      <c r="I228" s="29" t="str">
        <f aca="false">IF(A228="","",H228*C228)</f>
        <v/>
      </c>
      <c r="J228" s="25" t="str">
        <f aca="false">IF(A228="","",IF(H228&lt;=0,"Tükendi",IF(H228&lt;=E228,"Kritik","Yeterli")))</f>
        <v/>
      </c>
      <c r="K228" s="33" t="str">
        <f aca="false">IF(A228="","",IF(SUMPRODUCT(MAX((Hareketler!$C$5:$C$1504=A228)*Hareketler!$A$5:$A$1504))=0,"",SUMPRODUCT(MAX((Hareketler!$C$5:$C$1504=A228)*Hareketler!$A$5:$A$1504))))</f>
        <v/>
      </c>
      <c r="L228" s="24" t="str">
        <f aca="true">IF(OR(A228="",K228=""),"",TODAY()-K228)</f>
        <v/>
      </c>
      <c r="M228" s="16" t="str">
        <f aca="false">IF(OR(J228="Tükendi",J228="Kritik"),ROW(),"")</f>
        <v/>
      </c>
      <c r="N228" s="16" t="str">
        <f aca="false">IF(A228="","",I228+ROW()/1000000)</f>
        <v/>
      </c>
    </row>
    <row r="229" customFormat="false" ht="15" hidden="false" customHeight="false" outlineLevel="0" collapsed="false">
      <c r="A229" s="14"/>
      <c r="B229" s="13"/>
      <c r="C229" s="31"/>
      <c r="D229" s="15"/>
      <c r="E229" s="15"/>
      <c r="F229" s="24" t="str">
        <f aca="false">IF(A229="","",SUMIFS(Hareketler!$D$5:$D$1504,Hareketler!$C$5:$C$1504,A229,Hareketler!$B$5:$B$1504,"Giriş"))</f>
        <v/>
      </c>
      <c r="G229" s="24" t="str">
        <f aca="false">IF(A229="","",SUMIFS(Hareketler!$D$5:$D$1504,Hareketler!$C$5:$C$1504,A229,Hareketler!$B$5:$B$1504,"Çıkış"))</f>
        <v/>
      </c>
      <c r="H229" s="32" t="str">
        <f aca="false">IF(A229="","",D229+F229-G229)</f>
        <v/>
      </c>
      <c r="I229" s="29" t="str">
        <f aca="false">IF(A229="","",H229*C229)</f>
        <v/>
      </c>
      <c r="J229" s="25" t="str">
        <f aca="false">IF(A229="","",IF(H229&lt;=0,"Tükendi",IF(H229&lt;=E229,"Kritik","Yeterli")))</f>
        <v/>
      </c>
      <c r="K229" s="33" t="str">
        <f aca="false">IF(A229="","",IF(SUMPRODUCT(MAX((Hareketler!$C$5:$C$1504=A229)*Hareketler!$A$5:$A$1504))=0,"",SUMPRODUCT(MAX((Hareketler!$C$5:$C$1504=A229)*Hareketler!$A$5:$A$1504))))</f>
        <v/>
      </c>
      <c r="L229" s="24" t="str">
        <f aca="true">IF(OR(A229="",K229=""),"",TODAY()-K229)</f>
        <v/>
      </c>
      <c r="M229" s="16" t="str">
        <f aca="false">IF(OR(J229="Tükendi",J229="Kritik"),ROW(),"")</f>
        <v/>
      </c>
      <c r="N229" s="16" t="str">
        <f aca="false">IF(A229="","",I229+ROW()/1000000)</f>
        <v/>
      </c>
    </row>
    <row r="230" customFormat="false" ht="15" hidden="false" customHeight="false" outlineLevel="0" collapsed="false">
      <c r="A230" s="14"/>
      <c r="B230" s="13"/>
      <c r="C230" s="31"/>
      <c r="D230" s="15"/>
      <c r="E230" s="15"/>
      <c r="F230" s="24" t="str">
        <f aca="false">IF(A230="","",SUMIFS(Hareketler!$D$5:$D$1504,Hareketler!$C$5:$C$1504,A230,Hareketler!$B$5:$B$1504,"Giriş"))</f>
        <v/>
      </c>
      <c r="G230" s="24" t="str">
        <f aca="false">IF(A230="","",SUMIFS(Hareketler!$D$5:$D$1504,Hareketler!$C$5:$C$1504,A230,Hareketler!$B$5:$B$1504,"Çıkış"))</f>
        <v/>
      </c>
      <c r="H230" s="32" t="str">
        <f aca="false">IF(A230="","",D230+F230-G230)</f>
        <v/>
      </c>
      <c r="I230" s="29" t="str">
        <f aca="false">IF(A230="","",H230*C230)</f>
        <v/>
      </c>
      <c r="J230" s="25" t="str">
        <f aca="false">IF(A230="","",IF(H230&lt;=0,"Tükendi",IF(H230&lt;=E230,"Kritik","Yeterli")))</f>
        <v/>
      </c>
      <c r="K230" s="33" t="str">
        <f aca="false">IF(A230="","",IF(SUMPRODUCT(MAX((Hareketler!$C$5:$C$1504=A230)*Hareketler!$A$5:$A$1504))=0,"",SUMPRODUCT(MAX((Hareketler!$C$5:$C$1504=A230)*Hareketler!$A$5:$A$1504))))</f>
        <v/>
      </c>
      <c r="L230" s="24" t="str">
        <f aca="true">IF(OR(A230="",K230=""),"",TODAY()-K230)</f>
        <v/>
      </c>
      <c r="M230" s="16" t="str">
        <f aca="false">IF(OR(J230="Tükendi",J230="Kritik"),ROW(),"")</f>
        <v/>
      </c>
      <c r="N230" s="16" t="str">
        <f aca="false">IF(A230="","",I230+ROW()/1000000)</f>
        <v/>
      </c>
    </row>
    <row r="231" customFormat="false" ht="15" hidden="false" customHeight="false" outlineLevel="0" collapsed="false">
      <c r="A231" s="14"/>
      <c r="B231" s="13"/>
      <c r="C231" s="31"/>
      <c r="D231" s="15"/>
      <c r="E231" s="15"/>
      <c r="F231" s="24" t="str">
        <f aca="false">IF(A231="","",SUMIFS(Hareketler!$D$5:$D$1504,Hareketler!$C$5:$C$1504,A231,Hareketler!$B$5:$B$1504,"Giriş"))</f>
        <v/>
      </c>
      <c r="G231" s="24" t="str">
        <f aca="false">IF(A231="","",SUMIFS(Hareketler!$D$5:$D$1504,Hareketler!$C$5:$C$1504,A231,Hareketler!$B$5:$B$1504,"Çıkış"))</f>
        <v/>
      </c>
      <c r="H231" s="32" t="str">
        <f aca="false">IF(A231="","",D231+F231-G231)</f>
        <v/>
      </c>
      <c r="I231" s="29" t="str">
        <f aca="false">IF(A231="","",H231*C231)</f>
        <v/>
      </c>
      <c r="J231" s="25" t="str">
        <f aca="false">IF(A231="","",IF(H231&lt;=0,"Tükendi",IF(H231&lt;=E231,"Kritik","Yeterli")))</f>
        <v/>
      </c>
      <c r="K231" s="33" t="str">
        <f aca="false">IF(A231="","",IF(SUMPRODUCT(MAX((Hareketler!$C$5:$C$1504=A231)*Hareketler!$A$5:$A$1504))=0,"",SUMPRODUCT(MAX((Hareketler!$C$5:$C$1504=A231)*Hareketler!$A$5:$A$1504))))</f>
        <v/>
      </c>
      <c r="L231" s="24" t="str">
        <f aca="true">IF(OR(A231="",K231=""),"",TODAY()-K231)</f>
        <v/>
      </c>
      <c r="M231" s="16" t="str">
        <f aca="false">IF(OR(J231="Tükendi",J231="Kritik"),ROW(),"")</f>
        <v/>
      </c>
      <c r="N231" s="16" t="str">
        <f aca="false">IF(A231="","",I231+ROW()/1000000)</f>
        <v/>
      </c>
    </row>
    <row r="232" customFormat="false" ht="15" hidden="false" customHeight="false" outlineLevel="0" collapsed="false">
      <c r="A232" s="14"/>
      <c r="B232" s="13"/>
      <c r="C232" s="31"/>
      <c r="D232" s="15"/>
      <c r="E232" s="15"/>
      <c r="F232" s="24" t="str">
        <f aca="false">IF(A232="","",SUMIFS(Hareketler!$D$5:$D$1504,Hareketler!$C$5:$C$1504,A232,Hareketler!$B$5:$B$1504,"Giriş"))</f>
        <v/>
      </c>
      <c r="G232" s="24" t="str">
        <f aca="false">IF(A232="","",SUMIFS(Hareketler!$D$5:$D$1504,Hareketler!$C$5:$C$1504,A232,Hareketler!$B$5:$B$1504,"Çıkış"))</f>
        <v/>
      </c>
      <c r="H232" s="32" t="str">
        <f aca="false">IF(A232="","",D232+F232-G232)</f>
        <v/>
      </c>
      <c r="I232" s="29" t="str">
        <f aca="false">IF(A232="","",H232*C232)</f>
        <v/>
      </c>
      <c r="J232" s="25" t="str">
        <f aca="false">IF(A232="","",IF(H232&lt;=0,"Tükendi",IF(H232&lt;=E232,"Kritik","Yeterli")))</f>
        <v/>
      </c>
      <c r="K232" s="33" t="str">
        <f aca="false">IF(A232="","",IF(SUMPRODUCT(MAX((Hareketler!$C$5:$C$1504=A232)*Hareketler!$A$5:$A$1504))=0,"",SUMPRODUCT(MAX((Hareketler!$C$5:$C$1504=A232)*Hareketler!$A$5:$A$1504))))</f>
        <v/>
      </c>
      <c r="L232" s="24" t="str">
        <f aca="true">IF(OR(A232="",K232=""),"",TODAY()-K232)</f>
        <v/>
      </c>
      <c r="M232" s="16" t="str">
        <f aca="false">IF(OR(J232="Tükendi",J232="Kritik"),ROW(),"")</f>
        <v/>
      </c>
      <c r="N232" s="16" t="str">
        <f aca="false">IF(A232="","",I232+ROW()/1000000)</f>
        <v/>
      </c>
    </row>
    <row r="233" customFormat="false" ht="15" hidden="false" customHeight="false" outlineLevel="0" collapsed="false">
      <c r="A233" s="14"/>
      <c r="B233" s="13"/>
      <c r="C233" s="31"/>
      <c r="D233" s="15"/>
      <c r="E233" s="15"/>
      <c r="F233" s="24" t="str">
        <f aca="false">IF(A233="","",SUMIFS(Hareketler!$D$5:$D$1504,Hareketler!$C$5:$C$1504,A233,Hareketler!$B$5:$B$1504,"Giriş"))</f>
        <v/>
      </c>
      <c r="G233" s="24" t="str">
        <f aca="false">IF(A233="","",SUMIFS(Hareketler!$D$5:$D$1504,Hareketler!$C$5:$C$1504,A233,Hareketler!$B$5:$B$1504,"Çıkış"))</f>
        <v/>
      </c>
      <c r="H233" s="32" t="str">
        <f aca="false">IF(A233="","",D233+F233-G233)</f>
        <v/>
      </c>
      <c r="I233" s="29" t="str">
        <f aca="false">IF(A233="","",H233*C233)</f>
        <v/>
      </c>
      <c r="J233" s="25" t="str">
        <f aca="false">IF(A233="","",IF(H233&lt;=0,"Tükendi",IF(H233&lt;=E233,"Kritik","Yeterli")))</f>
        <v/>
      </c>
      <c r="K233" s="33" t="str">
        <f aca="false">IF(A233="","",IF(SUMPRODUCT(MAX((Hareketler!$C$5:$C$1504=A233)*Hareketler!$A$5:$A$1504))=0,"",SUMPRODUCT(MAX((Hareketler!$C$5:$C$1504=A233)*Hareketler!$A$5:$A$1504))))</f>
        <v/>
      </c>
      <c r="L233" s="24" t="str">
        <f aca="true">IF(OR(A233="",K233=""),"",TODAY()-K233)</f>
        <v/>
      </c>
      <c r="M233" s="16" t="str">
        <f aca="false">IF(OR(J233="Tükendi",J233="Kritik"),ROW(),"")</f>
        <v/>
      </c>
      <c r="N233" s="16" t="str">
        <f aca="false">IF(A233="","",I233+ROW()/1000000)</f>
        <v/>
      </c>
    </row>
    <row r="234" customFormat="false" ht="15" hidden="false" customHeight="false" outlineLevel="0" collapsed="false">
      <c r="A234" s="14"/>
      <c r="B234" s="13"/>
      <c r="C234" s="31"/>
      <c r="D234" s="15"/>
      <c r="E234" s="15"/>
      <c r="F234" s="24" t="str">
        <f aca="false">IF(A234="","",SUMIFS(Hareketler!$D$5:$D$1504,Hareketler!$C$5:$C$1504,A234,Hareketler!$B$5:$B$1504,"Giriş"))</f>
        <v/>
      </c>
      <c r="G234" s="24" t="str">
        <f aca="false">IF(A234="","",SUMIFS(Hareketler!$D$5:$D$1504,Hareketler!$C$5:$C$1504,A234,Hareketler!$B$5:$B$1504,"Çıkış"))</f>
        <v/>
      </c>
      <c r="H234" s="32" t="str">
        <f aca="false">IF(A234="","",D234+F234-G234)</f>
        <v/>
      </c>
      <c r="I234" s="29" t="str">
        <f aca="false">IF(A234="","",H234*C234)</f>
        <v/>
      </c>
      <c r="J234" s="25" t="str">
        <f aca="false">IF(A234="","",IF(H234&lt;=0,"Tükendi",IF(H234&lt;=E234,"Kritik","Yeterli")))</f>
        <v/>
      </c>
      <c r="K234" s="33" t="str">
        <f aca="false">IF(A234="","",IF(SUMPRODUCT(MAX((Hareketler!$C$5:$C$1504=A234)*Hareketler!$A$5:$A$1504))=0,"",SUMPRODUCT(MAX((Hareketler!$C$5:$C$1504=A234)*Hareketler!$A$5:$A$1504))))</f>
        <v/>
      </c>
      <c r="L234" s="24" t="str">
        <f aca="true">IF(OR(A234="",K234=""),"",TODAY()-K234)</f>
        <v/>
      </c>
      <c r="M234" s="16" t="str">
        <f aca="false">IF(OR(J234="Tükendi",J234="Kritik"),ROW(),"")</f>
        <v/>
      </c>
      <c r="N234" s="16" t="str">
        <f aca="false">IF(A234="","",I234+ROW()/1000000)</f>
        <v/>
      </c>
    </row>
    <row r="235" customFormat="false" ht="15" hidden="false" customHeight="false" outlineLevel="0" collapsed="false">
      <c r="A235" s="14"/>
      <c r="B235" s="13"/>
      <c r="C235" s="31"/>
      <c r="D235" s="15"/>
      <c r="E235" s="15"/>
      <c r="F235" s="24" t="str">
        <f aca="false">IF(A235="","",SUMIFS(Hareketler!$D$5:$D$1504,Hareketler!$C$5:$C$1504,A235,Hareketler!$B$5:$B$1504,"Giriş"))</f>
        <v/>
      </c>
      <c r="G235" s="24" t="str">
        <f aca="false">IF(A235="","",SUMIFS(Hareketler!$D$5:$D$1504,Hareketler!$C$5:$C$1504,A235,Hareketler!$B$5:$B$1504,"Çıkış"))</f>
        <v/>
      </c>
      <c r="H235" s="32" t="str">
        <f aca="false">IF(A235="","",D235+F235-G235)</f>
        <v/>
      </c>
      <c r="I235" s="29" t="str">
        <f aca="false">IF(A235="","",H235*C235)</f>
        <v/>
      </c>
      <c r="J235" s="25" t="str">
        <f aca="false">IF(A235="","",IF(H235&lt;=0,"Tükendi",IF(H235&lt;=E235,"Kritik","Yeterli")))</f>
        <v/>
      </c>
      <c r="K235" s="33" t="str">
        <f aca="false">IF(A235="","",IF(SUMPRODUCT(MAX((Hareketler!$C$5:$C$1504=A235)*Hareketler!$A$5:$A$1504))=0,"",SUMPRODUCT(MAX((Hareketler!$C$5:$C$1504=A235)*Hareketler!$A$5:$A$1504))))</f>
        <v/>
      </c>
      <c r="L235" s="24" t="str">
        <f aca="true">IF(OR(A235="",K235=""),"",TODAY()-K235)</f>
        <v/>
      </c>
      <c r="M235" s="16" t="str">
        <f aca="false">IF(OR(J235="Tükendi",J235="Kritik"),ROW(),"")</f>
        <v/>
      </c>
      <c r="N235" s="16" t="str">
        <f aca="false">IF(A235="","",I235+ROW()/1000000)</f>
        <v/>
      </c>
    </row>
    <row r="236" customFormat="false" ht="15" hidden="false" customHeight="false" outlineLevel="0" collapsed="false">
      <c r="A236" s="14"/>
      <c r="B236" s="13"/>
      <c r="C236" s="31"/>
      <c r="D236" s="15"/>
      <c r="E236" s="15"/>
      <c r="F236" s="24" t="str">
        <f aca="false">IF(A236="","",SUMIFS(Hareketler!$D$5:$D$1504,Hareketler!$C$5:$C$1504,A236,Hareketler!$B$5:$B$1504,"Giriş"))</f>
        <v/>
      </c>
      <c r="G236" s="24" t="str">
        <f aca="false">IF(A236="","",SUMIFS(Hareketler!$D$5:$D$1504,Hareketler!$C$5:$C$1504,A236,Hareketler!$B$5:$B$1504,"Çıkış"))</f>
        <v/>
      </c>
      <c r="H236" s="32" t="str">
        <f aca="false">IF(A236="","",D236+F236-G236)</f>
        <v/>
      </c>
      <c r="I236" s="29" t="str">
        <f aca="false">IF(A236="","",H236*C236)</f>
        <v/>
      </c>
      <c r="J236" s="25" t="str">
        <f aca="false">IF(A236="","",IF(H236&lt;=0,"Tükendi",IF(H236&lt;=E236,"Kritik","Yeterli")))</f>
        <v/>
      </c>
      <c r="K236" s="33" t="str">
        <f aca="false">IF(A236="","",IF(SUMPRODUCT(MAX((Hareketler!$C$5:$C$1504=A236)*Hareketler!$A$5:$A$1504))=0,"",SUMPRODUCT(MAX((Hareketler!$C$5:$C$1504=A236)*Hareketler!$A$5:$A$1504))))</f>
        <v/>
      </c>
      <c r="L236" s="24" t="str">
        <f aca="true">IF(OR(A236="",K236=""),"",TODAY()-K236)</f>
        <v/>
      </c>
      <c r="M236" s="16" t="str">
        <f aca="false">IF(OR(J236="Tükendi",J236="Kritik"),ROW(),"")</f>
        <v/>
      </c>
      <c r="N236" s="16" t="str">
        <f aca="false">IF(A236="","",I236+ROW()/1000000)</f>
        <v/>
      </c>
    </row>
    <row r="237" customFormat="false" ht="15" hidden="false" customHeight="false" outlineLevel="0" collapsed="false">
      <c r="A237" s="14"/>
      <c r="B237" s="13"/>
      <c r="C237" s="31"/>
      <c r="D237" s="15"/>
      <c r="E237" s="15"/>
      <c r="F237" s="24" t="str">
        <f aca="false">IF(A237="","",SUMIFS(Hareketler!$D$5:$D$1504,Hareketler!$C$5:$C$1504,A237,Hareketler!$B$5:$B$1504,"Giriş"))</f>
        <v/>
      </c>
      <c r="G237" s="24" t="str">
        <f aca="false">IF(A237="","",SUMIFS(Hareketler!$D$5:$D$1504,Hareketler!$C$5:$C$1504,A237,Hareketler!$B$5:$B$1504,"Çıkış"))</f>
        <v/>
      </c>
      <c r="H237" s="32" t="str">
        <f aca="false">IF(A237="","",D237+F237-G237)</f>
        <v/>
      </c>
      <c r="I237" s="29" t="str">
        <f aca="false">IF(A237="","",H237*C237)</f>
        <v/>
      </c>
      <c r="J237" s="25" t="str">
        <f aca="false">IF(A237="","",IF(H237&lt;=0,"Tükendi",IF(H237&lt;=E237,"Kritik","Yeterli")))</f>
        <v/>
      </c>
      <c r="K237" s="33" t="str">
        <f aca="false">IF(A237="","",IF(SUMPRODUCT(MAX((Hareketler!$C$5:$C$1504=A237)*Hareketler!$A$5:$A$1504))=0,"",SUMPRODUCT(MAX((Hareketler!$C$5:$C$1504=A237)*Hareketler!$A$5:$A$1504))))</f>
        <v/>
      </c>
      <c r="L237" s="24" t="str">
        <f aca="true">IF(OR(A237="",K237=""),"",TODAY()-K237)</f>
        <v/>
      </c>
      <c r="M237" s="16" t="str">
        <f aca="false">IF(OR(J237="Tükendi",J237="Kritik"),ROW(),"")</f>
        <v/>
      </c>
      <c r="N237" s="16" t="str">
        <f aca="false">IF(A237="","",I237+ROW()/1000000)</f>
        <v/>
      </c>
    </row>
    <row r="238" customFormat="false" ht="15" hidden="false" customHeight="false" outlineLevel="0" collapsed="false">
      <c r="A238" s="14"/>
      <c r="B238" s="13"/>
      <c r="C238" s="31"/>
      <c r="D238" s="15"/>
      <c r="E238" s="15"/>
      <c r="F238" s="24" t="str">
        <f aca="false">IF(A238="","",SUMIFS(Hareketler!$D$5:$D$1504,Hareketler!$C$5:$C$1504,A238,Hareketler!$B$5:$B$1504,"Giriş"))</f>
        <v/>
      </c>
      <c r="G238" s="24" t="str">
        <f aca="false">IF(A238="","",SUMIFS(Hareketler!$D$5:$D$1504,Hareketler!$C$5:$C$1504,A238,Hareketler!$B$5:$B$1504,"Çıkış"))</f>
        <v/>
      </c>
      <c r="H238" s="32" t="str">
        <f aca="false">IF(A238="","",D238+F238-G238)</f>
        <v/>
      </c>
      <c r="I238" s="29" t="str">
        <f aca="false">IF(A238="","",H238*C238)</f>
        <v/>
      </c>
      <c r="J238" s="25" t="str">
        <f aca="false">IF(A238="","",IF(H238&lt;=0,"Tükendi",IF(H238&lt;=E238,"Kritik","Yeterli")))</f>
        <v/>
      </c>
      <c r="K238" s="33" t="str">
        <f aca="false">IF(A238="","",IF(SUMPRODUCT(MAX((Hareketler!$C$5:$C$1504=A238)*Hareketler!$A$5:$A$1504))=0,"",SUMPRODUCT(MAX((Hareketler!$C$5:$C$1504=A238)*Hareketler!$A$5:$A$1504))))</f>
        <v/>
      </c>
      <c r="L238" s="24" t="str">
        <f aca="true">IF(OR(A238="",K238=""),"",TODAY()-K238)</f>
        <v/>
      </c>
      <c r="M238" s="16" t="str">
        <f aca="false">IF(OR(J238="Tükendi",J238="Kritik"),ROW(),"")</f>
        <v/>
      </c>
      <c r="N238" s="16" t="str">
        <f aca="false">IF(A238="","",I238+ROW()/1000000)</f>
        <v/>
      </c>
    </row>
    <row r="239" customFormat="false" ht="15" hidden="false" customHeight="false" outlineLevel="0" collapsed="false">
      <c r="A239" s="14"/>
      <c r="B239" s="13"/>
      <c r="C239" s="31"/>
      <c r="D239" s="15"/>
      <c r="E239" s="15"/>
      <c r="F239" s="24" t="str">
        <f aca="false">IF(A239="","",SUMIFS(Hareketler!$D$5:$D$1504,Hareketler!$C$5:$C$1504,A239,Hareketler!$B$5:$B$1504,"Giriş"))</f>
        <v/>
      </c>
      <c r="G239" s="24" t="str">
        <f aca="false">IF(A239="","",SUMIFS(Hareketler!$D$5:$D$1504,Hareketler!$C$5:$C$1504,A239,Hareketler!$B$5:$B$1504,"Çıkış"))</f>
        <v/>
      </c>
      <c r="H239" s="32" t="str">
        <f aca="false">IF(A239="","",D239+F239-G239)</f>
        <v/>
      </c>
      <c r="I239" s="29" t="str">
        <f aca="false">IF(A239="","",H239*C239)</f>
        <v/>
      </c>
      <c r="J239" s="25" t="str">
        <f aca="false">IF(A239="","",IF(H239&lt;=0,"Tükendi",IF(H239&lt;=E239,"Kritik","Yeterli")))</f>
        <v/>
      </c>
      <c r="K239" s="33" t="str">
        <f aca="false">IF(A239="","",IF(SUMPRODUCT(MAX((Hareketler!$C$5:$C$1504=A239)*Hareketler!$A$5:$A$1504))=0,"",SUMPRODUCT(MAX((Hareketler!$C$5:$C$1504=A239)*Hareketler!$A$5:$A$1504))))</f>
        <v/>
      </c>
      <c r="L239" s="24" t="str">
        <f aca="true">IF(OR(A239="",K239=""),"",TODAY()-K239)</f>
        <v/>
      </c>
      <c r="M239" s="16" t="str">
        <f aca="false">IF(OR(J239="Tükendi",J239="Kritik"),ROW(),"")</f>
        <v/>
      </c>
      <c r="N239" s="16" t="str">
        <f aca="false">IF(A239="","",I239+ROW()/1000000)</f>
        <v/>
      </c>
    </row>
    <row r="240" customFormat="false" ht="15" hidden="false" customHeight="false" outlineLevel="0" collapsed="false">
      <c r="A240" s="14"/>
      <c r="B240" s="13"/>
      <c r="C240" s="31"/>
      <c r="D240" s="15"/>
      <c r="E240" s="15"/>
      <c r="F240" s="24" t="str">
        <f aca="false">IF(A240="","",SUMIFS(Hareketler!$D$5:$D$1504,Hareketler!$C$5:$C$1504,A240,Hareketler!$B$5:$B$1504,"Giriş"))</f>
        <v/>
      </c>
      <c r="G240" s="24" t="str">
        <f aca="false">IF(A240="","",SUMIFS(Hareketler!$D$5:$D$1504,Hareketler!$C$5:$C$1504,A240,Hareketler!$B$5:$B$1504,"Çıkış"))</f>
        <v/>
      </c>
      <c r="H240" s="32" t="str">
        <f aca="false">IF(A240="","",D240+F240-G240)</f>
        <v/>
      </c>
      <c r="I240" s="29" t="str">
        <f aca="false">IF(A240="","",H240*C240)</f>
        <v/>
      </c>
      <c r="J240" s="25" t="str">
        <f aca="false">IF(A240="","",IF(H240&lt;=0,"Tükendi",IF(H240&lt;=E240,"Kritik","Yeterli")))</f>
        <v/>
      </c>
      <c r="K240" s="33" t="str">
        <f aca="false">IF(A240="","",IF(SUMPRODUCT(MAX((Hareketler!$C$5:$C$1504=A240)*Hareketler!$A$5:$A$1504))=0,"",SUMPRODUCT(MAX((Hareketler!$C$5:$C$1504=A240)*Hareketler!$A$5:$A$1504))))</f>
        <v/>
      </c>
      <c r="L240" s="24" t="str">
        <f aca="true">IF(OR(A240="",K240=""),"",TODAY()-K240)</f>
        <v/>
      </c>
      <c r="M240" s="16" t="str">
        <f aca="false">IF(OR(J240="Tükendi",J240="Kritik"),ROW(),"")</f>
        <v/>
      </c>
      <c r="N240" s="16" t="str">
        <f aca="false">IF(A240="","",I240+ROW()/1000000)</f>
        <v/>
      </c>
    </row>
    <row r="241" customFormat="false" ht="15" hidden="false" customHeight="false" outlineLevel="0" collapsed="false">
      <c r="A241" s="14"/>
      <c r="B241" s="13"/>
      <c r="C241" s="31"/>
      <c r="D241" s="15"/>
      <c r="E241" s="15"/>
      <c r="F241" s="24" t="str">
        <f aca="false">IF(A241="","",SUMIFS(Hareketler!$D$5:$D$1504,Hareketler!$C$5:$C$1504,A241,Hareketler!$B$5:$B$1504,"Giriş"))</f>
        <v/>
      </c>
      <c r="G241" s="24" t="str">
        <f aca="false">IF(A241="","",SUMIFS(Hareketler!$D$5:$D$1504,Hareketler!$C$5:$C$1504,A241,Hareketler!$B$5:$B$1504,"Çıkış"))</f>
        <v/>
      </c>
      <c r="H241" s="32" t="str">
        <f aca="false">IF(A241="","",D241+F241-G241)</f>
        <v/>
      </c>
      <c r="I241" s="29" t="str">
        <f aca="false">IF(A241="","",H241*C241)</f>
        <v/>
      </c>
      <c r="J241" s="25" t="str">
        <f aca="false">IF(A241="","",IF(H241&lt;=0,"Tükendi",IF(H241&lt;=E241,"Kritik","Yeterli")))</f>
        <v/>
      </c>
      <c r="K241" s="33" t="str">
        <f aca="false">IF(A241="","",IF(SUMPRODUCT(MAX((Hareketler!$C$5:$C$1504=A241)*Hareketler!$A$5:$A$1504))=0,"",SUMPRODUCT(MAX((Hareketler!$C$5:$C$1504=A241)*Hareketler!$A$5:$A$1504))))</f>
        <v/>
      </c>
      <c r="L241" s="24" t="str">
        <f aca="true">IF(OR(A241="",K241=""),"",TODAY()-K241)</f>
        <v/>
      </c>
      <c r="M241" s="16" t="str">
        <f aca="false">IF(OR(J241="Tükendi",J241="Kritik"),ROW(),"")</f>
        <v/>
      </c>
      <c r="N241" s="16" t="str">
        <f aca="false">IF(A241="","",I241+ROW()/1000000)</f>
        <v/>
      </c>
    </row>
    <row r="242" customFormat="false" ht="15" hidden="false" customHeight="false" outlineLevel="0" collapsed="false">
      <c r="A242" s="14"/>
      <c r="B242" s="13"/>
      <c r="C242" s="31"/>
      <c r="D242" s="15"/>
      <c r="E242" s="15"/>
      <c r="F242" s="24" t="str">
        <f aca="false">IF(A242="","",SUMIFS(Hareketler!$D$5:$D$1504,Hareketler!$C$5:$C$1504,A242,Hareketler!$B$5:$B$1504,"Giriş"))</f>
        <v/>
      </c>
      <c r="G242" s="24" t="str">
        <f aca="false">IF(A242="","",SUMIFS(Hareketler!$D$5:$D$1504,Hareketler!$C$5:$C$1504,A242,Hareketler!$B$5:$B$1504,"Çıkış"))</f>
        <v/>
      </c>
      <c r="H242" s="32" t="str">
        <f aca="false">IF(A242="","",D242+F242-G242)</f>
        <v/>
      </c>
      <c r="I242" s="29" t="str">
        <f aca="false">IF(A242="","",H242*C242)</f>
        <v/>
      </c>
      <c r="J242" s="25" t="str">
        <f aca="false">IF(A242="","",IF(H242&lt;=0,"Tükendi",IF(H242&lt;=E242,"Kritik","Yeterli")))</f>
        <v/>
      </c>
      <c r="K242" s="33" t="str">
        <f aca="false">IF(A242="","",IF(SUMPRODUCT(MAX((Hareketler!$C$5:$C$1504=A242)*Hareketler!$A$5:$A$1504))=0,"",SUMPRODUCT(MAX((Hareketler!$C$5:$C$1504=A242)*Hareketler!$A$5:$A$1504))))</f>
        <v/>
      </c>
      <c r="L242" s="24" t="str">
        <f aca="true">IF(OR(A242="",K242=""),"",TODAY()-K242)</f>
        <v/>
      </c>
      <c r="M242" s="16" t="str">
        <f aca="false">IF(OR(J242="Tükendi",J242="Kritik"),ROW(),"")</f>
        <v/>
      </c>
      <c r="N242" s="16" t="str">
        <f aca="false">IF(A242="","",I242+ROW()/1000000)</f>
        <v/>
      </c>
    </row>
    <row r="243" customFormat="false" ht="15" hidden="false" customHeight="false" outlineLevel="0" collapsed="false">
      <c r="A243" s="14"/>
      <c r="B243" s="13"/>
      <c r="C243" s="31"/>
      <c r="D243" s="15"/>
      <c r="E243" s="15"/>
      <c r="F243" s="24" t="str">
        <f aca="false">IF(A243="","",SUMIFS(Hareketler!$D$5:$D$1504,Hareketler!$C$5:$C$1504,A243,Hareketler!$B$5:$B$1504,"Giriş"))</f>
        <v/>
      </c>
      <c r="G243" s="24" t="str">
        <f aca="false">IF(A243="","",SUMIFS(Hareketler!$D$5:$D$1504,Hareketler!$C$5:$C$1504,A243,Hareketler!$B$5:$B$1504,"Çıkış"))</f>
        <v/>
      </c>
      <c r="H243" s="32" t="str">
        <f aca="false">IF(A243="","",D243+F243-G243)</f>
        <v/>
      </c>
      <c r="I243" s="29" t="str">
        <f aca="false">IF(A243="","",H243*C243)</f>
        <v/>
      </c>
      <c r="J243" s="25" t="str">
        <f aca="false">IF(A243="","",IF(H243&lt;=0,"Tükendi",IF(H243&lt;=E243,"Kritik","Yeterli")))</f>
        <v/>
      </c>
      <c r="K243" s="33" t="str">
        <f aca="false">IF(A243="","",IF(SUMPRODUCT(MAX((Hareketler!$C$5:$C$1504=A243)*Hareketler!$A$5:$A$1504))=0,"",SUMPRODUCT(MAX((Hareketler!$C$5:$C$1504=A243)*Hareketler!$A$5:$A$1504))))</f>
        <v/>
      </c>
      <c r="L243" s="24" t="str">
        <f aca="true">IF(OR(A243="",K243=""),"",TODAY()-K243)</f>
        <v/>
      </c>
      <c r="M243" s="16" t="str">
        <f aca="false">IF(OR(J243="Tükendi",J243="Kritik"),ROW(),"")</f>
        <v/>
      </c>
      <c r="N243" s="16" t="str">
        <f aca="false">IF(A243="","",I243+ROW()/1000000)</f>
        <v/>
      </c>
    </row>
    <row r="244" customFormat="false" ht="15" hidden="false" customHeight="false" outlineLevel="0" collapsed="false">
      <c r="A244" s="14"/>
      <c r="B244" s="13"/>
      <c r="C244" s="31"/>
      <c r="D244" s="15"/>
      <c r="E244" s="15"/>
      <c r="F244" s="24" t="str">
        <f aca="false">IF(A244="","",SUMIFS(Hareketler!$D$5:$D$1504,Hareketler!$C$5:$C$1504,A244,Hareketler!$B$5:$B$1504,"Giriş"))</f>
        <v/>
      </c>
      <c r="G244" s="24" t="str">
        <f aca="false">IF(A244="","",SUMIFS(Hareketler!$D$5:$D$1504,Hareketler!$C$5:$C$1504,A244,Hareketler!$B$5:$B$1504,"Çıkış"))</f>
        <v/>
      </c>
      <c r="H244" s="32" t="str">
        <f aca="false">IF(A244="","",D244+F244-G244)</f>
        <v/>
      </c>
      <c r="I244" s="29" t="str">
        <f aca="false">IF(A244="","",H244*C244)</f>
        <v/>
      </c>
      <c r="J244" s="25" t="str">
        <f aca="false">IF(A244="","",IF(H244&lt;=0,"Tükendi",IF(H244&lt;=E244,"Kritik","Yeterli")))</f>
        <v/>
      </c>
      <c r="K244" s="33" t="str">
        <f aca="false">IF(A244="","",IF(SUMPRODUCT(MAX((Hareketler!$C$5:$C$1504=A244)*Hareketler!$A$5:$A$1504))=0,"",SUMPRODUCT(MAX((Hareketler!$C$5:$C$1504=A244)*Hareketler!$A$5:$A$1504))))</f>
        <v/>
      </c>
      <c r="L244" s="24" t="str">
        <f aca="true">IF(OR(A244="",K244=""),"",TODAY()-K244)</f>
        <v/>
      </c>
      <c r="M244" s="16" t="str">
        <f aca="false">IF(OR(J244="Tükendi",J244="Kritik"),ROW(),"")</f>
        <v/>
      </c>
      <c r="N244" s="16" t="str">
        <f aca="false">IF(A244="","",I244+ROW()/1000000)</f>
        <v/>
      </c>
    </row>
    <row r="245" customFormat="false" ht="15" hidden="false" customHeight="false" outlineLevel="0" collapsed="false">
      <c r="A245" s="14"/>
      <c r="B245" s="13"/>
      <c r="C245" s="31"/>
      <c r="D245" s="15"/>
      <c r="E245" s="15"/>
      <c r="F245" s="24" t="str">
        <f aca="false">IF(A245="","",SUMIFS(Hareketler!$D$5:$D$1504,Hareketler!$C$5:$C$1504,A245,Hareketler!$B$5:$B$1504,"Giriş"))</f>
        <v/>
      </c>
      <c r="G245" s="24" t="str">
        <f aca="false">IF(A245="","",SUMIFS(Hareketler!$D$5:$D$1504,Hareketler!$C$5:$C$1504,A245,Hareketler!$B$5:$B$1504,"Çıkış"))</f>
        <v/>
      </c>
      <c r="H245" s="32" t="str">
        <f aca="false">IF(A245="","",D245+F245-G245)</f>
        <v/>
      </c>
      <c r="I245" s="29" t="str">
        <f aca="false">IF(A245="","",H245*C245)</f>
        <v/>
      </c>
      <c r="J245" s="25" t="str">
        <f aca="false">IF(A245="","",IF(H245&lt;=0,"Tükendi",IF(H245&lt;=E245,"Kritik","Yeterli")))</f>
        <v/>
      </c>
      <c r="K245" s="33" t="str">
        <f aca="false">IF(A245="","",IF(SUMPRODUCT(MAX((Hareketler!$C$5:$C$1504=A245)*Hareketler!$A$5:$A$1504))=0,"",SUMPRODUCT(MAX((Hareketler!$C$5:$C$1504=A245)*Hareketler!$A$5:$A$1504))))</f>
        <v/>
      </c>
      <c r="L245" s="24" t="str">
        <f aca="true">IF(OR(A245="",K245=""),"",TODAY()-K245)</f>
        <v/>
      </c>
      <c r="M245" s="16" t="str">
        <f aca="false">IF(OR(J245="Tükendi",J245="Kritik"),ROW(),"")</f>
        <v/>
      </c>
      <c r="N245" s="16" t="str">
        <f aca="false">IF(A245="","",I245+ROW()/1000000)</f>
        <v/>
      </c>
    </row>
    <row r="246" customFormat="false" ht="15" hidden="false" customHeight="false" outlineLevel="0" collapsed="false">
      <c r="A246" s="14"/>
      <c r="B246" s="13"/>
      <c r="C246" s="31"/>
      <c r="D246" s="15"/>
      <c r="E246" s="15"/>
      <c r="F246" s="24" t="str">
        <f aca="false">IF(A246="","",SUMIFS(Hareketler!$D$5:$D$1504,Hareketler!$C$5:$C$1504,A246,Hareketler!$B$5:$B$1504,"Giriş"))</f>
        <v/>
      </c>
      <c r="G246" s="24" t="str">
        <f aca="false">IF(A246="","",SUMIFS(Hareketler!$D$5:$D$1504,Hareketler!$C$5:$C$1504,A246,Hareketler!$B$5:$B$1504,"Çıkış"))</f>
        <v/>
      </c>
      <c r="H246" s="32" t="str">
        <f aca="false">IF(A246="","",D246+F246-G246)</f>
        <v/>
      </c>
      <c r="I246" s="29" t="str">
        <f aca="false">IF(A246="","",H246*C246)</f>
        <v/>
      </c>
      <c r="J246" s="25" t="str">
        <f aca="false">IF(A246="","",IF(H246&lt;=0,"Tükendi",IF(H246&lt;=E246,"Kritik","Yeterli")))</f>
        <v/>
      </c>
      <c r="K246" s="33" t="str">
        <f aca="false">IF(A246="","",IF(SUMPRODUCT(MAX((Hareketler!$C$5:$C$1504=A246)*Hareketler!$A$5:$A$1504))=0,"",SUMPRODUCT(MAX((Hareketler!$C$5:$C$1504=A246)*Hareketler!$A$5:$A$1504))))</f>
        <v/>
      </c>
      <c r="L246" s="24" t="str">
        <f aca="true">IF(OR(A246="",K246=""),"",TODAY()-K246)</f>
        <v/>
      </c>
      <c r="M246" s="16" t="str">
        <f aca="false">IF(OR(J246="Tükendi",J246="Kritik"),ROW(),"")</f>
        <v/>
      </c>
      <c r="N246" s="16" t="str">
        <f aca="false">IF(A246="","",I246+ROW()/1000000)</f>
        <v/>
      </c>
    </row>
    <row r="247" customFormat="false" ht="15" hidden="false" customHeight="false" outlineLevel="0" collapsed="false">
      <c r="A247" s="14"/>
      <c r="B247" s="13"/>
      <c r="C247" s="31"/>
      <c r="D247" s="15"/>
      <c r="E247" s="15"/>
      <c r="F247" s="24" t="str">
        <f aca="false">IF(A247="","",SUMIFS(Hareketler!$D$5:$D$1504,Hareketler!$C$5:$C$1504,A247,Hareketler!$B$5:$B$1504,"Giriş"))</f>
        <v/>
      </c>
      <c r="G247" s="24" t="str">
        <f aca="false">IF(A247="","",SUMIFS(Hareketler!$D$5:$D$1504,Hareketler!$C$5:$C$1504,A247,Hareketler!$B$5:$B$1504,"Çıkış"))</f>
        <v/>
      </c>
      <c r="H247" s="32" t="str">
        <f aca="false">IF(A247="","",D247+F247-G247)</f>
        <v/>
      </c>
      <c r="I247" s="29" t="str">
        <f aca="false">IF(A247="","",H247*C247)</f>
        <v/>
      </c>
      <c r="J247" s="25" t="str">
        <f aca="false">IF(A247="","",IF(H247&lt;=0,"Tükendi",IF(H247&lt;=E247,"Kritik","Yeterli")))</f>
        <v/>
      </c>
      <c r="K247" s="33" t="str">
        <f aca="false">IF(A247="","",IF(SUMPRODUCT(MAX((Hareketler!$C$5:$C$1504=A247)*Hareketler!$A$5:$A$1504))=0,"",SUMPRODUCT(MAX((Hareketler!$C$5:$C$1504=A247)*Hareketler!$A$5:$A$1504))))</f>
        <v/>
      </c>
      <c r="L247" s="24" t="str">
        <f aca="true">IF(OR(A247="",K247=""),"",TODAY()-K247)</f>
        <v/>
      </c>
      <c r="M247" s="16" t="str">
        <f aca="false">IF(OR(J247="Tükendi",J247="Kritik"),ROW(),"")</f>
        <v/>
      </c>
      <c r="N247" s="16" t="str">
        <f aca="false">IF(A247="","",I247+ROW()/1000000)</f>
        <v/>
      </c>
    </row>
    <row r="248" customFormat="false" ht="15" hidden="false" customHeight="false" outlineLevel="0" collapsed="false">
      <c r="A248" s="14"/>
      <c r="B248" s="13"/>
      <c r="C248" s="31"/>
      <c r="D248" s="15"/>
      <c r="E248" s="15"/>
      <c r="F248" s="24" t="str">
        <f aca="false">IF(A248="","",SUMIFS(Hareketler!$D$5:$D$1504,Hareketler!$C$5:$C$1504,A248,Hareketler!$B$5:$B$1504,"Giriş"))</f>
        <v/>
      </c>
      <c r="G248" s="24" t="str">
        <f aca="false">IF(A248="","",SUMIFS(Hareketler!$D$5:$D$1504,Hareketler!$C$5:$C$1504,A248,Hareketler!$B$5:$B$1504,"Çıkış"))</f>
        <v/>
      </c>
      <c r="H248" s="32" t="str">
        <f aca="false">IF(A248="","",D248+F248-G248)</f>
        <v/>
      </c>
      <c r="I248" s="29" t="str">
        <f aca="false">IF(A248="","",H248*C248)</f>
        <v/>
      </c>
      <c r="J248" s="25" t="str">
        <f aca="false">IF(A248="","",IF(H248&lt;=0,"Tükendi",IF(H248&lt;=E248,"Kritik","Yeterli")))</f>
        <v/>
      </c>
      <c r="K248" s="33" t="str">
        <f aca="false">IF(A248="","",IF(SUMPRODUCT(MAX((Hareketler!$C$5:$C$1504=A248)*Hareketler!$A$5:$A$1504))=0,"",SUMPRODUCT(MAX((Hareketler!$C$5:$C$1504=A248)*Hareketler!$A$5:$A$1504))))</f>
        <v/>
      </c>
      <c r="L248" s="24" t="str">
        <f aca="true">IF(OR(A248="",K248=""),"",TODAY()-K248)</f>
        <v/>
      </c>
      <c r="M248" s="16" t="str">
        <f aca="false">IF(OR(J248="Tükendi",J248="Kritik"),ROW(),"")</f>
        <v/>
      </c>
      <c r="N248" s="16" t="str">
        <f aca="false">IF(A248="","",I248+ROW()/1000000)</f>
        <v/>
      </c>
    </row>
    <row r="249" customFormat="false" ht="15" hidden="false" customHeight="false" outlineLevel="0" collapsed="false">
      <c r="A249" s="14"/>
      <c r="B249" s="13"/>
      <c r="C249" s="31"/>
      <c r="D249" s="15"/>
      <c r="E249" s="15"/>
      <c r="F249" s="24" t="str">
        <f aca="false">IF(A249="","",SUMIFS(Hareketler!$D$5:$D$1504,Hareketler!$C$5:$C$1504,A249,Hareketler!$B$5:$B$1504,"Giriş"))</f>
        <v/>
      </c>
      <c r="G249" s="24" t="str">
        <f aca="false">IF(A249="","",SUMIFS(Hareketler!$D$5:$D$1504,Hareketler!$C$5:$C$1504,A249,Hareketler!$B$5:$B$1504,"Çıkış"))</f>
        <v/>
      </c>
      <c r="H249" s="32" t="str">
        <f aca="false">IF(A249="","",D249+F249-G249)</f>
        <v/>
      </c>
      <c r="I249" s="29" t="str">
        <f aca="false">IF(A249="","",H249*C249)</f>
        <v/>
      </c>
      <c r="J249" s="25" t="str">
        <f aca="false">IF(A249="","",IF(H249&lt;=0,"Tükendi",IF(H249&lt;=E249,"Kritik","Yeterli")))</f>
        <v/>
      </c>
      <c r="K249" s="33" t="str">
        <f aca="false">IF(A249="","",IF(SUMPRODUCT(MAX((Hareketler!$C$5:$C$1504=A249)*Hareketler!$A$5:$A$1504))=0,"",SUMPRODUCT(MAX((Hareketler!$C$5:$C$1504=A249)*Hareketler!$A$5:$A$1504))))</f>
        <v/>
      </c>
      <c r="L249" s="24" t="str">
        <f aca="true">IF(OR(A249="",K249=""),"",TODAY()-K249)</f>
        <v/>
      </c>
      <c r="M249" s="16" t="str">
        <f aca="false">IF(OR(J249="Tükendi",J249="Kritik"),ROW(),"")</f>
        <v/>
      </c>
      <c r="N249" s="16" t="str">
        <f aca="false">IF(A249="","",I249+ROW()/1000000)</f>
        <v/>
      </c>
    </row>
    <row r="250" customFormat="false" ht="15" hidden="false" customHeight="false" outlineLevel="0" collapsed="false">
      <c r="A250" s="14"/>
      <c r="B250" s="13"/>
      <c r="C250" s="31"/>
      <c r="D250" s="15"/>
      <c r="E250" s="15"/>
      <c r="F250" s="24" t="str">
        <f aca="false">IF(A250="","",SUMIFS(Hareketler!$D$5:$D$1504,Hareketler!$C$5:$C$1504,A250,Hareketler!$B$5:$B$1504,"Giriş"))</f>
        <v/>
      </c>
      <c r="G250" s="24" t="str">
        <f aca="false">IF(A250="","",SUMIFS(Hareketler!$D$5:$D$1504,Hareketler!$C$5:$C$1504,A250,Hareketler!$B$5:$B$1504,"Çıkış"))</f>
        <v/>
      </c>
      <c r="H250" s="32" t="str">
        <f aca="false">IF(A250="","",D250+F250-G250)</f>
        <v/>
      </c>
      <c r="I250" s="29" t="str">
        <f aca="false">IF(A250="","",H250*C250)</f>
        <v/>
      </c>
      <c r="J250" s="25" t="str">
        <f aca="false">IF(A250="","",IF(H250&lt;=0,"Tükendi",IF(H250&lt;=E250,"Kritik","Yeterli")))</f>
        <v/>
      </c>
      <c r="K250" s="33" t="str">
        <f aca="false">IF(A250="","",IF(SUMPRODUCT(MAX((Hareketler!$C$5:$C$1504=A250)*Hareketler!$A$5:$A$1504))=0,"",SUMPRODUCT(MAX((Hareketler!$C$5:$C$1504=A250)*Hareketler!$A$5:$A$1504))))</f>
        <v/>
      </c>
      <c r="L250" s="24" t="str">
        <f aca="true">IF(OR(A250="",K250=""),"",TODAY()-K250)</f>
        <v/>
      </c>
      <c r="M250" s="16" t="str">
        <f aca="false">IF(OR(J250="Tükendi",J250="Kritik"),ROW(),"")</f>
        <v/>
      </c>
      <c r="N250" s="16" t="str">
        <f aca="false">IF(A250="","",I250+ROW()/1000000)</f>
        <v/>
      </c>
    </row>
    <row r="251" customFormat="false" ht="15" hidden="false" customHeight="false" outlineLevel="0" collapsed="false">
      <c r="A251" s="14"/>
      <c r="B251" s="13"/>
      <c r="C251" s="31"/>
      <c r="D251" s="15"/>
      <c r="E251" s="15"/>
      <c r="F251" s="24" t="str">
        <f aca="false">IF(A251="","",SUMIFS(Hareketler!$D$5:$D$1504,Hareketler!$C$5:$C$1504,A251,Hareketler!$B$5:$B$1504,"Giriş"))</f>
        <v/>
      </c>
      <c r="G251" s="24" t="str">
        <f aca="false">IF(A251="","",SUMIFS(Hareketler!$D$5:$D$1504,Hareketler!$C$5:$C$1504,A251,Hareketler!$B$5:$B$1504,"Çıkış"))</f>
        <v/>
      </c>
      <c r="H251" s="32" t="str">
        <f aca="false">IF(A251="","",D251+F251-G251)</f>
        <v/>
      </c>
      <c r="I251" s="29" t="str">
        <f aca="false">IF(A251="","",H251*C251)</f>
        <v/>
      </c>
      <c r="J251" s="25" t="str">
        <f aca="false">IF(A251="","",IF(H251&lt;=0,"Tükendi",IF(H251&lt;=E251,"Kritik","Yeterli")))</f>
        <v/>
      </c>
      <c r="K251" s="33" t="str">
        <f aca="false">IF(A251="","",IF(SUMPRODUCT(MAX((Hareketler!$C$5:$C$1504=A251)*Hareketler!$A$5:$A$1504))=0,"",SUMPRODUCT(MAX((Hareketler!$C$5:$C$1504=A251)*Hareketler!$A$5:$A$1504))))</f>
        <v/>
      </c>
      <c r="L251" s="24" t="str">
        <f aca="true">IF(OR(A251="",K251=""),"",TODAY()-K251)</f>
        <v/>
      </c>
      <c r="M251" s="16" t="str">
        <f aca="false">IF(OR(J251="Tükendi",J251="Kritik"),ROW(),"")</f>
        <v/>
      </c>
      <c r="N251" s="16" t="str">
        <f aca="false">IF(A251="","",I251+ROW()/1000000)</f>
        <v/>
      </c>
    </row>
    <row r="252" customFormat="false" ht="15" hidden="false" customHeight="false" outlineLevel="0" collapsed="false">
      <c r="A252" s="14"/>
      <c r="B252" s="13"/>
      <c r="C252" s="31"/>
      <c r="D252" s="15"/>
      <c r="E252" s="15"/>
      <c r="F252" s="24" t="str">
        <f aca="false">IF(A252="","",SUMIFS(Hareketler!$D$5:$D$1504,Hareketler!$C$5:$C$1504,A252,Hareketler!$B$5:$B$1504,"Giriş"))</f>
        <v/>
      </c>
      <c r="G252" s="24" t="str">
        <f aca="false">IF(A252="","",SUMIFS(Hareketler!$D$5:$D$1504,Hareketler!$C$5:$C$1504,A252,Hareketler!$B$5:$B$1504,"Çıkış"))</f>
        <v/>
      </c>
      <c r="H252" s="32" t="str">
        <f aca="false">IF(A252="","",D252+F252-G252)</f>
        <v/>
      </c>
      <c r="I252" s="29" t="str">
        <f aca="false">IF(A252="","",H252*C252)</f>
        <v/>
      </c>
      <c r="J252" s="25" t="str">
        <f aca="false">IF(A252="","",IF(H252&lt;=0,"Tükendi",IF(H252&lt;=E252,"Kritik","Yeterli")))</f>
        <v/>
      </c>
      <c r="K252" s="33" t="str">
        <f aca="false">IF(A252="","",IF(SUMPRODUCT(MAX((Hareketler!$C$5:$C$1504=A252)*Hareketler!$A$5:$A$1504))=0,"",SUMPRODUCT(MAX((Hareketler!$C$5:$C$1504=A252)*Hareketler!$A$5:$A$1504))))</f>
        <v/>
      </c>
      <c r="L252" s="24" t="str">
        <f aca="true">IF(OR(A252="",K252=""),"",TODAY()-K252)</f>
        <v/>
      </c>
      <c r="M252" s="16" t="str">
        <f aca="false">IF(OR(J252="Tükendi",J252="Kritik"),ROW(),"")</f>
        <v/>
      </c>
      <c r="N252" s="16" t="str">
        <f aca="false">IF(A252="","",I252+ROW()/1000000)</f>
        <v/>
      </c>
    </row>
    <row r="253" customFormat="false" ht="15" hidden="false" customHeight="false" outlineLevel="0" collapsed="false">
      <c r="A253" s="14"/>
      <c r="B253" s="13"/>
      <c r="C253" s="31"/>
      <c r="D253" s="15"/>
      <c r="E253" s="15"/>
      <c r="F253" s="24" t="str">
        <f aca="false">IF(A253="","",SUMIFS(Hareketler!$D$5:$D$1504,Hareketler!$C$5:$C$1504,A253,Hareketler!$B$5:$B$1504,"Giriş"))</f>
        <v/>
      </c>
      <c r="G253" s="24" t="str">
        <f aca="false">IF(A253="","",SUMIFS(Hareketler!$D$5:$D$1504,Hareketler!$C$5:$C$1504,A253,Hareketler!$B$5:$B$1504,"Çıkış"))</f>
        <v/>
      </c>
      <c r="H253" s="32" t="str">
        <f aca="false">IF(A253="","",D253+F253-G253)</f>
        <v/>
      </c>
      <c r="I253" s="29" t="str">
        <f aca="false">IF(A253="","",H253*C253)</f>
        <v/>
      </c>
      <c r="J253" s="25" t="str">
        <f aca="false">IF(A253="","",IF(H253&lt;=0,"Tükendi",IF(H253&lt;=E253,"Kritik","Yeterli")))</f>
        <v/>
      </c>
      <c r="K253" s="33" t="str">
        <f aca="false">IF(A253="","",IF(SUMPRODUCT(MAX((Hareketler!$C$5:$C$1504=A253)*Hareketler!$A$5:$A$1504))=0,"",SUMPRODUCT(MAX((Hareketler!$C$5:$C$1504=A253)*Hareketler!$A$5:$A$1504))))</f>
        <v/>
      </c>
      <c r="L253" s="24" t="str">
        <f aca="true">IF(OR(A253="",K253=""),"",TODAY()-K253)</f>
        <v/>
      </c>
      <c r="M253" s="16" t="str">
        <f aca="false">IF(OR(J253="Tükendi",J253="Kritik"),ROW(),"")</f>
        <v/>
      </c>
      <c r="N253" s="16" t="str">
        <f aca="false">IF(A253="","",I253+ROW()/1000000)</f>
        <v/>
      </c>
    </row>
    <row r="254" customFormat="false" ht="15" hidden="false" customHeight="false" outlineLevel="0" collapsed="false">
      <c r="A254" s="14"/>
      <c r="B254" s="13"/>
      <c r="C254" s="31"/>
      <c r="D254" s="15"/>
      <c r="E254" s="15"/>
      <c r="F254" s="24" t="str">
        <f aca="false">IF(A254="","",SUMIFS(Hareketler!$D$5:$D$1504,Hareketler!$C$5:$C$1504,A254,Hareketler!$B$5:$B$1504,"Giriş"))</f>
        <v/>
      </c>
      <c r="G254" s="24" t="str">
        <f aca="false">IF(A254="","",SUMIFS(Hareketler!$D$5:$D$1504,Hareketler!$C$5:$C$1504,A254,Hareketler!$B$5:$B$1504,"Çıkış"))</f>
        <v/>
      </c>
      <c r="H254" s="32" t="str">
        <f aca="false">IF(A254="","",D254+F254-G254)</f>
        <v/>
      </c>
      <c r="I254" s="29" t="str">
        <f aca="false">IF(A254="","",H254*C254)</f>
        <v/>
      </c>
      <c r="J254" s="25" t="str">
        <f aca="false">IF(A254="","",IF(H254&lt;=0,"Tükendi",IF(H254&lt;=E254,"Kritik","Yeterli")))</f>
        <v/>
      </c>
      <c r="K254" s="33" t="str">
        <f aca="false">IF(A254="","",IF(SUMPRODUCT(MAX((Hareketler!$C$5:$C$1504=A254)*Hareketler!$A$5:$A$1504))=0,"",SUMPRODUCT(MAX((Hareketler!$C$5:$C$1504=A254)*Hareketler!$A$5:$A$1504))))</f>
        <v/>
      </c>
      <c r="L254" s="24" t="str">
        <f aca="true">IF(OR(A254="",K254=""),"",TODAY()-K254)</f>
        <v/>
      </c>
      <c r="M254" s="16" t="str">
        <f aca="false">IF(OR(J254="Tükendi",J254="Kritik"),ROW(),"")</f>
        <v/>
      </c>
      <c r="N254" s="16" t="str">
        <f aca="false">IF(A254="","",I254+ROW()/1000000)</f>
        <v/>
      </c>
    </row>
    <row r="255" customFormat="false" ht="15" hidden="false" customHeight="false" outlineLevel="0" collapsed="false">
      <c r="A255" s="14"/>
      <c r="B255" s="13"/>
      <c r="C255" s="31"/>
      <c r="D255" s="15"/>
      <c r="E255" s="15"/>
      <c r="F255" s="24" t="str">
        <f aca="false">IF(A255="","",SUMIFS(Hareketler!$D$5:$D$1504,Hareketler!$C$5:$C$1504,A255,Hareketler!$B$5:$B$1504,"Giriş"))</f>
        <v/>
      </c>
      <c r="G255" s="24" t="str">
        <f aca="false">IF(A255="","",SUMIFS(Hareketler!$D$5:$D$1504,Hareketler!$C$5:$C$1504,A255,Hareketler!$B$5:$B$1504,"Çıkış"))</f>
        <v/>
      </c>
      <c r="H255" s="32" t="str">
        <f aca="false">IF(A255="","",D255+F255-G255)</f>
        <v/>
      </c>
      <c r="I255" s="29" t="str">
        <f aca="false">IF(A255="","",H255*C255)</f>
        <v/>
      </c>
      <c r="J255" s="25" t="str">
        <f aca="false">IF(A255="","",IF(H255&lt;=0,"Tükendi",IF(H255&lt;=E255,"Kritik","Yeterli")))</f>
        <v/>
      </c>
      <c r="K255" s="33" t="str">
        <f aca="false">IF(A255="","",IF(SUMPRODUCT(MAX((Hareketler!$C$5:$C$1504=A255)*Hareketler!$A$5:$A$1504))=0,"",SUMPRODUCT(MAX((Hareketler!$C$5:$C$1504=A255)*Hareketler!$A$5:$A$1504))))</f>
        <v/>
      </c>
      <c r="L255" s="24" t="str">
        <f aca="true">IF(OR(A255="",K255=""),"",TODAY()-K255)</f>
        <v/>
      </c>
      <c r="M255" s="16" t="str">
        <f aca="false">IF(OR(J255="Tükendi",J255="Kritik"),ROW(),"")</f>
        <v/>
      </c>
      <c r="N255" s="16" t="str">
        <f aca="false">IF(A255="","",I255+ROW()/1000000)</f>
        <v/>
      </c>
    </row>
    <row r="256" customFormat="false" ht="15" hidden="false" customHeight="false" outlineLevel="0" collapsed="false">
      <c r="A256" s="14"/>
      <c r="B256" s="13"/>
      <c r="C256" s="31"/>
      <c r="D256" s="15"/>
      <c r="E256" s="15"/>
      <c r="F256" s="24" t="str">
        <f aca="false">IF(A256="","",SUMIFS(Hareketler!$D$5:$D$1504,Hareketler!$C$5:$C$1504,A256,Hareketler!$B$5:$B$1504,"Giriş"))</f>
        <v/>
      </c>
      <c r="G256" s="24" t="str">
        <f aca="false">IF(A256="","",SUMIFS(Hareketler!$D$5:$D$1504,Hareketler!$C$5:$C$1504,A256,Hareketler!$B$5:$B$1504,"Çıkış"))</f>
        <v/>
      </c>
      <c r="H256" s="32" t="str">
        <f aca="false">IF(A256="","",D256+F256-G256)</f>
        <v/>
      </c>
      <c r="I256" s="29" t="str">
        <f aca="false">IF(A256="","",H256*C256)</f>
        <v/>
      </c>
      <c r="J256" s="25" t="str">
        <f aca="false">IF(A256="","",IF(H256&lt;=0,"Tükendi",IF(H256&lt;=E256,"Kritik","Yeterli")))</f>
        <v/>
      </c>
      <c r="K256" s="33" t="str">
        <f aca="false">IF(A256="","",IF(SUMPRODUCT(MAX((Hareketler!$C$5:$C$1504=A256)*Hareketler!$A$5:$A$1504))=0,"",SUMPRODUCT(MAX((Hareketler!$C$5:$C$1504=A256)*Hareketler!$A$5:$A$1504))))</f>
        <v/>
      </c>
      <c r="L256" s="24" t="str">
        <f aca="true">IF(OR(A256="",K256=""),"",TODAY()-K256)</f>
        <v/>
      </c>
      <c r="M256" s="16" t="str">
        <f aca="false">IF(OR(J256="Tükendi",J256="Kritik"),ROW(),"")</f>
        <v/>
      </c>
      <c r="N256" s="16" t="str">
        <f aca="false">IF(A256="","",I256+ROW()/1000000)</f>
        <v/>
      </c>
    </row>
    <row r="257" customFormat="false" ht="15" hidden="false" customHeight="false" outlineLevel="0" collapsed="false">
      <c r="A257" s="14"/>
      <c r="B257" s="13"/>
      <c r="C257" s="31"/>
      <c r="D257" s="15"/>
      <c r="E257" s="15"/>
      <c r="F257" s="24" t="str">
        <f aca="false">IF(A257="","",SUMIFS(Hareketler!$D$5:$D$1504,Hareketler!$C$5:$C$1504,A257,Hareketler!$B$5:$B$1504,"Giriş"))</f>
        <v/>
      </c>
      <c r="G257" s="24" t="str">
        <f aca="false">IF(A257="","",SUMIFS(Hareketler!$D$5:$D$1504,Hareketler!$C$5:$C$1504,A257,Hareketler!$B$5:$B$1504,"Çıkış"))</f>
        <v/>
      </c>
      <c r="H257" s="32" t="str">
        <f aca="false">IF(A257="","",D257+F257-G257)</f>
        <v/>
      </c>
      <c r="I257" s="29" t="str">
        <f aca="false">IF(A257="","",H257*C257)</f>
        <v/>
      </c>
      <c r="J257" s="25" t="str">
        <f aca="false">IF(A257="","",IF(H257&lt;=0,"Tükendi",IF(H257&lt;=E257,"Kritik","Yeterli")))</f>
        <v/>
      </c>
      <c r="K257" s="33" t="str">
        <f aca="false">IF(A257="","",IF(SUMPRODUCT(MAX((Hareketler!$C$5:$C$1504=A257)*Hareketler!$A$5:$A$1504))=0,"",SUMPRODUCT(MAX((Hareketler!$C$5:$C$1504=A257)*Hareketler!$A$5:$A$1504))))</f>
        <v/>
      </c>
      <c r="L257" s="24" t="str">
        <f aca="true">IF(OR(A257="",K257=""),"",TODAY()-K257)</f>
        <v/>
      </c>
      <c r="M257" s="16" t="str">
        <f aca="false">IF(OR(J257="Tükendi",J257="Kritik"),ROW(),"")</f>
        <v/>
      </c>
      <c r="N257" s="16" t="str">
        <f aca="false">IF(A257="","",I257+ROW()/1000000)</f>
        <v/>
      </c>
    </row>
    <row r="258" customFormat="false" ht="15" hidden="false" customHeight="false" outlineLevel="0" collapsed="false">
      <c r="A258" s="14"/>
      <c r="B258" s="13"/>
      <c r="C258" s="31"/>
      <c r="D258" s="15"/>
      <c r="E258" s="15"/>
      <c r="F258" s="24" t="str">
        <f aca="false">IF(A258="","",SUMIFS(Hareketler!$D$5:$D$1504,Hareketler!$C$5:$C$1504,A258,Hareketler!$B$5:$B$1504,"Giriş"))</f>
        <v/>
      </c>
      <c r="G258" s="24" t="str">
        <f aca="false">IF(A258="","",SUMIFS(Hareketler!$D$5:$D$1504,Hareketler!$C$5:$C$1504,A258,Hareketler!$B$5:$B$1504,"Çıkış"))</f>
        <v/>
      </c>
      <c r="H258" s="32" t="str">
        <f aca="false">IF(A258="","",D258+F258-G258)</f>
        <v/>
      </c>
      <c r="I258" s="29" t="str">
        <f aca="false">IF(A258="","",H258*C258)</f>
        <v/>
      </c>
      <c r="J258" s="25" t="str">
        <f aca="false">IF(A258="","",IF(H258&lt;=0,"Tükendi",IF(H258&lt;=E258,"Kritik","Yeterli")))</f>
        <v/>
      </c>
      <c r="K258" s="33" t="str">
        <f aca="false">IF(A258="","",IF(SUMPRODUCT(MAX((Hareketler!$C$5:$C$1504=A258)*Hareketler!$A$5:$A$1504))=0,"",SUMPRODUCT(MAX((Hareketler!$C$5:$C$1504=A258)*Hareketler!$A$5:$A$1504))))</f>
        <v/>
      </c>
      <c r="L258" s="24" t="str">
        <f aca="true">IF(OR(A258="",K258=""),"",TODAY()-K258)</f>
        <v/>
      </c>
      <c r="M258" s="16" t="str">
        <f aca="false">IF(OR(J258="Tükendi",J258="Kritik"),ROW(),"")</f>
        <v/>
      </c>
      <c r="N258" s="16" t="str">
        <f aca="false">IF(A258="","",I258+ROW()/1000000)</f>
        <v/>
      </c>
    </row>
    <row r="259" customFormat="false" ht="15" hidden="false" customHeight="false" outlineLevel="0" collapsed="false">
      <c r="A259" s="14"/>
      <c r="B259" s="13"/>
      <c r="C259" s="31"/>
      <c r="D259" s="15"/>
      <c r="E259" s="15"/>
      <c r="F259" s="24" t="str">
        <f aca="false">IF(A259="","",SUMIFS(Hareketler!$D$5:$D$1504,Hareketler!$C$5:$C$1504,A259,Hareketler!$B$5:$B$1504,"Giriş"))</f>
        <v/>
      </c>
      <c r="G259" s="24" t="str">
        <f aca="false">IF(A259="","",SUMIFS(Hareketler!$D$5:$D$1504,Hareketler!$C$5:$C$1504,A259,Hareketler!$B$5:$B$1504,"Çıkış"))</f>
        <v/>
      </c>
      <c r="H259" s="32" t="str">
        <f aca="false">IF(A259="","",D259+F259-G259)</f>
        <v/>
      </c>
      <c r="I259" s="29" t="str">
        <f aca="false">IF(A259="","",H259*C259)</f>
        <v/>
      </c>
      <c r="J259" s="25" t="str">
        <f aca="false">IF(A259="","",IF(H259&lt;=0,"Tükendi",IF(H259&lt;=E259,"Kritik","Yeterli")))</f>
        <v/>
      </c>
      <c r="K259" s="33" t="str">
        <f aca="false">IF(A259="","",IF(SUMPRODUCT(MAX((Hareketler!$C$5:$C$1504=A259)*Hareketler!$A$5:$A$1504))=0,"",SUMPRODUCT(MAX((Hareketler!$C$5:$C$1504=A259)*Hareketler!$A$5:$A$1504))))</f>
        <v/>
      </c>
      <c r="L259" s="24" t="str">
        <f aca="true">IF(OR(A259="",K259=""),"",TODAY()-K259)</f>
        <v/>
      </c>
      <c r="M259" s="16" t="str">
        <f aca="false">IF(OR(J259="Tükendi",J259="Kritik"),ROW(),"")</f>
        <v/>
      </c>
      <c r="N259" s="16" t="str">
        <f aca="false">IF(A259="","",I259+ROW()/1000000)</f>
        <v/>
      </c>
    </row>
    <row r="260" customFormat="false" ht="15" hidden="false" customHeight="false" outlineLevel="0" collapsed="false">
      <c r="A260" s="14"/>
      <c r="B260" s="13"/>
      <c r="C260" s="31"/>
      <c r="D260" s="15"/>
      <c r="E260" s="15"/>
      <c r="F260" s="24" t="str">
        <f aca="false">IF(A260="","",SUMIFS(Hareketler!$D$5:$D$1504,Hareketler!$C$5:$C$1504,A260,Hareketler!$B$5:$B$1504,"Giriş"))</f>
        <v/>
      </c>
      <c r="G260" s="24" t="str">
        <f aca="false">IF(A260="","",SUMIFS(Hareketler!$D$5:$D$1504,Hareketler!$C$5:$C$1504,A260,Hareketler!$B$5:$B$1504,"Çıkış"))</f>
        <v/>
      </c>
      <c r="H260" s="32" t="str">
        <f aca="false">IF(A260="","",D260+F260-G260)</f>
        <v/>
      </c>
      <c r="I260" s="29" t="str">
        <f aca="false">IF(A260="","",H260*C260)</f>
        <v/>
      </c>
      <c r="J260" s="25" t="str">
        <f aca="false">IF(A260="","",IF(H260&lt;=0,"Tükendi",IF(H260&lt;=E260,"Kritik","Yeterli")))</f>
        <v/>
      </c>
      <c r="K260" s="33" t="str">
        <f aca="false">IF(A260="","",IF(SUMPRODUCT(MAX((Hareketler!$C$5:$C$1504=A260)*Hareketler!$A$5:$A$1504))=0,"",SUMPRODUCT(MAX((Hareketler!$C$5:$C$1504=A260)*Hareketler!$A$5:$A$1504))))</f>
        <v/>
      </c>
      <c r="L260" s="24" t="str">
        <f aca="true">IF(OR(A260="",K260=""),"",TODAY()-K260)</f>
        <v/>
      </c>
      <c r="M260" s="16" t="str">
        <f aca="false">IF(OR(J260="Tükendi",J260="Kritik"),ROW(),"")</f>
        <v/>
      </c>
      <c r="N260" s="16" t="str">
        <f aca="false">IF(A260="","",I260+ROW()/1000000)</f>
        <v/>
      </c>
    </row>
    <row r="261" customFormat="false" ht="15" hidden="false" customHeight="false" outlineLevel="0" collapsed="false">
      <c r="A261" s="14"/>
      <c r="B261" s="13"/>
      <c r="C261" s="31"/>
      <c r="D261" s="15"/>
      <c r="E261" s="15"/>
      <c r="F261" s="24" t="str">
        <f aca="false">IF(A261="","",SUMIFS(Hareketler!$D$5:$D$1504,Hareketler!$C$5:$C$1504,A261,Hareketler!$B$5:$B$1504,"Giriş"))</f>
        <v/>
      </c>
      <c r="G261" s="24" t="str">
        <f aca="false">IF(A261="","",SUMIFS(Hareketler!$D$5:$D$1504,Hareketler!$C$5:$C$1504,A261,Hareketler!$B$5:$B$1504,"Çıkış"))</f>
        <v/>
      </c>
      <c r="H261" s="32" t="str">
        <f aca="false">IF(A261="","",D261+F261-G261)</f>
        <v/>
      </c>
      <c r="I261" s="29" t="str">
        <f aca="false">IF(A261="","",H261*C261)</f>
        <v/>
      </c>
      <c r="J261" s="25" t="str">
        <f aca="false">IF(A261="","",IF(H261&lt;=0,"Tükendi",IF(H261&lt;=E261,"Kritik","Yeterli")))</f>
        <v/>
      </c>
      <c r="K261" s="33" t="str">
        <f aca="false">IF(A261="","",IF(SUMPRODUCT(MAX((Hareketler!$C$5:$C$1504=A261)*Hareketler!$A$5:$A$1504))=0,"",SUMPRODUCT(MAX((Hareketler!$C$5:$C$1504=A261)*Hareketler!$A$5:$A$1504))))</f>
        <v/>
      </c>
      <c r="L261" s="24" t="str">
        <f aca="true">IF(OR(A261="",K261=""),"",TODAY()-K261)</f>
        <v/>
      </c>
      <c r="M261" s="16" t="str">
        <f aca="false">IF(OR(J261="Tükendi",J261="Kritik"),ROW(),"")</f>
        <v/>
      </c>
      <c r="N261" s="16" t="str">
        <f aca="false">IF(A261="","",I261+ROW()/1000000)</f>
        <v/>
      </c>
    </row>
    <row r="262" customFormat="false" ht="15" hidden="false" customHeight="false" outlineLevel="0" collapsed="false">
      <c r="A262" s="14"/>
      <c r="B262" s="13"/>
      <c r="C262" s="31"/>
      <c r="D262" s="15"/>
      <c r="E262" s="15"/>
      <c r="F262" s="24" t="str">
        <f aca="false">IF(A262="","",SUMIFS(Hareketler!$D$5:$D$1504,Hareketler!$C$5:$C$1504,A262,Hareketler!$B$5:$B$1504,"Giriş"))</f>
        <v/>
      </c>
      <c r="G262" s="24" t="str">
        <f aca="false">IF(A262="","",SUMIFS(Hareketler!$D$5:$D$1504,Hareketler!$C$5:$C$1504,A262,Hareketler!$B$5:$B$1504,"Çıkış"))</f>
        <v/>
      </c>
      <c r="H262" s="32" t="str">
        <f aca="false">IF(A262="","",D262+F262-G262)</f>
        <v/>
      </c>
      <c r="I262" s="29" t="str">
        <f aca="false">IF(A262="","",H262*C262)</f>
        <v/>
      </c>
      <c r="J262" s="25" t="str">
        <f aca="false">IF(A262="","",IF(H262&lt;=0,"Tükendi",IF(H262&lt;=E262,"Kritik","Yeterli")))</f>
        <v/>
      </c>
      <c r="K262" s="33" t="str">
        <f aca="false">IF(A262="","",IF(SUMPRODUCT(MAX((Hareketler!$C$5:$C$1504=A262)*Hareketler!$A$5:$A$1504))=0,"",SUMPRODUCT(MAX((Hareketler!$C$5:$C$1504=A262)*Hareketler!$A$5:$A$1504))))</f>
        <v/>
      </c>
      <c r="L262" s="24" t="str">
        <f aca="true">IF(OR(A262="",K262=""),"",TODAY()-K262)</f>
        <v/>
      </c>
      <c r="M262" s="16" t="str">
        <f aca="false">IF(OR(J262="Tükendi",J262="Kritik"),ROW(),"")</f>
        <v/>
      </c>
      <c r="N262" s="16" t="str">
        <f aca="false">IF(A262="","",I262+ROW()/1000000)</f>
        <v/>
      </c>
    </row>
    <row r="263" customFormat="false" ht="15" hidden="false" customHeight="false" outlineLevel="0" collapsed="false">
      <c r="A263" s="14"/>
      <c r="B263" s="13"/>
      <c r="C263" s="31"/>
      <c r="D263" s="15"/>
      <c r="E263" s="15"/>
      <c r="F263" s="24" t="str">
        <f aca="false">IF(A263="","",SUMIFS(Hareketler!$D$5:$D$1504,Hareketler!$C$5:$C$1504,A263,Hareketler!$B$5:$B$1504,"Giriş"))</f>
        <v/>
      </c>
      <c r="G263" s="24" t="str">
        <f aca="false">IF(A263="","",SUMIFS(Hareketler!$D$5:$D$1504,Hareketler!$C$5:$C$1504,A263,Hareketler!$B$5:$B$1504,"Çıkış"))</f>
        <v/>
      </c>
      <c r="H263" s="32" t="str">
        <f aca="false">IF(A263="","",D263+F263-G263)</f>
        <v/>
      </c>
      <c r="I263" s="29" t="str">
        <f aca="false">IF(A263="","",H263*C263)</f>
        <v/>
      </c>
      <c r="J263" s="25" t="str">
        <f aca="false">IF(A263="","",IF(H263&lt;=0,"Tükendi",IF(H263&lt;=E263,"Kritik","Yeterli")))</f>
        <v/>
      </c>
      <c r="K263" s="33" t="str">
        <f aca="false">IF(A263="","",IF(SUMPRODUCT(MAX((Hareketler!$C$5:$C$1504=A263)*Hareketler!$A$5:$A$1504))=0,"",SUMPRODUCT(MAX((Hareketler!$C$5:$C$1504=A263)*Hareketler!$A$5:$A$1504))))</f>
        <v/>
      </c>
      <c r="L263" s="24" t="str">
        <f aca="true">IF(OR(A263="",K263=""),"",TODAY()-K263)</f>
        <v/>
      </c>
      <c r="M263" s="16" t="str">
        <f aca="false">IF(OR(J263="Tükendi",J263="Kritik"),ROW(),"")</f>
        <v/>
      </c>
      <c r="N263" s="16" t="str">
        <f aca="false">IF(A263="","",I263+ROW()/1000000)</f>
        <v/>
      </c>
    </row>
    <row r="264" customFormat="false" ht="15" hidden="false" customHeight="false" outlineLevel="0" collapsed="false">
      <c r="A264" s="14"/>
      <c r="B264" s="13"/>
      <c r="C264" s="31"/>
      <c r="D264" s="15"/>
      <c r="E264" s="15"/>
      <c r="F264" s="24" t="str">
        <f aca="false">IF(A264="","",SUMIFS(Hareketler!$D$5:$D$1504,Hareketler!$C$5:$C$1504,A264,Hareketler!$B$5:$B$1504,"Giriş"))</f>
        <v/>
      </c>
      <c r="G264" s="24" t="str">
        <f aca="false">IF(A264="","",SUMIFS(Hareketler!$D$5:$D$1504,Hareketler!$C$5:$C$1504,A264,Hareketler!$B$5:$B$1504,"Çıkış"))</f>
        <v/>
      </c>
      <c r="H264" s="32" t="str">
        <f aca="false">IF(A264="","",D264+F264-G264)</f>
        <v/>
      </c>
      <c r="I264" s="29" t="str">
        <f aca="false">IF(A264="","",H264*C264)</f>
        <v/>
      </c>
      <c r="J264" s="25" t="str">
        <f aca="false">IF(A264="","",IF(H264&lt;=0,"Tükendi",IF(H264&lt;=E264,"Kritik","Yeterli")))</f>
        <v/>
      </c>
      <c r="K264" s="33" t="str">
        <f aca="false">IF(A264="","",IF(SUMPRODUCT(MAX((Hareketler!$C$5:$C$1504=A264)*Hareketler!$A$5:$A$1504))=0,"",SUMPRODUCT(MAX((Hareketler!$C$5:$C$1504=A264)*Hareketler!$A$5:$A$1504))))</f>
        <v/>
      </c>
      <c r="L264" s="24" t="str">
        <f aca="true">IF(OR(A264="",K264=""),"",TODAY()-K264)</f>
        <v/>
      </c>
      <c r="M264" s="16" t="str">
        <f aca="false">IF(OR(J264="Tükendi",J264="Kritik"),ROW(),"")</f>
        <v/>
      </c>
      <c r="N264" s="16" t="str">
        <f aca="false">IF(A264="","",I264+ROW()/1000000)</f>
        <v/>
      </c>
    </row>
    <row r="265" customFormat="false" ht="15" hidden="false" customHeight="false" outlineLevel="0" collapsed="false">
      <c r="A265" s="14"/>
      <c r="B265" s="13"/>
      <c r="C265" s="31"/>
      <c r="D265" s="15"/>
      <c r="E265" s="15"/>
      <c r="F265" s="24" t="str">
        <f aca="false">IF(A265="","",SUMIFS(Hareketler!$D$5:$D$1504,Hareketler!$C$5:$C$1504,A265,Hareketler!$B$5:$B$1504,"Giriş"))</f>
        <v/>
      </c>
      <c r="G265" s="24" t="str">
        <f aca="false">IF(A265="","",SUMIFS(Hareketler!$D$5:$D$1504,Hareketler!$C$5:$C$1504,A265,Hareketler!$B$5:$B$1504,"Çıkış"))</f>
        <v/>
      </c>
      <c r="H265" s="32" t="str">
        <f aca="false">IF(A265="","",D265+F265-G265)</f>
        <v/>
      </c>
      <c r="I265" s="29" t="str">
        <f aca="false">IF(A265="","",H265*C265)</f>
        <v/>
      </c>
      <c r="J265" s="25" t="str">
        <f aca="false">IF(A265="","",IF(H265&lt;=0,"Tükendi",IF(H265&lt;=E265,"Kritik","Yeterli")))</f>
        <v/>
      </c>
      <c r="K265" s="33" t="str">
        <f aca="false">IF(A265="","",IF(SUMPRODUCT(MAX((Hareketler!$C$5:$C$1504=A265)*Hareketler!$A$5:$A$1504))=0,"",SUMPRODUCT(MAX((Hareketler!$C$5:$C$1504=A265)*Hareketler!$A$5:$A$1504))))</f>
        <v/>
      </c>
      <c r="L265" s="24" t="str">
        <f aca="true">IF(OR(A265="",K265=""),"",TODAY()-K265)</f>
        <v/>
      </c>
      <c r="M265" s="16" t="str">
        <f aca="false">IF(OR(J265="Tükendi",J265="Kritik"),ROW(),"")</f>
        <v/>
      </c>
      <c r="N265" s="16" t="str">
        <f aca="false">IF(A265="","",I265+ROW()/1000000)</f>
        <v/>
      </c>
    </row>
    <row r="266" customFormat="false" ht="15" hidden="false" customHeight="false" outlineLevel="0" collapsed="false">
      <c r="A266" s="14"/>
      <c r="B266" s="13"/>
      <c r="C266" s="31"/>
      <c r="D266" s="15"/>
      <c r="E266" s="15"/>
      <c r="F266" s="24" t="str">
        <f aca="false">IF(A266="","",SUMIFS(Hareketler!$D$5:$D$1504,Hareketler!$C$5:$C$1504,A266,Hareketler!$B$5:$B$1504,"Giriş"))</f>
        <v/>
      </c>
      <c r="G266" s="24" t="str">
        <f aca="false">IF(A266="","",SUMIFS(Hareketler!$D$5:$D$1504,Hareketler!$C$5:$C$1504,A266,Hareketler!$B$5:$B$1504,"Çıkış"))</f>
        <v/>
      </c>
      <c r="H266" s="32" t="str">
        <f aca="false">IF(A266="","",D266+F266-G266)</f>
        <v/>
      </c>
      <c r="I266" s="29" t="str">
        <f aca="false">IF(A266="","",H266*C266)</f>
        <v/>
      </c>
      <c r="J266" s="25" t="str">
        <f aca="false">IF(A266="","",IF(H266&lt;=0,"Tükendi",IF(H266&lt;=E266,"Kritik","Yeterli")))</f>
        <v/>
      </c>
      <c r="K266" s="33" t="str">
        <f aca="false">IF(A266="","",IF(SUMPRODUCT(MAX((Hareketler!$C$5:$C$1504=A266)*Hareketler!$A$5:$A$1504))=0,"",SUMPRODUCT(MAX((Hareketler!$C$5:$C$1504=A266)*Hareketler!$A$5:$A$1504))))</f>
        <v/>
      </c>
      <c r="L266" s="24" t="str">
        <f aca="true">IF(OR(A266="",K266=""),"",TODAY()-K266)</f>
        <v/>
      </c>
      <c r="M266" s="16" t="str">
        <f aca="false">IF(OR(J266="Tükendi",J266="Kritik"),ROW(),"")</f>
        <v/>
      </c>
      <c r="N266" s="16" t="str">
        <f aca="false">IF(A266="","",I266+ROW()/1000000)</f>
        <v/>
      </c>
    </row>
    <row r="267" customFormat="false" ht="15" hidden="false" customHeight="false" outlineLevel="0" collapsed="false">
      <c r="A267" s="14"/>
      <c r="B267" s="13"/>
      <c r="C267" s="31"/>
      <c r="D267" s="15"/>
      <c r="E267" s="15"/>
      <c r="F267" s="24" t="str">
        <f aca="false">IF(A267="","",SUMIFS(Hareketler!$D$5:$D$1504,Hareketler!$C$5:$C$1504,A267,Hareketler!$B$5:$B$1504,"Giriş"))</f>
        <v/>
      </c>
      <c r="G267" s="24" t="str">
        <f aca="false">IF(A267="","",SUMIFS(Hareketler!$D$5:$D$1504,Hareketler!$C$5:$C$1504,A267,Hareketler!$B$5:$B$1504,"Çıkış"))</f>
        <v/>
      </c>
      <c r="H267" s="32" t="str">
        <f aca="false">IF(A267="","",D267+F267-G267)</f>
        <v/>
      </c>
      <c r="I267" s="29" t="str">
        <f aca="false">IF(A267="","",H267*C267)</f>
        <v/>
      </c>
      <c r="J267" s="25" t="str">
        <f aca="false">IF(A267="","",IF(H267&lt;=0,"Tükendi",IF(H267&lt;=E267,"Kritik","Yeterli")))</f>
        <v/>
      </c>
      <c r="K267" s="33" t="str">
        <f aca="false">IF(A267="","",IF(SUMPRODUCT(MAX((Hareketler!$C$5:$C$1504=A267)*Hareketler!$A$5:$A$1504))=0,"",SUMPRODUCT(MAX((Hareketler!$C$5:$C$1504=A267)*Hareketler!$A$5:$A$1504))))</f>
        <v/>
      </c>
      <c r="L267" s="24" t="str">
        <f aca="true">IF(OR(A267="",K267=""),"",TODAY()-K267)</f>
        <v/>
      </c>
      <c r="M267" s="16" t="str">
        <f aca="false">IF(OR(J267="Tükendi",J267="Kritik"),ROW(),"")</f>
        <v/>
      </c>
      <c r="N267" s="16" t="str">
        <f aca="false">IF(A267="","",I267+ROW()/1000000)</f>
        <v/>
      </c>
    </row>
    <row r="268" customFormat="false" ht="15" hidden="false" customHeight="false" outlineLevel="0" collapsed="false">
      <c r="A268" s="14"/>
      <c r="B268" s="13"/>
      <c r="C268" s="31"/>
      <c r="D268" s="15"/>
      <c r="E268" s="15"/>
      <c r="F268" s="24" t="str">
        <f aca="false">IF(A268="","",SUMIFS(Hareketler!$D$5:$D$1504,Hareketler!$C$5:$C$1504,A268,Hareketler!$B$5:$B$1504,"Giriş"))</f>
        <v/>
      </c>
      <c r="G268" s="24" t="str">
        <f aca="false">IF(A268="","",SUMIFS(Hareketler!$D$5:$D$1504,Hareketler!$C$5:$C$1504,A268,Hareketler!$B$5:$B$1504,"Çıkış"))</f>
        <v/>
      </c>
      <c r="H268" s="32" t="str">
        <f aca="false">IF(A268="","",D268+F268-G268)</f>
        <v/>
      </c>
      <c r="I268" s="29" t="str">
        <f aca="false">IF(A268="","",H268*C268)</f>
        <v/>
      </c>
      <c r="J268" s="25" t="str">
        <f aca="false">IF(A268="","",IF(H268&lt;=0,"Tükendi",IF(H268&lt;=E268,"Kritik","Yeterli")))</f>
        <v/>
      </c>
      <c r="K268" s="33" t="str">
        <f aca="false">IF(A268="","",IF(SUMPRODUCT(MAX((Hareketler!$C$5:$C$1504=A268)*Hareketler!$A$5:$A$1504))=0,"",SUMPRODUCT(MAX((Hareketler!$C$5:$C$1504=A268)*Hareketler!$A$5:$A$1504))))</f>
        <v/>
      </c>
      <c r="L268" s="24" t="str">
        <f aca="true">IF(OR(A268="",K268=""),"",TODAY()-K268)</f>
        <v/>
      </c>
      <c r="M268" s="16" t="str">
        <f aca="false">IF(OR(J268="Tükendi",J268="Kritik"),ROW(),"")</f>
        <v/>
      </c>
      <c r="N268" s="16" t="str">
        <f aca="false">IF(A268="","",I268+ROW()/1000000)</f>
        <v/>
      </c>
    </row>
    <row r="269" customFormat="false" ht="15" hidden="false" customHeight="false" outlineLevel="0" collapsed="false">
      <c r="A269" s="14"/>
      <c r="B269" s="13"/>
      <c r="C269" s="31"/>
      <c r="D269" s="15"/>
      <c r="E269" s="15"/>
      <c r="F269" s="24" t="str">
        <f aca="false">IF(A269="","",SUMIFS(Hareketler!$D$5:$D$1504,Hareketler!$C$5:$C$1504,A269,Hareketler!$B$5:$B$1504,"Giriş"))</f>
        <v/>
      </c>
      <c r="G269" s="24" t="str">
        <f aca="false">IF(A269="","",SUMIFS(Hareketler!$D$5:$D$1504,Hareketler!$C$5:$C$1504,A269,Hareketler!$B$5:$B$1504,"Çıkış"))</f>
        <v/>
      </c>
      <c r="H269" s="32" t="str">
        <f aca="false">IF(A269="","",D269+F269-G269)</f>
        <v/>
      </c>
      <c r="I269" s="29" t="str">
        <f aca="false">IF(A269="","",H269*C269)</f>
        <v/>
      </c>
      <c r="J269" s="25" t="str">
        <f aca="false">IF(A269="","",IF(H269&lt;=0,"Tükendi",IF(H269&lt;=E269,"Kritik","Yeterli")))</f>
        <v/>
      </c>
      <c r="K269" s="33" t="str">
        <f aca="false">IF(A269="","",IF(SUMPRODUCT(MAX((Hareketler!$C$5:$C$1504=A269)*Hareketler!$A$5:$A$1504))=0,"",SUMPRODUCT(MAX((Hareketler!$C$5:$C$1504=A269)*Hareketler!$A$5:$A$1504))))</f>
        <v/>
      </c>
      <c r="L269" s="24" t="str">
        <f aca="true">IF(OR(A269="",K269=""),"",TODAY()-K269)</f>
        <v/>
      </c>
      <c r="M269" s="16" t="str">
        <f aca="false">IF(OR(J269="Tükendi",J269="Kritik"),ROW(),"")</f>
        <v/>
      </c>
      <c r="N269" s="16" t="str">
        <f aca="false">IF(A269="","",I269+ROW()/1000000)</f>
        <v/>
      </c>
    </row>
    <row r="270" customFormat="false" ht="15" hidden="false" customHeight="false" outlineLevel="0" collapsed="false">
      <c r="A270" s="14"/>
      <c r="B270" s="13"/>
      <c r="C270" s="31"/>
      <c r="D270" s="15"/>
      <c r="E270" s="15"/>
      <c r="F270" s="24" t="str">
        <f aca="false">IF(A270="","",SUMIFS(Hareketler!$D$5:$D$1504,Hareketler!$C$5:$C$1504,A270,Hareketler!$B$5:$B$1504,"Giriş"))</f>
        <v/>
      </c>
      <c r="G270" s="24" t="str">
        <f aca="false">IF(A270="","",SUMIFS(Hareketler!$D$5:$D$1504,Hareketler!$C$5:$C$1504,A270,Hareketler!$B$5:$B$1504,"Çıkış"))</f>
        <v/>
      </c>
      <c r="H270" s="32" t="str">
        <f aca="false">IF(A270="","",D270+F270-G270)</f>
        <v/>
      </c>
      <c r="I270" s="29" t="str">
        <f aca="false">IF(A270="","",H270*C270)</f>
        <v/>
      </c>
      <c r="J270" s="25" t="str">
        <f aca="false">IF(A270="","",IF(H270&lt;=0,"Tükendi",IF(H270&lt;=E270,"Kritik","Yeterli")))</f>
        <v/>
      </c>
      <c r="K270" s="33" t="str">
        <f aca="false">IF(A270="","",IF(SUMPRODUCT(MAX((Hareketler!$C$5:$C$1504=A270)*Hareketler!$A$5:$A$1504))=0,"",SUMPRODUCT(MAX((Hareketler!$C$5:$C$1504=A270)*Hareketler!$A$5:$A$1504))))</f>
        <v/>
      </c>
      <c r="L270" s="24" t="str">
        <f aca="true">IF(OR(A270="",K270=""),"",TODAY()-K270)</f>
        <v/>
      </c>
      <c r="M270" s="16" t="str">
        <f aca="false">IF(OR(J270="Tükendi",J270="Kritik"),ROW(),"")</f>
        <v/>
      </c>
      <c r="N270" s="16" t="str">
        <f aca="false">IF(A270="","",I270+ROW()/1000000)</f>
        <v/>
      </c>
    </row>
    <row r="271" customFormat="false" ht="15" hidden="false" customHeight="false" outlineLevel="0" collapsed="false">
      <c r="A271" s="14"/>
      <c r="B271" s="13"/>
      <c r="C271" s="31"/>
      <c r="D271" s="15"/>
      <c r="E271" s="15"/>
      <c r="F271" s="24" t="str">
        <f aca="false">IF(A271="","",SUMIFS(Hareketler!$D$5:$D$1504,Hareketler!$C$5:$C$1504,A271,Hareketler!$B$5:$B$1504,"Giriş"))</f>
        <v/>
      </c>
      <c r="G271" s="24" t="str">
        <f aca="false">IF(A271="","",SUMIFS(Hareketler!$D$5:$D$1504,Hareketler!$C$5:$C$1504,A271,Hareketler!$B$5:$B$1504,"Çıkış"))</f>
        <v/>
      </c>
      <c r="H271" s="32" t="str">
        <f aca="false">IF(A271="","",D271+F271-G271)</f>
        <v/>
      </c>
      <c r="I271" s="29" t="str">
        <f aca="false">IF(A271="","",H271*C271)</f>
        <v/>
      </c>
      <c r="J271" s="25" t="str">
        <f aca="false">IF(A271="","",IF(H271&lt;=0,"Tükendi",IF(H271&lt;=E271,"Kritik","Yeterli")))</f>
        <v/>
      </c>
      <c r="K271" s="33" t="str">
        <f aca="false">IF(A271="","",IF(SUMPRODUCT(MAX((Hareketler!$C$5:$C$1504=A271)*Hareketler!$A$5:$A$1504))=0,"",SUMPRODUCT(MAX((Hareketler!$C$5:$C$1504=A271)*Hareketler!$A$5:$A$1504))))</f>
        <v/>
      </c>
      <c r="L271" s="24" t="str">
        <f aca="true">IF(OR(A271="",K271=""),"",TODAY()-K271)</f>
        <v/>
      </c>
      <c r="M271" s="16" t="str">
        <f aca="false">IF(OR(J271="Tükendi",J271="Kritik"),ROW(),"")</f>
        <v/>
      </c>
      <c r="N271" s="16" t="str">
        <f aca="false">IF(A271="","",I271+ROW()/1000000)</f>
        <v/>
      </c>
    </row>
    <row r="272" customFormat="false" ht="15" hidden="false" customHeight="false" outlineLevel="0" collapsed="false">
      <c r="A272" s="14"/>
      <c r="B272" s="13"/>
      <c r="C272" s="31"/>
      <c r="D272" s="15"/>
      <c r="E272" s="15"/>
      <c r="F272" s="24" t="str">
        <f aca="false">IF(A272="","",SUMIFS(Hareketler!$D$5:$D$1504,Hareketler!$C$5:$C$1504,A272,Hareketler!$B$5:$B$1504,"Giriş"))</f>
        <v/>
      </c>
      <c r="G272" s="24" t="str">
        <f aca="false">IF(A272="","",SUMIFS(Hareketler!$D$5:$D$1504,Hareketler!$C$5:$C$1504,A272,Hareketler!$B$5:$B$1504,"Çıkış"))</f>
        <v/>
      </c>
      <c r="H272" s="32" t="str">
        <f aca="false">IF(A272="","",D272+F272-G272)</f>
        <v/>
      </c>
      <c r="I272" s="29" t="str">
        <f aca="false">IF(A272="","",H272*C272)</f>
        <v/>
      </c>
      <c r="J272" s="25" t="str">
        <f aca="false">IF(A272="","",IF(H272&lt;=0,"Tükendi",IF(H272&lt;=E272,"Kritik","Yeterli")))</f>
        <v/>
      </c>
      <c r="K272" s="33" t="str">
        <f aca="false">IF(A272="","",IF(SUMPRODUCT(MAX((Hareketler!$C$5:$C$1504=A272)*Hareketler!$A$5:$A$1504))=0,"",SUMPRODUCT(MAX((Hareketler!$C$5:$C$1504=A272)*Hareketler!$A$5:$A$1504))))</f>
        <v/>
      </c>
      <c r="L272" s="24" t="str">
        <f aca="true">IF(OR(A272="",K272=""),"",TODAY()-K272)</f>
        <v/>
      </c>
      <c r="M272" s="16" t="str">
        <f aca="false">IF(OR(J272="Tükendi",J272="Kritik"),ROW(),"")</f>
        <v/>
      </c>
      <c r="N272" s="16" t="str">
        <f aca="false">IF(A272="","",I272+ROW()/1000000)</f>
        <v/>
      </c>
    </row>
    <row r="273" customFormat="false" ht="15" hidden="false" customHeight="false" outlineLevel="0" collapsed="false">
      <c r="A273" s="14"/>
      <c r="B273" s="13"/>
      <c r="C273" s="31"/>
      <c r="D273" s="15"/>
      <c r="E273" s="15"/>
      <c r="F273" s="24" t="str">
        <f aca="false">IF(A273="","",SUMIFS(Hareketler!$D$5:$D$1504,Hareketler!$C$5:$C$1504,A273,Hareketler!$B$5:$B$1504,"Giriş"))</f>
        <v/>
      </c>
      <c r="G273" s="24" t="str">
        <f aca="false">IF(A273="","",SUMIFS(Hareketler!$D$5:$D$1504,Hareketler!$C$5:$C$1504,A273,Hareketler!$B$5:$B$1504,"Çıkış"))</f>
        <v/>
      </c>
      <c r="H273" s="32" t="str">
        <f aca="false">IF(A273="","",D273+F273-G273)</f>
        <v/>
      </c>
      <c r="I273" s="29" t="str">
        <f aca="false">IF(A273="","",H273*C273)</f>
        <v/>
      </c>
      <c r="J273" s="25" t="str">
        <f aca="false">IF(A273="","",IF(H273&lt;=0,"Tükendi",IF(H273&lt;=E273,"Kritik","Yeterli")))</f>
        <v/>
      </c>
      <c r="K273" s="33" t="str">
        <f aca="false">IF(A273="","",IF(SUMPRODUCT(MAX((Hareketler!$C$5:$C$1504=A273)*Hareketler!$A$5:$A$1504))=0,"",SUMPRODUCT(MAX((Hareketler!$C$5:$C$1504=A273)*Hareketler!$A$5:$A$1504))))</f>
        <v/>
      </c>
      <c r="L273" s="24" t="str">
        <f aca="true">IF(OR(A273="",K273=""),"",TODAY()-K273)</f>
        <v/>
      </c>
      <c r="M273" s="16" t="str">
        <f aca="false">IF(OR(J273="Tükendi",J273="Kritik"),ROW(),"")</f>
        <v/>
      </c>
      <c r="N273" s="16" t="str">
        <f aca="false">IF(A273="","",I273+ROW()/1000000)</f>
        <v/>
      </c>
    </row>
    <row r="274" customFormat="false" ht="15" hidden="false" customHeight="false" outlineLevel="0" collapsed="false">
      <c r="A274" s="14"/>
      <c r="B274" s="13"/>
      <c r="C274" s="31"/>
      <c r="D274" s="15"/>
      <c r="E274" s="15"/>
      <c r="F274" s="24" t="str">
        <f aca="false">IF(A274="","",SUMIFS(Hareketler!$D$5:$D$1504,Hareketler!$C$5:$C$1504,A274,Hareketler!$B$5:$B$1504,"Giriş"))</f>
        <v/>
      </c>
      <c r="G274" s="24" t="str">
        <f aca="false">IF(A274="","",SUMIFS(Hareketler!$D$5:$D$1504,Hareketler!$C$5:$C$1504,A274,Hareketler!$B$5:$B$1504,"Çıkış"))</f>
        <v/>
      </c>
      <c r="H274" s="32" t="str">
        <f aca="false">IF(A274="","",D274+F274-G274)</f>
        <v/>
      </c>
      <c r="I274" s="29" t="str">
        <f aca="false">IF(A274="","",H274*C274)</f>
        <v/>
      </c>
      <c r="J274" s="25" t="str">
        <f aca="false">IF(A274="","",IF(H274&lt;=0,"Tükendi",IF(H274&lt;=E274,"Kritik","Yeterli")))</f>
        <v/>
      </c>
      <c r="K274" s="33" t="str">
        <f aca="false">IF(A274="","",IF(SUMPRODUCT(MAX((Hareketler!$C$5:$C$1504=A274)*Hareketler!$A$5:$A$1504))=0,"",SUMPRODUCT(MAX((Hareketler!$C$5:$C$1504=A274)*Hareketler!$A$5:$A$1504))))</f>
        <v/>
      </c>
      <c r="L274" s="24" t="str">
        <f aca="true">IF(OR(A274="",K274=""),"",TODAY()-K274)</f>
        <v/>
      </c>
      <c r="M274" s="16" t="str">
        <f aca="false">IF(OR(J274="Tükendi",J274="Kritik"),ROW(),"")</f>
        <v/>
      </c>
      <c r="N274" s="16" t="str">
        <f aca="false">IF(A274="","",I274+ROW()/1000000)</f>
        <v/>
      </c>
    </row>
    <row r="275" customFormat="false" ht="15" hidden="false" customHeight="false" outlineLevel="0" collapsed="false">
      <c r="A275" s="14"/>
      <c r="B275" s="13"/>
      <c r="C275" s="31"/>
      <c r="D275" s="15"/>
      <c r="E275" s="15"/>
      <c r="F275" s="24" t="str">
        <f aca="false">IF(A275="","",SUMIFS(Hareketler!$D$5:$D$1504,Hareketler!$C$5:$C$1504,A275,Hareketler!$B$5:$B$1504,"Giriş"))</f>
        <v/>
      </c>
      <c r="G275" s="24" t="str">
        <f aca="false">IF(A275="","",SUMIFS(Hareketler!$D$5:$D$1504,Hareketler!$C$5:$C$1504,A275,Hareketler!$B$5:$B$1504,"Çıkış"))</f>
        <v/>
      </c>
      <c r="H275" s="32" t="str">
        <f aca="false">IF(A275="","",D275+F275-G275)</f>
        <v/>
      </c>
      <c r="I275" s="29" t="str">
        <f aca="false">IF(A275="","",H275*C275)</f>
        <v/>
      </c>
      <c r="J275" s="25" t="str">
        <f aca="false">IF(A275="","",IF(H275&lt;=0,"Tükendi",IF(H275&lt;=E275,"Kritik","Yeterli")))</f>
        <v/>
      </c>
      <c r="K275" s="33" t="str">
        <f aca="false">IF(A275="","",IF(SUMPRODUCT(MAX((Hareketler!$C$5:$C$1504=A275)*Hareketler!$A$5:$A$1504))=0,"",SUMPRODUCT(MAX((Hareketler!$C$5:$C$1504=A275)*Hareketler!$A$5:$A$1504))))</f>
        <v/>
      </c>
      <c r="L275" s="24" t="str">
        <f aca="true">IF(OR(A275="",K275=""),"",TODAY()-K275)</f>
        <v/>
      </c>
      <c r="M275" s="16" t="str">
        <f aca="false">IF(OR(J275="Tükendi",J275="Kritik"),ROW(),"")</f>
        <v/>
      </c>
      <c r="N275" s="16" t="str">
        <f aca="false">IF(A275="","",I275+ROW()/1000000)</f>
        <v/>
      </c>
    </row>
    <row r="276" customFormat="false" ht="15" hidden="false" customHeight="false" outlineLevel="0" collapsed="false">
      <c r="A276" s="14"/>
      <c r="B276" s="13"/>
      <c r="C276" s="31"/>
      <c r="D276" s="15"/>
      <c r="E276" s="15"/>
      <c r="F276" s="24" t="str">
        <f aca="false">IF(A276="","",SUMIFS(Hareketler!$D$5:$D$1504,Hareketler!$C$5:$C$1504,A276,Hareketler!$B$5:$B$1504,"Giriş"))</f>
        <v/>
      </c>
      <c r="G276" s="24" t="str">
        <f aca="false">IF(A276="","",SUMIFS(Hareketler!$D$5:$D$1504,Hareketler!$C$5:$C$1504,A276,Hareketler!$B$5:$B$1504,"Çıkış"))</f>
        <v/>
      </c>
      <c r="H276" s="32" t="str">
        <f aca="false">IF(A276="","",D276+F276-G276)</f>
        <v/>
      </c>
      <c r="I276" s="29" t="str">
        <f aca="false">IF(A276="","",H276*C276)</f>
        <v/>
      </c>
      <c r="J276" s="25" t="str">
        <f aca="false">IF(A276="","",IF(H276&lt;=0,"Tükendi",IF(H276&lt;=E276,"Kritik","Yeterli")))</f>
        <v/>
      </c>
      <c r="K276" s="33" t="str">
        <f aca="false">IF(A276="","",IF(SUMPRODUCT(MAX((Hareketler!$C$5:$C$1504=A276)*Hareketler!$A$5:$A$1504))=0,"",SUMPRODUCT(MAX((Hareketler!$C$5:$C$1504=A276)*Hareketler!$A$5:$A$1504))))</f>
        <v/>
      </c>
      <c r="L276" s="24" t="str">
        <f aca="true">IF(OR(A276="",K276=""),"",TODAY()-K276)</f>
        <v/>
      </c>
      <c r="M276" s="16" t="str">
        <f aca="false">IF(OR(J276="Tükendi",J276="Kritik"),ROW(),"")</f>
        <v/>
      </c>
      <c r="N276" s="16" t="str">
        <f aca="false">IF(A276="","",I276+ROW()/1000000)</f>
        <v/>
      </c>
    </row>
    <row r="277" customFormat="false" ht="15" hidden="false" customHeight="false" outlineLevel="0" collapsed="false">
      <c r="A277" s="14"/>
      <c r="B277" s="13"/>
      <c r="C277" s="31"/>
      <c r="D277" s="15"/>
      <c r="E277" s="15"/>
      <c r="F277" s="24" t="str">
        <f aca="false">IF(A277="","",SUMIFS(Hareketler!$D$5:$D$1504,Hareketler!$C$5:$C$1504,A277,Hareketler!$B$5:$B$1504,"Giriş"))</f>
        <v/>
      </c>
      <c r="G277" s="24" t="str">
        <f aca="false">IF(A277="","",SUMIFS(Hareketler!$D$5:$D$1504,Hareketler!$C$5:$C$1504,A277,Hareketler!$B$5:$B$1504,"Çıkış"))</f>
        <v/>
      </c>
      <c r="H277" s="32" t="str">
        <f aca="false">IF(A277="","",D277+F277-G277)</f>
        <v/>
      </c>
      <c r="I277" s="29" t="str">
        <f aca="false">IF(A277="","",H277*C277)</f>
        <v/>
      </c>
      <c r="J277" s="25" t="str">
        <f aca="false">IF(A277="","",IF(H277&lt;=0,"Tükendi",IF(H277&lt;=E277,"Kritik","Yeterli")))</f>
        <v/>
      </c>
      <c r="K277" s="33" t="str">
        <f aca="false">IF(A277="","",IF(SUMPRODUCT(MAX((Hareketler!$C$5:$C$1504=A277)*Hareketler!$A$5:$A$1504))=0,"",SUMPRODUCT(MAX((Hareketler!$C$5:$C$1504=A277)*Hareketler!$A$5:$A$1504))))</f>
        <v/>
      </c>
      <c r="L277" s="24" t="str">
        <f aca="true">IF(OR(A277="",K277=""),"",TODAY()-K277)</f>
        <v/>
      </c>
      <c r="M277" s="16" t="str">
        <f aca="false">IF(OR(J277="Tükendi",J277="Kritik"),ROW(),"")</f>
        <v/>
      </c>
      <c r="N277" s="16" t="str">
        <f aca="false">IF(A277="","",I277+ROW()/1000000)</f>
        <v/>
      </c>
    </row>
    <row r="278" customFormat="false" ht="15" hidden="false" customHeight="false" outlineLevel="0" collapsed="false">
      <c r="A278" s="14"/>
      <c r="B278" s="13"/>
      <c r="C278" s="31"/>
      <c r="D278" s="15"/>
      <c r="E278" s="15"/>
      <c r="F278" s="24" t="str">
        <f aca="false">IF(A278="","",SUMIFS(Hareketler!$D$5:$D$1504,Hareketler!$C$5:$C$1504,A278,Hareketler!$B$5:$B$1504,"Giriş"))</f>
        <v/>
      </c>
      <c r="G278" s="24" t="str">
        <f aca="false">IF(A278="","",SUMIFS(Hareketler!$D$5:$D$1504,Hareketler!$C$5:$C$1504,A278,Hareketler!$B$5:$B$1504,"Çıkış"))</f>
        <v/>
      </c>
      <c r="H278" s="32" t="str">
        <f aca="false">IF(A278="","",D278+F278-G278)</f>
        <v/>
      </c>
      <c r="I278" s="29" t="str">
        <f aca="false">IF(A278="","",H278*C278)</f>
        <v/>
      </c>
      <c r="J278" s="25" t="str">
        <f aca="false">IF(A278="","",IF(H278&lt;=0,"Tükendi",IF(H278&lt;=E278,"Kritik","Yeterli")))</f>
        <v/>
      </c>
      <c r="K278" s="33" t="str">
        <f aca="false">IF(A278="","",IF(SUMPRODUCT(MAX((Hareketler!$C$5:$C$1504=A278)*Hareketler!$A$5:$A$1504))=0,"",SUMPRODUCT(MAX((Hareketler!$C$5:$C$1504=A278)*Hareketler!$A$5:$A$1504))))</f>
        <v/>
      </c>
      <c r="L278" s="24" t="str">
        <f aca="true">IF(OR(A278="",K278=""),"",TODAY()-K278)</f>
        <v/>
      </c>
      <c r="M278" s="16" t="str">
        <f aca="false">IF(OR(J278="Tükendi",J278="Kritik"),ROW(),"")</f>
        <v/>
      </c>
      <c r="N278" s="16" t="str">
        <f aca="false">IF(A278="","",I278+ROW()/1000000)</f>
        <v/>
      </c>
    </row>
    <row r="279" customFormat="false" ht="15" hidden="false" customHeight="false" outlineLevel="0" collapsed="false">
      <c r="A279" s="14"/>
      <c r="B279" s="13"/>
      <c r="C279" s="31"/>
      <c r="D279" s="15"/>
      <c r="E279" s="15"/>
      <c r="F279" s="24" t="str">
        <f aca="false">IF(A279="","",SUMIFS(Hareketler!$D$5:$D$1504,Hareketler!$C$5:$C$1504,A279,Hareketler!$B$5:$B$1504,"Giriş"))</f>
        <v/>
      </c>
      <c r="G279" s="24" t="str">
        <f aca="false">IF(A279="","",SUMIFS(Hareketler!$D$5:$D$1504,Hareketler!$C$5:$C$1504,A279,Hareketler!$B$5:$B$1504,"Çıkış"))</f>
        <v/>
      </c>
      <c r="H279" s="32" t="str">
        <f aca="false">IF(A279="","",D279+F279-G279)</f>
        <v/>
      </c>
      <c r="I279" s="29" t="str">
        <f aca="false">IF(A279="","",H279*C279)</f>
        <v/>
      </c>
      <c r="J279" s="25" t="str">
        <f aca="false">IF(A279="","",IF(H279&lt;=0,"Tükendi",IF(H279&lt;=E279,"Kritik","Yeterli")))</f>
        <v/>
      </c>
      <c r="K279" s="33" t="str">
        <f aca="false">IF(A279="","",IF(SUMPRODUCT(MAX((Hareketler!$C$5:$C$1504=A279)*Hareketler!$A$5:$A$1504))=0,"",SUMPRODUCT(MAX((Hareketler!$C$5:$C$1504=A279)*Hareketler!$A$5:$A$1504))))</f>
        <v/>
      </c>
      <c r="L279" s="24" t="str">
        <f aca="true">IF(OR(A279="",K279=""),"",TODAY()-K279)</f>
        <v/>
      </c>
      <c r="M279" s="16" t="str">
        <f aca="false">IF(OR(J279="Tükendi",J279="Kritik"),ROW(),"")</f>
        <v/>
      </c>
      <c r="N279" s="16" t="str">
        <f aca="false">IF(A279="","",I279+ROW()/1000000)</f>
        <v/>
      </c>
    </row>
    <row r="280" customFormat="false" ht="15" hidden="false" customHeight="false" outlineLevel="0" collapsed="false">
      <c r="A280" s="14"/>
      <c r="B280" s="13"/>
      <c r="C280" s="31"/>
      <c r="D280" s="15"/>
      <c r="E280" s="15"/>
      <c r="F280" s="24" t="str">
        <f aca="false">IF(A280="","",SUMIFS(Hareketler!$D$5:$D$1504,Hareketler!$C$5:$C$1504,A280,Hareketler!$B$5:$B$1504,"Giriş"))</f>
        <v/>
      </c>
      <c r="G280" s="24" t="str">
        <f aca="false">IF(A280="","",SUMIFS(Hareketler!$D$5:$D$1504,Hareketler!$C$5:$C$1504,A280,Hareketler!$B$5:$B$1504,"Çıkış"))</f>
        <v/>
      </c>
      <c r="H280" s="32" t="str">
        <f aca="false">IF(A280="","",D280+F280-G280)</f>
        <v/>
      </c>
      <c r="I280" s="29" t="str">
        <f aca="false">IF(A280="","",H280*C280)</f>
        <v/>
      </c>
      <c r="J280" s="25" t="str">
        <f aca="false">IF(A280="","",IF(H280&lt;=0,"Tükendi",IF(H280&lt;=E280,"Kritik","Yeterli")))</f>
        <v/>
      </c>
      <c r="K280" s="33" t="str">
        <f aca="false">IF(A280="","",IF(SUMPRODUCT(MAX((Hareketler!$C$5:$C$1504=A280)*Hareketler!$A$5:$A$1504))=0,"",SUMPRODUCT(MAX((Hareketler!$C$5:$C$1504=A280)*Hareketler!$A$5:$A$1504))))</f>
        <v/>
      </c>
      <c r="L280" s="24" t="str">
        <f aca="true">IF(OR(A280="",K280=""),"",TODAY()-K280)</f>
        <v/>
      </c>
      <c r="M280" s="16" t="str">
        <f aca="false">IF(OR(J280="Tükendi",J280="Kritik"),ROW(),"")</f>
        <v/>
      </c>
      <c r="N280" s="16" t="str">
        <f aca="false">IF(A280="","",I280+ROW()/1000000)</f>
        <v/>
      </c>
    </row>
    <row r="281" customFormat="false" ht="15" hidden="false" customHeight="false" outlineLevel="0" collapsed="false">
      <c r="A281" s="14"/>
      <c r="B281" s="13"/>
      <c r="C281" s="31"/>
      <c r="D281" s="15"/>
      <c r="E281" s="15"/>
      <c r="F281" s="24" t="str">
        <f aca="false">IF(A281="","",SUMIFS(Hareketler!$D$5:$D$1504,Hareketler!$C$5:$C$1504,A281,Hareketler!$B$5:$B$1504,"Giriş"))</f>
        <v/>
      </c>
      <c r="G281" s="24" t="str">
        <f aca="false">IF(A281="","",SUMIFS(Hareketler!$D$5:$D$1504,Hareketler!$C$5:$C$1504,A281,Hareketler!$B$5:$B$1504,"Çıkış"))</f>
        <v/>
      </c>
      <c r="H281" s="32" t="str">
        <f aca="false">IF(A281="","",D281+F281-G281)</f>
        <v/>
      </c>
      <c r="I281" s="29" t="str">
        <f aca="false">IF(A281="","",H281*C281)</f>
        <v/>
      </c>
      <c r="J281" s="25" t="str">
        <f aca="false">IF(A281="","",IF(H281&lt;=0,"Tükendi",IF(H281&lt;=E281,"Kritik","Yeterli")))</f>
        <v/>
      </c>
      <c r="K281" s="33" t="str">
        <f aca="false">IF(A281="","",IF(SUMPRODUCT(MAX((Hareketler!$C$5:$C$1504=A281)*Hareketler!$A$5:$A$1504))=0,"",SUMPRODUCT(MAX((Hareketler!$C$5:$C$1504=A281)*Hareketler!$A$5:$A$1504))))</f>
        <v/>
      </c>
      <c r="L281" s="24" t="str">
        <f aca="true">IF(OR(A281="",K281=""),"",TODAY()-K281)</f>
        <v/>
      </c>
      <c r="M281" s="16" t="str">
        <f aca="false">IF(OR(J281="Tükendi",J281="Kritik"),ROW(),"")</f>
        <v/>
      </c>
      <c r="N281" s="16" t="str">
        <f aca="false">IF(A281="","",I281+ROW()/1000000)</f>
        <v/>
      </c>
    </row>
    <row r="282" customFormat="false" ht="15" hidden="false" customHeight="false" outlineLevel="0" collapsed="false">
      <c r="A282" s="14"/>
      <c r="B282" s="13"/>
      <c r="C282" s="31"/>
      <c r="D282" s="15"/>
      <c r="E282" s="15"/>
      <c r="F282" s="24" t="str">
        <f aca="false">IF(A282="","",SUMIFS(Hareketler!$D$5:$D$1504,Hareketler!$C$5:$C$1504,A282,Hareketler!$B$5:$B$1504,"Giriş"))</f>
        <v/>
      </c>
      <c r="G282" s="24" t="str">
        <f aca="false">IF(A282="","",SUMIFS(Hareketler!$D$5:$D$1504,Hareketler!$C$5:$C$1504,A282,Hareketler!$B$5:$B$1504,"Çıkış"))</f>
        <v/>
      </c>
      <c r="H282" s="32" t="str">
        <f aca="false">IF(A282="","",D282+F282-G282)</f>
        <v/>
      </c>
      <c r="I282" s="29" t="str">
        <f aca="false">IF(A282="","",H282*C282)</f>
        <v/>
      </c>
      <c r="J282" s="25" t="str">
        <f aca="false">IF(A282="","",IF(H282&lt;=0,"Tükendi",IF(H282&lt;=E282,"Kritik","Yeterli")))</f>
        <v/>
      </c>
      <c r="K282" s="33" t="str">
        <f aca="false">IF(A282="","",IF(SUMPRODUCT(MAX((Hareketler!$C$5:$C$1504=A282)*Hareketler!$A$5:$A$1504))=0,"",SUMPRODUCT(MAX((Hareketler!$C$5:$C$1504=A282)*Hareketler!$A$5:$A$1504))))</f>
        <v/>
      </c>
      <c r="L282" s="24" t="str">
        <f aca="true">IF(OR(A282="",K282=""),"",TODAY()-K282)</f>
        <v/>
      </c>
      <c r="M282" s="16" t="str">
        <f aca="false">IF(OR(J282="Tükendi",J282="Kritik"),ROW(),"")</f>
        <v/>
      </c>
      <c r="N282" s="16" t="str">
        <f aca="false">IF(A282="","",I282+ROW()/1000000)</f>
        <v/>
      </c>
    </row>
    <row r="283" customFormat="false" ht="15" hidden="false" customHeight="false" outlineLevel="0" collapsed="false">
      <c r="A283" s="14"/>
      <c r="B283" s="13"/>
      <c r="C283" s="31"/>
      <c r="D283" s="15"/>
      <c r="E283" s="15"/>
      <c r="F283" s="24" t="str">
        <f aca="false">IF(A283="","",SUMIFS(Hareketler!$D$5:$D$1504,Hareketler!$C$5:$C$1504,A283,Hareketler!$B$5:$B$1504,"Giriş"))</f>
        <v/>
      </c>
      <c r="G283" s="24" t="str">
        <f aca="false">IF(A283="","",SUMIFS(Hareketler!$D$5:$D$1504,Hareketler!$C$5:$C$1504,A283,Hareketler!$B$5:$B$1504,"Çıkış"))</f>
        <v/>
      </c>
      <c r="H283" s="32" t="str">
        <f aca="false">IF(A283="","",D283+F283-G283)</f>
        <v/>
      </c>
      <c r="I283" s="29" t="str">
        <f aca="false">IF(A283="","",H283*C283)</f>
        <v/>
      </c>
      <c r="J283" s="25" t="str">
        <f aca="false">IF(A283="","",IF(H283&lt;=0,"Tükendi",IF(H283&lt;=E283,"Kritik","Yeterli")))</f>
        <v/>
      </c>
      <c r="K283" s="33" t="str">
        <f aca="false">IF(A283="","",IF(SUMPRODUCT(MAX((Hareketler!$C$5:$C$1504=A283)*Hareketler!$A$5:$A$1504))=0,"",SUMPRODUCT(MAX((Hareketler!$C$5:$C$1504=A283)*Hareketler!$A$5:$A$1504))))</f>
        <v/>
      </c>
      <c r="L283" s="24" t="str">
        <f aca="true">IF(OR(A283="",K283=""),"",TODAY()-K283)</f>
        <v/>
      </c>
      <c r="M283" s="16" t="str">
        <f aca="false">IF(OR(J283="Tükendi",J283="Kritik"),ROW(),"")</f>
        <v/>
      </c>
      <c r="N283" s="16" t="str">
        <f aca="false">IF(A283="","",I283+ROW()/1000000)</f>
        <v/>
      </c>
    </row>
    <row r="284" customFormat="false" ht="15" hidden="false" customHeight="false" outlineLevel="0" collapsed="false">
      <c r="A284" s="14"/>
      <c r="B284" s="13"/>
      <c r="C284" s="31"/>
      <c r="D284" s="15"/>
      <c r="E284" s="15"/>
      <c r="F284" s="24" t="str">
        <f aca="false">IF(A284="","",SUMIFS(Hareketler!$D$5:$D$1504,Hareketler!$C$5:$C$1504,A284,Hareketler!$B$5:$B$1504,"Giriş"))</f>
        <v/>
      </c>
      <c r="G284" s="24" t="str">
        <f aca="false">IF(A284="","",SUMIFS(Hareketler!$D$5:$D$1504,Hareketler!$C$5:$C$1504,A284,Hareketler!$B$5:$B$1504,"Çıkış"))</f>
        <v/>
      </c>
      <c r="H284" s="32" t="str">
        <f aca="false">IF(A284="","",D284+F284-G284)</f>
        <v/>
      </c>
      <c r="I284" s="29" t="str">
        <f aca="false">IF(A284="","",H284*C284)</f>
        <v/>
      </c>
      <c r="J284" s="25" t="str">
        <f aca="false">IF(A284="","",IF(H284&lt;=0,"Tükendi",IF(H284&lt;=E284,"Kritik","Yeterli")))</f>
        <v/>
      </c>
      <c r="K284" s="33" t="str">
        <f aca="false">IF(A284="","",IF(SUMPRODUCT(MAX((Hareketler!$C$5:$C$1504=A284)*Hareketler!$A$5:$A$1504))=0,"",SUMPRODUCT(MAX((Hareketler!$C$5:$C$1504=A284)*Hareketler!$A$5:$A$1504))))</f>
        <v/>
      </c>
      <c r="L284" s="24" t="str">
        <f aca="true">IF(OR(A284="",K284=""),"",TODAY()-K284)</f>
        <v/>
      </c>
      <c r="M284" s="16" t="str">
        <f aca="false">IF(OR(J284="Tükendi",J284="Kritik"),ROW(),"")</f>
        <v/>
      </c>
      <c r="N284" s="16" t="str">
        <f aca="false">IF(A284="","",I284+ROW()/1000000)</f>
        <v/>
      </c>
    </row>
    <row r="285" customFormat="false" ht="15" hidden="false" customHeight="false" outlineLevel="0" collapsed="false">
      <c r="A285" s="14"/>
      <c r="B285" s="13"/>
      <c r="C285" s="31"/>
      <c r="D285" s="15"/>
      <c r="E285" s="15"/>
      <c r="F285" s="24" t="str">
        <f aca="false">IF(A285="","",SUMIFS(Hareketler!$D$5:$D$1504,Hareketler!$C$5:$C$1504,A285,Hareketler!$B$5:$B$1504,"Giriş"))</f>
        <v/>
      </c>
      <c r="G285" s="24" t="str">
        <f aca="false">IF(A285="","",SUMIFS(Hareketler!$D$5:$D$1504,Hareketler!$C$5:$C$1504,A285,Hareketler!$B$5:$B$1504,"Çıkış"))</f>
        <v/>
      </c>
      <c r="H285" s="32" t="str">
        <f aca="false">IF(A285="","",D285+F285-G285)</f>
        <v/>
      </c>
      <c r="I285" s="29" t="str">
        <f aca="false">IF(A285="","",H285*C285)</f>
        <v/>
      </c>
      <c r="J285" s="25" t="str">
        <f aca="false">IF(A285="","",IF(H285&lt;=0,"Tükendi",IF(H285&lt;=E285,"Kritik","Yeterli")))</f>
        <v/>
      </c>
      <c r="K285" s="33" t="str">
        <f aca="false">IF(A285="","",IF(SUMPRODUCT(MAX((Hareketler!$C$5:$C$1504=A285)*Hareketler!$A$5:$A$1504))=0,"",SUMPRODUCT(MAX((Hareketler!$C$5:$C$1504=A285)*Hareketler!$A$5:$A$1504))))</f>
        <v/>
      </c>
      <c r="L285" s="24" t="str">
        <f aca="true">IF(OR(A285="",K285=""),"",TODAY()-K285)</f>
        <v/>
      </c>
      <c r="M285" s="16" t="str">
        <f aca="false">IF(OR(J285="Tükendi",J285="Kritik"),ROW(),"")</f>
        <v/>
      </c>
      <c r="N285" s="16" t="str">
        <f aca="false">IF(A285="","",I285+ROW()/1000000)</f>
        <v/>
      </c>
    </row>
    <row r="286" customFormat="false" ht="15" hidden="false" customHeight="false" outlineLevel="0" collapsed="false">
      <c r="A286" s="14"/>
      <c r="B286" s="13"/>
      <c r="C286" s="31"/>
      <c r="D286" s="15"/>
      <c r="E286" s="15"/>
      <c r="F286" s="24" t="str">
        <f aca="false">IF(A286="","",SUMIFS(Hareketler!$D$5:$D$1504,Hareketler!$C$5:$C$1504,A286,Hareketler!$B$5:$B$1504,"Giriş"))</f>
        <v/>
      </c>
      <c r="G286" s="24" t="str">
        <f aca="false">IF(A286="","",SUMIFS(Hareketler!$D$5:$D$1504,Hareketler!$C$5:$C$1504,A286,Hareketler!$B$5:$B$1504,"Çıkış"))</f>
        <v/>
      </c>
      <c r="H286" s="32" t="str">
        <f aca="false">IF(A286="","",D286+F286-G286)</f>
        <v/>
      </c>
      <c r="I286" s="29" t="str">
        <f aca="false">IF(A286="","",H286*C286)</f>
        <v/>
      </c>
      <c r="J286" s="25" t="str">
        <f aca="false">IF(A286="","",IF(H286&lt;=0,"Tükendi",IF(H286&lt;=E286,"Kritik","Yeterli")))</f>
        <v/>
      </c>
      <c r="K286" s="33" t="str">
        <f aca="false">IF(A286="","",IF(SUMPRODUCT(MAX((Hareketler!$C$5:$C$1504=A286)*Hareketler!$A$5:$A$1504))=0,"",SUMPRODUCT(MAX((Hareketler!$C$5:$C$1504=A286)*Hareketler!$A$5:$A$1504))))</f>
        <v/>
      </c>
      <c r="L286" s="24" t="str">
        <f aca="true">IF(OR(A286="",K286=""),"",TODAY()-K286)</f>
        <v/>
      </c>
      <c r="M286" s="16" t="str">
        <f aca="false">IF(OR(J286="Tükendi",J286="Kritik"),ROW(),"")</f>
        <v/>
      </c>
      <c r="N286" s="16" t="str">
        <f aca="false">IF(A286="","",I286+ROW()/1000000)</f>
        <v/>
      </c>
    </row>
    <row r="287" customFormat="false" ht="15" hidden="false" customHeight="false" outlineLevel="0" collapsed="false">
      <c r="A287" s="14"/>
      <c r="B287" s="13"/>
      <c r="C287" s="31"/>
      <c r="D287" s="15"/>
      <c r="E287" s="15"/>
      <c r="F287" s="24" t="str">
        <f aca="false">IF(A287="","",SUMIFS(Hareketler!$D$5:$D$1504,Hareketler!$C$5:$C$1504,A287,Hareketler!$B$5:$B$1504,"Giriş"))</f>
        <v/>
      </c>
      <c r="G287" s="24" t="str">
        <f aca="false">IF(A287="","",SUMIFS(Hareketler!$D$5:$D$1504,Hareketler!$C$5:$C$1504,A287,Hareketler!$B$5:$B$1504,"Çıkış"))</f>
        <v/>
      </c>
      <c r="H287" s="32" t="str">
        <f aca="false">IF(A287="","",D287+F287-G287)</f>
        <v/>
      </c>
      <c r="I287" s="29" t="str">
        <f aca="false">IF(A287="","",H287*C287)</f>
        <v/>
      </c>
      <c r="J287" s="25" t="str">
        <f aca="false">IF(A287="","",IF(H287&lt;=0,"Tükendi",IF(H287&lt;=E287,"Kritik","Yeterli")))</f>
        <v/>
      </c>
      <c r="K287" s="33" t="str">
        <f aca="false">IF(A287="","",IF(SUMPRODUCT(MAX((Hareketler!$C$5:$C$1504=A287)*Hareketler!$A$5:$A$1504))=0,"",SUMPRODUCT(MAX((Hareketler!$C$5:$C$1504=A287)*Hareketler!$A$5:$A$1504))))</f>
        <v/>
      </c>
      <c r="L287" s="24" t="str">
        <f aca="true">IF(OR(A287="",K287=""),"",TODAY()-K287)</f>
        <v/>
      </c>
      <c r="M287" s="16" t="str">
        <f aca="false">IF(OR(J287="Tükendi",J287="Kritik"),ROW(),"")</f>
        <v/>
      </c>
      <c r="N287" s="16" t="str">
        <f aca="false">IF(A287="","",I287+ROW()/1000000)</f>
        <v/>
      </c>
    </row>
    <row r="288" customFormat="false" ht="15" hidden="false" customHeight="false" outlineLevel="0" collapsed="false">
      <c r="A288" s="14"/>
      <c r="B288" s="13"/>
      <c r="C288" s="31"/>
      <c r="D288" s="15"/>
      <c r="E288" s="15"/>
      <c r="F288" s="24" t="str">
        <f aca="false">IF(A288="","",SUMIFS(Hareketler!$D$5:$D$1504,Hareketler!$C$5:$C$1504,A288,Hareketler!$B$5:$B$1504,"Giriş"))</f>
        <v/>
      </c>
      <c r="G288" s="24" t="str">
        <f aca="false">IF(A288="","",SUMIFS(Hareketler!$D$5:$D$1504,Hareketler!$C$5:$C$1504,A288,Hareketler!$B$5:$B$1504,"Çıkış"))</f>
        <v/>
      </c>
      <c r="H288" s="32" t="str">
        <f aca="false">IF(A288="","",D288+F288-G288)</f>
        <v/>
      </c>
      <c r="I288" s="29" t="str">
        <f aca="false">IF(A288="","",H288*C288)</f>
        <v/>
      </c>
      <c r="J288" s="25" t="str">
        <f aca="false">IF(A288="","",IF(H288&lt;=0,"Tükendi",IF(H288&lt;=E288,"Kritik","Yeterli")))</f>
        <v/>
      </c>
      <c r="K288" s="33" t="str">
        <f aca="false">IF(A288="","",IF(SUMPRODUCT(MAX((Hareketler!$C$5:$C$1504=A288)*Hareketler!$A$5:$A$1504))=0,"",SUMPRODUCT(MAX((Hareketler!$C$5:$C$1504=A288)*Hareketler!$A$5:$A$1504))))</f>
        <v/>
      </c>
      <c r="L288" s="24" t="str">
        <f aca="true">IF(OR(A288="",K288=""),"",TODAY()-K288)</f>
        <v/>
      </c>
      <c r="M288" s="16" t="str">
        <f aca="false">IF(OR(J288="Tükendi",J288="Kritik"),ROW(),"")</f>
        <v/>
      </c>
      <c r="N288" s="16" t="str">
        <f aca="false">IF(A288="","",I288+ROW()/1000000)</f>
        <v/>
      </c>
    </row>
    <row r="289" customFormat="false" ht="15" hidden="false" customHeight="false" outlineLevel="0" collapsed="false">
      <c r="A289" s="14"/>
      <c r="B289" s="13"/>
      <c r="C289" s="31"/>
      <c r="D289" s="15"/>
      <c r="E289" s="15"/>
      <c r="F289" s="24" t="str">
        <f aca="false">IF(A289="","",SUMIFS(Hareketler!$D$5:$D$1504,Hareketler!$C$5:$C$1504,A289,Hareketler!$B$5:$B$1504,"Giriş"))</f>
        <v/>
      </c>
      <c r="G289" s="24" t="str">
        <f aca="false">IF(A289="","",SUMIFS(Hareketler!$D$5:$D$1504,Hareketler!$C$5:$C$1504,A289,Hareketler!$B$5:$B$1504,"Çıkış"))</f>
        <v/>
      </c>
      <c r="H289" s="32" t="str">
        <f aca="false">IF(A289="","",D289+F289-G289)</f>
        <v/>
      </c>
      <c r="I289" s="29" t="str">
        <f aca="false">IF(A289="","",H289*C289)</f>
        <v/>
      </c>
      <c r="J289" s="25" t="str">
        <f aca="false">IF(A289="","",IF(H289&lt;=0,"Tükendi",IF(H289&lt;=E289,"Kritik","Yeterli")))</f>
        <v/>
      </c>
      <c r="K289" s="33" t="str">
        <f aca="false">IF(A289="","",IF(SUMPRODUCT(MAX((Hareketler!$C$5:$C$1504=A289)*Hareketler!$A$5:$A$1504))=0,"",SUMPRODUCT(MAX((Hareketler!$C$5:$C$1504=A289)*Hareketler!$A$5:$A$1504))))</f>
        <v/>
      </c>
      <c r="L289" s="24" t="str">
        <f aca="true">IF(OR(A289="",K289=""),"",TODAY()-K289)</f>
        <v/>
      </c>
      <c r="M289" s="16" t="str">
        <f aca="false">IF(OR(J289="Tükendi",J289="Kritik"),ROW(),"")</f>
        <v/>
      </c>
      <c r="N289" s="16" t="str">
        <f aca="false">IF(A289="","",I289+ROW()/1000000)</f>
        <v/>
      </c>
    </row>
    <row r="290" customFormat="false" ht="15" hidden="false" customHeight="false" outlineLevel="0" collapsed="false">
      <c r="A290" s="14"/>
      <c r="B290" s="13"/>
      <c r="C290" s="31"/>
      <c r="D290" s="15"/>
      <c r="E290" s="15"/>
      <c r="F290" s="24" t="str">
        <f aca="false">IF(A290="","",SUMIFS(Hareketler!$D$5:$D$1504,Hareketler!$C$5:$C$1504,A290,Hareketler!$B$5:$B$1504,"Giriş"))</f>
        <v/>
      </c>
      <c r="G290" s="24" t="str">
        <f aca="false">IF(A290="","",SUMIFS(Hareketler!$D$5:$D$1504,Hareketler!$C$5:$C$1504,A290,Hareketler!$B$5:$B$1504,"Çıkış"))</f>
        <v/>
      </c>
      <c r="H290" s="32" t="str">
        <f aca="false">IF(A290="","",D290+F290-G290)</f>
        <v/>
      </c>
      <c r="I290" s="29" t="str">
        <f aca="false">IF(A290="","",H290*C290)</f>
        <v/>
      </c>
      <c r="J290" s="25" t="str">
        <f aca="false">IF(A290="","",IF(H290&lt;=0,"Tükendi",IF(H290&lt;=E290,"Kritik","Yeterli")))</f>
        <v/>
      </c>
      <c r="K290" s="33" t="str">
        <f aca="false">IF(A290="","",IF(SUMPRODUCT(MAX((Hareketler!$C$5:$C$1504=A290)*Hareketler!$A$5:$A$1504))=0,"",SUMPRODUCT(MAX((Hareketler!$C$5:$C$1504=A290)*Hareketler!$A$5:$A$1504))))</f>
        <v/>
      </c>
      <c r="L290" s="24" t="str">
        <f aca="true">IF(OR(A290="",K290=""),"",TODAY()-K290)</f>
        <v/>
      </c>
      <c r="M290" s="16" t="str">
        <f aca="false">IF(OR(J290="Tükendi",J290="Kritik"),ROW(),"")</f>
        <v/>
      </c>
      <c r="N290" s="16" t="str">
        <f aca="false">IF(A290="","",I290+ROW()/1000000)</f>
        <v/>
      </c>
    </row>
    <row r="291" customFormat="false" ht="15" hidden="false" customHeight="false" outlineLevel="0" collapsed="false">
      <c r="A291" s="14"/>
      <c r="B291" s="13"/>
      <c r="C291" s="31"/>
      <c r="D291" s="15"/>
      <c r="E291" s="15"/>
      <c r="F291" s="24" t="str">
        <f aca="false">IF(A291="","",SUMIFS(Hareketler!$D$5:$D$1504,Hareketler!$C$5:$C$1504,A291,Hareketler!$B$5:$B$1504,"Giriş"))</f>
        <v/>
      </c>
      <c r="G291" s="24" t="str">
        <f aca="false">IF(A291="","",SUMIFS(Hareketler!$D$5:$D$1504,Hareketler!$C$5:$C$1504,A291,Hareketler!$B$5:$B$1504,"Çıkış"))</f>
        <v/>
      </c>
      <c r="H291" s="32" t="str">
        <f aca="false">IF(A291="","",D291+F291-G291)</f>
        <v/>
      </c>
      <c r="I291" s="29" t="str">
        <f aca="false">IF(A291="","",H291*C291)</f>
        <v/>
      </c>
      <c r="J291" s="25" t="str">
        <f aca="false">IF(A291="","",IF(H291&lt;=0,"Tükendi",IF(H291&lt;=E291,"Kritik","Yeterli")))</f>
        <v/>
      </c>
      <c r="K291" s="33" t="str">
        <f aca="false">IF(A291="","",IF(SUMPRODUCT(MAX((Hareketler!$C$5:$C$1504=A291)*Hareketler!$A$5:$A$1504))=0,"",SUMPRODUCT(MAX((Hareketler!$C$5:$C$1504=A291)*Hareketler!$A$5:$A$1504))))</f>
        <v/>
      </c>
      <c r="L291" s="24" t="str">
        <f aca="true">IF(OR(A291="",K291=""),"",TODAY()-K291)</f>
        <v/>
      </c>
      <c r="M291" s="16" t="str">
        <f aca="false">IF(OR(J291="Tükendi",J291="Kritik"),ROW(),"")</f>
        <v/>
      </c>
      <c r="N291" s="16" t="str">
        <f aca="false">IF(A291="","",I291+ROW()/1000000)</f>
        <v/>
      </c>
    </row>
    <row r="292" customFormat="false" ht="15" hidden="false" customHeight="false" outlineLevel="0" collapsed="false">
      <c r="A292" s="14"/>
      <c r="B292" s="13"/>
      <c r="C292" s="31"/>
      <c r="D292" s="15"/>
      <c r="E292" s="15"/>
      <c r="F292" s="24" t="str">
        <f aca="false">IF(A292="","",SUMIFS(Hareketler!$D$5:$D$1504,Hareketler!$C$5:$C$1504,A292,Hareketler!$B$5:$B$1504,"Giriş"))</f>
        <v/>
      </c>
      <c r="G292" s="24" t="str">
        <f aca="false">IF(A292="","",SUMIFS(Hareketler!$D$5:$D$1504,Hareketler!$C$5:$C$1504,A292,Hareketler!$B$5:$B$1504,"Çıkış"))</f>
        <v/>
      </c>
      <c r="H292" s="32" t="str">
        <f aca="false">IF(A292="","",D292+F292-G292)</f>
        <v/>
      </c>
      <c r="I292" s="29" t="str">
        <f aca="false">IF(A292="","",H292*C292)</f>
        <v/>
      </c>
      <c r="J292" s="25" t="str">
        <f aca="false">IF(A292="","",IF(H292&lt;=0,"Tükendi",IF(H292&lt;=E292,"Kritik","Yeterli")))</f>
        <v/>
      </c>
      <c r="K292" s="33" t="str">
        <f aca="false">IF(A292="","",IF(SUMPRODUCT(MAX((Hareketler!$C$5:$C$1504=A292)*Hareketler!$A$5:$A$1504))=0,"",SUMPRODUCT(MAX((Hareketler!$C$5:$C$1504=A292)*Hareketler!$A$5:$A$1504))))</f>
        <v/>
      </c>
      <c r="L292" s="24" t="str">
        <f aca="true">IF(OR(A292="",K292=""),"",TODAY()-K292)</f>
        <v/>
      </c>
      <c r="M292" s="16" t="str">
        <f aca="false">IF(OR(J292="Tükendi",J292="Kritik"),ROW(),"")</f>
        <v/>
      </c>
      <c r="N292" s="16" t="str">
        <f aca="false">IF(A292="","",I292+ROW()/1000000)</f>
        <v/>
      </c>
    </row>
    <row r="293" customFormat="false" ht="15" hidden="false" customHeight="false" outlineLevel="0" collapsed="false">
      <c r="A293" s="14"/>
      <c r="B293" s="13"/>
      <c r="C293" s="31"/>
      <c r="D293" s="15"/>
      <c r="E293" s="15"/>
      <c r="F293" s="24" t="str">
        <f aca="false">IF(A293="","",SUMIFS(Hareketler!$D$5:$D$1504,Hareketler!$C$5:$C$1504,A293,Hareketler!$B$5:$B$1504,"Giriş"))</f>
        <v/>
      </c>
      <c r="G293" s="24" t="str">
        <f aca="false">IF(A293="","",SUMIFS(Hareketler!$D$5:$D$1504,Hareketler!$C$5:$C$1504,A293,Hareketler!$B$5:$B$1504,"Çıkış"))</f>
        <v/>
      </c>
      <c r="H293" s="32" t="str">
        <f aca="false">IF(A293="","",D293+F293-G293)</f>
        <v/>
      </c>
      <c r="I293" s="29" t="str">
        <f aca="false">IF(A293="","",H293*C293)</f>
        <v/>
      </c>
      <c r="J293" s="25" t="str">
        <f aca="false">IF(A293="","",IF(H293&lt;=0,"Tükendi",IF(H293&lt;=E293,"Kritik","Yeterli")))</f>
        <v/>
      </c>
      <c r="K293" s="33" t="str">
        <f aca="false">IF(A293="","",IF(SUMPRODUCT(MAX((Hareketler!$C$5:$C$1504=A293)*Hareketler!$A$5:$A$1504))=0,"",SUMPRODUCT(MAX((Hareketler!$C$5:$C$1504=A293)*Hareketler!$A$5:$A$1504))))</f>
        <v/>
      </c>
      <c r="L293" s="24" t="str">
        <f aca="true">IF(OR(A293="",K293=""),"",TODAY()-K293)</f>
        <v/>
      </c>
      <c r="M293" s="16" t="str">
        <f aca="false">IF(OR(J293="Tükendi",J293="Kritik"),ROW(),"")</f>
        <v/>
      </c>
      <c r="N293" s="16" t="str">
        <f aca="false">IF(A293="","",I293+ROW()/1000000)</f>
        <v/>
      </c>
    </row>
    <row r="294" customFormat="false" ht="15" hidden="false" customHeight="false" outlineLevel="0" collapsed="false">
      <c r="A294" s="14"/>
      <c r="B294" s="13"/>
      <c r="C294" s="31"/>
      <c r="D294" s="15"/>
      <c r="E294" s="15"/>
      <c r="F294" s="24" t="str">
        <f aca="false">IF(A294="","",SUMIFS(Hareketler!$D$5:$D$1504,Hareketler!$C$5:$C$1504,A294,Hareketler!$B$5:$B$1504,"Giriş"))</f>
        <v/>
      </c>
      <c r="G294" s="24" t="str">
        <f aca="false">IF(A294="","",SUMIFS(Hareketler!$D$5:$D$1504,Hareketler!$C$5:$C$1504,A294,Hareketler!$B$5:$B$1504,"Çıkış"))</f>
        <v/>
      </c>
      <c r="H294" s="32" t="str">
        <f aca="false">IF(A294="","",D294+F294-G294)</f>
        <v/>
      </c>
      <c r="I294" s="29" t="str">
        <f aca="false">IF(A294="","",H294*C294)</f>
        <v/>
      </c>
      <c r="J294" s="25" t="str">
        <f aca="false">IF(A294="","",IF(H294&lt;=0,"Tükendi",IF(H294&lt;=E294,"Kritik","Yeterli")))</f>
        <v/>
      </c>
      <c r="K294" s="33" t="str">
        <f aca="false">IF(A294="","",IF(SUMPRODUCT(MAX((Hareketler!$C$5:$C$1504=A294)*Hareketler!$A$5:$A$1504))=0,"",SUMPRODUCT(MAX((Hareketler!$C$5:$C$1504=A294)*Hareketler!$A$5:$A$1504))))</f>
        <v/>
      </c>
      <c r="L294" s="24" t="str">
        <f aca="true">IF(OR(A294="",K294=""),"",TODAY()-K294)</f>
        <v/>
      </c>
      <c r="M294" s="16" t="str">
        <f aca="false">IF(OR(J294="Tükendi",J294="Kritik"),ROW(),"")</f>
        <v/>
      </c>
      <c r="N294" s="16" t="str">
        <f aca="false">IF(A294="","",I294+ROW()/1000000)</f>
        <v/>
      </c>
    </row>
    <row r="295" customFormat="false" ht="15" hidden="false" customHeight="false" outlineLevel="0" collapsed="false">
      <c r="A295" s="14"/>
      <c r="B295" s="13"/>
      <c r="C295" s="31"/>
      <c r="D295" s="15"/>
      <c r="E295" s="15"/>
      <c r="F295" s="24" t="str">
        <f aca="false">IF(A295="","",SUMIFS(Hareketler!$D$5:$D$1504,Hareketler!$C$5:$C$1504,A295,Hareketler!$B$5:$B$1504,"Giriş"))</f>
        <v/>
      </c>
      <c r="G295" s="24" t="str">
        <f aca="false">IF(A295="","",SUMIFS(Hareketler!$D$5:$D$1504,Hareketler!$C$5:$C$1504,A295,Hareketler!$B$5:$B$1504,"Çıkış"))</f>
        <v/>
      </c>
      <c r="H295" s="32" t="str">
        <f aca="false">IF(A295="","",D295+F295-G295)</f>
        <v/>
      </c>
      <c r="I295" s="29" t="str">
        <f aca="false">IF(A295="","",H295*C295)</f>
        <v/>
      </c>
      <c r="J295" s="25" t="str">
        <f aca="false">IF(A295="","",IF(H295&lt;=0,"Tükendi",IF(H295&lt;=E295,"Kritik","Yeterli")))</f>
        <v/>
      </c>
      <c r="K295" s="33" t="str">
        <f aca="false">IF(A295="","",IF(SUMPRODUCT(MAX((Hareketler!$C$5:$C$1504=A295)*Hareketler!$A$5:$A$1504))=0,"",SUMPRODUCT(MAX((Hareketler!$C$5:$C$1504=A295)*Hareketler!$A$5:$A$1504))))</f>
        <v/>
      </c>
      <c r="L295" s="24" t="str">
        <f aca="true">IF(OR(A295="",K295=""),"",TODAY()-K295)</f>
        <v/>
      </c>
      <c r="M295" s="16" t="str">
        <f aca="false">IF(OR(J295="Tükendi",J295="Kritik"),ROW(),"")</f>
        <v/>
      </c>
      <c r="N295" s="16" t="str">
        <f aca="false">IF(A295="","",I295+ROW()/1000000)</f>
        <v/>
      </c>
    </row>
    <row r="296" customFormat="false" ht="15" hidden="false" customHeight="false" outlineLevel="0" collapsed="false">
      <c r="A296" s="14"/>
      <c r="B296" s="13"/>
      <c r="C296" s="31"/>
      <c r="D296" s="15"/>
      <c r="E296" s="15"/>
      <c r="F296" s="24" t="str">
        <f aca="false">IF(A296="","",SUMIFS(Hareketler!$D$5:$D$1504,Hareketler!$C$5:$C$1504,A296,Hareketler!$B$5:$B$1504,"Giriş"))</f>
        <v/>
      </c>
      <c r="G296" s="24" t="str">
        <f aca="false">IF(A296="","",SUMIFS(Hareketler!$D$5:$D$1504,Hareketler!$C$5:$C$1504,A296,Hareketler!$B$5:$B$1504,"Çıkış"))</f>
        <v/>
      </c>
      <c r="H296" s="32" t="str">
        <f aca="false">IF(A296="","",D296+F296-G296)</f>
        <v/>
      </c>
      <c r="I296" s="29" t="str">
        <f aca="false">IF(A296="","",H296*C296)</f>
        <v/>
      </c>
      <c r="J296" s="25" t="str">
        <f aca="false">IF(A296="","",IF(H296&lt;=0,"Tükendi",IF(H296&lt;=E296,"Kritik","Yeterli")))</f>
        <v/>
      </c>
      <c r="K296" s="33" t="str">
        <f aca="false">IF(A296="","",IF(SUMPRODUCT(MAX((Hareketler!$C$5:$C$1504=A296)*Hareketler!$A$5:$A$1504))=0,"",SUMPRODUCT(MAX((Hareketler!$C$5:$C$1504=A296)*Hareketler!$A$5:$A$1504))))</f>
        <v/>
      </c>
      <c r="L296" s="24" t="str">
        <f aca="true">IF(OR(A296="",K296=""),"",TODAY()-K296)</f>
        <v/>
      </c>
      <c r="M296" s="16" t="str">
        <f aca="false">IF(OR(J296="Tükendi",J296="Kritik"),ROW(),"")</f>
        <v/>
      </c>
      <c r="N296" s="16" t="str">
        <f aca="false">IF(A296="","",I296+ROW()/1000000)</f>
        <v/>
      </c>
    </row>
    <row r="297" customFormat="false" ht="15" hidden="false" customHeight="false" outlineLevel="0" collapsed="false">
      <c r="A297" s="14"/>
      <c r="B297" s="13"/>
      <c r="C297" s="31"/>
      <c r="D297" s="15"/>
      <c r="E297" s="15"/>
      <c r="F297" s="24" t="str">
        <f aca="false">IF(A297="","",SUMIFS(Hareketler!$D$5:$D$1504,Hareketler!$C$5:$C$1504,A297,Hareketler!$B$5:$B$1504,"Giriş"))</f>
        <v/>
      </c>
      <c r="G297" s="24" t="str">
        <f aca="false">IF(A297="","",SUMIFS(Hareketler!$D$5:$D$1504,Hareketler!$C$5:$C$1504,A297,Hareketler!$B$5:$B$1504,"Çıkış"))</f>
        <v/>
      </c>
      <c r="H297" s="32" t="str">
        <f aca="false">IF(A297="","",D297+F297-G297)</f>
        <v/>
      </c>
      <c r="I297" s="29" t="str">
        <f aca="false">IF(A297="","",H297*C297)</f>
        <v/>
      </c>
      <c r="J297" s="25" t="str">
        <f aca="false">IF(A297="","",IF(H297&lt;=0,"Tükendi",IF(H297&lt;=E297,"Kritik","Yeterli")))</f>
        <v/>
      </c>
      <c r="K297" s="33" t="str">
        <f aca="false">IF(A297="","",IF(SUMPRODUCT(MAX((Hareketler!$C$5:$C$1504=A297)*Hareketler!$A$5:$A$1504))=0,"",SUMPRODUCT(MAX((Hareketler!$C$5:$C$1504=A297)*Hareketler!$A$5:$A$1504))))</f>
        <v/>
      </c>
      <c r="L297" s="24" t="str">
        <f aca="true">IF(OR(A297="",K297=""),"",TODAY()-K297)</f>
        <v/>
      </c>
      <c r="M297" s="16" t="str">
        <f aca="false">IF(OR(J297="Tükendi",J297="Kritik"),ROW(),"")</f>
        <v/>
      </c>
      <c r="N297" s="16" t="str">
        <f aca="false">IF(A297="","",I297+ROW()/1000000)</f>
        <v/>
      </c>
    </row>
    <row r="298" customFormat="false" ht="15" hidden="false" customHeight="false" outlineLevel="0" collapsed="false">
      <c r="A298" s="14"/>
      <c r="B298" s="13"/>
      <c r="C298" s="31"/>
      <c r="D298" s="15"/>
      <c r="E298" s="15"/>
      <c r="F298" s="24" t="str">
        <f aca="false">IF(A298="","",SUMIFS(Hareketler!$D$5:$D$1504,Hareketler!$C$5:$C$1504,A298,Hareketler!$B$5:$B$1504,"Giriş"))</f>
        <v/>
      </c>
      <c r="G298" s="24" t="str">
        <f aca="false">IF(A298="","",SUMIFS(Hareketler!$D$5:$D$1504,Hareketler!$C$5:$C$1504,A298,Hareketler!$B$5:$B$1504,"Çıkış"))</f>
        <v/>
      </c>
      <c r="H298" s="32" t="str">
        <f aca="false">IF(A298="","",D298+F298-G298)</f>
        <v/>
      </c>
      <c r="I298" s="29" t="str">
        <f aca="false">IF(A298="","",H298*C298)</f>
        <v/>
      </c>
      <c r="J298" s="25" t="str">
        <f aca="false">IF(A298="","",IF(H298&lt;=0,"Tükendi",IF(H298&lt;=E298,"Kritik","Yeterli")))</f>
        <v/>
      </c>
      <c r="K298" s="33" t="str">
        <f aca="false">IF(A298="","",IF(SUMPRODUCT(MAX((Hareketler!$C$5:$C$1504=A298)*Hareketler!$A$5:$A$1504))=0,"",SUMPRODUCT(MAX((Hareketler!$C$5:$C$1504=A298)*Hareketler!$A$5:$A$1504))))</f>
        <v/>
      </c>
      <c r="L298" s="24" t="str">
        <f aca="true">IF(OR(A298="",K298=""),"",TODAY()-K298)</f>
        <v/>
      </c>
      <c r="M298" s="16" t="str">
        <f aca="false">IF(OR(J298="Tükendi",J298="Kritik"),ROW(),"")</f>
        <v/>
      </c>
      <c r="N298" s="16" t="str">
        <f aca="false">IF(A298="","",I298+ROW()/1000000)</f>
        <v/>
      </c>
    </row>
    <row r="299" customFormat="false" ht="15" hidden="false" customHeight="false" outlineLevel="0" collapsed="false">
      <c r="A299" s="14"/>
      <c r="B299" s="13"/>
      <c r="C299" s="31"/>
      <c r="D299" s="15"/>
      <c r="E299" s="15"/>
      <c r="F299" s="24" t="str">
        <f aca="false">IF(A299="","",SUMIFS(Hareketler!$D$5:$D$1504,Hareketler!$C$5:$C$1504,A299,Hareketler!$B$5:$B$1504,"Giriş"))</f>
        <v/>
      </c>
      <c r="G299" s="24" t="str">
        <f aca="false">IF(A299="","",SUMIFS(Hareketler!$D$5:$D$1504,Hareketler!$C$5:$C$1504,A299,Hareketler!$B$5:$B$1504,"Çıkış"))</f>
        <v/>
      </c>
      <c r="H299" s="32" t="str">
        <f aca="false">IF(A299="","",D299+F299-G299)</f>
        <v/>
      </c>
      <c r="I299" s="29" t="str">
        <f aca="false">IF(A299="","",H299*C299)</f>
        <v/>
      </c>
      <c r="J299" s="25" t="str">
        <f aca="false">IF(A299="","",IF(H299&lt;=0,"Tükendi",IF(H299&lt;=E299,"Kritik","Yeterli")))</f>
        <v/>
      </c>
      <c r="K299" s="33" t="str">
        <f aca="false">IF(A299="","",IF(SUMPRODUCT(MAX((Hareketler!$C$5:$C$1504=A299)*Hareketler!$A$5:$A$1504))=0,"",SUMPRODUCT(MAX((Hareketler!$C$5:$C$1504=A299)*Hareketler!$A$5:$A$1504))))</f>
        <v/>
      </c>
      <c r="L299" s="24" t="str">
        <f aca="true">IF(OR(A299="",K299=""),"",TODAY()-K299)</f>
        <v/>
      </c>
      <c r="M299" s="16" t="str">
        <f aca="false">IF(OR(J299="Tükendi",J299="Kritik"),ROW(),"")</f>
        <v/>
      </c>
      <c r="N299" s="16" t="str">
        <f aca="false">IF(A299="","",I299+ROW()/1000000)</f>
        <v/>
      </c>
    </row>
    <row r="300" customFormat="false" ht="15" hidden="false" customHeight="false" outlineLevel="0" collapsed="false">
      <c r="A300" s="14"/>
      <c r="B300" s="13"/>
      <c r="C300" s="31"/>
      <c r="D300" s="15"/>
      <c r="E300" s="15"/>
      <c r="F300" s="24" t="str">
        <f aca="false">IF(A300="","",SUMIFS(Hareketler!$D$5:$D$1504,Hareketler!$C$5:$C$1504,A300,Hareketler!$B$5:$B$1504,"Giriş"))</f>
        <v/>
      </c>
      <c r="G300" s="24" t="str">
        <f aca="false">IF(A300="","",SUMIFS(Hareketler!$D$5:$D$1504,Hareketler!$C$5:$C$1504,A300,Hareketler!$B$5:$B$1504,"Çıkış"))</f>
        <v/>
      </c>
      <c r="H300" s="32" t="str">
        <f aca="false">IF(A300="","",D300+F300-G300)</f>
        <v/>
      </c>
      <c r="I300" s="29" t="str">
        <f aca="false">IF(A300="","",H300*C300)</f>
        <v/>
      </c>
      <c r="J300" s="25" t="str">
        <f aca="false">IF(A300="","",IF(H300&lt;=0,"Tükendi",IF(H300&lt;=E300,"Kritik","Yeterli")))</f>
        <v/>
      </c>
      <c r="K300" s="33" t="str">
        <f aca="false">IF(A300="","",IF(SUMPRODUCT(MAX((Hareketler!$C$5:$C$1504=A300)*Hareketler!$A$5:$A$1504))=0,"",SUMPRODUCT(MAX((Hareketler!$C$5:$C$1504=A300)*Hareketler!$A$5:$A$1504))))</f>
        <v/>
      </c>
      <c r="L300" s="24" t="str">
        <f aca="true">IF(OR(A300="",K300=""),"",TODAY()-K300)</f>
        <v/>
      </c>
      <c r="M300" s="16" t="str">
        <f aca="false">IF(OR(J300="Tükendi",J300="Kritik"),ROW(),"")</f>
        <v/>
      </c>
      <c r="N300" s="16" t="str">
        <f aca="false">IF(A300="","",I300+ROW()/1000000)</f>
        <v/>
      </c>
    </row>
    <row r="301" customFormat="false" ht="15" hidden="false" customHeight="false" outlineLevel="0" collapsed="false">
      <c r="A301" s="14"/>
      <c r="B301" s="13"/>
      <c r="C301" s="31"/>
      <c r="D301" s="15"/>
      <c r="E301" s="15"/>
      <c r="F301" s="24" t="str">
        <f aca="false">IF(A301="","",SUMIFS(Hareketler!$D$5:$D$1504,Hareketler!$C$5:$C$1504,A301,Hareketler!$B$5:$B$1504,"Giriş"))</f>
        <v/>
      </c>
      <c r="G301" s="24" t="str">
        <f aca="false">IF(A301="","",SUMIFS(Hareketler!$D$5:$D$1504,Hareketler!$C$5:$C$1504,A301,Hareketler!$B$5:$B$1504,"Çıkış"))</f>
        <v/>
      </c>
      <c r="H301" s="32" t="str">
        <f aca="false">IF(A301="","",D301+F301-G301)</f>
        <v/>
      </c>
      <c r="I301" s="29" t="str">
        <f aca="false">IF(A301="","",H301*C301)</f>
        <v/>
      </c>
      <c r="J301" s="25" t="str">
        <f aca="false">IF(A301="","",IF(H301&lt;=0,"Tükendi",IF(H301&lt;=E301,"Kritik","Yeterli")))</f>
        <v/>
      </c>
      <c r="K301" s="33" t="str">
        <f aca="false">IF(A301="","",IF(SUMPRODUCT(MAX((Hareketler!$C$5:$C$1504=A301)*Hareketler!$A$5:$A$1504))=0,"",SUMPRODUCT(MAX((Hareketler!$C$5:$C$1504=A301)*Hareketler!$A$5:$A$1504))))</f>
        <v/>
      </c>
      <c r="L301" s="24" t="str">
        <f aca="true">IF(OR(A301="",K301=""),"",TODAY()-K301)</f>
        <v/>
      </c>
      <c r="M301" s="16" t="str">
        <f aca="false">IF(OR(J301="Tükendi",J301="Kritik"),ROW(),"")</f>
        <v/>
      </c>
      <c r="N301" s="16" t="str">
        <f aca="false">IF(A301="","",I301+ROW()/1000000)</f>
        <v/>
      </c>
    </row>
    <row r="302" customFormat="false" ht="15" hidden="false" customHeight="false" outlineLevel="0" collapsed="false">
      <c r="A302" s="14"/>
      <c r="B302" s="13"/>
      <c r="C302" s="31"/>
      <c r="D302" s="15"/>
      <c r="E302" s="15"/>
      <c r="F302" s="24" t="str">
        <f aca="false">IF(A302="","",SUMIFS(Hareketler!$D$5:$D$1504,Hareketler!$C$5:$C$1504,A302,Hareketler!$B$5:$B$1504,"Giriş"))</f>
        <v/>
      </c>
      <c r="G302" s="24" t="str">
        <f aca="false">IF(A302="","",SUMIFS(Hareketler!$D$5:$D$1504,Hareketler!$C$5:$C$1504,A302,Hareketler!$B$5:$B$1504,"Çıkış"))</f>
        <v/>
      </c>
      <c r="H302" s="32" t="str">
        <f aca="false">IF(A302="","",D302+F302-G302)</f>
        <v/>
      </c>
      <c r="I302" s="29" t="str">
        <f aca="false">IF(A302="","",H302*C302)</f>
        <v/>
      </c>
      <c r="J302" s="25" t="str">
        <f aca="false">IF(A302="","",IF(H302&lt;=0,"Tükendi",IF(H302&lt;=E302,"Kritik","Yeterli")))</f>
        <v/>
      </c>
      <c r="K302" s="33" t="str">
        <f aca="false">IF(A302="","",IF(SUMPRODUCT(MAX((Hareketler!$C$5:$C$1504=A302)*Hareketler!$A$5:$A$1504))=0,"",SUMPRODUCT(MAX((Hareketler!$C$5:$C$1504=A302)*Hareketler!$A$5:$A$1504))))</f>
        <v/>
      </c>
      <c r="L302" s="24" t="str">
        <f aca="true">IF(OR(A302="",K302=""),"",TODAY()-K302)</f>
        <v/>
      </c>
      <c r="M302" s="16" t="str">
        <f aca="false">IF(OR(J302="Tükendi",J302="Kritik"),ROW(),"")</f>
        <v/>
      </c>
      <c r="N302" s="16" t="str">
        <f aca="false">IF(A302="","",I302+ROW()/1000000)</f>
        <v/>
      </c>
    </row>
    <row r="303" customFormat="false" ht="15" hidden="false" customHeight="false" outlineLevel="0" collapsed="false">
      <c r="A303" s="14"/>
      <c r="B303" s="13"/>
      <c r="C303" s="31"/>
      <c r="D303" s="15"/>
      <c r="E303" s="15"/>
      <c r="F303" s="24" t="str">
        <f aca="false">IF(A303="","",SUMIFS(Hareketler!$D$5:$D$1504,Hareketler!$C$5:$C$1504,A303,Hareketler!$B$5:$B$1504,"Giriş"))</f>
        <v/>
      </c>
      <c r="G303" s="24" t="str">
        <f aca="false">IF(A303="","",SUMIFS(Hareketler!$D$5:$D$1504,Hareketler!$C$5:$C$1504,A303,Hareketler!$B$5:$B$1504,"Çıkış"))</f>
        <v/>
      </c>
      <c r="H303" s="32" t="str">
        <f aca="false">IF(A303="","",D303+F303-G303)</f>
        <v/>
      </c>
      <c r="I303" s="29" t="str">
        <f aca="false">IF(A303="","",H303*C303)</f>
        <v/>
      </c>
      <c r="J303" s="25" t="str">
        <f aca="false">IF(A303="","",IF(H303&lt;=0,"Tükendi",IF(H303&lt;=E303,"Kritik","Yeterli")))</f>
        <v/>
      </c>
      <c r="K303" s="33" t="str">
        <f aca="false">IF(A303="","",IF(SUMPRODUCT(MAX((Hareketler!$C$5:$C$1504=A303)*Hareketler!$A$5:$A$1504))=0,"",SUMPRODUCT(MAX((Hareketler!$C$5:$C$1504=A303)*Hareketler!$A$5:$A$1504))))</f>
        <v/>
      </c>
      <c r="L303" s="24" t="str">
        <f aca="true">IF(OR(A303="",K303=""),"",TODAY()-K303)</f>
        <v/>
      </c>
      <c r="M303" s="16" t="str">
        <f aca="false">IF(OR(J303="Tükendi",J303="Kritik"),ROW(),"")</f>
        <v/>
      </c>
      <c r="N303" s="16" t="str">
        <f aca="false">IF(A303="","",I303+ROW()/1000000)</f>
        <v/>
      </c>
    </row>
    <row r="304" customFormat="false" ht="15" hidden="false" customHeight="false" outlineLevel="0" collapsed="false">
      <c r="A304" s="14"/>
      <c r="B304" s="13"/>
      <c r="C304" s="31"/>
      <c r="D304" s="15"/>
      <c r="E304" s="15"/>
      <c r="F304" s="24" t="str">
        <f aca="false">IF(A304="","",SUMIFS(Hareketler!$D$5:$D$1504,Hareketler!$C$5:$C$1504,A304,Hareketler!$B$5:$B$1504,"Giriş"))</f>
        <v/>
      </c>
      <c r="G304" s="24" t="str">
        <f aca="false">IF(A304="","",SUMIFS(Hareketler!$D$5:$D$1504,Hareketler!$C$5:$C$1504,A304,Hareketler!$B$5:$B$1504,"Çıkış"))</f>
        <v/>
      </c>
      <c r="H304" s="32" t="str">
        <f aca="false">IF(A304="","",D304+F304-G304)</f>
        <v/>
      </c>
      <c r="I304" s="29" t="str">
        <f aca="false">IF(A304="","",H304*C304)</f>
        <v/>
      </c>
      <c r="J304" s="25" t="str">
        <f aca="false">IF(A304="","",IF(H304&lt;=0,"Tükendi",IF(H304&lt;=E304,"Kritik","Yeterli")))</f>
        <v/>
      </c>
      <c r="K304" s="33" t="str">
        <f aca="false">IF(A304="","",IF(SUMPRODUCT(MAX((Hareketler!$C$5:$C$1504=A304)*Hareketler!$A$5:$A$1504))=0,"",SUMPRODUCT(MAX((Hareketler!$C$5:$C$1504=A304)*Hareketler!$A$5:$A$1504))))</f>
        <v/>
      </c>
      <c r="L304" s="24" t="str">
        <f aca="true">IF(OR(A304="",K304=""),"",TODAY()-K304)</f>
        <v/>
      </c>
      <c r="M304" s="16" t="str">
        <f aca="false">IF(OR(J304="Tükendi",J304="Kritik"),ROW(),"")</f>
        <v/>
      </c>
      <c r="N304" s="16" t="str">
        <f aca="false">IF(A304="","",I304+ROW()/1000000)</f>
        <v/>
      </c>
    </row>
  </sheetData>
  <conditionalFormatting sqref="J5:J304">
    <cfRule type="cellIs" priority="2" operator="equal" aboveAverage="0" equalAverage="0" bottom="0" percent="0" rank="0" text="" dxfId="0">
      <formula>"Tükendi"</formula>
    </cfRule>
    <cfRule type="cellIs" priority="3" operator="equal" aboveAverage="0" equalAverage="0" bottom="0" percent="0" rank="0" text="" dxfId="3">
      <formula>"Kritik"</formula>
    </cfRule>
  </conditionalFormatting>
  <dataValidations count="2">
    <dataValidation allowBlank="true" error="Bu ad zaten var. Her ad bir kez girilebilir." errorStyle="stop" errorTitle="Kontrol" operator="between" showDropDown="false" showErrorMessage="true" showInputMessage="false" sqref="A5:A304" type="custom">
      <formula1>COUNTIF($A$5:$A$304,A5)=1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E3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80</v>
      </c>
    </row>
    <row r="2" customFormat="false" ht="30" hidden="false" customHeight="true" outlineLevel="0" collapsed="false">
      <c r="B2" s="34" t="s">
        <v>81</v>
      </c>
      <c r="C2" s="34"/>
    </row>
    <row r="3" customFormat="false" ht="31.5" hidden="false" customHeight="true" outlineLevel="0" collapsed="false">
      <c r="B3" s="35" t="s">
        <v>82</v>
      </c>
      <c r="C3" s="35"/>
    </row>
    <row r="5" customFormat="false" ht="15" hidden="false" customHeight="false" outlineLevel="0" collapsed="false">
      <c r="B5" s="36" t="s">
        <v>83</v>
      </c>
      <c r="C5" s="36" t="s">
        <v>84</v>
      </c>
    </row>
    <row r="6" customFormat="false" ht="31.5" hidden="false" customHeight="true" outlineLevel="0" collapsed="false">
      <c r="B6" s="37" t="s">
        <v>85</v>
      </c>
      <c r="C6" s="38" t="s">
        <v>86</v>
      </c>
    </row>
    <row r="7" customFormat="false" ht="31.5" hidden="false" customHeight="true" outlineLevel="0" collapsed="false">
      <c r="B7" s="39" t="s">
        <v>87</v>
      </c>
      <c r="C7" s="40" t="s">
        <v>88</v>
      </c>
    </row>
    <row r="8" customFormat="false" ht="31.5" hidden="false" customHeight="true" outlineLevel="0" collapsed="false">
      <c r="B8" s="37" t="s">
        <v>89</v>
      </c>
      <c r="C8" s="38" t="s">
        <v>90</v>
      </c>
    </row>
    <row r="9" customFormat="false" ht="31.5" hidden="false" customHeight="true" outlineLevel="0" collapsed="false">
      <c r="B9" s="39" t="s">
        <v>91</v>
      </c>
      <c r="C9" s="40" t="s">
        <v>92</v>
      </c>
    </row>
    <row r="10" customFormat="false" ht="31.5" hidden="false" customHeight="true" outlineLevel="0" collapsed="false">
      <c r="B10" s="37" t="s">
        <v>93</v>
      </c>
      <c r="C10" s="38" t="s">
        <v>94</v>
      </c>
    </row>
    <row r="11" customFormat="false" ht="31.5" hidden="false" customHeight="true" outlineLevel="0" collapsed="false">
      <c r="B11" s="39" t="s">
        <v>95</v>
      </c>
      <c r="C11" s="40" t="s">
        <v>96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