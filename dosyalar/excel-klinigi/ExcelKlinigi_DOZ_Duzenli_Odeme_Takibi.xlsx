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Ödemeler" sheetId="2" state="visible" r:id="rId4"/>
    <sheet name="Özet" sheetId="3" state="visible" r:id="rId5"/>
    <sheet name="Takvim" sheetId="4" state="visible" r:id="rId6"/>
    <sheet name="Kategori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<sst xmlns="http://schemas.openxmlformats.org/spreadsheetml/2006/main" count="130" uniqueCount="110">
  <si>
    <t xml:space="preserve">EXCEL KLİNİĞİ</t>
  </si>
  <si>
    <t xml:space="preserve">DOZ  |  Düzenli ödeme ve abonelik takibi</t>
  </si>
  <si>
    <t xml:space="preserve">Kira, fatura, abonelik, taksit: her ay ne kadar çıkıyor, sırada hangisi var, yıl boyunca hangi ay ağır.</t>
  </si>
  <si>
    <t xml:space="preserve">NASIL KULLANILIR</t>
  </si>
  <si>
    <t xml:space="preserve">1. Ödemeler</t>
  </si>
  <si>
    <t xml:space="preserve">Kira, fatura, abonelik, sigorta, taksit: düzenli ödediğin her şeyi tutarı, sıklığı ve ilk ödeme tarihiyle yaz.</t>
  </si>
  <si>
    <t xml:space="preserve">2. Özet</t>
  </si>
  <si>
    <t xml:space="preserve">Aylık ortalama yükün, önümüzdeki 7 ve 30 günde ödeyeceklerin, kategori dağılımı ve sıradaki 10 ödeme.</t>
  </si>
  <si>
    <t xml:space="preserve">3. Takvim</t>
  </si>
  <si>
    <t xml:space="preserve">Seçtiğin yılda her ödemenin hangi aya düştüğü ve ayların toplamı. Yıllık ve altı aylık ödemelerin ağırlaştırdığı ayları buradan görürsün.</t>
  </si>
  <si>
    <t xml:space="preserve">BİLMEN GEREKENLER</t>
  </si>
  <si>
    <t xml:space="preserve">Aylık karşılığı</t>
  </si>
  <si>
    <t xml:space="preserve">Yıllık 1.200 liralık bir ödemenin aylık karşılığı 100 liradır. Bitmiş ödemeler toplama girmez.</t>
  </si>
  <si>
    <t xml:space="preserve">Sıradaki ödeme</t>
  </si>
  <si>
    <t xml:space="preserve">İlk ödeme tarihinden sıklığa göre ileri sayılır. Ayın 31'i gibi günlerde kısa aylarda ayın son gününe kayar.</t>
  </si>
  <si>
    <t xml:space="preserve">Tutar değişirse</t>
  </si>
  <si>
    <t xml:space="preserve">Fatura gibi değişen ödemelerde ortalama tutarı yaz. Dosya geçmiş tutarları ayrı ayrı tutmaz.</t>
  </si>
  <si>
    <t xml:space="preserve">Kapasite</t>
  </si>
  <si>
    <t xml:space="preserve">100 ödeme, 20 kategori.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</si>
  <si>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</si>
  <si>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</si>
  <si>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</si>
  <si>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</si>
  <si>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</si>
  <si>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Ödemeler</t>
  </si>
  <si>
    <t xml:space="preserve">Düzenli ödediğin her şeyi bir satıra yaz. Bitiş tarihini yalnızca taksit gibi sonu belli ödemelerde doldur.</t>
  </si>
  <si>
    <t xml:space="preserve">Ödeme</t>
  </si>
  <si>
    <t xml:space="preserve">Kategori</t>
  </si>
  <si>
    <t xml:space="preserve">Tutar (₺)</t>
  </si>
  <si>
    <t xml:space="preserve">Sıklık</t>
  </si>
  <si>
    <t xml:space="preserve">İlk ödeme tarihi</t>
  </si>
  <si>
    <t xml:space="preserve">Bitiş tarihi (varsa)</t>
  </si>
  <si>
    <t xml:space="preserve">ay</t>
  </si>
  <si>
    <t xml:space="preserve">Aylık karşılığı (₺)</t>
  </si>
  <si>
    <t xml:space="preserve">Yıllık karşılığı (₺)</t>
  </si>
  <si>
    <t xml:space="preserve">Kalan gün</t>
  </si>
  <si>
    <t xml:space="preserve">Durum</t>
  </si>
  <si>
    <t xml:space="preserve">y1</t>
  </si>
  <si>
    <t xml:space="preserve">y2</t>
  </si>
  <si>
    <t xml:space="preserve">y3</t>
  </si>
  <si>
    <t xml:space="preserve">Ev kirası</t>
  </si>
  <si>
    <t xml:space="preserve">Konut</t>
  </si>
  <si>
    <t xml:space="preserve">Aylık</t>
  </si>
  <si>
    <t xml:space="preserve">Elektrik</t>
  </si>
  <si>
    <t xml:space="preserve">Faturalar</t>
  </si>
  <si>
    <t xml:space="preserve">İnternet</t>
  </si>
  <si>
    <t xml:space="preserve">Film ve dizi aboneliği</t>
  </si>
  <si>
    <t xml:space="preserve">Abonelik</t>
  </si>
  <si>
    <t xml:space="preserve">Bulut depolama</t>
  </si>
  <si>
    <t xml:space="preserve">Yıllık</t>
  </si>
  <si>
    <t xml:space="preserve">Telefon taksidi</t>
  </si>
  <si>
    <t xml:space="preserve">Taksit</t>
  </si>
  <si>
    <t xml:space="preserve">Kasko</t>
  </si>
  <si>
    <t xml:space="preserve">Sigorta</t>
  </si>
  <si>
    <t xml:space="preserve">6 Aylık</t>
  </si>
  <si>
    <t xml:space="preserve">Spor salonu</t>
  </si>
  <si>
    <t xml:space="preserve">Sağlık</t>
  </si>
  <si>
    <t xml:space="preserve">3 Aylık</t>
  </si>
  <si>
    <t xml:space="preserve">Eski taksit</t>
  </si>
  <si>
    <t xml:space="preserve">Özet</t>
  </si>
  <si>
    <t xml:space="preserve">Bugünün tarihi kendiliğinden gelir. Takvim için yılı değiştirebilirsin.</t>
  </si>
  <si>
    <t xml:space="preserve">Bugün</t>
  </si>
  <si>
    <t xml:space="preserve">Takvim yılı</t>
  </si>
  <si>
    <t xml:space="preserve">Aylık ortalama yük</t>
  </si>
  <si>
    <t xml:space="preserve">Yıllık karşılığı</t>
  </si>
  <si>
    <t xml:space="preserve">7 gün içinde ödenecek</t>
  </si>
  <si>
    <t xml:space="preserve">30 gün içinde ödenecek</t>
  </si>
  <si>
    <t xml:space="preserve">Süren ödeme sayısı</t>
  </si>
  <si>
    <t xml:space="preserve">Kategoriye göre aylık yük</t>
  </si>
  <si>
    <t xml:space="preserve">Sıradaki 10 ödeme</t>
  </si>
  <si>
    <t xml:space="preserve">Aylık (₺)</t>
  </si>
  <si>
    <t xml:space="preserve">Pay</t>
  </si>
  <si>
    <t xml:space="preserve">Tarih</t>
  </si>
  <si>
    <t xml:space="preserve">Yıllık Takvim</t>
  </si>
  <si>
    <t xml:space="preserve">Yılı Özet sayfasından değiştir. Her ödemenin hangi ay düştüğünü ve ayların toplam yükünü gösterir.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</si>
  <si>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</si>
  <si>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</si>
  <si>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</si>
  <si>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</si>
  <si>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</si>
  <si>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</si>
  <si>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</si>
  <si>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</si>
  <si>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</si>
  <si>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</si>
  <si>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</si>
  <si>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</si>
  <si>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Yıl toplamı</t>
  </si>
  <si>
    <t xml:space="preserve">AY TOPLAMI</t>
  </si>
  <si>
    <t xml:space="preserve">Kategoriler</t>
  </si>
  <si>
    <t xml:space="preserve">Kendi kategorilerini yaz.</t>
  </si>
  <si>
    <t xml:space="preserve">Eğitim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</si>
  <si>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</si>
  <si>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</si>
  <si>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</si>
  <si>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Sözleşme ve abone numaralarını paylaşma. Yapay zekanın verdiği rakamları dosyadaki özet sayfasıyla karşılaştır.</t>
  </si>
  <si>
    <t xml:space="preserve">Ne için</t>
  </si>
  <si>
    <t xml:space="preserve">Komut (kopyala, yapıştır)</t>
  </si>
  <si>
    <t xml:space="preserve">Abonelik temizliği</t>
  </si>
  <si>
    <t xml:space="preserve">[Ödemeler sayfası] Abonelik kategorisindeki ödemeleri yıllık karşılığına göre sırala. Hangilerini iptal edersem yılda ne kadar kazanırım?</t>
  </si>
  <si>
    <t xml:space="preserve">Ağır aylar</t>
  </si>
  <si>
    <t xml:space="preserve">[Takvim sayfası] En yüksek ödeme yükü olan üç ayı bul. O aylar için her ay ne kadar kenara koymam gerektiğini hesapla.</t>
  </si>
  <si>
    <t xml:space="preserve">Yıllığa çevir</t>
  </si>
  <si>
    <t xml:space="preserve">[Ödemeler sayfası] Aylık ödediğim aboneliklerden hangileri genelde yıllık planda daha ucuzdur? Araştırmam için liste çıkar.</t>
  </si>
  <si>
    <t xml:space="preserve">Ödeme günü düzeni</t>
  </si>
  <si>
    <t xml:space="preserve">[Ödemeler sayfası] Ödemelerimin ayın hangi günlerine yığıldığını çıkar. Maaş günüm ayın [gün]; hangi ödemelerin tarihini değiştirmeye çalışmalıyım?</t>
  </si>
  <si>
    <t xml:space="preserve">Sabit gider oranı</t>
  </si>
  <si>
    <t xml:space="preserve">Aylık gelirim [tutar]. Bu ödemelerin gelire oranını hesapla ve yorumla.</t>
  </si>
  <si>
    <t xml:space="preserve">Pazarlık mesajı</t>
  </si>
  <si>
    <t xml:space="preserve">[Hizmet adı] aboneliğimin fiyatı arttı. Müşteri hizmetlerine indirim ya da daha uygun paket sormak için kısa bir mesaj yaz.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</si>
</sst>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&quot; ₺&quot;"/>
    <numFmt numFmtId="166" formatCode="dd\.mm\.yyyy"/>
    <numFmt numFmtId="167" formatCode="General"/>
    <numFmt numFmtId="168" formatCode="#,##0.00&quot; ₺&quot;;[RED]\-#,##0.00&quot; ₺&quot;;\-"/>
    <numFmt numFmtId="169" formatCode="#,##0;[RED]\-#,##0;\-"/>
    <numFmt numFmtId="170" formatCode="mm/dd/yy"/>
    <numFmt numFmtId="171" formatCode="0"/>
    <numFmt numFmtId="172" formatCode="0%"/>
    <numFmt numFmtId="173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93370D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Aylara göre ödeme yükü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Takvim!$B$5:$M$5</c:f>
              <c:numCache>
                <c:formatCode>#,##0;[RED]\-#,##0;\-</c:formatCode>
                <c:ptCount val="12"/>
                <c:pt idx="0">
                  <c:v>23630</c:v>
                </c:pt>
                <c:pt idx="1">
                  <c:v>24280</c:v>
                </c:pt>
                <c:pt idx="2">
                  <c:v>25480</c:v>
                </c:pt>
                <c:pt idx="3">
                  <c:v>26780</c:v>
                </c:pt>
                <c:pt idx="4">
                  <c:v>26780</c:v>
                </c:pt>
                <c:pt idx="5">
                  <c:v>35780</c:v>
                </c:pt>
                <c:pt idx="6">
                  <c:v>26780</c:v>
                </c:pt>
                <c:pt idx="7">
                  <c:v>31280</c:v>
                </c:pt>
                <c:pt idx="8">
                  <c:v>26780</c:v>
                </c:pt>
                <c:pt idx="9">
                  <c:v>26780</c:v>
                </c:pt>
                <c:pt idx="10">
                  <c:v>31280</c:v>
                </c:pt>
                <c:pt idx="11">
                  <c:v>35780</c:v>
                </c:pt>
              </c:numCache>
            </c:numRef>
          </c:val>
        </c:ser>
        <c:gapWidth val="150"/>
        <c:overlap val="0"/>
        <c:axId val="18582986"/>
        <c:axId val="32619560"/>
      </c:barChart>
      <c:catAx>
        <c:axId val="18582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19560"/>
        <c:crosses val="autoZero"/>
        <c:auto val="1"/>
        <c:lblAlgn val="ctr"/>
        <c:lblOffset val="100"/>
        <c:noMultiLvlLbl val="0"/>
      </c:catAx>
      <c:valAx>
        <c:axId val="3261956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829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130680</xdr:rowOff>
    </xdr:from>
    <xdr:to>
      <xdr:col>5</xdr:col>
      <xdr:colOff>966600</xdr:colOff>
      <xdr:row>38</xdr:row>
      <xdr:rowOff>163440</xdr:rowOff>
    </xdr:to>
    <xdr:graphicFrame>
      <xdr:nvGraphicFramePr>
        <xdr:cNvPr id="0" name="Chart 1"/>
        <xdr:cNvGraphicFramePr/>
      </xdr:nvGraphicFramePr>
      <xdr:xfrm>
        <a:off x="211320" y="5200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true" outlineLevel="0" max="7" min="7" style="0" width="4"/>
    <col collapsed="false" customWidth="true" hidden="false" outlineLevel="0" max="10" min="8" style="0" width="15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true" outlineLevel="0" max="15" min="13" style="0" width="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1" t="s">
        <v>32</v>
      </c>
      <c r="H4" s="11" t="s">
        <v>33</v>
      </c>
      <c r="I4" s="11" t="s">
        <v>34</v>
      </c>
      <c r="J4" s="11" t="s">
        <v>13</v>
      </c>
      <c r="K4" s="11" t="s">
        <v>35</v>
      </c>
      <c r="L4" s="11" t="s">
        <v>36</v>
      </c>
      <c r="M4" s="11" t="s">
        <v>37</v>
      </c>
      <c r="N4" s="11" t="s">
        <v>38</v>
      </c>
      <c r="O4" s="11" t="s">
        <v>39</v>
      </c>
    </row>
    <row r="5" customFormat="false" ht="15" hidden="false" customHeight="false" outlineLevel="0" collapsed="false">
      <c r="A5" s="12" t="s">
        <v>40</v>
      </c>
      <c r="B5" s="12" t="s">
        <v>41</v>
      </c>
      <c r="C5" s="13" t="n">
        <v>22000</v>
      </c>
      <c r="D5" s="14" t="s">
        <v>42</v>
      </c>
      <c r="E5" s="15" t="n">
        <v>46027</v>
      </c>
      <c r="F5" s="15"/>
      <c r="G5" s="16" t="n">
        <f aca="false">IF(D5="Aylık",1,IF(D5="3 Aylık",3,IF(D5="6 Aylık",6,IF(D5="Yıllık",12,""))))</f>
        <v>1</v>
      </c>
      <c r="H5" s="17" t="n">
        <f aca="false">IF(OR(J5="",J5="Bitti"),"",C5/G5)</f>
        <v>22000</v>
      </c>
      <c r="I5" s="17" t="n">
        <f aca="false">IF(H5="","",H5*12)</f>
        <v>264000</v>
      </c>
      <c r="J5" s="18" t="n">
        <f aca="false">IF(N5="","",IF(AND(F5&lt;&gt;"",N5&gt;F5),"Bitti",N5))</f>
        <v>46300</v>
      </c>
      <c r="K5" s="19" t="n">
        <f aca="false">IF(ISNUMBER(J5),J5-Özet!$C$3,"")</f>
        <v>1</v>
      </c>
      <c r="L5" s="20" t="str">
        <f aca="false">IF(J5="","",IF(J5="Bitti","Bitti",IF(K5&lt;=7,"Bu hafta",IF(K5&lt;=30,"Bu ay","Bekliyor"))))</f>
        <v>Bu hafta</v>
      </c>
      <c r="M5" s="16" t="n">
        <f aca="false">IF(OR(A5="",C5="",G5="",E5=""),"",MAX(0,ROUNDUP(((YEAR(Özet!$C$3)-YEAR(E5))*12+MONTH(Özet!$C$3)-MONTH(E5))/G5,0)))</f>
        <v>9</v>
      </c>
      <c r="N5" s="16" t="n">
        <f aca="false">IF(M5="","",IF(EDATE(E5,G5*M5)&lt;Özet!$C$3,EDATE(E5,G5*(M5+1)),EDATE(E5,G5*M5)))</f>
        <v>46300</v>
      </c>
      <c r="O5" s="21" t="n">
        <f aca="false">IF(ISNUMBER(J5),J5+ROW()/1000000,"")</f>
        <v>46300.000005</v>
      </c>
    </row>
    <row r="6" customFormat="false" ht="15" hidden="false" customHeight="false" outlineLevel="0" collapsed="false">
      <c r="A6" s="12" t="s">
        <v>43</v>
      </c>
      <c r="B6" s="12" t="s">
        <v>44</v>
      </c>
      <c r="C6" s="13" t="n">
        <v>1400</v>
      </c>
      <c r="D6" s="14" t="s">
        <v>42</v>
      </c>
      <c r="E6" s="15" t="n">
        <v>46042</v>
      </c>
      <c r="F6" s="15"/>
      <c r="G6" s="16" t="n">
        <f aca="false">IF(D6="Aylık",1,IF(D6="3 Aylık",3,IF(D6="6 Aylık",6,IF(D6="Yıllık",12,""))))</f>
        <v>1</v>
      </c>
      <c r="H6" s="17" t="n">
        <f aca="false">IF(OR(J6="",J6="Bitti"),"",C6/G6)</f>
        <v>1400</v>
      </c>
      <c r="I6" s="17" t="n">
        <f aca="false">IF(H6="","",H6*12)</f>
        <v>16800</v>
      </c>
      <c r="J6" s="18" t="n">
        <f aca="false">IF(N6="","",IF(AND(F6&lt;&gt;"",N6&gt;F6),"Bitti",N6))</f>
        <v>46315</v>
      </c>
      <c r="K6" s="19" t="n">
        <f aca="false">IF(ISNUMBER(J6),J6-Özet!$C$3,"")</f>
        <v>16</v>
      </c>
      <c r="L6" s="20" t="str">
        <f aca="false">IF(J6="","",IF(J6="Bitti","Bitti",IF(K6&lt;=7,"Bu hafta",IF(K6&lt;=30,"Bu ay","Bekliyor"))))</f>
        <v>Bu ay</v>
      </c>
      <c r="M6" s="16" t="n">
        <f aca="false">IF(OR(A6="",C6="",G6="",E6=""),"",MAX(0,ROUNDUP(((YEAR(Özet!$C$3)-YEAR(E6))*12+MONTH(Özet!$C$3)-MONTH(E6))/G6,0)))</f>
        <v>9</v>
      </c>
      <c r="N6" s="16" t="n">
        <f aca="false">IF(M6="","",IF(EDATE(E6,G6*M6)&lt;Özet!$C$3,EDATE(E6,G6*(M6+1)),EDATE(E6,G6*M6)))</f>
        <v>46315</v>
      </c>
      <c r="O6" s="21" t="n">
        <f aca="false">IF(ISNUMBER(J6),J6+ROW()/1000000,"")</f>
        <v>46315.000006</v>
      </c>
    </row>
    <row r="7" customFormat="false" ht="15" hidden="false" customHeight="false" outlineLevel="0" collapsed="false">
      <c r="A7" s="12" t="s">
        <v>45</v>
      </c>
      <c r="B7" s="12" t="s">
        <v>44</v>
      </c>
      <c r="C7" s="13" t="n">
        <v>650</v>
      </c>
      <c r="D7" s="14" t="s">
        <v>42</v>
      </c>
      <c r="E7" s="15" t="n">
        <v>46065</v>
      </c>
      <c r="F7" s="15"/>
      <c r="G7" s="16" t="n">
        <f aca="false">IF(D7="Aylık",1,IF(D7="3 Aylık",3,IF(D7="6 Aylık",6,IF(D7="Yıllık",12,""))))</f>
        <v>1</v>
      </c>
      <c r="H7" s="17" t="n">
        <f aca="false">IF(OR(J7="",J7="Bitti"),"",C7/G7)</f>
        <v>650</v>
      </c>
      <c r="I7" s="17" t="n">
        <f aca="false">IF(H7="","",H7*12)</f>
        <v>7800</v>
      </c>
      <c r="J7" s="18" t="n">
        <f aca="false">IF(N7="","",IF(AND(F7&lt;&gt;"",N7&gt;F7),"Bitti",N7))</f>
        <v>46307</v>
      </c>
      <c r="K7" s="19" t="n">
        <f aca="false">IF(ISNUMBER(J7),J7-Özet!$C$3,"")</f>
        <v>8</v>
      </c>
      <c r="L7" s="20" t="str">
        <f aca="false">IF(J7="","",IF(J7="Bitti","Bitti",IF(K7&lt;=7,"Bu hafta",IF(K7&lt;=30,"Bu ay","Bekliyor"))))</f>
        <v>Bu ay</v>
      </c>
      <c r="M7" s="16" t="n">
        <f aca="false">IF(OR(A7="",C7="",G7="",E7=""),"",MAX(0,ROUNDUP(((YEAR(Özet!$C$3)-YEAR(E7))*12+MONTH(Özet!$C$3)-MONTH(E7))/G7,0)))</f>
        <v>8</v>
      </c>
      <c r="N7" s="16" t="n">
        <f aca="false">IF(M7="","",IF(EDATE(E7,G7*M7)&lt;Özet!$C$3,EDATE(E7,G7*(M7+1)),EDATE(E7,G7*M7)))</f>
        <v>46307</v>
      </c>
      <c r="O7" s="21" t="n">
        <f aca="false">IF(ISNUMBER(J7),J7+ROW()/1000000,"")</f>
        <v>46307.000007</v>
      </c>
    </row>
    <row r="8" customFormat="false" ht="15" hidden="false" customHeight="false" outlineLevel="0" collapsed="false">
      <c r="A8" s="12" t="s">
        <v>46</v>
      </c>
      <c r="B8" s="12" t="s">
        <v>47</v>
      </c>
      <c r="C8" s="13" t="n">
        <v>230</v>
      </c>
      <c r="D8" s="14" t="s">
        <v>42</v>
      </c>
      <c r="E8" s="15" t="n">
        <v>45969</v>
      </c>
      <c r="F8" s="15"/>
      <c r="G8" s="16" t="n">
        <f aca="false">IF(D8="Aylık",1,IF(D8="3 Aylık",3,IF(D8="6 Aylık",6,IF(D8="Yıllık",12,""))))</f>
        <v>1</v>
      </c>
      <c r="H8" s="17" t="n">
        <f aca="false">IF(OR(J8="",J8="Bitti"),"",C8/G8)</f>
        <v>230</v>
      </c>
      <c r="I8" s="17" t="n">
        <f aca="false">IF(H8="","",H8*12)</f>
        <v>2760</v>
      </c>
      <c r="J8" s="18" t="n">
        <f aca="false">IF(N8="","",IF(AND(F8&lt;&gt;"",N8&gt;F8),"Bitti",N8))</f>
        <v>46303</v>
      </c>
      <c r="K8" s="19" t="n">
        <f aca="false">IF(ISNUMBER(J8),J8-Özet!$C$3,"")</f>
        <v>4</v>
      </c>
      <c r="L8" s="20" t="str">
        <f aca="false">IF(J8="","",IF(J8="Bitti","Bitti",IF(K8&lt;=7,"Bu hafta",IF(K8&lt;=30,"Bu ay","Bekliyor"))))</f>
        <v>Bu hafta</v>
      </c>
      <c r="M8" s="16" t="n">
        <f aca="false">IF(OR(A8="",C8="",G8="",E8=""),"",MAX(0,ROUNDUP(((YEAR(Özet!$C$3)-YEAR(E8))*12+MONTH(Özet!$C$3)-MONTH(E8))/G8,0)))</f>
        <v>11</v>
      </c>
      <c r="N8" s="16" t="n">
        <f aca="false">IF(M8="","",IF(EDATE(E8,G8*M8)&lt;Özet!$C$3,EDATE(E8,G8*(M8+1)),EDATE(E8,G8*M8)))</f>
        <v>46303</v>
      </c>
      <c r="O8" s="21" t="n">
        <f aca="false">IF(ISNUMBER(J8),J8+ROW()/1000000,"")</f>
        <v>46303.000008</v>
      </c>
    </row>
    <row r="9" customFormat="false" ht="15" hidden="false" customHeight="false" outlineLevel="0" collapsed="false">
      <c r="A9" s="12" t="s">
        <v>48</v>
      </c>
      <c r="B9" s="12" t="s">
        <v>47</v>
      </c>
      <c r="C9" s="13" t="n">
        <v>1200</v>
      </c>
      <c r="D9" s="14" t="s">
        <v>49</v>
      </c>
      <c r="E9" s="15" t="n">
        <v>46096</v>
      </c>
      <c r="F9" s="15"/>
      <c r="G9" s="16" t="n">
        <f aca="false">IF(D9="Aylık",1,IF(D9="3 Aylık",3,IF(D9="6 Aylık",6,IF(D9="Yıllık",12,""))))</f>
        <v>12</v>
      </c>
      <c r="H9" s="17" t="n">
        <f aca="false">IF(OR(J9="",J9="Bitti"),"",C9/G9)</f>
        <v>100</v>
      </c>
      <c r="I9" s="17" t="n">
        <f aca="false">IF(H9="","",H9*12)</f>
        <v>1200</v>
      </c>
      <c r="J9" s="18" t="n">
        <f aca="false">IF(N9="","",IF(AND(F9&lt;&gt;"",N9&gt;F9),"Bitti",N9))</f>
        <v>46461</v>
      </c>
      <c r="K9" s="19" t="n">
        <f aca="false">IF(ISNUMBER(J9),J9-Özet!$C$3,"")</f>
        <v>162</v>
      </c>
      <c r="L9" s="20" t="str">
        <f aca="false">IF(J9="","",IF(J9="Bitti","Bitti",IF(K9&lt;=7,"Bu hafta",IF(K9&lt;=30,"Bu ay","Bekliyor"))))</f>
        <v>Bekliyor</v>
      </c>
      <c r="M9" s="16" t="n">
        <f aca="false">IF(OR(A9="",C9="",G9="",E9=""),"",MAX(0,ROUNDUP(((YEAR(Özet!$C$3)-YEAR(E9))*12+MONTH(Özet!$C$3)-MONTH(E9))/G9,0)))</f>
        <v>1</v>
      </c>
      <c r="N9" s="16" t="n">
        <f aca="false">IF(M9="","",IF(EDATE(E9,G9*M9)&lt;Özet!$C$3,EDATE(E9,G9*(M9+1)),EDATE(E9,G9*M9)))</f>
        <v>46461</v>
      </c>
      <c r="O9" s="21" t="n">
        <f aca="false">IF(ISNUMBER(J9),J9+ROW()/1000000,"")</f>
        <v>46461.000009</v>
      </c>
    </row>
    <row r="10" customFormat="false" ht="15" hidden="false" customHeight="false" outlineLevel="0" collapsed="false">
      <c r="A10" s="12" t="s">
        <v>50</v>
      </c>
      <c r="B10" s="12" t="s">
        <v>51</v>
      </c>
      <c r="C10" s="13" t="n">
        <v>2500</v>
      </c>
      <c r="D10" s="14" t="s">
        <v>42</v>
      </c>
      <c r="E10" s="15" t="n">
        <v>46122</v>
      </c>
      <c r="F10" s="15" t="n">
        <v>46456</v>
      </c>
      <c r="G10" s="16" t="n">
        <f aca="false">IF(D10="Aylık",1,IF(D10="3 Aylık",3,IF(D10="6 Aylık",6,IF(D10="Yıllık",12,""))))</f>
        <v>1</v>
      </c>
      <c r="H10" s="17" t="n">
        <f aca="false">IF(OR(J10="",J10="Bitti"),"",C10/G10)</f>
        <v>2500</v>
      </c>
      <c r="I10" s="17" t="n">
        <f aca="false">IF(H10="","",H10*12)</f>
        <v>30000</v>
      </c>
      <c r="J10" s="18" t="n">
        <f aca="false">IF(N10="","",IF(AND(F10&lt;&gt;"",N10&gt;F10),"Bitti",N10))</f>
        <v>46305</v>
      </c>
      <c r="K10" s="19" t="n">
        <f aca="false">IF(ISNUMBER(J10),J10-Özet!$C$3,"")</f>
        <v>6</v>
      </c>
      <c r="L10" s="20" t="str">
        <f aca="false">IF(J10="","",IF(J10="Bitti","Bitti",IF(K10&lt;=7,"Bu hafta",IF(K10&lt;=30,"Bu ay","Bekliyor"))))</f>
        <v>Bu hafta</v>
      </c>
      <c r="M10" s="16" t="n">
        <f aca="false">IF(OR(A10="",C10="",G10="",E10=""),"",MAX(0,ROUNDUP(((YEAR(Özet!$C$3)-YEAR(E10))*12+MONTH(Özet!$C$3)-MONTH(E10))/G10,0)))</f>
        <v>6</v>
      </c>
      <c r="N10" s="16" t="n">
        <f aca="false">IF(M10="","",IF(EDATE(E10,G10*M10)&lt;Özet!$C$3,EDATE(E10,G10*(M10+1)),EDATE(E10,G10*M10)))</f>
        <v>46305</v>
      </c>
      <c r="O10" s="21" t="n">
        <f aca="false">IF(ISNUMBER(J10),J10+ROW()/1000000,"")</f>
        <v>46305.00001</v>
      </c>
    </row>
    <row r="11" customFormat="false" ht="15" hidden="false" customHeight="false" outlineLevel="0" collapsed="false">
      <c r="A11" s="12" t="s">
        <v>52</v>
      </c>
      <c r="B11" s="12" t="s">
        <v>53</v>
      </c>
      <c r="C11" s="13" t="n">
        <v>9000</v>
      </c>
      <c r="D11" s="14" t="s">
        <v>54</v>
      </c>
      <c r="E11" s="15" t="n">
        <v>46174</v>
      </c>
      <c r="F11" s="15"/>
      <c r="G11" s="16" t="n">
        <f aca="false">IF(D11="Aylık",1,IF(D11="3 Aylık",3,IF(D11="6 Aylık",6,IF(D11="Yıllık",12,""))))</f>
        <v>6</v>
      </c>
      <c r="H11" s="17" t="n">
        <f aca="false">IF(OR(J11="",J11="Bitti"),"",C11/G11)</f>
        <v>1500</v>
      </c>
      <c r="I11" s="17" t="n">
        <f aca="false">IF(H11="","",H11*12)</f>
        <v>18000</v>
      </c>
      <c r="J11" s="18" t="n">
        <f aca="false">IF(N11="","",IF(AND(F11&lt;&gt;"",N11&gt;F11),"Bitti",N11))</f>
        <v>46357</v>
      </c>
      <c r="K11" s="19" t="n">
        <f aca="false">IF(ISNUMBER(J11),J11-Özet!$C$3,"")</f>
        <v>58</v>
      </c>
      <c r="L11" s="20" t="str">
        <f aca="false">IF(J11="","",IF(J11="Bitti","Bitti",IF(K11&lt;=7,"Bu hafta",IF(K11&lt;=30,"Bu ay","Bekliyor"))))</f>
        <v>Bekliyor</v>
      </c>
      <c r="M11" s="16" t="n">
        <f aca="false">IF(OR(A11="",C11="",G11="",E11=""),"",MAX(0,ROUNDUP(((YEAR(Özet!$C$3)-YEAR(E11))*12+MONTH(Özet!$C$3)-MONTH(E11))/G11,0)))</f>
        <v>1</v>
      </c>
      <c r="N11" s="16" t="n">
        <f aca="false">IF(M11="","",IF(EDATE(E11,G11*M11)&lt;Özet!$C$3,EDATE(E11,G11*(M11+1)),EDATE(E11,G11*M11)))</f>
        <v>46357</v>
      </c>
      <c r="O11" s="21" t="n">
        <f aca="false">IF(ISNUMBER(J11),J11+ROW()/1000000,"")</f>
        <v>46357.000011</v>
      </c>
    </row>
    <row r="12" customFormat="false" ht="15" hidden="false" customHeight="false" outlineLevel="0" collapsed="false">
      <c r="A12" s="12" t="s">
        <v>55</v>
      </c>
      <c r="B12" s="12" t="s">
        <v>56</v>
      </c>
      <c r="C12" s="13" t="n">
        <v>4500</v>
      </c>
      <c r="D12" s="14" t="s">
        <v>57</v>
      </c>
      <c r="E12" s="15" t="n">
        <v>46235</v>
      </c>
      <c r="F12" s="15"/>
      <c r="G12" s="16" t="n">
        <f aca="false">IF(D12="Aylık",1,IF(D12="3 Aylık",3,IF(D12="6 Aylık",6,IF(D12="Yıllık",12,""))))</f>
        <v>3</v>
      </c>
      <c r="H12" s="17" t="n">
        <f aca="false">IF(OR(J12="",J12="Bitti"),"",C12/G12)</f>
        <v>1500</v>
      </c>
      <c r="I12" s="17" t="n">
        <f aca="false">IF(H12="","",H12*12)</f>
        <v>18000</v>
      </c>
      <c r="J12" s="18" t="n">
        <f aca="false">IF(N12="","",IF(AND(F12&lt;&gt;"",N12&gt;F12),"Bitti",N12))</f>
        <v>46327</v>
      </c>
      <c r="K12" s="19" t="n">
        <f aca="false">IF(ISNUMBER(J12),J12-Özet!$C$3,"")</f>
        <v>28</v>
      </c>
      <c r="L12" s="20" t="str">
        <f aca="false">IF(J12="","",IF(J12="Bitti","Bitti",IF(K12&lt;=7,"Bu hafta",IF(K12&lt;=30,"Bu ay","Bekliyor"))))</f>
        <v>Bu ay</v>
      </c>
      <c r="M12" s="16" t="n">
        <f aca="false">IF(OR(A12="",C12="",G12="",E12=""),"",MAX(0,ROUNDUP(((YEAR(Özet!$C$3)-YEAR(E12))*12+MONTH(Özet!$C$3)-MONTH(E12))/G12,0)))</f>
        <v>1</v>
      </c>
      <c r="N12" s="16" t="n">
        <f aca="false">IF(M12="","",IF(EDATE(E12,G12*M12)&lt;Özet!$C$3,EDATE(E12,G12*(M12+1)),EDATE(E12,G12*M12)))</f>
        <v>46327</v>
      </c>
      <c r="O12" s="21" t="n">
        <f aca="false">IF(ISNUMBER(J12),J12+ROW()/1000000,"")</f>
        <v>46327.000012</v>
      </c>
    </row>
    <row r="13" customFormat="false" ht="15" hidden="false" customHeight="false" outlineLevel="0" collapsed="false">
      <c r="A13" s="12" t="s">
        <v>58</v>
      </c>
      <c r="B13" s="12" t="s">
        <v>51</v>
      </c>
      <c r="C13" s="13" t="n">
        <v>1000</v>
      </c>
      <c r="D13" s="14" t="s">
        <v>42</v>
      </c>
      <c r="E13" s="15" t="n">
        <v>45667</v>
      </c>
      <c r="F13" s="15" t="n">
        <v>46001</v>
      </c>
      <c r="G13" s="16" t="n">
        <f aca="false">IF(D13="Aylık",1,IF(D13="3 Aylık",3,IF(D13="6 Aylık",6,IF(D13="Yıllık",12,""))))</f>
        <v>1</v>
      </c>
      <c r="H13" s="17" t="str">
        <f aca="false">IF(OR(J13="",J13="Bitti"),"",C13/G13)</f>
        <v/>
      </c>
      <c r="I13" s="17" t="str">
        <f aca="false">IF(H13="","",H13*12)</f>
        <v/>
      </c>
      <c r="J13" s="18" t="str">
        <f aca="false">IF(N13="","",IF(AND(F13&lt;&gt;"",N13&gt;F13),"Bitti",N13))</f>
        <v>Bitti</v>
      </c>
      <c r="K13" s="19" t="str">
        <f aca="false">IF(ISNUMBER(J13),J13-Özet!$C$3,"")</f>
        <v/>
      </c>
      <c r="L13" s="20" t="str">
        <f aca="false">IF(J13="","",IF(J13="Bitti","Bitti",IF(K13&lt;=7,"Bu hafta",IF(K13&lt;=30,"Bu ay","Bekliyor"))))</f>
        <v>Bitti</v>
      </c>
      <c r="M13" s="16" t="n">
        <f aca="false">IF(OR(A13="",C13="",G13="",E13=""),"",MAX(0,ROUNDUP(((YEAR(Özet!$C$3)-YEAR(E13))*12+MONTH(Özet!$C$3)-MONTH(E13))/G13,0)))</f>
        <v>21</v>
      </c>
      <c r="N13" s="16" t="n">
        <f aca="false">IF(M13="","",IF(EDATE(E13,G13*M13)&lt;Özet!$C$3,EDATE(E13,G13*(M13+1)),EDATE(E13,G13*M13)))</f>
        <v>46305</v>
      </c>
      <c r="O13" s="16" t="str">
        <f aca="false">IF(ISNUMBER(J13),J13+ROW()/1000000,"")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5"/>
      <c r="F14" s="15"/>
      <c r="G14" s="16" t="str">
        <f aca="false">IF(D14="Aylık",1,IF(D14="3 Aylık",3,IF(D14="6 Aylık",6,IF(D14="Yıllık",12,""))))</f>
        <v/>
      </c>
      <c r="H14" s="17" t="str">
        <f aca="false">IF(OR(J14="",J14="Bitti"),"",C14/G14)</f>
        <v/>
      </c>
      <c r="I14" s="17" t="str">
        <f aca="false">IF(H14="","",H14*12)</f>
        <v/>
      </c>
      <c r="J14" s="18" t="str">
        <f aca="false">IF(N14="","",IF(AND(F14&lt;&gt;"",N14&gt;F14),"Bitti",N14))</f>
        <v/>
      </c>
      <c r="K14" s="19" t="str">
        <f aca="false">IF(ISNUMBER(J14),J14-Özet!$C$3,"")</f>
        <v/>
      </c>
      <c r="L14" s="20" t="str">
        <f aca="false">IF(J14="","",IF(J14="Bitti","Bitti",IF(K14&lt;=7,"Bu hafta",IF(K14&lt;=30,"Bu ay","Bekliyor"))))</f>
        <v/>
      </c>
      <c r="M14" s="16" t="str">
        <f aca="false">IF(OR(A14="",C14="",G14="",E14=""),"",MAX(0,ROUNDUP(((YEAR(Özet!$C$3)-YEAR(E14))*12+MONTH(Özet!$C$3)-MONTH(E14))/G14,0)))</f>
        <v/>
      </c>
      <c r="N14" s="16" t="str">
        <f aca="false">IF(M14="","",IF(EDATE(E14,G14*M14)&lt;Özet!$C$3,EDATE(E14,G14*(M14+1)),EDATE(E14,G14*M14)))</f>
        <v/>
      </c>
      <c r="O14" s="16" t="str">
        <f aca="false">IF(ISNUMBER(J14),J14+ROW()/1000000,"")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5"/>
      <c r="F15" s="15"/>
      <c r="G15" s="16" t="str">
        <f aca="false">IF(D15="Aylık",1,IF(D15="3 Aylık",3,IF(D15="6 Aylık",6,IF(D15="Yıllık",12,""))))</f>
        <v/>
      </c>
      <c r="H15" s="17" t="str">
        <f aca="false">IF(OR(J15="",J15="Bitti"),"",C15/G15)</f>
        <v/>
      </c>
      <c r="I15" s="17" t="str">
        <f aca="false">IF(H15="","",H15*12)</f>
        <v/>
      </c>
      <c r="J15" s="18" t="str">
        <f aca="false">IF(N15="","",IF(AND(F15&lt;&gt;"",N15&gt;F15),"Bitti",N15))</f>
        <v/>
      </c>
      <c r="K15" s="19" t="str">
        <f aca="false">IF(ISNUMBER(J15),J15-Özet!$C$3,"")</f>
        <v/>
      </c>
      <c r="L15" s="20" t="str">
        <f aca="false">IF(J15="","",IF(J15="Bitti","Bitti",IF(K15&lt;=7,"Bu hafta",IF(K15&lt;=30,"Bu ay","Bekliyor"))))</f>
        <v/>
      </c>
      <c r="M15" s="16" t="str">
        <f aca="false">IF(OR(A15="",C15="",G15="",E15=""),"",MAX(0,ROUNDUP(((YEAR(Özet!$C$3)-YEAR(E15))*12+MONTH(Özet!$C$3)-MONTH(E15))/G15,0)))</f>
        <v/>
      </c>
      <c r="N15" s="16" t="str">
        <f aca="false">IF(M15="","",IF(EDATE(E15,G15*M15)&lt;Özet!$C$3,EDATE(E15,G15*(M15+1)),EDATE(E15,G15*M15)))</f>
        <v/>
      </c>
      <c r="O15" s="16" t="str">
        <f aca="false">IF(ISNUMBER(J15),J15+ROW()/1000000,"")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5"/>
      <c r="F16" s="15"/>
      <c r="G16" s="16" t="str">
        <f aca="false">IF(D16="Aylık",1,IF(D16="3 Aylık",3,IF(D16="6 Aylık",6,IF(D16="Yıllık",12,""))))</f>
        <v/>
      </c>
      <c r="H16" s="17" t="str">
        <f aca="false">IF(OR(J16="",J16="Bitti"),"",C16/G16)</f>
        <v/>
      </c>
      <c r="I16" s="17" t="str">
        <f aca="false">IF(H16="","",H16*12)</f>
        <v/>
      </c>
      <c r="J16" s="18" t="str">
        <f aca="false">IF(N16="","",IF(AND(F16&lt;&gt;"",N16&gt;F16),"Bitti",N16))</f>
        <v/>
      </c>
      <c r="K16" s="19" t="str">
        <f aca="false">IF(ISNUMBER(J16),J16-Özet!$C$3,"")</f>
        <v/>
      </c>
      <c r="L16" s="20" t="str">
        <f aca="false">IF(J16="","",IF(J16="Bitti","Bitti",IF(K16&lt;=7,"Bu hafta",IF(K16&lt;=30,"Bu ay","Bekliyor"))))</f>
        <v/>
      </c>
      <c r="M16" s="16" t="str">
        <f aca="false">IF(OR(A16="",C16="",G16="",E16=""),"",MAX(0,ROUNDUP(((YEAR(Özet!$C$3)-YEAR(E16))*12+MONTH(Özet!$C$3)-MONTH(E16))/G16,0)))</f>
        <v/>
      </c>
      <c r="N16" s="16" t="str">
        <f aca="false">IF(M16="","",IF(EDATE(E16,G16*M16)&lt;Özet!$C$3,EDATE(E16,G16*(M16+1)),EDATE(E16,G16*M16)))</f>
        <v/>
      </c>
      <c r="O16" s="16" t="str">
        <f aca="false">IF(ISNUMBER(J16),J16+ROW()/1000000,"")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5"/>
      <c r="F17" s="15"/>
      <c r="G17" s="16" t="str">
        <f aca="false">IF(D17="Aylık",1,IF(D17="3 Aylık",3,IF(D17="6 Aylık",6,IF(D17="Yıllık",12,""))))</f>
        <v/>
      </c>
      <c r="H17" s="17" t="str">
        <f aca="false">IF(OR(J17="",J17="Bitti"),"",C17/G17)</f>
        <v/>
      </c>
      <c r="I17" s="17" t="str">
        <f aca="false">IF(H17="","",H17*12)</f>
        <v/>
      </c>
      <c r="J17" s="18" t="str">
        <f aca="false">IF(N17="","",IF(AND(F17&lt;&gt;"",N17&gt;F17),"Bitti",N17))</f>
        <v/>
      </c>
      <c r="K17" s="19" t="str">
        <f aca="false">IF(ISNUMBER(J17),J17-Özet!$C$3,"")</f>
        <v/>
      </c>
      <c r="L17" s="20" t="str">
        <f aca="false">IF(J17="","",IF(J17="Bitti","Bitti",IF(K17&lt;=7,"Bu hafta",IF(K17&lt;=30,"Bu ay","Bekliyor"))))</f>
        <v/>
      </c>
      <c r="M17" s="16" t="str">
        <f aca="false">IF(OR(A17="",C17="",G17="",E17=""),"",MAX(0,ROUNDUP(((YEAR(Özet!$C$3)-YEAR(E17))*12+MONTH(Özet!$C$3)-MONTH(E17))/G17,0)))</f>
        <v/>
      </c>
      <c r="N17" s="16" t="str">
        <f aca="false">IF(M17="","",IF(EDATE(E17,G17*M17)&lt;Özet!$C$3,EDATE(E17,G17*(M17+1)),EDATE(E17,G17*M17)))</f>
        <v/>
      </c>
      <c r="O17" s="16" t="str">
        <f aca="false">IF(ISNUMBER(J17),J17+ROW()/1000000,"")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5"/>
      <c r="F18" s="15"/>
      <c r="G18" s="16" t="str">
        <f aca="false">IF(D18="Aylık",1,IF(D18="3 Aylık",3,IF(D18="6 Aylık",6,IF(D18="Yıllık",12,""))))</f>
        <v/>
      </c>
      <c r="H18" s="17" t="str">
        <f aca="false">IF(OR(J18="",J18="Bitti"),"",C18/G18)</f>
        <v/>
      </c>
      <c r="I18" s="17" t="str">
        <f aca="false">IF(H18="","",H18*12)</f>
        <v/>
      </c>
      <c r="J18" s="18" t="str">
        <f aca="false">IF(N18="","",IF(AND(F18&lt;&gt;"",N18&gt;F18),"Bitti",N18))</f>
        <v/>
      </c>
      <c r="K18" s="19" t="str">
        <f aca="false">IF(ISNUMBER(J18),J18-Özet!$C$3,"")</f>
        <v/>
      </c>
      <c r="L18" s="20" t="str">
        <f aca="false">IF(J18="","",IF(J18="Bitti","Bitti",IF(K18&lt;=7,"Bu hafta",IF(K18&lt;=30,"Bu ay","Bekliyor"))))</f>
        <v/>
      </c>
      <c r="M18" s="16" t="str">
        <f aca="false">IF(OR(A18="",C18="",G18="",E18=""),"",MAX(0,ROUNDUP(((YEAR(Özet!$C$3)-YEAR(E18))*12+MONTH(Özet!$C$3)-MONTH(E18))/G18,0)))</f>
        <v/>
      </c>
      <c r="N18" s="16" t="str">
        <f aca="false">IF(M18="","",IF(EDATE(E18,G18*M18)&lt;Özet!$C$3,EDATE(E18,G18*(M18+1)),EDATE(E18,G18*M18)))</f>
        <v/>
      </c>
      <c r="O18" s="16" t="str">
        <f aca="false">IF(ISNUMBER(J18),J18+ROW()/1000000,"")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5"/>
      <c r="F19" s="15"/>
      <c r="G19" s="16" t="str">
        <f aca="false">IF(D19="Aylık",1,IF(D19="3 Aylık",3,IF(D19="6 Aylık",6,IF(D19="Yıllık",12,""))))</f>
        <v/>
      </c>
      <c r="H19" s="17" t="str">
        <f aca="false">IF(OR(J19="",J19="Bitti"),"",C19/G19)</f>
        <v/>
      </c>
      <c r="I19" s="17" t="str">
        <f aca="false">IF(H19="","",H19*12)</f>
        <v/>
      </c>
      <c r="J19" s="18" t="str">
        <f aca="false">IF(N19="","",IF(AND(F19&lt;&gt;"",N19&gt;F19),"Bitti",N19))</f>
        <v/>
      </c>
      <c r="K19" s="19" t="str">
        <f aca="false">IF(ISNUMBER(J19),J19-Özet!$C$3,"")</f>
        <v/>
      </c>
      <c r="L19" s="20" t="str">
        <f aca="false">IF(J19="","",IF(J19="Bitti","Bitti",IF(K19&lt;=7,"Bu hafta",IF(K19&lt;=30,"Bu ay","Bekliyor"))))</f>
        <v/>
      </c>
      <c r="M19" s="16" t="str">
        <f aca="false">IF(OR(A19="",C19="",G19="",E19=""),"",MAX(0,ROUNDUP(((YEAR(Özet!$C$3)-YEAR(E19))*12+MONTH(Özet!$C$3)-MONTH(E19))/G19,0)))</f>
        <v/>
      </c>
      <c r="N19" s="16" t="str">
        <f aca="false">IF(M19="","",IF(EDATE(E19,G19*M19)&lt;Özet!$C$3,EDATE(E19,G19*(M19+1)),EDATE(E19,G19*M19)))</f>
        <v/>
      </c>
      <c r="O19" s="16" t="str">
        <f aca="false">IF(ISNUMBER(J19),J19+ROW()/1000000,"")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5"/>
      <c r="F20" s="15"/>
      <c r="G20" s="16" t="str">
        <f aca="false">IF(D20="Aylık",1,IF(D20="3 Aylık",3,IF(D20="6 Aylık",6,IF(D20="Yıllık",12,""))))</f>
        <v/>
      </c>
      <c r="H20" s="17" t="str">
        <f aca="false">IF(OR(J20="",J20="Bitti"),"",C20/G20)</f>
        <v/>
      </c>
      <c r="I20" s="17" t="str">
        <f aca="false">IF(H20="","",H20*12)</f>
        <v/>
      </c>
      <c r="J20" s="18" t="str">
        <f aca="false">IF(N20="","",IF(AND(F20&lt;&gt;"",N20&gt;F20),"Bitti",N20))</f>
        <v/>
      </c>
      <c r="K20" s="19" t="str">
        <f aca="false">IF(ISNUMBER(J20),J20-Özet!$C$3,"")</f>
        <v/>
      </c>
      <c r="L20" s="20" t="str">
        <f aca="false">IF(J20="","",IF(J20="Bitti","Bitti",IF(K20&lt;=7,"Bu hafta",IF(K20&lt;=30,"Bu ay","Bekliyor"))))</f>
        <v/>
      </c>
      <c r="M20" s="16" t="str">
        <f aca="false">IF(OR(A20="",C20="",G20="",E20=""),"",MAX(0,ROUNDUP(((YEAR(Özet!$C$3)-YEAR(E20))*12+MONTH(Özet!$C$3)-MONTH(E20))/G20,0)))</f>
        <v/>
      </c>
      <c r="N20" s="16" t="str">
        <f aca="false">IF(M20="","",IF(EDATE(E20,G20*M20)&lt;Özet!$C$3,EDATE(E20,G20*(M20+1)),EDATE(E20,G20*M20)))</f>
        <v/>
      </c>
      <c r="O20" s="16" t="str">
        <f aca="false">IF(ISNUMBER(J20),J20+ROW()/1000000,"")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5"/>
      <c r="F21" s="15"/>
      <c r="G21" s="16" t="str">
        <f aca="false">IF(D21="Aylık",1,IF(D21="3 Aylık",3,IF(D21="6 Aylık",6,IF(D21="Yıllık",12,""))))</f>
        <v/>
      </c>
      <c r="H21" s="17" t="str">
        <f aca="false">IF(OR(J21="",J21="Bitti"),"",C21/G21)</f>
        <v/>
      </c>
      <c r="I21" s="17" t="str">
        <f aca="false">IF(H21="","",H21*12)</f>
        <v/>
      </c>
      <c r="J21" s="18" t="str">
        <f aca="false">IF(N21="","",IF(AND(F21&lt;&gt;"",N21&gt;F21),"Bitti",N21))</f>
        <v/>
      </c>
      <c r="K21" s="19" t="str">
        <f aca="false">IF(ISNUMBER(J21),J21-Özet!$C$3,"")</f>
        <v/>
      </c>
      <c r="L21" s="20" t="str">
        <f aca="false">IF(J21="","",IF(J21="Bitti","Bitti",IF(K21&lt;=7,"Bu hafta",IF(K21&lt;=30,"Bu ay","Bekliyor"))))</f>
        <v/>
      </c>
      <c r="M21" s="16" t="str">
        <f aca="false">IF(OR(A21="",C21="",G21="",E21=""),"",MAX(0,ROUNDUP(((YEAR(Özet!$C$3)-YEAR(E21))*12+MONTH(Özet!$C$3)-MONTH(E21))/G21,0)))</f>
        <v/>
      </c>
      <c r="N21" s="16" t="str">
        <f aca="false">IF(M21="","",IF(EDATE(E21,G21*M21)&lt;Özet!$C$3,EDATE(E21,G21*(M21+1)),EDATE(E21,G21*M21)))</f>
        <v/>
      </c>
      <c r="O21" s="16" t="str">
        <f aca="false">IF(ISNUMBER(J21),J21+ROW()/1000000,"")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5"/>
      <c r="F22" s="15"/>
      <c r="G22" s="16" t="str">
        <f aca="false">IF(D22="Aylık",1,IF(D22="3 Aylık",3,IF(D22="6 Aylık",6,IF(D22="Yıllık",12,""))))</f>
        <v/>
      </c>
      <c r="H22" s="17" t="str">
        <f aca="false">IF(OR(J22="",J22="Bitti"),"",C22/G22)</f>
        <v/>
      </c>
      <c r="I22" s="17" t="str">
        <f aca="false">IF(H22="","",H22*12)</f>
        <v/>
      </c>
      <c r="J22" s="18" t="str">
        <f aca="false">IF(N22="","",IF(AND(F22&lt;&gt;"",N22&gt;F22),"Bitti",N22))</f>
        <v/>
      </c>
      <c r="K22" s="19" t="str">
        <f aca="false">IF(ISNUMBER(J22),J22-Özet!$C$3,"")</f>
        <v/>
      </c>
      <c r="L22" s="20" t="str">
        <f aca="false">IF(J22="","",IF(J22="Bitti","Bitti",IF(K22&lt;=7,"Bu hafta",IF(K22&lt;=30,"Bu ay","Bekliyor"))))</f>
        <v/>
      </c>
      <c r="M22" s="16" t="str">
        <f aca="false">IF(OR(A22="",C22="",G22="",E22=""),"",MAX(0,ROUNDUP(((YEAR(Özet!$C$3)-YEAR(E22))*12+MONTH(Özet!$C$3)-MONTH(E22))/G22,0)))</f>
        <v/>
      </c>
      <c r="N22" s="16" t="str">
        <f aca="false">IF(M22="","",IF(EDATE(E22,G22*M22)&lt;Özet!$C$3,EDATE(E22,G22*(M22+1)),EDATE(E22,G22*M22)))</f>
        <v/>
      </c>
      <c r="O22" s="16" t="str">
        <f aca="false">IF(ISNUMBER(J22),J22+ROW()/1000000,"")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5"/>
      <c r="F23" s="15"/>
      <c r="G23" s="16" t="str">
        <f aca="false">IF(D23="Aylık",1,IF(D23="3 Aylık",3,IF(D23="6 Aylık",6,IF(D23="Yıllık",12,""))))</f>
        <v/>
      </c>
      <c r="H23" s="17" t="str">
        <f aca="false">IF(OR(J23="",J23="Bitti"),"",C23/G23)</f>
        <v/>
      </c>
      <c r="I23" s="17" t="str">
        <f aca="false">IF(H23="","",H23*12)</f>
        <v/>
      </c>
      <c r="J23" s="18" t="str">
        <f aca="false">IF(N23="","",IF(AND(F23&lt;&gt;"",N23&gt;F23),"Bitti",N23))</f>
        <v/>
      </c>
      <c r="K23" s="19" t="str">
        <f aca="false">IF(ISNUMBER(J23),J23-Özet!$C$3,"")</f>
        <v/>
      </c>
      <c r="L23" s="20" t="str">
        <f aca="false">IF(J23="","",IF(J23="Bitti","Bitti",IF(K23&lt;=7,"Bu hafta",IF(K23&lt;=30,"Bu ay","Bekliyor"))))</f>
        <v/>
      </c>
      <c r="M23" s="16" t="str">
        <f aca="false">IF(OR(A23="",C23="",G23="",E23=""),"",MAX(0,ROUNDUP(((YEAR(Özet!$C$3)-YEAR(E23))*12+MONTH(Özet!$C$3)-MONTH(E23))/G23,0)))</f>
        <v/>
      </c>
      <c r="N23" s="16" t="str">
        <f aca="false">IF(M23="","",IF(EDATE(E23,G23*M23)&lt;Özet!$C$3,EDATE(E23,G23*(M23+1)),EDATE(E23,G23*M23)))</f>
        <v/>
      </c>
      <c r="O23" s="16" t="str">
        <f aca="false">IF(ISNUMBER(J23),J23+ROW()/1000000,"")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5"/>
      <c r="F24" s="15"/>
      <c r="G24" s="16" t="str">
        <f aca="false">IF(D24="Aylık",1,IF(D24="3 Aylık",3,IF(D24="6 Aylık",6,IF(D24="Yıllık",12,""))))</f>
        <v/>
      </c>
      <c r="H24" s="17" t="str">
        <f aca="false">IF(OR(J24="",J24="Bitti"),"",C24/G24)</f>
        <v/>
      </c>
      <c r="I24" s="17" t="str">
        <f aca="false">IF(H24="","",H24*12)</f>
        <v/>
      </c>
      <c r="J24" s="18" t="str">
        <f aca="false">IF(N24="","",IF(AND(F24&lt;&gt;"",N24&gt;F24),"Bitti",N24))</f>
        <v/>
      </c>
      <c r="K24" s="19" t="str">
        <f aca="false">IF(ISNUMBER(J24),J24-Özet!$C$3,"")</f>
        <v/>
      </c>
      <c r="L24" s="20" t="str">
        <f aca="false">IF(J24="","",IF(J24="Bitti","Bitti",IF(K24&lt;=7,"Bu hafta",IF(K24&lt;=30,"Bu ay","Bekliyor"))))</f>
        <v/>
      </c>
      <c r="M24" s="16" t="str">
        <f aca="false">IF(OR(A24="",C24="",G24="",E24=""),"",MAX(0,ROUNDUP(((YEAR(Özet!$C$3)-YEAR(E24))*12+MONTH(Özet!$C$3)-MONTH(E24))/G24,0)))</f>
        <v/>
      </c>
      <c r="N24" s="16" t="str">
        <f aca="false">IF(M24="","",IF(EDATE(E24,G24*M24)&lt;Özet!$C$3,EDATE(E24,G24*(M24+1)),EDATE(E24,G24*M24)))</f>
        <v/>
      </c>
      <c r="O24" s="16" t="str">
        <f aca="false">IF(ISNUMBER(J24),J24+ROW()/1000000,"")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5"/>
      <c r="F25" s="15"/>
      <c r="G25" s="16" t="str">
        <f aca="false">IF(D25="Aylık",1,IF(D25="3 Aylık",3,IF(D25="6 Aylık",6,IF(D25="Yıllık",12,""))))</f>
        <v/>
      </c>
      <c r="H25" s="17" t="str">
        <f aca="false">IF(OR(J25="",J25="Bitti"),"",C25/G25)</f>
        <v/>
      </c>
      <c r="I25" s="17" t="str">
        <f aca="false">IF(H25="","",H25*12)</f>
        <v/>
      </c>
      <c r="J25" s="18" t="str">
        <f aca="false">IF(N25="","",IF(AND(F25&lt;&gt;"",N25&gt;F25),"Bitti",N25))</f>
        <v/>
      </c>
      <c r="K25" s="19" t="str">
        <f aca="false">IF(ISNUMBER(J25),J25-Özet!$C$3,"")</f>
        <v/>
      </c>
      <c r="L25" s="20" t="str">
        <f aca="false">IF(J25="","",IF(J25="Bitti","Bitti",IF(K25&lt;=7,"Bu hafta",IF(K25&lt;=30,"Bu ay","Bekliyor"))))</f>
        <v/>
      </c>
      <c r="M25" s="16" t="str">
        <f aca="false">IF(OR(A25="",C25="",G25="",E25=""),"",MAX(0,ROUNDUP(((YEAR(Özet!$C$3)-YEAR(E25))*12+MONTH(Özet!$C$3)-MONTH(E25))/G25,0)))</f>
        <v/>
      </c>
      <c r="N25" s="16" t="str">
        <f aca="false">IF(M25="","",IF(EDATE(E25,G25*M25)&lt;Özet!$C$3,EDATE(E25,G25*(M25+1)),EDATE(E25,G25*M25)))</f>
        <v/>
      </c>
      <c r="O25" s="16" t="str">
        <f aca="false">IF(ISNUMBER(J25),J25+ROW()/1000000,"")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5"/>
      <c r="F26" s="15"/>
      <c r="G26" s="16" t="str">
        <f aca="false">IF(D26="Aylık",1,IF(D26="3 Aylık",3,IF(D26="6 Aylık",6,IF(D26="Yıllık",12,""))))</f>
        <v/>
      </c>
      <c r="H26" s="17" t="str">
        <f aca="false">IF(OR(J26="",J26="Bitti"),"",C26/G26)</f>
        <v/>
      </c>
      <c r="I26" s="17" t="str">
        <f aca="false">IF(H26="","",H26*12)</f>
        <v/>
      </c>
      <c r="J26" s="18" t="str">
        <f aca="false">IF(N26="","",IF(AND(F26&lt;&gt;"",N26&gt;F26),"Bitti",N26))</f>
        <v/>
      </c>
      <c r="K26" s="19" t="str">
        <f aca="false">IF(ISNUMBER(J26),J26-Özet!$C$3,"")</f>
        <v/>
      </c>
      <c r="L26" s="20" t="str">
        <f aca="false">IF(J26="","",IF(J26="Bitti","Bitti",IF(K26&lt;=7,"Bu hafta",IF(K26&lt;=30,"Bu ay","Bekliyor"))))</f>
        <v/>
      </c>
      <c r="M26" s="16" t="str">
        <f aca="false">IF(OR(A26="",C26="",G26="",E26=""),"",MAX(0,ROUNDUP(((YEAR(Özet!$C$3)-YEAR(E26))*12+MONTH(Özet!$C$3)-MONTH(E26))/G26,0)))</f>
        <v/>
      </c>
      <c r="N26" s="16" t="str">
        <f aca="false">IF(M26="","",IF(EDATE(E26,G26*M26)&lt;Özet!$C$3,EDATE(E26,G26*(M26+1)),EDATE(E26,G26*M26)))</f>
        <v/>
      </c>
      <c r="O26" s="16" t="str">
        <f aca="false">IF(ISNUMBER(J26),J26+ROW()/1000000,"")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5"/>
      <c r="F27" s="15"/>
      <c r="G27" s="16" t="str">
        <f aca="false">IF(D27="Aylık",1,IF(D27="3 Aylık",3,IF(D27="6 Aylık",6,IF(D27="Yıllık",12,""))))</f>
        <v/>
      </c>
      <c r="H27" s="17" t="str">
        <f aca="false">IF(OR(J27="",J27="Bitti"),"",C27/G27)</f>
        <v/>
      </c>
      <c r="I27" s="17" t="str">
        <f aca="false">IF(H27="","",H27*12)</f>
        <v/>
      </c>
      <c r="J27" s="18" t="str">
        <f aca="false">IF(N27="","",IF(AND(F27&lt;&gt;"",N27&gt;F27),"Bitti",N27))</f>
        <v/>
      </c>
      <c r="K27" s="19" t="str">
        <f aca="false">IF(ISNUMBER(J27),J27-Özet!$C$3,"")</f>
        <v/>
      </c>
      <c r="L27" s="20" t="str">
        <f aca="false">IF(J27="","",IF(J27="Bitti","Bitti",IF(K27&lt;=7,"Bu hafta",IF(K27&lt;=30,"Bu ay","Bekliyor"))))</f>
        <v/>
      </c>
      <c r="M27" s="16" t="str">
        <f aca="false">IF(OR(A27="",C27="",G27="",E27=""),"",MAX(0,ROUNDUP(((YEAR(Özet!$C$3)-YEAR(E27))*12+MONTH(Özet!$C$3)-MONTH(E27))/G27,0)))</f>
        <v/>
      </c>
      <c r="N27" s="16" t="str">
        <f aca="false">IF(M27="","",IF(EDATE(E27,G27*M27)&lt;Özet!$C$3,EDATE(E27,G27*(M27+1)),EDATE(E27,G27*M27)))</f>
        <v/>
      </c>
      <c r="O27" s="16" t="str">
        <f aca="false">IF(ISNUMBER(J27),J27+ROW()/1000000,"")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5"/>
      <c r="F28" s="15"/>
      <c r="G28" s="16" t="str">
        <f aca="false">IF(D28="Aylık",1,IF(D28="3 Aylık",3,IF(D28="6 Aylık",6,IF(D28="Yıllık",12,""))))</f>
        <v/>
      </c>
      <c r="H28" s="17" t="str">
        <f aca="false">IF(OR(J28="",J28="Bitti"),"",C28/G28)</f>
        <v/>
      </c>
      <c r="I28" s="17" t="str">
        <f aca="false">IF(H28="","",H28*12)</f>
        <v/>
      </c>
      <c r="J28" s="18" t="str">
        <f aca="false">IF(N28="","",IF(AND(F28&lt;&gt;"",N28&gt;F28),"Bitti",N28))</f>
        <v/>
      </c>
      <c r="K28" s="19" t="str">
        <f aca="false">IF(ISNUMBER(J28),J28-Özet!$C$3,"")</f>
        <v/>
      </c>
      <c r="L28" s="20" t="str">
        <f aca="false">IF(J28="","",IF(J28="Bitti","Bitti",IF(K28&lt;=7,"Bu hafta",IF(K28&lt;=30,"Bu ay","Bekliyor"))))</f>
        <v/>
      </c>
      <c r="M28" s="16" t="str">
        <f aca="false">IF(OR(A28="",C28="",G28="",E28=""),"",MAX(0,ROUNDUP(((YEAR(Özet!$C$3)-YEAR(E28))*12+MONTH(Özet!$C$3)-MONTH(E28))/G28,0)))</f>
        <v/>
      </c>
      <c r="N28" s="16" t="str">
        <f aca="false">IF(M28="","",IF(EDATE(E28,G28*M28)&lt;Özet!$C$3,EDATE(E28,G28*(M28+1)),EDATE(E28,G28*M28)))</f>
        <v/>
      </c>
      <c r="O28" s="16" t="str">
        <f aca="false">IF(ISNUMBER(J28),J28+ROW()/1000000,"")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5"/>
      <c r="F29" s="15"/>
      <c r="G29" s="16" t="str">
        <f aca="false">IF(D29="Aylık",1,IF(D29="3 Aylık",3,IF(D29="6 Aylık",6,IF(D29="Yıllık",12,""))))</f>
        <v/>
      </c>
      <c r="H29" s="17" t="str">
        <f aca="false">IF(OR(J29="",J29="Bitti"),"",C29/G29)</f>
        <v/>
      </c>
      <c r="I29" s="17" t="str">
        <f aca="false">IF(H29="","",H29*12)</f>
        <v/>
      </c>
      <c r="J29" s="18" t="str">
        <f aca="false">IF(N29="","",IF(AND(F29&lt;&gt;"",N29&gt;F29),"Bitti",N29))</f>
        <v/>
      </c>
      <c r="K29" s="19" t="str">
        <f aca="false">IF(ISNUMBER(J29),J29-Özet!$C$3,"")</f>
        <v/>
      </c>
      <c r="L29" s="20" t="str">
        <f aca="false">IF(J29="","",IF(J29="Bitti","Bitti",IF(K29&lt;=7,"Bu hafta",IF(K29&lt;=30,"Bu ay","Bekliyor"))))</f>
        <v/>
      </c>
      <c r="M29" s="16" t="str">
        <f aca="false">IF(OR(A29="",C29="",G29="",E29=""),"",MAX(0,ROUNDUP(((YEAR(Özet!$C$3)-YEAR(E29))*12+MONTH(Özet!$C$3)-MONTH(E29))/G29,0)))</f>
        <v/>
      </c>
      <c r="N29" s="16" t="str">
        <f aca="false">IF(M29="","",IF(EDATE(E29,G29*M29)&lt;Özet!$C$3,EDATE(E29,G29*(M29+1)),EDATE(E29,G29*M29)))</f>
        <v/>
      </c>
      <c r="O29" s="16" t="str">
        <f aca="false">IF(ISNUMBER(J29),J29+ROW()/1000000,"")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5"/>
      <c r="F30" s="15"/>
      <c r="G30" s="16" t="str">
        <f aca="false">IF(D30="Aylık",1,IF(D30="3 Aylık",3,IF(D30="6 Aylık",6,IF(D30="Yıllık",12,""))))</f>
        <v/>
      </c>
      <c r="H30" s="17" t="str">
        <f aca="false">IF(OR(J30="",J30="Bitti"),"",C30/G30)</f>
        <v/>
      </c>
      <c r="I30" s="17" t="str">
        <f aca="false">IF(H30="","",H30*12)</f>
        <v/>
      </c>
      <c r="J30" s="18" t="str">
        <f aca="false">IF(N30="","",IF(AND(F30&lt;&gt;"",N30&gt;F30),"Bitti",N30))</f>
        <v/>
      </c>
      <c r="K30" s="19" t="str">
        <f aca="false">IF(ISNUMBER(J30),J30-Özet!$C$3,"")</f>
        <v/>
      </c>
      <c r="L30" s="20" t="str">
        <f aca="false">IF(J30="","",IF(J30="Bitti","Bitti",IF(K30&lt;=7,"Bu hafta",IF(K30&lt;=30,"Bu ay","Bekliyor"))))</f>
        <v/>
      </c>
      <c r="M30" s="16" t="str">
        <f aca="false">IF(OR(A30="",C30="",G30="",E30=""),"",MAX(0,ROUNDUP(((YEAR(Özet!$C$3)-YEAR(E30))*12+MONTH(Özet!$C$3)-MONTH(E30))/G30,0)))</f>
        <v/>
      </c>
      <c r="N30" s="16" t="str">
        <f aca="false">IF(M30="","",IF(EDATE(E30,G30*M30)&lt;Özet!$C$3,EDATE(E30,G30*(M30+1)),EDATE(E30,G30*M30)))</f>
        <v/>
      </c>
      <c r="O30" s="16" t="str">
        <f aca="false">IF(ISNUMBER(J30),J30+ROW()/1000000,"")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5"/>
      <c r="F31" s="15"/>
      <c r="G31" s="16" t="str">
        <f aca="false">IF(D31="Aylık",1,IF(D31="3 Aylık",3,IF(D31="6 Aylık",6,IF(D31="Yıllık",12,""))))</f>
        <v/>
      </c>
      <c r="H31" s="17" t="str">
        <f aca="false">IF(OR(J31="",J31="Bitti"),"",C31/G31)</f>
        <v/>
      </c>
      <c r="I31" s="17" t="str">
        <f aca="false">IF(H31="","",H31*12)</f>
        <v/>
      </c>
      <c r="J31" s="18" t="str">
        <f aca="false">IF(N31="","",IF(AND(F31&lt;&gt;"",N31&gt;F31),"Bitti",N31))</f>
        <v/>
      </c>
      <c r="K31" s="19" t="str">
        <f aca="false">IF(ISNUMBER(J31),J31-Özet!$C$3,"")</f>
        <v/>
      </c>
      <c r="L31" s="20" t="str">
        <f aca="false">IF(J31="","",IF(J31="Bitti","Bitti",IF(K31&lt;=7,"Bu hafta",IF(K31&lt;=30,"Bu ay","Bekliyor"))))</f>
        <v/>
      </c>
      <c r="M31" s="16" t="str">
        <f aca="false">IF(OR(A31="",C31="",G31="",E31=""),"",MAX(0,ROUNDUP(((YEAR(Özet!$C$3)-YEAR(E31))*12+MONTH(Özet!$C$3)-MONTH(E31))/G31,0)))</f>
        <v/>
      </c>
      <c r="N31" s="16" t="str">
        <f aca="false">IF(M31="","",IF(EDATE(E31,G31*M31)&lt;Özet!$C$3,EDATE(E31,G31*(M31+1)),EDATE(E31,G31*M31)))</f>
        <v/>
      </c>
      <c r="O31" s="16" t="str">
        <f aca="false">IF(ISNUMBER(J31),J31+ROW()/1000000,"")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5"/>
      <c r="F32" s="15"/>
      <c r="G32" s="16" t="str">
        <f aca="false">IF(D32="Aylık",1,IF(D32="3 Aylık",3,IF(D32="6 Aylık",6,IF(D32="Yıllık",12,""))))</f>
        <v/>
      </c>
      <c r="H32" s="17" t="str">
        <f aca="false">IF(OR(J32="",J32="Bitti"),"",C32/G32)</f>
        <v/>
      </c>
      <c r="I32" s="17" t="str">
        <f aca="false">IF(H32="","",H32*12)</f>
        <v/>
      </c>
      <c r="J32" s="18" t="str">
        <f aca="false">IF(N32="","",IF(AND(F32&lt;&gt;"",N32&gt;F32),"Bitti",N32))</f>
        <v/>
      </c>
      <c r="K32" s="19" t="str">
        <f aca="false">IF(ISNUMBER(J32),J32-Özet!$C$3,"")</f>
        <v/>
      </c>
      <c r="L32" s="20" t="str">
        <f aca="false">IF(J32="","",IF(J32="Bitti","Bitti",IF(K32&lt;=7,"Bu hafta",IF(K32&lt;=30,"Bu ay","Bekliyor"))))</f>
        <v/>
      </c>
      <c r="M32" s="16" t="str">
        <f aca="false">IF(OR(A32="",C32="",G32="",E32=""),"",MAX(0,ROUNDUP(((YEAR(Özet!$C$3)-YEAR(E32))*12+MONTH(Özet!$C$3)-MONTH(E32))/G32,0)))</f>
        <v/>
      </c>
      <c r="N32" s="16" t="str">
        <f aca="false">IF(M32="","",IF(EDATE(E32,G32*M32)&lt;Özet!$C$3,EDATE(E32,G32*(M32+1)),EDATE(E32,G32*M32)))</f>
        <v/>
      </c>
      <c r="O32" s="16" t="str">
        <f aca="false">IF(ISNUMBER(J32),J32+ROW()/1000000,"")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5"/>
      <c r="F33" s="15"/>
      <c r="G33" s="16" t="str">
        <f aca="false">IF(D33="Aylık",1,IF(D33="3 Aylık",3,IF(D33="6 Aylık",6,IF(D33="Yıllık",12,""))))</f>
        <v/>
      </c>
      <c r="H33" s="17" t="str">
        <f aca="false">IF(OR(J33="",J33="Bitti"),"",C33/G33)</f>
        <v/>
      </c>
      <c r="I33" s="17" t="str">
        <f aca="false">IF(H33="","",H33*12)</f>
        <v/>
      </c>
      <c r="J33" s="18" t="str">
        <f aca="false">IF(N33="","",IF(AND(F33&lt;&gt;"",N33&gt;F33),"Bitti",N33))</f>
        <v/>
      </c>
      <c r="K33" s="19" t="str">
        <f aca="false">IF(ISNUMBER(J33),J33-Özet!$C$3,"")</f>
        <v/>
      </c>
      <c r="L33" s="20" t="str">
        <f aca="false">IF(J33="","",IF(J33="Bitti","Bitti",IF(K33&lt;=7,"Bu hafta",IF(K33&lt;=30,"Bu ay","Bekliyor"))))</f>
        <v/>
      </c>
      <c r="M33" s="16" t="str">
        <f aca="false">IF(OR(A33="",C33="",G33="",E33=""),"",MAX(0,ROUNDUP(((YEAR(Özet!$C$3)-YEAR(E33))*12+MONTH(Özet!$C$3)-MONTH(E33))/G33,0)))</f>
        <v/>
      </c>
      <c r="N33" s="16" t="str">
        <f aca="false">IF(M33="","",IF(EDATE(E33,G33*M33)&lt;Özet!$C$3,EDATE(E33,G33*(M33+1)),EDATE(E33,G33*M33)))</f>
        <v/>
      </c>
      <c r="O33" s="16" t="str">
        <f aca="false">IF(ISNUMBER(J33),J33+ROW()/1000000,"")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5"/>
      <c r="F34" s="15"/>
      <c r="G34" s="16" t="str">
        <f aca="false">IF(D34="Aylık",1,IF(D34="3 Aylık",3,IF(D34="6 Aylık",6,IF(D34="Yıllık",12,""))))</f>
        <v/>
      </c>
      <c r="H34" s="17" t="str">
        <f aca="false">IF(OR(J34="",J34="Bitti"),"",C34/G34)</f>
        <v/>
      </c>
      <c r="I34" s="17" t="str">
        <f aca="false">IF(H34="","",H34*12)</f>
        <v/>
      </c>
      <c r="J34" s="18" t="str">
        <f aca="false">IF(N34="","",IF(AND(F34&lt;&gt;"",N34&gt;F34),"Bitti",N34))</f>
        <v/>
      </c>
      <c r="K34" s="19" t="str">
        <f aca="false">IF(ISNUMBER(J34),J34-Özet!$C$3,"")</f>
        <v/>
      </c>
      <c r="L34" s="20" t="str">
        <f aca="false">IF(J34="","",IF(J34="Bitti","Bitti",IF(K34&lt;=7,"Bu hafta",IF(K34&lt;=30,"Bu ay","Bekliyor"))))</f>
        <v/>
      </c>
      <c r="M34" s="16" t="str">
        <f aca="false">IF(OR(A34="",C34="",G34="",E34=""),"",MAX(0,ROUNDUP(((YEAR(Özet!$C$3)-YEAR(E34))*12+MONTH(Özet!$C$3)-MONTH(E34))/G34,0)))</f>
        <v/>
      </c>
      <c r="N34" s="16" t="str">
        <f aca="false">IF(M34="","",IF(EDATE(E34,G34*M34)&lt;Özet!$C$3,EDATE(E34,G34*(M34+1)),EDATE(E34,G34*M34)))</f>
        <v/>
      </c>
      <c r="O34" s="16" t="str">
        <f aca="false">IF(ISNUMBER(J34),J34+ROW()/1000000,"")</f>
        <v/>
      </c>
    </row>
    <row r="35" customFormat="false" ht="15" hidden="false" customHeight="false" outlineLevel="0" collapsed="false">
      <c r="A35" s="12"/>
      <c r="B35" s="12"/>
      <c r="C35" s="13"/>
      <c r="D35" s="14"/>
      <c r="E35" s="15"/>
      <c r="F35" s="15"/>
      <c r="G35" s="16" t="str">
        <f aca="false">IF(D35="Aylık",1,IF(D35="3 Aylık",3,IF(D35="6 Aylık",6,IF(D35="Yıllık",12,""))))</f>
        <v/>
      </c>
      <c r="H35" s="17" t="str">
        <f aca="false">IF(OR(J35="",J35="Bitti"),"",C35/G35)</f>
        <v/>
      </c>
      <c r="I35" s="17" t="str">
        <f aca="false">IF(H35="","",H35*12)</f>
        <v/>
      </c>
      <c r="J35" s="18" t="str">
        <f aca="false">IF(N35="","",IF(AND(F35&lt;&gt;"",N35&gt;F35),"Bitti",N35))</f>
        <v/>
      </c>
      <c r="K35" s="19" t="str">
        <f aca="false">IF(ISNUMBER(J35),J35-Özet!$C$3,"")</f>
        <v/>
      </c>
      <c r="L35" s="20" t="str">
        <f aca="false">IF(J35="","",IF(J35="Bitti","Bitti",IF(K35&lt;=7,"Bu hafta",IF(K35&lt;=30,"Bu ay","Bekliyor"))))</f>
        <v/>
      </c>
      <c r="M35" s="16" t="str">
        <f aca="false">IF(OR(A35="",C35="",G35="",E35=""),"",MAX(0,ROUNDUP(((YEAR(Özet!$C$3)-YEAR(E35))*12+MONTH(Özet!$C$3)-MONTH(E35))/G35,0)))</f>
        <v/>
      </c>
      <c r="N35" s="16" t="str">
        <f aca="false">IF(M35="","",IF(EDATE(E35,G35*M35)&lt;Özet!$C$3,EDATE(E35,G35*(M35+1)),EDATE(E35,G35*M35)))</f>
        <v/>
      </c>
      <c r="O35" s="16" t="str">
        <f aca="false">IF(ISNUMBER(J35),J35+ROW()/1000000,"")</f>
        <v/>
      </c>
    </row>
    <row r="36" customFormat="false" ht="15" hidden="false" customHeight="false" outlineLevel="0" collapsed="false">
      <c r="A36" s="12"/>
      <c r="B36" s="12"/>
      <c r="C36" s="13"/>
      <c r="D36" s="14"/>
      <c r="E36" s="15"/>
      <c r="F36" s="15"/>
      <c r="G36" s="16" t="str">
        <f aca="false">IF(D36="Aylık",1,IF(D36="3 Aylık",3,IF(D36="6 Aylık",6,IF(D36="Yıllık",12,""))))</f>
        <v/>
      </c>
      <c r="H36" s="17" t="str">
        <f aca="false">IF(OR(J36="",J36="Bitti"),"",C36/G36)</f>
        <v/>
      </c>
      <c r="I36" s="17" t="str">
        <f aca="false">IF(H36="","",H36*12)</f>
        <v/>
      </c>
      <c r="J36" s="18" t="str">
        <f aca="false">IF(N36="","",IF(AND(F36&lt;&gt;"",N36&gt;F36),"Bitti",N36))</f>
        <v/>
      </c>
      <c r="K36" s="19" t="str">
        <f aca="false">IF(ISNUMBER(J36),J36-Özet!$C$3,"")</f>
        <v/>
      </c>
      <c r="L36" s="20" t="str">
        <f aca="false">IF(J36="","",IF(J36="Bitti","Bitti",IF(K36&lt;=7,"Bu hafta",IF(K36&lt;=30,"Bu ay","Bekliyor"))))</f>
        <v/>
      </c>
      <c r="M36" s="16" t="str">
        <f aca="false">IF(OR(A36="",C36="",G36="",E36=""),"",MAX(0,ROUNDUP(((YEAR(Özet!$C$3)-YEAR(E36))*12+MONTH(Özet!$C$3)-MONTH(E36))/G36,0)))</f>
        <v/>
      </c>
      <c r="N36" s="16" t="str">
        <f aca="false">IF(M36="","",IF(EDATE(E36,G36*M36)&lt;Özet!$C$3,EDATE(E36,G36*(M36+1)),EDATE(E36,G36*M36)))</f>
        <v/>
      </c>
      <c r="O36" s="16" t="str">
        <f aca="false">IF(ISNUMBER(J36),J36+ROW()/1000000,"")</f>
        <v/>
      </c>
    </row>
    <row r="37" customFormat="false" ht="15" hidden="false" customHeight="false" outlineLevel="0" collapsed="false">
      <c r="A37" s="12"/>
      <c r="B37" s="12"/>
      <c r="C37" s="13"/>
      <c r="D37" s="14"/>
      <c r="E37" s="15"/>
      <c r="F37" s="15"/>
      <c r="G37" s="16" t="str">
        <f aca="false">IF(D37="Aylık",1,IF(D37="3 Aylık",3,IF(D37="6 Aylık",6,IF(D37="Yıllık",12,""))))</f>
        <v/>
      </c>
      <c r="H37" s="17" t="str">
        <f aca="false">IF(OR(J37="",J37="Bitti"),"",C37/G37)</f>
        <v/>
      </c>
      <c r="I37" s="17" t="str">
        <f aca="false">IF(H37="","",H37*12)</f>
        <v/>
      </c>
      <c r="J37" s="18" t="str">
        <f aca="false">IF(N37="","",IF(AND(F37&lt;&gt;"",N37&gt;F37),"Bitti",N37))</f>
        <v/>
      </c>
      <c r="K37" s="19" t="str">
        <f aca="false">IF(ISNUMBER(J37),J37-Özet!$C$3,"")</f>
        <v/>
      </c>
      <c r="L37" s="20" t="str">
        <f aca="false">IF(J37="","",IF(J37="Bitti","Bitti",IF(K37&lt;=7,"Bu hafta",IF(K37&lt;=30,"Bu ay","Bekliyor"))))</f>
        <v/>
      </c>
      <c r="M37" s="16" t="str">
        <f aca="false">IF(OR(A37="",C37="",G37="",E37=""),"",MAX(0,ROUNDUP(((YEAR(Özet!$C$3)-YEAR(E37))*12+MONTH(Özet!$C$3)-MONTH(E37))/G37,0)))</f>
        <v/>
      </c>
      <c r="N37" s="16" t="str">
        <f aca="false">IF(M37="","",IF(EDATE(E37,G37*M37)&lt;Özet!$C$3,EDATE(E37,G37*(M37+1)),EDATE(E37,G37*M37)))</f>
        <v/>
      </c>
      <c r="O37" s="16" t="str">
        <f aca="false">IF(ISNUMBER(J37),J37+ROW()/1000000,"")</f>
        <v/>
      </c>
    </row>
    <row r="38" customFormat="false" ht="15" hidden="false" customHeight="false" outlineLevel="0" collapsed="false">
      <c r="A38" s="12"/>
      <c r="B38" s="12"/>
      <c r="C38" s="13"/>
      <c r="D38" s="14"/>
      <c r="E38" s="15"/>
      <c r="F38" s="15"/>
      <c r="G38" s="16" t="str">
        <f aca="false">IF(D38="Aylık",1,IF(D38="3 Aylık",3,IF(D38="6 Aylık",6,IF(D38="Yıllık",12,""))))</f>
        <v/>
      </c>
      <c r="H38" s="17" t="str">
        <f aca="false">IF(OR(J38="",J38="Bitti"),"",C38/G38)</f>
        <v/>
      </c>
      <c r="I38" s="17" t="str">
        <f aca="false">IF(H38="","",H38*12)</f>
        <v/>
      </c>
      <c r="J38" s="18" t="str">
        <f aca="false">IF(N38="","",IF(AND(F38&lt;&gt;"",N38&gt;F38),"Bitti",N38))</f>
        <v/>
      </c>
      <c r="K38" s="19" t="str">
        <f aca="false">IF(ISNUMBER(J38),J38-Özet!$C$3,"")</f>
        <v/>
      </c>
      <c r="L38" s="20" t="str">
        <f aca="false">IF(J38="","",IF(J38="Bitti","Bitti",IF(K38&lt;=7,"Bu hafta",IF(K38&lt;=30,"Bu ay","Bekliyor"))))</f>
        <v/>
      </c>
      <c r="M38" s="16" t="str">
        <f aca="false">IF(OR(A38="",C38="",G38="",E38=""),"",MAX(0,ROUNDUP(((YEAR(Özet!$C$3)-YEAR(E38))*12+MONTH(Özet!$C$3)-MONTH(E38))/G38,0)))</f>
        <v/>
      </c>
      <c r="N38" s="16" t="str">
        <f aca="false">IF(M38="","",IF(EDATE(E38,G38*M38)&lt;Özet!$C$3,EDATE(E38,G38*(M38+1)),EDATE(E38,G38*M38)))</f>
        <v/>
      </c>
      <c r="O38" s="16" t="str">
        <f aca="false">IF(ISNUMBER(J38),J38+ROW()/1000000,"")</f>
        <v/>
      </c>
    </row>
    <row r="39" customFormat="false" ht="15" hidden="false" customHeight="false" outlineLevel="0" collapsed="false">
      <c r="A39" s="12"/>
      <c r="B39" s="12"/>
      <c r="C39" s="13"/>
      <c r="D39" s="14"/>
      <c r="E39" s="15"/>
      <c r="F39" s="15"/>
      <c r="G39" s="16" t="str">
        <f aca="false">IF(D39="Aylık",1,IF(D39="3 Aylık",3,IF(D39="6 Aylık",6,IF(D39="Yıllık",12,""))))</f>
        <v/>
      </c>
      <c r="H39" s="17" t="str">
        <f aca="false">IF(OR(J39="",J39="Bitti"),"",C39/G39)</f>
        <v/>
      </c>
      <c r="I39" s="17" t="str">
        <f aca="false">IF(H39="","",H39*12)</f>
        <v/>
      </c>
      <c r="J39" s="18" t="str">
        <f aca="false">IF(N39="","",IF(AND(F39&lt;&gt;"",N39&gt;F39),"Bitti",N39))</f>
        <v/>
      </c>
      <c r="K39" s="19" t="str">
        <f aca="false">IF(ISNUMBER(J39),J39-Özet!$C$3,"")</f>
        <v/>
      </c>
      <c r="L39" s="20" t="str">
        <f aca="false">IF(J39="","",IF(J39="Bitti","Bitti",IF(K39&lt;=7,"Bu hafta",IF(K39&lt;=30,"Bu ay","Bekliyor"))))</f>
        <v/>
      </c>
      <c r="M39" s="16" t="str">
        <f aca="false">IF(OR(A39="",C39="",G39="",E39=""),"",MAX(0,ROUNDUP(((YEAR(Özet!$C$3)-YEAR(E39))*12+MONTH(Özet!$C$3)-MONTH(E39))/G39,0)))</f>
        <v/>
      </c>
      <c r="N39" s="16" t="str">
        <f aca="false">IF(M39="","",IF(EDATE(E39,G39*M39)&lt;Özet!$C$3,EDATE(E39,G39*(M39+1)),EDATE(E39,G39*M39)))</f>
        <v/>
      </c>
      <c r="O39" s="16" t="str">
        <f aca="false">IF(ISNUMBER(J39),J39+ROW()/1000000,"")</f>
        <v/>
      </c>
    </row>
    <row r="40" customFormat="false" ht="15" hidden="false" customHeight="false" outlineLevel="0" collapsed="false">
      <c r="A40" s="12"/>
      <c r="B40" s="12"/>
      <c r="C40" s="13"/>
      <c r="D40" s="14"/>
      <c r="E40" s="15"/>
      <c r="F40" s="15"/>
      <c r="G40" s="16" t="str">
        <f aca="false">IF(D40="Aylık",1,IF(D40="3 Aylık",3,IF(D40="6 Aylık",6,IF(D40="Yıllık",12,""))))</f>
        <v/>
      </c>
      <c r="H40" s="17" t="str">
        <f aca="false">IF(OR(J40="",J40="Bitti"),"",C40/G40)</f>
        <v/>
      </c>
      <c r="I40" s="17" t="str">
        <f aca="false">IF(H40="","",H40*12)</f>
        <v/>
      </c>
      <c r="J40" s="18" t="str">
        <f aca="false">IF(N40="","",IF(AND(F40&lt;&gt;"",N40&gt;F40),"Bitti",N40))</f>
        <v/>
      </c>
      <c r="K40" s="19" t="str">
        <f aca="false">IF(ISNUMBER(J40),J40-Özet!$C$3,"")</f>
        <v/>
      </c>
      <c r="L40" s="20" t="str">
        <f aca="false">IF(J40="","",IF(J40="Bitti","Bitti",IF(K40&lt;=7,"Bu hafta",IF(K40&lt;=30,"Bu ay","Bekliyor"))))</f>
        <v/>
      </c>
      <c r="M40" s="16" t="str">
        <f aca="false">IF(OR(A40="",C40="",G40="",E40=""),"",MAX(0,ROUNDUP(((YEAR(Özet!$C$3)-YEAR(E40))*12+MONTH(Özet!$C$3)-MONTH(E40))/G40,0)))</f>
        <v/>
      </c>
      <c r="N40" s="16" t="str">
        <f aca="false">IF(M40="","",IF(EDATE(E40,G40*M40)&lt;Özet!$C$3,EDATE(E40,G40*(M40+1)),EDATE(E40,G40*M40)))</f>
        <v/>
      </c>
      <c r="O40" s="16" t="str">
        <f aca="false">IF(ISNUMBER(J40),J40+ROW()/1000000,"")</f>
        <v/>
      </c>
    </row>
    <row r="41" customFormat="false" ht="15" hidden="false" customHeight="false" outlineLevel="0" collapsed="false">
      <c r="A41" s="12"/>
      <c r="B41" s="12"/>
      <c r="C41" s="13"/>
      <c r="D41" s="14"/>
      <c r="E41" s="15"/>
      <c r="F41" s="15"/>
      <c r="G41" s="16" t="str">
        <f aca="false">IF(D41="Aylık",1,IF(D41="3 Aylık",3,IF(D41="6 Aylık",6,IF(D41="Yıllık",12,""))))</f>
        <v/>
      </c>
      <c r="H41" s="17" t="str">
        <f aca="false">IF(OR(J41="",J41="Bitti"),"",C41/G41)</f>
        <v/>
      </c>
      <c r="I41" s="17" t="str">
        <f aca="false">IF(H41="","",H41*12)</f>
        <v/>
      </c>
      <c r="J41" s="18" t="str">
        <f aca="false">IF(N41="","",IF(AND(F41&lt;&gt;"",N41&gt;F41),"Bitti",N41))</f>
        <v/>
      </c>
      <c r="K41" s="19" t="str">
        <f aca="false">IF(ISNUMBER(J41),J41-Özet!$C$3,"")</f>
        <v/>
      </c>
      <c r="L41" s="20" t="str">
        <f aca="false">IF(J41="","",IF(J41="Bitti","Bitti",IF(K41&lt;=7,"Bu hafta",IF(K41&lt;=30,"Bu ay","Bekliyor"))))</f>
        <v/>
      </c>
      <c r="M41" s="16" t="str">
        <f aca="false">IF(OR(A41="",C41="",G41="",E41=""),"",MAX(0,ROUNDUP(((YEAR(Özet!$C$3)-YEAR(E41))*12+MONTH(Özet!$C$3)-MONTH(E41))/G41,0)))</f>
        <v/>
      </c>
      <c r="N41" s="16" t="str">
        <f aca="false">IF(M41="","",IF(EDATE(E41,G41*M41)&lt;Özet!$C$3,EDATE(E41,G41*(M41+1)),EDATE(E41,G41*M41)))</f>
        <v/>
      </c>
      <c r="O41" s="16" t="str">
        <f aca="false">IF(ISNUMBER(J41),J41+ROW()/1000000,"")</f>
        <v/>
      </c>
    </row>
    <row r="42" customFormat="false" ht="15" hidden="false" customHeight="false" outlineLevel="0" collapsed="false">
      <c r="A42" s="12"/>
      <c r="B42" s="12"/>
      <c r="C42" s="13"/>
      <c r="D42" s="14"/>
      <c r="E42" s="15"/>
      <c r="F42" s="15"/>
      <c r="G42" s="16" t="str">
        <f aca="false">IF(D42="Aylık",1,IF(D42="3 Aylık",3,IF(D42="6 Aylık",6,IF(D42="Yıllık",12,""))))</f>
        <v/>
      </c>
      <c r="H42" s="17" t="str">
        <f aca="false">IF(OR(J42="",J42="Bitti"),"",C42/G42)</f>
        <v/>
      </c>
      <c r="I42" s="17" t="str">
        <f aca="false">IF(H42="","",H42*12)</f>
        <v/>
      </c>
      <c r="J42" s="18" t="str">
        <f aca="false">IF(N42="","",IF(AND(F42&lt;&gt;"",N42&gt;F42),"Bitti",N42))</f>
        <v/>
      </c>
      <c r="K42" s="19" t="str">
        <f aca="false">IF(ISNUMBER(J42),J42-Özet!$C$3,"")</f>
        <v/>
      </c>
      <c r="L42" s="20" t="str">
        <f aca="false">IF(J42="","",IF(J42="Bitti","Bitti",IF(K42&lt;=7,"Bu hafta",IF(K42&lt;=30,"Bu ay","Bekliyor"))))</f>
        <v/>
      </c>
      <c r="M42" s="16" t="str">
        <f aca="false">IF(OR(A42="",C42="",G42="",E42=""),"",MAX(0,ROUNDUP(((YEAR(Özet!$C$3)-YEAR(E42))*12+MONTH(Özet!$C$3)-MONTH(E42))/G42,0)))</f>
        <v/>
      </c>
      <c r="N42" s="16" t="str">
        <f aca="false">IF(M42="","",IF(EDATE(E42,G42*M42)&lt;Özet!$C$3,EDATE(E42,G42*(M42+1)),EDATE(E42,G42*M42)))</f>
        <v/>
      </c>
      <c r="O42" s="16" t="str">
        <f aca="false">IF(ISNUMBER(J42),J42+ROW()/1000000,"")</f>
        <v/>
      </c>
    </row>
    <row r="43" customFormat="false" ht="15" hidden="false" customHeight="false" outlineLevel="0" collapsed="false">
      <c r="A43" s="12"/>
      <c r="B43" s="12"/>
      <c r="C43" s="13"/>
      <c r="D43" s="14"/>
      <c r="E43" s="15"/>
      <c r="F43" s="15"/>
      <c r="G43" s="16" t="str">
        <f aca="false">IF(D43="Aylık",1,IF(D43="3 Aylık",3,IF(D43="6 Aylık",6,IF(D43="Yıllık",12,""))))</f>
        <v/>
      </c>
      <c r="H43" s="17" t="str">
        <f aca="false">IF(OR(J43="",J43="Bitti"),"",C43/G43)</f>
        <v/>
      </c>
      <c r="I43" s="17" t="str">
        <f aca="false">IF(H43="","",H43*12)</f>
        <v/>
      </c>
      <c r="J43" s="18" t="str">
        <f aca="false">IF(N43="","",IF(AND(F43&lt;&gt;"",N43&gt;F43),"Bitti",N43))</f>
        <v/>
      </c>
      <c r="K43" s="19" t="str">
        <f aca="false">IF(ISNUMBER(J43),J43-Özet!$C$3,"")</f>
        <v/>
      </c>
      <c r="L43" s="20" t="str">
        <f aca="false">IF(J43="","",IF(J43="Bitti","Bitti",IF(K43&lt;=7,"Bu hafta",IF(K43&lt;=30,"Bu ay","Bekliyor"))))</f>
        <v/>
      </c>
      <c r="M43" s="16" t="str">
        <f aca="false">IF(OR(A43="",C43="",G43="",E43=""),"",MAX(0,ROUNDUP(((YEAR(Özet!$C$3)-YEAR(E43))*12+MONTH(Özet!$C$3)-MONTH(E43))/G43,0)))</f>
        <v/>
      </c>
      <c r="N43" s="16" t="str">
        <f aca="false">IF(M43="","",IF(EDATE(E43,G43*M43)&lt;Özet!$C$3,EDATE(E43,G43*(M43+1)),EDATE(E43,G43*M43)))</f>
        <v/>
      </c>
      <c r="O43" s="16" t="str">
        <f aca="false">IF(ISNUMBER(J43),J43+ROW()/1000000,"")</f>
        <v/>
      </c>
    </row>
    <row r="44" customFormat="false" ht="15" hidden="false" customHeight="false" outlineLevel="0" collapsed="false">
      <c r="A44" s="12"/>
      <c r="B44" s="12"/>
      <c r="C44" s="13"/>
      <c r="D44" s="14"/>
      <c r="E44" s="15"/>
      <c r="F44" s="15"/>
      <c r="G44" s="16" t="str">
        <f aca="false">IF(D44="Aylık",1,IF(D44="3 Aylık",3,IF(D44="6 Aylık",6,IF(D44="Yıllık",12,""))))</f>
        <v/>
      </c>
      <c r="H44" s="17" t="str">
        <f aca="false">IF(OR(J44="",J44="Bitti"),"",C44/G44)</f>
        <v/>
      </c>
      <c r="I44" s="17" t="str">
        <f aca="false">IF(H44="","",H44*12)</f>
        <v/>
      </c>
      <c r="J44" s="18" t="str">
        <f aca="false">IF(N44="","",IF(AND(F44&lt;&gt;"",N44&gt;F44),"Bitti",N44))</f>
        <v/>
      </c>
      <c r="K44" s="19" t="str">
        <f aca="false">IF(ISNUMBER(J44),J44-Özet!$C$3,"")</f>
        <v/>
      </c>
      <c r="L44" s="20" t="str">
        <f aca="false">IF(J44="","",IF(J44="Bitti","Bitti",IF(K44&lt;=7,"Bu hafta",IF(K44&lt;=30,"Bu ay","Bekliyor"))))</f>
        <v/>
      </c>
      <c r="M44" s="16" t="str">
        <f aca="false">IF(OR(A44="",C44="",G44="",E44=""),"",MAX(0,ROUNDUP(((YEAR(Özet!$C$3)-YEAR(E44))*12+MONTH(Özet!$C$3)-MONTH(E44))/G44,0)))</f>
        <v/>
      </c>
      <c r="N44" s="16" t="str">
        <f aca="false">IF(M44="","",IF(EDATE(E44,G44*M44)&lt;Özet!$C$3,EDATE(E44,G44*(M44+1)),EDATE(E44,G44*M44)))</f>
        <v/>
      </c>
      <c r="O44" s="16" t="str">
        <f aca="false">IF(ISNUMBER(J44),J44+ROW()/1000000,"")</f>
        <v/>
      </c>
    </row>
    <row r="45" customFormat="false" ht="15" hidden="false" customHeight="false" outlineLevel="0" collapsed="false">
      <c r="A45" s="12"/>
      <c r="B45" s="12"/>
      <c r="C45" s="13"/>
      <c r="D45" s="14"/>
      <c r="E45" s="15"/>
      <c r="F45" s="15"/>
      <c r="G45" s="16" t="str">
        <f aca="false">IF(D45="Aylık",1,IF(D45="3 Aylık",3,IF(D45="6 Aylık",6,IF(D45="Yıllık",12,""))))</f>
        <v/>
      </c>
      <c r="H45" s="17" t="str">
        <f aca="false">IF(OR(J45="",J45="Bitti"),"",C45/G45)</f>
        <v/>
      </c>
      <c r="I45" s="17" t="str">
        <f aca="false">IF(H45="","",H45*12)</f>
        <v/>
      </c>
      <c r="J45" s="18" t="str">
        <f aca="false">IF(N45="","",IF(AND(F45&lt;&gt;"",N45&gt;F45),"Bitti",N45))</f>
        <v/>
      </c>
      <c r="K45" s="19" t="str">
        <f aca="false">IF(ISNUMBER(J45),J45-Özet!$C$3,"")</f>
        <v/>
      </c>
      <c r="L45" s="20" t="str">
        <f aca="false">IF(J45="","",IF(J45="Bitti","Bitti",IF(K45&lt;=7,"Bu hafta",IF(K45&lt;=30,"Bu ay","Bekliyor"))))</f>
        <v/>
      </c>
      <c r="M45" s="16" t="str">
        <f aca="false">IF(OR(A45="",C45="",G45="",E45=""),"",MAX(0,ROUNDUP(((YEAR(Özet!$C$3)-YEAR(E45))*12+MONTH(Özet!$C$3)-MONTH(E45))/G45,0)))</f>
        <v/>
      </c>
      <c r="N45" s="16" t="str">
        <f aca="false">IF(M45="","",IF(EDATE(E45,G45*M45)&lt;Özet!$C$3,EDATE(E45,G45*(M45+1)),EDATE(E45,G45*M45)))</f>
        <v/>
      </c>
      <c r="O45" s="16" t="str">
        <f aca="false">IF(ISNUMBER(J45),J45+ROW()/1000000,"")</f>
        <v/>
      </c>
    </row>
    <row r="46" customFormat="false" ht="15" hidden="false" customHeight="false" outlineLevel="0" collapsed="false">
      <c r="A46" s="12"/>
      <c r="B46" s="12"/>
      <c r="C46" s="13"/>
      <c r="D46" s="14"/>
      <c r="E46" s="15"/>
      <c r="F46" s="15"/>
      <c r="G46" s="16" t="str">
        <f aca="false">IF(D46="Aylık",1,IF(D46="3 Aylık",3,IF(D46="6 Aylık",6,IF(D46="Yıllık",12,""))))</f>
        <v/>
      </c>
      <c r="H46" s="17" t="str">
        <f aca="false">IF(OR(J46="",J46="Bitti"),"",C46/G46)</f>
        <v/>
      </c>
      <c r="I46" s="17" t="str">
        <f aca="false">IF(H46="","",H46*12)</f>
        <v/>
      </c>
      <c r="J46" s="18" t="str">
        <f aca="false">IF(N46="","",IF(AND(F46&lt;&gt;"",N46&gt;F46),"Bitti",N46))</f>
        <v/>
      </c>
      <c r="K46" s="19" t="str">
        <f aca="false">IF(ISNUMBER(J46),J46-Özet!$C$3,"")</f>
        <v/>
      </c>
      <c r="L46" s="20" t="str">
        <f aca="false">IF(J46="","",IF(J46="Bitti","Bitti",IF(K46&lt;=7,"Bu hafta",IF(K46&lt;=30,"Bu ay","Bekliyor"))))</f>
        <v/>
      </c>
      <c r="M46" s="16" t="str">
        <f aca="false">IF(OR(A46="",C46="",G46="",E46=""),"",MAX(0,ROUNDUP(((YEAR(Özet!$C$3)-YEAR(E46))*12+MONTH(Özet!$C$3)-MONTH(E46))/G46,0)))</f>
        <v/>
      </c>
      <c r="N46" s="16" t="str">
        <f aca="false">IF(M46="","",IF(EDATE(E46,G46*M46)&lt;Özet!$C$3,EDATE(E46,G46*(M46+1)),EDATE(E46,G46*M46)))</f>
        <v/>
      </c>
      <c r="O46" s="16" t="str">
        <f aca="false">IF(ISNUMBER(J46),J46+ROW()/1000000,"")</f>
        <v/>
      </c>
    </row>
    <row r="47" customFormat="false" ht="15" hidden="false" customHeight="false" outlineLevel="0" collapsed="false">
      <c r="A47" s="12"/>
      <c r="B47" s="12"/>
      <c r="C47" s="13"/>
      <c r="D47" s="14"/>
      <c r="E47" s="15"/>
      <c r="F47" s="15"/>
      <c r="G47" s="16" t="str">
        <f aca="false">IF(D47="Aylık",1,IF(D47="3 Aylık",3,IF(D47="6 Aylık",6,IF(D47="Yıllık",12,""))))</f>
        <v/>
      </c>
      <c r="H47" s="17" t="str">
        <f aca="false">IF(OR(J47="",J47="Bitti"),"",C47/G47)</f>
        <v/>
      </c>
      <c r="I47" s="17" t="str">
        <f aca="false">IF(H47="","",H47*12)</f>
        <v/>
      </c>
      <c r="J47" s="18" t="str">
        <f aca="false">IF(N47="","",IF(AND(F47&lt;&gt;"",N47&gt;F47),"Bitti",N47))</f>
        <v/>
      </c>
      <c r="K47" s="19" t="str">
        <f aca="false">IF(ISNUMBER(J47),J47-Özet!$C$3,"")</f>
        <v/>
      </c>
      <c r="L47" s="20" t="str">
        <f aca="false">IF(J47="","",IF(J47="Bitti","Bitti",IF(K47&lt;=7,"Bu hafta",IF(K47&lt;=30,"Bu ay","Bekliyor"))))</f>
        <v/>
      </c>
      <c r="M47" s="16" t="str">
        <f aca="false">IF(OR(A47="",C47="",G47="",E47=""),"",MAX(0,ROUNDUP(((YEAR(Özet!$C$3)-YEAR(E47))*12+MONTH(Özet!$C$3)-MONTH(E47))/G47,0)))</f>
        <v/>
      </c>
      <c r="N47" s="16" t="str">
        <f aca="false">IF(M47="","",IF(EDATE(E47,G47*M47)&lt;Özet!$C$3,EDATE(E47,G47*(M47+1)),EDATE(E47,G47*M47)))</f>
        <v/>
      </c>
      <c r="O47" s="16" t="str">
        <f aca="false">IF(ISNUMBER(J47),J47+ROW()/1000000,"")</f>
        <v/>
      </c>
    </row>
    <row r="48" customFormat="false" ht="15" hidden="false" customHeight="false" outlineLevel="0" collapsed="false">
      <c r="A48" s="12"/>
      <c r="B48" s="12"/>
      <c r="C48" s="13"/>
      <c r="D48" s="14"/>
      <c r="E48" s="15"/>
      <c r="F48" s="15"/>
      <c r="G48" s="16" t="str">
        <f aca="false">IF(D48="Aylık",1,IF(D48="3 Aylık",3,IF(D48="6 Aylık",6,IF(D48="Yıllık",12,""))))</f>
        <v/>
      </c>
      <c r="H48" s="17" t="str">
        <f aca="false">IF(OR(J48="",J48="Bitti"),"",C48/G48)</f>
        <v/>
      </c>
      <c r="I48" s="17" t="str">
        <f aca="false">IF(H48="","",H48*12)</f>
        <v/>
      </c>
      <c r="J48" s="18" t="str">
        <f aca="false">IF(N48="","",IF(AND(F48&lt;&gt;"",N48&gt;F48),"Bitti",N48))</f>
        <v/>
      </c>
      <c r="K48" s="19" t="str">
        <f aca="false">IF(ISNUMBER(J48),J48-Özet!$C$3,"")</f>
        <v/>
      </c>
      <c r="L48" s="20" t="str">
        <f aca="false">IF(J48="","",IF(J48="Bitti","Bitti",IF(K48&lt;=7,"Bu hafta",IF(K48&lt;=30,"Bu ay","Bekliyor"))))</f>
        <v/>
      </c>
      <c r="M48" s="16" t="str">
        <f aca="false">IF(OR(A48="",C48="",G48="",E48=""),"",MAX(0,ROUNDUP(((YEAR(Özet!$C$3)-YEAR(E48))*12+MONTH(Özet!$C$3)-MONTH(E48))/G48,0)))</f>
        <v/>
      </c>
      <c r="N48" s="16" t="str">
        <f aca="false">IF(M48="","",IF(EDATE(E48,G48*M48)&lt;Özet!$C$3,EDATE(E48,G48*(M48+1)),EDATE(E48,G48*M48)))</f>
        <v/>
      </c>
      <c r="O48" s="16" t="str">
        <f aca="false">IF(ISNUMBER(J48),J48+ROW()/1000000,"")</f>
        <v/>
      </c>
    </row>
    <row r="49" customFormat="false" ht="15" hidden="false" customHeight="false" outlineLevel="0" collapsed="false">
      <c r="A49" s="12"/>
      <c r="B49" s="12"/>
      <c r="C49" s="13"/>
      <c r="D49" s="14"/>
      <c r="E49" s="15"/>
      <c r="F49" s="15"/>
      <c r="G49" s="16" t="str">
        <f aca="false">IF(D49="Aylık",1,IF(D49="3 Aylık",3,IF(D49="6 Aylık",6,IF(D49="Yıllık",12,""))))</f>
        <v/>
      </c>
      <c r="H49" s="17" t="str">
        <f aca="false">IF(OR(J49="",J49="Bitti"),"",C49/G49)</f>
        <v/>
      </c>
      <c r="I49" s="17" t="str">
        <f aca="false">IF(H49="","",H49*12)</f>
        <v/>
      </c>
      <c r="J49" s="18" t="str">
        <f aca="false">IF(N49="","",IF(AND(F49&lt;&gt;"",N49&gt;F49),"Bitti",N49))</f>
        <v/>
      </c>
      <c r="K49" s="19" t="str">
        <f aca="false">IF(ISNUMBER(J49),J49-Özet!$C$3,"")</f>
        <v/>
      </c>
      <c r="L49" s="20" t="str">
        <f aca="false">IF(J49="","",IF(J49="Bitti","Bitti",IF(K49&lt;=7,"Bu hafta",IF(K49&lt;=30,"Bu ay","Bekliyor"))))</f>
        <v/>
      </c>
      <c r="M49" s="16" t="str">
        <f aca="false">IF(OR(A49="",C49="",G49="",E49=""),"",MAX(0,ROUNDUP(((YEAR(Özet!$C$3)-YEAR(E49))*12+MONTH(Özet!$C$3)-MONTH(E49))/G49,0)))</f>
        <v/>
      </c>
      <c r="N49" s="16" t="str">
        <f aca="false">IF(M49="","",IF(EDATE(E49,G49*M49)&lt;Özet!$C$3,EDATE(E49,G49*(M49+1)),EDATE(E49,G49*M49)))</f>
        <v/>
      </c>
      <c r="O49" s="16" t="str">
        <f aca="false">IF(ISNUMBER(J49),J49+ROW()/1000000,"")</f>
        <v/>
      </c>
    </row>
    <row r="50" customFormat="false" ht="15" hidden="false" customHeight="false" outlineLevel="0" collapsed="false">
      <c r="A50" s="12"/>
      <c r="B50" s="12"/>
      <c r="C50" s="13"/>
      <c r="D50" s="14"/>
      <c r="E50" s="15"/>
      <c r="F50" s="15"/>
      <c r="G50" s="16" t="str">
        <f aca="false">IF(D50="Aylık",1,IF(D50="3 Aylık",3,IF(D50="6 Aylık",6,IF(D50="Yıllık",12,""))))</f>
        <v/>
      </c>
      <c r="H50" s="17" t="str">
        <f aca="false">IF(OR(J50="",J50="Bitti"),"",C50/G50)</f>
        <v/>
      </c>
      <c r="I50" s="17" t="str">
        <f aca="false">IF(H50="","",H50*12)</f>
        <v/>
      </c>
      <c r="J50" s="18" t="str">
        <f aca="false">IF(N50="","",IF(AND(F50&lt;&gt;"",N50&gt;F50),"Bitti",N50))</f>
        <v/>
      </c>
      <c r="K50" s="19" t="str">
        <f aca="false">IF(ISNUMBER(J50),J50-Özet!$C$3,"")</f>
        <v/>
      </c>
      <c r="L50" s="20" t="str">
        <f aca="false">IF(J50="","",IF(J50="Bitti","Bitti",IF(K50&lt;=7,"Bu hafta",IF(K50&lt;=30,"Bu ay","Bekliyor"))))</f>
        <v/>
      </c>
      <c r="M50" s="16" t="str">
        <f aca="false">IF(OR(A50="",C50="",G50="",E50=""),"",MAX(0,ROUNDUP(((YEAR(Özet!$C$3)-YEAR(E50))*12+MONTH(Özet!$C$3)-MONTH(E50))/G50,0)))</f>
        <v/>
      </c>
      <c r="N50" s="16" t="str">
        <f aca="false">IF(M50="","",IF(EDATE(E50,G50*M50)&lt;Özet!$C$3,EDATE(E50,G50*(M50+1)),EDATE(E50,G50*M50)))</f>
        <v/>
      </c>
      <c r="O50" s="16" t="str">
        <f aca="false">IF(ISNUMBER(J50),J50+ROW()/1000000,"")</f>
        <v/>
      </c>
    </row>
    <row r="51" customFormat="false" ht="15" hidden="false" customHeight="false" outlineLevel="0" collapsed="false">
      <c r="A51" s="12"/>
      <c r="B51" s="12"/>
      <c r="C51" s="13"/>
      <c r="D51" s="14"/>
      <c r="E51" s="15"/>
      <c r="F51" s="15"/>
      <c r="G51" s="16" t="str">
        <f aca="false">IF(D51="Aylık",1,IF(D51="3 Aylık",3,IF(D51="6 Aylık",6,IF(D51="Yıllık",12,""))))</f>
        <v/>
      </c>
      <c r="H51" s="17" t="str">
        <f aca="false">IF(OR(J51="",J51="Bitti"),"",C51/G51)</f>
        <v/>
      </c>
      <c r="I51" s="17" t="str">
        <f aca="false">IF(H51="","",H51*12)</f>
        <v/>
      </c>
      <c r="J51" s="18" t="str">
        <f aca="false">IF(N51="","",IF(AND(F51&lt;&gt;"",N51&gt;F51),"Bitti",N51))</f>
        <v/>
      </c>
      <c r="K51" s="19" t="str">
        <f aca="false">IF(ISNUMBER(J51),J51-Özet!$C$3,"")</f>
        <v/>
      </c>
      <c r="L51" s="20" t="str">
        <f aca="false">IF(J51="","",IF(J51="Bitti","Bitti",IF(K51&lt;=7,"Bu hafta",IF(K51&lt;=30,"Bu ay","Bekliyor"))))</f>
        <v/>
      </c>
      <c r="M51" s="16" t="str">
        <f aca="false">IF(OR(A51="",C51="",G51="",E51=""),"",MAX(0,ROUNDUP(((YEAR(Özet!$C$3)-YEAR(E51))*12+MONTH(Özet!$C$3)-MONTH(E51))/G51,0)))</f>
        <v/>
      </c>
      <c r="N51" s="16" t="str">
        <f aca="false">IF(M51="","",IF(EDATE(E51,G51*M51)&lt;Özet!$C$3,EDATE(E51,G51*(M51+1)),EDATE(E51,G51*M51)))</f>
        <v/>
      </c>
      <c r="O51" s="16" t="str">
        <f aca="false">IF(ISNUMBER(J51),J51+ROW()/1000000,"")</f>
        <v/>
      </c>
    </row>
    <row r="52" customFormat="false" ht="15" hidden="false" customHeight="false" outlineLevel="0" collapsed="false">
      <c r="A52" s="12"/>
      <c r="B52" s="12"/>
      <c r="C52" s="13"/>
      <c r="D52" s="14"/>
      <c r="E52" s="15"/>
      <c r="F52" s="15"/>
      <c r="G52" s="16" t="str">
        <f aca="false">IF(D52="Aylık",1,IF(D52="3 Aylık",3,IF(D52="6 Aylık",6,IF(D52="Yıllık",12,""))))</f>
        <v/>
      </c>
      <c r="H52" s="17" t="str">
        <f aca="false">IF(OR(J52="",J52="Bitti"),"",C52/G52)</f>
        <v/>
      </c>
      <c r="I52" s="17" t="str">
        <f aca="false">IF(H52="","",H52*12)</f>
        <v/>
      </c>
      <c r="J52" s="18" t="str">
        <f aca="false">IF(N52="","",IF(AND(F52&lt;&gt;"",N52&gt;F52),"Bitti",N52))</f>
        <v/>
      </c>
      <c r="K52" s="19" t="str">
        <f aca="false">IF(ISNUMBER(J52),J52-Özet!$C$3,"")</f>
        <v/>
      </c>
      <c r="L52" s="20" t="str">
        <f aca="false">IF(J52="","",IF(J52="Bitti","Bitti",IF(K52&lt;=7,"Bu hafta",IF(K52&lt;=30,"Bu ay","Bekliyor"))))</f>
        <v/>
      </c>
      <c r="M52" s="16" t="str">
        <f aca="false">IF(OR(A52="",C52="",G52="",E52=""),"",MAX(0,ROUNDUP(((YEAR(Özet!$C$3)-YEAR(E52))*12+MONTH(Özet!$C$3)-MONTH(E52))/G52,0)))</f>
        <v/>
      </c>
      <c r="N52" s="16" t="str">
        <f aca="false">IF(M52="","",IF(EDATE(E52,G52*M52)&lt;Özet!$C$3,EDATE(E52,G52*(M52+1)),EDATE(E52,G52*M52)))</f>
        <v/>
      </c>
      <c r="O52" s="16" t="str">
        <f aca="false">IF(ISNUMBER(J52),J52+ROW()/1000000,"")</f>
        <v/>
      </c>
    </row>
    <row r="53" customFormat="false" ht="15" hidden="false" customHeight="false" outlineLevel="0" collapsed="false">
      <c r="A53" s="12"/>
      <c r="B53" s="12"/>
      <c r="C53" s="13"/>
      <c r="D53" s="14"/>
      <c r="E53" s="15"/>
      <c r="F53" s="15"/>
      <c r="G53" s="16" t="str">
        <f aca="false">IF(D53="Aylık",1,IF(D53="3 Aylık",3,IF(D53="6 Aylık",6,IF(D53="Yıllık",12,""))))</f>
        <v/>
      </c>
      <c r="H53" s="17" t="str">
        <f aca="false">IF(OR(J53="",J53="Bitti"),"",C53/G53)</f>
        <v/>
      </c>
      <c r="I53" s="17" t="str">
        <f aca="false">IF(H53="","",H53*12)</f>
        <v/>
      </c>
      <c r="J53" s="18" t="str">
        <f aca="false">IF(N53="","",IF(AND(F53&lt;&gt;"",N53&gt;F53),"Bitti",N53))</f>
        <v/>
      </c>
      <c r="K53" s="19" t="str">
        <f aca="false">IF(ISNUMBER(J53),J53-Özet!$C$3,"")</f>
        <v/>
      </c>
      <c r="L53" s="20" t="str">
        <f aca="false">IF(J53="","",IF(J53="Bitti","Bitti",IF(K53&lt;=7,"Bu hafta",IF(K53&lt;=30,"Bu ay","Bekliyor"))))</f>
        <v/>
      </c>
      <c r="M53" s="16" t="str">
        <f aca="false">IF(OR(A53="",C53="",G53="",E53=""),"",MAX(0,ROUNDUP(((YEAR(Özet!$C$3)-YEAR(E53))*12+MONTH(Özet!$C$3)-MONTH(E53))/G53,0)))</f>
        <v/>
      </c>
      <c r="N53" s="16" t="str">
        <f aca="false">IF(M53="","",IF(EDATE(E53,G53*M53)&lt;Özet!$C$3,EDATE(E53,G53*(M53+1)),EDATE(E53,G53*M53)))</f>
        <v/>
      </c>
      <c r="O53" s="16" t="str">
        <f aca="false">IF(ISNUMBER(J53),J53+ROW()/1000000,"")</f>
        <v/>
      </c>
    </row>
    <row r="54" customFormat="false" ht="15" hidden="false" customHeight="false" outlineLevel="0" collapsed="false">
      <c r="A54" s="12"/>
      <c r="B54" s="12"/>
      <c r="C54" s="13"/>
      <c r="D54" s="14"/>
      <c r="E54" s="15"/>
      <c r="F54" s="15"/>
      <c r="G54" s="16" t="str">
        <f aca="false">IF(D54="Aylık",1,IF(D54="3 Aylık",3,IF(D54="6 Aylık",6,IF(D54="Yıllık",12,""))))</f>
        <v/>
      </c>
      <c r="H54" s="17" t="str">
        <f aca="false">IF(OR(J54="",J54="Bitti"),"",C54/G54)</f>
        <v/>
      </c>
      <c r="I54" s="17" t="str">
        <f aca="false">IF(H54="","",H54*12)</f>
        <v/>
      </c>
      <c r="J54" s="18" t="str">
        <f aca="false">IF(N54="","",IF(AND(F54&lt;&gt;"",N54&gt;F54),"Bitti",N54))</f>
        <v/>
      </c>
      <c r="K54" s="19" t="str">
        <f aca="false">IF(ISNUMBER(J54),J54-Özet!$C$3,"")</f>
        <v/>
      </c>
      <c r="L54" s="20" t="str">
        <f aca="false">IF(J54="","",IF(J54="Bitti","Bitti",IF(K54&lt;=7,"Bu hafta",IF(K54&lt;=30,"Bu ay","Bekliyor"))))</f>
        <v/>
      </c>
      <c r="M54" s="16" t="str">
        <f aca="false">IF(OR(A54="",C54="",G54="",E54=""),"",MAX(0,ROUNDUP(((YEAR(Özet!$C$3)-YEAR(E54))*12+MONTH(Özet!$C$3)-MONTH(E54))/G54,0)))</f>
        <v/>
      </c>
      <c r="N54" s="16" t="str">
        <f aca="false">IF(M54="","",IF(EDATE(E54,G54*M54)&lt;Özet!$C$3,EDATE(E54,G54*(M54+1)),EDATE(E54,G54*M54)))</f>
        <v/>
      </c>
      <c r="O54" s="16" t="str">
        <f aca="false">IF(ISNUMBER(J54),J54+ROW()/1000000,"")</f>
        <v/>
      </c>
    </row>
    <row r="55" customFormat="false" ht="15" hidden="false" customHeight="false" outlineLevel="0" collapsed="false">
      <c r="A55" s="12"/>
      <c r="B55" s="12"/>
      <c r="C55" s="13"/>
      <c r="D55" s="14"/>
      <c r="E55" s="15"/>
      <c r="F55" s="15"/>
      <c r="G55" s="16" t="str">
        <f aca="false">IF(D55="Aylık",1,IF(D55="3 Aylık",3,IF(D55="6 Aylık",6,IF(D55="Yıllık",12,""))))</f>
        <v/>
      </c>
      <c r="H55" s="17" t="str">
        <f aca="false">IF(OR(J55="",J55="Bitti"),"",C55/G55)</f>
        <v/>
      </c>
      <c r="I55" s="17" t="str">
        <f aca="false">IF(H55="","",H55*12)</f>
        <v/>
      </c>
      <c r="J55" s="18" t="str">
        <f aca="false">IF(N55="","",IF(AND(F55&lt;&gt;"",N55&gt;F55),"Bitti",N55))</f>
        <v/>
      </c>
      <c r="K55" s="19" t="str">
        <f aca="false">IF(ISNUMBER(J55),J55-Özet!$C$3,"")</f>
        <v/>
      </c>
      <c r="L55" s="20" t="str">
        <f aca="false">IF(J55="","",IF(J55="Bitti","Bitti",IF(K55&lt;=7,"Bu hafta",IF(K55&lt;=30,"Bu ay","Bekliyor"))))</f>
        <v/>
      </c>
      <c r="M55" s="16" t="str">
        <f aca="false">IF(OR(A55="",C55="",G55="",E55=""),"",MAX(0,ROUNDUP(((YEAR(Özet!$C$3)-YEAR(E55))*12+MONTH(Özet!$C$3)-MONTH(E55))/G55,0)))</f>
        <v/>
      </c>
      <c r="N55" s="16" t="str">
        <f aca="false">IF(M55="","",IF(EDATE(E55,G55*M55)&lt;Özet!$C$3,EDATE(E55,G55*(M55+1)),EDATE(E55,G55*M55)))</f>
        <v/>
      </c>
      <c r="O55" s="16" t="str">
        <f aca="false">IF(ISNUMBER(J55),J55+ROW()/1000000,"")</f>
        <v/>
      </c>
    </row>
    <row r="56" customFormat="false" ht="15" hidden="false" customHeight="false" outlineLevel="0" collapsed="false">
      <c r="A56" s="12"/>
      <c r="B56" s="12"/>
      <c r="C56" s="13"/>
      <c r="D56" s="14"/>
      <c r="E56" s="15"/>
      <c r="F56" s="15"/>
      <c r="G56" s="16" t="str">
        <f aca="false">IF(D56="Aylık",1,IF(D56="3 Aylık",3,IF(D56="6 Aylık",6,IF(D56="Yıllık",12,""))))</f>
        <v/>
      </c>
      <c r="H56" s="17" t="str">
        <f aca="false">IF(OR(J56="",J56="Bitti"),"",C56/G56)</f>
        <v/>
      </c>
      <c r="I56" s="17" t="str">
        <f aca="false">IF(H56="","",H56*12)</f>
        <v/>
      </c>
      <c r="J56" s="18" t="str">
        <f aca="false">IF(N56="","",IF(AND(F56&lt;&gt;"",N56&gt;F56),"Bitti",N56))</f>
        <v/>
      </c>
      <c r="K56" s="19" t="str">
        <f aca="false">IF(ISNUMBER(J56),J56-Özet!$C$3,"")</f>
        <v/>
      </c>
      <c r="L56" s="20" t="str">
        <f aca="false">IF(J56="","",IF(J56="Bitti","Bitti",IF(K56&lt;=7,"Bu hafta",IF(K56&lt;=30,"Bu ay","Bekliyor"))))</f>
        <v/>
      </c>
      <c r="M56" s="16" t="str">
        <f aca="false">IF(OR(A56="",C56="",G56="",E56=""),"",MAX(0,ROUNDUP(((YEAR(Özet!$C$3)-YEAR(E56))*12+MONTH(Özet!$C$3)-MONTH(E56))/G56,0)))</f>
        <v/>
      </c>
      <c r="N56" s="16" t="str">
        <f aca="false">IF(M56="","",IF(EDATE(E56,G56*M56)&lt;Özet!$C$3,EDATE(E56,G56*(M56+1)),EDATE(E56,G56*M56)))</f>
        <v/>
      </c>
      <c r="O56" s="16" t="str">
        <f aca="false">IF(ISNUMBER(J56),J56+ROW()/1000000,"")</f>
        <v/>
      </c>
    </row>
    <row r="57" customFormat="false" ht="15" hidden="false" customHeight="false" outlineLevel="0" collapsed="false">
      <c r="A57" s="12"/>
      <c r="B57" s="12"/>
      <c r="C57" s="13"/>
      <c r="D57" s="14"/>
      <c r="E57" s="15"/>
      <c r="F57" s="15"/>
      <c r="G57" s="16" t="str">
        <f aca="false">IF(D57="Aylık",1,IF(D57="3 Aylık",3,IF(D57="6 Aylık",6,IF(D57="Yıllık",12,""))))</f>
        <v/>
      </c>
      <c r="H57" s="17" t="str">
        <f aca="false">IF(OR(J57="",J57="Bitti"),"",C57/G57)</f>
        <v/>
      </c>
      <c r="I57" s="17" t="str">
        <f aca="false">IF(H57="","",H57*12)</f>
        <v/>
      </c>
      <c r="J57" s="18" t="str">
        <f aca="false">IF(N57="","",IF(AND(F57&lt;&gt;"",N57&gt;F57),"Bitti",N57))</f>
        <v/>
      </c>
      <c r="K57" s="19" t="str">
        <f aca="false">IF(ISNUMBER(J57),J57-Özet!$C$3,"")</f>
        <v/>
      </c>
      <c r="L57" s="20" t="str">
        <f aca="false">IF(J57="","",IF(J57="Bitti","Bitti",IF(K57&lt;=7,"Bu hafta",IF(K57&lt;=30,"Bu ay","Bekliyor"))))</f>
        <v/>
      </c>
      <c r="M57" s="16" t="str">
        <f aca="false">IF(OR(A57="",C57="",G57="",E57=""),"",MAX(0,ROUNDUP(((YEAR(Özet!$C$3)-YEAR(E57))*12+MONTH(Özet!$C$3)-MONTH(E57))/G57,0)))</f>
        <v/>
      </c>
      <c r="N57" s="16" t="str">
        <f aca="false">IF(M57="","",IF(EDATE(E57,G57*M57)&lt;Özet!$C$3,EDATE(E57,G57*(M57+1)),EDATE(E57,G57*M57)))</f>
        <v/>
      </c>
      <c r="O57" s="16" t="str">
        <f aca="false">IF(ISNUMBER(J57),J57+ROW()/1000000,"")</f>
        <v/>
      </c>
    </row>
    <row r="58" customFormat="false" ht="15" hidden="false" customHeight="false" outlineLevel="0" collapsed="false">
      <c r="A58" s="12"/>
      <c r="B58" s="12"/>
      <c r="C58" s="13"/>
      <c r="D58" s="14"/>
      <c r="E58" s="15"/>
      <c r="F58" s="15"/>
      <c r="G58" s="16" t="str">
        <f aca="false">IF(D58="Aylık",1,IF(D58="3 Aylık",3,IF(D58="6 Aylık",6,IF(D58="Yıllık",12,""))))</f>
        <v/>
      </c>
      <c r="H58" s="17" t="str">
        <f aca="false">IF(OR(J58="",J58="Bitti"),"",C58/G58)</f>
        <v/>
      </c>
      <c r="I58" s="17" t="str">
        <f aca="false">IF(H58="","",H58*12)</f>
        <v/>
      </c>
      <c r="J58" s="18" t="str">
        <f aca="false">IF(N58="","",IF(AND(F58&lt;&gt;"",N58&gt;F58),"Bitti",N58))</f>
        <v/>
      </c>
      <c r="K58" s="19" t="str">
        <f aca="false">IF(ISNUMBER(J58),J58-Özet!$C$3,"")</f>
        <v/>
      </c>
      <c r="L58" s="20" t="str">
        <f aca="false">IF(J58="","",IF(J58="Bitti","Bitti",IF(K58&lt;=7,"Bu hafta",IF(K58&lt;=30,"Bu ay","Bekliyor"))))</f>
        <v/>
      </c>
      <c r="M58" s="16" t="str">
        <f aca="false">IF(OR(A58="",C58="",G58="",E58=""),"",MAX(0,ROUNDUP(((YEAR(Özet!$C$3)-YEAR(E58))*12+MONTH(Özet!$C$3)-MONTH(E58))/G58,0)))</f>
        <v/>
      </c>
      <c r="N58" s="16" t="str">
        <f aca="false">IF(M58="","",IF(EDATE(E58,G58*M58)&lt;Özet!$C$3,EDATE(E58,G58*(M58+1)),EDATE(E58,G58*M58)))</f>
        <v/>
      </c>
      <c r="O58" s="16" t="str">
        <f aca="false">IF(ISNUMBER(J58),J58+ROW()/1000000,"")</f>
        <v/>
      </c>
    </row>
    <row r="59" customFormat="false" ht="15" hidden="false" customHeight="false" outlineLevel="0" collapsed="false">
      <c r="A59" s="12"/>
      <c r="B59" s="12"/>
      <c r="C59" s="13"/>
      <c r="D59" s="14"/>
      <c r="E59" s="15"/>
      <c r="F59" s="15"/>
      <c r="G59" s="16" t="str">
        <f aca="false">IF(D59="Aylık",1,IF(D59="3 Aylık",3,IF(D59="6 Aylık",6,IF(D59="Yıllık",12,""))))</f>
        <v/>
      </c>
      <c r="H59" s="17" t="str">
        <f aca="false">IF(OR(J59="",J59="Bitti"),"",C59/G59)</f>
        <v/>
      </c>
      <c r="I59" s="17" t="str">
        <f aca="false">IF(H59="","",H59*12)</f>
        <v/>
      </c>
      <c r="J59" s="18" t="str">
        <f aca="false">IF(N59="","",IF(AND(F59&lt;&gt;"",N59&gt;F59),"Bitti",N59))</f>
        <v/>
      </c>
      <c r="K59" s="19" t="str">
        <f aca="false">IF(ISNUMBER(J59),J59-Özet!$C$3,"")</f>
        <v/>
      </c>
      <c r="L59" s="20" t="str">
        <f aca="false">IF(J59="","",IF(J59="Bitti","Bitti",IF(K59&lt;=7,"Bu hafta",IF(K59&lt;=30,"Bu ay","Bekliyor"))))</f>
        <v/>
      </c>
      <c r="M59" s="16" t="str">
        <f aca="false">IF(OR(A59="",C59="",G59="",E59=""),"",MAX(0,ROUNDUP(((YEAR(Özet!$C$3)-YEAR(E59))*12+MONTH(Özet!$C$3)-MONTH(E59))/G59,0)))</f>
        <v/>
      </c>
      <c r="N59" s="16" t="str">
        <f aca="false">IF(M59="","",IF(EDATE(E59,G59*M59)&lt;Özet!$C$3,EDATE(E59,G59*(M59+1)),EDATE(E59,G59*M59)))</f>
        <v/>
      </c>
      <c r="O59" s="16" t="str">
        <f aca="false">IF(ISNUMBER(J59),J59+ROW()/1000000,"")</f>
        <v/>
      </c>
    </row>
    <row r="60" customFormat="false" ht="15" hidden="false" customHeight="false" outlineLevel="0" collapsed="false">
      <c r="A60" s="12"/>
      <c r="B60" s="12"/>
      <c r="C60" s="13"/>
      <c r="D60" s="14"/>
      <c r="E60" s="15"/>
      <c r="F60" s="15"/>
      <c r="G60" s="16" t="str">
        <f aca="false">IF(D60="Aylık",1,IF(D60="3 Aylık",3,IF(D60="6 Aylık",6,IF(D60="Yıllık",12,""))))</f>
        <v/>
      </c>
      <c r="H60" s="17" t="str">
        <f aca="false">IF(OR(J60="",J60="Bitti"),"",C60/G60)</f>
        <v/>
      </c>
      <c r="I60" s="17" t="str">
        <f aca="false">IF(H60="","",H60*12)</f>
        <v/>
      </c>
      <c r="J60" s="18" t="str">
        <f aca="false">IF(N60="","",IF(AND(F60&lt;&gt;"",N60&gt;F60),"Bitti",N60))</f>
        <v/>
      </c>
      <c r="K60" s="19" t="str">
        <f aca="false">IF(ISNUMBER(J60),J60-Özet!$C$3,"")</f>
        <v/>
      </c>
      <c r="L60" s="20" t="str">
        <f aca="false">IF(J60="","",IF(J60="Bitti","Bitti",IF(K60&lt;=7,"Bu hafta",IF(K60&lt;=30,"Bu ay","Bekliyor"))))</f>
        <v/>
      </c>
      <c r="M60" s="16" t="str">
        <f aca="false">IF(OR(A60="",C60="",G60="",E60=""),"",MAX(0,ROUNDUP(((YEAR(Özet!$C$3)-YEAR(E60))*12+MONTH(Özet!$C$3)-MONTH(E60))/G60,0)))</f>
        <v/>
      </c>
      <c r="N60" s="16" t="str">
        <f aca="false">IF(M60="","",IF(EDATE(E60,G60*M60)&lt;Özet!$C$3,EDATE(E60,G60*(M60+1)),EDATE(E60,G60*M60)))</f>
        <v/>
      </c>
      <c r="O60" s="16" t="str">
        <f aca="false">IF(ISNUMBER(J60),J60+ROW()/1000000,"")</f>
        <v/>
      </c>
    </row>
    <row r="61" customFormat="false" ht="15" hidden="false" customHeight="false" outlineLevel="0" collapsed="false">
      <c r="A61" s="12"/>
      <c r="B61" s="12"/>
      <c r="C61" s="13"/>
      <c r="D61" s="14"/>
      <c r="E61" s="15"/>
      <c r="F61" s="15"/>
      <c r="G61" s="16" t="str">
        <f aca="false">IF(D61="Aylık",1,IF(D61="3 Aylık",3,IF(D61="6 Aylık",6,IF(D61="Yıllık",12,""))))</f>
        <v/>
      </c>
      <c r="H61" s="17" t="str">
        <f aca="false">IF(OR(J61="",J61="Bitti"),"",C61/G61)</f>
        <v/>
      </c>
      <c r="I61" s="17" t="str">
        <f aca="false">IF(H61="","",H61*12)</f>
        <v/>
      </c>
      <c r="J61" s="18" t="str">
        <f aca="false">IF(N61="","",IF(AND(F61&lt;&gt;"",N61&gt;F61),"Bitti",N61))</f>
        <v/>
      </c>
      <c r="K61" s="19" t="str">
        <f aca="false">IF(ISNUMBER(J61),J61-Özet!$C$3,"")</f>
        <v/>
      </c>
      <c r="L61" s="20" t="str">
        <f aca="false">IF(J61="","",IF(J61="Bitti","Bitti",IF(K61&lt;=7,"Bu hafta",IF(K61&lt;=30,"Bu ay","Bekliyor"))))</f>
        <v/>
      </c>
      <c r="M61" s="16" t="str">
        <f aca="false">IF(OR(A61="",C61="",G61="",E61=""),"",MAX(0,ROUNDUP(((YEAR(Özet!$C$3)-YEAR(E61))*12+MONTH(Özet!$C$3)-MONTH(E61))/G61,0)))</f>
        <v/>
      </c>
      <c r="N61" s="16" t="str">
        <f aca="false">IF(M61="","",IF(EDATE(E61,G61*M61)&lt;Özet!$C$3,EDATE(E61,G61*(M61+1)),EDATE(E61,G61*M61)))</f>
        <v/>
      </c>
      <c r="O61" s="16" t="str">
        <f aca="false">IF(ISNUMBER(J61),J61+ROW()/1000000,"")</f>
        <v/>
      </c>
    </row>
    <row r="62" customFormat="false" ht="15" hidden="false" customHeight="false" outlineLevel="0" collapsed="false">
      <c r="A62" s="12"/>
      <c r="B62" s="12"/>
      <c r="C62" s="13"/>
      <c r="D62" s="14"/>
      <c r="E62" s="15"/>
      <c r="F62" s="15"/>
      <c r="G62" s="16" t="str">
        <f aca="false">IF(D62="Aylık",1,IF(D62="3 Aylık",3,IF(D62="6 Aylık",6,IF(D62="Yıllık",12,""))))</f>
        <v/>
      </c>
      <c r="H62" s="17" t="str">
        <f aca="false">IF(OR(J62="",J62="Bitti"),"",C62/G62)</f>
        <v/>
      </c>
      <c r="I62" s="17" t="str">
        <f aca="false">IF(H62="","",H62*12)</f>
        <v/>
      </c>
      <c r="J62" s="18" t="str">
        <f aca="false">IF(N62="","",IF(AND(F62&lt;&gt;"",N62&gt;F62),"Bitti",N62))</f>
        <v/>
      </c>
      <c r="K62" s="19" t="str">
        <f aca="false">IF(ISNUMBER(J62),J62-Özet!$C$3,"")</f>
        <v/>
      </c>
      <c r="L62" s="20" t="str">
        <f aca="false">IF(J62="","",IF(J62="Bitti","Bitti",IF(K62&lt;=7,"Bu hafta",IF(K62&lt;=30,"Bu ay","Bekliyor"))))</f>
        <v/>
      </c>
      <c r="M62" s="16" t="str">
        <f aca="false">IF(OR(A62="",C62="",G62="",E62=""),"",MAX(0,ROUNDUP(((YEAR(Özet!$C$3)-YEAR(E62))*12+MONTH(Özet!$C$3)-MONTH(E62))/G62,0)))</f>
        <v/>
      </c>
      <c r="N62" s="16" t="str">
        <f aca="false">IF(M62="","",IF(EDATE(E62,G62*M62)&lt;Özet!$C$3,EDATE(E62,G62*(M62+1)),EDATE(E62,G62*M62)))</f>
        <v/>
      </c>
      <c r="O62" s="16" t="str">
        <f aca="false">IF(ISNUMBER(J62),J62+ROW()/1000000,"")</f>
        <v/>
      </c>
    </row>
    <row r="63" customFormat="false" ht="15" hidden="false" customHeight="false" outlineLevel="0" collapsed="false">
      <c r="A63" s="12"/>
      <c r="B63" s="12"/>
      <c r="C63" s="13"/>
      <c r="D63" s="14"/>
      <c r="E63" s="15"/>
      <c r="F63" s="15"/>
      <c r="G63" s="16" t="str">
        <f aca="false">IF(D63="Aylık",1,IF(D63="3 Aylık",3,IF(D63="6 Aylık",6,IF(D63="Yıllık",12,""))))</f>
        <v/>
      </c>
      <c r="H63" s="17" t="str">
        <f aca="false">IF(OR(J63="",J63="Bitti"),"",C63/G63)</f>
        <v/>
      </c>
      <c r="I63" s="17" t="str">
        <f aca="false">IF(H63="","",H63*12)</f>
        <v/>
      </c>
      <c r="J63" s="18" t="str">
        <f aca="false">IF(N63="","",IF(AND(F63&lt;&gt;"",N63&gt;F63),"Bitti",N63))</f>
        <v/>
      </c>
      <c r="K63" s="19" t="str">
        <f aca="false">IF(ISNUMBER(J63),J63-Özet!$C$3,"")</f>
        <v/>
      </c>
      <c r="L63" s="20" t="str">
        <f aca="false">IF(J63="","",IF(J63="Bitti","Bitti",IF(K63&lt;=7,"Bu hafta",IF(K63&lt;=30,"Bu ay","Bekliyor"))))</f>
        <v/>
      </c>
      <c r="M63" s="16" t="str">
        <f aca="false">IF(OR(A63="",C63="",G63="",E63=""),"",MAX(0,ROUNDUP(((YEAR(Özet!$C$3)-YEAR(E63))*12+MONTH(Özet!$C$3)-MONTH(E63))/G63,0)))</f>
        <v/>
      </c>
      <c r="N63" s="16" t="str">
        <f aca="false">IF(M63="","",IF(EDATE(E63,G63*M63)&lt;Özet!$C$3,EDATE(E63,G63*(M63+1)),EDATE(E63,G63*M63)))</f>
        <v/>
      </c>
      <c r="O63" s="16" t="str">
        <f aca="false">IF(ISNUMBER(J63),J63+ROW()/1000000,"")</f>
        <v/>
      </c>
    </row>
    <row r="64" customFormat="false" ht="15" hidden="false" customHeight="false" outlineLevel="0" collapsed="false">
      <c r="A64" s="12"/>
      <c r="B64" s="12"/>
      <c r="C64" s="13"/>
      <c r="D64" s="14"/>
      <c r="E64" s="15"/>
      <c r="F64" s="15"/>
      <c r="G64" s="16" t="str">
        <f aca="false">IF(D64="Aylık",1,IF(D64="3 Aylık",3,IF(D64="6 Aylık",6,IF(D64="Yıllık",12,""))))</f>
        <v/>
      </c>
      <c r="H64" s="17" t="str">
        <f aca="false">IF(OR(J64="",J64="Bitti"),"",C64/G64)</f>
        <v/>
      </c>
      <c r="I64" s="17" t="str">
        <f aca="false">IF(H64="","",H64*12)</f>
        <v/>
      </c>
      <c r="J64" s="18" t="str">
        <f aca="false">IF(N64="","",IF(AND(F64&lt;&gt;"",N64&gt;F64),"Bitti",N64))</f>
        <v/>
      </c>
      <c r="K64" s="19" t="str">
        <f aca="false">IF(ISNUMBER(J64),J64-Özet!$C$3,"")</f>
        <v/>
      </c>
      <c r="L64" s="20" t="str">
        <f aca="false">IF(J64="","",IF(J64="Bitti","Bitti",IF(K64&lt;=7,"Bu hafta",IF(K64&lt;=30,"Bu ay","Bekliyor"))))</f>
        <v/>
      </c>
      <c r="M64" s="16" t="str">
        <f aca="false">IF(OR(A64="",C64="",G64="",E64=""),"",MAX(0,ROUNDUP(((YEAR(Özet!$C$3)-YEAR(E64))*12+MONTH(Özet!$C$3)-MONTH(E64))/G64,0)))</f>
        <v/>
      </c>
      <c r="N64" s="16" t="str">
        <f aca="false">IF(M64="","",IF(EDATE(E64,G64*M64)&lt;Özet!$C$3,EDATE(E64,G64*(M64+1)),EDATE(E64,G64*M64)))</f>
        <v/>
      </c>
      <c r="O64" s="16" t="str">
        <f aca="false">IF(ISNUMBER(J64),J64+ROW()/1000000,"")</f>
        <v/>
      </c>
    </row>
    <row r="65" customFormat="false" ht="15" hidden="false" customHeight="false" outlineLevel="0" collapsed="false">
      <c r="A65" s="12"/>
      <c r="B65" s="12"/>
      <c r="C65" s="13"/>
      <c r="D65" s="14"/>
      <c r="E65" s="15"/>
      <c r="F65" s="15"/>
      <c r="G65" s="16" t="str">
        <f aca="false">IF(D65="Aylık",1,IF(D65="3 Aylık",3,IF(D65="6 Aylık",6,IF(D65="Yıllık",12,""))))</f>
        <v/>
      </c>
      <c r="H65" s="17" t="str">
        <f aca="false">IF(OR(J65="",J65="Bitti"),"",C65/G65)</f>
        <v/>
      </c>
      <c r="I65" s="17" t="str">
        <f aca="false">IF(H65="","",H65*12)</f>
        <v/>
      </c>
      <c r="J65" s="18" t="str">
        <f aca="false">IF(N65="","",IF(AND(F65&lt;&gt;"",N65&gt;F65),"Bitti",N65))</f>
        <v/>
      </c>
      <c r="K65" s="19" t="str">
        <f aca="false">IF(ISNUMBER(J65),J65-Özet!$C$3,"")</f>
        <v/>
      </c>
      <c r="L65" s="20" t="str">
        <f aca="false">IF(J65="","",IF(J65="Bitti","Bitti",IF(K65&lt;=7,"Bu hafta",IF(K65&lt;=30,"Bu ay","Bekliyor"))))</f>
        <v/>
      </c>
      <c r="M65" s="16" t="str">
        <f aca="false">IF(OR(A65="",C65="",G65="",E65=""),"",MAX(0,ROUNDUP(((YEAR(Özet!$C$3)-YEAR(E65))*12+MONTH(Özet!$C$3)-MONTH(E65))/G65,0)))</f>
        <v/>
      </c>
      <c r="N65" s="16" t="str">
        <f aca="false">IF(M65="","",IF(EDATE(E65,G65*M65)&lt;Özet!$C$3,EDATE(E65,G65*(M65+1)),EDATE(E65,G65*M65)))</f>
        <v/>
      </c>
      <c r="O65" s="16" t="str">
        <f aca="false">IF(ISNUMBER(J65),J65+ROW()/1000000,"")</f>
        <v/>
      </c>
    </row>
    <row r="66" customFormat="false" ht="15" hidden="false" customHeight="false" outlineLevel="0" collapsed="false">
      <c r="A66" s="12"/>
      <c r="B66" s="12"/>
      <c r="C66" s="13"/>
      <c r="D66" s="14"/>
      <c r="E66" s="15"/>
      <c r="F66" s="15"/>
      <c r="G66" s="16" t="str">
        <f aca="false">IF(D66="Aylık",1,IF(D66="3 Aylık",3,IF(D66="6 Aylık",6,IF(D66="Yıllık",12,""))))</f>
        <v/>
      </c>
      <c r="H66" s="17" t="str">
        <f aca="false">IF(OR(J66="",J66="Bitti"),"",C66/G66)</f>
        <v/>
      </c>
      <c r="I66" s="17" t="str">
        <f aca="false">IF(H66="","",H66*12)</f>
        <v/>
      </c>
      <c r="J66" s="18" t="str">
        <f aca="false">IF(N66="","",IF(AND(F66&lt;&gt;"",N66&gt;F66),"Bitti",N66))</f>
        <v/>
      </c>
      <c r="K66" s="19" t="str">
        <f aca="false">IF(ISNUMBER(J66),J66-Özet!$C$3,"")</f>
        <v/>
      </c>
      <c r="L66" s="20" t="str">
        <f aca="false">IF(J66="","",IF(J66="Bitti","Bitti",IF(K66&lt;=7,"Bu hafta",IF(K66&lt;=30,"Bu ay","Bekliyor"))))</f>
        <v/>
      </c>
      <c r="M66" s="16" t="str">
        <f aca="false">IF(OR(A66="",C66="",G66="",E66=""),"",MAX(0,ROUNDUP(((YEAR(Özet!$C$3)-YEAR(E66))*12+MONTH(Özet!$C$3)-MONTH(E66))/G66,0)))</f>
        <v/>
      </c>
      <c r="N66" s="16" t="str">
        <f aca="false">IF(M66="","",IF(EDATE(E66,G66*M66)&lt;Özet!$C$3,EDATE(E66,G66*(M66+1)),EDATE(E66,G66*M66)))</f>
        <v/>
      </c>
      <c r="O66" s="16" t="str">
        <f aca="false">IF(ISNUMBER(J66),J66+ROW()/1000000,"")</f>
        <v/>
      </c>
    </row>
    <row r="67" customFormat="false" ht="15" hidden="false" customHeight="false" outlineLevel="0" collapsed="false">
      <c r="A67" s="12"/>
      <c r="B67" s="12"/>
      <c r="C67" s="13"/>
      <c r="D67" s="14"/>
      <c r="E67" s="15"/>
      <c r="F67" s="15"/>
      <c r="G67" s="16" t="str">
        <f aca="false">IF(D67="Aylık",1,IF(D67="3 Aylık",3,IF(D67="6 Aylık",6,IF(D67="Yıllık",12,""))))</f>
        <v/>
      </c>
      <c r="H67" s="17" t="str">
        <f aca="false">IF(OR(J67="",J67="Bitti"),"",C67/G67)</f>
        <v/>
      </c>
      <c r="I67" s="17" t="str">
        <f aca="false">IF(H67="","",H67*12)</f>
        <v/>
      </c>
      <c r="J67" s="18" t="str">
        <f aca="false">IF(N67="","",IF(AND(F67&lt;&gt;"",N67&gt;F67),"Bitti",N67))</f>
        <v/>
      </c>
      <c r="K67" s="19" t="str">
        <f aca="false">IF(ISNUMBER(J67),J67-Özet!$C$3,"")</f>
        <v/>
      </c>
      <c r="L67" s="20" t="str">
        <f aca="false">IF(J67="","",IF(J67="Bitti","Bitti",IF(K67&lt;=7,"Bu hafta",IF(K67&lt;=30,"Bu ay","Bekliyor"))))</f>
        <v/>
      </c>
      <c r="M67" s="16" t="str">
        <f aca="false">IF(OR(A67="",C67="",G67="",E67=""),"",MAX(0,ROUNDUP(((YEAR(Özet!$C$3)-YEAR(E67))*12+MONTH(Özet!$C$3)-MONTH(E67))/G67,0)))</f>
        <v/>
      </c>
      <c r="N67" s="16" t="str">
        <f aca="false">IF(M67="","",IF(EDATE(E67,G67*M67)&lt;Özet!$C$3,EDATE(E67,G67*(M67+1)),EDATE(E67,G67*M67)))</f>
        <v/>
      </c>
      <c r="O67" s="16" t="str">
        <f aca="false">IF(ISNUMBER(J67),J67+ROW()/1000000,"")</f>
        <v/>
      </c>
    </row>
    <row r="68" customFormat="false" ht="15" hidden="false" customHeight="false" outlineLevel="0" collapsed="false">
      <c r="A68" s="12"/>
      <c r="B68" s="12"/>
      <c r="C68" s="13"/>
      <c r="D68" s="14"/>
      <c r="E68" s="15"/>
      <c r="F68" s="15"/>
      <c r="G68" s="16" t="str">
        <f aca="false">IF(D68="Aylık",1,IF(D68="3 Aylık",3,IF(D68="6 Aylık",6,IF(D68="Yıllık",12,""))))</f>
        <v/>
      </c>
      <c r="H68" s="17" t="str">
        <f aca="false">IF(OR(J68="",J68="Bitti"),"",C68/G68)</f>
        <v/>
      </c>
      <c r="I68" s="17" t="str">
        <f aca="false">IF(H68="","",H68*12)</f>
        <v/>
      </c>
      <c r="J68" s="18" t="str">
        <f aca="false">IF(N68="","",IF(AND(F68&lt;&gt;"",N68&gt;F68),"Bitti",N68))</f>
        <v/>
      </c>
      <c r="K68" s="19" t="str">
        <f aca="false">IF(ISNUMBER(J68),J68-Özet!$C$3,"")</f>
        <v/>
      </c>
      <c r="L68" s="20" t="str">
        <f aca="false">IF(J68="","",IF(J68="Bitti","Bitti",IF(K68&lt;=7,"Bu hafta",IF(K68&lt;=30,"Bu ay","Bekliyor"))))</f>
        <v/>
      </c>
      <c r="M68" s="16" t="str">
        <f aca="false">IF(OR(A68="",C68="",G68="",E68=""),"",MAX(0,ROUNDUP(((YEAR(Özet!$C$3)-YEAR(E68))*12+MONTH(Özet!$C$3)-MONTH(E68))/G68,0)))</f>
        <v/>
      </c>
      <c r="N68" s="16" t="str">
        <f aca="false">IF(M68="","",IF(EDATE(E68,G68*M68)&lt;Özet!$C$3,EDATE(E68,G68*(M68+1)),EDATE(E68,G68*M68)))</f>
        <v/>
      </c>
      <c r="O68" s="16" t="str">
        <f aca="false">IF(ISNUMBER(J68),J68+ROW()/1000000,"")</f>
        <v/>
      </c>
    </row>
    <row r="69" customFormat="false" ht="15" hidden="false" customHeight="false" outlineLevel="0" collapsed="false">
      <c r="A69" s="12"/>
      <c r="B69" s="12"/>
      <c r="C69" s="13"/>
      <c r="D69" s="14"/>
      <c r="E69" s="15"/>
      <c r="F69" s="15"/>
      <c r="G69" s="16" t="str">
        <f aca="false">IF(D69="Aylık",1,IF(D69="3 Aylık",3,IF(D69="6 Aylık",6,IF(D69="Yıllık",12,""))))</f>
        <v/>
      </c>
      <c r="H69" s="17" t="str">
        <f aca="false">IF(OR(J69="",J69="Bitti"),"",C69/G69)</f>
        <v/>
      </c>
      <c r="I69" s="17" t="str">
        <f aca="false">IF(H69="","",H69*12)</f>
        <v/>
      </c>
      <c r="J69" s="18" t="str">
        <f aca="false">IF(N69="","",IF(AND(F69&lt;&gt;"",N69&gt;F69),"Bitti",N69))</f>
        <v/>
      </c>
      <c r="K69" s="19" t="str">
        <f aca="false">IF(ISNUMBER(J69),J69-Özet!$C$3,"")</f>
        <v/>
      </c>
      <c r="L69" s="20" t="str">
        <f aca="false">IF(J69="","",IF(J69="Bitti","Bitti",IF(K69&lt;=7,"Bu hafta",IF(K69&lt;=30,"Bu ay","Bekliyor"))))</f>
        <v/>
      </c>
      <c r="M69" s="16" t="str">
        <f aca="false">IF(OR(A69="",C69="",G69="",E69=""),"",MAX(0,ROUNDUP(((YEAR(Özet!$C$3)-YEAR(E69))*12+MONTH(Özet!$C$3)-MONTH(E69))/G69,0)))</f>
        <v/>
      </c>
      <c r="N69" s="16" t="str">
        <f aca="false">IF(M69="","",IF(EDATE(E69,G69*M69)&lt;Özet!$C$3,EDATE(E69,G69*(M69+1)),EDATE(E69,G69*M69)))</f>
        <v/>
      </c>
      <c r="O69" s="16" t="str">
        <f aca="false">IF(ISNUMBER(J69),J69+ROW()/1000000,"")</f>
        <v/>
      </c>
    </row>
    <row r="70" customFormat="false" ht="15" hidden="false" customHeight="false" outlineLevel="0" collapsed="false">
      <c r="A70" s="12"/>
      <c r="B70" s="12"/>
      <c r="C70" s="13"/>
      <c r="D70" s="14"/>
      <c r="E70" s="15"/>
      <c r="F70" s="15"/>
      <c r="G70" s="16" t="str">
        <f aca="false">IF(D70="Aylık",1,IF(D70="3 Aylık",3,IF(D70="6 Aylık",6,IF(D70="Yıllık",12,""))))</f>
        <v/>
      </c>
      <c r="H70" s="17" t="str">
        <f aca="false">IF(OR(J70="",J70="Bitti"),"",C70/G70)</f>
        <v/>
      </c>
      <c r="I70" s="17" t="str">
        <f aca="false">IF(H70="","",H70*12)</f>
        <v/>
      </c>
      <c r="J70" s="18" t="str">
        <f aca="false">IF(N70="","",IF(AND(F70&lt;&gt;"",N70&gt;F70),"Bitti",N70))</f>
        <v/>
      </c>
      <c r="K70" s="19" t="str">
        <f aca="false">IF(ISNUMBER(J70),J70-Özet!$C$3,"")</f>
        <v/>
      </c>
      <c r="L70" s="20" t="str">
        <f aca="false">IF(J70="","",IF(J70="Bitti","Bitti",IF(K70&lt;=7,"Bu hafta",IF(K70&lt;=30,"Bu ay","Bekliyor"))))</f>
        <v/>
      </c>
      <c r="M70" s="16" t="str">
        <f aca="false">IF(OR(A70="",C70="",G70="",E70=""),"",MAX(0,ROUNDUP(((YEAR(Özet!$C$3)-YEAR(E70))*12+MONTH(Özet!$C$3)-MONTH(E70))/G70,0)))</f>
        <v/>
      </c>
      <c r="N70" s="16" t="str">
        <f aca="false">IF(M70="","",IF(EDATE(E70,G70*M70)&lt;Özet!$C$3,EDATE(E70,G70*(M70+1)),EDATE(E70,G70*M70)))</f>
        <v/>
      </c>
      <c r="O70" s="16" t="str">
        <f aca="false">IF(ISNUMBER(J70),J70+ROW()/1000000,"")</f>
        <v/>
      </c>
    </row>
    <row r="71" customFormat="false" ht="15" hidden="false" customHeight="false" outlineLevel="0" collapsed="false">
      <c r="A71" s="12"/>
      <c r="B71" s="12"/>
      <c r="C71" s="13"/>
      <c r="D71" s="14"/>
      <c r="E71" s="15"/>
      <c r="F71" s="15"/>
      <c r="G71" s="16" t="str">
        <f aca="false">IF(D71="Aylık",1,IF(D71="3 Aylık",3,IF(D71="6 Aylık",6,IF(D71="Yıllık",12,""))))</f>
        <v/>
      </c>
      <c r="H71" s="17" t="str">
        <f aca="false">IF(OR(J71="",J71="Bitti"),"",C71/G71)</f>
        <v/>
      </c>
      <c r="I71" s="17" t="str">
        <f aca="false">IF(H71="","",H71*12)</f>
        <v/>
      </c>
      <c r="J71" s="18" t="str">
        <f aca="false">IF(N71="","",IF(AND(F71&lt;&gt;"",N71&gt;F71),"Bitti",N71))</f>
        <v/>
      </c>
      <c r="K71" s="19" t="str">
        <f aca="false">IF(ISNUMBER(J71),J71-Özet!$C$3,"")</f>
        <v/>
      </c>
      <c r="L71" s="20" t="str">
        <f aca="false">IF(J71="","",IF(J71="Bitti","Bitti",IF(K71&lt;=7,"Bu hafta",IF(K71&lt;=30,"Bu ay","Bekliyor"))))</f>
        <v/>
      </c>
      <c r="M71" s="16" t="str">
        <f aca="false">IF(OR(A71="",C71="",G71="",E71=""),"",MAX(0,ROUNDUP(((YEAR(Özet!$C$3)-YEAR(E71))*12+MONTH(Özet!$C$3)-MONTH(E71))/G71,0)))</f>
        <v/>
      </c>
      <c r="N71" s="16" t="str">
        <f aca="false">IF(M71="","",IF(EDATE(E71,G71*M71)&lt;Özet!$C$3,EDATE(E71,G71*(M71+1)),EDATE(E71,G71*M71)))</f>
        <v/>
      </c>
      <c r="O71" s="16" t="str">
        <f aca="false">IF(ISNUMBER(J71),J71+ROW()/1000000,"")</f>
        <v/>
      </c>
    </row>
    <row r="72" customFormat="false" ht="15" hidden="false" customHeight="false" outlineLevel="0" collapsed="false">
      <c r="A72" s="12"/>
      <c r="B72" s="12"/>
      <c r="C72" s="13"/>
      <c r="D72" s="14"/>
      <c r="E72" s="15"/>
      <c r="F72" s="15"/>
      <c r="G72" s="16" t="str">
        <f aca="false">IF(D72="Aylık",1,IF(D72="3 Aylık",3,IF(D72="6 Aylık",6,IF(D72="Yıllık",12,""))))</f>
        <v/>
      </c>
      <c r="H72" s="17" t="str">
        <f aca="false">IF(OR(J72="",J72="Bitti"),"",C72/G72)</f>
        <v/>
      </c>
      <c r="I72" s="17" t="str">
        <f aca="false">IF(H72="","",H72*12)</f>
        <v/>
      </c>
      <c r="J72" s="18" t="str">
        <f aca="false">IF(N72="","",IF(AND(F72&lt;&gt;"",N72&gt;F72),"Bitti",N72))</f>
        <v/>
      </c>
      <c r="K72" s="19" t="str">
        <f aca="false">IF(ISNUMBER(J72),J72-Özet!$C$3,"")</f>
        <v/>
      </c>
      <c r="L72" s="20" t="str">
        <f aca="false">IF(J72="","",IF(J72="Bitti","Bitti",IF(K72&lt;=7,"Bu hafta",IF(K72&lt;=30,"Bu ay","Bekliyor"))))</f>
        <v/>
      </c>
      <c r="M72" s="16" t="str">
        <f aca="false">IF(OR(A72="",C72="",G72="",E72=""),"",MAX(0,ROUNDUP(((YEAR(Özet!$C$3)-YEAR(E72))*12+MONTH(Özet!$C$3)-MONTH(E72))/G72,0)))</f>
        <v/>
      </c>
      <c r="N72" s="16" t="str">
        <f aca="false">IF(M72="","",IF(EDATE(E72,G72*M72)&lt;Özet!$C$3,EDATE(E72,G72*(M72+1)),EDATE(E72,G72*M72)))</f>
        <v/>
      </c>
      <c r="O72" s="16" t="str">
        <f aca="false">IF(ISNUMBER(J72),J72+ROW()/1000000,"")</f>
        <v/>
      </c>
    </row>
    <row r="73" customFormat="false" ht="15" hidden="false" customHeight="false" outlineLevel="0" collapsed="false">
      <c r="A73" s="12"/>
      <c r="B73" s="12"/>
      <c r="C73" s="13"/>
      <c r="D73" s="14"/>
      <c r="E73" s="15"/>
      <c r="F73" s="15"/>
      <c r="G73" s="16" t="str">
        <f aca="false">IF(D73="Aylık",1,IF(D73="3 Aylık",3,IF(D73="6 Aylık",6,IF(D73="Yıllık",12,""))))</f>
        <v/>
      </c>
      <c r="H73" s="17" t="str">
        <f aca="false">IF(OR(J73="",J73="Bitti"),"",C73/G73)</f>
        <v/>
      </c>
      <c r="I73" s="17" t="str">
        <f aca="false">IF(H73="","",H73*12)</f>
        <v/>
      </c>
      <c r="J73" s="18" t="str">
        <f aca="false">IF(N73="","",IF(AND(F73&lt;&gt;"",N73&gt;F73),"Bitti",N73))</f>
        <v/>
      </c>
      <c r="K73" s="19" t="str">
        <f aca="false">IF(ISNUMBER(J73),J73-Özet!$C$3,"")</f>
        <v/>
      </c>
      <c r="L73" s="20" t="str">
        <f aca="false">IF(J73="","",IF(J73="Bitti","Bitti",IF(K73&lt;=7,"Bu hafta",IF(K73&lt;=30,"Bu ay","Bekliyor"))))</f>
        <v/>
      </c>
      <c r="M73" s="16" t="str">
        <f aca="false">IF(OR(A73="",C73="",G73="",E73=""),"",MAX(0,ROUNDUP(((YEAR(Özet!$C$3)-YEAR(E73))*12+MONTH(Özet!$C$3)-MONTH(E73))/G73,0)))</f>
        <v/>
      </c>
      <c r="N73" s="16" t="str">
        <f aca="false">IF(M73="","",IF(EDATE(E73,G73*M73)&lt;Özet!$C$3,EDATE(E73,G73*(M73+1)),EDATE(E73,G73*M73)))</f>
        <v/>
      </c>
      <c r="O73" s="16" t="str">
        <f aca="false">IF(ISNUMBER(J73),J73+ROW()/1000000,"")</f>
        <v/>
      </c>
    </row>
    <row r="74" customFormat="false" ht="15" hidden="false" customHeight="false" outlineLevel="0" collapsed="false">
      <c r="A74" s="12"/>
      <c r="B74" s="12"/>
      <c r="C74" s="13"/>
      <c r="D74" s="14"/>
      <c r="E74" s="15"/>
      <c r="F74" s="15"/>
      <c r="G74" s="16" t="str">
        <f aca="false">IF(D74="Aylık",1,IF(D74="3 Aylık",3,IF(D74="6 Aylık",6,IF(D74="Yıllık",12,""))))</f>
        <v/>
      </c>
      <c r="H74" s="17" t="str">
        <f aca="false">IF(OR(J74="",J74="Bitti"),"",C74/G74)</f>
        <v/>
      </c>
      <c r="I74" s="17" t="str">
        <f aca="false">IF(H74="","",H74*12)</f>
        <v/>
      </c>
      <c r="J74" s="18" t="str">
        <f aca="false">IF(N74="","",IF(AND(F74&lt;&gt;"",N74&gt;F74),"Bitti",N74))</f>
        <v/>
      </c>
      <c r="K74" s="19" t="str">
        <f aca="false">IF(ISNUMBER(J74),J74-Özet!$C$3,"")</f>
        <v/>
      </c>
      <c r="L74" s="20" t="str">
        <f aca="false">IF(J74="","",IF(J74="Bitti","Bitti",IF(K74&lt;=7,"Bu hafta",IF(K74&lt;=30,"Bu ay","Bekliyor"))))</f>
        <v/>
      </c>
      <c r="M74" s="16" t="str">
        <f aca="false">IF(OR(A74="",C74="",G74="",E74=""),"",MAX(0,ROUNDUP(((YEAR(Özet!$C$3)-YEAR(E74))*12+MONTH(Özet!$C$3)-MONTH(E74))/G74,0)))</f>
        <v/>
      </c>
      <c r="N74" s="16" t="str">
        <f aca="false">IF(M74="","",IF(EDATE(E74,G74*M74)&lt;Özet!$C$3,EDATE(E74,G74*(M74+1)),EDATE(E74,G74*M74)))</f>
        <v/>
      </c>
      <c r="O74" s="16" t="str">
        <f aca="false">IF(ISNUMBER(J74),J74+ROW()/1000000,"")</f>
        <v/>
      </c>
    </row>
    <row r="75" customFormat="false" ht="15" hidden="false" customHeight="false" outlineLevel="0" collapsed="false">
      <c r="A75" s="12"/>
      <c r="B75" s="12"/>
      <c r="C75" s="13"/>
      <c r="D75" s="14"/>
      <c r="E75" s="15"/>
      <c r="F75" s="15"/>
      <c r="G75" s="16" t="str">
        <f aca="false">IF(D75="Aylık",1,IF(D75="3 Aylık",3,IF(D75="6 Aylık",6,IF(D75="Yıllık",12,""))))</f>
        <v/>
      </c>
      <c r="H75" s="17" t="str">
        <f aca="false">IF(OR(J75="",J75="Bitti"),"",C75/G75)</f>
        <v/>
      </c>
      <c r="I75" s="17" t="str">
        <f aca="false">IF(H75="","",H75*12)</f>
        <v/>
      </c>
      <c r="J75" s="18" t="str">
        <f aca="false">IF(N75="","",IF(AND(F75&lt;&gt;"",N75&gt;F75),"Bitti",N75))</f>
        <v/>
      </c>
      <c r="K75" s="19" t="str">
        <f aca="false">IF(ISNUMBER(J75),J75-Özet!$C$3,"")</f>
        <v/>
      </c>
      <c r="L75" s="20" t="str">
        <f aca="false">IF(J75="","",IF(J75="Bitti","Bitti",IF(K75&lt;=7,"Bu hafta",IF(K75&lt;=30,"Bu ay","Bekliyor"))))</f>
        <v/>
      </c>
      <c r="M75" s="16" t="str">
        <f aca="false">IF(OR(A75="",C75="",G75="",E75=""),"",MAX(0,ROUNDUP(((YEAR(Özet!$C$3)-YEAR(E75))*12+MONTH(Özet!$C$3)-MONTH(E75))/G75,0)))</f>
        <v/>
      </c>
      <c r="N75" s="16" t="str">
        <f aca="false">IF(M75="","",IF(EDATE(E75,G75*M75)&lt;Özet!$C$3,EDATE(E75,G75*(M75+1)),EDATE(E75,G75*M75)))</f>
        <v/>
      </c>
      <c r="O75" s="16" t="str">
        <f aca="false">IF(ISNUMBER(J75),J75+ROW()/1000000,"")</f>
        <v/>
      </c>
    </row>
    <row r="76" customFormat="false" ht="15" hidden="false" customHeight="false" outlineLevel="0" collapsed="false">
      <c r="A76" s="12"/>
      <c r="B76" s="12"/>
      <c r="C76" s="13"/>
      <c r="D76" s="14"/>
      <c r="E76" s="15"/>
      <c r="F76" s="15"/>
      <c r="G76" s="16" t="str">
        <f aca="false">IF(D76="Aylık",1,IF(D76="3 Aylık",3,IF(D76="6 Aylık",6,IF(D76="Yıllık",12,""))))</f>
        <v/>
      </c>
      <c r="H76" s="17" t="str">
        <f aca="false">IF(OR(J76="",J76="Bitti"),"",C76/G76)</f>
        <v/>
      </c>
      <c r="I76" s="17" t="str">
        <f aca="false">IF(H76="","",H76*12)</f>
        <v/>
      </c>
      <c r="J76" s="18" t="str">
        <f aca="false">IF(N76="","",IF(AND(F76&lt;&gt;"",N76&gt;F76),"Bitti",N76))</f>
        <v/>
      </c>
      <c r="K76" s="19" t="str">
        <f aca="false">IF(ISNUMBER(J76),J76-Özet!$C$3,"")</f>
        <v/>
      </c>
      <c r="L76" s="20" t="str">
        <f aca="false">IF(J76="","",IF(J76="Bitti","Bitti",IF(K76&lt;=7,"Bu hafta",IF(K76&lt;=30,"Bu ay","Bekliyor"))))</f>
        <v/>
      </c>
      <c r="M76" s="16" t="str">
        <f aca="false">IF(OR(A76="",C76="",G76="",E76=""),"",MAX(0,ROUNDUP(((YEAR(Özet!$C$3)-YEAR(E76))*12+MONTH(Özet!$C$3)-MONTH(E76))/G76,0)))</f>
        <v/>
      </c>
      <c r="N76" s="16" t="str">
        <f aca="false">IF(M76="","",IF(EDATE(E76,G76*M76)&lt;Özet!$C$3,EDATE(E76,G76*(M76+1)),EDATE(E76,G76*M76)))</f>
        <v/>
      </c>
      <c r="O76" s="16" t="str">
        <f aca="false">IF(ISNUMBER(J76),J76+ROW()/1000000,"")</f>
        <v/>
      </c>
    </row>
    <row r="77" customFormat="false" ht="15" hidden="false" customHeight="false" outlineLevel="0" collapsed="false">
      <c r="A77" s="12"/>
      <c r="B77" s="12"/>
      <c r="C77" s="13"/>
      <c r="D77" s="14"/>
      <c r="E77" s="15"/>
      <c r="F77" s="15"/>
      <c r="G77" s="16" t="str">
        <f aca="false">IF(D77="Aylık",1,IF(D77="3 Aylık",3,IF(D77="6 Aylık",6,IF(D77="Yıllık",12,""))))</f>
        <v/>
      </c>
      <c r="H77" s="17" t="str">
        <f aca="false">IF(OR(J77="",J77="Bitti"),"",C77/G77)</f>
        <v/>
      </c>
      <c r="I77" s="17" t="str">
        <f aca="false">IF(H77="","",H77*12)</f>
        <v/>
      </c>
      <c r="J77" s="18" t="str">
        <f aca="false">IF(N77="","",IF(AND(F77&lt;&gt;"",N77&gt;F77),"Bitti",N77))</f>
        <v/>
      </c>
      <c r="K77" s="19" t="str">
        <f aca="false">IF(ISNUMBER(J77),J77-Özet!$C$3,"")</f>
        <v/>
      </c>
      <c r="L77" s="20" t="str">
        <f aca="false">IF(J77="","",IF(J77="Bitti","Bitti",IF(K77&lt;=7,"Bu hafta",IF(K77&lt;=30,"Bu ay","Bekliyor"))))</f>
        <v/>
      </c>
      <c r="M77" s="16" t="str">
        <f aca="false">IF(OR(A77="",C77="",G77="",E77=""),"",MAX(0,ROUNDUP(((YEAR(Özet!$C$3)-YEAR(E77))*12+MONTH(Özet!$C$3)-MONTH(E77))/G77,0)))</f>
        <v/>
      </c>
      <c r="N77" s="16" t="str">
        <f aca="false">IF(M77="","",IF(EDATE(E77,G77*M77)&lt;Özet!$C$3,EDATE(E77,G77*(M77+1)),EDATE(E77,G77*M77)))</f>
        <v/>
      </c>
      <c r="O77" s="16" t="str">
        <f aca="false">IF(ISNUMBER(J77),J77+ROW()/1000000,"")</f>
        <v/>
      </c>
    </row>
    <row r="78" customFormat="false" ht="15" hidden="false" customHeight="false" outlineLevel="0" collapsed="false">
      <c r="A78" s="12"/>
      <c r="B78" s="12"/>
      <c r="C78" s="13"/>
      <c r="D78" s="14"/>
      <c r="E78" s="15"/>
      <c r="F78" s="15"/>
      <c r="G78" s="16" t="str">
        <f aca="false">IF(D78="Aylık",1,IF(D78="3 Aylık",3,IF(D78="6 Aylık",6,IF(D78="Yıllık",12,""))))</f>
        <v/>
      </c>
      <c r="H78" s="17" t="str">
        <f aca="false">IF(OR(J78="",J78="Bitti"),"",C78/G78)</f>
        <v/>
      </c>
      <c r="I78" s="17" t="str">
        <f aca="false">IF(H78="","",H78*12)</f>
        <v/>
      </c>
      <c r="J78" s="18" t="str">
        <f aca="false">IF(N78="","",IF(AND(F78&lt;&gt;"",N78&gt;F78),"Bitti",N78))</f>
        <v/>
      </c>
      <c r="K78" s="19" t="str">
        <f aca="false">IF(ISNUMBER(J78),J78-Özet!$C$3,"")</f>
        <v/>
      </c>
      <c r="L78" s="20" t="str">
        <f aca="false">IF(J78="","",IF(J78="Bitti","Bitti",IF(K78&lt;=7,"Bu hafta",IF(K78&lt;=30,"Bu ay","Bekliyor"))))</f>
        <v/>
      </c>
      <c r="M78" s="16" t="str">
        <f aca="false">IF(OR(A78="",C78="",G78="",E78=""),"",MAX(0,ROUNDUP(((YEAR(Özet!$C$3)-YEAR(E78))*12+MONTH(Özet!$C$3)-MONTH(E78))/G78,0)))</f>
        <v/>
      </c>
      <c r="N78" s="16" t="str">
        <f aca="false">IF(M78="","",IF(EDATE(E78,G78*M78)&lt;Özet!$C$3,EDATE(E78,G78*(M78+1)),EDATE(E78,G78*M78)))</f>
        <v/>
      </c>
      <c r="O78" s="16" t="str">
        <f aca="false">IF(ISNUMBER(J78),J78+ROW()/1000000,"")</f>
        <v/>
      </c>
    </row>
    <row r="79" customFormat="false" ht="15" hidden="false" customHeight="false" outlineLevel="0" collapsed="false">
      <c r="A79" s="12"/>
      <c r="B79" s="12"/>
      <c r="C79" s="13"/>
      <c r="D79" s="14"/>
      <c r="E79" s="15"/>
      <c r="F79" s="15"/>
      <c r="G79" s="16" t="str">
        <f aca="false">IF(D79="Aylık",1,IF(D79="3 Aylık",3,IF(D79="6 Aylık",6,IF(D79="Yıllık",12,""))))</f>
        <v/>
      </c>
      <c r="H79" s="17" t="str">
        <f aca="false">IF(OR(J79="",J79="Bitti"),"",C79/G79)</f>
        <v/>
      </c>
      <c r="I79" s="17" t="str">
        <f aca="false">IF(H79="","",H79*12)</f>
        <v/>
      </c>
      <c r="J79" s="18" t="str">
        <f aca="false">IF(N79="","",IF(AND(F79&lt;&gt;"",N79&gt;F79),"Bitti",N79))</f>
        <v/>
      </c>
      <c r="K79" s="19" t="str">
        <f aca="false">IF(ISNUMBER(J79),J79-Özet!$C$3,"")</f>
        <v/>
      </c>
      <c r="L79" s="20" t="str">
        <f aca="false">IF(J79="","",IF(J79="Bitti","Bitti",IF(K79&lt;=7,"Bu hafta",IF(K79&lt;=30,"Bu ay","Bekliyor"))))</f>
        <v/>
      </c>
      <c r="M79" s="16" t="str">
        <f aca="false">IF(OR(A79="",C79="",G79="",E79=""),"",MAX(0,ROUNDUP(((YEAR(Özet!$C$3)-YEAR(E79))*12+MONTH(Özet!$C$3)-MONTH(E79))/G79,0)))</f>
        <v/>
      </c>
      <c r="N79" s="16" t="str">
        <f aca="false">IF(M79="","",IF(EDATE(E79,G79*M79)&lt;Özet!$C$3,EDATE(E79,G79*(M79+1)),EDATE(E79,G79*M79)))</f>
        <v/>
      </c>
      <c r="O79" s="16" t="str">
        <f aca="false">IF(ISNUMBER(J79),J79+ROW()/1000000,"")</f>
        <v/>
      </c>
    </row>
    <row r="80" customFormat="false" ht="15" hidden="false" customHeight="false" outlineLevel="0" collapsed="false">
      <c r="A80" s="12"/>
      <c r="B80" s="12"/>
      <c r="C80" s="13"/>
      <c r="D80" s="14"/>
      <c r="E80" s="15"/>
      <c r="F80" s="15"/>
      <c r="G80" s="16" t="str">
        <f aca="false">IF(D80="Aylık",1,IF(D80="3 Aylık",3,IF(D80="6 Aylık",6,IF(D80="Yıllık",12,""))))</f>
        <v/>
      </c>
      <c r="H80" s="17" t="str">
        <f aca="false">IF(OR(J80="",J80="Bitti"),"",C80/G80)</f>
        <v/>
      </c>
      <c r="I80" s="17" t="str">
        <f aca="false">IF(H80="","",H80*12)</f>
        <v/>
      </c>
      <c r="J80" s="18" t="str">
        <f aca="false">IF(N80="","",IF(AND(F80&lt;&gt;"",N80&gt;F80),"Bitti",N80))</f>
        <v/>
      </c>
      <c r="K80" s="19" t="str">
        <f aca="false">IF(ISNUMBER(J80),J80-Özet!$C$3,"")</f>
        <v/>
      </c>
      <c r="L80" s="20" t="str">
        <f aca="false">IF(J80="","",IF(J80="Bitti","Bitti",IF(K80&lt;=7,"Bu hafta",IF(K80&lt;=30,"Bu ay","Bekliyor"))))</f>
        <v/>
      </c>
      <c r="M80" s="16" t="str">
        <f aca="false">IF(OR(A80="",C80="",G80="",E80=""),"",MAX(0,ROUNDUP(((YEAR(Özet!$C$3)-YEAR(E80))*12+MONTH(Özet!$C$3)-MONTH(E80))/G80,0)))</f>
        <v/>
      </c>
      <c r="N80" s="16" t="str">
        <f aca="false">IF(M80="","",IF(EDATE(E80,G80*M80)&lt;Özet!$C$3,EDATE(E80,G80*(M80+1)),EDATE(E80,G80*M80)))</f>
        <v/>
      </c>
      <c r="O80" s="16" t="str">
        <f aca="false">IF(ISNUMBER(J80),J80+ROW()/1000000,"")</f>
        <v/>
      </c>
    </row>
    <row r="81" customFormat="false" ht="15" hidden="false" customHeight="false" outlineLevel="0" collapsed="false">
      <c r="A81" s="12"/>
      <c r="B81" s="12"/>
      <c r="C81" s="13"/>
      <c r="D81" s="14"/>
      <c r="E81" s="15"/>
      <c r="F81" s="15"/>
      <c r="G81" s="16" t="str">
        <f aca="false">IF(D81="Aylık",1,IF(D81="3 Aylık",3,IF(D81="6 Aylık",6,IF(D81="Yıllık",12,""))))</f>
        <v/>
      </c>
      <c r="H81" s="17" t="str">
        <f aca="false">IF(OR(J81="",J81="Bitti"),"",C81/G81)</f>
        <v/>
      </c>
      <c r="I81" s="17" t="str">
        <f aca="false">IF(H81="","",H81*12)</f>
        <v/>
      </c>
      <c r="J81" s="18" t="str">
        <f aca="false">IF(N81="","",IF(AND(F81&lt;&gt;"",N81&gt;F81),"Bitti",N81))</f>
        <v/>
      </c>
      <c r="K81" s="19" t="str">
        <f aca="false">IF(ISNUMBER(J81),J81-Özet!$C$3,"")</f>
        <v/>
      </c>
      <c r="L81" s="20" t="str">
        <f aca="false">IF(J81="","",IF(J81="Bitti","Bitti",IF(K81&lt;=7,"Bu hafta",IF(K81&lt;=30,"Bu ay","Bekliyor"))))</f>
        <v/>
      </c>
      <c r="M81" s="16" t="str">
        <f aca="false">IF(OR(A81="",C81="",G81="",E81=""),"",MAX(0,ROUNDUP(((YEAR(Özet!$C$3)-YEAR(E81))*12+MONTH(Özet!$C$3)-MONTH(E81))/G81,0)))</f>
        <v/>
      </c>
      <c r="N81" s="16" t="str">
        <f aca="false">IF(M81="","",IF(EDATE(E81,G81*M81)&lt;Özet!$C$3,EDATE(E81,G81*(M81+1)),EDATE(E81,G81*M81)))</f>
        <v/>
      </c>
      <c r="O81" s="16" t="str">
        <f aca="false">IF(ISNUMBER(J81),J81+ROW()/1000000,"")</f>
        <v/>
      </c>
    </row>
    <row r="82" customFormat="false" ht="15" hidden="false" customHeight="false" outlineLevel="0" collapsed="false">
      <c r="A82" s="12"/>
      <c r="B82" s="12"/>
      <c r="C82" s="13"/>
      <c r="D82" s="14"/>
      <c r="E82" s="15"/>
      <c r="F82" s="15"/>
      <c r="G82" s="16" t="str">
        <f aca="false">IF(D82="Aylık",1,IF(D82="3 Aylık",3,IF(D82="6 Aylık",6,IF(D82="Yıllık",12,""))))</f>
        <v/>
      </c>
      <c r="H82" s="17" t="str">
        <f aca="false">IF(OR(J82="",J82="Bitti"),"",C82/G82)</f>
        <v/>
      </c>
      <c r="I82" s="17" t="str">
        <f aca="false">IF(H82="","",H82*12)</f>
        <v/>
      </c>
      <c r="J82" s="18" t="str">
        <f aca="false">IF(N82="","",IF(AND(F82&lt;&gt;"",N82&gt;F82),"Bitti",N82))</f>
        <v/>
      </c>
      <c r="K82" s="19" t="str">
        <f aca="false">IF(ISNUMBER(J82),J82-Özet!$C$3,"")</f>
        <v/>
      </c>
      <c r="L82" s="20" t="str">
        <f aca="false">IF(J82="","",IF(J82="Bitti","Bitti",IF(K82&lt;=7,"Bu hafta",IF(K82&lt;=30,"Bu ay","Bekliyor"))))</f>
        <v/>
      </c>
      <c r="M82" s="16" t="str">
        <f aca="false">IF(OR(A82="",C82="",G82="",E82=""),"",MAX(0,ROUNDUP(((YEAR(Özet!$C$3)-YEAR(E82))*12+MONTH(Özet!$C$3)-MONTH(E82))/G82,0)))</f>
        <v/>
      </c>
      <c r="N82" s="16" t="str">
        <f aca="false">IF(M82="","",IF(EDATE(E82,G82*M82)&lt;Özet!$C$3,EDATE(E82,G82*(M82+1)),EDATE(E82,G82*M82)))</f>
        <v/>
      </c>
      <c r="O82" s="16" t="str">
        <f aca="false">IF(ISNUMBER(J82),J82+ROW()/1000000,"")</f>
        <v/>
      </c>
    </row>
    <row r="83" customFormat="false" ht="15" hidden="false" customHeight="false" outlineLevel="0" collapsed="false">
      <c r="A83" s="12"/>
      <c r="B83" s="12"/>
      <c r="C83" s="13"/>
      <c r="D83" s="14"/>
      <c r="E83" s="15"/>
      <c r="F83" s="15"/>
      <c r="G83" s="16" t="str">
        <f aca="false">IF(D83="Aylık",1,IF(D83="3 Aylık",3,IF(D83="6 Aylık",6,IF(D83="Yıllık",12,""))))</f>
        <v/>
      </c>
      <c r="H83" s="17" t="str">
        <f aca="false">IF(OR(J83="",J83="Bitti"),"",C83/G83)</f>
        <v/>
      </c>
      <c r="I83" s="17" t="str">
        <f aca="false">IF(H83="","",H83*12)</f>
        <v/>
      </c>
      <c r="J83" s="18" t="str">
        <f aca="false">IF(N83="","",IF(AND(F83&lt;&gt;"",N83&gt;F83),"Bitti",N83))</f>
        <v/>
      </c>
      <c r="K83" s="19" t="str">
        <f aca="false">IF(ISNUMBER(J83),J83-Özet!$C$3,"")</f>
        <v/>
      </c>
      <c r="L83" s="20" t="str">
        <f aca="false">IF(J83="","",IF(J83="Bitti","Bitti",IF(K83&lt;=7,"Bu hafta",IF(K83&lt;=30,"Bu ay","Bekliyor"))))</f>
        <v/>
      </c>
      <c r="M83" s="16" t="str">
        <f aca="false">IF(OR(A83="",C83="",G83="",E83=""),"",MAX(0,ROUNDUP(((YEAR(Özet!$C$3)-YEAR(E83))*12+MONTH(Özet!$C$3)-MONTH(E83))/G83,0)))</f>
        <v/>
      </c>
      <c r="N83" s="16" t="str">
        <f aca="false">IF(M83="","",IF(EDATE(E83,G83*M83)&lt;Özet!$C$3,EDATE(E83,G83*(M83+1)),EDATE(E83,G83*M83)))</f>
        <v/>
      </c>
      <c r="O83" s="16" t="str">
        <f aca="false">IF(ISNUMBER(J83),J83+ROW()/1000000,"")</f>
        <v/>
      </c>
    </row>
    <row r="84" customFormat="false" ht="15" hidden="false" customHeight="false" outlineLevel="0" collapsed="false">
      <c r="A84" s="12"/>
      <c r="B84" s="12"/>
      <c r="C84" s="13"/>
      <c r="D84" s="14"/>
      <c r="E84" s="15"/>
      <c r="F84" s="15"/>
      <c r="G84" s="16" t="str">
        <f aca="false">IF(D84="Aylık",1,IF(D84="3 Aylık",3,IF(D84="6 Aylık",6,IF(D84="Yıllık",12,""))))</f>
        <v/>
      </c>
      <c r="H84" s="17" t="str">
        <f aca="false">IF(OR(J84="",J84="Bitti"),"",C84/G84)</f>
        <v/>
      </c>
      <c r="I84" s="17" t="str">
        <f aca="false">IF(H84="","",H84*12)</f>
        <v/>
      </c>
      <c r="J84" s="18" t="str">
        <f aca="false">IF(N84="","",IF(AND(F84&lt;&gt;"",N84&gt;F84),"Bitti",N84))</f>
        <v/>
      </c>
      <c r="K84" s="19" t="str">
        <f aca="false">IF(ISNUMBER(J84),J84-Özet!$C$3,"")</f>
        <v/>
      </c>
      <c r="L84" s="20" t="str">
        <f aca="false">IF(J84="","",IF(J84="Bitti","Bitti",IF(K84&lt;=7,"Bu hafta",IF(K84&lt;=30,"Bu ay","Bekliyor"))))</f>
        <v/>
      </c>
      <c r="M84" s="16" t="str">
        <f aca="false">IF(OR(A84="",C84="",G84="",E84=""),"",MAX(0,ROUNDUP(((YEAR(Özet!$C$3)-YEAR(E84))*12+MONTH(Özet!$C$3)-MONTH(E84))/G84,0)))</f>
        <v/>
      </c>
      <c r="N84" s="16" t="str">
        <f aca="false">IF(M84="","",IF(EDATE(E84,G84*M84)&lt;Özet!$C$3,EDATE(E84,G84*(M84+1)),EDATE(E84,G84*M84)))</f>
        <v/>
      </c>
      <c r="O84" s="16" t="str">
        <f aca="false">IF(ISNUMBER(J84),J84+ROW()/1000000,"")</f>
        <v/>
      </c>
    </row>
    <row r="85" customFormat="false" ht="15" hidden="false" customHeight="false" outlineLevel="0" collapsed="false">
      <c r="A85" s="12"/>
      <c r="B85" s="12"/>
      <c r="C85" s="13"/>
      <c r="D85" s="14"/>
      <c r="E85" s="15"/>
      <c r="F85" s="15"/>
      <c r="G85" s="16" t="str">
        <f aca="false">IF(D85="Aylık",1,IF(D85="3 Aylık",3,IF(D85="6 Aylık",6,IF(D85="Yıllık",12,""))))</f>
        <v/>
      </c>
      <c r="H85" s="17" t="str">
        <f aca="false">IF(OR(J85="",J85="Bitti"),"",C85/G85)</f>
        <v/>
      </c>
      <c r="I85" s="17" t="str">
        <f aca="false">IF(H85="","",H85*12)</f>
        <v/>
      </c>
      <c r="J85" s="18" t="str">
        <f aca="false">IF(N85="","",IF(AND(F85&lt;&gt;"",N85&gt;F85),"Bitti",N85))</f>
        <v/>
      </c>
      <c r="K85" s="19" t="str">
        <f aca="false">IF(ISNUMBER(J85),J85-Özet!$C$3,"")</f>
        <v/>
      </c>
      <c r="L85" s="20" t="str">
        <f aca="false">IF(J85="","",IF(J85="Bitti","Bitti",IF(K85&lt;=7,"Bu hafta",IF(K85&lt;=30,"Bu ay","Bekliyor"))))</f>
        <v/>
      </c>
      <c r="M85" s="16" t="str">
        <f aca="false">IF(OR(A85="",C85="",G85="",E85=""),"",MAX(0,ROUNDUP(((YEAR(Özet!$C$3)-YEAR(E85))*12+MONTH(Özet!$C$3)-MONTH(E85))/G85,0)))</f>
        <v/>
      </c>
      <c r="N85" s="16" t="str">
        <f aca="false">IF(M85="","",IF(EDATE(E85,G85*M85)&lt;Özet!$C$3,EDATE(E85,G85*(M85+1)),EDATE(E85,G85*M85)))</f>
        <v/>
      </c>
      <c r="O85" s="16" t="str">
        <f aca="false">IF(ISNUMBER(J85),J85+ROW()/1000000,"")</f>
        <v/>
      </c>
    </row>
    <row r="86" customFormat="false" ht="15" hidden="false" customHeight="false" outlineLevel="0" collapsed="false">
      <c r="A86" s="12"/>
      <c r="B86" s="12"/>
      <c r="C86" s="13"/>
      <c r="D86" s="14"/>
      <c r="E86" s="15"/>
      <c r="F86" s="15"/>
      <c r="G86" s="16" t="str">
        <f aca="false">IF(D86="Aylık",1,IF(D86="3 Aylık",3,IF(D86="6 Aylık",6,IF(D86="Yıllık",12,""))))</f>
        <v/>
      </c>
      <c r="H86" s="17" t="str">
        <f aca="false">IF(OR(J86="",J86="Bitti"),"",C86/G86)</f>
        <v/>
      </c>
      <c r="I86" s="17" t="str">
        <f aca="false">IF(H86="","",H86*12)</f>
        <v/>
      </c>
      <c r="J86" s="18" t="str">
        <f aca="false">IF(N86="","",IF(AND(F86&lt;&gt;"",N86&gt;F86),"Bitti",N86))</f>
        <v/>
      </c>
      <c r="K86" s="19" t="str">
        <f aca="false">IF(ISNUMBER(J86),J86-Özet!$C$3,"")</f>
        <v/>
      </c>
      <c r="L86" s="20" t="str">
        <f aca="false">IF(J86="","",IF(J86="Bitti","Bitti",IF(K86&lt;=7,"Bu hafta",IF(K86&lt;=30,"Bu ay","Bekliyor"))))</f>
        <v/>
      </c>
      <c r="M86" s="16" t="str">
        <f aca="false">IF(OR(A86="",C86="",G86="",E86=""),"",MAX(0,ROUNDUP(((YEAR(Özet!$C$3)-YEAR(E86))*12+MONTH(Özet!$C$3)-MONTH(E86))/G86,0)))</f>
        <v/>
      </c>
      <c r="N86" s="16" t="str">
        <f aca="false">IF(M86="","",IF(EDATE(E86,G86*M86)&lt;Özet!$C$3,EDATE(E86,G86*(M86+1)),EDATE(E86,G86*M86)))</f>
        <v/>
      </c>
      <c r="O86" s="16" t="str">
        <f aca="false">IF(ISNUMBER(J86),J86+ROW()/1000000,"")</f>
        <v/>
      </c>
    </row>
    <row r="87" customFormat="false" ht="15" hidden="false" customHeight="false" outlineLevel="0" collapsed="false">
      <c r="A87" s="12"/>
      <c r="B87" s="12"/>
      <c r="C87" s="13"/>
      <c r="D87" s="14"/>
      <c r="E87" s="15"/>
      <c r="F87" s="15"/>
      <c r="G87" s="16" t="str">
        <f aca="false">IF(D87="Aylık",1,IF(D87="3 Aylık",3,IF(D87="6 Aylık",6,IF(D87="Yıllık",12,""))))</f>
        <v/>
      </c>
      <c r="H87" s="17" t="str">
        <f aca="false">IF(OR(J87="",J87="Bitti"),"",C87/G87)</f>
        <v/>
      </c>
      <c r="I87" s="17" t="str">
        <f aca="false">IF(H87="","",H87*12)</f>
        <v/>
      </c>
      <c r="J87" s="18" t="str">
        <f aca="false">IF(N87="","",IF(AND(F87&lt;&gt;"",N87&gt;F87),"Bitti",N87))</f>
        <v/>
      </c>
      <c r="K87" s="19" t="str">
        <f aca="false">IF(ISNUMBER(J87),J87-Özet!$C$3,"")</f>
        <v/>
      </c>
      <c r="L87" s="20" t="str">
        <f aca="false">IF(J87="","",IF(J87="Bitti","Bitti",IF(K87&lt;=7,"Bu hafta",IF(K87&lt;=30,"Bu ay","Bekliyor"))))</f>
        <v/>
      </c>
      <c r="M87" s="16" t="str">
        <f aca="false">IF(OR(A87="",C87="",G87="",E87=""),"",MAX(0,ROUNDUP(((YEAR(Özet!$C$3)-YEAR(E87))*12+MONTH(Özet!$C$3)-MONTH(E87))/G87,0)))</f>
        <v/>
      </c>
      <c r="N87" s="16" t="str">
        <f aca="false">IF(M87="","",IF(EDATE(E87,G87*M87)&lt;Özet!$C$3,EDATE(E87,G87*(M87+1)),EDATE(E87,G87*M87)))</f>
        <v/>
      </c>
      <c r="O87" s="16" t="str">
        <f aca="false">IF(ISNUMBER(J87),J87+ROW()/1000000,"")</f>
        <v/>
      </c>
    </row>
    <row r="88" customFormat="false" ht="15" hidden="false" customHeight="false" outlineLevel="0" collapsed="false">
      <c r="A88" s="12"/>
      <c r="B88" s="12"/>
      <c r="C88" s="13"/>
      <c r="D88" s="14"/>
      <c r="E88" s="15"/>
      <c r="F88" s="15"/>
      <c r="G88" s="16" t="str">
        <f aca="false">IF(D88="Aylık",1,IF(D88="3 Aylık",3,IF(D88="6 Aylık",6,IF(D88="Yıllık",12,""))))</f>
        <v/>
      </c>
      <c r="H88" s="17" t="str">
        <f aca="false">IF(OR(J88="",J88="Bitti"),"",C88/G88)</f>
        <v/>
      </c>
      <c r="I88" s="17" t="str">
        <f aca="false">IF(H88="","",H88*12)</f>
        <v/>
      </c>
      <c r="J88" s="18" t="str">
        <f aca="false">IF(N88="","",IF(AND(F88&lt;&gt;"",N88&gt;F88),"Bitti",N88))</f>
        <v/>
      </c>
      <c r="K88" s="19" t="str">
        <f aca="false">IF(ISNUMBER(J88),J88-Özet!$C$3,"")</f>
        <v/>
      </c>
      <c r="L88" s="20" t="str">
        <f aca="false">IF(J88="","",IF(J88="Bitti","Bitti",IF(K88&lt;=7,"Bu hafta",IF(K88&lt;=30,"Bu ay","Bekliyor"))))</f>
        <v/>
      </c>
      <c r="M88" s="16" t="str">
        <f aca="false">IF(OR(A88="",C88="",G88="",E88=""),"",MAX(0,ROUNDUP(((YEAR(Özet!$C$3)-YEAR(E88))*12+MONTH(Özet!$C$3)-MONTH(E88))/G88,0)))</f>
        <v/>
      </c>
      <c r="N88" s="16" t="str">
        <f aca="false">IF(M88="","",IF(EDATE(E88,G88*M88)&lt;Özet!$C$3,EDATE(E88,G88*(M88+1)),EDATE(E88,G88*M88)))</f>
        <v/>
      </c>
      <c r="O88" s="16" t="str">
        <f aca="false">IF(ISNUMBER(J88),J88+ROW()/1000000,"")</f>
        <v/>
      </c>
    </row>
    <row r="89" customFormat="false" ht="15" hidden="false" customHeight="false" outlineLevel="0" collapsed="false">
      <c r="A89" s="12"/>
      <c r="B89" s="12"/>
      <c r="C89" s="13"/>
      <c r="D89" s="14"/>
      <c r="E89" s="15"/>
      <c r="F89" s="15"/>
      <c r="G89" s="16" t="str">
        <f aca="false">IF(D89="Aylık",1,IF(D89="3 Aylık",3,IF(D89="6 Aylık",6,IF(D89="Yıllık",12,""))))</f>
        <v/>
      </c>
      <c r="H89" s="17" t="str">
        <f aca="false">IF(OR(J89="",J89="Bitti"),"",C89/G89)</f>
        <v/>
      </c>
      <c r="I89" s="17" t="str">
        <f aca="false">IF(H89="","",H89*12)</f>
        <v/>
      </c>
      <c r="J89" s="18" t="str">
        <f aca="false">IF(N89="","",IF(AND(F89&lt;&gt;"",N89&gt;F89),"Bitti",N89))</f>
        <v/>
      </c>
      <c r="K89" s="19" t="str">
        <f aca="false">IF(ISNUMBER(J89),J89-Özet!$C$3,"")</f>
        <v/>
      </c>
      <c r="L89" s="20" t="str">
        <f aca="false">IF(J89="","",IF(J89="Bitti","Bitti",IF(K89&lt;=7,"Bu hafta",IF(K89&lt;=30,"Bu ay","Bekliyor"))))</f>
        <v/>
      </c>
      <c r="M89" s="16" t="str">
        <f aca="false">IF(OR(A89="",C89="",G89="",E89=""),"",MAX(0,ROUNDUP(((YEAR(Özet!$C$3)-YEAR(E89))*12+MONTH(Özet!$C$3)-MONTH(E89))/G89,0)))</f>
        <v/>
      </c>
      <c r="N89" s="16" t="str">
        <f aca="false">IF(M89="","",IF(EDATE(E89,G89*M89)&lt;Özet!$C$3,EDATE(E89,G89*(M89+1)),EDATE(E89,G89*M89)))</f>
        <v/>
      </c>
      <c r="O89" s="16" t="str">
        <f aca="false">IF(ISNUMBER(J89),J89+ROW()/1000000,"")</f>
        <v/>
      </c>
    </row>
    <row r="90" customFormat="false" ht="15" hidden="false" customHeight="false" outlineLevel="0" collapsed="false">
      <c r="A90" s="12"/>
      <c r="B90" s="12"/>
      <c r="C90" s="13"/>
      <c r="D90" s="14"/>
      <c r="E90" s="15"/>
      <c r="F90" s="15"/>
      <c r="G90" s="16" t="str">
        <f aca="false">IF(D90="Aylık",1,IF(D90="3 Aylık",3,IF(D90="6 Aylık",6,IF(D90="Yıllık",12,""))))</f>
        <v/>
      </c>
      <c r="H90" s="17" t="str">
        <f aca="false">IF(OR(J90="",J90="Bitti"),"",C90/G90)</f>
        <v/>
      </c>
      <c r="I90" s="17" t="str">
        <f aca="false">IF(H90="","",H90*12)</f>
        <v/>
      </c>
      <c r="J90" s="18" t="str">
        <f aca="false">IF(N90="","",IF(AND(F90&lt;&gt;"",N90&gt;F90),"Bitti",N90))</f>
        <v/>
      </c>
      <c r="K90" s="19" t="str">
        <f aca="false">IF(ISNUMBER(J90),J90-Özet!$C$3,"")</f>
        <v/>
      </c>
      <c r="L90" s="20" t="str">
        <f aca="false">IF(J90="","",IF(J90="Bitti","Bitti",IF(K90&lt;=7,"Bu hafta",IF(K90&lt;=30,"Bu ay","Bekliyor"))))</f>
        <v/>
      </c>
      <c r="M90" s="16" t="str">
        <f aca="false">IF(OR(A90="",C90="",G90="",E90=""),"",MAX(0,ROUNDUP(((YEAR(Özet!$C$3)-YEAR(E90))*12+MONTH(Özet!$C$3)-MONTH(E90))/G90,0)))</f>
        <v/>
      </c>
      <c r="N90" s="16" t="str">
        <f aca="false">IF(M90="","",IF(EDATE(E90,G90*M90)&lt;Özet!$C$3,EDATE(E90,G90*(M90+1)),EDATE(E90,G90*M90)))</f>
        <v/>
      </c>
      <c r="O90" s="16" t="str">
        <f aca="false">IF(ISNUMBER(J90),J90+ROW()/1000000,"")</f>
        <v/>
      </c>
    </row>
    <row r="91" customFormat="false" ht="15" hidden="false" customHeight="false" outlineLevel="0" collapsed="false">
      <c r="A91" s="12"/>
      <c r="B91" s="12"/>
      <c r="C91" s="13"/>
      <c r="D91" s="14"/>
      <c r="E91" s="15"/>
      <c r="F91" s="15"/>
      <c r="G91" s="16" t="str">
        <f aca="false">IF(D91="Aylık",1,IF(D91="3 Aylık",3,IF(D91="6 Aylık",6,IF(D91="Yıllık",12,""))))</f>
        <v/>
      </c>
      <c r="H91" s="17" t="str">
        <f aca="false">IF(OR(J91="",J91="Bitti"),"",C91/G91)</f>
        <v/>
      </c>
      <c r="I91" s="17" t="str">
        <f aca="false">IF(H91="","",H91*12)</f>
        <v/>
      </c>
      <c r="J91" s="18" t="str">
        <f aca="false">IF(N91="","",IF(AND(F91&lt;&gt;"",N91&gt;F91),"Bitti",N91))</f>
        <v/>
      </c>
      <c r="K91" s="19" t="str">
        <f aca="false">IF(ISNUMBER(J91),J91-Özet!$C$3,"")</f>
        <v/>
      </c>
      <c r="L91" s="20" t="str">
        <f aca="false">IF(J91="","",IF(J91="Bitti","Bitti",IF(K91&lt;=7,"Bu hafta",IF(K91&lt;=30,"Bu ay","Bekliyor"))))</f>
        <v/>
      </c>
      <c r="M91" s="16" t="str">
        <f aca="false">IF(OR(A91="",C91="",G91="",E91=""),"",MAX(0,ROUNDUP(((YEAR(Özet!$C$3)-YEAR(E91))*12+MONTH(Özet!$C$3)-MONTH(E91))/G91,0)))</f>
        <v/>
      </c>
      <c r="N91" s="16" t="str">
        <f aca="false">IF(M91="","",IF(EDATE(E91,G91*M91)&lt;Özet!$C$3,EDATE(E91,G91*(M91+1)),EDATE(E91,G91*M91)))</f>
        <v/>
      </c>
      <c r="O91" s="16" t="str">
        <f aca="false">IF(ISNUMBER(J91),J91+ROW()/1000000,"")</f>
        <v/>
      </c>
    </row>
    <row r="92" customFormat="false" ht="15" hidden="false" customHeight="false" outlineLevel="0" collapsed="false">
      <c r="A92" s="12"/>
      <c r="B92" s="12"/>
      <c r="C92" s="13"/>
      <c r="D92" s="14"/>
      <c r="E92" s="15"/>
      <c r="F92" s="15"/>
      <c r="G92" s="16" t="str">
        <f aca="false">IF(D92="Aylık",1,IF(D92="3 Aylık",3,IF(D92="6 Aylık",6,IF(D92="Yıllık",12,""))))</f>
        <v/>
      </c>
      <c r="H92" s="17" t="str">
        <f aca="false">IF(OR(J92="",J92="Bitti"),"",C92/G92)</f>
        <v/>
      </c>
      <c r="I92" s="17" t="str">
        <f aca="false">IF(H92="","",H92*12)</f>
        <v/>
      </c>
      <c r="J92" s="18" t="str">
        <f aca="false">IF(N92="","",IF(AND(F92&lt;&gt;"",N92&gt;F92),"Bitti",N92))</f>
        <v/>
      </c>
      <c r="K92" s="19" t="str">
        <f aca="false">IF(ISNUMBER(J92),J92-Özet!$C$3,"")</f>
        <v/>
      </c>
      <c r="L92" s="20" t="str">
        <f aca="false">IF(J92="","",IF(J92="Bitti","Bitti",IF(K92&lt;=7,"Bu hafta",IF(K92&lt;=30,"Bu ay","Bekliyor"))))</f>
        <v/>
      </c>
      <c r="M92" s="16" t="str">
        <f aca="false">IF(OR(A92="",C92="",G92="",E92=""),"",MAX(0,ROUNDUP(((YEAR(Özet!$C$3)-YEAR(E92))*12+MONTH(Özet!$C$3)-MONTH(E92))/G92,0)))</f>
        <v/>
      </c>
      <c r="N92" s="16" t="str">
        <f aca="false">IF(M92="","",IF(EDATE(E92,G92*M92)&lt;Özet!$C$3,EDATE(E92,G92*(M92+1)),EDATE(E92,G92*M92)))</f>
        <v/>
      </c>
      <c r="O92" s="16" t="str">
        <f aca="false">IF(ISNUMBER(J92),J92+ROW()/1000000,"")</f>
        <v/>
      </c>
    </row>
    <row r="93" customFormat="false" ht="15" hidden="false" customHeight="false" outlineLevel="0" collapsed="false">
      <c r="A93" s="12"/>
      <c r="B93" s="12"/>
      <c r="C93" s="13"/>
      <c r="D93" s="14"/>
      <c r="E93" s="15"/>
      <c r="F93" s="15"/>
      <c r="G93" s="16" t="str">
        <f aca="false">IF(D93="Aylık",1,IF(D93="3 Aylık",3,IF(D93="6 Aylık",6,IF(D93="Yıllık",12,""))))</f>
        <v/>
      </c>
      <c r="H93" s="17" t="str">
        <f aca="false">IF(OR(J93="",J93="Bitti"),"",C93/G93)</f>
        <v/>
      </c>
      <c r="I93" s="17" t="str">
        <f aca="false">IF(H93="","",H93*12)</f>
        <v/>
      </c>
      <c r="J93" s="18" t="str">
        <f aca="false">IF(N93="","",IF(AND(F93&lt;&gt;"",N93&gt;F93),"Bitti",N93))</f>
        <v/>
      </c>
      <c r="K93" s="19" t="str">
        <f aca="false">IF(ISNUMBER(J93),J93-Özet!$C$3,"")</f>
        <v/>
      </c>
      <c r="L93" s="20" t="str">
        <f aca="false">IF(J93="","",IF(J93="Bitti","Bitti",IF(K93&lt;=7,"Bu hafta",IF(K93&lt;=30,"Bu ay","Bekliyor"))))</f>
        <v/>
      </c>
      <c r="M93" s="16" t="str">
        <f aca="false">IF(OR(A93="",C93="",G93="",E93=""),"",MAX(0,ROUNDUP(((YEAR(Özet!$C$3)-YEAR(E93))*12+MONTH(Özet!$C$3)-MONTH(E93))/G93,0)))</f>
        <v/>
      </c>
      <c r="N93" s="16" t="str">
        <f aca="false">IF(M93="","",IF(EDATE(E93,G93*M93)&lt;Özet!$C$3,EDATE(E93,G93*(M93+1)),EDATE(E93,G93*M93)))</f>
        <v/>
      </c>
      <c r="O93" s="16" t="str">
        <f aca="false">IF(ISNUMBER(J93),J93+ROW()/1000000,"")</f>
        <v/>
      </c>
    </row>
    <row r="94" customFormat="false" ht="15" hidden="false" customHeight="false" outlineLevel="0" collapsed="false">
      <c r="A94" s="12"/>
      <c r="B94" s="12"/>
      <c r="C94" s="13"/>
      <c r="D94" s="14"/>
      <c r="E94" s="15"/>
      <c r="F94" s="15"/>
      <c r="G94" s="16" t="str">
        <f aca="false">IF(D94="Aylık",1,IF(D94="3 Aylık",3,IF(D94="6 Aylık",6,IF(D94="Yıllık",12,""))))</f>
        <v/>
      </c>
      <c r="H94" s="17" t="str">
        <f aca="false">IF(OR(J94="",J94="Bitti"),"",C94/G94)</f>
        <v/>
      </c>
      <c r="I94" s="17" t="str">
        <f aca="false">IF(H94="","",H94*12)</f>
        <v/>
      </c>
      <c r="J94" s="18" t="str">
        <f aca="false">IF(N94="","",IF(AND(F94&lt;&gt;"",N94&gt;F94),"Bitti",N94))</f>
        <v/>
      </c>
      <c r="K94" s="19" t="str">
        <f aca="false">IF(ISNUMBER(J94),J94-Özet!$C$3,"")</f>
        <v/>
      </c>
      <c r="L94" s="20" t="str">
        <f aca="false">IF(J94="","",IF(J94="Bitti","Bitti",IF(K94&lt;=7,"Bu hafta",IF(K94&lt;=30,"Bu ay","Bekliyor"))))</f>
        <v/>
      </c>
      <c r="M94" s="16" t="str">
        <f aca="false">IF(OR(A94="",C94="",G94="",E94=""),"",MAX(0,ROUNDUP(((YEAR(Özet!$C$3)-YEAR(E94))*12+MONTH(Özet!$C$3)-MONTH(E94))/G94,0)))</f>
        <v/>
      </c>
      <c r="N94" s="16" t="str">
        <f aca="false">IF(M94="","",IF(EDATE(E94,G94*M94)&lt;Özet!$C$3,EDATE(E94,G94*(M94+1)),EDATE(E94,G94*M94)))</f>
        <v/>
      </c>
      <c r="O94" s="16" t="str">
        <f aca="false">IF(ISNUMBER(J94),J94+ROW()/1000000,"")</f>
        <v/>
      </c>
    </row>
    <row r="95" customFormat="false" ht="15" hidden="false" customHeight="false" outlineLevel="0" collapsed="false">
      <c r="A95" s="12"/>
      <c r="B95" s="12"/>
      <c r="C95" s="13"/>
      <c r="D95" s="14"/>
      <c r="E95" s="15"/>
      <c r="F95" s="15"/>
      <c r="G95" s="16" t="str">
        <f aca="false">IF(D95="Aylık",1,IF(D95="3 Aylık",3,IF(D95="6 Aylık",6,IF(D95="Yıllık",12,""))))</f>
        <v/>
      </c>
      <c r="H95" s="17" t="str">
        <f aca="false">IF(OR(J95="",J95="Bitti"),"",C95/G95)</f>
        <v/>
      </c>
      <c r="I95" s="17" t="str">
        <f aca="false">IF(H95="","",H95*12)</f>
        <v/>
      </c>
      <c r="J95" s="18" t="str">
        <f aca="false">IF(N95="","",IF(AND(F95&lt;&gt;"",N95&gt;F95),"Bitti",N95))</f>
        <v/>
      </c>
      <c r="K95" s="19" t="str">
        <f aca="false">IF(ISNUMBER(J95),J95-Özet!$C$3,"")</f>
        <v/>
      </c>
      <c r="L95" s="20" t="str">
        <f aca="false">IF(J95="","",IF(J95="Bitti","Bitti",IF(K95&lt;=7,"Bu hafta",IF(K95&lt;=30,"Bu ay","Bekliyor"))))</f>
        <v/>
      </c>
      <c r="M95" s="16" t="str">
        <f aca="false">IF(OR(A95="",C95="",G95="",E95=""),"",MAX(0,ROUNDUP(((YEAR(Özet!$C$3)-YEAR(E95))*12+MONTH(Özet!$C$3)-MONTH(E95))/G95,0)))</f>
        <v/>
      </c>
      <c r="N95" s="16" t="str">
        <f aca="false">IF(M95="","",IF(EDATE(E95,G95*M95)&lt;Özet!$C$3,EDATE(E95,G95*(M95+1)),EDATE(E95,G95*M95)))</f>
        <v/>
      </c>
      <c r="O95" s="16" t="str">
        <f aca="false">IF(ISNUMBER(J95),J95+ROW()/1000000,"")</f>
        <v/>
      </c>
    </row>
    <row r="96" customFormat="false" ht="15" hidden="false" customHeight="false" outlineLevel="0" collapsed="false">
      <c r="A96" s="12"/>
      <c r="B96" s="12"/>
      <c r="C96" s="13"/>
      <c r="D96" s="14"/>
      <c r="E96" s="15"/>
      <c r="F96" s="15"/>
      <c r="G96" s="16" t="str">
        <f aca="false">IF(D96="Aylık",1,IF(D96="3 Aylık",3,IF(D96="6 Aylık",6,IF(D96="Yıllık",12,""))))</f>
        <v/>
      </c>
      <c r="H96" s="17" t="str">
        <f aca="false">IF(OR(J96="",J96="Bitti"),"",C96/G96)</f>
        <v/>
      </c>
      <c r="I96" s="17" t="str">
        <f aca="false">IF(H96="","",H96*12)</f>
        <v/>
      </c>
      <c r="J96" s="18" t="str">
        <f aca="false">IF(N96="","",IF(AND(F96&lt;&gt;"",N96&gt;F96),"Bitti",N96))</f>
        <v/>
      </c>
      <c r="K96" s="19" t="str">
        <f aca="false">IF(ISNUMBER(J96),J96-Özet!$C$3,"")</f>
        <v/>
      </c>
      <c r="L96" s="20" t="str">
        <f aca="false">IF(J96="","",IF(J96="Bitti","Bitti",IF(K96&lt;=7,"Bu hafta",IF(K96&lt;=30,"Bu ay","Bekliyor"))))</f>
        <v/>
      </c>
      <c r="M96" s="16" t="str">
        <f aca="false">IF(OR(A96="",C96="",G96="",E96=""),"",MAX(0,ROUNDUP(((YEAR(Özet!$C$3)-YEAR(E96))*12+MONTH(Özet!$C$3)-MONTH(E96))/G96,0)))</f>
        <v/>
      </c>
      <c r="N96" s="16" t="str">
        <f aca="false">IF(M96="","",IF(EDATE(E96,G96*M96)&lt;Özet!$C$3,EDATE(E96,G96*(M96+1)),EDATE(E96,G96*M96)))</f>
        <v/>
      </c>
      <c r="O96" s="16" t="str">
        <f aca="false">IF(ISNUMBER(J96),J96+ROW()/1000000,"")</f>
        <v/>
      </c>
    </row>
    <row r="97" customFormat="false" ht="15" hidden="false" customHeight="false" outlineLevel="0" collapsed="false">
      <c r="A97" s="12"/>
      <c r="B97" s="12"/>
      <c r="C97" s="13"/>
      <c r="D97" s="14"/>
      <c r="E97" s="15"/>
      <c r="F97" s="15"/>
      <c r="G97" s="16" t="str">
        <f aca="false">IF(D97="Aylık",1,IF(D97="3 Aylık",3,IF(D97="6 Aylık",6,IF(D97="Yıllık",12,""))))</f>
        <v/>
      </c>
      <c r="H97" s="17" t="str">
        <f aca="false">IF(OR(J97="",J97="Bitti"),"",C97/G97)</f>
        <v/>
      </c>
      <c r="I97" s="17" t="str">
        <f aca="false">IF(H97="","",H97*12)</f>
        <v/>
      </c>
      <c r="J97" s="18" t="str">
        <f aca="false">IF(N97="","",IF(AND(F97&lt;&gt;"",N97&gt;F97),"Bitti",N97))</f>
        <v/>
      </c>
      <c r="K97" s="19" t="str">
        <f aca="false">IF(ISNUMBER(J97),J97-Özet!$C$3,"")</f>
        <v/>
      </c>
      <c r="L97" s="20" t="str">
        <f aca="false">IF(J97="","",IF(J97="Bitti","Bitti",IF(K97&lt;=7,"Bu hafta",IF(K97&lt;=30,"Bu ay","Bekliyor"))))</f>
        <v/>
      </c>
      <c r="M97" s="16" t="str">
        <f aca="false">IF(OR(A97="",C97="",G97="",E97=""),"",MAX(0,ROUNDUP(((YEAR(Özet!$C$3)-YEAR(E97))*12+MONTH(Özet!$C$3)-MONTH(E97))/G97,0)))</f>
        <v/>
      </c>
      <c r="N97" s="16" t="str">
        <f aca="false">IF(M97="","",IF(EDATE(E97,G97*M97)&lt;Özet!$C$3,EDATE(E97,G97*(M97+1)),EDATE(E97,G97*M97)))</f>
        <v/>
      </c>
      <c r="O97" s="16" t="str">
        <f aca="false">IF(ISNUMBER(J97),J97+ROW()/1000000,"")</f>
        <v/>
      </c>
    </row>
    <row r="98" customFormat="false" ht="15" hidden="false" customHeight="false" outlineLevel="0" collapsed="false">
      <c r="A98" s="12"/>
      <c r="B98" s="12"/>
      <c r="C98" s="13"/>
      <c r="D98" s="14"/>
      <c r="E98" s="15"/>
      <c r="F98" s="15"/>
      <c r="G98" s="16" t="str">
        <f aca="false">IF(D98="Aylık",1,IF(D98="3 Aylık",3,IF(D98="6 Aylık",6,IF(D98="Yıllık",12,""))))</f>
        <v/>
      </c>
      <c r="H98" s="17" t="str">
        <f aca="false">IF(OR(J98="",J98="Bitti"),"",C98/G98)</f>
        <v/>
      </c>
      <c r="I98" s="17" t="str">
        <f aca="false">IF(H98="","",H98*12)</f>
        <v/>
      </c>
      <c r="J98" s="18" t="str">
        <f aca="false">IF(N98="","",IF(AND(F98&lt;&gt;"",N98&gt;F98),"Bitti",N98))</f>
        <v/>
      </c>
      <c r="K98" s="19" t="str">
        <f aca="false">IF(ISNUMBER(J98),J98-Özet!$C$3,"")</f>
        <v/>
      </c>
      <c r="L98" s="20" t="str">
        <f aca="false">IF(J98="","",IF(J98="Bitti","Bitti",IF(K98&lt;=7,"Bu hafta",IF(K98&lt;=30,"Bu ay","Bekliyor"))))</f>
        <v/>
      </c>
      <c r="M98" s="16" t="str">
        <f aca="false">IF(OR(A98="",C98="",G98="",E98=""),"",MAX(0,ROUNDUP(((YEAR(Özet!$C$3)-YEAR(E98))*12+MONTH(Özet!$C$3)-MONTH(E98))/G98,0)))</f>
        <v/>
      </c>
      <c r="N98" s="16" t="str">
        <f aca="false">IF(M98="","",IF(EDATE(E98,G98*M98)&lt;Özet!$C$3,EDATE(E98,G98*(M98+1)),EDATE(E98,G98*M98)))</f>
        <v/>
      </c>
      <c r="O98" s="16" t="str">
        <f aca="false">IF(ISNUMBER(J98),J98+ROW()/1000000,"")</f>
        <v/>
      </c>
    </row>
    <row r="99" customFormat="false" ht="15" hidden="false" customHeight="false" outlineLevel="0" collapsed="false">
      <c r="A99" s="12"/>
      <c r="B99" s="12"/>
      <c r="C99" s="13"/>
      <c r="D99" s="14"/>
      <c r="E99" s="15"/>
      <c r="F99" s="15"/>
      <c r="G99" s="16" t="str">
        <f aca="false">IF(D99="Aylık",1,IF(D99="3 Aylık",3,IF(D99="6 Aylık",6,IF(D99="Yıllık",12,""))))</f>
        <v/>
      </c>
      <c r="H99" s="17" t="str">
        <f aca="false">IF(OR(J99="",J99="Bitti"),"",C99/G99)</f>
        <v/>
      </c>
      <c r="I99" s="17" t="str">
        <f aca="false">IF(H99="","",H99*12)</f>
        <v/>
      </c>
      <c r="J99" s="18" t="str">
        <f aca="false">IF(N99="","",IF(AND(F99&lt;&gt;"",N99&gt;F99),"Bitti",N99))</f>
        <v/>
      </c>
      <c r="K99" s="19" t="str">
        <f aca="false">IF(ISNUMBER(J99),J99-Özet!$C$3,"")</f>
        <v/>
      </c>
      <c r="L99" s="20" t="str">
        <f aca="false">IF(J99="","",IF(J99="Bitti","Bitti",IF(K99&lt;=7,"Bu hafta",IF(K99&lt;=30,"Bu ay","Bekliyor"))))</f>
        <v/>
      </c>
      <c r="M99" s="16" t="str">
        <f aca="false">IF(OR(A99="",C99="",G99="",E99=""),"",MAX(0,ROUNDUP(((YEAR(Özet!$C$3)-YEAR(E99))*12+MONTH(Özet!$C$3)-MONTH(E99))/G99,0)))</f>
        <v/>
      </c>
      <c r="N99" s="16" t="str">
        <f aca="false">IF(M99="","",IF(EDATE(E99,G99*M99)&lt;Özet!$C$3,EDATE(E99,G99*(M99+1)),EDATE(E99,G99*M99)))</f>
        <v/>
      </c>
      <c r="O99" s="16" t="str">
        <f aca="false">IF(ISNUMBER(J99),J99+ROW()/1000000,"")</f>
        <v/>
      </c>
    </row>
    <row r="100" customFormat="false" ht="15" hidden="false" customHeight="false" outlineLevel="0" collapsed="false">
      <c r="A100" s="12"/>
      <c r="B100" s="12"/>
      <c r="C100" s="13"/>
      <c r="D100" s="14"/>
      <c r="E100" s="15"/>
      <c r="F100" s="15"/>
      <c r="G100" s="16" t="str">
        <f aca="false">IF(D100="Aylık",1,IF(D100="3 Aylık",3,IF(D100="6 Aylık",6,IF(D100="Yıllık",12,""))))</f>
        <v/>
      </c>
      <c r="H100" s="17" t="str">
        <f aca="false">IF(OR(J100="",J100="Bitti"),"",C100/G100)</f>
        <v/>
      </c>
      <c r="I100" s="17" t="str">
        <f aca="false">IF(H100="","",H100*12)</f>
        <v/>
      </c>
      <c r="J100" s="18" t="str">
        <f aca="false">IF(N100="","",IF(AND(F100&lt;&gt;"",N100&gt;F100),"Bitti",N100))</f>
        <v/>
      </c>
      <c r="K100" s="19" t="str">
        <f aca="false">IF(ISNUMBER(J100),J100-Özet!$C$3,"")</f>
        <v/>
      </c>
      <c r="L100" s="20" t="str">
        <f aca="false">IF(J100="","",IF(J100="Bitti","Bitti",IF(K100&lt;=7,"Bu hafta",IF(K100&lt;=30,"Bu ay","Bekliyor"))))</f>
        <v/>
      </c>
      <c r="M100" s="16" t="str">
        <f aca="false">IF(OR(A100="",C100="",G100="",E100=""),"",MAX(0,ROUNDUP(((YEAR(Özet!$C$3)-YEAR(E100))*12+MONTH(Özet!$C$3)-MONTH(E100))/G100,0)))</f>
        <v/>
      </c>
      <c r="N100" s="16" t="str">
        <f aca="false">IF(M100="","",IF(EDATE(E100,G100*M100)&lt;Özet!$C$3,EDATE(E100,G100*(M100+1)),EDATE(E100,G100*M100)))</f>
        <v/>
      </c>
      <c r="O100" s="16" t="str">
        <f aca="false">IF(ISNUMBER(J100),J100+ROW()/1000000,"")</f>
        <v/>
      </c>
    </row>
    <row r="101" customFormat="false" ht="15" hidden="false" customHeight="false" outlineLevel="0" collapsed="false">
      <c r="A101" s="12"/>
      <c r="B101" s="12"/>
      <c r="C101" s="13"/>
      <c r="D101" s="14"/>
      <c r="E101" s="15"/>
      <c r="F101" s="15"/>
      <c r="G101" s="16" t="str">
        <f aca="false">IF(D101="Aylık",1,IF(D101="3 Aylık",3,IF(D101="6 Aylık",6,IF(D101="Yıllık",12,""))))</f>
        <v/>
      </c>
      <c r="H101" s="17" t="str">
        <f aca="false">IF(OR(J101="",J101="Bitti"),"",C101/G101)</f>
        <v/>
      </c>
      <c r="I101" s="17" t="str">
        <f aca="false">IF(H101="","",H101*12)</f>
        <v/>
      </c>
      <c r="J101" s="18" t="str">
        <f aca="false">IF(N101="","",IF(AND(F101&lt;&gt;"",N101&gt;F101),"Bitti",N101))</f>
        <v/>
      </c>
      <c r="K101" s="19" t="str">
        <f aca="false">IF(ISNUMBER(J101),J101-Özet!$C$3,"")</f>
        <v/>
      </c>
      <c r="L101" s="20" t="str">
        <f aca="false">IF(J101="","",IF(J101="Bitti","Bitti",IF(K101&lt;=7,"Bu hafta",IF(K101&lt;=30,"Bu ay","Bekliyor"))))</f>
        <v/>
      </c>
      <c r="M101" s="16" t="str">
        <f aca="false">IF(OR(A101="",C101="",G101="",E101=""),"",MAX(0,ROUNDUP(((YEAR(Özet!$C$3)-YEAR(E101))*12+MONTH(Özet!$C$3)-MONTH(E101))/G101,0)))</f>
        <v/>
      </c>
      <c r="N101" s="16" t="str">
        <f aca="false">IF(M101="","",IF(EDATE(E101,G101*M101)&lt;Özet!$C$3,EDATE(E101,G101*(M101+1)),EDATE(E101,G101*M101)))</f>
        <v/>
      </c>
      <c r="O101" s="16" t="str">
        <f aca="false">IF(ISNUMBER(J101),J101+ROW()/1000000,"")</f>
        <v/>
      </c>
    </row>
    <row r="102" customFormat="false" ht="15" hidden="false" customHeight="false" outlineLevel="0" collapsed="false">
      <c r="A102" s="12"/>
      <c r="B102" s="12"/>
      <c r="C102" s="13"/>
      <c r="D102" s="14"/>
      <c r="E102" s="15"/>
      <c r="F102" s="15"/>
      <c r="G102" s="16" t="str">
        <f aca="false">IF(D102="Aylık",1,IF(D102="3 Aylık",3,IF(D102="6 Aylık",6,IF(D102="Yıllık",12,""))))</f>
        <v/>
      </c>
      <c r="H102" s="17" t="str">
        <f aca="false">IF(OR(J102="",J102="Bitti"),"",C102/G102)</f>
        <v/>
      </c>
      <c r="I102" s="17" t="str">
        <f aca="false">IF(H102="","",H102*12)</f>
        <v/>
      </c>
      <c r="J102" s="18" t="str">
        <f aca="false">IF(N102="","",IF(AND(F102&lt;&gt;"",N102&gt;F102),"Bitti",N102))</f>
        <v/>
      </c>
      <c r="K102" s="19" t="str">
        <f aca="false">IF(ISNUMBER(J102),J102-Özet!$C$3,"")</f>
        <v/>
      </c>
      <c r="L102" s="20" t="str">
        <f aca="false">IF(J102="","",IF(J102="Bitti","Bitti",IF(K102&lt;=7,"Bu hafta",IF(K102&lt;=30,"Bu ay","Bekliyor"))))</f>
        <v/>
      </c>
      <c r="M102" s="16" t="str">
        <f aca="false">IF(OR(A102="",C102="",G102="",E102=""),"",MAX(0,ROUNDUP(((YEAR(Özet!$C$3)-YEAR(E102))*12+MONTH(Özet!$C$3)-MONTH(E102))/G102,0)))</f>
        <v/>
      </c>
      <c r="N102" s="16" t="str">
        <f aca="false">IF(M102="","",IF(EDATE(E102,G102*M102)&lt;Özet!$C$3,EDATE(E102,G102*(M102+1)),EDATE(E102,G102*M102)))</f>
        <v/>
      </c>
      <c r="O102" s="16" t="str">
        <f aca="false">IF(ISNUMBER(J102),J102+ROW()/1000000,"")</f>
        <v/>
      </c>
    </row>
    <row r="103" customFormat="false" ht="15" hidden="false" customHeight="false" outlineLevel="0" collapsed="false">
      <c r="A103" s="12"/>
      <c r="B103" s="12"/>
      <c r="C103" s="13"/>
      <c r="D103" s="14"/>
      <c r="E103" s="15"/>
      <c r="F103" s="15"/>
      <c r="G103" s="16" t="str">
        <f aca="false">IF(D103="Aylık",1,IF(D103="3 Aylık",3,IF(D103="6 Aylık",6,IF(D103="Yıllık",12,""))))</f>
        <v/>
      </c>
      <c r="H103" s="17" t="str">
        <f aca="false">IF(OR(J103="",J103="Bitti"),"",C103/G103)</f>
        <v/>
      </c>
      <c r="I103" s="17" t="str">
        <f aca="false">IF(H103="","",H103*12)</f>
        <v/>
      </c>
      <c r="J103" s="18" t="str">
        <f aca="false">IF(N103="","",IF(AND(F103&lt;&gt;"",N103&gt;F103),"Bitti",N103))</f>
        <v/>
      </c>
      <c r="K103" s="19" t="str">
        <f aca="false">IF(ISNUMBER(J103),J103-Özet!$C$3,"")</f>
        <v/>
      </c>
      <c r="L103" s="20" t="str">
        <f aca="false">IF(J103="","",IF(J103="Bitti","Bitti",IF(K103&lt;=7,"Bu hafta",IF(K103&lt;=30,"Bu ay","Bekliyor"))))</f>
        <v/>
      </c>
      <c r="M103" s="16" t="str">
        <f aca="false">IF(OR(A103="",C103="",G103="",E103=""),"",MAX(0,ROUNDUP(((YEAR(Özet!$C$3)-YEAR(E103))*12+MONTH(Özet!$C$3)-MONTH(E103))/G103,0)))</f>
        <v/>
      </c>
      <c r="N103" s="16" t="str">
        <f aca="false">IF(M103="","",IF(EDATE(E103,G103*M103)&lt;Özet!$C$3,EDATE(E103,G103*(M103+1)),EDATE(E103,G103*M103)))</f>
        <v/>
      </c>
      <c r="O103" s="16" t="str">
        <f aca="false">IF(ISNUMBER(J103),J103+ROW()/1000000,"")</f>
        <v/>
      </c>
    </row>
    <row r="104" customFormat="false" ht="15" hidden="false" customHeight="false" outlineLevel="0" collapsed="false">
      <c r="A104" s="12"/>
      <c r="B104" s="12"/>
      <c r="C104" s="13"/>
      <c r="D104" s="14"/>
      <c r="E104" s="15"/>
      <c r="F104" s="15"/>
      <c r="G104" s="16" t="str">
        <f aca="false">IF(D104="Aylık",1,IF(D104="3 Aylık",3,IF(D104="6 Aylık",6,IF(D104="Yıllık",12,""))))</f>
        <v/>
      </c>
      <c r="H104" s="17" t="str">
        <f aca="false">IF(OR(J104="",J104="Bitti"),"",C104/G104)</f>
        <v/>
      </c>
      <c r="I104" s="17" t="str">
        <f aca="false">IF(H104="","",H104*12)</f>
        <v/>
      </c>
      <c r="J104" s="18" t="str">
        <f aca="false">IF(N104="","",IF(AND(F104&lt;&gt;"",N104&gt;F104),"Bitti",N104))</f>
        <v/>
      </c>
      <c r="K104" s="19" t="str">
        <f aca="false">IF(ISNUMBER(J104),J104-Özet!$C$3,"")</f>
        <v/>
      </c>
      <c r="L104" s="20" t="str">
        <f aca="false">IF(J104="","",IF(J104="Bitti","Bitti",IF(K104&lt;=7,"Bu hafta",IF(K104&lt;=30,"Bu ay","Bekliyor"))))</f>
        <v/>
      </c>
      <c r="M104" s="16" t="str">
        <f aca="false">IF(OR(A104="",C104="",G104="",E104=""),"",MAX(0,ROUNDUP(((YEAR(Özet!$C$3)-YEAR(E104))*12+MONTH(Özet!$C$3)-MONTH(E104))/G104,0)))</f>
        <v/>
      </c>
      <c r="N104" s="16" t="str">
        <f aca="false">IF(M104="","",IF(EDATE(E104,G104*M104)&lt;Özet!$C$3,EDATE(E104,G104*(M104+1)),EDATE(E104,G104*M104)))</f>
        <v/>
      </c>
      <c r="O104" s="16" t="str">
        <f aca="false">IF(ISNUMBER(J104),J104+ROW()/1000000,"")</f>
        <v/>
      </c>
    </row>
  </sheetData>
  <conditionalFormatting sqref="L5:L104">
    <cfRule type="cellIs" priority="2" operator="equal" aboveAverage="0" equalAverage="0" bottom="0" percent="0" rank="0" text="" dxfId="0">
      <formula>"Bu hafta"</formula>
    </cfRule>
    <cfRule type="cellIs" priority="3" operator="equal" aboveAverage="0" equalAverage="0" bottom="0" percent="0" rank="0" text="" dxfId="1">
      <formula>"Bu ay"</formula>
    </cfRule>
    <cfRule type="cellIs" priority="4" operator="equal" aboveAverage="0" equalAverage="0" bottom="0" percent="0" rank="0" text="" dxfId="2">
      <formula>"Bitti"</formula>
    </cfRule>
  </conditionalFormatting>
  <dataValidations count="4">
    <dataValidation allowBlank="true" error="Sıfırdan büyük bir sayı gir." errorStyle="stop" errorTitle="Kontrol" operator="greaterThan" showDropDown="false" showErrorMessage="true" showInputMessage="false" sqref="C5:C1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D5:D104" type="list">
      <formula1>"Aylık,3 Aylık,6 Aylık,Yıllık"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E5:F1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104" type="list">
      <formula1>Kategoriler!$A$5:$A$24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8" t="s">
        <v>59</v>
      </c>
    </row>
    <row r="2" customFormat="false" ht="15" hidden="false" customHeight="false" outlineLevel="0" collapsed="false">
      <c r="A2" s="9" t="s">
        <v>60</v>
      </c>
    </row>
    <row r="3" customFormat="false" ht="15" hidden="false" customHeight="false" outlineLevel="0" collapsed="false">
      <c r="B3" s="0" t="s">
        <v>61</v>
      </c>
      <c r="C3" s="22" t="n">
        <f aca="true">TODAY()</f>
        <v>46299</v>
      </c>
    </row>
    <row r="4" customFormat="false" ht="15" hidden="false" customHeight="false" outlineLevel="0" collapsed="false">
      <c r="B4" s="0" t="s">
        <v>62</v>
      </c>
      <c r="C4" s="23" t="n">
        <v>2026</v>
      </c>
    </row>
    <row r="6" customFormat="false" ht="30" hidden="false" customHeight="true" outlineLevel="0" collapsed="false">
      <c r="B6" s="24" t="s">
        <v>63</v>
      </c>
      <c r="C6" s="24" t="s">
        <v>64</v>
      </c>
      <c r="D6" s="24" t="s">
        <v>65</v>
      </c>
      <c r="E6" s="24" t="s">
        <v>66</v>
      </c>
      <c r="F6" s="24" t="s">
        <v>67</v>
      </c>
    </row>
    <row r="7" customFormat="false" ht="27.75" hidden="false" customHeight="true" outlineLevel="0" collapsed="false">
      <c r="B7" s="25" t="n">
        <f aca="false">SUM(Ödemeler!$H$5:$H$104)</f>
        <v>29880</v>
      </c>
      <c r="C7" s="25" t="n">
        <f aca="false">SUM(Ödemeler!$I$5:$I$104)</f>
        <v>358560</v>
      </c>
      <c r="D7" s="26" t="n">
        <f aca="false">SUMIFS(Ödemeler!$C$5:$C$104,Ödemeler!$K$5:$K$104,"&gt;=0",Ödemeler!$K$5:$K$104,"&lt;=7")</f>
        <v>24730</v>
      </c>
      <c r="E7" s="25" t="n">
        <f aca="false">SUMIFS(Ödemeler!$C$5:$C$104,Ödemeler!$K$5:$K$104,"&gt;=0",Ödemeler!$K$5:$K$104,"&lt;=30")</f>
        <v>31280</v>
      </c>
      <c r="F7" s="27" t="n">
        <f aca="false">COUNT(Ödemeler!$H$5:$H$104)</f>
        <v>8</v>
      </c>
    </row>
    <row r="10" customFormat="false" ht="15" hidden="false" customHeight="false" outlineLevel="0" collapsed="false">
      <c r="B10" s="28" t="s">
        <v>68</v>
      </c>
      <c r="H10" s="28" t="s">
        <v>69</v>
      </c>
    </row>
    <row r="11" customFormat="false" ht="21.75" hidden="false" customHeight="true" outlineLevel="0" collapsed="false">
      <c r="B11" s="10" t="s">
        <v>27</v>
      </c>
      <c r="C11" s="10" t="s">
        <v>70</v>
      </c>
      <c r="D11" s="10" t="s">
        <v>71</v>
      </c>
      <c r="H11" s="10" t="s">
        <v>26</v>
      </c>
      <c r="I11" s="10" t="s">
        <v>72</v>
      </c>
      <c r="J11" s="10" t="s">
        <v>28</v>
      </c>
    </row>
    <row r="12" customFormat="false" ht="15" hidden="false" customHeight="false" outlineLevel="0" collapsed="false">
      <c r="B12" s="16" t="str">
        <f aca="false">IF(Kategoriler!A5="","",Kategoriler!A5)</f>
        <v>Konut</v>
      </c>
      <c r="C12" s="17" t="n">
        <f aca="false">IF(B12="","",SUMIFS(Ödemeler!$H$5:$H$104,Ödemeler!$B$5:$B$104,B12))</f>
        <v>22000</v>
      </c>
      <c r="D12" s="29" t="n">
        <f aca="false">IF(OR(B12="",$B$7=0),"",C12/$B$7)</f>
        <v>0.736278447121821</v>
      </c>
      <c r="H12" s="16" t="str">
        <f aca="false">IFERROR(INDEX(Ödemeler!$A$5:$A$104,MATCH(SMALL(Ödemeler!$O$5:$O$104,1),Ödemeler!$O$5:$O$104,0)),"")</f>
        <v>Ev kirası</v>
      </c>
      <c r="I12" s="18" t="n">
        <f aca="false">IF(H12="","",INDEX(Ödemeler!$J$5:$J$104,MATCH(SMALL(Ödemeler!$O$5:$O$104,1),Ödemeler!$O$5:$O$104,0)))</f>
        <v>46300</v>
      </c>
      <c r="J12" s="17" t="n">
        <f aca="false">IF(H12="","",INDEX(Ödemeler!$C$5:$C$104,MATCH(SMALL(Ödemeler!$O$5:$O$104,1),Ödemeler!$O$5:$O$104,0)))</f>
        <v>22000</v>
      </c>
    </row>
    <row r="13" customFormat="false" ht="15" hidden="false" customHeight="false" outlineLevel="0" collapsed="false">
      <c r="B13" s="30" t="str">
        <f aca="false">IF(Kategoriler!A6="","",Kategoriler!A6)</f>
        <v>Faturalar</v>
      </c>
      <c r="C13" s="31" t="n">
        <f aca="false">IF(B13="","",SUMIFS(Ödemeler!$H$5:$H$104,Ödemeler!$B$5:$B$104,B13))</f>
        <v>2050</v>
      </c>
      <c r="D13" s="32" t="n">
        <f aca="false">IF(OR(B13="",$B$7=0),"",C13/$B$7)</f>
        <v>0.0686077643908969</v>
      </c>
      <c r="H13" s="30" t="str">
        <f aca="false">IFERROR(INDEX(Ödemeler!$A$5:$A$104,MATCH(SMALL(Ödemeler!$O$5:$O$104,2),Ödemeler!$O$5:$O$104,0)),"")</f>
        <v>Film ve dizi aboneliği</v>
      </c>
      <c r="I13" s="33" t="n">
        <f aca="false">IF(H13="","",INDEX(Ödemeler!$J$5:$J$104,MATCH(SMALL(Ödemeler!$O$5:$O$104,2),Ödemeler!$O$5:$O$104,0)))</f>
        <v>46303</v>
      </c>
      <c r="J13" s="31" t="n">
        <f aca="false">IF(H13="","",INDEX(Ödemeler!$C$5:$C$104,MATCH(SMALL(Ödemeler!$O$5:$O$104,2),Ödemeler!$O$5:$O$104,0)))</f>
        <v>230</v>
      </c>
    </row>
    <row r="14" customFormat="false" ht="15" hidden="false" customHeight="false" outlineLevel="0" collapsed="false">
      <c r="B14" s="16" t="str">
        <f aca="false">IF(Kategoriler!A7="","",Kategoriler!A7)</f>
        <v>Abonelik</v>
      </c>
      <c r="C14" s="17" t="n">
        <f aca="false">IF(B14="","",SUMIFS(Ödemeler!$H$5:$H$104,Ödemeler!$B$5:$B$104,B14))</f>
        <v>330</v>
      </c>
      <c r="D14" s="29" t="n">
        <f aca="false">IF(OR(B14="",$B$7=0),"",C14/$B$7)</f>
        <v>0.0110441767068273</v>
      </c>
      <c r="H14" s="16" t="str">
        <f aca="false">IFERROR(INDEX(Ödemeler!$A$5:$A$104,MATCH(SMALL(Ödemeler!$O$5:$O$104,3),Ödemeler!$O$5:$O$104,0)),"")</f>
        <v>Telefon taksidi</v>
      </c>
      <c r="I14" s="18" t="n">
        <f aca="false">IF(H14="","",INDEX(Ödemeler!$J$5:$J$104,MATCH(SMALL(Ödemeler!$O$5:$O$104,3),Ödemeler!$O$5:$O$104,0)))</f>
        <v>46305</v>
      </c>
      <c r="J14" s="17" t="n">
        <f aca="false">IF(H14="","",INDEX(Ödemeler!$C$5:$C$104,MATCH(SMALL(Ödemeler!$O$5:$O$104,3),Ödemeler!$O$5:$O$104,0)))</f>
        <v>2500</v>
      </c>
    </row>
    <row r="15" customFormat="false" ht="15" hidden="false" customHeight="false" outlineLevel="0" collapsed="false">
      <c r="B15" s="30" t="str">
        <f aca="false">IF(Kategoriler!A8="","",Kategoriler!A8)</f>
        <v>Taksit</v>
      </c>
      <c r="C15" s="31" t="n">
        <f aca="false">IF(B15="","",SUMIFS(Ödemeler!$H$5:$H$104,Ödemeler!$B$5:$B$104,B15))</f>
        <v>2500</v>
      </c>
      <c r="D15" s="32" t="n">
        <f aca="false">IF(OR(B15="",$B$7=0),"",C15/$B$7)</f>
        <v>0.0836680053547523</v>
      </c>
      <c r="H15" s="30" t="str">
        <f aca="false">IFERROR(INDEX(Ödemeler!$A$5:$A$104,MATCH(SMALL(Ödemeler!$O$5:$O$104,4),Ödemeler!$O$5:$O$104,0)),"")</f>
        <v>İnternet</v>
      </c>
      <c r="I15" s="33" t="n">
        <f aca="false">IF(H15="","",INDEX(Ödemeler!$J$5:$J$104,MATCH(SMALL(Ödemeler!$O$5:$O$104,4),Ödemeler!$O$5:$O$104,0)))</f>
        <v>46307</v>
      </c>
      <c r="J15" s="31" t="n">
        <f aca="false">IF(H15="","",INDEX(Ödemeler!$C$5:$C$104,MATCH(SMALL(Ödemeler!$O$5:$O$104,4),Ödemeler!$O$5:$O$104,0)))</f>
        <v>650</v>
      </c>
    </row>
    <row r="16" customFormat="false" ht="15" hidden="false" customHeight="false" outlineLevel="0" collapsed="false">
      <c r="B16" s="16" t="str">
        <f aca="false">IF(Kategoriler!A9="","",Kategoriler!A9)</f>
        <v>Sigorta</v>
      </c>
      <c r="C16" s="17" t="n">
        <f aca="false">IF(B16="","",SUMIFS(Ödemeler!$H$5:$H$104,Ödemeler!$B$5:$B$104,B16))</f>
        <v>1500</v>
      </c>
      <c r="D16" s="29" t="n">
        <f aca="false">IF(OR(B16="",$B$7=0),"",C16/$B$7)</f>
        <v>0.0502008032128514</v>
      </c>
      <c r="H16" s="16" t="str">
        <f aca="false">IFERROR(INDEX(Ödemeler!$A$5:$A$104,MATCH(SMALL(Ödemeler!$O$5:$O$104,5),Ödemeler!$O$5:$O$104,0)),"")</f>
        <v>Elektrik</v>
      </c>
      <c r="I16" s="18" t="n">
        <f aca="false">IF(H16="","",INDEX(Ödemeler!$J$5:$J$104,MATCH(SMALL(Ödemeler!$O$5:$O$104,5),Ödemeler!$O$5:$O$104,0)))</f>
        <v>46315</v>
      </c>
      <c r="J16" s="17" t="n">
        <f aca="false">IF(H16="","",INDEX(Ödemeler!$C$5:$C$104,MATCH(SMALL(Ödemeler!$O$5:$O$104,5),Ödemeler!$O$5:$O$104,0)))</f>
        <v>1400</v>
      </c>
    </row>
    <row r="17" customFormat="false" ht="15" hidden="false" customHeight="false" outlineLevel="0" collapsed="false">
      <c r="B17" s="30" t="str">
        <f aca="false">IF(Kategoriler!A10="","",Kategoriler!A10)</f>
        <v>Sağlık</v>
      </c>
      <c r="C17" s="31" t="n">
        <f aca="false">IF(B17="","",SUMIFS(Ödemeler!$H$5:$H$104,Ödemeler!$B$5:$B$104,B17))</f>
        <v>1500</v>
      </c>
      <c r="D17" s="32" t="n">
        <f aca="false">IF(OR(B17="",$B$7=0),"",C17/$B$7)</f>
        <v>0.0502008032128514</v>
      </c>
      <c r="H17" s="30" t="str">
        <f aca="false">IFERROR(INDEX(Ödemeler!$A$5:$A$104,MATCH(SMALL(Ödemeler!$O$5:$O$104,6),Ödemeler!$O$5:$O$104,0)),"")</f>
        <v>Spor salonu</v>
      </c>
      <c r="I17" s="33" t="n">
        <f aca="false">IF(H17="","",INDEX(Ödemeler!$J$5:$J$104,MATCH(SMALL(Ödemeler!$O$5:$O$104,6),Ödemeler!$O$5:$O$104,0)))</f>
        <v>46327</v>
      </c>
      <c r="J17" s="31" t="n">
        <f aca="false">IF(H17="","",INDEX(Ödemeler!$C$5:$C$104,MATCH(SMALL(Ödemeler!$O$5:$O$104,6),Ödemeler!$O$5:$O$104,0)))</f>
        <v>4500</v>
      </c>
    </row>
    <row r="18" customFormat="false" ht="15" hidden="false" customHeight="false" outlineLevel="0" collapsed="false">
      <c r="B18" s="16" t="str">
        <f aca="false">IF(Kategoriler!A11="","",Kategoriler!A11)</f>
        <v>Eğitim</v>
      </c>
      <c r="C18" s="17" t="n">
        <f aca="false">IF(B18="","",SUMIFS(Ödemeler!$H$5:$H$104,Ödemeler!$B$5:$B$104,B18))</f>
        <v>0</v>
      </c>
      <c r="D18" s="29" t="n">
        <f aca="false">IF(OR(B18="",$B$7=0),"",C18/$B$7)</f>
        <v>0</v>
      </c>
      <c r="H18" s="16" t="str">
        <f aca="false">IFERROR(INDEX(Ödemeler!$A$5:$A$104,MATCH(SMALL(Ödemeler!$O$5:$O$104,7),Ödemeler!$O$5:$O$104,0)),"")</f>
        <v>Kasko</v>
      </c>
      <c r="I18" s="18" t="n">
        <f aca="false">IF(H18="","",INDEX(Ödemeler!$J$5:$J$104,MATCH(SMALL(Ödemeler!$O$5:$O$104,7),Ödemeler!$O$5:$O$104,0)))</f>
        <v>46357</v>
      </c>
      <c r="J18" s="17" t="n">
        <f aca="false">IF(H18="","",INDEX(Ödemeler!$C$5:$C$104,MATCH(SMALL(Ödemeler!$O$5:$O$104,7),Ödemeler!$O$5:$O$104,0)))</f>
        <v>9000</v>
      </c>
    </row>
    <row r="19" customFormat="false" ht="15" hidden="false" customHeight="false" outlineLevel="0" collapsed="false">
      <c r="B19" s="30" t="str">
        <f aca="false">IF(Kategoriler!A12="","",Kategoriler!A12)</f>
        <v>Diğer</v>
      </c>
      <c r="C19" s="31" t="n">
        <f aca="false">IF(B19="","",SUMIFS(Ödemeler!$H$5:$H$104,Ödemeler!$B$5:$B$104,B19))</f>
        <v>0</v>
      </c>
      <c r="D19" s="32" t="n">
        <f aca="false">IF(OR(B19="",$B$7=0),"",C19/$B$7)</f>
        <v>0</v>
      </c>
      <c r="H19" s="30" t="str">
        <f aca="false">IFERROR(INDEX(Ödemeler!$A$5:$A$104,MATCH(SMALL(Ödemeler!$O$5:$O$104,8),Ödemeler!$O$5:$O$104,0)),"")</f>
        <v>Bulut depolama</v>
      </c>
      <c r="I19" s="33" t="n">
        <f aca="false">IF(H19="","",INDEX(Ödemeler!$J$5:$J$104,MATCH(SMALL(Ödemeler!$O$5:$O$104,8),Ödemeler!$O$5:$O$104,0)))</f>
        <v>46461</v>
      </c>
      <c r="J19" s="31" t="n">
        <f aca="false">IF(H19="","",INDEX(Ödemeler!$C$5:$C$104,MATCH(SMALL(Ödemeler!$O$5:$O$104,8),Ödemeler!$O$5:$O$104,0)))</f>
        <v>1200</v>
      </c>
    </row>
    <row r="20" customFormat="false" ht="15" hidden="false" customHeight="false" outlineLevel="0" collapsed="false">
      <c r="B20" s="16" t="str">
        <f aca="false">IF(Kategoriler!A13="","",Kategoriler!A13)</f>
        <v/>
      </c>
      <c r="C20" s="17" t="str">
        <f aca="false">IF(B20="","",SUMIFS(Ödemeler!$H$5:$H$104,Ödemeler!$B$5:$B$104,B20))</f>
        <v/>
      </c>
      <c r="D20" s="29" t="str">
        <f aca="false">IF(OR(B20="",$B$7=0),"",C20/$B$7)</f>
        <v/>
      </c>
      <c r="H20" s="16" t="str">
        <f aca="false">IFERROR(INDEX(Ödemeler!$A$5:$A$104,MATCH(SMALL(Ödemeler!$O$5:$O$104,9),Ödemeler!$O$5:$O$104,0)),"")</f>
        <v/>
      </c>
      <c r="I20" s="18" t="str">
        <f aca="false">IF(H20="","",INDEX(Ödemeler!$J$5:$J$104,MATCH(SMALL(Ödemeler!$O$5:$O$104,9),Ödemeler!$O$5:$O$104,0)))</f>
        <v/>
      </c>
      <c r="J20" s="17" t="str">
        <f aca="false">IF(H20="","",INDEX(Ödemeler!$C$5:$C$104,MATCH(SMALL(Ödemeler!$O$5:$O$104,9),Ödemeler!$O$5:$O$104,0)))</f>
        <v/>
      </c>
    </row>
    <row r="21" customFormat="false" ht="15" hidden="false" customHeight="false" outlineLevel="0" collapsed="false">
      <c r="B21" s="30" t="str">
        <f aca="false">IF(Kategoriler!A14="","",Kategoriler!A14)</f>
        <v/>
      </c>
      <c r="C21" s="31" t="str">
        <f aca="false">IF(B21="","",SUMIFS(Ödemeler!$H$5:$H$104,Ödemeler!$B$5:$B$104,B21))</f>
        <v/>
      </c>
      <c r="D21" s="32" t="str">
        <f aca="false">IF(OR(B21="",$B$7=0),"",C21/$B$7)</f>
        <v/>
      </c>
      <c r="H21" s="30" t="str">
        <f aca="false">IFERROR(INDEX(Ödemeler!$A$5:$A$104,MATCH(SMALL(Ödemeler!$O$5:$O$104,10),Ödemeler!$O$5:$O$104,0)),"")</f>
        <v/>
      </c>
      <c r="I21" s="33" t="str">
        <f aca="false">IF(H21="","",INDEX(Ödemeler!$J$5:$J$104,MATCH(SMALL(Ödemeler!$O$5:$O$104,10),Ödemeler!$O$5:$O$104,0)))</f>
        <v/>
      </c>
      <c r="J21" s="31" t="str">
        <f aca="false">IF(H21="","",INDEX(Ödemeler!$C$5:$C$104,MATCH(SMALL(Ödemeler!$O$5:$O$104,10),Ödemeler!$O$5:$O$104,0)))</f>
        <v/>
      </c>
    </row>
    <row r="22" customFormat="false" ht="15" hidden="false" customHeight="false" outlineLevel="0" collapsed="false">
      <c r="B22" s="16" t="str">
        <f aca="false">IF(Kategoriler!A15="","",Kategoriler!A15)</f>
        <v/>
      </c>
      <c r="C22" s="17" t="str">
        <f aca="false">IF(B22="","",SUMIFS(Ödemeler!$H$5:$H$104,Ödemeler!$B$5:$B$104,B22))</f>
        <v/>
      </c>
      <c r="D22" s="29" t="str">
        <f aca="false">IF(OR(B22="",$B$7=0),"",C22/$B$7)</f>
        <v/>
      </c>
    </row>
    <row r="23" customFormat="false" ht="15" hidden="false" customHeight="false" outlineLevel="0" collapsed="false">
      <c r="B23" s="30" t="str">
        <f aca="false">IF(Kategoriler!A16="","",Kategoriler!A16)</f>
        <v/>
      </c>
      <c r="C23" s="31" t="str">
        <f aca="false">IF(B23="","",SUMIFS(Ödemeler!$H$5:$H$104,Ödemeler!$B$5:$B$104,B23))</f>
        <v/>
      </c>
      <c r="D23" s="32" t="str">
        <f aca="false">IF(OR(B23="",$B$7=0),"",C23/$B$7)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8" t="s">
        <v>73</v>
      </c>
    </row>
    <row r="2" customFormat="false" ht="15" hidden="false" customHeight="false" outlineLevel="0" collapsed="false">
      <c r="A2" s="9" t="s">
        <v>74</v>
      </c>
    </row>
    <row r="4" customFormat="false" ht="21.75" hidden="false" customHeight="true" outlineLevel="0" collapsed="false">
      <c r="A4" s="11" t="s">
        <v>26</v>
      </c>
      <c r="B4" s="11" t="s">
        <v>75</v>
      </c>
      <c r="C4" s="11" t="s">
        <v>76</v>
      </c>
      <c r="D4" s="11" t="s">
        <v>77</v>
      </c>
      <c r="E4" s="11" t="s">
        <v>78</v>
      </c>
      <c r="F4" s="11" t="s">
        <v>79</v>
      </c>
      <c r="G4" s="11" t="s">
        <v>80</v>
      </c>
      <c r="H4" s="11" t="s">
        <v>81</v>
      </c>
      <c r="I4" s="11" t="s">
        <v>82</v>
      </c>
      <c r="J4" s="11" t="s">
        <v>83</v>
      </c>
      <c r="K4" s="11" t="s">
        <v>84</v>
      </c>
      <c r="L4" s="11" t="s">
        <v>85</v>
      </c>
      <c r="M4" s="11" t="s">
        <v>86</v>
      </c>
      <c r="N4" s="11" t="s">
        <v>87</v>
      </c>
    </row>
    <row r="5" customFormat="false" ht="15" hidden="false" customHeight="false" outlineLevel="0" collapsed="false">
      <c r="A5" s="34" t="s">
        <v>88</v>
      </c>
      <c r="B5" s="35" t="n">
        <f aca="false">SUM(B6:B105)</f>
        <v>23630</v>
      </c>
      <c r="C5" s="35" t="n">
        <f aca="false">SUM(C6:C105)</f>
        <v>24280</v>
      </c>
      <c r="D5" s="35" t="n">
        <f aca="false">SUM(D6:D105)</f>
        <v>25480</v>
      </c>
      <c r="E5" s="35" t="n">
        <f aca="false">SUM(E6:E105)</f>
        <v>26780</v>
      </c>
      <c r="F5" s="35" t="n">
        <f aca="false">SUM(F6:F105)</f>
        <v>26780</v>
      </c>
      <c r="G5" s="35" t="n">
        <f aca="false">SUM(G6:G105)</f>
        <v>35780</v>
      </c>
      <c r="H5" s="35" t="n">
        <f aca="false">SUM(H6:H105)</f>
        <v>26780</v>
      </c>
      <c r="I5" s="35" t="n">
        <f aca="false">SUM(I6:I105)</f>
        <v>31280</v>
      </c>
      <c r="J5" s="35" t="n">
        <f aca="false">SUM(J6:J105)</f>
        <v>26780</v>
      </c>
      <c r="K5" s="35" t="n">
        <f aca="false">SUM(K6:K105)</f>
        <v>26780</v>
      </c>
      <c r="L5" s="35" t="n">
        <f aca="false">SUM(L6:L105)</f>
        <v>31280</v>
      </c>
      <c r="M5" s="35" t="n">
        <f aca="false">SUM(M6:M105)</f>
        <v>35780</v>
      </c>
      <c r="N5" s="36" t="n">
        <f aca="false">IF(COUNT(B5:M5)=0,"",SUM(B5:M5))</f>
        <v>341410</v>
      </c>
    </row>
    <row r="6" customFormat="false" ht="15" hidden="false" customHeight="false" outlineLevel="0" collapsed="false">
      <c r="A6" s="30" t="str">
        <f aca="false">IF(Ödemeler!A5="","",Ödemeler!A5)</f>
        <v>Ev kirası</v>
      </c>
      <c r="B6" s="37" t="n">
        <f aca="false">IF(OR(Ödemeler!$A5="",Ödemeler!$G5="",Ödemeler!$E5=""),"",IF(AND(((Özet!$C$4*12+1)-(YEAR(Ödemeler!$E5)*12+MONTH(Ödemeler!$E5)))&gt;=0,MOD(((Özet!$C$4*12+1)-(YEAR(Ödemeler!$E5)*12+MONTH(Ödemeler!$E5))),Ödemeler!$G5)=0,OR(Ödemeler!$F5="",DATE(Özet!$C$4,1,1)&lt;=Ödemeler!$F5)),Ödemeler!$C5,0))</f>
        <v>22000</v>
      </c>
      <c r="C6" s="37" t="n">
        <f aca="false">IF(OR(Ödemeler!$A5="",Ödemeler!$G5="",Ödemeler!$E5=""),"",IF(AND(((Özet!$C$4*12+2)-(YEAR(Ödemeler!$E5)*12+MONTH(Ödemeler!$E5)))&gt;=0,MOD(((Özet!$C$4*12+2)-(YEAR(Ödemeler!$E5)*12+MONTH(Ödemeler!$E5))),Ödemeler!$G5)=0,OR(Ödemeler!$F5="",DATE(Özet!$C$4,2,1)&lt;=Ödemeler!$F5)),Ödemeler!$C5,0))</f>
        <v>22000</v>
      </c>
      <c r="D6" s="37" t="n">
        <f aca="false">IF(OR(Ödemeler!$A5="",Ödemeler!$G5="",Ödemeler!$E5=""),"",IF(AND(((Özet!$C$4*12+3)-(YEAR(Ödemeler!$E5)*12+MONTH(Ödemeler!$E5)))&gt;=0,MOD(((Özet!$C$4*12+3)-(YEAR(Ödemeler!$E5)*12+MONTH(Ödemeler!$E5))),Ödemeler!$G5)=0,OR(Ödemeler!$F5="",DATE(Özet!$C$4,3,1)&lt;=Ödemeler!$F5)),Ödemeler!$C5,0))</f>
        <v>22000</v>
      </c>
      <c r="E6" s="37" t="n">
        <f aca="false">IF(OR(Ödemeler!$A5="",Ödemeler!$G5="",Ödemeler!$E5=""),"",IF(AND(((Özet!$C$4*12+4)-(YEAR(Ödemeler!$E5)*12+MONTH(Ödemeler!$E5)))&gt;=0,MOD(((Özet!$C$4*12+4)-(YEAR(Ödemeler!$E5)*12+MONTH(Ödemeler!$E5))),Ödemeler!$G5)=0,OR(Ödemeler!$F5="",DATE(Özet!$C$4,4,1)&lt;=Ödemeler!$F5)),Ödemeler!$C5,0))</f>
        <v>22000</v>
      </c>
      <c r="F6" s="37" t="n">
        <f aca="false">IF(OR(Ödemeler!$A5="",Ödemeler!$G5="",Ödemeler!$E5=""),"",IF(AND(((Özet!$C$4*12+5)-(YEAR(Ödemeler!$E5)*12+MONTH(Ödemeler!$E5)))&gt;=0,MOD(((Özet!$C$4*12+5)-(YEAR(Ödemeler!$E5)*12+MONTH(Ödemeler!$E5))),Ödemeler!$G5)=0,OR(Ödemeler!$F5="",DATE(Özet!$C$4,5,1)&lt;=Ödemeler!$F5)),Ödemeler!$C5,0))</f>
        <v>22000</v>
      </c>
      <c r="G6" s="37" t="n">
        <f aca="false">IF(OR(Ödemeler!$A5="",Ödemeler!$G5="",Ödemeler!$E5=""),"",IF(AND(((Özet!$C$4*12+6)-(YEAR(Ödemeler!$E5)*12+MONTH(Ödemeler!$E5)))&gt;=0,MOD(((Özet!$C$4*12+6)-(YEAR(Ödemeler!$E5)*12+MONTH(Ödemeler!$E5))),Ödemeler!$G5)=0,OR(Ödemeler!$F5="",DATE(Özet!$C$4,6,1)&lt;=Ödemeler!$F5)),Ödemeler!$C5,0))</f>
        <v>22000</v>
      </c>
      <c r="H6" s="37" t="n">
        <f aca="false">IF(OR(Ödemeler!$A5="",Ödemeler!$G5="",Ödemeler!$E5=""),"",IF(AND(((Özet!$C$4*12+7)-(YEAR(Ödemeler!$E5)*12+MONTH(Ödemeler!$E5)))&gt;=0,MOD(((Özet!$C$4*12+7)-(YEAR(Ödemeler!$E5)*12+MONTH(Ödemeler!$E5))),Ödemeler!$G5)=0,OR(Ödemeler!$F5="",DATE(Özet!$C$4,7,1)&lt;=Ödemeler!$F5)),Ödemeler!$C5,0))</f>
        <v>22000</v>
      </c>
      <c r="I6" s="37" t="n">
        <f aca="false">IF(OR(Ödemeler!$A5="",Ödemeler!$G5="",Ödemeler!$E5=""),"",IF(AND(((Özet!$C$4*12+8)-(YEAR(Ödemeler!$E5)*12+MONTH(Ödemeler!$E5)))&gt;=0,MOD(((Özet!$C$4*12+8)-(YEAR(Ödemeler!$E5)*12+MONTH(Ödemeler!$E5))),Ödemeler!$G5)=0,OR(Ödemeler!$F5="",DATE(Özet!$C$4,8,1)&lt;=Ödemeler!$F5)),Ödemeler!$C5,0))</f>
        <v>22000</v>
      </c>
      <c r="J6" s="37" t="n">
        <f aca="false">IF(OR(Ödemeler!$A5="",Ödemeler!$G5="",Ödemeler!$E5=""),"",IF(AND(((Özet!$C$4*12+9)-(YEAR(Ödemeler!$E5)*12+MONTH(Ödemeler!$E5)))&gt;=0,MOD(((Özet!$C$4*12+9)-(YEAR(Ödemeler!$E5)*12+MONTH(Ödemeler!$E5))),Ödemeler!$G5)=0,OR(Ödemeler!$F5="",DATE(Özet!$C$4,9,1)&lt;=Ödemeler!$F5)),Ödemeler!$C5,0))</f>
        <v>22000</v>
      </c>
      <c r="K6" s="37" t="n">
        <f aca="false">IF(OR(Ödemeler!$A5="",Ödemeler!$G5="",Ödemeler!$E5=""),"",IF(AND(((Özet!$C$4*12+10)-(YEAR(Ödemeler!$E5)*12+MONTH(Ödemeler!$E5)))&gt;=0,MOD(((Özet!$C$4*12+10)-(YEAR(Ödemeler!$E5)*12+MONTH(Ödemeler!$E5))),Ödemeler!$G5)=0,OR(Ödemeler!$F5="",DATE(Özet!$C$4,10,1)&lt;=Ödemeler!$F5)),Ödemeler!$C5,0))</f>
        <v>22000</v>
      </c>
      <c r="L6" s="37" t="n">
        <f aca="false">IF(OR(Ödemeler!$A5="",Ödemeler!$G5="",Ödemeler!$E5=""),"",IF(AND(((Özet!$C$4*12+11)-(YEAR(Ödemeler!$E5)*12+MONTH(Ödemeler!$E5)))&gt;=0,MOD(((Özet!$C$4*12+11)-(YEAR(Ödemeler!$E5)*12+MONTH(Ödemeler!$E5))),Ödemeler!$G5)=0,OR(Ödemeler!$F5="",DATE(Özet!$C$4,11,1)&lt;=Ödemeler!$F5)),Ödemeler!$C5,0))</f>
        <v>22000</v>
      </c>
      <c r="M6" s="37" t="n">
        <f aca="false">IF(OR(Ödemeler!$A5="",Ödemeler!$G5="",Ödemeler!$E5=""),"",IF(AND(((Özet!$C$4*12+12)-(YEAR(Ödemeler!$E5)*12+MONTH(Ödemeler!$E5)))&gt;=0,MOD(((Özet!$C$4*12+12)-(YEAR(Ödemeler!$E5)*12+MONTH(Ödemeler!$E5))),Ödemeler!$G5)=0,OR(Ödemeler!$F5="",DATE(Özet!$C$4,12,1)&lt;=Ödemeler!$F5)),Ödemeler!$C5,0))</f>
        <v>22000</v>
      </c>
      <c r="N6" s="37" t="n">
        <f aca="false">IF(COUNT(B6:M6)=0,"",SUM(B6:M6))</f>
        <v>264000</v>
      </c>
    </row>
    <row r="7" customFormat="false" ht="15" hidden="false" customHeight="false" outlineLevel="0" collapsed="false">
      <c r="A7" s="16" t="str">
        <f aca="false">IF(Ödemeler!A6="","",Ödemeler!A6)</f>
        <v>Elektrik</v>
      </c>
      <c r="B7" s="36" t="n">
        <f aca="false">IF(OR(Ödemeler!$A6="",Ödemeler!$G6="",Ödemeler!$E6=""),"",IF(AND(((Özet!$C$4*12+1)-(YEAR(Ödemeler!$E6)*12+MONTH(Ödemeler!$E6)))&gt;=0,MOD(((Özet!$C$4*12+1)-(YEAR(Ödemeler!$E6)*12+MONTH(Ödemeler!$E6))),Ödemeler!$G6)=0,OR(Ödemeler!$F6="",DATE(Özet!$C$4,1,1)&lt;=Ödemeler!$F6)),Ödemeler!$C6,0))</f>
        <v>1400</v>
      </c>
      <c r="C7" s="36" t="n">
        <f aca="false">IF(OR(Ödemeler!$A6="",Ödemeler!$G6="",Ödemeler!$E6=""),"",IF(AND(((Özet!$C$4*12+2)-(YEAR(Ödemeler!$E6)*12+MONTH(Ödemeler!$E6)))&gt;=0,MOD(((Özet!$C$4*12+2)-(YEAR(Ödemeler!$E6)*12+MONTH(Ödemeler!$E6))),Ödemeler!$G6)=0,OR(Ödemeler!$F6="",DATE(Özet!$C$4,2,1)&lt;=Ödemeler!$F6)),Ödemeler!$C6,0))</f>
        <v>1400</v>
      </c>
      <c r="D7" s="36" t="n">
        <f aca="false">IF(OR(Ödemeler!$A6="",Ödemeler!$G6="",Ödemeler!$E6=""),"",IF(AND(((Özet!$C$4*12+3)-(YEAR(Ödemeler!$E6)*12+MONTH(Ödemeler!$E6)))&gt;=0,MOD(((Özet!$C$4*12+3)-(YEAR(Ödemeler!$E6)*12+MONTH(Ödemeler!$E6))),Ödemeler!$G6)=0,OR(Ödemeler!$F6="",DATE(Özet!$C$4,3,1)&lt;=Ödemeler!$F6)),Ödemeler!$C6,0))</f>
        <v>1400</v>
      </c>
      <c r="E7" s="36" t="n">
        <f aca="false">IF(OR(Ödemeler!$A6="",Ödemeler!$G6="",Ödemeler!$E6=""),"",IF(AND(((Özet!$C$4*12+4)-(YEAR(Ödemeler!$E6)*12+MONTH(Ödemeler!$E6)))&gt;=0,MOD(((Özet!$C$4*12+4)-(YEAR(Ödemeler!$E6)*12+MONTH(Ödemeler!$E6))),Ödemeler!$G6)=0,OR(Ödemeler!$F6="",DATE(Özet!$C$4,4,1)&lt;=Ödemeler!$F6)),Ödemeler!$C6,0))</f>
        <v>1400</v>
      </c>
      <c r="F7" s="36" t="n">
        <f aca="false">IF(OR(Ödemeler!$A6="",Ödemeler!$G6="",Ödemeler!$E6=""),"",IF(AND(((Özet!$C$4*12+5)-(YEAR(Ödemeler!$E6)*12+MONTH(Ödemeler!$E6)))&gt;=0,MOD(((Özet!$C$4*12+5)-(YEAR(Ödemeler!$E6)*12+MONTH(Ödemeler!$E6))),Ödemeler!$G6)=0,OR(Ödemeler!$F6="",DATE(Özet!$C$4,5,1)&lt;=Ödemeler!$F6)),Ödemeler!$C6,0))</f>
        <v>1400</v>
      </c>
      <c r="G7" s="36" t="n">
        <f aca="false">IF(OR(Ödemeler!$A6="",Ödemeler!$G6="",Ödemeler!$E6=""),"",IF(AND(((Özet!$C$4*12+6)-(YEAR(Ödemeler!$E6)*12+MONTH(Ödemeler!$E6)))&gt;=0,MOD(((Özet!$C$4*12+6)-(YEAR(Ödemeler!$E6)*12+MONTH(Ödemeler!$E6))),Ödemeler!$G6)=0,OR(Ödemeler!$F6="",DATE(Özet!$C$4,6,1)&lt;=Ödemeler!$F6)),Ödemeler!$C6,0))</f>
        <v>1400</v>
      </c>
      <c r="H7" s="36" t="n">
        <f aca="false">IF(OR(Ödemeler!$A6="",Ödemeler!$G6="",Ödemeler!$E6=""),"",IF(AND(((Özet!$C$4*12+7)-(YEAR(Ödemeler!$E6)*12+MONTH(Ödemeler!$E6)))&gt;=0,MOD(((Özet!$C$4*12+7)-(YEAR(Ödemeler!$E6)*12+MONTH(Ödemeler!$E6))),Ödemeler!$G6)=0,OR(Ödemeler!$F6="",DATE(Özet!$C$4,7,1)&lt;=Ödemeler!$F6)),Ödemeler!$C6,0))</f>
        <v>1400</v>
      </c>
      <c r="I7" s="36" t="n">
        <f aca="false">IF(OR(Ödemeler!$A6="",Ödemeler!$G6="",Ödemeler!$E6=""),"",IF(AND(((Özet!$C$4*12+8)-(YEAR(Ödemeler!$E6)*12+MONTH(Ödemeler!$E6)))&gt;=0,MOD(((Özet!$C$4*12+8)-(YEAR(Ödemeler!$E6)*12+MONTH(Ödemeler!$E6))),Ödemeler!$G6)=0,OR(Ödemeler!$F6="",DATE(Özet!$C$4,8,1)&lt;=Ödemeler!$F6)),Ödemeler!$C6,0))</f>
        <v>1400</v>
      </c>
      <c r="J7" s="36" t="n">
        <f aca="false">IF(OR(Ödemeler!$A6="",Ödemeler!$G6="",Ödemeler!$E6=""),"",IF(AND(((Özet!$C$4*12+9)-(YEAR(Ödemeler!$E6)*12+MONTH(Ödemeler!$E6)))&gt;=0,MOD(((Özet!$C$4*12+9)-(YEAR(Ödemeler!$E6)*12+MONTH(Ödemeler!$E6))),Ödemeler!$G6)=0,OR(Ödemeler!$F6="",DATE(Özet!$C$4,9,1)&lt;=Ödemeler!$F6)),Ödemeler!$C6,0))</f>
        <v>1400</v>
      </c>
      <c r="K7" s="36" t="n">
        <f aca="false">IF(OR(Ödemeler!$A6="",Ödemeler!$G6="",Ödemeler!$E6=""),"",IF(AND(((Özet!$C$4*12+10)-(YEAR(Ödemeler!$E6)*12+MONTH(Ödemeler!$E6)))&gt;=0,MOD(((Özet!$C$4*12+10)-(YEAR(Ödemeler!$E6)*12+MONTH(Ödemeler!$E6))),Ödemeler!$G6)=0,OR(Ödemeler!$F6="",DATE(Özet!$C$4,10,1)&lt;=Ödemeler!$F6)),Ödemeler!$C6,0))</f>
        <v>1400</v>
      </c>
      <c r="L7" s="36" t="n">
        <f aca="false">IF(OR(Ödemeler!$A6="",Ödemeler!$G6="",Ödemeler!$E6=""),"",IF(AND(((Özet!$C$4*12+11)-(YEAR(Ödemeler!$E6)*12+MONTH(Ödemeler!$E6)))&gt;=0,MOD(((Özet!$C$4*12+11)-(YEAR(Ödemeler!$E6)*12+MONTH(Ödemeler!$E6))),Ödemeler!$G6)=0,OR(Ödemeler!$F6="",DATE(Özet!$C$4,11,1)&lt;=Ödemeler!$F6)),Ödemeler!$C6,0))</f>
        <v>1400</v>
      </c>
      <c r="M7" s="36" t="n">
        <f aca="false">IF(OR(Ödemeler!$A6="",Ödemeler!$G6="",Ödemeler!$E6=""),"",IF(AND(((Özet!$C$4*12+12)-(YEAR(Ödemeler!$E6)*12+MONTH(Ödemeler!$E6)))&gt;=0,MOD(((Özet!$C$4*12+12)-(YEAR(Ödemeler!$E6)*12+MONTH(Ödemeler!$E6))),Ödemeler!$G6)=0,OR(Ödemeler!$F6="",DATE(Özet!$C$4,12,1)&lt;=Ödemeler!$F6)),Ödemeler!$C6,0))</f>
        <v>1400</v>
      </c>
      <c r="N7" s="36" t="n">
        <f aca="false">IF(COUNT(B7:M7)=0,"",SUM(B7:M7))</f>
        <v>16800</v>
      </c>
    </row>
    <row r="8" customFormat="false" ht="15" hidden="false" customHeight="false" outlineLevel="0" collapsed="false">
      <c r="A8" s="30" t="str">
        <f aca="false">IF(Ödemeler!A7="","",Ödemeler!A7)</f>
        <v>İnternet</v>
      </c>
      <c r="B8" s="37" t="n">
        <f aca="false">IF(OR(Ödemeler!$A7="",Ödemeler!$G7="",Ödemeler!$E7=""),"",IF(AND(((Özet!$C$4*12+1)-(YEAR(Ödemeler!$E7)*12+MONTH(Ödemeler!$E7)))&gt;=0,MOD(((Özet!$C$4*12+1)-(YEAR(Ödemeler!$E7)*12+MONTH(Ödemeler!$E7))),Ödemeler!$G7)=0,OR(Ödemeler!$F7="",DATE(Özet!$C$4,1,1)&lt;=Ödemeler!$F7)),Ödemeler!$C7,0))</f>
        <v>0</v>
      </c>
      <c r="C8" s="37" t="n">
        <f aca="false">IF(OR(Ödemeler!$A7="",Ödemeler!$G7="",Ödemeler!$E7=""),"",IF(AND(((Özet!$C$4*12+2)-(YEAR(Ödemeler!$E7)*12+MONTH(Ödemeler!$E7)))&gt;=0,MOD(((Özet!$C$4*12+2)-(YEAR(Ödemeler!$E7)*12+MONTH(Ödemeler!$E7))),Ödemeler!$G7)=0,OR(Ödemeler!$F7="",DATE(Özet!$C$4,2,1)&lt;=Ödemeler!$F7)),Ödemeler!$C7,0))</f>
        <v>650</v>
      </c>
      <c r="D8" s="37" t="n">
        <f aca="false">IF(OR(Ödemeler!$A7="",Ödemeler!$G7="",Ödemeler!$E7=""),"",IF(AND(((Özet!$C$4*12+3)-(YEAR(Ödemeler!$E7)*12+MONTH(Ödemeler!$E7)))&gt;=0,MOD(((Özet!$C$4*12+3)-(YEAR(Ödemeler!$E7)*12+MONTH(Ödemeler!$E7))),Ödemeler!$G7)=0,OR(Ödemeler!$F7="",DATE(Özet!$C$4,3,1)&lt;=Ödemeler!$F7)),Ödemeler!$C7,0))</f>
        <v>650</v>
      </c>
      <c r="E8" s="37" t="n">
        <f aca="false">IF(OR(Ödemeler!$A7="",Ödemeler!$G7="",Ödemeler!$E7=""),"",IF(AND(((Özet!$C$4*12+4)-(YEAR(Ödemeler!$E7)*12+MONTH(Ödemeler!$E7)))&gt;=0,MOD(((Özet!$C$4*12+4)-(YEAR(Ödemeler!$E7)*12+MONTH(Ödemeler!$E7))),Ödemeler!$G7)=0,OR(Ödemeler!$F7="",DATE(Özet!$C$4,4,1)&lt;=Ödemeler!$F7)),Ödemeler!$C7,0))</f>
        <v>650</v>
      </c>
      <c r="F8" s="37" t="n">
        <f aca="false">IF(OR(Ödemeler!$A7="",Ödemeler!$G7="",Ödemeler!$E7=""),"",IF(AND(((Özet!$C$4*12+5)-(YEAR(Ödemeler!$E7)*12+MONTH(Ödemeler!$E7)))&gt;=0,MOD(((Özet!$C$4*12+5)-(YEAR(Ödemeler!$E7)*12+MONTH(Ödemeler!$E7))),Ödemeler!$G7)=0,OR(Ödemeler!$F7="",DATE(Özet!$C$4,5,1)&lt;=Ödemeler!$F7)),Ödemeler!$C7,0))</f>
        <v>650</v>
      </c>
      <c r="G8" s="37" t="n">
        <f aca="false">IF(OR(Ödemeler!$A7="",Ödemeler!$G7="",Ödemeler!$E7=""),"",IF(AND(((Özet!$C$4*12+6)-(YEAR(Ödemeler!$E7)*12+MONTH(Ödemeler!$E7)))&gt;=0,MOD(((Özet!$C$4*12+6)-(YEAR(Ödemeler!$E7)*12+MONTH(Ödemeler!$E7))),Ödemeler!$G7)=0,OR(Ödemeler!$F7="",DATE(Özet!$C$4,6,1)&lt;=Ödemeler!$F7)),Ödemeler!$C7,0))</f>
        <v>650</v>
      </c>
      <c r="H8" s="37" t="n">
        <f aca="false">IF(OR(Ödemeler!$A7="",Ödemeler!$G7="",Ödemeler!$E7=""),"",IF(AND(((Özet!$C$4*12+7)-(YEAR(Ödemeler!$E7)*12+MONTH(Ödemeler!$E7)))&gt;=0,MOD(((Özet!$C$4*12+7)-(YEAR(Ödemeler!$E7)*12+MONTH(Ödemeler!$E7))),Ödemeler!$G7)=0,OR(Ödemeler!$F7="",DATE(Özet!$C$4,7,1)&lt;=Ödemeler!$F7)),Ödemeler!$C7,0))</f>
        <v>650</v>
      </c>
      <c r="I8" s="37" t="n">
        <f aca="false">IF(OR(Ödemeler!$A7="",Ödemeler!$G7="",Ödemeler!$E7=""),"",IF(AND(((Özet!$C$4*12+8)-(YEAR(Ödemeler!$E7)*12+MONTH(Ödemeler!$E7)))&gt;=0,MOD(((Özet!$C$4*12+8)-(YEAR(Ödemeler!$E7)*12+MONTH(Ödemeler!$E7))),Ödemeler!$G7)=0,OR(Ödemeler!$F7="",DATE(Özet!$C$4,8,1)&lt;=Ödemeler!$F7)),Ödemeler!$C7,0))</f>
        <v>650</v>
      </c>
      <c r="J8" s="37" t="n">
        <f aca="false">IF(OR(Ödemeler!$A7="",Ödemeler!$G7="",Ödemeler!$E7=""),"",IF(AND(((Özet!$C$4*12+9)-(YEAR(Ödemeler!$E7)*12+MONTH(Ödemeler!$E7)))&gt;=0,MOD(((Özet!$C$4*12+9)-(YEAR(Ödemeler!$E7)*12+MONTH(Ödemeler!$E7))),Ödemeler!$G7)=0,OR(Ödemeler!$F7="",DATE(Özet!$C$4,9,1)&lt;=Ödemeler!$F7)),Ödemeler!$C7,0))</f>
        <v>650</v>
      </c>
      <c r="K8" s="37" t="n">
        <f aca="false">IF(OR(Ödemeler!$A7="",Ödemeler!$G7="",Ödemeler!$E7=""),"",IF(AND(((Özet!$C$4*12+10)-(YEAR(Ödemeler!$E7)*12+MONTH(Ödemeler!$E7)))&gt;=0,MOD(((Özet!$C$4*12+10)-(YEAR(Ödemeler!$E7)*12+MONTH(Ödemeler!$E7))),Ödemeler!$G7)=0,OR(Ödemeler!$F7="",DATE(Özet!$C$4,10,1)&lt;=Ödemeler!$F7)),Ödemeler!$C7,0))</f>
        <v>650</v>
      </c>
      <c r="L8" s="37" t="n">
        <f aca="false">IF(OR(Ödemeler!$A7="",Ödemeler!$G7="",Ödemeler!$E7=""),"",IF(AND(((Özet!$C$4*12+11)-(YEAR(Ödemeler!$E7)*12+MONTH(Ödemeler!$E7)))&gt;=0,MOD(((Özet!$C$4*12+11)-(YEAR(Ödemeler!$E7)*12+MONTH(Ödemeler!$E7))),Ödemeler!$G7)=0,OR(Ödemeler!$F7="",DATE(Özet!$C$4,11,1)&lt;=Ödemeler!$F7)),Ödemeler!$C7,0))</f>
        <v>650</v>
      </c>
      <c r="M8" s="37" t="n">
        <f aca="false">IF(OR(Ödemeler!$A7="",Ödemeler!$G7="",Ödemeler!$E7=""),"",IF(AND(((Özet!$C$4*12+12)-(YEAR(Ödemeler!$E7)*12+MONTH(Ödemeler!$E7)))&gt;=0,MOD(((Özet!$C$4*12+12)-(YEAR(Ödemeler!$E7)*12+MONTH(Ödemeler!$E7))),Ödemeler!$G7)=0,OR(Ödemeler!$F7="",DATE(Özet!$C$4,12,1)&lt;=Ödemeler!$F7)),Ödemeler!$C7,0))</f>
        <v>650</v>
      </c>
      <c r="N8" s="37" t="n">
        <f aca="false">IF(COUNT(B8:M8)=0,"",SUM(B8:M8))</f>
        <v>7150</v>
      </c>
    </row>
    <row r="9" customFormat="false" ht="15" hidden="false" customHeight="false" outlineLevel="0" collapsed="false">
      <c r="A9" s="16" t="str">
        <f aca="false">IF(Ödemeler!A8="","",Ödemeler!A8)</f>
        <v>Film ve dizi aboneliği</v>
      </c>
      <c r="B9" s="36" t="n">
        <f aca="false">IF(OR(Ödemeler!$A8="",Ödemeler!$G8="",Ödemeler!$E8=""),"",IF(AND(((Özet!$C$4*12+1)-(YEAR(Ödemeler!$E8)*12+MONTH(Ödemeler!$E8)))&gt;=0,MOD(((Özet!$C$4*12+1)-(YEAR(Ödemeler!$E8)*12+MONTH(Ödemeler!$E8))),Ödemeler!$G8)=0,OR(Ödemeler!$F8="",DATE(Özet!$C$4,1,1)&lt;=Ödemeler!$F8)),Ödemeler!$C8,0))</f>
        <v>230</v>
      </c>
      <c r="C9" s="36" t="n">
        <f aca="false">IF(OR(Ödemeler!$A8="",Ödemeler!$G8="",Ödemeler!$E8=""),"",IF(AND(((Özet!$C$4*12+2)-(YEAR(Ödemeler!$E8)*12+MONTH(Ödemeler!$E8)))&gt;=0,MOD(((Özet!$C$4*12+2)-(YEAR(Ödemeler!$E8)*12+MONTH(Ödemeler!$E8))),Ödemeler!$G8)=0,OR(Ödemeler!$F8="",DATE(Özet!$C$4,2,1)&lt;=Ödemeler!$F8)),Ödemeler!$C8,0))</f>
        <v>230</v>
      </c>
      <c r="D9" s="36" t="n">
        <f aca="false">IF(OR(Ödemeler!$A8="",Ödemeler!$G8="",Ödemeler!$E8=""),"",IF(AND(((Özet!$C$4*12+3)-(YEAR(Ödemeler!$E8)*12+MONTH(Ödemeler!$E8)))&gt;=0,MOD(((Özet!$C$4*12+3)-(YEAR(Ödemeler!$E8)*12+MONTH(Ödemeler!$E8))),Ödemeler!$G8)=0,OR(Ödemeler!$F8="",DATE(Özet!$C$4,3,1)&lt;=Ödemeler!$F8)),Ödemeler!$C8,0))</f>
        <v>230</v>
      </c>
      <c r="E9" s="36" t="n">
        <f aca="false">IF(OR(Ödemeler!$A8="",Ödemeler!$G8="",Ödemeler!$E8=""),"",IF(AND(((Özet!$C$4*12+4)-(YEAR(Ödemeler!$E8)*12+MONTH(Ödemeler!$E8)))&gt;=0,MOD(((Özet!$C$4*12+4)-(YEAR(Ödemeler!$E8)*12+MONTH(Ödemeler!$E8))),Ödemeler!$G8)=0,OR(Ödemeler!$F8="",DATE(Özet!$C$4,4,1)&lt;=Ödemeler!$F8)),Ödemeler!$C8,0))</f>
        <v>230</v>
      </c>
      <c r="F9" s="36" t="n">
        <f aca="false">IF(OR(Ödemeler!$A8="",Ödemeler!$G8="",Ödemeler!$E8=""),"",IF(AND(((Özet!$C$4*12+5)-(YEAR(Ödemeler!$E8)*12+MONTH(Ödemeler!$E8)))&gt;=0,MOD(((Özet!$C$4*12+5)-(YEAR(Ödemeler!$E8)*12+MONTH(Ödemeler!$E8))),Ödemeler!$G8)=0,OR(Ödemeler!$F8="",DATE(Özet!$C$4,5,1)&lt;=Ödemeler!$F8)),Ödemeler!$C8,0))</f>
        <v>230</v>
      </c>
      <c r="G9" s="36" t="n">
        <f aca="false">IF(OR(Ödemeler!$A8="",Ödemeler!$G8="",Ödemeler!$E8=""),"",IF(AND(((Özet!$C$4*12+6)-(YEAR(Ödemeler!$E8)*12+MONTH(Ödemeler!$E8)))&gt;=0,MOD(((Özet!$C$4*12+6)-(YEAR(Ödemeler!$E8)*12+MONTH(Ödemeler!$E8))),Ödemeler!$G8)=0,OR(Ödemeler!$F8="",DATE(Özet!$C$4,6,1)&lt;=Ödemeler!$F8)),Ödemeler!$C8,0))</f>
        <v>230</v>
      </c>
      <c r="H9" s="36" t="n">
        <f aca="false">IF(OR(Ödemeler!$A8="",Ödemeler!$G8="",Ödemeler!$E8=""),"",IF(AND(((Özet!$C$4*12+7)-(YEAR(Ödemeler!$E8)*12+MONTH(Ödemeler!$E8)))&gt;=0,MOD(((Özet!$C$4*12+7)-(YEAR(Ödemeler!$E8)*12+MONTH(Ödemeler!$E8))),Ödemeler!$G8)=0,OR(Ödemeler!$F8="",DATE(Özet!$C$4,7,1)&lt;=Ödemeler!$F8)),Ödemeler!$C8,0))</f>
        <v>230</v>
      </c>
      <c r="I9" s="36" t="n">
        <f aca="false">IF(OR(Ödemeler!$A8="",Ödemeler!$G8="",Ödemeler!$E8=""),"",IF(AND(((Özet!$C$4*12+8)-(YEAR(Ödemeler!$E8)*12+MONTH(Ödemeler!$E8)))&gt;=0,MOD(((Özet!$C$4*12+8)-(YEAR(Ödemeler!$E8)*12+MONTH(Ödemeler!$E8))),Ödemeler!$G8)=0,OR(Ödemeler!$F8="",DATE(Özet!$C$4,8,1)&lt;=Ödemeler!$F8)),Ödemeler!$C8,0))</f>
        <v>230</v>
      </c>
      <c r="J9" s="36" t="n">
        <f aca="false">IF(OR(Ödemeler!$A8="",Ödemeler!$G8="",Ödemeler!$E8=""),"",IF(AND(((Özet!$C$4*12+9)-(YEAR(Ödemeler!$E8)*12+MONTH(Ödemeler!$E8)))&gt;=0,MOD(((Özet!$C$4*12+9)-(YEAR(Ödemeler!$E8)*12+MONTH(Ödemeler!$E8))),Ödemeler!$G8)=0,OR(Ödemeler!$F8="",DATE(Özet!$C$4,9,1)&lt;=Ödemeler!$F8)),Ödemeler!$C8,0))</f>
        <v>230</v>
      </c>
      <c r="K9" s="36" t="n">
        <f aca="false">IF(OR(Ödemeler!$A8="",Ödemeler!$G8="",Ödemeler!$E8=""),"",IF(AND(((Özet!$C$4*12+10)-(YEAR(Ödemeler!$E8)*12+MONTH(Ödemeler!$E8)))&gt;=0,MOD(((Özet!$C$4*12+10)-(YEAR(Ödemeler!$E8)*12+MONTH(Ödemeler!$E8))),Ödemeler!$G8)=0,OR(Ödemeler!$F8="",DATE(Özet!$C$4,10,1)&lt;=Ödemeler!$F8)),Ödemeler!$C8,0))</f>
        <v>230</v>
      </c>
      <c r="L9" s="36" t="n">
        <f aca="false">IF(OR(Ödemeler!$A8="",Ödemeler!$G8="",Ödemeler!$E8=""),"",IF(AND(((Özet!$C$4*12+11)-(YEAR(Ödemeler!$E8)*12+MONTH(Ödemeler!$E8)))&gt;=0,MOD(((Özet!$C$4*12+11)-(YEAR(Ödemeler!$E8)*12+MONTH(Ödemeler!$E8))),Ödemeler!$G8)=0,OR(Ödemeler!$F8="",DATE(Özet!$C$4,11,1)&lt;=Ödemeler!$F8)),Ödemeler!$C8,0))</f>
        <v>230</v>
      </c>
      <c r="M9" s="36" t="n">
        <f aca="false">IF(OR(Ödemeler!$A8="",Ödemeler!$G8="",Ödemeler!$E8=""),"",IF(AND(((Özet!$C$4*12+12)-(YEAR(Ödemeler!$E8)*12+MONTH(Ödemeler!$E8)))&gt;=0,MOD(((Özet!$C$4*12+12)-(YEAR(Ödemeler!$E8)*12+MONTH(Ödemeler!$E8))),Ödemeler!$G8)=0,OR(Ödemeler!$F8="",DATE(Özet!$C$4,12,1)&lt;=Ödemeler!$F8)),Ödemeler!$C8,0))</f>
        <v>230</v>
      </c>
      <c r="N9" s="36" t="n">
        <f aca="false">IF(COUNT(B9:M9)=0,"",SUM(B9:M9))</f>
        <v>2760</v>
      </c>
    </row>
    <row r="10" customFormat="false" ht="15" hidden="false" customHeight="false" outlineLevel="0" collapsed="false">
      <c r="A10" s="30" t="str">
        <f aca="false">IF(Ödemeler!A9="","",Ödemeler!A9)</f>
        <v>Bulut depolama</v>
      </c>
      <c r="B10" s="37" t="n">
        <f aca="false">IF(OR(Ödemeler!$A9="",Ödemeler!$G9="",Ödemeler!$E9=""),"",IF(AND(((Özet!$C$4*12+1)-(YEAR(Ödemeler!$E9)*12+MONTH(Ödemeler!$E9)))&gt;=0,MOD(((Özet!$C$4*12+1)-(YEAR(Ödemeler!$E9)*12+MONTH(Ödemeler!$E9))),Ödemeler!$G9)=0,OR(Ödemeler!$F9="",DATE(Özet!$C$4,1,1)&lt;=Ödemeler!$F9)),Ödemeler!$C9,0))</f>
        <v>0</v>
      </c>
      <c r="C10" s="37" t="n">
        <f aca="false">IF(OR(Ödemeler!$A9="",Ödemeler!$G9="",Ödemeler!$E9=""),"",IF(AND(((Özet!$C$4*12+2)-(YEAR(Ödemeler!$E9)*12+MONTH(Ödemeler!$E9)))&gt;=0,MOD(((Özet!$C$4*12+2)-(YEAR(Ödemeler!$E9)*12+MONTH(Ödemeler!$E9))),Ödemeler!$G9)=0,OR(Ödemeler!$F9="",DATE(Özet!$C$4,2,1)&lt;=Ödemeler!$F9)),Ödemeler!$C9,0))</f>
        <v>0</v>
      </c>
      <c r="D10" s="37" t="n">
        <f aca="false">IF(OR(Ödemeler!$A9="",Ödemeler!$G9="",Ödemeler!$E9=""),"",IF(AND(((Özet!$C$4*12+3)-(YEAR(Ödemeler!$E9)*12+MONTH(Ödemeler!$E9)))&gt;=0,MOD(((Özet!$C$4*12+3)-(YEAR(Ödemeler!$E9)*12+MONTH(Ödemeler!$E9))),Ödemeler!$G9)=0,OR(Ödemeler!$F9="",DATE(Özet!$C$4,3,1)&lt;=Ödemeler!$F9)),Ödemeler!$C9,0))</f>
        <v>1200</v>
      </c>
      <c r="E10" s="37" t="n">
        <f aca="false">IF(OR(Ödemeler!$A9="",Ödemeler!$G9="",Ödemeler!$E9=""),"",IF(AND(((Özet!$C$4*12+4)-(YEAR(Ödemeler!$E9)*12+MONTH(Ödemeler!$E9)))&gt;=0,MOD(((Özet!$C$4*12+4)-(YEAR(Ödemeler!$E9)*12+MONTH(Ödemeler!$E9))),Ödemeler!$G9)=0,OR(Ödemeler!$F9="",DATE(Özet!$C$4,4,1)&lt;=Ödemeler!$F9)),Ödemeler!$C9,0))</f>
        <v>0</v>
      </c>
      <c r="F10" s="37" t="n">
        <f aca="false">IF(OR(Ödemeler!$A9="",Ödemeler!$G9="",Ödemeler!$E9=""),"",IF(AND(((Özet!$C$4*12+5)-(YEAR(Ödemeler!$E9)*12+MONTH(Ödemeler!$E9)))&gt;=0,MOD(((Özet!$C$4*12+5)-(YEAR(Ödemeler!$E9)*12+MONTH(Ödemeler!$E9))),Ödemeler!$G9)=0,OR(Ödemeler!$F9="",DATE(Özet!$C$4,5,1)&lt;=Ödemeler!$F9)),Ödemeler!$C9,0))</f>
        <v>0</v>
      </c>
      <c r="G10" s="37" t="n">
        <f aca="false">IF(OR(Ödemeler!$A9="",Ödemeler!$G9="",Ödemeler!$E9=""),"",IF(AND(((Özet!$C$4*12+6)-(YEAR(Ödemeler!$E9)*12+MONTH(Ödemeler!$E9)))&gt;=0,MOD(((Özet!$C$4*12+6)-(YEAR(Ödemeler!$E9)*12+MONTH(Ödemeler!$E9))),Ödemeler!$G9)=0,OR(Ödemeler!$F9="",DATE(Özet!$C$4,6,1)&lt;=Ödemeler!$F9)),Ödemeler!$C9,0))</f>
        <v>0</v>
      </c>
      <c r="H10" s="37" t="n">
        <f aca="false">IF(OR(Ödemeler!$A9="",Ödemeler!$G9="",Ödemeler!$E9=""),"",IF(AND(((Özet!$C$4*12+7)-(YEAR(Ödemeler!$E9)*12+MONTH(Ödemeler!$E9)))&gt;=0,MOD(((Özet!$C$4*12+7)-(YEAR(Ödemeler!$E9)*12+MONTH(Ödemeler!$E9))),Ödemeler!$G9)=0,OR(Ödemeler!$F9="",DATE(Özet!$C$4,7,1)&lt;=Ödemeler!$F9)),Ödemeler!$C9,0))</f>
        <v>0</v>
      </c>
      <c r="I10" s="37" t="n">
        <f aca="false">IF(OR(Ödemeler!$A9="",Ödemeler!$G9="",Ödemeler!$E9=""),"",IF(AND(((Özet!$C$4*12+8)-(YEAR(Ödemeler!$E9)*12+MONTH(Ödemeler!$E9)))&gt;=0,MOD(((Özet!$C$4*12+8)-(YEAR(Ödemeler!$E9)*12+MONTH(Ödemeler!$E9))),Ödemeler!$G9)=0,OR(Ödemeler!$F9="",DATE(Özet!$C$4,8,1)&lt;=Ödemeler!$F9)),Ödemeler!$C9,0))</f>
        <v>0</v>
      </c>
      <c r="J10" s="37" t="n">
        <f aca="false">IF(OR(Ödemeler!$A9="",Ödemeler!$G9="",Ödemeler!$E9=""),"",IF(AND(((Özet!$C$4*12+9)-(YEAR(Ödemeler!$E9)*12+MONTH(Ödemeler!$E9)))&gt;=0,MOD(((Özet!$C$4*12+9)-(YEAR(Ödemeler!$E9)*12+MONTH(Ödemeler!$E9))),Ödemeler!$G9)=0,OR(Ödemeler!$F9="",DATE(Özet!$C$4,9,1)&lt;=Ödemeler!$F9)),Ödemeler!$C9,0))</f>
        <v>0</v>
      </c>
      <c r="K10" s="37" t="n">
        <f aca="false">IF(OR(Ödemeler!$A9="",Ödemeler!$G9="",Ödemeler!$E9=""),"",IF(AND(((Özet!$C$4*12+10)-(YEAR(Ödemeler!$E9)*12+MONTH(Ödemeler!$E9)))&gt;=0,MOD(((Özet!$C$4*12+10)-(YEAR(Ödemeler!$E9)*12+MONTH(Ödemeler!$E9))),Ödemeler!$G9)=0,OR(Ödemeler!$F9="",DATE(Özet!$C$4,10,1)&lt;=Ödemeler!$F9)),Ödemeler!$C9,0))</f>
        <v>0</v>
      </c>
      <c r="L10" s="37" t="n">
        <f aca="false">IF(OR(Ödemeler!$A9="",Ödemeler!$G9="",Ödemeler!$E9=""),"",IF(AND(((Özet!$C$4*12+11)-(YEAR(Ödemeler!$E9)*12+MONTH(Ödemeler!$E9)))&gt;=0,MOD(((Özet!$C$4*12+11)-(YEAR(Ödemeler!$E9)*12+MONTH(Ödemeler!$E9))),Ödemeler!$G9)=0,OR(Ödemeler!$F9="",DATE(Özet!$C$4,11,1)&lt;=Ödemeler!$F9)),Ödemeler!$C9,0))</f>
        <v>0</v>
      </c>
      <c r="M10" s="37" t="n">
        <f aca="false">IF(OR(Ödemeler!$A9="",Ödemeler!$G9="",Ödemeler!$E9=""),"",IF(AND(((Özet!$C$4*12+12)-(YEAR(Ödemeler!$E9)*12+MONTH(Ödemeler!$E9)))&gt;=0,MOD(((Özet!$C$4*12+12)-(YEAR(Ödemeler!$E9)*12+MONTH(Ödemeler!$E9))),Ödemeler!$G9)=0,OR(Ödemeler!$F9="",DATE(Özet!$C$4,12,1)&lt;=Ödemeler!$F9)),Ödemeler!$C9,0))</f>
        <v>0</v>
      </c>
      <c r="N10" s="37" t="n">
        <f aca="false">IF(COUNT(B10:M10)=0,"",SUM(B10:M10))</f>
        <v>1200</v>
      </c>
    </row>
    <row r="11" customFormat="false" ht="15" hidden="false" customHeight="false" outlineLevel="0" collapsed="false">
      <c r="A11" s="16" t="str">
        <f aca="false">IF(Ödemeler!A10="","",Ödemeler!A10)</f>
        <v>Telefon taksidi</v>
      </c>
      <c r="B11" s="36" t="n">
        <f aca="false">IF(OR(Ödemeler!$A10="",Ödemeler!$G10="",Ödemeler!$E10=""),"",IF(AND(((Özet!$C$4*12+1)-(YEAR(Ödemeler!$E10)*12+MONTH(Ödemeler!$E10)))&gt;=0,MOD(((Özet!$C$4*12+1)-(YEAR(Ödemeler!$E10)*12+MONTH(Ödemeler!$E10))),Ödemeler!$G10)=0,OR(Ödemeler!$F10="",DATE(Özet!$C$4,1,1)&lt;=Ödemeler!$F10)),Ödemeler!$C10,0))</f>
        <v>0</v>
      </c>
      <c r="C11" s="36" t="n">
        <f aca="false">IF(OR(Ödemeler!$A10="",Ödemeler!$G10="",Ödemeler!$E10=""),"",IF(AND(((Özet!$C$4*12+2)-(YEAR(Ödemeler!$E10)*12+MONTH(Ödemeler!$E10)))&gt;=0,MOD(((Özet!$C$4*12+2)-(YEAR(Ödemeler!$E10)*12+MONTH(Ödemeler!$E10))),Ödemeler!$G10)=0,OR(Ödemeler!$F10="",DATE(Özet!$C$4,2,1)&lt;=Ödemeler!$F10)),Ödemeler!$C10,0))</f>
        <v>0</v>
      </c>
      <c r="D11" s="36" t="n">
        <f aca="false">IF(OR(Ödemeler!$A10="",Ödemeler!$G10="",Ödemeler!$E10=""),"",IF(AND(((Özet!$C$4*12+3)-(YEAR(Ödemeler!$E10)*12+MONTH(Ödemeler!$E10)))&gt;=0,MOD(((Özet!$C$4*12+3)-(YEAR(Ödemeler!$E10)*12+MONTH(Ödemeler!$E10))),Ödemeler!$G10)=0,OR(Ödemeler!$F10="",DATE(Özet!$C$4,3,1)&lt;=Ödemeler!$F10)),Ödemeler!$C10,0))</f>
        <v>0</v>
      </c>
      <c r="E11" s="36" t="n">
        <f aca="false">IF(OR(Ödemeler!$A10="",Ödemeler!$G10="",Ödemeler!$E10=""),"",IF(AND(((Özet!$C$4*12+4)-(YEAR(Ödemeler!$E10)*12+MONTH(Ödemeler!$E10)))&gt;=0,MOD(((Özet!$C$4*12+4)-(YEAR(Ödemeler!$E10)*12+MONTH(Ödemeler!$E10))),Ödemeler!$G10)=0,OR(Ödemeler!$F10="",DATE(Özet!$C$4,4,1)&lt;=Ödemeler!$F10)),Ödemeler!$C10,0))</f>
        <v>2500</v>
      </c>
      <c r="F11" s="36" t="n">
        <f aca="false">IF(OR(Ödemeler!$A10="",Ödemeler!$G10="",Ödemeler!$E10=""),"",IF(AND(((Özet!$C$4*12+5)-(YEAR(Ödemeler!$E10)*12+MONTH(Ödemeler!$E10)))&gt;=0,MOD(((Özet!$C$4*12+5)-(YEAR(Ödemeler!$E10)*12+MONTH(Ödemeler!$E10))),Ödemeler!$G10)=0,OR(Ödemeler!$F10="",DATE(Özet!$C$4,5,1)&lt;=Ödemeler!$F10)),Ödemeler!$C10,0))</f>
        <v>2500</v>
      </c>
      <c r="G11" s="36" t="n">
        <f aca="false">IF(OR(Ödemeler!$A10="",Ödemeler!$G10="",Ödemeler!$E10=""),"",IF(AND(((Özet!$C$4*12+6)-(YEAR(Ödemeler!$E10)*12+MONTH(Ödemeler!$E10)))&gt;=0,MOD(((Özet!$C$4*12+6)-(YEAR(Ödemeler!$E10)*12+MONTH(Ödemeler!$E10))),Ödemeler!$G10)=0,OR(Ödemeler!$F10="",DATE(Özet!$C$4,6,1)&lt;=Ödemeler!$F10)),Ödemeler!$C10,0))</f>
        <v>2500</v>
      </c>
      <c r="H11" s="36" t="n">
        <f aca="false">IF(OR(Ödemeler!$A10="",Ödemeler!$G10="",Ödemeler!$E10=""),"",IF(AND(((Özet!$C$4*12+7)-(YEAR(Ödemeler!$E10)*12+MONTH(Ödemeler!$E10)))&gt;=0,MOD(((Özet!$C$4*12+7)-(YEAR(Ödemeler!$E10)*12+MONTH(Ödemeler!$E10))),Ödemeler!$G10)=0,OR(Ödemeler!$F10="",DATE(Özet!$C$4,7,1)&lt;=Ödemeler!$F10)),Ödemeler!$C10,0))</f>
        <v>2500</v>
      </c>
      <c r="I11" s="36" t="n">
        <f aca="false">IF(OR(Ödemeler!$A10="",Ödemeler!$G10="",Ödemeler!$E10=""),"",IF(AND(((Özet!$C$4*12+8)-(YEAR(Ödemeler!$E10)*12+MONTH(Ödemeler!$E10)))&gt;=0,MOD(((Özet!$C$4*12+8)-(YEAR(Ödemeler!$E10)*12+MONTH(Ödemeler!$E10))),Ödemeler!$G10)=0,OR(Ödemeler!$F10="",DATE(Özet!$C$4,8,1)&lt;=Ödemeler!$F10)),Ödemeler!$C10,0))</f>
        <v>2500</v>
      </c>
      <c r="J11" s="36" t="n">
        <f aca="false">IF(OR(Ödemeler!$A10="",Ödemeler!$G10="",Ödemeler!$E10=""),"",IF(AND(((Özet!$C$4*12+9)-(YEAR(Ödemeler!$E10)*12+MONTH(Ödemeler!$E10)))&gt;=0,MOD(((Özet!$C$4*12+9)-(YEAR(Ödemeler!$E10)*12+MONTH(Ödemeler!$E10))),Ödemeler!$G10)=0,OR(Ödemeler!$F10="",DATE(Özet!$C$4,9,1)&lt;=Ödemeler!$F10)),Ödemeler!$C10,0))</f>
        <v>2500</v>
      </c>
      <c r="K11" s="36" t="n">
        <f aca="false">IF(OR(Ödemeler!$A10="",Ödemeler!$G10="",Ödemeler!$E10=""),"",IF(AND(((Özet!$C$4*12+10)-(YEAR(Ödemeler!$E10)*12+MONTH(Ödemeler!$E10)))&gt;=0,MOD(((Özet!$C$4*12+10)-(YEAR(Ödemeler!$E10)*12+MONTH(Ödemeler!$E10))),Ödemeler!$G10)=0,OR(Ödemeler!$F10="",DATE(Özet!$C$4,10,1)&lt;=Ödemeler!$F10)),Ödemeler!$C10,0))</f>
        <v>2500</v>
      </c>
      <c r="L11" s="36" t="n">
        <f aca="false">IF(OR(Ödemeler!$A10="",Ödemeler!$G10="",Ödemeler!$E10=""),"",IF(AND(((Özet!$C$4*12+11)-(YEAR(Ödemeler!$E10)*12+MONTH(Ödemeler!$E10)))&gt;=0,MOD(((Özet!$C$4*12+11)-(YEAR(Ödemeler!$E10)*12+MONTH(Ödemeler!$E10))),Ödemeler!$G10)=0,OR(Ödemeler!$F10="",DATE(Özet!$C$4,11,1)&lt;=Ödemeler!$F10)),Ödemeler!$C10,0))</f>
        <v>2500</v>
      </c>
      <c r="M11" s="36" t="n">
        <f aca="false">IF(OR(Ödemeler!$A10="",Ödemeler!$G10="",Ödemeler!$E10=""),"",IF(AND(((Özet!$C$4*12+12)-(YEAR(Ödemeler!$E10)*12+MONTH(Ödemeler!$E10)))&gt;=0,MOD(((Özet!$C$4*12+12)-(YEAR(Ödemeler!$E10)*12+MONTH(Ödemeler!$E10))),Ödemeler!$G10)=0,OR(Ödemeler!$F10="",DATE(Özet!$C$4,12,1)&lt;=Ödemeler!$F10)),Ödemeler!$C10,0))</f>
        <v>2500</v>
      </c>
      <c r="N11" s="36" t="n">
        <f aca="false">IF(COUNT(B11:M11)=0,"",SUM(B11:M11))</f>
        <v>22500</v>
      </c>
    </row>
    <row r="12" customFormat="false" ht="15" hidden="false" customHeight="false" outlineLevel="0" collapsed="false">
      <c r="A12" s="30" t="str">
        <f aca="false">IF(Ödemeler!A11="","",Ödemeler!A11)</f>
        <v>Kasko</v>
      </c>
      <c r="B12" s="37" t="n">
        <f aca="false">IF(OR(Ödemeler!$A11="",Ödemeler!$G11="",Ödemeler!$E11=""),"",IF(AND(((Özet!$C$4*12+1)-(YEAR(Ödemeler!$E11)*12+MONTH(Ödemeler!$E11)))&gt;=0,MOD(((Özet!$C$4*12+1)-(YEAR(Ödemeler!$E11)*12+MONTH(Ödemeler!$E11))),Ödemeler!$G11)=0,OR(Ödemeler!$F11="",DATE(Özet!$C$4,1,1)&lt;=Ödemeler!$F11)),Ödemeler!$C11,0))</f>
        <v>0</v>
      </c>
      <c r="C12" s="37" t="n">
        <f aca="false">IF(OR(Ödemeler!$A11="",Ödemeler!$G11="",Ödemeler!$E11=""),"",IF(AND(((Özet!$C$4*12+2)-(YEAR(Ödemeler!$E11)*12+MONTH(Ödemeler!$E11)))&gt;=0,MOD(((Özet!$C$4*12+2)-(YEAR(Ödemeler!$E11)*12+MONTH(Ödemeler!$E11))),Ödemeler!$G11)=0,OR(Ödemeler!$F11="",DATE(Özet!$C$4,2,1)&lt;=Ödemeler!$F11)),Ödemeler!$C11,0))</f>
        <v>0</v>
      </c>
      <c r="D12" s="37" t="n">
        <f aca="false">IF(OR(Ödemeler!$A11="",Ödemeler!$G11="",Ödemeler!$E11=""),"",IF(AND(((Özet!$C$4*12+3)-(YEAR(Ödemeler!$E11)*12+MONTH(Ödemeler!$E11)))&gt;=0,MOD(((Özet!$C$4*12+3)-(YEAR(Ödemeler!$E11)*12+MONTH(Ödemeler!$E11))),Ödemeler!$G11)=0,OR(Ödemeler!$F11="",DATE(Özet!$C$4,3,1)&lt;=Ödemeler!$F11)),Ödemeler!$C11,0))</f>
        <v>0</v>
      </c>
      <c r="E12" s="37" t="n">
        <f aca="false">IF(OR(Ödemeler!$A11="",Ödemeler!$G11="",Ödemeler!$E11=""),"",IF(AND(((Özet!$C$4*12+4)-(YEAR(Ödemeler!$E11)*12+MONTH(Ödemeler!$E11)))&gt;=0,MOD(((Özet!$C$4*12+4)-(YEAR(Ödemeler!$E11)*12+MONTH(Ödemeler!$E11))),Ödemeler!$G11)=0,OR(Ödemeler!$F11="",DATE(Özet!$C$4,4,1)&lt;=Ödemeler!$F11)),Ödemeler!$C11,0))</f>
        <v>0</v>
      </c>
      <c r="F12" s="37" t="n">
        <f aca="false">IF(OR(Ödemeler!$A11="",Ödemeler!$G11="",Ödemeler!$E11=""),"",IF(AND(((Özet!$C$4*12+5)-(YEAR(Ödemeler!$E11)*12+MONTH(Ödemeler!$E11)))&gt;=0,MOD(((Özet!$C$4*12+5)-(YEAR(Ödemeler!$E11)*12+MONTH(Ödemeler!$E11))),Ödemeler!$G11)=0,OR(Ödemeler!$F11="",DATE(Özet!$C$4,5,1)&lt;=Ödemeler!$F11)),Ödemeler!$C11,0))</f>
        <v>0</v>
      </c>
      <c r="G12" s="37" t="n">
        <f aca="false">IF(OR(Ödemeler!$A11="",Ödemeler!$G11="",Ödemeler!$E11=""),"",IF(AND(((Özet!$C$4*12+6)-(YEAR(Ödemeler!$E11)*12+MONTH(Ödemeler!$E11)))&gt;=0,MOD(((Özet!$C$4*12+6)-(YEAR(Ödemeler!$E11)*12+MONTH(Ödemeler!$E11))),Ödemeler!$G11)=0,OR(Ödemeler!$F11="",DATE(Özet!$C$4,6,1)&lt;=Ödemeler!$F11)),Ödemeler!$C11,0))</f>
        <v>9000</v>
      </c>
      <c r="H12" s="37" t="n">
        <f aca="false">IF(OR(Ödemeler!$A11="",Ödemeler!$G11="",Ödemeler!$E11=""),"",IF(AND(((Özet!$C$4*12+7)-(YEAR(Ödemeler!$E11)*12+MONTH(Ödemeler!$E11)))&gt;=0,MOD(((Özet!$C$4*12+7)-(YEAR(Ödemeler!$E11)*12+MONTH(Ödemeler!$E11))),Ödemeler!$G11)=0,OR(Ödemeler!$F11="",DATE(Özet!$C$4,7,1)&lt;=Ödemeler!$F11)),Ödemeler!$C11,0))</f>
        <v>0</v>
      </c>
      <c r="I12" s="37" t="n">
        <f aca="false">IF(OR(Ödemeler!$A11="",Ödemeler!$G11="",Ödemeler!$E11=""),"",IF(AND(((Özet!$C$4*12+8)-(YEAR(Ödemeler!$E11)*12+MONTH(Ödemeler!$E11)))&gt;=0,MOD(((Özet!$C$4*12+8)-(YEAR(Ödemeler!$E11)*12+MONTH(Ödemeler!$E11))),Ödemeler!$G11)=0,OR(Ödemeler!$F11="",DATE(Özet!$C$4,8,1)&lt;=Ödemeler!$F11)),Ödemeler!$C11,0))</f>
        <v>0</v>
      </c>
      <c r="J12" s="37" t="n">
        <f aca="false">IF(OR(Ödemeler!$A11="",Ödemeler!$G11="",Ödemeler!$E11=""),"",IF(AND(((Özet!$C$4*12+9)-(YEAR(Ödemeler!$E11)*12+MONTH(Ödemeler!$E11)))&gt;=0,MOD(((Özet!$C$4*12+9)-(YEAR(Ödemeler!$E11)*12+MONTH(Ödemeler!$E11))),Ödemeler!$G11)=0,OR(Ödemeler!$F11="",DATE(Özet!$C$4,9,1)&lt;=Ödemeler!$F11)),Ödemeler!$C11,0))</f>
        <v>0</v>
      </c>
      <c r="K12" s="37" t="n">
        <f aca="false">IF(OR(Ödemeler!$A11="",Ödemeler!$G11="",Ödemeler!$E11=""),"",IF(AND(((Özet!$C$4*12+10)-(YEAR(Ödemeler!$E11)*12+MONTH(Ödemeler!$E11)))&gt;=0,MOD(((Özet!$C$4*12+10)-(YEAR(Ödemeler!$E11)*12+MONTH(Ödemeler!$E11))),Ödemeler!$G11)=0,OR(Ödemeler!$F11="",DATE(Özet!$C$4,10,1)&lt;=Ödemeler!$F11)),Ödemeler!$C11,0))</f>
        <v>0</v>
      </c>
      <c r="L12" s="37" t="n">
        <f aca="false">IF(OR(Ödemeler!$A11="",Ödemeler!$G11="",Ödemeler!$E11=""),"",IF(AND(((Özet!$C$4*12+11)-(YEAR(Ödemeler!$E11)*12+MONTH(Ödemeler!$E11)))&gt;=0,MOD(((Özet!$C$4*12+11)-(YEAR(Ödemeler!$E11)*12+MONTH(Ödemeler!$E11))),Ödemeler!$G11)=0,OR(Ödemeler!$F11="",DATE(Özet!$C$4,11,1)&lt;=Ödemeler!$F11)),Ödemeler!$C11,0))</f>
        <v>0</v>
      </c>
      <c r="M12" s="37" t="n">
        <f aca="false">IF(OR(Ödemeler!$A11="",Ödemeler!$G11="",Ödemeler!$E11=""),"",IF(AND(((Özet!$C$4*12+12)-(YEAR(Ödemeler!$E11)*12+MONTH(Ödemeler!$E11)))&gt;=0,MOD(((Özet!$C$4*12+12)-(YEAR(Ödemeler!$E11)*12+MONTH(Ödemeler!$E11))),Ödemeler!$G11)=0,OR(Ödemeler!$F11="",DATE(Özet!$C$4,12,1)&lt;=Ödemeler!$F11)),Ödemeler!$C11,0))</f>
        <v>9000</v>
      </c>
      <c r="N12" s="37" t="n">
        <f aca="false">IF(COUNT(B12:M12)=0,"",SUM(B12:M12))</f>
        <v>18000</v>
      </c>
    </row>
    <row r="13" customFormat="false" ht="15" hidden="false" customHeight="false" outlineLevel="0" collapsed="false">
      <c r="A13" s="16" t="str">
        <f aca="false">IF(Ödemeler!A12="","",Ödemeler!A12)</f>
        <v>Spor salonu</v>
      </c>
      <c r="B13" s="36" t="n">
        <f aca="false">IF(OR(Ödemeler!$A12="",Ödemeler!$G12="",Ödemeler!$E12=""),"",IF(AND(((Özet!$C$4*12+1)-(YEAR(Ödemeler!$E12)*12+MONTH(Ödemeler!$E12)))&gt;=0,MOD(((Özet!$C$4*12+1)-(YEAR(Ödemeler!$E12)*12+MONTH(Ödemeler!$E12))),Ödemeler!$G12)=0,OR(Ödemeler!$F12="",DATE(Özet!$C$4,1,1)&lt;=Ödemeler!$F12)),Ödemeler!$C12,0))</f>
        <v>0</v>
      </c>
      <c r="C13" s="36" t="n">
        <f aca="false">IF(OR(Ödemeler!$A12="",Ödemeler!$G12="",Ödemeler!$E12=""),"",IF(AND(((Özet!$C$4*12+2)-(YEAR(Ödemeler!$E12)*12+MONTH(Ödemeler!$E12)))&gt;=0,MOD(((Özet!$C$4*12+2)-(YEAR(Ödemeler!$E12)*12+MONTH(Ödemeler!$E12))),Ödemeler!$G12)=0,OR(Ödemeler!$F12="",DATE(Özet!$C$4,2,1)&lt;=Ödemeler!$F12)),Ödemeler!$C12,0))</f>
        <v>0</v>
      </c>
      <c r="D13" s="36" t="n">
        <f aca="false">IF(OR(Ödemeler!$A12="",Ödemeler!$G12="",Ödemeler!$E12=""),"",IF(AND(((Özet!$C$4*12+3)-(YEAR(Ödemeler!$E12)*12+MONTH(Ödemeler!$E12)))&gt;=0,MOD(((Özet!$C$4*12+3)-(YEAR(Ödemeler!$E12)*12+MONTH(Ödemeler!$E12))),Ödemeler!$G12)=0,OR(Ödemeler!$F12="",DATE(Özet!$C$4,3,1)&lt;=Ödemeler!$F12)),Ödemeler!$C12,0))</f>
        <v>0</v>
      </c>
      <c r="E13" s="36" t="n">
        <f aca="false">IF(OR(Ödemeler!$A12="",Ödemeler!$G12="",Ödemeler!$E12=""),"",IF(AND(((Özet!$C$4*12+4)-(YEAR(Ödemeler!$E12)*12+MONTH(Ödemeler!$E12)))&gt;=0,MOD(((Özet!$C$4*12+4)-(YEAR(Ödemeler!$E12)*12+MONTH(Ödemeler!$E12))),Ödemeler!$G12)=0,OR(Ödemeler!$F12="",DATE(Özet!$C$4,4,1)&lt;=Ödemeler!$F12)),Ödemeler!$C12,0))</f>
        <v>0</v>
      </c>
      <c r="F13" s="36" t="n">
        <f aca="false">IF(OR(Ödemeler!$A12="",Ödemeler!$G12="",Ödemeler!$E12=""),"",IF(AND(((Özet!$C$4*12+5)-(YEAR(Ödemeler!$E12)*12+MONTH(Ödemeler!$E12)))&gt;=0,MOD(((Özet!$C$4*12+5)-(YEAR(Ödemeler!$E12)*12+MONTH(Ödemeler!$E12))),Ödemeler!$G12)=0,OR(Ödemeler!$F12="",DATE(Özet!$C$4,5,1)&lt;=Ödemeler!$F12)),Ödemeler!$C12,0))</f>
        <v>0</v>
      </c>
      <c r="G13" s="36" t="n">
        <f aca="false">IF(OR(Ödemeler!$A12="",Ödemeler!$G12="",Ödemeler!$E12=""),"",IF(AND(((Özet!$C$4*12+6)-(YEAR(Ödemeler!$E12)*12+MONTH(Ödemeler!$E12)))&gt;=0,MOD(((Özet!$C$4*12+6)-(YEAR(Ödemeler!$E12)*12+MONTH(Ödemeler!$E12))),Ödemeler!$G12)=0,OR(Ödemeler!$F12="",DATE(Özet!$C$4,6,1)&lt;=Ödemeler!$F12)),Ödemeler!$C12,0))</f>
        <v>0</v>
      </c>
      <c r="H13" s="36" t="n">
        <f aca="false">IF(OR(Ödemeler!$A12="",Ödemeler!$G12="",Ödemeler!$E12=""),"",IF(AND(((Özet!$C$4*12+7)-(YEAR(Ödemeler!$E12)*12+MONTH(Ödemeler!$E12)))&gt;=0,MOD(((Özet!$C$4*12+7)-(YEAR(Ödemeler!$E12)*12+MONTH(Ödemeler!$E12))),Ödemeler!$G12)=0,OR(Ödemeler!$F12="",DATE(Özet!$C$4,7,1)&lt;=Ödemeler!$F12)),Ödemeler!$C12,0))</f>
        <v>0</v>
      </c>
      <c r="I13" s="36" t="n">
        <f aca="false">IF(OR(Ödemeler!$A12="",Ödemeler!$G12="",Ödemeler!$E12=""),"",IF(AND(((Özet!$C$4*12+8)-(YEAR(Ödemeler!$E12)*12+MONTH(Ödemeler!$E12)))&gt;=0,MOD(((Özet!$C$4*12+8)-(YEAR(Ödemeler!$E12)*12+MONTH(Ödemeler!$E12))),Ödemeler!$G12)=0,OR(Ödemeler!$F12="",DATE(Özet!$C$4,8,1)&lt;=Ödemeler!$F12)),Ödemeler!$C12,0))</f>
        <v>4500</v>
      </c>
      <c r="J13" s="36" t="n">
        <f aca="false">IF(OR(Ödemeler!$A12="",Ödemeler!$G12="",Ödemeler!$E12=""),"",IF(AND(((Özet!$C$4*12+9)-(YEAR(Ödemeler!$E12)*12+MONTH(Ödemeler!$E12)))&gt;=0,MOD(((Özet!$C$4*12+9)-(YEAR(Ödemeler!$E12)*12+MONTH(Ödemeler!$E12))),Ödemeler!$G12)=0,OR(Ödemeler!$F12="",DATE(Özet!$C$4,9,1)&lt;=Ödemeler!$F12)),Ödemeler!$C12,0))</f>
        <v>0</v>
      </c>
      <c r="K13" s="36" t="n">
        <f aca="false">IF(OR(Ödemeler!$A12="",Ödemeler!$G12="",Ödemeler!$E12=""),"",IF(AND(((Özet!$C$4*12+10)-(YEAR(Ödemeler!$E12)*12+MONTH(Ödemeler!$E12)))&gt;=0,MOD(((Özet!$C$4*12+10)-(YEAR(Ödemeler!$E12)*12+MONTH(Ödemeler!$E12))),Ödemeler!$G12)=0,OR(Ödemeler!$F12="",DATE(Özet!$C$4,10,1)&lt;=Ödemeler!$F12)),Ödemeler!$C12,0))</f>
        <v>0</v>
      </c>
      <c r="L13" s="36" t="n">
        <f aca="false">IF(OR(Ödemeler!$A12="",Ödemeler!$G12="",Ödemeler!$E12=""),"",IF(AND(((Özet!$C$4*12+11)-(YEAR(Ödemeler!$E12)*12+MONTH(Ödemeler!$E12)))&gt;=0,MOD(((Özet!$C$4*12+11)-(YEAR(Ödemeler!$E12)*12+MONTH(Ödemeler!$E12))),Ödemeler!$G12)=0,OR(Ödemeler!$F12="",DATE(Özet!$C$4,11,1)&lt;=Ödemeler!$F12)),Ödemeler!$C12,0))</f>
        <v>4500</v>
      </c>
      <c r="M13" s="36" t="n">
        <f aca="false">IF(OR(Ödemeler!$A12="",Ödemeler!$G12="",Ödemeler!$E12=""),"",IF(AND(((Özet!$C$4*12+12)-(YEAR(Ödemeler!$E12)*12+MONTH(Ödemeler!$E12)))&gt;=0,MOD(((Özet!$C$4*12+12)-(YEAR(Ödemeler!$E12)*12+MONTH(Ödemeler!$E12))),Ödemeler!$G12)=0,OR(Ödemeler!$F12="",DATE(Özet!$C$4,12,1)&lt;=Ödemeler!$F12)),Ödemeler!$C12,0))</f>
        <v>0</v>
      </c>
      <c r="N13" s="36" t="n">
        <f aca="false">IF(COUNT(B13:M13)=0,"",SUM(B13:M13))</f>
        <v>9000</v>
      </c>
    </row>
    <row r="14" customFormat="false" ht="15" hidden="false" customHeight="false" outlineLevel="0" collapsed="false">
      <c r="A14" s="30" t="str">
        <f aca="false">IF(Ödemeler!A13="","",Ödemeler!A13)</f>
        <v>Eski taksit</v>
      </c>
      <c r="B14" s="37" t="n">
        <f aca="false">IF(OR(Ödemeler!$A13="",Ödemeler!$G13="",Ödemeler!$E13=""),"",IF(AND(((Özet!$C$4*12+1)-(YEAR(Ödemeler!$E13)*12+MONTH(Ödemeler!$E13)))&gt;=0,MOD(((Özet!$C$4*12+1)-(YEAR(Ödemeler!$E13)*12+MONTH(Ödemeler!$E13))),Ödemeler!$G13)=0,OR(Ödemeler!$F13="",DATE(Özet!$C$4,1,1)&lt;=Ödemeler!$F13)),Ödemeler!$C13,0))</f>
        <v>0</v>
      </c>
      <c r="C14" s="37" t="n">
        <f aca="false">IF(OR(Ödemeler!$A13="",Ödemeler!$G13="",Ödemeler!$E13=""),"",IF(AND(((Özet!$C$4*12+2)-(YEAR(Ödemeler!$E13)*12+MONTH(Ödemeler!$E13)))&gt;=0,MOD(((Özet!$C$4*12+2)-(YEAR(Ödemeler!$E13)*12+MONTH(Ödemeler!$E13))),Ödemeler!$G13)=0,OR(Ödemeler!$F13="",DATE(Özet!$C$4,2,1)&lt;=Ödemeler!$F13)),Ödemeler!$C13,0))</f>
        <v>0</v>
      </c>
      <c r="D14" s="37" t="n">
        <f aca="false">IF(OR(Ödemeler!$A13="",Ödemeler!$G13="",Ödemeler!$E13=""),"",IF(AND(((Özet!$C$4*12+3)-(YEAR(Ödemeler!$E13)*12+MONTH(Ödemeler!$E13)))&gt;=0,MOD(((Özet!$C$4*12+3)-(YEAR(Ödemeler!$E13)*12+MONTH(Ödemeler!$E13))),Ödemeler!$G13)=0,OR(Ödemeler!$F13="",DATE(Özet!$C$4,3,1)&lt;=Ödemeler!$F13)),Ödemeler!$C13,0))</f>
        <v>0</v>
      </c>
      <c r="E14" s="37" t="n">
        <f aca="false">IF(OR(Ödemeler!$A13="",Ödemeler!$G13="",Ödemeler!$E13=""),"",IF(AND(((Özet!$C$4*12+4)-(YEAR(Ödemeler!$E13)*12+MONTH(Ödemeler!$E13)))&gt;=0,MOD(((Özet!$C$4*12+4)-(YEAR(Ödemeler!$E13)*12+MONTH(Ödemeler!$E13))),Ödemeler!$G13)=0,OR(Ödemeler!$F13="",DATE(Özet!$C$4,4,1)&lt;=Ödemeler!$F13)),Ödemeler!$C13,0))</f>
        <v>0</v>
      </c>
      <c r="F14" s="37" t="n">
        <f aca="false">IF(OR(Ödemeler!$A13="",Ödemeler!$G13="",Ödemeler!$E13=""),"",IF(AND(((Özet!$C$4*12+5)-(YEAR(Ödemeler!$E13)*12+MONTH(Ödemeler!$E13)))&gt;=0,MOD(((Özet!$C$4*12+5)-(YEAR(Ödemeler!$E13)*12+MONTH(Ödemeler!$E13))),Ödemeler!$G13)=0,OR(Ödemeler!$F13="",DATE(Özet!$C$4,5,1)&lt;=Ödemeler!$F13)),Ödemeler!$C13,0))</f>
        <v>0</v>
      </c>
      <c r="G14" s="37" t="n">
        <f aca="false">IF(OR(Ödemeler!$A13="",Ödemeler!$G13="",Ödemeler!$E13=""),"",IF(AND(((Özet!$C$4*12+6)-(YEAR(Ödemeler!$E13)*12+MONTH(Ödemeler!$E13)))&gt;=0,MOD(((Özet!$C$4*12+6)-(YEAR(Ödemeler!$E13)*12+MONTH(Ödemeler!$E13))),Ödemeler!$G13)=0,OR(Ödemeler!$F13="",DATE(Özet!$C$4,6,1)&lt;=Ödemeler!$F13)),Ödemeler!$C13,0))</f>
        <v>0</v>
      </c>
      <c r="H14" s="37" t="n">
        <f aca="false">IF(OR(Ödemeler!$A13="",Ödemeler!$G13="",Ödemeler!$E13=""),"",IF(AND(((Özet!$C$4*12+7)-(YEAR(Ödemeler!$E13)*12+MONTH(Ödemeler!$E13)))&gt;=0,MOD(((Özet!$C$4*12+7)-(YEAR(Ödemeler!$E13)*12+MONTH(Ödemeler!$E13))),Ödemeler!$G13)=0,OR(Ödemeler!$F13="",DATE(Özet!$C$4,7,1)&lt;=Ödemeler!$F13)),Ödemeler!$C13,0))</f>
        <v>0</v>
      </c>
      <c r="I14" s="37" t="n">
        <f aca="false">IF(OR(Ödemeler!$A13="",Ödemeler!$G13="",Ödemeler!$E13=""),"",IF(AND(((Özet!$C$4*12+8)-(YEAR(Ödemeler!$E13)*12+MONTH(Ödemeler!$E13)))&gt;=0,MOD(((Özet!$C$4*12+8)-(YEAR(Ödemeler!$E13)*12+MONTH(Ödemeler!$E13))),Ödemeler!$G13)=0,OR(Ödemeler!$F13="",DATE(Özet!$C$4,8,1)&lt;=Ödemeler!$F13)),Ödemeler!$C13,0))</f>
        <v>0</v>
      </c>
      <c r="J14" s="37" t="n">
        <f aca="false">IF(OR(Ödemeler!$A13="",Ödemeler!$G13="",Ödemeler!$E13=""),"",IF(AND(((Özet!$C$4*12+9)-(YEAR(Ödemeler!$E13)*12+MONTH(Ödemeler!$E13)))&gt;=0,MOD(((Özet!$C$4*12+9)-(YEAR(Ödemeler!$E13)*12+MONTH(Ödemeler!$E13))),Ödemeler!$G13)=0,OR(Ödemeler!$F13="",DATE(Özet!$C$4,9,1)&lt;=Ödemeler!$F13)),Ödemeler!$C13,0))</f>
        <v>0</v>
      </c>
      <c r="K14" s="37" t="n">
        <f aca="false">IF(OR(Ödemeler!$A13="",Ödemeler!$G13="",Ödemeler!$E13=""),"",IF(AND(((Özet!$C$4*12+10)-(YEAR(Ödemeler!$E13)*12+MONTH(Ödemeler!$E13)))&gt;=0,MOD(((Özet!$C$4*12+10)-(YEAR(Ödemeler!$E13)*12+MONTH(Ödemeler!$E13))),Ödemeler!$G13)=0,OR(Ödemeler!$F13="",DATE(Özet!$C$4,10,1)&lt;=Ödemeler!$F13)),Ödemeler!$C13,0))</f>
        <v>0</v>
      </c>
      <c r="L14" s="37" t="n">
        <f aca="false">IF(OR(Ödemeler!$A13="",Ödemeler!$G13="",Ödemeler!$E13=""),"",IF(AND(((Özet!$C$4*12+11)-(YEAR(Ödemeler!$E13)*12+MONTH(Ödemeler!$E13)))&gt;=0,MOD(((Özet!$C$4*12+11)-(YEAR(Ödemeler!$E13)*12+MONTH(Ödemeler!$E13))),Ödemeler!$G13)=0,OR(Ödemeler!$F13="",DATE(Özet!$C$4,11,1)&lt;=Ödemeler!$F13)),Ödemeler!$C13,0))</f>
        <v>0</v>
      </c>
      <c r="M14" s="37" t="n">
        <f aca="false">IF(OR(Ödemeler!$A13="",Ödemeler!$G13="",Ödemeler!$E13=""),"",IF(AND(((Özet!$C$4*12+12)-(YEAR(Ödemeler!$E13)*12+MONTH(Ödemeler!$E13)))&gt;=0,MOD(((Özet!$C$4*12+12)-(YEAR(Ödemeler!$E13)*12+MONTH(Ödemeler!$E13))),Ödemeler!$G13)=0,OR(Ödemeler!$F13="",DATE(Özet!$C$4,12,1)&lt;=Ödemeler!$F13)),Ödemeler!$C13,0))</f>
        <v>0</v>
      </c>
      <c r="N14" s="37" t="n">
        <f aca="false">IF(COUNT(B14:M14)=0,"",SUM(B14:M14))</f>
        <v>0</v>
      </c>
    </row>
    <row r="15" customFormat="false" ht="15" hidden="false" customHeight="false" outlineLevel="0" collapsed="false">
      <c r="A15" s="16" t="str">
        <f aca="false">IF(Ödemeler!A14="","",Ödemeler!A14)</f>
        <v/>
      </c>
      <c r="B15" s="36" t="str">
        <f aca="false">IF(OR(Ödemeler!$A14="",Ödemeler!$G14="",Ödemeler!$E14=""),"",IF(AND(((Özet!$C$4*12+1)-(YEAR(Ödemeler!$E14)*12+MONTH(Ödemeler!$E14)))&gt;=0,MOD(((Özet!$C$4*12+1)-(YEAR(Ödemeler!$E14)*12+MONTH(Ödemeler!$E14))),Ödemeler!$G14)=0,OR(Ödemeler!$F14="",DATE(Özet!$C$4,1,1)&lt;=Ödemeler!$F14)),Ödemeler!$C14,0))</f>
        <v/>
      </c>
      <c r="C15" s="36" t="str">
        <f aca="false">IF(OR(Ödemeler!$A14="",Ödemeler!$G14="",Ödemeler!$E14=""),"",IF(AND(((Özet!$C$4*12+2)-(YEAR(Ödemeler!$E14)*12+MONTH(Ödemeler!$E14)))&gt;=0,MOD(((Özet!$C$4*12+2)-(YEAR(Ödemeler!$E14)*12+MONTH(Ödemeler!$E14))),Ödemeler!$G14)=0,OR(Ödemeler!$F14="",DATE(Özet!$C$4,2,1)&lt;=Ödemeler!$F14)),Ödemeler!$C14,0))</f>
        <v/>
      </c>
      <c r="D15" s="36" t="str">
        <f aca="false">IF(OR(Ödemeler!$A14="",Ödemeler!$G14="",Ödemeler!$E14=""),"",IF(AND(((Özet!$C$4*12+3)-(YEAR(Ödemeler!$E14)*12+MONTH(Ödemeler!$E14)))&gt;=0,MOD(((Özet!$C$4*12+3)-(YEAR(Ödemeler!$E14)*12+MONTH(Ödemeler!$E14))),Ödemeler!$G14)=0,OR(Ödemeler!$F14="",DATE(Özet!$C$4,3,1)&lt;=Ödemeler!$F14)),Ödemeler!$C14,0))</f>
        <v/>
      </c>
      <c r="E15" s="36" t="str">
        <f aca="false">IF(OR(Ödemeler!$A14="",Ödemeler!$G14="",Ödemeler!$E14=""),"",IF(AND(((Özet!$C$4*12+4)-(YEAR(Ödemeler!$E14)*12+MONTH(Ödemeler!$E14)))&gt;=0,MOD(((Özet!$C$4*12+4)-(YEAR(Ödemeler!$E14)*12+MONTH(Ödemeler!$E14))),Ödemeler!$G14)=0,OR(Ödemeler!$F14="",DATE(Özet!$C$4,4,1)&lt;=Ödemeler!$F14)),Ödemeler!$C14,0))</f>
        <v/>
      </c>
      <c r="F15" s="36" t="str">
        <f aca="false">IF(OR(Ödemeler!$A14="",Ödemeler!$G14="",Ödemeler!$E14=""),"",IF(AND(((Özet!$C$4*12+5)-(YEAR(Ödemeler!$E14)*12+MONTH(Ödemeler!$E14)))&gt;=0,MOD(((Özet!$C$4*12+5)-(YEAR(Ödemeler!$E14)*12+MONTH(Ödemeler!$E14))),Ödemeler!$G14)=0,OR(Ödemeler!$F14="",DATE(Özet!$C$4,5,1)&lt;=Ödemeler!$F14)),Ödemeler!$C14,0))</f>
        <v/>
      </c>
      <c r="G15" s="36" t="str">
        <f aca="false">IF(OR(Ödemeler!$A14="",Ödemeler!$G14="",Ödemeler!$E14=""),"",IF(AND(((Özet!$C$4*12+6)-(YEAR(Ödemeler!$E14)*12+MONTH(Ödemeler!$E14)))&gt;=0,MOD(((Özet!$C$4*12+6)-(YEAR(Ödemeler!$E14)*12+MONTH(Ödemeler!$E14))),Ödemeler!$G14)=0,OR(Ödemeler!$F14="",DATE(Özet!$C$4,6,1)&lt;=Ödemeler!$F14)),Ödemeler!$C14,0))</f>
        <v/>
      </c>
      <c r="H15" s="36" t="str">
        <f aca="false">IF(OR(Ödemeler!$A14="",Ödemeler!$G14="",Ödemeler!$E14=""),"",IF(AND(((Özet!$C$4*12+7)-(YEAR(Ödemeler!$E14)*12+MONTH(Ödemeler!$E14)))&gt;=0,MOD(((Özet!$C$4*12+7)-(YEAR(Ödemeler!$E14)*12+MONTH(Ödemeler!$E14))),Ödemeler!$G14)=0,OR(Ödemeler!$F14="",DATE(Özet!$C$4,7,1)&lt;=Ödemeler!$F14)),Ödemeler!$C14,0))</f>
        <v/>
      </c>
      <c r="I15" s="36" t="str">
        <f aca="false">IF(OR(Ödemeler!$A14="",Ödemeler!$G14="",Ödemeler!$E14=""),"",IF(AND(((Özet!$C$4*12+8)-(YEAR(Ödemeler!$E14)*12+MONTH(Ödemeler!$E14)))&gt;=0,MOD(((Özet!$C$4*12+8)-(YEAR(Ödemeler!$E14)*12+MONTH(Ödemeler!$E14))),Ödemeler!$G14)=0,OR(Ödemeler!$F14="",DATE(Özet!$C$4,8,1)&lt;=Ödemeler!$F14)),Ödemeler!$C14,0))</f>
        <v/>
      </c>
      <c r="J15" s="36" t="str">
        <f aca="false">IF(OR(Ödemeler!$A14="",Ödemeler!$G14="",Ödemeler!$E14=""),"",IF(AND(((Özet!$C$4*12+9)-(YEAR(Ödemeler!$E14)*12+MONTH(Ödemeler!$E14)))&gt;=0,MOD(((Özet!$C$4*12+9)-(YEAR(Ödemeler!$E14)*12+MONTH(Ödemeler!$E14))),Ödemeler!$G14)=0,OR(Ödemeler!$F14="",DATE(Özet!$C$4,9,1)&lt;=Ödemeler!$F14)),Ödemeler!$C14,0))</f>
        <v/>
      </c>
      <c r="K15" s="36" t="str">
        <f aca="false">IF(OR(Ödemeler!$A14="",Ödemeler!$G14="",Ödemeler!$E14=""),"",IF(AND(((Özet!$C$4*12+10)-(YEAR(Ödemeler!$E14)*12+MONTH(Ödemeler!$E14)))&gt;=0,MOD(((Özet!$C$4*12+10)-(YEAR(Ödemeler!$E14)*12+MONTH(Ödemeler!$E14))),Ödemeler!$G14)=0,OR(Ödemeler!$F14="",DATE(Özet!$C$4,10,1)&lt;=Ödemeler!$F14)),Ödemeler!$C14,0))</f>
        <v/>
      </c>
      <c r="L15" s="36" t="str">
        <f aca="false">IF(OR(Ödemeler!$A14="",Ödemeler!$G14="",Ödemeler!$E14=""),"",IF(AND(((Özet!$C$4*12+11)-(YEAR(Ödemeler!$E14)*12+MONTH(Ödemeler!$E14)))&gt;=0,MOD(((Özet!$C$4*12+11)-(YEAR(Ödemeler!$E14)*12+MONTH(Ödemeler!$E14))),Ödemeler!$G14)=0,OR(Ödemeler!$F14="",DATE(Özet!$C$4,11,1)&lt;=Ödemeler!$F14)),Ödemeler!$C14,0))</f>
        <v/>
      </c>
      <c r="M15" s="36" t="str">
        <f aca="false">IF(OR(Ödemeler!$A14="",Ödemeler!$G14="",Ödemeler!$E14=""),"",IF(AND(((Özet!$C$4*12+12)-(YEAR(Ödemeler!$E14)*12+MONTH(Ödemeler!$E14)))&gt;=0,MOD(((Özet!$C$4*12+12)-(YEAR(Ödemeler!$E14)*12+MONTH(Ödemeler!$E14))),Ödemeler!$G14)=0,OR(Ödemeler!$F14="",DATE(Özet!$C$4,12,1)&lt;=Ödemeler!$F14)),Ödemeler!$C14,0))</f>
        <v/>
      </c>
      <c r="N15" s="36" t="str">
        <f aca="false">IF(COUNT(B15:M15)=0,"",SUM(B15:M15))</f>
        <v/>
      </c>
    </row>
    <row r="16" customFormat="false" ht="15" hidden="false" customHeight="false" outlineLevel="0" collapsed="false">
      <c r="A16" s="30" t="str">
        <f aca="false">IF(Ödemeler!A15="","",Ödemeler!A15)</f>
        <v/>
      </c>
      <c r="B16" s="37" t="str">
        <f aca="false">IF(OR(Ödemeler!$A15="",Ödemeler!$G15="",Ödemeler!$E15=""),"",IF(AND(((Özet!$C$4*12+1)-(YEAR(Ödemeler!$E15)*12+MONTH(Ödemeler!$E15)))&gt;=0,MOD(((Özet!$C$4*12+1)-(YEAR(Ödemeler!$E15)*12+MONTH(Ödemeler!$E15))),Ödemeler!$G15)=0,OR(Ödemeler!$F15="",DATE(Özet!$C$4,1,1)&lt;=Ödemeler!$F15)),Ödemeler!$C15,0))</f>
        <v/>
      </c>
      <c r="C16" s="37" t="str">
        <f aca="false">IF(OR(Ödemeler!$A15="",Ödemeler!$G15="",Ödemeler!$E15=""),"",IF(AND(((Özet!$C$4*12+2)-(YEAR(Ödemeler!$E15)*12+MONTH(Ödemeler!$E15)))&gt;=0,MOD(((Özet!$C$4*12+2)-(YEAR(Ödemeler!$E15)*12+MONTH(Ödemeler!$E15))),Ödemeler!$G15)=0,OR(Ödemeler!$F15="",DATE(Özet!$C$4,2,1)&lt;=Ödemeler!$F15)),Ödemeler!$C15,0))</f>
        <v/>
      </c>
      <c r="D16" s="37" t="str">
        <f aca="false">IF(OR(Ödemeler!$A15="",Ödemeler!$G15="",Ödemeler!$E15=""),"",IF(AND(((Özet!$C$4*12+3)-(YEAR(Ödemeler!$E15)*12+MONTH(Ödemeler!$E15)))&gt;=0,MOD(((Özet!$C$4*12+3)-(YEAR(Ödemeler!$E15)*12+MONTH(Ödemeler!$E15))),Ödemeler!$G15)=0,OR(Ödemeler!$F15="",DATE(Özet!$C$4,3,1)&lt;=Ödemeler!$F15)),Ödemeler!$C15,0))</f>
        <v/>
      </c>
      <c r="E16" s="37" t="str">
        <f aca="false">IF(OR(Ödemeler!$A15="",Ödemeler!$G15="",Ödemeler!$E15=""),"",IF(AND(((Özet!$C$4*12+4)-(YEAR(Ödemeler!$E15)*12+MONTH(Ödemeler!$E15)))&gt;=0,MOD(((Özet!$C$4*12+4)-(YEAR(Ödemeler!$E15)*12+MONTH(Ödemeler!$E15))),Ödemeler!$G15)=0,OR(Ödemeler!$F15="",DATE(Özet!$C$4,4,1)&lt;=Ödemeler!$F15)),Ödemeler!$C15,0))</f>
        <v/>
      </c>
      <c r="F16" s="37" t="str">
        <f aca="false">IF(OR(Ödemeler!$A15="",Ödemeler!$G15="",Ödemeler!$E15=""),"",IF(AND(((Özet!$C$4*12+5)-(YEAR(Ödemeler!$E15)*12+MONTH(Ödemeler!$E15)))&gt;=0,MOD(((Özet!$C$4*12+5)-(YEAR(Ödemeler!$E15)*12+MONTH(Ödemeler!$E15))),Ödemeler!$G15)=0,OR(Ödemeler!$F15="",DATE(Özet!$C$4,5,1)&lt;=Ödemeler!$F15)),Ödemeler!$C15,0))</f>
        <v/>
      </c>
      <c r="G16" s="37" t="str">
        <f aca="false">IF(OR(Ödemeler!$A15="",Ödemeler!$G15="",Ödemeler!$E15=""),"",IF(AND(((Özet!$C$4*12+6)-(YEAR(Ödemeler!$E15)*12+MONTH(Ödemeler!$E15)))&gt;=0,MOD(((Özet!$C$4*12+6)-(YEAR(Ödemeler!$E15)*12+MONTH(Ödemeler!$E15))),Ödemeler!$G15)=0,OR(Ödemeler!$F15="",DATE(Özet!$C$4,6,1)&lt;=Ödemeler!$F15)),Ödemeler!$C15,0))</f>
        <v/>
      </c>
      <c r="H16" s="37" t="str">
        <f aca="false">IF(OR(Ödemeler!$A15="",Ödemeler!$G15="",Ödemeler!$E15=""),"",IF(AND(((Özet!$C$4*12+7)-(YEAR(Ödemeler!$E15)*12+MONTH(Ödemeler!$E15)))&gt;=0,MOD(((Özet!$C$4*12+7)-(YEAR(Ödemeler!$E15)*12+MONTH(Ödemeler!$E15))),Ödemeler!$G15)=0,OR(Ödemeler!$F15="",DATE(Özet!$C$4,7,1)&lt;=Ödemeler!$F15)),Ödemeler!$C15,0))</f>
        <v/>
      </c>
      <c r="I16" s="37" t="str">
        <f aca="false">IF(OR(Ödemeler!$A15="",Ödemeler!$G15="",Ödemeler!$E15=""),"",IF(AND(((Özet!$C$4*12+8)-(YEAR(Ödemeler!$E15)*12+MONTH(Ödemeler!$E15)))&gt;=0,MOD(((Özet!$C$4*12+8)-(YEAR(Ödemeler!$E15)*12+MONTH(Ödemeler!$E15))),Ödemeler!$G15)=0,OR(Ödemeler!$F15="",DATE(Özet!$C$4,8,1)&lt;=Ödemeler!$F15)),Ödemeler!$C15,0))</f>
        <v/>
      </c>
      <c r="J16" s="37" t="str">
        <f aca="false">IF(OR(Ödemeler!$A15="",Ödemeler!$G15="",Ödemeler!$E15=""),"",IF(AND(((Özet!$C$4*12+9)-(YEAR(Ödemeler!$E15)*12+MONTH(Ödemeler!$E15)))&gt;=0,MOD(((Özet!$C$4*12+9)-(YEAR(Ödemeler!$E15)*12+MONTH(Ödemeler!$E15))),Ödemeler!$G15)=0,OR(Ödemeler!$F15="",DATE(Özet!$C$4,9,1)&lt;=Ödemeler!$F15)),Ödemeler!$C15,0))</f>
        <v/>
      </c>
      <c r="K16" s="37" t="str">
        <f aca="false">IF(OR(Ödemeler!$A15="",Ödemeler!$G15="",Ödemeler!$E15=""),"",IF(AND(((Özet!$C$4*12+10)-(YEAR(Ödemeler!$E15)*12+MONTH(Ödemeler!$E15)))&gt;=0,MOD(((Özet!$C$4*12+10)-(YEAR(Ödemeler!$E15)*12+MONTH(Ödemeler!$E15))),Ödemeler!$G15)=0,OR(Ödemeler!$F15="",DATE(Özet!$C$4,10,1)&lt;=Ödemeler!$F15)),Ödemeler!$C15,0))</f>
        <v/>
      </c>
      <c r="L16" s="37" t="str">
        <f aca="false">IF(OR(Ödemeler!$A15="",Ödemeler!$G15="",Ödemeler!$E15=""),"",IF(AND(((Özet!$C$4*12+11)-(YEAR(Ödemeler!$E15)*12+MONTH(Ödemeler!$E15)))&gt;=0,MOD(((Özet!$C$4*12+11)-(YEAR(Ödemeler!$E15)*12+MONTH(Ödemeler!$E15))),Ödemeler!$G15)=0,OR(Ödemeler!$F15="",DATE(Özet!$C$4,11,1)&lt;=Ödemeler!$F15)),Ödemeler!$C15,0))</f>
        <v/>
      </c>
      <c r="M16" s="37" t="str">
        <f aca="false">IF(OR(Ödemeler!$A15="",Ödemeler!$G15="",Ödemeler!$E15=""),"",IF(AND(((Özet!$C$4*12+12)-(YEAR(Ödemeler!$E15)*12+MONTH(Ödemeler!$E15)))&gt;=0,MOD(((Özet!$C$4*12+12)-(YEAR(Ödemeler!$E15)*12+MONTH(Ödemeler!$E15))),Ödemeler!$G15)=0,OR(Ödemeler!$F15="",DATE(Özet!$C$4,12,1)&lt;=Ödemeler!$F15)),Ödemeler!$C15,0))</f>
        <v/>
      </c>
      <c r="N16" s="37" t="str">
        <f aca="false">IF(COUNT(B16:M16)=0,"",SUM(B16:M16))</f>
        <v/>
      </c>
    </row>
    <row r="17" customFormat="false" ht="15" hidden="false" customHeight="false" outlineLevel="0" collapsed="false">
      <c r="A17" s="16" t="str">
        <f aca="false">IF(Ödemeler!A16="","",Ödemeler!A16)</f>
        <v/>
      </c>
      <c r="B17" s="36" t="str">
        <f aca="false">IF(OR(Ödemeler!$A16="",Ödemeler!$G16="",Ödemeler!$E16=""),"",IF(AND(((Özet!$C$4*12+1)-(YEAR(Ödemeler!$E16)*12+MONTH(Ödemeler!$E16)))&gt;=0,MOD(((Özet!$C$4*12+1)-(YEAR(Ödemeler!$E16)*12+MONTH(Ödemeler!$E16))),Ödemeler!$G16)=0,OR(Ödemeler!$F16="",DATE(Özet!$C$4,1,1)&lt;=Ödemeler!$F16)),Ödemeler!$C16,0))</f>
        <v/>
      </c>
      <c r="C17" s="36" t="str">
        <f aca="false">IF(OR(Ödemeler!$A16="",Ödemeler!$G16="",Ödemeler!$E16=""),"",IF(AND(((Özet!$C$4*12+2)-(YEAR(Ödemeler!$E16)*12+MONTH(Ödemeler!$E16)))&gt;=0,MOD(((Özet!$C$4*12+2)-(YEAR(Ödemeler!$E16)*12+MONTH(Ödemeler!$E16))),Ödemeler!$G16)=0,OR(Ödemeler!$F16="",DATE(Özet!$C$4,2,1)&lt;=Ödemeler!$F16)),Ödemeler!$C16,0))</f>
        <v/>
      </c>
      <c r="D17" s="36" t="str">
        <f aca="false">IF(OR(Ödemeler!$A16="",Ödemeler!$G16="",Ödemeler!$E16=""),"",IF(AND(((Özet!$C$4*12+3)-(YEAR(Ödemeler!$E16)*12+MONTH(Ödemeler!$E16)))&gt;=0,MOD(((Özet!$C$4*12+3)-(YEAR(Ödemeler!$E16)*12+MONTH(Ödemeler!$E16))),Ödemeler!$G16)=0,OR(Ödemeler!$F16="",DATE(Özet!$C$4,3,1)&lt;=Ödemeler!$F16)),Ödemeler!$C16,0))</f>
        <v/>
      </c>
      <c r="E17" s="36" t="str">
        <f aca="false">IF(OR(Ödemeler!$A16="",Ödemeler!$G16="",Ödemeler!$E16=""),"",IF(AND(((Özet!$C$4*12+4)-(YEAR(Ödemeler!$E16)*12+MONTH(Ödemeler!$E16)))&gt;=0,MOD(((Özet!$C$4*12+4)-(YEAR(Ödemeler!$E16)*12+MONTH(Ödemeler!$E16))),Ödemeler!$G16)=0,OR(Ödemeler!$F16="",DATE(Özet!$C$4,4,1)&lt;=Ödemeler!$F16)),Ödemeler!$C16,0))</f>
        <v/>
      </c>
      <c r="F17" s="36" t="str">
        <f aca="false">IF(OR(Ödemeler!$A16="",Ödemeler!$G16="",Ödemeler!$E16=""),"",IF(AND(((Özet!$C$4*12+5)-(YEAR(Ödemeler!$E16)*12+MONTH(Ödemeler!$E16)))&gt;=0,MOD(((Özet!$C$4*12+5)-(YEAR(Ödemeler!$E16)*12+MONTH(Ödemeler!$E16))),Ödemeler!$G16)=0,OR(Ödemeler!$F16="",DATE(Özet!$C$4,5,1)&lt;=Ödemeler!$F16)),Ödemeler!$C16,0))</f>
        <v/>
      </c>
      <c r="G17" s="36" t="str">
        <f aca="false">IF(OR(Ödemeler!$A16="",Ödemeler!$G16="",Ödemeler!$E16=""),"",IF(AND(((Özet!$C$4*12+6)-(YEAR(Ödemeler!$E16)*12+MONTH(Ödemeler!$E16)))&gt;=0,MOD(((Özet!$C$4*12+6)-(YEAR(Ödemeler!$E16)*12+MONTH(Ödemeler!$E16))),Ödemeler!$G16)=0,OR(Ödemeler!$F16="",DATE(Özet!$C$4,6,1)&lt;=Ödemeler!$F16)),Ödemeler!$C16,0))</f>
        <v/>
      </c>
      <c r="H17" s="36" t="str">
        <f aca="false">IF(OR(Ödemeler!$A16="",Ödemeler!$G16="",Ödemeler!$E16=""),"",IF(AND(((Özet!$C$4*12+7)-(YEAR(Ödemeler!$E16)*12+MONTH(Ödemeler!$E16)))&gt;=0,MOD(((Özet!$C$4*12+7)-(YEAR(Ödemeler!$E16)*12+MONTH(Ödemeler!$E16))),Ödemeler!$G16)=0,OR(Ödemeler!$F16="",DATE(Özet!$C$4,7,1)&lt;=Ödemeler!$F16)),Ödemeler!$C16,0))</f>
        <v/>
      </c>
      <c r="I17" s="36" t="str">
        <f aca="false">IF(OR(Ödemeler!$A16="",Ödemeler!$G16="",Ödemeler!$E16=""),"",IF(AND(((Özet!$C$4*12+8)-(YEAR(Ödemeler!$E16)*12+MONTH(Ödemeler!$E16)))&gt;=0,MOD(((Özet!$C$4*12+8)-(YEAR(Ödemeler!$E16)*12+MONTH(Ödemeler!$E16))),Ödemeler!$G16)=0,OR(Ödemeler!$F16="",DATE(Özet!$C$4,8,1)&lt;=Ödemeler!$F16)),Ödemeler!$C16,0))</f>
        <v/>
      </c>
      <c r="J17" s="36" t="str">
        <f aca="false">IF(OR(Ödemeler!$A16="",Ödemeler!$G16="",Ödemeler!$E16=""),"",IF(AND(((Özet!$C$4*12+9)-(YEAR(Ödemeler!$E16)*12+MONTH(Ödemeler!$E16)))&gt;=0,MOD(((Özet!$C$4*12+9)-(YEAR(Ödemeler!$E16)*12+MONTH(Ödemeler!$E16))),Ödemeler!$G16)=0,OR(Ödemeler!$F16="",DATE(Özet!$C$4,9,1)&lt;=Ödemeler!$F16)),Ödemeler!$C16,0))</f>
        <v/>
      </c>
      <c r="K17" s="36" t="str">
        <f aca="false">IF(OR(Ödemeler!$A16="",Ödemeler!$G16="",Ödemeler!$E16=""),"",IF(AND(((Özet!$C$4*12+10)-(YEAR(Ödemeler!$E16)*12+MONTH(Ödemeler!$E16)))&gt;=0,MOD(((Özet!$C$4*12+10)-(YEAR(Ödemeler!$E16)*12+MONTH(Ödemeler!$E16))),Ödemeler!$G16)=0,OR(Ödemeler!$F16="",DATE(Özet!$C$4,10,1)&lt;=Ödemeler!$F16)),Ödemeler!$C16,0))</f>
        <v/>
      </c>
      <c r="L17" s="36" t="str">
        <f aca="false">IF(OR(Ödemeler!$A16="",Ödemeler!$G16="",Ödemeler!$E16=""),"",IF(AND(((Özet!$C$4*12+11)-(YEAR(Ödemeler!$E16)*12+MONTH(Ödemeler!$E16)))&gt;=0,MOD(((Özet!$C$4*12+11)-(YEAR(Ödemeler!$E16)*12+MONTH(Ödemeler!$E16))),Ödemeler!$G16)=0,OR(Ödemeler!$F16="",DATE(Özet!$C$4,11,1)&lt;=Ödemeler!$F16)),Ödemeler!$C16,0))</f>
        <v/>
      </c>
      <c r="M17" s="36" t="str">
        <f aca="false">IF(OR(Ödemeler!$A16="",Ödemeler!$G16="",Ödemeler!$E16=""),"",IF(AND(((Özet!$C$4*12+12)-(YEAR(Ödemeler!$E16)*12+MONTH(Ödemeler!$E16)))&gt;=0,MOD(((Özet!$C$4*12+12)-(YEAR(Ödemeler!$E16)*12+MONTH(Ödemeler!$E16))),Ödemeler!$G16)=0,OR(Ödemeler!$F16="",DATE(Özet!$C$4,12,1)&lt;=Ödemeler!$F16)),Ödemeler!$C16,0))</f>
        <v/>
      </c>
      <c r="N17" s="36" t="str">
        <f aca="false">IF(COUNT(B17:M17)=0,"",SUM(B17:M17))</f>
        <v/>
      </c>
    </row>
    <row r="18" customFormat="false" ht="15" hidden="false" customHeight="false" outlineLevel="0" collapsed="false">
      <c r="A18" s="30" t="str">
        <f aca="false">IF(Ödemeler!A17="","",Ödemeler!A17)</f>
        <v/>
      </c>
      <c r="B18" s="37" t="str">
        <f aca="false">IF(OR(Ödemeler!$A17="",Ödemeler!$G17="",Ödemeler!$E17=""),"",IF(AND(((Özet!$C$4*12+1)-(YEAR(Ödemeler!$E17)*12+MONTH(Ödemeler!$E17)))&gt;=0,MOD(((Özet!$C$4*12+1)-(YEAR(Ödemeler!$E17)*12+MONTH(Ödemeler!$E17))),Ödemeler!$G17)=0,OR(Ödemeler!$F17="",DATE(Özet!$C$4,1,1)&lt;=Ödemeler!$F17)),Ödemeler!$C17,0))</f>
        <v/>
      </c>
      <c r="C18" s="37" t="str">
        <f aca="false">IF(OR(Ödemeler!$A17="",Ödemeler!$G17="",Ödemeler!$E17=""),"",IF(AND(((Özet!$C$4*12+2)-(YEAR(Ödemeler!$E17)*12+MONTH(Ödemeler!$E17)))&gt;=0,MOD(((Özet!$C$4*12+2)-(YEAR(Ödemeler!$E17)*12+MONTH(Ödemeler!$E17))),Ödemeler!$G17)=0,OR(Ödemeler!$F17="",DATE(Özet!$C$4,2,1)&lt;=Ödemeler!$F17)),Ödemeler!$C17,0))</f>
        <v/>
      </c>
      <c r="D18" s="37" t="str">
        <f aca="false">IF(OR(Ödemeler!$A17="",Ödemeler!$G17="",Ödemeler!$E17=""),"",IF(AND(((Özet!$C$4*12+3)-(YEAR(Ödemeler!$E17)*12+MONTH(Ödemeler!$E17)))&gt;=0,MOD(((Özet!$C$4*12+3)-(YEAR(Ödemeler!$E17)*12+MONTH(Ödemeler!$E17))),Ödemeler!$G17)=0,OR(Ödemeler!$F17="",DATE(Özet!$C$4,3,1)&lt;=Ödemeler!$F17)),Ödemeler!$C17,0))</f>
        <v/>
      </c>
      <c r="E18" s="37" t="str">
        <f aca="false">IF(OR(Ödemeler!$A17="",Ödemeler!$G17="",Ödemeler!$E17=""),"",IF(AND(((Özet!$C$4*12+4)-(YEAR(Ödemeler!$E17)*12+MONTH(Ödemeler!$E17)))&gt;=0,MOD(((Özet!$C$4*12+4)-(YEAR(Ödemeler!$E17)*12+MONTH(Ödemeler!$E17))),Ödemeler!$G17)=0,OR(Ödemeler!$F17="",DATE(Özet!$C$4,4,1)&lt;=Ödemeler!$F17)),Ödemeler!$C17,0))</f>
        <v/>
      </c>
      <c r="F18" s="37" t="str">
        <f aca="false">IF(OR(Ödemeler!$A17="",Ödemeler!$G17="",Ödemeler!$E17=""),"",IF(AND(((Özet!$C$4*12+5)-(YEAR(Ödemeler!$E17)*12+MONTH(Ödemeler!$E17)))&gt;=0,MOD(((Özet!$C$4*12+5)-(YEAR(Ödemeler!$E17)*12+MONTH(Ödemeler!$E17))),Ödemeler!$G17)=0,OR(Ödemeler!$F17="",DATE(Özet!$C$4,5,1)&lt;=Ödemeler!$F17)),Ödemeler!$C17,0))</f>
        <v/>
      </c>
      <c r="G18" s="37" t="str">
        <f aca="false">IF(OR(Ödemeler!$A17="",Ödemeler!$G17="",Ödemeler!$E17=""),"",IF(AND(((Özet!$C$4*12+6)-(YEAR(Ödemeler!$E17)*12+MONTH(Ödemeler!$E17)))&gt;=0,MOD(((Özet!$C$4*12+6)-(YEAR(Ödemeler!$E17)*12+MONTH(Ödemeler!$E17))),Ödemeler!$G17)=0,OR(Ödemeler!$F17="",DATE(Özet!$C$4,6,1)&lt;=Ödemeler!$F17)),Ödemeler!$C17,0))</f>
        <v/>
      </c>
      <c r="H18" s="37" t="str">
        <f aca="false">IF(OR(Ödemeler!$A17="",Ödemeler!$G17="",Ödemeler!$E17=""),"",IF(AND(((Özet!$C$4*12+7)-(YEAR(Ödemeler!$E17)*12+MONTH(Ödemeler!$E17)))&gt;=0,MOD(((Özet!$C$4*12+7)-(YEAR(Ödemeler!$E17)*12+MONTH(Ödemeler!$E17))),Ödemeler!$G17)=0,OR(Ödemeler!$F17="",DATE(Özet!$C$4,7,1)&lt;=Ödemeler!$F17)),Ödemeler!$C17,0))</f>
        <v/>
      </c>
      <c r="I18" s="37" t="str">
        <f aca="false">IF(OR(Ödemeler!$A17="",Ödemeler!$G17="",Ödemeler!$E17=""),"",IF(AND(((Özet!$C$4*12+8)-(YEAR(Ödemeler!$E17)*12+MONTH(Ödemeler!$E17)))&gt;=0,MOD(((Özet!$C$4*12+8)-(YEAR(Ödemeler!$E17)*12+MONTH(Ödemeler!$E17))),Ödemeler!$G17)=0,OR(Ödemeler!$F17="",DATE(Özet!$C$4,8,1)&lt;=Ödemeler!$F17)),Ödemeler!$C17,0))</f>
        <v/>
      </c>
      <c r="J18" s="37" t="str">
        <f aca="false">IF(OR(Ödemeler!$A17="",Ödemeler!$G17="",Ödemeler!$E17=""),"",IF(AND(((Özet!$C$4*12+9)-(YEAR(Ödemeler!$E17)*12+MONTH(Ödemeler!$E17)))&gt;=0,MOD(((Özet!$C$4*12+9)-(YEAR(Ödemeler!$E17)*12+MONTH(Ödemeler!$E17))),Ödemeler!$G17)=0,OR(Ödemeler!$F17="",DATE(Özet!$C$4,9,1)&lt;=Ödemeler!$F17)),Ödemeler!$C17,0))</f>
        <v/>
      </c>
      <c r="K18" s="37" t="str">
        <f aca="false">IF(OR(Ödemeler!$A17="",Ödemeler!$G17="",Ödemeler!$E17=""),"",IF(AND(((Özet!$C$4*12+10)-(YEAR(Ödemeler!$E17)*12+MONTH(Ödemeler!$E17)))&gt;=0,MOD(((Özet!$C$4*12+10)-(YEAR(Ödemeler!$E17)*12+MONTH(Ödemeler!$E17))),Ödemeler!$G17)=0,OR(Ödemeler!$F17="",DATE(Özet!$C$4,10,1)&lt;=Ödemeler!$F17)),Ödemeler!$C17,0))</f>
        <v/>
      </c>
      <c r="L18" s="37" t="str">
        <f aca="false">IF(OR(Ödemeler!$A17="",Ödemeler!$G17="",Ödemeler!$E17=""),"",IF(AND(((Özet!$C$4*12+11)-(YEAR(Ödemeler!$E17)*12+MONTH(Ödemeler!$E17)))&gt;=0,MOD(((Özet!$C$4*12+11)-(YEAR(Ödemeler!$E17)*12+MONTH(Ödemeler!$E17))),Ödemeler!$G17)=0,OR(Ödemeler!$F17="",DATE(Özet!$C$4,11,1)&lt;=Ödemeler!$F17)),Ödemeler!$C17,0))</f>
        <v/>
      </c>
      <c r="M18" s="37" t="str">
        <f aca="false">IF(OR(Ödemeler!$A17="",Ödemeler!$G17="",Ödemeler!$E17=""),"",IF(AND(((Özet!$C$4*12+12)-(YEAR(Ödemeler!$E17)*12+MONTH(Ödemeler!$E17)))&gt;=0,MOD(((Özet!$C$4*12+12)-(YEAR(Ödemeler!$E17)*12+MONTH(Ödemeler!$E17))),Ödemeler!$G17)=0,OR(Ödemeler!$F17="",DATE(Özet!$C$4,12,1)&lt;=Ödemeler!$F17)),Ödemeler!$C17,0))</f>
        <v/>
      </c>
      <c r="N18" s="37" t="str">
        <f aca="false">IF(COUNT(B18:M18)=0,"",SUM(B18:M18))</f>
        <v/>
      </c>
    </row>
    <row r="19" customFormat="false" ht="15" hidden="false" customHeight="false" outlineLevel="0" collapsed="false">
      <c r="A19" s="16" t="str">
        <f aca="false">IF(Ödemeler!A18="","",Ödemeler!A18)</f>
        <v/>
      </c>
      <c r="B19" s="36" t="str">
        <f aca="false">IF(OR(Ödemeler!$A18="",Ödemeler!$G18="",Ödemeler!$E18=""),"",IF(AND(((Özet!$C$4*12+1)-(YEAR(Ödemeler!$E18)*12+MONTH(Ödemeler!$E18)))&gt;=0,MOD(((Özet!$C$4*12+1)-(YEAR(Ödemeler!$E18)*12+MONTH(Ödemeler!$E18))),Ödemeler!$G18)=0,OR(Ödemeler!$F18="",DATE(Özet!$C$4,1,1)&lt;=Ödemeler!$F18)),Ödemeler!$C18,0))</f>
        <v/>
      </c>
      <c r="C19" s="36" t="str">
        <f aca="false">IF(OR(Ödemeler!$A18="",Ödemeler!$G18="",Ödemeler!$E18=""),"",IF(AND(((Özet!$C$4*12+2)-(YEAR(Ödemeler!$E18)*12+MONTH(Ödemeler!$E18)))&gt;=0,MOD(((Özet!$C$4*12+2)-(YEAR(Ödemeler!$E18)*12+MONTH(Ödemeler!$E18))),Ödemeler!$G18)=0,OR(Ödemeler!$F18="",DATE(Özet!$C$4,2,1)&lt;=Ödemeler!$F18)),Ödemeler!$C18,0))</f>
        <v/>
      </c>
      <c r="D19" s="36" t="str">
        <f aca="false">IF(OR(Ödemeler!$A18="",Ödemeler!$G18="",Ödemeler!$E18=""),"",IF(AND(((Özet!$C$4*12+3)-(YEAR(Ödemeler!$E18)*12+MONTH(Ödemeler!$E18)))&gt;=0,MOD(((Özet!$C$4*12+3)-(YEAR(Ödemeler!$E18)*12+MONTH(Ödemeler!$E18))),Ödemeler!$G18)=0,OR(Ödemeler!$F18="",DATE(Özet!$C$4,3,1)&lt;=Ödemeler!$F18)),Ödemeler!$C18,0))</f>
        <v/>
      </c>
      <c r="E19" s="36" t="str">
        <f aca="false">IF(OR(Ödemeler!$A18="",Ödemeler!$G18="",Ödemeler!$E18=""),"",IF(AND(((Özet!$C$4*12+4)-(YEAR(Ödemeler!$E18)*12+MONTH(Ödemeler!$E18)))&gt;=0,MOD(((Özet!$C$4*12+4)-(YEAR(Ödemeler!$E18)*12+MONTH(Ödemeler!$E18))),Ödemeler!$G18)=0,OR(Ödemeler!$F18="",DATE(Özet!$C$4,4,1)&lt;=Ödemeler!$F18)),Ödemeler!$C18,0))</f>
        <v/>
      </c>
      <c r="F19" s="36" t="str">
        <f aca="false">IF(OR(Ödemeler!$A18="",Ödemeler!$G18="",Ödemeler!$E18=""),"",IF(AND(((Özet!$C$4*12+5)-(YEAR(Ödemeler!$E18)*12+MONTH(Ödemeler!$E18)))&gt;=0,MOD(((Özet!$C$4*12+5)-(YEAR(Ödemeler!$E18)*12+MONTH(Ödemeler!$E18))),Ödemeler!$G18)=0,OR(Ödemeler!$F18="",DATE(Özet!$C$4,5,1)&lt;=Ödemeler!$F18)),Ödemeler!$C18,0))</f>
        <v/>
      </c>
      <c r="G19" s="36" t="str">
        <f aca="false">IF(OR(Ödemeler!$A18="",Ödemeler!$G18="",Ödemeler!$E18=""),"",IF(AND(((Özet!$C$4*12+6)-(YEAR(Ödemeler!$E18)*12+MONTH(Ödemeler!$E18)))&gt;=0,MOD(((Özet!$C$4*12+6)-(YEAR(Ödemeler!$E18)*12+MONTH(Ödemeler!$E18))),Ödemeler!$G18)=0,OR(Ödemeler!$F18="",DATE(Özet!$C$4,6,1)&lt;=Ödemeler!$F18)),Ödemeler!$C18,0))</f>
        <v/>
      </c>
      <c r="H19" s="36" t="str">
        <f aca="false">IF(OR(Ödemeler!$A18="",Ödemeler!$G18="",Ödemeler!$E18=""),"",IF(AND(((Özet!$C$4*12+7)-(YEAR(Ödemeler!$E18)*12+MONTH(Ödemeler!$E18)))&gt;=0,MOD(((Özet!$C$4*12+7)-(YEAR(Ödemeler!$E18)*12+MONTH(Ödemeler!$E18))),Ödemeler!$G18)=0,OR(Ödemeler!$F18="",DATE(Özet!$C$4,7,1)&lt;=Ödemeler!$F18)),Ödemeler!$C18,0))</f>
        <v/>
      </c>
      <c r="I19" s="36" t="str">
        <f aca="false">IF(OR(Ödemeler!$A18="",Ödemeler!$G18="",Ödemeler!$E18=""),"",IF(AND(((Özet!$C$4*12+8)-(YEAR(Ödemeler!$E18)*12+MONTH(Ödemeler!$E18)))&gt;=0,MOD(((Özet!$C$4*12+8)-(YEAR(Ödemeler!$E18)*12+MONTH(Ödemeler!$E18))),Ödemeler!$G18)=0,OR(Ödemeler!$F18="",DATE(Özet!$C$4,8,1)&lt;=Ödemeler!$F18)),Ödemeler!$C18,0))</f>
        <v/>
      </c>
      <c r="J19" s="36" t="str">
        <f aca="false">IF(OR(Ödemeler!$A18="",Ödemeler!$G18="",Ödemeler!$E18=""),"",IF(AND(((Özet!$C$4*12+9)-(YEAR(Ödemeler!$E18)*12+MONTH(Ödemeler!$E18)))&gt;=0,MOD(((Özet!$C$4*12+9)-(YEAR(Ödemeler!$E18)*12+MONTH(Ödemeler!$E18))),Ödemeler!$G18)=0,OR(Ödemeler!$F18="",DATE(Özet!$C$4,9,1)&lt;=Ödemeler!$F18)),Ödemeler!$C18,0))</f>
        <v/>
      </c>
      <c r="K19" s="36" t="str">
        <f aca="false">IF(OR(Ödemeler!$A18="",Ödemeler!$G18="",Ödemeler!$E18=""),"",IF(AND(((Özet!$C$4*12+10)-(YEAR(Ödemeler!$E18)*12+MONTH(Ödemeler!$E18)))&gt;=0,MOD(((Özet!$C$4*12+10)-(YEAR(Ödemeler!$E18)*12+MONTH(Ödemeler!$E18))),Ödemeler!$G18)=0,OR(Ödemeler!$F18="",DATE(Özet!$C$4,10,1)&lt;=Ödemeler!$F18)),Ödemeler!$C18,0))</f>
        <v/>
      </c>
      <c r="L19" s="36" t="str">
        <f aca="false">IF(OR(Ödemeler!$A18="",Ödemeler!$G18="",Ödemeler!$E18=""),"",IF(AND(((Özet!$C$4*12+11)-(YEAR(Ödemeler!$E18)*12+MONTH(Ödemeler!$E18)))&gt;=0,MOD(((Özet!$C$4*12+11)-(YEAR(Ödemeler!$E18)*12+MONTH(Ödemeler!$E18))),Ödemeler!$G18)=0,OR(Ödemeler!$F18="",DATE(Özet!$C$4,11,1)&lt;=Ödemeler!$F18)),Ödemeler!$C18,0))</f>
        <v/>
      </c>
      <c r="M19" s="36" t="str">
        <f aca="false">IF(OR(Ödemeler!$A18="",Ödemeler!$G18="",Ödemeler!$E18=""),"",IF(AND(((Özet!$C$4*12+12)-(YEAR(Ödemeler!$E18)*12+MONTH(Ödemeler!$E18)))&gt;=0,MOD(((Özet!$C$4*12+12)-(YEAR(Ödemeler!$E18)*12+MONTH(Ödemeler!$E18))),Ödemeler!$G18)=0,OR(Ödemeler!$F18="",DATE(Özet!$C$4,12,1)&lt;=Ödemeler!$F18)),Ödemeler!$C18,0))</f>
        <v/>
      </c>
      <c r="N19" s="36" t="str">
        <f aca="false">IF(COUNT(B19:M19)=0,"",SUM(B19:M19))</f>
        <v/>
      </c>
    </row>
    <row r="20" customFormat="false" ht="15" hidden="false" customHeight="false" outlineLevel="0" collapsed="false">
      <c r="A20" s="30" t="str">
        <f aca="false">IF(Ödemeler!A19="","",Ödemeler!A19)</f>
        <v/>
      </c>
      <c r="B20" s="37" t="str">
        <f aca="false">IF(OR(Ödemeler!$A19="",Ödemeler!$G19="",Ödemeler!$E19=""),"",IF(AND(((Özet!$C$4*12+1)-(YEAR(Ödemeler!$E19)*12+MONTH(Ödemeler!$E19)))&gt;=0,MOD(((Özet!$C$4*12+1)-(YEAR(Ödemeler!$E19)*12+MONTH(Ödemeler!$E19))),Ödemeler!$G19)=0,OR(Ödemeler!$F19="",DATE(Özet!$C$4,1,1)&lt;=Ödemeler!$F19)),Ödemeler!$C19,0))</f>
        <v/>
      </c>
      <c r="C20" s="37" t="str">
        <f aca="false">IF(OR(Ödemeler!$A19="",Ödemeler!$G19="",Ödemeler!$E19=""),"",IF(AND(((Özet!$C$4*12+2)-(YEAR(Ödemeler!$E19)*12+MONTH(Ödemeler!$E19)))&gt;=0,MOD(((Özet!$C$4*12+2)-(YEAR(Ödemeler!$E19)*12+MONTH(Ödemeler!$E19))),Ödemeler!$G19)=0,OR(Ödemeler!$F19="",DATE(Özet!$C$4,2,1)&lt;=Ödemeler!$F19)),Ödemeler!$C19,0))</f>
        <v/>
      </c>
      <c r="D20" s="37" t="str">
        <f aca="false">IF(OR(Ödemeler!$A19="",Ödemeler!$G19="",Ödemeler!$E19=""),"",IF(AND(((Özet!$C$4*12+3)-(YEAR(Ödemeler!$E19)*12+MONTH(Ödemeler!$E19)))&gt;=0,MOD(((Özet!$C$4*12+3)-(YEAR(Ödemeler!$E19)*12+MONTH(Ödemeler!$E19))),Ödemeler!$G19)=0,OR(Ödemeler!$F19="",DATE(Özet!$C$4,3,1)&lt;=Ödemeler!$F19)),Ödemeler!$C19,0))</f>
        <v/>
      </c>
      <c r="E20" s="37" t="str">
        <f aca="false">IF(OR(Ödemeler!$A19="",Ödemeler!$G19="",Ödemeler!$E19=""),"",IF(AND(((Özet!$C$4*12+4)-(YEAR(Ödemeler!$E19)*12+MONTH(Ödemeler!$E19)))&gt;=0,MOD(((Özet!$C$4*12+4)-(YEAR(Ödemeler!$E19)*12+MONTH(Ödemeler!$E19))),Ödemeler!$G19)=0,OR(Ödemeler!$F19="",DATE(Özet!$C$4,4,1)&lt;=Ödemeler!$F19)),Ödemeler!$C19,0))</f>
        <v/>
      </c>
      <c r="F20" s="37" t="str">
        <f aca="false">IF(OR(Ödemeler!$A19="",Ödemeler!$G19="",Ödemeler!$E19=""),"",IF(AND(((Özet!$C$4*12+5)-(YEAR(Ödemeler!$E19)*12+MONTH(Ödemeler!$E19)))&gt;=0,MOD(((Özet!$C$4*12+5)-(YEAR(Ödemeler!$E19)*12+MONTH(Ödemeler!$E19))),Ödemeler!$G19)=0,OR(Ödemeler!$F19="",DATE(Özet!$C$4,5,1)&lt;=Ödemeler!$F19)),Ödemeler!$C19,0))</f>
        <v/>
      </c>
      <c r="G20" s="37" t="str">
        <f aca="false">IF(OR(Ödemeler!$A19="",Ödemeler!$G19="",Ödemeler!$E19=""),"",IF(AND(((Özet!$C$4*12+6)-(YEAR(Ödemeler!$E19)*12+MONTH(Ödemeler!$E19)))&gt;=0,MOD(((Özet!$C$4*12+6)-(YEAR(Ödemeler!$E19)*12+MONTH(Ödemeler!$E19))),Ödemeler!$G19)=0,OR(Ödemeler!$F19="",DATE(Özet!$C$4,6,1)&lt;=Ödemeler!$F19)),Ödemeler!$C19,0))</f>
        <v/>
      </c>
      <c r="H20" s="37" t="str">
        <f aca="false">IF(OR(Ödemeler!$A19="",Ödemeler!$G19="",Ödemeler!$E19=""),"",IF(AND(((Özet!$C$4*12+7)-(YEAR(Ödemeler!$E19)*12+MONTH(Ödemeler!$E19)))&gt;=0,MOD(((Özet!$C$4*12+7)-(YEAR(Ödemeler!$E19)*12+MONTH(Ödemeler!$E19))),Ödemeler!$G19)=0,OR(Ödemeler!$F19="",DATE(Özet!$C$4,7,1)&lt;=Ödemeler!$F19)),Ödemeler!$C19,0))</f>
        <v/>
      </c>
      <c r="I20" s="37" t="str">
        <f aca="false">IF(OR(Ödemeler!$A19="",Ödemeler!$G19="",Ödemeler!$E19=""),"",IF(AND(((Özet!$C$4*12+8)-(YEAR(Ödemeler!$E19)*12+MONTH(Ödemeler!$E19)))&gt;=0,MOD(((Özet!$C$4*12+8)-(YEAR(Ödemeler!$E19)*12+MONTH(Ödemeler!$E19))),Ödemeler!$G19)=0,OR(Ödemeler!$F19="",DATE(Özet!$C$4,8,1)&lt;=Ödemeler!$F19)),Ödemeler!$C19,0))</f>
        <v/>
      </c>
      <c r="J20" s="37" t="str">
        <f aca="false">IF(OR(Ödemeler!$A19="",Ödemeler!$G19="",Ödemeler!$E19=""),"",IF(AND(((Özet!$C$4*12+9)-(YEAR(Ödemeler!$E19)*12+MONTH(Ödemeler!$E19)))&gt;=0,MOD(((Özet!$C$4*12+9)-(YEAR(Ödemeler!$E19)*12+MONTH(Ödemeler!$E19))),Ödemeler!$G19)=0,OR(Ödemeler!$F19="",DATE(Özet!$C$4,9,1)&lt;=Ödemeler!$F19)),Ödemeler!$C19,0))</f>
        <v/>
      </c>
      <c r="K20" s="37" t="str">
        <f aca="false">IF(OR(Ödemeler!$A19="",Ödemeler!$G19="",Ödemeler!$E19=""),"",IF(AND(((Özet!$C$4*12+10)-(YEAR(Ödemeler!$E19)*12+MONTH(Ödemeler!$E19)))&gt;=0,MOD(((Özet!$C$4*12+10)-(YEAR(Ödemeler!$E19)*12+MONTH(Ödemeler!$E19))),Ödemeler!$G19)=0,OR(Ödemeler!$F19="",DATE(Özet!$C$4,10,1)&lt;=Ödemeler!$F19)),Ödemeler!$C19,0))</f>
        <v/>
      </c>
      <c r="L20" s="37" t="str">
        <f aca="false">IF(OR(Ödemeler!$A19="",Ödemeler!$G19="",Ödemeler!$E19=""),"",IF(AND(((Özet!$C$4*12+11)-(YEAR(Ödemeler!$E19)*12+MONTH(Ödemeler!$E19)))&gt;=0,MOD(((Özet!$C$4*12+11)-(YEAR(Ödemeler!$E19)*12+MONTH(Ödemeler!$E19))),Ödemeler!$G19)=0,OR(Ödemeler!$F19="",DATE(Özet!$C$4,11,1)&lt;=Ödemeler!$F19)),Ödemeler!$C19,0))</f>
        <v/>
      </c>
      <c r="M20" s="37" t="str">
        <f aca="false">IF(OR(Ödemeler!$A19="",Ödemeler!$G19="",Ödemeler!$E19=""),"",IF(AND(((Özet!$C$4*12+12)-(YEAR(Ödemeler!$E19)*12+MONTH(Ödemeler!$E19)))&gt;=0,MOD(((Özet!$C$4*12+12)-(YEAR(Ödemeler!$E19)*12+MONTH(Ödemeler!$E19))),Ödemeler!$G19)=0,OR(Ödemeler!$F19="",DATE(Özet!$C$4,12,1)&lt;=Ödemeler!$F19)),Ödemeler!$C19,0))</f>
        <v/>
      </c>
      <c r="N20" s="37" t="str">
        <f aca="false">IF(COUNT(B20:M20)=0,"",SUM(B20:M20))</f>
        <v/>
      </c>
    </row>
    <row r="21" customFormat="false" ht="15" hidden="false" customHeight="false" outlineLevel="0" collapsed="false">
      <c r="A21" s="16" t="str">
        <f aca="false">IF(Ödemeler!A20="","",Ödemeler!A20)</f>
        <v/>
      </c>
      <c r="B21" s="36" t="str">
        <f aca="false">IF(OR(Ödemeler!$A20="",Ödemeler!$G20="",Ödemeler!$E20=""),"",IF(AND(((Özet!$C$4*12+1)-(YEAR(Ödemeler!$E20)*12+MONTH(Ödemeler!$E20)))&gt;=0,MOD(((Özet!$C$4*12+1)-(YEAR(Ödemeler!$E20)*12+MONTH(Ödemeler!$E20))),Ödemeler!$G20)=0,OR(Ödemeler!$F20="",DATE(Özet!$C$4,1,1)&lt;=Ödemeler!$F20)),Ödemeler!$C20,0))</f>
        <v/>
      </c>
      <c r="C21" s="36" t="str">
        <f aca="false">IF(OR(Ödemeler!$A20="",Ödemeler!$G20="",Ödemeler!$E20=""),"",IF(AND(((Özet!$C$4*12+2)-(YEAR(Ödemeler!$E20)*12+MONTH(Ödemeler!$E20)))&gt;=0,MOD(((Özet!$C$4*12+2)-(YEAR(Ödemeler!$E20)*12+MONTH(Ödemeler!$E20))),Ödemeler!$G20)=0,OR(Ödemeler!$F20="",DATE(Özet!$C$4,2,1)&lt;=Ödemeler!$F20)),Ödemeler!$C20,0))</f>
        <v/>
      </c>
      <c r="D21" s="36" t="str">
        <f aca="false">IF(OR(Ödemeler!$A20="",Ödemeler!$G20="",Ödemeler!$E20=""),"",IF(AND(((Özet!$C$4*12+3)-(YEAR(Ödemeler!$E20)*12+MONTH(Ödemeler!$E20)))&gt;=0,MOD(((Özet!$C$4*12+3)-(YEAR(Ödemeler!$E20)*12+MONTH(Ödemeler!$E20))),Ödemeler!$G20)=0,OR(Ödemeler!$F20="",DATE(Özet!$C$4,3,1)&lt;=Ödemeler!$F20)),Ödemeler!$C20,0))</f>
        <v/>
      </c>
      <c r="E21" s="36" t="str">
        <f aca="false">IF(OR(Ödemeler!$A20="",Ödemeler!$G20="",Ödemeler!$E20=""),"",IF(AND(((Özet!$C$4*12+4)-(YEAR(Ödemeler!$E20)*12+MONTH(Ödemeler!$E20)))&gt;=0,MOD(((Özet!$C$4*12+4)-(YEAR(Ödemeler!$E20)*12+MONTH(Ödemeler!$E20))),Ödemeler!$G20)=0,OR(Ödemeler!$F20="",DATE(Özet!$C$4,4,1)&lt;=Ödemeler!$F20)),Ödemeler!$C20,0))</f>
        <v/>
      </c>
      <c r="F21" s="36" t="str">
        <f aca="false">IF(OR(Ödemeler!$A20="",Ödemeler!$G20="",Ödemeler!$E20=""),"",IF(AND(((Özet!$C$4*12+5)-(YEAR(Ödemeler!$E20)*12+MONTH(Ödemeler!$E20)))&gt;=0,MOD(((Özet!$C$4*12+5)-(YEAR(Ödemeler!$E20)*12+MONTH(Ödemeler!$E20))),Ödemeler!$G20)=0,OR(Ödemeler!$F20="",DATE(Özet!$C$4,5,1)&lt;=Ödemeler!$F20)),Ödemeler!$C20,0))</f>
        <v/>
      </c>
      <c r="G21" s="36" t="str">
        <f aca="false">IF(OR(Ödemeler!$A20="",Ödemeler!$G20="",Ödemeler!$E20=""),"",IF(AND(((Özet!$C$4*12+6)-(YEAR(Ödemeler!$E20)*12+MONTH(Ödemeler!$E20)))&gt;=0,MOD(((Özet!$C$4*12+6)-(YEAR(Ödemeler!$E20)*12+MONTH(Ödemeler!$E20))),Ödemeler!$G20)=0,OR(Ödemeler!$F20="",DATE(Özet!$C$4,6,1)&lt;=Ödemeler!$F20)),Ödemeler!$C20,0))</f>
        <v/>
      </c>
      <c r="H21" s="36" t="str">
        <f aca="false">IF(OR(Ödemeler!$A20="",Ödemeler!$G20="",Ödemeler!$E20=""),"",IF(AND(((Özet!$C$4*12+7)-(YEAR(Ödemeler!$E20)*12+MONTH(Ödemeler!$E20)))&gt;=0,MOD(((Özet!$C$4*12+7)-(YEAR(Ödemeler!$E20)*12+MONTH(Ödemeler!$E20))),Ödemeler!$G20)=0,OR(Ödemeler!$F20="",DATE(Özet!$C$4,7,1)&lt;=Ödemeler!$F20)),Ödemeler!$C20,0))</f>
        <v/>
      </c>
      <c r="I21" s="36" t="str">
        <f aca="false">IF(OR(Ödemeler!$A20="",Ödemeler!$G20="",Ödemeler!$E20=""),"",IF(AND(((Özet!$C$4*12+8)-(YEAR(Ödemeler!$E20)*12+MONTH(Ödemeler!$E20)))&gt;=0,MOD(((Özet!$C$4*12+8)-(YEAR(Ödemeler!$E20)*12+MONTH(Ödemeler!$E20))),Ödemeler!$G20)=0,OR(Ödemeler!$F20="",DATE(Özet!$C$4,8,1)&lt;=Ödemeler!$F20)),Ödemeler!$C20,0))</f>
        <v/>
      </c>
      <c r="J21" s="36" t="str">
        <f aca="false">IF(OR(Ödemeler!$A20="",Ödemeler!$G20="",Ödemeler!$E20=""),"",IF(AND(((Özet!$C$4*12+9)-(YEAR(Ödemeler!$E20)*12+MONTH(Ödemeler!$E20)))&gt;=0,MOD(((Özet!$C$4*12+9)-(YEAR(Ödemeler!$E20)*12+MONTH(Ödemeler!$E20))),Ödemeler!$G20)=0,OR(Ödemeler!$F20="",DATE(Özet!$C$4,9,1)&lt;=Ödemeler!$F20)),Ödemeler!$C20,0))</f>
        <v/>
      </c>
      <c r="K21" s="36" t="str">
        <f aca="false">IF(OR(Ödemeler!$A20="",Ödemeler!$G20="",Ödemeler!$E20=""),"",IF(AND(((Özet!$C$4*12+10)-(YEAR(Ödemeler!$E20)*12+MONTH(Ödemeler!$E20)))&gt;=0,MOD(((Özet!$C$4*12+10)-(YEAR(Ödemeler!$E20)*12+MONTH(Ödemeler!$E20))),Ödemeler!$G20)=0,OR(Ödemeler!$F20="",DATE(Özet!$C$4,10,1)&lt;=Ödemeler!$F20)),Ödemeler!$C20,0))</f>
        <v/>
      </c>
      <c r="L21" s="36" t="str">
        <f aca="false">IF(OR(Ödemeler!$A20="",Ödemeler!$G20="",Ödemeler!$E20=""),"",IF(AND(((Özet!$C$4*12+11)-(YEAR(Ödemeler!$E20)*12+MONTH(Ödemeler!$E20)))&gt;=0,MOD(((Özet!$C$4*12+11)-(YEAR(Ödemeler!$E20)*12+MONTH(Ödemeler!$E20))),Ödemeler!$G20)=0,OR(Ödemeler!$F20="",DATE(Özet!$C$4,11,1)&lt;=Ödemeler!$F20)),Ödemeler!$C20,0))</f>
        <v/>
      </c>
      <c r="M21" s="36" t="str">
        <f aca="false">IF(OR(Ödemeler!$A20="",Ödemeler!$G20="",Ödemeler!$E20=""),"",IF(AND(((Özet!$C$4*12+12)-(YEAR(Ödemeler!$E20)*12+MONTH(Ödemeler!$E20)))&gt;=0,MOD(((Özet!$C$4*12+12)-(YEAR(Ödemeler!$E20)*12+MONTH(Ödemeler!$E20))),Ödemeler!$G20)=0,OR(Ödemeler!$F20="",DATE(Özet!$C$4,12,1)&lt;=Ödemeler!$F20)),Ödemeler!$C20,0))</f>
        <v/>
      </c>
      <c r="N21" s="36" t="str">
        <f aca="false">IF(COUNT(B21:M21)=0,"",SUM(B21:M21))</f>
        <v/>
      </c>
    </row>
    <row r="22" customFormat="false" ht="15" hidden="false" customHeight="false" outlineLevel="0" collapsed="false">
      <c r="A22" s="30" t="str">
        <f aca="false">IF(Ödemeler!A21="","",Ödemeler!A21)</f>
        <v/>
      </c>
      <c r="B22" s="37" t="str">
        <f aca="false">IF(OR(Ödemeler!$A21="",Ödemeler!$G21="",Ödemeler!$E21=""),"",IF(AND(((Özet!$C$4*12+1)-(YEAR(Ödemeler!$E21)*12+MONTH(Ödemeler!$E21)))&gt;=0,MOD(((Özet!$C$4*12+1)-(YEAR(Ödemeler!$E21)*12+MONTH(Ödemeler!$E21))),Ödemeler!$G21)=0,OR(Ödemeler!$F21="",DATE(Özet!$C$4,1,1)&lt;=Ödemeler!$F21)),Ödemeler!$C21,0))</f>
        <v/>
      </c>
      <c r="C22" s="37" t="str">
        <f aca="false">IF(OR(Ödemeler!$A21="",Ödemeler!$G21="",Ödemeler!$E21=""),"",IF(AND(((Özet!$C$4*12+2)-(YEAR(Ödemeler!$E21)*12+MONTH(Ödemeler!$E21)))&gt;=0,MOD(((Özet!$C$4*12+2)-(YEAR(Ödemeler!$E21)*12+MONTH(Ödemeler!$E21))),Ödemeler!$G21)=0,OR(Ödemeler!$F21="",DATE(Özet!$C$4,2,1)&lt;=Ödemeler!$F21)),Ödemeler!$C21,0))</f>
        <v/>
      </c>
      <c r="D22" s="37" t="str">
        <f aca="false">IF(OR(Ödemeler!$A21="",Ödemeler!$G21="",Ödemeler!$E21=""),"",IF(AND(((Özet!$C$4*12+3)-(YEAR(Ödemeler!$E21)*12+MONTH(Ödemeler!$E21)))&gt;=0,MOD(((Özet!$C$4*12+3)-(YEAR(Ödemeler!$E21)*12+MONTH(Ödemeler!$E21))),Ödemeler!$G21)=0,OR(Ödemeler!$F21="",DATE(Özet!$C$4,3,1)&lt;=Ödemeler!$F21)),Ödemeler!$C21,0))</f>
        <v/>
      </c>
      <c r="E22" s="37" t="str">
        <f aca="false">IF(OR(Ödemeler!$A21="",Ödemeler!$G21="",Ödemeler!$E21=""),"",IF(AND(((Özet!$C$4*12+4)-(YEAR(Ödemeler!$E21)*12+MONTH(Ödemeler!$E21)))&gt;=0,MOD(((Özet!$C$4*12+4)-(YEAR(Ödemeler!$E21)*12+MONTH(Ödemeler!$E21))),Ödemeler!$G21)=0,OR(Ödemeler!$F21="",DATE(Özet!$C$4,4,1)&lt;=Ödemeler!$F21)),Ödemeler!$C21,0))</f>
        <v/>
      </c>
      <c r="F22" s="37" t="str">
        <f aca="false">IF(OR(Ödemeler!$A21="",Ödemeler!$G21="",Ödemeler!$E21=""),"",IF(AND(((Özet!$C$4*12+5)-(YEAR(Ödemeler!$E21)*12+MONTH(Ödemeler!$E21)))&gt;=0,MOD(((Özet!$C$4*12+5)-(YEAR(Ödemeler!$E21)*12+MONTH(Ödemeler!$E21))),Ödemeler!$G21)=0,OR(Ödemeler!$F21="",DATE(Özet!$C$4,5,1)&lt;=Ödemeler!$F21)),Ödemeler!$C21,0))</f>
        <v/>
      </c>
      <c r="G22" s="37" t="str">
        <f aca="false">IF(OR(Ödemeler!$A21="",Ödemeler!$G21="",Ödemeler!$E21=""),"",IF(AND(((Özet!$C$4*12+6)-(YEAR(Ödemeler!$E21)*12+MONTH(Ödemeler!$E21)))&gt;=0,MOD(((Özet!$C$4*12+6)-(YEAR(Ödemeler!$E21)*12+MONTH(Ödemeler!$E21))),Ödemeler!$G21)=0,OR(Ödemeler!$F21="",DATE(Özet!$C$4,6,1)&lt;=Ödemeler!$F21)),Ödemeler!$C21,0))</f>
        <v/>
      </c>
      <c r="H22" s="37" t="str">
        <f aca="false">IF(OR(Ödemeler!$A21="",Ödemeler!$G21="",Ödemeler!$E21=""),"",IF(AND(((Özet!$C$4*12+7)-(YEAR(Ödemeler!$E21)*12+MONTH(Ödemeler!$E21)))&gt;=0,MOD(((Özet!$C$4*12+7)-(YEAR(Ödemeler!$E21)*12+MONTH(Ödemeler!$E21))),Ödemeler!$G21)=0,OR(Ödemeler!$F21="",DATE(Özet!$C$4,7,1)&lt;=Ödemeler!$F21)),Ödemeler!$C21,0))</f>
        <v/>
      </c>
      <c r="I22" s="37" t="str">
        <f aca="false">IF(OR(Ödemeler!$A21="",Ödemeler!$G21="",Ödemeler!$E21=""),"",IF(AND(((Özet!$C$4*12+8)-(YEAR(Ödemeler!$E21)*12+MONTH(Ödemeler!$E21)))&gt;=0,MOD(((Özet!$C$4*12+8)-(YEAR(Ödemeler!$E21)*12+MONTH(Ödemeler!$E21))),Ödemeler!$G21)=0,OR(Ödemeler!$F21="",DATE(Özet!$C$4,8,1)&lt;=Ödemeler!$F21)),Ödemeler!$C21,0))</f>
        <v/>
      </c>
      <c r="J22" s="37" t="str">
        <f aca="false">IF(OR(Ödemeler!$A21="",Ödemeler!$G21="",Ödemeler!$E21=""),"",IF(AND(((Özet!$C$4*12+9)-(YEAR(Ödemeler!$E21)*12+MONTH(Ödemeler!$E21)))&gt;=0,MOD(((Özet!$C$4*12+9)-(YEAR(Ödemeler!$E21)*12+MONTH(Ödemeler!$E21))),Ödemeler!$G21)=0,OR(Ödemeler!$F21="",DATE(Özet!$C$4,9,1)&lt;=Ödemeler!$F21)),Ödemeler!$C21,0))</f>
        <v/>
      </c>
      <c r="K22" s="37" t="str">
        <f aca="false">IF(OR(Ödemeler!$A21="",Ödemeler!$G21="",Ödemeler!$E21=""),"",IF(AND(((Özet!$C$4*12+10)-(YEAR(Ödemeler!$E21)*12+MONTH(Ödemeler!$E21)))&gt;=0,MOD(((Özet!$C$4*12+10)-(YEAR(Ödemeler!$E21)*12+MONTH(Ödemeler!$E21))),Ödemeler!$G21)=0,OR(Ödemeler!$F21="",DATE(Özet!$C$4,10,1)&lt;=Ödemeler!$F21)),Ödemeler!$C21,0))</f>
        <v/>
      </c>
      <c r="L22" s="37" t="str">
        <f aca="false">IF(OR(Ödemeler!$A21="",Ödemeler!$G21="",Ödemeler!$E21=""),"",IF(AND(((Özet!$C$4*12+11)-(YEAR(Ödemeler!$E21)*12+MONTH(Ödemeler!$E21)))&gt;=0,MOD(((Özet!$C$4*12+11)-(YEAR(Ödemeler!$E21)*12+MONTH(Ödemeler!$E21))),Ödemeler!$G21)=0,OR(Ödemeler!$F21="",DATE(Özet!$C$4,11,1)&lt;=Ödemeler!$F21)),Ödemeler!$C21,0))</f>
        <v/>
      </c>
      <c r="M22" s="37" t="str">
        <f aca="false">IF(OR(Ödemeler!$A21="",Ödemeler!$G21="",Ödemeler!$E21=""),"",IF(AND(((Özet!$C$4*12+12)-(YEAR(Ödemeler!$E21)*12+MONTH(Ödemeler!$E21)))&gt;=0,MOD(((Özet!$C$4*12+12)-(YEAR(Ödemeler!$E21)*12+MONTH(Ödemeler!$E21))),Ödemeler!$G21)=0,OR(Ödemeler!$F21="",DATE(Özet!$C$4,12,1)&lt;=Ödemeler!$F21)),Ödemeler!$C21,0))</f>
        <v/>
      </c>
      <c r="N22" s="37" t="str">
        <f aca="false">IF(COUNT(B22:M22)=0,"",SUM(B22:M22))</f>
        <v/>
      </c>
    </row>
    <row r="23" customFormat="false" ht="15" hidden="false" customHeight="false" outlineLevel="0" collapsed="false">
      <c r="A23" s="16" t="str">
        <f aca="false">IF(Ödemeler!A22="","",Ödemeler!A22)</f>
        <v/>
      </c>
      <c r="B23" s="36" t="str">
        <f aca="false">IF(OR(Ödemeler!$A22="",Ödemeler!$G22="",Ödemeler!$E22=""),"",IF(AND(((Özet!$C$4*12+1)-(YEAR(Ödemeler!$E22)*12+MONTH(Ödemeler!$E22)))&gt;=0,MOD(((Özet!$C$4*12+1)-(YEAR(Ödemeler!$E22)*12+MONTH(Ödemeler!$E22))),Ödemeler!$G22)=0,OR(Ödemeler!$F22="",DATE(Özet!$C$4,1,1)&lt;=Ödemeler!$F22)),Ödemeler!$C22,0))</f>
        <v/>
      </c>
      <c r="C23" s="36" t="str">
        <f aca="false">IF(OR(Ödemeler!$A22="",Ödemeler!$G22="",Ödemeler!$E22=""),"",IF(AND(((Özet!$C$4*12+2)-(YEAR(Ödemeler!$E22)*12+MONTH(Ödemeler!$E22)))&gt;=0,MOD(((Özet!$C$4*12+2)-(YEAR(Ödemeler!$E22)*12+MONTH(Ödemeler!$E22))),Ödemeler!$G22)=0,OR(Ödemeler!$F22="",DATE(Özet!$C$4,2,1)&lt;=Ödemeler!$F22)),Ödemeler!$C22,0))</f>
        <v/>
      </c>
      <c r="D23" s="36" t="str">
        <f aca="false">IF(OR(Ödemeler!$A22="",Ödemeler!$G22="",Ödemeler!$E22=""),"",IF(AND(((Özet!$C$4*12+3)-(YEAR(Ödemeler!$E22)*12+MONTH(Ödemeler!$E22)))&gt;=0,MOD(((Özet!$C$4*12+3)-(YEAR(Ödemeler!$E22)*12+MONTH(Ödemeler!$E22))),Ödemeler!$G22)=0,OR(Ödemeler!$F22="",DATE(Özet!$C$4,3,1)&lt;=Ödemeler!$F22)),Ödemeler!$C22,0))</f>
        <v/>
      </c>
      <c r="E23" s="36" t="str">
        <f aca="false">IF(OR(Ödemeler!$A22="",Ödemeler!$G22="",Ödemeler!$E22=""),"",IF(AND(((Özet!$C$4*12+4)-(YEAR(Ödemeler!$E22)*12+MONTH(Ödemeler!$E22)))&gt;=0,MOD(((Özet!$C$4*12+4)-(YEAR(Ödemeler!$E22)*12+MONTH(Ödemeler!$E22))),Ödemeler!$G22)=0,OR(Ödemeler!$F22="",DATE(Özet!$C$4,4,1)&lt;=Ödemeler!$F22)),Ödemeler!$C22,0))</f>
        <v/>
      </c>
      <c r="F23" s="36" t="str">
        <f aca="false">IF(OR(Ödemeler!$A22="",Ödemeler!$G22="",Ödemeler!$E22=""),"",IF(AND(((Özet!$C$4*12+5)-(YEAR(Ödemeler!$E22)*12+MONTH(Ödemeler!$E22)))&gt;=0,MOD(((Özet!$C$4*12+5)-(YEAR(Ödemeler!$E22)*12+MONTH(Ödemeler!$E22))),Ödemeler!$G22)=0,OR(Ödemeler!$F22="",DATE(Özet!$C$4,5,1)&lt;=Ödemeler!$F22)),Ödemeler!$C22,0))</f>
        <v/>
      </c>
      <c r="G23" s="36" t="str">
        <f aca="false">IF(OR(Ödemeler!$A22="",Ödemeler!$G22="",Ödemeler!$E22=""),"",IF(AND(((Özet!$C$4*12+6)-(YEAR(Ödemeler!$E22)*12+MONTH(Ödemeler!$E22)))&gt;=0,MOD(((Özet!$C$4*12+6)-(YEAR(Ödemeler!$E22)*12+MONTH(Ödemeler!$E22))),Ödemeler!$G22)=0,OR(Ödemeler!$F22="",DATE(Özet!$C$4,6,1)&lt;=Ödemeler!$F22)),Ödemeler!$C22,0))</f>
        <v/>
      </c>
      <c r="H23" s="36" t="str">
        <f aca="false">IF(OR(Ödemeler!$A22="",Ödemeler!$G22="",Ödemeler!$E22=""),"",IF(AND(((Özet!$C$4*12+7)-(YEAR(Ödemeler!$E22)*12+MONTH(Ödemeler!$E22)))&gt;=0,MOD(((Özet!$C$4*12+7)-(YEAR(Ödemeler!$E22)*12+MONTH(Ödemeler!$E22))),Ödemeler!$G22)=0,OR(Ödemeler!$F22="",DATE(Özet!$C$4,7,1)&lt;=Ödemeler!$F22)),Ödemeler!$C22,0))</f>
        <v/>
      </c>
      <c r="I23" s="36" t="str">
        <f aca="false">IF(OR(Ödemeler!$A22="",Ödemeler!$G22="",Ödemeler!$E22=""),"",IF(AND(((Özet!$C$4*12+8)-(YEAR(Ödemeler!$E22)*12+MONTH(Ödemeler!$E22)))&gt;=0,MOD(((Özet!$C$4*12+8)-(YEAR(Ödemeler!$E22)*12+MONTH(Ödemeler!$E22))),Ödemeler!$G22)=0,OR(Ödemeler!$F22="",DATE(Özet!$C$4,8,1)&lt;=Ödemeler!$F22)),Ödemeler!$C22,0))</f>
        <v/>
      </c>
      <c r="J23" s="36" t="str">
        <f aca="false">IF(OR(Ödemeler!$A22="",Ödemeler!$G22="",Ödemeler!$E22=""),"",IF(AND(((Özet!$C$4*12+9)-(YEAR(Ödemeler!$E22)*12+MONTH(Ödemeler!$E22)))&gt;=0,MOD(((Özet!$C$4*12+9)-(YEAR(Ödemeler!$E22)*12+MONTH(Ödemeler!$E22))),Ödemeler!$G22)=0,OR(Ödemeler!$F22="",DATE(Özet!$C$4,9,1)&lt;=Ödemeler!$F22)),Ödemeler!$C22,0))</f>
        <v/>
      </c>
      <c r="K23" s="36" t="str">
        <f aca="false">IF(OR(Ödemeler!$A22="",Ödemeler!$G22="",Ödemeler!$E22=""),"",IF(AND(((Özet!$C$4*12+10)-(YEAR(Ödemeler!$E22)*12+MONTH(Ödemeler!$E22)))&gt;=0,MOD(((Özet!$C$4*12+10)-(YEAR(Ödemeler!$E22)*12+MONTH(Ödemeler!$E22))),Ödemeler!$G22)=0,OR(Ödemeler!$F22="",DATE(Özet!$C$4,10,1)&lt;=Ödemeler!$F22)),Ödemeler!$C22,0))</f>
        <v/>
      </c>
      <c r="L23" s="36" t="str">
        <f aca="false">IF(OR(Ödemeler!$A22="",Ödemeler!$G22="",Ödemeler!$E22=""),"",IF(AND(((Özet!$C$4*12+11)-(YEAR(Ödemeler!$E22)*12+MONTH(Ödemeler!$E22)))&gt;=0,MOD(((Özet!$C$4*12+11)-(YEAR(Ödemeler!$E22)*12+MONTH(Ödemeler!$E22))),Ödemeler!$G22)=0,OR(Ödemeler!$F22="",DATE(Özet!$C$4,11,1)&lt;=Ödemeler!$F22)),Ödemeler!$C22,0))</f>
        <v/>
      </c>
      <c r="M23" s="36" t="str">
        <f aca="false">IF(OR(Ödemeler!$A22="",Ödemeler!$G22="",Ödemeler!$E22=""),"",IF(AND(((Özet!$C$4*12+12)-(YEAR(Ödemeler!$E22)*12+MONTH(Ödemeler!$E22)))&gt;=0,MOD(((Özet!$C$4*12+12)-(YEAR(Ödemeler!$E22)*12+MONTH(Ödemeler!$E22))),Ödemeler!$G22)=0,OR(Ödemeler!$F22="",DATE(Özet!$C$4,12,1)&lt;=Ödemeler!$F22)),Ödemeler!$C22,0))</f>
        <v/>
      </c>
      <c r="N23" s="36" t="str">
        <f aca="false">IF(COUNT(B23:M23)=0,"",SUM(B23:M23))</f>
        <v/>
      </c>
    </row>
    <row r="24" customFormat="false" ht="15" hidden="false" customHeight="false" outlineLevel="0" collapsed="false">
      <c r="A24" s="30" t="str">
        <f aca="false">IF(Ödemeler!A23="","",Ödemeler!A23)</f>
        <v/>
      </c>
      <c r="B24" s="37" t="str">
        <f aca="false">IF(OR(Ödemeler!$A23="",Ödemeler!$G23="",Ödemeler!$E23=""),"",IF(AND(((Özet!$C$4*12+1)-(YEAR(Ödemeler!$E23)*12+MONTH(Ödemeler!$E23)))&gt;=0,MOD(((Özet!$C$4*12+1)-(YEAR(Ödemeler!$E23)*12+MONTH(Ödemeler!$E23))),Ödemeler!$G23)=0,OR(Ödemeler!$F23="",DATE(Özet!$C$4,1,1)&lt;=Ödemeler!$F23)),Ödemeler!$C23,0))</f>
        <v/>
      </c>
      <c r="C24" s="37" t="str">
        <f aca="false">IF(OR(Ödemeler!$A23="",Ödemeler!$G23="",Ödemeler!$E23=""),"",IF(AND(((Özet!$C$4*12+2)-(YEAR(Ödemeler!$E23)*12+MONTH(Ödemeler!$E23)))&gt;=0,MOD(((Özet!$C$4*12+2)-(YEAR(Ödemeler!$E23)*12+MONTH(Ödemeler!$E23))),Ödemeler!$G23)=0,OR(Ödemeler!$F23="",DATE(Özet!$C$4,2,1)&lt;=Ödemeler!$F23)),Ödemeler!$C23,0))</f>
        <v/>
      </c>
      <c r="D24" s="37" t="str">
        <f aca="false">IF(OR(Ödemeler!$A23="",Ödemeler!$G23="",Ödemeler!$E23=""),"",IF(AND(((Özet!$C$4*12+3)-(YEAR(Ödemeler!$E23)*12+MONTH(Ödemeler!$E23)))&gt;=0,MOD(((Özet!$C$4*12+3)-(YEAR(Ödemeler!$E23)*12+MONTH(Ödemeler!$E23))),Ödemeler!$G23)=0,OR(Ödemeler!$F23="",DATE(Özet!$C$4,3,1)&lt;=Ödemeler!$F23)),Ödemeler!$C23,0))</f>
        <v/>
      </c>
      <c r="E24" s="37" t="str">
        <f aca="false">IF(OR(Ödemeler!$A23="",Ödemeler!$G23="",Ödemeler!$E23=""),"",IF(AND(((Özet!$C$4*12+4)-(YEAR(Ödemeler!$E23)*12+MONTH(Ödemeler!$E23)))&gt;=0,MOD(((Özet!$C$4*12+4)-(YEAR(Ödemeler!$E23)*12+MONTH(Ödemeler!$E23))),Ödemeler!$G23)=0,OR(Ödemeler!$F23="",DATE(Özet!$C$4,4,1)&lt;=Ödemeler!$F23)),Ödemeler!$C23,0))</f>
        <v/>
      </c>
      <c r="F24" s="37" t="str">
        <f aca="false">IF(OR(Ödemeler!$A23="",Ödemeler!$G23="",Ödemeler!$E23=""),"",IF(AND(((Özet!$C$4*12+5)-(YEAR(Ödemeler!$E23)*12+MONTH(Ödemeler!$E23)))&gt;=0,MOD(((Özet!$C$4*12+5)-(YEAR(Ödemeler!$E23)*12+MONTH(Ödemeler!$E23))),Ödemeler!$G23)=0,OR(Ödemeler!$F23="",DATE(Özet!$C$4,5,1)&lt;=Ödemeler!$F23)),Ödemeler!$C23,0))</f>
        <v/>
      </c>
      <c r="G24" s="37" t="str">
        <f aca="false">IF(OR(Ödemeler!$A23="",Ödemeler!$G23="",Ödemeler!$E23=""),"",IF(AND(((Özet!$C$4*12+6)-(YEAR(Ödemeler!$E23)*12+MONTH(Ödemeler!$E23)))&gt;=0,MOD(((Özet!$C$4*12+6)-(YEAR(Ödemeler!$E23)*12+MONTH(Ödemeler!$E23))),Ödemeler!$G23)=0,OR(Ödemeler!$F23="",DATE(Özet!$C$4,6,1)&lt;=Ödemeler!$F23)),Ödemeler!$C23,0))</f>
        <v/>
      </c>
      <c r="H24" s="37" t="str">
        <f aca="false">IF(OR(Ödemeler!$A23="",Ödemeler!$G23="",Ödemeler!$E23=""),"",IF(AND(((Özet!$C$4*12+7)-(YEAR(Ödemeler!$E23)*12+MONTH(Ödemeler!$E23)))&gt;=0,MOD(((Özet!$C$4*12+7)-(YEAR(Ödemeler!$E23)*12+MONTH(Ödemeler!$E23))),Ödemeler!$G23)=0,OR(Ödemeler!$F23="",DATE(Özet!$C$4,7,1)&lt;=Ödemeler!$F23)),Ödemeler!$C23,0))</f>
        <v/>
      </c>
      <c r="I24" s="37" t="str">
        <f aca="false">IF(OR(Ödemeler!$A23="",Ödemeler!$G23="",Ödemeler!$E23=""),"",IF(AND(((Özet!$C$4*12+8)-(YEAR(Ödemeler!$E23)*12+MONTH(Ödemeler!$E23)))&gt;=0,MOD(((Özet!$C$4*12+8)-(YEAR(Ödemeler!$E23)*12+MONTH(Ödemeler!$E23))),Ödemeler!$G23)=0,OR(Ödemeler!$F23="",DATE(Özet!$C$4,8,1)&lt;=Ödemeler!$F23)),Ödemeler!$C23,0))</f>
        <v/>
      </c>
      <c r="J24" s="37" t="str">
        <f aca="false">IF(OR(Ödemeler!$A23="",Ödemeler!$G23="",Ödemeler!$E23=""),"",IF(AND(((Özet!$C$4*12+9)-(YEAR(Ödemeler!$E23)*12+MONTH(Ödemeler!$E23)))&gt;=0,MOD(((Özet!$C$4*12+9)-(YEAR(Ödemeler!$E23)*12+MONTH(Ödemeler!$E23))),Ödemeler!$G23)=0,OR(Ödemeler!$F23="",DATE(Özet!$C$4,9,1)&lt;=Ödemeler!$F23)),Ödemeler!$C23,0))</f>
        <v/>
      </c>
      <c r="K24" s="37" t="str">
        <f aca="false">IF(OR(Ödemeler!$A23="",Ödemeler!$G23="",Ödemeler!$E23=""),"",IF(AND(((Özet!$C$4*12+10)-(YEAR(Ödemeler!$E23)*12+MONTH(Ödemeler!$E23)))&gt;=0,MOD(((Özet!$C$4*12+10)-(YEAR(Ödemeler!$E23)*12+MONTH(Ödemeler!$E23))),Ödemeler!$G23)=0,OR(Ödemeler!$F23="",DATE(Özet!$C$4,10,1)&lt;=Ödemeler!$F23)),Ödemeler!$C23,0))</f>
        <v/>
      </c>
      <c r="L24" s="37" t="str">
        <f aca="false">IF(OR(Ödemeler!$A23="",Ödemeler!$G23="",Ödemeler!$E23=""),"",IF(AND(((Özet!$C$4*12+11)-(YEAR(Ödemeler!$E23)*12+MONTH(Ödemeler!$E23)))&gt;=0,MOD(((Özet!$C$4*12+11)-(YEAR(Ödemeler!$E23)*12+MONTH(Ödemeler!$E23))),Ödemeler!$G23)=0,OR(Ödemeler!$F23="",DATE(Özet!$C$4,11,1)&lt;=Ödemeler!$F23)),Ödemeler!$C23,0))</f>
        <v/>
      </c>
      <c r="M24" s="37" t="str">
        <f aca="false">IF(OR(Ödemeler!$A23="",Ödemeler!$G23="",Ödemeler!$E23=""),"",IF(AND(((Özet!$C$4*12+12)-(YEAR(Ödemeler!$E23)*12+MONTH(Ödemeler!$E23)))&gt;=0,MOD(((Özet!$C$4*12+12)-(YEAR(Ödemeler!$E23)*12+MONTH(Ödemeler!$E23))),Ödemeler!$G23)=0,OR(Ödemeler!$F23="",DATE(Özet!$C$4,12,1)&lt;=Ödemeler!$F23)),Ödemeler!$C23,0))</f>
        <v/>
      </c>
      <c r="N24" s="37" t="str">
        <f aca="false">IF(COUNT(B24:M24)=0,"",SUM(B24:M24))</f>
        <v/>
      </c>
    </row>
    <row r="25" customFormat="false" ht="15" hidden="false" customHeight="false" outlineLevel="0" collapsed="false">
      <c r="A25" s="16" t="str">
        <f aca="false">IF(Ödemeler!A24="","",Ödemeler!A24)</f>
        <v/>
      </c>
      <c r="B25" s="36" t="str">
        <f aca="false">IF(OR(Ödemeler!$A24="",Ödemeler!$G24="",Ödemeler!$E24=""),"",IF(AND(((Özet!$C$4*12+1)-(YEAR(Ödemeler!$E24)*12+MONTH(Ödemeler!$E24)))&gt;=0,MOD(((Özet!$C$4*12+1)-(YEAR(Ödemeler!$E24)*12+MONTH(Ödemeler!$E24))),Ödemeler!$G24)=0,OR(Ödemeler!$F24="",DATE(Özet!$C$4,1,1)&lt;=Ödemeler!$F24)),Ödemeler!$C24,0))</f>
        <v/>
      </c>
      <c r="C25" s="36" t="str">
        <f aca="false">IF(OR(Ödemeler!$A24="",Ödemeler!$G24="",Ödemeler!$E24=""),"",IF(AND(((Özet!$C$4*12+2)-(YEAR(Ödemeler!$E24)*12+MONTH(Ödemeler!$E24)))&gt;=0,MOD(((Özet!$C$4*12+2)-(YEAR(Ödemeler!$E24)*12+MONTH(Ödemeler!$E24))),Ödemeler!$G24)=0,OR(Ödemeler!$F24="",DATE(Özet!$C$4,2,1)&lt;=Ödemeler!$F24)),Ödemeler!$C24,0))</f>
        <v/>
      </c>
      <c r="D25" s="36" t="str">
        <f aca="false">IF(OR(Ödemeler!$A24="",Ödemeler!$G24="",Ödemeler!$E24=""),"",IF(AND(((Özet!$C$4*12+3)-(YEAR(Ödemeler!$E24)*12+MONTH(Ödemeler!$E24)))&gt;=0,MOD(((Özet!$C$4*12+3)-(YEAR(Ödemeler!$E24)*12+MONTH(Ödemeler!$E24))),Ödemeler!$G24)=0,OR(Ödemeler!$F24="",DATE(Özet!$C$4,3,1)&lt;=Ödemeler!$F24)),Ödemeler!$C24,0))</f>
        <v/>
      </c>
      <c r="E25" s="36" t="str">
        <f aca="false">IF(OR(Ödemeler!$A24="",Ödemeler!$G24="",Ödemeler!$E24=""),"",IF(AND(((Özet!$C$4*12+4)-(YEAR(Ödemeler!$E24)*12+MONTH(Ödemeler!$E24)))&gt;=0,MOD(((Özet!$C$4*12+4)-(YEAR(Ödemeler!$E24)*12+MONTH(Ödemeler!$E24))),Ödemeler!$G24)=0,OR(Ödemeler!$F24="",DATE(Özet!$C$4,4,1)&lt;=Ödemeler!$F24)),Ödemeler!$C24,0))</f>
        <v/>
      </c>
      <c r="F25" s="36" t="str">
        <f aca="false">IF(OR(Ödemeler!$A24="",Ödemeler!$G24="",Ödemeler!$E24=""),"",IF(AND(((Özet!$C$4*12+5)-(YEAR(Ödemeler!$E24)*12+MONTH(Ödemeler!$E24)))&gt;=0,MOD(((Özet!$C$4*12+5)-(YEAR(Ödemeler!$E24)*12+MONTH(Ödemeler!$E24))),Ödemeler!$G24)=0,OR(Ödemeler!$F24="",DATE(Özet!$C$4,5,1)&lt;=Ödemeler!$F24)),Ödemeler!$C24,0))</f>
        <v/>
      </c>
      <c r="G25" s="36" t="str">
        <f aca="false">IF(OR(Ödemeler!$A24="",Ödemeler!$G24="",Ödemeler!$E24=""),"",IF(AND(((Özet!$C$4*12+6)-(YEAR(Ödemeler!$E24)*12+MONTH(Ödemeler!$E24)))&gt;=0,MOD(((Özet!$C$4*12+6)-(YEAR(Ödemeler!$E24)*12+MONTH(Ödemeler!$E24))),Ödemeler!$G24)=0,OR(Ödemeler!$F24="",DATE(Özet!$C$4,6,1)&lt;=Ödemeler!$F24)),Ödemeler!$C24,0))</f>
        <v/>
      </c>
      <c r="H25" s="36" t="str">
        <f aca="false">IF(OR(Ödemeler!$A24="",Ödemeler!$G24="",Ödemeler!$E24=""),"",IF(AND(((Özet!$C$4*12+7)-(YEAR(Ödemeler!$E24)*12+MONTH(Ödemeler!$E24)))&gt;=0,MOD(((Özet!$C$4*12+7)-(YEAR(Ödemeler!$E24)*12+MONTH(Ödemeler!$E24))),Ödemeler!$G24)=0,OR(Ödemeler!$F24="",DATE(Özet!$C$4,7,1)&lt;=Ödemeler!$F24)),Ödemeler!$C24,0))</f>
        <v/>
      </c>
      <c r="I25" s="36" t="str">
        <f aca="false">IF(OR(Ödemeler!$A24="",Ödemeler!$G24="",Ödemeler!$E24=""),"",IF(AND(((Özet!$C$4*12+8)-(YEAR(Ödemeler!$E24)*12+MONTH(Ödemeler!$E24)))&gt;=0,MOD(((Özet!$C$4*12+8)-(YEAR(Ödemeler!$E24)*12+MONTH(Ödemeler!$E24))),Ödemeler!$G24)=0,OR(Ödemeler!$F24="",DATE(Özet!$C$4,8,1)&lt;=Ödemeler!$F24)),Ödemeler!$C24,0))</f>
        <v/>
      </c>
      <c r="J25" s="36" t="str">
        <f aca="false">IF(OR(Ödemeler!$A24="",Ödemeler!$G24="",Ödemeler!$E24=""),"",IF(AND(((Özet!$C$4*12+9)-(YEAR(Ödemeler!$E24)*12+MONTH(Ödemeler!$E24)))&gt;=0,MOD(((Özet!$C$4*12+9)-(YEAR(Ödemeler!$E24)*12+MONTH(Ödemeler!$E24))),Ödemeler!$G24)=0,OR(Ödemeler!$F24="",DATE(Özet!$C$4,9,1)&lt;=Ödemeler!$F24)),Ödemeler!$C24,0))</f>
        <v/>
      </c>
      <c r="K25" s="36" t="str">
        <f aca="false">IF(OR(Ödemeler!$A24="",Ödemeler!$G24="",Ödemeler!$E24=""),"",IF(AND(((Özet!$C$4*12+10)-(YEAR(Ödemeler!$E24)*12+MONTH(Ödemeler!$E24)))&gt;=0,MOD(((Özet!$C$4*12+10)-(YEAR(Ödemeler!$E24)*12+MONTH(Ödemeler!$E24))),Ödemeler!$G24)=0,OR(Ödemeler!$F24="",DATE(Özet!$C$4,10,1)&lt;=Ödemeler!$F24)),Ödemeler!$C24,0))</f>
        <v/>
      </c>
      <c r="L25" s="36" t="str">
        <f aca="false">IF(OR(Ödemeler!$A24="",Ödemeler!$G24="",Ödemeler!$E24=""),"",IF(AND(((Özet!$C$4*12+11)-(YEAR(Ödemeler!$E24)*12+MONTH(Ödemeler!$E24)))&gt;=0,MOD(((Özet!$C$4*12+11)-(YEAR(Ödemeler!$E24)*12+MONTH(Ödemeler!$E24))),Ödemeler!$G24)=0,OR(Ödemeler!$F24="",DATE(Özet!$C$4,11,1)&lt;=Ödemeler!$F24)),Ödemeler!$C24,0))</f>
        <v/>
      </c>
      <c r="M25" s="36" t="str">
        <f aca="false">IF(OR(Ödemeler!$A24="",Ödemeler!$G24="",Ödemeler!$E24=""),"",IF(AND(((Özet!$C$4*12+12)-(YEAR(Ödemeler!$E24)*12+MONTH(Ödemeler!$E24)))&gt;=0,MOD(((Özet!$C$4*12+12)-(YEAR(Ödemeler!$E24)*12+MONTH(Ödemeler!$E24))),Ödemeler!$G24)=0,OR(Ödemeler!$F24="",DATE(Özet!$C$4,12,1)&lt;=Ödemeler!$F24)),Ödemeler!$C24,0))</f>
        <v/>
      </c>
      <c r="N25" s="36" t="str">
        <f aca="false">IF(COUNT(B25:M25)=0,"",SUM(B25:M25))</f>
        <v/>
      </c>
    </row>
    <row r="26" customFormat="false" ht="15" hidden="false" customHeight="false" outlineLevel="0" collapsed="false">
      <c r="A26" s="30" t="str">
        <f aca="false">IF(Ödemeler!A25="","",Ödemeler!A25)</f>
        <v/>
      </c>
      <c r="B26" s="37" t="str">
        <f aca="false">IF(OR(Ödemeler!$A25="",Ödemeler!$G25="",Ödemeler!$E25=""),"",IF(AND(((Özet!$C$4*12+1)-(YEAR(Ödemeler!$E25)*12+MONTH(Ödemeler!$E25)))&gt;=0,MOD(((Özet!$C$4*12+1)-(YEAR(Ödemeler!$E25)*12+MONTH(Ödemeler!$E25))),Ödemeler!$G25)=0,OR(Ödemeler!$F25="",DATE(Özet!$C$4,1,1)&lt;=Ödemeler!$F25)),Ödemeler!$C25,0))</f>
        <v/>
      </c>
      <c r="C26" s="37" t="str">
        <f aca="false">IF(OR(Ödemeler!$A25="",Ödemeler!$G25="",Ödemeler!$E25=""),"",IF(AND(((Özet!$C$4*12+2)-(YEAR(Ödemeler!$E25)*12+MONTH(Ödemeler!$E25)))&gt;=0,MOD(((Özet!$C$4*12+2)-(YEAR(Ödemeler!$E25)*12+MONTH(Ödemeler!$E25))),Ödemeler!$G25)=0,OR(Ödemeler!$F25="",DATE(Özet!$C$4,2,1)&lt;=Ödemeler!$F25)),Ödemeler!$C25,0))</f>
        <v/>
      </c>
      <c r="D26" s="37" t="str">
        <f aca="false">IF(OR(Ödemeler!$A25="",Ödemeler!$G25="",Ödemeler!$E25=""),"",IF(AND(((Özet!$C$4*12+3)-(YEAR(Ödemeler!$E25)*12+MONTH(Ödemeler!$E25)))&gt;=0,MOD(((Özet!$C$4*12+3)-(YEAR(Ödemeler!$E25)*12+MONTH(Ödemeler!$E25))),Ödemeler!$G25)=0,OR(Ödemeler!$F25="",DATE(Özet!$C$4,3,1)&lt;=Ödemeler!$F25)),Ödemeler!$C25,0))</f>
        <v/>
      </c>
      <c r="E26" s="37" t="str">
        <f aca="false">IF(OR(Ödemeler!$A25="",Ödemeler!$G25="",Ödemeler!$E25=""),"",IF(AND(((Özet!$C$4*12+4)-(YEAR(Ödemeler!$E25)*12+MONTH(Ödemeler!$E25)))&gt;=0,MOD(((Özet!$C$4*12+4)-(YEAR(Ödemeler!$E25)*12+MONTH(Ödemeler!$E25))),Ödemeler!$G25)=0,OR(Ödemeler!$F25="",DATE(Özet!$C$4,4,1)&lt;=Ödemeler!$F25)),Ödemeler!$C25,0))</f>
        <v/>
      </c>
      <c r="F26" s="37" t="str">
        <f aca="false">IF(OR(Ödemeler!$A25="",Ödemeler!$G25="",Ödemeler!$E25=""),"",IF(AND(((Özet!$C$4*12+5)-(YEAR(Ödemeler!$E25)*12+MONTH(Ödemeler!$E25)))&gt;=0,MOD(((Özet!$C$4*12+5)-(YEAR(Ödemeler!$E25)*12+MONTH(Ödemeler!$E25))),Ödemeler!$G25)=0,OR(Ödemeler!$F25="",DATE(Özet!$C$4,5,1)&lt;=Ödemeler!$F25)),Ödemeler!$C25,0))</f>
        <v/>
      </c>
      <c r="G26" s="37" t="str">
        <f aca="false">IF(OR(Ödemeler!$A25="",Ödemeler!$G25="",Ödemeler!$E25=""),"",IF(AND(((Özet!$C$4*12+6)-(YEAR(Ödemeler!$E25)*12+MONTH(Ödemeler!$E25)))&gt;=0,MOD(((Özet!$C$4*12+6)-(YEAR(Ödemeler!$E25)*12+MONTH(Ödemeler!$E25))),Ödemeler!$G25)=0,OR(Ödemeler!$F25="",DATE(Özet!$C$4,6,1)&lt;=Ödemeler!$F25)),Ödemeler!$C25,0))</f>
        <v/>
      </c>
      <c r="H26" s="37" t="str">
        <f aca="false">IF(OR(Ödemeler!$A25="",Ödemeler!$G25="",Ödemeler!$E25=""),"",IF(AND(((Özet!$C$4*12+7)-(YEAR(Ödemeler!$E25)*12+MONTH(Ödemeler!$E25)))&gt;=0,MOD(((Özet!$C$4*12+7)-(YEAR(Ödemeler!$E25)*12+MONTH(Ödemeler!$E25))),Ödemeler!$G25)=0,OR(Ödemeler!$F25="",DATE(Özet!$C$4,7,1)&lt;=Ödemeler!$F25)),Ödemeler!$C25,0))</f>
        <v/>
      </c>
      <c r="I26" s="37" t="str">
        <f aca="false">IF(OR(Ödemeler!$A25="",Ödemeler!$G25="",Ödemeler!$E25=""),"",IF(AND(((Özet!$C$4*12+8)-(YEAR(Ödemeler!$E25)*12+MONTH(Ödemeler!$E25)))&gt;=0,MOD(((Özet!$C$4*12+8)-(YEAR(Ödemeler!$E25)*12+MONTH(Ödemeler!$E25))),Ödemeler!$G25)=0,OR(Ödemeler!$F25="",DATE(Özet!$C$4,8,1)&lt;=Ödemeler!$F25)),Ödemeler!$C25,0))</f>
        <v/>
      </c>
      <c r="J26" s="37" t="str">
        <f aca="false">IF(OR(Ödemeler!$A25="",Ödemeler!$G25="",Ödemeler!$E25=""),"",IF(AND(((Özet!$C$4*12+9)-(YEAR(Ödemeler!$E25)*12+MONTH(Ödemeler!$E25)))&gt;=0,MOD(((Özet!$C$4*12+9)-(YEAR(Ödemeler!$E25)*12+MONTH(Ödemeler!$E25))),Ödemeler!$G25)=0,OR(Ödemeler!$F25="",DATE(Özet!$C$4,9,1)&lt;=Ödemeler!$F25)),Ödemeler!$C25,0))</f>
        <v/>
      </c>
      <c r="K26" s="37" t="str">
        <f aca="false">IF(OR(Ödemeler!$A25="",Ödemeler!$G25="",Ödemeler!$E25=""),"",IF(AND(((Özet!$C$4*12+10)-(YEAR(Ödemeler!$E25)*12+MONTH(Ödemeler!$E25)))&gt;=0,MOD(((Özet!$C$4*12+10)-(YEAR(Ödemeler!$E25)*12+MONTH(Ödemeler!$E25))),Ödemeler!$G25)=0,OR(Ödemeler!$F25="",DATE(Özet!$C$4,10,1)&lt;=Ödemeler!$F25)),Ödemeler!$C25,0))</f>
        <v/>
      </c>
      <c r="L26" s="37" t="str">
        <f aca="false">IF(OR(Ödemeler!$A25="",Ödemeler!$G25="",Ödemeler!$E25=""),"",IF(AND(((Özet!$C$4*12+11)-(YEAR(Ödemeler!$E25)*12+MONTH(Ödemeler!$E25)))&gt;=0,MOD(((Özet!$C$4*12+11)-(YEAR(Ödemeler!$E25)*12+MONTH(Ödemeler!$E25))),Ödemeler!$G25)=0,OR(Ödemeler!$F25="",DATE(Özet!$C$4,11,1)&lt;=Ödemeler!$F25)),Ödemeler!$C25,0))</f>
        <v/>
      </c>
      <c r="M26" s="37" t="str">
        <f aca="false">IF(OR(Ödemeler!$A25="",Ödemeler!$G25="",Ödemeler!$E25=""),"",IF(AND(((Özet!$C$4*12+12)-(YEAR(Ödemeler!$E25)*12+MONTH(Ödemeler!$E25)))&gt;=0,MOD(((Özet!$C$4*12+12)-(YEAR(Ödemeler!$E25)*12+MONTH(Ödemeler!$E25))),Ödemeler!$G25)=0,OR(Ödemeler!$F25="",DATE(Özet!$C$4,12,1)&lt;=Ödemeler!$F25)),Ödemeler!$C25,0))</f>
        <v/>
      </c>
      <c r="N26" s="37" t="str">
        <f aca="false">IF(COUNT(B26:M26)=0,"",SUM(B26:M26))</f>
        <v/>
      </c>
    </row>
    <row r="27" customFormat="false" ht="15" hidden="false" customHeight="false" outlineLevel="0" collapsed="false">
      <c r="A27" s="16" t="str">
        <f aca="false">IF(Ödemeler!A26="","",Ödemeler!A26)</f>
        <v/>
      </c>
      <c r="B27" s="36" t="str">
        <f aca="false">IF(OR(Ödemeler!$A26="",Ödemeler!$G26="",Ödemeler!$E26=""),"",IF(AND(((Özet!$C$4*12+1)-(YEAR(Ödemeler!$E26)*12+MONTH(Ödemeler!$E26)))&gt;=0,MOD(((Özet!$C$4*12+1)-(YEAR(Ödemeler!$E26)*12+MONTH(Ödemeler!$E26))),Ödemeler!$G26)=0,OR(Ödemeler!$F26="",DATE(Özet!$C$4,1,1)&lt;=Ödemeler!$F26)),Ödemeler!$C26,0))</f>
        <v/>
      </c>
      <c r="C27" s="36" t="str">
        <f aca="false">IF(OR(Ödemeler!$A26="",Ödemeler!$G26="",Ödemeler!$E26=""),"",IF(AND(((Özet!$C$4*12+2)-(YEAR(Ödemeler!$E26)*12+MONTH(Ödemeler!$E26)))&gt;=0,MOD(((Özet!$C$4*12+2)-(YEAR(Ödemeler!$E26)*12+MONTH(Ödemeler!$E26))),Ödemeler!$G26)=0,OR(Ödemeler!$F26="",DATE(Özet!$C$4,2,1)&lt;=Ödemeler!$F26)),Ödemeler!$C26,0))</f>
        <v/>
      </c>
      <c r="D27" s="36" t="str">
        <f aca="false">IF(OR(Ödemeler!$A26="",Ödemeler!$G26="",Ödemeler!$E26=""),"",IF(AND(((Özet!$C$4*12+3)-(YEAR(Ödemeler!$E26)*12+MONTH(Ödemeler!$E26)))&gt;=0,MOD(((Özet!$C$4*12+3)-(YEAR(Ödemeler!$E26)*12+MONTH(Ödemeler!$E26))),Ödemeler!$G26)=0,OR(Ödemeler!$F26="",DATE(Özet!$C$4,3,1)&lt;=Ödemeler!$F26)),Ödemeler!$C26,0))</f>
        <v/>
      </c>
      <c r="E27" s="36" t="str">
        <f aca="false">IF(OR(Ödemeler!$A26="",Ödemeler!$G26="",Ödemeler!$E26=""),"",IF(AND(((Özet!$C$4*12+4)-(YEAR(Ödemeler!$E26)*12+MONTH(Ödemeler!$E26)))&gt;=0,MOD(((Özet!$C$4*12+4)-(YEAR(Ödemeler!$E26)*12+MONTH(Ödemeler!$E26))),Ödemeler!$G26)=0,OR(Ödemeler!$F26="",DATE(Özet!$C$4,4,1)&lt;=Ödemeler!$F26)),Ödemeler!$C26,0))</f>
        <v/>
      </c>
      <c r="F27" s="36" t="str">
        <f aca="false">IF(OR(Ödemeler!$A26="",Ödemeler!$G26="",Ödemeler!$E26=""),"",IF(AND(((Özet!$C$4*12+5)-(YEAR(Ödemeler!$E26)*12+MONTH(Ödemeler!$E26)))&gt;=0,MOD(((Özet!$C$4*12+5)-(YEAR(Ödemeler!$E26)*12+MONTH(Ödemeler!$E26))),Ödemeler!$G26)=0,OR(Ödemeler!$F26="",DATE(Özet!$C$4,5,1)&lt;=Ödemeler!$F26)),Ödemeler!$C26,0))</f>
        <v/>
      </c>
      <c r="G27" s="36" t="str">
        <f aca="false">IF(OR(Ödemeler!$A26="",Ödemeler!$G26="",Ödemeler!$E26=""),"",IF(AND(((Özet!$C$4*12+6)-(YEAR(Ödemeler!$E26)*12+MONTH(Ödemeler!$E26)))&gt;=0,MOD(((Özet!$C$4*12+6)-(YEAR(Ödemeler!$E26)*12+MONTH(Ödemeler!$E26))),Ödemeler!$G26)=0,OR(Ödemeler!$F26="",DATE(Özet!$C$4,6,1)&lt;=Ödemeler!$F26)),Ödemeler!$C26,0))</f>
        <v/>
      </c>
      <c r="H27" s="36" t="str">
        <f aca="false">IF(OR(Ödemeler!$A26="",Ödemeler!$G26="",Ödemeler!$E26=""),"",IF(AND(((Özet!$C$4*12+7)-(YEAR(Ödemeler!$E26)*12+MONTH(Ödemeler!$E26)))&gt;=0,MOD(((Özet!$C$4*12+7)-(YEAR(Ödemeler!$E26)*12+MONTH(Ödemeler!$E26))),Ödemeler!$G26)=0,OR(Ödemeler!$F26="",DATE(Özet!$C$4,7,1)&lt;=Ödemeler!$F26)),Ödemeler!$C26,0))</f>
        <v/>
      </c>
      <c r="I27" s="36" t="str">
        <f aca="false">IF(OR(Ödemeler!$A26="",Ödemeler!$G26="",Ödemeler!$E26=""),"",IF(AND(((Özet!$C$4*12+8)-(YEAR(Ödemeler!$E26)*12+MONTH(Ödemeler!$E26)))&gt;=0,MOD(((Özet!$C$4*12+8)-(YEAR(Ödemeler!$E26)*12+MONTH(Ödemeler!$E26))),Ödemeler!$G26)=0,OR(Ödemeler!$F26="",DATE(Özet!$C$4,8,1)&lt;=Ödemeler!$F26)),Ödemeler!$C26,0))</f>
        <v/>
      </c>
      <c r="J27" s="36" t="str">
        <f aca="false">IF(OR(Ödemeler!$A26="",Ödemeler!$G26="",Ödemeler!$E26=""),"",IF(AND(((Özet!$C$4*12+9)-(YEAR(Ödemeler!$E26)*12+MONTH(Ödemeler!$E26)))&gt;=0,MOD(((Özet!$C$4*12+9)-(YEAR(Ödemeler!$E26)*12+MONTH(Ödemeler!$E26))),Ödemeler!$G26)=0,OR(Ödemeler!$F26="",DATE(Özet!$C$4,9,1)&lt;=Ödemeler!$F26)),Ödemeler!$C26,0))</f>
        <v/>
      </c>
      <c r="K27" s="36" t="str">
        <f aca="false">IF(OR(Ödemeler!$A26="",Ödemeler!$G26="",Ödemeler!$E26=""),"",IF(AND(((Özet!$C$4*12+10)-(YEAR(Ödemeler!$E26)*12+MONTH(Ödemeler!$E26)))&gt;=0,MOD(((Özet!$C$4*12+10)-(YEAR(Ödemeler!$E26)*12+MONTH(Ödemeler!$E26))),Ödemeler!$G26)=0,OR(Ödemeler!$F26="",DATE(Özet!$C$4,10,1)&lt;=Ödemeler!$F26)),Ödemeler!$C26,0))</f>
        <v/>
      </c>
      <c r="L27" s="36" t="str">
        <f aca="false">IF(OR(Ödemeler!$A26="",Ödemeler!$G26="",Ödemeler!$E26=""),"",IF(AND(((Özet!$C$4*12+11)-(YEAR(Ödemeler!$E26)*12+MONTH(Ödemeler!$E26)))&gt;=0,MOD(((Özet!$C$4*12+11)-(YEAR(Ödemeler!$E26)*12+MONTH(Ödemeler!$E26))),Ödemeler!$G26)=0,OR(Ödemeler!$F26="",DATE(Özet!$C$4,11,1)&lt;=Ödemeler!$F26)),Ödemeler!$C26,0))</f>
        <v/>
      </c>
      <c r="M27" s="36" t="str">
        <f aca="false">IF(OR(Ödemeler!$A26="",Ödemeler!$G26="",Ödemeler!$E26=""),"",IF(AND(((Özet!$C$4*12+12)-(YEAR(Ödemeler!$E26)*12+MONTH(Ödemeler!$E26)))&gt;=0,MOD(((Özet!$C$4*12+12)-(YEAR(Ödemeler!$E26)*12+MONTH(Ödemeler!$E26))),Ödemeler!$G26)=0,OR(Ödemeler!$F26="",DATE(Özet!$C$4,12,1)&lt;=Ödemeler!$F26)),Ödemeler!$C26,0))</f>
        <v/>
      </c>
      <c r="N27" s="36" t="str">
        <f aca="false">IF(COUNT(B27:M27)=0,"",SUM(B27:M27))</f>
        <v/>
      </c>
    </row>
    <row r="28" customFormat="false" ht="15" hidden="false" customHeight="false" outlineLevel="0" collapsed="false">
      <c r="A28" s="30" t="str">
        <f aca="false">IF(Ödemeler!A27="","",Ödemeler!A27)</f>
        <v/>
      </c>
      <c r="B28" s="37" t="str">
        <f aca="false">IF(OR(Ödemeler!$A27="",Ödemeler!$G27="",Ödemeler!$E27=""),"",IF(AND(((Özet!$C$4*12+1)-(YEAR(Ödemeler!$E27)*12+MONTH(Ödemeler!$E27)))&gt;=0,MOD(((Özet!$C$4*12+1)-(YEAR(Ödemeler!$E27)*12+MONTH(Ödemeler!$E27))),Ödemeler!$G27)=0,OR(Ödemeler!$F27="",DATE(Özet!$C$4,1,1)&lt;=Ödemeler!$F27)),Ödemeler!$C27,0))</f>
        <v/>
      </c>
      <c r="C28" s="37" t="str">
        <f aca="false">IF(OR(Ödemeler!$A27="",Ödemeler!$G27="",Ödemeler!$E27=""),"",IF(AND(((Özet!$C$4*12+2)-(YEAR(Ödemeler!$E27)*12+MONTH(Ödemeler!$E27)))&gt;=0,MOD(((Özet!$C$4*12+2)-(YEAR(Ödemeler!$E27)*12+MONTH(Ödemeler!$E27))),Ödemeler!$G27)=0,OR(Ödemeler!$F27="",DATE(Özet!$C$4,2,1)&lt;=Ödemeler!$F27)),Ödemeler!$C27,0))</f>
        <v/>
      </c>
      <c r="D28" s="37" t="str">
        <f aca="false">IF(OR(Ödemeler!$A27="",Ödemeler!$G27="",Ödemeler!$E27=""),"",IF(AND(((Özet!$C$4*12+3)-(YEAR(Ödemeler!$E27)*12+MONTH(Ödemeler!$E27)))&gt;=0,MOD(((Özet!$C$4*12+3)-(YEAR(Ödemeler!$E27)*12+MONTH(Ödemeler!$E27))),Ödemeler!$G27)=0,OR(Ödemeler!$F27="",DATE(Özet!$C$4,3,1)&lt;=Ödemeler!$F27)),Ödemeler!$C27,0))</f>
        <v/>
      </c>
      <c r="E28" s="37" t="str">
        <f aca="false">IF(OR(Ödemeler!$A27="",Ödemeler!$G27="",Ödemeler!$E27=""),"",IF(AND(((Özet!$C$4*12+4)-(YEAR(Ödemeler!$E27)*12+MONTH(Ödemeler!$E27)))&gt;=0,MOD(((Özet!$C$4*12+4)-(YEAR(Ödemeler!$E27)*12+MONTH(Ödemeler!$E27))),Ödemeler!$G27)=0,OR(Ödemeler!$F27="",DATE(Özet!$C$4,4,1)&lt;=Ödemeler!$F27)),Ödemeler!$C27,0))</f>
        <v/>
      </c>
      <c r="F28" s="37" t="str">
        <f aca="false">IF(OR(Ödemeler!$A27="",Ödemeler!$G27="",Ödemeler!$E27=""),"",IF(AND(((Özet!$C$4*12+5)-(YEAR(Ödemeler!$E27)*12+MONTH(Ödemeler!$E27)))&gt;=0,MOD(((Özet!$C$4*12+5)-(YEAR(Ödemeler!$E27)*12+MONTH(Ödemeler!$E27))),Ödemeler!$G27)=0,OR(Ödemeler!$F27="",DATE(Özet!$C$4,5,1)&lt;=Ödemeler!$F27)),Ödemeler!$C27,0))</f>
        <v/>
      </c>
      <c r="G28" s="37" t="str">
        <f aca="false">IF(OR(Ödemeler!$A27="",Ödemeler!$G27="",Ödemeler!$E27=""),"",IF(AND(((Özet!$C$4*12+6)-(YEAR(Ödemeler!$E27)*12+MONTH(Ödemeler!$E27)))&gt;=0,MOD(((Özet!$C$4*12+6)-(YEAR(Ödemeler!$E27)*12+MONTH(Ödemeler!$E27))),Ödemeler!$G27)=0,OR(Ödemeler!$F27="",DATE(Özet!$C$4,6,1)&lt;=Ödemeler!$F27)),Ödemeler!$C27,0))</f>
        <v/>
      </c>
      <c r="H28" s="37" t="str">
        <f aca="false">IF(OR(Ödemeler!$A27="",Ödemeler!$G27="",Ödemeler!$E27=""),"",IF(AND(((Özet!$C$4*12+7)-(YEAR(Ödemeler!$E27)*12+MONTH(Ödemeler!$E27)))&gt;=0,MOD(((Özet!$C$4*12+7)-(YEAR(Ödemeler!$E27)*12+MONTH(Ödemeler!$E27))),Ödemeler!$G27)=0,OR(Ödemeler!$F27="",DATE(Özet!$C$4,7,1)&lt;=Ödemeler!$F27)),Ödemeler!$C27,0))</f>
        <v/>
      </c>
      <c r="I28" s="37" t="str">
        <f aca="false">IF(OR(Ödemeler!$A27="",Ödemeler!$G27="",Ödemeler!$E27=""),"",IF(AND(((Özet!$C$4*12+8)-(YEAR(Ödemeler!$E27)*12+MONTH(Ödemeler!$E27)))&gt;=0,MOD(((Özet!$C$4*12+8)-(YEAR(Ödemeler!$E27)*12+MONTH(Ödemeler!$E27))),Ödemeler!$G27)=0,OR(Ödemeler!$F27="",DATE(Özet!$C$4,8,1)&lt;=Ödemeler!$F27)),Ödemeler!$C27,0))</f>
        <v/>
      </c>
      <c r="J28" s="37" t="str">
        <f aca="false">IF(OR(Ödemeler!$A27="",Ödemeler!$G27="",Ödemeler!$E27=""),"",IF(AND(((Özet!$C$4*12+9)-(YEAR(Ödemeler!$E27)*12+MONTH(Ödemeler!$E27)))&gt;=0,MOD(((Özet!$C$4*12+9)-(YEAR(Ödemeler!$E27)*12+MONTH(Ödemeler!$E27))),Ödemeler!$G27)=0,OR(Ödemeler!$F27="",DATE(Özet!$C$4,9,1)&lt;=Ödemeler!$F27)),Ödemeler!$C27,0))</f>
        <v/>
      </c>
      <c r="K28" s="37" t="str">
        <f aca="false">IF(OR(Ödemeler!$A27="",Ödemeler!$G27="",Ödemeler!$E27=""),"",IF(AND(((Özet!$C$4*12+10)-(YEAR(Ödemeler!$E27)*12+MONTH(Ödemeler!$E27)))&gt;=0,MOD(((Özet!$C$4*12+10)-(YEAR(Ödemeler!$E27)*12+MONTH(Ödemeler!$E27))),Ödemeler!$G27)=0,OR(Ödemeler!$F27="",DATE(Özet!$C$4,10,1)&lt;=Ödemeler!$F27)),Ödemeler!$C27,0))</f>
        <v/>
      </c>
      <c r="L28" s="37" t="str">
        <f aca="false">IF(OR(Ödemeler!$A27="",Ödemeler!$G27="",Ödemeler!$E27=""),"",IF(AND(((Özet!$C$4*12+11)-(YEAR(Ödemeler!$E27)*12+MONTH(Ödemeler!$E27)))&gt;=0,MOD(((Özet!$C$4*12+11)-(YEAR(Ödemeler!$E27)*12+MONTH(Ödemeler!$E27))),Ödemeler!$G27)=0,OR(Ödemeler!$F27="",DATE(Özet!$C$4,11,1)&lt;=Ödemeler!$F27)),Ödemeler!$C27,0))</f>
        <v/>
      </c>
      <c r="M28" s="37" t="str">
        <f aca="false">IF(OR(Ödemeler!$A27="",Ödemeler!$G27="",Ödemeler!$E27=""),"",IF(AND(((Özet!$C$4*12+12)-(YEAR(Ödemeler!$E27)*12+MONTH(Ödemeler!$E27)))&gt;=0,MOD(((Özet!$C$4*12+12)-(YEAR(Ödemeler!$E27)*12+MONTH(Ödemeler!$E27))),Ödemeler!$G27)=0,OR(Ödemeler!$F27="",DATE(Özet!$C$4,12,1)&lt;=Ödemeler!$F27)),Ödemeler!$C27,0))</f>
        <v/>
      </c>
      <c r="N28" s="37" t="str">
        <f aca="false">IF(COUNT(B28:M28)=0,"",SUM(B28:M28))</f>
        <v/>
      </c>
    </row>
    <row r="29" customFormat="false" ht="15" hidden="false" customHeight="false" outlineLevel="0" collapsed="false">
      <c r="A29" s="16" t="str">
        <f aca="false">IF(Ödemeler!A28="","",Ödemeler!A28)</f>
        <v/>
      </c>
      <c r="B29" s="36" t="str">
        <f aca="false">IF(OR(Ödemeler!$A28="",Ödemeler!$G28="",Ödemeler!$E28=""),"",IF(AND(((Özet!$C$4*12+1)-(YEAR(Ödemeler!$E28)*12+MONTH(Ödemeler!$E28)))&gt;=0,MOD(((Özet!$C$4*12+1)-(YEAR(Ödemeler!$E28)*12+MONTH(Ödemeler!$E28))),Ödemeler!$G28)=0,OR(Ödemeler!$F28="",DATE(Özet!$C$4,1,1)&lt;=Ödemeler!$F28)),Ödemeler!$C28,0))</f>
        <v/>
      </c>
      <c r="C29" s="36" t="str">
        <f aca="false">IF(OR(Ödemeler!$A28="",Ödemeler!$G28="",Ödemeler!$E28=""),"",IF(AND(((Özet!$C$4*12+2)-(YEAR(Ödemeler!$E28)*12+MONTH(Ödemeler!$E28)))&gt;=0,MOD(((Özet!$C$4*12+2)-(YEAR(Ödemeler!$E28)*12+MONTH(Ödemeler!$E28))),Ödemeler!$G28)=0,OR(Ödemeler!$F28="",DATE(Özet!$C$4,2,1)&lt;=Ödemeler!$F28)),Ödemeler!$C28,0))</f>
        <v/>
      </c>
      <c r="D29" s="36" t="str">
        <f aca="false">IF(OR(Ödemeler!$A28="",Ödemeler!$G28="",Ödemeler!$E28=""),"",IF(AND(((Özet!$C$4*12+3)-(YEAR(Ödemeler!$E28)*12+MONTH(Ödemeler!$E28)))&gt;=0,MOD(((Özet!$C$4*12+3)-(YEAR(Ödemeler!$E28)*12+MONTH(Ödemeler!$E28))),Ödemeler!$G28)=0,OR(Ödemeler!$F28="",DATE(Özet!$C$4,3,1)&lt;=Ödemeler!$F28)),Ödemeler!$C28,0))</f>
        <v/>
      </c>
      <c r="E29" s="36" t="str">
        <f aca="false">IF(OR(Ödemeler!$A28="",Ödemeler!$G28="",Ödemeler!$E28=""),"",IF(AND(((Özet!$C$4*12+4)-(YEAR(Ödemeler!$E28)*12+MONTH(Ödemeler!$E28)))&gt;=0,MOD(((Özet!$C$4*12+4)-(YEAR(Ödemeler!$E28)*12+MONTH(Ödemeler!$E28))),Ödemeler!$G28)=0,OR(Ödemeler!$F28="",DATE(Özet!$C$4,4,1)&lt;=Ödemeler!$F28)),Ödemeler!$C28,0))</f>
        <v/>
      </c>
      <c r="F29" s="36" t="str">
        <f aca="false">IF(OR(Ödemeler!$A28="",Ödemeler!$G28="",Ödemeler!$E28=""),"",IF(AND(((Özet!$C$4*12+5)-(YEAR(Ödemeler!$E28)*12+MONTH(Ödemeler!$E28)))&gt;=0,MOD(((Özet!$C$4*12+5)-(YEAR(Ödemeler!$E28)*12+MONTH(Ödemeler!$E28))),Ödemeler!$G28)=0,OR(Ödemeler!$F28="",DATE(Özet!$C$4,5,1)&lt;=Ödemeler!$F28)),Ödemeler!$C28,0))</f>
        <v/>
      </c>
      <c r="G29" s="36" t="str">
        <f aca="false">IF(OR(Ödemeler!$A28="",Ödemeler!$G28="",Ödemeler!$E28=""),"",IF(AND(((Özet!$C$4*12+6)-(YEAR(Ödemeler!$E28)*12+MONTH(Ödemeler!$E28)))&gt;=0,MOD(((Özet!$C$4*12+6)-(YEAR(Ödemeler!$E28)*12+MONTH(Ödemeler!$E28))),Ödemeler!$G28)=0,OR(Ödemeler!$F28="",DATE(Özet!$C$4,6,1)&lt;=Ödemeler!$F28)),Ödemeler!$C28,0))</f>
        <v/>
      </c>
      <c r="H29" s="36" t="str">
        <f aca="false">IF(OR(Ödemeler!$A28="",Ödemeler!$G28="",Ödemeler!$E28=""),"",IF(AND(((Özet!$C$4*12+7)-(YEAR(Ödemeler!$E28)*12+MONTH(Ödemeler!$E28)))&gt;=0,MOD(((Özet!$C$4*12+7)-(YEAR(Ödemeler!$E28)*12+MONTH(Ödemeler!$E28))),Ödemeler!$G28)=0,OR(Ödemeler!$F28="",DATE(Özet!$C$4,7,1)&lt;=Ödemeler!$F28)),Ödemeler!$C28,0))</f>
        <v/>
      </c>
      <c r="I29" s="36" t="str">
        <f aca="false">IF(OR(Ödemeler!$A28="",Ödemeler!$G28="",Ödemeler!$E28=""),"",IF(AND(((Özet!$C$4*12+8)-(YEAR(Ödemeler!$E28)*12+MONTH(Ödemeler!$E28)))&gt;=0,MOD(((Özet!$C$4*12+8)-(YEAR(Ödemeler!$E28)*12+MONTH(Ödemeler!$E28))),Ödemeler!$G28)=0,OR(Ödemeler!$F28="",DATE(Özet!$C$4,8,1)&lt;=Ödemeler!$F28)),Ödemeler!$C28,0))</f>
        <v/>
      </c>
      <c r="J29" s="36" t="str">
        <f aca="false">IF(OR(Ödemeler!$A28="",Ödemeler!$G28="",Ödemeler!$E28=""),"",IF(AND(((Özet!$C$4*12+9)-(YEAR(Ödemeler!$E28)*12+MONTH(Ödemeler!$E28)))&gt;=0,MOD(((Özet!$C$4*12+9)-(YEAR(Ödemeler!$E28)*12+MONTH(Ödemeler!$E28))),Ödemeler!$G28)=0,OR(Ödemeler!$F28="",DATE(Özet!$C$4,9,1)&lt;=Ödemeler!$F28)),Ödemeler!$C28,0))</f>
        <v/>
      </c>
      <c r="K29" s="36" t="str">
        <f aca="false">IF(OR(Ödemeler!$A28="",Ödemeler!$G28="",Ödemeler!$E28=""),"",IF(AND(((Özet!$C$4*12+10)-(YEAR(Ödemeler!$E28)*12+MONTH(Ödemeler!$E28)))&gt;=0,MOD(((Özet!$C$4*12+10)-(YEAR(Ödemeler!$E28)*12+MONTH(Ödemeler!$E28))),Ödemeler!$G28)=0,OR(Ödemeler!$F28="",DATE(Özet!$C$4,10,1)&lt;=Ödemeler!$F28)),Ödemeler!$C28,0))</f>
        <v/>
      </c>
      <c r="L29" s="36" t="str">
        <f aca="false">IF(OR(Ödemeler!$A28="",Ödemeler!$G28="",Ödemeler!$E28=""),"",IF(AND(((Özet!$C$4*12+11)-(YEAR(Ödemeler!$E28)*12+MONTH(Ödemeler!$E28)))&gt;=0,MOD(((Özet!$C$4*12+11)-(YEAR(Ödemeler!$E28)*12+MONTH(Ödemeler!$E28))),Ödemeler!$G28)=0,OR(Ödemeler!$F28="",DATE(Özet!$C$4,11,1)&lt;=Ödemeler!$F28)),Ödemeler!$C28,0))</f>
        <v/>
      </c>
      <c r="M29" s="36" t="str">
        <f aca="false">IF(OR(Ödemeler!$A28="",Ödemeler!$G28="",Ödemeler!$E28=""),"",IF(AND(((Özet!$C$4*12+12)-(YEAR(Ödemeler!$E28)*12+MONTH(Ödemeler!$E28)))&gt;=0,MOD(((Özet!$C$4*12+12)-(YEAR(Ödemeler!$E28)*12+MONTH(Ödemeler!$E28))),Ödemeler!$G28)=0,OR(Ödemeler!$F28="",DATE(Özet!$C$4,12,1)&lt;=Ödemeler!$F28)),Ödemeler!$C28,0))</f>
        <v/>
      </c>
      <c r="N29" s="36" t="str">
        <f aca="false">IF(COUNT(B29:M29)=0,"",SUM(B29:M29))</f>
        <v/>
      </c>
    </row>
    <row r="30" customFormat="false" ht="15" hidden="false" customHeight="false" outlineLevel="0" collapsed="false">
      <c r="A30" s="30" t="str">
        <f aca="false">IF(Ödemeler!A29="","",Ödemeler!A29)</f>
        <v/>
      </c>
      <c r="B30" s="37" t="str">
        <f aca="false">IF(OR(Ödemeler!$A29="",Ödemeler!$G29="",Ödemeler!$E29=""),"",IF(AND(((Özet!$C$4*12+1)-(YEAR(Ödemeler!$E29)*12+MONTH(Ödemeler!$E29)))&gt;=0,MOD(((Özet!$C$4*12+1)-(YEAR(Ödemeler!$E29)*12+MONTH(Ödemeler!$E29))),Ödemeler!$G29)=0,OR(Ödemeler!$F29="",DATE(Özet!$C$4,1,1)&lt;=Ödemeler!$F29)),Ödemeler!$C29,0))</f>
        <v/>
      </c>
      <c r="C30" s="37" t="str">
        <f aca="false">IF(OR(Ödemeler!$A29="",Ödemeler!$G29="",Ödemeler!$E29=""),"",IF(AND(((Özet!$C$4*12+2)-(YEAR(Ödemeler!$E29)*12+MONTH(Ödemeler!$E29)))&gt;=0,MOD(((Özet!$C$4*12+2)-(YEAR(Ödemeler!$E29)*12+MONTH(Ödemeler!$E29))),Ödemeler!$G29)=0,OR(Ödemeler!$F29="",DATE(Özet!$C$4,2,1)&lt;=Ödemeler!$F29)),Ödemeler!$C29,0))</f>
        <v/>
      </c>
      <c r="D30" s="37" t="str">
        <f aca="false">IF(OR(Ödemeler!$A29="",Ödemeler!$G29="",Ödemeler!$E29=""),"",IF(AND(((Özet!$C$4*12+3)-(YEAR(Ödemeler!$E29)*12+MONTH(Ödemeler!$E29)))&gt;=0,MOD(((Özet!$C$4*12+3)-(YEAR(Ödemeler!$E29)*12+MONTH(Ödemeler!$E29))),Ödemeler!$G29)=0,OR(Ödemeler!$F29="",DATE(Özet!$C$4,3,1)&lt;=Ödemeler!$F29)),Ödemeler!$C29,0))</f>
        <v/>
      </c>
      <c r="E30" s="37" t="str">
        <f aca="false">IF(OR(Ödemeler!$A29="",Ödemeler!$G29="",Ödemeler!$E29=""),"",IF(AND(((Özet!$C$4*12+4)-(YEAR(Ödemeler!$E29)*12+MONTH(Ödemeler!$E29)))&gt;=0,MOD(((Özet!$C$4*12+4)-(YEAR(Ödemeler!$E29)*12+MONTH(Ödemeler!$E29))),Ödemeler!$G29)=0,OR(Ödemeler!$F29="",DATE(Özet!$C$4,4,1)&lt;=Ödemeler!$F29)),Ödemeler!$C29,0))</f>
        <v/>
      </c>
      <c r="F30" s="37" t="str">
        <f aca="false">IF(OR(Ödemeler!$A29="",Ödemeler!$G29="",Ödemeler!$E29=""),"",IF(AND(((Özet!$C$4*12+5)-(YEAR(Ödemeler!$E29)*12+MONTH(Ödemeler!$E29)))&gt;=0,MOD(((Özet!$C$4*12+5)-(YEAR(Ödemeler!$E29)*12+MONTH(Ödemeler!$E29))),Ödemeler!$G29)=0,OR(Ödemeler!$F29="",DATE(Özet!$C$4,5,1)&lt;=Ödemeler!$F29)),Ödemeler!$C29,0))</f>
        <v/>
      </c>
      <c r="G30" s="37" t="str">
        <f aca="false">IF(OR(Ödemeler!$A29="",Ödemeler!$G29="",Ödemeler!$E29=""),"",IF(AND(((Özet!$C$4*12+6)-(YEAR(Ödemeler!$E29)*12+MONTH(Ödemeler!$E29)))&gt;=0,MOD(((Özet!$C$4*12+6)-(YEAR(Ödemeler!$E29)*12+MONTH(Ödemeler!$E29))),Ödemeler!$G29)=0,OR(Ödemeler!$F29="",DATE(Özet!$C$4,6,1)&lt;=Ödemeler!$F29)),Ödemeler!$C29,0))</f>
        <v/>
      </c>
      <c r="H30" s="37" t="str">
        <f aca="false">IF(OR(Ödemeler!$A29="",Ödemeler!$G29="",Ödemeler!$E29=""),"",IF(AND(((Özet!$C$4*12+7)-(YEAR(Ödemeler!$E29)*12+MONTH(Ödemeler!$E29)))&gt;=0,MOD(((Özet!$C$4*12+7)-(YEAR(Ödemeler!$E29)*12+MONTH(Ödemeler!$E29))),Ödemeler!$G29)=0,OR(Ödemeler!$F29="",DATE(Özet!$C$4,7,1)&lt;=Ödemeler!$F29)),Ödemeler!$C29,0))</f>
        <v/>
      </c>
      <c r="I30" s="37" t="str">
        <f aca="false">IF(OR(Ödemeler!$A29="",Ödemeler!$G29="",Ödemeler!$E29=""),"",IF(AND(((Özet!$C$4*12+8)-(YEAR(Ödemeler!$E29)*12+MONTH(Ödemeler!$E29)))&gt;=0,MOD(((Özet!$C$4*12+8)-(YEAR(Ödemeler!$E29)*12+MONTH(Ödemeler!$E29))),Ödemeler!$G29)=0,OR(Ödemeler!$F29="",DATE(Özet!$C$4,8,1)&lt;=Ödemeler!$F29)),Ödemeler!$C29,0))</f>
        <v/>
      </c>
      <c r="J30" s="37" t="str">
        <f aca="false">IF(OR(Ödemeler!$A29="",Ödemeler!$G29="",Ödemeler!$E29=""),"",IF(AND(((Özet!$C$4*12+9)-(YEAR(Ödemeler!$E29)*12+MONTH(Ödemeler!$E29)))&gt;=0,MOD(((Özet!$C$4*12+9)-(YEAR(Ödemeler!$E29)*12+MONTH(Ödemeler!$E29))),Ödemeler!$G29)=0,OR(Ödemeler!$F29="",DATE(Özet!$C$4,9,1)&lt;=Ödemeler!$F29)),Ödemeler!$C29,0))</f>
        <v/>
      </c>
      <c r="K30" s="37" t="str">
        <f aca="false">IF(OR(Ödemeler!$A29="",Ödemeler!$G29="",Ödemeler!$E29=""),"",IF(AND(((Özet!$C$4*12+10)-(YEAR(Ödemeler!$E29)*12+MONTH(Ödemeler!$E29)))&gt;=0,MOD(((Özet!$C$4*12+10)-(YEAR(Ödemeler!$E29)*12+MONTH(Ödemeler!$E29))),Ödemeler!$G29)=0,OR(Ödemeler!$F29="",DATE(Özet!$C$4,10,1)&lt;=Ödemeler!$F29)),Ödemeler!$C29,0))</f>
        <v/>
      </c>
      <c r="L30" s="37" t="str">
        <f aca="false">IF(OR(Ödemeler!$A29="",Ödemeler!$G29="",Ödemeler!$E29=""),"",IF(AND(((Özet!$C$4*12+11)-(YEAR(Ödemeler!$E29)*12+MONTH(Ödemeler!$E29)))&gt;=0,MOD(((Özet!$C$4*12+11)-(YEAR(Ödemeler!$E29)*12+MONTH(Ödemeler!$E29))),Ödemeler!$G29)=0,OR(Ödemeler!$F29="",DATE(Özet!$C$4,11,1)&lt;=Ödemeler!$F29)),Ödemeler!$C29,0))</f>
        <v/>
      </c>
      <c r="M30" s="37" t="str">
        <f aca="false">IF(OR(Ödemeler!$A29="",Ödemeler!$G29="",Ödemeler!$E29=""),"",IF(AND(((Özet!$C$4*12+12)-(YEAR(Ödemeler!$E29)*12+MONTH(Ödemeler!$E29)))&gt;=0,MOD(((Özet!$C$4*12+12)-(YEAR(Ödemeler!$E29)*12+MONTH(Ödemeler!$E29))),Ödemeler!$G29)=0,OR(Ödemeler!$F29="",DATE(Özet!$C$4,12,1)&lt;=Ödemeler!$F29)),Ödemeler!$C29,0))</f>
        <v/>
      </c>
      <c r="N30" s="37" t="str">
        <f aca="false">IF(COUNT(B30:M30)=0,"",SUM(B30:M30))</f>
        <v/>
      </c>
    </row>
    <row r="31" customFormat="false" ht="15" hidden="false" customHeight="false" outlineLevel="0" collapsed="false">
      <c r="A31" s="16" t="str">
        <f aca="false">IF(Ödemeler!A30="","",Ödemeler!A30)</f>
        <v/>
      </c>
      <c r="B31" s="36" t="str">
        <f aca="false">IF(OR(Ödemeler!$A30="",Ödemeler!$G30="",Ödemeler!$E30=""),"",IF(AND(((Özet!$C$4*12+1)-(YEAR(Ödemeler!$E30)*12+MONTH(Ödemeler!$E30)))&gt;=0,MOD(((Özet!$C$4*12+1)-(YEAR(Ödemeler!$E30)*12+MONTH(Ödemeler!$E30))),Ödemeler!$G30)=0,OR(Ödemeler!$F30="",DATE(Özet!$C$4,1,1)&lt;=Ödemeler!$F30)),Ödemeler!$C30,0))</f>
        <v/>
      </c>
      <c r="C31" s="36" t="str">
        <f aca="false">IF(OR(Ödemeler!$A30="",Ödemeler!$G30="",Ödemeler!$E30=""),"",IF(AND(((Özet!$C$4*12+2)-(YEAR(Ödemeler!$E30)*12+MONTH(Ödemeler!$E30)))&gt;=0,MOD(((Özet!$C$4*12+2)-(YEAR(Ödemeler!$E30)*12+MONTH(Ödemeler!$E30))),Ödemeler!$G30)=0,OR(Ödemeler!$F30="",DATE(Özet!$C$4,2,1)&lt;=Ödemeler!$F30)),Ödemeler!$C30,0))</f>
        <v/>
      </c>
      <c r="D31" s="36" t="str">
        <f aca="false">IF(OR(Ödemeler!$A30="",Ödemeler!$G30="",Ödemeler!$E30=""),"",IF(AND(((Özet!$C$4*12+3)-(YEAR(Ödemeler!$E30)*12+MONTH(Ödemeler!$E30)))&gt;=0,MOD(((Özet!$C$4*12+3)-(YEAR(Ödemeler!$E30)*12+MONTH(Ödemeler!$E30))),Ödemeler!$G30)=0,OR(Ödemeler!$F30="",DATE(Özet!$C$4,3,1)&lt;=Ödemeler!$F30)),Ödemeler!$C30,0))</f>
        <v/>
      </c>
      <c r="E31" s="36" t="str">
        <f aca="false">IF(OR(Ödemeler!$A30="",Ödemeler!$G30="",Ödemeler!$E30=""),"",IF(AND(((Özet!$C$4*12+4)-(YEAR(Ödemeler!$E30)*12+MONTH(Ödemeler!$E30)))&gt;=0,MOD(((Özet!$C$4*12+4)-(YEAR(Ödemeler!$E30)*12+MONTH(Ödemeler!$E30))),Ödemeler!$G30)=0,OR(Ödemeler!$F30="",DATE(Özet!$C$4,4,1)&lt;=Ödemeler!$F30)),Ödemeler!$C30,0))</f>
        <v/>
      </c>
      <c r="F31" s="36" t="str">
        <f aca="false">IF(OR(Ödemeler!$A30="",Ödemeler!$G30="",Ödemeler!$E30=""),"",IF(AND(((Özet!$C$4*12+5)-(YEAR(Ödemeler!$E30)*12+MONTH(Ödemeler!$E30)))&gt;=0,MOD(((Özet!$C$4*12+5)-(YEAR(Ödemeler!$E30)*12+MONTH(Ödemeler!$E30))),Ödemeler!$G30)=0,OR(Ödemeler!$F30="",DATE(Özet!$C$4,5,1)&lt;=Ödemeler!$F30)),Ödemeler!$C30,0))</f>
        <v/>
      </c>
      <c r="G31" s="36" t="str">
        <f aca="false">IF(OR(Ödemeler!$A30="",Ödemeler!$G30="",Ödemeler!$E30=""),"",IF(AND(((Özet!$C$4*12+6)-(YEAR(Ödemeler!$E30)*12+MONTH(Ödemeler!$E30)))&gt;=0,MOD(((Özet!$C$4*12+6)-(YEAR(Ödemeler!$E30)*12+MONTH(Ödemeler!$E30))),Ödemeler!$G30)=0,OR(Ödemeler!$F30="",DATE(Özet!$C$4,6,1)&lt;=Ödemeler!$F30)),Ödemeler!$C30,0))</f>
        <v/>
      </c>
      <c r="H31" s="36" t="str">
        <f aca="false">IF(OR(Ödemeler!$A30="",Ödemeler!$G30="",Ödemeler!$E30=""),"",IF(AND(((Özet!$C$4*12+7)-(YEAR(Ödemeler!$E30)*12+MONTH(Ödemeler!$E30)))&gt;=0,MOD(((Özet!$C$4*12+7)-(YEAR(Ödemeler!$E30)*12+MONTH(Ödemeler!$E30))),Ödemeler!$G30)=0,OR(Ödemeler!$F30="",DATE(Özet!$C$4,7,1)&lt;=Ödemeler!$F30)),Ödemeler!$C30,0))</f>
        <v/>
      </c>
      <c r="I31" s="36" t="str">
        <f aca="false">IF(OR(Ödemeler!$A30="",Ödemeler!$G30="",Ödemeler!$E30=""),"",IF(AND(((Özet!$C$4*12+8)-(YEAR(Ödemeler!$E30)*12+MONTH(Ödemeler!$E30)))&gt;=0,MOD(((Özet!$C$4*12+8)-(YEAR(Ödemeler!$E30)*12+MONTH(Ödemeler!$E30))),Ödemeler!$G30)=0,OR(Ödemeler!$F30="",DATE(Özet!$C$4,8,1)&lt;=Ödemeler!$F30)),Ödemeler!$C30,0))</f>
        <v/>
      </c>
      <c r="J31" s="36" t="str">
        <f aca="false">IF(OR(Ödemeler!$A30="",Ödemeler!$G30="",Ödemeler!$E30=""),"",IF(AND(((Özet!$C$4*12+9)-(YEAR(Ödemeler!$E30)*12+MONTH(Ödemeler!$E30)))&gt;=0,MOD(((Özet!$C$4*12+9)-(YEAR(Ödemeler!$E30)*12+MONTH(Ödemeler!$E30))),Ödemeler!$G30)=0,OR(Ödemeler!$F30="",DATE(Özet!$C$4,9,1)&lt;=Ödemeler!$F30)),Ödemeler!$C30,0))</f>
        <v/>
      </c>
      <c r="K31" s="36" t="str">
        <f aca="false">IF(OR(Ödemeler!$A30="",Ödemeler!$G30="",Ödemeler!$E30=""),"",IF(AND(((Özet!$C$4*12+10)-(YEAR(Ödemeler!$E30)*12+MONTH(Ödemeler!$E30)))&gt;=0,MOD(((Özet!$C$4*12+10)-(YEAR(Ödemeler!$E30)*12+MONTH(Ödemeler!$E30))),Ödemeler!$G30)=0,OR(Ödemeler!$F30="",DATE(Özet!$C$4,10,1)&lt;=Ödemeler!$F30)),Ödemeler!$C30,0))</f>
        <v/>
      </c>
      <c r="L31" s="36" t="str">
        <f aca="false">IF(OR(Ödemeler!$A30="",Ödemeler!$G30="",Ödemeler!$E30=""),"",IF(AND(((Özet!$C$4*12+11)-(YEAR(Ödemeler!$E30)*12+MONTH(Ödemeler!$E30)))&gt;=0,MOD(((Özet!$C$4*12+11)-(YEAR(Ödemeler!$E30)*12+MONTH(Ödemeler!$E30))),Ödemeler!$G30)=0,OR(Ödemeler!$F30="",DATE(Özet!$C$4,11,1)&lt;=Ödemeler!$F30)),Ödemeler!$C30,0))</f>
        <v/>
      </c>
      <c r="M31" s="36" t="str">
        <f aca="false">IF(OR(Ödemeler!$A30="",Ödemeler!$G30="",Ödemeler!$E30=""),"",IF(AND(((Özet!$C$4*12+12)-(YEAR(Ödemeler!$E30)*12+MONTH(Ödemeler!$E30)))&gt;=0,MOD(((Özet!$C$4*12+12)-(YEAR(Ödemeler!$E30)*12+MONTH(Ödemeler!$E30))),Ödemeler!$G30)=0,OR(Ödemeler!$F30="",DATE(Özet!$C$4,12,1)&lt;=Ödemeler!$F30)),Ödemeler!$C30,0))</f>
        <v/>
      </c>
      <c r="N31" s="36" t="str">
        <f aca="false">IF(COUNT(B31:M31)=0,"",SUM(B31:M31))</f>
        <v/>
      </c>
    </row>
    <row r="32" customFormat="false" ht="15" hidden="false" customHeight="false" outlineLevel="0" collapsed="false">
      <c r="A32" s="30" t="str">
        <f aca="false">IF(Ödemeler!A31="","",Ödemeler!A31)</f>
        <v/>
      </c>
      <c r="B32" s="37" t="str">
        <f aca="false">IF(OR(Ödemeler!$A31="",Ödemeler!$G31="",Ödemeler!$E31=""),"",IF(AND(((Özet!$C$4*12+1)-(YEAR(Ödemeler!$E31)*12+MONTH(Ödemeler!$E31)))&gt;=0,MOD(((Özet!$C$4*12+1)-(YEAR(Ödemeler!$E31)*12+MONTH(Ödemeler!$E31))),Ödemeler!$G31)=0,OR(Ödemeler!$F31="",DATE(Özet!$C$4,1,1)&lt;=Ödemeler!$F31)),Ödemeler!$C31,0))</f>
        <v/>
      </c>
      <c r="C32" s="37" t="str">
        <f aca="false">IF(OR(Ödemeler!$A31="",Ödemeler!$G31="",Ödemeler!$E31=""),"",IF(AND(((Özet!$C$4*12+2)-(YEAR(Ödemeler!$E31)*12+MONTH(Ödemeler!$E31)))&gt;=0,MOD(((Özet!$C$4*12+2)-(YEAR(Ödemeler!$E31)*12+MONTH(Ödemeler!$E31))),Ödemeler!$G31)=0,OR(Ödemeler!$F31="",DATE(Özet!$C$4,2,1)&lt;=Ödemeler!$F31)),Ödemeler!$C31,0))</f>
        <v/>
      </c>
      <c r="D32" s="37" t="str">
        <f aca="false">IF(OR(Ödemeler!$A31="",Ödemeler!$G31="",Ödemeler!$E31=""),"",IF(AND(((Özet!$C$4*12+3)-(YEAR(Ödemeler!$E31)*12+MONTH(Ödemeler!$E31)))&gt;=0,MOD(((Özet!$C$4*12+3)-(YEAR(Ödemeler!$E31)*12+MONTH(Ödemeler!$E31))),Ödemeler!$G31)=0,OR(Ödemeler!$F31="",DATE(Özet!$C$4,3,1)&lt;=Ödemeler!$F31)),Ödemeler!$C31,0))</f>
        <v/>
      </c>
      <c r="E32" s="37" t="str">
        <f aca="false">IF(OR(Ödemeler!$A31="",Ödemeler!$G31="",Ödemeler!$E31=""),"",IF(AND(((Özet!$C$4*12+4)-(YEAR(Ödemeler!$E31)*12+MONTH(Ödemeler!$E31)))&gt;=0,MOD(((Özet!$C$4*12+4)-(YEAR(Ödemeler!$E31)*12+MONTH(Ödemeler!$E31))),Ödemeler!$G31)=0,OR(Ödemeler!$F31="",DATE(Özet!$C$4,4,1)&lt;=Ödemeler!$F31)),Ödemeler!$C31,0))</f>
        <v/>
      </c>
      <c r="F32" s="37" t="str">
        <f aca="false">IF(OR(Ödemeler!$A31="",Ödemeler!$G31="",Ödemeler!$E31=""),"",IF(AND(((Özet!$C$4*12+5)-(YEAR(Ödemeler!$E31)*12+MONTH(Ödemeler!$E31)))&gt;=0,MOD(((Özet!$C$4*12+5)-(YEAR(Ödemeler!$E31)*12+MONTH(Ödemeler!$E31))),Ödemeler!$G31)=0,OR(Ödemeler!$F31="",DATE(Özet!$C$4,5,1)&lt;=Ödemeler!$F31)),Ödemeler!$C31,0))</f>
        <v/>
      </c>
      <c r="G32" s="37" t="str">
        <f aca="false">IF(OR(Ödemeler!$A31="",Ödemeler!$G31="",Ödemeler!$E31=""),"",IF(AND(((Özet!$C$4*12+6)-(YEAR(Ödemeler!$E31)*12+MONTH(Ödemeler!$E31)))&gt;=0,MOD(((Özet!$C$4*12+6)-(YEAR(Ödemeler!$E31)*12+MONTH(Ödemeler!$E31))),Ödemeler!$G31)=0,OR(Ödemeler!$F31="",DATE(Özet!$C$4,6,1)&lt;=Ödemeler!$F31)),Ödemeler!$C31,0))</f>
        <v/>
      </c>
      <c r="H32" s="37" t="str">
        <f aca="false">IF(OR(Ödemeler!$A31="",Ödemeler!$G31="",Ödemeler!$E31=""),"",IF(AND(((Özet!$C$4*12+7)-(YEAR(Ödemeler!$E31)*12+MONTH(Ödemeler!$E31)))&gt;=0,MOD(((Özet!$C$4*12+7)-(YEAR(Ödemeler!$E31)*12+MONTH(Ödemeler!$E31))),Ödemeler!$G31)=0,OR(Ödemeler!$F31="",DATE(Özet!$C$4,7,1)&lt;=Ödemeler!$F31)),Ödemeler!$C31,0))</f>
        <v/>
      </c>
      <c r="I32" s="37" t="str">
        <f aca="false">IF(OR(Ödemeler!$A31="",Ödemeler!$G31="",Ödemeler!$E31=""),"",IF(AND(((Özet!$C$4*12+8)-(YEAR(Ödemeler!$E31)*12+MONTH(Ödemeler!$E31)))&gt;=0,MOD(((Özet!$C$4*12+8)-(YEAR(Ödemeler!$E31)*12+MONTH(Ödemeler!$E31))),Ödemeler!$G31)=0,OR(Ödemeler!$F31="",DATE(Özet!$C$4,8,1)&lt;=Ödemeler!$F31)),Ödemeler!$C31,0))</f>
        <v/>
      </c>
      <c r="J32" s="37" t="str">
        <f aca="false">IF(OR(Ödemeler!$A31="",Ödemeler!$G31="",Ödemeler!$E31=""),"",IF(AND(((Özet!$C$4*12+9)-(YEAR(Ödemeler!$E31)*12+MONTH(Ödemeler!$E31)))&gt;=0,MOD(((Özet!$C$4*12+9)-(YEAR(Ödemeler!$E31)*12+MONTH(Ödemeler!$E31))),Ödemeler!$G31)=0,OR(Ödemeler!$F31="",DATE(Özet!$C$4,9,1)&lt;=Ödemeler!$F31)),Ödemeler!$C31,0))</f>
        <v/>
      </c>
      <c r="K32" s="37" t="str">
        <f aca="false">IF(OR(Ödemeler!$A31="",Ödemeler!$G31="",Ödemeler!$E31=""),"",IF(AND(((Özet!$C$4*12+10)-(YEAR(Ödemeler!$E31)*12+MONTH(Ödemeler!$E31)))&gt;=0,MOD(((Özet!$C$4*12+10)-(YEAR(Ödemeler!$E31)*12+MONTH(Ödemeler!$E31))),Ödemeler!$G31)=0,OR(Ödemeler!$F31="",DATE(Özet!$C$4,10,1)&lt;=Ödemeler!$F31)),Ödemeler!$C31,0))</f>
        <v/>
      </c>
      <c r="L32" s="37" t="str">
        <f aca="false">IF(OR(Ödemeler!$A31="",Ödemeler!$G31="",Ödemeler!$E31=""),"",IF(AND(((Özet!$C$4*12+11)-(YEAR(Ödemeler!$E31)*12+MONTH(Ödemeler!$E31)))&gt;=0,MOD(((Özet!$C$4*12+11)-(YEAR(Ödemeler!$E31)*12+MONTH(Ödemeler!$E31))),Ödemeler!$G31)=0,OR(Ödemeler!$F31="",DATE(Özet!$C$4,11,1)&lt;=Ödemeler!$F31)),Ödemeler!$C31,0))</f>
        <v/>
      </c>
      <c r="M32" s="37" t="str">
        <f aca="false">IF(OR(Ödemeler!$A31="",Ödemeler!$G31="",Ödemeler!$E31=""),"",IF(AND(((Özet!$C$4*12+12)-(YEAR(Ödemeler!$E31)*12+MONTH(Ödemeler!$E31)))&gt;=0,MOD(((Özet!$C$4*12+12)-(YEAR(Ödemeler!$E31)*12+MONTH(Ödemeler!$E31))),Ödemeler!$G31)=0,OR(Ödemeler!$F31="",DATE(Özet!$C$4,12,1)&lt;=Ödemeler!$F31)),Ödemeler!$C31,0))</f>
        <v/>
      </c>
      <c r="N32" s="37" t="str">
        <f aca="false">IF(COUNT(B32:M32)=0,"",SUM(B32:M32))</f>
        <v/>
      </c>
    </row>
    <row r="33" customFormat="false" ht="15" hidden="false" customHeight="false" outlineLevel="0" collapsed="false">
      <c r="A33" s="16" t="str">
        <f aca="false">IF(Ödemeler!A32="","",Ödemeler!A32)</f>
        <v/>
      </c>
      <c r="B33" s="36" t="str">
        <f aca="false">IF(OR(Ödemeler!$A32="",Ödemeler!$G32="",Ödemeler!$E32=""),"",IF(AND(((Özet!$C$4*12+1)-(YEAR(Ödemeler!$E32)*12+MONTH(Ödemeler!$E32)))&gt;=0,MOD(((Özet!$C$4*12+1)-(YEAR(Ödemeler!$E32)*12+MONTH(Ödemeler!$E32))),Ödemeler!$G32)=0,OR(Ödemeler!$F32="",DATE(Özet!$C$4,1,1)&lt;=Ödemeler!$F32)),Ödemeler!$C32,0))</f>
        <v/>
      </c>
      <c r="C33" s="36" t="str">
        <f aca="false">IF(OR(Ödemeler!$A32="",Ödemeler!$G32="",Ödemeler!$E32=""),"",IF(AND(((Özet!$C$4*12+2)-(YEAR(Ödemeler!$E32)*12+MONTH(Ödemeler!$E32)))&gt;=0,MOD(((Özet!$C$4*12+2)-(YEAR(Ödemeler!$E32)*12+MONTH(Ödemeler!$E32))),Ödemeler!$G32)=0,OR(Ödemeler!$F32="",DATE(Özet!$C$4,2,1)&lt;=Ödemeler!$F32)),Ödemeler!$C32,0))</f>
        <v/>
      </c>
      <c r="D33" s="36" t="str">
        <f aca="false">IF(OR(Ödemeler!$A32="",Ödemeler!$G32="",Ödemeler!$E32=""),"",IF(AND(((Özet!$C$4*12+3)-(YEAR(Ödemeler!$E32)*12+MONTH(Ödemeler!$E32)))&gt;=0,MOD(((Özet!$C$4*12+3)-(YEAR(Ödemeler!$E32)*12+MONTH(Ödemeler!$E32))),Ödemeler!$G32)=0,OR(Ödemeler!$F32="",DATE(Özet!$C$4,3,1)&lt;=Ödemeler!$F32)),Ödemeler!$C32,0))</f>
        <v/>
      </c>
      <c r="E33" s="36" t="str">
        <f aca="false">IF(OR(Ödemeler!$A32="",Ödemeler!$G32="",Ödemeler!$E32=""),"",IF(AND(((Özet!$C$4*12+4)-(YEAR(Ödemeler!$E32)*12+MONTH(Ödemeler!$E32)))&gt;=0,MOD(((Özet!$C$4*12+4)-(YEAR(Ödemeler!$E32)*12+MONTH(Ödemeler!$E32))),Ödemeler!$G32)=0,OR(Ödemeler!$F32="",DATE(Özet!$C$4,4,1)&lt;=Ödemeler!$F32)),Ödemeler!$C32,0))</f>
        <v/>
      </c>
      <c r="F33" s="36" t="str">
        <f aca="false">IF(OR(Ödemeler!$A32="",Ödemeler!$G32="",Ödemeler!$E32=""),"",IF(AND(((Özet!$C$4*12+5)-(YEAR(Ödemeler!$E32)*12+MONTH(Ödemeler!$E32)))&gt;=0,MOD(((Özet!$C$4*12+5)-(YEAR(Ödemeler!$E32)*12+MONTH(Ödemeler!$E32))),Ödemeler!$G32)=0,OR(Ödemeler!$F32="",DATE(Özet!$C$4,5,1)&lt;=Ödemeler!$F32)),Ödemeler!$C32,0))</f>
        <v/>
      </c>
      <c r="G33" s="36" t="str">
        <f aca="false">IF(OR(Ödemeler!$A32="",Ödemeler!$G32="",Ödemeler!$E32=""),"",IF(AND(((Özet!$C$4*12+6)-(YEAR(Ödemeler!$E32)*12+MONTH(Ödemeler!$E32)))&gt;=0,MOD(((Özet!$C$4*12+6)-(YEAR(Ödemeler!$E32)*12+MONTH(Ödemeler!$E32))),Ödemeler!$G32)=0,OR(Ödemeler!$F32="",DATE(Özet!$C$4,6,1)&lt;=Ödemeler!$F32)),Ödemeler!$C32,0))</f>
        <v/>
      </c>
      <c r="H33" s="36" t="str">
        <f aca="false">IF(OR(Ödemeler!$A32="",Ödemeler!$G32="",Ödemeler!$E32=""),"",IF(AND(((Özet!$C$4*12+7)-(YEAR(Ödemeler!$E32)*12+MONTH(Ödemeler!$E32)))&gt;=0,MOD(((Özet!$C$4*12+7)-(YEAR(Ödemeler!$E32)*12+MONTH(Ödemeler!$E32))),Ödemeler!$G32)=0,OR(Ödemeler!$F32="",DATE(Özet!$C$4,7,1)&lt;=Ödemeler!$F32)),Ödemeler!$C32,0))</f>
        <v/>
      </c>
      <c r="I33" s="36" t="str">
        <f aca="false">IF(OR(Ödemeler!$A32="",Ödemeler!$G32="",Ödemeler!$E32=""),"",IF(AND(((Özet!$C$4*12+8)-(YEAR(Ödemeler!$E32)*12+MONTH(Ödemeler!$E32)))&gt;=0,MOD(((Özet!$C$4*12+8)-(YEAR(Ödemeler!$E32)*12+MONTH(Ödemeler!$E32))),Ödemeler!$G32)=0,OR(Ödemeler!$F32="",DATE(Özet!$C$4,8,1)&lt;=Ödemeler!$F32)),Ödemeler!$C32,0))</f>
        <v/>
      </c>
      <c r="J33" s="36" t="str">
        <f aca="false">IF(OR(Ödemeler!$A32="",Ödemeler!$G32="",Ödemeler!$E32=""),"",IF(AND(((Özet!$C$4*12+9)-(YEAR(Ödemeler!$E32)*12+MONTH(Ödemeler!$E32)))&gt;=0,MOD(((Özet!$C$4*12+9)-(YEAR(Ödemeler!$E32)*12+MONTH(Ödemeler!$E32))),Ödemeler!$G32)=0,OR(Ödemeler!$F32="",DATE(Özet!$C$4,9,1)&lt;=Ödemeler!$F32)),Ödemeler!$C32,0))</f>
        <v/>
      </c>
      <c r="K33" s="36" t="str">
        <f aca="false">IF(OR(Ödemeler!$A32="",Ödemeler!$G32="",Ödemeler!$E32=""),"",IF(AND(((Özet!$C$4*12+10)-(YEAR(Ödemeler!$E32)*12+MONTH(Ödemeler!$E32)))&gt;=0,MOD(((Özet!$C$4*12+10)-(YEAR(Ödemeler!$E32)*12+MONTH(Ödemeler!$E32))),Ödemeler!$G32)=0,OR(Ödemeler!$F32="",DATE(Özet!$C$4,10,1)&lt;=Ödemeler!$F32)),Ödemeler!$C32,0))</f>
        <v/>
      </c>
      <c r="L33" s="36" t="str">
        <f aca="false">IF(OR(Ödemeler!$A32="",Ödemeler!$G32="",Ödemeler!$E32=""),"",IF(AND(((Özet!$C$4*12+11)-(YEAR(Ödemeler!$E32)*12+MONTH(Ödemeler!$E32)))&gt;=0,MOD(((Özet!$C$4*12+11)-(YEAR(Ödemeler!$E32)*12+MONTH(Ödemeler!$E32))),Ödemeler!$G32)=0,OR(Ödemeler!$F32="",DATE(Özet!$C$4,11,1)&lt;=Ödemeler!$F32)),Ödemeler!$C32,0))</f>
        <v/>
      </c>
      <c r="M33" s="36" t="str">
        <f aca="false">IF(OR(Ödemeler!$A32="",Ödemeler!$G32="",Ödemeler!$E32=""),"",IF(AND(((Özet!$C$4*12+12)-(YEAR(Ödemeler!$E32)*12+MONTH(Ödemeler!$E32)))&gt;=0,MOD(((Özet!$C$4*12+12)-(YEAR(Ödemeler!$E32)*12+MONTH(Ödemeler!$E32))),Ödemeler!$G32)=0,OR(Ödemeler!$F32="",DATE(Özet!$C$4,12,1)&lt;=Ödemeler!$F32)),Ödemeler!$C32,0))</f>
        <v/>
      </c>
      <c r="N33" s="36" t="str">
        <f aca="false">IF(COUNT(B33:M33)=0,"",SUM(B33:M33))</f>
        <v/>
      </c>
    </row>
    <row r="34" customFormat="false" ht="15" hidden="false" customHeight="false" outlineLevel="0" collapsed="false">
      <c r="A34" s="30" t="str">
        <f aca="false">IF(Ödemeler!A33="","",Ödemeler!A33)</f>
        <v/>
      </c>
      <c r="B34" s="37" t="str">
        <f aca="false">IF(OR(Ödemeler!$A33="",Ödemeler!$G33="",Ödemeler!$E33=""),"",IF(AND(((Özet!$C$4*12+1)-(YEAR(Ödemeler!$E33)*12+MONTH(Ödemeler!$E33)))&gt;=0,MOD(((Özet!$C$4*12+1)-(YEAR(Ödemeler!$E33)*12+MONTH(Ödemeler!$E33))),Ödemeler!$G33)=0,OR(Ödemeler!$F33="",DATE(Özet!$C$4,1,1)&lt;=Ödemeler!$F33)),Ödemeler!$C33,0))</f>
        <v/>
      </c>
      <c r="C34" s="37" t="str">
        <f aca="false">IF(OR(Ödemeler!$A33="",Ödemeler!$G33="",Ödemeler!$E33=""),"",IF(AND(((Özet!$C$4*12+2)-(YEAR(Ödemeler!$E33)*12+MONTH(Ödemeler!$E33)))&gt;=0,MOD(((Özet!$C$4*12+2)-(YEAR(Ödemeler!$E33)*12+MONTH(Ödemeler!$E33))),Ödemeler!$G33)=0,OR(Ödemeler!$F33="",DATE(Özet!$C$4,2,1)&lt;=Ödemeler!$F33)),Ödemeler!$C33,0))</f>
        <v/>
      </c>
      <c r="D34" s="37" t="str">
        <f aca="false">IF(OR(Ödemeler!$A33="",Ödemeler!$G33="",Ödemeler!$E33=""),"",IF(AND(((Özet!$C$4*12+3)-(YEAR(Ödemeler!$E33)*12+MONTH(Ödemeler!$E33)))&gt;=0,MOD(((Özet!$C$4*12+3)-(YEAR(Ödemeler!$E33)*12+MONTH(Ödemeler!$E33))),Ödemeler!$G33)=0,OR(Ödemeler!$F33="",DATE(Özet!$C$4,3,1)&lt;=Ödemeler!$F33)),Ödemeler!$C33,0))</f>
        <v/>
      </c>
      <c r="E34" s="37" t="str">
        <f aca="false">IF(OR(Ödemeler!$A33="",Ödemeler!$G33="",Ödemeler!$E33=""),"",IF(AND(((Özet!$C$4*12+4)-(YEAR(Ödemeler!$E33)*12+MONTH(Ödemeler!$E33)))&gt;=0,MOD(((Özet!$C$4*12+4)-(YEAR(Ödemeler!$E33)*12+MONTH(Ödemeler!$E33))),Ödemeler!$G33)=0,OR(Ödemeler!$F33="",DATE(Özet!$C$4,4,1)&lt;=Ödemeler!$F33)),Ödemeler!$C33,0))</f>
        <v/>
      </c>
      <c r="F34" s="37" t="str">
        <f aca="false">IF(OR(Ödemeler!$A33="",Ödemeler!$G33="",Ödemeler!$E33=""),"",IF(AND(((Özet!$C$4*12+5)-(YEAR(Ödemeler!$E33)*12+MONTH(Ödemeler!$E33)))&gt;=0,MOD(((Özet!$C$4*12+5)-(YEAR(Ödemeler!$E33)*12+MONTH(Ödemeler!$E33))),Ödemeler!$G33)=0,OR(Ödemeler!$F33="",DATE(Özet!$C$4,5,1)&lt;=Ödemeler!$F33)),Ödemeler!$C33,0))</f>
        <v/>
      </c>
      <c r="G34" s="37" t="str">
        <f aca="false">IF(OR(Ödemeler!$A33="",Ödemeler!$G33="",Ödemeler!$E33=""),"",IF(AND(((Özet!$C$4*12+6)-(YEAR(Ödemeler!$E33)*12+MONTH(Ödemeler!$E33)))&gt;=0,MOD(((Özet!$C$4*12+6)-(YEAR(Ödemeler!$E33)*12+MONTH(Ödemeler!$E33))),Ödemeler!$G33)=0,OR(Ödemeler!$F33="",DATE(Özet!$C$4,6,1)&lt;=Ödemeler!$F33)),Ödemeler!$C33,0))</f>
        <v/>
      </c>
      <c r="H34" s="37" t="str">
        <f aca="false">IF(OR(Ödemeler!$A33="",Ödemeler!$G33="",Ödemeler!$E33=""),"",IF(AND(((Özet!$C$4*12+7)-(YEAR(Ödemeler!$E33)*12+MONTH(Ödemeler!$E33)))&gt;=0,MOD(((Özet!$C$4*12+7)-(YEAR(Ödemeler!$E33)*12+MONTH(Ödemeler!$E33))),Ödemeler!$G33)=0,OR(Ödemeler!$F33="",DATE(Özet!$C$4,7,1)&lt;=Ödemeler!$F33)),Ödemeler!$C33,0))</f>
        <v/>
      </c>
      <c r="I34" s="37" t="str">
        <f aca="false">IF(OR(Ödemeler!$A33="",Ödemeler!$G33="",Ödemeler!$E33=""),"",IF(AND(((Özet!$C$4*12+8)-(YEAR(Ödemeler!$E33)*12+MONTH(Ödemeler!$E33)))&gt;=0,MOD(((Özet!$C$4*12+8)-(YEAR(Ödemeler!$E33)*12+MONTH(Ödemeler!$E33))),Ödemeler!$G33)=0,OR(Ödemeler!$F33="",DATE(Özet!$C$4,8,1)&lt;=Ödemeler!$F33)),Ödemeler!$C33,0))</f>
        <v/>
      </c>
      <c r="J34" s="37" t="str">
        <f aca="false">IF(OR(Ödemeler!$A33="",Ödemeler!$G33="",Ödemeler!$E33=""),"",IF(AND(((Özet!$C$4*12+9)-(YEAR(Ödemeler!$E33)*12+MONTH(Ödemeler!$E33)))&gt;=0,MOD(((Özet!$C$4*12+9)-(YEAR(Ödemeler!$E33)*12+MONTH(Ödemeler!$E33))),Ödemeler!$G33)=0,OR(Ödemeler!$F33="",DATE(Özet!$C$4,9,1)&lt;=Ödemeler!$F33)),Ödemeler!$C33,0))</f>
        <v/>
      </c>
      <c r="K34" s="37" t="str">
        <f aca="false">IF(OR(Ödemeler!$A33="",Ödemeler!$G33="",Ödemeler!$E33=""),"",IF(AND(((Özet!$C$4*12+10)-(YEAR(Ödemeler!$E33)*12+MONTH(Ödemeler!$E33)))&gt;=0,MOD(((Özet!$C$4*12+10)-(YEAR(Ödemeler!$E33)*12+MONTH(Ödemeler!$E33))),Ödemeler!$G33)=0,OR(Ödemeler!$F33="",DATE(Özet!$C$4,10,1)&lt;=Ödemeler!$F33)),Ödemeler!$C33,0))</f>
        <v/>
      </c>
      <c r="L34" s="37" t="str">
        <f aca="false">IF(OR(Ödemeler!$A33="",Ödemeler!$G33="",Ödemeler!$E33=""),"",IF(AND(((Özet!$C$4*12+11)-(YEAR(Ödemeler!$E33)*12+MONTH(Ödemeler!$E33)))&gt;=0,MOD(((Özet!$C$4*12+11)-(YEAR(Ödemeler!$E33)*12+MONTH(Ödemeler!$E33))),Ödemeler!$G33)=0,OR(Ödemeler!$F33="",DATE(Özet!$C$4,11,1)&lt;=Ödemeler!$F33)),Ödemeler!$C33,0))</f>
        <v/>
      </c>
      <c r="M34" s="37" t="str">
        <f aca="false">IF(OR(Ödemeler!$A33="",Ödemeler!$G33="",Ödemeler!$E33=""),"",IF(AND(((Özet!$C$4*12+12)-(YEAR(Ödemeler!$E33)*12+MONTH(Ödemeler!$E33)))&gt;=0,MOD(((Özet!$C$4*12+12)-(YEAR(Ödemeler!$E33)*12+MONTH(Ödemeler!$E33))),Ödemeler!$G33)=0,OR(Ödemeler!$F33="",DATE(Özet!$C$4,12,1)&lt;=Ödemeler!$F33)),Ödemeler!$C33,0))</f>
        <v/>
      </c>
      <c r="N34" s="37" t="str">
        <f aca="false">IF(COUNT(B34:M34)=0,"",SUM(B34:M34))</f>
        <v/>
      </c>
    </row>
    <row r="35" customFormat="false" ht="15" hidden="false" customHeight="false" outlineLevel="0" collapsed="false">
      <c r="A35" s="16" t="str">
        <f aca="false">IF(Ödemeler!A34="","",Ödemeler!A34)</f>
        <v/>
      </c>
      <c r="B35" s="36" t="str">
        <f aca="false">IF(OR(Ödemeler!$A34="",Ödemeler!$G34="",Ödemeler!$E34=""),"",IF(AND(((Özet!$C$4*12+1)-(YEAR(Ödemeler!$E34)*12+MONTH(Ödemeler!$E34)))&gt;=0,MOD(((Özet!$C$4*12+1)-(YEAR(Ödemeler!$E34)*12+MONTH(Ödemeler!$E34))),Ödemeler!$G34)=0,OR(Ödemeler!$F34="",DATE(Özet!$C$4,1,1)&lt;=Ödemeler!$F34)),Ödemeler!$C34,0))</f>
        <v/>
      </c>
      <c r="C35" s="36" t="str">
        <f aca="false">IF(OR(Ödemeler!$A34="",Ödemeler!$G34="",Ödemeler!$E34=""),"",IF(AND(((Özet!$C$4*12+2)-(YEAR(Ödemeler!$E34)*12+MONTH(Ödemeler!$E34)))&gt;=0,MOD(((Özet!$C$4*12+2)-(YEAR(Ödemeler!$E34)*12+MONTH(Ödemeler!$E34))),Ödemeler!$G34)=0,OR(Ödemeler!$F34="",DATE(Özet!$C$4,2,1)&lt;=Ödemeler!$F34)),Ödemeler!$C34,0))</f>
        <v/>
      </c>
      <c r="D35" s="36" t="str">
        <f aca="false">IF(OR(Ödemeler!$A34="",Ödemeler!$G34="",Ödemeler!$E34=""),"",IF(AND(((Özet!$C$4*12+3)-(YEAR(Ödemeler!$E34)*12+MONTH(Ödemeler!$E34)))&gt;=0,MOD(((Özet!$C$4*12+3)-(YEAR(Ödemeler!$E34)*12+MONTH(Ödemeler!$E34))),Ödemeler!$G34)=0,OR(Ödemeler!$F34="",DATE(Özet!$C$4,3,1)&lt;=Ödemeler!$F34)),Ödemeler!$C34,0))</f>
        <v/>
      </c>
      <c r="E35" s="36" t="str">
        <f aca="false">IF(OR(Ödemeler!$A34="",Ödemeler!$G34="",Ödemeler!$E34=""),"",IF(AND(((Özet!$C$4*12+4)-(YEAR(Ödemeler!$E34)*12+MONTH(Ödemeler!$E34)))&gt;=0,MOD(((Özet!$C$4*12+4)-(YEAR(Ödemeler!$E34)*12+MONTH(Ödemeler!$E34))),Ödemeler!$G34)=0,OR(Ödemeler!$F34="",DATE(Özet!$C$4,4,1)&lt;=Ödemeler!$F34)),Ödemeler!$C34,0))</f>
        <v/>
      </c>
      <c r="F35" s="36" t="str">
        <f aca="false">IF(OR(Ödemeler!$A34="",Ödemeler!$G34="",Ödemeler!$E34=""),"",IF(AND(((Özet!$C$4*12+5)-(YEAR(Ödemeler!$E34)*12+MONTH(Ödemeler!$E34)))&gt;=0,MOD(((Özet!$C$4*12+5)-(YEAR(Ödemeler!$E34)*12+MONTH(Ödemeler!$E34))),Ödemeler!$G34)=0,OR(Ödemeler!$F34="",DATE(Özet!$C$4,5,1)&lt;=Ödemeler!$F34)),Ödemeler!$C34,0))</f>
        <v/>
      </c>
      <c r="G35" s="36" t="str">
        <f aca="false">IF(OR(Ödemeler!$A34="",Ödemeler!$G34="",Ödemeler!$E34=""),"",IF(AND(((Özet!$C$4*12+6)-(YEAR(Ödemeler!$E34)*12+MONTH(Ödemeler!$E34)))&gt;=0,MOD(((Özet!$C$4*12+6)-(YEAR(Ödemeler!$E34)*12+MONTH(Ödemeler!$E34))),Ödemeler!$G34)=0,OR(Ödemeler!$F34="",DATE(Özet!$C$4,6,1)&lt;=Ödemeler!$F34)),Ödemeler!$C34,0))</f>
        <v/>
      </c>
      <c r="H35" s="36" t="str">
        <f aca="false">IF(OR(Ödemeler!$A34="",Ödemeler!$G34="",Ödemeler!$E34=""),"",IF(AND(((Özet!$C$4*12+7)-(YEAR(Ödemeler!$E34)*12+MONTH(Ödemeler!$E34)))&gt;=0,MOD(((Özet!$C$4*12+7)-(YEAR(Ödemeler!$E34)*12+MONTH(Ödemeler!$E34))),Ödemeler!$G34)=0,OR(Ödemeler!$F34="",DATE(Özet!$C$4,7,1)&lt;=Ödemeler!$F34)),Ödemeler!$C34,0))</f>
        <v/>
      </c>
      <c r="I35" s="36" t="str">
        <f aca="false">IF(OR(Ödemeler!$A34="",Ödemeler!$G34="",Ödemeler!$E34=""),"",IF(AND(((Özet!$C$4*12+8)-(YEAR(Ödemeler!$E34)*12+MONTH(Ödemeler!$E34)))&gt;=0,MOD(((Özet!$C$4*12+8)-(YEAR(Ödemeler!$E34)*12+MONTH(Ödemeler!$E34))),Ödemeler!$G34)=0,OR(Ödemeler!$F34="",DATE(Özet!$C$4,8,1)&lt;=Ödemeler!$F34)),Ödemeler!$C34,0))</f>
        <v/>
      </c>
      <c r="J35" s="36" t="str">
        <f aca="false">IF(OR(Ödemeler!$A34="",Ödemeler!$G34="",Ödemeler!$E34=""),"",IF(AND(((Özet!$C$4*12+9)-(YEAR(Ödemeler!$E34)*12+MONTH(Ödemeler!$E34)))&gt;=0,MOD(((Özet!$C$4*12+9)-(YEAR(Ödemeler!$E34)*12+MONTH(Ödemeler!$E34))),Ödemeler!$G34)=0,OR(Ödemeler!$F34="",DATE(Özet!$C$4,9,1)&lt;=Ödemeler!$F34)),Ödemeler!$C34,0))</f>
        <v/>
      </c>
      <c r="K35" s="36" t="str">
        <f aca="false">IF(OR(Ödemeler!$A34="",Ödemeler!$G34="",Ödemeler!$E34=""),"",IF(AND(((Özet!$C$4*12+10)-(YEAR(Ödemeler!$E34)*12+MONTH(Ödemeler!$E34)))&gt;=0,MOD(((Özet!$C$4*12+10)-(YEAR(Ödemeler!$E34)*12+MONTH(Ödemeler!$E34))),Ödemeler!$G34)=0,OR(Ödemeler!$F34="",DATE(Özet!$C$4,10,1)&lt;=Ödemeler!$F34)),Ödemeler!$C34,0))</f>
        <v/>
      </c>
      <c r="L35" s="36" t="str">
        <f aca="false">IF(OR(Ödemeler!$A34="",Ödemeler!$G34="",Ödemeler!$E34=""),"",IF(AND(((Özet!$C$4*12+11)-(YEAR(Ödemeler!$E34)*12+MONTH(Ödemeler!$E34)))&gt;=0,MOD(((Özet!$C$4*12+11)-(YEAR(Ödemeler!$E34)*12+MONTH(Ödemeler!$E34))),Ödemeler!$G34)=0,OR(Ödemeler!$F34="",DATE(Özet!$C$4,11,1)&lt;=Ödemeler!$F34)),Ödemeler!$C34,0))</f>
        <v/>
      </c>
      <c r="M35" s="36" t="str">
        <f aca="false">IF(OR(Ödemeler!$A34="",Ödemeler!$G34="",Ödemeler!$E34=""),"",IF(AND(((Özet!$C$4*12+12)-(YEAR(Ödemeler!$E34)*12+MONTH(Ödemeler!$E34)))&gt;=0,MOD(((Özet!$C$4*12+12)-(YEAR(Ödemeler!$E34)*12+MONTH(Ödemeler!$E34))),Ödemeler!$G34)=0,OR(Ödemeler!$F34="",DATE(Özet!$C$4,12,1)&lt;=Ödemeler!$F34)),Ödemeler!$C34,0))</f>
        <v/>
      </c>
      <c r="N35" s="36" t="str">
        <f aca="false">IF(COUNT(B35:M35)=0,"",SUM(B35:M35))</f>
        <v/>
      </c>
    </row>
    <row r="36" customFormat="false" ht="15" hidden="false" customHeight="false" outlineLevel="0" collapsed="false">
      <c r="A36" s="30" t="str">
        <f aca="false">IF(Ödemeler!A35="","",Ödemeler!A35)</f>
        <v/>
      </c>
      <c r="B36" s="37" t="str">
        <f aca="false">IF(OR(Ödemeler!$A35="",Ödemeler!$G35="",Ödemeler!$E35=""),"",IF(AND(((Özet!$C$4*12+1)-(YEAR(Ödemeler!$E35)*12+MONTH(Ödemeler!$E35)))&gt;=0,MOD(((Özet!$C$4*12+1)-(YEAR(Ödemeler!$E35)*12+MONTH(Ödemeler!$E35))),Ödemeler!$G35)=0,OR(Ödemeler!$F35="",DATE(Özet!$C$4,1,1)&lt;=Ödemeler!$F35)),Ödemeler!$C35,0))</f>
        <v/>
      </c>
      <c r="C36" s="37" t="str">
        <f aca="false">IF(OR(Ödemeler!$A35="",Ödemeler!$G35="",Ödemeler!$E35=""),"",IF(AND(((Özet!$C$4*12+2)-(YEAR(Ödemeler!$E35)*12+MONTH(Ödemeler!$E35)))&gt;=0,MOD(((Özet!$C$4*12+2)-(YEAR(Ödemeler!$E35)*12+MONTH(Ödemeler!$E35))),Ödemeler!$G35)=0,OR(Ödemeler!$F35="",DATE(Özet!$C$4,2,1)&lt;=Ödemeler!$F35)),Ödemeler!$C35,0))</f>
        <v/>
      </c>
      <c r="D36" s="37" t="str">
        <f aca="false">IF(OR(Ödemeler!$A35="",Ödemeler!$G35="",Ödemeler!$E35=""),"",IF(AND(((Özet!$C$4*12+3)-(YEAR(Ödemeler!$E35)*12+MONTH(Ödemeler!$E35)))&gt;=0,MOD(((Özet!$C$4*12+3)-(YEAR(Ödemeler!$E35)*12+MONTH(Ödemeler!$E35))),Ödemeler!$G35)=0,OR(Ödemeler!$F35="",DATE(Özet!$C$4,3,1)&lt;=Ödemeler!$F35)),Ödemeler!$C35,0))</f>
        <v/>
      </c>
      <c r="E36" s="37" t="str">
        <f aca="false">IF(OR(Ödemeler!$A35="",Ödemeler!$G35="",Ödemeler!$E35=""),"",IF(AND(((Özet!$C$4*12+4)-(YEAR(Ödemeler!$E35)*12+MONTH(Ödemeler!$E35)))&gt;=0,MOD(((Özet!$C$4*12+4)-(YEAR(Ödemeler!$E35)*12+MONTH(Ödemeler!$E35))),Ödemeler!$G35)=0,OR(Ödemeler!$F35="",DATE(Özet!$C$4,4,1)&lt;=Ödemeler!$F35)),Ödemeler!$C35,0))</f>
        <v/>
      </c>
      <c r="F36" s="37" t="str">
        <f aca="false">IF(OR(Ödemeler!$A35="",Ödemeler!$G35="",Ödemeler!$E35=""),"",IF(AND(((Özet!$C$4*12+5)-(YEAR(Ödemeler!$E35)*12+MONTH(Ödemeler!$E35)))&gt;=0,MOD(((Özet!$C$4*12+5)-(YEAR(Ödemeler!$E35)*12+MONTH(Ödemeler!$E35))),Ödemeler!$G35)=0,OR(Ödemeler!$F35="",DATE(Özet!$C$4,5,1)&lt;=Ödemeler!$F35)),Ödemeler!$C35,0))</f>
        <v/>
      </c>
      <c r="G36" s="37" t="str">
        <f aca="false">IF(OR(Ödemeler!$A35="",Ödemeler!$G35="",Ödemeler!$E35=""),"",IF(AND(((Özet!$C$4*12+6)-(YEAR(Ödemeler!$E35)*12+MONTH(Ödemeler!$E35)))&gt;=0,MOD(((Özet!$C$4*12+6)-(YEAR(Ödemeler!$E35)*12+MONTH(Ödemeler!$E35))),Ödemeler!$G35)=0,OR(Ödemeler!$F35="",DATE(Özet!$C$4,6,1)&lt;=Ödemeler!$F35)),Ödemeler!$C35,0))</f>
        <v/>
      </c>
      <c r="H36" s="37" t="str">
        <f aca="false">IF(OR(Ödemeler!$A35="",Ödemeler!$G35="",Ödemeler!$E35=""),"",IF(AND(((Özet!$C$4*12+7)-(YEAR(Ödemeler!$E35)*12+MONTH(Ödemeler!$E35)))&gt;=0,MOD(((Özet!$C$4*12+7)-(YEAR(Ödemeler!$E35)*12+MONTH(Ödemeler!$E35))),Ödemeler!$G35)=0,OR(Ödemeler!$F35="",DATE(Özet!$C$4,7,1)&lt;=Ödemeler!$F35)),Ödemeler!$C35,0))</f>
        <v/>
      </c>
      <c r="I36" s="37" t="str">
        <f aca="false">IF(OR(Ödemeler!$A35="",Ödemeler!$G35="",Ödemeler!$E35=""),"",IF(AND(((Özet!$C$4*12+8)-(YEAR(Ödemeler!$E35)*12+MONTH(Ödemeler!$E35)))&gt;=0,MOD(((Özet!$C$4*12+8)-(YEAR(Ödemeler!$E35)*12+MONTH(Ödemeler!$E35))),Ödemeler!$G35)=0,OR(Ödemeler!$F35="",DATE(Özet!$C$4,8,1)&lt;=Ödemeler!$F35)),Ödemeler!$C35,0))</f>
        <v/>
      </c>
      <c r="J36" s="37" t="str">
        <f aca="false">IF(OR(Ödemeler!$A35="",Ödemeler!$G35="",Ödemeler!$E35=""),"",IF(AND(((Özet!$C$4*12+9)-(YEAR(Ödemeler!$E35)*12+MONTH(Ödemeler!$E35)))&gt;=0,MOD(((Özet!$C$4*12+9)-(YEAR(Ödemeler!$E35)*12+MONTH(Ödemeler!$E35))),Ödemeler!$G35)=0,OR(Ödemeler!$F35="",DATE(Özet!$C$4,9,1)&lt;=Ödemeler!$F35)),Ödemeler!$C35,0))</f>
        <v/>
      </c>
      <c r="K36" s="37" t="str">
        <f aca="false">IF(OR(Ödemeler!$A35="",Ödemeler!$G35="",Ödemeler!$E35=""),"",IF(AND(((Özet!$C$4*12+10)-(YEAR(Ödemeler!$E35)*12+MONTH(Ödemeler!$E35)))&gt;=0,MOD(((Özet!$C$4*12+10)-(YEAR(Ödemeler!$E35)*12+MONTH(Ödemeler!$E35))),Ödemeler!$G35)=0,OR(Ödemeler!$F35="",DATE(Özet!$C$4,10,1)&lt;=Ödemeler!$F35)),Ödemeler!$C35,0))</f>
        <v/>
      </c>
      <c r="L36" s="37" t="str">
        <f aca="false">IF(OR(Ödemeler!$A35="",Ödemeler!$G35="",Ödemeler!$E35=""),"",IF(AND(((Özet!$C$4*12+11)-(YEAR(Ödemeler!$E35)*12+MONTH(Ödemeler!$E35)))&gt;=0,MOD(((Özet!$C$4*12+11)-(YEAR(Ödemeler!$E35)*12+MONTH(Ödemeler!$E35))),Ödemeler!$G35)=0,OR(Ödemeler!$F35="",DATE(Özet!$C$4,11,1)&lt;=Ödemeler!$F35)),Ödemeler!$C35,0))</f>
        <v/>
      </c>
      <c r="M36" s="37" t="str">
        <f aca="false">IF(OR(Ödemeler!$A35="",Ödemeler!$G35="",Ödemeler!$E35=""),"",IF(AND(((Özet!$C$4*12+12)-(YEAR(Ödemeler!$E35)*12+MONTH(Ödemeler!$E35)))&gt;=0,MOD(((Özet!$C$4*12+12)-(YEAR(Ödemeler!$E35)*12+MONTH(Ödemeler!$E35))),Ödemeler!$G35)=0,OR(Ödemeler!$F35="",DATE(Özet!$C$4,12,1)&lt;=Ödemeler!$F35)),Ödemeler!$C35,0))</f>
        <v/>
      </c>
      <c r="N36" s="37" t="str">
        <f aca="false">IF(COUNT(B36:M36)=0,"",SUM(B36:M36))</f>
        <v/>
      </c>
    </row>
    <row r="37" customFormat="false" ht="15" hidden="false" customHeight="false" outlineLevel="0" collapsed="false">
      <c r="A37" s="16" t="str">
        <f aca="false">IF(Ödemeler!A36="","",Ödemeler!A36)</f>
        <v/>
      </c>
      <c r="B37" s="36" t="str">
        <f aca="false">IF(OR(Ödemeler!$A36="",Ödemeler!$G36="",Ödemeler!$E36=""),"",IF(AND(((Özet!$C$4*12+1)-(YEAR(Ödemeler!$E36)*12+MONTH(Ödemeler!$E36)))&gt;=0,MOD(((Özet!$C$4*12+1)-(YEAR(Ödemeler!$E36)*12+MONTH(Ödemeler!$E36))),Ödemeler!$G36)=0,OR(Ödemeler!$F36="",DATE(Özet!$C$4,1,1)&lt;=Ödemeler!$F36)),Ödemeler!$C36,0))</f>
        <v/>
      </c>
      <c r="C37" s="36" t="str">
        <f aca="false">IF(OR(Ödemeler!$A36="",Ödemeler!$G36="",Ödemeler!$E36=""),"",IF(AND(((Özet!$C$4*12+2)-(YEAR(Ödemeler!$E36)*12+MONTH(Ödemeler!$E36)))&gt;=0,MOD(((Özet!$C$4*12+2)-(YEAR(Ödemeler!$E36)*12+MONTH(Ödemeler!$E36))),Ödemeler!$G36)=0,OR(Ödemeler!$F36="",DATE(Özet!$C$4,2,1)&lt;=Ödemeler!$F36)),Ödemeler!$C36,0))</f>
        <v/>
      </c>
      <c r="D37" s="36" t="str">
        <f aca="false">IF(OR(Ödemeler!$A36="",Ödemeler!$G36="",Ödemeler!$E36=""),"",IF(AND(((Özet!$C$4*12+3)-(YEAR(Ödemeler!$E36)*12+MONTH(Ödemeler!$E36)))&gt;=0,MOD(((Özet!$C$4*12+3)-(YEAR(Ödemeler!$E36)*12+MONTH(Ödemeler!$E36))),Ödemeler!$G36)=0,OR(Ödemeler!$F36="",DATE(Özet!$C$4,3,1)&lt;=Ödemeler!$F36)),Ödemeler!$C36,0))</f>
        <v/>
      </c>
      <c r="E37" s="36" t="str">
        <f aca="false">IF(OR(Ödemeler!$A36="",Ödemeler!$G36="",Ödemeler!$E36=""),"",IF(AND(((Özet!$C$4*12+4)-(YEAR(Ödemeler!$E36)*12+MONTH(Ödemeler!$E36)))&gt;=0,MOD(((Özet!$C$4*12+4)-(YEAR(Ödemeler!$E36)*12+MONTH(Ödemeler!$E36))),Ödemeler!$G36)=0,OR(Ödemeler!$F36="",DATE(Özet!$C$4,4,1)&lt;=Ödemeler!$F36)),Ödemeler!$C36,0))</f>
        <v/>
      </c>
      <c r="F37" s="36" t="str">
        <f aca="false">IF(OR(Ödemeler!$A36="",Ödemeler!$G36="",Ödemeler!$E36=""),"",IF(AND(((Özet!$C$4*12+5)-(YEAR(Ödemeler!$E36)*12+MONTH(Ödemeler!$E36)))&gt;=0,MOD(((Özet!$C$4*12+5)-(YEAR(Ödemeler!$E36)*12+MONTH(Ödemeler!$E36))),Ödemeler!$G36)=0,OR(Ödemeler!$F36="",DATE(Özet!$C$4,5,1)&lt;=Ödemeler!$F36)),Ödemeler!$C36,0))</f>
        <v/>
      </c>
      <c r="G37" s="36" t="str">
        <f aca="false">IF(OR(Ödemeler!$A36="",Ödemeler!$G36="",Ödemeler!$E36=""),"",IF(AND(((Özet!$C$4*12+6)-(YEAR(Ödemeler!$E36)*12+MONTH(Ödemeler!$E36)))&gt;=0,MOD(((Özet!$C$4*12+6)-(YEAR(Ödemeler!$E36)*12+MONTH(Ödemeler!$E36))),Ödemeler!$G36)=0,OR(Ödemeler!$F36="",DATE(Özet!$C$4,6,1)&lt;=Ödemeler!$F36)),Ödemeler!$C36,0))</f>
        <v/>
      </c>
      <c r="H37" s="36" t="str">
        <f aca="false">IF(OR(Ödemeler!$A36="",Ödemeler!$G36="",Ödemeler!$E36=""),"",IF(AND(((Özet!$C$4*12+7)-(YEAR(Ödemeler!$E36)*12+MONTH(Ödemeler!$E36)))&gt;=0,MOD(((Özet!$C$4*12+7)-(YEAR(Ödemeler!$E36)*12+MONTH(Ödemeler!$E36))),Ödemeler!$G36)=0,OR(Ödemeler!$F36="",DATE(Özet!$C$4,7,1)&lt;=Ödemeler!$F36)),Ödemeler!$C36,0))</f>
        <v/>
      </c>
      <c r="I37" s="36" t="str">
        <f aca="false">IF(OR(Ödemeler!$A36="",Ödemeler!$G36="",Ödemeler!$E36=""),"",IF(AND(((Özet!$C$4*12+8)-(YEAR(Ödemeler!$E36)*12+MONTH(Ödemeler!$E36)))&gt;=0,MOD(((Özet!$C$4*12+8)-(YEAR(Ödemeler!$E36)*12+MONTH(Ödemeler!$E36))),Ödemeler!$G36)=0,OR(Ödemeler!$F36="",DATE(Özet!$C$4,8,1)&lt;=Ödemeler!$F36)),Ödemeler!$C36,0))</f>
        <v/>
      </c>
      <c r="J37" s="36" t="str">
        <f aca="false">IF(OR(Ödemeler!$A36="",Ödemeler!$G36="",Ödemeler!$E36=""),"",IF(AND(((Özet!$C$4*12+9)-(YEAR(Ödemeler!$E36)*12+MONTH(Ödemeler!$E36)))&gt;=0,MOD(((Özet!$C$4*12+9)-(YEAR(Ödemeler!$E36)*12+MONTH(Ödemeler!$E36))),Ödemeler!$G36)=0,OR(Ödemeler!$F36="",DATE(Özet!$C$4,9,1)&lt;=Ödemeler!$F36)),Ödemeler!$C36,0))</f>
        <v/>
      </c>
      <c r="K37" s="36" t="str">
        <f aca="false">IF(OR(Ödemeler!$A36="",Ödemeler!$G36="",Ödemeler!$E36=""),"",IF(AND(((Özet!$C$4*12+10)-(YEAR(Ödemeler!$E36)*12+MONTH(Ödemeler!$E36)))&gt;=0,MOD(((Özet!$C$4*12+10)-(YEAR(Ödemeler!$E36)*12+MONTH(Ödemeler!$E36))),Ödemeler!$G36)=0,OR(Ödemeler!$F36="",DATE(Özet!$C$4,10,1)&lt;=Ödemeler!$F36)),Ödemeler!$C36,0))</f>
        <v/>
      </c>
      <c r="L37" s="36" t="str">
        <f aca="false">IF(OR(Ödemeler!$A36="",Ödemeler!$G36="",Ödemeler!$E36=""),"",IF(AND(((Özet!$C$4*12+11)-(YEAR(Ödemeler!$E36)*12+MONTH(Ödemeler!$E36)))&gt;=0,MOD(((Özet!$C$4*12+11)-(YEAR(Ödemeler!$E36)*12+MONTH(Ödemeler!$E36))),Ödemeler!$G36)=0,OR(Ödemeler!$F36="",DATE(Özet!$C$4,11,1)&lt;=Ödemeler!$F36)),Ödemeler!$C36,0))</f>
        <v/>
      </c>
      <c r="M37" s="36" t="str">
        <f aca="false">IF(OR(Ödemeler!$A36="",Ödemeler!$G36="",Ödemeler!$E36=""),"",IF(AND(((Özet!$C$4*12+12)-(YEAR(Ödemeler!$E36)*12+MONTH(Ödemeler!$E36)))&gt;=0,MOD(((Özet!$C$4*12+12)-(YEAR(Ödemeler!$E36)*12+MONTH(Ödemeler!$E36))),Ödemeler!$G36)=0,OR(Ödemeler!$F36="",DATE(Özet!$C$4,12,1)&lt;=Ödemeler!$F36)),Ödemeler!$C36,0))</f>
        <v/>
      </c>
      <c r="N37" s="36" t="str">
        <f aca="false">IF(COUNT(B37:M37)=0,"",SUM(B37:M37))</f>
        <v/>
      </c>
    </row>
    <row r="38" customFormat="false" ht="15" hidden="false" customHeight="false" outlineLevel="0" collapsed="false">
      <c r="A38" s="30" t="str">
        <f aca="false">IF(Ödemeler!A37="","",Ödemeler!A37)</f>
        <v/>
      </c>
      <c r="B38" s="37" t="str">
        <f aca="false">IF(OR(Ödemeler!$A37="",Ödemeler!$G37="",Ödemeler!$E37=""),"",IF(AND(((Özet!$C$4*12+1)-(YEAR(Ödemeler!$E37)*12+MONTH(Ödemeler!$E37)))&gt;=0,MOD(((Özet!$C$4*12+1)-(YEAR(Ödemeler!$E37)*12+MONTH(Ödemeler!$E37))),Ödemeler!$G37)=0,OR(Ödemeler!$F37="",DATE(Özet!$C$4,1,1)&lt;=Ödemeler!$F37)),Ödemeler!$C37,0))</f>
        <v/>
      </c>
      <c r="C38" s="37" t="str">
        <f aca="false">IF(OR(Ödemeler!$A37="",Ödemeler!$G37="",Ödemeler!$E37=""),"",IF(AND(((Özet!$C$4*12+2)-(YEAR(Ödemeler!$E37)*12+MONTH(Ödemeler!$E37)))&gt;=0,MOD(((Özet!$C$4*12+2)-(YEAR(Ödemeler!$E37)*12+MONTH(Ödemeler!$E37))),Ödemeler!$G37)=0,OR(Ödemeler!$F37="",DATE(Özet!$C$4,2,1)&lt;=Ödemeler!$F37)),Ödemeler!$C37,0))</f>
        <v/>
      </c>
      <c r="D38" s="37" t="str">
        <f aca="false">IF(OR(Ödemeler!$A37="",Ödemeler!$G37="",Ödemeler!$E37=""),"",IF(AND(((Özet!$C$4*12+3)-(YEAR(Ödemeler!$E37)*12+MONTH(Ödemeler!$E37)))&gt;=0,MOD(((Özet!$C$4*12+3)-(YEAR(Ödemeler!$E37)*12+MONTH(Ödemeler!$E37))),Ödemeler!$G37)=0,OR(Ödemeler!$F37="",DATE(Özet!$C$4,3,1)&lt;=Ödemeler!$F37)),Ödemeler!$C37,0))</f>
        <v/>
      </c>
      <c r="E38" s="37" t="str">
        <f aca="false">IF(OR(Ödemeler!$A37="",Ödemeler!$G37="",Ödemeler!$E37=""),"",IF(AND(((Özet!$C$4*12+4)-(YEAR(Ödemeler!$E37)*12+MONTH(Ödemeler!$E37)))&gt;=0,MOD(((Özet!$C$4*12+4)-(YEAR(Ödemeler!$E37)*12+MONTH(Ödemeler!$E37))),Ödemeler!$G37)=0,OR(Ödemeler!$F37="",DATE(Özet!$C$4,4,1)&lt;=Ödemeler!$F37)),Ödemeler!$C37,0))</f>
        <v/>
      </c>
      <c r="F38" s="37" t="str">
        <f aca="false">IF(OR(Ödemeler!$A37="",Ödemeler!$G37="",Ödemeler!$E37=""),"",IF(AND(((Özet!$C$4*12+5)-(YEAR(Ödemeler!$E37)*12+MONTH(Ödemeler!$E37)))&gt;=0,MOD(((Özet!$C$4*12+5)-(YEAR(Ödemeler!$E37)*12+MONTH(Ödemeler!$E37))),Ödemeler!$G37)=0,OR(Ödemeler!$F37="",DATE(Özet!$C$4,5,1)&lt;=Ödemeler!$F37)),Ödemeler!$C37,0))</f>
        <v/>
      </c>
      <c r="G38" s="37" t="str">
        <f aca="false">IF(OR(Ödemeler!$A37="",Ödemeler!$G37="",Ödemeler!$E37=""),"",IF(AND(((Özet!$C$4*12+6)-(YEAR(Ödemeler!$E37)*12+MONTH(Ödemeler!$E37)))&gt;=0,MOD(((Özet!$C$4*12+6)-(YEAR(Ödemeler!$E37)*12+MONTH(Ödemeler!$E37))),Ödemeler!$G37)=0,OR(Ödemeler!$F37="",DATE(Özet!$C$4,6,1)&lt;=Ödemeler!$F37)),Ödemeler!$C37,0))</f>
        <v/>
      </c>
      <c r="H38" s="37" t="str">
        <f aca="false">IF(OR(Ödemeler!$A37="",Ödemeler!$G37="",Ödemeler!$E37=""),"",IF(AND(((Özet!$C$4*12+7)-(YEAR(Ödemeler!$E37)*12+MONTH(Ödemeler!$E37)))&gt;=0,MOD(((Özet!$C$4*12+7)-(YEAR(Ödemeler!$E37)*12+MONTH(Ödemeler!$E37))),Ödemeler!$G37)=0,OR(Ödemeler!$F37="",DATE(Özet!$C$4,7,1)&lt;=Ödemeler!$F37)),Ödemeler!$C37,0))</f>
        <v/>
      </c>
      <c r="I38" s="37" t="str">
        <f aca="false">IF(OR(Ödemeler!$A37="",Ödemeler!$G37="",Ödemeler!$E37=""),"",IF(AND(((Özet!$C$4*12+8)-(YEAR(Ödemeler!$E37)*12+MONTH(Ödemeler!$E37)))&gt;=0,MOD(((Özet!$C$4*12+8)-(YEAR(Ödemeler!$E37)*12+MONTH(Ödemeler!$E37))),Ödemeler!$G37)=0,OR(Ödemeler!$F37="",DATE(Özet!$C$4,8,1)&lt;=Ödemeler!$F37)),Ödemeler!$C37,0))</f>
        <v/>
      </c>
      <c r="J38" s="37" t="str">
        <f aca="false">IF(OR(Ödemeler!$A37="",Ödemeler!$G37="",Ödemeler!$E37=""),"",IF(AND(((Özet!$C$4*12+9)-(YEAR(Ödemeler!$E37)*12+MONTH(Ödemeler!$E37)))&gt;=0,MOD(((Özet!$C$4*12+9)-(YEAR(Ödemeler!$E37)*12+MONTH(Ödemeler!$E37))),Ödemeler!$G37)=0,OR(Ödemeler!$F37="",DATE(Özet!$C$4,9,1)&lt;=Ödemeler!$F37)),Ödemeler!$C37,0))</f>
        <v/>
      </c>
      <c r="K38" s="37" t="str">
        <f aca="false">IF(OR(Ödemeler!$A37="",Ödemeler!$G37="",Ödemeler!$E37=""),"",IF(AND(((Özet!$C$4*12+10)-(YEAR(Ödemeler!$E37)*12+MONTH(Ödemeler!$E37)))&gt;=0,MOD(((Özet!$C$4*12+10)-(YEAR(Ödemeler!$E37)*12+MONTH(Ödemeler!$E37))),Ödemeler!$G37)=0,OR(Ödemeler!$F37="",DATE(Özet!$C$4,10,1)&lt;=Ödemeler!$F37)),Ödemeler!$C37,0))</f>
        <v/>
      </c>
      <c r="L38" s="37" t="str">
        <f aca="false">IF(OR(Ödemeler!$A37="",Ödemeler!$G37="",Ödemeler!$E37=""),"",IF(AND(((Özet!$C$4*12+11)-(YEAR(Ödemeler!$E37)*12+MONTH(Ödemeler!$E37)))&gt;=0,MOD(((Özet!$C$4*12+11)-(YEAR(Ödemeler!$E37)*12+MONTH(Ödemeler!$E37))),Ödemeler!$G37)=0,OR(Ödemeler!$F37="",DATE(Özet!$C$4,11,1)&lt;=Ödemeler!$F37)),Ödemeler!$C37,0))</f>
        <v/>
      </c>
      <c r="M38" s="37" t="str">
        <f aca="false">IF(OR(Ödemeler!$A37="",Ödemeler!$G37="",Ödemeler!$E37=""),"",IF(AND(((Özet!$C$4*12+12)-(YEAR(Ödemeler!$E37)*12+MONTH(Ödemeler!$E37)))&gt;=0,MOD(((Özet!$C$4*12+12)-(YEAR(Ödemeler!$E37)*12+MONTH(Ödemeler!$E37))),Ödemeler!$G37)=0,OR(Ödemeler!$F37="",DATE(Özet!$C$4,12,1)&lt;=Ödemeler!$F37)),Ödemeler!$C37,0))</f>
        <v/>
      </c>
      <c r="N38" s="37" t="str">
        <f aca="false">IF(COUNT(B38:M38)=0,"",SUM(B38:M38))</f>
        <v/>
      </c>
    </row>
    <row r="39" customFormat="false" ht="15" hidden="false" customHeight="false" outlineLevel="0" collapsed="false">
      <c r="A39" s="16" t="str">
        <f aca="false">IF(Ödemeler!A38="","",Ödemeler!A38)</f>
        <v/>
      </c>
      <c r="B39" s="36" t="str">
        <f aca="false">IF(OR(Ödemeler!$A38="",Ödemeler!$G38="",Ödemeler!$E38=""),"",IF(AND(((Özet!$C$4*12+1)-(YEAR(Ödemeler!$E38)*12+MONTH(Ödemeler!$E38)))&gt;=0,MOD(((Özet!$C$4*12+1)-(YEAR(Ödemeler!$E38)*12+MONTH(Ödemeler!$E38))),Ödemeler!$G38)=0,OR(Ödemeler!$F38="",DATE(Özet!$C$4,1,1)&lt;=Ödemeler!$F38)),Ödemeler!$C38,0))</f>
        <v/>
      </c>
      <c r="C39" s="36" t="str">
        <f aca="false">IF(OR(Ödemeler!$A38="",Ödemeler!$G38="",Ödemeler!$E38=""),"",IF(AND(((Özet!$C$4*12+2)-(YEAR(Ödemeler!$E38)*12+MONTH(Ödemeler!$E38)))&gt;=0,MOD(((Özet!$C$4*12+2)-(YEAR(Ödemeler!$E38)*12+MONTH(Ödemeler!$E38))),Ödemeler!$G38)=0,OR(Ödemeler!$F38="",DATE(Özet!$C$4,2,1)&lt;=Ödemeler!$F38)),Ödemeler!$C38,0))</f>
        <v/>
      </c>
      <c r="D39" s="36" t="str">
        <f aca="false">IF(OR(Ödemeler!$A38="",Ödemeler!$G38="",Ödemeler!$E38=""),"",IF(AND(((Özet!$C$4*12+3)-(YEAR(Ödemeler!$E38)*12+MONTH(Ödemeler!$E38)))&gt;=0,MOD(((Özet!$C$4*12+3)-(YEAR(Ödemeler!$E38)*12+MONTH(Ödemeler!$E38))),Ödemeler!$G38)=0,OR(Ödemeler!$F38="",DATE(Özet!$C$4,3,1)&lt;=Ödemeler!$F38)),Ödemeler!$C38,0))</f>
        <v/>
      </c>
      <c r="E39" s="36" t="str">
        <f aca="false">IF(OR(Ödemeler!$A38="",Ödemeler!$G38="",Ödemeler!$E38=""),"",IF(AND(((Özet!$C$4*12+4)-(YEAR(Ödemeler!$E38)*12+MONTH(Ödemeler!$E38)))&gt;=0,MOD(((Özet!$C$4*12+4)-(YEAR(Ödemeler!$E38)*12+MONTH(Ödemeler!$E38))),Ödemeler!$G38)=0,OR(Ödemeler!$F38="",DATE(Özet!$C$4,4,1)&lt;=Ödemeler!$F38)),Ödemeler!$C38,0))</f>
        <v/>
      </c>
      <c r="F39" s="36" t="str">
        <f aca="false">IF(OR(Ödemeler!$A38="",Ödemeler!$G38="",Ödemeler!$E38=""),"",IF(AND(((Özet!$C$4*12+5)-(YEAR(Ödemeler!$E38)*12+MONTH(Ödemeler!$E38)))&gt;=0,MOD(((Özet!$C$4*12+5)-(YEAR(Ödemeler!$E38)*12+MONTH(Ödemeler!$E38))),Ödemeler!$G38)=0,OR(Ödemeler!$F38="",DATE(Özet!$C$4,5,1)&lt;=Ödemeler!$F38)),Ödemeler!$C38,0))</f>
        <v/>
      </c>
      <c r="G39" s="36" t="str">
        <f aca="false">IF(OR(Ödemeler!$A38="",Ödemeler!$G38="",Ödemeler!$E38=""),"",IF(AND(((Özet!$C$4*12+6)-(YEAR(Ödemeler!$E38)*12+MONTH(Ödemeler!$E38)))&gt;=0,MOD(((Özet!$C$4*12+6)-(YEAR(Ödemeler!$E38)*12+MONTH(Ödemeler!$E38))),Ödemeler!$G38)=0,OR(Ödemeler!$F38="",DATE(Özet!$C$4,6,1)&lt;=Ödemeler!$F38)),Ödemeler!$C38,0))</f>
        <v/>
      </c>
      <c r="H39" s="36" t="str">
        <f aca="false">IF(OR(Ödemeler!$A38="",Ödemeler!$G38="",Ödemeler!$E38=""),"",IF(AND(((Özet!$C$4*12+7)-(YEAR(Ödemeler!$E38)*12+MONTH(Ödemeler!$E38)))&gt;=0,MOD(((Özet!$C$4*12+7)-(YEAR(Ödemeler!$E38)*12+MONTH(Ödemeler!$E38))),Ödemeler!$G38)=0,OR(Ödemeler!$F38="",DATE(Özet!$C$4,7,1)&lt;=Ödemeler!$F38)),Ödemeler!$C38,0))</f>
        <v/>
      </c>
      <c r="I39" s="36" t="str">
        <f aca="false">IF(OR(Ödemeler!$A38="",Ödemeler!$G38="",Ödemeler!$E38=""),"",IF(AND(((Özet!$C$4*12+8)-(YEAR(Ödemeler!$E38)*12+MONTH(Ödemeler!$E38)))&gt;=0,MOD(((Özet!$C$4*12+8)-(YEAR(Ödemeler!$E38)*12+MONTH(Ödemeler!$E38))),Ödemeler!$G38)=0,OR(Ödemeler!$F38="",DATE(Özet!$C$4,8,1)&lt;=Ödemeler!$F38)),Ödemeler!$C38,0))</f>
        <v/>
      </c>
      <c r="J39" s="36" t="str">
        <f aca="false">IF(OR(Ödemeler!$A38="",Ödemeler!$G38="",Ödemeler!$E38=""),"",IF(AND(((Özet!$C$4*12+9)-(YEAR(Ödemeler!$E38)*12+MONTH(Ödemeler!$E38)))&gt;=0,MOD(((Özet!$C$4*12+9)-(YEAR(Ödemeler!$E38)*12+MONTH(Ödemeler!$E38))),Ödemeler!$G38)=0,OR(Ödemeler!$F38="",DATE(Özet!$C$4,9,1)&lt;=Ödemeler!$F38)),Ödemeler!$C38,0))</f>
        <v/>
      </c>
      <c r="K39" s="36" t="str">
        <f aca="false">IF(OR(Ödemeler!$A38="",Ödemeler!$G38="",Ödemeler!$E38=""),"",IF(AND(((Özet!$C$4*12+10)-(YEAR(Ödemeler!$E38)*12+MONTH(Ödemeler!$E38)))&gt;=0,MOD(((Özet!$C$4*12+10)-(YEAR(Ödemeler!$E38)*12+MONTH(Ödemeler!$E38))),Ödemeler!$G38)=0,OR(Ödemeler!$F38="",DATE(Özet!$C$4,10,1)&lt;=Ödemeler!$F38)),Ödemeler!$C38,0))</f>
        <v/>
      </c>
      <c r="L39" s="36" t="str">
        <f aca="false">IF(OR(Ödemeler!$A38="",Ödemeler!$G38="",Ödemeler!$E38=""),"",IF(AND(((Özet!$C$4*12+11)-(YEAR(Ödemeler!$E38)*12+MONTH(Ödemeler!$E38)))&gt;=0,MOD(((Özet!$C$4*12+11)-(YEAR(Ödemeler!$E38)*12+MONTH(Ödemeler!$E38))),Ödemeler!$G38)=0,OR(Ödemeler!$F38="",DATE(Özet!$C$4,11,1)&lt;=Ödemeler!$F38)),Ödemeler!$C38,0))</f>
        <v/>
      </c>
      <c r="M39" s="36" t="str">
        <f aca="false">IF(OR(Ödemeler!$A38="",Ödemeler!$G38="",Ödemeler!$E38=""),"",IF(AND(((Özet!$C$4*12+12)-(YEAR(Ödemeler!$E38)*12+MONTH(Ödemeler!$E38)))&gt;=0,MOD(((Özet!$C$4*12+12)-(YEAR(Ödemeler!$E38)*12+MONTH(Ödemeler!$E38))),Ödemeler!$G38)=0,OR(Ödemeler!$F38="",DATE(Özet!$C$4,12,1)&lt;=Ödemeler!$F38)),Ödemeler!$C38,0))</f>
        <v/>
      </c>
      <c r="N39" s="36" t="str">
        <f aca="false">IF(COUNT(B39:M39)=0,"",SUM(B39:M39))</f>
        <v/>
      </c>
    </row>
    <row r="40" customFormat="false" ht="15" hidden="false" customHeight="false" outlineLevel="0" collapsed="false">
      <c r="A40" s="30" t="str">
        <f aca="false">IF(Ödemeler!A39="","",Ödemeler!A39)</f>
        <v/>
      </c>
      <c r="B40" s="37" t="str">
        <f aca="false">IF(OR(Ödemeler!$A39="",Ödemeler!$G39="",Ödemeler!$E39=""),"",IF(AND(((Özet!$C$4*12+1)-(YEAR(Ödemeler!$E39)*12+MONTH(Ödemeler!$E39)))&gt;=0,MOD(((Özet!$C$4*12+1)-(YEAR(Ödemeler!$E39)*12+MONTH(Ödemeler!$E39))),Ödemeler!$G39)=0,OR(Ödemeler!$F39="",DATE(Özet!$C$4,1,1)&lt;=Ödemeler!$F39)),Ödemeler!$C39,0))</f>
        <v/>
      </c>
      <c r="C40" s="37" t="str">
        <f aca="false">IF(OR(Ödemeler!$A39="",Ödemeler!$G39="",Ödemeler!$E39=""),"",IF(AND(((Özet!$C$4*12+2)-(YEAR(Ödemeler!$E39)*12+MONTH(Ödemeler!$E39)))&gt;=0,MOD(((Özet!$C$4*12+2)-(YEAR(Ödemeler!$E39)*12+MONTH(Ödemeler!$E39))),Ödemeler!$G39)=0,OR(Ödemeler!$F39="",DATE(Özet!$C$4,2,1)&lt;=Ödemeler!$F39)),Ödemeler!$C39,0))</f>
        <v/>
      </c>
      <c r="D40" s="37" t="str">
        <f aca="false">IF(OR(Ödemeler!$A39="",Ödemeler!$G39="",Ödemeler!$E39=""),"",IF(AND(((Özet!$C$4*12+3)-(YEAR(Ödemeler!$E39)*12+MONTH(Ödemeler!$E39)))&gt;=0,MOD(((Özet!$C$4*12+3)-(YEAR(Ödemeler!$E39)*12+MONTH(Ödemeler!$E39))),Ödemeler!$G39)=0,OR(Ödemeler!$F39="",DATE(Özet!$C$4,3,1)&lt;=Ödemeler!$F39)),Ödemeler!$C39,0))</f>
        <v/>
      </c>
      <c r="E40" s="37" t="str">
        <f aca="false">IF(OR(Ödemeler!$A39="",Ödemeler!$G39="",Ödemeler!$E39=""),"",IF(AND(((Özet!$C$4*12+4)-(YEAR(Ödemeler!$E39)*12+MONTH(Ödemeler!$E39)))&gt;=0,MOD(((Özet!$C$4*12+4)-(YEAR(Ödemeler!$E39)*12+MONTH(Ödemeler!$E39))),Ödemeler!$G39)=0,OR(Ödemeler!$F39="",DATE(Özet!$C$4,4,1)&lt;=Ödemeler!$F39)),Ödemeler!$C39,0))</f>
        <v/>
      </c>
      <c r="F40" s="37" t="str">
        <f aca="false">IF(OR(Ödemeler!$A39="",Ödemeler!$G39="",Ödemeler!$E39=""),"",IF(AND(((Özet!$C$4*12+5)-(YEAR(Ödemeler!$E39)*12+MONTH(Ödemeler!$E39)))&gt;=0,MOD(((Özet!$C$4*12+5)-(YEAR(Ödemeler!$E39)*12+MONTH(Ödemeler!$E39))),Ödemeler!$G39)=0,OR(Ödemeler!$F39="",DATE(Özet!$C$4,5,1)&lt;=Ödemeler!$F39)),Ödemeler!$C39,0))</f>
        <v/>
      </c>
      <c r="G40" s="37" t="str">
        <f aca="false">IF(OR(Ödemeler!$A39="",Ödemeler!$G39="",Ödemeler!$E39=""),"",IF(AND(((Özet!$C$4*12+6)-(YEAR(Ödemeler!$E39)*12+MONTH(Ödemeler!$E39)))&gt;=0,MOD(((Özet!$C$4*12+6)-(YEAR(Ödemeler!$E39)*12+MONTH(Ödemeler!$E39))),Ödemeler!$G39)=0,OR(Ödemeler!$F39="",DATE(Özet!$C$4,6,1)&lt;=Ödemeler!$F39)),Ödemeler!$C39,0))</f>
        <v/>
      </c>
      <c r="H40" s="37" t="str">
        <f aca="false">IF(OR(Ödemeler!$A39="",Ödemeler!$G39="",Ödemeler!$E39=""),"",IF(AND(((Özet!$C$4*12+7)-(YEAR(Ödemeler!$E39)*12+MONTH(Ödemeler!$E39)))&gt;=0,MOD(((Özet!$C$4*12+7)-(YEAR(Ödemeler!$E39)*12+MONTH(Ödemeler!$E39))),Ödemeler!$G39)=0,OR(Ödemeler!$F39="",DATE(Özet!$C$4,7,1)&lt;=Ödemeler!$F39)),Ödemeler!$C39,0))</f>
        <v/>
      </c>
      <c r="I40" s="37" t="str">
        <f aca="false">IF(OR(Ödemeler!$A39="",Ödemeler!$G39="",Ödemeler!$E39=""),"",IF(AND(((Özet!$C$4*12+8)-(YEAR(Ödemeler!$E39)*12+MONTH(Ödemeler!$E39)))&gt;=0,MOD(((Özet!$C$4*12+8)-(YEAR(Ödemeler!$E39)*12+MONTH(Ödemeler!$E39))),Ödemeler!$G39)=0,OR(Ödemeler!$F39="",DATE(Özet!$C$4,8,1)&lt;=Ödemeler!$F39)),Ödemeler!$C39,0))</f>
        <v/>
      </c>
      <c r="J40" s="37" t="str">
        <f aca="false">IF(OR(Ödemeler!$A39="",Ödemeler!$G39="",Ödemeler!$E39=""),"",IF(AND(((Özet!$C$4*12+9)-(YEAR(Ödemeler!$E39)*12+MONTH(Ödemeler!$E39)))&gt;=0,MOD(((Özet!$C$4*12+9)-(YEAR(Ödemeler!$E39)*12+MONTH(Ödemeler!$E39))),Ödemeler!$G39)=0,OR(Ödemeler!$F39="",DATE(Özet!$C$4,9,1)&lt;=Ödemeler!$F39)),Ödemeler!$C39,0))</f>
        <v/>
      </c>
      <c r="K40" s="37" t="str">
        <f aca="false">IF(OR(Ödemeler!$A39="",Ödemeler!$G39="",Ödemeler!$E39=""),"",IF(AND(((Özet!$C$4*12+10)-(YEAR(Ödemeler!$E39)*12+MONTH(Ödemeler!$E39)))&gt;=0,MOD(((Özet!$C$4*12+10)-(YEAR(Ödemeler!$E39)*12+MONTH(Ödemeler!$E39))),Ödemeler!$G39)=0,OR(Ödemeler!$F39="",DATE(Özet!$C$4,10,1)&lt;=Ödemeler!$F39)),Ödemeler!$C39,0))</f>
        <v/>
      </c>
      <c r="L40" s="37" t="str">
        <f aca="false">IF(OR(Ödemeler!$A39="",Ödemeler!$G39="",Ödemeler!$E39=""),"",IF(AND(((Özet!$C$4*12+11)-(YEAR(Ödemeler!$E39)*12+MONTH(Ödemeler!$E39)))&gt;=0,MOD(((Özet!$C$4*12+11)-(YEAR(Ödemeler!$E39)*12+MONTH(Ödemeler!$E39))),Ödemeler!$G39)=0,OR(Ödemeler!$F39="",DATE(Özet!$C$4,11,1)&lt;=Ödemeler!$F39)),Ödemeler!$C39,0))</f>
        <v/>
      </c>
      <c r="M40" s="37" t="str">
        <f aca="false">IF(OR(Ödemeler!$A39="",Ödemeler!$G39="",Ödemeler!$E39=""),"",IF(AND(((Özet!$C$4*12+12)-(YEAR(Ödemeler!$E39)*12+MONTH(Ödemeler!$E39)))&gt;=0,MOD(((Özet!$C$4*12+12)-(YEAR(Ödemeler!$E39)*12+MONTH(Ödemeler!$E39))),Ödemeler!$G39)=0,OR(Ödemeler!$F39="",DATE(Özet!$C$4,12,1)&lt;=Ödemeler!$F39)),Ödemeler!$C39,0))</f>
        <v/>
      </c>
      <c r="N40" s="37" t="str">
        <f aca="false">IF(COUNT(B40:M40)=0,"",SUM(B40:M40))</f>
        <v/>
      </c>
    </row>
    <row r="41" customFormat="false" ht="15" hidden="false" customHeight="false" outlineLevel="0" collapsed="false">
      <c r="A41" s="16" t="str">
        <f aca="false">IF(Ödemeler!A40="","",Ödemeler!A40)</f>
        <v/>
      </c>
      <c r="B41" s="36" t="str">
        <f aca="false">IF(OR(Ödemeler!$A40="",Ödemeler!$G40="",Ödemeler!$E40=""),"",IF(AND(((Özet!$C$4*12+1)-(YEAR(Ödemeler!$E40)*12+MONTH(Ödemeler!$E40)))&gt;=0,MOD(((Özet!$C$4*12+1)-(YEAR(Ödemeler!$E40)*12+MONTH(Ödemeler!$E40))),Ödemeler!$G40)=0,OR(Ödemeler!$F40="",DATE(Özet!$C$4,1,1)&lt;=Ödemeler!$F40)),Ödemeler!$C40,0))</f>
        <v/>
      </c>
      <c r="C41" s="36" t="str">
        <f aca="false">IF(OR(Ödemeler!$A40="",Ödemeler!$G40="",Ödemeler!$E40=""),"",IF(AND(((Özet!$C$4*12+2)-(YEAR(Ödemeler!$E40)*12+MONTH(Ödemeler!$E40)))&gt;=0,MOD(((Özet!$C$4*12+2)-(YEAR(Ödemeler!$E40)*12+MONTH(Ödemeler!$E40))),Ödemeler!$G40)=0,OR(Ödemeler!$F40="",DATE(Özet!$C$4,2,1)&lt;=Ödemeler!$F40)),Ödemeler!$C40,0))</f>
        <v/>
      </c>
      <c r="D41" s="36" t="str">
        <f aca="false">IF(OR(Ödemeler!$A40="",Ödemeler!$G40="",Ödemeler!$E40=""),"",IF(AND(((Özet!$C$4*12+3)-(YEAR(Ödemeler!$E40)*12+MONTH(Ödemeler!$E40)))&gt;=0,MOD(((Özet!$C$4*12+3)-(YEAR(Ödemeler!$E40)*12+MONTH(Ödemeler!$E40))),Ödemeler!$G40)=0,OR(Ödemeler!$F40="",DATE(Özet!$C$4,3,1)&lt;=Ödemeler!$F40)),Ödemeler!$C40,0))</f>
        <v/>
      </c>
      <c r="E41" s="36" t="str">
        <f aca="false">IF(OR(Ödemeler!$A40="",Ödemeler!$G40="",Ödemeler!$E40=""),"",IF(AND(((Özet!$C$4*12+4)-(YEAR(Ödemeler!$E40)*12+MONTH(Ödemeler!$E40)))&gt;=0,MOD(((Özet!$C$4*12+4)-(YEAR(Ödemeler!$E40)*12+MONTH(Ödemeler!$E40))),Ödemeler!$G40)=0,OR(Ödemeler!$F40="",DATE(Özet!$C$4,4,1)&lt;=Ödemeler!$F40)),Ödemeler!$C40,0))</f>
        <v/>
      </c>
      <c r="F41" s="36" t="str">
        <f aca="false">IF(OR(Ödemeler!$A40="",Ödemeler!$G40="",Ödemeler!$E40=""),"",IF(AND(((Özet!$C$4*12+5)-(YEAR(Ödemeler!$E40)*12+MONTH(Ödemeler!$E40)))&gt;=0,MOD(((Özet!$C$4*12+5)-(YEAR(Ödemeler!$E40)*12+MONTH(Ödemeler!$E40))),Ödemeler!$G40)=0,OR(Ödemeler!$F40="",DATE(Özet!$C$4,5,1)&lt;=Ödemeler!$F40)),Ödemeler!$C40,0))</f>
        <v/>
      </c>
      <c r="G41" s="36" t="str">
        <f aca="false">IF(OR(Ödemeler!$A40="",Ödemeler!$G40="",Ödemeler!$E40=""),"",IF(AND(((Özet!$C$4*12+6)-(YEAR(Ödemeler!$E40)*12+MONTH(Ödemeler!$E40)))&gt;=0,MOD(((Özet!$C$4*12+6)-(YEAR(Ödemeler!$E40)*12+MONTH(Ödemeler!$E40))),Ödemeler!$G40)=0,OR(Ödemeler!$F40="",DATE(Özet!$C$4,6,1)&lt;=Ödemeler!$F40)),Ödemeler!$C40,0))</f>
        <v/>
      </c>
      <c r="H41" s="36" t="str">
        <f aca="false">IF(OR(Ödemeler!$A40="",Ödemeler!$G40="",Ödemeler!$E40=""),"",IF(AND(((Özet!$C$4*12+7)-(YEAR(Ödemeler!$E40)*12+MONTH(Ödemeler!$E40)))&gt;=0,MOD(((Özet!$C$4*12+7)-(YEAR(Ödemeler!$E40)*12+MONTH(Ödemeler!$E40))),Ödemeler!$G40)=0,OR(Ödemeler!$F40="",DATE(Özet!$C$4,7,1)&lt;=Ödemeler!$F40)),Ödemeler!$C40,0))</f>
        <v/>
      </c>
      <c r="I41" s="36" t="str">
        <f aca="false">IF(OR(Ödemeler!$A40="",Ödemeler!$G40="",Ödemeler!$E40=""),"",IF(AND(((Özet!$C$4*12+8)-(YEAR(Ödemeler!$E40)*12+MONTH(Ödemeler!$E40)))&gt;=0,MOD(((Özet!$C$4*12+8)-(YEAR(Ödemeler!$E40)*12+MONTH(Ödemeler!$E40))),Ödemeler!$G40)=0,OR(Ödemeler!$F40="",DATE(Özet!$C$4,8,1)&lt;=Ödemeler!$F40)),Ödemeler!$C40,0))</f>
        <v/>
      </c>
      <c r="J41" s="36" t="str">
        <f aca="false">IF(OR(Ödemeler!$A40="",Ödemeler!$G40="",Ödemeler!$E40=""),"",IF(AND(((Özet!$C$4*12+9)-(YEAR(Ödemeler!$E40)*12+MONTH(Ödemeler!$E40)))&gt;=0,MOD(((Özet!$C$4*12+9)-(YEAR(Ödemeler!$E40)*12+MONTH(Ödemeler!$E40))),Ödemeler!$G40)=0,OR(Ödemeler!$F40="",DATE(Özet!$C$4,9,1)&lt;=Ödemeler!$F40)),Ödemeler!$C40,0))</f>
        <v/>
      </c>
      <c r="K41" s="36" t="str">
        <f aca="false">IF(OR(Ödemeler!$A40="",Ödemeler!$G40="",Ödemeler!$E40=""),"",IF(AND(((Özet!$C$4*12+10)-(YEAR(Ödemeler!$E40)*12+MONTH(Ödemeler!$E40)))&gt;=0,MOD(((Özet!$C$4*12+10)-(YEAR(Ödemeler!$E40)*12+MONTH(Ödemeler!$E40))),Ödemeler!$G40)=0,OR(Ödemeler!$F40="",DATE(Özet!$C$4,10,1)&lt;=Ödemeler!$F40)),Ödemeler!$C40,0))</f>
        <v/>
      </c>
      <c r="L41" s="36" t="str">
        <f aca="false">IF(OR(Ödemeler!$A40="",Ödemeler!$G40="",Ödemeler!$E40=""),"",IF(AND(((Özet!$C$4*12+11)-(YEAR(Ödemeler!$E40)*12+MONTH(Ödemeler!$E40)))&gt;=0,MOD(((Özet!$C$4*12+11)-(YEAR(Ödemeler!$E40)*12+MONTH(Ödemeler!$E40))),Ödemeler!$G40)=0,OR(Ödemeler!$F40="",DATE(Özet!$C$4,11,1)&lt;=Ödemeler!$F40)),Ödemeler!$C40,0))</f>
        <v/>
      </c>
      <c r="M41" s="36" t="str">
        <f aca="false">IF(OR(Ödemeler!$A40="",Ödemeler!$G40="",Ödemeler!$E40=""),"",IF(AND(((Özet!$C$4*12+12)-(YEAR(Ödemeler!$E40)*12+MONTH(Ödemeler!$E40)))&gt;=0,MOD(((Özet!$C$4*12+12)-(YEAR(Ödemeler!$E40)*12+MONTH(Ödemeler!$E40))),Ödemeler!$G40)=0,OR(Ödemeler!$F40="",DATE(Özet!$C$4,12,1)&lt;=Ödemeler!$F40)),Ödemeler!$C40,0))</f>
        <v/>
      </c>
      <c r="N41" s="36" t="str">
        <f aca="false">IF(COUNT(B41:M41)=0,"",SUM(B41:M41))</f>
        <v/>
      </c>
    </row>
    <row r="42" customFormat="false" ht="15" hidden="false" customHeight="false" outlineLevel="0" collapsed="false">
      <c r="A42" s="30" t="str">
        <f aca="false">IF(Ödemeler!A41="","",Ödemeler!A41)</f>
        <v/>
      </c>
      <c r="B42" s="37" t="str">
        <f aca="false">IF(OR(Ödemeler!$A41="",Ödemeler!$G41="",Ödemeler!$E41=""),"",IF(AND(((Özet!$C$4*12+1)-(YEAR(Ödemeler!$E41)*12+MONTH(Ödemeler!$E41)))&gt;=0,MOD(((Özet!$C$4*12+1)-(YEAR(Ödemeler!$E41)*12+MONTH(Ödemeler!$E41))),Ödemeler!$G41)=0,OR(Ödemeler!$F41="",DATE(Özet!$C$4,1,1)&lt;=Ödemeler!$F41)),Ödemeler!$C41,0))</f>
        <v/>
      </c>
      <c r="C42" s="37" t="str">
        <f aca="false">IF(OR(Ödemeler!$A41="",Ödemeler!$G41="",Ödemeler!$E41=""),"",IF(AND(((Özet!$C$4*12+2)-(YEAR(Ödemeler!$E41)*12+MONTH(Ödemeler!$E41)))&gt;=0,MOD(((Özet!$C$4*12+2)-(YEAR(Ödemeler!$E41)*12+MONTH(Ödemeler!$E41))),Ödemeler!$G41)=0,OR(Ödemeler!$F41="",DATE(Özet!$C$4,2,1)&lt;=Ödemeler!$F41)),Ödemeler!$C41,0))</f>
        <v/>
      </c>
      <c r="D42" s="37" t="str">
        <f aca="false">IF(OR(Ödemeler!$A41="",Ödemeler!$G41="",Ödemeler!$E41=""),"",IF(AND(((Özet!$C$4*12+3)-(YEAR(Ödemeler!$E41)*12+MONTH(Ödemeler!$E41)))&gt;=0,MOD(((Özet!$C$4*12+3)-(YEAR(Ödemeler!$E41)*12+MONTH(Ödemeler!$E41))),Ödemeler!$G41)=0,OR(Ödemeler!$F41="",DATE(Özet!$C$4,3,1)&lt;=Ödemeler!$F41)),Ödemeler!$C41,0))</f>
        <v/>
      </c>
      <c r="E42" s="37" t="str">
        <f aca="false">IF(OR(Ödemeler!$A41="",Ödemeler!$G41="",Ödemeler!$E41=""),"",IF(AND(((Özet!$C$4*12+4)-(YEAR(Ödemeler!$E41)*12+MONTH(Ödemeler!$E41)))&gt;=0,MOD(((Özet!$C$4*12+4)-(YEAR(Ödemeler!$E41)*12+MONTH(Ödemeler!$E41))),Ödemeler!$G41)=0,OR(Ödemeler!$F41="",DATE(Özet!$C$4,4,1)&lt;=Ödemeler!$F41)),Ödemeler!$C41,0))</f>
        <v/>
      </c>
      <c r="F42" s="37" t="str">
        <f aca="false">IF(OR(Ödemeler!$A41="",Ödemeler!$G41="",Ödemeler!$E41=""),"",IF(AND(((Özet!$C$4*12+5)-(YEAR(Ödemeler!$E41)*12+MONTH(Ödemeler!$E41)))&gt;=0,MOD(((Özet!$C$4*12+5)-(YEAR(Ödemeler!$E41)*12+MONTH(Ödemeler!$E41))),Ödemeler!$G41)=0,OR(Ödemeler!$F41="",DATE(Özet!$C$4,5,1)&lt;=Ödemeler!$F41)),Ödemeler!$C41,0))</f>
        <v/>
      </c>
      <c r="G42" s="37" t="str">
        <f aca="false">IF(OR(Ödemeler!$A41="",Ödemeler!$G41="",Ödemeler!$E41=""),"",IF(AND(((Özet!$C$4*12+6)-(YEAR(Ödemeler!$E41)*12+MONTH(Ödemeler!$E41)))&gt;=0,MOD(((Özet!$C$4*12+6)-(YEAR(Ödemeler!$E41)*12+MONTH(Ödemeler!$E41))),Ödemeler!$G41)=0,OR(Ödemeler!$F41="",DATE(Özet!$C$4,6,1)&lt;=Ödemeler!$F41)),Ödemeler!$C41,0))</f>
        <v/>
      </c>
      <c r="H42" s="37" t="str">
        <f aca="false">IF(OR(Ödemeler!$A41="",Ödemeler!$G41="",Ödemeler!$E41=""),"",IF(AND(((Özet!$C$4*12+7)-(YEAR(Ödemeler!$E41)*12+MONTH(Ödemeler!$E41)))&gt;=0,MOD(((Özet!$C$4*12+7)-(YEAR(Ödemeler!$E41)*12+MONTH(Ödemeler!$E41))),Ödemeler!$G41)=0,OR(Ödemeler!$F41="",DATE(Özet!$C$4,7,1)&lt;=Ödemeler!$F41)),Ödemeler!$C41,0))</f>
        <v/>
      </c>
      <c r="I42" s="37" t="str">
        <f aca="false">IF(OR(Ödemeler!$A41="",Ödemeler!$G41="",Ödemeler!$E41=""),"",IF(AND(((Özet!$C$4*12+8)-(YEAR(Ödemeler!$E41)*12+MONTH(Ödemeler!$E41)))&gt;=0,MOD(((Özet!$C$4*12+8)-(YEAR(Ödemeler!$E41)*12+MONTH(Ödemeler!$E41))),Ödemeler!$G41)=0,OR(Ödemeler!$F41="",DATE(Özet!$C$4,8,1)&lt;=Ödemeler!$F41)),Ödemeler!$C41,0))</f>
        <v/>
      </c>
      <c r="J42" s="37" t="str">
        <f aca="false">IF(OR(Ödemeler!$A41="",Ödemeler!$G41="",Ödemeler!$E41=""),"",IF(AND(((Özet!$C$4*12+9)-(YEAR(Ödemeler!$E41)*12+MONTH(Ödemeler!$E41)))&gt;=0,MOD(((Özet!$C$4*12+9)-(YEAR(Ödemeler!$E41)*12+MONTH(Ödemeler!$E41))),Ödemeler!$G41)=0,OR(Ödemeler!$F41="",DATE(Özet!$C$4,9,1)&lt;=Ödemeler!$F41)),Ödemeler!$C41,0))</f>
        <v/>
      </c>
      <c r="K42" s="37" t="str">
        <f aca="false">IF(OR(Ödemeler!$A41="",Ödemeler!$G41="",Ödemeler!$E41=""),"",IF(AND(((Özet!$C$4*12+10)-(YEAR(Ödemeler!$E41)*12+MONTH(Ödemeler!$E41)))&gt;=0,MOD(((Özet!$C$4*12+10)-(YEAR(Ödemeler!$E41)*12+MONTH(Ödemeler!$E41))),Ödemeler!$G41)=0,OR(Ödemeler!$F41="",DATE(Özet!$C$4,10,1)&lt;=Ödemeler!$F41)),Ödemeler!$C41,0))</f>
        <v/>
      </c>
      <c r="L42" s="37" t="str">
        <f aca="false">IF(OR(Ödemeler!$A41="",Ödemeler!$G41="",Ödemeler!$E41=""),"",IF(AND(((Özet!$C$4*12+11)-(YEAR(Ödemeler!$E41)*12+MONTH(Ödemeler!$E41)))&gt;=0,MOD(((Özet!$C$4*12+11)-(YEAR(Ödemeler!$E41)*12+MONTH(Ödemeler!$E41))),Ödemeler!$G41)=0,OR(Ödemeler!$F41="",DATE(Özet!$C$4,11,1)&lt;=Ödemeler!$F41)),Ödemeler!$C41,0))</f>
        <v/>
      </c>
      <c r="M42" s="37" t="str">
        <f aca="false">IF(OR(Ödemeler!$A41="",Ödemeler!$G41="",Ödemeler!$E41=""),"",IF(AND(((Özet!$C$4*12+12)-(YEAR(Ödemeler!$E41)*12+MONTH(Ödemeler!$E41)))&gt;=0,MOD(((Özet!$C$4*12+12)-(YEAR(Ödemeler!$E41)*12+MONTH(Ödemeler!$E41))),Ödemeler!$G41)=0,OR(Ödemeler!$F41="",DATE(Özet!$C$4,12,1)&lt;=Ödemeler!$F41)),Ödemeler!$C41,0))</f>
        <v/>
      </c>
      <c r="N42" s="37" t="str">
        <f aca="false">IF(COUNT(B42:M42)=0,"",SUM(B42:M42))</f>
        <v/>
      </c>
    </row>
    <row r="43" customFormat="false" ht="15" hidden="false" customHeight="false" outlineLevel="0" collapsed="false">
      <c r="A43" s="16" t="str">
        <f aca="false">IF(Ödemeler!A42="","",Ödemeler!A42)</f>
        <v/>
      </c>
      <c r="B43" s="36" t="str">
        <f aca="false">IF(OR(Ödemeler!$A42="",Ödemeler!$G42="",Ödemeler!$E42=""),"",IF(AND(((Özet!$C$4*12+1)-(YEAR(Ödemeler!$E42)*12+MONTH(Ödemeler!$E42)))&gt;=0,MOD(((Özet!$C$4*12+1)-(YEAR(Ödemeler!$E42)*12+MONTH(Ödemeler!$E42))),Ödemeler!$G42)=0,OR(Ödemeler!$F42="",DATE(Özet!$C$4,1,1)&lt;=Ödemeler!$F42)),Ödemeler!$C42,0))</f>
        <v/>
      </c>
      <c r="C43" s="36" t="str">
        <f aca="false">IF(OR(Ödemeler!$A42="",Ödemeler!$G42="",Ödemeler!$E42=""),"",IF(AND(((Özet!$C$4*12+2)-(YEAR(Ödemeler!$E42)*12+MONTH(Ödemeler!$E42)))&gt;=0,MOD(((Özet!$C$4*12+2)-(YEAR(Ödemeler!$E42)*12+MONTH(Ödemeler!$E42))),Ödemeler!$G42)=0,OR(Ödemeler!$F42="",DATE(Özet!$C$4,2,1)&lt;=Ödemeler!$F42)),Ödemeler!$C42,0))</f>
        <v/>
      </c>
      <c r="D43" s="36" t="str">
        <f aca="false">IF(OR(Ödemeler!$A42="",Ödemeler!$G42="",Ödemeler!$E42=""),"",IF(AND(((Özet!$C$4*12+3)-(YEAR(Ödemeler!$E42)*12+MONTH(Ödemeler!$E42)))&gt;=0,MOD(((Özet!$C$4*12+3)-(YEAR(Ödemeler!$E42)*12+MONTH(Ödemeler!$E42))),Ödemeler!$G42)=0,OR(Ödemeler!$F42="",DATE(Özet!$C$4,3,1)&lt;=Ödemeler!$F42)),Ödemeler!$C42,0))</f>
        <v/>
      </c>
      <c r="E43" s="36" t="str">
        <f aca="false">IF(OR(Ödemeler!$A42="",Ödemeler!$G42="",Ödemeler!$E42=""),"",IF(AND(((Özet!$C$4*12+4)-(YEAR(Ödemeler!$E42)*12+MONTH(Ödemeler!$E42)))&gt;=0,MOD(((Özet!$C$4*12+4)-(YEAR(Ödemeler!$E42)*12+MONTH(Ödemeler!$E42))),Ödemeler!$G42)=0,OR(Ödemeler!$F42="",DATE(Özet!$C$4,4,1)&lt;=Ödemeler!$F42)),Ödemeler!$C42,0))</f>
        <v/>
      </c>
      <c r="F43" s="36" t="str">
        <f aca="false">IF(OR(Ödemeler!$A42="",Ödemeler!$G42="",Ödemeler!$E42=""),"",IF(AND(((Özet!$C$4*12+5)-(YEAR(Ödemeler!$E42)*12+MONTH(Ödemeler!$E42)))&gt;=0,MOD(((Özet!$C$4*12+5)-(YEAR(Ödemeler!$E42)*12+MONTH(Ödemeler!$E42))),Ödemeler!$G42)=0,OR(Ödemeler!$F42="",DATE(Özet!$C$4,5,1)&lt;=Ödemeler!$F42)),Ödemeler!$C42,0))</f>
        <v/>
      </c>
      <c r="G43" s="36" t="str">
        <f aca="false">IF(OR(Ödemeler!$A42="",Ödemeler!$G42="",Ödemeler!$E42=""),"",IF(AND(((Özet!$C$4*12+6)-(YEAR(Ödemeler!$E42)*12+MONTH(Ödemeler!$E42)))&gt;=0,MOD(((Özet!$C$4*12+6)-(YEAR(Ödemeler!$E42)*12+MONTH(Ödemeler!$E42))),Ödemeler!$G42)=0,OR(Ödemeler!$F42="",DATE(Özet!$C$4,6,1)&lt;=Ödemeler!$F42)),Ödemeler!$C42,0))</f>
        <v/>
      </c>
      <c r="H43" s="36" t="str">
        <f aca="false">IF(OR(Ödemeler!$A42="",Ödemeler!$G42="",Ödemeler!$E42=""),"",IF(AND(((Özet!$C$4*12+7)-(YEAR(Ödemeler!$E42)*12+MONTH(Ödemeler!$E42)))&gt;=0,MOD(((Özet!$C$4*12+7)-(YEAR(Ödemeler!$E42)*12+MONTH(Ödemeler!$E42))),Ödemeler!$G42)=0,OR(Ödemeler!$F42="",DATE(Özet!$C$4,7,1)&lt;=Ödemeler!$F42)),Ödemeler!$C42,0))</f>
        <v/>
      </c>
      <c r="I43" s="36" t="str">
        <f aca="false">IF(OR(Ödemeler!$A42="",Ödemeler!$G42="",Ödemeler!$E42=""),"",IF(AND(((Özet!$C$4*12+8)-(YEAR(Ödemeler!$E42)*12+MONTH(Ödemeler!$E42)))&gt;=0,MOD(((Özet!$C$4*12+8)-(YEAR(Ödemeler!$E42)*12+MONTH(Ödemeler!$E42))),Ödemeler!$G42)=0,OR(Ödemeler!$F42="",DATE(Özet!$C$4,8,1)&lt;=Ödemeler!$F42)),Ödemeler!$C42,0))</f>
        <v/>
      </c>
      <c r="J43" s="36" t="str">
        <f aca="false">IF(OR(Ödemeler!$A42="",Ödemeler!$G42="",Ödemeler!$E42=""),"",IF(AND(((Özet!$C$4*12+9)-(YEAR(Ödemeler!$E42)*12+MONTH(Ödemeler!$E42)))&gt;=0,MOD(((Özet!$C$4*12+9)-(YEAR(Ödemeler!$E42)*12+MONTH(Ödemeler!$E42))),Ödemeler!$G42)=0,OR(Ödemeler!$F42="",DATE(Özet!$C$4,9,1)&lt;=Ödemeler!$F42)),Ödemeler!$C42,0))</f>
        <v/>
      </c>
      <c r="K43" s="36" t="str">
        <f aca="false">IF(OR(Ödemeler!$A42="",Ödemeler!$G42="",Ödemeler!$E42=""),"",IF(AND(((Özet!$C$4*12+10)-(YEAR(Ödemeler!$E42)*12+MONTH(Ödemeler!$E42)))&gt;=0,MOD(((Özet!$C$4*12+10)-(YEAR(Ödemeler!$E42)*12+MONTH(Ödemeler!$E42))),Ödemeler!$G42)=0,OR(Ödemeler!$F42="",DATE(Özet!$C$4,10,1)&lt;=Ödemeler!$F42)),Ödemeler!$C42,0))</f>
        <v/>
      </c>
      <c r="L43" s="36" t="str">
        <f aca="false">IF(OR(Ödemeler!$A42="",Ödemeler!$G42="",Ödemeler!$E42=""),"",IF(AND(((Özet!$C$4*12+11)-(YEAR(Ödemeler!$E42)*12+MONTH(Ödemeler!$E42)))&gt;=0,MOD(((Özet!$C$4*12+11)-(YEAR(Ödemeler!$E42)*12+MONTH(Ödemeler!$E42))),Ödemeler!$G42)=0,OR(Ödemeler!$F42="",DATE(Özet!$C$4,11,1)&lt;=Ödemeler!$F42)),Ödemeler!$C42,0))</f>
        <v/>
      </c>
      <c r="M43" s="36" t="str">
        <f aca="false">IF(OR(Ödemeler!$A42="",Ödemeler!$G42="",Ödemeler!$E42=""),"",IF(AND(((Özet!$C$4*12+12)-(YEAR(Ödemeler!$E42)*12+MONTH(Ödemeler!$E42)))&gt;=0,MOD(((Özet!$C$4*12+12)-(YEAR(Ödemeler!$E42)*12+MONTH(Ödemeler!$E42))),Ödemeler!$G42)=0,OR(Ödemeler!$F42="",DATE(Özet!$C$4,12,1)&lt;=Ödemeler!$F42)),Ödemeler!$C42,0))</f>
        <v/>
      </c>
      <c r="N43" s="36" t="str">
        <f aca="false">IF(COUNT(B43:M43)=0,"",SUM(B43:M43))</f>
        <v/>
      </c>
    </row>
    <row r="44" customFormat="false" ht="15" hidden="false" customHeight="false" outlineLevel="0" collapsed="false">
      <c r="A44" s="30" t="str">
        <f aca="false">IF(Ödemeler!A43="","",Ödemeler!A43)</f>
        <v/>
      </c>
      <c r="B44" s="37" t="str">
        <f aca="false">IF(OR(Ödemeler!$A43="",Ödemeler!$G43="",Ödemeler!$E43=""),"",IF(AND(((Özet!$C$4*12+1)-(YEAR(Ödemeler!$E43)*12+MONTH(Ödemeler!$E43)))&gt;=0,MOD(((Özet!$C$4*12+1)-(YEAR(Ödemeler!$E43)*12+MONTH(Ödemeler!$E43))),Ödemeler!$G43)=0,OR(Ödemeler!$F43="",DATE(Özet!$C$4,1,1)&lt;=Ödemeler!$F43)),Ödemeler!$C43,0))</f>
        <v/>
      </c>
      <c r="C44" s="37" t="str">
        <f aca="false">IF(OR(Ödemeler!$A43="",Ödemeler!$G43="",Ödemeler!$E43=""),"",IF(AND(((Özet!$C$4*12+2)-(YEAR(Ödemeler!$E43)*12+MONTH(Ödemeler!$E43)))&gt;=0,MOD(((Özet!$C$4*12+2)-(YEAR(Ödemeler!$E43)*12+MONTH(Ödemeler!$E43))),Ödemeler!$G43)=0,OR(Ödemeler!$F43="",DATE(Özet!$C$4,2,1)&lt;=Ödemeler!$F43)),Ödemeler!$C43,0))</f>
        <v/>
      </c>
      <c r="D44" s="37" t="str">
        <f aca="false">IF(OR(Ödemeler!$A43="",Ödemeler!$G43="",Ödemeler!$E43=""),"",IF(AND(((Özet!$C$4*12+3)-(YEAR(Ödemeler!$E43)*12+MONTH(Ödemeler!$E43)))&gt;=0,MOD(((Özet!$C$4*12+3)-(YEAR(Ödemeler!$E43)*12+MONTH(Ödemeler!$E43))),Ödemeler!$G43)=0,OR(Ödemeler!$F43="",DATE(Özet!$C$4,3,1)&lt;=Ödemeler!$F43)),Ödemeler!$C43,0))</f>
        <v/>
      </c>
      <c r="E44" s="37" t="str">
        <f aca="false">IF(OR(Ödemeler!$A43="",Ödemeler!$G43="",Ödemeler!$E43=""),"",IF(AND(((Özet!$C$4*12+4)-(YEAR(Ödemeler!$E43)*12+MONTH(Ödemeler!$E43)))&gt;=0,MOD(((Özet!$C$4*12+4)-(YEAR(Ödemeler!$E43)*12+MONTH(Ödemeler!$E43))),Ödemeler!$G43)=0,OR(Ödemeler!$F43="",DATE(Özet!$C$4,4,1)&lt;=Ödemeler!$F43)),Ödemeler!$C43,0))</f>
        <v/>
      </c>
      <c r="F44" s="37" t="str">
        <f aca="false">IF(OR(Ödemeler!$A43="",Ödemeler!$G43="",Ödemeler!$E43=""),"",IF(AND(((Özet!$C$4*12+5)-(YEAR(Ödemeler!$E43)*12+MONTH(Ödemeler!$E43)))&gt;=0,MOD(((Özet!$C$4*12+5)-(YEAR(Ödemeler!$E43)*12+MONTH(Ödemeler!$E43))),Ödemeler!$G43)=0,OR(Ödemeler!$F43="",DATE(Özet!$C$4,5,1)&lt;=Ödemeler!$F43)),Ödemeler!$C43,0))</f>
        <v/>
      </c>
      <c r="G44" s="37" t="str">
        <f aca="false">IF(OR(Ödemeler!$A43="",Ödemeler!$G43="",Ödemeler!$E43=""),"",IF(AND(((Özet!$C$4*12+6)-(YEAR(Ödemeler!$E43)*12+MONTH(Ödemeler!$E43)))&gt;=0,MOD(((Özet!$C$4*12+6)-(YEAR(Ödemeler!$E43)*12+MONTH(Ödemeler!$E43))),Ödemeler!$G43)=0,OR(Ödemeler!$F43="",DATE(Özet!$C$4,6,1)&lt;=Ödemeler!$F43)),Ödemeler!$C43,0))</f>
        <v/>
      </c>
      <c r="H44" s="37" t="str">
        <f aca="false">IF(OR(Ödemeler!$A43="",Ödemeler!$G43="",Ödemeler!$E43=""),"",IF(AND(((Özet!$C$4*12+7)-(YEAR(Ödemeler!$E43)*12+MONTH(Ödemeler!$E43)))&gt;=0,MOD(((Özet!$C$4*12+7)-(YEAR(Ödemeler!$E43)*12+MONTH(Ödemeler!$E43))),Ödemeler!$G43)=0,OR(Ödemeler!$F43="",DATE(Özet!$C$4,7,1)&lt;=Ödemeler!$F43)),Ödemeler!$C43,0))</f>
        <v/>
      </c>
      <c r="I44" s="37" t="str">
        <f aca="false">IF(OR(Ödemeler!$A43="",Ödemeler!$G43="",Ödemeler!$E43=""),"",IF(AND(((Özet!$C$4*12+8)-(YEAR(Ödemeler!$E43)*12+MONTH(Ödemeler!$E43)))&gt;=0,MOD(((Özet!$C$4*12+8)-(YEAR(Ödemeler!$E43)*12+MONTH(Ödemeler!$E43))),Ödemeler!$G43)=0,OR(Ödemeler!$F43="",DATE(Özet!$C$4,8,1)&lt;=Ödemeler!$F43)),Ödemeler!$C43,0))</f>
        <v/>
      </c>
      <c r="J44" s="37" t="str">
        <f aca="false">IF(OR(Ödemeler!$A43="",Ödemeler!$G43="",Ödemeler!$E43=""),"",IF(AND(((Özet!$C$4*12+9)-(YEAR(Ödemeler!$E43)*12+MONTH(Ödemeler!$E43)))&gt;=0,MOD(((Özet!$C$4*12+9)-(YEAR(Ödemeler!$E43)*12+MONTH(Ödemeler!$E43))),Ödemeler!$G43)=0,OR(Ödemeler!$F43="",DATE(Özet!$C$4,9,1)&lt;=Ödemeler!$F43)),Ödemeler!$C43,0))</f>
        <v/>
      </c>
      <c r="K44" s="37" t="str">
        <f aca="false">IF(OR(Ödemeler!$A43="",Ödemeler!$G43="",Ödemeler!$E43=""),"",IF(AND(((Özet!$C$4*12+10)-(YEAR(Ödemeler!$E43)*12+MONTH(Ödemeler!$E43)))&gt;=0,MOD(((Özet!$C$4*12+10)-(YEAR(Ödemeler!$E43)*12+MONTH(Ödemeler!$E43))),Ödemeler!$G43)=0,OR(Ödemeler!$F43="",DATE(Özet!$C$4,10,1)&lt;=Ödemeler!$F43)),Ödemeler!$C43,0))</f>
        <v/>
      </c>
      <c r="L44" s="37" t="str">
        <f aca="false">IF(OR(Ödemeler!$A43="",Ödemeler!$G43="",Ödemeler!$E43=""),"",IF(AND(((Özet!$C$4*12+11)-(YEAR(Ödemeler!$E43)*12+MONTH(Ödemeler!$E43)))&gt;=0,MOD(((Özet!$C$4*12+11)-(YEAR(Ödemeler!$E43)*12+MONTH(Ödemeler!$E43))),Ödemeler!$G43)=0,OR(Ödemeler!$F43="",DATE(Özet!$C$4,11,1)&lt;=Ödemeler!$F43)),Ödemeler!$C43,0))</f>
        <v/>
      </c>
      <c r="M44" s="37" t="str">
        <f aca="false">IF(OR(Ödemeler!$A43="",Ödemeler!$G43="",Ödemeler!$E43=""),"",IF(AND(((Özet!$C$4*12+12)-(YEAR(Ödemeler!$E43)*12+MONTH(Ödemeler!$E43)))&gt;=0,MOD(((Özet!$C$4*12+12)-(YEAR(Ödemeler!$E43)*12+MONTH(Ödemeler!$E43))),Ödemeler!$G43)=0,OR(Ödemeler!$F43="",DATE(Özet!$C$4,12,1)&lt;=Ödemeler!$F43)),Ödemeler!$C43,0))</f>
        <v/>
      </c>
      <c r="N44" s="37" t="str">
        <f aca="false">IF(COUNT(B44:M44)=0,"",SUM(B44:M44))</f>
        <v/>
      </c>
    </row>
    <row r="45" customFormat="false" ht="15" hidden="false" customHeight="false" outlineLevel="0" collapsed="false">
      <c r="A45" s="16" t="str">
        <f aca="false">IF(Ödemeler!A44="","",Ödemeler!A44)</f>
        <v/>
      </c>
      <c r="B45" s="36" t="str">
        <f aca="false">IF(OR(Ödemeler!$A44="",Ödemeler!$G44="",Ödemeler!$E44=""),"",IF(AND(((Özet!$C$4*12+1)-(YEAR(Ödemeler!$E44)*12+MONTH(Ödemeler!$E44)))&gt;=0,MOD(((Özet!$C$4*12+1)-(YEAR(Ödemeler!$E44)*12+MONTH(Ödemeler!$E44))),Ödemeler!$G44)=0,OR(Ödemeler!$F44="",DATE(Özet!$C$4,1,1)&lt;=Ödemeler!$F44)),Ödemeler!$C44,0))</f>
        <v/>
      </c>
      <c r="C45" s="36" t="str">
        <f aca="false">IF(OR(Ödemeler!$A44="",Ödemeler!$G44="",Ödemeler!$E44=""),"",IF(AND(((Özet!$C$4*12+2)-(YEAR(Ödemeler!$E44)*12+MONTH(Ödemeler!$E44)))&gt;=0,MOD(((Özet!$C$4*12+2)-(YEAR(Ödemeler!$E44)*12+MONTH(Ödemeler!$E44))),Ödemeler!$G44)=0,OR(Ödemeler!$F44="",DATE(Özet!$C$4,2,1)&lt;=Ödemeler!$F44)),Ödemeler!$C44,0))</f>
        <v/>
      </c>
      <c r="D45" s="36" t="str">
        <f aca="false">IF(OR(Ödemeler!$A44="",Ödemeler!$G44="",Ödemeler!$E44=""),"",IF(AND(((Özet!$C$4*12+3)-(YEAR(Ödemeler!$E44)*12+MONTH(Ödemeler!$E44)))&gt;=0,MOD(((Özet!$C$4*12+3)-(YEAR(Ödemeler!$E44)*12+MONTH(Ödemeler!$E44))),Ödemeler!$G44)=0,OR(Ödemeler!$F44="",DATE(Özet!$C$4,3,1)&lt;=Ödemeler!$F44)),Ödemeler!$C44,0))</f>
        <v/>
      </c>
      <c r="E45" s="36" t="str">
        <f aca="false">IF(OR(Ödemeler!$A44="",Ödemeler!$G44="",Ödemeler!$E44=""),"",IF(AND(((Özet!$C$4*12+4)-(YEAR(Ödemeler!$E44)*12+MONTH(Ödemeler!$E44)))&gt;=0,MOD(((Özet!$C$4*12+4)-(YEAR(Ödemeler!$E44)*12+MONTH(Ödemeler!$E44))),Ödemeler!$G44)=0,OR(Ödemeler!$F44="",DATE(Özet!$C$4,4,1)&lt;=Ödemeler!$F44)),Ödemeler!$C44,0))</f>
        <v/>
      </c>
      <c r="F45" s="36" t="str">
        <f aca="false">IF(OR(Ödemeler!$A44="",Ödemeler!$G44="",Ödemeler!$E44=""),"",IF(AND(((Özet!$C$4*12+5)-(YEAR(Ödemeler!$E44)*12+MONTH(Ödemeler!$E44)))&gt;=0,MOD(((Özet!$C$4*12+5)-(YEAR(Ödemeler!$E44)*12+MONTH(Ödemeler!$E44))),Ödemeler!$G44)=0,OR(Ödemeler!$F44="",DATE(Özet!$C$4,5,1)&lt;=Ödemeler!$F44)),Ödemeler!$C44,0))</f>
        <v/>
      </c>
      <c r="G45" s="36" t="str">
        <f aca="false">IF(OR(Ödemeler!$A44="",Ödemeler!$G44="",Ödemeler!$E44=""),"",IF(AND(((Özet!$C$4*12+6)-(YEAR(Ödemeler!$E44)*12+MONTH(Ödemeler!$E44)))&gt;=0,MOD(((Özet!$C$4*12+6)-(YEAR(Ödemeler!$E44)*12+MONTH(Ödemeler!$E44))),Ödemeler!$G44)=0,OR(Ödemeler!$F44="",DATE(Özet!$C$4,6,1)&lt;=Ödemeler!$F44)),Ödemeler!$C44,0))</f>
        <v/>
      </c>
      <c r="H45" s="36" t="str">
        <f aca="false">IF(OR(Ödemeler!$A44="",Ödemeler!$G44="",Ödemeler!$E44=""),"",IF(AND(((Özet!$C$4*12+7)-(YEAR(Ödemeler!$E44)*12+MONTH(Ödemeler!$E44)))&gt;=0,MOD(((Özet!$C$4*12+7)-(YEAR(Ödemeler!$E44)*12+MONTH(Ödemeler!$E44))),Ödemeler!$G44)=0,OR(Ödemeler!$F44="",DATE(Özet!$C$4,7,1)&lt;=Ödemeler!$F44)),Ödemeler!$C44,0))</f>
        <v/>
      </c>
      <c r="I45" s="36" t="str">
        <f aca="false">IF(OR(Ödemeler!$A44="",Ödemeler!$G44="",Ödemeler!$E44=""),"",IF(AND(((Özet!$C$4*12+8)-(YEAR(Ödemeler!$E44)*12+MONTH(Ödemeler!$E44)))&gt;=0,MOD(((Özet!$C$4*12+8)-(YEAR(Ödemeler!$E44)*12+MONTH(Ödemeler!$E44))),Ödemeler!$G44)=0,OR(Ödemeler!$F44="",DATE(Özet!$C$4,8,1)&lt;=Ödemeler!$F44)),Ödemeler!$C44,0))</f>
        <v/>
      </c>
      <c r="J45" s="36" t="str">
        <f aca="false">IF(OR(Ödemeler!$A44="",Ödemeler!$G44="",Ödemeler!$E44=""),"",IF(AND(((Özet!$C$4*12+9)-(YEAR(Ödemeler!$E44)*12+MONTH(Ödemeler!$E44)))&gt;=0,MOD(((Özet!$C$4*12+9)-(YEAR(Ödemeler!$E44)*12+MONTH(Ödemeler!$E44))),Ödemeler!$G44)=0,OR(Ödemeler!$F44="",DATE(Özet!$C$4,9,1)&lt;=Ödemeler!$F44)),Ödemeler!$C44,0))</f>
        <v/>
      </c>
      <c r="K45" s="36" t="str">
        <f aca="false">IF(OR(Ödemeler!$A44="",Ödemeler!$G44="",Ödemeler!$E44=""),"",IF(AND(((Özet!$C$4*12+10)-(YEAR(Ödemeler!$E44)*12+MONTH(Ödemeler!$E44)))&gt;=0,MOD(((Özet!$C$4*12+10)-(YEAR(Ödemeler!$E44)*12+MONTH(Ödemeler!$E44))),Ödemeler!$G44)=0,OR(Ödemeler!$F44="",DATE(Özet!$C$4,10,1)&lt;=Ödemeler!$F44)),Ödemeler!$C44,0))</f>
        <v/>
      </c>
      <c r="L45" s="36" t="str">
        <f aca="false">IF(OR(Ödemeler!$A44="",Ödemeler!$G44="",Ödemeler!$E44=""),"",IF(AND(((Özet!$C$4*12+11)-(YEAR(Ödemeler!$E44)*12+MONTH(Ödemeler!$E44)))&gt;=0,MOD(((Özet!$C$4*12+11)-(YEAR(Ödemeler!$E44)*12+MONTH(Ödemeler!$E44))),Ödemeler!$G44)=0,OR(Ödemeler!$F44="",DATE(Özet!$C$4,11,1)&lt;=Ödemeler!$F44)),Ödemeler!$C44,0))</f>
        <v/>
      </c>
      <c r="M45" s="36" t="str">
        <f aca="false">IF(OR(Ödemeler!$A44="",Ödemeler!$G44="",Ödemeler!$E44=""),"",IF(AND(((Özet!$C$4*12+12)-(YEAR(Ödemeler!$E44)*12+MONTH(Ödemeler!$E44)))&gt;=0,MOD(((Özet!$C$4*12+12)-(YEAR(Ödemeler!$E44)*12+MONTH(Ödemeler!$E44))),Ödemeler!$G44)=0,OR(Ödemeler!$F44="",DATE(Özet!$C$4,12,1)&lt;=Ödemeler!$F44)),Ödemeler!$C44,0))</f>
        <v/>
      </c>
      <c r="N45" s="36" t="str">
        <f aca="false">IF(COUNT(B45:M45)=0,"",SUM(B45:M45))</f>
        <v/>
      </c>
    </row>
    <row r="46" customFormat="false" ht="15" hidden="false" customHeight="false" outlineLevel="0" collapsed="false">
      <c r="A46" s="30" t="str">
        <f aca="false">IF(Ödemeler!A45="","",Ödemeler!A45)</f>
        <v/>
      </c>
      <c r="B46" s="37" t="str">
        <f aca="false">IF(OR(Ödemeler!$A45="",Ödemeler!$G45="",Ödemeler!$E45=""),"",IF(AND(((Özet!$C$4*12+1)-(YEAR(Ödemeler!$E45)*12+MONTH(Ödemeler!$E45)))&gt;=0,MOD(((Özet!$C$4*12+1)-(YEAR(Ödemeler!$E45)*12+MONTH(Ödemeler!$E45))),Ödemeler!$G45)=0,OR(Ödemeler!$F45="",DATE(Özet!$C$4,1,1)&lt;=Ödemeler!$F45)),Ödemeler!$C45,0))</f>
        <v/>
      </c>
      <c r="C46" s="37" t="str">
        <f aca="false">IF(OR(Ödemeler!$A45="",Ödemeler!$G45="",Ödemeler!$E45=""),"",IF(AND(((Özet!$C$4*12+2)-(YEAR(Ödemeler!$E45)*12+MONTH(Ödemeler!$E45)))&gt;=0,MOD(((Özet!$C$4*12+2)-(YEAR(Ödemeler!$E45)*12+MONTH(Ödemeler!$E45))),Ödemeler!$G45)=0,OR(Ödemeler!$F45="",DATE(Özet!$C$4,2,1)&lt;=Ödemeler!$F45)),Ödemeler!$C45,0))</f>
        <v/>
      </c>
      <c r="D46" s="37" t="str">
        <f aca="false">IF(OR(Ödemeler!$A45="",Ödemeler!$G45="",Ödemeler!$E45=""),"",IF(AND(((Özet!$C$4*12+3)-(YEAR(Ödemeler!$E45)*12+MONTH(Ödemeler!$E45)))&gt;=0,MOD(((Özet!$C$4*12+3)-(YEAR(Ödemeler!$E45)*12+MONTH(Ödemeler!$E45))),Ödemeler!$G45)=0,OR(Ödemeler!$F45="",DATE(Özet!$C$4,3,1)&lt;=Ödemeler!$F45)),Ödemeler!$C45,0))</f>
        <v/>
      </c>
      <c r="E46" s="37" t="str">
        <f aca="false">IF(OR(Ödemeler!$A45="",Ödemeler!$G45="",Ödemeler!$E45=""),"",IF(AND(((Özet!$C$4*12+4)-(YEAR(Ödemeler!$E45)*12+MONTH(Ödemeler!$E45)))&gt;=0,MOD(((Özet!$C$4*12+4)-(YEAR(Ödemeler!$E45)*12+MONTH(Ödemeler!$E45))),Ödemeler!$G45)=0,OR(Ödemeler!$F45="",DATE(Özet!$C$4,4,1)&lt;=Ödemeler!$F45)),Ödemeler!$C45,0))</f>
        <v/>
      </c>
      <c r="F46" s="37" t="str">
        <f aca="false">IF(OR(Ödemeler!$A45="",Ödemeler!$G45="",Ödemeler!$E45=""),"",IF(AND(((Özet!$C$4*12+5)-(YEAR(Ödemeler!$E45)*12+MONTH(Ödemeler!$E45)))&gt;=0,MOD(((Özet!$C$4*12+5)-(YEAR(Ödemeler!$E45)*12+MONTH(Ödemeler!$E45))),Ödemeler!$G45)=0,OR(Ödemeler!$F45="",DATE(Özet!$C$4,5,1)&lt;=Ödemeler!$F45)),Ödemeler!$C45,0))</f>
        <v/>
      </c>
      <c r="G46" s="37" t="str">
        <f aca="false">IF(OR(Ödemeler!$A45="",Ödemeler!$G45="",Ödemeler!$E45=""),"",IF(AND(((Özet!$C$4*12+6)-(YEAR(Ödemeler!$E45)*12+MONTH(Ödemeler!$E45)))&gt;=0,MOD(((Özet!$C$4*12+6)-(YEAR(Ödemeler!$E45)*12+MONTH(Ödemeler!$E45))),Ödemeler!$G45)=0,OR(Ödemeler!$F45="",DATE(Özet!$C$4,6,1)&lt;=Ödemeler!$F45)),Ödemeler!$C45,0))</f>
        <v/>
      </c>
      <c r="H46" s="37" t="str">
        <f aca="false">IF(OR(Ödemeler!$A45="",Ödemeler!$G45="",Ödemeler!$E45=""),"",IF(AND(((Özet!$C$4*12+7)-(YEAR(Ödemeler!$E45)*12+MONTH(Ödemeler!$E45)))&gt;=0,MOD(((Özet!$C$4*12+7)-(YEAR(Ödemeler!$E45)*12+MONTH(Ödemeler!$E45))),Ödemeler!$G45)=0,OR(Ödemeler!$F45="",DATE(Özet!$C$4,7,1)&lt;=Ödemeler!$F45)),Ödemeler!$C45,0))</f>
        <v/>
      </c>
      <c r="I46" s="37" t="str">
        <f aca="false">IF(OR(Ödemeler!$A45="",Ödemeler!$G45="",Ödemeler!$E45=""),"",IF(AND(((Özet!$C$4*12+8)-(YEAR(Ödemeler!$E45)*12+MONTH(Ödemeler!$E45)))&gt;=0,MOD(((Özet!$C$4*12+8)-(YEAR(Ödemeler!$E45)*12+MONTH(Ödemeler!$E45))),Ödemeler!$G45)=0,OR(Ödemeler!$F45="",DATE(Özet!$C$4,8,1)&lt;=Ödemeler!$F45)),Ödemeler!$C45,0))</f>
        <v/>
      </c>
      <c r="J46" s="37" t="str">
        <f aca="false">IF(OR(Ödemeler!$A45="",Ödemeler!$G45="",Ödemeler!$E45=""),"",IF(AND(((Özet!$C$4*12+9)-(YEAR(Ödemeler!$E45)*12+MONTH(Ödemeler!$E45)))&gt;=0,MOD(((Özet!$C$4*12+9)-(YEAR(Ödemeler!$E45)*12+MONTH(Ödemeler!$E45))),Ödemeler!$G45)=0,OR(Ödemeler!$F45="",DATE(Özet!$C$4,9,1)&lt;=Ödemeler!$F45)),Ödemeler!$C45,0))</f>
        <v/>
      </c>
      <c r="K46" s="37" t="str">
        <f aca="false">IF(OR(Ödemeler!$A45="",Ödemeler!$G45="",Ödemeler!$E45=""),"",IF(AND(((Özet!$C$4*12+10)-(YEAR(Ödemeler!$E45)*12+MONTH(Ödemeler!$E45)))&gt;=0,MOD(((Özet!$C$4*12+10)-(YEAR(Ödemeler!$E45)*12+MONTH(Ödemeler!$E45))),Ödemeler!$G45)=0,OR(Ödemeler!$F45="",DATE(Özet!$C$4,10,1)&lt;=Ödemeler!$F45)),Ödemeler!$C45,0))</f>
        <v/>
      </c>
      <c r="L46" s="37" t="str">
        <f aca="false">IF(OR(Ödemeler!$A45="",Ödemeler!$G45="",Ödemeler!$E45=""),"",IF(AND(((Özet!$C$4*12+11)-(YEAR(Ödemeler!$E45)*12+MONTH(Ödemeler!$E45)))&gt;=0,MOD(((Özet!$C$4*12+11)-(YEAR(Ödemeler!$E45)*12+MONTH(Ödemeler!$E45))),Ödemeler!$G45)=0,OR(Ödemeler!$F45="",DATE(Özet!$C$4,11,1)&lt;=Ödemeler!$F45)),Ödemeler!$C45,0))</f>
        <v/>
      </c>
      <c r="M46" s="37" t="str">
        <f aca="false">IF(OR(Ödemeler!$A45="",Ödemeler!$G45="",Ödemeler!$E45=""),"",IF(AND(((Özet!$C$4*12+12)-(YEAR(Ödemeler!$E45)*12+MONTH(Ödemeler!$E45)))&gt;=0,MOD(((Özet!$C$4*12+12)-(YEAR(Ödemeler!$E45)*12+MONTH(Ödemeler!$E45))),Ödemeler!$G45)=0,OR(Ödemeler!$F45="",DATE(Özet!$C$4,12,1)&lt;=Ödemeler!$F45)),Ödemeler!$C45,0))</f>
        <v/>
      </c>
      <c r="N46" s="37" t="str">
        <f aca="false">IF(COUNT(B46:M46)=0,"",SUM(B46:M46))</f>
        <v/>
      </c>
    </row>
    <row r="47" customFormat="false" ht="15" hidden="false" customHeight="false" outlineLevel="0" collapsed="false">
      <c r="A47" s="16" t="str">
        <f aca="false">IF(Ödemeler!A46="","",Ödemeler!A46)</f>
        <v/>
      </c>
      <c r="B47" s="36" t="str">
        <f aca="false">IF(OR(Ödemeler!$A46="",Ödemeler!$G46="",Ödemeler!$E46=""),"",IF(AND(((Özet!$C$4*12+1)-(YEAR(Ödemeler!$E46)*12+MONTH(Ödemeler!$E46)))&gt;=0,MOD(((Özet!$C$4*12+1)-(YEAR(Ödemeler!$E46)*12+MONTH(Ödemeler!$E46))),Ödemeler!$G46)=0,OR(Ödemeler!$F46="",DATE(Özet!$C$4,1,1)&lt;=Ödemeler!$F46)),Ödemeler!$C46,0))</f>
        <v/>
      </c>
      <c r="C47" s="36" t="str">
        <f aca="false">IF(OR(Ödemeler!$A46="",Ödemeler!$G46="",Ödemeler!$E46=""),"",IF(AND(((Özet!$C$4*12+2)-(YEAR(Ödemeler!$E46)*12+MONTH(Ödemeler!$E46)))&gt;=0,MOD(((Özet!$C$4*12+2)-(YEAR(Ödemeler!$E46)*12+MONTH(Ödemeler!$E46))),Ödemeler!$G46)=0,OR(Ödemeler!$F46="",DATE(Özet!$C$4,2,1)&lt;=Ödemeler!$F46)),Ödemeler!$C46,0))</f>
        <v/>
      </c>
      <c r="D47" s="36" t="str">
        <f aca="false">IF(OR(Ödemeler!$A46="",Ödemeler!$G46="",Ödemeler!$E46=""),"",IF(AND(((Özet!$C$4*12+3)-(YEAR(Ödemeler!$E46)*12+MONTH(Ödemeler!$E46)))&gt;=0,MOD(((Özet!$C$4*12+3)-(YEAR(Ödemeler!$E46)*12+MONTH(Ödemeler!$E46))),Ödemeler!$G46)=0,OR(Ödemeler!$F46="",DATE(Özet!$C$4,3,1)&lt;=Ödemeler!$F46)),Ödemeler!$C46,0))</f>
        <v/>
      </c>
      <c r="E47" s="36" t="str">
        <f aca="false">IF(OR(Ödemeler!$A46="",Ödemeler!$G46="",Ödemeler!$E46=""),"",IF(AND(((Özet!$C$4*12+4)-(YEAR(Ödemeler!$E46)*12+MONTH(Ödemeler!$E46)))&gt;=0,MOD(((Özet!$C$4*12+4)-(YEAR(Ödemeler!$E46)*12+MONTH(Ödemeler!$E46))),Ödemeler!$G46)=0,OR(Ödemeler!$F46="",DATE(Özet!$C$4,4,1)&lt;=Ödemeler!$F46)),Ödemeler!$C46,0))</f>
        <v/>
      </c>
      <c r="F47" s="36" t="str">
        <f aca="false">IF(OR(Ödemeler!$A46="",Ödemeler!$G46="",Ödemeler!$E46=""),"",IF(AND(((Özet!$C$4*12+5)-(YEAR(Ödemeler!$E46)*12+MONTH(Ödemeler!$E46)))&gt;=0,MOD(((Özet!$C$4*12+5)-(YEAR(Ödemeler!$E46)*12+MONTH(Ödemeler!$E46))),Ödemeler!$G46)=0,OR(Ödemeler!$F46="",DATE(Özet!$C$4,5,1)&lt;=Ödemeler!$F46)),Ödemeler!$C46,0))</f>
        <v/>
      </c>
      <c r="G47" s="36" t="str">
        <f aca="false">IF(OR(Ödemeler!$A46="",Ödemeler!$G46="",Ödemeler!$E46=""),"",IF(AND(((Özet!$C$4*12+6)-(YEAR(Ödemeler!$E46)*12+MONTH(Ödemeler!$E46)))&gt;=0,MOD(((Özet!$C$4*12+6)-(YEAR(Ödemeler!$E46)*12+MONTH(Ödemeler!$E46))),Ödemeler!$G46)=0,OR(Ödemeler!$F46="",DATE(Özet!$C$4,6,1)&lt;=Ödemeler!$F46)),Ödemeler!$C46,0))</f>
        <v/>
      </c>
      <c r="H47" s="36" t="str">
        <f aca="false">IF(OR(Ödemeler!$A46="",Ödemeler!$G46="",Ödemeler!$E46=""),"",IF(AND(((Özet!$C$4*12+7)-(YEAR(Ödemeler!$E46)*12+MONTH(Ödemeler!$E46)))&gt;=0,MOD(((Özet!$C$4*12+7)-(YEAR(Ödemeler!$E46)*12+MONTH(Ödemeler!$E46))),Ödemeler!$G46)=0,OR(Ödemeler!$F46="",DATE(Özet!$C$4,7,1)&lt;=Ödemeler!$F46)),Ödemeler!$C46,0))</f>
        <v/>
      </c>
      <c r="I47" s="36" t="str">
        <f aca="false">IF(OR(Ödemeler!$A46="",Ödemeler!$G46="",Ödemeler!$E46=""),"",IF(AND(((Özet!$C$4*12+8)-(YEAR(Ödemeler!$E46)*12+MONTH(Ödemeler!$E46)))&gt;=0,MOD(((Özet!$C$4*12+8)-(YEAR(Ödemeler!$E46)*12+MONTH(Ödemeler!$E46))),Ödemeler!$G46)=0,OR(Ödemeler!$F46="",DATE(Özet!$C$4,8,1)&lt;=Ödemeler!$F46)),Ödemeler!$C46,0))</f>
        <v/>
      </c>
      <c r="J47" s="36" t="str">
        <f aca="false">IF(OR(Ödemeler!$A46="",Ödemeler!$G46="",Ödemeler!$E46=""),"",IF(AND(((Özet!$C$4*12+9)-(YEAR(Ödemeler!$E46)*12+MONTH(Ödemeler!$E46)))&gt;=0,MOD(((Özet!$C$4*12+9)-(YEAR(Ödemeler!$E46)*12+MONTH(Ödemeler!$E46))),Ödemeler!$G46)=0,OR(Ödemeler!$F46="",DATE(Özet!$C$4,9,1)&lt;=Ödemeler!$F46)),Ödemeler!$C46,0))</f>
        <v/>
      </c>
      <c r="K47" s="36" t="str">
        <f aca="false">IF(OR(Ödemeler!$A46="",Ödemeler!$G46="",Ödemeler!$E46=""),"",IF(AND(((Özet!$C$4*12+10)-(YEAR(Ödemeler!$E46)*12+MONTH(Ödemeler!$E46)))&gt;=0,MOD(((Özet!$C$4*12+10)-(YEAR(Ödemeler!$E46)*12+MONTH(Ödemeler!$E46))),Ödemeler!$G46)=0,OR(Ödemeler!$F46="",DATE(Özet!$C$4,10,1)&lt;=Ödemeler!$F46)),Ödemeler!$C46,0))</f>
        <v/>
      </c>
      <c r="L47" s="36" t="str">
        <f aca="false">IF(OR(Ödemeler!$A46="",Ödemeler!$G46="",Ödemeler!$E46=""),"",IF(AND(((Özet!$C$4*12+11)-(YEAR(Ödemeler!$E46)*12+MONTH(Ödemeler!$E46)))&gt;=0,MOD(((Özet!$C$4*12+11)-(YEAR(Ödemeler!$E46)*12+MONTH(Ödemeler!$E46))),Ödemeler!$G46)=0,OR(Ödemeler!$F46="",DATE(Özet!$C$4,11,1)&lt;=Ödemeler!$F46)),Ödemeler!$C46,0))</f>
        <v/>
      </c>
      <c r="M47" s="36" t="str">
        <f aca="false">IF(OR(Ödemeler!$A46="",Ödemeler!$G46="",Ödemeler!$E46=""),"",IF(AND(((Özet!$C$4*12+12)-(YEAR(Ödemeler!$E46)*12+MONTH(Ödemeler!$E46)))&gt;=0,MOD(((Özet!$C$4*12+12)-(YEAR(Ödemeler!$E46)*12+MONTH(Ödemeler!$E46))),Ödemeler!$G46)=0,OR(Ödemeler!$F46="",DATE(Özet!$C$4,12,1)&lt;=Ödemeler!$F46)),Ödemeler!$C46,0))</f>
        <v/>
      </c>
      <c r="N47" s="36" t="str">
        <f aca="false">IF(COUNT(B47:M47)=0,"",SUM(B47:M47))</f>
        <v/>
      </c>
    </row>
    <row r="48" customFormat="false" ht="15" hidden="false" customHeight="false" outlineLevel="0" collapsed="false">
      <c r="A48" s="30" t="str">
        <f aca="false">IF(Ödemeler!A47="","",Ödemeler!A47)</f>
        <v/>
      </c>
      <c r="B48" s="37" t="str">
        <f aca="false">IF(OR(Ödemeler!$A47="",Ödemeler!$G47="",Ödemeler!$E47=""),"",IF(AND(((Özet!$C$4*12+1)-(YEAR(Ödemeler!$E47)*12+MONTH(Ödemeler!$E47)))&gt;=0,MOD(((Özet!$C$4*12+1)-(YEAR(Ödemeler!$E47)*12+MONTH(Ödemeler!$E47))),Ödemeler!$G47)=0,OR(Ödemeler!$F47="",DATE(Özet!$C$4,1,1)&lt;=Ödemeler!$F47)),Ödemeler!$C47,0))</f>
        <v/>
      </c>
      <c r="C48" s="37" t="str">
        <f aca="false">IF(OR(Ödemeler!$A47="",Ödemeler!$G47="",Ödemeler!$E47=""),"",IF(AND(((Özet!$C$4*12+2)-(YEAR(Ödemeler!$E47)*12+MONTH(Ödemeler!$E47)))&gt;=0,MOD(((Özet!$C$4*12+2)-(YEAR(Ödemeler!$E47)*12+MONTH(Ödemeler!$E47))),Ödemeler!$G47)=0,OR(Ödemeler!$F47="",DATE(Özet!$C$4,2,1)&lt;=Ödemeler!$F47)),Ödemeler!$C47,0))</f>
        <v/>
      </c>
      <c r="D48" s="37" t="str">
        <f aca="false">IF(OR(Ödemeler!$A47="",Ödemeler!$G47="",Ödemeler!$E47=""),"",IF(AND(((Özet!$C$4*12+3)-(YEAR(Ödemeler!$E47)*12+MONTH(Ödemeler!$E47)))&gt;=0,MOD(((Özet!$C$4*12+3)-(YEAR(Ödemeler!$E47)*12+MONTH(Ödemeler!$E47))),Ödemeler!$G47)=0,OR(Ödemeler!$F47="",DATE(Özet!$C$4,3,1)&lt;=Ödemeler!$F47)),Ödemeler!$C47,0))</f>
        <v/>
      </c>
      <c r="E48" s="37" t="str">
        <f aca="false">IF(OR(Ödemeler!$A47="",Ödemeler!$G47="",Ödemeler!$E47=""),"",IF(AND(((Özet!$C$4*12+4)-(YEAR(Ödemeler!$E47)*12+MONTH(Ödemeler!$E47)))&gt;=0,MOD(((Özet!$C$4*12+4)-(YEAR(Ödemeler!$E47)*12+MONTH(Ödemeler!$E47))),Ödemeler!$G47)=0,OR(Ödemeler!$F47="",DATE(Özet!$C$4,4,1)&lt;=Ödemeler!$F47)),Ödemeler!$C47,0))</f>
        <v/>
      </c>
      <c r="F48" s="37" t="str">
        <f aca="false">IF(OR(Ödemeler!$A47="",Ödemeler!$G47="",Ödemeler!$E47=""),"",IF(AND(((Özet!$C$4*12+5)-(YEAR(Ödemeler!$E47)*12+MONTH(Ödemeler!$E47)))&gt;=0,MOD(((Özet!$C$4*12+5)-(YEAR(Ödemeler!$E47)*12+MONTH(Ödemeler!$E47))),Ödemeler!$G47)=0,OR(Ödemeler!$F47="",DATE(Özet!$C$4,5,1)&lt;=Ödemeler!$F47)),Ödemeler!$C47,0))</f>
        <v/>
      </c>
      <c r="G48" s="37" t="str">
        <f aca="false">IF(OR(Ödemeler!$A47="",Ödemeler!$G47="",Ödemeler!$E47=""),"",IF(AND(((Özet!$C$4*12+6)-(YEAR(Ödemeler!$E47)*12+MONTH(Ödemeler!$E47)))&gt;=0,MOD(((Özet!$C$4*12+6)-(YEAR(Ödemeler!$E47)*12+MONTH(Ödemeler!$E47))),Ödemeler!$G47)=0,OR(Ödemeler!$F47="",DATE(Özet!$C$4,6,1)&lt;=Ödemeler!$F47)),Ödemeler!$C47,0))</f>
        <v/>
      </c>
      <c r="H48" s="37" t="str">
        <f aca="false">IF(OR(Ödemeler!$A47="",Ödemeler!$G47="",Ödemeler!$E47=""),"",IF(AND(((Özet!$C$4*12+7)-(YEAR(Ödemeler!$E47)*12+MONTH(Ödemeler!$E47)))&gt;=0,MOD(((Özet!$C$4*12+7)-(YEAR(Ödemeler!$E47)*12+MONTH(Ödemeler!$E47))),Ödemeler!$G47)=0,OR(Ödemeler!$F47="",DATE(Özet!$C$4,7,1)&lt;=Ödemeler!$F47)),Ödemeler!$C47,0))</f>
        <v/>
      </c>
      <c r="I48" s="37" t="str">
        <f aca="false">IF(OR(Ödemeler!$A47="",Ödemeler!$G47="",Ödemeler!$E47=""),"",IF(AND(((Özet!$C$4*12+8)-(YEAR(Ödemeler!$E47)*12+MONTH(Ödemeler!$E47)))&gt;=0,MOD(((Özet!$C$4*12+8)-(YEAR(Ödemeler!$E47)*12+MONTH(Ödemeler!$E47))),Ödemeler!$G47)=0,OR(Ödemeler!$F47="",DATE(Özet!$C$4,8,1)&lt;=Ödemeler!$F47)),Ödemeler!$C47,0))</f>
        <v/>
      </c>
      <c r="J48" s="37" t="str">
        <f aca="false">IF(OR(Ödemeler!$A47="",Ödemeler!$G47="",Ödemeler!$E47=""),"",IF(AND(((Özet!$C$4*12+9)-(YEAR(Ödemeler!$E47)*12+MONTH(Ödemeler!$E47)))&gt;=0,MOD(((Özet!$C$4*12+9)-(YEAR(Ödemeler!$E47)*12+MONTH(Ödemeler!$E47))),Ödemeler!$G47)=0,OR(Ödemeler!$F47="",DATE(Özet!$C$4,9,1)&lt;=Ödemeler!$F47)),Ödemeler!$C47,0))</f>
        <v/>
      </c>
      <c r="K48" s="37" t="str">
        <f aca="false">IF(OR(Ödemeler!$A47="",Ödemeler!$G47="",Ödemeler!$E47=""),"",IF(AND(((Özet!$C$4*12+10)-(YEAR(Ödemeler!$E47)*12+MONTH(Ödemeler!$E47)))&gt;=0,MOD(((Özet!$C$4*12+10)-(YEAR(Ödemeler!$E47)*12+MONTH(Ödemeler!$E47))),Ödemeler!$G47)=0,OR(Ödemeler!$F47="",DATE(Özet!$C$4,10,1)&lt;=Ödemeler!$F47)),Ödemeler!$C47,0))</f>
        <v/>
      </c>
      <c r="L48" s="37" t="str">
        <f aca="false">IF(OR(Ödemeler!$A47="",Ödemeler!$G47="",Ödemeler!$E47=""),"",IF(AND(((Özet!$C$4*12+11)-(YEAR(Ödemeler!$E47)*12+MONTH(Ödemeler!$E47)))&gt;=0,MOD(((Özet!$C$4*12+11)-(YEAR(Ödemeler!$E47)*12+MONTH(Ödemeler!$E47))),Ödemeler!$G47)=0,OR(Ödemeler!$F47="",DATE(Özet!$C$4,11,1)&lt;=Ödemeler!$F47)),Ödemeler!$C47,0))</f>
        <v/>
      </c>
      <c r="M48" s="37" t="str">
        <f aca="false">IF(OR(Ödemeler!$A47="",Ödemeler!$G47="",Ödemeler!$E47=""),"",IF(AND(((Özet!$C$4*12+12)-(YEAR(Ödemeler!$E47)*12+MONTH(Ödemeler!$E47)))&gt;=0,MOD(((Özet!$C$4*12+12)-(YEAR(Ödemeler!$E47)*12+MONTH(Ödemeler!$E47))),Ödemeler!$G47)=0,OR(Ödemeler!$F47="",DATE(Özet!$C$4,12,1)&lt;=Ödemeler!$F47)),Ödemeler!$C47,0))</f>
        <v/>
      </c>
      <c r="N48" s="37" t="str">
        <f aca="false">IF(COUNT(B48:M48)=0,"",SUM(B48:M48))</f>
        <v/>
      </c>
    </row>
    <row r="49" customFormat="false" ht="15" hidden="false" customHeight="false" outlineLevel="0" collapsed="false">
      <c r="A49" s="16" t="str">
        <f aca="false">IF(Ödemeler!A48="","",Ödemeler!A48)</f>
        <v/>
      </c>
      <c r="B49" s="36" t="str">
        <f aca="false">IF(OR(Ödemeler!$A48="",Ödemeler!$G48="",Ödemeler!$E48=""),"",IF(AND(((Özet!$C$4*12+1)-(YEAR(Ödemeler!$E48)*12+MONTH(Ödemeler!$E48)))&gt;=0,MOD(((Özet!$C$4*12+1)-(YEAR(Ödemeler!$E48)*12+MONTH(Ödemeler!$E48))),Ödemeler!$G48)=0,OR(Ödemeler!$F48="",DATE(Özet!$C$4,1,1)&lt;=Ödemeler!$F48)),Ödemeler!$C48,0))</f>
        <v/>
      </c>
      <c r="C49" s="36" t="str">
        <f aca="false">IF(OR(Ödemeler!$A48="",Ödemeler!$G48="",Ödemeler!$E48=""),"",IF(AND(((Özet!$C$4*12+2)-(YEAR(Ödemeler!$E48)*12+MONTH(Ödemeler!$E48)))&gt;=0,MOD(((Özet!$C$4*12+2)-(YEAR(Ödemeler!$E48)*12+MONTH(Ödemeler!$E48))),Ödemeler!$G48)=0,OR(Ödemeler!$F48="",DATE(Özet!$C$4,2,1)&lt;=Ödemeler!$F48)),Ödemeler!$C48,0))</f>
        <v/>
      </c>
      <c r="D49" s="36" t="str">
        <f aca="false">IF(OR(Ödemeler!$A48="",Ödemeler!$G48="",Ödemeler!$E48=""),"",IF(AND(((Özet!$C$4*12+3)-(YEAR(Ödemeler!$E48)*12+MONTH(Ödemeler!$E48)))&gt;=0,MOD(((Özet!$C$4*12+3)-(YEAR(Ödemeler!$E48)*12+MONTH(Ödemeler!$E48))),Ödemeler!$G48)=0,OR(Ödemeler!$F48="",DATE(Özet!$C$4,3,1)&lt;=Ödemeler!$F48)),Ödemeler!$C48,0))</f>
        <v/>
      </c>
      <c r="E49" s="36" t="str">
        <f aca="false">IF(OR(Ödemeler!$A48="",Ödemeler!$G48="",Ödemeler!$E48=""),"",IF(AND(((Özet!$C$4*12+4)-(YEAR(Ödemeler!$E48)*12+MONTH(Ödemeler!$E48)))&gt;=0,MOD(((Özet!$C$4*12+4)-(YEAR(Ödemeler!$E48)*12+MONTH(Ödemeler!$E48))),Ödemeler!$G48)=0,OR(Ödemeler!$F48="",DATE(Özet!$C$4,4,1)&lt;=Ödemeler!$F48)),Ödemeler!$C48,0))</f>
        <v/>
      </c>
      <c r="F49" s="36" t="str">
        <f aca="false">IF(OR(Ödemeler!$A48="",Ödemeler!$G48="",Ödemeler!$E48=""),"",IF(AND(((Özet!$C$4*12+5)-(YEAR(Ödemeler!$E48)*12+MONTH(Ödemeler!$E48)))&gt;=0,MOD(((Özet!$C$4*12+5)-(YEAR(Ödemeler!$E48)*12+MONTH(Ödemeler!$E48))),Ödemeler!$G48)=0,OR(Ödemeler!$F48="",DATE(Özet!$C$4,5,1)&lt;=Ödemeler!$F48)),Ödemeler!$C48,0))</f>
        <v/>
      </c>
      <c r="G49" s="36" t="str">
        <f aca="false">IF(OR(Ödemeler!$A48="",Ödemeler!$G48="",Ödemeler!$E48=""),"",IF(AND(((Özet!$C$4*12+6)-(YEAR(Ödemeler!$E48)*12+MONTH(Ödemeler!$E48)))&gt;=0,MOD(((Özet!$C$4*12+6)-(YEAR(Ödemeler!$E48)*12+MONTH(Ödemeler!$E48))),Ödemeler!$G48)=0,OR(Ödemeler!$F48="",DATE(Özet!$C$4,6,1)&lt;=Ödemeler!$F48)),Ödemeler!$C48,0))</f>
        <v/>
      </c>
      <c r="H49" s="36" t="str">
        <f aca="false">IF(OR(Ödemeler!$A48="",Ödemeler!$G48="",Ödemeler!$E48=""),"",IF(AND(((Özet!$C$4*12+7)-(YEAR(Ödemeler!$E48)*12+MONTH(Ödemeler!$E48)))&gt;=0,MOD(((Özet!$C$4*12+7)-(YEAR(Ödemeler!$E48)*12+MONTH(Ödemeler!$E48))),Ödemeler!$G48)=0,OR(Ödemeler!$F48="",DATE(Özet!$C$4,7,1)&lt;=Ödemeler!$F48)),Ödemeler!$C48,0))</f>
        <v/>
      </c>
      <c r="I49" s="36" t="str">
        <f aca="false">IF(OR(Ödemeler!$A48="",Ödemeler!$G48="",Ödemeler!$E48=""),"",IF(AND(((Özet!$C$4*12+8)-(YEAR(Ödemeler!$E48)*12+MONTH(Ödemeler!$E48)))&gt;=0,MOD(((Özet!$C$4*12+8)-(YEAR(Ödemeler!$E48)*12+MONTH(Ödemeler!$E48))),Ödemeler!$G48)=0,OR(Ödemeler!$F48="",DATE(Özet!$C$4,8,1)&lt;=Ödemeler!$F48)),Ödemeler!$C48,0))</f>
        <v/>
      </c>
      <c r="J49" s="36" t="str">
        <f aca="false">IF(OR(Ödemeler!$A48="",Ödemeler!$G48="",Ödemeler!$E48=""),"",IF(AND(((Özet!$C$4*12+9)-(YEAR(Ödemeler!$E48)*12+MONTH(Ödemeler!$E48)))&gt;=0,MOD(((Özet!$C$4*12+9)-(YEAR(Ödemeler!$E48)*12+MONTH(Ödemeler!$E48))),Ödemeler!$G48)=0,OR(Ödemeler!$F48="",DATE(Özet!$C$4,9,1)&lt;=Ödemeler!$F48)),Ödemeler!$C48,0))</f>
        <v/>
      </c>
      <c r="K49" s="36" t="str">
        <f aca="false">IF(OR(Ödemeler!$A48="",Ödemeler!$G48="",Ödemeler!$E48=""),"",IF(AND(((Özet!$C$4*12+10)-(YEAR(Ödemeler!$E48)*12+MONTH(Ödemeler!$E48)))&gt;=0,MOD(((Özet!$C$4*12+10)-(YEAR(Ödemeler!$E48)*12+MONTH(Ödemeler!$E48))),Ödemeler!$G48)=0,OR(Ödemeler!$F48="",DATE(Özet!$C$4,10,1)&lt;=Ödemeler!$F48)),Ödemeler!$C48,0))</f>
        <v/>
      </c>
      <c r="L49" s="36" t="str">
        <f aca="false">IF(OR(Ödemeler!$A48="",Ödemeler!$G48="",Ödemeler!$E48=""),"",IF(AND(((Özet!$C$4*12+11)-(YEAR(Ödemeler!$E48)*12+MONTH(Ödemeler!$E48)))&gt;=0,MOD(((Özet!$C$4*12+11)-(YEAR(Ödemeler!$E48)*12+MONTH(Ödemeler!$E48))),Ödemeler!$G48)=0,OR(Ödemeler!$F48="",DATE(Özet!$C$4,11,1)&lt;=Ödemeler!$F48)),Ödemeler!$C48,0))</f>
        <v/>
      </c>
      <c r="M49" s="36" t="str">
        <f aca="false">IF(OR(Ödemeler!$A48="",Ödemeler!$G48="",Ödemeler!$E48=""),"",IF(AND(((Özet!$C$4*12+12)-(YEAR(Ödemeler!$E48)*12+MONTH(Ödemeler!$E48)))&gt;=0,MOD(((Özet!$C$4*12+12)-(YEAR(Ödemeler!$E48)*12+MONTH(Ödemeler!$E48))),Ödemeler!$G48)=0,OR(Ödemeler!$F48="",DATE(Özet!$C$4,12,1)&lt;=Ödemeler!$F48)),Ödemeler!$C48,0))</f>
        <v/>
      </c>
      <c r="N49" s="36" t="str">
        <f aca="false">IF(COUNT(B49:M49)=0,"",SUM(B49:M49))</f>
        <v/>
      </c>
    </row>
    <row r="50" customFormat="false" ht="15" hidden="false" customHeight="false" outlineLevel="0" collapsed="false">
      <c r="A50" s="30" t="str">
        <f aca="false">IF(Ödemeler!A49="","",Ödemeler!A49)</f>
        <v/>
      </c>
      <c r="B50" s="37" t="str">
        <f aca="false">IF(OR(Ödemeler!$A49="",Ödemeler!$G49="",Ödemeler!$E49=""),"",IF(AND(((Özet!$C$4*12+1)-(YEAR(Ödemeler!$E49)*12+MONTH(Ödemeler!$E49)))&gt;=0,MOD(((Özet!$C$4*12+1)-(YEAR(Ödemeler!$E49)*12+MONTH(Ödemeler!$E49))),Ödemeler!$G49)=0,OR(Ödemeler!$F49="",DATE(Özet!$C$4,1,1)&lt;=Ödemeler!$F49)),Ödemeler!$C49,0))</f>
        <v/>
      </c>
      <c r="C50" s="37" t="str">
        <f aca="false">IF(OR(Ödemeler!$A49="",Ödemeler!$G49="",Ödemeler!$E49=""),"",IF(AND(((Özet!$C$4*12+2)-(YEAR(Ödemeler!$E49)*12+MONTH(Ödemeler!$E49)))&gt;=0,MOD(((Özet!$C$4*12+2)-(YEAR(Ödemeler!$E49)*12+MONTH(Ödemeler!$E49))),Ödemeler!$G49)=0,OR(Ödemeler!$F49="",DATE(Özet!$C$4,2,1)&lt;=Ödemeler!$F49)),Ödemeler!$C49,0))</f>
        <v/>
      </c>
      <c r="D50" s="37" t="str">
        <f aca="false">IF(OR(Ödemeler!$A49="",Ödemeler!$G49="",Ödemeler!$E49=""),"",IF(AND(((Özet!$C$4*12+3)-(YEAR(Ödemeler!$E49)*12+MONTH(Ödemeler!$E49)))&gt;=0,MOD(((Özet!$C$4*12+3)-(YEAR(Ödemeler!$E49)*12+MONTH(Ödemeler!$E49))),Ödemeler!$G49)=0,OR(Ödemeler!$F49="",DATE(Özet!$C$4,3,1)&lt;=Ödemeler!$F49)),Ödemeler!$C49,0))</f>
        <v/>
      </c>
      <c r="E50" s="37" t="str">
        <f aca="false">IF(OR(Ödemeler!$A49="",Ödemeler!$G49="",Ödemeler!$E49=""),"",IF(AND(((Özet!$C$4*12+4)-(YEAR(Ödemeler!$E49)*12+MONTH(Ödemeler!$E49)))&gt;=0,MOD(((Özet!$C$4*12+4)-(YEAR(Ödemeler!$E49)*12+MONTH(Ödemeler!$E49))),Ödemeler!$G49)=0,OR(Ödemeler!$F49="",DATE(Özet!$C$4,4,1)&lt;=Ödemeler!$F49)),Ödemeler!$C49,0))</f>
        <v/>
      </c>
      <c r="F50" s="37" t="str">
        <f aca="false">IF(OR(Ödemeler!$A49="",Ödemeler!$G49="",Ödemeler!$E49=""),"",IF(AND(((Özet!$C$4*12+5)-(YEAR(Ödemeler!$E49)*12+MONTH(Ödemeler!$E49)))&gt;=0,MOD(((Özet!$C$4*12+5)-(YEAR(Ödemeler!$E49)*12+MONTH(Ödemeler!$E49))),Ödemeler!$G49)=0,OR(Ödemeler!$F49="",DATE(Özet!$C$4,5,1)&lt;=Ödemeler!$F49)),Ödemeler!$C49,0))</f>
        <v/>
      </c>
      <c r="G50" s="37" t="str">
        <f aca="false">IF(OR(Ödemeler!$A49="",Ödemeler!$G49="",Ödemeler!$E49=""),"",IF(AND(((Özet!$C$4*12+6)-(YEAR(Ödemeler!$E49)*12+MONTH(Ödemeler!$E49)))&gt;=0,MOD(((Özet!$C$4*12+6)-(YEAR(Ödemeler!$E49)*12+MONTH(Ödemeler!$E49))),Ödemeler!$G49)=0,OR(Ödemeler!$F49="",DATE(Özet!$C$4,6,1)&lt;=Ödemeler!$F49)),Ödemeler!$C49,0))</f>
        <v/>
      </c>
      <c r="H50" s="37" t="str">
        <f aca="false">IF(OR(Ödemeler!$A49="",Ödemeler!$G49="",Ödemeler!$E49=""),"",IF(AND(((Özet!$C$4*12+7)-(YEAR(Ödemeler!$E49)*12+MONTH(Ödemeler!$E49)))&gt;=0,MOD(((Özet!$C$4*12+7)-(YEAR(Ödemeler!$E49)*12+MONTH(Ödemeler!$E49))),Ödemeler!$G49)=0,OR(Ödemeler!$F49="",DATE(Özet!$C$4,7,1)&lt;=Ödemeler!$F49)),Ödemeler!$C49,0))</f>
        <v/>
      </c>
      <c r="I50" s="37" t="str">
        <f aca="false">IF(OR(Ödemeler!$A49="",Ödemeler!$G49="",Ödemeler!$E49=""),"",IF(AND(((Özet!$C$4*12+8)-(YEAR(Ödemeler!$E49)*12+MONTH(Ödemeler!$E49)))&gt;=0,MOD(((Özet!$C$4*12+8)-(YEAR(Ödemeler!$E49)*12+MONTH(Ödemeler!$E49))),Ödemeler!$G49)=0,OR(Ödemeler!$F49="",DATE(Özet!$C$4,8,1)&lt;=Ödemeler!$F49)),Ödemeler!$C49,0))</f>
        <v/>
      </c>
      <c r="J50" s="37" t="str">
        <f aca="false">IF(OR(Ödemeler!$A49="",Ödemeler!$G49="",Ödemeler!$E49=""),"",IF(AND(((Özet!$C$4*12+9)-(YEAR(Ödemeler!$E49)*12+MONTH(Ödemeler!$E49)))&gt;=0,MOD(((Özet!$C$4*12+9)-(YEAR(Ödemeler!$E49)*12+MONTH(Ödemeler!$E49))),Ödemeler!$G49)=0,OR(Ödemeler!$F49="",DATE(Özet!$C$4,9,1)&lt;=Ödemeler!$F49)),Ödemeler!$C49,0))</f>
        <v/>
      </c>
      <c r="K50" s="37" t="str">
        <f aca="false">IF(OR(Ödemeler!$A49="",Ödemeler!$G49="",Ödemeler!$E49=""),"",IF(AND(((Özet!$C$4*12+10)-(YEAR(Ödemeler!$E49)*12+MONTH(Ödemeler!$E49)))&gt;=0,MOD(((Özet!$C$4*12+10)-(YEAR(Ödemeler!$E49)*12+MONTH(Ödemeler!$E49))),Ödemeler!$G49)=0,OR(Ödemeler!$F49="",DATE(Özet!$C$4,10,1)&lt;=Ödemeler!$F49)),Ödemeler!$C49,0))</f>
        <v/>
      </c>
      <c r="L50" s="37" t="str">
        <f aca="false">IF(OR(Ödemeler!$A49="",Ödemeler!$G49="",Ödemeler!$E49=""),"",IF(AND(((Özet!$C$4*12+11)-(YEAR(Ödemeler!$E49)*12+MONTH(Ödemeler!$E49)))&gt;=0,MOD(((Özet!$C$4*12+11)-(YEAR(Ödemeler!$E49)*12+MONTH(Ödemeler!$E49))),Ödemeler!$G49)=0,OR(Ödemeler!$F49="",DATE(Özet!$C$4,11,1)&lt;=Ödemeler!$F49)),Ödemeler!$C49,0))</f>
        <v/>
      </c>
      <c r="M50" s="37" t="str">
        <f aca="false">IF(OR(Ödemeler!$A49="",Ödemeler!$G49="",Ödemeler!$E49=""),"",IF(AND(((Özet!$C$4*12+12)-(YEAR(Ödemeler!$E49)*12+MONTH(Ödemeler!$E49)))&gt;=0,MOD(((Özet!$C$4*12+12)-(YEAR(Ödemeler!$E49)*12+MONTH(Ödemeler!$E49))),Ödemeler!$G49)=0,OR(Ödemeler!$F49="",DATE(Özet!$C$4,12,1)&lt;=Ödemeler!$F49)),Ödemeler!$C49,0))</f>
        <v/>
      </c>
      <c r="N50" s="37" t="str">
        <f aca="false">IF(COUNT(B50:M50)=0,"",SUM(B50:M50))</f>
        <v/>
      </c>
    </row>
    <row r="51" customFormat="false" ht="15" hidden="false" customHeight="false" outlineLevel="0" collapsed="false">
      <c r="A51" s="16" t="str">
        <f aca="false">IF(Ödemeler!A50="","",Ödemeler!A50)</f>
        <v/>
      </c>
      <c r="B51" s="36" t="str">
        <f aca="false">IF(OR(Ödemeler!$A50="",Ödemeler!$G50="",Ödemeler!$E50=""),"",IF(AND(((Özet!$C$4*12+1)-(YEAR(Ödemeler!$E50)*12+MONTH(Ödemeler!$E50)))&gt;=0,MOD(((Özet!$C$4*12+1)-(YEAR(Ödemeler!$E50)*12+MONTH(Ödemeler!$E50))),Ödemeler!$G50)=0,OR(Ödemeler!$F50="",DATE(Özet!$C$4,1,1)&lt;=Ödemeler!$F50)),Ödemeler!$C50,0))</f>
        <v/>
      </c>
      <c r="C51" s="36" t="str">
        <f aca="false">IF(OR(Ödemeler!$A50="",Ödemeler!$G50="",Ödemeler!$E50=""),"",IF(AND(((Özet!$C$4*12+2)-(YEAR(Ödemeler!$E50)*12+MONTH(Ödemeler!$E50)))&gt;=0,MOD(((Özet!$C$4*12+2)-(YEAR(Ödemeler!$E50)*12+MONTH(Ödemeler!$E50))),Ödemeler!$G50)=0,OR(Ödemeler!$F50="",DATE(Özet!$C$4,2,1)&lt;=Ödemeler!$F50)),Ödemeler!$C50,0))</f>
        <v/>
      </c>
      <c r="D51" s="36" t="str">
        <f aca="false">IF(OR(Ödemeler!$A50="",Ödemeler!$G50="",Ödemeler!$E50=""),"",IF(AND(((Özet!$C$4*12+3)-(YEAR(Ödemeler!$E50)*12+MONTH(Ödemeler!$E50)))&gt;=0,MOD(((Özet!$C$4*12+3)-(YEAR(Ödemeler!$E50)*12+MONTH(Ödemeler!$E50))),Ödemeler!$G50)=0,OR(Ödemeler!$F50="",DATE(Özet!$C$4,3,1)&lt;=Ödemeler!$F50)),Ödemeler!$C50,0))</f>
        <v/>
      </c>
      <c r="E51" s="36" t="str">
        <f aca="false">IF(OR(Ödemeler!$A50="",Ödemeler!$G50="",Ödemeler!$E50=""),"",IF(AND(((Özet!$C$4*12+4)-(YEAR(Ödemeler!$E50)*12+MONTH(Ödemeler!$E50)))&gt;=0,MOD(((Özet!$C$4*12+4)-(YEAR(Ödemeler!$E50)*12+MONTH(Ödemeler!$E50))),Ödemeler!$G50)=0,OR(Ödemeler!$F50="",DATE(Özet!$C$4,4,1)&lt;=Ödemeler!$F50)),Ödemeler!$C50,0))</f>
        <v/>
      </c>
      <c r="F51" s="36" t="str">
        <f aca="false">IF(OR(Ödemeler!$A50="",Ödemeler!$G50="",Ödemeler!$E50=""),"",IF(AND(((Özet!$C$4*12+5)-(YEAR(Ödemeler!$E50)*12+MONTH(Ödemeler!$E50)))&gt;=0,MOD(((Özet!$C$4*12+5)-(YEAR(Ödemeler!$E50)*12+MONTH(Ödemeler!$E50))),Ödemeler!$G50)=0,OR(Ödemeler!$F50="",DATE(Özet!$C$4,5,1)&lt;=Ödemeler!$F50)),Ödemeler!$C50,0))</f>
        <v/>
      </c>
      <c r="G51" s="36" t="str">
        <f aca="false">IF(OR(Ödemeler!$A50="",Ödemeler!$G50="",Ödemeler!$E50=""),"",IF(AND(((Özet!$C$4*12+6)-(YEAR(Ödemeler!$E50)*12+MONTH(Ödemeler!$E50)))&gt;=0,MOD(((Özet!$C$4*12+6)-(YEAR(Ödemeler!$E50)*12+MONTH(Ödemeler!$E50))),Ödemeler!$G50)=0,OR(Ödemeler!$F50="",DATE(Özet!$C$4,6,1)&lt;=Ödemeler!$F50)),Ödemeler!$C50,0))</f>
        <v/>
      </c>
      <c r="H51" s="36" t="str">
        <f aca="false">IF(OR(Ödemeler!$A50="",Ödemeler!$G50="",Ödemeler!$E50=""),"",IF(AND(((Özet!$C$4*12+7)-(YEAR(Ödemeler!$E50)*12+MONTH(Ödemeler!$E50)))&gt;=0,MOD(((Özet!$C$4*12+7)-(YEAR(Ödemeler!$E50)*12+MONTH(Ödemeler!$E50))),Ödemeler!$G50)=0,OR(Ödemeler!$F50="",DATE(Özet!$C$4,7,1)&lt;=Ödemeler!$F50)),Ödemeler!$C50,0))</f>
        <v/>
      </c>
      <c r="I51" s="36" t="str">
        <f aca="false">IF(OR(Ödemeler!$A50="",Ödemeler!$G50="",Ödemeler!$E50=""),"",IF(AND(((Özet!$C$4*12+8)-(YEAR(Ödemeler!$E50)*12+MONTH(Ödemeler!$E50)))&gt;=0,MOD(((Özet!$C$4*12+8)-(YEAR(Ödemeler!$E50)*12+MONTH(Ödemeler!$E50))),Ödemeler!$G50)=0,OR(Ödemeler!$F50="",DATE(Özet!$C$4,8,1)&lt;=Ödemeler!$F50)),Ödemeler!$C50,0))</f>
        <v/>
      </c>
      <c r="J51" s="36" t="str">
        <f aca="false">IF(OR(Ödemeler!$A50="",Ödemeler!$G50="",Ödemeler!$E50=""),"",IF(AND(((Özet!$C$4*12+9)-(YEAR(Ödemeler!$E50)*12+MONTH(Ödemeler!$E50)))&gt;=0,MOD(((Özet!$C$4*12+9)-(YEAR(Ödemeler!$E50)*12+MONTH(Ödemeler!$E50))),Ödemeler!$G50)=0,OR(Ödemeler!$F50="",DATE(Özet!$C$4,9,1)&lt;=Ödemeler!$F50)),Ödemeler!$C50,0))</f>
        <v/>
      </c>
      <c r="K51" s="36" t="str">
        <f aca="false">IF(OR(Ödemeler!$A50="",Ödemeler!$G50="",Ödemeler!$E50=""),"",IF(AND(((Özet!$C$4*12+10)-(YEAR(Ödemeler!$E50)*12+MONTH(Ödemeler!$E50)))&gt;=0,MOD(((Özet!$C$4*12+10)-(YEAR(Ödemeler!$E50)*12+MONTH(Ödemeler!$E50))),Ödemeler!$G50)=0,OR(Ödemeler!$F50="",DATE(Özet!$C$4,10,1)&lt;=Ödemeler!$F50)),Ödemeler!$C50,0))</f>
        <v/>
      </c>
      <c r="L51" s="36" t="str">
        <f aca="false">IF(OR(Ödemeler!$A50="",Ödemeler!$G50="",Ödemeler!$E50=""),"",IF(AND(((Özet!$C$4*12+11)-(YEAR(Ödemeler!$E50)*12+MONTH(Ödemeler!$E50)))&gt;=0,MOD(((Özet!$C$4*12+11)-(YEAR(Ödemeler!$E50)*12+MONTH(Ödemeler!$E50))),Ödemeler!$G50)=0,OR(Ödemeler!$F50="",DATE(Özet!$C$4,11,1)&lt;=Ödemeler!$F50)),Ödemeler!$C50,0))</f>
        <v/>
      </c>
      <c r="M51" s="36" t="str">
        <f aca="false">IF(OR(Ödemeler!$A50="",Ödemeler!$G50="",Ödemeler!$E50=""),"",IF(AND(((Özet!$C$4*12+12)-(YEAR(Ödemeler!$E50)*12+MONTH(Ödemeler!$E50)))&gt;=0,MOD(((Özet!$C$4*12+12)-(YEAR(Ödemeler!$E50)*12+MONTH(Ödemeler!$E50))),Ödemeler!$G50)=0,OR(Ödemeler!$F50="",DATE(Özet!$C$4,12,1)&lt;=Ödemeler!$F50)),Ödemeler!$C50,0))</f>
        <v/>
      </c>
      <c r="N51" s="36" t="str">
        <f aca="false">IF(COUNT(B51:M51)=0,"",SUM(B51:M51))</f>
        <v/>
      </c>
    </row>
    <row r="52" customFormat="false" ht="15" hidden="false" customHeight="false" outlineLevel="0" collapsed="false">
      <c r="A52" s="30" t="str">
        <f aca="false">IF(Ödemeler!A51="","",Ödemeler!A51)</f>
        <v/>
      </c>
      <c r="B52" s="37" t="str">
        <f aca="false">IF(OR(Ödemeler!$A51="",Ödemeler!$G51="",Ödemeler!$E51=""),"",IF(AND(((Özet!$C$4*12+1)-(YEAR(Ödemeler!$E51)*12+MONTH(Ödemeler!$E51)))&gt;=0,MOD(((Özet!$C$4*12+1)-(YEAR(Ödemeler!$E51)*12+MONTH(Ödemeler!$E51))),Ödemeler!$G51)=0,OR(Ödemeler!$F51="",DATE(Özet!$C$4,1,1)&lt;=Ödemeler!$F51)),Ödemeler!$C51,0))</f>
        <v/>
      </c>
      <c r="C52" s="37" t="str">
        <f aca="false">IF(OR(Ödemeler!$A51="",Ödemeler!$G51="",Ödemeler!$E51=""),"",IF(AND(((Özet!$C$4*12+2)-(YEAR(Ödemeler!$E51)*12+MONTH(Ödemeler!$E51)))&gt;=0,MOD(((Özet!$C$4*12+2)-(YEAR(Ödemeler!$E51)*12+MONTH(Ödemeler!$E51))),Ödemeler!$G51)=0,OR(Ödemeler!$F51="",DATE(Özet!$C$4,2,1)&lt;=Ödemeler!$F51)),Ödemeler!$C51,0))</f>
        <v/>
      </c>
      <c r="D52" s="37" t="str">
        <f aca="false">IF(OR(Ödemeler!$A51="",Ödemeler!$G51="",Ödemeler!$E51=""),"",IF(AND(((Özet!$C$4*12+3)-(YEAR(Ödemeler!$E51)*12+MONTH(Ödemeler!$E51)))&gt;=0,MOD(((Özet!$C$4*12+3)-(YEAR(Ödemeler!$E51)*12+MONTH(Ödemeler!$E51))),Ödemeler!$G51)=0,OR(Ödemeler!$F51="",DATE(Özet!$C$4,3,1)&lt;=Ödemeler!$F51)),Ödemeler!$C51,0))</f>
        <v/>
      </c>
      <c r="E52" s="37" t="str">
        <f aca="false">IF(OR(Ödemeler!$A51="",Ödemeler!$G51="",Ödemeler!$E51=""),"",IF(AND(((Özet!$C$4*12+4)-(YEAR(Ödemeler!$E51)*12+MONTH(Ödemeler!$E51)))&gt;=0,MOD(((Özet!$C$4*12+4)-(YEAR(Ödemeler!$E51)*12+MONTH(Ödemeler!$E51))),Ödemeler!$G51)=0,OR(Ödemeler!$F51="",DATE(Özet!$C$4,4,1)&lt;=Ödemeler!$F51)),Ödemeler!$C51,0))</f>
        <v/>
      </c>
      <c r="F52" s="37" t="str">
        <f aca="false">IF(OR(Ödemeler!$A51="",Ödemeler!$G51="",Ödemeler!$E51=""),"",IF(AND(((Özet!$C$4*12+5)-(YEAR(Ödemeler!$E51)*12+MONTH(Ödemeler!$E51)))&gt;=0,MOD(((Özet!$C$4*12+5)-(YEAR(Ödemeler!$E51)*12+MONTH(Ödemeler!$E51))),Ödemeler!$G51)=0,OR(Ödemeler!$F51="",DATE(Özet!$C$4,5,1)&lt;=Ödemeler!$F51)),Ödemeler!$C51,0))</f>
        <v/>
      </c>
      <c r="G52" s="37" t="str">
        <f aca="false">IF(OR(Ödemeler!$A51="",Ödemeler!$G51="",Ödemeler!$E51=""),"",IF(AND(((Özet!$C$4*12+6)-(YEAR(Ödemeler!$E51)*12+MONTH(Ödemeler!$E51)))&gt;=0,MOD(((Özet!$C$4*12+6)-(YEAR(Ödemeler!$E51)*12+MONTH(Ödemeler!$E51))),Ödemeler!$G51)=0,OR(Ödemeler!$F51="",DATE(Özet!$C$4,6,1)&lt;=Ödemeler!$F51)),Ödemeler!$C51,0))</f>
        <v/>
      </c>
      <c r="H52" s="37" t="str">
        <f aca="false">IF(OR(Ödemeler!$A51="",Ödemeler!$G51="",Ödemeler!$E51=""),"",IF(AND(((Özet!$C$4*12+7)-(YEAR(Ödemeler!$E51)*12+MONTH(Ödemeler!$E51)))&gt;=0,MOD(((Özet!$C$4*12+7)-(YEAR(Ödemeler!$E51)*12+MONTH(Ödemeler!$E51))),Ödemeler!$G51)=0,OR(Ödemeler!$F51="",DATE(Özet!$C$4,7,1)&lt;=Ödemeler!$F51)),Ödemeler!$C51,0))</f>
        <v/>
      </c>
      <c r="I52" s="37" t="str">
        <f aca="false">IF(OR(Ödemeler!$A51="",Ödemeler!$G51="",Ödemeler!$E51=""),"",IF(AND(((Özet!$C$4*12+8)-(YEAR(Ödemeler!$E51)*12+MONTH(Ödemeler!$E51)))&gt;=0,MOD(((Özet!$C$4*12+8)-(YEAR(Ödemeler!$E51)*12+MONTH(Ödemeler!$E51))),Ödemeler!$G51)=0,OR(Ödemeler!$F51="",DATE(Özet!$C$4,8,1)&lt;=Ödemeler!$F51)),Ödemeler!$C51,0))</f>
        <v/>
      </c>
      <c r="J52" s="37" t="str">
        <f aca="false">IF(OR(Ödemeler!$A51="",Ödemeler!$G51="",Ödemeler!$E51=""),"",IF(AND(((Özet!$C$4*12+9)-(YEAR(Ödemeler!$E51)*12+MONTH(Ödemeler!$E51)))&gt;=0,MOD(((Özet!$C$4*12+9)-(YEAR(Ödemeler!$E51)*12+MONTH(Ödemeler!$E51))),Ödemeler!$G51)=0,OR(Ödemeler!$F51="",DATE(Özet!$C$4,9,1)&lt;=Ödemeler!$F51)),Ödemeler!$C51,0))</f>
        <v/>
      </c>
      <c r="K52" s="37" t="str">
        <f aca="false">IF(OR(Ödemeler!$A51="",Ödemeler!$G51="",Ödemeler!$E51=""),"",IF(AND(((Özet!$C$4*12+10)-(YEAR(Ödemeler!$E51)*12+MONTH(Ödemeler!$E51)))&gt;=0,MOD(((Özet!$C$4*12+10)-(YEAR(Ödemeler!$E51)*12+MONTH(Ödemeler!$E51))),Ödemeler!$G51)=0,OR(Ödemeler!$F51="",DATE(Özet!$C$4,10,1)&lt;=Ödemeler!$F51)),Ödemeler!$C51,0))</f>
        <v/>
      </c>
      <c r="L52" s="37" t="str">
        <f aca="false">IF(OR(Ödemeler!$A51="",Ödemeler!$G51="",Ödemeler!$E51=""),"",IF(AND(((Özet!$C$4*12+11)-(YEAR(Ödemeler!$E51)*12+MONTH(Ödemeler!$E51)))&gt;=0,MOD(((Özet!$C$4*12+11)-(YEAR(Ödemeler!$E51)*12+MONTH(Ödemeler!$E51))),Ödemeler!$G51)=0,OR(Ödemeler!$F51="",DATE(Özet!$C$4,11,1)&lt;=Ödemeler!$F51)),Ödemeler!$C51,0))</f>
        <v/>
      </c>
      <c r="M52" s="37" t="str">
        <f aca="false">IF(OR(Ödemeler!$A51="",Ödemeler!$G51="",Ödemeler!$E51=""),"",IF(AND(((Özet!$C$4*12+12)-(YEAR(Ödemeler!$E51)*12+MONTH(Ödemeler!$E51)))&gt;=0,MOD(((Özet!$C$4*12+12)-(YEAR(Ödemeler!$E51)*12+MONTH(Ödemeler!$E51))),Ödemeler!$G51)=0,OR(Ödemeler!$F51="",DATE(Özet!$C$4,12,1)&lt;=Ödemeler!$F51)),Ödemeler!$C51,0))</f>
        <v/>
      </c>
      <c r="N52" s="37" t="str">
        <f aca="false">IF(COUNT(B52:M52)=0,"",SUM(B52:M52))</f>
        <v/>
      </c>
    </row>
    <row r="53" customFormat="false" ht="15" hidden="false" customHeight="false" outlineLevel="0" collapsed="false">
      <c r="A53" s="16" t="str">
        <f aca="false">IF(Ödemeler!A52="","",Ödemeler!A52)</f>
        <v/>
      </c>
      <c r="B53" s="36" t="str">
        <f aca="false">IF(OR(Ödemeler!$A52="",Ödemeler!$G52="",Ödemeler!$E52=""),"",IF(AND(((Özet!$C$4*12+1)-(YEAR(Ödemeler!$E52)*12+MONTH(Ödemeler!$E52)))&gt;=0,MOD(((Özet!$C$4*12+1)-(YEAR(Ödemeler!$E52)*12+MONTH(Ödemeler!$E52))),Ödemeler!$G52)=0,OR(Ödemeler!$F52="",DATE(Özet!$C$4,1,1)&lt;=Ödemeler!$F52)),Ödemeler!$C52,0))</f>
        <v/>
      </c>
      <c r="C53" s="36" t="str">
        <f aca="false">IF(OR(Ödemeler!$A52="",Ödemeler!$G52="",Ödemeler!$E52=""),"",IF(AND(((Özet!$C$4*12+2)-(YEAR(Ödemeler!$E52)*12+MONTH(Ödemeler!$E52)))&gt;=0,MOD(((Özet!$C$4*12+2)-(YEAR(Ödemeler!$E52)*12+MONTH(Ödemeler!$E52))),Ödemeler!$G52)=0,OR(Ödemeler!$F52="",DATE(Özet!$C$4,2,1)&lt;=Ödemeler!$F52)),Ödemeler!$C52,0))</f>
        <v/>
      </c>
      <c r="D53" s="36" t="str">
        <f aca="false">IF(OR(Ödemeler!$A52="",Ödemeler!$G52="",Ödemeler!$E52=""),"",IF(AND(((Özet!$C$4*12+3)-(YEAR(Ödemeler!$E52)*12+MONTH(Ödemeler!$E52)))&gt;=0,MOD(((Özet!$C$4*12+3)-(YEAR(Ödemeler!$E52)*12+MONTH(Ödemeler!$E52))),Ödemeler!$G52)=0,OR(Ödemeler!$F52="",DATE(Özet!$C$4,3,1)&lt;=Ödemeler!$F52)),Ödemeler!$C52,0))</f>
        <v/>
      </c>
      <c r="E53" s="36" t="str">
        <f aca="false">IF(OR(Ödemeler!$A52="",Ödemeler!$G52="",Ödemeler!$E52=""),"",IF(AND(((Özet!$C$4*12+4)-(YEAR(Ödemeler!$E52)*12+MONTH(Ödemeler!$E52)))&gt;=0,MOD(((Özet!$C$4*12+4)-(YEAR(Ödemeler!$E52)*12+MONTH(Ödemeler!$E52))),Ödemeler!$G52)=0,OR(Ödemeler!$F52="",DATE(Özet!$C$4,4,1)&lt;=Ödemeler!$F52)),Ödemeler!$C52,0))</f>
        <v/>
      </c>
      <c r="F53" s="36" t="str">
        <f aca="false">IF(OR(Ödemeler!$A52="",Ödemeler!$G52="",Ödemeler!$E52=""),"",IF(AND(((Özet!$C$4*12+5)-(YEAR(Ödemeler!$E52)*12+MONTH(Ödemeler!$E52)))&gt;=0,MOD(((Özet!$C$4*12+5)-(YEAR(Ödemeler!$E52)*12+MONTH(Ödemeler!$E52))),Ödemeler!$G52)=0,OR(Ödemeler!$F52="",DATE(Özet!$C$4,5,1)&lt;=Ödemeler!$F52)),Ödemeler!$C52,0))</f>
        <v/>
      </c>
      <c r="G53" s="36" t="str">
        <f aca="false">IF(OR(Ödemeler!$A52="",Ödemeler!$G52="",Ödemeler!$E52=""),"",IF(AND(((Özet!$C$4*12+6)-(YEAR(Ödemeler!$E52)*12+MONTH(Ödemeler!$E52)))&gt;=0,MOD(((Özet!$C$4*12+6)-(YEAR(Ödemeler!$E52)*12+MONTH(Ödemeler!$E52))),Ödemeler!$G52)=0,OR(Ödemeler!$F52="",DATE(Özet!$C$4,6,1)&lt;=Ödemeler!$F52)),Ödemeler!$C52,0))</f>
        <v/>
      </c>
      <c r="H53" s="36" t="str">
        <f aca="false">IF(OR(Ödemeler!$A52="",Ödemeler!$G52="",Ödemeler!$E52=""),"",IF(AND(((Özet!$C$4*12+7)-(YEAR(Ödemeler!$E52)*12+MONTH(Ödemeler!$E52)))&gt;=0,MOD(((Özet!$C$4*12+7)-(YEAR(Ödemeler!$E52)*12+MONTH(Ödemeler!$E52))),Ödemeler!$G52)=0,OR(Ödemeler!$F52="",DATE(Özet!$C$4,7,1)&lt;=Ödemeler!$F52)),Ödemeler!$C52,0))</f>
        <v/>
      </c>
      <c r="I53" s="36" t="str">
        <f aca="false">IF(OR(Ödemeler!$A52="",Ödemeler!$G52="",Ödemeler!$E52=""),"",IF(AND(((Özet!$C$4*12+8)-(YEAR(Ödemeler!$E52)*12+MONTH(Ödemeler!$E52)))&gt;=0,MOD(((Özet!$C$4*12+8)-(YEAR(Ödemeler!$E52)*12+MONTH(Ödemeler!$E52))),Ödemeler!$G52)=0,OR(Ödemeler!$F52="",DATE(Özet!$C$4,8,1)&lt;=Ödemeler!$F52)),Ödemeler!$C52,0))</f>
        <v/>
      </c>
      <c r="J53" s="36" t="str">
        <f aca="false">IF(OR(Ödemeler!$A52="",Ödemeler!$G52="",Ödemeler!$E52=""),"",IF(AND(((Özet!$C$4*12+9)-(YEAR(Ödemeler!$E52)*12+MONTH(Ödemeler!$E52)))&gt;=0,MOD(((Özet!$C$4*12+9)-(YEAR(Ödemeler!$E52)*12+MONTH(Ödemeler!$E52))),Ödemeler!$G52)=0,OR(Ödemeler!$F52="",DATE(Özet!$C$4,9,1)&lt;=Ödemeler!$F52)),Ödemeler!$C52,0))</f>
        <v/>
      </c>
      <c r="K53" s="36" t="str">
        <f aca="false">IF(OR(Ödemeler!$A52="",Ödemeler!$G52="",Ödemeler!$E52=""),"",IF(AND(((Özet!$C$4*12+10)-(YEAR(Ödemeler!$E52)*12+MONTH(Ödemeler!$E52)))&gt;=0,MOD(((Özet!$C$4*12+10)-(YEAR(Ödemeler!$E52)*12+MONTH(Ödemeler!$E52))),Ödemeler!$G52)=0,OR(Ödemeler!$F52="",DATE(Özet!$C$4,10,1)&lt;=Ödemeler!$F52)),Ödemeler!$C52,0))</f>
        <v/>
      </c>
      <c r="L53" s="36" t="str">
        <f aca="false">IF(OR(Ödemeler!$A52="",Ödemeler!$G52="",Ödemeler!$E52=""),"",IF(AND(((Özet!$C$4*12+11)-(YEAR(Ödemeler!$E52)*12+MONTH(Ödemeler!$E52)))&gt;=0,MOD(((Özet!$C$4*12+11)-(YEAR(Ödemeler!$E52)*12+MONTH(Ödemeler!$E52))),Ödemeler!$G52)=0,OR(Ödemeler!$F52="",DATE(Özet!$C$4,11,1)&lt;=Ödemeler!$F52)),Ödemeler!$C52,0))</f>
        <v/>
      </c>
      <c r="M53" s="36" t="str">
        <f aca="false">IF(OR(Ödemeler!$A52="",Ödemeler!$G52="",Ödemeler!$E52=""),"",IF(AND(((Özet!$C$4*12+12)-(YEAR(Ödemeler!$E52)*12+MONTH(Ödemeler!$E52)))&gt;=0,MOD(((Özet!$C$4*12+12)-(YEAR(Ödemeler!$E52)*12+MONTH(Ödemeler!$E52))),Ödemeler!$G52)=0,OR(Ödemeler!$F52="",DATE(Özet!$C$4,12,1)&lt;=Ödemeler!$F52)),Ödemeler!$C52,0))</f>
        <v/>
      </c>
      <c r="N53" s="36" t="str">
        <f aca="false">IF(COUNT(B53:M53)=0,"",SUM(B53:M53))</f>
        <v/>
      </c>
    </row>
    <row r="54" customFormat="false" ht="15" hidden="false" customHeight="false" outlineLevel="0" collapsed="false">
      <c r="A54" s="30" t="str">
        <f aca="false">IF(Ödemeler!A53="","",Ödemeler!A53)</f>
        <v/>
      </c>
      <c r="B54" s="37" t="str">
        <f aca="false">IF(OR(Ödemeler!$A53="",Ödemeler!$G53="",Ödemeler!$E53=""),"",IF(AND(((Özet!$C$4*12+1)-(YEAR(Ödemeler!$E53)*12+MONTH(Ödemeler!$E53)))&gt;=0,MOD(((Özet!$C$4*12+1)-(YEAR(Ödemeler!$E53)*12+MONTH(Ödemeler!$E53))),Ödemeler!$G53)=0,OR(Ödemeler!$F53="",DATE(Özet!$C$4,1,1)&lt;=Ödemeler!$F53)),Ödemeler!$C53,0))</f>
        <v/>
      </c>
      <c r="C54" s="37" t="str">
        <f aca="false">IF(OR(Ödemeler!$A53="",Ödemeler!$G53="",Ödemeler!$E53=""),"",IF(AND(((Özet!$C$4*12+2)-(YEAR(Ödemeler!$E53)*12+MONTH(Ödemeler!$E53)))&gt;=0,MOD(((Özet!$C$4*12+2)-(YEAR(Ödemeler!$E53)*12+MONTH(Ödemeler!$E53))),Ödemeler!$G53)=0,OR(Ödemeler!$F53="",DATE(Özet!$C$4,2,1)&lt;=Ödemeler!$F53)),Ödemeler!$C53,0))</f>
        <v/>
      </c>
      <c r="D54" s="37" t="str">
        <f aca="false">IF(OR(Ödemeler!$A53="",Ödemeler!$G53="",Ödemeler!$E53=""),"",IF(AND(((Özet!$C$4*12+3)-(YEAR(Ödemeler!$E53)*12+MONTH(Ödemeler!$E53)))&gt;=0,MOD(((Özet!$C$4*12+3)-(YEAR(Ödemeler!$E53)*12+MONTH(Ödemeler!$E53))),Ödemeler!$G53)=0,OR(Ödemeler!$F53="",DATE(Özet!$C$4,3,1)&lt;=Ödemeler!$F53)),Ödemeler!$C53,0))</f>
        <v/>
      </c>
      <c r="E54" s="37" t="str">
        <f aca="false">IF(OR(Ödemeler!$A53="",Ödemeler!$G53="",Ödemeler!$E53=""),"",IF(AND(((Özet!$C$4*12+4)-(YEAR(Ödemeler!$E53)*12+MONTH(Ödemeler!$E53)))&gt;=0,MOD(((Özet!$C$4*12+4)-(YEAR(Ödemeler!$E53)*12+MONTH(Ödemeler!$E53))),Ödemeler!$G53)=0,OR(Ödemeler!$F53="",DATE(Özet!$C$4,4,1)&lt;=Ödemeler!$F53)),Ödemeler!$C53,0))</f>
        <v/>
      </c>
      <c r="F54" s="37" t="str">
        <f aca="false">IF(OR(Ödemeler!$A53="",Ödemeler!$G53="",Ödemeler!$E53=""),"",IF(AND(((Özet!$C$4*12+5)-(YEAR(Ödemeler!$E53)*12+MONTH(Ödemeler!$E53)))&gt;=0,MOD(((Özet!$C$4*12+5)-(YEAR(Ödemeler!$E53)*12+MONTH(Ödemeler!$E53))),Ödemeler!$G53)=0,OR(Ödemeler!$F53="",DATE(Özet!$C$4,5,1)&lt;=Ödemeler!$F53)),Ödemeler!$C53,0))</f>
        <v/>
      </c>
      <c r="G54" s="37" t="str">
        <f aca="false">IF(OR(Ödemeler!$A53="",Ödemeler!$G53="",Ödemeler!$E53=""),"",IF(AND(((Özet!$C$4*12+6)-(YEAR(Ödemeler!$E53)*12+MONTH(Ödemeler!$E53)))&gt;=0,MOD(((Özet!$C$4*12+6)-(YEAR(Ödemeler!$E53)*12+MONTH(Ödemeler!$E53))),Ödemeler!$G53)=0,OR(Ödemeler!$F53="",DATE(Özet!$C$4,6,1)&lt;=Ödemeler!$F53)),Ödemeler!$C53,0))</f>
        <v/>
      </c>
      <c r="H54" s="37" t="str">
        <f aca="false">IF(OR(Ödemeler!$A53="",Ödemeler!$G53="",Ödemeler!$E53=""),"",IF(AND(((Özet!$C$4*12+7)-(YEAR(Ödemeler!$E53)*12+MONTH(Ödemeler!$E53)))&gt;=0,MOD(((Özet!$C$4*12+7)-(YEAR(Ödemeler!$E53)*12+MONTH(Ödemeler!$E53))),Ödemeler!$G53)=0,OR(Ödemeler!$F53="",DATE(Özet!$C$4,7,1)&lt;=Ödemeler!$F53)),Ödemeler!$C53,0))</f>
        <v/>
      </c>
      <c r="I54" s="37" t="str">
        <f aca="false">IF(OR(Ödemeler!$A53="",Ödemeler!$G53="",Ödemeler!$E53=""),"",IF(AND(((Özet!$C$4*12+8)-(YEAR(Ödemeler!$E53)*12+MONTH(Ödemeler!$E53)))&gt;=0,MOD(((Özet!$C$4*12+8)-(YEAR(Ödemeler!$E53)*12+MONTH(Ödemeler!$E53))),Ödemeler!$G53)=0,OR(Ödemeler!$F53="",DATE(Özet!$C$4,8,1)&lt;=Ödemeler!$F53)),Ödemeler!$C53,0))</f>
        <v/>
      </c>
      <c r="J54" s="37" t="str">
        <f aca="false">IF(OR(Ödemeler!$A53="",Ödemeler!$G53="",Ödemeler!$E53=""),"",IF(AND(((Özet!$C$4*12+9)-(YEAR(Ödemeler!$E53)*12+MONTH(Ödemeler!$E53)))&gt;=0,MOD(((Özet!$C$4*12+9)-(YEAR(Ödemeler!$E53)*12+MONTH(Ödemeler!$E53))),Ödemeler!$G53)=0,OR(Ödemeler!$F53="",DATE(Özet!$C$4,9,1)&lt;=Ödemeler!$F53)),Ödemeler!$C53,0))</f>
        <v/>
      </c>
      <c r="K54" s="37" t="str">
        <f aca="false">IF(OR(Ödemeler!$A53="",Ödemeler!$G53="",Ödemeler!$E53=""),"",IF(AND(((Özet!$C$4*12+10)-(YEAR(Ödemeler!$E53)*12+MONTH(Ödemeler!$E53)))&gt;=0,MOD(((Özet!$C$4*12+10)-(YEAR(Ödemeler!$E53)*12+MONTH(Ödemeler!$E53))),Ödemeler!$G53)=0,OR(Ödemeler!$F53="",DATE(Özet!$C$4,10,1)&lt;=Ödemeler!$F53)),Ödemeler!$C53,0))</f>
        <v/>
      </c>
      <c r="L54" s="37" t="str">
        <f aca="false">IF(OR(Ödemeler!$A53="",Ödemeler!$G53="",Ödemeler!$E53=""),"",IF(AND(((Özet!$C$4*12+11)-(YEAR(Ödemeler!$E53)*12+MONTH(Ödemeler!$E53)))&gt;=0,MOD(((Özet!$C$4*12+11)-(YEAR(Ödemeler!$E53)*12+MONTH(Ödemeler!$E53))),Ödemeler!$G53)=0,OR(Ödemeler!$F53="",DATE(Özet!$C$4,11,1)&lt;=Ödemeler!$F53)),Ödemeler!$C53,0))</f>
        <v/>
      </c>
      <c r="M54" s="37" t="str">
        <f aca="false">IF(OR(Ödemeler!$A53="",Ödemeler!$G53="",Ödemeler!$E53=""),"",IF(AND(((Özet!$C$4*12+12)-(YEAR(Ödemeler!$E53)*12+MONTH(Ödemeler!$E53)))&gt;=0,MOD(((Özet!$C$4*12+12)-(YEAR(Ödemeler!$E53)*12+MONTH(Ödemeler!$E53))),Ödemeler!$G53)=0,OR(Ödemeler!$F53="",DATE(Özet!$C$4,12,1)&lt;=Ödemeler!$F53)),Ödemeler!$C53,0))</f>
        <v/>
      </c>
      <c r="N54" s="37" t="str">
        <f aca="false">IF(COUNT(B54:M54)=0,"",SUM(B54:M54))</f>
        <v/>
      </c>
    </row>
    <row r="55" customFormat="false" ht="15" hidden="false" customHeight="false" outlineLevel="0" collapsed="false">
      <c r="A55" s="16" t="str">
        <f aca="false">IF(Ödemeler!A54="","",Ödemeler!A54)</f>
        <v/>
      </c>
      <c r="B55" s="36" t="str">
        <f aca="false">IF(OR(Ödemeler!$A54="",Ödemeler!$G54="",Ödemeler!$E54=""),"",IF(AND(((Özet!$C$4*12+1)-(YEAR(Ödemeler!$E54)*12+MONTH(Ödemeler!$E54)))&gt;=0,MOD(((Özet!$C$4*12+1)-(YEAR(Ödemeler!$E54)*12+MONTH(Ödemeler!$E54))),Ödemeler!$G54)=0,OR(Ödemeler!$F54="",DATE(Özet!$C$4,1,1)&lt;=Ödemeler!$F54)),Ödemeler!$C54,0))</f>
        <v/>
      </c>
      <c r="C55" s="36" t="str">
        <f aca="false">IF(OR(Ödemeler!$A54="",Ödemeler!$G54="",Ödemeler!$E54=""),"",IF(AND(((Özet!$C$4*12+2)-(YEAR(Ödemeler!$E54)*12+MONTH(Ödemeler!$E54)))&gt;=0,MOD(((Özet!$C$4*12+2)-(YEAR(Ödemeler!$E54)*12+MONTH(Ödemeler!$E54))),Ödemeler!$G54)=0,OR(Ödemeler!$F54="",DATE(Özet!$C$4,2,1)&lt;=Ödemeler!$F54)),Ödemeler!$C54,0))</f>
        <v/>
      </c>
      <c r="D55" s="36" t="str">
        <f aca="false">IF(OR(Ödemeler!$A54="",Ödemeler!$G54="",Ödemeler!$E54=""),"",IF(AND(((Özet!$C$4*12+3)-(YEAR(Ödemeler!$E54)*12+MONTH(Ödemeler!$E54)))&gt;=0,MOD(((Özet!$C$4*12+3)-(YEAR(Ödemeler!$E54)*12+MONTH(Ödemeler!$E54))),Ödemeler!$G54)=0,OR(Ödemeler!$F54="",DATE(Özet!$C$4,3,1)&lt;=Ödemeler!$F54)),Ödemeler!$C54,0))</f>
        <v/>
      </c>
      <c r="E55" s="36" t="str">
        <f aca="false">IF(OR(Ödemeler!$A54="",Ödemeler!$G54="",Ödemeler!$E54=""),"",IF(AND(((Özet!$C$4*12+4)-(YEAR(Ödemeler!$E54)*12+MONTH(Ödemeler!$E54)))&gt;=0,MOD(((Özet!$C$4*12+4)-(YEAR(Ödemeler!$E54)*12+MONTH(Ödemeler!$E54))),Ödemeler!$G54)=0,OR(Ödemeler!$F54="",DATE(Özet!$C$4,4,1)&lt;=Ödemeler!$F54)),Ödemeler!$C54,0))</f>
        <v/>
      </c>
      <c r="F55" s="36" t="str">
        <f aca="false">IF(OR(Ödemeler!$A54="",Ödemeler!$G54="",Ödemeler!$E54=""),"",IF(AND(((Özet!$C$4*12+5)-(YEAR(Ödemeler!$E54)*12+MONTH(Ödemeler!$E54)))&gt;=0,MOD(((Özet!$C$4*12+5)-(YEAR(Ödemeler!$E54)*12+MONTH(Ödemeler!$E54))),Ödemeler!$G54)=0,OR(Ödemeler!$F54="",DATE(Özet!$C$4,5,1)&lt;=Ödemeler!$F54)),Ödemeler!$C54,0))</f>
        <v/>
      </c>
      <c r="G55" s="36" t="str">
        <f aca="false">IF(OR(Ödemeler!$A54="",Ödemeler!$G54="",Ödemeler!$E54=""),"",IF(AND(((Özet!$C$4*12+6)-(YEAR(Ödemeler!$E54)*12+MONTH(Ödemeler!$E54)))&gt;=0,MOD(((Özet!$C$4*12+6)-(YEAR(Ödemeler!$E54)*12+MONTH(Ödemeler!$E54))),Ödemeler!$G54)=0,OR(Ödemeler!$F54="",DATE(Özet!$C$4,6,1)&lt;=Ödemeler!$F54)),Ödemeler!$C54,0))</f>
        <v/>
      </c>
      <c r="H55" s="36" t="str">
        <f aca="false">IF(OR(Ödemeler!$A54="",Ödemeler!$G54="",Ödemeler!$E54=""),"",IF(AND(((Özet!$C$4*12+7)-(YEAR(Ödemeler!$E54)*12+MONTH(Ödemeler!$E54)))&gt;=0,MOD(((Özet!$C$4*12+7)-(YEAR(Ödemeler!$E54)*12+MONTH(Ödemeler!$E54))),Ödemeler!$G54)=0,OR(Ödemeler!$F54="",DATE(Özet!$C$4,7,1)&lt;=Ödemeler!$F54)),Ödemeler!$C54,0))</f>
        <v/>
      </c>
      <c r="I55" s="36" t="str">
        <f aca="false">IF(OR(Ödemeler!$A54="",Ödemeler!$G54="",Ödemeler!$E54=""),"",IF(AND(((Özet!$C$4*12+8)-(YEAR(Ödemeler!$E54)*12+MONTH(Ödemeler!$E54)))&gt;=0,MOD(((Özet!$C$4*12+8)-(YEAR(Ödemeler!$E54)*12+MONTH(Ödemeler!$E54))),Ödemeler!$G54)=0,OR(Ödemeler!$F54="",DATE(Özet!$C$4,8,1)&lt;=Ödemeler!$F54)),Ödemeler!$C54,0))</f>
        <v/>
      </c>
      <c r="J55" s="36" t="str">
        <f aca="false">IF(OR(Ödemeler!$A54="",Ödemeler!$G54="",Ödemeler!$E54=""),"",IF(AND(((Özet!$C$4*12+9)-(YEAR(Ödemeler!$E54)*12+MONTH(Ödemeler!$E54)))&gt;=0,MOD(((Özet!$C$4*12+9)-(YEAR(Ödemeler!$E54)*12+MONTH(Ödemeler!$E54))),Ödemeler!$G54)=0,OR(Ödemeler!$F54="",DATE(Özet!$C$4,9,1)&lt;=Ödemeler!$F54)),Ödemeler!$C54,0))</f>
        <v/>
      </c>
      <c r="K55" s="36" t="str">
        <f aca="false">IF(OR(Ödemeler!$A54="",Ödemeler!$G54="",Ödemeler!$E54=""),"",IF(AND(((Özet!$C$4*12+10)-(YEAR(Ödemeler!$E54)*12+MONTH(Ödemeler!$E54)))&gt;=0,MOD(((Özet!$C$4*12+10)-(YEAR(Ödemeler!$E54)*12+MONTH(Ödemeler!$E54))),Ödemeler!$G54)=0,OR(Ödemeler!$F54="",DATE(Özet!$C$4,10,1)&lt;=Ödemeler!$F54)),Ödemeler!$C54,0))</f>
        <v/>
      </c>
      <c r="L55" s="36" t="str">
        <f aca="false">IF(OR(Ödemeler!$A54="",Ödemeler!$G54="",Ödemeler!$E54=""),"",IF(AND(((Özet!$C$4*12+11)-(YEAR(Ödemeler!$E54)*12+MONTH(Ödemeler!$E54)))&gt;=0,MOD(((Özet!$C$4*12+11)-(YEAR(Ödemeler!$E54)*12+MONTH(Ödemeler!$E54))),Ödemeler!$G54)=0,OR(Ödemeler!$F54="",DATE(Özet!$C$4,11,1)&lt;=Ödemeler!$F54)),Ödemeler!$C54,0))</f>
        <v/>
      </c>
      <c r="M55" s="36" t="str">
        <f aca="false">IF(OR(Ödemeler!$A54="",Ödemeler!$G54="",Ödemeler!$E54=""),"",IF(AND(((Özet!$C$4*12+12)-(YEAR(Ödemeler!$E54)*12+MONTH(Ödemeler!$E54)))&gt;=0,MOD(((Özet!$C$4*12+12)-(YEAR(Ödemeler!$E54)*12+MONTH(Ödemeler!$E54))),Ödemeler!$G54)=0,OR(Ödemeler!$F54="",DATE(Özet!$C$4,12,1)&lt;=Ödemeler!$F54)),Ödemeler!$C54,0))</f>
        <v/>
      </c>
      <c r="N55" s="36" t="str">
        <f aca="false">IF(COUNT(B55:M55)=0,"",SUM(B55:M55))</f>
        <v/>
      </c>
    </row>
    <row r="56" customFormat="false" ht="15" hidden="false" customHeight="false" outlineLevel="0" collapsed="false">
      <c r="A56" s="30" t="str">
        <f aca="false">IF(Ödemeler!A55="","",Ödemeler!A55)</f>
        <v/>
      </c>
      <c r="B56" s="37" t="str">
        <f aca="false">IF(OR(Ödemeler!$A55="",Ödemeler!$G55="",Ödemeler!$E55=""),"",IF(AND(((Özet!$C$4*12+1)-(YEAR(Ödemeler!$E55)*12+MONTH(Ödemeler!$E55)))&gt;=0,MOD(((Özet!$C$4*12+1)-(YEAR(Ödemeler!$E55)*12+MONTH(Ödemeler!$E55))),Ödemeler!$G55)=0,OR(Ödemeler!$F55="",DATE(Özet!$C$4,1,1)&lt;=Ödemeler!$F55)),Ödemeler!$C55,0))</f>
        <v/>
      </c>
      <c r="C56" s="37" t="str">
        <f aca="false">IF(OR(Ödemeler!$A55="",Ödemeler!$G55="",Ödemeler!$E55=""),"",IF(AND(((Özet!$C$4*12+2)-(YEAR(Ödemeler!$E55)*12+MONTH(Ödemeler!$E55)))&gt;=0,MOD(((Özet!$C$4*12+2)-(YEAR(Ödemeler!$E55)*12+MONTH(Ödemeler!$E55))),Ödemeler!$G55)=0,OR(Ödemeler!$F55="",DATE(Özet!$C$4,2,1)&lt;=Ödemeler!$F55)),Ödemeler!$C55,0))</f>
        <v/>
      </c>
      <c r="D56" s="37" t="str">
        <f aca="false">IF(OR(Ödemeler!$A55="",Ödemeler!$G55="",Ödemeler!$E55=""),"",IF(AND(((Özet!$C$4*12+3)-(YEAR(Ödemeler!$E55)*12+MONTH(Ödemeler!$E55)))&gt;=0,MOD(((Özet!$C$4*12+3)-(YEAR(Ödemeler!$E55)*12+MONTH(Ödemeler!$E55))),Ödemeler!$G55)=0,OR(Ödemeler!$F55="",DATE(Özet!$C$4,3,1)&lt;=Ödemeler!$F55)),Ödemeler!$C55,0))</f>
        <v/>
      </c>
      <c r="E56" s="37" t="str">
        <f aca="false">IF(OR(Ödemeler!$A55="",Ödemeler!$G55="",Ödemeler!$E55=""),"",IF(AND(((Özet!$C$4*12+4)-(YEAR(Ödemeler!$E55)*12+MONTH(Ödemeler!$E55)))&gt;=0,MOD(((Özet!$C$4*12+4)-(YEAR(Ödemeler!$E55)*12+MONTH(Ödemeler!$E55))),Ödemeler!$G55)=0,OR(Ödemeler!$F55="",DATE(Özet!$C$4,4,1)&lt;=Ödemeler!$F55)),Ödemeler!$C55,0))</f>
        <v/>
      </c>
      <c r="F56" s="37" t="str">
        <f aca="false">IF(OR(Ödemeler!$A55="",Ödemeler!$G55="",Ödemeler!$E55=""),"",IF(AND(((Özet!$C$4*12+5)-(YEAR(Ödemeler!$E55)*12+MONTH(Ödemeler!$E55)))&gt;=0,MOD(((Özet!$C$4*12+5)-(YEAR(Ödemeler!$E55)*12+MONTH(Ödemeler!$E55))),Ödemeler!$G55)=0,OR(Ödemeler!$F55="",DATE(Özet!$C$4,5,1)&lt;=Ödemeler!$F55)),Ödemeler!$C55,0))</f>
        <v/>
      </c>
      <c r="G56" s="37" t="str">
        <f aca="false">IF(OR(Ödemeler!$A55="",Ödemeler!$G55="",Ödemeler!$E55=""),"",IF(AND(((Özet!$C$4*12+6)-(YEAR(Ödemeler!$E55)*12+MONTH(Ödemeler!$E55)))&gt;=0,MOD(((Özet!$C$4*12+6)-(YEAR(Ödemeler!$E55)*12+MONTH(Ödemeler!$E55))),Ödemeler!$G55)=0,OR(Ödemeler!$F55="",DATE(Özet!$C$4,6,1)&lt;=Ödemeler!$F55)),Ödemeler!$C55,0))</f>
        <v/>
      </c>
      <c r="H56" s="37" t="str">
        <f aca="false">IF(OR(Ödemeler!$A55="",Ödemeler!$G55="",Ödemeler!$E55=""),"",IF(AND(((Özet!$C$4*12+7)-(YEAR(Ödemeler!$E55)*12+MONTH(Ödemeler!$E55)))&gt;=0,MOD(((Özet!$C$4*12+7)-(YEAR(Ödemeler!$E55)*12+MONTH(Ödemeler!$E55))),Ödemeler!$G55)=0,OR(Ödemeler!$F55="",DATE(Özet!$C$4,7,1)&lt;=Ödemeler!$F55)),Ödemeler!$C55,0))</f>
        <v/>
      </c>
      <c r="I56" s="37" t="str">
        <f aca="false">IF(OR(Ödemeler!$A55="",Ödemeler!$G55="",Ödemeler!$E55=""),"",IF(AND(((Özet!$C$4*12+8)-(YEAR(Ödemeler!$E55)*12+MONTH(Ödemeler!$E55)))&gt;=0,MOD(((Özet!$C$4*12+8)-(YEAR(Ödemeler!$E55)*12+MONTH(Ödemeler!$E55))),Ödemeler!$G55)=0,OR(Ödemeler!$F55="",DATE(Özet!$C$4,8,1)&lt;=Ödemeler!$F55)),Ödemeler!$C55,0))</f>
        <v/>
      </c>
      <c r="J56" s="37" t="str">
        <f aca="false">IF(OR(Ödemeler!$A55="",Ödemeler!$G55="",Ödemeler!$E55=""),"",IF(AND(((Özet!$C$4*12+9)-(YEAR(Ödemeler!$E55)*12+MONTH(Ödemeler!$E55)))&gt;=0,MOD(((Özet!$C$4*12+9)-(YEAR(Ödemeler!$E55)*12+MONTH(Ödemeler!$E55))),Ödemeler!$G55)=0,OR(Ödemeler!$F55="",DATE(Özet!$C$4,9,1)&lt;=Ödemeler!$F55)),Ödemeler!$C55,0))</f>
        <v/>
      </c>
      <c r="K56" s="37" t="str">
        <f aca="false">IF(OR(Ödemeler!$A55="",Ödemeler!$G55="",Ödemeler!$E55=""),"",IF(AND(((Özet!$C$4*12+10)-(YEAR(Ödemeler!$E55)*12+MONTH(Ödemeler!$E55)))&gt;=0,MOD(((Özet!$C$4*12+10)-(YEAR(Ödemeler!$E55)*12+MONTH(Ödemeler!$E55))),Ödemeler!$G55)=0,OR(Ödemeler!$F55="",DATE(Özet!$C$4,10,1)&lt;=Ödemeler!$F55)),Ödemeler!$C55,0))</f>
        <v/>
      </c>
      <c r="L56" s="37" t="str">
        <f aca="false">IF(OR(Ödemeler!$A55="",Ödemeler!$G55="",Ödemeler!$E55=""),"",IF(AND(((Özet!$C$4*12+11)-(YEAR(Ödemeler!$E55)*12+MONTH(Ödemeler!$E55)))&gt;=0,MOD(((Özet!$C$4*12+11)-(YEAR(Ödemeler!$E55)*12+MONTH(Ödemeler!$E55))),Ödemeler!$G55)=0,OR(Ödemeler!$F55="",DATE(Özet!$C$4,11,1)&lt;=Ödemeler!$F55)),Ödemeler!$C55,0))</f>
        <v/>
      </c>
      <c r="M56" s="37" t="str">
        <f aca="false">IF(OR(Ödemeler!$A55="",Ödemeler!$G55="",Ödemeler!$E55=""),"",IF(AND(((Özet!$C$4*12+12)-(YEAR(Ödemeler!$E55)*12+MONTH(Ödemeler!$E55)))&gt;=0,MOD(((Özet!$C$4*12+12)-(YEAR(Ödemeler!$E55)*12+MONTH(Ödemeler!$E55))),Ödemeler!$G55)=0,OR(Ödemeler!$F55="",DATE(Özet!$C$4,12,1)&lt;=Ödemeler!$F55)),Ödemeler!$C55,0))</f>
        <v/>
      </c>
      <c r="N56" s="37" t="str">
        <f aca="false">IF(COUNT(B56:M56)=0,"",SUM(B56:M56))</f>
        <v/>
      </c>
    </row>
    <row r="57" customFormat="false" ht="15" hidden="false" customHeight="false" outlineLevel="0" collapsed="false">
      <c r="A57" s="16" t="str">
        <f aca="false">IF(Ödemeler!A56="","",Ödemeler!A56)</f>
        <v/>
      </c>
      <c r="B57" s="36" t="str">
        <f aca="false">IF(OR(Ödemeler!$A56="",Ödemeler!$G56="",Ödemeler!$E56=""),"",IF(AND(((Özet!$C$4*12+1)-(YEAR(Ödemeler!$E56)*12+MONTH(Ödemeler!$E56)))&gt;=0,MOD(((Özet!$C$4*12+1)-(YEAR(Ödemeler!$E56)*12+MONTH(Ödemeler!$E56))),Ödemeler!$G56)=0,OR(Ödemeler!$F56="",DATE(Özet!$C$4,1,1)&lt;=Ödemeler!$F56)),Ödemeler!$C56,0))</f>
        <v/>
      </c>
      <c r="C57" s="36" t="str">
        <f aca="false">IF(OR(Ödemeler!$A56="",Ödemeler!$G56="",Ödemeler!$E56=""),"",IF(AND(((Özet!$C$4*12+2)-(YEAR(Ödemeler!$E56)*12+MONTH(Ödemeler!$E56)))&gt;=0,MOD(((Özet!$C$4*12+2)-(YEAR(Ödemeler!$E56)*12+MONTH(Ödemeler!$E56))),Ödemeler!$G56)=0,OR(Ödemeler!$F56="",DATE(Özet!$C$4,2,1)&lt;=Ödemeler!$F56)),Ödemeler!$C56,0))</f>
        <v/>
      </c>
      <c r="D57" s="36" t="str">
        <f aca="false">IF(OR(Ödemeler!$A56="",Ödemeler!$G56="",Ödemeler!$E56=""),"",IF(AND(((Özet!$C$4*12+3)-(YEAR(Ödemeler!$E56)*12+MONTH(Ödemeler!$E56)))&gt;=0,MOD(((Özet!$C$4*12+3)-(YEAR(Ödemeler!$E56)*12+MONTH(Ödemeler!$E56))),Ödemeler!$G56)=0,OR(Ödemeler!$F56="",DATE(Özet!$C$4,3,1)&lt;=Ödemeler!$F56)),Ödemeler!$C56,0))</f>
        <v/>
      </c>
      <c r="E57" s="36" t="str">
        <f aca="false">IF(OR(Ödemeler!$A56="",Ödemeler!$G56="",Ödemeler!$E56=""),"",IF(AND(((Özet!$C$4*12+4)-(YEAR(Ödemeler!$E56)*12+MONTH(Ödemeler!$E56)))&gt;=0,MOD(((Özet!$C$4*12+4)-(YEAR(Ödemeler!$E56)*12+MONTH(Ödemeler!$E56))),Ödemeler!$G56)=0,OR(Ödemeler!$F56="",DATE(Özet!$C$4,4,1)&lt;=Ödemeler!$F56)),Ödemeler!$C56,0))</f>
        <v/>
      </c>
      <c r="F57" s="36" t="str">
        <f aca="false">IF(OR(Ödemeler!$A56="",Ödemeler!$G56="",Ödemeler!$E56=""),"",IF(AND(((Özet!$C$4*12+5)-(YEAR(Ödemeler!$E56)*12+MONTH(Ödemeler!$E56)))&gt;=0,MOD(((Özet!$C$4*12+5)-(YEAR(Ödemeler!$E56)*12+MONTH(Ödemeler!$E56))),Ödemeler!$G56)=0,OR(Ödemeler!$F56="",DATE(Özet!$C$4,5,1)&lt;=Ödemeler!$F56)),Ödemeler!$C56,0))</f>
        <v/>
      </c>
      <c r="G57" s="36" t="str">
        <f aca="false">IF(OR(Ödemeler!$A56="",Ödemeler!$G56="",Ödemeler!$E56=""),"",IF(AND(((Özet!$C$4*12+6)-(YEAR(Ödemeler!$E56)*12+MONTH(Ödemeler!$E56)))&gt;=0,MOD(((Özet!$C$4*12+6)-(YEAR(Ödemeler!$E56)*12+MONTH(Ödemeler!$E56))),Ödemeler!$G56)=0,OR(Ödemeler!$F56="",DATE(Özet!$C$4,6,1)&lt;=Ödemeler!$F56)),Ödemeler!$C56,0))</f>
        <v/>
      </c>
      <c r="H57" s="36" t="str">
        <f aca="false">IF(OR(Ödemeler!$A56="",Ödemeler!$G56="",Ödemeler!$E56=""),"",IF(AND(((Özet!$C$4*12+7)-(YEAR(Ödemeler!$E56)*12+MONTH(Ödemeler!$E56)))&gt;=0,MOD(((Özet!$C$4*12+7)-(YEAR(Ödemeler!$E56)*12+MONTH(Ödemeler!$E56))),Ödemeler!$G56)=0,OR(Ödemeler!$F56="",DATE(Özet!$C$4,7,1)&lt;=Ödemeler!$F56)),Ödemeler!$C56,0))</f>
        <v/>
      </c>
      <c r="I57" s="36" t="str">
        <f aca="false">IF(OR(Ödemeler!$A56="",Ödemeler!$G56="",Ödemeler!$E56=""),"",IF(AND(((Özet!$C$4*12+8)-(YEAR(Ödemeler!$E56)*12+MONTH(Ödemeler!$E56)))&gt;=0,MOD(((Özet!$C$4*12+8)-(YEAR(Ödemeler!$E56)*12+MONTH(Ödemeler!$E56))),Ödemeler!$G56)=0,OR(Ödemeler!$F56="",DATE(Özet!$C$4,8,1)&lt;=Ödemeler!$F56)),Ödemeler!$C56,0))</f>
        <v/>
      </c>
      <c r="J57" s="36" t="str">
        <f aca="false">IF(OR(Ödemeler!$A56="",Ödemeler!$G56="",Ödemeler!$E56=""),"",IF(AND(((Özet!$C$4*12+9)-(YEAR(Ödemeler!$E56)*12+MONTH(Ödemeler!$E56)))&gt;=0,MOD(((Özet!$C$4*12+9)-(YEAR(Ödemeler!$E56)*12+MONTH(Ödemeler!$E56))),Ödemeler!$G56)=0,OR(Ödemeler!$F56="",DATE(Özet!$C$4,9,1)&lt;=Ödemeler!$F56)),Ödemeler!$C56,0))</f>
        <v/>
      </c>
      <c r="K57" s="36" t="str">
        <f aca="false">IF(OR(Ödemeler!$A56="",Ödemeler!$G56="",Ödemeler!$E56=""),"",IF(AND(((Özet!$C$4*12+10)-(YEAR(Ödemeler!$E56)*12+MONTH(Ödemeler!$E56)))&gt;=0,MOD(((Özet!$C$4*12+10)-(YEAR(Ödemeler!$E56)*12+MONTH(Ödemeler!$E56))),Ödemeler!$G56)=0,OR(Ödemeler!$F56="",DATE(Özet!$C$4,10,1)&lt;=Ödemeler!$F56)),Ödemeler!$C56,0))</f>
        <v/>
      </c>
      <c r="L57" s="36" t="str">
        <f aca="false">IF(OR(Ödemeler!$A56="",Ödemeler!$G56="",Ödemeler!$E56=""),"",IF(AND(((Özet!$C$4*12+11)-(YEAR(Ödemeler!$E56)*12+MONTH(Ödemeler!$E56)))&gt;=0,MOD(((Özet!$C$4*12+11)-(YEAR(Ödemeler!$E56)*12+MONTH(Ödemeler!$E56))),Ödemeler!$G56)=0,OR(Ödemeler!$F56="",DATE(Özet!$C$4,11,1)&lt;=Ödemeler!$F56)),Ödemeler!$C56,0))</f>
        <v/>
      </c>
      <c r="M57" s="36" t="str">
        <f aca="false">IF(OR(Ödemeler!$A56="",Ödemeler!$G56="",Ödemeler!$E56=""),"",IF(AND(((Özet!$C$4*12+12)-(YEAR(Ödemeler!$E56)*12+MONTH(Ödemeler!$E56)))&gt;=0,MOD(((Özet!$C$4*12+12)-(YEAR(Ödemeler!$E56)*12+MONTH(Ödemeler!$E56))),Ödemeler!$G56)=0,OR(Ödemeler!$F56="",DATE(Özet!$C$4,12,1)&lt;=Ödemeler!$F56)),Ödemeler!$C56,0))</f>
        <v/>
      </c>
      <c r="N57" s="36" t="str">
        <f aca="false">IF(COUNT(B57:M57)=0,"",SUM(B57:M57))</f>
        <v/>
      </c>
    </row>
    <row r="58" customFormat="false" ht="15" hidden="false" customHeight="false" outlineLevel="0" collapsed="false">
      <c r="A58" s="30" t="str">
        <f aca="false">IF(Ödemeler!A57="","",Ödemeler!A57)</f>
        <v/>
      </c>
      <c r="B58" s="37" t="str">
        <f aca="false">IF(OR(Ödemeler!$A57="",Ödemeler!$G57="",Ödemeler!$E57=""),"",IF(AND(((Özet!$C$4*12+1)-(YEAR(Ödemeler!$E57)*12+MONTH(Ödemeler!$E57)))&gt;=0,MOD(((Özet!$C$4*12+1)-(YEAR(Ödemeler!$E57)*12+MONTH(Ödemeler!$E57))),Ödemeler!$G57)=0,OR(Ödemeler!$F57="",DATE(Özet!$C$4,1,1)&lt;=Ödemeler!$F57)),Ödemeler!$C57,0))</f>
        <v/>
      </c>
      <c r="C58" s="37" t="str">
        <f aca="false">IF(OR(Ödemeler!$A57="",Ödemeler!$G57="",Ödemeler!$E57=""),"",IF(AND(((Özet!$C$4*12+2)-(YEAR(Ödemeler!$E57)*12+MONTH(Ödemeler!$E57)))&gt;=0,MOD(((Özet!$C$4*12+2)-(YEAR(Ödemeler!$E57)*12+MONTH(Ödemeler!$E57))),Ödemeler!$G57)=0,OR(Ödemeler!$F57="",DATE(Özet!$C$4,2,1)&lt;=Ödemeler!$F57)),Ödemeler!$C57,0))</f>
        <v/>
      </c>
      <c r="D58" s="37" t="str">
        <f aca="false">IF(OR(Ödemeler!$A57="",Ödemeler!$G57="",Ödemeler!$E57=""),"",IF(AND(((Özet!$C$4*12+3)-(YEAR(Ödemeler!$E57)*12+MONTH(Ödemeler!$E57)))&gt;=0,MOD(((Özet!$C$4*12+3)-(YEAR(Ödemeler!$E57)*12+MONTH(Ödemeler!$E57))),Ödemeler!$G57)=0,OR(Ödemeler!$F57="",DATE(Özet!$C$4,3,1)&lt;=Ödemeler!$F57)),Ödemeler!$C57,0))</f>
        <v/>
      </c>
      <c r="E58" s="37" t="str">
        <f aca="false">IF(OR(Ödemeler!$A57="",Ödemeler!$G57="",Ödemeler!$E57=""),"",IF(AND(((Özet!$C$4*12+4)-(YEAR(Ödemeler!$E57)*12+MONTH(Ödemeler!$E57)))&gt;=0,MOD(((Özet!$C$4*12+4)-(YEAR(Ödemeler!$E57)*12+MONTH(Ödemeler!$E57))),Ödemeler!$G57)=0,OR(Ödemeler!$F57="",DATE(Özet!$C$4,4,1)&lt;=Ödemeler!$F57)),Ödemeler!$C57,0))</f>
        <v/>
      </c>
      <c r="F58" s="37" t="str">
        <f aca="false">IF(OR(Ödemeler!$A57="",Ödemeler!$G57="",Ödemeler!$E57=""),"",IF(AND(((Özet!$C$4*12+5)-(YEAR(Ödemeler!$E57)*12+MONTH(Ödemeler!$E57)))&gt;=0,MOD(((Özet!$C$4*12+5)-(YEAR(Ödemeler!$E57)*12+MONTH(Ödemeler!$E57))),Ödemeler!$G57)=0,OR(Ödemeler!$F57="",DATE(Özet!$C$4,5,1)&lt;=Ödemeler!$F57)),Ödemeler!$C57,0))</f>
        <v/>
      </c>
      <c r="G58" s="37" t="str">
        <f aca="false">IF(OR(Ödemeler!$A57="",Ödemeler!$G57="",Ödemeler!$E57=""),"",IF(AND(((Özet!$C$4*12+6)-(YEAR(Ödemeler!$E57)*12+MONTH(Ödemeler!$E57)))&gt;=0,MOD(((Özet!$C$4*12+6)-(YEAR(Ödemeler!$E57)*12+MONTH(Ödemeler!$E57))),Ödemeler!$G57)=0,OR(Ödemeler!$F57="",DATE(Özet!$C$4,6,1)&lt;=Ödemeler!$F57)),Ödemeler!$C57,0))</f>
        <v/>
      </c>
      <c r="H58" s="37" t="str">
        <f aca="false">IF(OR(Ödemeler!$A57="",Ödemeler!$G57="",Ödemeler!$E57=""),"",IF(AND(((Özet!$C$4*12+7)-(YEAR(Ödemeler!$E57)*12+MONTH(Ödemeler!$E57)))&gt;=0,MOD(((Özet!$C$4*12+7)-(YEAR(Ödemeler!$E57)*12+MONTH(Ödemeler!$E57))),Ödemeler!$G57)=0,OR(Ödemeler!$F57="",DATE(Özet!$C$4,7,1)&lt;=Ödemeler!$F57)),Ödemeler!$C57,0))</f>
        <v/>
      </c>
      <c r="I58" s="37" t="str">
        <f aca="false">IF(OR(Ödemeler!$A57="",Ödemeler!$G57="",Ödemeler!$E57=""),"",IF(AND(((Özet!$C$4*12+8)-(YEAR(Ödemeler!$E57)*12+MONTH(Ödemeler!$E57)))&gt;=0,MOD(((Özet!$C$4*12+8)-(YEAR(Ödemeler!$E57)*12+MONTH(Ödemeler!$E57))),Ödemeler!$G57)=0,OR(Ödemeler!$F57="",DATE(Özet!$C$4,8,1)&lt;=Ödemeler!$F57)),Ödemeler!$C57,0))</f>
        <v/>
      </c>
      <c r="J58" s="37" t="str">
        <f aca="false">IF(OR(Ödemeler!$A57="",Ödemeler!$G57="",Ödemeler!$E57=""),"",IF(AND(((Özet!$C$4*12+9)-(YEAR(Ödemeler!$E57)*12+MONTH(Ödemeler!$E57)))&gt;=0,MOD(((Özet!$C$4*12+9)-(YEAR(Ödemeler!$E57)*12+MONTH(Ödemeler!$E57))),Ödemeler!$G57)=0,OR(Ödemeler!$F57="",DATE(Özet!$C$4,9,1)&lt;=Ödemeler!$F57)),Ödemeler!$C57,0))</f>
        <v/>
      </c>
      <c r="K58" s="37" t="str">
        <f aca="false">IF(OR(Ödemeler!$A57="",Ödemeler!$G57="",Ödemeler!$E57=""),"",IF(AND(((Özet!$C$4*12+10)-(YEAR(Ödemeler!$E57)*12+MONTH(Ödemeler!$E57)))&gt;=0,MOD(((Özet!$C$4*12+10)-(YEAR(Ödemeler!$E57)*12+MONTH(Ödemeler!$E57))),Ödemeler!$G57)=0,OR(Ödemeler!$F57="",DATE(Özet!$C$4,10,1)&lt;=Ödemeler!$F57)),Ödemeler!$C57,0))</f>
        <v/>
      </c>
      <c r="L58" s="37" t="str">
        <f aca="false">IF(OR(Ödemeler!$A57="",Ödemeler!$G57="",Ödemeler!$E57=""),"",IF(AND(((Özet!$C$4*12+11)-(YEAR(Ödemeler!$E57)*12+MONTH(Ödemeler!$E57)))&gt;=0,MOD(((Özet!$C$4*12+11)-(YEAR(Ödemeler!$E57)*12+MONTH(Ödemeler!$E57))),Ödemeler!$G57)=0,OR(Ödemeler!$F57="",DATE(Özet!$C$4,11,1)&lt;=Ödemeler!$F57)),Ödemeler!$C57,0))</f>
        <v/>
      </c>
      <c r="M58" s="37" t="str">
        <f aca="false">IF(OR(Ödemeler!$A57="",Ödemeler!$G57="",Ödemeler!$E57=""),"",IF(AND(((Özet!$C$4*12+12)-(YEAR(Ödemeler!$E57)*12+MONTH(Ödemeler!$E57)))&gt;=0,MOD(((Özet!$C$4*12+12)-(YEAR(Ödemeler!$E57)*12+MONTH(Ödemeler!$E57))),Ödemeler!$G57)=0,OR(Ödemeler!$F57="",DATE(Özet!$C$4,12,1)&lt;=Ödemeler!$F57)),Ödemeler!$C57,0))</f>
        <v/>
      </c>
      <c r="N58" s="37" t="str">
        <f aca="false">IF(COUNT(B58:M58)=0,"",SUM(B58:M58))</f>
        <v/>
      </c>
    </row>
    <row r="59" customFormat="false" ht="15" hidden="false" customHeight="false" outlineLevel="0" collapsed="false">
      <c r="A59" s="16" t="str">
        <f aca="false">IF(Ödemeler!A58="","",Ödemeler!A58)</f>
        <v/>
      </c>
      <c r="B59" s="36" t="str">
        <f aca="false">IF(OR(Ödemeler!$A58="",Ödemeler!$G58="",Ödemeler!$E58=""),"",IF(AND(((Özet!$C$4*12+1)-(YEAR(Ödemeler!$E58)*12+MONTH(Ödemeler!$E58)))&gt;=0,MOD(((Özet!$C$4*12+1)-(YEAR(Ödemeler!$E58)*12+MONTH(Ödemeler!$E58))),Ödemeler!$G58)=0,OR(Ödemeler!$F58="",DATE(Özet!$C$4,1,1)&lt;=Ödemeler!$F58)),Ödemeler!$C58,0))</f>
        <v/>
      </c>
      <c r="C59" s="36" t="str">
        <f aca="false">IF(OR(Ödemeler!$A58="",Ödemeler!$G58="",Ödemeler!$E58=""),"",IF(AND(((Özet!$C$4*12+2)-(YEAR(Ödemeler!$E58)*12+MONTH(Ödemeler!$E58)))&gt;=0,MOD(((Özet!$C$4*12+2)-(YEAR(Ödemeler!$E58)*12+MONTH(Ödemeler!$E58))),Ödemeler!$G58)=0,OR(Ödemeler!$F58="",DATE(Özet!$C$4,2,1)&lt;=Ödemeler!$F58)),Ödemeler!$C58,0))</f>
        <v/>
      </c>
      <c r="D59" s="36" t="str">
        <f aca="false">IF(OR(Ödemeler!$A58="",Ödemeler!$G58="",Ödemeler!$E58=""),"",IF(AND(((Özet!$C$4*12+3)-(YEAR(Ödemeler!$E58)*12+MONTH(Ödemeler!$E58)))&gt;=0,MOD(((Özet!$C$4*12+3)-(YEAR(Ödemeler!$E58)*12+MONTH(Ödemeler!$E58))),Ödemeler!$G58)=0,OR(Ödemeler!$F58="",DATE(Özet!$C$4,3,1)&lt;=Ödemeler!$F58)),Ödemeler!$C58,0))</f>
        <v/>
      </c>
      <c r="E59" s="36" t="str">
        <f aca="false">IF(OR(Ödemeler!$A58="",Ödemeler!$G58="",Ödemeler!$E58=""),"",IF(AND(((Özet!$C$4*12+4)-(YEAR(Ödemeler!$E58)*12+MONTH(Ödemeler!$E58)))&gt;=0,MOD(((Özet!$C$4*12+4)-(YEAR(Ödemeler!$E58)*12+MONTH(Ödemeler!$E58))),Ödemeler!$G58)=0,OR(Ödemeler!$F58="",DATE(Özet!$C$4,4,1)&lt;=Ödemeler!$F58)),Ödemeler!$C58,0))</f>
        <v/>
      </c>
      <c r="F59" s="36" t="str">
        <f aca="false">IF(OR(Ödemeler!$A58="",Ödemeler!$G58="",Ödemeler!$E58=""),"",IF(AND(((Özet!$C$4*12+5)-(YEAR(Ödemeler!$E58)*12+MONTH(Ödemeler!$E58)))&gt;=0,MOD(((Özet!$C$4*12+5)-(YEAR(Ödemeler!$E58)*12+MONTH(Ödemeler!$E58))),Ödemeler!$G58)=0,OR(Ödemeler!$F58="",DATE(Özet!$C$4,5,1)&lt;=Ödemeler!$F58)),Ödemeler!$C58,0))</f>
        <v/>
      </c>
      <c r="G59" s="36" t="str">
        <f aca="false">IF(OR(Ödemeler!$A58="",Ödemeler!$G58="",Ödemeler!$E58=""),"",IF(AND(((Özet!$C$4*12+6)-(YEAR(Ödemeler!$E58)*12+MONTH(Ödemeler!$E58)))&gt;=0,MOD(((Özet!$C$4*12+6)-(YEAR(Ödemeler!$E58)*12+MONTH(Ödemeler!$E58))),Ödemeler!$G58)=0,OR(Ödemeler!$F58="",DATE(Özet!$C$4,6,1)&lt;=Ödemeler!$F58)),Ödemeler!$C58,0))</f>
        <v/>
      </c>
      <c r="H59" s="36" t="str">
        <f aca="false">IF(OR(Ödemeler!$A58="",Ödemeler!$G58="",Ödemeler!$E58=""),"",IF(AND(((Özet!$C$4*12+7)-(YEAR(Ödemeler!$E58)*12+MONTH(Ödemeler!$E58)))&gt;=0,MOD(((Özet!$C$4*12+7)-(YEAR(Ödemeler!$E58)*12+MONTH(Ödemeler!$E58))),Ödemeler!$G58)=0,OR(Ödemeler!$F58="",DATE(Özet!$C$4,7,1)&lt;=Ödemeler!$F58)),Ödemeler!$C58,0))</f>
        <v/>
      </c>
      <c r="I59" s="36" t="str">
        <f aca="false">IF(OR(Ödemeler!$A58="",Ödemeler!$G58="",Ödemeler!$E58=""),"",IF(AND(((Özet!$C$4*12+8)-(YEAR(Ödemeler!$E58)*12+MONTH(Ödemeler!$E58)))&gt;=0,MOD(((Özet!$C$4*12+8)-(YEAR(Ödemeler!$E58)*12+MONTH(Ödemeler!$E58))),Ödemeler!$G58)=0,OR(Ödemeler!$F58="",DATE(Özet!$C$4,8,1)&lt;=Ödemeler!$F58)),Ödemeler!$C58,0))</f>
        <v/>
      </c>
      <c r="J59" s="36" t="str">
        <f aca="false">IF(OR(Ödemeler!$A58="",Ödemeler!$G58="",Ödemeler!$E58=""),"",IF(AND(((Özet!$C$4*12+9)-(YEAR(Ödemeler!$E58)*12+MONTH(Ödemeler!$E58)))&gt;=0,MOD(((Özet!$C$4*12+9)-(YEAR(Ödemeler!$E58)*12+MONTH(Ödemeler!$E58))),Ödemeler!$G58)=0,OR(Ödemeler!$F58="",DATE(Özet!$C$4,9,1)&lt;=Ödemeler!$F58)),Ödemeler!$C58,0))</f>
        <v/>
      </c>
      <c r="K59" s="36" t="str">
        <f aca="false">IF(OR(Ödemeler!$A58="",Ödemeler!$G58="",Ödemeler!$E58=""),"",IF(AND(((Özet!$C$4*12+10)-(YEAR(Ödemeler!$E58)*12+MONTH(Ödemeler!$E58)))&gt;=0,MOD(((Özet!$C$4*12+10)-(YEAR(Ödemeler!$E58)*12+MONTH(Ödemeler!$E58))),Ödemeler!$G58)=0,OR(Ödemeler!$F58="",DATE(Özet!$C$4,10,1)&lt;=Ödemeler!$F58)),Ödemeler!$C58,0))</f>
        <v/>
      </c>
      <c r="L59" s="36" t="str">
        <f aca="false">IF(OR(Ödemeler!$A58="",Ödemeler!$G58="",Ödemeler!$E58=""),"",IF(AND(((Özet!$C$4*12+11)-(YEAR(Ödemeler!$E58)*12+MONTH(Ödemeler!$E58)))&gt;=0,MOD(((Özet!$C$4*12+11)-(YEAR(Ödemeler!$E58)*12+MONTH(Ödemeler!$E58))),Ödemeler!$G58)=0,OR(Ödemeler!$F58="",DATE(Özet!$C$4,11,1)&lt;=Ödemeler!$F58)),Ödemeler!$C58,0))</f>
        <v/>
      </c>
      <c r="M59" s="36" t="str">
        <f aca="false">IF(OR(Ödemeler!$A58="",Ödemeler!$G58="",Ödemeler!$E58=""),"",IF(AND(((Özet!$C$4*12+12)-(YEAR(Ödemeler!$E58)*12+MONTH(Ödemeler!$E58)))&gt;=0,MOD(((Özet!$C$4*12+12)-(YEAR(Ödemeler!$E58)*12+MONTH(Ödemeler!$E58))),Ödemeler!$G58)=0,OR(Ödemeler!$F58="",DATE(Özet!$C$4,12,1)&lt;=Ödemeler!$F58)),Ödemeler!$C58,0))</f>
        <v/>
      </c>
      <c r="N59" s="36" t="str">
        <f aca="false">IF(COUNT(B59:M59)=0,"",SUM(B59:M59))</f>
        <v/>
      </c>
    </row>
    <row r="60" customFormat="false" ht="15" hidden="false" customHeight="false" outlineLevel="0" collapsed="false">
      <c r="A60" s="30" t="str">
        <f aca="false">IF(Ödemeler!A59="","",Ödemeler!A59)</f>
        <v/>
      </c>
      <c r="B60" s="37" t="str">
        <f aca="false">IF(OR(Ödemeler!$A59="",Ödemeler!$G59="",Ödemeler!$E59=""),"",IF(AND(((Özet!$C$4*12+1)-(YEAR(Ödemeler!$E59)*12+MONTH(Ödemeler!$E59)))&gt;=0,MOD(((Özet!$C$4*12+1)-(YEAR(Ödemeler!$E59)*12+MONTH(Ödemeler!$E59))),Ödemeler!$G59)=0,OR(Ödemeler!$F59="",DATE(Özet!$C$4,1,1)&lt;=Ödemeler!$F59)),Ödemeler!$C59,0))</f>
        <v/>
      </c>
      <c r="C60" s="37" t="str">
        <f aca="false">IF(OR(Ödemeler!$A59="",Ödemeler!$G59="",Ödemeler!$E59=""),"",IF(AND(((Özet!$C$4*12+2)-(YEAR(Ödemeler!$E59)*12+MONTH(Ödemeler!$E59)))&gt;=0,MOD(((Özet!$C$4*12+2)-(YEAR(Ödemeler!$E59)*12+MONTH(Ödemeler!$E59))),Ödemeler!$G59)=0,OR(Ödemeler!$F59="",DATE(Özet!$C$4,2,1)&lt;=Ödemeler!$F59)),Ödemeler!$C59,0))</f>
        <v/>
      </c>
      <c r="D60" s="37" t="str">
        <f aca="false">IF(OR(Ödemeler!$A59="",Ödemeler!$G59="",Ödemeler!$E59=""),"",IF(AND(((Özet!$C$4*12+3)-(YEAR(Ödemeler!$E59)*12+MONTH(Ödemeler!$E59)))&gt;=0,MOD(((Özet!$C$4*12+3)-(YEAR(Ödemeler!$E59)*12+MONTH(Ödemeler!$E59))),Ödemeler!$G59)=0,OR(Ödemeler!$F59="",DATE(Özet!$C$4,3,1)&lt;=Ödemeler!$F59)),Ödemeler!$C59,0))</f>
        <v/>
      </c>
      <c r="E60" s="37" t="str">
        <f aca="false">IF(OR(Ödemeler!$A59="",Ödemeler!$G59="",Ödemeler!$E59=""),"",IF(AND(((Özet!$C$4*12+4)-(YEAR(Ödemeler!$E59)*12+MONTH(Ödemeler!$E59)))&gt;=0,MOD(((Özet!$C$4*12+4)-(YEAR(Ödemeler!$E59)*12+MONTH(Ödemeler!$E59))),Ödemeler!$G59)=0,OR(Ödemeler!$F59="",DATE(Özet!$C$4,4,1)&lt;=Ödemeler!$F59)),Ödemeler!$C59,0))</f>
        <v/>
      </c>
      <c r="F60" s="37" t="str">
        <f aca="false">IF(OR(Ödemeler!$A59="",Ödemeler!$G59="",Ödemeler!$E59=""),"",IF(AND(((Özet!$C$4*12+5)-(YEAR(Ödemeler!$E59)*12+MONTH(Ödemeler!$E59)))&gt;=0,MOD(((Özet!$C$4*12+5)-(YEAR(Ödemeler!$E59)*12+MONTH(Ödemeler!$E59))),Ödemeler!$G59)=0,OR(Ödemeler!$F59="",DATE(Özet!$C$4,5,1)&lt;=Ödemeler!$F59)),Ödemeler!$C59,0))</f>
        <v/>
      </c>
      <c r="G60" s="37" t="str">
        <f aca="false">IF(OR(Ödemeler!$A59="",Ödemeler!$G59="",Ödemeler!$E59=""),"",IF(AND(((Özet!$C$4*12+6)-(YEAR(Ödemeler!$E59)*12+MONTH(Ödemeler!$E59)))&gt;=0,MOD(((Özet!$C$4*12+6)-(YEAR(Ödemeler!$E59)*12+MONTH(Ödemeler!$E59))),Ödemeler!$G59)=0,OR(Ödemeler!$F59="",DATE(Özet!$C$4,6,1)&lt;=Ödemeler!$F59)),Ödemeler!$C59,0))</f>
        <v/>
      </c>
      <c r="H60" s="37" t="str">
        <f aca="false">IF(OR(Ödemeler!$A59="",Ödemeler!$G59="",Ödemeler!$E59=""),"",IF(AND(((Özet!$C$4*12+7)-(YEAR(Ödemeler!$E59)*12+MONTH(Ödemeler!$E59)))&gt;=0,MOD(((Özet!$C$4*12+7)-(YEAR(Ödemeler!$E59)*12+MONTH(Ödemeler!$E59))),Ödemeler!$G59)=0,OR(Ödemeler!$F59="",DATE(Özet!$C$4,7,1)&lt;=Ödemeler!$F59)),Ödemeler!$C59,0))</f>
        <v/>
      </c>
      <c r="I60" s="37" t="str">
        <f aca="false">IF(OR(Ödemeler!$A59="",Ödemeler!$G59="",Ödemeler!$E59=""),"",IF(AND(((Özet!$C$4*12+8)-(YEAR(Ödemeler!$E59)*12+MONTH(Ödemeler!$E59)))&gt;=0,MOD(((Özet!$C$4*12+8)-(YEAR(Ödemeler!$E59)*12+MONTH(Ödemeler!$E59))),Ödemeler!$G59)=0,OR(Ödemeler!$F59="",DATE(Özet!$C$4,8,1)&lt;=Ödemeler!$F59)),Ödemeler!$C59,0))</f>
        <v/>
      </c>
      <c r="J60" s="37" t="str">
        <f aca="false">IF(OR(Ödemeler!$A59="",Ödemeler!$G59="",Ödemeler!$E59=""),"",IF(AND(((Özet!$C$4*12+9)-(YEAR(Ödemeler!$E59)*12+MONTH(Ödemeler!$E59)))&gt;=0,MOD(((Özet!$C$4*12+9)-(YEAR(Ödemeler!$E59)*12+MONTH(Ödemeler!$E59))),Ödemeler!$G59)=0,OR(Ödemeler!$F59="",DATE(Özet!$C$4,9,1)&lt;=Ödemeler!$F59)),Ödemeler!$C59,0))</f>
        <v/>
      </c>
      <c r="K60" s="37" t="str">
        <f aca="false">IF(OR(Ödemeler!$A59="",Ödemeler!$G59="",Ödemeler!$E59=""),"",IF(AND(((Özet!$C$4*12+10)-(YEAR(Ödemeler!$E59)*12+MONTH(Ödemeler!$E59)))&gt;=0,MOD(((Özet!$C$4*12+10)-(YEAR(Ödemeler!$E59)*12+MONTH(Ödemeler!$E59))),Ödemeler!$G59)=0,OR(Ödemeler!$F59="",DATE(Özet!$C$4,10,1)&lt;=Ödemeler!$F59)),Ödemeler!$C59,0))</f>
        <v/>
      </c>
      <c r="L60" s="37" t="str">
        <f aca="false">IF(OR(Ödemeler!$A59="",Ödemeler!$G59="",Ödemeler!$E59=""),"",IF(AND(((Özet!$C$4*12+11)-(YEAR(Ödemeler!$E59)*12+MONTH(Ödemeler!$E59)))&gt;=0,MOD(((Özet!$C$4*12+11)-(YEAR(Ödemeler!$E59)*12+MONTH(Ödemeler!$E59))),Ödemeler!$G59)=0,OR(Ödemeler!$F59="",DATE(Özet!$C$4,11,1)&lt;=Ödemeler!$F59)),Ödemeler!$C59,0))</f>
        <v/>
      </c>
      <c r="M60" s="37" t="str">
        <f aca="false">IF(OR(Ödemeler!$A59="",Ödemeler!$G59="",Ödemeler!$E59=""),"",IF(AND(((Özet!$C$4*12+12)-(YEAR(Ödemeler!$E59)*12+MONTH(Ödemeler!$E59)))&gt;=0,MOD(((Özet!$C$4*12+12)-(YEAR(Ödemeler!$E59)*12+MONTH(Ödemeler!$E59))),Ödemeler!$G59)=0,OR(Ödemeler!$F59="",DATE(Özet!$C$4,12,1)&lt;=Ödemeler!$F59)),Ödemeler!$C59,0))</f>
        <v/>
      </c>
      <c r="N60" s="37" t="str">
        <f aca="false">IF(COUNT(B60:M60)=0,"",SUM(B60:M60))</f>
        <v/>
      </c>
    </row>
    <row r="61" customFormat="false" ht="15" hidden="false" customHeight="false" outlineLevel="0" collapsed="false">
      <c r="A61" s="16" t="str">
        <f aca="false">IF(Ödemeler!A60="","",Ödemeler!A60)</f>
        <v/>
      </c>
      <c r="B61" s="36" t="str">
        <f aca="false">IF(OR(Ödemeler!$A60="",Ödemeler!$G60="",Ödemeler!$E60=""),"",IF(AND(((Özet!$C$4*12+1)-(YEAR(Ödemeler!$E60)*12+MONTH(Ödemeler!$E60)))&gt;=0,MOD(((Özet!$C$4*12+1)-(YEAR(Ödemeler!$E60)*12+MONTH(Ödemeler!$E60))),Ödemeler!$G60)=0,OR(Ödemeler!$F60="",DATE(Özet!$C$4,1,1)&lt;=Ödemeler!$F60)),Ödemeler!$C60,0))</f>
        <v/>
      </c>
      <c r="C61" s="36" t="str">
        <f aca="false">IF(OR(Ödemeler!$A60="",Ödemeler!$G60="",Ödemeler!$E60=""),"",IF(AND(((Özet!$C$4*12+2)-(YEAR(Ödemeler!$E60)*12+MONTH(Ödemeler!$E60)))&gt;=0,MOD(((Özet!$C$4*12+2)-(YEAR(Ödemeler!$E60)*12+MONTH(Ödemeler!$E60))),Ödemeler!$G60)=0,OR(Ödemeler!$F60="",DATE(Özet!$C$4,2,1)&lt;=Ödemeler!$F60)),Ödemeler!$C60,0))</f>
        <v/>
      </c>
      <c r="D61" s="36" t="str">
        <f aca="false">IF(OR(Ödemeler!$A60="",Ödemeler!$G60="",Ödemeler!$E60=""),"",IF(AND(((Özet!$C$4*12+3)-(YEAR(Ödemeler!$E60)*12+MONTH(Ödemeler!$E60)))&gt;=0,MOD(((Özet!$C$4*12+3)-(YEAR(Ödemeler!$E60)*12+MONTH(Ödemeler!$E60))),Ödemeler!$G60)=0,OR(Ödemeler!$F60="",DATE(Özet!$C$4,3,1)&lt;=Ödemeler!$F60)),Ödemeler!$C60,0))</f>
        <v/>
      </c>
      <c r="E61" s="36" t="str">
        <f aca="false">IF(OR(Ödemeler!$A60="",Ödemeler!$G60="",Ödemeler!$E60=""),"",IF(AND(((Özet!$C$4*12+4)-(YEAR(Ödemeler!$E60)*12+MONTH(Ödemeler!$E60)))&gt;=0,MOD(((Özet!$C$4*12+4)-(YEAR(Ödemeler!$E60)*12+MONTH(Ödemeler!$E60))),Ödemeler!$G60)=0,OR(Ödemeler!$F60="",DATE(Özet!$C$4,4,1)&lt;=Ödemeler!$F60)),Ödemeler!$C60,0))</f>
        <v/>
      </c>
      <c r="F61" s="36" t="str">
        <f aca="false">IF(OR(Ödemeler!$A60="",Ödemeler!$G60="",Ödemeler!$E60=""),"",IF(AND(((Özet!$C$4*12+5)-(YEAR(Ödemeler!$E60)*12+MONTH(Ödemeler!$E60)))&gt;=0,MOD(((Özet!$C$4*12+5)-(YEAR(Ödemeler!$E60)*12+MONTH(Ödemeler!$E60))),Ödemeler!$G60)=0,OR(Ödemeler!$F60="",DATE(Özet!$C$4,5,1)&lt;=Ödemeler!$F60)),Ödemeler!$C60,0))</f>
        <v/>
      </c>
      <c r="G61" s="36" t="str">
        <f aca="false">IF(OR(Ödemeler!$A60="",Ödemeler!$G60="",Ödemeler!$E60=""),"",IF(AND(((Özet!$C$4*12+6)-(YEAR(Ödemeler!$E60)*12+MONTH(Ödemeler!$E60)))&gt;=0,MOD(((Özet!$C$4*12+6)-(YEAR(Ödemeler!$E60)*12+MONTH(Ödemeler!$E60))),Ödemeler!$G60)=0,OR(Ödemeler!$F60="",DATE(Özet!$C$4,6,1)&lt;=Ödemeler!$F60)),Ödemeler!$C60,0))</f>
        <v/>
      </c>
      <c r="H61" s="36" t="str">
        <f aca="false">IF(OR(Ödemeler!$A60="",Ödemeler!$G60="",Ödemeler!$E60=""),"",IF(AND(((Özet!$C$4*12+7)-(YEAR(Ödemeler!$E60)*12+MONTH(Ödemeler!$E60)))&gt;=0,MOD(((Özet!$C$4*12+7)-(YEAR(Ödemeler!$E60)*12+MONTH(Ödemeler!$E60))),Ödemeler!$G60)=0,OR(Ödemeler!$F60="",DATE(Özet!$C$4,7,1)&lt;=Ödemeler!$F60)),Ödemeler!$C60,0))</f>
        <v/>
      </c>
      <c r="I61" s="36" t="str">
        <f aca="false">IF(OR(Ödemeler!$A60="",Ödemeler!$G60="",Ödemeler!$E60=""),"",IF(AND(((Özet!$C$4*12+8)-(YEAR(Ödemeler!$E60)*12+MONTH(Ödemeler!$E60)))&gt;=0,MOD(((Özet!$C$4*12+8)-(YEAR(Ödemeler!$E60)*12+MONTH(Ödemeler!$E60))),Ödemeler!$G60)=0,OR(Ödemeler!$F60="",DATE(Özet!$C$4,8,1)&lt;=Ödemeler!$F60)),Ödemeler!$C60,0))</f>
        <v/>
      </c>
      <c r="J61" s="36" t="str">
        <f aca="false">IF(OR(Ödemeler!$A60="",Ödemeler!$G60="",Ödemeler!$E60=""),"",IF(AND(((Özet!$C$4*12+9)-(YEAR(Ödemeler!$E60)*12+MONTH(Ödemeler!$E60)))&gt;=0,MOD(((Özet!$C$4*12+9)-(YEAR(Ödemeler!$E60)*12+MONTH(Ödemeler!$E60))),Ödemeler!$G60)=0,OR(Ödemeler!$F60="",DATE(Özet!$C$4,9,1)&lt;=Ödemeler!$F60)),Ödemeler!$C60,0))</f>
        <v/>
      </c>
      <c r="K61" s="36" t="str">
        <f aca="false">IF(OR(Ödemeler!$A60="",Ödemeler!$G60="",Ödemeler!$E60=""),"",IF(AND(((Özet!$C$4*12+10)-(YEAR(Ödemeler!$E60)*12+MONTH(Ödemeler!$E60)))&gt;=0,MOD(((Özet!$C$4*12+10)-(YEAR(Ödemeler!$E60)*12+MONTH(Ödemeler!$E60))),Ödemeler!$G60)=0,OR(Ödemeler!$F60="",DATE(Özet!$C$4,10,1)&lt;=Ödemeler!$F60)),Ödemeler!$C60,0))</f>
        <v/>
      </c>
      <c r="L61" s="36" t="str">
        <f aca="false">IF(OR(Ödemeler!$A60="",Ödemeler!$G60="",Ödemeler!$E60=""),"",IF(AND(((Özet!$C$4*12+11)-(YEAR(Ödemeler!$E60)*12+MONTH(Ödemeler!$E60)))&gt;=0,MOD(((Özet!$C$4*12+11)-(YEAR(Ödemeler!$E60)*12+MONTH(Ödemeler!$E60))),Ödemeler!$G60)=0,OR(Ödemeler!$F60="",DATE(Özet!$C$4,11,1)&lt;=Ödemeler!$F60)),Ödemeler!$C60,0))</f>
        <v/>
      </c>
      <c r="M61" s="36" t="str">
        <f aca="false">IF(OR(Ödemeler!$A60="",Ödemeler!$G60="",Ödemeler!$E60=""),"",IF(AND(((Özet!$C$4*12+12)-(YEAR(Ödemeler!$E60)*12+MONTH(Ödemeler!$E60)))&gt;=0,MOD(((Özet!$C$4*12+12)-(YEAR(Ödemeler!$E60)*12+MONTH(Ödemeler!$E60))),Ödemeler!$G60)=0,OR(Ödemeler!$F60="",DATE(Özet!$C$4,12,1)&lt;=Ödemeler!$F60)),Ödemeler!$C60,0))</f>
        <v/>
      </c>
      <c r="N61" s="36" t="str">
        <f aca="false">IF(COUNT(B61:M61)=0,"",SUM(B61:M61))</f>
        <v/>
      </c>
    </row>
    <row r="62" customFormat="false" ht="15" hidden="false" customHeight="false" outlineLevel="0" collapsed="false">
      <c r="A62" s="30" t="str">
        <f aca="false">IF(Ödemeler!A61="","",Ödemeler!A61)</f>
        <v/>
      </c>
      <c r="B62" s="37" t="str">
        <f aca="false">IF(OR(Ödemeler!$A61="",Ödemeler!$G61="",Ödemeler!$E61=""),"",IF(AND(((Özet!$C$4*12+1)-(YEAR(Ödemeler!$E61)*12+MONTH(Ödemeler!$E61)))&gt;=0,MOD(((Özet!$C$4*12+1)-(YEAR(Ödemeler!$E61)*12+MONTH(Ödemeler!$E61))),Ödemeler!$G61)=0,OR(Ödemeler!$F61="",DATE(Özet!$C$4,1,1)&lt;=Ödemeler!$F61)),Ödemeler!$C61,0))</f>
        <v/>
      </c>
      <c r="C62" s="37" t="str">
        <f aca="false">IF(OR(Ödemeler!$A61="",Ödemeler!$G61="",Ödemeler!$E61=""),"",IF(AND(((Özet!$C$4*12+2)-(YEAR(Ödemeler!$E61)*12+MONTH(Ödemeler!$E61)))&gt;=0,MOD(((Özet!$C$4*12+2)-(YEAR(Ödemeler!$E61)*12+MONTH(Ödemeler!$E61))),Ödemeler!$G61)=0,OR(Ödemeler!$F61="",DATE(Özet!$C$4,2,1)&lt;=Ödemeler!$F61)),Ödemeler!$C61,0))</f>
        <v/>
      </c>
      <c r="D62" s="37" t="str">
        <f aca="false">IF(OR(Ödemeler!$A61="",Ödemeler!$G61="",Ödemeler!$E61=""),"",IF(AND(((Özet!$C$4*12+3)-(YEAR(Ödemeler!$E61)*12+MONTH(Ödemeler!$E61)))&gt;=0,MOD(((Özet!$C$4*12+3)-(YEAR(Ödemeler!$E61)*12+MONTH(Ödemeler!$E61))),Ödemeler!$G61)=0,OR(Ödemeler!$F61="",DATE(Özet!$C$4,3,1)&lt;=Ödemeler!$F61)),Ödemeler!$C61,0))</f>
        <v/>
      </c>
      <c r="E62" s="37" t="str">
        <f aca="false">IF(OR(Ödemeler!$A61="",Ödemeler!$G61="",Ödemeler!$E61=""),"",IF(AND(((Özet!$C$4*12+4)-(YEAR(Ödemeler!$E61)*12+MONTH(Ödemeler!$E61)))&gt;=0,MOD(((Özet!$C$4*12+4)-(YEAR(Ödemeler!$E61)*12+MONTH(Ödemeler!$E61))),Ödemeler!$G61)=0,OR(Ödemeler!$F61="",DATE(Özet!$C$4,4,1)&lt;=Ödemeler!$F61)),Ödemeler!$C61,0))</f>
        <v/>
      </c>
      <c r="F62" s="37" t="str">
        <f aca="false">IF(OR(Ödemeler!$A61="",Ödemeler!$G61="",Ödemeler!$E61=""),"",IF(AND(((Özet!$C$4*12+5)-(YEAR(Ödemeler!$E61)*12+MONTH(Ödemeler!$E61)))&gt;=0,MOD(((Özet!$C$4*12+5)-(YEAR(Ödemeler!$E61)*12+MONTH(Ödemeler!$E61))),Ödemeler!$G61)=0,OR(Ödemeler!$F61="",DATE(Özet!$C$4,5,1)&lt;=Ödemeler!$F61)),Ödemeler!$C61,0))</f>
        <v/>
      </c>
      <c r="G62" s="37" t="str">
        <f aca="false">IF(OR(Ödemeler!$A61="",Ödemeler!$G61="",Ödemeler!$E61=""),"",IF(AND(((Özet!$C$4*12+6)-(YEAR(Ödemeler!$E61)*12+MONTH(Ödemeler!$E61)))&gt;=0,MOD(((Özet!$C$4*12+6)-(YEAR(Ödemeler!$E61)*12+MONTH(Ödemeler!$E61))),Ödemeler!$G61)=0,OR(Ödemeler!$F61="",DATE(Özet!$C$4,6,1)&lt;=Ödemeler!$F61)),Ödemeler!$C61,0))</f>
        <v/>
      </c>
      <c r="H62" s="37" t="str">
        <f aca="false">IF(OR(Ödemeler!$A61="",Ödemeler!$G61="",Ödemeler!$E61=""),"",IF(AND(((Özet!$C$4*12+7)-(YEAR(Ödemeler!$E61)*12+MONTH(Ödemeler!$E61)))&gt;=0,MOD(((Özet!$C$4*12+7)-(YEAR(Ödemeler!$E61)*12+MONTH(Ödemeler!$E61))),Ödemeler!$G61)=0,OR(Ödemeler!$F61="",DATE(Özet!$C$4,7,1)&lt;=Ödemeler!$F61)),Ödemeler!$C61,0))</f>
        <v/>
      </c>
      <c r="I62" s="37" t="str">
        <f aca="false">IF(OR(Ödemeler!$A61="",Ödemeler!$G61="",Ödemeler!$E61=""),"",IF(AND(((Özet!$C$4*12+8)-(YEAR(Ödemeler!$E61)*12+MONTH(Ödemeler!$E61)))&gt;=0,MOD(((Özet!$C$4*12+8)-(YEAR(Ödemeler!$E61)*12+MONTH(Ödemeler!$E61))),Ödemeler!$G61)=0,OR(Ödemeler!$F61="",DATE(Özet!$C$4,8,1)&lt;=Ödemeler!$F61)),Ödemeler!$C61,0))</f>
        <v/>
      </c>
      <c r="J62" s="37" t="str">
        <f aca="false">IF(OR(Ödemeler!$A61="",Ödemeler!$G61="",Ödemeler!$E61=""),"",IF(AND(((Özet!$C$4*12+9)-(YEAR(Ödemeler!$E61)*12+MONTH(Ödemeler!$E61)))&gt;=0,MOD(((Özet!$C$4*12+9)-(YEAR(Ödemeler!$E61)*12+MONTH(Ödemeler!$E61))),Ödemeler!$G61)=0,OR(Ödemeler!$F61="",DATE(Özet!$C$4,9,1)&lt;=Ödemeler!$F61)),Ödemeler!$C61,0))</f>
        <v/>
      </c>
      <c r="K62" s="37" t="str">
        <f aca="false">IF(OR(Ödemeler!$A61="",Ödemeler!$G61="",Ödemeler!$E61=""),"",IF(AND(((Özet!$C$4*12+10)-(YEAR(Ödemeler!$E61)*12+MONTH(Ödemeler!$E61)))&gt;=0,MOD(((Özet!$C$4*12+10)-(YEAR(Ödemeler!$E61)*12+MONTH(Ödemeler!$E61))),Ödemeler!$G61)=0,OR(Ödemeler!$F61="",DATE(Özet!$C$4,10,1)&lt;=Ödemeler!$F61)),Ödemeler!$C61,0))</f>
        <v/>
      </c>
      <c r="L62" s="37" t="str">
        <f aca="false">IF(OR(Ödemeler!$A61="",Ödemeler!$G61="",Ödemeler!$E61=""),"",IF(AND(((Özet!$C$4*12+11)-(YEAR(Ödemeler!$E61)*12+MONTH(Ödemeler!$E61)))&gt;=0,MOD(((Özet!$C$4*12+11)-(YEAR(Ödemeler!$E61)*12+MONTH(Ödemeler!$E61))),Ödemeler!$G61)=0,OR(Ödemeler!$F61="",DATE(Özet!$C$4,11,1)&lt;=Ödemeler!$F61)),Ödemeler!$C61,0))</f>
        <v/>
      </c>
      <c r="M62" s="37" t="str">
        <f aca="false">IF(OR(Ödemeler!$A61="",Ödemeler!$G61="",Ödemeler!$E61=""),"",IF(AND(((Özet!$C$4*12+12)-(YEAR(Ödemeler!$E61)*12+MONTH(Ödemeler!$E61)))&gt;=0,MOD(((Özet!$C$4*12+12)-(YEAR(Ödemeler!$E61)*12+MONTH(Ödemeler!$E61))),Ödemeler!$G61)=0,OR(Ödemeler!$F61="",DATE(Özet!$C$4,12,1)&lt;=Ödemeler!$F61)),Ödemeler!$C61,0))</f>
        <v/>
      </c>
      <c r="N62" s="37" t="str">
        <f aca="false">IF(COUNT(B62:M62)=0,"",SUM(B62:M62))</f>
        <v/>
      </c>
    </row>
    <row r="63" customFormat="false" ht="15" hidden="false" customHeight="false" outlineLevel="0" collapsed="false">
      <c r="A63" s="16" t="str">
        <f aca="false">IF(Ödemeler!A62="","",Ödemeler!A62)</f>
        <v/>
      </c>
      <c r="B63" s="36" t="str">
        <f aca="false">IF(OR(Ödemeler!$A62="",Ödemeler!$G62="",Ödemeler!$E62=""),"",IF(AND(((Özet!$C$4*12+1)-(YEAR(Ödemeler!$E62)*12+MONTH(Ödemeler!$E62)))&gt;=0,MOD(((Özet!$C$4*12+1)-(YEAR(Ödemeler!$E62)*12+MONTH(Ödemeler!$E62))),Ödemeler!$G62)=0,OR(Ödemeler!$F62="",DATE(Özet!$C$4,1,1)&lt;=Ödemeler!$F62)),Ödemeler!$C62,0))</f>
        <v/>
      </c>
      <c r="C63" s="36" t="str">
        <f aca="false">IF(OR(Ödemeler!$A62="",Ödemeler!$G62="",Ödemeler!$E62=""),"",IF(AND(((Özet!$C$4*12+2)-(YEAR(Ödemeler!$E62)*12+MONTH(Ödemeler!$E62)))&gt;=0,MOD(((Özet!$C$4*12+2)-(YEAR(Ödemeler!$E62)*12+MONTH(Ödemeler!$E62))),Ödemeler!$G62)=0,OR(Ödemeler!$F62="",DATE(Özet!$C$4,2,1)&lt;=Ödemeler!$F62)),Ödemeler!$C62,0))</f>
        <v/>
      </c>
      <c r="D63" s="36" t="str">
        <f aca="false">IF(OR(Ödemeler!$A62="",Ödemeler!$G62="",Ödemeler!$E62=""),"",IF(AND(((Özet!$C$4*12+3)-(YEAR(Ödemeler!$E62)*12+MONTH(Ödemeler!$E62)))&gt;=0,MOD(((Özet!$C$4*12+3)-(YEAR(Ödemeler!$E62)*12+MONTH(Ödemeler!$E62))),Ödemeler!$G62)=0,OR(Ödemeler!$F62="",DATE(Özet!$C$4,3,1)&lt;=Ödemeler!$F62)),Ödemeler!$C62,0))</f>
        <v/>
      </c>
      <c r="E63" s="36" t="str">
        <f aca="false">IF(OR(Ödemeler!$A62="",Ödemeler!$G62="",Ödemeler!$E62=""),"",IF(AND(((Özet!$C$4*12+4)-(YEAR(Ödemeler!$E62)*12+MONTH(Ödemeler!$E62)))&gt;=0,MOD(((Özet!$C$4*12+4)-(YEAR(Ödemeler!$E62)*12+MONTH(Ödemeler!$E62))),Ödemeler!$G62)=0,OR(Ödemeler!$F62="",DATE(Özet!$C$4,4,1)&lt;=Ödemeler!$F62)),Ödemeler!$C62,0))</f>
        <v/>
      </c>
      <c r="F63" s="36" t="str">
        <f aca="false">IF(OR(Ödemeler!$A62="",Ödemeler!$G62="",Ödemeler!$E62=""),"",IF(AND(((Özet!$C$4*12+5)-(YEAR(Ödemeler!$E62)*12+MONTH(Ödemeler!$E62)))&gt;=0,MOD(((Özet!$C$4*12+5)-(YEAR(Ödemeler!$E62)*12+MONTH(Ödemeler!$E62))),Ödemeler!$G62)=0,OR(Ödemeler!$F62="",DATE(Özet!$C$4,5,1)&lt;=Ödemeler!$F62)),Ödemeler!$C62,0))</f>
        <v/>
      </c>
      <c r="G63" s="36" t="str">
        <f aca="false">IF(OR(Ödemeler!$A62="",Ödemeler!$G62="",Ödemeler!$E62=""),"",IF(AND(((Özet!$C$4*12+6)-(YEAR(Ödemeler!$E62)*12+MONTH(Ödemeler!$E62)))&gt;=0,MOD(((Özet!$C$4*12+6)-(YEAR(Ödemeler!$E62)*12+MONTH(Ödemeler!$E62))),Ödemeler!$G62)=0,OR(Ödemeler!$F62="",DATE(Özet!$C$4,6,1)&lt;=Ödemeler!$F62)),Ödemeler!$C62,0))</f>
        <v/>
      </c>
      <c r="H63" s="36" t="str">
        <f aca="false">IF(OR(Ödemeler!$A62="",Ödemeler!$G62="",Ödemeler!$E62=""),"",IF(AND(((Özet!$C$4*12+7)-(YEAR(Ödemeler!$E62)*12+MONTH(Ödemeler!$E62)))&gt;=0,MOD(((Özet!$C$4*12+7)-(YEAR(Ödemeler!$E62)*12+MONTH(Ödemeler!$E62))),Ödemeler!$G62)=0,OR(Ödemeler!$F62="",DATE(Özet!$C$4,7,1)&lt;=Ödemeler!$F62)),Ödemeler!$C62,0))</f>
        <v/>
      </c>
      <c r="I63" s="36" t="str">
        <f aca="false">IF(OR(Ödemeler!$A62="",Ödemeler!$G62="",Ödemeler!$E62=""),"",IF(AND(((Özet!$C$4*12+8)-(YEAR(Ödemeler!$E62)*12+MONTH(Ödemeler!$E62)))&gt;=0,MOD(((Özet!$C$4*12+8)-(YEAR(Ödemeler!$E62)*12+MONTH(Ödemeler!$E62))),Ödemeler!$G62)=0,OR(Ödemeler!$F62="",DATE(Özet!$C$4,8,1)&lt;=Ödemeler!$F62)),Ödemeler!$C62,0))</f>
        <v/>
      </c>
      <c r="J63" s="36" t="str">
        <f aca="false">IF(OR(Ödemeler!$A62="",Ödemeler!$G62="",Ödemeler!$E62=""),"",IF(AND(((Özet!$C$4*12+9)-(YEAR(Ödemeler!$E62)*12+MONTH(Ödemeler!$E62)))&gt;=0,MOD(((Özet!$C$4*12+9)-(YEAR(Ödemeler!$E62)*12+MONTH(Ödemeler!$E62))),Ödemeler!$G62)=0,OR(Ödemeler!$F62="",DATE(Özet!$C$4,9,1)&lt;=Ödemeler!$F62)),Ödemeler!$C62,0))</f>
        <v/>
      </c>
      <c r="K63" s="36" t="str">
        <f aca="false">IF(OR(Ödemeler!$A62="",Ödemeler!$G62="",Ödemeler!$E62=""),"",IF(AND(((Özet!$C$4*12+10)-(YEAR(Ödemeler!$E62)*12+MONTH(Ödemeler!$E62)))&gt;=0,MOD(((Özet!$C$4*12+10)-(YEAR(Ödemeler!$E62)*12+MONTH(Ödemeler!$E62))),Ödemeler!$G62)=0,OR(Ödemeler!$F62="",DATE(Özet!$C$4,10,1)&lt;=Ödemeler!$F62)),Ödemeler!$C62,0))</f>
        <v/>
      </c>
      <c r="L63" s="36" t="str">
        <f aca="false">IF(OR(Ödemeler!$A62="",Ödemeler!$G62="",Ödemeler!$E62=""),"",IF(AND(((Özet!$C$4*12+11)-(YEAR(Ödemeler!$E62)*12+MONTH(Ödemeler!$E62)))&gt;=0,MOD(((Özet!$C$4*12+11)-(YEAR(Ödemeler!$E62)*12+MONTH(Ödemeler!$E62))),Ödemeler!$G62)=0,OR(Ödemeler!$F62="",DATE(Özet!$C$4,11,1)&lt;=Ödemeler!$F62)),Ödemeler!$C62,0))</f>
        <v/>
      </c>
      <c r="M63" s="36" t="str">
        <f aca="false">IF(OR(Ödemeler!$A62="",Ödemeler!$G62="",Ödemeler!$E62=""),"",IF(AND(((Özet!$C$4*12+12)-(YEAR(Ödemeler!$E62)*12+MONTH(Ödemeler!$E62)))&gt;=0,MOD(((Özet!$C$4*12+12)-(YEAR(Ödemeler!$E62)*12+MONTH(Ödemeler!$E62))),Ödemeler!$G62)=0,OR(Ödemeler!$F62="",DATE(Özet!$C$4,12,1)&lt;=Ödemeler!$F62)),Ödemeler!$C62,0))</f>
        <v/>
      </c>
      <c r="N63" s="36" t="str">
        <f aca="false">IF(COUNT(B63:M63)=0,"",SUM(B63:M63))</f>
        <v/>
      </c>
    </row>
    <row r="64" customFormat="false" ht="15" hidden="false" customHeight="false" outlineLevel="0" collapsed="false">
      <c r="A64" s="30" t="str">
        <f aca="false">IF(Ödemeler!A63="","",Ödemeler!A63)</f>
        <v/>
      </c>
      <c r="B64" s="37" t="str">
        <f aca="false">IF(OR(Ödemeler!$A63="",Ödemeler!$G63="",Ödemeler!$E63=""),"",IF(AND(((Özet!$C$4*12+1)-(YEAR(Ödemeler!$E63)*12+MONTH(Ödemeler!$E63)))&gt;=0,MOD(((Özet!$C$4*12+1)-(YEAR(Ödemeler!$E63)*12+MONTH(Ödemeler!$E63))),Ödemeler!$G63)=0,OR(Ödemeler!$F63="",DATE(Özet!$C$4,1,1)&lt;=Ödemeler!$F63)),Ödemeler!$C63,0))</f>
        <v/>
      </c>
      <c r="C64" s="37" t="str">
        <f aca="false">IF(OR(Ödemeler!$A63="",Ödemeler!$G63="",Ödemeler!$E63=""),"",IF(AND(((Özet!$C$4*12+2)-(YEAR(Ödemeler!$E63)*12+MONTH(Ödemeler!$E63)))&gt;=0,MOD(((Özet!$C$4*12+2)-(YEAR(Ödemeler!$E63)*12+MONTH(Ödemeler!$E63))),Ödemeler!$G63)=0,OR(Ödemeler!$F63="",DATE(Özet!$C$4,2,1)&lt;=Ödemeler!$F63)),Ödemeler!$C63,0))</f>
        <v/>
      </c>
      <c r="D64" s="37" t="str">
        <f aca="false">IF(OR(Ödemeler!$A63="",Ödemeler!$G63="",Ödemeler!$E63=""),"",IF(AND(((Özet!$C$4*12+3)-(YEAR(Ödemeler!$E63)*12+MONTH(Ödemeler!$E63)))&gt;=0,MOD(((Özet!$C$4*12+3)-(YEAR(Ödemeler!$E63)*12+MONTH(Ödemeler!$E63))),Ödemeler!$G63)=0,OR(Ödemeler!$F63="",DATE(Özet!$C$4,3,1)&lt;=Ödemeler!$F63)),Ödemeler!$C63,0))</f>
        <v/>
      </c>
      <c r="E64" s="37" t="str">
        <f aca="false">IF(OR(Ödemeler!$A63="",Ödemeler!$G63="",Ödemeler!$E63=""),"",IF(AND(((Özet!$C$4*12+4)-(YEAR(Ödemeler!$E63)*12+MONTH(Ödemeler!$E63)))&gt;=0,MOD(((Özet!$C$4*12+4)-(YEAR(Ödemeler!$E63)*12+MONTH(Ödemeler!$E63))),Ödemeler!$G63)=0,OR(Ödemeler!$F63="",DATE(Özet!$C$4,4,1)&lt;=Ödemeler!$F63)),Ödemeler!$C63,0))</f>
        <v/>
      </c>
      <c r="F64" s="37" t="str">
        <f aca="false">IF(OR(Ödemeler!$A63="",Ödemeler!$G63="",Ödemeler!$E63=""),"",IF(AND(((Özet!$C$4*12+5)-(YEAR(Ödemeler!$E63)*12+MONTH(Ödemeler!$E63)))&gt;=0,MOD(((Özet!$C$4*12+5)-(YEAR(Ödemeler!$E63)*12+MONTH(Ödemeler!$E63))),Ödemeler!$G63)=0,OR(Ödemeler!$F63="",DATE(Özet!$C$4,5,1)&lt;=Ödemeler!$F63)),Ödemeler!$C63,0))</f>
        <v/>
      </c>
      <c r="G64" s="37" t="str">
        <f aca="false">IF(OR(Ödemeler!$A63="",Ödemeler!$G63="",Ödemeler!$E63=""),"",IF(AND(((Özet!$C$4*12+6)-(YEAR(Ödemeler!$E63)*12+MONTH(Ödemeler!$E63)))&gt;=0,MOD(((Özet!$C$4*12+6)-(YEAR(Ödemeler!$E63)*12+MONTH(Ödemeler!$E63))),Ödemeler!$G63)=0,OR(Ödemeler!$F63="",DATE(Özet!$C$4,6,1)&lt;=Ödemeler!$F63)),Ödemeler!$C63,0))</f>
        <v/>
      </c>
      <c r="H64" s="37" t="str">
        <f aca="false">IF(OR(Ödemeler!$A63="",Ödemeler!$G63="",Ödemeler!$E63=""),"",IF(AND(((Özet!$C$4*12+7)-(YEAR(Ödemeler!$E63)*12+MONTH(Ödemeler!$E63)))&gt;=0,MOD(((Özet!$C$4*12+7)-(YEAR(Ödemeler!$E63)*12+MONTH(Ödemeler!$E63))),Ödemeler!$G63)=0,OR(Ödemeler!$F63="",DATE(Özet!$C$4,7,1)&lt;=Ödemeler!$F63)),Ödemeler!$C63,0))</f>
        <v/>
      </c>
      <c r="I64" s="37" t="str">
        <f aca="false">IF(OR(Ödemeler!$A63="",Ödemeler!$G63="",Ödemeler!$E63=""),"",IF(AND(((Özet!$C$4*12+8)-(YEAR(Ödemeler!$E63)*12+MONTH(Ödemeler!$E63)))&gt;=0,MOD(((Özet!$C$4*12+8)-(YEAR(Ödemeler!$E63)*12+MONTH(Ödemeler!$E63))),Ödemeler!$G63)=0,OR(Ödemeler!$F63="",DATE(Özet!$C$4,8,1)&lt;=Ödemeler!$F63)),Ödemeler!$C63,0))</f>
        <v/>
      </c>
      <c r="J64" s="37" t="str">
        <f aca="false">IF(OR(Ödemeler!$A63="",Ödemeler!$G63="",Ödemeler!$E63=""),"",IF(AND(((Özet!$C$4*12+9)-(YEAR(Ödemeler!$E63)*12+MONTH(Ödemeler!$E63)))&gt;=0,MOD(((Özet!$C$4*12+9)-(YEAR(Ödemeler!$E63)*12+MONTH(Ödemeler!$E63))),Ödemeler!$G63)=0,OR(Ödemeler!$F63="",DATE(Özet!$C$4,9,1)&lt;=Ödemeler!$F63)),Ödemeler!$C63,0))</f>
        <v/>
      </c>
      <c r="K64" s="37" t="str">
        <f aca="false">IF(OR(Ödemeler!$A63="",Ödemeler!$G63="",Ödemeler!$E63=""),"",IF(AND(((Özet!$C$4*12+10)-(YEAR(Ödemeler!$E63)*12+MONTH(Ödemeler!$E63)))&gt;=0,MOD(((Özet!$C$4*12+10)-(YEAR(Ödemeler!$E63)*12+MONTH(Ödemeler!$E63))),Ödemeler!$G63)=0,OR(Ödemeler!$F63="",DATE(Özet!$C$4,10,1)&lt;=Ödemeler!$F63)),Ödemeler!$C63,0))</f>
        <v/>
      </c>
      <c r="L64" s="37" t="str">
        <f aca="false">IF(OR(Ödemeler!$A63="",Ödemeler!$G63="",Ödemeler!$E63=""),"",IF(AND(((Özet!$C$4*12+11)-(YEAR(Ödemeler!$E63)*12+MONTH(Ödemeler!$E63)))&gt;=0,MOD(((Özet!$C$4*12+11)-(YEAR(Ödemeler!$E63)*12+MONTH(Ödemeler!$E63))),Ödemeler!$G63)=0,OR(Ödemeler!$F63="",DATE(Özet!$C$4,11,1)&lt;=Ödemeler!$F63)),Ödemeler!$C63,0))</f>
        <v/>
      </c>
      <c r="M64" s="37" t="str">
        <f aca="false">IF(OR(Ödemeler!$A63="",Ödemeler!$G63="",Ödemeler!$E63=""),"",IF(AND(((Özet!$C$4*12+12)-(YEAR(Ödemeler!$E63)*12+MONTH(Ödemeler!$E63)))&gt;=0,MOD(((Özet!$C$4*12+12)-(YEAR(Ödemeler!$E63)*12+MONTH(Ödemeler!$E63))),Ödemeler!$G63)=0,OR(Ödemeler!$F63="",DATE(Özet!$C$4,12,1)&lt;=Ödemeler!$F63)),Ödemeler!$C63,0))</f>
        <v/>
      </c>
      <c r="N64" s="37" t="str">
        <f aca="false">IF(COUNT(B64:M64)=0,"",SUM(B64:M64))</f>
        <v/>
      </c>
    </row>
    <row r="65" customFormat="false" ht="15" hidden="false" customHeight="false" outlineLevel="0" collapsed="false">
      <c r="A65" s="16" t="str">
        <f aca="false">IF(Ödemeler!A64="","",Ödemeler!A64)</f>
        <v/>
      </c>
      <c r="B65" s="36" t="str">
        <f aca="false">IF(OR(Ödemeler!$A64="",Ödemeler!$G64="",Ödemeler!$E64=""),"",IF(AND(((Özet!$C$4*12+1)-(YEAR(Ödemeler!$E64)*12+MONTH(Ödemeler!$E64)))&gt;=0,MOD(((Özet!$C$4*12+1)-(YEAR(Ödemeler!$E64)*12+MONTH(Ödemeler!$E64))),Ödemeler!$G64)=0,OR(Ödemeler!$F64="",DATE(Özet!$C$4,1,1)&lt;=Ödemeler!$F64)),Ödemeler!$C64,0))</f>
        <v/>
      </c>
      <c r="C65" s="36" t="str">
        <f aca="false">IF(OR(Ödemeler!$A64="",Ödemeler!$G64="",Ödemeler!$E64=""),"",IF(AND(((Özet!$C$4*12+2)-(YEAR(Ödemeler!$E64)*12+MONTH(Ödemeler!$E64)))&gt;=0,MOD(((Özet!$C$4*12+2)-(YEAR(Ödemeler!$E64)*12+MONTH(Ödemeler!$E64))),Ödemeler!$G64)=0,OR(Ödemeler!$F64="",DATE(Özet!$C$4,2,1)&lt;=Ödemeler!$F64)),Ödemeler!$C64,0))</f>
        <v/>
      </c>
      <c r="D65" s="36" t="str">
        <f aca="false">IF(OR(Ödemeler!$A64="",Ödemeler!$G64="",Ödemeler!$E64=""),"",IF(AND(((Özet!$C$4*12+3)-(YEAR(Ödemeler!$E64)*12+MONTH(Ödemeler!$E64)))&gt;=0,MOD(((Özet!$C$4*12+3)-(YEAR(Ödemeler!$E64)*12+MONTH(Ödemeler!$E64))),Ödemeler!$G64)=0,OR(Ödemeler!$F64="",DATE(Özet!$C$4,3,1)&lt;=Ödemeler!$F64)),Ödemeler!$C64,0))</f>
        <v/>
      </c>
      <c r="E65" s="36" t="str">
        <f aca="false">IF(OR(Ödemeler!$A64="",Ödemeler!$G64="",Ödemeler!$E64=""),"",IF(AND(((Özet!$C$4*12+4)-(YEAR(Ödemeler!$E64)*12+MONTH(Ödemeler!$E64)))&gt;=0,MOD(((Özet!$C$4*12+4)-(YEAR(Ödemeler!$E64)*12+MONTH(Ödemeler!$E64))),Ödemeler!$G64)=0,OR(Ödemeler!$F64="",DATE(Özet!$C$4,4,1)&lt;=Ödemeler!$F64)),Ödemeler!$C64,0))</f>
        <v/>
      </c>
      <c r="F65" s="36" t="str">
        <f aca="false">IF(OR(Ödemeler!$A64="",Ödemeler!$G64="",Ödemeler!$E64=""),"",IF(AND(((Özet!$C$4*12+5)-(YEAR(Ödemeler!$E64)*12+MONTH(Ödemeler!$E64)))&gt;=0,MOD(((Özet!$C$4*12+5)-(YEAR(Ödemeler!$E64)*12+MONTH(Ödemeler!$E64))),Ödemeler!$G64)=0,OR(Ödemeler!$F64="",DATE(Özet!$C$4,5,1)&lt;=Ödemeler!$F64)),Ödemeler!$C64,0))</f>
        <v/>
      </c>
      <c r="G65" s="36" t="str">
        <f aca="false">IF(OR(Ödemeler!$A64="",Ödemeler!$G64="",Ödemeler!$E64=""),"",IF(AND(((Özet!$C$4*12+6)-(YEAR(Ödemeler!$E64)*12+MONTH(Ödemeler!$E64)))&gt;=0,MOD(((Özet!$C$4*12+6)-(YEAR(Ödemeler!$E64)*12+MONTH(Ödemeler!$E64))),Ödemeler!$G64)=0,OR(Ödemeler!$F64="",DATE(Özet!$C$4,6,1)&lt;=Ödemeler!$F64)),Ödemeler!$C64,0))</f>
        <v/>
      </c>
      <c r="H65" s="36" t="str">
        <f aca="false">IF(OR(Ödemeler!$A64="",Ödemeler!$G64="",Ödemeler!$E64=""),"",IF(AND(((Özet!$C$4*12+7)-(YEAR(Ödemeler!$E64)*12+MONTH(Ödemeler!$E64)))&gt;=0,MOD(((Özet!$C$4*12+7)-(YEAR(Ödemeler!$E64)*12+MONTH(Ödemeler!$E64))),Ödemeler!$G64)=0,OR(Ödemeler!$F64="",DATE(Özet!$C$4,7,1)&lt;=Ödemeler!$F64)),Ödemeler!$C64,0))</f>
        <v/>
      </c>
      <c r="I65" s="36" t="str">
        <f aca="false">IF(OR(Ödemeler!$A64="",Ödemeler!$G64="",Ödemeler!$E64=""),"",IF(AND(((Özet!$C$4*12+8)-(YEAR(Ödemeler!$E64)*12+MONTH(Ödemeler!$E64)))&gt;=0,MOD(((Özet!$C$4*12+8)-(YEAR(Ödemeler!$E64)*12+MONTH(Ödemeler!$E64))),Ödemeler!$G64)=0,OR(Ödemeler!$F64="",DATE(Özet!$C$4,8,1)&lt;=Ödemeler!$F64)),Ödemeler!$C64,0))</f>
        <v/>
      </c>
      <c r="J65" s="36" t="str">
        <f aca="false">IF(OR(Ödemeler!$A64="",Ödemeler!$G64="",Ödemeler!$E64=""),"",IF(AND(((Özet!$C$4*12+9)-(YEAR(Ödemeler!$E64)*12+MONTH(Ödemeler!$E64)))&gt;=0,MOD(((Özet!$C$4*12+9)-(YEAR(Ödemeler!$E64)*12+MONTH(Ödemeler!$E64))),Ödemeler!$G64)=0,OR(Ödemeler!$F64="",DATE(Özet!$C$4,9,1)&lt;=Ödemeler!$F64)),Ödemeler!$C64,0))</f>
        <v/>
      </c>
      <c r="K65" s="36" t="str">
        <f aca="false">IF(OR(Ödemeler!$A64="",Ödemeler!$G64="",Ödemeler!$E64=""),"",IF(AND(((Özet!$C$4*12+10)-(YEAR(Ödemeler!$E64)*12+MONTH(Ödemeler!$E64)))&gt;=0,MOD(((Özet!$C$4*12+10)-(YEAR(Ödemeler!$E64)*12+MONTH(Ödemeler!$E64))),Ödemeler!$G64)=0,OR(Ödemeler!$F64="",DATE(Özet!$C$4,10,1)&lt;=Ödemeler!$F64)),Ödemeler!$C64,0))</f>
        <v/>
      </c>
      <c r="L65" s="36" t="str">
        <f aca="false">IF(OR(Ödemeler!$A64="",Ödemeler!$G64="",Ödemeler!$E64=""),"",IF(AND(((Özet!$C$4*12+11)-(YEAR(Ödemeler!$E64)*12+MONTH(Ödemeler!$E64)))&gt;=0,MOD(((Özet!$C$4*12+11)-(YEAR(Ödemeler!$E64)*12+MONTH(Ödemeler!$E64))),Ödemeler!$G64)=0,OR(Ödemeler!$F64="",DATE(Özet!$C$4,11,1)&lt;=Ödemeler!$F64)),Ödemeler!$C64,0))</f>
        <v/>
      </c>
      <c r="M65" s="36" t="str">
        <f aca="false">IF(OR(Ödemeler!$A64="",Ödemeler!$G64="",Ödemeler!$E64=""),"",IF(AND(((Özet!$C$4*12+12)-(YEAR(Ödemeler!$E64)*12+MONTH(Ödemeler!$E64)))&gt;=0,MOD(((Özet!$C$4*12+12)-(YEAR(Ödemeler!$E64)*12+MONTH(Ödemeler!$E64))),Ödemeler!$G64)=0,OR(Ödemeler!$F64="",DATE(Özet!$C$4,12,1)&lt;=Ödemeler!$F64)),Ödemeler!$C64,0))</f>
        <v/>
      </c>
      <c r="N65" s="36" t="str">
        <f aca="false">IF(COUNT(B65:M65)=0,"",SUM(B65:M65))</f>
        <v/>
      </c>
    </row>
    <row r="66" customFormat="false" ht="15" hidden="false" customHeight="false" outlineLevel="0" collapsed="false">
      <c r="A66" s="30" t="str">
        <f aca="false">IF(Ödemeler!A65="","",Ödemeler!A65)</f>
        <v/>
      </c>
      <c r="B66" s="37" t="str">
        <f aca="false">IF(OR(Ödemeler!$A65="",Ödemeler!$G65="",Ödemeler!$E65=""),"",IF(AND(((Özet!$C$4*12+1)-(YEAR(Ödemeler!$E65)*12+MONTH(Ödemeler!$E65)))&gt;=0,MOD(((Özet!$C$4*12+1)-(YEAR(Ödemeler!$E65)*12+MONTH(Ödemeler!$E65))),Ödemeler!$G65)=0,OR(Ödemeler!$F65="",DATE(Özet!$C$4,1,1)&lt;=Ödemeler!$F65)),Ödemeler!$C65,0))</f>
        <v/>
      </c>
      <c r="C66" s="37" t="str">
        <f aca="false">IF(OR(Ödemeler!$A65="",Ödemeler!$G65="",Ödemeler!$E65=""),"",IF(AND(((Özet!$C$4*12+2)-(YEAR(Ödemeler!$E65)*12+MONTH(Ödemeler!$E65)))&gt;=0,MOD(((Özet!$C$4*12+2)-(YEAR(Ödemeler!$E65)*12+MONTH(Ödemeler!$E65))),Ödemeler!$G65)=0,OR(Ödemeler!$F65="",DATE(Özet!$C$4,2,1)&lt;=Ödemeler!$F65)),Ödemeler!$C65,0))</f>
        <v/>
      </c>
      <c r="D66" s="37" t="str">
        <f aca="false">IF(OR(Ödemeler!$A65="",Ödemeler!$G65="",Ödemeler!$E65=""),"",IF(AND(((Özet!$C$4*12+3)-(YEAR(Ödemeler!$E65)*12+MONTH(Ödemeler!$E65)))&gt;=0,MOD(((Özet!$C$4*12+3)-(YEAR(Ödemeler!$E65)*12+MONTH(Ödemeler!$E65))),Ödemeler!$G65)=0,OR(Ödemeler!$F65="",DATE(Özet!$C$4,3,1)&lt;=Ödemeler!$F65)),Ödemeler!$C65,0))</f>
        <v/>
      </c>
      <c r="E66" s="37" t="str">
        <f aca="false">IF(OR(Ödemeler!$A65="",Ödemeler!$G65="",Ödemeler!$E65=""),"",IF(AND(((Özet!$C$4*12+4)-(YEAR(Ödemeler!$E65)*12+MONTH(Ödemeler!$E65)))&gt;=0,MOD(((Özet!$C$4*12+4)-(YEAR(Ödemeler!$E65)*12+MONTH(Ödemeler!$E65))),Ödemeler!$G65)=0,OR(Ödemeler!$F65="",DATE(Özet!$C$4,4,1)&lt;=Ödemeler!$F65)),Ödemeler!$C65,0))</f>
        <v/>
      </c>
      <c r="F66" s="37" t="str">
        <f aca="false">IF(OR(Ödemeler!$A65="",Ödemeler!$G65="",Ödemeler!$E65=""),"",IF(AND(((Özet!$C$4*12+5)-(YEAR(Ödemeler!$E65)*12+MONTH(Ödemeler!$E65)))&gt;=0,MOD(((Özet!$C$4*12+5)-(YEAR(Ödemeler!$E65)*12+MONTH(Ödemeler!$E65))),Ödemeler!$G65)=0,OR(Ödemeler!$F65="",DATE(Özet!$C$4,5,1)&lt;=Ödemeler!$F65)),Ödemeler!$C65,0))</f>
        <v/>
      </c>
      <c r="G66" s="37" t="str">
        <f aca="false">IF(OR(Ödemeler!$A65="",Ödemeler!$G65="",Ödemeler!$E65=""),"",IF(AND(((Özet!$C$4*12+6)-(YEAR(Ödemeler!$E65)*12+MONTH(Ödemeler!$E65)))&gt;=0,MOD(((Özet!$C$4*12+6)-(YEAR(Ödemeler!$E65)*12+MONTH(Ödemeler!$E65))),Ödemeler!$G65)=0,OR(Ödemeler!$F65="",DATE(Özet!$C$4,6,1)&lt;=Ödemeler!$F65)),Ödemeler!$C65,0))</f>
        <v/>
      </c>
      <c r="H66" s="37" t="str">
        <f aca="false">IF(OR(Ödemeler!$A65="",Ödemeler!$G65="",Ödemeler!$E65=""),"",IF(AND(((Özet!$C$4*12+7)-(YEAR(Ödemeler!$E65)*12+MONTH(Ödemeler!$E65)))&gt;=0,MOD(((Özet!$C$4*12+7)-(YEAR(Ödemeler!$E65)*12+MONTH(Ödemeler!$E65))),Ödemeler!$G65)=0,OR(Ödemeler!$F65="",DATE(Özet!$C$4,7,1)&lt;=Ödemeler!$F65)),Ödemeler!$C65,0))</f>
        <v/>
      </c>
      <c r="I66" s="37" t="str">
        <f aca="false">IF(OR(Ödemeler!$A65="",Ödemeler!$G65="",Ödemeler!$E65=""),"",IF(AND(((Özet!$C$4*12+8)-(YEAR(Ödemeler!$E65)*12+MONTH(Ödemeler!$E65)))&gt;=0,MOD(((Özet!$C$4*12+8)-(YEAR(Ödemeler!$E65)*12+MONTH(Ödemeler!$E65))),Ödemeler!$G65)=0,OR(Ödemeler!$F65="",DATE(Özet!$C$4,8,1)&lt;=Ödemeler!$F65)),Ödemeler!$C65,0))</f>
        <v/>
      </c>
      <c r="J66" s="37" t="str">
        <f aca="false">IF(OR(Ödemeler!$A65="",Ödemeler!$G65="",Ödemeler!$E65=""),"",IF(AND(((Özet!$C$4*12+9)-(YEAR(Ödemeler!$E65)*12+MONTH(Ödemeler!$E65)))&gt;=0,MOD(((Özet!$C$4*12+9)-(YEAR(Ödemeler!$E65)*12+MONTH(Ödemeler!$E65))),Ödemeler!$G65)=0,OR(Ödemeler!$F65="",DATE(Özet!$C$4,9,1)&lt;=Ödemeler!$F65)),Ödemeler!$C65,0))</f>
        <v/>
      </c>
      <c r="K66" s="37" t="str">
        <f aca="false">IF(OR(Ödemeler!$A65="",Ödemeler!$G65="",Ödemeler!$E65=""),"",IF(AND(((Özet!$C$4*12+10)-(YEAR(Ödemeler!$E65)*12+MONTH(Ödemeler!$E65)))&gt;=0,MOD(((Özet!$C$4*12+10)-(YEAR(Ödemeler!$E65)*12+MONTH(Ödemeler!$E65))),Ödemeler!$G65)=0,OR(Ödemeler!$F65="",DATE(Özet!$C$4,10,1)&lt;=Ödemeler!$F65)),Ödemeler!$C65,0))</f>
        <v/>
      </c>
      <c r="L66" s="37" t="str">
        <f aca="false">IF(OR(Ödemeler!$A65="",Ödemeler!$G65="",Ödemeler!$E65=""),"",IF(AND(((Özet!$C$4*12+11)-(YEAR(Ödemeler!$E65)*12+MONTH(Ödemeler!$E65)))&gt;=0,MOD(((Özet!$C$4*12+11)-(YEAR(Ödemeler!$E65)*12+MONTH(Ödemeler!$E65))),Ödemeler!$G65)=0,OR(Ödemeler!$F65="",DATE(Özet!$C$4,11,1)&lt;=Ödemeler!$F65)),Ödemeler!$C65,0))</f>
        <v/>
      </c>
      <c r="M66" s="37" t="str">
        <f aca="false">IF(OR(Ödemeler!$A65="",Ödemeler!$G65="",Ödemeler!$E65=""),"",IF(AND(((Özet!$C$4*12+12)-(YEAR(Ödemeler!$E65)*12+MONTH(Ödemeler!$E65)))&gt;=0,MOD(((Özet!$C$4*12+12)-(YEAR(Ödemeler!$E65)*12+MONTH(Ödemeler!$E65))),Ödemeler!$G65)=0,OR(Ödemeler!$F65="",DATE(Özet!$C$4,12,1)&lt;=Ödemeler!$F65)),Ödemeler!$C65,0))</f>
        <v/>
      </c>
      <c r="N66" s="37" t="str">
        <f aca="false">IF(COUNT(B66:M66)=0,"",SUM(B66:M66))</f>
        <v/>
      </c>
    </row>
    <row r="67" customFormat="false" ht="15" hidden="false" customHeight="false" outlineLevel="0" collapsed="false">
      <c r="A67" s="16" t="str">
        <f aca="false">IF(Ödemeler!A66="","",Ödemeler!A66)</f>
        <v/>
      </c>
      <c r="B67" s="36" t="str">
        <f aca="false">IF(OR(Ödemeler!$A66="",Ödemeler!$G66="",Ödemeler!$E66=""),"",IF(AND(((Özet!$C$4*12+1)-(YEAR(Ödemeler!$E66)*12+MONTH(Ödemeler!$E66)))&gt;=0,MOD(((Özet!$C$4*12+1)-(YEAR(Ödemeler!$E66)*12+MONTH(Ödemeler!$E66))),Ödemeler!$G66)=0,OR(Ödemeler!$F66="",DATE(Özet!$C$4,1,1)&lt;=Ödemeler!$F66)),Ödemeler!$C66,0))</f>
        <v/>
      </c>
      <c r="C67" s="36" t="str">
        <f aca="false">IF(OR(Ödemeler!$A66="",Ödemeler!$G66="",Ödemeler!$E66=""),"",IF(AND(((Özet!$C$4*12+2)-(YEAR(Ödemeler!$E66)*12+MONTH(Ödemeler!$E66)))&gt;=0,MOD(((Özet!$C$4*12+2)-(YEAR(Ödemeler!$E66)*12+MONTH(Ödemeler!$E66))),Ödemeler!$G66)=0,OR(Ödemeler!$F66="",DATE(Özet!$C$4,2,1)&lt;=Ödemeler!$F66)),Ödemeler!$C66,0))</f>
        <v/>
      </c>
      <c r="D67" s="36" t="str">
        <f aca="false">IF(OR(Ödemeler!$A66="",Ödemeler!$G66="",Ödemeler!$E66=""),"",IF(AND(((Özet!$C$4*12+3)-(YEAR(Ödemeler!$E66)*12+MONTH(Ödemeler!$E66)))&gt;=0,MOD(((Özet!$C$4*12+3)-(YEAR(Ödemeler!$E66)*12+MONTH(Ödemeler!$E66))),Ödemeler!$G66)=0,OR(Ödemeler!$F66="",DATE(Özet!$C$4,3,1)&lt;=Ödemeler!$F66)),Ödemeler!$C66,0))</f>
        <v/>
      </c>
      <c r="E67" s="36" t="str">
        <f aca="false">IF(OR(Ödemeler!$A66="",Ödemeler!$G66="",Ödemeler!$E66=""),"",IF(AND(((Özet!$C$4*12+4)-(YEAR(Ödemeler!$E66)*12+MONTH(Ödemeler!$E66)))&gt;=0,MOD(((Özet!$C$4*12+4)-(YEAR(Ödemeler!$E66)*12+MONTH(Ödemeler!$E66))),Ödemeler!$G66)=0,OR(Ödemeler!$F66="",DATE(Özet!$C$4,4,1)&lt;=Ödemeler!$F66)),Ödemeler!$C66,0))</f>
        <v/>
      </c>
      <c r="F67" s="36" t="str">
        <f aca="false">IF(OR(Ödemeler!$A66="",Ödemeler!$G66="",Ödemeler!$E66=""),"",IF(AND(((Özet!$C$4*12+5)-(YEAR(Ödemeler!$E66)*12+MONTH(Ödemeler!$E66)))&gt;=0,MOD(((Özet!$C$4*12+5)-(YEAR(Ödemeler!$E66)*12+MONTH(Ödemeler!$E66))),Ödemeler!$G66)=0,OR(Ödemeler!$F66="",DATE(Özet!$C$4,5,1)&lt;=Ödemeler!$F66)),Ödemeler!$C66,0))</f>
        <v/>
      </c>
      <c r="G67" s="36" t="str">
        <f aca="false">IF(OR(Ödemeler!$A66="",Ödemeler!$G66="",Ödemeler!$E66=""),"",IF(AND(((Özet!$C$4*12+6)-(YEAR(Ödemeler!$E66)*12+MONTH(Ödemeler!$E66)))&gt;=0,MOD(((Özet!$C$4*12+6)-(YEAR(Ödemeler!$E66)*12+MONTH(Ödemeler!$E66))),Ödemeler!$G66)=0,OR(Ödemeler!$F66="",DATE(Özet!$C$4,6,1)&lt;=Ödemeler!$F66)),Ödemeler!$C66,0))</f>
        <v/>
      </c>
      <c r="H67" s="36" t="str">
        <f aca="false">IF(OR(Ödemeler!$A66="",Ödemeler!$G66="",Ödemeler!$E66=""),"",IF(AND(((Özet!$C$4*12+7)-(YEAR(Ödemeler!$E66)*12+MONTH(Ödemeler!$E66)))&gt;=0,MOD(((Özet!$C$4*12+7)-(YEAR(Ödemeler!$E66)*12+MONTH(Ödemeler!$E66))),Ödemeler!$G66)=0,OR(Ödemeler!$F66="",DATE(Özet!$C$4,7,1)&lt;=Ödemeler!$F66)),Ödemeler!$C66,0))</f>
        <v/>
      </c>
      <c r="I67" s="36" t="str">
        <f aca="false">IF(OR(Ödemeler!$A66="",Ödemeler!$G66="",Ödemeler!$E66=""),"",IF(AND(((Özet!$C$4*12+8)-(YEAR(Ödemeler!$E66)*12+MONTH(Ödemeler!$E66)))&gt;=0,MOD(((Özet!$C$4*12+8)-(YEAR(Ödemeler!$E66)*12+MONTH(Ödemeler!$E66))),Ödemeler!$G66)=0,OR(Ödemeler!$F66="",DATE(Özet!$C$4,8,1)&lt;=Ödemeler!$F66)),Ödemeler!$C66,0))</f>
        <v/>
      </c>
      <c r="J67" s="36" t="str">
        <f aca="false">IF(OR(Ödemeler!$A66="",Ödemeler!$G66="",Ödemeler!$E66=""),"",IF(AND(((Özet!$C$4*12+9)-(YEAR(Ödemeler!$E66)*12+MONTH(Ödemeler!$E66)))&gt;=0,MOD(((Özet!$C$4*12+9)-(YEAR(Ödemeler!$E66)*12+MONTH(Ödemeler!$E66))),Ödemeler!$G66)=0,OR(Ödemeler!$F66="",DATE(Özet!$C$4,9,1)&lt;=Ödemeler!$F66)),Ödemeler!$C66,0))</f>
        <v/>
      </c>
      <c r="K67" s="36" t="str">
        <f aca="false">IF(OR(Ödemeler!$A66="",Ödemeler!$G66="",Ödemeler!$E66=""),"",IF(AND(((Özet!$C$4*12+10)-(YEAR(Ödemeler!$E66)*12+MONTH(Ödemeler!$E66)))&gt;=0,MOD(((Özet!$C$4*12+10)-(YEAR(Ödemeler!$E66)*12+MONTH(Ödemeler!$E66))),Ödemeler!$G66)=0,OR(Ödemeler!$F66="",DATE(Özet!$C$4,10,1)&lt;=Ödemeler!$F66)),Ödemeler!$C66,0))</f>
        <v/>
      </c>
      <c r="L67" s="36" t="str">
        <f aca="false">IF(OR(Ödemeler!$A66="",Ödemeler!$G66="",Ödemeler!$E66=""),"",IF(AND(((Özet!$C$4*12+11)-(YEAR(Ödemeler!$E66)*12+MONTH(Ödemeler!$E66)))&gt;=0,MOD(((Özet!$C$4*12+11)-(YEAR(Ödemeler!$E66)*12+MONTH(Ödemeler!$E66))),Ödemeler!$G66)=0,OR(Ödemeler!$F66="",DATE(Özet!$C$4,11,1)&lt;=Ödemeler!$F66)),Ödemeler!$C66,0))</f>
        <v/>
      </c>
      <c r="M67" s="36" t="str">
        <f aca="false">IF(OR(Ödemeler!$A66="",Ödemeler!$G66="",Ödemeler!$E66=""),"",IF(AND(((Özet!$C$4*12+12)-(YEAR(Ödemeler!$E66)*12+MONTH(Ödemeler!$E66)))&gt;=0,MOD(((Özet!$C$4*12+12)-(YEAR(Ödemeler!$E66)*12+MONTH(Ödemeler!$E66))),Ödemeler!$G66)=0,OR(Ödemeler!$F66="",DATE(Özet!$C$4,12,1)&lt;=Ödemeler!$F66)),Ödemeler!$C66,0))</f>
        <v/>
      </c>
      <c r="N67" s="36" t="str">
        <f aca="false">IF(COUNT(B67:M67)=0,"",SUM(B67:M67))</f>
        <v/>
      </c>
    </row>
    <row r="68" customFormat="false" ht="15" hidden="false" customHeight="false" outlineLevel="0" collapsed="false">
      <c r="A68" s="30" t="str">
        <f aca="false">IF(Ödemeler!A67="","",Ödemeler!A67)</f>
        <v/>
      </c>
      <c r="B68" s="37" t="str">
        <f aca="false">IF(OR(Ödemeler!$A67="",Ödemeler!$G67="",Ödemeler!$E67=""),"",IF(AND(((Özet!$C$4*12+1)-(YEAR(Ödemeler!$E67)*12+MONTH(Ödemeler!$E67)))&gt;=0,MOD(((Özet!$C$4*12+1)-(YEAR(Ödemeler!$E67)*12+MONTH(Ödemeler!$E67))),Ödemeler!$G67)=0,OR(Ödemeler!$F67="",DATE(Özet!$C$4,1,1)&lt;=Ödemeler!$F67)),Ödemeler!$C67,0))</f>
        <v/>
      </c>
      <c r="C68" s="37" t="str">
        <f aca="false">IF(OR(Ödemeler!$A67="",Ödemeler!$G67="",Ödemeler!$E67=""),"",IF(AND(((Özet!$C$4*12+2)-(YEAR(Ödemeler!$E67)*12+MONTH(Ödemeler!$E67)))&gt;=0,MOD(((Özet!$C$4*12+2)-(YEAR(Ödemeler!$E67)*12+MONTH(Ödemeler!$E67))),Ödemeler!$G67)=0,OR(Ödemeler!$F67="",DATE(Özet!$C$4,2,1)&lt;=Ödemeler!$F67)),Ödemeler!$C67,0))</f>
        <v/>
      </c>
      <c r="D68" s="37" t="str">
        <f aca="false">IF(OR(Ödemeler!$A67="",Ödemeler!$G67="",Ödemeler!$E67=""),"",IF(AND(((Özet!$C$4*12+3)-(YEAR(Ödemeler!$E67)*12+MONTH(Ödemeler!$E67)))&gt;=0,MOD(((Özet!$C$4*12+3)-(YEAR(Ödemeler!$E67)*12+MONTH(Ödemeler!$E67))),Ödemeler!$G67)=0,OR(Ödemeler!$F67="",DATE(Özet!$C$4,3,1)&lt;=Ödemeler!$F67)),Ödemeler!$C67,0))</f>
        <v/>
      </c>
      <c r="E68" s="37" t="str">
        <f aca="false">IF(OR(Ödemeler!$A67="",Ödemeler!$G67="",Ödemeler!$E67=""),"",IF(AND(((Özet!$C$4*12+4)-(YEAR(Ödemeler!$E67)*12+MONTH(Ödemeler!$E67)))&gt;=0,MOD(((Özet!$C$4*12+4)-(YEAR(Ödemeler!$E67)*12+MONTH(Ödemeler!$E67))),Ödemeler!$G67)=0,OR(Ödemeler!$F67="",DATE(Özet!$C$4,4,1)&lt;=Ödemeler!$F67)),Ödemeler!$C67,0))</f>
        <v/>
      </c>
      <c r="F68" s="37" t="str">
        <f aca="false">IF(OR(Ödemeler!$A67="",Ödemeler!$G67="",Ödemeler!$E67=""),"",IF(AND(((Özet!$C$4*12+5)-(YEAR(Ödemeler!$E67)*12+MONTH(Ödemeler!$E67)))&gt;=0,MOD(((Özet!$C$4*12+5)-(YEAR(Ödemeler!$E67)*12+MONTH(Ödemeler!$E67))),Ödemeler!$G67)=0,OR(Ödemeler!$F67="",DATE(Özet!$C$4,5,1)&lt;=Ödemeler!$F67)),Ödemeler!$C67,0))</f>
        <v/>
      </c>
      <c r="G68" s="37" t="str">
        <f aca="false">IF(OR(Ödemeler!$A67="",Ödemeler!$G67="",Ödemeler!$E67=""),"",IF(AND(((Özet!$C$4*12+6)-(YEAR(Ödemeler!$E67)*12+MONTH(Ödemeler!$E67)))&gt;=0,MOD(((Özet!$C$4*12+6)-(YEAR(Ödemeler!$E67)*12+MONTH(Ödemeler!$E67))),Ödemeler!$G67)=0,OR(Ödemeler!$F67="",DATE(Özet!$C$4,6,1)&lt;=Ödemeler!$F67)),Ödemeler!$C67,0))</f>
        <v/>
      </c>
      <c r="H68" s="37" t="str">
        <f aca="false">IF(OR(Ödemeler!$A67="",Ödemeler!$G67="",Ödemeler!$E67=""),"",IF(AND(((Özet!$C$4*12+7)-(YEAR(Ödemeler!$E67)*12+MONTH(Ödemeler!$E67)))&gt;=0,MOD(((Özet!$C$4*12+7)-(YEAR(Ödemeler!$E67)*12+MONTH(Ödemeler!$E67))),Ödemeler!$G67)=0,OR(Ödemeler!$F67="",DATE(Özet!$C$4,7,1)&lt;=Ödemeler!$F67)),Ödemeler!$C67,0))</f>
        <v/>
      </c>
      <c r="I68" s="37" t="str">
        <f aca="false">IF(OR(Ödemeler!$A67="",Ödemeler!$G67="",Ödemeler!$E67=""),"",IF(AND(((Özet!$C$4*12+8)-(YEAR(Ödemeler!$E67)*12+MONTH(Ödemeler!$E67)))&gt;=0,MOD(((Özet!$C$4*12+8)-(YEAR(Ödemeler!$E67)*12+MONTH(Ödemeler!$E67))),Ödemeler!$G67)=0,OR(Ödemeler!$F67="",DATE(Özet!$C$4,8,1)&lt;=Ödemeler!$F67)),Ödemeler!$C67,0))</f>
        <v/>
      </c>
      <c r="J68" s="37" t="str">
        <f aca="false">IF(OR(Ödemeler!$A67="",Ödemeler!$G67="",Ödemeler!$E67=""),"",IF(AND(((Özet!$C$4*12+9)-(YEAR(Ödemeler!$E67)*12+MONTH(Ödemeler!$E67)))&gt;=0,MOD(((Özet!$C$4*12+9)-(YEAR(Ödemeler!$E67)*12+MONTH(Ödemeler!$E67))),Ödemeler!$G67)=0,OR(Ödemeler!$F67="",DATE(Özet!$C$4,9,1)&lt;=Ödemeler!$F67)),Ödemeler!$C67,0))</f>
        <v/>
      </c>
      <c r="K68" s="37" t="str">
        <f aca="false">IF(OR(Ödemeler!$A67="",Ödemeler!$G67="",Ödemeler!$E67=""),"",IF(AND(((Özet!$C$4*12+10)-(YEAR(Ödemeler!$E67)*12+MONTH(Ödemeler!$E67)))&gt;=0,MOD(((Özet!$C$4*12+10)-(YEAR(Ödemeler!$E67)*12+MONTH(Ödemeler!$E67))),Ödemeler!$G67)=0,OR(Ödemeler!$F67="",DATE(Özet!$C$4,10,1)&lt;=Ödemeler!$F67)),Ödemeler!$C67,0))</f>
        <v/>
      </c>
      <c r="L68" s="37" t="str">
        <f aca="false">IF(OR(Ödemeler!$A67="",Ödemeler!$G67="",Ödemeler!$E67=""),"",IF(AND(((Özet!$C$4*12+11)-(YEAR(Ödemeler!$E67)*12+MONTH(Ödemeler!$E67)))&gt;=0,MOD(((Özet!$C$4*12+11)-(YEAR(Ödemeler!$E67)*12+MONTH(Ödemeler!$E67))),Ödemeler!$G67)=0,OR(Ödemeler!$F67="",DATE(Özet!$C$4,11,1)&lt;=Ödemeler!$F67)),Ödemeler!$C67,0))</f>
        <v/>
      </c>
      <c r="M68" s="37" t="str">
        <f aca="false">IF(OR(Ödemeler!$A67="",Ödemeler!$G67="",Ödemeler!$E67=""),"",IF(AND(((Özet!$C$4*12+12)-(YEAR(Ödemeler!$E67)*12+MONTH(Ödemeler!$E67)))&gt;=0,MOD(((Özet!$C$4*12+12)-(YEAR(Ödemeler!$E67)*12+MONTH(Ödemeler!$E67))),Ödemeler!$G67)=0,OR(Ödemeler!$F67="",DATE(Özet!$C$4,12,1)&lt;=Ödemeler!$F67)),Ödemeler!$C67,0))</f>
        <v/>
      </c>
      <c r="N68" s="37" t="str">
        <f aca="false">IF(COUNT(B68:M68)=0,"",SUM(B68:M68))</f>
        <v/>
      </c>
    </row>
    <row r="69" customFormat="false" ht="15" hidden="false" customHeight="false" outlineLevel="0" collapsed="false">
      <c r="A69" s="16" t="str">
        <f aca="false">IF(Ödemeler!A68="","",Ödemeler!A68)</f>
        <v/>
      </c>
      <c r="B69" s="36" t="str">
        <f aca="false">IF(OR(Ödemeler!$A68="",Ödemeler!$G68="",Ödemeler!$E68=""),"",IF(AND(((Özet!$C$4*12+1)-(YEAR(Ödemeler!$E68)*12+MONTH(Ödemeler!$E68)))&gt;=0,MOD(((Özet!$C$4*12+1)-(YEAR(Ödemeler!$E68)*12+MONTH(Ödemeler!$E68))),Ödemeler!$G68)=0,OR(Ödemeler!$F68="",DATE(Özet!$C$4,1,1)&lt;=Ödemeler!$F68)),Ödemeler!$C68,0))</f>
        <v/>
      </c>
      <c r="C69" s="36" t="str">
        <f aca="false">IF(OR(Ödemeler!$A68="",Ödemeler!$G68="",Ödemeler!$E68=""),"",IF(AND(((Özet!$C$4*12+2)-(YEAR(Ödemeler!$E68)*12+MONTH(Ödemeler!$E68)))&gt;=0,MOD(((Özet!$C$4*12+2)-(YEAR(Ödemeler!$E68)*12+MONTH(Ödemeler!$E68))),Ödemeler!$G68)=0,OR(Ödemeler!$F68="",DATE(Özet!$C$4,2,1)&lt;=Ödemeler!$F68)),Ödemeler!$C68,0))</f>
        <v/>
      </c>
      <c r="D69" s="36" t="str">
        <f aca="false">IF(OR(Ödemeler!$A68="",Ödemeler!$G68="",Ödemeler!$E68=""),"",IF(AND(((Özet!$C$4*12+3)-(YEAR(Ödemeler!$E68)*12+MONTH(Ödemeler!$E68)))&gt;=0,MOD(((Özet!$C$4*12+3)-(YEAR(Ödemeler!$E68)*12+MONTH(Ödemeler!$E68))),Ödemeler!$G68)=0,OR(Ödemeler!$F68="",DATE(Özet!$C$4,3,1)&lt;=Ödemeler!$F68)),Ödemeler!$C68,0))</f>
        <v/>
      </c>
      <c r="E69" s="36" t="str">
        <f aca="false">IF(OR(Ödemeler!$A68="",Ödemeler!$G68="",Ödemeler!$E68=""),"",IF(AND(((Özet!$C$4*12+4)-(YEAR(Ödemeler!$E68)*12+MONTH(Ödemeler!$E68)))&gt;=0,MOD(((Özet!$C$4*12+4)-(YEAR(Ödemeler!$E68)*12+MONTH(Ödemeler!$E68))),Ödemeler!$G68)=0,OR(Ödemeler!$F68="",DATE(Özet!$C$4,4,1)&lt;=Ödemeler!$F68)),Ödemeler!$C68,0))</f>
        <v/>
      </c>
      <c r="F69" s="36" t="str">
        <f aca="false">IF(OR(Ödemeler!$A68="",Ödemeler!$G68="",Ödemeler!$E68=""),"",IF(AND(((Özet!$C$4*12+5)-(YEAR(Ödemeler!$E68)*12+MONTH(Ödemeler!$E68)))&gt;=0,MOD(((Özet!$C$4*12+5)-(YEAR(Ödemeler!$E68)*12+MONTH(Ödemeler!$E68))),Ödemeler!$G68)=0,OR(Ödemeler!$F68="",DATE(Özet!$C$4,5,1)&lt;=Ödemeler!$F68)),Ödemeler!$C68,0))</f>
        <v/>
      </c>
      <c r="G69" s="36" t="str">
        <f aca="false">IF(OR(Ödemeler!$A68="",Ödemeler!$G68="",Ödemeler!$E68=""),"",IF(AND(((Özet!$C$4*12+6)-(YEAR(Ödemeler!$E68)*12+MONTH(Ödemeler!$E68)))&gt;=0,MOD(((Özet!$C$4*12+6)-(YEAR(Ödemeler!$E68)*12+MONTH(Ödemeler!$E68))),Ödemeler!$G68)=0,OR(Ödemeler!$F68="",DATE(Özet!$C$4,6,1)&lt;=Ödemeler!$F68)),Ödemeler!$C68,0))</f>
        <v/>
      </c>
      <c r="H69" s="36" t="str">
        <f aca="false">IF(OR(Ödemeler!$A68="",Ödemeler!$G68="",Ödemeler!$E68=""),"",IF(AND(((Özet!$C$4*12+7)-(YEAR(Ödemeler!$E68)*12+MONTH(Ödemeler!$E68)))&gt;=0,MOD(((Özet!$C$4*12+7)-(YEAR(Ödemeler!$E68)*12+MONTH(Ödemeler!$E68))),Ödemeler!$G68)=0,OR(Ödemeler!$F68="",DATE(Özet!$C$4,7,1)&lt;=Ödemeler!$F68)),Ödemeler!$C68,0))</f>
        <v/>
      </c>
      <c r="I69" s="36" t="str">
        <f aca="false">IF(OR(Ödemeler!$A68="",Ödemeler!$G68="",Ödemeler!$E68=""),"",IF(AND(((Özet!$C$4*12+8)-(YEAR(Ödemeler!$E68)*12+MONTH(Ödemeler!$E68)))&gt;=0,MOD(((Özet!$C$4*12+8)-(YEAR(Ödemeler!$E68)*12+MONTH(Ödemeler!$E68))),Ödemeler!$G68)=0,OR(Ödemeler!$F68="",DATE(Özet!$C$4,8,1)&lt;=Ödemeler!$F68)),Ödemeler!$C68,0))</f>
        <v/>
      </c>
      <c r="J69" s="36" t="str">
        <f aca="false">IF(OR(Ödemeler!$A68="",Ödemeler!$G68="",Ödemeler!$E68=""),"",IF(AND(((Özet!$C$4*12+9)-(YEAR(Ödemeler!$E68)*12+MONTH(Ödemeler!$E68)))&gt;=0,MOD(((Özet!$C$4*12+9)-(YEAR(Ödemeler!$E68)*12+MONTH(Ödemeler!$E68))),Ödemeler!$G68)=0,OR(Ödemeler!$F68="",DATE(Özet!$C$4,9,1)&lt;=Ödemeler!$F68)),Ödemeler!$C68,0))</f>
        <v/>
      </c>
      <c r="K69" s="36" t="str">
        <f aca="false">IF(OR(Ödemeler!$A68="",Ödemeler!$G68="",Ödemeler!$E68=""),"",IF(AND(((Özet!$C$4*12+10)-(YEAR(Ödemeler!$E68)*12+MONTH(Ödemeler!$E68)))&gt;=0,MOD(((Özet!$C$4*12+10)-(YEAR(Ödemeler!$E68)*12+MONTH(Ödemeler!$E68))),Ödemeler!$G68)=0,OR(Ödemeler!$F68="",DATE(Özet!$C$4,10,1)&lt;=Ödemeler!$F68)),Ödemeler!$C68,0))</f>
        <v/>
      </c>
      <c r="L69" s="36" t="str">
        <f aca="false">IF(OR(Ödemeler!$A68="",Ödemeler!$G68="",Ödemeler!$E68=""),"",IF(AND(((Özet!$C$4*12+11)-(YEAR(Ödemeler!$E68)*12+MONTH(Ödemeler!$E68)))&gt;=0,MOD(((Özet!$C$4*12+11)-(YEAR(Ödemeler!$E68)*12+MONTH(Ödemeler!$E68))),Ödemeler!$G68)=0,OR(Ödemeler!$F68="",DATE(Özet!$C$4,11,1)&lt;=Ödemeler!$F68)),Ödemeler!$C68,0))</f>
        <v/>
      </c>
      <c r="M69" s="36" t="str">
        <f aca="false">IF(OR(Ödemeler!$A68="",Ödemeler!$G68="",Ödemeler!$E68=""),"",IF(AND(((Özet!$C$4*12+12)-(YEAR(Ödemeler!$E68)*12+MONTH(Ödemeler!$E68)))&gt;=0,MOD(((Özet!$C$4*12+12)-(YEAR(Ödemeler!$E68)*12+MONTH(Ödemeler!$E68))),Ödemeler!$G68)=0,OR(Ödemeler!$F68="",DATE(Özet!$C$4,12,1)&lt;=Ödemeler!$F68)),Ödemeler!$C68,0))</f>
        <v/>
      </c>
      <c r="N69" s="36" t="str">
        <f aca="false">IF(COUNT(B69:M69)=0,"",SUM(B69:M69))</f>
        <v/>
      </c>
    </row>
    <row r="70" customFormat="false" ht="15" hidden="false" customHeight="false" outlineLevel="0" collapsed="false">
      <c r="A70" s="30" t="str">
        <f aca="false">IF(Ödemeler!A69="","",Ödemeler!A69)</f>
        <v/>
      </c>
      <c r="B70" s="37" t="str">
        <f aca="false">IF(OR(Ödemeler!$A69="",Ödemeler!$G69="",Ödemeler!$E69=""),"",IF(AND(((Özet!$C$4*12+1)-(YEAR(Ödemeler!$E69)*12+MONTH(Ödemeler!$E69)))&gt;=0,MOD(((Özet!$C$4*12+1)-(YEAR(Ödemeler!$E69)*12+MONTH(Ödemeler!$E69))),Ödemeler!$G69)=0,OR(Ödemeler!$F69="",DATE(Özet!$C$4,1,1)&lt;=Ödemeler!$F69)),Ödemeler!$C69,0))</f>
        <v/>
      </c>
      <c r="C70" s="37" t="str">
        <f aca="false">IF(OR(Ödemeler!$A69="",Ödemeler!$G69="",Ödemeler!$E69=""),"",IF(AND(((Özet!$C$4*12+2)-(YEAR(Ödemeler!$E69)*12+MONTH(Ödemeler!$E69)))&gt;=0,MOD(((Özet!$C$4*12+2)-(YEAR(Ödemeler!$E69)*12+MONTH(Ödemeler!$E69))),Ödemeler!$G69)=0,OR(Ödemeler!$F69="",DATE(Özet!$C$4,2,1)&lt;=Ödemeler!$F69)),Ödemeler!$C69,0))</f>
        <v/>
      </c>
      <c r="D70" s="37" t="str">
        <f aca="false">IF(OR(Ödemeler!$A69="",Ödemeler!$G69="",Ödemeler!$E69=""),"",IF(AND(((Özet!$C$4*12+3)-(YEAR(Ödemeler!$E69)*12+MONTH(Ödemeler!$E69)))&gt;=0,MOD(((Özet!$C$4*12+3)-(YEAR(Ödemeler!$E69)*12+MONTH(Ödemeler!$E69))),Ödemeler!$G69)=0,OR(Ödemeler!$F69="",DATE(Özet!$C$4,3,1)&lt;=Ödemeler!$F69)),Ödemeler!$C69,0))</f>
        <v/>
      </c>
      <c r="E70" s="37" t="str">
        <f aca="false">IF(OR(Ödemeler!$A69="",Ödemeler!$G69="",Ödemeler!$E69=""),"",IF(AND(((Özet!$C$4*12+4)-(YEAR(Ödemeler!$E69)*12+MONTH(Ödemeler!$E69)))&gt;=0,MOD(((Özet!$C$4*12+4)-(YEAR(Ödemeler!$E69)*12+MONTH(Ödemeler!$E69))),Ödemeler!$G69)=0,OR(Ödemeler!$F69="",DATE(Özet!$C$4,4,1)&lt;=Ödemeler!$F69)),Ödemeler!$C69,0))</f>
        <v/>
      </c>
      <c r="F70" s="37" t="str">
        <f aca="false">IF(OR(Ödemeler!$A69="",Ödemeler!$G69="",Ödemeler!$E69=""),"",IF(AND(((Özet!$C$4*12+5)-(YEAR(Ödemeler!$E69)*12+MONTH(Ödemeler!$E69)))&gt;=0,MOD(((Özet!$C$4*12+5)-(YEAR(Ödemeler!$E69)*12+MONTH(Ödemeler!$E69))),Ödemeler!$G69)=0,OR(Ödemeler!$F69="",DATE(Özet!$C$4,5,1)&lt;=Ödemeler!$F69)),Ödemeler!$C69,0))</f>
        <v/>
      </c>
      <c r="G70" s="37" t="str">
        <f aca="false">IF(OR(Ödemeler!$A69="",Ödemeler!$G69="",Ödemeler!$E69=""),"",IF(AND(((Özet!$C$4*12+6)-(YEAR(Ödemeler!$E69)*12+MONTH(Ödemeler!$E69)))&gt;=0,MOD(((Özet!$C$4*12+6)-(YEAR(Ödemeler!$E69)*12+MONTH(Ödemeler!$E69))),Ödemeler!$G69)=0,OR(Ödemeler!$F69="",DATE(Özet!$C$4,6,1)&lt;=Ödemeler!$F69)),Ödemeler!$C69,0))</f>
        <v/>
      </c>
      <c r="H70" s="37" t="str">
        <f aca="false">IF(OR(Ödemeler!$A69="",Ödemeler!$G69="",Ödemeler!$E69=""),"",IF(AND(((Özet!$C$4*12+7)-(YEAR(Ödemeler!$E69)*12+MONTH(Ödemeler!$E69)))&gt;=0,MOD(((Özet!$C$4*12+7)-(YEAR(Ödemeler!$E69)*12+MONTH(Ödemeler!$E69))),Ödemeler!$G69)=0,OR(Ödemeler!$F69="",DATE(Özet!$C$4,7,1)&lt;=Ödemeler!$F69)),Ödemeler!$C69,0))</f>
        <v/>
      </c>
      <c r="I70" s="37" t="str">
        <f aca="false">IF(OR(Ödemeler!$A69="",Ödemeler!$G69="",Ödemeler!$E69=""),"",IF(AND(((Özet!$C$4*12+8)-(YEAR(Ödemeler!$E69)*12+MONTH(Ödemeler!$E69)))&gt;=0,MOD(((Özet!$C$4*12+8)-(YEAR(Ödemeler!$E69)*12+MONTH(Ödemeler!$E69))),Ödemeler!$G69)=0,OR(Ödemeler!$F69="",DATE(Özet!$C$4,8,1)&lt;=Ödemeler!$F69)),Ödemeler!$C69,0))</f>
        <v/>
      </c>
      <c r="J70" s="37" t="str">
        <f aca="false">IF(OR(Ödemeler!$A69="",Ödemeler!$G69="",Ödemeler!$E69=""),"",IF(AND(((Özet!$C$4*12+9)-(YEAR(Ödemeler!$E69)*12+MONTH(Ödemeler!$E69)))&gt;=0,MOD(((Özet!$C$4*12+9)-(YEAR(Ödemeler!$E69)*12+MONTH(Ödemeler!$E69))),Ödemeler!$G69)=0,OR(Ödemeler!$F69="",DATE(Özet!$C$4,9,1)&lt;=Ödemeler!$F69)),Ödemeler!$C69,0))</f>
        <v/>
      </c>
      <c r="K70" s="37" t="str">
        <f aca="false">IF(OR(Ödemeler!$A69="",Ödemeler!$G69="",Ödemeler!$E69=""),"",IF(AND(((Özet!$C$4*12+10)-(YEAR(Ödemeler!$E69)*12+MONTH(Ödemeler!$E69)))&gt;=0,MOD(((Özet!$C$4*12+10)-(YEAR(Ödemeler!$E69)*12+MONTH(Ödemeler!$E69))),Ödemeler!$G69)=0,OR(Ödemeler!$F69="",DATE(Özet!$C$4,10,1)&lt;=Ödemeler!$F69)),Ödemeler!$C69,0))</f>
        <v/>
      </c>
      <c r="L70" s="37" t="str">
        <f aca="false">IF(OR(Ödemeler!$A69="",Ödemeler!$G69="",Ödemeler!$E69=""),"",IF(AND(((Özet!$C$4*12+11)-(YEAR(Ödemeler!$E69)*12+MONTH(Ödemeler!$E69)))&gt;=0,MOD(((Özet!$C$4*12+11)-(YEAR(Ödemeler!$E69)*12+MONTH(Ödemeler!$E69))),Ödemeler!$G69)=0,OR(Ödemeler!$F69="",DATE(Özet!$C$4,11,1)&lt;=Ödemeler!$F69)),Ödemeler!$C69,0))</f>
        <v/>
      </c>
      <c r="M70" s="37" t="str">
        <f aca="false">IF(OR(Ödemeler!$A69="",Ödemeler!$G69="",Ödemeler!$E69=""),"",IF(AND(((Özet!$C$4*12+12)-(YEAR(Ödemeler!$E69)*12+MONTH(Ödemeler!$E69)))&gt;=0,MOD(((Özet!$C$4*12+12)-(YEAR(Ödemeler!$E69)*12+MONTH(Ödemeler!$E69))),Ödemeler!$G69)=0,OR(Ödemeler!$F69="",DATE(Özet!$C$4,12,1)&lt;=Ödemeler!$F69)),Ödemeler!$C69,0))</f>
        <v/>
      </c>
      <c r="N70" s="37" t="str">
        <f aca="false">IF(COUNT(B70:M70)=0,"",SUM(B70:M70))</f>
        <v/>
      </c>
    </row>
    <row r="71" customFormat="false" ht="15" hidden="false" customHeight="false" outlineLevel="0" collapsed="false">
      <c r="A71" s="16" t="str">
        <f aca="false">IF(Ödemeler!A70="","",Ödemeler!A70)</f>
        <v/>
      </c>
      <c r="B71" s="36" t="str">
        <f aca="false">IF(OR(Ödemeler!$A70="",Ödemeler!$G70="",Ödemeler!$E70=""),"",IF(AND(((Özet!$C$4*12+1)-(YEAR(Ödemeler!$E70)*12+MONTH(Ödemeler!$E70)))&gt;=0,MOD(((Özet!$C$4*12+1)-(YEAR(Ödemeler!$E70)*12+MONTH(Ödemeler!$E70))),Ödemeler!$G70)=0,OR(Ödemeler!$F70="",DATE(Özet!$C$4,1,1)&lt;=Ödemeler!$F70)),Ödemeler!$C70,0))</f>
        <v/>
      </c>
      <c r="C71" s="36" t="str">
        <f aca="false">IF(OR(Ödemeler!$A70="",Ödemeler!$G70="",Ödemeler!$E70=""),"",IF(AND(((Özet!$C$4*12+2)-(YEAR(Ödemeler!$E70)*12+MONTH(Ödemeler!$E70)))&gt;=0,MOD(((Özet!$C$4*12+2)-(YEAR(Ödemeler!$E70)*12+MONTH(Ödemeler!$E70))),Ödemeler!$G70)=0,OR(Ödemeler!$F70="",DATE(Özet!$C$4,2,1)&lt;=Ödemeler!$F70)),Ödemeler!$C70,0))</f>
        <v/>
      </c>
      <c r="D71" s="36" t="str">
        <f aca="false">IF(OR(Ödemeler!$A70="",Ödemeler!$G70="",Ödemeler!$E70=""),"",IF(AND(((Özet!$C$4*12+3)-(YEAR(Ödemeler!$E70)*12+MONTH(Ödemeler!$E70)))&gt;=0,MOD(((Özet!$C$4*12+3)-(YEAR(Ödemeler!$E70)*12+MONTH(Ödemeler!$E70))),Ödemeler!$G70)=0,OR(Ödemeler!$F70="",DATE(Özet!$C$4,3,1)&lt;=Ödemeler!$F70)),Ödemeler!$C70,0))</f>
        <v/>
      </c>
      <c r="E71" s="36" t="str">
        <f aca="false">IF(OR(Ödemeler!$A70="",Ödemeler!$G70="",Ödemeler!$E70=""),"",IF(AND(((Özet!$C$4*12+4)-(YEAR(Ödemeler!$E70)*12+MONTH(Ödemeler!$E70)))&gt;=0,MOD(((Özet!$C$4*12+4)-(YEAR(Ödemeler!$E70)*12+MONTH(Ödemeler!$E70))),Ödemeler!$G70)=0,OR(Ödemeler!$F70="",DATE(Özet!$C$4,4,1)&lt;=Ödemeler!$F70)),Ödemeler!$C70,0))</f>
        <v/>
      </c>
      <c r="F71" s="36" t="str">
        <f aca="false">IF(OR(Ödemeler!$A70="",Ödemeler!$G70="",Ödemeler!$E70=""),"",IF(AND(((Özet!$C$4*12+5)-(YEAR(Ödemeler!$E70)*12+MONTH(Ödemeler!$E70)))&gt;=0,MOD(((Özet!$C$4*12+5)-(YEAR(Ödemeler!$E70)*12+MONTH(Ödemeler!$E70))),Ödemeler!$G70)=0,OR(Ödemeler!$F70="",DATE(Özet!$C$4,5,1)&lt;=Ödemeler!$F70)),Ödemeler!$C70,0))</f>
        <v/>
      </c>
      <c r="G71" s="36" t="str">
        <f aca="false">IF(OR(Ödemeler!$A70="",Ödemeler!$G70="",Ödemeler!$E70=""),"",IF(AND(((Özet!$C$4*12+6)-(YEAR(Ödemeler!$E70)*12+MONTH(Ödemeler!$E70)))&gt;=0,MOD(((Özet!$C$4*12+6)-(YEAR(Ödemeler!$E70)*12+MONTH(Ödemeler!$E70))),Ödemeler!$G70)=0,OR(Ödemeler!$F70="",DATE(Özet!$C$4,6,1)&lt;=Ödemeler!$F70)),Ödemeler!$C70,0))</f>
        <v/>
      </c>
      <c r="H71" s="36" t="str">
        <f aca="false">IF(OR(Ödemeler!$A70="",Ödemeler!$G70="",Ödemeler!$E70=""),"",IF(AND(((Özet!$C$4*12+7)-(YEAR(Ödemeler!$E70)*12+MONTH(Ödemeler!$E70)))&gt;=0,MOD(((Özet!$C$4*12+7)-(YEAR(Ödemeler!$E70)*12+MONTH(Ödemeler!$E70))),Ödemeler!$G70)=0,OR(Ödemeler!$F70="",DATE(Özet!$C$4,7,1)&lt;=Ödemeler!$F70)),Ödemeler!$C70,0))</f>
        <v/>
      </c>
      <c r="I71" s="36" t="str">
        <f aca="false">IF(OR(Ödemeler!$A70="",Ödemeler!$G70="",Ödemeler!$E70=""),"",IF(AND(((Özet!$C$4*12+8)-(YEAR(Ödemeler!$E70)*12+MONTH(Ödemeler!$E70)))&gt;=0,MOD(((Özet!$C$4*12+8)-(YEAR(Ödemeler!$E70)*12+MONTH(Ödemeler!$E70))),Ödemeler!$G70)=0,OR(Ödemeler!$F70="",DATE(Özet!$C$4,8,1)&lt;=Ödemeler!$F70)),Ödemeler!$C70,0))</f>
        <v/>
      </c>
      <c r="J71" s="36" t="str">
        <f aca="false">IF(OR(Ödemeler!$A70="",Ödemeler!$G70="",Ödemeler!$E70=""),"",IF(AND(((Özet!$C$4*12+9)-(YEAR(Ödemeler!$E70)*12+MONTH(Ödemeler!$E70)))&gt;=0,MOD(((Özet!$C$4*12+9)-(YEAR(Ödemeler!$E70)*12+MONTH(Ödemeler!$E70))),Ödemeler!$G70)=0,OR(Ödemeler!$F70="",DATE(Özet!$C$4,9,1)&lt;=Ödemeler!$F70)),Ödemeler!$C70,0))</f>
        <v/>
      </c>
      <c r="K71" s="36" t="str">
        <f aca="false">IF(OR(Ödemeler!$A70="",Ödemeler!$G70="",Ödemeler!$E70=""),"",IF(AND(((Özet!$C$4*12+10)-(YEAR(Ödemeler!$E70)*12+MONTH(Ödemeler!$E70)))&gt;=0,MOD(((Özet!$C$4*12+10)-(YEAR(Ödemeler!$E70)*12+MONTH(Ödemeler!$E70))),Ödemeler!$G70)=0,OR(Ödemeler!$F70="",DATE(Özet!$C$4,10,1)&lt;=Ödemeler!$F70)),Ödemeler!$C70,0))</f>
        <v/>
      </c>
      <c r="L71" s="36" t="str">
        <f aca="false">IF(OR(Ödemeler!$A70="",Ödemeler!$G70="",Ödemeler!$E70=""),"",IF(AND(((Özet!$C$4*12+11)-(YEAR(Ödemeler!$E70)*12+MONTH(Ödemeler!$E70)))&gt;=0,MOD(((Özet!$C$4*12+11)-(YEAR(Ödemeler!$E70)*12+MONTH(Ödemeler!$E70))),Ödemeler!$G70)=0,OR(Ödemeler!$F70="",DATE(Özet!$C$4,11,1)&lt;=Ödemeler!$F70)),Ödemeler!$C70,0))</f>
        <v/>
      </c>
      <c r="M71" s="36" t="str">
        <f aca="false">IF(OR(Ödemeler!$A70="",Ödemeler!$G70="",Ödemeler!$E70=""),"",IF(AND(((Özet!$C$4*12+12)-(YEAR(Ödemeler!$E70)*12+MONTH(Ödemeler!$E70)))&gt;=0,MOD(((Özet!$C$4*12+12)-(YEAR(Ödemeler!$E70)*12+MONTH(Ödemeler!$E70))),Ödemeler!$G70)=0,OR(Ödemeler!$F70="",DATE(Özet!$C$4,12,1)&lt;=Ödemeler!$F70)),Ödemeler!$C70,0))</f>
        <v/>
      </c>
      <c r="N71" s="36" t="str">
        <f aca="false">IF(COUNT(B71:M71)=0,"",SUM(B71:M71))</f>
        <v/>
      </c>
    </row>
    <row r="72" customFormat="false" ht="15" hidden="false" customHeight="false" outlineLevel="0" collapsed="false">
      <c r="A72" s="30" t="str">
        <f aca="false">IF(Ödemeler!A71="","",Ödemeler!A71)</f>
        <v/>
      </c>
      <c r="B72" s="37" t="str">
        <f aca="false">IF(OR(Ödemeler!$A71="",Ödemeler!$G71="",Ödemeler!$E71=""),"",IF(AND(((Özet!$C$4*12+1)-(YEAR(Ödemeler!$E71)*12+MONTH(Ödemeler!$E71)))&gt;=0,MOD(((Özet!$C$4*12+1)-(YEAR(Ödemeler!$E71)*12+MONTH(Ödemeler!$E71))),Ödemeler!$G71)=0,OR(Ödemeler!$F71="",DATE(Özet!$C$4,1,1)&lt;=Ödemeler!$F71)),Ödemeler!$C71,0))</f>
        <v/>
      </c>
      <c r="C72" s="37" t="str">
        <f aca="false">IF(OR(Ödemeler!$A71="",Ödemeler!$G71="",Ödemeler!$E71=""),"",IF(AND(((Özet!$C$4*12+2)-(YEAR(Ödemeler!$E71)*12+MONTH(Ödemeler!$E71)))&gt;=0,MOD(((Özet!$C$4*12+2)-(YEAR(Ödemeler!$E71)*12+MONTH(Ödemeler!$E71))),Ödemeler!$G71)=0,OR(Ödemeler!$F71="",DATE(Özet!$C$4,2,1)&lt;=Ödemeler!$F71)),Ödemeler!$C71,0))</f>
        <v/>
      </c>
      <c r="D72" s="37" t="str">
        <f aca="false">IF(OR(Ödemeler!$A71="",Ödemeler!$G71="",Ödemeler!$E71=""),"",IF(AND(((Özet!$C$4*12+3)-(YEAR(Ödemeler!$E71)*12+MONTH(Ödemeler!$E71)))&gt;=0,MOD(((Özet!$C$4*12+3)-(YEAR(Ödemeler!$E71)*12+MONTH(Ödemeler!$E71))),Ödemeler!$G71)=0,OR(Ödemeler!$F71="",DATE(Özet!$C$4,3,1)&lt;=Ödemeler!$F71)),Ödemeler!$C71,0))</f>
        <v/>
      </c>
      <c r="E72" s="37" t="str">
        <f aca="false">IF(OR(Ödemeler!$A71="",Ödemeler!$G71="",Ödemeler!$E71=""),"",IF(AND(((Özet!$C$4*12+4)-(YEAR(Ödemeler!$E71)*12+MONTH(Ödemeler!$E71)))&gt;=0,MOD(((Özet!$C$4*12+4)-(YEAR(Ödemeler!$E71)*12+MONTH(Ödemeler!$E71))),Ödemeler!$G71)=0,OR(Ödemeler!$F71="",DATE(Özet!$C$4,4,1)&lt;=Ödemeler!$F71)),Ödemeler!$C71,0))</f>
        <v/>
      </c>
      <c r="F72" s="37" t="str">
        <f aca="false">IF(OR(Ödemeler!$A71="",Ödemeler!$G71="",Ödemeler!$E71=""),"",IF(AND(((Özet!$C$4*12+5)-(YEAR(Ödemeler!$E71)*12+MONTH(Ödemeler!$E71)))&gt;=0,MOD(((Özet!$C$4*12+5)-(YEAR(Ödemeler!$E71)*12+MONTH(Ödemeler!$E71))),Ödemeler!$G71)=0,OR(Ödemeler!$F71="",DATE(Özet!$C$4,5,1)&lt;=Ödemeler!$F71)),Ödemeler!$C71,0))</f>
        <v/>
      </c>
      <c r="G72" s="37" t="str">
        <f aca="false">IF(OR(Ödemeler!$A71="",Ödemeler!$G71="",Ödemeler!$E71=""),"",IF(AND(((Özet!$C$4*12+6)-(YEAR(Ödemeler!$E71)*12+MONTH(Ödemeler!$E71)))&gt;=0,MOD(((Özet!$C$4*12+6)-(YEAR(Ödemeler!$E71)*12+MONTH(Ödemeler!$E71))),Ödemeler!$G71)=0,OR(Ödemeler!$F71="",DATE(Özet!$C$4,6,1)&lt;=Ödemeler!$F71)),Ödemeler!$C71,0))</f>
        <v/>
      </c>
      <c r="H72" s="37" t="str">
        <f aca="false">IF(OR(Ödemeler!$A71="",Ödemeler!$G71="",Ödemeler!$E71=""),"",IF(AND(((Özet!$C$4*12+7)-(YEAR(Ödemeler!$E71)*12+MONTH(Ödemeler!$E71)))&gt;=0,MOD(((Özet!$C$4*12+7)-(YEAR(Ödemeler!$E71)*12+MONTH(Ödemeler!$E71))),Ödemeler!$G71)=0,OR(Ödemeler!$F71="",DATE(Özet!$C$4,7,1)&lt;=Ödemeler!$F71)),Ödemeler!$C71,0))</f>
        <v/>
      </c>
      <c r="I72" s="37" t="str">
        <f aca="false">IF(OR(Ödemeler!$A71="",Ödemeler!$G71="",Ödemeler!$E71=""),"",IF(AND(((Özet!$C$4*12+8)-(YEAR(Ödemeler!$E71)*12+MONTH(Ödemeler!$E71)))&gt;=0,MOD(((Özet!$C$4*12+8)-(YEAR(Ödemeler!$E71)*12+MONTH(Ödemeler!$E71))),Ödemeler!$G71)=0,OR(Ödemeler!$F71="",DATE(Özet!$C$4,8,1)&lt;=Ödemeler!$F71)),Ödemeler!$C71,0))</f>
        <v/>
      </c>
      <c r="J72" s="37" t="str">
        <f aca="false">IF(OR(Ödemeler!$A71="",Ödemeler!$G71="",Ödemeler!$E71=""),"",IF(AND(((Özet!$C$4*12+9)-(YEAR(Ödemeler!$E71)*12+MONTH(Ödemeler!$E71)))&gt;=0,MOD(((Özet!$C$4*12+9)-(YEAR(Ödemeler!$E71)*12+MONTH(Ödemeler!$E71))),Ödemeler!$G71)=0,OR(Ödemeler!$F71="",DATE(Özet!$C$4,9,1)&lt;=Ödemeler!$F71)),Ödemeler!$C71,0))</f>
        <v/>
      </c>
      <c r="K72" s="37" t="str">
        <f aca="false">IF(OR(Ödemeler!$A71="",Ödemeler!$G71="",Ödemeler!$E71=""),"",IF(AND(((Özet!$C$4*12+10)-(YEAR(Ödemeler!$E71)*12+MONTH(Ödemeler!$E71)))&gt;=0,MOD(((Özet!$C$4*12+10)-(YEAR(Ödemeler!$E71)*12+MONTH(Ödemeler!$E71))),Ödemeler!$G71)=0,OR(Ödemeler!$F71="",DATE(Özet!$C$4,10,1)&lt;=Ödemeler!$F71)),Ödemeler!$C71,0))</f>
        <v/>
      </c>
      <c r="L72" s="37" t="str">
        <f aca="false">IF(OR(Ödemeler!$A71="",Ödemeler!$G71="",Ödemeler!$E71=""),"",IF(AND(((Özet!$C$4*12+11)-(YEAR(Ödemeler!$E71)*12+MONTH(Ödemeler!$E71)))&gt;=0,MOD(((Özet!$C$4*12+11)-(YEAR(Ödemeler!$E71)*12+MONTH(Ödemeler!$E71))),Ödemeler!$G71)=0,OR(Ödemeler!$F71="",DATE(Özet!$C$4,11,1)&lt;=Ödemeler!$F71)),Ödemeler!$C71,0))</f>
        <v/>
      </c>
      <c r="M72" s="37" t="str">
        <f aca="false">IF(OR(Ödemeler!$A71="",Ödemeler!$G71="",Ödemeler!$E71=""),"",IF(AND(((Özet!$C$4*12+12)-(YEAR(Ödemeler!$E71)*12+MONTH(Ödemeler!$E71)))&gt;=0,MOD(((Özet!$C$4*12+12)-(YEAR(Ödemeler!$E71)*12+MONTH(Ödemeler!$E71))),Ödemeler!$G71)=0,OR(Ödemeler!$F71="",DATE(Özet!$C$4,12,1)&lt;=Ödemeler!$F71)),Ödemeler!$C71,0))</f>
        <v/>
      </c>
      <c r="N72" s="37" t="str">
        <f aca="false">IF(COUNT(B72:M72)=0,"",SUM(B72:M72))</f>
        <v/>
      </c>
    </row>
    <row r="73" customFormat="false" ht="15" hidden="false" customHeight="false" outlineLevel="0" collapsed="false">
      <c r="A73" s="16" t="str">
        <f aca="false">IF(Ödemeler!A72="","",Ödemeler!A72)</f>
        <v/>
      </c>
      <c r="B73" s="36" t="str">
        <f aca="false">IF(OR(Ödemeler!$A72="",Ödemeler!$G72="",Ödemeler!$E72=""),"",IF(AND(((Özet!$C$4*12+1)-(YEAR(Ödemeler!$E72)*12+MONTH(Ödemeler!$E72)))&gt;=0,MOD(((Özet!$C$4*12+1)-(YEAR(Ödemeler!$E72)*12+MONTH(Ödemeler!$E72))),Ödemeler!$G72)=0,OR(Ödemeler!$F72="",DATE(Özet!$C$4,1,1)&lt;=Ödemeler!$F72)),Ödemeler!$C72,0))</f>
        <v/>
      </c>
      <c r="C73" s="36" t="str">
        <f aca="false">IF(OR(Ödemeler!$A72="",Ödemeler!$G72="",Ödemeler!$E72=""),"",IF(AND(((Özet!$C$4*12+2)-(YEAR(Ödemeler!$E72)*12+MONTH(Ödemeler!$E72)))&gt;=0,MOD(((Özet!$C$4*12+2)-(YEAR(Ödemeler!$E72)*12+MONTH(Ödemeler!$E72))),Ödemeler!$G72)=0,OR(Ödemeler!$F72="",DATE(Özet!$C$4,2,1)&lt;=Ödemeler!$F72)),Ödemeler!$C72,0))</f>
        <v/>
      </c>
      <c r="D73" s="36" t="str">
        <f aca="false">IF(OR(Ödemeler!$A72="",Ödemeler!$G72="",Ödemeler!$E72=""),"",IF(AND(((Özet!$C$4*12+3)-(YEAR(Ödemeler!$E72)*12+MONTH(Ödemeler!$E72)))&gt;=0,MOD(((Özet!$C$4*12+3)-(YEAR(Ödemeler!$E72)*12+MONTH(Ödemeler!$E72))),Ödemeler!$G72)=0,OR(Ödemeler!$F72="",DATE(Özet!$C$4,3,1)&lt;=Ödemeler!$F72)),Ödemeler!$C72,0))</f>
        <v/>
      </c>
      <c r="E73" s="36" t="str">
        <f aca="false">IF(OR(Ödemeler!$A72="",Ödemeler!$G72="",Ödemeler!$E72=""),"",IF(AND(((Özet!$C$4*12+4)-(YEAR(Ödemeler!$E72)*12+MONTH(Ödemeler!$E72)))&gt;=0,MOD(((Özet!$C$4*12+4)-(YEAR(Ödemeler!$E72)*12+MONTH(Ödemeler!$E72))),Ödemeler!$G72)=0,OR(Ödemeler!$F72="",DATE(Özet!$C$4,4,1)&lt;=Ödemeler!$F72)),Ödemeler!$C72,0))</f>
        <v/>
      </c>
      <c r="F73" s="36" t="str">
        <f aca="false">IF(OR(Ödemeler!$A72="",Ödemeler!$G72="",Ödemeler!$E72=""),"",IF(AND(((Özet!$C$4*12+5)-(YEAR(Ödemeler!$E72)*12+MONTH(Ödemeler!$E72)))&gt;=0,MOD(((Özet!$C$4*12+5)-(YEAR(Ödemeler!$E72)*12+MONTH(Ödemeler!$E72))),Ödemeler!$G72)=0,OR(Ödemeler!$F72="",DATE(Özet!$C$4,5,1)&lt;=Ödemeler!$F72)),Ödemeler!$C72,0))</f>
        <v/>
      </c>
      <c r="G73" s="36" t="str">
        <f aca="false">IF(OR(Ödemeler!$A72="",Ödemeler!$G72="",Ödemeler!$E72=""),"",IF(AND(((Özet!$C$4*12+6)-(YEAR(Ödemeler!$E72)*12+MONTH(Ödemeler!$E72)))&gt;=0,MOD(((Özet!$C$4*12+6)-(YEAR(Ödemeler!$E72)*12+MONTH(Ödemeler!$E72))),Ödemeler!$G72)=0,OR(Ödemeler!$F72="",DATE(Özet!$C$4,6,1)&lt;=Ödemeler!$F72)),Ödemeler!$C72,0))</f>
        <v/>
      </c>
      <c r="H73" s="36" t="str">
        <f aca="false">IF(OR(Ödemeler!$A72="",Ödemeler!$G72="",Ödemeler!$E72=""),"",IF(AND(((Özet!$C$4*12+7)-(YEAR(Ödemeler!$E72)*12+MONTH(Ödemeler!$E72)))&gt;=0,MOD(((Özet!$C$4*12+7)-(YEAR(Ödemeler!$E72)*12+MONTH(Ödemeler!$E72))),Ödemeler!$G72)=0,OR(Ödemeler!$F72="",DATE(Özet!$C$4,7,1)&lt;=Ödemeler!$F72)),Ödemeler!$C72,0))</f>
        <v/>
      </c>
      <c r="I73" s="36" t="str">
        <f aca="false">IF(OR(Ödemeler!$A72="",Ödemeler!$G72="",Ödemeler!$E72=""),"",IF(AND(((Özet!$C$4*12+8)-(YEAR(Ödemeler!$E72)*12+MONTH(Ödemeler!$E72)))&gt;=0,MOD(((Özet!$C$4*12+8)-(YEAR(Ödemeler!$E72)*12+MONTH(Ödemeler!$E72))),Ödemeler!$G72)=0,OR(Ödemeler!$F72="",DATE(Özet!$C$4,8,1)&lt;=Ödemeler!$F72)),Ödemeler!$C72,0))</f>
        <v/>
      </c>
      <c r="J73" s="36" t="str">
        <f aca="false">IF(OR(Ödemeler!$A72="",Ödemeler!$G72="",Ödemeler!$E72=""),"",IF(AND(((Özet!$C$4*12+9)-(YEAR(Ödemeler!$E72)*12+MONTH(Ödemeler!$E72)))&gt;=0,MOD(((Özet!$C$4*12+9)-(YEAR(Ödemeler!$E72)*12+MONTH(Ödemeler!$E72))),Ödemeler!$G72)=0,OR(Ödemeler!$F72="",DATE(Özet!$C$4,9,1)&lt;=Ödemeler!$F72)),Ödemeler!$C72,0))</f>
        <v/>
      </c>
      <c r="K73" s="36" t="str">
        <f aca="false">IF(OR(Ödemeler!$A72="",Ödemeler!$G72="",Ödemeler!$E72=""),"",IF(AND(((Özet!$C$4*12+10)-(YEAR(Ödemeler!$E72)*12+MONTH(Ödemeler!$E72)))&gt;=0,MOD(((Özet!$C$4*12+10)-(YEAR(Ödemeler!$E72)*12+MONTH(Ödemeler!$E72))),Ödemeler!$G72)=0,OR(Ödemeler!$F72="",DATE(Özet!$C$4,10,1)&lt;=Ödemeler!$F72)),Ödemeler!$C72,0))</f>
        <v/>
      </c>
      <c r="L73" s="36" t="str">
        <f aca="false">IF(OR(Ödemeler!$A72="",Ödemeler!$G72="",Ödemeler!$E72=""),"",IF(AND(((Özet!$C$4*12+11)-(YEAR(Ödemeler!$E72)*12+MONTH(Ödemeler!$E72)))&gt;=0,MOD(((Özet!$C$4*12+11)-(YEAR(Ödemeler!$E72)*12+MONTH(Ödemeler!$E72))),Ödemeler!$G72)=0,OR(Ödemeler!$F72="",DATE(Özet!$C$4,11,1)&lt;=Ödemeler!$F72)),Ödemeler!$C72,0))</f>
        <v/>
      </c>
      <c r="M73" s="36" t="str">
        <f aca="false">IF(OR(Ödemeler!$A72="",Ödemeler!$G72="",Ödemeler!$E72=""),"",IF(AND(((Özet!$C$4*12+12)-(YEAR(Ödemeler!$E72)*12+MONTH(Ödemeler!$E72)))&gt;=0,MOD(((Özet!$C$4*12+12)-(YEAR(Ödemeler!$E72)*12+MONTH(Ödemeler!$E72))),Ödemeler!$G72)=0,OR(Ödemeler!$F72="",DATE(Özet!$C$4,12,1)&lt;=Ödemeler!$F72)),Ödemeler!$C72,0))</f>
        <v/>
      </c>
      <c r="N73" s="36" t="str">
        <f aca="false">IF(COUNT(B73:M73)=0,"",SUM(B73:M73))</f>
        <v/>
      </c>
    </row>
    <row r="74" customFormat="false" ht="15" hidden="false" customHeight="false" outlineLevel="0" collapsed="false">
      <c r="A74" s="30" t="str">
        <f aca="false">IF(Ödemeler!A73="","",Ödemeler!A73)</f>
        <v/>
      </c>
      <c r="B74" s="37" t="str">
        <f aca="false">IF(OR(Ödemeler!$A73="",Ödemeler!$G73="",Ödemeler!$E73=""),"",IF(AND(((Özet!$C$4*12+1)-(YEAR(Ödemeler!$E73)*12+MONTH(Ödemeler!$E73)))&gt;=0,MOD(((Özet!$C$4*12+1)-(YEAR(Ödemeler!$E73)*12+MONTH(Ödemeler!$E73))),Ödemeler!$G73)=0,OR(Ödemeler!$F73="",DATE(Özet!$C$4,1,1)&lt;=Ödemeler!$F73)),Ödemeler!$C73,0))</f>
        <v/>
      </c>
      <c r="C74" s="37" t="str">
        <f aca="false">IF(OR(Ödemeler!$A73="",Ödemeler!$G73="",Ödemeler!$E73=""),"",IF(AND(((Özet!$C$4*12+2)-(YEAR(Ödemeler!$E73)*12+MONTH(Ödemeler!$E73)))&gt;=0,MOD(((Özet!$C$4*12+2)-(YEAR(Ödemeler!$E73)*12+MONTH(Ödemeler!$E73))),Ödemeler!$G73)=0,OR(Ödemeler!$F73="",DATE(Özet!$C$4,2,1)&lt;=Ödemeler!$F73)),Ödemeler!$C73,0))</f>
        <v/>
      </c>
      <c r="D74" s="37" t="str">
        <f aca="false">IF(OR(Ödemeler!$A73="",Ödemeler!$G73="",Ödemeler!$E73=""),"",IF(AND(((Özet!$C$4*12+3)-(YEAR(Ödemeler!$E73)*12+MONTH(Ödemeler!$E73)))&gt;=0,MOD(((Özet!$C$4*12+3)-(YEAR(Ödemeler!$E73)*12+MONTH(Ödemeler!$E73))),Ödemeler!$G73)=0,OR(Ödemeler!$F73="",DATE(Özet!$C$4,3,1)&lt;=Ödemeler!$F73)),Ödemeler!$C73,0))</f>
        <v/>
      </c>
      <c r="E74" s="37" t="str">
        <f aca="false">IF(OR(Ödemeler!$A73="",Ödemeler!$G73="",Ödemeler!$E73=""),"",IF(AND(((Özet!$C$4*12+4)-(YEAR(Ödemeler!$E73)*12+MONTH(Ödemeler!$E73)))&gt;=0,MOD(((Özet!$C$4*12+4)-(YEAR(Ödemeler!$E73)*12+MONTH(Ödemeler!$E73))),Ödemeler!$G73)=0,OR(Ödemeler!$F73="",DATE(Özet!$C$4,4,1)&lt;=Ödemeler!$F73)),Ödemeler!$C73,0))</f>
        <v/>
      </c>
      <c r="F74" s="37" t="str">
        <f aca="false">IF(OR(Ödemeler!$A73="",Ödemeler!$G73="",Ödemeler!$E73=""),"",IF(AND(((Özet!$C$4*12+5)-(YEAR(Ödemeler!$E73)*12+MONTH(Ödemeler!$E73)))&gt;=0,MOD(((Özet!$C$4*12+5)-(YEAR(Ödemeler!$E73)*12+MONTH(Ödemeler!$E73))),Ödemeler!$G73)=0,OR(Ödemeler!$F73="",DATE(Özet!$C$4,5,1)&lt;=Ödemeler!$F73)),Ödemeler!$C73,0))</f>
        <v/>
      </c>
      <c r="G74" s="37" t="str">
        <f aca="false">IF(OR(Ödemeler!$A73="",Ödemeler!$G73="",Ödemeler!$E73=""),"",IF(AND(((Özet!$C$4*12+6)-(YEAR(Ödemeler!$E73)*12+MONTH(Ödemeler!$E73)))&gt;=0,MOD(((Özet!$C$4*12+6)-(YEAR(Ödemeler!$E73)*12+MONTH(Ödemeler!$E73))),Ödemeler!$G73)=0,OR(Ödemeler!$F73="",DATE(Özet!$C$4,6,1)&lt;=Ödemeler!$F73)),Ödemeler!$C73,0))</f>
        <v/>
      </c>
      <c r="H74" s="37" t="str">
        <f aca="false">IF(OR(Ödemeler!$A73="",Ödemeler!$G73="",Ödemeler!$E73=""),"",IF(AND(((Özet!$C$4*12+7)-(YEAR(Ödemeler!$E73)*12+MONTH(Ödemeler!$E73)))&gt;=0,MOD(((Özet!$C$4*12+7)-(YEAR(Ödemeler!$E73)*12+MONTH(Ödemeler!$E73))),Ödemeler!$G73)=0,OR(Ödemeler!$F73="",DATE(Özet!$C$4,7,1)&lt;=Ödemeler!$F73)),Ödemeler!$C73,0))</f>
        <v/>
      </c>
      <c r="I74" s="37" t="str">
        <f aca="false">IF(OR(Ödemeler!$A73="",Ödemeler!$G73="",Ödemeler!$E73=""),"",IF(AND(((Özet!$C$4*12+8)-(YEAR(Ödemeler!$E73)*12+MONTH(Ödemeler!$E73)))&gt;=0,MOD(((Özet!$C$4*12+8)-(YEAR(Ödemeler!$E73)*12+MONTH(Ödemeler!$E73))),Ödemeler!$G73)=0,OR(Ödemeler!$F73="",DATE(Özet!$C$4,8,1)&lt;=Ödemeler!$F73)),Ödemeler!$C73,0))</f>
        <v/>
      </c>
      <c r="J74" s="37" t="str">
        <f aca="false">IF(OR(Ödemeler!$A73="",Ödemeler!$G73="",Ödemeler!$E73=""),"",IF(AND(((Özet!$C$4*12+9)-(YEAR(Ödemeler!$E73)*12+MONTH(Ödemeler!$E73)))&gt;=0,MOD(((Özet!$C$4*12+9)-(YEAR(Ödemeler!$E73)*12+MONTH(Ödemeler!$E73))),Ödemeler!$G73)=0,OR(Ödemeler!$F73="",DATE(Özet!$C$4,9,1)&lt;=Ödemeler!$F73)),Ödemeler!$C73,0))</f>
        <v/>
      </c>
      <c r="K74" s="37" t="str">
        <f aca="false">IF(OR(Ödemeler!$A73="",Ödemeler!$G73="",Ödemeler!$E73=""),"",IF(AND(((Özet!$C$4*12+10)-(YEAR(Ödemeler!$E73)*12+MONTH(Ödemeler!$E73)))&gt;=0,MOD(((Özet!$C$4*12+10)-(YEAR(Ödemeler!$E73)*12+MONTH(Ödemeler!$E73))),Ödemeler!$G73)=0,OR(Ödemeler!$F73="",DATE(Özet!$C$4,10,1)&lt;=Ödemeler!$F73)),Ödemeler!$C73,0))</f>
        <v/>
      </c>
      <c r="L74" s="37" t="str">
        <f aca="false">IF(OR(Ödemeler!$A73="",Ödemeler!$G73="",Ödemeler!$E73=""),"",IF(AND(((Özet!$C$4*12+11)-(YEAR(Ödemeler!$E73)*12+MONTH(Ödemeler!$E73)))&gt;=0,MOD(((Özet!$C$4*12+11)-(YEAR(Ödemeler!$E73)*12+MONTH(Ödemeler!$E73))),Ödemeler!$G73)=0,OR(Ödemeler!$F73="",DATE(Özet!$C$4,11,1)&lt;=Ödemeler!$F73)),Ödemeler!$C73,0))</f>
        <v/>
      </c>
      <c r="M74" s="37" t="str">
        <f aca="false">IF(OR(Ödemeler!$A73="",Ödemeler!$G73="",Ödemeler!$E73=""),"",IF(AND(((Özet!$C$4*12+12)-(YEAR(Ödemeler!$E73)*12+MONTH(Ödemeler!$E73)))&gt;=0,MOD(((Özet!$C$4*12+12)-(YEAR(Ödemeler!$E73)*12+MONTH(Ödemeler!$E73))),Ödemeler!$G73)=0,OR(Ödemeler!$F73="",DATE(Özet!$C$4,12,1)&lt;=Ödemeler!$F73)),Ödemeler!$C73,0))</f>
        <v/>
      </c>
      <c r="N74" s="37" t="str">
        <f aca="false">IF(COUNT(B74:M74)=0,"",SUM(B74:M74))</f>
        <v/>
      </c>
    </row>
    <row r="75" customFormat="false" ht="15" hidden="false" customHeight="false" outlineLevel="0" collapsed="false">
      <c r="A75" s="16" t="str">
        <f aca="false">IF(Ödemeler!A74="","",Ödemeler!A74)</f>
        <v/>
      </c>
      <c r="B75" s="36" t="str">
        <f aca="false">IF(OR(Ödemeler!$A74="",Ödemeler!$G74="",Ödemeler!$E74=""),"",IF(AND(((Özet!$C$4*12+1)-(YEAR(Ödemeler!$E74)*12+MONTH(Ödemeler!$E74)))&gt;=0,MOD(((Özet!$C$4*12+1)-(YEAR(Ödemeler!$E74)*12+MONTH(Ödemeler!$E74))),Ödemeler!$G74)=0,OR(Ödemeler!$F74="",DATE(Özet!$C$4,1,1)&lt;=Ödemeler!$F74)),Ödemeler!$C74,0))</f>
        <v/>
      </c>
      <c r="C75" s="36" t="str">
        <f aca="false">IF(OR(Ödemeler!$A74="",Ödemeler!$G74="",Ödemeler!$E74=""),"",IF(AND(((Özet!$C$4*12+2)-(YEAR(Ödemeler!$E74)*12+MONTH(Ödemeler!$E74)))&gt;=0,MOD(((Özet!$C$4*12+2)-(YEAR(Ödemeler!$E74)*12+MONTH(Ödemeler!$E74))),Ödemeler!$G74)=0,OR(Ödemeler!$F74="",DATE(Özet!$C$4,2,1)&lt;=Ödemeler!$F74)),Ödemeler!$C74,0))</f>
        <v/>
      </c>
      <c r="D75" s="36" t="str">
        <f aca="false">IF(OR(Ödemeler!$A74="",Ödemeler!$G74="",Ödemeler!$E74=""),"",IF(AND(((Özet!$C$4*12+3)-(YEAR(Ödemeler!$E74)*12+MONTH(Ödemeler!$E74)))&gt;=0,MOD(((Özet!$C$4*12+3)-(YEAR(Ödemeler!$E74)*12+MONTH(Ödemeler!$E74))),Ödemeler!$G74)=0,OR(Ödemeler!$F74="",DATE(Özet!$C$4,3,1)&lt;=Ödemeler!$F74)),Ödemeler!$C74,0))</f>
        <v/>
      </c>
      <c r="E75" s="36" t="str">
        <f aca="false">IF(OR(Ödemeler!$A74="",Ödemeler!$G74="",Ödemeler!$E74=""),"",IF(AND(((Özet!$C$4*12+4)-(YEAR(Ödemeler!$E74)*12+MONTH(Ödemeler!$E74)))&gt;=0,MOD(((Özet!$C$4*12+4)-(YEAR(Ödemeler!$E74)*12+MONTH(Ödemeler!$E74))),Ödemeler!$G74)=0,OR(Ödemeler!$F74="",DATE(Özet!$C$4,4,1)&lt;=Ödemeler!$F74)),Ödemeler!$C74,0))</f>
        <v/>
      </c>
      <c r="F75" s="36" t="str">
        <f aca="false">IF(OR(Ödemeler!$A74="",Ödemeler!$G74="",Ödemeler!$E74=""),"",IF(AND(((Özet!$C$4*12+5)-(YEAR(Ödemeler!$E74)*12+MONTH(Ödemeler!$E74)))&gt;=0,MOD(((Özet!$C$4*12+5)-(YEAR(Ödemeler!$E74)*12+MONTH(Ödemeler!$E74))),Ödemeler!$G74)=0,OR(Ödemeler!$F74="",DATE(Özet!$C$4,5,1)&lt;=Ödemeler!$F74)),Ödemeler!$C74,0))</f>
        <v/>
      </c>
      <c r="G75" s="36" t="str">
        <f aca="false">IF(OR(Ödemeler!$A74="",Ödemeler!$G74="",Ödemeler!$E74=""),"",IF(AND(((Özet!$C$4*12+6)-(YEAR(Ödemeler!$E74)*12+MONTH(Ödemeler!$E74)))&gt;=0,MOD(((Özet!$C$4*12+6)-(YEAR(Ödemeler!$E74)*12+MONTH(Ödemeler!$E74))),Ödemeler!$G74)=0,OR(Ödemeler!$F74="",DATE(Özet!$C$4,6,1)&lt;=Ödemeler!$F74)),Ödemeler!$C74,0))</f>
        <v/>
      </c>
      <c r="H75" s="36" t="str">
        <f aca="false">IF(OR(Ödemeler!$A74="",Ödemeler!$G74="",Ödemeler!$E74=""),"",IF(AND(((Özet!$C$4*12+7)-(YEAR(Ödemeler!$E74)*12+MONTH(Ödemeler!$E74)))&gt;=0,MOD(((Özet!$C$4*12+7)-(YEAR(Ödemeler!$E74)*12+MONTH(Ödemeler!$E74))),Ödemeler!$G74)=0,OR(Ödemeler!$F74="",DATE(Özet!$C$4,7,1)&lt;=Ödemeler!$F74)),Ödemeler!$C74,0))</f>
        <v/>
      </c>
      <c r="I75" s="36" t="str">
        <f aca="false">IF(OR(Ödemeler!$A74="",Ödemeler!$G74="",Ödemeler!$E74=""),"",IF(AND(((Özet!$C$4*12+8)-(YEAR(Ödemeler!$E74)*12+MONTH(Ödemeler!$E74)))&gt;=0,MOD(((Özet!$C$4*12+8)-(YEAR(Ödemeler!$E74)*12+MONTH(Ödemeler!$E74))),Ödemeler!$G74)=0,OR(Ödemeler!$F74="",DATE(Özet!$C$4,8,1)&lt;=Ödemeler!$F74)),Ödemeler!$C74,0))</f>
        <v/>
      </c>
      <c r="J75" s="36" t="str">
        <f aca="false">IF(OR(Ödemeler!$A74="",Ödemeler!$G74="",Ödemeler!$E74=""),"",IF(AND(((Özet!$C$4*12+9)-(YEAR(Ödemeler!$E74)*12+MONTH(Ödemeler!$E74)))&gt;=0,MOD(((Özet!$C$4*12+9)-(YEAR(Ödemeler!$E74)*12+MONTH(Ödemeler!$E74))),Ödemeler!$G74)=0,OR(Ödemeler!$F74="",DATE(Özet!$C$4,9,1)&lt;=Ödemeler!$F74)),Ödemeler!$C74,0))</f>
        <v/>
      </c>
      <c r="K75" s="36" t="str">
        <f aca="false">IF(OR(Ödemeler!$A74="",Ödemeler!$G74="",Ödemeler!$E74=""),"",IF(AND(((Özet!$C$4*12+10)-(YEAR(Ödemeler!$E74)*12+MONTH(Ödemeler!$E74)))&gt;=0,MOD(((Özet!$C$4*12+10)-(YEAR(Ödemeler!$E74)*12+MONTH(Ödemeler!$E74))),Ödemeler!$G74)=0,OR(Ödemeler!$F74="",DATE(Özet!$C$4,10,1)&lt;=Ödemeler!$F74)),Ödemeler!$C74,0))</f>
        <v/>
      </c>
      <c r="L75" s="36" t="str">
        <f aca="false">IF(OR(Ödemeler!$A74="",Ödemeler!$G74="",Ödemeler!$E74=""),"",IF(AND(((Özet!$C$4*12+11)-(YEAR(Ödemeler!$E74)*12+MONTH(Ödemeler!$E74)))&gt;=0,MOD(((Özet!$C$4*12+11)-(YEAR(Ödemeler!$E74)*12+MONTH(Ödemeler!$E74))),Ödemeler!$G74)=0,OR(Ödemeler!$F74="",DATE(Özet!$C$4,11,1)&lt;=Ödemeler!$F74)),Ödemeler!$C74,0))</f>
        <v/>
      </c>
      <c r="M75" s="36" t="str">
        <f aca="false">IF(OR(Ödemeler!$A74="",Ödemeler!$G74="",Ödemeler!$E74=""),"",IF(AND(((Özet!$C$4*12+12)-(YEAR(Ödemeler!$E74)*12+MONTH(Ödemeler!$E74)))&gt;=0,MOD(((Özet!$C$4*12+12)-(YEAR(Ödemeler!$E74)*12+MONTH(Ödemeler!$E74))),Ödemeler!$G74)=0,OR(Ödemeler!$F74="",DATE(Özet!$C$4,12,1)&lt;=Ödemeler!$F74)),Ödemeler!$C74,0))</f>
        <v/>
      </c>
      <c r="N75" s="36" t="str">
        <f aca="false">IF(COUNT(B75:M75)=0,"",SUM(B75:M75))</f>
        <v/>
      </c>
    </row>
    <row r="76" customFormat="false" ht="15" hidden="false" customHeight="false" outlineLevel="0" collapsed="false">
      <c r="A76" s="30" t="str">
        <f aca="false">IF(Ödemeler!A75="","",Ödemeler!A75)</f>
        <v/>
      </c>
      <c r="B76" s="37" t="str">
        <f aca="false">IF(OR(Ödemeler!$A75="",Ödemeler!$G75="",Ödemeler!$E75=""),"",IF(AND(((Özet!$C$4*12+1)-(YEAR(Ödemeler!$E75)*12+MONTH(Ödemeler!$E75)))&gt;=0,MOD(((Özet!$C$4*12+1)-(YEAR(Ödemeler!$E75)*12+MONTH(Ödemeler!$E75))),Ödemeler!$G75)=0,OR(Ödemeler!$F75="",DATE(Özet!$C$4,1,1)&lt;=Ödemeler!$F75)),Ödemeler!$C75,0))</f>
        <v/>
      </c>
      <c r="C76" s="37" t="str">
        <f aca="false">IF(OR(Ödemeler!$A75="",Ödemeler!$G75="",Ödemeler!$E75=""),"",IF(AND(((Özet!$C$4*12+2)-(YEAR(Ödemeler!$E75)*12+MONTH(Ödemeler!$E75)))&gt;=0,MOD(((Özet!$C$4*12+2)-(YEAR(Ödemeler!$E75)*12+MONTH(Ödemeler!$E75))),Ödemeler!$G75)=0,OR(Ödemeler!$F75="",DATE(Özet!$C$4,2,1)&lt;=Ödemeler!$F75)),Ödemeler!$C75,0))</f>
        <v/>
      </c>
      <c r="D76" s="37" t="str">
        <f aca="false">IF(OR(Ödemeler!$A75="",Ödemeler!$G75="",Ödemeler!$E75=""),"",IF(AND(((Özet!$C$4*12+3)-(YEAR(Ödemeler!$E75)*12+MONTH(Ödemeler!$E75)))&gt;=0,MOD(((Özet!$C$4*12+3)-(YEAR(Ödemeler!$E75)*12+MONTH(Ödemeler!$E75))),Ödemeler!$G75)=0,OR(Ödemeler!$F75="",DATE(Özet!$C$4,3,1)&lt;=Ödemeler!$F75)),Ödemeler!$C75,0))</f>
        <v/>
      </c>
      <c r="E76" s="37" t="str">
        <f aca="false">IF(OR(Ödemeler!$A75="",Ödemeler!$G75="",Ödemeler!$E75=""),"",IF(AND(((Özet!$C$4*12+4)-(YEAR(Ödemeler!$E75)*12+MONTH(Ödemeler!$E75)))&gt;=0,MOD(((Özet!$C$4*12+4)-(YEAR(Ödemeler!$E75)*12+MONTH(Ödemeler!$E75))),Ödemeler!$G75)=0,OR(Ödemeler!$F75="",DATE(Özet!$C$4,4,1)&lt;=Ödemeler!$F75)),Ödemeler!$C75,0))</f>
        <v/>
      </c>
      <c r="F76" s="37" t="str">
        <f aca="false">IF(OR(Ödemeler!$A75="",Ödemeler!$G75="",Ödemeler!$E75=""),"",IF(AND(((Özet!$C$4*12+5)-(YEAR(Ödemeler!$E75)*12+MONTH(Ödemeler!$E75)))&gt;=0,MOD(((Özet!$C$4*12+5)-(YEAR(Ödemeler!$E75)*12+MONTH(Ödemeler!$E75))),Ödemeler!$G75)=0,OR(Ödemeler!$F75="",DATE(Özet!$C$4,5,1)&lt;=Ödemeler!$F75)),Ödemeler!$C75,0))</f>
        <v/>
      </c>
      <c r="G76" s="37" t="str">
        <f aca="false">IF(OR(Ödemeler!$A75="",Ödemeler!$G75="",Ödemeler!$E75=""),"",IF(AND(((Özet!$C$4*12+6)-(YEAR(Ödemeler!$E75)*12+MONTH(Ödemeler!$E75)))&gt;=0,MOD(((Özet!$C$4*12+6)-(YEAR(Ödemeler!$E75)*12+MONTH(Ödemeler!$E75))),Ödemeler!$G75)=0,OR(Ödemeler!$F75="",DATE(Özet!$C$4,6,1)&lt;=Ödemeler!$F75)),Ödemeler!$C75,0))</f>
        <v/>
      </c>
      <c r="H76" s="37" t="str">
        <f aca="false">IF(OR(Ödemeler!$A75="",Ödemeler!$G75="",Ödemeler!$E75=""),"",IF(AND(((Özet!$C$4*12+7)-(YEAR(Ödemeler!$E75)*12+MONTH(Ödemeler!$E75)))&gt;=0,MOD(((Özet!$C$4*12+7)-(YEAR(Ödemeler!$E75)*12+MONTH(Ödemeler!$E75))),Ödemeler!$G75)=0,OR(Ödemeler!$F75="",DATE(Özet!$C$4,7,1)&lt;=Ödemeler!$F75)),Ödemeler!$C75,0))</f>
        <v/>
      </c>
      <c r="I76" s="37" t="str">
        <f aca="false">IF(OR(Ödemeler!$A75="",Ödemeler!$G75="",Ödemeler!$E75=""),"",IF(AND(((Özet!$C$4*12+8)-(YEAR(Ödemeler!$E75)*12+MONTH(Ödemeler!$E75)))&gt;=0,MOD(((Özet!$C$4*12+8)-(YEAR(Ödemeler!$E75)*12+MONTH(Ödemeler!$E75))),Ödemeler!$G75)=0,OR(Ödemeler!$F75="",DATE(Özet!$C$4,8,1)&lt;=Ödemeler!$F75)),Ödemeler!$C75,0))</f>
        <v/>
      </c>
      <c r="J76" s="37" t="str">
        <f aca="false">IF(OR(Ödemeler!$A75="",Ödemeler!$G75="",Ödemeler!$E75=""),"",IF(AND(((Özet!$C$4*12+9)-(YEAR(Ödemeler!$E75)*12+MONTH(Ödemeler!$E75)))&gt;=0,MOD(((Özet!$C$4*12+9)-(YEAR(Ödemeler!$E75)*12+MONTH(Ödemeler!$E75))),Ödemeler!$G75)=0,OR(Ödemeler!$F75="",DATE(Özet!$C$4,9,1)&lt;=Ödemeler!$F75)),Ödemeler!$C75,0))</f>
        <v/>
      </c>
      <c r="K76" s="37" t="str">
        <f aca="false">IF(OR(Ödemeler!$A75="",Ödemeler!$G75="",Ödemeler!$E75=""),"",IF(AND(((Özet!$C$4*12+10)-(YEAR(Ödemeler!$E75)*12+MONTH(Ödemeler!$E75)))&gt;=0,MOD(((Özet!$C$4*12+10)-(YEAR(Ödemeler!$E75)*12+MONTH(Ödemeler!$E75))),Ödemeler!$G75)=0,OR(Ödemeler!$F75="",DATE(Özet!$C$4,10,1)&lt;=Ödemeler!$F75)),Ödemeler!$C75,0))</f>
        <v/>
      </c>
      <c r="L76" s="37" t="str">
        <f aca="false">IF(OR(Ödemeler!$A75="",Ödemeler!$G75="",Ödemeler!$E75=""),"",IF(AND(((Özet!$C$4*12+11)-(YEAR(Ödemeler!$E75)*12+MONTH(Ödemeler!$E75)))&gt;=0,MOD(((Özet!$C$4*12+11)-(YEAR(Ödemeler!$E75)*12+MONTH(Ödemeler!$E75))),Ödemeler!$G75)=0,OR(Ödemeler!$F75="",DATE(Özet!$C$4,11,1)&lt;=Ödemeler!$F75)),Ödemeler!$C75,0))</f>
        <v/>
      </c>
      <c r="M76" s="37" t="str">
        <f aca="false">IF(OR(Ödemeler!$A75="",Ödemeler!$G75="",Ödemeler!$E75=""),"",IF(AND(((Özet!$C$4*12+12)-(YEAR(Ödemeler!$E75)*12+MONTH(Ödemeler!$E75)))&gt;=0,MOD(((Özet!$C$4*12+12)-(YEAR(Ödemeler!$E75)*12+MONTH(Ödemeler!$E75))),Ödemeler!$G75)=0,OR(Ödemeler!$F75="",DATE(Özet!$C$4,12,1)&lt;=Ödemeler!$F75)),Ödemeler!$C75,0))</f>
        <v/>
      </c>
      <c r="N76" s="37" t="str">
        <f aca="false">IF(COUNT(B76:M76)=0,"",SUM(B76:M76))</f>
        <v/>
      </c>
    </row>
    <row r="77" customFormat="false" ht="15" hidden="false" customHeight="false" outlineLevel="0" collapsed="false">
      <c r="A77" s="16" t="str">
        <f aca="false">IF(Ödemeler!A76="","",Ödemeler!A76)</f>
        <v/>
      </c>
      <c r="B77" s="36" t="str">
        <f aca="false">IF(OR(Ödemeler!$A76="",Ödemeler!$G76="",Ödemeler!$E76=""),"",IF(AND(((Özet!$C$4*12+1)-(YEAR(Ödemeler!$E76)*12+MONTH(Ödemeler!$E76)))&gt;=0,MOD(((Özet!$C$4*12+1)-(YEAR(Ödemeler!$E76)*12+MONTH(Ödemeler!$E76))),Ödemeler!$G76)=0,OR(Ödemeler!$F76="",DATE(Özet!$C$4,1,1)&lt;=Ödemeler!$F76)),Ödemeler!$C76,0))</f>
        <v/>
      </c>
      <c r="C77" s="36" t="str">
        <f aca="false">IF(OR(Ödemeler!$A76="",Ödemeler!$G76="",Ödemeler!$E76=""),"",IF(AND(((Özet!$C$4*12+2)-(YEAR(Ödemeler!$E76)*12+MONTH(Ödemeler!$E76)))&gt;=0,MOD(((Özet!$C$4*12+2)-(YEAR(Ödemeler!$E76)*12+MONTH(Ödemeler!$E76))),Ödemeler!$G76)=0,OR(Ödemeler!$F76="",DATE(Özet!$C$4,2,1)&lt;=Ödemeler!$F76)),Ödemeler!$C76,0))</f>
        <v/>
      </c>
      <c r="D77" s="36" t="str">
        <f aca="false">IF(OR(Ödemeler!$A76="",Ödemeler!$G76="",Ödemeler!$E76=""),"",IF(AND(((Özet!$C$4*12+3)-(YEAR(Ödemeler!$E76)*12+MONTH(Ödemeler!$E76)))&gt;=0,MOD(((Özet!$C$4*12+3)-(YEAR(Ödemeler!$E76)*12+MONTH(Ödemeler!$E76))),Ödemeler!$G76)=0,OR(Ödemeler!$F76="",DATE(Özet!$C$4,3,1)&lt;=Ödemeler!$F76)),Ödemeler!$C76,0))</f>
        <v/>
      </c>
      <c r="E77" s="36" t="str">
        <f aca="false">IF(OR(Ödemeler!$A76="",Ödemeler!$G76="",Ödemeler!$E76=""),"",IF(AND(((Özet!$C$4*12+4)-(YEAR(Ödemeler!$E76)*12+MONTH(Ödemeler!$E76)))&gt;=0,MOD(((Özet!$C$4*12+4)-(YEAR(Ödemeler!$E76)*12+MONTH(Ödemeler!$E76))),Ödemeler!$G76)=0,OR(Ödemeler!$F76="",DATE(Özet!$C$4,4,1)&lt;=Ödemeler!$F76)),Ödemeler!$C76,0))</f>
        <v/>
      </c>
      <c r="F77" s="36" t="str">
        <f aca="false">IF(OR(Ödemeler!$A76="",Ödemeler!$G76="",Ödemeler!$E76=""),"",IF(AND(((Özet!$C$4*12+5)-(YEAR(Ödemeler!$E76)*12+MONTH(Ödemeler!$E76)))&gt;=0,MOD(((Özet!$C$4*12+5)-(YEAR(Ödemeler!$E76)*12+MONTH(Ödemeler!$E76))),Ödemeler!$G76)=0,OR(Ödemeler!$F76="",DATE(Özet!$C$4,5,1)&lt;=Ödemeler!$F76)),Ödemeler!$C76,0))</f>
        <v/>
      </c>
      <c r="G77" s="36" t="str">
        <f aca="false">IF(OR(Ödemeler!$A76="",Ödemeler!$G76="",Ödemeler!$E76=""),"",IF(AND(((Özet!$C$4*12+6)-(YEAR(Ödemeler!$E76)*12+MONTH(Ödemeler!$E76)))&gt;=0,MOD(((Özet!$C$4*12+6)-(YEAR(Ödemeler!$E76)*12+MONTH(Ödemeler!$E76))),Ödemeler!$G76)=0,OR(Ödemeler!$F76="",DATE(Özet!$C$4,6,1)&lt;=Ödemeler!$F76)),Ödemeler!$C76,0))</f>
        <v/>
      </c>
      <c r="H77" s="36" t="str">
        <f aca="false">IF(OR(Ödemeler!$A76="",Ödemeler!$G76="",Ödemeler!$E76=""),"",IF(AND(((Özet!$C$4*12+7)-(YEAR(Ödemeler!$E76)*12+MONTH(Ödemeler!$E76)))&gt;=0,MOD(((Özet!$C$4*12+7)-(YEAR(Ödemeler!$E76)*12+MONTH(Ödemeler!$E76))),Ödemeler!$G76)=0,OR(Ödemeler!$F76="",DATE(Özet!$C$4,7,1)&lt;=Ödemeler!$F76)),Ödemeler!$C76,0))</f>
        <v/>
      </c>
      <c r="I77" s="36" t="str">
        <f aca="false">IF(OR(Ödemeler!$A76="",Ödemeler!$G76="",Ödemeler!$E76=""),"",IF(AND(((Özet!$C$4*12+8)-(YEAR(Ödemeler!$E76)*12+MONTH(Ödemeler!$E76)))&gt;=0,MOD(((Özet!$C$4*12+8)-(YEAR(Ödemeler!$E76)*12+MONTH(Ödemeler!$E76))),Ödemeler!$G76)=0,OR(Ödemeler!$F76="",DATE(Özet!$C$4,8,1)&lt;=Ödemeler!$F76)),Ödemeler!$C76,0))</f>
        <v/>
      </c>
      <c r="J77" s="36" t="str">
        <f aca="false">IF(OR(Ödemeler!$A76="",Ödemeler!$G76="",Ödemeler!$E76=""),"",IF(AND(((Özet!$C$4*12+9)-(YEAR(Ödemeler!$E76)*12+MONTH(Ödemeler!$E76)))&gt;=0,MOD(((Özet!$C$4*12+9)-(YEAR(Ödemeler!$E76)*12+MONTH(Ödemeler!$E76))),Ödemeler!$G76)=0,OR(Ödemeler!$F76="",DATE(Özet!$C$4,9,1)&lt;=Ödemeler!$F76)),Ödemeler!$C76,0))</f>
        <v/>
      </c>
      <c r="K77" s="36" t="str">
        <f aca="false">IF(OR(Ödemeler!$A76="",Ödemeler!$G76="",Ödemeler!$E76=""),"",IF(AND(((Özet!$C$4*12+10)-(YEAR(Ödemeler!$E76)*12+MONTH(Ödemeler!$E76)))&gt;=0,MOD(((Özet!$C$4*12+10)-(YEAR(Ödemeler!$E76)*12+MONTH(Ödemeler!$E76))),Ödemeler!$G76)=0,OR(Ödemeler!$F76="",DATE(Özet!$C$4,10,1)&lt;=Ödemeler!$F76)),Ödemeler!$C76,0))</f>
        <v/>
      </c>
      <c r="L77" s="36" t="str">
        <f aca="false">IF(OR(Ödemeler!$A76="",Ödemeler!$G76="",Ödemeler!$E76=""),"",IF(AND(((Özet!$C$4*12+11)-(YEAR(Ödemeler!$E76)*12+MONTH(Ödemeler!$E76)))&gt;=0,MOD(((Özet!$C$4*12+11)-(YEAR(Ödemeler!$E76)*12+MONTH(Ödemeler!$E76))),Ödemeler!$G76)=0,OR(Ödemeler!$F76="",DATE(Özet!$C$4,11,1)&lt;=Ödemeler!$F76)),Ödemeler!$C76,0))</f>
        <v/>
      </c>
      <c r="M77" s="36" t="str">
        <f aca="false">IF(OR(Ödemeler!$A76="",Ödemeler!$G76="",Ödemeler!$E76=""),"",IF(AND(((Özet!$C$4*12+12)-(YEAR(Ödemeler!$E76)*12+MONTH(Ödemeler!$E76)))&gt;=0,MOD(((Özet!$C$4*12+12)-(YEAR(Ödemeler!$E76)*12+MONTH(Ödemeler!$E76))),Ödemeler!$G76)=0,OR(Ödemeler!$F76="",DATE(Özet!$C$4,12,1)&lt;=Ödemeler!$F76)),Ödemeler!$C76,0))</f>
        <v/>
      </c>
      <c r="N77" s="36" t="str">
        <f aca="false">IF(COUNT(B77:M77)=0,"",SUM(B77:M77))</f>
        <v/>
      </c>
    </row>
    <row r="78" customFormat="false" ht="15" hidden="false" customHeight="false" outlineLevel="0" collapsed="false">
      <c r="A78" s="30" t="str">
        <f aca="false">IF(Ödemeler!A77="","",Ödemeler!A77)</f>
        <v/>
      </c>
      <c r="B78" s="37" t="str">
        <f aca="false">IF(OR(Ödemeler!$A77="",Ödemeler!$G77="",Ödemeler!$E77=""),"",IF(AND(((Özet!$C$4*12+1)-(YEAR(Ödemeler!$E77)*12+MONTH(Ödemeler!$E77)))&gt;=0,MOD(((Özet!$C$4*12+1)-(YEAR(Ödemeler!$E77)*12+MONTH(Ödemeler!$E77))),Ödemeler!$G77)=0,OR(Ödemeler!$F77="",DATE(Özet!$C$4,1,1)&lt;=Ödemeler!$F77)),Ödemeler!$C77,0))</f>
        <v/>
      </c>
      <c r="C78" s="37" t="str">
        <f aca="false">IF(OR(Ödemeler!$A77="",Ödemeler!$G77="",Ödemeler!$E77=""),"",IF(AND(((Özet!$C$4*12+2)-(YEAR(Ödemeler!$E77)*12+MONTH(Ödemeler!$E77)))&gt;=0,MOD(((Özet!$C$4*12+2)-(YEAR(Ödemeler!$E77)*12+MONTH(Ödemeler!$E77))),Ödemeler!$G77)=0,OR(Ödemeler!$F77="",DATE(Özet!$C$4,2,1)&lt;=Ödemeler!$F77)),Ödemeler!$C77,0))</f>
        <v/>
      </c>
      <c r="D78" s="37" t="str">
        <f aca="false">IF(OR(Ödemeler!$A77="",Ödemeler!$G77="",Ödemeler!$E77=""),"",IF(AND(((Özet!$C$4*12+3)-(YEAR(Ödemeler!$E77)*12+MONTH(Ödemeler!$E77)))&gt;=0,MOD(((Özet!$C$4*12+3)-(YEAR(Ödemeler!$E77)*12+MONTH(Ödemeler!$E77))),Ödemeler!$G77)=0,OR(Ödemeler!$F77="",DATE(Özet!$C$4,3,1)&lt;=Ödemeler!$F77)),Ödemeler!$C77,0))</f>
        <v/>
      </c>
      <c r="E78" s="37" t="str">
        <f aca="false">IF(OR(Ödemeler!$A77="",Ödemeler!$G77="",Ödemeler!$E77=""),"",IF(AND(((Özet!$C$4*12+4)-(YEAR(Ödemeler!$E77)*12+MONTH(Ödemeler!$E77)))&gt;=0,MOD(((Özet!$C$4*12+4)-(YEAR(Ödemeler!$E77)*12+MONTH(Ödemeler!$E77))),Ödemeler!$G77)=0,OR(Ödemeler!$F77="",DATE(Özet!$C$4,4,1)&lt;=Ödemeler!$F77)),Ödemeler!$C77,0))</f>
        <v/>
      </c>
      <c r="F78" s="37" t="str">
        <f aca="false">IF(OR(Ödemeler!$A77="",Ödemeler!$G77="",Ödemeler!$E77=""),"",IF(AND(((Özet!$C$4*12+5)-(YEAR(Ödemeler!$E77)*12+MONTH(Ödemeler!$E77)))&gt;=0,MOD(((Özet!$C$4*12+5)-(YEAR(Ödemeler!$E77)*12+MONTH(Ödemeler!$E77))),Ödemeler!$G77)=0,OR(Ödemeler!$F77="",DATE(Özet!$C$4,5,1)&lt;=Ödemeler!$F77)),Ödemeler!$C77,0))</f>
        <v/>
      </c>
      <c r="G78" s="37" t="str">
        <f aca="false">IF(OR(Ödemeler!$A77="",Ödemeler!$G77="",Ödemeler!$E77=""),"",IF(AND(((Özet!$C$4*12+6)-(YEAR(Ödemeler!$E77)*12+MONTH(Ödemeler!$E77)))&gt;=0,MOD(((Özet!$C$4*12+6)-(YEAR(Ödemeler!$E77)*12+MONTH(Ödemeler!$E77))),Ödemeler!$G77)=0,OR(Ödemeler!$F77="",DATE(Özet!$C$4,6,1)&lt;=Ödemeler!$F77)),Ödemeler!$C77,0))</f>
        <v/>
      </c>
      <c r="H78" s="37" t="str">
        <f aca="false">IF(OR(Ödemeler!$A77="",Ödemeler!$G77="",Ödemeler!$E77=""),"",IF(AND(((Özet!$C$4*12+7)-(YEAR(Ödemeler!$E77)*12+MONTH(Ödemeler!$E77)))&gt;=0,MOD(((Özet!$C$4*12+7)-(YEAR(Ödemeler!$E77)*12+MONTH(Ödemeler!$E77))),Ödemeler!$G77)=0,OR(Ödemeler!$F77="",DATE(Özet!$C$4,7,1)&lt;=Ödemeler!$F77)),Ödemeler!$C77,0))</f>
        <v/>
      </c>
      <c r="I78" s="37" t="str">
        <f aca="false">IF(OR(Ödemeler!$A77="",Ödemeler!$G77="",Ödemeler!$E77=""),"",IF(AND(((Özet!$C$4*12+8)-(YEAR(Ödemeler!$E77)*12+MONTH(Ödemeler!$E77)))&gt;=0,MOD(((Özet!$C$4*12+8)-(YEAR(Ödemeler!$E77)*12+MONTH(Ödemeler!$E77))),Ödemeler!$G77)=0,OR(Ödemeler!$F77="",DATE(Özet!$C$4,8,1)&lt;=Ödemeler!$F77)),Ödemeler!$C77,0))</f>
        <v/>
      </c>
      <c r="J78" s="37" t="str">
        <f aca="false">IF(OR(Ödemeler!$A77="",Ödemeler!$G77="",Ödemeler!$E77=""),"",IF(AND(((Özet!$C$4*12+9)-(YEAR(Ödemeler!$E77)*12+MONTH(Ödemeler!$E77)))&gt;=0,MOD(((Özet!$C$4*12+9)-(YEAR(Ödemeler!$E77)*12+MONTH(Ödemeler!$E77))),Ödemeler!$G77)=0,OR(Ödemeler!$F77="",DATE(Özet!$C$4,9,1)&lt;=Ödemeler!$F77)),Ödemeler!$C77,0))</f>
        <v/>
      </c>
      <c r="K78" s="37" t="str">
        <f aca="false">IF(OR(Ödemeler!$A77="",Ödemeler!$G77="",Ödemeler!$E77=""),"",IF(AND(((Özet!$C$4*12+10)-(YEAR(Ödemeler!$E77)*12+MONTH(Ödemeler!$E77)))&gt;=0,MOD(((Özet!$C$4*12+10)-(YEAR(Ödemeler!$E77)*12+MONTH(Ödemeler!$E77))),Ödemeler!$G77)=0,OR(Ödemeler!$F77="",DATE(Özet!$C$4,10,1)&lt;=Ödemeler!$F77)),Ödemeler!$C77,0))</f>
        <v/>
      </c>
      <c r="L78" s="37" t="str">
        <f aca="false">IF(OR(Ödemeler!$A77="",Ödemeler!$G77="",Ödemeler!$E77=""),"",IF(AND(((Özet!$C$4*12+11)-(YEAR(Ödemeler!$E77)*12+MONTH(Ödemeler!$E77)))&gt;=0,MOD(((Özet!$C$4*12+11)-(YEAR(Ödemeler!$E77)*12+MONTH(Ödemeler!$E77))),Ödemeler!$G77)=0,OR(Ödemeler!$F77="",DATE(Özet!$C$4,11,1)&lt;=Ödemeler!$F77)),Ödemeler!$C77,0))</f>
        <v/>
      </c>
      <c r="M78" s="37" t="str">
        <f aca="false">IF(OR(Ödemeler!$A77="",Ödemeler!$G77="",Ödemeler!$E77=""),"",IF(AND(((Özet!$C$4*12+12)-(YEAR(Ödemeler!$E77)*12+MONTH(Ödemeler!$E77)))&gt;=0,MOD(((Özet!$C$4*12+12)-(YEAR(Ödemeler!$E77)*12+MONTH(Ödemeler!$E77))),Ödemeler!$G77)=0,OR(Ödemeler!$F77="",DATE(Özet!$C$4,12,1)&lt;=Ödemeler!$F77)),Ödemeler!$C77,0))</f>
        <v/>
      </c>
      <c r="N78" s="37" t="str">
        <f aca="false">IF(COUNT(B78:M78)=0,"",SUM(B78:M78))</f>
        <v/>
      </c>
    </row>
    <row r="79" customFormat="false" ht="15" hidden="false" customHeight="false" outlineLevel="0" collapsed="false">
      <c r="A79" s="16" t="str">
        <f aca="false">IF(Ödemeler!A78="","",Ödemeler!A78)</f>
        <v/>
      </c>
      <c r="B79" s="36" t="str">
        <f aca="false">IF(OR(Ödemeler!$A78="",Ödemeler!$G78="",Ödemeler!$E78=""),"",IF(AND(((Özet!$C$4*12+1)-(YEAR(Ödemeler!$E78)*12+MONTH(Ödemeler!$E78)))&gt;=0,MOD(((Özet!$C$4*12+1)-(YEAR(Ödemeler!$E78)*12+MONTH(Ödemeler!$E78))),Ödemeler!$G78)=0,OR(Ödemeler!$F78="",DATE(Özet!$C$4,1,1)&lt;=Ödemeler!$F78)),Ödemeler!$C78,0))</f>
        <v/>
      </c>
      <c r="C79" s="36" t="str">
        <f aca="false">IF(OR(Ödemeler!$A78="",Ödemeler!$G78="",Ödemeler!$E78=""),"",IF(AND(((Özet!$C$4*12+2)-(YEAR(Ödemeler!$E78)*12+MONTH(Ödemeler!$E78)))&gt;=0,MOD(((Özet!$C$4*12+2)-(YEAR(Ödemeler!$E78)*12+MONTH(Ödemeler!$E78))),Ödemeler!$G78)=0,OR(Ödemeler!$F78="",DATE(Özet!$C$4,2,1)&lt;=Ödemeler!$F78)),Ödemeler!$C78,0))</f>
        <v/>
      </c>
      <c r="D79" s="36" t="str">
        <f aca="false">IF(OR(Ödemeler!$A78="",Ödemeler!$G78="",Ödemeler!$E78=""),"",IF(AND(((Özet!$C$4*12+3)-(YEAR(Ödemeler!$E78)*12+MONTH(Ödemeler!$E78)))&gt;=0,MOD(((Özet!$C$4*12+3)-(YEAR(Ödemeler!$E78)*12+MONTH(Ödemeler!$E78))),Ödemeler!$G78)=0,OR(Ödemeler!$F78="",DATE(Özet!$C$4,3,1)&lt;=Ödemeler!$F78)),Ödemeler!$C78,0))</f>
        <v/>
      </c>
      <c r="E79" s="36" t="str">
        <f aca="false">IF(OR(Ödemeler!$A78="",Ödemeler!$G78="",Ödemeler!$E78=""),"",IF(AND(((Özet!$C$4*12+4)-(YEAR(Ödemeler!$E78)*12+MONTH(Ödemeler!$E78)))&gt;=0,MOD(((Özet!$C$4*12+4)-(YEAR(Ödemeler!$E78)*12+MONTH(Ödemeler!$E78))),Ödemeler!$G78)=0,OR(Ödemeler!$F78="",DATE(Özet!$C$4,4,1)&lt;=Ödemeler!$F78)),Ödemeler!$C78,0))</f>
        <v/>
      </c>
      <c r="F79" s="36" t="str">
        <f aca="false">IF(OR(Ödemeler!$A78="",Ödemeler!$G78="",Ödemeler!$E78=""),"",IF(AND(((Özet!$C$4*12+5)-(YEAR(Ödemeler!$E78)*12+MONTH(Ödemeler!$E78)))&gt;=0,MOD(((Özet!$C$4*12+5)-(YEAR(Ödemeler!$E78)*12+MONTH(Ödemeler!$E78))),Ödemeler!$G78)=0,OR(Ödemeler!$F78="",DATE(Özet!$C$4,5,1)&lt;=Ödemeler!$F78)),Ödemeler!$C78,0))</f>
        <v/>
      </c>
      <c r="G79" s="36" t="str">
        <f aca="false">IF(OR(Ödemeler!$A78="",Ödemeler!$G78="",Ödemeler!$E78=""),"",IF(AND(((Özet!$C$4*12+6)-(YEAR(Ödemeler!$E78)*12+MONTH(Ödemeler!$E78)))&gt;=0,MOD(((Özet!$C$4*12+6)-(YEAR(Ödemeler!$E78)*12+MONTH(Ödemeler!$E78))),Ödemeler!$G78)=0,OR(Ödemeler!$F78="",DATE(Özet!$C$4,6,1)&lt;=Ödemeler!$F78)),Ödemeler!$C78,0))</f>
        <v/>
      </c>
      <c r="H79" s="36" t="str">
        <f aca="false">IF(OR(Ödemeler!$A78="",Ödemeler!$G78="",Ödemeler!$E78=""),"",IF(AND(((Özet!$C$4*12+7)-(YEAR(Ödemeler!$E78)*12+MONTH(Ödemeler!$E78)))&gt;=0,MOD(((Özet!$C$4*12+7)-(YEAR(Ödemeler!$E78)*12+MONTH(Ödemeler!$E78))),Ödemeler!$G78)=0,OR(Ödemeler!$F78="",DATE(Özet!$C$4,7,1)&lt;=Ödemeler!$F78)),Ödemeler!$C78,0))</f>
        <v/>
      </c>
      <c r="I79" s="36" t="str">
        <f aca="false">IF(OR(Ödemeler!$A78="",Ödemeler!$G78="",Ödemeler!$E78=""),"",IF(AND(((Özet!$C$4*12+8)-(YEAR(Ödemeler!$E78)*12+MONTH(Ödemeler!$E78)))&gt;=0,MOD(((Özet!$C$4*12+8)-(YEAR(Ödemeler!$E78)*12+MONTH(Ödemeler!$E78))),Ödemeler!$G78)=0,OR(Ödemeler!$F78="",DATE(Özet!$C$4,8,1)&lt;=Ödemeler!$F78)),Ödemeler!$C78,0))</f>
        <v/>
      </c>
      <c r="J79" s="36" t="str">
        <f aca="false">IF(OR(Ödemeler!$A78="",Ödemeler!$G78="",Ödemeler!$E78=""),"",IF(AND(((Özet!$C$4*12+9)-(YEAR(Ödemeler!$E78)*12+MONTH(Ödemeler!$E78)))&gt;=0,MOD(((Özet!$C$4*12+9)-(YEAR(Ödemeler!$E78)*12+MONTH(Ödemeler!$E78))),Ödemeler!$G78)=0,OR(Ödemeler!$F78="",DATE(Özet!$C$4,9,1)&lt;=Ödemeler!$F78)),Ödemeler!$C78,0))</f>
        <v/>
      </c>
      <c r="K79" s="36" t="str">
        <f aca="false">IF(OR(Ödemeler!$A78="",Ödemeler!$G78="",Ödemeler!$E78=""),"",IF(AND(((Özet!$C$4*12+10)-(YEAR(Ödemeler!$E78)*12+MONTH(Ödemeler!$E78)))&gt;=0,MOD(((Özet!$C$4*12+10)-(YEAR(Ödemeler!$E78)*12+MONTH(Ödemeler!$E78))),Ödemeler!$G78)=0,OR(Ödemeler!$F78="",DATE(Özet!$C$4,10,1)&lt;=Ödemeler!$F78)),Ödemeler!$C78,0))</f>
        <v/>
      </c>
      <c r="L79" s="36" t="str">
        <f aca="false">IF(OR(Ödemeler!$A78="",Ödemeler!$G78="",Ödemeler!$E78=""),"",IF(AND(((Özet!$C$4*12+11)-(YEAR(Ödemeler!$E78)*12+MONTH(Ödemeler!$E78)))&gt;=0,MOD(((Özet!$C$4*12+11)-(YEAR(Ödemeler!$E78)*12+MONTH(Ödemeler!$E78))),Ödemeler!$G78)=0,OR(Ödemeler!$F78="",DATE(Özet!$C$4,11,1)&lt;=Ödemeler!$F78)),Ödemeler!$C78,0))</f>
        <v/>
      </c>
      <c r="M79" s="36" t="str">
        <f aca="false">IF(OR(Ödemeler!$A78="",Ödemeler!$G78="",Ödemeler!$E78=""),"",IF(AND(((Özet!$C$4*12+12)-(YEAR(Ödemeler!$E78)*12+MONTH(Ödemeler!$E78)))&gt;=0,MOD(((Özet!$C$4*12+12)-(YEAR(Ödemeler!$E78)*12+MONTH(Ödemeler!$E78))),Ödemeler!$G78)=0,OR(Ödemeler!$F78="",DATE(Özet!$C$4,12,1)&lt;=Ödemeler!$F78)),Ödemeler!$C78,0))</f>
        <v/>
      </c>
      <c r="N79" s="36" t="str">
        <f aca="false">IF(COUNT(B79:M79)=0,"",SUM(B79:M79))</f>
        <v/>
      </c>
    </row>
    <row r="80" customFormat="false" ht="15" hidden="false" customHeight="false" outlineLevel="0" collapsed="false">
      <c r="A80" s="30" t="str">
        <f aca="false">IF(Ödemeler!A79="","",Ödemeler!A79)</f>
        <v/>
      </c>
      <c r="B80" s="37" t="str">
        <f aca="false">IF(OR(Ödemeler!$A79="",Ödemeler!$G79="",Ödemeler!$E79=""),"",IF(AND(((Özet!$C$4*12+1)-(YEAR(Ödemeler!$E79)*12+MONTH(Ödemeler!$E79)))&gt;=0,MOD(((Özet!$C$4*12+1)-(YEAR(Ödemeler!$E79)*12+MONTH(Ödemeler!$E79))),Ödemeler!$G79)=0,OR(Ödemeler!$F79="",DATE(Özet!$C$4,1,1)&lt;=Ödemeler!$F79)),Ödemeler!$C79,0))</f>
        <v/>
      </c>
      <c r="C80" s="37" t="str">
        <f aca="false">IF(OR(Ödemeler!$A79="",Ödemeler!$G79="",Ödemeler!$E79=""),"",IF(AND(((Özet!$C$4*12+2)-(YEAR(Ödemeler!$E79)*12+MONTH(Ödemeler!$E79)))&gt;=0,MOD(((Özet!$C$4*12+2)-(YEAR(Ödemeler!$E79)*12+MONTH(Ödemeler!$E79))),Ödemeler!$G79)=0,OR(Ödemeler!$F79="",DATE(Özet!$C$4,2,1)&lt;=Ödemeler!$F79)),Ödemeler!$C79,0))</f>
        <v/>
      </c>
      <c r="D80" s="37" t="str">
        <f aca="false">IF(OR(Ödemeler!$A79="",Ödemeler!$G79="",Ödemeler!$E79=""),"",IF(AND(((Özet!$C$4*12+3)-(YEAR(Ödemeler!$E79)*12+MONTH(Ödemeler!$E79)))&gt;=0,MOD(((Özet!$C$4*12+3)-(YEAR(Ödemeler!$E79)*12+MONTH(Ödemeler!$E79))),Ödemeler!$G79)=0,OR(Ödemeler!$F79="",DATE(Özet!$C$4,3,1)&lt;=Ödemeler!$F79)),Ödemeler!$C79,0))</f>
        <v/>
      </c>
      <c r="E80" s="37" t="str">
        <f aca="false">IF(OR(Ödemeler!$A79="",Ödemeler!$G79="",Ödemeler!$E79=""),"",IF(AND(((Özet!$C$4*12+4)-(YEAR(Ödemeler!$E79)*12+MONTH(Ödemeler!$E79)))&gt;=0,MOD(((Özet!$C$4*12+4)-(YEAR(Ödemeler!$E79)*12+MONTH(Ödemeler!$E79))),Ödemeler!$G79)=0,OR(Ödemeler!$F79="",DATE(Özet!$C$4,4,1)&lt;=Ödemeler!$F79)),Ödemeler!$C79,0))</f>
        <v/>
      </c>
      <c r="F80" s="37" t="str">
        <f aca="false">IF(OR(Ödemeler!$A79="",Ödemeler!$G79="",Ödemeler!$E79=""),"",IF(AND(((Özet!$C$4*12+5)-(YEAR(Ödemeler!$E79)*12+MONTH(Ödemeler!$E79)))&gt;=0,MOD(((Özet!$C$4*12+5)-(YEAR(Ödemeler!$E79)*12+MONTH(Ödemeler!$E79))),Ödemeler!$G79)=0,OR(Ödemeler!$F79="",DATE(Özet!$C$4,5,1)&lt;=Ödemeler!$F79)),Ödemeler!$C79,0))</f>
        <v/>
      </c>
      <c r="G80" s="37" t="str">
        <f aca="false">IF(OR(Ödemeler!$A79="",Ödemeler!$G79="",Ödemeler!$E79=""),"",IF(AND(((Özet!$C$4*12+6)-(YEAR(Ödemeler!$E79)*12+MONTH(Ödemeler!$E79)))&gt;=0,MOD(((Özet!$C$4*12+6)-(YEAR(Ödemeler!$E79)*12+MONTH(Ödemeler!$E79))),Ödemeler!$G79)=0,OR(Ödemeler!$F79="",DATE(Özet!$C$4,6,1)&lt;=Ödemeler!$F79)),Ödemeler!$C79,0))</f>
        <v/>
      </c>
      <c r="H80" s="37" t="str">
        <f aca="false">IF(OR(Ödemeler!$A79="",Ödemeler!$G79="",Ödemeler!$E79=""),"",IF(AND(((Özet!$C$4*12+7)-(YEAR(Ödemeler!$E79)*12+MONTH(Ödemeler!$E79)))&gt;=0,MOD(((Özet!$C$4*12+7)-(YEAR(Ödemeler!$E79)*12+MONTH(Ödemeler!$E79))),Ödemeler!$G79)=0,OR(Ödemeler!$F79="",DATE(Özet!$C$4,7,1)&lt;=Ödemeler!$F79)),Ödemeler!$C79,0))</f>
        <v/>
      </c>
      <c r="I80" s="37" t="str">
        <f aca="false">IF(OR(Ödemeler!$A79="",Ödemeler!$G79="",Ödemeler!$E79=""),"",IF(AND(((Özet!$C$4*12+8)-(YEAR(Ödemeler!$E79)*12+MONTH(Ödemeler!$E79)))&gt;=0,MOD(((Özet!$C$4*12+8)-(YEAR(Ödemeler!$E79)*12+MONTH(Ödemeler!$E79))),Ödemeler!$G79)=0,OR(Ödemeler!$F79="",DATE(Özet!$C$4,8,1)&lt;=Ödemeler!$F79)),Ödemeler!$C79,0))</f>
        <v/>
      </c>
      <c r="J80" s="37" t="str">
        <f aca="false">IF(OR(Ödemeler!$A79="",Ödemeler!$G79="",Ödemeler!$E79=""),"",IF(AND(((Özet!$C$4*12+9)-(YEAR(Ödemeler!$E79)*12+MONTH(Ödemeler!$E79)))&gt;=0,MOD(((Özet!$C$4*12+9)-(YEAR(Ödemeler!$E79)*12+MONTH(Ödemeler!$E79))),Ödemeler!$G79)=0,OR(Ödemeler!$F79="",DATE(Özet!$C$4,9,1)&lt;=Ödemeler!$F79)),Ödemeler!$C79,0))</f>
        <v/>
      </c>
      <c r="K80" s="37" t="str">
        <f aca="false">IF(OR(Ödemeler!$A79="",Ödemeler!$G79="",Ödemeler!$E79=""),"",IF(AND(((Özet!$C$4*12+10)-(YEAR(Ödemeler!$E79)*12+MONTH(Ödemeler!$E79)))&gt;=0,MOD(((Özet!$C$4*12+10)-(YEAR(Ödemeler!$E79)*12+MONTH(Ödemeler!$E79))),Ödemeler!$G79)=0,OR(Ödemeler!$F79="",DATE(Özet!$C$4,10,1)&lt;=Ödemeler!$F79)),Ödemeler!$C79,0))</f>
        <v/>
      </c>
      <c r="L80" s="37" t="str">
        <f aca="false">IF(OR(Ödemeler!$A79="",Ödemeler!$G79="",Ödemeler!$E79=""),"",IF(AND(((Özet!$C$4*12+11)-(YEAR(Ödemeler!$E79)*12+MONTH(Ödemeler!$E79)))&gt;=0,MOD(((Özet!$C$4*12+11)-(YEAR(Ödemeler!$E79)*12+MONTH(Ödemeler!$E79))),Ödemeler!$G79)=0,OR(Ödemeler!$F79="",DATE(Özet!$C$4,11,1)&lt;=Ödemeler!$F79)),Ödemeler!$C79,0))</f>
        <v/>
      </c>
      <c r="M80" s="37" t="str">
        <f aca="false">IF(OR(Ödemeler!$A79="",Ödemeler!$G79="",Ödemeler!$E79=""),"",IF(AND(((Özet!$C$4*12+12)-(YEAR(Ödemeler!$E79)*12+MONTH(Ödemeler!$E79)))&gt;=0,MOD(((Özet!$C$4*12+12)-(YEAR(Ödemeler!$E79)*12+MONTH(Ödemeler!$E79))),Ödemeler!$G79)=0,OR(Ödemeler!$F79="",DATE(Özet!$C$4,12,1)&lt;=Ödemeler!$F79)),Ödemeler!$C79,0))</f>
        <v/>
      </c>
      <c r="N80" s="37" t="str">
        <f aca="false">IF(COUNT(B80:M80)=0,"",SUM(B80:M80))</f>
        <v/>
      </c>
    </row>
    <row r="81" customFormat="false" ht="15" hidden="false" customHeight="false" outlineLevel="0" collapsed="false">
      <c r="A81" s="16" t="str">
        <f aca="false">IF(Ödemeler!A80="","",Ödemeler!A80)</f>
        <v/>
      </c>
      <c r="B81" s="36" t="str">
        <f aca="false">IF(OR(Ödemeler!$A80="",Ödemeler!$G80="",Ödemeler!$E80=""),"",IF(AND(((Özet!$C$4*12+1)-(YEAR(Ödemeler!$E80)*12+MONTH(Ödemeler!$E80)))&gt;=0,MOD(((Özet!$C$4*12+1)-(YEAR(Ödemeler!$E80)*12+MONTH(Ödemeler!$E80))),Ödemeler!$G80)=0,OR(Ödemeler!$F80="",DATE(Özet!$C$4,1,1)&lt;=Ödemeler!$F80)),Ödemeler!$C80,0))</f>
        <v/>
      </c>
      <c r="C81" s="36" t="str">
        <f aca="false">IF(OR(Ödemeler!$A80="",Ödemeler!$G80="",Ödemeler!$E80=""),"",IF(AND(((Özet!$C$4*12+2)-(YEAR(Ödemeler!$E80)*12+MONTH(Ödemeler!$E80)))&gt;=0,MOD(((Özet!$C$4*12+2)-(YEAR(Ödemeler!$E80)*12+MONTH(Ödemeler!$E80))),Ödemeler!$G80)=0,OR(Ödemeler!$F80="",DATE(Özet!$C$4,2,1)&lt;=Ödemeler!$F80)),Ödemeler!$C80,0))</f>
        <v/>
      </c>
      <c r="D81" s="36" t="str">
        <f aca="false">IF(OR(Ödemeler!$A80="",Ödemeler!$G80="",Ödemeler!$E80=""),"",IF(AND(((Özet!$C$4*12+3)-(YEAR(Ödemeler!$E80)*12+MONTH(Ödemeler!$E80)))&gt;=0,MOD(((Özet!$C$4*12+3)-(YEAR(Ödemeler!$E80)*12+MONTH(Ödemeler!$E80))),Ödemeler!$G80)=0,OR(Ödemeler!$F80="",DATE(Özet!$C$4,3,1)&lt;=Ödemeler!$F80)),Ödemeler!$C80,0))</f>
        <v/>
      </c>
      <c r="E81" s="36" t="str">
        <f aca="false">IF(OR(Ödemeler!$A80="",Ödemeler!$G80="",Ödemeler!$E80=""),"",IF(AND(((Özet!$C$4*12+4)-(YEAR(Ödemeler!$E80)*12+MONTH(Ödemeler!$E80)))&gt;=0,MOD(((Özet!$C$4*12+4)-(YEAR(Ödemeler!$E80)*12+MONTH(Ödemeler!$E80))),Ödemeler!$G80)=0,OR(Ödemeler!$F80="",DATE(Özet!$C$4,4,1)&lt;=Ödemeler!$F80)),Ödemeler!$C80,0))</f>
        <v/>
      </c>
      <c r="F81" s="36" t="str">
        <f aca="false">IF(OR(Ödemeler!$A80="",Ödemeler!$G80="",Ödemeler!$E80=""),"",IF(AND(((Özet!$C$4*12+5)-(YEAR(Ödemeler!$E80)*12+MONTH(Ödemeler!$E80)))&gt;=0,MOD(((Özet!$C$4*12+5)-(YEAR(Ödemeler!$E80)*12+MONTH(Ödemeler!$E80))),Ödemeler!$G80)=0,OR(Ödemeler!$F80="",DATE(Özet!$C$4,5,1)&lt;=Ödemeler!$F80)),Ödemeler!$C80,0))</f>
        <v/>
      </c>
      <c r="G81" s="36" t="str">
        <f aca="false">IF(OR(Ödemeler!$A80="",Ödemeler!$G80="",Ödemeler!$E80=""),"",IF(AND(((Özet!$C$4*12+6)-(YEAR(Ödemeler!$E80)*12+MONTH(Ödemeler!$E80)))&gt;=0,MOD(((Özet!$C$4*12+6)-(YEAR(Ödemeler!$E80)*12+MONTH(Ödemeler!$E80))),Ödemeler!$G80)=0,OR(Ödemeler!$F80="",DATE(Özet!$C$4,6,1)&lt;=Ödemeler!$F80)),Ödemeler!$C80,0))</f>
        <v/>
      </c>
      <c r="H81" s="36" t="str">
        <f aca="false">IF(OR(Ödemeler!$A80="",Ödemeler!$G80="",Ödemeler!$E80=""),"",IF(AND(((Özet!$C$4*12+7)-(YEAR(Ödemeler!$E80)*12+MONTH(Ödemeler!$E80)))&gt;=0,MOD(((Özet!$C$4*12+7)-(YEAR(Ödemeler!$E80)*12+MONTH(Ödemeler!$E80))),Ödemeler!$G80)=0,OR(Ödemeler!$F80="",DATE(Özet!$C$4,7,1)&lt;=Ödemeler!$F80)),Ödemeler!$C80,0))</f>
        <v/>
      </c>
      <c r="I81" s="36" t="str">
        <f aca="false">IF(OR(Ödemeler!$A80="",Ödemeler!$G80="",Ödemeler!$E80=""),"",IF(AND(((Özet!$C$4*12+8)-(YEAR(Ödemeler!$E80)*12+MONTH(Ödemeler!$E80)))&gt;=0,MOD(((Özet!$C$4*12+8)-(YEAR(Ödemeler!$E80)*12+MONTH(Ödemeler!$E80))),Ödemeler!$G80)=0,OR(Ödemeler!$F80="",DATE(Özet!$C$4,8,1)&lt;=Ödemeler!$F80)),Ödemeler!$C80,0))</f>
        <v/>
      </c>
      <c r="J81" s="36" t="str">
        <f aca="false">IF(OR(Ödemeler!$A80="",Ödemeler!$G80="",Ödemeler!$E80=""),"",IF(AND(((Özet!$C$4*12+9)-(YEAR(Ödemeler!$E80)*12+MONTH(Ödemeler!$E80)))&gt;=0,MOD(((Özet!$C$4*12+9)-(YEAR(Ödemeler!$E80)*12+MONTH(Ödemeler!$E80))),Ödemeler!$G80)=0,OR(Ödemeler!$F80="",DATE(Özet!$C$4,9,1)&lt;=Ödemeler!$F80)),Ödemeler!$C80,0))</f>
        <v/>
      </c>
      <c r="K81" s="36" t="str">
        <f aca="false">IF(OR(Ödemeler!$A80="",Ödemeler!$G80="",Ödemeler!$E80=""),"",IF(AND(((Özet!$C$4*12+10)-(YEAR(Ödemeler!$E80)*12+MONTH(Ödemeler!$E80)))&gt;=0,MOD(((Özet!$C$4*12+10)-(YEAR(Ödemeler!$E80)*12+MONTH(Ödemeler!$E80))),Ödemeler!$G80)=0,OR(Ödemeler!$F80="",DATE(Özet!$C$4,10,1)&lt;=Ödemeler!$F80)),Ödemeler!$C80,0))</f>
        <v/>
      </c>
      <c r="L81" s="36" t="str">
        <f aca="false">IF(OR(Ödemeler!$A80="",Ödemeler!$G80="",Ödemeler!$E80=""),"",IF(AND(((Özet!$C$4*12+11)-(YEAR(Ödemeler!$E80)*12+MONTH(Ödemeler!$E80)))&gt;=0,MOD(((Özet!$C$4*12+11)-(YEAR(Ödemeler!$E80)*12+MONTH(Ödemeler!$E80))),Ödemeler!$G80)=0,OR(Ödemeler!$F80="",DATE(Özet!$C$4,11,1)&lt;=Ödemeler!$F80)),Ödemeler!$C80,0))</f>
        <v/>
      </c>
      <c r="M81" s="36" t="str">
        <f aca="false">IF(OR(Ödemeler!$A80="",Ödemeler!$G80="",Ödemeler!$E80=""),"",IF(AND(((Özet!$C$4*12+12)-(YEAR(Ödemeler!$E80)*12+MONTH(Ödemeler!$E80)))&gt;=0,MOD(((Özet!$C$4*12+12)-(YEAR(Ödemeler!$E80)*12+MONTH(Ödemeler!$E80))),Ödemeler!$G80)=0,OR(Ödemeler!$F80="",DATE(Özet!$C$4,12,1)&lt;=Ödemeler!$F80)),Ödemeler!$C80,0))</f>
        <v/>
      </c>
      <c r="N81" s="36" t="str">
        <f aca="false">IF(COUNT(B81:M81)=0,"",SUM(B81:M81))</f>
        <v/>
      </c>
    </row>
    <row r="82" customFormat="false" ht="15" hidden="false" customHeight="false" outlineLevel="0" collapsed="false">
      <c r="A82" s="30" t="str">
        <f aca="false">IF(Ödemeler!A81="","",Ödemeler!A81)</f>
        <v/>
      </c>
      <c r="B82" s="37" t="str">
        <f aca="false">IF(OR(Ödemeler!$A81="",Ödemeler!$G81="",Ödemeler!$E81=""),"",IF(AND(((Özet!$C$4*12+1)-(YEAR(Ödemeler!$E81)*12+MONTH(Ödemeler!$E81)))&gt;=0,MOD(((Özet!$C$4*12+1)-(YEAR(Ödemeler!$E81)*12+MONTH(Ödemeler!$E81))),Ödemeler!$G81)=0,OR(Ödemeler!$F81="",DATE(Özet!$C$4,1,1)&lt;=Ödemeler!$F81)),Ödemeler!$C81,0))</f>
        <v/>
      </c>
      <c r="C82" s="37" t="str">
        <f aca="false">IF(OR(Ödemeler!$A81="",Ödemeler!$G81="",Ödemeler!$E81=""),"",IF(AND(((Özet!$C$4*12+2)-(YEAR(Ödemeler!$E81)*12+MONTH(Ödemeler!$E81)))&gt;=0,MOD(((Özet!$C$4*12+2)-(YEAR(Ödemeler!$E81)*12+MONTH(Ödemeler!$E81))),Ödemeler!$G81)=0,OR(Ödemeler!$F81="",DATE(Özet!$C$4,2,1)&lt;=Ödemeler!$F81)),Ödemeler!$C81,0))</f>
        <v/>
      </c>
      <c r="D82" s="37" t="str">
        <f aca="false">IF(OR(Ödemeler!$A81="",Ödemeler!$G81="",Ödemeler!$E81=""),"",IF(AND(((Özet!$C$4*12+3)-(YEAR(Ödemeler!$E81)*12+MONTH(Ödemeler!$E81)))&gt;=0,MOD(((Özet!$C$4*12+3)-(YEAR(Ödemeler!$E81)*12+MONTH(Ödemeler!$E81))),Ödemeler!$G81)=0,OR(Ödemeler!$F81="",DATE(Özet!$C$4,3,1)&lt;=Ödemeler!$F81)),Ödemeler!$C81,0))</f>
        <v/>
      </c>
      <c r="E82" s="37" t="str">
        <f aca="false">IF(OR(Ödemeler!$A81="",Ödemeler!$G81="",Ödemeler!$E81=""),"",IF(AND(((Özet!$C$4*12+4)-(YEAR(Ödemeler!$E81)*12+MONTH(Ödemeler!$E81)))&gt;=0,MOD(((Özet!$C$4*12+4)-(YEAR(Ödemeler!$E81)*12+MONTH(Ödemeler!$E81))),Ödemeler!$G81)=0,OR(Ödemeler!$F81="",DATE(Özet!$C$4,4,1)&lt;=Ödemeler!$F81)),Ödemeler!$C81,0))</f>
        <v/>
      </c>
      <c r="F82" s="37" t="str">
        <f aca="false">IF(OR(Ödemeler!$A81="",Ödemeler!$G81="",Ödemeler!$E81=""),"",IF(AND(((Özet!$C$4*12+5)-(YEAR(Ödemeler!$E81)*12+MONTH(Ödemeler!$E81)))&gt;=0,MOD(((Özet!$C$4*12+5)-(YEAR(Ödemeler!$E81)*12+MONTH(Ödemeler!$E81))),Ödemeler!$G81)=0,OR(Ödemeler!$F81="",DATE(Özet!$C$4,5,1)&lt;=Ödemeler!$F81)),Ödemeler!$C81,0))</f>
        <v/>
      </c>
      <c r="G82" s="37" t="str">
        <f aca="false">IF(OR(Ödemeler!$A81="",Ödemeler!$G81="",Ödemeler!$E81=""),"",IF(AND(((Özet!$C$4*12+6)-(YEAR(Ödemeler!$E81)*12+MONTH(Ödemeler!$E81)))&gt;=0,MOD(((Özet!$C$4*12+6)-(YEAR(Ödemeler!$E81)*12+MONTH(Ödemeler!$E81))),Ödemeler!$G81)=0,OR(Ödemeler!$F81="",DATE(Özet!$C$4,6,1)&lt;=Ödemeler!$F81)),Ödemeler!$C81,0))</f>
        <v/>
      </c>
      <c r="H82" s="37" t="str">
        <f aca="false">IF(OR(Ödemeler!$A81="",Ödemeler!$G81="",Ödemeler!$E81=""),"",IF(AND(((Özet!$C$4*12+7)-(YEAR(Ödemeler!$E81)*12+MONTH(Ödemeler!$E81)))&gt;=0,MOD(((Özet!$C$4*12+7)-(YEAR(Ödemeler!$E81)*12+MONTH(Ödemeler!$E81))),Ödemeler!$G81)=0,OR(Ödemeler!$F81="",DATE(Özet!$C$4,7,1)&lt;=Ödemeler!$F81)),Ödemeler!$C81,0))</f>
        <v/>
      </c>
      <c r="I82" s="37" t="str">
        <f aca="false">IF(OR(Ödemeler!$A81="",Ödemeler!$G81="",Ödemeler!$E81=""),"",IF(AND(((Özet!$C$4*12+8)-(YEAR(Ödemeler!$E81)*12+MONTH(Ödemeler!$E81)))&gt;=0,MOD(((Özet!$C$4*12+8)-(YEAR(Ödemeler!$E81)*12+MONTH(Ödemeler!$E81))),Ödemeler!$G81)=0,OR(Ödemeler!$F81="",DATE(Özet!$C$4,8,1)&lt;=Ödemeler!$F81)),Ödemeler!$C81,0))</f>
        <v/>
      </c>
      <c r="J82" s="37" t="str">
        <f aca="false">IF(OR(Ödemeler!$A81="",Ödemeler!$G81="",Ödemeler!$E81=""),"",IF(AND(((Özet!$C$4*12+9)-(YEAR(Ödemeler!$E81)*12+MONTH(Ödemeler!$E81)))&gt;=0,MOD(((Özet!$C$4*12+9)-(YEAR(Ödemeler!$E81)*12+MONTH(Ödemeler!$E81))),Ödemeler!$G81)=0,OR(Ödemeler!$F81="",DATE(Özet!$C$4,9,1)&lt;=Ödemeler!$F81)),Ödemeler!$C81,0))</f>
        <v/>
      </c>
      <c r="K82" s="37" t="str">
        <f aca="false">IF(OR(Ödemeler!$A81="",Ödemeler!$G81="",Ödemeler!$E81=""),"",IF(AND(((Özet!$C$4*12+10)-(YEAR(Ödemeler!$E81)*12+MONTH(Ödemeler!$E81)))&gt;=0,MOD(((Özet!$C$4*12+10)-(YEAR(Ödemeler!$E81)*12+MONTH(Ödemeler!$E81))),Ödemeler!$G81)=0,OR(Ödemeler!$F81="",DATE(Özet!$C$4,10,1)&lt;=Ödemeler!$F81)),Ödemeler!$C81,0))</f>
        <v/>
      </c>
      <c r="L82" s="37" t="str">
        <f aca="false">IF(OR(Ödemeler!$A81="",Ödemeler!$G81="",Ödemeler!$E81=""),"",IF(AND(((Özet!$C$4*12+11)-(YEAR(Ödemeler!$E81)*12+MONTH(Ödemeler!$E81)))&gt;=0,MOD(((Özet!$C$4*12+11)-(YEAR(Ödemeler!$E81)*12+MONTH(Ödemeler!$E81))),Ödemeler!$G81)=0,OR(Ödemeler!$F81="",DATE(Özet!$C$4,11,1)&lt;=Ödemeler!$F81)),Ödemeler!$C81,0))</f>
        <v/>
      </c>
      <c r="M82" s="37" t="str">
        <f aca="false">IF(OR(Ödemeler!$A81="",Ödemeler!$G81="",Ödemeler!$E81=""),"",IF(AND(((Özet!$C$4*12+12)-(YEAR(Ödemeler!$E81)*12+MONTH(Ödemeler!$E81)))&gt;=0,MOD(((Özet!$C$4*12+12)-(YEAR(Ödemeler!$E81)*12+MONTH(Ödemeler!$E81))),Ödemeler!$G81)=0,OR(Ödemeler!$F81="",DATE(Özet!$C$4,12,1)&lt;=Ödemeler!$F81)),Ödemeler!$C81,0))</f>
        <v/>
      </c>
      <c r="N82" s="37" t="str">
        <f aca="false">IF(COUNT(B82:M82)=0,"",SUM(B82:M82))</f>
        <v/>
      </c>
    </row>
    <row r="83" customFormat="false" ht="15" hidden="false" customHeight="false" outlineLevel="0" collapsed="false">
      <c r="A83" s="16" t="str">
        <f aca="false">IF(Ödemeler!A82="","",Ödemeler!A82)</f>
        <v/>
      </c>
      <c r="B83" s="36" t="str">
        <f aca="false">IF(OR(Ödemeler!$A82="",Ödemeler!$G82="",Ödemeler!$E82=""),"",IF(AND(((Özet!$C$4*12+1)-(YEAR(Ödemeler!$E82)*12+MONTH(Ödemeler!$E82)))&gt;=0,MOD(((Özet!$C$4*12+1)-(YEAR(Ödemeler!$E82)*12+MONTH(Ödemeler!$E82))),Ödemeler!$G82)=0,OR(Ödemeler!$F82="",DATE(Özet!$C$4,1,1)&lt;=Ödemeler!$F82)),Ödemeler!$C82,0))</f>
        <v/>
      </c>
      <c r="C83" s="36" t="str">
        <f aca="false">IF(OR(Ödemeler!$A82="",Ödemeler!$G82="",Ödemeler!$E82=""),"",IF(AND(((Özet!$C$4*12+2)-(YEAR(Ödemeler!$E82)*12+MONTH(Ödemeler!$E82)))&gt;=0,MOD(((Özet!$C$4*12+2)-(YEAR(Ödemeler!$E82)*12+MONTH(Ödemeler!$E82))),Ödemeler!$G82)=0,OR(Ödemeler!$F82="",DATE(Özet!$C$4,2,1)&lt;=Ödemeler!$F82)),Ödemeler!$C82,0))</f>
        <v/>
      </c>
      <c r="D83" s="36" t="str">
        <f aca="false">IF(OR(Ödemeler!$A82="",Ödemeler!$G82="",Ödemeler!$E82=""),"",IF(AND(((Özet!$C$4*12+3)-(YEAR(Ödemeler!$E82)*12+MONTH(Ödemeler!$E82)))&gt;=0,MOD(((Özet!$C$4*12+3)-(YEAR(Ödemeler!$E82)*12+MONTH(Ödemeler!$E82))),Ödemeler!$G82)=0,OR(Ödemeler!$F82="",DATE(Özet!$C$4,3,1)&lt;=Ödemeler!$F82)),Ödemeler!$C82,0))</f>
        <v/>
      </c>
      <c r="E83" s="36" t="str">
        <f aca="false">IF(OR(Ödemeler!$A82="",Ödemeler!$G82="",Ödemeler!$E82=""),"",IF(AND(((Özet!$C$4*12+4)-(YEAR(Ödemeler!$E82)*12+MONTH(Ödemeler!$E82)))&gt;=0,MOD(((Özet!$C$4*12+4)-(YEAR(Ödemeler!$E82)*12+MONTH(Ödemeler!$E82))),Ödemeler!$G82)=0,OR(Ödemeler!$F82="",DATE(Özet!$C$4,4,1)&lt;=Ödemeler!$F82)),Ödemeler!$C82,0))</f>
        <v/>
      </c>
      <c r="F83" s="36" t="str">
        <f aca="false">IF(OR(Ödemeler!$A82="",Ödemeler!$G82="",Ödemeler!$E82=""),"",IF(AND(((Özet!$C$4*12+5)-(YEAR(Ödemeler!$E82)*12+MONTH(Ödemeler!$E82)))&gt;=0,MOD(((Özet!$C$4*12+5)-(YEAR(Ödemeler!$E82)*12+MONTH(Ödemeler!$E82))),Ödemeler!$G82)=0,OR(Ödemeler!$F82="",DATE(Özet!$C$4,5,1)&lt;=Ödemeler!$F82)),Ödemeler!$C82,0))</f>
        <v/>
      </c>
      <c r="G83" s="36" t="str">
        <f aca="false">IF(OR(Ödemeler!$A82="",Ödemeler!$G82="",Ödemeler!$E82=""),"",IF(AND(((Özet!$C$4*12+6)-(YEAR(Ödemeler!$E82)*12+MONTH(Ödemeler!$E82)))&gt;=0,MOD(((Özet!$C$4*12+6)-(YEAR(Ödemeler!$E82)*12+MONTH(Ödemeler!$E82))),Ödemeler!$G82)=0,OR(Ödemeler!$F82="",DATE(Özet!$C$4,6,1)&lt;=Ödemeler!$F82)),Ödemeler!$C82,0))</f>
        <v/>
      </c>
      <c r="H83" s="36" t="str">
        <f aca="false">IF(OR(Ödemeler!$A82="",Ödemeler!$G82="",Ödemeler!$E82=""),"",IF(AND(((Özet!$C$4*12+7)-(YEAR(Ödemeler!$E82)*12+MONTH(Ödemeler!$E82)))&gt;=0,MOD(((Özet!$C$4*12+7)-(YEAR(Ödemeler!$E82)*12+MONTH(Ödemeler!$E82))),Ödemeler!$G82)=0,OR(Ödemeler!$F82="",DATE(Özet!$C$4,7,1)&lt;=Ödemeler!$F82)),Ödemeler!$C82,0))</f>
        <v/>
      </c>
      <c r="I83" s="36" t="str">
        <f aca="false">IF(OR(Ödemeler!$A82="",Ödemeler!$G82="",Ödemeler!$E82=""),"",IF(AND(((Özet!$C$4*12+8)-(YEAR(Ödemeler!$E82)*12+MONTH(Ödemeler!$E82)))&gt;=0,MOD(((Özet!$C$4*12+8)-(YEAR(Ödemeler!$E82)*12+MONTH(Ödemeler!$E82))),Ödemeler!$G82)=0,OR(Ödemeler!$F82="",DATE(Özet!$C$4,8,1)&lt;=Ödemeler!$F82)),Ödemeler!$C82,0))</f>
        <v/>
      </c>
      <c r="J83" s="36" t="str">
        <f aca="false">IF(OR(Ödemeler!$A82="",Ödemeler!$G82="",Ödemeler!$E82=""),"",IF(AND(((Özet!$C$4*12+9)-(YEAR(Ödemeler!$E82)*12+MONTH(Ödemeler!$E82)))&gt;=0,MOD(((Özet!$C$4*12+9)-(YEAR(Ödemeler!$E82)*12+MONTH(Ödemeler!$E82))),Ödemeler!$G82)=0,OR(Ödemeler!$F82="",DATE(Özet!$C$4,9,1)&lt;=Ödemeler!$F82)),Ödemeler!$C82,0))</f>
        <v/>
      </c>
      <c r="K83" s="36" t="str">
        <f aca="false">IF(OR(Ödemeler!$A82="",Ödemeler!$G82="",Ödemeler!$E82=""),"",IF(AND(((Özet!$C$4*12+10)-(YEAR(Ödemeler!$E82)*12+MONTH(Ödemeler!$E82)))&gt;=0,MOD(((Özet!$C$4*12+10)-(YEAR(Ödemeler!$E82)*12+MONTH(Ödemeler!$E82))),Ödemeler!$G82)=0,OR(Ödemeler!$F82="",DATE(Özet!$C$4,10,1)&lt;=Ödemeler!$F82)),Ödemeler!$C82,0))</f>
        <v/>
      </c>
      <c r="L83" s="36" t="str">
        <f aca="false">IF(OR(Ödemeler!$A82="",Ödemeler!$G82="",Ödemeler!$E82=""),"",IF(AND(((Özet!$C$4*12+11)-(YEAR(Ödemeler!$E82)*12+MONTH(Ödemeler!$E82)))&gt;=0,MOD(((Özet!$C$4*12+11)-(YEAR(Ödemeler!$E82)*12+MONTH(Ödemeler!$E82))),Ödemeler!$G82)=0,OR(Ödemeler!$F82="",DATE(Özet!$C$4,11,1)&lt;=Ödemeler!$F82)),Ödemeler!$C82,0))</f>
        <v/>
      </c>
      <c r="M83" s="36" t="str">
        <f aca="false">IF(OR(Ödemeler!$A82="",Ödemeler!$G82="",Ödemeler!$E82=""),"",IF(AND(((Özet!$C$4*12+12)-(YEAR(Ödemeler!$E82)*12+MONTH(Ödemeler!$E82)))&gt;=0,MOD(((Özet!$C$4*12+12)-(YEAR(Ödemeler!$E82)*12+MONTH(Ödemeler!$E82))),Ödemeler!$G82)=0,OR(Ödemeler!$F82="",DATE(Özet!$C$4,12,1)&lt;=Ödemeler!$F82)),Ödemeler!$C82,0))</f>
        <v/>
      </c>
      <c r="N83" s="36" t="str">
        <f aca="false">IF(COUNT(B83:M83)=0,"",SUM(B83:M83))</f>
        <v/>
      </c>
    </row>
    <row r="84" customFormat="false" ht="15" hidden="false" customHeight="false" outlineLevel="0" collapsed="false">
      <c r="A84" s="30" t="str">
        <f aca="false">IF(Ödemeler!A83="","",Ödemeler!A83)</f>
        <v/>
      </c>
      <c r="B84" s="37" t="str">
        <f aca="false">IF(OR(Ödemeler!$A83="",Ödemeler!$G83="",Ödemeler!$E83=""),"",IF(AND(((Özet!$C$4*12+1)-(YEAR(Ödemeler!$E83)*12+MONTH(Ödemeler!$E83)))&gt;=0,MOD(((Özet!$C$4*12+1)-(YEAR(Ödemeler!$E83)*12+MONTH(Ödemeler!$E83))),Ödemeler!$G83)=0,OR(Ödemeler!$F83="",DATE(Özet!$C$4,1,1)&lt;=Ödemeler!$F83)),Ödemeler!$C83,0))</f>
        <v/>
      </c>
      <c r="C84" s="37" t="str">
        <f aca="false">IF(OR(Ödemeler!$A83="",Ödemeler!$G83="",Ödemeler!$E83=""),"",IF(AND(((Özet!$C$4*12+2)-(YEAR(Ödemeler!$E83)*12+MONTH(Ödemeler!$E83)))&gt;=0,MOD(((Özet!$C$4*12+2)-(YEAR(Ödemeler!$E83)*12+MONTH(Ödemeler!$E83))),Ödemeler!$G83)=0,OR(Ödemeler!$F83="",DATE(Özet!$C$4,2,1)&lt;=Ödemeler!$F83)),Ödemeler!$C83,0))</f>
        <v/>
      </c>
      <c r="D84" s="37" t="str">
        <f aca="false">IF(OR(Ödemeler!$A83="",Ödemeler!$G83="",Ödemeler!$E83=""),"",IF(AND(((Özet!$C$4*12+3)-(YEAR(Ödemeler!$E83)*12+MONTH(Ödemeler!$E83)))&gt;=0,MOD(((Özet!$C$4*12+3)-(YEAR(Ödemeler!$E83)*12+MONTH(Ödemeler!$E83))),Ödemeler!$G83)=0,OR(Ödemeler!$F83="",DATE(Özet!$C$4,3,1)&lt;=Ödemeler!$F83)),Ödemeler!$C83,0))</f>
        <v/>
      </c>
      <c r="E84" s="37" t="str">
        <f aca="false">IF(OR(Ödemeler!$A83="",Ödemeler!$G83="",Ödemeler!$E83=""),"",IF(AND(((Özet!$C$4*12+4)-(YEAR(Ödemeler!$E83)*12+MONTH(Ödemeler!$E83)))&gt;=0,MOD(((Özet!$C$4*12+4)-(YEAR(Ödemeler!$E83)*12+MONTH(Ödemeler!$E83))),Ödemeler!$G83)=0,OR(Ödemeler!$F83="",DATE(Özet!$C$4,4,1)&lt;=Ödemeler!$F83)),Ödemeler!$C83,0))</f>
        <v/>
      </c>
      <c r="F84" s="37" t="str">
        <f aca="false">IF(OR(Ödemeler!$A83="",Ödemeler!$G83="",Ödemeler!$E83=""),"",IF(AND(((Özet!$C$4*12+5)-(YEAR(Ödemeler!$E83)*12+MONTH(Ödemeler!$E83)))&gt;=0,MOD(((Özet!$C$4*12+5)-(YEAR(Ödemeler!$E83)*12+MONTH(Ödemeler!$E83))),Ödemeler!$G83)=0,OR(Ödemeler!$F83="",DATE(Özet!$C$4,5,1)&lt;=Ödemeler!$F83)),Ödemeler!$C83,0))</f>
        <v/>
      </c>
      <c r="G84" s="37" t="str">
        <f aca="false">IF(OR(Ödemeler!$A83="",Ödemeler!$G83="",Ödemeler!$E83=""),"",IF(AND(((Özet!$C$4*12+6)-(YEAR(Ödemeler!$E83)*12+MONTH(Ödemeler!$E83)))&gt;=0,MOD(((Özet!$C$4*12+6)-(YEAR(Ödemeler!$E83)*12+MONTH(Ödemeler!$E83))),Ödemeler!$G83)=0,OR(Ödemeler!$F83="",DATE(Özet!$C$4,6,1)&lt;=Ödemeler!$F83)),Ödemeler!$C83,0))</f>
        <v/>
      </c>
      <c r="H84" s="37" t="str">
        <f aca="false">IF(OR(Ödemeler!$A83="",Ödemeler!$G83="",Ödemeler!$E83=""),"",IF(AND(((Özet!$C$4*12+7)-(YEAR(Ödemeler!$E83)*12+MONTH(Ödemeler!$E83)))&gt;=0,MOD(((Özet!$C$4*12+7)-(YEAR(Ödemeler!$E83)*12+MONTH(Ödemeler!$E83))),Ödemeler!$G83)=0,OR(Ödemeler!$F83="",DATE(Özet!$C$4,7,1)&lt;=Ödemeler!$F83)),Ödemeler!$C83,0))</f>
        <v/>
      </c>
      <c r="I84" s="37" t="str">
        <f aca="false">IF(OR(Ödemeler!$A83="",Ödemeler!$G83="",Ödemeler!$E83=""),"",IF(AND(((Özet!$C$4*12+8)-(YEAR(Ödemeler!$E83)*12+MONTH(Ödemeler!$E83)))&gt;=0,MOD(((Özet!$C$4*12+8)-(YEAR(Ödemeler!$E83)*12+MONTH(Ödemeler!$E83))),Ödemeler!$G83)=0,OR(Ödemeler!$F83="",DATE(Özet!$C$4,8,1)&lt;=Ödemeler!$F83)),Ödemeler!$C83,0))</f>
        <v/>
      </c>
      <c r="J84" s="37" t="str">
        <f aca="false">IF(OR(Ödemeler!$A83="",Ödemeler!$G83="",Ödemeler!$E83=""),"",IF(AND(((Özet!$C$4*12+9)-(YEAR(Ödemeler!$E83)*12+MONTH(Ödemeler!$E83)))&gt;=0,MOD(((Özet!$C$4*12+9)-(YEAR(Ödemeler!$E83)*12+MONTH(Ödemeler!$E83))),Ödemeler!$G83)=0,OR(Ödemeler!$F83="",DATE(Özet!$C$4,9,1)&lt;=Ödemeler!$F83)),Ödemeler!$C83,0))</f>
        <v/>
      </c>
      <c r="K84" s="37" t="str">
        <f aca="false">IF(OR(Ödemeler!$A83="",Ödemeler!$G83="",Ödemeler!$E83=""),"",IF(AND(((Özet!$C$4*12+10)-(YEAR(Ödemeler!$E83)*12+MONTH(Ödemeler!$E83)))&gt;=0,MOD(((Özet!$C$4*12+10)-(YEAR(Ödemeler!$E83)*12+MONTH(Ödemeler!$E83))),Ödemeler!$G83)=0,OR(Ödemeler!$F83="",DATE(Özet!$C$4,10,1)&lt;=Ödemeler!$F83)),Ödemeler!$C83,0))</f>
        <v/>
      </c>
      <c r="L84" s="37" t="str">
        <f aca="false">IF(OR(Ödemeler!$A83="",Ödemeler!$G83="",Ödemeler!$E83=""),"",IF(AND(((Özet!$C$4*12+11)-(YEAR(Ödemeler!$E83)*12+MONTH(Ödemeler!$E83)))&gt;=0,MOD(((Özet!$C$4*12+11)-(YEAR(Ödemeler!$E83)*12+MONTH(Ödemeler!$E83))),Ödemeler!$G83)=0,OR(Ödemeler!$F83="",DATE(Özet!$C$4,11,1)&lt;=Ödemeler!$F83)),Ödemeler!$C83,0))</f>
        <v/>
      </c>
      <c r="M84" s="37" t="str">
        <f aca="false">IF(OR(Ödemeler!$A83="",Ödemeler!$G83="",Ödemeler!$E83=""),"",IF(AND(((Özet!$C$4*12+12)-(YEAR(Ödemeler!$E83)*12+MONTH(Ödemeler!$E83)))&gt;=0,MOD(((Özet!$C$4*12+12)-(YEAR(Ödemeler!$E83)*12+MONTH(Ödemeler!$E83))),Ödemeler!$G83)=0,OR(Ödemeler!$F83="",DATE(Özet!$C$4,12,1)&lt;=Ödemeler!$F83)),Ödemeler!$C83,0))</f>
        <v/>
      </c>
      <c r="N84" s="37" t="str">
        <f aca="false">IF(COUNT(B84:M84)=0,"",SUM(B84:M84))</f>
        <v/>
      </c>
    </row>
    <row r="85" customFormat="false" ht="15" hidden="false" customHeight="false" outlineLevel="0" collapsed="false">
      <c r="A85" s="16" t="str">
        <f aca="false">IF(Ödemeler!A84="","",Ödemeler!A84)</f>
        <v/>
      </c>
      <c r="B85" s="36" t="str">
        <f aca="false">IF(OR(Ödemeler!$A84="",Ödemeler!$G84="",Ödemeler!$E84=""),"",IF(AND(((Özet!$C$4*12+1)-(YEAR(Ödemeler!$E84)*12+MONTH(Ödemeler!$E84)))&gt;=0,MOD(((Özet!$C$4*12+1)-(YEAR(Ödemeler!$E84)*12+MONTH(Ödemeler!$E84))),Ödemeler!$G84)=0,OR(Ödemeler!$F84="",DATE(Özet!$C$4,1,1)&lt;=Ödemeler!$F84)),Ödemeler!$C84,0))</f>
        <v/>
      </c>
      <c r="C85" s="36" t="str">
        <f aca="false">IF(OR(Ödemeler!$A84="",Ödemeler!$G84="",Ödemeler!$E84=""),"",IF(AND(((Özet!$C$4*12+2)-(YEAR(Ödemeler!$E84)*12+MONTH(Ödemeler!$E84)))&gt;=0,MOD(((Özet!$C$4*12+2)-(YEAR(Ödemeler!$E84)*12+MONTH(Ödemeler!$E84))),Ödemeler!$G84)=0,OR(Ödemeler!$F84="",DATE(Özet!$C$4,2,1)&lt;=Ödemeler!$F84)),Ödemeler!$C84,0))</f>
        <v/>
      </c>
      <c r="D85" s="36" t="str">
        <f aca="false">IF(OR(Ödemeler!$A84="",Ödemeler!$G84="",Ödemeler!$E84=""),"",IF(AND(((Özet!$C$4*12+3)-(YEAR(Ödemeler!$E84)*12+MONTH(Ödemeler!$E84)))&gt;=0,MOD(((Özet!$C$4*12+3)-(YEAR(Ödemeler!$E84)*12+MONTH(Ödemeler!$E84))),Ödemeler!$G84)=0,OR(Ödemeler!$F84="",DATE(Özet!$C$4,3,1)&lt;=Ödemeler!$F84)),Ödemeler!$C84,0))</f>
        <v/>
      </c>
      <c r="E85" s="36" t="str">
        <f aca="false">IF(OR(Ödemeler!$A84="",Ödemeler!$G84="",Ödemeler!$E84=""),"",IF(AND(((Özet!$C$4*12+4)-(YEAR(Ödemeler!$E84)*12+MONTH(Ödemeler!$E84)))&gt;=0,MOD(((Özet!$C$4*12+4)-(YEAR(Ödemeler!$E84)*12+MONTH(Ödemeler!$E84))),Ödemeler!$G84)=0,OR(Ödemeler!$F84="",DATE(Özet!$C$4,4,1)&lt;=Ödemeler!$F84)),Ödemeler!$C84,0))</f>
        <v/>
      </c>
      <c r="F85" s="36" t="str">
        <f aca="false">IF(OR(Ödemeler!$A84="",Ödemeler!$G84="",Ödemeler!$E84=""),"",IF(AND(((Özet!$C$4*12+5)-(YEAR(Ödemeler!$E84)*12+MONTH(Ödemeler!$E84)))&gt;=0,MOD(((Özet!$C$4*12+5)-(YEAR(Ödemeler!$E84)*12+MONTH(Ödemeler!$E84))),Ödemeler!$G84)=0,OR(Ödemeler!$F84="",DATE(Özet!$C$4,5,1)&lt;=Ödemeler!$F84)),Ödemeler!$C84,0))</f>
        <v/>
      </c>
      <c r="G85" s="36" t="str">
        <f aca="false">IF(OR(Ödemeler!$A84="",Ödemeler!$G84="",Ödemeler!$E84=""),"",IF(AND(((Özet!$C$4*12+6)-(YEAR(Ödemeler!$E84)*12+MONTH(Ödemeler!$E84)))&gt;=0,MOD(((Özet!$C$4*12+6)-(YEAR(Ödemeler!$E84)*12+MONTH(Ödemeler!$E84))),Ödemeler!$G84)=0,OR(Ödemeler!$F84="",DATE(Özet!$C$4,6,1)&lt;=Ödemeler!$F84)),Ödemeler!$C84,0))</f>
        <v/>
      </c>
      <c r="H85" s="36" t="str">
        <f aca="false">IF(OR(Ödemeler!$A84="",Ödemeler!$G84="",Ödemeler!$E84=""),"",IF(AND(((Özet!$C$4*12+7)-(YEAR(Ödemeler!$E84)*12+MONTH(Ödemeler!$E84)))&gt;=0,MOD(((Özet!$C$4*12+7)-(YEAR(Ödemeler!$E84)*12+MONTH(Ödemeler!$E84))),Ödemeler!$G84)=0,OR(Ödemeler!$F84="",DATE(Özet!$C$4,7,1)&lt;=Ödemeler!$F84)),Ödemeler!$C84,0))</f>
        <v/>
      </c>
      <c r="I85" s="36" t="str">
        <f aca="false">IF(OR(Ödemeler!$A84="",Ödemeler!$G84="",Ödemeler!$E84=""),"",IF(AND(((Özet!$C$4*12+8)-(YEAR(Ödemeler!$E84)*12+MONTH(Ödemeler!$E84)))&gt;=0,MOD(((Özet!$C$4*12+8)-(YEAR(Ödemeler!$E84)*12+MONTH(Ödemeler!$E84))),Ödemeler!$G84)=0,OR(Ödemeler!$F84="",DATE(Özet!$C$4,8,1)&lt;=Ödemeler!$F84)),Ödemeler!$C84,0))</f>
        <v/>
      </c>
      <c r="J85" s="36" t="str">
        <f aca="false">IF(OR(Ödemeler!$A84="",Ödemeler!$G84="",Ödemeler!$E84=""),"",IF(AND(((Özet!$C$4*12+9)-(YEAR(Ödemeler!$E84)*12+MONTH(Ödemeler!$E84)))&gt;=0,MOD(((Özet!$C$4*12+9)-(YEAR(Ödemeler!$E84)*12+MONTH(Ödemeler!$E84))),Ödemeler!$G84)=0,OR(Ödemeler!$F84="",DATE(Özet!$C$4,9,1)&lt;=Ödemeler!$F84)),Ödemeler!$C84,0))</f>
        <v/>
      </c>
      <c r="K85" s="36" t="str">
        <f aca="false">IF(OR(Ödemeler!$A84="",Ödemeler!$G84="",Ödemeler!$E84=""),"",IF(AND(((Özet!$C$4*12+10)-(YEAR(Ödemeler!$E84)*12+MONTH(Ödemeler!$E84)))&gt;=0,MOD(((Özet!$C$4*12+10)-(YEAR(Ödemeler!$E84)*12+MONTH(Ödemeler!$E84))),Ödemeler!$G84)=0,OR(Ödemeler!$F84="",DATE(Özet!$C$4,10,1)&lt;=Ödemeler!$F84)),Ödemeler!$C84,0))</f>
        <v/>
      </c>
      <c r="L85" s="36" t="str">
        <f aca="false">IF(OR(Ödemeler!$A84="",Ödemeler!$G84="",Ödemeler!$E84=""),"",IF(AND(((Özet!$C$4*12+11)-(YEAR(Ödemeler!$E84)*12+MONTH(Ödemeler!$E84)))&gt;=0,MOD(((Özet!$C$4*12+11)-(YEAR(Ödemeler!$E84)*12+MONTH(Ödemeler!$E84))),Ödemeler!$G84)=0,OR(Ödemeler!$F84="",DATE(Özet!$C$4,11,1)&lt;=Ödemeler!$F84)),Ödemeler!$C84,0))</f>
        <v/>
      </c>
      <c r="M85" s="36" t="str">
        <f aca="false">IF(OR(Ödemeler!$A84="",Ödemeler!$G84="",Ödemeler!$E84=""),"",IF(AND(((Özet!$C$4*12+12)-(YEAR(Ödemeler!$E84)*12+MONTH(Ödemeler!$E84)))&gt;=0,MOD(((Özet!$C$4*12+12)-(YEAR(Ödemeler!$E84)*12+MONTH(Ödemeler!$E84))),Ödemeler!$G84)=0,OR(Ödemeler!$F84="",DATE(Özet!$C$4,12,1)&lt;=Ödemeler!$F84)),Ödemeler!$C84,0))</f>
        <v/>
      </c>
      <c r="N85" s="36" t="str">
        <f aca="false">IF(COUNT(B85:M85)=0,"",SUM(B85:M85))</f>
        <v/>
      </c>
    </row>
    <row r="86" customFormat="false" ht="15" hidden="false" customHeight="false" outlineLevel="0" collapsed="false">
      <c r="A86" s="30" t="str">
        <f aca="false">IF(Ödemeler!A85="","",Ödemeler!A85)</f>
        <v/>
      </c>
      <c r="B86" s="37" t="str">
        <f aca="false">IF(OR(Ödemeler!$A85="",Ödemeler!$G85="",Ödemeler!$E85=""),"",IF(AND(((Özet!$C$4*12+1)-(YEAR(Ödemeler!$E85)*12+MONTH(Ödemeler!$E85)))&gt;=0,MOD(((Özet!$C$4*12+1)-(YEAR(Ödemeler!$E85)*12+MONTH(Ödemeler!$E85))),Ödemeler!$G85)=0,OR(Ödemeler!$F85="",DATE(Özet!$C$4,1,1)&lt;=Ödemeler!$F85)),Ödemeler!$C85,0))</f>
        <v/>
      </c>
      <c r="C86" s="37" t="str">
        <f aca="false">IF(OR(Ödemeler!$A85="",Ödemeler!$G85="",Ödemeler!$E85=""),"",IF(AND(((Özet!$C$4*12+2)-(YEAR(Ödemeler!$E85)*12+MONTH(Ödemeler!$E85)))&gt;=0,MOD(((Özet!$C$4*12+2)-(YEAR(Ödemeler!$E85)*12+MONTH(Ödemeler!$E85))),Ödemeler!$G85)=0,OR(Ödemeler!$F85="",DATE(Özet!$C$4,2,1)&lt;=Ödemeler!$F85)),Ödemeler!$C85,0))</f>
        <v/>
      </c>
      <c r="D86" s="37" t="str">
        <f aca="false">IF(OR(Ödemeler!$A85="",Ödemeler!$G85="",Ödemeler!$E85=""),"",IF(AND(((Özet!$C$4*12+3)-(YEAR(Ödemeler!$E85)*12+MONTH(Ödemeler!$E85)))&gt;=0,MOD(((Özet!$C$4*12+3)-(YEAR(Ödemeler!$E85)*12+MONTH(Ödemeler!$E85))),Ödemeler!$G85)=0,OR(Ödemeler!$F85="",DATE(Özet!$C$4,3,1)&lt;=Ödemeler!$F85)),Ödemeler!$C85,0))</f>
        <v/>
      </c>
      <c r="E86" s="37" t="str">
        <f aca="false">IF(OR(Ödemeler!$A85="",Ödemeler!$G85="",Ödemeler!$E85=""),"",IF(AND(((Özet!$C$4*12+4)-(YEAR(Ödemeler!$E85)*12+MONTH(Ödemeler!$E85)))&gt;=0,MOD(((Özet!$C$4*12+4)-(YEAR(Ödemeler!$E85)*12+MONTH(Ödemeler!$E85))),Ödemeler!$G85)=0,OR(Ödemeler!$F85="",DATE(Özet!$C$4,4,1)&lt;=Ödemeler!$F85)),Ödemeler!$C85,0))</f>
        <v/>
      </c>
      <c r="F86" s="37" t="str">
        <f aca="false">IF(OR(Ödemeler!$A85="",Ödemeler!$G85="",Ödemeler!$E85=""),"",IF(AND(((Özet!$C$4*12+5)-(YEAR(Ödemeler!$E85)*12+MONTH(Ödemeler!$E85)))&gt;=0,MOD(((Özet!$C$4*12+5)-(YEAR(Ödemeler!$E85)*12+MONTH(Ödemeler!$E85))),Ödemeler!$G85)=0,OR(Ödemeler!$F85="",DATE(Özet!$C$4,5,1)&lt;=Ödemeler!$F85)),Ödemeler!$C85,0))</f>
        <v/>
      </c>
      <c r="G86" s="37" t="str">
        <f aca="false">IF(OR(Ödemeler!$A85="",Ödemeler!$G85="",Ödemeler!$E85=""),"",IF(AND(((Özet!$C$4*12+6)-(YEAR(Ödemeler!$E85)*12+MONTH(Ödemeler!$E85)))&gt;=0,MOD(((Özet!$C$4*12+6)-(YEAR(Ödemeler!$E85)*12+MONTH(Ödemeler!$E85))),Ödemeler!$G85)=0,OR(Ödemeler!$F85="",DATE(Özet!$C$4,6,1)&lt;=Ödemeler!$F85)),Ödemeler!$C85,0))</f>
        <v/>
      </c>
      <c r="H86" s="37" t="str">
        <f aca="false">IF(OR(Ödemeler!$A85="",Ödemeler!$G85="",Ödemeler!$E85=""),"",IF(AND(((Özet!$C$4*12+7)-(YEAR(Ödemeler!$E85)*12+MONTH(Ödemeler!$E85)))&gt;=0,MOD(((Özet!$C$4*12+7)-(YEAR(Ödemeler!$E85)*12+MONTH(Ödemeler!$E85))),Ödemeler!$G85)=0,OR(Ödemeler!$F85="",DATE(Özet!$C$4,7,1)&lt;=Ödemeler!$F85)),Ödemeler!$C85,0))</f>
        <v/>
      </c>
      <c r="I86" s="37" t="str">
        <f aca="false">IF(OR(Ödemeler!$A85="",Ödemeler!$G85="",Ödemeler!$E85=""),"",IF(AND(((Özet!$C$4*12+8)-(YEAR(Ödemeler!$E85)*12+MONTH(Ödemeler!$E85)))&gt;=0,MOD(((Özet!$C$4*12+8)-(YEAR(Ödemeler!$E85)*12+MONTH(Ödemeler!$E85))),Ödemeler!$G85)=0,OR(Ödemeler!$F85="",DATE(Özet!$C$4,8,1)&lt;=Ödemeler!$F85)),Ödemeler!$C85,0))</f>
        <v/>
      </c>
      <c r="J86" s="37" t="str">
        <f aca="false">IF(OR(Ödemeler!$A85="",Ödemeler!$G85="",Ödemeler!$E85=""),"",IF(AND(((Özet!$C$4*12+9)-(YEAR(Ödemeler!$E85)*12+MONTH(Ödemeler!$E85)))&gt;=0,MOD(((Özet!$C$4*12+9)-(YEAR(Ödemeler!$E85)*12+MONTH(Ödemeler!$E85))),Ödemeler!$G85)=0,OR(Ödemeler!$F85="",DATE(Özet!$C$4,9,1)&lt;=Ödemeler!$F85)),Ödemeler!$C85,0))</f>
        <v/>
      </c>
      <c r="K86" s="37" t="str">
        <f aca="false">IF(OR(Ödemeler!$A85="",Ödemeler!$G85="",Ödemeler!$E85=""),"",IF(AND(((Özet!$C$4*12+10)-(YEAR(Ödemeler!$E85)*12+MONTH(Ödemeler!$E85)))&gt;=0,MOD(((Özet!$C$4*12+10)-(YEAR(Ödemeler!$E85)*12+MONTH(Ödemeler!$E85))),Ödemeler!$G85)=0,OR(Ödemeler!$F85="",DATE(Özet!$C$4,10,1)&lt;=Ödemeler!$F85)),Ödemeler!$C85,0))</f>
        <v/>
      </c>
      <c r="L86" s="37" t="str">
        <f aca="false">IF(OR(Ödemeler!$A85="",Ödemeler!$G85="",Ödemeler!$E85=""),"",IF(AND(((Özet!$C$4*12+11)-(YEAR(Ödemeler!$E85)*12+MONTH(Ödemeler!$E85)))&gt;=0,MOD(((Özet!$C$4*12+11)-(YEAR(Ödemeler!$E85)*12+MONTH(Ödemeler!$E85))),Ödemeler!$G85)=0,OR(Ödemeler!$F85="",DATE(Özet!$C$4,11,1)&lt;=Ödemeler!$F85)),Ödemeler!$C85,0))</f>
        <v/>
      </c>
      <c r="M86" s="37" t="str">
        <f aca="false">IF(OR(Ödemeler!$A85="",Ödemeler!$G85="",Ödemeler!$E85=""),"",IF(AND(((Özet!$C$4*12+12)-(YEAR(Ödemeler!$E85)*12+MONTH(Ödemeler!$E85)))&gt;=0,MOD(((Özet!$C$4*12+12)-(YEAR(Ödemeler!$E85)*12+MONTH(Ödemeler!$E85))),Ödemeler!$G85)=0,OR(Ödemeler!$F85="",DATE(Özet!$C$4,12,1)&lt;=Ödemeler!$F85)),Ödemeler!$C85,0))</f>
        <v/>
      </c>
      <c r="N86" s="37" t="str">
        <f aca="false">IF(COUNT(B86:M86)=0,"",SUM(B86:M86))</f>
        <v/>
      </c>
    </row>
    <row r="87" customFormat="false" ht="15" hidden="false" customHeight="false" outlineLevel="0" collapsed="false">
      <c r="A87" s="16" t="str">
        <f aca="false">IF(Ödemeler!A86="","",Ödemeler!A86)</f>
        <v/>
      </c>
      <c r="B87" s="36" t="str">
        <f aca="false">IF(OR(Ödemeler!$A86="",Ödemeler!$G86="",Ödemeler!$E86=""),"",IF(AND(((Özet!$C$4*12+1)-(YEAR(Ödemeler!$E86)*12+MONTH(Ödemeler!$E86)))&gt;=0,MOD(((Özet!$C$4*12+1)-(YEAR(Ödemeler!$E86)*12+MONTH(Ödemeler!$E86))),Ödemeler!$G86)=0,OR(Ödemeler!$F86="",DATE(Özet!$C$4,1,1)&lt;=Ödemeler!$F86)),Ödemeler!$C86,0))</f>
        <v/>
      </c>
      <c r="C87" s="36" t="str">
        <f aca="false">IF(OR(Ödemeler!$A86="",Ödemeler!$G86="",Ödemeler!$E86=""),"",IF(AND(((Özet!$C$4*12+2)-(YEAR(Ödemeler!$E86)*12+MONTH(Ödemeler!$E86)))&gt;=0,MOD(((Özet!$C$4*12+2)-(YEAR(Ödemeler!$E86)*12+MONTH(Ödemeler!$E86))),Ödemeler!$G86)=0,OR(Ödemeler!$F86="",DATE(Özet!$C$4,2,1)&lt;=Ödemeler!$F86)),Ödemeler!$C86,0))</f>
        <v/>
      </c>
      <c r="D87" s="36" t="str">
        <f aca="false">IF(OR(Ödemeler!$A86="",Ödemeler!$G86="",Ödemeler!$E86=""),"",IF(AND(((Özet!$C$4*12+3)-(YEAR(Ödemeler!$E86)*12+MONTH(Ödemeler!$E86)))&gt;=0,MOD(((Özet!$C$4*12+3)-(YEAR(Ödemeler!$E86)*12+MONTH(Ödemeler!$E86))),Ödemeler!$G86)=0,OR(Ödemeler!$F86="",DATE(Özet!$C$4,3,1)&lt;=Ödemeler!$F86)),Ödemeler!$C86,0))</f>
        <v/>
      </c>
      <c r="E87" s="36" t="str">
        <f aca="false">IF(OR(Ödemeler!$A86="",Ödemeler!$G86="",Ödemeler!$E86=""),"",IF(AND(((Özet!$C$4*12+4)-(YEAR(Ödemeler!$E86)*12+MONTH(Ödemeler!$E86)))&gt;=0,MOD(((Özet!$C$4*12+4)-(YEAR(Ödemeler!$E86)*12+MONTH(Ödemeler!$E86))),Ödemeler!$G86)=0,OR(Ödemeler!$F86="",DATE(Özet!$C$4,4,1)&lt;=Ödemeler!$F86)),Ödemeler!$C86,0))</f>
        <v/>
      </c>
      <c r="F87" s="36" t="str">
        <f aca="false">IF(OR(Ödemeler!$A86="",Ödemeler!$G86="",Ödemeler!$E86=""),"",IF(AND(((Özet!$C$4*12+5)-(YEAR(Ödemeler!$E86)*12+MONTH(Ödemeler!$E86)))&gt;=0,MOD(((Özet!$C$4*12+5)-(YEAR(Ödemeler!$E86)*12+MONTH(Ödemeler!$E86))),Ödemeler!$G86)=0,OR(Ödemeler!$F86="",DATE(Özet!$C$4,5,1)&lt;=Ödemeler!$F86)),Ödemeler!$C86,0))</f>
        <v/>
      </c>
      <c r="G87" s="36" t="str">
        <f aca="false">IF(OR(Ödemeler!$A86="",Ödemeler!$G86="",Ödemeler!$E86=""),"",IF(AND(((Özet!$C$4*12+6)-(YEAR(Ödemeler!$E86)*12+MONTH(Ödemeler!$E86)))&gt;=0,MOD(((Özet!$C$4*12+6)-(YEAR(Ödemeler!$E86)*12+MONTH(Ödemeler!$E86))),Ödemeler!$G86)=0,OR(Ödemeler!$F86="",DATE(Özet!$C$4,6,1)&lt;=Ödemeler!$F86)),Ödemeler!$C86,0))</f>
        <v/>
      </c>
      <c r="H87" s="36" t="str">
        <f aca="false">IF(OR(Ödemeler!$A86="",Ödemeler!$G86="",Ödemeler!$E86=""),"",IF(AND(((Özet!$C$4*12+7)-(YEAR(Ödemeler!$E86)*12+MONTH(Ödemeler!$E86)))&gt;=0,MOD(((Özet!$C$4*12+7)-(YEAR(Ödemeler!$E86)*12+MONTH(Ödemeler!$E86))),Ödemeler!$G86)=0,OR(Ödemeler!$F86="",DATE(Özet!$C$4,7,1)&lt;=Ödemeler!$F86)),Ödemeler!$C86,0))</f>
        <v/>
      </c>
      <c r="I87" s="36" t="str">
        <f aca="false">IF(OR(Ödemeler!$A86="",Ödemeler!$G86="",Ödemeler!$E86=""),"",IF(AND(((Özet!$C$4*12+8)-(YEAR(Ödemeler!$E86)*12+MONTH(Ödemeler!$E86)))&gt;=0,MOD(((Özet!$C$4*12+8)-(YEAR(Ödemeler!$E86)*12+MONTH(Ödemeler!$E86))),Ödemeler!$G86)=0,OR(Ödemeler!$F86="",DATE(Özet!$C$4,8,1)&lt;=Ödemeler!$F86)),Ödemeler!$C86,0))</f>
        <v/>
      </c>
      <c r="J87" s="36" t="str">
        <f aca="false">IF(OR(Ödemeler!$A86="",Ödemeler!$G86="",Ödemeler!$E86=""),"",IF(AND(((Özet!$C$4*12+9)-(YEAR(Ödemeler!$E86)*12+MONTH(Ödemeler!$E86)))&gt;=0,MOD(((Özet!$C$4*12+9)-(YEAR(Ödemeler!$E86)*12+MONTH(Ödemeler!$E86))),Ödemeler!$G86)=0,OR(Ödemeler!$F86="",DATE(Özet!$C$4,9,1)&lt;=Ödemeler!$F86)),Ödemeler!$C86,0))</f>
        <v/>
      </c>
      <c r="K87" s="36" t="str">
        <f aca="false">IF(OR(Ödemeler!$A86="",Ödemeler!$G86="",Ödemeler!$E86=""),"",IF(AND(((Özet!$C$4*12+10)-(YEAR(Ödemeler!$E86)*12+MONTH(Ödemeler!$E86)))&gt;=0,MOD(((Özet!$C$4*12+10)-(YEAR(Ödemeler!$E86)*12+MONTH(Ödemeler!$E86))),Ödemeler!$G86)=0,OR(Ödemeler!$F86="",DATE(Özet!$C$4,10,1)&lt;=Ödemeler!$F86)),Ödemeler!$C86,0))</f>
        <v/>
      </c>
      <c r="L87" s="36" t="str">
        <f aca="false">IF(OR(Ödemeler!$A86="",Ödemeler!$G86="",Ödemeler!$E86=""),"",IF(AND(((Özet!$C$4*12+11)-(YEAR(Ödemeler!$E86)*12+MONTH(Ödemeler!$E86)))&gt;=0,MOD(((Özet!$C$4*12+11)-(YEAR(Ödemeler!$E86)*12+MONTH(Ödemeler!$E86))),Ödemeler!$G86)=0,OR(Ödemeler!$F86="",DATE(Özet!$C$4,11,1)&lt;=Ödemeler!$F86)),Ödemeler!$C86,0))</f>
        <v/>
      </c>
      <c r="M87" s="36" t="str">
        <f aca="false">IF(OR(Ödemeler!$A86="",Ödemeler!$G86="",Ödemeler!$E86=""),"",IF(AND(((Özet!$C$4*12+12)-(YEAR(Ödemeler!$E86)*12+MONTH(Ödemeler!$E86)))&gt;=0,MOD(((Özet!$C$4*12+12)-(YEAR(Ödemeler!$E86)*12+MONTH(Ödemeler!$E86))),Ödemeler!$G86)=0,OR(Ödemeler!$F86="",DATE(Özet!$C$4,12,1)&lt;=Ödemeler!$F86)),Ödemeler!$C86,0))</f>
        <v/>
      </c>
      <c r="N87" s="36" t="str">
        <f aca="false">IF(COUNT(B87:M87)=0,"",SUM(B87:M87))</f>
        <v/>
      </c>
    </row>
    <row r="88" customFormat="false" ht="15" hidden="false" customHeight="false" outlineLevel="0" collapsed="false">
      <c r="A88" s="30" t="str">
        <f aca="false">IF(Ödemeler!A87="","",Ödemeler!A87)</f>
        <v/>
      </c>
      <c r="B88" s="37" t="str">
        <f aca="false">IF(OR(Ödemeler!$A87="",Ödemeler!$G87="",Ödemeler!$E87=""),"",IF(AND(((Özet!$C$4*12+1)-(YEAR(Ödemeler!$E87)*12+MONTH(Ödemeler!$E87)))&gt;=0,MOD(((Özet!$C$4*12+1)-(YEAR(Ödemeler!$E87)*12+MONTH(Ödemeler!$E87))),Ödemeler!$G87)=0,OR(Ödemeler!$F87="",DATE(Özet!$C$4,1,1)&lt;=Ödemeler!$F87)),Ödemeler!$C87,0))</f>
        <v/>
      </c>
      <c r="C88" s="37" t="str">
        <f aca="false">IF(OR(Ödemeler!$A87="",Ödemeler!$G87="",Ödemeler!$E87=""),"",IF(AND(((Özet!$C$4*12+2)-(YEAR(Ödemeler!$E87)*12+MONTH(Ödemeler!$E87)))&gt;=0,MOD(((Özet!$C$4*12+2)-(YEAR(Ödemeler!$E87)*12+MONTH(Ödemeler!$E87))),Ödemeler!$G87)=0,OR(Ödemeler!$F87="",DATE(Özet!$C$4,2,1)&lt;=Ödemeler!$F87)),Ödemeler!$C87,0))</f>
        <v/>
      </c>
      <c r="D88" s="37" t="str">
        <f aca="false">IF(OR(Ödemeler!$A87="",Ödemeler!$G87="",Ödemeler!$E87=""),"",IF(AND(((Özet!$C$4*12+3)-(YEAR(Ödemeler!$E87)*12+MONTH(Ödemeler!$E87)))&gt;=0,MOD(((Özet!$C$4*12+3)-(YEAR(Ödemeler!$E87)*12+MONTH(Ödemeler!$E87))),Ödemeler!$G87)=0,OR(Ödemeler!$F87="",DATE(Özet!$C$4,3,1)&lt;=Ödemeler!$F87)),Ödemeler!$C87,0))</f>
        <v/>
      </c>
      <c r="E88" s="37" t="str">
        <f aca="false">IF(OR(Ödemeler!$A87="",Ödemeler!$G87="",Ödemeler!$E87=""),"",IF(AND(((Özet!$C$4*12+4)-(YEAR(Ödemeler!$E87)*12+MONTH(Ödemeler!$E87)))&gt;=0,MOD(((Özet!$C$4*12+4)-(YEAR(Ödemeler!$E87)*12+MONTH(Ödemeler!$E87))),Ödemeler!$G87)=0,OR(Ödemeler!$F87="",DATE(Özet!$C$4,4,1)&lt;=Ödemeler!$F87)),Ödemeler!$C87,0))</f>
        <v/>
      </c>
      <c r="F88" s="37" t="str">
        <f aca="false">IF(OR(Ödemeler!$A87="",Ödemeler!$G87="",Ödemeler!$E87=""),"",IF(AND(((Özet!$C$4*12+5)-(YEAR(Ödemeler!$E87)*12+MONTH(Ödemeler!$E87)))&gt;=0,MOD(((Özet!$C$4*12+5)-(YEAR(Ödemeler!$E87)*12+MONTH(Ödemeler!$E87))),Ödemeler!$G87)=0,OR(Ödemeler!$F87="",DATE(Özet!$C$4,5,1)&lt;=Ödemeler!$F87)),Ödemeler!$C87,0))</f>
        <v/>
      </c>
      <c r="G88" s="37" t="str">
        <f aca="false">IF(OR(Ödemeler!$A87="",Ödemeler!$G87="",Ödemeler!$E87=""),"",IF(AND(((Özet!$C$4*12+6)-(YEAR(Ödemeler!$E87)*12+MONTH(Ödemeler!$E87)))&gt;=0,MOD(((Özet!$C$4*12+6)-(YEAR(Ödemeler!$E87)*12+MONTH(Ödemeler!$E87))),Ödemeler!$G87)=0,OR(Ödemeler!$F87="",DATE(Özet!$C$4,6,1)&lt;=Ödemeler!$F87)),Ödemeler!$C87,0))</f>
        <v/>
      </c>
      <c r="H88" s="37" t="str">
        <f aca="false">IF(OR(Ödemeler!$A87="",Ödemeler!$G87="",Ödemeler!$E87=""),"",IF(AND(((Özet!$C$4*12+7)-(YEAR(Ödemeler!$E87)*12+MONTH(Ödemeler!$E87)))&gt;=0,MOD(((Özet!$C$4*12+7)-(YEAR(Ödemeler!$E87)*12+MONTH(Ödemeler!$E87))),Ödemeler!$G87)=0,OR(Ödemeler!$F87="",DATE(Özet!$C$4,7,1)&lt;=Ödemeler!$F87)),Ödemeler!$C87,0))</f>
        <v/>
      </c>
      <c r="I88" s="37" t="str">
        <f aca="false">IF(OR(Ödemeler!$A87="",Ödemeler!$G87="",Ödemeler!$E87=""),"",IF(AND(((Özet!$C$4*12+8)-(YEAR(Ödemeler!$E87)*12+MONTH(Ödemeler!$E87)))&gt;=0,MOD(((Özet!$C$4*12+8)-(YEAR(Ödemeler!$E87)*12+MONTH(Ödemeler!$E87))),Ödemeler!$G87)=0,OR(Ödemeler!$F87="",DATE(Özet!$C$4,8,1)&lt;=Ödemeler!$F87)),Ödemeler!$C87,0))</f>
        <v/>
      </c>
      <c r="J88" s="37" t="str">
        <f aca="false">IF(OR(Ödemeler!$A87="",Ödemeler!$G87="",Ödemeler!$E87=""),"",IF(AND(((Özet!$C$4*12+9)-(YEAR(Ödemeler!$E87)*12+MONTH(Ödemeler!$E87)))&gt;=0,MOD(((Özet!$C$4*12+9)-(YEAR(Ödemeler!$E87)*12+MONTH(Ödemeler!$E87))),Ödemeler!$G87)=0,OR(Ödemeler!$F87="",DATE(Özet!$C$4,9,1)&lt;=Ödemeler!$F87)),Ödemeler!$C87,0))</f>
        <v/>
      </c>
      <c r="K88" s="37" t="str">
        <f aca="false">IF(OR(Ödemeler!$A87="",Ödemeler!$G87="",Ödemeler!$E87=""),"",IF(AND(((Özet!$C$4*12+10)-(YEAR(Ödemeler!$E87)*12+MONTH(Ödemeler!$E87)))&gt;=0,MOD(((Özet!$C$4*12+10)-(YEAR(Ödemeler!$E87)*12+MONTH(Ödemeler!$E87))),Ödemeler!$G87)=0,OR(Ödemeler!$F87="",DATE(Özet!$C$4,10,1)&lt;=Ödemeler!$F87)),Ödemeler!$C87,0))</f>
        <v/>
      </c>
      <c r="L88" s="37" t="str">
        <f aca="false">IF(OR(Ödemeler!$A87="",Ödemeler!$G87="",Ödemeler!$E87=""),"",IF(AND(((Özet!$C$4*12+11)-(YEAR(Ödemeler!$E87)*12+MONTH(Ödemeler!$E87)))&gt;=0,MOD(((Özet!$C$4*12+11)-(YEAR(Ödemeler!$E87)*12+MONTH(Ödemeler!$E87))),Ödemeler!$G87)=0,OR(Ödemeler!$F87="",DATE(Özet!$C$4,11,1)&lt;=Ödemeler!$F87)),Ödemeler!$C87,0))</f>
        <v/>
      </c>
      <c r="M88" s="37" t="str">
        <f aca="false">IF(OR(Ödemeler!$A87="",Ödemeler!$G87="",Ödemeler!$E87=""),"",IF(AND(((Özet!$C$4*12+12)-(YEAR(Ödemeler!$E87)*12+MONTH(Ödemeler!$E87)))&gt;=0,MOD(((Özet!$C$4*12+12)-(YEAR(Ödemeler!$E87)*12+MONTH(Ödemeler!$E87))),Ödemeler!$G87)=0,OR(Ödemeler!$F87="",DATE(Özet!$C$4,12,1)&lt;=Ödemeler!$F87)),Ödemeler!$C87,0))</f>
        <v/>
      </c>
      <c r="N88" s="37" t="str">
        <f aca="false">IF(COUNT(B88:M88)=0,"",SUM(B88:M88))</f>
        <v/>
      </c>
    </row>
    <row r="89" customFormat="false" ht="15" hidden="false" customHeight="false" outlineLevel="0" collapsed="false">
      <c r="A89" s="16" t="str">
        <f aca="false">IF(Ödemeler!A88="","",Ödemeler!A88)</f>
        <v/>
      </c>
      <c r="B89" s="36" t="str">
        <f aca="false">IF(OR(Ödemeler!$A88="",Ödemeler!$G88="",Ödemeler!$E88=""),"",IF(AND(((Özet!$C$4*12+1)-(YEAR(Ödemeler!$E88)*12+MONTH(Ödemeler!$E88)))&gt;=0,MOD(((Özet!$C$4*12+1)-(YEAR(Ödemeler!$E88)*12+MONTH(Ödemeler!$E88))),Ödemeler!$G88)=0,OR(Ödemeler!$F88="",DATE(Özet!$C$4,1,1)&lt;=Ödemeler!$F88)),Ödemeler!$C88,0))</f>
        <v/>
      </c>
      <c r="C89" s="36" t="str">
        <f aca="false">IF(OR(Ödemeler!$A88="",Ödemeler!$G88="",Ödemeler!$E88=""),"",IF(AND(((Özet!$C$4*12+2)-(YEAR(Ödemeler!$E88)*12+MONTH(Ödemeler!$E88)))&gt;=0,MOD(((Özet!$C$4*12+2)-(YEAR(Ödemeler!$E88)*12+MONTH(Ödemeler!$E88))),Ödemeler!$G88)=0,OR(Ödemeler!$F88="",DATE(Özet!$C$4,2,1)&lt;=Ödemeler!$F88)),Ödemeler!$C88,0))</f>
        <v/>
      </c>
      <c r="D89" s="36" t="str">
        <f aca="false">IF(OR(Ödemeler!$A88="",Ödemeler!$G88="",Ödemeler!$E88=""),"",IF(AND(((Özet!$C$4*12+3)-(YEAR(Ödemeler!$E88)*12+MONTH(Ödemeler!$E88)))&gt;=0,MOD(((Özet!$C$4*12+3)-(YEAR(Ödemeler!$E88)*12+MONTH(Ödemeler!$E88))),Ödemeler!$G88)=0,OR(Ödemeler!$F88="",DATE(Özet!$C$4,3,1)&lt;=Ödemeler!$F88)),Ödemeler!$C88,0))</f>
        <v/>
      </c>
      <c r="E89" s="36" t="str">
        <f aca="false">IF(OR(Ödemeler!$A88="",Ödemeler!$G88="",Ödemeler!$E88=""),"",IF(AND(((Özet!$C$4*12+4)-(YEAR(Ödemeler!$E88)*12+MONTH(Ödemeler!$E88)))&gt;=0,MOD(((Özet!$C$4*12+4)-(YEAR(Ödemeler!$E88)*12+MONTH(Ödemeler!$E88))),Ödemeler!$G88)=0,OR(Ödemeler!$F88="",DATE(Özet!$C$4,4,1)&lt;=Ödemeler!$F88)),Ödemeler!$C88,0))</f>
        <v/>
      </c>
      <c r="F89" s="36" t="str">
        <f aca="false">IF(OR(Ödemeler!$A88="",Ödemeler!$G88="",Ödemeler!$E88=""),"",IF(AND(((Özet!$C$4*12+5)-(YEAR(Ödemeler!$E88)*12+MONTH(Ödemeler!$E88)))&gt;=0,MOD(((Özet!$C$4*12+5)-(YEAR(Ödemeler!$E88)*12+MONTH(Ödemeler!$E88))),Ödemeler!$G88)=0,OR(Ödemeler!$F88="",DATE(Özet!$C$4,5,1)&lt;=Ödemeler!$F88)),Ödemeler!$C88,0))</f>
        <v/>
      </c>
      <c r="G89" s="36" t="str">
        <f aca="false">IF(OR(Ödemeler!$A88="",Ödemeler!$G88="",Ödemeler!$E88=""),"",IF(AND(((Özet!$C$4*12+6)-(YEAR(Ödemeler!$E88)*12+MONTH(Ödemeler!$E88)))&gt;=0,MOD(((Özet!$C$4*12+6)-(YEAR(Ödemeler!$E88)*12+MONTH(Ödemeler!$E88))),Ödemeler!$G88)=0,OR(Ödemeler!$F88="",DATE(Özet!$C$4,6,1)&lt;=Ödemeler!$F88)),Ödemeler!$C88,0))</f>
        <v/>
      </c>
      <c r="H89" s="36" t="str">
        <f aca="false">IF(OR(Ödemeler!$A88="",Ödemeler!$G88="",Ödemeler!$E88=""),"",IF(AND(((Özet!$C$4*12+7)-(YEAR(Ödemeler!$E88)*12+MONTH(Ödemeler!$E88)))&gt;=0,MOD(((Özet!$C$4*12+7)-(YEAR(Ödemeler!$E88)*12+MONTH(Ödemeler!$E88))),Ödemeler!$G88)=0,OR(Ödemeler!$F88="",DATE(Özet!$C$4,7,1)&lt;=Ödemeler!$F88)),Ödemeler!$C88,0))</f>
        <v/>
      </c>
      <c r="I89" s="36" t="str">
        <f aca="false">IF(OR(Ödemeler!$A88="",Ödemeler!$G88="",Ödemeler!$E88=""),"",IF(AND(((Özet!$C$4*12+8)-(YEAR(Ödemeler!$E88)*12+MONTH(Ödemeler!$E88)))&gt;=0,MOD(((Özet!$C$4*12+8)-(YEAR(Ödemeler!$E88)*12+MONTH(Ödemeler!$E88))),Ödemeler!$G88)=0,OR(Ödemeler!$F88="",DATE(Özet!$C$4,8,1)&lt;=Ödemeler!$F88)),Ödemeler!$C88,0))</f>
        <v/>
      </c>
      <c r="J89" s="36" t="str">
        <f aca="false">IF(OR(Ödemeler!$A88="",Ödemeler!$G88="",Ödemeler!$E88=""),"",IF(AND(((Özet!$C$4*12+9)-(YEAR(Ödemeler!$E88)*12+MONTH(Ödemeler!$E88)))&gt;=0,MOD(((Özet!$C$4*12+9)-(YEAR(Ödemeler!$E88)*12+MONTH(Ödemeler!$E88))),Ödemeler!$G88)=0,OR(Ödemeler!$F88="",DATE(Özet!$C$4,9,1)&lt;=Ödemeler!$F88)),Ödemeler!$C88,0))</f>
        <v/>
      </c>
      <c r="K89" s="36" t="str">
        <f aca="false">IF(OR(Ödemeler!$A88="",Ödemeler!$G88="",Ödemeler!$E88=""),"",IF(AND(((Özet!$C$4*12+10)-(YEAR(Ödemeler!$E88)*12+MONTH(Ödemeler!$E88)))&gt;=0,MOD(((Özet!$C$4*12+10)-(YEAR(Ödemeler!$E88)*12+MONTH(Ödemeler!$E88))),Ödemeler!$G88)=0,OR(Ödemeler!$F88="",DATE(Özet!$C$4,10,1)&lt;=Ödemeler!$F88)),Ödemeler!$C88,0))</f>
        <v/>
      </c>
      <c r="L89" s="36" t="str">
        <f aca="false">IF(OR(Ödemeler!$A88="",Ödemeler!$G88="",Ödemeler!$E88=""),"",IF(AND(((Özet!$C$4*12+11)-(YEAR(Ödemeler!$E88)*12+MONTH(Ödemeler!$E88)))&gt;=0,MOD(((Özet!$C$4*12+11)-(YEAR(Ödemeler!$E88)*12+MONTH(Ödemeler!$E88))),Ödemeler!$G88)=0,OR(Ödemeler!$F88="",DATE(Özet!$C$4,11,1)&lt;=Ödemeler!$F88)),Ödemeler!$C88,0))</f>
        <v/>
      </c>
      <c r="M89" s="36" t="str">
        <f aca="false">IF(OR(Ödemeler!$A88="",Ödemeler!$G88="",Ödemeler!$E88=""),"",IF(AND(((Özet!$C$4*12+12)-(YEAR(Ödemeler!$E88)*12+MONTH(Ödemeler!$E88)))&gt;=0,MOD(((Özet!$C$4*12+12)-(YEAR(Ödemeler!$E88)*12+MONTH(Ödemeler!$E88))),Ödemeler!$G88)=0,OR(Ödemeler!$F88="",DATE(Özet!$C$4,12,1)&lt;=Ödemeler!$F88)),Ödemeler!$C88,0))</f>
        <v/>
      </c>
      <c r="N89" s="36" t="str">
        <f aca="false">IF(COUNT(B89:M89)=0,"",SUM(B89:M89))</f>
        <v/>
      </c>
    </row>
    <row r="90" customFormat="false" ht="15" hidden="false" customHeight="false" outlineLevel="0" collapsed="false">
      <c r="A90" s="30" t="str">
        <f aca="false">IF(Ödemeler!A89="","",Ödemeler!A89)</f>
        <v/>
      </c>
      <c r="B90" s="37" t="str">
        <f aca="false">IF(OR(Ödemeler!$A89="",Ödemeler!$G89="",Ödemeler!$E89=""),"",IF(AND(((Özet!$C$4*12+1)-(YEAR(Ödemeler!$E89)*12+MONTH(Ödemeler!$E89)))&gt;=0,MOD(((Özet!$C$4*12+1)-(YEAR(Ödemeler!$E89)*12+MONTH(Ödemeler!$E89))),Ödemeler!$G89)=0,OR(Ödemeler!$F89="",DATE(Özet!$C$4,1,1)&lt;=Ödemeler!$F89)),Ödemeler!$C89,0))</f>
        <v/>
      </c>
      <c r="C90" s="37" t="str">
        <f aca="false">IF(OR(Ödemeler!$A89="",Ödemeler!$G89="",Ödemeler!$E89=""),"",IF(AND(((Özet!$C$4*12+2)-(YEAR(Ödemeler!$E89)*12+MONTH(Ödemeler!$E89)))&gt;=0,MOD(((Özet!$C$4*12+2)-(YEAR(Ödemeler!$E89)*12+MONTH(Ödemeler!$E89))),Ödemeler!$G89)=0,OR(Ödemeler!$F89="",DATE(Özet!$C$4,2,1)&lt;=Ödemeler!$F89)),Ödemeler!$C89,0))</f>
        <v/>
      </c>
      <c r="D90" s="37" t="str">
        <f aca="false">IF(OR(Ödemeler!$A89="",Ödemeler!$G89="",Ödemeler!$E89=""),"",IF(AND(((Özet!$C$4*12+3)-(YEAR(Ödemeler!$E89)*12+MONTH(Ödemeler!$E89)))&gt;=0,MOD(((Özet!$C$4*12+3)-(YEAR(Ödemeler!$E89)*12+MONTH(Ödemeler!$E89))),Ödemeler!$G89)=0,OR(Ödemeler!$F89="",DATE(Özet!$C$4,3,1)&lt;=Ödemeler!$F89)),Ödemeler!$C89,0))</f>
        <v/>
      </c>
      <c r="E90" s="37" t="str">
        <f aca="false">IF(OR(Ödemeler!$A89="",Ödemeler!$G89="",Ödemeler!$E89=""),"",IF(AND(((Özet!$C$4*12+4)-(YEAR(Ödemeler!$E89)*12+MONTH(Ödemeler!$E89)))&gt;=0,MOD(((Özet!$C$4*12+4)-(YEAR(Ödemeler!$E89)*12+MONTH(Ödemeler!$E89))),Ödemeler!$G89)=0,OR(Ödemeler!$F89="",DATE(Özet!$C$4,4,1)&lt;=Ödemeler!$F89)),Ödemeler!$C89,0))</f>
        <v/>
      </c>
      <c r="F90" s="37" t="str">
        <f aca="false">IF(OR(Ödemeler!$A89="",Ödemeler!$G89="",Ödemeler!$E89=""),"",IF(AND(((Özet!$C$4*12+5)-(YEAR(Ödemeler!$E89)*12+MONTH(Ödemeler!$E89)))&gt;=0,MOD(((Özet!$C$4*12+5)-(YEAR(Ödemeler!$E89)*12+MONTH(Ödemeler!$E89))),Ödemeler!$G89)=0,OR(Ödemeler!$F89="",DATE(Özet!$C$4,5,1)&lt;=Ödemeler!$F89)),Ödemeler!$C89,0))</f>
        <v/>
      </c>
      <c r="G90" s="37" t="str">
        <f aca="false">IF(OR(Ödemeler!$A89="",Ödemeler!$G89="",Ödemeler!$E89=""),"",IF(AND(((Özet!$C$4*12+6)-(YEAR(Ödemeler!$E89)*12+MONTH(Ödemeler!$E89)))&gt;=0,MOD(((Özet!$C$4*12+6)-(YEAR(Ödemeler!$E89)*12+MONTH(Ödemeler!$E89))),Ödemeler!$G89)=0,OR(Ödemeler!$F89="",DATE(Özet!$C$4,6,1)&lt;=Ödemeler!$F89)),Ödemeler!$C89,0))</f>
        <v/>
      </c>
      <c r="H90" s="37" t="str">
        <f aca="false">IF(OR(Ödemeler!$A89="",Ödemeler!$G89="",Ödemeler!$E89=""),"",IF(AND(((Özet!$C$4*12+7)-(YEAR(Ödemeler!$E89)*12+MONTH(Ödemeler!$E89)))&gt;=0,MOD(((Özet!$C$4*12+7)-(YEAR(Ödemeler!$E89)*12+MONTH(Ödemeler!$E89))),Ödemeler!$G89)=0,OR(Ödemeler!$F89="",DATE(Özet!$C$4,7,1)&lt;=Ödemeler!$F89)),Ödemeler!$C89,0))</f>
        <v/>
      </c>
      <c r="I90" s="37" t="str">
        <f aca="false">IF(OR(Ödemeler!$A89="",Ödemeler!$G89="",Ödemeler!$E89=""),"",IF(AND(((Özet!$C$4*12+8)-(YEAR(Ödemeler!$E89)*12+MONTH(Ödemeler!$E89)))&gt;=0,MOD(((Özet!$C$4*12+8)-(YEAR(Ödemeler!$E89)*12+MONTH(Ödemeler!$E89))),Ödemeler!$G89)=0,OR(Ödemeler!$F89="",DATE(Özet!$C$4,8,1)&lt;=Ödemeler!$F89)),Ödemeler!$C89,0))</f>
        <v/>
      </c>
      <c r="J90" s="37" t="str">
        <f aca="false">IF(OR(Ödemeler!$A89="",Ödemeler!$G89="",Ödemeler!$E89=""),"",IF(AND(((Özet!$C$4*12+9)-(YEAR(Ödemeler!$E89)*12+MONTH(Ödemeler!$E89)))&gt;=0,MOD(((Özet!$C$4*12+9)-(YEAR(Ödemeler!$E89)*12+MONTH(Ödemeler!$E89))),Ödemeler!$G89)=0,OR(Ödemeler!$F89="",DATE(Özet!$C$4,9,1)&lt;=Ödemeler!$F89)),Ödemeler!$C89,0))</f>
        <v/>
      </c>
      <c r="K90" s="37" t="str">
        <f aca="false">IF(OR(Ödemeler!$A89="",Ödemeler!$G89="",Ödemeler!$E89=""),"",IF(AND(((Özet!$C$4*12+10)-(YEAR(Ödemeler!$E89)*12+MONTH(Ödemeler!$E89)))&gt;=0,MOD(((Özet!$C$4*12+10)-(YEAR(Ödemeler!$E89)*12+MONTH(Ödemeler!$E89))),Ödemeler!$G89)=0,OR(Ödemeler!$F89="",DATE(Özet!$C$4,10,1)&lt;=Ödemeler!$F89)),Ödemeler!$C89,0))</f>
        <v/>
      </c>
      <c r="L90" s="37" t="str">
        <f aca="false">IF(OR(Ödemeler!$A89="",Ödemeler!$G89="",Ödemeler!$E89=""),"",IF(AND(((Özet!$C$4*12+11)-(YEAR(Ödemeler!$E89)*12+MONTH(Ödemeler!$E89)))&gt;=0,MOD(((Özet!$C$4*12+11)-(YEAR(Ödemeler!$E89)*12+MONTH(Ödemeler!$E89))),Ödemeler!$G89)=0,OR(Ödemeler!$F89="",DATE(Özet!$C$4,11,1)&lt;=Ödemeler!$F89)),Ödemeler!$C89,0))</f>
        <v/>
      </c>
      <c r="M90" s="37" t="str">
        <f aca="false">IF(OR(Ödemeler!$A89="",Ödemeler!$G89="",Ödemeler!$E89=""),"",IF(AND(((Özet!$C$4*12+12)-(YEAR(Ödemeler!$E89)*12+MONTH(Ödemeler!$E89)))&gt;=0,MOD(((Özet!$C$4*12+12)-(YEAR(Ödemeler!$E89)*12+MONTH(Ödemeler!$E89))),Ödemeler!$G89)=0,OR(Ödemeler!$F89="",DATE(Özet!$C$4,12,1)&lt;=Ödemeler!$F89)),Ödemeler!$C89,0))</f>
        <v/>
      </c>
      <c r="N90" s="37" t="str">
        <f aca="false">IF(COUNT(B90:M90)=0,"",SUM(B90:M90))</f>
        <v/>
      </c>
    </row>
    <row r="91" customFormat="false" ht="15" hidden="false" customHeight="false" outlineLevel="0" collapsed="false">
      <c r="A91" s="16" t="str">
        <f aca="false">IF(Ödemeler!A90="","",Ödemeler!A90)</f>
        <v/>
      </c>
      <c r="B91" s="36" t="str">
        <f aca="false">IF(OR(Ödemeler!$A90="",Ödemeler!$G90="",Ödemeler!$E90=""),"",IF(AND(((Özet!$C$4*12+1)-(YEAR(Ödemeler!$E90)*12+MONTH(Ödemeler!$E90)))&gt;=0,MOD(((Özet!$C$4*12+1)-(YEAR(Ödemeler!$E90)*12+MONTH(Ödemeler!$E90))),Ödemeler!$G90)=0,OR(Ödemeler!$F90="",DATE(Özet!$C$4,1,1)&lt;=Ödemeler!$F90)),Ödemeler!$C90,0))</f>
        <v/>
      </c>
      <c r="C91" s="36" t="str">
        <f aca="false">IF(OR(Ödemeler!$A90="",Ödemeler!$G90="",Ödemeler!$E90=""),"",IF(AND(((Özet!$C$4*12+2)-(YEAR(Ödemeler!$E90)*12+MONTH(Ödemeler!$E90)))&gt;=0,MOD(((Özet!$C$4*12+2)-(YEAR(Ödemeler!$E90)*12+MONTH(Ödemeler!$E90))),Ödemeler!$G90)=0,OR(Ödemeler!$F90="",DATE(Özet!$C$4,2,1)&lt;=Ödemeler!$F90)),Ödemeler!$C90,0))</f>
        <v/>
      </c>
      <c r="D91" s="36" t="str">
        <f aca="false">IF(OR(Ödemeler!$A90="",Ödemeler!$G90="",Ödemeler!$E90=""),"",IF(AND(((Özet!$C$4*12+3)-(YEAR(Ödemeler!$E90)*12+MONTH(Ödemeler!$E90)))&gt;=0,MOD(((Özet!$C$4*12+3)-(YEAR(Ödemeler!$E90)*12+MONTH(Ödemeler!$E90))),Ödemeler!$G90)=0,OR(Ödemeler!$F90="",DATE(Özet!$C$4,3,1)&lt;=Ödemeler!$F90)),Ödemeler!$C90,0))</f>
        <v/>
      </c>
      <c r="E91" s="36" t="str">
        <f aca="false">IF(OR(Ödemeler!$A90="",Ödemeler!$G90="",Ödemeler!$E90=""),"",IF(AND(((Özet!$C$4*12+4)-(YEAR(Ödemeler!$E90)*12+MONTH(Ödemeler!$E90)))&gt;=0,MOD(((Özet!$C$4*12+4)-(YEAR(Ödemeler!$E90)*12+MONTH(Ödemeler!$E90))),Ödemeler!$G90)=0,OR(Ödemeler!$F90="",DATE(Özet!$C$4,4,1)&lt;=Ödemeler!$F90)),Ödemeler!$C90,0))</f>
        <v/>
      </c>
      <c r="F91" s="36" t="str">
        <f aca="false">IF(OR(Ödemeler!$A90="",Ödemeler!$G90="",Ödemeler!$E90=""),"",IF(AND(((Özet!$C$4*12+5)-(YEAR(Ödemeler!$E90)*12+MONTH(Ödemeler!$E90)))&gt;=0,MOD(((Özet!$C$4*12+5)-(YEAR(Ödemeler!$E90)*12+MONTH(Ödemeler!$E90))),Ödemeler!$G90)=0,OR(Ödemeler!$F90="",DATE(Özet!$C$4,5,1)&lt;=Ödemeler!$F90)),Ödemeler!$C90,0))</f>
        <v/>
      </c>
      <c r="G91" s="36" t="str">
        <f aca="false">IF(OR(Ödemeler!$A90="",Ödemeler!$G90="",Ödemeler!$E90=""),"",IF(AND(((Özet!$C$4*12+6)-(YEAR(Ödemeler!$E90)*12+MONTH(Ödemeler!$E90)))&gt;=0,MOD(((Özet!$C$4*12+6)-(YEAR(Ödemeler!$E90)*12+MONTH(Ödemeler!$E90))),Ödemeler!$G90)=0,OR(Ödemeler!$F90="",DATE(Özet!$C$4,6,1)&lt;=Ödemeler!$F90)),Ödemeler!$C90,0))</f>
        <v/>
      </c>
      <c r="H91" s="36" t="str">
        <f aca="false">IF(OR(Ödemeler!$A90="",Ödemeler!$G90="",Ödemeler!$E90=""),"",IF(AND(((Özet!$C$4*12+7)-(YEAR(Ödemeler!$E90)*12+MONTH(Ödemeler!$E90)))&gt;=0,MOD(((Özet!$C$4*12+7)-(YEAR(Ödemeler!$E90)*12+MONTH(Ödemeler!$E90))),Ödemeler!$G90)=0,OR(Ödemeler!$F90="",DATE(Özet!$C$4,7,1)&lt;=Ödemeler!$F90)),Ödemeler!$C90,0))</f>
        <v/>
      </c>
      <c r="I91" s="36" t="str">
        <f aca="false">IF(OR(Ödemeler!$A90="",Ödemeler!$G90="",Ödemeler!$E90=""),"",IF(AND(((Özet!$C$4*12+8)-(YEAR(Ödemeler!$E90)*12+MONTH(Ödemeler!$E90)))&gt;=0,MOD(((Özet!$C$4*12+8)-(YEAR(Ödemeler!$E90)*12+MONTH(Ödemeler!$E90))),Ödemeler!$G90)=0,OR(Ödemeler!$F90="",DATE(Özet!$C$4,8,1)&lt;=Ödemeler!$F90)),Ödemeler!$C90,0))</f>
        <v/>
      </c>
      <c r="J91" s="36" t="str">
        <f aca="false">IF(OR(Ödemeler!$A90="",Ödemeler!$G90="",Ödemeler!$E90=""),"",IF(AND(((Özet!$C$4*12+9)-(YEAR(Ödemeler!$E90)*12+MONTH(Ödemeler!$E90)))&gt;=0,MOD(((Özet!$C$4*12+9)-(YEAR(Ödemeler!$E90)*12+MONTH(Ödemeler!$E90))),Ödemeler!$G90)=0,OR(Ödemeler!$F90="",DATE(Özet!$C$4,9,1)&lt;=Ödemeler!$F90)),Ödemeler!$C90,0))</f>
        <v/>
      </c>
      <c r="K91" s="36" t="str">
        <f aca="false">IF(OR(Ödemeler!$A90="",Ödemeler!$G90="",Ödemeler!$E90=""),"",IF(AND(((Özet!$C$4*12+10)-(YEAR(Ödemeler!$E90)*12+MONTH(Ödemeler!$E90)))&gt;=0,MOD(((Özet!$C$4*12+10)-(YEAR(Ödemeler!$E90)*12+MONTH(Ödemeler!$E90))),Ödemeler!$G90)=0,OR(Ödemeler!$F90="",DATE(Özet!$C$4,10,1)&lt;=Ödemeler!$F90)),Ödemeler!$C90,0))</f>
        <v/>
      </c>
      <c r="L91" s="36" t="str">
        <f aca="false">IF(OR(Ödemeler!$A90="",Ödemeler!$G90="",Ödemeler!$E90=""),"",IF(AND(((Özet!$C$4*12+11)-(YEAR(Ödemeler!$E90)*12+MONTH(Ödemeler!$E90)))&gt;=0,MOD(((Özet!$C$4*12+11)-(YEAR(Ödemeler!$E90)*12+MONTH(Ödemeler!$E90))),Ödemeler!$G90)=0,OR(Ödemeler!$F90="",DATE(Özet!$C$4,11,1)&lt;=Ödemeler!$F90)),Ödemeler!$C90,0))</f>
        <v/>
      </c>
      <c r="M91" s="36" t="str">
        <f aca="false">IF(OR(Ödemeler!$A90="",Ödemeler!$G90="",Ödemeler!$E90=""),"",IF(AND(((Özet!$C$4*12+12)-(YEAR(Ödemeler!$E90)*12+MONTH(Ödemeler!$E90)))&gt;=0,MOD(((Özet!$C$4*12+12)-(YEAR(Ödemeler!$E90)*12+MONTH(Ödemeler!$E90))),Ödemeler!$G90)=0,OR(Ödemeler!$F90="",DATE(Özet!$C$4,12,1)&lt;=Ödemeler!$F90)),Ödemeler!$C90,0))</f>
        <v/>
      </c>
      <c r="N91" s="36" t="str">
        <f aca="false">IF(COUNT(B91:M91)=0,"",SUM(B91:M91))</f>
        <v/>
      </c>
    </row>
    <row r="92" customFormat="false" ht="15" hidden="false" customHeight="false" outlineLevel="0" collapsed="false">
      <c r="A92" s="30" t="str">
        <f aca="false">IF(Ödemeler!A91="","",Ödemeler!A91)</f>
        <v/>
      </c>
      <c r="B92" s="37" t="str">
        <f aca="false">IF(OR(Ödemeler!$A91="",Ödemeler!$G91="",Ödemeler!$E91=""),"",IF(AND(((Özet!$C$4*12+1)-(YEAR(Ödemeler!$E91)*12+MONTH(Ödemeler!$E91)))&gt;=0,MOD(((Özet!$C$4*12+1)-(YEAR(Ödemeler!$E91)*12+MONTH(Ödemeler!$E91))),Ödemeler!$G91)=0,OR(Ödemeler!$F91="",DATE(Özet!$C$4,1,1)&lt;=Ödemeler!$F91)),Ödemeler!$C91,0))</f>
        <v/>
      </c>
      <c r="C92" s="37" t="str">
        <f aca="false">IF(OR(Ödemeler!$A91="",Ödemeler!$G91="",Ödemeler!$E91=""),"",IF(AND(((Özet!$C$4*12+2)-(YEAR(Ödemeler!$E91)*12+MONTH(Ödemeler!$E91)))&gt;=0,MOD(((Özet!$C$4*12+2)-(YEAR(Ödemeler!$E91)*12+MONTH(Ödemeler!$E91))),Ödemeler!$G91)=0,OR(Ödemeler!$F91="",DATE(Özet!$C$4,2,1)&lt;=Ödemeler!$F91)),Ödemeler!$C91,0))</f>
        <v/>
      </c>
      <c r="D92" s="37" t="str">
        <f aca="false">IF(OR(Ödemeler!$A91="",Ödemeler!$G91="",Ödemeler!$E91=""),"",IF(AND(((Özet!$C$4*12+3)-(YEAR(Ödemeler!$E91)*12+MONTH(Ödemeler!$E91)))&gt;=0,MOD(((Özet!$C$4*12+3)-(YEAR(Ödemeler!$E91)*12+MONTH(Ödemeler!$E91))),Ödemeler!$G91)=0,OR(Ödemeler!$F91="",DATE(Özet!$C$4,3,1)&lt;=Ödemeler!$F91)),Ödemeler!$C91,0))</f>
        <v/>
      </c>
      <c r="E92" s="37" t="str">
        <f aca="false">IF(OR(Ödemeler!$A91="",Ödemeler!$G91="",Ödemeler!$E91=""),"",IF(AND(((Özet!$C$4*12+4)-(YEAR(Ödemeler!$E91)*12+MONTH(Ödemeler!$E91)))&gt;=0,MOD(((Özet!$C$4*12+4)-(YEAR(Ödemeler!$E91)*12+MONTH(Ödemeler!$E91))),Ödemeler!$G91)=0,OR(Ödemeler!$F91="",DATE(Özet!$C$4,4,1)&lt;=Ödemeler!$F91)),Ödemeler!$C91,0))</f>
        <v/>
      </c>
      <c r="F92" s="37" t="str">
        <f aca="false">IF(OR(Ödemeler!$A91="",Ödemeler!$G91="",Ödemeler!$E91=""),"",IF(AND(((Özet!$C$4*12+5)-(YEAR(Ödemeler!$E91)*12+MONTH(Ödemeler!$E91)))&gt;=0,MOD(((Özet!$C$4*12+5)-(YEAR(Ödemeler!$E91)*12+MONTH(Ödemeler!$E91))),Ödemeler!$G91)=0,OR(Ödemeler!$F91="",DATE(Özet!$C$4,5,1)&lt;=Ödemeler!$F91)),Ödemeler!$C91,0))</f>
        <v/>
      </c>
      <c r="G92" s="37" t="str">
        <f aca="false">IF(OR(Ödemeler!$A91="",Ödemeler!$G91="",Ödemeler!$E91=""),"",IF(AND(((Özet!$C$4*12+6)-(YEAR(Ödemeler!$E91)*12+MONTH(Ödemeler!$E91)))&gt;=0,MOD(((Özet!$C$4*12+6)-(YEAR(Ödemeler!$E91)*12+MONTH(Ödemeler!$E91))),Ödemeler!$G91)=0,OR(Ödemeler!$F91="",DATE(Özet!$C$4,6,1)&lt;=Ödemeler!$F91)),Ödemeler!$C91,0))</f>
        <v/>
      </c>
      <c r="H92" s="37" t="str">
        <f aca="false">IF(OR(Ödemeler!$A91="",Ödemeler!$G91="",Ödemeler!$E91=""),"",IF(AND(((Özet!$C$4*12+7)-(YEAR(Ödemeler!$E91)*12+MONTH(Ödemeler!$E91)))&gt;=0,MOD(((Özet!$C$4*12+7)-(YEAR(Ödemeler!$E91)*12+MONTH(Ödemeler!$E91))),Ödemeler!$G91)=0,OR(Ödemeler!$F91="",DATE(Özet!$C$4,7,1)&lt;=Ödemeler!$F91)),Ödemeler!$C91,0))</f>
        <v/>
      </c>
      <c r="I92" s="37" t="str">
        <f aca="false">IF(OR(Ödemeler!$A91="",Ödemeler!$G91="",Ödemeler!$E91=""),"",IF(AND(((Özet!$C$4*12+8)-(YEAR(Ödemeler!$E91)*12+MONTH(Ödemeler!$E91)))&gt;=0,MOD(((Özet!$C$4*12+8)-(YEAR(Ödemeler!$E91)*12+MONTH(Ödemeler!$E91))),Ödemeler!$G91)=0,OR(Ödemeler!$F91="",DATE(Özet!$C$4,8,1)&lt;=Ödemeler!$F91)),Ödemeler!$C91,0))</f>
        <v/>
      </c>
      <c r="J92" s="37" t="str">
        <f aca="false">IF(OR(Ödemeler!$A91="",Ödemeler!$G91="",Ödemeler!$E91=""),"",IF(AND(((Özet!$C$4*12+9)-(YEAR(Ödemeler!$E91)*12+MONTH(Ödemeler!$E91)))&gt;=0,MOD(((Özet!$C$4*12+9)-(YEAR(Ödemeler!$E91)*12+MONTH(Ödemeler!$E91))),Ödemeler!$G91)=0,OR(Ödemeler!$F91="",DATE(Özet!$C$4,9,1)&lt;=Ödemeler!$F91)),Ödemeler!$C91,0))</f>
        <v/>
      </c>
      <c r="K92" s="37" t="str">
        <f aca="false">IF(OR(Ödemeler!$A91="",Ödemeler!$G91="",Ödemeler!$E91=""),"",IF(AND(((Özet!$C$4*12+10)-(YEAR(Ödemeler!$E91)*12+MONTH(Ödemeler!$E91)))&gt;=0,MOD(((Özet!$C$4*12+10)-(YEAR(Ödemeler!$E91)*12+MONTH(Ödemeler!$E91))),Ödemeler!$G91)=0,OR(Ödemeler!$F91="",DATE(Özet!$C$4,10,1)&lt;=Ödemeler!$F91)),Ödemeler!$C91,0))</f>
        <v/>
      </c>
      <c r="L92" s="37" t="str">
        <f aca="false">IF(OR(Ödemeler!$A91="",Ödemeler!$G91="",Ödemeler!$E91=""),"",IF(AND(((Özet!$C$4*12+11)-(YEAR(Ödemeler!$E91)*12+MONTH(Ödemeler!$E91)))&gt;=0,MOD(((Özet!$C$4*12+11)-(YEAR(Ödemeler!$E91)*12+MONTH(Ödemeler!$E91))),Ödemeler!$G91)=0,OR(Ödemeler!$F91="",DATE(Özet!$C$4,11,1)&lt;=Ödemeler!$F91)),Ödemeler!$C91,0))</f>
        <v/>
      </c>
      <c r="M92" s="37" t="str">
        <f aca="false">IF(OR(Ödemeler!$A91="",Ödemeler!$G91="",Ödemeler!$E91=""),"",IF(AND(((Özet!$C$4*12+12)-(YEAR(Ödemeler!$E91)*12+MONTH(Ödemeler!$E91)))&gt;=0,MOD(((Özet!$C$4*12+12)-(YEAR(Ödemeler!$E91)*12+MONTH(Ödemeler!$E91))),Ödemeler!$G91)=0,OR(Ödemeler!$F91="",DATE(Özet!$C$4,12,1)&lt;=Ödemeler!$F91)),Ödemeler!$C91,0))</f>
        <v/>
      </c>
      <c r="N92" s="37" t="str">
        <f aca="false">IF(COUNT(B92:M92)=0,"",SUM(B92:M92))</f>
        <v/>
      </c>
    </row>
    <row r="93" customFormat="false" ht="15" hidden="false" customHeight="false" outlineLevel="0" collapsed="false">
      <c r="A93" s="16" t="str">
        <f aca="false">IF(Ödemeler!A92="","",Ödemeler!A92)</f>
        <v/>
      </c>
      <c r="B93" s="36" t="str">
        <f aca="false">IF(OR(Ödemeler!$A92="",Ödemeler!$G92="",Ödemeler!$E92=""),"",IF(AND(((Özet!$C$4*12+1)-(YEAR(Ödemeler!$E92)*12+MONTH(Ödemeler!$E92)))&gt;=0,MOD(((Özet!$C$4*12+1)-(YEAR(Ödemeler!$E92)*12+MONTH(Ödemeler!$E92))),Ödemeler!$G92)=0,OR(Ödemeler!$F92="",DATE(Özet!$C$4,1,1)&lt;=Ödemeler!$F92)),Ödemeler!$C92,0))</f>
        <v/>
      </c>
      <c r="C93" s="36" t="str">
        <f aca="false">IF(OR(Ödemeler!$A92="",Ödemeler!$G92="",Ödemeler!$E92=""),"",IF(AND(((Özet!$C$4*12+2)-(YEAR(Ödemeler!$E92)*12+MONTH(Ödemeler!$E92)))&gt;=0,MOD(((Özet!$C$4*12+2)-(YEAR(Ödemeler!$E92)*12+MONTH(Ödemeler!$E92))),Ödemeler!$G92)=0,OR(Ödemeler!$F92="",DATE(Özet!$C$4,2,1)&lt;=Ödemeler!$F92)),Ödemeler!$C92,0))</f>
        <v/>
      </c>
      <c r="D93" s="36" t="str">
        <f aca="false">IF(OR(Ödemeler!$A92="",Ödemeler!$G92="",Ödemeler!$E92=""),"",IF(AND(((Özet!$C$4*12+3)-(YEAR(Ödemeler!$E92)*12+MONTH(Ödemeler!$E92)))&gt;=0,MOD(((Özet!$C$4*12+3)-(YEAR(Ödemeler!$E92)*12+MONTH(Ödemeler!$E92))),Ödemeler!$G92)=0,OR(Ödemeler!$F92="",DATE(Özet!$C$4,3,1)&lt;=Ödemeler!$F92)),Ödemeler!$C92,0))</f>
        <v/>
      </c>
      <c r="E93" s="36" t="str">
        <f aca="false">IF(OR(Ödemeler!$A92="",Ödemeler!$G92="",Ödemeler!$E92=""),"",IF(AND(((Özet!$C$4*12+4)-(YEAR(Ödemeler!$E92)*12+MONTH(Ödemeler!$E92)))&gt;=0,MOD(((Özet!$C$4*12+4)-(YEAR(Ödemeler!$E92)*12+MONTH(Ödemeler!$E92))),Ödemeler!$G92)=0,OR(Ödemeler!$F92="",DATE(Özet!$C$4,4,1)&lt;=Ödemeler!$F92)),Ödemeler!$C92,0))</f>
        <v/>
      </c>
      <c r="F93" s="36" t="str">
        <f aca="false">IF(OR(Ödemeler!$A92="",Ödemeler!$G92="",Ödemeler!$E92=""),"",IF(AND(((Özet!$C$4*12+5)-(YEAR(Ödemeler!$E92)*12+MONTH(Ödemeler!$E92)))&gt;=0,MOD(((Özet!$C$4*12+5)-(YEAR(Ödemeler!$E92)*12+MONTH(Ödemeler!$E92))),Ödemeler!$G92)=0,OR(Ödemeler!$F92="",DATE(Özet!$C$4,5,1)&lt;=Ödemeler!$F92)),Ödemeler!$C92,0))</f>
        <v/>
      </c>
      <c r="G93" s="36" t="str">
        <f aca="false">IF(OR(Ödemeler!$A92="",Ödemeler!$G92="",Ödemeler!$E92=""),"",IF(AND(((Özet!$C$4*12+6)-(YEAR(Ödemeler!$E92)*12+MONTH(Ödemeler!$E92)))&gt;=0,MOD(((Özet!$C$4*12+6)-(YEAR(Ödemeler!$E92)*12+MONTH(Ödemeler!$E92))),Ödemeler!$G92)=0,OR(Ödemeler!$F92="",DATE(Özet!$C$4,6,1)&lt;=Ödemeler!$F92)),Ödemeler!$C92,0))</f>
        <v/>
      </c>
      <c r="H93" s="36" t="str">
        <f aca="false">IF(OR(Ödemeler!$A92="",Ödemeler!$G92="",Ödemeler!$E92=""),"",IF(AND(((Özet!$C$4*12+7)-(YEAR(Ödemeler!$E92)*12+MONTH(Ödemeler!$E92)))&gt;=0,MOD(((Özet!$C$4*12+7)-(YEAR(Ödemeler!$E92)*12+MONTH(Ödemeler!$E92))),Ödemeler!$G92)=0,OR(Ödemeler!$F92="",DATE(Özet!$C$4,7,1)&lt;=Ödemeler!$F92)),Ödemeler!$C92,0))</f>
        <v/>
      </c>
      <c r="I93" s="36" t="str">
        <f aca="false">IF(OR(Ödemeler!$A92="",Ödemeler!$G92="",Ödemeler!$E92=""),"",IF(AND(((Özet!$C$4*12+8)-(YEAR(Ödemeler!$E92)*12+MONTH(Ödemeler!$E92)))&gt;=0,MOD(((Özet!$C$4*12+8)-(YEAR(Ödemeler!$E92)*12+MONTH(Ödemeler!$E92))),Ödemeler!$G92)=0,OR(Ödemeler!$F92="",DATE(Özet!$C$4,8,1)&lt;=Ödemeler!$F92)),Ödemeler!$C92,0))</f>
        <v/>
      </c>
      <c r="J93" s="36" t="str">
        <f aca="false">IF(OR(Ödemeler!$A92="",Ödemeler!$G92="",Ödemeler!$E92=""),"",IF(AND(((Özet!$C$4*12+9)-(YEAR(Ödemeler!$E92)*12+MONTH(Ödemeler!$E92)))&gt;=0,MOD(((Özet!$C$4*12+9)-(YEAR(Ödemeler!$E92)*12+MONTH(Ödemeler!$E92))),Ödemeler!$G92)=0,OR(Ödemeler!$F92="",DATE(Özet!$C$4,9,1)&lt;=Ödemeler!$F92)),Ödemeler!$C92,0))</f>
        <v/>
      </c>
      <c r="K93" s="36" t="str">
        <f aca="false">IF(OR(Ödemeler!$A92="",Ödemeler!$G92="",Ödemeler!$E92=""),"",IF(AND(((Özet!$C$4*12+10)-(YEAR(Ödemeler!$E92)*12+MONTH(Ödemeler!$E92)))&gt;=0,MOD(((Özet!$C$4*12+10)-(YEAR(Ödemeler!$E92)*12+MONTH(Ödemeler!$E92))),Ödemeler!$G92)=0,OR(Ödemeler!$F92="",DATE(Özet!$C$4,10,1)&lt;=Ödemeler!$F92)),Ödemeler!$C92,0))</f>
        <v/>
      </c>
      <c r="L93" s="36" t="str">
        <f aca="false">IF(OR(Ödemeler!$A92="",Ödemeler!$G92="",Ödemeler!$E92=""),"",IF(AND(((Özet!$C$4*12+11)-(YEAR(Ödemeler!$E92)*12+MONTH(Ödemeler!$E92)))&gt;=0,MOD(((Özet!$C$4*12+11)-(YEAR(Ödemeler!$E92)*12+MONTH(Ödemeler!$E92))),Ödemeler!$G92)=0,OR(Ödemeler!$F92="",DATE(Özet!$C$4,11,1)&lt;=Ödemeler!$F92)),Ödemeler!$C92,0))</f>
        <v/>
      </c>
      <c r="M93" s="36" t="str">
        <f aca="false">IF(OR(Ödemeler!$A92="",Ödemeler!$G92="",Ödemeler!$E92=""),"",IF(AND(((Özet!$C$4*12+12)-(YEAR(Ödemeler!$E92)*12+MONTH(Ödemeler!$E92)))&gt;=0,MOD(((Özet!$C$4*12+12)-(YEAR(Ödemeler!$E92)*12+MONTH(Ödemeler!$E92))),Ödemeler!$G92)=0,OR(Ödemeler!$F92="",DATE(Özet!$C$4,12,1)&lt;=Ödemeler!$F92)),Ödemeler!$C92,0))</f>
        <v/>
      </c>
      <c r="N93" s="36" t="str">
        <f aca="false">IF(COUNT(B93:M93)=0,"",SUM(B93:M93))</f>
        <v/>
      </c>
    </row>
    <row r="94" customFormat="false" ht="15" hidden="false" customHeight="false" outlineLevel="0" collapsed="false">
      <c r="A94" s="30" t="str">
        <f aca="false">IF(Ödemeler!A93="","",Ödemeler!A93)</f>
        <v/>
      </c>
      <c r="B94" s="37" t="str">
        <f aca="false">IF(OR(Ödemeler!$A93="",Ödemeler!$G93="",Ödemeler!$E93=""),"",IF(AND(((Özet!$C$4*12+1)-(YEAR(Ödemeler!$E93)*12+MONTH(Ödemeler!$E93)))&gt;=0,MOD(((Özet!$C$4*12+1)-(YEAR(Ödemeler!$E93)*12+MONTH(Ödemeler!$E93))),Ödemeler!$G93)=0,OR(Ödemeler!$F93="",DATE(Özet!$C$4,1,1)&lt;=Ödemeler!$F93)),Ödemeler!$C93,0))</f>
        <v/>
      </c>
      <c r="C94" s="37" t="str">
        <f aca="false">IF(OR(Ödemeler!$A93="",Ödemeler!$G93="",Ödemeler!$E93=""),"",IF(AND(((Özet!$C$4*12+2)-(YEAR(Ödemeler!$E93)*12+MONTH(Ödemeler!$E93)))&gt;=0,MOD(((Özet!$C$4*12+2)-(YEAR(Ödemeler!$E93)*12+MONTH(Ödemeler!$E93))),Ödemeler!$G93)=0,OR(Ödemeler!$F93="",DATE(Özet!$C$4,2,1)&lt;=Ödemeler!$F93)),Ödemeler!$C93,0))</f>
        <v/>
      </c>
      <c r="D94" s="37" t="str">
        <f aca="false">IF(OR(Ödemeler!$A93="",Ödemeler!$G93="",Ödemeler!$E93=""),"",IF(AND(((Özet!$C$4*12+3)-(YEAR(Ödemeler!$E93)*12+MONTH(Ödemeler!$E93)))&gt;=0,MOD(((Özet!$C$4*12+3)-(YEAR(Ödemeler!$E93)*12+MONTH(Ödemeler!$E93))),Ödemeler!$G93)=0,OR(Ödemeler!$F93="",DATE(Özet!$C$4,3,1)&lt;=Ödemeler!$F93)),Ödemeler!$C93,0))</f>
        <v/>
      </c>
      <c r="E94" s="37" t="str">
        <f aca="false">IF(OR(Ödemeler!$A93="",Ödemeler!$G93="",Ödemeler!$E93=""),"",IF(AND(((Özet!$C$4*12+4)-(YEAR(Ödemeler!$E93)*12+MONTH(Ödemeler!$E93)))&gt;=0,MOD(((Özet!$C$4*12+4)-(YEAR(Ödemeler!$E93)*12+MONTH(Ödemeler!$E93))),Ödemeler!$G93)=0,OR(Ödemeler!$F93="",DATE(Özet!$C$4,4,1)&lt;=Ödemeler!$F93)),Ödemeler!$C93,0))</f>
        <v/>
      </c>
      <c r="F94" s="37" t="str">
        <f aca="false">IF(OR(Ödemeler!$A93="",Ödemeler!$G93="",Ödemeler!$E93=""),"",IF(AND(((Özet!$C$4*12+5)-(YEAR(Ödemeler!$E93)*12+MONTH(Ödemeler!$E93)))&gt;=0,MOD(((Özet!$C$4*12+5)-(YEAR(Ödemeler!$E93)*12+MONTH(Ödemeler!$E93))),Ödemeler!$G93)=0,OR(Ödemeler!$F93="",DATE(Özet!$C$4,5,1)&lt;=Ödemeler!$F93)),Ödemeler!$C93,0))</f>
        <v/>
      </c>
      <c r="G94" s="37" t="str">
        <f aca="false">IF(OR(Ödemeler!$A93="",Ödemeler!$G93="",Ödemeler!$E93=""),"",IF(AND(((Özet!$C$4*12+6)-(YEAR(Ödemeler!$E93)*12+MONTH(Ödemeler!$E93)))&gt;=0,MOD(((Özet!$C$4*12+6)-(YEAR(Ödemeler!$E93)*12+MONTH(Ödemeler!$E93))),Ödemeler!$G93)=0,OR(Ödemeler!$F93="",DATE(Özet!$C$4,6,1)&lt;=Ödemeler!$F93)),Ödemeler!$C93,0))</f>
        <v/>
      </c>
      <c r="H94" s="37" t="str">
        <f aca="false">IF(OR(Ödemeler!$A93="",Ödemeler!$G93="",Ödemeler!$E93=""),"",IF(AND(((Özet!$C$4*12+7)-(YEAR(Ödemeler!$E93)*12+MONTH(Ödemeler!$E93)))&gt;=0,MOD(((Özet!$C$4*12+7)-(YEAR(Ödemeler!$E93)*12+MONTH(Ödemeler!$E93))),Ödemeler!$G93)=0,OR(Ödemeler!$F93="",DATE(Özet!$C$4,7,1)&lt;=Ödemeler!$F93)),Ödemeler!$C93,0))</f>
        <v/>
      </c>
      <c r="I94" s="37" t="str">
        <f aca="false">IF(OR(Ödemeler!$A93="",Ödemeler!$G93="",Ödemeler!$E93=""),"",IF(AND(((Özet!$C$4*12+8)-(YEAR(Ödemeler!$E93)*12+MONTH(Ödemeler!$E93)))&gt;=0,MOD(((Özet!$C$4*12+8)-(YEAR(Ödemeler!$E93)*12+MONTH(Ödemeler!$E93))),Ödemeler!$G93)=0,OR(Ödemeler!$F93="",DATE(Özet!$C$4,8,1)&lt;=Ödemeler!$F93)),Ödemeler!$C93,0))</f>
        <v/>
      </c>
      <c r="J94" s="37" t="str">
        <f aca="false">IF(OR(Ödemeler!$A93="",Ödemeler!$G93="",Ödemeler!$E93=""),"",IF(AND(((Özet!$C$4*12+9)-(YEAR(Ödemeler!$E93)*12+MONTH(Ödemeler!$E93)))&gt;=0,MOD(((Özet!$C$4*12+9)-(YEAR(Ödemeler!$E93)*12+MONTH(Ödemeler!$E93))),Ödemeler!$G93)=0,OR(Ödemeler!$F93="",DATE(Özet!$C$4,9,1)&lt;=Ödemeler!$F93)),Ödemeler!$C93,0))</f>
        <v/>
      </c>
      <c r="K94" s="37" t="str">
        <f aca="false">IF(OR(Ödemeler!$A93="",Ödemeler!$G93="",Ödemeler!$E93=""),"",IF(AND(((Özet!$C$4*12+10)-(YEAR(Ödemeler!$E93)*12+MONTH(Ödemeler!$E93)))&gt;=0,MOD(((Özet!$C$4*12+10)-(YEAR(Ödemeler!$E93)*12+MONTH(Ödemeler!$E93))),Ödemeler!$G93)=0,OR(Ödemeler!$F93="",DATE(Özet!$C$4,10,1)&lt;=Ödemeler!$F93)),Ödemeler!$C93,0))</f>
        <v/>
      </c>
      <c r="L94" s="37" t="str">
        <f aca="false">IF(OR(Ödemeler!$A93="",Ödemeler!$G93="",Ödemeler!$E93=""),"",IF(AND(((Özet!$C$4*12+11)-(YEAR(Ödemeler!$E93)*12+MONTH(Ödemeler!$E93)))&gt;=0,MOD(((Özet!$C$4*12+11)-(YEAR(Ödemeler!$E93)*12+MONTH(Ödemeler!$E93))),Ödemeler!$G93)=0,OR(Ödemeler!$F93="",DATE(Özet!$C$4,11,1)&lt;=Ödemeler!$F93)),Ödemeler!$C93,0))</f>
        <v/>
      </c>
      <c r="M94" s="37" t="str">
        <f aca="false">IF(OR(Ödemeler!$A93="",Ödemeler!$G93="",Ödemeler!$E93=""),"",IF(AND(((Özet!$C$4*12+12)-(YEAR(Ödemeler!$E93)*12+MONTH(Ödemeler!$E93)))&gt;=0,MOD(((Özet!$C$4*12+12)-(YEAR(Ödemeler!$E93)*12+MONTH(Ödemeler!$E93))),Ödemeler!$G93)=0,OR(Ödemeler!$F93="",DATE(Özet!$C$4,12,1)&lt;=Ödemeler!$F93)),Ödemeler!$C93,0))</f>
        <v/>
      </c>
      <c r="N94" s="37" t="str">
        <f aca="false">IF(COUNT(B94:M94)=0,"",SUM(B94:M94))</f>
        <v/>
      </c>
    </row>
    <row r="95" customFormat="false" ht="15" hidden="false" customHeight="false" outlineLevel="0" collapsed="false">
      <c r="A95" s="16" t="str">
        <f aca="false">IF(Ödemeler!A94="","",Ödemeler!A94)</f>
        <v/>
      </c>
      <c r="B95" s="36" t="str">
        <f aca="false">IF(OR(Ödemeler!$A94="",Ödemeler!$G94="",Ödemeler!$E94=""),"",IF(AND(((Özet!$C$4*12+1)-(YEAR(Ödemeler!$E94)*12+MONTH(Ödemeler!$E94)))&gt;=0,MOD(((Özet!$C$4*12+1)-(YEAR(Ödemeler!$E94)*12+MONTH(Ödemeler!$E94))),Ödemeler!$G94)=0,OR(Ödemeler!$F94="",DATE(Özet!$C$4,1,1)&lt;=Ödemeler!$F94)),Ödemeler!$C94,0))</f>
        <v/>
      </c>
      <c r="C95" s="36" t="str">
        <f aca="false">IF(OR(Ödemeler!$A94="",Ödemeler!$G94="",Ödemeler!$E94=""),"",IF(AND(((Özet!$C$4*12+2)-(YEAR(Ödemeler!$E94)*12+MONTH(Ödemeler!$E94)))&gt;=0,MOD(((Özet!$C$4*12+2)-(YEAR(Ödemeler!$E94)*12+MONTH(Ödemeler!$E94))),Ödemeler!$G94)=0,OR(Ödemeler!$F94="",DATE(Özet!$C$4,2,1)&lt;=Ödemeler!$F94)),Ödemeler!$C94,0))</f>
        <v/>
      </c>
      <c r="D95" s="36" t="str">
        <f aca="false">IF(OR(Ödemeler!$A94="",Ödemeler!$G94="",Ödemeler!$E94=""),"",IF(AND(((Özet!$C$4*12+3)-(YEAR(Ödemeler!$E94)*12+MONTH(Ödemeler!$E94)))&gt;=0,MOD(((Özet!$C$4*12+3)-(YEAR(Ödemeler!$E94)*12+MONTH(Ödemeler!$E94))),Ödemeler!$G94)=0,OR(Ödemeler!$F94="",DATE(Özet!$C$4,3,1)&lt;=Ödemeler!$F94)),Ödemeler!$C94,0))</f>
        <v/>
      </c>
      <c r="E95" s="36" t="str">
        <f aca="false">IF(OR(Ödemeler!$A94="",Ödemeler!$G94="",Ödemeler!$E94=""),"",IF(AND(((Özet!$C$4*12+4)-(YEAR(Ödemeler!$E94)*12+MONTH(Ödemeler!$E94)))&gt;=0,MOD(((Özet!$C$4*12+4)-(YEAR(Ödemeler!$E94)*12+MONTH(Ödemeler!$E94))),Ödemeler!$G94)=0,OR(Ödemeler!$F94="",DATE(Özet!$C$4,4,1)&lt;=Ödemeler!$F94)),Ödemeler!$C94,0))</f>
        <v/>
      </c>
      <c r="F95" s="36" t="str">
        <f aca="false">IF(OR(Ödemeler!$A94="",Ödemeler!$G94="",Ödemeler!$E94=""),"",IF(AND(((Özet!$C$4*12+5)-(YEAR(Ödemeler!$E94)*12+MONTH(Ödemeler!$E94)))&gt;=0,MOD(((Özet!$C$4*12+5)-(YEAR(Ödemeler!$E94)*12+MONTH(Ödemeler!$E94))),Ödemeler!$G94)=0,OR(Ödemeler!$F94="",DATE(Özet!$C$4,5,1)&lt;=Ödemeler!$F94)),Ödemeler!$C94,0))</f>
        <v/>
      </c>
      <c r="G95" s="36" t="str">
        <f aca="false">IF(OR(Ödemeler!$A94="",Ödemeler!$G94="",Ödemeler!$E94=""),"",IF(AND(((Özet!$C$4*12+6)-(YEAR(Ödemeler!$E94)*12+MONTH(Ödemeler!$E94)))&gt;=0,MOD(((Özet!$C$4*12+6)-(YEAR(Ödemeler!$E94)*12+MONTH(Ödemeler!$E94))),Ödemeler!$G94)=0,OR(Ödemeler!$F94="",DATE(Özet!$C$4,6,1)&lt;=Ödemeler!$F94)),Ödemeler!$C94,0))</f>
        <v/>
      </c>
      <c r="H95" s="36" t="str">
        <f aca="false">IF(OR(Ödemeler!$A94="",Ödemeler!$G94="",Ödemeler!$E94=""),"",IF(AND(((Özet!$C$4*12+7)-(YEAR(Ödemeler!$E94)*12+MONTH(Ödemeler!$E94)))&gt;=0,MOD(((Özet!$C$4*12+7)-(YEAR(Ödemeler!$E94)*12+MONTH(Ödemeler!$E94))),Ödemeler!$G94)=0,OR(Ödemeler!$F94="",DATE(Özet!$C$4,7,1)&lt;=Ödemeler!$F94)),Ödemeler!$C94,0))</f>
        <v/>
      </c>
      <c r="I95" s="36" t="str">
        <f aca="false">IF(OR(Ödemeler!$A94="",Ödemeler!$G94="",Ödemeler!$E94=""),"",IF(AND(((Özet!$C$4*12+8)-(YEAR(Ödemeler!$E94)*12+MONTH(Ödemeler!$E94)))&gt;=0,MOD(((Özet!$C$4*12+8)-(YEAR(Ödemeler!$E94)*12+MONTH(Ödemeler!$E94))),Ödemeler!$G94)=0,OR(Ödemeler!$F94="",DATE(Özet!$C$4,8,1)&lt;=Ödemeler!$F94)),Ödemeler!$C94,0))</f>
        <v/>
      </c>
      <c r="J95" s="36" t="str">
        <f aca="false">IF(OR(Ödemeler!$A94="",Ödemeler!$G94="",Ödemeler!$E94=""),"",IF(AND(((Özet!$C$4*12+9)-(YEAR(Ödemeler!$E94)*12+MONTH(Ödemeler!$E94)))&gt;=0,MOD(((Özet!$C$4*12+9)-(YEAR(Ödemeler!$E94)*12+MONTH(Ödemeler!$E94))),Ödemeler!$G94)=0,OR(Ödemeler!$F94="",DATE(Özet!$C$4,9,1)&lt;=Ödemeler!$F94)),Ödemeler!$C94,0))</f>
        <v/>
      </c>
      <c r="K95" s="36" t="str">
        <f aca="false">IF(OR(Ödemeler!$A94="",Ödemeler!$G94="",Ödemeler!$E94=""),"",IF(AND(((Özet!$C$4*12+10)-(YEAR(Ödemeler!$E94)*12+MONTH(Ödemeler!$E94)))&gt;=0,MOD(((Özet!$C$4*12+10)-(YEAR(Ödemeler!$E94)*12+MONTH(Ödemeler!$E94))),Ödemeler!$G94)=0,OR(Ödemeler!$F94="",DATE(Özet!$C$4,10,1)&lt;=Ödemeler!$F94)),Ödemeler!$C94,0))</f>
        <v/>
      </c>
      <c r="L95" s="36" t="str">
        <f aca="false">IF(OR(Ödemeler!$A94="",Ödemeler!$G94="",Ödemeler!$E94=""),"",IF(AND(((Özet!$C$4*12+11)-(YEAR(Ödemeler!$E94)*12+MONTH(Ödemeler!$E94)))&gt;=0,MOD(((Özet!$C$4*12+11)-(YEAR(Ödemeler!$E94)*12+MONTH(Ödemeler!$E94))),Ödemeler!$G94)=0,OR(Ödemeler!$F94="",DATE(Özet!$C$4,11,1)&lt;=Ödemeler!$F94)),Ödemeler!$C94,0))</f>
        <v/>
      </c>
      <c r="M95" s="36" t="str">
        <f aca="false">IF(OR(Ödemeler!$A94="",Ödemeler!$G94="",Ödemeler!$E94=""),"",IF(AND(((Özet!$C$4*12+12)-(YEAR(Ödemeler!$E94)*12+MONTH(Ödemeler!$E94)))&gt;=0,MOD(((Özet!$C$4*12+12)-(YEAR(Ödemeler!$E94)*12+MONTH(Ödemeler!$E94))),Ödemeler!$G94)=0,OR(Ödemeler!$F94="",DATE(Özet!$C$4,12,1)&lt;=Ödemeler!$F94)),Ödemeler!$C94,0))</f>
        <v/>
      </c>
      <c r="N95" s="36" t="str">
        <f aca="false">IF(COUNT(B95:M95)=0,"",SUM(B95:M95))</f>
        <v/>
      </c>
    </row>
    <row r="96" customFormat="false" ht="15" hidden="false" customHeight="false" outlineLevel="0" collapsed="false">
      <c r="A96" s="30" t="str">
        <f aca="false">IF(Ödemeler!A95="","",Ödemeler!A95)</f>
        <v/>
      </c>
      <c r="B96" s="37" t="str">
        <f aca="false">IF(OR(Ödemeler!$A95="",Ödemeler!$G95="",Ödemeler!$E95=""),"",IF(AND(((Özet!$C$4*12+1)-(YEAR(Ödemeler!$E95)*12+MONTH(Ödemeler!$E95)))&gt;=0,MOD(((Özet!$C$4*12+1)-(YEAR(Ödemeler!$E95)*12+MONTH(Ödemeler!$E95))),Ödemeler!$G95)=0,OR(Ödemeler!$F95="",DATE(Özet!$C$4,1,1)&lt;=Ödemeler!$F95)),Ödemeler!$C95,0))</f>
        <v/>
      </c>
      <c r="C96" s="37" t="str">
        <f aca="false">IF(OR(Ödemeler!$A95="",Ödemeler!$G95="",Ödemeler!$E95=""),"",IF(AND(((Özet!$C$4*12+2)-(YEAR(Ödemeler!$E95)*12+MONTH(Ödemeler!$E95)))&gt;=0,MOD(((Özet!$C$4*12+2)-(YEAR(Ödemeler!$E95)*12+MONTH(Ödemeler!$E95))),Ödemeler!$G95)=0,OR(Ödemeler!$F95="",DATE(Özet!$C$4,2,1)&lt;=Ödemeler!$F95)),Ödemeler!$C95,0))</f>
        <v/>
      </c>
      <c r="D96" s="37" t="str">
        <f aca="false">IF(OR(Ödemeler!$A95="",Ödemeler!$G95="",Ödemeler!$E95=""),"",IF(AND(((Özet!$C$4*12+3)-(YEAR(Ödemeler!$E95)*12+MONTH(Ödemeler!$E95)))&gt;=0,MOD(((Özet!$C$4*12+3)-(YEAR(Ödemeler!$E95)*12+MONTH(Ödemeler!$E95))),Ödemeler!$G95)=0,OR(Ödemeler!$F95="",DATE(Özet!$C$4,3,1)&lt;=Ödemeler!$F95)),Ödemeler!$C95,0))</f>
        <v/>
      </c>
      <c r="E96" s="37" t="str">
        <f aca="false">IF(OR(Ödemeler!$A95="",Ödemeler!$G95="",Ödemeler!$E95=""),"",IF(AND(((Özet!$C$4*12+4)-(YEAR(Ödemeler!$E95)*12+MONTH(Ödemeler!$E95)))&gt;=0,MOD(((Özet!$C$4*12+4)-(YEAR(Ödemeler!$E95)*12+MONTH(Ödemeler!$E95))),Ödemeler!$G95)=0,OR(Ödemeler!$F95="",DATE(Özet!$C$4,4,1)&lt;=Ödemeler!$F95)),Ödemeler!$C95,0))</f>
        <v/>
      </c>
      <c r="F96" s="37" t="str">
        <f aca="false">IF(OR(Ödemeler!$A95="",Ödemeler!$G95="",Ödemeler!$E95=""),"",IF(AND(((Özet!$C$4*12+5)-(YEAR(Ödemeler!$E95)*12+MONTH(Ödemeler!$E95)))&gt;=0,MOD(((Özet!$C$4*12+5)-(YEAR(Ödemeler!$E95)*12+MONTH(Ödemeler!$E95))),Ödemeler!$G95)=0,OR(Ödemeler!$F95="",DATE(Özet!$C$4,5,1)&lt;=Ödemeler!$F95)),Ödemeler!$C95,0))</f>
        <v/>
      </c>
      <c r="G96" s="37" t="str">
        <f aca="false">IF(OR(Ödemeler!$A95="",Ödemeler!$G95="",Ödemeler!$E95=""),"",IF(AND(((Özet!$C$4*12+6)-(YEAR(Ödemeler!$E95)*12+MONTH(Ödemeler!$E95)))&gt;=0,MOD(((Özet!$C$4*12+6)-(YEAR(Ödemeler!$E95)*12+MONTH(Ödemeler!$E95))),Ödemeler!$G95)=0,OR(Ödemeler!$F95="",DATE(Özet!$C$4,6,1)&lt;=Ödemeler!$F95)),Ödemeler!$C95,0))</f>
        <v/>
      </c>
      <c r="H96" s="37" t="str">
        <f aca="false">IF(OR(Ödemeler!$A95="",Ödemeler!$G95="",Ödemeler!$E95=""),"",IF(AND(((Özet!$C$4*12+7)-(YEAR(Ödemeler!$E95)*12+MONTH(Ödemeler!$E95)))&gt;=0,MOD(((Özet!$C$4*12+7)-(YEAR(Ödemeler!$E95)*12+MONTH(Ödemeler!$E95))),Ödemeler!$G95)=0,OR(Ödemeler!$F95="",DATE(Özet!$C$4,7,1)&lt;=Ödemeler!$F95)),Ödemeler!$C95,0))</f>
        <v/>
      </c>
      <c r="I96" s="37" t="str">
        <f aca="false">IF(OR(Ödemeler!$A95="",Ödemeler!$G95="",Ödemeler!$E95=""),"",IF(AND(((Özet!$C$4*12+8)-(YEAR(Ödemeler!$E95)*12+MONTH(Ödemeler!$E95)))&gt;=0,MOD(((Özet!$C$4*12+8)-(YEAR(Ödemeler!$E95)*12+MONTH(Ödemeler!$E95))),Ödemeler!$G95)=0,OR(Ödemeler!$F95="",DATE(Özet!$C$4,8,1)&lt;=Ödemeler!$F95)),Ödemeler!$C95,0))</f>
        <v/>
      </c>
      <c r="J96" s="37" t="str">
        <f aca="false">IF(OR(Ödemeler!$A95="",Ödemeler!$G95="",Ödemeler!$E95=""),"",IF(AND(((Özet!$C$4*12+9)-(YEAR(Ödemeler!$E95)*12+MONTH(Ödemeler!$E95)))&gt;=0,MOD(((Özet!$C$4*12+9)-(YEAR(Ödemeler!$E95)*12+MONTH(Ödemeler!$E95))),Ödemeler!$G95)=0,OR(Ödemeler!$F95="",DATE(Özet!$C$4,9,1)&lt;=Ödemeler!$F95)),Ödemeler!$C95,0))</f>
        <v/>
      </c>
      <c r="K96" s="37" t="str">
        <f aca="false">IF(OR(Ödemeler!$A95="",Ödemeler!$G95="",Ödemeler!$E95=""),"",IF(AND(((Özet!$C$4*12+10)-(YEAR(Ödemeler!$E95)*12+MONTH(Ödemeler!$E95)))&gt;=0,MOD(((Özet!$C$4*12+10)-(YEAR(Ödemeler!$E95)*12+MONTH(Ödemeler!$E95))),Ödemeler!$G95)=0,OR(Ödemeler!$F95="",DATE(Özet!$C$4,10,1)&lt;=Ödemeler!$F95)),Ödemeler!$C95,0))</f>
        <v/>
      </c>
      <c r="L96" s="37" t="str">
        <f aca="false">IF(OR(Ödemeler!$A95="",Ödemeler!$G95="",Ödemeler!$E95=""),"",IF(AND(((Özet!$C$4*12+11)-(YEAR(Ödemeler!$E95)*12+MONTH(Ödemeler!$E95)))&gt;=0,MOD(((Özet!$C$4*12+11)-(YEAR(Ödemeler!$E95)*12+MONTH(Ödemeler!$E95))),Ödemeler!$G95)=0,OR(Ödemeler!$F95="",DATE(Özet!$C$4,11,1)&lt;=Ödemeler!$F95)),Ödemeler!$C95,0))</f>
        <v/>
      </c>
      <c r="M96" s="37" t="str">
        <f aca="false">IF(OR(Ödemeler!$A95="",Ödemeler!$G95="",Ödemeler!$E95=""),"",IF(AND(((Özet!$C$4*12+12)-(YEAR(Ödemeler!$E95)*12+MONTH(Ödemeler!$E95)))&gt;=0,MOD(((Özet!$C$4*12+12)-(YEAR(Ödemeler!$E95)*12+MONTH(Ödemeler!$E95))),Ödemeler!$G95)=0,OR(Ödemeler!$F95="",DATE(Özet!$C$4,12,1)&lt;=Ödemeler!$F95)),Ödemeler!$C95,0))</f>
        <v/>
      </c>
      <c r="N96" s="37" t="str">
        <f aca="false">IF(COUNT(B96:M96)=0,"",SUM(B96:M96))</f>
        <v/>
      </c>
    </row>
    <row r="97" customFormat="false" ht="15" hidden="false" customHeight="false" outlineLevel="0" collapsed="false">
      <c r="A97" s="16" t="str">
        <f aca="false">IF(Ödemeler!A96="","",Ödemeler!A96)</f>
        <v/>
      </c>
      <c r="B97" s="36" t="str">
        <f aca="false">IF(OR(Ödemeler!$A96="",Ödemeler!$G96="",Ödemeler!$E96=""),"",IF(AND(((Özet!$C$4*12+1)-(YEAR(Ödemeler!$E96)*12+MONTH(Ödemeler!$E96)))&gt;=0,MOD(((Özet!$C$4*12+1)-(YEAR(Ödemeler!$E96)*12+MONTH(Ödemeler!$E96))),Ödemeler!$G96)=0,OR(Ödemeler!$F96="",DATE(Özet!$C$4,1,1)&lt;=Ödemeler!$F96)),Ödemeler!$C96,0))</f>
        <v/>
      </c>
      <c r="C97" s="36" t="str">
        <f aca="false">IF(OR(Ödemeler!$A96="",Ödemeler!$G96="",Ödemeler!$E96=""),"",IF(AND(((Özet!$C$4*12+2)-(YEAR(Ödemeler!$E96)*12+MONTH(Ödemeler!$E96)))&gt;=0,MOD(((Özet!$C$4*12+2)-(YEAR(Ödemeler!$E96)*12+MONTH(Ödemeler!$E96))),Ödemeler!$G96)=0,OR(Ödemeler!$F96="",DATE(Özet!$C$4,2,1)&lt;=Ödemeler!$F96)),Ödemeler!$C96,0))</f>
        <v/>
      </c>
      <c r="D97" s="36" t="str">
        <f aca="false">IF(OR(Ödemeler!$A96="",Ödemeler!$G96="",Ödemeler!$E96=""),"",IF(AND(((Özet!$C$4*12+3)-(YEAR(Ödemeler!$E96)*12+MONTH(Ödemeler!$E96)))&gt;=0,MOD(((Özet!$C$4*12+3)-(YEAR(Ödemeler!$E96)*12+MONTH(Ödemeler!$E96))),Ödemeler!$G96)=0,OR(Ödemeler!$F96="",DATE(Özet!$C$4,3,1)&lt;=Ödemeler!$F96)),Ödemeler!$C96,0))</f>
        <v/>
      </c>
      <c r="E97" s="36" t="str">
        <f aca="false">IF(OR(Ödemeler!$A96="",Ödemeler!$G96="",Ödemeler!$E96=""),"",IF(AND(((Özet!$C$4*12+4)-(YEAR(Ödemeler!$E96)*12+MONTH(Ödemeler!$E96)))&gt;=0,MOD(((Özet!$C$4*12+4)-(YEAR(Ödemeler!$E96)*12+MONTH(Ödemeler!$E96))),Ödemeler!$G96)=0,OR(Ödemeler!$F96="",DATE(Özet!$C$4,4,1)&lt;=Ödemeler!$F96)),Ödemeler!$C96,0))</f>
        <v/>
      </c>
      <c r="F97" s="36" t="str">
        <f aca="false">IF(OR(Ödemeler!$A96="",Ödemeler!$G96="",Ödemeler!$E96=""),"",IF(AND(((Özet!$C$4*12+5)-(YEAR(Ödemeler!$E96)*12+MONTH(Ödemeler!$E96)))&gt;=0,MOD(((Özet!$C$4*12+5)-(YEAR(Ödemeler!$E96)*12+MONTH(Ödemeler!$E96))),Ödemeler!$G96)=0,OR(Ödemeler!$F96="",DATE(Özet!$C$4,5,1)&lt;=Ödemeler!$F96)),Ödemeler!$C96,0))</f>
        <v/>
      </c>
      <c r="G97" s="36" t="str">
        <f aca="false">IF(OR(Ödemeler!$A96="",Ödemeler!$G96="",Ödemeler!$E96=""),"",IF(AND(((Özet!$C$4*12+6)-(YEAR(Ödemeler!$E96)*12+MONTH(Ödemeler!$E96)))&gt;=0,MOD(((Özet!$C$4*12+6)-(YEAR(Ödemeler!$E96)*12+MONTH(Ödemeler!$E96))),Ödemeler!$G96)=0,OR(Ödemeler!$F96="",DATE(Özet!$C$4,6,1)&lt;=Ödemeler!$F96)),Ödemeler!$C96,0))</f>
        <v/>
      </c>
      <c r="H97" s="36" t="str">
        <f aca="false">IF(OR(Ödemeler!$A96="",Ödemeler!$G96="",Ödemeler!$E96=""),"",IF(AND(((Özet!$C$4*12+7)-(YEAR(Ödemeler!$E96)*12+MONTH(Ödemeler!$E96)))&gt;=0,MOD(((Özet!$C$4*12+7)-(YEAR(Ödemeler!$E96)*12+MONTH(Ödemeler!$E96))),Ödemeler!$G96)=0,OR(Ödemeler!$F96="",DATE(Özet!$C$4,7,1)&lt;=Ödemeler!$F96)),Ödemeler!$C96,0))</f>
        <v/>
      </c>
      <c r="I97" s="36" t="str">
        <f aca="false">IF(OR(Ödemeler!$A96="",Ödemeler!$G96="",Ödemeler!$E96=""),"",IF(AND(((Özet!$C$4*12+8)-(YEAR(Ödemeler!$E96)*12+MONTH(Ödemeler!$E96)))&gt;=0,MOD(((Özet!$C$4*12+8)-(YEAR(Ödemeler!$E96)*12+MONTH(Ödemeler!$E96))),Ödemeler!$G96)=0,OR(Ödemeler!$F96="",DATE(Özet!$C$4,8,1)&lt;=Ödemeler!$F96)),Ödemeler!$C96,0))</f>
        <v/>
      </c>
      <c r="J97" s="36" t="str">
        <f aca="false">IF(OR(Ödemeler!$A96="",Ödemeler!$G96="",Ödemeler!$E96=""),"",IF(AND(((Özet!$C$4*12+9)-(YEAR(Ödemeler!$E96)*12+MONTH(Ödemeler!$E96)))&gt;=0,MOD(((Özet!$C$4*12+9)-(YEAR(Ödemeler!$E96)*12+MONTH(Ödemeler!$E96))),Ödemeler!$G96)=0,OR(Ödemeler!$F96="",DATE(Özet!$C$4,9,1)&lt;=Ödemeler!$F96)),Ödemeler!$C96,0))</f>
        <v/>
      </c>
      <c r="K97" s="36" t="str">
        <f aca="false">IF(OR(Ödemeler!$A96="",Ödemeler!$G96="",Ödemeler!$E96=""),"",IF(AND(((Özet!$C$4*12+10)-(YEAR(Ödemeler!$E96)*12+MONTH(Ödemeler!$E96)))&gt;=0,MOD(((Özet!$C$4*12+10)-(YEAR(Ödemeler!$E96)*12+MONTH(Ödemeler!$E96))),Ödemeler!$G96)=0,OR(Ödemeler!$F96="",DATE(Özet!$C$4,10,1)&lt;=Ödemeler!$F96)),Ödemeler!$C96,0))</f>
        <v/>
      </c>
      <c r="L97" s="36" t="str">
        <f aca="false">IF(OR(Ödemeler!$A96="",Ödemeler!$G96="",Ödemeler!$E96=""),"",IF(AND(((Özet!$C$4*12+11)-(YEAR(Ödemeler!$E96)*12+MONTH(Ödemeler!$E96)))&gt;=0,MOD(((Özet!$C$4*12+11)-(YEAR(Ödemeler!$E96)*12+MONTH(Ödemeler!$E96))),Ödemeler!$G96)=0,OR(Ödemeler!$F96="",DATE(Özet!$C$4,11,1)&lt;=Ödemeler!$F96)),Ödemeler!$C96,0))</f>
        <v/>
      </c>
      <c r="M97" s="36" t="str">
        <f aca="false">IF(OR(Ödemeler!$A96="",Ödemeler!$G96="",Ödemeler!$E96=""),"",IF(AND(((Özet!$C$4*12+12)-(YEAR(Ödemeler!$E96)*12+MONTH(Ödemeler!$E96)))&gt;=0,MOD(((Özet!$C$4*12+12)-(YEAR(Ödemeler!$E96)*12+MONTH(Ödemeler!$E96))),Ödemeler!$G96)=0,OR(Ödemeler!$F96="",DATE(Özet!$C$4,12,1)&lt;=Ödemeler!$F96)),Ödemeler!$C96,0))</f>
        <v/>
      </c>
      <c r="N97" s="36" t="str">
        <f aca="false">IF(COUNT(B97:M97)=0,"",SUM(B97:M97))</f>
        <v/>
      </c>
    </row>
    <row r="98" customFormat="false" ht="15" hidden="false" customHeight="false" outlineLevel="0" collapsed="false">
      <c r="A98" s="30" t="str">
        <f aca="false">IF(Ödemeler!A97="","",Ödemeler!A97)</f>
        <v/>
      </c>
      <c r="B98" s="37" t="str">
        <f aca="false">IF(OR(Ödemeler!$A97="",Ödemeler!$G97="",Ödemeler!$E97=""),"",IF(AND(((Özet!$C$4*12+1)-(YEAR(Ödemeler!$E97)*12+MONTH(Ödemeler!$E97)))&gt;=0,MOD(((Özet!$C$4*12+1)-(YEAR(Ödemeler!$E97)*12+MONTH(Ödemeler!$E97))),Ödemeler!$G97)=0,OR(Ödemeler!$F97="",DATE(Özet!$C$4,1,1)&lt;=Ödemeler!$F97)),Ödemeler!$C97,0))</f>
        <v/>
      </c>
      <c r="C98" s="37" t="str">
        <f aca="false">IF(OR(Ödemeler!$A97="",Ödemeler!$G97="",Ödemeler!$E97=""),"",IF(AND(((Özet!$C$4*12+2)-(YEAR(Ödemeler!$E97)*12+MONTH(Ödemeler!$E97)))&gt;=0,MOD(((Özet!$C$4*12+2)-(YEAR(Ödemeler!$E97)*12+MONTH(Ödemeler!$E97))),Ödemeler!$G97)=0,OR(Ödemeler!$F97="",DATE(Özet!$C$4,2,1)&lt;=Ödemeler!$F97)),Ödemeler!$C97,0))</f>
        <v/>
      </c>
      <c r="D98" s="37" t="str">
        <f aca="false">IF(OR(Ödemeler!$A97="",Ödemeler!$G97="",Ödemeler!$E97=""),"",IF(AND(((Özet!$C$4*12+3)-(YEAR(Ödemeler!$E97)*12+MONTH(Ödemeler!$E97)))&gt;=0,MOD(((Özet!$C$4*12+3)-(YEAR(Ödemeler!$E97)*12+MONTH(Ödemeler!$E97))),Ödemeler!$G97)=0,OR(Ödemeler!$F97="",DATE(Özet!$C$4,3,1)&lt;=Ödemeler!$F97)),Ödemeler!$C97,0))</f>
        <v/>
      </c>
      <c r="E98" s="37" t="str">
        <f aca="false">IF(OR(Ödemeler!$A97="",Ödemeler!$G97="",Ödemeler!$E97=""),"",IF(AND(((Özet!$C$4*12+4)-(YEAR(Ödemeler!$E97)*12+MONTH(Ödemeler!$E97)))&gt;=0,MOD(((Özet!$C$4*12+4)-(YEAR(Ödemeler!$E97)*12+MONTH(Ödemeler!$E97))),Ödemeler!$G97)=0,OR(Ödemeler!$F97="",DATE(Özet!$C$4,4,1)&lt;=Ödemeler!$F97)),Ödemeler!$C97,0))</f>
        <v/>
      </c>
      <c r="F98" s="37" t="str">
        <f aca="false">IF(OR(Ödemeler!$A97="",Ödemeler!$G97="",Ödemeler!$E97=""),"",IF(AND(((Özet!$C$4*12+5)-(YEAR(Ödemeler!$E97)*12+MONTH(Ödemeler!$E97)))&gt;=0,MOD(((Özet!$C$4*12+5)-(YEAR(Ödemeler!$E97)*12+MONTH(Ödemeler!$E97))),Ödemeler!$G97)=0,OR(Ödemeler!$F97="",DATE(Özet!$C$4,5,1)&lt;=Ödemeler!$F97)),Ödemeler!$C97,0))</f>
        <v/>
      </c>
      <c r="G98" s="37" t="str">
        <f aca="false">IF(OR(Ödemeler!$A97="",Ödemeler!$G97="",Ödemeler!$E97=""),"",IF(AND(((Özet!$C$4*12+6)-(YEAR(Ödemeler!$E97)*12+MONTH(Ödemeler!$E97)))&gt;=0,MOD(((Özet!$C$4*12+6)-(YEAR(Ödemeler!$E97)*12+MONTH(Ödemeler!$E97))),Ödemeler!$G97)=0,OR(Ödemeler!$F97="",DATE(Özet!$C$4,6,1)&lt;=Ödemeler!$F97)),Ödemeler!$C97,0))</f>
        <v/>
      </c>
      <c r="H98" s="37" t="str">
        <f aca="false">IF(OR(Ödemeler!$A97="",Ödemeler!$G97="",Ödemeler!$E97=""),"",IF(AND(((Özet!$C$4*12+7)-(YEAR(Ödemeler!$E97)*12+MONTH(Ödemeler!$E97)))&gt;=0,MOD(((Özet!$C$4*12+7)-(YEAR(Ödemeler!$E97)*12+MONTH(Ödemeler!$E97))),Ödemeler!$G97)=0,OR(Ödemeler!$F97="",DATE(Özet!$C$4,7,1)&lt;=Ödemeler!$F97)),Ödemeler!$C97,0))</f>
        <v/>
      </c>
      <c r="I98" s="37" t="str">
        <f aca="false">IF(OR(Ödemeler!$A97="",Ödemeler!$G97="",Ödemeler!$E97=""),"",IF(AND(((Özet!$C$4*12+8)-(YEAR(Ödemeler!$E97)*12+MONTH(Ödemeler!$E97)))&gt;=0,MOD(((Özet!$C$4*12+8)-(YEAR(Ödemeler!$E97)*12+MONTH(Ödemeler!$E97))),Ödemeler!$G97)=0,OR(Ödemeler!$F97="",DATE(Özet!$C$4,8,1)&lt;=Ödemeler!$F97)),Ödemeler!$C97,0))</f>
        <v/>
      </c>
      <c r="J98" s="37" t="str">
        <f aca="false">IF(OR(Ödemeler!$A97="",Ödemeler!$G97="",Ödemeler!$E97=""),"",IF(AND(((Özet!$C$4*12+9)-(YEAR(Ödemeler!$E97)*12+MONTH(Ödemeler!$E97)))&gt;=0,MOD(((Özet!$C$4*12+9)-(YEAR(Ödemeler!$E97)*12+MONTH(Ödemeler!$E97))),Ödemeler!$G97)=0,OR(Ödemeler!$F97="",DATE(Özet!$C$4,9,1)&lt;=Ödemeler!$F97)),Ödemeler!$C97,0))</f>
        <v/>
      </c>
      <c r="K98" s="37" t="str">
        <f aca="false">IF(OR(Ödemeler!$A97="",Ödemeler!$G97="",Ödemeler!$E97=""),"",IF(AND(((Özet!$C$4*12+10)-(YEAR(Ödemeler!$E97)*12+MONTH(Ödemeler!$E97)))&gt;=0,MOD(((Özet!$C$4*12+10)-(YEAR(Ödemeler!$E97)*12+MONTH(Ödemeler!$E97))),Ödemeler!$G97)=0,OR(Ödemeler!$F97="",DATE(Özet!$C$4,10,1)&lt;=Ödemeler!$F97)),Ödemeler!$C97,0))</f>
        <v/>
      </c>
      <c r="L98" s="37" t="str">
        <f aca="false">IF(OR(Ödemeler!$A97="",Ödemeler!$G97="",Ödemeler!$E97=""),"",IF(AND(((Özet!$C$4*12+11)-(YEAR(Ödemeler!$E97)*12+MONTH(Ödemeler!$E97)))&gt;=0,MOD(((Özet!$C$4*12+11)-(YEAR(Ödemeler!$E97)*12+MONTH(Ödemeler!$E97))),Ödemeler!$G97)=0,OR(Ödemeler!$F97="",DATE(Özet!$C$4,11,1)&lt;=Ödemeler!$F97)),Ödemeler!$C97,0))</f>
        <v/>
      </c>
      <c r="M98" s="37" t="str">
        <f aca="false">IF(OR(Ödemeler!$A97="",Ödemeler!$G97="",Ödemeler!$E97=""),"",IF(AND(((Özet!$C$4*12+12)-(YEAR(Ödemeler!$E97)*12+MONTH(Ödemeler!$E97)))&gt;=0,MOD(((Özet!$C$4*12+12)-(YEAR(Ödemeler!$E97)*12+MONTH(Ödemeler!$E97))),Ödemeler!$G97)=0,OR(Ödemeler!$F97="",DATE(Özet!$C$4,12,1)&lt;=Ödemeler!$F97)),Ödemeler!$C97,0))</f>
        <v/>
      </c>
      <c r="N98" s="37" t="str">
        <f aca="false">IF(COUNT(B98:M98)=0,"",SUM(B98:M98))</f>
        <v/>
      </c>
    </row>
    <row r="99" customFormat="false" ht="15" hidden="false" customHeight="false" outlineLevel="0" collapsed="false">
      <c r="A99" s="16" t="str">
        <f aca="false">IF(Ödemeler!A98="","",Ödemeler!A98)</f>
        <v/>
      </c>
      <c r="B99" s="36" t="str">
        <f aca="false">IF(OR(Ödemeler!$A98="",Ödemeler!$G98="",Ödemeler!$E98=""),"",IF(AND(((Özet!$C$4*12+1)-(YEAR(Ödemeler!$E98)*12+MONTH(Ödemeler!$E98)))&gt;=0,MOD(((Özet!$C$4*12+1)-(YEAR(Ödemeler!$E98)*12+MONTH(Ödemeler!$E98))),Ödemeler!$G98)=0,OR(Ödemeler!$F98="",DATE(Özet!$C$4,1,1)&lt;=Ödemeler!$F98)),Ödemeler!$C98,0))</f>
        <v/>
      </c>
      <c r="C99" s="36" t="str">
        <f aca="false">IF(OR(Ödemeler!$A98="",Ödemeler!$G98="",Ödemeler!$E98=""),"",IF(AND(((Özet!$C$4*12+2)-(YEAR(Ödemeler!$E98)*12+MONTH(Ödemeler!$E98)))&gt;=0,MOD(((Özet!$C$4*12+2)-(YEAR(Ödemeler!$E98)*12+MONTH(Ödemeler!$E98))),Ödemeler!$G98)=0,OR(Ödemeler!$F98="",DATE(Özet!$C$4,2,1)&lt;=Ödemeler!$F98)),Ödemeler!$C98,0))</f>
        <v/>
      </c>
      <c r="D99" s="36" t="str">
        <f aca="false">IF(OR(Ödemeler!$A98="",Ödemeler!$G98="",Ödemeler!$E98=""),"",IF(AND(((Özet!$C$4*12+3)-(YEAR(Ödemeler!$E98)*12+MONTH(Ödemeler!$E98)))&gt;=0,MOD(((Özet!$C$4*12+3)-(YEAR(Ödemeler!$E98)*12+MONTH(Ödemeler!$E98))),Ödemeler!$G98)=0,OR(Ödemeler!$F98="",DATE(Özet!$C$4,3,1)&lt;=Ödemeler!$F98)),Ödemeler!$C98,0))</f>
        <v/>
      </c>
      <c r="E99" s="36" t="str">
        <f aca="false">IF(OR(Ödemeler!$A98="",Ödemeler!$G98="",Ödemeler!$E98=""),"",IF(AND(((Özet!$C$4*12+4)-(YEAR(Ödemeler!$E98)*12+MONTH(Ödemeler!$E98)))&gt;=0,MOD(((Özet!$C$4*12+4)-(YEAR(Ödemeler!$E98)*12+MONTH(Ödemeler!$E98))),Ödemeler!$G98)=0,OR(Ödemeler!$F98="",DATE(Özet!$C$4,4,1)&lt;=Ödemeler!$F98)),Ödemeler!$C98,0))</f>
        <v/>
      </c>
      <c r="F99" s="36" t="str">
        <f aca="false">IF(OR(Ödemeler!$A98="",Ödemeler!$G98="",Ödemeler!$E98=""),"",IF(AND(((Özet!$C$4*12+5)-(YEAR(Ödemeler!$E98)*12+MONTH(Ödemeler!$E98)))&gt;=0,MOD(((Özet!$C$4*12+5)-(YEAR(Ödemeler!$E98)*12+MONTH(Ödemeler!$E98))),Ödemeler!$G98)=0,OR(Ödemeler!$F98="",DATE(Özet!$C$4,5,1)&lt;=Ödemeler!$F98)),Ödemeler!$C98,0))</f>
        <v/>
      </c>
      <c r="G99" s="36" t="str">
        <f aca="false">IF(OR(Ödemeler!$A98="",Ödemeler!$G98="",Ödemeler!$E98=""),"",IF(AND(((Özet!$C$4*12+6)-(YEAR(Ödemeler!$E98)*12+MONTH(Ödemeler!$E98)))&gt;=0,MOD(((Özet!$C$4*12+6)-(YEAR(Ödemeler!$E98)*12+MONTH(Ödemeler!$E98))),Ödemeler!$G98)=0,OR(Ödemeler!$F98="",DATE(Özet!$C$4,6,1)&lt;=Ödemeler!$F98)),Ödemeler!$C98,0))</f>
        <v/>
      </c>
      <c r="H99" s="36" t="str">
        <f aca="false">IF(OR(Ödemeler!$A98="",Ödemeler!$G98="",Ödemeler!$E98=""),"",IF(AND(((Özet!$C$4*12+7)-(YEAR(Ödemeler!$E98)*12+MONTH(Ödemeler!$E98)))&gt;=0,MOD(((Özet!$C$4*12+7)-(YEAR(Ödemeler!$E98)*12+MONTH(Ödemeler!$E98))),Ödemeler!$G98)=0,OR(Ödemeler!$F98="",DATE(Özet!$C$4,7,1)&lt;=Ödemeler!$F98)),Ödemeler!$C98,0))</f>
        <v/>
      </c>
      <c r="I99" s="36" t="str">
        <f aca="false">IF(OR(Ödemeler!$A98="",Ödemeler!$G98="",Ödemeler!$E98=""),"",IF(AND(((Özet!$C$4*12+8)-(YEAR(Ödemeler!$E98)*12+MONTH(Ödemeler!$E98)))&gt;=0,MOD(((Özet!$C$4*12+8)-(YEAR(Ödemeler!$E98)*12+MONTH(Ödemeler!$E98))),Ödemeler!$G98)=0,OR(Ödemeler!$F98="",DATE(Özet!$C$4,8,1)&lt;=Ödemeler!$F98)),Ödemeler!$C98,0))</f>
        <v/>
      </c>
      <c r="J99" s="36" t="str">
        <f aca="false">IF(OR(Ödemeler!$A98="",Ödemeler!$G98="",Ödemeler!$E98=""),"",IF(AND(((Özet!$C$4*12+9)-(YEAR(Ödemeler!$E98)*12+MONTH(Ödemeler!$E98)))&gt;=0,MOD(((Özet!$C$4*12+9)-(YEAR(Ödemeler!$E98)*12+MONTH(Ödemeler!$E98))),Ödemeler!$G98)=0,OR(Ödemeler!$F98="",DATE(Özet!$C$4,9,1)&lt;=Ödemeler!$F98)),Ödemeler!$C98,0))</f>
        <v/>
      </c>
      <c r="K99" s="36" t="str">
        <f aca="false">IF(OR(Ödemeler!$A98="",Ödemeler!$G98="",Ödemeler!$E98=""),"",IF(AND(((Özet!$C$4*12+10)-(YEAR(Ödemeler!$E98)*12+MONTH(Ödemeler!$E98)))&gt;=0,MOD(((Özet!$C$4*12+10)-(YEAR(Ödemeler!$E98)*12+MONTH(Ödemeler!$E98))),Ödemeler!$G98)=0,OR(Ödemeler!$F98="",DATE(Özet!$C$4,10,1)&lt;=Ödemeler!$F98)),Ödemeler!$C98,0))</f>
        <v/>
      </c>
      <c r="L99" s="36" t="str">
        <f aca="false">IF(OR(Ödemeler!$A98="",Ödemeler!$G98="",Ödemeler!$E98=""),"",IF(AND(((Özet!$C$4*12+11)-(YEAR(Ödemeler!$E98)*12+MONTH(Ödemeler!$E98)))&gt;=0,MOD(((Özet!$C$4*12+11)-(YEAR(Ödemeler!$E98)*12+MONTH(Ödemeler!$E98))),Ödemeler!$G98)=0,OR(Ödemeler!$F98="",DATE(Özet!$C$4,11,1)&lt;=Ödemeler!$F98)),Ödemeler!$C98,0))</f>
        <v/>
      </c>
      <c r="M99" s="36" t="str">
        <f aca="false">IF(OR(Ödemeler!$A98="",Ödemeler!$G98="",Ödemeler!$E98=""),"",IF(AND(((Özet!$C$4*12+12)-(YEAR(Ödemeler!$E98)*12+MONTH(Ödemeler!$E98)))&gt;=0,MOD(((Özet!$C$4*12+12)-(YEAR(Ödemeler!$E98)*12+MONTH(Ödemeler!$E98))),Ödemeler!$G98)=0,OR(Ödemeler!$F98="",DATE(Özet!$C$4,12,1)&lt;=Ödemeler!$F98)),Ödemeler!$C98,0))</f>
        <v/>
      </c>
      <c r="N99" s="36" t="str">
        <f aca="false">IF(COUNT(B99:M99)=0,"",SUM(B99:M99))</f>
        <v/>
      </c>
    </row>
    <row r="100" customFormat="false" ht="15" hidden="false" customHeight="false" outlineLevel="0" collapsed="false">
      <c r="A100" s="30" t="str">
        <f aca="false">IF(Ödemeler!A99="","",Ödemeler!A99)</f>
        <v/>
      </c>
      <c r="B100" s="37" t="str">
        <f aca="false">IF(OR(Ödemeler!$A99="",Ödemeler!$G99="",Ödemeler!$E99=""),"",IF(AND(((Özet!$C$4*12+1)-(YEAR(Ödemeler!$E99)*12+MONTH(Ödemeler!$E99)))&gt;=0,MOD(((Özet!$C$4*12+1)-(YEAR(Ödemeler!$E99)*12+MONTH(Ödemeler!$E99))),Ödemeler!$G99)=0,OR(Ödemeler!$F99="",DATE(Özet!$C$4,1,1)&lt;=Ödemeler!$F99)),Ödemeler!$C99,0))</f>
        <v/>
      </c>
      <c r="C100" s="37" t="str">
        <f aca="false">IF(OR(Ödemeler!$A99="",Ödemeler!$G99="",Ödemeler!$E99=""),"",IF(AND(((Özet!$C$4*12+2)-(YEAR(Ödemeler!$E99)*12+MONTH(Ödemeler!$E99)))&gt;=0,MOD(((Özet!$C$4*12+2)-(YEAR(Ödemeler!$E99)*12+MONTH(Ödemeler!$E99))),Ödemeler!$G99)=0,OR(Ödemeler!$F99="",DATE(Özet!$C$4,2,1)&lt;=Ödemeler!$F99)),Ödemeler!$C99,0))</f>
        <v/>
      </c>
      <c r="D100" s="37" t="str">
        <f aca="false">IF(OR(Ödemeler!$A99="",Ödemeler!$G99="",Ödemeler!$E99=""),"",IF(AND(((Özet!$C$4*12+3)-(YEAR(Ödemeler!$E99)*12+MONTH(Ödemeler!$E99)))&gt;=0,MOD(((Özet!$C$4*12+3)-(YEAR(Ödemeler!$E99)*12+MONTH(Ödemeler!$E99))),Ödemeler!$G99)=0,OR(Ödemeler!$F99="",DATE(Özet!$C$4,3,1)&lt;=Ödemeler!$F99)),Ödemeler!$C99,0))</f>
        <v/>
      </c>
      <c r="E100" s="37" t="str">
        <f aca="false">IF(OR(Ödemeler!$A99="",Ödemeler!$G99="",Ödemeler!$E99=""),"",IF(AND(((Özet!$C$4*12+4)-(YEAR(Ödemeler!$E99)*12+MONTH(Ödemeler!$E99)))&gt;=0,MOD(((Özet!$C$4*12+4)-(YEAR(Ödemeler!$E99)*12+MONTH(Ödemeler!$E99))),Ödemeler!$G99)=0,OR(Ödemeler!$F99="",DATE(Özet!$C$4,4,1)&lt;=Ödemeler!$F99)),Ödemeler!$C99,0))</f>
        <v/>
      </c>
      <c r="F100" s="37" t="str">
        <f aca="false">IF(OR(Ödemeler!$A99="",Ödemeler!$G99="",Ödemeler!$E99=""),"",IF(AND(((Özet!$C$4*12+5)-(YEAR(Ödemeler!$E99)*12+MONTH(Ödemeler!$E99)))&gt;=0,MOD(((Özet!$C$4*12+5)-(YEAR(Ödemeler!$E99)*12+MONTH(Ödemeler!$E99))),Ödemeler!$G99)=0,OR(Ödemeler!$F99="",DATE(Özet!$C$4,5,1)&lt;=Ödemeler!$F99)),Ödemeler!$C99,0))</f>
        <v/>
      </c>
      <c r="G100" s="37" t="str">
        <f aca="false">IF(OR(Ödemeler!$A99="",Ödemeler!$G99="",Ödemeler!$E99=""),"",IF(AND(((Özet!$C$4*12+6)-(YEAR(Ödemeler!$E99)*12+MONTH(Ödemeler!$E99)))&gt;=0,MOD(((Özet!$C$4*12+6)-(YEAR(Ödemeler!$E99)*12+MONTH(Ödemeler!$E99))),Ödemeler!$G99)=0,OR(Ödemeler!$F99="",DATE(Özet!$C$4,6,1)&lt;=Ödemeler!$F99)),Ödemeler!$C99,0))</f>
        <v/>
      </c>
      <c r="H100" s="37" t="str">
        <f aca="false">IF(OR(Ödemeler!$A99="",Ödemeler!$G99="",Ödemeler!$E99=""),"",IF(AND(((Özet!$C$4*12+7)-(YEAR(Ödemeler!$E99)*12+MONTH(Ödemeler!$E99)))&gt;=0,MOD(((Özet!$C$4*12+7)-(YEAR(Ödemeler!$E99)*12+MONTH(Ödemeler!$E99))),Ödemeler!$G99)=0,OR(Ödemeler!$F99="",DATE(Özet!$C$4,7,1)&lt;=Ödemeler!$F99)),Ödemeler!$C99,0))</f>
        <v/>
      </c>
      <c r="I100" s="37" t="str">
        <f aca="false">IF(OR(Ödemeler!$A99="",Ödemeler!$G99="",Ödemeler!$E99=""),"",IF(AND(((Özet!$C$4*12+8)-(YEAR(Ödemeler!$E99)*12+MONTH(Ödemeler!$E99)))&gt;=0,MOD(((Özet!$C$4*12+8)-(YEAR(Ödemeler!$E99)*12+MONTH(Ödemeler!$E99))),Ödemeler!$G99)=0,OR(Ödemeler!$F99="",DATE(Özet!$C$4,8,1)&lt;=Ödemeler!$F99)),Ödemeler!$C99,0))</f>
        <v/>
      </c>
      <c r="J100" s="37" t="str">
        <f aca="false">IF(OR(Ödemeler!$A99="",Ödemeler!$G99="",Ödemeler!$E99=""),"",IF(AND(((Özet!$C$4*12+9)-(YEAR(Ödemeler!$E99)*12+MONTH(Ödemeler!$E99)))&gt;=0,MOD(((Özet!$C$4*12+9)-(YEAR(Ödemeler!$E99)*12+MONTH(Ödemeler!$E99))),Ödemeler!$G99)=0,OR(Ödemeler!$F99="",DATE(Özet!$C$4,9,1)&lt;=Ödemeler!$F99)),Ödemeler!$C99,0))</f>
        <v/>
      </c>
      <c r="K100" s="37" t="str">
        <f aca="false">IF(OR(Ödemeler!$A99="",Ödemeler!$G99="",Ödemeler!$E99=""),"",IF(AND(((Özet!$C$4*12+10)-(YEAR(Ödemeler!$E99)*12+MONTH(Ödemeler!$E99)))&gt;=0,MOD(((Özet!$C$4*12+10)-(YEAR(Ödemeler!$E99)*12+MONTH(Ödemeler!$E99))),Ödemeler!$G99)=0,OR(Ödemeler!$F99="",DATE(Özet!$C$4,10,1)&lt;=Ödemeler!$F99)),Ödemeler!$C99,0))</f>
        <v/>
      </c>
      <c r="L100" s="37" t="str">
        <f aca="false">IF(OR(Ödemeler!$A99="",Ödemeler!$G99="",Ödemeler!$E99=""),"",IF(AND(((Özet!$C$4*12+11)-(YEAR(Ödemeler!$E99)*12+MONTH(Ödemeler!$E99)))&gt;=0,MOD(((Özet!$C$4*12+11)-(YEAR(Ödemeler!$E99)*12+MONTH(Ödemeler!$E99))),Ödemeler!$G99)=0,OR(Ödemeler!$F99="",DATE(Özet!$C$4,11,1)&lt;=Ödemeler!$F99)),Ödemeler!$C99,0))</f>
        <v/>
      </c>
      <c r="M100" s="37" t="str">
        <f aca="false">IF(OR(Ödemeler!$A99="",Ödemeler!$G99="",Ödemeler!$E99=""),"",IF(AND(((Özet!$C$4*12+12)-(YEAR(Ödemeler!$E99)*12+MONTH(Ödemeler!$E99)))&gt;=0,MOD(((Özet!$C$4*12+12)-(YEAR(Ödemeler!$E99)*12+MONTH(Ödemeler!$E99))),Ödemeler!$G99)=0,OR(Ödemeler!$F99="",DATE(Özet!$C$4,12,1)&lt;=Ödemeler!$F99)),Ödemeler!$C99,0))</f>
        <v/>
      </c>
      <c r="N100" s="37" t="str">
        <f aca="false">IF(COUNT(B100:M100)=0,"",SUM(B100:M100))</f>
        <v/>
      </c>
    </row>
    <row r="101" customFormat="false" ht="15" hidden="false" customHeight="false" outlineLevel="0" collapsed="false">
      <c r="A101" s="16" t="str">
        <f aca="false">IF(Ödemeler!A100="","",Ödemeler!A100)</f>
        <v/>
      </c>
      <c r="B101" s="36" t="str">
        <f aca="false">IF(OR(Ödemeler!$A100="",Ödemeler!$G100="",Ödemeler!$E100=""),"",IF(AND(((Özet!$C$4*12+1)-(YEAR(Ödemeler!$E100)*12+MONTH(Ödemeler!$E100)))&gt;=0,MOD(((Özet!$C$4*12+1)-(YEAR(Ödemeler!$E100)*12+MONTH(Ödemeler!$E100))),Ödemeler!$G100)=0,OR(Ödemeler!$F100="",DATE(Özet!$C$4,1,1)&lt;=Ödemeler!$F100)),Ödemeler!$C100,0))</f>
        <v/>
      </c>
      <c r="C101" s="36" t="str">
        <f aca="false">IF(OR(Ödemeler!$A100="",Ödemeler!$G100="",Ödemeler!$E100=""),"",IF(AND(((Özet!$C$4*12+2)-(YEAR(Ödemeler!$E100)*12+MONTH(Ödemeler!$E100)))&gt;=0,MOD(((Özet!$C$4*12+2)-(YEAR(Ödemeler!$E100)*12+MONTH(Ödemeler!$E100))),Ödemeler!$G100)=0,OR(Ödemeler!$F100="",DATE(Özet!$C$4,2,1)&lt;=Ödemeler!$F100)),Ödemeler!$C100,0))</f>
        <v/>
      </c>
      <c r="D101" s="36" t="str">
        <f aca="false">IF(OR(Ödemeler!$A100="",Ödemeler!$G100="",Ödemeler!$E100=""),"",IF(AND(((Özet!$C$4*12+3)-(YEAR(Ödemeler!$E100)*12+MONTH(Ödemeler!$E100)))&gt;=0,MOD(((Özet!$C$4*12+3)-(YEAR(Ödemeler!$E100)*12+MONTH(Ödemeler!$E100))),Ödemeler!$G100)=0,OR(Ödemeler!$F100="",DATE(Özet!$C$4,3,1)&lt;=Ödemeler!$F100)),Ödemeler!$C100,0))</f>
        <v/>
      </c>
      <c r="E101" s="36" t="str">
        <f aca="false">IF(OR(Ödemeler!$A100="",Ödemeler!$G100="",Ödemeler!$E100=""),"",IF(AND(((Özet!$C$4*12+4)-(YEAR(Ödemeler!$E100)*12+MONTH(Ödemeler!$E100)))&gt;=0,MOD(((Özet!$C$4*12+4)-(YEAR(Ödemeler!$E100)*12+MONTH(Ödemeler!$E100))),Ödemeler!$G100)=0,OR(Ödemeler!$F100="",DATE(Özet!$C$4,4,1)&lt;=Ödemeler!$F100)),Ödemeler!$C100,0))</f>
        <v/>
      </c>
      <c r="F101" s="36" t="str">
        <f aca="false">IF(OR(Ödemeler!$A100="",Ödemeler!$G100="",Ödemeler!$E100=""),"",IF(AND(((Özet!$C$4*12+5)-(YEAR(Ödemeler!$E100)*12+MONTH(Ödemeler!$E100)))&gt;=0,MOD(((Özet!$C$4*12+5)-(YEAR(Ödemeler!$E100)*12+MONTH(Ödemeler!$E100))),Ödemeler!$G100)=0,OR(Ödemeler!$F100="",DATE(Özet!$C$4,5,1)&lt;=Ödemeler!$F100)),Ödemeler!$C100,0))</f>
        <v/>
      </c>
      <c r="G101" s="36" t="str">
        <f aca="false">IF(OR(Ödemeler!$A100="",Ödemeler!$G100="",Ödemeler!$E100=""),"",IF(AND(((Özet!$C$4*12+6)-(YEAR(Ödemeler!$E100)*12+MONTH(Ödemeler!$E100)))&gt;=0,MOD(((Özet!$C$4*12+6)-(YEAR(Ödemeler!$E100)*12+MONTH(Ödemeler!$E100))),Ödemeler!$G100)=0,OR(Ödemeler!$F100="",DATE(Özet!$C$4,6,1)&lt;=Ödemeler!$F100)),Ödemeler!$C100,0))</f>
        <v/>
      </c>
      <c r="H101" s="36" t="str">
        <f aca="false">IF(OR(Ödemeler!$A100="",Ödemeler!$G100="",Ödemeler!$E100=""),"",IF(AND(((Özet!$C$4*12+7)-(YEAR(Ödemeler!$E100)*12+MONTH(Ödemeler!$E100)))&gt;=0,MOD(((Özet!$C$4*12+7)-(YEAR(Ödemeler!$E100)*12+MONTH(Ödemeler!$E100))),Ödemeler!$G100)=0,OR(Ödemeler!$F100="",DATE(Özet!$C$4,7,1)&lt;=Ödemeler!$F100)),Ödemeler!$C100,0))</f>
        <v/>
      </c>
      <c r="I101" s="36" t="str">
        <f aca="false">IF(OR(Ödemeler!$A100="",Ödemeler!$G100="",Ödemeler!$E100=""),"",IF(AND(((Özet!$C$4*12+8)-(YEAR(Ödemeler!$E100)*12+MONTH(Ödemeler!$E100)))&gt;=0,MOD(((Özet!$C$4*12+8)-(YEAR(Ödemeler!$E100)*12+MONTH(Ödemeler!$E100))),Ödemeler!$G100)=0,OR(Ödemeler!$F100="",DATE(Özet!$C$4,8,1)&lt;=Ödemeler!$F100)),Ödemeler!$C100,0))</f>
        <v/>
      </c>
      <c r="J101" s="36" t="str">
        <f aca="false">IF(OR(Ödemeler!$A100="",Ödemeler!$G100="",Ödemeler!$E100=""),"",IF(AND(((Özet!$C$4*12+9)-(YEAR(Ödemeler!$E100)*12+MONTH(Ödemeler!$E100)))&gt;=0,MOD(((Özet!$C$4*12+9)-(YEAR(Ödemeler!$E100)*12+MONTH(Ödemeler!$E100))),Ödemeler!$G100)=0,OR(Ödemeler!$F100="",DATE(Özet!$C$4,9,1)&lt;=Ödemeler!$F100)),Ödemeler!$C100,0))</f>
        <v/>
      </c>
      <c r="K101" s="36" t="str">
        <f aca="false">IF(OR(Ödemeler!$A100="",Ödemeler!$G100="",Ödemeler!$E100=""),"",IF(AND(((Özet!$C$4*12+10)-(YEAR(Ödemeler!$E100)*12+MONTH(Ödemeler!$E100)))&gt;=0,MOD(((Özet!$C$4*12+10)-(YEAR(Ödemeler!$E100)*12+MONTH(Ödemeler!$E100))),Ödemeler!$G100)=0,OR(Ödemeler!$F100="",DATE(Özet!$C$4,10,1)&lt;=Ödemeler!$F100)),Ödemeler!$C100,0))</f>
        <v/>
      </c>
      <c r="L101" s="36" t="str">
        <f aca="false">IF(OR(Ödemeler!$A100="",Ödemeler!$G100="",Ödemeler!$E100=""),"",IF(AND(((Özet!$C$4*12+11)-(YEAR(Ödemeler!$E100)*12+MONTH(Ödemeler!$E100)))&gt;=0,MOD(((Özet!$C$4*12+11)-(YEAR(Ödemeler!$E100)*12+MONTH(Ödemeler!$E100))),Ödemeler!$G100)=0,OR(Ödemeler!$F100="",DATE(Özet!$C$4,11,1)&lt;=Ödemeler!$F100)),Ödemeler!$C100,0))</f>
        <v/>
      </c>
      <c r="M101" s="36" t="str">
        <f aca="false">IF(OR(Ödemeler!$A100="",Ödemeler!$G100="",Ödemeler!$E100=""),"",IF(AND(((Özet!$C$4*12+12)-(YEAR(Ödemeler!$E100)*12+MONTH(Ödemeler!$E100)))&gt;=0,MOD(((Özet!$C$4*12+12)-(YEAR(Ödemeler!$E100)*12+MONTH(Ödemeler!$E100))),Ödemeler!$G100)=0,OR(Ödemeler!$F100="",DATE(Özet!$C$4,12,1)&lt;=Ödemeler!$F100)),Ödemeler!$C100,0))</f>
        <v/>
      </c>
      <c r="N101" s="36" t="str">
        <f aca="false">IF(COUNT(B101:M101)=0,"",SUM(B101:M101))</f>
        <v/>
      </c>
    </row>
    <row r="102" customFormat="false" ht="15" hidden="false" customHeight="false" outlineLevel="0" collapsed="false">
      <c r="A102" s="30" t="str">
        <f aca="false">IF(Ödemeler!A101="","",Ödemeler!A101)</f>
        <v/>
      </c>
      <c r="B102" s="37" t="str">
        <f aca="false">IF(OR(Ödemeler!$A101="",Ödemeler!$G101="",Ödemeler!$E101=""),"",IF(AND(((Özet!$C$4*12+1)-(YEAR(Ödemeler!$E101)*12+MONTH(Ödemeler!$E101)))&gt;=0,MOD(((Özet!$C$4*12+1)-(YEAR(Ödemeler!$E101)*12+MONTH(Ödemeler!$E101))),Ödemeler!$G101)=0,OR(Ödemeler!$F101="",DATE(Özet!$C$4,1,1)&lt;=Ödemeler!$F101)),Ödemeler!$C101,0))</f>
        <v/>
      </c>
      <c r="C102" s="37" t="str">
        <f aca="false">IF(OR(Ödemeler!$A101="",Ödemeler!$G101="",Ödemeler!$E101=""),"",IF(AND(((Özet!$C$4*12+2)-(YEAR(Ödemeler!$E101)*12+MONTH(Ödemeler!$E101)))&gt;=0,MOD(((Özet!$C$4*12+2)-(YEAR(Ödemeler!$E101)*12+MONTH(Ödemeler!$E101))),Ödemeler!$G101)=0,OR(Ödemeler!$F101="",DATE(Özet!$C$4,2,1)&lt;=Ödemeler!$F101)),Ödemeler!$C101,0))</f>
        <v/>
      </c>
      <c r="D102" s="37" t="str">
        <f aca="false">IF(OR(Ödemeler!$A101="",Ödemeler!$G101="",Ödemeler!$E101=""),"",IF(AND(((Özet!$C$4*12+3)-(YEAR(Ödemeler!$E101)*12+MONTH(Ödemeler!$E101)))&gt;=0,MOD(((Özet!$C$4*12+3)-(YEAR(Ödemeler!$E101)*12+MONTH(Ödemeler!$E101))),Ödemeler!$G101)=0,OR(Ödemeler!$F101="",DATE(Özet!$C$4,3,1)&lt;=Ödemeler!$F101)),Ödemeler!$C101,0))</f>
        <v/>
      </c>
      <c r="E102" s="37" t="str">
        <f aca="false">IF(OR(Ödemeler!$A101="",Ödemeler!$G101="",Ödemeler!$E101=""),"",IF(AND(((Özet!$C$4*12+4)-(YEAR(Ödemeler!$E101)*12+MONTH(Ödemeler!$E101)))&gt;=0,MOD(((Özet!$C$4*12+4)-(YEAR(Ödemeler!$E101)*12+MONTH(Ödemeler!$E101))),Ödemeler!$G101)=0,OR(Ödemeler!$F101="",DATE(Özet!$C$4,4,1)&lt;=Ödemeler!$F101)),Ödemeler!$C101,0))</f>
        <v/>
      </c>
      <c r="F102" s="37" t="str">
        <f aca="false">IF(OR(Ödemeler!$A101="",Ödemeler!$G101="",Ödemeler!$E101=""),"",IF(AND(((Özet!$C$4*12+5)-(YEAR(Ödemeler!$E101)*12+MONTH(Ödemeler!$E101)))&gt;=0,MOD(((Özet!$C$4*12+5)-(YEAR(Ödemeler!$E101)*12+MONTH(Ödemeler!$E101))),Ödemeler!$G101)=0,OR(Ödemeler!$F101="",DATE(Özet!$C$4,5,1)&lt;=Ödemeler!$F101)),Ödemeler!$C101,0))</f>
        <v/>
      </c>
      <c r="G102" s="37" t="str">
        <f aca="false">IF(OR(Ödemeler!$A101="",Ödemeler!$G101="",Ödemeler!$E101=""),"",IF(AND(((Özet!$C$4*12+6)-(YEAR(Ödemeler!$E101)*12+MONTH(Ödemeler!$E101)))&gt;=0,MOD(((Özet!$C$4*12+6)-(YEAR(Ödemeler!$E101)*12+MONTH(Ödemeler!$E101))),Ödemeler!$G101)=0,OR(Ödemeler!$F101="",DATE(Özet!$C$4,6,1)&lt;=Ödemeler!$F101)),Ödemeler!$C101,0))</f>
        <v/>
      </c>
      <c r="H102" s="37" t="str">
        <f aca="false">IF(OR(Ödemeler!$A101="",Ödemeler!$G101="",Ödemeler!$E101=""),"",IF(AND(((Özet!$C$4*12+7)-(YEAR(Ödemeler!$E101)*12+MONTH(Ödemeler!$E101)))&gt;=0,MOD(((Özet!$C$4*12+7)-(YEAR(Ödemeler!$E101)*12+MONTH(Ödemeler!$E101))),Ödemeler!$G101)=0,OR(Ödemeler!$F101="",DATE(Özet!$C$4,7,1)&lt;=Ödemeler!$F101)),Ödemeler!$C101,0))</f>
        <v/>
      </c>
      <c r="I102" s="37" t="str">
        <f aca="false">IF(OR(Ödemeler!$A101="",Ödemeler!$G101="",Ödemeler!$E101=""),"",IF(AND(((Özet!$C$4*12+8)-(YEAR(Ödemeler!$E101)*12+MONTH(Ödemeler!$E101)))&gt;=0,MOD(((Özet!$C$4*12+8)-(YEAR(Ödemeler!$E101)*12+MONTH(Ödemeler!$E101))),Ödemeler!$G101)=0,OR(Ödemeler!$F101="",DATE(Özet!$C$4,8,1)&lt;=Ödemeler!$F101)),Ödemeler!$C101,0))</f>
        <v/>
      </c>
      <c r="J102" s="37" t="str">
        <f aca="false">IF(OR(Ödemeler!$A101="",Ödemeler!$G101="",Ödemeler!$E101=""),"",IF(AND(((Özet!$C$4*12+9)-(YEAR(Ödemeler!$E101)*12+MONTH(Ödemeler!$E101)))&gt;=0,MOD(((Özet!$C$4*12+9)-(YEAR(Ödemeler!$E101)*12+MONTH(Ödemeler!$E101))),Ödemeler!$G101)=0,OR(Ödemeler!$F101="",DATE(Özet!$C$4,9,1)&lt;=Ödemeler!$F101)),Ödemeler!$C101,0))</f>
        <v/>
      </c>
      <c r="K102" s="37" t="str">
        <f aca="false">IF(OR(Ödemeler!$A101="",Ödemeler!$G101="",Ödemeler!$E101=""),"",IF(AND(((Özet!$C$4*12+10)-(YEAR(Ödemeler!$E101)*12+MONTH(Ödemeler!$E101)))&gt;=0,MOD(((Özet!$C$4*12+10)-(YEAR(Ödemeler!$E101)*12+MONTH(Ödemeler!$E101))),Ödemeler!$G101)=0,OR(Ödemeler!$F101="",DATE(Özet!$C$4,10,1)&lt;=Ödemeler!$F101)),Ödemeler!$C101,0))</f>
        <v/>
      </c>
      <c r="L102" s="37" t="str">
        <f aca="false">IF(OR(Ödemeler!$A101="",Ödemeler!$G101="",Ödemeler!$E101=""),"",IF(AND(((Özet!$C$4*12+11)-(YEAR(Ödemeler!$E101)*12+MONTH(Ödemeler!$E101)))&gt;=0,MOD(((Özet!$C$4*12+11)-(YEAR(Ödemeler!$E101)*12+MONTH(Ödemeler!$E101))),Ödemeler!$G101)=0,OR(Ödemeler!$F101="",DATE(Özet!$C$4,11,1)&lt;=Ödemeler!$F101)),Ödemeler!$C101,0))</f>
        <v/>
      </c>
      <c r="M102" s="37" t="str">
        <f aca="false">IF(OR(Ödemeler!$A101="",Ödemeler!$G101="",Ödemeler!$E101=""),"",IF(AND(((Özet!$C$4*12+12)-(YEAR(Ödemeler!$E101)*12+MONTH(Ödemeler!$E101)))&gt;=0,MOD(((Özet!$C$4*12+12)-(YEAR(Ödemeler!$E101)*12+MONTH(Ödemeler!$E101))),Ödemeler!$G101)=0,OR(Ödemeler!$F101="",DATE(Özet!$C$4,12,1)&lt;=Ödemeler!$F101)),Ödemeler!$C101,0))</f>
        <v/>
      </c>
      <c r="N102" s="37" t="str">
        <f aca="false">IF(COUNT(B102:M102)=0,"",SUM(B102:M102))</f>
        <v/>
      </c>
    </row>
    <row r="103" customFormat="false" ht="15" hidden="false" customHeight="false" outlineLevel="0" collapsed="false">
      <c r="A103" s="16" t="str">
        <f aca="false">IF(Ödemeler!A102="","",Ödemeler!A102)</f>
        <v/>
      </c>
      <c r="B103" s="36" t="str">
        <f aca="false">IF(OR(Ödemeler!$A102="",Ödemeler!$G102="",Ödemeler!$E102=""),"",IF(AND(((Özet!$C$4*12+1)-(YEAR(Ödemeler!$E102)*12+MONTH(Ödemeler!$E102)))&gt;=0,MOD(((Özet!$C$4*12+1)-(YEAR(Ödemeler!$E102)*12+MONTH(Ödemeler!$E102))),Ödemeler!$G102)=0,OR(Ödemeler!$F102="",DATE(Özet!$C$4,1,1)&lt;=Ödemeler!$F102)),Ödemeler!$C102,0))</f>
        <v/>
      </c>
      <c r="C103" s="36" t="str">
        <f aca="false">IF(OR(Ödemeler!$A102="",Ödemeler!$G102="",Ödemeler!$E102=""),"",IF(AND(((Özet!$C$4*12+2)-(YEAR(Ödemeler!$E102)*12+MONTH(Ödemeler!$E102)))&gt;=0,MOD(((Özet!$C$4*12+2)-(YEAR(Ödemeler!$E102)*12+MONTH(Ödemeler!$E102))),Ödemeler!$G102)=0,OR(Ödemeler!$F102="",DATE(Özet!$C$4,2,1)&lt;=Ödemeler!$F102)),Ödemeler!$C102,0))</f>
        <v/>
      </c>
      <c r="D103" s="36" t="str">
        <f aca="false">IF(OR(Ödemeler!$A102="",Ödemeler!$G102="",Ödemeler!$E102=""),"",IF(AND(((Özet!$C$4*12+3)-(YEAR(Ödemeler!$E102)*12+MONTH(Ödemeler!$E102)))&gt;=0,MOD(((Özet!$C$4*12+3)-(YEAR(Ödemeler!$E102)*12+MONTH(Ödemeler!$E102))),Ödemeler!$G102)=0,OR(Ödemeler!$F102="",DATE(Özet!$C$4,3,1)&lt;=Ödemeler!$F102)),Ödemeler!$C102,0))</f>
        <v/>
      </c>
      <c r="E103" s="36" t="str">
        <f aca="false">IF(OR(Ödemeler!$A102="",Ödemeler!$G102="",Ödemeler!$E102=""),"",IF(AND(((Özet!$C$4*12+4)-(YEAR(Ödemeler!$E102)*12+MONTH(Ödemeler!$E102)))&gt;=0,MOD(((Özet!$C$4*12+4)-(YEAR(Ödemeler!$E102)*12+MONTH(Ödemeler!$E102))),Ödemeler!$G102)=0,OR(Ödemeler!$F102="",DATE(Özet!$C$4,4,1)&lt;=Ödemeler!$F102)),Ödemeler!$C102,0))</f>
        <v/>
      </c>
      <c r="F103" s="36" t="str">
        <f aca="false">IF(OR(Ödemeler!$A102="",Ödemeler!$G102="",Ödemeler!$E102=""),"",IF(AND(((Özet!$C$4*12+5)-(YEAR(Ödemeler!$E102)*12+MONTH(Ödemeler!$E102)))&gt;=0,MOD(((Özet!$C$4*12+5)-(YEAR(Ödemeler!$E102)*12+MONTH(Ödemeler!$E102))),Ödemeler!$G102)=0,OR(Ödemeler!$F102="",DATE(Özet!$C$4,5,1)&lt;=Ödemeler!$F102)),Ödemeler!$C102,0))</f>
        <v/>
      </c>
      <c r="G103" s="36" t="str">
        <f aca="false">IF(OR(Ödemeler!$A102="",Ödemeler!$G102="",Ödemeler!$E102=""),"",IF(AND(((Özet!$C$4*12+6)-(YEAR(Ödemeler!$E102)*12+MONTH(Ödemeler!$E102)))&gt;=0,MOD(((Özet!$C$4*12+6)-(YEAR(Ödemeler!$E102)*12+MONTH(Ödemeler!$E102))),Ödemeler!$G102)=0,OR(Ödemeler!$F102="",DATE(Özet!$C$4,6,1)&lt;=Ödemeler!$F102)),Ödemeler!$C102,0))</f>
        <v/>
      </c>
      <c r="H103" s="36" t="str">
        <f aca="false">IF(OR(Ödemeler!$A102="",Ödemeler!$G102="",Ödemeler!$E102=""),"",IF(AND(((Özet!$C$4*12+7)-(YEAR(Ödemeler!$E102)*12+MONTH(Ödemeler!$E102)))&gt;=0,MOD(((Özet!$C$4*12+7)-(YEAR(Ödemeler!$E102)*12+MONTH(Ödemeler!$E102))),Ödemeler!$G102)=0,OR(Ödemeler!$F102="",DATE(Özet!$C$4,7,1)&lt;=Ödemeler!$F102)),Ödemeler!$C102,0))</f>
        <v/>
      </c>
      <c r="I103" s="36" t="str">
        <f aca="false">IF(OR(Ödemeler!$A102="",Ödemeler!$G102="",Ödemeler!$E102=""),"",IF(AND(((Özet!$C$4*12+8)-(YEAR(Ödemeler!$E102)*12+MONTH(Ödemeler!$E102)))&gt;=0,MOD(((Özet!$C$4*12+8)-(YEAR(Ödemeler!$E102)*12+MONTH(Ödemeler!$E102))),Ödemeler!$G102)=0,OR(Ödemeler!$F102="",DATE(Özet!$C$4,8,1)&lt;=Ödemeler!$F102)),Ödemeler!$C102,0))</f>
        <v/>
      </c>
      <c r="J103" s="36" t="str">
        <f aca="false">IF(OR(Ödemeler!$A102="",Ödemeler!$G102="",Ödemeler!$E102=""),"",IF(AND(((Özet!$C$4*12+9)-(YEAR(Ödemeler!$E102)*12+MONTH(Ödemeler!$E102)))&gt;=0,MOD(((Özet!$C$4*12+9)-(YEAR(Ödemeler!$E102)*12+MONTH(Ödemeler!$E102))),Ödemeler!$G102)=0,OR(Ödemeler!$F102="",DATE(Özet!$C$4,9,1)&lt;=Ödemeler!$F102)),Ödemeler!$C102,0))</f>
        <v/>
      </c>
      <c r="K103" s="36" t="str">
        <f aca="false">IF(OR(Ödemeler!$A102="",Ödemeler!$G102="",Ödemeler!$E102=""),"",IF(AND(((Özet!$C$4*12+10)-(YEAR(Ödemeler!$E102)*12+MONTH(Ödemeler!$E102)))&gt;=0,MOD(((Özet!$C$4*12+10)-(YEAR(Ödemeler!$E102)*12+MONTH(Ödemeler!$E102))),Ödemeler!$G102)=0,OR(Ödemeler!$F102="",DATE(Özet!$C$4,10,1)&lt;=Ödemeler!$F102)),Ödemeler!$C102,0))</f>
        <v/>
      </c>
      <c r="L103" s="36" t="str">
        <f aca="false">IF(OR(Ödemeler!$A102="",Ödemeler!$G102="",Ödemeler!$E102=""),"",IF(AND(((Özet!$C$4*12+11)-(YEAR(Ödemeler!$E102)*12+MONTH(Ödemeler!$E102)))&gt;=0,MOD(((Özet!$C$4*12+11)-(YEAR(Ödemeler!$E102)*12+MONTH(Ödemeler!$E102))),Ödemeler!$G102)=0,OR(Ödemeler!$F102="",DATE(Özet!$C$4,11,1)&lt;=Ödemeler!$F102)),Ödemeler!$C102,0))</f>
        <v/>
      </c>
      <c r="M103" s="36" t="str">
        <f aca="false">IF(OR(Ödemeler!$A102="",Ödemeler!$G102="",Ödemeler!$E102=""),"",IF(AND(((Özet!$C$4*12+12)-(YEAR(Ödemeler!$E102)*12+MONTH(Ödemeler!$E102)))&gt;=0,MOD(((Özet!$C$4*12+12)-(YEAR(Ödemeler!$E102)*12+MONTH(Ödemeler!$E102))),Ödemeler!$G102)=0,OR(Ödemeler!$F102="",DATE(Özet!$C$4,12,1)&lt;=Ödemeler!$F102)),Ödemeler!$C102,0))</f>
        <v/>
      </c>
      <c r="N103" s="36" t="str">
        <f aca="false">IF(COUNT(B103:M103)=0,"",SUM(B103:M103))</f>
        <v/>
      </c>
    </row>
    <row r="104" customFormat="false" ht="15" hidden="false" customHeight="false" outlineLevel="0" collapsed="false">
      <c r="A104" s="30" t="str">
        <f aca="false">IF(Ödemeler!A103="","",Ödemeler!A103)</f>
        <v/>
      </c>
      <c r="B104" s="37" t="str">
        <f aca="false">IF(OR(Ödemeler!$A103="",Ödemeler!$G103="",Ödemeler!$E103=""),"",IF(AND(((Özet!$C$4*12+1)-(YEAR(Ödemeler!$E103)*12+MONTH(Ödemeler!$E103)))&gt;=0,MOD(((Özet!$C$4*12+1)-(YEAR(Ödemeler!$E103)*12+MONTH(Ödemeler!$E103))),Ödemeler!$G103)=0,OR(Ödemeler!$F103="",DATE(Özet!$C$4,1,1)&lt;=Ödemeler!$F103)),Ödemeler!$C103,0))</f>
        <v/>
      </c>
      <c r="C104" s="37" t="str">
        <f aca="false">IF(OR(Ödemeler!$A103="",Ödemeler!$G103="",Ödemeler!$E103=""),"",IF(AND(((Özet!$C$4*12+2)-(YEAR(Ödemeler!$E103)*12+MONTH(Ödemeler!$E103)))&gt;=0,MOD(((Özet!$C$4*12+2)-(YEAR(Ödemeler!$E103)*12+MONTH(Ödemeler!$E103))),Ödemeler!$G103)=0,OR(Ödemeler!$F103="",DATE(Özet!$C$4,2,1)&lt;=Ödemeler!$F103)),Ödemeler!$C103,0))</f>
        <v/>
      </c>
      <c r="D104" s="37" t="str">
        <f aca="false">IF(OR(Ödemeler!$A103="",Ödemeler!$G103="",Ödemeler!$E103=""),"",IF(AND(((Özet!$C$4*12+3)-(YEAR(Ödemeler!$E103)*12+MONTH(Ödemeler!$E103)))&gt;=0,MOD(((Özet!$C$4*12+3)-(YEAR(Ödemeler!$E103)*12+MONTH(Ödemeler!$E103))),Ödemeler!$G103)=0,OR(Ödemeler!$F103="",DATE(Özet!$C$4,3,1)&lt;=Ödemeler!$F103)),Ödemeler!$C103,0))</f>
        <v/>
      </c>
      <c r="E104" s="37" t="str">
        <f aca="false">IF(OR(Ödemeler!$A103="",Ödemeler!$G103="",Ödemeler!$E103=""),"",IF(AND(((Özet!$C$4*12+4)-(YEAR(Ödemeler!$E103)*12+MONTH(Ödemeler!$E103)))&gt;=0,MOD(((Özet!$C$4*12+4)-(YEAR(Ödemeler!$E103)*12+MONTH(Ödemeler!$E103))),Ödemeler!$G103)=0,OR(Ödemeler!$F103="",DATE(Özet!$C$4,4,1)&lt;=Ödemeler!$F103)),Ödemeler!$C103,0))</f>
        <v/>
      </c>
      <c r="F104" s="37" t="str">
        <f aca="false">IF(OR(Ödemeler!$A103="",Ödemeler!$G103="",Ödemeler!$E103=""),"",IF(AND(((Özet!$C$4*12+5)-(YEAR(Ödemeler!$E103)*12+MONTH(Ödemeler!$E103)))&gt;=0,MOD(((Özet!$C$4*12+5)-(YEAR(Ödemeler!$E103)*12+MONTH(Ödemeler!$E103))),Ödemeler!$G103)=0,OR(Ödemeler!$F103="",DATE(Özet!$C$4,5,1)&lt;=Ödemeler!$F103)),Ödemeler!$C103,0))</f>
        <v/>
      </c>
      <c r="G104" s="37" t="str">
        <f aca="false">IF(OR(Ödemeler!$A103="",Ödemeler!$G103="",Ödemeler!$E103=""),"",IF(AND(((Özet!$C$4*12+6)-(YEAR(Ödemeler!$E103)*12+MONTH(Ödemeler!$E103)))&gt;=0,MOD(((Özet!$C$4*12+6)-(YEAR(Ödemeler!$E103)*12+MONTH(Ödemeler!$E103))),Ödemeler!$G103)=0,OR(Ödemeler!$F103="",DATE(Özet!$C$4,6,1)&lt;=Ödemeler!$F103)),Ödemeler!$C103,0))</f>
        <v/>
      </c>
      <c r="H104" s="37" t="str">
        <f aca="false">IF(OR(Ödemeler!$A103="",Ödemeler!$G103="",Ödemeler!$E103=""),"",IF(AND(((Özet!$C$4*12+7)-(YEAR(Ödemeler!$E103)*12+MONTH(Ödemeler!$E103)))&gt;=0,MOD(((Özet!$C$4*12+7)-(YEAR(Ödemeler!$E103)*12+MONTH(Ödemeler!$E103))),Ödemeler!$G103)=0,OR(Ödemeler!$F103="",DATE(Özet!$C$4,7,1)&lt;=Ödemeler!$F103)),Ödemeler!$C103,0))</f>
        <v/>
      </c>
      <c r="I104" s="37" t="str">
        <f aca="false">IF(OR(Ödemeler!$A103="",Ödemeler!$G103="",Ödemeler!$E103=""),"",IF(AND(((Özet!$C$4*12+8)-(YEAR(Ödemeler!$E103)*12+MONTH(Ödemeler!$E103)))&gt;=0,MOD(((Özet!$C$4*12+8)-(YEAR(Ödemeler!$E103)*12+MONTH(Ödemeler!$E103))),Ödemeler!$G103)=0,OR(Ödemeler!$F103="",DATE(Özet!$C$4,8,1)&lt;=Ödemeler!$F103)),Ödemeler!$C103,0))</f>
        <v/>
      </c>
      <c r="J104" s="37" t="str">
        <f aca="false">IF(OR(Ödemeler!$A103="",Ödemeler!$G103="",Ödemeler!$E103=""),"",IF(AND(((Özet!$C$4*12+9)-(YEAR(Ödemeler!$E103)*12+MONTH(Ödemeler!$E103)))&gt;=0,MOD(((Özet!$C$4*12+9)-(YEAR(Ödemeler!$E103)*12+MONTH(Ödemeler!$E103))),Ödemeler!$G103)=0,OR(Ödemeler!$F103="",DATE(Özet!$C$4,9,1)&lt;=Ödemeler!$F103)),Ödemeler!$C103,0))</f>
        <v/>
      </c>
      <c r="K104" s="37" t="str">
        <f aca="false">IF(OR(Ödemeler!$A103="",Ödemeler!$G103="",Ödemeler!$E103=""),"",IF(AND(((Özet!$C$4*12+10)-(YEAR(Ödemeler!$E103)*12+MONTH(Ödemeler!$E103)))&gt;=0,MOD(((Özet!$C$4*12+10)-(YEAR(Ödemeler!$E103)*12+MONTH(Ödemeler!$E103))),Ödemeler!$G103)=0,OR(Ödemeler!$F103="",DATE(Özet!$C$4,10,1)&lt;=Ödemeler!$F103)),Ödemeler!$C103,0))</f>
        <v/>
      </c>
      <c r="L104" s="37" t="str">
        <f aca="false">IF(OR(Ödemeler!$A103="",Ödemeler!$G103="",Ödemeler!$E103=""),"",IF(AND(((Özet!$C$4*12+11)-(YEAR(Ödemeler!$E103)*12+MONTH(Ödemeler!$E103)))&gt;=0,MOD(((Özet!$C$4*12+11)-(YEAR(Ödemeler!$E103)*12+MONTH(Ödemeler!$E103))),Ödemeler!$G103)=0,OR(Ödemeler!$F103="",DATE(Özet!$C$4,11,1)&lt;=Ödemeler!$F103)),Ödemeler!$C103,0))</f>
        <v/>
      </c>
      <c r="M104" s="37" t="str">
        <f aca="false">IF(OR(Ödemeler!$A103="",Ödemeler!$G103="",Ödemeler!$E103=""),"",IF(AND(((Özet!$C$4*12+12)-(YEAR(Ödemeler!$E103)*12+MONTH(Ödemeler!$E103)))&gt;=0,MOD(((Özet!$C$4*12+12)-(YEAR(Ödemeler!$E103)*12+MONTH(Ödemeler!$E103))),Ödemeler!$G103)=0,OR(Ödemeler!$F103="",DATE(Özet!$C$4,12,1)&lt;=Ödemeler!$F103)),Ödemeler!$C103,0))</f>
        <v/>
      </c>
      <c r="N104" s="37" t="str">
        <f aca="false">IF(COUNT(B104:M104)=0,"",SUM(B104:M104))</f>
        <v/>
      </c>
    </row>
    <row r="105" customFormat="false" ht="15" hidden="false" customHeight="false" outlineLevel="0" collapsed="false">
      <c r="A105" s="16" t="str">
        <f aca="false">IF(Ödemeler!A104="","",Ödemeler!A104)</f>
        <v/>
      </c>
      <c r="B105" s="36" t="str">
        <f aca="false">IF(OR(Ödemeler!$A104="",Ödemeler!$G104="",Ödemeler!$E104=""),"",IF(AND(((Özet!$C$4*12+1)-(YEAR(Ödemeler!$E104)*12+MONTH(Ödemeler!$E104)))&gt;=0,MOD(((Özet!$C$4*12+1)-(YEAR(Ödemeler!$E104)*12+MONTH(Ödemeler!$E104))),Ödemeler!$G104)=0,OR(Ödemeler!$F104="",DATE(Özet!$C$4,1,1)&lt;=Ödemeler!$F104)),Ödemeler!$C104,0))</f>
        <v/>
      </c>
      <c r="C105" s="36" t="str">
        <f aca="false">IF(OR(Ödemeler!$A104="",Ödemeler!$G104="",Ödemeler!$E104=""),"",IF(AND(((Özet!$C$4*12+2)-(YEAR(Ödemeler!$E104)*12+MONTH(Ödemeler!$E104)))&gt;=0,MOD(((Özet!$C$4*12+2)-(YEAR(Ödemeler!$E104)*12+MONTH(Ödemeler!$E104))),Ödemeler!$G104)=0,OR(Ödemeler!$F104="",DATE(Özet!$C$4,2,1)&lt;=Ödemeler!$F104)),Ödemeler!$C104,0))</f>
        <v/>
      </c>
      <c r="D105" s="36" t="str">
        <f aca="false">IF(OR(Ödemeler!$A104="",Ödemeler!$G104="",Ödemeler!$E104=""),"",IF(AND(((Özet!$C$4*12+3)-(YEAR(Ödemeler!$E104)*12+MONTH(Ödemeler!$E104)))&gt;=0,MOD(((Özet!$C$4*12+3)-(YEAR(Ödemeler!$E104)*12+MONTH(Ödemeler!$E104))),Ödemeler!$G104)=0,OR(Ödemeler!$F104="",DATE(Özet!$C$4,3,1)&lt;=Ödemeler!$F104)),Ödemeler!$C104,0))</f>
        <v/>
      </c>
      <c r="E105" s="36" t="str">
        <f aca="false">IF(OR(Ödemeler!$A104="",Ödemeler!$G104="",Ödemeler!$E104=""),"",IF(AND(((Özet!$C$4*12+4)-(YEAR(Ödemeler!$E104)*12+MONTH(Ödemeler!$E104)))&gt;=0,MOD(((Özet!$C$4*12+4)-(YEAR(Ödemeler!$E104)*12+MONTH(Ödemeler!$E104))),Ödemeler!$G104)=0,OR(Ödemeler!$F104="",DATE(Özet!$C$4,4,1)&lt;=Ödemeler!$F104)),Ödemeler!$C104,0))</f>
        <v/>
      </c>
      <c r="F105" s="36" t="str">
        <f aca="false">IF(OR(Ödemeler!$A104="",Ödemeler!$G104="",Ödemeler!$E104=""),"",IF(AND(((Özet!$C$4*12+5)-(YEAR(Ödemeler!$E104)*12+MONTH(Ödemeler!$E104)))&gt;=0,MOD(((Özet!$C$4*12+5)-(YEAR(Ödemeler!$E104)*12+MONTH(Ödemeler!$E104))),Ödemeler!$G104)=0,OR(Ödemeler!$F104="",DATE(Özet!$C$4,5,1)&lt;=Ödemeler!$F104)),Ödemeler!$C104,0))</f>
        <v/>
      </c>
      <c r="G105" s="36" t="str">
        <f aca="false">IF(OR(Ödemeler!$A104="",Ödemeler!$G104="",Ödemeler!$E104=""),"",IF(AND(((Özet!$C$4*12+6)-(YEAR(Ödemeler!$E104)*12+MONTH(Ödemeler!$E104)))&gt;=0,MOD(((Özet!$C$4*12+6)-(YEAR(Ödemeler!$E104)*12+MONTH(Ödemeler!$E104))),Ödemeler!$G104)=0,OR(Ödemeler!$F104="",DATE(Özet!$C$4,6,1)&lt;=Ödemeler!$F104)),Ödemeler!$C104,0))</f>
        <v/>
      </c>
      <c r="H105" s="36" t="str">
        <f aca="false">IF(OR(Ödemeler!$A104="",Ödemeler!$G104="",Ödemeler!$E104=""),"",IF(AND(((Özet!$C$4*12+7)-(YEAR(Ödemeler!$E104)*12+MONTH(Ödemeler!$E104)))&gt;=0,MOD(((Özet!$C$4*12+7)-(YEAR(Ödemeler!$E104)*12+MONTH(Ödemeler!$E104))),Ödemeler!$G104)=0,OR(Ödemeler!$F104="",DATE(Özet!$C$4,7,1)&lt;=Ödemeler!$F104)),Ödemeler!$C104,0))</f>
        <v/>
      </c>
      <c r="I105" s="36" t="str">
        <f aca="false">IF(OR(Ödemeler!$A104="",Ödemeler!$G104="",Ödemeler!$E104=""),"",IF(AND(((Özet!$C$4*12+8)-(YEAR(Ödemeler!$E104)*12+MONTH(Ödemeler!$E104)))&gt;=0,MOD(((Özet!$C$4*12+8)-(YEAR(Ödemeler!$E104)*12+MONTH(Ödemeler!$E104))),Ödemeler!$G104)=0,OR(Ödemeler!$F104="",DATE(Özet!$C$4,8,1)&lt;=Ödemeler!$F104)),Ödemeler!$C104,0))</f>
        <v/>
      </c>
      <c r="J105" s="36" t="str">
        <f aca="false">IF(OR(Ödemeler!$A104="",Ödemeler!$G104="",Ödemeler!$E104=""),"",IF(AND(((Özet!$C$4*12+9)-(YEAR(Ödemeler!$E104)*12+MONTH(Ödemeler!$E104)))&gt;=0,MOD(((Özet!$C$4*12+9)-(YEAR(Ödemeler!$E104)*12+MONTH(Ödemeler!$E104))),Ödemeler!$G104)=0,OR(Ödemeler!$F104="",DATE(Özet!$C$4,9,1)&lt;=Ödemeler!$F104)),Ödemeler!$C104,0))</f>
        <v/>
      </c>
      <c r="K105" s="36" t="str">
        <f aca="false">IF(OR(Ödemeler!$A104="",Ödemeler!$G104="",Ödemeler!$E104=""),"",IF(AND(((Özet!$C$4*12+10)-(YEAR(Ödemeler!$E104)*12+MONTH(Ödemeler!$E104)))&gt;=0,MOD(((Özet!$C$4*12+10)-(YEAR(Ödemeler!$E104)*12+MONTH(Ödemeler!$E104))),Ödemeler!$G104)=0,OR(Ödemeler!$F104="",DATE(Özet!$C$4,10,1)&lt;=Ödemeler!$F104)),Ödemeler!$C104,0))</f>
        <v/>
      </c>
      <c r="L105" s="36" t="str">
        <f aca="false">IF(OR(Ödemeler!$A104="",Ödemeler!$G104="",Ödemeler!$E104=""),"",IF(AND(((Özet!$C$4*12+11)-(YEAR(Ödemeler!$E104)*12+MONTH(Ödemeler!$E104)))&gt;=0,MOD(((Özet!$C$4*12+11)-(YEAR(Ödemeler!$E104)*12+MONTH(Ödemeler!$E104))),Ödemeler!$G104)=0,OR(Ödemeler!$F104="",DATE(Özet!$C$4,11,1)&lt;=Ödemeler!$F104)),Ödemeler!$C104,0))</f>
        <v/>
      </c>
      <c r="M105" s="36" t="str">
        <f aca="false">IF(OR(Ödemeler!$A104="",Ödemeler!$G104="",Ödemeler!$E104=""),"",IF(AND(((Özet!$C$4*12+12)-(YEAR(Ödemeler!$E104)*12+MONTH(Ödemeler!$E104)))&gt;=0,MOD(((Özet!$C$4*12+12)-(YEAR(Ödemeler!$E104)*12+MONTH(Ödemeler!$E104))),Ödemeler!$G104)=0,OR(Ödemeler!$F104="",DATE(Özet!$C$4,12,1)&lt;=Ödemeler!$F104)),Ödemeler!$C104,0))</f>
        <v/>
      </c>
      <c r="N105" s="36" t="str">
        <f aca="false">IF(COUNT(B105:M105)=0,"",SUM(B105:M105))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9.7" hidden="false" customHeight="false" outlineLevel="0" collapsed="false">
      <c r="A1" s="8" t="s">
        <v>89</v>
      </c>
    </row>
    <row r="2" customFormat="false" ht="15" hidden="false" customHeight="false" outlineLevel="0" collapsed="false">
      <c r="A2" s="9" t="s">
        <v>90</v>
      </c>
    </row>
    <row r="4" customFormat="false" ht="27.75" hidden="false" customHeight="true" outlineLevel="0" collapsed="false">
      <c r="A4" s="10" t="s">
        <v>27</v>
      </c>
    </row>
    <row r="5" customFormat="false" ht="15" hidden="false" customHeight="false" outlineLevel="0" collapsed="false">
      <c r="A5" s="12" t="s">
        <v>41</v>
      </c>
    </row>
    <row r="6" customFormat="false" ht="15" hidden="false" customHeight="false" outlineLevel="0" collapsed="false">
      <c r="A6" s="12" t="s">
        <v>44</v>
      </c>
    </row>
    <row r="7" customFormat="false" ht="15" hidden="false" customHeight="false" outlineLevel="0" collapsed="false">
      <c r="A7" s="12" t="s">
        <v>47</v>
      </c>
    </row>
    <row r="8" customFormat="false" ht="15" hidden="false" customHeight="false" outlineLevel="0" collapsed="false">
      <c r="A8" s="12" t="s">
        <v>51</v>
      </c>
    </row>
    <row r="9" customFormat="false" ht="15" hidden="false" customHeight="false" outlineLevel="0" collapsed="false">
      <c r="A9" s="12" t="s">
        <v>53</v>
      </c>
    </row>
    <row r="10" customFormat="false" ht="15" hidden="false" customHeight="false" outlineLevel="0" collapsed="false">
      <c r="A10" s="12" t="s">
        <v>56</v>
      </c>
    </row>
    <row r="11" customFormat="false" ht="15" hidden="false" customHeight="false" outlineLevel="0" collapsed="false">
      <c r="A11" s="12" t="s">
        <v>91</v>
      </c>
    </row>
    <row r="12" customFormat="false" ht="15" hidden="false" customHeight="false" outlineLevel="0" collapsed="false">
      <c r="A12" s="12" t="s">
        <v>92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93</v>
      </c>
    </row>
    <row r="2" customFormat="false" ht="30" hidden="false" customHeight="true" outlineLevel="0" collapsed="false">
      <c r="B2" s="38" t="s">
        <v>94</v>
      </c>
      <c r="C2" s="38"/>
    </row>
    <row r="3" customFormat="false" ht="31.5" hidden="false" customHeight="true" outlineLevel="0" collapsed="false">
      <c r="B3" s="39" t="s">
        <v>95</v>
      </c>
      <c r="C3" s="39"/>
    </row>
    <row r="5" customFormat="false" ht="15" hidden="false" customHeight="false" outlineLevel="0" collapsed="false">
      <c r="B5" s="40" t="s">
        <v>96</v>
      </c>
      <c r="C5" s="40" t="s">
        <v>97</v>
      </c>
    </row>
    <row r="6" customFormat="false" ht="31.5" hidden="false" customHeight="true" outlineLevel="0" collapsed="false">
      <c r="B6" s="41" t="s">
        <v>98</v>
      </c>
      <c r="C6" s="42" t="s">
        <v>99</v>
      </c>
    </row>
    <row r="7" customFormat="false" ht="31.5" hidden="false" customHeight="true" outlineLevel="0" collapsed="false">
      <c r="B7" s="43" t="s">
        <v>100</v>
      </c>
      <c r="C7" s="44" t="s">
        <v>101</v>
      </c>
    </row>
    <row r="8" customFormat="false" ht="31.5" hidden="false" customHeight="true" outlineLevel="0" collapsed="false">
      <c r="B8" s="41" t="s">
        <v>102</v>
      </c>
      <c r="C8" s="42" t="s">
        <v>103</v>
      </c>
    </row>
    <row r="9" customFormat="false" ht="31.5" hidden="false" customHeight="true" outlineLevel="0" collapsed="false">
      <c r="B9" s="43" t="s">
        <v>104</v>
      </c>
      <c r="C9" s="44" t="s">
        <v>105</v>
      </c>
    </row>
    <row r="10" customFormat="false" ht="31.5" hidden="false" customHeight="true" outlineLevel="0" collapsed="false">
      <c r="B10" s="41" t="s">
        <v>106</v>
      </c>
      <c r="C10" s="42" t="s">
        <v>107</v>
      </c>
    </row>
    <row r="11" customFormat="false" ht="31.5" hidden="false" customHeight="true" outlineLevel="0" collapsed="false">
      <c r="B11" s="43" t="s">
        <v>108</v>
      </c>
      <c r="C11" s="44" t="s">
        <v>109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