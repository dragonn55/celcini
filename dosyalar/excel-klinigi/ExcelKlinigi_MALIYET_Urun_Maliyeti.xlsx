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Ürünler" sheetId="2" state="visible" r:id="rId4"/>
    <sheet name="Reçeteler" sheetId="3" state="visible" r:id="rId5"/>
    <sheet name="Malzemeler" sheetId="4" state="visible" r:id="rId6"/>
    <sheet name="Özet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<sst xmlns="http://schemas.openxmlformats.org/spreadsheetml/2006/main" count="100" uniqueCount="76">
  <si>
    <t xml:space="preserve">EXCEL KLİNİĞİ</t>
  </si>
  <si>
    <t xml:space="preserve">MALİYET  |  Ürün maliyeti ve fiyat hesaplama</t>
  </si>
  <si>
    <t xml:space="preserve">Bir kurabiye, bir tabak yemek, bir sabun sana kaça mal oluyor; hedeflediğin kârı bırakması için kaça satmalısın.</t>
  </si>
  <si>
    <t xml:space="preserve">NASIL KULLANILIR</t>
  </si>
  <si>
    <t xml:space="preserve">1. Malzemeler</t>
  </si>
  <si>
    <t xml:space="preserve">Malzemeleri, paket fiyatını ve paket miktarını yaz.</t>
  </si>
  <si>
    <t xml:space="preserve">2. Ürünler</t>
  </si>
  <si>
    <t xml:space="preserve">Ürünü, reçetenin kaç adet verdiğini, adet başına ek maliyeti ve satış fiyatını yaz.</t>
  </si>
  <si>
    <t xml:space="preserve">3. Reçeteler</t>
  </si>
  <si>
    <t xml:space="preserve">Her ürünün malzemelerini ve miktarını gir.</t>
  </si>
  <si>
    <t xml:space="preserve">4. Özet</t>
  </si>
  <si>
    <t xml:space="preserve">Hedef marjını yaz; hedefin altındaki ürünleri ve olması gereken fiyatı gör.</t>
  </si>
  <si>
    <t xml:space="preserve">BİLMEN GEREKENLER</t>
  </si>
  <si>
    <t xml:space="preserve">Marj</t>
  </si>
  <si>
    <t xml:space="preserve">Kârın satış fiyatına oranıdır. Yüzde 60 marj, 10 liralık satışın 6 lirasının kâr olması demektir.</t>
  </si>
  <si>
    <t xml:space="preserve">Kapsam</t>
  </si>
  <si>
    <t xml:space="preserve">Kira, elektrik gibi genel giderler birim maliyete dahil değildir; onları adet başına ek maliyete kendin katabilirsin.</t>
  </si>
  <si>
    <t xml:space="preserve">KDV</t>
  </si>
  <si>
    <t xml:space="preserve">Fiyat ve maliyetleri hep aynı şekilde (KDV dahil ya da hariç) yaz.</t>
  </si>
  <si>
    <t xml:space="preserve">Kapasite</t>
  </si>
  <si>
    <t xml:space="preserve">Malzemeler: 150 satır; Ürünler: 80 satır; Reçeteler: 1000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</si>
  <si>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</si>
  <si>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</si>
  <si>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</si>
  <si>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</si>
  <si>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</si>
  <si>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Ürünler</t>
  </si>
  <si>
    <t xml:space="preserve">Ürünü, reçetenin kaç adet verdiğini, adet başına ek maliyeti (ambalaj, işçilik) ve satış fiyatını yaz.</t>
  </si>
  <si>
    <t xml:space="preserve">Ürün</t>
  </si>
  <si>
    <t xml:space="preserve">Reçete kaç adet verir</t>
  </si>
  <si>
    <t xml:space="preserve">Adet başına ek maliyet (₺)</t>
  </si>
  <si>
    <t xml:space="preserve">Satış fiyatı (₺)</t>
  </si>
  <si>
    <t xml:space="preserve">Reçete maliyeti (₺)</t>
  </si>
  <si>
    <t xml:space="preserve">Birim maliyet (₺)</t>
  </si>
  <si>
    <t xml:space="preserve">Kâr (₺)</t>
  </si>
  <si>
    <t xml:space="preserve">Hedef marja göre fiyat (₺)</t>
  </si>
  <si>
    <t xml:space="preserve">Durum</t>
  </si>
  <si>
    <t xml:space="preserve">y</t>
  </si>
  <si>
    <t xml:space="preserve">Kurabiye</t>
  </si>
  <si>
    <t xml:space="preserve">Kek (dilim)</t>
  </si>
  <si>
    <t xml:space="preserve">Reçeteler</t>
  </si>
  <si>
    <t xml:space="preserve">Her satır bir ürünün bir malzemesi. Miktarı malzemenin birimiyle yaz.</t>
  </si>
  <si>
    <t xml:space="preserve">Malzeme</t>
  </si>
  <si>
    <t xml:space="preserve">Miktar</t>
  </si>
  <si>
    <t xml:space="preserve">Satır maliyeti (₺)</t>
  </si>
  <si>
    <t xml:space="preserve">Un</t>
  </si>
  <si>
    <t xml:space="preserve">Şeker</t>
  </si>
  <si>
    <t xml:space="preserve">Tereyağı</t>
  </si>
  <si>
    <t xml:space="preserve">Yumurta</t>
  </si>
  <si>
    <t xml:space="preserve">Malzemeler</t>
  </si>
  <si>
    <t xml:space="preserve">Aldığın paketin fiyatını ve içindeki miktarı yaz; birim fiyat hesaplanır.</t>
  </si>
  <si>
    <t xml:space="preserve">Birim</t>
  </si>
  <si>
    <t xml:space="preserve">Paket fiyatı (₺)</t>
  </si>
  <si>
    <t xml:space="preserve">Paket miktarı</t>
  </si>
  <si>
    <t xml:space="preserve">Birim fiyat (₺)</t>
  </si>
  <si>
    <t xml:space="preserve">kg</t>
  </si>
  <si>
    <t xml:space="preserve">adet</t>
  </si>
  <si>
    <t xml:space="preserve">Özet</t>
  </si>
  <si>
    <t xml:space="preserve">Hedeflediğin kâr marjını yaz.</t>
  </si>
  <si>
    <t xml:space="preserve">Hedef marj</t>
  </si>
  <si>
    <t xml:space="preserve">Ortalama marj</t>
  </si>
  <si>
    <t xml:space="preserve">Hedefin altındaki ürün</t>
  </si>
  <si>
    <t xml:space="preserve">Marjı en düşük 5 ürün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</si>
  <si>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</si>
  <si>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</si>
  <si>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Tedarikçi adlarını paylaşmak zorunda değilsin. Yapay zekanın verdiği rakamları dosyadaki özet sayfasıyla karşılaştır.</t>
  </si>
  <si>
    <t xml:space="preserve">Ne için</t>
  </si>
  <si>
    <t xml:space="preserve">Komut (kopyala, yapıştır)</t>
  </si>
  <si>
    <t xml:space="preserve">Zam etkisi</t>
  </si>
  <si>
    <t xml:space="preserve">[Malzemeler sayfası] Tereyağı yüzde 20 zamlanırsa hangi ürünün marjı ne kadar düşer?</t>
  </si>
  <si>
    <t xml:space="preserve">Fiyat önerisi</t>
  </si>
  <si>
    <t xml:space="preserve">[Ürünler sayfası] Hedefin altındaki ürünler için yuvarlak ve makul satış fiyatları öner.</t>
  </si>
  <si>
    <t xml:space="preserve">Maliyet düşürme</t>
  </si>
  <si>
    <t xml:space="preserve">[Reçeteler sayfası] Maliyetin en büyük kısmını hangi malzemeler oluşturuyor? Azaltma yolları öner.</t>
  </si>
  <si>
    <t xml:space="preserve">Menü</t>
  </si>
  <si>
    <t xml:space="preserve">Marjı yüksek ürünleri öne çıkarmak için menü ya da vitrin düzeni öner.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</si>
</sst>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;\-"/>
    <numFmt numFmtId="166" formatCode="#,##0.00&quot; ₺&quot;"/>
    <numFmt numFmtId="167" formatCode="#,##0.00&quot; ₺&quot;;[RED]\-#,##0.00&quot; ₺&quot;;\-"/>
    <numFmt numFmtId="168" formatCode="#,##0.00"/>
    <numFmt numFmtId="169" formatCode="0%"/>
    <numFmt numFmtId="170" formatCode="0.00%"/>
    <numFmt numFmtId="171" formatCode="#,##0.###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6" customFormat="false" ht="18" hidden="false" customHeight="true" outlineLevel="0" collapsed="false">
      <c r="B16" s="5" t="s">
        <v>19</v>
      </c>
      <c r="C16" s="6" t="s">
        <v>20</v>
      </c>
    </row>
    <row r="18" customFormat="false" ht="19.5" hidden="false" customHeight="true" outlineLevel="0" collapsed="false">
      <c r="B18" s="4" t="s">
        <v>21</v>
      </c>
      <c r="C18" s="4"/>
    </row>
    <row r="19" customFormat="false" ht="18" hidden="false" customHeight="true" outlineLevel="0" collapsed="false">
      <c r="B19" s="7" t="s">
        <v>22</v>
      </c>
      <c r="C19" s="6" t="s">
        <v>23</v>
      </c>
    </row>
    <row r="20" customFormat="false" ht="18" hidden="false" customHeight="true" outlineLevel="0" collapsed="false">
      <c r="B20" s="5" t="s">
        <v>24</v>
      </c>
      <c r="C20" s="6" t="s">
        <v>25</v>
      </c>
    </row>
  </sheetData>
  <mergeCells count="6">
    <mergeCell ref="B2:C2"/>
    <mergeCell ref="B3:C3"/>
    <mergeCell ref="B4:C4"/>
    <mergeCell ref="B6:C6"/>
    <mergeCell ref="B12:C12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true" outlineLevel="0" max="11" min="11" style="0" width="14"/>
  </cols>
  <sheetData>
    <row r="1" customFormat="false" ht="19.7" hidden="false" customHeight="false" outlineLevel="0" collapsed="false">
      <c r="A1" s="8" t="s">
        <v>26</v>
      </c>
    </row>
    <row r="2" customFormat="false" ht="15" hidden="false" customHeight="false" outlineLevel="0" collapsed="false">
      <c r="A2" s="9" t="s">
        <v>27</v>
      </c>
    </row>
    <row r="4" customFormat="false" ht="27.75" hidden="false" customHeight="true" outlineLevel="0" collapsed="false">
      <c r="A4" s="10" t="s">
        <v>28</v>
      </c>
      <c r="B4" s="10" t="s">
        <v>29</v>
      </c>
      <c r="C4" s="10" t="s">
        <v>30</v>
      </c>
      <c r="D4" s="10" t="s">
        <v>31</v>
      </c>
      <c r="E4" s="11" t="s">
        <v>32</v>
      </c>
      <c r="F4" s="11" t="s">
        <v>33</v>
      </c>
      <c r="G4" s="11" t="s">
        <v>34</v>
      </c>
      <c r="H4" s="11" t="s">
        <v>13</v>
      </c>
      <c r="I4" s="11" t="s">
        <v>35</v>
      </c>
      <c r="J4" s="11" t="s">
        <v>36</v>
      </c>
      <c r="K4" s="11" t="s">
        <v>37</v>
      </c>
    </row>
    <row r="5" customFormat="false" ht="15" hidden="false" customHeight="false" outlineLevel="0" collapsed="false">
      <c r="A5" s="12" t="s">
        <v>38</v>
      </c>
      <c r="B5" s="13" t="n">
        <v>40</v>
      </c>
      <c r="C5" s="14" t="n">
        <v>0.5</v>
      </c>
      <c r="D5" s="14" t="n">
        <v>12</v>
      </c>
      <c r="E5" s="15" t="n">
        <f aca="false">IF(A5="","",SUMIFS(Reçeteler!$D$5:$D$1004,Reçeteler!$A$5:$A$1004,A5))</f>
        <v>148.8</v>
      </c>
      <c r="F5" s="16" t="n">
        <f aca="false">IF(OR(A5="",B5="",B5=0),"",E5/B5+C5)</f>
        <v>4.22</v>
      </c>
      <c r="G5" s="16" t="n">
        <f aca="false">IF(OR(F5="",D5=""),"",D5-F5)</f>
        <v>7.78</v>
      </c>
      <c r="H5" s="17" t="n">
        <f aca="false">IF(OR(G5="",D5=0),"",G5/D5)</f>
        <v>0.648333333333333</v>
      </c>
      <c r="I5" s="16" t="n">
        <f aca="false">IF(OR(F5="",Özet!$C$3&gt;=1),"",F5/(1-Özet!$C$3))</f>
        <v>10.55</v>
      </c>
      <c r="J5" s="18" t="str">
        <f aca="false">IF(H5="","",IF(H5&lt;Özet!$C$3,"Hedefin altında","Hedefte"))</f>
        <v>Hedefte</v>
      </c>
      <c r="K5" s="19" t="n">
        <f aca="false">IF(H5="","",H5+ROW()/1000000000)</f>
        <v>0.648333338333333</v>
      </c>
    </row>
    <row r="6" customFormat="false" ht="15" hidden="false" customHeight="false" outlineLevel="0" collapsed="false">
      <c r="A6" s="12" t="s">
        <v>39</v>
      </c>
      <c r="B6" s="13" t="n">
        <v>12</v>
      </c>
      <c r="C6" s="14" t="n">
        <v>1</v>
      </c>
      <c r="D6" s="14" t="n">
        <v>25</v>
      </c>
      <c r="E6" s="15" t="n">
        <f aca="false">IF(A6="","",SUMIFS(Reçeteler!$D$5:$D$1004,Reçeteler!$A$5:$A$1004,A6))</f>
        <v>144</v>
      </c>
      <c r="F6" s="16" t="n">
        <f aca="false">IF(OR(A6="",B6="",B6=0),"",E6/B6+C6)</f>
        <v>13</v>
      </c>
      <c r="G6" s="16" t="n">
        <f aca="false">IF(OR(F6="",D6=""),"",D6-F6)</f>
        <v>12</v>
      </c>
      <c r="H6" s="17" t="n">
        <f aca="false">IF(OR(G6="",D6=0),"",G6/D6)</f>
        <v>0.48</v>
      </c>
      <c r="I6" s="16" t="n">
        <f aca="false">IF(OR(F6="",Özet!$C$3&gt;=1),"",F6/(1-Özet!$C$3))</f>
        <v>32.5</v>
      </c>
      <c r="J6" s="18" t="str">
        <f aca="false">IF(H6="","",IF(H6&lt;Özet!$C$3,"Hedefin altında","Hedefte"))</f>
        <v>Hedefin altında</v>
      </c>
      <c r="K6" s="19" t="n">
        <f aca="false">IF(H6="","",H6+ROW()/1000000000)</f>
        <v>0.480000006</v>
      </c>
    </row>
    <row r="7" customFormat="false" ht="15" hidden="false" customHeight="false" outlineLevel="0" collapsed="false">
      <c r="A7" s="12"/>
      <c r="B7" s="13"/>
      <c r="C7" s="14"/>
      <c r="D7" s="14"/>
      <c r="E7" s="15" t="str">
        <f aca="false">IF(A7="","",SUMIFS(Reçeteler!$D$5:$D$1004,Reçeteler!$A$5:$A$1004,A7))</f>
        <v/>
      </c>
      <c r="F7" s="16" t="str">
        <f aca="false">IF(OR(A7="",B7="",B7=0),"",E7/B7+C7)</f>
        <v/>
      </c>
      <c r="G7" s="16" t="str">
        <f aca="false">IF(OR(F7="",D7=""),"",D7-F7)</f>
        <v/>
      </c>
      <c r="H7" s="17" t="str">
        <f aca="false">IF(OR(G7="",D7=0),"",G7/D7)</f>
        <v/>
      </c>
      <c r="I7" s="16" t="str">
        <f aca="false">IF(OR(F7="",Özet!$C$3&gt;=1),"",F7/(1-Özet!$C$3))</f>
        <v/>
      </c>
      <c r="J7" s="18" t="str">
        <f aca="false">IF(H7="","",IF(H7&lt;Özet!$C$3,"Hedefin altında","Hedefte"))</f>
        <v/>
      </c>
      <c r="K7" s="18" t="str">
        <f aca="false">IF(H7="","",H7+ROW()/1000000000)</f>
        <v/>
      </c>
    </row>
    <row r="8" customFormat="false" ht="15" hidden="false" customHeight="false" outlineLevel="0" collapsed="false">
      <c r="A8" s="12"/>
      <c r="B8" s="13"/>
      <c r="C8" s="14"/>
      <c r="D8" s="14"/>
      <c r="E8" s="15" t="str">
        <f aca="false">IF(A8="","",SUMIFS(Reçeteler!$D$5:$D$1004,Reçeteler!$A$5:$A$1004,A8))</f>
        <v/>
      </c>
      <c r="F8" s="16" t="str">
        <f aca="false">IF(OR(A8="",B8="",B8=0),"",E8/B8+C8)</f>
        <v/>
      </c>
      <c r="G8" s="16" t="str">
        <f aca="false">IF(OR(F8="",D8=""),"",D8-F8)</f>
        <v/>
      </c>
      <c r="H8" s="17" t="str">
        <f aca="false">IF(OR(G8="",D8=0),"",G8/D8)</f>
        <v/>
      </c>
      <c r="I8" s="16" t="str">
        <f aca="false">IF(OR(F8="",Özet!$C$3&gt;=1),"",F8/(1-Özet!$C$3))</f>
        <v/>
      </c>
      <c r="J8" s="18" t="str">
        <f aca="false">IF(H8="","",IF(H8&lt;Özet!$C$3,"Hedefin altında","Hedefte"))</f>
        <v/>
      </c>
      <c r="K8" s="18" t="str">
        <f aca="false">IF(H8="","",H8+ROW()/1000000000)</f>
        <v/>
      </c>
    </row>
    <row r="9" customFormat="false" ht="15" hidden="false" customHeight="false" outlineLevel="0" collapsed="false">
      <c r="A9" s="12"/>
      <c r="B9" s="13"/>
      <c r="C9" s="14"/>
      <c r="D9" s="14"/>
      <c r="E9" s="15" t="str">
        <f aca="false">IF(A9="","",SUMIFS(Reçeteler!$D$5:$D$1004,Reçeteler!$A$5:$A$1004,A9))</f>
        <v/>
      </c>
      <c r="F9" s="16" t="str">
        <f aca="false">IF(OR(A9="",B9="",B9=0),"",E9/B9+C9)</f>
        <v/>
      </c>
      <c r="G9" s="16" t="str">
        <f aca="false">IF(OR(F9="",D9=""),"",D9-F9)</f>
        <v/>
      </c>
      <c r="H9" s="17" t="str">
        <f aca="false">IF(OR(G9="",D9=0),"",G9/D9)</f>
        <v/>
      </c>
      <c r="I9" s="16" t="str">
        <f aca="false">IF(OR(F9="",Özet!$C$3&gt;=1),"",F9/(1-Özet!$C$3))</f>
        <v/>
      </c>
      <c r="J9" s="18" t="str">
        <f aca="false">IF(H9="","",IF(H9&lt;Özet!$C$3,"Hedefin altında","Hedefte"))</f>
        <v/>
      </c>
      <c r="K9" s="18" t="str">
        <f aca="false">IF(H9="","",H9+ROW()/1000000000)</f>
        <v/>
      </c>
    </row>
    <row r="10" customFormat="false" ht="15" hidden="false" customHeight="false" outlineLevel="0" collapsed="false">
      <c r="A10" s="12"/>
      <c r="B10" s="13"/>
      <c r="C10" s="14"/>
      <c r="D10" s="14"/>
      <c r="E10" s="15" t="str">
        <f aca="false">IF(A10="","",SUMIFS(Reçeteler!$D$5:$D$1004,Reçeteler!$A$5:$A$1004,A10))</f>
        <v/>
      </c>
      <c r="F10" s="16" t="str">
        <f aca="false">IF(OR(A10="",B10="",B10=0),"",E10/B10+C10)</f>
        <v/>
      </c>
      <c r="G10" s="16" t="str">
        <f aca="false">IF(OR(F10="",D10=""),"",D10-F10)</f>
        <v/>
      </c>
      <c r="H10" s="17" t="str">
        <f aca="false">IF(OR(G10="",D10=0),"",G10/D10)</f>
        <v/>
      </c>
      <c r="I10" s="16" t="str">
        <f aca="false">IF(OR(F10="",Özet!$C$3&gt;=1),"",F10/(1-Özet!$C$3))</f>
        <v/>
      </c>
      <c r="J10" s="18" t="str">
        <f aca="false">IF(H10="","",IF(H10&lt;Özet!$C$3,"Hedefin altında","Hedefte"))</f>
        <v/>
      </c>
      <c r="K10" s="18" t="str">
        <f aca="false">IF(H10="","",H10+ROW()/1000000000)</f>
        <v/>
      </c>
    </row>
    <row r="11" customFormat="false" ht="15" hidden="false" customHeight="false" outlineLevel="0" collapsed="false">
      <c r="A11" s="12"/>
      <c r="B11" s="13"/>
      <c r="C11" s="14"/>
      <c r="D11" s="14"/>
      <c r="E11" s="15" t="str">
        <f aca="false">IF(A11="","",SUMIFS(Reçeteler!$D$5:$D$1004,Reçeteler!$A$5:$A$1004,A11))</f>
        <v/>
      </c>
      <c r="F11" s="16" t="str">
        <f aca="false">IF(OR(A11="",B11="",B11=0),"",E11/B11+C11)</f>
        <v/>
      </c>
      <c r="G11" s="16" t="str">
        <f aca="false">IF(OR(F11="",D11=""),"",D11-F11)</f>
        <v/>
      </c>
      <c r="H11" s="17" t="str">
        <f aca="false">IF(OR(G11="",D11=0),"",G11/D11)</f>
        <v/>
      </c>
      <c r="I11" s="16" t="str">
        <f aca="false">IF(OR(F11="",Özet!$C$3&gt;=1),"",F11/(1-Özet!$C$3))</f>
        <v/>
      </c>
      <c r="J11" s="18" t="str">
        <f aca="false">IF(H11="","",IF(H11&lt;Özet!$C$3,"Hedefin altında","Hedefte"))</f>
        <v/>
      </c>
      <c r="K11" s="18" t="str">
        <f aca="false">IF(H11="","",H11+ROW()/1000000000)</f>
        <v/>
      </c>
    </row>
    <row r="12" customFormat="false" ht="15" hidden="false" customHeight="false" outlineLevel="0" collapsed="false">
      <c r="A12" s="12"/>
      <c r="B12" s="13"/>
      <c r="C12" s="14"/>
      <c r="D12" s="14"/>
      <c r="E12" s="15" t="str">
        <f aca="false">IF(A12="","",SUMIFS(Reçeteler!$D$5:$D$1004,Reçeteler!$A$5:$A$1004,A12))</f>
        <v/>
      </c>
      <c r="F12" s="16" t="str">
        <f aca="false">IF(OR(A12="",B12="",B12=0),"",E12/B12+C12)</f>
        <v/>
      </c>
      <c r="G12" s="16" t="str">
        <f aca="false">IF(OR(F12="",D12=""),"",D12-F12)</f>
        <v/>
      </c>
      <c r="H12" s="17" t="str">
        <f aca="false">IF(OR(G12="",D12=0),"",G12/D12)</f>
        <v/>
      </c>
      <c r="I12" s="16" t="str">
        <f aca="false">IF(OR(F12="",Özet!$C$3&gt;=1),"",F12/(1-Özet!$C$3))</f>
        <v/>
      </c>
      <c r="J12" s="18" t="str">
        <f aca="false">IF(H12="","",IF(H12&lt;Özet!$C$3,"Hedefin altında","Hedefte"))</f>
        <v/>
      </c>
      <c r="K12" s="18" t="str">
        <f aca="false">IF(H12="","",H12+ROW()/1000000000)</f>
        <v/>
      </c>
    </row>
    <row r="13" customFormat="false" ht="15" hidden="false" customHeight="false" outlineLevel="0" collapsed="false">
      <c r="A13" s="12"/>
      <c r="B13" s="13"/>
      <c r="C13" s="14"/>
      <c r="D13" s="14"/>
      <c r="E13" s="15" t="str">
        <f aca="false">IF(A13="","",SUMIFS(Reçeteler!$D$5:$D$1004,Reçeteler!$A$5:$A$1004,A13))</f>
        <v/>
      </c>
      <c r="F13" s="16" t="str">
        <f aca="false">IF(OR(A13="",B13="",B13=0),"",E13/B13+C13)</f>
        <v/>
      </c>
      <c r="G13" s="16" t="str">
        <f aca="false">IF(OR(F13="",D13=""),"",D13-F13)</f>
        <v/>
      </c>
      <c r="H13" s="17" t="str">
        <f aca="false">IF(OR(G13="",D13=0),"",G13/D13)</f>
        <v/>
      </c>
      <c r="I13" s="16" t="str">
        <f aca="false">IF(OR(F13="",Özet!$C$3&gt;=1),"",F13/(1-Özet!$C$3))</f>
        <v/>
      </c>
      <c r="J13" s="18" t="str">
        <f aca="false">IF(H13="","",IF(H13&lt;Özet!$C$3,"Hedefin altında","Hedefte"))</f>
        <v/>
      </c>
      <c r="K13" s="18" t="str">
        <f aca="false">IF(H13="","",H13+ROW()/1000000000)</f>
        <v/>
      </c>
    </row>
    <row r="14" customFormat="false" ht="15" hidden="false" customHeight="false" outlineLevel="0" collapsed="false">
      <c r="A14" s="12"/>
      <c r="B14" s="13"/>
      <c r="C14" s="14"/>
      <c r="D14" s="14"/>
      <c r="E14" s="15" t="str">
        <f aca="false">IF(A14="","",SUMIFS(Reçeteler!$D$5:$D$1004,Reçeteler!$A$5:$A$1004,A14))</f>
        <v/>
      </c>
      <c r="F14" s="16" t="str">
        <f aca="false">IF(OR(A14="",B14="",B14=0),"",E14/B14+C14)</f>
        <v/>
      </c>
      <c r="G14" s="16" t="str">
        <f aca="false">IF(OR(F14="",D14=""),"",D14-F14)</f>
        <v/>
      </c>
      <c r="H14" s="17" t="str">
        <f aca="false">IF(OR(G14="",D14=0),"",G14/D14)</f>
        <v/>
      </c>
      <c r="I14" s="16" t="str">
        <f aca="false">IF(OR(F14="",Özet!$C$3&gt;=1),"",F14/(1-Özet!$C$3))</f>
        <v/>
      </c>
      <c r="J14" s="18" t="str">
        <f aca="false">IF(H14="","",IF(H14&lt;Özet!$C$3,"Hedefin altında","Hedefte"))</f>
        <v/>
      </c>
      <c r="K14" s="18" t="str">
        <f aca="false">IF(H14="","",H14+ROW()/1000000000)</f>
        <v/>
      </c>
    </row>
    <row r="15" customFormat="false" ht="15" hidden="false" customHeight="false" outlineLevel="0" collapsed="false">
      <c r="A15" s="12"/>
      <c r="B15" s="13"/>
      <c r="C15" s="14"/>
      <c r="D15" s="14"/>
      <c r="E15" s="15" t="str">
        <f aca="false">IF(A15="","",SUMIFS(Reçeteler!$D$5:$D$1004,Reçeteler!$A$5:$A$1004,A15))</f>
        <v/>
      </c>
      <c r="F15" s="16" t="str">
        <f aca="false">IF(OR(A15="",B15="",B15=0),"",E15/B15+C15)</f>
        <v/>
      </c>
      <c r="G15" s="16" t="str">
        <f aca="false">IF(OR(F15="",D15=""),"",D15-F15)</f>
        <v/>
      </c>
      <c r="H15" s="17" t="str">
        <f aca="false">IF(OR(G15="",D15=0),"",G15/D15)</f>
        <v/>
      </c>
      <c r="I15" s="16" t="str">
        <f aca="false">IF(OR(F15="",Özet!$C$3&gt;=1),"",F15/(1-Özet!$C$3))</f>
        <v/>
      </c>
      <c r="J15" s="18" t="str">
        <f aca="false">IF(H15="","",IF(H15&lt;Özet!$C$3,"Hedefin altında","Hedefte"))</f>
        <v/>
      </c>
      <c r="K15" s="18" t="str">
        <f aca="false">IF(H15="","",H15+ROW()/1000000000)</f>
        <v/>
      </c>
    </row>
    <row r="16" customFormat="false" ht="15" hidden="false" customHeight="false" outlineLevel="0" collapsed="false">
      <c r="A16" s="12"/>
      <c r="B16" s="13"/>
      <c r="C16" s="14"/>
      <c r="D16" s="14"/>
      <c r="E16" s="15" t="str">
        <f aca="false">IF(A16="","",SUMIFS(Reçeteler!$D$5:$D$1004,Reçeteler!$A$5:$A$1004,A16))</f>
        <v/>
      </c>
      <c r="F16" s="16" t="str">
        <f aca="false">IF(OR(A16="",B16="",B16=0),"",E16/B16+C16)</f>
        <v/>
      </c>
      <c r="G16" s="16" t="str">
        <f aca="false">IF(OR(F16="",D16=""),"",D16-F16)</f>
        <v/>
      </c>
      <c r="H16" s="17" t="str">
        <f aca="false">IF(OR(G16="",D16=0),"",G16/D16)</f>
        <v/>
      </c>
      <c r="I16" s="16" t="str">
        <f aca="false">IF(OR(F16="",Özet!$C$3&gt;=1),"",F16/(1-Özet!$C$3))</f>
        <v/>
      </c>
      <c r="J16" s="18" t="str">
        <f aca="false">IF(H16="","",IF(H16&lt;Özet!$C$3,"Hedefin altında","Hedefte"))</f>
        <v/>
      </c>
      <c r="K16" s="18" t="str">
        <f aca="false">IF(H16="","",H16+ROW()/1000000000)</f>
        <v/>
      </c>
    </row>
    <row r="17" customFormat="false" ht="15" hidden="false" customHeight="false" outlineLevel="0" collapsed="false">
      <c r="A17" s="12"/>
      <c r="B17" s="13"/>
      <c r="C17" s="14"/>
      <c r="D17" s="14"/>
      <c r="E17" s="15" t="str">
        <f aca="false">IF(A17="","",SUMIFS(Reçeteler!$D$5:$D$1004,Reçeteler!$A$5:$A$1004,A17))</f>
        <v/>
      </c>
      <c r="F17" s="16" t="str">
        <f aca="false">IF(OR(A17="",B17="",B17=0),"",E17/B17+C17)</f>
        <v/>
      </c>
      <c r="G17" s="16" t="str">
        <f aca="false">IF(OR(F17="",D17=""),"",D17-F17)</f>
        <v/>
      </c>
      <c r="H17" s="17" t="str">
        <f aca="false">IF(OR(G17="",D17=0),"",G17/D17)</f>
        <v/>
      </c>
      <c r="I17" s="16" t="str">
        <f aca="false">IF(OR(F17="",Özet!$C$3&gt;=1),"",F17/(1-Özet!$C$3))</f>
        <v/>
      </c>
      <c r="J17" s="18" t="str">
        <f aca="false">IF(H17="","",IF(H17&lt;Özet!$C$3,"Hedefin altında","Hedefte"))</f>
        <v/>
      </c>
      <c r="K17" s="18" t="str">
        <f aca="false">IF(H17="","",H17+ROW()/1000000000)</f>
        <v/>
      </c>
    </row>
    <row r="18" customFormat="false" ht="15" hidden="false" customHeight="false" outlineLevel="0" collapsed="false">
      <c r="A18" s="12"/>
      <c r="B18" s="13"/>
      <c r="C18" s="14"/>
      <c r="D18" s="14"/>
      <c r="E18" s="15" t="str">
        <f aca="false">IF(A18="","",SUMIFS(Reçeteler!$D$5:$D$1004,Reçeteler!$A$5:$A$1004,A18))</f>
        <v/>
      </c>
      <c r="F18" s="16" t="str">
        <f aca="false">IF(OR(A18="",B18="",B18=0),"",E18/B18+C18)</f>
        <v/>
      </c>
      <c r="G18" s="16" t="str">
        <f aca="false">IF(OR(F18="",D18=""),"",D18-F18)</f>
        <v/>
      </c>
      <c r="H18" s="17" t="str">
        <f aca="false">IF(OR(G18="",D18=0),"",G18/D18)</f>
        <v/>
      </c>
      <c r="I18" s="16" t="str">
        <f aca="false">IF(OR(F18="",Özet!$C$3&gt;=1),"",F18/(1-Özet!$C$3))</f>
        <v/>
      </c>
      <c r="J18" s="18" t="str">
        <f aca="false">IF(H18="","",IF(H18&lt;Özet!$C$3,"Hedefin altında","Hedefte"))</f>
        <v/>
      </c>
      <c r="K18" s="18" t="str">
        <f aca="false">IF(H18="","",H18+ROW()/1000000000)</f>
        <v/>
      </c>
    </row>
    <row r="19" customFormat="false" ht="15" hidden="false" customHeight="false" outlineLevel="0" collapsed="false">
      <c r="A19" s="12"/>
      <c r="B19" s="13"/>
      <c r="C19" s="14"/>
      <c r="D19" s="14"/>
      <c r="E19" s="15" t="str">
        <f aca="false">IF(A19="","",SUMIFS(Reçeteler!$D$5:$D$1004,Reçeteler!$A$5:$A$1004,A19))</f>
        <v/>
      </c>
      <c r="F19" s="16" t="str">
        <f aca="false">IF(OR(A19="",B19="",B19=0),"",E19/B19+C19)</f>
        <v/>
      </c>
      <c r="G19" s="16" t="str">
        <f aca="false">IF(OR(F19="",D19=""),"",D19-F19)</f>
        <v/>
      </c>
      <c r="H19" s="17" t="str">
        <f aca="false">IF(OR(G19="",D19=0),"",G19/D19)</f>
        <v/>
      </c>
      <c r="I19" s="16" t="str">
        <f aca="false">IF(OR(F19="",Özet!$C$3&gt;=1),"",F19/(1-Özet!$C$3))</f>
        <v/>
      </c>
      <c r="J19" s="18" t="str">
        <f aca="false">IF(H19="","",IF(H19&lt;Özet!$C$3,"Hedefin altında","Hedefte"))</f>
        <v/>
      </c>
      <c r="K19" s="18" t="str">
        <f aca="false">IF(H19="","",H19+ROW()/1000000000)</f>
        <v/>
      </c>
    </row>
    <row r="20" customFormat="false" ht="15" hidden="false" customHeight="false" outlineLevel="0" collapsed="false">
      <c r="A20" s="12"/>
      <c r="B20" s="13"/>
      <c r="C20" s="14"/>
      <c r="D20" s="14"/>
      <c r="E20" s="15" t="str">
        <f aca="false">IF(A20="","",SUMIFS(Reçeteler!$D$5:$D$1004,Reçeteler!$A$5:$A$1004,A20))</f>
        <v/>
      </c>
      <c r="F20" s="16" t="str">
        <f aca="false">IF(OR(A20="",B20="",B20=0),"",E20/B20+C20)</f>
        <v/>
      </c>
      <c r="G20" s="16" t="str">
        <f aca="false">IF(OR(F20="",D20=""),"",D20-F20)</f>
        <v/>
      </c>
      <c r="H20" s="17" t="str">
        <f aca="false">IF(OR(G20="",D20=0),"",G20/D20)</f>
        <v/>
      </c>
      <c r="I20" s="16" t="str">
        <f aca="false">IF(OR(F20="",Özet!$C$3&gt;=1),"",F20/(1-Özet!$C$3))</f>
        <v/>
      </c>
      <c r="J20" s="18" t="str">
        <f aca="false">IF(H20="","",IF(H20&lt;Özet!$C$3,"Hedefin altında","Hedefte"))</f>
        <v/>
      </c>
      <c r="K20" s="18" t="str">
        <f aca="false">IF(H20="","",H20+ROW()/1000000000)</f>
        <v/>
      </c>
    </row>
    <row r="21" customFormat="false" ht="15" hidden="false" customHeight="false" outlineLevel="0" collapsed="false">
      <c r="A21" s="12"/>
      <c r="B21" s="13"/>
      <c r="C21" s="14"/>
      <c r="D21" s="14"/>
      <c r="E21" s="15" t="str">
        <f aca="false">IF(A21="","",SUMIFS(Reçeteler!$D$5:$D$1004,Reçeteler!$A$5:$A$1004,A21))</f>
        <v/>
      </c>
      <c r="F21" s="16" t="str">
        <f aca="false">IF(OR(A21="",B21="",B21=0),"",E21/B21+C21)</f>
        <v/>
      </c>
      <c r="G21" s="16" t="str">
        <f aca="false">IF(OR(F21="",D21=""),"",D21-F21)</f>
        <v/>
      </c>
      <c r="H21" s="17" t="str">
        <f aca="false">IF(OR(G21="",D21=0),"",G21/D21)</f>
        <v/>
      </c>
      <c r="I21" s="16" t="str">
        <f aca="false">IF(OR(F21="",Özet!$C$3&gt;=1),"",F21/(1-Özet!$C$3))</f>
        <v/>
      </c>
      <c r="J21" s="18" t="str">
        <f aca="false">IF(H21="","",IF(H21&lt;Özet!$C$3,"Hedefin altında","Hedefte"))</f>
        <v/>
      </c>
      <c r="K21" s="18" t="str">
        <f aca="false">IF(H21="","",H21+ROW()/1000000000)</f>
        <v/>
      </c>
    </row>
    <row r="22" customFormat="false" ht="15" hidden="false" customHeight="false" outlineLevel="0" collapsed="false">
      <c r="A22" s="12"/>
      <c r="B22" s="13"/>
      <c r="C22" s="14"/>
      <c r="D22" s="14"/>
      <c r="E22" s="15" t="str">
        <f aca="false">IF(A22="","",SUMIFS(Reçeteler!$D$5:$D$1004,Reçeteler!$A$5:$A$1004,A22))</f>
        <v/>
      </c>
      <c r="F22" s="16" t="str">
        <f aca="false">IF(OR(A22="",B22="",B22=0),"",E22/B22+C22)</f>
        <v/>
      </c>
      <c r="G22" s="16" t="str">
        <f aca="false">IF(OR(F22="",D22=""),"",D22-F22)</f>
        <v/>
      </c>
      <c r="H22" s="17" t="str">
        <f aca="false">IF(OR(G22="",D22=0),"",G22/D22)</f>
        <v/>
      </c>
      <c r="I22" s="16" t="str">
        <f aca="false">IF(OR(F22="",Özet!$C$3&gt;=1),"",F22/(1-Özet!$C$3))</f>
        <v/>
      </c>
      <c r="J22" s="18" t="str">
        <f aca="false">IF(H22="","",IF(H22&lt;Özet!$C$3,"Hedefin altında","Hedefte"))</f>
        <v/>
      </c>
      <c r="K22" s="18" t="str">
        <f aca="false">IF(H22="","",H22+ROW()/1000000000)</f>
        <v/>
      </c>
    </row>
    <row r="23" customFormat="false" ht="15" hidden="false" customHeight="false" outlineLevel="0" collapsed="false">
      <c r="A23" s="12"/>
      <c r="B23" s="13"/>
      <c r="C23" s="14"/>
      <c r="D23" s="14"/>
      <c r="E23" s="15" t="str">
        <f aca="false">IF(A23="","",SUMIFS(Reçeteler!$D$5:$D$1004,Reçeteler!$A$5:$A$1004,A23))</f>
        <v/>
      </c>
      <c r="F23" s="16" t="str">
        <f aca="false">IF(OR(A23="",B23="",B23=0),"",E23/B23+C23)</f>
        <v/>
      </c>
      <c r="G23" s="16" t="str">
        <f aca="false">IF(OR(F23="",D23=""),"",D23-F23)</f>
        <v/>
      </c>
      <c r="H23" s="17" t="str">
        <f aca="false">IF(OR(G23="",D23=0),"",G23/D23)</f>
        <v/>
      </c>
      <c r="I23" s="16" t="str">
        <f aca="false">IF(OR(F23="",Özet!$C$3&gt;=1),"",F23/(1-Özet!$C$3))</f>
        <v/>
      </c>
      <c r="J23" s="18" t="str">
        <f aca="false">IF(H23="","",IF(H23&lt;Özet!$C$3,"Hedefin altında","Hedefte"))</f>
        <v/>
      </c>
      <c r="K23" s="18" t="str">
        <f aca="false">IF(H23="","",H23+ROW()/1000000000)</f>
        <v/>
      </c>
    </row>
    <row r="24" customFormat="false" ht="15" hidden="false" customHeight="false" outlineLevel="0" collapsed="false">
      <c r="A24" s="12"/>
      <c r="B24" s="13"/>
      <c r="C24" s="14"/>
      <c r="D24" s="14"/>
      <c r="E24" s="15" t="str">
        <f aca="false">IF(A24="","",SUMIFS(Reçeteler!$D$5:$D$1004,Reçeteler!$A$5:$A$1004,A24))</f>
        <v/>
      </c>
      <c r="F24" s="16" t="str">
        <f aca="false">IF(OR(A24="",B24="",B24=0),"",E24/B24+C24)</f>
        <v/>
      </c>
      <c r="G24" s="16" t="str">
        <f aca="false">IF(OR(F24="",D24=""),"",D24-F24)</f>
        <v/>
      </c>
      <c r="H24" s="17" t="str">
        <f aca="false">IF(OR(G24="",D24=0),"",G24/D24)</f>
        <v/>
      </c>
      <c r="I24" s="16" t="str">
        <f aca="false">IF(OR(F24="",Özet!$C$3&gt;=1),"",F24/(1-Özet!$C$3))</f>
        <v/>
      </c>
      <c r="J24" s="18" t="str">
        <f aca="false">IF(H24="","",IF(H24&lt;Özet!$C$3,"Hedefin altında","Hedefte"))</f>
        <v/>
      </c>
      <c r="K24" s="18" t="str">
        <f aca="false">IF(H24="","",H24+ROW()/1000000000)</f>
        <v/>
      </c>
    </row>
    <row r="25" customFormat="false" ht="15" hidden="false" customHeight="false" outlineLevel="0" collapsed="false">
      <c r="A25" s="12"/>
      <c r="B25" s="13"/>
      <c r="C25" s="14"/>
      <c r="D25" s="14"/>
      <c r="E25" s="15" t="str">
        <f aca="false">IF(A25="","",SUMIFS(Reçeteler!$D$5:$D$1004,Reçeteler!$A$5:$A$1004,A25))</f>
        <v/>
      </c>
      <c r="F25" s="16" t="str">
        <f aca="false">IF(OR(A25="",B25="",B25=0),"",E25/B25+C25)</f>
        <v/>
      </c>
      <c r="G25" s="16" t="str">
        <f aca="false">IF(OR(F25="",D25=""),"",D25-F25)</f>
        <v/>
      </c>
      <c r="H25" s="17" t="str">
        <f aca="false">IF(OR(G25="",D25=0),"",G25/D25)</f>
        <v/>
      </c>
      <c r="I25" s="16" t="str">
        <f aca="false">IF(OR(F25="",Özet!$C$3&gt;=1),"",F25/(1-Özet!$C$3))</f>
        <v/>
      </c>
      <c r="J25" s="18" t="str">
        <f aca="false">IF(H25="","",IF(H25&lt;Özet!$C$3,"Hedefin altında","Hedefte"))</f>
        <v/>
      </c>
      <c r="K25" s="18" t="str">
        <f aca="false">IF(H25="","",H25+ROW()/1000000000)</f>
        <v/>
      </c>
    </row>
    <row r="26" customFormat="false" ht="15" hidden="false" customHeight="false" outlineLevel="0" collapsed="false">
      <c r="A26" s="12"/>
      <c r="B26" s="13"/>
      <c r="C26" s="14"/>
      <c r="D26" s="14"/>
      <c r="E26" s="15" t="str">
        <f aca="false">IF(A26="","",SUMIFS(Reçeteler!$D$5:$D$1004,Reçeteler!$A$5:$A$1004,A26))</f>
        <v/>
      </c>
      <c r="F26" s="16" t="str">
        <f aca="false">IF(OR(A26="",B26="",B26=0),"",E26/B26+C26)</f>
        <v/>
      </c>
      <c r="G26" s="16" t="str">
        <f aca="false">IF(OR(F26="",D26=""),"",D26-F26)</f>
        <v/>
      </c>
      <c r="H26" s="17" t="str">
        <f aca="false">IF(OR(G26="",D26=0),"",G26/D26)</f>
        <v/>
      </c>
      <c r="I26" s="16" t="str">
        <f aca="false">IF(OR(F26="",Özet!$C$3&gt;=1),"",F26/(1-Özet!$C$3))</f>
        <v/>
      </c>
      <c r="J26" s="18" t="str">
        <f aca="false">IF(H26="","",IF(H26&lt;Özet!$C$3,"Hedefin altında","Hedefte"))</f>
        <v/>
      </c>
      <c r="K26" s="18" t="str">
        <f aca="false">IF(H26="","",H26+ROW()/1000000000)</f>
        <v/>
      </c>
    </row>
    <row r="27" customFormat="false" ht="15" hidden="false" customHeight="false" outlineLevel="0" collapsed="false">
      <c r="A27" s="12"/>
      <c r="B27" s="13"/>
      <c r="C27" s="14"/>
      <c r="D27" s="14"/>
      <c r="E27" s="15" t="str">
        <f aca="false">IF(A27="","",SUMIFS(Reçeteler!$D$5:$D$1004,Reçeteler!$A$5:$A$1004,A27))</f>
        <v/>
      </c>
      <c r="F27" s="16" t="str">
        <f aca="false">IF(OR(A27="",B27="",B27=0),"",E27/B27+C27)</f>
        <v/>
      </c>
      <c r="G27" s="16" t="str">
        <f aca="false">IF(OR(F27="",D27=""),"",D27-F27)</f>
        <v/>
      </c>
      <c r="H27" s="17" t="str">
        <f aca="false">IF(OR(G27="",D27=0),"",G27/D27)</f>
        <v/>
      </c>
      <c r="I27" s="16" t="str">
        <f aca="false">IF(OR(F27="",Özet!$C$3&gt;=1),"",F27/(1-Özet!$C$3))</f>
        <v/>
      </c>
      <c r="J27" s="18" t="str">
        <f aca="false">IF(H27="","",IF(H27&lt;Özet!$C$3,"Hedefin altında","Hedefte"))</f>
        <v/>
      </c>
      <c r="K27" s="18" t="str">
        <f aca="false">IF(H27="","",H27+ROW()/1000000000)</f>
        <v/>
      </c>
    </row>
    <row r="28" customFormat="false" ht="15" hidden="false" customHeight="false" outlineLevel="0" collapsed="false">
      <c r="A28" s="12"/>
      <c r="B28" s="13"/>
      <c r="C28" s="14"/>
      <c r="D28" s="14"/>
      <c r="E28" s="15" t="str">
        <f aca="false">IF(A28="","",SUMIFS(Reçeteler!$D$5:$D$1004,Reçeteler!$A$5:$A$1004,A28))</f>
        <v/>
      </c>
      <c r="F28" s="16" t="str">
        <f aca="false">IF(OR(A28="",B28="",B28=0),"",E28/B28+C28)</f>
        <v/>
      </c>
      <c r="G28" s="16" t="str">
        <f aca="false">IF(OR(F28="",D28=""),"",D28-F28)</f>
        <v/>
      </c>
      <c r="H28" s="17" t="str">
        <f aca="false">IF(OR(G28="",D28=0),"",G28/D28)</f>
        <v/>
      </c>
      <c r="I28" s="16" t="str">
        <f aca="false">IF(OR(F28="",Özet!$C$3&gt;=1),"",F28/(1-Özet!$C$3))</f>
        <v/>
      </c>
      <c r="J28" s="18" t="str">
        <f aca="false">IF(H28="","",IF(H28&lt;Özet!$C$3,"Hedefin altında","Hedefte"))</f>
        <v/>
      </c>
      <c r="K28" s="18" t="str">
        <f aca="false">IF(H28="","",H28+ROW()/1000000000)</f>
        <v/>
      </c>
    </row>
    <row r="29" customFormat="false" ht="15" hidden="false" customHeight="false" outlineLevel="0" collapsed="false">
      <c r="A29" s="12"/>
      <c r="B29" s="13"/>
      <c r="C29" s="14"/>
      <c r="D29" s="14"/>
      <c r="E29" s="15" t="str">
        <f aca="false">IF(A29="","",SUMIFS(Reçeteler!$D$5:$D$1004,Reçeteler!$A$5:$A$1004,A29))</f>
        <v/>
      </c>
      <c r="F29" s="16" t="str">
        <f aca="false">IF(OR(A29="",B29="",B29=0),"",E29/B29+C29)</f>
        <v/>
      </c>
      <c r="G29" s="16" t="str">
        <f aca="false">IF(OR(F29="",D29=""),"",D29-F29)</f>
        <v/>
      </c>
      <c r="H29" s="17" t="str">
        <f aca="false">IF(OR(G29="",D29=0),"",G29/D29)</f>
        <v/>
      </c>
      <c r="I29" s="16" t="str">
        <f aca="false">IF(OR(F29="",Özet!$C$3&gt;=1),"",F29/(1-Özet!$C$3))</f>
        <v/>
      </c>
      <c r="J29" s="18" t="str">
        <f aca="false">IF(H29="","",IF(H29&lt;Özet!$C$3,"Hedefin altında","Hedefte"))</f>
        <v/>
      </c>
      <c r="K29" s="18" t="str">
        <f aca="false">IF(H29="","",H29+ROW()/1000000000)</f>
        <v/>
      </c>
    </row>
    <row r="30" customFormat="false" ht="15" hidden="false" customHeight="false" outlineLevel="0" collapsed="false">
      <c r="A30" s="12"/>
      <c r="B30" s="13"/>
      <c r="C30" s="14"/>
      <c r="D30" s="14"/>
      <c r="E30" s="15" t="str">
        <f aca="false">IF(A30="","",SUMIFS(Reçeteler!$D$5:$D$1004,Reçeteler!$A$5:$A$1004,A30))</f>
        <v/>
      </c>
      <c r="F30" s="16" t="str">
        <f aca="false">IF(OR(A30="",B30="",B30=0),"",E30/B30+C30)</f>
        <v/>
      </c>
      <c r="G30" s="16" t="str">
        <f aca="false">IF(OR(F30="",D30=""),"",D30-F30)</f>
        <v/>
      </c>
      <c r="H30" s="17" t="str">
        <f aca="false">IF(OR(G30="",D30=0),"",G30/D30)</f>
        <v/>
      </c>
      <c r="I30" s="16" t="str">
        <f aca="false">IF(OR(F30="",Özet!$C$3&gt;=1),"",F30/(1-Özet!$C$3))</f>
        <v/>
      </c>
      <c r="J30" s="18" t="str">
        <f aca="false">IF(H30="","",IF(H30&lt;Özet!$C$3,"Hedefin altında","Hedefte"))</f>
        <v/>
      </c>
      <c r="K30" s="18" t="str">
        <f aca="false">IF(H30="","",H30+ROW()/1000000000)</f>
        <v/>
      </c>
    </row>
    <row r="31" customFormat="false" ht="15" hidden="false" customHeight="false" outlineLevel="0" collapsed="false">
      <c r="A31" s="12"/>
      <c r="B31" s="13"/>
      <c r="C31" s="14"/>
      <c r="D31" s="14"/>
      <c r="E31" s="15" t="str">
        <f aca="false">IF(A31="","",SUMIFS(Reçeteler!$D$5:$D$1004,Reçeteler!$A$5:$A$1004,A31))</f>
        <v/>
      </c>
      <c r="F31" s="16" t="str">
        <f aca="false">IF(OR(A31="",B31="",B31=0),"",E31/B31+C31)</f>
        <v/>
      </c>
      <c r="G31" s="16" t="str">
        <f aca="false">IF(OR(F31="",D31=""),"",D31-F31)</f>
        <v/>
      </c>
      <c r="H31" s="17" t="str">
        <f aca="false">IF(OR(G31="",D31=0),"",G31/D31)</f>
        <v/>
      </c>
      <c r="I31" s="16" t="str">
        <f aca="false">IF(OR(F31="",Özet!$C$3&gt;=1),"",F31/(1-Özet!$C$3))</f>
        <v/>
      </c>
      <c r="J31" s="18" t="str">
        <f aca="false">IF(H31="","",IF(H31&lt;Özet!$C$3,"Hedefin altında","Hedefte"))</f>
        <v/>
      </c>
      <c r="K31" s="18" t="str">
        <f aca="false">IF(H31="","",H31+ROW()/1000000000)</f>
        <v/>
      </c>
    </row>
    <row r="32" customFormat="false" ht="15" hidden="false" customHeight="false" outlineLevel="0" collapsed="false">
      <c r="A32" s="12"/>
      <c r="B32" s="13"/>
      <c r="C32" s="14"/>
      <c r="D32" s="14"/>
      <c r="E32" s="15" t="str">
        <f aca="false">IF(A32="","",SUMIFS(Reçeteler!$D$5:$D$1004,Reçeteler!$A$5:$A$1004,A32))</f>
        <v/>
      </c>
      <c r="F32" s="16" t="str">
        <f aca="false">IF(OR(A32="",B32="",B32=0),"",E32/B32+C32)</f>
        <v/>
      </c>
      <c r="G32" s="16" t="str">
        <f aca="false">IF(OR(F32="",D32=""),"",D32-F32)</f>
        <v/>
      </c>
      <c r="H32" s="17" t="str">
        <f aca="false">IF(OR(G32="",D32=0),"",G32/D32)</f>
        <v/>
      </c>
      <c r="I32" s="16" t="str">
        <f aca="false">IF(OR(F32="",Özet!$C$3&gt;=1),"",F32/(1-Özet!$C$3))</f>
        <v/>
      </c>
      <c r="J32" s="18" t="str">
        <f aca="false">IF(H32="","",IF(H32&lt;Özet!$C$3,"Hedefin altında","Hedefte"))</f>
        <v/>
      </c>
      <c r="K32" s="18" t="str">
        <f aca="false">IF(H32="","",H32+ROW()/1000000000)</f>
        <v/>
      </c>
    </row>
    <row r="33" customFormat="false" ht="15" hidden="false" customHeight="false" outlineLevel="0" collapsed="false">
      <c r="A33" s="12"/>
      <c r="B33" s="13"/>
      <c r="C33" s="14"/>
      <c r="D33" s="14"/>
      <c r="E33" s="15" t="str">
        <f aca="false">IF(A33="","",SUMIFS(Reçeteler!$D$5:$D$1004,Reçeteler!$A$5:$A$1004,A33))</f>
        <v/>
      </c>
      <c r="F33" s="16" t="str">
        <f aca="false">IF(OR(A33="",B33="",B33=0),"",E33/B33+C33)</f>
        <v/>
      </c>
      <c r="G33" s="16" t="str">
        <f aca="false">IF(OR(F33="",D33=""),"",D33-F33)</f>
        <v/>
      </c>
      <c r="H33" s="17" t="str">
        <f aca="false">IF(OR(G33="",D33=0),"",G33/D33)</f>
        <v/>
      </c>
      <c r="I33" s="16" t="str">
        <f aca="false">IF(OR(F33="",Özet!$C$3&gt;=1),"",F33/(1-Özet!$C$3))</f>
        <v/>
      </c>
      <c r="J33" s="18" t="str">
        <f aca="false">IF(H33="","",IF(H33&lt;Özet!$C$3,"Hedefin altında","Hedefte"))</f>
        <v/>
      </c>
      <c r="K33" s="18" t="str">
        <f aca="false">IF(H33="","",H33+ROW()/1000000000)</f>
        <v/>
      </c>
    </row>
    <row r="34" customFormat="false" ht="15" hidden="false" customHeight="false" outlineLevel="0" collapsed="false">
      <c r="A34" s="12"/>
      <c r="B34" s="13"/>
      <c r="C34" s="14"/>
      <c r="D34" s="14"/>
      <c r="E34" s="15" t="str">
        <f aca="false">IF(A34="","",SUMIFS(Reçeteler!$D$5:$D$1004,Reçeteler!$A$5:$A$1004,A34))</f>
        <v/>
      </c>
      <c r="F34" s="16" t="str">
        <f aca="false">IF(OR(A34="",B34="",B34=0),"",E34/B34+C34)</f>
        <v/>
      </c>
      <c r="G34" s="16" t="str">
        <f aca="false">IF(OR(F34="",D34=""),"",D34-F34)</f>
        <v/>
      </c>
      <c r="H34" s="17" t="str">
        <f aca="false">IF(OR(G34="",D34=0),"",G34/D34)</f>
        <v/>
      </c>
      <c r="I34" s="16" t="str">
        <f aca="false">IF(OR(F34="",Özet!$C$3&gt;=1),"",F34/(1-Özet!$C$3))</f>
        <v/>
      </c>
      <c r="J34" s="18" t="str">
        <f aca="false">IF(H34="","",IF(H34&lt;Özet!$C$3,"Hedefin altında","Hedefte"))</f>
        <v/>
      </c>
      <c r="K34" s="18" t="str">
        <f aca="false">IF(H34="","",H34+ROW()/1000000000)</f>
        <v/>
      </c>
    </row>
    <row r="35" customFormat="false" ht="15" hidden="false" customHeight="false" outlineLevel="0" collapsed="false">
      <c r="A35" s="12"/>
      <c r="B35" s="13"/>
      <c r="C35" s="14"/>
      <c r="D35" s="14"/>
      <c r="E35" s="15" t="str">
        <f aca="false">IF(A35="","",SUMIFS(Reçeteler!$D$5:$D$1004,Reçeteler!$A$5:$A$1004,A35))</f>
        <v/>
      </c>
      <c r="F35" s="16" t="str">
        <f aca="false">IF(OR(A35="",B35="",B35=0),"",E35/B35+C35)</f>
        <v/>
      </c>
      <c r="G35" s="16" t="str">
        <f aca="false">IF(OR(F35="",D35=""),"",D35-F35)</f>
        <v/>
      </c>
      <c r="H35" s="17" t="str">
        <f aca="false">IF(OR(G35="",D35=0),"",G35/D35)</f>
        <v/>
      </c>
      <c r="I35" s="16" t="str">
        <f aca="false">IF(OR(F35="",Özet!$C$3&gt;=1),"",F35/(1-Özet!$C$3))</f>
        <v/>
      </c>
      <c r="J35" s="18" t="str">
        <f aca="false">IF(H35="","",IF(H35&lt;Özet!$C$3,"Hedefin altında","Hedefte"))</f>
        <v/>
      </c>
      <c r="K35" s="18" t="str">
        <f aca="false">IF(H35="","",H35+ROW()/1000000000)</f>
        <v/>
      </c>
    </row>
    <row r="36" customFormat="false" ht="15" hidden="false" customHeight="false" outlineLevel="0" collapsed="false">
      <c r="A36" s="12"/>
      <c r="B36" s="13"/>
      <c r="C36" s="14"/>
      <c r="D36" s="14"/>
      <c r="E36" s="15" t="str">
        <f aca="false">IF(A36="","",SUMIFS(Reçeteler!$D$5:$D$1004,Reçeteler!$A$5:$A$1004,A36))</f>
        <v/>
      </c>
      <c r="F36" s="16" t="str">
        <f aca="false">IF(OR(A36="",B36="",B36=0),"",E36/B36+C36)</f>
        <v/>
      </c>
      <c r="G36" s="16" t="str">
        <f aca="false">IF(OR(F36="",D36=""),"",D36-F36)</f>
        <v/>
      </c>
      <c r="H36" s="17" t="str">
        <f aca="false">IF(OR(G36="",D36=0),"",G36/D36)</f>
        <v/>
      </c>
      <c r="I36" s="16" t="str">
        <f aca="false">IF(OR(F36="",Özet!$C$3&gt;=1),"",F36/(1-Özet!$C$3))</f>
        <v/>
      </c>
      <c r="J36" s="18" t="str">
        <f aca="false">IF(H36="","",IF(H36&lt;Özet!$C$3,"Hedefin altında","Hedefte"))</f>
        <v/>
      </c>
      <c r="K36" s="18" t="str">
        <f aca="false">IF(H36="","",H36+ROW()/1000000000)</f>
        <v/>
      </c>
    </row>
    <row r="37" customFormat="false" ht="15" hidden="false" customHeight="false" outlineLevel="0" collapsed="false">
      <c r="A37" s="12"/>
      <c r="B37" s="13"/>
      <c r="C37" s="14"/>
      <c r="D37" s="14"/>
      <c r="E37" s="15" t="str">
        <f aca="false">IF(A37="","",SUMIFS(Reçeteler!$D$5:$D$1004,Reçeteler!$A$5:$A$1004,A37))</f>
        <v/>
      </c>
      <c r="F37" s="16" t="str">
        <f aca="false">IF(OR(A37="",B37="",B37=0),"",E37/B37+C37)</f>
        <v/>
      </c>
      <c r="G37" s="16" t="str">
        <f aca="false">IF(OR(F37="",D37=""),"",D37-F37)</f>
        <v/>
      </c>
      <c r="H37" s="17" t="str">
        <f aca="false">IF(OR(G37="",D37=0),"",G37/D37)</f>
        <v/>
      </c>
      <c r="I37" s="16" t="str">
        <f aca="false">IF(OR(F37="",Özet!$C$3&gt;=1),"",F37/(1-Özet!$C$3))</f>
        <v/>
      </c>
      <c r="J37" s="18" t="str">
        <f aca="false">IF(H37="","",IF(H37&lt;Özet!$C$3,"Hedefin altında","Hedefte"))</f>
        <v/>
      </c>
      <c r="K37" s="18" t="str">
        <f aca="false">IF(H37="","",H37+ROW()/1000000000)</f>
        <v/>
      </c>
    </row>
    <row r="38" customFormat="false" ht="15" hidden="false" customHeight="false" outlineLevel="0" collapsed="false">
      <c r="A38" s="12"/>
      <c r="B38" s="13"/>
      <c r="C38" s="14"/>
      <c r="D38" s="14"/>
      <c r="E38" s="15" t="str">
        <f aca="false">IF(A38="","",SUMIFS(Reçeteler!$D$5:$D$1004,Reçeteler!$A$5:$A$1004,A38))</f>
        <v/>
      </c>
      <c r="F38" s="16" t="str">
        <f aca="false">IF(OR(A38="",B38="",B38=0),"",E38/B38+C38)</f>
        <v/>
      </c>
      <c r="G38" s="16" t="str">
        <f aca="false">IF(OR(F38="",D38=""),"",D38-F38)</f>
        <v/>
      </c>
      <c r="H38" s="17" t="str">
        <f aca="false">IF(OR(G38="",D38=0),"",G38/D38)</f>
        <v/>
      </c>
      <c r="I38" s="16" t="str">
        <f aca="false">IF(OR(F38="",Özet!$C$3&gt;=1),"",F38/(1-Özet!$C$3))</f>
        <v/>
      </c>
      <c r="J38" s="18" t="str">
        <f aca="false">IF(H38="","",IF(H38&lt;Özet!$C$3,"Hedefin altında","Hedefte"))</f>
        <v/>
      </c>
      <c r="K38" s="18" t="str">
        <f aca="false">IF(H38="","",H38+ROW()/1000000000)</f>
        <v/>
      </c>
    </row>
    <row r="39" customFormat="false" ht="15" hidden="false" customHeight="false" outlineLevel="0" collapsed="false">
      <c r="A39" s="12"/>
      <c r="B39" s="13"/>
      <c r="C39" s="14"/>
      <c r="D39" s="14"/>
      <c r="E39" s="15" t="str">
        <f aca="false">IF(A39="","",SUMIFS(Reçeteler!$D$5:$D$1004,Reçeteler!$A$5:$A$1004,A39))</f>
        <v/>
      </c>
      <c r="F39" s="16" t="str">
        <f aca="false">IF(OR(A39="",B39="",B39=0),"",E39/B39+C39)</f>
        <v/>
      </c>
      <c r="G39" s="16" t="str">
        <f aca="false">IF(OR(F39="",D39=""),"",D39-F39)</f>
        <v/>
      </c>
      <c r="H39" s="17" t="str">
        <f aca="false">IF(OR(G39="",D39=0),"",G39/D39)</f>
        <v/>
      </c>
      <c r="I39" s="16" t="str">
        <f aca="false">IF(OR(F39="",Özet!$C$3&gt;=1),"",F39/(1-Özet!$C$3))</f>
        <v/>
      </c>
      <c r="J39" s="18" t="str">
        <f aca="false">IF(H39="","",IF(H39&lt;Özet!$C$3,"Hedefin altında","Hedefte"))</f>
        <v/>
      </c>
      <c r="K39" s="18" t="str">
        <f aca="false">IF(H39="","",H39+ROW()/1000000000)</f>
        <v/>
      </c>
    </row>
    <row r="40" customFormat="false" ht="15" hidden="false" customHeight="false" outlineLevel="0" collapsed="false">
      <c r="A40" s="12"/>
      <c r="B40" s="13"/>
      <c r="C40" s="14"/>
      <c r="D40" s="14"/>
      <c r="E40" s="15" t="str">
        <f aca="false">IF(A40="","",SUMIFS(Reçeteler!$D$5:$D$1004,Reçeteler!$A$5:$A$1004,A40))</f>
        <v/>
      </c>
      <c r="F40" s="16" t="str">
        <f aca="false">IF(OR(A40="",B40="",B40=0),"",E40/B40+C40)</f>
        <v/>
      </c>
      <c r="G40" s="16" t="str">
        <f aca="false">IF(OR(F40="",D40=""),"",D40-F40)</f>
        <v/>
      </c>
      <c r="H40" s="17" t="str">
        <f aca="false">IF(OR(G40="",D40=0),"",G40/D40)</f>
        <v/>
      </c>
      <c r="I40" s="16" t="str">
        <f aca="false">IF(OR(F40="",Özet!$C$3&gt;=1),"",F40/(1-Özet!$C$3))</f>
        <v/>
      </c>
      <c r="J40" s="18" t="str">
        <f aca="false">IF(H40="","",IF(H40&lt;Özet!$C$3,"Hedefin altında","Hedefte"))</f>
        <v/>
      </c>
      <c r="K40" s="18" t="str">
        <f aca="false">IF(H40="","",H40+ROW()/1000000000)</f>
        <v/>
      </c>
    </row>
    <row r="41" customFormat="false" ht="15" hidden="false" customHeight="false" outlineLevel="0" collapsed="false">
      <c r="A41" s="12"/>
      <c r="B41" s="13"/>
      <c r="C41" s="14"/>
      <c r="D41" s="14"/>
      <c r="E41" s="15" t="str">
        <f aca="false">IF(A41="","",SUMIFS(Reçeteler!$D$5:$D$1004,Reçeteler!$A$5:$A$1004,A41))</f>
        <v/>
      </c>
      <c r="F41" s="16" t="str">
        <f aca="false">IF(OR(A41="",B41="",B41=0),"",E41/B41+C41)</f>
        <v/>
      </c>
      <c r="G41" s="16" t="str">
        <f aca="false">IF(OR(F41="",D41=""),"",D41-F41)</f>
        <v/>
      </c>
      <c r="H41" s="17" t="str">
        <f aca="false">IF(OR(G41="",D41=0),"",G41/D41)</f>
        <v/>
      </c>
      <c r="I41" s="16" t="str">
        <f aca="false">IF(OR(F41="",Özet!$C$3&gt;=1),"",F41/(1-Özet!$C$3))</f>
        <v/>
      </c>
      <c r="J41" s="18" t="str">
        <f aca="false">IF(H41="","",IF(H41&lt;Özet!$C$3,"Hedefin altında","Hedefte"))</f>
        <v/>
      </c>
      <c r="K41" s="18" t="str">
        <f aca="false">IF(H41="","",H41+ROW()/1000000000)</f>
        <v/>
      </c>
    </row>
    <row r="42" customFormat="false" ht="15" hidden="false" customHeight="false" outlineLevel="0" collapsed="false">
      <c r="A42" s="12"/>
      <c r="B42" s="13"/>
      <c r="C42" s="14"/>
      <c r="D42" s="14"/>
      <c r="E42" s="15" t="str">
        <f aca="false">IF(A42="","",SUMIFS(Reçeteler!$D$5:$D$1004,Reçeteler!$A$5:$A$1004,A42))</f>
        <v/>
      </c>
      <c r="F42" s="16" t="str">
        <f aca="false">IF(OR(A42="",B42="",B42=0),"",E42/B42+C42)</f>
        <v/>
      </c>
      <c r="G42" s="16" t="str">
        <f aca="false">IF(OR(F42="",D42=""),"",D42-F42)</f>
        <v/>
      </c>
      <c r="H42" s="17" t="str">
        <f aca="false">IF(OR(G42="",D42=0),"",G42/D42)</f>
        <v/>
      </c>
      <c r="I42" s="16" t="str">
        <f aca="false">IF(OR(F42="",Özet!$C$3&gt;=1),"",F42/(1-Özet!$C$3))</f>
        <v/>
      </c>
      <c r="J42" s="18" t="str">
        <f aca="false">IF(H42="","",IF(H42&lt;Özet!$C$3,"Hedefin altında","Hedefte"))</f>
        <v/>
      </c>
      <c r="K42" s="18" t="str">
        <f aca="false">IF(H42="","",H42+ROW()/1000000000)</f>
        <v/>
      </c>
    </row>
    <row r="43" customFormat="false" ht="15" hidden="false" customHeight="false" outlineLevel="0" collapsed="false">
      <c r="A43" s="12"/>
      <c r="B43" s="13"/>
      <c r="C43" s="14"/>
      <c r="D43" s="14"/>
      <c r="E43" s="15" t="str">
        <f aca="false">IF(A43="","",SUMIFS(Reçeteler!$D$5:$D$1004,Reçeteler!$A$5:$A$1004,A43))</f>
        <v/>
      </c>
      <c r="F43" s="16" t="str">
        <f aca="false">IF(OR(A43="",B43="",B43=0),"",E43/B43+C43)</f>
        <v/>
      </c>
      <c r="G43" s="16" t="str">
        <f aca="false">IF(OR(F43="",D43=""),"",D43-F43)</f>
        <v/>
      </c>
      <c r="H43" s="17" t="str">
        <f aca="false">IF(OR(G43="",D43=0),"",G43/D43)</f>
        <v/>
      </c>
      <c r="I43" s="16" t="str">
        <f aca="false">IF(OR(F43="",Özet!$C$3&gt;=1),"",F43/(1-Özet!$C$3))</f>
        <v/>
      </c>
      <c r="J43" s="18" t="str">
        <f aca="false">IF(H43="","",IF(H43&lt;Özet!$C$3,"Hedefin altında","Hedefte"))</f>
        <v/>
      </c>
      <c r="K43" s="18" t="str">
        <f aca="false">IF(H43="","",H43+ROW()/1000000000)</f>
        <v/>
      </c>
    </row>
    <row r="44" customFormat="false" ht="15" hidden="false" customHeight="false" outlineLevel="0" collapsed="false">
      <c r="A44" s="12"/>
      <c r="B44" s="13"/>
      <c r="C44" s="14"/>
      <c r="D44" s="14"/>
      <c r="E44" s="15" t="str">
        <f aca="false">IF(A44="","",SUMIFS(Reçeteler!$D$5:$D$1004,Reçeteler!$A$5:$A$1004,A44))</f>
        <v/>
      </c>
      <c r="F44" s="16" t="str">
        <f aca="false">IF(OR(A44="",B44="",B44=0),"",E44/B44+C44)</f>
        <v/>
      </c>
      <c r="G44" s="16" t="str">
        <f aca="false">IF(OR(F44="",D44=""),"",D44-F44)</f>
        <v/>
      </c>
      <c r="H44" s="17" t="str">
        <f aca="false">IF(OR(G44="",D44=0),"",G44/D44)</f>
        <v/>
      </c>
      <c r="I44" s="16" t="str">
        <f aca="false">IF(OR(F44="",Özet!$C$3&gt;=1),"",F44/(1-Özet!$C$3))</f>
        <v/>
      </c>
      <c r="J44" s="18" t="str">
        <f aca="false">IF(H44="","",IF(H44&lt;Özet!$C$3,"Hedefin altında","Hedefte"))</f>
        <v/>
      </c>
      <c r="K44" s="18" t="str">
        <f aca="false">IF(H44="","",H44+ROW()/1000000000)</f>
        <v/>
      </c>
    </row>
    <row r="45" customFormat="false" ht="15" hidden="false" customHeight="false" outlineLevel="0" collapsed="false">
      <c r="A45" s="12"/>
      <c r="B45" s="13"/>
      <c r="C45" s="14"/>
      <c r="D45" s="14"/>
      <c r="E45" s="15" t="str">
        <f aca="false">IF(A45="","",SUMIFS(Reçeteler!$D$5:$D$1004,Reçeteler!$A$5:$A$1004,A45))</f>
        <v/>
      </c>
      <c r="F45" s="16" t="str">
        <f aca="false">IF(OR(A45="",B45="",B45=0),"",E45/B45+C45)</f>
        <v/>
      </c>
      <c r="G45" s="16" t="str">
        <f aca="false">IF(OR(F45="",D45=""),"",D45-F45)</f>
        <v/>
      </c>
      <c r="H45" s="17" t="str">
        <f aca="false">IF(OR(G45="",D45=0),"",G45/D45)</f>
        <v/>
      </c>
      <c r="I45" s="16" t="str">
        <f aca="false">IF(OR(F45="",Özet!$C$3&gt;=1),"",F45/(1-Özet!$C$3))</f>
        <v/>
      </c>
      <c r="J45" s="18" t="str">
        <f aca="false">IF(H45="","",IF(H45&lt;Özet!$C$3,"Hedefin altında","Hedefte"))</f>
        <v/>
      </c>
      <c r="K45" s="18" t="str">
        <f aca="false">IF(H45="","",H45+ROW()/1000000000)</f>
        <v/>
      </c>
    </row>
    <row r="46" customFormat="false" ht="15" hidden="false" customHeight="false" outlineLevel="0" collapsed="false">
      <c r="A46" s="12"/>
      <c r="B46" s="13"/>
      <c r="C46" s="14"/>
      <c r="D46" s="14"/>
      <c r="E46" s="15" t="str">
        <f aca="false">IF(A46="","",SUMIFS(Reçeteler!$D$5:$D$1004,Reçeteler!$A$5:$A$1004,A46))</f>
        <v/>
      </c>
      <c r="F46" s="16" t="str">
        <f aca="false">IF(OR(A46="",B46="",B46=0),"",E46/B46+C46)</f>
        <v/>
      </c>
      <c r="G46" s="16" t="str">
        <f aca="false">IF(OR(F46="",D46=""),"",D46-F46)</f>
        <v/>
      </c>
      <c r="H46" s="17" t="str">
        <f aca="false">IF(OR(G46="",D46=0),"",G46/D46)</f>
        <v/>
      </c>
      <c r="I46" s="16" t="str">
        <f aca="false">IF(OR(F46="",Özet!$C$3&gt;=1),"",F46/(1-Özet!$C$3))</f>
        <v/>
      </c>
      <c r="J46" s="18" t="str">
        <f aca="false">IF(H46="","",IF(H46&lt;Özet!$C$3,"Hedefin altında","Hedefte"))</f>
        <v/>
      </c>
      <c r="K46" s="18" t="str">
        <f aca="false">IF(H46="","",H46+ROW()/1000000000)</f>
        <v/>
      </c>
    </row>
    <row r="47" customFormat="false" ht="15" hidden="false" customHeight="false" outlineLevel="0" collapsed="false">
      <c r="A47" s="12"/>
      <c r="B47" s="13"/>
      <c r="C47" s="14"/>
      <c r="D47" s="14"/>
      <c r="E47" s="15" t="str">
        <f aca="false">IF(A47="","",SUMIFS(Reçeteler!$D$5:$D$1004,Reçeteler!$A$5:$A$1004,A47))</f>
        <v/>
      </c>
      <c r="F47" s="16" t="str">
        <f aca="false">IF(OR(A47="",B47="",B47=0),"",E47/B47+C47)</f>
        <v/>
      </c>
      <c r="G47" s="16" t="str">
        <f aca="false">IF(OR(F47="",D47=""),"",D47-F47)</f>
        <v/>
      </c>
      <c r="H47" s="17" t="str">
        <f aca="false">IF(OR(G47="",D47=0),"",G47/D47)</f>
        <v/>
      </c>
      <c r="I47" s="16" t="str">
        <f aca="false">IF(OR(F47="",Özet!$C$3&gt;=1),"",F47/(1-Özet!$C$3))</f>
        <v/>
      </c>
      <c r="J47" s="18" t="str">
        <f aca="false">IF(H47="","",IF(H47&lt;Özet!$C$3,"Hedefin altında","Hedefte"))</f>
        <v/>
      </c>
      <c r="K47" s="18" t="str">
        <f aca="false">IF(H47="","",H47+ROW()/1000000000)</f>
        <v/>
      </c>
    </row>
    <row r="48" customFormat="false" ht="15" hidden="false" customHeight="false" outlineLevel="0" collapsed="false">
      <c r="A48" s="12"/>
      <c r="B48" s="13"/>
      <c r="C48" s="14"/>
      <c r="D48" s="14"/>
      <c r="E48" s="15" t="str">
        <f aca="false">IF(A48="","",SUMIFS(Reçeteler!$D$5:$D$1004,Reçeteler!$A$5:$A$1004,A48))</f>
        <v/>
      </c>
      <c r="F48" s="16" t="str">
        <f aca="false">IF(OR(A48="",B48="",B48=0),"",E48/B48+C48)</f>
        <v/>
      </c>
      <c r="G48" s="16" t="str">
        <f aca="false">IF(OR(F48="",D48=""),"",D48-F48)</f>
        <v/>
      </c>
      <c r="H48" s="17" t="str">
        <f aca="false">IF(OR(G48="",D48=0),"",G48/D48)</f>
        <v/>
      </c>
      <c r="I48" s="16" t="str">
        <f aca="false">IF(OR(F48="",Özet!$C$3&gt;=1),"",F48/(1-Özet!$C$3))</f>
        <v/>
      </c>
      <c r="J48" s="18" t="str">
        <f aca="false">IF(H48="","",IF(H48&lt;Özet!$C$3,"Hedefin altında","Hedefte"))</f>
        <v/>
      </c>
      <c r="K48" s="18" t="str">
        <f aca="false">IF(H48="","",H48+ROW()/1000000000)</f>
        <v/>
      </c>
    </row>
    <row r="49" customFormat="false" ht="15" hidden="false" customHeight="false" outlineLevel="0" collapsed="false">
      <c r="A49" s="12"/>
      <c r="B49" s="13"/>
      <c r="C49" s="14"/>
      <c r="D49" s="14"/>
      <c r="E49" s="15" t="str">
        <f aca="false">IF(A49="","",SUMIFS(Reçeteler!$D$5:$D$1004,Reçeteler!$A$5:$A$1004,A49))</f>
        <v/>
      </c>
      <c r="F49" s="16" t="str">
        <f aca="false">IF(OR(A49="",B49="",B49=0),"",E49/B49+C49)</f>
        <v/>
      </c>
      <c r="G49" s="16" t="str">
        <f aca="false">IF(OR(F49="",D49=""),"",D49-F49)</f>
        <v/>
      </c>
      <c r="H49" s="17" t="str">
        <f aca="false">IF(OR(G49="",D49=0),"",G49/D49)</f>
        <v/>
      </c>
      <c r="I49" s="16" t="str">
        <f aca="false">IF(OR(F49="",Özet!$C$3&gt;=1),"",F49/(1-Özet!$C$3))</f>
        <v/>
      </c>
      <c r="J49" s="18" t="str">
        <f aca="false">IF(H49="","",IF(H49&lt;Özet!$C$3,"Hedefin altında","Hedefte"))</f>
        <v/>
      </c>
      <c r="K49" s="18" t="str">
        <f aca="false">IF(H49="","",H49+ROW()/1000000000)</f>
        <v/>
      </c>
    </row>
    <row r="50" customFormat="false" ht="15" hidden="false" customHeight="false" outlineLevel="0" collapsed="false">
      <c r="A50" s="12"/>
      <c r="B50" s="13"/>
      <c r="C50" s="14"/>
      <c r="D50" s="14"/>
      <c r="E50" s="15" t="str">
        <f aca="false">IF(A50="","",SUMIFS(Reçeteler!$D$5:$D$1004,Reçeteler!$A$5:$A$1004,A50))</f>
        <v/>
      </c>
      <c r="F50" s="16" t="str">
        <f aca="false">IF(OR(A50="",B50="",B50=0),"",E50/B50+C50)</f>
        <v/>
      </c>
      <c r="G50" s="16" t="str">
        <f aca="false">IF(OR(F50="",D50=""),"",D50-F50)</f>
        <v/>
      </c>
      <c r="H50" s="17" t="str">
        <f aca="false">IF(OR(G50="",D50=0),"",G50/D50)</f>
        <v/>
      </c>
      <c r="I50" s="16" t="str">
        <f aca="false">IF(OR(F50="",Özet!$C$3&gt;=1),"",F50/(1-Özet!$C$3))</f>
        <v/>
      </c>
      <c r="J50" s="18" t="str">
        <f aca="false">IF(H50="","",IF(H50&lt;Özet!$C$3,"Hedefin altında","Hedefte"))</f>
        <v/>
      </c>
      <c r="K50" s="18" t="str">
        <f aca="false">IF(H50="","",H50+ROW()/1000000000)</f>
        <v/>
      </c>
    </row>
    <row r="51" customFormat="false" ht="15" hidden="false" customHeight="false" outlineLevel="0" collapsed="false">
      <c r="A51" s="12"/>
      <c r="B51" s="13"/>
      <c r="C51" s="14"/>
      <c r="D51" s="14"/>
      <c r="E51" s="15" t="str">
        <f aca="false">IF(A51="","",SUMIFS(Reçeteler!$D$5:$D$1004,Reçeteler!$A$5:$A$1004,A51))</f>
        <v/>
      </c>
      <c r="F51" s="16" t="str">
        <f aca="false">IF(OR(A51="",B51="",B51=0),"",E51/B51+C51)</f>
        <v/>
      </c>
      <c r="G51" s="16" t="str">
        <f aca="false">IF(OR(F51="",D51=""),"",D51-F51)</f>
        <v/>
      </c>
      <c r="H51" s="17" t="str">
        <f aca="false">IF(OR(G51="",D51=0),"",G51/D51)</f>
        <v/>
      </c>
      <c r="I51" s="16" t="str">
        <f aca="false">IF(OR(F51="",Özet!$C$3&gt;=1),"",F51/(1-Özet!$C$3))</f>
        <v/>
      </c>
      <c r="J51" s="18" t="str">
        <f aca="false">IF(H51="","",IF(H51&lt;Özet!$C$3,"Hedefin altında","Hedefte"))</f>
        <v/>
      </c>
      <c r="K51" s="18" t="str">
        <f aca="false">IF(H51="","",H51+ROW()/1000000000)</f>
        <v/>
      </c>
    </row>
    <row r="52" customFormat="false" ht="15" hidden="false" customHeight="false" outlineLevel="0" collapsed="false">
      <c r="A52" s="12"/>
      <c r="B52" s="13"/>
      <c r="C52" s="14"/>
      <c r="D52" s="14"/>
      <c r="E52" s="15" t="str">
        <f aca="false">IF(A52="","",SUMIFS(Reçeteler!$D$5:$D$1004,Reçeteler!$A$5:$A$1004,A52))</f>
        <v/>
      </c>
      <c r="F52" s="16" t="str">
        <f aca="false">IF(OR(A52="",B52="",B52=0),"",E52/B52+C52)</f>
        <v/>
      </c>
      <c r="G52" s="16" t="str">
        <f aca="false">IF(OR(F52="",D52=""),"",D52-F52)</f>
        <v/>
      </c>
      <c r="H52" s="17" t="str">
        <f aca="false">IF(OR(G52="",D52=0),"",G52/D52)</f>
        <v/>
      </c>
      <c r="I52" s="16" t="str">
        <f aca="false">IF(OR(F52="",Özet!$C$3&gt;=1),"",F52/(1-Özet!$C$3))</f>
        <v/>
      </c>
      <c r="J52" s="18" t="str">
        <f aca="false">IF(H52="","",IF(H52&lt;Özet!$C$3,"Hedefin altında","Hedefte"))</f>
        <v/>
      </c>
      <c r="K52" s="18" t="str">
        <f aca="false">IF(H52="","",H52+ROW()/1000000000)</f>
        <v/>
      </c>
    </row>
    <row r="53" customFormat="false" ht="15" hidden="false" customHeight="false" outlineLevel="0" collapsed="false">
      <c r="A53" s="12"/>
      <c r="B53" s="13"/>
      <c r="C53" s="14"/>
      <c r="D53" s="14"/>
      <c r="E53" s="15" t="str">
        <f aca="false">IF(A53="","",SUMIFS(Reçeteler!$D$5:$D$1004,Reçeteler!$A$5:$A$1004,A53))</f>
        <v/>
      </c>
      <c r="F53" s="16" t="str">
        <f aca="false">IF(OR(A53="",B53="",B53=0),"",E53/B53+C53)</f>
        <v/>
      </c>
      <c r="G53" s="16" t="str">
        <f aca="false">IF(OR(F53="",D53=""),"",D53-F53)</f>
        <v/>
      </c>
      <c r="H53" s="17" t="str">
        <f aca="false">IF(OR(G53="",D53=0),"",G53/D53)</f>
        <v/>
      </c>
      <c r="I53" s="16" t="str">
        <f aca="false">IF(OR(F53="",Özet!$C$3&gt;=1),"",F53/(1-Özet!$C$3))</f>
        <v/>
      </c>
      <c r="J53" s="18" t="str">
        <f aca="false">IF(H53="","",IF(H53&lt;Özet!$C$3,"Hedefin altında","Hedefte"))</f>
        <v/>
      </c>
      <c r="K53" s="18" t="str">
        <f aca="false">IF(H53="","",H53+ROW()/1000000000)</f>
        <v/>
      </c>
    </row>
    <row r="54" customFormat="false" ht="15" hidden="false" customHeight="false" outlineLevel="0" collapsed="false">
      <c r="A54" s="12"/>
      <c r="B54" s="13"/>
      <c r="C54" s="14"/>
      <c r="D54" s="14"/>
      <c r="E54" s="15" t="str">
        <f aca="false">IF(A54="","",SUMIFS(Reçeteler!$D$5:$D$1004,Reçeteler!$A$5:$A$1004,A54))</f>
        <v/>
      </c>
      <c r="F54" s="16" t="str">
        <f aca="false">IF(OR(A54="",B54="",B54=0),"",E54/B54+C54)</f>
        <v/>
      </c>
      <c r="G54" s="16" t="str">
        <f aca="false">IF(OR(F54="",D54=""),"",D54-F54)</f>
        <v/>
      </c>
      <c r="H54" s="17" t="str">
        <f aca="false">IF(OR(G54="",D54=0),"",G54/D54)</f>
        <v/>
      </c>
      <c r="I54" s="16" t="str">
        <f aca="false">IF(OR(F54="",Özet!$C$3&gt;=1),"",F54/(1-Özet!$C$3))</f>
        <v/>
      </c>
      <c r="J54" s="18" t="str">
        <f aca="false">IF(H54="","",IF(H54&lt;Özet!$C$3,"Hedefin altında","Hedefte"))</f>
        <v/>
      </c>
      <c r="K54" s="18" t="str">
        <f aca="false">IF(H54="","",H54+ROW()/1000000000)</f>
        <v/>
      </c>
    </row>
    <row r="55" customFormat="false" ht="15" hidden="false" customHeight="false" outlineLevel="0" collapsed="false">
      <c r="A55" s="12"/>
      <c r="B55" s="13"/>
      <c r="C55" s="14"/>
      <c r="D55" s="14"/>
      <c r="E55" s="15" t="str">
        <f aca="false">IF(A55="","",SUMIFS(Reçeteler!$D$5:$D$1004,Reçeteler!$A$5:$A$1004,A55))</f>
        <v/>
      </c>
      <c r="F55" s="16" t="str">
        <f aca="false">IF(OR(A55="",B55="",B55=0),"",E55/B55+C55)</f>
        <v/>
      </c>
      <c r="G55" s="16" t="str">
        <f aca="false">IF(OR(F55="",D55=""),"",D55-F55)</f>
        <v/>
      </c>
      <c r="H55" s="17" t="str">
        <f aca="false">IF(OR(G55="",D55=0),"",G55/D55)</f>
        <v/>
      </c>
      <c r="I55" s="16" t="str">
        <f aca="false">IF(OR(F55="",Özet!$C$3&gt;=1),"",F55/(1-Özet!$C$3))</f>
        <v/>
      </c>
      <c r="J55" s="18" t="str">
        <f aca="false">IF(H55="","",IF(H55&lt;Özet!$C$3,"Hedefin altında","Hedefte"))</f>
        <v/>
      </c>
      <c r="K55" s="18" t="str">
        <f aca="false">IF(H55="","",H55+ROW()/1000000000)</f>
        <v/>
      </c>
    </row>
    <row r="56" customFormat="false" ht="15" hidden="false" customHeight="false" outlineLevel="0" collapsed="false">
      <c r="A56" s="12"/>
      <c r="B56" s="13"/>
      <c r="C56" s="14"/>
      <c r="D56" s="14"/>
      <c r="E56" s="15" t="str">
        <f aca="false">IF(A56="","",SUMIFS(Reçeteler!$D$5:$D$1004,Reçeteler!$A$5:$A$1004,A56))</f>
        <v/>
      </c>
      <c r="F56" s="16" t="str">
        <f aca="false">IF(OR(A56="",B56="",B56=0),"",E56/B56+C56)</f>
        <v/>
      </c>
      <c r="G56" s="16" t="str">
        <f aca="false">IF(OR(F56="",D56=""),"",D56-F56)</f>
        <v/>
      </c>
      <c r="H56" s="17" t="str">
        <f aca="false">IF(OR(G56="",D56=0),"",G56/D56)</f>
        <v/>
      </c>
      <c r="I56" s="16" t="str">
        <f aca="false">IF(OR(F56="",Özet!$C$3&gt;=1),"",F56/(1-Özet!$C$3))</f>
        <v/>
      </c>
      <c r="J56" s="18" t="str">
        <f aca="false">IF(H56="","",IF(H56&lt;Özet!$C$3,"Hedefin altında","Hedefte"))</f>
        <v/>
      </c>
      <c r="K56" s="18" t="str">
        <f aca="false">IF(H56="","",H56+ROW()/1000000000)</f>
        <v/>
      </c>
    </row>
    <row r="57" customFormat="false" ht="15" hidden="false" customHeight="false" outlineLevel="0" collapsed="false">
      <c r="A57" s="12"/>
      <c r="B57" s="13"/>
      <c r="C57" s="14"/>
      <c r="D57" s="14"/>
      <c r="E57" s="15" t="str">
        <f aca="false">IF(A57="","",SUMIFS(Reçeteler!$D$5:$D$1004,Reçeteler!$A$5:$A$1004,A57))</f>
        <v/>
      </c>
      <c r="F57" s="16" t="str">
        <f aca="false">IF(OR(A57="",B57="",B57=0),"",E57/B57+C57)</f>
        <v/>
      </c>
      <c r="G57" s="16" t="str">
        <f aca="false">IF(OR(F57="",D57=""),"",D57-F57)</f>
        <v/>
      </c>
      <c r="H57" s="17" t="str">
        <f aca="false">IF(OR(G57="",D57=0),"",G57/D57)</f>
        <v/>
      </c>
      <c r="I57" s="16" t="str">
        <f aca="false">IF(OR(F57="",Özet!$C$3&gt;=1),"",F57/(1-Özet!$C$3))</f>
        <v/>
      </c>
      <c r="J57" s="18" t="str">
        <f aca="false">IF(H57="","",IF(H57&lt;Özet!$C$3,"Hedefin altında","Hedefte"))</f>
        <v/>
      </c>
      <c r="K57" s="18" t="str">
        <f aca="false">IF(H57="","",H57+ROW()/1000000000)</f>
        <v/>
      </c>
    </row>
    <row r="58" customFormat="false" ht="15" hidden="false" customHeight="false" outlineLevel="0" collapsed="false">
      <c r="A58" s="12"/>
      <c r="B58" s="13"/>
      <c r="C58" s="14"/>
      <c r="D58" s="14"/>
      <c r="E58" s="15" t="str">
        <f aca="false">IF(A58="","",SUMIFS(Reçeteler!$D$5:$D$1004,Reçeteler!$A$5:$A$1004,A58))</f>
        <v/>
      </c>
      <c r="F58" s="16" t="str">
        <f aca="false">IF(OR(A58="",B58="",B58=0),"",E58/B58+C58)</f>
        <v/>
      </c>
      <c r="G58" s="16" t="str">
        <f aca="false">IF(OR(F58="",D58=""),"",D58-F58)</f>
        <v/>
      </c>
      <c r="H58" s="17" t="str">
        <f aca="false">IF(OR(G58="",D58=0),"",G58/D58)</f>
        <v/>
      </c>
      <c r="I58" s="16" t="str">
        <f aca="false">IF(OR(F58="",Özet!$C$3&gt;=1),"",F58/(1-Özet!$C$3))</f>
        <v/>
      </c>
      <c r="J58" s="18" t="str">
        <f aca="false">IF(H58="","",IF(H58&lt;Özet!$C$3,"Hedefin altında","Hedefte"))</f>
        <v/>
      </c>
      <c r="K58" s="18" t="str">
        <f aca="false">IF(H58="","",H58+ROW()/1000000000)</f>
        <v/>
      </c>
    </row>
    <row r="59" customFormat="false" ht="15" hidden="false" customHeight="false" outlineLevel="0" collapsed="false">
      <c r="A59" s="12"/>
      <c r="B59" s="13"/>
      <c r="C59" s="14"/>
      <c r="D59" s="14"/>
      <c r="E59" s="15" t="str">
        <f aca="false">IF(A59="","",SUMIFS(Reçeteler!$D$5:$D$1004,Reçeteler!$A$5:$A$1004,A59))</f>
        <v/>
      </c>
      <c r="F59" s="16" t="str">
        <f aca="false">IF(OR(A59="",B59="",B59=0),"",E59/B59+C59)</f>
        <v/>
      </c>
      <c r="G59" s="16" t="str">
        <f aca="false">IF(OR(F59="",D59=""),"",D59-F59)</f>
        <v/>
      </c>
      <c r="H59" s="17" t="str">
        <f aca="false">IF(OR(G59="",D59=0),"",G59/D59)</f>
        <v/>
      </c>
      <c r="I59" s="16" t="str">
        <f aca="false">IF(OR(F59="",Özet!$C$3&gt;=1),"",F59/(1-Özet!$C$3))</f>
        <v/>
      </c>
      <c r="J59" s="18" t="str">
        <f aca="false">IF(H59="","",IF(H59&lt;Özet!$C$3,"Hedefin altında","Hedefte"))</f>
        <v/>
      </c>
      <c r="K59" s="18" t="str">
        <f aca="false">IF(H59="","",H59+ROW()/1000000000)</f>
        <v/>
      </c>
    </row>
    <row r="60" customFormat="false" ht="15" hidden="false" customHeight="false" outlineLevel="0" collapsed="false">
      <c r="A60" s="12"/>
      <c r="B60" s="13"/>
      <c r="C60" s="14"/>
      <c r="D60" s="14"/>
      <c r="E60" s="15" t="str">
        <f aca="false">IF(A60="","",SUMIFS(Reçeteler!$D$5:$D$1004,Reçeteler!$A$5:$A$1004,A60))</f>
        <v/>
      </c>
      <c r="F60" s="16" t="str">
        <f aca="false">IF(OR(A60="",B60="",B60=0),"",E60/B60+C60)</f>
        <v/>
      </c>
      <c r="G60" s="16" t="str">
        <f aca="false">IF(OR(F60="",D60=""),"",D60-F60)</f>
        <v/>
      </c>
      <c r="H60" s="17" t="str">
        <f aca="false">IF(OR(G60="",D60=0),"",G60/D60)</f>
        <v/>
      </c>
      <c r="I60" s="16" t="str">
        <f aca="false">IF(OR(F60="",Özet!$C$3&gt;=1),"",F60/(1-Özet!$C$3))</f>
        <v/>
      </c>
      <c r="J60" s="18" t="str">
        <f aca="false">IF(H60="","",IF(H60&lt;Özet!$C$3,"Hedefin altında","Hedefte"))</f>
        <v/>
      </c>
      <c r="K60" s="18" t="str">
        <f aca="false">IF(H60="","",H60+ROW()/1000000000)</f>
        <v/>
      </c>
    </row>
    <row r="61" customFormat="false" ht="15" hidden="false" customHeight="false" outlineLevel="0" collapsed="false">
      <c r="A61" s="12"/>
      <c r="B61" s="13"/>
      <c r="C61" s="14"/>
      <c r="D61" s="14"/>
      <c r="E61" s="15" t="str">
        <f aca="false">IF(A61="","",SUMIFS(Reçeteler!$D$5:$D$1004,Reçeteler!$A$5:$A$1004,A61))</f>
        <v/>
      </c>
      <c r="F61" s="16" t="str">
        <f aca="false">IF(OR(A61="",B61="",B61=0),"",E61/B61+C61)</f>
        <v/>
      </c>
      <c r="G61" s="16" t="str">
        <f aca="false">IF(OR(F61="",D61=""),"",D61-F61)</f>
        <v/>
      </c>
      <c r="H61" s="17" t="str">
        <f aca="false">IF(OR(G61="",D61=0),"",G61/D61)</f>
        <v/>
      </c>
      <c r="I61" s="16" t="str">
        <f aca="false">IF(OR(F61="",Özet!$C$3&gt;=1),"",F61/(1-Özet!$C$3))</f>
        <v/>
      </c>
      <c r="J61" s="18" t="str">
        <f aca="false">IF(H61="","",IF(H61&lt;Özet!$C$3,"Hedefin altında","Hedefte"))</f>
        <v/>
      </c>
      <c r="K61" s="18" t="str">
        <f aca="false">IF(H61="","",H61+ROW()/1000000000)</f>
        <v/>
      </c>
    </row>
    <row r="62" customFormat="false" ht="15" hidden="false" customHeight="false" outlineLevel="0" collapsed="false">
      <c r="A62" s="12"/>
      <c r="B62" s="13"/>
      <c r="C62" s="14"/>
      <c r="D62" s="14"/>
      <c r="E62" s="15" t="str">
        <f aca="false">IF(A62="","",SUMIFS(Reçeteler!$D$5:$D$1004,Reçeteler!$A$5:$A$1004,A62))</f>
        <v/>
      </c>
      <c r="F62" s="16" t="str">
        <f aca="false">IF(OR(A62="",B62="",B62=0),"",E62/B62+C62)</f>
        <v/>
      </c>
      <c r="G62" s="16" t="str">
        <f aca="false">IF(OR(F62="",D62=""),"",D62-F62)</f>
        <v/>
      </c>
      <c r="H62" s="17" t="str">
        <f aca="false">IF(OR(G62="",D62=0),"",G62/D62)</f>
        <v/>
      </c>
      <c r="I62" s="16" t="str">
        <f aca="false">IF(OR(F62="",Özet!$C$3&gt;=1),"",F62/(1-Özet!$C$3))</f>
        <v/>
      </c>
      <c r="J62" s="18" t="str">
        <f aca="false">IF(H62="","",IF(H62&lt;Özet!$C$3,"Hedefin altında","Hedefte"))</f>
        <v/>
      </c>
      <c r="K62" s="18" t="str">
        <f aca="false">IF(H62="","",H62+ROW()/1000000000)</f>
        <v/>
      </c>
    </row>
    <row r="63" customFormat="false" ht="15" hidden="false" customHeight="false" outlineLevel="0" collapsed="false">
      <c r="A63" s="12"/>
      <c r="B63" s="13"/>
      <c r="C63" s="14"/>
      <c r="D63" s="14"/>
      <c r="E63" s="15" t="str">
        <f aca="false">IF(A63="","",SUMIFS(Reçeteler!$D$5:$D$1004,Reçeteler!$A$5:$A$1004,A63))</f>
        <v/>
      </c>
      <c r="F63" s="16" t="str">
        <f aca="false">IF(OR(A63="",B63="",B63=0),"",E63/B63+C63)</f>
        <v/>
      </c>
      <c r="G63" s="16" t="str">
        <f aca="false">IF(OR(F63="",D63=""),"",D63-F63)</f>
        <v/>
      </c>
      <c r="H63" s="17" t="str">
        <f aca="false">IF(OR(G63="",D63=0),"",G63/D63)</f>
        <v/>
      </c>
      <c r="I63" s="16" t="str">
        <f aca="false">IF(OR(F63="",Özet!$C$3&gt;=1),"",F63/(1-Özet!$C$3))</f>
        <v/>
      </c>
      <c r="J63" s="18" t="str">
        <f aca="false">IF(H63="","",IF(H63&lt;Özet!$C$3,"Hedefin altında","Hedefte"))</f>
        <v/>
      </c>
      <c r="K63" s="18" t="str">
        <f aca="false">IF(H63="","",H63+ROW()/1000000000)</f>
        <v/>
      </c>
    </row>
    <row r="64" customFormat="false" ht="15" hidden="false" customHeight="false" outlineLevel="0" collapsed="false">
      <c r="A64" s="12"/>
      <c r="B64" s="13"/>
      <c r="C64" s="14"/>
      <c r="D64" s="14"/>
      <c r="E64" s="15" t="str">
        <f aca="false">IF(A64="","",SUMIFS(Reçeteler!$D$5:$D$1004,Reçeteler!$A$5:$A$1004,A64))</f>
        <v/>
      </c>
      <c r="F64" s="16" t="str">
        <f aca="false">IF(OR(A64="",B64="",B64=0),"",E64/B64+C64)</f>
        <v/>
      </c>
      <c r="G64" s="16" t="str">
        <f aca="false">IF(OR(F64="",D64=""),"",D64-F64)</f>
        <v/>
      </c>
      <c r="H64" s="17" t="str">
        <f aca="false">IF(OR(G64="",D64=0),"",G64/D64)</f>
        <v/>
      </c>
      <c r="I64" s="16" t="str">
        <f aca="false">IF(OR(F64="",Özet!$C$3&gt;=1),"",F64/(1-Özet!$C$3))</f>
        <v/>
      </c>
      <c r="J64" s="18" t="str">
        <f aca="false">IF(H64="","",IF(H64&lt;Özet!$C$3,"Hedefin altında","Hedefte"))</f>
        <v/>
      </c>
      <c r="K64" s="18" t="str">
        <f aca="false">IF(H64="","",H64+ROW()/1000000000)</f>
        <v/>
      </c>
    </row>
    <row r="65" customFormat="false" ht="15" hidden="false" customHeight="false" outlineLevel="0" collapsed="false">
      <c r="A65" s="12"/>
      <c r="B65" s="13"/>
      <c r="C65" s="14"/>
      <c r="D65" s="14"/>
      <c r="E65" s="15" t="str">
        <f aca="false">IF(A65="","",SUMIFS(Reçeteler!$D$5:$D$1004,Reçeteler!$A$5:$A$1004,A65))</f>
        <v/>
      </c>
      <c r="F65" s="16" t="str">
        <f aca="false">IF(OR(A65="",B65="",B65=0),"",E65/B65+C65)</f>
        <v/>
      </c>
      <c r="G65" s="16" t="str">
        <f aca="false">IF(OR(F65="",D65=""),"",D65-F65)</f>
        <v/>
      </c>
      <c r="H65" s="17" t="str">
        <f aca="false">IF(OR(G65="",D65=0),"",G65/D65)</f>
        <v/>
      </c>
      <c r="I65" s="16" t="str">
        <f aca="false">IF(OR(F65="",Özet!$C$3&gt;=1),"",F65/(1-Özet!$C$3))</f>
        <v/>
      </c>
      <c r="J65" s="18" t="str">
        <f aca="false">IF(H65="","",IF(H65&lt;Özet!$C$3,"Hedefin altında","Hedefte"))</f>
        <v/>
      </c>
      <c r="K65" s="18" t="str">
        <f aca="false">IF(H65="","",H65+ROW()/1000000000)</f>
        <v/>
      </c>
    </row>
    <row r="66" customFormat="false" ht="15" hidden="false" customHeight="false" outlineLevel="0" collapsed="false">
      <c r="A66" s="12"/>
      <c r="B66" s="13"/>
      <c r="C66" s="14"/>
      <c r="D66" s="14"/>
      <c r="E66" s="15" t="str">
        <f aca="false">IF(A66="","",SUMIFS(Reçeteler!$D$5:$D$1004,Reçeteler!$A$5:$A$1004,A66))</f>
        <v/>
      </c>
      <c r="F66" s="16" t="str">
        <f aca="false">IF(OR(A66="",B66="",B66=0),"",E66/B66+C66)</f>
        <v/>
      </c>
      <c r="G66" s="16" t="str">
        <f aca="false">IF(OR(F66="",D66=""),"",D66-F66)</f>
        <v/>
      </c>
      <c r="H66" s="17" t="str">
        <f aca="false">IF(OR(G66="",D66=0),"",G66/D66)</f>
        <v/>
      </c>
      <c r="I66" s="16" t="str">
        <f aca="false">IF(OR(F66="",Özet!$C$3&gt;=1),"",F66/(1-Özet!$C$3))</f>
        <v/>
      </c>
      <c r="J66" s="18" t="str">
        <f aca="false">IF(H66="","",IF(H66&lt;Özet!$C$3,"Hedefin altında","Hedefte"))</f>
        <v/>
      </c>
      <c r="K66" s="18" t="str">
        <f aca="false">IF(H66="","",H66+ROW()/1000000000)</f>
        <v/>
      </c>
    </row>
    <row r="67" customFormat="false" ht="15" hidden="false" customHeight="false" outlineLevel="0" collapsed="false">
      <c r="A67" s="12"/>
      <c r="B67" s="13"/>
      <c r="C67" s="14"/>
      <c r="D67" s="14"/>
      <c r="E67" s="15" t="str">
        <f aca="false">IF(A67="","",SUMIFS(Reçeteler!$D$5:$D$1004,Reçeteler!$A$5:$A$1004,A67))</f>
        <v/>
      </c>
      <c r="F67" s="16" t="str">
        <f aca="false">IF(OR(A67="",B67="",B67=0),"",E67/B67+C67)</f>
        <v/>
      </c>
      <c r="G67" s="16" t="str">
        <f aca="false">IF(OR(F67="",D67=""),"",D67-F67)</f>
        <v/>
      </c>
      <c r="H67" s="17" t="str">
        <f aca="false">IF(OR(G67="",D67=0),"",G67/D67)</f>
        <v/>
      </c>
      <c r="I67" s="16" t="str">
        <f aca="false">IF(OR(F67="",Özet!$C$3&gt;=1),"",F67/(1-Özet!$C$3))</f>
        <v/>
      </c>
      <c r="J67" s="18" t="str">
        <f aca="false">IF(H67="","",IF(H67&lt;Özet!$C$3,"Hedefin altında","Hedefte"))</f>
        <v/>
      </c>
      <c r="K67" s="18" t="str">
        <f aca="false">IF(H67="","",H67+ROW()/1000000000)</f>
        <v/>
      </c>
    </row>
    <row r="68" customFormat="false" ht="15" hidden="false" customHeight="false" outlineLevel="0" collapsed="false">
      <c r="A68" s="12"/>
      <c r="B68" s="13"/>
      <c r="C68" s="14"/>
      <c r="D68" s="14"/>
      <c r="E68" s="15" t="str">
        <f aca="false">IF(A68="","",SUMIFS(Reçeteler!$D$5:$D$1004,Reçeteler!$A$5:$A$1004,A68))</f>
        <v/>
      </c>
      <c r="F68" s="16" t="str">
        <f aca="false">IF(OR(A68="",B68="",B68=0),"",E68/B68+C68)</f>
        <v/>
      </c>
      <c r="G68" s="16" t="str">
        <f aca="false">IF(OR(F68="",D68=""),"",D68-F68)</f>
        <v/>
      </c>
      <c r="H68" s="17" t="str">
        <f aca="false">IF(OR(G68="",D68=0),"",G68/D68)</f>
        <v/>
      </c>
      <c r="I68" s="16" t="str">
        <f aca="false">IF(OR(F68="",Özet!$C$3&gt;=1),"",F68/(1-Özet!$C$3))</f>
        <v/>
      </c>
      <c r="J68" s="18" t="str">
        <f aca="false">IF(H68="","",IF(H68&lt;Özet!$C$3,"Hedefin altında","Hedefte"))</f>
        <v/>
      </c>
      <c r="K68" s="18" t="str">
        <f aca="false">IF(H68="","",H68+ROW()/1000000000)</f>
        <v/>
      </c>
    </row>
    <row r="69" customFormat="false" ht="15" hidden="false" customHeight="false" outlineLevel="0" collapsed="false">
      <c r="A69" s="12"/>
      <c r="B69" s="13"/>
      <c r="C69" s="14"/>
      <c r="D69" s="14"/>
      <c r="E69" s="15" t="str">
        <f aca="false">IF(A69="","",SUMIFS(Reçeteler!$D$5:$D$1004,Reçeteler!$A$5:$A$1004,A69))</f>
        <v/>
      </c>
      <c r="F69" s="16" t="str">
        <f aca="false">IF(OR(A69="",B69="",B69=0),"",E69/B69+C69)</f>
        <v/>
      </c>
      <c r="G69" s="16" t="str">
        <f aca="false">IF(OR(F69="",D69=""),"",D69-F69)</f>
        <v/>
      </c>
      <c r="H69" s="17" t="str">
        <f aca="false">IF(OR(G69="",D69=0),"",G69/D69)</f>
        <v/>
      </c>
      <c r="I69" s="16" t="str">
        <f aca="false">IF(OR(F69="",Özet!$C$3&gt;=1),"",F69/(1-Özet!$C$3))</f>
        <v/>
      </c>
      <c r="J69" s="18" t="str">
        <f aca="false">IF(H69="","",IF(H69&lt;Özet!$C$3,"Hedefin altında","Hedefte"))</f>
        <v/>
      </c>
      <c r="K69" s="18" t="str">
        <f aca="false">IF(H69="","",H69+ROW()/1000000000)</f>
        <v/>
      </c>
    </row>
    <row r="70" customFormat="false" ht="15" hidden="false" customHeight="false" outlineLevel="0" collapsed="false">
      <c r="A70" s="12"/>
      <c r="B70" s="13"/>
      <c r="C70" s="14"/>
      <c r="D70" s="14"/>
      <c r="E70" s="15" t="str">
        <f aca="false">IF(A70="","",SUMIFS(Reçeteler!$D$5:$D$1004,Reçeteler!$A$5:$A$1004,A70))</f>
        <v/>
      </c>
      <c r="F70" s="16" t="str">
        <f aca="false">IF(OR(A70="",B70="",B70=0),"",E70/B70+C70)</f>
        <v/>
      </c>
      <c r="G70" s="16" t="str">
        <f aca="false">IF(OR(F70="",D70=""),"",D70-F70)</f>
        <v/>
      </c>
      <c r="H70" s="17" t="str">
        <f aca="false">IF(OR(G70="",D70=0),"",G70/D70)</f>
        <v/>
      </c>
      <c r="I70" s="16" t="str">
        <f aca="false">IF(OR(F70="",Özet!$C$3&gt;=1),"",F70/(1-Özet!$C$3))</f>
        <v/>
      </c>
      <c r="J70" s="18" t="str">
        <f aca="false">IF(H70="","",IF(H70&lt;Özet!$C$3,"Hedefin altında","Hedefte"))</f>
        <v/>
      </c>
      <c r="K70" s="18" t="str">
        <f aca="false">IF(H70="","",H70+ROW()/1000000000)</f>
        <v/>
      </c>
    </row>
    <row r="71" customFormat="false" ht="15" hidden="false" customHeight="false" outlineLevel="0" collapsed="false">
      <c r="A71" s="12"/>
      <c r="B71" s="13"/>
      <c r="C71" s="14"/>
      <c r="D71" s="14"/>
      <c r="E71" s="15" t="str">
        <f aca="false">IF(A71="","",SUMIFS(Reçeteler!$D$5:$D$1004,Reçeteler!$A$5:$A$1004,A71))</f>
        <v/>
      </c>
      <c r="F71" s="16" t="str">
        <f aca="false">IF(OR(A71="",B71="",B71=0),"",E71/B71+C71)</f>
        <v/>
      </c>
      <c r="G71" s="16" t="str">
        <f aca="false">IF(OR(F71="",D71=""),"",D71-F71)</f>
        <v/>
      </c>
      <c r="H71" s="17" t="str">
        <f aca="false">IF(OR(G71="",D71=0),"",G71/D71)</f>
        <v/>
      </c>
      <c r="I71" s="16" t="str">
        <f aca="false">IF(OR(F71="",Özet!$C$3&gt;=1),"",F71/(1-Özet!$C$3))</f>
        <v/>
      </c>
      <c r="J71" s="18" t="str">
        <f aca="false">IF(H71="","",IF(H71&lt;Özet!$C$3,"Hedefin altında","Hedefte"))</f>
        <v/>
      </c>
      <c r="K71" s="18" t="str">
        <f aca="false">IF(H71="","",H71+ROW()/1000000000)</f>
        <v/>
      </c>
    </row>
    <row r="72" customFormat="false" ht="15" hidden="false" customHeight="false" outlineLevel="0" collapsed="false">
      <c r="A72" s="12"/>
      <c r="B72" s="13"/>
      <c r="C72" s="14"/>
      <c r="D72" s="14"/>
      <c r="E72" s="15" t="str">
        <f aca="false">IF(A72="","",SUMIFS(Reçeteler!$D$5:$D$1004,Reçeteler!$A$5:$A$1004,A72))</f>
        <v/>
      </c>
      <c r="F72" s="16" t="str">
        <f aca="false">IF(OR(A72="",B72="",B72=0),"",E72/B72+C72)</f>
        <v/>
      </c>
      <c r="G72" s="16" t="str">
        <f aca="false">IF(OR(F72="",D72=""),"",D72-F72)</f>
        <v/>
      </c>
      <c r="H72" s="17" t="str">
        <f aca="false">IF(OR(G72="",D72=0),"",G72/D72)</f>
        <v/>
      </c>
      <c r="I72" s="16" t="str">
        <f aca="false">IF(OR(F72="",Özet!$C$3&gt;=1),"",F72/(1-Özet!$C$3))</f>
        <v/>
      </c>
      <c r="J72" s="18" t="str">
        <f aca="false">IF(H72="","",IF(H72&lt;Özet!$C$3,"Hedefin altında","Hedefte"))</f>
        <v/>
      </c>
      <c r="K72" s="18" t="str">
        <f aca="false">IF(H72="","",H72+ROW()/1000000000)</f>
        <v/>
      </c>
    </row>
    <row r="73" customFormat="false" ht="15" hidden="false" customHeight="false" outlineLevel="0" collapsed="false">
      <c r="A73" s="12"/>
      <c r="B73" s="13"/>
      <c r="C73" s="14"/>
      <c r="D73" s="14"/>
      <c r="E73" s="15" t="str">
        <f aca="false">IF(A73="","",SUMIFS(Reçeteler!$D$5:$D$1004,Reçeteler!$A$5:$A$1004,A73))</f>
        <v/>
      </c>
      <c r="F73" s="16" t="str">
        <f aca="false">IF(OR(A73="",B73="",B73=0),"",E73/B73+C73)</f>
        <v/>
      </c>
      <c r="G73" s="16" t="str">
        <f aca="false">IF(OR(F73="",D73=""),"",D73-F73)</f>
        <v/>
      </c>
      <c r="H73" s="17" t="str">
        <f aca="false">IF(OR(G73="",D73=0),"",G73/D73)</f>
        <v/>
      </c>
      <c r="I73" s="16" t="str">
        <f aca="false">IF(OR(F73="",Özet!$C$3&gt;=1),"",F73/(1-Özet!$C$3))</f>
        <v/>
      </c>
      <c r="J73" s="18" t="str">
        <f aca="false">IF(H73="","",IF(H73&lt;Özet!$C$3,"Hedefin altında","Hedefte"))</f>
        <v/>
      </c>
      <c r="K73" s="18" t="str">
        <f aca="false">IF(H73="","",H73+ROW()/1000000000)</f>
        <v/>
      </c>
    </row>
    <row r="74" customFormat="false" ht="15" hidden="false" customHeight="false" outlineLevel="0" collapsed="false">
      <c r="A74" s="12"/>
      <c r="B74" s="13"/>
      <c r="C74" s="14"/>
      <c r="D74" s="14"/>
      <c r="E74" s="15" t="str">
        <f aca="false">IF(A74="","",SUMIFS(Reçeteler!$D$5:$D$1004,Reçeteler!$A$5:$A$1004,A74))</f>
        <v/>
      </c>
      <c r="F74" s="16" t="str">
        <f aca="false">IF(OR(A74="",B74="",B74=0),"",E74/B74+C74)</f>
        <v/>
      </c>
      <c r="G74" s="16" t="str">
        <f aca="false">IF(OR(F74="",D74=""),"",D74-F74)</f>
        <v/>
      </c>
      <c r="H74" s="17" t="str">
        <f aca="false">IF(OR(G74="",D74=0),"",G74/D74)</f>
        <v/>
      </c>
      <c r="I74" s="16" t="str">
        <f aca="false">IF(OR(F74="",Özet!$C$3&gt;=1),"",F74/(1-Özet!$C$3))</f>
        <v/>
      </c>
      <c r="J74" s="18" t="str">
        <f aca="false">IF(H74="","",IF(H74&lt;Özet!$C$3,"Hedefin altında","Hedefte"))</f>
        <v/>
      </c>
      <c r="K74" s="18" t="str">
        <f aca="false">IF(H74="","",H74+ROW()/1000000000)</f>
        <v/>
      </c>
    </row>
    <row r="75" customFormat="false" ht="15" hidden="false" customHeight="false" outlineLevel="0" collapsed="false">
      <c r="A75" s="12"/>
      <c r="B75" s="13"/>
      <c r="C75" s="14"/>
      <c r="D75" s="14"/>
      <c r="E75" s="15" t="str">
        <f aca="false">IF(A75="","",SUMIFS(Reçeteler!$D$5:$D$1004,Reçeteler!$A$5:$A$1004,A75))</f>
        <v/>
      </c>
      <c r="F75" s="16" t="str">
        <f aca="false">IF(OR(A75="",B75="",B75=0),"",E75/B75+C75)</f>
        <v/>
      </c>
      <c r="G75" s="16" t="str">
        <f aca="false">IF(OR(F75="",D75=""),"",D75-F75)</f>
        <v/>
      </c>
      <c r="H75" s="17" t="str">
        <f aca="false">IF(OR(G75="",D75=0),"",G75/D75)</f>
        <v/>
      </c>
      <c r="I75" s="16" t="str">
        <f aca="false">IF(OR(F75="",Özet!$C$3&gt;=1),"",F75/(1-Özet!$C$3))</f>
        <v/>
      </c>
      <c r="J75" s="18" t="str">
        <f aca="false">IF(H75="","",IF(H75&lt;Özet!$C$3,"Hedefin altında","Hedefte"))</f>
        <v/>
      </c>
      <c r="K75" s="18" t="str">
        <f aca="false">IF(H75="","",H75+ROW()/1000000000)</f>
        <v/>
      </c>
    </row>
    <row r="76" customFormat="false" ht="15" hidden="false" customHeight="false" outlineLevel="0" collapsed="false">
      <c r="A76" s="12"/>
      <c r="B76" s="13"/>
      <c r="C76" s="14"/>
      <c r="D76" s="14"/>
      <c r="E76" s="15" t="str">
        <f aca="false">IF(A76="","",SUMIFS(Reçeteler!$D$5:$D$1004,Reçeteler!$A$5:$A$1004,A76))</f>
        <v/>
      </c>
      <c r="F76" s="16" t="str">
        <f aca="false">IF(OR(A76="",B76="",B76=0),"",E76/B76+C76)</f>
        <v/>
      </c>
      <c r="G76" s="16" t="str">
        <f aca="false">IF(OR(F76="",D76=""),"",D76-F76)</f>
        <v/>
      </c>
      <c r="H76" s="17" t="str">
        <f aca="false">IF(OR(G76="",D76=0),"",G76/D76)</f>
        <v/>
      </c>
      <c r="I76" s="16" t="str">
        <f aca="false">IF(OR(F76="",Özet!$C$3&gt;=1),"",F76/(1-Özet!$C$3))</f>
        <v/>
      </c>
      <c r="J76" s="18" t="str">
        <f aca="false">IF(H76="","",IF(H76&lt;Özet!$C$3,"Hedefin altında","Hedefte"))</f>
        <v/>
      </c>
      <c r="K76" s="18" t="str">
        <f aca="false">IF(H76="","",H76+ROW()/1000000000)</f>
        <v/>
      </c>
    </row>
    <row r="77" customFormat="false" ht="15" hidden="false" customHeight="false" outlineLevel="0" collapsed="false">
      <c r="A77" s="12"/>
      <c r="B77" s="13"/>
      <c r="C77" s="14"/>
      <c r="D77" s="14"/>
      <c r="E77" s="15" t="str">
        <f aca="false">IF(A77="","",SUMIFS(Reçeteler!$D$5:$D$1004,Reçeteler!$A$5:$A$1004,A77))</f>
        <v/>
      </c>
      <c r="F77" s="16" t="str">
        <f aca="false">IF(OR(A77="",B77="",B77=0),"",E77/B77+C77)</f>
        <v/>
      </c>
      <c r="G77" s="16" t="str">
        <f aca="false">IF(OR(F77="",D77=""),"",D77-F77)</f>
        <v/>
      </c>
      <c r="H77" s="17" t="str">
        <f aca="false">IF(OR(G77="",D77=0),"",G77/D77)</f>
        <v/>
      </c>
      <c r="I77" s="16" t="str">
        <f aca="false">IF(OR(F77="",Özet!$C$3&gt;=1),"",F77/(1-Özet!$C$3))</f>
        <v/>
      </c>
      <c r="J77" s="18" t="str">
        <f aca="false">IF(H77="","",IF(H77&lt;Özet!$C$3,"Hedefin altında","Hedefte"))</f>
        <v/>
      </c>
      <c r="K77" s="18" t="str">
        <f aca="false">IF(H77="","",H77+ROW()/1000000000)</f>
        <v/>
      </c>
    </row>
    <row r="78" customFormat="false" ht="15" hidden="false" customHeight="false" outlineLevel="0" collapsed="false">
      <c r="A78" s="12"/>
      <c r="B78" s="13"/>
      <c r="C78" s="14"/>
      <c r="D78" s="14"/>
      <c r="E78" s="15" t="str">
        <f aca="false">IF(A78="","",SUMIFS(Reçeteler!$D$5:$D$1004,Reçeteler!$A$5:$A$1004,A78))</f>
        <v/>
      </c>
      <c r="F78" s="16" t="str">
        <f aca="false">IF(OR(A78="",B78="",B78=0),"",E78/B78+C78)</f>
        <v/>
      </c>
      <c r="G78" s="16" t="str">
        <f aca="false">IF(OR(F78="",D78=""),"",D78-F78)</f>
        <v/>
      </c>
      <c r="H78" s="17" t="str">
        <f aca="false">IF(OR(G78="",D78=0),"",G78/D78)</f>
        <v/>
      </c>
      <c r="I78" s="16" t="str">
        <f aca="false">IF(OR(F78="",Özet!$C$3&gt;=1),"",F78/(1-Özet!$C$3))</f>
        <v/>
      </c>
      <c r="J78" s="18" t="str">
        <f aca="false">IF(H78="","",IF(H78&lt;Özet!$C$3,"Hedefin altında","Hedefte"))</f>
        <v/>
      </c>
      <c r="K78" s="18" t="str">
        <f aca="false">IF(H78="","",H78+ROW()/1000000000)</f>
        <v/>
      </c>
    </row>
    <row r="79" customFormat="false" ht="15" hidden="false" customHeight="false" outlineLevel="0" collapsed="false">
      <c r="A79" s="12"/>
      <c r="B79" s="13"/>
      <c r="C79" s="14"/>
      <c r="D79" s="14"/>
      <c r="E79" s="15" t="str">
        <f aca="false">IF(A79="","",SUMIFS(Reçeteler!$D$5:$D$1004,Reçeteler!$A$5:$A$1004,A79))</f>
        <v/>
      </c>
      <c r="F79" s="16" t="str">
        <f aca="false">IF(OR(A79="",B79="",B79=0),"",E79/B79+C79)</f>
        <v/>
      </c>
      <c r="G79" s="16" t="str">
        <f aca="false">IF(OR(F79="",D79=""),"",D79-F79)</f>
        <v/>
      </c>
      <c r="H79" s="17" t="str">
        <f aca="false">IF(OR(G79="",D79=0),"",G79/D79)</f>
        <v/>
      </c>
      <c r="I79" s="16" t="str">
        <f aca="false">IF(OR(F79="",Özet!$C$3&gt;=1),"",F79/(1-Özet!$C$3))</f>
        <v/>
      </c>
      <c r="J79" s="18" t="str">
        <f aca="false">IF(H79="","",IF(H79&lt;Özet!$C$3,"Hedefin altında","Hedefte"))</f>
        <v/>
      </c>
      <c r="K79" s="18" t="str">
        <f aca="false">IF(H79="","",H79+ROW()/1000000000)</f>
        <v/>
      </c>
    </row>
    <row r="80" customFormat="false" ht="15" hidden="false" customHeight="false" outlineLevel="0" collapsed="false">
      <c r="A80" s="12"/>
      <c r="B80" s="13"/>
      <c r="C80" s="14"/>
      <c r="D80" s="14"/>
      <c r="E80" s="15" t="str">
        <f aca="false">IF(A80="","",SUMIFS(Reçeteler!$D$5:$D$1004,Reçeteler!$A$5:$A$1004,A80))</f>
        <v/>
      </c>
      <c r="F80" s="16" t="str">
        <f aca="false">IF(OR(A80="",B80="",B80=0),"",E80/B80+C80)</f>
        <v/>
      </c>
      <c r="G80" s="16" t="str">
        <f aca="false">IF(OR(F80="",D80=""),"",D80-F80)</f>
        <v/>
      </c>
      <c r="H80" s="17" t="str">
        <f aca="false">IF(OR(G80="",D80=0),"",G80/D80)</f>
        <v/>
      </c>
      <c r="I80" s="16" t="str">
        <f aca="false">IF(OR(F80="",Özet!$C$3&gt;=1),"",F80/(1-Özet!$C$3))</f>
        <v/>
      </c>
      <c r="J80" s="18" t="str">
        <f aca="false">IF(H80="","",IF(H80&lt;Özet!$C$3,"Hedefin altında","Hedefte"))</f>
        <v/>
      </c>
      <c r="K80" s="18" t="str">
        <f aca="false">IF(H80="","",H80+ROW()/1000000000)</f>
        <v/>
      </c>
    </row>
    <row r="81" customFormat="false" ht="15" hidden="false" customHeight="false" outlineLevel="0" collapsed="false">
      <c r="A81" s="12"/>
      <c r="B81" s="13"/>
      <c r="C81" s="14"/>
      <c r="D81" s="14"/>
      <c r="E81" s="15" t="str">
        <f aca="false">IF(A81="","",SUMIFS(Reçeteler!$D$5:$D$1004,Reçeteler!$A$5:$A$1004,A81))</f>
        <v/>
      </c>
      <c r="F81" s="16" t="str">
        <f aca="false">IF(OR(A81="",B81="",B81=0),"",E81/B81+C81)</f>
        <v/>
      </c>
      <c r="G81" s="16" t="str">
        <f aca="false">IF(OR(F81="",D81=""),"",D81-F81)</f>
        <v/>
      </c>
      <c r="H81" s="17" t="str">
        <f aca="false">IF(OR(G81="",D81=0),"",G81/D81)</f>
        <v/>
      </c>
      <c r="I81" s="16" t="str">
        <f aca="false">IF(OR(F81="",Özet!$C$3&gt;=1),"",F81/(1-Özet!$C$3))</f>
        <v/>
      </c>
      <c r="J81" s="18" t="str">
        <f aca="false">IF(H81="","",IF(H81&lt;Özet!$C$3,"Hedefin altında","Hedefte"))</f>
        <v/>
      </c>
      <c r="K81" s="18" t="str">
        <f aca="false">IF(H81="","",H81+ROW()/1000000000)</f>
        <v/>
      </c>
    </row>
    <row r="82" customFormat="false" ht="15" hidden="false" customHeight="false" outlineLevel="0" collapsed="false">
      <c r="A82" s="12"/>
      <c r="B82" s="13"/>
      <c r="C82" s="14"/>
      <c r="D82" s="14"/>
      <c r="E82" s="15" t="str">
        <f aca="false">IF(A82="","",SUMIFS(Reçeteler!$D$5:$D$1004,Reçeteler!$A$5:$A$1004,A82))</f>
        <v/>
      </c>
      <c r="F82" s="16" t="str">
        <f aca="false">IF(OR(A82="",B82="",B82=0),"",E82/B82+C82)</f>
        <v/>
      </c>
      <c r="G82" s="16" t="str">
        <f aca="false">IF(OR(F82="",D82=""),"",D82-F82)</f>
        <v/>
      </c>
      <c r="H82" s="17" t="str">
        <f aca="false">IF(OR(G82="",D82=0),"",G82/D82)</f>
        <v/>
      </c>
      <c r="I82" s="16" t="str">
        <f aca="false">IF(OR(F82="",Özet!$C$3&gt;=1),"",F82/(1-Özet!$C$3))</f>
        <v/>
      </c>
      <c r="J82" s="18" t="str">
        <f aca="false">IF(H82="","",IF(H82&lt;Özet!$C$3,"Hedefin altında","Hedefte"))</f>
        <v/>
      </c>
      <c r="K82" s="18" t="str">
        <f aca="false">IF(H82="","",H82+ROW()/1000000000)</f>
        <v/>
      </c>
    </row>
    <row r="83" customFormat="false" ht="15" hidden="false" customHeight="false" outlineLevel="0" collapsed="false">
      <c r="A83" s="12"/>
      <c r="B83" s="13"/>
      <c r="C83" s="14"/>
      <c r="D83" s="14"/>
      <c r="E83" s="15" t="str">
        <f aca="false">IF(A83="","",SUMIFS(Reçeteler!$D$5:$D$1004,Reçeteler!$A$5:$A$1004,A83))</f>
        <v/>
      </c>
      <c r="F83" s="16" t="str">
        <f aca="false">IF(OR(A83="",B83="",B83=0),"",E83/B83+C83)</f>
        <v/>
      </c>
      <c r="G83" s="16" t="str">
        <f aca="false">IF(OR(F83="",D83=""),"",D83-F83)</f>
        <v/>
      </c>
      <c r="H83" s="17" t="str">
        <f aca="false">IF(OR(G83="",D83=0),"",G83/D83)</f>
        <v/>
      </c>
      <c r="I83" s="16" t="str">
        <f aca="false">IF(OR(F83="",Özet!$C$3&gt;=1),"",F83/(1-Özet!$C$3))</f>
        <v/>
      </c>
      <c r="J83" s="18" t="str">
        <f aca="false">IF(H83="","",IF(H83&lt;Özet!$C$3,"Hedefin altında","Hedefte"))</f>
        <v/>
      </c>
      <c r="K83" s="18" t="str">
        <f aca="false">IF(H83="","",H83+ROW()/1000000000)</f>
        <v/>
      </c>
    </row>
    <row r="84" customFormat="false" ht="15" hidden="false" customHeight="false" outlineLevel="0" collapsed="false">
      <c r="A84" s="12"/>
      <c r="B84" s="13"/>
      <c r="C84" s="14"/>
      <c r="D84" s="14"/>
      <c r="E84" s="15" t="str">
        <f aca="false">IF(A84="","",SUMIFS(Reçeteler!$D$5:$D$1004,Reçeteler!$A$5:$A$1004,A84))</f>
        <v/>
      </c>
      <c r="F84" s="16" t="str">
        <f aca="false">IF(OR(A84="",B84="",B84=0),"",E84/B84+C84)</f>
        <v/>
      </c>
      <c r="G84" s="16" t="str">
        <f aca="false">IF(OR(F84="",D84=""),"",D84-F84)</f>
        <v/>
      </c>
      <c r="H84" s="17" t="str">
        <f aca="false">IF(OR(G84="",D84=0),"",G84/D84)</f>
        <v/>
      </c>
      <c r="I84" s="16" t="str">
        <f aca="false">IF(OR(F84="",Özet!$C$3&gt;=1),"",F84/(1-Özet!$C$3))</f>
        <v/>
      </c>
      <c r="J84" s="18" t="str">
        <f aca="false">IF(H84="","",IF(H84&lt;Özet!$C$3,"Hedefin altında","Hedefte"))</f>
        <v/>
      </c>
      <c r="K84" s="18" t="str">
        <f aca="false">IF(H84="","",H84+ROW()/1000000000)</f>
        <v/>
      </c>
    </row>
  </sheetData>
  <conditionalFormatting sqref="J5:J84">
    <cfRule type="cellIs" priority="2" operator="equal" aboveAverage="0" equalAverage="0" bottom="0" percent="0" rank="0" text="" dxfId="0">
      <formula>"Hedefin altında"</formula>
    </cfRule>
  </conditionalFormatting>
  <dataValidations count="2">
    <dataValidation allowBlank="true" error="Sıfır ya da daha büyük bir sayı gir." errorStyle="stop" errorTitle="Kontrol" operator="greaterThanOrEqual" showDropDown="false" showErrorMessage="true" showInputMessage="false" sqref="B5:D84" type="decimal">
      <formula1>0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84" type="custom">
      <formula1>COUNTIF($A$5:$A$84,A5)=1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D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8" t="s">
        <v>40</v>
      </c>
    </row>
    <row r="2" customFormat="false" ht="15" hidden="false" customHeight="false" outlineLevel="0" collapsed="false">
      <c r="A2" s="9" t="s">
        <v>41</v>
      </c>
    </row>
    <row r="4" customFormat="false" ht="27.75" hidden="false" customHeight="true" outlineLevel="0" collapsed="false">
      <c r="A4" s="10" t="s">
        <v>28</v>
      </c>
      <c r="B4" s="10" t="s">
        <v>42</v>
      </c>
      <c r="C4" s="10" t="s">
        <v>43</v>
      </c>
      <c r="D4" s="11" t="s">
        <v>44</v>
      </c>
    </row>
    <row r="5" customFormat="false" ht="15" hidden="false" customHeight="false" outlineLevel="0" collapsed="false">
      <c r="A5" s="20" t="s">
        <v>38</v>
      </c>
      <c r="B5" s="20" t="s">
        <v>45</v>
      </c>
      <c r="C5" s="21" t="n">
        <v>0.5</v>
      </c>
      <c r="D5" s="16" t="n">
        <f aca="false">IF(OR(A5="",B5="",C5=""),"",C5*IFERROR(INDEX(Malzemeler!$E$5:$E$154,MATCH(B5,Malzemeler!$A$5:$A$154,0)),0))</f>
        <v>15</v>
      </c>
    </row>
    <row r="6" customFormat="false" ht="15" hidden="false" customHeight="false" outlineLevel="0" collapsed="false">
      <c r="A6" s="20" t="s">
        <v>38</v>
      </c>
      <c r="B6" s="20" t="s">
        <v>46</v>
      </c>
      <c r="C6" s="21" t="n">
        <v>0.2</v>
      </c>
      <c r="D6" s="16" t="n">
        <f aca="false">IF(OR(A6="",B6="",C6=""),"",C6*IFERROR(INDEX(Malzemeler!$E$5:$E$154,MATCH(B6,Malzemeler!$A$5:$A$154,0)),0))</f>
        <v>8.8</v>
      </c>
    </row>
    <row r="7" customFormat="false" ht="15" hidden="false" customHeight="false" outlineLevel="0" collapsed="false">
      <c r="A7" s="20" t="s">
        <v>38</v>
      </c>
      <c r="B7" s="20" t="s">
        <v>47</v>
      </c>
      <c r="C7" s="21" t="n">
        <v>0.25</v>
      </c>
      <c r="D7" s="16" t="n">
        <f aca="false">IF(OR(A7="",B7="",C7=""),"",C7*IFERROR(INDEX(Malzemeler!$E$5:$E$154,MATCH(B7,Malzemeler!$A$5:$A$154,0)),0))</f>
        <v>125</v>
      </c>
    </row>
    <row r="8" customFormat="false" ht="15" hidden="false" customHeight="false" outlineLevel="0" collapsed="false">
      <c r="A8" s="20" t="s">
        <v>39</v>
      </c>
      <c r="B8" s="20" t="s">
        <v>45</v>
      </c>
      <c r="C8" s="21" t="n">
        <v>0.3</v>
      </c>
      <c r="D8" s="16" t="n">
        <f aca="false">IF(OR(A8="",B8="",C8=""),"",C8*IFERROR(INDEX(Malzemeler!$E$5:$E$154,MATCH(B8,Malzemeler!$A$5:$A$154,0)),0))</f>
        <v>9</v>
      </c>
    </row>
    <row r="9" customFormat="false" ht="15" hidden="false" customHeight="false" outlineLevel="0" collapsed="false">
      <c r="A9" s="20" t="s">
        <v>39</v>
      </c>
      <c r="B9" s="20" t="s">
        <v>46</v>
      </c>
      <c r="C9" s="21" t="n">
        <v>0.25</v>
      </c>
      <c r="D9" s="16" t="n">
        <f aca="false">IF(OR(A9="",B9="",C9=""),"",C9*IFERROR(INDEX(Malzemeler!$E$5:$E$154,MATCH(B9,Malzemeler!$A$5:$A$154,0)),0))</f>
        <v>11</v>
      </c>
    </row>
    <row r="10" customFormat="false" ht="15" hidden="false" customHeight="false" outlineLevel="0" collapsed="false">
      <c r="A10" s="20" t="s">
        <v>39</v>
      </c>
      <c r="B10" s="20" t="s">
        <v>48</v>
      </c>
      <c r="C10" s="21" t="n">
        <v>4</v>
      </c>
      <c r="D10" s="16" t="n">
        <f aca="false">IF(OR(A10="",B10="",C10=""),"",C10*IFERROR(INDEX(Malzemeler!$E$5:$E$154,MATCH(B10,Malzemeler!$A$5:$A$154,0)),0))</f>
        <v>24</v>
      </c>
    </row>
    <row r="11" customFormat="false" ht="15" hidden="false" customHeight="false" outlineLevel="0" collapsed="false">
      <c r="A11" s="20" t="s">
        <v>39</v>
      </c>
      <c r="B11" s="20" t="s">
        <v>47</v>
      </c>
      <c r="C11" s="21" t="n">
        <v>0.2</v>
      </c>
      <c r="D11" s="16" t="n">
        <f aca="false">IF(OR(A11="",B11="",C11=""),"",C11*IFERROR(INDEX(Malzemeler!$E$5:$E$154,MATCH(B11,Malzemeler!$A$5:$A$154,0)),0))</f>
        <v>100</v>
      </c>
    </row>
    <row r="12" customFormat="false" ht="15" hidden="false" customHeight="false" outlineLevel="0" collapsed="false">
      <c r="A12" s="20"/>
      <c r="B12" s="20"/>
      <c r="C12" s="21"/>
      <c r="D12" s="16" t="str">
        <f aca="false">IF(OR(A12="",B12="",C12=""),"",C12*IFERROR(INDEX(Malzemeler!$E$5:$E$154,MATCH(B12,Malzemeler!$A$5:$A$154,0)),0))</f>
        <v/>
      </c>
    </row>
    <row r="13" customFormat="false" ht="15" hidden="false" customHeight="false" outlineLevel="0" collapsed="false">
      <c r="A13" s="20"/>
      <c r="B13" s="20"/>
      <c r="C13" s="21"/>
      <c r="D13" s="16" t="str">
        <f aca="false">IF(OR(A13="",B13="",C13=""),"",C13*IFERROR(INDEX(Malzemeler!$E$5:$E$154,MATCH(B13,Malzemeler!$A$5:$A$154,0)),0))</f>
        <v/>
      </c>
    </row>
    <row r="14" customFormat="false" ht="15" hidden="false" customHeight="false" outlineLevel="0" collapsed="false">
      <c r="A14" s="20"/>
      <c r="B14" s="20"/>
      <c r="C14" s="21"/>
      <c r="D14" s="16" t="str">
        <f aca="false">IF(OR(A14="",B14="",C14=""),"",C14*IFERROR(INDEX(Malzemeler!$E$5:$E$154,MATCH(B14,Malzemeler!$A$5:$A$154,0)),0))</f>
        <v/>
      </c>
    </row>
    <row r="15" customFormat="false" ht="15" hidden="false" customHeight="false" outlineLevel="0" collapsed="false">
      <c r="A15" s="20"/>
      <c r="B15" s="20"/>
      <c r="C15" s="21"/>
      <c r="D15" s="16" t="str">
        <f aca="false">IF(OR(A15="",B15="",C15=""),"",C15*IFERROR(INDEX(Malzemeler!$E$5:$E$154,MATCH(B15,Malzemeler!$A$5:$A$154,0)),0))</f>
        <v/>
      </c>
    </row>
    <row r="16" customFormat="false" ht="15" hidden="false" customHeight="false" outlineLevel="0" collapsed="false">
      <c r="A16" s="20"/>
      <c r="B16" s="20"/>
      <c r="C16" s="21"/>
      <c r="D16" s="16" t="str">
        <f aca="false">IF(OR(A16="",B16="",C16=""),"",C16*IFERROR(INDEX(Malzemeler!$E$5:$E$154,MATCH(B16,Malzemeler!$A$5:$A$154,0)),0))</f>
        <v/>
      </c>
    </row>
    <row r="17" customFormat="false" ht="15" hidden="false" customHeight="false" outlineLevel="0" collapsed="false">
      <c r="A17" s="20"/>
      <c r="B17" s="20"/>
      <c r="C17" s="21"/>
      <c r="D17" s="16" t="str">
        <f aca="false">IF(OR(A17="",B17="",C17=""),"",C17*IFERROR(INDEX(Malzemeler!$E$5:$E$154,MATCH(B17,Malzemeler!$A$5:$A$154,0)),0))</f>
        <v/>
      </c>
    </row>
    <row r="18" customFormat="false" ht="15" hidden="false" customHeight="false" outlineLevel="0" collapsed="false">
      <c r="A18" s="20"/>
      <c r="B18" s="20"/>
      <c r="C18" s="21"/>
      <c r="D18" s="16" t="str">
        <f aca="false">IF(OR(A18="",B18="",C18=""),"",C18*IFERROR(INDEX(Malzemeler!$E$5:$E$154,MATCH(B18,Malzemeler!$A$5:$A$154,0)),0))</f>
        <v/>
      </c>
    </row>
    <row r="19" customFormat="false" ht="15" hidden="false" customHeight="false" outlineLevel="0" collapsed="false">
      <c r="A19" s="20"/>
      <c r="B19" s="20"/>
      <c r="C19" s="21"/>
      <c r="D19" s="16" t="str">
        <f aca="false">IF(OR(A19="",B19="",C19=""),"",C19*IFERROR(INDEX(Malzemeler!$E$5:$E$154,MATCH(B19,Malzemeler!$A$5:$A$154,0)),0))</f>
        <v/>
      </c>
    </row>
    <row r="20" customFormat="false" ht="15" hidden="false" customHeight="false" outlineLevel="0" collapsed="false">
      <c r="A20" s="20"/>
      <c r="B20" s="20"/>
      <c r="C20" s="21"/>
      <c r="D20" s="16" t="str">
        <f aca="false">IF(OR(A20="",B20="",C20=""),"",C20*IFERROR(INDEX(Malzemeler!$E$5:$E$154,MATCH(B20,Malzemeler!$A$5:$A$154,0)),0))</f>
        <v/>
      </c>
    </row>
    <row r="21" customFormat="false" ht="15" hidden="false" customHeight="false" outlineLevel="0" collapsed="false">
      <c r="A21" s="20"/>
      <c r="B21" s="20"/>
      <c r="C21" s="21"/>
      <c r="D21" s="16" t="str">
        <f aca="false">IF(OR(A21="",B21="",C21=""),"",C21*IFERROR(INDEX(Malzemeler!$E$5:$E$154,MATCH(B21,Malzemeler!$A$5:$A$154,0)),0))</f>
        <v/>
      </c>
    </row>
    <row r="22" customFormat="false" ht="15" hidden="false" customHeight="false" outlineLevel="0" collapsed="false">
      <c r="A22" s="20"/>
      <c r="B22" s="20"/>
      <c r="C22" s="21"/>
      <c r="D22" s="16" t="str">
        <f aca="false">IF(OR(A22="",B22="",C22=""),"",C22*IFERROR(INDEX(Malzemeler!$E$5:$E$154,MATCH(B22,Malzemeler!$A$5:$A$154,0)),0))</f>
        <v/>
      </c>
    </row>
    <row r="23" customFormat="false" ht="15" hidden="false" customHeight="false" outlineLevel="0" collapsed="false">
      <c r="A23" s="20"/>
      <c r="B23" s="20"/>
      <c r="C23" s="21"/>
      <c r="D23" s="16" t="str">
        <f aca="false">IF(OR(A23="",B23="",C23=""),"",C23*IFERROR(INDEX(Malzemeler!$E$5:$E$154,MATCH(B23,Malzemeler!$A$5:$A$154,0)),0))</f>
        <v/>
      </c>
    </row>
    <row r="24" customFormat="false" ht="15" hidden="false" customHeight="false" outlineLevel="0" collapsed="false">
      <c r="A24" s="20"/>
      <c r="B24" s="20"/>
      <c r="C24" s="21"/>
      <c r="D24" s="16" t="str">
        <f aca="false">IF(OR(A24="",B24="",C24=""),"",C24*IFERROR(INDEX(Malzemeler!$E$5:$E$154,MATCH(B24,Malzemeler!$A$5:$A$154,0)),0))</f>
        <v/>
      </c>
    </row>
    <row r="25" customFormat="false" ht="15" hidden="false" customHeight="false" outlineLevel="0" collapsed="false">
      <c r="A25" s="20"/>
      <c r="B25" s="20"/>
      <c r="C25" s="21"/>
      <c r="D25" s="16" t="str">
        <f aca="false">IF(OR(A25="",B25="",C25=""),"",C25*IFERROR(INDEX(Malzemeler!$E$5:$E$154,MATCH(B25,Malzemeler!$A$5:$A$154,0)),0))</f>
        <v/>
      </c>
    </row>
    <row r="26" customFormat="false" ht="15" hidden="false" customHeight="false" outlineLevel="0" collapsed="false">
      <c r="A26" s="20"/>
      <c r="B26" s="20"/>
      <c r="C26" s="21"/>
      <c r="D26" s="16" t="str">
        <f aca="false">IF(OR(A26="",B26="",C26=""),"",C26*IFERROR(INDEX(Malzemeler!$E$5:$E$154,MATCH(B26,Malzemeler!$A$5:$A$154,0)),0))</f>
        <v/>
      </c>
    </row>
    <row r="27" customFormat="false" ht="15" hidden="false" customHeight="false" outlineLevel="0" collapsed="false">
      <c r="A27" s="20"/>
      <c r="B27" s="20"/>
      <c r="C27" s="21"/>
      <c r="D27" s="16" t="str">
        <f aca="false">IF(OR(A27="",B27="",C27=""),"",C27*IFERROR(INDEX(Malzemeler!$E$5:$E$154,MATCH(B27,Malzemeler!$A$5:$A$154,0)),0))</f>
        <v/>
      </c>
    </row>
    <row r="28" customFormat="false" ht="15" hidden="false" customHeight="false" outlineLevel="0" collapsed="false">
      <c r="A28" s="20"/>
      <c r="B28" s="20"/>
      <c r="C28" s="21"/>
      <c r="D28" s="16" t="str">
        <f aca="false">IF(OR(A28="",B28="",C28=""),"",C28*IFERROR(INDEX(Malzemeler!$E$5:$E$154,MATCH(B28,Malzemeler!$A$5:$A$154,0)),0))</f>
        <v/>
      </c>
    </row>
    <row r="29" customFormat="false" ht="15" hidden="false" customHeight="false" outlineLevel="0" collapsed="false">
      <c r="A29" s="20"/>
      <c r="B29" s="20"/>
      <c r="C29" s="21"/>
      <c r="D29" s="16" t="str">
        <f aca="false">IF(OR(A29="",B29="",C29=""),"",C29*IFERROR(INDEX(Malzemeler!$E$5:$E$154,MATCH(B29,Malzemeler!$A$5:$A$154,0)),0))</f>
        <v/>
      </c>
    </row>
    <row r="30" customFormat="false" ht="15" hidden="false" customHeight="false" outlineLevel="0" collapsed="false">
      <c r="A30" s="20"/>
      <c r="B30" s="20"/>
      <c r="C30" s="21"/>
      <c r="D30" s="16" t="str">
        <f aca="false">IF(OR(A30="",B30="",C30=""),"",C30*IFERROR(INDEX(Malzemeler!$E$5:$E$154,MATCH(B30,Malzemeler!$A$5:$A$154,0)),0))</f>
        <v/>
      </c>
    </row>
    <row r="31" customFormat="false" ht="15" hidden="false" customHeight="false" outlineLevel="0" collapsed="false">
      <c r="A31" s="20"/>
      <c r="B31" s="20"/>
      <c r="C31" s="21"/>
      <c r="D31" s="16" t="str">
        <f aca="false">IF(OR(A31="",B31="",C31=""),"",C31*IFERROR(INDEX(Malzemeler!$E$5:$E$154,MATCH(B31,Malzemeler!$A$5:$A$154,0)),0))</f>
        <v/>
      </c>
    </row>
    <row r="32" customFormat="false" ht="15" hidden="false" customHeight="false" outlineLevel="0" collapsed="false">
      <c r="A32" s="20"/>
      <c r="B32" s="20"/>
      <c r="C32" s="21"/>
      <c r="D32" s="16" t="str">
        <f aca="false">IF(OR(A32="",B32="",C32=""),"",C32*IFERROR(INDEX(Malzemeler!$E$5:$E$154,MATCH(B32,Malzemeler!$A$5:$A$154,0)),0))</f>
        <v/>
      </c>
    </row>
    <row r="33" customFormat="false" ht="15" hidden="false" customHeight="false" outlineLevel="0" collapsed="false">
      <c r="A33" s="20"/>
      <c r="B33" s="20"/>
      <c r="C33" s="21"/>
      <c r="D33" s="16" t="str">
        <f aca="false">IF(OR(A33="",B33="",C33=""),"",C33*IFERROR(INDEX(Malzemeler!$E$5:$E$154,MATCH(B33,Malzemeler!$A$5:$A$154,0)),0))</f>
        <v/>
      </c>
    </row>
    <row r="34" customFormat="false" ht="15" hidden="false" customHeight="false" outlineLevel="0" collapsed="false">
      <c r="A34" s="20"/>
      <c r="B34" s="20"/>
      <c r="C34" s="21"/>
      <c r="D34" s="16" t="str">
        <f aca="false">IF(OR(A34="",B34="",C34=""),"",C34*IFERROR(INDEX(Malzemeler!$E$5:$E$154,MATCH(B34,Malzemeler!$A$5:$A$154,0)),0))</f>
        <v/>
      </c>
    </row>
    <row r="35" customFormat="false" ht="15" hidden="false" customHeight="false" outlineLevel="0" collapsed="false">
      <c r="A35" s="20"/>
      <c r="B35" s="20"/>
      <c r="C35" s="21"/>
      <c r="D35" s="16" t="str">
        <f aca="false">IF(OR(A35="",B35="",C35=""),"",C35*IFERROR(INDEX(Malzemeler!$E$5:$E$154,MATCH(B35,Malzemeler!$A$5:$A$154,0)),0))</f>
        <v/>
      </c>
    </row>
    <row r="36" customFormat="false" ht="15" hidden="false" customHeight="false" outlineLevel="0" collapsed="false">
      <c r="A36" s="20"/>
      <c r="B36" s="20"/>
      <c r="C36" s="21"/>
      <c r="D36" s="16" t="str">
        <f aca="false">IF(OR(A36="",B36="",C36=""),"",C36*IFERROR(INDEX(Malzemeler!$E$5:$E$154,MATCH(B36,Malzemeler!$A$5:$A$154,0)),0))</f>
        <v/>
      </c>
    </row>
    <row r="37" customFormat="false" ht="15" hidden="false" customHeight="false" outlineLevel="0" collapsed="false">
      <c r="A37" s="20"/>
      <c r="B37" s="20"/>
      <c r="C37" s="21"/>
      <c r="D37" s="16" t="str">
        <f aca="false">IF(OR(A37="",B37="",C37=""),"",C37*IFERROR(INDEX(Malzemeler!$E$5:$E$154,MATCH(B37,Malzemeler!$A$5:$A$154,0)),0))</f>
        <v/>
      </c>
    </row>
    <row r="38" customFormat="false" ht="15" hidden="false" customHeight="false" outlineLevel="0" collapsed="false">
      <c r="A38" s="20"/>
      <c r="B38" s="20"/>
      <c r="C38" s="21"/>
      <c r="D38" s="16" t="str">
        <f aca="false">IF(OR(A38="",B38="",C38=""),"",C38*IFERROR(INDEX(Malzemeler!$E$5:$E$154,MATCH(B38,Malzemeler!$A$5:$A$154,0)),0))</f>
        <v/>
      </c>
    </row>
    <row r="39" customFormat="false" ht="15" hidden="false" customHeight="false" outlineLevel="0" collapsed="false">
      <c r="A39" s="20"/>
      <c r="B39" s="20"/>
      <c r="C39" s="21"/>
      <c r="D39" s="16" t="str">
        <f aca="false">IF(OR(A39="",B39="",C39=""),"",C39*IFERROR(INDEX(Malzemeler!$E$5:$E$154,MATCH(B39,Malzemeler!$A$5:$A$154,0)),0))</f>
        <v/>
      </c>
    </row>
    <row r="40" customFormat="false" ht="15" hidden="false" customHeight="false" outlineLevel="0" collapsed="false">
      <c r="A40" s="20"/>
      <c r="B40" s="20"/>
      <c r="C40" s="21"/>
      <c r="D40" s="16" t="str">
        <f aca="false">IF(OR(A40="",B40="",C40=""),"",C40*IFERROR(INDEX(Malzemeler!$E$5:$E$154,MATCH(B40,Malzemeler!$A$5:$A$154,0)),0))</f>
        <v/>
      </c>
    </row>
    <row r="41" customFormat="false" ht="15" hidden="false" customHeight="false" outlineLevel="0" collapsed="false">
      <c r="A41" s="20"/>
      <c r="B41" s="20"/>
      <c r="C41" s="21"/>
      <c r="D41" s="16" t="str">
        <f aca="false">IF(OR(A41="",B41="",C41=""),"",C41*IFERROR(INDEX(Malzemeler!$E$5:$E$154,MATCH(B41,Malzemeler!$A$5:$A$154,0)),0))</f>
        <v/>
      </c>
    </row>
    <row r="42" customFormat="false" ht="15" hidden="false" customHeight="false" outlineLevel="0" collapsed="false">
      <c r="A42" s="20"/>
      <c r="B42" s="20"/>
      <c r="C42" s="21"/>
      <c r="D42" s="16" t="str">
        <f aca="false">IF(OR(A42="",B42="",C42=""),"",C42*IFERROR(INDEX(Malzemeler!$E$5:$E$154,MATCH(B42,Malzemeler!$A$5:$A$154,0)),0))</f>
        <v/>
      </c>
    </row>
    <row r="43" customFormat="false" ht="15" hidden="false" customHeight="false" outlineLevel="0" collapsed="false">
      <c r="A43" s="20"/>
      <c r="B43" s="20"/>
      <c r="C43" s="21"/>
      <c r="D43" s="16" t="str">
        <f aca="false">IF(OR(A43="",B43="",C43=""),"",C43*IFERROR(INDEX(Malzemeler!$E$5:$E$154,MATCH(B43,Malzemeler!$A$5:$A$154,0)),0))</f>
        <v/>
      </c>
    </row>
    <row r="44" customFormat="false" ht="15" hidden="false" customHeight="false" outlineLevel="0" collapsed="false">
      <c r="A44" s="20"/>
      <c r="B44" s="20"/>
      <c r="C44" s="21"/>
      <c r="D44" s="16" t="str">
        <f aca="false">IF(OR(A44="",B44="",C44=""),"",C44*IFERROR(INDEX(Malzemeler!$E$5:$E$154,MATCH(B44,Malzemeler!$A$5:$A$154,0)),0))</f>
        <v/>
      </c>
    </row>
    <row r="45" customFormat="false" ht="15" hidden="false" customHeight="false" outlineLevel="0" collapsed="false">
      <c r="A45" s="20"/>
      <c r="B45" s="20"/>
      <c r="C45" s="21"/>
      <c r="D45" s="16" t="str">
        <f aca="false">IF(OR(A45="",B45="",C45=""),"",C45*IFERROR(INDEX(Malzemeler!$E$5:$E$154,MATCH(B45,Malzemeler!$A$5:$A$154,0)),0))</f>
        <v/>
      </c>
    </row>
    <row r="46" customFormat="false" ht="15" hidden="false" customHeight="false" outlineLevel="0" collapsed="false">
      <c r="A46" s="20"/>
      <c r="B46" s="20"/>
      <c r="C46" s="21"/>
      <c r="D46" s="16" t="str">
        <f aca="false">IF(OR(A46="",B46="",C46=""),"",C46*IFERROR(INDEX(Malzemeler!$E$5:$E$154,MATCH(B46,Malzemeler!$A$5:$A$154,0)),0))</f>
        <v/>
      </c>
    </row>
    <row r="47" customFormat="false" ht="15" hidden="false" customHeight="false" outlineLevel="0" collapsed="false">
      <c r="A47" s="20"/>
      <c r="B47" s="20"/>
      <c r="C47" s="21"/>
      <c r="D47" s="16" t="str">
        <f aca="false">IF(OR(A47="",B47="",C47=""),"",C47*IFERROR(INDEX(Malzemeler!$E$5:$E$154,MATCH(B47,Malzemeler!$A$5:$A$154,0)),0))</f>
        <v/>
      </c>
    </row>
    <row r="48" customFormat="false" ht="15" hidden="false" customHeight="false" outlineLevel="0" collapsed="false">
      <c r="A48" s="20"/>
      <c r="B48" s="20"/>
      <c r="C48" s="21"/>
      <c r="D48" s="16" t="str">
        <f aca="false">IF(OR(A48="",B48="",C48=""),"",C48*IFERROR(INDEX(Malzemeler!$E$5:$E$154,MATCH(B48,Malzemeler!$A$5:$A$154,0)),0))</f>
        <v/>
      </c>
    </row>
    <row r="49" customFormat="false" ht="15" hidden="false" customHeight="false" outlineLevel="0" collapsed="false">
      <c r="A49" s="20"/>
      <c r="B49" s="20"/>
      <c r="C49" s="21"/>
      <c r="D49" s="16" t="str">
        <f aca="false">IF(OR(A49="",B49="",C49=""),"",C49*IFERROR(INDEX(Malzemeler!$E$5:$E$154,MATCH(B49,Malzemeler!$A$5:$A$154,0)),0))</f>
        <v/>
      </c>
    </row>
    <row r="50" customFormat="false" ht="15" hidden="false" customHeight="false" outlineLevel="0" collapsed="false">
      <c r="A50" s="20"/>
      <c r="B50" s="20"/>
      <c r="C50" s="21"/>
      <c r="D50" s="16" t="str">
        <f aca="false">IF(OR(A50="",B50="",C50=""),"",C50*IFERROR(INDEX(Malzemeler!$E$5:$E$154,MATCH(B50,Malzemeler!$A$5:$A$154,0)),0))</f>
        <v/>
      </c>
    </row>
    <row r="51" customFormat="false" ht="15" hidden="false" customHeight="false" outlineLevel="0" collapsed="false">
      <c r="A51" s="20"/>
      <c r="B51" s="20"/>
      <c r="C51" s="21"/>
      <c r="D51" s="16" t="str">
        <f aca="false">IF(OR(A51="",B51="",C51=""),"",C51*IFERROR(INDEX(Malzemeler!$E$5:$E$154,MATCH(B51,Malzemeler!$A$5:$A$154,0)),0))</f>
        <v/>
      </c>
    </row>
    <row r="52" customFormat="false" ht="15" hidden="false" customHeight="false" outlineLevel="0" collapsed="false">
      <c r="A52" s="20"/>
      <c r="B52" s="20"/>
      <c r="C52" s="21"/>
      <c r="D52" s="16" t="str">
        <f aca="false">IF(OR(A52="",B52="",C52=""),"",C52*IFERROR(INDEX(Malzemeler!$E$5:$E$154,MATCH(B52,Malzemeler!$A$5:$A$154,0)),0))</f>
        <v/>
      </c>
    </row>
    <row r="53" customFormat="false" ht="15" hidden="false" customHeight="false" outlineLevel="0" collapsed="false">
      <c r="A53" s="20"/>
      <c r="B53" s="20"/>
      <c r="C53" s="21"/>
      <c r="D53" s="16" t="str">
        <f aca="false">IF(OR(A53="",B53="",C53=""),"",C53*IFERROR(INDEX(Malzemeler!$E$5:$E$154,MATCH(B53,Malzemeler!$A$5:$A$154,0)),0))</f>
        <v/>
      </c>
    </row>
    <row r="54" customFormat="false" ht="15" hidden="false" customHeight="false" outlineLevel="0" collapsed="false">
      <c r="A54" s="20"/>
      <c r="B54" s="20"/>
      <c r="C54" s="21"/>
      <c r="D54" s="16" t="str">
        <f aca="false">IF(OR(A54="",B54="",C54=""),"",C54*IFERROR(INDEX(Malzemeler!$E$5:$E$154,MATCH(B54,Malzemeler!$A$5:$A$154,0)),0))</f>
        <v/>
      </c>
    </row>
    <row r="55" customFormat="false" ht="15" hidden="false" customHeight="false" outlineLevel="0" collapsed="false">
      <c r="A55" s="20"/>
      <c r="B55" s="20"/>
      <c r="C55" s="21"/>
      <c r="D55" s="16" t="str">
        <f aca="false">IF(OR(A55="",B55="",C55=""),"",C55*IFERROR(INDEX(Malzemeler!$E$5:$E$154,MATCH(B55,Malzemeler!$A$5:$A$154,0)),0))</f>
        <v/>
      </c>
    </row>
    <row r="56" customFormat="false" ht="15" hidden="false" customHeight="false" outlineLevel="0" collapsed="false">
      <c r="A56" s="20"/>
      <c r="B56" s="20"/>
      <c r="C56" s="21"/>
      <c r="D56" s="16" t="str">
        <f aca="false">IF(OR(A56="",B56="",C56=""),"",C56*IFERROR(INDEX(Malzemeler!$E$5:$E$154,MATCH(B56,Malzemeler!$A$5:$A$154,0)),0))</f>
        <v/>
      </c>
    </row>
    <row r="57" customFormat="false" ht="15" hidden="false" customHeight="false" outlineLevel="0" collapsed="false">
      <c r="A57" s="20"/>
      <c r="B57" s="20"/>
      <c r="C57" s="21"/>
      <c r="D57" s="16" t="str">
        <f aca="false">IF(OR(A57="",B57="",C57=""),"",C57*IFERROR(INDEX(Malzemeler!$E$5:$E$154,MATCH(B57,Malzemeler!$A$5:$A$154,0)),0))</f>
        <v/>
      </c>
    </row>
    <row r="58" customFormat="false" ht="15" hidden="false" customHeight="false" outlineLevel="0" collapsed="false">
      <c r="A58" s="20"/>
      <c r="B58" s="20"/>
      <c r="C58" s="21"/>
      <c r="D58" s="16" t="str">
        <f aca="false">IF(OR(A58="",B58="",C58=""),"",C58*IFERROR(INDEX(Malzemeler!$E$5:$E$154,MATCH(B58,Malzemeler!$A$5:$A$154,0)),0))</f>
        <v/>
      </c>
    </row>
    <row r="59" customFormat="false" ht="15" hidden="false" customHeight="false" outlineLevel="0" collapsed="false">
      <c r="A59" s="20"/>
      <c r="B59" s="20"/>
      <c r="C59" s="21"/>
      <c r="D59" s="16" t="str">
        <f aca="false">IF(OR(A59="",B59="",C59=""),"",C59*IFERROR(INDEX(Malzemeler!$E$5:$E$154,MATCH(B59,Malzemeler!$A$5:$A$154,0)),0))</f>
        <v/>
      </c>
    </row>
    <row r="60" customFormat="false" ht="15" hidden="false" customHeight="false" outlineLevel="0" collapsed="false">
      <c r="A60" s="20"/>
      <c r="B60" s="20"/>
      <c r="C60" s="21"/>
      <c r="D60" s="16" t="str">
        <f aca="false">IF(OR(A60="",B60="",C60=""),"",C60*IFERROR(INDEX(Malzemeler!$E$5:$E$154,MATCH(B60,Malzemeler!$A$5:$A$154,0)),0))</f>
        <v/>
      </c>
    </row>
    <row r="61" customFormat="false" ht="15" hidden="false" customHeight="false" outlineLevel="0" collapsed="false">
      <c r="A61" s="20"/>
      <c r="B61" s="20"/>
      <c r="C61" s="21"/>
      <c r="D61" s="16" t="str">
        <f aca="false">IF(OR(A61="",B61="",C61=""),"",C61*IFERROR(INDEX(Malzemeler!$E$5:$E$154,MATCH(B61,Malzemeler!$A$5:$A$154,0)),0))</f>
        <v/>
      </c>
    </row>
    <row r="62" customFormat="false" ht="15" hidden="false" customHeight="false" outlineLevel="0" collapsed="false">
      <c r="A62" s="20"/>
      <c r="B62" s="20"/>
      <c r="C62" s="21"/>
      <c r="D62" s="16" t="str">
        <f aca="false">IF(OR(A62="",B62="",C62=""),"",C62*IFERROR(INDEX(Malzemeler!$E$5:$E$154,MATCH(B62,Malzemeler!$A$5:$A$154,0)),0))</f>
        <v/>
      </c>
    </row>
    <row r="63" customFormat="false" ht="15" hidden="false" customHeight="false" outlineLevel="0" collapsed="false">
      <c r="A63" s="20"/>
      <c r="B63" s="20"/>
      <c r="C63" s="21"/>
      <c r="D63" s="16" t="str">
        <f aca="false">IF(OR(A63="",B63="",C63=""),"",C63*IFERROR(INDEX(Malzemeler!$E$5:$E$154,MATCH(B63,Malzemeler!$A$5:$A$154,0)),0))</f>
        <v/>
      </c>
    </row>
    <row r="64" customFormat="false" ht="15" hidden="false" customHeight="false" outlineLevel="0" collapsed="false">
      <c r="A64" s="20"/>
      <c r="B64" s="20"/>
      <c r="C64" s="21"/>
      <c r="D64" s="16" t="str">
        <f aca="false">IF(OR(A64="",B64="",C64=""),"",C64*IFERROR(INDEX(Malzemeler!$E$5:$E$154,MATCH(B64,Malzemeler!$A$5:$A$154,0)),0))</f>
        <v/>
      </c>
    </row>
    <row r="65" customFormat="false" ht="15" hidden="false" customHeight="false" outlineLevel="0" collapsed="false">
      <c r="A65" s="20"/>
      <c r="B65" s="20"/>
      <c r="C65" s="21"/>
      <c r="D65" s="16" t="str">
        <f aca="false">IF(OR(A65="",B65="",C65=""),"",C65*IFERROR(INDEX(Malzemeler!$E$5:$E$154,MATCH(B65,Malzemeler!$A$5:$A$154,0)),0))</f>
        <v/>
      </c>
    </row>
    <row r="66" customFormat="false" ht="15" hidden="false" customHeight="false" outlineLevel="0" collapsed="false">
      <c r="A66" s="20"/>
      <c r="B66" s="20"/>
      <c r="C66" s="21"/>
      <c r="D66" s="16" t="str">
        <f aca="false">IF(OR(A66="",B66="",C66=""),"",C66*IFERROR(INDEX(Malzemeler!$E$5:$E$154,MATCH(B66,Malzemeler!$A$5:$A$154,0)),0))</f>
        <v/>
      </c>
    </row>
    <row r="67" customFormat="false" ht="15" hidden="false" customHeight="false" outlineLevel="0" collapsed="false">
      <c r="A67" s="20"/>
      <c r="B67" s="20"/>
      <c r="C67" s="21"/>
      <c r="D67" s="16" t="str">
        <f aca="false">IF(OR(A67="",B67="",C67=""),"",C67*IFERROR(INDEX(Malzemeler!$E$5:$E$154,MATCH(B67,Malzemeler!$A$5:$A$154,0)),0))</f>
        <v/>
      </c>
    </row>
    <row r="68" customFormat="false" ht="15" hidden="false" customHeight="false" outlineLevel="0" collapsed="false">
      <c r="A68" s="20"/>
      <c r="B68" s="20"/>
      <c r="C68" s="21"/>
      <c r="D68" s="16" t="str">
        <f aca="false">IF(OR(A68="",B68="",C68=""),"",C68*IFERROR(INDEX(Malzemeler!$E$5:$E$154,MATCH(B68,Malzemeler!$A$5:$A$154,0)),0))</f>
        <v/>
      </c>
    </row>
    <row r="69" customFormat="false" ht="15" hidden="false" customHeight="false" outlineLevel="0" collapsed="false">
      <c r="A69" s="20"/>
      <c r="B69" s="20"/>
      <c r="C69" s="21"/>
      <c r="D69" s="16" t="str">
        <f aca="false">IF(OR(A69="",B69="",C69=""),"",C69*IFERROR(INDEX(Malzemeler!$E$5:$E$154,MATCH(B69,Malzemeler!$A$5:$A$154,0)),0))</f>
        <v/>
      </c>
    </row>
    <row r="70" customFormat="false" ht="15" hidden="false" customHeight="false" outlineLevel="0" collapsed="false">
      <c r="A70" s="20"/>
      <c r="B70" s="20"/>
      <c r="C70" s="21"/>
      <c r="D70" s="16" t="str">
        <f aca="false">IF(OR(A70="",B70="",C70=""),"",C70*IFERROR(INDEX(Malzemeler!$E$5:$E$154,MATCH(B70,Malzemeler!$A$5:$A$154,0)),0))</f>
        <v/>
      </c>
    </row>
    <row r="71" customFormat="false" ht="15" hidden="false" customHeight="false" outlineLevel="0" collapsed="false">
      <c r="A71" s="20"/>
      <c r="B71" s="20"/>
      <c r="C71" s="21"/>
      <c r="D71" s="16" t="str">
        <f aca="false">IF(OR(A71="",B71="",C71=""),"",C71*IFERROR(INDEX(Malzemeler!$E$5:$E$154,MATCH(B71,Malzemeler!$A$5:$A$154,0)),0))</f>
        <v/>
      </c>
    </row>
    <row r="72" customFormat="false" ht="15" hidden="false" customHeight="false" outlineLevel="0" collapsed="false">
      <c r="A72" s="20"/>
      <c r="B72" s="20"/>
      <c r="C72" s="21"/>
      <c r="D72" s="16" t="str">
        <f aca="false">IF(OR(A72="",B72="",C72=""),"",C72*IFERROR(INDEX(Malzemeler!$E$5:$E$154,MATCH(B72,Malzemeler!$A$5:$A$154,0)),0))</f>
        <v/>
      </c>
    </row>
    <row r="73" customFormat="false" ht="15" hidden="false" customHeight="false" outlineLevel="0" collapsed="false">
      <c r="A73" s="20"/>
      <c r="B73" s="20"/>
      <c r="C73" s="21"/>
      <c r="D73" s="16" t="str">
        <f aca="false">IF(OR(A73="",B73="",C73=""),"",C73*IFERROR(INDEX(Malzemeler!$E$5:$E$154,MATCH(B73,Malzemeler!$A$5:$A$154,0)),0))</f>
        <v/>
      </c>
    </row>
    <row r="74" customFormat="false" ht="15" hidden="false" customHeight="false" outlineLevel="0" collapsed="false">
      <c r="A74" s="20"/>
      <c r="B74" s="20"/>
      <c r="C74" s="21"/>
      <c r="D74" s="16" t="str">
        <f aca="false">IF(OR(A74="",B74="",C74=""),"",C74*IFERROR(INDEX(Malzemeler!$E$5:$E$154,MATCH(B74,Malzemeler!$A$5:$A$154,0)),0))</f>
        <v/>
      </c>
    </row>
    <row r="75" customFormat="false" ht="15" hidden="false" customHeight="false" outlineLevel="0" collapsed="false">
      <c r="A75" s="20"/>
      <c r="B75" s="20"/>
      <c r="C75" s="21"/>
      <c r="D75" s="16" t="str">
        <f aca="false">IF(OR(A75="",B75="",C75=""),"",C75*IFERROR(INDEX(Malzemeler!$E$5:$E$154,MATCH(B75,Malzemeler!$A$5:$A$154,0)),0))</f>
        <v/>
      </c>
    </row>
    <row r="76" customFormat="false" ht="15" hidden="false" customHeight="false" outlineLevel="0" collapsed="false">
      <c r="A76" s="20"/>
      <c r="B76" s="20"/>
      <c r="C76" s="21"/>
      <c r="D76" s="16" t="str">
        <f aca="false">IF(OR(A76="",B76="",C76=""),"",C76*IFERROR(INDEX(Malzemeler!$E$5:$E$154,MATCH(B76,Malzemeler!$A$5:$A$154,0)),0))</f>
        <v/>
      </c>
    </row>
    <row r="77" customFormat="false" ht="15" hidden="false" customHeight="false" outlineLevel="0" collapsed="false">
      <c r="A77" s="20"/>
      <c r="B77" s="20"/>
      <c r="C77" s="21"/>
      <c r="D77" s="16" t="str">
        <f aca="false">IF(OR(A77="",B77="",C77=""),"",C77*IFERROR(INDEX(Malzemeler!$E$5:$E$154,MATCH(B77,Malzemeler!$A$5:$A$154,0)),0))</f>
        <v/>
      </c>
    </row>
    <row r="78" customFormat="false" ht="15" hidden="false" customHeight="false" outlineLevel="0" collapsed="false">
      <c r="A78" s="20"/>
      <c r="B78" s="20"/>
      <c r="C78" s="21"/>
      <c r="D78" s="16" t="str">
        <f aca="false">IF(OR(A78="",B78="",C78=""),"",C78*IFERROR(INDEX(Malzemeler!$E$5:$E$154,MATCH(B78,Malzemeler!$A$5:$A$154,0)),0))</f>
        <v/>
      </c>
    </row>
    <row r="79" customFormat="false" ht="15" hidden="false" customHeight="false" outlineLevel="0" collapsed="false">
      <c r="A79" s="20"/>
      <c r="B79" s="20"/>
      <c r="C79" s="21"/>
      <c r="D79" s="16" t="str">
        <f aca="false">IF(OR(A79="",B79="",C79=""),"",C79*IFERROR(INDEX(Malzemeler!$E$5:$E$154,MATCH(B79,Malzemeler!$A$5:$A$154,0)),0))</f>
        <v/>
      </c>
    </row>
    <row r="80" customFormat="false" ht="15" hidden="false" customHeight="false" outlineLevel="0" collapsed="false">
      <c r="A80" s="20"/>
      <c r="B80" s="20"/>
      <c r="C80" s="21"/>
      <c r="D80" s="16" t="str">
        <f aca="false">IF(OR(A80="",B80="",C80=""),"",C80*IFERROR(INDEX(Malzemeler!$E$5:$E$154,MATCH(B80,Malzemeler!$A$5:$A$154,0)),0))</f>
        <v/>
      </c>
    </row>
    <row r="81" customFormat="false" ht="15" hidden="false" customHeight="false" outlineLevel="0" collapsed="false">
      <c r="A81" s="20"/>
      <c r="B81" s="20"/>
      <c r="C81" s="21"/>
      <c r="D81" s="16" t="str">
        <f aca="false">IF(OR(A81="",B81="",C81=""),"",C81*IFERROR(INDEX(Malzemeler!$E$5:$E$154,MATCH(B81,Malzemeler!$A$5:$A$154,0)),0))</f>
        <v/>
      </c>
    </row>
    <row r="82" customFormat="false" ht="15" hidden="false" customHeight="false" outlineLevel="0" collapsed="false">
      <c r="A82" s="20"/>
      <c r="B82" s="20"/>
      <c r="C82" s="21"/>
      <c r="D82" s="16" t="str">
        <f aca="false">IF(OR(A82="",B82="",C82=""),"",C82*IFERROR(INDEX(Malzemeler!$E$5:$E$154,MATCH(B82,Malzemeler!$A$5:$A$154,0)),0))</f>
        <v/>
      </c>
    </row>
    <row r="83" customFormat="false" ht="15" hidden="false" customHeight="false" outlineLevel="0" collapsed="false">
      <c r="A83" s="20"/>
      <c r="B83" s="20"/>
      <c r="C83" s="21"/>
      <c r="D83" s="16" t="str">
        <f aca="false">IF(OR(A83="",B83="",C83=""),"",C83*IFERROR(INDEX(Malzemeler!$E$5:$E$154,MATCH(B83,Malzemeler!$A$5:$A$154,0)),0))</f>
        <v/>
      </c>
    </row>
    <row r="84" customFormat="false" ht="15" hidden="false" customHeight="false" outlineLevel="0" collapsed="false">
      <c r="A84" s="20"/>
      <c r="B84" s="20"/>
      <c r="C84" s="21"/>
      <c r="D84" s="16" t="str">
        <f aca="false">IF(OR(A84="",B84="",C84=""),"",C84*IFERROR(INDEX(Malzemeler!$E$5:$E$154,MATCH(B84,Malzemeler!$A$5:$A$154,0)),0))</f>
        <v/>
      </c>
    </row>
    <row r="85" customFormat="false" ht="15" hidden="false" customHeight="false" outlineLevel="0" collapsed="false">
      <c r="A85" s="20"/>
      <c r="B85" s="20"/>
      <c r="C85" s="21"/>
      <c r="D85" s="16" t="str">
        <f aca="false">IF(OR(A85="",B85="",C85=""),"",C85*IFERROR(INDEX(Malzemeler!$E$5:$E$154,MATCH(B85,Malzemeler!$A$5:$A$154,0)),0))</f>
        <v/>
      </c>
    </row>
    <row r="86" customFormat="false" ht="15" hidden="false" customHeight="false" outlineLevel="0" collapsed="false">
      <c r="A86" s="20"/>
      <c r="B86" s="20"/>
      <c r="C86" s="21"/>
      <c r="D86" s="16" t="str">
        <f aca="false">IF(OR(A86="",B86="",C86=""),"",C86*IFERROR(INDEX(Malzemeler!$E$5:$E$154,MATCH(B86,Malzemeler!$A$5:$A$154,0)),0))</f>
        <v/>
      </c>
    </row>
    <row r="87" customFormat="false" ht="15" hidden="false" customHeight="false" outlineLevel="0" collapsed="false">
      <c r="A87" s="20"/>
      <c r="B87" s="20"/>
      <c r="C87" s="21"/>
      <c r="D87" s="16" t="str">
        <f aca="false">IF(OR(A87="",B87="",C87=""),"",C87*IFERROR(INDEX(Malzemeler!$E$5:$E$154,MATCH(B87,Malzemeler!$A$5:$A$154,0)),0))</f>
        <v/>
      </c>
    </row>
    <row r="88" customFormat="false" ht="15" hidden="false" customHeight="false" outlineLevel="0" collapsed="false">
      <c r="A88" s="20"/>
      <c r="B88" s="20"/>
      <c r="C88" s="21"/>
      <c r="D88" s="16" t="str">
        <f aca="false">IF(OR(A88="",B88="",C88=""),"",C88*IFERROR(INDEX(Malzemeler!$E$5:$E$154,MATCH(B88,Malzemeler!$A$5:$A$154,0)),0))</f>
        <v/>
      </c>
    </row>
    <row r="89" customFormat="false" ht="15" hidden="false" customHeight="false" outlineLevel="0" collapsed="false">
      <c r="A89" s="20"/>
      <c r="B89" s="20"/>
      <c r="C89" s="21"/>
      <c r="D89" s="16" t="str">
        <f aca="false">IF(OR(A89="",B89="",C89=""),"",C89*IFERROR(INDEX(Malzemeler!$E$5:$E$154,MATCH(B89,Malzemeler!$A$5:$A$154,0)),0))</f>
        <v/>
      </c>
    </row>
    <row r="90" customFormat="false" ht="15" hidden="false" customHeight="false" outlineLevel="0" collapsed="false">
      <c r="A90" s="20"/>
      <c r="B90" s="20"/>
      <c r="C90" s="21"/>
      <c r="D90" s="16" t="str">
        <f aca="false">IF(OR(A90="",B90="",C90=""),"",C90*IFERROR(INDEX(Malzemeler!$E$5:$E$154,MATCH(B90,Malzemeler!$A$5:$A$154,0)),0))</f>
        <v/>
      </c>
    </row>
    <row r="91" customFormat="false" ht="15" hidden="false" customHeight="false" outlineLevel="0" collapsed="false">
      <c r="A91" s="20"/>
      <c r="B91" s="20"/>
      <c r="C91" s="21"/>
      <c r="D91" s="16" t="str">
        <f aca="false">IF(OR(A91="",B91="",C91=""),"",C91*IFERROR(INDEX(Malzemeler!$E$5:$E$154,MATCH(B91,Malzemeler!$A$5:$A$154,0)),0))</f>
        <v/>
      </c>
    </row>
    <row r="92" customFormat="false" ht="15" hidden="false" customHeight="false" outlineLevel="0" collapsed="false">
      <c r="A92" s="20"/>
      <c r="B92" s="20"/>
      <c r="C92" s="21"/>
      <c r="D92" s="16" t="str">
        <f aca="false">IF(OR(A92="",B92="",C92=""),"",C92*IFERROR(INDEX(Malzemeler!$E$5:$E$154,MATCH(B92,Malzemeler!$A$5:$A$154,0)),0))</f>
        <v/>
      </c>
    </row>
    <row r="93" customFormat="false" ht="15" hidden="false" customHeight="false" outlineLevel="0" collapsed="false">
      <c r="A93" s="20"/>
      <c r="B93" s="20"/>
      <c r="C93" s="21"/>
      <c r="D93" s="16" t="str">
        <f aca="false">IF(OR(A93="",B93="",C93=""),"",C93*IFERROR(INDEX(Malzemeler!$E$5:$E$154,MATCH(B93,Malzemeler!$A$5:$A$154,0)),0))</f>
        <v/>
      </c>
    </row>
    <row r="94" customFormat="false" ht="15" hidden="false" customHeight="false" outlineLevel="0" collapsed="false">
      <c r="A94" s="20"/>
      <c r="B94" s="20"/>
      <c r="C94" s="21"/>
      <c r="D94" s="16" t="str">
        <f aca="false">IF(OR(A94="",B94="",C94=""),"",C94*IFERROR(INDEX(Malzemeler!$E$5:$E$154,MATCH(B94,Malzemeler!$A$5:$A$154,0)),0))</f>
        <v/>
      </c>
    </row>
    <row r="95" customFormat="false" ht="15" hidden="false" customHeight="false" outlineLevel="0" collapsed="false">
      <c r="A95" s="20"/>
      <c r="B95" s="20"/>
      <c r="C95" s="21"/>
      <c r="D95" s="16" t="str">
        <f aca="false">IF(OR(A95="",B95="",C95=""),"",C95*IFERROR(INDEX(Malzemeler!$E$5:$E$154,MATCH(B95,Malzemeler!$A$5:$A$154,0)),0))</f>
        <v/>
      </c>
    </row>
    <row r="96" customFormat="false" ht="15" hidden="false" customHeight="false" outlineLevel="0" collapsed="false">
      <c r="A96" s="20"/>
      <c r="B96" s="20"/>
      <c r="C96" s="21"/>
      <c r="D96" s="16" t="str">
        <f aca="false">IF(OR(A96="",B96="",C96=""),"",C96*IFERROR(INDEX(Malzemeler!$E$5:$E$154,MATCH(B96,Malzemeler!$A$5:$A$154,0)),0))</f>
        <v/>
      </c>
    </row>
    <row r="97" customFormat="false" ht="15" hidden="false" customHeight="false" outlineLevel="0" collapsed="false">
      <c r="A97" s="20"/>
      <c r="B97" s="20"/>
      <c r="C97" s="21"/>
      <c r="D97" s="16" t="str">
        <f aca="false">IF(OR(A97="",B97="",C97=""),"",C97*IFERROR(INDEX(Malzemeler!$E$5:$E$154,MATCH(B97,Malzemeler!$A$5:$A$154,0)),0))</f>
        <v/>
      </c>
    </row>
    <row r="98" customFormat="false" ht="15" hidden="false" customHeight="false" outlineLevel="0" collapsed="false">
      <c r="A98" s="20"/>
      <c r="B98" s="20"/>
      <c r="C98" s="21"/>
      <c r="D98" s="16" t="str">
        <f aca="false">IF(OR(A98="",B98="",C98=""),"",C98*IFERROR(INDEX(Malzemeler!$E$5:$E$154,MATCH(B98,Malzemeler!$A$5:$A$154,0)),0))</f>
        <v/>
      </c>
    </row>
    <row r="99" customFormat="false" ht="15" hidden="false" customHeight="false" outlineLevel="0" collapsed="false">
      <c r="A99" s="20"/>
      <c r="B99" s="20"/>
      <c r="C99" s="21"/>
      <c r="D99" s="16" t="str">
        <f aca="false">IF(OR(A99="",B99="",C99=""),"",C99*IFERROR(INDEX(Malzemeler!$E$5:$E$154,MATCH(B99,Malzemeler!$A$5:$A$154,0)),0))</f>
        <v/>
      </c>
    </row>
    <row r="100" customFormat="false" ht="15" hidden="false" customHeight="false" outlineLevel="0" collapsed="false">
      <c r="A100" s="20"/>
      <c r="B100" s="20"/>
      <c r="C100" s="21"/>
      <c r="D100" s="16" t="str">
        <f aca="false">IF(OR(A100="",B100="",C100=""),"",C100*IFERROR(INDEX(Malzemeler!$E$5:$E$154,MATCH(B100,Malzemeler!$A$5:$A$154,0)),0))</f>
        <v/>
      </c>
    </row>
    <row r="101" customFormat="false" ht="15" hidden="false" customHeight="false" outlineLevel="0" collapsed="false">
      <c r="A101" s="20"/>
      <c r="B101" s="20"/>
      <c r="C101" s="21"/>
      <c r="D101" s="16" t="str">
        <f aca="false">IF(OR(A101="",B101="",C101=""),"",C101*IFERROR(INDEX(Malzemeler!$E$5:$E$154,MATCH(B101,Malzemeler!$A$5:$A$154,0)),0))</f>
        <v/>
      </c>
    </row>
    <row r="102" customFormat="false" ht="15" hidden="false" customHeight="false" outlineLevel="0" collapsed="false">
      <c r="A102" s="20"/>
      <c r="B102" s="20"/>
      <c r="C102" s="21"/>
      <c r="D102" s="16" t="str">
        <f aca="false">IF(OR(A102="",B102="",C102=""),"",C102*IFERROR(INDEX(Malzemeler!$E$5:$E$154,MATCH(B102,Malzemeler!$A$5:$A$154,0)),0))</f>
        <v/>
      </c>
    </row>
    <row r="103" customFormat="false" ht="15" hidden="false" customHeight="false" outlineLevel="0" collapsed="false">
      <c r="A103" s="20"/>
      <c r="B103" s="20"/>
      <c r="C103" s="21"/>
      <c r="D103" s="16" t="str">
        <f aca="false">IF(OR(A103="",B103="",C103=""),"",C103*IFERROR(INDEX(Malzemeler!$E$5:$E$154,MATCH(B103,Malzemeler!$A$5:$A$154,0)),0))</f>
        <v/>
      </c>
    </row>
    <row r="104" customFormat="false" ht="15" hidden="false" customHeight="false" outlineLevel="0" collapsed="false">
      <c r="A104" s="20"/>
      <c r="B104" s="20"/>
      <c r="C104" s="21"/>
      <c r="D104" s="16" t="str">
        <f aca="false">IF(OR(A104="",B104="",C104=""),"",C104*IFERROR(INDEX(Malzemeler!$E$5:$E$154,MATCH(B104,Malzemeler!$A$5:$A$154,0)),0))</f>
        <v/>
      </c>
    </row>
    <row r="105" customFormat="false" ht="15" hidden="false" customHeight="false" outlineLevel="0" collapsed="false">
      <c r="A105" s="20"/>
      <c r="B105" s="20"/>
      <c r="C105" s="21"/>
      <c r="D105" s="16" t="str">
        <f aca="false">IF(OR(A105="",B105="",C105=""),"",C105*IFERROR(INDEX(Malzemeler!$E$5:$E$154,MATCH(B105,Malzemeler!$A$5:$A$154,0)),0))</f>
        <v/>
      </c>
    </row>
    <row r="106" customFormat="false" ht="15" hidden="false" customHeight="false" outlineLevel="0" collapsed="false">
      <c r="A106" s="20"/>
      <c r="B106" s="20"/>
      <c r="C106" s="21"/>
      <c r="D106" s="16" t="str">
        <f aca="false">IF(OR(A106="",B106="",C106=""),"",C106*IFERROR(INDEX(Malzemeler!$E$5:$E$154,MATCH(B106,Malzemeler!$A$5:$A$154,0)),0))</f>
        <v/>
      </c>
    </row>
    <row r="107" customFormat="false" ht="15" hidden="false" customHeight="false" outlineLevel="0" collapsed="false">
      <c r="A107" s="20"/>
      <c r="B107" s="20"/>
      <c r="C107" s="21"/>
      <c r="D107" s="16" t="str">
        <f aca="false">IF(OR(A107="",B107="",C107=""),"",C107*IFERROR(INDEX(Malzemeler!$E$5:$E$154,MATCH(B107,Malzemeler!$A$5:$A$154,0)),0))</f>
        <v/>
      </c>
    </row>
    <row r="108" customFormat="false" ht="15" hidden="false" customHeight="false" outlineLevel="0" collapsed="false">
      <c r="A108" s="20"/>
      <c r="B108" s="20"/>
      <c r="C108" s="21"/>
      <c r="D108" s="16" t="str">
        <f aca="false">IF(OR(A108="",B108="",C108=""),"",C108*IFERROR(INDEX(Malzemeler!$E$5:$E$154,MATCH(B108,Malzemeler!$A$5:$A$154,0)),0))</f>
        <v/>
      </c>
    </row>
    <row r="109" customFormat="false" ht="15" hidden="false" customHeight="false" outlineLevel="0" collapsed="false">
      <c r="A109" s="20"/>
      <c r="B109" s="20"/>
      <c r="C109" s="21"/>
      <c r="D109" s="16" t="str">
        <f aca="false">IF(OR(A109="",B109="",C109=""),"",C109*IFERROR(INDEX(Malzemeler!$E$5:$E$154,MATCH(B109,Malzemeler!$A$5:$A$154,0)),0))</f>
        <v/>
      </c>
    </row>
    <row r="110" customFormat="false" ht="15" hidden="false" customHeight="false" outlineLevel="0" collapsed="false">
      <c r="A110" s="20"/>
      <c r="B110" s="20"/>
      <c r="C110" s="21"/>
      <c r="D110" s="16" t="str">
        <f aca="false">IF(OR(A110="",B110="",C110=""),"",C110*IFERROR(INDEX(Malzemeler!$E$5:$E$154,MATCH(B110,Malzemeler!$A$5:$A$154,0)),0))</f>
        <v/>
      </c>
    </row>
    <row r="111" customFormat="false" ht="15" hidden="false" customHeight="false" outlineLevel="0" collapsed="false">
      <c r="A111" s="20"/>
      <c r="B111" s="20"/>
      <c r="C111" s="21"/>
      <c r="D111" s="16" t="str">
        <f aca="false">IF(OR(A111="",B111="",C111=""),"",C111*IFERROR(INDEX(Malzemeler!$E$5:$E$154,MATCH(B111,Malzemeler!$A$5:$A$154,0)),0))</f>
        <v/>
      </c>
    </row>
    <row r="112" customFormat="false" ht="15" hidden="false" customHeight="false" outlineLevel="0" collapsed="false">
      <c r="A112" s="20"/>
      <c r="B112" s="20"/>
      <c r="C112" s="21"/>
      <c r="D112" s="16" t="str">
        <f aca="false">IF(OR(A112="",B112="",C112=""),"",C112*IFERROR(INDEX(Malzemeler!$E$5:$E$154,MATCH(B112,Malzemeler!$A$5:$A$154,0)),0))</f>
        <v/>
      </c>
    </row>
    <row r="113" customFormat="false" ht="15" hidden="false" customHeight="false" outlineLevel="0" collapsed="false">
      <c r="A113" s="20"/>
      <c r="B113" s="20"/>
      <c r="C113" s="21"/>
      <c r="D113" s="16" t="str">
        <f aca="false">IF(OR(A113="",B113="",C113=""),"",C113*IFERROR(INDEX(Malzemeler!$E$5:$E$154,MATCH(B113,Malzemeler!$A$5:$A$154,0)),0))</f>
        <v/>
      </c>
    </row>
    <row r="114" customFormat="false" ht="15" hidden="false" customHeight="false" outlineLevel="0" collapsed="false">
      <c r="A114" s="20"/>
      <c r="B114" s="20"/>
      <c r="C114" s="21"/>
      <c r="D114" s="16" t="str">
        <f aca="false">IF(OR(A114="",B114="",C114=""),"",C114*IFERROR(INDEX(Malzemeler!$E$5:$E$154,MATCH(B114,Malzemeler!$A$5:$A$154,0)),0))</f>
        <v/>
      </c>
    </row>
    <row r="115" customFormat="false" ht="15" hidden="false" customHeight="false" outlineLevel="0" collapsed="false">
      <c r="A115" s="20"/>
      <c r="B115" s="20"/>
      <c r="C115" s="21"/>
      <c r="D115" s="16" t="str">
        <f aca="false">IF(OR(A115="",B115="",C115=""),"",C115*IFERROR(INDEX(Malzemeler!$E$5:$E$154,MATCH(B115,Malzemeler!$A$5:$A$154,0)),0))</f>
        <v/>
      </c>
    </row>
    <row r="116" customFormat="false" ht="15" hidden="false" customHeight="false" outlineLevel="0" collapsed="false">
      <c r="A116" s="20"/>
      <c r="B116" s="20"/>
      <c r="C116" s="21"/>
      <c r="D116" s="16" t="str">
        <f aca="false">IF(OR(A116="",B116="",C116=""),"",C116*IFERROR(INDEX(Malzemeler!$E$5:$E$154,MATCH(B116,Malzemeler!$A$5:$A$154,0)),0))</f>
        <v/>
      </c>
    </row>
    <row r="117" customFormat="false" ht="15" hidden="false" customHeight="false" outlineLevel="0" collapsed="false">
      <c r="A117" s="20"/>
      <c r="B117" s="20"/>
      <c r="C117" s="21"/>
      <c r="D117" s="16" t="str">
        <f aca="false">IF(OR(A117="",B117="",C117=""),"",C117*IFERROR(INDEX(Malzemeler!$E$5:$E$154,MATCH(B117,Malzemeler!$A$5:$A$154,0)),0))</f>
        <v/>
      </c>
    </row>
    <row r="118" customFormat="false" ht="15" hidden="false" customHeight="false" outlineLevel="0" collapsed="false">
      <c r="A118" s="20"/>
      <c r="B118" s="20"/>
      <c r="C118" s="21"/>
      <c r="D118" s="16" t="str">
        <f aca="false">IF(OR(A118="",B118="",C118=""),"",C118*IFERROR(INDEX(Malzemeler!$E$5:$E$154,MATCH(B118,Malzemeler!$A$5:$A$154,0)),0))</f>
        <v/>
      </c>
    </row>
    <row r="119" customFormat="false" ht="15" hidden="false" customHeight="false" outlineLevel="0" collapsed="false">
      <c r="A119" s="20"/>
      <c r="B119" s="20"/>
      <c r="C119" s="21"/>
      <c r="D119" s="16" t="str">
        <f aca="false">IF(OR(A119="",B119="",C119=""),"",C119*IFERROR(INDEX(Malzemeler!$E$5:$E$154,MATCH(B119,Malzemeler!$A$5:$A$154,0)),0))</f>
        <v/>
      </c>
    </row>
    <row r="120" customFormat="false" ht="15" hidden="false" customHeight="false" outlineLevel="0" collapsed="false">
      <c r="A120" s="20"/>
      <c r="B120" s="20"/>
      <c r="C120" s="21"/>
      <c r="D120" s="16" t="str">
        <f aca="false">IF(OR(A120="",B120="",C120=""),"",C120*IFERROR(INDEX(Malzemeler!$E$5:$E$154,MATCH(B120,Malzemeler!$A$5:$A$154,0)),0))</f>
        <v/>
      </c>
    </row>
    <row r="121" customFormat="false" ht="15" hidden="false" customHeight="false" outlineLevel="0" collapsed="false">
      <c r="A121" s="20"/>
      <c r="B121" s="20"/>
      <c r="C121" s="21"/>
      <c r="D121" s="16" t="str">
        <f aca="false">IF(OR(A121="",B121="",C121=""),"",C121*IFERROR(INDEX(Malzemeler!$E$5:$E$154,MATCH(B121,Malzemeler!$A$5:$A$154,0)),0))</f>
        <v/>
      </c>
    </row>
    <row r="122" customFormat="false" ht="15" hidden="false" customHeight="false" outlineLevel="0" collapsed="false">
      <c r="A122" s="20"/>
      <c r="B122" s="20"/>
      <c r="C122" s="21"/>
      <c r="D122" s="16" t="str">
        <f aca="false">IF(OR(A122="",B122="",C122=""),"",C122*IFERROR(INDEX(Malzemeler!$E$5:$E$154,MATCH(B122,Malzemeler!$A$5:$A$154,0)),0))</f>
        <v/>
      </c>
    </row>
    <row r="123" customFormat="false" ht="15" hidden="false" customHeight="false" outlineLevel="0" collapsed="false">
      <c r="A123" s="20"/>
      <c r="B123" s="20"/>
      <c r="C123" s="21"/>
      <c r="D123" s="16" t="str">
        <f aca="false">IF(OR(A123="",B123="",C123=""),"",C123*IFERROR(INDEX(Malzemeler!$E$5:$E$154,MATCH(B123,Malzemeler!$A$5:$A$154,0)),0))</f>
        <v/>
      </c>
    </row>
    <row r="124" customFormat="false" ht="15" hidden="false" customHeight="false" outlineLevel="0" collapsed="false">
      <c r="A124" s="20"/>
      <c r="B124" s="20"/>
      <c r="C124" s="21"/>
      <c r="D124" s="16" t="str">
        <f aca="false">IF(OR(A124="",B124="",C124=""),"",C124*IFERROR(INDEX(Malzemeler!$E$5:$E$154,MATCH(B124,Malzemeler!$A$5:$A$154,0)),0))</f>
        <v/>
      </c>
    </row>
    <row r="125" customFormat="false" ht="15" hidden="false" customHeight="false" outlineLevel="0" collapsed="false">
      <c r="A125" s="20"/>
      <c r="B125" s="20"/>
      <c r="C125" s="21"/>
      <c r="D125" s="16" t="str">
        <f aca="false">IF(OR(A125="",B125="",C125=""),"",C125*IFERROR(INDEX(Malzemeler!$E$5:$E$154,MATCH(B125,Malzemeler!$A$5:$A$154,0)),0))</f>
        <v/>
      </c>
    </row>
    <row r="126" customFormat="false" ht="15" hidden="false" customHeight="false" outlineLevel="0" collapsed="false">
      <c r="A126" s="20"/>
      <c r="B126" s="20"/>
      <c r="C126" s="21"/>
      <c r="D126" s="16" t="str">
        <f aca="false">IF(OR(A126="",B126="",C126=""),"",C126*IFERROR(INDEX(Malzemeler!$E$5:$E$154,MATCH(B126,Malzemeler!$A$5:$A$154,0)),0))</f>
        <v/>
      </c>
    </row>
    <row r="127" customFormat="false" ht="15" hidden="false" customHeight="false" outlineLevel="0" collapsed="false">
      <c r="A127" s="20"/>
      <c r="B127" s="20"/>
      <c r="C127" s="21"/>
      <c r="D127" s="16" t="str">
        <f aca="false">IF(OR(A127="",B127="",C127=""),"",C127*IFERROR(INDEX(Malzemeler!$E$5:$E$154,MATCH(B127,Malzemeler!$A$5:$A$154,0)),0))</f>
        <v/>
      </c>
    </row>
    <row r="128" customFormat="false" ht="15" hidden="false" customHeight="false" outlineLevel="0" collapsed="false">
      <c r="A128" s="20"/>
      <c r="B128" s="20"/>
      <c r="C128" s="21"/>
      <c r="D128" s="16" t="str">
        <f aca="false">IF(OR(A128="",B128="",C128=""),"",C128*IFERROR(INDEX(Malzemeler!$E$5:$E$154,MATCH(B128,Malzemeler!$A$5:$A$154,0)),0))</f>
        <v/>
      </c>
    </row>
    <row r="129" customFormat="false" ht="15" hidden="false" customHeight="false" outlineLevel="0" collapsed="false">
      <c r="A129" s="20"/>
      <c r="B129" s="20"/>
      <c r="C129" s="21"/>
      <c r="D129" s="16" t="str">
        <f aca="false">IF(OR(A129="",B129="",C129=""),"",C129*IFERROR(INDEX(Malzemeler!$E$5:$E$154,MATCH(B129,Malzemeler!$A$5:$A$154,0)),0))</f>
        <v/>
      </c>
    </row>
    <row r="130" customFormat="false" ht="15" hidden="false" customHeight="false" outlineLevel="0" collapsed="false">
      <c r="A130" s="20"/>
      <c r="B130" s="20"/>
      <c r="C130" s="21"/>
      <c r="D130" s="16" t="str">
        <f aca="false">IF(OR(A130="",B130="",C130=""),"",C130*IFERROR(INDEX(Malzemeler!$E$5:$E$154,MATCH(B130,Malzemeler!$A$5:$A$154,0)),0))</f>
        <v/>
      </c>
    </row>
    <row r="131" customFormat="false" ht="15" hidden="false" customHeight="false" outlineLevel="0" collapsed="false">
      <c r="A131" s="20"/>
      <c r="B131" s="20"/>
      <c r="C131" s="21"/>
      <c r="D131" s="16" t="str">
        <f aca="false">IF(OR(A131="",B131="",C131=""),"",C131*IFERROR(INDEX(Malzemeler!$E$5:$E$154,MATCH(B131,Malzemeler!$A$5:$A$154,0)),0))</f>
        <v/>
      </c>
    </row>
    <row r="132" customFormat="false" ht="15" hidden="false" customHeight="false" outlineLevel="0" collapsed="false">
      <c r="A132" s="20"/>
      <c r="B132" s="20"/>
      <c r="C132" s="21"/>
      <c r="D132" s="16" t="str">
        <f aca="false">IF(OR(A132="",B132="",C132=""),"",C132*IFERROR(INDEX(Malzemeler!$E$5:$E$154,MATCH(B132,Malzemeler!$A$5:$A$154,0)),0))</f>
        <v/>
      </c>
    </row>
    <row r="133" customFormat="false" ht="15" hidden="false" customHeight="false" outlineLevel="0" collapsed="false">
      <c r="A133" s="20"/>
      <c r="B133" s="20"/>
      <c r="C133" s="21"/>
      <c r="D133" s="16" t="str">
        <f aca="false">IF(OR(A133="",B133="",C133=""),"",C133*IFERROR(INDEX(Malzemeler!$E$5:$E$154,MATCH(B133,Malzemeler!$A$5:$A$154,0)),0))</f>
        <v/>
      </c>
    </row>
    <row r="134" customFormat="false" ht="15" hidden="false" customHeight="false" outlineLevel="0" collapsed="false">
      <c r="A134" s="20"/>
      <c r="B134" s="20"/>
      <c r="C134" s="21"/>
      <c r="D134" s="16" t="str">
        <f aca="false">IF(OR(A134="",B134="",C134=""),"",C134*IFERROR(INDEX(Malzemeler!$E$5:$E$154,MATCH(B134,Malzemeler!$A$5:$A$154,0)),0))</f>
        <v/>
      </c>
    </row>
    <row r="135" customFormat="false" ht="15" hidden="false" customHeight="false" outlineLevel="0" collapsed="false">
      <c r="A135" s="20"/>
      <c r="B135" s="20"/>
      <c r="C135" s="21"/>
      <c r="D135" s="16" t="str">
        <f aca="false">IF(OR(A135="",B135="",C135=""),"",C135*IFERROR(INDEX(Malzemeler!$E$5:$E$154,MATCH(B135,Malzemeler!$A$5:$A$154,0)),0))</f>
        <v/>
      </c>
    </row>
    <row r="136" customFormat="false" ht="15" hidden="false" customHeight="false" outlineLevel="0" collapsed="false">
      <c r="A136" s="20"/>
      <c r="B136" s="20"/>
      <c r="C136" s="21"/>
      <c r="D136" s="16" t="str">
        <f aca="false">IF(OR(A136="",B136="",C136=""),"",C136*IFERROR(INDEX(Malzemeler!$E$5:$E$154,MATCH(B136,Malzemeler!$A$5:$A$154,0)),0))</f>
        <v/>
      </c>
    </row>
    <row r="137" customFormat="false" ht="15" hidden="false" customHeight="false" outlineLevel="0" collapsed="false">
      <c r="A137" s="20"/>
      <c r="B137" s="20"/>
      <c r="C137" s="21"/>
      <c r="D137" s="16" t="str">
        <f aca="false">IF(OR(A137="",B137="",C137=""),"",C137*IFERROR(INDEX(Malzemeler!$E$5:$E$154,MATCH(B137,Malzemeler!$A$5:$A$154,0)),0))</f>
        <v/>
      </c>
    </row>
    <row r="138" customFormat="false" ht="15" hidden="false" customHeight="false" outlineLevel="0" collapsed="false">
      <c r="A138" s="20"/>
      <c r="B138" s="20"/>
      <c r="C138" s="21"/>
      <c r="D138" s="16" t="str">
        <f aca="false">IF(OR(A138="",B138="",C138=""),"",C138*IFERROR(INDEX(Malzemeler!$E$5:$E$154,MATCH(B138,Malzemeler!$A$5:$A$154,0)),0))</f>
        <v/>
      </c>
    </row>
    <row r="139" customFormat="false" ht="15" hidden="false" customHeight="false" outlineLevel="0" collapsed="false">
      <c r="A139" s="20"/>
      <c r="B139" s="20"/>
      <c r="C139" s="21"/>
      <c r="D139" s="16" t="str">
        <f aca="false">IF(OR(A139="",B139="",C139=""),"",C139*IFERROR(INDEX(Malzemeler!$E$5:$E$154,MATCH(B139,Malzemeler!$A$5:$A$154,0)),0))</f>
        <v/>
      </c>
    </row>
    <row r="140" customFormat="false" ht="15" hidden="false" customHeight="false" outlineLevel="0" collapsed="false">
      <c r="A140" s="20"/>
      <c r="B140" s="20"/>
      <c r="C140" s="21"/>
      <c r="D140" s="16" t="str">
        <f aca="false">IF(OR(A140="",B140="",C140=""),"",C140*IFERROR(INDEX(Malzemeler!$E$5:$E$154,MATCH(B140,Malzemeler!$A$5:$A$154,0)),0))</f>
        <v/>
      </c>
    </row>
    <row r="141" customFormat="false" ht="15" hidden="false" customHeight="false" outlineLevel="0" collapsed="false">
      <c r="A141" s="20"/>
      <c r="B141" s="20"/>
      <c r="C141" s="21"/>
      <c r="D141" s="16" t="str">
        <f aca="false">IF(OR(A141="",B141="",C141=""),"",C141*IFERROR(INDEX(Malzemeler!$E$5:$E$154,MATCH(B141,Malzemeler!$A$5:$A$154,0)),0))</f>
        <v/>
      </c>
    </row>
    <row r="142" customFormat="false" ht="15" hidden="false" customHeight="false" outlineLevel="0" collapsed="false">
      <c r="A142" s="20"/>
      <c r="B142" s="20"/>
      <c r="C142" s="21"/>
      <c r="D142" s="16" t="str">
        <f aca="false">IF(OR(A142="",B142="",C142=""),"",C142*IFERROR(INDEX(Malzemeler!$E$5:$E$154,MATCH(B142,Malzemeler!$A$5:$A$154,0)),0))</f>
        <v/>
      </c>
    </row>
    <row r="143" customFormat="false" ht="15" hidden="false" customHeight="false" outlineLevel="0" collapsed="false">
      <c r="A143" s="20"/>
      <c r="B143" s="20"/>
      <c r="C143" s="21"/>
      <c r="D143" s="16" t="str">
        <f aca="false">IF(OR(A143="",B143="",C143=""),"",C143*IFERROR(INDEX(Malzemeler!$E$5:$E$154,MATCH(B143,Malzemeler!$A$5:$A$154,0)),0))</f>
        <v/>
      </c>
    </row>
    <row r="144" customFormat="false" ht="15" hidden="false" customHeight="false" outlineLevel="0" collapsed="false">
      <c r="A144" s="20"/>
      <c r="B144" s="20"/>
      <c r="C144" s="21"/>
      <c r="D144" s="16" t="str">
        <f aca="false">IF(OR(A144="",B144="",C144=""),"",C144*IFERROR(INDEX(Malzemeler!$E$5:$E$154,MATCH(B144,Malzemeler!$A$5:$A$154,0)),0))</f>
        <v/>
      </c>
    </row>
    <row r="145" customFormat="false" ht="15" hidden="false" customHeight="false" outlineLevel="0" collapsed="false">
      <c r="A145" s="20"/>
      <c r="B145" s="20"/>
      <c r="C145" s="21"/>
      <c r="D145" s="16" t="str">
        <f aca="false">IF(OR(A145="",B145="",C145=""),"",C145*IFERROR(INDEX(Malzemeler!$E$5:$E$154,MATCH(B145,Malzemeler!$A$5:$A$154,0)),0))</f>
        <v/>
      </c>
    </row>
    <row r="146" customFormat="false" ht="15" hidden="false" customHeight="false" outlineLevel="0" collapsed="false">
      <c r="A146" s="20"/>
      <c r="B146" s="20"/>
      <c r="C146" s="21"/>
      <c r="D146" s="16" t="str">
        <f aca="false">IF(OR(A146="",B146="",C146=""),"",C146*IFERROR(INDEX(Malzemeler!$E$5:$E$154,MATCH(B146,Malzemeler!$A$5:$A$154,0)),0))</f>
        <v/>
      </c>
    </row>
    <row r="147" customFormat="false" ht="15" hidden="false" customHeight="false" outlineLevel="0" collapsed="false">
      <c r="A147" s="20"/>
      <c r="B147" s="20"/>
      <c r="C147" s="21"/>
      <c r="D147" s="16" t="str">
        <f aca="false">IF(OR(A147="",B147="",C147=""),"",C147*IFERROR(INDEX(Malzemeler!$E$5:$E$154,MATCH(B147,Malzemeler!$A$5:$A$154,0)),0))</f>
        <v/>
      </c>
    </row>
    <row r="148" customFormat="false" ht="15" hidden="false" customHeight="false" outlineLevel="0" collapsed="false">
      <c r="A148" s="20"/>
      <c r="B148" s="20"/>
      <c r="C148" s="21"/>
      <c r="D148" s="16" t="str">
        <f aca="false">IF(OR(A148="",B148="",C148=""),"",C148*IFERROR(INDEX(Malzemeler!$E$5:$E$154,MATCH(B148,Malzemeler!$A$5:$A$154,0)),0))</f>
        <v/>
      </c>
    </row>
    <row r="149" customFormat="false" ht="15" hidden="false" customHeight="false" outlineLevel="0" collapsed="false">
      <c r="A149" s="20"/>
      <c r="B149" s="20"/>
      <c r="C149" s="21"/>
      <c r="D149" s="16" t="str">
        <f aca="false">IF(OR(A149="",B149="",C149=""),"",C149*IFERROR(INDEX(Malzemeler!$E$5:$E$154,MATCH(B149,Malzemeler!$A$5:$A$154,0)),0))</f>
        <v/>
      </c>
    </row>
    <row r="150" customFormat="false" ht="15" hidden="false" customHeight="false" outlineLevel="0" collapsed="false">
      <c r="A150" s="20"/>
      <c r="B150" s="20"/>
      <c r="C150" s="21"/>
      <c r="D150" s="16" t="str">
        <f aca="false">IF(OR(A150="",B150="",C150=""),"",C150*IFERROR(INDEX(Malzemeler!$E$5:$E$154,MATCH(B150,Malzemeler!$A$5:$A$154,0)),0))</f>
        <v/>
      </c>
    </row>
    <row r="151" customFormat="false" ht="15" hidden="false" customHeight="false" outlineLevel="0" collapsed="false">
      <c r="A151" s="20"/>
      <c r="B151" s="20"/>
      <c r="C151" s="21"/>
      <c r="D151" s="16" t="str">
        <f aca="false">IF(OR(A151="",B151="",C151=""),"",C151*IFERROR(INDEX(Malzemeler!$E$5:$E$154,MATCH(B151,Malzemeler!$A$5:$A$154,0)),0))</f>
        <v/>
      </c>
    </row>
    <row r="152" customFormat="false" ht="15" hidden="false" customHeight="false" outlineLevel="0" collapsed="false">
      <c r="A152" s="20"/>
      <c r="B152" s="20"/>
      <c r="C152" s="21"/>
      <c r="D152" s="16" t="str">
        <f aca="false">IF(OR(A152="",B152="",C152=""),"",C152*IFERROR(INDEX(Malzemeler!$E$5:$E$154,MATCH(B152,Malzemeler!$A$5:$A$154,0)),0))</f>
        <v/>
      </c>
    </row>
    <row r="153" customFormat="false" ht="15" hidden="false" customHeight="false" outlineLevel="0" collapsed="false">
      <c r="A153" s="20"/>
      <c r="B153" s="20"/>
      <c r="C153" s="21"/>
      <c r="D153" s="16" t="str">
        <f aca="false">IF(OR(A153="",B153="",C153=""),"",C153*IFERROR(INDEX(Malzemeler!$E$5:$E$154,MATCH(B153,Malzemeler!$A$5:$A$154,0)),0))</f>
        <v/>
      </c>
    </row>
    <row r="154" customFormat="false" ht="15" hidden="false" customHeight="false" outlineLevel="0" collapsed="false">
      <c r="A154" s="20"/>
      <c r="B154" s="20"/>
      <c r="C154" s="21"/>
      <c r="D154" s="16" t="str">
        <f aca="false">IF(OR(A154="",B154="",C154=""),"",C154*IFERROR(INDEX(Malzemeler!$E$5:$E$154,MATCH(B154,Malzemeler!$A$5:$A$154,0)),0))</f>
        <v/>
      </c>
    </row>
    <row r="155" customFormat="false" ht="15" hidden="false" customHeight="false" outlineLevel="0" collapsed="false">
      <c r="A155" s="20"/>
      <c r="B155" s="20"/>
      <c r="C155" s="21"/>
      <c r="D155" s="16" t="str">
        <f aca="false">IF(OR(A155="",B155="",C155=""),"",C155*IFERROR(INDEX(Malzemeler!$E$5:$E$154,MATCH(B155,Malzemeler!$A$5:$A$154,0)),0))</f>
        <v/>
      </c>
    </row>
    <row r="156" customFormat="false" ht="15" hidden="false" customHeight="false" outlineLevel="0" collapsed="false">
      <c r="A156" s="20"/>
      <c r="B156" s="20"/>
      <c r="C156" s="21"/>
      <c r="D156" s="16" t="str">
        <f aca="false">IF(OR(A156="",B156="",C156=""),"",C156*IFERROR(INDEX(Malzemeler!$E$5:$E$154,MATCH(B156,Malzemeler!$A$5:$A$154,0)),0))</f>
        <v/>
      </c>
    </row>
    <row r="157" customFormat="false" ht="15" hidden="false" customHeight="false" outlineLevel="0" collapsed="false">
      <c r="A157" s="20"/>
      <c r="B157" s="20"/>
      <c r="C157" s="21"/>
      <c r="D157" s="16" t="str">
        <f aca="false">IF(OR(A157="",B157="",C157=""),"",C157*IFERROR(INDEX(Malzemeler!$E$5:$E$154,MATCH(B157,Malzemeler!$A$5:$A$154,0)),0))</f>
        <v/>
      </c>
    </row>
    <row r="158" customFormat="false" ht="15" hidden="false" customHeight="false" outlineLevel="0" collapsed="false">
      <c r="A158" s="20"/>
      <c r="B158" s="20"/>
      <c r="C158" s="21"/>
      <c r="D158" s="16" t="str">
        <f aca="false">IF(OR(A158="",B158="",C158=""),"",C158*IFERROR(INDEX(Malzemeler!$E$5:$E$154,MATCH(B158,Malzemeler!$A$5:$A$154,0)),0))</f>
        <v/>
      </c>
    </row>
    <row r="159" customFormat="false" ht="15" hidden="false" customHeight="false" outlineLevel="0" collapsed="false">
      <c r="A159" s="20"/>
      <c r="B159" s="20"/>
      <c r="C159" s="21"/>
      <c r="D159" s="16" t="str">
        <f aca="false">IF(OR(A159="",B159="",C159=""),"",C159*IFERROR(INDEX(Malzemeler!$E$5:$E$154,MATCH(B159,Malzemeler!$A$5:$A$154,0)),0))</f>
        <v/>
      </c>
    </row>
    <row r="160" customFormat="false" ht="15" hidden="false" customHeight="false" outlineLevel="0" collapsed="false">
      <c r="A160" s="20"/>
      <c r="B160" s="20"/>
      <c r="C160" s="21"/>
      <c r="D160" s="16" t="str">
        <f aca="false">IF(OR(A160="",B160="",C160=""),"",C160*IFERROR(INDEX(Malzemeler!$E$5:$E$154,MATCH(B160,Malzemeler!$A$5:$A$154,0)),0))</f>
        <v/>
      </c>
    </row>
    <row r="161" customFormat="false" ht="15" hidden="false" customHeight="false" outlineLevel="0" collapsed="false">
      <c r="A161" s="20"/>
      <c r="B161" s="20"/>
      <c r="C161" s="21"/>
      <c r="D161" s="16" t="str">
        <f aca="false">IF(OR(A161="",B161="",C161=""),"",C161*IFERROR(INDEX(Malzemeler!$E$5:$E$154,MATCH(B161,Malzemeler!$A$5:$A$154,0)),0))</f>
        <v/>
      </c>
    </row>
    <row r="162" customFormat="false" ht="15" hidden="false" customHeight="false" outlineLevel="0" collapsed="false">
      <c r="A162" s="20"/>
      <c r="B162" s="20"/>
      <c r="C162" s="21"/>
      <c r="D162" s="16" t="str">
        <f aca="false">IF(OR(A162="",B162="",C162=""),"",C162*IFERROR(INDEX(Malzemeler!$E$5:$E$154,MATCH(B162,Malzemeler!$A$5:$A$154,0)),0))</f>
        <v/>
      </c>
    </row>
    <row r="163" customFormat="false" ht="15" hidden="false" customHeight="false" outlineLevel="0" collapsed="false">
      <c r="A163" s="20"/>
      <c r="B163" s="20"/>
      <c r="C163" s="21"/>
      <c r="D163" s="16" t="str">
        <f aca="false">IF(OR(A163="",B163="",C163=""),"",C163*IFERROR(INDEX(Malzemeler!$E$5:$E$154,MATCH(B163,Malzemeler!$A$5:$A$154,0)),0))</f>
        <v/>
      </c>
    </row>
    <row r="164" customFormat="false" ht="15" hidden="false" customHeight="false" outlineLevel="0" collapsed="false">
      <c r="A164" s="20"/>
      <c r="B164" s="20"/>
      <c r="C164" s="21"/>
      <c r="D164" s="16" t="str">
        <f aca="false">IF(OR(A164="",B164="",C164=""),"",C164*IFERROR(INDEX(Malzemeler!$E$5:$E$154,MATCH(B164,Malzemeler!$A$5:$A$154,0)),0))</f>
        <v/>
      </c>
    </row>
    <row r="165" customFormat="false" ht="15" hidden="false" customHeight="false" outlineLevel="0" collapsed="false">
      <c r="A165" s="20"/>
      <c r="B165" s="20"/>
      <c r="C165" s="21"/>
      <c r="D165" s="16" t="str">
        <f aca="false">IF(OR(A165="",B165="",C165=""),"",C165*IFERROR(INDEX(Malzemeler!$E$5:$E$154,MATCH(B165,Malzemeler!$A$5:$A$154,0)),0))</f>
        <v/>
      </c>
    </row>
    <row r="166" customFormat="false" ht="15" hidden="false" customHeight="false" outlineLevel="0" collapsed="false">
      <c r="A166" s="20"/>
      <c r="B166" s="20"/>
      <c r="C166" s="21"/>
      <c r="D166" s="16" t="str">
        <f aca="false">IF(OR(A166="",B166="",C166=""),"",C166*IFERROR(INDEX(Malzemeler!$E$5:$E$154,MATCH(B166,Malzemeler!$A$5:$A$154,0)),0))</f>
        <v/>
      </c>
    </row>
    <row r="167" customFormat="false" ht="15" hidden="false" customHeight="false" outlineLevel="0" collapsed="false">
      <c r="A167" s="20"/>
      <c r="B167" s="20"/>
      <c r="C167" s="21"/>
      <c r="D167" s="16" t="str">
        <f aca="false">IF(OR(A167="",B167="",C167=""),"",C167*IFERROR(INDEX(Malzemeler!$E$5:$E$154,MATCH(B167,Malzemeler!$A$5:$A$154,0)),0))</f>
        <v/>
      </c>
    </row>
    <row r="168" customFormat="false" ht="15" hidden="false" customHeight="false" outlineLevel="0" collapsed="false">
      <c r="A168" s="20"/>
      <c r="B168" s="20"/>
      <c r="C168" s="21"/>
      <c r="D168" s="16" t="str">
        <f aca="false">IF(OR(A168="",B168="",C168=""),"",C168*IFERROR(INDEX(Malzemeler!$E$5:$E$154,MATCH(B168,Malzemeler!$A$5:$A$154,0)),0))</f>
        <v/>
      </c>
    </row>
    <row r="169" customFormat="false" ht="15" hidden="false" customHeight="false" outlineLevel="0" collapsed="false">
      <c r="A169" s="20"/>
      <c r="B169" s="20"/>
      <c r="C169" s="21"/>
      <c r="D169" s="16" t="str">
        <f aca="false">IF(OR(A169="",B169="",C169=""),"",C169*IFERROR(INDEX(Malzemeler!$E$5:$E$154,MATCH(B169,Malzemeler!$A$5:$A$154,0)),0))</f>
        <v/>
      </c>
    </row>
    <row r="170" customFormat="false" ht="15" hidden="false" customHeight="false" outlineLevel="0" collapsed="false">
      <c r="A170" s="20"/>
      <c r="B170" s="20"/>
      <c r="C170" s="21"/>
      <c r="D170" s="16" t="str">
        <f aca="false">IF(OR(A170="",B170="",C170=""),"",C170*IFERROR(INDEX(Malzemeler!$E$5:$E$154,MATCH(B170,Malzemeler!$A$5:$A$154,0)),0))</f>
        <v/>
      </c>
    </row>
    <row r="171" customFormat="false" ht="15" hidden="false" customHeight="false" outlineLevel="0" collapsed="false">
      <c r="A171" s="20"/>
      <c r="B171" s="20"/>
      <c r="C171" s="21"/>
      <c r="D171" s="16" t="str">
        <f aca="false">IF(OR(A171="",B171="",C171=""),"",C171*IFERROR(INDEX(Malzemeler!$E$5:$E$154,MATCH(B171,Malzemeler!$A$5:$A$154,0)),0))</f>
        <v/>
      </c>
    </row>
    <row r="172" customFormat="false" ht="15" hidden="false" customHeight="false" outlineLevel="0" collapsed="false">
      <c r="A172" s="20"/>
      <c r="B172" s="20"/>
      <c r="C172" s="21"/>
      <c r="D172" s="16" t="str">
        <f aca="false">IF(OR(A172="",B172="",C172=""),"",C172*IFERROR(INDEX(Malzemeler!$E$5:$E$154,MATCH(B172,Malzemeler!$A$5:$A$154,0)),0))</f>
        <v/>
      </c>
    </row>
    <row r="173" customFormat="false" ht="15" hidden="false" customHeight="false" outlineLevel="0" collapsed="false">
      <c r="A173" s="20"/>
      <c r="B173" s="20"/>
      <c r="C173" s="21"/>
      <c r="D173" s="16" t="str">
        <f aca="false">IF(OR(A173="",B173="",C173=""),"",C173*IFERROR(INDEX(Malzemeler!$E$5:$E$154,MATCH(B173,Malzemeler!$A$5:$A$154,0)),0))</f>
        <v/>
      </c>
    </row>
    <row r="174" customFormat="false" ht="15" hidden="false" customHeight="false" outlineLevel="0" collapsed="false">
      <c r="A174" s="20"/>
      <c r="B174" s="20"/>
      <c r="C174" s="21"/>
      <c r="D174" s="16" t="str">
        <f aca="false">IF(OR(A174="",B174="",C174=""),"",C174*IFERROR(INDEX(Malzemeler!$E$5:$E$154,MATCH(B174,Malzemeler!$A$5:$A$154,0)),0))</f>
        <v/>
      </c>
    </row>
    <row r="175" customFormat="false" ht="15" hidden="false" customHeight="false" outlineLevel="0" collapsed="false">
      <c r="A175" s="20"/>
      <c r="B175" s="20"/>
      <c r="C175" s="21"/>
      <c r="D175" s="16" t="str">
        <f aca="false">IF(OR(A175="",B175="",C175=""),"",C175*IFERROR(INDEX(Malzemeler!$E$5:$E$154,MATCH(B175,Malzemeler!$A$5:$A$154,0)),0))</f>
        <v/>
      </c>
    </row>
    <row r="176" customFormat="false" ht="15" hidden="false" customHeight="false" outlineLevel="0" collapsed="false">
      <c r="A176" s="20"/>
      <c r="B176" s="20"/>
      <c r="C176" s="21"/>
      <c r="D176" s="16" t="str">
        <f aca="false">IF(OR(A176="",B176="",C176=""),"",C176*IFERROR(INDEX(Malzemeler!$E$5:$E$154,MATCH(B176,Malzemeler!$A$5:$A$154,0)),0))</f>
        <v/>
      </c>
    </row>
    <row r="177" customFormat="false" ht="15" hidden="false" customHeight="false" outlineLevel="0" collapsed="false">
      <c r="A177" s="20"/>
      <c r="B177" s="20"/>
      <c r="C177" s="21"/>
      <c r="D177" s="16" t="str">
        <f aca="false">IF(OR(A177="",B177="",C177=""),"",C177*IFERROR(INDEX(Malzemeler!$E$5:$E$154,MATCH(B177,Malzemeler!$A$5:$A$154,0)),0))</f>
        <v/>
      </c>
    </row>
    <row r="178" customFormat="false" ht="15" hidden="false" customHeight="false" outlineLevel="0" collapsed="false">
      <c r="A178" s="20"/>
      <c r="B178" s="20"/>
      <c r="C178" s="21"/>
      <c r="D178" s="16" t="str">
        <f aca="false">IF(OR(A178="",B178="",C178=""),"",C178*IFERROR(INDEX(Malzemeler!$E$5:$E$154,MATCH(B178,Malzemeler!$A$5:$A$154,0)),0))</f>
        <v/>
      </c>
    </row>
    <row r="179" customFormat="false" ht="15" hidden="false" customHeight="false" outlineLevel="0" collapsed="false">
      <c r="A179" s="20"/>
      <c r="B179" s="20"/>
      <c r="C179" s="21"/>
      <c r="D179" s="16" t="str">
        <f aca="false">IF(OR(A179="",B179="",C179=""),"",C179*IFERROR(INDEX(Malzemeler!$E$5:$E$154,MATCH(B179,Malzemeler!$A$5:$A$154,0)),0))</f>
        <v/>
      </c>
    </row>
    <row r="180" customFormat="false" ht="15" hidden="false" customHeight="false" outlineLevel="0" collapsed="false">
      <c r="A180" s="20"/>
      <c r="B180" s="20"/>
      <c r="C180" s="21"/>
      <c r="D180" s="16" t="str">
        <f aca="false">IF(OR(A180="",B180="",C180=""),"",C180*IFERROR(INDEX(Malzemeler!$E$5:$E$154,MATCH(B180,Malzemeler!$A$5:$A$154,0)),0))</f>
        <v/>
      </c>
    </row>
    <row r="181" customFormat="false" ht="15" hidden="false" customHeight="false" outlineLevel="0" collapsed="false">
      <c r="A181" s="20"/>
      <c r="B181" s="20"/>
      <c r="C181" s="21"/>
      <c r="D181" s="16" t="str">
        <f aca="false">IF(OR(A181="",B181="",C181=""),"",C181*IFERROR(INDEX(Malzemeler!$E$5:$E$154,MATCH(B181,Malzemeler!$A$5:$A$154,0)),0))</f>
        <v/>
      </c>
    </row>
    <row r="182" customFormat="false" ht="15" hidden="false" customHeight="false" outlineLevel="0" collapsed="false">
      <c r="A182" s="20"/>
      <c r="B182" s="20"/>
      <c r="C182" s="21"/>
      <c r="D182" s="16" t="str">
        <f aca="false">IF(OR(A182="",B182="",C182=""),"",C182*IFERROR(INDEX(Malzemeler!$E$5:$E$154,MATCH(B182,Malzemeler!$A$5:$A$154,0)),0))</f>
        <v/>
      </c>
    </row>
    <row r="183" customFormat="false" ht="15" hidden="false" customHeight="false" outlineLevel="0" collapsed="false">
      <c r="A183" s="20"/>
      <c r="B183" s="20"/>
      <c r="C183" s="21"/>
      <c r="D183" s="16" t="str">
        <f aca="false">IF(OR(A183="",B183="",C183=""),"",C183*IFERROR(INDEX(Malzemeler!$E$5:$E$154,MATCH(B183,Malzemeler!$A$5:$A$154,0)),0))</f>
        <v/>
      </c>
    </row>
    <row r="184" customFormat="false" ht="15" hidden="false" customHeight="false" outlineLevel="0" collapsed="false">
      <c r="A184" s="20"/>
      <c r="B184" s="20"/>
      <c r="C184" s="21"/>
      <c r="D184" s="16" t="str">
        <f aca="false">IF(OR(A184="",B184="",C184=""),"",C184*IFERROR(INDEX(Malzemeler!$E$5:$E$154,MATCH(B184,Malzemeler!$A$5:$A$154,0)),0))</f>
        <v/>
      </c>
    </row>
    <row r="185" customFormat="false" ht="15" hidden="false" customHeight="false" outlineLevel="0" collapsed="false">
      <c r="A185" s="20"/>
      <c r="B185" s="20"/>
      <c r="C185" s="21"/>
      <c r="D185" s="16" t="str">
        <f aca="false">IF(OR(A185="",B185="",C185=""),"",C185*IFERROR(INDEX(Malzemeler!$E$5:$E$154,MATCH(B185,Malzemeler!$A$5:$A$154,0)),0))</f>
        <v/>
      </c>
    </row>
    <row r="186" customFormat="false" ht="15" hidden="false" customHeight="false" outlineLevel="0" collapsed="false">
      <c r="A186" s="20"/>
      <c r="B186" s="20"/>
      <c r="C186" s="21"/>
      <c r="D186" s="16" t="str">
        <f aca="false">IF(OR(A186="",B186="",C186=""),"",C186*IFERROR(INDEX(Malzemeler!$E$5:$E$154,MATCH(B186,Malzemeler!$A$5:$A$154,0)),0))</f>
        <v/>
      </c>
    </row>
    <row r="187" customFormat="false" ht="15" hidden="false" customHeight="false" outlineLevel="0" collapsed="false">
      <c r="A187" s="20"/>
      <c r="B187" s="20"/>
      <c r="C187" s="21"/>
      <c r="D187" s="16" t="str">
        <f aca="false">IF(OR(A187="",B187="",C187=""),"",C187*IFERROR(INDEX(Malzemeler!$E$5:$E$154,MATCH(B187,Malzemeler!$A$5:$A$154,0)),0))</f>
        <v/>
      </c>
    </row>
    <row r="188" customFormat="false" ht="15" hidden="false" customHeight="false" outlineLevel="0" collapsed="false">
      <c r="A188" s="20"/>
      <c r="B188" s="20"/>
      <c r="C188" s="21"/>
      <c r="D188" s="16" t="str">
        <f aca="false">IF(OR(A188="",B188="",C188=""),"",C188*IFERROR(INDEX(Malzemeler!$E$5:$E$154,MATCH(B188,Malzemeler!$A$5:$A$154,0)),0))</f>
        <v/>
      </c>
    </row>
    <row r="189" customFormat="false" ht="15" hidden="false" customHeight="false" outlineLevel="0" collapsed="false">
      <c r="A189" s="20"/>
      <c r="B189" s="20"/>
      <c r="C189" s="21"/>
      <c r="D189" s="16" t="str">
        <f aca="false">IF(OR(A189="",B189="",C189=""),"",C189*IFERROR(INDEX(Malzemeler!$E$5:$E$154,MATCH(B189,Malzemeler!$A$5:$A$154,0)),0))</f>
        <v/>
      </c>
    </row>
    <row r="190" customFormat="false" ht="15" hidden="false" customHeight="false" outlineLevel="0" collapsed="false">
      <c r="A190" s="20"/>
      <c r="B190" s="20"/>
      <c r="C190" s="21"/>
      <c r="D190" s="16" t="str">
        <f aca="false">IF(OR(A190="",B190="",C190=""),"",C190*IFERROR(INDEX(Malzemeler!$E$5:$E$154,MATCH(B190,Malzemeler!$A$5:$A$154,0)),0))</f>
        <v/>
      </c>
    </row>
    <row r="191" customFormat="false" ht="15" hidden="false" customHeight="false" outlineLevel="0" collapsed="false">
      <c r="A191" s="20"/>
      <c r="B191" s="20"/>
      <c r="C191" s="21"/>
      <c r="D191" s="16" t="str">
        <f aca="false">IF(OR(A191="",B191="",C191=""),"",C191*IFERROR(INDEX(Malzemeler!$E$5:$E$154,MATCH(B191,Malzemeler!$A$5:$A$154,0)),0))</f>
        <v/>
      </c>
    </row>
    <row r="192" customFormat="false" ht="15" hidden="false" customHeight="false" outlineLevel="0" collapsed="false">
      <c r="A192" s="20"/>
      <c r="B192" s="20"/>
      <c r="C192" s="21"/>
      <c r="D192" s="16" t="str">
        <f aca="false">IF(OR(A192="",B192="",C192=""),"",C192*IFERROR(INDEX(Malzemeler!$E$5:$E$154,MATCH(B192,Malzemeler!$A$5:$A$154,0)),0))</f>
        <v/>
      </c>
    </row>
    <row r="193" customFormat="false" ht="15" hidden="false" customHeight="false" outlineLevel="0" collapsed="false">
      <c r="A193" s="20"/>
      <c r="B193" s="20"/>
      <c r="C193" s="21"/>
      <c r="D193" s="16" t="str">
        <f aca="false">IF(OR(A193="",B193="",C193=""),"",C193*IFERROR(INDEX(Malzemeler!$E$5:$E$154,MATCH(B193,Malzemeler!$A$5:$A$154,0)),0))</f>
        <v/>
      </c>
    </row>
    <row r="194" customFormat="false" ht="15" hidden="false" customHeight="false" outlineLevel="0" collapsed="false">
      <c r="A194" s="20"/>
      <c r="B194" s="20"/>
      <c r="C194" s="21"/>
      <c r="D194" s="16" t="str">
        <f aca="false">IF(OR(A194="",B194="",C194=""),"",C194*IFERROR(INDEX(Malzemeler!$E$5:$E$154,MATCH(B194,Malzemeler!$A$5:$A$154,0)),0))</f>
        <v/>
      </c>
    </row>
    <row r="195" customFormat="false" ht="15" hidden="false" customHeight="false" outlineLevel="0" collapsed="false">
      <c r="A195" s="20"/>
      <c r="B195" s="20"/>
      <c r="C195" s="21"/>
      <c r="D195" s="16" t="str">
        <f aca="false">IF(OR(A195="",B195="",C195=""),"",C195*IFERROR(INDEX(Malzemeler!$E$5:$E$154,MATCH(B195,Malzemeler!$A$5:$A$154,0)),0))</f>
        <v/>
      </c>
    </row>
    <row r="196" customFormat="false" ht="15" hidden="false" customHeight="false" outlineLevel="0" collapsed="false">
      <c r="A196" s="20"/>
      <c r="B196" s="20"/>
      <c r="C196" s="21"/>
      <c r="D196" s="16" t="str">
        <f aca="false">IF(OR(A196="",B196="",C196=""),"",C196*IFERROR(INDEX(Malzemeler!$E$5:$E$154,MATCH(B196,Malzemeler!$A$5:$A$154,0)),0))</f>
        <v/>
      </c>
    </row>
    <row r="197" customFormat="false" ht="15" hidden="false" customHeight="false" outlineLevel="0" collapsed="false">
      <c r="A197" s="20"/>
      <c r="B197" s="20"/>
      <c r="C197" s="21"/>
      <c r="D197" s="16" t="str">
        <f aca="false">IF(OR(A197="",B197="",C197=""),"",C197*IFERROR(INDEX(Malzemeler!$E$5:$E$154,MATCH(B197,Malzemeler!$A$5:$A$154,0)),0))</f>
        <v/>
      </c>
    </row>
    <row r="198" customFormat="false" ht="15" hidden="false" customHeight="false" outlineLevel="0" collapsed="false">
      <c r="A198" s="20"/>
      <c r="B198" s="20"/>
      <c r="C198" s="21"/>
      <c r="D198" s="16" t="str">
        <f aca="false">IF(OR(A198="",B198="",C198=""),"",C198*IFERROR(INDEX(Malzemeler!$E$5:$E$154,MATCH(B198,Malzemeler!$A$5:$A$154,0)),0))</f>
        <v/>
      </c>
    </row>
    <row r="199" customFormat="false" ht="15" hidden="false" customHeight="false" outlineLevel="0" collapsed="false">
      <c r="A199" s="20"/>
      <c r="B199" s="20"/>
      <c r="C199" s="21"/>
      <c r="D199" s="16" t="str">
        <f aca="false">IF(OR(A199="",B199="",C199=""),"",C199*IFERROR(INDEX(Malzemeler!$E$5:$E$154,MATCH(B199,Malzemeler!$A$5:$A$154,0)),0))</f>
        <v/>
      </c>
    </row>
    <row r="200" customFormat="false" ht="15" hidden="false" customHeight="false" outlineLevel="0" collapsed="false">
      <c r="A200" s="20"/>
      <c r="B200" s="20"/>
      <c r="C200" s="21"/>
      <c r="D200" s="16" t="str">
        <f aca="false">IF(OR(A200="",B200="",C200=""),"",C200*IFERROR(INDEX(Malzemeler!$E$5:$E$154,MATCH(B200,Malzemeler!$A$5:$A$154,0)),0))</f>
        <v/>
      </c>
    </row>
    <row r="201" customFormat="false" ht="15" hidden="false" customHeight="false" outlineLevel="0" collapsed="false">
      <c r="A201" s="20"/>
      <c r="B201" s="20"/>
      <c r="C201" s="21"/>
      <c r="D201" s="16" t="str">
        <f aca="false">IF(OR(A201="",B201="",C201=""),"",C201*IFERROR(INDEX(Malzemeler!$E$5:$E$154,MATCH(B201,Malzemeler!$A$5:$A$154,0)),0))</f>
        <v/>
      </c>
    </row>
    <row r="202" customFormat="false" ht="15" hidden="false" customHeight="false" outlineLevel="0" collapsed="false">
      <c r="A202" s="20"/>
      <c r="B202" s="20"/>
      <c r="C202" s="21"/>
      <c r="D202" s="16" t="str">
        <f aca="false">IF(OR(A202="",B202="",C202=""),"",C202*IFERROR(INDEX(Malzemeler!$E$5:$E$154,MATCH(B202,Malzemeler!$A$5:$A$154,0)),0))</f>
        <v/>
      </c>
    </row>
    <row r="203" customFormat="false" ht="15" hidden="false" customHeight="false" outlineLevel="0" collapsed="false">
      <c r="A203" s="20"/>
      <c r="B203" s="20"/>
      <c r="C203" s="21"/>
      <c r="D203" s="16" t="str">
        <f aca="false">IF(OR(A203="",B203="",C203=""),"",C203*IFERROR(INDEX(Malzemeler!$E$5:$E$154,MATCH(B203,Malzemeler!$A$5:$A$154,0)),0))</f>
        <v/>
      </c>
    </row>
    <row r="204" customFormat="false" ht="15" hidden="false" customHeight="false" outlineLevel="0" collapsed="false">
      <c r="A204" s="20"/>
      <c r="B204" s="20"/>
      <c r="C204" s="21"/>
      <c r="D204" s="16" t="str">
        <f aca="false">IF(OR(A204="",B204="",C204=""),"",C204*IFERROR(INDEX(Malzemeler!$E$5:$E$154,MATCH(B204,Malzemeler!$A$5:$A$154,0)),0))</f>
        <v/>
      </c>
    </row>
    <row r="205" customFormat="false" ht="15" hidden="false" customHeight="false" outlineLevel="0" collapsed="false">
      <c r="A205" s="20"/>
      <c r="B205" s="20"/>
      <c r="C205" s="21"/>
      <c r="D205" s="16" t="str">
        <f aca="false">IF(OR(A205="",B205="",C205=""),"",C205*IFERROR(INDEX(Malzemeler!$E$5:$E$154,MATCH(B205,Malzemeler!$A$5:$A$154,0)),0))</f>
        <v/>
      </c>
    </row>
    <row r="206" customFormat="false" ht="15" hidden="false" customHeight="false" outlineLevel="0" collapsed="false">
      <c r="A206" s="20"/>
      <c r="B206" s="20"/>
      <c r="C206" s="21"/>
      <c r="D206" s="16" t="str">
        <f aca="false">IF(OR(A206="",B206="",C206=""),"",C206*IFERROR(INDEX(Malzemeler!$E$5:$E$154,MATCH(B206,Malzemeler!$A$5:$A$154,0)),0))</f>
        <v/>
      </c>
    </row>
    <row r="207" customFormat="false" ht="15" hidden="false" customHeight="false" outlineLevel="0" collapsed="false">
      <c r="A207" s="20"/>
      <c r="B207" s="20"/>
      <c r="C207" s="21"/>
      <c r="D207" s="16" t="str">
        <f aca="false">IF(OR(A207="",B207="",C207=""),"",C207*IFERROR(INDEX(Malzemeler!$E$5:$E$154,MATCH(B207,Malzemeler!$A$5:$A$154,0)),0))</f>
        <v/>
      </c>
    </row>
    <row r="208" customFormat="false" ht="15" hidden="false" customHeight="false" outlineLevel="0" collapsed="false">
      <c r="A208" s="20"/>
      <c r="B208" s="20"/>
      <c r="C208" s="21"/>
      <c r="D208" s="16" t="str">
        <f aca="false">IF(OR(A208="",B208="",C208=""),"",C208*IFERROR(INDEX(Malzemeler!$E$5:$E$154,MATCH(B208,Malzemeler!$A$5:$A$154,0)),0))</f>
        <v/>
      </c>
    </row>
    <row r="209" customFormat="false" ht="15" hidden="false" customHeight="false" outlineLevel="0" collapsed="false">
      <c r="A209" s="20"/>
      <c r="B209" s="20"/>
      <c r="C209" s="21"/>
      <c r="D209" s="16" t="str">
        <f aca="false">IF(OR(A209="",B209="",C209=""),"",C209*IFERROR(INDEX(Malzemeler!$E$5:$E$154,MATCH(B209,Malzemeler!$A$5:$A$154,0)),0))</f>
        <v/>
      </c>
    </row>
    <row r="210" customFormat="false" ht="15" hidden="false" customHeight="false" outlineLevel="0" collapsed="false">
      <c r="A210" s="20"/>
      <c r="B210" s="20"/>
      <c r="C210" s="21"/>
      <c r="D210" s="16" t="str">
        <f aca="false">IF(OR(A210="",B210="",C210=""),"",C210*IFERROR(INDEX(Malzemeler!$E$5:$E$154,MATCH(B210,Malzemeler!$A$5:$A$154,0)),0))</f>
        <v/>
      </c>
    </row>
    <row r="211" customFormat="false" ht="15" hidden="false" customHeight="false" outlineLevel="0" collapsed="false">
      <c r="A211" s="20"/>
      <c r="B211" s="20"/>
      <c r="C211" s="21"/>
      <c r="D211" s="16" t="str">
        <f aca="false">IF(OR(A211="",B211="",C211=""),"",C211*IFERROR(INDEX(Malzemeler!$E$5:$E$154,MATCH(B211,Malzemeler!$A$5:$A$154,0)),0))</f>
        <v/>
      </c>
    </row>
    <row r="212" customFormat="false" ht="15" hidden="false" customHeight="false" outlineLevel="0" collapsed="false">
      <c r="A212" s="20"/>
      <c r="B212" s="20"/>
      <c r="C212" s="21"/>
      <c r="D212" s="16" t="str">
        <f aca="false">IF(OR(A212="",B212="",C212=""),"",C212*IFERROR(INDEX(Malzemeler!$E$5:$E$154,MATCH(B212,Malzemeler!$A$5:$A$154,0)),0))</f>
        <v/>
      </c>
    </row>
    <row r="213" customFormat="false" ht="15" hidden="false" customHeight="false" outlineLevel="0" collapsed="false">
      <c r="A213" s="20"/>
      <c r="B213" s="20"/>
      <c r="C213" s="21"/>
      <c r="D213" s="16" t="str">
        <f aca="false">IF(OR(A213="",B213="",C213=""),"",C213*IFERROR(INDEX(Malzemeler!$E$5:$E$154,MATCH(B213,Malzemeler!$A$5:$A$154,0)),0))</f>
        <v/>
      </c>
    </row>
    <row r="214" customFormat="false" ht="15" hidden="false" customHeight="false" outlineLevel="0" collapsed="false">
      <c r="A214" s="20"/>
      <c r="B214" s="20"/>
      <c r="C214" s="21"/>
      <c r="D214" s="16" t="str">
        <f aca="false">IF(OR(A214="",B214="",C214=""),"",C214*IFERROR(INDEX(Malzemeler!$E$5:$E$154,MATCH(B214,Malzemeler!$A$5:$A$154,0)),0))</f>
        <v/>
      </c>
    </row>
    <row r="215" customFormat="false" ht="15" hidden="false" customHeight="false" outlineLevel="0" collapsed="false">
      <c r="A215" s="20"/>
      <c r="B215" s="20"/>
      <c r="C215" s="21"/>
      <c r="D215" s="16" t="str">
        <f aca="false">IF(OR(A215="",B215="",C215=""),"",C215*IFERROR(INDEX(Malzemeler!$E$5:$E$154,MATCH(B215,Malzemeler!$A$5:$A$154,0)),0))</f>
        <v/>
      </c>
    </row>
    <row r="216" customFormat="false" ht="15" hidden="false" customHeight="false" outlineLevel="0" collapsed="false">
      <c r="A216" s="20"/>
      <c r="B216" s="20"/>
      <c r="C216" s="21"/>
      <c r="D216" s="16" t="str">
        <f aca="false">IF(OR(A216="",B216="",C216=""),"",C216*IFERROR(INDEX(Malzemeler!$E$5:$E$154,MATCH(B216,Malzemeler!$A$5:$A$154,0)),0))</f>
        <v/>
      </c>
    </row>
    <row r="217" customFormat="false" ht="15" hidden="false" customHeight="false" outlineLevel="0" collapsed="false">
      <c r="A217" s="20"/>
      <c r="B217" s="20"/>
      <c r="C217" s="21"/>
      <c r="D217" s="16" t="str">
        <f aca="false">IF(OR(A217="",B217="",C217=""),"",C217*IFERROR(INDEX(Malzemeler!$E$5:$E$154,MATCH(B217,Malzemeler!$A$5:$A$154,0)),0))</f>
        <v/>
      </c>
    </row>
    <row r="218" customFormat="false" ht="15" hidden="false" customHeight="false" outlineLevel="0" collapsed="false">
      <c r="A218" s="20"/>
      <c r="B218" s="20"/>
      <c r="C218" s="21"/>
      <c r="D218" s="16" t="str">
        <f aca="false">IF(OR(A218="",B218="",C218=""),"",C218*IFERROR(INDEX(Malzemeler!$E$5:$E$154,MATCH(B218,Malzemeler!$A$5:$A$154,0)),0))</f>
        <v/>
      </c>
    </row>
    <row r="219" customFormat="false" ht="15" hidden="false" customHeight="false" outlineLevel="0" collapsed="false">
      <c r="A219" s="20"/>
      <c r="B219" s="20"/>
      <c r="C219" s="21"/>
      <c r="D219" s="16" t="str">
        <f aca="false">IF(OR(A219="",B219="",C219=""),"",C219*IFERROR(INDEX(Malzemeler!$E$5:$E$154,MATCH(B219,Malzemeler!$A$5:$A$154,0)),0))</f>
        <v/>
      </c>
    </row>
    <row r="220" customFormat="false" ht="15" hidden="false" customHeight="false" outlineLevel="0" collapsed="false">
      <c r="A220" s="20"/>
      <c r="B220" s="20"/>
      <c r="C220" s="21"/>
      <c r="D220" s="16" t="str">
        <f aca="false">IF(OR(A220="",B220="",C220=""),"",C220*IFERROR(INDEX(Malzemeler!$E$5:$E$154,MATCH(B220,Malzemeler!$A$5:$A$154,0)),0))</f>
        <v/>
      </c>
    </row>
    <row r="221" customFormat="false" ht="15" hidden="false" customHeight="false" outlineLevel="0" collapsed="false">
      <c r="A221" s="20"/>
      <c r="B221" s="20"/>
      <c r="C221" s="21"/>
      <c r="D221" s="16" t="str">
        <f aca="false">IF(OR(A221="",B221="",C221=""),"",C221*IFERROR(INDEX(Malzemeler!$E$5:$E$154,MATCH(B221,Malzemeler!$A$5:$A$154,0)),0))</f>
        <v/>
      </c>
    </row>
    <row r="222" customFormat="false" ht="15" hidden="false" customHeight="false" outlineLevel="0" collapsed="false">
      <c r="A222" s="20"/>
      <c r="B222" s="20"/>
      <c r="C222" s="21"/>
      <c r="D222" s="16" t="str">
        <f aca="false">IF(OR(A222="",B222="",C222=""),"",C222*IFERROR(INDEX(Malzemeler!$E$5:$E$154,MATCH(B222,Malzemeler!$A$5:$A$154,0)),0))</f>
        <v/>
      </c>
    </row>
    <row r="223" customFormat="false" ht="15" hidden="false" customHeight="false" outlineLevel="0" collapsed="false">
      <c r="A223" s="20"/>
      <c r="B223" s="20"/>
      <c r="C223" s="21"/>
      <c r="D223" s="16" t="str">
        <f aca="false">IF(OR(A223="",B223="",C223=""),"",C223*IFERROR(INDEX(Malzemeler!$E$5:$E$154,MATCH(B223,Malzemeler!$A$5:$A$154,0)),0))</f>
        <v/>
      </c>
    </row>
    <row r="224" customFormat="false" ht="15" hidden="false" customHeight="false" outlineLevel="0" collapsed="false">
      <c r="A224" s="20"/>
      <c r="B224" s="20"/>
      <c r="C224" s="21"/>
      <c r="D224" s="16" t="str">
        <f aca="false">IF(OR(A224="",B224="",C224=""),"",C224*IFERROR(INDEX(Malzemeler!$E$5:$E$154,MATCH(B224,Malzemeler!$A$5:$A$154,0)),0))</f>
        <v/>
      </c>
    </row>
    <row r="225" customFormat="false" ht="15" hidden="false" customHeight="false" outlineLevel="0" collapsed="false">
      <c r="A225" s="20"/>
      <c r="B225" s="20"/>
      <c r="C225" s="21"/>
      <c r="D225" s="16" t="str">
        <f aca="false">IF(OR(A225="",B225="",C225=""),"",C225*IFERROR(INDEX(Malzemeler!$E$5:$E$154,MATCH(B225,Malzemeler!$A$5:$A$154,0)),0))</f>
        <v/>
      </c>
    </row>
    <row r="226" customFormat="false" ht="15" hidden="false" customHeight="false" outlineLevel="0" collapsed="false">
      <c r="A226" s="20"/>
      <c r="B226" s="20"/>
      <c r="C226" s="21"/>
      <c r="D226" s="16" t="str">
        <f aca="false">IF(OR(A226="",B226="",C226=""),"",C226*IFERROR(INDEX(Malzemeler!$E$5:$E$154,MATCH(B226,Malzemeler!$A$5:$A$154,0)),0))</f>
        <v/>
      </c>
    </row>
    <row r="227" customFormat="false" ht="15" hidden="false" customHeight="false" outlineLevel="0" collapsed="false">
      <c r="A227" s="20"/>
      <c r="B227" s="20"/>
      <c r="C227" s="21"/>
      <c r="D227" s="16" t="str">
        <f aca="false">IF(OR(A227="",B227="",C227=""),"",C227*IFERROR(INDEX(Malzemeler!$E$5:$E$154,MATCH(B227,Malzemeler!$A$5:$A$154,0)),0))</f>
        <v/>
      </c>
    </row>
    <row r="228" customFormat="false" ht="15" hidden="false" customHeight="false" outlineLevel="0" collapsed="false">
      <c r="A228" s="20"/>
      <c r="B228" s="20"/>
      <c r="C228" s="21"/>
      <c r="D228" s="16" t="str">
        <f aca="false">IF(OR(A228="",B228="",C228=""),"",C228*IFERROR(INDEX(Malzemeler!$E$5:$E$154,MATCH(B228,Malzemeler!$A$5:$A$154,0)),0))</f>
        <v/>
      </c>
    </row>
    <row r="229" customFormat="false" ht="15" hidden="false" customHeight="false" outlineLevel="0" collapsed="false">
      <c r="A229" s="20"/>
      <c r="B229" s="20"/>
      <c r="C229" s="21"/>
      <c r="D229" s="16" t="str">
        <f aca="false">IF(OR(A229="",B229="",C229=""),"",C229*IFERROR(INDEX(Malzemeler!$E$5:$E$154,MATCH(B229,Malzemeler!$A$5:$A$154,0)),0))</f>
        <v/>
      </c>
    </row>
    <row r="230" customFormat="false" ht="15" hidden="false" customHeight="false" outlineLevel="0" collapsed="false">
      <c r="A230" s="20"/>
      <c r="B230" s="20"/>
      <c r="C230" s="21"/>
      <c r="D230" s="16" t="str">
        <f aca="false">IF(OR(A230="",B230="",C230=""),"",C230*IFERROR(INDEX(Malzemeler!$E$5:$E$154,MATCH(B230,Malzemeler!$A$5:$A$154,0)),0))</f>
        <v/>
      </c>
    </row>
    <row r="231" customFormat="false" ht="15" hidden="false" customHeight="false" outlineLevel="0" collapsed="false">
      <c r="A231" s="20"/>
      <c r="B231" s="20"/>
      <c r="C231" s="21"/>
      <c r="D231" s="16" t="str">
        <f aca="false">IF(OR(A231="",B231="",C231=""),"",C231*IFERROR(INDEX(Malzemeler!$E$5:$E$154,MATCH(B231,Malzemeler!$A$5:$A$154,0)),0))</f>
        <v/>
      </c>
    </row>
    <row r="232" customFormat="false" ht="15" hidden="false" customHeight="false" outlineLevel="0" collapsed="false">
      <c r="A232" s="20"/>
      <c r="B232" s="20"/>
      <c r="C232" s="21"/>
      <c r="D232" s="16" t="str">
        <f aca="false">IF(OR(A232="",B232="",C232=""),"",C232*IFERROR(INDEX(Malzemeler!$E$5:$E$154,MATCH(B232,Malzemeler!$A$5:$A$154,0)),0))</f>
        <v/>
      </c>
    </row>
    <row r="233" customFormat="false" ht="15" hidden="false" customHeight="false" outlineLevel="0" collapsed="false">
      <c r="A233" s="20"/>
      <c r="B233" s="20"/>
      <c r="C233" s="21"/>
      <c r="D233" s="16" t="str">
        <f aca="false">IF(OR(A233="",B233="",C233=""),"",C233*IFERROR(INDEX(Malzemeler!$E$5:$E$154,MATCH(B233,Malzemeler!$A$5:$A$154,0)),0))</f>
        <v/>
      </c>
    </row>
    <row r="234" customFormat="false" ht="15" hidden="false" customHeight="false" outlineLevel="0" collapsed="false">
      <c r="A234" s="20"/>
      <c r="B234" s="20"/>
      <c r="C234" s="21"/>
      <c r="D234" s="16" t="str">
        <f aca="false">IF(OR(A234="",B234="",C234=""),"",C234*IFERROR(INDEX(Malzemeler!$E$5:$E$154,MATCH(B234,Malzemeler!$A$5:$A$154,0)),0))</f>
        <v/>
      </c>
    </row>
    <row r="235" customFormat="false" ht="15" hidden="false" customHeight="false" outlineLevel="0" collapsed="false">
      <c r="A235" s="20"/>
      <c r="B235" s="20"/>
      <c r="C235" s="21"/>
      <c r="D235" s="16" t="str">
        <f aca="false">IF(OR(A235="",B235="",C235=""),"",C235*IFERROR(INDEX(Malzemeler!$E$5:$E$154,MATCH(B235,Malzemeler!$A$5:$A$154,0)),0))</f>
        <v/>
      </c>
    </row>
    <row r="236" customFormat="false" ht="15" hidden="false" customHeight="false" outlineLevel="0" collapsed="false">
      <c r="A236" s="20"/>
      <c r="B236" s="20"/>
      <c r="C236" s="21"/>
      <c r="D236" s="16" t="str">
        <f aca="false">IF(OR(A236="",B236="",C236=""),"",C236*IFERROR(INDEX(Malzemeler!$E$5:$E$154,MATCH(B236,Malzemeler!$A$5:$A$154,0)),0))</f>
        <v/>
      </c>
    </row>
    <row r="237" customFormat="false" ht="15" hidden="false" customHeight="false" outlineLevel="0" collapsed="false">
      <c r="A237" s="20"/>
      <c r="B237" s="20"/>
      <c r="C237" s="21"/>
      <c r="D237" s="16" t="str">
        <f aca="false">IF(OR(A237="",B237="",C237=""),"",C237*IFERROR(INDEX(Malzemeler!$E$5:$E$154,MATCH(B237,Malzemeler!$A$5:$A$154,0)),0))</f>
        <v/>
      </c>
    </row>
    <row r="238" customFormat="false" ht="15" hidden="false" customHeight="false" outlineLevel="0" collapsed="false">
      <c r="A238" s="20"/>
      <c r="B238" s="20"/>
      <c r="C238" s="21"/>
      <c r="D238" s="16" t="str">
        <f aca="false">IF(OR(A238="",B238="",C238=""),"",C238*IFERROR(INDEX(Malzemeler!$E$5:$E$154,MATCH(B238,Malzemeler!$A$5:$A$154,0)),0))</f>
        <v/>
      </c>
    </row>
    <row r="239" customFormat="false" ht="15" hidden="false" customHeight="false" outlineLevel="0" collapsed="false">
      <c r="A239" s="20"/>
      <c r="B239" s="20"/>
      <c r="C239" s="21"/>
      <c r="D239" s="16" t="str">
        <f aca="false">IF(OR(A239="",B239="",C239=""),"",C239*IFERROR(INDEX(Malzemeler!$E$5:$E$154,MATCH(B239,Malzemeler!$A$5:$A$154,0)),0))</f>
        <v/>
      </c>
    </row>
    <row r="240" customFormat="false" ht="15" hidden="false" customHeight="false" outlineLevel="0" collapsed="false">
      <c r="A240" s="20"/>
      <c r="B240" s="20"/>
      <c r="C240" s="21"/>
      <c r="D240" s="16" t="str">
        <f aca="false">IF(OR(A240="",B240="",C240=""),"",C240*IFERROR(INDEX(Malzemeler!$E$5:$E$154,MATCH(B240,Malzemeler!$A$5:$A$154,0)),0))</f>
        <v/>
      </c>
    </row>
    <row r="241" customFormat="false" ht="15" hidden="false" customHeight="false" outlineLevel="0" collapsed="false">
      <c r="A241" s="20"/>
      <c r="B241" s="20"/>
      <c r="C241" s="21"/>
      <c r="D241" s="16" t="str">
        <f aca="false">IF(OR(A241="",B241="",C241=""),"",C241*IFERROR(INDEX(Malzemeler!$E$5:$E$154,MATCH(B241,Malzemeler!$A$5:$A$154,0)),0))</f>
        <v/>
      </c>
    </row>
    <row r="242" customFormat="false" ht="15" hidden="false" customHeight="false" outlineLevel="0" collapsed="false">
      <c r="A242" s="20"/>
      <c r="B242" s="20"/>
      <c r="C242" s="21"/>
      <c r="D242" s="16" t="str">
        <f aca="false">IF(OR(A242="",B242="",C242=""),"",C242*IFERROR(INDEX(Malzemeler!$E$5:$E$154,MATCH(B242,Malzemeler!$A$5:$A$154,0)),0))</f>
        <v/>
      </c>
    </row>
    <row r="243" customFormat="false" ht="15" hidden="false" customHeight="false" outlineLevel="0" collapsed="false">
      <c r="A243" s="20"/>
      <c r="B243" s="20"/>
      <c r="C243" s="21"/>
      <c r="D243" s="16" t="str">
        <f aca="false">IF(OR(A243="",B243="",C243=""),"",C243*IFERROR(INDEX(Malzemeler!$E$5:$E$154,MATCH(B243,Malzemeler!$A$5:$A$154,0)),0))</f>
        <v/>
      </c>
    </row>
    <row r="244" customFormat="false" ht="15" hidden="false" customHeight="false" outlineLevel="0" collapsed="false">
      <c r="A244" s="20"/>
      <c r="B244" s="20"/>
      <c r="C244" s="21"/>
      <c r="D244" s="16" t="str">
        <f aca="false">IF(OR(A244="",B244="",C244=""),"",C244*IFERROR(INDEX(Malzemeler!$E$5:$E$154,MATCH(B244,Malzemeler!$A$5:$A$154,0)),0))</f>
        <v/>
      </c>
    </row>
    <row r="245" customFormat="false" ht="15" hidden="false" customHeight="false" outlineLevel="0" collapsed="false">
      <c r="A245" s="20"/>
      <c r="B245" s="20"/>
      <c r="C245" s="21"/>
      <c r="D245" s="16" t="str">
        <f aca="false">IF(OR(A245="",B245="",C245=""),"",C245*IFERROR(INDEX(Malzemeler!$E$5:$E$154,MATCH(B245,Malzemeler!$A$5:$A$154,0)),0))</f>
        <v/>
      </c>
    </row>
    <row r="246" customFormat="false" ht="15" hidden="false" customHeight="false" outlineLevel="0" collapsed="false">
      <c r="A246" s="20"/>
      <c r="B246" s="20"/>
      <c r="C246" s="21"/>
      <c r="D246" s="16" t="str">
        <f aca="false">IF(OR(A246="",B246="",C246=""),"",C246*IFERROR(INDEX(Malzemeler!$E$5:$E$154,MATCH(B246,Malzemeler!$A$5:$A$154,0)),0))</f>
        <v/>
      </c>
    </row>
    <row r="247" customFormat="false" ht="15" hidden="false" customHeight="false" outlineLevel="0" collapsed="false">
      <c r="A247" s="20"/>
      <c r="B247" s="20"/>
      <c r="C247" s="21"/>
      <c r="D247" s="16" t="str">
        <f aca="false">IF(OR(A247="",B247="",C247=""),"",C247*IFERROR(INDEX(Malzemeler!$E$5:$E$154,MATCH(B247,Malzemeler!$A$5:$A$154,0)),0))</f>
        <v/>
      </c>
    </row>
    <row r="248" customFormat="false" ht="15" hidden="false" customHeight="false" outlineLevel="0" collapsed="false">
      <c r="A248" s="20"/>
      <c r="B248" s="20"/>
      <c r="C248" s="21"/>
      <c r="D248" s="16" t="str">
        <f aca="false">IF(OR(A248="",B248="",C248=""),"",C248*IFERROR(INDEX(Malzemeler!$E$5:$E$154,MATCH(B248,Malzemeler!$A$5:$A$154,0)),0))</f>
        <v/>
      </c>
    </row>
    <row r="249" customFormat="false" ht="15" hidden="false" customHeight="false" outlineLevel="0" collapsed="false">
      <c r="A249" s="20"/>
      <c r="B249" s="20"/>
      <c r="C249" s="21"/>
      <c r="D249" s="16" t="str">
        <f aca="false">IF(OR(A249="",B249="",C249=""),"",C249*IFERROR(INDEX(Malzemeler!$E$5:$E$154,MATCH(B249,Malzemeler!$A$5:$A$154,0)),0))</f>
        <v/>
      </c>
    </row>
    <row r="250" customFormat="false" ht="15" hidden="false" customHeight="false" outlineLevel="0" collapsed="false">
      <c r="A250" s="20"/>
      <c r="B250" s="20"/>
      <c r="C250" s="21"/>
      <c r="D250" s="16" t="str">
        <f aca="false">IF(OR(A250="",B250="",C250=""),"",C250*IFERROR(INDEX(Malzemeler!$E$5:$E$154,MATCH(B250,Malzemeler!$A$5:$A$154,0)),0))</f>
        <v/>
      </c>
    </row>
    <row r="251" customFormat="false" ht="15" hidden="false" customHeight="false" outlineLevel="0" collapsed="false">
      <c r="A251" s="20"/>
      <c r="B251" s="20"/>
      <c r="C251" s="21"/>
      <c r="D251" s="16" t="str">
        <f aca="false">IF(OR(A251="",B251="",C251=""),"",C251*IFERROR(INDEX(Malzemeler!$E$5:$E$154,MATCH(B251,Malzemeler!$A$5:$A$154,0)),0))</f>
        <v/>
      </c>
    </row>
    <row r="252" customFormat="false" ht="15" hidden="false" customHeight="false" outlineLevel="0" collapsed="false">
      <c r="A252" s="20"/>
      <c r="B252" s="20"/>
      <c r="C252" s="21"/>
      <c r="D252" s="16" t="str">
        <f aca="false">IF(OR(A252="",B252="",C252=""),"",C252*IFERROR(INDEX(Malzemeler!$E$5:$E$154,MATCH(B252,Malzemeler!$A$5:$A$154,0)),0))</f>
        <v/>
      </c>
    </row>
    <row r="253" customFormat="false" ht="15" hidden="false" customHeight="false" outlineLevel="0" collapsed="false">
      <c r="A253" s="20"/>
      <c r="B253" s="20"/>
      <c r="C253" s="21"/>
      <c r="D253" s="16" t="str">
        <f aca="false">IF(OR(A253="",B253="",C253=""),"",C253*IFERROR(INDEX(Malzemeler!$E$5:$E$154,MATCH(B253,Malzemeler!$A$5:$A$154,0)),0))</f>
        <v/>
      </c>
    </row>
    <row r="254" customFormat="false" ht="15" hidden="false" customHeight="false" outlineLevel="0" collapsed="false">
      <c r="A254" s="20"/>
      <c r="B254" s="20"/>
      <c r="C254" s="21"/>
      <c r="D254" s="16" t="str">
        <f aca="false">IF(OR(A254="",B254="",C254=""),"",C254*IFERROR(INDEX(Malzemeler!$E$5:$E$154,MATCH(B254,Malzemeler!$A$5:$A$154,0)),0))</f>
        <v/>
      </c>
    </row>
    <row r="255" customFormat="false" ht="15" hidden="false" customHeight="false" outlineLevel="0" collapsed="false">
      <c r="A255" s="20"/>
      <c r="B255" s="20"/>
      <c r="C255" s="21"/>
      <c r="D255" s="16" t="str">
        <f aca="false">IF(OR(A255="",B255="",C255=""),"",C255*IFERROR(INDEX(Malzemeler!$E$5:$E$154,MATCH(B255,Malzemeler!$A$5:$A$154,0)),0))</f>
        <v/>
      </c>
    </row>
    <row r="256" customFormat="false" ht="15" hidden="false" customHeight="false" outlineLevel="0" collapsed="false">
      <c r="A256" s="20"/>
      <c r="B256" s="20"/>
      <c r="C256" s="21"/>
      <c r="D256" s="16" t="str">
        <f aca="false">IF(OR(A256="",B256="",C256=""),"",C256*IFERROR(INDEX(Malzemeler!$E$5:$E$154,MATCH(B256,Malzemeler!$A$5:$A$154,0)),0))</f>
        <v/>
      </c>
    </row>
    <row r="257" customFormat="false" ht="15" hidden="false" customHeight="false" outlineLevel="0" collapsed="false">
      <c r="A257" s="20"/>
      <c r="B257" s="20"/>
      <c r="C257" s="21"/>
      <c r="D257" s="16" t="str">
        <f aca="false">IF(OR(A257="",B257="",C257=""),"",C257*IFERROR(INDEX(Malzemeler!$E$5:$E$154,MATCH(B257,Malzemeler!$A$5:$A$154,0)),0))</f>
        <v/>
      </c>
    </row>
    <row r="258" customFormat="false" ht="15" hidden="false" customHeight="false" outlineLevel="0" collapsed="false">
      <c r="A258" s="20"/>
      <c r="B258" s="20"/>
      <c r="C258" s="21"/>
      <c r="D258" s="16" t="str">
        <f aca="false">IF(OR(A258="",B258="",C258=""),"",C258*IFERROR(INDEX(Malzemeler!$E$5:$E$154,MATCH(B258,Malzemeler!$A$5:$A$154,0)),0))</f>
        <v/>
      </c>
    </row>
    <row r="259" customFormat="false" ht="15" hidden="false" customHeight="false" outlineLevel="0" collapsed="false">
      <c r="A259" s="20"/>
      <c r="B259" s="20"/>
      <c r="C259" s="21"/>
      <c r="D259" s="16" t="str">
        <f aca="false">IF(OR(A259="",B259="",C259=""),"",C259*IFERROR(INDEX(Malzemeler!$E$5:$E$154,MATCH(B259,Malzemeler!$A$5:$A$154,0)),0))</f>
        <v/>
      </c>
    </row>
    <row r="260" customFormat="false" ht="15" hidden="false" customHeight="false" outlineLevel="0" collapsed="false">
      <c r="A260" s="20"/>
      <c r="B260" s="20"/>
      <c r="C260" s="21"/>
      <c r="D260" s="16" t="str">
        <f aca="false">IF(OR(A260="",B260="",C260=""),"",C260*IFERROR(INDEX(Malzemeler!$E$5:$E$154,MATCH(B260,Malzemeler!$A$5:$A$154,0)),0))</f>
        <v/>
      </c>
    </row>
    <row r="261" customFormat="false" ht="15" hidden="false" customHeight="false" outlineLevel="0" collapsed="false">
      <c r="A261" s="20"/>
      <c r="B261" s="20"/>
      <c r="C261" s="21"/>
      <c r="D261" s="16" t="str">
        <f aca="false">IF(OR(A261="",B261="",C261=""),"",C261*IFERROR(INDEX(Malzemeler!$E$5:$E$154,MATCH(B261,Malzemeler!$A$5:$A$154,0)),0))</f>
        <v/>
      </c>
    </row>
    <row r="262" customFormat="false" ht="15" hidden="false" customHeight="false" outlineLevel="0" collapsed="false">
      <c r="A262" s="20"/>
      <c r="B262" s="20"/>
      <c r="C262" s="21"/>
      <c r="D262" s="16" t="str">
        <f aca="false">IF(OR(A262="",B262="",C262=""),"",C262*IFERROR(INDEX(Malzemeler!$E$5:$E$154,MATCH(B262,Malzemeler!$A$5:$A$154,0)),0))</f>
        <v/>
      </c>
    </row>
    <row r="263" customFormat="false" ht="15" hidden="false" customHeight="false" outlineLevel="0" collapsed="false">
      <c r="A263" s="20"/>
      <c r="B263" s="20"/>
      <c r="C263" s="21"/>
      <c r="D263" s="16" t="str">
        <f aca="false">IF(OR(A263="",B263="",C263=""),"",C263*IFERROR(INDEX(Malzemeler!$E$5:$E$154,MATCH(B263,Malzemeler!$A$5:$A$154,0)),0))</f>
        <v/>
      </c>
    </row>
    <row r="264" customFormat="false" ht="15" hidden="false" customHeight="false" outlineLevel="0" collapsed="false">
      <c r="A264" s="20"/>
      <c r="B264" s="20"/>
      <c r="C264" s="21"/>
      <c r="D264" s="16" t="str">
        <f aca="false">IF(OR(A264="",B264="",C264=""),"",C264*IFERROR(INDEX(Malzemeler!$E$5:$E$154,MATCH(B264,Malzemeler!$A$5:$A$154,0)),0))</f>
        <v/>
      </c>
    </row>
    <row r="265" customFormat="false" ht="15" hidden="false" customHeight="false" outlineLevel="0" collapsed="false">
      <c r="A265" s="20"/>
      <c r="B265" s="20"/>
      <c r="C265" s="21"/>
      <c r="D265" s="16" t="str">
        <f aca="false">IF(OR(A265="",B265="",C265=""),"",C265*IFERROR(INDEX(Malzemeler!$E$5:$E$154,MATCH(B265,Malzemeler!$A$5:$A$154,0)),0))</f>
        <v/>
      </c>
    </row>
    <row r="266" customFormat="false" ht="15" hidden="false" customHeight="false" outlineLevel="0" collapsed="false">
      <c r="A266" s="20"/>
      <c r="B266" s="20"/>
      <c r="C266" s="21"/>
      <c r="D266" s="16" t="str">
        <f aca="false">IF(OR(A266="",B266="",C266=""),"",C266*IFERROR(INDEX(Malzemeler!$E$5:$E$154,MATCH(B266,Malzemeler!$A$5:$A$154,0)),0))</f>
        <v/>
      </c>
    </row>
    <row r="267" customFormat="false" ht="15" hidden="false" customHeight="false" outlineLevel="0" collapsed="false">
      <c r="A267" s="20"/>
      <c r="B267" s="20"/>
      <c r="C267" s="21"/>
      <c r="D267" s="16" t="str">
        <f aca="false">IF(OR(A267="",B267="",C267=""),"",C267*IFERROR(INDEX(Malzemeler!$E$5:$E$154,MATCH(B267,Malzemeler!$A$5:$A$154,0)),0))</f>
        <v/>
      </c>
    </row>
    <row r="268" customFormat="false" ht="15" hidden="false" customHeight="false" outlineLevel="0" collapsed="false">
      <c r="A268" s="20"/>
      <c r="B268" s="20"/>
      <c r="C268" s="21"/>
      <c r="D268" s="16" t="str">
        <f aca="false">IF(OR(A268="",B268="",C268=""),"",C268*IFERROR(INDEX(Malzemeler!$E$5:$E$154,MATCH(B268,Malzemeler!$A$5:$A$154,0)),0))</f>
        <v/>
      </c>
    </row>
    <row r="269" customFormat="false" ht="15" hidden="false" customHeight="false" outlineLevel="0" collapsed="false">
      <c r="A269" s="20"/>
      <c r="B269" s="20"/>
      <c r="C269" s="21"/>
      <c r="D269" s="16" t="str">
        <f aca="false">IF(OR(A269="",B269="",C269=""),"",C269*IFERROR(INDEX(Malzemeler!$E$5:$E$154,MATCH(B269,Malzemeler!$A$5:$A$154,0)),0))</f>
        <v/>
      </c>
    </row>
    <row r="270" customFormat="false" ht="15" hidden="false" customHeight="false" outlineLevel="0" collapsed="false">
      <c r="A270" s="20"/>
      <c r="B270" s="20"/>
      <c r="C270" s="21"/>
      <c r="D270" s="16" t="str">
        <f aca="false">IF(OR(A270="",B270="",C270=""),"",C270*IFERROR(INDEX(Malzemeler!$E$5:$E$154,MATCH(B270,Malzemeler!$A$5:$A$154,0)),0))</f>
        <v/>
      </c>
    </row>
    <row r="271" customFormat="false" ht="15" hidden="false" customHeight="false" outlineLevel="0" collapsed="false">
      <c r="A271" s="20"/>
      <c r="B271" s="20"/>
      <c r="C271" s="21"/>
      <c r="D271" s="16" t="str">
        <f aca="false">IF(OR(A271="",B271="",C271=""),"",C271*IFERROR(INDEX(Malzemeler!$E$5:$E$154,MATCH(B271,Malzemeler!$A$5:$A$154,0)),0))</f>
        <v/>
      </c>
    </row>
    <row r="272" customFormat="false" ht="15" hidden="false" customHeight="false" outlineLevel="0" collapsed="false">
      <c r="A272" s="20"/>
      <c r="B272" s="20"/>
      <c r="C272" s="21"/>
      <c r="D272" s="16" t="str">
        <f aca="false">IF(OR(A272="",B272="",C272=""),"",C272*IFERROR(INDEX(Malzemeler!$E$5:$E$154,MATCH(B272,Malzemeler!$A$5:$A$154,0)),0))</f>
        <v/>
      </c>
    </row>
    <row r="273" customFormat="false" ht="15" hidden="false" customHeight="false" outlineLevel="0" collapsed="false">
      <c r="A273" s="20"/>
      <c r="B273" s="20"/>
      <c r="C273" s="21"/>
      <c r="D273" s="16" t="str">
        <f aca="false">IF(OR(A273="",B273="",C273=""),"",C273*IFERROR(INDEX(Malzemeler!$E$5:$E$154,MATCH(B273,Malzemeler!$A$5:$A$154,0)),0))</f>
        <v/>
      </c>
    </row>
    <row r="274" customFormat="false" ht="15" hidden="false" customHeight="false" outlineLevel="0" collapsed="false">
      <c r="A274" s="20"/>
      <c r="B274" s="20"/>
      <c r="C274" s="21"/>
      <c r="D274" s="16" t="str">
        <f aca="false">IF(OR(A274="",B274="",C274=""),"",C274*IFERROR(INDEX(Malzemeler!$E$5:$E$154,MATCH(B274,Malzemeler!$A$5:$A$154,0)),0))</f>
        <v/>
      </c>
    </row>
    <row r="275" customFormat="false" ht="15" hidden="false" customHeight="false" outlineLevel="0" collapsed="false">
      <c r="A275" s="20"/>
      <c r="B275" s="20"/>
      <c r="C275" s="21"/>
      <c r="D275" s="16" t="str">
        <f aca="false">IF(OR(A275="",B275="",C275=""),"",C275*IFERROR(INDEX(Malzemeler!$E$5:$E$154,MATCH(B275,Malzemeler!$A$5:$A$154,0)),0))</f>
        <v/>
      </c>
    </row>
    <row r="276" customFormat="false" ht="15" hidden="false" customHeight="false" outlineLevel="0" collapsed="false">
      <c r="A276" s="20"/>
      <c r="B276" s="20"/>
      <c r="C276" s="21"/>
      <c r="D276" s="16" t="str">
        <f aca="false">IF(OR(A276="",B276="",C276=""),"",C276*IFERROR(INDEX(Malzemeler!$E$5:$E$154,MATCH(B276,Malzemeler!$A$5:$A$154,0)),0))</f>
        <v/>
      </c>
    </row>
    <row r="277" customFormat="false" ht="15" hidden="false" customHeight="false" outlineLevel="0" collapsed="false">
      <c r="A277" s="20"/>
      <c r="B277" s="20"/>
      <c r="C277" s="21"/>
      <c r="D277" s="16" t="str">
        <f aca="false">IF(OR(A277="",B277="",C277=""),"",C277*IFERROR(INDEX(Malzemeler!$E$5:$E$154,MATCH(B277,Malzemeler!$A$5:$A$154,0)),0))</f>
        <v/>
      </c>
    </row>
    <row r="278" customFormat="false" ht="15" hidden="false" customHeight="false" outlineLevel="0" collapsed="false">
      <c r="A278" s="20"/>
      <c r="B278" s="20"/>
      <c r="C278" s="21"/>
      <c r="D278" s="16" t="str">
        <f aca="false">IF(OR(A278="",B278="",C278=""),"",C278*IFERROR(INDEX(Malzemeler!$E$5:$E$154,MATCH(B278,Malzemeler!$A$5:$A$154,0)),0))</f>
        <v/>
      </c>
    </row>
    <row r="279" customFormat="false" ht="15" hidden="false" customHeight="false" outlineLevel="0" collapsed="false">
      <c r="A279" s="20"/>
      <c r="B279" s="20"/>
      <c r="C279" s="21"/>
      <c r="D279" s="16" t="str">
        <f aca="false">IF(OR(A279="",B279="",C279=""),"",C279*IFERROR(INDEX(Malzemeler!$E$5:$E$154,MATCH(B279,Malzemeler!$A$5:$A$154,0)),0))</f>
        <v/>
      </c>
    </row>
    <row r="280" customFormat="false" ht="15" hidden="false" customHeight="false" outlineLevel="0" collapsed="false">
      <c r="A280" s="20"/>
      <c r="B280" s="20"/>
      <c r="C280" s="21"/>
      <c r="D280" s="16" t="str">
        <f aca="false">IF(OR(A280="",B280="",C280=""),"",C280*IFERROR(INDEX(Malzemeler!$E$5:$E$154,MATCH(B280,Malzemeler!$A$5:$A$154,0)),0))</f>
        <v/>
      </c>
    </row>
    <row r="281" customFormat="false" ht="15" hidden="false" customHeight="false" outlineLevel="0" collapsed="false">
      <c r="A281" s="20"/>
      <c r="B281" s="20"/>
      <c r="C281" s="21"/>
      <c r="D281" s="16" t="str">
        <f aca="false">IF(OR(A281="",B281="",C281=""),"",C281*IFERROR(INDEX(Malzemeler!$E$5:$E$154,MATCH(B281,Malzemeler!$A$5:$A$154,0)),0))</f>
        <v/>
      </c>
    </row>
    <row r="282" customFormat="false" ht="15" hidden="false" customHeight="false" outlineLevel="0" collapsed="false">
      <c r="A282" s="20"/>
      <c r="B282" s="20"/>
      <c r="C282" s="21"/>
      <c r="D282" s="16" t="str">
        <f aca="false">IF(OR(A282="",B282="",C282=""),"",C282*IFERROR(INDEX(Malzemeler!$E$5:$E$154,MATCH(B282,Malzemeler!$A$5:$A$154,0)),0))</f>
        <v/>
      </c>
    </row>
    <row r="283" customFormat="false" ht="15" hidden="false" customHeight="false" outlineLevel="0" collapsed="false">
      <c r="A283" s="20"/>
      <c r="B283" s="20"/>
      <c r="C283" s="21"/>
      <c r="D283" s="16" t="str">
        <f aca="false">IF(OR(A283="",B283="",C283=""),"",C283*IFERROR(INDEX(Malzemeler!$E$5:$E$154,MATCH(B283,Malzemeler!$A$5:$A$154,0)),0))</f>
        <v/>
      </c>
    </row>
    <row r="284" customFormat="false" ht="15" hidden="false" customHeight="false" outlineLevel="0" collapsed="false">
      <c r="A284" s="20"/>
      <c r="B284" s="20"/>
      <c r="C284" s="21"/>
      <c r="D284" s="16" t="str">
        <f aca="false">IF(OR(A284="",B284="",C284=""),"",C284*IFERROR(INDEX(Malzemeler!$E$5:$E$154,MATCH(B284,Malzemeler!$A$5:$A$154,0)),0))</f>
        <v/>
      </c>
    </row>
    <row r="285" customFormat="false" ht="15" hidden="false" customHeight="false" outlineLevel="0" collapsed="false">
      <c r="A285" s="20"/>
      <c r="B285" s="20"/>
      <c r="C285" s="21"/>
      <c r="D285" s="16" t="str">
        <f aca="false">IF(OR(A285="",B285="",C285=""),"",C285*IFERROR(INDEX(Malzemeler!$E$5:$E$154,MATCH(B285,Malzemeler!$A$5:$A$154,0)),0))</f>
        <v/>
      </c>
    </row>
    <row r="286" customFormat="false" ht="15" hidden="false" customHeight="false" outlineLevel="0" collapsed="false">
      <c r="A286" s="20"/>
      <c r="B286" s="20"/>
      <c r="C286" s="21"/>
      <c r="D286" s="16" t="str">
        <f aca="false">IF(OR(A286="",B286="",C286=""),"",C286*IFERROR(INDEX(Malzemeler!$E$5:$E$154,MATCH(B286,Malzemeler!$A$5:$A$154,0)),0))</f>
        <v/>
      </c>
    </row>
    <row r="287" customFormat="false" ht="15" hidden="false" customHeight="false" outlineLevel="0" collapsed="false">
      <c r="A287" s="20"/>
      <c r="B287" s="20"/>
      <c r="C287" s="21"/>
      <c r="D287" s="16" t="str">
        <f aca="false">IF(OR(A287="",B287="",C287=""),"",C287*IFERROR(INDEX(Malzemeler!$E$5:$E$154,MATCH(B287,Malzemeler!$A$5:$A$154,0)),0))</f>
        <v/>
      </c>
    </row>
    <row r="288" customFormat="false" ht="15" hidden="false" customHeight="false" outlineLevel="0" collapsed="false">
      <c r="A288" s="20"/>
      <c r="B288" s="20"/>
      <c r="C288" s="21"/>
      <c r="D288" s="16" t="str">
        <f aca="false">IF(OR(A288="",B288="",C288=""),"",C288*IFERROR(INDEX(Malzemeler!$E$5:$E$154,MATCH(B288,Malzemeler!$A$5:$A$154,0)),0))</f>
        <v/>
      </c>
    </row>
    <row r="289" customFormat="false" ht="15" hidden="false" customHeight="false" outlineLevel="0" collapsed="false">
      <c r="A289" s="20"/>
      <c r="B289" s="20"/>
      <c r="C289" s="21"/>
      <c r="D289" s="16" t="str">
        <f aca="false">IF(OR(A289="",B289="",C289=""),"",C289*IFERROR(INDEX(Malzemeler!$E$5:$E$154,MATCH(B289,Malzemeler!$A$5:$A$154,0)),0))</f>
        <v/>
      </c>
    </row>
    <row r="290" customFormat="false" ht="15" hidden="false" customHeight="false" outlineLevel="0" collapsed="false">
      <c r="A290" s="20"/>
      <c r="B290" s="20"/>
      <c r="C290" s="21"/>
      <c r="D290" s="16" t="str">
        <f aca="false">IF(OR(A290="",B290="",C290=""),"",C290*IFERROR(INDEX(Malzemeler!$E$5:$E$154,MATCH(B290,Malzemeler!$A$5:$A$154,0)),0))</f>
        <v/>
      </c>
    </row>
    <row r="291" customFormat="false" ht="15" hidden="false" customHeight="false" outlineLevel="0" collapsed="false">
      <c r="A291" s="20"/>
      <c r="B291" s="20"/>
      <c r="C291" s="21"/>
      <c r="D291" s="16" t="str">
        <f aca="false">IF(OR(A291="",B291="",C291=""),"",C291*IFERROR(INDEX(Malzemeler!$E$5:$E$154,MATCH(B291,Malzemeler!$A$5:$A$154,0)),0))</f>
        <v/>
      </c>
    </row>
    <row r="292" customFormat="false" ht="15" hidden="false" customHeight="false" outlineLevel="0" collapsed="false">
      <c r="A292" s="20"/>
      <c r="B292" s="20"/>
      <c r="C292" s="21"/>
      <c r="D292" s="16" t="str">
        <f aca="false">IF(OR(A292="",B292="",C292=""),"",C292*IFERROR(INDEX(Malzemeler!$E$5:$E$154,MATCH(B292,Malzemeler!$A$5:$A$154,0)),0))</f>
        <v/>
      </c>
    </row>
    <row r="293" customFormat="false" ht="15" hidden="false" customHeight="false" outlineLevel="0" collapsed="false">
      <c r="A293" s="20"/>
      <c r="B293" s="20"/>
      <c r="C293" s="21"/>
      <c r="D293" s="16" t="str">
        <f aca="false">IF(OR(A293="",B293="",C293=""),"",C293*IFERROR(INDEX(Malzemeler!$E$5:$E$154,MATCH(B293,Malzemeler!$A$5:$A$154,0)),0))</f>
        <v/>
      </c>
    </row>
    <row r="294" customFormat="false" ht="15" hidden="false" customHeight="false" outlineLevel="0" collapsed="false">
      <c r="A294" s="20"/>
      <c r="B294" s="20"/>
      <c r="C294" s="21"/>
      <c r="D294" s="16" t="str">
        <f aca="false">IF(OR(A294="",B294="",C294=""),"",C294*IFERROR(INDEX(Malzemeler!$E$5:$E$154,MATCH(B294,Malzemeler!$A$5:$A$154,0)),0))</f>
        <v/>
      </c>
    </row>
    <row r="295" customFormat="false" ht="15" hidden="false" customHeight="false" outlineLevel="0" collapsed="false">
      <c r="A295" s="20"/>
      <c r="B295" s="20"/>
      <c r="C295" s="21"/>
      <c r="D295" s="16" t="str">
        <f aca="false">IF(OR(A295="",B295="",C295=""),"",C295*IFERROR(INDEX(Malzemeler!$E$5:$E$154,MATCH(B295,Malzemeler!$A$5:$A$154,0)),0))</f>
        <v/>
      </c>
    </row>
    <row r="296" customFormat="false" ht="15" hidden="false" customHeight="false" outlineLevel="0" collapsed="false">
      <c r="A296" s="20"/>
      <c r="B296" s="20"/>
      <c r="C296" s="21"/>
      <c r="D296" s="16" t="str">
        <f aca="false">IF(OR(A296="",B296="",C296=""),"",C296*IFERROR(INDEX(Malzemeler!$E$5:$E$154,MATCH(B296,Malzemeler!$A$5:$A$154,0)),0))</f>
        <v/>
      </c>
    </row>
    <row r="297" customFormat="false" ht="15" hidden="false" customHeight="false" outlineLevel="0" collapsed="false">
      <c r="A297" s="20"/>
      <c r="B297" s="20"/>
      <c r="C297" s="21"/>
      <c r="D297" s="16" t="str">
        <f aca="false">IF(OR(A297="",B297="",C297=""),"",C297*IFERROR(INDEX(Malzemeler!$E$5:$E$154,MATCH(B297,Malzemeler!$A$5:$A$154,0)),0))</f>
        <v/>
      </c>
    </row>
    <row r="298" customFormat="false" ht="15" hidden="false" customHeight="false" outlineLevel="0" collapsed="false">
      <c r="A298" s="20"/>
      <c r="B298" s="20"/>
      <c r="C298" s="21"/>
      <c r="D298" s="16" t="str">
        <f aca="false">IF(OR(A298="",B298="",C298=""),"",C298*IFERROR(INDEX(Malzemeler!$E$5:$E$154,MATCH(B298,Malzemeler!$A$5:$A$154,0)),0))</f>
        <v/>
      </c>
    </row>
    <row r="299" customFormat="false" ht="15" hidden="false" customHeight="false" outlineLevel="0" collapsed="false">
      <c r="A299" s="20"/>
      <c r="B299" s="20"/>
      <c r="C299" s="21"/>
      <c r="D299" s="16" t="str">
        <f aca="false">IF(OR(A299="",B299="",C299=""),"",C299*IFERROR(INDEX(Malzemeler!$E$5:$E$154,MATCH(B299,Malzemeler!$A$5:$A$154,0)),0))</f>
        <v/>
      </c>
    </row>
    <row r="300" customFormat="false" ht="15" hidden="false" customHeight="false" outlineLevel="0" collapsed="false">
      <c r="A300" s="20"/>
      <c r="B300" s="20"/>
      <c r="C300" s="21"/>
      <c r="D300" s="16" t="str">
        <f aca="false">IF(OR(A300="",B300="",C300=""),"",C300*IFERROR(INDEX(Malzemeler!$E$5:$E$154,MATCH(B300,Malzemeler!$A$5:$A$154,0)),0))</f>
        <v/>
      </c>
    </row>
    <row r="301" customFormat="false" ht="15" hidden="false" customHeight="false" outlineLevel="0" collapsed="false">
      <c r="A301" s="20"/>
      <c r="B301" s="20"/>
      <c r="C301" s="21"/>
      <c r="D301" s="16" t="str">
        <f aca="false">IF(OR(A301="",B301="",C301=""),"",C301*IFERROR(INDEX(Malzemeler!$E$5:$E$154,MATCH(B301,Malzemeler!$A$5:$A$154,0)),0))</f>
        <v/>
      </c>
    </row>
    <row r="302" customFormat="false" ht="15" hidden="false" customHeight="false" outlineLevel="0" collapsed="false">
      <c r="A302" s="20"/>
      <c r="B302" s="20"/>
      <c r="C302" s="21"/>
      <c r="D302" s="16" t="str">
        <f aca="false">IF(OR(A302="",B302="",C302=""),"",C302*IFERROR(INDEX(Malzemeler!$E$5:$E$154,MATCH(B302,Malzemeler!$A$5:$A$154,0)),0))</f>
        <v/>
      </c>
    </row>
    <row r="303" customFormat="false" ht="15" hidden="false" customHeight="false" outlineLevel="0" collapsed="false">
      <c r="A303" s="20"/>
      <c r="B303" s="20"/>
      <c r="C303" s="21"/>
      <c r="D303" s="16" t="str">
        <f aca="false">IF(OR(A303="",B303="",C303=""),"",C303*IFERROR(INDEX(Malzemeler!$E$5:$E$154,MATCH(B303,Malzemeler!$A$5:$A$154,0)),0))</f>
        <v/>
      </c>
    </row>
    <row r="304" customFormat="false" ht="15" hidden="false" customHeight="false" outlineLevel="0" collapsed="false">
      <c r="A304" s="20"/>
      <c r="B304" s="20"/>
      <c r="C304" s="21"/>
      <c r="D304" s="16" t="str">
        <f aca="false">IF(OR(A304="",B304="",C304=""),"",C304*IFERROR(INDEX(Malzemeler!$E$5:$E$154,MATCH(B304,Malzemeler!$A$5:$A$154,0)),0))</f>
        <v/>
      </c>
    </row>
    <row r="305" customFormat="false" ht="15" hidden="false" customHeight="false" outlineLevel="0" collapsed="false">
      <c r="A305" s="20"/>
      <c r="B305" s="20"/>
      <c r="C305" s="21"/>
      <c r="D305" s="16" t="str">
        <f aca="false">IF(OR(A305="",B305="",C305=""),"",C305*IFERROR(INDEX(Malzemeler!$E$5:$E$154,MATCH(B305,Malzemeler!$A$5:$A$154,0)),0))</f>
        <v/>
      </c>
    </row>
    <row r="306" customFormat="false" ht="15" hidden="false" customHeight="false" outlineLevel="0" collapsed="false">
      <c r="A306" s="20"/>
      <c r="B306" s="20"/>
      <c r="C306" s="21"/>
      <c r="D306" s="16" t="str">
        <f aca="false">IF(OR(A306="",B306="",C306=""),"",C306*IFERROR(INDEX(Malzemeler!$E$5:$E$154,MATCH(B306,Malzemeler!$A$5:$A$154,0)),0))</f>
        <v/>
      </c>
    </row>
    <row r="307" customFormat="false" ht="15" hidden="false" customHeight="false" outlineLevel="0" collapsed="false">
      <c r="A307" s="20"/>
      <c r="B307" s="20"/>
      <c r="C307" s="21"/>
      <c r="D307" s="16" t="str">
        <f aca="false">IF(OR(A307="",B307="",C307=""),"",C307*IFERROR(INDEX(Malzemeler!$E$5:$E$154,MATCH(B307,Malzemeler!$A$5:$A$154,0)),0))</f>
        <v/>
      </c>
    </row>
    <row r="308" customFormat="false" ht="15" hidden="false" customHeight="false" outlineLevel="0" collapsed="false">
      <c r="A308" s="20"/>
      <c r="B308" s="20"/>
      <c r="C308" s="21"/>
      <c r="D308" s="16" t="str">
        <f aca="false">IF(OR(A308="",B308="",C308=""),"",C308*IFERROR(INDEX(Malzemeler!$E$5:$E$154,MATCH(B308,Malzemeler!$A$5:$A$154,0)),0))</f>
        <v/>
      </c>
    </row>
    <row r="309" customFormat="false" ht="15" hidden="false" customHeight="false" outlineLevel="0" collapsed="false">
      <c r="A309" s="20"/>
      <c r="B309" s="20"/>
      <c r="C309" s="21"/>
      <c r="D309" s="16" t="str">
        <f aca="false">IF(OR(A309="",B309="",C309=""),"",C309*IFERROR(INDEX(Malzemeler!$E$5:$E$154,MATCH(B309,Malzemeler!$A$5:$A$154,0)),0))</f>
        <v/>
      </c>
    </row>
    <row r="310" customFormat="false" ht="15" hidden="false" customHeight="false" outlineLevel="0" collapsed="false">
      <c r="A310" s="20"/>
      <c r="B310" s="20"/>
      <c r="C310" s="21"/>
      <c r="D310" s="16" t="str">
        <f aca="false">IF(OR(A310="",B310="",C310=""),"",C310*IFERROR(INDEX(Malzemeler!$E$5:$E$154,MATCH(B310,Malzemeler!$A$5:$A$154,0)),0))</f>
        <v/>
      </c>
    </row>
    <row r="311" customFormat="false" ht="15" hidden="false" customHeight="false" outlineLevel="0" collapsed="false">
      <c r="A311" s="20"/>
      <c r="B311" s="20"/>
      <c r="C311" s="21"/>
      <c r="D311" s="16" t="str">
        <f aca="false">IF(OR(A311="",B311="",C311=""),"",C311*IFERROR(INDEX(Malzemeler!$E$5:$E$154,MATCH(B311,Malzemeler!$A$5:$A$154,0)),0))</f>
        <v/>
      </c>
    </row>
    <row r="312" customFormat="false" ht="15" hidden="false" customHeight="false" outlineLevel="0" collapsed="false">
      <c r="A312" s="20"/>
      <c r="B312" s="20"/>
      <c r="C312" s="21"/>
      <c r="D312" s="16" t="str">
        <f aca="false">IF(OR(A312="",B312="",C312=""),"",C312*IFERROR(INDEX(Malzemeler!$E$5:$E$154,MATCH(B312,Malzemeler!$A$5:$A$154,0)),0))</f>
        <v/>
      </c>
    </row>
    <row r="313" customFormat="false" ht="15" hidden="false" customHeight="false" outlineLevel="0" collapsed="false">
      <c r="A313" s="20"/>
      <c r="B313" s="20"/>
      <c r="C313" s="21"/>
      <c r="D313" s="16" t="str">
        <f aca="false">IF(OR(A313="",B313="",C313=""),"",C313*IFERROR(INDEX(Malzemeler!$E$5:$E$154,MATCH(B313,Malzemeler!$A$5:$A$154,0)),0))</f>
        <v/>
      </c>
    </row>
    <row r="314" customFormat="false" ht="15" hidden="false" customHeight="false" outlineLevel="0" collapsed="false">
      <c r="A314" s="20"/>
      <c r="B314" s="20"/>
      <c r="C314" s="21"/>
      <c r="D314" s="16" t="str">
        <f aca="false">IF(OR(A314="",B314="",C314=""),"",C314*IFERROR(INDEX(Malzemeler!$E$5:$E$154,MATCH(B314,Malzemeler!$A$5:$A$154,0)),0))</f>
        <v/>
      </c>
    </row>
    <row r="315" customFormat="false" ht="15" hidden="false" customHeight="false" outlineLevel="0" collapsed="false">
      <c r="A315" s="20"/>
      <c r="B315" s="20"/>
      <c r="C315" s="21"/>
      <c r="D315" s="16" t="str">
        <f aca="false">IF(OR(A315="",B315="",C315=""),"",C315*IFERROR(INDEX(Malzemeler!$E$5:$E$154,MATCH(B315,Malzemeler!$A$5:$A$154,0)),0))</f>
        <v/>
      </c>
    </row>
    <row r="316" customFormat="false" ht="15" hidden="false" customHeight="false" outlineLevel="0" collapsed="false">
      <c r="A316" s="20"/>
      <c r="B316" s="20"/>
      <c r="C316" s="21"/>
      <c r="D316" s="16" t="str">
        <f aca="false">IF(OR(A316="",B316="",C316=""),"",C316*IFERROR(INDEX(Malzemeler!$E$5:$E$154,MATCH(B316,Malzemeler!$A$5:$A$154,0)),0))</f>
        <v/>
      </c>
    </row>
    <row r="317" customFormat="false" ht="15" hidden="false" customHeight="false" outlineLevel="0" collapsed="false">
      <c r="A317" s="20"/>
      <c r="B317" s="20"/>
      <c r="C317" s="21"/>
      <c r="D317" s="16" t="str">
        <f aca="false">IF(OR(A317="",B317="",C317=""),"",C317*IFERROR(INDEX(Malzemeler!$E$5:$E$154,MATCH(B317,Malzemeler!$A$5:$A$154,0)),0))</f>
        <v/>
      </c>
    </row>
    <row r="318" customFormat="false" ht="15" hidden="false" customHeight="false" outlineLevel="0" collapsed="false">
      <c r="A318" s="20"/>
      <c r="B318" s="20"/>
      <c r="C318" s="21"/>
      <c r="D318" s="16" t="str">
        <f aca="false">IF(OR(A318="",B318="",C318=""),"",C318*IFERROR(INDEX(Malzemeler!$E$5:$E$154,MATCH(B318,Malzemeler!$A$5:$A$154,0)),0))</f>
        <v/>
      </c>
    </row>
    <row r="319" customFormat="false" ht="15" hidden="false" customHeight="false" outlineLevel="0" collapsed="false">
      <c r="A319" s="20"/>
      <c r="B319" s="20"/>
      <c r="C319" s="21"/>
      <c r="D319" s="16" t="str">
        <f aca="false">IF(OR(A319="",B319="",C319=""),"",C319*IFERROR(INDEX(Malzemeler!$E$5:$E$154,MATCH(B319,Malzemeler!$A$5:$A$154,0)),0))</f>
        <v/>
      </c>
    </row>
    <row r="320" customFormat="false" ht="15" hidden="false" customHeight="false" outlineLevel="0" collapsed="false">
      <c r="A320" s="20"/>
      <c r="B320" s="20"/>
      <c r="C320" s="21"/>
      <c r="D320" s="16" t="str">
        <f aca="false">IF(OR(A320="",B320="",C320=""),"",C320*IFERROR(INDEX(Malzemeler!$E$5:$E$154,MATCH(B320,Malzemeler!$A$5:$A$154,0)),0))</f>
        <v/>
      </c>
    </row>
    <row r="321" customFormat="false" ht="15" hidden="false" customHeight="false" outlineLevel="0" collapsed="false">
      <c r="A321" s="20"/>
      <c r="B321" s="20"/>
      <c r="C321" s="21"/>
      <c r="D321" s="16" t="str">
        <f aca="false">IF(OR(A321="",B321="",C321=""),"",C321*IFERROR(INDEX(Malzemeler!$E$5:$E$154,MATCH(B321,Malzemeler!$A$5:$A$154,0)),0))</f>
        <v/>
      </c>
    </row>
    <row r="322" customFormat="false" ht="15" hidden="false" customHeight="false" outlineLevel="0" collapsed="false">
      <c r="A322" s="20"/>
      <c r="B322" s="20"/>
      <c r="C322" s="21"/>
      <c r="D322" s="16" t="str">
        <f aca="false">IF(OR(A322="",B322="",C322=""),"",C322*IFERROR(INDEX(Malzemeler!$E$5:$E$154,MATCH(B322,Malzemeler!$A$5:$A$154,0)),0))</f>
        <v/>
      </c>
    </row>
    <row r="323" customFormat="false" ht="15" hidden="false" customHeight="false" outlineLevel="0" collapsed="false">
      <c r="A323" s="20"/>
      <c r="B323" s="20"/>
      <c r="C323" s="21"/>
      <c r="D323" s="16" t="str">
        <f aca="false">IF(OR(A323="",B323="",C323=""),"",C323*IFERROR(INDEX(Malzemeler!$E$5:$E$154,MATCH(B323,Malzemeler!$A$5:$A$154,0)),0))</f>
        <v/>
      </c>
    </row>
    <row r="324" customFormat="false" ht="15" hidden="false" customHeight="false" outlineLevel="0" collapsed="false">
      <c r="A324" s="20"/>
      <c r="B324" s="20"/>
      <c r="C324" s="21"/>
      <c r="D324" s="16" t="str">
        <f aca="false">IF(OR(A324="",B324="",C324=""),"",C324*IFERROR(INDEX(Malzemeler!$E$5:$E$154,MATCH(B324,Malzemeler!$A$5:$A$154,0)),0))</f>
        <v/>
      </c>
    </row>
    <row r="325" customFormat="false" ht="15" hidden="false" customHeight="false" outlineLevel="0" collapsed="false">
      <c r="A325" s="20"/>
      <c r="B325" s="20"/>
      <c r="C325" s="21"/>
      <c r="D325" s="16" t="str">
        <f aca="false">IF(OR(A325="",B325="",C325=""),"",C325*IFERROR(INDEX(Malzemeler!$E$5:$E$154,MATCH(B325,Malzemeler!$A$5:$A$154,0)),0))</f>
        <v/>
      </c>
    </row>
    <row r="326" customFormat="false" ht="15" hidden="false" customHeight="false" outlineLevel="0" collapsed="false">
      <c r="A326" s="20"/>
      <c r="B326" s="20"/>
      <c r="C326" s="21"/>
      <c r="D326" s="16" t="str">
        <f aca="false">IF(OR(A326="",B326="",C326=""),"",C326*IFERROR(INDEX(Malzemeler!$E$5:$E$154,MATCH(B326,Malzemeler!$A$5:$A$154,0)),0))</f>
        <v/>
      </c>
    </row>
    <row r="327" customFormat="false" ht="15" hidden="false" customHeight="false" outlineLevel="0" collapsed="false">
      <c r="A327" s="20"/>
      <c r="B327" s="20"/>
      <c r="C327" s="21"/>
      <c r="D327" s="16" t="str">
        <f aca="false">IF(OR(A327="",B327="",C327=""),"",C327*IFERROR(INDEX(Malzemeler!$E$5:$E$154,MATCH(B327,Malzemeler!$A$5:$A$154,0)),0))</f>
        <v/>
      </c>
    </row>
    <row r="328" customFormat="false" ht="15" hidden="false" customHeight="false" outlineLevel="0" collapsed="false">
      <c r="A328" s="20"/>
      <c r="B328" s="20"/>
      <c r="C328" s="21"/>
      <c r="D328" s="16" t="str">
        <f aca="false">IF(OR(A328="",B328="",C328=""),"",C328*IFERROR(INDEX(Malzemeler!$E$5:$E$154,MATCH(B328,Malzemeler!$A$5:$A$154,0)),0))</f>
        <v/>
      </c>
    </row>
    <row r="329" customFormat="false" ht="15" hidden="false" customHeight="false" outlineLevel="0" collapsed="false">
      <c r="A329" s="20"/>
      <c r="B329" s="20"/>
      <c r="C329" s="21"/>
      <c r="D329" s="16" t="str">
        <f aca="false">IF(OR(A329="",B329="",C329=""),"",C329*IFERROR(INDEX(Malzemeler!$E$5:$E$154,MATCH(B329,Malzemeler!$A$5:$A$154,0)),0))</f>
        <v/>
      </c>
    </row>
    <row r="330" customFormat="false" ht="15" hidden="false" customHeight="false" outlineLevel="0" collapsed="false">
      <c r="A330" s="20"/>
      <c r="B330" s="20"/>
      <c r="C330" s="21"/>
      <c r="D330" s="16" t="str">
        <f aca="false">IF(OR(A330="",B330="",C330=""),"",C330*IFERROR(INDEX(Malzemeler!$E$5:$E$154,MATCH(B330,Malzemeler!$A$5:$A$154,0)),0))</f>
        <v/>
      </c>
    </row>
    <row r="331" customFormat="false" ht="15" hidden="false" customHeight="false" outlineLevel="0" collapsed="false">
      <c r="A331" s="20"/>
      <c r="B331" s="20"/>
      <c r="C331" s="21"/>
      <c r="D331" s="16" t="str">
        <f aca="false">IF(OR(A331="",B331="",C331=""),"",C331*IFERROR(INDEX(Malzemeler!$E$5:$E$154,MATCH(B331,Malzemeler!$A$5:$A$154,0)),0))</f>
        <v/>
      </c>
    </row>
    <row r="332" customFormat="false" ht="15" hidden="false" customHeight="false" outlineLevel="0" collapsed="false">
      <c r="A332" s="20"/>
      <c r="B332" s="20"/>
      <c r="C332" s="21"/>
      <c r="D332" s="16" t="str">
        <f aca="false">IF(OR(A332="",B332="",C332=""),"",C332*IFERROR(INDEX(Malzemeler!$E$5:$E$154,MATCH(B332,Malzemeler!$A$5:$A$154,0)),0))</f>
        <v/>
      </c>
    </row>
    <row r="333" customFormat="false" ht="15" hidden="false" customHeight="false" outlineLevel="0" collapsed="false">
      <c r="A333" s="20"/>
      <c r="B333" s="20"/>
      <c r="C333" s="21"/>
      <c r="D333" s="16" t="str">
        <f aca="false">IF(OR(A333="",B333="",C333=""),"",C333*IFERROR(INDEX(Malzemeler!$E$5:$E$154,MATCH(B333,Malzemeler!$A$5:$A$154,0)),0))</f>
        <v/>
      </c>
    </row>
    <row r="334" customFormat="false" ht="15" hidden="false" customHeight="false" outlineLevel="0" collapsed="false">
      <c r="A334" s="20"/>
      <c r="B334" s="20"/>
      <c r="C334" s="21"/>
      <c r="D334" s="16" t="str">
        <f aca="false">IF(OR(A334="",B334="",C334=""),"",C334*IFERROR(INDEX(Malzemeler!$E$5:$E$154,MATCH(B334,Malzemeler!$A$5:$A$154,0)),0))</f>
        <v/>
      </c>
    </row>
    <row r="335" customFormat="false" ht="15" hidden="false" customHeight="false" outlineLevel="0" collapsed="false">
      <c r="A335" s="20"/>
      <c r="B335" s="20"/>
      <c r="C335" s="21"/>
      <c r="D335" s="16" t="str">
        <f aca="false">IF(OR(A335="",B335="",C335=""),"",C335*IFERROR(INDEX(Malzemeler!$E$5:$E$154,MATCH(B335,Malzemeler!$A$5:$A$154,0)),0))</f>
        <v/>
      </c>
    </row>
    <row r="336" customFormat="false" ht="15" hidden="false" customHeight="false" outlineLevel="0" collapsed="false">
      <c r="A336" s="20"/>
      <c r="B336" s="20"/>
      <c r="C336" s="21"/>
      <c r="D336" s="16" t="str">
        <f aca="false">IF(OR(A336="",B336="",C336=""),"",C336*IFERROR(INDEX(Malzemeler!$E$5:$E$154,MATCH(B336,Malzemeler!$A$5:$A$154,0)),0))</f>
        <v/>
      </c>
    </row>
    <row r="337" customFormat="false" ht="15" hidden="false" customHeight="false" outlineLevel="0" collapsed="false">
      <c r="A337" s="20"/>
      <c r="B337" s="20"/>
      <c r="C337" s="21"/>
      <c r="D337" s="16" t="str">
        <f aca="false">IF(OR(A337="",B337="",C337=""),"",C337*IFERROR(INDEX(Malzemeler!$E$5:$E$154,MATCH(B337,Malzemeler!$A$5:$A$154,0)),0))</f>
        <v/>
      </c>
    </row>
    <row r="338" customFormat="false" ht="15" hidden="false" customHeight="false" outlineLevel="0" collapsed="false">
      <c r="A338" s="20"/>
      <c r="B338" s="20"/>
      <c r="C338" s="21"/>
      <c r="D338" s="16" t="str">
        <f aca="false">IF(OR(A338="",B338="",C338=""),"",C338*IFERROR(INDEX(Malzemeler!$E$5:$E$154,MATCH(B338,Malzemeler!$A$5:$A$154,0)),0))</f>
        <v/>
      </c>
    </row>
    <row r="339" customFormat="false" ht="15" hidden="false" customHeight="false" outlineLevel="0" collapsed="false">
      <c r="A339" s="20"/>
      <c r="B339" s="20"/>
      <c r="C339" s="21"/>
      <c r="D339" s="16" t="str">
        <f aca="false">IF(OR(A339="",B339="",C339=""),"",C339*IFERROR(INDEX(Malzemeler!$E$5:$E$154,MATCH(B339,Malzemeler!$A$5:$A$154,0)),0))</f>
        <v/>
      </c>
    </row>
    <row r="340" customFormat="false" ht="15" hidden="false" customHeight="false" outlineLevel="0" collapsed="false">
      <c r="A340" s="20"/>
      <c r="B340" s="20"/>
      <c r="C340" s="21"/>
      <c r="D340" s="16" t="str">
        <f aca="false">IF(OR(A340="",B340="",C340=""),"",C340*IFERROR(INDEX(Malzemeler!$E$5:$E$154,MATCH(B340,Malzemeler!$A$5:$A$154,0)),0))</f>
        <v/>
      </c>
    </row>
    <row r="341" customFormat="false" ht="15" hidden="false" customHeight="false" outlineLevel="0" collapsed="false">
      <c r="A341" s="20"/>
      <c r="B341" s="20"/>
      <c r="C341" s="21"/>
      <c r="D341" s="16" t="str">
        <f aca="false">IF(OR(A341="",B341="",C341=""),"",C341*IFERROR(INDEX(Malzemeler!$E$5:$E$154,MATCH(B341,Malzemeler!$A$5:$A$154,0)),0))</f>
        <v/>
      </c>
    </row>
    <row r="342" customFormat="false" ht="15" hidden="false" customHeight="false" outlineLevel="0" collapsed="false">
      <c r="A342" s="20"/>
      <c r="B342" s="20"/>
      <c r="C342" s="21"/>
      <c r="D342" s="16" t="str">
        <f aca="false">IF(OR(A342="",B342="",C342=""),"",C342*IFERROR(INDEX(Malzemeler!$E$5:$E$154,MATCH(B342,Malzemeler!$A$5:$A$154,0)),0))</f>
        <v/>
      </c>
    </row>
    <row r="343" customFormat="false" ht="15" hidden="false" customHeight="false" outlineLevel="0" collapsed="false">
      <c r="A343" s="20"/>
      <c r="B343" s="20"/>
      <c r="C343" s="21"/>
      <c r="D343" s="16" t="str">
        <f aca="false">IF(OR(A343="",B343="",C343=""),"",C343*IFERROR(INDEX(Malzemeler!$E$5:$E$154,MATCH(B343,Malzemeler!$A$5:$A$154,0)),0))</f>
        <v/>
      </c>
    </row>
    <row r="344" customFormat="false" ht="15" hidden="false" customHeight="false" outlineLevel="0" collapsed="false">
      <c r="A344" s="20"/>
      <c r="B344" s="20"/>
      <c r="C344" s="21"/>
      <c r="D344" s="16" t="str">
        <f aca="false">IF(OR(A344="",B344="",C344=""),"",C344*IFERROR(INDEX(Malzemeler!$E$5:$E$154,MATCH(B344,Malzemeler!$A$5:$A$154,0)),0))</f>
        <v/>
      </c>
    </row>
    <row r="345" customFormat="false" ht="15" hidden="false" customHeight="false" outlineLevel="0" collapsed="false">
      <c r="A345" s="20"/>
      <c r="B345" s="20"/>
      <c r="C345" s="21"/>
      <c r="D345" s="16" t="str">
        <f aca="false">IF(OR(A345="",B345="",C345=""),"",C345*IFERROR(INDEX(Malzemeler!$E$5:$E$154,MATCH(B345,Malzemeler!$A$5:$A$154,0)),0))</f>
        <v/>
      </c>
    </row>
    <row r="346" customFormat="false" ht="15" hidden="false" customHeight="false" outlineLevel="0" collapsed="false">
      <c r="A346" s="20"/>
      <c r="B346" s="20"/>
      <c r="C346" s="21"/>
      <c r="D346" s="16" t="str">
        <f aca="false">IF(OR(A346="",B346="",C346=""),"",C346*IFERROR(INDEX(Malzemeler!$E$5:$E$154,MATCH(B346,Malzemeler!$A$5:$A$154,0)),0))</f>
        <v/>
      </c>
    </row>
    <row r="347" customFormat="false" ht="15" hidden="false" customHeight="false" outlineLevel="0" collapsed="false">
      <c r="A347" s="20"/>
      <c r="B347" s="20"/>
      <c r="C347" s="21"/>
      <c r="D347" s="16" t="str">
        <f aca="false">IF(OR(A347="",B347="",C347=""),"",C347*IFERROR(INDEX(Malzemeler!$E$5:$E$154,MATCH(B347,Malzemeler!$A$5:$A$154,0)),0))</f>
        <v/>
      </c>
    </row>
    <row r="348" customFormat="false" ht="15" hidden="false" customHeight="false" outlineLevel="0" collapsed="false">
      <c r="A348" s="20"/>
      <c r="B348" s="20"/>
      <c r="C348" s="21"/>
      <c r="D348" s="16" t="str">
        <f aca="false">IF(OR(A348="",B348="",C348=""),"",C348*IFERROR(INDEX(Malzemeler!$E$5:$E$154,MATCH(B348,Malzemeler!$A$5:$A$154,0)),0))</f>
        <v/>
      </c>
    </row>
    <row r="349" customFormat="false" ht="15" hidden="false" customHeight="false" outlineLevel="0" collapsed="false">
      <c r="A349" s="20"/>
      <c r="B349" s="20"/>
      <c r="C349" s="21"/>
      <c r="D349" s="16" t="str">
        <f aca="false">IF(OR(A349="",B349="",C349=""),"",C349*IFERROR(INDEX(Malzemeler!$E$5:$E$154,MATCH(B349,Malzemeler!$A$5:$A$154,0)),0))</f>
        <v/>
      </c>
    </row>
    <row r="350" customFormat="false" ht="15" hidden="false" customHeight="false" outlineLevel="0" collapsed="false">
      <c r="A350" s="20"/>
      <c r="B350" s="20"/>
      <c r="C350" s="21"/>
      <c r="D350" s="16" t="str">
        <f aca="false">IF(OR(A350="",B350="",C350=""),"",C350*IFERROR(INDEX(Malzemeler!$E$5:$E$154,MATCH(B350,Malzemeler!$A$5:$A$154,0)),0))</f>
        <v/>
      </c>
    </row>
    <row r="351" customFormat="false" ht="15" hidden="false" customHeight="false" outlineLevel="0" collapsed="false">
      <c r="A351" s="20"/>
      <c r="B351" s="20"/>
      <c r="C351" s="21"/>
      <c r="D351" s="16" t="str">
        <f aca="false">IF(OR(A351="",B351="",C351=""),"",C351*IFERROR(INDEX(Malzemeler!$E$5:$E$154,MATCH(B351,Malzemeler!$A$5:$A$154,0)),0))</f>
        <v/>
      </c>
    </row>
    <row r="352" customFormat="false" ht="15" hidden="false" customHeight="false" outlineLevel="0" collapsed="false">
      <c r="A352" s="20"/>
      <c r="B352" s="20"/>
      <c r="C352" s="21"/>
      <c r="D352" s="16" t="str">
        <f aca="false">IF(OR(A352="",B352="",C352=""),"",C352*IFERROR(INDEX(Malzemeler!$E$5:$E$154,MATCH(B352,Malzemeler!$A$5:$A$154,0)),0))</f>
        <v/>
      </c>
    </row>
    <row r="353" customFormat="false" ht="15" hidden="false" customHeight="false" outlineLevel="0" collapsed="false">
      <c r="A353" s="20"/>
      <c r="B353" s="20"/>
      <c r="C353" s="21"/>
      <c r="D353" s="16" t="str">
        <f aca="false">IF(OR(A353="",B353="",C353=""),"",C353*IFERROR(INDEX(Malzemeler!$E$5:$E$154,MATCH(B353,Malzemeler!$A$5:$A$154,0)),0))</f>
        <v/>
      </c>
    </row>
    <row r="354" customFormat="false" ht="15" hidden="false" customHeight="false" outlineLevel="0" collapsed="false">
      <c r="A354" s="20"/>
      <c r="B354" s="20"/>
      <c r="C354" s="21"/>
      <c r="D354" s="16" t="str">
        <f aca="false">IF(OR(A354="",B354="",C354=""),"",C354*IFERROR(INDEX(Malzemeler!$E$5:$E$154,MATCH(B354,Malzemeler!$A$5:$A$154,0)),0))</f>
        <v/>
      </c>
    </row>
    <row r="355" customFormat="false" ht="15" hidden="false" customHeight="false" outlineLevel="0" collapsed="false">
      <c r="A355" s="20"/>
      <c r="B355" s="20"/>
      <c r="C355" s="21"/>
      <c r="D355" s="16" t="str">
        <f aca="false">IF(OR(A355="",B355="",C355=""),"",C355*IFERROR(INDEX(Malzemeler!$E$5:$E$154,MATCH(B355,Malzemeler!$A$5:$A$154,0)),0))</f>
        <v/>
      </c>
    </row>
    <row r="356" customFormat="false" ht="15" hidden="false" customHeight="false" outlineLevel="0" collapsed="false">
      <c r="A356" s="20"/>
      <c r="B356" s="20"/>
      <c r="C356" s="21"/>
      <c r="D356" s="16" t="str">
        <f aca="false">IF(OR(A356="",B356="",C356=""),"",C356*IFERROR(INDEX(Malzemeler!$E$5:$E$154,MATCH(B356,Malzemeler!$A$5:$A$154,0)),0))</f>
        <v/>
      </c>
    </row>
    <row r="357" customFormat="false" ht="15" hidden="false" customHeight="false" outlineLevel="0" collapsed="false">
      <c r="A357" s="20"/>
      <c r="B357" s="20"/>
      <c r="C357" s="21"/>
      <c r="D357" s="16" t="str">
        <f aca="false">IF(OR(A357="",B357="",C357=""),"",C357*IFERROR(INDEX(Malzemeler!$E$5:$E$154,MATCH(B357,Malzemeler!$A$5:$A$154,0)),0))</f>
        <v/>
      </c>
    </row>
    <row r="358" customFormat="false" ht="15" hidden="false" customHeight="false" outlineLevel="0" collapsed="false">
      <c r="A358" s="20"/>
      <c r="B358" s="20"/>
      <c r="C358" s="21"/>
      <c r="D358" s="16" t="str">
        <f aca="false">IF(OR(A358="",B358="",C358=""),"",C358*IFERROR(INDEX(Malzemeler!$E$5:$E$154,MATCH(B358,Malzemeler!$A$5:$A$154,0)),0))</f>
        <v/>
      </c>
    </row>
    <row r="359" customFormat="false" ht="15" hidden="false" customHeight="false" outlineLevel="0" collapsed="false">
      <c r="A359" s="20"/>
      <c r="B359" s="20"/>
      <c r="C359" s="21"/>
      <c r="D359" s="16" t="str">
        <f aca="false">IF(OR(A359="",B359="",C359=""),"",C359*IFERROR(INDEX(Malzemeler!$E$5:$E$154,MATCH(B359,Malzemeler!$A$5:$A$154,0)),0))</f>
        <v/>
      </c>
    </row>
    <row r="360" customFormat="false" ht="15" hidden="false" customHeight="false" outlineLevel="0" collapsed="false">
      <c r="A360" s="20"/>
      <c r="B360" s="20"/>
      <c r="C360" s="21"/>
      <c r="D360" s="16" t="str">
        <f aca="false">IF(OR(A360="",B360="",C360=""),"",C360*IFERROR(INDEX(Malzemeler!$E$5:$E$154,MATCH(B360,Malzemeler!$A$5:$A$154,0)),0))</f>
        <v/>
      </c>
    </row>
    <row r="361" customFormat="false" ht="15" hidden="false" customHeight="false" outlineLevel="0" collapsed="false">
      <c r="A361" s="20"/>
      <c r="B361" s="20"/>
      <c r="C361" s="21"/>
      <c r="D361" s="16" t="str">
        <f aca="false">IF(OR(A361="",B361="",C361=""),"",C361*IFERROR(INDEX(Malzemeler!$E$5:$E$154,MATCH(B361,Malzemeler!$A$5:$A$154,0)),0))</f>
        <v/>
      </c>
    </row>
    <row r="362" customFormat="false" ht="15" hidden="false" customHeight="false" outlineLevel="0" collapsed="false">
      <c r="A362" s="20"/>
      <c r="B362" s="20"/>
      <c r="C362" s="21"/>
      <c r="D362" s="16" t="str">
        <f aca="false">IF(OR(A362="",B362="",C362=""),"",C362*IFERROR(INDEX(Malzemeler!$E$5:$E$154,MATCH(B362,Malzemeler!$A$5:$A$154,0)),0))</f>
        <v/>
      </c>
    </row>
    <row r="363" customFormat="false" ht="15" hidden="false" customHeight="false" outlineLevel="0" collapsed="false">
      <c r="A363" s="20"/>
      <c r="B363" s="20"/>
      <c r="C363" s="21"/>
      <c r="D363" s="16" t="str">
        <f aca="false">IF(OR(A363="",B363="",C363=""),"",C363*IFERROR(INDEX(Malzemeler!$E$5:$E$154,MATCH(B363,Malzemeler!$A$5:$A$154,0)),0))</f>
        <v/>
      </c>
    </row>
    <row r="364" customFormat="false" ht="15" hidden="false" customHeight="false" outlineLevel="0" collapsed="false">
      <c r="A364" s="20"/>
      <c r="B364" s="20"/>
      <c r="C364" s="21"/>
      <c r="D364" s="16" t="str">
        <f aca="false">IF(OR(A364="",B364="",C364=""),"",C364*IFERROR(INDEX(Malzemeler!$E$5:$E$154,MATCH(B364,Malzemeler!$A$5:$A$154,0)),0))</f>
        <v/>
      </c>
    </row>
    <row r="365" customFormat="false" ht="15" hidden="false" customHeight="false" outlineLevel="0" collapsed="false">
      <c r="A365" s="20"/>
      <c r="B365" s="20"/>
      <c r="C365" s="21"/>
      <c r="D365" s="16" t="str">
        <f aca="false">IF(OR(A365="",B365="",C365=""),"",C365*IFERROR(INDEX(Malzemeler!$E$5:$E$154,MATCH(B365,Malzemeler!$A$5:$A$154,0)),0))</f>
        <v/>
      </c>
    </row>
    <row r="366" customFormat="false" ht="15" hidden="false" customHeight="false" outlineLevel="0" collapsed="false">
      <c r="A366" s="20"/>
      <c r="B366" s="20"/>
      <c r="C366" s="21"/>
      <c r="D366" s="16" t="str">
        <f aca="false">IF(OR(A366="",B366="",C366=""),"",C366*IFERROR(INDEX(Malzemeler!$E$5:$E$154,MATCH(B366,Malzemeler!$A$5:$A$154,0)),0))</f>
        <v/>
      </c>
    </row>
    <row r="367" customFormat="false" ht="15" hidden="false" customHeight="false" outlineLevel="0" collapsed="false">
      <c r="A367" s="20"/>
      <c r="B367" s="20"/>
      <c r="C367" s="21"/>
      <c r="D367" s="16" t="str">
        <f aca="false">IF(OR(A367="",B367="",C367=""),"",C367*IFERROR(INDEX(Malzemeler!$E$5:$E$154,MATCH(B367,Malzemeler!$A$5:$A$154,0)),0))</f>
        <v/>
      </c>
    </row>
    <row r="368" customFormat="false" ht="15" hidden="false" customHeight="false" outlineLevel="0" collapsed="false">
      <c r="A368" s="20"/>
      <c r="B368" s="20"/>
      <c r="C368" s="21"/>
      <c r="D368" s="16" t="str">
        <f aca="false">IF(OR(A368="",B368="",C368=""),"",C368*IFERROR(INDEX(Malzemeler!$E$5:$E$154,MATCH(B368,Malzemeler!$A$5:$A$154,0)),0))</f>
        <v/>
      </c>
    </row>
    <row r="369" customFormat="false" ht="15" hidden="false" customHeight="false" outlineLevel="0" collapsed="false">
      <c r="A369" s="20"/>
      <c r="B369" s="20"/>
      <c r="C369" s="21"/>
      <c r="D369" s="16" t="str">
        <f aca="false">IF(OR(A369="",B369="",C369=""),"",C369*IFERROR(INDEX(Malzemeler!$E$5:$E$154,MATCH(B369,Malzemeler!$A$5:$A$154,0)),0))</f>
        <v/>
      </c>
    </row>
    <row r="370" customFormat="false" ht="15" hidden="false" customHeight="false" outlineLevel="0" collapsed="false">
      <c r="A370" s="20"/>
      <c r="B370" s="20"/>
      <c r="C370" s="21"/>
      <c r="D370" s="16" t="str">
        <f aca="false">IF(OR(A370="",B370="",C370=""),"",C370*IFERROR(INDEX(Malzemeler!$E$5:$E$154,MATCH(B370,Malzemeler!$A$5:$A$154,0)),0))</f>
        <v/>
      </c>
    </row>
    <row r="371" customFormat="false" ht="15" hidden="false" customHeight="false" outlineLevel="0" collapsed="false">
      <c r="A371" s="20"/>
      <c r="B371" s="20"/>
      <c r="C371" s="21"/>
      <c r="D371" s="16" t="str">
        <f aca="false">IF(OR(A371="",B371="",C371=""),"",C371*IFERROR(INDEX(Malzemeler!$E$5:$E$154,MATCH(B371,Malzemeler!$A$5:$A$154,0)),0))</f>
        <v/>
      </c>
    </row>
    <row r="372" customFormat="false" ht="15" hidden="false" customHeight="false" outlineLevel="0" collapsed="false">
      <c r="A372" s="20"/>
      <c r="B372" s="20"/>
      <c r="C372" s="21"/>
      <c r="D372" s="16" t="str">
        <f aca="false">IF(OR(A372="",B372="",C372=""),"",C372*IFERROR(INDEX(Malzemeler!$E$5:$E$154,MATCH(B372,Malzemeler!$A$5:$A$154,0)),0))</f>
        <v/>
      </c>
    </row>
    <row r="373" customFormat="false" ht="15" hidden="false" customHeight="false" outlineLevel="0" collapsed="false">
      <c r="A373" s="20"/>
      <c r="B373" s="20"/>
      <c r="C373" s="21"/>
      <c r="D373" s="16" t="str">
        <f aca="false">IF(OR(A373="",B373="",C373=""),"",C373*IFERROR(INDEX(Malzemeler!$E$5:$E$154,MATCH(B373,Malzemeler!$A$5:$A$154,0)),0))</f>
        <v/>
      </c>
    </row>
    <row r="374" customFormat="false" ht="15" hidden="false" customHeight="false" outlineLevel="0" collapsed="false">
      <c r="A374" s="20"/>
      <c r="B374" s="20"/>
      <c r="C374" s="21"/>
      <c r="D374" s="16" t="str">
        <f aca="false">IF(OR(A374="",B374="",C374=""),"",C374*IFERROR(INDEX(Malzemeler!$E$5:$E$154,MATCH(B374,Malzemeler!$A$5:$A$154,0)),0))</f>
        <v/>
      </c>
    </row>
    <row r="375" customFormat="false" ht="15" hidden="false" customHeight="false" outlineLevel="0" collapsed="false">
      <c r="A375" s="20"/>
      <c r="B375" s="20"/>
      <c r="C375" s="21"/>
      <c r="D375" s="16" t="str">
        <f aca="false">IF(OR(A375="",B375="",C375=""),"",C375*IFERROR(INDEX(Malzemeler!$E$5:$E$154,MATCH(B375,Malzemeler!$A$5:$A$154,0)),0))</f>
        <v/>
      </c>
    </row>
    <row r="376" customFormat="false" ht="15" hidden="false" customHeight="false" outlineLevel="0" collapsed="false">
      <c r="A376" s="20"/>
      <c r="B376" s="20"/>
      <c r="C376" s="21"/>
      <c r="D376" s="16" t="str">
        <f aca="false">IF(OR(A376="",B376="",C376=""),"",C376*IFERROR(INDEX(Malzemeler!$E$5:$E$154,MATCH(B376,Malzemeler!$A$5:$A$154,0)),0))</f>
        <v/>
      </c>
    </row>
    <row r="377" customFormat="false" ht="15" hidden="false" customHeight="false" outlineLevel="0" collapsed="false">
      <c r="A377" s="20"/>
      <c r="B377" s="20"/>
      <c r="C377" s="21"/>
      <c r="D377" s="16" t="str">
        <f aca="false">IF(OR(A377="",B377="",C377=""),"",C377*IFERROR(INDEX(Malzemeler!$E$5:$E$154,MATCH(B377,Malzemeler!$A$5:$A$154,0)),0))</f>
        <v/>
      </c>
    </row>
    <row r="378" customFormat="false" ht="15" hidden="false" customHeight="false" outlineLevel="0" collapsed="false">
      <c r="A378" s="20"/>
      <c r="B378" s="20"/>
      <c r="C378" s="21"/>
      <c r="D378" s="16" t="str">
        <f aca="false">IF(OR(A378="",B378="",C378=""),"",C378*IFERROR(INDEX(Malzemeler!$E$5:$E$154,MATCH(B378,Malzemeler!$A$5:$A$154,0)),0))</f>
        <v/>
      </c>
    </row>
    <row r="379" customFormat="false" ht="15" hidden="false" customHeight="false" outlineLevel="0" collapsed="false">
      <c r="A379" s="20"/>
      <c r="B379" s="20"/>
      <c r="C379" s="21"/>
      <c r="D379" s="16" t="str">
        <f aca="false">IF(OR(A379="",B379="",C379=""),"",C379*IFERROR(INDEX(Malzemeler!$E$5:$E$154,MATCH(B379,Malzemeler!$A$5:$A$154,0)),0))</f>
        <v/>
      </c>
    </row>
    <row r="380" customFormat="false" ht="15" hidden="false" customHeight="false" outlineLevel="0" collapsed="false">
      <c r="A380" s="20"/>
      <c r="B380" s="20"/>
      <c r="C380" s="21"/>
      <c r="D380" s="16" t="str">
        <f aca="false">IF(OR(A380="",B380="",C380=""),"",C380*IFERROR(INDEX(Malzemeler!$E$5:$E$154,MATCH(B380,Malzemeler!$A$5:$A$154,0)),0))</f>
        <v/>
      </c>
    </row>
    <row r="381" customFormat="false" ht="15" hidden="false" customHeight="false" outlineLevel="0" collapsed="false">
      <c r="A381" s="20"/>
      <c r="B381" s="20"/>
      <c r="C381" s="21"/>
      <c r="D381" s="16" t="str">
        <f aca="false">IF(OR(A381="",B381="",C381=""),"",C381*IFERROR(INDEX(Malzemeler!$E$5:$E$154,MATCH(B381,Malzemeler!$A$5:$A$154,0)),0))</f>
        <v/>
      </c>
    </row>
    <row r="382" customFormat="false" ht="15" hidden="false" customHeight="false" outlineLevel="0" collapsed="false">
      <c r="A382" s="20"/>
      <c r="B382" s="20"/>
      <c r="C382" s="21"/>
      <c r="D382" s="16" t="str">
        <f aca="false">IF(OR(A382="",B382="",C382=""),"",C382*IFERROR(INDEX(Malzemeler!$E$5:$E$154,MATCH(B382,Malzemeler!$A$5:$A$154,0)),0))</f>
        <v/>
      </c>
    </row>
    <row r="383" customFormat="false" ht="15" hidden="false" customHeight="false" outlineLevel="0" collapsed="false">
      <c r="A383" s="20"/>
      <c r="B383" s="20"/>
      <c r="C383" s="21"/>
      <c r="D383" s="16" t="str">
        <f aca="false">IF(OR(A383="",B383="",C383=""),"",C383*IFERROR(INDEX(Malzemeler!$E$5:$E$154,MATCH(B383,Malzemeler!$A$5:$A$154,0)),0))</f>
        <v/>
      </c>
    </row>
    <row r="384" customFormat="false" ht="15" hidden="false" customHeight="false" outlineLevel="0" collapsed="false">
      <c r="A384" s="20"/>
      <c r="B384" s="20"/>
      <c r="C384" s="21"/>
      <c r="D384" s="16" t="str">
        <f aca="false">IF(OR(A384="",B384="",C384=""),"",C384*IFERROR(INDEX(Malzemeler!$E$5:$E$154,MATCH(B384,Malzemeler!$A$5:$A$154,0)),0))</f>
        <v/>
      </c>
    </row>
    <row r="385" customFormat="false" ht="15" hidden="false" customHeight="false" outlineLevel="0" collapsed="false">
      <c r="A385" s="20"/>
      <c r="B385" s="20"/>
      <c r="C385" s="21"/>
      <c r="D385" s="16" t="str">
        <f aca="false">IF(OR(A385="",B385="",C385=""),"",C385*IFERROR(INDEX(Malzemeler!$E$5:$E$154,MATCH(B385,Malzemeler!$A$5:$A$154,0)),0))</f>
        <v/>
      </c>
    </row>
    <row r="386" customFormat="false" ht="15" hidden="false" customHeight="false" outlineLevel="0" collapsed="false">
      <c r="A386" s="20"/>
      <c r="B386" s="20"/>
      <c r="C386" s="21"/>
      <c r="D386" s="16" t="str">
        <f aca="false">IF(OR(A386="",B386="",C386=""),"",C386*IFERROR(INDEX(Malzemeler!$E$5:$E$154,MATCH(B386,Malzemeler!$A$5:$A$154,0)),0))</f>
        <v/>
      </c>
    </row>
    <row r="387" customFormat="false" ht="15" hidden="false" customHeight="false" outlineLevel="0" collapsed="false">
      <c r="A387" s="20"/>
      <c r="B387" s="20"/>
      <c r="C387" s="21"/>
      <c r="D387" s="16" t="str">
        <f aca="false">IF(OR(A387="",B387="",C387=""),"",C387*IFERROR(INDEX(Malzemeler!$E$5:$E$154,MATCH(B387,Malzemeler!$A$5:$A$154,0)),0))</f>
        <v/>
      </c>
    </row>
    <row r="388" customFormat="false" ht="15" hidden="false" customHeight="false" outlineLevel="0" collapsed="false">
      <c r="A388" s="20"/>
      <c r="B388" s="20"/>
      <c r="C388" s="21"/>
      <c r="D388" s="16" t="str">
        <f aca="false">IF(OR(A388="",B388="",C388=""),"",C388*IFERROR(INDEX(Malzemeler!$E$5:$E$154,MATCH(B388,Malzemeler!$A$5:$A$154,0)),0))</f>
        <v/>
      </c>
    </row>
    <row r="389" customFormat="false" ht="15" hidden="false" customHeight="false" outlineLevel="0" collapsed="false">
      <c r="A389" s="20"/>
      <c r="B389" s="20"/>
      <c r="C389" s="21"/>
      <c r="D389" s="16" t="str">
        <f aca="false">IF(OR(A389="",B389="",C389=""),"",C389*IFERROR(INDEX(Malzemeler!$E$5:$E$154,MATCH(B389,Malzemeler!$A$5:$A$154,0)),0))</f>
        <v/>
      </c>
    </row>
    <row r="390" customFormat="false" ht="15" hidden="false" customHeight="false" outlineLevel="0" collapsed="false">
      <c r="A390" s="20"/>
      <c r="B390" s="20"/>
      <c r="C390" s="21"/>
      <c r="D390" s="16" t="str">
        <f aca="false">IF(OR(A390="",B390="",C390=""),"",C390*IFERROR(INDEX(Malzemeler!$E$5:$E$154,MATCH(B390,Malzemeler!$A$5:$A$154,0)),0))</f>
        <v/>
      </c>
    </row>
    <row r="391" customFormat="false" ht="15" hidden="false" customHeight="false" outlineLevel="0" collapsed="false">
      <c r="A391" s="20"/>
      <c r="B391" s="20"/>
      <c r="C391" s="21"/>
      <c r="D391" s="16" t="str">
        <f aca="false">IF(OR(A391="",B391="",C391=""),"",C391*IFERROR(INDEX(Malzemeler!$E$5:$E$154,MATCH(B391,Malzemeler!$A$5:$A$154,0)),0))</f>
        <v/>
      </c>
    </row>
    <row r="392" customFormat="false" ht="15" hidden="false" customHeight="false" outlineLevel="0" collapsed="false">
      <c r="A392" s="20"/>
      <c r="B392" s="20"/>
      <c r="C392" s="21"/>
      <c r="D392" s="16" t="str">
        <f aca="false">IF(OR(A392="",B392="",C392=""),"",C392*IFERROR(INDEX(Malzemeler!$E$5:$E$154,MATCH(B392,Malzemeler!$A$5:$A$154,0)),0))</f>
        <v/>
      </c>
    </row>
    <row r="393" customFormat="false" ht="15" hidden="false" customHeight="false" outlineLevel="0" collapsed="false">
      <c r="A393" s="20"/>
      <c r="B393" s="20"/>
      <c r="C393" s="21"/>
      <c r="D393" s="16" t="str">
        <f aca="false">IF(OR(A393="",B393="",C393=""),"",C393*IFERROR(INDEX(Malzemeler!$E$5:$E$154,MATCH(B393,Malzemeler!$A$5:$A$154,0)),0))</f>
        <v/>
      </c>
    </row>
    <row r="394" customFormat="false" ht="15" hidden="false" customHeight="false" outlineLevel="0" collapsed="false">
      <c r="A394" s="20"/>
      <c r="B394" s="20"/>
      <c r="C394" s="21"/>
      <c r="D394" s="16" t="str">
        <f aca="false">IF(OR(A394="",B394="",C394=""),"",C394*IFERROR(INDEX(Malzemeler!$E$5:$E$154,MATCH(B394,Malzemeler!$A$5:$A$154,0)),0))</f>
        <v/>
      </c>
    </row>
    <row r="395" customFormat="false" ht="15" hidden="false" customHeight="false" outlineLevel="0" collapsed="false">
      <c r="A395" s="20"/>
      <c r="B395" s="20"/>
      <c r="C395" s="21"/>
      <c r="D395" s="16" t="str">
        <f aca="false">IF(OR(A395="",B395="",C395=""),"",C395*IFERROR(INDEX(Malzemeler!$E$5:$E$154,MATCH(B395,Malzemeler!$A$5:$A$154,0)),0))</f>
        <v/>
      </c>
    </row>
    <row r="396" customFormat="false" ht="15" hidden="false" customHeight="false" outlineLevel="0" collapsed="false">
      <c r="A396" s="20"/>
      <c r="B396" s="20"/>
      <c r="C396" s="21"/>
      <c r="D396" s="16" t="str">
        <f aca="false">IF(OR(A396="",B396="",C396=""),"",C396*IFERROR(INDEX(Malzemeler!$E$5:$E$154,MATCH(B396,Malzemeler!$A$5:$A$154,0)),0))</f>
        <v/>
      </c>
    </row>
    <row r="397" customFormat="false" ht="15" hidden="false" customHeight="false" outlineLevel="0" collapsed="false">
      <c r="A397" s="20"/>
      <c r="B397" s="20"/>
      <c r="C397" s="21"/>
      <c r="D397" s="16" t="str">
        <f aca="false">IF(OR(A397="",B397="",C397=""),"",C397*IFERROR(INDEX(Malzemeler!$E$5:$E$154,MATCH(B397,Malzemeler!$A$5:$A$154,0)),0))</f>
        <v/>
      </c>
    </row>
    <row r="398" customFormat="false" ht="15" hidden="false" customHeight="false" outlineLevel="0" collapsed="false">
      <c r="A398" s="20"/>
      <c r="B398" s="20"/>
      <c r="C398" s="21"/>
      <c r="D398" s="16" t="str">
        <f aca="false">IF(OR(A398="",B398="",C398=""),"",C398*IFERROR(INDEX(Malzemeler!$E$5:$E$154,MATCH(B398,Malzemeler!$A$5:$A$154,0)),0))</f>
        <v/>
      </c>
    </row>
    <row r="399" customFormat="false" ht="15" hidden="false" customHeight="false" outlineLevel="0" collapsed="false">
      <c r="A399" s="20"/>
      <c r="B399" s="20"/>
      <c r="C399" s="21"/>
      <c r="D399" s="16" t="str">
        <f aca="false">IF(OR(A399="",B399="",C399=""),"",C399*IFERROR(INDEX(Malzemeler!$E$5:$E$154,MATCH(B399,Malzemeler!$A$5:$A$154,0)),0))</f>
        <v/>
      </c>
    </row>
    <row r="400" customFormat="false" ht="15" hidden="false" customHeight="false" outlineLevel="0" collapsed="false">
      <c r="A400" s="20"/>
      <c r="B400" s="20"/>
      <c r="C400" s="21"/>
      <c r="D400" s="16" t="str">
        <f aca="false">IF(OR(A400="",B400="",C400=""),"",C400*IFERROR(INDEX(Malzemeler!$E$5:$E$154,MATCH(B400,Malzemeler!$A$5:$A$154,0)),0))</f>
        <v/>
      </c>
    </row>
    <row r="401" customFormat="false" ht="15" hidden="false" customHeight="false" outlineLevel="0" collapsed="false">
      <c r="A401" s="20"/>
      <c r="B401" s="20"/>
      <c r="C401" s="21"/>
      <c r="D401" s="16" t="str">
        <f aca="false">IF(OR(A401="",B401="",C401=""),"",C401*IFERROR(INDEX(Malzemeler!$E$5:$E$154,MATCH(B401,Malzemeler!$A$5:$A$154,0)),0))</f>
        <v/>
      </c>
    </row>
    <row r="402" customFormat="false" ht="15" hidden="false" customHeight="false" outlineLevel="0" collapsed="false">
      <c r="A402" s="20"/>
      <c r="B402" s="20"/>
      <c r="C402" s="21"/>
      <c r="D402" s="16" t="str">
        <f aca="false">IF(OR(A402="",B402="",C402=""),"",C402*IFERROR(INDEX(Malzemeler!$E$5:$E$154,MATCH(B402,Malzemeler!$A$5:$A$154,0)),0))</f>
        <v/>
      </c>
    </row>
    <row r="403" customFormat="false" ht="15" hidden="false" customHeight="false" outlineLevel="0" collapsed="false">
      <c r="A403" s="20"/>
      <c r="B403" s="20"/>
      <c r="C403" s="21"/>
      <c r="D403" s="16" t="str">
        <f aca="false">IF(OR(A403="",B403="",C403=""),"",C403*IFERROR(INDEX(Malzemeler!$E$5:$E$154,MATCH(B403,Malzemeler!$A$5:$A$154,0)),0))</f>
        <v/>
      </c>
    </row>
    <row r="404" customFormat="false" ht="15" hidden="false" customHeight="false" outlineLevel="0" collapsed="false">
      <c r="A404" s="20"/>
      <c r="B404" s="20"/>
      <c r="C404" s="21"/>
      <c r="D404" s="16" t="str">
        <f aca="false">IF(OR(A404="",B404="",C404=""),"",C404*IFERROR(INDEX(Malzemeler!$E$5:$E$154,MATCH(B404,Malzemeler!$A$5:$A$154,0)),0))</f>
        <v/>
      </c>
    </row>
    <row r="405" customFormat="false" ht="15" hidden="false" customHeight="false" outlineLevel="0" collapsed="false">
      <c r="A405" s="20"/>
      <c r="B405" s="20"/>
      <c r="C405" s="21"/>
      <c r="D405" s="16" t="str">
        <f aca="false">IF(OR(A405="",B405="",C405=""),"",C405*IFERROR(INDEX(Malzemeler!$E$5:$E$154,MATCH(B405,Malzemeler!$A$5:$A$154,0)),0))</f>
        <v/>
      </c>
    </row>
    <row r="406" customFormat="false" ht="15" hidden="false" customHeight="false" outlineLevel="0" collapsed="false">
      <c r="A406" s="20"/>
      <c r="B406" s="20"/>
      <c r="C406" s="21"/>
      <c r="D406" s="16" t="str">
        <f aca="false">IF(OR(A406="",B406="",C406=""),"",C406*IFERROR(INDEX(Malzemeler!$E$5:$E$154,MATCH(B406,Malzemeler!$A$5:$A$154,0)),0))</f>
        <v/>
      </c>
    </row>
    <row r="407" customFormat="false" ht="15" hidden="false" customHeight="false" outlineLevel="0" collapsed="false">
      <c r="A407" s="20"/>
      <c r="B407" s="20"/>
      <c r="C407" s="21"/>
      <c r="D407" s="16" t="str">
        <f aca="false">IF(OR(A407="",B407="",C407=""),"",C407*IFERROR(INDEX(Malzemeler!$E$5:$E$154,MATCH(B407,Malzemeler!$A$5:$A$154,0)),0))</f>
        <v/>
      </c>
    </row>
    <row r="408" customFormat="false" ht="15" hidden="false" customHeight="false" outlineLevel="0" collapsed="false">
      <c r="A408" s="20"/>
      <c r="B408" s="20"/>
      <c r="C408" s="21"/>
      <c r="D408" s="16" t="str">
        <f aca="false">IF(OR(A408="",B408="",C408=""),"",C408*IFERROR(INDEX(Malzemeler!$E$5:$E$154,MATCH(B408,Malzemeler!$A$5:$A$154,0)),0))</f>
        <v/>
      </c>
    </row>
    <row r="409" customFormat="false" ht="15" hidden="false" customHeight="false" outlineLevel="0" collapsed="false">
      <c r="A409" s="20"/>
      <c r="B409" s="20"/>
      <c r="C409" s="21"/>
      <c r="D409" s="16" t="str">
        <f aca="false">IF(OR(A409="",B409="",C409=""),"",C409*IFERROR(INDEX(Malzemeler!$E$5:$E$154,MATCH(B409,Malzemeler!$A$5:$A$154,0)),0))</f>
        <v/>
      </c>
    </row>
    <row r="410" customFormat="false" ht="15" hidden="false" customHeight="false" outlineLevel="0" collapsed="false">
      <c r="A410" s="20"/>
      <c r="B410" s="20"/>
      <c r="C410" s="21"/>
      <c r="D410" s="16" t="str">
        <f aca="false">IF(OR(A410="",B410="",C410=""),"",C410*IFERROR(INDEX(Malzemeler!$E$5:$E$154,MATCH(B410,Malzemeler!$A$5:$A$154,0)),0))</f>
        <v/>
      </c>
    </row>
    <row r="411" customFormat="false" ht="15" hidden="false" customHeight="false" outlineLevel="0" collapsed="false">
      <c r="A411" s="20"/>
      <c r="B411" s="20"/>
      <c r="C411" s="21"/>
      <c r="D411" s="16" t="str">
        <f aca="false">IF(OR(A411="",B411="",C411=""),"",C411*IFERROR(INDEX(Malzemeler!$E$5:$E$154,MATCH(B411,Malzemeler!$A$5:$A$154,0)),0))</f>
        <v/>
      </c>
    </row>
    <row r="412" customFormat="false" ht="15" hidden="false" customHeight="false" outlineLevel="0" collapsed="false">
      <c r="A412" s="20"/>
      <c r="B412" s="20"/>
      <c r="C412" s="21"/>
      <c r="D412" s="16" t="str">
        <f aca="false">IF(OR(A412="",B412="",C412=""),"",C412*IFERROR(INDEX(Malzemeler!$E$5:$E$154,MATCH(B412,Malzemeler!$A$5:$A$154,0)),0))</f>
        <v/>
      </c>
    </row>
    <row r="413" customFormat="false" ht="15" hidden="false" customHeight="false" outlineLevel="0" collapsed="false">
      <c r="A413" s="20"/>
      <c r="B413" s="20"/>
      <c r="C413" s="21"/>
      <c r="D413" s="16" t="str">
        <f aca="false">IF(OR(A413="",B413="",C413=""),"",C413*IFERROR(INDEX(Malzemeler!$E$5:$E$154,MATCH(B413,Malzemeler!$A$5:$A$154,0)),0))</f>
        <v/>
      </c>
    </row>
    <row r="414" customFormat="false" ht="15" hidden="false" customHeight="false" outlineLevel="0" collapsed="false">
      <c r="A414" s="20"/>
      <c r="B414" s="20"/>
      <c r="C414" s="21"/>
      <c r="D414" s="16" t="str">
        <f aca="false">IF(OR(A414="",B414="",C414=""),"",C414*IFERROR(INDEX(Malzemeler!$E$5:$E$154,MATCH(B414,Malzemeler!$A$5:$A$154,0)),0))</f>
        <v/>
      </c>
    </row>
    <row r="415" customFormat="false" ht="15" hidden="false" customHeight="false" outlineLevel="0" collapsed="false">
      <c r="A415" s="20"/>
      <c r="B415" s="20"/>
      <c r="C415" s="21"/>
      <c r="D415" s="16" t="str">
        <f aca="false">IF(OR(A415="",B415="",C415=""),"",C415*IFERROR(INDEX(Malzemeler!$E$5:$E$154,MATCH(B415,Malzemeler!$A$5:$A$154,0)),0))</f>
        <v/>
      </c>
    </row>
    <row r="416" customFormat="false" ht="15" hidden="false" customHeight="false" outlineLevel="0" collapsed="false">
      <c r="A416" s="20"/>
      <c r="B416" s="20"/>
      <c r="C416" s="21"/>
      <c r="D416" s="16" t="str">
        <f aca="false">IF(OR(A416="",B416="",C416=""),"",C416*IFERROR(INDEX(Malzemeler!$E$5:$E$154,MATCH(B416,Malzemeler!$A$5:$A$154,0)),0))</f>
        <v/>
      </c>
    </row>
    <row r="417" customFormat="false" ht="15" hidden="false" customHeight="false" outlineLevel="0" collapsed="false">
      <c r="A417" s="20"/>
      <c r="B417" s="20"/>
      <c r="C417" s="21"/>
      <c r="D417" s="16" t="str">
        <f aca="false">IF(OR(A417="",B417="",C417=""),"",C417*IFERROR(INDEX(Malzemeler!$E$5:$E$154,MATCH(B417,Malzemeler!$A$5:$A$154,0)),0))</f>
        <v/>
      </c>
    </row>
    <row r="418" customFormat="false" ht="15" hidden="false" customHeight="false" outlineLevel="0" collapsed="false">
      <c r="A418" s="20"/>
      <c r="B418" s="20"/>
      <c r="C418" s="21"/>
      <c r="D418" s="16" t="str">
        <f aca="false">IF(OR(A418="",B418="",C418=""),"",C418*IFERROR(INDEX(Malzemeler!$E$5:$E$154,MATCH(B418,Malzemeler!$A$5:$A$154,0)),0))</f>
        <v/>
      </c>
    </row>
    <row r="419" customFormat="false" ht="15" hidden="false" customHeight="false" outlineLevel="0" collapsed="false">
      <c r="A419" s="20"/>
      <c r="B419" s="20"/>
      <c r="C419" s="21"/>
      <c r="D419" s="16" t="str">
        <f aca="false">IF(OR(A419="",B419="",C419=""),"",C419*IFERROR(INDEX(Malzemeler!$E$5:$E$154,MATCH(B419,Malzemeler!$A$5:$A$154,0)),0))</f>
        <v/>
      </c>
    </row>
    <row r="420" customFormat="false" ht="15" hidden="false" customHeight="false" outlineLevel="0" collapsed="false">
      <c r="A420" s="20"/>
      <c r="B420" s="20"/>
      <c r="C420" s="21"/>
      <c r="D420" s="16" t="str">
        <f aca="false">IF(OR(A420="",B420="",C420=""),"",C420*IFERROR(INDEX(Malzemeler!$E$5:$E$154,MATCH(B420,Malzemeler!$A$5:$A$154,0)),0))</f>
        <v/>
      </c>
    </row>
    <row r="421" customFormat="false" ht="15" hidden="false" customHeight="false" outlineLevel="0" collapsed="false">
      <c r="A421" s="20"/>
      <c r="B421" s="20"/>
      <c r="C421" s="21"/>
      <c r="D421" s="16" t="str">
        <f aca="false">IF(OR(A421="",B421="",C421=""),"",C421*IFERROR(INDEX(Malzemeler!$E$5:$E$154,MATCH(B421,Malzemeler!$A$5:$A$154,0)),0))</f>
        <v/>
      </c>
    </row>
    <row r="422" customFormat="false" ht="15" hidden="false" customHeight="false" outlineLevel="0" collapsed="false">
      <c r="A422" s="20"/>
      <c r="B422" s="20"/>
      <c r="C422" s="21"/>
      <c r="D422" s="16" t="str">
        <f aca="false">IF(OR(A422="",B422="",C422=""),"",C422*IFERROR(INDEX(Malzemeler!$E$5:$E$154,MATCH(B422,Malzemeler!$A$5:$A$154,0)),0))</f>
        <v/>
      </c>
    </row>
    <row r="423" customFormat="false" ht="15" hidden="false" customHeight="false" outlineLevel="0" collapsed="false">
      <c r="A423" s="20"/>
      <c r="B423" s="20"/>
      <c r="C423" s="21"/>
      <c r="D423" s="16" t="str">
        <f aca="false">IF(OR(A423="",B423="",C423=""),"",C423*IFERROR(INDEX(Malzemeler!$E$5:$E$154,MATCH(B423,Malzemeler!$A$5:$A$154,0)),0))</f>
        <v/>
      </c>
    </row>
    <row r="424" customFormat="false" ht="15" hidden="false" customHeight="false" outlineLevel="0" collapsed="false">
      <c r="A424" s="20"/>
      <c r="B424" s="20"/>
      <c r="C424" s="21"/>
      <c r="D424" s="16" t="str">
        <f aca="false">IF(OR(A424="",B424="",C424=""),"",C424*IFERROR(INDEX(Malzemeler!$E$5:$E$154,MATCH(B424,Malzemeler!$A$5:$A$154,0)),0))</f>
        <v/>
      </c>
    </row>
    <row r="425" customFormat="false" ht="15" hidden="false" customHeight="false" outlineLevel="0" collapsed="false">
      <c r="A425" s="20"/>
      <c r="B425" s="20"/>
      <c r="C425" s="21"/>
      <c r="D425" s="16" t="str">
        <f aca="false">IF(OR(A425="",B425="",C425=""),"",C425*IFERROR(INDEX(Malzemeler!$E$5:$E$154,MATCH(B425,Malzemeler!$A$5:$A$154,0)),0))</f>
        <v/>
      </c>
    </row>
    <row r="426" customFormat="false" ht="15" hidden="false" customHeight="false" outlineLevel="0" collapsed="false">
      <c r="A426" s="20"/>
      <c r="B426" s="20"/>
      <c r="C426" s="21"/>
      <c r="D426" s="16" t="str">
        <f aca="false">IF(OR(A426="",B426="",C426=""),"",C426*IFERROR(INDEX(Malzemeler!$E$5:$E$154,MATCH(B426,Malzemeler!$A$5:$A$154,0)),0))</f>
        <v/>
      </c>
    </row>
    <row r="427" customFormat="false" ht="15" hidden="false" customHeight="false" outlineLevel="0" collapsed="false">
      <c r="A427" s="20"/>
      <c r="B427" s="20"/>
      <c r="C427" s="21"/>
      <c r="D427" s="16" t="str">
        <f aca="false">IF(OR(A427="",B427="",C427=""),"",C427*IFERROR(INDEX(Malzemeler!$E$5:$E$154,MATCH(B427,Malzemeler!$A$5:$A$154,0)),0))</f>
        <v/>
      </c>
    </row>
    <row r="428" customFormat="false" ht="15" hidden="false" customHeight="false" outlineLevel="0" collapsed="false">
      <c r="A428" s="20"/>
      <c r="B428" s="20"/>
      <c r="C428" s="21"/>
      <c r="D428" s="16" t="str">
        <f aca="false">IF(OR(A428="",B428="",C428=""),"",C428*IFERROR(INDEX(Malzemeler!$E$5:$E$154,MATCH(B428,Malzemeler!$A$5:$A$154,0)),0))</f>
        <v/>
      </c>
    </row>
    <row r="429" customFormat="false" ht="15" hidden="false" customHeight="false" outlineLevel="0" collapsed="false">
      <c r="A429" s="20"/>
      <c r="B429" s="20"/>
      <c r="C429" s="21"/>
      <c r="D429" s="16" t="str">
        <f aca="false">IF(OR(A429="",B429="",C429=""),"",C429*IFERROR(INDEX(Malzemeler!$E$5:$E$154,MATCH(B429,Malzemeler!$A$5:$A$154,0)),0))</f>
        <v/>
      </c>
    </row>
    <row r="430" customFormat="false" ht="15" hidden="false" customHeight="false" outlineLevel="0" collapsed="false">
      <c r="A430" s="20"/>
      <c r="B430" s="20"/>
      <c r="C430" s="21"/>
      <c r="D430" s="16" t="str">
        <f aca="false">IF(OR(A430="",B430="",C430=""),"",C430*IFERROR(INDEX(Malzemeler!$E$5:$E$154,MATCH(B430,Malzemeler!$A$5:$A$154,0)),0))</f>
        <v/>
      </c>
    </row>
    <row r="431" customFormat="false" ht="15" hidden="false" customHeight="false" outlineLevel="0" collapsed="false">
      <c r="A431" s="20"/>
      <c r="B431" s="20"/>
      <c r="C431" s="21"/>
      <c r="D431" s="16" t="str">
        <f aca="false">IF(OR(A431="",B431="",C431=""),"",C431*IFERROR(INDEX(Malzemeler!$E$5:$E$154,MATCH(B431,Malzemeler!$A$5:$A$154,0)),0))</f>
        <v/>
      </c>
    </row>
    <row r="432" customFormat="false" ht="15" hidden="false" customHeight="false" outlineLevel="0" collapsed="false">
      <c r="A432" s="20"/>
      <c r="B432" s="20"/>
      <c r="C432" s="21"/>
      <c r="D432" s="16" t="str">
        <f aca="false">IF(OR(A432="",B432="",C432=""),"",C432*IFERROR(INDEX(Malzemeler!$E$5:$E$154,MATCH(B432,Malzemeler!$A$5:$A$154,0)),0))</f>
        <v/>
      </c>
    </row>
    <row r="433" customFormat="false" ht="15" hidden="false" customHeight="false" outlineLevel="0" collapsed="false">
      <c r="A433" s="20"/>
      <c r="B433" s="20"/>
      <c r="C433" s="21"/>
      <c r="D433" s="16" t="str">
        <f aca="false">IF(OR(A433="",B433="",C433=""),"",C433*IFERROR(INDEX(Malzemeler!$E$5:$E$154,MATCH(B433,Malzemeler!$A$5:$A$154,0)),0))</f>
        <v/>
      </c>
    </row>
    <row r="434" customFormat="false" ht="15" hidden="false" customHeight="false" outlineLevel="0" collapsed="false">
      <c r="A434" s="20"/>
      <c r="B434" s="20"/>
      <c r="C434" s="21"/>
      <c r="D434" s="16" t="str">
        <f aca="false">IF(OR(A434="",B434="",C434=""),"",C434*IFERROR(INDEX(Malzemeler!$E$5:$E$154,MATCH(B434,Malzemeler!$A$5:$A$154,0)),0))</f>
        <v/>
      </c>
    </row>
    <row r="435" customFormat="false" ht="15" hidden="false" customHeight="false" outlineLevel="0" collapsed="false">
      <c r="A435" s="20"/>
      <c r="B435" s="20"/>
      <c r="C435" s="21"/>
      <c r="D435" s="16" t="str">
        <f aca="false">IF(OR(A435="",B435="",C435=""),"",C435*IFERROR(INDEX(Malzemeler!$E$5:$E$154,MATCH(B435,Malzemeler!$A$5:$A$154,0)),0))</f>
        <v/>
      </c>
    </row>
    <row r="436" customFormat="false" ht="15" hidden="false" customHeight="false" outlineLevel="0" collapsed="false">
      <c r="A436" s="20"/>
      <c r="B436" s="20"/>
      <c r="C436" s="21"/>
      <c r="D436" s="16" t="str">
        <f aca="false">IF(OR(A436="",B436="",C436=""),"",C436*IFERROR(INDEX(Malzemeler!$E$5:$E$154,MATCH(B436,Malzemeler!$A$5:$A$154,0)),0))</f>
        <v/>
      </c>
    </row>
    <row r="437" customFormat="false" ht="15" hidden="false" customHeight="false" outlineLevel="0" collapsed="false">
      <c r="A437" s="20"/>
      <c r="B437" s="20"/>
      <c r="C437" s="21"/>
      <c r="D437" s="16" t="str">
        <f aca="false">IF(OR(A437="",B437="",C437=""),"",C437*IFERROR(INDEX(Malzemeler!$E$5:$E$154,MATCH(B437,Malzemeler!$A$5:$A$154,0)),0))</f>
        <v/>
      </c>
    </row>
    <row r="438" customFormat="false" ht="15" hidden="false" customHeight="false" outlineLevel="0" collapsed="false">
      <c r="A438" s="20"/>
      <c r="B438" s="20"/>
      <c r="C438" s="21"/>
      <c r="D438" s="16" t="str">
        <f aca="false">IF(OR(A438="",B438="",C438=""),"",C438*IFERROR(INDEX(Malzemeler!$E$5:$E$154,MATCH(B438,Malzemeler!$A$5:$A$154,0)),0))</f>
        <v/>
      </c>
    </row>
    <row r="439" customFormat="false" ht="15" hidden="false" customHeight="false" outlineLevel="0" collapsed="false">
      <c r="A439" s="20"/>
      <c r="B439" s="20"/>
      <c r="C439" s="21"/>
      <c r="D439" s="16" t="str">
        <f aca="false">IF(OR(A439="",B439="",C439=""),"",C439*IFERROR(INDEX(Malzemeler!$E$5:$E$154,MATCH(B439,Malzemeler!$A$5:$A$154,0)),0))</f>
        <v/>
      </c>
    </row>
    <row r="440" customFormat="false" ht="15" hidden="false" customHeight="false" outlineLevel="0" collapsed="false">
      <c r="A440" s="20"/>
      <c r="B440" s="20"/>
      <c r="C440" s="21"/>
      <c r="D440" s="16" t="str">
        <f aca="false">IF(OR(A440="",B440="",C440=""),"",C440*IFERROR(INDEX(Malzemeler!$E$5:$E$154,MATCH(B440,Malzemeler!$A$5:$A$154,0)),0))</f>
        <v/>
      </c>
    </row>
    <row r="441" customFormat="false" ht="15" hidden="false" customHeight="false" outlineLevel="0" collapsed="false">
      <c r="A441" s="20"/>
      <c r="B441" s="20"/>
      <c r="C441" s="21"/>
      <c r="D441" s="16" t="str">
        <f aca="false">IF(OR(A441="",B441="",C441=""),"",C441*IFERROR(INDEX(Malzemeler!$E$5:$E$154,MATCH(B441,Malzemeler!$A$5:$A$154,0)),0))</f>
        <v/>
      </c>
    </row>
    <row r="442" customFormat="false" ht="15" hidden="false" customHeight="false" outlineLevel="0" collapsed="false">
      <c r="A442" s="20"/>
      <c r="B442" s="20"/>
      <c r="C442" s="21"/>
      <c r="D442" s="16" t="str">
        <f aca="false">IF(OR(A442="",B442="",C442=""),"",C442*IFERROR(INDEX(Malzemeler!$E$5:$E$154,MATCH(B442,Malzemeler!$A$5:$A$154,0)),0))</f>
        <v/>
      </c>
    </row>
    <row r="443" customFormat="false" ht="15" hidden="false" customHeight="false" outlineLevel="0" collapsed="false">
      <c r="A443" s="20"/>
      <c r="B443" s="20"/>
      <c r="C443" s="21"/>
      <c r="D443" s="16" t="str">
        <f aca="false">IF(OR(A443="",B443="",C443=""),"",C443*IFERROR(INDEX(Malzemeler!$E$5:$E$154,MATCH(B443,Malzemeler!$A$5:$A$154,0)),0))</f>
        <v/>
      </c>
    </row>
    <row r="444" customFormat="false" ht="15" hidden="false" customHeight="false" outlineLevel="0" collapsed="false">
      <c r="A444" s="20"/>
      <c r="B444" s="20"/>
      <c r="C444" s="21"/>
      <c r="D444" s="16" t="str">
        <f aca="false">IF(OR(A444="",B444="",C444=""),"",C444*IFERROR(INDEX(Malzemeler!$E$5:$E$154,MATCH(B444,Malzemeler!$A$5:$A$154,0)),0))</f>
        <v/>
      </c>
    </row>
    <row r="445" customFormat="false" ht="15" hidden="false" customHeight="false" outlineLevel="0" collapsed="false">
      <c r="A445" s="20"/>
      <c r="B445" s="20"/>
      <c r="C445" s="21"/>
      <c r="D445" s="16" t="str">
        <f aca="false">IF(OR(A445="",B445="",C445=""),"",C445*IFERROR(INDEX(Malzemeler!$E$5:$E$154,MATCH(B445,Malzemeler!$A$5:$A$154,0)),0))</f>
        <v/>
      </c>
    </row>
    <row r="446" customFormat="false" ht="15" hidden="false" customHeight="false" outlineLevel="0" collapsed="false">
      <c r="A446" s="20"/>
      <c r="B446" s="20"/>
      <c r="C446" s="21"/>
      <c r="D446" s="16" t="str">
        <f aca="false">IF(OR(A446="",B446="",C446=""),"",C446*IFERROR(INDEX(Malzemeler!$E$5:$E$154,MATCH(B446,Malzemeler!$A$5:$A$154,0)),0))</f>
        <v/>
      </c>
    </row>
    <row r="447" customFormat="false" ht="15" hidden="false" customHeight="false" outlineLevel="0" collapsed="false">
      <c r="A447" s="20"/>
      <c r="B447" s="20"/>
      <c r="C447" s="21"/>
      <c r="D447" s="16" t="str">
        <f aca="false">IF(OR(A447="",B447="",C447=""),"",C447*IFERROR(INDEX(Malzemeler!$E$5:$E$154,MATCH(B447,Malzemeler!$A$5:$A$154,0)),0))</f>
        <v/>
      </c>
    </row>
    <row r="448" customFormat="false" ht="15" hidden="false" customHeight="false" outlineLevel="0" collapsed="false">
      <c r="A448" s="20"/>
      <c r="B448" s="20"/>
      <c r="C448" s="21"/>
      <c r="D448" s="16" t="str">
        <f aca="false">IF(OR(A448="",B448="",C448=""),"",C448*IFERROR(INDEX(Malzemeler!$E$5:$E$154,MATCH(B448,Malzemeler!$A$5:$A$154,0)),0))</f>
        <v/>
      </c>
    </row>
    <row r="449" customFormat="false" ht="15" hidden="false" customHeight="false" outlineLevel="0" collapsed="false">
      <c r="A449" s="20"/>
      <c r="B449" s="20"/>
      <c r="C449" s="21"/>
      <c r="D449" s="16" t="str">
        <f aca="false">IF(OR(A449="",B449="",C449=""),"",C449*IFERROR(INDEX(Malzemeler!$E$5:$E$154,MATCH(B449,Malzemeler!$A$5:$A$154,0)),0))</f>
        <v/>
      </c>
    </row>
    <row r="450" customFormat="false" ht="15" hidden="false" customHeight="false" outlineLevel="0" collapsed="false">
      <c r="A450" s="20"/>
      <c r="B450" s="20"/>
      <c r="C450" s="21"/>
      <c r="D450" s="16" t="str">
        <f aca="false">IF(OR(A450="",B450="",C450=""),"",C450*IFERROR(INDEX(Malzemeler!$E$5:$E$154,MATCH(B450,Malzemeler!$A$5:$A$154,0)),0))</f>
        <v/>
      </c>
    </row>
    <row r="451" customFormat="false" ht="15" hidden="false" customHeight="false" outlineLevel="0" collapsed="false">
      <c r="A451" s="20"/>
      <c r="B451" s="20"/>
      <c r="C451" s="21"/>
      <c r="D451" s="16" t="str">
        <f aca="false">IF(OR(A451="",B451="",C451=""),"",C451*IFERROR(INDEX(Malzemeler!$E$5:$E$154,MATCH(B451,Malzemeler!$A$5:$A$154,0)),0))</f>
        <v/>
      </c>
    </row>
    <row r="452" customFormat="false" ht="15" hidden="false" customHeight="false" outlineLevel="0" collapsed="false">
      <c r="A452" s="20"/>
      <c r="B452" s="20"/>
      <c r="C452" s="21"/>
      <c r="D452" s="16" t="str">
        <f aca="false">IF(OR(A452="",B452="",C452=""),"",C452*IFERROR(INDEX(Malzemeler!$E$5:$E$154,MATCH(B452,Malzemeler!$A$5:$A$154,0)),0))</f>
        <v/>
      </c>
    </row>
    <row r="453" customFormat="false" ht="15" hidden="false" customHeight="false" outlineLevel="0" collapsed="false">
      <c r="A453" s="20"/>
      <c r="B453" s="20"/>
      <c r="C453" s="21"/>
      <c r="D453" s="16" t="str">
        <f aca="false">IF(OR(A453="",B453="",C453=""),"",C453*IFERROR(INDEX(Malzemeler!$E$5:$E$154,MATCH(B453,Malzemeler!$A$5:$A$154,0)),0))</f>
        <v/>
      </c>
    </row>
    <row r="454" customFormat="false" ht="15" hidden="false" customHeight="false" outlineLevel="0" collapsed="false">
      <c r="A454" s="20"/>
      <c r="B454" s="20"/>
      <c r="C454" s="21"/>
      <c r="D454" s="16" t="str">
        <f aca="false">IF(OR(A454="",B454="",C454=""),"",C454*IFERROR(INDEX(Malzemeler!$E$5:$E$154,MATCH(B454,Malzemeler!$A$5:$A$154,0)),0))</f>
        <v/>
      </c>
    </row>
    <row r="455" customFormat="false" ht="15" hidden="false" customHeight="false" outlineLevel="0" collapsed="false">
      <c r="A455" s="20"/>
      <c r="B455" s="20"/>
      <c r="C455" s="21"/>
      <c r="D455" s="16" t="str">
        <f aca="false">IF(OR(A455="",B455="",C455=""),"",C455*IFERROR(INDEX(Malzemeler!$E$5:$E$154,MATCH(B455,Malzemeler!$A$5:$A$154,0)),0))</f>
        <v/>
      </c>
    </row>
    <row r="456" customFormat="false" ht="15" hidden="false" customHeight="false" outlineLevel="0" collapsed="false">
      <c r="A456" s="20"/>
      <c r="B456" s="20"/>
      <c r="C456" s="21"/>
      <c r="D456" s="16" t="str">
        <f aca="false">IF(OR(A456="",B456="",C456=""),"",C456*IFERROR(INDEX(Malzemeler!$E$5:$E$154,MATCH(B456,Malzemeler!$A$5:$A$154,0)),0))</f>
        <v/>
      </c>
    </row>
    <row r="457" customFormat="false" ht="15" hidden="false" customHeight="false" outlineLevel="0" collapsed="false">
      <c r="A457" s="20"/>
      <c r="B457" s="20"/>
      <c r="C457" s="21"/>
      <c r="D457" s="16" t="str">
        <f aca="false">IF(OR(A457="",B457="",C457=""),"",C457*IFERROR(INDEX(Malzemeler!$E$5:$E$154,MATCH(B457,Malzemeler!$A$5:$A$154,0)),0))</f>
        <v/>
      </c>
    </row>
    <row r="458" customFormat="false" ht="15" hidden="false" customHeight="false" outlineLevel="0" collapsed="false">
      <c r="A458" s="20"/>
      <c r="B458" s="20"/>
      <c r="C458" s="21"/>
      <c r="D458" s="16" t="str">
        <f aca="false">IF(OR(A458="",B458="",C458=""),"",C458*IFERROR(INDEX(Malzemeler!$E$5:$E$154,MATCH(B458,Malzemeler!$A$5:$A$154,0)),0))</f>
        <v/>
      </c>
    </row>
    <row r="459" customFormat="false" ht="15" hidden="false" customHeight="false" outlineLevel="0" collapsed="false">
      <c r="A459" s="20"/>
      <c r="B459" s="20"/>
      <c r="C459" s="21"/>
      <c r="D459" s="16" t="str">
        <f aca="false">IF(OR(A459="",B459="",C459=""),"",C459*IFERROR(INDEX(Malzemeler!$E$5:$E$154,MATCH(B459,Malzemeler!$A$5:$A$154,0)),0))</f>
        <v/>
      </c>
    </row>
    <row r="460" customFormat="false" ht="15" hidden="false" customHeight="false" outlineLevel="0" collapsed="false">
      <c r="A460" s="20"/>
      <c r="B460" s="20"/>
      <c r="C460" s="21"/>
      <c r="D460" s="16" t="str">
        <f aca="false">IF(OR(A460="",B460="",C460=""),"",C460*IFERROR(INDEX(Malzemeler!$E$5:$E$154,MATCH(B460,Malzemeler!$A$5:$A$154,0)),0))</f>
        <v/>
      </c>
    </row>
    <row r="461" customFormat="false" ht="15" hidden="false" customHeight="false" outlineLevel="0" collapsed="false">
      <c r="A461" s="20"/>
      <c r="B461" s="20"/>
      <c r="C461" s="21"/>
      <c r="D461" s="16" t="str">
        <f aca="false">IF(OR(A461="",B461="",C461=""),"",C461*IFERROR(INDEX(Malzemeler!$E$5:$E$154,MATCH(B461,Malzemeler!$A$5:$A$154,0)),0))</f>
        <v/>
      </c>
    </row>
    <row r="462" customFormat="false" ht="15" hidden="false" customHeight="false" outlineLevel="0" collapsed="false">
      <c r="A462" s="20"/>
      <c r="B462" s="20"/>
      <c r="C462" s="21"/>
      <c r="D462" s="16" t="str">
        <f aca="false">IF(OR(A462="",B462="",C462=""),"",C462*IFERROR(INDEX(Malzemeler!$E$5:$E$154,MATCH(B462,Malzemeler!$A$5:$A$154,0)),0))</f>
        <v/>
      </c>
    </row>
    <row r="463" customFormat="false" ht="15" hidden="false" customHeight="false" outlineLevel="0" collapsed="false">
      <c r="A463" s="20"/>
      <c r="B463" s="20"/>
      <c r="C463" s="21"/>
      <c r="D463" s="16" t="str">
        <f aca="false">IF(OR(A463="",B463="",C463=""),"",C463*IFERROR(INDEX(Malzemeler!$E$5:$E$154,MATCH(B463,Malzemeler!$A$5:$A$154,0)),0))</f>
        <v/>
      </c>
    </row>
    <row r="464" customFormat="false" ht="15" hidden="false" customHeight="false" outlineLevel="0" collapsed="false">
      <c r="A464" s="20"/>
      <c r="B464" s="20"/>
      <c r="C464" s="21"/>
      <c r="D464" s="16" t="str">
        <f aca="false">IF(OR(A464="",B464="",C464=""),"",C464*IFERROR(INDEX(Malzemeler!$E$5:$E$154,MATCH(B464,Malzemeler!$A$5:$A$154,0)),0))</f>
        <v/>
      </c>
    </row>
    <row r="465" customFormat="false" ht="15" hidden="false" customHeight="false" outlineLevel="0" collapsed="false">
      <c r="A465" s="20"/>
      <c r="B465" s="20"/>
      <c r="C465" s="21"/>
      <c r="D465" s="16" t="str">
        <f aca="false">IF(OR(A465="",B465="",C465=""),"",C465*IFERROR(INDEX(Malzemeler!$E$5:$E$154,MATCH(B465,Malzemeler!$A$5:$A$154,0)),0))</f>
        <v/>
      </c>
    </row>
    <row r="466" customFormat="false" ht="15" hidden="false" customHeight="false" outlineLevel="0" collapsed="false">
      <c r="A466" s="20"/>
      <c r="B466" s="20"/>
      <c r="C466" s="21"/>
      <c r="D466" s="16" t="str">
        <f aca="false">IF(OR(A466="",B466="",C466=""),"",C466*IFERROR(INDEX(Malzemeler!$E$5:$E$154,MATCH(B466,Malzemeler!$A$5:$A$154,0)),0))</f>
        <v/>
      </c>
    </row>
    <row r="467" customFormat="false" ht="15" hidden="false" customHeight="false" outlineLevel="0" collapsed="false">
      <c r="A467" s="20"/>
      <c r="B467" s="20"/>
      <c r="C467" s="21"/>
      <c r="D467" s="16" t="str">
        <f aca="false">IF(OR(A467="",B467="",C467=""),"",C467*IFERROR(INDEX(Malzemeler!$E$5:$E$154,MATCH(B467,Malzemeler!$A$5:$A$154,0)),0))</f>
        <v/>
      </c>
    </row>
    <row r="468" customFormat="false" ht="15" hidden="false" customHeight="false" outlineLevel="0" collapsed="false">
      <c r="A468" s="20"/>
      <c r="B468" s="20"/>
      <c r="C468" s="21"/>
      <c r="D468" s="16" t="str">
        <f aca="false">IF(OR(A468="",B468="",C468=""),"",C468*IFERROR(INDEX(Malzemeler!$E$5:$E$154,MATCH(B468,Malzemeler!$A$5:$A$154,0)),0))</f>
        <v/>
      </c>
    </row>
    <row r="469" customFormat="false" ht="15" hidden="false" customHeight="false" outlineLevel="0" collapsed="false">
      <c r="A469" s="20"/>
      <c r="B469" s="20"/>
      <c r="C469" s="21"/>
      <c r="D469" s="16" t="str">
        <f aca="false">IF(OR(A469="",B469="",C469=""),"",C469*IFERROR(INDEX(Malzemeler!$E$5:$E$154,MATCH(B469,Malzemeler!$A$5:$A$154,0)),0))</f>
        <v/>
      </c>
    </row>
    <row r="470" customFormat="false" ht="15" hidden="false" customHeight="false" outlineLevel="0" collapsed="false">
      <c r="A470" s="20"/>
      <c r="B470" s="20"/>
      <c r="C470" s="21"/>
      <c r="D470" s="16" t="str">
        <f aca="false">IF(OR(A470="",B470="",C470=""),"",C470*IFERROR(INDEX(Malzemeler!$E$5:$E$154,MATCH(B470,Malzemeler!$A$5:$A$154,0)),0))</f>
        <v/>
      </c>
    </row>
    <row r="471" customFormat="false" ht="15" hidden="false" customHeight="false" outlineLevel="0" collapsed="false">
      <c r="A471" s="20"/>
      <c r="B471" s="20"/>
      <c r="C471" s="21"/>
      <c r="D471" s="16" t="str">
        <f aca="false">IF(OR(A471="",B471="",C471=""),"",C471*IFERROR(INDEX(Malzemeler!$E$5:$E$154,MATCH(B471,Malzemeler!$A$5:$A$154,0)),0))</f>
        <v/>
      </c>
    </row>
    <row r="472" customFormat="false" ht="15" hidden="false" customHeight="false" outlineLevel="0" collapsed="false">
      <c r="A472" s="20"/>
      <c r="B472" s="20"/>
      <c r="C472" s="21"/>
      <c r="D472" s="16" t="str">
        <f aca="false">IF(OR(A472="",B472="",C472=""),"",C472*IFERROR(INDEX(Malzemeler!$E$5:$E$154,MATCH(B472,Malzemeler!$A$5:$A$154,0)),0))</f>
        <v/>
      </c>
    </row>
    <row r="473" customFormat="false" ht="15" hidden="false" customHeight="false" outlineLevel="0" collapsed="false">
      <c r="A473" s="20"/>
      <c r="B473" s="20"/>
      <c r="C473" s="21"/>
      <c r="D473" s="16" t="str">
        <f aca="false">IF(OR(A473="",B473="",C473=""),"",C473*IFERROR(INDEX(Malzemeler!$E$5:$E$154,MATCH(B473,Malzemeler!$A$5:$A$154,0)),0))</f>
        <v/>
      </c>
    </row>
    <row r="474" customFormat="false" ht="15" hidden="false" customHeight="false" outlineLevel="0" collapsed="false">
      <c r="A474" s="20"/>
      <c r="B474" s="20"/>
      <c r="C474" s="21"/>
      <c r="D474" s="16" t="str">
        <f aca="false">IF(OR(A474="",B474="",C474=""),"",C474*IFERROR(INDEX(Malzemeler!$E$5:$E$154,MATCH(B474,Malzemeler!$A$5:$A$154,0)),0))</f>
        <v/>
      </c>
    </row>
    <row r="475" customFormat="false" ht="15" hidden="false" customHeight="false" outlineLevel="0" collapsed="false">
      <c r="A475" s="20"/>
      <c r="B475" s="20"/>
      <c r="C475" s="21"/>
      <c r="D475" s="16" t="str">
        <f aca="false">IF(OR(A475="",B475="",C475=""),"",C475*IFERROR(INDEX(Malzemeler!$E$5:$E$154,MATCH(B475,Malzemeler!$A$5:$A$154,0)),0))</f>
        <v/>
      </c>
    </row>
    <row r="476" customFormat="false" ht="15" hidden="false" customHeight="false" outlineLevel="0" collapsed="false">
      <c r="A476" s="20"/>
      <c r="B476" s="20"/>
      <c r="C476" s="21"/>
      <c r="D476" s="16" t="str">
        <f aca="false">IF(OR(A476="",B476="",C476=""),"",C476*IFERROR(INDEX(Malzemeler!$E$5:$E$154,MATCH(B476,Malzemeler!$A$5:$A$154,0)),0))</f>
        <v/>
      </c>
    </row>
    <row r="477" customFormat="false" ht="15" hidden="false" customHeight="false" outlineLevel="0" collapsed="false">
      <c r="A477" s="20"/>
      <c r="B477" s="20"/>
      <c r="C477" s="21"/>
      <c r="D477" s="16" t="str">
        <f aca="false">IF(OR(A477="",B477="",C477=""),"",C477*IFERROR(INDEX(Malzemeler!$E$5:$E$154,MATCH(B477,Malzemeler!$A$5:$A$154,0)),0))</f>
        <v/>
      </c>
    </row>
    <row r="478" customFormat="false" ht="15" hidden="false" customHeight="false" outlineLevel="0" collapsed="false">
      <c r="A478" s="20"/>
      <c r="B478" s="20"/>
      <c r="C478" s="21"/>
      <c r="D478" s="16" t="str">
        <f aca="false">IF(OR(A478="",B478="",C478=""),"",C478*IFERROR(INDEX(Malzemeler!$E$5:$E$154,MATCH(B478,Malzemeler!$A$5:$A$154,0)),0))</f>
        <v/>
      </c>
    </row>
    <row r="479" customFormat="false" ht="15" hidden="false" customHeight="false" outlineLevel="0" collapsed="false">
      <c r="A479" s="20"/>
      <c r="B479" s="20"/>
      <c r="C479" s="21"/>
      <c r="D479" s="16" t="str">
        <f aca="false">IF(OR(A479="",B479="",C479=""),"",C479*IFERROR(INDEX(Malzemeler!$E$5:$E$154,MATCH(B479,Malzemeler!$A$5:$A$154,0)),0))</f>
        <v/>
      </c>
    </row>
    <row r="480" customFormat="false" ht="15" hidden="false" customHeight="false" outlineLevel="0" collapsed="false">
      <c r="A480" s="20"/>
      <c r="B480" s="20"/>
      <c r="C480" s="21"/>
      <c r="D480" s="16" t="str">
        <f aca="false">IF(OR(A480="",B480="",C480=""),"",C480*IFERROR(INDEX(Malzemeler!$E$5:$E$154,MATCH(B480,Malzemeler!$A$5:$A$154,0)),0))</f>
        <v/>
      </c>
    </row>
    <row r="481" customFormat="false" ht="15" hidden="false" customHeight="false" outlineLevel="0" collapsed="false">
      <c r="A481" s="20"/>
      <c r="B481" s="20"/>
      <c r="C481" s="21"/>
      <c r="D481" s="16" t="str">
        <f aca="false">IF(OR(A481="",B481="",C481=""),"",C481*IFERROR(INDEX(Malzemeler!$E$5:$E$154,MATCH(B481,Malzemeler!$A$5:$A$154,0)),0))</f>
        <v/>
      </c>
    </row>
    <row r="482" customFormat="false" ht="15" hidden="false" customHeight="false" outlineLevel="0" collapsed="false">
      <c r="A482" s="20"/>
      <c r="B482" s="20"/>
      <c r="C482" s="21"/>
      <c r="D482" s="16" t="str">
        <f aca="false">IF(OR(A482="",B482="",C482=""),"",C482*IFERROR(INDEX(Malzemeler!$E$5:$E$154,MATCH(B482,Malzemeler!$A$5:$A$154,0)),0))</f>
        <v/>
      </c>
    </row>
    <row r="483" customFormat="false" ht="15" hidden="false" customHeight="false" outlineLevel="0" collapsed="false">
      <c r="A483" s="20"/>
      <c r="B483" s="20"/>
      <c r="C483" s="21"/>
      <c r="D483" s="16" t="str">
        <f aca="false">IF(OR(A483="",B483="",C483=""),"",C483*IFERROR(INDEX(Malzemeler!$E$5:$E$154,MATCH(B483,Malzemeler!$A$5:$A$154,0)),0))</f>
        <v/>
      </c>
    </row>
    <row r="484" customFormat="false" ht="15" hidden="false" customHeight="false" outlineLevel="0" collapsed="false">
      <c r="A484" s="20"/>
      <c r="B484" s="20"/>
      <c r="C484" s="21"/>
      <c r="D484" s="16" t="str">
        <f aca="false">IF(OR(A484="",B484="",C484=""),"",C484*IFERROR(INDEX(Malzemeler!$E$5:$E$154,MATCH(B484,Malzemeler!$A$5:$A$154,0)),0))</f>
        <v/>
      </c>
    </row>
    <row r="485" customFormat="false" ht="15" hidden="false" customHeight="false" outlineLevel="0" collapsed="false">
      <c r="A485" s="20"/>
      <c r="B485" s="20"/>
      <c r="C485" s="21"/>
      <c r="D485" s="16" t="str">
        <f aca="false">IF(OR(A485="",B485="",C485=""),"",C485*IFERROR(INDEX(Malzemeler!$E$5:$E$154,MATCH(B485,Malzemeler!$A$5:$A$154,0)),0))</f>
        <v/>
      </c>
    </row>
    <row r="486" customFormat="false" ht="15" hidden="false" customHeight="false" outlineLevel="0" collapsed="false">
      <c r="A486" s="20"/>
      <c r="B486" s="20"/>
      <c r="C486" s="21"/>
      <c r="D486" s="16" t="str">
        <f aca="false">IF(OR(A486="",B486="",C486=""),"",C486*IFERROR(INDEX(Malzemeler!$E$5:$E$154,MATCH(B486,Malzemeler!$A$5:$A$154,0)),0))</f>
        <v/>
      </c>
    </row>
    <row r="487" customFormat="false" ht="15" hidden="false" customHeight="false" outlineLevel="0" collapsed="false">
      <c r="A487" s="20"/>
      <c r="B487" s="20"/>
      <c r="C487" s="21"/>
      <c r="D487" s="16" t="str">
        <f aca="false">IF(OR(A487="",B487="",C487=""),"",C487*IFERROR(INDEX(Malzemeler!$E$5:$E$154,MATCH(B487,Malzemeler!$A$5:$A$154,0)),0))</f>
        <v/>
      </c>
    </row>
    <row r="488" customFormat="false" ht="15" hidden="false" customHeight="false" outlineLevel="0" collapsed="false">
      <c r="A488" s="20"/>
      <c r="B488" s="20"/>
      <c r="C488" s="21"/>
      <c r="D488" s="16" t="str">
        <f aca="false">IF(OR(A488="",B488="",C488=""),"",C488*IFERROR(INDEX(Malzemeler!$E$5:$E$154,MATCH(B488,Malzemeler!$A$5:$A$154,0)),0))</f>
        <v/>
      </c>
    </row>
    <row r="489" customFormat="false" ht="15" hidden="false" customHeight="false" outlineLevel="0" collapsed="false">
      <c r="A489" s="20"/>
      <c r="B489" s="20"/>
      <c r="C489" s="21"/>
      <c r="D489" s="16" t="str">
        <f aca="false">IF(OR(A489="",B489="",C489=""),"",C489*IFERROR(INDEX(Malzemeler!$E$5:$E$154,MATCH(B489,Malzemeler!$A$5:$A$154,0)),0))</f>
        <v/>
      </c>
    </row>
    <row r="490" customFormat="false" ht="15" hidden="false" customHeight="false" outlineLevel="0" collapsed="false">
      <c r="A490" s="20"/>
      <c r="B490" s="20"/>
      <c r="C490" s="21"/>
      <c r="D490" s="16" t="str">
        <f aca="false">IF(OR(A490="",B490="",C490=""),"",C490*IFERROR(INDEX(Malzemeler!$E$5:$E$154,MATCH(B490,Malzemeler!$A$5:$A$154,0)),0))</f>
        <v/>
      </c>
    </row>
    <row r="491" customFormat="false" ht="15" hidden="false" customHeight="false" outlineLevel="0" collapsed="false">
      <c r="A491" s="20"/>
      <c r="B491" s="20"/>
      <c r="C491" s="21"/>
      <c r="D491" s="16" t="str">
        <f aca="false">IF(OR(A491="",B491="",C491=""),"",C491*IFERROR(INDEX(Malzemeler!$E$5:$E$154,MATCH(B491,Malzemeler!$A$5:$A$154,0)),0))</f>
        <v/>
      </c>
    </row>
    <row r="492" customFormat="false" ht="15" hidden="false" customHeight="false" outlineLevel="0" collapsed="false">
      <c r="A492" s="20"/>
      <c r="B492" s="20"/>
      <c r="C492" s="21"/>
      <c r="D492" s="16" t="str">
        <f aca="false">IF(OR(A492="",B492="",C492=""),"",C492*IFERROR(INDEX(Malzemeler!$E$5:$E$154,MATCH(B492,Malzemeler!$A$5:$A$154,0)),0))</f>
        <v/>
      </c>
    </row>
    <row r="493" customFormat="false" ht="15" hidden="false" customHeight="false" outlineLevel="0" collapsed="false">
      <c r="A493" s="20"/>
      <c r="B493" s="20"/>
      <c r="C493" s="21"/>
      <c r="D493" s="16" t="str">
        <f aca="false">IF(OR(A493="",B493="",C493=""),"",C493*IFERROR(INDEX(Malzemeler!$E$5:$E$154,MATCH(B493,Malzemeler!$A$5:$A$154,0)),0))</f>
        <v/>
      </c>
    </row>
    <row r="494" customFormat="false" ht="15" hidden="false" customHeight="false" outlineLevel="0" collapsed="false">
      <c r="A494" s="20"/>
      <c r="B494" s="20"/>
      <c r="C494" s="21"/>
      <c r="D494" s="16" t="str">
        <f aca="false">IF(OR(A494="",B494="",C494=""),"",C494*IFERROR(INDEX(Malzemeler!$E$5:$E$154,MATCH(B494,Malzemeler!$A$5:$A$154,0)),0))</f>
        <v/>
      </c>
    </row>
    <row r="495" customFormat="false" ht="15" hidden="false" customHeight="false" outlineLevel="0" collapsed="false">
      <c r="A495" s="20"/>
      <c r="B495" s="20"/>
      <c r="C495" s="21"/>
      <c r="D495" s="16" t="str">
        <f aca="false">IF(OR(A495="",B495="",C495=""),"",C495*IFERROR(INDEX(Malzemeler!$E$5:$E$154,MATCH(B495,Malzemeler!$A$5:$A$154,0)),0))</f>
        <v/>
      </c>
    </row>
    <row r="496" customFormat="false" ht="15" hidden="false" customHeight="false" outlineLevel="0" collapsed="false">
      <c r="A496" s="20"/>
      <c r="B496" s="20"/>
      <c r="C496" s="21"/>
      <c r="D496" s="16" t="str">
        <f aca="false">IF(OR(A496="",B496="",C496=""),"",C496*IFERROR(INDEX(Malzemeler!$E$5:$E$154,MATCH(B496,Malzemeler!$A$5:$A$154,0)),0))</f>
        <v/>
      </c>
    </row>
    <row r="497" customFormat="false" ht="15" hidden="false" customHeight="false" outlineLevel="0" collapsed="false">
      <c r="A497" s="20"/>
      <c r="B497" s="20"/>
      <c r="C497" s="21"/>
      <c r="D497" s="16" t="str">
        <f aca="false">IF(OR(A497="",B497="",C497=""),"",C497*IFERROR(INDEX(Malzemeler!$E$5:$E$154,MATCH(B497,Malzemeler!$A$5:$A$154,0)),0))</f>
        <v/>
      </c>
    </row>
    <row r="498" customFormat="false" ht="15" hidden="false" customHeight="false" outlineLevel="0" collapsed="false">
      <c r="A498" s="20"/>
      <c r="B498" s="20"/>
      <c r="C498" s="21"/>
      <c r="D498" s="16" t="str">
        <f aca="false">IF(OR(A498="",B498="",C498=""),"",C498*IFERROR(INDEX(Malzemeler!$E$5:$E$154,MATCH(B498,Malzemeler!$A$5:$A$154,0)),0))</f>
        <v/>
      </c>
    </row>
    <row r="499" customFormat="false" ht="15" hidden="false" customHeight="false" outlineLevel="0" collapsed="false">
      <c r="A499" s="20"/>
      <c r="B499" s="20"/>
      <c r="C499" s="21"/>
      <c r="D499" s="16" t="str">
        <f aca="false">IF(OR(A499="",B499="",C499=""),"",C499*IFERROR(INDEX(Malzemeler!$E$5:$E$154,MATCH(B499,Malzemeler!$A$5:$A$154,0)),0))</f>
        <v/>
      </c>
    </row>
    <row r="500" customFormat="false" ht="15" hidden="false" customHeight="false" outlineLevel="0" collapsed="false">
      <c r="A500" s="20"/>
      <c r="B500" s="20"/>
      <c r="C500" s="21"/>
      <c r="D500" s="16" t="str">
        <f aca="false">IF(OR(A500="",B500="",C500=""),"",C500*IFERROR(INDEX(Malzemeler!$E$5:$E$154,MATCH(B500,Malzemeler!$A$5:$A$154,0)),0))</f>
        <v/>
      </c>
    </row>
    <row r="501" customFormat="false" ht="15" hidden="false" customHeight="false" outlineLevel="0" collapsed="false">
      <c r="A501" s="20"/>
      <c r="B501" s="20"/>
      <c r="C501" s="21"/>
      <c r="D501" s="16" t="str">
        <f aca="false">IF(OR(A501="",B501="",C501=""),"",C501*IFERROR(INDEX(Malzemeler!$E$5:$E$154,MATCH(B501,Malzemeler!$A$5:$A$154,0)),0))</f>
        <v/>
      </c>
    </row>
    <row r="502" customFormat="false" ht="15" hidden="false" customHeight="false" outlineLevel="0" collapsed="false">
      <c r="A502" s="20"/>
      <c r="B502" s="20"/>
      <c r="C502" s="21"/>
      <c r="D502" s="16" t="str">
        <f aca="false">IF(OR(A502="",B502="",C502=""),"",C502*IFERROR(INDEX(Malzemeler!$E$5:$E$154,MATCH(B502,Malzemeler!$A$5:$A$154,0)),0))</f>
        <v/>
      </c>
    </row>
    <row r="503" customFormat="false" ht="15" hidden="false" customHeight="false" outlineLevel="0" collapsed="false">
      <c r="A503" s="20"/>
      <c r="B503" s="20"/>
      <c r="C503" s="21"/>
      <c r="D503" s="16" t="str">
        <f aca="false">IF(OR(A503="",B503="",C503=""),"",C503*IFERROR(INDEX(Malzemeler!$E$5:$E$154,MATCH(B503,Malzemeler!$A$5:$A$154,0)),0))</f>
        <v/>
      </c>
    </row>
    <row r="504" customFormat="false" ht="15" hidden="false" customHeight="false" outlineLevel="0" collapsed="false">
      <c r="A504" s="20"/>
      <c r="B504" s="20"/>
      <c r="C504" s="21"/>
      <c r="D504" s="16" t="str">
        <f aca="false">IF(OR(A504="",B504="",C504=""),"",C504*IFERROR(INDEX(Malzemeler!$E$5:$E$154,MATCH(B504,Malzemeler!$A$5:$A$154,0)),0))</f>
        <v/>
      </c>
    </row>
    <row r="505" customFormat="false" ht="15" hidden="false" customHeight="false" outlineLevel="0" collapsed="false">
      <c r="A505" s="20"/>
      <c r="B505" s="20"/>
      <c r="C505" s="21"/>
      <c r="D505" s="16" t="str">
        <f aca="false">IF(OR(A505="",B505="",C505=""),"",C505*IFERROR(INDEX(Malzemeler!$E$5:$E$154,MATCH(B505,Malzemeler!$A$5:$A$154,0)),0))</f>
        <v/>
      </c>
    </row>
    <row r="506" customFormat="false" ht="15" hidden="false" customHeight="false" outlineLevel="0" collapsed="false">
      <c r="A506" s="20"/>
      <c r="B506" s="20"/>
      <c r="C506" s="21"/>
      <c r="D506" s="16" t="str">
        <f aca="false">IF(OR(A506="",B506="",C506=""),"",C506*IFERROR(INDEX(Malzemeler!$E$5:$E$154,MATCH(B506,Malzemeler!$A$5:$A$154,0)),0))</f>
        <v/>
      </c>
    </row>
    <row r="507" customFormat="false" ht="15" hidden="false" customHeight="false" outlineLevel="0" collapsed="false">
      <c r="A507" s="20"/>
      <c r="B507" s="20"/>
      <c r="C507" s="21"/>
      <c r="D507" s="16" t="str">
        <f aca="false">IF(OR(A507="",B507="",C507=""),"",C507*IFERROR(INDEX(Malzemeler!$E$5:$E$154,MATCH(B507,Malzemeler!$A$5:$A$154,0)),0))</f>
        <v/>
      </c>
    </row>
    <row r="508" customFormat="false" ht="15" hidden="false" customHeight="false" outlineLevel="0" collapsed="false">
      <c r="A508" s="20"/>
      <c r="B508" s="20"/>
      <c r="C508" s="21"/>
      <c r="D508" s="16" t="str">
        <f aca="false">IF(OR(A508="",B508="",C508=""),"",C508*IFERROR(INDEX(Malzemeler!$E$5:$E$154,MATCH(B508,Malzemeler!$A$5:$A$154,0)),0))</f>
        <v/>
      </c>
    </row>
    <row r="509" customFormat="false" ht="15" hidden="false" customHeight="false" outlineLevel="0" collapsed="false">
      <c r="A509" s="20"/>
      <c r="B509" s="20"/>
      <c r="C509" s="21"/>
      <c r="D509" s="16" t="str">
        <f aca="false">IF(OR(A509="",B509="",C509=""),"",C509*IFERROR(INDEX(Malzemeler!$E$5:$E$154,MATCH(B509,Malzemeler!$A$5:$A$154,0)),0))</f>
        <v/>
      </c>
    </row>
    <row r="510" customFormat="false" ht="15" hidden="false" customHeight="false" outlineLevel="0" collapsed="false">
      <c r="A510" s="20"/>
      <c r="B510" s="20"/>
      <c r="C510" s="21"/>
      <c r="D510" s="16" t="str">
        <f aca="false">IF(OR(A510="",B510="",C510=""),"",C510*IFERROR(INDEX(Malzemeler!$E$5:$E$154,MATCH(B510,Malzemeler!$A$5:$A$154,0)),0))</f>
        <v/>
      </c>
    </row>
    <row r="511" customFormat="false" ht="15" hidden="false" customHeight="false" outlineLevel="0" collapsed="false">
      <c r="A511" s="20"/>
      <c r="B511" s="20"/>
      <c r="C511" s="21"/>
      <c r="D511" s="16" t="str">
        <f aca="false">IF(OR(A511="",B511="",C511=""),"",C511*IFERROR(INDEX(Malzemeler!$E$5:$E$154,MATCH(B511,Malzemeler!$A$5:$A$154,0)),0))</f>
        <v/>
      </c>
    </row>
    <row r="512" customFormat="false" ht="15" hidden="false" customHeight="false" outlineLevel="0" collapsed="false">
      <c r="A512" s="20"/>
      <c r="B512" s="20"/>
      <c r="C512" s="21"/>
      <c r="D512" s="16" t="str">
        <f aca="false">IF(OR(A512="",B512="",C512=""),"",C512*IFERROR(INDEX(Malzemeler!$E$5:$E$154,MATCH(B512,Malzemeler!$A$5:$A$154,0)),0))</f>
        <v/>
      </c>
    </row>
    <row r="513" customFormat="false" ht="15" hidden="false" customHeight="false" outlineLevel="0" collapsed="false">
      <c r="A513" s="20"/>
      <c r="B513" s="20"/>
      <c r="C513" s="21"/>
      <c r="D513" s="16" t="str">
        <f aca="false">IF(OR(A513="",B513="",C513=""),"",C513*IFERROR(INDEX(Malzemeler!$E$5:$E$154,MATCH(B513,Malzemeler!$A$5:$A$154,0)),0))</f>
        <v/>
      </c>
    </row>
    <row r="514" customFormat="false" ht="15" hidden="false" customHeight="false" outlineLevel="0" collapsed="false">
      <c r="A514" s="20"/>
      <c r="B514" s="20"/>
      <c r="C514" s="21"/>
      <c r="D514" s="16" t="str">
        <f aca="false">IF(OR(A514="",B514="",C514=""),"",C514*IFERROR(INDEX(Malzemeler!$E$5:$E$154,MATCH(B514,Malzemeler!$A$5:$A$154,0)),0))</f>
        <v/>
      </c>
    </row>
    <row r="515" customFormat="false" ht="15" hidden="false" customHeight="false" outlineLevel="0" collapsed="false">
      <c r="A515" s="20"/>
      <c r="B515" s="20"/>
      <c r="C515" s="21"/>
      <c r="D515" s="16" t="str">
        <f aca="false">IF(OR(A515="",B515="",C515=""),"",C515*IFERROR(INDEX(Malzemeler!$E$5:$E$154,MATCH(B515,Malzemeler!$A$5:$A$154,0)),0))</f>
        <v/>
      </c>
    </row>
    <row r="516" customFormat="false" ht="15" hidden="false" customHeight="false" outlineLevel="0" collapsed="false">
      <c r="A516" s="20"/>
      <c r="B516" s="20"/>
      <c r="C516" s="21"/>
      <c r="D516" s="16" t="str">
        <f aca="false">IF(OR(A516="",B516="",C516=""),"",C516*IFERROR(INDEX(Malzemeler!$E$5:$E$154,MATCH(B516,Malzemeler!$A$5:$A$154,0)),0))</f>
        <v/>
      </c>
    </row>
    <row r="517" customFormat="false" ht="15" hidden="false" customHeight="false" outlineLevel="0" collapsed="false">
      <c r="A517" s="20"/>
      <c r="B517" s="20"/>
      <c r="C517" s="21"/>
      <c r="D517" s="16" t="str">
        <f aca="false">IF(OR(A517="",B517="",C517=""),"",C517*IFERROR(INDEX(Malzemeler!$E$5:$E$154,MATCH(B517,Malzemeler!$A$5:$A$154,0)),0))</f>
        <v/>
      </c>
    </row>
    <row r="518" customFormat="false" ht="15" hidden="false" customHeight="false" outlineLevel="0" collapsed="false">
      <c r="A518" s="20"/>
      <c r="B518" s="20"/>
      <c r="C518" s="21"/>
      <c r="D518" s="16" t="str">
        <f aca="false">IF(OR(A518="",B518="",C518=""),"",C518*IFERROR(INDEX(Malzemeler!$E$5:$E$154,MATCH(B518,Malzemeler!$A$5:$A$154,0)),0))</f>
        <v/>
      </c>
    </row>
    <row r="519" customFormat="false" ht="15" hidden="false" customHeight="false" outlineLevel="0" collapsed="false">
      <c r="A519" s="20"/>
      <c r="B519" s="20"/>
      <c r="C519" s="21"/>
      <c r="D519" s="16" t="str">
        <f aca="false">IF(OR(A519="",B519="",C519=""),"",C519*IFERROR(INDEX(Malzemeler!$E$5:$E$154,MATCH(B519,Malzemeler!$A$5:$A$154,0)),0))</f>
        <v/>
      </c>
    </row>
    <row r="520" customFormat="false" ht="15" hidden="false" customHeight="false" outlineLevel="0" collapsed="false">
      <c r="A520" s="20"/>
      <c r="B520" s="20"/>
      <c r="C520" s="21"/>
      <c r="D520" s="16" t="str">
        <f aca="false">IF(OR(A520="",B520="",C520=""),"",C520*IFERROR(INDEX(Malzemeler!$E$5:$E$154,MATCH(B520,Malzemeler!$A$5:$A$154,0)),0))</f>
        <v/>
      </c>
    </row>
    <row r="521" customFormat="false" ht="15" hidden="false" customHeight="false" outlineLevel="0" collapsed="false">
      <c r="A521" s="20"/>
      <c r="B521" s="20"/>
      <c r="C521" s="21"/>
      <c r="D521" s="16" t="str">
        <f aca="false">IF(OR(A521="",B521="",C521=""),"",C521*IFERROR(INDEX(Malzemeler!$E$5:$E$154,MATCH(B521,Malzemeler!$A$5:$A$154,0)),0))</f>
        <v/>
      </c>
    </row>
    <row r="522" customFormat="false" ht="15" hidden="false" customHeight="false" outlineLevel="0" collapsed="false">
      <c r="A522" s="20"/>
      <c r="B522" s="20"/>
      <c r="C522" s="21"/>
      <c r="D522" s="16" t="str">
        <f aca="false">IF(OR(A522="",B522="",C522=""),"",C522*IFERROR(INDEX(Malzemeler!$E$5:$E$154,MATCH(B522,Malzemeler!$A$5:$A$154,0)),0))</f>
        <v/>
      </c>
    </row>
    <row r="523" customFormat="false" ht="15" hidden="false" customHeight="false" outlineLevel="0" collapsed="false">
      <c r="A523" s="20"/>
      <c r="B523" s="20"/>
      <c r="C523" s="21"/>
      <c r="D523" s="16" t="str">
        <f aca="false">IF(OR(A523="",B523="",C523=""),"",C523*IFERROR(INDEX(Malzemeler!$E$5:$E$154,MATCH(B523,Malzemeler!$A$5:$A$154,0)),0))</f>
        <v/>
      </c>
    </row>
    <row r="524" customFormat="false" ht="15" hidden="false" customHeight="false" outlineLevel="0" collapsed="false">
      <c r="A524" s="20"/>
      <c r="B524" s="20"/>
      <c r="C524" s="21"/>
      <c r="D524" s="16" t="str">
        <f aca="false">IF(OR(A524="",B524="",C524=""),"",C524*IFERROR(INDEX(Malzemeler!$E$5:$E$154,MATCH(B524,Malzemeler!$A$5:$A$154,0)),0))</f>
        <v/>
      </c>
    </row>
    <row r="525" customFormat="false" ht="15" hidden="false" customHeight="false" outlineLevel="0" collapsed="false">
      <c r="A525" s="20"/>
      <c r="B525" s="20"/>
      <c r="C525" s="21"/>
      <c r="D525" s="16" t="str">
        <f aca="false">IF(OR(A525="",B525="",C525=""),"",C525*IFERROR(INDEX(Malzemeler!$E$5:$E$154,MATCH(B525,Malzemeler!$A$5:$A$154,0)),0))</f>
        <v/>
      </c>
    </row>
    <row r="526" customFormat="false" ht="15" hidden="false" customHeight="false" outlineLevel="0" collapsed="false">
      <c r="A526" s="20"/>
      <c r="B526" s="20"/>
      <c r="C526" s="21"/>
      <c r="D526" s="16" t="str">
        <f aca="false">IF(OR(A526="",B526="",C526=""),"",C526*IFERROR(INDEX(Malzemeler!$E$5:$E$154,MATCH(B526,Malzemeler!$A$5:$A$154,0)),0))</f>
        <v/>
      </c>
    </row>
    <row r="527" customFormat="false" ht="15" hidden="false" customHeight="false" outlineLevel="0" collapsed="false">
      <c r="A527" s="20"/>
      <c r="B527" s="20"/>
      <c r="C527" s="21"/>
      <c r="D527" s="16" t="str">
        <f aca="false">IF(OR(A527="",B527="",C527=""),"",C527*IFERROR(INDEX(Malzemeler!$E$5:$E$154,MATCH(B527,Malzemeler!$A$5:$A$154,0)),0))</f>
        <v/>
      </c>
    </row>
    <row r="528" customFormat="false" ht="15" hidden="false" customHeight="false" outlineLevel="0" collapsed="false">
      <c r="A528" s="20"/>
      <c r="B528" s="20"/>
      <c r="C528" s="21"/>
      <c r="D528" s="16" t="str">
        <f aca="false">IF(OR(A528="",B528="",C528=""),"",C528*IFERROR(INDEX(Malzemeler!$E$5:$E$154,MATCH(B528,Malzemeler!$A$5:$A$154,0)),0))</f>
        <v/>
      </c>
    </row>
    <row r="529" customFormat="false" ht="15" hidden="false" customHeight="false" outlineLevel="0" collapsed="false">
      <c r="A529" s="20"/>
      <c r="B529" s="20"/>
      <c r="C529" s="21"/>
      <c r="D529" s="16" t="str">
        <f aca="false">IF(OR(A529="",B529="",C529=""),"",C529*IFERROR(INDEX(Malzemeler!$E$5:$E$154,MATCH(B529,Malzemeler!$A$5:$A$154,0)),0))</f>
        <v/>
      </c>
    </row>
    <row r="530" customFormat="false" ht="15" hidden="false" customHeight="false" outlineLevel="0" collapsed="false">
      <c r="A530" s="20"/>
      <c r="B530" s="20"/>
      <c r="C530" s="21"/>
      <c r="D530" s="16" t="str">
        <f aca="false">IF(OR(A530="",B530="",C530=""),"",C530*IFERROR(INDEX(Malzemeler!$E$5:$E$154,MATCH(B530,Malzemeler!$A$5:$A$154,0)),0))</f>
        <v/>
      </c>
    </row>
    <row r="531" customFormat="false" ht="15" hidden="false" customHeight="false" outlineLevel="0" collapsed="false">
      <c r="A531" s="20"/>
      <c r="B531" s="20"/>
      <c r="C531" s="21"/>
      <c r="D531" s="16" t="str">
        <f aca="false">IF(OR(A531="",B531="",C531=""),"",C531*IFERROR(INDEX(Malzemeler!$E$5:$E$154,MATCH(B531,Malzemeler!$A$5:$A$154,0)),0))</f>
        <v/>
      </c>
    </row>
    <row r="532" customFormat="false" ht="15" hidden="false" customHeight="false" outlineLevel="0" collapsed="false">
      <c r="A532" s="20"/>
      <c r="B532" s="20"/>
      <c r="C532" s="21"/>
      <c r="D532" s="16" t="str">
        <f aca="false">IF(OR(A532="",B532="",C532=""),"",C532*IFERROR(INDEX(Malzemeler!$E$5:$E$154,MATCH(B532,Malzemeler!$A$5:$A$154,0)),0))</f>
        <v/>
      </c>
    </row>
    <row r="533" customFormat="false" ht="15" hidden="false" customHeight="false" outlineLevel="0" collapsed="false">
      <c r="A533" s="20"/>
      <c r="B533" s="20"/>
      <c r="C533" s="21"/>
      <c r="D533" s="16" t="str">
        <f aca="false">IF(OR(A533="",B533="",C533=""),"",C533*IFERROR(INDEX(Malzemeler!$E$5:$E$154,MATCH(B533,Malzemeler!$A$5:$A$154,0)),0))</f>
        <v/>
      </c>
    </row>
    <row r="534" customFormat="false" ht="15" hidden="false" customHeight="false" outlineLevel="0" collapsed="false">
      <c r="A534" s="20"/>
      <c r="B534" s="20"/>
      <c r="C534" s="21"/>
      <c r="D534" s="16" t="str">
        <f aca="false">IF(OR(A534="",B534="",C534=""),"",C534*IFERROR(INDEX(Malzemeler!$E$5:$E$154,MATCH(B534,Malzemeler!$A$5:$A$154,0)),0))</f>
        <v/>
      </c>
    </row>
    <row r="535" customFormat="false" ht="15" hidden="false" customHeight="false" outlineLevel="0" collapsed="false">
      <c r="A535" s="20"/>
      <c r="B535" s="20"/>
      <c r="C535" s="21"/>
      <c r="D535" s="16" t="str">
        <f aca="false">IF(OR(A535="",B535="",C535=""),"",C535*IFERROR(INDEX(Malzemeler!$E$5:$E$154,MATCH(B535,Malzemeler!$A$5:$A$154,0)),0))</f>
        <v/>
      </c>
    </row>
    <row r="536" customFormat="false" ht="15" hidden="false" customHeight="false" outlineLevel="0" collapsed="false">
      <c r="A536" s="20"/>
      <c r="B536" s="20"/>
      <c r="C536" s="21"/>
      <c r="D536" s="16" t="str">
        <f aca="false">IF(OR(A536="",B536="",C536=""),"",C536*IFERROR(INDEX(Malzemeler!$E$5:$E$154,MATCH(B536,Malzemeler!$A$5:$A$154,0)),0))</f>
        <v/>
      </c>
    </row>
    <row r="537" customFormat="false" ht="15" hidden="false" customHeight="false" outlineLevel="0" collapsed="false">
      <c r="A537" s="20"/>
      <c r="B537" s="20"/>
      <c r="C537" s="21"/>
      <c r="D537" s="16" t="str">
        <f aca="false">IF(OR(A537="",B537="",C537=""),"",C537*IFERROR(INDEX(Malzemeler!$E$5:$E$154,MATCH(B537,Malzemeler!$A$5:$A$154,0)),0))</f>
        <v/>
      </c>
    </row>
    <row r="538" customFormat="false" ht="15" hidden="false" customHeight="false" outlineLevel="0" collapsed="false">
      <c r="A538" s="20"/>
      <c r="B538" s="20"/>
      <c r="C538" s="21"/>
      <c r="D538" s="16" t="str">
        <f aca="false">IF(OR(A538="",B538="",C538=""),"",C538*IFERROR(INDEX(Malzemeler!$E$5:$E$154,MATCH(B538,Malzemeler!$A$5:$A$154,0)),0))</f>
        <v/>
      </c>
    </row>
    <row r="539" customFormat="false" ht="15" hidden="false" customHeight="false" outlineLevel="0" collapsed="false">
      <c r="A539" s="20"/>
      <c r="B539" s="20"/>
      <c r="C539" s="21"/>
      <c r="D539" s="16" t="str">
        <f aca="false">IF(OR(A539="",B539="",C539=""),"",C539*IFERROR(INDEX(Malzemeler!$E$5:$E$154,MATCH(B539,Malzemeler!$A$5:$A$154,0)),0))</f>
        <v/>
      </c>
    </row>
    <row r="540" customFormat="false" ht="15" hidden="false" customHeight="false" outlineLevel="0" collapsed="false">
      <c r="A540" s="20"/>
      <c r="B540" s="20"/>
      <c r="C540" s="21"/>
      <c r="D540" s="16" t="str">
        <f aca="false">IF(OR(A540="",B540="",C540=""),"",C540*IFERROR(INDEX(Malzemeler!$E$5:$E$154,MATCH(B540,Malzemeler!$A$5:$A$154,0)),0))</f>
        <v/>
      </c>
    </row>
    <row r="541" customFormat="false" ht="15" hidden="false" customHeight="false" outlineLevel="0" collapsed="false">
      <c r="A541" s="20"/>
      <c r="B541" s="20"/>
      <c r="C541" s="21"/>
      <c r="D541" s="16" t="str">
        <f aca="false">IF(OR(A541="",B541="",C541=""),"",C541*IFERROR(INDEX(Malzemeler!$E$5:$E$154,MATCH(B541,Malzemeler!$A$5:$A$154,0)),0))</f>
        <v/>
      </c>
    </row>
    <row r="542" customFormat="false" ht="15" hidden="false" customHeight="false" outlineLevel="0" collapsed="false">
      <c r="A542" s="20"/>
      <c r="B542" s="20"/>
      <c r="C542" s="21"/>
      <c r="D542" s="16" t="str">
        <f aca="false">IF(OR(A542="",B542="",C542=""),"",C542*IFERROR(INDEX(Malzemeler!$E$5:$E$154,MATCH(B542,Malzemeler!$A$5:$A$154,0)),0))</f>
        <v/>
      </c>
    </row>
    <row r="543" customFormat="false" ht="15" hidden="false" customHeight="false" outlineLevel="0" collapsed="false">
      <c r="A543" s="20"/>
      <c r="B543" s="20"/>
      <c r="C543" s="21"/>
      <c r="D543" s="16" t="str">
        <f aca="false">IF(OR(A543="",B543="",C543=""),"",C543*IFERROR(INDEX(Malzemeler!$E$5:$E$154,MATCH(B543,Malzemeler!$A$5:$A$154,0)),0))</f>
        <v/>
      </c>
    </row>
    <row r="544" customFormat="false" ht="15" hidden="false" customHeight="false" outlineLevel="0" collapsed="false">
      <c r="A544" s="20"/>
      <c r="B544" s="20"/>
      <c r="C544" s="21"/>
      <c r="D544" s="16" t="str">
        <f aca="false">IF(OR(A544="",B544="",C544=""),"",C544*IFERROR(INDEX(Malzemeler!$E$5:$E$154,MATCH(B544,Malzemeler!$A$5:$A$154,0)),0))</f>
        <v/>
      </c>
    </row>
    <row r="545" customFormat="false" ht="15" hidden="false" customHeight="false" outlineLevel="0" collapsed="false">
      <c r="A545" s="20"/>
      <c r="B545" s="20"/>
      <c r="C545" s="21"/>
      <c r="D545" s="16" t="str">
        <f aca="false">IF(OR(A545="",B545="",C545=""),"",C545*IFERROR(INDEX(Malzemeler!$E$5:$E$154,MATCH(B545,Malzemeler!$A$5:$A$154,0)),0))</f>
        <v/>
      </c>
    </row>
    <row r="546" customFormat="false" ht="15" hidden="false" customHeight="false" outlineLevel="0" collapsed="false">
      <c r="A546" s="20"/>
      <c r="B546" s="20"/>
      <c r="C546" s="21"/>
      <c r="D546" s="16" t="str">
        <f aca="false">IF(OR(A546="",B546="",C546=""),"",C546*IFERROR(INDEX(Malzemeler!$E$5:$E$154,MATCH(B546,Malzemeler!$A$5:$A$154,0)),0))</f>
        <v/>
      </c>
    </row>
    <row r="547" customFormat="false" ht="15" hidden="false" customHeight="false" outlineLevel="0" collapsed="false">
      <c r="A547" s="20"/>
      <c r="B547" s="20"/>
      <c r="C547" s="21"/>
      <c r="D547" s="16" t="str">
        <f aca="false">IF(OR(A547="",B547="",C547=""),"",C547*IFERROR(INDEX(Malzemeler!$E$5:$E$154,MATCH(B547,Malzemeler!$A$5:$A$154,0)),0))</f>
        <v/>
      </c>
    </row>
    <row r="548" customFormat="false" ht="15" hidden="false" customHeight="false" outlineLevel="0" collapsed="false">
      <c r="A548" s="20"/>
      <c r="B548" s="20"/>
      <c r="C548" s="21"/>
      <c r="D548" s="16" t="str">
        <f aca="false">IF(OR(A548="",B548="",C548=""),"",C548*IFERROR(INDEX(Malzemeler!$E$5:$E$154,MATCH(B548,Malzemeler!$A$5:$A$154,0)),0))</f>
        <v/>
      </c>
    </row>
    <row r="549" customFormat="false" ht="15" hidden="false" customHeight="false" outlineLevel="0" collapsed="false">
      <c r="A549" s="20"/>
      <c r="B549" s="20"/>
      <c r="C549" s="21"/>
      <c r="D549" s="16" t="str">
        <f aca="false">IF(OR(A549="",B549="",C549=""),"",C549*IFERROR(INDEX(Malzemeler!$E$5:$E$154,MATCH(B549,Malzemeler!$A$5:$A$154,0)),0))</f>
        <v/>
      </c>
    </row>
    <row r="550" customFormat="false" ht="15" hidden="false" customHeight="false" outlineLevel="0" collapsed="false">
      <c r="A550" s="20"/>
      <c r="B550" s="20"/>
      <c r="C550" s="21"/>
      <c r="D550" s="16" t="str">
        <f aca="false">IF(OR(A550="",B550="",C550=""),"",C550*IFERROR(INDEX(Malzemeler!$E$5:$E$154,MATCH(B550,Malzemeler!$A$5:$A$154,0)),0))</f>
        <v/>
      </c>
    </row>
    <row r="551" customFormat="false" ht="15" hidden="false" customHeight="false" outlineLevel="0" collapsed="false">
      <c r="A551" s="20"/>
      <c r="B551" s="20"/>
      <c r="C551" s="21"/>
      <c r="D551" s="16" t="str">
        <f aca="false">IF(OR(A551="",B551="",C551=""),"",C551*IFERROR(INDEX(Malzemeler!$E$5:$E$154,MATCH(B551,Malzemeler!$A$5:$A$154,0)),0))</f>
        <v/>
      </c>
    </row>
    <row r="552" customFormat="false" ht="15" hidden="false" customHeight="false" outlineLevel="0" collapsed="false">
      <c r="A552" s="20"/>
      <c r="B552" s="20"/>
      <c r="C552" s="21"/>
      <c r="D552" s="16" t="str">
        <f aca="false">IF(OR(A552="",B552="",C552=""),"",C552*IFERROR(INDEX(Malzemeler!$E$5:$E$154,MATCH(B552,Malzemeler!$A$5:$A$154,0)),0))</f>
        <v/>
      </c>
    </row>
    <row r="553" customFormat="false" ht="15" hidden="false" customHeight="false" outlineLevel="0" collapsed="false">
      <c r="A553" s="20"/>
      <c r="B553" s="20"/>
      <c r="C553" s="21"/>
      <c r="D553" s="16" t="str">
        <f aca="false">IF(OR(A553="",B553="",C553=""),"",C553*IFERROR(INDEX(Malzemeler!$E$5:$E$154,MATCH(B553,Malzemeler!$A$5:$A$154,0)),0))</f>
        <v/>
      </c>
    </row>
    <row r="554" customFormat="false" ht="15" hidden="false" customHeight="false" outlineLevel="0" collapsed="false">
      <c r="A554" s="20"/>
      <c r="B554" s="20"/>
      <c r="C554" s="21"/>
      <c r="D554" s="16" t="str">
        <f aca="false">IF(OR(A554="",B554="",C554=""),"",C554*IFERROR(INDEX(Malzemeler!$E$5:$E$154,MATCH(B554,Malzemeler!$A$5:$A$154,0)),0))</f>
        <v/>
      </c>
    </row>
    <row r="555" customFormat="false" ht="15" hidden="false" customHeight="false" outlineLevel="0" collapsed="false">
      <c r="A555" s="20"/>
      <c r="B555" s="20"/>
      <c r="C555" s="21"/>
      <c r="D555" s="16" t="str">
        <f aca="false">IF(OR(A555="",B555="",C555=""),"",C555*IFERROR(INDEX(Malzemeler!$E$5:$E$154,MATCH(B555,Malzemeler!$A$5:$A$154,0)),0))</f>
        <v/>
      </c>
    </row>
    <row r="556" customFormat="false" ht="15" hidden="false" customHeight="false" outlineLevel="0" collapsed="false">
      <c r="A556" s="20"/>
      <c r="B556" s="20"/>
      <c r="C556" s="21"/>
      <c r="D556" s="16" t="str">
        <f aca="false">IF(OR(A556="",B556="",C556=""),"",C556*IFERROR(INDEX(Malzemeler!$E$5:$E$154,MATCH(B556,Malzemeler!$A$5:$A$154,0)),0))</f>
        <v/>
      </c>
    </row>
    <row r="557" customFormat="false" ht="15" hidden="false" customHeight="false" outlineLevel="0" collapsed="false">
      <c r="A557" s="20"/>
      <c r="B557" s="20"/>
      <c r="C557" s="21"/>
      <c r="D557" s="16" t="str">
        <f aca="false">IF(OR(A557="",B557="",C557=""),"",C557*IFERROR(INDEX(Malzemeler!$E$5:$E$154,MATCH(B557,Malzemeler!$A$5:$A$154,0)),0))</f>
        <v/>
      </c>
    </row>
    <row r="558" customFormat="false" ht="15" hidden="false" customHeight="false" outlineLevel="0" collapsed="false">
      <c r="A558" s="20"/>
      <c r="B558" s="20"/>
      <c r="C558" s="21"/>
      <c r="D558" s="16" t="str">
        <f aca="false">IF(OR(A558="",B558="",C558=""),"",C558*IFERROR(INDEX(Malzemeler!$E$5:$E$154,MATCH(B558,Malzemeler!$A$5:$A$154,0)),0))</f>
        <v/>
      </c>
    </row>
    <row r="559" customFormat="false" ht="15" hidden="false" customHeight="false" outlineLevel="0" collapsed="false">
      <c r="A559" s="20"/>
      <c r="B559" s="20"/>
      <c r="C559" s="21"/>
      <c r="D559" s="16" t="str">
        <f aca="false">IF(OR(A559="",B559="",C559=""),"",C559*IFERROR(INDEX(Malzemeler!$E$5:$E$154,MATCH(B559,Malzemeler!$A$5:$A$154,0)),0))</f>
        <v/>
      </c>
    </row>
    <row r="560" customFormat="false" ht="15" hidden="false" customHeight="false" outlineLevel="0" collapsed="false">
      <c r="A560" s="20"/>
      <c r="B560" s="20"/>
      <c r="C560" s="21"/>
      <c r="D560" s="16" t="str">
        <f aca="false">IF(OR(A560="",B560="",C560=""),"",C560*IFERROR(INDEX(Malzemeler!$E$5:$E$154,MATCH(B560,Malzemeler!$A$5:$A$154,0)),0))</f>
        <v/>
      </c>
    </row>
    <row r="561" customFormat="false" ht="15" hidden="false" customHeight="false" outlineLevel="0" collapsed="false">
      <c r="A561" s="20"/>
      <c r="B561" s="20"/>
      <c r="C561" s="21"/>
      <c r="D561" s="16" t="str">
        <f aca="false">IF(OR(A561="",B561="",C561=""),"",C561*IFERROR(INDEX(Malzemeler!$E$5:$E$154,MATCH(B561,Malzemeler!$A$5:$A$154,0)),0))</f>
        <v/>
      </c>
    </row>
    <row r="562" customFormat="false" ht="15" hidden="false" customHeight="false" outlineLevel="0" collapsed="false">
      <c r="A562" s="20"/>
      <c r="B562" s="20"/>
      <c r="C562" s="21"/>
      <c r="D562" s="16" t="str">
        <f aca="false">IF(OR(A562="",B562="",C562=""),"",C562*IFERROR(INDEX(Malzemeler!$E$5:$E$154,MATCH(B562,Malzemeler!$A$5:$A$154,0)),0))</f>
        <v/>
      </c>
    </row>
    <row r="563" customFormat="false" ht="15" hidden="false" customHeight="false" outlineLevel="0" collapsed="false">
      <c r="A563" s="20"/>
      <c r="B563" s="20"/>
      <c r="C563" s="21"/>
      <c r="D563" s="16" t="str">
        <f aca="false">IF(OR(A563="",B563="",C563=""),"",C563*IFERROR(INDEX(Malzemeler!$E$5:$E$154,MATCH(B563,Malzemeler!$A$5:$A$154,0)),0))</f>
        <v/>
      </c>
    </row>
    <row r="564" customFormat="false" ht="15" hidden="false" customHeight="false" outlineLevel="0" collapsed="false">
      <c r="A564" s="20"/>
      <c r="B564" s="20"/>
      <c r="C564" s="21"/>
      <c r="D564" s="16" t="str">
        <f aca="false">IF(OR(A564="",B564="",C564=""),"",C564*IFERROR(INDEX(Malzemeler!$E$5:$E$154,MATCH(B564,Malzemeler!$A$5:$A$154,0)),0))</f>
        <v/>
      </c>
    </row>
    <row r="565" customFormat="false" ht="15" hidden="false" customHeight="false" outlineLevel="0" collapsed="false">
      <c r="A565" s="20"/>
      <c r="B565" s="20"/>
      <c r="C565" s="21"/>
      <c r="D565" s="16" t="str">
        <f aca="false">IF(OR(A565="",B565="",C565=""),"",C565*IFERROR(INDEX(Malzemeler!$E$5:$E$154,MATCH(B565,Malzemeler!$A$5:$A$154,0)),0))</f>
        <v/>
      </c>
    </row>
    <row r="566" customFormat="false" ht="15" hidden="false" customHeight="false" outlineLevel="0" collapsed="false">
      <c r="A566" s="20"/>
      <c r="B566" s="20"/>
      <c r="C566" s="21"/>
      <c r="D566" s="16" t="str">
        <f aca="false">IF(OR(A566="",B566="",C566=""),"",C566*IFERROR(INDEX(Malzemeler!$E$5:$E$154,MATCH(B566,Malzemeler!$A$5:$A$154,0)),0))</f>
        <v/>
      </c>
    </row>
    <row r="567" customFormat="false" ht="15" hidden="false" customHeight="false" outlineLevel="0" collapsed="false">
      <c r="A567" s="20"/>
      <c r="B567" s="20"/>
      <c r="C567" s="21"/>
      <c r="D567" s="16" t="str">
        <f aca="false">IF(OR(A567="",B567="",C567=""),"",C567*IFERROR(INDEX(Malzemeler!$E$5:$E$154,MATCH(B567,Malzemeler!$A$5:$A$154,0)),0))</f>
        <v/>
      </c>
    </row>
    <row r="568" customFormat="false" ht="15" hidden="false" customHeight="false" outlineLevel="0" collapsed="false">
      <c r="A568" s="20"/>
      <c r="B568" s="20"/>
      <c r="C568" s="21"/>
      <c r="D568" s="16" t="str">
        <f aca="false">IF(OR(A568="",B568="",C568=""),"",C568*IFERROR(INDEX(Malzemeler!$E$5:$E$154,MATCH(B568,Malzemeler!$A$5:$A$154,0)),0))</f>
        <v/>
      </c>
    </row>
    <row r="569" customFormat="false" ht="15" hidden="false" customHeight="false" outlineLevel="0" collapsed="false">
      <c r="A569" s="20"/>
      <c r="B569" s="20"/>
      <c r="C569" s="21"/>
      <c r="D569" s="16" t="str">
        <f aca="false">IF(OR(A569="",B569="",C569=""),"",C569*IFERROR(INDEX(Malzemeler!$E$5:$E$154,MATCH(B569,Malzemeler!$A$5:$A$154,0)),0))</f>
        <v/>
      </c>
    </row>
    <row r="570" customFormat="false" ht="15" hidden="false" customHeight="false" outlineLevel="0" collapsed="false">
      <c r="A570" s="20"/>
      <c r="B570" s="20"/>
      <c r="C570" s="21"/>
      <c r="D570" s="16" t="str">
        <f aca="false">IF(OR(A570="",B570="",C570=""),"",C570*IFERROR(INDEX(Malzemeler!$E$5:$E$154,MATCH(B570,Malzemeler!$A$5:$A$154,0)),0))</f>
        <v/>
      </c>
    </row>
    <row r="571" customFormat="false" ht="15" hidden="false" customHeight="false" outlineLevel="0" collapsed="false">
      <c r="A571" s="20"/>
      <c r="B571" s="20"/>
      <c r="C571" s="21"/>
      <c r="D571" s="16" t="str">
        <f aca="false">IF(OR(A571="",B571="",C571=""),"",C571*IFERROR(INDEX(Malzemeler!$E$5:$E$154,MATCH(B571,Malzemeler!$A$5:$A$154,0)),0))</f>
        <v/>
      </c>
    </row>
    <row r="572" customFormat="false" ht="15" hidden="false" customHeight="false" outlineLevel="0" collapsed="false">
      <c r="A572" s="20"/>
      <c r="B572" s="20"/>
      <c r="C572" s="21"/>
      <c r="D572" s="16" t="str">
        <f aca="false">IF(OR(A572="",B572="",C572=""),"",C572*IFERROR(INDEX(Malzemeler!$E$5:$E$154,MATCH(B572,Malzemeler!$A$5:$A$154,0)),0))</f>
        <v/>
      </c>
    </row>
    <row r="573" customFormat="false" ht="15" hidden="false" customHeight="false" outlineLevel="0" collapsed="false">
      <c r="A573" s="20"/>
      <c r="B573" s="20"/>
      <c r="C573" s="21"/>
      <c r="D573" s="16" t="str">
        <f aca="false">IF(OR(A573="",B573="",C573=""),"",C573*IFERROR(INDEX(Malzemeler!$E$5:$E$154,MATCH(B573,Malzemeler!$A$5:$A$154,0)),0))</f>
        <v/>
      </c>
    </row>
    <row r="574" customFormat="false" ht="15" hidden="false" customHeight="false" outlineLevel="0" collapsed="false">
      <c r="A574" s="20"/>
      <c r="B574" s="20"/>
      <c r="C574" s="21"/>
      <c r="D574" s="16" t="str">
        <f aca="false">IF(OR(A574="",B574="",C574=""),"",C574*IFERROR(INDEX(Malzemeler!$E$5:$E$154,MATCH(B574,Malzemeler!$A$5:$A$154,0)),0))</f>
        <v/>
      </c>
    </row>
    <row r="575" customFormat="false" ht="15" hidden="false" customHeight="false" outlineLevel="0" collapsed="false">
      <c r="A575" s="20"/>
      <c r="B575" s="20"/>
      <c r="C575" s="21"/>
      <c r="D575" s="16" t="str">
        <f aca="false">IF(OR(A575="",B575="",C575=""),"",C575*IFERROR(INDEX(Malzemeler!$E$5:$E$154,MATCH(B575,Malzemeler!$A$5:$A$154,0)),0))</f>
        <v/>
      </c>
    </row>
    <row r="576" customFormat="false" ht="15" hidden="false" customHeight="false" outlineLevel="0" collapsed="false">
      <c r="A576" s="20"/>
      <c r="B576" s="20"/>
      <c r="C576" s="21"/>
      <c r="D576" s="16" t="str">
        <f aca="false">IF(OR(A576="",B576="",C576=""),"",C576*IFERROR(INDEX(Malzemeler!$E$5:$E$154,MATCH(B576,Malzemeler!$A$5:$A$154,0)),0))</f>
        <v/>
      </c>
    </row>
    <row r="577" customFormat="false" ht="15" hidden="false" customHeight="false" outlineLevel="0" collapsed="false">
      <c r="A577" s="20"/>
      <c r="B577" s="20"/>
      <c r="C577" s="21"/>
      <c r="D577" s="16" t="str">
        <f aca="false">IF(OR(A577="",B577="",C577=""),"",C577*IFERROR(INDEX(Malzemeler!$E$5:$E$154,MATCH(B577,Malzemeler!$A$5:$A$154,0)),0))</f>
        <v/>
      </c>
    </row>
    <row r="578" customFormat="false" ht="15" hidden="false" customHeight="false" outlineLevel="0" collapsed="false">
      <c r="A578" s="20"/>
      <c r="B578" s="20"/>
      <c r="C578" s="21"/>
      <c r="D578" s="16" t="str">
        <f aca="false">IF(OR(A578="",B578="",C578=""),"",C578*IFERROR(INDEX(Malzemeler!$E$5:$E$154,MATCH(B578,Malzemeler!$A$5:$A$154,0)),0))</f>
        <v/>
      </c>
    </row>
    <row r="579" customFormat="false" ht="15" hidden="false" customHeight="false" outlineLevel="0" collapsed="false">
      <c r="A579" s="20"/>
      <c r="B579" s="20"/>
      <c r="C579" s="21"/>
      <c r="D579" s="16" t="str">
        <f aca="false">IF(OR(A579="",B579="",C579=""),"",C579*IFERROR(INDEX(Malzemeler!$E$5:$E$154,MATCH(B579,Malzemeler!$A$5:$A$154,0)),0))</f>
        <v/>
      </c>
    </row>
    <row r="580" customFormat="false" ht="15" hidden="false" customHeight="false" outlineLevel="0" collapsed="false">
      <c r="A580" s="20"/>
      <c r="B580" s="20"/>
      <c r="C580" s="21"/>
      <c r="D580" s="16" t="str">
        <f aca="false">IF(OR(A580="",B580="",C580=""),"",C580*IFERROR(INDEX(Malzemeler!$E$5:$E$154,MATCH(B580,Malzemeler!$A$5:$A$154,0)),0))</f>
        <v/>
      </c>
    </row>
    <row r="581" customFormat="false" ht="15" hidden="false" customHeight="false" outlineLevel="0" collapsed="false">
      <c r="A581" s="20"/>
      <c r="B581" s="20"/>
      <c r="C581" s="21"/>
      <c r="D581" s="16" t="str">
        <f aca="false">IF(OR(A581="",B581="",C581=""),"",C581*IFERROR(INDEX(Malzemeler!$E$5:$E$154,MATCH(B581,Malzemeler!$A$5:$A$154,0)),0))</f>
        <v/>
      </c>
    </row>
    <row r="582" customFormat="false" ht="15" hidden="false" customHeight="false" outlineLevel="0" collapsed="false">
      <c r="A582" s="20"/>
      <c r="B582" s="20"/>
      <c r="C582" s="21"/>
      <c r="D582" s="16" t="str">
        <f aca="false">IF(OR(A582="",B582="",C582=""),"",C582*IFERROR(INDEX(Malzemeler!$E$5:$E$154,MATCH(B582,Malzemeler!$A$5:$A$154,0)),0))</f>
        <v/>
      </c>
    </row>
    <row r="583" customFormat="false" ht="15" hidden="false" customHeight="false" outlineLevel="0" collapsed="false">
      <c r="A583" s="20"/>
      <c r="B583" s="20"/>
      <c r="C583" s="21"/>
      <c r="D583" s="16" t="str">
        <f aca="false">IF(OR(A583="",B583="",C583=""),"",C583*IFERROR(INDEX(Malzemeler!$E$5:$E$154,MATCH(B583,Malzemeler!$A$5:$A$154,0)),0))</f>
        <v/>
      </c>
    </row>
    <row r="584" customFormat="false" ht="15" hidden="false" customHeight="false" outlineLevel="0" collapsed="false">
      <c r="A584" s="20"/>
      <c r="B584" s="20"/>
      <c r="C584" s="21"/>
      <c r="D584" s="16" t="str">
        <f aca="false">IF(OR(A584="",B584="",C584=""),"",C584*IFERROR(INDEX(Malzemeler!$E$5:$E$154,MATCH(B584,Malzemeler!$A$5:$A$154,0)),0))</f>
        <v/>
      </c>
    </row>
    <row r="585" customFormat="false" ht="15" hidden="false" customHeight="false" outlineLevel="0" collapsed="false">
      <c r="A585" s="20"/>
      <c r="B585" s="20"/>
      <c r="C585" s="21"/>
      <c r="D585" s="16" t="str">
        <f aca="false">IF(OR(A585="",B585="",C585=""),"",C585*IFERROR(INDEX(Malzemeler!$E$5:$E$154,MATCH(B585,Malzemeler!$A$5:$A$154,0)),0))</f>
        <v/>
      </c>
    </row>
    <row r="586" customFormat="false" ht="15" hidden="false" customHeight="false" outlineLevel="0" collapsed="false">
      <c r="A586" s="20"/>
      <c r="B586" s="20"/>
      <c r="C586" s="21"/>
      <c r="D586" s="16" t="str">
        <f aca="false">IF(OR(A586="",B586="",C586=""),"",C586*IFERROR(INDEX(Malzemeler!$E$5:$E$154,MATCH(B586,Malzemeler!$A$5:$A$154,0)),0))</f>
        <v/>
      </c>
    </row>
    <row r="587" customFormat="false" ht="15" hidden="false" customHeight="false" outlineLevel="0" collapsed="false">
      <c r="A587" s="20"/>
      <c r="B587" s="20"/>
      <c r="C587" s="21"/>
      <c r="D587" s="16" t="str">
        <f aca="false">IF(OR(A587="",B587="",C587=""),"",C587*IFERROR(INDEX(Malzemeler!$E$5:$E$154,MATCH(B587,Malzemeler!$A$5:$A$154,0)),0))</f>
        <v/>
      </c>
    </row>
    <row r="588" customFormat="false" ht="15" hidden="false" customHeight="false" outlineLevel="0" collapsed="false">
      <c r="A588" s="20"/>
      <c r="B588" s="20"/>
      <c r="C588" s="21"/>
      <c r="D588" s="16" t="str">
        <f aca="false">IF(OR(A588="",B588="",C588=""),"",C588*IFERROR(INDEX(Malzemeler!$E$5:$E$154,MATCH(B588,Malzemeler!$A$5:$A$154,0)),0))</f>
        <v/>
      </c>
    </row>
    <row r="589" customFormat="false" ht="15" hidden="false" customHeight="false" outlineLevel="0" collapsed="false">
      <c r="A589" s="20"/>
      <c r="B589" s="20"/>
      <c r="C589" s="21"/>
      <c r="D589" s="16" t="str">
        <f aca="false">IF(OR(A589="",B589="",C589=""),"",C589*IFERROR(INDEX(Malzemeler!$E$5:$E$154,MATCH(B589,Malzemeler!$A$5:$A$154,0)),0))</f>
        <v/>
      </c>
    </row>
    <row r="590" customFormat="false" ht="15" hidden="false" customHeight="false" outlineLevel="0" collapsed="false">
      <c r="A590" s="20"/>
      <c r="B590" s="20"/>
      <c r="C590" s="21"/>
      <c r="D590" s="16" t="str">
        <f aca="false">IF(OR(A590="",B590="",C590=""),"",C590*IFERROR(INDEX(Malzemeler!$E$5:$E$154,MATCH(B590,Malzemeler!$A$5:$A$154,0)),0))</f>
        <v/>
      </c>
    </row>
    <row r="591" customFormat="false" ht="15" hidden="false" customHeight="false" outlineLevel="0" collapsed="false">
      <c r="A591" s="20"/>
      <c r="B591" s="20"/>
      <c r="C591" s="21"/>
      <c r="D591" s="16" t="str">
        <f aca="false">IF(OR(A591="",B591="",C591=""),"",C591*IFERROR(INDEX(Malzemeler!$E$5:$E$154,MATCH(B591,Malzemeler!$A$5:$A$154,0)),0))</f>
        <v/>
      </c>
    </row>
    <row r="592" customFormat="false" ht="15" hidden="false" customHeight="false" outlineLevel="0" collapsed="false">
      <c r="A592" s="20"/>
      <c r="B592" s="20"/>
      <c r="C592" s="21"/>
      <c r="D592" s="16" t="str">
        <f aca="false">IF(OR(A592="",B592="",C592=""),"",C592*IFERROR(INDEX(Malzemeler!$E$5:$E$154,MATCH(B592,Malzemeler!$A$5:$A$154,0)),0))</f>
        <v/>
      </c>
    </row>
    <row r="593" customFormat="false" ht="15" hidden="false" customHeight="false" outlineLevel="0" collapsed="false">
      <c r="A593" s="20"/>
      <c r="B593" s="20"/>
      <c r="C593" s="21"/>
      <c r="D593" s="16" t="str">
        <f aca="false">IF(OR(A593="",B593="",C593=""),"",C593*IFERROR(INDEX(Malzemeler!$E$5:$E$154,MATCH(B593,Malzemeler!$A$5:$A$154,0)),0))</f>
        <v/>
      </c>
    </row>
    <row r="594" customFormat="false" ht="15" hidden="false" customHeight="false" outlineLevel="0" collapsed="false">
      <c r="A594" s="20"/>
      <c r="B594" s="20"/>
      <c r="C594" s="21"/>
      <c r="D594" s="16" t="str">
        <f aca="false">IF(OR(A594="",B594="",C594=""),"",C594*IFERROR(INDEX(Malzemeler!$E$5:$E$154,MATCH(B594,Malzemeler!$A$5:$A$154,0)),0))</f>
        <v/>
      </c>
    </row>
    <row r="595" customFormat="false" ht="15" hidden="false" customHeight="false" outlineLevel="0" collapsed="false">
      <c r="A595" s="20"/>
      <c r="B595" s="20"/>
      <c r="C595" s="21"/>
      <c r="D595" s="16" t="str">
        <f aca="false">IF(OR(A595="",B595="",C595=""),"",C595*IFERROR(INDEX(Malzemeler!$E$5:$E$154,MATCH(B595,Malzemeler!$A$5:$A$154,0)),0))</f>
        <v/>
      </c>
    </row>
    <row r="596" customFormat="false" ht="15" hidden="false" customHeight="false" outlineLevel="0" collapsed="false">
      <c r="A596" s="20"/>
      <c r="B596" s="20"/>
      <c r="C596" s="21"/>
      <c r="D596" s="16" t="str">
        <f aca="false">IF(OR(A596="",B596="",C596=""),"",C596*IFERROR(INDEX(Malzemeler!$E$5:$E$154,MATCH(B596,Malzemeler!$A$5:$A$154,0)),0))</f>
        <v/>
      </c>
    </row>
    <row r="597" customFormat="false" ht="15" hidden="false" customHeight="false" outlineLevel="0" collapsed="false">
      <c r="A597" s="20"/>
      <c r="B597" s="20"/>
      <c r="C597" s="21"/>
      <c r="D597" s="16" t="str">
        <f aca="false">IF(OR(A597="",B597="",C597=""),"",C597*IFERROR(INDEX(Malzemeler!$E$5:$E$154,MATCH(B597,Malzemeler!$A$5:$A$154,0)),0))</f>
        <v/>
      </c>
    </row>
    <row r="598" customFormat="false" ht="15" hidden="false" customHeight="false" outlineLevel="0" collapsed="false">
      <c r="A598" s="20"/>
      <c r="B598" s="20"/>
      <c r="C598" s="21"/>
      <c r="D598" s="16" t="str">
        <f aca="false">IF(OR(A598="",B598="",C598=""),"",C598*IFERROR(INDEX(Malzemeler!$E$5:$E$154,MATCH(B598,Malzemeler!$A$5:$A$154,0)),0))</f>
        <v/>
      </c>
    </row>
    <row r="599" customFormat="false" ht="15" hidden="false" customHeight="false" outlineLevel="0" collapsed="false">
      <c r="A599" s="20"/>
      <c r="B599" s="20"/>
      <c r="C599" s="21"/>
      <c r="D599" s="16" t="str">
        <f aca="false">IF(OR(A599="",B599="",C599=""),"",C599*IFERROR(INDEX(Malzemeler!$E$5:$E$154,MATCH(B599,Malzemeler!$A$5:$A$154,0)),0))</f>
        <v/>
      </c>
    </row>
    <row r="600" customFormat="false" ht="15" hidden="false" customHeight="false" outlineLevel="0" collapsed="false">
      <c r="A600" s="20"/>
      <c r="B600" s="20"/>
      <c r="C600" s="21"/>
      <c r="D600" s="16" t="str">
        <f aca="false">IF(OR(A600="",B600="",C600=""),"",C600*IFERROR(INDEX(Malzemeler!$E$5:$E$154,MATCH(B600,Malzemeler!$A$5:$A$154,0)),0))</f>
        <v/>
      </c>
    </row>
    <row r="601" customFormat="false" ht="15" hidden="false" customHeight="false" outlineLevel="0" collapsed="false">
      <c r="A601" s="20"/>
      <c r="B601" s="20"/>
      <c r="C601" s="21"/>
      <c r="D601" s="16" t="str">
        <f aca="false">IF(OR(A601="",B601="",C601=""),"",C601*IFERROR(INDEX(Malzemeler!$E$5:$E$154,MATCH(B601,Malzemeler!$A$5:$A$154,0)),0))</f>
        <v/>
      </c>
    </row>
    <row r="602" customFormat="false" ht="15" hidden="false" customHeight="false" outlineLevel="0" collapsed="false">
      <c r="A602" s="20"/>
      <c r="B602" s="20"/>
      <c r="C602" s="21"/>
      <c r="D602" s="16" t="str">
        <f aca="false">IF(OR(A602="",B602="",C602=""),"",C602*IFERROR(INDEX(Malzemeler!$E$5:$E$154,MATCH(B602,Malzemeler!$A$5:$A$154,0)),0))</f>
        <v/>
      </c>
    </row>
    <row r="603" customFormat="false" ht="15" hidden="false" customHeight="false" outlineLevel="0" collapsed="false">
      <c r="A603" s="20"/>
      <c r="B603" s="20"/>
      <c r="C603" s="21"/>
      <c r="D603" s="16" t="str">
        <f aca="false">IF(OR(A603="",B603="",C603=""),"",C603*IFERROR(INDEX(Malzemeler!$E$5:$E$154,MATCH(B603,Malzemeler!$A$5:$A$154,0)),0))</f>
        <v/>
      </c>
    </row>
    <row r="604" customFormat="false" ht="15" hidden="false" customHeight="false" outlineLevel="0" collapsed="false">
      <c r="A604" s="20"/>
      <c r="B604" s="20"/>
      <c r="C604" s="21"/>
      <c r="D604" s="16" t="str">
        <f aca="false">IF(OR(A604="",B604="",C604=""),"",C604*IFERROR(INDEX(Malzemeler!$E$5:$E$154,MATCH(B604,Malzemeler!$A$5:$A$154,0)),0))</f>
        <v/>
      </c>
    </row>
    <row r="605" customFormat="false" ht="15" hidden="false" customHeight="false" outlineLevel="0" collapsed="false">
      <c r="A605" s="20"/>
      <c r="B605" s="20"/>
      <c r="C605" s="21"/>
      <c r="D605" s="16" t="str">
        <f aca="false">IF(OR(A605="",B605="",C605=""),"",C605*IFERROR(INDEX(Malzemeler!$E$5:$E$154,MATCH(B605,Malzemeler!$A$5:$A$154,0)),0))</f>
        <v/>
      </c>
    </row>
    <row r="606" customFormat="false" ht="15" hidden="false" customHeight="false" outlineLevel="0" collapsed="false">
      <c r="A606" s="20"/>
      <c r="B606" s="20"/>
      <c r="C606" s="21"/>
      <c r="D606" s="16" t="str">
        <f aca="false">IF(OR(A606="",B606="",C606=""),"",C606*IFERROR(INDEX(Malzemeler!$E$5:$E$154,MATCH(B606,Malzemeler!$A$5:$A$154,0)),0))</f>
        <v/>
      </c>
    </row>
    <row r="607" customFormat="false" ht="15" hidden="false" customHeight="false" outlineLevel="0" collapsed="false">
      <c r="A607" s="20"/>
      <c r="B607" s="20"/>
      <c r="C607" s="21"/>
      <c r="D607" s="16" t="str">
        <f aca="false">IF(OR(A607="",B607="",C607=""),"",C607*IFERROR(INDEX(Malzemeler!$E$5:$E$154,MATCH(B607,Malzemeler!$A$5:$A$154,0)),0))</f>
        <v/>
      </c>
    </row>
    <row r="608" customFormat="false" ht="15" hidden="false" customHeight="false" outlineLevel="0" collapsed="false">
      <c r="A608" s="20"/>
      <c r="B608" s="20"/>
      <c r="C608" s="21"/>
      <c r="D608" s="16" t="str">
        <f aca="false">IF(OR(A608="",B608="",C608=""),"",C608*IFERROR(INDEX(Malzemeler!$E$5:$E$154,MATCH(B608,Malzemeler!$A$5:$A$154,0)),0))</f>
        <v/>
      </c>
    </row>
    <row r="609" customFormat="false" ht="15" hidden="false" customHeight="false" outlineLevel="0" collapsed="false">
      <c r="A609" s="20"/>
      <c r="B609" s="20"/>
      <c r="C609" s="21"/>
      <c r="D609" s="16" t="str">
        <f aca="false">IF(OR(A609="",B609="",C609=""),"",C609*IFERROR(INDEX(Malzemeler!$E$5:$E$154,MATCH(B609,Malzemeler!$A$5:$A$154,0)),0))</f>
        <v/>
      </c>
    </row>
    <row r="610" customFormat="false" ht="15" hidden="false" customHeight="false" outlineLevel="0" collapsed="false">
      <c r="A610" s="20"/>
      <c r="B610" s="20"/>
      <c r="C610" s="21"/>
      <c r="D610" s="16" t="str">
        <f aca="false">IF(OR(A610="",B610="",C610=""),"",C610*IFERROR(INDEX(Malzemeler!$E$5:$E$154,MATCH(B610,Malzemeler!$A$5:$A$154,0)),0))</f>
        <v/>
      </c>
    </row>
    <row r="611" customFormat="false" ht="15" hidden="false" customHeight="false" outlineLevel="0" collapsed="false">
      <c r="A611" s="20"/>
      <c r="B611" s="20"/>
      <c r="C611" s="21"/>
      <c r="D611" s="16" t="str">
        <f aca="false">IF(OR(A611="",B611="",C611=""),"",C611*IFERROR(INDEX(Malzemeler!$E$5:$E$154,MATCH(B611,Malzemeler!$A$5:$A$154,0)),0))</f>
        <v/>
      </c>
    </row>
    <row r="612" customFormat="false" ht="15" hidden="false" customHeight="false" outlineLevel="0" collapsed="false">
      <c r="A612" s="20"/>
      <c r="B612" s="20"/>
      <c r="C612" s="21"/>
      <c r="D612" s="16" t="str">
        <f aca="false">IF(OR(A612="",B612="",C612=""),"",C612*IFERROR(INDEX(Malzemeler!$E$5:$E$154,MATCH(B612,Malzemeler!$A$5:$A$154,0)),0))</f>
        <v/>
      </c>
    </row>
    <row r="613" customFormat="false" ht="15" hidden="false" customHeight="false" outlineLevel="0" collapsed="false">
      <c r="A613" s="20"/>
      <c r="B613" s="20"/>
      <c r="C613" s="21"/>
      <c r="D613" s="16" t="str">
        <f aca="false">IF(OR(A613="",B613="",C613=""),"",C613*IFERROR(INDEX(Malzemeler!$E$5:$E$154,MATCH(B613,Malzemeler!$A$5:$A$154,0)),0))</f>
        <v/>
      </c>
    </row>
    <row r="614" customFormat="false" ht="15" hidden="false" customHeight="false" outlineLevel="0" collapsed="false">
      <c r="A614" s="20"/>
      <c r="B614" s="20"/>
      <c r="C614" s="21"/>
      <c r="D614" s="16" t="str">
        <f aca="false">IF(OR(A614="",B614="",C614=""),"",C614*IFERROR(INDEX(Malzemeler!$E$5:$E$154,MATCH(B614,Malzemeler!$A$5:$A$154,0)),0))</f>
        <v/>
      </c>
    </row>
    <row r="615" customFormat="false" ht="15" hidden="false" customHeight="false" outlineLevel="0" collapsed="false">
      <c r="A615" s="20"/>
      <c r="B615" s="20"/>
      <c r="C615" s="21"/>
      <c r="D615" s="16" t="str">
        <f aca="false">IF(OR(A615="",B615="",C615=""),"",C615*IFERROR(INDEX(Malzemeler!$E$5:$E$154,MATCH(B615,Malzemeler!$A$5:$A$154,0)),0))</f>
        <v/>
      </c>
    </row>
    <row r="616" customFormat="false" ht="15" hidden="false" customHeight="false" outlineLevel="0" collapsed="false">
      <c r="A616" s="20"/>
      <c r="B616" s="20"/>
      <c r="C616" s="21"/>
      <c r="D616" s="16" t="str">
        <f aca="false">IF(OR(A616="",B616="",C616=""),"",C616*IFERROR(INDEX(Malzemeler!$E$5:$E$154,MATCH(B616,Malzemeler!$A$5:$A$154,0)),0))</f>
        <v/>
      </c>
    </row>
    <row r="617" customFormat="false" ht="15" hidden="false" customHeight="false" outlineLevel="0" collapsed="false">
      <c r="A617" s="20"/>
      <c r="B617" s="20"/>
      <c r="C617" s="21"/>
      <c r="D617" s="16" t="str">
        <f aca="false">IF(OR(A617="",B617="",C617=""),"",C617*IFERROR(INDEX(Malzemeler!$E$5:$E$154,MATCH(B617,Malzemeler!$A$5:$A$154,0)),0))</f>
        <v/>
      </c>
    </row>
    <row r="618" customFormat="false" ht="15" hidden="false" customHeight="false" outlineLevel="0" collapsed="false">
      <c r="A618" s="20"/>
      <c r="B618" s="20"/>
      <c r="C618" s="21"/>
      <c r="D618" s="16" t="str">
        <f aca="false">IF(OR(A618="",B618="",C618=""),"",C618*IFERROR(INDEX(Malzemeler!$E$5:$E$154,MATCH(B618,Malzemeler!$A$5:$A$154,0)),0))</f>
        <v/>
      </c>
    </row>
    <row r="619" customFormat="false" ht="15" hidden="false" customHeight="false" outlineLevel="0" collapsed="false">
      <c r="A619" s="20"/>
      <c r="B619" s="20"/>
      <c r="C619" s="21"/>
      <c r="D619" s="16" t="str">
        <f aca="false">IF(OR(A619="",B619="",C619=""),"",C619*IFERROR(INDEX(Malzemeler!$E$5:$E$154,MATCH(B619,Malzemeler!$A$5:$A$154,0)),0))</f>
        <v/>
      </c>
    </row>
    <row r="620" customFormat="false" ht="15" hidden="false" customHeight="false" outlineLevel="0" collapsed="false">
      <c r="A620" s="20"/>
      <c r="B620" s="20"/>
      <c r="C620" s="21"/>
      <c r="D620" s="16" t="str">
        <f aca="false">IF(OR(A620="",B620="",C620=""),"",C620*IFERROR(INDEX(Malzemeler!$E$5:$E$154,MATCH(B620,Malzemeler!$A$5:$A$154,0)),0))</f>
        <v/>
      </c>
    </row>
    <row r="621" customFormat="false" ht="15" hidden="false" customHeight="false" outlineLevel="0" collapsed="false">
      <c r="A621" s="20"/>
      <c r="B621" s="20"/>
      <c r="C621" s="21"/>
      <c r="D621" s="16" t="str">
        <f aca="false">IF(OR(A621="",B621="",C621=""),"",C621*IFERROR(INDEX(Malzemeler!$E$5:$E$154,MATCH(B621,Malzemeler!$A$5:$A$154,0)),0))</f>
        <v/>
      </c>
    </row>
    <row r="622" customFormat="false" ht="15" hidden="false" customHeight="false" outlineLevel="0" collapsed="false">
      <c r="A622" s="20"/>
      <c r="B622" s="20"/>
      <c r="C622" s="21"/>
      <c r="D622" s="16" t="str">
        <f aca="false">IF(OR(A622="",B622="",C622=""),"",C622*IFERROR(INDEX(Malzemeler!$E$5:$E$154,MATCH(B622,Malzemeler!$A$5:$A$154,0)),0))</f>
        <v/>
      </c>
    </row>
    <row r="623" customFormat="false" ht="15" hidden="false" customHeight="false" outlineLevel="0" collapsed="false">
      <c r="A623" s="20"/>
      <c r="B623" s="20"/>
      <c r="C623" s="21"/>
      <c r="D623" s="16" t="str">
        <f aca="false">IF(OR(A623="",B623="",C623=""),"",C623*IFERROR(INDEX(Malzemeler!$E$5:$E$154,MATCH(B623,Malzemeler!$A$5:$A$154,0)),0))</f>
        <v/>
      </c>
    </row>
    <row r="624" customFormat="false" ht="15" hidden="false" customHeight="false" outlineLevel="0" collapsed="false">
      <c r="A624" s="20"/>
      <c r="B624" s="20"/>
      <c r="C624" s="21"/>
      <c r="D624" s="16" t="str">
        <f aca="false">IF(OR(A624="",B624="",C624=""),"",C624*IFERROR(INDEX(Malzemeler!$E$5:$E$154,MATCH(B624,Malzemeler!$A$5:$A$154,0)),0))</f>
        <v/>
      </c>
    </row>
    <row r="625" customFormat="false" ht="15" hidden="false" customHeight="false" outlineLevel="0" collapsed="false">
      <c r="A625" s="20"/>
      <c r="B625" s="20"/>
      <c r="C625" s="21"/>
      <c r="D625" s="16" t="str">
        <f aca="false">IF(OR(A625="",B625="",C625=""),"",C625*IFERROR(INDEX(Malzemeler!$E$5:$E$154,MATCH(B625,Malzemeler!$A$5:$A$154,0)),0))</f>
        <v/>
      </c>
    </row>
    <row r="626" customFormat="false" ht="15" hidden="false" customHeight="false" outlineLevel="0" collapsed="false">
      <c r="A626" s="20"/>
      <c r="B626" s="20"/>
      <c r="C626" s="21"/>
      <c r="D626" s="16" t="str">
        <f aca="false">IF(OR(A626="",B626="",C626=""),"",C626*IFERROR(INDEX(Malzemeler!$E$5:$E$154,MATCH(B626,Malzemeler!$A$5:$A$154,0)),0))</f>
        <v/>
      </c>
    </row>
    <row r="627" customFormat="false" ht="15" hidden="false" customHeight="false" outlineLevel="0" collapsed="false">
      <c r="A627" s="20"/>
      <c r="B627" s="20"/>
      <c r="C627" s="21"/>
      <c r="D627" s="16" t="str">
        <f aca="false">IF(OR(A627="",B627="",C627=""),"",C627*IFERROR(INDEX(Malzemeler!$E$5:$E$154,MATCH(B627,Malzemeler!$A$5:$A$154,0)),0))</f>
        <v/>
      </c>
    </row>
    <row r="628" customFormat="false" ht="15" hidden="false" customHeight="false" outlineLevel="0" collapsed="false">
      <c r="A628" s="20"/>
      <c r="B628" s="20"/>
      <c r="C628" s="21"/>
      <c r="D628" s="16" t="str">
        <f aca="false">IF(OR(A628="",B628="",C628=""),"",C628*IFERROR(INDEX(Malzemeler!$E$5:$E$154,MATCH(B628,Malzemeler!$A$5:$A$154,0)),0))</f>
        <v/>
      </c>
    </row>
    <row r="629" customFormat="false" ht="15" hidden="false" customHeight="false" outlineLevel="0" collapsed="false">
      <c r="A629" s="20"/>
      <c r="B629" s="20"/>
      <c r="C629" s="21"/>
      <c r="D629" s="16" t="str">
        <f aca="false">IF(OR(A629="",B629="",C629=""),"",C629*IFERROR(INDEX(Malzemeler!$E$5:$E$154,MATCH(B629,Malzemeler!$A$5:$A$154,0)),0))</f>
        <v/>
      </c>
    </row>
    <row r="630" customFormat="false" ht="15" hidden="false" customHeight="false" outlineLevel="0" collapsed="false">
      <c r="A630" s="20"/>
      <c r="B630" s="20"/>
      <c r="C630" s="21"/>
      <c r="D630" s="16" t="str">
        <f aca="false">IF(OR(A630="",B630="",C630=""),"",C630*IFERROR(INDEX(Malzemeler!$E$5:$E$154,MATCH(B630,Malzemeler!$A$5:$A$154,0)),0))</f>
        <v/>
      </c>
    </row>
    <row r="631" customFormat="false" ht="15" hidden="false" customHeight="false" outlineLevel="0" collapsed="false">
      <c r="A631" s="20"/>
      <c r="B631" s="20"/>
      <c r="C631" s="21"/>
      <c r="D631" s="16" t="str">
        <f aca="false">IF(OR(A631="",B631="",C631=""),"",C631*IFERROR(INDEX(Malzemeler!$E$5:$E$154,MATCH(B631,Malzemeler!$A$5:$A$154,0)),0))</f>
        <v/>
      </c>
    </row>
    <row r="632" customFormat="false" ht="15" hidden="false" customHeight="false" outlineLevel="0" collapsed="false">
      <c r="A632" s="20"/>
      <c r="B632" s="20"/>
      <c r="C632" s="21"/>
      <c r="D632" s="16" t="str">
        <f aca="false">IF(OR(A632="",B632="",C632=""),"",C632*IFERROR(INDEX(Malzemeler!$E$5:$E$154,MATCH(B632,Malzemeler!$A$5:$A$154,0)),0))</f>
        <v/>
      </c>
    </row>
    <row r="633" customFormat="false" ht="15" hidden="false" customHeight="false" outlineLevel="0" collapsed="false">
      <c r="A633" s="20"/>
      <c r="B633" s="20"/>
      <c r="C633" s="21"/>
      <c r="D633" s="16" t="str">
        <f aca="false">IF(OR(A633="",B633="",C633=""),"",C633*IFERROR(INDEX(Malzemeler!$E$5:$E$154,MATCH(B633,Malzemeler!$A$5:$A$154,0)),0))</f>
        <v/>
      </c>
    </row>
    <row r="634" customFormat="false" ht="15" hidden="false" customHeight="false" outlineLevel="0" collapsed="false">
      <c r="A634" s="20"/>
      <c r="B634" s="20"/>
      <c r="C634" s="21"/>
      <c r="D634" s="16" t="str">
        <f aca="false">IF(OR(A634="",B634="",C634=""),"",C634*IFERROR(INDEX(Malzemeler!$E$5:$E$154,MATCH(B634,Malzemeler!$A$5:$A$154,0)),0))</f>
        <v/>
      </c>
    </row>
    <row r="635" customFormat="false" ht="15" hidden="false" customHeight="false" outlineLevel="0" collapsed="false">
      <c r="A635" s="20"/>
      <c r="B635" s="20"/>
      <c r="C635" s="21"/>
      <c r="D635" s="16" t="str">
        <f aca="false">IF(OR(A635="",B635="",C635=""),"",C635*IFERROR(INDEX(Malzemeler!$E$5:$E$154,MATCH(B635,Malzemeler!$A$5:$A$154,0)),0))</f>
        <v/>
      </c>
    </row>
    <row r="636" customFormat="false" ht="15" hidden="false" customHeight="false" outlineLevel="0" collapsed="false">
      <c r="A636" s="20"/>
      <c r="B636" s="20"/>
      <c r="C636" s="21"/>
      <c r="D636" s="16" t="str">
        <f aca="false">IF(OR(A636="",B636="",C636=""),"",C636*IFERROR(INDEX(Malzemeler!$E$5:$E$154,MATCH(B636,Malzemeler!$A$5:$A$154,0)),0))</f>
        <v/>
      </c>
    </row>
    <row r="637" customFormat="false" ht="15" hidden="false" customHeight="false" outlineLevel="0" collapsed="false">
      <c r="A637" s="20"/>
      <c r="B637" s="20"/>
      <c r="C637" s="21"/>
      <c r="D637" s="16" t="str">
        <f aca="false">IF(OR(A637="",B637="",C637=""),"",C637*IFERROR(INDEX(Malzemeler!$E$5:$E$154,MATCH(B637,Malzemeler!$A$5:$A$154,0)),0))</f>
        <v/>
      </c>
    </row>
    <row r="638" customFormat="false" ht="15" hidden="false" customHeight="false" outlineLevel="0" collapsed="false">
      <c r="A638" s="20"/>
      <c r="B638" s="20"/>
      <c r="C638" s="21"/>
      <c r="D638" s="16" t="str">
        <f aca="false">IF(OR(A638="",B638="",C638=""),"",C638*IFERROR(INDEX(Malzemeler!$E$5:$E$154,MATCH(B638,Malzemeler!$A$5:$A$154,0)),0))</f>
        <v/>
      </c>
    </row>
    <row r="639" customFormat="false" ht="15" hidden="false" customHeight="false" outlineLevel="0" collapsed="false">
      <c r="A639" s="20"/>
      <c r="B639" s="20"/>
      <c r="C639" s="21"/>
      <c r="D639" s="16" t="str">
        <f aca="false">IF(OR(A639="",B639="",C639=""),"",C639*IFERROR(INDEX(Malzemeler!$E$5:$E$154,MATCH(B639,Malzemeler!$A$5:$A$154,0)),0))</f>
        <v/>
      </c>
    </row>
    <row r="640" customFormat="false" ht="15" hidden="false" customHeight="false" outlineLevel="0" collapsed="false">
      <c r="A640" s="20"/>
      <c r="B640" s="20"/>
      <c r="C640" s="21"/>
      <c r="D640" s="16" t="str">
        <f aca="false">IF(OR(A640="",B640="",C640=""),"",C640*IFERROR(INDEX(Malzemeler!$E$5:$E$154,MATCH(B640,Malzemeler!$A$5:$A$154,0)),0))</f>
        <v/>
      </c>
    </row>
    <row r="641" customFormat="false" ht="15" hidden="false" customHeight="false" outlineLevel="0" collapsed="false">
      <c r="A641" s="20"/>
      <c r="B641" s="20"/>
      <c r="C641" s="21"/>
      <c r="D641" s="16" t="str">
        <f aca="false">IF(OR(A641="",B641="",C641=""),"",C641*IFERROR(INDEX(Malzemeler!$E$5:$E$154,MATCH(B641,Malzemeler!$A$5:$A$154,0)),0))</f>
        <v/>
      </c>
    </row>
    <row r="642" customFormat="false" ht="15" hidden="false" customHeight="false" outlineLevel="0" collapsed="false">
      <c r="A642" s="20"/>
      <c r="B642" s="20"/>
      <c r="C642" s="21"/>
      <c r="D642" s="16" t="str">
        <f aca="false">IF(OR(A642="",B642="",C642=""),"",C642*IFERROR(INDEX(Malzemeler!$E$5:$E$154,MATCH(B642,Malzemeler!$A$5:$A$154,0)),0))</f>
        <v/>
      </c>
    </row>
    <row r="643" customFormat="false" ht="15" hidden="false" customHeight="false" outlineLevel="0" collapsed="false">
      <c r="A643" s="20"/>
      <c r="B643" s="20"/>
      <c r="C643" s="21"/>
      <c r="D643" s="16" t="str">
        <f aca="false">IF(OR(A643="",B643="",C643=""),"",C643*IFERROR(INDEX(Malzemeler!$E$5:$E$154,MATCH(B643,Malzemeler!$A$5:$A$154,0)),0))</f>
        <v/>
      </c>
    </row>
    <row r="644" customFormat="false" ht="15" hidden="false" customHeight="false" outlineLevel="0" collapsed="false">
      <c r="A644" s="20"/>
      <c r="B644" s="20"/>
      <c r="C644" s="21"/>
      <c r="D644" s="16" t="str">
        <f aca="false">IF(OR(A644="",B644="",C644=""),"",C644*IFERROR(INDEX(Malzemeler!$E$5:$E$154,MATCH(B644,Malzemeler!$A$5:$A$154,0)),0))</f>
        <v/>
      </c>
    </row>
    <row r="645" customFormat="false" ht="15" hidden="false" customHeight="false" outlineLevel="0" collapsed="false">
      <c r="A645" s="20"/>
      <c r="B645" s="20"/>
      <c r="C645" s="21"/>
      <c r="D645" s="16" t="str">
        <f aca="false">IF(OR(A645="",B645="",C645=""),"",C645*IFERROR(INDEX(Malzemeler!$E$5:$E$154,MATCH(B645,Malzemeler!$A$5:$A$154,0)),0))</f>
        <v/>
      </c>
    </row>
    <row r="646" customFormat="false" ht="15" hidden="false" customHeight="false" outlineLevel="0" collapsed="false">
      <c r="A646" s="20"/>
      <c r="B646" s="20"/>
      <c r="C646" s="21"/>
      <c r="D646" s="16" t="str">
        <f aca="false">IF(OR(A646="",B646="",C646=""),"",C646*IFERROR(INDEX(Malzemeler!$E$5:$E$154,MATCH(B646,Malzemeler!$A$5:$A$154,0)),0))</f>
        <v/>
      </c>
    </row>
    <row r="647" customFormat="false" ht="15" hidden="false" customHeight="false" outlineLevel="0" collapsed="false">
      <c r="A647" s="20"/>
      <c r="B647" s="20"/>
      <c r="C647" s="21"/>
      <c r="D647" s="16" t="str">
        <f aca="false">IF(OR(A647="",B647="",C647=""),"",C647*IFERROR(INDEX(Malzemeler!$E$5:$E$154,MATCH(B647,Malzemeler!$A$5:$A$154,0)),0))</f>
        <v/>
      </c>
    </row>
    <row r="648" customFormat="false" ht="15" hidden="false" customHeight="false" outlineLevel="0" collapsed="false">
      <c r="A648" s="20"/>
      <c r="B648" s="20"/>
      <c r="C648" s="21"/>
      <c r="D648" s="16" t="str">
        <f aca="false">IF(OR(A648="",B648="",C648=""),"",C648*IFERROR(INDEX(Malzemeler!$E$5:$E$154,MATCH(B648,Malzemeler!$A$5:$A$154,0)),0))</f>
        <v/>
      </c>
    </row>
    <row r="649" customFormat="false" ht="15" hidden="false" customHeight="false" outlineLevel="0" collapsed="false">
      <c r="A649" s="20"/>
      <c r="B649" s="20"/>
      <c r="C649" s="21"/>
      <c r="D649" s="16" t="str">
        <f aca="false">IF(OR(A649="",B649="",C649=""),"",C649*IFERROR(INDEX(Malzemeler!$E$5:$E$154,MATCH(B649,Malzemeler!$A$5:$A$154,0)),0))</f>
        <v/>
      </c>
    </row>
    <row r="650" customFormat="false" ht="15" hidden="false" customHeight="false" outlineLevel="0" collapsed="false">
      <c r="A650" s="20"/>
      <c r="B650" s="20"/>
      <c r="C650" s="21"/>
      <c r="D650" s="16" t="str">
        <f aca="false">IF(OR(A650="",B650="",C650=""),"",C650*IFERROR(INDEX(Malzemeler!$E$5:$E$154,MATCH(B650,Malzemeler!$A$5:$A$154,0)),0))</f>
        <v/>
      </c>
    </row>
    <row r="651" customFormat="false" ht="15" hidden="false" customHeight="false" outlineLevel="0" collapsed="false">
      <c r="A651" s="20"/>
      <c r="B651" s="20"/>
      <c r="C651" s="21"/>
      <c r="D651" s="16" t="str">
        <f aca="false">IF(OR(A651="",B651="",C651=""),"",C651*IFERROR(INDEX(Malzemeler!$E$5:$E$154,MATCH(B651,Malzemeler!$A$5:$A$154,0)),0))</f>
        <v/>
      </c>
    </row>
    <row r="652" customFormat="false" ht="15" hidden="false" customHeight="false" outlineLevel="0" collapsed="false">
      <c r="A652" s="20"/>
      <c r="B652" s="20"/>
      <c r="C652" s="21"/>
      <c r="D652" s="16" t="str">
        <f aca="false">IF(OR(A652="",B652="",C652=""),"",C652*IFERROR(INDEX(Malzemeler!$E$5:$E$154,MATCH(B652,Malzemeler!$A$5:$A$154,0)),0))</f>
        <v/>
      </c>
    </row>
    <row r="653" customFormat="false" ht="15" hidden="false" customHeight="false" outlineLevel="0" collapsed="false">
      <c r="A653" s="20"/>
      <c r="B653" s="20"/>
      <c r="C653" s="21"/>
      <c r="D653" s="16" t="str">
        <f aca="false">IF(OR(A653="",B653="",C653=""),"",C653*IFERROR(INDEX(Malzemeler!$E$5:$E$154,MATCH(B653,Malzemeler!$A$5:$A$154,0)),0))</f>
        <v/>
      </c>
    </row>
    <row r="654" customFormat="false" ht="15" hidden="false" customHeight="false" outlineLevel="0" collapsed="false">
      <c r="A654" s="20"/>
      <c r="B654" s="20"/>
      <c r="C654" s="21"/>
      <c r="D654" s="16" t="str">
        <f aca="false">IF(OR(A654="",B654="",C654=""),"",C654*IFERROR(INDEX(Malzemeler!$E$5:$E$154,MATCH(B654,Malzemeler!$A$5:$A$154,0)),0))</f>
        <v/>
      </c>
    </row>
    <row r="655" customFormat="false" ht="15" hidden="false" customHeight="false" outlineLevel="0" collapsed="false">
      <c r="A655" s="20"/>
      <c r="B655" s="20"/>
      <c r="C655" s="21"/>
      <c r="D655" s="16" t="str">
        <f aca="false">IF(OR(A655="",B655="",C655=""),"",C655*IFERROR(INDEX(Malzemeler!$E$5:$E$154,MATCH(B655,Malzemeler!$A$5:$A$154,0)),0))</f>
        <v/>
      </c>
    </row>
    <row r="656" customFormat="false" ht="15" hidden="false" customHeight="false" outlineLevel="0" collapsed="false">
      <c r="A656" s="20"/>
      <c r="B656" s="20"/>
      <c r="C656" s="21"/>
      <c r="D656" s="16" t="str">
        <f aca="false">IF(OR(A656="",B656="",C656=""),"",C656*IFERROR(INDEX(Malzemeler!$E$5:$E$154,MATCH(B656,Malzemeler!$A$5:$A$154,0)),0))</f>
        <v/>
      </c>
    </row>
    <row r="657" customFormat="false" ht="15" hidden="false" customHeight="false" outlineLevel="0" collapsed="false">
      <c r="A657" s="20"/>
      <c r="B657" s="20"/>
      <c r="C657" s="21"/>
      <c r="D657" s="16" t="str">
        <f aca="false">IF(OR(A657="",B657="",C657=""),"",C657*IFERROR(INDEX(Malzemeler!$E$5:$E$154,MATCH(B657,Malzemeler!$A$5:$A$154,0)),0))</f>
        <v/>
      </c>
    </row>
    <row r="658" customFormat="false" ht="15" hidden="false" customHeight="false" outlineLevel="0" collapsed="false">
      <c r="A658" s="20"/>
      <c r="B658" s="20"/>
      <c r="C658" s="21"/>
      <c r="D658" s="16" t="str">
        <f aca="false">IF(OR(A658="",B658="",C658=""),"",C658*IFERROR(INDEX(Malzemeler!$E$5:$E$154,MATCH(B658,Malzemeler!$A$5:$A$154,0)),0))</f>
        <v/>
      </c>
    </row>
    <row r="659" customFormat="false" ht="15" hidden="false" customHeight="false" outlineLevel="0" collapsed="false">
      <c r="A659" s="20"/>
      <c r="B659" s="20"/>
      <c r="C659" s="21"/>
      <c r="D659" s="16" t="str">
        <f aca="false">IF(OR(A659="",B659="",C659=""),"",C659*IFERROR(INDEX(Malzemeler!$E$5:$E$154,MATCH(B659,Malzemeler!$A$5:$A$154,0)),0))</f>
        <v/>
      </c>
    </row>
    <row r="660" customFormat="false" ht="15" hidden="false" customHeight="false" outlineLevel="0" collapsed="false">
      <c r="A660" s="20"/>
      <c r="B660" s="20"/>
      <c r="C660" s="21"/>
      <c r="D660" s="16" t="str">
        <f aca="false">IF(OR(A660="",B660="",C660=""),"",C660*IFERROR(INDEX(Malzemeler!$E$5:$E$154,MATCH(B660,Malzemeler!$A$5:$A$154,0)),0))</f>
        <v/>
      </c>
    </row>
    <row r="661" customFormat="false" ht="15" hidden="false" customHeight="false" outlineLevel="0" collapsed="false">
      <c r="A661" s="20"/>
      <c r="B661" s="20"/>
      <c r="C661" s="21"/>
      <c r="D661" s="16" t="str">
        <f aca="false">IF(OR(A661="",B661="",C661=""),"",C661*IFERROR(INDEX(Malzemeler!$E$5:$E$154,MATCH(B661,Malzemeler!$A$5:$A$154,0)),0))</f>
        <v/>
      </c>
    </row>
    <row r="662" customFormat="false" ht="15" hidden="false" customHeight="false" outlineLevel="0" collapsed="false">
      <c r="A662" s="20"/>
      <c r="B662" s="20"/>
      <c r="C662" s="21"/>
      <c r="D662" s="16" t="str">
        <f aca="false">IF(OR(A662="",B662="",C662=""),"",C662*IFERROR(INDEX(Malzemeler!$E$5:$E$154,MATCH(B662,Malzemeler!$A$5:$A$154,0)),0))</f>
        <v/>
      </c>
    </row>
    <row r="663" customFormat="false" ht="15" hidden="false" customHeight="false" outlineLevel="0" collapsed="false">
      <c r="A663" s="20"/>
      <c r="B663" s="20"/>
      <c r="C663" s="21"/>
      <c r="D663" s="16" t="str">
        <f aca="false">IF(OR(A663="",B663="",C663=""),"",C663*IFERROR(INDEX(Malzemeler!$E$5:$E$154,MATCH(B663,Malzemeler!$A$5:$A$154,0)),0))</f>
        <v/>
      </c>
    </row>
    <row r="664" customFormat="false" ht="15" hidden="false" customHeight="false" outlineLevel="0" collapsed="false">
      <c r="A664" s="20"/>
      <c r="B664" s="20"/>
      <c r="C664" s="21"/>
      <c r="D664" s="16" t="str">
        <f aca="false">IF(OR(A664="",B664="",C664=""),"",C664*IFERROR(INDEX(Malzemeler!$E$5:$E$154,MATCH(B664,Malzemeler!$A$5:$A$154,0)),0))</f>
        <v/>
      </c>
    </row>
    <row r="665" customFormat="false" ht="15" hidden="false" customHeight="false" outlineLevel="0" collapsed="false">
      <c r="A665" s="20"/>
      <c r="B665" s="20"/>
      <c r="C665" s="21"/>
      <c r="D665" s="16" t="str">
        <f aca="false">IF(OR(A665="",B665="",C665=""),"",C665*IFERROR(INDEX(Malzemeler!$E$5:$E$154,MATCH(B665,Malzemeler!$A$5:$A$154,0)),0))</f>
        <v/>
      </c>
    </row>
    <row r="666" customFormat="false" ht="15" hidden="false" customHeight="false" outlineLevel="0" collapsed="false">
      <c r="A666" s="20"/>
      <c r="B666" s="20"/>
      <c r="C666" s="21"/>
      <c r="D666" s="16" t="str">
        <f aca="false">IF(OR(A666="",B666="",C666=""),"",C666*IFERROR(INDEX(Malzemeler!$E$5:$E$154,MATCH(B666,Malzemeler!$A$5:$A$154,0)),0))</f>
        <v/>
      </c>
    </row>
    <row r="667" customFormat="false" ht="15" hidden="false" customHeight="false" outlineLevel="0" collapsed="false">
      <c r="A667" s="20"/>
      <c r="B667" s="20"/>
      <c r="C667" s="21"/>
      <c r="D667" s="16" t="str">
        <f aca="false">IF(OR(A667="",B667="",C667=""),"",C667*IFERROR(INDEX(Malzemeler!$E$5:$E$154,MATCH(B667,Malzemeler!$A$5:$A$154,0)),0))</f>
        <v/>
      </c>
    </row>
    <row r="668" customFormat="false" ht="15" hidden="false" customHeight="false" outlineLevel="0" collapsed="false">
      <c r="A668" s="20"/>
      <c r="B668" s="20"/>
      <c r="C668" s="21"/>
      <c r="D668" s="16" t="str">
        <f aca="false">IF(OR(A668="",B668="",C668=""),"",C668*IFERROR(INDEX(Malzemeler!$E$5:$E$154,MATCH(B668,Malzemeler!$A$5:$A$154,0)),0))</f>
        <v/>
      </c>
    </row>
    <row r="669" customFormat="false" ht="15" hidden="false" customHeight="false" outlineLevel="0" collapsed="false">
      <c r="A669" s="20"/>
      <c r="B669" s="20"/>
      <c r="C669" s="21"/>
      <c r="D669" s="16" t="str">
        <f aca="false">IF(OR(A669="",B669="",C669=""),"",C669*IFERROR(INDEX(Malzemeler!$E$5:$E$154,MATCH(B669,Malzemeler!$A$5:$A$154,0)),0))</f>
        <v/>
      </c>
    </row>
    <row r="670" customFormat="false" ht="15" hidden="false" customHeight="false" outlineLevel="0" collapsed="false">
      <c r="A670" s="20"/>
      <c r="B670" s="20"/>
      <c r="C670" s="21"/>
      <c r="D670" s="16" t="str">
        <f aca="false">IF(OR(A670="",B670="",C670=""),"",C670*IFERROR(INDEX(Malzemeler!$E$5:$E$154,MATCH(B670,Malzemeler!$A$5:$A$154,0)),0))</f>
        <v/>
      </c>
    </row>
    <row r="671" customFormat="false" ht="15" hidden="false" customHeight="false" outlineLevel="0" collapsed="false">
      <c r="A671" s="20"/>
      <c r="B671" s="20"/>
      <c r="C671" s="21"/>
      <c r="D671" s="16" t="str">
        <f aca="false">IF(OR(A671="",B671="",C671=""),"",C671*IFERROR(INDEX(Malzemeler!$E$5:$E$154,MATCH(B671,Malzemeler!$A$5:$A$154,0)),0))</f>
        <v/>
      </c>
    </row>
    <row r="672" customFormat="false" ht="15" hidden="false" customHeight="false" outlineLevel="0" collapsed="false">
      <c r="A672" s="20"/>
      <c r="B672" s="20"/>
      <c r="C672" s="21"/>
      <c r="D672" s="16" t="str">
        <f aca="false">IF(OR(A672="",B672="",C672=""),"",C672*IFERROR(INDEX(Malzemeler!$E$5:$E$154,MATCH(B672,Malzemeler!$A$5:$A$154,0)),0))</f>
        <v/>
      </c>
    </row>
    <row r="673" customFormat="false" ht="15" hidden="false" customHeight="false" outlineLevel="0" collapsed="false">
      <c r="A673" s="20"/>
      <c r="B673" s="20"/>
      <c r="C673" s="21"/>
      <c r="D673" s="16" t="str">
        <f aca="false">IF(OR(A673="",B673="",C673=""),"",C673*IFERROR(INDEX(Malzemeler!$E$5:$E$154,MATCH(B673,Malzemeler!$A$5:$A$154,0)),0))</f>
        <v/>
      </c>
    </row>
    <row r="674" customFormat="false" ht="15" hidden="false" customHeight="false" outlineLevel="0" collapsed="false">
      <c r="A674" s="20"/>
      <c r="B674" s="20"/>
      <c r="C674" s="21"/>
      <c r="D674" s="16" t="str">
        <f aca="false">IF(OR(A674="",B674="",C674=""),"",C674*IFERROR(INDEX(Malzemeler!$E$5:$E$154,MATCH(B674,Malzemeler!$A$5:$A$154,0)),0))</f>
        <v/>
      </c>
    </row>
    <row r="675" customFormat="false" ht="15" hidden="false" customHeight="false" outlineLevel="0" collapsed="false">
      <c r="A675" s="20"/>
      <c r="B675" s="20"/>
      <c r="C675" s="21"/>
      <c r="D675" s="16" t="str">
        <f aca="false">IF(OR(A675="",B675="",C675=""),"",C675*IFERROR(INDEX(Malzemeler!$E$5:$E$154,MATCH(B675,Malzemeler!$A$5:$A$154,0)),0))</f>
        <v/>
      </c>
    </row>
    <row r="676" customFormat="false" ht="15" hidden="false" customHeight="false" outlineLevel="0" collapsed="false">
      <c r="A676" s="20"/>
      <c r="B676" s="20"/>
      <c r="C676" s="21"/>
      <c r="D676" s="16" t="str">
        <f aca="false">IF(OR(A676="",B676="",C676=""),"",C676*IFERROR(INDEX(Malzemeler!$E$5:$E$154,MATCH(B676,Malzemeler!$A$5:$A$154,0)),0))</f>
        <v/>
      </c>
    </row>
    <row r="677" customFormat="false" ht="15" hidden="false" customHeight="false" outlineLevel="0" collapsed="false">
      <c r="A677" s="20"/>
      <c r="B677" s="20"/>
      <c r="C677" s="21"/>
      <c r="D677" s="16" t="str">
        <f aca="false">IF(OR(A677="",B677="",C677=""),"",C677*IFERROR(INDEX(Malzemeler!$E$5:$E$154,MATCH(B677,Malzemeler!$A$5:$A$154,0)),0))</f>
        <v/>
      </c>
    </row>
    <row r="678" customFormat="false" ht="15" hidden="false" customHeight="false" outlineLevel="0" collapsed="false">
      <c r="A678" s="20"/>
      <c r="B678" s="20"/>
      <c r="C678" s="21"/>
      <c r="D678" s="16" t="str">
        <f aca="false">IF(OR(A678="",B678="",C678=""),"",C678*IFERROR(INDEX(Malzemeler!$E$5:$E$154,MATCH(B678,Malzemeler!$A$5:$A$154,0)),0))</f>
        <v/>
      </c>
    </row>
    <row r="679" customFormat="false" ht="15" hidden="false" customHeight="false" outlineLevel="0" collapsed="false">
      <c r="A679" s="20"/>
      <c r="B679" s="20"/>
      <c r="C679" s="21"/>
      <c r="D679" s="16" t="str">
        <f aca="false">IF(OR(A679="",B679="",C679=""),"",C679*IFERROR(INDEX(Malzemeler!$E$5:$E$154,MATCH(B679,Malzemeler!$A$5:$A$154,0)),0))</f>
        <v/>
      </c>
    </row>
    <row r="680" customFormat="false" ht="15" hidden="false" customHeight="false" outlineLevel="0" collapsed="false">
      <c r="A680" s="20"/>
      <c r="B680" s="20"/>
      <c r="C680" s="21"/>
      <c r="D680" s="16" t="str">
        <f aca="false">IF(OR(A680="",B680="",C680=""),"",C680*IFERROR(INDEX(Malzemeler!$E$5:$E$154,MATCH(B680,Malzemeler!$A$5:$A$154,0)),0))</f>
        <v/>
      </c>
    </row>
    <row r="681" customFormat="false" ht="15" hidden="false" customHeight="false" outlineLevel="0" collapsed="false">
      <c r="A681" s="20"/>
      <c r="B681" s="20"/>
      <c r="C681" s="21"/>
      <c r="D681" s="16" t="str">
        <f aca="false">IF(OR(A681="",B681="",C681=""),"",C681*IFERROR(INDEX(Malzemeler!$E$5:$E$154,MATCH(B681,Malzemeler!$A$5:$A$154,0)),0))</f>
        <v/>
      </c>
    </row>
    <row r="682" customFormat="false" ht="15" hidden="false" customHeight="false" outlineLevel="0" collapsed="false">
      <c r="A682" s="20"/>
      <c r="B682" s="20"/>
      <c r="C682" s="21"/>
      <c r="D682" s="16" t="str">
        <f aca="false">IF(OR(A682="",B682="",C682=""),"",C682*IFERROR(INDEX(Malzemeler!$E$5:$E$154,MATCH(B682,Malzemeler!$A$5:$A$154,0)),0))</f>
        <v/>
      </c>
    </row>
    <row r="683" customFormat="false" ht="15" hidden="false" customHeight="false" outlineLevel="0" collapsed="false">
      <c r="A683" s="20"/>
      <c r="B683" s="20"/>
      <c r="C683" s="21"/>
      <c r="D683" s="16" t="str">
        <f aca="false">IF(OR(A683="",B683="",C683=""),"",C683*IFERROR(INDEX(Malzemeler!$E$5:$E$154,MATCH(B683,Malzemeler!$A$5:$A$154,0)),0))</f>
        <v/>
      </c>
    </row>
    <row r="684" customFormat="false" ht="15" hidden="false" customHeight="false" outlineLevel="0" collapsed="false">
      <c r="A684" s="20"/>
      <c r="B684" s="20"/>
      <c r="C684" s="21"/>
      <c r="D684" s="16" t="str">
        <f aca="false">IF(OR(A684="",B684="",C684=""),"",C684*IFERROR(INDEX(Malzemeler!$E$5:$E$154,MATCH(B684,Malzemeler!$A$5:$A$154,0)),0))</f>
        <v/>
      </c>
    </row>
    <row r="685" customFormat="false" ht="15" hidden="false" customHeight="false" outlineLevel="0" collapsed="false">
      <c r="A685" s="20"/>
      <c r="B685" s="20"/>
      <c r="C685" s="21"/>
      <c r="D685" s="16" t="str">
        <f aca="false">IF(OR(A685="",B685="",C685=""),"",C685*IFERROR(INDEX(Malzemeler!$E$5:$E$154,MATCH(B685,Malzemeler!$A$5:$A$154,0)),0))</f>
        <v/>
      </c>
    </row>
    <row r="686" customFormat="false" ht="15" hidden="false" customHeight="false" outlineLevel="0" collapsed="false">
      <c r="A686" s="20"/>
      <c r="B686" s="20"/>
      <c r="C686" s="21"/>
      <c r="D686" s="16" t="str">
        <f aca="false">IF(OR(A686="",B686="",C686=""),"",C686*IFERROR(INDEX(Malzemeler!$E$5:$E$154,MATCH(B686,Malzemeler!$A$5:$A$154,0)),0))</f>
        <v/>
      </c>
    </row>
    <row r="687" customFormat="false" ht="15" hidden="false" customHeight="false" outlineLevel="0" collapsed="false">
      <c r="A687" s="20"/>
      <c r="B687" s="20"/>
      <c r="C687" s="21"/>
      <c r="D687" s="16" t="str">
        <f aca="false">IF(OR(A687="",B687="",C687=""),"",C687*IFERROR(INDEX(Malzemeler!$E$5:$E$154,MATCH(B687,Malzemeler!$A$5:$A$154,0)),0))</f>
        <v/>
      </c>
    </row>
    <row r="688" customFormat="false" ht="15" hidden="false" customHeight="false" outlineLevel="0" collapsed="false">
      <c r="A688" s="20"/>
      <c r="B688" s="20"/>
      <c r="C688" s="21"/>
      <c r="D688" s="16" t="str">
        <f aca="false">IF(OR(A688="",B688="",C688=""),"",C688*IFERROR(INDEX(Malzemeler!$E$5:$E$154,MATCH(B688,Malzemeler!$A$5:$A$154,0)),0))</f>
        <v/>
      </c>
    </row>
    <row r="689" customFormat="false" ht="15" hidden="false" customHeight="false" outlineLevel="0" collapsed="false">
      <c r="A689" s="20"/>
      <c r="B689" s="20"/>
      <c r="C689" s="21"/>
      <c r="D689" s="16" t="str">
        <f aca="false">IF(OR(A689="",B689="",C689=""),"",C689*IFERROR(INDEX(Malzemeler!$E$5:$E$154,MATCH(B689,Malzemeler!$A$5:$A$154,0)),0))</f>
        <v/>
      </c>
    </row>
    <row r="690" customFormat="false" ht="15" hidden="false" customHeight="false" outlineLevel="0" collapsed="false">
      <c r="A690" s="20"/>
      <c r="B690" s="20"/>
      <c r="C690" s="21"/>
      <c r="D690" s="16" t="str">
        <f aca="false">IF(OR(A690="",B690="",C690=""),"",C690*IFERROR(INDEX(Malzemeler!$E$5:$E$154,MATCH(B690,Malzemeler!$A$5:$A$154,0)),0))</f>
        <v/>
      </c>
    </row>
    <row r="691" customFormat="false" ht="15" hidden="false" customHeight="false" outlineLevel="0" collapsed="false">
      <c r="A691" s="20"/>
      <c r="B691" s="20"/>
      <c r="C691" s="21"/>
      <c r="D691" s="16" t="str">
        <f aca="false">IF(OR(A691="",B691="",C691=""),"",C691*IFERROR(INDEX(Malzemeler!$E$5:$E$154,MATCH(B691,Malzemeler!$A$5:$A$154,0)),0))</f>
        <v/>
      </c>
    </row>
    <row r="692" customFormat="false" ht="15" hidden="false" customHeight="false" outlineLevel="0" collapsed="false">
      <c r="A692" s="20"/>
      <c r="B692" s="20"/>
      <c r="C692" s="21"/>
      <c r="D692" s="16" t="str">
        <f aca="false">IF(OR(A692="",B692="",C692=""),"",C692*IFERROR(INDEX(Malzemeler!$E$5:$E$154,MATCH(B692,Malzemeler!$A$5:$A$154,0)),0))</f>
        <v/>
      </c>
    </row>
    <row r="693" customFormat="false" ht="15" hidden="false" customHeight="false" outlineLevel="0" collapsed="false">
      <c r="A693" s="20"/>
      <c r="B693" s="20"/>
      <c r="C693" s="21"/>
      <c r="D693" s="16" t="str">
        <f aca="false">IF(OR(A693="",B693="",C693=""),"",C693*IFERROR(INDEX(Malzemeler!$E$5:$E$154,MATCH(B693,Malzemeler!$A$5:$A$154,0)),0))</f>
        <v/>
      </c>
    </row>
    <row r="694" customFormat="false" ht="15" hidden="false" customHeight="false" outlineLevel="0" collapsed="false">
      <c r="A694" s="20"/>
      <c r="B694" s="20"/>
      <c r="C694" s="21"/>
      <c r="D694" s="16" t="str">
        <f aca="false">IF(OR(A694="",B694="",C694=""),"",C694*IFERROR(INDEX(Malzemeler!$E$5:$E$154,MATCH(B694,Malzemeler!$A$5:$A$154,0)),0))</f>
        <v/>
      </c>
    </row>
    <row r="695" customFormat="false" ht="15" hidden="false" customHeight="false" outlineLevel="0" collapsed="false">
      <c r="A695" s="20"/>
      <c r="B695" s="20"/>
      <c r="C695" s="21"/>
      <c r="D695" s="16" t="str">
        <f aca="false">IF(OR(A695="",B695="",C695=""),"",C695*IFERROR(INDEX(Malzemeler!$E$5:$E$154,MATCH(B695,Malzemeler!$A$5:$A$154,0)),0))</f>
        <v/>
      </c>
    </row>
    <row r="696" customFormat="false" ht="15" hidden="false" customHeight="false" outlineLevel="0" collapsed="false">
      <c r="A696" s="20"/>
      <c r="B696" s="20"/>
      <c r="C696" s="21"/>
      <c r="D696" s="16" t="str">
        <f aca="false">IF(OR(A696="",B696="",C696=""),"",C696*IFERROR(INDEX(Malzemeler!$E$5:$E$154,MATCH(B696,Malzemeler!$A$5:$A$154,0)),0))</f>
        <v/>
      </c>
    </row>
    <row r="697" customFormat="false" ht="15" hidden="false" customHeight="false" outlineLevel="0" collapsed="false">
      <c r="A697" s="20"/>
      <c r="B697" s="20"/>
      <c r="C697" s="21"/>
      <c r="D697" s="16" t="str">
        <f aca="false">IF(OR(A697="",B697="",C697=""),"",C697*IFERROR(INDEX(Malzemeler!$E$5:$E$154,MATCH(B697,Malzemeler!$A$5:$A$154,0)),0))</f>
        <v/>
      </c>
    </row>
    <row r="698" customFormat="false" ht="15" hidden="false" customHeight="false" outlineLevel="0" collapsed="false">
      <c r="A698" s="20"/>
      <c r="B698" s="20"/>
      <c r="C698" s="21"/>
      <c r="D698" s="16" t="str">
        <f aca="false">IF(OR(A698="",B698="",C698=""),"",C698*IFERROR(INDEX(Malzemeler!$E$5:$E$154,MATCH(B698,Malzemeler!$A$5:$A$154,0)),0))</f>
        <v/>
      </c>
    </row>
    <row r="699" customFormat="false" ht="15" hidden="false" customHeight="false" outlineLevel="0" collapsed="false">
      <c r="A699" s="20"/>
      <c r="B699" s="20"/>
      <c r="C699" s="21"/>
      <c r="D699" s="16" t="str">
        <f aca="false">IF(OR(A699="",B699="",C699=""),"",C699*IFERROR(INDEX(Malzemeler!$E$5:$E$154,MATCH(B699,Malzemeler!$A$5:$A$154,0)),0))</f>
        <v/>
      </c>
    </row>
    <row r="700" customFormat="false" ht="15" hidden="false" customHeight="false" outlineLevel="0" collapsed="false">
      <c r="A700" s="20"/>
      <c r="B700" s="20"/>
      <c r="C700" s="21"/>
      <c r="D700" s="16" t="str">
        <f aca="false">IF(OR(A700="",B700="",C700=""),"",C700*IFERROR(INDEX(Malzemeler!$E$5:$E$154,MATCH(B700,Malzemeler!$A$5:$A$154,0)),0))</f>
        <v/>
      </c>
    </row>
    <row r="701" customFormat="false" ht="15" hidden="false" customHeight="false" outlineLevel="0" collapsed="false">
      <c r="A701" s="20"/>
      <c r="B701" s="20"/>
      <c r="C701" s="21"/>
      <c r="D701" s="16" t="str">
        <f aca="false">IF(OR(A701="",B701="",C701=""),"",C701*IFERROR(INDEX(Malzemeler!$E$5:$E$154,MATCH(B701,Malzemeler!$A$5:$A$154,0)),0))</f>
        <v/>
      </c>
    </row>
    <row r="702" customFormat="false" ht="15" hidden="false" customHeight="false" outlineLevel="0" collapsed="false">
      <c r="A702" s="20"/>
      <c r="B702" s="20"/>
      <c r="C702" s="21"/>
      <c r="D702" s="16" t="str">
        <f aca="false">IF(OR(A702="",B702="",C702=""),"",C702*IFERROR(INDEX(Malzemeler!$E$5:$E$154,MATCH(B702,Malzemeler!$A$5:$A$154,0)),0))</f>
        <v/>
      </c>
    </row>
    <row r="703" customFormat="false" ht="15" hidden="false" customHeight="false" outlineLevel="0" collapsed="false">
      <c r="A703" s="20"/>
      <c r="B703" s="20"/>
      <c r="C703" s="21"/>
      <c r="D703" s="16" t="str">
        <f aca="false">IF(OR(A703="",B703="",C703=""),"",C703*IFERROR(INDEX(Malzemeler!$E$5:$E$154,MATCH(B703,Malzemeler!$A$5:$A$154,0)),0))</f>
        <v/>
      </c>
    </row>
    <row r="704" customFormat="false" ht="15" hidden="false" customHeight="false" outlineLevel="0" collapsed="false">
      <c r="A704" s="20"/>
      <c r="B704" s="20"/>
      <c r="C704" s="21"/>
      <c r="D704" s="16" t="str">
        <f aca="false">IF(OR(A704="",B704="",C704=""),"",C704*IFERROR(INDEX(Malzemeler!$E$5:$E$154,MATCH(B704,Malzemeler!$A$5:$A$154,0)),0))</f>
        <v/>
      </c>
    </row>
    <row r="705" customFormat="false" ht="15" hidden="false" customHeight="false" outlineLevel="0" collapsed="false">
      <c r="A705" s="20"/>
      <c r="B705" s="20"/>
      <c r="C705" s="21"/>
      <c r="D705" s="16" t="str">
        <f aca="false">IF(OR(A705="",B705="",C705=""),"",C705*IFERROR(INDEX(Malzemeler!$E$5:$E$154,MATCH(B705,Malzemeler!$A$5:$A$154,0)),0))</f>
        <v/>
      </c>
    </row>
    <row r="706" customFormat="false" ht="15" hidden="false" customHeight="false" outlineLevel="0" collapsed="false">
      <c r="A706" s="20"/>
      <c r="B706" s="20"/>
      <c r="C706" s="21"/>
      <c r="D706" s="16" t="str">
        <f aca="false">IF(OR(A706="",B706="",C706=""),"",C706*IFERROR(INDEX(Malzemeler!$E$5:$E$154,MATCH(B706,Malzemeler!$A$5:$A$154,0)),0))</f>
        <v/>
      </c>
    </row>
    <row r="707" customFormat="false" ht="15" hidden="false" customHeight="false" outlineLevel="0" collapsed="false">
      <c r="A707" s="20"/>
      <c r="B707" s="20"/>
      <c r="C707" s="21"/>
      <c r="D707" s="16" t="str">
        <f aca="false">IF(OR(A707="",B707="",C707=""),"",C707*IFERROR(INDEX(Malzemeler!$E$5:$E$154,MATCH(B707,Malzemeler!$A$5:$A$154,0)),0))</f>
        <v/>
      </c>
    </row>
    <row r="708" customFormat="false" ht="15" hidden="false" customHeight="false" outlineLevel="0" collapsed="false">
      <c r="A708" s="20"/>
      <c r="B708" s="20"/>
      <c r="C708" s="21"/>
      <c r="D708" s="16" t="str">
        <f aca="false">IF(OR(A708="",B708="",C708=""),"",C708*IFERROR(INDEX(Malzemeler!$E$5:$E$154,MATCH(B708,Malzemeler!$A$5:$A$154,0)),0))</f>
        <v/>
      </c>
    </row>
    <row r="709" customFormat="false" ht="15" hidden="false" customHeight="false" outlineLevel="0" collapsed="false">
      <c r="A709" s="20"/>
      <c r="B709" s="20"/>
      <c r="C709" s="21"/>
      <c r="D709" s="16" t="str">
        <f aca="false">IF(OR(A709="",B709="",C709=""),"",C709*IFERROR(INDEX(Malzemeler!$E$5:$E$154,MATCH(B709,Malzemeler!$A$5:$A$154,0)),0))</f>
        <v/>
      </c>
    </row>
    <row r="710" customFormat="false" ht="15" hidden="false" customHeight="false" outlineLevel="0" collapsed="false">
      <c r="A710" s="20"/>
      <c r="B710" s="20"/>
      <c r="C710" s="21"/>
      <c r="D710" s="16" t="str">
        <f aca="false">IF(OR(A710="",B710="",C710=""),"",C710*IFERROR(INDEX(Malzemeler!$E$5:$E$154,MATCH(B710,Malzemeler!$A$5:$A$154,0)),0))</f>
        <v/>
      </c>
    </row>
    <row r="711" customFormat="false" ht="15" hidden="false" customHeight="false" outlineLevel="0" collapsed="false">
      <c r="A711" s="20"/>
      <c r="B711" s="20"/>
      <c r="C711" s="21"/>
      <c r="D711" s="16" t="str">
        <f aca="false">IF(OR(A711="",B711="",C711=""),"",C711*IFERROR(INDEX(Malzemeler!$E$5:$E$154,MATCH(B711,Malzemeler!$A$5:$A$154,0)),0))</f>
        <v/>
      </c>
    </row>
    <row r="712" customFormat="false" ht="15" hidden="false" customHeight="false" outlineLevel="0" collapsed="false">
      <c r="A712" s="20"/>
      <c r="B712" s="20"/>
      <c r="C712" s="21"/>
      <c r="D712" s="16" t="str">
        <f aca="false">IF(OR(A712="",B712="",C712=""),"",C712*IFERROR(INDEX(Malzemeler!$E$5:$E$154,MATCH(B712,Malzemeler!$A$5:$A$154,0)),0))</f>
        <v/>
      </c>
    </row>
    <row r="713" customFormat="false" ht="15" hidden="false" customHeight="false" outlineLevel="0" collapsed="false">
      <c r="A713" s="20"/>
      <c r="B713" s="20"/>
      <c r="C713" s="21"/>
      <c r="D713" s="16" t="str">
        <f aca="false">IF(OR(A713="",B713="",C713=""),"",C713*IFERROR(INDEX(Malzemeler!$E$5:$E$154,MATCH(B713,Malzemeler!$A$5:$A$154,0)),0))</f>
        <v/>
      </c>
    </row>
    <row r="714" customFormat="false" ht="15" hidden="false" customHeight="false" outlineLevel="0" collapsed="false">
      <c r="A714" s="20"/>
      <c r="B714" s="20"/>
      <c r="C714" s="21"/>
      <c r="D714" s="16" t="str">
        <f aca="false">IF(OR(A714="",B714="",C714=""),"",C714*IFERROR(INDEX(Malzemeler!$E$5:$E$154,MATCH(B714,Malzemeler!$A$5:$A$154,0)),0))</f>
        <v/>
      </c>
    </row>
    <row r="715" customFormat="false" ht="15" hidden="false" customHeight="false" outlineLevel="0" collapsed="false">
      <c r="A715" s="20"/>
      <c r="B715" s="20"/>
      <c r="C715" s="21"/>
      <c r="D715" s="16" t="str">
        <f aca="false">IF(OR(A715="",B715="",C715=""),"",C715*IFERROR(INDEX(Malzemeler!$E$5:$E$154,MATCH(B715,Malzemeler!$A$5:$A$154,0)),0))</f>
        <v/>
      </c>
    </row>
    <row r="716" customFormat="false" ht="15" hidden="false" customHeight="false" outlineLevel="0" collapsed="false">
      <c r="A716" s="20"/>
      <c r="B716" s="20"/>
      <c r="C716" s="21"/>
      <c r="D716" s="16" t="str">
        <f aca="false">IF(OR(A716="",B716="",C716=""),"",C716*IFERROR(INDEX(Malzemeler!$E$5:$E$154,MATCH(B716,Malzemeler!$A$5:$A$154,0)),0))</f>
        <v/>
      </c>
    </row>
    <row r="717" customFormat="false" ht="15" hidden="false" customHeight="false" outlineLevel="0" collapsed="false">
      <c r="A717" s="20"/>
      <c r="B717" s="20"/>
      <c r="C717" s="21"/>
      <c r="D717" s="16" t="str">
        <f aca="false">IF(OR(A717="",B717="",C717=""),"",C717*IFERROR(INDEX(Malzemeler!$E$5:$E$154,MATCH(B717,Malzemeler!$A$5:$A$154,0)),0))</f>
        <v/>
      </c>
    </row>
    <row r="718" customFormat="false" ht="15" hidden="false" customHeight="false" outlineLevel="0" collapsed="false">
      <c r="A718" s="20"/>
      <c r="B718" s="20"/>
      <c r="C718" s="21"/>
      <c r="D718" s="16" t="str">
        <f aca="false">IF(OR(A718="",B718="",C718=""),"",C718*IFERROR(INDEX(Malzemeler!$E$5:$E$154,MATCH(B718,Malzemeler!$A$5:$A$154,0)),0))</f>
        <v/>
      </c>
    </row>
    <row r="719" customFormat="false" ht="15" hidden="false" customHeight="false" outlineLevel="0" collapsed="false">
      <c r="A719" s="20"/>
      <c r="B719" s="20"/>
      <c r="C719" s="21"/>
      <c r="D719" s="16" t="str">
        <f aca="false">IF(OR(A719="",B719="",C719=""),"",C719*IFERROR(INDEX(Malzemeler!$E$5:$E$154,MATCH(B719,Malzemeler!$A$5:$A$154,0)),0))</f>
        <v/>
      </c>
    </row>
    <row r="720" customFormat="false" ht="15" hidden="false" customHeight="false" outlineLevel="0" collapsed="false">
      <c r="A720" s="20"/>
      <c r="B720" s="20"/>
      <c r="C720" s="21"/>
      <c r="D720" s="16" t="str">
        <f aca="false">IF(OR(A720="",B720="",C720=""),"",C720*IFERROR(INDEX(Malzemeler!$E$5:$E$154,MATCH(B720,Malzemeler!$A$5:$A$154,0)),0))</f>
        <v/>
      </c>
    </row>
    <row r="721" customFormat="false" ht="15" hidden="false" customHeight="false" outlineLevel="0" collapsed="false">
      <c r="A721" s="20"/>
      <c r="B721" s="20"/>
      <c r="C721" s="21"/>
      <c r="D721" s="16" t="str">
        <f aca="false">IF(OR(A721="",B721="",C721=""),"",C721*IFERROR(INDEX(Malzemeler!$E$5:$E$154,MATCH(B721,Malzemeler!$A$5:$A$154,0)),0))</f>
        <v/>
      </c>
    </row>
    <row r="722" customFormat="false" ht="15" hidden="false" customHeight="false" outlineLevel="0" collapsed="false">
      <c r="A722" s="20"/>
      <c r="B722" s="20"/>
      <c r="C722" s="21"/>
      <c r="D722" s="16" t="str">
        <f aca="false">IF(OR(A722="",B722="",C722=""),"",C722*IFERROR(INDEX(Malzemeler!$E$5:$E$154,MATCH(B722,Malzemeler!$A$5:$A$154,0)),0))</f>
        <v/>
      </c>
    </row>
    <row r="723" customFormat="false" ht="15" hidden="false" customHeight="false" outlineLevel="0" collapsed="false">
      <c r="A723" s="20"/>
      <c r="B723" s="20"/>
      <c r="C723" s="21"/>
      <c r="D723" s="16" t="str">
        <f aca="false">IF(OR(A723="",B723="",C723=""),"",C723*IFERROR(INDEX(Malzemeler!$E$5:$E$154,MATCH(B723,Malzemeler!$A$5:$A$154,0)),0))</f>
        <v/>
      </c>
    </row>
    <row r="724" customFormat="false" ht="15" hidden="false" customHeight="false" outlineLevel="0" collapsed="false">
      <c r="A724" s="20"/>
      <c r="B724" s="20"/>
      <c r="C724" s="21"/>
      <c r="D724" s="16" t="str">
        <f aca="false">IF(OR(A724="",B724="",C724=""),"",C724*IFERROR(INDEX(Malzemeler!$E$5:$E$154,MATCH(B724,Malzemeler!$A$5:$A$154,0)),0))</f>
        <v/>
      </c>
    </row>
    <row r="725" customFormat="false" ht="15" hidden="false" customHeight="false" outlineLevel="0" collapsed="false">
      <c r="A725" s="20"/>
      <c r="B725" s="20"/>
      <c r="C725" s="21"/>
      <c r="D725" s="16" t="str">
        <f aca="false">IF(OR(A725="",B725="",C725=""),"",C725*IFERROR(INDEX(Malzemeler!$E$5:$E$154,MATCH(B725,Malzemeler!$A$5:$A$154,0)),0))</f>
        <v/>
      </c>
    </row>
    <row r="726" customFormat="false" ht="15" hidden="false" customHeight="false" outlineLevel="0" collapsed="false">
      <c r="A726" s="20"/>
      <c r="B726" s="20"/>
      <c r="C726" s="21"/>
      <c r="D726" s="16" t="str">
        <f aca="false">IF(OR(A726="",B726="",C726=""),"",C726*IFERROR(INDEX(Malzemeler!$E$5:$E$154,MATCH(B726,Malzemeler!$A$5:$A$154,0)),0))</f>
        <v/>
      </c>
    </row>
    <row r="727" customFormat="false" ht="15" hidden="false" customHeight="false" outlineLevel="0" collapsed="false">
      <c r="A727" s="20"/>
      <c r="B727" s="20"/>
      <c r="C727" s="21"/>
      <c r="D727" s="16" t="str">
        <f aca="false">IF(OR(A727="",B727="",C727=""),"",C727*IFERROR(INDEX(Malzemeler!$E$5:$E$154,MATCH(B727,Malzemeler!$A$5:$A$154,0)),0))</f>
        <v/>
      </c>
    </row>
    <row r="728" customFormat="false" ht="15" hidden="false" customHeight="false" outlineLevel="0" collapsed="false">
      <c r="A728" s="20"/>
      <c r="B728" s="20"/>
      <c r="C728" s="21"/>
      <c r="D728" s="16" t="str">
        <f aca="false">IF(OR(A728="",B728="",C728=""),"",C728*IFERROR(INDEX(Malzemeler!$E$5:$E$154,MATCH(B728,Malzemeler!$A$5:$A$154,0)),0))</f>
        <v/>
      </c>
    </row>
    <row r="729" customFormat="false" ht="15" hidden="false" customHeight="false" outlineLevel="0" collapsed="false">
      <c r="A729" s="20"/>
      <c r="B729" s="20"/>
      <c r="C729" s="21"/>
      <c r="D729" s="16" t="str">
        <f aca="false">IF(OR(A729="",B729="",C729=""),"",C729*IFERROR(INDEX(Malzemeler!$E$5:$E$154,MATCH(B729,Malzemeler!$A$5:$A$154,0)),0))</f>
        <v/>
      </c>
    </row>
    <row r="730" customFormat="false" ht="15" hidden="false" customHeight="false" outlineLevel="0" collapsed="false">
      <c r="A730" s="20"/>
      <c r="B730" s="20"/>
      <c r="C730" s="21"/>
      <c r="D730" s="16" t="str">
        <f aca="false">IF(OR(A730="",B730="",C730=""),"",C730*IFERROR(INDEX(Malzemeler!$E$5:$E$154,MATCH(B730,Malzemeler!$A$5:$A$154,0)),0))</f>
        <v/>
      </c>
    </row>
    <row r="731" customFormat="false" ht="15" hidden="false" customHeight="false" outlineLevel="0" collapsed="false">
      <c r="A731" s="20"/>
      <c r="B731" s="20"/>
      <c r="C731" s="21"/>
      <c r="D731" s="16" t="str">
        <f aca="false">IF(OR(A731="",B731="",C731=""),"",C731*IFERROR(INDEX(Malzemeler!$E$5:$E$154,MATCH(B731,Malzemeler!$A$5:$A$154,0)),0))</f>
        <v/>
      </c>
    </row>
    <row r="732" customFormat="false" ht="15" hidden="false" customHeight="false" outlineLevel="0" collapsed="false">
      <c r="A732" s="20"/>
      <c r="B732" s="20"/>
      <c r="C732" s="21"/>
      <c r="D732" s="16" t="str">
        <f aca="false">IF(OR(A732="",B732="",C732=""),"",C732*IFERROR(INDEX(Malzemeler!$E$5:$E$154,MATCH(B732,Malzemeler!$A$5:$A$154,0)),0))</f>
        <v/>
      </c>
    </row>
    <row r="733" customFormat="false" ht="15" hidden="false" customHeight="false" outlineLevel="0" collapsed="false">
      <c r="A733" s="20"/>
      <c r="B733" s="20"/>
      <c r="C733" s="21"/>
      <c r="D733" s="16" t="str">
        <f aca="false">IF(OR(A733="",B733="",C733=""),"",C733*IFERROR(INDEX(Malzemeler!$E$5:$E$154,MATCH(B733,Malzemeler!$A$5:$A$154,0)),0))</f>
        <v/>
      </c>
    </row>
    <row r="734" customFormat="false" ht="15" hidden="false" customHeight="false" outlineLevel="0" collapsed="false">
      <c r="A734" s="20"/>
      <c r="B734" s="20"/>
      <c r="C734" s="21"/>
      <c r="D734" s="16" t="str">
        <f aca="false">IF(OR(A734="",B734="",C734=""),"",C734*IFERROR(INDEX(Malzemeler!$E$5:$E$154,MATCH(B734,Malzemeler!$A$5:$A$154,0)),0))</f>
        <v/>
      </c>
    </row>
    <row r="735" customFormat="false" ht="15" hidden="false" customHeight="false" outlineLevel="0" collapsed="false">
      <c r="A735" s="20"/>
      <c r="B735" s="20"/>
      <c r="C735" s="21"/>
      <c r="D735" s="16" t="str">
        <f aca="false">IF(OR(A735="",B735="",C735=""),"",C735*IFERROR(INDEX(Malzemeler!$E$5:$E$154,MATCH(B735,Malzemeler!$A$5:$A$154,0)),0))</f>
        <v/>
      </c>
    </row>
    <row r="736" customFormat="false" ht="15" hidden="false" customHeight="false" outlineLevel="0" collapsed="false">
      <c r="A736" s="20"/>
      <c r="B736" s="20"/>
      <c r="C736" s="21"/>
      <c r="D736" s="16" t="str">
        <f aca="false">IF(OR(A736="",B736="",C736=""),"",C736*IFERROR(INDEX(Malzemeler!$E$5:$E$154,MATCH(B736,Malzemeler!$A$5:$A$154,0)),0))</f>
        <v/>
      </c>
    </row>
    <row r="737" customFormat="false" ht="15" hidden="false" customHeight="false" outlineLevel="0" collapsed="false">
      <c r="A737" s="20"/>
      <c r="B737" s="20"/>
      <c r="C737" s="21"/>
      <c r="D737" s="16" t="str">
        <f aca="false">IF(OR(A737="",B737="",C737=""),"",C737*IFERROR(INDEX(Malzemeler!$E$5:$E$154,MATCH(B737,Malzemeler!$A$5:$A$154,0)),0))</f>
        <v/>
      </c>
    </row>
    <row r="738" customFormat="false" ht="15" hidden="false" customHeight="false" outlineLevel="0" collapsed="false">
      <c r="A738" s="20"/>
      <c r="B738" s="20"/>
      <c r="C738" s="21"/>
      <c r="D738" s="16" t="str">
        <f aca="false">IF(OR(A738="",B738="",C738=""),"",C738*IFERROR(INDEX(Malzemeler!$E$5:$E$154,MATCH(B738,Malzemeler!$A$5:$A$154,0)),0))</f>
        <v/>
      </c>
    </row>
    <row r="739" customFormat="false" ht="15" hidden="false" customHeight="false" outlineLevel="0" collapsed="false">
      <c r="A739" s="20"/>
      <c r="B739" s="20"/>
      <c r="C739" s="21"/>
      <c r="D739" s="16" t="str">
        <f aca="false">IF(OR(A739="",B739="",C739=""),"",C739*IFERROR(INDEX(Malzemeler!$E$5:$E$154,MATCH(B739,Malzemeler!$A$5:$A$154,0)),0))</f>
        <v/>
      </c>
    </row>
    <row r="740" customFormat="false" ht="15" hidden="false" customHeight="false" outlineLevel="0" collapsed="false">
      <c r="A740" s="20"/>
      <c r="B740" s="20"/>
      <c r="C740" s="21"/>
      <c r="D740" s="16" t="str">
        <f aca="false">IF(OR(A740="",B740="",C740=""),"",C740*IFERROR(INDEX(Malzemeler!$E$5:$E$154,MATCH(B740,Malzemeler!$A$5:$A$154,0)),0))</f>
        <v/>
      </c>
    </row>
    <row r="741" customFormat="false" ht="15" hidden="false" customHeight="false" outlineLevel="0" collapsed="false">
      <c r="A741" s="20"/>
      <c r="B741" s="20"/>
      <c r="C741" s="21"/>
      <c r="D741" s="16" t="str">
        <f aca="false">IF(OR(A741="",B741="",C741=""),"",C741*IFERROR(INDEX(Malzemeler!$E$5:$E$154,MATCH(B741,Malzemeler!$A$5:$A$154,0)),0))</f>
        <v/>
      </c>
    </row>
    <row r="742" customFormat="false" ht="15" hidden="false" customHeight="false" outlineLevel="0" collapsed="false">
      <c r="A742" s="20"/>
      <c r="B742" s="20"/>
      <c r="C742" s="21"/>
      <c r="D742" s="16" t="str">
        <f aca="false">IF(OR(A742="",B742="",C742=""),"",C742*IFERROR(INDEX(Malzemeler!$E$5:$E$154,MATCH(B742,Malzemeler!$A$5:$A$154,0)),0))</f>
        <v/>
      </c>
    </row>
    <row r="743" customFormat="false" ht="15" hidden="false" customHeight="false" outlineLevel="0" collapsed="false">
      <c r="A743" s="20"/>
      <c r="B743" s="20"/>
      <c r="C743" s="21"/>
      <c r="D743" s="16" t="str">
        <f aca="false">IF(OR(A743="",B743="",C743=""),"",C743*IFERROR(INDEX(Malzemeler!$E$5:$E$154,MATCH(B743,Malzemeler!$A$5:$A$154,0)),0))</f>
        <v/>
      </c>
    </row>
    <row r="744" customFormat="false" ht="15" hidden="false" customHeight="false" outlineLevel="0" collapsed="false">
      <c r="A744" s="20"/>
      <c r="B744" s="20"/>
      <c r="C744" s="21"/>
      <c r="D744" s="16" t="str">
        <f aca="false">IF(OR(A744="",B744="",C744=""),"",C744*IFERROR(INDEX(Malzemeler!$E$5:$E$154,MATCH(B744,Malzemeler!$A$5:$A$154,0)),0))</f>
        <v/>
      </c>
    </row>
    <row r="745" customFormat="false" ht="15" hidden="false" customHeight="false" outlineLevel="0" collapsed="false">
      <c r="A745" s="20"/>
      <c r="B745" s="20"/>
      <c r="C745" s="21"/>
      <c r="D745" s="16" t="str">
        <f aca="false">IF(OR(A745="",B745="",C745=""),"",C745*IFERROR(INDEX(Malzemeler!$E$5:$E$154,MATCH(B745,Malzemeler!$A$5:$A$154,0)),0))</f>
        <v/>
      </c>
    </row>
    <row r="746" customFormat="false" ht="15" hidden="false" customHeight="false" outlineLevel="0" collapsed="false">
      <c r="A746" s="20"/>
      <c r="B746" s="20"/>
      <c r="C746" s="21"/>
      <c r="D746" s="16" t="str">
        <f aca="false">IF(OR(A746="",B746="",C746=""),"",C746*IFERROR(INDEX(Malzemeler!$E$5:$E$154,MATCH(B746,Malzemeler!$A$5:$A$154,0)),0))</f>
        <v/>
      </c>
    </row>
    <row r="747" customFormat="false" ht="15" hidden="false" customHeight="false" outlineLevel="0" collapsed="false">
      <c r="A747" s="20"/>
      <c r="B747" s="20"/>
      <c r="C747" s="21"/>
      <c r="D747" s="16" t="str">
        <f aca="false">IF(OR(A747="",B747="",C747=""),"",C747*IFERROR(INDEX(Malzemeler!$E$5:$E$154,MATCH(B747,Malzemeler!$A$5:$A$154,0)),0))</f>
        <v/>
      </c>
    </row>
    <row r="748" customFormat="false" ht="15" hidden="false" customHeight="false" outlineLevel="0" collapsed="false">
      <c r="A748" s="20"/>
      <c r="B748" s="20"/>
      <c r="C748" s="21"/>
      <c r="D748" s="16" t="str">
        <f aca="false">IF(OR(A748="",B748="",C748=""),"",C748*IFERROR(INDEX(Malzemeler!$E$5:$E$154,MATCH(B748,Malzemeler!$A$5:$A$154,0)),0))</f>
        <v/>
      </c>
    </row>
    <row r="749" customFormat="false" ht="15" hidden="false" customHeight="false" outlineLevel="0" collapsed="false">
      <c r="A749" s="20"/>
      <c r="B749" s="20"/>
      <c r="C749" s="21"/>
      <c r="D749" s="16" t="str">
        <f aca="false">IF(OR(A749="",B749="",C749=""),"",C749*IFERROR(INDEX(Malzemeler!$E$5:$E$154,MATCH(B749,Malzemeler!$A$5:$A$154,0)),0))</f>
        <v/>
      </c>
    </row>
    <row r="750" customFormat="false" ht="15" hidden="false" customHeight="false" outlineLevel="0" collapsed="false">
      <c r="A750" s="20"/>
      <c r="B750" s="20"/>
      <c r="C750" s="21"/>
      <c r="D750" s="16" t="str">
        <f aca="false">IF(OR(A750="",B750="",C750=""),"",C750*IFERROR(INDEX(Malzemeler!$E$5:$E$154,MATCH(B750,Malzemeler!$A$5:$A$154,0)),0))</f>
        <v/>
      </c>
    </row>
    <row r="751" customFormat="false" ht="15" hidden="false" customHeight="false" outlineLevel="0" collapsed="false">
      <c r="A751" s="20"/>
      <c r="B751" s="20"/>
      <c r="C751" s="21"/>
      <c r="D751" s="16" t="str">
        <f aca="false">IF(OR(A751="",B751="",C751=""),"",C751*IFERROR(INDEX(Malzemeler!$E$5:$E$154,MATCH(B751,Malzemeler!$A$5:$A$154,0)),0))</f>
        <v/>
      </c>
    </row>
    <row r="752" customFormat="false" ht="15" hidden="false" customHeight="false" outlineLevel="0" collapsed="false">
      <c r="A752" s="20"/>
      <c r="B752" s="20"/>
      <c r="C752" s="21"/>
      <c r="D752" s="16" t="str">
        <f aca="false">IF(OR(A752="",B752="",C752=""),"",C752*IFERROR(INDEX(Malzemeler!$E$5:$E$154,MATCH(B752,Malzemeler!$A$5:$A$154,0)),0))</f>
        <v/>
      </c>
    </row>
    <row r="753" customFormat="false" ht="15" hidden="false" customHeight="false" outlineLevel="0" collapsed="false">
      <c r="A753" s="20"/>
      <c r="B753" s="20"/>
      <c r="C753" s="21"/>
      <c r="D753" s="16" t="str">
        <f aca="false">IF(OR(A753="",B753="",C753=""),"",C753*IFERROR(INDEX(Malzemeler!$E$5:$E$154,MATCH(B753,Malzemeler!$A$5:$A$154,0)),0))</f>
        <v/>
      </c>
    </row>
    <row r="754" customFormat="false" ht="15" hidden="false" customHeight="false" outlineLevel="0" collapsed="false">
      <c r="A754" s="20"/>
      <c r="B754" s="20"/>
      <c r="C754" s="21"/>
      <c r="D754" s="16" t="str">
        <f aca="false">IF(OR(A754="",B754="",C754=""),"",C754*IFERROR(INDEX(Malzemeler!$E$5:$E$154,MATCH(B754,Malzemeler!$A$5:$A$154,0)),0))</f>
        <v/>
      </c>
    </row>
    <row r="755" customFormat="false" ht="15" hidden="false" customHeight="false" outlineLevel="0" collapsed="false">
      <c r="A755" s="20"/>
      <c r="B755" s="20"/>
      <c r="C755" s="21"/>
      <c r="D755" s="16" t="str">
        <f aca="false">IF(OR(A755="",B755="",C755=""),"",C755*IFERROR(INDEX(Malzemeler!$E$5:$E$154,MATCH(B755,Malzemeler!$A$5:$A$154,0)),0))</f>
        <v/>
      </c>
    </row>
    <row r="756" customFormat="false" ht="15" hidden="false" customHeight="false" outlineLevel="0" collapsed="false">
      <c r="A756" s="20"/>
      <c r="B756" s="20"/>
      <c r="C756" s="21"/>
      <c r="D756" s="16" t="str">
        <f aca="false">IF(OR(A756="",B756="",C756=""),"",C756*IFERROR(INDEX(Malzemeler!$E$5:$E$154,MATCH(B756,Malzemeler!$A$5:$A$154,0)),0))</f>
        <v/>
      </c>
    </row>
    <row r="757" customFormat="false" ht="15" hidden="false" customHeight="false" outlineLevel="0" collapsed="false">
      <c r="A757" s="20"/>
      <c r="B757" s="20"/>
      <c r="C757" s="21"/>
      <c r="D757" s="16" t="str">
        <f aca="false">IF(OR(A757="",B757="",C757=""),"",C757*IFERROR(INDEX(Malzemeler!$E$5:$E$154,MATCH(B757,Malzemeler!$A$5:$A$154,0)),0))</f>
        <v/>
      </c>
    </row>
    <row r="758" customFormat="false" ht="15" hidden="false" customHeight="false" outlineLevel="0" collapsed="false">
      <c r="A758" s="20"/>
      <c r="B758" s="20"/>
      <c r="C758" s="21"/>
      <c r="D758" s="16" t="str">
        <f aca="false">IF(OR(A758="",B758="",C758=""),"",C758*IFERROR(INDEX(Malzemeler!$E$5:$E$154,MATCH(B758,Malzemeler!$A$5:$A$154,0)),0))</f>
        <v/>
      </c>
    </row>
    <row r="759" customFormat="false" ht="15" hidden="false" customHeight="false" outlineLevel="0" collapsed="false">
      <c r="A759" s="20"/>
      <c r="B759" s="20"/>
      <c r="C759" s="21"/>
      <c r="D759" s="16" t="str">
        <f aca="false">IF(OR(A759="",B759="",C759=""),"",C759*IFERROR(INDEX(Malzemeler!$E$5:$E$154,MATCH(B759,Malzemeler!$A$5:$A$154,0)),0))</f>
        <v/>
      </c>
    </row>
    <row r="760" customFormat="false" ht="15" hidden="false" customHeight="false" outlineLevel="0" collapsed="false">
      <c r="A760" s="20"/>
      <c r="B760" s="20"/>
      <c r="C760" s="21"/>
      <c r="D760" s="16" t="str">
        <f aca="false">IF(OR(A760="",B760="",C760=""),"",C760*IFERROR(INDEX(Malzemeler!$E$5:$E$154,MATCH(B760,Malzemeler!$A$5:$A$154,0)),0))</f>
        <v/>
      </c>
    </row>
    <row r="761" customFormat="false" ht="15" hidden="false" customHeight="false" outlineLevel="0" collapsed="false">
      <c r="A761" s="20"/>
      <c r="B761" s="20"/>
      <c r="C761" s="21"/>
      <c r="D761" s="16" t="str">
        <f aca="false">IF(OR(A761="",B761="",C761=""),"",C761*IFERROR(INDEX(Malzemeler!$E$5:$E$154,MATCH(B761,Malzemeler!$A$5:$A$154,0)),0))</f>
        <v/>
      </c>
    </row>
    <row r="762" customFormat="false" ht="15" hidden="false" customHeight="false" outlineLevel="0" collapsed="false">
      <c r="A762" s="20"/>
      <c r="B762" s="20"/>
      <c r="C762" s="21"/>
      <c r="D762" s="16" t="str">
        <f aca="false">IF(OR(A762="",B762="",C762=""),"",C762*IFERROR(INDEX(Malzemeler!$E$5:$E$154,MATCH(B762,Malzemeler!$A$5:$A$154,0)),0))</f>
        <v/>
      </c>
    </row>
    <row r="763" customFormat="false" ht="15" hidden="false" customHeight="false" outlineLevel="0" collapsed="false">
      <c r="A763" s="20"/>
      <c r="B763" s="20"/>
      <c r="C763" s="21"/>
      <c r="D763" s="16" t="str">
        <f aca="false">IF(OR(A763="",B763="",C763=""),"",C763*IFERROR(INDEX(Malzemeler!$E$5:$E$154,MATCH(B763,Malzemeler!$A$5:$A$154,0)),0))</f>
        <v/>
      </c>
    </row>
    <row r="764" customFormat="false" ht="15" hidden="false" customHeight="false" outlineLevel="0" collapsed="false">
      <c r="A764" s="20"/>
      <c r="B764" s="20"/>
      <c r="C764" s="21"/>
      <c r="D764" s="16" t="str">
        <f aca="false">IF(OR(A764="",B764="",C764=""),"",C764*IFERROR(INDEX(Malzemeler!$E$5:$E$154,MATCH(B764,Malzemeler!$A$5:$A$154,0)),0))</f>
        <v/>
      </c>
    </row>
    <row r="765" customFormat="false" ht="15" hidden="false" customHeight="false" outlineLevel="0" collapsed="false">
      <c r="A765" s="20"/>
      <c r="B765" s="20"/>
      <c r="C765" s="21"/>
      <c r="D765" s="16" t="str">
        <f aca="false">IF(OR(A765="",B765="",C765=""),"",C765*IFERROR(INDEX(Malzemeler!$E$5:$E$154,MATCH(B765,Malzemeler!$A$5:$A$154,0)),0))</f>
        <v/>
      </c>
    </row>
    <row r="766" customFormat="false" ht="15" hidden="false" customHeight="false" outlineLevel="0" collapsed="false">
      <c r="A766" s="20"/>
      <c r="B766" s="20"/>
      <c r="C766" s="21"/>
      <c r="D766" s="16" t="str">
        <f aca="false">IF(OR(A766="",B766="",C766=""),"",C766*IFERROR(INDEX(Malzemeler!$E$5:$E$154,MATCH(B766,Malzemeler!$A$5:$A$154,0)),0))</f>
        <v/>
      </c>
    </row>
    <row r="767" customFormat="false" ht="15" hidden="false" customHeight="false" outlineLevel="0" collapsed="false">
      <c r="A767" s="20"/>
      <c r="B767" s="20"/>
      <c r="C767" s="21"/>
      <c r="D767" s="16" t="str">
        <f aca="false">IF(OR(A767="",B767="",C767=""),"",C767*IFERROR(INDEX(Malzemeler!$E$5:$E$154,MATCH(B767,Malzemeler!$A$5:$A$154,0)),0))</f>
        <v/>
      </c>
    </row>
    <row r="768" customFormat="false" ht="15" hidden="false" customHeight="false" outlineLevel="0" collapsed="false">
      <c r="A768" s="20"/>
      <c r="B768" s="20"/>
      <c r="C768" s="21"/>
      <c r="D768" s="16" t="str">
        <f aca="false">IF(OR(A768="",B768="",C768=""),"",C768*IFERROR(INDEX(Malzemeler!$E$5:$E$154,MATCH(B768,Malzemeler!$A$5:$A$154,0)),0))</f>
        <v/>
      </c>
    </row>
    <row r="769" customFormat="false" ht="15" hidden="false" customHeight="false" outlineLevel="0" collapsed="false">
      <c r="A769" s="20"/>
      <c r="B769" s="20"/>
      <c r="C769" s="21"/>
      <c r="D769" s="16" t="str">
        <f aca="false">IF(OR(A769="",B769="",C769=""),"",C769*IFERROR(INDEX(Malzemeler!$E$5:$E$154,MATCH(B769,Malzemeler!$A$5:$A$154,0)),0))</f>
        <v/>
      </c>
    </row>
    <row r="770" customFormat="false" ht="15" hidden="false" customHeight="false" outlineLevel="0" collapsed="false">
      <c r="A770" s="20"/>
      <c r="B770" s="20"/>
      <c r="C770" s="21"/>
      <c r="D770" s="16" t="str">
        <f aca="false">IF(OR(A770="",B770="",C770=""),"",C770*IFERROR(INDEX(Malzemeler!$E$5:$E$154,MATCH(B770,Malzemeler!$A$5:$A$154,0)),0))</f>
        <v/>
      </c>
    </row>
    <row r="771" customFormat="false" ht="15" hidden="false" customHeight="false" outlineLevel="0" collapsed="false">
      <c r="A771" s="20"/>
      <c r="B771" s="20"/>
      <c r="C771" s="21"/>
      <c r="D771" s="16" t="str">
        <f aca="false">IF(OR(A771="",B771="",C771=""),"",C771*IFERROR(INDEX(Malzemeler!$E$5:$E$154,MATCH(B771,Malzemeler!$A$5:$A$154,0)),0))</f>
        <v/>
      </c>
    </row>
    <row r="772" customFormat="false" ht="15" hidden="false" customHeight="false" outlineLevel="0" collapsed="false">
      <c r="A772" s="20"/>
      <c r="B772" s="20"/>
      <c r="C772" s="21"/>
      <c r="D772" s="16" t="str">
        <f aca="false">IF(OR(A772="",B772="",C772=""),"",C772*IFERROR(INDEX(Malzemeler!$E$5:$E$154,MATCH(B772,Malzemeler!$A$5:$A$154,0)),0))</f>
        <v/>
      </c>
    </row>
    <row r="773" customFormat="false" ht="15" hidden="false" customHeight="false" outlineLevel="0" collapsed="false">
      <c r="A773" s="20"/>
      <c r="B773" s="20"/>
      <c r="C773" s="21"/>
      <c r="D773" s="16" t="str">
        <f aca="false">IF(OR(A773="",B773="",C773=""),"",C773*IFERROR(INDEX(Malzemeler!$E$5:$E$154,MATCH(B773,Malzemeler!$A$5:$A$154,0)),0))</f>
        <v/>
      </c>
    </row>
    <row r="774" customFormat="false" ht="15" hidden="false" customHeight="false" outlineLevel="0" collapsed="false">
      <c r="A774" s="20"/>
      <c r="B774" s="20"/>
      <c r="C774" s="21"/>
      <c r="D774" s="16" t="str">
        <f aca="false">IF(OR(A774="",B774="",C774=""),"",C774*IFERROR(INDEX(Malzemeler!$E$5:$E$154,MATCH(B774,Malzemeler!$A$5:$A$154,0)),0))</f>
        <v/>
      </c>
    </row>
    <row r="775" customFormat="false" ht="15" hidden="false" customHeight="false" outlineLevel="0" collapsed="false">
      <c r="A775" s="20"/>
      <c r="B775" s="20"/>
      <c r="C775" s="21"/>
      <c r="D775" s="16" t="str">
        <f aca="false">IF(OR(A775="",B775="",C775=""),"",C775*IFERROR(INDEX(Malzemeler!$E$5:$E$154,MATCH(B775,Malzemeler!$A$5:$A$154,0)),0))</f>
        <v/>
      </c>
    </row>
    <row r="776" customFormat="false" ht="15" hidden="false" customHeight="false" outlineLevel="0" collapsed="false">
      <c r="A776" s="20"/>
      <c r="B776" s="20"/>
      <c r="C776" s="21"/>
      <c r="D776" s="16" t="str">
        <f aca="false">IF(OR(A776="",B776="",C776=""),"",C776*IFERROR(INDEX(Malzemeler!$E$5:$E$154,MATCH(B776,Malzemeler!$A$5:$A$154,0)),0))</f>
        <v/>
      </c>
    </row>
    <row r="777" customFormat="false" ht="15" hidden="false" customHeight="false" outlineLevel="0" collapsed="false">
      <c r="A777" s="20"/>
      <c r="B777" s="20"/>
      <c r="C777" s="21"/>
      <c r="D777" s="16" t="str">
        <f aca="false">IF(OR(A777="",B777="",C777=""),"",C777*IFERROR(INDEX(Malzemeler!$E$5:$E$154,MATCH(B777,Malzemeler!$A$5:$A$154,0)),0))</f>
        <v/>
      </c>
    </row>
    <row r="778" customFormat="false" ht="15" hidden="false" customHeight="false" outlineLevel="0" collapsed="false">
      <c r="A778" s="20"/>
      <c r="B778" s="20"/>
      <c r="C778" s="21"/>
      <c r="D778" s="16" t="str">
        <f aca="false">IF(OR(A778="",B778="",C778=""),"",C778*IFERROR(INDEX(Malzemeler!$E$5:$E$154,MATCH(B778,Malzemeler!$A$5:$A$154,0)),0))</f>
        <v/>
      </c>
    </row>
    <row r="779" customFormat="false" ht="15" hidden="false" customHeight="false" outlineLevel="0" collapsed="false">
      <c r="A779" s="20"/>
      <c r="B779" s="20"/>
      <c r="C779" s="21"/>
      <c r="D779" s="16" t="str">
        <f aca="false">IF(OR(A779="",B779="",C779=""),"",C779*IFERROR(INDEX(Malzemeler!$E$5:$E$154,MATCH(B779,Malzemeler!$A$5:$A$154,0)),0))</f>
        <v/>
      </c>
    </row>
    <row r="780" customFormat="false" ht="15" hidden="false" customHeight="false" outlineLevel="0" collapsed="false">
      <c r="A780" s="20"/>
      <c r="B780" s="20"/>
      <c r="C780" s="21"/>
      <c r="D780" s="16" t="str">
        <f aca="false">IF(OR(A780="",B780="",C780=""),"",C780*IFERROR(INDEX(Malzemeler!$E$5:$E$154,MATCH(B780,Malzemeler!$A$5:$A$154,0)),0))</f>
        <v/>
      </c>
    </row>
    <row r="781" customFormat="false" ht="15" hidden="false" customHeight="false" outlineLevel="0" collapsed="false">
      <c r="A781" s="20"/>
      <c r="B781" s="20"/>
      <c r="C781" s="21"/>
      <c r="D781" s="16" t="str">
        <f aca="false">IF(OR(A781="",B781="",C781=""),"",C781*IFERROR(INDEX(Malzemeler!$E$5:$E$154,MATCH(B781,Malzemeler!$A$5:$A$154,0)),0))</f>
        <v/>
      </c>
    </row>
    <row r="782" customFormat="false" ht="15" hidden="false" customHeight="false" outlineLevel="0" collapsed="false">
      <c r="A782" s="20"/>
      <c r="B782" s="20"/>
      <c r="C782" s="21"/>
      <c r="D782" s="16" t="str">
        <f aca="false">IF(OR(A782="",B782="",C782=""),"",C782*IFERROR(INDEX(Malzemeler!$E$5:$E$154,MATCH(B782,Malzemeler!$A$5:$A$154,0)),0))</f>
        <v/>
      </c>
    </row>
    <row r="783" customFormat="false" ht="15" hidden="false" customHeight="false" outlineLevel="0" collapsed="false">
      <c r="A783" s="20"/>
      <c r="B783" s="20"/>
      <c r="C783" s="21"/>
      <c r="D783" s="16" t="str">
        <f aca="false">IF(OR(A783="",B783="",C783=""),"",C783*IFERROR(INDEX(Malzemeler!$E$5:$E$154,MATCH(B783,Malzemeler!$A$5:$A$154,0)),0))</f>
        <v/>
      </c>
    </row>
    <row r="784" customFormat="false" ht="15" hidden="false" customHeight="false" outlineLevel="0" collapsed="false">
      <c r="A784" s="20"/>
      <c r="B784" s="20"/>
      <c r="C784" s="21"/>
      <c r="D784" s="16" t="str">
        <f aca="false">IF(OR(A784="",B784="",C784=""),"",C784*IFERROR(INDEX(Malzemeler!$E$5:$E$154,MATCH(B784,Malzemeler!$A$5:$A$154,0)),0))</f>
        <v/>
      </c>
    </row>
    <row r="785" customFormat="false" ht="15" hidden="false" customHeight="false" outlineLevel="0" collapsed="false">
      <c r="A785" s="20"/>
      <c r="B785" s="20"/>
      <c r="C785" s="21"/>
      <c r="D785" s="16" t="str">
        <f aca="false">IF(OR(A785="",B785="",C785=""),"",C785*IFERROR(INDEX(Malzemeler!$E$5:$E$154,MATCH(B785,Malzemeler!$A$5:$A$154,0)),0))</f>
        <v/>
      </c>
    </row>
    <row r="786" customFormat="false" ht="15" hidden="false" customHeight="false" outlineLevel="0" collapsed="false">
      <c r="A786" s="20"/>
      <c r="B786" s="20"/>
      <c r="C786" s="21"/>
      <c r="D786" s="16" t="str">
        <f aca="false">IF(OR(A786="",B786="",C786=""),"",C786*IFERROR(INDEX(Malzemeler!$E$5:$E$154,MATCH(B786,Malzemeler!$A$5:$A$154,0)),0))</f>
        <v/>
      </c>
    </row>
    <row r="787" customFormat="false" ht="15" hidden="false" customHeight="false" outlineLevel="0" collapsed="false">
      <c r="A787" s="20"/>
      <c r="B787" s="20"/>
      <c r="C787" s="21"/>
      <c r="D787" s="16" t="str">
        <f aca="false">IF(OR(A787="",B787="",C787=""),"",C787*IFERROR(INDEX(Malzemeler!$E$5:$E$154,MATCH(B787,Malzemeler!$A$5:$A$154,0)),0))</f>
        <v/>
      </c>
    </row>
    <row r="788" customFormat="false" ht="15" hidden="false" customHeight="false" outlineLevel="0" collapsed="false">
      <c r="A788" s="20"/>
      <c r="B788" s="20"/>
      <c r="C788" s="21"/>
      <c r="D788" s="16" t="str">
        <f aca="false">IF(OR(A788="",B788="",C788=""),"",C788*IFERROR(INDEX(Malzemeler!$E$5:$E$154,MATCH(B788,Malzemeler!$A$5:$A$154,0)),0))</f>
        <v/>
      </c>
    </row>
    <row r="789" customFormat="false" ht="15" hidden="false" customHeight="false" outlineLevel="0" collapsed="false">
      <c r="A789" s="20"/>
      <c r="B789" s="20"/>
      <c r="C789" s="21"/>
      <c r="D789" s="16" t="str">
        <f aca="false">IF(OR(A789="",B789="",C789=""),"",C789*IFERROR(INDEX(Malzemeler!$E$5:$E$154,MATCH(B789,Malzemeler!$A$5:$A$154,0)),0))</f>
        <v/>
      </c>
    </row>
    <row r="790" customFormat="false" ht="15" hidden="false" customHeight="false" outlineLevel="0" collapsed="false">
      <c r="A790" s="20"/>
      <c r="B790" s="20"/>
      <c r="C790" s="21"/>
      <c r="D790" s="16" t="str">
        <f aca="false">IF(OR(A790="",B790="",C790=""),"",C790*IFERROR(INDEX(Malzemeler!$E$5:$E$154,MATCH(B790,Malzemeler!$A$5:$A$154,0)),0))</f>
        <v/>
      </c>
    </row>
    <row r="791" customFormat="false" ht="15" hidden="false" customHeight="false" outlineLevel="0" collapsed="false">
      <c r="A791" s="20"/>
      <c r="B791" s="20"/>
      <c r="C791" s="21"/>
      <c r="D791" s="16" t="str">
        <f aca="false">IF(OR(A791="",B791="",C791=""),"",C791*IFERROR(INDEX(Malzemeler!$E$5:$E$154,MATCH(B791,Malzemeler!$A$5:$A$154,0)),0))</f>
        <v/>
      </c>
    </row>
    <row r="792" customFormat="false" ht="15" hidden="false" customHeight="false" outlineLevel="0" collapsed="false">
      <c r="A792" s="20"/>
      <c r="B792" s="20"/>
      <c r="C792" s="21"/>
      <c r="D792" s="16" t="str">
        <f aca="false">IF(OR(A792="",B792="",C792=""),"",C792*IFERROR(INDEX(Malzemeler!$E$5:$E$154,MATCH(B792,Malzemeler!$A$5:$A$154,0)),0))</f>
        <v/>
      </c>
    </row>
    <row r="793" customFormat="false" ht="15" hidden="false" customHeight="false" outlineLevel="0" collapsed="false">
      <c r="A793" s="20"/>
      <c r="B793" s="20"/>
      <c r="C793" s="21"/>
      <c r="D793" s="16" t="str">
        <f aca="false">IF(OR(A793="",B793="",C793=""),"",C793*IFERROR(INDEX(Malzemeler!$E$5:$E$154,MATCH(B793,Malzemeler!$A$5:$A$154,0)),0))</f>
        <v/>
      </c>
    </row>
    <row r="794" customFormat="false" ht="15" hidden="false" customHeight="false" outlineLevel="0" collapsed="false">
      <c r="A794" s="20"/>
      <c r="B794" s="20"/>
      <c r="C794" s="21"/>
      <c r="D794" s="16" t="str">
        <f aca="false">IF(OR(A794="",B794="",C794=""),"",C794*IFERROR(INDEX(Malzemeler!$E$5:$E$154,MATCH(B794,Malzemeler!$A$5:$A$154,0)),0))</f>
        <v/>
      </c>
    </row>
    <row r="795" customFormat="false" ht="15" hidden="false" customHeight="false" outlineLevel="0" collapsed="false">
      <c r="A795" s="20"/>
      <c r="B795" s="20"/>
      <c r="C795" s="21"/>
      <c r="D795" s="16" t="str">
        <f aca="false">IF(OR(A795="",B795="",C795=""),"",C795*IFERROR(INDEX(Malzemeler!$E$5:$E$154,MATCH(B795,Malzemeler!$A$5:$A$154,0)),0))</f>
        <v/>
      </c>
    </row>
    <row r="796" customFormat="false" ht="15" hidden="false" customHeight="false" outlineLevel="0" collapsed="false">
      <c r="A796" s="20"/>
      <c r="B796" s="20"/>
      <c r="C796" s="21"/>
      <c r="D796" s="16" t="str">
        <f aca="false">IF(OR(A796="",B796="",C796=""),"",C796*IFERROR(INDEX(Malzemeler!$E$5:$E$154,MATCH(B796,Malzemeler!$A$5:$A$154,0)),0))</f>
        <v/>
      </c>
    </row>
    <row r="797" customFormat="false" ht="15" hidden="false" customHeight="false" outlineLevel="0" collapsed="false">
      <c r="A797" s="20"/>
      <c r="B797" s="20"/>
      <c r="C797" s="21"/>
      <c r="D797" s="16" t="str">
        <f aca="false">IF(OR(A797="",B797="",C797=""),"",C797*IFERROR(INDEX(Malzemeler!$E$5:$E$154,MATCH(B797,Malzemeler!$A$5:$A$154,0)),0))</f>
        <v/>
      </c>
    </row>
    <row r="798" customFormat="false" ht="15" hidden="false" customHeight="false" outlineLevel="0" collapsed="false">
      <c r="A798" s="20"/>
      <c r="B798" s="20"/>
      <c r="C798" s="21"/>
      <c r="D798" s="16" t="str">
        <f aca="false">IF(OR(A798="",B798="",C798=""),"",C798*IFERROR(INDEX(Malzemeler!$E$5:$E$154,MATCH(B798,Malzemeler!$A$5:$A$154,0)),0))</f>
        <v/>
      </c>
    </row>
    <row r="799" customFormat="false" ht="15" hidden="false" customHeight="false" outlineLevel="0" collapsed="false">
      <c r="A799" s="20"/>
      <c r="B799" s="20"/>
      <c r="C799" s="21"/>
      <c r="D799" s="16" t="str">
        <f aca="false">IF(OR(A799="",B799="",C799=""),"",C799*IFERROR(INDEX(Malzemeler!$E$5:$E$154,MATCH(B799,Malzemeler!$A$5:$A$154,0)),0))</f>
        <v/>
      </c>
    </row>
    <row r="800" customFormat="false" ht="15" hidden="false" customHeight="false" outlineLevel="0" collapsed="false">
      <c r="A800" s="20"/>
      <c r="B800" s="20"/>
      <c r="C800" s="21"/>
      <c r="D800" s="16" t="str">
        <f aca="false">IF(OR(A800="",B800="",C800=""),"",C800*IFERROR(INDEX(Malzemeler!$E$5:$E$154,MATCH(B800,Malzemeler!$A$5:$A$154,0)),0))</f>
        <v/>
      </c>
    </row>
    <row r="801" customFormat="false" ht="15" hidden="false" customHeight="false" outlineLevel="0" collapsed="false">
      <c r="A801" s="20"/>
      <c r="B801" s="20"/>
      <c r="C801" s="21"/>
      <c r="D801" s="16" t="str">
        <f aca="false">IF(OR(A801="",B801="",C801=""),"",C801*IFERROR(INDEX(Malzemeler!$E$5:$E$154,MATCH(B801,Malzemeler!$A$5:$A$154,0)),0))</f>
        <v/>
      </c>
    </row>
    <row r="802" customFormat="false" ht="15" hidden="false" customHeight="false" outlineLevel="0" collapsed="false">
      <c r="A802" s="20"/>
      <c r="B802" s="20"/>
      <c r="C802" s="21"/>
      <c r="D802" s="16" t="str">
        <f aca="false">IF(OR(A802="",B802="",C802=""),"",C802*IFERROR(INDEX(Malzemeler!$E$5:$E$154,MATCH(B802,Malzemeler!$A$5:$A$154,0)),0))</f>
        <v/>
      </c>
    </row>
    <row r="803" customFormat="false" ht="15" hidden="false" customHeight="false" outlineLevel="0" collapsed="false">
      <c r="A803" s="20"/>
      <c r="B803" s="20"/>
      <c r="C803" s="21"/>
      <c r="D803" s="16" t="str">
        <f aca="false">IF(OR(A803="",B803="",C803=""),"",C803*IFERROR(INDEX(Malzemeler!$E$5:$E$154,MATCH(B803,Malzemeler!$A$5:$A$154,0)),0))</f>
        <v/>
      </c>
    </row>
    <row r="804" customFormat="false" ht="15" hidden="false" customHeight="false" outlineLevel="0" collapsed="false">
      <c r="A804" s="20"/>
      <c r="B804" s="20"/>
      <c r="C804" s="21"/>
      <c r="D804" s="16" t="str">
        <f aca="false">IF(OR(A804="",B804="",C804=""),"",C804*IFERROR(INDEX(Malzemeler!$E$5:$E$154,MATCH(B804,Malzemeler!$A$5:$A$154,0)),0))</f>
        <v/>
      </c>
    </row>
    <row r="805" customFormat="false" ht="15" hidden="false" customHeight="false" outlineLevel="0" collapsed="false">
      <c r="A805" s="20"/>
      <c r="B805" s="20"/>
      <c r="C805" s="21"/>
      <c r="D805" s="16" t="str">
        <f aca="false">IF(OR(A805="",B805="",C805=""),"",C805*IFERROR(INDEX(Malzemeler!$E$5:$E$154,MATCH(B805,Malzemeler!$A$5:$A$154,0)),0))</f>
        <v/>
      </c>
    </row>
    <row r="806" customFormat="false" ht="15" hidden="false" customHeight="false" outlineLevel="0" collapsed="false">
      <c r="A806" s="20"/>
      <c r="B806" s="20"/>
      <c r="C806" s="21"/>
      <c r="D806" s="16" t="str">
        <f aca="false">IF(OR(A806="",B806="",C806=""),"",C806*IFERROR(INDEX(Malzemeler!$E$5:$E$154,MATCH(B806,Malzemeler!$A$5:$A$154,0)),0))</f>
        <v/>
      </c>
    </row>
    <row r="807" customFormat="false" ht="15" hidden="false" customHeight="false" outlineLevel="0" collapsed="false">
      <c r="A807" s="20"/>
      <c r="B807" s="20"/>
      <c r="C807" s="21"/>
      <c r="D807" s="16" t="str">
        <f aca="false">IF(OR(A807="",B807="",C807=""),"",C807*IFERROR(INDEX(Malzemeler!$E$5:$E$154,MATCH(B807,Malzemeler!$A$5:$A$154,0)),0))</f>
        <v/>
      </c>
    </row>
    <row r="808" customFormat="false" ht="15" hidden="false" customHeight="false" outlineLevel="0" collapsed="false">
      <c r="A808" s="20"/>
      <c r="B808" s="20"/>
      <c r="C808" s="21"/>
      <c r="D808" s="16" t="str">
        <f aca="false">IF(OR(A808="",B808="",C808=""),"",C808*IFERROR(INDEX(Malzemeler!$E$5:$E$154,MATCH(B808,Malzemeler!$A$5:$A$154,0)),0))</f>
        <v/>
      </c>
    </row>
    <row r="809" customFormat="false" ht="15" hidden="false" customHeight="false" outlineLevel="0" collapsed="false">
      <c r="A809" s="20"/>
      <c r="B809" s="20"/>
      <c r="C809" s="21"/>
      <c r="D809" s="16" t="str">
        <f aca="false">IF(OR(A809="",B809="",C809=""),"",C809*IFERROR(INDEX(Malzemeler!$E$5:$E$154,MATCH(B809,Malzemeler!$A$5:$A$154,0)),0))</f>
        <v/>
      </c>
    </row>
    <row r="810" customFormat="false" ht="15" hidden="false" customHeight="false" outlineLevel="0" collapsed="false">
      <c r="A810" s="20"/>
      <c r="B810" s="20"/>
      <c r="C810" s="21"/>
      <c r="D810" s="16" t="str">
        <f aca="false">IF(OR(A810="",B810="",C810=""),"",C810*IFERROR(INDEX(Malzemeler!$E$5:$E$154,MATCH(B810,Malzemeler!$A$5:$A$154,0)),0))</f>
        <v/>
      </c>
    </row>
    <row r="811" customFormat="false" ht="15" hidden="false" customHeight="false" outlineLevel="0" collapsed="false">
      <c r="A811" s="20"/>
      <c r="B811" s="20"/>
      <c r="C811" s="21"/>
      <c r="D811" s="16" t="str">
        <f aca="false">IF(OR(A811="",B811="",C811=""),"",C811*IFERROR(INDEX(Malzemeler!$E$5:$E$154,MATCH(B811,Malzemeler!$A$5:$A$154,0)),0))</f>
        <v/>
      </c>
    </row>
    <row r="812" customFormat="false" ht="15" hidden="false" customHeight="false" outlineLevel="0" collapsed="false">
      <c r="A812" s="20"/>
      <c r="B812" s="20"/>
      <c r="C812" s="21"/>
      <c r="D812" s="16" t="str">
        <f aca="false">IF(OR(A812="",B812="",C812=""),"",C812*IFERROR(INDEX(Malzemeler!$E$5:$E$154,MATCH(B812,Malzemeler!$A$5:$A$154,0)),0))</f>
        <v/>
      </c>
    </row>
    <row r="813" customFormat="false" ht="15" hidden="false" customHeight="false" outlineLevel="0" collapsed="false">
      <c r="A813" s="20"/>
      <c r="B813" s="20"/>
      <c r="C813" s="21"/>
      <c r="D813" s="16" t="str">
        <f aca="false">IF(OR(A813="",B813="",C813=""),"",C813*IFERROR(INDEX(Malzemeler!$E$5:$E$154,MATCH(B813,Malzemeler!$A$5:$A$154,0)),0))</f>
        <v/>
      </c>
    </row>
    <row r="814" customFormat="false" ht="15" hidden="false" customHeight="false" outlineLevel="0" collapsed="false">
      <c r="A814" s="20"/>
      <c r="B814" s="20"/>
      <c r="C814" s="21"/>
      <c r="D814" s="16" t="str">
        <f aca="false">IF(OR(A814="",B814="",C814=""),"",C814*IFERROR(INDEX(Malzemeler!$E$5:$E$154,MATCH(B814,Malzemeler!$A$5:$A$154,0)),0))</f>
        <v/>
      </c>
    </row>
    <row r="815" customFormat="false" ht="15" hidden="false" customHeight="false" outlineLevel="0" collapsed="false">
      <c r="A815" s="20"/>
      <c r="B815" s="20"/>
      <c r="C815" s="21"/>
      <c r="D815" s="16" t="str">
        <f aca="false">IF(OR(A815="",B815="",C815=""),"",C815*IFERROR(INDEX(Malzemeler!$E$5:$E$154,MATCH(B815,Malzemeler!$A$5:$A$154,0)),0))</f>
        <v/>
      </c>
    </row>
    <row r="816" customFormat="false" ht="15" hidden="false" customHeight="false" outlineLevel="0" collapsed="false">
      <c r="A816" s="20"/>
      <c r="B816" s="20"/>
      <c r="C816" s="21"/>
      <c r="D816" s="16" t="str">
        <f aca="false">IF(OR(A816="",B816="",C816=""),"",C816*IFERROR(INDEX(Malzemeler!$E$5:$E$154,MATCH(B816,Malzemeler!$A$5:$A$154,0)),0))</f>
        <v/>
      </c>
    </row>
    <row r="817" customFormat="false" ht="15" hidden="false" customHeight="false" outlineLevel="0" collapsed="false">
      <c r="A817" s="20"/>
      <c r="B817" s="20"/>
      <c r="C817" s="21"/>
      <c r="D817" s="16" t="str">
        <f aca="false">IF(OR(A817="",B817="",C817=""),"",C817*IFERROR(INDEX(Malzemeler!$E$5:$E$154,MATCH(B817,Malzemeler!$A$5:$A$154,0)),0))</f>
        <v/>
      </c>
    </row>
    <row r="818" customFormat="false" ht="15" hidden="false" customHeight="false" outlineLevel="0" collapsed="false">
      <c r="A818" s="20"/>
      <c r="B818" s="20"/>
      <c r="C818" s="21"/>
      <c r="D818" s="16" t="str">
        <f aca="false">IF(OR(A818="",B818="",C818=""),"",C818*IFERROR(INDEX(Malzemeler!$E$5:$E$154,MATCH(B818,Malzemeler!$A$5:$A$154,0)),0))</f>
        <v/>
      </c>
    </row>
    <row r="819" customFormat="false" ht="15" hidden="false" customHeight="false" outlineLevel="0" collapsed="false">
      <c r="A819" s="20"/>
      <c r="B819" s="20"/>
      <c r="C819" s="21"/>
      <c r="D819" s="16" t="str">
        <f aca="false">IF(OR(A819="",B819="",C819=""),"",C819*IFERROR(INDEX(Malzemeler!$E$5:$E$154,MATCH(B819,Malzemeler!$A$5:$A$154,0)),0))</f>
        <v/>
      </c>
    </row>
    <row r="820" customFormat="false" ht="15" hidden="false" customHeight="false" outlineLevel="0" collapsed="false">
      <c r="A820" s="20"/>
      <c r="B820" s="20"/>
      <c r="C820" s="21"/>
      <c r="D820" s="16" t="str">
        <f aca="false">IF(OR(A820="",B820="",C820=""),"",C820*IFERROR(INDEX(Malzemeler!$E$5:$E$154,MATCH(B820,Malzemeler!$A$5:$A$154,0)),0))</f>
        <v/>
      </c>
    </row>
    <row r="821" customFormat="false" ht="15" hidden="false" customHeight="false" outlineLevel="0" collapsed="false">
      <c r="A821" s="20"/>
      <c r="B821" s="20"/>
      <c r="C821" s="21"/>
      <c r="D821" s="16" t="str">
        <f aca="false">IF(OR(A821="",B821="",C821=""),"",C821*IFERROR(INDEX(Malzemeler!$E$5:$E$154,MATCH(B821,Malzemeler!$A$5:$A$154,0)),0))</f>
        <v/>
      </c>
    </row>
    <row r="822" customFormat="false" ht="15" hidden="false" customHeight="false" outlineLevel="0" collapsed="false">
      <c r="A822" s="20"/>
      <c r="B822" s="20"/>
      <c r="C822" s="21"/>
      <c r="D822" s="16" t="str">
        <f aca="false">IF(OR(A822="",B822="",C822=""),"",C822*IFERROR(INDEX(Malzemeler!$E$5:$E$154,MATCH(B822,Malzemeler!$A$5:$A$154,0)),0))</f>
        <v/>
      </c>
    </row>
    <row r="823" customFormat="false" ht="15" hidden="false" customHeight="false" outlineLevel="0" collapsed="false">
      <c r="A823" s="20"/>
      <c r="B823" s="20"/>
      <c r="C823" s="21"/>
      <c r="D823" s="16" t="str">
        <f aca="false">IF(OR(A823="",B823="",C823=""),"",C823*IFERROR(INDEX(Malzemeler!$E$5:$E$154,MATCH(B823,Malzemeler!$A$5:$A$154,0)),0))</f>
        <v/>
      </c>
    </row>
    <row r="824" customFormat="false" ht="15" hidden="false" customHeight="false" outlineLevel="0" collapsed="false">
      <c r="A824" s="20"/>
      <c r="B824" s="20"/>
      <c r="C824" s="21"/>
      <c r="D824" s="16" t="str">
        <f aca="false">IF(OR(A824="",B824="",C824=""),"",C824*IFERROR(INDEX(Malzemeler!$E$5:$E$154,MATCH(B824,Malzemeler!$A$5:$A$154,0)),0))</f>
        <v/>
      </c>
    </row>
    <row r="825" customFormat="false" ht="15" hidden="false" customHeight="false" outlineLevel="0" collapsed="false">
      <c r="A825" s="20"/>
      <c r="B825" s="20"/>
      <c r="C825" s="21"/>
      <c r="D825" s="16" t="str">
        <f aca="false">IF(OR(A825="",B825="",C825=""),"",C825*IFERROR(INDEX(Malzemeler!$E$5:$E$154,MATCH(B825,Malzemeler!$A$5:$A$154,0)),0))</f>
        <v/>
      </c>
    </row>
    <row r="826" customFormat="false" ht="15" hidden="false" customHeight="false" outlineLevel="0" collapsed="false">
      <c r="A826" s="20"/>
      <c r="B826" s="20"/>
      <c r="C826" s="21"/>
      <c r="D826" s="16" t="str">
        <f aca="false">IF(OR(A826="",B826="",C826=""),"",C826*IFERROR(INDEX(Malzemeler!$E$5:$E$154,MATCH(B826,Malzemeler!$A$5:$A$154,0)),0))</f>
        <v/>
      </c>
    </row>
    <row r="827" customFormat="false" ht="15" hidden="false" customHeight="false" outlineLevel="0" collapsed="false">
      <c r="A827" s="20"/>
      <c r="B827" s="20"/>
      <c r="C827" s="21"/>
      <c r="D827" s="16" t="str">
        <f aca="false">IF(OR(A827="",B827="",C827=""),"",C827*IFERROR(INDEX(Malzemeler!$E$5:$E$154,MATCH(B827,Malzemeler!$A$5:$A$154,0)),0))</f>
        <v/>
      </c>
    </row>
    <row r="828" customFormat="false" ht="15" hidden="false" customHeight="false" outlineLevel="0" collapsed="false">
      <c r="A828" s="20"/>
      <c r="B828" s="20"/>
      <c r="C828" s="21"/>
      <c r="D828" s="16" t="str">
        <f aca="false">IF(OR(A828="",B828="",C828=""),"",C828*IFERROR(INDEX(Malzemeler!$E$5:$E$154,MATCH(B828,Malzemeler!$A$5:$A$154,0)),0))</f>
        <v/>
      </c>
    </row>
    <row r="829" customFormat="false" ht="15" hidden="false" customHeight="false" outlineLevel="0" collapsed="false">
      <c r="A829" s="20"/>
      <c r="B829" s="20"/>
      <c r="C829" s="21"/>
      <c r="D829" s="16" t="str">
        <f aca="false">IF(OR(A829="",B829="",C829=""),"",C829*IFERROR(INDEX(Malzemeler!$E$5:$E$154,MATCH(B829,Malzemeler!$A$5:$A$154,0)),0))</f>
        <v/>
      </c>
    </row>
    <row r="830" customFormat="false" ht="15" hidden="false" customHeight="false" outlineLevel="0" collapsed="false">
      <c r="A830" s="20"/>
      <c r="B830" s="20"/>
      <c r="C830" s="21"/>
      <c r="D830" s="16" t="str">
        <f aca="false">IF(OR(A830="",B830="",C830=""),"",C830*IFERROR(INDEX(Malzemeler!$E$5:$E$154,MATCH(B830,Malzemeler!$A$5:$A$154,0)),0))</f>
        <v/>
      </c>
    </row>
    <row r="831" customFormat="false" ht="15" hidden="false" customHeight="false" outlineLevel="0" collapsed="false">
      <c r="A831" s="20"/>
      <c r="B831" s="20"/>
      <c r="C831" s="21"/>
      <c r="D831" s="16" t="str">
        <f aca="false">IF(OR(A831="",B831="",C831=""),"",C831*IFERROR(INDEX(Malzemeler!$E$5:$E$154,MATCH(B831,Malzemeler!$A$5:$A$154,0)),0))</f>
        <v/>
      </c>
    </row>
    <row r="832" customFormat="false" ht="15" hidden="false" customHeight="false" outlineLevel="0" collapsed="false">
      <c r="A832" s="20"/>
      <c r="B832" s="20"/>
      <c r="C832" s="21"/>
      <c r="D832" s="16" t="str">
        <f aca="false">IF(OR(A832="",B832="",C832=""),"",C832*IFERROR(INDEX(Malzemeler!$E$5:$E$154,MATCH(B832,Malzemeler!$A$5:$A$154,0)),0))</f>
        <v/>
      </c>
    </row>
    <row r="833" customFormat="false" ht="15" hidden="false" customHeight="false" outlineLevel="0" collapsed="false">
      <c r="A833" s="20"/>
      <c r="B833" s="20"/>
      <c r="C833" s="21"/>
      <c r="D833" s="16" t="str">
        <f aca="false">IF(OR(A833="",B833="",C833=""),"",C833*IFERROR(INDEX(Malzemeler!$E$5:$E$154,MATCH(B833,Malzemeler!$A$5:$A$154,0)),0))</f>
        <v/>
      </c>
    </row>
    <row r="834" customFormat="false" ht="15" hidden="false" customHeight="false" outlineLevel="0" collapsed="false">
      <c r="A834" s="20"/>
      <c r="B834" s="20"/>
      <c r="C834" s="21"/>
      <c r="D834" s="16" t="str">
        <f aca="false">IF(OR(A834="",B834="",C834=""),"",C834*IFERROR(INDEX(Malzemeler!$E$5:$E$154,MATCH(B834,Malzemeler!$A$5:$A$154,0)),0))</f>
        <v/>
      </c>
    </row>
    <row r="835" customFormat="false" ht="15" hidden="false" customHeight="false" outlineLevel="0" collapsed="false">
      <c r="A835" s="20"/>
      <c r="B835" s="20"/>
      <c r="C835" s="21"/>
      <c r="D835" s="16" t="str">
        <f aca="false">IF(OR(A835="",B835="",C835=""),"",C835*IFERROR(INDEX(Malzemeler!$E$5:$E$154,MATCH(B835,Malzemeler!$A$5:$A$154,0)),0))</f>
        <v/>
      </c>
    </row>
    <row r="836" customFormat="false" ht="15" hidden="false" customHeight="false" outlineLevel="0" collapsed="false">
      <c r="A836" s="20"/>
      <c r="B836" s="20"/>
      <c r="C836" s="21"/>
      <c r="D836" s="16" t="str">
        <f aca="false">IF(OR(A836="",B836="",C836=""),"",C836*IFERROR(INDEX(Malzemeler!$E$5:$E$154,MATCH(B836,Malzemeler!$A$5:$A$154,0)),0))</f>
        <v/>
      </c>
    </row>
    <row r="837" customFormat="false" ht="15" hidden="false" customHeight="false" outlineLevel="0" collapsed="false">
      <c r="A837" s="20"/>
      <c r="B837" s="20"/>
      <c r="C837" s="21"/>
      <c r="D837" s="16" t="str">
        <f aca="false">IF(OR(A837="",B837="",C837=""),"",C837*IFERROR(INDEX(Malzemeler!$E$5:$E$154,MATCH(B837,Malzemeler!$A$5:$A$154,0)),0))</f>
        <v/>
      </c>
    </row>
    <row r="838" customFormat="false" ht="15" hidden="false" customHeight="false" outlineLevel="0" collapsed="false">
      <c r="A838" s="20"/>
      <c r="B838" s="20"/>
      <c r="C838" s="21"/>
      <c r="D838" s="16" t="str">
        <f aca="false">IF(OR(A838="",B838="",C838=""),"",C838*IFERROR(INDEX(Malzemeler!$E$5:$E$154,MATCH(B838,Malzemeler!$A$5:$A$154,0)),0))</f>
        <v/>
      </c>
    </row>
    <row r="839" customFormat="false" ht="15" hidden="false" customHeight="false" outlineLevel="0" collapsed="false">
      <c r="A839" s="20"/>
      <c r="B839" s="20"/>
      <c r="C839" s="21"/>
      <c r="D839" s="16" t="str">
        <f aca="false">IF(OR(A839="",B839="",C839=""),"",C839*IFERROR(INDEX(Malzemeler!$E$5:$E$154,MATCH(B839,Malzemeler!$A$5:$A$154,0)),0))</f>
        <v/>
      </c>
    </row>
    <row r="840" customFormat="false" ht="15" hidden="false" customHeight="false" outlineLevel="0" collapsed="false">
      <c r="A840" s="20"/>
      <c r="B840" s="20"/>
      <c r="C840" s="21"/>
      <c r="D840" s="16" t="str">
        <f aca="false">IF(OR(A840="",B840="",C840=""),"",C840*IFERROR(INDEX(Malzemeler!$E$5:$E$154,MATCH(B840,Malzemeler!$A$5:$A$154,0)),0))</f>
        <v/>
      </c>
    </row>
    <row r="841" customFormat="false" ht="15" hidden="false" customHeight="false" outlineLevel="0" collapsed="false">
      <c r="A841" s="20"/>
      <c r="B841" s="20"/>
      <c r="C841" s="21"/>
      <c r="D841" s="16" t="str">
        <f aca="false">IF(OR(A841="",B841="",C841=""),"",C841*IFERROR(INDEX(Malzemeler!$E$5:$E$154,MATCH(B841,Malzemeler!$A$5:$A$154,0)),0))</f>
        <v/>
      </c>
    </row>
    <row r="842" customFormat="false" ht="15" hidden="false" customHeight="false" outlineLevel="0" collapsed="false">
      <c r="A842" s="20"/>
      <c r="B842" s="20"/>
      <c r="C842" s="21"/>
      <c r="D842" s="16" t="str">
        <f aca="false">IF(OR(A842="",B842="",C842=""),"",C842*IFERROR(INDEX(Malzemeler!$E$5:$E$154,MATCH(B842,Malzemeler!$A$5:$A$154,0)),0))</f>
        <v/>
      </c>
    </row>
    <row r="843" customFormat="false" ht="15" hidden="false" customHeight="false" outlineLevel="0" collapsed="false">
      <c r="A843" s="20"/>
      <c r="B843" s="20"/>
      <c r="C843" s="21"/>
      <c r="D843" s="16" t="str">
        <f aca="false">IF(OR(A843="",B843="",C843=""),"",C843*IFERROR(INDEX(Malzemeler!$E$5:$E$154,MATCH(B843,Malzemeler!$A$5:$A$154,0)),0))</f>
        <v/>
      </c>
    </row>
    <row r="844" customFormat="false" ht="15" hidden="false" customHeight="false" outlineLevel="0" collapsed="false">
      <c r="A844" s="20"/>
      <c r="B844" s="20"/>
      <c r="C844" s="21"/>
      <c r="D844" s="16" t="str">
        <f aca="false">IF(OR(A844="",B844="",C844=""),"",C844*IFERROR(INDEX(Malzemeler!$E$5:$E$154,MATCH(B844,Malzemeler!$A$5:$A$154,0)),0))</f>
        <v/>
      </c>
    </row>
    <row r="845" customFormat="false" ht="15" hidden="false" customHeight="false" outlineLevel="0" collapsed="false">
      <c r="A845" s="20"/>
      <c r="B845" s="20"/>
      <c r="C845" s="21"/>
      <c r="D845" s="16" t="str">
        <f aca="false">IF(OR(A845="",B845="",C845=""),"",C845*IFERROR(INDEX(Malzemeler!$E$5:$E$154,MATCH(B845,Malzemeler!$A$5:$A$154,0)),0))</f>
        <v/>
      </c>
    </row>
    <row r="846" customFormat="false" ht="15" hidden="false" customHeight="false" outlineLevel="0" collapsed="false">
      <c r="A846" s="20"/>
      <c r="B846" s="20"/>
      <c r="C846" s="21"/>
      <c r="D846" s="16" t="str">
        <f aca="false">IF(OR(A846="",B846="",C846=""),"",C846*IFERROR(INDEX(Malzemeler!$E$5:$E$154,MATCH(B846,Malzemeler!$A$5:$A$154,0)),0))</f>
        <v/>
      </c>
    </row>
    <row r="847" customFormat="false" ht="15" hidden="false" customHeight="false" outlineLevel="0" collapsed="false">
      <c r="A847" s="20"/>
      <c r="B847" s="20"/>
      <c r="C847" s="21"/>
      <c r="D847" s="16" t="str">
        <f aca="false">IF(OR(A847="",B847="",C847=""),"",C847*IFERROR(INDEX(Malzemeler!$E$5:$E$154,MATCH(B847,Malzemeler!$A$5:$A$154,0)),0))</f>
        <v/>
      </c>
    </row>
    <row r="848" customFormat="false" ht="15" hidden="false" customHeight="false" outlineLevel="0" collapsed="false">
      <c r="A848" s="20"/>
      <c r="B848" s="20"/>
      <c r="C848" s="21"/>
      <c r="D848" s="16" t="str">
        <f aca="false">IF(OR(A848="",B848="",C848=""),"",C848*IFERROR(INDEX(Malzemeler!$E$5:$E$154,MATCH(B848,Malzemeler!$A$5:$A$154,0)),0))</f>
        <v/>
      </c>
    </row>
    <row r="849" customFormat="false" ht="15" hidden="false" customHeight="false" outlineLevel="0" collapsed="false">
      <c r="A849" s="20"/>
      <c r="B849" s="20"/>
      <c r="C849" s="21"/>
      <c r="D849" s="16" t="str">
        <f aca="false">IF(OR(A849="",B849="",C849=""),"",C849*IFERROR(INDEX(Malzemeler!$E$5:$E$154,MATCH(B849,Malzemeler!$A$5:$A$154,0)),0))</f>
        <v/>
      </c>
    </row>
    <row r="850" customFormat="false" ht="15" hidden="false" customHeight="false" outlineLevel="0" collapsed="false">
      <c r="A850" s="20"/>
      <c r="B850" s="20"/>
      <c r="C850" s="21"/>
      <c r="D850" s="16" t="str">
        <f aca="false">IF(OR(A850="",B850="",C850=""),"",C850*IFERROR(INDEX(Malzemeler!$E$5:$E$154,MATCH(B850,Malzemeler!$A$5:$A$154,0)),0))</f>
        <v/>
      </c>
    </row>
    <row r="851" customFormat="false" ht="15" hidden="false" customHeight="false" outlineLevel="0" collapsed="false">
      <c r="A851" s="20"/>
      <c r="B851" s="20"/>
      <c r="C851" s="21"/>
      <c r="D851" s="16" t="str">
        <f aca="false">IF(OR(A851="",B851="",C851=""),"",C851*IFERROR(INDEX(Malzemeler!$E$5:$E$154,MATCH(B851,Malzemeler!$A$5:$A$154,0)),0))</f>
        <v/>
      </c>
    </row>
    <row r="852" customFormat="false" ht="15" hidden="false" customHeight="false" outlineLevel="0" collapsed="false">
      <c r="A852" s="20"/>
      <c r="B852" s="20"/>
      <c r="C852" s="21"/>
      <c r="D852" s="16" t="str">
        <f aca="false">IF(OR(A852="",B852="",C852=""),"",C852*IFERROR(INDEX(Malzemeler!$E$5:$E$154,MATCH(B852,Malzemeler!$A$5:$A$154,0)),0))</f>
        <v/>
      </c>
    </row>
    <row r="853" customFormat="false" ht="15" hidden="false" customHeight="false" outlineLevel="0" collapsed="false">
      <c r="A853" s="20"/>
      <c r="B853" s="20"/>
      <c r="C853" s="21"/>
      <c r="D853" s="16" t="str">
        <f aca="false">IF(OR(A853="",B853="",C853=""),"",C853*IFERROR(INDEX(Malzemeler!$E$5:$E$154,MATCH(B853,Malzemeler!$A$5:$A$154,0)),0))</f>
        <v/>
      </c>
    </row>
    <row r="854" customFormat="false" ht="15" hidden="false" customHeight="false" outlineLevel="0" collapsed="false">
      <c r="A854" s="20"/>
      <c r="B854" s="20"/>
      <c r="C854" s="21"/>
      <c r="D854" s="16" t="str">
        <f aca="false">IF(OR(A854="",B854="",C854=""),"",C854*IFERROR(INDEX(Malzemeler!$E$5:$E$154,MATCH(B854,Malzemeler!$A$5:$A$154,0)),0))</f>
        <v/>
      </c>
    </row>
    <row r="855" customFormat="false" ht="15" hidden="false" customHeight="false" outlineLevel="0" collapsed="false">
      <c r="A855" s="20"/>
      <c r="B855" s="20"/>
      <c r="C855" s="21"/>
      <c r="D855" s="16" t="str">
        <f aca="false">IF(OR(A855="",B855="",C855=""),"",C855*IFERROR(INDEX(Malzemeler!$E$5:$E$154,MATCH(B855,Malzemeler!$A$5:$A$154,0)),0))</f>
        <v/>
      </c>
    </row>
    <row r="856" customFormat="false" ht="15" hidden="false" customHeight="false" outlineLevel="0" collapsed="false">
      <c r="A856" s="20"/>
      <c r="B856" s="20"/>
      <c r="C856" s="21"/>
      <c r="D856" s="16" t="str">
        <f aca="false">IF(OR(A856="",B856="",C856=""),"",C856*IFERROR(INDEX(Malzemeler!$E$5:$E$154,MATCH(B856,Malzemeler!$A$5:$A$154,0)),0))</f>
        <v/>
      </c>
    </row>
    <row r="857" customFormat="false" ht="15" hidden="false" customHeight="false" outlineLevel="0" collapsed="false">
      <c r="A857" s="20"/>
      <c r="B857" s="20"/>
      <c r="C857" s="21"/>
      <c r="D857" s="16" t="str">
        <f aca="false">IF(OR(A857="",B857="",C857=""),"",C857*IFERROR(INDEX(Malzemeler!$E$5:$E$154,MATCH(B857,Malzemeler!$A$5:$A$154,0)),0))</f>
        <v/>
      </c>
    </row>
    <row r="858" customFormat="false" ht="15" hidden="false" customHeight="false" outlineLevel="0" collapsed="false">
      <c r="A858" s="20"/>
      <c r="B858" s="20"/>
      <c r="C858" s="21"/>
      <c r="D858" s="16" t="str">
        <f aca="false">IF(OR(A858="",B858="",C858=""),"",C858*IFERROR(INDEX(Malzemeler!$E$5:$E$154,MATCH(B858,Malzemeler!$A$5:$A$154,0)),0))</f>
        <v/>
      </c>
    </row>
    <row r="859" customFormat="false" ht="15" hidden="false" customHeight="false" outlineLevel="0" collapsed="false">
      <c r="A859" s="20"/>
      <c r="B859" s="20"/>
      <c r="C859" s="21"/>
      <c r="D859" s="16" t="str">
        <f aca="false">IF(OR(A859="",B859="",C859=""),"",C859*IFERROR(INDEX(Malzemeler!$E$5:$E$154,MATCH(B859,Malzemeler!$A$5:$A$154,0)),0))</f>
        <v/>
      </c>
    </row>
    <row r="860" customFormat="false" ht="15" hidden="false" customHeight="false" outlineLevel="0" collapsed="false">
      <c r="A860" s="20"/>
      <c r="B860" s="20"/>
      <c r="C860" s="21"/>
      <c r="D860" s="16" t="str">
        <f aca="false">IF(OR(A860="",B860="",C860=""),"",C860*IFERROR(INDEX(Malzemeler!$E$5:$E$154,MATCH(B860,Malzemeler!$A$5:$A$154,0)),0))</f>
        <v/>
      </c>
    </row>
    <row r="861" customFormat="false" ht="15" hidden="false" customHeight="false" outlineLevel="0" collapsed="false">
      <c r="A861" s="20"/>
      <c r="B861" s="20"/>
      <c r="C861" s="21"/>
      <c r="D861" s="16" t="str">
        <f aca="false">IF(OR(A861="",B861="",C861=""),"",C861*IFERROR(INDEX(Malzemeler!$E$5:$E$154,MATCH(B861,Malzemeler!$A$5:$A$154,0)),0))</f>
        <v/>
      </c>
    </row>
    <row r="862" customFormat="false" ht="15" hidden="false" customHeight="false" outlineLevel="0" collapsed="false">
      <c r="A862" s="20"/>
      <c r="B862" s="20"/>
      <c r="C862" s="21"/>
      <c r="D862" s="16" t="str">
        <f aca="false">IF(OR(A862="",B862="",C862=""),"",C862*IFERROR(INDEX(Malzemeler!$E$5:$E$154,MATCH(B862,Malzemeler!$A$5:$A$154,0)),0))</f>
        <v/>
      </c>
    </row>
    <row r="863" customFormat="false" ht="15" hidden="false" customHeight="false" outlineLevel="0" collapsed="false">
      <c r="A863" s="20"/>
      <c r="B863" s="20"/>
      <c r="C863" s="21"/>
      <c r="D863" s="16" t="str">
        <f aca="false">IF(OR(A863="",B863="",C863=""),"",C863*IFERROR(INDEX(Malzemeler!$E$5:$E$154,MATCH(B863,Malzemeler!$A$5:$A$154,0)),0))</f>
        <v/>
      </c>
    </row>
    <row r="864" customFormat="false" ht="15" hidden="false" customHeight="false" outlineLevel="0" collapsed="false">
      <c r="A864" s="20"/>
      <c r="B864" s="20"/>
      <c r="C864" s="21"/>
      <c r="D864" s="16" t="str">
        <f aca="false">IF(OR(A864="",B864="",C864=""),"",C864*IFERROR(INDEX(Malzemeler!$E$5:$E$154,MATCH(B864,Malzemeler!$A$5:$A$154,0)),0))</f>
        <v/>
      </c>
    </row>
    <row r="865" customFormat="false" ht="15" hidden="false" customHeight="false" outlineLevel="0" collapsed="false">
      <c r="A865" s="20"/>
      <c r="B865" s="20"/>
      <c r="C865" s="21"/>
      <c r="D865" s="16" t="str">
        <f aca="false">IF(OR(A865="",B865="",C865=""),"",C865*IFERROR(INDEX(Malzemeler!$E$5:$E$154,MATCH(B865,Malzemeler!$A$5:$A$154,0)),0))</f>
        <v/>
      </c>
    </row>
    <row r="866" customFormat="false" ht="15" hidden="false" customHeight="false" outlineLevel="0" collapsed="false">
      <c r="A866" s="20"/>
      <c r="B866" s="20"/>
      <c r="C866" s="21"/>
      <c r="D866" s="16" t="str">
        <f aca="false">IF(OR(A866="",B866="",C866=""),"",C866*IFERROR(INDEX(Malzemeler!$E$5:$E$154,MATCH(B866,Malzemeler!$A$5:$A$154,0)),0))</f>
        <v/>
      </c>
    </row>
    <row r="867" customFormat="false" ht="15" hidden="false" customHeight="false" outlineLevel="0" collapsed="false">
      <c r="A867" s="20"/>
      <c r="B867" s="20"/>
      <c r="C867" s="21"/>
      <c r="D867" s="16" t="str">
        <f aca="false">IF(OR(A867="",B867="",C867=""),"",C867*IFERROR(INDEX(Malzemeler!$E$5:$E$154,MATCH(B867,Malzemeler!$A$5:$A$154,0)),0))</f>
        <v/>
      </c>
    </row>
    <row r="868" customFormat="false" ht="15" hidden="false" customHeight="false" outlineLevel="0" collapsed="false">
      <c r="A868" s="20"/>
      <c r="B868" s="20"/>
      <c r="C868" s="21"/>
      <c r="D868" s="16" t="str">
        <f aca="false">IF(OR(A868="",B868="",C868=""),"",C868*IFERROR(INDEX(Malzemeler!$E$5:$E$154,MATCH(B868,Malzemeler!$A$5:$A$154,0)),0))</f>
        <v/>
      </c>
    </row>
    <row r="869" customFormat="false" ht="15" hidden="false" customHeight="false" outlineLevel="0" collapsed="false">
      <c r="A869" s="20"/>
      <c r="B869" s="20"/>
      <c r="C869" s="21"/>
      <c r="D869" s="16" t="str">
        <f aca="false">IF(OR(A869="",B869="",C869=""),"",C869*IFERROR(INDEX(Malzemeler!$E$5:$E$154,MATCH(B869,Malzemeler!$A$5:$A$154,0)),0))</f>
        <v/>
      </c>
    </row>
    <row r="870" customFormat="false" ht="15" hidden="false" customHeight="false" outlineLevel="0" collapsed="false">
      <c r="A870" s="20"/>
      <c r="B870" s="20"/>
      <c r="C870" s="21"/>
      <c r="D870" s="16" t="str">
        <f aca="false">IF(OR(A870="",B870="",C870=""),"",C870*IFERROR(INDEX(Malzemeler!$E$5:$E$154,MATCH(B870,Malzemeler!$A$5:$A$154,0)),0))</f>
        <v/>
      </c>
    </row>
    <row r="871" customFormat="false" ht="15" hidden="false" customHeight="false" outlineLevel="0" collapsed="false">
      <c r="A871" s="20"/>
      <c r="B871" s="20"/>
      <c r="C871" s="21"/>
      <c r="D871" s="16" t="str">
        <f aca="false">IF(OR(A871="",B871="",C871=""),"",C871*IFERROR(INDEX(Malzemeler!$E$5:$E$154,MATCH(B871,Malzemeler!$A$5:$A$154,0)),0))</f>
        <v/>
      </c>
    </row>
    <row r="872" customFormat="false" ht="15" hidden="false" customHeight="false" outlineLevel="0" collapsed="false">
      <c r="A872" s="20"/>
      <c r="B872" s="20"/>
      <c r="C872" s="21"/>
      <c r="D872" s="16" t="str">
        <f aca="false">IF(OR(A872="",B872="",C872=""),"",C872*IFERROR(INDEX(Malzemeler!$E$5:$E$154,MATCH(B872,Malzemeler!$A$5:$A$154,0)),0))</f>
        <v/>
      </c>
    </row>
    <row r="873" customFormat="false" ht="15" hidden="false" customHeight="false" outlineLevel="0" collapsed="false">
      <c r="A873" s="20"/>
      <c r="B873" s="20"/>
      <c r="C873" s="21"/>
      <c r="D873" s="16" t="str">
        <f aca="false">IF(OR(A873="",B873="",C873=""),"",C873*IFERROR(INDEX(Malzemeler!$E$5:$E$154,MATCH(B873,Malzemeler!$A$5:$A$154,0)),0))</f>
        <v/>
      </c>
    </row>
    <row r="874" customFormat="false" ht="15" hidden="false" customHeight="false" outlineLevel="0" collapsed="false">
      <c r="A874" s="20"/>
      <c r="B874" s="20"/>
      <c r="C874" s="21"/>
      <c r="D874" s="16" t="str">
        <f aca="false">IF(OR(A874="",B874="",C874=""),"",C874*IFERROR(INDEX(Malzemeler!$E$5:$E$154,MATCH(B874,Malzemeler!$A$5:$A$154,0)),0))</f>
        <v/>
      </c>
    </row>
    <row r="875" customFormat="false" ht="15" hidden="false" customHeight="false" outlineLevel="0" collapsed="false">
      <c r="A875" s="20"/>
      <c r="B875" s="20"/>
      <c r="C875" s="21"/>
      <c r="D875" s="16" t="str">
        <f aca="false">IF(OR(A875="",B875="",C875=""),"",C875*IFERROR(INDEX(Malzemeler!$E$5:$E$154,MATCH(B875,Malzemeler!$A$5:$A$154,0)),0))</f>
        <v/>
      </c>
    </row>
    <row r="876" customFormat="false" ht="15" hidden="false" customHeight="false" outlineLevel="0" collapsed="false">
      <c r="A876" s="20"/>
      <c r="B876" s="20"/>
      <c r="C876" s="21"/>
      <c r="D876" s="16" t="str">
        <f aca="false">IF(OR(A876="",B876="",C876=""),"",C876*IFERROR(INDEX(Malzemeler!$E$5:$E$154,MATCH(B876,Malzemeler!$A$5:$A$154,0)),0))</f>
        <v/>
      </c>
    </row>
    <row r="877" customFormat="false" ht="15" hidden="false" customHeight="false" outlineLevel="0" collapsed="false">
      <c r="A877" s="20"/>
      <c r="B877" s="20"/>
      <c r="C877" s="21"/>
      <c r="D877" s="16" t="str">
        <f aca="false">IF(OR(A877="",B877="",C877=""),"",C877*IFERROR(INDEX(Malzemeler!$E$5:$E$154,MATCH(B877,Malzemeler!$A$5:$A$154,0)),0))</f>
        <v/>
      </c>
    </row>
    <row r="878" customFormat="false" ht="15" hidden="false" customHeight="false" outlineLevel="0" collapsed="false">
      <c r="A878" s="20"/>
      <c r="B878" s="20"/>
      <c r="C878" s="21"/>
      <c r="D878" s="16" t="str">
        <f aca="false">IF(OR(A878="",B878="",C878=""),"",C878*IFERROR(INDEX(Malzemeler!$E$5:$E$154,MATCH(B878,Malzemeler!$A$5:$A$154,0)),0))</f>
        <v/>
      </c>
    </row>
    <row r="879" customFormat="false" ht="15" hidden="false" customHeight="false" outlineLevel="0" collapsed="false">
      <c r="A879" s="20"/>
      <c r="B879" s="20"/>
      <c r="C879" s="21"/>
      <c r="D879" s="16" t="str">
        <f aca="false">IF(OR(A879="",B879="",C879=""),"",C879*IFERROR(INDEX(Malzemeler!$E$5:$E$154,MATCH(B879,Malzemeler!$A$5:$A$154,0)),0))</f>
        <v/>
      </c>
    </row>
    <row r="880" customFormat="false" ht="15" hidden="false" customHeight="false" outlineLevel="0" collapsed="false">
      <c r="A880" s="20"/>
      <c r="B880" s="20"/>
      <c r="C880" s="21"/>
      <c r="D880" s="16" t="str">
        <f aca="false">IF(OR(A880="",B880="",C880=""),"",C880*IFERROR(INDEX(Malzemeler!$E$5:$E$154,MATCH(B880,Malzemeler!$A$5:$A$154,0)),0))</f>
        <v/>
      </c>
    </row>
    <row r="881" customFormat="false" ht="15" hidden="false" customHeight="false" outlineLevel="0" collapsed="false">
      <c r="A881" s="20"/>
      <c r="B881" s="20"/>
      <c r="C881" s="21"/>
      <c r="D881" s="16" t="str">
        <f aca="false">IF(OR(A881="",B881="",C881=""),"",C881*IFERROR(INDEX(Malzemeler!$E$5:$E$154,MATCH(B881,Malzemeler!$A$5:$A$154,0)),0))</f>
        <v/>
      </c>
    </row>
    <row r="882" customFormat="false" ht="15" hidden="false" customHeight="false" outlineLevel="0" collapsed="false">
      <c r="A882" s="20"/>
      <c r="B882" s="20"/>
      <c r="C882" s="21"/>
      <c r="D882" s="16" t="str">
        <f aca="false">IF(OR(A882="",B882="",C882=""),"",C882*IFERROR(INDEX(Malzemeler!$E$5:$E$154,MATCH(B882,Malzemeler!$A$5:$A$154,0)),0))</f>
        <v/>
      </c>
    </row>
    <row r="883" customFormat="false" ht="15" hidden="false" customHeight="false" outlineLevel="0" collapsed="false">
      <c r="A883" s="20"/>
      <c r="B883" s="20"/>
      <c r="C883" s="21"/>
      <c r="D883" s="16" t="str">
        <f aca="false">IF(OR(A883="",B883="",C883=""),"",C883*IFERROR(INDEX(Malzemeler!$E$5:$E$154,MATCH(B883,Malzemeler!$A$5:$A$154,0)),0))</f>
        <v/>
      </c>
    </row>
    <row r="884" customFormat="false" ht="15" hidden="false" customHeight="false" outlineLevel="0" collapsed="false">
      <c r="A884" s="20"/>
      <c r="B884" s="20"/>
      <c r="C884" s="21"/>
      <c r="D884" s="16" t="str">
        <f aca="false">IF(OR(A884="",B884="",C884=""),"",C884*IFERROR(INDEX(Malzemeler!$E$5:$E$154,MATCH(B884,Malzemeler!$A$5:$A$154,0)),0))</f>
        <v/>
      </c>
    </row>
    <row r="885" customFormat="false" ht="15" hidden="false" customHeight="false" outlineLevel="0" collapsed="false">
      <c r="A885" s="20"/>
      <c r="B885" s="20"/>
      <c r="C885" s="21"/>
      <c r="D885" s="16" t="str">
        <f aca="false">IF(OR(A885="",B885="",C885=""),"",C885*IFERROR(INDEX(Malzemeler!$E$5:$E$154,MATCH(B885,Malzemeler!$A$5:$A$154,0)),0))</f>
        <v/>
      </c>
    </row>
    <row r="886" customFormat="false" ht="15" hidden="false" customHeight="false" outlineLevel="0" collapsed="false">
      <c r="A886" s="20"/>
      <c r="B886" s="20"/>
      <c r="C886" s="21"/>
      <c r="D886" s="16" t="str">
        <f aca="false">IF(OR(A886="",B886="",C886=""),"",C886*IFERROR(INDEX(Malzemeler!$E$5:$E$154,MATCH(B886,Malzemeler!$A$5:$A$154,0)),0))</f>
        <v/>
      </c>
    </row>
    <row r="887" customFormat="false" ht="15" hidden="false" customHeight="false" outlineLevel="0" collapsed="false">
      <c r="A887" s="20"/>
      <c r="B887" s="20"/>
      <c r="C887" s="21"/>
      <c r="D887" s="16" t="str">
        <f aca="false">IF(OR(A887="",B887="",C887=""),"",C887*IFERROR(INDEX(Malzemeler!$E$5:$E$154,MATCH(B887,Malzemeler!$A$5:$A$154,0)),0))</f>
        <v/>
      </c>
    </row>
    <row r="888" customFormat="false" ht="15" hidden="false" customHeight="false" outlineLevel="0" collapsed="false">
      <c r="A888" s="20"/>
      <c r="B888" s="20"/>
      <c r="C888" s="21"/>
      <c r="D888" s="16" t="str">
        <f aca="false">IF(OR(A888="",B888="",C888=""),"",C888*IFERROR(INDEX(Malzemeler!$E$5:$E$154,MATCH(B888,Malzemeler!$A$5:$A$154,0)),0))</f>
        <v/>
      </c>
    </row>
    <row r="889" customFormat="false" ht="15" hidden="false" customHeight="false" outlineLevel="0" collapsed="false">
      <c r="A889" s="20"/>
      <c r="B889" s="20"/>
      <c r="C889" s="21"/>
      <c r="D889" s="16" t="str">
        <f aca="false">IF(OR(A889="",B889="",C889=""),"",C889*IFERROR(INDEX(Malzemeler!$E$5:$E$154,MATCH(B889,Malzemeler!$A$5:$A$154,0)),0))</f>
        <v/>
      </c>
    </row>
    <row r="890" customFormat="false" ht="15" hidden="false" customHeight="false" outlineLevel="0" collapsed="false">
      <c r="A890" s="20"/>
      <c r="B890" s="20"/>
      <c r="C890" s="21"/>
      <c r="D890" s="16" t="str">
        <f aca="false">IF(OR(A890="",B890="",C890=""),"",C890*IFERROR(INDEX(Malzemeler!$E$5:$E$154,MATCH(B890,Malzemeler!$A$5:$A$154,0)),0))</f>
        <v/>
      </c>
    </row>
    <row r="891" customFormat="false" ht="15" hidden="false" customHeight="false" outlineLevel="0" collapsed="false">
      <c r="A891" s="20"/>
      <c r="B891" s="20"/>
      <c r="C891" s="21"/>
      <c r="D891" s="16" t="str">
        <f aca="false">IF(OR(A891="",B891="",C891=""),"",C891*IFERROR(INDEX(Malzemeler!$E$5:$E$154,MATCH(B891,Malzemeler!$A$5:$A$154,0)),0))</f>
        <v/>
      </c>
    </row>
    <row r="892" customFormat="false" ht="15" hidden="false" customHeight="false" outlineLevel="0" collapsed="false">
      <c r="A892" s="20"/>
      <c r="B892" s="20"/>
      <c r="C892" s="21"/>
      <c r="D892" s="16" t="str">
        <f aca="false">IF(OR(A892="",B892="",C892=""),"",C892*IFERROR(INDEX(Malzemeler!$E$5:$E$154,MATCH(B892,Malzemeler!$A$5:$A$154,0)),0))</f>
        <v/>
      </c>
    </row>
    <row r="893" customFormat="false" ht="15" hidden="false" customHeight="false" outlineLevel="0" collapsed="false">
      <c r="A893" s="20"/>
      <c r="B893" s="20"/>
      <c r="C893" s="21"/>
      <c r="D893" s="16" t="str">
        <f aca="false">IF(OR(A893="",B893="",C893=""),"",C893*IFERROR(INDEX(Malzemeler!$E$5:$E$154,MATCH(B893,Malzemeler!$A$5:$A$154,0)),0))</f>
        <v/>
      </c>
    </row>
    <row r="894" customFormat="false" ht="15" hidden="false" customHeight="false" outlineLevel="0" collapsed="false">
      <c r="A894" s="20"/>
      <c r="B894" s="20"/>
      <c r="C894" s="21"/>
      <c r="D894" s="16" t="str">
        <f aca="false">IF(OR(A894="",B894="",C894=""),"",C894*IFERROR(INDEX(Malzemeler!$E$5:$E$154,MATCH(B894,Malzemeler!$A$5:$A$154,0)),0))</f>
        <v/>
      </c>
    </row>
    <row r="895" customFormat="false" ht="15" hidden="false" customHeight="false" outlineLevel="0" collapsed="false">
      <c r="A895" s="20"/>
      <c r="B895" s="20"/>
      <c r="C895" s="21"/>
      <c r="D895" s="16" t="str">
        <f aca="false">IF(OR(A895="",B895="",C895=""),"",C895*IFERROR(INDEX(Malzemeler!$E$5:$E$154,MATCH(B895,Malzemeler!$A$5:$A$154,0)),0))</f>
        <v/>
      </c>
    </row>
    <row r="896" customFormat="false" ht="15" hidden="false" customHeight="false" outlineLevel="0" collapsed="false">
      <c r="A896" s="20"/>
      <c r="B896" s="20"/>
      <c r="C896" s="21"/>
      <c r="D896" s="16" t="str">
        <f aca="false">IF(OR(A896="",B896="",C896=""),"",C896*IFERROR(INDEX(Malzemeler!$E$5:$E$154,MATCH(B896,Malzemeler!$A$5:$A$154,0)),0))</f>
        <v/>
      </c>
    </row>
    <row r="897" customFormat="false" ht="15" hidden="false" customHeight="false" outlineLevel="0" collapsed="false">
      <c r="A897" s="20"/>
      <c r="B897" s="20"/>
      <c r="C897" s="21"/>
      <c r="D897" s="16" t="str">
        <f aca="false">IF(OR(A897="",B897="",C897=""),"",C897*IFERROR(INDEX(Malzemeler!$E$5:$E$154,MATCH(B897,Malzemeler!$A$5:$A$154,0)),0))</f>
        <v/>
      </c>
    </row>
    <row r="898" customFormat="false" ht="15" hidden="false" customHeight="false" outlineLevel="0" collapsed="false">
      <c r="A898" s="20"/>
      <c r="B898" s="20"/>
      <c r="C898" s="21"/>
      <c r="D898" s="16" t="str">
        <f aca="false">IF(OR(A898="",B898="",C898=""),"",C898*IFERROR(INDEX(Malzemeler!$E$5:$E$154,MATCH(B898,Malzemeler!$A$5:$A$154,0)),0))</f>
        <v/>
      </c>
    </row>
    <row r="899" customFormat="false" ht="15" hidden="false" customHeight="false" outlineLevel="0" collapsed="false">
      <c r="A899" s="20"/>
      <c r="B899" s="20"/>
      <c r="C899" s="21"/>
      <c r="D899" s="16" t="str">
        <f aca="false">IF(OR(A899="",B899="",C899=""),"",C899*IFERROR(INDEX(Malzemeler!$E$5:$E$154,MATCH(B899,Malzemeler!$A$5:$A$154,0)),0))</f>
        <v/>
      </c>
    </row>
    <row r="900" customFormat="false" ht="15" hidden="false" customHeight="false" outlineLevel="0" collapsed="false">
      <c r="A900" s="20"/>
      <c r="B900" s="20"/>
      <c r="C900" s="21"/>
      <c r="D900" s="16" t="str">
        <f aca="false">IF(OR(A900="",B900="",C900=""),"",C900*IFERROR(INDEX(Malzemeler!$E$5:$E$154,MATCH(B900,Malzemeler!$A$5:$A$154,0)),0))</f>
        <v/>
      </c>
    </row>
    <row r="901" customFormat="false" ht="15" hidden="false" customHeight="false" outlineLevel="0" collapsed="false">
      <c r="A901" s="20"/>
      <c r="B901" s="20"/>
      <c r="C901" s="21"/>
      <c r="D901" s="16" t="str">
        <f aca="false">IF(OR(A901="",B901="",C901=""),"",C901*IFERROR(INDEX(Malzemeler!$E$5:$E$154,MATCH(B901,Malzemeler!$A$5:$A$154,0)),0))</f>
        <v/>
      </c>
    </row>
    <row r="902" customFormat="false" ht="15" hidden="false" customHeight="false" outlineLevel="0" collapsed="false">
      <c r="A902" s="20"/>
      <c r="B902" s="20"/>
      <c r="C902" s="21"/>
      <c r="D902" s="16" t="str">
        <f aca="false">IF(OR(A902="",B902="",C902=""),"",C902*IFERROR(INDEX(Malzemeler!$E$5:$E$154,MATCH(B902,Malzemeler!$A$5:$A$154,0)),0))</f>
        <v/>
      </c>
    </row>
    <row r="903" customFormat="false" ht="15" hidden="false" customHeight="false" outlineLevel="0" collapsed="false">
      <c r="A903" s="20"/>
      <c r="B903" s="20"/>
      <c r="C903" s="21"/>
      <c r="D903" s="16" t="str">
        <f aca="false">IF(OR(A903="",B903="",C903=""),"",C903*IFERROR(INDEX(Malzemeler!$E$5:$E$154,MATCH(B903,Malzemeler!$A$5:$A$154,0)),0))</f>
        <v/>
      </c>
    </row>
    <row r="904" customFormat="false" ht="15" hidden="false" customHeight="false" outlineLevel="0" collapsed="false">
      <c r="A904" s="20"/>
      <c r="B904" s="20"/>
      <c r="C904" s="21"/>
      <c r="D904" s="16" t="str">
        <f aca="false">IF(OR(A904="",B904="",C904=""),"",C904*IFERROR(INDEX(Malzemeler!$E$5:$E$154,MATCH(B904,Malzemeler!$A$5:$A$154,0)),0))</f>
        <v/>
      </c>
    </row>
    <row r="905" customFormat="false" ht="15" hidden="false" customHeight="false" outlineLevel="0" collapsed="false">
      <c r="A905" s="20"/>
      <c r="B905" s="20"/>
      <c r="C905" s="21"/>
      <c r="D905" s="16" t="str">
        <f aca="false">IF(OR(A905="",B905="",C905=""),"",C905*IFERROR(INDEX(Malzemeler!$E$5:$E$154,MATCH(B905,Malzemeler!$A$5:$A$154,0)),0))</f>
        <v/>
      </c>
    </row>
    <row r="906" customFormat="false" ht="15" hidden="false" customHeight="false" outlineLevel="0" collapsed="false">
      <c r="A906" s="20"/>
      <c r="B906" s="20"/>
      <c r="C906" s="21"/>
      <c r="D906" s="16" t="str">
        <f aca="false">IF(OR(A906="",B906="",C906=""),"",C906*IFERROR(INDEX(Malzemeler!$E$5:$E$154,MATCH(B906,Malzemeler!$A$5:$A$154,0)),0))</f>
        <v/>
      </c>
    </row>
    <row r="907" customFormat="false" ht="15" hidden="false" customHeight="false" outlineLevel="0" collapsed="false">
      <c r="A907" s="20"/>
      <c r="B907" s="20"/>
      <c r="C907" s="21"/>
      <c r="D907" s="16" t="str">
        <f aca="false">IF(OR(A907="",B907="",C907=""),"",C907*IFERROR(INDEX(Malzemeler!$E$5:$E$154,MATCH(B907,Malzemeler!$A$5:$A$154,0)),0))</f>
        <v/>
      </c>
    </row>
    <row r="908" customFormat="false" ht="15" hidden="false" customHeight="false" outlineLevel="0" collapsed="false">
      <c r="A908" s="20"/>
      <c r="B908" s="20"/>
      <c r="C908" s="21"/>
      <c r="D908" s="16" t="str">
        <f aca="false">IF(OR(A908="",B908="",C908=""),"",C908*IFERROR(INDEX(Malzemeler!$E$5:$E$154,MATCH(B908,Malzemeler!$A$5:$A$154,0)),0))</f>
        <v/>
      </c>
    </row>
    <row r="909" customFormat="false" ht="15" hidden="false" customHeight="false" outlineLevel="0" collapsed="false">
      <c r="A909" s="20"/>
      <c r="B909" s="20"/>
      <c r="C909" s="21"/>
      <c r="D909" s="16" t="str">
        <f aca="false">IF(OR(A909="",B909="",C909=""),"",C909*IFERROR(INDEX(Malzemeler!$E$5:$E$154,MATCH(B909,Malzemeler!$A$5:$A$154,0)),0))</f>
        <v/>
      </c>
    </row>
    <row r="910" customFormat="false" ht="15" hidden="false" customHeight="false" outlineLevel="0" collapsed="false">
      <c r="A910" s="20"/>
      <c r="B910" s="20"/>
      <c r="C910" s="21"/>
      <c r="D910" s="16" t="str">
        <f aca="false">IF(OR(A910="",B910="",C910=""),"",C910*IFERROR(INDEX(Malzemeler!$E$5:$E$154,MATCH(B910,Malzemeler!$A$5:$A$154,0)),0))</f>
        <v/>
      </c>
    </row>
    <row r="911" customFormat="false" ht="15" hidden="false" customHeight="false" outlineLevel="0" collapsed="false">
      <c r="A911" s="20"/>
      <c r="B911" s="20"/>
      <c r="C911" s="21"/>
      <c r="D911" s="16" t="str">
        <f aca="false">IF(OR(A911="",B911="",C911=""),"",C911*IFERROR(INDEX(Malzemeler!$E$5:$E$154,MATCH(B911,Malzemeler!$A$5:$A$154,0)),0))</f>
        <v/>
      </c>
    </row>
    <row r="912" customFormat="false" ht="15" hidden="false" customHeight="false" outlineLevel="0" collapsed="false">
      <c r="A912" s="20"/>
      <c r="B912" s="20"/>
      <c r="C912" s="21"/>
      <c r="D912" s="16" t="str">
        <f aca="false">IF(OR(A912="",B912="",C912=""),"",C912*IFERROR(INDEX(Malzemeler!$E$5:$E$154,MATCH(B912,Malzemeler!$A$5:$A$154,0)),0))</f>
        <v/>
      </c>
    </row>
    <row r="913" customFormat="false" ht="15" hidden="false" customHeight="false" outlineLevel="0" collapsed="false">
      <c r="A913" s="20"/>
      <c r="B913" s="20"/>
      <c r="C913" s="21"/>
      <c r="D913" s="16" t="str">
        <f aca="false">IF(OR(A913="",B913="",C913=""),"",C913*IFERROR(INDEX(Malzemeler!$E$5:$E$154,MATCH(B913,Malzemeler!$A$5:$A$154,0)),0))</f>
        <v/>
      </c>
    </row>
    <row r="914" customFormat="false" ht="15" hidden="false" customHeight="false" outlineLevel="0" collapsed="false">
      <c r="A914" s="20"/>
      <c r="B914" s="20"/>
      <c r="C914" s="21"/>
      <c r="D914" s="16" t="str">
        <f aca="false">IF(OR(A914="",B914="",C914=""),"",C914*IFERROR(INDEX(Malzemeler!$E$5:$E$154,MATCH(B914,Malzemeler!$A$5:$A$154,0)),0))</f>
        <v/>
      </c>
    </row>
    <row r="915" customFormat="false" ht="15" hidden="false" customHeight="false" outlineLevel="0" collapsed="false">
      <c r="A915" s="20"/>
      <c r="B915" s="20"/>
      <c r="C915" s="21"/>
      <c r="D915" s="16" t="str">
        <f aca="false">IF(OR(A915="",B915="",C915=""),"",C915*IFERROR(INDEX(Malzemeler!$E$5:$E$154,MATCH(B915,Malzemeler!$A$5:$A$154,0)),0))</f>
        <v/>
      </c>
    </row>
    <row r="916" customFormat="false" ht="15" hidden="false" customHeight="false" outlineLevel="0" collapsed="false">
      <c r="A916" s="20"/>
      <c r="B916" s="20"/>
      <c r="C916" s="21"/>
      <c r="D916" s="16" t="str">
        <f aca="false">IF(OR(A916="",B916="",C916=""),"",C916*IFERROR(INDEX(Malzemeler!$E$5:$E$154,MATCH(B916,Malzemeler!$A$5:$A$154,0)),0))</f>
        <v/>
      </c>
    </row>
    <row r="917" customFormat="false" ht="15" hidden="false" customHeight="false" outlineLevel="0" collapsed="false">
      <c r="A917" s="20"/>
      <c r="B917" s="20"/>
      <c r="C917" s="21"/>
      <c r="D917" s="16" t="str">
        <f aca="false">IF(OR(A917="",B917="",C917=""),"",C917*IFERROR(INDEX(Malzemeler!$E$5:$E$154,MATCH(B917,Malzemeler!$A$5:$A$154,0)),0))</f>
        <v/>
      </c>
    </row>
    <row r="918" customFormat="false" ht="15" hidden="false" customHeight="false" outlineLevel="0" collapsed="false">
      <c r="A918" s="20"/>
      <c r="B918" s="20"/>
      <c r="C918" s="21"/>
      <c r="D918" s="16" t="str">
        <f aca="false">IF(OR(A918="",B918="",C918=""),"",C918*IFERROR(INDEX(Malzemeler!$E$5:$E$154,MATCH(B918,Malzemeler!$A$5:$A$154,0)),0))</f>
        <v/>
      </c>
    </row>
    <row r="919" customFormat="false" ht="15" hidden="false" customHeight="false" outlineLevel="0" collapsed="false">
      <c r="A919" s="20"/>
      <c r="B919" s="20"/>
      <c r="C919" s="21"/>
      <c r="D919" s="16" t="str">
        <f aca="false">IF(OR(A919="",B919="",C919=""),"",C919*IFERROR(INDEX(Malzemeler!$E$5:$E$154,MATCH(B919,Malzemeler!$A$5:$A$154,0)),0))</f>
        <v/>
      </c>
    </row>
    <row r="920" customFormat="false" ht="15" hidden="false" customHeight="false" outlineLevel="0" collapsed="false">
      <c r="A920" s="20"/>
      <c r="B920" s="20"/>
      <c r="C920" s="21"/>
      <c r="D920" s="16" t="str">
        <f aca="false">IF(OR(A920="",B920="",C920=""),"",C920*IFERROR(INDEX(Malzemeler!$E$5:$E$154,MATCH(B920,Malzemeler!$A$5:$A$154,0)),0))</f>
        <v/>
      </c>
    </row>
    <row r="921" customFormat="false" ht="15" hidden="false" customHeight="false" outlineLevel="0" collapsed="false">
      <c r="A921" s="20"/>
      <c r="B921" s="20"/>
      <c r="C921" s="21"/>
      <c r="D921" s="16" t="str">
        <f aca="false">IF(OR(A921="",B921="",C921=""),"",C921*IFERROR(INDEX(Malzemeler!$E$5:$E$154,MATCH(B921,Malzemeler!$A$5:$A$154,0)),0))</f>
        <v/>
      </c>
    </row>
    <row r="922" customFormat="false" ht="15" hidden="false" customHeight="false" outlineLevel="0" collapsed="false">
      <c r="A922" s="20"/>
      <c r="B922" s="20"/>
      <c r="C922" s="21"/>
      <c r="D922" s="16" t="str">
        <f aca="false">IF(OR(A922="",B922="",C922=""),"",C922*IFERROR(INDEX(Malzemeler!$E$5:$E$154,MATCH(B922,Malzemeler!$A$5:$A$154,0)),0))</f>
        <v/>
      </c>
    </row>
    <row r="923" customFormat="false" ht="15" hidden="false" customHeight="false" outlineLevel="0" collapsed="false">
      <c r="A923" s="20"/>
      <c r="B923" s="20"/>
      <c r="C923" s="21"/>
      <c r="D923" s="16" t="str">
        <f aca="false">IF(OR(A923="",B923="",C923=""),"",C923*IFERROR(INDEX(Malzemeler!$E$5:$E$154,MATCH(B923,Malzemeler!$A$5:$A$154,0)),0))</f>
        <v/>
      </c>
    </row>
    <row r="924" customFormat="false" ht="15" hidden="false" customHeight="false" outlineLevel="0" collapsed="false">
      <c r="A924" s="20"/>
      <c r="B924" s="20"/>
      <c r="C924" s="21"/>
      <c r="D924" s="16" t="str">
        <f aca="false">IF(OR(A924="",B924="",C924=""),"",C924*IFERROR(INDEX(Malzemeler!$E$5:$E$154,MATCH(B924,Malzemeler!$A$5:$A$154,0)),0))</f>
        <v/>
      </c>
    </row>
    <row r="925" customFormat="false" ht="15" hidden="false" customHeight="false" outlineLevel="0" collapsed="false">
      <c r="A925" s="20"/>
      <c r="B925" s="20"/>
      <c r="C925" s="21"/>
      <c r="D925" s="16" t="str">
        <f aca="false">IF(OR(A925="",B925="",C925=""),"",C925*IFERROR(INDEX(Malzemeler!$E$5:$E$154,MATCH(B925,Malzemeler!$A$5:$A$154,0)),0))</f>
        <v/>
      </c>
    </row>
    <row r="926" customFormat="false" ht="15" hidden="false" customHeight="false" outlineLevel="0" collapsed="false">
      <c r="A926" s="20"/>
      <c r="B926" s="20"/>
      <c r="C926" s="21"/>
      <c r="D926" s="16" t="str">
        <f aca="false">IF(OR(A926="",B926="",C926=""),"",C926*IFERROR(INDEX(Malzemeler!$E$5:$E$154,MATCH(B926,Malzemeler!$A$5:$A$154,0)),0))</f>
        <v/>
      </c>
    </row>
    <row r="927" customFormat="false" ht="15" hidden="false" customHeight="false" outlineLevel="0" collapsed="false">
      <c r="A927" s="20"/>
      <c r="B927" s="20"/>
      <c r="C927" s="21"/>
      <c r="D927" s="16" t="str">
        <f aca="false">IF(OR(A927="",B927="",C927=""),"",C927*IFERROR(INDEX(Malzemeler!$E$5:$E$154,MATCH(B927,Malzemeler!$A$5:$A$154,0)),0))</f>
        <v/>
      </c>
    </row>
    <row r="928" customFormat="false" ht="15" hidden="false" customHeight="false" outlineLevel="0" collapsed="false">
      <c r="A928" s="20"/>
      <c r="B928" s="20"/>
      <c r="C928" s="21"/>
      <c r="D928" s="16" t="str">
        <f aca="false">IF(OR(A928="",B928="",C928=""),"",C928*IFERROR(INDEX(Malzemeler!$E$5:$E$154,MATCH(B928,Malzemeler!$A$5:$A$154,0)),0))</f>
        <v/>
      </c>
    </row>
    <row r="929" customFormat="false" ht="15" hidden="false" customHeight="false" outlineLevel="0" collapsed="false">
      <c r="A929" s="20"/>
      <c r="B929" s="20"/>
      <c r="C929" s="21"/>
      <c r="D929" s="16" t="str">
        <f aca="false">IF(OR(A929="",B929="",C929=""),"",C929*IFERROR(INDEX(Malzemeler!$E$5:$E$154,MATCH(B929,Malzemeler!$A$5:$A$154,0)),0))</f>
        <v/>
      </c>
    </row>
    <row r="930" customFormat="false" ht="15" hidden="false" customHeight="false" outlineLevel="0" collapsed="false">
      <c r="A930" s="20"/>
      <c r="B930" s="20"/>
      <c r="C930" s="21"/>
      <c r="D930" s="16" t="str">
        <f aca="false">IF(OR(A930="",B930="",C930=""),"",C930*IFERROR(INDEX(Malzemeler!$E$5:$E$154,MATCH(B930,Malzemeler!$A$5:$A$154,0)),0))</f>
        <v/>
      </c>
    </row>
    <row r="931" customFormat="false" ht="15" hidden="false" customHeight="false" outlineLevel="0" collapsed="false">
      <c r="A931" s="20"/>
      <c r="B931" s="20"/>
      <c r="C931" s="21"/>
      <c r="D931" s="16" t="str">
        <f aca="false">IF(OR(A931="",B931="",C931=""),"",C931*IFERROR(INDEX(Malzemeler!$E$5:$E$154,MATCH(B931,Malzemeler!$A$5:$A$154,0)),0))</f>
        <v/>
      </c>
    </row>
    <row r="932" customFormat="false" ht="15" hidden="false" customHeight="false" outlineLevel="0" collapsed="false">
      <c r="A932" s="20"/>
      <c r="B932" s="20"/>
      <c r="C932" s="21"/>
      <c r="D932" s="16" t="str">
        <f aca="false">IF(OR(A932="",B932="",C932=""),"",C932*IFERROR(INDEX(Malzemeler!$E$5:$E$154,MATCH(B932,Malzemeler!$A$5:$A$154,0)),0))</f>
        <v/>
      </c>
    </row>
    <row r="933" customFormat="false" ht="15" hidden="false" customHeight="false" outlineLevel="0" collapsed="false">
      <c r="A933" s="20"/>
      <c r="B933" s="20"/>
      <c r="C933" s="21"/>
      <c r="D933" s="16" t="str">
        <f aca="false">IF(OR(A933="",B933="",C933=""),"",C933*IFERROR(INDEX(Malzemeler!$E$5:$E$154,MATCH(B933,Malzemeler!$A$5:$A$154,0)),0))</f>
        <v/>
      </c>
    </row>
    <row r="934" customFormat="false" ht="15" hidden="false" customHeight="false" outlineLevel="0" collapsed="false">
      <c r="A934" s="20"/>
      <c r="B934" s="20"/>
      <c r="C934" s="21"/>
      <c r="D934" s="16" t="str">
        <f aca="false">IF(OR(A934="",B934="",C934=""),"",C934*IFERROR(INDEX(Malzemeler!$E$5:$E$154,MATCH(B934,Malzemeler!$A$5:$A$154,0)),0))</f>
        <v/>
      </c>
    </row>
    <row r="935" customFormat="false" ht="15" hidden="false" customHeight="false" outlineLevel="0" collapsed="false">
      <c r="A935" s="20"/>
      <c r="B935" s="20"/>
      <c r="C935" s="21"/>
      <c r="D935" s="16" t="str">
        <f aca="false">IF(OR(A935="",B935="",C935=""),"",C935*IFERROR(INDEX(Malzemeler!$E$5:$E$154,MATCH(B935,Malzemeler!$A$5:$A$154,0)),0))</f>
        <v/>
      </c>
    </row>
    <row r="936" customFormat="false" ht="15" hidden="false" customHeight="false" outlineLevel="0" collapsed="false">
      <c r="A936" s="20"/>
      <c r="B936" s="20"/>
      <c r="C936" s="21"/>
      <c r="D936" s="16" t="str">
        <f aca="false">IF(OR(A936="",B936="",C936=""),"",C936*IFERROR(INDEX(Malzemeler!$E$5:$E$154,MATCH(B936,Malzemeler!$A$5:$A$154,0)),0))</f>
        <v/>
      </c>
    </row>
    <row r="937" customFormat="false" ht="15" hidden="false" customHeight="false" outlineLevel="0" collapsed="false">
      <c r="A937" s="20"/>
      <c r="B937" s="20"/>
      <c r="C937" s="21"/>
      <c r="D937" s="16" t="str">
        <f aca="false">IF(OR(A937="",B937="",C937=""),"",C937*IFERROR(INDEX(Malzemeler!$E$5:$E$154,MATCH(B937,Malzemeler!$A$5:$A$154,0)),0))</f>
        <v/>
      </c>
    </row>
    <row r="938" customFormat="false" ht="15" hidden="false" customHeight="false" outlineLevel="0" collapsed="false">
      <c r="A938" s="20"/>
      <c r="B938" s="20"/>
      <c r="C938" s="21"/>
      <c r="D938" s="16" t="str">
        <f aca="false">IF(OR(A938="",B938="",C938=""),"",C938*IFERROR(INDEX(Malzemeler!$E$5:$E$154,MATCH(B938,Malzemeler!$A$5:$A$154,0)),0))</f>
        <v/>
      </c>
    </row>
    <row r="939" customFormat="false" ht="15" hidden="false" customHeight="false" outlineLevel="0" collapsed="false">
      <c r="A939" s="20"/>
      <c r="B939" s="20"/>
      <c r="C939" s="21"/>
      <c r="D939" s="16" t="str">
        <f aca="false">IF(OR(A939="",B939="",C939=""),"",C939*IFERROR(INDEX(Malzemeler!$E$5:$E$154,MATCH(B939,Malzemeler!$A$5:$A$154,0)),0))</f>
        <v/>
      </c>
    </row>
    <row r="940" customFormat="false" ht="15" hidden="false" customHeight="false" outlineLevel="0" collapsed="false">
      <c r="A940" s="20"/>
      <c r="B940" s="20"/>
      <c r="C940" s="21"/>
      <c r="D940" s="16" t="str">
        <f aca="false">IF(OR(A940="",B940="",C940=""),"",C940*IFERROR(INDEX(Malzemeler!$E$5:$E$154,MATCH(B940,Malzemeler!$A$5:$A$154,0)),0))</f>
        <v/>
      </c>
    </row>
    <row r="941" customFormat="false" ht="15" hidden="false" customHeight="false" outlineLevel="0" collapsed="false">
      <c r="A941" s="20"/>
      <c r="B941" s="20"/>
      <c r="C941" s="21"/>
      <c r="D941" s="16" t="str">
        <f aca="false">IF(OR(A941="",B941="",C941=""),"",C941*IFERROR(INDEX(Malzemeler!$E$5:$E$154,MATCH(B941,Malzemeler!$A$5:$A$154,0)),0))</f>
        <v/>
      </c>
    </row>
    <row r="942" customFormat="false" ht="15" hidden="false" customHeight="false" outlineLevel="0" collapsed="false">
      <c r="A942" s="20"/>
      <c r="B942" s="20"/>
      <c r="C942" s="21"/>
      <c r="D942" s="16" t="str">
        <f aca="false">IF(OR(A942="",B942="",C942=""),"",C942*IFERROR(INDEX(Malzemeler!$E$5:$E$154,MATCH(B942,Malzemeler!$A$5:$A$154,0)),0))</f>
        <v/>
      </c>
    </row>
    <row r="943" customFormat="false" ht="15" hidden="false" customHeight="false" outlineLevel="0" collapsed="false">
      <c r="A943" s="20"/>
      <c r="B943" s="20"/>
      <c r="C943" s="21"/>
      <c r="D943" s="16" t="str">
        <f aca="false">IF(OR(A943="",B943="",C943=""),"",C943*IFERROR(INDEX(Malzemeler!$E$5:$E$154,MATCH(B943,Malzemeler!$A$5:$A$154,0)),0))</f>
        <v/>
      </c>
    </row>
    <row r="944" customFormat="false" ht="15" hidden="false" customHeight="false" outlineLevel="0" collapsed="false">
      <c r="A944" s="20"/>
      <c r="B944" s="20"/>
      <c r="C944" s="21"/>
      <c r="D944" s="16" t="str">
        <f aca="false">IF(OR(A944="",B944="",C944=""),"",C944*IFERROR(INDEX(Malzemeler!$E$5:$E$154,MATCH(B944,Malzemeler!$A$5:$A$154,0)),0))</f>
        <v/>
      </c>
    </row>
    <row r="945" customFormat="false" ht="15" hidden="false" customHeight="false" outlineLevel="0" collapsed="false">
      <c r="A945" s="20"/>
      <c r="B945" s="20"/>
      <c r="C945" s="21"/>
      <c r="D945" s="16" t="str">
        <f aca="false">IF(OR(A945="",B945="",C945=""),"",C945*IFERROR(INDEX(Malzemeler!$E$5:$E$154,MATCH(B945,Malzemeler!$A$5:$A$154,0)),0))</f>
        <v/>
      </c>
    </row>
    <row r="946" customFormat="false" ht="15" hidden="false" customHeight="false" outlineLevel="0" collapsed="false">
      <c r="A946" s="20"/>
      <c r="B946" s="20"/>
      <c r="C946" s="21"/>
      <c r="D946" s="16" t="str">
        <f aca="false">IF(OR(A946="",B946="",C946=""),"",C946*IFERROR(INDEX(Malzemeler!$E$5:$E$154,MATCH(B946,Malzemeler!$A$5:$A$154,0)),0))</f>
        <v/>
      </c>
    </row>
    <row r="947" customFormat="false" ht="15" hidden="false" customHeight="false" outlineLevel="0" collapsed="false">
      <c r="A947" s="20"/>
      <c r="B947" s="20"/>
      <c r="C947" s="21"/>
      <c r="D947" s="16" t="str">
        <f aca="false">IF(OR(A947="",B947="",C947=""),"",C947*IFERROR(INDEX(Malzemeler!$E$5:$E$154,MATCH(B947,Malzemeler!$A$5:$A$154,0)),0))</f>
        <v/>
      </c>
    </row>
    <row r="948" customFormat="false" ht="15" hidden="false" customHeight="false" outlineLevel="0" collapsed="false">
      <c r="A948" s="20"/>
      <c r="B948" s="20"/>
      <c r="C948" s="21"/>
      <c r="D948" s="16" t="str">
        <f aca="false">IF(OR(A948="",B948="",C948=""),"",C948*IFERROR(INDEX(Malzemeler!$E$5:$E$154,MATCH(B948,Malzemeler!$A$5:$A$154,0)),0))</f>
        <v/>
      </c>
    </row>
    <row r="949" customFormat="false" ht="15" hidden="false" customHeight="false" outlineLevel="0" collapsed="false">
      <c r="A949" s="20"/>
      <c r="B949" s="20"/>
      <c r="C949" s="21"/>
      <c r="D949" s="16" t="str">
        <f aca="false">IF(OR(A949="",B949="",C949=""),"",C949*IFERROR(INDEX(Malzemeler!$E$5:$E$154,MATCH(B949,Malzemeler!$A$5:$A$154,0)),0))</f>
        <v/>
      </c>
    </row>
    <row r="950" customFormat="false" ht="15" hidden="false" customHeight="false" outlineLevel="0" collapsed="false">
      <c r="A950" s="20"/>
      <c r="B950" s="20"/>
      <c r="C950" s="21"/>
      <c r="D950" s="16" t="str">
        <f aca="false">IF(OR(A950="",B950="",C950=""),"",C950*IFERROR(INDEX(Malzemeler!$E$5:$E$154,MATCH(B950,Malzemeler!$A$5:$A$154,0)),0))</f>
        <v/>
      </c>
    </row>
    <row r="951" customFormat="false" ht="15" hidden="false" customHeight="false" outlineLevel="0" collapsed="false">
      <c r="A951" s="20"/>
      <c r="B951" s="20"/>
      <c r="C951" s="21"/>
      <c r="D951" s="16" t="str">
        <f aca="false">IF(OR(A951="",B951="",C951=""),"",C951*IFERROR(INDEX(Malzemeler!$E$5:$E$154,MATCH(B951,Malzemeler!$A$5:$A$154,0)),0))</f>
        <v/>
      </c>
    </row>
    <row r="952" customFormat="false" ht="15" hidden="false" customHeight="false" outlineLevel="0" collapsed="false">
      <c r="A952" s="20"/>
      <c r="B952" s="20"/>
      <c r="C952" s="21"/>
      <c r="D952" s="16" t="str">
        <f aca="false">IF(OR(A952="",B952="",C952=""),"",C952*IFERROR(INDEX(Malzemeler!$E$5:$E$154,MATCH(B952,Malzemeler!$A$5:$A$154,0)),0))</f>
        <v/>
      </c>
    </row>
    <row r="953" customFormat="false" ht="15" hidden="false" customHeight="false" outlineLevel="0" collapsed="false">
      <c r="A953" s="20"/>
      <c r="B953" s="20"/>
      <c r="C953" s="21"/>
      <c r="D953" s="16" t="str">
        <f aca="false">IF(OR(A953="",B953="",C953=""),"",C953*IFERROR(INDEX(Malzemeler!$E$5:$E$154,MATCH(B953,Malzemeler!$A$5:$A$154,0)),0))</f>
        <v/>
      </c>
    </row>
    <row r="954" customFormat="false" ht="15" hidden="false" customHeight="false" outlineLevel="0" collapsed="false">
      <c r="A954" s="20"/>
      <c r="B954" s="20"/>
      <c r="C954" s="21"/>
      <c r="D954" s="16" t="str">
        <f aca="false">IF(OR(A954="",B954="",C954=""),"",C954*IFERROR(INDEX(Malzemeler!$E$5:$E$154,MATCH(B954,Malzemeler!$A$5:$A$154,0)),0))</f>
        <v/>
      </c>
    </row>
    <row r="955" customFormat="false" ht="15" hidden="false" customHeight="false" outlineLevel="0" collapsed="false">
      <c r="A955" s="20"/>
      <c r="B955" s="20"/>
      <c r="C955" s="21"/>
      <c r="D955" s="16" t="str">
        <f aca="false">IF(OR(A955="",B955="",C955=""),"",C955*IFERROR(INDEX(Malzemeler!$E$5:$E$154,MATCH(B955,Malzemeler!$A$5:$A$154,0)),0))</f>
        <v/>
      </c>
    </row>
    <row r="956" customFormat="false" ht="15" hidden="false" customHeight="false" outlineLevel="0" collapsed="false">
      <c r="A956" s="20"/>
      <c r="B956" s="20"/>
      <c r="C956" s="21"/>
      <c r="D956" s="16" t="str">
        <f aca="false">IF(OR(A956="",B956="",C956=""),"",C956*IFERROR(INDEX(Malzemeler!$E$5:$E$154,MATCH(B956,Malzemeler!$A$5:$A$154,0)),0))</f>
        <v/>
      </c>
    </row>
    <row r="957" customFormat="false" ht="15" hidden="false" customHeight="false" outlineLevel="0" collapsed="false">
      <c r="A957" s="20"/>
      <c r="B957" s="20"/>
      <c r="C957" s="21"/>
      <c r="D957" s="16" t="str">
        <f aca="false">IF(OR(A957="",B957="",C957=""),"",C957*IFERROR(INDEX(Malzemeler!$E$5:$E$154,MATCH(B957,Malzemeler!$A$5:$A$154,0)),0))</f>
        <v/>
      </c>
    </row>
    <row r="958" customFormat="false" ht="15" hidden="false" customHeight="false" outlineLevel="0" collapsed="false">
      <c r="A958" s="20"/>
      <c r="B958" s="20"/>
      <c r="C958" s="21"/>
      <c r="D958" s="16" t="str">
        <f aca="false">IF(OR(A958="",B958="",C958=""),"",C958*IFERROR(INDEX(Malzemeler!$E$5:$E$154,MATCH(B958,Malzemeler!$A$5:$A$154,0)),0))</f>
        <v/>
      </c>
    </row>
    <row r="959" customFormat="false" ht="15" hidden="false" customHeight="false" outlineLevel="0" collapsed="false">
      <c r="A959" s="20"/>
      <c r="B959" s="20"/>
      <c r="C959" s="21"/>
      <c r="D959" s="16" t="str">
        <f aca="false">IF(OR(A959="",B959="",C959=""),"",C959*IFERROR(INDEX(Malzemeler!$E$5:$E$154,MATCH(B959,Malzemeler!$A$5:$A$154,0)),0))</f>
        <v/>
      </c>
    </row>
    <row r="960" customFormat="false" ht="15" hidden="false" customHeight="false" outlineLevel="0" collapsed="false">
      <c r="A960" s="20"/>
      <c r="B960" s="20"/>
      <c r="C960" s="21"/>
      <c r="D960" s="16" t="str">
        <f aca="false">IF(OR(A960="",B960="",C960=""),"",C960*IFERROR(INDEX(Malzemeler!$E$5:$E$154,MATCH(B960,Malzemeler!$A$5:$A$154,0)),0))</f>
        <v/>
      </c>
    </row>
    <row r="961" customFormat="false" ht="15" hidden="false" customHeight="false" outlineLevel="0" collapsed="false">
      <c r="A961" s="20"/>
      <c r="B961" s="20"/>
      <c r="C961" s="21"/>
      <c r="D961" s="16" t="str">
        <f aca="false">IF(OR(A961="",B961="",C961=""),"",C961*IFERROR(INDEX(Malzemeler!$E$5:$E$154,MATCH(B961,Malzemeler!$A$5:$A$154,0)),0))</f>
        <v/>
      </c>
    </row>
    <row r="962" customFormat="false" ht="15" hidden="false" customHeight="false" outlineLevel="0" collapsed="false">
      <c r="A962" s="20"/>
      <c r="B962" s="20"/>
      <c r="C962" s="21"/>
      <c r="D962" s="16" t="str">
        <f aca="false">IF(OR(A962="",B962="",C962=""),"",C962*IFERROR(INDEX(Malzemeler!$E$5:$E$154,MATCH(B962,Malzemeler!$A$5:$A$154,0)),0))</f>
        <v/>
      </c>
    </row>
    <row r="963" customFormat="false" ht="15" hidden="false" customHeight="false" outlineLevel="0" collapsed="false">
      <c r="A963" s="20"/>
      <c r="B963" s="20"/>
      <c r="C963" s="21"/>
      <c r="D963" s="16" t="str">
        <f aca="false">IF(OR(A963="",B963="",C963=""),"",C963*IFERROR(INDEX(Malzemeler!$E$5:$E$154,MATCH(B963,Malzemeler!$A$5:$A$154,0)),0))</f>
        <v/>
      </c>
    </row>
    <row r="964" customFormat="false" ht="15" hidden="false" customHeight="false" outlineLevel="0" collapsed="false">
      <c r="A964" s="20"/>
      <c r="B964" s="20"/>
      <c r="C964" s="21"/>
      <c r="D964" s="16" t="str">
        <f aca="false">IF(OR(A964="",B964="",C964=""),"",C964*IFERROR(INDEX(Malzemeler!$E$5:$E$154,MATCH(B964,Malzemeler!$A$5:$A$154,0)),0))</f>
        <v/>
      </c>
    </row>
    <row r="965" customFormat="false" ht="15" hidden="false" customHeight="false" outlineLevel="0" collapsed="false">
      <c r="A965" s="20"/>
      <c r="B965" s="20"/>
      <c r="C965" s="21"/>
      <c r="D965" s="16" t="str">
        <f aca="false">IF(OR(A965="",B965="",C965=""),"",C965*IFERROR(INDEX(Malzemeler!$E$5:$E$154,MATCH(B965,Malzemeler!$A$5:$A$154,0)),0))</f>
        <v/>
      </c>
    </row>
    <row r="966" customFormat="false" ht="15" hidden="false" customHeight="false" outlineLevel="0" collapsed="false">
      <c r="A966" s="20"/>
      <c r="B966" s="20"/>
      <c r="C966" s="21"/>
      <c r="D966" s="16" t="str">
        <f aca="false">IF(OR(A966="",B966="",C966=""),"",C966*IFERROR(INDEX(Malzemeler!$E$5:$E$154,MATCH(B966,Malzemeler!$A$5:$A$154,0)),0))</f>
        <v/>
      </c>
    </row>
    <row r="967" customFormat="false" ht="15" hidden="false" customHeight="false" outlineLevel="0" collapsed="false">
      <c r="A967" s="20"/>
      <c r="B967" s="20"/>
      <c r="C967" s="21"/>
      <c r="D967" s="16" t="str">
        <f aca="false">IF(OR(A967="",B967="",C967=""),"",C967*IFERROR(INDEX(Malzemeler!$E$5:$E$154,MATCH(B967,Malzemeler!$A$5:$A$154,0)),0))</f>
        <v/>
      </c>
    </row>
    <row r="968" customFormat="false" ht="15" hidden="false" customHeight="false" outlineLevel="0" collapsed="false">
      <c r="A968" s="20"/>
      <c r="B968" s="20"/>
      <c r="C968" s="21"/>
      <c r="D968" s="16" t="str">
        <f aca="false">IF(OR(A968="",B968="",C968=""),"",C968*IFERROR(INDEX(Malzemeler!$E$5:$E$154,MATCH(B968,Malzemeler!$A$5:$A$154,0)),0))</f>
        <v/>
      </c>
    </row>
    <row r="969" customFormat="false" ht="15" hidden="false" customHeight="false" outlineLevel="0" collapsed="false">
      <c r="A969" s="20"/>
      <c r="B969" s="20"/>
      <c r="C969" s="21"/>
      <c r="D969" s="16" t="str">
        <f aca="false">IF(OR(A969="",B969="",C969=""),"",C969*IFERROR(INDEX(Malzemeler!$E$5:$E$154,MATCH(B969,Malzemeler!$A$5:$A$154,0)),0))</f>
        <v/>
      </c>
    </row>
    <row r="970" customFormat="false" ht="15" hidden="false" customHeight="false" outlineLevel="0" collapsed="false">
      <c r="A970" s="20"/>
      <c r="B970" s="20"/>
      <c r="C970" s="21"/>
      <c r="D970" s="16" t="str">
        <f aca="false">IF(OR(A970="",B970="",C970=""),"",C970*IFERROR(INDEX(Malzemeler!$E$5:$E$154,MATCH(B970,Malzemeler!$A$5:$A$154,0)),0))</f>
        <v/>
      </c>
    </row>
    <row r="971" customFormat="false" ht="15" hidden="false" customHeight="false" outlineLevel="0" collapsed="false">
      <c r="A971" s="20"/>
      <c r="B971" s="20"/>
      <c r="C971" s="21"/>
      <c r="D971" s="16" t="str">
        <f aca="false">IF(OR(A971="",B971="",C971=""),"",C971*IFERROR(INDEX(Malzemeler!$E$5:$E$154,MATCH(B971,Malzemeler!$A$5:$A$154,0)),0))</f>
        <v/>
      </c>
    </row>
    <row r="972" customFormat="false" ht="15" hidden="false" customHeight="false" outlineLevel="0" collapsed="false">
      <c r="A972" s="20"/>
      <c r="B972" s="20"/>
      <c r="C972" s="21"/>
      <c r="D972" s="16" t="str">
        <f aca="false">IF(OR(A972="",B972="",C972=""),"",C972*IFERROR(INDEX(Malzemeler!$E$5:$E$154,MATCH(B972,Malzemeler!$A$5:$A$154,0)),0))</f>
        <v/>
      </c>
    </row>
    <row r="973" customFormat="false" ht="15" hidden="false" customHeight="false" outlineLevel="0" collapsed="false">
      <c r="A973" s="20"/>
      <c r="B973" s="20"/>
      <c r="C973" s="21"/>
      <c r="D973" s="16" t="str">
        <f aca="false">IF(OR(A973="",B973="",C973=""),"",C973*IFERROR(INDEX(Malzemeler!$E$5:$E$154,MATCH(B973,Malzemeler!$A$5:$A$154,0)),0))</f>
        <v/>
      </c>
    </row>
    <row r="974" customFormat="false" ht="15" hidden="false" customHeight="false" outlineLevel="0" collapsed="false">
      <c r="A974" s="20"/>
      <c r="B974" s="20"/>
      <c r="C974" s="21"/>
      <c r="D974" s="16" t="str">
        <f aca="false">IF(OR(A974="",B974="",C974=""),"",C974*IFERROR(INDEX(Malzemeler!$E$5:$E$154,MATCH(B974,Malzemeler!$A$5:$A$154,0)),0))</f>
        <v/>
      </c>
    </row>
    <row r="975" customFormat="false" ht="15" hidden="false" customHeight="false" outlineLevel="0" collapsed="false">
      <c r="A975" s="20"/>
      <c r="B975" s="20"/>
      <c r="C975" s="21"/>
      <c r="D975" s="16" t="str">
        <f aca="false">IF(OR(A975="",B975="",C975=""),"",C975*IFERROR(INDEX(Malzemeler!$E$5:$E$154,MATCH(B975,Malzemeler!$A$5:$A$154,0)),0))</f>
        <v/>
      </c>
    </row>
    <row r="976" customFormat="false" ht="15" hidden="false" customHeight="false" outlineLevel="0" collapsed="false">
      <c r="A976" s="20"/>
      <c r="B976" s="20"/>
      <c r="C976" s="21"/>
      <c r="D976" s="16" t="str">
        <f aca="false">IF(OR(A976="",B976="",C976=""),"",C976*IFERROR(INDEX(Malzemeler!$E$5:$E$154,MATCH(B976,Malzemeler!$A$5:$A$154,0)),0))</f>
        <v/>
      </c>
    </row>
    <row r="977" customFormat="false" ht="15" hidden="false" customHeight="false" outlineLevel="0" collapsed="false">
      <c r="A977" s="20"/>
      <c r="B977" s="20"/>
      <c r="C977" s="21"/>
      <c r="D977" s="16" t="str">
        <f aca="false">IF(OR(A977="",B977="",C977=""),"",C977*IFERROR(INDEX(Malzemeler!$E$5:$E$154,MATCH(B977,Malzemeler!$A$5:$A$154,0)),0))</f>
        <v/>
      </c>
    </row>
    <row r="978" customFormat="false" ht="15" hidden="false" customHeight="false" outlineLevel="0" collapsed="false">
      <c r="A978" s="20"/>
      <c r="B978" s="20"/>
      <c r="C978" s="21"/>
      <c r="D978" s="16" t="str">
        <f aca="false">IF(OR(A978="",B978="",C978=""),"",C978*IFERROR(INDEX(Malzemeler!$E$5:$E$154,MATCH(B978,Malzemeler!$A$5:$A$154,0)),0))</f>
        <v/>
      </c>
    </row>
    <row r="979" customFormat="false" ht="15" hidden="false" customHeight="false" outlineLevel="0" collapsed="false">
      <c r="A979" s="20"/>
      <c r="B979" s="20"/>
      <c r="C979" s="21"/>
      <c r="D979" s="16" t="str">
        <f aca="false">IF(OR(A979="",B979="",C979=""),"",C979*IFERROR(INDEX(Malzemeler!$E$5:$E$154,MATCH(B979,Malzemeler!$A$5:$A$154,0)),0))</f>
        <v/>
      </c>
    </row>
    <row r="980" customFormat="false" ht="15" hidden="false" customHeight="false" outlineLevel="0" collapsed="false">
      <c r="A980" s="20"/>
      <c r="B980" s="20"/>
      <c r="C980" s="21"/>
      <c r="D980" s="16" t="str">
        <f aca="false">IF(OR(A980="",B980="",C980=""),"",C980*IFERROR(INDEX(Malzemeler!$E$5:$E$154,MATCH(B980,Malzemeler!$A$5:$A$154,0)),0))</f>
        <v/>
      </c>
    </row>
    <row r="981" customFormat="false" ht="15" hidden="false" customHeight="false" outlineLevel="0" collapsed="false">
      <c r="A981" s="20"/>
      <c r="B981" s="20"/>
      <c r="C981" s="21"/>
      <c r="D981" s="16" t="str">
        <f aca="false">IF(OR(A981="",B981="",C981=""),"",C981*IFERROR(INDEX(Malzemeler!$E$5:$E$154,MATCH(B981,Malzemeler!$A$5:$A$154,0)),0))</f>
        <v/>
      </c>
    </row>
    <row r="982" customFormat="false" ht="15" hidden="false" customHeight="false" outlineLevel="0" collapsed="false">
      <c r="A982" s="20"/>
      <c r="B982" s="20"/>
      <c r="C982" s="21"/>
      <c r="D982" s="16" t="str">
        <f aca="false">IF(OR(A982="",B982="",C982=""),"",C982*IFERROR(INDEX(Malzemeler!$E$5:$E$154,MATCH(B982,Malzemeler!$A$5:$A$154,0)),0))</f>
        <v/>
      </c>
    </row>
    <row r="983" customFormat="false" ht="15" hidden="false" customHeight="false" outlineLevel="0" collapsed="false">
      <c r="A983" s="20"/>
      <c r="B983" s="20"/>
      <c r="C983" s="21"/>
      <c r="D983" s="16" t="str">
        <f aca="false">IF(OR(A983="",B983="",C983=""),"",C983*IFERROR(INDEX(Malzemeler!$E$5:$E$154,MATCH(B983,Malzemeler!$A$5:$A$154,0)),0))</f>
        <v/>
      </c>
    </row>
    <row r="984" customFormat="false" ht="15" hidden="false" customHeight="false" outlineLevel="0" collapsed="false">
      <c r="A984" s="20"/>
      <c r="B984" s="20"/>
      <c r="C984" s="21"/>
      <c r="D984" s="16" t="str">
        <f aca="false">IF(OR(A984="",B984="",C984=""),"",C984*IFERROR(INDEX(Malzemeler!$E$5:$E$154,MATCH(B984,Malzemeler!$A$5:$A$154,0)),0))</f>
        <v/>
      </c>
    </row>
    <row r="985" customFormat="false" ht="15" hidden="false" customHeight="false" outlineLevel="0" collapsed="false">
      <c r="A985" s="20"/>
      <c r="B985" s="20"/>
      <c r="C985" s="21"/>
      <c r="D985" s="16" t="str">
        <f aca="false">IF(OR(A985="",B985="",C985=""),"",C985*IFERROR(INDEX(Malzemeler!$E$5:$E$154,MATCH(B985,Malzemeler!$A$5:$A$154,0)),0))</f>
        <v/>
      </c>
    </row>
    <row r="986" customFormat="false" ht="15" hidden="false" customHeight="false" outlineLevel="0" collapsed="false">
      <c r="A986" s="20"/>
      <c r="B986" s="20"/>
      <c r="C986" s="21"/>
      <c r="D986" s="16" t="str">
        <f aca="false">IF(OR(A986="",B986="",C986=""),"",C986*IFERROR(INDEX(Malzemeler!$E$5:$E$154,MATCH(B986,Malzemeler!$A$5:$A$154,0)),0))</f>
        <v/>
      </c>
    </row>
    <row r="987" customFormat="false" ht="15" hidden="false" customHeight="false" outlineLevel="0" collapsed="false">
      <c r="A987" s="20"/>
      <c r="B987" s="20"/>
      <c r="C987" s="21"/>
      <c r="D987" s="16" t="str">
        <f aca="false">IF(OR(A987="",B987="",C987=""),"",C987*IFERROR(INDEX(Malzemeler!$E$5:$E$154,MATCH(B987,Malzemeler!$A$5:$A$154,0)),0))</f>
        <v/>
      </c>
    </row>
    <row r="988" customFormat="false" ht="15" hidden="false" customHeight="false" outlineLevel="0" collapsed="false">
      <c r="A988" s="20"/>
      <c r="B988" s="20"/>
      <c r="C988" s="21"/>
      <c r="D988" s="16" t="str">
        <f aca="false">IF(OR(A988="",B988="",C988=""),"",C988*IFERROR(INDEX(Malzemeler!$E$5:$E$154,MATCH(B988,Malzemeler!$A$5:$A$154,0)),0))</f>
        <v/>
      </c>
    </row>
    <row r="989" customFormat="false" ht="15" hidden="false" customHeight="false" outlineLevel="0" collapsed="false">
      <c r="A989" s="20"/>
      <c r="B989" s="20"/>
      <c r="C989" s="21"/>
      <c r="D989" s="16" t="str">
        <f aca="false">IF(OR(A989="",B989="",C989=""),"",C989*IFERROR(INDEX(Malzemeler!$E$5:$E$154,MATCH(B989,Malzemeler!$A$5:$A$154,0)),0))</f>
        <v/>
      </c>
    </row>
    <row r="990" customFormat="false" ht="15" hidden="false" customHeight="false" outlineLevel="0" collapsed="false">
      <c r="A990" s="20"/>
      <c r="B990" s="20"/>
      <c r="C990" s="21"/>
      <c r="D990" s="16" t="str">
        <f aca="false">IF(OR(A990="",B990="",C990=""),"",C990*IFERROR(INDEX(Malzemeler!$E$5:$E$154,MATCH(B990,Malzemeler!$A$5:$A$154,0)),0))</f>
        <v/>
      </c>
    </row>
    <row r="991" customFormat="false" ht="15" hidden="false" customHeight="false" outlineLevel="0" collapsed="false">
      <c r="A991" s="20"/>
      <c r="B991" s="20"/>
      <c r="C991" s="21"/>
      <c r="D991" s="16" t="str">
        <f aca="false">IF(OR(A991="",B991="",C991=""),"",C991*IFERROR(INDEX(Malzemeler!$E$5:$E$154,MATCH(B991,Malzemeler!$A$5:$A$154,0)),0))</f>
        <v/>
      </c>
    </row>
    <row r="992" customFormat="false" ht="15" hidden="false" customHeight="false" outlineLevel="0" collapsed="false">
      <c r="A992" s="20"/>
      <c r="B992" s="20"/>
      <c r="C992" s="21"/>
      <c r="D992" s="16" t="str">
        <f aca="false">IF(OR(A992="",B992="",C992=""),"",C992*IFERROR(INDEX(Malzemeler!$E$5:$E$154,MATCH(B992,Malzemeler!$A$5:$A$154,0)),0))</f>
        <v/>
      </c>
    </row>
    <row r="993" customFormat="false" ht="15" hidden="false" customHeight="false" outlineLevel="0" collapsed="false">
      <c r="A993" s="20"/>
      <c r="B993" s="20"/>
      <c r="C993" s="21"/>
      <c r="D993" s="16" t="str">
        <f aca="false">IF(OR(A993="",B993="",C993=""),"",C993*IFERROR(INDEX(Malzemeler!$E$5:$E$154,MATCH(B993,Malzemeler!$A$5:$A$154,0)),0))</f>
        <v/>
      </c>
    </row>
    <row r="994" customFormat="false" ht="15" hidden="false" customHeight="false" outlineLevel="0" collapsed="false">
      <c r="A994" s="20"/>
      <c r="B994" s="20"/>
      <c r="C994" s="21"/>
      <c r="D994" s="16" t="str">
        <f aca="false">IF(OR(A994="",B994="",C994=""),"",C994*IFERROR(INDEX(Malzemeler!$E$5:$E$154,MATCH(B994,Malzemeler!$A$5:$A$154,0)),0))</f>
        <v/>
      </c>
    </row>
    <row r="995" customFormat="false" ht="15" hidden="false" customHeight="false" outlineLevel="0" collapsed="false">
      <c r="A995" s="20"/>
      <c r="B995" s="20"/>
      <c r="C995" s="21"/>
      <c r="D995" s="16" t="str">
        <f aca="false">IF(OR(A995="",B995="",C995=""),"",C995*IFERROR(INDEX(Malzemeler!$E$5:$E$154,MATCH(B995,Malzemeler!$A$5:$A$154,0)),0))</f>
        <v/>
      </c>
    </row>
    <row r="996" customFormat="false" ht="15" hidden="false" customHeight="false" outlineLevel="0" collapsed="false">
      <c r="A996" s="20"/>
      <c r="B996" s="20"/>
      <c r="C996" s="21"/>
      <c r="D996" s="16" t="str">
        <f aca="false">IF(OR(A996="",B996="",C996=""),"",C996*IFERROR(INDEX(Malzemeler!$E$5:$E$154,MATCH(B996,Malzemeler!$A$5:$A$154,0)),0))</f>
        <v/>
      </c>
    </row>
    <row r="997" customFormat="false" ht="15" hidden="false" customHeight="false" outlineLevel="0" collapsed="false">
      <c r="A997" s="20"/>
      <c r="B997" s="20"/>
      <c r="C997" s="21"/>
      <c r="D997" s="16" t="str">
        <f aca="false">IF(OR(A997="",B997="",C997=""),"",C997*IFERROR(INDEX(Malzemeler!$E$5:$E$154,MATCH(B997,Malzemeler!$A$5:$A$154,0)),0))</f>
        <v/>
      </c>
    </row>
    <row r="998" customFormat="false" ht="15" hidden="false" customHeight="false" outlineLevel="0" collapsed="false">
      <c r="A998" s="20"/>
      <c r="B998" s="20"/>
      <c r="C998" s="21"/>
      <c r="D998" s="16" t="str">
        <f aca="false">IF(OR(A998="",B998="",C998=""),"",C998*IFERROR(INDEX(Malzemeler!$E$5:$E$154,MATCH(B998,Malzemeler!$A$5:$A$154,0)),0))</f>
        <v/>
      </c>
    </row>
    <row r="999" customFormat="false" ht="15" hidden="false" customHeight="false" outlineLevel="0" collapsed="false">
      <c r="A999" s="20"/>
      <c r="B999" s="20"/>
      <c r="C999" s="21"/>
      <c r="D999" s="16" t="str">
        <f aca="false">IF(OR(A999="",B999="",C999=""),"",C999*IFERROR(INDEX(Malzemeler!$E$5:$E$154,MATCH(B999,Malzemeler!$A$5:$A$154,0)),0))</f>
        <v/>
      </c>
    </row>
    <row r="1000" customFormat="false" ht="15" hidden="false" customHeight="false" outlineLevel="0" collapsed="false">
      <c r="A1000" s="20"/>
      <c r="B1000" s="20"/>
      <c r="C1000" s="21"/>
      <c r="D1000" s="16" t="str">
        <f aca="false">IF(OR(A1000="",B1000="",C1000=""),"",C1000*IFERROR(INDEX(Malzemeler!$E$5:$E$154,MATCH(B1000,Malzemeler!$A$5:$A$154,0)),0))</f>
        <v/>
      </c>
    </row>
    <row r="1001" customFormat="false" ht="15" hidden="false" customHeight="false" outlineLevel="0" collapsed="false">
      <c r="A1001" s="20"/>
      <c r="B1001" s="20"/>
      <c r="C1001" s="21"/>
      <c r="D1001" s="16" t="str">
        <f aca="false">IF(OR(A1001="",B1001="",C1001=""),"",C1001*IFERROR(INDEX(Malzemeler!$E$5:$E$154,MATCH(B1001,Malzemeler!$A$5:$A$154,0)),0))</f>
        <v/>
      </c>
    </row>
    <row r="1002" customFormat="false" ht="15" hidden="false" customHeight="false" outlineLevel="0" collapsed="false">
      <c r="A1002" s="20"/>
      <c r="B1002" s="20"/>
      <c r="C1002" s="21"/>
      <c r="D1002" s="16" t="str">
        <f aca="false">IF(OR(A1002="",B1002="",C1002=""),"",C1002*IFERROR(INDEX(Malzemeler!$E$5:$E$154,MATCH(B1002,Malzemeler!$A$5:$A$154,0)),0))</f>
        <v/>
      </c>
    </row>
    <row r="1003" customFormat="false" ht="15" hidden="false" customHeight="false" outlineLevel="0" collapsed="false">
      <c r="A1003" s="20"/>
      <c r="B1003" s="20"/>
      <c r="C1003" s="21"/>
      <c r="D1003" s="16" t="str">
        <f aca="false">IF(OR(A1003="",B1003="",C1003=""),"",C1003*IFERROR(INDEX(Malzemeler!$E$5:$E$154,MATCH(B1003,Malzemeler!$A$5:$A$154,0)),0))</f>
        <v/>
      </c>
    </row>
    <row r="1004" customFormat="false" ht="15" hidden="false" customHeight="false" outlineLevel="0" collapsed="false">
      <c r="A1004" s="20"/>
      <c r="B1004" s="20"/>
      <c r="C1004" s="21"/>
      <c r="D1004" s="16" t="str">
        <f aca="false">IF(OR(A1004="",B1004="",C1004=""),"",C1004*IFERROR(INDEX(Malzemeler!$E$5:$E$154,MATCH(B1004,Malzemeler!$A$5:$A$154,0)),0))</f>
        <v/>
      </c>
    </row>
  </sheetData>
  <dataValidations count="3">
    <dataValidation allowBlank="true" error="Sıfır ya da daha büyük bir sayı gir." errorStyle="stop" errorTitle="Kontrol" operator="greaterThanOrEqual" showDropDown="false" showErrorMessage="true" showInputMessage="false" sqref="C5:C10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A5:A1004" type="list">
      <formula1>Ürünler!$A$5:$A$84</formula1>
      <formula2>0</formula2>
    </dataValidation>
    <dataValidation allowBlank="true" error="Listeden seç." errorStyle="stop" errorTitle="Kontrol" operator="between" showDropDown="false" showErrorMessage="true" showInputMessage="false" sqref="B5:B1004" type="list">
      <formula1>Malzemeler!$A$5:$A$154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5" min="3" style="0" width="14"/>
  </cols>
  <sheetData>
    <row r="1" customFormat="false" ht="19.7" hidden="false" customHeight="false" outlineLevel="0" collapsed="false">
      <c r="A1" s="8" t="s">
        <v>49</v>
      </c>
    </row>
    <row r="2" customFormat="false" ht="15" hidden="false" customHeight="false" outlineLevel="0" collapsed="false">
      <c r="A2" s="9" t="s">
        <v>50</v>
      </c>
    </row>
    <row r="4" customFormat="false" ht="27.75" hidden="false" customHeight="true" outlineLevel="0" collapsed="false">
      <c r="A4" s="10" t="s">
        <v>42</v>
      </c>
      <c r="B4" s="10" t="s">
        <v>51</v>
      </c>
      <c r="C4" s="10" t="s">
        <v>52</v>
      </c>
      <c r="D4" s="10" t="s">
        <v>53</v>
      </c>
      <c r="E4" s="11" t="s">
        <v>54</v>
      </c>
    </row>
    <row r="5" customFormat="false" ht="15" hidden="false" customHeight="false" outlineLevel="0" collapsed="false">
      <c r="A5" s="12" t="s">
        <v>45</v>
      </c>
      <c r="B5" s="12" t="s">
        <v>55</v>
      </c>
      <c r="C5" s="14" t="n">
        <v>150</v>
      </c>
      <c r="D5" s="21" t="n">
        <v>5</v>
      </c>
      <c r="E5" s="16" t="n">
        <f aca="false">IF(OR(A5="",D5="",D5=0),"",C5/D5)</f>
        <v>30</v>
      </c>
    </row>
    <row r="6" customFormat="false" ht="15" hidden="false" customHeight="false" outlineLevel="0" collapsed="false">
      <c r="A6" s="12" t="s">
        <v>46</v>
      </c>
      <c r="B6" s="12" t="s">
        <v>55</v>
      </c>
      <c r="C6" s="14" t="n">
        <v>220</v>
      </c>
      <c r="D6" s="21" t="n">
        <v>5</v>
      </c>
      <c r="E6" s="16" t="n">
        <f aca="false">IF(OR(A6="",D6="",D6=0),"",C6/D6)</f>
        <v>44</v>
      </c>
    </row>
    <row r="7" customFormat="false" ht="15" hidden="false" customHeight="false" outlineLevel="0" collapsed="false">
      <c r="A7" s="12" t="s">
        <v>47</v>
      </c>
      <c r="B7" s="12" t="s">
        <v>55</v>
      </c>
      <c r="C7" s="14" t="n">
        <v>500</v>
      </c>
      <c r="D7" s="21" t="n">
        <v>1</v>
      </c>
      <c r="E7" s="16" t="n">
        <f aca="false">IF(OR(A7="",D7="",D7=0),"",C7/D7)</f>
        <v>500</v>
      </c>
    </row>
    <row r="8" customFormat="false" ht="15" hidden="false" customHeight="false" outlineLevel="0" collapsed="false">
      <c r="A8" s="12" t="s">
        <v>48</v>
      </c>
      <c r="B8" s="12" t="s">
        <v>56</v>
      </c>
      <c r="C8" s="14" t="n">
        <v>180</v>
      </c>
      <c r="D8" s="21" t="n">
        <v>30</v>
      </c>
      <c r="E8" s="16" t="n">
        <f aca="false">IF(OR(A8="",D8="",D8=0),"",C8/D8)</f>
        <v>6</v>
      </c>
    </row>
    <row r="9" customFormat="false" ht="15" hidden="false" customHeight="false" outlineLevel="0" collapsed="false">
      <c r="A9" s="12"/>
      <c r="B9" s="12"/>
      <c r="C9" s="14"/>
      <c r="D9" s="21"/>
      <c r="E9" s="16" t="str">
        <f aca="false">IF(OR(A9="",D9="",D9=0),"",C9/D9)</f>
        <v/>
      </c>
    </row>
    <row r="10" customFormat="false" ht="15" hidden="false" customHeight="false" outlineLevel="0" collapsed="false">
      <c r="A10" s="12"/>
      <c r="B10" s="12"/>
      <c r="C10" s="14"/>
      <c r="D10" s="21"/>
      <c r="E10" s="16" t="str">
        <f aca="false">IF(OR(A10="",D10="",D10=0),"",C10/D10)</f>
        <v/>
      </c>
    </row>
    <row r="11" customFormat="false" ht="15" hidden="false" customHeight="false" outlineLevel="0" collapsed="false">
      <c r="A11" s="12"/>
      <c r="B11" s="12"/>
      <c r="C11" s="14"/>
      <c r="D11" s="21"/>
      <c r="E11" s="16" t="str">
        <f aca="false">IF(OR(A11="",D11="",D11=0),"",C11/D11)</f>
        <v/>
      </c>
    </row>
    <row r="12" customFormat="false" ht="15" hidden="false" customHeight="false" outlineLevel="0" collapsed="false">
      <c r="A12" s="12"/>
      <c r="B12" s="12"/>
      <c r="C12" s="14"/>
      <c r="D12" s="21"/>
      <c r="E12" s="16" t="str">
        <f aca="false">IF(OR(A12="",D12="",D12=0),"",C12/D12)</f>
        <v/>
      </c>
    </row>
    <row r="13" customFormat="false" ht="15" hidden="false" customHeight="false" outlineLevel="0" collapsed="false">
      <c r="A13" s="12"/>
      <c r="B13" s="12"/>
      <c r="C13" s="14"/>
      <c r="D13" s="21"/>
      <c r="E13" s="16" t="str">
        <f aca="false">IF(OR(A13="",D13="",D13=0),"",C13/D13)</f>
        <v/>
      </c>
    </row>
    <row r="14" customFormat="false" ht="15" hidden="false" customHeight="false" outlineLevel="0" collapsed="false">
      <c r="A14" s="12"/>
      <c r="B14" s="12"/>
      <c r="C14" s="14"/>
      <c r="D14" s="21"/>
      <c r="E14" s="16" t="str">
        <f aca="false">IF(OR(A14="",D14="",D14=0),"",C14/D14)</f>
        <v/>
      </c>
    </row>
    <row r="15" customFormat="false" ht="15" hidden="false" customHeight="false" outlineLevel="0" collapsed="false">
      <c r="A15" s="12"/>
      <c r="B15" s="12"/>
      <c r="C15" s="14"/>
      <c r="D15" s="21"/>
      <c r="E15" s="16" t="str">
        <f aca="false">IF(OR(A15="",D15="",D15=0),"",C15/D15)</f>
        <v/>
      </c>
    </row>
    <row r="16" customFormat="false" ht="15" hidden="false" customHeight="false" outlineLevel="0" collapsed="false">
      <c r="A16" s="12"/>
      <c r="B16" s="12"/>
      <c r="C16" s="14"/>
      <c r="D16" s="21"/>
      <c r="E16" s="16" t="str">
        <f aca="false">IF(OR(A16="",D16="",D16=0),"",C16/D16)</f>
        <v/>
      </c>
    </row>
    <row r="17" customFormat="false" ht="15" hidden="false" customHeight="false" outlineLevel="0" collapsed="false">
      <c r="A17" s="12"/>
      <c r="B17" s="12"/>
      <c r="C17" s="14"/>
      <c r="D17" s="21"/>
      <c r="E17" s="16" t="str">
        <f aca="false">IF(OR(A17="",D17="",D17=0),"",C17/D17)</f>
        <v/>
      </c>
    </row>
    <row r="18" customFormat="false" ht="15" hidden="false" customHeight="false" outlineLevel="0" collapsed="false">
      <c r="A18" s="12"/>
      <c r="B18" s="12"/>
      <c r="C18" s="14"/>
      <c r="D18" s="21"/>
      <c r="E18" s="16" t="str">
        <f aca="false">IF(OR(A18="",D18="",D18=0),"",C18/D18)</f>
        <v/>
      </c>
    </row>
    <row r="19" customFormat="false" ht="15" hidden="false" customHeight="false" outlineLevel="0" collapsed="false">
      <c r="A19" s="12"/>
      <c r="B19" s="12"/>
      <c r="C19" s="14"/>
      <c r="D19" s="21"/>
      <c r="E19" s="16" t="str">
        <f aca="false">IF(OR(A19="",D19="",D19=0),"",C19/D19)</f>
        <v/>
      </c>
    </row>
    <row r="20" customFormat="false" ht="15" hidden="false" customHeight="false" outlineLevel="0" collapsed="false">
      <c r="A20" s="12"/>
      <c r="B20" s="12"/>
      <c r="C20" s="14"/>
      <c r="D20" s="21"/>
      <c r="E20" s="16" t="str">
        <f aca="false">IF(OR(A20="",D20="",D20=0),"",C20/D20)</f>
        <v/>
      </c>
    </row>
    <row r="21" customFormat="false" ht="15" hidden="false" customHeight="false" outlineLevel="0" collapsed="false">
      <c r="A21" s="12"/>
      <c r="B21" s="12"/>
      <c r="C21" s="14"/>
      <c r="D21" s="21"/>
      <c r="E21" s="16" t="str">
        <f aca="false">IF(OR(A21="",D21="",D21=0),"",C21/D21)</f>
        <v/>
      </c>
    </row>
    <row r="22" customFormat="false" ht="15" hidden="false" customHeight="false" outlineLevel="0" collapsed="false">
      <c r="A22" s="12"/>
      <c r="B22" s="12"/>
      <c r="C22" s="14"/>
      <c r="D22" s="21"/>
      <c r="E22" s="16" t="str">
        <f aca="false">IF(OR(A22="",D22="",D22=0),"",C22/D22)</f>
        <v/>
      </c>
    </row>
    <row r="23" customFormat="false" ht="15" hidden="false" customHeight="false" outlineLevel="0" collapsed="false">
      <c r="A23" s="12"/>
      <c r="B23" s="12"/>
      <c r="C23" s="14"/>
      <c r="D23" s="21"/>
      <c r="E23" s="16" t="str">
        <f aca="false">IF(OR(A23="",D23="",D23=0),"",C23/D23)</f>
        <v/>
      </c>
    </row>
    <row r="24" customFormat="false" ht="15" hidden="false" customHeight="false" outlineLevel="0" collapsed="false">
      <c r="A24" s="12"/>
      <c r="B24" s="12"/>
      <c r="C24" s="14"/>
      <c r="D24" s="21"/>
      <c r="E24" s="16" t="str">
        <f aca="false">IF(OR(A24="",D24="",D24=0),"",C24/D24)</f>
        <v/>
      </c>
    </row>
    <row r="25" customFormat="false" ht="15" hidden="false" customHeight="false" outlineLevel="0" collapsed="false">
      <c r="A25" s="12"/>
      <c r="B25" s="12"/>
      <c r="C25" s="14"/>
      <c r="D25" s="21"/>
      <c r="E25" s="16" t="str">
        <f aca="false">IF(OR(A25="",D25="",D25=0),"",C25/D25)</f>
        <v/>
      </c>
    </row>
    <row r="26" customFormat="false" ht="15" hidden="false" customHeight="false" outlineLevel="0" collapsed="false">
      <c r="A26" s="12"/>
      <c r="B26" s="12"/>
      <c r="C26" s="14"/>
      <c r="D26" s="21"/>
      <c r="E26" s="16" t="str">
        <f aca="false">IF(OR(A26="",D26="",D26=0),"",C26/D26)</f>
        <v/>
      </c>
    </row>
    <row r="27" customFormat="false" ht="15" hidden="false" customHeight="false" outlineLevel="0" collapsed="false">
      <c r="A27" s="12"/>
      <c r="B27" s="12"/>
      <c r="C27" s="14"/>
      <c r="D27" s="21"/>
      <c r="E27" s="16" t="str">
        <f aca="false">IF(OR(A27="",D27="",D27=0),"",C27/D27)</f>
        <v/>
      </c>
    </row>
    <row r="28" customFormat="false" ht="15" hidden="false" customHeight="false" outlineLevel="0" collapsed="false">
      <c r="A28" s="12"/>
      <c r="B28" s="12"/>
      <c r="C28" s="14"/>
      <c r="D28" s="21"/>
      <c r="E28" s="16" t="str">
        <f aca="false">IF(OR(A28="",D28="",D28=0),"",C28/D28)</f>
        <v/>
      </c>
    </row>
    <row r="29" customFormat="false" ht="15" hidden="false" customHeight="false" outlineLevel="0" collapsed="false">
      <c r="A29" s="12"/>
      <c r="B29" s="12"/>
      <c r="C29" s="14"/>
      <c r="D29" s="21"/>
      <c r="E29" s="16" t="str">
        <f aca="false">IF(OR(A29="",D29="",D29=0),"",C29/D29)</f>
        <v/>
      </c>
    </row>
    <row r="30" customFormat="false" ht="15" hidden="false" customHeight="false" outlineLevel="0" collapsed="false">
      <c r="A30" s="12"/>
      <c r="B30" s="12"/>
      <c r="C30" s="14"/>
      <c r="D30" s="21"/>
      <c r="E30" s="16" t="str">
        <f aca="false">IF(OR(A30="",D30="",D30=0),"",C30/D30)</f>
        <v/>
      </c>
    </row>
    <row r="31" customFormat="false" ht="15" hidden="false" customHeight="false" outlineLevel="0" collapsed="false">
      <c r="A31" s="12"/>
      <c r="B31" s="12"/>
      <c r="C31" s="14"/>
      <c r="D31" s="21"/>
      <c r="E31" s="16" t="str">
        <f aca="false">IF(OR(A31="",D31="",D31=0),"",C31/D31)</f>
        <v/>
      </c>
    </row>
    <row r="32" customFormat="false" ht="15" hidden="false" customHeight="false" outlineLevel="0" collapsed="false">
      <c r="A32" s="12"/>
      <c r="B32" s="12"/>
      <c r="C32" s="14"/>
      <c r="D32" s="21"/>
      <c r="E32" s="16" t="str">
        <f aca="false">IF(OR(A32="",D32="",D32=0),"",C32/D32)</f>
        <v/>
      </c>
    </row>
    <row r="33" customFormat="false" ht="15" hidden="false" customHeight="false" outlineLevel="0" collapsed="false">
      <c r="A33" s="12"/>
      <c r="B33" s="12"/>
      <c r="C33" s="14"/>
      <c r="D33" s="21"/>
      <c r="E33" s="16" t="str">
        <f aca="false">IF(OR(A33="",D33="",D33=0),"",C33/D33)</f>
        <v/>
      </c>
    </row>
    <row r="34" customFormat="false" ht="15" hidden="false" customHeight="false" outlineLevel="0" collapsed="false">
      <c r="A34" s="12"/>
      <c r="B34" s="12"/>
      <c r="C34" s="14"/>
      <c r="D34" s="21"/>
      <c r="E34" s="16" t="str">
        <f aca="false">IF(OR(A34="",D34="",D34=0),"",C34/D34)</f>
        <v/>
      </c>
    </row>
    <row r="35" customFormat="false" ht="15" hidden="false" customHeight="false" outlineLevel="0" collapsed="false">
      <c r="A35" s="12"/>
      <c r="B35" s="12"/>
      <c r="C35" s="14"/>
      <c r="D35" s="21"/>
      <c r="E35" s="16" t="str">
        <f aca="false">IF(OR(A35="",D35="",D35=0),"",C35/D35)</f>
        <v/>
      </c>
    </row>
    <row r="36" customFormat="false" ht="15" hidden="false" customHeight="false" outlineLevel="0" collapsed="false">
      <c r="A36" s="12"/>
      <c r="B36" s="12"/>
      <c r="C36" s="14"/>
      <c r="D36" s="21"/>
      <c r="E36" s="16" t="str">
        <f aca="false">IF(OR(A36="",D36="",D36=0),"",C36/D36)</f>
        <v/>
      </c>
    </row>
    <row r="37" customFormat="false" ht="15" hidden="false" customHeight="false" outlineLevel="0" collapsed="false">
      <c r="A37" s="12"/>
      <c r="B37" s="12"/>
      <c r="C37" s="14"/>
      <c r="D37" s="21"/>
      <c r="E37" s="16" t="str">
        <f aca="false">IF(OR(A37="",D37="",D37=0),"",C37/D37)</f>
        <v/>
      </c>
    </row>
    <row r="38" customFormat="false" ht="15" hidden="false" customHeight="false" outlineLevel="0" collapsed="false">
      <c r="A38" s="12"/>
      <c r="B38" s="12"/>
      <c r="C38" s="14"/>
      <c r="D38" s="21"/>
      <c r="E38" s="16" t="str">
        <f aca="false">IF(OR(A38="",D38="",D38=0),"",C38/D38)</f>
        <v/>
      </c>
    </row>
    <row r="39" customFormat="false" ht="15" hidden="false" customHeight="false" outlineLevel="0" collapsed="false">
      <c r="A39" s="12"/>
      <c r="B39" s="12"/>
      <c r="C39" s="14"/>
      <c r="D39" s="21"/>
      <c r="E39" s="16" t="str">
        <f aca="false">IF(OR(A39="",D39="",D39=0),"",C39/D39)</f>
        <v/>
      </c>
    </row>
    <row r="40" customFormat="false" ht="15" hidden="false" customHeight="false" outlineLevel="0" collapsed="false">
      <c r="A40" s="12"/>
      <c r="B40" s="12"/>
      <c r="C40" s="14"/>
      <c r="D40" s="21"/>
      <c r="E40" s="16" t="str">
        <f aca="false">IF(OR(A40="",D40="",D40=0),"",C40/D40)</f>
        <v/>
      </c>
    </row>
    <row r="41" customFormat="false" ht="15" hidden="false" customHeight="false" outlineLevel="0" collapsed="false">
      <c r="A41" s="12"/>
      <c r="B41" s="12"/>
      <c r="C41" s="14"/>
      <c r="D41" s="21"/>
      <c r="E41" s="16" t="str">
        <f aca="false">IF(OR(A41="",D41="",D41=0),"",C41/D41)</f>
        <v/>
      </c>
    </row>
    <row r="42" customFormat="false" ht="15" hidden="false" customHeight="false" outlineLevel="0" collapsed="false">
      <c r="A42" s="12"/>
      <c r="B42" s="12"/>
      <c r="C42" s="14"/>
      <c r="D42" s="21"/>
      <c r="E42" s="16" t="str">
        <f aca="false">IF(OR(A42="",D42="",D42=0),"",C42/D42)</f>
        <v/>
      </c>
    </row>
    <row r="43" customFormat="false" ht="15" hidden="false" customHeight="false" outlineLevel="0" collapsed="false">
      <c r="A43" s="12"/>
      <c r="B43" s="12"/>
      <c r="C43" s="14"/>
      <c r="D43" s="21"/>
      <c r="E43" s="16" t="str">
        <f aca="false">IF(OR(A43="",D43="",D43=0),"",C43/D43)</f>
        <v/>
      </c>
    </row>
    <row r="44" customFormat="false" ht="15" hidden="false" customHeight="false" outlineLevel="0" collapsed="false">
      <c r="A44" s="12"/>
      <c r="B44" s="12"/>
      <c r="C44" s="14"/>
      <c r="D44" s="21"/>
      <c r="E44" s="16" t="str">
        <f aca="false">IF(OR(A44="",D44="",D44=0),"",C44/D44)</f>
        <v/>
      </c>
    </row>
    <row r="45" customFormat="false" ht="15" hidden="false" customHeight="false" outlineLevel="0" collapsed="false">
      <c r="A45" s="12"/>
      <c r="B45" s="12"/>
      <c r="C45" s="14"/>
      <c r="D45" s="21"/>
      <c r="E45" s="16" t="str">
        <f aca="false">IF(OR(A45="",D45="",D45=0),"",C45/D45)</f>
        <v/>
      </c>
    </row>
    <row r="46" customFormat="false" ht="15" hidden="false" customHeight="false" outlineLevel="0" collapsed="false">
      <c r="A46" s="12"/>
      <c r="B46" s="12"/>
      <c r="C46" s="14"/>
      <c r="D46" s="21"/>
      <c r="E46" s="16" t="str">
        <f aca="false">IF(OR(A46="",D46="",D46=0),"",C46/D46)</f>
        <v/>
      </c>
    </row>
    <row r="47" customFormat="false" ht="15" hidden="false" customHeight="false" outlineLevel="0" collapsed="false">
      <c r="A47" s="12"/>
      <c r="B47" s="12"/>
      <c r="C47" s="14"/>
      <c r="D47" s="21"/>
      <c r="E47" s="16" t="str">
        <f aca="false">IF(OR(A47="",D47="",D47=0),"",C47/D47)</f>
        <v/>
      </c>
    </row>
    <row r="48" customFormat="false" ht="15" hidden="false" customHeight="false" outlineLevel="0" collapsed="false">
      <c r="A48" s="12"/>
      <c r="B48" s="12"/>
      <c r="C48" s="14"/>
      <c r="D48" s="21"/>
      <c r="E48" s="16" t="str">
        <f aca="false">IF(OR(A48="",D48="",D48=0),"",C48/D48)</f>
        <v/>
      </c>
    </row>
    <row r="49" customFormat="false" ht="15" hidden="false" customHeight="false" outlineLevel="0" collapsed="false">
      <c r="A49" s="12"/>
      <c r="B49" s="12"/>
      <c r="C49" s="14"/>
      <c r="D49" s="21"/>
      <c r="E49" s="16" t="str">
        <f aca="false">IF(OR(A49="",D49="",D49=0),"",C49/D49)</f>
        <v/>
      </c>
    </row>
    <row r="50" customFormat="false" ht="15" hidden="false" customHeight="false" outlineLevel="0" collapsed="false">
      <c r="A50" s="12"/>
      <c r="B50" s="12"/>
      <c r="C50" s="14"/>
      <c r="D50" s="21"/>
      <c r="E50" s="16" t="str">
        <f aca="false">IF(OR(A50="",D50="",D50=0),"",C50/D50)</f>
        <v/>
      </c>
    </row>
    <row r="51" customFormat="false" ht="15" hidden="false" customHeight="false" outlineLevel="0" collapsed="false">
      <c r="A51" s="12"/>
      <c r="B51" s="12"/>
      <c r="C51" s="14"/>
      <c r="D51" s="21"/>
      <c r="E51" s="16" t="str">
        <f aca="false">IF(OR(A51="",D51="",D51=0),"",C51/D51)</f>
        <v/>
      </c>
    </row>
    <row r="52" customFormat="false" ht="15" hidden="false" customHeight="false" outlineLevel="0" collapsed="false">
      <c r="A52" s="12"/>
      <c r="B52" s="12"/>
      <c r="C52" s="14"/>
      <c r="D52" s="21"/>
      <c r="E52" s="16" t="str">
        <f aca="false">IF(OR(A52="",D52="",D52=0),"",C52/D52)</f>
        <v/>
      </c>
    </row>
    <row r="53" customFormat="false" ht="15" hidden="false" customHeight="false" outlineLevel="0" collapsed="false">
      <c r="A53" s="12"/>
      <c r="B53" s="12"/>
      <c r="C53" s="14"/>
      <c r="D53" s="21"/>
      <c r="E53" s="16" t="str">
        <f aca="false">IF(OR(A53="",D53="",D53=0),"",C53/D53)</f>
        <v/>
      </c>
    </row>
    <row r="54" customFormat="false" ht="15" hidden="false" customHeight="false" outlineLevel="0" collapsed="false">
      <c r="A54" s="12"/>
      <c r="B54" s="12"/>
      <c r="C54" s="14"/>
      <c r="D54" s="21"/>
      <c r="E54" s="16" t="str">
        <f aca="false">IF(OR(A54="",D54="",D54=0),"",C54/D54)</f>
        <v/>
      </c>
    </row>
    <row r="55" customFormat="false" ht="15" hidden="false" customHeight="false" outlineLevel="0" collapsed="false">
      <c r="A55" s="12"/>
      <c r="B55" s="12"/>
      <c r="C55" s="14"/>
      <c r="D55" s="21"/>
      <c r="E55" s="16" t="str">
        <f aca="false">IF(OR(A55="",D55="",D55=0),"",C55/D55)</f>
        <v/>
      </c>
    </row>
    <row r="56" customFormat="false" ht="15" hidden="false" customHeight="false" outlineLevel="0" collapsed="false">
      <c r="A56" s="12"/>
      <c r="B56" s="12"/>
      <c r="C56" s="14"/>
      <c r="D56" s="21"/>
      <c r="E56" s="16" t="str">
        <f aca="false">IF(OR(A56="",D56="",D56=0),"",C56/D56)</f>
        <v/>
      </c>
    </row>
    <row r="57" customFormat="false" ht="15" hidden="false" customHeight="false" outlineLevel="0" collapsed="false">
      <c r="A57" s="12"/>
      <c r="B57" s="12"/>
      <c r="C57" s="14"/>
      <c r="D57" s="21"/>
      <c r="E57" s="16" t="str">
        <f aca="false">IF(OR(A57="",D57="",D57=0),"",C57/D57)</f>
        <v/>
      </c>
    </row>
    <row r="58" customFormat="false" ht="15" hidden="false" customHeight="false" outlineLevel="0" collapsed="false">
      <c r="A58" s="12"/>
      <c r="B58" s="12"/>
      <c r="C58" s="14"/>
      <c r="D58" s="21"/>
      <c r="E58" s="16" t="str">
        <f aca="false">IF(OR(A58="",D58="",D58=0),"",C58/D58)</f>
        <v/>
      </c>
    </row>
    <row r="59" customFormat="false" ht="15" hidden="false" customHeight="false" outlineLevel="0" collapsed="false">
      <c r="A59" s="12"/>
      <c r="B59" s="12"/>
      <c r="C59" s="14"/>
      <c r="D59" s="21"/>
      <c r="E59" s="16" t="str">
        <f aca="false">IF(OR(A59="",D59="",D59=0),"",C59/D59)</f>
        <v/>
      </c>
    </row>
    <row r="60" customFormat="false" ht="15" hidden="false" customHeight="false" outlineLevel="0" collapsed="false">
      <c r="A60" s="12"/>
      <c r="B60" s="12"/>
      <c r="C60" s="14"/>
      <c r="D60" s="21"/>
      <c r="E60" s="16" t="str">
        <f aca="false">IF(OR(A60="",D60="",D60=0),"",C60/D60)</f>
        <v/>
      </c>
    </row>
    <row r="61" customFormat="false" ht="15" hidden="false" customHeight="false" outlineLevel="0" collapsed="false">
      <c r="A61" s="12"/>
      <c r="B61" s="12"/>
      <c r="C61" s="14"/>
      <c r="D61" s="21"/>
      <c r="E61" s="16" t="str">
        <f aca="false">IF(OR(A61="",D61="",D61=0),"",C61/D61)</f>
        <v/>
      </c>
    </row>
    <row r="62" customFormat="false" ht="15" hidden="false" customHeight="false" outlineLevel="0" collapsed="false">
      <c r="A62" s="12"/>
      <c r="B62" s="12"/>
      <c r="C62" s="14"/>
      <c r="D62" s="21"/>
      <c r="E62" s="16" t="str">
        <f aca="false">IF(OR(A62="",D62="",D62=0),"",C62/D62)</f>
        <v/>
      </c>
    </row>
    <row r="63" customFormat="false" ht="15" hidden="false" customHeight="false" outlineLevel="0" collapsed="false">
      <c r="A63" s="12"/>
      <c r="B63" s="12"/>
      <c r="C63" s="14"/>
      <c r="D63" s="21"/>
      <c r="E63" s="16" t="str">
        <f aca="false">IF(OR(A63="",D63="",D63=0),"",C63/D63)</f>
        <v/>
      </c>
    </row>
    <row r="64" customFormat="false" ht="15" hidden="false" customHeight="false" outlineLevel="0" collapsed="false">
      <c r="A64" s="12"/>
      <c r="B64" s="12"/>
      <c r="C64" s="14"/>
      <c r="D64" s="21"/>
      <c r="E64" s="16" t="str">
        <f aca="false">IF(OR(A64="",D64="",D64=0),"",C64/D64)</f>
        <v/>
      </c>
    </row>
    <row r="65" customFormat="false" ht="15" hidden="false" customHeight="false" outlineLevel="0" collapsed="false">
      <c r="A65" s="12"/>
      <c r="B65" s="12"/>
      <c r="C65" s="14"/>
      <c r="D65" s="21"/>
      <c r="E65" s="16" t="str">
        <f aca="false">IF(OR(A65="",D65="",D65=0),"",C65/D65)</f>
        <v/>
      </c>
    </row>
    <row r="66" customFormat="false" ht="15" hidden="false" customHeight="false" outlineLevel="0" collapsed="false">
      <c r="A66" s="12"/>
      <c r="B66" s="12"/>
      <c r="C66" s="14"/>
      <c r="D66" s="21"/>
      <c r="E66" s="16" t="str">
        <f aca="false">IF(OR(A66="",D66="",D66=0),"",C66/D66)</f>
        <v/>
      </c>
    </row>
    <row r="67" customFormat="false" ht="15" hidden="false" customHeight="false" outlineLevel="0" collapsed="false">
      <c r="A67" s="12"/>
      <c r="B67" s="12"/>
      <c r="C67" s="14"/>
      <c r="D67" s="21"/>
      <c r="E67" s="16" t="str">
        <f aca="false">IF(OR(A67="",D67="",D67=0),"",C67/D67)</f>
        <v/>
      </c>
    </row>
    <row r="68" customFormat="false" ht="15" hidden="false" customHeight="false" outlineLevel="0" collapsed="false">
      <c r="A68" s="12"/>
      <c r="B68" s="12"/>
      <c r="C68" s="14"/>
      <c r="D68" s="21"/>
      <c r="E68" s="16" t="str">
        <f aca="false">IF(OR(A68="",D68="",D68=0),"",C68/D68)</f>
        <v/>
      </c>
    </row>
    <row r="69" customFormat="false" ht="15" hidden="false" customHeight="false" outlineLevel="0" collapsed="false">
      <c r="A69" s="12"/>
      <c r="B69" s="12"/>
      <c r="C69" s="14"/>
      <c r="D69" s="21"/>
      <c r="E69" s="16" t="str">
        <f aca="false">IF(OR(A69="",D69="",D69=0),"",C69/D69)</f>
        <v/>
      </c>
    </row>
    <row r="70" customFormat="false" ht="15" hidden="false" customHeight="false" outlineLevel="0" collapsed="false">
      <c r="A70" s="12"/>
      <c r="B70" s="12"/>
      <c r="C70" s="14"/>
      <c r="D70" s="21"/>
      <c r="E70" s="16" t="str">
        <f aca="false">IF(OR(A70="",D70="",D70=0),"",C70/D70)</f>
        <v/>
      </c>
    </row>
    <row r="71" customFormat="false" ht="15" hidden="false" customHeight="false" outlineLevel="0" collapsed="false">
      <c r="A71" s="12"/>
      <c r="B71" s="12"/>
      <c r="C71" s="14"/>
      <c r="D71" s="21"/>
      <c r="E71" s="16" t="str">
        <f aca="false">IF(OR(A71="",D71="",D71=0),"",C71/D71)</f>
        <v/>
      </c>
    </row>
    <row r="72" customFormat="false" ht="15" hidden="false" customHeight="false" outlineLevel="0" collapsed="false">
      <c r="A72" s="12"/>
      <c r="B72" s="12"/>
      <c r="C72" s="14"/>
      <c r="D72" s="21"/>
      <c r="E72" s="16" t="str">
        <f aca="false">IF(OR(A72="",D72="",D72=0),"",C72/D72)</f>
        <v/>
      </c>
    </row>
    <row r="73" customFormat="false" ht="15" hidden="false" customHeight="false" outlineLevel="0" collapsed="false">
      <c r="A73" s="12"/>
      <c r="B73" s="12"/>
      <c r="C73" s="14"/>
      <c r="D73" s="21"/>
      <c r="E73" s="16" t="str">
        <f aca="false">IF(OR(A73="",D73="",D73=0),"",C73/D73)</f>
        <v/>
      </c>
    </row>
    <row r="74" customFormat="false" ht="15" hidden="false" customHeight="false" outlineLevel="0" collapsed="false">
      <c r="A74" s="12"/>
      <c r="B74" s="12"/>
      <c r="C74" s="14"/>
      <c r="D74" s="21"/>
      <c r="E74" s="16" t="str">
        <f aca="false">IF(OR(A74="",D74="",D74=0),"",C74/D74)</f>
        <v/>
      </c>
    </row>
    <row r="75" customFormat="false" ht="15" hidden="false" customHeight="false" outlineLevel="0" collapsed="false">
      <c r="A75" s="12"/>
      <c r="B75" s="12"/>
      <c r="C75" s="14"/>
      <c r="D75" s="21"/>
      <c r="E75" s="16" t="str">
        <f aca="false">IF(OR(A75="",D75="",D75=0),"",C75/D75)</f>
        <v/>
      </c>
    </row>
    <row r="76" customFormat="false" ht="15" hidden="false" customHeight="false" outlineLevel="0" collapsed="false">
      <c r="A76" s="12"/>
      <c r="B76" s="12"/>
      <c r="C76" s="14"/>
      <c r="D76" s="21"/>
      <c r="E76" s="16" t="str">
        <f aca="false">IF(OR(A76="",D76="",D76=0),"",C76/D76)</f>
        <v/>
      </c>
    </row>
    <row r="77" customFormat="false" ht="15" hidden="false" customHeight="false" outlineLevel="0" collapsed="false">
      <c r="A77" s="12"/>
      <c r="B77" s="12"/>
      <c r="C77" s="14"/>
      <c r="D77" s="21"/>
      <c r="E77" s="16" t="str">
        <f aca="false">IF(OR(A77="",D77="",D77=0),"",C77/D77)</f>
        <v/>
      </c>
    </row>
    <row r="78" customFormat="false" ht="15" hidden="false" customHeight="false" outlineLevel="0" collapsed="false">
      <c r="A78" s="12"/>
      <c r="B78" s="12"/>
      <c r="C78" s="14"/>
      <c r="D78" s="21"/>
      <c r="E78" s="16" t="str">
        <f aca="false">IF(OR(A78="",D78="",D78=0),"",C78/D78)</f>
        <v/>
      </c>
    </row>
    <row r="79" customFormat="false" ht="15" hidden="false" customHeight="false" outlineLevel="0" collapsed="false">
      <c r="A79" s="12"/>
      <c r="B79" s="12"/>
      <c r="C79" s="14"/>
      <c r="D79" s="21"/>
      <c r="E79" s="16" t="str">
        <f aca="false">IF(OR(A79="",D79="",D79=0),"",C79/D79)</f>
        <v/>
      </c>
    </row>
    <row r="80" customFormat="false" ht="15" hidden="false" customHeight="false" outlineLevel="0" collapsed="false">
      <c r="A80" s="12"/>
      <c r="B80" s="12"/>
      <c r="C80" s="14"/>
      <c r="D80" s="21"/>
      <c r="E80" s="16" t="str">
        <f aca="false">IF(OR(A80="",D80="",D80=0),"",C80/D80)</f>
        <v/>
      </c>
    </row>
    <row r="81" customFormat="false" ht="15" hidden="false" customHeight="false" outlineLevel="0" collapsed="false">
      <c r="A81" s="12"/>
      <c r="B81" s="12"/>
      <c r="C81" s="14"/>
      <c r="D81" s="21"/>
      <c r="E81" s="16" t="str">
        <f aca="false">IF(OR(A81="",D81="",D81=0),"",C81/D81)</f>
        <v/>
      </c>
    </row>
    <row r="82" customFormat="false" ht="15" hidden="false" customHeight="false" outlineLevel="0" collapsed="false">
      <c r="A82" s="12"/>
      <c r="B82" s="12"/>
      <c r="C82" s="14"/>
      <c r="D82" s="21"/>
      <c r="E82" s="16" t="str">
        <f aca="false">IF(OR(A82="",D82="",D82=0),"",C82/D82)</f>
        <v/>
      </c>
    </row>
    <row r="83" customFormat="false" ht="15" hidden="false" customHeight="false" outlineLevel="0" collapsed="false">
      <c r="A83" s="12"/>
      <c r="B83" s="12"/>
      <c r="C83" s="14"/>
      <c r="D83" s="21"/>
      <c r="E83" s="16" t="str">
        <f aca="false">IF(OR(A83="",D83="",D83=0),"",C83/D83)</f>
        <v/>
      </c>
    </row>
    <row r="84" customFormat="false" ht="15" hidden="false" customHeight="false" outlineLevel="0" collapsed="false">
      <c r="A84" s="12"/>
      <c r="B84" s="12"/>
      <c r="C84" s="14"/>
      <c r="D84" s="21"/>
      <c r="E84" s="16" t="str">
        <f aca="false">IF(OR(A84="",D84="",D84=0),"",C84/D84)</f>
        <v/>
      </c>
    </row>
    <row r="85" customFormat="false" ht="15" hidden="false" customHeight="false" outlineLevel="0" collapsed="false">
      <c r="A85" s="12"/>
      <c r="B85" s="12"/>
      <c r="C85" s="14"/>
      <c r="D85" s="21"/>
      <c r="E85" s="16" t="str">
        <f aca="false">IF(OR(A85="",D85="",D85=0),"",C85/D85)</f>
        <v/>
      </c>
    </row>
    <row r="86" customFormat="false" ht="15" hidden="false" customHeight="false" outlineLevel="0" collapsed="false">
      <c r="A86" s="12"/>
      <c r="B86" s="12"/>
      <c r="C86" s="14"/>
      <c r="D86" s="21"/>
      <c r="E86" s="16" t="str">
        <f aca="false">IF(OR(A86="",D86="",D86=0),"",C86/D86)</f>
        <v/>
      </c>
    </row>
    <row r="87" customFormat="false" ht="15" hidden="false" customHeight="false" outlineLevel="0" collapsed="false">
      <c r="A87" s="12"/>
      <c r="B87" s="12"/>
      <c r="C87" s="14"/>
      <c r="D87" s="21"/>
      <c r="E87" s="16" t="str">
        <f aca="false">IF(OR(A87="",D87="",D87=0),"",C87/D87)</f>
        <v/>
      </c>
    </row>
    <row r="88" customFormat="false" ht="15" hidden="false" customHeight="false" outlineLevel="0" collapsed="false">
      <c r="A88" s="12"/>
      <c r="B88" s="12"/>
      <c r="C88" s="14"/>
      <c r="D88" s="21"/>
      <c r="E88" s="16" t="str">
        <f aca="false">IF(OR(A88="",D88="",D88=0),"",C88/D88)</f>
        <v/>
      </c>
    </row>
    <row r="89" customFormat="false" ht="15" hidden="false" customHeight="false" outlineLevel="0" collapsed="false">
      <c r="A89" s="12"/>
      <c r="B89" s="12"/>
      <c r="C89" s="14"/>
      <c r="D89" s="21"/>
      <c r="E89" s="16" t="str">
        <f aca="false">IF(OR(A89="",D89="",D89=0),"",C89/D89)</f>
        <v/>
      </c>
    </row>
    <row r="90" customFormat="false" ht="15" hidden="false" customHeight="false" outlineLevel="0" collapsed="false">
      <c r="A90" s="12"/>
      <c r="B90" s="12"/>
      <c r="C90" s="14"/>
      <c r="D90" s="21"/>
      <c r="E90" s="16" t="str">
        <f aca="false">IF(OR(A90="",D90="",D90=0),"",C90/D90)</f>
        <v/>
      </c>
    </row>
    <row r="91" customFormat="false" ht="15" hidden="false" customHeight="false" outlineLevel="0" collapsed="false">
      <c r="A91" s="12"/>
      <c r="B91" s="12"/>
      <c r="C91" s="14"/>
      <c r="D91" s="21"/>
      <c r="E91" s="16" t="str">
        <f aca="false">IF(OR(A91="",D91="",D91=0),"",C91/D91)</f>
        <v/>
      </c>
    </row>
    <row r="92" customFormat="false" ht="15" hidden="false" customHeight="false" outlineLevel="0" collapsed="false">
      <c r="A92" s="12"/>
      <c r="B92" s="12"/>
      <c r="C92" s="14"/>
      <c r="D92" s="21"/>
      <c r="E92" s="16" t="str">
        <f aca="false">IF(OR(A92="",D92="",D92=0),"",C92/D92)</f>
        <v/>
      </c>
    </row>
    <row r="93" customFormat="false" ht="15" hidden="false" customHeight="false" outlineLevel="0" collapsed="false">
      <c r="A93" s="12"/>
      <c r="B93" s="12"/>
      <c r="C93" s="14"/>
      <c r="D93" s="21"/>
      <c r="E93" s="16" t="str">
        <f aca="false">IF(OR(A93="",D93="",D93=0),"",C93/D93)</f>
        <v/>
      </c>
    </row>
    <row r="94" customFormat="false" ht="15" hidden="false" customHeight="false" outlineLevel="0" collapsed="false">
      <c r="A94" s="12"/>
      <c r="B94" s="12"/>
      <c r="C94" s="14"/>
      <c r="D94" s="21"/>
      <c r="E94" s="16" t="str">
        <f aca="false">IF(OR(A94="",D94="",D94=0),"",C94/D94)</f>
        <v/>
      </c>
    </row>
    <row r="95" customFormat="false" ht="15" hidden="false" customHeight="false" outlineLevel="0" collapsed="false">
      <c r="A95" s="12"/>
      <c r="B95" s="12"/>
      <c r="C95" s="14"/>
      <c r="D95" s="21"/>
      <c r="E95" s="16" t="str">
        <f aca="false">IF(OR(A95="",D95="",D95=0),"",C95/D95)</f>
        <v/>
      </c>
    </row>
    <row r="96" customFormat="false" ht="15" hidden="false" customHeight="false" outlineLevel="0" collapsed="false">
      <c r="A96" s="12"/>
      <c r="B96" s="12"/>
      <c r="C96" s="14"/>
      <c r="D96" s="21"/>
      <c r="E96" s="16" t="str">
        <f aca="false">IF(OR(A96="",D96="",D96=0),"",C96/D96)</f>
        <v/>
      </c>
    </row>
    <row r="97" customFormat="false" ht="15" hidden="false" customHeight="false" outlineLevel="0" collapsed="false">
      <c r="A97" s="12"/>
      <c r="B97" s="12"/>
      <c r="C97" s="14"/>
      <c r="D97" s="21"/>
      <c r="E97" s="16" t="str">
        <f aca="false">IF(OR(A97="",D97="",D97=0),"",C97/D97)</f>
        <v/>
      </c>
    </row>
    <row r="98" customFormat="false" ht="15" hidden="false" customHeight="false" outlineLevel="0" collapsed="false">
      <c r="A98" s="12"/>
      <c r="B98" s="12"/>
      <c r="C98" s="14"/>
      <c r="D98" s="21"/>
      <c r="E98" s="16" t="str">
        <f aca="false">IF(OR(A98="",D98="",D98=0),"",C98/D98)</f>
        <v/>
      </c>
    </row>
    <row r="99" customFormat="false" ht="15" hidden="false" customHeight="false" outlineLevel="0" collapsed="false">
      <c r="A99" s="12"/>
      <c r="B99" s="12"/>
      <c r="C99" s="14"/>
      <c r="D99" s="21"/>
      <c r="E99" s="16" t="str">
        <f aca="false">IF(OR(A99="",D99="",D99=0),"",C99/D99)</f>
        <v/>
      </c>
    </row>
    <row r="100" customFormat="false" ht="15" hidden="false" customHeight="false" outlineLevel="0" collapsed="false">
      <c r="A100" s="12"/>
      <c r="B100" s="12"/>
      <c r="C100" s="14"/>
      <c r="D100" s="21"/>
      <c r="E100" s="16" t="str">
        <f aca="false">IF(OR(A100="",D100="",D100=0),"",C100/D100)</f>
        <v/>
      </c>
    </row>
    <row r="101" customFormat="false" ht="15" hidden="false" customHeight="false" outlineLevel="0" collapsed="false">
      <c r="A101" s="12"/>
      <c r="B101" s="12"/>
      <c r="C101" s="14"/>
      <c r="D101" s="21"/>
      <c r="E101" s="16" t="str">
        <f aca="false">IF(OR(A101="",D101="",D101=0),"",C101/D101)</f>
        <v/>
      </c>
    </row>
    <row r="102" customFormat="false" ht="15" hidden="false" customHeight="false" outlineLevel="0" collapsed="false">
      <c r="A102" s="12"/>
      <c r="B102" s="12"/>
      <c r="C102" s="14"/>
      <c r="D102" s="21"/>
      <c r="E102" s="16" t="str">
        <f aca="false">IF(OR(A102="",D102="",D102=0),"",C102/D102)</f>
        <v/>
      </c>
    </row>
    <row r="103" customFormat="false" ht="15" hidden="false" customHeight="false" outlineLevel="0" collapsed="false">
      <c r="A103" s="12"/>
      <c r="B103" s="12"/>
      <c r="C103" s="14"/>
      <c r="D103" s="21"/>
      <c r="E103" s="16" t="str">
        <f aca="false">IF(OR(A103="",D103="",D103=0),"",C103/D103)</f>
        <v/>
      </c>
    </row>
    <row r="104" customFormat="false" ht="15" hidden="false" customHeight="false" outlineLevel="0" collapsed="false">
      <c r="A104" s="12"/>
      <c r="B104" s="12"/>
      <c r="C104" s="14"/>
      <c r="D104" s="21"/>
      <c r="E104" s="16" t="str">
        <f aca="false">IF(OR(A104="",D104="",D104=0),"",C104/D104)</f>
        <v/>
      </c>
    </row>
    <row r="105" customFormat="false" ht="15" hidden="false" customHeight="false" outlineLevel="0" collapsed="false">
      <c r="A105" s="12"/>
      <c r="B105" s="12"/>
      <c r="C105" s="14"/>
      <c r="D105" s="21"/>
      <c r="E105" s="16" t="str">
        <f aca="false">IF(OR(A105="",D105="",D105=0),"",C105/D105)</f>
        <v/>
      </c>
    </row>
    <row r="106" customFormat="false" ht="15" hidden="false" customHeight="false" outlineLevel="0" collapsed="false">
      <c r="A106" s="12"/>
      <c r="B106" s="12"/>
      <c r="C106" s="14"/>
      <c r="D106" s="21"/>
      <c r="E106" s="16" t="str">
        <f aca="false">IF(OR(A106="",D106="",D106=0),"",C106/D106)</f>
        <v/>
      </c>
    </row>
    <row r="107" customFormat="false" ht="15" hidden="false" customHeight="false" outlineLevel="0" collapsed="false">
      <c r="A107" s="12"/>
      <c r="B107" s="12"/>
      <c r="C107" s="14"/>
      <c r="D107" s="21"/>
      <c r="E107" s="16" t="str">
        <f aca="false">IF(OR(A107="",D107="",D107=0),"",C107/D107)</f>
        <v/>
      </c>
    </row>
    <row r="108" customFormat="false" ht="15" hidden="false" customHeight="false" outlineLevel="0" collapsed="false">
      <c r="A108" s="12"/>
      <c r="B108" s="12"/>
      <c r="C108" s="14"/>
      <c r="D108" s="21"/>
      <c r="E108" s="16" t="str">
        <f aca="false">IF(OR(A108="",D108="",D108=0),"",C108/D108)</f>
        <v/>
      </c>
    </row>
    <row r="109" customFormat="false" ht="15" hidden="false" customHeight="false" outlineLevel="0" collapsed="false">
      <c r="A109" s="12"/>
      <c r="B109" s="12"/>
      <c r="C109" s="14"/>
      <c r="D109" s="21"/>
      <c r="E109" s="16" t="str">
        <f aca="false">IF(OR(A109="",D109="",D109=0),"",C109/D109)</f>
        <v/>
      </c>
    </row>
    <row r="110" customFormat="false" ht="15" hidden="false" customHeight="false" outlineLevel="0" collapsed="false">
      <c r="A110" s="12"/>
      <c r="B110" s="12"/>
      <c r="C110" s="14"/>
      <c r="D110" s="21"/>
      <c r="E110" s="16" t="str">
        <f aca="false">IF(OR(A110="",D110="",D110=0),"",C110/D110)</f>
        <v/>
      </c>
    </row>
    <row r="111" customFormat="false" ht="15" hidden="false" customHeight="false" outlineLevel="0" collapsed="false">
      <c r="A111" s="12"/>
      <c r="B111" s="12"/>
      <c r="C111" s="14"/>
      <c r="D111" s="21"/>
      <c r="E111" s="16" t="str">
        <f aca="false">IF(OR(A111="",D111="",D111=0),"",C111/D111)</f>
        <v/>
      </c>
    </row>
    <row r="112" customFormat="false" ht="15" hidden="false" customHeight="false" outlineLevel="0" collapsed="false">
      <c r="A112" s="12"/>
      <c r="B112" s="12"/>
      <c r="C112" s="14"/>
      <c r="D112" s="21"/>
      <c r="E112" s="16" t="str">
        <f aca="false">IF(OR(A112="",D112="",D112=0),"",C112/D112)</f>
        <v/>
      </c>
    </row>
    <row r="113" customFormat="false" ht="15" hidden="false" customHeight="false" outlineLevel="0" collapsed="false">
      <c r="A113" s="12"/>
      <c r="B113" s="12"/>
      <c r="C113" s="14"/>
      <c r="D113" s="21"/>
      <c r="E113" s="16" t="str">
        <f aca="false">IF(OR(A113="",D113="",D113=0),"",C113/D113)</f>
        <v/>
      </c>
    </row>
    <row r="114" customFormat="false" ht="15" hidden="false" customHeight="false" outlineLevel="0" collapsed="false">
      <c r="A114" s="12"/>
      <c r="B114" s="12"/>
      <c r="C114" s="14"/>
      <c r="D114" s="21"/>
      <c r="E114" s="16" t="str">
        <f aca="false">IF(OR(A114="",D114="",D114=0),"",C114/D114)</f>
        <v/>
      </c>
    </row>
    <row r="115" customFormat="false" ht="15" hidden="false" customHeight="false" outlineLevel="0" collapsed="false">
      <c r="A115" s="12"/>
      <c r="B115" s="12"/>
      <c r="C115" s="14"/>
      <c r="D115" s="21"/>
      <c r="E115" s="16" t="str">
        <f aca="false">IF(OR(A115="",D115="",D115=0),"",C115/D115)</f>
        <v/>
      </c>
    </row>
    <row r="116" customFormat="false" ht="15" hidden="false" customHeight="false" outlineLevel="0" collapsed="false">
      <c r="A116" s="12"/>
      <c r="B116" s="12"/>
      <c r="C116" s="14"/>
      <c r="D116" s="21"/>
      <c r="E116" s="16" t="str">
        <f aca="false">IF(OR(A116="",D116="",D116=0),"",C116/D116)</f>
        <v/>
      </c>
    </row>
    <row r="117" customFormat="false" ht="15" hidden="false" customHeight="false" outlineLevel="0" collapsed="false">
      <c r="A117" s="12"/>
      <c r="B117" s="12"/>
      <c r="C117" s="14"/>
      <c r="D117" s="21"/>
      <c r="E117" s="16" t="str">
        <f aca="false">IF(OR(A117="",D117="",D117=0),"",C117/D117)</f>
        <v/>
      </c>
    </row>
    <row r="118" customFormat="false" ht="15" hidden="false" customHeight="false" outlineLevel="0" collapsed="false">
      <c r="A118" s="12"/>
      <c r="B118" s="12"/>
      <c r="C118" s="14"/>
      <c r="D118" s="21"/>
      <c r="E118" s="16" t="str">
        <f aca="false">IF(OR(A118="",D118="",D118=0),"",C118/D118)</f>
        <v/>
      </c>
    </row>
    <row r="119" customFormat="false" ht="15" hidden="false" customHeight="false" outlineLevel="0" collapsed="false">
      <c r="A119" s="12"/>
      <c r="B119" s="12"/>
      <c r="C119" s="14"/>
      <c r="D119" s="21"/>
      <c r="E119" s="16" t="str">
        <f aca="false">IF(OR(A119="",D119="",D119=0),"",C119/D119)</f>
        <v/>
      </c>
    </row>
    <row r="120" customFormat="false" ht="15" hidden="false" customHeight="false" outlineLevel="0" collapsed="false">
      <c r="A120" s="12"/>
      <c r="B120" s="12"/>
      <c r="C120" s="14"/>
      <c r="D120" s="21"/>
      <c r="E120" s="16" t="str">
        <f aca="false">IF(OR(A120="",D120="",D120=0),"",C120/D120)</f>
        <v/>
      </c>
    </row>
    <row r="121" customFormat="false" ht="15" hidden="false" customHeight="false" outlineLevel="0" collapsed="false">
      <c r="A121" s="12"/>
      <c r="B121" s="12"/>
      <c r="C121" s="14"/>
      <c r="D121" s="21"/>
      <c r="E121" s="16" t="str">
        <f aca="false">IF(OR(A121="",D121="",D121=0),"",C121/D121)</f>
        <v/>
      </c>
    </row>
    <row r="122" customFormat="false" ht="15" hidden="false" customHeight="false" outlineLevel="0" collapsed="false">
      <c r="A122" s="12"/>
      <c r="B122" s="12"/>
      <c r="C122" s="14"/>
      <c r="D122" s="21"/>
      <c r="E122" s="16" t="str">
        <f aca="false">IF(OR(A122="",D122="",D122=0),"",C122/D122)</f>
        <v/>
      </c>
    </row>
    <row r="123" customFormat="false" ht="15" hidden="false" customHeight="false" outlineLevel="0" collapsed="false">
      <c r="A123" s="12"/>
      <c r="B123" s="12"/>
      <c r="C123" s="14"/>
      <c r="D123" s="21"/>
      <c r="E123" s="16" t="str">
        <f aca="false">IF(OR(A123="",D123="",D123=0),"",C123/D123)</f>
        <v/>
      </c>
    </row>
    <row r="124" customFormat="false" ht="15" hidden="false" customHeight="false" outlineLevel="0" collapsed="false">
      <c r="A124" s="12"/>
      <c r="B124" s="12"/>
      <c r="C124" s="14"/>
      <c r="D124" s="21"/>
      <c r="E124" s="16" t="str">
        <f aca="false">IF(OR(A124="",D124="",D124=0),"",C124/D124)</f>
        <v/>
      </c>
    </row>
    <row r="125" customFormat="false" ht="15" hidden="false" customHeight="false" outlineLevel="0" collapsed="false">
      <c r="A125" s="12"/>
      <c r="B125" s="12"/>
      <c r="C125" s="14"/>
      <c r="D125" s="21"/>
      <c r="E125" s="16" t="str">
        <f aca="false">IF(OR(A125="",D125="",D125=0),"",C125/D125)</f>
        <v/>
      </c>
    </row>
    <row r="126" customFormat="false" ht="15" hidden="false" customHeight="false" outlineLevel="0" collapsed="false">
      <c r="A126" s="12"/>
      <c r="B126" s="12"/>
      <c r="C126" s="14"/>
      <c r="D126" s="21"/>
      <c r="E126" s="16" t="str">
        <f aca="false">IF(OR(A126="",D126="",D126=0),"",C126/D126)</f>
        <v/>
      </c>
    </row>
    <row r="127" customFormat="false" ht="15" hidden="false" customHeight="false" outlineLevel="0" collapsed="false">
      <c r="A127" s="12"/>
      <c r="B127" s="12"/>
      <c r="C127" s="14"/>
      <c r="D127" s="21"/>
      <c r="E127" s="16" t="str">
        <f aca="false">IF(OR(A127="",D127="",D127=0),"",C127/D127)</f>
        <v/>
      </c>
    </row>
    <row r="128" customFormat="false" ht="15" hidden="false" customHeight="false" outlineLevel="0" collapsed="false">
      <c r="A128" s="12"/>
      <c r="B128" s="12"/>
      <c r="C128" s="14"/>
      <c r="D128" s="21"/>
      <c r="E128" s="16" t="str">
        <f aca="false">IF(OR(A128="",D128="",D128=0),"",C128/D128)</f>
        <v/>
      </c>
    </row>
    <row r="129" customFormat="false" ht="15" hidden="false" customHeight="false" outlineLevel="0" collapsed="false">
      <c r="A129" s="12"/>
      <c r="B129" s="12"/>
      <c r="C129" s="14"/>
      <c r="D129" s="21"/>
      <c r="E129" s="16" t="str">
        <f aca="false">IF(OR(A129="",D129="",D129=0),"",C129/D129)</f>
        <v/>
      </c>
    </row>
    <row r="130" customFormat="false" ht="15" hidden="false" customHeight="false" outlineLevel="0" collapsed="false">
      <c r="A130" s="12"/>
      <c r="B130" s="12"/>
      <c r="C130" s="14"/>
      <c r="D130" s="21"/>
      <c r="E130" s="16" t="str">
        <f aca="false">IF(OR(A130="",D130="",D130=0),"",C130/D130)</f>
        <v/>
      </c>
    </row>
    <row r="131" customFormat="false" ht="15" hidden="false" customHeight="false" outlineLevel="0" collapsed="false">
      <c r="A131" s="12"/>
      <c r="B131" s="12"/>
      <c r="C131" s="14"/>
      <c r="D131" s="21"/>
      <c r="E131" s="16" t="str">
        <f aca="false">IF(OR(A131="",D131="",D131=0),"",C131/D131)</f>
        <v/>
      </c>
    </row>
    <row r="132" customFormat="false" ht="15" hidden="false" customHeight="false" outlineLevel="0" collapsed="false">
      <c r="A132" s="12"/>
      <c r="B132" s="12"/>
      <c r="C132" s="14"/>
      <c r="D132" s="21"/>
      <c r="E132" s="16" t="str">
        <f aca="false">IF(OR(A132="",D132="",D132=0),"",C132/D132)</f>
        <v/>
      </c>
    </row>
    <row r="133" customFormat="false" ht="15" hidden="false" customHeight="false" outlineLevel="0" collapsed="false">
      <c r="A133" s="12"/>
      <c r="B133" s="12"/>
      <c r="C133" s="14"/>
      <c r="D133" s="21"/>
      <c r="E133" s="16" t="str">
        <f aca="false">IF(OR(A133="",D133="",D133=0),"",C133/D133)</f>
        <v/>
      </c>
    </row>
    <row r="134" customFormat="false" ht="15" hidden="false" customHeight="false" outlineLevel="0" collapsed="false">
      <c r="A134" s="12"/>
      <c r="B134" s="12"/>
      <c r="C134" s="14"/>
      <c r="D134" s="21"/>
      <c r="E134" s="16" t="str">
        <f aca="false">IF(OR(A134="",D134="",D134=0),"",C134/D134)</f>
        <v/>
      </c>
    </row>
    <row r="135" customFormat="false" ht="15" hidden="false" customHeight="false" outlineLevel="0" collapsed="false">
      <c r="A135" s="12"/>
      <c r="B135" s="12"/>
      <c r="C135" s="14"/>
      <c r="D135" s="21"/>
      <c r="E135" s="16" t="str">
        <f aca="false">IF(OR(A135="",D135="",D135=0),"",C135/D135)</f>
        <v/>
      </c>
    </row>
    <row r="136" customFormat="false" ht="15" hidden="false" customHeight="false" outlineLevel="0" collapsed="false">
      <c r="A136" s="12"/>
      <c r="B136" s="12"/>
      <c r="C136" s="14"/>
      <c r="D136" s="21"/>
      <c r="E136" s="16" t="str">
        <f aca="false">IF(OR(A136="",D136="",D136=0),"",C136/D136)</f>
        <v/>
      </c>
    </row>
    <row r="137" customFormat="false" ht="15" hidden="false" customHeight="false" outlineLevel="0" collapsed="false">
      <c r="A137" s="12"/>
      <c r="B137" s="12"/>
      <c r="C137" s="14"/>
      <c r="D137" s="21"/>
      <c r="E137" s="16" t="str">
        <f aca="false">IF(OR(A137="",D137="",D137=0),"",C137/D137)</f>
        <v/>
      </c>
    </row>
    <row r="138" customFormat="false" ht="15" hidden="false" customHeight="false" outlineLevel="0" collapsed="false">
      <c r="A138" s="12"/>
      <c r="B138" s="12"/>
      <c r="C138" s="14"/>
      <c r="D138" s="21"/>
      <c r="E138" s="16" t="str">
        <f aca="false">IF(OR(A138="",D138="",D138=0),"",C138/D138)</f>
        <v/>
      </c>
    </row>
    <row r="139" customFormat="false" ht="15" hidden="false" customHeight="false" outlineLevel="0" collapsed="false">
      <c r="A139" s="12"/>
      <c r="B139" s="12"/>
      <c r="C139" s="14"/>
      <c r="D139" s="21"/>
      <c r="E139" s="16" t="str">
        <f aca="false">IF(OR(A139="",D139="",D139=0),"",C139/D139)</f>
        <v/>
      </c>
    </row>
    <row r="140" customFormat="false" ht="15" hidden="false" customHeight="false" outlineLevel="0" collapsed="false">
      <c r="A140" s="12"/>
      <c r="B140" s="12"/>
      <c r="C140" s="14"/>
      <c r="D140" s="21"/>
      <c r="E140" s="16" t="str">
        <f aca="false">IF(OR(A140="",D140="",D140=0),"",C140/D140)</f>
        <v/>
      </c>
    </row>
    <row r="141" customFormat="false" ht="15" hidden="false" customHeight="false" outlineLevel="0" collapsed="false">
      <c r="A141" s="12"/>
      <c r="B141" s="12"/>
      <c r="C141" s="14"/>
      <c r="D141" s="21"/>
      <c r="E141" s="16" t="str">
        <f aca="false">IF(OR(A141="",D141="",D141=0),"",C141/D141)</f>
        <v/>
      </c>
    </row>
    <row r="142" customFormat="false" ht="15" hidden="false" customHeight="false" outlineLevel="0" collapsed="false">
      <c r="A142" s="12"/>
      <c r="B142" s="12"/>
      <c r="C142" s="14"/>
      <c r="D142" s="21"/>
      <c r="E142" s="16" t="str">
        <f aca="false">IF(OR(A142="",D142="",D142=0),"",C142/D142)</f>
        <v/>
      </c>
    </row>
    <row r="143" customFormat="false" ht="15" hidden="false" customHeight="false" outlineLevel="0" collapsed="false">
      <c r="A143" s="12"/>
      <c r="B143" s="12"/>
      <c r="C143" s="14"/>
      <c r="D143" s="21"/>
      <c r="E143" s="16" t="str">
        <f aca="false">IF(OR(A143="",D143="",D143=0),"",C143/D143)</f>
        <v/>
      </c>
    </row>
    <row r="144" customFormat="false" ht="15" hidden="false" customHeight="false" outlineLevel="0" collapsed="false">
      <c r="A144" s="12"/>
      <c r="B144" s="12"/>
      <c r="C144" s="14"/>
      <c r="D144" s="21"/>
      <c r="E144" s="16" t="str">
        <f aca="false">IF(OR(A144="",D144="",D144=0),"",C144/D144)</f>
        <v/>
      </c>
    </row>
    <row r="145" customFormat="false" ht="15" hidden="false" customHeight="false" outlineLevel="0" collapsed="false">
      <c r="A145" s="12"/>
      <c r="B145" s="12"/>
      <c r="C145" s="14"/>
      <c r="D145" s="21"/>
      <c r="E145" s="16" t="str">
        <f aca="false">IF(OR(A145="",D145="",D145=0),"",C145/D145)</f>
        <v/>
      </c>
    </row>
    <row r="146" customFormat="false" ht="15" hidden="false" customHeight="false" outlineLevel="0" collapsed="false">
      <c r="A146" s="12"/>
      <c r="B146" s="12"/>
      <c r="C146" s="14"/>
      <c r="D146" s="21"/>
      <c r="E146" s="16" t="str">
        <f aca="false">IF(OR(A146="",D146="",D146=0),"",C146/D146)</f>
        <v/>
      </c>
    </row>
    <row r="147" customFormat="false" ht="15" hidden="false" customHeight="false" outlineLevel="0" collapsed="false">
      <c r="A147" s="12"/>
      <c r="B147" s="12"/>
      <c r="C147" s="14"/>
      <c r="D147" s="21"/>
      <c r="E147" s="16" t="str">
        <f aca="false">IF(OR(A147="",D147="",D147=0),"",C147/D147)</f>
        <v/>
      </c>
    </row>
    <row r="148" customFormat="false" ht="15" hidden="false" customHeight="false" outlineLevel="0" collapsed="false">
      <c r="A148" s="12"/>
      <c r="B148" s="12"/>
      <c r="C148" s="14"/>
      <c r="D148" s="21"/>
      <c r="E148" s="16" t="str">
        <f aca="false">IF(OR(A148="",D148="",D148=0),"",C148/D148)</f>
        <v/>
      </c>
    </row>
    <row r="149" customFormat="false" ht="15" hidden="false" customHeight="false" outlineLevel="0" collapsed="false">
      <c r="A149" s="12"/>
      <c r="B149" s="12"/>
      <c r="C149" s="14"/>
      <c r="D149" s="21"/>
      <c r="E149" s="16" t="str">
        <f aca="false">IF(OR(A149="",D149="",D149=0),"",C149/D149)</f>
        <v/>
      </c>
    </row>
    <row r="150" customFormat="false" ht="15" hidden="false" customHeight="false" outlineLevel="0" collapsed="false">
      <c r="A150" s="12"/>
      <c r="B150" s="12"/>
      <c r="C150" s="14"/>
      <c r="D150" s="21"/>
      <c r="E150" s="16" t="str">
        <f aca="false">IF(OR(A150="",D150="",D150=0),"",C150/D150)</f>
        <v/>
      </c>
    </row>
    <row r="151" customFormat="false" ht="15" hidden="false" customHeight="false" outlineLevel="0" collapsed="false">
      <c r="A151" s="12"/>
      <c r="B151" s="12"/>
      <c r="C151" s="14"/>
      <c r="D151" s="21"/>
      <c r="E151" s="16" t="str">
        <f aca="false">IF(OR(A151="",D151="",D151=0),"",C151/D151)</f>
        <v/>
      </c>
    </row>
    <row r="152" customFormat="false" ht="15" hidden="false" customHeight="false" outlineLevel="0" collapsed="false">
      <c r="A152" s="12"/>
      <c r="B152" s="12"/>
      <c r="C152" s="14"/>
      <c r="D152" s="21"/>
      <c r="E152" s="16" t="str">
        <f aca="false">IF(OR(A152="",D152="",D152=0),"",C152/D152)</f>
        <v/>
      </c>
    </row>
    <row r="153" customFormat="false" ht="15" hidden="false" customHeight="false" outlineLevel="0" collapsed="false">
      <c r="A153" s="12"/>
      <c r="B153" s="12"/>
      <c r="C153" s="14"/>
      <c r="D153" s="21"/>
      <c r="E153" s="16" t="str">
        <f aca="false">IF(OR(A153="",D153="",D153=0),"",C153/D153)</f>
        <v/>
      </c>
    </row>
    <row r="154" customFormat="false" ht="15" hidden="false" customHeight="false" outlineLevel="0" collapsed="false">
      <c r="A154" s="12"/>
      <c r="B154" s="12"/>
      <c r="C154" s="14"/>
      <c r="D154" s="21"/>
      <c r="E154" s="16" t="str">
        <f aca="false">IF(OR(A154="",D154="",D154=0),"",C154/D154)</f>
        <v/>
      </c>
    </row>
  </sheetData>
  <dataValidations count="2">
    <dataValidation allowBlank="true" error="Sıfır ya da daha büyük bir sayı gir." errorStyle="stop" errorTitle="Kontrol" operator="greaterThanOrEqual" showDropDown="false" showErrorMessage="true" showInputMessage="false" sqref="C5:D154" type="decimal">
      <formula1>0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154" type="custom">
      <formula1>COUNTIF($A$5:$A$154,A5)=1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57</v>
      </c>
    </row>
    <row r="2" customFormat="false" ht="15" hidden="false" customHeight="false" outlineLevel="0" collapsed="false">
      <c r="A2" s="9" t="s">
        <v>58</v>
      </c>
    </row>
    <row r="3" customFormat="false" ht="15" hidden="false" customHeight="false" outlineLevel="0" collapsed="false">
      <c r="B3" s="0" t="s">
        <v>59</v>
      </c>
      <c r="C3" s="22" t="n">
        <v>0.6</v>
      </c>
    </row>
    <row r="5" customFormat="false" ht="30" hidden="false" customHeight="true" outlineLevel="0" collapsed="false">
      <c r="B5" s="23" t="s">
        <v>28</v>
      </c>
      <c r="C5" s="23" t="s">
        <v>60</v>
      </c>
      <c r="D5" s="23" t="s">
        <v>61</v>
      </c>
    </row>
    <row r="6" customFormat="false" ht="27.75" hidden="false" customHeight="true" outlineLevel="0" collapsed="false">
      <c r="B6" s="24" t="n">
        <f aca="false">COUNTA(Ürünler!$A$5:$A$84)</f>
        <v>2</v>
      </c>
      <c r="C6" s="25" t="n">
        <f aca="false">IFERROR(AVERAGE(Ürünler!$H$5:$H$84),0)</f>
        <v>0.564166666666667</v>
      </c>
      <c r="D6" s="26" t="n">
        <f aca="false">COUNTIF(Ürünler!$J$5:$J$84,"Hedefin altında")</f>
        <v>1</v>
      </c>
    </row>
    <row r="8" customFormat="false" ht="15" hidden="false" customHeight="false" outlineLevel="0" collapsed="false">
      <c r="B8" s="27" t="s">
        <v>62</v>
      </c>
    </row>
    <row r="9" customFormat="false" ht="21.75" hidden="false" customHeight="true" outlineLevel="0" collapsed="false">
      <c r="B9" s="10" t="s">
        <v>28</v>
      </c>
      <c r="C9" s="10" t="s">
        <v>13</v>
      </c>
      <c r="D9" s="10" t="s">
        <v>33</v>
      </c>
      <c r="E9" s="10" t="s">
        <v>31</v>
      </c>
    </row>
    <row r="10" customFormat="false" ht="15" hidden="false" customHeight="false" outlineLevel="0" collapsed="false">
      <c r="B10" s="28" t="str">
        <f aca="false">IFERROR(INDEX(Ürünler!$A$5:$A$84,MATCH(SMALL(Ürünler!$K$5:$K$84,1),Ürünler!$K$5:$K$84,0))&amp;"","")</f>
        <v>Kek (dilim)</v>
      </c>
      <c r="C10" s="29" t="n">
        <f aca="false">IF(B10="","",INDEX(Ürünler!$H$5:$H$84,MATCH(SMALL(Ürünler!$K$5:$K$84,1),Ürünler!$K$5:$K$84,0)))</f>
        <v>0.48</v>
      </c>
      <c r="D10" s="30" t="n">
        <f aca="false">IF(B10="","",INDEX(Ürünler!$F$5:$F$84,MATCH(SMALL(Ürünler!$K$5:$K$84,1),Ürünler!$K$5:$K$84,0)))</f>
        <v>13</v>
      </c>
      <c r="E10" s="30" t="n">
        <f aca="false">IF(B10="","",INDEX(Ürünler!$D$5:$D$84,MATCH(SMALL(Ürünler!$K$5:$K$84,1),Ürünler!$K$5:$K$84,0)))</f>
        <v>25</v>
      </c>
    </row>
    <row r="11" customFormat="false" ht="15" hidden="false" customHeight="false" outlineLevel="0" collapsed="false">
      <c r="B11" s="31" t="str">
        <f aca="false">IFERROR(INDEX(Ürünler!$A$5:$A$84,MATCH(SMALL(Ürünler!$K$5:$K$84,2),Ürünler!$K$5:$K$84,0))&amp;"","")</f>
        <v>Kurabiye</v>
      </c>
      <c r="C11" s="32" t="n">
        <f aca="false">IF(B11="","",INDEX(Ürünler!$H$5:$H$84,MATCH(SMALL(Ürünler!$K$5:$K$84,2),Ürünler!$K$5:$K$84,0)))</f>
        <v>0.648333333333333</v>
      </c>
      <c r="D11" s="33" t="n">
        <f aca="false">IF(B11="","",INDEX(Ürünler!$F$5:$F$84,MATCH(SMALL(Ürünler!$K$5:$K$84,2),Ürünler!$K$5:$K$84,0)))</f>
        <v>4.22</v>
      </c>
      <c r="E11" s="33" t="n">
        <f aca="false">IF(B11="","",INDEX(Ürünler!$D$5:$D$84,MATCH(SMALL(Ürünler!$K$5:$K$84,2),Ürünler!$K$5:$K$84,0)))</f>
        <v>12</v>
      </c>
    </row>
    <row r="12" customFormat="false" ht="15" hidden="false" customHeight="false" outlineLevel="0" collapsed="false">
      <c r="B12" s="28" t="str">
        <f aca="false">IFERROR(INDEX(Ürünler!$A$5:$A$84,MATCH(SMALL(Ürünler!$K$5:$K$84,3),Ürünler!$K$5:$K$84,0))&amp;"","")</f>
        <v/>
      </c>
      <c r="C12" s="29" t="str">
        <f aca="false">IF(B12="","",INDEX(Ürünler!$H$5:$H$84,MATCH(SMALL(Ürünler!$K$5:$K$84,3),Ürünler!$K$5:$K$84,0)))</f>
        <v/>
      </c>
      <c r="D12" s="30" t="str">
        <f aca="false">IF(B12="","",INDEX(Ürünler!$F$5:$F$84,MATCH(SMALL(Ürünler!$K$5:$K$84,3),Ürünler!$K$5:$K$84,0)))</f>
        <v/>
      </c>
      <c r="E12" s="30" t="str">
        <f aca="false">IF(B12="","",INDEX(Ürünler!$D$5:$D$84,MATCH(SMALL(Ürünler!$K$5:$K$84,3),Ürünler!$K$5:$K$84,0)))</f>
        <v/>
      </c>
    </row>
    <row r="13" customFormat="false" ht="15" hidden="false" customHeight="false" outlineLevel="0" collapsed="false">
      <c r="B13" s="31" t="str">
        <f aca="false">IFERROR(INDEX(Ürünler!$A$5:$A$84,MATCH(SMALL(Ürünler!$K$5:$K$84,4),Ürünler!$K$5:$K$84,0))&amp;"","")</f>
        <v/>
      </c>
      <c r="C13" s="32" t="str">
        <f aca="false">IF(B13="","",INDEX(Ürünler!$H$5:$H$84,MATCH(SMALL(Ürünler!$K$5:$K$84,4),Ürünler!$K$5:$K$84,0)))</f>
        <v/>
      </c>
      <c r="D13" s="33" t="str">
        <f aca="false">IF(B13="","",INDEX(Ürünler!$F$5:$F$84,MATCH(SMALL(Ürünler!$K$5:$K$84,4),Ürünler!$K$5:$K$84,0)))</f>
        <v/>
      </c>
      <c r="E13" s="33" t="str">
        <f aca="false">IF(B13="","",INDEX(Ürünler!$D$5:$D$84,MATCH(SMALL(Ürünler!$K$5:$K$84,4),Ürünler!$K$5:$K$84,0)))</f>
        <v/>
      </c>
    </row>
    <row r="14" customFormat="false" ht="15" hidden="false" customHeight="false" outlineLevel="0" collapsed="false">
      <c r="B14" s="28" t="str">
        <f aca="false">IFERROR(INDEX(Ürünler!$A$5:$A$84,MATCH(SMALL(Ürünler!$K$5:$K$84,5),Ürünler!$K$5:$K$84,0))&amp;"","")</f>
        <v/>
      </c>
      <c r="C14" s="29" t="str">
        <f aca="false">IF(B14="","",INDEX(Ürünler!$H$5:$H$84,MATCH(SMALL(Ürünler!$K$5:$K$84,5),Ürünler!$K$5:$K$84,0)))</f>
        <v/>
      </c>
      <c r="D14" s="30" t="str">
        <f aca="false">IF(B14="","",INDEX(Ürünler!$F$5:$F$84,MATCH(SMALL(Ürünler!$K$5:$K$84,5),Ürünler!$K$5:$K$84,0)))</f>
        <v/>
      </c>
      <c r="E14" s="30" t="str">
        <f aca="false">IF(B14="","",INDEX(Ürünler!$D$5:$D$84,MATCH(SMALL(Ürünler!$K$5:$K$84,5),Ürünler!$K$5:$K$84,0)))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63</v>
      </c>
    </row>
    <row r="2" customFormat="false" ht="30" hidden="false" customHeight="true" outlineLevel="0" collapsed="false">
      <c r="B2" s="34" t="s">
        <v>64</v>
      </c>
      <c r="C2" s="34"/>
    </row>
    <row r="3" customFormat="false" ht="31.5" hidden="false" customHeight="true" outlineLevel="0" collapsed="false">
      <c r="B3" s="35" t="s">
        <v>65</v>
      </c>
      <c r="C3" s="35"/>
    </row>
    <row r="5" customFormat="false" ht="15" hidden="false" customHeight="false" outlineLevel="0" collapsed="false">
      <c r="B5" s="36" t="s">
        <v>66</v>
      </c>
      <c r="C5" s="36" t="s">
        <v>67</v>
      </c>
    </row>
    <row r="6" customFormat="false" ht="31.5" hidden="false" customHeight="true" outlineLevel="0" collapsed="false">
      <c r="B6" s="37" t="s">
        <v>68</v>
      </c>
      <c r="C6" s="38" t="s">
        <v>69</v>
      </c>
    </row>
    <row r="7" customFormat="false" ht="31.5" hidden="false" customHeight="true" outlineLevel="0" collapsed="false">
      <c r="B7" s="39" t="s">
        <v>70</v>
      </c>
      <c r="C7" s="40" t="s">
        <v>71</v>
      </c>
    </row>
    <row r="8" customFormat="false" ht="31.5" hidden="false" customHeight="true" outlineLevel="0" collapsed="false">
      <c r="B8" s="37" t="s">
        <v>72</v>
      </c>
      <c r="C8" s="38" t="s">
        <v>73</v>
      </c>
    </row>
    <row r="9" customFormat="false" ht="31.5" hidden="false" customHeight="true" outlineLevel="0" collapsed="false">
      <c r="B9" s="39" t="s">
        <v>74</v>
      </c>
      <c r="C9" s="40" t="s">
        <v>75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2026-10-04T22:00:16Z</dcterms:created>
  <dc:creator>openpyxl</dc:creator>
  <dc:description/>
  <dc:language>en-US</dc:language>
  <cp:lastModifiedBy/>
  <dcterms:modified xsi:type="dcterms:W3CDTF">2026-10-04T22:00:16Z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