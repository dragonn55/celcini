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Harcamalar" sheetId="2" state="visible" r:id="rId4"/>
    <sheet name="Plan" sheetId="3" state="visible" r:id="rId5"/>
    <sheet name="Özet" sheetId="4" state="visible" r:id="rId6"/>
    <sheet name="Listeler" sheetId="5" state="visible" r:id="rId7"/>
    <sheet name="AI Komutları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<sst xmlns="http://schemas.openxmlformats.org/spreadsheetml/2006/main" count="96" uniqueCount="81">
  <si>
    <t xml:space="preserve">EXCEL KLİNİĞİ</t>
  </si>
  <si>
    <t xml:space="preserve">VALİZ  |  Seyahat planı ve bütçesi</t>
  </si>
  <si>
    <t xml:space="preserve">Gün gün plan, dövizli harcamalar, kişi başı maliyet ve bütçeden kalan.</t>
  </si>
  <si>
    <t xml:space="preserve">NASIL KULLANILIR</t>
  </si>
  <si>
    <t xml:space="preserve">1. Özet</t>
  </si>
  <si>
    <t xml:space="preserve">Bütçeni, döviz kurunu ve kişi sayısını yaz.</t>
  </si>
  <si>
    <t xml:space="preserve">2. Plan</t>
  </si>
  <si>
    <t xml:space="preserve">Gün gün nerede olacağını ve tahmini maliyeti yaz.</t>
  </si>
  <si>
    <t xml:space="preserve">3. Harcamalar</t>
  </si>
  <si>
    <t xml:space="preserve">Yolculukta her harcamayı gir; dövizli olanlar kura göre liraya çevrilir.</t>
  </si>
  <si>
    <t xml:space="preserve">BİLMEN GEREKENLER</t>
  </si>
  <si>
    <t xml:space="preserve">Tek kur</t>
  </si>
  <si>
    <t xml:space="preserve">Dosya tek bir döviz kuru kullanır. Farklı para birimleri ya da değişen kur için tutarı liraya kendin çevirip TL olarak gir.</t>
  </si>
  <si>
    <t xml:space="preserve">Günlük ortalama</t>
  </si>
  <si>
    <t xml:space="preserve">İlk ve son harcama tarihi arasındaki gün sayısına bölünür.</t>
  </si>
  <si>
    <t xml:space="preserve">Kapasite</t>
  </si>
  <si>
    <t xml:space="preserve">Harcamalar: 500 satır; Plan: 60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</si>
  <si>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</si>
  <si>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</si>
  <si>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</si>
  <si>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</si>
  <si>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</si>
  <si>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Harcamalar</t>
  </si>
  <si>
    <t xml:space="preserve">Her harcamayı bir satır yaz. Yabancı parayla ödediysen para birimini Döviz seç.</t>
  </si>
  <si>
    <t xml:space="preserve">Tarih</t>
  </si>
  <si>
    <t xml:space="preserve">Kategori</t>
  </si>
  <si>
    <t xml:space="preserve">Açıklama</t>
  </si>
  <si>
    <t xml:space="preserve">Tutar</t>
  </si>
  <si>
    <t xml:space="preserve">Para birimi</t>
  </si>
  <si>
    <t xml:space="preserve">TL karşılığı (₺)</t>
  </si>
  <si>
    <t xml:space="preserve">Ulaşım</t>
  </si>
  <si>
    <t xml:space="preserve">Uçak bileti</t>
  </si>
  <si>
    <t xml:space="preserve">TL</t>
  </si>
  <si>
    <t xml:space="preserve">Konaklama</t>
  </si>
  <si>
    <t xml:space="preserve">Otel (3 gece)</t>
  </si>
  <si>
    <t xml:space="preserve">Döviz</t>
  </si>
  <si>
    <t xml:space="preserve">Yemek</t>
  </si>
  <si>
    <t xml:space="preserve">Akşam yemeği</t>
  </si>
  <si>
    <t xml:space="preserve">Gezi ve müze</t>
  </si>
  <si>
    <t xml:space="preserve">Müze kartı</t>
  </si>
  <si>
    <t xml:space="preserve">Alışveriş</t>
  </si>
  <si>
    <t xml:space="preserve">Hediyelik</t>
  </si>
  <si>
    <t xml:space="preserve">Gün Gün Plan</t>
  </si>
  <si>
    <t xml:space="preserve">Her gün için nerede olacağını, ne yapacağını ve tahmini maliyeti yaz.</t>
  </si>
  <si>
    <t xml:space="preserve">Şehir</t>
  </si>
  <si>
    <t xml:space="preserve">Yapılacaklar</t>
  </si>
  <si>
    <t xml:space="preserve">Tahmini maliyet (₺)</t>
  </si>
  <si>
    <t xml:space="preserve">Roma</t>
  </si>
  <si>
    <t xml:space="preserve">Varış, otele yerleşme</t>
  </si>
  <si>
    <t xml:space="preserve">Kolezyum, Roma Forumu</t>
  </si>
  <si>
    <t xml:space="preserve">Vatikan müzeleri</t>
  </si>
  <si>
    <t xml:space="preserve">Alışveriş, dönüş</t>
  </si>
  <si>
    <t xml:space="preserve">Özet</t>
  </si>
  <si>
    <t xml:space="preserve">Sarı hücreleri doldur: bütçe, döviz kuru ve kişi sayısı.</t>
  </si>
  <si>
    <t xml:space="preserve">Toplam bütçe (₺)</t>
  </si>
  <si>
    <t xml:space="preserve">1 birim döviz kaç ₺</t>
  </si>
  <si>
    <t xml:space="preserve">Kullanıcı girişi: ödediğin günkü kuru yaz.</t>
  </si>
  <si>
    <t xml:space="preserve">Kişi sayısı</t>
  </si>
  <si>
    <t xml:space="preserve">Harcanan</t>
  </si>
  <si>
    <t xml:space="preserve">Bütçeden kalan</t>
  </si>
  <si>
    <t xml:space="preserve">Kişi başı</t>
  </si>
  <si>
    <t xml:space="preserve">Planlanan maliyet</t>
  </si>
  <si>
    <t xml:space="preserve">Kategoriye göre</t>
  </si>
  <si>
    <t xml:space="preserve">Tutar (₺)</t>
  </si>
  <si>
    <t xml:space="preserve">Pay</t>
  </si>
  <si>
    <t xml:space="preserve">Listeler</t>
  </si>
  <si>
    <t xml:space="preserve">Açılır listelerde çıkan seçenekler. Sarı hücrelere kendi seçeneklerini yaz.</t>
  </si>
  <si>
    <t xml:space="preserve">Diğer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</si>
  <si>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</si>
  <si>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</si>
  <si>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Pasaport, bilet ve rezervasyon numaralarını paylaşma. Yapay zekanın verdiği rakamları dosyadaki özet sayfasıyla karşılaştır.</t>
  </si>
  <si>
    <t xml:space="preserve">Ne için</t>
  </si>
  <si>
    <t xml:space="preserve">Komut (kopyala, yapıştır)</t>
  </si>
  <si>
    <t xml:space="preserve">Rota önerisi</t>
  </si>
  <si>
    <t xml:space="preserve">[Plan sayfası] Bu planı yürüme mesafelerine göre yeniden sırala ve her güne bir yedek etkinlik ekle.</t>
  </si>
  <si>
    <t xml:space="preserve">Bütçe kontrolü</t>
  </si>
  <si>
    <t xml:space="preserve">[Özet sayfası] Harcamam bütçeye göre nasıl gidiyor? Kalan günler için günlük sınır öner.</t>
  </si>
  <si>
    <t xml:space="preserve">Bavul listesi</t>
  </si>
  <si>
    <t xml:space="preserve">[şehir] için [ay] ayında [gün] günlük seyahate uygun bir bavul listesi hazırla.</t>
  </si>
  <si>
    <t xml:space="preserve">Kişi başı hesap</t>
  </si>
  <si>
    <t xml:space="preserve">[Harcamalar sayfası] Harcamaları kişi başına böl ve kim kime ne kadar borçlu, hesapla. Ödeyenleri ben söyleyeceğim.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</si>
</sst>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#,##0.00"/>
    <numFmt numFmtId="167" formatCode="#,##0.00&quot; ₺&quot;;[RED]\-#,##0.00&quot; ₺&quot;;\-"/>
    <numFmt numFmtId="168" formatCode="#,##0.00&quot; ₺&quot;"/>
    <numFmt numFmtId="169" formatCode="0.00"/>
    <numFmt numFmtId="170" formatCode="0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1" t="s">
        <v>29</v>
      </c>
    </row>
    <row r="5" customFormat="false" ht="15" hidden="false" customHeight="false" outlineLevel="0" collapsed="false">
      <c r="A5" s="12" t="n">
        <v>46204</v>
      </c>
      <c r="B5" s="13" t="s">
        <v>30</v>
      </c>
      <c r="C5" s="14" t="s">
        <v>31</v>
      </c>
      <c r="D5" s="15" t="n">
        <v>18000</v>
      </c>
      <c r="E5" s="13" t="s">
        <v>32</v>
      </c>
      <c r="F5" s="16" t="n">
        <f aca="false">IF(D5="","",IF(E5="Döviz",D5*Özet!$C$4,D5))</f>
        <v>18000</v>
      </c>
    </row>
    <row r="6" customFormat="false" ht="15" hidden="false" customHeight="false" outlineLevel="0" collapsed="false">
      <c r="A6" s="12" t="n">
        <v>46205</v>
      </c>
      <c r="B6" s="13" t="s">
        <v>33</v>
      </c>
      <c r="C6" s="14" t="s">
        <v>34</v>
      </c>
      <c r="D6" s="15" t="n">
        <v>240</v>
      </c>
      <c r="E6" s="13" t="s">
        <v>35</v>
      </c>
      <c r="F6" s="16" t="n">
        <f aca="false">IF(D6="","",IF(E6="Döviz",D6*Özet!$C$4,D6))</f>
        <v>12000</v>
      </c>
    </row>
    <row r="7" customFormat="false" ht="15" hidden="false" customHeight="false" outlineLevel="0" collapsed="false">
      <c r="A7" s="12" t="n">
        <v>46205</v>
      </c>
      <c r="B7" s="13" t="s">
        <v>36</v>
      </c>
      <c r="C7" s="14" t="s">
        <v>37</v>
      </c>
      <c r="D7" s="15" t="n">
        <v>35</v>
      </c>
      <c r="E7" s="13" t="s">
        <v>35</v>
      </c>
      <c r="F7" s="16" t="n">
        <f aca="false">IF(D7="","",IF(E7="Döviz",D7*Özet!$C$4,D7))</f>
        <v>1750</v>
      </c>
    </row>
    <row r="8" customFormat="false" ht="15" hidden="false" customHeight="false" outlineLevel="0" collapsed="false">
      <c r="A8" s="12" t="n">
        <v>46206</v>
      </c>
      <c r="B8" s="13" t="s">
        <v>38</v>
      </c>
      <c r="C8" s="14" t="s">
        <v>39</v>
      </c>
      <c r="D8" s="15" t="n">
        <v>40</v>
      </c>
      <c r="E8" s="13" t="s">
        <v>35</v>
      </c>
      <c r="F8" s="16" t="n">
        <f aca="false">IF(D8="","",IF(E8="Döviz",D8*Özet!$C$4,D8))</f>
        <v>2000</v>
      </c>
    </row>
    <row r="9" customFormat="false" ht="15" hidden="false" customHeight="false" outlineLevel="0" collapsed="false">
      <c r="A9" s="12" t="n">
        <v>46207</v>
      </c>
      <c r="B9" s="13" t="s">
        <v>40</v>
      </c>
      <c r="C9" s="14" t="s">
        <v>41</v>
      </c>
      <c r="D9" s="15" t="n">
        <v>1200</v>
      </c>
      <c r="E9" s="13" t="s">
        <v>32</v>
      </c>
      <c r="F9" s="16" t="n">
        <f aca="false">IF(D9="","",IF(E9="Döviz",D9*Özet!$C$4,D9))</f>
        <v>1200</v>
      </c>
    </row>
    <row r="10" customFormat="false" ht="15" hidden="false" customHeight="false" outlineLevel="0" collapsed="false">
      <c r="A10" s="12"/>
      <c r="B10" s="13"/>
      <c r="C10" s="14"/>
      <c r="D10" s="15"/>
      <c r="E10" s="13"/>
      <c r="F10" s="16" t="str">
        <f aca="false">IF(D10="","",IF(E10="Döviz",D10*Özet!$C$4,D10))</f>
        <v/>
      </c>
    </row>
    <row r="11" customFormat="false" ht="15" hidden="false" customHeight="false" outlineLevel="0" collapsed="false">
      <c r="A11" s="12"/>
      <c r="B11" s="13"/>
      <c r="C11" s="14"/>
      <c r="D11" s="15"/>
      <c r="E11" s="13"/>
      <c r="F11" s="16" t="str">
        <f aca="false">IF(D11="","",IF(E11="Döviz",D11*Özet!$C$4,D11))</f>
        <v/>
      </c>
    </row>
    <row r="12" customFormat="false" ht="15" hidden="false" customHeight="false" outlineLevel="0" collapsed="false">
      <c r="A12" s="12"/>
      <c r="B12" s="13"/>
      <c r="C12" s="14"/>
      <c r="D12" s="15"/>
      <c r="E12" s="13"/>
      <c r="F12" s="16" t="str">
        <f aca="false">IF(D12="","",IF(E12="Döviz",D12*Özet!$C$4,D12))</f>
        <v/>
      </c>
    </row>
    <row r="13" customFormat="false" ht="15" hidden="false" customHeight="false" outlineLevel="0" collapsed="false">
      <c r="A13" s="12"/>
      <c r="B13" s="13"/>
      <c r="C13" s="14"/>
      <c r="D13" s="15"/>
      <c r="E13" s="13"/>
      <c r="F13" s="16" t="str">
        <f aca="false">IF(D13="","",IF(E13="Döviz",D13*Özet!$C$4,D13))</f>
        <v/>
      </c>
    </row>
    <row r="14" customFormat="false" ht="15" hidden="false" customHeight="false" outlineLevel="0" collapsed="false">
      <c r="A14" s="12"/>
      <c r="B14" s="13"/>
      <c r="C14" s="14"/>
      <c r="D14" s="15"/>
      <c r="E14" s="13"/>
      <c r="F14" s="16" t="str">
        <f aca="false">IF(D14="","",IF(E14="Döviz",D14*Özet!$C$4,D14))</f>
        <v/>
      </c>
    </row>
    <row r="15" customFormat="false" ht="15" hidden="false" customHeight="false" outlineLevel="0" collapsed="false">
      <c r="A15" s="12"/>
      <c r="B15" s="13"/>
      <c r="C15" s="14"/>
      <c r="D15" s="15"/>
      <c r="E15" s="13"/>
      <c r="F15" s="16" t="str">
        <f aca="false">IF(D15="","",IF(E15="Döviz",D15*Özet!$C$4,D15))</f>
        <v/>
      </c>
    </row>
    <row r="16" customFormat="false" ht="15" hidden="false" customHeight="false" outlineLevel="0" collapsed="false">
      <c r="A16" s="12"/>
      <c r="B16" s="13"/>
      <c r="C16" s="14"/>
      <c r="D16" s="15"/>
      <c r="E16" s="13"/>
      <c r="F16" s="16" t="str">
        <f aca="false">IF(D16="","",IF(E16="Döviz",D16*Özet!$C$4,D16))</f>
        <v/>
      </c>
    </row>
    <row r="17" customFormat="false" ht="15" hidden="false" customHeight="false" outlineLevel="0" collapsed="false">
      <c r="A17" s="12"/>
      <c r="B17" s="13"/>
      <c r="C17" s="14"/>
      <c r="D17" s="15"/>
      <c r="E17" s="13"/>
      <c r="F17" s="16" t="str">
        <f aca="false">IF(D17="","",IF(E17="Döviz",D17*Özet!$C$4,D17))</f>
        <v/>
      </c>
    </row>
    <row r="18" customFormat="false" ht="15" hidden="false" customHeight="false" outlineLevel="0" collapsed="false">
      <c r="A18" s="12"/>
      <c r="B18" s="13"/>
      <c r="C18" s="14"/>
      <c r="D18" s="15"/>
      <c r="E18" s="13"/>
      <c r="F18" s="16" t="str">
        <f aca="false">IF(D18="","",IF(E18="Döviz",D18*Özet!$C$4,D18))</f>
        <v/>
      </c>
    </row>
    <row r="19" customFormat="false" ht="15" hidden="false" customHeight="false" outlineLevel="0" collapsed="false">
      <c r="A19" s="12"/>
      <c r="B19" s="13"/>
      <c r="C19" s="14"/>
      <c r="D19" s="15"/>
      <c r="E19" s="13"/>
      <c r="F19" s="16" t="str">
        <f aca="false">IF(D19="","",IF(E19="Döviz",D19*Özet!$C$4,D19))</f>
        <v/>
      </c>
    </row>
    <row r="20" customFormat="false" ht="15" hidden="false" customHeight="false" outlineLevel="0" collapsed="false">
      <c r="A20" s="12"/>
      <c r="B20" s="13"/>
      <c r="C20" s="14"/>
      <c r="D20" s="15"/>
      <c r="E20" s="13"/>
      <c r="F20" s="16" t="str">
        <f aca="false">IF(D20="","",IF(E20="Döviz",D20*Özet!$C$4,D20))</f>
        <v/>
      </c>
    </row>
    <row r="21" customFormat="false" ht="15" hidden="false" customHeight="false" outlineLevel="0" collapsed="false">
      <c r="A21" s="12"/>
      <c r="B21" s="13"/>
      <c r="C21" s="14"/>
      <c r="D21" s="15"/>
      <c r="E21" s="13"/>
      <c r="F21" s="16" t="str">
        <f aca="false">IF(D21="","",IF(E21="Döviz",D21*Özet!$C$4,D21))</f>
        <v/>
      </c>
    </row>
    <row r="22" customFormat="false" ht="15" hidden="false" customHeight="false" outlineLevel="0" collapsed="false">
      <c r="A22" s="12"/>
      <c r="B22" s="13"/>
      <c r="C22" s="14"/>
      <c r="D22" s="15"/>
      <c r="E22" s="13"/>
      <c r="F22" s="16" t="str">
        <f aca="false">IF(D22="","",IF(E22="Döviz",D22*Özet!$C$4,D22))</f>
        <v/>
      </c>
    </row>
    <row r="23" customFormat="false" ht="15" hidden="false" customHeight="false" outlineLevel="0" collapsed="false">
      <c r="A23" s="12"/>
      <c r="B23" s="13"/>
      <c r="C23" s="14"/>
      <c r="D23" s="15"/>
      <c r="E23" s="13"/>
      <c r="F23" s="16" t="str">
        <f aca="false">IF(D23="","",IF(E23="Döviz",D23*Özet!$C$4,D23))</f>
        <v/>
      </c>
    </row>
    <row r="24" customFormat="false" ht="15" hidden="false" customHeight="false" outlineLevel="0" collapsed="false">
      <c r="A24" s="12"/>
      <c r="B24" s="13"/>
      <c r="C24" s="14"/>
      <c r="D24" s="15"/>
      <c r="E24" s="13"/>
      <c r="F24" s="16" t="str">
        <f aca="false">IF(D24="","",IF(E24="Döviz",D24*Özet!$C$4,D24))</f>
        <v/>
      </c>
    </row>
    <row r="25" customFormat="false" ht="15" hidden="false" customHeight="false" outlineLevel="0" collapsed="false">
      <c r="A25" s="12"/>
      <c r="B25" s="13"/>
      <c r="C25" s="14"/>
      <c r="D25" s="15"/>
      <c r="E25" s="13"/>
      <c r="F25" s="16" t="str">
        <f aca="false">IF(D25="","",IF(E25="Döviz",D25*Özet!$C$4,D25))</f>
        <v/>
      </c>
    </row>
    <row r="26" customFormat="false" ht="15" hidden="false" customHeight="false" outlineLevel="0" collapsed="false">
      <c r="A26" s="12"/>
      <c r="B26" s="13"/>
      <c r="C26" s="14"/>
      <c r="D26" s="15"/>
      <c r="E26" s="13"/>
      <c r="F26" s="16" t="str">
        <f aca="false">IF(D26="","",IF(E26="Döviz",D26*Özet!$C$4,D26))</f>
        <v/>
      </c>
    </row>
    <row r="27" customFormat="false" ht="15" hidden="false" customHeight="false" outlineLevel="0" collapsed="false">
      <c r="A27" s="12"/>
      <c r="B27" s="13"/>
      <c r="C27" s="14"/>
      <c r="D27" s="15"/>
      <c r="E27" s="13"/>
      <c r="F27" s="16" t="str">
        <f aca="false">IF(D27="","",IF(E27="Döviz",D27*Özet!$C$4,D27))</f>
        <v/>
      </c>
    </row>
    <row r="28" customFormat="false" ht="15" hidden="false" customHeight="false" outlineLevel="0" collapsed="false">
      <c r="A28" s="12"/>
      <c r="B28" s="13"/>
      <c r="C28" s="14"/>
      <c r="D28" s="15"/>
      <c r="E28" s="13"/>
      <c r="F28" s="16" t="str">
        <f aca="false">IF(D28="","",IF(E28="Döviz",D28*Özet!$C$4,D28))</f>
        <v/>
      </c>
    </row>
    <row r="29" customFormat="false" ht="15" hidden="false" customHeight="false" outlineLevel="0" collapsed="false">
      <c r="A29" s="12"/>
      <c r="B29" s="13"/>
      <c r="C29" s="14"/>
      <c r="D29" s="15"/>
      <c r="E29" s="13"/>
      <c r="F29" s="16" t="str">
        <f aca="false">IF(D29="","",IF(E29="Döviz",D29*Özet!$C$4,D29))</f>
        <v/>
      </c>
    </row>
    <row r="30" customFormat="false" ht="15" hidden="false" customHeight="false" outlineLevel="0" collapsed="false">
      <c r="A30" s="12"/>
      <c r="B30" s="13"/>
      <c r="C30" s="14"/>
      <c r="D30" s="15"/>
      <c r="E30" s="13"/>
      <c r="F30" s="16" t="str">
        <f aca="false">IF(D30="","",IF(E30="Döviz",D30*Özet!$C$4,D30))</f>
        <v/>
      </c>
    </row>
    <row r="31" customFormat="false" ht="15" hidden="false" customHeight="false" outlineLevel="0" collapsed="false">
      <c r="A31" s="12"/>
      <c r="B31" s="13"/>
      <c r="C31" s="14"/>
      <c r="D31" s="15"/>
      <c r="E31" s="13"/>
      <c r="F31" s="16" t="str">
        <f aca="false">IF(D31="","",IF(E31="Döviz",D31*Özet!$C$4,D31))</f>
        <v/>
      </c>
    </row>
    <row r="32" customFormat="false" ht="15" hidden="false" customHeight="false" outlineLevel="0" collapsed="false">
      <c r="A32" s="12"/>
      <c r="B32" s="13"/>
      <c r="C32" s="14"/>
      <c r="D32" s="15"/>
      <c r="E32" s="13"/>
      <c r="F32" s="16" t="str">
        <f aca="false">IF(D32="","",IF(E32="Döviz",D32*Özet!$C$4,D32))</f>
        <v/>
      </c>
    </row>
    <row r="33" customFormat="false" ht="15" hidden="false" customHeight="false" outlineLevel="0" collapsed="false">
      <c r="A33" s="12"/>
      <c r="B33" s="13"/>
      <c r="C33" s="14"/>
      <c r="D33" s="15"/>
      <c r="E33" s="13"/>
      <c r="F33" s="16" t="str">
        <f aca="false">IF(D33="","",IF(E33="Döviz",D33*Özet!$C$4,D33))</f>
        <v/>
      </c>
    </row>
    <row r="34" customFormat="false" ht="15" hidden="false" customHeight="false" outlineLevel="0" collapsed="false">
      <c r="A34" s="12"/>
      <c r="B34" s="13"/>
      <c r="C34" s="14"/>
      <c r="D34" s="15"/>
      <c r="E34" s="13"/>
      <c r="F34" s="16" t="str">
        <f aca="false">IF(D34="","",IF(E34="Döviz",D34*Özet!$C$4,D34))</f>
        <v/>
      </c>
    </row>
    <row r="35" customFormat="false" ht="15" hidden="false" customHeight="false" outlineLevel="0" collapsed="false">
      <c r="A35" s="12"/>
      <c r="B35" s="13"/>
      <c r="C35" s="14"/>
      <c r="D35" s="15"/>
      <c r="E35" s="13"/>
      <c r="F35" s="16" t="str">
        <f aca="false">IF(D35="","",IF(E35="Döviz",D35*Özet!$C$4,D35))</f>
        <v/>
      </c>
    </row>
    <row r="36" customFormat="false" ht="15" hidden="false" customHeight="false" outlineLevel="0" collapsed="false">
      <c r="A36" s="12"/>
      <c r="B36" s="13"/>
      <c r="C36" s="14"/>
      <c r="D36" s="15"/>
      <c r="E36" s="13"/>
      <c r="F36" s="16" t="str">
        <f aca="false">IF(D36="","",IF(E36="Döviz",D36*Özet!$C$4,D36))</f>
        <v/>
      </c>
    </row>
    <row r="37" customFormat="false" ht="15" hidden="false" customHeight="false" outlineLevel="0" collapsed="false">
      <c r="A37" s="12"/>
      <c r="B37" s="13"/>
      <c r="C37" s="14"/>
      <c r="D37" s="15"/>
      <c r="E37" s="13"/>
      <c r="F37" s="16" t="str">
        <f aca="false">IF(D37="","",IF(E37="Döviz",D37*Özet!$C$4,D37))</f>
        <v/>
      </c>
    </row>
    <row r="38" customFormat="false" ht="15" hidden="false" customHeight="false" outlineLevel="0" collapsed="false">
      <c r="A38" s="12"/>
      <c r="B38" s="13"/>
      <c r="C38" s="14"/>
      <c r="D38" s="15"/>
      <c r="E38" s="13"/>
      <c r="F38" s="16" t="str">
        <f aca="false">IF(D38="","",IF(E38="Döviz",D38*Özet!$C$4,D38))</f>
        <v/>
      </c>
    </row>
    <row r="39" customFormat="false" ht="15" hidden="false" customHeight="false" outlineLevel="0" collapsed="false">
      <c r="A39" s="12"/>
      <c r="B39" s="13"/>
      <c r="C39" s="14"/>
      <c r="D39" s="15"/>
      <c r="E39" s="13"/>
      <c r="F39" s="16" t="str">
        <f aca="false">IF(D39="","",IF(E39="Döviz",D39*Özet!$C$4,D39))</f>
        <v/>
      </c>
    </row>
    <row r="40" customFormat="false" ht="15" hidden="false" customHeight="false" outlineLevel="0" collapsed="false">
      <c r="A40" s="12"/>
      <c r="B40" s="13"/>
      <c r="C40" s="14"/>
      <c r="D40" s="15"/>
      <c r="E40" s="13"/>
      <c r="F40" s="16" t="str">
        <f aca="false">IF(D40="","",IF(E40="Döviz",D40*Özet!$C$4,D40))</f>
        <v/>
      </c>
    </row>
    <row r="41" customFormat="false" ht="15" hidden="false" customHeight="false" outlineLevel="0" collapsed="false">
      <c r="A41" s="12"/>
      <c r="B41" s="13"/>
      <c r="C41" s="14"/>
      <c r="D41" s="15"/>
      <c r="E41" s="13"/>
      <c r="F41" s="16" t="str">
        <f aca="false">IF(D41="","",IF(E41="Döviz",D41*Özet!$C$4,D41))</f>
        <v/>
      </c>
    </row>
    <row r="42" customFormat="false" ht="15" hidden="false" customHeight="false" outlineLevel="0" collapsed="false">
      <c r="A42" s="12"/>
      <c r="B42" s="13"/>
      <c r="C42" s="14"/>
      <c r="D42" s="15"/>
      <c r="E42" s="13"/>
      <c r="F42" s="16" t="str">
        <f aca="false">IF(D42="","",IF(E42="Döviz",D42*Özet!$C$4,D42))</f>
        <v/>
      </c>
    </row>
    <row r="43" customFormat="false" ht="15" hidden="false" customHeight="false" outlineLevel="0" collapsed="false">
      <c r="A43" s="12"/>
      <c r="B43" s="13"/>
      <c r="C43" s="14"/>
      <c r="D43" s="15"/>
      <c r="E43" s="13"/>
      <c r="F43" s="16" t="str">
        <f aca="false">IF(D43="","",IF(E43="Döviz",D43*Özet!$C$4,D43))</f>
        <v/>
      </c>
    </row>
    <row r="44" customFormat="false" ht="15" hidden="false" customHeight="false" outlineLevel="0" collapsed="false">
      <c r="A44" s="12"/>
      <c r="B44" s="13"/>
      <c r="C44" s="14"/>
      <c r="D44" s="15"/>
      <c r="E44" s="13"/>
      <c r="F44" s="16" t="str">
        <f aca="false">IF(D44="","",IF(E44="Döviz",D44*Özet!$C$4,D44))</f>
        <v/>
      </c>
    </row>
    <row r="45" customFormat="false" ht="15" hidden="false" customHeight="false" outlineLevel="0" collapsed="false">
      <c r="A45" s="12"/>
      <c r="B45" s="13"/>
      <c r="C45" s="14"/>
      <c r="D45" s="15"/>
      <c r="E45" s="13"/>
      <c r="F45" s="16" t="str">
        <f aca="false">IF(D45="","",IF(E45="Döviz",D45*Özet!$C$4,D45))</f>
        <v/>
      </c>
    </row>
    <row r="46" customFormat="false" ht="15" hidden="false" customHeight="false" outlineLevel="0" collapsed="false">
      <c r="A46" s="12"/>
      <c r="B46" s="13"/>
      <c r="C46" s="14"/>
      <c r="D46" s="15"/>
      <c r="E46" s="13"/>
      <c r="F46" s="16" t="str">
        <f aca="false">IF(D46="","",IF(E46="Döviz",D46*Özet!$C$4,D46))</f>
        <v/>
      </c>
    </row>
    <row r="47" customFormat="false" ht="15" hidden="false" customHeight="false" outlineLevel="0" collapsed="false">
      <c r="A47" s="12"/>
      <c r="B47" s="13"/>
      <c r="C47" s="14"/>
      <c r="D47" s="15"/>
      <c r="E47" s="13"/>
      <c r="F47" s="16" t="str">
        <f aca="false">IF(D47="","",IF(E47="Döviz",D47*Özet!$C$4,D47))</f>
        <v/>
      </c>
    </row>
    <row r="48" customFormat="false" ht="15" hidden="false" customHeight="false" outlineLevel="0" collapsed="false">
      <c r="A48" s="12"/>
      <c r="B48" s="13"/>
      <c r="C48" s="14"/>
      <c r="D48" s="15"/>
      <c r="E48" s="13"/>
      <c r="F48" s="16" t="str">
        <f aca="false">IF(D48="","",IF(E48="Döviz",D48*Özet!$C$4,D48))</f>
        <v/>
      </c>
    </row>
    <row r="49" customFormat="false" ht="15" hidden="false" customHeight="false" outlineLevel="0" collapsed="false">
      <c r="A49" s="12"/>
      <c r="B49" s="13"/>
      <c r="C49" s="14"/>
      <c r="D49" s="15"/>
      <c r="E49" s="13"/>
      <c r="F49" s="16" t="str">
        <f aca="false">IF(D49="","",IF(E49="Döviz",D49*Özet!$C$4,D49))</f>
        <v/>
      </c>
    </row>
    <row r="50" customFormat="false" ht="15" hidden="false" customHeight="false" outlineLevel="0" collapsed="false">
      <c r="A50" s="12"/>
      <c r="B50" s="13"/>
      <c r="C50" s="14"/>
      <c r="D50" s="15"/>
      <c r="E50" s="13"/>
      <c r="F50" s="16" t="str">
        <f aca="false">IF(D50="","",IF(E50="Döviz",D50*Özet!$C$4,D50))</f>
        <v/>
      </c>
    </row>
    <row r="51" customFormat="false" ht="15" hidden="false" customHeight="false" outlineLevel="0" collapsed="false">
      <c r="A51" s="12"/>
      <c r="B51" s="13"/>
      <c r="C51" s="14"/>
      <c r="D51" s="15"/>
      <c r="E51" s="13"/>
      <c r="F51" s="16" t="str">
        <f aca="false">IF(D51="","",IF(E51="Döviz",D51*Özet!$C$4,D51))</f>
        <v/>
      </c>
    </row>
    <row r="52" customFormat="false" ht="15" hidden="false" customHeight="false" outlineLevel="0" collapsed="false">
      <c r="A52" s="12"/>
      <c r="B52" s="13"/>
      <c r="C52" s="14"/>
      <c r="D52" s="15"/>
      <c r="E52" s="13"/>
      <c r="F52" s="16" t="str">
        <f aca="false">IF(D52="","",IF(E52="Döviz",D52*Özet!$C$4,D52))</f>
        <v/>
      </c>
    </row>
    <row r="53" customFormat="false" ht="15" hidden="false" customHeight="false" outlineLevel="0" collapsed="false">
      <c r="A53" s="12"/>
      <c r="B53" s="13"/>
      <c r="C53" s="14"/>
      <c r="D53" s="15"/>
      <c r="E53" s="13"/>
      <c r="F53" s="16" t="str">
        <f aca="false">IF(D53="","",IF(E53="Döviz",D53*Özet!$C$4,D53))</f>
        <v/>
      </c>
    </row>
    <row r="54" customFormat="false" ht="15" hidden="false" customHeight="false" outlineLevel="0" collapsed="false">
      <c r="A54" s="12"/>
      <c r="B54" s="13"/>
      <c r="C54" s="14"/>
      <c r="D54" s="15"/>
      <c r="E54" s="13"/>
      <c r="F54" s="16" t="str">
        <f aca="false">IF(D54="","",IF(E54="Döviz",D54*Özet!$C$4,D54))</f>
        <v/>
      </c>
    </row>
    <row r="55" customFormat="false" ht="15" hidden="false" customHeight="false" outlineLevel="0" collapsed="false">
      <c r="A55" s="12"/>
      <c r="B55" s="13"/>
      <c r="C55" s="14"/>
      <c r="D55" s="15"/>
      <c r="E55" s="13"/>
      <c r="F55" s="16" t="str">
        <f aca="false">IF(D55="","",IF(E55="Döviz",D55*Özet!$C$4,D55))</f>
        <v/>
      </c>
    </row>
    <row r="56" customFormat="false" ht="15" hidden="false" customHeight="false" outlineLevel="0" collapsed="false">
      <c r="A56" s="12"/>
      <c r="B56" s="13"/>
      <c r="C56" s="14"/>
      <c r="D56" s="15"/>
      <c r="E56" s="13"/>
      <c r="F56" s="16" t="str">
        <f aca="false">IF(D56="","",IF(E56="Döviz",D56*Özet!$C$4,D56))</f>
        <v/>
      </c>
    </row>
    <row r="57" customFormat="false" ht="15" hidden="false" customHeight="false" outlineLevel="0" collapsed="false">
      <c r="A57" s="12"/>
      <c r="B57" s="13"/>
      <c r="C57" s="14"/>
      <c r="D57" s="15"/>
      <c r="E57" s="13"/>
      <c r="F57" s="16" t="str">
        <f aca="false">IF(D57="","",IF(E57="Döviz",D57*Özet!$C$4,D57))</f>
        <v/>
      </c>
    </row>
    <row r="58" customFormat="false" ht="15" hidden="false" customHeight="false" outlineLevel="0" collapsed="false">
      <c r="A58" s="12"/>
      <c r="B58" s="13"/>
      <c r="C58" s="14"/>
      <c r="D58" s="15"/>
      <c r="E58" s="13"/>
      <c r="F58" s="16" t="str">
        <f aca="false">IF(D58="","",IF(E58="Döviz",D58*Özet!$C$4,D58))</f>
        <v/>
      </c>
    </row>
    <row r="59" customFormat="false" ht="15" hidden="false" customHeight="false" outlineLevel="0" collapsed="false">
      <c r="A59" s="12"/>
      <c r="B59" s="13"/>
      <c r="C59" s="14"/>
      <c r="D59" s="15"/>
      <c r="E59" s="13"/>
      <c r="F59" s="16" t="str">
        <f aca="false">IF(D59="","",IF(E59="Döviz",D59*Özet!$C$4,D59))</f>
        <v/>
      </c>
    </row>
    <row r="60" customFormat="false" ht="15" hidden="false" customHeight="false" outlineLevel="0" collapsed="false">
      <c r="A60" s="12"/>
      <c r="B60" s="13"/>
      <c r="C60" s="14"/>
      <c r="D60" s="15"/>
      <c r="E60" s="13"/>
      <c r="F60" s="16" t="str">
        <f aca="false">IF(D60="","",IF(E60="Döviz",D60*Özet!$C$4,D60))</f>
        <v/>
      </c>
    </row>
    <row r="61" customFormat="false" ht="15" hidden="false" customHeight="false" outlineLevel="0" collapsed="false">
      <c r="A61" s="12"/>
      <c r="B61" s="13"/>
      <c r="C61" s="14"/>
      <c r="D61" s="15"/>
      <c r="E61" s="13"/>
      <c r="F61" s="16" t="str">
        <f aca="false">IF(D61="","",IF(E61="Döviz",D61*Özet!$C$4,D61))</f>
        <v/>
      </c>
    </row>
    <row r="62" customFormat="false" ht="15" hidden="false" customHeight="false" outlineLevel="0" collapsed="false">
      <c r="A62" s="12"/>
      <c r="B62" s="13"/>
      <c r="C62" s="14"/>
      <c r="D62" s="15"/>
      <c r="E62" s="13"/>
      <c r="F62" s="16" t="str">
        <f aca="false">IF(D62="","",IF(E62="Döviz",D62*Özet!$C$4,D62))</f>
        <v/>
      </c>
    </row>
    <row r="63" customFormat="false" ht="15" hidden="false" customHeight="false" outlineLevel="0" collapsed="false">
      <c r="A63" s="12"/>
      <c r="B63" s="13"/>
      <c r="C63" s="14"/>
      <c r="D63" s="15"/>
      <c r="E63" s="13"/>
      <c r="F63" s="16" t="str">
        <f aca="false">IF(D63="","",IF(E63="Döviz",D63*Özet!$C$4,D63))</f>
        <v/>
      </c>
    </row>
    <row r="64" customFormat="false" ht="15" hidden="false" customHeight="false" outlineLevel="0" collapsed="false">
      <c r="A64" s="12"/>
      <c r="B64" s="13"/>
      <c r="C64" s="14"/>
      <c r="D64" s="15"/>
      <c r="E64" s="13"/>
      <c r="F64" s="16" t="str">
        <f aca="false">IF(D64="","",IF(E64="Döviz",D64*Özet!$C$4,D64))</f>
        <v/>
      </c>
    </row>
    <row r="65" customFormat="false" ht="15" hidden="false" customHeight="false" outlineLevel="0" collapsed="false">
      <c r="A65" s="12"/>
      <c r="B65" s="13"/>
      <c r="C65" s="14"/>
      <c r="D65" s="15"/>
      <c r="E65" s="13"/>
      <c r="F65" s="16" t="str">
        <f aca="false">IF(D65="","",IF(E65="Döviz",D65*Özet!$C$4,D65))</f>
        <v/>
      </c>
    </row>
    <row r="66" customFormat="false" ht="15" hidden="false" customHeight="false" outlineLevel="0" collapsed="false">
      <c r="A66" s="12"/>
      <c r="B66" s="13"/>
      <c r="C66" s="14"/>
      <c r="D66" s="15"/>
      <c r="E66" s="13"/>
      <c r="F66" s="16" t="str">
        <f aca="false">IF(D66="","",IF(E66="Döviz",D66*Özet!$C$4,D66))</f>
        <v/>
      </c>
    </row>
    <row r="67" customFormat="false" ht="15" hidden="false" customHeight="false" outlineLevel="0" collapsed="false">
      <c r="A67" s="12"/>
      <c r="B67" s="13"/>
      <c r="C67" s="14"/>
      <c r="D67" s="15"/>
      <c r="E67" s="13"/>
      <c r="F67" s="16" t="str">
        <f aca="false">IF(D67="","",IF(E67="Döviz",D67*Özet!$C$4,D67))</f>
        <v/>
      </c>
    </row>
    <row r="68" customFormat="false" ht="15" hidden="false" customHeight="false" outlineLevel="0" collapsed="false">
      <c r="A68" s="12"/>
      <c r="B68" s="13"/>
      <c r="C68" s="14"/>
      <c r="D68" s="15"/>
      <c r="E68" s="13"/>
      <c r="F68" s="16" t="str">
        <f aca="false">IF(D68="","",IF(E68="Döviz",D68*Özet!$C$4,D68))</f>
        <v/>
      </c>
    </row>
    <row r="69" customFormat="false" ht="15" hidden="false" customHeight="false" outlineLevel="0" collapsed="false">
      <c r="A69" s="12"/>
      <c r="B69" s="13"/>
      <c r="C69" s="14"/>
      <c r="D69" s="15"/>
      <c r="E69" s="13"/>
      <c r="F69" s="16" t="str">
        <f aca="false">IF(D69="","",IF(E69="Döviz",D69*Özet!$C$4,D69))</f>
        <v/>
      </c>
    </row>
    <row r="70" customFormat="false" ht="15" hidden="false" customHeight="false" outlineLevel="0" collapsed="false">
      <c r="A70" s="12"/>
      <c r="B70" s="13"/>
      <c r="C70" s="14"/>
      <c r="D70" s="15"/>
      <c r="E70" s="13"/>
      <c r="F70" s="16" t="str">
        <f aca="false">IF(D70="","",IF(E70="Döviz",D70*Özet!$C$4,D70))</f>
        <v/>
      </c>
    </row>
    <row r="71" customFormat="false" ht="15" hidden="false" customHeight="false" outlineLevel="0" collapsed="false">
      <c r="A71" s="12"/>
      <c r="B71" s="13"/>
      <c r="C71" s="14"/>
      <c r="D71" s="15"/>
      <c r="E71" s="13"/>
      <c r="F71" s="16" t="str">
        <f aca="false">IF(D71="","",IF(E71="Döviz",D71*Özet!$C$4,D71))</f>
        <v/>
      </c>
    </row>
    <row r="72" customFormat="false" ht="15" hidden="false" customHeight="false" outlineLevel="0" collapsed="false">
      <c r="A72" s="12"/>
      <c r="B72" s="13"/>
      <c r="C72" s="14"/>
      <c r="D72" s="15"/>
      <c r="E72" s="13"/>
      <c r="F72" s="16" t="str">
        <f aca="false">IF(D72="","",IF(E72="Döviz",D72*Özet!$C$4,D72))</f>
        <v/>
      </c>
    </row>
    <row r="73" customFormat="false" ht="15" hidden="false" customHeight="false" outlineLevel="0" collapsed="false">
      <c r="A73" s="12"/>
      <c r="B73" s="13"/>
      <c r="C73" s="14"/>
      <c r="D73" s="15"/>
      <c r="E73" s="13"/>
      <c r="F73" s="16" t="str">
        <f aca="false">IF(D73="","",IF(E73="Döviz",D73*Özet!$C$4,D73))</f>
        <v/>
      </c>
    </row>
    <row r="74" customFormat="false" ht="15" hidden="false" customHeight="false" outlineLevel="0" collapsed="false">
      <c r="A74" s="12"/>
      <c r="B74" s="13"/>
      <c r="C74" s="14"/>
      <c r="D74" s="15"/>
      <c r="E74" s="13"/>
      <c r="F74" s="16" t="str">
        <f aca="false">IF(D74="","",IF(E74="Döviz",D74*Özet!$C$4,D74))</f>
        <v/>
      </c>
    </row>
    <row r="75" customFormat="false" ht="15" hidden="false" customHeight="false" outlineLevel="0" collapsed="false">
      <c r="A75" s="12"/>
      <c r="B75" s="13"/>
      <c r="C75" s="14"/>
      <c r="D75" s="15"/>
      <c r="E75" s="13"/>
      <c r="F75" s="16" t="str">
        <f aca="false">IF(D75="","",IF(E75="Döviz",D75*Özet!$C$4,D75))</f>
        <v/>
      </c>
    </row>
    <row r="76" customFormat="false" ht="15" hidden="false" customHeight="false" outlineLevel="0" collapsed="false">
      <c r="A76" s="12"/>
      <c r="B76" s="13"/>
      <c r="C76" s="14"/>
      <c r="D76" s="15"/>
      <c r="E76" s="13"/>
      <c r="F76" s="16" t="str">
        <f aca="false">IF(D76="","",IF(E76="Döviz",D76*Özet!$C$4,D76))</f>
        <v/>
      </c>
    </row>
    <row r="77" customFormat="false" ht="15" hidden="false" customHeight="false" outlineLevel="0" collapsed="false">
      <c r="A77" s="12"/>
      <c r="B77" s="13"/>
      <c r="C77" s="14"/>
      <c r="D77" s="15"/>
      <c r="E77" s="13"/>
      <c r="F77" s="16" t="str">
        <f aca="false">IF(D77="","",IF(E77="Döviz",D77*Özet!$C$4,D77))</f>
        <v/>
      </c>
    </row>
    <row r="78" customFormat="false" ht="15" hidden="false" customHeight="false" outlineLevel="0" collapsed="false">
      <c r="A78" s="12"/>
      <c r="B78" s="13"/>
      <c r="C78" s="14"/>
      <c r="D78" s="15"/>
      <c r="E78" s="13"/>
      <c r="F78" s="16" t="str">
        <f aca="false">IF(D78="","",IF(E78="Döviz",D78*Özet!$C$4,D78))</f>
        <v/>
      </c>
    </row>
    <row r="79" customFormat="false" ht="15" hidden="false" customHeight="false" outlineLevel="0" collapsed="false">
      <c r="A79" s="12"/>
      <c r="B79" s="13"/>
      <c r="C79" s="14"/>
      <c r="D79" s="15"/>
      <c r="E79" s="13"/>
      <c r="F79" s="16" t="str">
        <f aca="false">IF(D79="","",IF(E79="Döviz",D79*Özet!$C$4,D79))</f>
        <v/>
      </c>
    </row>
    <row r="80" customFormat="false" ht="15" hidden="false" customHeight="false" outlineLevel="0" collapsed="false">
      <c r="A80" s="12"/>
      <c r="B80" s="13"/>
      <c r="C80" s="14"/>
      <c r="D80" s="15"/>
      <c r="E80" s="13"/>
      <c r="F80" s="16" t="str">
        <f aca="false">IF(D80="","",IF(E80="Döviz",D80*Özet!$C$4,D80))</f>
        <v/>
      </c>
    </row>
    <row r="81" customFormat="false" ht="15" hidden="false" customHeight="false" outlineLevel="0" collapsed="false">
      <c r="A81" s="12"/>
      <c r="B81" s="13"/>
      <c r="C81" s="14"/>
      <c r="D81" s="15"/>
      <c r="E81" s="13"/>
      <c r="F81" s="16" t="str">
        <f aca="false">IF(D81="","",IF(E81="Döviz",D81*Özet!$C$4,D81))</f>
        <v/>
      </c>
    </row>
    <row r="82" customFormat="false" ht="15" hidden="false" customHeight="false" outlineLevel="0" collapsed="false">
      <c r="A82" s="12"/>
      <c r="B82" s="13"/>
      <c r="C82" s="14"/>
      <c r="D82" s="15"/>
      <c r="E82" s="13"/>
      <c r="F82" s="16" t="str">
        <f aca="false">IF(D82="","",IF(E82="Döviz",D82*Özet!$C$4,D82))</f>
        <v/>
      </c>
    </row>
    <row r="83" customFormat="false" ht="15" hidden="false" customHeight="false" outlineLevel="0" collapsed="false">
      <c r="A83" s="12"/>
      <c r="B83" s="13"/>
      <c r="C83" s="14"/>
      <c r="D83" s="15"/>
      <c r="E83" s="13"/>
      <c r="F83" s="16" t="str">
        <f aca="false">IF(D83="","",IF(E83="Döviz",D83*Özet!$C$4,D83))</f>
        <v/>
      </c>
    </row>
    <row r="84" customFormat="false" ht="15" hidden="false" customHeight="false" outlineLevel="0" collapsed="false">
      <c r="A84" s="12"/>
      <c r="B84" s="13"/>
      <c r="C84" s="14"/>
      <c r="D84" s="15"/>
      <c r="E84" s="13"/>
      <c r="F84" s="16" t="str">
        <f aca="false">IF(D84="","",IF(E84="Döviz",D84*Özet!$C$4,D84))</f>
        <v/>
      </c>
    </row>
    <row r="85" customFormat="false" ht="15" hidden="false" customHeight="false" outlineLevel="0" collapsed="false">
      <c r="A85" s="12"/>
      <c r="B85" s="13"/>
      <c r="C85" s="14"/>
      <c r="D85" s="15"/>
      <c r="E85" s="13"/>
      <c r="F85" s="16" t="str">
        <f aca="false">IF(D85="","",IF(E85="Döviz",D85*Özet!$C$4,D85))</f>
        <v/>
      </c>
    </row>
    <row r="86" customFormat="false" ht="15" hidden="false" customHeight="false" outlineLevel="0" collapsed="false">
      <c r="A86" s="12"/>
      <c r="B86" s="13"/>
      <c r="C86" s="14"/>
      <c r="D86" s="15"/>
      <c r="E86" s="13"/>
      <c r="F86" s="16" t="str">
        <f aca="false">IF(D86="","",IF(E86="Döviz",D86*Özet!$C$4,D86))</f>
        <v/>
      </c>
    </row>
    <row r="87" customFormat="false" ht="15" hidden="false" customHeight="false" outlineLevel="0" collapsed="false">
      <c r="A87" s="12"/>
      <c r="B87" s="13"/>
      <c r="C87" s="14"/>
      <c r="D87" s="15"/>
      <c r="E87" s="13"/>
      <c r="F87" s="16" t="str">
        <f aca="false">IF(D87="","",IF(E87="Döviz",D87*Özet!$C$4,D87))</f>
        <v/>
      </c>
    </row>
    <row r="88" customFormat="false" ht="15" hidden="false" customHeight="false" outlineLevel="0" collapsed="false">
      <c r="A88" s="12"/>
      <c r="B88" s="13"/>
      <c r="C88" s="14"/>
      <c r="D88" s="15"/>
      <c r="E88" s="13"/>
      <c r="F88" s="16" t="str">
        <f aca="false">IF(D88="","",IF(E88="Döviz",D88*Özet!$C$4,D88))</f>
        <v/>
      </c>
    </row>
    <row r="89" customFormat="false" ht="15" hidden="false" customHeight="false" outlineLevel="0" collapsed="false">
      <c r="A89" s="12"/>
      <c r="B89" s="13"/>
      <c r="C89" s="14"/>
      <c r="D89" s="15"/>
      <c r="E89" s="13"/>
      <c r="F89" s="16" t="str">
        <f aca="false">IF(D89="","",IF(E89="Döviz",D89*Özet!$C$4,D89))</f>
        <v/>
      </c>
    </row>
    <row r="90" customFormat="false" ht="15" hidden="false" customHeight="false" outlineLevel="0" collapsed="false">
      <c r="A90" s="12"/>
      <c r="B90" s="13"/>
      <c r="C90" s="14"/>
      <c r="D90" s="15"/>
      <c r="E90" s="13"/>
      <c r="F90" s="16" t="str">
        <f aca="false">IF(D90="","",IF(E90="Döviz",D90*Özet!$C$4,D90))</f>
        <v/>
      </c>
    </row>
    <row r="91" customFormat="false" ht="15" hidden="false" customHeight="false" outlineLevel="0" collapsed="false">
      <c r="A91" s="12"/>
      <c r="B91" s="13"/>
      <c r="C91" s="14"/>
      <c r="D91" s="15"/>
      <c r="E91" s="13"/>
      <c r="F91" s="16" t="str">
        <f aca="false">IF(D91="","",IF(E91="Döviz",D91*Özet!$C$4,D91))</f>
        <v/>
      </c>
    </row>
    <row r="92" customFormat="false" ht="15" hidden="false" customHeight="false" outlineLevel="0" collapsed="false">
      <c r="A92" s="12"/>
      <c r="B92" s="13"/>
      <c r="C92" s="14"/>
      <c r="D92" s="15"/>
      <c r="E92" s="13"/>
      <c r="F92" s="16" t="str">
        <f aca="false">IF(D92="","",IF(E92="Döviz",D92*Özet!$C$4,D92))</f>
        <v/>
      </c>
    </row>
    <row r="93" customFormat="false" ht="15" hidden="false" customHeight="false" outlineLevel="0" collapsed="false">
      <c r="A93" s="12"/>
      <c r="B93" s="13"/>
      <c r="C93" s="14"/>
      <c r="D93" s="15"/>
      <c r="E93" s="13"/>
      <c r="F93" s="16" t="str">
        <f aca="false">IF(D93="","",IF(E93="Döviz",D93*Özet!$C$4,D93))</f>
        <v/>
      </c>
    </row>
    <row r="94" customFormat="false" ht="15" hidden="false" customHeight="false" outlineLevel="0" collapsed="false">
      <c r="A94" s="12"/>
      <c r="B94" s="13"/>
      <c r="C94" s="14"/>
      <c r="D94" s="15"/>
      <c r="E94" s="13"/>
      <c r="F94" s="16" t="str">
        <f aca="false">IF(D94="","",IF(E94="Döviz",D94*Özet!$C$4,D94))</f>
        <v/>
      </c>
    </row>
    <row r="95" customFormat="false" ht="15" hidden="false" customHeight="false" outlineLevel="0" collapsed="false">
      <c r="A95" s="12"/>
      <c r="B95" s="13"/>
      <c r="C95" s="14"/>
      <c r="D95" s="15"/>
      <c r="E95" s="13"/>
      <c r="F95" s="16" t="str">
        <f aca="false">IF(D95="","",IF(E95="Döviz",D95*Özet!$C$4,D95))</f>
        <v/>
      </c>
    </row>
    <row r="96" customFormat="false" ht="15" hidden="false" customHeight="false" outlineLevel="0" collapsed="false">
      <c r="A96" s="12"/>
      <c r="B96" s="13"/>
      <c r="C96" s="14"/>
      <c r="D96" s="15"/>
      <c r="E96" s="13"/>
      <c r="F96" s="16" t="str">
        <f aca="false">IF(D96="","",IF(E96="Döviz",D96*Özet!$C$4,D96))</f>
        <v/>
      </c>
    </row>
    <row r="97" customFormat="false" ht="15" hidden="false" customHeight="false" outlineLevel="0" collapsed="false">
      <c r="A97" s="12"/>
      <c r="B97" s="13"/>
      <c r="C97" s="14"/>
      <c r="D97" s="15"/>
      <c r="E97" s="13"/>
      <c r="F97" s="16" t="str">
        <f aca="false">IF(D97="","",IF(E97="Döviz",D97*Özet!$C$4,D97))</f>
        <v/>
      </c>
    </row>
    <row r="98" customFormat="false" ht="15" hidden="false" customHeight="false" outlineLevel="0" collapsed="false">
      <c r="A98" s="12"/>
      <c r="B98" s="13"/>
      <c r="C98" s="14"/>
      <c r="D98" s="15"/>
      <c r="E98" s="13"/>
      <c r="F98" s="16" t="str">
        <f aca="false">IF(D98="","",IF(E98="Döviz",D98*Özet!$C$4,D98))</f>
        <v/>
      </c>
    </row>
    <row r="99" customFormat="false" ht="15" hidden="false" customHeight="false" outlineLevel="0" collapsed="false">
      <c r="A99" s="12"/>
      <c r="B99" s="13"/>
      <c r="C99" s="14"/>
      <c r="D99" s="15"/>
      <c r="E99" s="13"/>
      <c r="F99" s="16" t="str">
        <f aca="false">IF(D99="","",IF(E99="Döviz",D99*Özet!$C$4,D99))</f>
        <v/>
      </c>
    </row>
    <row r="100" customFormat="false" ht="15" hidden="false" customHeight="false" outlineLevel="0" collapsed="false">
      <c r="A100" s="12"/>
      <c r="B100" s="13"/>
      <c r="C100" s="14"/>
      <c r="D100" s="15"/>
      <c r="E100" s="13"/>
      <c r="F100" s="16" t="str">
        <f aca="false">IF(D100="","",IF(E100="Döviz",D100*Özet!$C$4,D100))</f>
        <v/>
      </c>
    </row>
    <row r="101" customFormat="false" ht="15" hidden="false" customHeight="false" outlineLevel="0" collapsed="false">
      <c r="A101" s="12"/>
      <c r="B101" s="13"/>
      <c r="C101" s="14"/>
      <c r="D101" s="15"/>
      <c r="E101" s="13"/>
      <c r="F101" s="16" t="str">
        <f aca="false">IF(D101="","",IF(E101="Döviz",D101*Özet!$C$4,D101))</f>
        <v/>
      </c>
    </row>
    <row r="102" customFormat="false" ht="15" hidden="false" customHeight="false" outlineLevel="0" collapsed="false">
      <c r="A102" s="12"/>
      <c r="B102" s="13"/>
      <c r="C102" s="14"/>
      <c r="D102" s="15"/>
      <c r="E102" s="13"/>
      <c r="F102" s="16" t="str">
        <f aca="false">IF(D102="","",IF(E102="Döviz",D102*Özet!$C$4,D102))</f>
        <v/>
      </c>
    </row>
    <row r="103" customFormat="false" ht="15" hidden="false" customHeight="false" outlineLevel="0" collapsed="false">
      <c r="A103" s="12"/>
      <c r="B103" s="13"/>
      <c r="C103" s="14"/>
      <c r="D103" s="15"/>
      <c r="E103" s="13"/>
      <c r="F103" s="16" t="str">
        <f aca="false">IF(D103="","",IF(E103="Döviz",D103*Özet!$C$4,D103))</f>
        <v/>
      </c>
    </row>
    <row r="104" customFormat="false" ht="15" hidden="false" customHeight="false" outlineLevel="0" collapsed="false">
      <c r="A104" s="12"/>
      <c r="B104" s="13"/>
      <c r="C104" s="14"/>
      <c r="D104" s="15"/>
      <c r="E104" s="13"/>
      <c r="F104" s="16" t="str">
        <f aca="false">IF(D104="","",IF(E104="Döviz",D104*Özet!$C$4,D104))</f>
        <v/>
      </c>
    </row>
    <row r="105" customFormat="false" ht="15" hidden="false" customHeight="false" outlineLevel="0" collapsed="false">
      <c r="A105" s="12"/>
      <c r="B105" s="13"/>
      <c r="C105" s="14"/>
      <c r="D105" s="15"/>
      <c r="E105" s="13"/>
      <c r="F105" s="16" t="str">
        <f aca="false">IF(D105="","",IF(E105="Döviz",D105*Özet!$C$4,D105))</f>
        <v/>
      </c>
    </row>
    <row r="106" customFormat="false" ht="15" hidden="false" customHeight="false" outlineLevel="0" collapsed="false">
      <c r="A106" s="12"/>
      <c r="B106" s="13"/>
      <c r="C106" s="14"/>
      <c r="D106" s="15"/>
      <c r="E106" s="13"/>
      <c r="F106" s="16" t="str">
        <f aca="false">IF(D106="","",IF(E106="Döviz",D106*Özet!$C$4,D106))</f>
        <v/>
      </c>
    </row>
    <row r="107" customFormat="false" ht="15" hidden="false" customHeight="false" outlineLevel="0" collapsed="false">
      <c r="A107" s="12"/>
      <c r="B107" s="13"/>
      <c r="C107" s="14"/>
      <c r="D107" s="15"/>
      <c r="E107" s="13"/>
      <c r="F107" s="16" t="str">
        <f aca="false">IF(D107="","",IF(E107="Döviz",D107*Özet!$C$4,D107))</f>
        <v/>
      </c>
    </row>
    <row r="108" customFormat="false" ht="15" hidden="false" customHeight="false" outlineLevel="0" collapsed="false">
      <c r="A108" s="12"/>
      <c r="B108" s="13"/>
      <c r="C108" s="14"/>
      <c r="D108" s="15"/>
      <c r="E108" s="13"/>
      <c r="F108" s="16" t="str">
        <f aca="false">IF(D108="","",IF(E108="Döviz",D108*Özet!$C$4,D108))</f>
        <v/>
      </c>
    </row>
    <row r="109" customFormat="false" ht="15" hidden="false" customHeight="false" outlineLevel="0" collapsed="false">
      <c r="A109" s="12"/>
      <c r="B109" s="13"/>
      <c r="C109" s="14"/>
      <c r="D109" s="15"/>
      <c r="E109" s="13"/>
      <c r="F109" s="16" t="str">
        <f aca="false">IF(D109="","",IF(E109="Döviz",D109*Özet!$C$4,D109))</f>
        <v/>
      </c>
    </row>
    <row r="110" customFormat="false" ht="15" hidden="false" customHeight="false" outlineLevel="0" collapsed="false">
      <c r="A110" s="12"/>
      <c r="B110" s="13"/>
      <c r="C110" s="14"/>
      <c r="D110" s="15"/>
      <c r="E110" s="13"/>
      <c r="F110" s="16" t="str">
        <f aca="false">IF(D110="","",IF(E110="Döviz",D110*Özet!$C$4,D110))</f>
        <v/>
      </c>
    </row>
    <row r="111" customFormat="false" ht="15" hidden="false" customHeight="false" outlineLevel="0" collapsed="false">
      <c r="A111" s="12"/>
      <c r="B111" s="13"/>
      <c r="C111" s="14"/>
      <c r="D111" s="15"/>
      <c r="E111" s="13"/>
      <c r="F111" s="16" t="str">
        <f aca="false">IF(D111="","",IF(E111="Döviz",D111*Özet!$C$4,D111))</f>
        <v/>
      </c>
    </row>
    <row r="112" customFormat="false" ht="15" hidden="false" customHeight="false" outlineLevel="0" collapsed="false">
      <c r="A112" s="12"/>
      <c r="B112" s="13"/>
      <c r="C112" s="14"/>
      <c r="D112" s="15"/>
      <c r="E112" s="13"/>
      <c r="F112" s="16" t="str">
        <f aca="false">IF(D112="","",IF(E112="Döviz",D112*Özet!$C$4,D112))</f>
        <v/>
      </c>
    </row>
    <row r="113" customFormat="false" ht="15" hidden="false" customHeight="false" outlineLevel="0" collapsed="false">
      <c r="A113" s="12"/>
      <c r="B113" s="13"/>
      <c r="C113" s="14"/>
      <c r="D113" s="15"/>
      <c r="E113" s="13"/>
      <c r="F113" s="16" t="str">
        <f aca="false">IF(D113="","",IF(E113="Döviz",D113*Özet!$C$4,D113))</f>
        <v/>
      </c>
    </row>
    <row r="114" customFormat="false" ht="15" hidden="false" customHeight="false" outlineLevel="0" collapsed="false">
      <c r="A114" s="12"/>
      <c r="B114" s="13"/>
      <c r="C114" s="14"/>
      <c r="D114" s="15"/>
      <c r="E114" s="13"/>
      <c r="F114" s="16" t="str">
        <f aca="false">IF(D114="","",IF(E114="Döviz",D114*Özet!$C$4,D114))</f>
        <v/>
      </c>
    </row>
    <row r="115" customFormat="false" ht="15" hidden="false" customHeight="false" outlineLevel="0" collapsed="false">
      <c r="A115" s="12"/>
      <c r="B115" s="13"/>
      <c r="C115" s="14"/>
      <c r="D115" s="15"/>
      <c r="E115" s="13"/>
      <c r="F115" s="16" t="str">
        <f aca="false">IF(D115="","",IF(E115="Döviz",D115*Özet!$C$4,D115))</f>
        <v/>
      </c>
    </row>
    <row r="116" customFormat="false" ht="15" hidden="false" customHeight="false" outlineLevel="0" collapsed="false">
      <c r="A116" s="12"/>
      <c r="B116" s="13"/>
      <c r="C116" s="14"/>
      <c r="D116" s="15"/>
      <c r="E116" s="13"/>
      <c r="F116" s="16" t="str">
        <f aca="false">IF(D116="","",IF(E116="Döviz",D116*Özet!$C$4,D116))</f>
        <v/>
      </c>
    </row>
    <row r="117" customFormat="false" ht="15" hidden="false" customHeight="false" outlineLevel="0" collapsed="false">
      <c r="A117" s="12"/>
      <c r="B117" s="13"/>
      <c r="C117" s="14"/>
      <c r="D117" s="15"/>
      <c r="E117" s="13"/>
      <c r="F117" s="16" t="str">
        <f aca="false">IF(D117="","",IF(E117="Döviz",D117*Özet!$C$4,D117))</f>
        <v/>
      </c>
    </row>
    <row r="118" customFormat="false" ht="15" hidden="false" customHeight="false" outlineLevel="0" collapsed="false">
      <c r="A118" s="12"/>
      <c r="B118" s="13"/>
      <c r="C118" s="14"/>
      <c r="D118" s="15"/>
      <c r="E118" s="13"/>
      <c r="F118" s="16" t="str">
        <f aca="false">IF(D118="","",IF(E118="Döviz",D118*Özet!$C$4,D118))</f>
        <v/>
      </c>
    </row>
    <row r="119" customFormat="false" ht="15" hidden="false" customHeight="false" outlineLevel="0" collapsed="false">
      <c r="A119" s="12"/>
      <c r="B119" s="13"/>
      <c r="C119" s="14"/>
      <c r="D119" s="15"/>
      <c r="E119" s="13"/>
      <c r="F119" s="16" t="str">
        <f aca="false">IF(D119="","",IF(E119="Döviz",D119*Özet!$C$4,D119))</f>
        <v/>
      </c>
    </row>
    <row r="120" customFormat="false" ht="15" hidden="false" customHeight="false" outlineLevel="0" collapsed="false">
      <c r="A120" s="12"/>
      <c r="B120" s="13"/>
      <c r="C120" s="14"/>
      <c r="D120" s="15"/>
      <c r="E120" s="13"/>
      <c r="F120" s="16" t="str">
        <f aca="false">IF(D120="","",IF(E120="Döviz",D120*Özet!$C$4,D120))</f>
        <v/>
      </c>
    </row>
    <row r="121" customFormat="false" ht="15" hidden="false" customHeight="false" outlineLevel="0" collapsed="false">
      <c r="A121" s="12"/>
      <c r="B121" s="13"/>
      <c r="C121" s="14"/>
      <c r="D121" s="15"/>
      <c r="E121" s="13"/>
      <c r="F121" s="16" t="str">
        <f aca="false">IF(D121="","",IF(E121="Döviz",D121*Özet!$C$4,D121))</f>
        <v/>
      </c>
    </row>
    <row r="122" customFormat="false" ht="15" hidden="false" customHeight="false" outlineLevel="0" collapsed="false">
      <c r="A122" s="12"/>
      <c r="B122" s="13"/>
      <c r="C122" s="14"/>
      <c r="D122" s="15"/>
      <c r="E122" s="13"/>
      <c r="F122" s="16" t="str">
        <f aca="false">IF(D122="","",IF(E122="Döviz",D122*Özet!$C$4,D122))</f>
        <v/>
      </c>
    </row>
    <row r="123" customFormat="false" ht="15" hidden="false" customHeight="false" outlineLevel="0" collapsed="false">
      <c r="A123" s="12"/>
      <c r="B123" s="13"/>
      <c r="C123" s="14"/>
      <c r="D123" s="15"/>
      <c r="E123" s="13"/>
      <c r="F123" s="16" t="str">
        <f aca="false">IF(D123="","",IF(E123="Döviz",D123*Özet!$C$4,D123))</f>
        <v/>
      </c>
    </row>
    <row r="124" customFormat="false" ht="15" hidden="false" customHeight="false" outlineLevel="0" collapsed="false">
      <c r="A124" s="12"/>
      <c r="B124" s="13"/>
      <c r="C124" s="14"/>
      <c r="D124" s="15"/>
      <c r="E124" s="13"/>
      <c r="F124" s="16" t="str">
        <f aca="false">IF(D124="","",IF(E124="Döviz",D124*Özet!$C$4,D124))</f>
        <v/>
      </c>
    </row>
    <row r="125" customFormat="false" ht="15" hidden="false" customHeight="false" outlineLevel="0" collapsed="false">
      <c r="A125" s="12"/>
      <c r="B125" s="13"/>
      <c r="C125" s="14"/>
      <c r="D125" s="15"/>
      <c r="E125" s="13"/>
      <c r="F125" s="16" t="str">
        <f aca="false">IF(D125="","",IF(E125="Döviz",D125*Özet!$C$4,D125))</f>
        <v/>
      </c>
    </row>
    <row r="126" customFormat="false" ht="15" hidden="false" customHeight="false" outlineLevel="0" collapsed="false">
      <c r="A126" s="12"/>
      <c r="B126" s="13"/>
      <c r="C126" s="14"/>
      <c r="D126" s="15"/>
      <c r="E126" s="13"/>
      <c r="F126" s="16" t="str">
        <f aca="false">IF(D126="","",IF(E126="Döviz",D126*Özet!$C$4,D126))</f>
        <v/>
      </c>
    </row>
    <row r="127" customFormat="false" ht="15" hidden="false" customHeight="false" outlineLevel="0" collapsed="false">
      <c r="A127" s="12"/>
      <c r="B127" s="13"/>
      <c r="C127" s="14"/>
      <c r="D127" s="15"/>
      <c r="E127" s="13"/>
      <c r="F127" s="16" t="str">
        <f aca="false">IF(D127="","",IF(E127="Döviz",D127*Özet!$C$4,D127))</f>
        <v/>
      </c>
    </row>
    <row r="128" customFormat="false" ht="15" hidden="false" customHeight="false" outlineLevel="0" collapsed="false">
      <c r="A128" s="12"/>
      <c r="B128" s="13"/>
      <c r="C128" s="14"/>
      <c r="D128" s="15"/>
      <c r="E128" s="13"/>
      <c r="F128" s="16" t="str">
        <f aca="false">IF(D128="","",IF(E128="Döviz",D128*Özet!$C$4,D128))</f>
        <v/>
      </c>
    </row>
    <row r="129" customFormat="false" ht="15" hidden="false" customHeight="false" outlineLevel="0" collapsed="false">
      <c r="A129" s="12"/>
      <c r="B129" s="13"/>
      <c r="C129" s="14"/>
      <c r="D129" s="15"/>
      <c r="E129" s="13"/>
      <c r="F129" s="16" t="str">
        <f aca="false">IF(D129="","",IF(E129="Döviz",D129*Özet!$C$4,D129))</f>
        <v/>
      </c>
    </row>
    <row r="130" customFormat="false" ht="15" hidden="false" customHeight="false" outlineLevel="0" collapsed="false">
      <c r="A130" s="12"/>
      <c r="B130" s="13"/>
      <c r="C130" s="14"/>
      <c r="D130" s="15"/>
      <c r="E130" s="13"/>
      <c r="F130" s="16" t="str">
        <f aca="false">IF(D130="","",IF(E130="Döviz",D130*Özet!$C$4,D130))</f>
        <v/>
      </c>
    </row>
    <row r="131" customFormat="false" ht="15" hidden="false" customHeight="false" outlineLevel="0" collapsed="false">
      <c r="A131" s="12"/>
      <c r="B131" s="13"/>
      <c r="C131" s="14"/>
      <c r="D131" s="15"/>
      <c r="E131" s="13"/>
      <c r="F131" s="16" t="str">
        <f aca="false">IF(D131="","",IF(E131="Döviz",D131*Özet!$C$4,D131))</f>
        <v/>
      </c>
    </row>
    <row r="132" customFormat="false" ht="15" hidden="false" customHeight="false" outlineLevel="0" collapsed="false">
      <c r="A132" s="12"/>
      <c r="B132" s="13"/>
      <c r="C132" s="14"/>
      <c r="D132" s="15"/>
      <c r="E132" s="13"/>
      <c r="F132" s="16" t="str">
        <f aca="false">IF(D132="","",IF(E132="Döviz",D132*Özet!$C$4,D132))</f>
        <v/>
      </c>
    </row>
    <row r="133" customFormat="false" ht="15" hidden="false" customHeight="false" outlineLevel="0" collapsed="false">
      <c r="A133" s="12"/>
      <c r="B133" s="13"/>
      <c r="C133" s="14"/>
      <c r="D133" s="15"/>
      <c r="E133" s="13"/>
      <c r="F133" s="16" t="str">
        <f aca="false">IF(D133="","",IF(E133="Döviz",D133*Özet!$C$4,D133))</f>
        <v/>
      </c>
    </row>
    <row r="134" customFormat="false" ht="15" hidden="false" customHeight="false" outlineLevel="0" collapsed="false">
      <c r="A134" s="12"/>
      <c r="B134" s="13"/>
      <c r="C134" s="14"/>
      <c r="D134" s="15"/>
      <c r="E134" s="13"/>
      <c r="F134" s="16" t="str">
        <f aca="false">IF(D134="","",IF(E134="Döviz",D134*Özet!$C$4,D134))</f>
        <v/>
      </c>
    </row>
    <row r="135" customFormat="false" ht="15" hidden="false" customHeight="false" outlineLevel="0" collapsed="false">
      <c r="A135" s="12"/>
      <c r="B135" s="13"/>
      <c r="C135" s="14"/>
      <c r="D135" s="15"/>
      <c r="E135" s="13"/>
      <c r="F135" s="16" t="str">
        <f aca="false">IF(D135="","",IF(E135="Döviz",D135*Özet!$C$4,D135))</f>
        <v/>
      </c>
    </row>
    <row r="136" customFormat="false" ht="15" hidden="false" customHeight="false" outlineLevel="0" collapsed="false">
      <c r="A136" s="12"/>
      <c r="B136" s="13"/>
      <c r="C136" s="14"/>
      <c r="D136" s="15"/>
      <c r="E136" s="13"/>
      <c r="F136" s="16" t="str">
        <f aca="false">IF(D136="","",IF(E136="Döviz",D136*Özet!$C$4,D136))</f>
        <v/>
      </c>
    </row>
    <row r="137" customFormat="false" ht="15" hidden="false" customHeight="false" outlineLevel="0" collapsed="false">
      <c r="A137" s="12"/>
      <c r="B137" s="13"/>
      <c r="C137" s="14"/>
      <c r="D137" s="15"/>
      <c r="E137" s="13"/>
      <c r="F137" s="16" t="str">
        <f aca="false">IF(D137="","",IF(E137="Döviz",D137*Özet!$C$4,D137))</f>
        <v/>
      </c>
    </row>
    <row r="138" customFormat="false" ht="15" hidden="false" customHeight="false" outlineLevel="0" collapsed="false">
      <c r="A138" s="12"/>
      <c r="B138" s="13"/>
      <c r="C138" s="14"/>
      <c r="D138" s="15"/>
      <c r="E138" s="13"/>
      <c r="F138" s="16" t="str">
        <f aca="false">IF(D138="","",IF(E138="Döviz",D138*Özet!$C$4,D138))</f>
        <v/>
      </c>
    </row>
    <row r="139" customFormat="false" ht="15" hidden="false" customHeight="false" outlineLevel="0" collapsed="false">
      <c r="A139" s="12"/>
      <c r="B139" s="13"/>
      <c r="C139" s="14"/>
      <c r="D139" s="15"/>
      <c r="E139" s="13"/>
      <c r="F139" s="16" t="str">
        <f aca="false">IF(D139="","",IF(E139="Döviz",D139*Özet!$C$4,D139))</f>
        <v/>
      </c>
    </row>
    <row r="140" customFormat="false" ht="15" hidden="false" customHeight="false" outlineLevel="0" collapsed="false">
      <c r="A140" s="12"/>
      <c r="B140" s="13"/>
      <c r="C140" s="14"/>
      <c r="D140" s="15"/>
      <c r="E140" s="13"/>
      <c r="F140" s="16" t="str">
        <f aca="false">IF(D140="","",IF(E140="Döviz",D140*Özet!$C$4,D140))</f>
        <v/>
      </c>
    </row>
    <row r="141" customFormat="false" ht="15" hidden="false" customHeight="false" outlineLevel="0" collapsed="false">
      <c r="A141" s="12"/>
      <c r="B141" s="13"/>
      <c r="C141" s="14"/>
      <c r="D141" s="15"/>
      <c r="E141" s="13"/>
      <c r="F141" s="16" t="str">
        <f aca="false">IF(D141="","",IF(E141="Döviz",D141*Özet!$C$4,D141))</f>
        <v/>
      </c>
    </row>
    <row r="142" customFormat="false" ht="15" hidden="false" customHeight="false" outlineLevel="0" collapsed="false">
      <c r="A142" s="12"/>
      <c r="B142" s="13"/>
      <c r="C142" s="14"/>
      <c r="D142" s="15"/>
      <c r="E142" s="13"/>
      <c r="F142" s="16" t="str">
        <f aca="false">IF(D142="","",IF(E142="Döviz",D142*Özet!$C$4,D142))</f>
        <v/>
      </c>
    </row>
    <row r="143" customFormat="false" ht="15" hidden="false" customHeight="false" outlineLevel="0" collapsed="false">
      <c r="A143" s="12"/>
      <c r="B143" s="13"/>
      <c r="C143" s="14"/>
      <c r="D143" s="15"/>
      <c r="E143" s="13"/>
      <c r="F143" s="16" t="str">
        <f aca="false">IF(D143="","",IF(E143="Döviz",D143*Özet!$C$4,D143))</f>
        <v/>
      </c>
    </row>
    <row r="144" customFormat="false" ht="15" hidden="false" customHeight="false" outlineLevel="0" collapsed="false">
      <c r="A144" s="12"/>
      <c r="B144" s="13"/>
      <c r="C144" s="14"/>
      <c r="D144" s="15"/>
      <c r="E144" s="13"/>
      <c r="F144" s="16" t="str">
        <f aca="false">IF(D144="","",IF(E144="Döviz",D144*Özet!$C$4,D144))</f>
        <v/>
      </c>
    </row>
    <row r="145" customFormat="false" ht="15" hidden="false" customHeight="false" outlineLevel="0" collapsed="false">
      <c r="A145" s="12"/>
      <c r="B145" s="13"/>
      <c r="C145" s="14"/>
      <c r="D145" s="15"/>
      <c r="E145" s="13"/>
      <c r="F145" s="16" t="str">
        <f aca="false">IF(D145="","",IF(E145="Döviz",D145*Özet!$C$4,D145))</f>
        <v/>
      </c>
    </row>
    <row r="146" customFormat="false" ht="15" hidden="false" customHeight="false" outlineLevel="0" collapsed="false">
      <c r="A146" s="12"/>
      <c r="B146" s="13"/>
      <c r="C146" s="14"/>
      <c r="D146" s="15"/>
      <c r="E146" s="13"/>
      <c r="F146" s="16" t="str">
        <f aca="false">IF(D146="","",IF(E146="Döviz",D146*Özet!$C$4,D146))</f>
        <v/>
      </c>
    </row>
    <row r="147" customFormat="false" ht="15" hidden="false" customHeight="false" outlineLevel="0" collapsed="false">
      <c r="A147" s="12"/>
      <c r="B147" s="13"/>
      <c r="C147" s="14"/>
      <c r="D147" s="15"/>
      <c r="E147" s="13"/>
      <c r="F147" s="16" t="str">
        <f aca="false">IF(D147="","",IF(E147="Döviz",D147*Özet!$C$4,D147))</f>
        <v/>
      </c>
    </row>
    <row r="148" customFormat="false" ht="15" hidden="false" customHeight="false" outlineLevel="0" collapsed="false">
      <c r="A148" s="12"/>
      <c r="B148" s="13"/>
      <c r="C148" s="14"/>
      <c r="D148" s="15"/>
      <c r="E148" s="13"/>
      <c r="F148" s="16" t="str">
        <f aca="false">IF(D148="","",IF(E148="Döviz",D148*Özet!$C$4,D148))</f>
        <v/>
      </c>
    </row>
    <row r="149" customFormat="false" ht="15" hidden="false" customHeight="false" outlineLevel="0" collapsed="false">
      <c r="A149" s="12"/>
      <c r="B149" s="13"/>
      <c r="C149" s="14"/>
      <c r="D149" s="15"/>
      <c r="E149" s="13"/>
      <c r="F149" s="16" t="str">
        <f aca="false">IF(D149="","",IF(E149="Döviz",D149*Özet!$C$4,D149))</f>
        <v/>
      </c>
    </row>
    <row r="150" customFormat="false" ht="15" hidden="false" customHeight="false" outlineLevel="0" collapsed="false">
      <c r="A150" s="12"/>
      <c r="B150" s="13"/>
      <c r="C150" s="14"/>
      <c r="D150" s="15"/>
      <c r="E150" s="13"/>
      <c r="F150" s="16" t="str">
        <f aca="false">IF(D150="","",IF(E150="Döviz",D150*Özet!$C$4,D150))</f>
        <v/>
      </c>
    </row>
    <row r="151" customFormat="false" ht="15" hidden="false" customHeight="false" outlineLevel="0" collapsed="false">
      <c r="A151" s="12"/>
      <c r="B151" s="13"/>
      <c r="C151" s="14"/>
      <c r="D151" s="15"/>
      <c r="E151" s="13"/>
      <c r="F151" s="16" t="str">
        <f aca="false">IF(D151="","",IF(E151="Döviz",D151*Özet!$C$4,D151))</f>
        <v/>
      </c>
    </row>
    <row r="152" customFormat="false" ht="15" hidden="false" customHeight="false" outlineLevel="0" collapsed="false">
      <c r="A152" s="12"/>
      <c r="B152" s="13"/>
      <c r="C152" s="14"/>
      <c r="D152" s="15"/>
      <c r="E152" s="13"/>
      <c r="F152" s="16" t="str">
        <f aca="false">IF(D152="","",IF(E152="Döviz",D152*Özet!$C$4,D152))</f>
        <v/>
      </c>
    </row>
    <row r="153" customFormat="false" ht="15" hidden="false" customHeight="false" outlineLevel="0" collapsed="false">
      <c r="A153" s="12"/>
      <c r="B153" s="13"/>
      <c r="C153" s="14"/>
      <c r="D153" s="15"/>
      <c r="E153" s="13"/>
      <c r="F153" s="16" t="str">
        <f aca="false">IF(D153="","",IF(E153="Döviz",D153*Özet!$C$4,D153))</f>
        <v/>
      </c>
    </row>
    <row r="154" customFormat="false" ht="15" hidden="false" customHeight="false" outlineLevel="0" collapsed="false">
      <c r="A154" s="12"/>
      <c r="B154" s="13"/>
      <c r="C154" s="14"/>
      <c r="D154" s="15"/>
      <c r="E154" s="13"/>
      <c r="F154" s="16" t="str">
        <f aca="false">IF(D154="","",IF(E154="Döviz",D154*Özet!$C$4,D154))</f>
        <v/>
      </c>
    </row>
    <row r="155" customFormat="false" ht="15" hidden="false" customHeight="false" outlineLevel="0" collapsed="false">
      <c r="A155" s="12"/>
      <c r="B155" s="13"/>
      <c r="C155" s="14"/>
      <c r="D155" s="15"/>
      <c r="E155" s="13"/>
      <c r="F155" s="16" t="str">
        <f aca="false">IF(D155="","",IF(E155="Döviz",D155*Özet!$C$4,D155))</f>
        <v/>
      </c>
    </row>
    <row r="156" customFormat="false" ht="15" hidden="false" customHeight="false" outlineLevel="0" collapsed="false">
      <c r="A156" s="12"/>
      <c r="B156" s="13"/>
      <c r="C156" s="14"/>
      <c r="D156" s="15"/>
      <c r="E156" s="13"/>
      <c r="F156" s="16" t="str">
        <f aca="false">IF(D156="","",IF(E156="Döviz",D156*Özet!$C$4,D156))</f>
        <v/>
      </c>
    </row>
    <row r="157" customFormat="false" ht="15" hidden="false" customHeight="false" outlineLevel="0" collapsed="false">
      <c r="A157" s="12"/>
      <c r="B157" s="13"/>
      <c r="C157" s="14"/>
      <c r="D157" s="15"/>
      <c r="E157" s="13"/>
      <c r="F157" s="16" t="str">
        <f aca="false">IF(D157="","",IF(E157="Döviz",D157*Özet!$C$4,D157))</f>
        <v/>
      </c>
    </row>
    <row r="158" customFormat="false" ht="15" hidden="false" customHeight="false" outlineLevel="0" collapsed="false">
      <c r="A158" s="12"/>
      <c r="B158" s="13"/>
      <c r="C158" s="14"/>
      <c r="D158" s="15"/>
      <c r="E158" s="13"/>
      <c r="F158" s="16" t="str">
        <f aca="false">IF(D158="","",IF(E158="Döviz",D158*Özet!$C$4,D158))</f>
        <v/>
      </c>
    </row>
    <row r="159" customFormat="false" ht="15" hidden="false" customHeight="false" outlineLevel="0" collapsed="false">
      <c r="A159" s="12"/>
      <c r="B159" s="13"/>
      <c r="C159" s="14"/>
      <c r="D159" s="15"/>
      <c r="E159" s="13"/>
      <c r="F159" s="16" t="str">
        <f aca="false">IF(D159="","",IF(E159="Döviz",D159*Özet!$C$4,D159))</f>
        <v/>
      </c>
    </row>
    <row r="160" customFormat="false" ht="15" hidden="false" customHeight="false" outlineLevel="0" collapsed="false">
      <c r="A160" s="12"/>
      <c r="B160" s="13"/>
      <c r="C160" s="14"/>
      <c r="D160" s="15"/>
      <c r="E160" s="13"/>
      <c r="F160" s="16" t="str">
        <f aca="false">IF(D160="","",IF(E160="Döviz",D160*Özet!$C$4,D160))</f>
        <v/>
      </c>
    </row>
    <row r="161" customFormat="false" ht="15" hidden="false" customHeight="false" outlineLevel="0" collapsed="false">
      <c r="A161" s="12"/>
      <c r="B161" s="13"/>
      <c r="C161" s="14"/>
      <c r="D161" s="15"/>
      <c r="E161" s="13"/>
      <c r="F161" s="16" t="str">
        <f aca="false">IF(D161="","",IF(E161="Döviz",D161*Özet!$C$4,D161))</f>
        <v/>
      </c>
    </row>
    <row r="162" customFormat="false" ht="15" hidden="false" customHeight="false" outlineLevel="0" collapsed="false">
      <c r="A162" s="12"/>
      <c r="B162" s="13"/>
      <c r="C162" s="14"/>
      <c r="D162" s="15"/>
      <c r="E162" s="13"/>
      <c r="F162" s="16" t="str">
        <f aca="false">IF(D162="","",IF(E162="Döviz",D162*Özet!$C$4,D162))</f>
        <v/>
      </c>
    </row>
    <row r="163" customFormat="false" ht="15" hidden="false" customHeight="false" outlineLevel="0" collapsed="false">
      <c r="A163" s="12"/>
      <c r="B163" s="13"/>
      <c r="C163" s="14"/>
      <c r="D163" s="15"/>
      <c r="E163" s="13"/>
      <c r="F163" s="16" t="str">
        <f aca="false">IF(D163="","",IF(E163="Döviz",D163*Özet!$C$4,D163))</f>
        <v/>
      </c>
    </row>
    <row r="164" customFormat="false" ht="15" hidden="false" customHeight="false" outlineLevel="0" collapsed="false">
      <c r="A164" s="12"/>
      <c r="B164" s="13"/>
      <c r="C164" s="14"/>
      <c r="D164" s="15"/>
      <c r="E164" s="13"/>
      <c r="F164" s="16" t="str">
        <f aca="false">IF(D164="","",IF(E164="Döviz",D164*Özet!$C$4,D164))</f>
        <v/>
      </c>
    </row>
    <row r="165" customFormat="false" ht="15" hidden="false" customHeight="false" outlineLevel="0" collapsed="false">
      <c r="A165" s="12"/>
      <c r="B165" s="13"/>
      <c r="C165" s="14"/>
      <c r="D165" s="15"/>
      <c r="E165" s="13"/>
      <c r="F165" s="16" t="str">
        <f aca="false">IF(D165="","",IF(E165="Döviz",D165*Özet!$C$4,D165))</f>
        <v/>
      </c>
    </row>
    <row r="166" customFormat="false" ht="15" hidden="false" customHeight="false" outlineLevel="0" collapsed="false">
      <c r="A166" s="12"/>
      <c r="B166" s="13"/>
      <c r="C166" s="14"/>
      <c r="D166" s="15"/>
      <c r="E166" s="13"/>
      <c r="F166" s="16" t="str">
        <f aca="false">IF(D166="","",IF(E166="Döviz",D166*Özet!$C$4,D166))</f>
        <v/>
      </c>
    </row>
    <row r="167" customFormat="false" ht="15" hidden="false" customHeight="false" outlineLevel="0" collapsed="false">
      <c r="A167" s="12"/>
      <c r="B167" s="13"/>
      <c r="C167" s="14"/>
      <c r="D167" s="15"/>
      <c r="E167" s="13"/>
      <c r="F167" s="16" t="str">
        <f aca="false">IF(D167="","",IF(E167="Döviz",D167*Özet!$C$4,D167))</f>
        <v/>
      </c>
    </row>
    <row r="168" customFormat="false" ht="15" hidden="false" customHeight="false" outlineLevel="0" collapsed="false">
      <c r="A168" s="12"/>
      <c r="B168" s="13"/>
      <c r="C168" s="14"/>
      <c r="D168" s="15"/>
      <c r="E168" s="13"/>
      <c r="F168" s="16" t="str">
        <f aca="false">IF(D168="","",IF(E168="Döviz",D168*Özet!$C$4,D168))</f>
        <v/>
      </c>
    </row>
    <row r="169" customFormat="false" ht="15" hidden="false" customHeight="false" outlineLevel="0" collapsed="false">
      <c r="A169" s="12"/>
      <c r="B169" s="13"/>
      <c r="C169" s="14"/>
      <c r="D169" s="15"/>
      <c r="E169" s="13"/>
      <c r="F169" s="16" t="str">
        <f aca="false">IF(D169="","",IF(E169="Döviz",D169*Özet!$C$4,D169))</f>
        <v/>
      </c>
    </row>
    <row r="170" customFormat="false" ht="15" hidden="false" customHeight="false" outlineLevel="0" collapsed="false">
      <c r="A170" s="12"/>
      <c r="B170" s="13"/>
      <c r="C170" s="14"/>
      <c r="D170" s="15"/>
      <c r="E170" s="13"/>
      <c r="F170" s="16" t="str">
        <f aca="false">IF(D170="","",IF(E170="Döviz",D170*Özet!$C$4,D170))</f>
        <v/>
      </c>
    </row>
    <row r="171" customFormat="false" ht="15" hidden="false" customHeight="false" outlineLevel="0" collapsed="false">
      <c r="A171" s="12"/>
      <c r="B171" s="13"/>
      <c r="C171" s="14"/>
      <c r="D171" s="15"/>
      <c r="E171" s="13"/>
      <c r="F171" s="16" t="str">
        <f aca="false">IF(D171="","",IF(E171="Döviz",D171*Özet!$C$4,D171))</f>
        <v/>
      </c>
    </row>
    <row r="172" customFormat="false" ht="15" hidden="false" customHeight="false" outlineLevel="0" collapsed="false">
      <c r="A172" s="12"/>
      <c r="B172" s="13"/>
      <c r="C172" s="14"/>
      <c r="D172" s="15"/>
      <c r="E172" s="13"/>
      <c r="F172" s="16" t="str">
        <f aca="false">IF(D172="","",IF(E172="Döviz",D172*Özet!$C$4,D172))</f>
        <v/>
      </c>
    </row>
    <row r="173" customFormat="false" ht="15" hidden="false" customHeight="false" outlineLevel="0" collapsed="false">
      <c r="A173" s="12"/>
      <c r="B173" s="13"/>
      <c r="C173" s="14"/>
      <c r="D173" s="15"/>
      <c r="E173" s="13"/>
      <c r="F173" s="16" t="str">
        <f aca="false">IF(D173="","",IF(E173="Döviz",D173*Özet!$C$4,D173))</f>
        <v/>
      </c>
    </row>
    <row r="174" customFormat="false" ht="15" hidden="false" customHeight="false" outlineLevel="0" collapsed="false">
      <c r="A174" s="12"/>
      <c r="B174" s="13"/>
      <c r="C174" s="14"/>
      <c r="D174" s="15"/>
      <c r="E174" s="13"/>
      <c r="F174" s="16" t="str">
        <f aca="false">IF(D174="","",IF(E174="Döviz",D174*Özet!$C$4,D174))</f>
        <v/>
      </c>
    </row>
    <row r="175" customFormat="false" ht="15" hidden="false" customHeight="false" outlineLevel="0" collapsed="false">
      <c r="A175" s="12"/>
      <c r="B175" s="13"/>
      <c r="C175" s="14"/>
      <c r="D175" s="15"/>
      <c r="E175" s="13"/>
      <c r="F175" s="16" t="str">
        <f aca="false">IF(D175="","",IF(E175="Döviz",D175*Özet!$C$4,D175))</f>
        <v/>
      </c>
    </row>
    <row r="176" customFormat="false" ht="15" hidden="false" customHeight="false" outlineLevel="0" collapsed="false">
      <c r="A176" s="12"/>
      <c r="B176" s="13"/>
      <c r="C176" s="14"/>
      <c r="D176" s="15"/>
      <c r="E176" s="13"/>
      <c r="F176" s="16" t="str">
        <f aca="false">IF(D176="","",IF(E176="Döviz",D176*Özet!$C$4,D176))</f>
        <v/>
      </c>
    </row>
    <row r="177" customFormat="false" ht="15" hidden="false" customHeight="false" outlineLevel="0" collapsed="false">
      <c r="A177" s="12"/>
      <c r="B177" s="13"/>
      <c r="C177" s="14"/>
      <c r="D177" s="15"/>
      <c r="E177" s="13"/>
      <c r="F177" s="16" t="str">
        <f aca="false">IF(D177="","",IF(E177="Döviz",D177*Özet!$C$4,D177))</f>
        <v/>
      </c>
    </row>
    <row r="178" customFormat="false" ht="15" hidden="false" customHeight="false" outlineLevel="0" collapsed="false">
      <c r="A178" s="12"/>
      <c r="B178" s="13"/>
      <c r="C178" s="14"/>
      <c r="D178" s="15"/>
      <c r="E178" s="13"/>
      <c r="F178" s="16" t="str">
        <f aca="false">IF(D178="","",IF(E178="Döviz",D178*Özet!$C$4,D178))</f>
        <v/>
      </c>
    </row>
    <row r="179" customFormat="false" ht="15" hidden="false" customHeight="false" outlineLevel="0" collapsed="false">
      <c r="A179" s="12"/>
      <c r="B179" s="13"/>
      <c r="C179" s="14"/>
      <c r="D179" s="15"/>
      <c r="E179" s="13"/>
      <c r="F179" s="16" t="str">
        <f aca="false">IF(D179="","",IF(E179="Döviz",D179*Özet!$C$4,D179))</f>
        <v/>
      </c>
    </row>
    <row r="180" customFormat="false" ht="15" hidden="false" customHeight="false" outlineLevel="0" collapsed="false">
      <c r="A180" s="12"/>
      <c r="B180" s="13"/>
      <c r="C180" s="14"/>
      <c r="D180" s="15"/>
      <c r="E180" s="13"/>
      <c r="F180" s="16" t="str">
        <f aca="false">IF(D180="","",IF(E180="Döviz",D180*Özet!$C$4,D180))</f>
        <v/>
      </c>
    </row>
    <row r="181" customFormat="false" ht="15" hidden="false" customHeight="false" outlineLevel="0" collapsed="false">
      <c r="A181" s="12"/>
      <c r="B181" s="13"/>
      <c r="C181" s="14"/>
      <c r="D181" s="15"/>
      <c r="E181" s="13"/>
      <c r="F181" s="16" t="str">
        <f aca="false">IF(D181="","",IF(E181="Döviz",D181*Özet!$C$4,D181))</f>
        <v/>
      </c>
    </row>
    <row r="182" customFormat="false" ht="15" hidden="false" customHeight="false" outlineLevel="0" collapsed="false">
      <c r="A182" s="12"/>
      <c r="B182" s="13"/>
      <c r="C182" s="14"/>
      <c r="D182" s="15"/>
      <c r="E182" s="13"/>
      <c r="F182" s="16" t="str">
        <f aca="false">IF(D182="","",IF(E182="Döviz",D182*Özet!$C$4,D182))</f>
        <v/>
      </c>
    </row>
    <row r="183" customFormat="false" ht="15" hidden="false" customHeight="false" outlineLevel="0" collapsed="false">
      <c r="A183" s="12"/>
      <c r="B183" s="13"/>
      <c r="C183" s="14"/>
      <c r="D183" s="15"/>
      <c r="E183" s="13"/>
      <c r="F183" s="16" t="str">
        <f aca="false">IF(D183="","",IF(E183="Döviz",D183*Özet!$C$4,D183))</f>
        <v/>
      </c>
    </row>
    <row r="184" customFormat="false" ht="15" hidden="false" customHeight="false" outlineLevel="0" collapsed="false">
      <c r="A184" s="12"/>
      <c r="B184" s="13"/>
      <c r="C184" s="14"/>
      <c r="D184" s="15"/>
      <c r="E184" s="13"/>
      <c r="F184" s="16" t="str">
        <f aca="false">IF(D184="","",IF(E184="Döviz",D184*Özet!$C$4,D184))</f>
        <v/>
      </c>
    </row>
    <row r="185" customFormat="false" ht="15" hidden="false" customHeight="false" outlineLevel="0" collapsed="false">
      <c r="A185" s="12"/>
      <c r="B185" s="13"/>
      <c r="C185" s="14"/>
      <c r="D185" s="15"/>
      <c r="E185" s="13"/>
      <c r="F185" s="16" t="str">
        <f aca="false">IF(D185="","",IF(E185="Döviz",D185*Özet!$C$4,D185))</f>
        <v/>
      </c>
    </row>
    <row r="186" customFormat="false" ht="15" hidden="false" customHeight="false" outlineLevel="0" collapsed="false">
      <c r="A186" s="12"/>
      <c r="B186" s="13"/>
      <c r="C186" s="14"/>
      <c r="D186" s="15"/>
      <c r="E186" s="13"/>
      <c r="F186" s="16" t="str">
        <f aca="false">IF(D186="","",IF(E186="Döviz",D186*Özet!$C$4,D186))</f>
        <v/>
      </c>
    </row>
    <row r="187" customFormat="false" ht="15" hidden="false" customHeight="false" outlineLevel="0" collapsed="false">
      <c r="A187" s="12"/>
      <c r="B187" s="13"/>
      <c r="C187" s="14"/>
      <c r="D187" s="15"/>
      <c r="E187" s="13"/>
      <c r="F187" s="16" t="str">
        <f aca="false">IF(D187="","",IF(E187="Döviz",D187*Özet!$C$4,D187))</f>
        <v/>
      </c>
    </row>
    <row r="188" customFormat="false" ht="15" hidden="false" customHeight="false" outlineLevel="0" collapsed="false">
      <c r="A188" s="12"/>
      <c r="B188" s="13"/>
      <c r="C188" s="14"/>
      <c r="D188" s="15"/>
      <c r="E188" s="13"/>
      <c r="F188" s="16" t="str">
        <f aca="false">IF(D188="","",IF(E188="Döviz",D188*Özet!$C$4,D188))</f>
        <v/>
      </c>
    </row>
    <row r="189" customFormat="false" ht="15" hidden="false" customHeight="false" outlineLevel="0" collapsed="false">
      <c r="A189" s="12"/>
      <c r="B189" s="13"/>
      <c r="C189" s="14"/>
      <c r="D189" s="15"/>
      <c r="E189" s="13"/>
      <c r="F189" s="16" t="str">
        <f aca="false">IF(D189="","",IF(E189="Döviz",D189*Özet!$C$4,D189))</f>
        <v/>
      </c>
    </row>
    <row r="190" customFormat="false" ht="15" hidden="false" customHeight="false" outlineLevel="0" collapsed="false">
      <c r="A190" s="12"/>
      <c r="B190" s="13"/>
      <c r="C190" s="14"/>
      <c r="D190" s="15"/>
      <c r="E190" s="13"/>
      <c r="F190" s="16" t="str">
        <f aca="false">IF(D190="","",IF(E190="Döviz",D190*Özet!$C$4,D190))</f>
        <v/>
      </c>
    </row>
    <row r="191" customFormat="false" ht="15" hidden="false" customHeight="false" outlineLevel="0" collapsed="false">
      <c r="A191" s="12"/>
      <c r="B191" s="13"/>
      <c r="C191" s="14"/>
      <c r="D191" s="15"/>
      <c r="E191" s="13"/>
      <c r="F191" s="16" t="str">
        <f aca="false">IF(D191="","",IF(E191="Döviz",D191*Özet!$C$4,D191))</f>
        <v/>
      </c>
    </row>
    <row r="192" customFormat="false" ht="15" hidden="false" customHeight="false" outlineLevel="0" collapsed="false">
      <c r="A192" s="12"/>
      <c r="B192" s="13"/>
      <c r="C192" s="14"/>
      <c r="D192" s="15"/>
      <c r="E192" s="13"/>
      <c r="F192" s="16" t="str">
        <f aca="false">IF(D192="","",IF(E192="Döviz",D192*Özet!$C$4,D192))</f>
        <v/>
      </c>
    </row>
    <row r="193" customFormat="false" ht="15" hidden="false" customHeight="false" outlineLevel="0" collapsed="false">
      <c r="A193" s="12"/>
      <c r="B193" s="13"/>
      <c r="C193" s="14"/>
      <c r="D193" s="15"/>
      <c r="E193" s="13"/>
      <c r="F193" s="16" t="str">
        <f aca="false">IF(D193="","",IF(E193="Döviz",D193*Özet!$C$4,D193))</f>
        <v/>
      </c>
    </row>
    <row r="194" customFormat="false" ht="15" hidden="false" customHeight="false" outlineLevel="0" collapsed="false">
      <c r="A194" s="12"/>
      <c r="B194" s="13"/>
      <c r="C194" s="14"/>
      <c r="D194" s="15"/>
      <c r="E194" s="13"/>
      <c r="F194" s="16" t="str">
        <f aca="false">IF(D194="","",IF(E194="Döviz",D194*Özet!$C$4,D194))</f>
        <v/>
      </c>
    </row>
    <row r="195" customFormat="false" ht="15" hidden="false" customHeight="false" outlineLevel="0" collapsed="false">
      <c r="A195" s="12"/>
      <c r="B195" s="13"/>
      <c r="C195" s="14"/>
      <c r="D195" s="15"/>
      <c r="E195" s="13"/>
      <c r="F195" s="16" t="str">
        <f aca="false">IF(D195="","",IF(E195="Döviz",D195*Özet!$C$4,D195))</f>
        <v/>
      </c>
    </row>
    <row r="196" customFormat="false" ht="15" hidden="false" customHeight="false" outlineLevel="0" collapsed="false">
      <c r="A196" s="12"/>
      <c r="B196" s="13"/>
      <c r="C196" s="14"/>
      <c r="D196" s="15"/>
      <c r="E196" s="13"/>
      <c r="F196" s="16" t="str">
        <f aca="false">IF(D196="","",IF(E196="Döviz",D196*Özet!$C$4,D196))</f>
        <v/>
      </c>
    </row>
    <row r="197" customFormat="false" ht="15" hidden="false" customHeight="false" outlineLevel="0" collapsed="false">
      <c r="A197" s="12"/>
      <c r="B197" s="13"/>
      <c r="C197" s="14"/>
      <c r="D197" s="15"/>
      <c r="E197" s="13"/>
      <c r="F197" s="16" t="str">
        <f aca="false">IF(D197="","",IF(E197="Döviz",D197*Özet!$C$4,D197))</f>
        <v/>
      </c>
    </row>
    <row r="198" customFormat="false" ht="15" hidden="false" customHeight="false" outlineLevel="0" collapsed="false">
      <c r="A198" s="12"/>
      <c r="B198" s="13"/>
      <c r="C198" s="14"/>
      <c r="D198" s="15"/>
      <c r="E198" s="13"/>
      <c r="F198" s="16" t="str">
        <f aca="false">IF(D198="","",IF(E198="Döviz",D198*Özet!$C$4,D198))</f>
        <v/>
      </c>
    </row>
    <row r="199" customFormat="false" ht="15" hidden="false" customHeight="false" outlineLevel="0" collapsed="false">
      <c r="A199" s="12"/>
      <c r="B199" s="13"/>
      <c r="C199" s="14"/>
      <c r="D199" s="15"/>
      <c r="E199" s="13"/>
      <c r="F199" s="16" t="str">
        <f aca="false">IF(D199="","",IF(E199="Döviz",D199*Özet!$C$4,D199))</f>
        <v/>
      </c>
    </row>
    <row r="200" customFormat="false" ht="15" hidden="false" customHeight="false" outlineLevel="0" collapsed="false">
      <c r="A200" s="12"/>
      <c r="B200" s="13"/>
      <c r="C200" s="14"/>
      <c r="D200" s="15"/>
      <c r="E200" s="13"/>
      <c r="F200" s="16" t="str">
        <f aca="false">IF(D200="","",IF(E200="Döviz",D200*Özet!$C$4,D200))</f>
        <v/>
      </c>
    </row>
    <row r="201" customFormat="false" ht="15" hidden="false" customHeight="false" outlineLevel="0" collapsed="false">
      <c r="A201" s="12"/>
      <c r="B201" s="13"/>
      <c r="C201" s="14"/>
      <c r="D201" s="15"/>
      <c r="E201" s="13"/>
      <c r="F201" s="16" t="str">
        <f aca="false">IF(D201="","",IF(E201="Döviz",D201*Özet!$C$4,D201))</f>
        <v/>
      </c>
    </row>
    <row r="202" customFormat="false" ht="15" hidden="false" customHeight="false" outlineLevel="0" collapsed="false">
      <c r="A202" s="12"/>
      <c r="B202" s="13"/>
      <c r="C202" s="14"/>
      <c r="D202" s="15"/>
      <c r="E202" s="13"/>
      <c r="F202" s="16" t="str">
        <f aca="false">IF(D202="","",IF(E202="Döviz",D202*Özet!$C$4,D202))</f>
        <v/>
      </c>
    </row>
    <row r="203" customFormat="false" ht="15" hidden="false" customHeight="false" outlineLevel="0" collapsed="false">
      <c r="A203" s="12"/>
      <c r="B203" s="13"/>
      <c r="C203" s="14"/>
      <c r="D203" s="15"/>
      <c r="E203" s="13"/>
      <c r="F203" s="16" t="str">
        <f aca="false">IF(D203="","",IF(E203="Döviz",D203*Özet!$C$4,D203))</f>
        <v/>
      </c>
    </row>
    <row r="204" customFormat="false" ht="15" hidden="false" customHeight="false" outlineLevel="0" collapsed="false">
      <c r="A204" s="12"/>
      <c r="B204" s="13"/>
      <c r="C204" s="14"/>
      <c r="D204" s="15"/>
      <c r="E204" s="13"/>
      <c r="F204" s="16" t="str">
        <f aca="false">IF(D204="","",IF(E204="Döviz",D204*Özet!$C$4,D204))</f>
        <v/>
      </c>
    </row>
    <row r="205" customFormat="false" ht="15" hidden="false" customHeight="false" outlineLevel="0" collapsed="false">
      <c r="A205" s="12"/>
      <c r="B205" s="13"/>
      <c r="C205" s="14"/>
      <c r="D205" s="15"/>
      <c r="E205" s="13"/>
      <c r="F205" s="16" t="str">
        <f aca="false">IF(D205="","",IF(E205="Döviz",D205*Özet!$C$4,D205))</f>
        <v/>
      </c>
    </row>
    <row r="206" customFormat="false" ht="15" hidden="false" customHeight="false" outlineLevel="0" collapsed="false">
      <c r="A206" s="12"/>
      <c r="B206" s="13"/>
      <c r="C206" s="14"/>
      <c r="D206" s="15"/>
      <c r="E206" s="13"/>
      <c r="F206" s="16" t="str">
        <f aca="false">IF(D206="","",IF(E206="Döviz",D206*Özet!$C$4,D206))</f>
        <v/>
      </c>
    </row>
    <row r="207" customFormat="false" ht="15" hidden="false" customHeight="false" outlineLevel="0" collapsed="false">
      <c r="A207" s="12"/>
      <c r="B207" s="13"/>
      <c r="C207" s="14"/>
      <c r="D207" s="15"/>
      <c r="E207" s="13"/>
      <c r="F207" s="16" t="str">
        <f aca="false">IF(D207="","",IF(E207="Döviz",D207*Özet!$C$4,D207))</f>
        <v/>
      </c>
    </row>
    <row r="208" customFormat="false" ht="15" hidden="false" customHeight="false" outlineLevel="0" collapsed="false">
      <c r="A208" s="12"/>
      <c r="B208" s="13"/>
      <c r="C208" s="14"/>
      <c r="D208" s="15"/>
      <c r="E208" s="13"/>
      <c r="F208" s="16" t="str">
        <f aca="false">IF(D208="","",IF(E208="Döviz",D208*Özet!$C$4,D208))</f>
        <v/>
      </c>
    </row>
    <row r="209" customFormat="false" ht="15" hidden="false" customHeight="false" outlineLevel="0" collapsed="false">
      <c r="A209" s="12"/>
      <c r="B209" s="13"/>
      <c r="C209" s="14"/>
      <c r="D209" s="15"/>
      <c r="E209" s="13"/>
      <c r="F209" s="16" t="str">
        <f aca="false">IF(D209="","",IF(E209="Döviz",D209*Özet!$C$4,D209))</f>
        <v/>
      </c>
    </row>
    <row r="210" customFormat="false" ht="15" hidden="false" customHeight="false" outlineLevel="0" collapsed="false">
      <c r="A210" s="12"/>
      <c r="B210" s="13"/>
      <c r="C210" s="14"/>
      <c r="D210" s="15"/>
      <c r="E210" s="13"/>
      <c r="F210" s="16" t="str">
        <f aca="false">IF(D210="","",IF(E210="Döviz",D210*Özet!$C$4,D210))</f>
        <v/>
      </c>
    </row>
    <row r="211" customFormat="false" ht="15" hidden="false" customHeight="false" outlineLevel="0" collapsed="false">
      <c r="A211" s="12"/>
      <c r="B211" s="13"/>
      <c r="C211" s="14"/>
      <c r="D211" s="15"/>
      <c r="E211" s="13"/>
      <c r="F211" s="16" t="str">
        <f aca="false">IF(D211="","",IF(E211="Döviz",D211*Özet!$C$4,D211))</f>
        <v/>
      </c>
    </row>
    <row r="212" customFormat="false" ht="15" hidden="false" customHeight="false" outlineLevel="0" collapsed="false">
      <c r="A212" s="12"/>
      <c r="B212" s="13"/>
      <c r="C212" s="14"/>
      <c r="D212" s="15"/>
      <c r="E212" s="13"/>
      <c r="F212" s="16" t="str">
        <f aca="false">IF(D212="","",IF(E212="Döviz",D212*Özet!$C$4,D212))</f>
        <v/>
      </c>
    </row>
    <row r="213" customFormat="false" ht="15" hidden="false" customHeight="false" outlineLevel="0" collapsed="false">
      <c r="A213" s="12"/>
      <c r="B213" s="13"/>
      <c r="C213" s="14"/>
      <c r="D213" s="15"/>
      <c r="E213" s="13"/>
      <c r="F213" s="16" t="str">
        <f aca="false">IF(D213="","",IF(E213="Döviz",D213*Özet!$C$4,D213))</f>
        <v/>
      </c>
    </row>
    <row r="214" customFormat="false" ht="15" hidden="false" customHeight="false" outlineLevel="0" collapsed="false">
      <c r="A214" s="12"/>
      <c r="B214" s="13"/>
      <c r="C214" s="14"/>
      <c r="D214" s="15"/>
      <c r="E214" s="13"/>
      <c r="F214" s="16" t="str">
        <f aca="false">IF(D214="","",IF(E214="Döviz",D214*Özet!$C$4,D214))</f>
        <v/>
      </c>
    </row>
    <row r="215" customFormat="false" ht="15" hidden="false" customHeight="false" outlineLevel="0" collapsed="false">
      <c r="A215" s="12"/>
      <c r="B215" s="13"/>
      <c r="C215" s="14"/>
      <c r="D215" s="15"/>
      <c r="E215" s="13"/>
      <c r="F215" s="16" t="str">
        <f aca="false">IF(D215="","",IF(E215="Döviz",D215*Özet!$C$4,D215))</f>
        <v/>
      </c>
    </row>
    <row r="216" customFormat="false" ht="15" hidden="false" customHeight="false" outlineLevel="0" collapsed="false">
      <c r="A216" s="12"/>
      <c r="B216" s="13"/>
      <c r="C216" s="14"/>
      <c r="D216" s="15"/>
      <c r="E216" s="13"/>
      <c r="F216" s="16" t="str">
        <f aca="false">IF(D216="","",IF(E216="Döviz",D216*Özet!$C$4,D216))</f>
        <v/>
      </c>
    </row>
    <row r="217" customFormat="false" ht="15" hidden="false" customHeight="false" outlineLevel="0" collapsed="false">
      <c r="A217" s="12"/>
      <c r="B217" s="13"/>
      <c r="C217" s="14"/>
      <c r="D217" s="15"/>
      <c r="E217" s="13"/>
      <c r="F217" s="16" t="str">
        <f aca="false">IF(D217="","",IF(E217="Döviz",D217*Özet!$C$4,D217))</f>
        <v/>
      </c>
    </row>
    <row r="218" customFormat="false" ht="15" hidden="false" customHeight="false" outlineLevel="0" collapsed="false">
      <c r="A218" s="12"/>
      <c r="B218" s="13"/>
      <c r="C218" s="14"/>
      <c r="D218" s="15"/>
      <c r="E218" s="13"/>
      <c r="F218" s="16" t="str">
        <f aca="false">IF(D218="","",IF(E218="Döviz",D218*Özet!$C$4,D218))</f>
        <v/>
      </c>
    </row>
    <row r="219" customFormat="false" ht="15" hidden="false" customHeight="false" outlineLevel="0" collapsed="false">
      <c r="A219" s="12"/>
      <c r="B219" s="13"/>
      <c r="C219" s="14"/>
      <c r="D219" s="15"/>
      <c r="E219" s="13"/>
      <c r="F219" s="16" t="str">
        <f aca="false">IF(D219="","",IF(E219="Döviz",D219*Özet!$C$4,D219))</f>
        <v/>
      </c>
    </row>
    <row r="220" customFormat="false" ht="15" hidden="false" customHeight="false" outlineLevel="0" collapsed="false">
      <c r="A220" s="12"/>
      <c r="B220" s="13"/>
      <c r="C220" s="14"/>
      <c r="D220" s="15"/>
      <c r="E220" s="13"/>
      <c r="F220" s="16" t="str">
        <f aca="false">IF(D220="","",IF(E220="Döviz",D220*Özet!$C$4,D220))</f>
        <v/>
      </c>
    </row>
    <row r="221" customFormat="false" ht="15" hidden="false" customHeight="false" outlineLevel="0" collapsed="false">
      <c r="A221" s="12"/>
      <c r="B221" s="13"/>
      <c r="C221" s="14"/>
      <c r="D221" s="15"/>
      <c r="E221" s="13"/>
      <c r="F221" s="16" t="str">
        <f aca="false">IF(D221="","",IF(E221="Döviz",D221*Özet!$C$4,D221))</f>
        <v/>
      </c>
    </row>
    <row r="222" customFormat="false" ht="15" hidden="false" customHeight="false" outlineLevel="0" collapsed="false">
      <c r="A222" s="12"/>
      <c r="B222" s="13"/>
      <c r="C222" s="14"/>
      <c r="D222" s="15"/>
      <c r="E222" s="13"/>
      <c r="F222" s="16" t="str">
        <f aca="false">IF(D222="","",IF(E222="Döviz",D222*Özet!$C$4,D222))</f>
        <v/>
      </c>
    </row>
    <row r="223" customFormat="false" ht="15" hidden="false" customHeight="false" outlineLevel="0" collapsed="false">
      <c r="A223" s="12"/>
      <c r="B223" s="13"/>
      <c r="C223" s="14"/>
      <c r="D223" s="15"/>
      <c r="E223" s="13"/>
      <c r="F223" s="16" t="str">
        <f aca="false">IF(D223="","",IF(E223="Döviz",D223*Özet!$C$4,D223))</f>
        <v/>
      </c>
    </row>
    <row r="224" customFormat="false" ht="15" hidden="false" customHeight="false" outlineLevel="0" collapsed="false">
      <c r="A224" s="12"/>
      <c r="B224" s="13"/>
      <c r="C224" s="14"/>
      <c r="D224" s="15"/>
      <c r="E224" s="13"/>
      <c r="F224" s="16" t="str">
        <f aca="false">IF(D224="","",IF(E224="Döviz",D224*Özet!$C$4,D224))</f>
        <v/>
      </c>
    </row>
    <row r="225" customFormat="false" ht="15" hidden="false" customHeight="false" outlineLevel="0" collapsed="false">
      <c r="A225" s="12"/>
      <c r="B225" s="13"/>
      <c r="C225" s="14"/>
      <c r="D225" s="15"/>
      <c r="E225" s="13"/>
      <c r="F225" s="16" t="str">
        <f aca="false">IF(D225="","",IF(E225="Döviz",D225*Özet!$C$4,D225))</f>
        <v/>
      </c>
    </row>
    <row r="226" customFormat="false" ht="15" hidden="false" customHeight="false" outlineLevel="0" collapsed="false">
      <c r="A226" s="12"/>
      <c r="B226" s="13"/>
      <c r="C226" s="14"/>
      <c r="D226" s="15"/>
      <c r="E226" s="13"/>
      <c r="F226" s="16" t="str">
        <f aca="false">IF(D226="","",IF(E226="Döviz",D226*Özet!$C$4,D226))</f>
        <v/>
      </c>
    </row>
    <row r="227" customFormat="false" ht="15" hidden="false" customHeight="false" outlineLevel="0" collapsed="false">
      <c r="A227" s="12"/>
      <c r="B227" s="13"/>
      <c r="C227" s="14"/>
      <c r="D227" s="15"/>
      <c r="E227" s="13"/>
      <c r="F227" s="16" t="str">
        <f aca="false">IF(D227="","",IF(E227="Döviz",D227*Özet!$C$4,D227))</f>
        <v/>
      </c>
    </row>
    <row r="228" customFormat="false" ht="15" hidden="false" customHeight="false" outlineLevel="0" collapsed="false">
      <c r="A228" s="12"/>
      <c r="B228" s="13"/>
      <c r="C228" s="14"/>
      <c r="D228" s="15"/>
      <c r="E228" s="13"/>
      <c r="F228" s="16" t="str">
        <f aca="false">IF(D228="","",IF(E228="Döviz",D228*Özet!$C$4,D228))</f>
        <v/>
      </c>
    </row>
    <row r="229" customFormat="false" ht="15" hidden="false" customHeight="false" outlineLevel="0" collapsed="false">
      <c r="A229" s="12"/>
      <c r="B229" s="13"/>
      <c r="C229" s="14"/>
      <c r="D229" s="15"/>
      <c r="E229" s="13"/>
      <c r="F229" s="16" t="str">
        <f aca="false">IF(D229="","",IF(E229="Döviz",D229*Özet!$C$4,D229))</f>
        <v/>
      </c>
    </row>
    <row r="230" customFormat="false" ht="15" hidden="false" customHeight="false" outlineLevel="0" collapsed="false">
      <c r="A230" s="12"/>
      <c r="B230" s="13"/>
      <c r="C230" s="14"/>
      <c r="D230" s="15"/>
      <c r="E230" s="13"/>
      <c r="F230" s="16" t="str">
        <f aca="false">IF(D230="","",IF(E230="Döviz",D230*Özet!$C$4,D230))</f>
        <v/>
      </c>
    </row>
    <row r="231" customFormat="false" ht="15" hidden="false" customHeight="false" outlineLevel="0" collapsed="false">
      <c r="A231" s="12"/>
      <c r="B231" s="13"/>
      <c r="C231" s="14"/>
      <c r="D231" s="15"/>
      <c r="E231" s="13"/>
      <c r="F231" s="16" t="str">
        <f aca="false">IF(D231="","",IF(E231="Döviz",D231*Özet!$C$4,D231))</f>
        <v/>
      </c>
    </row>
    <row r="232" customFormat="false" ht="15" hidden="false" customHeight="false" outlineLevel="0" collapsed="false">
      <c r="A232" s="12"/>
      <c r="B232" s="13"/>
      <c r="C232" s="14"/>
      <c r="D232" s="15"/>
      <c r="E232" s="13"/>
      <c r="F232" s="16" t="str">
        <f aca="false">IF(D232="","",IF(E232="Döviz",D232*Özet!$C$4,D232))</f>
        <v/>
      </c>
    </row>
    <row r="233" customFormat="false" ht="15" hidden="false" customHeight="false" outlineLevel="0" collapsed="false">
      <c r="A233" s="12"/>
      <c r="B233" s="13"/>
      <c r="C233" s="14"/>
      <c r="D233" s="15"/>
      <c r="E233" s="13"/>
      <c r="F233" s="16" t="str">
        <f aca="false">IF(D233="","",IF(E233="Döviz",D233*Özet!$C$4,D233))</f>
        <v/>
      </c>
    </row>
    <row r="234" customFormat="false" ht="15" hidden="false" customHeight="false" outlineLevel="0" collapsed="false">
      <c r="A234" s="12"/>
      <c r="B234" s="13"/>
      <c r="C234" s="14"/>
      <c r="D234" s="15"/>
      <c r="E234" s="13"/>
      <c r="F234" s="16" t="str">
        <f aca="false">IF(D234="","",IF(E234="Döviz",D234*Özet!$C$4,D234))</f>
        <v/>
      </c>
    </row>
    <row r="235" customFormat="false" ht="15" hidden="false" customHeight="false" outlineLevel="0" collapsed="false">
      <c r="A235" s="12"/>
      <c r="B235" s="13"/>
      <c r="C235" s="14"/>
      <c r="D235" s="15"/>
      <c r="E235" s="13"/>
      <c r="F235" s="16" t="str">
        <f aca="false">IF(D235="","",IF(E235="Döviz",D235*Özet!$C$4,D235))</f>
        <v/>
      </c>
    </row>
    <row r="236" customFormat="false" ht="15" hidden="false" customHeight="false" outlineLevel="0" collapsed="false">
      <c r="A236" s="12"/>
      <c r="B236" s="13"/>
      <c r="C236" s="14"/>
      <c r="D236" s="15"/>
      <c r="E236" s="13"/>
      <c r="F236" s="16" t="str">
        <f aca="false">IF(D236="","",IF(E236="Döviz",D236*Özet!$C$4,D236))</f>
        <v/>
      </c>
    </row>
    <row r="237" customFormat="false" ht="15" hidden="false" customHeight="false" outlineLevel="0" collapsed="false">
      <c r="A237" s="12"/>
      <c r="B237" s="13"/>
      <c r="C237" s="14"/>
      <c r="D237" s="15"/>
      <c r="E237" s="13"/>
      <c r="F237" s="16" t="str">
        <f aca="false">IF(D237="","",IF(E237="Döviz",D237*Özet!$C$4,D237))</f>
        <v/>
      </c>
    </row>
    <row r="238" customFormat="false" ht="15" hidden="false" customHeight="false" outlineLevel="0" collapsed="false">
      <c r="A238" s="12"/>
      <c r="B238" s="13"/>
      <c r="C238" s="14"/>
      <c r="D238" s="15"/>
      <c r="E238" s="13"/>
      <c r="F238" s="16" t="str">
        <f aca="false">IF(D238="","",IF(E238="Döviz",D238*Özet!$C$4,D238))</f>
        <v/>
      </c>
    </row>
    <row r="239" customFormat="false" ht="15" hidden="false" customHeight="false" outlineLevel="0" collapsed="false">
      <c r="A239" s="12"/>
      <c r="B239" s="13"/>
      <c r="C239" s="14"/>
      <c r="D239" s="15"/>
      <c r="E239" s="13"/>
      <c r="F239" s="16" t="str">
        <f aca="false">IF(D239="","",IF(E239="Döviz",D239*Özet!$C$4,D239))</f>
        <v/>
      </c>
    </row>
    <row r="240" customFormat="false" ht="15" hidden="false" customHeight="false" outlineLevel="0" collapsed="false">
      <c r="A240" s="12"/>
      <c r="B240" s="13"/>
      <c r="C240" s="14"/>
      <c r="D240" s="15"/>
      <c r="E240" s="13"/>
      <c r="F240" s="16" t="str">
        <f aca="false">IF(D240="","",IF(E240="Döviz",D240*Özet!$C$4,D240))</f>
        <v/>
      </c>
    </row>
    <row r="241" customFormat="false" ht="15" hidden="false" customHeight="false" outlineLevel="0" collapsed="false">
      <c r="A241" s="12"/>
      <c r="B241" s="13"/>
      <c r="C241" s="14"/>
      <c r="D241" s="15"/>
      <c r="E241" s="13"/>
      <c r="F241" s="16" t="str">
        <f aca="false">IF(D241="","",IF(E241="Döviz",D241*Özet!$C$4,D241))</f>
        <v/>
      </c>
    </row>
    <row r="242" customFormat="false" ht="15" hidden="false" customHeight="false" outlineLevel="0" collapsed="false">
      <c r="A242" s="12"/>
      <c r="B242" s="13"/>
      <c r="C242" s="14"/>
      <c r="D242" s="15"/>
      <c r="E242" s="13"/>
      <c r="F242" s="16" t="str">
        <f aca="false">IF(D242="","",IF(E242="Döviz",D242*Özet!$C$4,D242))</f>
        <v/>
      </c>
    </row>
    <row r="243" customFormat="false" ht="15" hidden="false" customHeight="false" outlineLevel="0" collapsed="false">
      <c r="A243" s="12"/>
      <c r="B243" s="13"/>
      <c r="C243" s="14"/>
      <c r="D243" s="15"/>
      <c r="E243" s="13"/>
      <c r="F243" s="16" t="str">
        <f aca="false">IF(D243="","",IF(E243="Döviz",D243*Özet!$C$4,D243))</f>
        <v/>
      </c>
    </row>
    <row r="244" customFormat="false" ht="15" hidden="false" customHeight="false" outlineLevel="0" collapsed="false">
      <c r="A244" s="12"/>
      <c r="B244" s="13"/>
      <c r="C244" s="14"/>
      <c r="D244" s="15"/>
      <c r="E244" s="13"/>
      <c r="F244" s="16" t="str">
        <f aca="false">IF(D244="","",IF(E244="Döviz",D244*Özet!$C$4,D244))</f>
        <v/>
      </c>
    </row>
    <row r="245" customFormat="false" ht="15" hidden="false" customHeight="false" outlineLevel="0" collapsed="false">
      <c r="A245" s="12"/>
      <c r="B245" s="13"/>
      <c r="C245" s="14"/>
      <c r="D245" s="15"/>
      <c r="E245" s="13"/>
      <c r="F245" s="16" t="str">
        <f aca="false">IF(D245="","",IF(E245="Döviz",D245*Özet!$C$4,D245))</f>
        <v/>
      </c>
    </row>
    <row r="246" customFormat="false" ht="15" hidden="false" customHeight="false" outlineLevel="0" collapsed="false">
      <c r="A246" s="12"/>
      <c r="B246" s="13"/>
      <c r="C246" s="14"/>
      <c r="D246" s="15"/>
      <c r="E246" s="13"/>
      <c r="F246" s="16" t="str">
        <f aca="false">IF(D246="","",IF(E246="Döviz",D246*Özet!$C$4,D246))</f>
        <v/>
      </c>
    </row>
    <row r="247" customFormat="false" ht="15" hidden="false" customHeight="false" outlineLevel="0" collapsed="false">
      <c r="A247" s="12"/>
      <c r="B247" s="13"/>
      <c r="C247" s="14"/>
      <c r="D247" s="15"/>
      <c r="E247" s="13"/>
      <c r="F247" s="16" t="str">
        <f aca="false">IF(D247="","",IF(E247="Döviz",D247*Özet!$C$4,D247))</f>
        <v/>
      </c>
    </row>
    <row r="248" customFormat="false" ht="15" hidden="false" customHeight="false" outlineLevel="0" collapsed="false">
      <c r="A248" s="12"/>
      <c r="B248" s="13"/>
      <c r="C248" s="14"/>
      <c r="D248" s="15"/>
      <c r="E248" s="13"/>
      <c r="F248" s="16" t="str">
        <f aca="false">IF(D248="","",IF(E248="Döviz",D248*Özet!$C$4,D248))</f>
        <v/>
      </c>
    </row>
    <row r="249" customFormat="false" ht="15" hidden="false" customHeight="false" outlineLevel="0" collapsed="false">
      <c r="A249" s="12"/>
      <c r="B249" s="13"/>
      <c r="C249" s="14"/>
      <c r="D249" s="15"/>
      <c r="E249" s="13"/>
      <c r="F249" s="16" t="str">
        <f aca="false">IF(D249="","",IF(E249="Döviz",D249*Özet!$C$4,D249))</f>
        <v/>
      </c>
    </row>
    <row r="250" customFormat="false" ht="15" hidden="false" customHeight="false" outlineLevel="0" collapsed="false">
      <c r="A250" s="12"/>
      <c r="B250" s="13"/>
      <c r="C250" s="14"/>
      <c r="D250" s="15"/>
      <c r="E250" s="13"/>
      <c r="F250" s="16" t="str">
        <f aca="false">IF(D250="","",IF(E250="Döviz",D250*Özet!$C$4,D250))</f>
        <v/>
      </c>
    </row>
    <row r="251" customFormat="false" ht="15" hidden="false" customHeight="false" outlineLevel="0" collapsed="false">
      <c r="A251" s="12"/>
      <c r="B251" s="13"/>
      <c r="C251" s="14"/>
      <c r="D251" s="15"/>
      <c r="E251" s="13"/>
      <c r="F251" s="16" t="str">
        <f aca="false">IF(D251="","",IF(E251="Döviz",D251*Özet!$C$4,D251))</f>
        <v/>
      </c>
    </row>
    <row r="252" customFormat="false" ht="15" hidden="false" customHeight="false" outlineLevel="0" collapsed="false">
      <c r="A252" s="12"/>
      <c r="B252" s="13"/>
      <c r="C252" s="14"/>
      <c r="D252" s="15"/>
      <c r="E252" s="13"/>
      <c r="F252" s="16" t="str">
        <f aca="false">IF(D252="","",IF(E252="Döviz",D252*Özet!$C$4,D252))</f>
        <v/>
      </c>
    </row>
    <row r="253" customFormat="false" ht="15" hidden="false" customHeight="false" outlineLevel="0" collapsed="false">
      <c r="A253" s="12"/>
      <c r="B253" s="13"/>
      <c r="C253" s="14"/>
      <c r="D253" s="15"/>
      <c r="E253" s="13"/>
      <c r="F253" s="16" t="str">
        <f aca="false">IF(D253="","",IF(E253="Döviz",D253*Özet!$C$4,D253))</f>
        <v/>
      </c>
    </row>
    <row r="254" customFormat="false" ht="15" hidden="false" customHeight="false" outlineLevel="0" collapsed="false">
      <c r="A254" s="12"/>
      <c r="B254" s="13"/>
      <c r="C254" s="14"/>
      <c r="D254" s="15"/>
      <c r="E254" s="13"/>
      <c r="F254" s="16" t="str">
        <f aca="false">IF(D254="","",IF(E254="Döviz",D254*Özet!$C$4,D254))</f>
        <v/>
      </c>
    </row>
    <row r="255" customFormat="false" ht="15" hidden="false" customHeight="false" outlineLevel="0" collapsed="false">
      <c r="A255" s="12"/>
      <c r="B255" s="13"/>
      <c r="C255" s="14"/>
      <c r="D255" s="15"/>
      <c r="E255" s="13"/>
      <c r="F255" s="16" t="str">
        <f aca="false">IF(D255="","",IF(E255="Döviz",D255*Özet!$C$4,D255))</f>
        <v/>
      </c>
    </row>
    <row r="256" customFormat="false" ht="15" hidden="false" customHeight="false" outlineLevel="0" collapsed="false">
      <c r="A256" s="12"/>
      <c r="B256" s="13"/>
      <c r="C256" s="14"/>
      <c r="D256" s="15"/>
      <c r="E256" s="13"/>
      <c r="F256" s="16" t="str">
        <f aca="false">IF(D256="","",IF(E256="Döviz",D256*Özet!$C$4,D256))</f>
        <v/>
      </c>
    </row>
    <row r="257" customFormat="false" ht="15" hidden="false" customHeight="false" outlineLevel="0" collapsed="false">
      <c r="A257" s="12"/>
      <c r="B257" s="13"/>
      <c r="C257" s="14"/>
      <c r="D257" s="15"/>
      <c r="E257" s="13"/>
      <c r="F257" s="16" t="str">
        <f aca="false">IF(D257="","",IF(E257="Döviz",D257*Özet!$C$4,D257))</f>
        <v/>
      </c>
    </row>
    <row r="258" customFormat="false" ht="15" hidden="false" customHeight="false" outlineLevel="0" collapsed="false">
      <c r="A258" s="12"/>
      <c r="B258" s="13"/>
      <c r="C258" s="14"/>
      <c r="D258" s="15"/>
      <c r="E258" s="13"/>
      <c r="F258" s="16" t="str">
        <f aca="false">IF(D258="","",IF(E258="Döviz",D258*Özet!$C$4,D258))</f>
        <v/>
      </c>
    </row>
    <row r="259" customFormat="false" ht="15" hidden="false" customHeight="false" outlineLevel="0" collapsed="false">
      <c r="A259" s="12"/>
      <c r="B259" s="13"/>
      <c r="C259" s="14"/>
      <c r="D259" s="15"/>
      <c r="E259" s="13"/>
      <c r="F259" s="16" t="str">
        <f aca="false">IF(D259="","",IF(E259="Döviz",D259*Özet!$C$4,D259))</f>
        <v/>
      </c>
    </row>
    <row r="260" customFormat="false" ht="15" hidden="false" customHeight="false" outlineLevel="0" collapsed="false">
      <c r="A260" s="12"/>
      <c r="B260" s="13"/>
      <c r="C260" s="14"/>
      <c r="D260" s="15"/>
      <c r="E260" s="13"/>
      <c r="F260" s="16" t="str">
        <f aca="false">IF(D260="","",IF(E260="Döviz",D260*Özet!$C$4,D260))</f>
        <v/>
      </c>
    </row>
    <row r="261" customFormat="false" ht="15" hidden="false" customHeight="false" outlineLevel="0" collapsed="false">
      <c r="A261" s="12"/>
      <c r="B261" s="13"/>
      <c r="C261" s="14"/>
      <c r="D261" s="15"/>
      <c r="E261" s="13"/>
      <c r="F261" s="16" t="str">
        <f aca="false">IF(D261="","",IF(E261="Döviz",D261*Özet!$C$4,D261))</f>
        <v/>
      </c>
    </row>
    <row r="262" customFormat="false" ht="15" hidden="false" customHeight="false" outlineLevel="0" collapsed="false">
      <c r="A262" s="12"/>
      <c r="B262" s="13"/>
      <c r="C262" s="14"/>
      <c r="D262" s="15"/>
      <c r="E262" s="13"/>
      <c r="F262" s="16" t="str">
        <f aca="false">IF(D262="","",IF(E262="Döviz",D262*Özet!$C$4,D262))</f>
        <v/>
      </c>
    </row>
    <row r="263" customFormat="false" ht="15" hidden="false" customHeight="false" outlineLevel="0" collapsed="false">
      <c r="A263" s="12"/>
      <c r="B263" s="13"/>
      <c r="C263" s="14"/>
      <c r="D263" s="15"/>
      <c r="E263" s="13"/>
      <c r="F263" s="16" t="str">
        <f aca="false">IF(D263="","",IF(E263="Döviz",D263*Özet!$C$4,D263))</f>
        <v/>
      </c>
    </row>
    <row r="264" customFormat="false" ht="15" hidden="false" customHeight="false" outlineLevel="0" collapsed="false">
      <c r="A264" s="12"/>
      <c r="B264" s="13"/>
      <c r="C264" s="14"/>
      <c r="D264" s="15"/>
      <c r="E264" s="13"/>
      <c r="F264" s="16" t="str">
        <f aca="false">IF(D264="","",IF(E264="Döviz",D264*Özet!$C$4,D264))</f>
        <v/>
      </c>
    </row>
    <row r="265" customFormat="false" ht="15" hidden="false" customHeight="false" outlineLevel="0" collapsed="false">
      <c r="A265" s="12"/>
      <c r="B265" s="13"/>
      <c r="C265" s="14"/>
      <c r="D265" s="15"/>
      <c r="E265" s="13"/>
      <c r="F265" s="16" t="str">
        <f aca="false">IF(D265="","",IF(E265="Döviz",D265*Özet!$C$4,D265))</f>
        <v/>
      </c>
    </row>
    <row r="266" customFormat="false" ht="15" hidden="false" customHeight="false" outlineLevel="0" collapsed="false">
      <c r="A266" s="12"/>
      <c r="B266" s="13"/>
      <c r="C266" s="14"/>
      <c r="D266" s="15"/>
      <c r="E266" s="13"/>
      <c r="F266" s="16" t="str">
        <f aca="false">IF(D266="","",IF(E266="Döviz",D266*Özet!$C$4,D266))</f>
        <v/>
      </c>
    </row>
    <row r="267" customFormat="false" ht="15" hidden="false" customHeight="false" outlineLevel="0" collapsed="false">
      <c r="A267" s="12"/>
      <c r="B267" s="13"/>
      <c r="C267" s="14"/>
      <c r="D267" s="15"/>
      <c r="E267" s="13"/>
      <c r="F267" s="16" t="str">
        <f aca="false">IF(D267="","",IF(E267="Döviz",D267*Özet!$C$4,D267))</f>
        <v/>
      </c>
    </row>
    <row r="268" customFormat="false" ht="15" hidden="false" customHeight="false" outlineLevel="0" collapsed="false">
      <c r="A268" s="12"/>
      <c r="B268" s="13"/>
      <c r="C268" s="14"/>
      <c r="D268" s="15"/>
      <c r="E268" s="13"/>
      <c r="F268" s="16" t="str">
        <f aca="false">IF(D268="","",IF(E268="Döviz",D268*Özet!$C$4,D268))</f>
        <v/>
      </c>
    </row>
    <row r="269" customFormat="false" ht="15" hidden="false" customHeight="false" outlineLevel="0" collapsed="false">
      <c r="A269" s="12"/>
      <c r="B269" s="13"/>
      <c r="C269" s="14"/>
      <c r="D269" s="15"/>
      <c r="E269" s="13"/>
      <c r="F269" s="16" t="str">
        <f aca="false">IF(D269="","",IF(E269="Döviz",D269*Özet!$C$4,D269))</f>
        <v/>
      </c>
    </row>
    <row r="270" customFormat="false" ht="15" hidden="false" customHeight="false" outlineLevel="0" collapsed="false">
      <c r="A270" s="12"/>
      <c r="B270" s="13"/>
      <c r="C270" s="14"/>
      <c r="D270" s="15"/>
      <c r="E270" s="13"/>
      <c r="F270" s="16" t="str">
        <f aca="false">IF(D270="","",IF(E270="Döviz",D270*Özet!$C$4,D270))</f>
        <v/>
      </c>
    </row>
    <row r="271" customFormat="false" ht="15" hidden="false" customHeight="false" outlineLevel="0" collapsed="false">
      <c r="A271" s="12"/>
      <c r="B271" s="13"/>
      <c r="C271" s="14"/>
      <c r="D271" s="15"/>
      <c r="E271" s="13"/>
      <c r="F271" s="16" t="str">
        <f aca="false">IF(D271="","",IF(E271="Döviz",D271*Özet!$C$4,D271))</f>
        <v/>
      </c>
    </row>
    <row r="272" customFormat="false" ht="15" hidden="false" customHeight="false" outlineLevel="0" collapsed="false">
      <c r="A272" s="12"/>
      <c r="B272" s="13"/>
      <c r="C272" s="14"/>
      <c r="D272" s="15"/>
      <c r="E272" s="13"/>
      <c r="F272" s="16" t="str">
        <f aca="false">IF(D272="","",IF(E272="Döviz",D272*Özet!$C$4,D272))</f>
        <v/>
      </c>
    </row>
    <row r="273" customFormat="false" ht="15" hidden="false" customHeight="false" outlineLevel="0" collapsed="false">
      <c r="A273" s="12"/>
      <c r="B273" s="13"/>
      <c r="C273" s="14"/>
      <c r="D273" s="15"/>
      <c r="E273" s="13"/>
      <c r="F273" s="16" t="str">
        <f aca="false">IF(D273="","",IF(E273="Döviz",D273*Özet!$C$4,D273))</f>
        <v/>
      </c>
    </row>
    <row r="274" customFormat="false" ht="15" hidden="false" customHeight="false" outlineLevel="0" collapsed="false">
      <c r="A274" s="12"/>
      <c r="B274" s="13"/>
      <c r="C274" s="14"/>
      <c r="D274" s="15"/>
      <c r="E274" s="13"/>
      <c r="F274" s="16" t="str">
        <f aca="false">IF(D274="","",IF(E274="Döviz",D274*Özet!$C$4,D274))</f>
        <v/>
      </c>
    </row>
    <row r="275" customFormat="false" ht="15" hidden="false" customHeight="false" outlineLevel="0" collapsed="false">
      <c r="A275" s="12"/>
      <c r="B275" s="13"/>
      <c r="C275" s="14"/>
      <c r="D275" s="15"/>
      <c r="E275" s="13"/>
      <c r="F275" s="16" t="str">
        <f aca="false">IF(D275="","",IF(E275="Döviz",D275*Özet!$C$4,D275))</f>
        <v/>
      </c>
    </row>
    <row r="276" customFormat="false" ht="15" hidden="false" customHeight="false" outlineLevel="0" collapsed="false">
      <c r="A276" s="12"/>
      <c r="B276" s="13"/>
      <c r="C276" s="14"/>
      <c r="D276" s="15"/>
      <c r="E276" s="13"/>
      <c r="F276" s="16" t="str">
        <f aca="false">IF(D276="","",IF(E276="Döviz",D276*Özet!$C$4,D276))</f>
        <v/>
      </c>
    </row>
    <row r="277" customFormat="false" ht="15" hidden="false" customHeight="false" outlineLevel="0" collapsed="false">
      <c r="A277" s="12"/>
      <c r="B277" s="13"/>
      <c r="C277" s="14"/>
      <c r="D277" s="15"/>
      <c r="E277" s="13"/>
      <c r="F277" s="16" t="str">
        <f aca="false">IF(D277="","",IF(E277="Döviz",D277*Özet!$C$4,D277))</f>
        <v/>
      </c>
    </row>
    <row r="278" customFormat="false" ht="15" hidden="false" customHeight="false" outlineLevel="0" collapsed="false">
      <c r="A278" s="12"/>
      <c r="B278" s="13"/>
      <c r="C278" s="14"/>
      <c r="D278" s="15"/>
      <c r="E278" s="13"/>
      <c r="F278" s="16" t="str">
        <f aca="false">IF(D278="","",IF(E278="Döviz",D278*Özet!$C$4,D278))</f>
        <v/>
      </c>
    </row>
    <row r="279" customFormat="false" ht="15" hidden="false" customHeight="false" outlineLevel="0" collapsed="false">
      <c r="A279" s="12"/>
      <c r="B279" s="13"/>
      <c r="C279" s="14"/>
      <c r="D279" s="15"/>
      <c r="E279" s="13"/>
      <c r="F279" s="16" t="str">
        <f aca="false">IF(D279="","",IF(E279="Döviz",D279*Özet!$C$4,D279))</f>
        <v/>
      </c>
    </row>
    <row r="280" customFormat="false" ht="15" hidden="false" customHeight="false" outlineLevel="0" collapsed="false">
      <c r="A280" s="12"/>
      <c r="B280" s="13"/>
      <c r="C280" s="14"/>
      <c r="D280" s="15"/>
      <c r="E280" s="13"/>
      <c r="F280" s="16" t="str">
        <f aca="false">IF(D280="","",IF(E280="Döviz",D280*Özet!$C$4,D280))</f>
        <v/>
      </c>
    </row>
    <row r="281" customFormat="false" ht="15" hidden="false" customHeight="false" outlineLevel="0" collapsed="false">
      <c r="A281" s="12"/>
      <c r="B281" s="13"/>
      <c r="C281" s="14"/>
      <c r="D281" s="15"/>
      <c r="E281" s="13"/>
      <c r="F281" s="16" t="str">
        <f aca="false">IF(D281="","",IF(E281="Döviz",D281*Özet!$C$4,D281))</f>
        <v/>
      </c>
    </row>
    <row r="282" customFormat="false" ht="15" hidden="false" customHeight="false" outlineLevel="0" collapsed="false">
      <c r="A282" s="12"/>
      <c r="B282" s="13"/>
      <c r="C282" s="14"/>
      <c r="D282" s="15"/>
      <c r="E282" s="13"/>
      <c r="F282" s="16" t="str">
        <f aca="false">IF(D282="","",IF(E282="Döviz",D282*Özet!$C$4,D282))</f>
        <v/>
      </c>
    </row>
    <row r="283" customFormat="false" ht="15" hidden="false" customHeight="false" outlineLevel="0" collapsed="false">
      <c r="A283" s="12"/>
      <c r="B283" s="13"/>
      <c r="C283" s="14"/>
      <c r="D283" s="15"/>
      <c r="E283" s="13"/>
      <c r="F283" s="16" t="str">
        <f aca="false">IF(D283="","",IF(E283="Döviz",D283*Özet!$C$4,D283))</f>
        <v/>
      </c>
    </row>
    <row r="284" customFormat="false" ht="15" hidden="false" customHeight="false" outlineLevel="0" collapsed="false">
      <c r="A284" s="12"/>
      <c r="B284" s="13"/>
      <c r="C284" s="14"/>
      <c r="D284" s="15"/>
      <c r="E284" s="13"/>
      <c r="F284" s="16" t="str">
        <f aca="false">IF(D284="","",IF(E284="Döviz",D284*Özet!$C$4,D284))</f>
        <v/>
      </c>
    </row>
    <row r="285" customFormat="false" ht="15" hidden="false" customHeight="false" outlineLevel="0" collapsed="false">
      <c r="A285" s="12"/>
      <c r="B285" s="13"/>
      <c r="C285" s="14"/>
      <c r="D285" s="15"/>
      <c r="E285" s="13"/>
      <c r="F285" s="16" t="str">
        <f aca="false">IF(D285="","",IF(E285="Döviz",D285*Özet!$C$4,D285))</f>
        <v/>
      </c>
    </row>
    <row r="286" customFormat="false" ht="15" hidden="false" customHeight="false" outlineLevel="0" collapsed="false">
      <c r="A286" s="12"/>
      <c r="B286" s="13"/>
      <c r="C286" s="14"/>
      <c r="D286" s="15"/>
      <c r="E286" s="13"/>
      <c r="F286" s="16" t="str">
        <f aca="false">IF(D286="","",IF(E286="Döviz",D286*Özet!$C$4,D286))</f>
        <v/>
      </c>
    </row>
    <row r="287" customFormat="false" ht="15" hidden="false" customHeight="false" outlineLevel="0" collapsed="false">
      <c r="A287" s="12"/>
      <c r="B287" s="13"/>
      <c r="C287" s="14"/>
      <c r="D287" s="15"/>
      <c r="E287" s="13"/>
      <c r="F287" s="16" t="str">
        <f aca="false">IF(D287="","",IF(E287="Döviz",D287*Özet!$C$4,D287))</f>
        <v/>
      </c>
    </row>
    <row r="288" customFormat="false" ht="15" hidden="false" customHeight="false" outlineLevel="0" collapsed="false">
      <c r="A288" s="12"/>
      <c r="B288" s="13"/>
      <c r="C288" s="14"/>
      <c r="D288" s="15"/>
      <c r="E288" s="13"/>
      <c r="F288" s="16" t="str">
        <f aca="false">IF(D288="","",IF(E288="Döviz",D288*Özet!$C$4,D288))</f>
        <v/>
      </c>
    </row>
    <row r="289" customFormat="false" ht="15" hidden="false" customHeight="false" outlineLevel="0" collapsed="false">
      <c r="A289" s="12"/>
      <c r="B289" s="13"/>
      <c r="C289" s="14"/>
      <c r="D289" s="15"/>
      <c r="E289" s="13"/>
      <c r="F289" s="16" t="str">
        <f aca="false">IF(D289="","",IF(E289="Döviz",D289*Özet!$C$4,D289))</f>
        <v/>
      </c>
    </row>
    <row r="290" customFormat="false" ht="15" hidden="false" customHeight="false" outlineLevel="0" collapsed="false">
      <c r="A290" s="12"/>
      <c r="B290" s="13"/>
      <c r="C290" s="14"/>
      <c r="D290" s="15"/>
      <c r="E290" s="13"/>
      <c r="F290" s="16" t="str">
        <f aca="false">IF(D290="","",IF(E290="Döviz",D290*Özet!$C$4,D290))</f>
        <v/>
      </c>
    </row>
    <row r="291" customFormat="false" ht="15" hidden="false" customHeight="false" outlineLevel="0" collapsed="false">
      <c r="A291" s="12"/>
      <c r="B291" s="13"/>
      <c r="C291" s="14"/>
      <c r="D291" s="15"/>
      <c r="E291" s="13"/>
      <c r="F291" s="16" t="str">
        <f aca="false">IF(D291="","",IF(E291="Döviz",D291*Özet!$C$4,D291))</f>
        <v/>
      </c>
    </row>
    <row r="292" customFormat="false" ht="15" hidden="false" customHeight="false" outlineLevel="0" collapsed="false">
      <c r="A292" s="12"/>
      <c r="B292" s="13"/>
      <c r="C292" s="14"/>
      <c r="D292" s="15"/>
      <c r="E292" s="13"/>
      <c r="F292" s="16" t="str">
        <f aca="false">IF(D292="","",IF(E292="Döviz",D292*Özet!$C$4,D292))</f>
        <v/>
      </c>
    </row>
    <row r="293" customFormat="false" ht="15" hidden="false" customHeight="false" outlineLevel="0" collapsed="false">
      <c r="A293" s="12"/>
      <c r="B293" s="13"/>
      <c r="C293" s="14"/>
      <c r="D293" s="15"/>
      <c r="E293" s="13"/>
      <c r="F293" s="16" t="str">
        <f aca="false">IF(D293="","",IF(E293="Döviz",D293*Özet!$C$4,D293))</f>
        <v/>
      </c>
    </row>
    <row r="294" customFormat="false" ht="15" hidden="false" customHeight="false" outlineLevel="0" collapsed="false">
      <c r="A294" s="12"/>
      <c r="B294" s="13"/>
      <c r="C294" s="14"/>
      <c r="D294" s="15"/>
      <c r="E294" s="13"/>
      <c r="F294" s="16" t="str">
        <f aca="false">IF(D294="","",IF(E294="Döviz",D294*Özet!$C$4,D294))</f>
        <v/>
      </c>
    </row>
    <row r="295" customFormat="false" ht="15" hidden="false" customHeight="false" outlineLevel="0" collapsed="false">
      <c r="A295" s="12"/>
      <c r="B295" s="13"/>
      <c r="C295" s="14"/>
      <c r="D295" s="15"/>
      <c r="E295" s="13"/>
      <c r="F295" s="16" t="str">
        <f aca="false">IF(D295="","",IF(E295="Döviz",D295*Özet!$C$4,D295))</f>
        <v/>
      </c>
    </row>
    <row r="296" customFormat="false" ht="15" hidden="false" customHeight="false" outlineLevel="0" collapsed="false">
      <c r="A296" s="12"/>
      <c r="B296" s="13"/>
      <c r="C296" s="14"/>
      <c r="D296" s="15"/>
      <c r="E296" s="13"/>
      <c r="F296" s="16" t="str">
        <f aca="false">IF(D296="","",IF(E296="Döviz",D296*Özet!$C$4,D296))</f>
        <v/>
      </c>
    </row>
    <row r="297" customFormat="false" ht="15" hidden="false" customHeight="false" outlineLevel="0" collapsed="false">
      <c r="A297" s="12"/>
      <c r="B297" s="13"/>
      <c r="C297" s="14"/>
      <c r="D297" s="15"/>
      <c r="E297" s="13"/>
      <c r="F297" s="16" t="str">
        <f aca="false">IF(D297="","",IF(E297="Döviz",D297*Özet!$C$4,D297))</f>
        <v/>
      </c>
    </row>
    <row r="298" customFormat="false" ht="15" hidden="false" customHeight="false" outlineLevel="0" collapsed="false">
      <c r="A298" s="12"/>
      <c r="B298" s="13"/>
      <c r="C298" s="14"/>
      <c r="D298" s="15"/>
      <c r="E298" s="13"/>
      <c r="F298" s="16" t="str">
        <f aca="false">IF(D298="","",IF(E298="Döviz",D298*Özet!$C$4,D298))</f>
        <v/>
      </c>
    </row>
    <row r="299" customFormat="false" ht="15" hidden="false" customHeight="false" outlineLevel="0" collapsed="false">
      <c r="A299" s="12"/>
      <c r="B299" s="13"/>
      <c r="C299" s="14"/>
      <c r="D299" s="15"/>
      <c r="E299" s="13"/>
      <c r="F299" s="16" t="str">
        <f aca="false">IF(D299="","",IF(E299="Döviz",D299*Özet!$C$4,D299))</f>
        <v/>
      </c>
    </row>
    <row r="300" customFormat="false" ht="15" hidden="false" customHeight="false" outlineLevel="0" collapsed="false">
      <c r="A300" s="12"/>
      <c r="B300" s="13"/>
      <c r="C300" s="14"/>
      <c r="D300" s="15"/>
      <c r="E300" s="13"/>
      <c r="F300" s="16" t="str">
        <f aca="false">IF(D300="","",IF(E300="Döviz",D300*Özet!$C$4,D300))</f>
        <v/>
      </c>
    </row>
    <row r="301" customFormat="false" ht="15" hidden="false" customHeight="false" outlineLevel="0" collapsed="false">
      <c r="A301" s="12"/>
      <c r="B301" s="13"/>
      <c r="C301" s="14"/>
      <c r="D301" s="15"/>
      <c r="E301" s="13"/>
      <c r="F301" s="16" t="str">
        <f aca="false">IF(D301="","",IF(E301="Döviz",D301*Özet!$C$4,D301))</f>
        <v/>
      </c>
    </row>
    <row r="302" customFormat="false" ht="15" hidden="false" customHeight="false" outlineLevel="0" collapsed="false">
      <c r="A302" s="12"/>
      <c r="B302" s="13"/>
      <c r="C302" s="14"/>
      <c r="D302" s="15"/>
      <c r="E302" s="13"/>
      <c r="F302" s="16" t="str">
        <f aca="false">IF(D302="","",IF(E302="Döviz",D302*Özet!$C$4,D302))</f>
        <v/>
      </c>
    </row>
    <row r="303" customFormat="false" ht="15" hidden="false" customHeight="false" outlineLevel="0" collapsed="false">
      <c r="A303" s="12"/>
      <c r="B303" s="13"/>
      <c r="C303" s="14"/>
      <c r="D303" s="15"/>
      <c r="E303" s="13"/>
      <c r="F303" s="16" t="str">
        <f aca="false">IF(D303="","",IF(E303="Döviz",D303*Özet!$C$4,D303))</f>
        <v/>
      </c>
    </row>
    <row r="304" customFormat="false" ht="15" hidden="false" customHeight="false" outlineLevel="0" collapsed="false">
      <c r="A304" s="12"/>
      <c r="B304" s="13"/>
      <c r="C304" s="14"/>
      <c r="D304" s="15"/>
      <c r="E304" s="13"/>
      <c r="F304" s="16" t="str">
        <f aca="false">IF(D304="","",IF(E304="Döviz",D304*Özet!$C$4,D304))</f>
        <v/>
      </c>
    </row>
    <row r="305" customFormat="false" ht="15" hidden="false" customHeight="false" outlineLevel="0" collapsed="false">
      <c r="A305" s="12"/>
      <c r="B305" s="13"/>
      <c r="C305" s="14"/>
      <c r="D305" s="15"/>
      <c r="E305" s="13"/>
      <c r="F305" s="16" t="str">
        <f aca="false">IF(D305="","",IF(E305="Döviz",D305*Özet!$C$4,D305))</f>
        <v/>
      </c>
    </row>
    <row r="306" customFormat="false" ht="15" hidden="false" customHeight="false" outlineLevel="0" collapsed="false">
      <c r="A306" s="12"/>
      <c r="B306" s="13"/>
      <c r="C306" s="14"/>
      <c r="D306" s="15"/>
      <c r="E306" s="13"/>
      <c r="F306" s="16" t="str">
        <f aca="false">IF(D306="","",IF(E306="Döviz",D306*Özet!$C$4,D306))</f>
        <v/>
      </c>
    </row>
    <row r="307" customFormat="false" ht="15" hidden="false" customHeight="false" outlineLevel="0" collapsed="false">
      <c r="A307" s="12"/>
      <c r="B307" s="13"/>
      <c r="C307" s="14"/>
      <c r="D307" s="15"/>
      <c r="E307" s="13"/>
      <c r="F307" s="16" t="str">
        <f aca="false">IF(D307="","",IF(E307="Döviz",D307*Özet!$C$4,D307))</f>
        <v/>
      </c>
    </row>
    <row r="308" customFormat="false" ht="15" hidden="false" customHeight="false" outlineLevel="0" collapsed="false">
      <c r="A308" s="12"/>
      <c r="B308" s="13"/>
      <c r="C308" s="14"/>
      <c r="D308" s="15"/>
      <c r="E308" s="13"/>
      <c r="F308" s="16" t="str">
        <f aca="false">IF(D308="","",IF(E308="Döviz",D308*Özet!$C$4,D308))</f>
        <v/>
      </c>
    </row>
    <row r="309" customFormat="false" ht="15" hidden="false" customHeight="false" outlineLevel="0" collapsed="false">
      <c r="A309" s="12"/>
      <c r="B309" s="13"/>
      <c r="C309" s="14"/>
      <c r="D309" s="15"/>
      <c r="E309" s="13"/>
      <c r="F309" s="16" t="str">
        <f aca="false">IF(D309="","",IF(E309="Döviz",D309*Özet!$C$4,D309))</f>
        <v/>
      </c>
    </row>
    <row r="310" customFormat="false" ht="15" hidden="false" customHeight="false" outlineLevel="0" collapsed="false">
      <c r="A310" s="12"/>
      <c r="B310" s="13"/>
      <c r="C310" s="14"/>
      <c r="D310" s="15"/>
      <c r="E310" s="13"/>
      <c r="F310" s="16" t="str">
        <f aca="false">IF(D310="","",IF(E310="Döviz",D310*Özet!$C$4,D310))</f>
        <v/>
      </c>
    </row>
    <row r="311" customFormat="false" ht="15" hidden="false" customHeight="false" outlineLevel="0" collapsed="false">
      <c r="A311" s="12"/>
      <c r="B311" s="13"/>
      <c r="C311" s="14"/>
      <c r="D311" s="15"/>
      <c r="E311" s="13"/>
      <c r="F311" s="16" t="str">
        <f aca="false">IF(D311="","",IF(E311="Döviz",D311*Özet!$C$4,D311))</f>
        <v/>
      </c>
    </row>
    <row r="312" customFormat="false" ht="15" hidden="false" customHeight="false" outlineLevel="0" collapsed="false">
      <c r="A312" s="12"/>
      <c r="B312" s="13"/>
      <c r="C312" s="14"/>
      <c r="D312" s="15"/>
      <c r="E312" s="13"/>
      <c r="F312" s="16" t="str">
        <f aca="false">IF(D312="","",IF(E312="Döviz",D312*Özet!$C$4,D312))</f>
        <v/>
      </c>
    </row>
    <row r="313" customFormat="false" ht="15" hidden="false" customHeight="false" outlineLevel="0" collapsed="false">
      <c r="A313" s="12"/>
      <c r="B313" s="13"/>
      <c r="C313" s="14"/>
      <c r="D313" s="15"/>
      <c r="E313" s="13"/>
      <c r="F313" s="16" t="str">
        <f aca="false">IF(D313="","",IF(E313="Döviz",D313*Özet!$C$4,D313))</f>
        <v/>
      </c>
    </row>
    <row r="314" customFormat="false" ht="15" hidden="false" customHeight="false" outlineLevel="0" collapsed="false">
      <c r="A314" s="12"/>
      <c r="B314" s="13"/>
      <c r="C314" s="14"/>
      <c r="D314" s="15"/>
      <c r="E314" s="13"/>
      <c r="F314" s="16" t="str">
        <f aca="false">IF(D314="","",IF(E314="Döviz",D314*Özet!$C$4,D314))</f>
        <v/>
      </c>
    </row>
    <row r="315" customFormat="false" ht="15" hidden="false" customHeight="false" outlineLevel="0" collapsed="false">
      <c r="A315" s="12"/>
      <c r="B315" s="13"/>
      <c r="C315" s="14"/>
      <c r="D315" s="15"/>
      <c r="E315" s="13"/>
      <c r="F315" s="16" t="str">
        <f aca="false">IF(D315="","",IF(E315="Döviz",D315*Özet!$C$4,D315))</f>
        <v/>
      </c>
    </row>
    <row r="316" customFormat="false" ht="15" hidden="false" customHeight="false" outlineLevel="0" collapsed="false">
      <c r="A316" s="12"/>
      <c r="B316" s="13"/>
      <c r="C316" s="14"/>
      <c r="D316" s="15"/>
      <c r="E316" s="13"/>
      <c r="F316" s="16" t="str">
        <f aca="false">IF(D316="","",IF(E316="Döviz",D316*Özet!$C$4,D316))</f>
        <v/>
      </c>
    </row>
    <row r="317" customFormat="false" ht="15" hidden="false" customHeight="false" outlineLevel="0" collapsed="false">
      <c r="A317" s="12"/>
      <c r="B317" s="13"/>
      <c r="C317" s="14"/>
      <c r="D317" s="15"/>
      <c r="E317" s="13"/>
      <c r="F317" s="16" t="str">
        <f aca="false">IF(D317="","",IF(E317="Döviz",D317*Özet!$C$4,D317))</f>
        <v/>
      </c>
    </row>
    <row r="318" customFormat="false" ht="15" hidden="false" customHeight="false" outlineLevel="0" collapsed="false">
      <c r="A318" s="12"/>
      <c r="B318" s="13"/>
      <c r="C318" s="14"/>
      <c r="D318" s="15"/>
      <c r="E318" s="13"/>
      <c r="F318" s="16" t="str">
        <f aca="false">IF(D318="","",IF(E318="Döviz",D318*Özet!$C$4,D318))</f>
        <v/>
      </c>
    </row>
    <row r="319" customFormat="false" ht="15" hidden="false" customHeight="false" outlineLevel="0" collapsed="false">
      <c r="A319" s="12"/>
      <c r="B319" s="13"/>
      <c r="C319" s="14"/>
      <c r="D319" s="15"/>
      <c r="E319" s="13"/>
      <c r="F319" s="16" t="str">
        <f aca="false">IF(D319="","",IF(E319="Döviz",D319*Özet!$C$4,D319))</f>
        <v/>
      </c>
    </row>
    <row r="320" customFormat="false" ht="15" hidden="false" customHeight="false" outlineLevel="0" collapsed="false">
      <c r="A320" s="12"/>
      <c r="B320" s="13"/>
      <c r="C320" s="14"/>
      <c r="D320" s="15"/>
      <c r="E320" s="13"/>
      <c r="F320" s="16" t="str">
        <f aca="false">IF(D320="","",IF(E320="Döviz",D320*Özet!$C$4,D320))</f>
        <v/>
      </c>
    </row>
    <row r="321" customFormat="false" ht="15" hidden="false" customHeight="false" outlineLevel="0" collapsed="false">
      <c r="A321" s="12"/>
      <c r="B321" s="13"/>
      <c r="C321" s="14"/>
      <c r="D321" s="15"/>
      <c r="E321" s="13"/>
      <c r="F321" s="16" t="str">
        <f aca="false">IF(D321="","",IF(E321="Döviz",D321*Özet!$C$4,D321))</f>
        <v/>
      </c>
    </row>
    <row r="322" customFormat="false" ht="15" hidden="false" customHeight="false" outlineLevel="0" collapsed="false">
      <c r="A322" s="12"/>
      <c r="B322" s="13"/>
      <c r="C322" s="14"/>
      <c r="D322" s="15"/>
      <c r="E322" s="13"/>
      <c r="F322" s="16" t="str">
        <f aca="false">IF(D322="","",IF(E322="Döviz",D322*Özet!$C$4,D322))</f>
        <v/>
      </c>
    </row>
    <row r="323" customFormat="false" ht="15" hidden="false" customHeight="false" outlineLevel="0" collapsed="false">
      <c r="A323" s="12"/>
      <c r="B323" s="13"/>
      <c r="C323" s="14"/>
      <c r="D323" s="15"/>
      <c r="E323" s="13"/>
      <c r="F323" s="16" t="str">
        <f aca="false">IF(D323="","",IF(E323="Döviz",D323*Özet!$C$4,D323))</f>
        <v/>
      </c>
    </row>
    <row r="324" customFormat="false" ht="15" hidden="false" customHeight="false" outlineLevel="0" collapsed="false">
      <c r="A324" s="12"/>
      <c r="B324" s="13"/>
      <c r="C324" s="14"/>
      <c r="D324" s="15"/>
      <c r="E324" s="13"/>
      <c r="F324" s="16" t="str">
        <f aca="false">IF(D324="","",IF(E324="Döviz",D324*Özet!$C$4,D324))</f>
        <v/>
      </c>
    </row>
    <row r="325" customFormat="false" ht="15" hidden="false" customHeight="false" outlineLevel="0" collapsed="false">
      <c r="A325" s="12"/>
      <c r="B325" s="13"/>
      <c r="C325" s="14"/>
      <c r="D325" s="15"/>
      <c r="E325" s="13"/>
      <c r="F325" s="16" t="str">
        <f aca="false">IF(D325="","",IF(E325="Döviz",D325*Özet!$C$4,D325))</f>
        <v/>
      </c>
    </row>
    <row r="326" customFormat="false" ht="15" hidden="false" customHeight="false" outlineLevel="0" collapsed="false">
      <c r="A326" s="12"/>
      <c r="B326" s="13"/>
      <c r="C326" s="14"/>
      <c r="D326" s="15"/>
      <c r="E326" s="13"/>
      <c r="F326" s="16" t="str">
        <f aca="false">IF(D326="","",IF(E326="Döviz",D326*Özet!$C$4,D326))</f>
        <v/>
      </c>
    </row>
    <row r="327" customFormat="false" ht="15" hidden="false" customHeight="false" outlineLevel="0" collapsed="false">
      <c r="A327" s="12"/>
      <c r="B327" s="13"/>
      <c r="C327" s="14"/>
      <c r="D327" s="15"/>
      <c r="E327" s="13"/>
      <c r="F327" s="16" t="str">
        <f aca="false">IF(D327="","",IF(E327="Döviz",D327*Özet!$C$4,D327))</f>
        <v/>
      </c>
    </row>
    <row r="328" customFormat="false" ht="15" hidden="false" customHeight="false" outlineLevel="0" collapsed="false">
      <c r="A328" s="12"/>
      <c r="B328" s="13"/>
      <c r="C328" s="14"/>
      <c r="D328" s="15"/>
      <c r="E328" s="13"/>
      <c r="F328" s="16" t="str">
        <f aca="false">IF(D328="","",IF(E328="Döviz",D328*Özet!$C$4,D328))</f>
        <v/>
      </c>
    </row>
    <row r="329" customFormat="false" ht="15" hidden="false" customHeight="false" outlineLevel="0" collapsed="false">
      <c r="A329" s="12"/>
      <c r="B329" s="13"/>
      <c r="C329" s="14"/>
      <c r="D329" s="15"/>
      <c r="E329" s="13"/>
      <c r="F329" s="16" t="str">
        <f aca="false">IF(D329="","",IF(E329="Döviz",D329*Özet!$C$4,D329))</f>
        <v/>
      </c>
    </row>
    <row r="330" customFormat="false" ht="15" hidden="false" customHeight="false" outlineLevel="0" collapsed="false">
      <c r="A330" s="12"/>
      <c r="B330" s="13"/>
      <c r="C330" s="14"/>
      <c r="D330" s="15"/>
      <c r="E330" s="13"/>
      <c r="F330" s="16" t="str">
        <f aca="false">IF(D330="","",IF(E330="Döviz",D330*Özet!$C$4,D330))</f>
        <v/>
      </c>
    </row>
    <row r="331" customFormat="false" ht="15" hidden="false" customHeight="false" outlineLevel="0" collapsed="false">
      <c r="A331" s="12"/>
      <c r="B331" s="13"/>
      <c r="C331" s="14"/>
      <c r="D331" s="15"/>
      <c r="E331" s="13"/>
      <c r="F331" s="16" t="str">
        <f aca="false">IF(D331="","",IF(E331="Döviz",D331*Özet!$C$4,D331))</f>
        <v/>
      </c>
    </row>
    <row r="332" customFormat="false" ht="15" hidden="false" customHeight="false" outlineLevel="0" collapsed="false">
      <c r="A332" s="12"/>
      <c r="B332" s="13"/>
      <c r="C332" s="14"/>
      <c r="D332" s="15"/>
      <c r="E332" s="13"/>
      <c r="F332" s="16" t="str">
        <f aca="false">IF(D332="","",IF(E332="Döviz",D332*Özet!$C$4,D332))</f>
        <v/>
      </c>
    </row>
    <row r="333" customFormat="false" ht="15" hidden="false" customHeight="false" outlineLevel="0" collapsed="false">
      <c r="A333" s="12"/>
      <c r="B333" s="13"/>
      <c r="C333" s="14"/>
      <c r="D333" s="15"/>
      <c r="E333" s="13"/>
      <c r="F333" s="16" t="str">
        <f aca="false">IF(D333="","",IF(E333="Döviz",D333*Özet!$C$4,D333))</f>
        <v/>
      </c>
    </row>
    <row r="334" customFormat="false" ht="15" hidden="false" customHeight="false" outlineLevel="0" collapsed="false">
      <c r="A334" s="12"/>
      <c r="B334" s="13"/>
      <c r="C334" s="14"/>
      <c r="D334" s="15"/>
      <c r="E334" s="13"/>
      <c r="F334" s="16" t="str">
        <f aca="false">IF(D334="","",IF(E334="Döviz",D334*Özet!$C$4,D334))</f>
        <v/>
      </c>
    </row>
    <row r="335" customFormat="false" ht="15" hidden="false" customHeight="false" outlineLevel="0" collapsed="false">
      <c r="A335" s="12"/>
      <c r="B335" s="13"/>
      <c r="C335" s="14"/>
      <c r="D335" s="15"/>
      <c r="E335" s="13"/>
      <c r="F335" s="16" t="str">
        <f aca="false">IF(D335="","",IF(E335="Döviz",D335*Özet!$C$4,D335))</f>
        <v/>
      </c>
    </row>
    <row r="336" customFormat="false" ht="15" hidden="false" customHeight="false" outlineLevel="0" collapsed="false">
      <c r="A336" s="12"/>
      <c r="B336" s="13"/>
      <c r="C336" s="14"/>
      <c r="D336" s="15"/>
      <c r="E336" s="13"/>
      <c r="F336" s="16" t="str">
        <f aca="false">IF(D336="","",IF(E336="Döviz",D336*Özet!$C$4,D336))</f>
        <v/>
      </c>
    </row>
    <row r="337" customFormat="false" ht="15" hidden="false" customHeight="false" outlineLevel="0" collapsed="false">
      <c r="A337" s="12"/>
      <c r="B337" s="13"/>
      <c r="C337" s="14"/>
      <c r="D337" s="15"/>
      <c r="E337" s="13"/>
      <c r="F337" s="16" t="str">
        <f aca="false">IF(D337="","",IF(E337="Döviz",D337*Özet!$C$4,D337))</f>
        <v/>
      </c>
    </row>
    <row r="338" customFormat="false" ht="15" hidden="false" customHeight="false" outlineLevel="0" collapsed="false">
      <c r="A338" s="12"/>
      <c r="B338" s="13"/>
      <c r="C338" s="14"/>
      <c r="D338" s="15"/>
      <c r="E338" s="13"/>
      <c r="F338" s="16" t="str">
        <f aca="false">IF(D338="","",IF(E338="Döviz",D338*Özet!$C$4,D338))</f>
        <v/>
      </c>
    </row>
    <row r="339" customFormat="false" ht="15" hidden="false" customHeight="false" outlineLevel="0" collapsed="false">
      <c r="A339" s="12"/>
      <c r="B339" s="13"/>
      <c r="C339" s="14"/>
      <c r="D339" s="15"/>
      <c r="E339" s="13"/>
      <c r="F339" s="16" t="str">
        <f aca="false">IF(D339="","",IF(E339="Döviz",D339*Özet!$C$4,D339))</f>
        <v/>
      </c>
    </row>
    <row r="340" customFormat="false" ht="15" hidden="false" customHeight="false" outlineLevel="0" collapsed="false">
      <c r="A340" s="12"/>
      <c r="B340" s="13"/>
      <c r="C340" s="14"/>
      <c r="D340" s="15"/>
      <c r="E340" s="13"/>
      <c r="F340" s="16" t="str">
        <f aca="false">IF(D340="","",IF(E340="Döviz",D340*Özet!$C$4,D340))</f>
        <v/>
      </c>
    </row>
    <row r="341" customFormat="false" ht="15" hidden="false" customHeight="false" outlineLevel="0" collapsed="false">
      <c r="A341" s="12"/>
      <c r="B341" s="13"/>
      <c r="C341" s="14"/>
      <c r="D341" s="15"/>
      <c r="E341" s="13"/>
      <c r="F341" s="16" t="str">
        <f aca="false">IF(D341="","",IF(E341="Döviz",D341*Özet!$C$4,D341))</f>
        <v/>
      </c>
    </row>
    <row r="342" customFormat="false" ht="15" hidden="false" customHeight="false" outlineLevel="0" collapsed="false">
      <c r="A342" s="12"/>
      <c r="B342" s="13"/>
      <c r="C342" s="14"/>
      <c r="D342" s="15"/>
      <c r="E342" s="13"/>
      <c r="F342" s="16" t="str">
        <f aca="false">IF(D342="","",IF(E342="Döviz",D342*Özet!$C$4,D342))</f>
        <v/>
      </c>
    </row>
    <row r="343" customFormat="false" ht="15" hidden="false" customHeight="false" outlineLevel="0" collapsed="false">
      <c r="A343" s="12"/>
      <c r="B343" s="13"/>
      <c r="C343" s="14"/>
      <c r="D343" s="15"/>
      <c r="E343" s="13"/>
      <c r="F343" s="16" t="str">
        <f aca="false">IF(D343="","",IF(E343="Döviz",D343*Özet!$C$4,D343))</f>
        <v/>
      </c>
    </row>
    <row r="344" customFormat="false" ht="15" hidden="false" customHeight="false" outlineLevel="0" collapsed="false">
      <c r="A344" s="12"/>
      <c r="B344" s="13"/>
      <c r="C344" s="14"/>
      <c r="D344" s="15"/>
      <c r="E344" s="13"/>
      <c r="F344" s="16" t="str">
        <f aca="false">IF(D344="","",IF(E344="Döviz",D344*Özet!$C$4,D344))</f>
        <v/>
      </c>
    </row>
    <row r="345" customFormat="false" ht="15" hidden="false" customHeight="false" outlineLevel="0" collapsed="false">
      <c r="A345" s="12"/>
      <c r="B345" s="13"/>
      <c r="C345" s="14"/>
      <c r="D345" s="15"/>
      <c r="E345" s="13"/>
      <c r="F345" s="16" t="str">
        <f aca="false">IF(D345="","",IF(E345="Döviz",D345*Özet!$C$4,D345))</f>
        <v/>
      </c>
    </row>
    <row r="346" customFormat="false" ht="15" hidden="false" customHeight="false" outlineLevel="0" collapsed="false">
      <c r="A346" s="12"/>
      <c r="B346" s="13"/>
      <c r="C346" s="14"/>
      <c r="D346" s="15"/>
      <c r="E346" s="13"/>
      <c r="F346" s="16" t="str">
        <f aca="false">IF(D346="","",IF(E346="Döviz",D346*Özet!$C$4,D346))</f>
        <v/>
      </c>
    </row>
    <row r="347" customFormat="false" ht="15" hidden="false" customHeight="false" outlineLevel="0" collapsed="false">
      <c r="A347" s="12"/>
      <c r="B347" s="13"/>
      <c r="C347" s="14"/>
      <c r="D347" s="15"/>
      <c r="E347" s="13"/>
      <c r="F347" s="16" t="str">
        <f aca="false">IF(D347="","",IF(E347="Döviz",D347*Özet!$C$4,D347))</f>
        <v/>
      </c>
    </row>
    <row r="348" customFormat="false" ht="15" hidden="false" customHeight="false" outlineLevel="0" collapsed="false">
      <c r="A348" s="12"/>
      <c r="B348" s="13"/>
      <c r="C348" s="14"/>
      <c r="D348" s="15"/>
      <c r="E348" s="13"/>
      <c r="F348" s="16" t="str">
        <f aca="false">IF(D348="","",IF(E348="Döviz",D348*Özet!$C$4,D348))</f>
        <v/>
      </c>
    </row>
    <row r="349" customFormat="false" ht="15" hidden="false" customHeight="false" outlineLevel="0" collapsed="false">
      <c r="A349" s="12"/>
      <c r="B349" s="13"/>
      <c r="C349" s="14"/>
      <c r="D349" s="15"/>
      <c r="E349" s="13"/>
      <c r="F349" s="16" t="str">
        <f aca="false">IF(D349="","",IF(E349="Döviz",D349*Özet!$C$4,D349))</f>
        <v/>
      </c>
    </row>
    <row r="350" customFormat="false" ht="15" hidden="false" customHeight="false" outlineLevel="0" collapsed="false">
      <c r="A350" s="12"/>
      <c r="B350" s="13"/>
      <c r="C350" s="14"/>
      <c r="D350" s="15"/>
      <c r="E350" s="13"/>
      <c r="F350" s="16" t="str">
        <f aca="false">IF(D350="","",IF(E350="Döviz",D350*Özet!$C$4,D350))</f>
        <v/>
      </c>
    </row>
    <row r="351" customFormat="false" ht="15" hidden="false" customHeight="false" outlineLevel="0" collapsed="false">
      <c r="A351" s="12"/>
      <c r="B351" s="13"/>
      <c r="C351" s="14"/>
      <c r="D351" s="15"/>
      <c r="E351" s="13"/>
      <c r="F351" s="16" t="str">
        <f aca="false">IF(D351="","",IF(E351="Döviz",D351*Özet!$C$4,D351))</f>
        <v/>
      </c>
    </row>
    <row r="352" customFormat="false" ht="15" hidden="false" customHeight="false" outlineLevel="0" collapsed="false">
      <c r="A352" s="12"/>
      <c r="B352" s="13"/>
      <c r="C352" s="14"/>
      <c r="D352" s="15"/>
      <c r="E352" s="13"/>
      <c r="F352" s="16" t="str">
        <f aca="false">IF(D352="","",IF(E352="Döviz",D352*Özet!$C$4,D352))</f>
        <v/>
      </c>
    </row>
    <row r="353" customFormat="false" ht="15" hidden="false" customHeight="false" outlineLevel="0" collapsed="false">
      <c r="A353" s="12"/>
      <c r="B353" s="13"/>
      <c r="C353" s="14"/>
      <c r="D353" s="15"/>
      <c r="E353" s="13"/>
      <c r="F353" s="16" t="str">
        <f aca="false">IF(D353="","",IF(E353="Döviz",D353*Özet!$C$4,D353))</f>
        <v/>
      </c>
    </row>
    <row r="354" customFormat="false" ht="15" hidden="false" customHeight="false" outlineLevel="0" collapsed="false">
      <c r="A354" s="12"/>
      <c r="B354" s="13"/>
      <c r="C354" s="14"/>
      <c r="D354" s="15"/>
      <c r="E354" s="13"/>
      <c r="F354" s="16" t="str">
        <f aca="false">IF(D354="","",IF(E354="Döviz",D354*Özet!$C$4,D354))</f>
        <v/>
      </c>
    </row>
    <row r="355" customFormat="false" ht="15" hidden="false" customHeight="false" outlineLevel="0" collapsed="false">
      <c r="A355" s="12"/>
      <c r="B355" s="13"/>
      <c r="C355" s="14"/>
      <c r="D355" s="15"/>
      <c r="E355" s="13"/>
      <c r="F355" s="16" t="str">
        <f aca="false">IF(D355="","",IF(E355="Döviz",D355*Özet!$C$4,D355))</f>
        <v/>
      </c>
    </row>
    <row r="356" customFormat="false" ht="15" hidden="false" customHeight="false" outlineLevel="0" collapsed="false">
      <c r="A356" s="12"/>
      <c r="B356" s="13"/>
      <c r="C356" s="14"/>
      <c r="D356" s="15"/>
      <c r="E356" s="13"/>
      <c r="F356" s="16" t="str">
        <f aca="false">IF(D356="","",IF(E356="Döviz",D356*Özet!$C$4,D356))</f>
        <v/>
      </c>
    </row>
    <row r="357" customFormat="false" ht="15" hidden="false" customHeight="false" outlineLevel="0" collapsed="false">
      <c r="A357" s="12"/>
      <c r="B357" s="13"/>
      <c r="C357" s="14"/>
      <c r="D357" s="15"/>
      <c r="E357" s="13"/>
      <c r="F357" s="16" t="str">
        <f aca="false">IF(D357="","",IF(E357="Döviz",D357*Özet!$C$4,D357))</f>
        <v/>
      </c>
    </row>
    <row r="358" customFormat="false" ht="15" hidden="false" customHeight="false" outlineLevel="0" collapsed="false">
      <c r="A358" s="12"/>
      <c r="B358" s="13"/>
      <c r="C358" s="14"/>
      <c r="D358" s="15"/>
      <c r="E358" s="13"/>
      <c r="F358" s="16" t="str">
        <f aca="false">IF(D358="","",IF(E358="Döviz",D358*Özet!$C$4,D358))</f>
        <v/>
      </c>
    </row>
    <row r="359" customFormat="false" ht="15" hidden="false" customHeight="false" outlineLevel="0" collapsed="false">
      <c r="A359" s="12"/>
      <c r="B359" s="13"/>
      <c r="C359" s="14"/>
      <c r="D359" s="15"/>
      <c r="E359" s="13"/>
      <c r="F359" s="16" t="str">
        <f aca="false">IF(D359="","",IF(E359="Döviz",D359*Özet!$C$4,D359))</f>
        <v/>
      </c>
    </row>
    <row r="360" customFormat="false" ht="15" hidden="false" customHeight="false" outlineLevel="0" collapsed="false">
      <c r="A360" s="12"/>
      <c r="B360" s="13"/>
      <c r="C360" s="14"/>
      <c r="D360" s="15"/>
      <c r="E360" s="13"/>
      <c r="F360" s="16" t="str">
        <f aca="false">IF(D360="","",IF(E360="Döviz",D360*Özet!$C$4,D360))</f>
        <v/>
      </c>
    </row>
    <row r="361" customFormat="false" ht="15" hidden="false" customHeight="false" outlineLevel="0" collapsed="false">
      <c r="A361" s="12"/>
      <c r="B361" s="13"/>
      <c r="C361" s="14"/>
      <c r="D361" s="15"/>
      <c r="E361" s="13"/>
      <c r="F361" s="16" t="str">
        <f aca="false">IF(D361="","",IF(E361="Döviz",D361*Özet!$C$4,D361))</f>
        <v/>
      </c>
    </row>
    <row r="362" customFormat="false" ht="15" hidden="false" customHeight="false" outlineLevel="0" collapsed="false">
      <c r="A362" s="12"/>
      <c r="B362" s="13"/>
      <c r="C362" s="14"/>
      <c r="D362" s="15"/>
      <c r="E362" s="13"/>
      <c r="F362" s="16" t="str">
        <f aca="false">IF(D362="","",IF(E362="Döviz",D362*Özet!$C$4,D362))</f>
        <v/>
      </c>
    </row>
    <row r="363" customFormat="false" ht="15" hidden="false" customHeight="false" outlineLevel="0" collapsed="false">
      <c r="A363" s="12"/>
      <c r="B363" s="13"/>
      <c r="C363" s="14"/>
      <c r="D363" s="15"/>
      <c r="E363" s="13"/>
      <c r="F363" s="16" t="str">
        <f aca="false">IF(D363="","",IF(E363="Döviz",D363*Özet!$C$4,D363))</f>
        <v/>
      </c>
    </row>
    <row r="364" customFormat="false" ht="15" hidden="false" customHeight="false" outlineLevel="0" collapsed="false">
      <c r="A364" s="12"/>
      <c r="B364" s="13"/>
      <c r="C364" s="14"/>
      <c r="D364" s="15"/>
      <c r="E364" s="13"/>
      <c r="F364" s="16" t="str">
        <f aca="false">IF(D364="","",IF(E364="Döviz",D364*Özet!$C$4,D364))</f>
        <v/>
      </c>
    </row>
    <row r="365" customFormat="false" ht="15" hidden="false" customHeight="false" outlineLevel="0" collapsed="false">
      <c r="A365" s="12"/>
      <c r="B365" s="13"/>
      <c r="C365" s="14"/>
      <c r="D365" s="15"/>
      <c r="E365" s="13"/>
      <c r="F365" s="16" t="str">
        <f aca="false">IF(D365="","",IF(E365="Döviz",D365*Özet!$C$4,D365))</f>
        <v/>
      </c>
    </row>
    <row r="366" customFormat="false" ht="15" hidden="false" customHeight="false" outlineLevel="0" collapsed="false">
      <c r="A366" s="12"/>
      <c r="B366" s="13"/>
      <c r="C366" s="14"/>
      <c r="D366" s="15"/>
      <c r="E366" s="13"/>
      <c r="F366" s="16" t="str">
        <f aca="false">IF(D366="","",IF(E366="Döviz",D366*Özet!$C$4,D366))</f>
        <v/>
      </c>
    </row>
    <row r="367" customFormat="false" ht="15" hidden="false" customHeight="false" outlineLevel="0" collapsed="false">
      <c r="A367" s="12"/>
      <c r="B367" s="13"/>
      <c r="C367" s="14"/>
      <c r="D367" s="15"/>
      <c r="E367" s="13"/>
      <c r="F367" s="16" t="str">
        <f aca="false">IF(D367="","",IF(E367="Döviz",D367*Özet!$C$4,D367))</f>
        <v/>
      </c>
    </row>
    <row r="368" customFormat="false" ht="15" hidden="false" customHeight="false" outlineLevel="0" collapsed="false">
      <c r="A368" s="12"/>
      <c r="B368" s="13"/>
      <c r="C368" s="14"/>
      <c r="D368" s="15"/>
      <c r="E368" s="13"/>
      <c r="F368" s="16" t="str">
        <f aca="false">IF(D368="","",IF(E368="Döviz",D368*Özet!$C$4,D368))</f>
        <v/>
      </c>
    </row>
    <row r="369" customFormat="false" ht="15" hidden="false" customHeight="false" outlineLevel="0" collapsed="false">
      <c r="A369" s="12"/>
      <c r="B369" s="13"/>
      <c r="C369" s="14"/>
      <c r="D369" s="15"/>
      <c r="E369" s="13"/>
      <c r="F369" s="16" t="str">
        <f aca="false">IF(D369="","",IF(E369="Döviz",D369*Özet!$C$4,D369))</f>
        <v/>
      </c>
    </row>
    <row r="370" customFormat="false" ht="15" hidden="false" customHeight="false" outlineLevel="0" collapsed="false">
      <c r="A370" s="12"/>
      <c r="B370" s="13"/>
      <c r="C370" s="14"/>
      <c r="D370" s="15"/>
      <c r="E370" s="13"/>
      <c r="F370" s="16" t="str">
        <f aca="false">IF(D370="","",IF(E370="Döviz",D370*Özet!$C$4,D370))</f>
        <v/>
      </c>
    </row>
    <row r="371" customFormat="false" ht="15" hidden="false" customHeight="false" outlineLevel="0" collapsed="false">
      <c r="A371" s="12"/>
      <c r="B371" s="13"/>
      <c r="C371" s="14"/>
      <c r="D371" s="15"/>
      <c r="E371" s="13"/>
      <c r="F371" s="16" t="str">
        <f aca="false">IF(D371="","",IF(E371="Döviz",D371*Özet!$C$4,D371))</f>
        <v/>
      </c>
    </row>
    <row r="372" customFormat="false" ht="15" hidden="false" customHeight="false" outlineLevel="0" collapsed="false">
      <c r="A372" s="12"/>
      <c r="B372" s="13"/>
      <c r="C372" s="14"/>
      <c r="D372" s="15"/>
      <c r="E372" s="13"/>
      <c r="F372" s="16" t="str">
        <f aca="false">IF(D372="","",IF(E372="Döviz",D372*Özet!$C$4,D372))</f>
        <v/>
      </c>
    </row>
    <row r="373" customFormat="false" ht="15" hidden="false" customHeight="false" outlineLevel="0" collapsed="false">
      <c r="A373" s="12"/>
      <c r="B373" s="13"/>
      <c r="C373" s="14"/>
      <c r="D373" s="15"/>
      <c r="E373" s="13"/>
      <c r="F373" s="16" t="str">
        <f aca="false">IF(D373="","",IF(E373="Döviz",D373*Özet!$C$4,D373))</f>
        <v/>
      </c>
    </row>
    <row r="374" customFormat="false" ht="15" hidden="false" customHeight="false" outlineLevel="0" collapsed="false">
      <c r="A374" s="12"/>
      <c r="B374" s="13"/>
      <c r="C374" s="14"/>
      <c r="D374" s="15"/>
      <c r="E374" s="13"/>
      <c r="F374" s="16" t="str">
        <f aca="false">IF(D374="","",IF(E374="Döviz",D374*Özet!$C$4,D374))</f>
        <v/>
      </c>
    </row>
    <row r="375" customFormat="false" ht="15" hidden="false" customHeight="false" outlineLevel="0" collapsed="false">
      <c r="A375" s="12"/>
      <c r="B375" s="13"/>
      <c r="C375" s="14"/>
      <c r="D375" s="15"/>
      <c r="E375" s="13"/>
      <c r="F375" s="16" t="str">
        <f aca="false">IF(D375="","",IF(E375="Döviz",D375*Özet!$C$4,D375))</f>
        <v/>
      </c>
    </row>
    <row r="376" customFormat="false" ht="15" hidden="false" customHeight="false" outlineLevel="0" collapsed="false">
      <c r="A376" s="12"/>
      <c r="B376" s="13"/>
      <c r="C376" s="14"/>
      <c r="D376" s="15"/>
      <c r="E376" s="13"/>
      <c r="F376" s="16" t="str">
        <f aca="false">IF(D376="","",IF(E376="Döviz",D376*Özet!$C$4,D376))</f>
        <v/>
      </c>
    </row>
    <row r="377" customFormat="false" ht="15" hidden="false" customHeight="false" outlineLevel="0" collapsed="false">
      <c r="A377" s="12"/>
      <c r="B377" s="13"/>
      <c r="C377" s="14"/>
      <c r="D377" s="15"/>
      <c r="E377" s="13"/>
      <c r="F377" s="16" t="str">
        <f aca="false">IF(D377="","",IF(E377="Döviz",D377*Özet!$C$4,D377))</f>
        <v/>
      </c>
    </row>
    <row r="378" customFormat="false" ht="15" hidden="false" customHeight="false" outlineLevel="0" collapsed="false">
      <c r="A378" s="12"/>
      <c r="B378" s="13"/>
      <c r="C378" s="14"/>
      <c r="D378" s="15"/>
      <c r="E378" s="13"/>
      <c r="F378" s="16" t="str">
        <f aca="false">IF(D378="","",IF(E378="Döviz",D378*Özet!$C$4,D378))</f>
        <v/>
      </c>
    </row>
    <row r="379" customFormat="false" ht="15" hidden="false" customHeight="false" outlineLevel="0" collapsed="false">
      <c r="A379" s="12"/>
      <c r="B379" s="13"/>
      <c r="C379" s="14"/>
      <c r="D379" s="15"/>
      <c r="E379" s="13"/>
      <c r="F379" s="16" t="str">
        <f aca="false">IF(D379="","",IF(E379="Döviz",D379*Özet!$C$4,D379))</f>
        <v/>
      </c>
    </row>
    <row r="380" customFormat="false" ht="15" hidden="false" customHeight="false" outlineLevel="0" collapsed="false">
      <c r="A380" s="12"/>
      <c r="B380" s="13"/>
      <c r="C380" s="14"/>
      <c r="D380" s="15"/>
      <c r="E380" s="13"/>
      <c r="F380" s="16" t="str">
        <f aca="false">IF(D380="","",IF(E380="Döviz",D380*Özet!$C$4,D380))</f>
        <v/>
      </c>
    </row>
    <row r="381" customFormat="false" ht="15" hidden="false" customHeight="false" outlineLevel="0" collapsed="false">
      <c r="A381" s="12"/>
      <c r="B381" s="13"/>
      <c r="C381" s="14"/>
      <c r="D381" s="15"/>
      <c r="E381" s="13"/>
      <c r="F381" s="16" t="str">
        <f aca="false">IF(D381="","",IF(E381="Döviz",D381*Özet!$C$4,D381))</f>
        <v/>
      </c>
    </row>
    <row r="382" customFormat="false" ht="15" hidden="false" customHeight="false" outlineLevel="0" collapsed="false">
      <c r="A382" s="12"/>
      <c r="B382" s="13"/>
      <c r="C382" s="14"/>
      <c r="D382" s="15"/>
      <c r="E382" s="13"/>
      <c r="F382" s="16" t="str">
        <f aca="false">IF(D382="","",IF(E382="Döviz",D382*Özet!$C$4,D382))</f>
        <v/>
      </c>
    </row>
    <row r="383" customFormat="false" ht="15" hidden="false" customHeight="false" outlineLevel="0" collapsed="false">
      <c r="A383" s="12"/>
      <c r="B383" s="13"/>
      <c r="C383" s="14"/>
      <c r="D383" s="15"/>
      <c r="E383" s="13"/>
      <c r="F383" s="16" t="str">
        <f aca="false">IF(D383="","",IF(E383="Döviz",D383*Özet!$C$4,D383))</f>
        <v/>
      </c>
    </row>
    <row r="384" customFormat="false" ht="15" hidden="false" customHeight="false" outlineLevel="0" collapsed="false">
      <c r="A384" s="12"/>
      <c r="B384" s="13"/>
      <c r="C384" s="14"/>
      <c r="D384" s="15"/>
      <c r="E384" s="13"/>
      <c r="F384" s="16" t="str">
        <f aca="false">IF(D384="","",IF(E384="Döviz",D384*Özet!$C$4,D384))</f>
        <v/>
      </c>
    </row>
    <row r="385" customFormat="false" ht="15" hidden="false" customHeight="false" outlineLevel="0" collapsed="false">
      <c r="A385" s="12"/>
      <c r="B385" s="13"/>
      <c r="C385" s="14"/>
      <c r="D385" s="15"/>
      <c r="E385" s="13"/>
      <c r="F385" s="16" t="str">
        <f aca="false">IF(D385="","",IF(E385="Döviz",D385*Özet!$C$4,D385))</f>
        <v/>
      </c>
    </row>
    <row r="386" customFormat="false" ht="15" hidden="false" customHeight="false" outlineLevel="0" collapsed="false">
      <c r="A386" s="12"/>
      <c r="B386" s="13"/>
      <c r="C386" s="14"/>
      <c r="D386" s="15"/>
      <c r="E386" s="13"/>
      <c r="F386" s="16" t="str">
        <f aca="false">IF(D386="","",IF(E386="Döviz",D386*Özet!$C$4,D386))</f>
        <v/>
      </c>
    </row>
    <row r="387" customFormat="false" ht="15" hidden="false" customHeight="false" outlineLevel="0" collapsed="false">
      <c r="A387" s="12"/>
      <c r="B387" s="13"/>
      <c r="C387" s="14"/>
      <c r="D387" s="15"/>
      <c r="E387" s="13"/>
      <c r="F387" s="16" t="str">
        <f aca="false">IF(D387="","",IF(E387="Döviz",D387*Özet!$C$4,D387))</f>
        <v/>
      </c>
    </row>
    <row r="388" customFormat="false" ht="15" hidden="false" customHeight="false" outlineLevel="0" collapsed="false">
      <c r="A388" s="12"/>
      <c r="B388" s="13"/>
      <c r="C388" s="14"/>
      <c r="D388" s="15"/>
      <c r="E388" s="13"/>
      <c r="F388" s="16" t="str">
        <f aca="false">IF(D388="","",IF(E388="Döviz",D388*Özet!$C$4,D388))</f>
        <v/>
      </c>
    </row>
    <row r="389" customFormat="false" ht="15" hidden="false" customHeight="false" outlineLevel="0" collapsed="false">
      <c r="A389" s="12"/>
      <c r="B389" s="13"/>
      <c r="C389" s="14"/>
      <c r="D389" s="15"/>
      <c r="E389" s="13"/>
      <c r="F389" s="16" t="str">
        <f aca="false">IF(D389="","",IF(E389="Döviz",D389*Özet!$C$4,D389))</f>
        <v/>
      </c>
    </row>
    <row r="390" customFormat="false" ht="15" hidden="false" customHeight="false" outlineLevel="0" collapsed="false">
      <c r="A390" s="12"/>
      <c r="B390" s="13"/>
      <c r="C390" s="14"/>
      <c r="D390" s="15"/>
      <c r="E390" s="13"/>
      <c r="F390" s="16" t="str">
        <f aca="false">IF(D390="","",IF(E390="Döviz",D390*Özet!$C$4,D390))</f>
        <v/>
      </c>
    </row>
    <row r="391" customFormat="false" ht="15" hidden="false" customHeight="false" outlineLevel="0" collapsed="false">
      <c r="A391" s="12"/>
      <c r="B391" s="13"/>
      <c r="C391" s="14"/>
      <c r="D391" s="15"/>
      <c r="E391" s="13"/>
      <c r="F391" s="16" t="str">
        <f aca="false">IF(D391="","",IF(E391="Döviz",D391*Özet!$C$4,D391))</f>
        <v/>
      </c>
    </row>
    <row r="392" customFormat="false" ht="15" hidden="false" customHeight="false" outlineLevel="0" collapsed="false">
      <c r="A392" s="12"/>
      <c r="B392" s="13"/>
      <c r="C392" s="14"/>
      <c r="D392" s="15"/>
      <c r="E392" s="13"/>
      <c r="F392" s="16" t="str">
        <f aca="false">IF(D392="","",IF(E392="Döviz",D392*Özet!$C$4,D392))</f>
        <v/>
      </c>
    </row>
    <row r="393" customFormat="false" ht="15" hidden="false" customHeight="false" outlineLevel="0" collapsed="false">
      <c r="A393" s="12"/>
      <c r="B393" s="13"/>
      <c r="C393" s="14"/>
      <c r="D393" s="15"/>
      <c r="E393" s="13"/>
      <c r="F393" s="16" t="str">
        <f aca="false">IF(D393="","",IF(E393="Döviz",D393*Özet!$C$4,D393))</f>
        <v/>
      </c>
    </row>
    <row r="394" customFormat="false" ht="15" hidden="false" customHeight="false" outlineLevel="0" collapsed="false">
      <c r="A394" s="12"/>
      <c r="B394" s="13"/>
      <c r="C394" s="14"/>
      <c r="D394" s="15"/>
      <c r="E394" s="13"/>
      <c r="F394" s="16" t="str">
        <f aca="false">IF(D394="","",IF(E394="Döviz",D394*Özet!$C$4,D394))</f>
        <v/>
      </c>
    </row>
    <row r="395" customFormat="false" ht="15" hidden="false" customHeight="false" outlineLevel="0" collapsed="false">
      <c r="A395" s="12"/>
      <c r="B395" s="13"/>
      <c r="C395" s="14"/>
      <c r="D395" s="15"/>
      <c r="E395" s="13"/>
      <c r="F395" s="16" t="str">
        <f aca="false">IF(D395="","",IF(E395="Döviz",D395*Özet!$C$4,D395))</f>
        <v/>
      </c>
    </row>
    <row r="396" customFormat="false" ht="15" hidden="false" customHeight="false" outlineLevel="0" collapsed="false">
      <c r="A396" s="12"/>
      <c r="B396" s="13"/>
      <c r="C396" s="14"/>
      <c r="D396" s="15"/>
      <c r="E396" s="13"/>
      <c r="F396" s="16" t="str">
        <f aca="false">IF(D396="","",IF(E396="Döviz",D396*Özet!$C$4,D396))</f>
        <v/>
      </c>
    </row>
    <row r="397" customFormat="false" ht="15" hidden="false" customHeight="false" outlineLevel="0" collapsed="false">
      <c r="A397" s="12"/>
      <c r="B397" s="13"/>
      <c r="C397" s="14"/>
      <c r="D397" s="15"/>
      <c r="E397" s="13"/>
      <c r="F397" s="16" t="str">
        <f aca="false">IF(D397="","",IF(E397="Döviz",D397*Özet!$C$4,D397))</f>
        <v/>
      </c>
    </row>
    <row r="398" customFormat="false" ht="15" hidden="false" customHeight="false" outlineLevel="0" collapsed="false">
      <c r="A398" s="12"/>
      <c r="B398" s="13"/>
      <c r="C398" s="14"/>
      <c r="D398" s="15"/>
      <c r="E398" s="13"/>
      <c r="F398" s="16" t="str">
        <f aca="false">IF(D398="","",IF(E398="Döviz",D398*Özet!$C$4,D398))</f>
        <v/>
      </c>
    </row>
    <row r="399" customFormat="false" ht="15" hidden="false" customHeight="false" outlineLevel="0" collapsed="false">
      <c r="A399" s="12"/>
      <c r="B399" s="13"/>
      <c r="C399" s="14"/>
      <c r="D399" s="15"/>
      <c r="E399" s="13"/>
      <c r="F399" s="16" t="str">
        <f aca="false">IF(D399="","",IF(E399="Döviz",D399*Özet!$C$4,D399))</f>
        <v/>
      </c>
    </row>
    <row r="400" customFormat="false" ht="15" hidden="false" customHeight="false" outlineLevel="0" collapsed="false">
      <c r="A400" s="12"/>
      <c r="B400" s="13"/>
      <c r="C400" s="14"/>
      <c r="D400" s="15"/>
      <c r="E400" s="13"/>
      <c r="F400" s="16" t="str">
        <f aca="false">IF(D400="","",IF(E400="Döviz",D400*Özet!$C$4,D400))</f>
        <v/>
      </c>
    </row>
    <row r="401" customFormat="false" ht="15" hidden="false" customHeight="false" outlineLevel="0" collapsed="false">
      <c r="A401" s="12"/>
      <c r="B401" s="13"/>
      <c r="C401" s="14"/>
      <c r="D401" s="15"/>
      <c r="E401" s="13"/>
      <c r="F401" s="16" t="str">
        <f aca="false">IF(D401="","",IF(E401="Döviz",D401*Özet!$C$4,D401))</f>
        <v/>
      </c>
    </row>
    <row r="402" customFormat="false" ht="15" hidden="false" customHeight="false" outlineLevel="0" collapsed="false">
      <c r="A402" s="12"/>
      <c r="B402" s="13"/>
      <c r="C402" s="14"/>
      <c r="D402" s="15"/>
      <c r="E402" s="13"/>
      <c r="F402" s="16" t="str">
        <f aca="false">IF(D402="","",IF(E402="Döviz",D402*Özet!$C$4,D402))</f>
        <v/>
      </c>
    </row>
    <row r="403" customFormat="false" ht="15" hidden="false" customHeight="false" outlineLevel="0" collapsed="false">
      <c r="A403" s="12"/>
      <c r="B403" s="13"/>
      <c r="C403" s="14"/>
      <c r="D403" s="15"/>
      <c r="E403" s="13"/>
      <c r="F403" s="16" t="str">
        <f aca="false">IF(D403="","",IF(E403="Döviz",D403*Özet!$C$4,D403))</f>
        <v/>
      </c>
    </row>
    <row r="404" customFormat="false" ht="15" hidden="false" customHeight="false" outlineLevel="0" collapsed="false">
      <c r="A404" s="12"/>
      <c r="B404" s="13"/>
      <c r="C404" s="14"/>
      <c r="D404" s="15"/>
      <c r="E404" s="13"/>
      <c r="F404" s="16" t="str">
        <f aca="false">IF(D404="","",IF(E404="Döviz",D404*Özet!$C$4,D404))</f>
        <v/>
      </c>
    </row>
    <row r="405" customFormat="false" ht="15" hidden="false" customHeight="false" outlineLevel="0" collapsed="false">
      <c r="A405" s="12"/>
      <c r="B405" s="13"/>
      <c r="C405" s="14"/>
      <c r="D405" s="15"/>
      <c r="E405" s="13"/>
      <c r="F405" s="16" t="str">
        <f aca="false">IF(D405="","",IF(E405="Döviz",D405*Özet!$C$4,D405))</f>
        <v/>
      </c>
    </row>
    <row r="406" customFormat="false" ht="15" hidden="false" customHeight="false" outlineLevel="0" collapsed="false">
      <c r="A406" s="12"/>
      <c r="B406" s="13"/>
      <c r="C406" s="14"/>
      <c r="D406" s="15"/>
      <c r="E406" s="13"/>
      <c r="F406" s="16" t="str">
        <f aca="false">IF(D406="","",IF(E406="Döviz",D406*Özet!$C$4,D406))</f>
        <v/>
      </c>
    </row>
    <row r="407" customFormat="false" ht="15" hidden="false" customHeight="false" outlineLevel="0" collapsed="false">
      <c r="A407" s="12"/>
      <c r="B407" s="13"/>
      <c r="C407" s="14"/>
      <c r="D407" s="15"/>
      <c r="E407" s="13"/>
      <c r="F407" s="16" t="str">
        <f aca="false">IF(D407="","",IF(E407="Döviz",D407*Özet!$C$4,D407))</f>
        <v/>
      </c>
    </row>
    <row r="408" customFormat="false" ht="15" hidden="false" customHeight="false" outlineLevel="0" collapsed="false">
      <c r="A408" s="12"/>
      <c r="B408" s="13"/>
      <c r="C408" s="14"/>
      <c r="D408" s="15"/>
      <c r="E408" s="13"/>
      <c r="F408" s="16" t="str">
        <f aca="false">IF(D408="","",IF(E408="Döviz",D408*Özet!$C$4,D408))</f>
        <v/>
      </c>
    </row>
    <row r="409" customFormat="false" ht="15" hidden="false" customHeight="false" outlineLevel="0" collapsed="false">
      <c r="A409" s="12"/>
      <c r="B409" s="13"/>
      <c r="C409" s="14"/>
      <c r="D409" s="15"/>
      <c r="E409" s="13"/>
      <c r="F409" s="16" t="str">
        <f aca="false">IF(D409="","",IF(E409="Döviz",D409*Özet!$C$4,D409))</f>
        <v/>
      </c>
    </row>
    <row r="410" customFormat="false" ht="15" hidden="false" customHeight="false" outlineLevel="0" collapsed="false">
      <c r="A410" s="12"/>
      <c r="B410" s="13"/>
      <c r="C410" s="14"/>
      <c r="D410" s="15"/>
      <c r="E410" s="13"/>
      <c r="F410" s="16" t="str">
        <f aca="false">IF(D410="","",IF(E410="Döviz",D410*Özet!$C$4,D410))</f>
        <v/>
      </c>
    </row>
    <row r="411" customFormat="false" ht="15" hidden="false" customHeight="false" outlineLevel="0" collapsed="false">
      <c r="A411" s="12"/>
      <c r="B411" s="13"/>
      <c r="C411" s="14"/>
      <c r="D411" s="15"/>
      <c r="E411" s="13"/>
      <c r="F411" s="16" t="str">
        <f aca="false">IF(D411="","",IF(E411="Döviz",D411*Özet!$C$4,D411))</f>
        <v/>
      </c>
    </row>
    <row r="412" customFormat="false" ht="15" hidden="false" customHeight="false" outlineLevel="0" collapsed="false">
      <c r="A412" s="12"/>
      <c r="B412" s="13"/>
      <c r="C412" s="14"/>
      <c r="D412" s="15"/>
      <c r="E412" s="13"/>
      <c r="F412" s="16" t="str">
        <f aca="false">IF(D412="","",IF(E412="Döviz",D412*Özet!$C$4,D412))</f>
        <v/>
      </c>
    </row>
    <row r="413" customFormat="false" ht="15" hidden="false" customHeight="false" outlineLevel="0" collapsed="false">
      <c r="A413" s="12"/>
      <c r="B413" s="13"/>
      <c r="C413" s="14"/>
      <c r="D413" s="15"/>
      <c r="E413" s="13"/>
      <c r="F413" s="16" t="str">
        <f aca="false">IF(D413="","",IF(E413="Döviz",D413*Özet!$C$4,D413))</f>
        <v/>
      </c>
    </row>
    <row r="414" customFormat="false" ht="15" hidden="false" customHeight="false" outlineLevel="0" collapsed="false">
      <c r="A414" s="12"/>
      <c r="B414" s="13"/>
      <c r="C414" s="14"/>
      <c r="D414" s="15"/>
      <c r="E414" s="13"/>
      <c r="F414" s="16" t="str">
        <f aca="false">IF(D414="","",IF(E414="Döviz",D414*Özet!$C$4,D414))</f>
        <v/>
      </c>
    </row>
    <row r="415" customFormat="false" ht="15" hidden="false" customHeight="false" outlineLevel="0" collapsed="false">
      <c r="A415" s="12"/>
      <c r="B415" s="13"/>
      <c r="C415" s="14"/>
      <c r="D415" s="15"/>
      <c r="E415" s="13"/>
      <c r="F415" s="16" t="str">
        <f aca="false">IF(D415="","",IF(E415="Döviz",D415*Özet!$C$4,D415))</f>
        <v/>
      </c>
    </row>
    <row r="416" customFormat="false" ht="15" hidden="false" customHeight="false" outlineLevel="0" collapsed="false">
      <c r="A416" s="12"/>
      <c r="B416" s="13"/>
      <c r="C416" s="14"/>
      <c r="D416" s="15"/>
      <c r="E416" s="13"/>
      <c r="F416" s="16" t="str">
        <f aca="false">IF(D416="","",IF(E416="Döviz",D416*Özet!$C$4,D416))</f>
        <v/>
      </c>
    </row>
    <row r="417" customFormat="false" ht="15" hidden="false" customHeight="false" outlineLevel="0" collapsed="false">
      <c r="A417" s="12"/>
      <c r="B417" s="13"/>
      <c r="C417" s="14"/>
      <c r="D417" s="15"/>
      <c r="E417" s="13"/>
      <c r="F417" s="16" t="str">
        <f aca="false">IF(D417="","",IF(E417="Döviz",D417*Özet!$C$4,D417))</f>
        <v/>
      </c>
    </row>
    <row r="418" customFormat="false" ht="15" hidden="false" customHeight="false" outlineLevel="0" collapsed="false">
      <c r="A418" s="12"/>
      <c r="B418" s="13"/>
      <c r="C418" s="14"/>
      <c r="D418" s="15"/>
      <c r="E418" s="13"/>
      <c r="F418" s="16" t="str">
        <f aca="false">IF(D418="","",IF(E418="Döviz",D418*Özet!$C$4,D418))</f>
        <v/>
      </c>
    </row>
    <row r="419" customFormat="false" ht="15" hidden="false" customHeight="false" outlineLevel="0" collapsed="false">
      <c r="A419" s="12"/>
      <c r="B419" s="13"/>
      <c r="C419" s="14"/>
      <c r="D419" s="15"/>
      <c r="E419" s="13"/>
      <c r="F419" s="16" t="str">
        <f aca="false">IF(D419="","",IF(E419="Döviz",D419*Özet!$C$4,D419))</f>
        <v/>
      </c>
    </row>
    <row r="420" customFormat="false" ht="15" hidden="false" customHeight="false" outlineLevel="0" collapsed="false">
      <c r="A420" s="12"/>
      <c r="B420" s="13"/>
      <c r="C420" s="14"/>
      <c r="D420" s="15"/>
      <c r="E420" s="13"/>
      <c r="F420" s="16" t="str">
        <f aca="false">IF(D420="","",IF(E420="Döviz",D420*Özet!$C$4,D420))</f>
        <v/>
      </c>
    </row>
    <row r="421" customFormat="false" ht="15" hidden="false" customHeight="false" outlineLevel="0" collapsed="false">
      <c r="A421" s="12"/>
      <c r="B421" s="13"/>
      <c r="C421" s="14"/>
      <c r="D421" s="15"/>
      <c r="E421" s="13"/>
      <c r="F421" s="16" t="str">
        <f aca="false">IF(D421="","",IF(E421="Döviz",D421*Özet!$C$4,D421))</f>
        <v/>
      </c>
    </row>
    <row r="422" customFormat="false" ht="15" hidden="false" customHeight="false" outlineLevel="0" collapsed="false">
      <c r="A422" s="12"/>
      <c r="B422" s="13"/>
      <c r="C422" s="14"/>
      <c r="D422" s="15"/>
      <c r="E422" s="13"/>
      <c r="F422" s="16" t="str">
        <f aca="false">IF(D422="","",IF(E422="Döviz",D422*Özet!$C$4,D422))</f>
        <v/>
      </c>
    </row>
    <row r="423" customFormat="false" ht="15" hidden="false" customHeight="false" outlineLevel="0" collapsed="false">
      <c r="A423" s="12"/>
      <c r="B423" s="13"/>
      <c r="C423" s="14"/>
      <c r="D423" s="15"/>
      <c r="E423" s="13"/>
      <c r="F423" s="16" t="str">
        <f aca="false">IF(D423="","",IF(E423="Döviz",D423*Özet!$C$4,D423))</f>
        <v/>
      </c>
    </row>
    <row r="424" customFormat="false" ht="15" hidden="false" customHeight="false" outlineLevel="0" collapsed="false">
      <c r="A424" s="12"/>
      <c r="B424" s="13"/>
      <c r="C424" s="14"/>
      <c r="D424" s="15"/>
      <c r="E424" s="13"/>
      <c r="F424" s="16" t="str">
        <f aca="false">IF(D424="","",IF(E424="Döviz",D424*Özet!$C$4,D424))</f>
        <v/>
      </c>
    </row>
    <row r="425" customFormat="false" ht="15" hidden="false" customHeight="false" outlineLevel="0" collapsed="false">
      <c r="A425" s="12"/>
      <c r="B425" s="13"/>
      <c r="C425" s="14"/>
      <c r="D425" s="15"/>
      <c r="E425" s="13"/>
      <c r="F425" s="16" t="str">
        <f aca="false">IF(D425="","",IF(E425="Döviz",D425*Özet!$C$4,D425))</f>
        <v/>
      </c>
    </row>
    <row r="426" customFormat="false" ht="15" hidden="false" customHeight="false" outlineLevel="0" collapsed="false">
      <c r="A426" s="12"/>
      <c r="B426" s="13"/>
      <c r="C426" s="14"/>
      <c r="D426" s="15"/>
      <c r="E426" s="13"/>
      <c r="F426" s="16" t="str">
        <f aca="false">IF(D426="","",IF(E426="Döviz",D426*Özet!$C$4,D426))</f>
        <v/>
      </c>
    </row>
    <row r="427" customFormat="false" ht="15" hidden="false" customHeight="false" outlineLevel="0" collapsed="false">
      <c r="A427" s="12"/>
      <c r="B427" s="13"/>
      <c r="C427" s="14"/>
      <c r="D427" s="15"/>
      <c r="E427" s="13"/>
      <c r="F427" s="16" t="str">
        <f aca="false">IF(D427="","",IF(E427="Döviz",D427*Özet!$C$4,D427))</f>
        <v/>
      </c>
    </row>
    <row r="428" customFormat="false" ht="15" hidden="false" customHeight="false" outlineLevel="0" collapsed="false">
      <c r="A428" s="12"/>
      <c r="B428" s="13"/>
      <c r="C428" s="14"/>
      <c r="D428" s="15"/>
      <c r="E428" s="13"/>
      <c r="F428" s="16" t="str">
        <f aca="false">IF(D428="","",IF(E428="Döviz",D428*Özet!$C$4,D428))</f>
        <v/>
      </c>
    </row>
    <row r="429" customFormat="false" ht="15" hidden="false" customHeight="false" outlineLevel="0" collapsed="false">
      <c r="A429" s="12"/>
      <c r="B429" s="13"/>
      <c r="C429" s="14"/>
      <c r="D429" s="15"/>
      <c r="E429" s="13"/>
      <c r="F429" s="16" t="str">
        <f aca="false">IF(D429="","",IF(E429="Döviz",D429*Özet!$C$4,D429))</f>
        <v/>
      </c>
    </row>
    <row r="430" customFormat="false" ht="15" hidden="false" customHeight="false" outlineLevel="0" collapsed="false">
      <c r="A430" s="12"/>
      <c r="B430" s="13"/>
      <c r="C430" s="14"/>
      <c r="D430" s="15"/>
      <c r="E430" s="13"/>
      <c r="F430" s="16" t="str">
        <f aca="false">IF(D430="","",IF(E430="Döviz",D430*Özet!$C$4,D430))</f>
        <v/>
      </c>
    </row>
    <row r="431" customFormat="false" ht="15" hidden="false" customHeight="false" outlineLevel="0" collapsed="false">
      <c r="A431" s="12"/>
      <c r="B431" s="13"/>
      <c r="C431" s="14"/>
      <c r="D431" s="15"/>
      <c r="E431" s="13"/>
      <c r="F431" s="16" t="str">
        <f aca="false">IF(D431="","",IF(E431="Döviz",D431*Özet!$C$4,D431))</f>
        <v/>
      </c>
    </row>
    <row r="432" customFormat="false" ht="15" hidden="false" customHeight="false" outlineLevel="0" collapsed="false">
      <c r="A432" s="12"/>
      <c r="B432" s="13"/>
      <c r="C432" s="14"/>
      <c r="D432" s="15"/>
      <c r="E432" s="13"/>
      <c r="F432" s="16" t="str">
        <f aca="false">IF(D432="","",IF(E432="Döviz",D432*Özet!$C$4,D432))</f>
        <v/>
      </c>
    </row>
    <row r="433" customFormat="false" ht="15" hidden="false" customHeight="false" outlineLevel="0" collapsed="false">
      <c r="A433" s="12"/>
      <c r="B433" s="13"/>
      <c r="C433" s="14"/>
      <c r="D433" s="15"/>
      <c r="E433" s="13"/>
      <c r="F433" s="16" t="str">
        <f aca="false">IF(D433="","",IF(E433="Döviz",D433*Özet!$C$4,D433))</f>
        <v/>
      </c>
    </row>
    <row r="434" customFormat="false" ht="15" hidden="false" customHeight="false" outlineLevel="0" collapsed="false">
      <c r="A434" s="12"/>
      <c r="B434" s="13"/>
      <c r="C434" s="14"/>
      <c r="D434" s="15"/>
      <c r="E434" s="13"/>
      <c r="F434" s="16" t="str">
        <f aca="false">IF(D434="","",IF(E434="Döviz",D434*Özet!$C$4,D434))</f>
        <v/>
      </c>
    </row>
    <row r="435" customFormat="false" ht="15" hidden="false" customHeight="false" outlineLevel="0" collapsed="false">
      <c r="A435" s="12"/>
      <c r="B435" s="13"/>
      <c r="C435" s="14"/>
      <c r="D435" s="15"/>
      <c r="E435" s="13"/>
      <c r="F435" s="16" t="str">
        <f aca="false">IF(D435="","",IF(E435="Döviz",D435*Özet!$C$4,D435))</f>
        <v/>
      </c>
    </row>
    <row r="436" customFormat="false" ht="15" hidden="false" customHeight="false" outlineLevel="0" collapsed="false">
      <c r="A436" s="12"/>
      <c r="B436" s="13"/>
      <c r="C436" s="14"/>
      <c r="D436" s="15"/>
      <c r="E436" s="13"/>
      <c r="F436" s="16" t="str">
        <f aca="false">IF(D436="","",IF(E436="Döviz",D436*Özet!$C$4,D436))</f>
        <v/>
      </c>
    </row>
    <row r="437" customFormat="false" ht="15" hidden="false" customHeight="false" outlineLevel="0" collapsed="false">
      <c r="A437" s="12"/>
      <c r="B437" s="13"/>
      <c r="C437" s="14"/>
      <c r="D437" s="15"/>
      <c r="E437" s="13"/>
      <c r="F437" s="16" t="str">
        <f aca="false">IF(D437="","",IF(E437="Döviz",D437*Özet!$C$4,D437))</f>
        <v/>
      </c>
    </row>
    <row r="438" customFormat="false" ht="15" hidden="false" customHeight="false" outlineLevel="0" collapsed="false">
      <c r="A438" s="12"/>
      <c r="B438" s="13"/>
      <c r="C438" s="14"/>
      <c r="D438" s="15"/>
      <c r="E438" s="13"/>
      <c r="F438" s="16" t="str">
        <f aca="false">IF(D438="","",IF(E438="Döviz",D438*Özet!$C$4,D438))</f>
        <v/>
      </c>
    </row>
    <row r="439" customFormat="false" ht="15" hidden="false" customHeight="false" outlineLevel="0" collapsed="false">
      <c r="A439" s="12"/>
      <c r="B439" s="13"/>
      <c r="C439" s="14"/>
      <c r="D439" s="15"/>
      <c r="E439" s="13"/>
      <c r="F439" s="16" t="str">
        <f aca="false">IF(D439="","",IF(E439="Döviz",D439*Özet!$C$4,D439))</f>
        <v/>
      </c>
    </row>
    <row r="440" customFormat="false" ht="15" hidden="false" customHeight="false" outlineLevel="0" collapsed="false">
      <c r="A440" s="12"/>
      <c r="B440" s="13"/>
      <c r="C440" s="14"/>
      <c r="D440" s="15"/>
      <c r="E440" s="13"/>
      <c r="F440" s="16" t="str">
        <f aca="false">IF(D440="","",IF(E440="Döviz",D440*Özet!$C$4,D440))</f>
        <v/>
      </c>
    </row>
    <row r="441" customFormat="false" ht="15" hidden="false" customHeight="false" outlineLevel="0" collapsed="false">
      <c r="A441" s="12"/>
      <c r="B441" s="13"/>
      <c r="C441" s="14"/>
      <c r="D441" s="15"/>
      <c r="E441" s="13"/>
      <c r="F441" s="16" t="str">
        <f aca="false">IF(D441="","",IF(E441="Döviz",D441*Özet!$C$4,D441))</f>
        <v/>
      </c>
    </row>
    <row r="442" customFormat="false" ht="15" hidden="false" customHeight="false" outlineLevel="0" collapsed="false">
      <c r="A442" s="12"/>
      <c r="B442" s="13"/>
      <c r="C442" s="14"/>
      <c r="D442" s="15"/>
      <c r="E442" s="13"/>
      <c r="F442" s="16" t="str">
        <f aca="false">IF(D442="","",IF(E442="Döviz",D442*Özet!$C$4,D442))</f>
        <v/>
      </c>
    </row>
    <row r="443" customFormat="false" ht="15" hidden="false" customHeight="false" outlineLevel="0" collapsed="false">
      <c r="A443" s="12"/>
      <c r="B443" s="13"/>
      <c r="C443" s="14"/>
      <c r="D443" s="15"/>
      <c r="E443" s="13"/>
      <c r="F443" s="16" t="str">
        <f aca="false">IF(D443="","",IF(E443="Döviz",D443*Özet!$C$4,D443))</f>
        <v/>
      </c>
    </row>
    <row r="444" customFormat="false" ht="15" hidden="false" customHeight="false" outlineLevel="0" collapsed="false">
      <c r="A444" s="12"/>
      <c r="B444" s="13"/>
      <c r="C444" s="14"/>
      <c r="D444" s="15"/>
      <c r="E444" s="13"/>
      <c r="F444" s="16" t="str">
        <f aca="false">IF(D444="","",IF(E444="Döviz",D444*Özet!$C$4,D444))</f>
        <v/>
      </c>
    </row>
    <row r="445" customFormat="false" ht="15" hidden="false" customHeight="false" outlineLevel="0" collapsed="false">
      <c r="A445" s="12"/>
      <c r="B445" s="13"/>
      <c r="C445" s="14"/>
      <c r="D445" s="15"/>
      <c r="E445" s="13"/>
      <c r="F445" s="16" t="str">
        <f aca="false">IF(D445="","",IF(E445="Döviz",D445*Özet!$C$4,D445))</f>
        <v/>
      </c>
    </row>
    <row r="446" customFormat="false" ht="15" hidden="false" customHeight="false" outlineLevel="0" collapsed="false">
      <c r="A446" s="12"/>
      <c r="B446" s="13"/>
      <c r="C446" s="14"/>
      <c r="D446" s="15"/>
      <c r="E446" s="13"/>
      <c r="F446" s="16" t="str">
        <f aca="false">IF(D446="","",IF(E446="Döviz",D446*Özet!$C$4,D446))</f>
        <v/>
      </c>
    </row>
    <row r="447" customFormat="false" ht="15" hidden="false" customHeight="false" outlineLevel="0" collapsed="false">
      <c r="A447" s="12"/>
      <c r="B447" s="13"/>
      <c r="C447" s="14"/>
      <c r="D447" s="15"/>
      <c r="E447" s="13"/>
      <c r="F447" s="16" t="str">
        <f aca="false">IF(D447="","",IF(E447="Döviz",D447*Özet!$C$4,D447))</f>
        <v/>
      </c>
    </row>
    <row r="448" customFormat="false" ht="15" hidden="false" customHeight="false" outlineLevel="0" collapsed="false">
      <c r="A448" s="12"/>
      <c r="B448" s="13"/>
      <c r="C448" s="14"/>
      <c r="D448" s="15"/>
      <c r="E448" s="13"/>
      <c r="F448" s="16" t="str">
        <f aca="false">IF(D448="","",IF(E448="Döviz",D448*Özet!$C$4,D448))</f>
        <v/>
      </c>
    </row>
    <row r="449" customFormat="false" ht="15" hidden="false" customHeight="false" outlineLevel="0" collapsed="false">
      <c r="A449" s="12"/>
      <c r="B449" s="13"/>
      <c r="C449" s="14"/>
      <c r="D449" s="15"/>
      <c r="E449" s="13"/>
      <c r="F449" s="16" t="str">
        <f aca="false">IF(D449="","",IF(E449="Döviz",D449*Özet!$C$4,D449))</f>
        <v/>
      </c>
    </row>
    <row r="450" customFormat="false" ht="15" hidden="false" customHeight="false" outlineLevel="0" collapsed="false">
      <c r="A450" s="12"/>
      <c r="B450" s="13"/>
      <c r="C450" s="14"/>
      <c r="D450" s="15"/>
      <c r="E450" s="13"/>
      <c r="F450" s="16" t="str">
        <f aca="false">IF(D450="","",IF(E450="Döviz",D450*Özet!$C$4,D450))</f>
        <v/>
      </c>
    </row>
    <row r="451" customFormat="false" ht="15" hidden="false" customHeight="false" outlineLevel="0" collapsed="false">
      <c r="A451" s="12"/>
      <c r="B451" s="13"/>
      <c r="C451" s="14"/>
      <c r="D451" s="15"/>
      <c r="E451" s="13"/>
      <c r="F451" s="16" t="str">
        <f aca="false">IF(D451="","",IF(E451="Döviz",D451*Özet!$C$4,D451))</f>
        <v/>
      </c>
    </row>
    <row r="452" customFormat="false" ht="15" hidden="false" customHeight="false" outlineLevel="0" collapsed="false">
      <c r="A452" s="12"/>
      <c r="B452" s="13"/>
      <c r="C452" s="14"/>
      <c r="D452" s="15"/>
      <c r="E452" s="13"/>
      <c r="F452" s="16" t="str">
        <f aca="false">IF(D452="","",IF(E452="Döviz",D452*Özet!$C$4,D452))</f>
        <v/>
      </c>
    </row>
    <row r="453" customFormat="false" ht="15" hidden="false" customHeight="false" outlineLevel="0" collapsed="false">
      <c r="A453" s="12"/>
      <c r="B453" s="13"/>
      <c r="C453" s="14"/>
      <c r="D453" s="15"/>
      <c r="E453" s="13"/>
      <c r="F453" s="16" t="str">
        <f aca="false">IF(D453="","",IF(E453="Döviz",D453*Özet!$C$4,D453))</f>
        <v/>
      </c>
    </row>
    <row r="454" customFormat="false" ht="15" hidden="false" customHeight="false" outlineLevel="0" collapsed="false">
      <c r="A454" s="12"/>
      <c r="B454" s="13"/>
      <c r="C454" s="14"/>
      <c r="D454" s="15"/>
      <c r="E454" s="13"/>
      <c r="F454" s="16" t="str">
        <f aca="false">IF(D454="","",IF(E454="Döviz",D454*Özet!$C$4,D454))</f>
        <v/>
      </c>
    </row>
    <row r="455" customFormat="false" ht="15" hidden="false" customHeight="false" outlineLevel="0" collapsed="false">
      <c r="A455" s="12"/>
      <c r="B455" s="13"/>
      <c r="C455" s="14"/>
      <c r="D455" s="15"/>
      <c r="E455" s="13"/>
      <c r="F455" s="16" t="str">
        <f aca="false">IF(D455="","",IF(E455="Döviz",D455*Özet!$C$4,D455))</f>
        <v/>
      </c>
    </row>
    <row r="456" customFormat="false" ht="15" hidden="false" customHeight="false" outlineLevel="0" collapsed="false">
      <c r="A456" s="12"/>
      <c r="B456" s="13"/>
      <c r="C456" s="14"/>
      <c r="D456" s="15"/>
      <c r="E456" s="13"/>
      <c r="F456" s="16" t="str">
        <f aca="false">IF(D456="","",IF(E456="Döviz",D456*Özet!$C$4,D456))</f>
        <v/>
      </c>
    </row>
    <row r="457" customFormat="false" ht="15" hidden="false" customHeight="false" outlineLevel="0" collapsed="false">
      <c r="A457" s="12"/>
      <c r="B457" s="13"/>
      <c r="C457" s="14"/>
      <c r="D457" s="15"/>
      <c r="E457" s="13"/>
      <c r="F457" s="16" t="str">
        <f aca="false">IF(D457="","",IF(E457="Döviz",D457*Özet!$C$4,D457))</f>
        <v/>
      </c>
    </row>
    <row r="458" customFormat="false" ht="15" hidden="false" customHeight="false" outlineLevel="0" collapsed="false">
      <c r="A458" s="12"/>
      <c r="B458" s="13"/>
      <c r="C458" s="14"/>
      <c r="D458" s="15"/>
      <c r="E458" s="13"/>
      <c r="F458" s="16" t="str">
        <f aca="false">IF(D458="","",IF(E458="Döviz",D458*Özet!$C$4,D458))</f>
        <v/>
      </c>
    </row>
    <row r="459" customFormat="false" ht="15" hidden="false" customHeight="false" outlineLevel="0" collapsed="false">
      <c r="A459" s="12"/>
      <c r="B459" s="13"/>
      <c r="C459" s="14"/>
      <c r="D459" s="15"/>
      <c r="E459" s="13"/>
      <c r="F459" s="16" t="str">
        <f aca="false">IF(D459="","",IF(E459="Döviz",D459*Özet!$C$4,D459))</f>
        <v/>
      </c>
    </row>
    <row r="460" customFormat="false" ht="15" hidden="false" customHeight="false" outlineLevel="0" collapsed="false">
      <c r="A460" s="12"/>
      <c r="B460" s="13"/>
      <c r="C460" s="14"/>
      <c r="D460" s="15"/>
      <c r="E460" s="13"/>
      <c r="F460" s="16" t="str">
        <f aca="false">IF(D460="","",IF(E460="Döviz",D460*Özet!$C$4,D460))</f>
        <v/>
      </c>
    </row>
    <row r="461" customFormat="false" ht="15" hidden="false" customHeight="false" outlineLevel="0" collapsed="false">
      <c r="A461" s="12"/>
      <c r="B461" s="13"/>
      <c r="C461" s="14"/>
      <c r="D461" s="15"/>
      <c r="E461" s="13"/>
      <c r="F461" s="16" t="str">
        <f aca="false">IF(D461="","",IF(E461="Döviz",D461*Özet!$C$4,D461))</f>
        <v/>
      </c>
    </row>
    <row r="462" customFormat="false" ht="15" hidden="false" customHeight="false" outlineLevel="0" collapsed="false">
      <c r="A462" s="12"/>
      <c r="B462" s="13"/>
      <c r="C462" s="14"/>
      <c r="D462" s="15"/>
      <c r="E462" s="13"/>
      <c r="F462" s="16" t="str">
        <f aca="false">IF(D462="","",IF(E462="Döviz",D462*Özet!$C$4,D462))</f>
        <v/>
      </c>
    </row>
    <row r="463" customFormat="false" ht="15" hidden="false" customHeight="false" outlineLevel="0" collapsed="false">
      <c r="A463" s="12"/>
      <c r="B463" s="13"/>
      <c r="C463" s="14"/>
      <c r="D463" s="15"/>
      <c r="E463" s="13"/>
      <c r="F463" s="16" t="str">
        <f aca="false">IF(D463="","",IF(E463="Döviz",D463*Özet!$C$4,D463))</f>
        <v/>
      </c>
    </row>
    <row r="464" customFormat="false" ht="15" hidden="false" customHeight="false" outlineLevel="0" collapsed="false">
      <c r="A464" s="12"/>
      <c r="B464" s="13"/>
      <c r="C464" s="14"/>
      <c r="D464" s="15"/>
      <c r="E464" s="13"/>
      <c r="F464" s="16" t="str">
        <f aca="false">IF(D464="","",IF(E464="Döviz",D464*Özet!$C$4,D464))</f>
        <v/>
      </c>
    </row>
    <row r="465" customFormat="false" ht="15" hidden="false" customHeight="false" outlineLevel="0" collapsed="false">
      <c r="A465" s="12"/>
      <c r="B465" s="13"/>
      <c r="C465" s="14"/>
      <c r="D465" s="15"/>
      <c r="E465" s="13"/>
      <c r="F465" s="16" t="str">
        <f aca="false">IF(D465="","",IF(E465="Döviz",D465*Özet!$C$4,D465))</f>
        <v/>
      </c>
    </row>
    <row r="466" customFormat="false" ht="15" hidden="false" customHeight="false" outlineLevel="0" collapsed="false">
      <c r="A466" s="12"/>
      <c r="B466" s="13"/>
      <c r="C466" s="14"/>
      <c r="D466" s="15"/>
      <c r="E466" s="13"/>
      <c r="F466" s="16" t="str">
        <f aca="false">IF(D466="","",IF(E466="Döviz",D466*Özet!$C$4,D466))</f>
        <v/>
      </c>
    </row>
    <row r="467" customFormat="false" ht="15" hidden="false" customHeight="false" outlineLevel="0" collapsed="false">
      <c r="A467" s="12"/>
      <c r="B467" s="13"/>
      <c r="C467" s="14"/>
      <c r="D467" s="15"/>
      <c r="E467" s="13"/>
      <c r="F467" s="16" t="str">
        <f aca="false">IF(D467="","",IF(E467="Döviz",D467*Özet!$C$4,D467))</f>
        <v/>
      </c>
    </row>
    <row r="468" customFormat="false" ht="15" hidden="false" customHeight="false" outlineLevel="0" collapsed="false">
      <c r="A468" s="12"/>
      <c r="B468" s="13"/>
      <c r="C468" s="14"/>
      <c r="D468" s="15"/>
      <c r="E468" s="13"/>
      <c r="F468" s="16" t="str">
        <f aca="false">IF(D468="","",IF(E468="Döviz",D468*Özet!$C$4,D468))</f>
        <v/>
      </c>
    </row>
    <row r="469" customFormat="false" ht="15" hidden="false" customHeight="false" outlineLevel="0" collapsed="false">
      <c r="A469" s="12"/>
      <c r="B469" s="13"/>
      <c r="C469" s="14"/>
      <c r="D469" s="15"/>
      <c r="E469" s="13"/>
      <c r="F469" s="16" t="str">
        <f aca="false">IF(D469="","",IF(E469="Döviz",D469*Özet!$C$4,D469))</f>
        <v/>
      </c>
    </row>
    <row r="470" customFormat="false" ht="15" hidden="false" customHeight="false" outlineLevel="0" collapsed="false">
      <c r="A470" s="12"/>
      <c r="B470" s="13"/>
      <c r="C470" s="14"/>
      <c r="D470" s="15"/>
      <c r="E470" s="13"/>
      <c r="F470" s="16" t="str">
        <f aca="false">IF(D470="","",IF(E470="Döviz",D470*Özet!$C$4,D470))</f>
        <v/>
      </c>
    </row>
    <row r="471" customFormat="false" ht="15" hidden="false" customHeight="false" outlineLevel="0" collapsed="false">
      <c r="A471" s="12"/>
      <c r="B471" s="13"/>
      <c r="C471" s="14"/>
      <c r="D471" s="15"/>
      <c r="E471" s="13"/>
      <c r="F471" s="16" t="str">
        <f aca="false">IF(D471="","",IF(E471="Döviz",D471*Özet!$C$4,D471))</f>
        <v/>
      </c>
    </row>
    <row r="472" customFormat="false" ht="15" hidden="false" customHeight="false" outlineLevel="0" collapsed="false">
      <c r="A472" s="12"/>
      <c r="B472" s="13"/>
      <c r="C472" s="14"/>
      <c r="D472" s="15"/>
      <c r="E472" s="13"/>
      <c r="F472" s="16" t="str">
        <f aca="false">IF(D472="","",IF(E472="Döviz",D472*Özet!$C$4,D472))</f>
        <v/>
      </c>
    </row>
    <row r="473" customFormat="false" ht="15" hidden="false" customHeight="false" outlineLevel="0" collapsed="false">
      <c r="A473" s="12"/>
      <c r="B473" s="13"/>
      <c r="C473" s="14"/>
      <c r="D473" s="15"/>
      <c r="E473" s="13"/>
      <c r="F473" s="16" t="str">
        <f aca="false">IF(D473="","",IF(E473="Döviz",D473*Özet!$C$4,D473))</f>
        <v/>
      </c>
    </row>
    <row r="474" customFormat="false" ht="15" hidden="false" customHeight="false" outlineLevel="0" collapsed="false">
      <c r="A474" s="12"/>
      <c r="B474" s="13"/>
      <c r="C474" s="14"/>
      <c r="D474" s="15"/>
      <c r="E474" s="13"/>
      <c r="F474" s="16" t="str">
        <f aca="false">IF(D474="","",IF(E474="Döviz",D474*Özet!$C$4,D474))</f>
        <v/>
      </c>
    </row>
    <row r="475" customFormat="false" ht="15" hidden="false" customHeight="false" outlineLevel="0" collapsed="false">
      <c r="A475" s="12"/>
      <c r="B475" s="13"/>
      <c r="C475" s="14"/>
      <c r="D475" s="15"/>
      <c r="E475" s="13"/>
      <c r="F475" s="16" t="str">
        <f aca="false">IF(D475="","",IF(E475="Döviz",D475*Özet!$C$4,D475))</f>
        <v/>
      </c>
    </row>
    <row r="476" customFormat="false" ht="15" hidden="false" customHeight="false" outlineLevel="0" collapsed="false">
      <c r="A476" s="12"/>
      <c r="B476" s="13"/>
      <c r="C476" s="14"/>
      <c r="D476" s="15"/>
      <c r="E476" s="13"/>
      <c r="F476" s="16" t="str">
        <f aca="false">IF(D476="","",IF(E476="Döviz",D476*Özet!$C$4,D476))</f>
        <v/>
      </c>
    </row>
    <row r="477" customFormat="false" ht="15" hidden="false" customHeight="false" outlineLevel="0" collapsed="false">
      <c r="A477" s="12"/>
      <c r="B477" s="13"/>
      <c r="C477" s="14"/>
      <c r="D477" s="15"/>
      <c r="E477" s="13"/>
      <c r="F477" s="16" t="str">
        <f aca="false">IF(D477="","",IF(E477="Döviz",D477*Özet!$C$4,D477))</f>
        <v/>
      </c>
    </row>
    <row r="478" customFormat="false" ht="15" hidden="false" customHeight="false" outlineLevel="0" collapsed="false">
      <c r="A478" s="12"/>
      <c r="B478" s="13"/>
      <c r="C478" s="14"/>
      <c r="D478" s="15"/>
      <c r="E478" s="13"/>
      <c r="F478" s="16" t="str">
        <f aca="false">IF(D478="","",IF(E478="Döviz",D478*Özet!$C$4,D478))</f>
        <v/>
      </c>
    </row>
    <row r="479" customFormat="false" ht="15" hidden="false" customHeight="false" outlineLevel="0" collapsed="false">
      <c r="A479" s="12"/>
      <c r="B479" s="13"/>
      <c r="C479" s="14"/>
      <c r="D479" s="15"/>
      <c r="E479" s="13"/>
      <c r="F479" s="16" t="str">
        <f aca="false">IF(D479="","",IF(E479="Döviz",D479*Özet!$C$4,D479))</f>
        <v/>
      </c>
    </row>
    <row r="480" customFormat="false" ht="15" hidden="false" customHeight="false" outlineLevel="0" collapsed="false">
      <c r="A480" s="12"/>
      <c r="B480" s="13"/>
      <c r="C480" s="14"/>
      <c r="D480" s="15"/>
      <c r="E480" s="13"/>
      <c r="F480" s="16" t="str">
        <f aca="false">IF(D480="","",IF(E480="Döviz",D480*Özet!$C$4,D480))</f>
        <v/>
      </c>
    </row>
    <row r="481" customFormat="false" ht="15" hidden="false" customHeight="false" outlineLevel="0" collapsed="false">
      <c r="A481" s="12"/>
      <c r="B481" s="13"/>
      <c r="C481" s="14"/>
      <c r="D481" s="15"/>
      <c r="E481" s="13"/>
      <c r="F481" s="16" t="str">
        <f aca="false">IF(D481="","",IF(E481="Döviz",D481*Özet!$C$4,D481))</f>
        <v/>
      </c>
    </row>
    <row r="482" customFormat="false" ht="15" hidden="false" customHeight="false" outlineLevel="0" collapsed="false">
      <c r="A482" s="12"/>
      <c r="B482" s="13"/>
      <c r="C482" s="14"/>
      <c r="D482" s="15"/>
      <c r="E482" s="13"/>
      <c r="F482" s="16" t="str">
        <f aca="false">IF(D482="","",IF(E482="Döviz",D482*Özet!$C$4,D482))</f>
        <v/>
      </c>
    </row>
    <row r="483" customFormat="false" ht="15" hidden="false" customHeight="false" outlineLevel="0" collapsed="false">
      <c r="A483" s="12"/>
      <c r="B483" s="13"/>
      <c r="C483" s="14"/>
      <c r="D483" s="15"/>
      <c r="E483" s="13"/>
      <c r="F483" s="16" t="str">
        <f aca="false">IF(D483="","",IF(E483="Döviz",D483*Özet!$C$4,D483))</f>
        <v/>
      </c>
    </row>
    <row r="484" customFormat="false" ht="15" hidden="false" customHeight="false" outlineLevel="0" collapsed="false">
      <c r="A484" s="12"/>
      <c r="B484" s="13"/>
      <c r="C484" s="14"/>
      <c r="D484" s="15"/>
      <c r="E484" s="13"/>
      <c r="F484" s="16" t="str">
        <f aca="false">IF(D484="","",IF(E484="Döviz",D484*Özet!$C$4,D484))</f>
        <v/>
      </c>
    </row>
    <row r="485" customFormat="false" ht="15" hidden="false" customHeight="false" outlineLevel="0" collapsed="false">
      <c r="A485" s="12"/>
      <c r="B485" s="13"/>
      <c r="C485" s="14"/>
      <c r="D485" s="15"/>
      <c r="E485" s="13"/>
      <c r="F485" s="16" t="str">
        <f aca="false">IF(D485="","",IF(E485="Döviz",D485*Özet!$C$4,D485))</f>
        <v/>
      </c>
    </row>
    <row r="486" customFormat="false" ht="15" hidden="false" customHeight="false" outlineLevel="0" collapsed="false">
      <c r="A486" s="12"/>
      <c r="B486" s="13"/>
      <c r="C486" s="14"/>
      <c r="D486" s="15"/>
      <c r="E486" s="13"/>
      <c r="F486" s="16" t="str">
        <f aca="false">IF(D486="","",IF(E486="Döviz",D486*Özet!$C$4,D486))</f>
        <v/>
      </c>
    </row>
    <row r="487" customFormat="false" ht="15" hidden="false" customHeight="false" outlineLevel="0" collapsed="false">
      <c r="A487" s="12"/>
      <c r="B487" s="13"/>
      <c r="C487" s="14"/>
      <c r="D487" s="15"/>
      <c r="E487" s="13"/>
      <c r="F487" s="16" t="str">
        <f aca="false">IF(D487="","",IF(E487="Döviz",D487*Özet!$C$4,D487))</f>
        <v/>
      </c>
    </row>
    <row r="488" customFormat="false" ht="15" hidden="false" customHeight="false" outlineLevel="0" collapsed="false">
      <c r="A488" s="12"/>
      <c r="B488" s="13"/>
      <c r="C488" s="14"/>
      <c r="D488" s="15"/>
      <c r="E488" s="13"/>
      <c r="F488" s="16" t="str">
        <f aca="false">IF(D488="","",IF(E488="Döviz",D488*Özet!$C$4,D488))</f>
        <v/>
      </c>
    </row>
    <row r="489" customFormat="false" ht="15" hidden="false" customHeight="false" outlineLevel="0" collapsed="false">
      <c r="A489" s="12"/>
      <c r="B489" s="13"/>
      <c r="C489" s="14"/>
      <c r="D489" s="15"/>
      <c r="E489" s="13"/>
      <c r="F489" s="16" t="str">
        <f aca="false">IF(D489="","",IF(E489="Döviz",D489*Özet!$C$4,D489))</f>
        <v/>
      </c>
    </row>
    <row r="490" customFormat="false" ht="15" hidden="false" customHeight="false" outlineLevel="0" collapsed="false">
      <c r="A490" s="12"/>
      <c r="B490" s="13"/>
      <c r="C490" s="14"/>
      <c r="D490" s="15"/>
      <c r="E490" s="13"/>
      <c r="F490" s="16" t="str">
        <f aca="false">IF(D490="","",IF(E490="Döviz",D490*Özet!$C$4,D490))</f>
        <v/>
      </c>
    </row>
    <row r="491" customFormat="false" ht="15" hidden="false" customHeight="false" outlineLevel="0" collapsed="false">
      <c r="A491" s="12"/>
      <c r="B491" s="13"/>
      <c r="C491" s="14"/>
      <c r="D491" s="15"/>
      <c r="E491" s="13"/>
      <c r="F491" s="16" t="str">
        <f aca="false">IF(D491="","",IF(E491="Döviz",D491*Özet!$C$4,D491))</f>
        <v/>
      </c>
    </row>
    <row r="492" customFormat="false" ht="15" hidden="false" customHeight="false" outlineLevel="0" collapsed="false">
      <c r="A492" s="12"/>
      <c r="B492" s="13"/>
      <c r="C492" s="14"/>
      <c r="D492" s="15"/>
      <c r="E492" s="13"/>
      <c r="F492" s="16" t="str">
        <f aca="false">IF(D492="","",IF(E492="Döviz",D492*Özet!$C$4,D492))</f>
        <v/>
      </c>
    </row>
    <row r="493" customFormat="false" ht="15" hidden="false" customHeight="false" outlineLevel="0" collapsed="false">
      <c r="A493" s="12"/>
      <c r="B493" s="13"/>
      <c r="C493" s="14"/>
      <c r="D493" s="15"/>
      <c r="E493" s="13"/>
      <c r="F493" s="16" t="str">
        <f aca="false">IF(D493="","",IF(E493="Döviz",D493*Özet!$C$4,D493))</f>
        <v/>
      </c>
    </row>
    <row r="494" customFormat="false" ht="15" hidden="false" customHeight="false" outlineLevel="0" collapsed="false">
      <c r="A494" s="12"/>
      <c r="B494" s="13"/>
      <c r="C494" s="14"/>
      <c r="D494" s="15"/>
      <c r="E494" s="13"/>
      <c r="F494" s="16" t="str">
        <f aca="false">IF(D494="","",IF(E494="Döviz",D494*Özet!$C$4,D494))</f>
        <v/>
      </c>
    </row>
    <row r="495" customFormat="false" ht="15" hidden="false" customHeight="false" outlineLevel="0" collapsed="false">
      <c r="A495" s="12"/>
      <c r="B495" s="13"/>
      <c r="C495" s="14"/>
      <c r="D495" s="15"/>
      <c r="E495" s="13"/>
      <c r="F495" s="16" t="str">
        <f aca="false">IF(D495="","",IF(E495="Döviz",D495*Özet!$C$4,D495))</f>
        <v/>
      </c>
    </row>
    <row r="496" customFormat="false" ht="15" hidden="false" customHeight="false" outlineLevel="0" collapsed="false">
      <c r="A496" s="12"/>
      <c r="B496" s="13"/>
      <c r="C496" s="14"/>
      <c r="D496" s="15"/>
      <c r="E496" s="13"/>
      <c r="F496" s="16" t="str">
        <f aca="false">IF(D496="","",IF(E496="Döviz",D496*Özet!$C$4,D496))</f>
        <v/>
      </c>
    </row>
    <row r="497" customFormat="false" ht="15" hidden="false" customHeight="false" outlineLevel="0" collapsed="false">
      <c r="A497" s="12"/>
      <c r="B497" s="13"/>
      <c r="C497" s="14"/>
      <c r="D497" s="15"/>
      <c r="E497" s="13"/>
      <c r="F497" s="16" t="str">
        <f aca="false">IF(D497="","",IF(E497="Döviz",D497*Özet!$C$4,D497))</f>
        <v/>
      </c>
    </row>
    <row r="498" customFormat="false" ht="15" hidden="false" customHeight="false" outlineLevel="0" collapsed="false">
      <c r="A498" s="12"/>
      <c r="B498" s="13"/>
      <c r="C498" s="14"/>
      <c r="D498" s="15"/>
      <c r="E498" s="13"/>
      <c r="F498" s="16" t="str">
        <f aca="false">IF(D498="","",IF(E498="Döviz",D498*Özet!$C$4,D498))</f>
        <v/>
      </c>
    </row>
    <row r="499" customFormat="false" ht="15" hidden="false" customHeight="false" outlineLevel="0" collapsed="false">
      <c r="A499" s="12"/>
      <c r="B499" s="13"/>
      <c r="C499" s="14"/>
      <c r="D499" s="15"/>
      <c r="E499" s="13"/>
      <c r="F499" s="16" t="str">
        <f aca="false">IF(D499="","",IF(E499="Döviz",D499*Özet!$C$4,D499))</f>
        <v/>
      </c>
    </row>
    <row r="500" customFormat="false" ht="15" hidden="false" customHeight="false" outlineLevel="0" collapsed="false">
      <c r="A500" s="12"/>
      <c r="B500" s="13"/>
      <c r="C500" s="14"/>
      <c r="D500" s="15"/>
      <c r="E500" s="13"/>
      <c r="F500" s="16" t="str">
        <f aca="false">IF(D500="","",IF(E500="Döviz",D500*Özet!$C$4,D500))</f>
        <v/>
      </c>
    </row>
    <row r="501" customFormat="false" ht="15" hidden="false" customHeight="false" outlineLevel="0" collapsed="false">
      <c r="A501" s="12"/>
      <c r="B501" s="13"/>
      <c r="C501" s="14"/>
      <c r="D501" s="15"/>
      <c r="E501" s="13"/>
      <c r="F501" s="16" t="str">
        <f aca="false">IF(D501="","",IF(E501="Döviz",D501*Özet!$C$4,D501))</f>
        <v/>
      </c>
    </row>
    <row r="502" customFormat="false" ht="15" hidden="false" customHeight="false" outlineLevel="0" collapsed="false">
      <c r="A502" s="12"/>
      <c r="B502" s="13"/>
      <c r="C502" s="14"/>
      <c r="D502" s="15"/>
      <c r="E502" s="13"/>
      <c r="F502" s="16" t="str">
        <f aca="false">IF(D502="","",IF(E502="Döviz",D502*Özet!$C$4,D502))</f>
        <v/>
      </c>
    </row>
    <row r="503" customFormat="false" ht="15" hidden="false" customHeight="false" outlineLevel="0" collapsed="false">
      <c r="A503" s="12"/>
      <c r="B503" s="13"/>
      <c r="C503" s="14"/>
      <c r="D503" s="15"/>
      <c r="E503" s="13"/>
      <c r="F503" s="16" t="str">
        <f aca="false">IF(D503="","",IF(E503="Döviz",D503*Özet!$C$4,D503))</f>
        <v/>
      </c>
    </row>
    <row r="504" customFormat="false" ht="15" hidden="false" customHeight="false" outlineLevel="0" collapsed="false">
      <c r="A504" s="12"/>
      <c r="B504" s="13"/>
      <c r="C504" s="14"/>
      <c r="D504" s="15"/>
      <c r="E504" s="13"/>
      <c r="F504" s="16" t="str">
        <f aca="false">IF(D504="","",IF(E504="Döviz",D504*Özet!$C$4,D504))</f>
        <v/>
      </c>
    </row>
  </sheetData>
  <dataValidations count="4">
    <dataValidation allowBlank="true" error="Geçerli bir tarih gir (örnek: 05.10.2026)." errorStyle="stop" errorTitle="Kontrol" operator="greaterThan" showDropDown="false" showErrorMessage="true" showInputMessage="false" sqref="A5:A5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50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D5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E5:E504" type="list">
      <formula1>"TL,Döviz"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17"/>
  </cols>
  <sheetData>
    <row r="1" customFormat="false" ht="19.7" hidden="false" customHeight="false" outlineLevel="0" collapsed="false">
      <c r="A1" s="8" t="s">
        <v>42</v>
      </c>
    </row>
    <row r="2" customFormat="false" ht="15" hidden="false" customHeight="false" outlineLevel="0" collapsed="false">
      <c r="A2" s="9" t="s">
        <v>43</v>
      </c>
    </row>
    <row r="4" customFormat="false" ht="27.75" hidden="false" customHeight="true" outlineLevel="0" collapsed="false">
      <c r="A4" s="10" t="s">
        <v>24</v>
      </c>
      <c r="B4" s="10" t="s">
        <v>44</v>
      </c>
      <c r="C4" s="10" t="s">
        <v>45</v>
      </c>
      <c r="D4" s="10" t="s">
        <v>46</v>
      </c>
    </row>
    <row r="5" customFormat="false" ht="15" hidden="false" customHeight="false" outlineLevel="0" collapsed="false">
      <c r="A5" s="12" t="n">
        <v>46204</v>
      </c>
      <c r="B5" s="14" t="s">
        <v>47</v>
      </c>
      <c r="C5" s="14" t="s">
        <v>48</v>
      </c>
      <c r="D5" s="17" t="n">
        <v>3000</v>
      </c>
    </row>
    <row r="6" customFormat="false" ht="15" hidden="false" customHeight="false" outlineLevel="0" collapsed="false">
      <c r="A6" s="12" t="n">
        <v>46205</v>
      </c>
      <c r="B6" s="14" t="s">
        <v>47</v>
      </c>
      <c r="C6" s="14" t="s">
        <v>49</v>
      </c>
      <c r="D6" s="17" t="n">
        <v>4500</v>
      </c>
    </row>
    <row r="7" customFormat="false" ht="15" hidden="false" customHeight="false" outlineLevel="0" collapsed="false">
      <c r="A7" s="12" t="n">
        <v>46206</v>
      </c>
      <c r="B7" s="14" t="s">
        <v>47</v>
      </c>
      <c r="C7" s="14" t="s">
        <v>50</v>
      </c>
      <c r="D7" s="17" t="n">
        <v>4000</v>
      </c>
    </row>
    <row r="8" customFormat="false" ht="15" hidden="false" customHeight="false" outlineLevel="0" collapsed="false">
      <c r="A8" s="12" t="n">
        <v>46207</v>
      </c>
      <c r="B8" s="14" t="s">
        <v>47</v>
      </c>
      <c r="C8" s="14" t="s">
        <v>51</v>
      </c>
      <c r="D8" s="17" t="n">
        <v>2500</v>
      </c>
    </row>
    <row r="9" customFormat="false" ht="15" hidden="false" customHeight="false" outlineLevel="0" collapsed="false">
      <c r="A9" s="12"/>
      <c r="B9" s="14"/>
      <c r="C9" s="14"/>
      <c r="D9" s="17"/>
    </row>
    <row r="10" customFormat="false" ht="15" hidden="false" customHeight="false" outlineLevel="0" collapsed="false">
      <c r="A10" s="12"/>
      <c r="B10" s="14"/>
      <c r="C10" s="14"/>
      <c r="D10" s="17"/>
    </row>
    <row r="11" customFormat="false" ht="15" hidden="false" customHeight="false" outlineLevel="0" collapsed="false">
      <c r="A11" s="12"/>
      <c r="B11" s="14"/>
      <c r="C11" s="14"/>
      <c r="D11" s="17"/>
    </row>
    <row r="12" customFormat="false" ht="15" hidden="false" customHeight="false" outlineLevel="0" collapsed="false">
      <c r="A12" s="12"/>
      <c r="B12" s="14"/>
      <c r="C12" s="14"/>
      <c r="D12" s="17"/>
    </row>
    <row r="13" customFormat="false" ht="15" hidden="false" customHeight="false" outlineLevel="0" collapsed="false">
      <c r="A13" s="12"/>
      <c r="B13" s="14"/>
      <c r="C13" s="14"/>
      <c r="D13" s="17"/>
    </row>
    <row r="14" customFormat="false" ht="15" hidden="false" customHeight="false" outlineLevel="0" collapsed="false">
      <c r="A14" s="12"/>
      <c r="B14" s="14"/>
      <c r="C14" s="14"/>
      <c r="D14" s="17"/>
    </row>
    <row r="15" customFormat="false" ht="15" hidden="false" customHeight="false" outlineLevel="0" collapsed="false">
      <c r="A15" s="12"/>
      <c r="B15" s="14"/>
      <c r="C15" s="14"/>
      <c r="D15" s="17"/>
    </row>
    <row r="16" customFormat="false" ht="15" hidden="false" customHeight="false" outlineLevel="0" collapsed="false">
      <c r="A16" s="12"/>
      <c r="B16" s="14"/>
      <c r="C16" s="14"/>
      <c r="D16" s="17"/>
    </row>
    <row r="17" customFormat="false" ht="15" hidden="false" customHeight="false" outlineLevel="0" collapsed="false">
      <c r="A17" s="12"/>
      <c r="B17" s="14"/>
      <c r="C17" s="14"/>
      <c r="D17" s="17"/>
    </row>
    <row r="18" customFormat="false" ht="15" hidden="false" customHeight="false" outlineLevel="0" collapsed="false">
      <c r="A18" s="12"/>
      <c r="B18" s="14"/>
      <c r="C18" s="14"/>
      <c r="D18" s="17"/>
    </row>
    <row r="19" customFormat="false" ht="15" hidden="false" customHeight="false" outlineLevel="0" collapsed="false">
      <c r="A19" s="12"/>
      <c r="B19" s="14"/>
      <c r="C19" s="14"/>
      <c r="D19" s="17"/>
    </row>
    <row r="20" customFormat="false" ht="15" hidden="false" customHeight="false" outlineLevel="0" collapsed="false">
      <c r="A20" s="12"/>
      <c r="B20" s="14"/>
      <c r="C20" s="14"/>
      <c r="D20" s="17"/>
    </row>
    <row r="21" customFormat="false" ht="15" hidden="false" customHeight="false" outlineLevel="0" collapsed="false">
      <c r="A21" s="12"/>
      <c r="B21" s="14"/>
      <c r="C21" s="14"/>
      <c r="D21" s="17"/>
    </row>
    <row r="22" customFormat="false" ht="15" hidden="false" customHeight="false" outlineLevel="0" collapsed="false">
      <c r="A22" s="12"/>
      <c r="B22" s="14"/>
      <c r="C22" s="14"/>
      <c r="D22" s="17"/>
    </row>
    <row r="23" customFormat="false" ht="15" hidden="false" customHeight="false" outlineLevel="0" collapsed="false">
      <c r="A23" s="12"/>
      <c r="B23" s="14"/>
      <c r="C23" s="14"/>
      <c r="D23" s="17"/>
    </row>
    <row r="24" customFormat="false" ht="15" hidden="false" customHeight="false" outlineLevel="0" collapsed="false">
      <c r="A24" s="12"/>
      <c r="B24" s="14"/>
      <c r="C24" s="14"/>
      <c r="D24" s="17"/>
    </row>
    <row r="25" customFormat="false" ht="15" hidden="false" customHeight="false" outlineLevel="0" collapsed="false">
      <c r="A25" s="12"/>
      <c r="B25" s="14"/>
      <c r="C25" s="14"/>
      <c r="D25" s="17"/>
    </row>
    <row r="26" customFormat="false" ht="15" hidden="false" customHeight="false" outlineLevel="0" collapsed="false">
      <c r="A26" s="12"/>
      <c r="B26" s="14"/>
      <c r="C26" s="14"/>
      <c r="D26" s="17"/>
    </row>
    <row r="27" customFormat="false" ht="15" hidden="false" customHeight="false" outlineLevel="0" collapsed="false">
      <c r="A27" s="12"/>
      <c r="B27" s="14"/>
      <c r="C27" s="14"/>
      <c r="D27" s="17"/>
    </row>
    <row r="28" customFormat="false" ht="15" hidden="false" customHeight="false" outlineLevel="0" collapsed="false">
      <c r="A28" s="12"/>
      <c r="B28" s="14"/>
      <c r="C28" s="14"/>
      <c r="D28" s="17"/>
    </row>
    <row r="29" customFormat="false" ht="15" hidden="false" customHeight="false" outlineLevel="0" collapsed="false">
      <c r="A29" s="12"/>
      <c r="B29" s="14"/>
      <c r="C29" s="14"/>
      <c r="D29" s="17"/>
    </row>
    <row r="30" customFormat="false" ht="15" hidden="false" customHeight="false" outlineLevel="0" collapsed="false">
      <c r="A30" s="12"/>
      <c r="B30" s="14"/>
      <c r="C30" s="14"/>
      <c r="D30" s="17"/>
    </row>
    <row r="31" customFormat="false" ht="15" hidden="false" customHeight="false" outlineLevel="0" collapsed="false">
      <c r="A31" s="12"/>
      <c r="B31" s="14"/>
      <c r="C31" s="14"/>
      <c r="D31" s="17"/>
    </row>
    <row r="32" customFormat="false" ht="15" hidden="false" customHeight="false" outlineLevel="0" collapsed="false">
      <c r="A32" s="12"/>
      <c r="B32" s="14"/>
      <c r="C32" s="14"/>
      <c r="D32" s="17"/>
    </row>
    <row r="33" customFormat="false" ht="15" hidden="false" customHeight="false" outlineLevel="0" collapsed="false">
      <c r="A33" s="12"/>
      <c r="B33" s="14"/>
      <c r="C33" s="14"/>
      <c r="D33" s="17"/>
    </row>
    <row r="34" customFormat="false" ht="15" hidden="false" customHeight="false" outlineLevel="0" collapsed="false">
      <c r="A34" s="12"/>
      <c r="B34" s="14"/>
      <c r="C34" s="14"/>
      <c r="D34" s="17"/>
    </row>
    <row r="35" customFormat="false" ht="15" hidden="false" customHeight="false" outlineLevel="0" collapsed="false">
      <c r="A35" s="12"/>
      <c r="B35" s="14"/>
      <c r="C35" s="14"/>
      <c r="D35" s="17"/>
    </row>
    <row r="36" customFormat="false" ht="15" hidden="false" customHeight="false" outlineLevel="0" collapsed="false">
      <c r="A36" s="12"/>
      <c r="B36" s="14"/>
      <c r="C36" s="14"/>
      <c r="D36" s="17"/>
    </row>
    <row r="37" customFormat="false" ht="15" hidden="false" customHeight="false" outlineLevel="0" collapsed="false">
      <c r="A37" s="12"/>
      <c r="B37" s="14"/>
      <c r="C37" s="14"/>
      <c r="D37" s="17"/>
    </row>
    <row r="38" customFormat="false" ht="15" hidden="false" customHeight="false" outlineLevel="0" collapsed="false">
      <c r="A38" s="12"/>
      <c r="B38" s="14"/>
      <c r="C38" s="14"/>
      <c r="D38" s="17"/>
    </row>
    <row r="39" customFormat="false" ht="15" hidden="false" customHeight="false" outlineLevel="0" collapsed="false">
      <c r="A39" s="12"/>
      <c r="B39" s="14"/>
      <c r="C39" s="14"/>
      <c r="D39" s="17"/>
    </row>
    <row r="40" customFormat="false" ht="15" hidden="false" customHeight="false" outlineLevel="0" collapsed="false">
      <c r="A40" s="12"/>
      <c r="B40" s="14"/>
      <c r="C40" s="14"/>
      <c r="D40" s="17"/>
    </row>
    <row r="41" customFormat="false" ht="15" hidden="false" customHeight="false" outlineLevel="0" collapsed="false">
      <c r="A41" s="12"/>
      <c r="B41" s="14"/>
      <c r="C41" s="14"/>
      <c r="D41" s="17"/>
    </row>
    <row r="42" customFormat="false" ht="15" hidden="false" customHeight="false" outlineLevel="0" collapsed="false">
      <c r="A42" s="12"/>
      <c r="B42" s="14"/>
      <c r="C42" s="14"/>
      <c r="D42" s="17"/>
    </row>
    <row r="43" customFormat="false" ht="15" hidden="false" customHeight="false" outlineLevel="0" collapsed="false">
      <c r="A43" s="12"/>
      <c r="B43" s="14"/>
      <c r="C43" s="14"/>
      <c r="D43" s="17"/>
    </row>
    <row r="44" customFormat="false" ht="15" hidden="false" customHeight="false" outlineLevel="0" collapsed="false">
      <c r="A44" s="12"/>
      <c r="B44" s="14"/>
      <c r="C44" s="14"/>
      <c r="D44" s="17"/>
    </row>
    <row r="45" customFormat="false" ht="15" hidden="false" customHeight="false" outlineLevel="0" collapsed="false">
      <c r="A45" s="12"/>
      <c r="B45" s="14"/>
      <c r="C45" s="14"/>
      <c r="D45" s="17"/>
    </row>
    <row r="46" customFormat="false" ht="15" hidden="false" customHeight="false" outlineLevel="0" collapsed="false">
      <c r="A46" s="12"/>
      <c r="B46" s="14"/>
      <c r="C46" s="14"/>
      <c r="D46" s="17"/>
    </row>
    <row r="47" customFormat="false" ht="15" hidden="false" customHeight="false" outlineLevel="0" collapsed="false">
      <c r="A47" s="12"/>
      <c r="B47" s="14"/>
      <c r="C47" s="14"/>
      <c r="D47" s="17"/>
    </row>
    <row r="48" customFormat="false" ht="15" hidden="false" customHeight="false" outlineLevel="0" collapsed="false">
      <c r="A48" s="12"/>
      <c r="B48" s="14"/>
      <c r="C48" s="14"/>
      <c r="D48" s="17"/>
    </row>
    <row r="49" customFormat="false" ht="15" hidden="false" customHeight="false" outlineLevel="0" collapsed="false">
      <c r="A49" s="12"/>
      <c r="B49" s="14"/>
      <c r="C49" s="14"/>
      <c r="D49" s="17"/>
    </row>
    <row r="50" customFormat="false" ht="15" hidden="false" customHeight="false" outlineLevel="0" collapsed="false">
      <c r="A50" s="12"/>
      <c r="B50" s="14"/>
      <c r="C50" s="14"/>
      <c r="D50" s="17"/>
    </row>
    <row r="51" customFormat="false" ht="15" hidden="false" customHeight="false" outlineLevel="0" collapsed="false">
      <c r="A51" s="12"/>
      <c r="B51" s="14"/>
      <c r="C51" s="14"/>
      <c r="D51" s="17"/>
    </row>
    <row r="52" customFormat="false" ht="15" hidden="false" customHeight="false" outlineLevel="0" collapsed="false">
      <c r="A52" s="12"/>
      <c r="B52" s="14"/>
      <c r="C52" s="14"/>
      <c r="D52" s="17"/>
    </row>
    <row r="53" customFormat="false" ht="15" hidden="false" customHeight="false" outlineLevel="0" collapsed="false">
      <c r="A53" s="12"/>
      <c r="B53" s="14"/>
      <c r="C53" s="14"/>
      <c r="D53" s="17"/>
    </row>
    <row r="54" customFormat="false" ht="15" hidden="false" customHeight="false" outlineLevel="0" collapsed="false">
      <c r="A54" s="12"/>
      <c r="B54" s="14"/>
      <c r="C54" s="14"/>
      <c r="D54" s="17"/>
    </row>
    <row r="55" customFormat="false" ht="15" hidden="false" customHeight="false" outlineLevel="0" collapsed="false">
      <c r="A55" s="12"/>
      <c r="B55" s="14"/>
      <c r="C55" s="14"/>
      <c r="D55" s="17"/>
    </row>
    <row r="56" customFormat="false" ht="15" hidden="false" customHeight="false" outlineLevel="0" collapsed="false">
      <c r="A56" s="12"/>
      <c r="B56" s="14"/>
      <c r="C56" s="14"/>
      <c r="D56" s="17"/>
    </row>
    <row r="57" customFormat="false" ht="15" hidden="false" customHeight="false" outlineLevel="0" collapsed="false">
      <c r="A57" s="12"/>
      <c r="B57" s="14"/>
      <c r="C57" s="14"/>
      <c r="D57" s="17"/>
    </row>
    <row r="58" customFormat="false" ht="15" hidden="false" customHeight="false" outlineLevel="0" collapsed="false">
      <c r="A58" s="12"/>
      <c r="B58" s="14"/>
      <c r="C58" s="14"/>
      <c r="D58" s="17"/>
    </row>
    <row r="59" customFormat="false" ht="15" hidden="false" customHeight="false" outlineLevel="0" collapsed="false">
      <c r="A59" s="12"/>
      <c r="B59" s="14"/>
      <c r="C59" s="14"/>
      <c r="D59" s="17"/>
    </row>
    <row r="60" customFormat="false" ht="15" hidden="false" customHeight="false" outlineLevel="0" collapsed="false">
      <c r="A60" s="12"/>
      <c r="B60" s="14"/>
      <c r="C60" s="14"/>
      <c r="D60" s="17"/>
    </row>
    <row r="61" customFormat="false" ht="15" hidden="false" customHeight="false" outlineLevel="0" collapsed="false">
      <c r="A61" s="12"/>
      <c r="B61" s="14"/>
      <c r="C61" s="14"/>
      <c r="D61" s="17"/>
    </row>
    <row r="62" customFormat="false" ht="15" hidden="false" customHeight="false" outlineLevel="0" collapsed="false">
      <c r="A62" s="12"/>
      <c r="B62" s="14"/>
      <c r="C62" s="14"/>
      <c r="D62" s="17"/>
    </row>
    <row r="63" customFormat="false" ht="15" hidden="false" customHeight="false" outlineLevel="0" collapsed="false">
      <c r="A63" s="12"/>
      <c r="B63" s="14"/>
      <c r="C63" s="14"/>
      <c r="D63" s="17"/>
    </row>
    <row r="64" customFormat="false" ht="15" hidden="false" customHeight="false" outlineLevel="0" collapsed="false">
      <c r="A64" s="12"/>
      <c r="B64" s="14"/>
      <c r="C64" s="14"/>
      <c r="D64" s="17"/>
    </row>
  </sheetData>
  <dataValidations count="2">
    <dataValidation allowBlank="true" error="Geçerli bir tarih gir (örnek: 05.10.2026)." errorStyle="stop" errorTitle="Kontrol" operator="greaterThan" showDropDown="false" showErrorMessage="true" showInputMessage="false" sqref="A5:A64" type="date">
      <formula1>36526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D5:D6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52</v>
      </c>
    </row>
    <row r="2" customFormat="false" ht="15" hidden="false" customHeight="false" outlineLevel="0" collapsed="false">
      <c r="A2" s="9" t="s">
        <v>53</v>
      </c>
    </row>
    <row r="3" customFormat="false" ht="15" hidden="false" customHeight="false" outlineLevel="0" collapsed="false">
      <c r="B3" s="18" t="s">
        <v>54</v>
      </c>
      <c r="C3" s="19" t="n">
        <v>60000</v>
      </c>
    </row>
    <row r="4" customFormat="false" ht="15" hidden="false" customHeight="false" outlineLevel="0" collapsed="false">
      <c r="B4" s="18" t="s">
        <v>55</v>
      </c>
      <c r="C4" s="20" t="n">
        <v>50</v>
      </c>
      <c r="D4" s="9" t="s">
        <v>56</v>
      </c>
    </row>
    <row r="5" customFormat="false" ht="15" hidden="false" customHeight="false" outlineLevel="0" collapsed="false">
      <c r="B5" s="18" t="s">
        <v>57</v>
      </c>
      <c r="C5" s="21" t="n">
        <v>2</v>
      </c>
    </row>
    <row r="7" customFormat="false" ht="30" hidden="false" customHeight="true" outlineLevel="0" collapsed="false">
      <c r="B7" s="22" t="s">
        <v>58</v>
      </c>
      <c r="C7" s="22" t="s">
        <v>59</v>
      </c>
      <c r="D7" s="22" t="s">
        <v>60</v>
      </c>
      <c r="E7" s="22" t="s">
        <v>13</v>
      </c>
      <c r="F7" s="22" t="s">
        <v>61</v>
      </c>
    </row>
    <row r="8" customFormat="false" ht="27.75" hidden="false" customHeight="true" outlineLevel="0" collapsed="false">
      <c r="B8" s="23" t="n">
        <f aca="false">SUM(Harcamalar!$F$5:$F$504)</f>
        <v>34950</v>
      </c>
      <c r="C8" s="23" t="n">
        <f aca="false">C3-SUM(Harcamalar!$F$5:$F$504)</f>
        <v>25050</v>
      </c>
      <c r="D8" s="23" t="n">
        <f aca="false">IF(C5=0,0,SUM(Harcamalar!$F$5:$F$504)/C5)</f>
        <v>17475</v>
      </c>
      <c r="E8" s="23" t="n">
        <f aca="false">IF(COUNT(Harcamalar!$A$5:$A$504)=0,0,SUM(Harcamalar!$F$5:$F$504)/(MAX(Harcamalar!$A$5:$A$504)-MIN(Harcamalar!$A$5:$A$504)+1))</f>
        <v>8737.5</v>
      </c>
      <c r="F8" s="23" t="n">
        <f aca="false">SUM(Plan!$D$5:$D$64)</f>
        <v>14000</v>
      </c>
    </row>
    <row r="10" customFormat="false" ht="15" hidden="false" customHeight="false" outlineLevel="0" collapsed="false">
      <c r="B10" s="24" t="s">
        <v>62</v>
      </c>
    </row>
    <row r="11" customFormat="false" ht="21.75" hidden="false" customHeight="true" outlineLevel="0" collapsed="false">
      <c r="B11" s="10" t="s">
        <v>25</v>
      </c>
      <c r="C11" s="10" t="s">
        <v>63</v>
      </c>
      <c r="D11" s="10" t="s">
        <v>64</v>
      </c>
    </row>
    <row r="12" customFormat="false" ht="15" hidden="false" customHeight="false" outlineLevel="0" collapsed="false">
      <c r="B12" s="25" t="str">
        <f aca="false">IF(Listeler!A5="","",Listeler!A5)</f>
        <v>Ulaşım</v>
      </c>
      <c r="C12" s="16" t="n">
        <f aca="false">IF(B12="","",SUMIFS(Harcamalar!$F$5:$F$504,Harcamalar!$B$5:$B$504,B12))</f>
        <v>18000</v>
      </c>
      <c r="D12" s="26" t="n">
        <f aca="false">IF(B12="","",IF($B$8=0,0,SUMIFS(Harcamalar!$F$5:$F$504,Harcamalar!$B$5:$B$504,B12)/$B$8))</f>
        <v>0.515021459227468</v>
      </c>
    </row>
    <row r="13" customFormat="false" ht="15" hidden="false" customHeight="false" outlineLevel="0" collapsed="false">
      <c r="B13" s="27" t="str">
        <f aca="false">IF(Listeler!A6="","",Listeler!A6)</f>
        <v>Konaklama</v>
      </c>
      <c r="C13" s="28" t="n">
        <f aca="false">IF(B13="","",SUMIFS(Harcamalar!$F$5:$F$504,Harcamalar!$B$5:$B$504,B13))</f>
        <v>12000</v>
      </c>
      <c r="D13" s="29" t="n">
        <f aca="false">IF(B13="","",IF($B$8=0,0,SUMIFS(Harcamalar!$F$5:$F$504,Harcamalar!$B$5:$B$504,B13)/$B$8))</f>
        <v>0.343347639484979</v>
      </c>
    </row>
    <row r="14" customFormat="false" ht="15" hidden="false" customHeight="false" outlineLevel="0" collapsed="false">
      <c r="B14" s="25" t="str">
        <f aca="false">IF(Listeler!A7="","",Listeler!A7)</f>
        <v>Yemek</v>
      </c>
      <c r="C14" s="16" t="n">
        <f aca="false">IF(B14="","",SUMIFS(Harcamalar!$F$5:$F$504,Harcamalar!$B$5:$B$504,B14))</f>
        <v>1750</v>
      </c>
      <c r="D14" s="26" t="n">
        <f aca="false">IF(B14="","",IF($B$8=0,0,SUMIFS(Harcamalar!$F$5:$F$504,Harcamalar!$B$5:$B$504,B14)/$B$8))</f>
        <v>0.050071530758226</v>
      </c>
    </row>
    <row r="15" customFormat="false" ht="15" hidden="false" customHeight="false" outlineLevel="0" collapsed="false">
      <c r="B15" s="27" t="str">
        <f aca="false">IF(Listeler!A8="","",Listeler!A8)</f>
        <v>Gezi ve müze</v>
      </c>
      <c r="C15" s="28" t="n">
        <f aca="false">IF(B15="","",SUMIFS(Harcamalar!$F$5:$F$504,Harcamalar!$B$5:$B$504,B15))</f>
        <v>2000</v>
      </c>
      <c r="D15" s="29" t="n">
        <f aca="false">IF(B15="","",IF($B$8=0,0,SUMIFS(Harcamalar!$F$5:$F$504,Harcamalar!$B$5:$B$504,B15)/$B$8))</f>
        <v>0.0572246065808298</v>
      </c>
    </row>
    <row r="16" customFormat="false" ht="15" hidden="false" customHeight="false" outlineLevel="0" collapsed="false">
      <c r="B16" s="25" t="str">
        <f aca="false">IF(Listeler!A9="","",Listeler!A9)</f>
        <v>Alışveriş</v>
      </c>
      <c r="C16" s="16" t="n">
        <f aca="false">IF(B16="","",SUMIFS(Harcamalar!$F$5:$F$504,Harcamalar!$B$5:$B$504,B16))</f>
        <v>1200</v>
      </c>
      <c r="D16" s="26" t="n">
        <f aca="false">IF(B16="","",IF($B$8=0,0,SUMIFS(Harcamalar!$F$5:$F$504,Harcamalar!$B$5:$B$504,B16)/$B$8))</f>
        <v>0.0343347639484979</v>
      </c>
    </row>
    <row r="17" customFormat="false" ht="15" hidden="false" customHeight="false" outlineLevel="0" collapsed="false">
      <c r="B17" s="27" t="str">
        <f aca="false">IF(Listeler!A10="","",Listeler!A10)</f>
        <v>Diğer</v>
      </c>
      <c r="C17" s="28" t="n">
        <f aca="false">IF(B17="","",SUMIFS(Harcamalar!$F$5:$F$504,Harcamalar!$B$5:$B$504,B17))</f>
        <v>0</v>
      </c>
      <c r="D17" s="29" t="n">
        <f aca="false">IF(B17="","",IF($B$8=0,0,SUMIFS(Harcamalar!$F$5:$F$504,Harcamalar!$B$5:$B$504,B17)/$B$8))</f>
        <v>0</v>
      </c>
    </row>
    <row r="18" customFormat="false" ht="15" hidden="false" customHeight="false" outlineLevel="0" collapsed="false">
      <c r="B18" s="25" t="str">
        <f aca="false">IF(Listeler!A11="","",Listeler!A11)</f>
        <v/>
      </c>
      <c r="C18" s="16" t="str">
        <f aca="false">IF(B18="","",SUMIFS(Harcamalar!$F$5:$F$504,Harcamalar!$B$5:$B$504,B18))</f>
        <v/>
      </c>
      <c r="D18" s="26" t="str">
        <f aca="false">IF(B18="","",IF($B$8=0,0,SUMIFS(Harcamalar!$F$5:$F$504,Harcamalar!$B$5:$B$504,B18)/$B$8))</f>
        <v/>
      </c>
    </row>
    <row r="19" customFormat="false" ht="15" hidden="false" customHeight="false" outlineLevel="0" collapsed="false">
      <c r="B19" s="27" t="str">
        <f aca="false">IF(Listeler!A12="","",Listeler!A12)</f>
        <v/>
      </c>
      <c r="C19" s="28" t="str">
        <f aca="false">IF(B19="","",SUMIFS(Harcamalar!$F$5:$F$504,Harcamalar!$B$5:$B$504,B19))</f>
        <v/>
      </c>
      <c r="D19" s="29" t="str">
        <f aca="false">IF(B19="","",IF($B$8=0,0,SUMIFS(Harcamalar!$F$5:$F$504,Harcamalar!$B$5:$B$504,B19)/$B$8))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65</v>
      </c>
    </row>
    <row r="2" customFormat="false" ht="15" hidden="false" customHeight="false" outlineLevel="0" collapsed="false">
      <c r="A2" s="9" t="s">
        <v>66</v>
      </c>
    </row>
    <row r="4" customFormat="false" ht="21.75" hidden="false" customHeight="true" outlineLevel="0" collapsed="false">
      <c r="A4" s="10" t="s">
        <v>25</v>
      </c>
    </row>
    <row r="5" customFormat="false" ht="15" hidden="false" customHeight="false" outlineLevel="0" collapsed="false">
      <c r="A5" s="14" t="s">
        <v>30</v>
      </c>
    </row>
    <row r="6" customFormat="false" ht="15" hidden="false" customHeight="false" outlineLevel="0" collapsed="false">
      <c r="A6" s="14" t="s">
        <v>33</v>
      </c>
    </row>
    <row r="7" customFormat="false" ht="15" hidden="false" customHeight="false" outlineLevel="0" collapsed="false">
      <c r="A7" s="14" t="s">
        <v>36</v>
      </c>
    </row>
    <row r="8" customFormat="false" ht="15" hidden="false" customHeight="false" outlineLevel="0" collapsed="false">
      <c r="A8" s="14" t="s">
        <v>38</v>
      </c>
    </row>
    <row r="9" customFormat="false" ht="15" hidden="false" customHeight="false" outlineLevel="0" collapsed="false">
      <c r="A9" s="14" t="s">
        <v>40</v>
      </c>
    </row>
    <row r="10" customFormat="false" ht="15" hidden="false" customHeight="false" outlineLevel="0" collapsed="false">
      <c r="A10" s="14" t="s">
        <v>67</v>
      </c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14"/>
    </row>
    <row r="13" customFormat="false" ht="15" hidden="false" customHeight="false" outlineLevel="0" collapsed="false">
      <c r="A13" s="14"/>
    </row>
    <row r="14" customFormat="false" ht="15" hidden="false" customHeight="false" outlineLevel="0" collapsed="false">
      <c r="A14" s="14"/>
    </row>
    <row r="15" customFormat="false" ht="15" hidden="false" customHeight="false" outlineLevel="0" collapsed="false">
      <c r="A15" s="14"/>
    </row>
    <row r="16" customFormat="false" ht="15" hidden="false" customHeight="false" outlineLevel="0" collapsed="false">
      <c r="A16" s="14"/>
    </row>
    <row r="17" customFormat="false" ht="15" hidden="false" customHeight="false" outlineLevel="0" collapsed="false">
      <c r="A17" s="14"/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4"/>
    </row>
    <row r="21" customFormat="false" ht="15" hidden="false" customHeight="false" outlineLevel="0" collapsed="false">
      <c r="A21" s="14"/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4"/>
    </row>
    <row r="24" customFormat="false" ht="15" hidden="false" customHeight="false" outlineLevel="0" collapsed="false">
      <c r="A24" s="14"/>
    </row>
    <row r="25" customFormat="false" ht="15" hidden="false" customHeight="false" outlineLevel="0" collapsed="false">
      <c r="A25" s="14"/>
    </row>
    <row r="26" customFormat="false" ht="15" hidden="false" customHeight="false" outlineLevel="0" collapsed="false">
      <c r="A26" s="14"/>
    </row>
    <row r="27" customFormat="false" ht="15" hidden="false" customHeight="false" outlineLevel="0" collapsed="false">
      <c r="A27" s="14"/>
    </row>
    <row r="28" customFormat="false" ht="15" hidden="false" customHeight="false" outlineLevel="0" collapsed="false">
      <c r="A28" s="14"/>
    </row>
    <row r="29" customFormat="false" ht="15" hidden="false" customHeight="false" outlineLevel="0" collapsed="false">
      <c r="A29" s="14"/>
    </row>
    <row r="30" customFormat="false" ht="15" hidden="false" customHeight="false" outlineLevel="0" collapsed="false">
      <c r="A30" s="14"/>
    </row>
    <row r="31" customFormat="false" ht="15" hidden="false" customHeight="false" outlineLevel="0" collapsed="false">
      <c r="A31" s="14"/>
    </row>
    <row r="32" customFormat="false" ht="15" hidden="false" customHeight="false" outlineLevel="0" collapsed="false">
      <c r="A32" s="14"/>
    </row>
    <row r="33" customFormat="false" ht="15" hidden="false" customHeight="false" outlineLevel="0" collapsed="false">
      <c r="A33" s="14"/>
    </row>
    <row r="34" customFormat="false" ht="15" hidden="false" customHeight="false" outlineLevel="0" collapsed="false">
      <c r="A34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68</v>
      </c>
    </row>
    <row r="2" customFormat="false" ht="30" hidden="false" customHeight="true" outlineLevel="0" collapsed="false">
      <c r="B2" s="30" t="s">
        <v>69</v>
      </c>
      <c r="C2" s="30"/>
    </row>
    <row r="3" customFormat="false" ht="31.5" hidden="false" customHeight="true" outlineLevel="0" collapsed="false">
      <c r="B3" s="31" t="s">
        <v>70</v>
      </c>
      <c r="C3" s="31"/>
    </row>
    <row r="5" customFormat="false" ht="15" hidden="false" customHeight="false" outlineLevel="0" collapsed="false">
      <c r="B5" s="32" t="s">
        <v>71</v>
      </c>
      <c r="C5" s="32" t="s">
        <v>72</v>
      </c>
    </row>
    <row r="6" customFormat="false" ht="31.5" hidden="false" customHeight="true" outlineLevel="0" collapsed="false">
      <c r="B6" s="33" t="s">
        <v>73</v>
      </c>
      <c r="C6" s="34" t="s">
        <v>74</v>
      </c>
    </row>
    <row r="7" customFormat="false" ht="31.5" hidden="false" customHeight="true" outlineLevel="0" collapsed="false">
      <c r="B7" s="35" t="s">
        <v>75</v>
      </c>
      <c r="C7" s="36" t="s">
        <v>76</v>
      </c>
    </row>
    <row r="8" customFormat="false" ht="31.5" hidden="false" customHeight="true" outlineLevel="0" collapsed="false">
      <c r="B8" s="33" t="s">
        <v>77</v>
      </c>
      <c r="C8" s="34" t="s">
        <v>78</v>
      </c>
    </row>
    <row r="9" customFormat="false" ht="31.5" hidden="false" customHeight="true" outlineLevel="0" collapsed="false">
      <c r="B9" s="35" t="s">
        <v>79</v>
      </c>
      <c r="C9" s="36" t="s">
        <v>80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2026-10-04T22:00:00Z</dcterms:created>
  <dc:creator>openpyxl</dc:creator>
  <dc:description/>
  <dc:language>en-US</dc:language>
  <cp:lastModifiedBy/>
  <dcterms:modified xsi:type="dcterms:W3CDTF">2026-10-04T22:00:00Z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