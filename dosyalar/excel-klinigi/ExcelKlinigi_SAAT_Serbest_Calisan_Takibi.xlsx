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Kayıtlar" sheetId="2" state="visible" r:id="rId4"/>
    <sheet name="Müşteriler" sheetId="3" state="visible" r:id="rId5"/>
    <sheet name="Özet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<sst xmlns="http://schemas.openxmlformats.org/spreadsheetml/2006/main" count="93" uniqueCount="78">
  <si>
    <t xml:space="preserve">EXCEL KLİNİĞİ</t>
  </si>
  <si>
    <t xml:space="preserve">SAAT  |  Serbest çalışan saat takibi</t>
  </si>
  <si>
    <t xml:space="preserve">Hangi müşteriye kaç saat çalıştın, ne kadar faturalandı, faturalanmayı bekleyen ne kadar.</t>
  </si>
  <si>
    <t xml:space="preserve">NASIL KULLANILIR</t>
  </si>
  <si>
    <t xml:space="preserve">1. Müşteriler</t>
  </si>
  <si>
    <t xml:space="preserve">Müşterilerini ve saat ücretini yaz.</t>
  </si>
  <si>
    <t xml:space="preserve">2. Kayıtlar</t>
  </si>
  <si>
    <t xml:space="preserve">Her çalışmayı tarih, müşteri, iş ve saat olarak gir. Dakikayı ondalık yaz: 30 dakika 0,5 saattir.</t>
  </si>
  <si>
    <t xml:space="preserve">3. Özet</t>
  </si>
  <si>
    <t xml:space="preserve">Aylık saat ve tutar, faturalanmayı bekleyen tutar.</t>
  </si>
  <si>
    <t xml:space="preserve">BİLMEN GEREKENLER</t>
  </si>
  <si>
    <t xml:space="preserve">Ücret değişirse</t>
  </si>
  <si>
    <t xml:space="preserve">Saat ücretini değiştirirsen eski kayıtların tutarı da yeni ücretle hesaplanır.</t>
  </si>
  <si>
    <t xml:space="preserve">Fatura</t>
  </si>
  <si>
    <t xml:space="preserve">Dosya fatura kesmez; yalnızca neyin faturalanmadığını gösterir.</t>
  </si>
  <si>
    <t xml:space="preserve">Kapasite</t>
  </si>
  <si>
    <t xml:space="preserve">Müşteriler: 50 satır; Kayıtlar: 2000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</si>
  <si>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</si>
  <si>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</si>
  <si>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</si>
  <si>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</si>
  <si>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</si>
  <si>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Saat Kayıtları</t>
  </si>
  <si>
    <t xml:space="preserve">Her çalışma bir satır. Faturasını kesince Faturalandı sütununu Evet yap.</t>
  </si>
  <si>
    <t xml:space="preserve">Tarih</t>
  </si>
  <si>
    <t xml:space="preserve">Müşteri</t>
  </si>
  <si>
    <t xml:space="preserve">Proje</t>
  </si>
  <si>
    <t xml:space="preserve">Yapılan iş</t>
  </si>
  <si>
    <t xml:space="preserve">Saat</t>
  </si>
  <si>
    <t xml:space="preserve">Faturalandı</t>
  </si>
  <si>
    <t xml:space="preserve">Tutar (₺)</t>
  </si>
  <si>
    <t xml:space="preserve">Müşteri Alfa</t>
  </si>
  <si>
    <t xml:space="preserve">Web sitesi</t>
  </si>
  <si>
    <t xml:space="preserve">Tasarım</t>
  </si>
  <si>
    <t xml:space="preserve">Evet</t>
  </si>
  <si>
    <t xml:space="preserve">Geliştirme</t>
  </si>
  <si>
    <t xml:space="preserve">Müşteri Beta</t>
  </si>
  <si>
    <t xml:space="preserve">Rapor</t>
  </si>
  <si>
    <t xml:space="preserve">Veri temizliği</t>
  </si>
  <si>
    <t xml:space="preserve">Hayır</t>
  </si>
  <si>
    <t xml:space="preserve">Düzeltmeler</t>
  </si>
  <si>
    <t xml:space="preserve">Müşteriler</t>
  </si>
  <si>
    <t xml:space="preserve">Saat ücreti (₺)</t>
  </si>
  <si>
    <t xml:space="preserve">Faturalanmamış (₺)</t>
  </si>
  <si>
    <t xml:space="preserve">Özet</t>
  </si>
  <si>
    <t xml:space="preserve">Bu sayfada yalnızca yılı değiştir.</t>
  </si>
  <si>
    <t xml:space="preserve">Yıl</t>
  </si>
  <si>
    <t xml:space="preserve">Yıl saati</t>
  </si>
  <si>
    <t xml:space="preserve">Yıl tutarı</t>
  </si>
  <si>
    <t xml:space="preserve">Faturalanmamış</t>
  </si>
  <si>
    <t xml:space="preserve">Ortalama saat ücreti</t>
  </si>
  <si>
    <t xml:space="preserve">Aylık tablo</t>
  </si>
  <si>
    <t xml:space="preserve">Ay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</si>
  <si>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</si>
  <si>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</si>
  <si>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</si>
  <si>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</si>
  <si>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</si>
  <si>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</si>
  <si>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</si>
  <si>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</si>
  <si>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</si>
  <si>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</si>
  <si>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</si>
  <si>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</si>
  <si>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</si>
  <si>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</si>
  <si>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</si>
  <si>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ve proje adlarını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</si>
  <si>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</si>
  <si>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</si>
  <si>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Fatura metni</t>
  </si>
  <si>
    <t xml:space="preserve">[Kayıtlar sayfası] Faturalanmamış kayıtları müşteri bazında topla ve fatura açıklaması olarak kullanılacak kısa bir döküm yaz.</t>
  </si>
  <si>
    <t xml:space="preserve">Verimlilik</t>
  </si>
  <si>
    <t xml:space="preserve">[Kayıtlar sayfası] Saatlerimin müşterilere ve iş türlerine dağılımını çıkar.</t>
  </si>
  <si>
    <t xml:space="preserve">Ücret</t>
  </si>
  <si>
    <t xml:space="preserve">Saat ücretimi artırmak istiyorum; müşteriye bildirmek için kısa bir mesaj yaz.</t>
  </si>
  <si>
    <t xml:space="preserve">Ayda [saat] çalışabiliyorum. Mevcut müşterilerle hedef gelire ulaşmak için ücret ne olmalı?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</si>
</sst>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0.00"/>
    <numFmt numFmtId="167" formatCode="#,##0.00&quot; ₺&quot;;[RED]\-#,##0.00&quot; ₺&quot;;\-"/>
    <numFmt numFmtId="168" formatCode="#,##0.00&quot; ₺&quot;"/>
    <numFmt numFmtId="169" formatCode="#,##0.00"/>
    <numFmt numFmtId="170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7" min="5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1" t="s">
        <v>30</v>
      </c>
    </row>
    <row r="5" customFormat="false" ht="15" hidden="false" customHeight="false" outlineLevel="0" collapsed="false">
      <c r="A5" s="12" t="n">
        <v>46275</v>
      </c>
      <c r="B5" s="13" t="s">
        <v>31</v>
      </c>
      <c r="C5" s="14" t="s">
        <v>32</v>
      </c>
      <c r="D5" s="14" t="s">
        <v>33</v>
      </c>
      <c r="E5" s="15" t="n">
        <v>4</v>
      </c>
      <c r="F5" s="13" t="s">
        <v>34</v>
      </c>
      <c r="G5" s="16" t="n">
        <f aca="false">IF(OR(B5="",E5=""),"",E5*IFERROR(INDEX(Müşteriler!$B$5:$B$54,MATCH(B5,Müşteriler!$A$5:$A$54,0)),0))</f>
        <v>6000</v>
      </c>
    </row>
    <row r="6" customFormat="false" ht="15" hidden="false" customHeight="false" outlineLevel="0" collapsed="false">
      <c r="A6" s="12" t="n">
        <v>46289</v>
      </c>
      <c r="B6" s="13" t="s">
        <v>31</v>
      </c>
      <c r="C6" s="14" t="s">
        <v>32</v>
      </c>
      <c r="D6" s="14" t="s">
        <v>35</v>
      </c>
      <c r="E6" s="15" t="n">
        <v>6.5</v>
      </c>
      <c r="F6" s="13" t="s">
        <v>34</v>
      </c>
      <c r="G6" s="16" t="n">
        <f aca="false">IF(OR(B6="",E6=""),"",E6*IFERROR(INDEX(Müşteriler!$B$5:$B$54,MATCH(B6,Müşteriler!$A$5:$A$54,0)),0))</f>
        <v>9750</v>
      </c>
    </row>
    <row r="7" customFormat="false" ht="15" hidden="false" customHeight="false" outlineLevel="0" collapsed="false">
      <c r="A7" s="12" t="n">
        <v>46296</v>
      </c>
      <c r="B7" s="13" t="s">
        <v>36</v>
      </c>
      <c r="C7" s="14" t="s">
        <v>37</v>
      </c>
      <c r="D7" s="14" t="s">
        <v>38</v>
      </c>
      <c r="E7" s="15" t="n">
        <v>3</v>
      </c>
      <c r="F7" s="13" t="s">
        <v>39</v>
      </c>
      <c r="G7" s="16" t="n">
        <f aca="false">IF(OR(B7="",E7=""),"",E7*IFERROR(INDEX(Müşteriler!$B$5:$B$54,MATCH(B7,Müşteriler!$A$5:$A$54,0)),0))</f>
        <v>3600</v>
      </c>
    </row>
    <row r="8" customFormat="false" ht="15" hidden="false" customHeight="false" outlineLevel="0" collapsed="false">
      <c r="A8" s="12" t="n">
        <v>46298</v>
      </c>
      <c r="B8" s="13" t="s">
        <v>31</v>
      </c>
      <c r="C8" s="14" t="s">
        <v>32</v>
      </c>
      <c r="D8" s="14" t="s">
        <v>40</v>
      </c>
      <c r="E8" s="15" t="n">
        <v>2</v>
      </c>
      <c r="F8" s="13" t="s">
        <v>39</v>
      </c>
      <c r="G8" s="16" t="n">
        <f aca="false">IF(OR(B8="",E8=""),"",E8*IFERROR(INDEX(Müşteriler!$B$5:$B$54,MATCH(B8,Müşteriler!$A$5:$A$54,0)),0))</f>
        <v>3000</v>
      </c>
    </row>
    <row r="9" customFormat="false" ht="15" hidden="false" customHeight="false" outlineLevel="0" collapsed="false">
      <c r="A9" s="12"/>
      <c r="B9" s="13"/>
      <c r="C9" s="14"/>
      <c r="D9" s="14"/>
      <c r="E9" s="15"/>
      <c r="F9" s="13"/>
      <c r="G9" s="16" t="str">
        <f aca="false">IF(OR(B9="",E9=""),"",E9*IFERROR(INDEX(Müşteriler!$B$5:$B$54,MATCH(B9,Müşteriler!$A$5:$A$54,0)),0))</f>
        <v/>
      </c>
    </row>
    <row r="10" customFormat="false" ht="15" hidden="false" customHeight="false" outlineLevel="0" collapsed="false">
      <c r="A10" s="12"/>
      <c r="B10" s="13"/>
      <c r="C10" s="14"/>
      <c r="D10" s="14"/>
      <c r="E10" s="15"/>
      <c r="F10" s="13"/>
      <c r="G10" s="16" t="str">
        <f aca="false">IF(OR(B10="",E10=""),"",E10*IFERROR(INDEX(Müşteriler!$B$5:$B$54,MATCH(B10,Müşteriler!$A$5:$A$54,0)),0))</f>
        <v/>
      </c>
    </row>
    <row r="11" customFormat="false" ht="15" hidden="false" customHeight="false" outlineLevel="0" collapsed="false">
      <c r="A11" s="12"/>
      <c r="B11" s="13"/>
      <c r="C11" s="14"/>
      <c r="D11" s="14"/>
      <c r="E11" s="15"/>
      <c r="F11" s="13"/>
      <c r="G11" s="16" t="str">
        <f aca="false">IF(OR(B11="",E11=""),"",E11*IFERROR(INDEX(Müşteriler!$B$5:$B$54,MATCH(B11,Müşteriler!$A$5:$A$54,0)),0))</f>
        <v/>
      </c>
    </row>
    <row r="12" customFormat="false" ht="15" hidden="false" customHeight="false" outlineLevel="0" collapsed="false">
      <c r="A12" s="12"/>
      <c r="B12" s="13"/>
      <c r="C12" s="14"/>
      <c r="D12" s="14"/>
      <c r="E12" s="15"/>
      <c r="F12" s="13"/>
      <c r="G12" s="16" t="str">
        <f aca="false">IF(OR(B12="",E12=""),"",E12*IFERROR(INDEX(Müşteriler!$B$5:$B$54,MATCH(B12,Müşteriler!$A$5:$A$54,0)),0))</f>
        <v/>
      </c>
    </row>
    <row r="13" customFormat="false" ht="15" hidden="false" customHeight="false" outlineLevel="0" collapsed="false">
      <c r="A13" s="12"/>
      <c r="B13" s="13"/>
      <c r="C13" s="14"/>
      <c r="D13" s="14"/>
      <c r="E13" s="15"/>
      <c r="F13" s="13"/>
      <c r="G13" s="16" t="str">
        <f aca="false">IF(OR(B13="",E13=""),"",E13*IFERROR(INDEX(Müşteriler!$B$5:$B$54,MATCH(B13,Müşteriler!$A$5:$A$54,0)),0))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5"/>
      <c r="F14" s="13"/>
      <c r="G14" s="16" t="str">
        <f aca="false">IF(OR(B14="",E14=""),"",E14*IFERROR(INDEX(Müşteriler!$B$5:$B$54,MATCH(B14,Müşteriler!$A$5:$A$54,0)),0))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5"/>
      <c r="F15" s="13"/>
      <c r="G15" s="16" t="str">
        <f aca="false">IF(OR(B15="",E15=""),"",E15*IFERROR(INDEX(Müşteriler!$B$5:$B$54,MATCH(B15,Müşteriler!$A$5:$A$54,0)),0))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5"/>
      <c r="F16" s="13"/>
      <c r="G16" s="16" t="str">
        <f aca="false">IF(OR(B16="",E16=""),"",E16*IFERROR(INDEX(Müşteriler!$B$5:$B$54,MATCH(B16,Müşteriler!$A$5:$A$54,0)),0))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5"/>
      <c r="F17" s="13"/>
      <c r="G17" s="16" t="str">
        <f aca="false">IF(OR(B17="",E17=""),"",E17*IFERROR(INDEX(Müşteriler!$B$5:$B$54,MATCH(B17,Müşteriler!$A$5:$A$54,0)),0))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5"/>
      <c r="F18" s="13"/>
      <c r="G18" s="16" t="str">
        <f aca="false">IF(OR(B18="",E18=""),"",E18*IFERROR(INDEX(Müşteriler!$B$5:$B$54,MATCH(B18,Müşteriler!$A$5:$A$54,0)),0))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5"/>
      <c r="F19" s="13"/>
      <c r="G19" s="16" t="str">
        <f aca="false">IF(OR(B19="",E19=""),"",E19*IFERROR(INDEX(Müşteriler!$B$5:$B$54,MATCH(B19,Müşteriler!$A$5:$A$54,0)),0))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5"/>
      <c r="F20" s="13"/>
      <c r="G20" s="16" t="str">
        <f aca="false">IF(OR(B20="",E20=""),"",E20*IFERROR(INDEX(Müşteriler!$B$5:$B$54,MATCH(B20,Müşteriler!$A$5:$A$54,0)),0))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5"/>
      <c r="F21" s="13"/>
      <c r="G21" s="16" t="str">
        <f aca="false">IF(OR(B21="",E21=""),"",E21*IFERROR(INDEX(Müşteriler!$B$5:$B$54,MATCH(B21,Müşteriler!$A$5:$A$54,0)),0))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5"/>
      <c r="F22" s="13"/>
      <c r="G22" s="16" t="str">
        <f aca="false">IF(OR(B22="",E22=""),"",E22*IFERROR(INDEX(Müşteriler!$B$5:$B$54,MATCH(B22,Müşteriler!$A$5:$A$54,0)),0))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5"/>
      <c r="F23" s="13"/>
      <c r="G23" s="16" t="str">
        <f aca="false">IF(OR(B23="",E23=""),"",E23*IFERROR(INDEX(Müşteriler!$B$5:$B$54,MATCH(B23,Müşteriler!$A$5:$A$54,0)),0))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5"/>
      <c r="F24" s="13"/>
      <c r="G24" s="16" t="str">
        <f aca="false">IF(OR(B24="",E24=""),"",E24*IFERROR(INDEX(Müşteriler!$B$5:$B$54,MATCH(B24,Müşteriler!$A$5:$A$54,0)),0))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5"/>
      <c r="F25" s="13"/>
      <c r="G25" s="16" t="str">
        <f aca="false">IF(OR(B25="",E25=""),"",E25*IFERROR(INDEX(Müşteriler!$B$5:$B$54,MATCH(B25,Müşteriler!$A$5:$A$54,0)),0))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5"/>
      <c r="F26" s="13"/>
      <c r="G26" s="16" t="str">
        <f aca="false">IF(OR(B26="",E26=""),"",E26*IFERROR(INDEX(Müşteriler!$B$5:$B$54,MATCH(B26,Müşteriler!$A$5:$A$54,0)),0))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5"/>
      <c r="F27" s="13"/>
      <c r="G27" s="16" t="str">
        <f aca="false">IF(OR(B27="",E27=""),"",E27*IFERROR(INDEX(Müşteriler!$B$5:$B$54,MATCH(B27,Müşteriler!$A$5:$A$54,0)),0))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5"/>
      <c r="F28" s="13"/>
      <c r="G28" s="16" t="str">
        <f aca="false">IF(OR(B28="",E28=""),"",E28*IFERROR(INDEX(Müşteriler!$B$5:$B$54,MATCH(B28,Müşteriler!$A$5:$A$54,0)),0))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5"/>
      <c r="F29" s="13"/>
      <c r="G29" s="16" t="str">
        <f aca="false">IF(OR(B29="",E29=""),"",E29*IFERROR(INDEX(Müşteriler!$B$5:$B$54,MATCH(B29,Müşteriler!$A$5:$A$54,0)),0))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5"/>
      <c r="F30" s="13"/>
      <c r="G30" s="16" t="str">
        <f aca="false">IF(OR(B30="",E30=""),"",E30*IFERROR(INDEX(Müşteriler!$B$5:$B$54,MATCH(B30,Müşteriler!$A$5:$A$54,0)),0))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5"/>
      <c r="F31" s="13"/>
      <c r="G31" s="16" t="str">
        <f aca="false">IF(OR(B31="",E31=""),"",E31*IFERROR(INDEX(Müşteriler!$B$5:$B$54,MATCH(B31,Müşteriler!$A$5:$A$54,0)),0))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5"/>
      <c r="F32" s="13"/>
      <c r="G32" s="16" t="str">
        <f aca="false">IF(OR(B32="",E32=""),"",E32*IFERROR(INDEX(Müşteriler!$B$5:$B$54,MATCH(B32,Müşteriler!$A$5:$A$54,0)),0))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5"/>
      <c r="F33" s="13"/>
      <c r="G33" s="16" t="str">
        <f aca="false">IF(OR(B33="",E33=""),"",E33*IFERROR(INDEX(Müşteriler!$B$5:$B$54,MATCH(B33,Müşteriler!$A$5:$A$54,0)),0))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5"/>
      <c r="F34" s="13"/>
      <c r="G34" s="16" t="str">
        <f aca="false">IF(OR(B34="",E34=""),"",E34*IFERROR(INDEX(Müşteriler!$B$5:$B$54,MATCH(B34,Müşteriler!$A$5:$A$54,0)),0))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5"/>
      <c r="F35" s="13"/>
      <c r="G35" s="16" t="str">
        <f aca="false">IF(OR(B35="",E35=""),"",E35*IFERROR(INDEX(Müşteriler!$B$5:$B$54,MATCH(B35,Müşteriler!$A$5:$A$54,0)),0))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5"/>
      <c r="F36" s="13"/>
      <c r="G36" s="16" t="str">
        <f aca="false">IF(OR(B36="",E36=""),"",E36*IFERROR(INDEX(Müşteriler!$B$5:$B$54,MATCH(B36,Müşteriler!$A$5:$A$54,0)),0))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5"/>
      <c r="F37" s="13"/>
      <c r="G37" s="16" t="str">
        <f aca="false">IF(OR(B37="",E37=""),"",E37*IFERROR(INDEX(Müşteriler!$B$5:$B$54,MATCH(B37,Müşteriler!$A$5:$A$54,0)),0))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5"/>
      <c r="F38" s="13"/>
      <c r="G38" s="16" t="str">
        <f aca="false">IF(OR(B38="",E38=""),"",E38*IFERROR(INDEX(Müşteriler!$B$5:$B$54,MATCH(B38,Müşteriler!$A$5:$A$54,0)),0))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5"/>
      <c r="F39" s="13"/>
      <c r="G39" s="16" t="str">
        <f aca="false">IF(OR(B39="",E39=""),"",E39*IFERROR(INDEX(Müşteriler!$B$5:$B$54,MATCH(B39,Müşteriler!$A$5:$A$54,0)),0))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5"/>
      <c r="F40" s="13"/>
      <c r="G40" s="16" t="str">
        <f aca="false">IF(OR(B40="",E40=""),"",E40*IFERROR(INDEX(Müşteriler!$B$5:$B$54,MATCH(B40,Müşteriler!$A$5:$A$54,0)),0))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5"/>
      <c r="F41" s="13"/>
      <c r="G41" s="16" t="str">
        <f aca="false">IF(OR(B41="",E41=""),"",E41*IFERROR(INDEX(Müşteriler!$B$5:$B$54,MATCH(B41,Müşteriler!$A$5:$A$54,0)),0))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5"/>
      <c r="F42" s="13"/>
      <c r="G42" s="16" t="str">
        <f aca="false">IF(OR(B42="",E42=""),"",E42*IFERROR(INDEX(Müşteriler!$B$5:$B$54,MATCH(B42,Müşteriler!$A$5:$A$54,0)),0))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5"/>
      <c r="F43" s="13"/>
      <c r="G43" s="16" t="str">
        <f aca="false">IF(OR(B43="",E43=""),"",E43*IFERROR(INDEX(Müşteriler!$B$5:$B$54,MATCH(B43,Müşteriler!$A$5:$A$54,0)),0))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5"/>
      <c r="F44" s="13"/>
      <c r="G44" s="16" t="str">
        <f aca="false">IF(OR(B44="",E44=""),"",E44*IFERROR(INDEX(Müşteriler!$B$5:$B$54,MATCH(B44,Müşteriler!$A$5:$A$54,0)),0))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5"/>
      <c r="F45" s="13"/>
      <c r="G45" s="16" t="str">
        <f aca="false">IF(OR(B45="",E45=""),"",E45*IFERROR(INDEX(Müşteriler!$B$5:$B$54,MATCH(B45,Müşteriler!$A$5:$A$54,0)),0))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5"/>
      <c r="F46" s="13"/>
      <c r="G46" s="16" t="str">
        <f aca="false">IF(OR(B46="",E46=""),"",E46*IFERROR(INDEX(Müşteriler!$B$5:$B$54,MATCH(B46,Müşteriler!$A$5:$A$54,0)),0))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5"/>
      <c r="F47" s="13"/>
      <c r="G47" s="16" t="str">
        <f aca="false">IF(OR(B47="",E47=""),"",E47*IFERROR(INDEX(Müşteriler!$B$5:$B$54,MATCH(B47,Müşteriler!$A$5:$A$54,0)),0))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5"/>
      <c r="F48" s="13"/>
      <c r="G48" s="16" t="str">
        <f aca="false">IF(OR(B48="",E48=""),"",E48*IFERROR(INDEX(Müşteriler!$B$5:$B$54,MATCH(B48,Müşteriler!$A$5:$A$54,0)),0))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5"/>
      <c r="F49" s="13"/>
      <c r="G49" s="16" t="str">
        <f aca="false">IF(OR(B49="",E49=""),"",E49*IFERROR(INDEX(Müşteriler!$B$5:$B$54,MATCH(B49,Müşteriler!$A$5:$A$54,0)),0))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5"/>
      <c r="F50" s="13"/>
      <c r="G50" s="16" t="str">
        <f aca="false">IF(OR(B50="",E50=""),"",E50*IFERROR(INDEX(Müşteriler!$B$5:$B$54,MATCH(B50,Müşteriler!$A$5:$A$54,0)),0))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5"/>
      <c r="F51" s="13"/>
      <c r="G51" s="16" t="str">
        <f aca="false">IF(OR(B51="",E51=""),"",E51*IFERROR(INDEX(Müşteriler!$B$5:$B$54,MATCH(B51,Müşteriler!$A$5:$A$54,0)),0))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5"/>
      <c r="F52" s="13"/>
      <c r="G52" s="16" t="str">
        <f aca="false">IF(OR(B52="",E52=""),"",E52*IFERROR(INDEX(Müşteriler!$B$5:$B$54,MATCH(B52,Müşteriler!$A$5:$A$54,0)),0))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5"/>
      <c r="F53" s="13"/>
      <c r="G53" s="16" t="str">
        <f aca="false">IF(OR(B53="",E53=""),"",E53*IFERROR(INDEX(Müşteriler!$B$5:$B$54,MATCH(B53,Müşteriler!$A$5:$A$54,0)),0))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5"/>
      <c r="F54" s="13"/>
      <c r="G54" s="16" t="str">
        <f aca="false">IF(OR(B54="",E54=""),"",E54*IFERROR(INDEX(Müşteriler!$B$5:$B$54,MATCH(B54,Müşteriler!$A$5:$A$54,0)),0))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5"/>
      <c r="F55" s="13"/>
      <c r="G55" s="16" t="str">
        <f aca="false">IF(OR(B55="",E55=""),"",E55*IFERROR(INDEX(Müşteriler!$B$5:$B$54,MATCH(B55,Müşteriler!$A$5:$A$54,0)),0))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5"/>
      <c r="F56" s="13"/>
      <c r="G56" s="16" t="str">
        <f aca="false">IF(OR(B56="",E56=""),"",E56*IFERROR(INDEX(Müşteriler!$B$5:$B$54,MATCH(B56,Müşteriler!$A$5:$A$54,0)),0))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5"/>
      <c r="F57" s="13"/>
      <c r="G57" s="16" t="str">
        <f aca="false">IF(OR(B57="",E57=""),"",E57*IFERROR(INDEX(Müşteriler!$B$5:$B$54,MATCH(B57,Müşteriler!$A$5:$A$54,0)),0))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5"/>
      <c r="F58" s="13"/>
      <c r="G58" s="16" t="str">
        <f aca="false">IF(OR(B58="",E58=""),"",E58*IFERROR(INDEX(Müşteriler!$B$5:$B$54,MATCH(B58,Müşteriler!$A$5:$A$54,0)),0))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5"/>
      <c r="F59" s="13"/>
      <c r="G59" s="16" t="str">
        <f aca="false">IF(OR(B59="",E59=""),"",E59*IFERROR(INDEX(Müşteriler!$B$5:$B$54,MATCH(B59,Müşteriler!$A$5:$A$54,0)),0))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5"/>
      <c r="F60" s="13"/>
      <c r="G60" s="16" t="str">
        <f aca="false">IF(OR(B60="",E60=""),"",E60*IFERROR(INDEX(Müşteriler!$B$5:$B$54,MATCH(B60,Müşteriler!$A$5:$A$54,0)),0))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5"/>
      <c r="F61" s="13"/>
      <c r="G61" s="16" t="str">
        <f aca="false">IF(OR(B61="",E61=""),"",E61*IFERROR(INDEX(Müşteriler!$B$5:$B$54,MATCH(B61,Müşteriler!$A$5:$A$54,0)),0))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5"/>
      <c r="F62" s="13"/>
      <c r="G62" s="16" t="str">
        <f aca="false">IF(OR(B62="",E62=""),"",E62*IFERROR(INDEX(Müşteriler!$B$5:$B$54,MATCH(B62,Müşteriler!$A$5:$A$54,0)),0))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5"/>
      <c r="F63" s="13"/>
      <c r="G63" s="16" t="str">
        <f aca="false">IF(OR(B63="",E63=""),"",E63*IFERROR(INDEX(Müşteriler!$B$5:$B$54,MATCH(B63,Müşteriler!$A$5:$A$54,0)),0))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5"/>
      <c r="F64" s="13"/>
      <c r="G64" s="16" t="str">
        <f aca="false">IF(OR(B64="",E64=""),"",E64*IFERROR(INDEX(Müşteriler!$B$5:$B$54,MATCH(B64,Müşteriler!$A$5:$A$54,0)),0))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5"/>
      <c r="F65" s="13"/>
      <c r="G65" s="16" t="str">
        <f aca="false">IF(OR(B65="",E65=""),"",E65*IFERROR(INDEX(Müşteriler!$B$5:$B$54,MATCH(B65,Müşteriler!$A$5:$A$54,0)),0))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5"/>
      <c r="F66" s="13"/>
      <c r="G66" s="16" t="str">
        <f aca="false">IF(OR(B66="",E66=""),"",E66*IFERROR(INDEX(Müşteriler!$B$5:$B$54,MATCH(B66,Müşteriler!$A$5:$A$54,0)),0))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5"/>
      <c r="F67" s="13"/>
      <c r="G67" s="16" t="str">
        <f aca="false">IF(OR(B67="",E67=""),"",E67*IFERROR(INDEX(Müşteriler!$B$5:$B$54,MATCH(B67,Müşteriler!$A$5:$A$54,0)),0))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5"/>
      <c r="F68" s="13"/>
      <c r="G68" s="16" t="str">
        <f aca="false">IF(OR(B68="",E68=""),"",E68*IFERROR(INDEX(Müşteriler!$B$5:$B$54,MATCH(B68,Müşteriler!$A$5:$A$54,0)),0))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5"/>
      <c r="F69" s="13"/>
      <c r="G69" s="16" t="str">
        <f aca="false">IF(OR(B69="",E69=""),"",E69*IFERROR(INDEX(Müşteriler!$B$5:$B$54,MATCH(B69,Müşteriler!$A$5:$A$54,0)),0))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5"/>
      <c r="F70" s="13"/>
      <c r="G70" s="16" t="str">
        <f aca="false">IF(OR(B70="",E70=""),"",E70*IFERROR(INDEX(Müşteriler!$B$5:$B$54,MATCH(B70,Müşteriler!$A$5:$A$54,0)),0))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5"/>
      <c r="F71" s="13"/>
      <c r="G71" s="16" t="str">
        <f aca="false">IF(OR(B71="",E71=""),"",E71*IFERROR(INDEX(Müşteriler!$B$5:$B$54,MATCH(B71,Müşteriler!$A$5:$A$54,0)),0))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5"/>
      <c r="F72" s="13"/>
      <c r="G72" s="16" t="str">
        <f aca="false">IF(OR(B72="",E72=""),"",E72*IFERROR(INDEX(Müşteriler!$B$5:$B$54,MATCH(B72,Müşteriler!$A$5:$A$54,0)),0))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5"/>
      <c r="F73" s="13"/>
      <c r="G73" s="16" t="str">
        <f aca="false">IF(OR(B73="",E73=""),"",E73*IFERROR(INDEX(Müşteriler!$B$5:$B$54,MATCH(B73,Müşteriler!$A$5:$A$54,0)),0))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5"/>
      <c r="F74" s="13"/>
      <c r="G74" s="16" t="str">
        <f aca="false">IF(OR(B74="",E74=""),"",E74*IFERROR(INDEX(Müşteriler!$B$5:$B$54,MATCH(B74,Müşteriler!$A$5:$A$54,0)),0))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5"/>
      <c r="F75" s="13"/>
      <c r="G75" s="16" t="str">
        <f aca="false">IF(OR(B75="",E75=""),"",E75*IFERROR(INDEX(Müşteriler!$B$5:$B$54,MATCH(B75,Müşteriler!$A$5:$A$54,0)),0))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5"/>
      <c r="F76" s="13"/>
      <c r="G76" s="16" t="str">
        <f aca="false">IF(OR(B76="",E76=""),"",E76*IFERROR(INDEX(Müşteriler!$B$5:$B$54,MATCH(B76,Müşteriler!$A$5:$A$54,0)),0))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5"/>
      <c r="F77" s="13"/>
      <c r="G77" s="16" t="str">
        <f aca="false">IF(OR(B77="",E77=""),"",E77*IFERROR(INDEX(Müşteriler!$B$5:$B$54,MATCH(B77,Müşteriler!$A$5:$A$54,0)),0))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5"/>
      <c r="F78" s="13"/>
      <c r="G78" s="16" t="str">
        <f aca="false">IF(OR(B78="",E78=""),"",E78*IFERROR(INDEX(Müşteriler!$B$5:$B$54,MATCH(B78,Müşteriler!$A$5:$A$54,0)),0))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5"/>
      <c r="F79" s="13"/>
      <c r="G79" s="16" t="str">
        <f aca="false">IF(OR(B79="",E79=""),"",E79*IFERROR(INDEX(Müşteriler!$B$5:$B$54,MATCH(B79,Müşteriler!$A$5:$A$54,0)),0))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5"/>
      <c r="F80" s="13"/>
      <c r="G80" s="16" t="str">
        <f aca="false">IF(OR(B80="",E80=""),"",E80*IFERROR(INDEX(Müşteriler!$B$5:$B$54,MATCH(B80,Müşteriler!$A$5:$A$54,0)),0))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5"/>
      <c r="F81" s="13"/>
      <c r="G81" s="16" t="str">
        <f aca="false">IF(OR(B81="",E81=""),"",E81*IFERROR(INDEX(Müşteriler!$B$5:$B$54,MATCH(B81,Müşteriler!$A$5:$A$54,0)),0))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5"/>
      <c r="F82" s="13"/>
      <c r="G82" s="16" t="str">
        <f aca="false">IF(OR(B82="",E82=""),"",E82*IFERROR(INDEX(Müşteriler!$B$5:$B$54,MATCH(B82,Müşteriler!$A$5:$A$54,0)),0))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5"/>
      <c r="F83" s="13"/>
      <c r="G83" s="16" t="str">
        <f aca="false">IF(OR(B83="",E83=""),"",E83*IFERROR(INDEX(Müşteriler!$B$5:$B$54,MATCH(B83,Müşteriler!$A$5:$A$54,0)),0))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5"/>
      <c r="F84" s="13"/>
      <c r="G84" s="16" t="str">
        <f aca="false">IF(OR(B84="",E84=""),"",E84*IFERROR(INDEX(Müşteriler!$B$5:$B$54,MATCH(B84,Müşteriler!$A$5:$A$54,0)),0))</f>
        <v/>
      </c>
    </row>
    <row r="85" customFormat="false" ht="15" hidden="false" customHeight="false" outlineLevel="0" collapsed="false">
      <c r="A85" s="12"/>
      <c r="B85" s="13"/>
      <c r="C85" s="14"/>
      <c r="D85" s="14"/>
      <c r="E85" s="15"/>
      <c r="F85" s="13"/>
      <c r="G85" s="16" t="str">
        <f aca="false">IF(OR(B85="",E85=""),"",E85*IFERROR(INDEX(Müşteriler!$B$5:$B$54,MATCH(B85,Müşteriler!$A$5:$A$54,0)),0))</f>
        <v/>
      </c>
    </row>
    <row r="86" customFormat="false" ht="15" hidden="false" customHeight="false" outlineLevel="0" collapsed="false">
      <c r="A86" s="12"/>
      <c r="B86" s="13"/>
      <c r="C86" s="14"/>
      <c r="D86" s="14"/>
      <c r="E86" s="15"/>
      <c r="F86" s="13"/>
      <c r="G86" s="16" t="str">
        <f aca="false">IF(OR(B86="",E86=""),"",E86*IFERROR(INDEX(Müşteriler!$B$5:$B$54,MATCH(B86,Müşteriler!$A$5:$A$54,0)),0))</f>
        <v/>
      </c>
    </row>
    <row r="87" customFormat="false" ht="15" hidden="false" customHeight="false" outlineLevel="0" collapsed="false">
      <c r="A87" s="12"/>
      <c r="B87" s="13"/>
      <c r="C87" s="14"/>
      <c r="D87" s="14"/>
      <c r="E87" s="15"/>
      <c r="F87" s="13"/>
      <c r="G87" s="16" t="str">
        <f aca="false">IF(OR(B87="",E87=""),"",E87*IFERROR(INDEX(Müşteriler!$B$5:$B$54,MATCH(B87,Müşteriler!$A$5:$A$54,0)),0))</f>
        <v/>
      </c>
    </row>
    <row r="88" customFormat="false" ht="15" hidden="false" customHeight="false" outlineLevel="0" collapsed="false">
      <c r="A88" s="12"/>
      <c r="B88" s="13"/>
      <c r="C88" s="14"/>
      <c r="D88" s="14"/>
      <c r="E88" s="15"/>
      <c r="F88" s="13"/>
      <c r="G88" s="16" t="str">
        <f aca="false">IF(OR(B88="",E88=""),"",E88*IFERROR(INDEX(Müşteriler!$B$5:$B$54,MATCH(B88,Müşteriler!$A$5:$A$54,0)),0))</f>
        <v/>
      </c>
    </row>
    <row r="89" customFormat="false" ht="15" hidden="false" customHeight="false" outlineLevel="0" collapsed="false">
      <c r="A89" s="12"/>
      <c r="B89" s="13"/>
      <c r="C89" s="14"/>
      <c r="D89" s="14"/>
      <c r="E89" s="15"/>
      <c r="F89" s="13"/>
      <c r="G89" s="16" t="str">
        <f aca="false">IF(OR(B89="",E89=""),"",E89*IFERROR(INDEX(Müşteriler!$B$5:$B$54,MATCH(B89,Müşteriler!$A$5:$A$54,0)),0))</f>
        <v/>
      </c>
    </row>
    <row r="90" customFormat="false" ht="15" hidden="false" customHeight="false" outlineLevel="0" collapsed="false">
      <c r="A90" s="12"/>
      <c r="B90" s="13"/>
      <c r="C90" s="14"/>
      <c r="D90" s="14"/>
      <c r="E90" s="15"/>
      <c r="F90" s="13"/>
      <c r="G90" s="16" t="str">
        <f aca="false">IF(OR(B90="",E90=""),"",E90*IFERROR(INDEX(Müşteriler!$B$5:$B$54,MATCH(B90,Müşteriler!$A$5:$A$54,0)),0))</f>
        <v/>
      </c>
    </row>
    <row r="91" customFormat="false" ht="15" hidden="false" customHeight="false" outlineLevel="0" collapsed="false">
      <c r="A91" s="12"/>
      <c r="B91" s="13"/>
      <c r="C91" s="14"/>
      <c r="D91" s="14"/>
      <c r="E91" s="15"/>
      <c r="F91" s="13"/>
      <c r="G91" s="16" t="str">
        <f aca="false">IF(OR(B91="",E91=""),"",E91*IFERROR(INDEX(Müşteriler!$B$5:$B$54,MATCH(B91,Müşteriler!$A$5:$A$54,0)),0))</f>
        <v/>
      </c>
    </row>
    <row r="92" customFormat="false" ht="15" hidden="false" customHeight="false" outlineLevel="0" collapsed="false">
      <c r="A92" s="12"/>
      <c r="B92" s="13"/>
      <c r="C92" s="14"/>
      <c r="D92" s="14"/>
      <c r="E92" s="15"/>
      <c r="F92" s="13"/>
      <c r="G92" s="16" t="str">
        <f aca="false">IF(OR(B92="",E92=""),"",E92*IFERROR(INDEX(Müşteriler!$B$5:$B$54,MATCH(B92,Müşteriler!$A$5:$A$54,0)),0))</f>
        <v/>
      </c>
    </row>
    <row r="93" customFormat="false" ht="15" hidden="false" customHeight="false" outlineLevel="0" collapsed="false">
      <c r="A93" s="12"/>
      <c r="B93" s="13"/>
      <c r="C93" s="14"/>
      <c r="D93" s="14"/>
      <c r="E93" s="15"/>
      <c r="F93" s="13"/>
      <c r="G93" s="16" t="str">
        <f aca="false">IF(OR(B93="",E93=""),"",E93*IFERROR(INDEX(Müşteriler!$B$5:$B$54,MATCH(B93,Müşteriler!$A$5:$A$54,0)),0))</f>
        <v/>
      </c>
    </row>
    <row r="94" customFormat="false" ht="15" hidden="false" customHeight="false" outlineLevel="0" collapsed="false">
      <c r="A94" s="12"/>
      <c r="B94" s="13"/>
      <c r="C94" s="14"/>
      <c r="D94" s="14"/>
      <c r="E94" s="15"/>
      <c r="F94" s="13"/>
      <c r="G94" s="16" t="str">
        <f aca="false">IF(OR(B94="",E94=""),"",E94*IFERROR(INDEX(Müşteriler!$B$5:$B$54,MATCH(B94,Müşteriler!$A$5:$A$54,0)),0))</f>
        <v/>
      </c>
    </row>
    <row r="95" customFormat="false" ht="15" hidden="false" customHeight="false" outlineLevel="0" collapsed="false">
      <c r="A95" s="12"/>
      <c r="B95" s="13"/>
      <c r="C95" s="14"/>
      <c r="D95" s="14"/>
      <c r="E95" s="15"/>
      <c r="F95" s="13"/>
      <c r="G95" s="16" t="str">
        <f aca="false">IF(OR(B95="",E95=""),"",E95*IFERROR(INDEX(Müşteriler!$B$5:$B$54,MATCH(B95,Müşteriler!$A$5:$A$54,0)),0))</f>
        <v/>
      </c>
    </row>
    <row r="96" customFormat="false" ht="15" hidden="false" customHeight="false" outlineLevel="0" collapsed="false">
      <c r="A96" s="12"/>
      <c r="B96" s="13"/>
      <c r="C96" s="14"/>
      <c r="D96" s="14"/>
      <c r="E96" s="15"/>
      <c r="F96" s="13"/>
      <c r="G96" s="16" t="str">
        <f aca="false">IF(OR(B96="",E96=""),"",E96*IFERROR(INDEX(Müşteriler!$B$5:$B$54,MATCH(B96,Müşteriler!$A$5:$A$54,0)),0))</f>
        <v/>
      </c>
    </row>
    <row r="97" customFormat="false" ht="15" hidden="false" customHeight="false" outlineLevel="0" collapsed="false">
      <c r="A97" s="12"/>
      <c r="B97" s="13"/>
      <c r="C97" s="14"/>
      <c r="D97" s="14"/>
      <c r="E97" s="15"/>
      <c r="F97" s="13"/>
      <c r="G97" s="16" t="str">
        <f aca="false">IF(OR(B97="",E97=""),"",E97*IFERROR(INDEX(Müşteriler!$B$5:$B$54,MATCH(B97,Müşteriler!$A$5:$A$54,0)),0))</f>
        <v/>
      </c>
    </row>
    <row r="98" customFormat="false" ht="15" hidden="false" customHeight="false" outlineLevel="0" collapsed="false">
      <c r="A98" s="12"/>
      <c r="B98" s="13"/>
      <c r="C98" s="14"/>
      <c r="D98" s="14"/>
      <c r="E98" s="15"/>
      <c r="F98" s="13"/>
      <c r="G98" s="16" t="str">
        <f aca="false">IF(OR(B98="",E98=""),"",E98*IFERROR(INDEX(Müşteriler!$B$5:$B$54,MATCH(B98,Müşteriler!$A$5:$A$54,0)),0))</f>
        <v/>
      </c>
    </row>
    <row r="99" customFormat="false" ht="15" hidden="false" customHeight="false" outlineLevel="0" collapsed="false">
      <c r="A99" s="12"/>
      <c r="B99" s="13"/>
      <c r="C99" s="14"/>
      <c r="D99" s="14"/>
      <c r="E99" s="15"/>
      <c r="F99" s="13"/>
      <c r="G99" s="16" t="str">
        <f aca="false">IF(OR(B99="",E99=""),"",E99*IFERROR(INDEX(Müşteriler!$B$5:$B$54,MATCH(B99,Müşteriler!$A$5:$A$54,0)),0))</f>
        <v/>
      </c>
    </row>
    <row r="100" customFormat="false" ht="15" hidden="false" customHeight="false" outlineLevel="0" collapsed="false">
      <c r="A100" s="12"/>
      <c r="B100" s="13"/>
      <c r="C100" s="14"/>
      <c r="D100" s="14"/>
      <c r="E100" s="15"/>
      <c r="F100" s="13"/>
      <c r="G100" s="16" t="str">
        <f aca="false">IF(OR(B100="",E100=""),"",E100*IFERROR(INDEX(Müşteriler!$B$5:$B$54,MATCH(B100,Müşteriler!$A$5:$A$54,0)),0))</f>
        <v/>
      </c>
    </row>
    <row r="101" customFormat="false" ht="15" hidden="false" customHeight="false" outlineLevel="0" collapsed="false">
      <c r="A101" s="12"/>
      <c r="B101" s="13"/>
      <c r="C101" s="14"/>
      <c r="D101" s="14"/>
      <c r="E101" s="15"/>
      <c r="F101" s="13"/>
      <c r="G101" s="16" t="str">
        <f aca="false">IF(OR(B101="",E101=""),"",E101*IFERROR(INDEX(Müşteriler!$B$5:$B$54,MATCH(B101,Müşteriler!$A$5:$A$54,0)),0))</f>
        <v/>
      </c>
    </row>
    <row r="102" customFormat="false" ht="15" hidden="false" customHeight="false" outlineLevel="0" collapsed="false">
      <c r="A102" s="12"/>
      <c r="B102" s="13"/>
      <c r="C102" s="14"/>
      <c r="D102" s="14"/>
      <c r="E102" s="15"/>
      <c r="F102" s="13"/>
      <c r="G102" s="16" t="str">
        <f aca="false">IF(OR(B102="",E102=""),"",E102*IFERROR(INDEX(Müşteriler!$B$5:$B$54,MATCH(B102,Müşteriler!$A$5:$A$54,0)),0))</f>
        <v/>
      </c>
    </row>
    <row r="103" customFormat="false" ht="15" hidden="false" customHeight="false" outlineLevel="0" collapsed="false">
      <c r="A103" s="12"/>
      <c r="B103" s="13"/>
      <c r="C103" s="14"/>
      <c r="D103" s="14"/>
      <c r="E103" s="15"/>
      <c r="F103" s="13"/>
      <c r="G103" s="16" t="str">
        <f aca="false">IF(OR(B103="",E103=""),"",E103*IFERROR(INDEX(Müşteriler!$B$5:$B$54,MATCH(B103,Müşteriler!$A$5:$A$54,0)),0))</f>
        <v/>
      </c>
    </row>
    <row r="104" customFormat="false" ht="15" hidden="false" customHeight="false" outlineLevel="0" collapsed="false">
      <c r="A104" s="12"/>
      <c r="B104" s="13"/>
      <c r="C104" s="14"/>
      <c r="D104" s="14"/>
      <c r="E104" s="15"/>
      <c r="F104" s="13"/>
      <c r="G104" s="16" t="str">
        <f aca="false">IF(OR(B104="",E104=""),"",E104*IFERROR(INDEX(Müşteriler!$B$5:$B$54,MATCH(B104,Müşteriler!$A$5:$A$54,0)),0))</f>
        <v/>
      </c>
    </row>
    <row r="105" customFormat="false" ht="15" hidden="false" customHeight="false" outlineLevel="0" collapsed="false">
      <c r="A105" s="12"/>
      <c r="B105" s="13"/>
      <c r="C105" s="14"/>
      <c r="D105" s="14"/>
      <c r="E105" s="15"/>
      <c r="F105" s="13"/>
      <c r="G105" s="16" t="str">
        <f aca="false">IF(OR(B105="",E105=""),"",E105*IFERROR(INDEX(Müşteriler!$B$5:$B$54,MATCH(B105,Müşteriler!$A$5:$A$54,0)),0))</f>
        <v/>
      </c>
    </row>
    <row r="106" customFormat="false" ht="15" hidden="false" customHeight="false" outlineLevel="0" collapsed="false">
      <c r="A106" s="12"/>
      <c r="B106" s="13"/>
      <c r="C106" s="14"/>
      <c r="D106" s="14"/>
      <c r="E106" s="15"/>
      <c r="F106" s="13"/>
      <c r="G106" s="16" t="str">
        <f aca="false">IF(OR(B106="",E106=""),"",E106*IFERROR(INDEX(Müşteriler!$B$5:$B$54,MATCH(B106,Müşteriler!$A$5:$A$54,0)),0))</f>
        <v/>
      </c>
    </row>
    <row r="107" customFormat="false" ht="15" hidden="false" customHeight="false" outlineLevel="0" collapsed="false">
      <c r="A107" s="12"/>
      <c r="B107" s="13"/>
      <c r="C107" s="14"/>
      <c r="D107" s="14"/>
      <c r="E107" s="15"/>
      <c r="F107" s="13"/>
      <c r="G107" s="16" t="str">
        <f aca="false">IF(OR(B107="",E107=""),"",E107*IFERROR(INDEX(Müşteriler!$B$5:$B$54,MATCH(B107,Müşteriler!$A$5:$A$54,0)),0))</f>
        <v/>
      </c>
    </row>
    <row r="108" customFormat="false" ht="15" hidden="false" customHeight="false" outlineLevel="0" collapsed="false">
      <c r="A108" s="12"/>
      <c r="B108" s="13"/>
      <c r="C108" s="14"/>
      <c r="D108" s="14"/>
      <c r="E108" s="15"/>
      <c r="F108" s="13"/>
      <c r="G108" s="16" t="str">
        <f aca="false">IF(OR(B108="",E108=""),"",E108*IFERROR(INDEX(Müşteriler!$B$5:$B$54,MATCH(B108,Müşteriler!$A$5:$A$54,0)),0))</f>
        <v/>
      </c>
    </row>
    <row r="109" customFormat="false" ht="15" hidden="false" customHeight="false" outlineLevel="0" collapsed="false">
      <c r="A109" s="12"/>
      <c r="B109" s="13"/>
      <c r="C109" s="14"/>
      <c r="D109" s="14"/>
      <c r="E109" s="15"/>
      <c r="F109" s="13"/>
      <c r="G109" s="16" t="str">
        <f aca="false">IF(OR(B109="",E109=""),"",E109*IFERROR(INDEX(Müşteriler!$B$5:$B$54,MATCH(B109,Müşteriler!$A$5:$A$54,0)),0))</f>
        <v/>
      </c>
    </row>
    <row r="110" customFormat="false" ht="15" hidden="false" customHeight="false" outlineLevel="0" collapsed="false">
      <c r="A110" s="12"/>
      <c r="B110" s="13"/>
      <c r="C110" s="14"/>
      <c r="D110" s="14"/>
      <c r="E110" s="15"/>
      <c r="F110" s="13"/>
      <c r="G110" s="16" t="str">
        <f aca="false">IF(OR(B110="",E110=""),"",E110*IFERROR(INDEX(Müşteriler!$B$5:$B$54,MATCH(B110,Müşteriler!$A$5:$A$54,0)),0))</f>
        <v/>
      </c>
    </row>
    <row r="111" customFormat="false" ht="15" hidden="false" customHeight="false" outlineLevel="0" collapsed="false">
      <c r="A111" s="12"/>
      <c r="B111" s="13"/>
      <c r="C111" s="14"/>
      <c r="D111" s="14"/>
      <c r="E111" s="15"/>
      <c r="F111" s="13"/>
      <c r="G111" s="16" t="str">
        <f aca="false">IF(OR(B111="",E111=""),"",E111*IFERROR(INDEX(Müşteriler!$B$5:$B$54,MATCH(B111,Müşteriler!$A$5:$A$54,0)),0))</f>
        <v/>
      </c>
    </row>
    <row r="112" customFormat="false" ht="15" hidden="false" customHeight="false" outlineLevel="0" collapsed="false">
      <c r="A112" s="12"/>
      <c r="B112" s="13"/>
      <c r="C112" s="14"/>
      <c r="D112" s="14"/>
      <c r="E112" s="15"/>
      <c r="F112" s="13"/>
      <c r="G112" s="16" t="str">
        <f aca="false">IF(OR(B112="",E112=""),"",E112*IFERROR(INDEX(Müşteriler!$B$5:$B$54,MATCH(B112,Müşteriler!$A$5:$A$54,0)),0))</f>
        <v/>
      </c>
    </row>
    <row r="113" customFormat="false" ht="15" hidden="false" customHeight="false" outlineLevel="0" collapsed="false">
      <c r="A113" s="12"/>
      <c r="B113" s="13"/>
      <c r="C113" s="14"/>
      <c r="D113" s="14"/>
      <c r="E113" s="15"/>
      <c r="F113" s="13"/>
      <c r="G113" s="16" t="str">
        <f aca="false">IF(OR(B113="",E113=""),"",E113*IFERROR(INDEX(Müşteriler!$B$5:$B$54,MATCH(B113,Müşteriler!$A$5:$A$54,0)),0))</f>
        <v/>
      </c>
    </row>
    <row r="114" customFormat="false" ht="15" hidden="false" customHeight="false" outlineLevel="0" collapsed="false">
      <c r="A114" s="12"/>
      <c r="B114" s="13"/>
      <c r="C114" s="14"/>
      <c r="D114" s="14"/>
      <c r="E114" s="15"/>
      <c r="F114" s="13"/>
      <c r="G114" s="16" t="str">
        <f aca="false">IF(OR(B114="",E114=""),"",E114*IFERROR(INDEX(Müşteriler!$B$5:$B$54,MATCH(B114,Müşteriler!$A$5:$A$54,0)),0))</f>
        <v/>
      </c>
    </row>
    <row r="115" customFormat="false" ht="15" hidden="false" customHeight="false" outlineLevel="0" collapsed="false">
      <c r="A115" s="12"/>
      <c r="B115" s="13"/>
      <c r="C115" s="14"/>
      <c r="D115" s="14"/>
      <c r="E115" s="15"/>
      <c r="F115" s="13"/>
      <c r="G115" s="16" t="str">
        <f aca="false">IF(OR(B115="",E115=""),"",E115*IFERROR(INDEX(Müşteriler!$B$5:$B$54,MATCH(B115,Müşteriler!$A$5:$A$54,0)),0))</f>
        <v/>
      </c>
    </row>
    <row r="116" customFormat="false" ht="15" hidden="false" customHeight="false" outlineLevel="0" collapsed="false">
      <c r="A116" s="12"/>
      <c r="B116" s="13"/>
      <c r="C116" s="14"/>
      <c r="D116" s="14"/>
      <c r="E116" s="15"/>
      <c r="F116" s="13"/>
      <c r="G116" s="16" t="str">
        <f aca="false">IF(OR(B116="",E116=""),"",E116*IFERROR(INDEX(Müşteriler!$B$5:$B$54,MATCH(B116,Müşteriler!$A$5:$A$54,0)),0))</f>
        <v/>
      </c>
    </row>
    <row r="117" customFormat="false" ht="15" hidden="false" customHeight="false" outlineLevel="0" collapsed="false">
      <c r="A117" s="12"/>
      <c r="B117" s="13"/>
      <c r="C117" s="14"/>
      <c r="D117" s="14"/>
      <c r="E117" s="15"/>
      <c r="F117" s="13"/>
      <c r="G117" s="16" t="str">
        <f aca="false">IF(OR(B117="",E117=""),"",E117*IFERROR(INDEX(Müşteriler!$B$5:$B$54,MATCH(B117,Müşteriler!$A$5:$A$54,0)),0))</f>
        <v/>
      </c>
    </row>
    <row r="118" customFormat="false" ht="15" hidden="false" customHeight="false" outlineLevel="0" collapsed="false">
      <c r="A118" s="12"/>
      <c r="B118" s="13"/>
      <c r="C118" s="14"/>
      <c r="D118" s="14"/>
      <c r="E118" s="15"/>
      <c r="F118" s="13"/>
      <c r="G118" s="16" t="str">
        <f aca="false">IF(OR(B118="",E118=""),"",E118*IFERROR(INDEX(Müşteriler!$B$5:$B$54,MATCH(B118,Müşteriler!$A$5:$A$54,0)),0))</f>
        <v/>
      </c>
    </row>
    <row r="119" customFormat="false" ht="15" hidden="false" customHeight="false" outlineLevel="0" collapsed="false">
      <c r="A119" s="12"/>
      <c r="B119" s="13"/>
      <c r="C119" s="14"/>
      <c r="D119" s="14"/>
      <c r="E119" s="15"/>
      <c r="F119" s="13"/>
      <c r="G119" s="16" t="str">
        <f aca="false">IF(OR(B119="",E119=""),"",E119*IFERROR(INDEX(Müşteriler!$B$5:$B$54,MATCH(B119,Müşteriler!$A$5:$A$54,0)),0))</f>
        <v/>
      </c>
    </row>
    <row r="120" customFormat="false" ht="15" hidden="false" customHeight="false" outlineLevel="0" collapsed="false">
      <c r="A120" s="12"/>
      <c r="B120" s="13"/>
      <c r="C120" s="14"/>
      <c r="D120" s="14"/>
      <c r="E120" s="15"/>
      <c r="F120" s="13"/>
      <c r="G120" s="16" t="str">
        <f aca="false">IF(OR(B120="",E120=""),"",E120*IFERROR(INDEX(Müşteriler!$B$5:$B$54,MATCH(B120,Müşteriler!$A$5:$A$54,0)),0))</f>
        <v/>
      </c>
    </row>
    <row r="121" customFormat="false" ht="15" hidden="false" customHeight="false" outlineLevel="0" collapsed="false">
      <c r="A121" s="12"/>
      <c r="B121" s="13"/>
      <c r="C121" s="14"/>
      <c r="D121" s="14"/>
      <c r="E121" s="15"/>
      <c r="F121" s="13"/>
      <c r="G121" s="16" t="str">
        <f aca="false">IF(OR(B121="",E121=""),"",E121*IFERROR(INDEX(Müşteriler!$B$5:$B$54,MATCH(B121,Müşteriler!$A$5:$A$54,0)),0))</f>
        <v/>
      </c>
    </row>
    <row r="122" customFormat="false" ht="15" hidden="false" customHeight="false" outlineLevel="0" collapsed="false">
      <c r="A122" s="12"/>
      <c r="B122" s="13"/>
      <c r="C122" s="14"/>
      <c r="D122" s="14"/>
      <c r="E122" s="15"/>
      <c r="F122" s="13"/>
      <c r="G122" s="16" t="str">
        <f aca="false">IF(OR(B122="",E122=""),"",E122*IFERROR(INDEX(Müşteriler!$B$5:$B$54,MATCH(B122,Müşteriler!$A$5:$A$54,0)),0))</f>
        <v/>
      </c>
    </row>
    <row r="123" customFormat="false" ht="15" hidden="false" customHeight="false" outlineLevel="0" collapsed="false">
      <c r="A123" s="12"/>
      <c r="B123" s="13"/>
      <c r="C123" s="14"/>
      <c r="D123" s="14"/>
      <c r="E123" s="15"/>
      <c r="F123" s="13"/>
      <c r="G123" s="16" t="str">
        <f aca="false">IF(OR(B123="",E123=""),"",E123*IFERROR(INDEX(Müşteriler!$B$5:$B$54,MATCH(B123,Müşteriler!$A$5:$A$54,0)),0))</f>
        <v/>
      </c>
    </row>
    <row r="124" customFormat="false" ht="15" hidden="false" customHeight="false" outlineLevel="0" collapsed="false">
      <c r="A124" s="12"/>
      <c r="B124" s="13"/>
      <c r="C124" s="14"/>
      <c r="D124" s="14"/>
      <c r="E124" s="15"/>
      <c r="F124" s="13"/>
      <c r="G124" s="16" t="str">
        <f aca="false">IF(OR(B124="",E124=""),"",E124*IFERROR(INDEX(Müşteriler!$B$5:$B$54,MATCH(B124,Müşteriler!$A$5:$A$54,0)),0))</f>
        <v/>
      </c>
    </row>
    <row r="125" customFormat="false" ht="15" hidden="false" customHeight="false" outlineLevel="0" collapsed="false">
      <c r="A125" s="12"/>
      <c r="B125" s="13"/>
      <c r="C125" s="14"/>
      <c r="D125" s="14"/>
      <c r="E125" s="15"/>
      <c r="F125" s="13"/>
      <c r="G125" s="16" t="str">
        <f aca="false">IF(OR(B125="",E125=""),"",E125*IFERROR(INDEX(Müşteriler!$B$5:$B$54,MATCH(B125,Müşteriler!$A$5:$A$54,0)),0))</f>
        <v/>
      </c>
    </row>
    <row r="126" customFormat="false" ht="15" hidden="false" customHeight="false" outlineLevel="0" collapsed="false">
      <c r="A126" s="12"/>
      <c r="B126" s="13"/>
      <c r="C126" s="14"/>
      <c r="D126" s="14"/>
      <c r="E126" s="15"/>
      <c r="F126" s="13"/>
      <c r="G126" s="16" t="str">
        <f aca="false">IF(OR(B126="",E126=""),"",E126*IFERROR(INDEX(Müşteriler!$B$5:$B$54,MATCH(B126,Müşteriler!$A$5:$A$54,0)),0))</f>
        <v/>
      </c>
    </row>
    <row r="127" customFormat="false" ht="15" hidden="false" customHeight="false" outlineLevel="0" collapsed="false">
      <c r="A127" s="12"/>
      <c r="B127" s="13"/>
      <c r="C127" s="14"/>
      <c r="D127" s="14"/>
      <c r="E127" s="15"/>
      <c r="F127" s="13"/>
      <c r="G127" s="16" t="str">
        <f aca="false">IF(OR(B127="",E127=""),"",E127*IFERROR(INDEX(Müşteriler!$B$5:$B$54,MATCH(B127,Müşteriler!$A$5:$A$54,0)),0))</f>
        <v/>
      </c>
    </row>
    <row r="128" customFormat="false" ht="15" hidden="false" customHeight="false" outlineLevel="0" collapsed="false">
      <c r="A128" s="12"/>
      <c r="B128" s="13"/>
      <c r="C128" s="14"/>
      <c r="D128" s="14"/>
      <c r="E128" s="15"/>
      <c r="F128" s="13"/>
      <c r="G128" s="16" t="str">
        <f aca="false">IF(OR(B128="",E128=""),"",E128*IFERROR(INDEX(Müşteriler!$B$5:$B$54,MATCH(B128,Müşteriler!$A$5:$A$54,0)),0))</f>
        <v/>
      </c>
    </row>
    <row r="129" customFormat="false" ht="15" hidden="false" customHeight="false" outlineLevel="0" collapsed="false">
      <c r="A129" s="12"/>
      <c r="B129" s="13"/>
      <c r="C129" s="14"/>
      <c r="D129" s="14"/>
      <c r="E129" s="15"/>
      <c r="F129" s="13"/>
      <c r="G129" s="16" t="str">
        <f aca="false">IF(OR(B129="",E129=""),"",E129*IFERROR(INDEX(Müşteriler!$B$5:$B$54,MATCH(B129,Müşteriler!$A$5:$A$54,0)),0))</f>
        <v/>
      </c>
    </row>
    <row r="130" customFormat="false" ht="15" hidden="false" customHeight="false" outlineLevel="0" collapsed="false">
      <c r="A130" s="12"/>
      <c r="B130" s="13"/>
      <c r="C130" s="14"/>
      <c r="D130" s="14"/>
      <c r="E130" s="15"/>
      <c r="F130" s="13"/>
      <c r="G130" s="16" t="str">
        <f aca="false">IF(OR(B130="",E130=""),"",E130*IFERROR(INDEX(Müşteriler!$B$5:$B$54,MATCH(B130,Müşteriler!$A$5:$A$54,0)),0))</f>
        <v/>
      </c>
    </row>
    <row r="131" customFormat="false" ht="15" hidden="false" customHeight="false" outlineLevel="0" collapsed="false">
      <c r="A131" s="12"/>
      <c r="B131" s="13"/>
      <c r="C131" s="14"/>
      <c r="D131" s="14"/>
      <c r="E131" s="15"/>
      <c r="F131" s="13"/>
      <c r="G131" s="16" t="str">
        <f aca="false">IF(OR(B131="",E131=""),"",E131*IFERROR(INDEX(Müşteriler!$B$5:$B$54,MATCH(B131,Müşteriler!$A$5:$A$54,0)),0))</f>
        <v/>
      </c>
    </row>
    <row r="132" customFormat="false" ht="15" hidden="false" customHeight="false" outlineLevel="0" collapsed="false">
      <c r="A132" s="12"/>
      <c r="B132" s="13"/>
      <c r="C132" s="14"/>
      <c r="D132" s="14"/>
      <c r="E132" s="15"/>
      <c r="F132" s="13"/>
      <c r="G132" s="16" t="str">
        <f aca="false">IF(OR(B132="",E132=""),"",E132*IFERROR(INDEX(Müşteriler!$B$5:$B$54,MATCH(B132,Müşteriler!$A$5:$A$54,0)),0))</f>
        <v/>
      </c>
    </row>
    <row r="133" customFormat="false" ht="15" hidden="false" customHeight="false" outlineLevel="0" collapsed="false">
      <c r="A133" s="12"/>
      <c r="B133" s="13"/>
      <c r="C133" s="14"/>
      <c r="D133" s="14"/>
      <c r="E133" s="15"/>
      <c r="F133" s="13"/>
      <c r="G133" s="16" t="str">
        <f aca="false">IF(OR(B133="",E133=""),"",E133*IFERROR(INDEX(Müşteriler!$B$5:$B$54,MATCH(B133,Müşteriler!$A$5:$A$54,0)),0))</f>
        <v/>
      </c>
    </row>
    <row r="134" customFormat="false" ht="15" hidden="false" customHeight="false" outlineLevel="0" collapsed="false">
      <c r="A134" s="12"/>
      <c r="B134" s="13"/>
      <c r="C134" s="14"/>
      <c r="D134" s="14"/>
      <c r="E134" s="15"/>
      <c r="F134" s="13"/>
      <c r="G134" s="16" t="str">
        <f aca="false">IF(OR(B134="",E134=""),"",E134*IFERROR(INDEX(Müşteriler!$B$5:$B$54,MATCH(B134,Müşteriler!$A$5:$A$54,0)),0))</f>
        <v/>
      </c>
    </row>
    <row r="135" customFormat="false" ht="15" hidden="false" customHeight="false" outlineLevel="0" collapsed="false">
      <c r="A135" s="12"/>
      <c r="B135" s="13"/>
      <c r="C135" s="14"/>
      <c r="D135" s="14"/>
      <c r="E135" s="15"/>
      <c r="F135" s="13"/>
      <c r="G135" s="16" t="str">
        <f aca="false">IF(OR(B135="",E135=""),"",E135*IFERROR(INDEX(Müşteriler!$B$5:$B$54,MATCH(B135,Müşteriler!$A$5:$A$54,0)),0))</f>
        <v/>
      </c>
    </row>
    <row r="136" customFormat="false" ht="15" hidden="false" customHeight="false" outlineLevel="0" collapsed="false">
      <c r="A136" s="12"/>
      <c r="B136" s="13"/>
      <c r="C136" s="14"/>
      <c r="D136" s="14"/>
      <c r="E136" s="15"/>
      <c r="F136" s="13"/>
      <c r="G136" s="16" t="str">
        <f aca="false">IF(OR(B136="",E136=""),"",E136*IFERROR(INDEX(Müşteriler!$B$5:$B$54,MATCH(B136,Müşteriler!$A$5:$A$54,0)),0))</f>
        <v/>
      </c>
    </row>
    <row r="137" customFormat="false" ht="15" hidden="false" customHeight="false" outlineLevel="0" collapsed="false">
      <c r="A137" s="12"/>
      <c r="B137" s="13"/>
      <c r="C137" s="14"/>
      <c r="D137" s="14"/>
      <c r="E137" s="15"/>
      <c r="F137" s="13"/>
      <c r="G137" s="16" t="str">
        <f aca="false">IF(OR(B137="",E137=""),"",E137*IFERROR(INDEX(Müşteriler!$B$5:$B$54,MATCH(B137,Müşteriler!$A$5:$A$54,0)),0))</f>
        <v/>
      </c>
    </row>
    <row r="138" customFormat="false" ht="15" hidden="false" customHeight="false" outlineLevel="0" collapsed="false">
      <c r="A138" s="12"/>
      <c r="B138" s="13"/>
      <c r="C138" s="14"/>
      <c r="D138" s="14"/>
      <c r="E138" s="15"/>
      <c r="F138" s="13"/>
      <c r="G138" s="16" t="str">
        <f aca="false">IF(OR(B138="",E138=""),"",E138*IFERROR(INDEX(Müşteriler!$B$5:$B$54,MATCH(B138,Müşteriler!$A$5:$A$54,0)),0))</f>
        <v/>
      </c>
    </row>
    <row r="139" customFormat="false" ht="15" hidden="false" customHeight="false" outlineLevel="0" collapsed="false">
      <c r="A139" s="12"/>
      <c r="B139" s="13"/>
      <c r="C139" s="14"/>
      <c r="D139" s="14"/>
      <c r="E139" s="15"/>
      <c r="F139" s="13"/>
      <c r="G139" s="16" t="str">
        <f aca="false">IF(OR(B139="",E139=""),"",E139*IFERROR(INDEX(Müşteriler!$B$5:$B$54,MATCH(B139,Müşteriler!$A$5:$A$54,0)),0))</f>
        <v/>
      </c>
    </row>
    <row r="140" customFormat="false" ht="15" hidden="false" customHeight="false" outlineLevel="0" collapsed="false">
      <c r="A140" s="12"/>
      <c r="B140" s="13"/>
      <c r="C140" s="14"/>
      <c r="D140" s="14"/>
      <c r="E140" s="15"/>
      <c r="F140" s="13"/>
      <c r="G140" s="16" t="str">
        <f aca="false">IF(OR(B140="",E140=""),"",E140*IFERROR(INDEX(Müşteriler!$B$5:$B$54,MATCH(B140,Müşteriler!$A$5:$A$54,0)),0))</f>
        <v/>
      </c>
    </row>
    <row r="141" customFormat="false" ht="15" hidden="false" customHeight="false" outlineLevel="0" collapsed="false">
      <c r="A141" s="12"/>
      <c r="B141" s="13"/>
      <c r="C141" s="14"/>
      <c r="D141" s="14"/>
      <c r="E141" s="15"/>
      <c r="F141" s="13"/>
      <c r="G141" s="16" t="str">
        <f aca="false">IF(OR(B141="",E141=""),"",E141*IFERROR(INDEX(Müşteriler!$B$5:$B$54,MATCH(B141,Müşteriler!$A$5:$A$54,0)),0))</f>
        <v/>
      </c>
    </row>
    <row r="142" customFormat="false" ht="15" hidden="false" customHeight="false" outlineLevel="0" collapsed="false">
      <c r="A142" s="12"/>
      <c r="B142" s="13"/>
      <c r="C142" s="14"/>
      <c r="D142" s="14"/>
      <c r="E142" s="15"/>
      <c r="F142" s="13"/>
      <c r="G142" s="16" t="str">
        <f aca="false">IF(OR(B142="",E142=""),"",E142*IFERROR(INDEX(Müşteriler!$B$5:$B$54,MATCH(B142,Müşteriler!$A$5:$A$54,0)),0))</f>
        <v/>
      </c>
    </row>
    <row r="143" customFormat="false" ht="15" hidden="false" customHeight="false" outlineLevel="0" collapsed="false">
      <c r="A143" s="12"/>
      <c r="B143" s="13"/>
      <c r="C143" s="14"/>
      <c r="D143" s="14"/>
      <c r="E143" s="15"/>
      <c r="F143" s="13"/>
      <c r="G143" s="16" t="str">
        <f aca="false">IF(OR(B143="",E143=""),"",E143*IFERROR(INDEX(Müşteriler!$B$5:$B$54,MATCH(B143,Müşteriler!$A$5:$A$54,0)),0))</f>
        <v/>
      </c>
    </row>
    <row r="144" customFormat="false" ht="15" hidden="false" customHeight="false" outlineLevel="0" collapsed="false">
      <c r="A144" s="12"/>
      <c r="B144" s="13"/>
      <c r="C144" s="14"/>
      <c r="D144" s="14"/>
      <c r="E144" s="15"/>
      <c r="F144" s="13"/>
      <c r="G144" s="16" t="str">
        <f aca="false">IF(OR(B144="",E144=""),"",E144*IFERROR(INDEX(Müşteriler!$B$5:$B$54,MATCH(B144,Müşteriler!$A$5:$A$54,0)),0))</f>
        <v/>
      </c>
    </row>
    <row r="145" customFormat="false" ht="15" hidden="false" customHeight="false" outlineLevel="0" collapsed="false">
      <c r="A145" s="12"/>
      <c r="B145" s="13"/>
      <c r="C145" s="14"/>
      <c r="D145" s="14"/>
      <c r="E145" s="15"/>
      <c r="F145" s="13"/>
      <c r="G145" s="16" t="str">
        <f aca="false">IF(OR(B145="",E145=""),"",E145*IFERROR(INDEX(Müşteriler!$B$5:$B$54,MATCH(B145,Müşteriler!$A$5:$A$54,0)),0))</f>
        <v/>
      </c>
    </row>
    <row r="146" customFormat="false" ht="15" hidden="false" customHeight="false" outlineLevel="0" collapsed="false">
      <c r="A146" s="12"/>
      <c r="B146" s="13"/>
      <c r="C146" s="14"/>
      <c r="D146" s="14"/>
      <c r="E146" s="15"/>
      <c r="F146" s="13"/>
      <c r="G146" s="16" t="str">
        <f aca="false">IF(OR(B146="",E146=""),"",E146*IFERROR(INDEX(Müşteriler!$B$5:$B$54,MATCH(B146,Müşteriler!$A$5:$A$54,0)),0))</f>
        <v/>
      </c>
    </row>
    <row r="147" customFormat="false" ht="15" hidden="false" customHeight="false" outlineLevel="0" collapsed="false">
      <c r="A147" s="12"/>
      <c r="B147" s="13"/>
      <c r="C147" s="14"/>
      <c r="D147" s="14"/>
      <c r="E147" s="15"/>
      <c r="F147" s="13"/>
      <c r="G147" s="16" t="str">
        <f aca="false">IF(OR(B147="",E147=""),"",E147*IFERROR(INDEX(Müşteriler!$B$5:$B$54,MATCH(B147,Müşteriler!$A$5:$A$54,0)),0))</f>
        <v/>
      </c>
    </row>
    <row r="148" customFormat="false" ht="15" hidden="false" customHeight="false" outlineLevel="0" collapsed="false">
      <c r="A148" s="12"/>
      <c r="B148" s="13"/>
      <c r="C148" s="14"/>
      <c r="D148" s="14"/>
      <c r="E148" s="15"/>
      <c r="F148" s="13"/>
      <c r="G148" s="16" t="str">
        <f aca="false">IF(OR(B148="",E148=""),"",E148*IFERROR(INDEX(Müşteriler!$B$5:$B$54,MATCH(B148,Müşteriler!$A$5:$A$54,0)),0))</f>
        <v/>
      </c>
    </row>
    <row r="149" customFormat="false" ht="15" hidden="false" customHeight="false" outlineLevel="0" collapsed="false">
      <c r="A149" s="12"/>
      <c r="B149" s="13"/>
      <c r="C149" s="14"/>
      <c r="D149" s="14"/>
      <c r="E149" s="15"/>
      <c r="F149" s="13"/>
      <c r="G149" s="16" t="str">
        <f aca="false">IF(OR(B149="",E149=""),"",E149*IFERROR(INDEX(Müşteriler!$B$5:$B$54,MATCH(B149,Müşteriler!$A$5:$A$54,0)),0))</f>
        <v/>
      </c>
    </row>
    <row r="150" customFormat="false" ht="15" hidden="false" customHeight="false" outlineLevel="0" collapsed="false">
      <c r="A150" s="12"/>
      <c r="B150" s="13"/>
      <c r="C150" s="14"/>
      <c r="D150" s="14"/>
      <c r="E150" s="15"/>
      <c r="F150" s="13"/>
      <c r="G150" s="16" t="str">
        <f aca="false">IF(OR(B150="",E150=""),"",E150*IFERROR(INDEX(Müşteriler!$B$5:$B$54,MATCH(B150,Müşteriler!$A$5:$A$54,0)),0))</f>
        <v/>
      </c>
    </row>
    <row r="151" customFormat="false" ht="15" hidden="false" customHeight="false" outlineLevel="0" collapsed="false">
      <c r="A151" s="12"/>
      <c r="B151" s="13"/>
      <c r="C151" s="14"/>
      <c r="D151" s="14"/>
      <c r="E151" s="15"/>
      <c r="F151" s="13"/>
      <c r="G151" s="16" t="str">
        <f aca="false">IF(OR(B151="",E151=""),"",E151*IFERROR(INDEX(Müşteriler!$B$5:$B$54,MATCH(B151,Müşteriler!$A$5:$A$54,0)),0))</f>
        <v/>
      </c>
    </row>
    <row r="152" customFormat="false" ht="15" hidden="false" customHeight="false" outlineLevel="0" collapsed="false">
      <c r="A152" s="12"/>
      <c r="B152" s="13"/>
      <c r="C152" s="14"/>
      <c r="D152" s="14"/>
      <c r="E152" s="15"/>
      <c r="F152" s="13"/>
      <c r="G152" s="16" t="str">
        <f aca="false">IF(OR(B152="",E152=""),"",E152*IFERROR(INDEX(Müşteriler!$B$5:$B$54,MATCH(B152,Müşteriler!$A$5:$A$54,0)),0))</f>
        <v/>
      </c>
    </row>
    <row r="153" customFormat="false" ht="15" hidden="false" customHeight="false" outlineLevel="0" collapsed="false">
      <c r="A153" s="12"/>
      <c r="B153" s="13"/>
      <c r="C153" s="14"/>
      <c r="D153" s="14"/>
      <c r="E153" s="15"/>
      <c r="F153" s="13"/>
      <c r="G153" s="16" t="str">
        <f aca="false">IF(OR(B153="",E153=""),"",E153*IFERROR(INDEX(Müşteriler!$B$5:$B$54,MATCH(B153,Müşteriler!$A$5:$A$54,0)),0))</f>
        <v/>
      </c>
    </row>
    <row r="154" customFormat="false" ht="15" hidden="false" customHeight="false" outlineLevel="0" collapsed="false">
      <c r="A154" s="12"/>
      <c r="B154" s="13"/>
      <c r="C154" s="14"/>
      <c r="D154" s="14"/>
      <c r="E154" s="15"/>
      <c r="F154" s="13"/>
      <c r="G154" s="16" t="str">
        <f aca="false">IF(OR(B154="",E154=""),"",E154*IFERROR(INDEX(Müşteriler!$B$5:$B$54,MATCH(B154,Müşteriler!$A$5:$A$54,0)),0))</f>
        <v/>
      </c>
    </row>
    <row r="155" customFormat="false" ht="15" hidden="false" customHeight="false" outlineLevel="0" collapsed="false">
      <c r="A155" s="12"/>
      <c r="B155" s="13"/>
      <c r="C155" s="14"/>
      <c r="D155" s="14"/>
      <c r="E155" s="15"/>
      <c r="F155" s="13"/>
      <c r="G155" s="16" t="str">
        <f aca="false">IF(OR(B155="",E155=""),"",E155*IFERROR(INDEX(Müşteriler!$B$5:$B$54,MATCH(B155,Müşteriler!$A$5:$A$54,0)),0))</f>
        <v/>
      </c>
    </row>
    <row r="156" customFormat="false" ht="15" hidden="false" customHeight="false" outlineLevel="0" collapsed="false">
      <c r="A156" s="12"/>
      <c r="B156" s="13"/>
      <c r="C156" s="14"/>
      <c r="D156" s="14"/>
      <c r="E156" s="15"/>
      <c r="F156" s="13"/>
      <c r="G156" s="16" t="str">
        <f aca="false">IF(OR(B156="",E156=""),"",E156*IFERROR(INDEX(Müşteriler!$B$5:$B$54,MATCH(B156,Müşteriler!$A$5:$A$54,0)),0))</f>
        <v/>
      </c>
    </row>
    <row r="157" customFormat="false" ht="15" hidden="false" customHeight="false" outlineLevel="0" collapsed="false">
      <c r="A157" s="12"/>
      <c r="B157" s="13"/>
      <c r="C157" s="14"/>
      <c r="D157" s="14"/>
      <c r="E157" s="15"/>
      <c r="F157" s="13"/>
      <c r="G157" s="16" t="str">
        <f aca="false">IF(OR(B157="",E157=""),"",E157*IFERROR(INDEX(Müşteriler!$B$5:$B$54,MATCH(B157,Müşteriler!$A$5:$A$54,0)),0))</f>
        <v/>
      </c>
    </row>
    <row r="158" customFormat="false" ht="15" hidden="false" customHeight="false" outlineLevel="0" collapsed="false">
      <c r="A158" s="12"/>
      <c r="B158" s="13"/>
      <c r="C158" s="14"/>
      <c r="D158" s="14"/>
      <c r="E158" s="15"/>
      <c r="F158" s="13"/>
      <c r="G158" s="16" t="str">
        <f aca="false">IF(OR(B158="",E158=""),"",E158*IFERROR(INDEX(Müşteriler!$B$5:$B$54,MATCH(B158,Müşteriler!$A$5:$A$54,0)),0))</f>
        <v/>
      </c>
    </row>
    <row r="159" customFormat="false" ht="15" hidden="false" customHeight="false" outlineLevel="0" collapsed="false">
      <c r="A159" s="12"/>
      <c r="B159" s="13"/>
      <c r="C159" s="14"/>
      <c r="D159" s="14"/>
      <c r="E159" s="15"/>
      <c r="F159" s="13"/>
      <c r="G159" s="16" t="str">
        <f aca="false">IF(OR(B159="",E159=""),"",E159*IFERROR(INDEX(Müşteriler!$B$5:$B$54,MATCH(B159,Müşteriler!$A$5:$A$54,0)),0))</f>
        <v/>
      </c>
    </row>
    <row r="160" customFormat="false" ht="15" hidden="false" customHeight="false" outlineLevel="0" collapsed="false">
      <c r="A160" s="12"/>
      <c r="B160" s="13"/>
      <c r="C160" s="14"/>
      <c r="D160" s="14"/>
      <c r="E160" s="15"/>
      <c r="F160" s="13"/>
      <c r="G160" s="16" t="str">
        <f aca="false">IF(OR(B160="",E160=""),"",E160*IFERROR(INDEX(Müşteriler!$B$5:$B$54,MATCH(B160,Müşteriler!$A$5:$A$54,0)),0))</f>
        <v/>
      </c>
    </row>
    <row r="161" customFormat="false" ht="15" hidden="false" customHeight="false" outlineLevel="0" collapsed="false">
      <c r="A161" s="12"/>
      <c r="B161" s="13"/>
      <c r="C161" s="14"/>
      <c r="D161" s="14"/>
      <c r="E161" s="15"/>
      <c r="F161" s="13"/>
      <c r="G161" s="16" t="str">
        <f aca="false">IF(OR(B161="",E161=""),"",E161*IFERROR(INDEX(Müşteriler!$B$5:$B$54,MATCH(B161,Müşteriler!$A$5:$A$54,0)),0))</f>
        <v/>
      </c>
    </row>
    <row r="162" customFormat="false" ht="15" hidden="false" customHeight="false" outlineLevel="0" collapsed="false">
      <c r="A162" s="12"/>
      <c r="B162" s="13"/>
      <c r="C162" s="14"/>
      <c r="D162" s="14"/>
      <c r="E162" s="15"/>
      <c r="F162" s="13"/>
      <c r="G162" s="16" t="str">
        <f aca="false">IF(OR(B162="",E162=""),"",E162*IFERROR(INDEX(Müşteriler!$B$5:$B$54,MATCH(B162,Müşteriler!$A$5:$A$54,0)),0))</f>
        <v/>
      </c>
    </row>
    <row r="163" customFormat="false" ht="15" hidden="false" customHeight="false" outlineLevel="0" collapsed="false">
      <c r="A163" s="12"/>
      <c r="B163" s="13"/>
      <c r="C163" s="14"/>
      <c r="D163" s="14"/>
      <c r="E163" s="15"/>
      <c r="F163" s="13"/>
      <c r="G163" s="16" t="str">
        <f aca="false">IF(OR(B163="",E163=""),"",E163*IFERROR(INDEX(Müşteriler!$B$5:$B$54,MATCH(B163,Müşteriler!$A$5:$A$54,0)),0))</f>
        <v/>
      </c>
    </row>
    <row r="164" customFormat="false" ht="15" hidden="false" customHeight="false" outlineLevel="0" collapsed="false">
      <c r="A164" s="12"/>
      <c r="B164" s="13"/>
      <c r="C164" s="14"/>
      <c r="D164" s="14"/>
      <c r="E164" s="15"/>
      <c r="F164" s="13"/>
      <c r="G164" s="16" t="str">
        <f aca="false">IF(OR(B164="",E164=""),"",E164*IFERROR(INDEX(Müşteriler!$B$5:$B$54,MATCH(B164,Müşteriler!$A$5:$A$54,0)),0))</f>
        <v/>
      </c>
    </row>
    <row r="165" customFormat="false" ht="15" hidden="false" customHeight="false" outlineLevel="0" collapsed="false">
      <c r="A165" s="12"/>
      <c r="B165" s="13"/>
      <c r="C165" s="14"/>
      <c r="D165" s="14"/>
      <c r="E165" s="15"/>
      <c r="F165" s="13"/>
      <c r="G165" s="16" t="str">
        <f aca="false">IF(OR(B165="",E165=""),"",E165*IFERROR(INDEX(Müşteriler!$B$5:$B$54,MATCH(B165,Müşteriler!$A$5:$A$54,0)),0))</f>
        <v/>
      </c>
    </row>
    <row r="166" customFormat="false" ht="15" hidden="false" customHeight="false" outlineLevel="0" collapsed="false">
      <c r="A166" s="12"/>
      <c r="B166" s="13"/>
      <c r="C166" s="14"/>
      <c r="D166" s="14"/>
      <c r="E166" s="15"/>
      <c r="F166" s="13"/>
      <c r="G166" s="16" t="str">
        <f aca="false">IF(OR(B166="",E166=""),"",E166*IFERROR(INDEX(Müşteriler!$B$5:$B$54,MATCH(B166,Müşteriler!$A$5:$A$54,0)),0))</f>
        <v/>
      </c>
    </row>
    <row r="167" customFormat="false" ht="15" hidden="false" customHeight="false" outlineLevel="0" collapsed="false">
      <c r="A167" s="12"/>
      <c r="B167" s="13"/>
      <c r="C167" s="14"/>
      <c r="D167" s="14"/>
      <c r="E167" s="15"/>
      <c r="F167" s="13"/>
      <c r="G167" s="16" t="str">
        <f aca="false">IF(OR(B167="",E167=""),"",E167*IFERROR(INDEX(Müşteriler!$B$5:$B$54,MATCH(B167,Müşteriler!$A$5:$A$54,0)),0))</f>
        <v/>
      </c>
    </row>
    <row r="168" customFormat="false" ht="15" hidden="false" customHeight="false" outlineLevel="0" collapsed="false">
      <c r="A168" s="12"/>
      <c r="B168" s="13"/>
      <c r="C168" s="14"/>
      <c r="D168" s="14"/>
      <c r="E168" s="15"/>
      <c r="F168" s="13"/>
      <c r="G168" s="16" t="str">
        <f aca="false">IF(OR(B168="",E168=""),"",E168*IFERROR(INDEX(Müşteriler!$B$5:$B$54,MATCH(B168,Müşteriler!$A$5:$A$54,0)),0))</f>
        <v/>
      </c>
    </row>
    <row r="169" customFormat="false" ht="15" hidden="false" customHeight="false" outlineLevel="0" collapsed="false">
      <c r="A169" s="12"/>
      <c r="B169" s="13"/>
      <c r="C169" s="14"/>
      <c r="D169" s="14"/>
      <c r="E169" s="15"/>
      <c r="F169" s="13"/>
      <c r="G169" s="16" t="str">
        <f aca="false">IF(OR(B169="",E169=""),"",E169*IFERROR(INDEX(Müşteriler!$B$5:$B$54,MATCH(B169,Müşteriler!$A$5:$A$54,0)),0))</f>
        <v/>
      </c>
    </row>
    <row r="170" customFormat="false" ht="15" hidden="false" customHeight="false" outlineLevel="0" collapsed="false">
      <c r="A170" s="12"/>
      <c r="B170" s="13"/>
      <c r="C170" s="14"/>
      <c r="D170" s="14"/>
      <c r="E170" s="15"/>
      <c r="F170" s="13"/>
      <c r="G170" s="16" t="str">
        <f aca="false">IF(OR(B170="",E170=""),"",E170*IFERROR(INDEX(Müşteriler!$B$5:$B$54,MATCH(B170,Müşteriler!$A$5:$A$54,0)),0))</f>
        <v/>
      </c>
    </row>
    <row r="171" customFormat="false" ht="15" hidden="false" customHeight="false" outlineLevel="0" collapsed="false">
      <c r="A171" s="12"/>
      <c r="B171" s="13"/>
      <c r="C171" s="14"/>
      <c r="D171" s="14"/>
      <c r="E171" s="15"/>
      <c r="F171" s="13"/>
      <c r="G171" s="16" t="str">
        <f aca="false">IF(OR(B171="",E171=""),"",E171*IFERROR(INDEX(Müşteriler!$B$5:$B$54,MATCH(B171,Müşteriler!$A$5:$A$54,0)),0))</f>
        <v/>
      </c>
    </row>
    <row r="172" customFormat="false" ht="15" hidden="false" customHeight="false" outlineLevel="0" collapsed="false">
      <c r="A172" s="12"/>
      <c r="B172" s="13"/>
      <c r="C172" s="14"/>
      <c r="D172" s="14"/>
      <c r="E172" s="15"/>
      <c r="F172" s="13"/>
      <c r="G172" s="16" t="str">
        <f aca="false">IF(OR(B172="",E172=""),"",E172*IFERROR(INDEX(Müşteriler!$B$5:$B$54,MATCH(B172,Müşteriler!$A$5:$A$54,0)),0))</f>
        <v/>
      </c>
    </row>
    <row r="173" customFormat="false" ht="15" hidden="false" customHeight="false" outlineLevel="0" collapsed="false">
      <c r="A173" s="12"/>
      <c r="B173" s="13"/>
      <c r="C173" s="14"/>
      <c r="D173" s="14"/>
      <c r="E173" s="15"/>
      <c r="F173" s="13"/>
      <c r="G173" s="16" t="str">
        <f aca="false">IF(OR(B173="",E173=""),"",E173*IFERROR(INDEX(Müşteriler!$B$5:$B$54,MATCH(B173,Müşteriler!$A$5:$A$54,0)),0))</f>
        <v/>
      </c>
    </row>
    <row r="174" customFormat="false" ht="15" hidden="false" customHeight="false" outlineLevel="0" collapsed="false">
      <c r="A174" s="12"/>
      <c r="B174" s="13"/>
      <c r="C174" s="14"/>
      <c r="D174" s="14"/>
      <c r="E174" s="15"/>
      <c r="F174" s="13"/>
      <c r="G174" s="16" t="str">
        <f aca="false">IF(OR(B174="",E174=""),"",E174*IFERROR(INDEX(Müşteriler!$B$5:$B$54,MATCH(B174,Müşteriler!$A$5:$A$54,0)),0))</f>
        <v/>
      </c>
    </row>
    <row r="175" customFormat="false" ht="15" hidden="false" customHeight="false" outlineLevel="0" collapsed="false">
      <c r="A175" s="12"/>
      <c r="B175" s="13"/>
      <c r="C175" s="14"/>
      <c r="D175" s="14"/>
      <c r="E175" s="15"/>
      <c r="F175" s="13"/>
      <c r="G175" s="16" t="str">
        <f aca="false">IF(OR(B175="",E175=""),"",E175*IFERROR(INDEX(Müşteriler!$B$5:$B$54,MATCH(B175,Müşteriler!$A$5:$A$54,0)),0))</f>
        <v/>
      </c>
    </row>
    <row r="176" customFormat="false" ht="15" hidden="false" customHeight="false" outlineLevel="0" collapsed="false">
      <c r="A176" s="12"/>
      <c r="B176" s="13"/>
      <c r="C176" s="14"/>
      <c r="D176" s="14"/>
      <c r="E176" s="15"/>
      <c r="F176" s="13"/>
      <c r="G176" s="16" t="str">
        <f aca="false">IF(OR(B176="",E176=""),"",E176*IFERROR(INDEX(Müşteriler!$B$5:$B$54,MATCH(B176,Müşteriler!$A$5:$A$54,0)),0))</f>
        <v/>
      </c>
    </row>
    <row r="177" customFormat="false" ht="15" hidden="false" customHeight="false" outlineLevel="0" collapsed="false">
      <c r="A177" s="12"/>
      <c r="B177" s="13"/>
      <c r="C177" s="14"/>
      <c r="D177" s="14"/>
      <c r="E177" s="15"/>
      <c r="F177" s="13"/>
      <c r="G177" s="16" t="str">
        <f aca="false">IF(OR(B177="",E177=""),"",E177*IFERROR(INDEX(Müşteriler!$B$5:$B$54,MATCH(B177,Müşteriler!$A$5:$A$54,0)),0))</f>
        <v/>
      </c>
    </row>
    <row r="178" customFormat="false" ht="15" hidden="false" customHeight="false" outlineLevel="0" collapsed="false">
      <c r="A178" s="12"/>
      <c r="B178" s="13"/>
      <c r="C178" s="14"/>
      <c r="D178" s="14"/>
      <c r="E178" s="15"/>
      <c r="F178" s="13"/>
      <c r="G178" s="16" t="str">
        <f aca="false">IF(OR(B178="",E178=""),"",E178*IFERROR(INDEX(Müşteriler!$B$5:$B$54,MATCH(B178,Müşteriler!$A$5:$A$54,0)),0))</f>
        <v/>
      </c>
    </row>
    <row r="179" customFormat="false" ht="15" hidden="false" customHeight="false" outlineLevel="0" collapsed="false">
      <c r="A179" s="12"/>
      <c r="B179" s="13"/>
      <c r="C179" s="14"/>
      <c r="D179" s="14"/>
      <c r="E179" s="15"/>
      <c r="F179" s="13"/>
      <c r="G179" s="16" t="str">
        <f aca="false">IF(OR(B179="",E179=""),"",E179*IFERROR(INDEX(Müşteriler!$B$5:$B$54,MATCH(B179,Müşteriler!$A$5:$A$54,0)),0))</f>
        <v/>
      </c>
    </row>
    <row r="180" customFormat="false" ht="15" hidden="false" customHeight="false" outlineLevel="0" collapsed="false">
      <c r="A180" s="12"/>
      <c r="B180" s="13"/>
      <c r="C180" s="14"/>
      <c r="D180" s="14"/>
      <c r="E180" s="15"/>
      <c r="F180" s="13"/>
      <c r="G180" s="16" t="str">
        <f aca="false">IF(OR(B180="",E180=""),"",E180*IFERROR(INDEX(Müşteriler!$B$5:$B$54,MATCH(B180,Müşteriler!$A$5:$A$54,0)),0))</f>
        <v/>
      </c>
    </row>
    <row r="181" customFormat="false" ht="15" hidden="false" customHeight="false" outlineLevel="0" collapsed="false">
      <c r="A181" s="12"/>
      <c r="B181" s="13"/>
      <c r="C181" s="14"/>
      <c r="D181" s="14"/>
      <c r="E181" s="15"/>
      <c r="F181" s="13"/>
      <c r="G181" s="16" t="str">
        <f aca="false">IF(OR(B181="",E181=""),"",E181*IFERROR(INDEX(Müşteriler!$B$5:$B$54,MATCH(B181,Müşteriler!$A$5:$A$54,0)),0))</f>
        <v/>
      </c>
    </row>
    <row r="182" customFormat="false" ht="15" hidden="false" customHeight="false" outlineLevel="0" collapsed="false">
      <c r="A182" s="12"/>
      <c r="B182" s="13"/>
      <c r="C182" s="14"/>
      <c r="D182" s="14"/>
      <c r="E182" s="15"/>
      <c r="F182" s="13"/>
      <c r="G182" s="16" t="str">
        <f aca="false">IF(OR(B182="",E182=""),"",E182*IFERROR(INDEX(Müşteriler!$B$5:$B$54,MATCH(B182,Müşteriler!$A$5:$A$54,0)),0))</f>
        <v/>
      </c>
    </row>
    <row r="183" customFormat="false" ht="15" hidden="false" customHeight="false" outlineLevel="0" collapsed="false">
      <c r="A183" s="12"/>
      <c r="B183" s="13"/>
      <c r="C183" s="14"/>
      <c r="D183" s="14"/>
      <c r="E183" s="15"/>
      <c r="F183" s="13"/>
      <c r="G183" s="16" t="str">
        <f aca="false">IF(OR(B183="",E183=""),"",E183*IFERROR(INDEX(Müşteriler!$B$5:$B$54,MATCH(B183,Müşteriler!$A$5:$A$54,0)),0))</f>
        <v/>
      </c>
    </row>
    <row r="184" customFormat="false" ht="15" hidden="false" customHeight="false" outlineLevel="0" collapsed="false">
      <c r="A184" s="12"/>
      <c r="B184" s="13"/>
      <c r="C184" s="14"/>
      <c r="D184" s="14"/>
      <c r="E184" s="15"/>
      <c r="F184" s="13"/>
      <c r="G184" s="16" t="str">
        <f aca="false">IF(OR(B184="",E184=""),"",E184*IFERROR(INDEX(Müşteriler!$B$5:$B$54,MATCH(B184,Müşteriler!$A$5:$A$54,0)),0))</f>
        <v/>
      </c>
    </row>
    <row r="185" customFormat="false" ht="15" hidden="false" customHeight="false" outlineLevel="0" collapsed="false">
      <c r="A185" s="12"/>
      <c r="B185" s="13"/>
      <c r="C185" s="14"/>
      <c r="D185" s="14"/>
      <c r="E185" s="15"/>
      <c r="F185" s="13"/>
      <c r="G185" s="16" t="str">
        <f aca="false">IF(OR(B185="",E185=""),"",E185*IFERROR(INDEX(Müşteriler!$B$5:$B$54,MATCH(B185,Müşteriler!$A$5:$A$54,0)),0))</f>
        <v/>
      </c>
    </row>
    <row r="186" customFormat="false" ht="15" hidden="false" customHeight="false" outlineLevel="0" collapsed="false">
      <c r="A186" s="12"/>
      <c r="B186" s="13"/>
      <c r="C186" s="14"/>
      <c r="D186" s="14"/>
      <c r="E186" s="15"/>
      <c r="F186" s="13"/>
      <c r="G186" s="16" t="str">
        <f aca="false">IF(OR(B186="",E186=""),"",E186*IFERROR(INDEX(Müşteriler!$B$5:$B$54,MATCH(B186,Müşteriler!$A$5:$A$54,0)),0))</f>
        <v/>
      </c>
    </row>
    <row r="187" customFormat="false" ht="15" hidden="false" customHeight="false" outlineLevel="0" collapsed="false">
      <c r="A187" s="12"/>
      <c r="B187" s="13"/>
      <c r="C187" s="14"/>
      <c r="D187" s="14"/>
      <c r="E187" s="15"/>
      <c r="F187" s="13"/>
      <c r="G187" s="16" t="str">
        <f aca="false">IF(OR(B187="",E187=""),"",E187*IFERROR(INDEX(Müşteriler!$B$5:$B$54,MATCH(B187,Müşteriler!$A$5:$A$54,0)),0))</f>
        <v/>
      </c>
    </row>
    <row r="188" customFormat="false" ht="15" hidden="false" customHeight="false" outlineLevel="0" collapsed="false">
      <c r="A188" s="12"/>
      <c r="B188" s="13"/>
      <c r="C188" s="14"/>
      <c r="D188" s="14"/>
      <c r="E188" s="15"/>
      <c r="F188" s="13"/>
      <c r="G188" s="16" t="str">
        <f aca="false">IF(OR(B188="",E188=""),"",E188*IFERROR(INDEX(Müşteriler!$B$5:$B$54,MATCH(B188,Müşteriler!$A$5:$A$54,0)),0))</f>
        <v/>
      </c>
    </row>
    <row r="189" customFormat="false" ht="15" hidden="false" customHeight="false" outlineLevel="0" collapsed="false">
      <c r="A189" s="12"/>
      <c r="B189" s="13"/>
      <c r="C189" s="14"/>
      <c r="D189" s="14"/>
      <c r="E189" s="15"/>
      <c r="F189" s="13"/>
      <c r="G189" s="16" t="str">
        <f aca="false">IF(OR(B189="",E189=""),"",E189*IFERROR(INDEX(Müşteriler!$B$5:$B$54,MATCH(B189,Müşteriler!$A$5:$A$54,0)),0))</f>
        <v/>
      </c>
    </row>
    <row r="190" customFormat="false" ht="15" hidden="false" customHeight="false" outlineLevel="0" collapsed="false">
      <c r="A190" s="12"/>
      <c r="B190" s="13"/>
      <c r="C190" s="14"/>
      <c r="D190" s="14"/>
      <c r="E190" s="15"/>
      <c r="F190" s="13"/>
      <c r="G190" s="16" t="str">
        <f aca="false">IF(OR(B190="",E190=""),"",E190*IFERROR(INDEX(Müşteriler!$B$5:$B$54,MATCH(B190,Müşteriler!$A$5:$A$54,0)),0))</f>
        <v/>
      </c>
    </row>
    <row r="191" customFormat="false" ht="15" hidden="false" customHeight="false" outlineLevel="0" collapsed="false">
      <c r="A191" s="12"/>
      <c r="B191" s="13"/>
      <c r="C191" s="14"/>
      <c r="D191" s="14"/>
      <c r="E191" s="15"/>
      <c r="F191" s="13"/>
      <c r="G191" s="16" t="str">
        <f aca="false">IF(OR(B191="",E191=""),"",E191*IFERROR(INDEX(Müşteriler!$B$5:$B$54,MATCH(B191,Müşteriler!$A$5:$A$54,0)),0))</f>
        <v/>
      </c>
    </row>
    <row r="192" customFormat="false" ht="15" hidden="false" customHeight="false" outlineLevel="0" collapsed="false">
      <c r="A192" s="12"/>
      <c r="B192" s="13"/>
      <c r="C192" s="14"/>
      <c r="D192" s="14"/>
      <c r="E192" s="15"/>
      <c r="F192" s="13"/>
      <c r="G192" s="16" t="str">
        <f aca="false">IF(OR(B192="",E192=""),"",E192*IFERROR(INDEX(Müşteriler!$B$5:$B$54,MATCH(B192,Müşteriler!$A$5:$A$54,0)),0))</f>
        <v/>
      </c>
    </row>
    <row r="193" customFormat="false" ht="15" hidden="false" customHeight="false" outlineLevel="0" collapsed="false">
      <c r="A193" s="12"/>
      <c r="B193" s="13"/>
      <c r="C193" s="14"/>
      <c r="D193" s="14"/>
      <c r="E193" s="15"/>
      <c r="F193" s="13"/>
      <c r="G193" s="16" t="str">
        <f aca="false">IF(OR(B193="",E193=""),"",E193*IFERROR(INDEX(Müşteriler!$B$5:$B$54,MATCH(B193,Müşteriler!$A$5:$A$54,0)),0))</f>
        <v/>
      </c>
    </row>
    <row r="194" customFormat="false" ht="15" hidden="false" customHeight="false" outlineLevel="0" collapsed="false">
      <c r="A194" s="12"/>
      <c r="B194" s="13"/>
      <c r="C194" s="14"/>
      <c r="D194" s="14"/>
      <c r="E194" s="15"/>
      <c r="F194" s="13"/>
      <c r="G194" s="16" t="str">
        <f aca="false">IF(OR(B194="",E194=""),"",E194*IFERROR(INDEX(Müşteriler!$B$5:$B$54,MATCH(B194,Müşteriler!$A$5:$A$54,0)),0))</f>
        <v/>
      </c>
    </row>
    <row r="195" customFormat="false" ht="15" hidden="false" customHeight="false" outlineLevel="0" collapsed="false">
      <c r="A195" s="12"/>
      <c r="B195" s="13"/>
      <c r="C195" s="14"/>
      <c r="D195" s="14"/>
      <c r="E195" s="15"/>
      <c r="F195" s="13"/>
      <c r="G195" s="16" t="str">
        <f aca="false">IF(OR(B195="",E195=""),"",E195*IFERROR(INDEX(Müşteriler!$B$5:$B$54,MATCH(B195,Müşteriler!$A$5:$A$54,0)),0))</f>
        <v/>
      </c>
    </row>
    <row r="196" customFormat="false" ht="15" hidden="false" customHeight="false" outlineLevel="0" collapsed="false">
      <c r="A196" s="12"/>
      <c r="B196" s="13"/>
      <c r="C196" s="14"/>
      <c r="D196" s="14"/>
      <c r="E196" s="15"/>
      <c r="F196" s="13"/>
      <c r="G196" s="16" t="str">
        <f aca="false">IF(OR(B196="",E196=""),"",E196*IFERROR(INDEX(Müşteriler!$B$5:$B$54,MATCH(B196,Müşteriler!$A$5:$A$54,0)),0))</f>
        <v/>
      </c>
    </row>
    <row r="197" customFormat="false" ht="15" hidden="false" customHeight="false" outlineLevel="0" collapsed="false">
      <c r="A197" s="12"/>
      <c r="B197" s="13"/>
      <c r="C197" s="14"/>
      <c r="D197" s="14"/>
      <c r="E197" s="15"/>
      <c r="F197" s="13"/>
      <c r="G197" s="16" t="str">
        <f aca="false">IF(OR(B197="",E197=""),"",E197*IFERROR(INDEX(Müşteriler!$B$5:$B$54,MATCH(B197,Müşteriler!$A$5:$A$54,0)),0))</f>
        <v/>
      </c>
    </row>
    <row r="198" customFormat="false" ht="15" hidden="false" customHeight="false" outlineLevel="0" collapsed="false">
      <c r="A198" s="12"/>
      <c r="B198" s="13"/>
      <c r="C198" s="14"/>
      <c r="D198" s="14"/>
      <c r="E198" s="15"/>
      <c r="F198" s="13"/>
      <c r="G198" s="16" t="str">
        <f aca="false">IF(OR(B198="",E198=""),"",E198*IFERROR(INDEX(Müşteriler!$B$5:$B$54,MATCH(B198,Müşteriler!$A$5:$A$54,0)),0))</f>
        <v/>
      </c>
    </row>
    <row r="199" customFormat="false" ht="15" hidden="false" customHeight="false" outlineLevel="0" collapsed="false">
      <c r="A199" s="12"/>
      <c r="B199" s="13"/>
      <c r="C199" s="14"/>
      <c r="D199" s="14"/>
      <c r="E199" s="15"/>
      <c r="F199" s="13"/>
      <c r="G199" s="16" t="str">
        <f aca="false">IF(OR(B199="",E199=""),"",E199*IFERROR(INDEX(Müşteriler!$B$5:$B$54,MATCH(B199,Müşteriler!$A$5:$A$54,0)),0))</f>
        <v/>
      </c>
    </row>
    <row r="200" customFormat="false" ht="15" hidden="false" customHeight="false" outlineLevel="0" collapsed="false">
      <c r="A200" s="12"/>
      <c r="B200" s="13"/>
      <c r="C200" s="14"/>
      <c r="D200" s="14"/>
      <c r="E200" s="15"/>
      <c r="F200" s="13"/>
      <c r="G200" s="16" t="str">
        <f aca="false">IF(OR(B200="",E200=""),"",E200*IFERROR(INDEX(Müşteriler!$B$5:$B$54,MATCH(B200,Müşteriler!$A$5:$A$54,0)),0))</f>
        <v/>
      </c>
    </row>
    <row r="201" customFormat="false" ht="15" hidden="false" customHeight="false" outlineLevel="0" collapsed="false">
      <c r="A201" s="12"/>
      <c r="B201" s="13"/>
      <c r="C201" s="14"/>
      <c r="D201" s="14"/>
      <c r="E201" s="15"/>
      <c r="F201" s="13"/>
      <c r="G201" s="16" t="str">
        <f aca="false">IF(OR(B201="",E201=""),"",E201*IFERROR(INDEX(Müşteriler!$B$5:$B$54,MATCH(B201,Müşteriler!$A$5:$A$54,0)),0))</f>
        <v/>
      </c>
    </row>
    <row r="202" customFormat="false" ht="15" hidden="false" customHeight="false" outlineLevel="0" collapsed="false">
      <c r="A202" s="12"/>
      <c r="B202" s="13"/>
      <c r="C202" s="14"/>
      <c r="D202" s="14"/>
      <c r="E202" s="15"/>
      <c r="F202" s="13"/>
      <c r="G202" s="16" t="str">
        <f aca="false">IF(OR(B202="",E202=""),"",E202*IFERROR(INDEX(Müşteriler!$B$5:$B$54,MATCH(B202,Müşteriler!$A$5:$A$54,0)),0))</f>
        <v/>
      </c>
    </row>
    <row r="203" customFormat="false" ht="15" hidden="false" customHeight="false" outlineLevel="0" collapsed="false">
      <c r="A203" s="12"/>
      <c r="B203" s="13"/>
      <c r="C203" s="14"/>
      <c r="D203" s="14"/>
      <c r="E203" s="15"/>
      <c r="F203" s="13"/>
      <c r="G203" s="16" t="str">
        <f aca="false">IF(OR(B203="",E203=""),"",E203*IFERROR(INDEX(Müşteriler!$B$5:$B$54,MATCH(B203,Müşteriler!$A$5:$A$54,0)),0))</f>
        <v/>
      </c>
    </row>
    <row r="204" customFormat="false" ht="15" hidden="false" customHeight="false" outlineLevel="0" collapsed="false">
      <c r="A204" s="12"/>
      <c r="B204" s="13"/>
      <c r="C204" s="14"/>
      <c r="D204" s="14"/>
      <c r="E204" s="15"/>
      <c r="F204" s="13"/>
      <c r="G204" s="16" t="str">
        <f aca="false">IF(OR(B204="",E204=""),"",E204*IFERROR(INDEX(Müşteriler!$B$5:$B$54,MATCH(B204,Müşteriler!$A$5:$A$54,0)),0))</f>
        <v/>
      </c>
    </row>
    <row r="205" customFormat="false" ht="15" hidden="false" customHeight="false" outlineLevel="0" collapsed="false">
      <c r="A205" s="12"/>
      <c r="B205" s="13"/>
      <c r="C205" s="14"/>
      <c r="D205" s="14"/>
      <c r="E205" s="15"/>
      <c r="F205" s="13"/>
      <c r="G205" s="16" t="str">
        <f aca="false">IF(OR(B205="",E205=""),"",E205*IFERROR(INDEX(Müşteriler!$B$5:$B$54,MATCH(B205,Müşteriler!$A$5:$A$54,0)),0))</f>
        <v/>
      </c>
    </row>
    <row r="206" customFormat="false" ht="15" hidden="false" customHeight="false" outlineLevel="0" collapsed="false">
      <c r="A206" s="12"/>
      <c r="B206" s="13"/>
      <c r="C206" s="14"/>
      <c r="D206" s="14"/>
      <c r="E206" s="15"/>
      <c r="F206" s="13"/>
      <c r="G206" s="16" t="str">
        <f aca="false">IF(OR(B206="",E206=""),"",E206*IFERROR(INDEX(Müşteriler!$B$5:$B$54,MATCH(B206,Müşteriler!$A$5:$A$54,0)),0))</f>
        <v/>
      </c>
    </row>
    <row r="207" customFormat="false" ht="15" hidden="false" customHeight="false" outlineLevel="0" collapsed="false">
      <c r="A207" s="12"/>
      <c r="B207" s="13"/>
      <c r="C207" s="14"/>
      <c r="D207" s="14"/>
      <c r="E207" s="15"/>
      <c r="F207" s="13"/>
      <c r="G207" s="16" t="str">
        <f aca="false">IF(OR(B207="",E207=""),"",E207*IFERROR(INDEX(Müşteriler!$B$5:$B$54,MATCH(B207,Müşteriler!$A$5:$A$54,0)),0))</f>
        <v/>
      </c>
    </row>
    <row r="208" customFormat="false" ht="15" hidden="false" customHeight="false" outlineLevel="0" collapsed="false">
      <c r="A208" s="12"/>
      <c r="B208" s="13"/>
      <c r="C208" s="14"/>
      <c r="D208" s="14"/>
      <c r="E208" s="15"/>
      <c r="F208" s="13"/>
      <c r="G208" s="16" t="str">
        <f aca="false">IF(OR(B208="",E208=""),"",E208*IFERROR(INDEX(Müşteriler!$B$5:$B$54,MATCH(B208,Müşteriler!$A$5:$A$54,0)),0))</f>
        <v/>
      </c>
    </row>
    <row r="209" customFormat="false" ht="15" hidden="false" customHeight="false" outlineLevel="0" collapsed="false">
      <c r="A209" s="12"/>
      <c r="B209" s="13"/>
      <c r="C209" s="14"/>
      <c r="D209" s="14"/>
      <c r="E209" s="15"/>
      <c r="F209" s="13"/>
      <c r="G209" s="16" t="str">
        <f aca="false">IF(OR(B209="",E209=""),"",E209*IFERROR(INDEX(Müşteriler!$B$5:$B$54,MATCH(B209,Müşteriler!$A$5:$A$54,0)),0))</f>
        <v/>
      </c>
    </row>
    <row r="210" customFormat="false" ht="15" hidden="false" customHeight="false" outlineLevel="0" collapsed="false">
      <c r="A210" s="12"/>
      <c r="B210" s="13"/>
      <c r="C210" s="14"/>
      <c r="D210" s="14"/>
      <c r="E210" s="15"/>
      <c r="F210" s="13"/>
      <c r="G210" s="16" t="str">
        <f aca="false">IF(OR(B210="",E210=""),"",E210*IFERROR(INDEX(Müşteriler!$B$5:$B$54,MATCH(B210,Müşteriler!$A$5:$A$54,0)),0))</f>
        <v/>
      </c>
    </row>
    <row r="211" customFormat="false" ht="15" hidden="false" customHeight="false" outlineLevel="0" collapsed="false">
      <c r="A211" s="12"/>
      <c r="B211" s="13"/>
      <c r="C211" s="14"/>
      <c r="D211" s="14"/>
      <c r="E211" s="15"/>
      <c r="F211" s="13"/>
      <c r="G211" s="16" t="str">
        <f aca="false">IF(OR(B211="",E211=""),"",E211*IFERROR(INDEX(Müşteriler!$B$5:$B$54,MATCH(B211,Müşteriler!$A$5:$A$54,0)),0))</f>
        <v/>
      </c>
    </row>
    <row r="212" customFormat="false" ht="15" hidden="false" customHeight="false" outlineLevel="0" collapsed="false">
      <c r="A212" s="12"/>
      <c r="B212" s="13"/>
      <c r="C212" s="14"/>
      <c r="D212" s="14"/>
      <c r="E212" s="15"/>
      <c r="F212" s="13"/>
      <c r="G212" s="16" t="str">
        <f aca="false">IF(OR(B212="",E212=""),"",E212*IFERROR(INDEX(Müşteriler!$B$5:$B$54,MATCH(B212,Müşteriler!$A$5:$A$54,0)),0))</f>
        <v/>
      </c>
    </row>
    <row r="213" customFormat="false" ht="15" hidden="false" customHeight="false" outlineLevel="0" collapsed="false">
      <c r="A213" s="12"/>
      <c r="B213" s="13"/>
      <c r="C213" s="14"/>
      <c r="D213" s="14"/>
      <c r="E213" s="15"/>
      <c r="F213" s="13"/>
      <c r="G213" s="16" t="str">
        <f aca="false">IF(OR(B213="",E213=""),"",E213*IFERROR(INDEX(Müşteriler!$B$5:$B$54,MATCH(B213,Müşteriler!$A$5:$A$54,0)),0))</f>
        <v/>
      </c>
    </row>
    <row r="214" customFormat="false" ht="15" hidden="false" customHeight="false" outlineLevel="0" collapsed="false">
      <c r="A214" s="12"/>
      <c r="B214" s="13"/>
      <c r="C214" s="14"/>
      <c r="D214" s="14"/>
      <c r="E214" s="15"/>
      <c r="F214" s="13"/>
      <c r="G214" s="16" t="str">
        <f aca="false">IF(OR(B214="",E214=""),"",E214*IFERROR(INDEX(Müşteriler!$B$5:$B$54,MATCH(B214,Müşteriler!$A$5:$A$54,0)),0))</f>
        <v/>
      </c>
    </row>
    <row r="215" customFormat="false" ht="15" hidden="false" customHeight="false" outlineLevel="0" collapsed="false">
      <c r="A215" s="12"/>
      <c r="B215" s="13"/>
      <c r="C215" s="14"/>
      <c r="D215" s="14"/>
      <c r="E215" s="15"/>
      <c r="F215" s="13"/>
      <c r="G215" s="16" t="str">
        <f aca="false">IF(OR(B215="",E215=""),"",E215*IFERROR(INDEX(Müşteriler!$B$5:$B$54,MATCH(B215,Müşteriler!$A$5:$A$54,0)),0))</f>
        <v/>
      </c>
    </row>
    <row r="216" customFormat="false" ht="15" hidden="false" customHeight="false" outlineLevel="0" collapsed="false">
      <c r="A216" s="12"/>
      <c r="B216" s="13"/>
      <c r="C216" s="14"/>
      <c r="D216" s="14"/>
      <c r="E216" s="15"/>
      <c r="F216" s="13"/>
      <c r="G216" s="16" t="str">
        <f aca="false">IF(OR(B216="",E216=""),"",E216*IFERROR(INDEX(Müşteriler!$B$5:$B$54,MATCH(B216,Müşteriler!$A$5:$A$54,0)),0))</f>
        <v/>
      </c>
    </row>
    <row r="217" customFormat="false" ht="15" hidden="false" customHeight="false" outlineLevel="0" collapsed="false">
      <c r="A217" s="12"/>
      <c r="B217" s="13"/>
      <c r="C217" s="14"/>
      <c r="D217" s="14"/>
      <c r="E217" s="15"/>
      <c r="F217" s="13"/>
      <c r="G217" s="16" t="str">
        <f aca="false">IF(OR(B217="",E217=""),"",E217*IFERROR(INDEX(Müşteriler!$B$5:$B$54,MATCH(B217,Müşteriler!$A$5:$A$54,0)),0))</f>
        <v/>
      </c>
    </row>
    <row r="218" customFormat="false" ht="15" hidden="false" customHeight="false" outlineLevel="0" collapsed="false">
      <c r="A218" s="12"/>
      <c r="B218" s="13"/>
      <c r="C218" s="14"/>
      <c r="D218" s="14"/>
      <c r="E218" s="15"/>
      <c r="F218" s="13"/>
      <c r="G218" s="16" t="str">
        <f aca="false">IF(OR(B218="",E218=""),"",E218*IFERROR(INDEX(Müşteriler!$B$5:$B$54,MATCH(B218,Müşteriler!$A$5:$A$54,0)),0))</f>
        <v/>
      </c>
    </row>
    <row r="219" customFormat="false" ht="15" hidden="false" customHeight="false" outlineLevel="0" collapsed="false">
      <c r="A219" s="12"/>
      <c r="B219" s="13"/>
      <c r="C219" s="14"/>
      <c r="D219" s="14"/>
      <c r="E219" s="15"/>
      <c r="F219" s="13"/>
      <c r="G219" s="16" t="str">
        <f aca="false">IF(OR(B219="",E219=""),"",E219*IFERROR(INDEX(Müşteriler!$B$5:$B$54,MATCH(B219,Müşteriler!$A$5:$A$54,0)),0))</f>
        <v/>
      </c>
    </row>
    <row r="220" customFormat="false" ht="15" hidden="false" customHeight="false" outlineLevel="0" collapsed="false">
      <c r="A220" s="12"/>
      <c r="B220" s="13"/>
      <c r="C220" s="14"/>
      <c r="D220" s="14"/>
      <c r="E220" s="15"/>
      <c r="F220" s="13"/>
      <c r="G220" s="16" t="str">
        <f aca="false">IF(OR(B220="",E220=""),"",E220*IFERROR(INDEX(Müşteriler!$B$5:$B$54,MATCH(B220,Müşteriler!$A$5:$A$54,0)),0))</f>
        <v/>
      </c>
    </row>
    <row r="221" customFormat="false" ht="15" hidden="false" customHeight="false" outlineLevel="0" collapsed="false">
      <c r="A221" s="12"/>
      <c r="B221" s="13"/>
      <c r="C221" s="14"/>
      <c r="D221" s="14"/>
      <c r="E221" s="15"/>
      <c r="F221" s="13"/>
      <c r="G221" s="16" t="str">
        <f aca="false">IF(OR(B221="",E221=""),"",E221*IFERROR(INDEX(Müşteriler!$B$5:$B$54,MATCH(B221,Müşteriler!$A$5:$A$54,0)),0))</f>
        <v/>
      </c>
    </row>
    <row r="222" customFormat="false" ht="15" hidden="false" customHeight="false" outlineLevel="0" collapsed="false">
      <c r="A222" s="12"/>
      <c r="B222" s="13"/>
      <c r="C222" s="14"/>
      <c r="D222" s="14"/>
      <c r="E222" s="15"/>
      <c r="F222" s="13"/>
      <c r="G222" s="16" t="str">
        <f aca="false">IF(OR(B222="",E222=""),"",E222*IFERROR(INDEX(Müşteriler!$B$5:$B$54,MATCH(B222,Müşteriler!$A$5:$A$54,0)),0))</f>
        <v/>
      </c>
    </row>
    <row r="223" customFormat="false" ht="15" hidden="false" customHeight="false" outlineLevel="0" collapsed="false">
      <c r="A223" s="12"/>
      <c r="B223" s="13"/>
      <c r="C223" s="14"/>
      <c r="D223" s="14"/>
      <c r="E223" s="15"/>
      <c r="F223" s="13"/>
      <c r="G223" s="16" t="str">
        <f aca="false">IF(OR(B223="",E223=""),"",E223*IFERROR(INDEX(Müşteriler!$B$5:$B$54,MATCH(B223,Müşteriler!$A$5:$A$54,0)),0))</f>
        <v/>
      </c>
    </row>
    <row r="224" customFormat="false" ht="15" hidden="false" customHeight="false" outlineLevel="0" collapsed="false">
      <c r="A224" s="12"/>
      <c r="B224" s="13"/>
      <c r="C224" s="14"/>
      <c r="D224" s="14"/>
      <c r="E224" s="15"/>
      <c r="F224" s="13"/>
      <c r="G224" s="16" t="str">
        <f aca="false">IF(OR(B224="",E224=""),"",E224*IFERROR(INDEX(Müşteriler!$B$5:$B$54,MATCH(B224,Müşteriler!$A$5:$A$54,0)),0))</f>
        <v/>
      </c>
    </row>
    <row r="225" customFormat="false" ht="15" hidden="false" customHeight="false" outlineLevel="0" collapsed="false">
      <c r="A225" s="12"/>
      <c r="B225" s="13"/>
      <c r="C225" s="14"/>
      <c r="D225" s="14"/>
      <c r="E225" s="15"/>
      <c r="F225" s="13"/>
      <c r="G225" s="16" t="str">
        <f aca="false">IF(OR(B225="",E225=""),"",E225*IFERROR(INDEX(Müşteriler!$B$5:$B$54,MATCH(B225,Müşteriler!$A$5:$A$54,0)),0))</f>
        <v/>
      </c>
    </row>
    <row r="226" customFormat="false" ht="15" hidden="false" customHeight="false" outlineLevel="0" collapsed="false">
      <c r="A226" s="12"/>
      <c r="B226" s="13"/>
      <c r="C226" s="14"/>
      <c r="D226" s="14"/>
      <c r="E226" s="15"/>
      <c r="F226" s="13"/>
      <c r="G226" s="16" t="str">
        <f aca="false">IF(OR(B226="",E226=""),"",E226*IFERROR(INDEX(Müşteriler!$B$5:$B$54,MATCH(B226,Müşteriler!$A$5:$A$54,0)),0))</f>
        <v/>
      </c>
    </row>
    <row r="227" customFormat="false" ht="15" hidden="false" customHeight="false" outlineLevel="0" collapsed="false">
      <c r="A227" s="12"/>
      <c r="B227" s="13"/>
      <c r="C227" s="14"/>
      <c r="D227" s="14"/>
      <c r="E227" s="15"/>
      <c r="F227" s="13"/>
      <c r="G227" s="16" t="str">
        <f aca="false">IF(OR(B227="",E227=""),"",E227*IFERROR(INDEX(Müşteriler!$B$5:$B$54,MATCH(B227,Müşteriler!$A$5:$A$54,0)),0))</f>
        <v/>
      </c>
    </row>
    <row r="228" customFormat="false" ht="15" hidden="false" customHeight="false" outlineLevel="0" collapsed="false">
      <c r="A228" s="12"/>
      <c r="B228" s="13"/>
      <c r="C228" s="14"/>
      <c r="D228" s="14"/>
      <c r="E228" s="15"/>
      <c r="F228" s="13"/>
      <c r="G228" s="16" t="str">
        <f aca="false">IF(OR(B228="",E228=""),"",E228*IFERROR(INDEX(Müşteriler!$B$5:$B$54,MATCH(B228,Müşteriler!$A$5:$A$54,0)),0))</f>
        <v/>
      </c>
    </row>
    <row r="229" customFormat="false" ht="15" hidden="false" customHeight="false" outlineLevel="0" collapsed="false">
      <c r="A229" s="12"/>
      <c r="B229" s="13"/>
      <c r="C229" s="14"/>
      <c r="D229" s="14"/>
      <c r="E229" s="15"/>
      <c r="F229" s="13"/>
      <c r="G229" s="16" t="str">
        <f aca="false">IF(OR(B229="",E229=""),"",E229*IFERROR(INDEX(Müşteriler!$B$5:$B$54,MATCH(B229,Müşteriler!$A$5:$A$54,0)),0))</f>
        <v/>
      </c>
    </row>
    <row r="230" customFormat="false" ht="15" hidden="false" customHeight="false" outlineLevel="0" collapsed="false">
      <c r="A230" s="12"/>
      <c r="B230" s="13"/>
      <c r="C230" s="14"/>
      <c r="D230" s="14"/>
      <c r="E230" s="15"/>
      <c r="F230" s="13"/>
      <c r="G230" s="16" t="str">
        <f aca="false">IF(OR(B230="",E230=""),"",E230*IFERROR(INDEX(Müşteriler!$B$5:$B$54,MATCH(B230,Müşteriler!$A$5:$A$54,0)),0))</f>
        <v/>
      </c>
    </row>
    <row r="231" customFormat="false" ht="15" hidden="false" customHeight="false" outlineLevel="0" collapsed="false">
      <c r="A231" s="12"/>
      <c r="B231" s="13"/>
      <c r="C231" s="14"/>
      <c r="D231" s="14"/>
      <c r="E231" s="15"/>
      <c r="F231" s="13"/>
      <c r="G231" s="16" t="str">
        <f aca="false">IF(OR(B231="",E231=""),"",E231*IFERROR(INDEX(Müşteriler!$B$5:$B$54,MATCH(B231,Müşteriler!$A$5:$A$54,0)),0))</f>
        <v/>
      </c>
    </row>
    <row r="232" customFormat="false" ht="15" hidden="false" customHeight="false" outlineLevel="0" collapsed="false">
      <c r="A232" s="12"/>
      <c r="B232" s="13"/>
      <c r="C232" s="14"/>
      <c r="D232" s="14"/>
      <c r="E232" s="15"/>
      <c r="F232" s="13"/>
      <c r="G232" s="16" t="str">
        <f aca="false">IF(OR(B232="",E232=""),"",E232*IFERROR(INDEX(Müşteriler!$B$5:$B$54,MATCH(B232,Müşteriler!$A$5:$A$54,0)),0))</f>
        <v/>
      </c>
    </row>
    <row r="233" customFormat="false" ht="15" hidden="false" customHeight="false" outlineLevel="0" collapsed="false">
      <c r="A233" s="12"/>
      <c r="B233" s="13"/>
      <c r="C233" s="14"/>
      <c r="D233" s="14"/>
      <c r="E233" s="15"/>
      <c r="F233" s="13"/>
      <c r="G233" s="16" t="str">
        <f aca="false">IF(OR(B233="",E233=""),"",E233*IFERROR(INDEX(Müşteriler!$B$5:$B$54,MATCH(B233,Müşteriler!$A$5:$A$54,0)),0))</f>
        <v/>
      </c>
    </row>
    <row r="234" customFormat="false" ht="15" hidden="false" customHeight="false" outlineLevel="0" collapsed="false">
      <c r="A234" s="12"/>
      <c r="B234" s="13"/>
      <c r="C234" s="14"/>
      <c r="D234" s="14"/>
      <c r="E234" s="15"/>
      <c r="F234" s="13"/>
      <c r="G234" s="16" t="str">
        <f aca="false">IF(OR(B234="",E234=""),"",E234*IFERROR(INDEX(Müşteriler!$B$5:$B$54,MATCH(B234,Müşteriler!$A$5:$A$54,0)),0))</f>
        <v/>
      </c>
    </row>
    <row r="235" customFormat="false" ht="15" hidden="false" customHeight="false" outlineLevel="0" collapsed="false">
      <c r="A235" s="12"/>
      <c r="B235" s="13"/>
      <c r="C235" s="14"/>
      <c r="D235" s="14"/>
      <c r="E235" s="15"/>
      <c r="F235" s="13"/>
      <c r="G235" s="16" t="str">
        <f aca="false">IF(OR(B235="",E235=""),"",E235*IFERROR(INDEX(Müşteriler!$B$5:$B$54,MATCH(B235,Müşteriler!$A$5:$A$54,0)),0))</f>
        <v/>
      </c>
    </row>
    <row r="236" customFormat="false" ht="15" hidden="false" customHeight="false" outlineLevel="0" collapsed="false">
      <c r="A236" s="12"/>
      <c r="B236" s="13"/>
      <c r="C236" s="14"/>
      <c r="D236" s="14"/>
      <c r="E236" s="15"/>
      <c r="F236" s="13"/>
      <c r="G236" s="16" t="str">
        <f aca="false">IF(OR(B236="",E236=""),"",E236*IFERROR(INDEX(Müşteriler!$B$5:$B$54,MATCH(B236,Müşteriler!$A$5:$A$54,0)),0))</f>
        <v/>
      </c>
    </row>
    <row r="237" customFormat="false" ht="15" hidden="false" customHeight="false" outlineLevel="0" collapsed="false">
      <c r="A237" s="12"/>
      <c r="B237" s="13"/>
      <c r="C237" s="14"/>
      <c r="D237" s="14"/>
      <c r="E237" s="15"/>
      <c r="F237" s="13"/>
      <c r="G237" s="16" t="str">
        <f aca="false">IF(OR(B237="",E237=""),"",E237*IFERROR(INDEX(Müşteriler!$B$5:$B$54,MATCH(B237,Müşteriler!$A$5:$A$54,0)),0))</f>
        <v/>
      </c>
    </row>
    <row r="238" customFormat="false" ht="15" hidden="false" customHeight="false" outlineLevel="0" collapsed="false">
      <c r="A238" s="12"/>
      <c r="B238" s="13"/>
      <c r="C238" s="14"/>
      <c r="D238" s="14"/>
      <c r="E238" s="15"/>
      <c r="F238" s="13"/>
      <c r="G238" s="16" t="str">
        <f aca="false">IF(OR(B238="",E238=""),"",E238*IFERROR(INDEX(Müşteriler!$B$5:$B$54,MATCH(B238,Müşteriler!$A$5:$A$54,0)),0))</f>
        <v/>
      </c>
    </row>
    <row r="239" customFormat="false" ht="15" hidden="false" customHeight="false" outlineLevel="0" collapsed="false">
      <c r="A239" s="12"/>
      <c r="B239" s="13"/>
      <c r="C239" s="14"/>
      <c r="D239" s="14"/>
      <c r="E239" s="15"/>
      <c r="F239" s="13"/>
      <c r="G239" s="16" t="str">
        <f aca="false">IF(OR(B239="",E239=""),"",E239*IFERROR(INDEX(Müşteriler!$B$5:$B$54,MATCH(B239,Müşteriler!$A$5:$A$54,0)),0))</f>
        <v/>
      </c>
    </row>
    <row r="240" customFormat="false" ht="15" hidden="false" customHeight="false" outlineLevel="0" collapsed="false">
      <c r="A240" s="12"/>
      <c r="B240" s="13"/>
      <c r="C240" s="14"/>
      <c r="D240" s="14"/>
      <c r="E240" s="15"/>
      <c r="F240" s="13"/>
      <c r="G240" s="16" t="str">
        <f aca="false">IF(OR(B240="",E240=""),"",E240*IFERROR(INDEX(Müşteriler!$B$5:$B$54,MATCH(B240,Müşteriler!$A$5:$A$54,0)),0))</f>
        <v/>
      </c>
    </row>
    <row r="241" customFormat="false" ht="15" hidden="false" customHeight="false" outlineLevel="0" collapsed="false">
      <c r="A241" s="12"/>
      <c r="B241" s="13"/>
      <c r="C241" s="14"/>
      <c r="D241" s="14"/>
      <c r="E241" s="15"/>
      <c r="F241" s="13"/>
      <c r="G241" s="16" t="str">
        <f aca="false">IF(OR(B241="",E241=""),"",E241*IFERROR(INDEX(Müşteriler!$B$5:$B$54,MATCH(B241,Müşteriler!$A$5:$A$54,0)),0))</f>
        <v/>
      </c>
    </row>
    <row r="242" customFormat="false" ht="15" hidden="false" customHeight="false" outlineLevel="0" collapsed="false">
      <c r="A242" s="12"/>
      <c r="B242" s="13"/>
      <c r="C242" s="14"/>
      <c r="D242" s="14"/>
      <c r="E242" s="15"/>
      <c r="F242" s="13"/>
      <c r="G242" s="16" t="str">
        <f aca="false">IF(OR(B242="",E242=""),"",E242*IFERROR(INDEX(Müşteriler!$B$5:$B$54,MATCH(B242,Müşteriler!$A$5:$A$54,0)),0))</f>
        <v/>
      </c>
    </row>
    <row r="243" customFormat="false" ht="15" hidden="false" customHeight="false" outlineLevel="0" collapsed="false">
      <c r="A243" s="12"/>
      <c r="B243" s="13"/>
      <c r="C243" s="14"/>
      <c r="D243" s="14"/>
      <c r="E243" s="15"/>
      <c r="F243" s="13"/>
      <c r="G243" s="16" t="str">
        <f aca="false">IF(OR(B243="",E243=""),"",E243*IFERROR(INDEX(Müşteriler!$B$5:$B$54,MATCH(B243,Müşteriler!$A$5:$A$54,0)),0))</f>
        <v/>
      </c>
    </row>
    <row r="244" customFormat="false" ht="15" hidden="false" customHeight="false" outlineLevel="0" collapsed="false">
      <c r="A244" s="12"/>
      <c r="B244" s="13"/>
      <c r="C244" s="14"/>
      <c r="D244" s="14"/>
      <c r="E244" s="15"/>
      <c r="F244" s="13"/>
      <c r="G244" s="16" t="str">
        <f aca="false">IF(OR(B244="",E244=""),"",E244*IFERROR(INDEX(Müşteriler!$B$5:$B$54,MATCH(B244,Müşteriler!$A$5:$A$54,0)),0))</f>
        <v/>
      </c>
    </row>
    <row r="245" customFormat="false" ht="15" hidden="false" customHeight="false" outlineLevel="0" collapsed="false">
      <c r="A245" s="12"/>
      <c r="B245" s="13"/>
      <c r="C245" s="14"/>
      <c r="D245" s="14"/>
      <c r="E245" s="15"/>
      <c r="F245" s="13"/>
      <c r="G245" s="16" t="str">
        <f aca="false">IF(OR(B245="",E245=""),"",E245*IFERROR(INDEX(Müşteriler!$B$5:$B$54,MATCH(B245,Müşteriler!$A$5:$A$54,0)),0))</f>
        <v/>
      </c>
    </row>
    <row r="246" customFormat="false" ht="15" hidden="false" customHeight="false" outlineLevel="0" collapsed="false">
      <c r="A246" s="12"/>
      <c r="B246" s="13"/>
      <c r="C246" s="14"/>
      <c r="D246" s="14"/>
      <c r="E246" s="15"/>
      <c r="F246" s="13"/>
      <c r="G246" s="16" t="str">
        <f aca="false">IF(OR(B246="",E246=""),"",E246*IFERROR(INDEX(Müşteriler!$B$5:$B$54,MATCH(B246,Müşteriler!$A$5:$A$54,0)),0))</f>
        <v/>
      </c>
    </row>
    <row r="247" customFormat="false" ht="15" hidden="false" customHeight="false" outlineLevel="0" collapsed="false">
      <c r="A247" s="12"/>
      <c r="B247" s="13"/>
      <c r="C247" s="14"/>
      <c r="D247" s="14"/>
      <c r="E247" s="15"/>
      <c r="F247" s="13"/>
      <c r="G247" s="16" t="str">
        <f aca="false">IF(OR(B247="",E247=""),"",E247*IFERROR(INDEX(Müşteriler!$B$5:$B$54,MATCH(B247,Müşteriler!$A$5:$A$54,0)),0))</f>
        <v/>
      </c>
    </row>
    <row r="248" customFormat="false" ht="15" hidden="false" customHeight="false" outlineLevel="0" collapsed="false">
      <c r="A248" s="12"/>
      <c r="B248" s="13"/>
      <c r="C248" s="14"/>
      <c r="D248" s="14"/>
      <c r="E248" s="15"/>
      <c r="F248" s="13"/>
      <c r="G248" s="16" t="str">
        <f aca="false">IF(OR(B248="",E248=""),"",E248*IFERROR(INDEX(Müşteriler!$B$5:$B$54,MATCH(B248,Müşteriler!$A$5:$A$54,0)),0))</f>
        <v/>
      </c>
    </row>
    <row r="249" customFormat="false" ht="15" hidden="false" customHeight="false" outlineLevel="0" collapsed="false">
      <c r="A249" s="12"/>
      <c r="B249" s="13"/>
      <c r="C249" s="14"/>
      <c r="D249" s="14"/>
      <c r="E249" s="15"/>
      <c r="F249" s="13"/>
      <c r="G249" s="16" t="str">
        <f aca="false">IF(OR(B249="",E249=""),"",E249*IFERROR(INDEX(Müşteriler!$B$5:$B$54,MATCH(B249,Müşteriler!$A$5:$A$54,0)),0))</f>
        <v/>
      </c>
    </row>
    <row r="250" customFormat="false" ht="15" hidden="false" customHeight="false" outlineLevel="0" collapsed="false">
      <c r="A250" s="12"/>
      <c r="B250" s="13"/>
      <c r="C250" s="14"/>
      <c r="D250" s="14"/>
      <c r="E250" s="15"/>
      <c r="F250" s="13"/>
      <c r="G250" s="16" t="str">
        <f aca="false">IF(OR(B250="",E250=""),"",E250*IFERROR(INDEX(Müşteriler!$B$5:$B$54,MATCH(B250,Müşteriler!$A$5:$A$54,0)),0))</f>
        <v/>
      </c>
    </row>
    <row r="251" customFormat="false" ht="15" hidden="false" customHeight="false" outlineLevel="0" collapsed="false">
      <c r="A251" s="12"/>
      <c r="B251" s="13"/>
      <c r="C251" s="14"/>
      <c r="D251" s="14"/>
      <c r="E251" s="15"/>
      <c r="F251" s="13"/>
      <c r="G251" s="16" t="str">
        <f aca="false">IF(OR(B251="",E251=""),"",E251*IFERROR(INDEX(Müşteriler!$B$5:$B$54,MATCH(B251,Müşteriler!$A$5:$A$54,0)),0))</f>
        <v/>
      </c>
    </row>
    <row r="252" customFormat="false" ht="15" hidden="false" customHeight="false" outlineLevel="0" collapsed="false">
      <c r="A252" s="12"/>
      <c r="B252" s="13"/>
      <c r="C252" s="14"/>
      <c r="D252" s="14"/>
      <c r="E252" s="15"/>
      <c r="F252" s="13"/>
      <c r="G252" s="16" t="str">
        <f aca="false">IF(OR(B252="",E252=""),"",E252*IFERROR(INDEX(Müşteriler!$B$5:$B$54,MATCH(B252,Müşteriler!$A$5:$A$54,0)),0))</f>
        <v/>
      </c>
    </row>
    <row r="253" customFormat="false" ht="15" hidden="false" customHeight="false" outlineLevel="0" collapsed="false">
      <c r="A253" s="12"/>
      <c r="B253" s="13"/>
      <c r="C253" s="14"/>
      <c r="D253" s="14"/>
      <c r="E253" s="15"/>
      <c r="F253" s="13"/>
      <c r="G253" s="16" t="str">
        <f aca="false">IF(OR(B253="",E253=""),"",E253*IFERROR(INDEX(Müşteriler!$B$5:$B$54,MATCH(B253,Müşteriler!$A$5:$A$54,0)),0))</f>
        <v/>
      </c>
    </row>
    <row r="254" customFormat="false" ht="15" hidden="false" customHeight="false" outlineLevel="0" collapsed="false">
      <c r="A254" s="12"/>
      <c r="B254" s="13"/>
      <c r="C254" s="14"/>
      <c r="D254" s="14"/>
      <c r="E254" s="15"/>
      <c r="F254" s="13"/>
      <c r="G254" s="16" t="str">
        <f aca="false">IF(OR(B254="",E254=""),"",E254*IFERROR(INDEX(Müşteriler!$B$5:$B$54,MATCH(B254,Müşteriler!$A$5:$A$54,0)),0))</f>
        <v/>
      </c>
    </row>
    <row r="255" customFormat="false" ht="15" hidden="false" customHeight="false" outlineLevel="0" collapsed="false">
      <c r="A255" s="12"/>
      <c r="B255" s="13"/>
      <c r="C255" s="14"/>
      <c r="D255" s="14"/>
      <c r="E255" s="15"/>
      <c r="F255" s="13"/>
      <c r="G255" s="16" t="str">
        <f aca="false">IF(OR(B255="",E255=""),"",E255*IFERROR(INDEX(Müşteriler!$B$5:$B$54,MATCH(B255,Müşteriler!$A$5:$A$54,0)),0))</f>
        <v/>
      </c>
    </row>
    <row r="256" customFormat="false" ht="15" hidden="false" customHeight="false" outlineLevel="0" collapsed="false">
      <c r="A256" s="12"/>
      <c r="B256" s="13"/>
      <c r="C256" s="14"/>
      <c r="D256" s="14"/>
      <c r="E256" s="15"/>
      <c r="F256" s="13"/>
      <c r="G256" s="16" t="str">
        <f aca="false">IF(OR(B256="",E256=""),"",E256*IFERROR(INDEX(Müşteriler!$B$5:$B$54,MATCH(B256,Müşteriler!$A$5:$A$54,0)),0))</f>
        <v/>
      </c>
    </row>
    <row r="257" customFormat="false" ht="15" hidden="false" customHeight="false" outlineLevel="0" collapsed="false">
      <c r="A257" s="12"/>
      <c r="B257" s="13"/>
      <c r="C257" s="14"/>
      <c r="D257" s="14"/>
      <c r="E257" s="15"/>
      <c r="F257" s="13"/>
      <c r="G257" s="16" t="str">
        <f aca="false">IF(OR(B257="",E257=""),"",E257*IFERROR(INDEX(Müşteriler!$B$5:$B$54,MATCH(B257,Müşteriler!$A$5:$A$54,0)),0))</f>
        <v/>
      </c>
    </row>
    <row r="258" customFormat="false" ht="15" hidden="false" customHeight="false" outlineLevel="0" collapsed="false">
      <c r="A258" s="12"/>
      <c r="B258" s="13"/>
      <c r="C258" s="14"/>
      <c r="D258" s="14"/>
      <c r="E258" s="15"/>
      <c r="F258" s="13"/>
      <c r="G258" s="16" t="str">
        <f aca="false">IF(OR(B258="",E258=""),"",E258*IFERROR(INDEX(Müşteriler!$B$5:$B$54,MATCH(B258,Müşteriler!$A$5:$A$54,0)),0))</f>
        <v/>
      </c>
    </row>
    <row r="259" customFormat="false" ht="15" hidden="false" customHeight="false" outlineLevel="0" collapsed="false">
      <c r="A259" s="12"/>
      <c r="B259" s="13"/>
      <c r="C259" s="14"/>
      <c r="D259" s="14"/>
      <c r="E259" s="15"/>
      <c r="F259" s="13"/>
      <c r="G259" s="16" t="str">
        <f aca="false">IF(OR(B259="",E259=""),"",E259*IFERROR(INDEX(Müşteriler!$B$5:$B$54,MATCH(B259,Müşteriler!$A$5:$A$54,0)),0))</f>
        <v/>
      </c>
    </row>
    <row r="260" customFormat="false" ht="15" hidden="false" customHeight="false" outlineLevel="0" collapsed="false">
      <c r="A260" s="12"/>
      <c r="B260" s="13"/>
      <c r="C260" s="14"/>
      <c r="D260" s="14"/>
      <c r="E260" s="15"/>
      <c r="F260" s="13"/>
      <c r="G260" s="16" t="str">
        <f aca="false">IF(OR(B260="",E260=""),"",E260*IFERROR(INDEX(Müşteriler!$B$5:$B$54,MATCH(B260,Müşteriler!$A$5:$A$54,0)),0))</f>
        <v/>
      </c>
    </row>
    <row r="261" customFormat="false" ht="15" hidden="false" customHeight="false" outlineLevel="0" collapsed="false">
      <c r="A261" s="12"/>
      <c r="B261" s="13"/>
      <c r="C261" s="14"/>
      <c r="D261" s="14"/>
      <c r="E261" s="15"/>
      <c r="F261" s="13"/>
      <c r="G261" s="16" t="str">
        <f aca="false">IF(OR(B261="",E261=""),"",E261*IFERROR(INDEX(Müşteriler!$B$5:$B$54,MATCH(B261,Müşteriler!$A$5:$A$54,0)),0))</f>
        <v/>
      </c>
    </row>
    <row r="262" customFormat="false" ht="15" hidden="false" customHeight="false" outlineLevel="0" collapsed="false">
      <c r="A262" s="12"/>
      <c r="B262" s="13"/>
      <c r="C262" s="14"/>
      <c r="D262" s="14"/>
      <c r="E262" s="15"/>
      <c r="F262" s="13"/>
      <c r="G262" s="16" t="str">
        <f aca="false">IF(OR(B262="",E262=""),"",E262*IFERROR(INDEX(Müşteriler!$B$5:$B$54,MATCH(B262,Müşteriler!$A$5:$A$54,0)),0))</f>
        <v/>
      </c>
    </row>
    <row r="263" customFormat="false" ht="15" hidden="false" customHeight="false" outlineLevel="0" collapsed="false">
      <c r="A263" s="12"/>
      <c r="B263" s="13"/>
      <c r="C263" s="14"/>
      <c r="D263" s="14"/>
      <c r="E263" s="15"/>
      <c r="F263" s="13"/>
      <c r="G263" s="16" t="str">
        <f aca="false">IF(OR(B263="",E263=""),"",E263*IFERROR(INDEX(Müşteriler!$B$5:$B$54,MATCH(B263,Müşteriler!$A$5:$A$54,0)),0))</f>
        <v/>
      </c>
    </row>
    <row r="264" customFormat="false" ht="15" hidden="false" customHeight="false" outlineLevel="0" collapsed="false">
      <c r="A264" s="12"/>
      <c r="B264" s="13"/>
      <c r="C264" s="14"/>
      <c r="D264" s="14"/>
      <c r="E264" s="15"/>
      <c r="F264" s="13"/>
      <c r="G264" s="16" t="str">
        <f aca="false">IF(OR(B264="",E264=""),"",E264*IFERROR(INDEX(Müşteriler!$B$5:$B$54,MATCH(B264,Müşteriler!$A$5:$A$54,0)),0))</f>
        <v/>
      </c>
    </row>
    <row r="265" customFormat="false" ht="15" hidden="false" customHeight="false" outlineLevel="0" collapsed="false">
      <c r="A265" s="12"/>
      <c r="B265" s="13"/>
      <c r="C265" s="14"/>
      <c r="D265" s="14"/>
      <c r="E265" s="15"/>
      <c r="F265" s="13"/>
      <c r="G265" s="16" t="str">
        <f aca="false">IF(OR(B265="",E265=""),"",E265*IFERROR(INDEX(Müşteriler!$B$5:$B$54,MATCH(B265,Müşteriler!$A$5:$A$54,0)),0))</f>
        <v/>
      </c>
    </row>
    <row r="266" customFormat="false" ht="15" hidden="false" customHeight="false" outlineLevel="0" collapsed="false">
      <c r="A266" s="12"/>
      <c r="B266" s="13"/>
      <c r="C266" s="14"/>
      <c r="D266" s="14"/>
      <c r="E266" s="15"/>
      <c r="F266" s="13"/>
      <c r="G266" s="16" t="str">
        <f aca="false">IF(OR(B266="",E266=""),"",E266*IFERROR(INDEX(Müşteriler!$B$5:$B$54,MATCH(B266,Müşteriler!$A$5:$A$54,0)),0))</f>
        <v/>
      </c>
    </row>
    <row r="267" customFormat="false" ht="15" hidden="false" customHeight="false" outlineLevel="0" collapsed="false">
      <c r="A267" s="12"/>
      <c r="B267" s="13"/>
      <c r="C267" s="14"/>
      <c r="D267" s="14"/>
      <c r="E267" s="15"/>
      <c r="F267" s="13"/>
      <c r="G267" s="16" t="str">
        <f aca="false">IF(OR(B267="",E267=""),"",E267*IFERROR(INDEX(Müşteriler!$B$5:$B$54,MATCH(B267,Müşteriler!$A$5:$A$54,0)),0))</f>
        <v/>
      </c>
    </row>
    <row r="268" customFormat="false" ht="15" hidden="false" customHeight="false" outlineLevel="0" collapsed="false">
      <c r="A268" s="12"/>
      <c r="B268" s="13"/>
      <c r="C268" s="14"/>
      <c r="D268" s="14"/>
      <c r="E268" s="15"/>
      <c r="F268" s="13"/>
      <c r="G268" s="16" t="str">
        <f aca="false">IF(OR(B268="",E268=""),"",E268*IFERROR(INDEX(Müşteriler!$B$5:$B$54,MATCH(B268,Müşteriler!$A$5:$A$54,0)),0))</f>
        <v/>
      </c>
    </row>
    <row r="269" customFormat="false" ht="15" hidden="false" customHeight="false" outlineLevel="0" collapsed="false">
      <c r="A269" s="12"/>
      <c r="B269" s="13"/>
      <c r="C269" s="14"/>
      <c r="D269" s="14"/>
      <c r="E269" s="15"/>
      <c r="F269" s="13"/>
      <c r="G269" s="16" t="str">
        <f aca="false">IF(OR(B269="",E269=""),"",E269*IFERROR(INDEX(Müşteriler!$B$5:$B$54,MATCH(B269,Müşteriler!$A$5:$A$54,0)),0))</f>
        <v/>
      </c>
    </row>
    <row r="270" customFormat="false" ht="15" hidden="false" customHeight="false" outlineLevel="0" collapsed="false">
      <c r="A270" s="12"/>
      <c r="B270" s="13"/>
      <c r="C270" s="14"/>
      <c r="D270" s="14"/>
      <c r="E270" s="15"/>
      <c r="F270" s="13"/>
      <c r="G270" s="16" t="str">
        <f aca="false">IF(OR(B270="",E270=""),"",E270*IFERROR(INDEX(Müşteriler!$B$5:$B$54,MATCH(B270,Müşteriler!$A$5:$A$54,0)),0))</f>
        <v/>
      </c>
    </row>
    <row r="271" customFormat="false" ht="15" hidden="false" customHeight="false" outlineLevel="0" collapsed="false">
      <c r="A271" s="12"/>
      <c r="B271" s="13"/>
      <c r="C271" s="14"/>
      <c r="D271" s="14"/>
      <c r="E271" s="15"/>
      <c r="F271" s="13"/>
      <c r="G271" s="16" t="str">
        <f aca="false">IF(OR(B271="",E271=""),"",E271*IFERROR(INDEX(Müşteriler!$B$5:$B$54,MATCH(B271,Müşteriler!$A$5:$A$54,0)),0))</f>
        <v/>
      </c>
    </row>
    <row r="272" customFormat="false" ht="15" hidden="false" customHeight="false" outlineLevel="0" collapsed="false">
      <c r="A272" s="12"/>
      <c r="B272" s="13"/>
      <c r="C272" s="14"/>
      <c r="D272" s="14"/>
      <c r="E272" s="15"/>
      <c r="F272" s="13"/>
      <c r="G272" s="16" t="str">
        <f aca="false">IF(OR(B272="",E272=""),"",E272*IFERROR(INDEX(Müşteriler!$B$5:$B$54,MATCH(B272,Müşteriler!$A$5:$A$54,0)),0))</f>
        <v/>
      </c>
    </row>
    <row r="273" customFormat="false" ht="15" hidden="false" customHeight="false" outlineLevel="0" collapsed="false">
      <c r="A273" s="12"/>
      <c r="B273" s="13"/>
      <c r="C273" s="14"/>
      <c r="D273" s="14"/>
      <c r="E273" s="15"/>
      <c r="F273" s="13"/>
      <c r="G273" s="16" t="str">
        <f aca="false">IF(OR(B273="",E273=""),"",E273*IFERROR(INDEX(Müşteriler!$B$5:$B$54,MATCH(B273,Müşteriler!$A$5:$A$54,0)),0))</f>
        <v/>
      </c>
    </row>
    <row r="274" customFormat="false" ht="15" hidden="false" customHeight="false" outlineLevel="0" collapsed="false">
      <c r="A274" s="12"/>
      <c r="B274" s="13"/>
      <c r="C274" s="14"/>
      <c r="D274" s="14"/>
      <c r="E274" s="15"/>
      <c r="F274" s="13"/>
      <c r="G274" s="16" t="str">
        <f aca="false">IF(OR(B274="",E274=""),"",E274*IFERROR(INDEX(Müşteriler!$B$5:$B$54,MATCH(B274,Müşteriler!$A$5:$A$54,0)),0))</f>
        <v/>
      </c>
    </row>
    <row r="275" customFormat="false" ht="15" hidden="false" customHeight="false" outlineLevel="0" collapsed="false">
      <c r="A275" s="12"/>
      <c r="B275" s="13"/>
      <c r="C275" s="14"/>
      <c r="D275" s="14"/>
      <c r="E275" s="15"/>
      <c r="F275" s="13"/>
      <c r="G275" s="16" t="str">
        <f aca="false">IF(OR(B275="",E275=""),"",E275*IFERROR(INDEX(Müşteriler!$B$5:$B$54,MATCH(B275,Müşteriler!$A$5:$A$54,0)),0))</f>
        <v/>
      </c>
    </row>
    <row r="276" customFormat="false" ht="15" hidden="false" customHeight="false" outlineLevel="0" collapsed="false">
      <c r="A276" s="12"/>
      <c r="B276" s="13"/>
      <c r="C276" s="14"/>
      <c r="D276" s="14"/>
      <c r="E276" s="15"/>
      <c r="F276" s="13"/>
      <c r="G276" s="16" t="str">
        <f aca="false">IF(OR(B276="",E276=""),"",E276*IFERROR(INDEX(Müşteriler!$B$5:$B$54,MATCH(B276,Müşteriler!$A$5:$A$54,0)),0))</f>
        <v/>
      </c>
    </row>
    <row r="277" customFormat="false" ht="15" hidden="false" customHeight="false" outlineLevel="0" collapsed="false">
      <c r="A277" s="12"/>
      <c r="B277" s="13"/>
      <c r="C277" s="14"/>
      <c r="D277" s="14"/>
      <c r="E277" s="15"/>
      <c r="F277" s="13"/>
      <c r="G277" s="16" t="str">
        <f aca="false">IF(OR(B277="",E277=""),"",E277*IFERROR(INDEX(Müşteriler!$B$5:$B$54,MATCH(B277,Müşteriler!$A$5:$A$54,0)),0))</f>
        <v/>
      </c>
    </row>
    <row r="278" customFormat="false" ht="15" hidden="false" customHeight="false" outlineLevel="0" collapsed="false">
      <c r="A278" s="12"/>
      <c r="B278" s="13"/>
      <c r="C278" s="14"/>
      <c r="D278" s="14"/>
      <c r="E278" s="15"/>
      <c r="F278" s="13"/>
      <c r="G278" s="16" t="str">
        <f aca="false">IF(OR(B278="",E278=""),"",E278*IFERROR(INDEX(Müşteriler!$B$5:$B$54,MATCH(B278,Müşteriler!$A$5:$A$54,0)),0))</f>
        <v/>
      </c>
    </row>
    <row r="279" customFormat="false" ht="15" hidden="false" customHeight="false" outlineLevel="0" collapsed="false">
      <c r="A279" s="12"/>
      <c r="B279" s="13"/>
      <c r="C279" s="14"/>
      <c r="D279" s="14"/>
      <c r="E279" s="15"/>
      <c r="F279" s="13"/>
      <c r="G279" s="16" t="str">
        <f aca="false">IF(OR(B279="",E279=""),"",E279*IFERROR(INDEX(Müşteriler!$B$5:$B$54,MATCH(B279,Müşteriler!$A$5:$A$54,0)),0))</f>
        <v/>
      </c>
    </row>
    <row r="280" customFormat="false" ht="15" hidden="false" customHeight="false" outlineLevel="0" collapsed="false">
      <c r="A280" s="12"/>
      <c r="B280" s="13"/>
      <c r="C280" s="14"/>
      <c r="D280" s="14"/>
      <c r="E280" s="15"/>
      <c r="F280" s="13"/>
      <c r="G280" s="16" t="str">
        <f aca="false">IF(OR(B280="",E280=""),"",E280*IFERROR(INDEX(Müşteriler!$B$5:$B$54,MATCH(B280,Müşteriler!$A$5:$A$54,0)),0))</f>
        <v/>
      </c>
    </row>
    <row r="281" customFormat="false" ht="15" hidden="false" customHeight="false" outlineLevel="0" collapsed="false">
      <c r="A281" s="12"/>
      <c r="B281" s="13"/>
      <c r="C281" s="14"/>
      <c r="D281" s="14"/>
      <c r="E281" s="15"/>
      <c r="F281" s="13"/>
      <c r="G281" s="16" t="str">
        <f aca="false">IF(OR(B281="",E281=""),"",E281*IFERROR(INDEX(Müşteriler!$B$5:$B$54,MATCH(B281,Müşteriler!$A$5:$A$54,0)),0))</f>
        <v/>
      </c>
    </row>
    <row r="282" customFormat="false" ht="15" hidden="false" customHeight="false" outlineLevel="0" collapsed="false">
      <c r="A282" s="12"/>
      <c r="B282" s="13"/>
      <c r="C282" s="14"/>
      <c r="D282" s="14"/>
      <c r="E282" s="15"/>
      <c r="F282" s="13"/>
      <c r="G282" s="16" t="str">
        <f aca="false">IF(OR(B282="",E282=""),"",E282*IFERROR(INDEX(Müşteriler!$B$5:$B$54,MATCH(B282,Müşteriler!$A$5:$A$54,0)),0))</f>
        <v/>
      </c>
    </row>
    <row r="283" customFormat="false" ht="15" hidden="false" customHeight="false" outlineLevel="0" collapsed="false">
      <c r="A283" s="12"/>
      <c r="B283" s="13"/>
      <c r="C283" s="14"/>
      <c r="D283" s="14"/>
      <c r="E283" s="15"/>
      <c r="F283" s="13"/>
      <c r="G283" s="16" t="str">
        <f aca="false">IF(OR(B283="",E283=""),"",E283*IFERROR(INDEX(Müşteriler!$B$5:$B$54,MATCH(B283,Müşteriler!$A$5:$A$54,0)),0))</f>
        <v/>
      </c>
    </row>
    <row r="284" customFormat="false" ht="15" hidden="false" customHeight="false" outlineLevel="0" collapsed="false">
      <c r="A284" s="12"/>
      <c r="B284" s="13"/>
      <c r="C284" s="14"/>
      <c r="D284" s="14"/>
      <c r="E284" s="15"/>
      <c r="F284" s="13"/>
      <c r="G284" s="16" t="str">
        <f aca="false">IF(OR(B284="",E284=""),"",E284*IFERROR(INDEX(Müşteriler!$B$5:$B$54,MATCH(B284,Müşteriler!$A$5:$A$54,0)),0))</f>
        <v/>
      </c>
    </row>
    <row r="285" customFormat="false" ht="15" hidden="false" customHeight="false" outlineLevel="0" collapsed="false">
      <c r="A285" s="12"/>
      <c r="B285" s="13"/>
      <c r="C285" s="14"/>
      <c r="D285" s="14"/>
      <c r="E285" s="15"/>
      <c r="F285" s="13"/>
      <c r="G285" s="16" t="str">
        <f aca="false">IF(OR(B285="",E285=""),"",E285*IFERROR(INDEX(Müşteriler!$B$5:$B$54,MATCH(B285,Müşteriler!$A$5:$A$54,0)),0))</f>
        <v/>
      </c>
    </row>
    <row r="286" customFormat="false" ht="15" hidden="false" customHeight="false" outlineLevel="0" collapsed="false">
      <c r="A286" s="12"/>
      <c r="B286" s="13"/>
      <c r="C286" s="14"/>
      <c r="D286" s="14"/>
      <c r="E286" s="15"/>
      <c r="F286" s="13"/>
      <c r="G286" s="16" t="str">
        <f aca="false">IF(OR(B286="",E286=""),"",E286*IFERROR(INDEX(Müşteriler!$B$5:$B$54,MATCH(B286,Müşteriler!$A$5:$A$54,0)),0))</f>
        <v/>
      </c>
    </row>
    <row r="287" customFormat="false" ht="15" hidden="false" customHeight="false" outlineLevel="0" collapsed="false">
      <c r="A287" s="12"/>
      <c r="B287" s="13"/>
      <c r="C287" s="14"/>
      <c r="D287" s="14"/>
      <c r="E287" s="15"/>
      <c r="F287" s="13"/>
      <c r="G287" s="16" t="str">
        <f aca="false">IF(OR(B287="",E287=""),"",E287*IFERROR(INDEX(Müşteriler!$B$5:$B$54,MATCH(B287,Müşteriler!$A$5:$A$54,0)),0))</f>
        <v/>
      </c>
    </row>
    <row r="288" customFormat="false" ht="15" hidden="false" customHeight="false" outlineLevel="0" collapsed="false">
      <c r="A288" s="12"/>
      <c r="B288" s="13"/>
      <c r="C288" s="14"/>
      <c r="D288" s="14"/>
      <c r="E288" s="15"/>
      <c r="F288" s="13"/>
      <c r="G288" s="16" t="str">
        <f aca="false">IF(OR(B288="",E288=""),"",E288*IFERROR(INDEX(Müşteriler!$B$5:$B$54,MATCH(B288,Müşteriler!$A$5:$A$54,0)),0))</f>
        <v/>
      </c>
    </row>
    <row r="289" customFormat="false" ht="15" hidden="false" customHeight="false" outlineLevel="0" collapsed="false">
      <c r="A289" s="12"/>
      <c r="B289" s="13"/>
      <c r="C289" s="14"/>
      <c r="D289" s="14"/>
      <c r="E289" s="15"/>
      <c r="F289" s="13"/>
      <c r="G289" s="16" t="str">
        <f aca="false">IF(OR(B289="",E289=""),"",E289*IFERROR(INDEX(Müşteriler!$B$5:$B$54,MATCH(B289,Müşteriler!$A$5:$A$54,0)),0))</f>
        <v/>
      </c>
    </row>
    <row r="290" customFormat="false" ht="15" hidden="false" customHeight="false" outlineLevel="0" collapsed="false">
      <c r="A290" s="12"/>
      <c r="B290" s="13"/>
      <c r="C290" s="14"/>
      <c r="D290" s="14"/>
      <c r="E290" s="15"/>
      <c r="F290" s="13"/>
      <c r="G290" s="16" t="str">
        <f aca="false">IF(OR(B290="",E290=""),"",E290*IFERROR(INDEX(Müşteriler!$B$5:$B$54,MATCH(B290,Müşteriler!$A$5:$A$54,0)),0))</f>
        <v/>
      </c>
    </row>
    <row r="291" customFormat="false" ht="15" hidden="false" customHeight="false" outlineLevel="0" collapsed="false">
      <c r="A291" s="12"/>
      <c r="B291" s="13"/>
      <c r="C291" s="14"/>
      <c r="D291" s="14"/>
      <c r="E291" s="15"/>
      <c r="F291" s="13"/>
      <c r="G291" s="16" t="str">
        <f aca="false">IF(OR(B291="",E291=""),"",E291*IFERROR(INDEX(Müşteriler!$B$5:$B$54,MATCH(B291,Müşteriler!$A$5:$A$54,0)),0))</f>
        <v/>
      </c>
    </row>
    <row r="292" customFormat="false" ht="15" hidden="false" customHeight="false" outlineLevel="0" collapsed="false">
      <c r="A292" s="12"/>
      <c r="B292" s="13"/>
      <c r="C292" s="14"/>
      <c r="D292" s="14"/>
      <c r="E292" s="15"/>
      <c r="F292" s="13"/>
      <c r="G292" s="16" t="str">
        <f aca="false">IF(OR(B292="",E292=""),"",E292*IFERROR(INDEX(Müşteriler!$B$5:$B$54,MATCH(B292,Müşteriler!$A$5:$A$54,0)),0))</f>
        <v/>
      </c>
    </row>
    <row r="293" customFormat="false" ht="15" hidden="false" customHeight="false" outlineLevel="0" collapsed="false">
      <c r="A293" s="12"/>
      <c r="B293" s="13"/>
      <c r="C293" s="14"/>
      <c r="D293" s="14"/>
      <c r="E293" s="15"/>
      <c r="F293" s="13"/>
      <c r="G293" s="16" t="str">
        <f aca="false">IF(OR(B293="",E293=""),"",E293*IFERROR(INDEX(Müşteriler!$B$5:$B$54,MATCH(B293,Müşteriler!$A$5:$A$54,0)),0))</f>
        <v/>
      </c>
    </row>
    <row r="294" customFormat="false" ht="15" hidden="false" customHeight="false" outlineLevel="0" collapsed="false">
      <c r="A294" s="12"/>
      <c r="B294" s="13"/>
      <c r="C294" s="14"/>
      <c r="D294" s="14"/>
      <c r="E294" s="15"/>
      <c r="F294" s="13"/>
      <c r="G294" s="16" t="str">
        <f aca="false">IF(OR(B294="",E294=""),"",E294*IFERROR(INDEX(Müşteriler!$B$5:$B$54,MATCH(B294,Müşteriler!$A$5:$A$54,0)),0))</f>
        <v/>
      </c>
    </row>
    <row r="295" customFormat="false" ht="15" hidden="false" customHeight="false" outlineLevel="0" collapsed="false">
      <c r="A295" s="12"/>
      <c r="B295" s="13"/>
      <c r="C295" s="14"/>
      <c r="D295" s="14"/>
      <c r="E295" s="15"/>
      <c r="F295" s="13"/>
      <c r="G295" s="16" t="str">
        <f aca="false">IF(OR(B295="",E295=""),"",E295*IFERROR(INDEX(Müşteriler!$B$5:$B$54,MATCH(B295,Müşteriler!$A$5:$A$54,0)),0))</f>
        <v/>
      </c>
    </row>
    <row r="296" customFormat="false" ht="15" hidden="false" customHeight="false" outlineLevel="0" collapsed="false">
      <c r="A296" s="12"/>
      <c r="B296" s="13"/>
      <c r="C296" s="14"/>
      <c r="D296" s="14"/>
      <c r="E296" s="15"/>
      <c r="F296" s="13"/>
      <c r="G296" s="16" t="str">
        <f aca="false">IF(OR(B296="",E296=""),"",E296*IFERROR(INDEX(Müşteriler!$B$5:$B$54,MATCH(B296,Müşteriler!$A$5:$A$54,0)),0))</f>
        <v/>
      </c>
    </row>
    <row r="297" customFormat="false" ht="15" hidden="false" customHeight="false" outlineLevel="0" collapsed="false">
      <c r="A297" s="12"/>
      <c r="B297" s="13"/>
      <c r="C297" s="14"/>
      <c r="D297" s="14"/>
      <c r="E297" s="15"/>
      <c r="F297" s="13"/>
      <c r="G297" s="16" t="str">
        <f aca="false">IF(OR(B297="",E297=""),"",E297*IFERROR(INDEX(Müşteriler!$B$5:$B$54,MATCH(B297,Müşteriler!$A$5:$A$54,0)),0))</f>
        <v/>
      </c>
    </row>
    <row r="298" customFormat="false" ht="15" hidden="false" customHeight="false" outlineLevel="0" collapsed="false">
      <c r="A298" s="12"/>
      <c r="B298" s="13"/>
      <c r="C298" s="14"/>
      <c r="D298" s="14"/>
      <c r="E298" s="15"/>
      <c r="F298" s="13"/>
      <c r="G298" s="16" t="str">
        <f aca="false">IF(OR(B298="",E298=""),"",E298*IFERROR(INDEX(Müşteriler!$B$5:$B$54,MATCH(B298,Müşteriler!$A$5:$A$54,0)),0))</f>
        <v/>
      </c>
    </row>
    <row r="299" customFormat="false" ht="15" hidden="false" customHeight="false" outlineLevel="0" collapsed="false">
      <c r="A299" s="12"/>
      <c r="B299" s="13"/>
      <c r="C299" s="14"/>
      <c r="D299" s="14"/>
      <c r="E299" s="15"/>
      <c r="F299" s="13"/>
      <c r="G299" s="16" t="str">
        <f aca="false">IF(OR(B299="",E299=""),"",E299*IFERROR(INDEX(Müşteriler!$B$5:$B$54,MATCH(B299,Müşteriler!$A$5:$A$54,0)),0))</f>
        <v/>
      </c>
    </row>
    <row r="300" customFormat="false" ht="15" hidden="false" customHeight="false" outlineLevel="0" collapsed="false">
      <c r="A300" s="12"/>
      <c r="B300" s="13"/>
      <c r="C300" s="14"/>
      <c r="D300" s="14"/>
      <c r="E300" s="15"/>
      <c r="F300" s="13"/>
      <c r="G300" s="16" t="str">
        <f aca="false">IF(OR(B300="",E300=""),"",E300*IFERROR(INDEX(Müşteriler!$B$5:$B$54,MATCH(B300,Müşteriler!$A$5:$A$54,0)),0))</f>
        <v/>
      </c>
    </row>
    <row r="301" customFormat="false" ht="15" hidden="false" customHeight="false" outlineLevel="0" collapsed="false">
      <c r="A301" s="12"/>
      <c r="B301" s="13"/>
      <c r="C301" s="14"/>
      <c r="D301" s="14"/>
      <c r="E301" s="15"/>
      <c r="F301" s="13"/>
      <c r="G301" s="16" t="str">
        <f aca="false">IF(OR(B301="",E301=""),"",E301*IFERROR(INDEX(Müşteriler!$B$5:$B$54,MATCH(B301,Müşteriler!$A$5:$A$54,0)),0))</f>
        <v/>
      </c>
    </row>
    <row r="302" customFormat="false" ht="15" hidden="false" customHeight="false" outlineLevel="0" collapsed="false">
      <c r="A302" s="12"/>
      <c r="B302" s="13"/>
      <c r="C302" s="14"/>
      <c r="D302" s="14"/>
      <c r="E302" s="15"/>
      <c r="F302" s="13"/>
      <c r="G302" s="16" t="str">
        <f aca="false">IF(OR(B302="",E302=""),"",E302*IFERROR(INDEX(Müşteriler!$B$5:$B$54,MATCH(B302,Müşteriler!$A$5:$A$54,0)),0))</f>
        <v/>
      </c>
    </row>
    <row r="303" customFormat="false" ht="15" hidden="false" customHeight="false" outlineLevel="0" collapsed="false">
      <c r="A303" s="12"/>
      <c r="B303" s="13"/>
      <c r="C303" s="14"/>
      <c r="D303" s="14"/>
      <c r="E303" s="15"/>
      <c r="F303" s="13"/>
      <c r="G303" s="16" t="str">
        <f aca="false">IF(OR(B303="",E303=""),"",E303*IFERROR(INDEX(Müşteriler!$B$5:$B$54,MATCH(B303,Müşteriler!$A$5:$A$54,0)),0))</f>
        <v/>
      </c>
    </row>
    <row r="304" customFormat="false" ht="15" hidden="false" customHeight="false" outlineLevel="0" collapsed="false">
      <c r="A304" s="12"/>
      <c r="B304" s="13"/>
      <c r="C304" s="14"/>
      <c r="D304" s="14"/>
      <c r="E304" s="15"/>
      <c r="F304" s="13"/>
      <c r="G304" s="16" t="str">
        <f aca="false">IF(OR(B304="",E304=""),"",E304*IFERROR(INDEX(Müşteriler!$B$5:$B$54,MATCH(B304,Müşteriler!$A$5:$A$54,0)),0))</f>
        <v/>
      </c>
    </row>
    <row r="305" customFormat="false" ht="15" hidden="false" customHeight="false" outlineLevel="0" collapsed="false">
      <c r="A305" s="12"/>
      <c r="B305" s="13"/>
      <c r="C305" s="14"/>
      <c r="D305" s="14"/>
      <c r="E305" s="15"/>
      <c r="F305" s="13"/>
      <c r="G305" s="16" t="str">
        <f aca="false">IF(OR(B305="",E305=""),"",E305*IFERROR(INDEX(Müşteriler!$B$5:$B$54,MATCH(B305,Müşteriler!$A$5:$A$54,0)),0))</f>
        <v/>
      </c>
    </row>
    <row r="306" customFormat="false" ht="15" hidden="false" customHeight="false" outlineLevel="0" collapsed="false">
      <c r="A306" s="12"/>
      <c r="B306" s="13"/>
      <c r="C306" s="14"/>
      <c r="D306" s="14"/>
      <c r="E306" s="15"/>
      <c r="F306" s="13"/>
      <c r="G306" s="16" t="str">
        <f aca="false">IF(OR(B306="",E306=""),"",E306*IFERROR(INDEX(Müşteriler!$B$5:$B$54,MATCH(B306,Müşteriler!$A$5:$A$54,0)),0))</f>
        <v/>
      </c>
    </row>
    <row r="307" customFormat="false" ht="15" hidden="false" customHeight="false" outlineLevel="0" collapsed="false">
      <c r="A307" s="12"/>
      <c r="B307" s="13"/>
      <c r="C307" s="14"/>
      <c r="D307" s="14"/>
      <c r="E307" s="15"/>
      <c r="F307" s="13"/>
      <c r="G307" s="16" t="str">
        <f aca="false">IF(OR(B307="",E307=""),"",E307*IFERROR(INDEX(Müşteriler!$B$5:$B$54,MATCH(B307,Müşteriler!$A$5:$A$54,0)),0))</f>
        <v/>
      </c>
    </row>
    <row r="308" customFormat="false" ht="15" hidden="false" customHeight="false" outlineLevel="0" collapsed="false">
      <c r="A308" s="12"/>
      <c r="B308" s="13"/>
      <c r="C308" s="14"/>
      <c r="D308" s="14"/>
      <c r="E308" s="15"/>
      <c r="F308" s="13"/>
      <c r="G308" s="16" t="str">
        <f aca="false">IF(OR(B308="",E308=""),"",E308*IFERROR(INDEX(Müşteriler!$B$5:$B$54,MATCH(B308,Müşteriler!$A$5:$A$54,0)),0))</f>
        <v/>
      </c>
    </row>
    <row r="309" customFormat="false" ht="15" hidden="false" customHeight="false" outlineLevel="0" collapsed="false">
      <c r="A309" s="12"/>
      <c r="B309" s="13"/>
      <c r="C309" s="14"/>
      <c r="D309" s="14"/>
      <c r="E309" s="15"/>
      <c r="F309" s="13"/>
      <c r="G309" s="16" t="str">
        <f aca="false">IF(OR(B309="",E309=""),"",E309*IFERROR(INDEX(Müşteriler!$B$5:$B$54,MATCH(B309,Müşteriler!$A$5:$A$54,0)),0))</f>
        <v/>
      </c>
    </row>
    <row r="310" customFormat="false" ht="15" hidden="false" customHeight="false" outlineLevel="0" collapsed="false">
      <c r="A310" s="12"/>
      <c r="B310" s="13"/>
      <c r="C310" s="14"/>
      <c r="D310" s="14"/>
      <c r="E310" s="15"/>
      <c r="F310" s="13"/>
      <c r="G310" s="16" t="str">
        <f aca="false">IF(OR(B310="",E310=""),"",E310*IFERROR(INDEX(Müşteriler!$B$5:$B$54,MATCH(B310,Müşteriler!$A$5:$A$54,0)),0))</f>
        <v/>
      </c>
    </row>
    <row r="311" customFormat="false" ht="15" hidden="false" customHeight="false" outlineLevel="0" collapsed="false">
      <c r="A311" s="12"/>
      <c r="B311" s="13"/>
      <c r="C311" s="14"/>
      <c r="D311" s="14"/>
      <c r="E311" s="15"/>
      <c r="F311" s="13"/>
      <c r="G311" s="16" t="str">
        <f aca="false">IF(OR(B311="",E311=""),"",E311*IFERROR(INDEX(Müşteriler!$B$5:$B$54,MATCH(B311,Müşteriler!$A$5:$A$54,0)),0))</f>
        <v/>
      </c>
    </row>
    <row r="312" customFormat="false" ht="15" hidden="false" customHeight="false" outlineLevel="0" collapsed="false">
      <c r="A312" s="12"/>
      <c r="B312" s="13"/>
      <c r="C312" s="14"/>
      <c r="D312" s="14"/>
      <c r="E312" s="15"/>
      <c r="F312" s="13"/>
      <c r="G312" s="16" t="str">
        <f aca="false">IF(OR(B312="",E312=""),"",E312*IFERROR(INDEX(Müşteriler!$B$5:$B$54,MATCH(B312,Müşteriler!$A$5:$A$54,0)),0))</f>
        <v/>
      </c>
    </row>
    <row r="313" customFormat="false" ht="15" hidden="false" customHeight="false" outlineLevel="0" collapsed="false">
      <c r="A313" s="12"/>
      <c r="B313" s="13"/>
      <c r="C313" s="14"/>
      <c r="D313" s="14"/>
      <c r="E313" s="15"/>
      <c r="F313" s="13"/>
      <c r="G313" s="16" t="str">
        <f aca="false">IF(OR(B313="",E313=""),"",E313*IFERROR(INDEX(Müşteriler!$B$5:$B$54,MATCH(B313,Müşteriler!$A$5:$A$54,0)),0))</f>
        <v/>
      </c>
    </row>
    <row r="314" customFormat="false" ht="15" hidden="false" customHeight="false" outlineLevel="0" collapsed="false">
      <c r="A314" s="12"/>
      <c r="B314" s="13"/>
      <c r="C314" s="14"/>
      <c r="D314" s="14"/>
      <c r="E314" s="15"/>
      <c r="F314" s="13"/>
      <c r="G314" s="16" t="str">
        <f aca="false">IF(OR(B314="",E314=""),"",E314*IFERROR(INDEX(Müşteriler!$B$5:$B$54,MATCH(B314,Müşteriler!$A$5:$A$54,0)),0))</f>
        <v/>
      </c>
    </row>
    <row r="315" customFormat="false" ht="15" hidden="false" customHeight="false" outlineLevel="0" collapsed="false">
      <c r="A315" s="12"/>
      <c r="B315" s="13"/>
      <c r="C315" s="14"/>
      <c r="D315" s="14"/>
      <c r="E315" s="15"/>
      <c r="F315" s="13"/>
      <c r="G315" s="16" t="str">
        <f aca="false">IF(OR(B315="",E315=""),"",E315*IFERROR(INDEX(Müşteriler!$B$5:$B$54,MATCH(B315,Müşteriler!$A$5:$A$54,0)),0))</f>
        <v/>
      </c>
    </row>
    <row r="316" customFormat="false" ht="15" hidden="false" customHeight="false" outlineLevel="0" collapsed="false">
      <c r="A316" s="12"/>
      <c r="B316" s="13"/>
      <c r="C316" s="14"/>
      <c r="D316" s="14"/>
      <c r="E316" s="15"/>
      <c r="F316" s="13"/>
      <c r="G316" s="16" t="str">
        <f aca="false">IF(OR(B316="",E316=""),"",E316*IFERROR(INDEX(Müşteriler!$B$5:$B$54,MATCH(B316,Müşteriler!$A$5:$A$54,0)),0))</f>
        <v/>
      </c>
    </row>
    <row r="317" customFormat="false" ht="15" hidden="false" customHeight="false" outlineLevel="0" collapsed="false">
      <c r="A317" s="12"/>
      <c r="B317" s="13"/>
      <c r="C317" s="14"/>
      <c r="D317" s="14"/>
      <c r="E317" s="15"/>
      <c r="F317" s="13"/>
      <c r="G317" s="16" t="str">
        <f aca="false">IF(OR(B317="",E317=""),"",E317*IFERROR(INDEX(Müşteriler!$B$5:$B$54,MATCH(B317,Müşteriler!$A$5:$A$54,0)),0))</f>
        <v/>
      </c>
    </row>
    <row r="318" customFormat="false" ht="15" hidden="false" customHeight="false" outlineLevel="0" collapsed="false">
      <c r="A318" s="12"/>
      <c r="B318" s="13"/>
      <c r="C318" s="14"/>
      <c r="D318" s="14"/>
      <c r="E318" s="15"/>
      <c r="F318" s="13"/>
      <c r="G318" s="16" t="str">
        <f aca="false">IF(OR(B318="",E318=""),"",E318*IFERROR(INDEX(Müşteriler!$B$5:$B$54,MATCH(B318,Müşteriler!$A$5:$A$54,0)),0))</f>
        <v/>
      </c>
    </row>
    <row r="319" customFormat="false" ht="15" hidden="false" customHeight="false" outlineLevel="0" collapsed="false">
      <c r="A319" s="12"/>
      <c r="B319" s="13"/>
      <c r="C319" s="14"/>
      <c r="D319" s="14"/>
      <c r="E319" s="15"/>
      <c r="F319" s="13"/>
      <c r="G319" s="16" t="str">
        <f aca="false">IF(OR(B319="",E319=""),"",E319*IFERROR(INDEX(Müşteriler!$B$5:$B$54,MATCH(B319,Müşteriler!$A$5:$A$54,0)),0))</f>
        <v/>
      </c>
    </row>
    <row r="320" customFormat="false" ht="15" hidden="false" customHeight="false" outlineLevel="0" collapsed="false">
      <c r="A320" s="12"/>
      <c r="B320" s="13"/>
      <c r="C320" s="14"/>
      <c r="D320" s="14"/>
      <c r="E320" s="15"/>
      <c r="F320" s="13"/>
      <c r="G320" s="16" t="str">
        <f aca="false">IF(OR(B320="",E320=""),"",E320*IFERROR(INDEX(Müşteriler!$B$5:$B$54,MATCH(B320,Müşteriler!$A$5:$A$54,0)),0))</f>
        <v/>
      </c>
    </row>
    <row r="321" customFormat="false" ht="15" hidden="false" customHeight="false" outlineLevel="0" collapsed="false">
      <c r="A321" s="12"/>
      <c r="B321" s="13"/>
      <c r="C321" s="14"/>
      <c r="D321" s="14"/>
      <c r="E321" s="15"/>
      <c r="F321" s="13"/>
      <c r="G321" s="16" t="str">
        <f aca="false">IF(OR(B321="",E321=""),"",E321*IFERROR(INDEX(Müşteriler!$B$5:$B$54,MATCH(B321,Müşteriler!$A$5:$A$54,0)),0))</f>
        <v/>
      </c>
    </row>
    <row r="322" customFormat="false" ht="15" hidden="false" customHeight="false" outlineLevel="0" collapsed="false">
      <c r="A322" s="12"/>
      <c r="B322" s="13"/>
      <c r="C322" s="14"/>
      <c r="D322" s="14"/>
      <c r="E322" s="15"/>
      <c r="F322" s="13"/>
      <c r="G322" s="16" t="str">
        <f aca="false">IF(OR(B322="",E322=""),"",E322*IFERROR(INDEX(Müşteriler!$B$5:$B$54,MATCH(B322,Müşteriler!$A$5:$A$54,0)),0))</f>
        <v/>
      </c>
    </row>
    <row r="323" customFormat="false" ht="15" hidden="false" customHeight="false" outlineLevel="0" collapsed="false">
      <c r="A323" s="12"/>
      <c r="B323" s="13"/>
      <c r="C323" s="14"/>
      <c r="D323" s="14"/>
      <c r="E323" s="15"/>
      <c r="F323" s="13"/>
      <c r="G323" s="16" t="str">
        <f aca="false">IF(OR(B323="",E323=""),"",E323*IFERROR(INDEX(Müşteriler!$B$5:$B$54,MATCH(B323,Müşteriler!$A$5:$A$54,0)),0))</f>
        <v/>
      </c>
    </row>
    <row r="324" customFormat="false" ht="15" hidden="false" customHeight="false" outlineLevel="0" collapsed="false">
      <c r="A324" s="12"/>
      <c r="B324" s="13"/>
      <c r="C324" s="14"/>
      <c r="D324" s="14"/>
      <c r="E324" s="15"/>
      <c r="F324" s="13"/>
      <c r="G324" s="16" t="str">
        <f aca="false">IF(OR(B324="",E324=""),"",E324*IFERROR(INDEX(Müşteriler!$B$5:$B$54,MATCH(B324,Müşteriler!$A$5:$A$54,0)),0))</f>
        <v/>
      </c>
    </row>
    <row r="325" customFormat="false" ht="15" hidden="false" customHeight="false" outlineLevel="0" collapsed="false">
      <c r="A325" s="12"/>
      <c r="B325" s="13"/>
      <c r="C325" s="14"/>
      <c r="D325" s="14"/>
      <c r="E325" s="15"/>
      <c r="F325" s="13"/>
      <c r="G325" s="16" t="str">
        <f aca="false">IF(OR(B325="",E325=""),"",E325*IFERROR(INDEX(Müşteriler!$B$5:$B$54,MATCH(B325,Müşteriler!$A$5:$A$54,0)),0))</f>
        <v/>
      </c>
    </row>
    <row r="326" customFormat="false" ht="15" hidden="false" customHeight="false" outlineLevel="0" collapsed="false">
      <c r="A326" s="12"/>
      <c r="B326" s="13"/>
      <c r="C326" s="14"/>
      <c r="D326" s="14"/>
      <c r="E326" s="15"/>
      <c r="F326" s="13"/>
      <c r="G326" s="16" t="str">
        <f aca="false">IF(OR(B326="",E326=""),"",E326*IFERROR(INDEX(Müşteriler!$B$5:$B$54,MATCH(B326,Müşteriler!$A$5:$A$54,0)),0))</f>
        <v/>
      </c>
    </row>
    <row r="327" customFormat="false" ht="15" hidden="false" customHeight="false" outlineLevel="0" collapsed="false">
      <c r="A327" s="12"/>
      <c r="B327" s="13"/>
      <c r="C327" s="14"/>
      <c r="D327" s="14"/>
      <c r="E327" s="15"/>
      <c r="F327" s="13"/>
      <c r="G327" s="16" t="str">
        <f aca="false">IF(OR(B327="",E327=""),"",E327*IFERROR(INDEX(Müşteriler!$B$5:$B$54,MATCH(B327,Müşteriler!$A$5:$A$54,0)),0))</f>
        <v/>
      </c>
    </row>
    <row r="328" customFormat="false" ht="15" hidden="false" customHeight="false" outlineLevel="0" collapsed="false">
      <c r="A328" s="12"/>
      <c r="B328" s="13"/>
      <c r="C328" s="14"/>
      <c r="D328" s="14"/>
      <c r="E328" s="15"/>
      <c r="F328" s="13"/>
      <c r="G328" s="16" t="str">
        <f aca="false">IF(OR(B328="",E328=""),"",E328*IFERROR(INDEX(Müşteriler!$B$5:$B$54,MATCH(B328,Müşteriler!$A$5:$A$54,0)),0))</f>
        <v/>
      </c>
    </row>
    <row r="329" customFormat="false" ht="15" hidden="false" customHeight="false" outlineLevel="0" collapsed="false">
      <c r="A329" s="12"/>
      <c r="B329" s="13"/>
      <c r="C329" s="14"/>
      <c r="D329" s="14"/>
      <c r="E329" s="15"/>
      <c r="F329" s="13"/>
      <c r="G329" s="16" t="str">
        <f aca="false">IF(OR(B329="",E329=""),"",E329*IFERROR(INDEX(Müşteriler!$B$5:$B$54,MATCH(B329,Müşteriler!$A$5:$A$54,0)),0))</f>
        <v/>
      </c>
    </row>
    <row r="330" customFormat="false" ht="15" hidden="false" customHeight="false" outlineLevel="0" collapsed="false">
      <c r="A330" s="12"/>
      <c r="B330" s="13"/>
      <c r="C330" s="14"/>
      <c r="D330" s="14"/>
      <c r="E330" s="15"/>
      <c r="F330" s="13"/>
      <c r="G330" s="16" t="str">
        <f aca="false">IF(OR(B330="",E330=""),"",E330*IFERROR(INDEX(Müşteriler!$B$5:$B$54,MATCH(B330,Müşteriler!$A$5:$A$54,0)),0))</f>
        <v/>
      </c>
    </row>
    <row r="331" customFormat="false" ht="15" hidden="false" customHeight="false" outlineLevel="0" collapsed="false">
      <c r="A331" s="12"/>
      <c r="B331" s="13"/>
      <c r="C331" s="14"/>
      <c r="D331" s="14"/>
      <c r="E331" s="15"/>
      <c r="F331" s="13"/>
      <c r="G331" s="16" t="str">
        <f aca="false">IF(OR(B331="",E331=""),"",E331*IFERROR(INDEX(Müşteriler!$B$5:$B$54,MATCH(B331,Müşteriler!$A$5:$A$54,0)),0))</f>
        <v/>
      </c>
    </row>
    <row r="332" customFormat="false" ht="15" hidden="false" customHeight="false" outlineLevel="0" collapsed="false">
      <c r="A332" s="12"/>
      <c r="B332" s="13"/>
      <c r="C332" s="14"/>
      <c r="D332" s="14"/>
      <c r="E332" s="15"/>
      <c r="F332" s="13"/>
      <c r="G332" s="16" t="str">
        <f aca="false">IF(OR(B332="",E332=""),"",E332*IFERROR(INDEX(Müşteriler!$B$5:$B$54,MATCH(B332,Müşteriler!$A$5:$A$54,0)),0))</f>
        <v/>
      </c>
    </row>
    <row r="333" customFormat="false" ht="15" hidden="false" customHeight="false" outlineLevel="0" collapsed="false">
      <c r="A333" s="12"/>
      <c r="B333" s="13"/>
      <c r="C333" s="14"/>
      <c r="D333" s="14"/>
      <c r="E333" s="15"/>
      <c r="F333" s="13"/>
      <c r="G333" s="16" t="str">
        <f aca="false">IF(OR(B333="",E333=""),"",E333*IFERROR(INDEX(Müşteriler!$B$5:$B$54,MATCH(B333,Müşteriler!$A$5:$A$54,0)),0))</f>
        <v/>
      </c>
    </row>
    <row r="334" customFormat="false" ht="15" hidden="false" customHeight="false" outlineLevel="0" collapsed="false">
      <c r="A334" s="12"/>
      <c r="B334" s="13"/>
      <c r="C334" s="14"/>
      <c r="D334" s="14"/>
      <c r="E334" s="15"/>
      <c r="F334" s="13"/>
      <c r="G334" s="16" t="str">
        <f aca="false">IF(OR(B334="",E334=""),"",E334*IFERROR(INDEX(Müşteriler!$B$5:$B$54,MATCH(B334,Müşteriler!$A$5:$A$54,0)),0))</f>
        <v/>
      </c>
    </row>
    <row r="335" customFormat="false" ht="15" hidden="false" customHeight="false" outlineLevel="0" collapsed="false">
      <c r="A335" s="12"/>
      <c r="B335" s="13"/>
      <c r="C335" s="14"/>
      <c r="D335" s="14"/>
      <c r="E335" s="15"/>
      <c r="F335" s="13"/>
      <c r="G335" s="16" t="str">
        <f aca="false">IF(OR(B335="",E335=""),"",E335*IFERROR(INDEX(Müşteriler!$B$5:$B$54,MATCH(B335,Müşteriler!$A$5:$A$54,0)),0))</f>
        <v/>
      </c>
    </row>
    <row r="336" customFormat="false" ht="15" hidden="false" customHeight="false" outlineLevel="0" collapsed="false">
      <c r="A336" s="12"/>
      <c r="B336" s="13"/>
      <c r="C336" s="14"/>
      <c r="D336" s="14"/>
      <c r="E336" s="15"/>
      <c r="F336" s="13"/>
      <c r="G336" s="16" t="str">
        <f aca="false">IF(OR(B336="",E336=""),"",E336*IFERROR(INDEX(Müşteriler!$B$5:$B$54,MATCH(B336,Müşteriler!$A$5:$A$54,0)),0))</f>
        <v/>
      </c>
    </row>
    <row r="337" customFormat="false" ht="15" hidden="false" customHeight="false" outlineLevel="0" collapsed="false">
      <c r="A337" s="12"/>
      <c r="B337" s="13"/>
      <c r="C337" s="14"/>
      <c r="D337" s="14"/>
      <c r="E337" s="15"/>
      <c r="F337" s="13"/>
      <c r="G337" s="16" t="str">
        <f aca="false">IF(OR(B337="",E337=""),"",E337*IFERROR(INDEX(Müşteriler!$B$5:$B$54,MATCH(B337,Müşteriler!$A$5:$A$54,0)),0))</f>
        <v/>
      </c>
    </row>
    <row r="338" customFormat="false" ht="15" hidden="false" customHeight="false" outlineLevel="0" collapsed="false">
      <c r="A338" s="12"/>
      <c r="B338" s="13"/>
      <c r="C338" s="14"/>
      <c r="D338" s="14"/>
      <c r="E338" s="15"/>
      <c r="F338" s="13"/>
      <c r="G338" s="16" t="str">
        <f aca="false">IF(OR(B338="",E338=""),"",E338*IFERROR(INDEX(Müşteriler!$B$5:$B$54,MATCH(B338,Müşteriler!$A$5:$A$54,0)),0))</f>
        <v/>
      </c>
    </row>
    <row r="339" customFormat="false" ht="15" hidden="false" customHeight="false" outlineLevel="0" collapsed="false">
      <c r="A339" s="12"/>
      <c r="B339" s="13"/>
      <c r="C339" s="14"/>
      <c r="D339" s="14"/>
      <c r="E339" s="15"/>
      <c r="F339" s="13"/>
      <c r="G339" s="16" t="str">
        <f aca="false">IF(OR(B339="",E339=""),"",E339*IFERROR(INDEX(Müşteriler!$B$5:$B$54,MATCH(B339,Müşteriler!$A$5:$A$54,0)),0))</f>
        <v/>
      </c>
    </row>
    <row r="340" customFormat="false" ht="15" hidden="false" customHeight="false" outlineLevel="0" collapsed="false">
      <c r="A340" s="12"/>
      <c r="B340" s="13"/>
      <c r="C340" s="14"/>
      <c r="D340" s="14"/>
      <c r="E340" s="15"/>
      <c r="F340" s="13"/>
      <c r="G340" s="16" t="str">
        <f aca="false">IF(OR(B340="",E340=""),"",E340*IFERROR(INDEX(Müşteriler!$B$5:$B$54,MATCH(B340,Müşteriler!$A$5:$A$54,0)),0))</f>
        <v/>
      </c>
    </row>
    <row r="341" customFormat="false" ht="15" hidden="false" customHeight="false" outlineLevel="0" collapsed="false">
      <c r="A341" s="12"/>
      <c r="B341" s="13"/>
      <c r="C341" s="14"/>
      <c r="D341" s="14"/>
      <c r="E341" s="15"/>
      <c r="F341" s="13"/>
      <c r="G341" s="16" t="str">
        <f aca="false">IF(OR(B341="",E341=""),"",E341*IFERROR(INDEX(Müşteriler!$B$5:$B$54,MATCH(B341,Müşteriler!$A$5:$A$54,0)),0))</f>
        <v/>
      </c>
    </row>
    <row r="342" customFormat="false" ht="15" hidden="false" customHeight="false" outlineLevel="0" collapsed="false">
      <c r="A342" s="12"/>
      <c r="B342" s="13"/>
      <c r="C342" s="14"/>
      <c r="D342" s="14"/>
      <c r="E342" s="15"/>
      <c r="F342" s="13"/>
      <c r="G342" s="16" t="str">
        <f aca="false">IF(OR(B342="",E342=""),"",E342*IFERROR(INDEX(Müşteriler!$B$5:$B$54,MATCH(B342,Müşteriler!$A$5:$A$54,0)),0))</f>
        <v/>
      </c>
    </row>
    <row r="343" customFormat="false" ht="15" hidden="false" customHeight="false" outlineLevel="0" collapsed="false">
      <c r="A343" s="12"/>
      <c r="B343" s="13"/>
      <c r="C343" s="14"/>
      <c r="D343" s="14"/>
      <c r="E343" s="15"/>
      <c r="F343" s="13"/>
      <c r="G343" s="16" t="str">
        <f aca="false">IF(OR(B343="",E343=""),"",E343*IFERROR(INDEX(Müşteriler!$B$5:$B$54,MATCH(B343,Müşteriler!$A$5:$A$54,0)),0))</f>
        <v/>
      </c>
    </row>
    <row r="344" customFormat="false" ht="15" hidden="false" customHeight="false" outlineLevel="0" collapsed="false">
      <c r="A344" s="12"/>
      <c r="B344" s="13"/>
      <c r="C344" s="14"/>
      <c r="D344" s="14"/>
      <c r="E344" s="15"/>
      <c r="F344" s="13"/>
      <c r="G344" s="16" t="str">
        <f aca="false">IF(OR(B344="",E344=""),"",E344*IFERROR(INDEX(Müşteriler!$B$5:$B$54,MATCH(B344,Müşteriler!$A$5:$A$54,0)),0))</f>
        <v/>
      </c>
    </row>
    <row r="345" customFormat="false" ht="15" hidden="false" customHeight="false" outlineLevel="0" collapsed="false">
      <c r="A345" s="12"/>
      <c r="B345" s="13"/>
      <c r="C345" s="14"/>
      <c r="D345" s="14"/>
      <c r="E345" s="15"/>
      <c r="F345" s="13"/>
      <c r="G345" s="16" t="str">
        <f aca="false">IF(OR(B345="",E345=""),"",E345*IFERROR(INDEX(Müşteriler!$B$5:$B$54,MATCH(B345,Müşteriler!$A$5:$A$54,0)),0))</f>
        <v/>
      </c>
    </row>
    <row r="346" customFormat="false" ht="15" hidden="false" customHeight="false" outlineLevel="0" collapsed="false">
      <c r="A346" s="12"/>
      <c r="B346" s="13"/>
      <c r="C346" s="14"/>
      <c r="D346" s="14"/>
      <c r="E346" s="15"/>
      <c r="F346" s="13"/>
      <c r="G346" s="16" t="str">
        <f aca="false">IF(OR(B346="",E346=""),"",E346*IFERROR(INDEX(Müşteriler!$B$5:$B$54,MATCH(B346,Müşteriler!$A$5:$A$54,0)),0))</f>
        <v/>
      </c>
    </row>
    <row r="347" customFormat="false" ht="15" hidden="false" customHeight="false" outlineLevel="0" collapsed="false">
      <c r="A347" s="12"/>
      <c r="B347" s="13"/>
      <c r="C347" s="14"/>
      <c r="D347" s="14"/>
      <c r="E347" s="15"/>
      <c r="F347" s="13"/>
      <c r="G347" s="16" t="str">
        <f aca="false">IF(OR(B347="",E347=""),"",E347*IFERROR(INDEX(Müşteriler!$B$5:$B$54,MATCH(B347,Müşteriler!$A$5:$A$54,0)),0))</f>
        <v/>
      </c>
    </row>
    <row r="348" customFormat="false" ht="15" hidden="false" customHeight="false" outlineLevel="0" collapsed="false">
      <c r="A348" s="12"/>
      <c r="B348" s="13"/>
      <c r="C348" s="14"/>
      <c r="D348" s="14"/>
      <c r="E348" s="15"/>
      <c r="F348" s="13"/>
      <c r="G348" s="16" t="str">
        <f aca="false">IF(OR(B348="",E348=""),"",E348*IFERROR(INDEX(Müşteriler!$B$5:$B$54,MATCH(B348,Müşteriler!$A$5:$A$54,0)),0))</f>
        <v/>
      </c>
    </row>
    <row r="349" customFormat="false" ht="15" hidden="false" customHeight="false" outlineLevel="0" collapsed="false">
      <c r="A349" s="12"/>
      <c r="B349" s="13"/>
      <c r="C349" s="14"/>
      <c r="D349" s="14"/>
      <c r="E349" s="15"/>
      <c r="F349" s="13"/>
      <c r="G349" s="16" t="str">
        <f aca="false">IF(OR(B349="",E349=""),"",E349*IFERROR(INDEX(Müşteriler!$B$5:$B$54,MATCH(B349,Müşteriler!$A$5:$A$54,0)),0))</f>
        <v/>
      </c>
    </row>
    <row r="350" customFormat="false" ht="15" hidden="false" customHeight="false" outlineLevel="0" collapsed="false">
      <c r="A350" s="12"/>
      <c r="B350" s="13"/>
      <c r="C350" s="14"/>
      <c r="D350" s="14"/>
      <c r="E350" s="15"/>
      <c r="F350" s="13"/>
      <c r="G350" s="16" t="str">
        <f aca="false">IF(OR(B350="",E350=""),"",E350*IFERROR(INDEX(Müşteriler!$B$5:$B$54,MATCH(B350,Müşteriler!$A$5:$A$54,0)),0))</f>
        <v/>
      </c>
    </row>
    <row r="351" customFormat="false" ht="15" hidden="false" customHeight="false" outlineLevel="0" collapsed="false">
      <c r="A351" s="12"/>
      <c r="B351" s="13"/>
      <c r="C351" s="14"/>
      <c r="D351" s="14"/>
      <c r="E351" s="15"/>
      <c r="F351" s="13"/>
      <c r="G351" s="16" t="str">
        <f aca="false">IF(OR(B351="",E351=""),"",E351*IFERROR(INDEX(Müşteriler!$B$5:$B$54,MATCH(B351,Müşteriler!$A$5:$A$54,0)),0))</f>
        <v/>
      </c>
    </row>
    <row r="352" customFormat="false" ht="15" hidden="false" customHeight="false" outlineLevel="0" collapsed="false">
      <c r="A352" s="12"/>
      <c r="B352" s="13"/>
      <c r="C352" s="14"/>
      <c r="D352" s="14"/>
      <c r="E352" s="15"/>
      <c r="F352" s="13"/>
      <c r="G352" s="16" t="str">
        <f aca="false">IF(OR(B352="",E352=""),"",E352*IFERROR(INDEX(Müşteriler!$B$5:$B$54,MATCH(B352,Müşteriler!$A$5:$A$54,0)),0))</f>
        <v/>
      </c>
    </row>
    <row r="353" customFormat="false" ht="15" hidden="false" customHeight="false" outlineLevel="0" collapsed="false">
      <c r="A353" s="12"/>
      <c r="B353" s="13"/>
      <c r="C353" s="14"/>
      <c r="D353" s="14"/>
      <c r="E353" s="15"/>
      <c r="F353" s="13"/>
      <c r="G353" s="16" t="str">
        <f aca="false">IF(OR(B353="",E353=""),"",E353*IFERROR(INDEX(Müşteriler!$B$5:$B$54,MATCH(B353,Müşteriler!$A$5:$A$54,0)),0))</f>
        <v/>
      </c>
    </row>
    <row r="354" customFormat="false" ht="15" hidden="false" customHeight="false" outlineLevel="0" collapsed="false">
      <c r="A354" s="12"/>
      <c r="B354" s="13"/>
      <c r="C354" s="14"/>
      <c r="D354" s="14"/>
      <c r="E354" s="15"/>
      <c r="F354" s="13"/>
      <c r="G354" s="16" t="str">
        <f aca="false">IF(OR(B354="",E354=""),"",E354*IFERROR(INDEX(Müşteriler!$B$5:$B$54,MATCH(B354,Müşteriler!$A$5:$A$54,0)),0))</f>
        <v/>
      </c>
    </row>
    <row r="355" customFormat="false" ht="15" hidden="false" customHeight="false" outlineLevel="0" collapsed="false">
      <c r="A355" s="12"/>
      <c r="B355" s="13"/>
      <c r="C355" s="14"/>
      <c r="D355" s="14"/>
      <c r="E355" s="15"/>
      <c r="F355" s="13"/>
      <c r="G355" s="16" t="str">
        <f aca="false">IF(OR(B355="",E355=""),"",E355*IFERROR(INDEX(Müşteriler!$B$5:$B$54,MATCH(B355,Müşteriler!$A$5:$A$54,0)),0))</f>
        <v/>
      </c>
    </row>
    <row r="356" customFormat="false" ht="15" hidden="false" customHeight="false" outlineLevel="0" collapsed="false">
      <c r="A356" s="12"/>
      <c r="B356" s="13"/>
      <c r="C356" s="14"/>
      <c r="D356" s="14"/>
      <c r="E356" s="15"/>
      <c r="F356" s="13"/>
      <c r="G356" s="16" t="str">
        <f aca="false">IF(OR(B356="",E356=""),"",E356*IFERROR(INDEX(Müşteriler!$B$5:$B$54,MATCH(B356,Müşteriler!$A$5:$A$54,0)),0))</f>
        <v/>
      </c>
    </row>
    <row r="357" customFormat="false" ht="15" hidden="false" customHeight="false" outlineLevel="0" collapsed="false">
      <c r="A357" s="12"/>
      <c r="B357" s="13"/>
      <c r="C357" s="14"/>
      <c r="D357" s="14"/>
      <c r="E357" s="15"/>
      <c r="F357" s="13"/>
      <c r="G357" s="16" t="str">
        <f aca="false">IF(OR(B357="",E357=""),"",E357*IFERROR(INDEX(Müşteriler!$B$5:$B$54,MATCH(B357,Müşteriler!$A$5:$A$54,0)),0))</f>
        <v/>
      </c>
    </row>
    <row r="358" customFormat="false" ht="15" hidden="false" customHeight="false" outlineLevel="0" collapsed="false">
      <c r="A358" s="12"/>
      <c r="B358" s="13"/>
      <c r="C358" s="14"/>
      <c r="D358" s="14"/>
      <c r="E358" s="15"/>
      <c r="F358" s="13"/>
      <c r="G358" s="16" t="str">
        <f aca="false">IF(OR(B358="",E358=""),"",E358*IFERROR(INDEX(Müşteriler!$B$5:$B$54,MATCH(B358,Müşteriler!$A$5:$A$54,0)),0))</f>
        <v/>
      </c>
    </row>
    <row r="359" customFormat="false" ht="15" hidden="false" customHeight="false" outlineLevel="0" collapsed="false">
      <c r="A359" s="12"/>
      <c r="B359" s="13"/>
      <c r="C359" s="14"/>
      <c r="D359" s="14"/>
      <c r="E359" s="15"/>
      <c r="F359" s="13"/>
      <c r="G359" s="16" t="str">
        <f aca="false">IF(OR(B359="",E359=""),"",E359*IFERROR(INDEX(Müşteriler!$B$5:$B$54,MATCH(B359,Müşteriler!$A$5:$A$54,0)),0))</f>
        <v/>
      </c>
    </row>
    <row r="360" customFormat="false" ht="15" hidden="false" customHeight="false" outlineLevel="0" collapsed="false">
      <c r="A360" s="12"/>
      <c r="B360" s="13"/>
      <c r="C360" s="14"/>
      <c r="D360" s="14"/>
      <c r="E360" s="15"/>
      <c r="F360" s="13"/>
      <c r="G360" s="16" t="str">
        <f aca="false">IF(OR(B360="",E360=""),"",E360*IFERROR(INDEX(Müşteriler!$B$5:$B$54,MATCH(B360,Müşteriler!$A$5:$A$54,0)),0))</f>
        <v/>
      </c>
    </row>
    <row r="361" customFormat="false" ht="15" hidden="false" customHeight="false" outlineLevel="0" collapsed="false">
      <c r="A361" s="12"/>
      <c r="B361" s="13"/>
      <c r="C361" s="14"/>
      <c r="D361" s="14"/>
      <c r="E361" s="15"/>
      <c r="F361" s="13"/>
      <c r="G361" s="16" t="str">
        <f aca="false">IF(OR(B361="",E361=""),"",E361*IFERROR(INDEX(Müşteriler!$B$5:$B$54,MATCH(B361,Müşteriler!$A$5:$A$54,0)),0))</f>
        <v/>
      </c>
    </row>
    <row r="362" customFormat="false" ht="15" hidden="false" customHeight="false" outlineLevel="0" collapsed="false">
      <c r="A362" s="12"/>
      <c r="B362" s="13"/>
      <c r="C362" s="14"/>
      <c r="D362" s="14"/>
      <c r="E362" s="15"/>
      <c r="F362" s="13"/>
      <c r="G362" s="16" t="str">
        <f aca="false">IF(OR(B362="",E362=""),"",E362*IFERROR(INDEX(Müşteriler!$B$5:$B$54,MATCH(B362,Müşteriler!$A$5:$A$54,0)),0))</f>
        <v/>
      </c>
    </row>
    <row r="363" customFormat="false" ht="15" hidden="false" customHeight="false" outlineLevel="0" collapsed="false">
      <c r="A363" s="12"/>
      <c r="B363" s="13"/>
      <c r="C363" s="14"/>
      <c r="D363" s="14"/>
      <c r="E363" s="15"/>
      <c r="F363" s="13"/>
      <c r="G363" s="16" t="str">
        <f aca="false">IF(OR(B363="",E363=""),"",E363*IFERROR(INDEX(Müşteriler!$B$5:$B$54,MATCH(B363,Müşteriler!$A$5:$A$54,0)),0))</f>
        <v/>
      </c>
    </row>
    <row r="364" customFormat="false" ht="15" hidden="false" customHeight="false" outlineLevel="0" collapsed="false">
      <c r="A364" s="12"/>
      <c r="B364" s="13"/>
      <c r="C364" s="14"/>
      <c r="D364" s="14"/>
      <c r="E364" s="15"/>
      <c r="F364" s="13"/>
      <c r="G364" s="16" t="str">
        <f aca="false">IF(OR(B364="",E364=""),"",E364*IFERROR(INDEX(Müşteriler!$B$5:$B$54,MATCH(B364,Müşteriler!$A$5:$A$54,0)),0))</f>
        <v/>
      </c>
    </row>
    <row r="365" customFormat="false" ht="15" hidden="false" customHeight="false" outlineLevel="0" collapsed="false">
      <c r="A365" s="12"/>
      <c r="B365" s="13"/>
      <c r="C365" s="14"/>
      <c r="D365" s="14"/>
      <c r="E365" s="15"/>
      <c r="F365" s="13"/>
      <c r="G365" s="16" t="str">
        <f aca="false">IF(OR(B365="",E365=""),"",E365*IFERROR(INDEX(Müşteriler!$B$5:$B$54,MATCH(B365,Müşteriler!$A$5:$A$54,0)),0))</f>
        <v/>
      </c>
    </row>
    <row r="366" customFormat="false" ht="15" hidden="false" customHeight="false" outlineLevel="0" collapsed="false">
      <c r="A366" s="12"/>
      <c r="B366" s="13"/>
      <c r="C366" s="14"/>
      <c r="D366" s="14"/>
      <c r="E366" s="15"/>
      <c r="F366" s="13"/>
      <c r="G366" s="16" t="str">
        <f aca="false">IF(OR(B366="",E366=""),"",E366*IFERROR(INDEX(Müşteriler!$B$5:$B$54,MATCH(B366,Müşteriler!$A$5:$A$54,0)),0))</f>
        <v/>
      </c>
    </row>
    <row r="367" customFormat="false" ht="15" hidden="false" customHeight="false" outlineLevel="0" collapsed="false">
      <c r="A367" s="12"/>
      <c r="B367" s="13"/>
      <c r="C367" s="14"/>
      <c r="D367" s="14"/>
      <c r="E367" s="15"/>
      <c r="F367" s="13"/>
      <c r="G367" s="16" t="str">
        <f aca="false">IF(OR(B367="",E367=""),"",E367*IFERROR(INDEX(Müşteriler!$B$5:$B$54,MATCH(B367,Müşteriler!$A$5:$A$54,0)),0))</f>
        <v/>
      </c>
    </row>
    <row r="368" customFormat="false" ht="15" hidden="false" customHeight="false" outlineLevel="0" collapsed="false">
      <c r="A368" s="12"/>
      <c r="B368" s="13"/>
      <c r="C368" s="14"/>
      <c r="D368" s="14"/>
      <c r="E368" s="15"/>
      <c r="F368" s="13"/>
      <c r="G368" s="16" t="str">
        <f aca="false">IF(OR(B368="",E368=""),"",E368*IFERROR(INDEX(Müşteriler!$B$5:$B$54,MATCH(B368,Müşteriler!$A$5:$A$54,0)),0))</f>
        <v/>
      </c>
    </row>
    <row r="369" customFormat="false" ht="15" hidden="false" customHeight="false" outlineLevel="0" collapsed="false">
      <c r="A369" s="12"/>
      <c r="B369" s="13"/>
      <c r="C369" s="14"/>
      <c r="D369" s="14"/>
      <c r="E369" s="15"/>
      <c r="F369" s="13"/>
      <c r="G369" s="16" t="str">
        <f aca="false">IF(OR(B369="",E369=""),"",E369*IFERROR(INDEX(Müşteriler!$B$5:$B$54,MATCH(B369,Müşteriler!$A$5:$A$54,0)),0))</f>
        <v/>
      </c>
    </row>
    <row r="370" customFormat="false" ht="15" hidden="false" customHeight="false" outlineLevel="0" collapsed="false">
      <c r="A370" s="12"/>
      <c r="B370" s="13"/>
      <c r="C370" s="14"/>
      <c r="D370" s="14"/>
      <c r="E370" s="15"/>
      <c r="F370" s="13"/>
      <c r="G370" s="16" t="str">
        <f aca="false">IF(OR(B370="",E370=""),"",E370*IFERROR(INDEX(Müşteriler!$B$5:$B$54,MATCH(B370,Müşteriler!$A$5:$A$54,0)),0))</f>
        <v/>
      </c>
    </row>
    <row r="371" customFormat="false" ht="15" hidden="false" customHeight="false" outlineLevel="0" collapsed="false">
      <c r="A371" s="12"/>
      <c r="B371" s="13"/>
      <c r="C371" s="14"/>
      <c r="D371" s="14"/>
      <c r="E371" s="15"/>
      <c r="F371" s="13"/>
      <c r="G371" s="16" t="str">
        <f aca="false">IF(OR(B371="",E371=""),"",E371*IFERROR(INDEX(Müşteriler!$B$5:$B$54,MATCH(B371,Müşteriler!$A$5:$A$54,0)),0))</f>
        <v/>
      </c>
    </row>
    <row r="372" customFormat="false" ht="15" hidden="false" customHeight="false" outlineLevel="0" collapsed="false">
      <c r="A372" s="12"/>
      <c r="B372" s="13"/>
      <c r="C372" s="14"/>
      <c r="D372" s="14"/>
      <c r="E372" s="15"/>
      <c r="F372" s="13"/>
      <c r="G372" s="16" t="str">
        <f aca="false">IF(OR(B372="",E372=""),"",E372*IFERROR(INDEX(Müşteriler!$B$5:$B$54,MATCH(B372,Müşteriler!$A$5:$A$54,0)),0))</f>
        <v/>
      </c>
    </row>
    <row r="373" customFormat="false" ht="15" hidden="false" customHeight="false" outlineLevel="0" collapsed="false">
      <c r="A373" s="12"/>
      <c r="B373" s="13"/>
      <c r="C373" s="14"/>
      <c r="D373" s="14"/>
      <c r="E373" s="15"/>
      <c r="F373" s="13"/>
      <c r="G373" s="16" t="str">
        <f aca="false">IF(OR(B373="",E373=""),"",E373*IFERROR(INDEX(Müşteriler!$B$5:$B$54,MATCH(B373,Müşteriler!$A$5:$A$54,0)),0))</f>
        <v/>
      </c>
    </row>
    <row r="374" customFormat="false" ht="15" hidden="false" customHeight="false" outlineLevel="0" collapsed="false">
      <c r="A374" s="12"/>
      <c r="B374" s="13"/>
      <c r="C374" s="14"/>
      <c r="D374" s="14"/>
      <c r="E374" s="15"/>
      <c r="F374" s="13"/>
      <c r="G374" s="16" t="str">
        <f aca="false">IF(OR(B374="",E374=""),"",E374*IFERROR(INDEX(Müşteriler!$B$5:$B$54,MATCH(B374,Müşteriler!$A$5:$A$54,0)),0))</f>
        <v/>
      </c>
    </row>
    <row r="375" customFormat="false" ht="15" hidden="false" customHeight="false" outlineLevel="0" collapsed="false">
      <c r="A375" s="12"/>
      <c r="B375" s="13"/>
      <c r="C375" s="14"/>
      <c r="D375" s="14"/>
      <c r="E375" s="15"/>
      <c r="F375" s="13"/>
      <c r="G375" s="16" t="str">
        <f aca="false">IF(OR(B375="",E375=""),"",E375*IFERROR(INDEX(Müşteriler!$B$5:$B$54,MATCH(B375,Müşteriler!$A$5:$A$54,0)),0))</f>
        <v/>
      </c>
    </row>
    <row r="376" customFormat="false" ht="15" hidden="false" customHeight="false" outlineLevel="0" collapsed="false">
      <c r="A376" s="12"/>
      <c r="B376" s="13"/>
      <c r="C376" s="14"/>
      <c r="D376" s="14"/>
      <c r="E376" s="15"/>
      <c r="F376" s="13"/>
      <c r="G376" s="16" t="str">
        <f aca="false">IF(OR(B376="",E376=""),"",E376*IFERROR(INDEX(Müşteriler!$B$5:$B$54,MATCH(B376,Müşteriler!$A$5:$A$54,0)),0))</f>
        <v/>
      </c>
    </row>
    <row r="377" customFormat="false" ht="15" hidden="false" customHeight="false" outlineLevel="0" collapsed="false">
      <c r="A377" s="12"/>
      <c r="B377" s="13"/>
      <c r="C377" s="14"/>
      <c r="D377" s="14"/>
      <c r="E377" s="15"/>
      <c r="F377" s="13"/>
      <c r="G377" s="16" t="str">
        <f aca="false">IF(OR(B377="",E377=""),"",E377*IFERROR(INDEX(Müşteriler!$B$5:$B$54,MATCH(B377,Müşteriler!$A$5:$A$54,0)),0))</f>
        <v/>
      </c>
    </row>
    <row r="378" customFormat="false" ht="15" hidden="false" customHeight="false" outlineLevel="0" collapsed="false">
      <c r="A378" s="12"/>
      <c r="B378" s="13"/>
      <c r="C378" s="14"/>
      <c r="D378" s="14"/>
      <c r="E378" s="15"/>
      <c r="F378" s="13"/>
      <c r="G378" s="16" t="str">
        <f aca="false">IF(OR(B378="",E378=""),"",E378*IFERROR(INDEX(Müşteriler!$B$5:$B$54,MATCH(B378,Müşteriler!$A$5:$A$54,0)),0))</f>
        <v/>
      </c>
    </row>
    <row r="379" customFormat="false" ht="15" hidden="false" customHeight="false" outlineLevel="0" collapsed="false">
      <c r="A379" s="12"/>
      <c r="B379" s="13"/>
      <c r="C379" s="14"/>
      <c r="D379" s="14"/>
      <c r="E379" s="15"/>
      <c r="F379" s="13"/>
      <c r="G379" s="16" t="str">
        <f aca="false">IF(OR(B379="",E379=""),"",E379*IFERROR(INDEX(Müşteriler!$B$5:$B$54,MATCH(B379,Müşteriler!$A$5:$A$54,0)),0))</f>
        <v/>
      </c>
    </row>
    <row r="380" customFormat="false" ht="15" hidden="false" customHeight="false" outlineLevel="0" collapsed="false">
      <c r="A380" s="12"/>
      <c r="B380" s="13"/>
      <c r="C380" s="14"/>
      <c r="D380" s="14"/>
      <c r="E380" s="15"/>
      <c r="F380" s="13"/>
      <c r="G380" s="16" t="str">
        <f aca="false">IF(OR(B380="",E380=""),"",E380*IFERROR(INDEX(Müşteriler!$B$5:$B$54,MATCH(B380,Müşteriler!$A$5:$A$54,0)),0))</f>
        <v/>
      </c>
    </row>
    <row r="381" customFormat="false" ht="15" hidden="false" customHeight="false" outlineLevel="0" collapsed="false">
      <c r="A381" s="12"/>
      <c r="B381" s="13"/>
      <c r="C381" s="14"/>
      <c r="D381" s="14"/>
      <c r="E381" s="15"/>
      <c r="F381" s="13"/>
      <c r="G381" s="16" t="str">
        <f aca="false">IF(OR(B381="",E381=""),"",E381*IFERROR(INDEX(Müşteriler!$B$5:$B$54,MATCH(B381,Müşteriler!$A$5:$A$54,0)),0))</f>
        <v/>
      </c>
    </row>
    <row r="382" customFormat="false" ht="15" hidden="false" customHeight="false" outlineLevel="0" collapsed="false">
      <c r="A382" s="12"/>
      <c r="B382" s="13"/>
      <c r="C382" s="14"/>
      <c r="D382" s="14"/>
      <c r="E382" s="15"/>
      <c r="F382" s="13"/>
      <c r="G382" s="16" t="str">
        <f aca="false">IF(OR(B382="",E382=""),"",E382*IFERROR(INDEX(Müşteriler!$B$5:$B$54,MATCH(B382,Müşteriler!$A$5:$A$54,0)),0))</f>
        <v/>
      </c>
    </row>
    <row r="383" customFormat="false" ht="15" hidden="false" customHeight="false" outlineLevel="0" collapsed="false">
      <c r="A383" s="12"/>
      <c r="B383" s="13"/>
      <c r="C383" s="14"/>
      <c r="D383" s="14"/>
      <c r="E383" s="15"/>
      <c r="F383" s="13"/>
      <c r="G383" s="16" t="str">
        <f aca="false">IF(OR(B383="",E383=""),"",E383*IFERROR(INDEX(Müşteriler!$B$5:$B$54,MATCH(B383,Müşteriler!$A$5:$A$54,0)),0))</f>
        <v/>
      </c>
    </row>
    <row r="384" customFormat="false" ht="15" hidden="false" customHeight="false" outlineLevel="0" collapsed="false">
      <c r="A384" s="12"/>
      <c r="B384" s="13"/>
      <c r="C384" s="14"/>
      <c r="D384" s="14"/>
      <c r="E384" s="15"/>
      <c r="F384" s="13"/>
      <c r="G384" s="16" t="str">
        <f aca="false">IF(OR(B384="",E384=""),"",E384*IFERROR(INDEX(Müşteriler!$B$5:$B$54,MATCH(B384,Müşteriler!$A$5:$A$54,0)),0))</f>
        <v/>
      </c>
    </row>
    <row r="385" customFormat="false" ht="15" hidden="false" customHeight="false" outlineLevel="0" collapsed="false">
      <c r="A385" s="12"/>
      <c r="B385" s="13"/>
      <c r="C385" s="14"/>
      <c r="D385" s="14"/>
      <c r="E385" s="15"/>
      <c r="F385" s="13"/>
      <c r="G385" s="16" t="str">
        <f aca="false">IF(OR(B385="",E385=""),"",E385*IFERROR(INDEX(Müşteriler!$B$5:$B$54,MATCH(B385,Müşteriler!$A$5:$A$54,0)),0))</f>
        <v/>
      </c>
    </row>
    <row r="386" customFormat="false" ht="15" hidden="false" customHeight="false" outlineLevel="0" collapsed="false">
      <c r="A386" s="12"/>
      <c r="B386" s="13"/>
      <c r="C386" s="14"/>
      <c r="D386" s="14"/>
      <c r="E386" s="15"/>
      <c r="F386" s="13"/>
      <c r="G386" s="16" t="str">
        <f aca="false">IF(OR(B386="",E386=""),"",E386*IFERROR(INDEX(Müşteriler!$B$5:$B$54,MATCH(B386,Müşteriler!$A$5:$A$54,0)),0))</f>
        <v/>
      </c>
    </row>
    <row r="387" customFormat="false" ht="15" hidden="false" customHeight="false" outlineLevel="0" collapsed="false">
      <c r="A387" s="12"/>
      <c r="B387" s="13"/>
      <c r="C387" s="14"/>
      <c r="D387" s="14"/>
      <c r="E387" s="15"/>
      <c r="F387" s="13"/>
      <c r="G387" s="16" t="str">
        <f aca="false">IF(OR(B387="",E387=""),"",E387*IFERROR(INDEX(Müşteriler!$B$5:$B$54,MATCH(B387,Müşteriler!$A$5:$A$54,0)),0))</f>
        <v/>
      </c>
    </row>
    <row r="388" customFormat="false" ht="15" hidden="false" customHeight="false" outlineLevel="0" collapsed="false">
      <c r="A388" s="12"/>
      <c r="B388" s="13"/>
      <c r="C388" s="14"/>
      <c r="D388" s="14"/>
      <c r="E388" s="15"/>
      <c r="F388" s="13"/>
      <c r="G388" s="16" t="str">
        <f aca="false">IF(OR(B388="",E388=""),"",E388*IFERROR(INDEX(Müşteriler!$B$5:$B$54,MATCH(B388,Müşteriler!$A$5:$A$54,0)),0))</f>
        <v/>
      </c>
    </row>
    <row r="389" customFormat="false" ht="15" hidden="false" customHeight="false" outlineLevel="0" collapsed="false">
      <c r="A389" s="12"/>
      <c r="B389" s="13"/>
      <c r="C389" s="14"/>
      <c r="D389" s="14"/>
      <c r="E389" s="15"/>
      <c r="F389" s="13"/>
      <c r="G389" s="16" t="str">
        <f aca="false">IF(OR(B389="",E389=""),"",E389*IFERROR(INDEX(Müşteriler!$B$5:$B$54,MATCH(B389,Müşteriler!$A$5:$A$54,0)),0))</f>
        <v/>
      </c>
    </row>
    <row r="390" customFormat="false" ht="15" hidden="false" customHeight="false" outlineLevel="0" collapsed="false">
      <c r="A390" s="12"/>
      <c r="B390" s="13"/>
      <c r="C390" s="14"/>
      <c r="D390" s="14"/>
      <c r="E390" s="15"/>
      <c r="F390" s="13"/>
      <c r="G390" s="16" t="str">
        <f aca="false">IF(OR(B390="",E390=""),"",E390*IFERROR(INDEX(Müşteriler!$B$5:$B$54,MATCH(B390,Müşteriler!$A$5:$A$54,0)),0))</f>
        <v/>
      </c>
    </row>
    <row r="391" customFormat="false" ht="15" hidden="false" customHeight="false" outlineLevel="0" collapsed="false">
      <c r="A391" s="12"/>
      <c r="B391" s="13"/>
      <c r="C391" s="14"/>
      <c r="D391" s="14"/>
      <c r="E391" s="15"/>
      <c r="F391" s="13"/>
      <c r="G391" s="16" t="str">
        <f aca="false">IF(OR(B391="",E391=""),"",E391*IFERROR(INDEX(Müşteriler!$B$5:$B$54,MATCH(B391,Müşteriler!$A$5:$A$54,0)),0))</f>
        <v/>
      </c>
    </row>
    <row r="392" customFormat="false" ht="15" hidden="false" customHeight="false" outlineLevel="0" collapsed="false">
      <c r="A392" s="12"/>
      <c r="B392" s="13"/>
      <c r="C392" s="14"/>
      <c r="D392" s="14"/>
      <c r="E392" s="15"/>
      <c r="F392" s="13"/>
      <c r="G392" s="16" t="str">
        <f aca="false">IF(OR(B392="",E392=""),"",E392*IFERROR(INDEX(Müşteriler!$B$5:$B$54,MATCH(B392,Müşteriler!$A$5:$A$54,0)),0))</f>
        <v/>
      </c>
    </row>
    <row r="393" customFormat="false" ht="15" hidden="false" customHeight="false" outlineLevel="0" collapsed="false">
      <c r="A393" s="12"/>
      <c r="B393" s="13"/>
      <c r="C393" s="14"/>
      <c r="D393" s="14"/>
      <c r="E393" s="15"/>
      <c r="F393" s="13"/>
      <c r="G393" s="16" t="str">
        <f aca="false">IF(OR(B393="",E393=""),"",E393*IFERROR(INDEX(Müşteriler!$B$5:$B$54,MATCH(B393,Müşteriler!$A$5:$A$54,0)),0))</f>
        <v/>
      </c>
    </row>
    <row r="394" customFormat="false" ht="15" hidden="false" customHeight="false" outlineLevel="0" collapsed="false">
      <c r="A394" s="12"/>
      <c r="B394" s="13"/>
      <c r="C394" s="14"/>
      <c r="D394" s="14"/>
      <c r="E394" s="15"/>
      <c r="F394" s="13"/>
      <c r="G394" s="16" t="str">
        <f aca="false">IF(OR(B394="",E394=""),"",E394*IFERROR(INDEX(Müşteriler!$B$5:$B$54,MATCH(B394,Müşteriler!$A$5:$A$54,0)),0))</f>
        <v/>
      </c>
    </row>
    <row r="395" customFormat="false" ht="15" hidden="false" customHeight="false" outlineLevel="0" collapsed="false">
      <c r="A395" s="12"/>
      <c r="B395" s="13"/>
      <c r="C395" s="14"/>
      <c r="D395" s="14"/>
      <c r="E395" s="15"/>
      <c r="F395" s="13"/>
      <c r="G395" s="16" t="str">
        <f aca="false">IF(OR(B395="",E395=""),"",E395*IFERROR(INDEX(Müşteriler!$B$5:$B$54,MATCH(B395,Müşteriler!$A$5:$A$54,0)),0))</f>
        <v/>
      </c>
    </row>
    <row r="396" customFormat="false" ht="15" hidden="false" customHeight="false" outlineLevel="0" collapsed="false">
      <c r="A396" s="12"/>
      <c r="B396" s="13"/>
      <c r="C396" s="14"/>
      <c r="D396" s="14"/>
      <c r="E396" s="15"/>
      <c r="F396" s="13"/>
      <c r="G396" s="16" t="str">
        <f aca="false">IF(OR(B396="",E396=""),"",E396*IFERROR(INDEX(Müşteriler!$B$5:$B$54,MATCH(B396,Müşteriler!$A$5:$A$54,0)),0))</f>
        <v/>
      </c>
    </row>
    <row r="397" customFormat="false" ht="15" hidden="false" customHeight="false" outlineLevel="0" collapsed="false">
      <c r="A397" s="12"/>
      <c r="B397" s="13"/>
      <c r="C397" s="14"/>
      <c r="D397" s="14"/>
      <c r="E397" s="15"/>
      <c r="F397" s="13"/>
      <c r="G397" s="16" t="str">
        <f aca="false">IF(OR(B397="",E397=""),"",E397*IFERROR(INDEX(Müşteriler!$B$5:$B$54,MATCH(B397,Müşteriler!$A$5:$A$54,0)),0))</f>
        <v/>
      </c>
    </row>
    <row r="398" customFormat="false" ht="15" hidden="false" customHeight="false" outlineLevel="0" collapsed="false">
      <c r="A398" s="12"/>
      <c r="B398" s="13"/>
      <c r="C398" s="14"/>
      <c r="D398" s="14"/>
      <c r="E398" s="15"/>
      <c r="F398" s="13"/>
      <c r="G398" s="16" t="str">
        <f aca="false">IF(OR(B398="",E398=""),"",E398*IFERROR(INDEX(Müşteriler!$B$5:$B$54,MATCH(B398,Müşteriler!$A$5:$A$54,0)),0))</f>
        <v/>
      </c>
    </row>
    <row r="399" customFormat="false" ht="15" hidden="false" customHeight="false" outlineLevel="0" collapsed="false">
      <c r="A399" s="12"/>
      <c r="B399" s="13"/>
      <c r="C399" s="14"/>
      <c r="D399" s="14"/>
      <c r="E399" s="15"/>
      <c r="F399" s="13"/>
      <c r="G399" s="16" t="str">
        <f aca="false">IF(OR(B399="",E399=""),"",E399*IFERROR(INDEX(Müşteriler!$B$5:$B$54,MATCH(B399,Müşteriler!$A$5:$A$54,0)),0))</f>
        <v/>
      </c>
    </row>
    <row r="400" customFormat="false" ht="15" hidden="false" customHeight="false" outlineLevel="0" collapsed="false">
      <c r="A400" s="12"/>
      <c r="B400" s="13"/>
      <c r="C400" s="14"/>
      <c r="D400" s="14"/>
      <c r="E400" s="15"/>
      <c r="F400" s="13"/>
      <c r="G400" s="16" t="str">
        <f aca="false">IF(OR(B400="",E400=""),"",E400*IFERROR(INDEX(Müşteriler!$B$5:$B$54,MATCH(B400,Müşteriler!$A$5:$A$54,0)),0))</f>
        <v/>
      </c>
    </row>
    <row r="401" customFormat="false" ht="15" hidden="false" customHeight="false" outlineLevel="0" collapsed="false">
      <c r="A401" s="12"/>
      <c r="B401" s="13"/>
      <c r="C401" s="14"/>
      <c r="D401" s="14"/>
      <c r="E401" s="15"/>
      <c r="F401" s="13"/>
      <c r="G401" s="16" t="str">
        <f aca="false">IF(OR(B401="",E401=""),"",E401*IFERROR(INDEX(Müşteriler!$B$5:$B$54,MATCH(B401,Müşteriler!$A$5:$A$54,0)),0))</f>
        <v/>
      </c>
    </row>
    <row r="402" customFormat="false" ht="15" hidden="false" customHeight="false" outlineLevel="0" collapsed="false">
      <c r="A402" s="12"/>
      <c r="B402" s="13"/>
      <c r="C402" s="14"/>
      <c r="D402" s="14"/>
      <c r="E402" s="15"/>
      <c r="F402" s="13"/>
      <c r="G402" s="16" t="str">
        <f aca="false">IF(OR(B402="",E402=""),"",E402*IFERROR(INDEX(Müşteriler!$B$5:$B$54,MATCH(B402,Müşteriler!$A$5:$A$54,0)),0))</f>
        <v/>
      </c>
    </row>
    <row r="403" customFormat="false" ht="15" hidden="false" customHeight="false" outlineLevel="0" collapsed="false">
      <c r="A403" s="12"/>
      <c r="B403" s="13"/>
      <c r="C403" s="14"/>
      <c r="D403" s="14"/>
      <c r="E403" s="15"/>
      <c r="F403" s="13"/>
      <c r="G403" s="16" t="str">
        <f aca="false">IF(OR(B403="",E403=""),"",E403*IFERROR(INDEX(Müşteriler!$B$5:$B$54,MATCH(B403,Müşteriler!$A$5:$A$54,0)),0))</f>
        <v/>
      </c>
    </row>
    <row r="404" customFormat="false" ht="15" hidden="false" customHeight="false" outlineLevel="0" collapsed="false">
      <c r="A404" s="12"/>
      <c r="B404" s="13"/>
      <c r="C404" s="14"/>
      <c r="D404" s="14"/>
      <c r="E404" s="15"/>
      <c r="F404" s="13"/>
      <c r="G404" s="16" t="str">
        <f aca="false">IF(OR(B404="",E404=""),"",E404*IFERROR(INDEX(Müşteriler!$B$5:$B$54,MATCH(B404,Müşteriler!$A$5:$A$54,0)),0))</f>
        <v/>
      </c>
    </row>
    <row r="405" customFormat="false" ht="15" hidden="false" customHeight="false" outlineLevel="0" collapsed="false">
      <c r="A405" s="12"/>
      <c r="B405" s="13"/>
      <c r="C405" s="14"/>
      <c r="D405" s="14"/>
      <c r="E405" s="15"/>
      <c r="F405" s="13"/>
      <c r="G405" s="16" t="str">
        <f aca="false">IF(OR(B405="",E405=""),"",E405*IFERROR(INDEX(Müşteriler!$B$5:$B$54,MATCH(B405,Müşteriler!$A$5:$A$54,0)),0))</f>
        <v/>
      </c>
    </row>
    <row r="406" customFormat="false" ht="15" hidden="false" customHeight="false" outlineLevel="0" collapsed="false">
      <c r="A406" s="12"/>
      <c r="B406" s="13"/>
      <c r="C406" s="14"/>
      <c r="D406" s="14"/>
      <c r="E406" s="15"/>
      <c r="F406" s="13"/>
      <c r="G406" s="16" t="str">
        <f aca="false">IF(OR(B406="",E406=""),"",E406*IFERROR(INDEX(Müşteriler!$B$5:$B$54,MATCH(B406,Müşteriler!$A$5:$A$54,0)),0))</f>
        <v/>
      </c>
    </row>
    <row r="407" customFormat="false" ht="15" hidden="false" customHeight="false" outlineLevel="0" collapsed="false">
      <c r="A407" s="12"/>
      <c r="B407" s="13"/>
      <c r="C407" s="14"/>
      <c r="D407" s="14"/>
      <c r="E407" s="15"/>
      <c r="F407" s="13"/>
      <c r="G407" s="16" t="str">
        <f aca="false">IF(OR(B407="",E407=""),"",E407*IFERROR(INDEX(Müşteriler!$B$5:$B$54,MATCH(B407,Müşteriler!$A$5:$A$54,0)),0))</f>
        <v/>
      </c>
    </row>
    <row r="408" customFormat="false" ht="15" hidden="false" customHeight="false" outlineLevel="0" collapsed="false">
      <c r="A408" s="12"/>
      <c r="B408" s="13"/>
      <c r="C408" s="14"/>
      <c r="D408" s="14"/>
      <c r="E408" s="15"/>
      <c r="F408" s="13"/>
      <c r="G408" s="16" t="str">
        <f aca="false">IF(OR(B408="",E408=""),"",E408*IFERROR(INDEX(Müşteriler!$B$5:$B$54,MATCH(B408,Müşteriler!$A$5:$A$54,0)),0))</f>
        <v/>
      </c>
    </row>
    <row r="409" customFormat="false" ht="15" hidden="false" customHeight="false" outlineLevel="0" collapsed="false">
      <c r="A409" s="12"/>
      <c r="B409" s="13"/>
      <c r="C409" s="14"/>
      <c r="D409" s="14"/>
      <c r="E409" s="15"/>
      <c r="F409" s="13"/>
      <c r="G409" s="16" t="str">
        <f aca="false">IF(OR(B409="",E409=""),"",E409*IFERROR(INDEX(Müşteriler!$B$5:$B$54,MATCH(B409,Müşteriler!$A$5:$A$54,0)),0))</f>
        <v/>
      </c>
    </row>
    <row r="410" customFormat="false" ht="15" hidden="false" customHeight="false" outlineLevel="0" collapsed="false">
      <c r="A410" s="12"/>
      <c r="B410" s="13"/>
      <c r="C410" s="14"/>
      <c r="D410" s="14"/>
      <c r="E410" s="15"/>
      <c r="F410" s="13"/>
      <c r="G410" s="16" t="str">
        <f aca="false">IF(OR(B410="",E410=""),"",E410*IFERROR(INDEX(Müşteriler!$B$5:$B$54,MATCH(B410,Müşteriler!$A$5:$A$54,0)),0))</f>
        <v/>
      </c>
    </row>
    <row r="411" customFormat="false" ht="15" hidden="false" customHeight="false" outlineLevel="0" collapsed="false">
      <c r="A411" s="12"/>
      <c r="B411" s="13"/>
      <c r="C411" s="14"/>
      <c r="D411" s="14"/>
      <c r="E411" s="15"/>
      <c r="F411" s="13"/>
      <c r="G411" s="16" t="str">
        <f aca="false">IF(OR(B411="",E411=""),"",E411*IFERROR(INDEX(Müşteriler!$B$5:$B$54,MATCH(B411,Müşteriler!$A$5:$A$54,0)),0))</f>
        <v/>
      </c>
    </row>
    <row r="412" customFormat="false" ht="15" hidden="false" customHeight="false" outlineLevel="0" collapsed="false">
      <c r="A412" s="12"/>
      <c r="B412" s="13"/>
      <c r="C412" s="14"/>
      <c r="D412" s="14"/>
      <c r="E412" s="15"/>
      <c r="F412" s="13"/>
      <c r="G412" s="16" t="str">
        <f aca="false">IF(OR(B412="",E412=""),"",E412*IFERROR(INDEX(Müşteriler!$B$5:$B$54,MATCH(B412,Müşteriler!$A$5:$A$54,0)),0))</f>
        <v/>
      </c>
    </row>
    <row r="413" customFormat="false" ht="15" hidden="false" customHeight="false" outlineLevel="0" collapsed="false">
      <c r="A413" s="12"/>
      <c r="B413" s="13"/>
      <c r="C413" s="14"/>
      <c r="D413" s="14"/>
      <c r="E413" s="15"/>
      <c r="F413" s="13"/>
      <c r="G413" s="16" t="str">
        <f aca="false">IF(OR(B413="",E413=""),"",E413*IFERROR(INDEX(Müşteriler!$B$5:$B$54,MATCH(B413,Müşteriler!$A$5:$A$54,0)),0))</f>
        <v/>
      </c>
    </row>
    <row r="414" customFormat="false" ht="15" hidden="false" customHeight="false" outlineLevel="0" collapsed="false">
      <c r="A414" s="12"/>
      <c r="B414" s="13"/>
      <c r="C414" s="14"/>
      <c r="D414" s="14"/>
      <c r="E414" s="15"/>
      <c r="F414" s="13"/>
      <c r="G414" s="16" t="str">
        <f aca="false">IF(OR(B414="",E414=""),"",E414*IFERROR(INDEX(Müşteriler!$B$5:$B$54,MATCH(B414,Müşteriler!$A$5:$A$54,0)),0))</f>
        <v/>
      </c>
    </row>
    <row r="415" customFormat="false" ht="15" hidden="false" customHeight="false" outlineLevel="0" collapsed="false">
      <c r="A415" s="12"/>
      <c r="B415" s="13"/>
      <c r="C415" s="14"/>
      <c r="D415" s="14"/>
      <c r="E415" s="15"/>
      <c r="F415" s="13"/>
      <c r="G415" s="16" t="str">
        <f aca="false">IF(OR(B415="",E415=""),"",E415*IFERROR(INDEX(Müşteriler!$B$5:$B$54,MATCH(B415,Müşteriler!$A$5:$A$54,0)),0))</f>
        <v/>
      </c>
    </row>
    <row r="416" customFormat="false" ht="15" hidden="false" customHeight="false" outlineLevel="0" collapsed="false">
      <c r="A416" s="12"/>
      <c r="B416" s="13"/>
      <c r="C416" s="14"/>
      <c r="D416" s="14"/>
      <c r="E416" s="15"/>
      <c r="F416" s="13"/>
      <c r="G416" s="16" t="str">
        <f aca="false">IF(OR(B416="",E416=""),"",E416*IFERROR(INDEX(Müşteriler!$B$5:$B$54,MATCH(B416,Müşteriler!$A$5:$A$54,0)),0))</f>
        <v/>
      </c>
    </row>
    <row r="417" customFormat="false" ht="15" hidden="false" customHeight="false" outlineLevel="0" collapsed="false">
      <c r="A417" s="12"/>
      <c r="B417" s="13"/>
      <c r="C417" s="14"/>
      <c r="D417" s="14"/>
      <c r="E417" s="15"/>
      <c r="F417" s="13"/>
      <c r="G417" s="16" t="str">
        <f aca="false">IF(OR(B417="",E417=""),"",E417*IFERROR(INDEX(Müşteriler!$B$5:$B$54,MATCH(B417,Müşteriler!$A$5:$A$54,0)),0))</f>
        <v/>
      </c>
    </row>
    <row r="418" customFormat="false" ht="15" hidden="false" customHeight="false" outlineLevel="0" collapsed="false">
      <c r="A418" s="12"/>
      <c r="B418" s="13"/>
      <c r="C418" s="14"/>
      <c r="D418" s="14"/>
      <c r="E418" s="15"/>
      <c r="F418" s="13"/>
      <c r="G418" s="16" t="str">
        <f aca="false">IF(OR(B418="",E418=""),"",E418*IFERROR(INDEX(Müşteriler!$B$5:$B$54,MATCH(B418,Müşteriler!$A$5:$A$54,0)),0))</f>
        <v/>
      </c>
    </row>
    <row r="419" customFormat="false" ht="15" hidden="false" customHeight="false" outlineLevel="0" collapsed="false">
      <c r="A419" s="12"/>
      <c r="B419" s="13"/>
      <c r="C419" s="14"/>
      <c r="D419" s="14"/>
      <c r="E419" s="15"/>
      <c r="F419" s="13"/>
      <c r="G419" s="16" t="str">
        <f aca="false">IF(OR(B419="",E419=""),"",E419*IFERROR(INDEX(Müşteriler!$B$5:$B$54,MATCH(B419,Müşteriler!$A$5:$A$54,0)),0))</f>
        <v/>
      </c>
    </row>
    <row r="420" customFormat="false" ht="15" hidden="false" customHeight="false" outlineLevel="0" collapsed="false">
      <c r="A420" s="12"/>
      <c r="B420" s="13"/>
      <c r="C420" s="14"/>
      <c r="D420" s="14"/>
      <c r="E420" s="15"/>
      <c r="F420" s="13"/>
      <c r="G420" s="16" t="str">
        <f aca="false">IF(OR(B420="",E420=""),"",E420*IFERROR(INDEX(Müşteriler!$B$5:$B$54,MATCH(B420,Müşteriler!$A$5:$A$54,0)),0))</f>
        <v/>
      </c>
    </row>
    <row r="421" customFormat="false" ht="15" hidden="false" customHeight="false" outlineLevel="0" collapsed="false">
      <c r="A421" s="12"/>
      <c r="B421" s="13"/>
      <c r="C421" s="14"/>
      <c r="D421" s="14"/>
      <c r="E421" s="15"/>
      <c r="F421" s="13"/>
      <c r="G421" s="16" t="str">
        <f aca="false">IF(OR(B421="",E421=""),"",E421*IFERROR(INDEX(Müşteriler!$B$5:$B$54,MATCH(B421,Müşteriler!$A$5:$A$54,0)),0))</f>
        <v/>
      </c>
    </row>
    <row r="422" customFormat="false" ht="15" hidden="false" customHeight="false" outlineLevel="0" collapsed="false">
      <c r="A422" s="12"/>
      <c r="B422" s="13"/>
      <c r="C422" s="14"/>
      <c r="D422" s="14"/>
      <c r="E422" s="15"/>
      <c r="F422" s="13"/>
      <c r="G422" s="16" t="str">
        <f aca="false">IF(OR(B422="",E422=""),"",E422*IFERROR(INDEX(Müşteriler!$B$5:$B$54,MATCH(B422,Müşteriler!$A$5:$A$54,0)),0))</f>
        <v/>
      </c>
    </row>
    <row r="423" customFormat="false" ht="15" hidden="false" customHeight="false" outlineLevel="0" collapsed="false">
      <c r="A423" s="12"/>
      <c r="B423" s="13"/>
      <c r="C423" s="14"/>
      <c r="D423" s="14"/>
      <c r="E423" s="15"/>
      <c r="F423" s="13"/>
      <c r="G423" s="16" t="str">
        <f aca="false">IF(OR(B423="",E423=""),"",E423*IFERROR(INDEX(Müşteriler!$B$5:$B$54,MATCH(B423,Müşteriler!$A$5:$A$54,0)),0))</f>
        <v/>
      </c>
    </row>
    <row r="424" customFormat="false" ht="15" hidden="false" customHeight="false" outlineLevel="0" collapsed="false">
      <c r="A424" s="12"/>
      <c r="B424" s="13"/>
      <c r="C424" s="14"/>
      <c r="D424" s="14"/>
      <c r="E424" s="15"/>
      <c r="F424" s="13"/>
      <c r="G424" s="16" t="str">
        <f aca="false">IF(OR(B424="",E424=""),"",E424*IFERROR(INDEX(Müşteriler!$B$5:$B$54,MATCH(B424,Müşteriler!$A$5:$A$54,0)),0))</f>
        <v/>
      </c>
    </row>
    <row r="425" customFormat="false" ht="15" hidden="false" customHeight="false" outlineLevel="0" collapsed="false">
      <c r="A425" s="12"/>
      <c r="B425" s="13"/>
      <c r="C425" s="14"/>
      <c r="D425" s="14"/>
      <c r="E425" s="15"/>
      <c r="F425" s="13"/>
      <c r="G425" s="16" t="str">
        <f aca="false">IF(OR(B425="",E425=""),"",E425*IFERROR(INDEX(Müşteriler!$B$5:$B$54,MATCH(B425,Müşteriler!$A$5:$A$54,0)),0))</f>
        <v/>
      </c>
    </row>
    <row r="426" customFormat="false" ht="15" hidden="false" customHeight="false" outlineLevel="0" collapsed="false">
      <c r="A426" s="12"/>
      <c r="B426" s="13"/>
      <c r="C426" s="14"/>
      <c r="D426" s="14"/>
      <c r="E426" s="15"/>
      <c r="F426" s="13"/>
      <c r="G426" s="16" t="str">
        <f aca="false">IF(OR(B426="",E426=""),"",E426*IFERROR(INDEX(Müşteriler!$B$5:$B$54,MATCH(B426,Müşteriler!$A$5:$A$54,0)),0))</f>
        <v/>
      </c>
    </row>
    <row r="427" customFormat="false" ht="15" hidden="false" customHeight="false" outlineLevel="0" collapsed="false">
      <c r="A427" s="12"/>
      <c r="B427" s="13"/>
      <c r="C427" s="14"/>
      <c r="D427" s="14"/>
      <c r="E427" s="15"/>
      <c r="F427" s="13"/>
      <c r="G427" s="16" t="str">
        <f aca="false">IF(OR(B427="",E427=""),"",E427*IFERROR(INDEX(Müşteriler!$B$5:$B$54,MATCH(B427,Müşteriler!$A$5:$A$54,0)),0))</f>
        <v/>
      </c>
    </row>
    <row r="428" customFormat="false" ht="15" hidden="false" customHeight="false" outlineLevel="0" collapsed="false">
      <c r="A428" s="12"/>
      <c r="B428" s="13"/>
      <c r="C428" s="14"/>
      <c r="D428" s="14"/>
      <c r="E428" s="15"/>
      <c r="F428" s="13"/>
      <c r="G428" s="16" t="str">
        <f aca="false">IF(OR(B428="",E428=""),"",E428*IFERROR(INDEX(Müşteriler!$B$5:$B$54,MATCH(B428,Müşteriler!$A$5:$A$54,0)),0))</f>
        <v/>
      </c>
    </row>
    <row r="429" customFormat="false" ht="15" hidden="false" customHeight="false" outlineLevel="0" collapsed="false">
      <c r="A429" s="12"/>
      <c r="B429" s="13"/>
      <c r="C429" s="14"/>
      <c r="D429" s="14"/>
      <c r="E429" s="15"/>
      <c r="F429" s="13"/>
      <c r="G429" s="16" t="str">
        <f aca="false">IF(OR(B429="",E429=""),"",E429*IFERROR(INDEX(Müşteriler!$B$5:$B$54,MATCH(B429,Müşteriler!$A$5:$A$54,0)),0))</f>
        <v/>
      </c>
    </row>
    <row r="430" customFormat="false" ht="15" hidden="false" customHeight="false" outlineLevel="0" collapsed="false">
      <c r="A430" s="12"/>
      <c r="B430" s="13"/>
      <c r="C430" s="14"/>
      <c r="D430" s="14"/>
      <c r="E430" s="15"/>
      <c r="F430" s="13"/>
      <c r="G430" s="16" t="str">
        <f aca="false">IF(OR(B430="",E430=""),"",E430*IFERROR(INDEX(Müşteriler!$B$5:$B$54,MATCH(B430,Müşteriler!$A$5:$A$54,0)),0))</f>
        <v/>
      </c>
    </row>
    <row r="431" customFormat="false" ht="15" hidden="false" customHeight="false" outlineLevel="0" collapsed="false">
      <c r="A431" s="12"/>
      <c r="B431" s="13"/>
      <c r="C431" s="14"/>
      <c r="D431" s="14"/>
      <c r="E431" s="15"/>
      <c r="F431" s="13"/>
      <c r="G431" s="16" t="str">
        <f aca="false">IF(OR(B431="",E431=""),"",E431*IFERROR(INDEX(Müşteriler!$B$5:$B$54,MATCH(B431,Müşteriler!$A$5:$A$54,0)),0))</f>
        <v/>
      </c>
    </row>
    <row r="432" customFormat="false" ht="15" hidden="false" customHeight="false" outlineLevel="0" collapsed="false">
      <c r="A432" s="12"/>
      <c r="B432" s="13"/>
      <c r="C432" s="14"/>
      <c r="D432" s="14"/>
      <c r="E432" s="15"/>
      <c r="F432" s="13"/>
      <c r="G432" s="16" t="str">
        <f aca="false">IF(OR(B432="",E432=""),"",E432*IFERROR(INDEX(Müşteriler!$B$5:$B$54,MATCH(B432,Müşteriler!$A$5:$A$54,0)),0))</f>
        <v/>
      </c>
    </row>
    <row r="433" customFormat="false" ht="15" hidden="false" customHeight="false" outlineLevel="0" collapsed="false">
      <c r="A433" s="12"/>
      <c r="B433" s="13"/>
      <c r="C433" s="14"/>
      <c r="D433" s="14"/>
      <c r="E433" s="15"/>
      <c r="F433" s="13"/>
      <c r="G433" s="16" t="str">
        <f aca="false">IF(OR(B433="",E433=""),"",E433*IFERROR(INDEX(Müşteriler!$B$5:$B$54,MATCH(B433,Müşteriler!$A$5:$A$54,0)),0))</f>
        <v/>
      </c>
    </row>
    <row r="434" customFormat="false" ht="15" hidden="false" customHeight="false" outlineLevel="0" collapsed="false">
      <c r="A434" s="12"/>
      <c r="B434" s="13"/>
      <c r="C434" s="14"/>
      <c r="D434" s="14"/>
      <c r="E434" s="15"/>
      <c r="F434" s="13"/>
      <c r="G434" s="16" t="str">
        <f aca="false">IF(OR(B434="",E434=""),"",E434*IFERROR(INDEX(Müşteriler!$B$5:$B$54,MATCH(B434,Müşteriler!$A$5:$A$54,0)),0))</f>
        <v/>
      </c>
    </row>
    <row r="435" customFormat="false" ht="15" hidden="false" customHeight="false" outlineLevel="0" collapsed="false">
      <c r="A435" s="12"/>
      <c r="B435" s="13"/>
      <c r="C435" s="14"/>
      <c r="D435" s="14"/>
      <c r="E435" s="15"/>
      <c r="F435" s="13"/>
      <c r="G435" s="16" t="str">
        <f aca="false">IF(OR(B435="",E435=""),"",E435*IFERROR(INDEX(Müşteriler!$B$5:$B$54,MATCH(B435,Müşteriler!$A$5:$A$54,0)),0))</f>
        <v/>
      </c>
    </row>
    <row r="436" customFormat="false" ht="15" hidden="false" customHeight="false" outlineLevel="0" collapsed="false">
      <c r="A436" s="12"/>
      <c r="B436" s="13"/>
      <c r="C436" s="14"/>
      <c r="D436" s="14"/>
      <c r="E436" s="15"/>
      <c r="F436" s="13"/>
      <c r="G436" s="16" t="str">
        <f aca="false">IF(OR(B436="",E436=""),"",E436*IFERROR(INDEX(Müşteriler!$B$5:$B$54,MATCH(B436,Müşteriler!$A$5:$A$54,0)),0))</f>
        <v/>
      </c>
    </row>
    <row r="437" customFormat="false" ht="15" hidden="false" customHeight="false" outlineLevel="0" collapsed="false">
      <c r="A437" s="12"/>
      <c r="B437" s="13"/>
      <c r="C437" s="14"/>
      <c r="D437" s="14"/>
      <c r="E437" s="15"/>
      <c r="F437" s="13"/>
      <c r="G437" s="16" t="str">
        <f aca="false">IF(OR(B437="",E437=""),"",E437*IFERROR(INDEX(Müşteriler!$B$5:$B$54,MATCH(B437,Müşteriler!$A$5:$A$54,0)),0))</f>
        <v/>
      </c>
    </row>
    <row r="438" customFormat="false" ht="15" hidden="false" customHeight="false" outlineLevel="0" collapsed="false">
      <c r="A438" s="12"/>
      <c r="B438" s="13"/>
      <c r="C438" s="14"/>
      <c r="D438" s="14"/>
      <c r="E438" s="15"/>
      <c r="F438" s="13"/>
      <c r="G438" s="16" t="str">
        <f aca="false">IF(OR(B438="",E438=""),"",E438*IFERROR(INDEX(Müşteriler!$B$5:$B$54,MATCH(B438,Müşteriler!$A$5:$A$54,0)),0))</f>
        <v/>
      </c>
    </row>
    <row r="439" customFormat="false" ht="15" hidden="false" customHeight="false" outlineLevel="0" collapsed="false">
      <c r="A439" s="12"/>
      <c r="B439" s="13"/>
      <c r="C439" s="14"/>
      <c r="D439" s="14"/>
      <c r="E439" s="15"/>
      <c r="F439" s="13"/>
      <c r="G439" s="16" t="str">
        <f aca="false">IF(OR(B439="",E439=""),"",E439*IFERROR(INDEX(Müşteriler!$B$5:$B$54,MATCH(B439,Müşteriler!$A$5:$A$54,0)),0))</f>
        <v/>
      </c>
    </row>
    <row r="440" customFormat="false" ht="15" hidden="false" customHeight="false" outlineLevel="0" collapsed="false">
      <c r="A440" s="12"/>
      <c r="B440" s="13"/>
      <c r="C440" s="14"/>
      <c r="D440" s="14"/>
      <c r="E440" s="15"/>
      <c r="F440" s="13"/>
      <c r="G440" s="16" t="str">
        <f aca="false">IF(OR(B440="",E440=""),"",E440*IFERROR(INDEX(Müşteriler!$B$5:$B$54,MATCH(B440,Müşteriler!$A$5:$A$54,0)),0))</f>
        <v/>
      </c>
    </row>
    <row r="441" customFormat="false" ht="15" hidden="false" customHeight="false" outlineLevel="0" collapsed="false">
      <c r="A441" s="12"/>
      <c r="B441" s="13"/>
      <c r="C441" s="14"/>
      <c r="D441" s="14"/>
      <c r="E441" s="15"/>
      <c r="F441" s="13"/>
      <c r="G441" s="16" t="str">
        <f aca="false">IF(OR(B441="",E441=""),"",E441*IFERROR(INDEX(Müşteriler!$B$5:$B$54,MATCH(B441,Müşteriler!$A$5:$A$54,0)),0))</f>
        <v/>
      </c>
    </row>
    <row r="442" customFormat="false" ht="15" hidden="false" customHeight="false" outlineLevel="0" collapsed="false">
      <c r="A442" s="12"/>
      <c r="B442" s="13"/>
      <c r="C442" s="14"/>
      <c r="D442" s="14"/>
      <c r="E442" s="15"/>
      <c r="F442" s="13"/>
      <c r="G442" s="16" t="str">
        <f aca="false">IF(OR(B442="",E442=""),"",E442*IFERROR(INDEX(Müşteriler!$B$5:$B$54,MATCH(B442,Müşteriler!$A$5:$A$54,0)),0))</f>
        <v/>
      </c>
    </row>
    <row r="443" customFormat="false" ht="15" hidden="false" customHeight="false" outlineLevel="0" collapsed="false">
      <c r="A443" s="12"/>
      <c r="B443" s="13"/>
      <c r="C443" s="14"/>
      <c r="D443" s="14"/>
      <c r="E443" s="15"/>
      <c r="F443" s="13"/>
      <c r="G443" s="16" t="str">
        <f aca="false">IF(OR(B443="",E443=""),"",E443*IFERROR(INDEX(Müşteriler!$B$5:$B$54,MATCH(B443,Müşteriler!$A$5:$A$54,0)),0))</f>
        <v/>
      </c>
    </row>
    <row r="444" customFormat="false" ht="15" hidden="false" customHeight="false" outlineLevel="0" collapsed="false">
      <c r="A444" s="12"/>
      <c r="B444" s="13"/>
      <c r="C444" s="14"/>
      <c r="D444" s="14"/>
      <c r="E444" s="15"/>
      <c r="F444" s="13"/>
      <c r="G444" s="16" t="str">
        <f aca="false">IF(OR(B444="",E444=""),"",E444*IFERROR(INDEX(Müşteriler!$B$5:$B$54,MATCH(B444,Müşteriler!$A$5:$A$54,0)),0))</f>
        <v/>
      </c>
    </row>
    <row r="445" customFormat="false" ht="15" hidden="false" customHeight="false" outlineLevel="0" collapsed="false">
      <c r="A445" s="12"/>
      <c r="B445" s="13"/>
      <c r="C445" s="14"/>
      <c r="D445" s="14"/>
      <c r="E445" s="15"/>
      <c r="F445" s="13"/>
      <c r="G445" s="16" t="str">
        <f aca="false">IF(OR(B445="",E445=""),"",E445*IFERROR(INDEX(Müşteriler!$B$5:$B$54,MATCH(B445,Müşteriler!$A$5:$A$54,0)),0))</f>
        <v/>
      </c>
    </row>
    <row r="446" customFormat="false" ht="15" hidden="false" customHeight="false" outlineLevel="0" collapsed="false">
      <c r="A446" s="12"/>
      <c r="B446" s="13"/>
      <c r="C446" s="14"/>
      <c r="D446" s="14"/>
      <c r="E446" s="15"/>
      <c r="F446" s="13"/>
      <c r="G446" s="16" t="str">
        <f aca="false">IF(OR(B446="",E446=""),"",E446*IFERROR(INDEX(Müşteriler!$B$5:$B$54,MATCH(B446,Müşteriler!$A$5:$A$54,0)),0))</f>
        <v/>
      </c>
    </row>
    <row r="447" customFormat="false" ht="15" hidden="false" customHeight="false" outlineLevel="0" collapsed="false">
      <c r="A447" s="12"/>
      <c r="B447" s="13"/>
      <c r="C447" s="14"/>
      <c r="D447" s="14"/>
      <c r="E447" s="15"/>
      <c r="F447" s="13"/>
      <c r="G447" s="16" t="str">
        <f aca="false">IF(OR(B447="",E447=""),"",E447*IFERROR(INDEX(Müşteriler!$B$5:$B$54,MATCH(B447,Müşteriler!$A$5:$A$54,0)),0))</f>
        <v/>
      </c>
    </row>
    <row r="448" customFormat="false" ht="15" hidden="false" customHeight="false" outlineLevel="0" collapsed="false">
      <c r="A448" s="12"/>
      <c r="B448" s="13"/>
      <c r="C448" s="14"/>
      <c r="D448" s="14"/>
      <c r="E448" s="15"/>
      <c r="F448" s="13"/>
      <c r="G448" s="16" t="str">
        <f aca="false">IF(OR(B448="",E448=""),"",E448*IFERROR(INDEX(Müşteriler!$B$5:$B$54,MATCH(B448,Müşteriler!$A$5:$A$54,0)),0))</f>
        <v/>
      </c>
    </row>
    <row r="449" customFormat="false" ht="15" hidden="false" customHeight="false" outlineLevel="0" collapsed="false">
      <c r="A449" s="12"/>
      <c r="B449" s="13"/>
      <c r="C449" s="14"/>
      <c r="D449" s="14"/>
      <c r="E449" s="15"/>
      <c r="F449" s="13"/>
      <c r="G449" s="16" t="str">
        <f aca="false">IF(OR(B449="",E449=""),"",E449*IFERROR(INDEX(Müşteriler!$B$5:$B$54,MATCH(B449,Müşteriler!$A$5:$A$54,0)),0))</f>
        <v/>
      </c>
    </row>
    <row r="450" customFormat="false" ht="15" hidden="false" customHeight="false" outlineLevel="0" collapsed="false">
      <c r="A450" s="12"/>
      <c r="B450" s="13"/>
      <c r="C450" s="14"/>
      <c r="D450" s="14"/>
      <c r="E450" s="15"/>
      <c r="F450" s="13"/>
      <c r="G450" s="16" t="str">
        <f aca="false">IF(OR(B450="",E450=""),"",E450*IFERROR(INDEX(Müşteriler!$B$5:$B$54,MATCH(B450,Müşteriler!$A$5:$A$54,0)),0))</f>
        <v/>
      </c>
    </row>
    <row r="451" customFormat="false" ht="15" hidden="false" customHeight="false" outlineLevel="0" collapsed="false">
      <c r="A451" s="12"/>
      <c r="B451" s="13"/>
      <c r="C451" s="14"/>
      <c r="D451" s="14"/>
      <c r="E451" s="15"/>
      <c r="F451" s="13"/>
      <c r="G451" s="16" t="str">
        <f aca="false">IF(OR(B451="",E451=""),"",E451*IFERROR(INDEX(Müşteriler!$B$5:$B$54,MATCH(B451,Müşteriler!$A$5:$A$54,0)),0))</f>
        <v/>
      </c>
    </row>
    <row r="452" customFormat="false" ht="15" hidden="false" customHeight="false" outlineLevel="0" collapsed="false">
      <c r="A452" s="12"/>
      <c r="B452" s="13"/>
      <c r="C452" s="14"/>
      <c r="D452" s="14"/>
      <c r="E452" s="15"/>
      <c r="F452" s="13"/>
      <c r="G452" s="16" t="str">
        <f aca="false">IF(OR(B452="",E452=""),"",E452*IFERROR(INDEX(Müşteriler!$B$5:$B$54,MATCH(B452,Müşteriler!$A$5:$A$54,0)),0))</f>
        <v/>
      </c>
    </row>
    <row r="453" customFormat="false" ht="15" hidden="false" customHeight="false" outlineLevel="0" collapsed="false">
      <c r="A453" s="12"/>
      <c r="B453" s="13"/>
      <c r="C453" s="14"/>
      <c r="D453" s="14"/>
      <c r="E453" s="15"/>
      <c r="F453" s="13"/>
      <c r="G453" s="16" t="str">
        <f aca="false">IF(OR(B453="",E453=""),"",E453*IFERROR(INDEX(Müşteriler!$B$5:$B$54,MATCH(B453,Müşteriler!$A$5:$A$54,0)),0))</f>
        <v/>
      </c>
    </row>
    <row r="454" customFormat="false" ht="15" hidden="false" customHeight="false" outlineLevel="0" collapsed="false">
      <c r="A454" s="12"/>
      <c r="B454" s="13"/>
      <c r="C454" s="14"/>
      <c r="D454" s="14"/>
      <c r="E454" s="15"/>
      <c r="F454" s="13"/>
      <c r="G454" s="16" t="str">
        <f aca="false">IF(OR(B454="",E454=""),"",E454*IFERROR(INDEX(Müşteriler!$B$5:$B$54,MATCH(B454,Müşteriler!$A$5:$A$54,0)),0))</f>
        <v/>
      </c>
    </row>
    <row r="455" customFormat="false" ht="15" hidden="false" customHeight="false" outlineLevel="0" collapsed="false">
      <c r="A455" s="12"/>
      <c r="B455" s="13"/>
      <c r="C455" s="14"/>
      <c r="D455" s="14"/>
      <c r="E455" s="15"/>
      <c r="F455" s="13"/>
      <c r="G455" s="16" t="str">
        <f aca="false">IF(OR(B455="",E455=""),"",E455*IFERROR(INDEX(Müşteriler!$B$5:$B$54,MATCH(B455,Müşteriler!$A$5:$A$54,0)),0))</f>
        <v/>
      </c>
    </row>
    <row r="456" customFormat="false" ht="15" hidden="false" customHeight="false" outlineLevel="0" collapsed="false">
      <c r="A456" s="12"/>
      <c r="B456" s="13"/>
      <c r="C456" s="14"/>
      <c r="D456" s="14"/>
      <c r="E456" s="15"/>
      <c r="F456" s="13"/>
      <c r="G456" s="16" t="str">
        <f aca="false">IF(OR(B456="",E456=""),"",E456*IFERROR(INDEX(Müşteriler!$B$5:$B$54,MATCH(B456,Müşteriler!$A$5:$A$54,0)),0))</f>
        <v/>
      </c>
    </row>
    <row r="457" customFormat="false" ht="15" hidden="false" customHeight="false" outlineLevel="0" collapsed="false">
      <c r="A457" s="12"/>
      <c r="B457" s="13"/>
      <c r="C457" s="14"/>
      <c r="D457" s="14"/>
      <c r="E457" s="15"/>
      <c r="F457" s="13"/>
      <c r="G457" s="16" t="str">
        <f aca="false">IF(OR(B457="",E457=""),"",E457*IFERROR(INDEX(Müşteriler!$B$5:$B$54,MATCH(B457,Müşteriler!$A$5:$A$54,0)),0))</f>
        <v/>
      </c>
    </row>
    <row r="458" customFormat="false" ht="15" hidden="false" customHeight="false" outlineLevel="0" collapsed="false">
      <c r="A458" s="12"/>
      <c r="B458" s="13"/>
      <c r="C458" s="14"/>
      <c r="D458" s="14"/>
      <c r="E458" s="15"/>
      <c r="F458" s="13"/>
      <c r="G458" s="16" t="str">
        <f aca="false">IF(OR(B458="",E458=""),"",E458*IFERROR(INDEX(Müşteriler!$B$5:$B$54,MATCH(B458,Müşteriler!$A$5:$A$54,0)),0))</f>
        <v/>
      </c>
    </row>
    <row r="459" customFormat="false" ht="15" hidden="false" customHeight="false" outlineLevel="0" collapsed="false">
      <c r="A459" s="12"/>
      <c r="B459" s="13"/>
      <c r="C459" s="14"/>
      <c r="D459" s="14"/>
      <c r="E459" s="15"/>
      <c r="F459" s="13"/>
      <c r="G459" s="16" t="str">
        <f aca="false">IF(OR(B459="",E459=""),"",E459*IFERROR(INDEX(Müşteriler!$B$5:$B$54,MATCH(B459,Müşteriler!$A$5:$A$54,0)),0))</f>
        <v/>
      </c>
    </row>
    <row r="460" customFormat="false" ht="15" hidden="false" customHeight="false" outlineLevel="0" collapsed="false">
      <c r="A460" s="12"/>
      <c r="B460" s="13"/>
      <c r="C460" s="14"/>
      <c r="D460" s="14"/>
      <c r="E460" s="15"/>
      <c r="F460" s="13"/>
      <c r="G460" s="16" t="str">
        <f aca="false">IF(OR(B460="",E460=""),"",E460*IFERROR(INDEX(Müşteriler!$B$5:$B$54,MATCH(B460,Müşteriler!$A$5:$A$54,0)),0))</f>
        <v/>
      </c>
    </row>
    <row r="461" customFormat="false" ht="15" hidden="false" customHeight="false" outlineLevel="0" collapsed="false">
      <c r="A461" s="12"/>
      <c r="B461" s="13"/>
      <c r="C461" s="14"/>
      <c r="D461" s="14"/>
      <c r="E461" s="15"/>
      <c r="F461" s="13"/>
      <c r="G461" s="16" t="str">
        <f aca="false">IF(OR(B461="",E461=""),"",E461*IFERROR(INDEX(Müşteriler!$B$5:$B$54,MATCH(B461,Müşteriler!$A$5:$A$54,0)),0))</f>
        <v/>
      </c>
    </row>
    <row r="462" customFormat="false" ht="15" hidden="false" customHeight="false" outlineLevel="0" collapsed="false">
      <c r="A462" s="12"/>
      <c r="B462" s="13"/>
      <c r="C462" s="14"/>
      <c r="D462" s="14"/>
      <c r="E462" s="15"/>
      <c r="F462" s="13"/>
      <c r="G462" s="16" t="str">
        <f aca="false">IF(OR(B462="",E462=""),"",E462*IFERROR(INDEX(Müşteriler!$B$5:$B$54,MATCH(B462,Müşteriler!$A$5:$A$54,0)),0))</f>
        <v/>
      </c>
    </row>
    <row r="463" customFormat="false" ht="15" hidden="false" customHeight="false" outlineLevel="0" collapsed="false">
      <c r="A463" s="12"/>
      <c r="B463" s="13"/>
      <c r="C463" s="14"/>
      <c r="D463" s="14"/>
      <c r="E463" s="15"/>
      <c r="F463" s="13"/>
      <c r="G463" s="16" t="str">
        <f aca="false">IF(OR(B463="",E463=""),"",E463*IFERROR(INDEX(Müşteriler!$B$5:$B$54,MATCH(B463,Müşteriler!$A$5:$A$54,0)),0))</f>
        <v/>
      </c>
    </row>
    <row r="464" customFormat="false" ht="15" hidden="false" customHeight="false" outlineLevel="0" collapsed="false">
      <c r="A464" s="12"/>
      <c r="B464" s="13"/>
      <c r="C464" s="14"/>
      <c r="D464" s="14"/>
      <c r="E464" s="15"/>
      <c r="F464" s="13"/>
      <c r="G464" s="16" t="str">
        <f aca="false">IF(OR(B464="",E464=""),"",E464*IFERROR(INDEX(Müşteriler!$B$5:$B$54,MATCH(B464,Müşteriler!$A$5:$A$54,0)),0))</f>
        <v/>
      </c>
    </row>
    <row r="465" customFormat="false" ht="15" hidden="false" customHeight="false" outlineLevel="0" collapsed="false">
      <c r="A465" s="12"/>
      <c r="B465" s="13"/>
      <c r="C465" s="14"/>
      <c r="D465" s="14"/>
      <c r="E465" s="15"/>
      <c r="F465" s="13"/>
      <c r="G465" s="16" t="str">
        <f aca="false">IF(OR(B465="",E465=""),"",E465*IFERROR(INDEX(Müşteriler!$B$5:$B$54,MATCH(B465,Müşteriler!$A$5:$A$54,0)),0))</f>
        <v/>
      </c>
    </row>
    <row r="466" customFormat="false" ht="15" hidden="false" customHeight="false" outlineLevel="0" collapsed="false">
      <c r="A466" s="12"/>
      <c r="B466" s="13"/>
      <c r="C466" s="14"/>
      <c r="D466" s="14"/>
      <c r="E466" s="15"/>
      <c r="F466" s="13"/>
      <c r="G466" s="16" t="str">
        <f aca="false">IF(OR(B466="",E466=""),"",E466*IFERROR(INDEX(Müşteriler!$B$5:$B$54,MATCH(B466,Müşteriler!$A$5:$A$54,0)),0))</f>
        <v/>
      </c>
    </row>
    <row r="467" customFormat="false" ht="15" hidden="false" customHeight="false" outlineLevel="0" collapsed="false">
      <c r="A467" s="12"/>
      <c r="B467" s="13"/>
      <c r="C467" s="14"/>
      <c r="D467" s="14"/>
      <c r="E467" s="15"/>
      <c r="F467" s="13"/>
      <c r="G467" s="16" t="str">
        <f aca="false">IF(OR(B467="",E467=""),"",E467*IFERROR(INDEX(Müşteriler!$B$5:$B$54,MATCH(B467,Müşteriler!$A$5:$A$54,0)),0))</f>
        <v/>
      </c>
    </row>
    <row r="468" customFormat="false" ht="15" hidden="false" customHeight="false" outlineLevel="0" collapsed="false">
      <c r="A468" s="12"/>
      <c r="B468" s="13"/>
      <c r="C468" s="14"/>
      <c r="D468" s="14"/>
      <c r="E468" s="15"/>
      <c r="F468" s="13"/>
      <c r="G468" s="16" t="str">
        <f aca="false">IF(OR(B468="",E468=""),"",E468*IFERROR(INDEX(Müşteriler!$B$5:$B$54,MATCH(B468,Müşteriler!$A$5:$A$54,0)),0))</f>
        <v/>
      </c>
    </row>
    <row r="469" customFormat="false" ht="15" hidden="false" customHeight="false" outlineLevel="0" collapsed="false">
      <c r="A469" s="12"/>
      <c r="B469" s="13"/>
      <c r="C469" s="14"/>
      <c r="D469" s="14"/>
      <c r="E469" s="15"/>
      <c r="F469" s="13"/>
      <c r="G469" s="16" t="str">
        <f aca="false">IF(OR(B469="",E469=""),"",E469*IFERROR(INDEX(Müşteriler!$B$5:$B$54,MATCH(B469,Müşteriler!$A$5:$A$54,0)),0))</f>
        <v/>
      </c>
    </row>
    <row r="470" customFormat="false" ht="15" hidden="false" customHeight="false" outlineLevel="0" collapsed="false">
      <c r="A470" s="12"/>
      <c r="B470" s="13"/>
      <c r="C470" s="14"/>
      <c r="D470" s="14"/>
      <c r="E470" s="15"/>
      <c r="F470" s="13"/>
      <c r="G470" s="16" t="str">
        <f aca="false">IF(OR(B470="",E470=""),"",E470*IFERROR(INDEX(Müşteriler!$B$5:$B$54,MATCH(B470,Müşteriler!$A$5:$A$54,0)),0))</f>
        <v/>
      </c>
    </row>
    <row r="471" customFormat="false" ht="15" hidden="false" customHeight="false" outlineLevel="0" collapsed="false">
      <c r="A471" s="12"/>
      <c r="B471" s="13"/>
      <c r="C471" s="14"/>
      <c r="D471" s="14"/>
      <c r="E471" s="15"/>
      <c r="F471" s="13"/>
      <c r="G471" s="16" t="str">
        <f aca="false">IF(OR(B471="",E471=""),"",E471*IFERROR(INDEX(Müşteriler!$B$5:$B$54,MATCH(B471,Müşteriler!$A$5:$A$54,0)),0))</f>
        <v/>
      </c>
    </row>
    <row r="472" customFormat="false" ht="15" hidden="false" customHeight="false" outlineLevel="0" collapsed="false">
      <c r="A472" s="12"/>
      <c r="B472" s="13"/>
      <c r="C472" s="14"/>
      <c r="D472" s="14"/>
      <c r="E472" s="15"/>
      <c r="F472" s="13"/>
      <c r="G472" s="16" t="str">
        <f aca="false">IF(OR(B472="",E472=""),"",E472*IFERROR(INDEX(Müşteriler!$B$5:$B$54,MATCH(B472,Müşteriler!$A$5:$A$54,0)),0))</f>
        <v/>
      </c>
    </row>
    <row r="473" customFormat="false" ht="15" hidden="false" customHeight="false" outlineLevel="0" collapsed="false">
      <c r="A473" s="12"/>
      <c r="B473" s="13"/>
      <c r="C473" s="14"/>
      <c r="D473" s="14"/>
      <c r="E473" s="15"/>
      <c r="F473" s="13"/>
      <c r="G473" s="16" t="str">
        <f aca="false">IF(OR(B473="",E473=""),"",E473*IFERROR(INDEX(Müşteriler!$B$5:$B$54,MATCH(B473,Müşteriler!$A$5:$A$54,0)),0))</f>
        <v/>
      </c>
    </row>
    <row r="474" customFormat="false" ht="15" hidden="false" customHeight="false" outlineLevel="0" collapsed="false">
      <c r="A474" s="12"/>
      <c r="B474" s="13"/>
      <c r="C474" s="14"/>
      <c r="D474" s="14"/>
      <c r="E474" s="15"/>
      <c r="F474" s="13"/>
      <c r="G474" s="16" t="str">
        <f aca="false">IF(OR(B474="",E474=""),"",E474*IFERROR(INDEX(Müşteriler!$B$5:$B$54,MATCH(B474,Müşteriler!$A$5:$A$54,0)),0))</f>
        <v/>
      </c>
    </row>
    <row r="475" customFormat="false" ht="15" hidden="false" customHeight="false" outlineLevel="0" collapsed="false">
      <c r="A475" s="12"/>
      <c r="B475" s="13"/>
      <c r="C475" s="14"/>
      <c r="D475" s="14"/>
      <c r="E475" s="15"/>
      <c r="F475" s="13"/>
      <c r="G475" s="16" t="str">
        <f aca="false">IF(OR(B475="",E475=""),"",E475*IFERROR(INDEX(Müşteriler!$B$5:$B$54,MATCH(B475,Müşteriler!$A$5:$A$54,0)),0))</f>
        <v/>
      </c>
    </row>
    <row r="476" customFormat="false" ht="15" hidden="false" customHeight="false" outlineLevel="0" collapsed="false">
      <c r="A476" s="12"/>
      <c r="B476" s="13"/>
      <c r="C476" s="14"/>
      <c r="D476" s="14"/>
      <c r="E476" s="15"/>
      <c r="F476" s="13"/>
      <c r="G476" s="16" t="str">
        <f aca="false">IF(OR(B476="",E476=""),"",E476*IFERROR(INDEX(Müşteriler!$B$5:$B$54,MATCH(B476,Müşteriler!$A$5:$A$54,0)),0))</f>
        <v/>
      </c>
    </row>
    <row r="477" customFormat="false" ht="15" hidden="false" customHeight="false" outlineLevel="0" collapsed="false">
      <c r="A477" s="12"/>
      <c r="B477" s="13"/>
      <c r="C477" s="14"/>
      <c r="D477" s="14"/>
      <c r="E477" s="15"/>
      <c r="F477" s="13"/>
      <c r="G477" s="16" t="str">
        <f aca="false">IF(OR(B477="",E477=""),"",E477*IFERROR(INDEX(Müşteriler!$B$5:$B$54,MATCH(B477,Müşteriler!$A$5:$A$54,0)),0))</f>
        <v/>
      </c>
    </row>
    <row r="478" customFormat="false" ht="15" hidden="false" customHeight="false" outlineLevel="0" collapsed="false">
      <c r="A478" s="12"/>
      <c r="B478" s="13"/>
      <c r="C478" s="14"/>
      <c r="D478" s="14"/>
      <c r="E478" s="15"/>
      <c r="F478" s="13"/>
      <c r="G478" s="16" t="str">
        <f aca="false">IF(OR(B478="",E478=""),"",E478*IFERROR(INDEX(Müşteriler!$B$5:$B$54,MATCH(B478,Müşteriler!$A$5:$A$54,0)),0))</f>
        <v/>
      </c>
    </row>
    <row r="479" customFormat="false" ht="15" hidden="false" customHeight="false" outlineLevel="0" collapsed="false">
      <c r="A479" s="12"/>
      <c r="B479" s="13"/>
      <c r="C479" s="14"/>
      <c r="D479" s="14"/>
      <c r="E479" s="15"/>
      <c r="F479" s="13"/>
      <c r="G479" s="16" t="str">
        <f aca="false">IF(OR(B479="",E479=""),"",E479*IFERROR(INDEX(Müşteriler!$B$5:$B$54,MATCH(B479,Müşteriler!$A$5:$A$54,0)),0))</f>
        <v/>
      </c>
    </row>
    <row r="480" customFormat="false" ht="15" hidden="false" customHeight="false" outlineLevel="0" collapsed="false">
      <c r="A480" s="12"/>
      <c r="B480" s="13"/>
      <c r="C480" s="14"/>
      <c r="D480" s="14"/>
      <c r="E480" s="15"/>
      <c r="F480" s="13"/>
      <c r="G480" s="16" t="str">
        <f aca="false">IF(OR(B480="",E480=""),"",E480*IFERROR(INDEX(Müşteriler!$B$5:$B$54,MATCH(B480,Müşteriler!$A$5:$A$54,0)),0))</f>
        <v/>
      </c>
    </row>
    <row r="481" customFormat="false" ht="15" hidden="false" customHeight="false" outlineLevel="0" collapsed="false">
      <c r="A481" s="12"/>
      <c r="B481" s="13"/>
      <c r="C481" s="14"/>
      <c r="D481" s="14"/>
      <c r="E481" s="15"/>
      <c r="F481" s="13"/>
      <c r="G481" s="16" t="str">
        <f aca="false">IF(OR(B481="",E481=""),"",E481*IFERROR(INDEX(Müşteriler!$B$5:$B$54,MATCH(B481,Müşteriler!$A$5:$A$54,0)),0))</f>
        <v/>
      </c>
    </row>
    <row r="482" customFormat="false" ht="15" hidden="false" customHeight="false" outlineLevel="0" collapsed="false">
      <c r="A482" s="12"/>
      <c r="B482" s="13"/>
      <c r="C482" s="14"/>
      <c r="D482" s="14"/>
      <c r="E482" s="15"/>
      <c r="F482" s="13"/>
      <c r="G482" s="16" t="str">
        <f aca="false">IF(OR(B482="",E482=""),"",E482*IFERROR(INDEX(Müşteriler!$B$5:$B$54,MATCH(B482,Müşteriler!$A$5:$A$54,0)),0))</f>
        <v/>
      </c>
    </row>
    <row r="483" customFormat="false" ht="15" hidden="false" customHeight="false" outlineLevel="0" collapsed="false">
      <c r="A483" s="12"/>
      <c r="B483" s="13"/>
      <c r="C483" s="14"/>
      <c r="D483" s="14"/>
      <c r="E483" s="15"/>
      <c r="F483" s="13"/>
      <c r="G483" s="16" t="str">
        <f aca="false">IF(OR(B483="",E483=""),"",E483*IFERROR(INDEX(Müşteriler!$B$5:$B$54,MATCH(B483,Müşteriler!$A$5:$A$54,0)),0))</f>
        <v/>
      </c>
    </row>
    <row r="484" customFormat="false" ht="15" hidden="false" customHeight="false" outlineLevel="0" collapsed="false">
      <c r="A484" s="12"/>
      <c r="B484" s="13"/>
      <c r="C484" s="14"/>
      <c r="D484" s="14"/>
      <c r="E484" s="15"/>
      <c r="F484" s="13"/>
      <c r="G484" s="16" t="str">
        <f aca="false">IF(OR(B484="",E484=""),"",E484*IFERROR(INDEX(Müşteriler!$B$5:$B$54,MATCH(B484,Müşteriler!$A$5:$A$54,0)),0))</f>
        <v/>
      </c>
    </row>
    <row r="485" customFormat="false" ht="15" hidden="false" customHeight="false" outlineLevel="0" collapsed="false">
      <c r="A485" s="12"/>
      <c r="B485" s="13"/>
      <c r="C485" s="14"/>
      <c r="D485" s="14"/>
      <c r="E485" s="15"/>
      <c r="F485" s="13"/>
      <c r="G485" s="16" t="str">
        <f aca="false">IF(OR(B485="",E485=""),"",E485*IFERROR(INDEX(Müşteriler!$B$5:$B$54,MATCH(B485,Müşteriler!$A$5:$A$54,0)),0))</f>
        <v/>
      </c>
    </row>
    <row r="486" customFormat="false" ht="15" hidden="false" customHeight="false" outlineLevel="0" collapsed="false">
      <c r="A486" s="12"/>
      <c r="B486" s="13"/>
      <c r="C486" s="14"/>
      <c r="D486" s="14"/>
      <c r="E486" s="15"/>
      <c r="F486" s="13"/>
      <c r="G486" s="16" t="str">
        <f aca="false">IF(OR(B486="",E486=""),"",E486*IFERROR(INDEX(Müşteriler!$B$5:$B$54,MATCH(B486,Müşteriler!$A$5:$A$54,0)),0))</f>
        <v/>
      </c>
    </row>
    <row r="487" customFormat="false" ht="15" hidden="false" customHeight="false" outlineLevel="0" collapsed="false">
      <c r="A487" s="12"/>
      <c r="B487" s="13"/>
      <c r="C487" s="14"/>
      <c r="D487" s="14"/>
      <c r="E487" s="15"/>
      <c r="F487" s="13"/>
      <c r="G487" s="16" t="str">
        <f aca="false">IF(OR(B487="",E487=""),"",E487*IFERROR(INDEX(Müşteriler!$B$5:$B$54,MATCH(B487,Müşteriler!$A$5:$A$54,0)),0))</f>
        <v/>
      </c>
    </row>
    <row r="488" customFormat="false" ht="15" hidden="false" customHeight="false" outlineLevel="0" collapsed="false">
      <c r="A488" s="12"/>
      <c r="B488" s="13"/>
      <c r="C488" s="14"/>
      <c r="D488" s="14"/>
      <c r="E488" s="15"/>
      <c r="F488" s="13"/>
      <c r="G488" s="16" t="str">
        <f aca="false">IF(OR(B488="",E488=""),"",E488*IFERROR(INDEX(Müşteriler!$B$5:$B$54,MATCH(B488,Müşteriler!$A$5:$A$54,0)),0))</f>
        <v/>
      </c>
    </row>
    <row r="489" customFormat="false" ht="15" hidden="false" customHeight="false" outlineLevel="0" collapsed="false">
      <c r="A489" s="12"/>
      <c r="B489" s="13"/>
      <c r="C489" s="14"/>
      <c r="D489" s="14"/>
      <c r="E489" s="15"/>
      <c r="F489" s="13"/>
      <c r="G489" s="16" t="str">
        <f aca="false">IF(OR(B489="",E489=""),"",E489*IFERROR(INDEX(Müşteriler!$B$5:$B$54,MATCH(B489,Müşteriler!$A$5:$A$54,0)),0))</f>
        <v/>
      </c>
    </row>
    <row r="490" customFormat="false" ht="15" hidden="false" customHeight="false" outlineLevel="0" collapsed="false">
      <c r="A490" s="12"/>
      <c r="B490" s="13"/>
      <c r="C490" s="14"/>
      <c r="D490" s="14"/>
      <c r="E490" s="15"/>
      <c r="F490" s="13"/>
      <c r="G490" s="16" t="str">
        <f aca="false">IF(OR(B490="",E490=""),"",E490*IFERROR(INDEX(Müşteriler!$B$5:$B$54,MATCH(B490,Müşteriler!$A$5:$A$54,0)),0))</f>
        <v/>
      </c>
    </row>
    <row r="491" customFormat="false" ht="15" hidden="false" customHeight="false" outlineLevel="0" collapsed="false">
      <c r="A491" s="12"/>
      <c r="B491" s="13"/>
      <c r="C491" s="14"/>
      <c r="D491" s="14"/>
      <c r="E491" s="15"/>
      <c r="F491" s="13"/>
      <c r="G491" s="16" t="str">
        <f aca="false">IF(OR(B491="",E491=""),"",E491*IFERROR(INDEX(Müşteriler!$B$5:$B$54,MATCH(B491,Müşteriler!$A$5:$A$54,0)),0))</f>
        <v/>
      </c>
    </row>
    <row r="492" customFormat="false" ht="15" hidden="false" customHeight="false" outlineLevel="0" collapsed="false">
      <c r="A492" s="12"/>
      <c r="B492" s="13"/>
      <c r="C492" s="14"/>
      <c r="D492" s="14"/>
      <c r="E492" s="15"/>
      <c r="F492" s="13"/>
      <c r="G492" s="16" t="str">
        <f aca="false">IF(OR(B492="",E492=""),"",E492*IFERROR(INDEX(Müşteriler!$B$5:$B$54,MATCH(B492,Müşteriler!$A$5:$A$54,0)),0))</f>
        <v/>
      </c>
    </row>
    <row r="493" customFormat="false" ht="15" hidden="false" customHeight="false" outlineLevel="0" collapsed="false">
      <c r="A493" s="12"/>
      <c r="B493" s="13"/>
      <c r="C493" s="14"/>
      <c r="D493" s="14"/>
      <c r="E493" s="15"/>
      <c r="F493" s="13"/>
      <c r="G493" s="16" t="str">
        <f aca="false">IF(OR(B493="",E493=""),"",E493*IFERROR(INDEX(Müşteriler!$B$5:$B$54,MATCH(B493,Müşteriler!$A$5:$A$54,0)),0))</f>
        <v/>
      </c>
    </row>
    <row r="494" customFormat="false" ht="15" hidden="false" customHeight="false" outlineLevel="0" collapsed="false">
      <c r="A494" s="12"/>
      <c r="B494" s="13"/>
      <c r="C494" s="14"/>
      <c r="D494" s="14"/>
      <c r="E494" s="15"/>
      <c r="F494" s="13"/>
      <c r="G494" s="16" t="str">
        <f aca="false">IF(OR(B494="",E494=""),"",E494*IFERROR(INDEX(Müşteriler!$B$5:$B$54,MATCH(B494,Müşteriler!$A$5:$A$54,0)),0))</f>
        <v/>
      </c>
    </row>
    <row r="495" customFormat="false" ht="15" hidden="false" customHeight="false" outlineLevel="0" collapsed="false">
      <c r="A495" s="12"/>
      <c r="B495" s="13"/>
      <c r="C495" s="14"/>
      <c r="D495" s="14"/>
      <c r="E495" s="15"/>
      <c r="F495" s="13"/>
      <c r="G495" s="16" t="str">
        <f aca="false">IF(OR(B495="",E495=""),"",E495*IFERROR(INDEX(Müşteriler!$B$5:$B$54,MATCH(B495,Müşteriler!$A$5:$A$54,0)),0))</f>
        <v/>
      </c>
    </row>
    <row r="496" customFormat="false" ht="15" hidden="false" customHeight="false" outlineLevel="0" collapsed="false">
      <c r="A496" s="12"/>
      <c r="B496" s="13"/>
      <c r="C496" s="14"/>
      <c r="D496" s="14"/>
      <c r="E496" s="15"/>
      <c r="F496" s="13"/>
      <c r="G496" s="16" t="str">
        <f aca="false">IF(OR(B496="",E496=""),"",E496*IFERROR(INDEX(Müşteriler!$B$5:$B$54,MATCH(B496,Müşteriler!$A$5:$A$54,0)),0))</f>
        <v/>
      </c>
    </row>
    <row r="497" customFormat="false" ht="15" hidden="false" customHeight="false" outlineLevel="0" collapsed="false">
      <c r="A497" s="12"/>
      <c r="B497" s="13"/>
      <c r="C497" s="14"/>
      <c r="D497" s="14"/>
      <c r="E497" s="15"/>
      <c r="F497" s="13"/>
      <c r="G497" s="16" t="str">
        <f aca="false">IF(OR(B497="",E497=""),"",E497*IFERROR(INDEX(Müşteriler!$B$5:$B$54,MATCH(B497,Müşteriler!$A$5:$A$54,0)),0))</f>
        <v/>
      </c>
    </row>
    <row r="498" customFormat="false" ht="15" hidden="false" customHeight="false" outlineLevel="0" collapsed="false">
      <c r="A498" s="12"/>
      <c r="B498" s="13"/>
      <c r="C498" s="14"/>
      <c r="D498" s="14"/>
      <c r="E498" s="15"/>
      <c r="F498" s="13"/>
      <c r="G498" s="16" t="str">
        <f aca="false">IF(OR(B498="",E498=""),"",E498*IFERROR(INDEX(Müşteriler!$B$5:$B$54,MATCH(B498,Müşteriler!$A$5:$A$54,0)),0))</f>
        <v/>
      </c>
    </row>
    <row r="499" customFormat="false" ht="15" hidden="false" customHeight="false" outlineLevel="0" collapsed="false">
      <c r="A499" s="12"/>
      <c r="B499" s="13"/>
      <c r="C499" s="14"/>
      <c r="D499" s="14"/>
      <c r="E499" s="15"/>
      <c r="F499" s="13"/>
      <c r="G499" s="16" t="str">
        <f aca="false">IF(OR(B499="",E499=""),"",E499*IFERROR(INDEX(Müşteriler!$B$5:$B$54,MATCH(B499,Müşteriler!$A$5:$A$54,0)),0))</f>
        <v/>
      </c>
    </row>
    <row r="500" customFormat="false" ht="15" hidden="false" customHeight="false" outlineLevel="0" collapsed="false">
      <c r="A500" s="12"/>
      <c r="B500" s="13"/>
      <c r="C500" s="14"/>
      <c r="D500" s="14"/>
      <c r="E500" s="15"/>
      <c r="F500" s="13"/>
      <c r="G500" s="16" t="str">
        <f aca="false">IF(OR(B500="",E500=""),"",E500*IFERROR(INDEX(Müşteriler!$B$5:$B$54,MATCH(B500,Müşteriler!$A$5:$A$54,0)),0))</f>
        <v/>
      </c>
    </row>
    <row r="501" customFormat="false" ht="15" hidden="false" customHeight="false" outlineLevel="0" collapsed="false">
      <c r="A501" s="12"/>
      <c r="B501" s="13"/>
      <c r="C501" s="14"/>
      <c r="D501" s="14"/>
      <c r="E501" s="15"/>
      <c r="F501" s="13"/>
      <c r="G501" s="16" t="str">
        <f aca="false">IF(OR(B501="",E501=""),"",E501*IFERROR(INDEX(Müşteriler!$B$5:$B$54,MATCH(B501,Müşteriler!$A$5:$A$54,0)),0))</f>
        <v/>
      </c>
    </row>
    <row r="502" customFormat="false" ht="15" hidden="false" customHeight="false" outlineLevel="0" collapsed="false">
      <c r="A502" s="12"/>
      <c r="B502" s="13"/>
      <c r="C502" s="14"/>
      <c r="D502" s="14"/>
      <c r="E502" s="15"/>
      <c r="F502" s="13"/>
      <c r="G502" s="16" t="str">
        <f aca="false">IF(OR(B502="",E502=""),"",E502*IFERROR(INDEX(Müşteriler!$B$5:$B$54,MATCH(B502,Müşteriler!$A$5:$A$54,0)),0))</f>
        <v/>
      </c>
    </row>
    <row r="503" customFormat="false" ht="15" hidden="false" customHeight="false" outlineLevel="0" collapsed="false">
      <c r="A503" s="12"/>
      <c r="B503" s="13"/>
      <c r="C503" s="14"/>
      <c r="D503" s="14"/>
      <c r="E503" s="15"/>
      <c r="F503" s="13"/>
      <c r="G503" s="16" t="str">
        <f aca="false">IF(OR(B503="",E503=""),"",E503*IFERROR(INDEX(Müşteriler!$B$5:$B$54,MATCH(B503,Müşteriler!$A$5:$A$54,0)),0))</f>
        <v/>
      </c>
    </row>
    <row r="504" customFormat="false" ht="15" hidden="false" customHeight="false" outlineLevel="0" collapsed="false">
      <c r="A504" s="12"/>
      <c r="B504" s="13"/>
      <c r="C504" s="14"/>
      <c r="D504" s="14"/>
      <c r="E504" s="15"/>
      <c r="F504" s="13"/>
      <c r="G504" s="16" t="str">
        <f aca="false">IF(OR(B504="",E504=""),"",E504*IFERROR(INDEX(Müşteriler!$B$5:$B$54,MATCH(B504,Müşteriler!$A$5:$A$54,0)),0))</f>
        <v/>
      </c>
    </row>
    <row r="505" customFormat="false" ht="15" hidden="false" customHeight="false" outlineLevel="0" collapsed="false">
      <c r="A505" s="12"/>
      <c r="B505" s="13"/>
      <c r="C505" s="14"/>
      <c r="D505" s="14"/>
      <c r="E505" s="15"/>
      <c r="F505" s="13"/>
      <c r="G505" s="16" t="str">
        <f aca="false">IF(OR(B505="",E505=""),"",E505*IFERROR(INDEX(Müşteriler!$B$5:$B$54,MATCH(B505,Müşteriler!$A$5:$A$54,0)),0))</f>
        <v/>
      </c>
    </row>
    <row r="506" customFormat="false" ht="15" hidden="false" customHeight="false" outlineLevel="0" collapsed="false">
      <c r="A506" s="12"/>
      <c r="B506" s="13"/>
      <c r="C506" s="14"/>
      <c r="D506" s="14"/>
      <c r="E506" s="15"/>
      <c r="F506" s="13"/>
      <c r="G506" s="16" t="str">
        <f aca="false">IF(OR(B506="",E506=""),"",E506*IFERROR(INDEX(Müşteriler!$B$5:$B$54,MATCH(B506,Müşteriler!$A$5:$A$54,0)),0))</f>
        <v/>
      </c>
    </row>
    <row r="507" customFormat="false" ht="15" hidden="false" customHeight="false" outlineLevel="0" collapsed="false">
      <c r="A507" s="12"/>
      <c r="B507" s="13"/>
      <c r="C507" s="14"/>
      <c r="D507" s="14"/>
      <c r="E507" s="15"/>
      <c r="F507" s="13"/>
      <c r="G507" s="16" t="str">
        <f aca="false">IF(OR(B507="",E507=""),"",E507*IFERROR(INDEX(Müşteriler!$B$5:$B$54,MATCH(B507,Müşteriler!$A$5:$A$54,0)),0))</f>
        <v/>
      </c>
    </row>
    <row r="508" customFormat="false" ht="15" hidden="false" customHeight="false" outlineLevel="0" collapsed="false">
      <c r="A508" s="12"/>
      <c r="B508" s="13"/>
      <c r="C508" s="14"/>
      <c r="D508" s="14"/>
      <c r="E508" s="15"/>
      <c r="F508" s="13"/>
      <c r="G508" s="16" t="str">
        <f aca="false">IF(OR(B508="",E508=""),"",E508*IFERROR(INDEX(Müşteriler!$B$5:$B$54,MATCH(B508,Müşteriler!$A$5:$A$54,0)),0))</f>
        <v/>
      </c>
    </row>
    <row r="509" customFormat="false" ht="15" hidden="false" customHeight="false" outlineLevel="0" collapsed="false">
      <c r="A509" s="12"/>
      <c r="B509" s="13"/>
      <c r="C509" s="14"/>
      <c r="D509" s="14"/>
      <c r="E509" s="15"/>
      <c r="F509" s="13"/>
      <c r="G509" s="16" t="str">
        <f aca="false">IF(OR(B509="",E509=""),"",E509*IFERROR(INDEX(Müşteriler!$B$5:$B$54,MATCH(B509,Müşteriler!$A$5:$A$54,0)),0))</f>
        <v/>
      </c>
    </row>
    <row r="510" customFormat="false" ht="15" hidden="false" customHeight="false" outlineLevel="0" collapsed="false">
      <c r="A510" s="12"/>
      <c r="B510" s="13"/>
      <c r="C510" s="14"/>
      <c r="D510" s="14"/>
      <c r="E510" s="15"/>
      <c r="F510" s="13"/>
      <c r="G510" s="16" t="str">
        <f aca="false">IF(OR(B510="",E510=""),"",E510*IFERROR(INDEX(Müşteriler!$B$5:$B$54,MATCH(B510,Müşteriler!$A$5:$A$54,0)),0))</f>
        <v/>
      </c>
    </row>
    <row r="511" customFormat="false" ht="15" hidden="false" customHeight="false" outlineLevel="0" collapsed="false">
      <c r="A511" s="12"/>
      <c r="B511" s="13"/>
      <c r="C511" s="14"/>
      <c r="D511" s="14"/>
      <c r="E511" s="15"/>
      <c r="F511" s="13"/>
      <c r="G511" s="16" t="str">
        <f aca="false">IF(OR(B511="",E511=""),"",E511*IFERROR(INDEX(Müşteriler!$B$5:$B$54,MATCH(B511,Müşteriler!$A$5:$A$54,0)),0))</f>
        <v/>
      </c>
    </row>
    <row r="512" customFormat="false" ht="15" hidden="false" customHeight="false" outlineLevel="0" collapsed="false">
      <c r="A512" s="12"/>
      <c r="B512" s="13"/>
      <c r="C512" s="14"/>
      <c r="D512" s="14"/>
      <c r="E512" s="15"/>
      <c r="F512" s="13"/>
      <c r="G512" s="16" t="str">
        <f aca="false">IF(OR(B512="",E512=""),"",E512*IFERROR(INDEX(Müşteriler!$B$5:$B$54,MATCH(B512,Müşteriler!$A$5:$A$54,0)),0))</f>
        <v/>
      </c>
    </row>
    <row r="513" customFormat="false" ht="15" hidden="false" customHeight="false" outlineLevel="0" collapsed="false">
      <c r="A513" s="12"/>
      <c r="B513" s="13"/>
      <c r="C513" s="14"/>
      <c r="D513" s="14"/>
      <c r="E513" s="15"/>
      <c r="F513" s="13"/>
      <c r="G513" s="16" t="str">
        <f aca="false">IF(OR(B513="",E513=""),"",E513*IFERROR(INDEX(Müşteriler!$B$5:$B$54,MATCH(B513,Müşteriler!$A$5:$A$54,0)),0))</f>
        <v/>
      </c>
    </row>
    <row r="514" customFormat="false" ht="15" hidden="false" customHeight="false" outlineLevel="0" collapsed="false">
      <c r="A514" s="12"/>
      <c r="B514" s="13"/>
      <c r="C514" s="14"/>
      <c r="D514" s="14"/>
      <c r="E514" s="15"/>
      <c r="F514" s="13"/>
      <c r="G514" s="16" t="str">
        <f aca="false">IF(OR(B514="",E514=""),"",E514*IFERROR(INDEX(Müşteriler!$B$5:$B$54,MATCH(B514,Müşteriler!$A$5:$A$54,0)),0))</f>
        <v/>
      </c>
    </row>
    <row r="515" customFormat="false" ht="15" hidden="false" customHeight="false" outlineLevel="0" collapsed="false">
      <c r="A515" s="12"/>
      <c r="B515" s="13"/>
      <c r="C515" s="14"/>
      <c r="D515" s="14"/>
      <c r="E515" s="15"/>
      <c r="F515" s="13"/>
      <c r="G515" s="16" t="str">
        <f aca="false">IF(OR(B515="",E515=""),"",E515*IFERROR(INDEX(Müşteriler!$B$5:$B$54,MATCH(B515,Müşteriler!$A$5:$A$54,0)),0))</f>
        <v/>
      </c>
    </row>
    <row r="516" customFormat="false" ht="15" hidden="false" customHeight="false" outlineLevel="0" collapsed="false">
      <c r="A516" s="12"/>
      <c r="B516" s="13"/>
      <c r="C516" s="14"/>
      <c r="D516" s="14"/>
      <c r="E516" s="15"/>
      <c r="F516" s="13"/>
      <c r="G516" s="16" t="str">
        <f aca="false">IF(OR(B516="",E516=""),"",E516*IFERROR(INDEX(Müşteriler!$B$5:$B$54,MATCH(B516,Müşteriler!$A$5:$A$54,0)),0))</f>
        <v/>
      </c>
    </row>
    <row r="517" customFormat="false" ht="15" hidden="false" customHeight="false" outlineLevel="0" collapsed="false">
      <c r="A517" s="12"/>
      <c r="B517" s="13"/>
      <c r="C517" s="14"/>
      <c r="D517" s="14"/>
      <c r="E517" s="15"/>
      <c r="F517" s="13"/>
      <c r="G517" s="16" t="str">
        <f aca="false">IF(OR(B517="",E517=""),"",E517*IFERROR(INDEX(Müşteriler!$B$5:$B$54,MATCH(B517,Müşteriler!$A$5:$A$54,0)),0))</f>
        <v/>
      </c>
    </row>
    <row r="518" customFormat="false" ht="15" hidden="false" customHeight="false" outlineLevel="0" collapsed="false">
      <c r="A518" s="12"/>
      <c r="B518" s="13"/>
      <c r="C518" s="14"/>
      <c r="D518" s="14"/>
      <c r="E518" s="15"/>
      <c r="F518" s="13"/>
      <c r="G518" s="16" t="str">
        <f aca="false">IF(OR(B518="",E518=""),"",E518*IFERROR(INDEX(Müşteriler!$B$5:$B$54,MATCH(B518,Müşteriler!$A$5:$A$54,0)),0))</f>
        <v/>
      </c>
    </row>
    <row r="519" customFormat="false" ht="15" hidden="false" customHeight="false" outlineLevel="0" collapsed="false">
      <c r="A519" s="12"/>
      <c r="B519" s="13"/>
      <c r="C519" s="14"/>
      <c r="D519" s="14"/>
      <c r="E519" s="15"/>
      <c r="F519" s="13"/>
      <c r="G519" s="16" t="str">
        <f aca="false">IF(OR(B519="",E519=""),"",E519*IFERROR(INDEX(Müşteriler!$B$5:$B$54,MATCH(B519,Müşteriler!$A$5:$A$54,0)),0))</f>
        <v/>
      </c>
    </row>
    <row r="520" customFormat="false" ht="15" hidden="false" customHeight="false" outlineLevel="0" collapsed="false">
      <c r="A520" s="12"/>
      <c r="B520" s="13"/>
      <c r="C520" s="14"/>
      <c r="D520" s="14"/>
      <c r="E520" s="15"/>
      <c r="F520" s="13"/>
      <c r="G520" s="16" t="str">
        <f aca="false">IF(OR(B520="",E520=""),"",E520*IFERROR(INDEX(Müşteriler!$B$5:$B$54,MATCH(B520,Müşteriler!$A$5:$A$54,0)),0))</f>
        <v/>
      </c>
    </row>
    <row r="521" customFormat="false" ht="15" hidden="false" customHeight="false" outlineLevel="0" collapsed="false">
      <c r="A521" s="12"/>
      <c r="B521" s="13"/>
      <c r="C521" s="14"/>
      <c r="D521" s="14"/>
      <c r="E521" s="15"/>
      <c r="F521" s="13"/>
      <c r="G521" s="16" t="str">
        <f aca="false">IF(OR(B521="",E521=""),"",E521*IFERROR(INDEX(Müşteriler!$B$5:$B$54,MATCH(B521,Müşteriler!$A$5:$A$54,0)),0))</f>
        <v/>
      </c>
    </row>
    <row r="522" customFormat="false" ht="15" hidden="false" customHeight="false" outlineLevel="0" collapsed="false">
      <c r="A522" s="12"/>
      <c r="B522" s="13"/>
      <c r="C522" s="14"/>
      <c r="D522" s="14"/>
      <c r="E522" s="15"/>
      <c r="F522" s="13"/>
      <c r="G522" s="16" t="str">
        <f aca="false">IF(OR(B522="",E522=""),"",E522*IFERROR(INDEX(Müşteriler!$B$5:$B$54,MATCH(B522,Müşteriler!$A$5:$A$54,0)),0))</f>
        <v/>
      </c>
    </row>
    <row r="523" customFormat="false" ht="15" hidden="false" customHeight="false" outlineLevel="0" collapsed="false">
      <c r="A523" s="12"/>
      <c r="B523" s="13"/>
      <c r="C523" s="14"/>
      <c r="D523" s="14"/>
      <c r="E523" s="15"/>
      <c r="F523" s="13"/>
      <c r="G523" s="16" t="str">
        <f aca="false">IF(OR(B523="",E523=""),"",E523*IFERROR(INDEX(Müşteriler!$B$5:$B$54,MATCH(B523,Müşteriler!$A$5:$A$54,0)),0))</f>
        <v/>
      </c>
    </row>
    <row r="524" customFormat="false" ht="15" hidden="false" customHeight="false" outlineLevel="0" collapsed="false">
      <c r="A524" s="12"/>
      <c r="B524" s="13"/>
      <c r="C524" s="14"/>
      <c r="D524" s="14"/>
      <c r="E524" s="15"/>
      <c r="F524" s="13"/>
      <c r="G524" s="16" t="str">
        <f aca="false">IF(OR(B524="",E524=""),"",E524*IFERROR(INDEX(Müşteriler!$B$5:$B$54,MATCH(B524,Müşteriler!$A$5:$A$54,0)),0))</f>
        <v/>
      </c>
    </row>
    <row r="525" customFormat="false" ht="15" hidden="false" customHeight="false" outlineLevel="0" collapsed="false">
      <c r="A525" s="12"/>
      <c r="B525" s="13"/>
      <c r="C525" s="14"/>
      <c r="D525" s="14"/>
      <c r="E525" s="15"/>
      <c r="F525" s="13"/>
      <c r="G525" s="16" t="str">
        <f aca="false">IF(OR(B525="",E525=""),"",E525*IFERROR(INDEX(Müşteriler!$B$5:$B$54,MATCH(B525,Müşteriler!$A$5:$A$54,0)),0))</f>
        <v/>
      </c>
    </row>
    <row r="526" customFormat="false" ht="15" hidden="false" customHeight="false" outlineLevel="0" collapsed="false">
      <c r="A526" s="12"/>
      <c r="B526" s="13"/>
      <c r="C526" s="14"/>
      <c r="D526" s="14"/>
      <c r="E526" s="15"/>
      <c r="F526" s="13"/>
      <c r="G526" s="16" t="str">
        <f aca="false">IF(OR(B526="",E526=""),"",E526*IFERROR(INDEX(Müşteriler!$B$5:$B$54,MATCH(B526,Müşteriler!$A$5:$A$54,0)),0))</f>
        <v/>
      </c>
    </row>
    <row r="527" customFormat="false" ht="15" hidden="false" customHeight="false" outlineLevel="0" collapsed="false">
      <c r="A527" s="12"/>
      <c r="B527" s="13"/>
      <c r="C527" s="14"/>
      <c r="D527" s="14"/>
      <c r="E527" s="15"/>
      <c r="F527" s="13"/>
      <c r="G527" s="16" t="str">
        <f aca="false">IF(OR(B527="",E527=""),"",E527*IFERROR(INDEX(Müşteriler!$B$5:$B$54,MATCH(B527,Müşteriler!$A$5:$A$54,0)),0))</f>
        <v/>
      </c>
    </row>
    <row r="528" customFormat="false" ht="15" hidden="false" customHeight="false" outlineLevel="0" collapsed="false">
      <c r="A528" s="12"/>
      <c r="B528" s="13"/>
      <c r="C528" s="14"/>
      <c r="D528" s="14"/>
      <c r="E528" s="15"/>
      <c r="F528" s="13"/>
      <c r="G528" s="16" t="str">
        <f aca="false">IF(OR(B528="",E528=""),"",E528*IFERROR(INDEX(Müşteriler!$B$5:$B$54,MATCH(B528,Müşteriler!$A$5:$A$54,0)),0))</f>
        <v/>
      </c>
    </row>
    <row r="529" customFormat="false" ht="15" hidden="false" customHeight="false" outlineLevel="0" collapsed="false">
      <c r="A529" s="12"/>
      <c r="B529" s="13"/>
      <c r="C529" s="14"/>
      <c r="D529" s="14"/>
      <c r="E529" s="15"/>
      <c r="F529" s="13"/>
      <c r="G529" s="16" t="str">
        <f aca="false">IF(OR(B529="",E529=""),"",E529*IFERROR(INDEX(Müşteriler!$B$5:$B$54,MATCH(B529,Müşteriler!$A$5:$A$54,0)),0))</f>
        <v/>
      </c>
    </row>
    <row r="530" customFormat="false" ht="15" hidden="false" customHeight="false" outlineLevel="0" collapsed="false">
      <c r="A530" s="12"/>
      <c r="B530" s="13"/>
      <c r="C530" s="14"/>
      <c r="D530" s="14"/>
      <c r="E530" s="15"/>
      <c r="F530" s="13"/>
      <c r="G530" s="16" t="str">
        <f aca="false">IF(OR(B530="",E530=""),"",E530*IFERROR(INDEX(Müşteriler!$B$5:$B$54,MATCH(B530,Müşteriler!$A$5:$A$54,0)),0))</f>
        <v/>
      </c>
    </row>
    <row r="531" customFormat="false" ht="15" hidden="false" customHeight="false" outlineLevel="0" collapsed="false">
      <c r="A531" s="12"/>
      <c r="B531" s="13"/>
      <c r="C531" s="14"/>
      <c r="D531" s="14"/>
      <c r="E531" s="15"/>
      <c r="F531" s="13"/>
      <c r="G531" s="16" t="str">
        <f aca="false">IF(OR(B531="",E531=""),"",E531*IFERROR(INDEX(Müşteriler!$B$5:$B$54,MATCH(B531,Müşteriler!$A$5:$A$54,0)),0))</f>
        <v/>
      </c>
    </row>
    <row r="532" customFormat="false" ht="15" hidden="false" customHeight="false" outlineLevel="0" collapsed="false">
      <c r="A532" s="12"/>
      <c r="B532" s="13"/>
      <c r="C532" s="14"/>
      <c r="D532" s="14"/>
      <c r="E532" s="15"/>
      <c r="F532" s="13"/>
      <c r="G532" s="16" t="str">
        <f aca="false">IF(OR(B532="",E532=""),"",E532*IFERROR(INDEX(Müşteriler!$B$5:$B$54,MATCH(B532,Müşteriler!$A$5:$A$54,0)),0))</f>
        <v/>
      </c>
    </row>
    <row r="533" customFormat="false" ht="15" hidden="false" customHeight="false" outlineLevel="0" collapsed="false">
      <c r="A533" s="12"/>
      <c r="B533" s="13"/>
      <c r="C533" s="14"/>
      <c r="D533" s="14"/>
      <c r="E533" s="15"/>
      <c r="F533" s="13"/>
      <c r="G533" s="16" t="str">
        <f aca="false">IF(OR(B533="",E533=""),"",E533*IFERROR(INDEX(Müşteriler!$B$5:$B$54,MATCH(B533,Müşteriler!$A$5:$A$54,0)),0))</f>
        <v/>
      </c>
    </row>
    <row r="534" customFormat="false" ht="15" hidden="false" customHeight="false" outlineLevel="0" collapsed="false">
      <c r="A534" s="12"/>
      <c r="B534" s="13"/>
      <c r="C534" s="14"/>
      <c r="D534" s="14"/>
      <c r="E534" s="15"/>
      <c r="F534" s="13"/>
      <c r="G534" s="16" t="str">
        <f aca="false">IF(OR(B534="",E534=""),"",E534*IFERROR(INDEX(Müşteriler!$B$5:$B$54,MATCH(B534,Müşteriler!$A$5:$A$54,0)),0))</f>
        <v/>
      </c>
    </row>
    <row r="535" customFormat="false" ht="15" hidden="false" customHeight="false" outlineLevel="0" collapsed="false">
      <c r="A535" s="12"/>
      <c r="B535" s="13"/>
      <c r="C535" s="14"/>
      <c r="D535" s="14"/>
      <c r="E535" s="15"/>
      <c r="F535" s="13"/>
      <c r="G535" s="16" t="str">
        <f aca="false">IF(OR(B535="",E535=""),"",E535*IFERROR(INDEX(Müşteriler!$B$5:$B$54,MATCH(B535,Müşteriler!$A$5:$A$54,0)),0))</f>
        <v/>
      </c>
    </row>
    <row r="536" customFormat="false" ht="15" hidden="false" customHeight="false" outlineLevel="0" collapsed="false">
      <c r="A536" s="12"/>
      <c r="B536" s="13"/>
      <c r="C536" s="14"/>
      <c r="D536" s="14"/>
      <c r="E536" s="15"/>
      <c r="F536" s="13"/>
      <c r="G536" s="16" t="str">
        <f aca="false">IF(OR(B536="",E536=""),"",E536*IFERROR(INDEX(Müşteriler!$B$5:$B$54,MATCH(B536,Müşteriler!$A$5:$A$54,0)),0))</f>
        <v/>
      </c>
    </row>
    <row r="537" customFormat="false" ht="15" hidden="false" customHeight="false" outlineLevel="0" collapsed="false">
      <c r="A537" s="12"/>
      <c r="B537" s="13"/>
      <c r="C537" s="14"/>
      <c r="D537" s="14"/>
      <c r="E537" s="15"/>
      <c r="F537" s="13"/>
      <c r="G537" s="16" t="str">
        <f aca="false">IF(OR(B537="",E537=""),"",E537*IFERROR(INDEX(Müşteriler!$B$5:$B$54,MATCH(B537,Müşteriler!$A$5:$A$54,0)),0))</f>
        <v/>
      </c>
    </row>
    <row r="538" customFormat="false" ht="15" hidden="false" customHeight="false" outlineLevel="0" collapsed="false">
      <c r="A538" s="12"/>
      <c r="B538" s="13"/>
      <c r="C538" s="14"/>
      <c r="D538" s="14"/>
      <c r="E538" s="15"/>
      <c r="F538" s="13"/>
      <c r="G538" s="16" t="str">
        <f aca="false">IF(OR(B538="",E538=""),"",E538*IFERROR(INDEX(Müşteriler!$B$5:$B$54,MATCH(B538,Müşteriler!$A$5:$A$54,0)),0))</f>
        <v/>
      </c>
    </row>
    <row r="539" customFormat="false" ht="15" hidden="false" customHeight="false" outlineLevel="0" collapsed="false">
      <c r="A539" s="12"/>
      <c r="B539" s="13"/>
      <c r="C539" s="14"/>
      <c r="D539" s="14"/>
      <c r="E539" s="15"/>
      <c r="F539" s="13"/>
      <c r="G539" s="16" t="str">
        <f aca="false">IF(OR(B539="",E539=""),"",E539*IFERROR(INDEX(Müşteriler!$B$5:$B$54,MATCH(B539,Müşteriler!$A$5:$A$54,0)),0))</f>
        <v/>
      </c>
    </row>
    <row r="540" customFormat="false" ht="15" hidden="false" customHeight="false" outlineLevel="0" collapsed="false">
      <c r="A540" s="12"/>
      <c r="B540" s="13"/>
      <c r="C540" s="14"/>
      <c r="D540" s="14"/>
      <c r="E540" s="15"/>
      <c r="F540" s="13"/>
      <c r="G540" s="16" t="str">
        <f aca="false">IF(OR(B540="",E540=""),"",E540*IFERROR(INDEX(Müşteriler!$B$5:$B$54,MATCH(B540,Müşteriler!$A$5:$A$54,0)),0))</f>
        <v/>
      </c>
    </row>
    <row r="541" customFormat="false" ht="15" hidden="false" customHeight="false" outlineLevel="0" collapsed="false">
      <c r="A541" s="12"/>
      <c r="B541" s="13"/>
      <c r="C541" s="14"/>
      <c r="D541" s="14"/>
      <c r="E541" s="15"/>
      <c r="F541" s="13"/>
      <c r="G541" s="16" t="str">
        <f aca="false">IF(OR(B541="",E541=""),"",E541*IFERROR(INDEX(Müşteriler!$B$5:$B$54,MATCH(B541,Müşteriler!$A$5:$A$54,0)),0))</f>
        <v/>
      </c>
    </row>
    <row r="542" customFormat="false" ht="15" hidden="false" customHeight="false" outlineLevel="0" collapsed="false">
      <c r="A542" s="12"/>
      <c r="B542" s="13"/>
      <c r="C542" s="14"/>
      <c r="D542" s="14"/>
      <c r="E542" s="15"/>
      <c r="F542" s="13"/>
      <c r="G542" s="16" t="str">
        <f aca="false">IF(OR(B542="",E542=""),"",E542*IFERROR(INDEX(Müşteriler!$B$5:$B$54,MATCH(B542,Müşteriler!$A$5:$A$54,0)),0))</f>
        <v/>
      </c>
    </row>
    <row r="543" customFormat="false" ht="15" hidden="false" customHeight="false" outlineLevel="0" collapsed="false">
      <c r="A543" s="12"/>
      <c r="B543" s="13"/>
      <c r="C543" s="14"/>
      <c r="D543" s="14"/>
      <c r="E543" s="15"/>
      <c r="F543" s="13"/>
      <c r="G543" s="16" t="str">
        <f aca="false">IF(OR(B543="",E543=""),"",E543*IFERROR(INDEX(Müşteriler!$B$5:$B$54,MATCH(B543,Müşteriler!$A$5:$A$54,0)),0))</f>
        <v/>
      </c>
    </row>
    <row r="544" customFormat="false" ht="15" hidden="false" customHeight="false" outlineLevel="0" collapsed="false">
      <c r="A544" s="12"/>
      <c r="B544" s="13"/>
      <c r="C544" s="14"/>
      <c r="D544" s="14"/>
      <c r="E544" s="15"/>
      <c r="F544" s="13"/>
      <c r="G544" s="16" t="str">
        <f aca="false">IF(OR(B544="",E544=""),"",E544*IFERROR(INDEX(Müşteriler!$B$5:$B$54,MATCH(B544,Müşteriler!$A$5:$A$54,0)),0))</f>
        <v/>
      </c>
    </row>
    <row r="545" customFormat="false" ht="15" hidden="false" customHeight="false" outlineLevel="0" collapsed="false">
      <c r="A545" s="12"/>
      <c r="B545" s="13"/>
      <c r="C545" s="14"/>
      <c r="D545" s="14"/>
      <c r="E545" s="15"/>
      <c r="F545" s="13"/>
      <c r="G545" s="16" t="str">
        <f aca="false">IF(OR(B545="",E545=""),"",E545*IFERROR(INDEX(Müşteriler!$B$5:$B$54,MATCH(B545,Müşteriler!$A$5:$A$54,0)),0))</f>
        <v/>
      </c>
    </row>
    <row r="546" customFormat="false" ht="15" hidden="false" customHeight="false" outlineLevel="0" collapsed="false">
      <c r="A546" s="12"/>
      <c r="B546" s="13"/>
      <c r="C546" s="14"/>
      <c r="D546" s="14"/>
      <c r="E546" s="15"/>
      <c r="F546" s="13"/>
      <c r="G546" s="16" t="str">
        <f aca="false">IF(OR(B546="",E546=""),"",E546*IFERROR(INDEX(Müşteriler!$B$5:$B$54,MATCH(B546,Müşteriler!$A$5:$A$54,0)),0))</f>
        <v/>
      </c>
    </row>
    <row r="547" customFormat="false" ht="15" hidden="false" customHeight="false" outlineLevel="0" collapsed="false">
      <c r="A547" s="12"/>
      <c r="B547" s="13"/>
      <c r="C547" s="14"/>
      <c r="D547" s="14"/>
      <c r="E547" s="15"/>
      <c r="F547" s="13"/>
      <c r="G547" s="16" t="str">
        <f aca="false">IF(OR(B547="",E547=""),"",E547*IFERROR(INDEX(Müşteriler!$B$5:$B$54,MATCH(B547,Müşteriler!$A$5:$A$54,0)),0))</f>
        <v/>
      </c>
    </row>
    <row r="548" customFormat="false" ht="15" hidden="false" customHeight="false" outlineLevel="0" collapsed="false">
      <c r="A548" s="12"/>
      <c r="B548" s="13"/>
      <c r="C548" s="14"/>
      <c r="D548" s="14"/>
      <c r="E548" s="15"/>
      <c r="F548" s="13"/>
      <c r="G548" s="16" t="str">
        <f aca="false">IF(OR(B548="",E548=""),"",E548*IFERROR(INDEX(Müşteriler!$B$5:$B$54,MATCH(B548,Müşteriler!$A$5:$A$54,0)),0))</f>
        <v/>
      </c>
    </row>
    <row r="549" customFormat="false" ht="15" hidden="false" customHeight="false" outlineLevel="0" collapsed="false">
      <c r="A549" s="12"/>
      <c r="B549" s="13"/>
      <c r="C549" s="14"/>
      <c r="D549" s="14"/>
      <c r="E549" s="15"/>
      <c r="F549" s="13"/>
      <c r="G549" s="16" t="str">
        <f aca="false">IF(OR(B549="",E549=""),"",E549*IFERROR(INDEX(Müşteriler!$B$5:$B$54,MATCH(B549,Müşteriler!$A$5:$A$54,0)),0))</f>
        <v/>
      </c>
    </row>
    <row r="550" customFormat="false" ht="15" hidden="false" customHeight="false" outlineLevel="0" collapsed="false">
      <c r="A550" s="12"/>
      <c r="B550" s="13"/>
      <c r="C550" s="14"/>
      <c r="D550" s="14"/>
      <c r="E550" s="15"/>
      <c r="F550" s="13"/>
      <c r="G550" s="16" t="str">
        <f aca="false">IF(OR(B550="",E550=""),"",E550*IFERROR(INDEX(Müşteriler!$B$5:$B$54,MATCH(B550,Müşteriler!$A$5:$A$54,0)),0))</f>
        <v/>
      </c>
    </row>
    <row r="551" customFormat="false" ht="15" hidden="false" customHeight="false" outlineLevel="0" collapsed="false">
      <c r="A551" s="12"/>
      <c r="B551" s="13"/>
      <c r="C551" s="14"/>
      <c r="D551" s="14"/>
      <c r="E551" s="15"/>
      <c r="F551" s="13"/>
      <c r="G551" s="16" t="str">
        <f aca="false">IF(OR(B551="",E551=""),"",E551*IFERROR(INDEX(Müşteriler!$B$5:$B$54,MATCH(B551,Müşteriler!$A$5:$A$54,0)),0))</f>
        <v/>
      </c>
    </row>
    <row r="552" customFormat="false" ht="15" hidden="false" customHeight="false" outlineLevel="0" collapsed="false">
      <c r="A552" s="12"/>
      <c r="B552" s="13"/>
      <c r="C552" s="14"/>
      <c r="D552" s="14"/>
      <c r="E552" s="15"/>
      <c r="F552" s="13"/>
      <c r="G552" s="16" t="str">
        <f aca="false">IF(OR(B552="",E552=""),"",E552*IFERROR(INDEX(Müşteriler!$B$5:$B$54,MATCH(B552,Müşteriler!$A$5:$A$54,0)),0))</f>
        <v/>
      </c>
    </row>
    <row r="553" customFormat="false" ht="15" hidden="false" customHeight="false" outlineLevel="0" collapsed="false">
      <c r="A553" s="12"/>
      <c r="B553" s="13"/>
      <c r="C553" s="14"/>
      <c r="D553" s="14"/>
      <c r="E553" s="15"/>
      <c r="F553" s="13"/>
      <c r="G553" s="16" t="str">
        <f aca="false">IF(OR(B553="",E553=""),"",E553*IFERROR(INDEX(Müşteriler!$B$5:$B$54,MATCH(B553,Müşteriler!$A$5:$A$54,0)),0))</f>
        <v/>
      </c>
    </row>
    <row r="554" customFormat="false" ht="15" hidden="false" customHeight="false" outlineLevel="0" collapsed="false">
      <c r="A554" s="12"/>
      <c r="B554" s="13"/>
      <c r="C554" s="14"/>
      <c r="D554" s="14"/>
      <c r="E554" s="15"/>
      <c r="F554" s="13"/>
      <c r="G554" s="16" t="str">
        <f aca="false">IF(OR(B554="",E554=""),"",E554*IFERROR(INDEX(Müşteriler!$B$5:$B$54,MATCH(B554,Müşteriler!$A$5:$A$54,0)),0))</f>
        <v/>
      </c>
    </row>
    <row r="555" customFormat="false" ht="15" hidden="false" customHeight="false" outlineLevel="0" collapsed="false">
      <c r="A555" s="12"/>
      <c r="B555" s="13"/>
      <c r="C555" s="14"/>
      <c r="D555" s="14"/>
      <c r="E555" s="15"/>
      <c r="F555" s="13"/>
      <c r="G555" s="16" t="str">
        <f aca="false">IF(OR(B555="",E555=""),"",E555*IFERROR(INDEX(Müşteriler!$B$5:$B$54,MATCH(B555,Müşteriler!$A$5:$A$54,0)),0))</f>
        <v/>
      </c>
    </row>
    <row r="556" customFormat="false" ht="15" hidden="false" customHeight="false" outlineLevel="0" collapsed="false">
      <c r="A556" s="12"/>
      <c r="B556" s="13"/>
      <c r="C556" s="14"/>
      <c r="D556" s="14"/>
      <c r="E556" s="15"/>
      <c r="F556" s="13"/>
      <c r="G556" s="16" t="str">
        <f aca="false">IF(OR(B556="",E556=""),"",E556*IFERROR(INDEX(Müşteriler!$B$5:$B$54,MATCH(B556,Müşteriler!$A$5:$A$54,0)),0))</f>
        <v/>
      </c>
    </row>
    <row r="557" customFormat="false" ht="15" hidden="false" customHeight="false" outlineLevel="0" collapsed="false">
      <c r="A557" s="12"/>
      <c r="B557" s="13"/>
      <c r="C557" s="14"/>
      <c r="D557" s="14"/>
      <c r="E557" s="15"/>
      <c r="F557" s="13"/>
      <c r="G557" s="16" t="str">
        <f aca="false">IF(OR(B557="",E557=""),"",E557*IFERROR(INDEX(Müşteriler!$B$5:$B$54,MATCH(B557,Müşteriler!$A$5:$A$54,0)),0))</f>
        <v/>
      </c>
    </row>
    <row r="558" customFormat="false" ht="15" hidden="false" customHeight="false" outlineLevel="0" collapsed="false">
      <c r="A558" s="12"/>
      <c r="B558" s="13"/>
      <c r="C558" s="14"/>
      <c r="D558" s="14"/>
      <c r="E558" s="15"/>
      <c r="F558" s="13"/>
      <c r="G558" s="16" t="str">
        <f aca="false">IF(OR(B558="",E558=""),"",E558*IFERROR(INDEX(Müşteriler!$B$5:$B$54,MATCH(B558,Müşteriler!$A$5:$A$54,0)),0))</f>
        <v/>
      </c>
    </row>
    <row r="559" customFormat="false" ht="15" hidden="false" customHeight="false" outlineLevel="0" collapsed="false">
      <c r="A559" s="12"/>
      <c r="B559" s="13"/>
      <c r="C559" s="14"/>
      <c r="D559" s="14"/>
      <c r="E559" s="15"/>
      <c r="F559" s="13"/>
      <c r="G559" s="16" t="str">
        <f aca="false">IF(OR(B559="",E559=""),"",E559*IFERROR(INDEX(Müşteriler!$B$5:$B$54,MATCH(B559,Müşteriler!$A$5:$A$54,0)),0))</f>
        <v/>
      </c>
    </row>
    <row r="560" customFormat="false" ht="15" hidden="false" customHeight="false" outlineLevel="0" collapsed="false">
      <c r="A560" s="12"/>
      <c r="B560" s="13"/>
      <c r="C560" s="14"/>
      <c r="D560" s="14"/>
      <c r="E560" s="15"/>
      <c r="F560" s="13"/>
      <c r="G560" s="16" t="str">
        <f aca="false">IF(OR(B560="",E560=""),"",E560*IFERROR(INDEX(Müşteriler!$B$5:$B$54,MATCH(B560,Müşteriler!$A$5:$A$54,0)),0))</f>
        <v/>
      </c>
    </row>
    <row r="561" customFormat="false" ht="15" hidden="false" customHeight="false" outlineLevel="0" collapsed="false">
      <c r="A561" s="12"/>
      <c r="B561" s="13"/>
      <c r="C561" s="14"/>
      <c r="D561" s="14"/>
      <c r="E561" s="15"/>
      <c r="F561" s="13"/>
      <c r="G561" s="16" t="str">
        <f aca="false">IF(OR(B561="",E561=""),"",E561*IFERROR(INDEX(Müşteriler!$B$5:$B$54,MATCH(B561,Müşteriler!$A$5:$A$54,0)),0))</f>
        <v/>
      </c>
    </row>
    <row r="562" customFormat="false" ht="15" hidden="false" customHeight="false" outlineLevel="0" collapsed="false">
      <c r="A562" s="12"/>
      <c r="B562" s="13"/>
      <c r="C562" s="14"/>
      <c r="D562" s="14"/>
      <c r="E562" s="15"/>
      <c r="F562" s="13"/>
      <c r="G562" s="16" t="str">
        <f aca="false">IF(OR(B562="",E562=""),"",E562*IFERROR(INDEX(Müşteriler!$B$5:$B$54,MATCH(B562,Müşteriler!$A$5:$A$54,0)),0))</f>
        <v/>
      </c>
    </row>
    <row r="563" customFormat="false" ht="15" hidden="false" customHeight="false" outlineLevel="0" collapsed="false">
      <c r="A563" s="12"/>
      <c r="B563" s="13"/>
      <c r="C563" s="14"/>
      <c r="D563" s="14"/>
      <c r="E563" s="15"/>
      <c r="F563" s="13"/>
      <c r="G563" s="16" t="str">
        <f aca="false">IF(OR(B563="",E563=""),"",E563*IFERROR(INDEX(Müşteriler!$B$5:$B$54,MATCH(B563,Müşteriler!$A$5:$A$54,0)),0))</f>
        <v/>
      </c>
    </row>
    <row r="564" customFormat="false" ht="15" hidden="false" customHeight="false" outlineLevel="0" collapsed="false">
      <c r="A564" s="12"/>
      <c r="B564" s="13"/>
      <c r="C564" s="14"/>
      <c r="D564" s="14"/>
      <c r="E564" s="15"/>
      <c r="F564" s="13"/>
      <c r="G564" s="16" t="str">
        <f aca="false">IF(OR(B564="",E564=""),"",E564*IFERROR(INDEX(Müşteriler!$B$5:$B$54,MATCH(B564,Müşteriler!$A$5:$A$54,0)),0))</f>
        <v/>
      </c>
    </row>
    <row r="565" customFormat="false" ht="15" hidden="false" customHeight="false" outlineLevel="0" collapsed="false">
      <c r="A565" s="12"/>
      <c r="B565" s="13"/>
      <c r="C565" s="14"/>
      <c r="D565" s="14"/>
      <c r="E565" s="15"/>
      <c r="F565" s="13"/>
      <c r="G565" s="16" t="str">
        <f aca="false">IF(OR(B565="",E565=""),"",E565*IFERROR(INDEX(Müşteriler!$B$5:$B$54,MATCH(B565,Müşteriler!$A$5:$A$54,0)),0))</f>
        <v/>
      </c>
    </row>
    <row r="566" customFormat="false" ht="15" hidden="false" customHeight="false" outlineLevel="0" collapsed="false">
      <c r="A566" s="12"/>
      <c r="B566" s="13"/>
      <c r="C566" s="14"/>
      <c r="D566" s="14"/>
      <c r="E566" s="15"/>
      <c r="F566" s="13"/>
      <c r="G566" s="16" t="str">
        <f aca="false">IF(OR(B566="",E566=""),"",E566*IFERROR(INDEX(Müşteriler!$B$5:$B$54,MATCH(B566,Müşteriler!$A$5:$A$54,0)),0))</f>
        <v/>
      </c>
    </row>
    <row r="567" customFormat="false" ht="15" hidden="false" customHeight="false" outlineLevel="0" collapsed="false">
      <c r="A567" s="12"/>
      <c r="B567" s="13"/>
      <c r="C567" s="14"/>
      <c r="D567" s="14"/>
      <c r="E567" s="15"/>
      <c r="F567" s="13"/>
      <c r="G567" s="16" t="str">
        <f aca="false">IF(OR(B567="",E567=""),"",E567*IFERROR(INDEX(Müşteriler!$B$5:$B$54,MATCH(B567,Müşteriler!$A$5:$A$54,0)),0))</f>
        <v/>
      </c>
    </row>
    <row r="568" customFormat="false" ht="15" hidden="false" customHeight="false" outlineLevel="0" collapsed="false">
      <c r="A568" s="12"/>
      <c r="B568" s="13"/>
      <c r="C568" s="14"/>
      <c r="D568" s="14"/>
      <c r="E568" s="15"/>
      <c r="F568" s="13"/>
      <c r="G568" s="16" t="str">
        <f aca="false">IF(OR(B568="",E568=""),"",E568*IFERROR(INDEX(Müşteriler!$B$5:$B$54,MATCH(B568,Müşteriler!$A$5:$A$54,0)),0))</f>
        <v/>
      </c>
    </row>
    <row r="569" customFormat="false" ht="15" hidden="false" customHeight="false" outlineLevel="0" collapsed="false">
      <c r="A569" s="12"/>
      <c r="B569" s="13"/>
      <c r="C569" s="14"/>
      <c r="D569" s="14"/>
      <c r="E569" s="15"/>
      <c r="F569" s="13"/>
      <c r="G569" s="16" t="str">
        <f aca="false">IF(OR(B569="",E569=""),"",E569*IFERROR(INDEX(Müşteriler!$B$5:$B$54,MATCH(B569,Müşteriler!$A$5:$A$54,0)),0))</f>
        <v/>
      </c>
    </row>
    <row r="570" customFormat="false" ht="15" hidden="false" customHeight="false" outlineLevel="0" collapsed="false">
      <c r="A570" s="12"/>
      <c r="B570" s="13"/>
      <c r="C570" s="14"/>
      <c r="D570" s="14"/>
      <c r="E570" s="15"/>
      <c r="F570" s="13"/>
      <c r="G570" s="16" t="str">
        <f aca="false">IF(OR(B570="",E570=""),"",E570*IFERROR(INDEX(Müşteriler!$B$5:$B$54,MATCH(B570,Müşteriler!$A$5:$A$54,0)),0))</f>
        <v/>
      </c>
    </row>
    <row r="571" customFormat="false" ht="15" hidden="false" customHeight="false" outlineLevel="0" collapsed="false">
      <c r="A571" s="12"/>
      <c r="B571" s="13"/>
      <c r="C571" s="14"/>
      <c r="D571" s="14"/>
      <c r="E571" s="15"/>
      <c r="F571" s="13"/>
      <c r="G571" s="16" t="str">
        <f aca="false">IF(OR(B571="",E571=""),"",E571*IFERROR(INDEX(Müşteriler!$B$5:$B$54,MATCH(B571,Müşteriler!$A$5:$A$54,0)),0))</f>
        <v/>
      </c>
    </row>
    <row r="572" customFormat="false" ht="15" hidden="false" customHeight="false" outlineLevel="0" collapsed="false">
      <c r="A572" s="12"/>
      <c r="B572" s="13"/>
      <c r="C572" s="14"/>
      <c r="D572" s="14"/>
      <c r="E572" s="15"/>
      <c r="F572" s="13"/>
      <c r="G572" s="16" t="str">
        <f aca="false">IF(OR(B572="",E572=""),"",E572*IFERROR(INDEX(Müşteriler!$B$5:$B$54,MATCH(B572,Müşteriler!$A$5:$A$54,0)),0))</f>
        <v/>
      </c>
    </row>
    <row r="573" customFormat="false" ht="15" hidden="false" customHeight="false" outlineLevel="0" collapsed="false">
      <c r="A573" s="12"/>
      <c r="B573" s="13"/>
      <c r="C573" s="14"/>
      <c r="D573" s="14"/>
      <c r="E573" s="15"/>
      <c r="F573" s="13"/>
      <c r="G573" s="16" t="str">
        <f aca="false">IF(OR(B573="",E573=""),"",E573*IFERROR(INDEX(Müşteriler!$B$5:$B$54,MATCH(B573,Müşteriler!$A$5:$A$54,0)),0))</f>
        <v/>
      </c>
    </row>
    <row r="574" customFormat="false" ht="15" hidden="false" customHeight="false" outlineLevel="0" collapsed="false">
      <c r="A574" s="12"/>
      <c r="B574" s="13"/>
      <c r="C574" s="14"/>
      <c r="D574" s="14"/>
      <c r="E574" s="15"/>
      <c r="F574" s="13"/>
      <c r="G574" s="16" t="str">
        <f aca="false">IF(OR(B574="",E574=""),"",E574*IFERROR(INDEX(Müşteriler!$B$5:$B$54,MATCH(B574,Müşteriler!$A$5:$A$54,0)),0))</f>
        <v/>
      </c>
    </row>
    <row r="575" customFormat="false" ht="15" hidden="false" customHeight="false" outlineLevel="0" collapsed="false">
      <c r="A575" s="12"/>
      <c r="B575" s="13"/>
      <c r="C575" s="14"/>
      <c r="D575" s="14"/>
      <c r="E575" s="15"/>
      <c r="F575" s="13"/>
      <c r="G575" s="16" t="str">
        <f aca="false">IF(OR(B575="",E575=""),"",E575*IFERROR(INDEX(Müşteriler!$B$5:$B$54,MATCH(B575,Müşteriler!$A$5:$A$54,0)),0))</f>
        <v/>
      </c>
    </row>
    <row r="576" customFormat="false" ht="15" hidden="false" customHeight="false" outlineLevel="0" collapsed="false">
      <c r="A576" s="12"/>
      <c r="B576" s="13"/>
      <c r="C576" s="14"/>
      <c r="D576" s="14"/>
      <c r="E576" s="15"/>
      <c r="F576" s="13"/>
      <c r="G576" s="16" t="str">
        <f aca="false">IF(OR(B576="",E576=""),"",E576*IFERROR(INDEX(Müşteriler!$B$5:$B$54,MATCH(B576,Müşteriler!$A$5:$A$54,0)),0))</f>
        <v/>
      </c>
    </row>
    <row r="577" customFormat="false" ht="15" hidden="false" customHeight="false" outlineLevel="0" collapsed="false">
      <c r="A577" s="12"/>
      <c r="B577" s="13"/>
      <c r="C577" s="14"/>
      <c r="D577" s="14"/>
      <c r="E577" s="15"/>
      <c r="F577" s="13"/>
      <c r="G577" s="16" t="str">
        <f aca="false">IF(OR(B577="",E577=""),"",E577*IFERROR(INDEX(Müşteriler!$B$5:$B$54,MATCH(B577,Müşteriler!$A$5:$A$54,0)),0))</f>
        <v/>
      </c>
    </row>
    <row r="578" customFormat="false" ht="15" hidden="false" customHeight="false" outlineLevel="0" collapsed="false">
      <c r="A578" s="12"/>
      <c r="B578" s="13"/>
      <c r="C578" s="14"/>
      <c r="D578" s="14"/>
      <c r="E578" s="15"/>
      <c r="F578" s="13"/>
      <c r="G578" s="16" t="str">
        <f aca="false">IF(OR(B578="",E578=""),"",E578*IFERROR(INDEX(Müşteriler!$B$5:$B$54,MATCH(B578,Müşteriler!$A$5:$A$54,0)),0))</f>
        <v/>
      </c>
    </row>
    <row r="579" customFormat="false" ht="15" hidden="false" customHeight="false" outlineLevel="0" collapsed="false">
      <c r="A579" s="12"/>
      <c r="B579" s="13"/>
      <c r="C579" s="14"/>
      <c r="D579" s="14"/>
      <c r="E579" s="15"/>
      <c r="F579" s="13"/>
      <c r="G579" s="16" t="str">
        <f aca="false">IF(OR(B579="",E579=""),"",E579*IFERROR(INDEX(Müşteriler!$B$5:$B$54,MATCH(B579,Müşteriler!$A$5:$A$54,0)),0))</f>
        <v/>
      </c>
    </row>
    <row r="580" customFormat="false" ht="15" hidden="false" customHeight="false" outlineLevel="0" collapsed="false">
      <c r="A580" s="12"/>
      <c r="B580" s="13"/>
      <c r="C580" s="14"/>
      <c r="D580" s="14"/>
      <c r="E580" s="15"/>
      <c r="F580" s="13"/>
      <c r="G580" s="16" t="str">
        <f aca="false">IF(OR(B580="",E580=""),"",E580*IFERROR(INDEX(Müşteriler!$B$5:$B$54,MATCH(B580,Müşteriler!$A$5:$A$54,0)),0))</f>
        <v/>
      </c>
    </row>
    <row r="581" customFormat="false" ht="15" hidden="false" customHeight="false" outlineLevel="0" collapsed="false">
      <c r="A581" s="12"/>
      <c r="B581" s="13"/>
      <c r="C581" s="14"/>
      <c r="D581" s="14"/>
      <c r="E581" s="15"/>
      <c r="F581" s="13"/>
      <c r="G581" s="16" t="str">
        <f aca="false">IF(OR(B581="",E581=""),"",E581*IFERROR(INDEX(Müşteriler!$B$5:$B$54,MATCH(B581,Müşteriler!$A$5:$A$54,0)),0))</f>
        <v/>
      </c>
    </row>
    <row r="582" customFormat="false" ht="15" hidden="false" customHeight="false" outlineLevel="0" collapsed="false">
      <c r="A582" s="12"/>
      <c r="B582" s="13"/>
      <c r="C582" s="14"/>
      <c r="D582" s="14"/>
      <c r="E582" s="15"/>
      <c r="F582" s="13"/>
      <c r="G582" s="16" t="str">
        <f aca="false">IF(OR(B582="",E582=""),"",E582*IFERROR(INDEX(Müşteriler!$B$5:$B$54,MATCH(B582,Müşteriler!$A$5:$A$54,0)),0))</f>
        <v/>
      </c>
    </row>
    <row r="583" customFormat="false" ht="15" hidden="false" customHeight="false" outlineLevel="0" collapsed="false">
      <c r="A583" s="12"/>
      <c r="B583" s="13"/>
      <c r="C583" s="14"/>
      <c r="D583" s="14"/>
      <c r="E583" s="15"/>
      <c r="F583" s="13"/>
      <c r="G583" s="16" t="str">
        <f aca="false">IF(OR(B583="",E583=""),"",E583*IFERROR(INDEX(Müşteriler!$B$5:$B$54,MATCH(B583,Müşteriler!$A$5:$A$54,0)),0))</f>
        <v/>
      </c>
    </row>
    <row r="584" customFormat="false" ht="15" hidden="false" customHeight="false" outlineLevel="0" collapsed="false">
      <c r="A584" s="12"/>
      <c r="B584" s="13"/>
      <c r="C584" s="14"/>
      <c r="D584" s="14"/>
      <c r="E584" s="15"/>
      <c r="F584" s="13"/>
      <c r="G584" s="16" t="str">
        <f aca="false">IF(OR(B584="",E584=""),"",E584*IFERROR(INDEX(Müşteriler!$B$5:$B$54,MATCH(B584,Müşteriler!$A$5:$A$54,0)),0))</f>
        <v/>
      </c>
    </row>
    <row r="585" customFormat="false" ht="15" hidden="false" customHeight="false" outlineLevel="0" collapsed="false">
      <c r="A585" s="12"/>
      <c r="B585" s="13"/>
      <c r="C585" s="14"/>
      <c r="D585" s="14"/>
      <c r="E585" s="15"/>
      <c r="F585" s="13"/>
      <c r="G585" s="16" t="str">
        <f aca="false">IF(OR(B585="",E585=""),"",E585*IFERROR(INDEX(Müşteriler!$B$5:$B$54,MATCH(B585,Müşteriler!$A$5:$A$54,0)),0))</f>
        <v/>
      </c>
    </row>
    <row r="586" customFormat="false" ht="15" hidden="false" customHeight="false" outlineLevel="0" collapsed="false">
      <c r="A586" s="12"/>
      <c r="B586" s="13"/>
      <c r="C586" s="14"/>
      <c r="D586" s="14"/>
      <c r="E586" s="15"/>
      <c r="F586" s="13"/>
      <c r="G586" s="16" t="str">
        <f aca="false">IF(OR(B586="",E586=""),"",E586*IFERROR(INDEX(Müşteriler!$B$5:$B$54,MATCH(B586,Müşteriler!$A$5:$A$54,0)),0))</f>
        <v/>
      </c>
    </row>
    <row r="587" customFormat="false" ht="15" hidden="false" customHeight="false" outlineLevel="0" collapsed="false">
      <c r="A587" s="12"/>
      <c r="B587" s="13"/>
      <c r="C587" s="14"/>
      <c r="D587" s="14"/>
      <c r="E587" s="15"/>
      <c r="F587" s="13"/>
      <c r="G587" s="16" t="str">
        <f aca="false">IF(OR(B587="",E587=""),"",E587*IFERROR(INDEX(Müşteriler!$B$5:$B$54,MATCH(B587,Müşteriler!$A$5:$A$54,0)),0))</f>
        <v/>
      </c>
    </row>
    <row r="588" customFormat="false" ht="15" hidden="false" customHeight="false" outlineLevel="0" collapsed="false">
      <c r="A588" s="12"/>
      <c r="B588" s="13"/>
      <c r="C588" s="14"/>
      <c r="D588" s="14"/>
      <c r="E588" s="15"/>
      <c r="F588" s="13"/>
      <c r="G588" s="16" t="str">
        <f aca="false">IF(OR(B588="",E588=""),"",E588*IFERROR(INDEX(Müşteriler!$B$5:$B$54,MATCH(B588,Müşteriler!$A$5:$A$54,0)),0))</f>
        <v/>
      </c>
    </row>
    <row r="589" customFormat="false" ht="15" hidden="false" customHeight="false" outlineLevel="0" collapsed="false">
      <c r="A589" s="12"/>
      <c r="B589" s="13"/>
      <c r="C589" s="14"/>
      <c r="D589" s="14"/>
      <c r="E589" s="15"/>
      <c r="F589" s="13"/>
      <c r="G589" s="16" t="str">
        <f aca="false">IF(OR(B589="",E589=""),"",E589*IFERROR(INDEX(Müşteriler!$B$5:$B$54,MATCH(B589,Müşteriler!$A$5:$A$54,0)),0))</f>
        <v/>
      </c>
    </row>
    <row r="590" customFormat="false" ht="15" hidden="false" customHeight="false" outlineLevel="0" collapsed="false">
      <c r="A590" s="12"/>
      <c r="B590" s="13"/>
      <c r="C590" s="14"/>
      <c r="D590" s="14"/>
      <c r="E590" s="15"/>
      <c r="F590" s="13"/>
      <c r="G590" s="16" t="str">
        <f aca="false">IF(OR(B590="",E590=""),"",E590*IFERROR(INDEX(Müşteriler!$B$5:$B$54,MATCH(B590,Müşteriler!$A$5:$A$54,0)),0))</f>
        <v/>
      </c>
    </row>
    <row r="591" customFormat="false" ht="15" hidden="false" customHeight="false" outlineLevel="0" collapsed="false">
      <c r="A591" s="12"/>
      <c r="B591" s="13"/>
      <c r="C591" s="14"/>
      <c r="D591" s="14"/>
      <c r="E591" s="15"/>
      <c r="F591" s="13"/>
      <c r="G591" s="16" t="str">
        <f aca="false">IF(OR(B591="",E591=""),"",E591*IFERROR(INDEX(Müşteriler!$B$5:$B$54,MATCH(B591,Müşteriler!$A$5:$A$54,0)),0))</f>
        <v/>
      </c>
    </row>
    <row r="592" customFormat="false" ht="15" hidden="false" customHeight="false" outlineLevel="0" collapsed="false">
      <c r="A592" s="12"/>
      <c r="B592" s="13"/>
      <c r="C592" s="14"/>
      <c r="D592" s="14"/>
      <c r="E592" s="15"/>
      <c r="F592" s="13"/>
      <c r="G592" s="16" t="str">
        <f aca="false">IF(OR(B592="",E592=""),"",E592*IFERROR(INDEX(Müşteriler!$B$5:$B$54,MATCH(B592,Müşteriler!$A$5:$A$54,0)),0))</f>
        <v/>
      </c>
    </row>
    <row r="593" customFormat="false" ht="15" hidden="false" customHeight="false" outlineLevel="0" collapsed="false">
      <c r="A593" s="12"/>
      <c r="B593" s="13"/>
      <c r="C593" s="14"/>
      <c r="D593" s="14"/>
      <c r="E593" s="15"/>
      <c r="F593" s="13"/>
      <c r="G593" s="16" t="str">
        <f aca="false">IF(OR(B593="",E593=""),"",E593*IFERROR(INDEX(Müşteriler!$B$5:$B$54,MATCH(B593,Müşteriler!$A$5:$A$54,0)),0))</f>
        <v/>
      </c>
    </row>
    <row r="594" customFormat="false" ht="15" hidden="false" customHeight="false" outlineLevel="0" collapsed="false">
      <c r="A594" s="12"/>
      <c r="B594" s="13"/>
      <c r="C594" s="14"/>
      <c r="D594" s="14"/>
      <c r="E594" s="15"/>
      <c r="F594" s="13"/>
      <c r="G594" s="16" t="str">
        <f aca="false">IF(OR(B594="",E594=""),"",E594*IFERROR(INDEX(Müşteriler!$B$5:$B$54,MATCH(B594,Müşteriler!$A$5:$A$54,0)),0))</f>
        <v/>
      </c>
    </row>
    <row r="595" customFormat="false" ht="15" hidden="false" customHeight="false" outlineLevel="0" collapsed="false">
      <c r="A595" s="12"/>
      <c r="B595" s="13"/>
      <c r="C595" s="14"/>
      <c r="D595" s="14"/>
      <c r="E595" s="15"/>
      <c r="F595" s="13"/>
      <c r="G595" s="16" t="str">
        <f aca="false">IF(OR(B595="",E595=""),"",E595*IFERROR(INDEX(Müşteriler!$B$5:$B$54,MATCH(B595,Müşteriler!$A$5:$A$54,0)),0))</f>
        <v/>
      </c>
    </row>
    <row r="596" customFormat="false" ht="15" hidden="false" customHeight="false" outlineLevel="0" collapsed="false">
      <c r="A596" s="12"/>
      <c r="B596" s="13"/>
      <c r="C596" s="14"/>
      <c r="D596" s="14"/>
      <c r="E596" s="15"/>
      <c r="F596" s="13"/>
      <c r="G596" s="16" t="str">
        <f aca="false">IF(OR(B596="",E596=""),"",E596*IFERROR(INDEX(Müşteriler!$B$5:$B$54,MATCH(B596,Müşteriler!$A$5:$A$54,0)),0))</f>
        <v/>
      </c>
    </row>
    <row r="597" customFormat="false" ht="15" hidden="false" customHeight="false" outlineLevel="0" collapsed="false">
      <c r="A597" s="12"/>
      <c r="B597" s="13"/>
      <c r="C597" s="14"/>
      <c r="D597" s="14"/>
      <c r="E597" s="15"/>
      <c r="F597" s="13"/>
      <c r="G597" s="16" t="str">
        <f aca="false">IF(OR(B597="",E597=""),"",E597*IFERROR(INDEX(Müşteriler!$B$5:$B$54,MATCH(B597,Müşteriler!$A$5:$A$54,0)),0))</f>
        <v/>
      </c>
    </row>
    <row r="598" customFormat="false" ht="15" hidden="false" customHeight="false" outlineLevel="0" collapsed="false">
      <c r="A598" s="12"/>
      <c r="B598" s="13"/>
      <c r="C598" s="14"/>
      <c r="D598" s="14"/>
      <c r="E598" s="15"/>
      <c r="F598" s="13"/>
      <c r="G598" s="16" t="str">
        <f aca="false">IF(OR(B598="",E598=""),"",E598*IFERROR(INDEX(Müşteriler!$B$5:$B$54,MATCH(B598,Müşteriler!$A$5:$A$54,0)),0))</f>
        <v/>
      </c>
    </row>
    <row r="599" customFormat="false" ht="15" hidden="false" customHeight="false" outlineLevel="0" collapsed="false">
      <c r="A599" s="12"/>
      <c r="B599" s="13"/>
      <c r="C599" s="14"/>
      <c r="D599" s="14"/>
      <c r="E599" s="15"/>
      <c r="F599" s="13"/>
      <c r="G599" s="16" t="str">
        <f aca="false">IF(OR(B599="",E599=""),"",E599*IFERROR(INDEX(Müşteriler!$B$5:$B$54,MATCH(B599,Müşteriler!$A$5:$A$54,0)),0))</f>
        <v/>
      </c>
    </row>
    <row r="600" customFormat="false" ht="15" hidden="false" customHeight="false" outlineLevel="0" collapsed="false">
      <c r="A600" s="12"/>
      <c r="B600" s="13"/>
      <c r="C600" s="14"/>
      <c r="D600" s="14"/>
      <c r="E600" s="15"/>
      <c r="F600" s="13"/>
      <c r="G600" s="16" t="str">
        <f aca="false">IF(OR(B600="",E600=""),"",E600*IFERROR(INDEX(Müşteriler!$B$5:$B$54,MATCH(B600,Müşteriler!$A$5:$A$54,0)),0))</f>
        <v/>
      </c>
    </row>
    <row r="601" customFormat="false" ht="15" hidden="false" customHeight="false" outlineLevel="0" collapsed="false">
      <c r="A601" s="12"/>
      <c r="B601" s="13"/>
      <c r="C601" s="14"/>
      <c r="D601" s="14"/>
      <c r="E601" s="15"/>
      <c r="F601" s="13"/>
      <c r="G601" s="16" t="str">
        <f aca="false">IF(OR(B601="",E601=""),"",E601*IFERROR(INDEX(Müşteriler!$B$5:$B$54,MATCH(B601,Müşteriler!$A$5:$A$54,0)),0))</f>
        <v/>
      </c>
    </row>
    <row r="602" customFormat="false" ht="15" hidden="false" customHeight="false" outlineLevel="0" collapsed="false">
      <c r="A602" s="12"/>
      <c r="B602" s="13"/>
      <c r="C602" s="14"/>
      <c r="D602" s="14"/>
      <c r="E602" s="15"/>
      <c r="F602" s="13"/>
      <c r="G602" s="16" t="str">
        <f aca="false">IF(OR(B602="",E602=""),"",E602*IFERROR(INDEX(Müşteriler!$B$5:$B$54,MATCH(B602,Müşteriler!$A$5:$A$54,0)),0))</f>
        <v/>
      </c>
    </row>
    <row r="603" customFormat="false" ht="15" hidden="false" customHeight="false" outlineLevel="0" collapsed="false">
      <c r="A603" s="12"/>
      <c r="B603" s="13"/>
      <c r="C603" s="14"/>
      <c r="D603" s="14"/>
      <c r="E603" s="15"/>
      <c r="F603" s="13"/>
      <c r="G603" s="16" t="str">
        <f aca="false">IF(OR(B603="",E603=""),"",E603*IFERROR(INDEX(Müşteriler!$B$5:$B$54,MATCH(B603,Müşteriler!$A$5:$A$54,0)),0))</f>
        <v/>
      </c>
    </row>
    <row r="604" customFormat="false" ht="15" hidden="false" customHeight="false" outlineLevel="0" collapsed="false">
      <c r="A604" s="12"/>
      <c r="B604" s="13"/>
      <c r="C604" s="14"/>
      <c r="D604" s="14"/>
      <c r="E604" s="15"/>
      <c r="F604" s="13"/>
      <c r="G604" s="16" t="str">
        <f aca="false">IF(OR(B604="",E604=""),"",E604*IFERROR(INDEX(Müşteriler!$B$5:$B$54,MATCH(B604,Müşteriler!$A$5:$A$54,0)),0))</f>
        <v/>
      </c>
    </row>
    <row r="605" customFormat="false" ht="15" hidden="false" customHeight="false" outlineLevel="0" collapsed="false">
      <c r="A605" s="12"/>
      <c r="B605" s="13"/>
      <c r="C605" s="14"/>
      <c r="D605" s="14"/>
      <c r="E605" s="15"/>
      <c r="F605" s="13"/>
      <c r="G605" s="16" t="str">
        <f aca="false">IF(OR(B605="",E605=""),"",E605*IFERROR(INDEX(Müşteriler!$B$5:$B$54,MATCH(B605,Müşteriler!$A$5:$A$54,0)),0))</f>
        <v/>
      </c>
    </row>
    <row r="606" customFormat="false" ht="15" hidden="false" customHeight="false" outlineLevel="0" collapsed="false">
      <c r="A606" s="12"/>
      <c r="B606" s="13"/>
      <c r="C606" s="14"/>
      <c r="D606" s="14"/>
      <c r="E606" s="15"/>
      <c r="F606" s="13"/>
      <c r="G606" s="16" t="str">
        <f aca="false">IF(OR(B606="",E606=""),"",E606*IFERROR(INDEX(Müşteriler!$B$5:$B$54,MATCH(B606,Müşteriler!$A$5:$A$54,0)),0))</f>
        <v/>
      </c>
    </row>
    <row r="607" customFormat="false" ht="15" hidden="false" customHeight="false" outlineLevel="0" collapsed="false">
      <c r="A607" s="12"/>
      <c r="B607" s="13"/>
      <c r="C607" s="14"/>
      <c r="D607" s="14"/>
      <c r="E607" s="15"/>
      <c r="F607" s="13"/>
      <c r="G607" s="16" t="str">
        <f aca="false">IF(OR(B607="",E607=""),"",E607*IFERROR(INDEX(Müşteriler!$B$5:$B$54,MATCH(B607,Müşteriler!$A$5:$A$54,0)),0))</f>
        <v/>
      </c>
    </row>
    <row r="608" customFormat="false" ht="15" hidden="false" customHeight="false" outlineLevel="0" collapsed="false">
      <c r="A608" s="12"/>
      <c r="B608" s="13"/>
      <c r="C608" s="14"/>
      <c r="D608" s="14"/>
      <c r="E608" s="15"/>
      <c r="F608" s="13"/>
      <c r="G608" s="16" t="str">
        <f aca="false">IF(OR(B608="",E608=""),"",E608*IFERROR(INDEX(Müşteriler!$B$5:$B$54,MATCH(B608,Müşteriler!$A$5:$A$54,0)),0))</f>
        <v/>
      </c>
    </row>
    <row r="609" customFormat="false" ht="15" hidden="false" customHeight="false" outlineLevel="0" collapsed="false">
      <c r="A609" s="12"/>
      <c r="B609" s="13"/>
      <c r="C609" s="14"/>
      <c r="D609" s="14"/>
      <c r="E609" s="15"/>
      <c r="F609" s="13"/>
      <c r="G609" s="16" t="str">
        <f aca="false">IF(OR(B609="",E609=""),"",E609*IFERROR(INDEX(Müşteriler!$B$5:$B$54,MATCH(B609,Müşteriler!$A$5:$A$54,0)),0))</f>
        <v/>
      </c>
    </row>
    <row r="610" customFormat="false" ht="15" hidden="false" customHeight="false" outlineLevel="0" collapsed="false">
      <c r="A610" s="12"/>
      <c r="B610" s="13"/>
      <c r="C610" s="14"/>
      <c r="D610" s="14"/>
      <c r="E610" s="15"/>
      <c r="F610" s="13"/>
      <c r="G610" s="16" t="str">
        <f aca="false">IF(OR(B610="",E610=""),"",E610*IFERROR(INDEX(Müşteriler!$B$5:$B$54,MATCH(B610,Müşteriler!$A$5:$A$54,0)),0))</f>
        <v/>
      </c>
    </row>
    <row r="611" customFormat="false" ht="15" hidden="false" customHeight="false" outlineLevel="0" collapsed="false">
      <c r="A611" s="12"/>
      <c r="B611" s="13"/>
      <c r="C611" s="14"/>
      <c r="D611" s="14"/>
      <c r="E611" s="15"/>
      <c r="F611" s="13"/>
      <c r="G611" s="16" t="str">
        <f aca="false">IF(OR(B611="",E611=""),"",E611*IFERROR(INDEX(Müşteriler!$B$5:$B$54,MATCH(B611,Müşteriler!$A$5:$A$54,0)),0))</f>
        <v/>
      </c>
    </row>
    <row r="612" customFormat="false" ht="15" hidden="false" customHeight="false" outlineLevel="0" collapsed="false">
      <c r="A612" s="12"/>
      <c r="B612" s="13"/>
      <c r="C612" s="14"/>
      <c r="D612" s="14"/>
      <c r="E612" s="15"/>
      <c r="F612" s="13"/>
      <c r="G612" s="16" t="str">
        <f aca="false">IF(OR(B612="",E612=""),"",E612*IFERROR(INDEX(Müşteriler!$B$5:$B$54,MATCH(B612,Müşteriler!$A$5:$A$54,0)),0))</f>
        <v/>
      </c>
    </row>
    <row r="613" customFormat="false" ht="15" hidden="false" customHeight="false" outlineLevel="0" collapsed="false">
      <c r="A613" s="12"/>
      <c r="B613" s="13"/>
      <c r="C613" s="14"/>
      <c r="D613" s="14"/>
      <c r="E613" s="15"/>
      <c r="F613" s="13"/>
      <c r="G613" s="16" t="str">
        <f aca="false">IF(OR(B613="",E613=""),"",E613*IFERROR(INDEX(Müşteriler!$B$5:$B$54,MATCH(B613,Müşteriler!$A$5:$A$54,0)),0))</f>
        <v/>
      </c>
    </row>
    <row r="614" customFormat="false" ht="15" hidden="false" customHeight="false" outlineLevel="0" collapsed="false">
      <c r="A614" s="12"/>
      <c r="B614" s="13"/>
      <c r="C614" s="14"/>
      <c r="D614" s="14"/>
      <c r="E614" s="15"/>
      <c r="F614" s="13"/>
      <c r="G614" s="16" t="str">
        <f aca="false">IF(OR(B614="",E614=""),"",E614*IFERROR(INDEX(Müşteriler!$B$5:$B$54,MATCH(B614,Müşteriler!$A$5:$A$54,0)),0))</f>
        <v/>
      </c>
    </row>
    <row r="615" customFormat="false" ht="15" hidden="false" customHeight="false" outlineLevel="0" collapsed="false">
      <c r="A615" s="12"/>
      <c r="B615" s="13"/>
      <c r="C615" s="14"/>
      <c r="D615" s="14"/>
      <c r="E615" s="15"/>
      <c r="F615" s="13"/>
      <c r="G615" s="16" t="str">
        <f aca="false">IF(OR(B615="",E615=""),"",E615*IFERROR(INDEX(Müşteriler!$B$5:$B$54,MATCH(B615,Müşteriler!$A$5:$A$54,0)),0))</f>
        <v/>
      </c>
    </row>
    <row r="616" customFormat="false" ht="15" hidden="false" customHeight="false" outlineLevel="0" collapsed="false">
      <c r="A616" s="12"/>
      <c r="B616" s="13"/>
      <c r="C616" s="14"/>
      <c r="D616" s="14"/>
      <c r="E616" s="15"/>
      <c r="F616" s="13"/>
      <c r="G616" s="16" t="str">
        <f aca="false">IF(OR(B616="",E616=""),"",E616*IFERROR(INDEX(Müşteriler!$B$5:$B$54,MATCH(B616,Müşteriler!$A$5:$A$54,0)),0))</f>
        <v/>
      </c>
    </row>
    <row r="617" customFormat="false" ht="15" hidden="false" customHeight="false" outlineLevel="0" collapsed="false">
      <c r="A617" s="12"/>
      <c r="B617" s="13"/>
      <c r="C617" s="14"/>
      <c r="D617" s="14"/>
      <c r="E617" s="15"/>
      <c r="F617" s="13"/>
      <c r="G617" s="16" t="str">
        <f aca="false">IF(OR(B617="",E617=""),"",E617*IFERROR(INDEX(Müşteriler!$B$5:$B$54,MATCH(B617,Müşteriler!$A$5:$A$54,0)),0))</f>
        <v/>
      </c>
    </row>
    <row r="618" customFormat="false" ht="15" hidden="false" customHeight="false" outlineLevel="0" collapsed="false">
      <c r="A618" s="12"/>
      <c r="B618" s="13"/>
      <c r="C618" s="14"/>
      <c r="D618" s="14"/>
      <c r="E618" s="15"/>
      <c r="F618" s="13"/>
      <c r="G618" s="16" t="str">
        <f aca="false">IF(OR(B618="",E618=""),"",E618*IFERROR(INDEX(Müşteriler!$B$5:$B$54,MATCH(B618,Müşteriler!$A$5:$A$54,0)),0))</f>
        <v/>
      </c>
    </row>
    <row r="619" customFormat="false" ht="15" hidden="false" customHeight="false" outlineLevel="0" collapsed="false">
      <c r="A619" s="12"/>
      <c r="B619" s="13"/>
      <c r="C619" s="14"/>
      <c r="D619" s="14"/>
      <c r="E619" s="15"/>
      <c r="F619" s="13"/>
      <c r="G619" s="16" t="str">
        <f aca="false">IF(OR(B619="",E619=""),"",E619*IFERROR(INDEX(Müşteriler!$B$5:$B$54,MATCH(B619,Müşteriler!$A$5:$A$54,0)),0))</f>
        <v/>
      </c>
    </row>
    <row r="620" customFormat="false" ht="15" hidden="false" customHeight="false" outlineLevel="0" collapsed="false">
      <c r="A620" s="12"/>
      <c r="B620" s="13"/>
      <c r="C620" s="14"/>
      <c r="D620" s="14"/>
      <c r="E620" s="15"/>
      <c r="F620" s="13"/>
      <c r="G620" s="16" t="str">
        <f aca="false">IF(OR(B620="",E620=""),"",E620*IFERROR(INDEX(Müşteriler!$B$5:$B$54,MATCH(B620,Müşteriler!$A$5:$A$54,0)),0))</f>
        <v/>
      </c>
    </row>
    <row r="621" customFormat="false" ht="15" hidden="false" customHeight="false" outlineLevel="0" collapsed="false">
      <c r="A621" s="12"/>
      <c r="B621" s="13"/>
      <c r="C621" s="14"/>
      <c r="D621" s="14"/>
      <c r="E621" s="15"/>
      <c r="F621" s="13"/>
      <c r="G621" s="16" t="str">
        <f aca="false">IF(OR(B621="",E621=""),"",E621*IFERROR(INDEX(Müşteriler!$B$5:$B$54,MATCH(B621,Müşteriler!$A$5:$A$54,0)),0))</f>
        <v/>
      </c>
    </row>
    <row r="622" customFormat="false" ht="15" hidden="false" customHeight="false" outlineLevel="0" collapsed="false">
      <c r="A622" s="12"/>
      <c r="B622" s="13"/>
      <c r="C622" s="14"/>
      <c r="D622" s="14"/>
      <c r="E622" s="15"/>
      <c r="F622" s="13"/>
      <c r="G622" s="16" t="str">
        <f aca="false">IF(OR(B622="",E622=""),"",E622*IFERROR(INDEX(Müşteriler!$B$5:$B$54,MATCH(B622,Müşteriler!$A$5:$A$54,0)),0))</f>
        <v/>
      </c>
    </row>
    <row r="623" customFormat="false" ht="15" hidden="false" customHeight="false" outlineLevel="0" collapsed="false">
      <c r="A623" s="12"/>
      <c r="B623" s="13"/>
      <c r="C623" s="14"/>
      <c r="D623" s="14"/>
      <c r="E623" s="15"/>
      <c r="F623" s="13"/>
      <c r="G623" s="16" t="str">
        <f aca="false">IF(OR(B623="",E623=""),"",E623*IFERROR(INDEX(Müşteriler!$B$5:$B$54,MATCH(B623,Müşteriler!$A$5:$A$54,0)),0))</f>
        <v/>
      </c>
    </row>
    <row r="624" customFormat="false" ht="15" hidden="false" customHeight="false" outlineLevel="0" collapsed="false">
      <c r="A624" s="12"/>
      <c r="B624" s="13"/>
      <c r="C624" s="14"/>
      <c r="D624" s="14"/>
      <c r="E624" s="15"/>
      <c r="F624" s="13"/>
      <c r="G624" s="16" t="str">
        <f aca="false">IF(OR(B624="",E624=""),"",E624*IFERROR(INDEX(Müşteriler!$B$5:$B$54,MATCH(B624,Müşteriler!$A$5:$A$54,0)),0))</f>
        <v/>
      </c>
    </row>
    <row r="625" customFormat="false" ht="15" hidden="false" customHeight="false" outlineLevel="0" collapsed="false">
      <c r="A625" s="12"/>
      <c r="B625" s="13"/>
      <c r="C625" s="14"/>
      <c r="D625" s="14"/>
      <c r="E625" s="15"/>
      <c r="F625" s="13"/>
      <c r="G625" s="16" t="str">
        <f aca="false">IF(OR(B625="",E625=""),"",E625*IFERROR(INDEX(Müşteriler!$B$5:$B$54,MATCH(B625,Müşteriler!$A$5:$A$54,0)),0))</f>
        <v/>
      </c>
    </row>
    <row r="626" customFormat="false" ht="15" hidden="false" customHeight="false" outlineLevel="0" collapsed="false">
      <c r="A626" s="12"/>
      <c r="B626" s="13"/>
      <c r="C626" s="14"/>
      <c r="D626" s="14"/>
      <c r="E626" s="15"/>
      <c r="F626" s="13"/>
      <c r="G626" s="16" t="str">
        <f aca="false">IF(OR(B626="",E626=""),"",E626*IFERROR(INDEX(Müşteriler!$B$5:$B$54,MATCH(B626,Müşteriler!$A$5:$A$54,0)),0))</f>
        <v/>
      </c>
    </row>
    <row r="627" customFormat="false" ht="15" hidden="false" customHeight="false" outlineLevel="0" collapsed="false">
      <c r="A627" s="12"/>
      <c r="B627" s="13"/>
      <c r="C627" s="14"/>
      <c r="D627" s="14"/>
      <c r="E627" s="15"/>
      <c r="F627" s="13"/>
      <c r="G627" s="16" t="str">
        <f aca="false">IF(OR(B627="",E627=""),"",E627*IFERROR(INDEX(Müşteriler!$B$5:$B$54,MATCH(B627,Müşteriler!$A$5:$A$54,0)),0))</f>
        <v/>
      </c>
    </row>
    <row r="628" customFormat="false" ht="15" hidden="false" customHeight="false" outlineLevel="0" collapsed="false">
      <c r="A628" s="12"/>
      <c r="B628" s="13"/>
      <c r="C628" s="14"/>
      <c r="D628" s="14"/>
      <c r="E628" s="15"/>
      <c r="F628" s="13"/>
      <c r="G628" s="16" t="str">
        <f aca="false">IF(OR(B628="",E628=""),"",E628*IFERROR(INDEX(Müşteriler!$B$5:$B$54,MATCH(B628,Müşteriler!$A$5:$A$54,0)),0))</f>
        <v/>
      </c>
    </row>
    <row r="629" customFormat="false" ht="15" hidden="false" customHeight="false" outlineLevel="0" collapsed="false">
      <c r="A629" s="12"/>
      <c r="B629" s="13"/>
      <c r="C629" s="14"/>
      <c r="D629" s="14"/>
      <c r="E629" s="15"/>
      <c r="F629" s="13"/>
      <c r="G629" s="16" t="str">
        <f aca="false">IF(OR(B629="",E629=""),"",E629*IFERROR(INDEX(Müşteriler!$B$5:$B$54,MATCH(B629,Müşteriler!$A$5:$A$54,0)),0))</f>
        <v/>
      </c>
    </row>
    <row r="630" customFormat="false" ht="15" hidden="false" customHeight="false" outlineLevel="0" collapsed="false">
      <c r="A630" s="12"/>
      <c r="B630" s="13"/>
      <c r="C630" s="14"/>
      <c r="D630" s="14"/>
      <c r="E630" s="15"/>
      <c r="F630" s="13"/>
      <c r="G630" s="16" t="str">
        <f aca="false">IF(OR(B630="",E630=""),"",E630*IFERROR(INDEX(Müşteriler!$B$5:$B$54,MATCH(B630,Müşteriler!$A$5:$A$54,0)),0))</f>
        <v/>
      </c>
    </row>
    <row r="631" customFormat="false" ht="15" hidden="false" customHeight="false" outlineLevel="0" collapsed="false">
      <c r="A631" s="12"/>
      <c r="B631" s="13"/>
      <c r="C631" s="14"/>
      <c r="D631" s="14"/>
      <c r="E631" s="15"/>
      <c r="F631" s="13"/>
      <c r="G631" s="16" t="str">
        <f aca="false">IF(OR(B631="",E631=""),"",E631*IFERROR(INDEX(Müşteriler!$B$5:$B$54,MATCH(B631,Müşteriler!$A$5:$A$54,0)),0))</f>
        <v/>
      </c>
    </row>
    <row r="632" customFormat="false" ht="15" hidden="false" customHeight="false" outlineLevel="0" collapsed="false">
      <c r="A632" s="12"/>
      <c r="B632" s="13"/>
      <c r="C632" s="14"/>
      <c r="D632" s="14"/>
      <c r="E632" s="15"/>
      <c r="F632" s="13"/>
      <c r="G632" s="16" t="str">
        <f aca="false">IF(OR(B632="",E632=""),"",E632*IFERROR(INDEX(Müşteriler!$B$5:$B$54,MATCH(B632,Müşteriler!$A$5:$A$54,0)),0))</f>
        <v/>
      </c>
    </row>
    <row r="633" customFormat="false" ht="15" hidden="false" customHeight="false" outlineLevel="0" collapsed="false">
      <c r="A633" s="12"/>
      <c r="B633" s="13"/>
      <c r="C633" s="14"/>
      <c r="D633" s="14"/>
      <c r="E633" s="15"/>
      <c r="F633" s="13"/>
      <c r="G633" s="16" t="str">
        <f aca="false">IF(OR(B633="",E633=""),"",E633*IFERROR(INDEX(Müşteriler!$B$5:$B$54,MATCH(B633,Müşteriler!$A$5:$A$54,0)),0))</f>
        <v/>
      </c>
    </row>
    <row r="634" customFormat="false" ht="15" hidden="false" customHeight="false" outlineLevel="0" collapsed="false">
      <c r="A634" s="12"/>
      <c r="B634" s="13"/>
      <c r="C634" s="14"/>
      <c r="D634" s="14"/>
      <c r="E634" s="15"/>
      <c r="F634" s="13"/>
      <c r="G634" s="16" t="str">
        <f aca="false">IF(OR(B634="",E634=""),"",E634*IFERROR(INDEX(Müşteriler!$B$5:$B$54,MATCH(B634,Müşteriler!$A$5:$A$54,0)),0))</f>
        <v/>
      </c>
    </row>
    <row r="635" customFormat="false" ht="15" hidden="false" customHeight="false" outlineLevel="0" collapsed="false">
      <c r="A635" s="12"/>
      <c r="B635" s="13"/>
      <c r="C635" s="14"/>
      <c r="D635" s="14"/>
      <c r="E635" s="15"/>
      <c r="F635" s="13"/>
      <c r="G635" s="16" t="str">
        <f aca="false">IF(OR(B635="",E635=""),"",E635*IFERROR(INDEX(Müşteriler!$B$5:$B$54,MATCH(B635,Müşteriler!$A$5:$A$54,0)),0))</f>
        <v/>
      </c>
    </row>
    <row r="636" customFormat="false" ht="15" hidden="false" customHeight="false" outlineLevel="0" collapsed="false">
      <c r="A636" s="12"/>
      <c r="B636" s="13"/>
      <c r="C636" s="14"/>
      <c r="D636" s="14"/>
      <c r="E636" s="15"/>
      <c r="F636" s="13"/>
      <c r="G636" s="16" t="str">
        <f aca="false">IF(OR(B636="",E636=""),"",E636*IFERROR(INDEX(Müşteriler!$B$5:$B$54,MATCH(B636,Müşteriler!$A$5:$A$54,0)),0))</f>
        <v/>
      </c>
    </row>
    <row r="637" customFormat="false" ht="15" hidden="false" customHeight="false" outlineLevel="0" collapsed="false">
      <c r="A637" s="12"/>
      <c r="B637" s="13"/>
      <c r="C637" s="14"/>
      <c r="D637" s="14"/>
      <c r="E637" s="15"/>
      <c r="F637" s="13"/>
      <c r="G637" s="16" t="str">
        <f aca="false">IF(OR(B637="",E637=""),"",E637*IFERROR(INDEX(Müşteriler!$B$5:$B$54,MATCH(B637,Müşteriler!$A$5:$A$54,0)),0))</f>
        <v/>
      </c>
    </row>
    <row r="638" customFormat="false" ht="15" hidden="false" customHeight="false" outlineLevel="0" collapsed="false">
      <c r="A638" s="12"/>
      <c r="B638" s="13"/>
      <c r="C638" s="14"/>
      <c r="D638" s="14"/>
      <c r="E638" s="15"/>
      <c r="F638" s="13"/>
      <c r="G638" s="16" t="str">
        <f aca="false">IF(OR(B638="",E638=""),"",E638*IFERROR(INDEX(Müşteriler!$B$5:$B$54,MATCH(B638,Müşteriler!$A$5:$A$54,0)),0))</f>
        <v/>
      </c>
    </row>
    <row r="639" customFormat="false" ht="15" hidden="false" customHeight="false" outlineLevel="0" collapsed="false">
      <c r="A639" s="12"/>
      <c r="B639" s="13"/>
      <c r="C639" s="14"/>
      <c r="D639" s="14"/>
      <c r="E639" s="15"/>
      <c r="F639" s="13"/>
      <c r="G639" s="16" t="str">
        <f aca="false">IF(OR(B639="",E639=""),"",E639*IFERROR(INDEX(Müşteriler!$B$5:$B$54,MATCH(B639,Müşteriler!$A$5:$A$54,0)),0))</f>
        <v/>
      </c>
    </row>
    <row r="640" customFormat="false" ht="15" hidden="false" customHeight="false" outlineLevel="0" collapsed="false">
      <c r="A640" s="12"/>
      <c r="B640" s="13"/>
      <c r="C640" s="14"/>
      <c r="D640" s="14"/>
      <c r="E640" s="15"/>
      <c r="F640" s="13"/>
      <c r="G640" s="16" t="str">
        <f aca="false">IF(OR(B640="",E640=""),"",E640*IFERROR(INDEX(Müşteriler!$B$5:$B$54,MATCH(B640,Müşteriler!$A$5:$A$54,0)),0))</f>
        <v/>
      </c>
    </row>
    <row r="641" customFormat="false" ht="15" hidden="false" customHeight="false" outlineLevel="0" collapsed="false">
      <c r="A641" s="12"/>
      <c r="B641" s="13"/>
      <c r="C641" s="14"/>
      <c r="D641" s="14"/>
      <c r="E641" s="15"/>
      <c r="F641" s="13"/>
      <c r="G641" s="16" t="str">
        <f aca="false">IF(OR(B641="",E641=""),"",E641*IFERROR(INDEX(Müşteriler!$B$5:$B$54,MATCH(B641,Müşteriler!$A$5:$A$54,0)),0))</f>
        <v/>
      </c>
    </row>
    <row r="642" customFormat="false" ht="15" hidden="false" customHeight="false" outlineLevel="0" collapsed="false">
      <c r="A642" s="12"/>
      <c r="B642" s="13"/>
      <c r="C642" s="14"/>
      <c r="D642" s="14"/>
      <c r="E642" s="15"/>
      <c r="F642" s="13"/>
      <c r="G642" s="16" t="str">
        <f aca="false">IF(OR(B642="",E642=""),"",E642*IFERROR(INDEX(Müşteriler!$B$5:$B$54,MATCH(B642,Müşteriler!$A$5:$A$54,0)),0))</f>
        <v/>
      </c>
    </row>
    <row r="643" customFormat="false" ht="15" hidden="false" customHeight="false" outlineLevel="0" collapsed="false">
      <c r="A643" s="12"/>
      <c r="B643" s="13"/>
      <c r="C643" s="14"/>
      <c r="D643" s="14"/>
      <c r="E643" s="15"/>
      <c r="F643" s="13"/>
      <c r="G643" s="16" t="str">
        <f aca="false">IF(OR(B643="",E643=""),"",E643*IFERROR(INDEX(Müşteriler!$B$5:$B$54,MATCH(B643,Müşteriler!$A$5:$A$54,0)),0))</f>
        <v/>
      </c>
    </row>
    <row r="644" customFormat="false" ht="15" hidden="false" customHeight="false" outlineLevel="0" collapsed="false">
      <c r="A644" s="12"/>
      <c r="B644" s="13"/>
      <c r="C644" s="14"/>
      <c r="D644" s="14"/>
      <c r="E644" s="15"/>
      <c r="F644" s="13"/>
      <c r="G644" s="16" t="str">
        <f aca="false">IF(OR(B644="",E644=""),"",E644*IFERROR(INDEX(Müşteriler!$B$5:$B$54,MATCH(B644,Müşteriler!$A$5:$A$54,0)),0))</f>
        <v/>
      </c>
    </row>
    <row r="645" customFormat="false" ht="15" hidden="false" customHeight="false" outlineLevel="0" collapsed="false">
      <c r="A645" s="12"/>
      <c r="B645" s="13"/>
      <c r="C645" s="14"/>
      <c r="D645" s="14"/>
      <c r="E645" s="15"/>
      <c r="F645" s="13"/>
      <c r="G645" s="16" t="str">
        <f aca="false">IF(OR(B645="",E645=""),"",E645*IFERROR(INDEX(Müşteriler!$B$5:$B$54,MATCH(B645,Müşteriler!$A$5:$A$54,0)),0))</f>
        <v/>
      </c>
    </row>
    <row r="646" customFormat="false" ht="15" hidden="false" customHeight="false" outlineLevel="0" collapsed="false">
      <c r="A646" s="12"/>
      <c r="B646" s="13"/>
      <c r="C646" s="14"/>
      <c r="D646" s="14"/>
      <c r="E646" s="15"/>
      <c r="F646" s="13"/>
      <c r="G646" s="16" t="str">
        <f aca="false">IF(OR(B646="",E646=""),"",E646*IFERROR(INDEX(Müşteriler!$B$5:$B$54,MATCH(B646,Müşteriler!$A$5:$A$54,0)),0))</f>
        <v/>
      </c>
    </row>
    <row r="647" customFormat="false" ht="15" hidden="false" customHeight="false" outlineLevel="0" collapsed="false">
      <c r="A647" s="12"/>
      <c r="B647" s="13"/>
      <c r="C647" s="14"/>
      <c r="D647" s="14"/>
      <c r="E647" s="15"/>
      <c r="F647" s="13"/>
      <c r="G647" s="16" t="str">
        <f aca="false">IF(OR(B647="",E647=""),"",E647*IFERROR(INDEX(Müşteriler!$B$5:$B$54,MATCH(B647,Müşteriler!$A$5:$A$54,0)),0))</f>
        <v/>
      </c>
    </row>
    <row r="648" customFormat="false" ht="15" hidden="false" customHeight="false" outlineLevel="0" collapsed="false">
      <c r="A648" s="12"/>
      <c r="B648" s="13"/>
      <c r="C648" s="14"/>
      <c r="D648" s="14"/>
      <c r="E648" s="15"/>
      <c r="F648" s="13"/>
      <c r="G648" s="16" t="str">
        <f aca="false">IF(OR(B648="",E648=""),"",E648*IFERROR(INDEX(Müşteriler!$B$5:$B$54,MATCH(B648,Müşteriler!$A$5:$A$54,0)),0))</f>
        <v/>
      </c>
    </row>
    <row r="649" customFormat="false" ht="15" hidden="false" customHeight="false" outlineLevel="0" collapsed="false">
      <c r="A649" s="12"/>
      <c r="B649" s="13"/>
      <c r="C649" s="14"/>
      <c r="D649" s="14"/>
      <c r="E649" s="15"/>
      <c r="F649" s="13"/>
      <c r="G649" s="16" t="str">
        <f aca="false">IF(OR(B649="",E649=""),"",E649*IFERROR(INDEX(Müşteriler!$B$5:$B$54,MATCH(B649,Müşteriler!$A$5:$A$54,0)),0))</f>
        <v/>
      </c>
    </row>
    <row r="650" customFormat="false" ht="15" hidden="false" customHeight="false" outlineLevel="0" collapsed="false">
      <c r="A650" s="12"/>
      <c r="B650" s="13"/>
      <c r="C650" s="14"/>
      <c r="D650" s="14"/>
      <c r="E650" s="15"/>
      <c r="F650" s="13"/>
      <c r="G650" s="16" t="str">
        <f aca="false">IF(OR(B650="",E650=""),"",E650*IFERROR(INDEX(Müşteriler!$B$5:$B$54,MATCH(B650,Müşteriler!$A$5:$A$54,0)),0))</f>
        <v/>
      </c>
    </row>
    <row r="651" customFormat="false" ht="15" hidden="false" customHeight="false" outlineLevel="0" collapsed="false">
      <c r="A651" s="12"/>
      <c r="B651" s="13"/>
      <c r="C651" s="14"/>
      <c r="D651" s="14"/>
      <c r="E651" s="15"/>
      <c r="F651" s="13"/>
      <c r="G651" s="16" t="str">
        <f aca="false">IF(OR(B651="",E651=""),"",E651*IFERROR(INDEX(Müşteriler!$B$5:$B$54,MATCH(B651,Müşteriler!$A$5:$A$54,0)),0))</f>
        <v/>
      </c>
    </row>
    <row r="652" customFormat="false" ht="15" hidden="false" customHeight="false" outlineLevel="0" collapsed="false">
      <c r="A652" s="12"/>
      <c r="B652" s="13"/>
      <c r="C652" s="14"/>
      <c r="D652" s="14"/>
      <c r="E652" s="15"/>
      <c r="F652" s="13"/>
      <c r="G652" s="16" t="str">
        <f aca="false">IF(OR(B652="",E652=""),"",E652*IFERROR(INDEX(Müşteriler!$B$5:$B$54,MATCH(B652,Müşteriler!$A$5:$A$54,0)),0))</f>
        <v/>
      </c>
    </row>
    <row r="653" customFormat="false" ht="15" hidden="false" customHeight="false" outlineLevel="0" collapsed="false">
      <c r="A653" s="12"/>
      <c r="B653" s="13"/>
      <c r="C653" s="14"/>
      <c r="D653" s="14"/>
      <c r="E653" s="15"/>
      <c r="F653" s="13"/>
      <c r="G653" s="16" t="str">
        <f aca="false">IF(OR(B653="",E653=""),"",E653*IFERROR(INDEX(Müşteriler!$B$5:$B$54,MATCH(B653,Müşteriler!$A$5:$A$54,0)),0))</f>
        <v/>
      </c>
    </row>
    <row r="654" customFormat="false" ht="15" hidden="false" customHeight="false" outlineLevel="0" collapsed="false">
      <c r="A654" s="12"/>
      <c r="B654" s="13"/>
      <c r="C654" s="14"/>
      <c r="D654" s="14"/>
      <c r="E654" s="15"/>
      <c r="F654" s="13"/>
      <c r="G654" s="16" t="str">
        <f aca="false">IF(OR(B654="",E654=""),"",E654*IFERROR(INDEX(Müşteriler!$B$5:$B$54,MATCH(B654,Müşteriler!$A$5:$A$54,0)),0))</f>
        <v/>
      </c>
    </row>
    <row r="655" customFormat="false" ht="15" hidden="false" customHeight="false" outlineLevel="0" collapsed="false">
      <c r="A655" s="12"/>
      <c r="B655" s="13"/>
      <c r="C655" s="14"/>
      <c r="D655" s="14"/>
      <c r="E655" s="15"/>
      <c r="F655" s="13"/>
      <c r="G655" s="16" t="str">
        <f aca="false">IF(OR(B655="",E655=""),"",E655*IFERROR(INDEX(Müşteriler!$B$5:$B$54,MATCH(B655,Müşteriler!$A$5:$A$54,0)),0))</f>
        <v/>
      </c>
    </row>
    <row r="656" customFormat="false" ht="15" hidden="false" customHeight="false" outlineLevel="0" collapsed="false">
      <c r="A656" s="12"/>
      <c r="B656" s="13"/>
      <c r="C656" s="14"/>
      <c r="D656" s="14"/>
      <c r="E656" s="15"/>
      <c r="F656" s="13"/>
      <c r="G656" s="16" t="str">
        <f aca="false">IF(OR(B656="",E656=""),"",E656*IFERROR(INDEX(Müşteriler!$B$5:$B$54,MATCH(B656,Müşteriler!$A$5:$A$54,0)),0))</f>
        <v/>
      </c>
    </row>
    <row r="657" customFormat="false" ht="15" hidden="false" customHeight="false" outlineLevel="0" collapsed="false">
      <c r="A657" s="12"/>
      <c r="B657" s="13"/>
      <c r="C657" s="14"/>
      <c r="D657" s="14"/>
      <c r="E657" s="15"/>
      <c r="F657" s="13"/>
      <c r="G657" s="16" t="str">
        <f aca="false">IF(OR(B657="",E657=""),"",E657*IFERROR(INDEX(Müşteriler!$B$5:$B$54,MATCH(B657,Müşteriler!$A$5:$A$54,0)),0))</f>
        <v/>
      </c>
    </row>
    <row r="658" customFormat="false" ht="15" hidden="false" customHeight="false" outlineLevel="0" collapsed="false">
      <c r="A658" s="12"/>
      <c r="B658" s="13"/>
      <c r="C658" s="14"/>
      <c r="D658" s="14"/>
      <c r="E658" s="15"/>
      <c r="F658" s="13"/>
      <c r="G658" s="16" t="str">
        <f aca="false">IF(OR(B658="",E658=""),"",E658*IFERROR(INDEX(Müşteriler!$B$5:$B$54,MATCH(B658,Müşteriler!$A$5:$A$54,0)),0))</f>
        <v/>
      </c>
    </row>
    <row r="659" customFormat="false" ht="15" hidden="false" customHeight="false" outlineLevel="0" collapsed="false">
      <c r="A659" s="12"/>
      <c r="B659" s="13"/>
      <c r="C659" s="14"/>
      <c r="D659" s="14"/>
      <c r="E659" s="15"/>
      <c r="F659" s="13"/>
      <c r="G659" s="16" t="str">
        <f aca="false">IF(OR(B659="",E659=""),"",E659*IFERROR(INDEX(Müşteriler!$B$5:$B$54,MATCH(B659,Müşteriler!$A$5:$A$54,0)),0))</f>
        <v/>
      </c>
    </row>
    <row r="660" customFormat="false" ht="15" hidden="false" customHeight="false" outlineLevel="0" collapsed="false">
      <c r="A660" s="12"/>
      <c r="B660" s="13"/>
      <c r="C660" s="14"/>
      <c r="D660" s="14"/>
      <c r="E660" s="15"/>
      <c r="F660" s="13"/>
      <c r="G660" s="16" t="str">
        <f aca="false">IF(OR(B660="",E660=""),"",E660*IFERROR(INDEX(Müşteriler!$B$5:$B$54,MATCH(B660,Müşteriler!$A$5:$A$54,0)),0))</f>
        <v/>
      </c>
    </row>
    <row r="661" customFormat="false" ht="15" hidden="false" customHeight="false" outlineLevel="0" collapsed="false">
      <c r="A661" s="12"/>
      <c r="B661" s="13"/>
      <c r="C661" s="14"/>
      <c r="D661" s="14"/>
      <c r="E661" s="15"/>
      <c r="F661" s="13"/>
      <c r="G661" s="16" t="str">
        <f aca="false">IF(OR(B661="",E661=""),"",E661*IFERROR(INDEX(Müşteriler!$B$5:$B$54,MATCH(B661,Müşteriler!$A$5:$A$54,0)),0))</f>
        <v/>
      </c>
    </row>
    <row r="662" customFormat="false" ht="15" hidden="false" customHeight="false" outlineLevel="0" collapsed="false">
      <c r="A662" s="12"/>
      <c r="B662" s="13"/>
      <c r="C662" s="14"/>
      <c r="D662" s="14"/>
      <c r="E662" s="15"/>
      <c r="F662" s="13"/>
      <c r="G662" s="16" t="str">
        <f aca="false">IF(OR(B662="",E662=""),"",E662*IFERROR(INDEX(Müşteriler!$B$5:$B$54,MATCH(B662,Müşteriler!$A$5:$A$54,0)),0))</f>
        <v/>
      </c>
    </row>
    <row r="663" customFormat="false" ht="15" hidden="false" customHeight="false" outlineLevel="0" collapsed="false">
      <c r="A663" s="12"/>
      <c r="B663" s="13"/>
      <c r="C663" s="14"/>
      <c r="D663" s="14"/>
      <c r="E663" s="15"/>
      <c r="F663" s="13"/>
      <c r="G663" s="16" t="str">
        <f aca="false">IF(OR(B663="",E663=""),"",E663*IFERROR(INDEX(Müşteriler!$B$5:$B$54,MATCH(B663,Müşteriler!$A$5:$A$54,0)),0))</f>
        <v/>
      </c>
    </row>
    <row r="664" customFormat="false" ht="15" hidden="false" customHeight="false" outlineLevel="0" collapsed="false">
      <c r="A664" s="12"/>
      <c r="B664" s="13"/>
      <c r="C664" s="14"/>
      <c r="D664" s="14"/>
      <c r="E664" s="15"/>
      <c r="F664" s="13"/>
      <c r="G664" s="16" t="str">
        <f aca="false">IF(OR(B664="",E664=""),"",E664*IFERROR(INDEX(Müşteriler!$B$5:$B$54,MATCH(B664,Müşteriler!$A$5:$A$54,0)),0))</f>
        <v/>
      </c>
    </row>
    <row r="665" customFormat="false" ht="15" hidden="false" customHeight="false" outlineLevel="0" collapsed="false">
      <c r="A665" s="12"/>
      <c r="B665" s="13"/>
      <c r="C665" s="14"/>
      <c r="D665" s="14"/>
      <c r="E665" s="15"/>
      <c r="F665" s="13"/>
      <c r="G665" s="16" t="str">
        <f aca="false">IF(OR(B665="",E665=""),"",E665*IFERROR(INDEX(Müşteriler!$B$5:$B$54,MATCH(B665,Müşteriler!$A$5:$A$54,0)),0))</f>
        <v/>
      </c>
    </row>
    <row r="666" customFormat="false" ht="15" hidden="false" customHeight="false" outlineLevel="0" collapsed="false">
      <c r="A666" s="12"/>
      <c r="B666" s="13"/>
      <c r="C666" s="14"/>
      <c r="D666" s="14"/>
      <c r="E666" s="15"/>
      <c r="F666" s="13"/>
      <c r="G666" s="16" t="str">
        <f aca="false">IF(OR(B666="",E666=""),"",E666*IFERROR(INDEX(Müşteriler!$B$5:$B$54,MATCH(B666,Müşteriler!$A$5:$A$54,0)),0))</f>
        <v/>
      </c>
    </row>
    <row r="667" customFormat="false" ht="15" hidden="false" customHeight="false" outlineLevel="0" collapsed="false">
      <c r="A667" s="12"/>
      <c r="B667" s="13"/>
      <c r="C667" s="14"/>
      <c r="D667" s="14"/>
      <c r="E667" s="15"/>
      <c r="F667" s="13"/>
      <c r="G667" s="16" t="str">
        <f aca="false">IF(OR(B667="",E667=""),"",E667*IFERROR(INDEX(Müşteriler!$B$5:$B$54,MATCH(B667,Müşteriler!$A$5:$A$54,0)),0))</f>
        <v/>
      </c>
    </row>
    <row r="668" customFormat="false" ht="15" hidden="false" customHeight="false" outlineLevel="0" collapsed="false">
      <c r="A668" s="12"/>
      <c r="B668" s="13"/>
      <c r="C668" s="14"/>
      <c r="D668" s="14"/>
      <c r="E668" s="15"/>
      <c r="F668" s="13"/>
      <c r="G668" s="16" t="str">
        <f aca="false">IF(OR(B668="",E668=""),"",E668*IFERROR(INDEX(Müşteriler!$B$5:$B$54,MATCH(B668,Müşteriler!$A$5:$A$54,0)),0))</f>
        <v/>
      </c>
    </row>
    <row r="669" customFormat="false" ht="15" hidden="false" customHeight="false" outlineLevel="0" collapsed="false">
      <c r="A669" s="12"/>
      <c r="B669" s="13"/>
      <c r="C669" s="14"/>
      <c r="D669" s="14"/>
      <c r="E669" s="15"/>
      <c r="F669" s="13"/>
      <c r="G669" s="16" t="str">
        <f aca="false">IF(OR(B669="",E669=""),"",E669*IFERROR(INDEX(Müşteriler!$B$5:$B$54,MATCH(B669,Müşteriler!$A$5:$A$54,0)),0))</f>
        <v/>
      </c>
    </row>
    <row r="670" customFormat="false" ht="15" hidden="false" customHeight="false" outlineLevel="0" collapsed="false">
      <c r="A670" s="12"/>
      <c r="B670" s="13"/>
      <c r="C670" s="14"/>
      <c r="D670" s="14"/>
      <c r="E670" s="15"/>
      <c r="F670" s="13"/>
      <c r="G670" s="16" t="str">
        <f aca="false">IF(OR(B670="",E670=""),"",E670*IFERROR(INDEX(Müşteriler!$B$5:$B$54,MATCH(B670,Müşteriler!$A$5:$A$54,0)),0))</f>
        <v/>
      </c>
    </row>
    <row r="671" customFormat="false" ht="15" hidden="false" customHeight="false" outlineLevel="0" collapsed="false">
      <c r="A671" s="12"/>
      <c r="B671" s="13"/>
      <c r="C671" s="14"/>
      <c r="D671" s="14"/>
      <c r="E671" s="15"/>
      <c r="F671" s="13"/>
      <c r="G671" s="16" t="str">
        <f aca="false">IF(OR(B671="",E671=""),"",E671*IFERROR(INDEX(Müşteriler!$B$5:$B$54,MATCH(B671,Müşteriler!$A$5:$A$54,0)),0))</f>
        <v/>
      </c>
    </row>
    <row r="672" customFormat="false" ht="15" hidden="false" customHeight="false" outlineLevel="0" collapsed="false">
      <c r="A672" s="12"/>
      <c r="B672" s="13"/>
      <c r="C672" s="14"/>
      <c r="D672" s="14"/>
      <c r="E672" s="15"/>
      <c r="F672" s="13"/>
      <c r="G672" s="16" t="str">
        <f aca="false">IF(OR(B672="",E672=""),"",E672*IFERROR(INDEX(Müşteriler!$B$5:$B$54,MATCH(B672,Müşteriler!$A$5:$A$54,0)),0))</f>
        <v/>
      </c>
    </row>
    <row r="673" customFormat="false" ht="15" hidden="false" customHeight="false" outlineLevel="0" collapsed="false">
      <c r="A673" s="12"/>
      <c r="B673" s="13"/>
      <c r="C673" s="14"/>
      <c r="D673" s="14"/>
      <c r="E673" s="15"/>
      <c r="F673" s="13"/>
      <c r="G673" s="16" t="str">
        <f aca="false">IF(OR(B673="",E673=""),"",E673*IFERROR(INDEX(Müşteriler!$B$5:$B$54,MATCH(B673,Müşteriler!$A$5:$A$54,0)),0))</f>
        <v/>
      </c>
    </row>
    <row r="674" customFormat="false" ht="15" hidden="false" customHeight="false" outlineLevel="0" collapsed="false">
      <c r="A674" s="12"/>
      <c r="B674" s="13"/>
      <c r="C674" s="14"/>
      <c r="D674" s="14"/>
      <c r="E674" s="15"/>
      <c r="F674" s="13"/>
      <c r="G674" s="16" t="str">
        <f aca="false">IF(OR(B674="",E674=""),"",E674*IFERROR(INDEX(Müşteriler!$B$5:$B$54,MATCH(B674,Müşteriler!$A$5:$A$54,0)),0))</f>
        <v/>
      </c>
    </row>
    <row r="675" customFormat="false" ht="15" hidden="false" customHeight="false" outlineLevel="0" collapsed="false">
      <c r="A675" s="12"/>
      <c r="B675" s="13"/>
      <c r="C675" s="14"/>
      <c r="D675" s="14"/>
      <c r="E675" s="15"/>
      <c r="F675" s="13"/>
      <c r="G675" s="16" t="str">
        <f aca="false">IF(OR(B675="",E675=""),"",E675*IFERROR(INDEX(Müşteriler!$B$5:$B$54,MATCH(B675,Müşteriler!$A$5:$A$54,0)),0))</f>
        <v/>
      </c>
    </row>
    <row r="676" customFormat="false" ht="15" hidden="false" customHeight="false" outlineLevel="0" collapsed="false">
      <c r="A676" s="12"/>
      <c r="B676" s="13"/>
      <c r="C676" s="14"/>
      <c r="D676" s="14"/>
      <c r="E676" s="15"/>
      <c r="F676" s="13"/>
      <c r="G676" s="16" t="str">
        <f aca="false">IF(OR(B676="",E676=""),"",E676*IFERROR(INDEX(Müşteriler!$B$5:$B$54,MATCH(B676,Müşteriler!$A$5:$A$54,0)),0))</f>
        <v/>
      </c>
    </row>
    <row r="677" customFormat="false" ht="15" hidden="false" customHeight="false" outlineLevel="0" collapsed="false">
      <c r="A677" s="12"/>
      <c r="B677" s="13"/>
      <c r="C677" s="14"/>
      <c r="D677" s="14"/>
      <c r="E677" s="15"/>
      <c r="F677" s="13"/>
      <c r="G677" s="16" t="str">
        <f aca="false">IF(OR(B677="",E677=""),"",E677*IFERROR(INDEX(Müşteriler!$B$5:$B$54,MATCH(B677,Müşteriler!$A$5:$A$54,0)),0))</f>
        <v/>
      </c>
    </row>
    <row r="678" customFormat="false" ht="15" hidden="false" customHeight="false" outlineLevel="0" collapsed="false">
      <c r="A678" s="12"/>
      <c r="B678" s="13"/>
      <c r="C678" s="14"/>
      <c r="D678" s="14"/>
      <c r="E678" s="15"/>
      <c r="F678" s="13"/>
      <c r="G678" s="16" t="str">
        <f aca="false">IF(OR(B678="",E678=""),"",E678*IFERROR(INDEX(Müşteriler!$B$5:$B$54,MATCH(B678,Müşteriler!$A$5:$A$54,0)),0))</f>
        <v/>
      </c>
    </row>
    <row r="679" customFormat="false" ht="15" hidden="false" customHeight="false" outlineLevel="0" collapsed="false">
      <c r="A679" s="12"/>
      <c r="B679" s="13"/>
      <c r="C679" s="14"/>
      <c r="D679" s="14"/>
      <c r="E679" s="15"/>
      <c r="F679" s="13"/>
      <c r="G679" s="16" t="str">
        <f aca="false">IF(OR(B679="",E679=""),"",E679*IFERROR(INDEX(Müşteriler!$B$5:$B$54,MATCH(B679,Müşteriler!$A$5:$A$54,0)),0))</f>
        <v/>
      </c>
    </row>
    <row r="680" customFormat="false" ht="15" hidden="false" customHeight="false" outlineLevel="0" collapsed="false">
      <c r="A680" s="12"/>
      <c r="B680" s="13"/>
      <c r="C680" s="14"/>
      <c r="D680" s="14"/>
      <c r="E680" s="15"/>
      <c r="F680" s="13"/>
      <c r="G680" s="16" t="str">
        <f aca="false">IF(OR(B680="",E680=""),"",E680*IFERROR(INDEX(Müşteriler!$B$5:$B$54,MATCH(B680,Müşteriler!$A$5:$A$54,0)),0))</f>
        <v/>
      </c>
    </row>
    <row r="681" customFormat="false" ht="15" hidden="false" customHeight="false" outlineLevel="0" collapsed="false">
      <c r="A681" s="12"/>
      <c r="B681" s="13"/>
      <c r="C681" s="14"/>
      <c r="D681" s="14"/>
      <c r="E681" s="15"/>
      <c r="F681" s="13"/>
      <c r="G681" s="16" t="str">
        <f aca="false">IF(OR(B681="",E681=""),"",E681*IFERROR(INDEX(Müşteriler!$B$5:$B$54,MATCH(B681,Müşteriler!$A$5:$A$54,0)),0))</f>
        <v/>
      </c>
    </row>
    <row r="682" customFormat="false" ht="15" hidden="false" customHeight="false" outlineLevel="0" collapsed="false">
      <c r="A682" s="12"/>
      <c r="B682" s="13"/>
      <c r="C682" s="14"/>
      <c r="D682" s="14"/>
      <c r="E682" s="15"/>
      <c r="F682" s="13"/>
      <c r="G682" s="16" t="str">
        <f aca="false">IF(OR(B682="",E682=""),"",E682*IFERROR(INDEX(Müşteriler!$B$5:$B$54,MATCH(B682,Müşteriler!$A$5:$A$54,0)),0))</f>
        <v/>
      </c>
    </row>
    <row r="683" customFormat="false" ht="15" hidden="false" customHeight="false" outlineLevel="0" collapsed="false">
      <c r="A683" s="12"/>
      <c r="B683" s="13"/>
      <c r="C683" s="14"/>
      <c r="D683" s="14"/>
      <c r="E683" s="15"/>
      <c r="F683" s="13"/>
      <c r="G683" s="16" t="str">
        <f aca="false">IF(OR(B683="",E683=""),"",E683*IFERROR(INDEX(Müşteriler!$B$5:$B$54,MATCH(B683,Müşteriler!$A$5:$A$54,0)),0))</f>
        <v/>
      </c>
    </row>
    <row r="684" customFormat="false" ht="15" hidden="false" customHeight="false" outlineLevel="0" collapsed="false">
      <c r="A684" s="12"/>
      <c r="B684" s="13"/>
      <c r="C684" s="14"/>
      <c r="D684" s="14"/>
      <c r="E684" s="15"/>
      <c r="F684" s="13"/>
      <c r="G684" s="16" t="str">
        <f aca="false">IF(OR(B684="",E684=""),"",E684*IFERROR(INDEX(Müşteriler!$B$5:$B$54,MATCH(B684,Müşteriler!$A$5:$A$54,0)),0))</f>
        <v/>
      </c>
    </row>
    <row r="685" customFormat="false" ht="15" hidden="false" customHeight="false" outlineLevel="0" collapsed="false">
      <c r="A685" s="12"/>
      <c r="B685" s="13"/>
      <c r="C685" s="14"/>
      <c r="D685" s="14"/>
      <c r="E685" s="15"/>
      <c r="F685" s="13"/>
      <c r="G685" s="16" t="str">
        <f aca="false">IF(OR(B685="",E685=""),"",E685*IFERROR(INDEX(Müşteriler!$B$5:$B$54,MATCH(B685,Müşteriler!$A$5:$A$54,0)),0))</f>
        <v/>
      </c>
    </row>
    <row r="686" customFormat="false" ht="15" hidden="false" customHeight="false" outlineLevel="0" collapsed="false">
      <c r="A686" s="12"/>
      <c r="B686" s="13"/>
      <c r="C686" s="14"/>
      <c r="D686" s="14"/>
      <c r="E686" s="15"/>
      <c r="F686" s="13"/>
      <c r="G686" s="16" t="str">
        <f aca="false">IF(OR(B686="",E686=""),"",E686*IFERROR(INDEX(Müşteriler!$B$5:$B$54,MATCH(B686,Müşteriler!$A$5:$A$54,0)),0))</f>
        <v/>
      </c>
    </row>
    <row r="687" customFormat="false" ht="15" hidden="false" customHeight="false" outlineLevel="0" collapsed="false">
      <c r="A687" s="12"/>
      <c r="B687" s="13"/>
      <c r="C687" s="14"/>
      <c r="D687" s="14"/>
      <c r="E687" s="15"/>
      <c r="F687" s="13"/>
      <c r="G687" s="16" t="str">
        <f aca="false">IF(OR(B687="",E687=""),"",E687*IFERROR(INDEX(Müşteriler!$B$5:$B$54,MATCH(B687,Müşteriler!$A$5:$A$54,0)),0))</f>
        <v/>
      </c>
    </row>
    <row r="688" customFormat="false" ht="15" hidden="false" customHeight="false" outlineLevel="0" collapsed="false">
      <c r="A688" s="12"/>
      <c r="B688" s="13"/>
      <c r="C688" s="14"/>
      <c r="D688" s="14"/>
      <c r="E688" s="15"/>
      <c r="F688" s="13"/>
      <c r="G688" s="16" t="str">
        <f aca="false">IF(OR(B688="",E688=""),"",E688*IFERROR(INDEX(Müşteriler!$B$5:$B$54,MATCH(B688,Müşteriler!$A$5:$A$54,0)),0))</f>
        <v/>
      </c>
    </row>
    <row r="689" customFormat="false" ht="15" hidden="false" customHeight="false" outlineLevel="0" collapsed="false">
      <c r="A689" s="12"/>
      <c r="B689" s="13"/>
      <c r="C689" s="14"/>
      <c r="D689" s="14"/>
      <c r="E689" s="15"/>
      <c r="F689" s="13"/>
      <c r="G689" s="16" t="str">
        <f aca="false">IF(OR(B689="",E689=""),"",E689*IFERROR(INDEX(Müşteriler!$B$5:$B$54,MATCH(B689,Müşteriler!$A$5:$A$54,0)),0))</f>
        <v/>
      </c>
    </row>
    <row r="690" customFormat="false" ht="15" hidden="false" customHeight="false" outlineLevel="0" collapsed="false">
      <c r="A690" s="12"/>
      <c r="B690" s="13"/>
      <c r="C690" s="14"/>
      <c r="D690" s="14"/>
      <c r="E690" s="15"/>
      <c r="F690" s="13"/>
      <c r="G690" s="16" t="str">
        <f aca="false">IF(OR(B690="",E690=""),"",E690*IFERROR(INDEX(Müşteriler!$B$5:$B$54,MATCH(B690,Müşteriler!$A$5:$A$54,0)),0))</f>
        <v/>
      </c>
    </row>
    <row r="691" customFormat="false" ht="15" hidden="false" customHeight="false" outlineLevel="0" collapsed="false">
      <c r="A691" s="12"/>
      <c r="B691" s="13"/>
      <c r="C691" s="14"/>
      <c r="D691" s="14"/>
      <c r="E691" s="15"/>
      <c r="F691" s="13"/>
      <c r="G691" s="16" t="str">
        <f aca="false">IF(OR(B691="",E691=""),"",E691*IFERROR(INDEX(Müşteriler!$B$5:$B$54,MATCH(B691,Müşteriler!$A$5:$A$54,0)),0))</f>
        <v/>
      </c>
    </row>
    <row r="692" customFormat="false" ht="15" hidden="false" customHeight="false" outlineLevel="0" collapsed="false">
      <c r="A692" s="12"/>
      <c r="B692" s="13"/>
      <c r="C692" s="14"/>
      <c r="D692" s="14"/>
      <c r="E692" s="15"/>
      <c r="F692" s="13"/>
      <c r="G692" s="16" t="str">
        <f aca="false">IF(OR(B692="",E692=""),"",E692*IFERROR(INDEX(Müşteriler!$B$5:$B$54,MATCH(B692,Müşteriler!$A$5:$A$54,0)),0))</f>
        <v/>
      </c>
    </row>
    <row r="693" customFormat="false" ht="15" hidden="false" customHeight="false" outlineLevel="0" collapsed="false">
      <c r="A693" s="12"/>
      <c r="B693" s="13"/>
      <c r="C693" s="14"/>
      <c r="D693" s="14"/>
      <c r="E693" s="15"/>
      <c r="F693" s="13"/>
      <c r="G693" s="16" t="str">
        <f aca="false">IF(OR(B693="",E693=""),"",E693*IFERROR(INDEX(Müşteriler!$B$5:$B$54,MATCH(B693,Müşteriler!$A$5:$A$54,0)),0))</f>
        <v/>
      </c>
    </row>
    <row r="694" customFormat="false" ht="15" hidden="false" customHeight="false" outlineLevel="0" collapsed="false">
      <c r="A694" s="12"/>
      <c r="B694" s="13"/>
      <c r="C694" s="14"/>
      <c r="D694" s="14"/>
      <c r="E694" s="15"/>
      <c r="F694" s="13"/>
      <c r="G694" s="16" t="str">
        <f aca="false">IF(OR(B694="",E694=""),"",E694*IFERROR(INDEX(Müşteriler!$B$5:$B$54,MATCH(B694,Müşteriler!$A$5:$A$54,0)),0))</f>
        <v/>
      </c>
    </row>
    <row r="695" customFormat="false" ht="15" hidden="false" customHeight="false" outlineLevel="0" collapsed="false">
      <c r="A695" s="12"/>
      <c r="B695" s="13"/>
      <c r="C695" s="14"/>
      <c r="D695" s="14"/>
      <c r="E695" s="15"/>
      <c r="F695" s="13"/>
      <c r="G695" s="16" t="str">
        <f aca="false">IF(OR(B695="",E695=""),"",E695*IFERROR(INDEX(Müşteriler!$B$5:$B$54,MATCH(B695,Müşteriler!$A$5:$A$54,0)),0))</f>
        <v/>
      </c>
    </row>
    <row r="696" customFormat="false" ht="15" hidden="false" customHeight="false" outlineLevel="0" collapsed="false">
      <c r="A696" s="12"/>
      <c r="B696" s="13"/>
      <c r="C696" s="14"/>
      <c r="D696" s="14"/>
      <c r="E696" s="15"/>
      <c r="F696" s="13"/>
      <c r="G696" s="16" t="str">
        <f aca="false">IF(OR(B696="",E696=""),"",E696*IFERROR(INDEX(Müşteriler!$B$5:$B$54,MATCH(B696,Müşteriler!$A$5:$A$54,0)),0))</f>
        <v/>
      </c>
    </row>
    <row r="697" customFormat="false" ht="15" hidden="false" customHeight="false" outlineLevel="0" collapsed="false">
      <c r="A697" s="12"/>
      <c r="B697" s="13"/>
      <c r="C697" s="14"/>
      <c r="D697" s="14"/>
      <c r="E697" s="15"/>
      <c r="F697" s="13"/>
      <c r="G697" s="16" t="str">
        <f aca="false">IF(OR(B697="",E697=""),"",E697*IFERROR(INDEX(Müşteriler!$B$5:$B$54,MATCH(B697,Müşteriler!$A$5:$A$54,0)),0))</f>
        <v/>
      </c>
    </row>
    <row r="698" customFormat="false" ht="15" hidden="false" customHeight="false" outlineLevel="0" collapsed="false">
      <c r="A698" s="12"/>
      <c r="B698" s="13"/>
      <c r="C698" s="14"/>
      <c r="D698" s="14"/>
      <c r="E698" s="15"/>
      <c r="F698" s="13"/>
      <c r="G698" s="16" t="str">
        <f aca="false">IF(OR(B698="",E698=""),"",E698*IFERROR(INDEX(Müşteriler!$B$5:$B$54,MATCH(B698,Müşteriler!$A$5:$A$54,0)),0))</f>
        <v/>
      </c>
    </row>
    <row r="699" customFormat="false" ht="15" hidden="false" customHeight="false" outlineLevel="0" collapsed="false">
      <c r="A699" s="12"/>
      <c r="B699" s="13"/>
      <c r="C699" s="14"/>
      <c r="D699" s="14"/>
      <c r="E699" s="15"/>
      <c r="F699" s="13"/>
      <c r="G699" s="16" t="str">
        <f aca="false">IF(OR(B699="",E699=""),"",E699*IFERROR(INDEX(Müşteriler!$B$5:$B$54,MATCH(B699,Müşteriler!$A$5:$A$54,0)),0))</f>
        <v/>
      </c>
    </row>
    <row r="700" customFormat="false" ht="15" hidden="false" customHeight="false" outlineLevel="0" collapsed="false">
      <c r="A700" s="12"/>
      <c r="B700" s="13"/>
      <c r="C700" s="14"/>
      <c r="D700" s="14"/>
      <c r="E700" s="15"/>
      <c r="F700" s="13"/>
      <c r="G700" s="16" t="str">
        <f aca="false">IF(OR(B700="",E700=""),"",E700*IFERROR(INDEX(Müşteriler!$B$5:$B$54,MATCH(B700,Müşteriler!$A$5:$A$54,0)),0))</f>
        <v/>
      </c>
    </row>
    <row r="701" customFormat="false" ht="15" hidden="false" customHeight="false" outlineLevel="0" collapsed="false">
      <c r="A701" s="12"/>
      <c r="B701" s="13"/>
      <c r="C701" s="14"/>
      <c r="D701" s="14"/>
      <c r="E701" s="15"/>
      <c r="F701" s="13"/>
      <c r="G701" s="16" t="str">
        <f aca="false">IF(OR(B701="",E701=""),"",E701*IFERROR(INDEX(Müşteriler!$B$5:$B$54,MATCH(B701,Müşteriler!$A$5:$A$54,0)),0))</f>
        <v/>
      </c>
    </row>
    <row r="702" customFormat="false" ht="15" hidden="false" customHeight="false" outlineLevel="0" collapsed="false">
      <c r="A702" s="12"/>
      <c r="B702" s="13"/>
      <c r="C702" s="14"/>
      <c r="D702" s="14"/>
      <c r="E702" s="15"/>
      <c r="F702" s="13"/>
      <c r="G702" s="16" t="str">
        <f aca="false">IF(OR(B702="",E702=""),"",E702*IFERROR(INDEX(Müşteriler!$B$5:$B$54,MATCH(B702,Müşteriler!$A$5:$A$54,0)),0))</f>
        <v/>
      </c>
    </row>
    <row r="703" customFormat="false" ht="15" hidden="false" customHeight="false" outlineLevel="0" collapsed="false">
      <c r="A703" s="12"/>
      <c r="B703" s="13"/>
      <c r="C703" s="14"/>
      <c r="D703" s="14"/>
      <c r="E703" s="15"/>
      <c r="F703" s="13"/>
      <c r="G703" s="16" t="str">
        <f aca="false">IF(OR(B703="",E703=""),"",E703*IFERROR(INDEX(Müşteriler!$B$5:$B$54,MATCH(B703,Müşteriler!$A$5:$A$54,0)),0))</f>
        <v/>
      </c>
    </row>
    <row r="704" customFormat="false" ht="15" hidden="false" customHeight="false" outlineLevel="0" collapsed="false">
      <c r="A704" s="12"/>
      <c r="B704" s="13"/>
      <c r="C704" s="14"/>
      <c r="D704" s="14"/>
      <c r="E704" s="15"/>
      <c r="F704" s="13"/>
      <c r="G704" s="16" t="str">
        <f aca="false">IF(OR(B704="",E704=""),"",E704*IFERROR(INDEX(Müşteriler!$B$5:$B$54,MATCH(B704,Müşteriler!$A$5:$A$54,0)),0))</f>
        <v/>
      </c>
    </row>
    <row r="705" customFormat="false" ht="15" hidden="false" customHeight="false" outlineLevel="0" collapsed="false">
      <c r="A705" s="12"/>
      <c r="B705" s="13"/>
      <c r="C705" s="14"/>
      <c r="D705" s="14"/>
      <c r="E705" s="15"/>
      <c r="F705" s="13"/>
      <c r="G705" s="16" t="str">
        <f aca="false">IF(OR(B705="",E705=""),"",E705*IFERROR(INDEX(Müşteriler!$B$5:$B$54,MATCH(B705,Müşteriler!$A$5:$A$54,0)),0))</f>
        <v/>
      </c>
    </row>
    <row r="706" customFormat="false" ht="15" hidden="false" customHeight="false" outlineLevel="0" collapsed="false">
      <c r="A706" s="12"/>
      <c r="B706" s="13"/>
      <c r="C706" s="14"/>
      <c r="D706" s="14"/>
      <c r="E706" s="15"/>
      <c r="F706" s="13"/>
      <c r="G706" s="16" t="str">
        <f aca="false">IF(OR(B706="",E706=""),"",E706*IFERROR(INDEX(Müşteriler!$B$5:$B$54,MATCH(B706,Müşteriler!$A$5:$A$54,0)),0))</f>
        <v/>
      </c>
    </row>
    <row r="707" customFormat="false" ht="15" hidden="false" customHeight="false" outlineLevel="0" collapsed="false">
      <c r="A707" s="12"/>
      <c r="B707" s="13"/>
      <c r="C707" s="14"/>
      <c r="D707" s="14"/>
      <c r="E707" s="15"/>
      <c r="F707" s="13"/>
      <c r="G707" s="16" t="str">
        <f aca="false">IF(OR(B707="",E707=""),"",E707*IFERROR(INDEX(Müşteriler!$B$5:$B$54,MATCH(B707,Müşteriler!$A$5:$A$54,0)),0))</f>
        <v/>
      </c>
    </row>
    <row r="708" customFormat="false" ht="15" hidden="false" customHeight="false" outlineLevel="0" collapsed="false">
      <c r="A708" s="12"/>
      <c r="B708" s="13"/>
      <c r="C708" s="14"/>
      <c r="D708" s="14"/>
      <c r="E708" s="15"/>
      <c r="F708" s="13"/>
      <c r="G708" s="16" t="str">
        <f aca="false">IF(OR(B708="",E708=""),"",E708*IFERROR(INDEX(Müşteriler!$B$5:$B$54,MATCH(B708,Müşteriler!$A$5:$A$54,0)),0))</f>
        <v/>
      </c>
    </row>
    <row r="709" customFormat="false" ht="15" hidden="false" customHeight="false" outlineLevel="0" collapsed="false">
      <c r="A709" s="12"/>
      <c r="B709" s="13"/>
      <c r="C709" s="14"/>
      <c r="D709" s="14"/>
      <c r="E709" s="15"/>
      <c r="F709" s="13"/>
      <c r="G709" s="16" t="str">
        <f aca="false">IF(OR(B709="",E709=""),"",E709*IFERROR(INDEX(Müşteriler!$B$5:$B$54,MATCH(B709,Müşteriler!$A$5:$A$54,0)),0))</f>
        <v/>
      </c>
    </row>
    <row r="710" customFormat="false" ht="15" hidden="false" customHeight="false" outlineLevel="0" collapsed="false">
      <c r="A710" s="12"/>
      <c r="B710" s="13"/>
      <c r="C710" s="14"/>
      <c r="D710" s="14"/>
      <c r="E710" s="15"/>
      <c r="F710" s="13"/>
      <c r="G710" s="16" t="str">
        <f aca="false">IF(OR(B710="",E710=""),"",E710*IFERROR(INDEX(Müşteriler!$B$5:$B$54,MATCH(B710,Müşteriler!$A$5:$A$54,0)),0))</f>
        <v/>
      </c>
    </row>
    <row r="711" customFormat="false" ht="15" hidden="false" customHeight="false" outlineLevel="0" collapsed="false">
      <c r="A711" s="12"/>
      <c r="B711" s="13"/>
      <c r="C711" s="14"/>
      <c r="D711" s="14"/>
      <c r="E711" s="15"/>
      <c r="F711" s="13"/>
      <c r="G711" s="16" t="str">
        <f aca="false">IF(OR(B711="",E711=""),"",E711*IFERROR(INDEX(Müşteriler!$B$5:$B$54,MATCH(B711,Müşteriler!$A$5:$A$54,0)),0))</f>
        <v/>
      </c>
    </row>
    <row r="712" customFormat="false" ht="15" hidden="false" customHeight="false" outlineLevel="0" collapsed="false">
      <c r="A712" s="12"/>
      <c r="B712" s="13"/>
      <c r="C712" s="14"/>
      <c r="D712" s="14"/>
      <c r="E712" s="15"/>
      <c r="F712" s="13"/>
      <c r="G712" s="16" t="str">
        <f aca="false">IF(OR(B712="",E712=""),"",E712*IFERROR(INDEX(Müşteriler!$B$5:$B$54,MATCH(B712,Müşteriler!$A$5:$A$54,0)),0))</f>
        <v/>
      </c>
    </row>
    <row r="713" customFormat="false" ht="15" hidden="false" customHeight="false" outlineLevel="0" collapsed="false">
      <c r="A713" s="12"/>
      <c r="B713" s="13"/>
      <c r="C713" s="14"/>
      <c r="D713" s="14"/>
      <c r="E713" s="15"/>
      <c r="F713" s="13"/>
      <c r="G713" s="16" t="str">
        <f aca="false">IF(OR(B713="",E713=""),"",E713*IFERROR(INDEX(Müşteriler!$B$5:$B$54,MATCH(B713,Müşteriler!$A$5:$A$54,0)),0))</f>
        <v/>
      </c>
    </row>
    <row r="714" customFormat="false" ht="15" hidden="false" customHeight="false" outlineLevel="0" collapsed="false">
      <c r="A714" s="12"/>
      <c r="B714" s="13"/>
      <c r="C714" s="14"/>
      <c r="D714" s="14"/>
      <c r="E714" s="15"/>
      <c r="F714" s="13"/>
      <c r="G714" s="16" t="str">
        <f aca="false">IF(OR(B714="",E714=""),"",E714*IFERROR(INDEX(Müşteriler!$B$5:$B$54,MATCH(B714,Müşteriler!$A$5:$A$54,0)),0))</f>
        <v/>
      </c>
    </row>
    <row r="715" customFormat="false" ht="15" hidden="false" customHeight="false" outlineLevel="0" collapsed="false">
      <c r="A715" s="12"/>
      <c r="B715" s="13"/>
      <c r="C715" s="14"/>
      <c r="D715" s="14"/>
      <c r="E715" s="15"/>
      <c r="F715" s="13"/>
      <c r="G715" s="16" t="str">
        <f aca="false">IF(OR(B715="",E715=""),"",E715*IFERROR(INDEX(Müşteriler!$B$5:$B$54,MATCH(B715,Müşteriler!$A$5:$A$54,0)),0))</f>
        <v/>
      </c>
    </row>
    <row r="716" customFormat="false" ht="15" hidden="false" customHeight="false" outlineLevel="0" collapsed="false">
      <c r="A716" s="12"/>
      <c r="B716" s="13"/>
      <c r="C716" s="14"/>
      <c r="D716" s="14"/>
      <c r="E716" s="15"/>
      <c r="F716" s="13"/>
      <c r="G716" s="16" t="str">
        <f aca="false">IF(OR(B716="",E716=""),"",E716*IFERROR(INDEX(Müşteriler!$B$5:$B$54,MATCH(B716,Müşteriler!$A$5:$A$54,0)),0))</f>
        <v/>
      </c>
    </row>
    <row r="717" customFormat="false" ht="15" hidden="false" customHeight="false" outlineLevel="0" collapsed="false">
      <c r="A717" s="12"/>
      <c r="B717" s="13"/>
      <c r="C717" s="14"/>
      <c r="D717" s="14"/>
      <c r="E717" s="15"/>
      <c r="F717" s="13"/>
      <c r="G717" s="16" t="str">
        <f aca="false">IF(OR(B717="",E717=""),"",E717*IFERROR(INDEX(Müşteriler!$B$5:$B$54,MATCH(B717,Müşteriler!$A$5:$A$54,0)),0))</f>
        <v/>
      </c>
    </row>
    <row r="718" customFormat="false" ht="15" hidden="false" customHeight="false" outlineLevel="0" collapsed="false">
      <c r="A718" s="12"/>
      <c r="B718" s="13"/>
      <c r="C718" s="14"/>
      <c r="D718" s="14"/>
      <c r="E718" s="15"/>
      <c r="F718" s="13"/>
      <c r="G718" s="16" t="str">
        <f aca="false">IF(OR(B718="",E718=""),"",E718*IFERROR(INDEX(Müşteriler!$B$5:$B$54,MATCH(B718,Müşteriler!$A$5:$A$54,0)),0))</f>
        <v/>
      </c>
    </row>
    <row r="719" customFormat="false" ht="15" hidden="false" customHeight="false" outlineLevel="0" collapsed="false">
      <c r="A719" s="12"/>
      <c r="B719" s="13"/>
      <c r="C719" s="14"/>
      <c r="D719" s="14"/>
      <c r="E719" s="15"/>
      <c r="F719" s="13"/>
      <c r="G719" s="16" t="str">
        <f aca="false">IF(OR(B719="",E719=""),"",E719*IFERROR(INDEX(Müşteriler!$B$5:$B$54,MATCH(B719,Müşteriler!$A$5:$A$54,0)),0))</f>
        <v/>
      </c>
    </row>
    <row r="720" customFormat="false" ht="15" hidden="false" customHeight="false" outlineLevel="0" collapsed="false">
      <c r="A720" s="12"/>
      <c r="B720" s="13"/>
      <c r="C720" s="14"/>
      <c r="D720" s="14"/>
      <c r="E720" s="15"/>
      <c r="F720" s="13"/>
      <c r="G720" s="16" t="str">
        <f aca="false">IF(OR(B720="",E720=""),"",E720*IFERROR(INDEX(Müşteriler!$B$5:$B$54,MATCH(B720,Müşteriler!$A$5:$A$54,0)),0))</f>
        <v/>
      </c>
    </row>
    <row r="721" customFormat="false" ht="15" hidden="false" customHeight="false" outlineLevel="0" collapsed="false">
      <c r="A721" s="12"/>
      <c r="B721" s="13"/>
      <c r="C721" s="14"/>
      <c r="D721" s="14"/>
      <c r="E721" s="15"/>
      <c r="F721" s="13"/>
      <c r="G721" s="16" t="str">
        <f aca="false">IF(OR(B721="",E721=""),"",E721*IFERROR(INDEX(Müşteriler!$B$5:$B$54,MATCH(B721,Müşteriler!$A$5:$A$54,0)),0))</f>
        <v/>
      </c>
    </row>
    <row r="722" customFormat="false" ht="15" hidden="false" customHeight="false" outlineLevel="0" collapsed="false">
      <c r="A722" s="12"/>
      <c r="B722" s="13"/>
      <c r="C722" s="14"/>
      <c r="D722" s="14"/>
      <c r="E722" s="15"/>
      <c r="F722" s="13"/>
      <c r="G722" s="16" t="str">
        <f aca="false">IF(OR(B722="",E722=""),"",E722*IFERROR(INDEX(Müşteriler!$B$5:$B$54,MATCH(B722,Müşteriler!$A$5:$A$54,0)),0))</f>
        <v/>
      </c>
    </row>
    <row r="723" customFormat="false" ht="15" hidden="false" customHeight="false" outlineLevel="0" collapsed="false">
      <c r="A723" s="12"/>
      <c r="B723" s="13"/>
      <c r="C723" s="14"/>
      <c r="D723" s="14"/>
      <c r="E723" s="15"/>
      <c r="F723" s="13"/>
      <c r="G723" s="16" t="str">
        <f aca="false">IF(OR(B723="",E723=""),"",E723*IFERROR(INDEX(Müşteriler!$B$5:$B$54,MATCH(B723,Müşteriler!$A$5:$A$54,0)),0))</f>
        <v/>
      </c>
    </row>
    <row r="724" customFormat="false" ht="15" hidden="false" customHeight="false" outlineLevel="0" collapsed="false">
      <c r="A724" s="12"/>
      <c r="B724" s="13"/>
      <c r="C724" s="14"/>
      <c r="D724" s="14"/>
      <c r="E724" s="15"/>
      <c r="F724" s="13"/>
      <c r="G724" s="16" t="str">
        <f aca="false">IF(OR(B724="",E724=""),"",E724*IFERROR(INDEX(Müşteriler!$B$5:$B$54,MATCH(B724,Müşteriler!$A$5:$A$54,0)),0))</f>
        <v/>
      </c>
    </row>
    <row r="725" customFormat="false" ht="15" hidden="false" customHeight="false" outlineLevel="0" collapsed="false">
      <c r="A725" s="12"/>
      <c r="B725" s="13"/>
      <c r="C725" s="14"/>
      <c r="D725" s="14"/>
      <c r="E725" s="15"/>
      <c r="F725" s="13"/>
      <c r="G725" s="16" t="str">
        <f aca="false">IF(OR(B725="",E725=""),"",E725*IFERROR(INDEX(Müşteriler!$B$5:$B$54,MATCH(B725,Müşteriler!$A$5:$A$54,0)),0))</f>
        <v/>
      </c>
    </row>
    <row r="726" customFormat="false" ht="15" hidden="false" customHeight="false" outlineLevel="0" collapsed="false">
      <c r="A726" s="12"/>
      <c r="B726" s="13"/>
      <c r="C726" s="14"/>
      <c r="D726" s="14"/>
      <c r="E726" s="15"/>
      <c r="F726" s="13"/>
      <c r="G726" s="16" t="str">
        <f aca="false">IF(OR(B726="",E726=""),"",E726*IFERROR(INDEX(Müşteriler!$B$5:$B$54,MATCH(B726,Müşteriler!$A$5:$A$54,0)),0))</f>
        <v/>
      </c>
    </row>
    <row r="727" customFormat="false" ht="15" hidden="false" customHeight="false" outlineLevel="0" collapsed="false">
      <c r="A727" s="12"/>
      <c r="B727" s="13"/>
      <c r="C727" s="14"/>
      <c r="D727" s="14"/>
      <c r="E727" s="15"/>
      <c r="F727" s="13"/>
      <c r="G727" s="16" t="str">
        <f aca="false">IF(OR(B727="",E727=""),"",E727*IFERROR(INDEX(Müşteriler!$B$5:$B$54,MATCH(B727,Müşteriler!$A$5:$A$54,0)),0))</f>
        <v/>
      </c>
    </row>
    <row r="728" customFormat="false" ht="15" hidden="false" customHeight="false" outlineLevel="0" collapsed="false">
      <c r="A728" s="12"/>
      <c r="B728" s="13"/>
      <c r="C728" s="14"/>
      <c r="D728" s="14"/>
      <c r="E728" s="15"/>
      <c r="F728" s="13"/>
      <c r="G728" s="16" t="str">
        <f aca="false">IF(OR(B728="",E728=""),"",E728*IFERROR(INDEX(Müşteriler!$B$5:$B$54,MATCH(B728,Müşteriler!$A$5:$A$54,0)),0))</f>
        <v/>
      </c>
    </row>
    <row r="729" customFormat="false" ht="15" hidden="false" customHeight="false" outlineLevel="0" collapsed="false">
      <c r="A729" s="12"/>
      <c r="B729" s="13"/>
      <c r="C729" s="14"/>
      <c r="D729" s="14"/>
      <c r="E729" s="15"/>
      <c r="F729" s="13"/>
      <c r="G729" s="16" t="str">
        <f aca="false">IF(OR(B729="",E729=""),"",E729*IFERROR(INDEX(Müşteriler!$B$5:$B$54,MATCH(B729,Müşteriler!$A$5:$A$54,0)),0))</f>
        <v/>
      </c>
    </row>
    <row r="730" customFormat="false" ht="15" hidden="false" customHeight="false" outlineLevel="0" collapsed="false">
      <c r="A730" s="12"/>
      <c r="B730" s="13"/>
      <c r="C730" s="14"/>
      <c r="D730" s="14"/>
      <c r="E730" s="15"/>
      <c r="F730" s="13"/>
      <c r="G730" s="16" t="str">
        <f aca="false">IF(OR(B730="",E730=""),"",E730*IFERROR(INDEX(Müşteriler!$B$5:$B$54,MATCH(B730,Müşteriler!$A$5:$A$54,0)),0))</f>
        <v/>
      </c>
    </row>
    <row r="731" customFormat="false" ht="15" hidden="false" customHeight="false" outlineLevel="0" collapsed="false">
      <c r="A731" s="12"/>
      <c r="B731" s="13"/>
      <c r="C731" s="14"/>
      <c r="D731" s="14"/>
      <c r="E731" s="15"/>
      <c r="F731" s="13"/>
      <c r="G731" s="16" t="str">
        <f aca="false">IF(OR(B731="",E731=""),"",E731*IFERROR(INDEX(Müşteriler!$B$5:$B$54,MATCH(B731,Müşteriler!$A$5:$A$54,0)),0))</f>
        <v/>
      </c>
    </row>
    <row r="732" customFormat="false" ht="15" hidden="false" customHeight="false" outlineLevel="0" collapsed="false">
      <c r="A732" s="12"/>
      <c r="B732" s="13"/>
      <c r="C732" s="14"/>
      <c r="D732" s="14"/>
      <c r="E732" s="15"/>
      <c r="F732" s="13"/>
      <c r="G732" s="16" t="str">
        <f aca="false">IF(OR(B732="",E732=""),"",E732*IFERROR(INDEX(Müşteriler!$B$5:$B$54,MATCH(B732,Müşteriler!$A$5:$A$54,0)),0))</f>
        <v/>
      </c>
    </row>
    <row r="733" customFormat="false" ht="15" hidden="false" customHeight="false" outlineLevel="0" collapsed="false">
      <c r="A733" s="12"/>
      <c r="B733" s="13"/>
      <c r="C733" s="14"/>
      <c r="D733" s="14"/>
      <c r="E733" s="15"/>
      <c r="F733" s="13"/>
      <c r="G733" s="16" t="str">
        <f aca="false">IF(OR(B733="",E733=""),"",E733*IFERROR(INDEX(Müşteriler!$B$5:$B$54,MATCH(B733,Müşteriler!$A$5:$A$54,0)),0))</f>
        <v/>
      </c>
    </row>
    <row r="734" customFormat="false" ht="15" hidden="false" customHeight="false" outlineLevel="0" collapsed="false">
      <c r="A734" s="12"/>
      <c r="B734" s="13"/>
      <c r="C734" s="14"/>
      <c r="D734" s="14"/>
      <c r="E734" s="15"/>
      <c r="F734" s="13"/>
      <c r="G734" s="16" t="str">
        <f aca="false">IF(OR(B734="",E734=""),"",E734*IFERROR(INDEX(Müşteriler!$B$5:$B$54,MATCH(B734,Müşteriler!$A$5:$A$54,0)),0))</f>
        <v/>
      </c>
    </row>
    <row r="735" customFormat="false" ht="15" hidden="false" customHeight="false" outlineLevel="0" collapsed="false">
      <c r="A735" s="12"/>
      <c r="B735" s="13"/>
      <c r="C735" s="14"/>
      <c r="D735" s="14"/>
      <c r="E735" s="15"/>
      <c r="F735" s="13"/>
      <c r="G735" s="16" t="str">
        <f aca="false">IF(OR(B735="",E735=""),"",E735*IFERROR(INDEX(Müşteriler!$B$5:$B$54,MATCH(B735,Müşteriler!$A$5:$A$54,0)),0))</f>
        <v/>
      </c>
    </row>
    <row r="736" customFormat="false" ht="15" hidden="false" customHeight="false" outlineLevel="0" collapsed="false">
      <c r="A736" s="12"/>
      <c r="B736" s="13"/>
      <c r="C736" s="14"/>
      <c r="D736" s="14"/>
      <c r="E736" s="15"/>
      <c r="F736" s="13"/>
      <c r="G736" s="16" t="str">
        <f aca="false">IF(OR(B736="",E736=""),"",E736*IFERROR(INDEX(Müşteriler!$B$5:$B$54,MATCH(B736,Müşteriler!$A$5:$A$54,0)),0))</f>
        <v/>
      </c>
    </row>
    <row r="737" customFormat="false" ht="15" hidden="false" customHeight="false" outlineLevel="0" collapsed="false">
      <c r="A737" s="12"/>
      <c r="B737" s="13"/>
      <c r="C737" s="14"/>
      <c r="D737" s="14"/>
      <c r="E737" s="15"/>
      <c r="F737" s="13"/>
      <c r="G737" s="16" t="str">
        <f aca="false">IF(OR(B737="",E737=""),"",E737*IFERROR(INDEX(Müşteriler!$B$5:$B$54,MATCH(B737,Müşteriler!$A$5:$A$54,0)),0))</f>
        <v/>
      </c>
    </row>
    <row r="738" customFormat="false" ht="15" hidden="false" customHeight="false" outlineLevel="0" collapsed="false">
      <c r="A738" s="12"/>
      <c r="B738" s="13"/>
      <c r="C738" s="14"/>
      <c r="D738" s="14"/>
      <c r="E738" s="15"/>
      <c r="F738" s="13"/>
      <c r="G738" s="16" t="str">
        <f aca="false">IF(OR(B738="",E738=""),"",E738*IFERROR(INDEX(Müşteriler!$B$5:$B$54,MATCH(B738,Müşteriler!$A$5:$A$54,0)),0))</f>
        <v/>
      </c>
    </row>
    <row r="739" customFormat="false" ht="15" hidden="false" customHeight="false" outlineLevel="0" collapsed="false">
      <c r="A739" s="12"/>
      <c r="B739" s="13"/>
      <c r="C739" s="14"/>
      <c r="D739" s="14"/>
      <c r="E739" s="15"/>
      <c r="F739" s="13"/>
      <c r="G739" s="16" t="str">
        <f aca="false">IF(OR(B739="",E739=""),"",E739*IFERROR(INDEX(Müşteriler!$B$5:$B$54,MATCH(B739,Müşteriler!$A$5:$A$54,0)),0))</f>
        <v/>
      </c>
    </row>
    <row r="740" customFormat="false" ht="15" hidden="false" customHeight="false" outlineLevel="0" collapsed="false">
      <c r="A740" s="12"/>
      <c r="B740" s="13"/>
      <c r="C740" s="14"/>
      <c r="D740" s="14"/>
      <c r="E740" s="15"/>
      <c r="F740" s="13"/>
      <c r="G740" s="16" t="str">
        <f aca="false">IF(OR(B740="",E740=""),"",E740*IFERROR(INDEX(Müşteriler!$B$5:$B$54,MATCH(B740,Müşteriler!$A$5:$A$54,0)),0))</f>
        <v/>
      </c>
    </row>
    <row r="741" customFormat="false" ht="15" hidden="false" customHeight="false" outlineLevel="0" collapsed="false">
      <c r="A741" s="12"/>
      <c r="B741" s="13"/>
      <c r="C741" s="14"/>
      <c r="D741" s="14"/>
      <c r="E741" s="15"/>
      <c r="F741" s="13"/>
      <c r="G741" s="16" t="str">
        <f aca="false">IF(OR(B741="",E741=""),"",E741*IFERROR(INDEX(Müşteriler!$B$5:$B$54,MATCH(B741,Müşteriler!$A$5:$A$54,0)),0))</f>
        <v/>
      </c>
    </row>
    <row r="742" customFormat="false" ht="15" hidden="false" customHeight="false" outlineLevel="0" collapsed="false">
      <c r="A742" s="12"/>
      <c r="B742" s="13"/>
      <c r="C742" s="14"/>
      <c r="D742" s="14"/>
      <c r="E742" s="15"/>
      <c r="F742" s="13"/>
      <c r="G742" s="16" t="str">
        <f aca="false">IF(OR(B742="",E742=""),"",E742*IFERROR(INDEX(Müşteriler!$B$5:$B$54,MATCH(B742,Müşteriler!$A$5:$A$54,0)),0))</f>
        <v/>
      </c>
    </row>
    <row r="743" customFormat="false" ht="15" hidden="false" customHeight="false" outlineLevel="0" collapsed="false">
      <c r="A743" s="12"/>
      <c r="B743" s="13"/>
      <c r="C743" s="14"/>
      <c r="D743" s="14"/>
      <c r="E743" s="15"/>
      <c r="F743" s="13"/>
      <c r="G743" s="16" t="str">
        <f aca="false">IF(OR(B743="",E743=""),"",E743*IFERROR(INDEX(Müşteriler!$B$5:$B$54,MATCH(B743,Müşteriler!$A$5:$A$54,0)),0))</f>
        <v/>
      </c>
    </row>
    <row r="744" customFormat="false" ht="15" hidden="false" customHeight="false" outlineLevel="0" collapsed="false">
      <c r="A744" s="12"/>
      <c r="B744" s="13"/>
      <c r="C744" s="14"/>
      <c r="D744" s="14"/>
      <c r="E744" s="15"/>
      <c r="F744" s="13"/>
      <c r="G744" s="16" t="str">
        <f aca="false">IF(OR(B744="",E744=""),"",E744*IFERROR(INDEX(Müşteriler!$B$5:$B$54,MATCH(B744,Müşteriler!$A$5:$A$54,0)),0))</f>
        <v/>
      </c>
    </row>
    <row r="745" customFormat="false" ht="15" hidden="false" customHeight="false" outlineLevel="0" collapsed="false">
      <c r="A745" s="12"/>
      <c r="B745" s="13"/>
      <c r="C745" s="14"/>
      <c r="D745" s="14"/>
      <c r="E745" s="15"/>
      <c r="F745" s="13"/>
      <c r="G745" s="16" t="str">
        <f aca="false">IF(OR(B745="",E745=""),"",E745*IFERROR(INDEX(Müşteriler!$B$5:$B$54,MATCH(B745,Müşteriler!$A$5:$A$54,0)),0))</f>
        <v/>
      </c>
    </row>
    <row r="746" customFormat="false" ht="15" hidden="false" customHeight="false" outlineLevel="0" collapsed="false">
      <c r="A746" s="12"/>
      <c r="B746" s="13"/>
      <c r="C746" s="14"/>
      <c r="D746" s="14"/>
      <c r="E746" s="15"/>
      <c r="F746" s="13"/>
      <c r="G746" s="16" t="str">
        <f aca="false">IF(OR(B746="",E746=""),"",E746*IFERROR(INDEX(Müşteriler!$B$5:$B$54,MATCH(B746,Müşteriler!$A$5:$A$54,0)),0))</f>
        <v/>
      </c>
    </row>
    <row r="747" customFormat="false" ht="15" hidden="false" customHeight="false" outlineLevel="0" collapsed="false">
      <c r="A747" s="12"/>
      <c r="B747" s="13"/>
      <c r="C747" s="14"/>
      <c r="D747" s="14"/>
      <c r="E747" s="15"/>
      <c r="F747" s="13"/>
      <c r="G747" s="16" t="str">
        <f aca="false">IF(OR(B747="",E747=""),"",E747*IFERROR(INDEX(Müşteriler!$B$5:$B$54,MATCH(B747,Müşteriler!$A$5:$A$54,0)),0))</f>
        <v/>
      </c>
    </row>
    <row r="748" customFormat="false" ht="15" hidden="false" customHeight="false" outlineLevel="0" collapsed="false">
      <c r="A748" s="12"/>
      <c r="B748" s="13"/>
      <c r="C748" s="14"/>
      <c r="D748" s="14"/>
      <c r="E748" s="15"/>
      <c r="F748" s="13"/>
      <c r="G748" s="16" t="str">
        <f aca="false">IF(OR(B748="",E748=""),"",E748*IFERROR(INDEX(Müşteriler!$B$5:$B$54,MATCH(B748,Müşteriler!$A$5:$A$54,0)),0))</f>
        <v/>
      </c>
    </row>
    <row r="749" customFormat="false" ht="15" hidden="false" customHeight="false" outlineLevel="0" collapsed="false">
      <c r="A749" s="12"/>
      <c r="B749" s="13"/>
      <c r="C749" s="14"/>
      <c r="D749" s="14"/>
      <c r="E749" s="15"/>
      <c r="F749" s="13"/>
      <c r="G749" s="16" t="str">
        <f aca="false">IF(OR(B749="",E749=""),"",E749*IFERROR(INDEX(Müşteriler!$B$5:$B$54,MATCH(B749,Müşteriler!$A$5:$A$54,0)),0))</f>
        <v/>
      </c>
    </row>
    <row r="750" customFormat="false" ht="15" hidden="false" customHeight="false" outlineLevel="0" collapsed="false">
      <c r="A750" s="12"/>
      <c r="B750" s="13"/>
      <c r="C750" s="14"/>
      <c r="D750" s="14"/>
      <c r="E750" s="15"/>
      <c r="F750" s="13"/>
      <c r="G750" s="16" t="str">
        <f aca="false">IF(OR(B750="",E750=""),"",E750*IFERROR(INDEX(Müşteriler!$B$5:$B$54,MATCH(B750,Müşteriler!$A$5:$A$54,0)),0))</f>
        <v/>
      </c>
    </row>
    <row r="751" customFormat="false" ht="15" hidden="false" customHeight="false" outlineLevel="0" collapsed="false">
      <c r="A751" s="12"/>
      <c r="B751" s="13"/>
      <c r="C751" s="14"/>
      <c r="D751" s="14"/>
      <c r="E751" s="15"/>
      <c r="F751" s="13"/>
      <c r="G751" s="16" t="str">
        <f aca="false">IF(OR(B751="",E751=""),"",E751*IFERROR(INDEX(Müşteriler!$B$5:$B$54,MATCH(B751,Müşteriler!$A$5:$A$54,0)),0))</f>
        <v/>
      </c>
    </row>
    <row r="752" customFormat="false" ht="15" hidden="false" customHeight="false" outlineLevel="0" collapsed="false">
      <c r="A752" s="12"/>
      <c r="B752" s="13"/>
      <c r="C752" s="14"/>
      <c r="D752" s="14"/>
      <c r="E752" s="15"/>
      <c r="F752" s="13"/>
      <c r="G752" s="16" t="str">
        <f aca="false">IF(OR(B752="",E752=""),"",E752*IFERROR(INDEX(Müşteriler!$B$5:$B$54,MATCH(B752,Müşteriler!$A$5:$A$54,0)),0))</f>
        <v/>
      </c>
    </row>
    <row r="753" customFormat="false" ht="15" hidden="false" customHeight="false" outlineLevel="0" collapsed="false">
      <c r="A753" s="12"/>
      <c r="B753" s="13"/>
      <c r="C753" s="14"/>
      <c r="D753" s="14"/>
      <c r="E753" s="15"/>
      <c r="F753" s="13"/>
      <c r="G753" s="16" t="str">
        <f aca="false">IF(OR(B753="",E753=""),"",E753*IFERROR(INDEX(Müşteriler!$B$5:$B$54,MATCH(B753,Müşteriler!$A$5:$A$54,0)),0))</f>
        <v/>
      </c>
    </row>
    <row r="754" customFormat="false" ht="15" hidden="false" customHeight="false" outlineLevel="0" collapsed="false">
      <c r="A754" s="12"/>
      <c r="B754" s="13"/>
      <c r="C754" s="14"/>
      <c r="D754" s="14"/>
      <c r="E754" s="15"/>
      <c r="F754" s="13"/>
      <c r="G754" s="16" t="str">
        <f aca="false">IF(OR(B754="",E754=""),"",E754*IFERROR(INDEX(Müşteriler!$B$5:$B$54,MATCH(B754,Müşteriler!$A$5:$A$54,0)),0))</f>
        <v/>
      </c>
    </row>
    <row r="755" customFormat="false" ht="15" hidden="false" customHeight="false" outlineLevel="0" collapsed="false">
      <c r="A755" s="12"/>
      <c r="B755" s="13"/>
      <c r="C755" s="14"/>
      <c r="D755" s="14"/>
      <c r="E755" s="15"/>
      <c r="F755" s="13"/>
      <c r="G755" s="16" t="str">
        <f aca="false">IF(OR(B755="",E755=""),"",E755*IFERROR(INDEX(Müşteriler!$B$5:$B$54,MATCH(B755,Müşteriler!$A$5:$A$54,0)),0))</f>
        <v/>
      </c>
    </row>
    <row r="756" customFormat="false" ht="15" hidden="false" customHeight="false" outlineLevel="0" collapsed="false">
      <c r="A756" s="12"/>
      <c r="B756" s="13"/>
      <c r="C756" s="14"/>
      <c r="D756" s="14"/>
      <c r="E756" s="15"/>
      <c r="F756" s="13"/>
      <c r="G756" s="16" t="str">
        <f aca="false">IF(OR(B756="",E756=""),"",E756*IFERROR(INDEX(Müşteriler!$B$5:$B$54,MATCH(B756,Müşteriler!$A$5:$A$54,0)),0))</f>
        <v/>
      </c>
    </row>
    <row r="757" customFormat="false" ht="15" hidden="false" customHeight="false" outlineLevel="0" collapsed="false">
      <c r="A757" s="12"/>
      <c r="B757" s="13"/>
      <c r="C757" s="14"/>
      <c r="D757" s="14"/>
      <c r="E757" s="15"/>
      <c r="F757" s="13"/>
      <c r="G757" s="16" t="str">
        <f aca="false">IF(OR(B757="",E757=""),"",E757*IFERROR(INDEX(Müşteriler!$B$5:$B$54,MATCH(B757,Müşteriler!$A$5:$A$54,0)),0))</f>
        <v/>
      </c>
    </row>
    <row r="758" customFormat="false" ht="15" hidden="false" customHeight="false" outlineLevel="0" collapsed="false">
      <c r="A758" s="12"/>
      <c r="B758" s="13"/>
      <c r="C758" s="14"/>
      <c r="D758" s="14"/>
      <c r="E758" s="15"/>
      <c r="F758" s="13"/>
      <c r="G758" s="16" t="str">
        <f aca="false">IF(OR(B758="",E758=""),"",E758*IFERROR(INDEX(Müşteriler!$B$5:$B$54,MATCH(B758,Müşteriler!$A$5:$A$54,0)),0))</f>
        <v/>
      </c>
    </row>
    <row r="759" customFormat="false" ht="15" hidden="false" customHeight="false" outlineLevel="0" collapsed="false">
      <c r="A759" s="12"/>
      <c r="B759" s="13"/>
      <c r="C759" s="14"/>
      <c r="D759" s="14"/>
      <c r="E759" s="15"/>
      <c r="F759" s="13"/>
      <c r="G759" s="16" t="str">
        <f aca="false">IF(OR(B759="",E759=""),"",E759*IFERROR(INDEX(Müşteriler!$B$5:$B$54,MATCH(B759,Müşteriler!$A$5:$A$54,0)),0))</f>
        <v/>
      </c>
    </row>
    <row r="760" customFormat="false" ht="15" hidden="false" customHeight="false" outlineLevel="0" collapsed="false">
      <c r="A760" s="12"/>
      <c r="B760" s="13"/>
      <c r="C760" s="14"/>
      <c r="D760" s="14"/>
      <c r="E760" s="15"/>
      <c r="F760" s="13"/>
      <c r="G760" s="16" t="str">
        <f aca="false">IF(OR(B760="",E760=""),"",E760*IFERROR(INDEX(Müşteriler!$B$5:$B$54,MATCH(B760,Müşteriler!$A$5:$A$54,0)),0))</f>
        <v/>
      </c>
    </row>
    <row r="761" customFormat="false" ht="15" hidden="false" customHeight="false" outlineLevel="0" collapsed="false">
      <c r="A761" s="12"/>
      <c r="B761" s="13"/>
      <c r="C761" s="14"/>
      <c r="D761" s="14"/>
      <c r="E761" s="15"/>
      <c r="F761" s="13"/>
      <c r="G761" s="16" t="str">
        <f aca="false">IF(OR(B761="",E761=""),"",E761*IFERROR(INDEX(Müşteriler!$B$5:$B$54,MATCH(B761,Müşteriler!$A$5:$A$54,0)),0))</f>
        <v/>
      </c>
    </row>
    <row r="762" customFormat="false" ht="15" hidden="false" customHeight="false" outlineLevel="0" collapsed="false">
      <c r="A762" s="12"/>
      <c r="B762" s="13"/>
      <c r="C762" s="14"/>
      <c r="D762" s="14"/>
      <c r="E762" s="15"/>
      <c r="F762" s="13"/>
      <c r="G762" s="16" t="str">
        <f aca="false">IF(OR(B762="",E762=""),"",E762*IFERROR(INDEX(Müşteriler!$B$5:$B$54,MATCH(B762,Müşteriler!$A$5:$A$54,0)),0))</f>
        <v/>
      </c>
    </row>
    <row r="763" customFormat="false" ht="15" hidden="false" customHeight="false" outlineLevel="0" collapsed="false">
      <c r="A763" s="12"/>
      <c r="B763" s="13"/>
      <c r="C763" s="14"/>
      <c r="D763" s="14"/>
      <c r="E763" s="15"/>
      <c r="F763" s="13"/>
      <c r="G763" s="16" t="str">
        <f aca="false">IF(OR(B763="",E763=""),"",E763*IFERROR(INDEX(Müşteriler!$B$5:$B$54,MATCH(B763,Müşteriler!$A$5:$A$54,0)),0))</f>
        <v/>
      </c>
    </row>
    <row r="764" customFormat="false" ht="15" hidden="false" customHeight="false" outlineLevel="0" collapsed="false">
      <c r="A764" s="12"/>
      <c r="B764" s="13"/>
      <c r="C764" s="14"/>
      <c r="D764" s="14"/>
      <c r="E764" s="15"/>
      <c r="F764" s="13"/>
      <c r="G764" s="16" t="str">
        <f aca="false">IF(OR(B764="",E764=""),"",E764*IFERROR(INDEX(Müşteriler!$B$5:$B$54,MATCH(B764,Müşteriler!$A$5:$A$54,0)),0))</f>
        <v/>
      </c>
    </row>
    <row r="765" customFormat="false" ht="15" hidden="false" customHeight="false" outlineLevel="0" collapsed="false">
      <c r="A765" s="12"/>
      <c r="B765" s="13"/>
      <c r="C765" s="14"/>
      <c r="D765" s="14"/>
      <c r="E765" s="15"/>
      <c r="F765" s="13"/>
      <c r="G765" s="16" t="str">
        <f aca="false">IF(OR(B765="",E765=""),"",E765*IFERROR(INDEX(Müşteriler!$B$5:$B$54,MATCH(B765,Müşteriler!$A$5:$A$54,0)),0))</f>
        <v/>
      </c>
    </row>
    <row r="766" customFormat="false" ht="15" hidden="false" customHeight="false" outlineLevel="0" collapsed="false">
      <c r="A766" s="12"/>
      <c r="B766" s="13"/>
      <c r="C766" s="14"/>
      <c r="D766" s="14"/>
      <c r="E766" s="15"/>
      <c r="F766" s="13"/>
      <c r="G766" s="16" t="str">
        <f aca="false">IF(OR(B766="",E766=""),"",E766*IFERROR(INDEX(Müşteriler!$B$5:$B$54,MATCH(B766,Müşteriler!$A$5:$A$54,0)),0))</f>
        <v/>
      </c>
    </row>
    <row r="767" customFormat="false" ht="15" hidden="false" customHeight="false" outlineLevel="0" collapsed="false">
      <c r="A767" s="12"/>
      <c r="B767" s="13"/>
      <c r="C767" s="14"/>
      <c r="D767" s="14"/>
      <c r="E767" s="15"/>
      <c r="F767" s="13"/>
      <c r="G767" s="16" t="str">
        <f aca="false">IF(OR(B767="",E767=""),"",E767*IFERROR(INDEX(Müşteriler!$B$5:$B$54,MATCH(B767,Müşteriler!$A$5:$A$54,0)),0))</f>
        <v/>
      </c>
    </row>
    <row r="768" customFormat="false" ht="15" hidden="false" customHeight="false" outlineLevel="0" collapsed="false">
      <c r="A768" s="12"/>
      <c r="B768" s="13"/>
      <c r="C768" s="14"/>
      <c r="D768" s="14"/>
      <c r="E768" s="15"/>
      <c r="F768" s="13"/>
      <c r="G768" s="16" t="str">
        <f aca="false">IF(OR(B768="",E768=""),"",E768*IFERROR(INDEX(Müşteriler!$B$5:$B$54,MATCH(B768,Müşteriler!$A$5:$A$54,0)),0))</f>
        <v/>
      </c>
    </row>
    <row r="769" customFormat="false" ht="15" hidden="false" customHeight="false" outlineLevel="0" collapsed="false">
      <c r="A769" s="12"/>
      <c r="B769" s="13"/>
      <c r="C769" s="14"/>
      <c r="D769" s="14"/>
      <c r="E769" s="15"/>
      <c r="F769" s="13"/>
      <c r="G769" s="16" t="str">
        <f aca="false">IF(OR(B769="",E769=""),"",E769*IFERROR(INDEX(Müşteriler!$B$5:$B$54,MATCH(B769,Müşteriler!$A$5:$A$54,0)),0))</f>
        <v/>
      </c>
    </row>
    <row r="770" customFormat="false" ht="15" hidden="false" customHeight="false" outlineLevel="0" collapsed="false">
      <c r="A770" s="12"/>
      <c r="B770" s="13"/>
      <c r="C770" s="14"/>
      <c r="D770" s="14"/>
      <c r="E770" s="15"/>
      <c r="F770" s="13"/>
      <c r="G770" s="16" t="str">
        <f aca="false">IF(OR(B770="",E770=""),"",E770*IFERROR(INDEX(Müşteriler!$B$5:$B$54,MATCH(B770,Müşteriler!$A$5:$A$54,0)),0))</f>
        <v/>
      </c>
    </row>
    <row r="771" customFormat="false" ht="15" hidden="false" customHeight="false" outlineLevel="0" collapsed="false">
      <c r="A771" s="12"/>
      <c r="B771" s="13"/>
      <c r="C771" s="14"/>
      <c r="D771" s="14"/>
      <c r="E771" s="15"/>
      <c r="F771" s="13"/>
      <c r="G771" s="16" t="str">
        <f aca="false">IF(OR(B771="",E771=""),"",E771*IFERROR(INDEX(Müşteriler!$B$5:$B$54,MATCH(B771,Müşteriler!$A$5:$A$54,0)),0))</f>
        <v/>
      </c>
    </row>
    <row r="772" customFormat="false" ht="15" hidden="false" customHeight="false" outlineLevel="0" collapsed="false">
      <c r="A772" s="12"/>
      <c r="B772" s="13"/>
      <c r="C772" s="14"/>
      <c r="D772" s="14"/>
      <c r="E772" s="15"/>
      <c r="F772" s="13"/>
      <c r="G772" s="16" t="str">
        <f aca="false">IF(OR(B772="",E772=""),"",E772*IFERROR(INDEX(Müşteriler!$B$5:$B$54,MATCH(B772,Müşteriler!$A$5:$A$54,0)),0))</f>
        <v/>
      </c>
    </row>
    <row r="773" customFormat="false" ht="15" hidden="false" customHeight="false" outlineLevel="0" collapsed="false">
      <c r="A773" s="12"/>
      <c r="B773" s="13"/>
      <c r="C773" s="14"/>
      <c r="D773" s="14"/>
      <c r="E773" s="15"/>
      <c r="F773" s="13"/>
      <c r="G773" s="16" t="str">
        <f aca="false">IF(OR(B773="",E773=""),"",E773*IFERROR(INDEX(Müşteriler!$B$5:$B$54,MATCH(B773,Müşteriler!$A$5:$A$54,0)),0))</f>
        <v/>
      </c>
    </row>
    <row r="774" customFormat="false" ht="15" hidden="false" customHeight="false" outlineLevel="0" collapsed="false">
      <c r="A774" s="12"/>
      <c r="B774" s="13"/>
      <c r="C774" s="14"/>
      <c r="D774" s="14"/>
      <c r="E774" s="15"/>
      <c r="F774" s="13"/>
      <c r="G774" s="16" t="str">
        <f aca="false">IF(OR(B774="",E774=""),"",E774*IFERROR(INDEX(Müşteriler!$B$5:$B$54,MATCH(B774,Müşteriler!$A$5:$A$54,0)),0))</f>
        <v/>
      </c>
    </row>
    <row r="775" customFormat="false" ht="15" hidden="false" customHeight="false" outlineLevel="0" collapsed="false">
      <c r="A775" s="12"/>
      <c r="B775" s="13"/>
      <c r="C775" s="14"/>
      <c r="D775" s="14"/>
      <c r="E775" s="15"/>
      <c r="F775" s="13"/>
      <c r="G775" s="16" t="str">
        <f aca="false">IF(OR(B775="",E775=""),"",E775*IFERROR(INDEX(Müşteriler!$B$5:$B$54,MATCH(B775,Müşteriler!$A$5:$A$54,0)),0))</f>
        <v/>
      </c>
    </row>
    <row r="776" customFormat="false" ht="15" hidden="false" customHeight="false" outlineLevel="0" collapsed="false">
      <c r="A776" s="12"/>
      <c r="B776" s="13"/>
      <c r="C776" s="14"/>
      <c r="D776" s="14"/>
      <c r="E776" s="15"/>
      <c r="F776" s="13"/>
      <c r="G776" s="16" t="str">
        <f aca="false">IF(OR(B776="",E776=""),"",E776*IFERROR(INDEX(Müşteriler!$B$5:$B$54,MATCH(B776,Müşteriler!$A$5:$A$54,0)),0))</f>
        <v/>
      </c>
    </row>
    <row r="777" customFormat="false" ht="15" hidden="false" customHeight="false" outlineLevel="0" collapsed="false">
      <c r="A777" s="12"/>
      <c r="B777" s="13"/>
      <c r="C777" s="14"/>
      <c r="D777" s="14"/>
      <c r="E777" s="15"/>
      <c r="F777" s="13"/>
      <c r="G777" s="16" t="str">
        <f aca="false">IF(OR(B777="",E777=""),"",E777*IFERROR(INDEX(Müşteriler!$B$5:$B$54,MATCH(B777,Müşteriler!$A$5:$A$54,0)),0))</f>
        <v/>
      </c>
    </row>
    <row r="778" customFormat="false" ht="15" hidden="false" customHeight="false" outlineLevel="0" collapsed="false">
      <c r="A778" s="12"/>
      <c r="B778" s="13"/>
      <c r="C778" s="14"/>
      <c r="D778" s="14"/>
      <c r="E778" s="15"/>
      <c r="F778" s="13"/>
      <c r="G778" s="16" t="str">
        <f aca="false">IF(OR(B778="",E778=""),"",E778*IFERROR(INDEX(Müşteriler!$B$5:$B$54,MATCH(B778,Müşteriler!$A$5:$A$54,0)),0))</f>
        <v/>
      </c>
    </row>
    <row r="779" customFormat="false" ht="15" hidden="false" customHeight="false" outlineLevel="0" collapsed="false">
      <c r="A779" s="12"/>
      <c r="B779" s="13"/>
      <c r="C779" s="14"/>
      <c r="D779" s="14"/>
      <c r="E779" s="15"/>
      <c r="F779" s="13"/>
      <c r="G779" s="16" t="str">
        <f aca="false">IF(OR(B779="",E779=""),"",E779*IFERROR(INDEX(Müşteriler!$B$5:$B$54,MATCH(B779,Müşteriler!$A$5:$A$54,0)),0))</f>
        <v/>
      </c>
    </row>
    <row r="780" customFormat="false" ht="15" hidden="false" customHeight="false" outlineLevel="0" collapsed="false">
      <c r="A780" s="12"/>
      <c r="B780" s="13"/>
      <c r="C780" s="14"/>
      <c r="D780" s="14"/>
      <c r="E780" s="15"/>
      <c r="F780" s="13"/>
      <c r="G780" s="16" t="str">
        <f aca="false">IF(OR(B780="",E780=""),"",E780*IFERROR(INDEX(Müşteriler!$B$5:$B$54,MATCH(B780,Müşteriler!$A$5:$A$54,0)),0))</f>
        <v/>
      </c>
    </row>
    <row r="781" customFormat="false" ht="15" hidden="false" customHeight="false" outlineLevel="0" collapsed="false">
      <c r="A781" s="12"/>
      <c r="B781" s="13"/>
      <c r="C781" s="14"/>
      <c r="D781" s="14"/>
      <c r="E781" s="15"/>
      <c r="F781" s="13"/>
      <c r="G781" s="16" t="str">
        <f aca="false">IF(OR(B781="",E781=""),"",E781*IFERROR(INDEX(Müşteriler!$B$5:$B$54,MATCH(B781,Müşteriler!$A$5:$A$54,0)),0))</f>
        <v/>
      </c>
    </row>
    <row r="782" customFormat="false" ht="15" hidden="false" customHeight="false" outlineLevel="0" collapsed="false">
      <c r="A782" s="12"/>
      <c r="B782" s="13"/>
      <c r="C782" s="14"/>
      <c r="D782" s="14"/>
      <c r="E782" s="15"/>
      <c r="F782" s="13"/>
      <c r="G782" s="16" t="str">
        <f aca="false">IF(OR(B782="",E782=""),"",E782*IFERROR(INDEX(Müşteriler!$B$5:$B$54,MATCH(B782,Müşteriler!$A$5:$A$54,0)),0))</f>
        <v/>
      </c>
    </row>
    <row r="783" customFormat="false" ht="15" hidden="false" customHeight="false" outlineLevel="0" collapsed="false">
      <c r="A783" s="12"/>
      <c r="B783" s="13"/>
      <c r="C783" s="14"/>
      <c r="D783" s="14"/>
      <c r="E783" s="15"/>
      <c r="F783" s="13"/>
      <c r="G783" s="16" t="str">
        <f aca="false">IF(OR(B783="",E783=""),"",E783*IFERROR(INDEX(Müşteriler!$B$5:$B$54,MATCH(B783,Müşteriler!$A$5:$A$54,0)),0))</f>
        <v/>
      </c>
    </row>
    <row r="784" customFormat="false" ht="15" hidden="false" customHeight="false" outlineLevel="0" collapsed="false">
      <c r="A784" s="12"/>
      <c r="B784" s="13"/>
      <c r="C784" s="14"/>
      <c r="D784" s="14"/>
      <c r="E784" s="15"/>
      <c r="F784" s="13"/>
      <c r="G784" s="16" t="str">
        <f aca="false">IF(OR(B784="",E784=""),"",E784*IFERROR(INDEX(Müşteriler!$B$5:$B$54,MATCH(B784,Müşteriler!$A$5:$A$54,0)),0))</f>
        <v/>
      </c>
    </row>
    <row r="785" customFormat="false" ht="15" hidden="false" customHeight="false" outlineLevel="0" collapsed="false">
      <c r="A785" s="12"/>
      <c r="B785" s="13"/>
      <c r="C785" s="14"/>
      <c r="D785" s="14"/>
      <c r="E785" s="15"/>
      <c r="F785" s="13"/>
      <c r="G785" s="16" t="str">
        <f aca="false">IF(OR(B785="",E785=""),"",E785*IFERROR(INDEX(Müşteriler!$B$5:$B$54,MATCH(B785,Müşteriler!$A$5:$A$54,0)),0))</f>
        <v/>
      </c>
    </row>
    <row r="786" customFormat="false" ht="15" hidden="false" customHeight="false" outlineLevel="0" collapsed="false">
      <c r="A786" s="12"/>
      <c r="B786" s="13"/>
      <c r="C786" s="14"/>
      <c r="D786" s="14"/>
      <c r="E786" s="15"/>
      <c r="F786" s="13"/>
      <c r="G786" s="16" t="str">
        <f aca="false">IF(OR(B786="",E786=""),"",E786*IFERROR(INDEX(Müşteriler!$B$5:$B$54,MATCH(B786,Müşteriler!$A$5:$A$54,0)),0))</f>
        <v/>
      </c>
    </row>
    <row r="787" customFormat="false" ht="15" hidden="false" customHeight="false" outlineLevel="0" collapsed="false">
      <c r="A787" s="12"/>
      <c r="B787" s="13"/>
      <c r="C787" s="14"/>
      <c r="D787" s="14"/>
      <c r="E787" s="15"/>
      <c r="F787" s="13"/>
      <c r="G787" s="16" t="str">
        <f aca="false">IF(OR(B787="",E787=""),"",E787*IFERROR(INDEX(Müşteriler!$B$5:$B$54,MATCH(B787,Müşteriler!$A$5:$A$54,0)),0))</f>
        <v/>
      </c>
    </row>
    <row r="788" customFormat="false" ht="15" hidden="false" customHeight="false" outlineLevel="0" collapsed="false">
      <c r="A788" s="12"/>
      <c r="B788" s="13"/>
      <c r="C788" s="14"/>
      <c r="D788" s="14"/>
      <c r="E788" s="15"/>
      <c r="F788" s="13"/>
      <c r="G788" s="16" t="str">
        <f aca="false">IF(OR(B788="",E788=""),"",E788*IFERROR(INDEX(Müşteriler!$B$5:$B$54,MATCH(B788,Müşteriler!$A$5:$A$54,0)),0))</f>
        <v/>
      </c>
    </row>
    <row r="789" customFormat="false" ht="15" hidden="false" customHeight="false" outlineLevel="0" collapsed="false">
      <c r="A789" s="12"/>
      <c r="B789" s="13"/>
      <c r="C789" s="14"/>
      <c r="D789" s="14"/>
      <c r="E789" s="15"/>
      <c r="F789" s="13"/>
      <c r="G789" s="16" t="str">
        <f aca="false">IF(OR(B789="",E789=""),"",E789*IFERROR(INDEX(Müşteriler!$B$5:$B$54,MATCH(B789,Müşteriler!$A$5:$A$54,0)),0))</f>
        <v/>
      </c>
    </row>
    <row r="790" customFormat="false" ht="15" hidden="false" customHeight="false" outlineLevel="0" collapsed="false">
      <c r="A790" s="12"/>
      <c r="B790" s="13"/>
      <c r="C790" s="14"/>
      <c r="D790" s="14"/>
      <c r="E790" s="15"/>
      <c r="F790" s="13"/>
      <c r="G790" s="16" t="str">
        <f aca="false">IF(OR(B790="",E790=""),"",E790*IFERROR(INDEX(Müşteriler!$B$5:$B$54,MATCH(B790,Müşteriler!$A$5:$A$54,0)),0))</f>
        <v/>
      </c>
    </row>
    <row r="791" customFormat="false" ht="15" hidden="false" customHeight="false" outlineLevel="0" collapsed="false">
      <c r="A791" s="12"/>
      <c r="B791" s="13"/>
      <c r="C791" s="14"/>
      <c r="D791" s="14"/>
      <c r="E791" s="15"/>
      <c r="F791" s="13"/>
      <c r="G791" s="16" t="str">
        <f aca="false">IF(OR(B791="",E791=""),"",E791*IFERROR(INDEX(Müşteriler!$B$5:$B$54,MATCH(B791,Müşteriler!$A$5:$A$54,0)),0))</f>
        <v/>
      </c>
    </row>
    <row r="792" customFormat="false" ht="15" hidden="false" customHeight="false" outlineLevel="0" collapsed="false">
      <c r="A792" s="12"/>
      <c r="B792" s="13"/>
      <c r="C792" s="14"/>
      <c r="D792" s="14"/>
      <c r="E792" s="15"/>
      <c r="F792" s="13"/>
      <c r="G792" s="16" t="str">
        <f aca="false">IF(OR(B792="",E792=""),"",E792*IFERROR(INDEX(Müşteriler!$B$5:$B$54,MATCH(B792,Müşteriler!$A$5:$A$54,0)),0))</f>
        <v/>
      </c>
    </row>
    <row r="793" customFormat="false" ht="15" hidden="false" customHeight="false" outlineLevel="0" collapsed="false">
      <c r="A793" s="12"/>
      <c r="B793" s="13"/>
      <c r="C793" s="14"/>
      <c r="D793" s="14"/>
      <c r="E793" s="15"/>
      <c r="F793" s="13"/>
      <c r="G793" s="16" t="str">
        <f aca="false">IF(OR(B793="",E793=""),"",E793*IFERROR(INDEX(Müşteriler!$B$5:$B$54,MATCH(B793,Müşteriler!$A$5:$A$54,0)),0))</f>
        <v/>
      </c>
    </row>
    <row r="794" customFormat="false" ht="15" hidden="false" customHeight="false" outlineLevel="0" collapsed="false">
      <c r="A794" s="12"/>
      <c r="B794" s="13"/>
      <c r="C794" s="14"/>
      <c r="D794" s="14"/>
      <c r="E794" s="15"/>
      <c r="F794" s="13"/>
      <c r="G794" s="16" t="str">
        <f aca="false">IF(OR(B794="",E794=""),"",E794*IFERROR(INDEX(Müşteriler!$B$5:$B$54,MATCH(B794,Müşteriler!$A$5:$A$54,0)),0))</f>
        <v/>
      </c>
    </row>
    <row r="795" customFormat="false" ht="15" hidden="false" customHeight="false" outlineLevel="0" collapsed="false">
      <c r="A795" s="12"/>
      <c r="B795" s="13"/>
      <c r="C795" s="14"/>
      <c r="D795" s="14"/>
      <c r="E795" s="15"/>
      <c r="F795" s="13"/>
      <c r="G795" s="16" t="str">
        <f aca="false">IF(OR(B795="",E795=""),"",E795*IFERROR(INDEX(Müşteriler!$B$5:$B$54,MATCH(B795,Müşteriler!$A$5:$A$54,0)),0))</f>
        <v/>
      </c>
    </row>
    <row r="796" customFormat="false" ht="15" hidden="false" customHeight="false" outlineLevel="0" collapsed="false">
      <c r="A796" s="12"/>
      <c r="B796" s="13"/>
      <c r="C796" s="14"/>
      <c r="D796" s="14"/>
      <c r="E796" s="15"/>
      <c r="F796" s="13"/>
      <c r="G796" s="16" t="str">
        <f aca="false">IF(OR(B796="",E796=""),"",E796*IFERROR(INDEX(Müşteriler!$B$5:$B$54,MATCH(B796,Müşteriler!$A$5:$A$54,0)),0))</f>
        <v/>
      </c>
    </row>
    <row r="797" customFormat="false" ht="15" hidden="false" customHeight="false" outlineLevel="0" collapsed="false">
      <c r="A797" s="12"/>
      <c r="B797" s="13"/>
      <c r="C797" s="14"/>
      <c r="D797" s="14"/>
      <c r="E797" s="15"/>
      <c r="F797" s="13"/>
      <c r="G797" s="16" t="str">
        <f aca="false">IF(OR(B797="",E797=""),"",E797*IFERROR(INDEX(Müşteriler!$B$5:$B$54,MATCH(B797,Müşteriler!$A$5:$A$54,0)),0))</f>
        <v/>
      </c>
    </row>
    <row r="798" customFormat="false" ht="15" hidden="false" customHeight="false" outlineLevel="0" collapsed="false">
      <c r="A798" s="12"/>
      <c r="B798" s="13"/>
      <c r="C798" s="14"/>
      <c r="D798" s="14"/>
      <c r="E798" s="15"/>
      <c r="F798" s="13"/>
      <c r="G798" s="16" t="str">
        <f aca="false">IF(OR(B798="",E798=""),"",E798*IFERROR(INDEX(Müşteriler!$B$5:$B$54,MATCH(B798,Müşteriler!$A$5:$A$54,0)),0))</f>
        <v/>
      </c>
    </row>
    <row r="799" customFormat="false" ht="15" hidden="false" customHeight="false" outlineLevel="0" collapsed="false">
      <c r="A799" s="12"/>
      <c r="B799" s="13"/>
      <c r="C799" s="14"/>
      <c r="D799" s="14"/>
      <c r="E799" s="15"/>
      <c r="F799" s="13"/>
      <c r="G799" s="16" t="str">
        <f aca="false">IF(OR(B799="",E799=""),"",E799*IFERROR(INDEX(Müşteriler!$B$5:$B$54,MATCH(B799,Müşteriler!$A$5:$A$54,0)),0))</f>
        <v/>
      </c>
    </row>
    <row r="800" customFormat="false" ht="15" hidden="false" customHeight="false" outlineLevel="0" collapsed="false">
      <c r="A800" s="12"/>
      <c r="B800" s="13"/>
      <c r="C800" s="14"/>
      <c r="D800" s="14"/>
      <c r="E800" s="15"/>
      <c r="F800" s="13"/>
      <c r="G800" s="16" t="str">
        <f aca="false">IF(OR(B800="",E800=""),"",E800*IFERROR(INDEX(Müşteriler!$B$5:$B$54,MATCH(B800,Müşteriler!$A$5:$A$54,0)),0))</f>
        <v/>
      </c>
    </row>
    <row r="801" customFormat="false" ht="15" hidden="false" customHeight="false" outlineLevel="0" collapsed="false">
      <c r="A801" s="12"/>
      <c r="B801" s="13"/>
      <c r="C801" s="14"/>
      <c r="D801" s="14"/>
      <c r="E801" s="15"/>
      <c r="F801" s="13"/>
      <c r="G801" s="16" t="str">
        <f aca="false">IF(OR(B801="",E801=""),"",E801*IFERROR(INDEX(Müşteriler!$B$5:$B$54,MATCH(B801,Müşteriler!$A$5:$A$54,0)),0))</f>
        <v/>
      </c>
    </row>
    <row r="802" customFormat="false" ht="15" hidden="false" customHeight="false" outlineLevel="0" collapsed="false">
      <c r="A802" s="12"/>
      <c r="B802" s="13"/>
      <c r="C802" s="14"/>
      <c r="D802" s="14"/>
      <c r="E802" s="15"/>
      <c r="F802" s="13"/>
      <c r="G802" s="16" t="str">
        <f aca="false">IF(OR(B802="",E802=""),"",E802*IFERROR(INDEX(Müşteriler!$B$5:$B$54,MATCH(B802,Müşteriler!$A$5:$A$54,0)),0))</f>
        <v/>
      </c>
    </row>
    <row r="803" customFormat="false" ht="15" hidden="false" customHeight="false" outlineLevel="0" collapsed="false">
      <c r="A803" s="12"/>
      <c r="B803" s="13"/>
      <c r="C803" s="14"/>
      <c r="D803" s="14"/>
      <c r="E803" s="15"/>
      <c r="F803" s="13"/>
      <c r="G803" s="16" t="str">
        <f aca="false">IF(OR(B803="",E803=""),"",E803*IFERROR(INDEX(Müşteriler!$B$5:$B$54,MATCH(B803,Müşteriler!$A$5:$A$54,0)),0))</f>
        <v/>
      </c>
    </row>
    <row r="804" customFormat="false" ht="15" hidden="false" customHeight="false" outlineLevel="0" collapsed="false">
      <c r="A804" s="12"/>
      <c r="B804" s="13"/>
      <c r="C804" s="14"/>
      <c r="D804" s="14"/>
      <c r="E804" s="15"/>
      <c r="F804" s="13"/>
      <c r="G804" s="16" t="str">
        <f aca="false">IF(OR(B804="",E804=""),"",E804*IFERROR(INDEX(Müşteriler!$B$5:$B$54,MATCH(B804,Müşteriler!$A$5:$A$54,0)),0))</f>
        <v/>
      </c>
    </row>
    <row r="805" customFormat="false" ht="15" hidden="false" customHeight="false" outlineLevel="0" collapsed="false">
      <c r="A805" s="12"/>
      <c r="B805" s="13"/>
      <c r="C805" s="14"/>
      <c r="D805" s="14"/>
      <c r="E805" s="15"/>
      <c r="F805" s="13"/>
      <c r="G805" s="16" t="str">
        <f aca="false">IF(OR(B805="",E805=""),"",E805*IFERROR(INDEX(Müşteriler!$B$5:$B$54,MATCH(B805,Müşteriler!$A$5:$A$54,0)),0))</f>
        <v/>
      </c>
    </row>
    <row r="806" customFormat="false" ht="15" hidden="false" customHeight="false" outlineLevel="0" collapsed="false">
      <c r="A806" s="12"/>
      <c r="B806" s="13"/>
      <c r="C806" s="14"/>
      <c r="D806" s="14"/>
      <c r="E806" s="15"/>
      <c r="F806" s="13"/>
      <c r="G806" s="16" t="str">
        <f aca="false">IF(OR(B806="",E806=""),"",E806*IFERROR(INDEX(Müşteriler!$B$5:$B$54,MATCH(B806,Müşteriler!$A$5:$A$54,0)),0))</f>
        <v/>
      </c>
    </row>
    <row r="807" customFormat="false" ht="15" hidden="false" customHeight="false" outlineLevel="0" collapsed="false">
      <c r="A807" s="12"/>
      <c r="B807" s="13"/>
      <c r="C807" s="14"/>
      <c r="D807" s="14"/>
      <c r="E807" s="15"/>
      <c r="F807" s="13"/>
      <c r="G807" s="16" t="str">
        <f aca="false">IF(OR(B807="",E807=""),"",E807*IFERROR(INDEX(Müşteriler!$B$5:$B$54,MATCH(B807,Müşteriler!$A$5:$A$54,0)),0))</f>
        <v/>
      </c>
    </row>
    <row r="808" customFormat="false" ht="15" hidden="false" customHeight="false" outlineLevel="0" collapsed="false">
      <c r="A808" s="12"/>
      <c r="B808" s="13"/>
      <c r="C808" s="14"/>
      <c r="D808" s="14"/>
      <c r="E808" s="15"/>
      <c r="F808" s="13"/>
      <c r="G808" s="16" t="str">
        <f aca="false">IF(OR(B808="",E808=""),"",E808*IFERROR(INDEX(Müşteriler!$B$5:$B$54,MATCH(B808,Müşteriler!$A$5:$A$54,0)),0))</f>
        <v/>
      </c>
    </row>
    <row r="809" customFormat="false" ht="15" hidden="false" customHeight="false" outlineLevel="0" collapsed="false">
      <c r="A809" s="12"/>
      <c r="B809" s="13"/>
      <c r="C809" s="14"/>
      <c r="D809" s="14"/>
      <c r="E809" s="15"/>
      <c r="F809" s="13"/>
      <c r="G809" s="16" t="str">
        <f aca="false">IF(OR(B809="",E809=""),"",E809*IFERROR(INDEX(Müşteriler!$B$5:$B$54,MATCH(B809,Müşteriler!$A$5:$A$54,0)),0))</f>
        <v/>
      </c>
    </row>
    <row r="810" customFormat="false" ht="15" hidden="false" customHeight="false" outlineLevel="0" collapsed="false">
      <c r="A810" s="12"/>
      <c r="B810" s="13"/>
      <c r="C810" s="14"/>
      <c r="D810" s="14"/>
      <c r="E810" s="15"/>
      <c r="F810" s="13"/>
      <c r="G810" s="16" t="str">
        <f aca="false">IF(OR(B810="",E810=""),"",E810*IFERROR(INDEX(Müşteriler!$B$5:$B$54,MATCH(B810,Müşteriler!$A$5:$A$54,0)),0))</f>
        <v/>
      </c>
    </row>
    <row r="811" customFormat="false" ht="15" hidden="false" customHeight="false" outlineLevel="0" collapsed="false">
      <c r="A811" s="12"/>
      <c r="B811" s="13"/>
      <c r="C811" s="14"/>
      <c r="D811" s="14"/>
      <c r="E811" s="15"/>
      <c r="F811" s="13"/>
      <c r="G811" s="16" t="str">
        <f aca="false">IF(OR(B811="",E811=""),"",E811*IFERROR(INDEX(Müşteriler!$B$5:$B$54,MATCH(B811,Müşteriler!$A$5:$A$54,0)),0))</f>
        <v/>
      </c>
    </row>
    <row r="812" customFormat="false" ht="15" hidden="false" customHeight="false" outlineLevel="0" collapsed="false">
      <c r="A812" s="12"/>
      <c r="B812" s="13"/>
      <c r="C812" s="14"/>
      <c r="D812" s="14"/>
      <c r="E812" s="15"/>
      <c r="F812" s="13"/>
      <c r="G812" s="16" t="str">
        <f aca="false">IF(OR(B812="",E812=""),"",E812*IFERROR(INDEX(Müşteriler!$B$5:$B$54,MATCH(B812,Müşteriler!$A$5:$A$54,0)),0))</f>
        <v/>
      </c>
    </row>
    <row r="813" customFormat="false" ht="15" hidden="false" customHeight="false" outlineLevel="0" collapsed="false">
      <c r="A813" s="12"/>
      <c r="B813" s="13"/>
      <c r="C813" s="14"/>
      <c r="D813" s="14"/>
      <c r="E813" s="15"/>
      <c r="F813" s="13"/>
      <c r="G813" s="16" t="str">
        <f aca="false">IF(OR(B813="",E813=""),"",E813*IFERROR(INDEX(Müşteriler!$B$5:$B$54,MATCH(B813,Müşteriler!$A$5:$A$54,0)),0))</f>
        <v/>
      </c>
    </row>
    <row r="814" customFormat="false" ht="15" hidden="false" customHeight="false" outlineLevel="0" collapsed="false">
      <c r="A814" s="12"/>
      <c r="B814" s="13"/>
      <c r="C814" s="14"/>
      <c r="D814" s="14"/>
      <c r="E814" s="15"/>
      <c r="F814" s="13"/>
      <c r="G814" s="16" t="str">
        <f aca="false">IF(OR(B814="",E814=""),"",E814*IFERROR(INDEX(Müşteriler!$B$5:$B$54,MATCH(B814,Müşteriler!$A$5:$A$54,0)),0))</f>
        <v/>
      </c>
    </row>
    <row r="815" customFormat="false" ht="15" hidden="false" customHeight="false" outlineLevel="0" collapsed="false">
      <c r="A815" s="12"/>
      <c r="B815" s="13"/>
      <c r="C815" s="14"/>
      <c r="D815" s="14"/>
      <c r="E815" s="15"/>
      <c r="F815" s="13"/>
      <c r="G815" s="16" t="str">
        <f aca="false">IF(OR(B815="",E815=""),"",E815*IFERROR(INDEX(Müşteriler!$B$5:$B$54,MATCH(B815,Müşteriler!$A$5:$A$54,0)),0))</f>
        <v/>
      </c>
    </row>
    <row r="816" customFormat="false" ht="15" hidden="false" customHeight="false" outlineLevel="0" collapsed="false">
      <c r="A816" s="12"/>
      <c r="B816" s="13"/>
      <c r="C816" s="14"/>
      <c r="D816" s="14"/>
      <c r="E816" s="15"/>
      <c r="F816" s="13"/>
      <c r="G816" s="16" t="str">
        <f aca="false">IF(OR(B816="",E816=""),"",E816*IFERROR(INDEX(Müşteriler!$B$5:$B$54,MATCH(B816,Müşteriler!$A$5:$A$54,0)),0))</f>
        <v/>
      </c>
    </row>
    <row r="817" customFormat="false" ht="15" hidden="false" customHeight="false" outlineLevel="0" collapsed="false">
      <c r="A817" s="12"/>
      <c r="B817" s="13"/>
      <c r="C817" s="14"/>
      <c r="D817" s="14"/>
      <c r="E817" s="15"/>
      <c r="F817" s="13"/>
      <c r="G817" s="16" t="str">
        <f aca="false">IF(OR(B817="",E817=""),"",E817*IFERROR(INDEX(Müşteriler!$B$5:$B$54,MATCH(B817,Müşteriler!$A$5:$A$54,0)),0))</f>
        <v/>
      </c>
    </row>
    <row r="818" customFormat="false" ht="15" hidden="false" customHeight="false" outlineLevel="0" collapsed="false">
      <c r="A818" s="12"/>
      <c r="B818" s="13"/>
      <c r="C818" s="14"/>
      <c r="D818" s="14"/>
      <c r="E818" s="15"/>
      <c r="F818" s="13"/>
      <c r="G818" s="16" t="str">
        <f aca="false">IF(OR(B818="",E818=""),"",E818*IFERROR(INDEX(Müşteriler!$B$5:$B$54,MATCH(B818,Müşteriler!$A$5:$A$54,0)),0))</f>
        <v/>
      </c>
    </row>
    <row r="819" customFormat="false" ht="15" hidden="false" customHeight="false" outlineLevel="0" collapsed="false">
      <c r="A819" s="12"/>
      <c r="B819" s="13"/>
      <c r="C819" s="14"/>
      <c r="D819" s="14"/>
      <c r="E819" s="15"/>
      <c r="F819" s="13"/>
      <c r="G819" s="16" t="str">
        <f aca="false">IF(OR(B819="",E819=""),"",E819*IFERROR(INDEX(Müşteriler!$B$5:$B$54,MATCH(B819,Müşteriler!$A$5:$A$54,0)),0))</f>
        <v/>
      </c>
    </row>
    <row r="820" customFormat="false" ht="15" hidden="false" customHeight="false" outlineLevel="0" collapsed="false">
      <c r="A820" s="12"/>
      <c r="B820" s="13"/>
      <c r="C820" s="14"/>
      <c r="D820" s="14"/>
      <c r="E820" s="15"/>
      <c r="F820" s="13"/>
      <c r="G820" s="16" t="str">
        <f aca="false">IF(OR(B820="",E820=""),"",E820*IFERROR(INDEX(Müşteriler!$B$5:$B$54,MATCH(B820,Müşteriler!$A$5:$A$54,0)),0))</f>
        <v/>
      </c>
    </row>
    <row r="821" customFormat="false" ht="15" hidden="false" customHeight="false" outlineLevel="0" collapsed="false">
      <c r="A821" s="12"/>
      <c r="B821" s="13"/>
      <c r="C821" s="14"/>
      <c r="D821" s="14"/>
      <c r="E821" s="15"/>
      <c r="F821" s="13"/>
      <c r="G821" s="16" t="str">
        <f aca="false">IF(OR(B821="",E821=""),"",E821*IFERROR(INDEX(Müşteriler!$B$5:$B$54,MATCH(B821,Müşteriler!$A$5:$A$54,0)),0))</f>
        <v/>
      </c>
    </row>
    <row r="822" customFormat="false" ht="15" hidden="false" customHeight="false" outlineLevel="0" collapsed="false">
      <c r="A822" s="12"/>
      <c r="B822" s="13"/>
      <c r="C822" s="14"/>
      <c r="D822" s="14"/>
      <c r="E822" s="15"/>
      <c r="F822" s="13"/>
      <c r="G822" s="16" t="str">
        <f aca="false">IF(OR(B822="",E822=""),"",E822*IFERROR(INDEX(Müşteriler!$B$5:$B$54,MATCH(B822,Müşteriler!$A$5:$A$54,0)),0))</f>
        <v/>
      </c>
    </row>
    <row r="823" customFormat="false" ht="15" hidden="false" customHeight="false" outlineLevel="0" collapsed="false">
      <c r="A823" s="12"/>
      <c r="B823" s="13"/>
      <c r="C823" s="14"/>
      <c r="D823" s="14"/>
      <c r="E823" s="15"/>
      <c r="F823" s="13"/>
      <c r="G823" s="16" t="str">
        <f aca="false">IF(OR(B823="",E823=""),"",E823*IFERROR(INDEX(Müşteriler!$B$5:$B$54,MATCH(B823,Müşteriler!$A$5:$A$54,0)),0))</f>
        <v/>
      </c>
    </row>
    <row r="824" customFormat="false" ht="15" hidden="false" customHeight="false" outlineLevel="0" collapsed="false">
      <c r="A824" s="12"/>
      <c r="B824" s="13"/>
      <c r="C824" s="14"/>
      <c r="D824" s="14"/>
      <c r="E824" s="15"/>
      <c r="F824" s="13"/>
      <c r="G824" s="16" t="str">
        <f aca="false">IF(OR(B824="",E824=""),"",E824*IFERROR(INDEX(Müşteriler!$B$5:$B$54,MATCH(B824,Müşteriler!$A$5:$A$54,0)),0))</f>
        <v/>
      </c>
    </row>
    <row r="825" customFormat="false" ht="15" hidden="false" customHeight="false" outlineLevel="0" collapsed="false">
      <c r="A825" s="12"/>
      <c r="B825" s="13"/>
      <c r="C825" s="14"/>
      <c r="D825" s="14"/>
      <c r="E825" s="15"/>
      <c r="F825" s="13"/>
      <c r="G825" s="16" t="str">
        <f aca="false">IF(OR(B825="",E825=""),"",E825*IFERROR(INDEX(Müşteriler!$B$5:$B$54,MATCH(B825,Müşteriler!$A$5:$A$54,0)),0))</f>
        <v/>
      </c>
    </row>
    <row r="826" customFormat="false" ht="15" hidden="false" customHeight="false" outlineLevel="0" collapsed="false">
      <c r="A826" s="12"/>
      <c r="B826" s="13"/>
      <c r="C826" s="14"/>
      <c r="D826" s="14"/>
      <c r="E826" s="15"/>
      <c r="F826" s="13"/>
      <c r="G826" s="16" t="str">
        <f aca="false">IF(OR(B826="",E826=""),"",E826*IFERROR(INDEX(Müşteriler!$B$5:$B$54,MATCH(B826,Müşteriler!$A$5:$A$54,0)),0))</f>
        <v/>
      </c>
    </row>
    <row r="827" customFormat="false" ht="15" hidden="false" customHeight="false" outlineLevel="0" collapsed="false">
      <c r="A827" s="12"/>
      <c r="B827" s="13"/>
      <c r="C827" s="14"/>
      <c r="D827" s="14"/>
      <c r="E827" s="15"/>
      <c r="F827" s="13"/>
      <c r="G827" s="16" t="str">
        <f aca="false">IF(OR(B827="",E827=""),"",E827*IFERROR(INDEX(Müşteriler!$B$5:$B$54,MATCH(B827,Müşteriler!$A$5:$A$54,0)),0))</f>
        <v/>
      </c>
    </row>
    <row r="828" customFormat="false" ht="15" hidden="false" customHeight="false" outlineLevel="0" collapsed="false">
      <c r="A828" s="12"/>
      <c r="B828" s="13"/>
      <c r="C828" s="14"/>
      <c r="D828" s="14"/>
      <c r="E828" s="15"/>
      <c r="F828" s="13"/>
      <c r="G828" s="16" t="str">
        <f aca="false">IF(OR(B828="",E828=""),"",E828*IFERROR(INDEX(Müşteriler!$B$5:$B$54,MATCH(B828,Müşteriler!$A$5:$A$54,0)),0))</f>
        <v/>
      </c>
    </row>
    <row r="829" customFormat="false" ht="15" hidden="false" customHeight="false" outlineLevel="0" collapsed="false">
      <c r="A829" s="12"/>
      <c r="B829" s="13"/>
      <c r="C829" s="14"/>
      <c r="D829" s="14"/>
      <c r="E829" s="15"/>
      <c r="F829" s="13"/>
      <c r="G829" s="16" t="str">
        <f aca="false">IF(OR(B829="",E829=""),"",E829*IFERROR(INDEX(Müşteriler!$B$5:$B$54,MATCH(B829,Müşteriler!$A$5:$A$54,0)),0))</f>
        <v/>
      </c>
    </row>
    <row r="830" customFormat="false" ht="15" hidden="false" customHeight="false" outlineLevel="0" collapsed="false">
      <c r="A830" s="12"/>
      <c r="B830" s="13"/>
      <c r="C830" s="14"/>
      <c r="D830" s="14"/>
      <c r="E830" s="15"/>
      <c r="F830" s="13"/>
      <c r="G830" s="16" t="str">
        <f aca="false">IF(OR(B830="",E830=""),"",E830*IFERROR(INDEX(Müşteriler!$B$5:$B$54,MATCH(B830,Müşteriler!$A$5:$A$54,0)),0))</f>
        <v/>
      </c>
    </row>
    <row r="831" customFormat="false" ht="15" hidden="false" customHeight="false" outlineLevel="0" collapsed="false">
      <c r="A831" s="12"/>
      <c r="B831" s="13"/>
      <c r="C831" s="14"/>
      <c r="D831" s="14"/>
      <c r="E831" s="15"/>
      <c r="F831" s="13"/>
      <c r="G831" s="16" t="str">
        <f aca="false">IF(OR(B831="",E831=""),"",E831*IFERROR(INDEX(Müşteriler!$B$5:$B$54,MATCH(B831,Müşteriler!$A$5:$A$54,0)),0))</f>
        <v/>
      </c>
    </row>
    <row r="832" customFormat="false" ht="15" hidden="false" customHeight="false" outlineLevel="0" collapsed="false">
      <c r="A832" s="12"/>
      <c r="B832" s="13"/>
      <c r="C832" s="14"/>
      <c r="D832" s="14"/>
      <c r="E832" s="15"/>
      <c r="F832" s="13"/>
      <c r="G832" s="16" t="str">
        <f aca="false">IF(OR(B832="",E832=""),"",E832*IFERROR(INDEX(Müşteriler!$B$5:$B$54,MATCH(B832,Müşteriler!$A$5:$A$54,0)),0))</f>
        <v/>
      </c>
    </row>
    <row r="833" customFormat="false" ht="15" hidden="false" customHeight="false" outlineLevel="0" collapsed="false">
      <c r="A833" s="12"/>
      <c r="B833" s="13"/>
      <c r="C833" s="14"/>
      <c r="D833" s="14"/>
      <c r="E833" s="15"/>
      <c r="F833" s="13"/>
      <c r="G833" s="16" t="str">
        <f aca="false">IF(OR(B833="",E833=""),"",E833*IFERROR(INDEX(Müşteriler!$B$5:$B$54,MATCH(B833,Müşteriler!$A$5:$A$54,0)),0))</f>
        <v/>
      </c>
    </row>
    <row r="834" customFormat="false" ht="15" hidden="false" customHeight="false" outlineLevel="0" collapsed="false">
      <c r="A834" s="12"/>
      <c r="B834" s="13"/>
      <c r="C834" s="14"/>
      <c r="D834" s="14"/>
      <c r="E834" s="15"/>
      <c r="F834" s="13"/>
      <c r="G834" s="16" t="str">
        <f aca="false">IF(OR(B834="",E834=""),"",E834*IFERROR(INDEX(Müşteriler!$B$5:$B$54,MATCH(B834,Müşteriler!$A$5:$A$54,0)),0))</f>
        <v/>
      </c>
    </row>
    <row r="835" customFormat="false" ht="15" hidden="false" customHeight="false" outlineLevel="0" collapsed="false">
      <c r="A835" s="12"/>
      <c r="B835" s="13"/>
      <c r="C835" s="14"/>
      <c r="D835" s="14"/>
      <c r="E835" s="15"/>
      <c r="F835" s="13"/>
      <c r="G835" s="16" t="str">
        <f aca="false">IF(OR(B835="",E835=""),"",E835*IFERROR(INDEX(Müşteriler!$B$5:$B$54,MATCH(B835,Müşteriler!$A$5:$A$54,0)),0))</f>
        <v/>
      </c>
    </row>
    <row r="836" customFormat="false" ht="15" hidden="false" customHeight="false" outlineLevel="0" collapsed="false">
      <c r="A836" s="12"/>
      <c r="B836" s="13"/>
      <c r="C836" s="14"/>
      <c r="D836" s="14"/>
      <c r="E836" s="15"/>
      <c r="F836" s="13"/>
      <c r="G836" s="16" t="str">
        <f aca="false">IF(OR(B836="",E836=""),"",E836*IFERROR(INDEX(Müşteriler!$B$5:$B$54,MATCH(B836,Müşteriler!$A$5:$A$54,0)),0))</f>
        <v/>
      </c>
    </row>
    <row r="837" customFormat="false" ht="15" hidden="false" customHeight="false" outlineLevel="0" collapsed="false">
      <c r="A837" s="12"/>
      <c r="B837" s="13"/>
      <c r="C837" s="14"/>
      <c r="D837" s="14"/>
      <c r="E837" s="15"/>
      <c r="F837" s="13"/>
      <c r="G837" s="16" t="str">
        <f aca="false">IF(OR(B837="",E837=""),"",E837*IFERROR(INDEX(Müşteriler!$B$5:$B$54,MATCH(B837,Müşteriler!$A$5:$A$54,0)),0))</f>
        <v/>
      </c>
    </row>
    <row r="838" customFormat="false" ht="15" hidden="false" customHeight="false" outlineLevel="0" collapsed="false">
      <c r="A838" s="12"/>
      <c r="B838" s="13"/>
      <c r="C838" s="14"/>
      <c r="D838" s="14"/>
      <c r="E838" s="15"/>
      <c r="F838" s="13"/>
      <c r="G838" s="16" t="str">
        <f aca="false">IF(OR(B838="",E838=""),"",E838*IFERROR(INDEX(Müşteriler!$B$5:$B$54,MATCH(B838,Müşteriler!$A$5:$A$54,0)),0))</f>
        <v/>
      </c>
    </row>
    <row r="839" customFormat="false" ht="15" hidden="false" customHeight="false" outlineLevel="0" collapsed="false">
      <c r="A839" s="12"/>
      <c r="B839" s="13"/>
      <c r="C839" s="14"/>
      <c r="D839" s="14"/>
      <c r="E839" s="15"/>
      <c r="F839" s="13"/>
      <c r="G839" s="16" t="str">
        <f aca="false">IF(OR(B839="",E839=""),"",E839*IFERROR(INDEX(Müşteriler!$B$5:$B$54,MATCH(B839,Müşteriler!$A$5:$A$54,0)),0))</f>
        <v/>
      </c>
    </row>
    <row r="840" customFormat="false" ht="15" hidden="false" customHeight="false" outlineLevel="0" collapsed="false">
      <c r="A840" s="12"/>
      <c r="B840" s="13"/>
      <c r="C840" s="14"/>
      <c r="D840" s="14"/>
      <c r="E840" s="15"/>
      <c r="F840" s="13"/>
      <c r="G840" s="16" t="str">
        <f aca="false">IF(OR(B840="",E840=""),"",E840*IFERROR(INDEX(Müşteriler!$B$5:$B$54,MATCH(B840,Müşteriler!$A$5:$A$54,0)),0))</f>
        <v/>
      </c>
    </row>
    <row r="841" customFormat="false" ht="15" hidden="false" customHeight="false" outlineLevel="0" collapsed="false">
      <c r="A841" s="12"/>
      <c r="B841" s="13"/>
      <c r="C841" s="14"/>
      <c r="D841" s="14"/>
      <c r="E841" s="15"/>
      <c r="F841" s="13"/>
      <c r="G841" s="16" t="str">
        <f aca="false">IF(OR(B841="",E841=""),"",E841*IFERROR(INDEX(Müşteriler!$B$5:$B$54,MATCH(B841,Müşteriler!$A$5:$A$54,0)),0))</f>
        <v/>
      </c>
    </row>
    <row r="842" customFormat="false" ht="15" hidden="false" customHeight="false" outlineLevel="0" collapsed="false">
      <c r="A842" s="12"/>
      <c r="B842" s="13"/>
      <c r="C842" s="14"/>
      <c r="D842" s="14"/>
      <c r="E842" s="15"/>
      <c r="F842" s="13"/>
      <c r="G842" s="16" t="str">
        <f aca="false">IF(OR(B842="",E842=""),"",E842*IFERROR(INDEX(Müşteriler!$B$5:$B$54,MATCH(B842,Müşteriler!$A$5:$A$54,0)),0))</f>
        <v/>
      </c>
    </row>
    <row r="843" customFormat="false" ht="15" hidden="false" customHeight="false" outlineLevel="0" collapsed="false">
      <c r="A843" s="12"/>
      <c r="B843" s="13"/>
      <c r="C843" s="14"/>
      <c r="D843" s="14"/>
      <c r="E843" s="15"/>
      <c r="F843" s="13"/>
      <c r="G843" s="16" t="str">
        <f aca="false">IF(OR(B843="",E843=""),"",E843*IFERROR(INDEX(Müşteriler!$B$5:$B$54,MATCH(B843,Müşteriler!$A$5:$A$54,0)),0))</f>
        <v/>
      </c>
    </row>
    <row r="844" customFormat="false" ht="15" hidden="false" customHeight="false" outlineLevel="0" collapsed="false">
      <c r="A844" s="12"/>
      <c r="B844" s="13"/>
      <c r="C844" s="14"/>
      <c r="D844" s="14"/>
      <c r="E844" s="15"/>
      <c r="F844" s="13"/>
      <c r="G844" s="16" t="str">
        <f aca="false">IF(OR(B844="",E844=""),"",E844*IFERROR(INDEX(Müşteriler!$B$5:$B$54,MATCH(B844,Müşteriler!$A$5:$A$54,0)),0))</f>
        <v/>
      </c>
    </row>
    <row r="845" customFormat="false" ht="15" hidden="false" customHeight="false" outlineLevel="0" collapsed="false">
      <c r="A845" s="12"/>
      <c r="B845" s="13"/>
      <c r="C845" s="14"/>
      <c r="D845" s="14"/>
      <c r="E845" s="15"/>
      <c r="F845" s="13"/>
      <c r="G845" s="16" t="str">
        <f aca="false">IF(OR(B845="",E845=""),"",E845*IFERROR(INDEX(Müşteriler!$B$5:$B$54,MATCH(B845,Müşteriler!$A$5:$A$54,0)),0))</f>
        <v/>
      </c>
    </row>
    <row r="846" customFormat="false" ht="15" hidden="false" customHeight="false" outlineLevel="0" collapsed="false">
      <c r="A846" s="12"/>
      <c r="B846" s="13"/>
      <c r="C846" s="14"/>
      <c r="D846" s="14"/>
      <c r="E846" s="15"/>
      <c r="F846" s="13"/>
      <c r="G846" s="16" t="str">
        <f aca="false">IF(OR(B846="",E846=""),"",E846*IFERROR(INDEX(Müşteriler!$B$5:$B$54,MATCH(B846,Müşteriler!$A$5:$A$54,0)),0))</f>
        <v/>
      </c>
    </row>
    <row r="847" customFormat="false" ht="15" hidden="false" customHeight="false" outlineLevel="0" collapsed="false">
      <c r="A847" s="12"/>
      <c r="B847" s="13"/>
      <c r="C847" s="14"/>
      <c r="D847" s="14"/>
      <c r="E847" s="15"/>
      <c r="F847" s="13"/>
      <c r="G847" s="16" t="str">
        <f aca="false">IF(OR(B847="",E847=""),"",E847*IFERROR(INDEX(Müşteriler!$B$5:$B$54,MATCH(B847,Müşteriler!$A$5:$A$54,0)),0))</f>
        <v/>
      </c>
    </row>
    <row r="848" customFormat="false" ht="15" hidden="false" customHeight="false" outlineLevel="0" collapsed="false">
      <c r="A848" s="12"/>
      <c r="B848" s="13"/>
      <c r="C848" s="14"/>
      <c r="D848" s="14"/>
      <c r="E848" s="15"/>
      <c r="F848" s="13"/>
      <c r="G848" s="16" t="str">
        <f aca="false">IF(OR(B848="",E848=""),"",E848*IFERROR(INDEX(Müşteriler!$B$5:$B$54,MATCH(B848,Müşteriler!$A$5:$A$54,0)),0))</f>
        <v/>
      </c>
    </row>
    <row r="849" customFormat="false" ht="15" hidden="false" customHeight="false" outlineLevel="0" collapsed="false">
      <c r="A849" s="12"/>
      <c r="B849" s="13"/>
      <c r="C849" s="14"/>
      <c r="D849" s="14"/>
      <c r="E849" s="15"/>
      <c r="F849" s="13"/>
      <c r="G849" s="16" t="str">
        <f aca="false">IF(OR(B849="",E849=""),"",E849*IFERROR(INDEX(Müşteriler!$B$5:$B$54,MATCH(B849,Müşteriler!$A$5:$A$54,0)),0))</f>
        <v/>
      </c>
    </row>
    <row r="850" customFormat="false" ht="15" hidden="false" customHeight="false" outlineLevel="0" collapsed="false">
      <c r="A850" s="12"/>
      <c r="B850" s="13"/>
      <c r="C850" s="14"/>
      <c r="D850" s="14"/>
      <c r="E850" s="15"/>
      <c r="F850" s="13"/>
      <c r="G850" s="16" t="str">
        <f aca="false">IF(OR(B850="",E850=""),"",E850*IFERROR(INDEX(Müşteriler!$B$5:$B$54,MATCH(B850,Müşteriler!$A$5:$A$54,0)),0))</f>
        <v/>
      </c>
    </row>
    <row r="851" customFormat="false" ht="15" hidden="false" customHeight="false" outlineLevel="0" collapsed="false">
      <c r="A851" s="12"/>
      <c r="B851" s="13"/>
      <c r="C851" s="14"/>
      <c r="D851" s="14"/>
      <c r="E851" s="15"/>
      <c r="F851" s="13"/>
      <c r="G851" s="16" t="str">
        <f aca="false">IF(OR(B851="",E851=""),"",E851*IFERROR(INDEX(Müşteriler!$B$5:$B$54,MATCH(B851,Müşteriler!$A$5:$A$54,0)),0))</f>
        <v/>
      </c>
    </row>
    <row r="852" customFormat="false" ht="15" hidden="false" customHeight="false" outlineLevel="0" collapsed="false">
      <c r="A852" s="12"/>
      <c r="B852" s="13"/>
      <c r="C852" s="14"/>
      <c r="D852" s="14"/>
      <c r="E852" s="15"/>
      <c r="F852" s="13"/>
      <c r="G852" s="16" t="str">
        <f aca="false">IF(OR(B852="",E852=""),"",E852*IFERROR(INDEX(Müşteriler!$B$5:$B$54,MATCH(B852,Müşteriler!$A$5:$A$54,0)),0))</f>
        <v/>
      </c>
    </row>
    <row r="853" customFormat="false" ht="15" hidden="false" customHeight="false" outlineLevel="0" collapsed="false">
      <c r="A853" s="12"/>
      <c r="B853" s="13"/>
      <c r="C853" s="14"/>
      <c r="D853" s="14"/>
      <c r="E853" s="15"/>
      <c r="F853" s="13"/>
      <c r="G853" s="16" t="str">
        <f aca="false">IF(OR(B853="",E853=""),"",E853*IFERROR(INDEX(Müşteriler!$B$5:$B$54,MATCH(B853,Müşteriler!$A$5:$A$54,0)),0))</f>
        <v/>
      </c>
    </row>
    <row r="854" customFormat="false" ht="15" hidden="false" customHeight="false" outlineLevel="0" collapsed="false">
      <c r="A854" s="12"/>
      <c r="B854" s="13"/>
      <c r="C854" s="14"/>
      <c r="D854" s="14"/>
      <c r="E854" s="15"/>
      <c r="F854" s="13"/>
      <c r="G854" s="16" t="str">
        <f aca="false">IF(OR(B854="",E854=""),"",E854*IFERROR(INDEX(Müşteriler!$B$5:$B$54,MATCH(B854,Müşteriler!$A$5:$A$54,0)),0))</f>
        <v/>
      </c>
    </row>
    <row r="855" customFormat="false" ht="15" hidden="false" customHeight="false" outlineLevel="0" collapsed="false">
      <c r="A855" s="12"/>
      <c r="B855" s="13"/>
      <c r="C855" s="14"/>
      <c r="D855" s="14"/>
      <c r="E855" s="15"/>
      <c r="F855" s="13"/>
      <c r="G855" s="16" t="str">
        <f aca="false">IF(OR(B855="",E855=""),"",E855*IFERROR(INDEX(Müşteriler!$B$5:$B$54,MATCH(B855,Müşteriler!$A$5:$A$54,0)),0))</f>
        <v/>
      </c>
    </row>
    <row r="856" customFormat="false" ht="15" hidden="false" customHeight="false" outlineLevel="0" collapsed="false">
      <c r="A856" s="12"/>
      <c r="B856" s="13"/>
      <c r="C856" s="14"/>
      <c r="D856" s="14"/>
      <c r="E856" s="15"/>
      <c r="F856" s="13"/>
      <c r="G856" s="16" t="str">
        <f aca="false">IF(OR(B856="",E856=""),"",E856*IFERROR(INDEX(Müşteriler!$B$5:$B$54,MATCH(B856,Müşteriler!$A$5:$A$54,0)),0))</f>
        <v/>
      </c>
    </row>
    <row r="857" customFormat="false" ht="15" hidden="false" customHeight="false" outlineLevel="0" collapsed="false">
      <c r="A857" s="12"/>
      <c r="B857" s="13"/>
      <c r="C857" s="14"/>
      <c r="D857" s="14"/>
      <c r="E857" s="15"/>
      <c r="F857" s="13"/>
      <c r="G857" s="16" t="str">
        <f aca="false">IF(OR(B857="",E857=""),"",E857*IFERROR(INDEX(Müşteriler!$B$5:$B$54,MATCH(B857,Müşteriler!$A$5:$A$54,0)),0))</f>
        <v/>
      </c>
    </row>
    <row r="858" customFormat="false" ht="15" hidden="false" customHeight="false" outlineLevel="0" collapsed="false">
      <c r="A858" s="12"/>
      <c r="B858" s="13"/>
      <c r="C858" s="14"/>
      <c r="D858" s="14"/>
      <c r="E858" s="15"/>
      <c r="F858" s="13"/>
      <c r="G858" s="16" t="str">
        <f aca="false">IF(OR(B858="",E858=""),"",E858*IFERROR(INDEX(Müşteriler!$B$5:$B$54,MATCH(B858,Müşteriler!$A$5:$A$54,0)),0))</f>
        <v/>
      </c>
    </row>
    <row r="859" customFormat="false" ht="15" hidden="false" customHeight="false" outlineLevel="0" collapsed="false">
      <c r="A859" s="12"/>
      <c r="B859" s="13"/>
      <c r="C859" s="14"/>
      <c r="D859" s="14"/>
      <c r="E859" s="15"/>
      <c r="F859" s="13"/>
      <c r="G859" s="16" t="str">
        <f aca="false">IF(OR(B859="",E859=""),"",E859*IFERROR(INDEX(Müşteriler!$B$5:$B$54,MATCH(B859,Müşteriler!$A$5:$A$54,0)),0))</f>
        <v/>
      </c>
    </row>
    <row r="860" customFormat="false" ht="15" hidden="false" customHeight="false" outlineLevel="0" collapsed="false">
      <c r="A860" s="12"/>
      <c r="B860" s="13"/>
      <c r="C860" s="14"/>
      <c r="D860" s="14"/>
      <c r="E860" s="15"/>
      <c r="F860" s="13"/>
      <c r="G860" s="16" t="str">
        <f aca="false">IF(OR(B860="",E860=""),"",E860*IFERROR(INDEX(Müşteriler!$B$5:$B$54,MATCH(B860,Müşteriler!$A$5:$A$54,0)),0))</f>
        <v/>
      </c>
    </row>
    <row r="861" customFormat="false" ht="15" hidden="false" customHeight="false" outlineLevel="0" collapsed="false">
      <c r="A861" s="12"/>
      <c r="B861" s="13"/>
      <c r="C861" s="14"/>
      <c r="D861" s="14"/>
      <c r="E861" s="15"/>
      <c r="F861" s="13"/>
      <c r="G861" s="16" t="str">
        <f aca="false">IF(OR(B861="",E861=""),"",E861*IFERROR(INDEX(Müşteriler!$B$5:$B$54,MATCH(B861,Müşteriler!$A$5:$A$54,0)),0))</f>
        <v/>
      </c>
    </row>
    <row r="862" customFormat="false" ht="15" hidden="false" customHeight="false" outlineLevel="0" collapsed="false">
      <c r="A862" s="12"/>
      <c r="B862" s="13"/>
      <c r="C862" s="14"/>
      <c r="D862" s="14"/>
      <c r="E862" s="15"/>
      <c r="F862" s="13"/>
      <c r="G862" s="16" t="str">
        <f aca="false">IF(OR(B862="",E862=""),"",E862*IFERROR(INDEX(Müşteriler!$B$5:$B$54,MATCH(B862,Müşteriler!$A$5:$A$54,0)),0))</f>
        <v/>
      </c>
    </row>
    <row r="863" customFormat="false" ht="15" hidden="false" customHeight="false" outlineLevel="0" collapsed="false">
      <c r="A863" s="12"/>
      <c r="B863" s="13"/>
      <c r="C863" s="14"/>
      <c r="D863" s="14"/>
      <c r="E863" s="15"/>
      <c r="F863" s="13"/>
      <c r="G863" s="16" t="str">
        <f aca="false">IF(OR(B863="",E863=""),"",E863*IFERROR(INDEX(Müşteriler!$B$5:$B$54,MATCH(B863,Müşteriler!$A$5:$A$54,0)),0))</f>
        <v/>
      </c>
    </row>
    <row r="864" customFormat="false" ht="15" hidden="false" customHeight="false" outlineLevel="0" collapsed="false">
      <c r="A864" s="12"/>
      <c r="B864" s="13"/>
      <c r="C864" s="14"/>
      <c r="D864" s="14"/>
      <c r="E864" s="15"/>
      <c r="F864" s="13"/>
      <c r="G864" s="16" t="str">
        <f aca="false">IF(OR(B864="",E864=""),"",E864*IFERROR(INDEX(Müşteriler!$B$5:$B$54,MATCH(B864,Müşteriler!$A$5:$A$54,0)),0))</f>
        <v/>
      </c>
    </row>
    <row r="865" customFormat="false" ht="15" hidden="false" customHeight="false" outlineLevel="0" collapsed="false">
      <c r="A865" s="12"/>
      <c r="B865" s="13"/>
      <c r="C865" s="14"/>
      <c r="D865" s="14"/>
      <c r="E865" s="15"/>
      <c r="F865" s="13"/>
      <c r="G865" s="16" t="str">
        <f aca="false">IF(OR(B865="",E865=""),"",E865*IFERROR(INDEX(Müşteriler!$B$5:$B$54,MATCH(B865,Müşteriler!$A$5:$A$54,0)),0))</f>
        <v/>
      </c>
    </row>
    <row r="866" customFormat="false" ht="15" hidden="false" customHeight="false" outlineLevel="0" collapsed="false">
      <c r="A866" s="12"/>
      <c r="B866" s="13"/>
      <c r="C866" s="14"/>
      <c r="D866" s="14"/>
      <c r="E866" s="15"/>
      <c r="F866" s="13"/>
      <c r="G866" s="16" t="str">
        <f aca="false">IF(OR(B866="",E866=""),"",E866*IFERROR(INDEX(Müşteriler!$B$5:$B$54,MATCH(B866,Müşteriler!$A$5:$A$54,0)),0))</f>
        <v/>
      </c>
    </row>
    <row r="867" customFormat="false" ht="15" hidden="false" customHeight="false" outlineLevel="0" collapsed="false">
      <c r="A867" s="12"/>
      <c r="B867" s="13"/>
      <c r="C867" s="14"/>
      <c r="D867" s="14"/>
      <c r="E867" s="15"/>
      <c r="F867" s="13"/>
      <c r="G867" s="16" t="str">
        <f aca="false">IF(OR(B867="",E867=""),"",E867*IFERROR(INDEX(Müşteriler!$B$5:$B$54,MATCH(B867,Müşteriler!$A$5:$A$54,0)),0))</f>
        <v/>
      </c>
    </row>
    <row r="868" customFormat="false" ht="15" hidden="false" customHeight="false" outlineLevel="0" collapsed="false">
      <c r="A868" s="12"/>
      <c r="B868" s="13"/>
      <c r="C868" s="14"/>
      <c r="D868" s="14"/>
      <c r="E868" s="15"/>
      <c r="F868" s="13"/>
      <c r="G868" s="16" t="str">
        <f aca="false">IF(OR(B868="",E868=""),"",E868*IFERROR(INDEX(Müşteriler!$B$5:$B$54,MATCH(B868,Müşteriler!$A$5:$A$54,0)),0))</f>
        <v/>
      </c>
    </row>
    <row r="869" customFormat="false" ht="15" hidden="false" customHeight="false" outlineLevel="0" collapsed="false">
      <c r="A869" s="12"/>
      <c r="B869" s="13"/>
      <c r="C869" s="14"/>
      <c r="D869" s="14"/>
      <c r="E869" s="15"/>
      <c r="F869" s="13"/>
      <c r="G869" s="16" t="str">
        <f aca="false">IF(OR(B869="",E869=""),"",E869*IFERROR(INDEX(Müşteriler!$B$5:$B$54,MATCH(B869,Müşteriler!$A$5:$A$54,0)),0))</f>
        <v/>
      </c>
    </row>
    <row r="870" customFormat="false" ht="15" hidden="false" customHeight="false" outlineLevel="0" collapsed="false">
      <c r="A870" s="12"/>
      <c r="B870" s="13"/>
      <c r="C870" s="14"/>
      <c r="D870" s="14"/>
      <c r="E870" s="15"/>
      <c r="F870" s="13"/>
      <c r="G870" s="16" t="str">
        <f aca="false">IF(OR(B870="",E870=""),"",E870*IFERROR(INDEX(Müşteriler!$B$5:$B$54,MATCH(B870,Müşteriler!$A$5:$A$54,0)),0))</f>
        <v/>
      </c>
    </row>
    <row r="871" customFormat="false" ht="15" hidden="false" customHeight="false" outlineLevel="0" collapsed="false">
      <c r="A871" s="12"/>
      <c r="B871" s="13"/>
      <c r="C871" s="14"/>
      <c r="D871" s="14"/>
      <c r="E871" s="15"/>
      <c r="F871" s="13"/>
      <c r="G871" s="16" t="str">
        <f aca="false">IF(OR(B871="",E871=""),"",E871*IFERROR(INDEX(Müşteriler!$B$5:$B$54,MATCH(B871,Müşteriler!$A$5:$A$54,0)),0))</f>
        <v/>
      </c>
    </row>
    <row r="872" customFormat="false" ht="15" hidden="false" customHeight="false" outlineLevel="0" collapsed="false">
      <c r="A872" s="12"/>
      <c r="B872" s="13"/>
      <c r="C872" s="14"/>
      <c r="D872" s="14"/>
      <c r="E872" s="15"/>
      <c r="F872" s="13"/>
      <c r="G872" s="16" t="str">
        <f aca="false">IF(OR(B872="",E872=""),"",E872*IFERROR(INDEX(Müşteriler!$B$5:$B$54,MATCH(B872,Müşteriler!$A$5:$A$54,0)),0))</f>
        <v/>
      </c>
    </row>
    <row r="873" customFormat="false" ht="15" hidden="false" customHeight="false" outlineLevel="0" collapsed="false">
      <c r="A873" s="12"/>
      <c r="B873" s="13"/>
      <c r="C873" s="14"/>
      <c r="D873" s="14"/>
      <c r="E873" s="15"/>
      <c r="F873" s="13"/>
      <c r="G873" s="16" t="str">
        <f aca="false">IF(OR(B873="",E873=""),"",E873*IFERROR(INDEX(Müşteriler!$B$5:$B$54,MATCH(B873,Müşteriler!$A$5:$A$54,0)),0))</f>
        <v/>
      </c>
    </row>
    <row r="874" customFormat="false" ht="15" hidden="false" customHeight="false" outlineLevel="0" collapsed="false">
      <c r="A874" s="12"/>
      <c r="B874" s="13"/>
      <c r="C874" s="14"/>
      <c r="D874" s="14"/>
      <c r="E874" s="15"/>
      <c r="F874" s="13"/>
      <c r="G874" s="16" t="str">
        <f aca="false">IF(OR(B874="",E874=""),"",E874*IFERROR(INDEX(Müşteriler!$B$5:$B$54,MATCH(B874,Müşteriler!$A$5:$A$54,0)),0))</f>
        <v/>
      </c>
    </row>
    <row r="875" customFormat="false" ht="15" hidden="false" customHeight="false" outlineLevel="0" collapsed="false">
      <c r="A875" s="12"/>
      <c r="B875" s="13"/>
      <c r="C875" s="14"/>
      <c r="D875" s="14"/>
      <c r="E875" s="15"/>
      <c r="F875" s="13"/>
      <c r="G875" s="16" t="str">
        <f aca="false">IF(OR(B875="",E875=""),"",E875*IFERROR(INDEX(Müşteriler!$B$5:$B$54,MATCH(B875,Müşteriler!$A$5:$A$54,0)),0))</f>
        <v/>
      </c>
    </row>
    <row r="876" customFormat="false" ht="15" hidden="false" customHeight="false" outlineLevel="0" collapsed="false">
      <c r="A876" s="12"/>
      <c r="B876" s="13"/>
      <c r="C876" s="14"/>
      <c r="D876" s="14"/>
      <c r="E876" s="15"/>
      <c r="F876" s="13"/>
      <c r="G876" s="16" t="str">
        <f aca="false">IF(OR(B876="",E876=""),"",E876*IFERROR(INDEX(Müşteriler!$B$5:$B$54,MATCH(B876,Müşteriler!$A$5:$A$54,0)),0))</f>
        <v/>
      </c>
    </row>
    <row r="877" customFormat="false" ht="15" hidden="false" customHeight="false" outlineLevel="0" collapsed="false">
      <c r="A877" s="12"/>
      <c r="B877" s="13"/>
      <c r="C877" s="14"/>
      <c r="D877" s="14"/>
      <c r="E877" s="15"/>
      <c r="F877" s="13"/>
      <c r="G877" s="16" t="str">
        <f aca="false">IF(OR(B877="",E877=""),"",E877*IFERROR(INDEX(Müşteriler!$B$5:$B$54,MATCH(B877,Müşteriler!$A$5:$A$54,0)),0))</f>
        <v/>
      </c>
    </row>
    <row r="878" customFormat="false" ht="15" hidden="false" customHeight="false" outlineLevel="0" collapsed="false">
      <c r="A878" s="12"/>
      <c r="B878" s="13"/>
      <c r="C878" s="14"/>
      <c r="D878" s="14"/>
      <c r="E878" s="15"/>
      <c r="F878" s="13"/>
      <c r="G878" s="16" t="str">
        <f aca="false">IF(OR(B878="",E878=""),"",E878*IFERROR(INDEX(Müşteriler!$B$5:$B$54,MATCH(B878,Müşteriler!$A$5:$A$54,0)),0))</f>
        <v/>
      </c>
    </row>
    <row r="879" customFormat="false" ht="15" hidden="false" customHeight="false" outlineLevel="0" collapsed="false">
      <c r="A879" s="12"/>
      <c r="B879" s="13"/>
      <c r="C879" s="14"/>
      <c r="D879" s="14"/>
      <c r="E879" s="15"/>
      <c r="F879" s="13"/>
      <c r="G879" s="16" t="str">
        <f aca="false">IF(OR(B879="",E879=""),"",E879*IFERROR(INDEX(Müşteriler!$B$5:$B$54,MATCH(B879,Müşteriler!$A$5:$A$54,0)),0))</f>
        <v/>
      </c>
    </row>
    <row r="880" customFormat="false" ht="15" hidden="false" customHeight="false" outlineLevel="0" collapsed="false">
      <c r="A880" s="12"/>
      <c r="B880" s="13"/>
      <c r="C880" s="14"/>
      <c r="D880" s="14"/>
      <c r="E880" s="15"/>
      <c r="F880" s="13"/>
      <c r="G880" s="16" t="str">
        <f aca="false">IF(OR(B880="",E880=""),"",E880*IFERROR(INDEX(Müşteriler!$B$5:$B$54,MATCH(B880,Müşteriler!$A$5:$A$54,0)),0))</f>
        <v/>
      </c>
    </row>
    <row r="881" customFormat="false" ht="15" hidden="false" customHeight="false" outlineLevel="0" collapsed="false">
      <c r="A881" s="12"/>
      <c r="B881" s="13"/>
      <c r="C881" s="14"/>
      <c r="D881" s="14"/>
      <c r="E881" s="15"/>
      <c r="F881" s="13"/>
      <c r="G881" s="16" t="str">
        <f aca="false">IF(OR(B881="",E881=""),"",E881*IFERROR(INDEX(Müşteriler!$B$5:$B$54,MATCH(B881,Müşteriler!$A$5:$A$54,0)),0))</f>
        <v/>
      </c>
    </row>
    <row r="882" customFormat="false" ht="15" hidden="false" customHeight="false" outlineLevel="0" collapsed="false">
      <c r="A882" s="12"/>
      <c r="B882" s="13"/>
      <c r="C882" s="14"/>
      <c r="D882" s="14"/>
      <c r="E882" s="15"/>
      <c r="F882" s="13"/>
      <c r="G882" s="16" t="str">
        <f aca="false">IF(OR(B882="",E882=""),"",E882*IFERROR(INDEX(Müşteriler!$B$5:$B$54,MATCH(B882,Müşteriler!$A$5:$A$54,0)),0))</f>
        <v/>
      </c>
    </row>
    <row r="883" customFormat="false" ht="15" hidden="false" customHeight="false" outlineLevel="0" collapsed="false">
      <c r="A883" s="12"/>
      <c r="B883" s="13"/>
      <c r="C883" s="14"/>
      <c r="D883" s="14"/>
      <c r="E883" s="15"/>
      <c r="F883" s="13"/>
      <c r="G883" s="16" t="str">
        <f aca="false">IF(OR(B883="",E883=""),"",E883*IFERROR(INDEX(Müşteriler!$B$5:$B$54,MATCH(B883,Müşteriler!$A$5:$A$54,0)),0))</f>
        <v/>
      </c>
    </row>
    <row r="884" customFormat="false" ht="15" hidden="false" customHeight="false" outlineLevel="0" collapsed="false">
      <c r="A884" s="12"/>
      <c r="B884" s="13"/>
      <c r="C884" s="14"/>
      <c r="D884" s="14"/>
      <c r="E884" s="15"/>
      <c r="F884" s="13"/>
      <c r="G884" s="16" t="str">
        <f aca="false">IF(OR(B884="",E884=""),"",E884*IFERROR(INDEX(Müşteriler!$B$5:$B$54,MATCH(B884,Müşteriler!$A$5:$A$54,0)),0))</f>
        <v/>
      </c>
    </row>
    <row r="885" customFormat="false" ht="15" hidden="false" customHeight="false" outlineLevel="0" collapsed="false">
      <c r="A885" s="12"/>
      <c r="B885" s="13"/>
      <c r="C885" s="14"/>
      <c r="D885" s="14"/>
      <c r="E885" s="15"/>
      <c r="F885" s="13"/>
      <c r="G885" s="16" t="str">
        <f aca="false">IF(OR(B885="",E885=""),"",E885*IFERROR(INDEX(Müşteriler!$B$5:$B$54,MATCH(B885,Müşteriler!$A$5:$A$54,0)),0))</f>
        <v/>
      </c>
    </row>
    <row r="886" customFormat="false" ht="15" hidden="false" customHeight="false" outlineLevel="0" collapsed="false">
      <c r="A886" s="12"/>
      <c r="B886" s="13"/>
      <c r="C886" s="14"/>
      <c r="D886" s="14"/>
      <c r="E886" s="15"/>
      <c r="F886" s="13"/>
      <c r="G886" s="16" t="str">
        <f aca="false">IF(OR(B886="",E886=""),"",E886*IFERROR(INDEX(Müşteriler!$B$5:$B$54,MATCH(B886,Müşteriler!$A$5:$A$54,0)),0))</f>
        <v/>
      </c>
    </row>
    <row r="887" customFormat="false" ht="15" hidden="false" customHeight="false" outlineLevel="0" collapsed="false">
      <c r="A887" s="12"/>
      <c r="B887" s="13"/>
      <c r="C887" s="14"/>
      <c r="D887" s="14"/>
      <c r="E887" s="15"/>
      <c r="F887" s="13"/>
      <c r="G887" s="16" t="str">
        <f aca="false">IF(OR(B887="",E887=""),"",E887*IFERROR(INDEX(Müşteriler!$B$5:$B$54,MATCH(B887,Müşteriler!$A$5:$A$54,0)),0))</f>
        <v/>
      </c>
    </row>
    <row r="888" customFormat="false" ht="15" hidden="false" customHeight="false" outlineLevel="0" collapsed="false">
      <c r="A888" s="12"/>
      <c r="B888" s="13"/>
      <c r="C888" s="14"/>
      <c r="D888" s="14"/>
      <c r="E888" s="15"/>
      <c r="F888" s="13"/>
      <c r="G888" s="16" t="str">
        <f aca="false">IF(OR(B888="",E888=""),"",E888*IFERROR(INDEX(Müşteriler!$B$5:$B$54,MATCH(B888,Müşteriler!$A$5:$A$54,0)),0))</f>
        <v/>
      </c>
    </row>
    <row r="889" customFormat="false" ht="15" hidden="false" customHeight="false" outlineLevel="0" collapsed="false">
      <c r="A889" s="12"/>
      <c r="B889" s="13"/>
      <c r="C889" s="14"/>
      <c r="D889" s="14"/>
      <c r="E889" s="15"/>
      <c r="F889" s="13"/>
      <c r="G889" s="16" t="str">
        <f aca="false">IF(OR(B889="",E889=""),"",E889*IFERROR(INDEX(Müşteriler!$B$5:$B$54,MATCH(B889,Müşteriler!$A$5:$A$54,0)),0))</f>
        <v/>
      </c>
    </row>
    <row r="890" customFormat="false" ht="15" hidden="false" customHeight="false" outlineLevel="0" collapsed="false">
      <c r="A890" s="12"/>
      <c r="B890" s="13"/>
      <c r="C890" s="14"/>
      <c r="D890" s="14"/>
      <c r="E890" s="15"/>
      <c r="F890" s="13"/>
      <c r="G890" s="16" t="str">
        <f aca="false">IF(OR(B890="",E890=""),"",E890*IFERROR(INDEX(Müşteriler!$B$5:$B$54,MATCH(B890,Müşteriler!$A$5:$A$54,0)),0))</f>
        <v/>
      </c>
    </row>
    <row r="891" customFormat="false" ht="15" hidden="false" customHeight="false" outlineLevel="0" collapsed="false">
      <c r="A891" s="12"/>
      <c r="B891" s="13"/>
      <c r="C891" s="14"/>
      <c r="D891" s="14"/>
      <c r="E891" s="15"/>
      <c r="F891" s="13"/>
      <c r="G891" s="16" t="str">
        <f aca="false">IF(OR(B891="",E891=""),"",E891*IFERROR(INDEX(Müşteriler!$B$5:$B$54,MATCH(B891,Müşteriler!$A$5:$A$54,0)),0))</f>
        <v/>
      </c>
    </row>
    <row r="892" customFormat="false" ht="15" hidden="false" customHeight="false" outlineLevel="0" collapsed="false">
      <c r="A892" s="12"/>
      <c r="B892" s="13"/>
      <c r="C892" s="14"/>
      <c r="D892" s="14"/>
      <c r="E892" s="15"/>
      <c r="F892" s="13"/>
      <c r="G892" s="16" t="str">
        <f aca="false">IF(OR(B892="",E892=""),"",E892*IFERROR(INDEX(Müşteriler!$B$5:$B$54,MATCH(B892,Müşteriler!$A$5:$A$54,0)),0))</f>
        <v/>
      </c>
    </row>
    <row r="893" customFormat="false" ht="15" hidden="false" customHeight="false" outlineLevel="0" collapsed="false">
      <c r="A893" s="12"/>
      <c r="B893" s="13"/>
      <c r="C893" s="14"/>
      <c r="D893" s="14"/>
      <c r="E893" s="15"/>
      <c r="F893" s="13"/>
      <c r="G893" s="16" t="str">
        <f aca="false">IF(OR(B893="",E893=""),"",E893*IFERROR(INDEX(Müşteriler!$B$5:$B$54,MATCH(B893,Müşteriler!$A$5:$A$54,0)),0))</f>
        <v/>
      </c>
    </row>
    <row r="894" customFormat="false" ht="15" hidden="false" customHeight="false" outlineLevel="0" collapsed="false">
      <c r="A894" s="12"/>
      <c r="B894" s="13"/>
      <c r="C894" s="14"/>
      <c r="D894" s="14"/>
      <c r="E894" s="15"/>
      <c r="F894" s="13"/>
      <c r="G894" s="16" t="str">
        <f aca="false">IF(OR(B894="",E894=""),"",E894*IFERROR(INDEX(Müşteriler!$B$5:$B$54,MATCH(B894,Müşteriler!$A$5:$A$54,0)),0))</f>
        <v/>
      </c>
    </row>
    <row r="895" customFormat="false" ht="15" hidden="false" customHeight="false" outlineLevel="0" collapsed="false">
      <c r="A895" s="12"/>
      <c r="B895" s="13"/>
      <c r="C895" s="14"/>
      <c r="D895" s="14"/>
      <c r="E895" s="15"/>
      <c r="F895" s="13"/>
      <c r="G895" s="16" t="str">
        <f aca="false">IF(OR(B895="",E895=""),"",E895*IFERROR(INDEX(Müşteriler!$B$5:$B$54,MATCH(B895,Müşteriler!$A$5:$A$54,0)),0))</f>
        <v/>
      </c>
    </row>
    <row r="896" customFormat="false" ht="15" hidden="false" customHeight="false" outlineLevel="0" collapsed="false">
      <c r="A896" s="12"/>
      <c r="B896" s="13"/>
      <c r="C896" s="14"/>
      <c r="D896" s="14"/>
      <c r="E896" s="15"/>
      <c r="F896" s="13"/>
      <c r="G896" s="16" t="str">
        <f aca="false">IF(OR(B896="",E896=""),"",E896*IFERROR(INDEX(Müşteriler!$B$5:$B$54,MATCH(B896,Müşteriler!$A$5:$A$54,0)),0))</f>
        <v/>
      </c>
    </row>
    <row r="897" customFormat="false" ht="15" hidden="false" customHeight="false" outlineLevel="0" collapsed="false">
      <c r="A897" s="12"/>
      <c r="B897" s="13"/>
      <c r="C897" s="14"/>
      <c r="D897" s="14"/>
      <c r="E897" s="15"/>
      <c r="F897" s="13"/>
      <c r="G897" s="16" t="str">
        <f aca="false">IF(OR(B897="",E897=""),"",E897*IFERROR(INDEX(Müşteriler!$B$5:$B$54,MATCH(B897,Müşteriler!$A$5:$A$54,0)),0))</f>
        <v/>
      </c>
    </row>
    <row r="898" customFormat="false" ht="15" hidden="false" customHeight="false" outlineLevel="0" collapsed="false">
      <c r="A898" s="12"/>
      <c r="B898" s="13"/>
      <c r="C898" s="14"/>
      <c r="D898" s="14"/>
      <c r="E898" s="15"/>
      <c r="F898" s="13"/>
      <c r="G898" s="16" t="str">
        <f aca="false">IF(OR(B898="",E898=""),"",E898*IFERROR(INDEX(Müşteriler!$B$5:$B$54,MATCH(B898,Müşteriler!$A$5:$A$54,0)),0))</f>
        <v/>
      </c>
    </row>
    <row r="899" customFormat="false" ht="15" hidden="false" customHeight="false" outlineLevel="0" collapsed="false">
      <c r="A899" s="12"/>
      <c r="B899" s="13"/>
      <c r="C899" s="14"/>
      <c r="D899" s="14"/>
      <c r="E899" s="15"/>
      <c r="F899" s="13"/>
      <c r="G899" s="16" t="str">
        <f aca="false">IF(OR(B899="",E899=""),"",E899*IFERROR(INDEX(Müşteriler!$B$5:$B$54,MATCH(B899,Müşteriler!$A$5:$A$54,0)),0))</f>
        <v/>
      </c>
    </row>
    <row r="900" customFormat="false" ht="15" hidden="false" customHeight="false" outlineLevel="0" collapsed="false">
      <c r="A900" s="12"/>
      <c r="B900" s="13"/>
      <c r="C900" s="14"/>
      <c r="D900" s="14"/>
      <c r="E900" s="15"/>
      <c r="F900" s="13"/>
      <c r="G900" s="16" t="str">
        <f aca="false">IF(OR(B900="",E900=""),"",E900*IFERROR(INDEX(Müşteriler!$B$5:$B$54,MATCH(B900,Müşteriler!$A$5:$A$54,0)),0))</f>
        <v/>
      </c>
    </row>
    <row r="901" customFormat="false" ht="15" hidden="false" customHeight="false" outlineLevel="0" collapsed="false">
      <c r="A901" s="12"/>
      <c r="B901" s="13"/>
      <c r="C901" s="14"/>
      <c r="D901" s="14"/>
      <c r="E901" s="15"/>
      <c r="F901" s="13"/>
      <c r="G901" s="16" t="str">
        <f aca="false">IF(OR(B901="",E901=""),"",E901*IFERROR(INDEX(Müşteriler!$B$5:$B$54,MATCH(B901,Müşteriler!$A$5:$A$54,0)),0))</f>
        <v/>
      </c>
    </row>
    <row r="902" customFormat="false" ht="15" hidden="false" customHeight="false" outlineLevel="0" collapsed="false">
      <c r="A902" s="12"/>
      <c r="B902" s="13"/>
      <c r="C902" s="14"/>
      <c r="D902" s="14"/>
      <c r="E902" s="15"/>
      <c r="F902" s="13"/>
      <c r="G902" s="16" t="str">
        <f aca="false">IF(OR(B902="",E902=""),"",E902*IFERROR(INDEX(Müşteriler!$B$5:$B$54,MATCH(B902,Müşteriler!$A$5:$A$54,0)),0))</f>
        <v/>
      </c>
    </row>
    <row r="903" customFormat="false" ht="15" hidden="false" customHeight="false" outlineLevel="0" collapsed="false">
      <c r="A903" s="12"/>
      <c r="B903" s="13"/>
      <c r="C903" s="14"/>
      <c r="D903" s="14"/>
      <c r="E903" s="15"/>
      <c r="F903" s="13"/>
      <c r="G903" s="16" t="str">
        <f aca="false">IF(OR(B903="",E903=""),"",E903*IFERROR(INDEX(Müşteriler!$B$5:$B$54,MATCH(B903,Müşteriler!$A$5:$A$54,0)),0))</f>
        <v/>
      </c>
    </row>
    <row r="904" customFormat="false" ht="15" hidden="false" customHeight="false" outlineLevel="0" collapsed="false">
      <c r="A904" s="12"/>
      <c r="B904" s="13"/>
      <c r="C904" s="14"/>
      <c r="D904" s="14"/>
      <c r="E904" s="15"/>
      <c r="F904" s="13"/>
      <c r="G904" s="16" t="str">
        <f aca="false">IF(OR(B904="",E904=""),"",E904*IFERROR(INDEX(Müşteriler!$B$5:$B$54,MATCH(B904,Müşteriler!$A$5:$A$54,0)),0))</f>
        <v/>
      </c>
    </row>
    <row r="905" customFormat="false" ht="15" hidden="false" customHeight="false" outlineLevel="0" collapsed="false">
      <c r="A905" s="12"/>
      <c r="B905" s="13"/>
      <c r="C905" s="14"/>
      <c r="D905" s="14"/>
      <c r="E905" s="15"/>
      <c r="F905" s="13"/>
      <c r="G905" s="16" t="str">
        <f aca="false">IF(OR(B905="",E905=""),"",E905*IFERROR(INDEX(Müşteriler!$B$5:$B$54,MATCH(B905,Müşteriler!$A$5:$A$54,0)),0))</f>
        <v/>
      </c>
    </row>
    <row r="906" customFormat="false" ht="15" hidden="false" customHeight="false" outlineLevel="0" collapsed="false">
      <c r="A906" s="12"/>
      <c r="B906" s="13"/>
      <c r="C906" s="14"/>
      <c r="D906" s="14"/>
      <c r="E906" s="15"/>
      <c r="F906" s="13"/>
      <c r="G906" s="16" t="str">
        <f aca="false">IF(OR(B906="",E906=""),"",E906*IFERROR(INDEX(Müşteriler!$B$5:$B$54,MATCH(B906,Müşteriler!$A$5:$A$54,0)),0))</f>
        <v/>
      </c>
    </row>
    <row r="907" customFormat="false" ht="15" hidden="false" customHeight="false" outlineLevel="0" collapsed="false">
      <c r="A907" s="12"/>
      <c r="B907" s="13"/>
      <c r="C907" s="14"/>
      <c r="D907" s="14"/>
      <c r="E907" s="15"/>
      <c r="F907" s="13"/>
      <c r="G907" s="16" t="str">
        <f aca="false">IF(OR(B907="",E907=""),"",E907*IFERROR(INDEX(Müşteriler!$B$5:$B$54,MATCH(B907,Müşteriler!$A$5:$A$54,0)),0))</f>
        <v/>
      </c>
    </row>
    <row r="908" customFormat="false" ht="15" hidden="false" customHeight="false" outlineLevel="0" collapsed="false">
      <c r="A908" s="12"/>
      <c r="B908" s="13"/>
      <c r="C908" s="14"/>
      <c r="D908" s="14"/>
      <c r="E908" s="15"/>
      <c r="F908" s="13"/>
      <c r="G908" s="16" t="str">
        <f aca="false">IF(OR(B908="",E908=""),"",E908*IFERROR(INDEX(Müşteriler!$B$5:$B$54,MATCH(B908,Müşteriler!$A$5:$A$54,0)),0))</f>
        <v/>
      </c>
    </row>
    <row r="909" customFormat="false" ht="15" hidden="false" customHeight="false" outlineLevel="0" collapsed="false">
      <c r="A909" s="12"/>
      <c r="B909" s="13"/>
      <c r="C909" s="14"/>
      <c r="D909" s="14"/>
      <c r="E909" s="15"/>
      <c r="F909" s="13"/>
      <c r="G909" s="16" t="str">
        <f aca="false">IF(OR(B909="",E909=""),"",E909*IFERROR(INDEX(Müşteriler!$B$5:$B$54,MATCH(B909,Müşteriler!$A$5:$A$54,0)),0))</f>
        <v/>
      </c>
    </row>
    <row r="910" customFormat="false" ht="15" hidden="false" customHeight="false" outlineLevel="0" collapsed="false">
      <c r="A910" s="12"/>
      <c r="B910" s="13"/>
      <c r="C910" s="14"/>
      <c r="D910" s="14"/>
      <c r="E910" s="15"/>
      <c r="F910" s="13"/>
      <c r="G910" s="16" t="str">
        <f aca="false">IF(OR(B910="",E910=""),"",E910*IFERROR(INDEX(Müşteriler!$B$5:$B$54,MATCH(B910,Müşteriler!$A$5:$A$54,0)),0))</f>
        <v/>
      </c>
    </row>
    <row r="911" customFormat="false" ht="15" hidden="false" customHeight="false" outlineLevel="0" collapsed="false">
      <c r="A911" s="12"/>
      <c r="B911" s="13"/>
      <c r="C911" s="14"/>
      <c r="D911" s="14"/>
      <c r="E911" s="15"/>
      <c r="F911" s="13"/>
      <c r="G911" s="16" t="str">
        <f aca="false">IF(OR(B911="",E911=""),"",E911*IFERROR(INDEX(Müşteriler!$B$5:$B$54,MATCH(B911,Müşteriler!$A$5:$A$54,0)),0))</f>
        <v/>
      </c>
    </row>
    <row r="912" customFormat="false" ht="15" hidden="false" customHeight="false" outlineLevel="0" collapsed="false">
      <c r="A912" s="12"/>
      <c r="B912" s="13"/>
      <c r="C912" s="14"/>
      <c r="D912" s="14"/>
      <c r="E912" s="15"/>
      <c r="F912" s="13"/>
      <c r="G912" s="16" t="str">
        <f aca="false">IF(OR(B912="",E912=""),"",E912*IFERROR(INDEX(Müşteriler!$B$5:$B$54,MATCH(B912,Müşteriler!$A$5:$A$54,0)),0))</f>
        <v/>
      </c>
    </row>
    <row r="913" customFormat="false" ht="15" hidden="false" customHeight="false" outlineLevel="0" collapsed="false">
      <c r="A913" s="12"/>
      <c r="B913" s="13"/>
      <c r="C913" s="14"/>
      <c r="D913" s="14"/>
      <c r="E913" s="15"/>
      <c r="F913" s="13"/>
      <c r="G913" s="16" t="str">
        <f aca="false">IF(OR(B913="",E913=""),"",E913*IFERROR(INDEX(Müşteriler!$B$5:$B$54,MATCH(B913,Müşteriler!$A$5:$A$54,0)),0))</f>
        <v/>
      </c>
    </row>
    <row r="914" customFormat="false" ht="15" hidden="false" customHeight="false" outlineLevel="0" collapsed="false">
      <c r="A914" s="12"/>
      <c r="B914" s="13"/>
      <c r="C914" s="14"/>
      <c r="D914" s="14"/>
      <c r="E914" s="15"/>
      <c r="F914" s="13"/>
      <c r="G914" s="16" t="str">
        <f aca="false">IF(OR(B914="",E914=""),"",E914*IFERROR(INDEX(Müşteriler!$B$5:$B$54,MATCH(B914,Müşteriler!$A$5:$A$54,0)),0))</f>
        <v/>
      </c>
    </row>
    <row r="915" customFormat="false" ht="15" hidden="false" customHeight="false" outlineLevel="0" collapsed="false">
      <c r="A915" s="12"/>
      <c r="B915" s="13"/>
      <c r="C915" s="14"/>
      <c r="D915" s="14"/>
      <c r="E915" s="15"/>
      <c r="F915" s="13"/>
      <c r="G915" s="16" t="str">
        <f aca="false">IF(OR(B915="",E915=""),"",E915*IFERROR(INDEX(Müşteriler!$B$5:$B$54,MATCH(B915,Müşteriler!$A$5:$A$54,0)),0))</f>
        <v/>
      </c>
    </row>
    <row r="916" customFormat="false" ht="15" hidden="false" customHeight="false" outlineLevel="0" collapsed="false">
      <c r="A916" s="12"/>
      <c r="B916" s="13"/>
      <c r="C916" s="14"/>
      <c r="D916" s="14"/>
      <c r="E916" s="15"/>
      <c r="F916" s="13"/>
      <c r="G916" s="16" t="str">
        <f aca="false">IF(OR(B916="",E916=""),"",E916*IFERROR(INDEX(Müşteriler!$B$5:$B$54,MATCH(B916,Müşteriler!$A$5:$A$54,0)),0))</f>
        <v/>
      </c>
    </row>
    <row r="917" customFormat="false" ht="15" hidden="false" customHeight="false" outlineLevel="0" collapsed="false">
      <c r="A917" s="12"/>
      <c r="B917" s="13"/>
      <c r="C917" s="14"/>
      <c r="D917" s="14"/>
      <c r="E917" s="15"/>
      <c r="F917" s="13"/>
      <c r="G917" s="16" t="str">
        <f aca="false">IF(OR(B917="",E917=""),"",E917*IFERROR(INDEX(Müşteriler!$B$5:$B$54,MATCH(B917,Müşteriler!$A$5:$A$54,0)),0))</f>
        <v/>
      </c>
    </row>
    <row r="918" customFormat="false" ht="15" hidden="false" customHeight="false" outlineLevel="0" collapsed="false">
      <c r="A918" s="12"/>
      <c r="B918" s="13"/>
      <c r="C918" s="14"/>
      <c r="D918" s="14"/>
      <c r="E918" s="15"/>
      <c r="F918" s="13"/>
      <c r="G918" s="16" t="str">
        <f aca="false">IF(OR(B918="",E918=""),"",E918*IFERROR(INDEX(Müşteriler!$B$5:$B$54,MATCH(B918,Müşteriler!$A$5:$A$54,0)),0))</f>
        <v/>
      </c>
    </row>
    <row r="919" customFormat="false" ht="15" hidden="false" customHeight="false" outlineLevel="0" collapsed="false">
      <c r="A919" s="12"/>
      <c r="B919" s="13"/>
      <c r="C919" s="14"/>
      <c r="D919" s="14"/>
      <c r="E919" s="15"/>
      <c r="F919" s="13"/>
      <c r="G919" s="16" t="str">
        <f aca="false">IF(OR(B919="",E919=""),"",E919*IFERROR(INDEX(Müşteriler!$B$5:$B$54,MATCH(B919,Müşteriler!$A$5:$A$54,0)),0))</f>
        <v/>
      </c>
    </row>
    <row r="920" customFormat="false" ht="15" hidden="false" customHeight="false" outlineLevel="0" collapsed="false">
      <c r="A920" s="12"/>
      <c r="B920" s="13"/>
      <c r="C920" s="14"/>
      <c r="D920" s="14"/>
      <c r="E920" s="15"/>
      <c r="F920" s="13"/>
      <c r="G920" s="16" t="str">
        <f aca="false">IF(OR(B920="",E920=""),"",E920*IFERROR(INDEX(Müşteriler!$B$5:$B$54,MATCH(B920,Müşteriler!$A$5:$A$54,0)),0))</f>
        <v/>
      </c>
    </row>
    <row r="921" customFormat="false" ht="15" hidden="false" customHeight="false" outlineLevel="0" collapsed="false">
      <c r="A921" s="12"/>
      <c r="B921" s="13"/>
      <c r="C921" s="14"/>
      <c r="D921" s="14"/>
      <c r="E921" s="15"/>
      <c r="F921" s="13"/>
      <c r="G921" s="16" t="str">
        <f aca="false">IF(OR(B921="",E921=""),"",E921*IFERROR(INDEX(Müşteriler!$B$5:$B$54,MATCH(B921,Müşteriler!$A$5:$A$54,0)),0))</f>
        <v/>
      </c>
    </row>
    <row r="922" customFormat="false" ht="15" hidden="false" customHeight="false" outlineLevel="0" collapsed="false">
      <c r="A922" s="12"/>
      <c r="B922" s="13"/>
      <c r="C922" s="14"/>
      <c r="D922" s="14"/>
      <c r="E922" s="15"/>
      <c r="F922" s="13"/>
      <c r="G922" s="16" t="str">
        <f aca="false">IF(OR(B922="",E922=""),"",E922*IFERROR(INDEX(Müşteriler!$B$5:$B$54,MATCH(B922,Müşteriler!$A$5:$A$54,0)),0))</f>
        <v/>
      </c>
    </row>
    <row r="923" customFormat="false" ht="15" hidden="false" customHeight="false" outlineLevel="0" collapsed="false">
      <c r="A923" s="12"/>
      <c r="B923" s="13"/>
      <c r="C923" s="14"/>
      <c r="D923" s="14"/>
      <c r="E923" s="15"/>
      <c r="F923" s="13"/>
      <c r="G923" s="16" t="str">
        <f aca="false">IF(OR(B923="",E923=""),"",E923*IFERROR(INDEX(Müşteriler!$B$5:$B$54,MATCH(B923,Müşteriler!$A$5:$A$54,0)),0))</f>
        <v/>
      </c>
    </row>
    <row r="924" customFormat="false" ht="15" hidden="false" customHeight="false" outlineLevel="0" collapsed="false">
      <c r="A924" s="12"/>
      <c r="B924" s="13"/>
      <c r="C924" s="14"/>
      <c r="D924" s="14"/>
      <c r="E924" s="15"/>
      <c r="F924" s="13"/>
      <c r="G924" s="16" t="str">
        <f aca="false">IF(OR(B924="",E924=""),"",E924*IFERROR(INDEX(Müşteriler!$B$5:$B$54,MATCH(B924,Müşteriler!$A$5:$A$54,0)),0))</f>
        <v/>
      </c>
    </row>
    <row r="925" customFormat="false" ht="15" hidden="false" customHeight="false" outlineLevel="0" collapsed="false">
      <c r="A925" s="12"/>
      <c r="B925" s="13"/>
      <c r="C925" s="14"/>
      <c r="D925" s="14"/>
      <c r="E925" s="15"/>
      <c r="F925" s="13"/>
      <c r="G925" s="16" t="str">
        <f aca="false">IF(OR(B925="",E925=""),"",E925*IFERROR(INDEX(Müşteriler!$B$5:$B$54,MATCH(B925,Müşteriler!$A$5:$A$54,0)),0))</f>
        <v/>
      </c>
    </row>
    <row r="926" customFormat="false" ht="15" hidden="false" customHeight="false" outlineLevel="0" collapsed="false">
      <c r="A926" s="12"/>
      <c r="B926" s="13"/>
      <c r="C926" s="14"/>
      <c r="D926" s="14"/>
      <c r="E926" s="15"/>
      <c r="F926" s="13"/>
      <c r="G926" s="16" t="str">
        <f aca="false">IF(OR(B926="",E926=""),"",E926*IFERROR(INDEX(Müşteriler!$B$5:$B$54,MATCH(B926,Müşteriler!$A$5:$A$54,0)),0))</f>
        <v/>
      </c>
    </row>
    <row r="927" customFormat="false" ht="15" hidden="false" customHeight="false" outlineLevel="0" collapsed="false">
      <c r="A927" s="12"/>
      <c r="B927" s="13"/>
      <c r="C927" s="14"/>
      <c r="D927" s="14"/>
      <c r="E927" s="15"/>
      <c r="F927" s="13"/>
      <c r="G927" s="16" t="str">
        <f aca="false">IF(OR(B927="",E927=""),"",E927*IFERROR(INDEX(Müşteriler!$B$5:$B$54,MATCH(B927,Müşteriler!$A$5:$A$54,0)),0))</f>
        <v/>
      </c>
    </row>
    <row r="928" customFormat="false" ht="15" hidden="false" customHeight="false" outlineLevel="0" collapsed="false">
      <c r="A928" s="12"/>
      <c r="B928" s="13"/>
      <c r="C928" s="14"/>
      <c r="D928" s="14"/>
      <c r="E928" s="15"/>
      <c r="F928" s="13"/>
      <c r="G928" s="16" t="str">
        <f aca="false">IF(OR(B928="",E928=""),"",E928*IFERROR(INDEX(Müşteriler!$B$5:$B$54,MATCH(B928,Müşteriler!$A$5:$A$54,0)),0))</f>
        <v/>
      </c>
    </row>
    <row r="929" customFormat="false" ht="15" hidden="false" customHeight="false" outlineLevel="0" collapsed="false">
      <c r="A929" s="12"/>
      <c r="B929" s="13"/>
      <c r="C929" s="14"/>
      <c r="D929" s="14"/>
      <c r="E929" s="15"/>
      <c r="F929" s="13"/>
      <c r="G929" s="16" t="str">
        <f aca="false">IF(OR(B929="",E929=""),"",E929*IFERROR(INDEX(Müşteriler!$B$5:$B$54,MATCH(B929,Müşteriler!$A$5:$A$54,0)),0))</f>
        <v/>
      </c>
    </row>
    <row r="930" customFormat="false" ht="15" hidden="false" customHeight="false" outlineLevel="0" collapsed="false">
      <c r="A930" s="12"/>
      <c r="B930" s="13"/>
      <c r="C930" s="14"/>
      <c r="D930" s="14"/>
      <c r="E930" s="15"/>
      <c r="F930" s="13"/>
      <c r="G930" s="16" t="str">
        <f aca="false">IF(OR(B930="",E930=""),"",E930*IFERROR(INDEX(Müşteriler!$B$5:$B$54,MATCH(B930,Müşteriler!$A$5:$A$54,0)),0))</f>
        <v/>
      </c>
    </row>
    <row r="931" customFormat="false" ht="15" hidden="false" customHeight="false" outlineLevel="0" collapsed="false">
      <c r="A931" s="12"/>
      <c r="B931" s="13"/>
      <c r="C931" s="14"/>
      <c r="D931" s="14"/>
      <c r="E931" s="15"/>
      <c r="F931" s="13"/>
      <c r="G931" s="16" t="str">
        <f aca="false">IF(OR(B931="",E931=""),"",E931*IFERROR(INDEX(Müşteriler!$B$5:$B$54,MATCH(B931,Müşteriler!$A$5:$A$54,0)),0))</f>
        <v/>
      </c>
    </row>
    <row r="932" customFormat="false" ht="15" hidden="false" customHeight="false" outlineLevel="0" collapsed="false">
      <c r="A932" s="12"/>
      <c r="B932" s="13"/>
      <c r="C932" s="14"/>
      <c r="D932" s="14"/>
      <c r="E932" s="15"/>
      <c r="F932" s="13"/>
      <c r="G932" s="16" t="str">
        <f aca="false">IF(OR(B932="",E932=""),"",E932*IFERROR(INDEX(Müşteriler!$B$5:$B$54,MATCH(B932,Müşteriler!$A$5:$A$54,0)),0))</f>
        <v/>
      </c>
    </row>
    <row r="933" customFormat="false" ht="15" hidden="false" customHeight="false" outlineLevel="0" collapsed="false">
      <c r="A933" s="12"/>
      <c r="B933" s="13"/>
      <c r="C933" s="14"/>
      <c r="D933" s="14"/>
      <c r="E933" s="15"/>
      <c r="F933" s="13"/>
      <c r="G933" s="16" t="str">
        <f aca="false">IF(OR(B933="",E933=""),"",E933*IFERROR(INDEX(Müşteriler!$B$5:$B$54,MATCH(B933,Müşteriler!$A$5:$A$54,0)),0))</f>
        <v/>
      </c>
    </row>
    <row r="934" customFormat="false" ht="15" hidden="false" customHeight="false" outlineLevel="0" collapsed="false">
      <c r="A934" s="12"/>
      <c r="B934" s="13"/>
      <c r="C934" s="14"/>
      <c r="D934" s="14"/>
      <c r="E934" s="15"/>
      <c r="F934" s="13"/>
      <c r="G934" s="16" t="str">
        <f aca="false">IF(OR(B934="",E934=""),"",E934*IFERROR(INDEX(Müşteriler!$B$5:$B$54,MATCH(B934,Müşteriler!$A$5:$A$54,0)),0))</f>
        <v/>
      </c>
    </row>
    <row r="935" customFormat="false" ht="15" hidden="false" customHeight="false" outlineLevel="0" collapsed="false">
      <c r="A935" s="12"/>
      <c r="B935" s="13"/>
      <c r="C935" s="14"/>
      <c r="D935" s="14"/>
      <c r="E935" s="15"/>
      <c r="F935" s="13"/>
      <c r="G935" s="16" t="str">
        <f aca="false">IF(OR(B935="",E935=""),"",E935*IFERROR(INDEX(Müşteriler!$B$5:$B$54,MATCH(B935,Müşteriler!$A$5:$A$54,0)),0))</f>
        <v/>
      </c>
    </row>
    <row r="936" customFormat="false" ht="15" hidden="false" customHeight="false" outlineLevel="0" collapsed="false">
      <c r="A936" s="12"/>
      <c r="B936" s="13"/>
      <c r="C936" s="14"/>
      <c r="D936" s="14"/>
      <c r="E936" s="15"/>
      <c r="F936" s="13"/>
      <c r="G936" s="16" t="str">
        <f aca="false">IF(OR(B936="",E936=""),"",E936*IFERROR(INDEX(Müşteriler!$B$5:$B$54,MATCH(B936,Müşteriler!$A$5:$A$54,0)),0))</f>
        <v/>
      </c>
    </row>
    <row r="937" customFormat="false" ht="15" hidden="false" customHeight="false" outlineLevel="0" collapsed="false">
      <c r="A937" s="12"/>
      <c r="B937" s="13"/>
      <c r="C937" s="14"/>
      <c r="D937" s="14"/>
      <c r="E937" s="15"/>
      <c r="F937" s="13"/>
      <c r="G937" s="16" t="str">
        <f aca="false">IF(OR(B937="",E937=""),"",E937*IFERROR(INDEX(Müşteriler!$B$5:$B$54,MATCH(B937,Müşteriler!$A$5:$A$54,0)),0))</f>
        <v/>
      </c>
    </row>
    <row r="938" customFormat="false" ht="15" hidden="false" customHeight="false" outlineLevel="0" collapsed="false">
      <c r="A938" s="12"/>
      <c r="B938" s="13"/>
      <c r="C938" s="14"/>
      <c r="D938" s="14"/>
      <c r="E938" s="15"/>
      <c r="F938" s="13"/>
      <c r="G938" s="16" t="str">
        <f aca="false">IF(OR(B938="",E938=""),"",E938*IFERROR(INDEX(Müşteriler!$B$5:$B$54,MATCH(B938,Müşteriler!$A$5:$A$54,0)),0))</f>
        <v/>
      </c>
    </row>
    <row r="939" customFormat="false" ht="15" hidden="false" customHeight="false" outlineLevel="0" collapsed="false">
      <c r="A939" s="12"/>
      <c r="B939" s="13"/>
      <c r="C939" s="14"/>
      <c r="D939" s="14"/>
      <c r="E939" s="15"/>
      <c r="F939" s="13"/>
      <c r="G939" s="16" t="str">
        <f aca="false">IF(OR(B939="",E939=""),"",E939*IFERROR(INDEX(Müşteriler!$B$5:$B$54,MATCH(B939,Müşteriler!$A$5:$A$54,0)),0))</f>
        <v/>
      </c>
    </row>
    <row r="940" customFormat="false" ht="15" hidden="false" customHeight="false" outlineLevel="0" collapsed="false">
      <c r="A940" s="12"/>
      <c r="B940" s="13"/>
      <c r="C940" s="14"/>
      <c r="D940" s="14"/>
      <c r="E940" s="15"/>
      <c r="F940" s="13"/>
      <c r="G940" s="16" t="str">
        <f aca="false">IF(OR(B940="",E940=""),"",E940*IFERROR(INDEX(Müşteriler!$B$5:$B$54,MATCH(B940,Müşteriler!$A$5:$A$54,0)),0))</f>
        <v/>
      </c>
    </row>
    <row r="941" customFormat="false" ht="15" hidden="false" customHeight="false" outlineLevel="0" collapsed="false">
      <c r="A941" s="12"/>
      <c r="B941" s="13"/>
      <c r="C941" s="14"/>
      <c r="D941" s="14"/>
      <c r="E941" s="15"/>
      <c r="F941" s="13"/>
      <c r="G941" s="16" t="str">
        <f aca="false">IF(OR(B941="",E941=""),"",E941*IFERROR(INDEX(Müşteriler!$B$5:$B$54,MATCH(B941,Müşteriler!$A$5:$A$54,0)),0))</f>
        <v/>
      </c>
    </row>
    <row r="942" customFormat="false" ht="15" hidden="false" customHeight="false" outlineLevel="0" collapsed="false">
      <c r="A942" s="12"/>
      <c r="B942" s="13"/>
      <c r="C942" s="14"/>
      <c r="D942" s="14"/>
      <c r="E942" s="15"/>
      <c r="F942" s="13"/>
      <c r="G942" s="16" t="str">
        <f aca="false">IF(OR(B942="",E942=""),"",E942*IFERROR(INDEX(Müşteriler!$B$5:$B$54,MATCH(B942,Müşteriler!$A$5:$A$54,0)),0))</f>
        <v/>
      </c>
    </row>
    <row r="943" customFormat="false" ht="15" hidden="false" customHeight="false" outlineLevel="0" collapsed="false">
      <c r="A943" s="12"/>
      <c r="B943" s="13"/>
      <c r="C943" s="14"/>
      <c r="D943" s="14"/>
      <c r="E943" s="15"/>
      <c r="F943" s="13"/>
      <c r="G943" s="16" t="str">
        <f aca="false">IF(OR(B943="",E943=""),"",E943*IFERROR(INDEX(Müşteriler!$B$5:$B$54,MATCH(B943,Müşteriler!$A$5:$A$54,0)),0))</f>
        <v/>
      </c>
    </row>
    <row r="944" customFormat="false" ht="15" hidden="false" customHeight="false" outlineLevel="0" collapsed="false">
      <c r="A944" s="12"/>
      <c r="B944" s="13"/>
      <c r="C944" s="14"/>
      <c r="D944" s="14"/>
      <c r="E944" s="15"/>
      <c r="F944" s="13"/>
      <c r="G944" s="16" t="str">
        <f aca="false">IF(OR(B944="",E944=""),"",E944*IFERROR(INDEX(Müşteriler!$B$5:$B$54,MATCH(B944,Müşteriler!$A$5:$A$54,0)),0))</f>
        <v/>
      </c>
    </row>
    <row r="945" customFormat="false" ht="15" hidden="false" customHeight="false" outlineLevel="0" collapsed="false">
      <c r="A945" s="12"/>
      <c r="B945" s="13"/>
      <c r="C945" s="14"/>
      <c r="D945" s="14"/>
      <c r="E945" s="15"/>
      <c r="F945" s="13"/>
      <c r="G945" s="16" t="str">
        <f aca="false">IF(OR(B945="",E945=""),"",E945*IFERROR(INDEX(Müşteriler!$B$5:$B$54,MATCH(B945,Müşteriler!$A$5:$A$54,0)),0))</f>
        <v/>
      </c>
    </row>
    <row r="946" customFormat="false" ht="15" hidden="false" customHeight="false" outlineLevel="0" collapsed="false">
      <c r="A946" s="12"/>
      <c r="B946" s="13"/>
      <c r="C946" s="14"/>
      <c r="D946" s="14"/>
      <c r="E946" s="15"/>
      <c r="F946" s="13"/>
      <c r="G946" s="16" t="str">
        <f aca="false">IF(OR(B946="",E946=""),"",E946*IFERROR(INDEX(Müşteriler!$B$5:$B$54,MATCH(B946,Müşteriler!$A$5:$A$54,0)),0))</f>
        <v/>
      </c>
    </row>
    <row r="947" customFormat="false" ht="15" hidden="false" customHeight="false" outlineLevel="0" collapsed="false">
      <c r="A947" s="12"/>
      <c r="B947" s="13"/>
      <c r="C947" s="14"/>
      <c r="D947" s="14"/>
      <c r="E947" s="15"/>
      <c r="F947" s="13"/>
      <c r="G947" s="16" t="str">
        <f aca="false">IF(OR(B947="",E947=""),"",E947*IFERROR(INDEX(Müşteriler!$B$5:$B$54,MATCH(B947,Müşteriler!$A$5:$A$54,0)),0))</f>
        <v/>
      </c>
    </row>
    <row r="948" customFormat="false" ht="15" hidden="false" customHeight="false" outlineLevel="0" collapsed="false">
      <c r="A948" s="12"/>
      <c r="B948" s="13"/>
      <c r="C948" s="14"/>
      <c r="D948" s="14"/>
      <c r="E948" s="15"/>
      <c r="F948" s="13"/>
      <c r="G948" s="16" t="str">
        <f aca="false">IF(OR(B948="",E948=""),"",E948*IFERROR(INDEX(Müşteriler!$B$5:$B$54,MATCH(B948,Müşteriler!$A$5:$A$54,0)),0))</f>
        <v/>
      </c>
    </row>
    <row r="949" customFormat="false" ht="15" hidden="false" customHeight="false" outlineLevel="0" collapsed="false">
      <c r="A949" s="12"/>
      <c r="B949" s="13"/>
      <c r="C949" s="14"/>
      <c r="D949" s="14"/>
      <c r="E949" s="15"/>
      <c r="F949" s="13"/>
      <c r="G949" s="16" t="str">
        <f aca="false">IF(OR(B949="",E949=""),"",E949*IFERROR(INDEX(Müşteriler!$B$5:$B$54,MATCH(B949,Müşteriler!$A$5:$A$54,0)),0))</f>
        <v/>
      </c>
    </row>
    <row r="950" customFormat="false" ht="15" hidden="false" customHeight="false" outlineLevel="0" collapsed="false">
      <c r="A950" s="12"/>
      <c r="B950" s="13"/>
      <c r="C950" s="14"/>
      <c r="D950" s="14"/>
      <c r="E950" s="15"/>
      <c r="F950" s="13"/>
      <c r="G950" s="16" t="str">
        <f aca="false">IF(OR(B950="",E950=""),"",E950*IFERROR(INDEX(Müşteriler!$B$5:$B$54,MATCH(B950,Müşteriler!$A$5:$A$54,0)),0))</f>
        <v/>
      </c>
    </row>
    <row r="951" customFormat="false" ht="15" hidden="false" customHeight="false" outlineLevel="0" collapsed="false">
      <c r="A951" s="12"/>
      <c r="B951" s="13"/>
      <c r="C951" s="14"/>
      <c r="D951" s="14"/>
      <c r="E951" s="15"/>
      <c r="F951" s="13"/>
      <c r="G951" s="16" t="str">
        <f aca="false">IF(OR(B951="",E951=""),"",E951*IFERROR(INDEX(Müşteriler!$B$5:$B$54,MATCH(B951,Müşteriler!$A$5:$A$54,0)),0))</f>
        <v/>
      </c>
    </row>
    <row r="952" customFormat="false" ht="15" hidden="false" customHeight="false" outlineLevel="0" collapsed="false">
      <c r="A952" s="12"/>
      <c r="B952" s="13"/>
      <c r="C952" s="14"/>
      <c r="D952" s="14"/>
      <c r="E952" s="15"/>
      <c r="F952" s="13"/>
      <c r="G952" s="16" t="str">
        <f aca="false">IF(OR(B952="",E952=""),"",E952*IFERROR(INDEX(Müşteriler!$B$5:$B$54,MATCH(B952,Müşteriler!$A$5:$A$54,0)),0))</f>
        <v/>
      </c>
    </row>
    <row r="953" customFormat="false" ht="15" hidden="false" customHeight="false" outlineLevel="0" collapsed="false">
      <c r="A953" s="12"/>
      <c r="B953" s="13"/>
      <c r="C953" s="14"/>
      <c r="D953" s="14"/>
      <c r="E953" s="15"/>
      <c r="F953" s="13"/>
      <c r="G953" s="16" t="str">
        <f aca="false">IF(OR(B953="",E953=""),"",E953*IFERROR(INDEX(Müşteriler!$B$5:$B$54,MATCH(B953,Müşteriler!$A$5:$A$54,0)),0))</f>
        <v/>
      </c>
    </row>
    <row r="954" customFormat="false" ht="15" hidden="false" customHeight="false" outlineLevel="0" collapsed="false">
      <c r="A954" s="12"/>
      <c r="B954" s="13"/>
      <c r="C954" s="14"/>
      <c r="D954" s="14"/>
      <c r="E954" s="15"/>
      <c r="F954" s="13"/>
      <c r="G954" s="16" t="str">
        <f aca="false">IF(OR(B954="",E954=""),"",E954*IFERROR(INDEX(Müşteriler!$B$5:$B$54,MATCH(B954,Müşteriler!$A$5:$A$54,0)),0))</f>
        <v/>
      </c>
    </row>
    <row r="955" customFormat="false" ht="15" hidden="false" customHeight="false" outlineLevel="0" collapsed="false">
      <c r="A955" s="12"/>
      <c r="B955" s="13"/>
      <c r="C955" s="14"/>
      <c r="D955" s="14"/>
      <c r="E955" s="15"/>
      <c r="F955" s="13"/>
      <c r="G955" s="16" t="str">
        <f aca="false">IF(OR(B955="",E955=""),"",E955*IFERROR(INDEX(Müşteriler!$B$5:$B$54,MATCH(B955,Müşteriler!$A$5:$A$54,0)),0))</f>
        <v/>
      </c>
    </row>
    <row r="956" customFormat="false" ht="15" hidden="false" customHeight="false" outlineLevel="0" collapsed="false">
      <c r="A956" s="12"/>
      <c r="B956" s="13"/>
      <c r="C956" s="14"/>
      <c r="D956" s="14"/>
      <c r="E956" s="15"/>
      <c r="F956" s="13"/>
      <c r="G956" s="16" t="str">
        <f aca="false">IF(OR(B956="",E956=""),"",E956*IFERROR(INDEX(Müşteriler!$B$5:$B$54,MATCH(B956,Müşteriler!$A$5:$A$54,0)),0))</f>
        <v/>
      </c>
    </row>
    <row r="957" customFormat="false" ht="15" hidden="false" customHeight="false" outlineLevel="0" collapsed="false">
      <c r="A957" s="12"/>
      <c r="B957" s="13"/>
      <c r="C957" s="14"/>
      <c r="D957" s="14"/>
      <c r="E957" s="15"/>
      <c r="F957" s="13"/>
      <c r="G957" s="16" t="str">
        <f aca="false">IF(OR(B957="",E957=""),"",E957*IFERROR(INDEX(Müşteriler!$B$5:$B$54,MATCH(B957,Müşteriler!$A$5:$A$54,0)),0))</f>
        <v/>
      </c>
    </row>
    <row r="958" customFormat="false" ht="15" hidden="false" customHeight="false" outlineLevel="0" collapsed="false">
      <c r="A958" s="12"/>
      <c r="B958" s="13"/>
      <c r="C958" s="14"/>
      <c r="D958" s="14"/>
      <c r="E958" s="15"/>
      <c r="F958" s="13"/>
      <c r="G958" s="16" t="str">
        <f aca="false">IF(OR(B958="",E958=""),"",E958*IFERROR(INDEX(Müşteriler!$B$5:$B$54,MATCH(B958,Müşteriler!$A$5:$A$54,0)),0))</f>
        <v/>
      </c>
    </row>
    <row r="959" customFormat="false" ht="15" hidden="false" customHeight="false" outlineLevel="0" collapsed="false">
      <c r="A959" s="12"/>
      <c r="B959" s="13"/>
      <c r="C959" s="14"/>
      <c r="D959" s="14"/>
      <c r="E959" s="15"/>
      <c r="F959" s="13"/>
      <c r="G959" s="16" t="str">
        <f aca="false">IF(OR(B959="",E959=""),"",E959*IFERROR(INDEX(Müşteriler!$B$5:$B$54,MATCH(B959,Müşteriler!$A$5:$A$54,0)),0))</f>
        <v/>
      </c>
    </row>
    <row r="960" customFormat="false" ht="15" hidden="false" customHeight="false" outlineLevel="0" collapsed="false">
      <c r="A960" s="12"/>
      <c r="B960" s="13"/>
      <c r="C960" s="14"/>
      <c r="D960" s="14"/>
      <c r="E960" s="15"/>
      <c r="F960" s="13"/>
      <c r="G960" s="16" t="str">
        <f aca="false">IF(OR(B960="",E960=""),"",E960*IFERROR(INDEX(Müşteriler!$B$5:$B$54,MATCH(B960,Müşteriler!$A$5:$A$54,0)),0))</f>
        <v/>
      </c>
    </row>
    <row r="961" customFormat="false" ht="15" hidden="false" customHeight="false" outlineLevel="0" collapsed="false">
      <c r="A961" s="12"/>
      <c r="B961" s="13"/>
      <c r="C961" s="14"/>
      <c r="D961" s="14"/>
      <c r="E961" s="15"/>
      <c r="F961" s="13"/>
      <c r="G961" s="16" t="str">
        <f aca="false">IF(OR(B961="",E961=""),"",E961*IFERROR(INDEX(Müşteriler!$B$5:$B$54,MATCH(B961,Müşteriler!$A$5:$A$54,0)),0))</f>
        <v/>
      </c>
    </row>
    <row r="962" customFormat="false" ht="15" hidden="false" customHeight="false" outlineLevel="0" collapsed="false">
      <c r="A962" s="12"/>
      <c r="B962" s="13"/>
      <c r="C962" s="14"/>
      <c r="D962" s="14"/>
      <c r="E962" s="15"/>
      <c r="F962" s="13"/>
      <c r="G962" s="16" t="str">
        <f aca="false">IF(OR(B962="",E962=""),"",E962*IFERROR(INDEX(Müşteriler!$B$5:$B$54,MATCH(B962,Müşteriler!$A$5:$A$54,0)),0))</f>
        <v/>
      </c>
    </row>
    <row r="963" customFormat="false" ht="15" hidden="false" customHeight="false" outlineLevel="0" collapsed="false">
      <c r="A963" s="12"/>
      <c r="B963" s="13"/>
      <c r="C963" s="14"/>
      <c r="D963" s="14"/>
      <c r="E963" s="15"/>
      <c r="F963" s="13"/>
      <c r="G963" s="16" t="str">
        <f aca="false">IF(OR(B963="",E963=""),"",E963*IFERROR(INDEX(Müşteriler!$B$5:$B$54,MATCH(B963,Müşteriler!$A$5:$A$54,0)),0))</f>
        <v/>
      </c>
    </row>
    <row r="964" customFormat="false" ht="15" hidden="false" customHeight="false" outlineLevel="0" collapsed="false">
      <c r="A964" s="12"/>
      <c r="B964" s="13"/>
      <c r="C964" s="14"/>
      <c r="D964" s="14"/>
      <c r="E964" s="15"/>
      <c r="F964" s="13"/>
      <c r="G964" s="16" t="str">
        <f aca="false">IF(OR(B964="",E964=""),"",E964*IFERROR(INDEX(Müşteriler!$B$5:$B$54,MATCH(B964,Müşteriler!$A$5:$A$54,0)),0))</f>
        <v/>
      </c>
    </row>
    <row r="965" customFormat="false" ht="15" hidden="false" customHeight="false" outlineLevel="0" collapsed="false">
      <c r="A965" s="12"/>
      <c r="B965" s="13"/>
      <c r="C965" s="14"/>
      <c r="D965" s="14"/>
      <c r="E965" s="15"/>
      <c r="F965" s="13"/>
      <c r="G965" s="16" t="str">
        <f aca="false">IF(OR(B965="",E965=""),"",E965*IFERROR(INDEX(Müşteriler!$B$5:$B$54,MATCH(B965,Müşteriler!$A$5:$A$54,0)),0))</f>
        <v/>
      </c>
    </row>
    <row r="966" customFormat="false" ht="15" hidden="false" customHeight="false" outlineLevel="0" collapsed="false">
      <c r="A966" s="12"/>
      <c r="B966" s="13"/>
      <c r="C966" s="14"/>
      <c r="D966" s="14"/>
      <c r="E966" s="15"/>
      <c r="F966" s="13"/>
      <c r="G966" s="16" t="str">
        <f aca="false">IF(OR(B966="",E966=""),"",E966*IFERROR(INDEX(Müşteriler!$B$5:$B$54,MATCH(B966,Müşteriler!$A$5:$A$54,0)),0))</f>
        <v/>
      </c>
    </row>
    <row r="967" customFormat="false" ht="15" hidden="false" customHeight="false" outlineLevel="0" collapsed="false">
      <c r="A967" s="12"/>
      <c r="B967" s="13"/>
      <c r="C967" s="14"/>
      <c r="D967" s="14"/>
      <c r="E967" s="15"/>
      <c r="F967" s="13"/>
      <c r="G967" s="16" t="str">
        <f aca="false">IF(OR(B967="",E967=""),"",E967*IFERROR(INDEX(Müşteriler!$B$5:$B$54,MATCH(B967,Müşteriler!$A$5:$A$54,0)),0))</f>
        <v/>
      </c>
    </row>
    <row r="968" customFormat="false" ht="15" hidden="false" customHeight="false" outlineLevel="0" collapsed="false">
      <c r="A968" s="12"/>
      <c r="B968" s="13"/>
      <c r="C968" s="14"/>
      <c r="D968" s="14"/>
      <c r="E968" s="15"/>
      <c r="F968" s="13"/>
      <c r="G968" s="16" t="str">
        <f aca="false">IF(OR(B968="",E968=""),"",E968*IFERROR(INDEX(Müşteriler!$B$5:$B$54,MATCH(B968,Müşteriler!$A$5:$A$54,0)),0))</f>
        <v/>
      </c>
    </row>
    <row r="969" customFormat="false" ht="15" hidden="false" customHeight="false" outlineLevel="0" collapsed="false">
      <c r="A969" s="12"/>
      <c r="B969" s="13"/>
      <c r="C969" s="14"/>
      <c r="D969" s="14"/>
      <c r="E969" s="15"/>
      <c r="F969" s="13"/>
      <c r="G969" s="16" t="str">
        <f aca="false">IF(OR(B969="",E969=""),"",E969*IFERROR(INDEX(Müşteriler!$B$5:$B$54,MATCH(B969,Müşteriler!$A$5:$A$54,0)),0))</f>
        <v/>
      </c>
    </row>
    <row r="970" customFormat="false" ht="15" hidden="false" customHeight="false" outlineLevel="0" collapsed="false">
      <c r="A970" s="12"/>
      <c r="B970" s="13"/>
      <c r="C970" s="14"/>
      <c r="D970" s="14"/>
      <c r="E970" s="15"/>
      <c r="F970" s="13"/>
      <c r="G970" s="16" t="str">
        <f aca="false">IF(OR(B970="",E970=""),"",E970*IFERROR(INDEX(Müşteriler!$B$5:$B$54,MATCH(B970,Müşteriler!$A$5:$A$54,0)),0))</f>
        <v/>
      </c>
    </row>
    <row r="971" customFormat="false" ht="15" hidden="false" customHeight="false" outlineLevel="0" collapsed="false">
      <c r="A971" s="12"/>
      <c r="B971" s="13"/>
      <c r="C971" s="14"/>
      <c r="D971" s="14"/>
      <c r="E971" s="15"/>
      <c r="F971" s="13"/>
      <c r="G971" s="16" t="str">
        <f aca="false">IF(OR(B971="",E971=""),"",E971*IFERROR(INDEX(Müşteriler!$B$5:$B$54,MATCH(B971,Müşteriler!$A$5:$A$54,0)),0))</f>
        <v/>
      </c>
    </row>
    <row r="972" customFormat="false" ht="15" hidden="false" customHeight="false" outlineLevel="0" collapsed="false">
      <c r="A972" s="12"/>
      <c r="B972" s="13"/>
      <c r="C972" s="14"/>
      <c r="D972" s="14"/>
      <c r="E972" s="15"/>
      <c r="F972" s="13"/>
      <c r="G972" s="16" t="str">
        <f aca="false">IF(OR(B972="",E972=""),"",E972*IFERROR(INDEX(Müşteriler!$B$5:$B$54,MATCH(B972,Müşteriler!$A$5:$A$54,0)),0))</f>
        <v/>
      </c>
    </row>
    <row r="973" customFormat="false" ht="15" hidden="false" customHeight="false" outlineLevel="0" collapsed="false">
      <c r="A973" s="12"/>
      <c r="B973" s="13"/>
      <c r="C973" s="14"/>
      <c r="D973" s="14"/>
      <c r="E973" s="15"/>
      <c r="F973" s="13"/>
      <c r="G973" s="16" t="str">
        <f aca="false">IF(OR(B973="",E973=""),"",E973*IFERROR(INDEX(Müşteriler!$B$5:$B$54,MATCH(B973,Müşteriler!$A$5:$A$54,0)),0))</f>
        <v/>
      </c>
    </row>
    <row r="974" customFormat="false" ht="15" hidden="false" customHeight="false" outlineLevel="0" collapsed="false">
      <c r="A974" s="12"/>
      <c r="B974" s="13"/>
      <c r="C974" s="14"/>
      <c r="D974" s="14"/>
      <c r="E974" s="15"/>
      <c r="F974" s="13"/>
      <c r="G974" s="16" t="str">
        <f aca="false">IF(OR(B974="",E974=""),"",E974*IFERROR(INDEX(Müşteriler!$B$5:$B$54,MATCH(B974,Müşteriler!$A$5:$A$54,0)),0))</f>
        <v/>
      </c>
    </row>
    <row r="975" customFormat="false" ht="15" hidden="false" customHeight="false" outlineLevel="0" collapsed="false">
      <c r="A975" s="12"/>
      <c r="B975" s="13"/>
      <c r="C975" s="14"/>
      <c r="D975" s="14"/>
      <c r="E975" s="15"/>
      <c r="F975" s="13"/>
      <c r="G975" s="16" t="str">
        <f aca="false">IF(OR(B975="",E975=""),"",E975*IFERROR(INDEX(Müşteriler!$B$5:$B$54,MATCH(B975,Müşteriler!$A$5:$A$54,0)),0))</f>
        <v/>
      </c>
    </row>
    <row r="976" customFormat="false" ht="15" hidden="false" customHeight="false" outlineLevel="0" collapsed="false">
      <c r="A976" s="12"/>
      <c r="B976" s="13"/>
      <c r="C976" s="14"/>
      <c r="D976" s="14"/>
      <c r="E976" s="15"/>
      <c r="F976" s="13"/>
      <c r="G976" s="16" t="str">
        <f aca="false">IF(OR(B976="",E976=""),"",E976*IFERROR(INDEX(Müşteriler!$B$5:$B$54,MATCH(B976,Müşteriler!$A$5:$A$54,0)),0))</f>
        <v/>
      </c>
    </row>
    <row r="977" customFormat="false" ht="15" hidden="false" customHeight="false" outlineLevel="0" collapsed="false">
      <c r="A977" s="12"/>
      <c r="B977" s="13"/>
      <c r="C977" s="14"/>
      <c r="D977" s="14"/>
      <c r="E977" s="15"/>
      <c r="F977" s="13"/>
      <c r="G977" s="16" t="str">
        <f aca="false">IF(OR(B977="",E977=""),"",E977*IFERROR(INDEX(Müşteriler!$B$5:$B$54,MATCH(B977,Müşteriler!$A$5:$A$54,0)),0))</f>
        <v/>
      </c>
    </row>
    <row r="978" customFormat="false" ht="15" hidden="false" customHeight="false" outlineLevel="0" collapsed="false">
      <c r="A978" s="12"/>
      <c r="B978" s="13"/>
      <c r="C978" s="14"/>
      <c r="D978" s="14"/>
      <c r="E978" s="15"/>
      <c r="F978" s="13"/>
      <c r="G978" s="16" t="str">
        <f aca="false">IF(OR(B978="",E978=""),"",E978*IFERROR(INDEX(Müşteriler!$B$5:$B$54,MATCH(B978,Müşteriler!$A$5:$A$54,0)),0))</f>
        <v/>
      </c>
    </row>
    <row r="979" customFormat="false" ht="15" hidden="false" customHeight="false" outlineLevel="0" collapsed="false">
      <c r="A979" s="12"/>
      <c r="B979" s="13"/>
      <c r="C979" s="14"/>
      <c r="D979" s="14"/>
      <c r="E979" s="15"/>
      <c r="F979" s="13"/>
      <c r="G979" s="16" t="str">
        <f aca="false">IF(OR(B979="",E979=""),"",E979*IFERROR(INDEX(Müşteriler!$B$5:$B$54,MATCH(B979,Müşteriler!$A$5:$A$54,0)),0))</f>
        <v/>
      </c>
    </row>
    <row r="980" customFormat="false" ht="15" hidden="false" customHeight="false" outlineLevel="0" collapsed="false">
      <c r="A980" s="12"/>
      <c r="B980" s="13"/>
      <c r="C980" s="14"/>
      <c r="D980" s="14"/>
      <c r="E980" s="15"/>
      <c r="F980" s="13"/>
      <c r="G980" s="16" t="str">
        <f aca="false">IF(OR(B980="",E980=""),"",E980*IFERROR(INDEX(Müşteriler!$B$5:$B$54,MATCH(B980,Müşteriler!$A$5:$A$54,0)),0))</f>
        <v/>
      </c>
    </row>
    <row r="981" customFormat="false" ht="15" hidden="false" customHeight="false" outlineLevel="0" collapsed="false">
      <c r="A981" s="12"/>
      <c r="B981" s="13"/>
      <c r="C981" s="14"/>
      <c r="D981" s="14"/>
      <c r="E981" s="15"/>
      <c r="F981" s="13"/>
      <c r="G981" s="16" t="str">
        <f aca="false">IF(OR(B981="",E981=""),"",E981*IFERROR(INDEX(Müşteriler!$B$5:$B$54,MATCH(B981,Müşteriler!$A$5:$A$54,0)),0))</f>
        <v/>
      </c>
    </row>
    <row r="982" customFormat="false" ht="15" hidden="false" customHeight="false" outlineLevel="0" collapsed="false">
      <c r="A982" s="12"/>
      <c r="B982" s="13"/>
      <c r="C982" s="14"/>
      <c r="D982" s="14"/>
      <c r="E982" s="15"/>
      <c r="F982" s="13"/>
      <c r="G982" s="16" t="str">
        <f aca="false">IF(OR(B982="",E982=""),"",E982*IFERROR(INDEX(Müşteriler!$B$5:$B$54,MATCH(B982,Müşteriler!$A$5:$A$54,0)),0))</f>
        <v/>
      </c>
    </row>
    <row r="983" customFormat="false" ht="15" hidden="false" customHeight="false" outlineLevel="0" collapsed="false">
      <c r="A983" s="12"/>
      <c r="B983" s="13"/>
      <c r="C983" s="14"/>
      <c r="D983" s="14"/>
      <c r="E983" s="15"/>
      <c r="F983" s="13"/>
      <c r="G983" s="16" t="str">
        <f aca="false">IF(OR(B983="",E983=""),"",E983*IFERROR(INDEX(Müşteriler!$B$5:$B$54,MATCH(B983,Müşteriler!$A$5:$A$54,0)),0))</f>
        <v/>
      </c>
    </row>
    <row r="984" customFormat="false" ht="15" hidden="false" customHeight="false" outlineLevel="0" collapsed="false">
      <c r="A984" s="12"/>
      <c r="B984" s="13"/>
      <c r="C984" s="14"/>
      <c r="D984" s="14"/>
      <c r="E984" s="15"/>
      <c r="F984" s="13"/>
      <c r="G984" s="16" t="str">
        <f aca="false">IF(OR(B984="",E984=""),"",E984*IFERROR(INDEX(Müşteriler!$B$5:$B$54,MATCH(B984,Müşteriler!$A$5:$A$54,0)),0))</f>
        <v/>
      </c>
    </row>
    <row r="985" customFormat="false" ht="15" hidden="false" customHeight="false" outlineLevel="0" collapsed="false">
      <c r="A985" s="12"/>
      <c r="B985" s="13"/>
      <c r="C985" s="14"/>
      <c r="D985" s="14"/>
      <c r="E985" s="15"/>
      <c r="F985" s="13"/>
      <c r="G985" s="16" t="str">
        <f aca="false">IF(OR(B985="",E985=""),"",E985*IFERROR(INDEX(Müşteriler!$B$5:$B$54,MATCH(B985,Müşteriler!$A$5:$A$54,0)),0))</f>
        <v/>
      </c>
    </row>
    <row r="986" customFormat="false" ht="15" hidden="false" customHeight="false" outlineLevel="0" collapsed="false">
      <c r="A986" s="12"/>
      <c r="B986" s="13"/>
      <c r="C986" s="14"/>
      <c r="D986" s="14"/>
      <c r="E986" s="15"/>
      <c r="F986" s="13"/>
      <c r="G986" s="16" t="str">
        <f aca="false">IF(OR(B986="",E986=""),"",E986*IFERROR(INDEX(Müşteriler!$B$5:$B$54,MATCH(B986,Müşteriler!$A$5:$A$54,0)),0))</f>
        <v/>
      </c>
    </row>
    <row r="987" customFormat="false" ht="15" hidden="false" customHeight="false" outlineLevel="0" collapsed="false">
      <c r="A987" s="12"/>
      <c r="B987" s="13"/>
      <c r="C987" s="14"/>
      <c r="D987" s="14"/>
      <c r="E987" s="15"/>
      <c r="F987" s="13"/>
      <c r="G987" s="16" t="str">
        <f aca="false">IF(OR(B987="",E987=""),"",E987*IFERROR(INDEX(Müşteriler!$B$5:$B$54,MATCH(B987,Müşteriler!$A$5:$A$54,0)),0))</f>
        <v/>
      </c>
    </row>
    <row r="988" customFormat="false" ht="15" hidden="false" customHeight="false" outlineLevel="0" collapsed="false">
      <c r="A988" s="12"/>
      <c r="B988" s="13"/>
      <c r="C988" s="14"/>
      <c r="D988" s="14"/>
      <c r="E988" s="15"/>
      <c r="F988" s="13"/>
      <c r="G988" s="16" t="str">
        <f aca="false">IF(OR(B988="",E988=""),"",E988*IFERROR(INDEX(Müşteriler!$B$5:$B$54,MATCH(B988,Müşteriler!$A$5:$A$54,0)),0))</f>
        <v/>
      </c>
    </row>
    <row r="989" customFormat="false" ht="15" hidden="false" customHeight="false" outlineLevel="0" collapsed="false">
      <c r="A989" s="12"/>
      <c r="B989" s="13"/>
      <c r="C989" s="14"/>
      <c r="D989" s="14"/>
      <c r="E989" s="15"/>
      <c r="F989" s="13"/>
      <c r="G989" s="16" t="str">
        <f aca="false">IF(OR(B989="",E989=""),"",E989*IFERROR(INDEX(Müşteriler!$B$5:$B$54,MATCH(B989,Müşteriler!$A$5:$A$54,0)),0))</f>
        <v/>
      </c>
    </row>
    <row r="990" customFormat="false" ht="15" hidden="false" customHeight="false" outlineLevel="0" collapsed="false">
      <c r="A990" s="12"/>
      <c r="B990" s="13"/>
      <c r="C990" s="14"/>
      <c r="D990" s="14"/>
      <c r="E990" s="15"/>
      <c r="F990" s="13"/>
      <c r="G990" s="16" t="str">
        <f aca="false">IF(OR(B990="",E990=""),"",E990*IFERROR(INDEX(Müşteriler!$B$5:$B$54,MATCH(B990,Müşteriler!$A$5:$A$54,0)),0))</f>
        <v/>
      </c>
    </row>
    <row r="991" customFormat="false" ht="15" hidden="false" customHeight="false" outlineLevel="0" collapsed="false">
      <c r="A991" s="12"/>
      <c r="B991" s="13"/>
      <c r="C991" s="14"/>
      <c r="D991" s="14"/>
      <c r="E991" s="15"/>
      <c r="F991" s="13"/>
      <c r="G991" s="16" t="str">
        <f aca="false">IF(OR(B991="",E991=""),"",E991*IFERROR(INDEX(Müşteriler!$B$5:$B$54,MATCH(B991,Müşteriler!$A$5:$A$54,0)),0))</f>
        <v/>
      </c>
    </row>
    <row r="992" customFormat="false" ht="15" hidden="false" customHeight="false" outlineLevel="0" collapsed="false">
      <c r="A992" s="12"/>
      <c r="B992" s="13"/>
      <c r="C992" s="14"/>
      <c r="D992" s="14"/>
      <c r="E992" s="15"/>
      <c r="F992" s="13"/>
      <c r="G992" s="16" t="str">
        <f aca="false">IF(OR(B992="",E992=""),"",E992*IFERROR(INDEX(Müşteriler!$B$5:$B$54,MATCH(B992,Müşteriler!$A$5:$A$54,0)),0))</f>
        <v/>
      </c>
    </row>
    <row r="993" customFormat="false" ht="15" hidden="false" customHeight="false" outlineLevel="0" collapsed="false">
      <c r="A993" s="12"/>
      <c r="B993" s="13"/>
      <c r="C993" s="14"/>
      <c r="D993" s="14"/>
      <c r="E993" s="15"/>
      <c r="F993" s="13"/>
      <c r="G993" s="16" t="str">
        <f aca="false">IF(OR(B993="",E993=""),"",E993*IFERROR(INDEX(Müşteriler!$B$5:$B$54,MATCH(B993,Müşteriler!$A$5:$A$54,0)),0))</f>
        <v/>
      </c>
    </row>
    <row r="994" customFormat="false" ht="15" hidden="false" customHeight="false" outlineLevel="0" collapsed="false">
      <c r="A994" s="12"/>
      <c r="B994" s="13"/>
      <c r="C994" s="14"/>
      <c r="D994" s="14"/>
      <c r="E994" s="15"/>
      <c r="F994" s="13"/>
      <c r="G994" s="16" t="str">
        <f aca="false">IF(OR(B994="",E994=""),"",E994*IFERROR(INDEX(Müşteriler!$B$5:$B$54,MATCH(B994,Müşteriler!$A$5:$A$54,0)),0))</f>
        <v/>
      </c>
    </row>
    <row r="995" customFormat="false" ht="15" hidden="false" customHeight="false" outlineLevel="0" collapsed="false">
      <c r="A995" s="12"/>
      <c r="B995" s="13"/>
      <c r="C995" s="14"/>
      <c r="D995" s="14"/>
      <c r="E995" s="15"/>
      <c r="F995" s="13"/>
      <c r="G995" s="16" t="str">
        <f aca="false">IF(OR(B995="",E995=""),"",E995*IFERROR(INDEX(Müşteriler!$B$5:$B$54,MATCH(B995,Müşteriler!$A$5:$A$54,0)),0))</f>
        <v/>
      </c>
    </row>
    <row r="996" customFormat="false" ht="15" hidden="false" customHeight="false" outlineLevel="0" collapsed="false">
      <c r="A996" s="12"/>
      <c r="B996" s="13"/>
      <c r="C996" s="14"/>
      <c r="D996" s="14"/>
      <c r="E996" s="15"/>
      <c r="F996" s="13"/>
      <c r="G996" s="16" t="str">
        <f aca="false">IF(OR(B996="",E996=""),"",E996*IFERROR(INDEX(Müşteriler!$B$5:$B$54,MATCH(B996,Müşteriler!$A$5:$A$54,0)),0))</f>
        <v/>
      </c>
    </row>
    <row r="997" customFormat="false" ht="15" hidden="false" customHeight="false" outlineLevel="0" collapsed="false">
      <c r="A997" s="12"/>
      <c r="B997" s="13"/>
      <c r="C997" s="14"/>
      <c r="D997" s="14"/>
      <c r="E997" s="15"/>
      <c r="F997" s="13"/>
      <c r="G997" s="16" t="str">
        <f aca="false">IF(OR(B997="",E997=""),"",E997*IFERROR(INDEX(Müşteriler!$B$5:$B$54,MATCH(B997,Müşteriler!$A$5:$A$54,0)),0))</f>
        <v/>
      </c>
    </row>
    <row r="998" customFormat="false" ht="15" hidden="false" customHeight="false" outlineLevel="0" collapsed="false">
      <c r="A998" s="12"/>
      <c r="B998" s="13"/>
      <c r="C998" s="14"/>
      <c r="D998" s="14"/>
      <c r="E998" s="15"/>
      <c r="F998" s="13"/>
      <c r="G998" s="16" t="str">
        <f aca="false">IF(OR(B998="",E998=""),"",E998*IFERROR(INDEX(Müşteriler!$B$5:$B$54,MATCH(B998,Müşteriler!$A$5:$A$54,0)),0))</f>
        <v/>
      </c>
    </row>
    <row r="999" customFormat="false" ht="15" hidden="false" customHeight="false" outlineLevel="0" collapsed="false">
      <c r="A999" s="12"/>
      <c r="B999" s="13"/>
      <c r="C999" s="14"/>
      <c r="D999" s="14"/>
      <c r="E999" s="15"/>
      <c r="F999" s="13"/>
      <c r="G999" s="16" t="str">
        <f aca="false">IF(OR(B999="",E999=""),"",E999*IFERROR(INDEX(Müşteriler!$B$5:$B$54,MATCH(B999,Müşteriler!$A$5:$A$54,0)),0))</f>
        <v/>
      </c>
    </row>
    <row r="1000" customFormat="false" ht="15" hidden="false" customHeight="false" outlineLevel="0" collapsed="false">
      <c r="A1000" s="12"/>
      <c r="B1000" s="13"/>
      <c r="C1000" s="14"/>
      <c r="D1000" s="14"/>
      <c r="E1000" s="15"/>
      <c r="F1000" s="13"/>
      <c r="G1000" s="16" t="str">
        <f aca="false">IF(OR(B1000="",E1000=""),"",E1000*IFERROR(INDEX(Müşteriler!$B$5:$B$54,MATCH(B1000,Müşteriler!$A$5:$A$54,0)),0))</f>
        <v/>
      </c>
    </row>
    <row r="1001" customFormat="false" ht="15" hidden="false" customHeight="false" outlineLevel="0" collapsed="false">
      <c r="A1001" s="12"/>
      <c r="B1001" s="13"/>
      <c r="C1001" s="14"/>
      <c r="D1001" s="14"/>
      <c r="E1001" s="15"/>
      <c r="F1001" s="13"/>
      <c r="G1001" s="16" t="str">
        <f aca="false">IF(OR(B1001="",E1001=""),"",E1001*IFERROR(INDEX(Müşteriler!$B$5:$B$54,MATCH(B1001,Müşteriler!$A$5:$A$54,0)),0))</f>
        <v/>
      </c>
    </row>
    <row r="1002" customFormat="false" ht="15" hidden="false" customHeight="false" outlineLevel="0" collapsed="false">
      <c r="A1002" s="12"/>
      <c r="B1002" s="13"/>
      <c r="C1002" s="14"/>
      <c r="D1002" s="14"/>
      <c r="E1002" s="15"/>
      <c r="F1002" s="13"/>
      <c r="G1002" s="16" t="str">
        <f aca="false">IF(OR(B1002="",E1002=""),"",E1002*IFERROR(INDEX(Müşteriler!$B$5:$B$54,MATCH(B1002,Müşteriler!$A$5:$A$54,0)),0))</f>
        <v/>
      </c>
    </row>
    <row r="1003" customFormat="false" ht="15" hidden="false" customHeight="false" outlineLevel="0" collapsed="false">
      <c r="A1003" s="12"/>
      <c r="B1003" s="13"/>
      <c r="C1003" s="14"/>
      <c r="D1003" s="14"/>
      <c r="E1003" s="15"/>
      <c r="F1003" s="13"/>
      <c r="G1003" s="16" t="str">
        <f aca="false">IF(OR(B1003="",E1003=""),"",E1003*IFERROR(INDEX(Müşteriler!$B$5:$B$54,MATCH(B1003,Müşteriler!$A$5:$A$54,0)),0))</f>
        <v/>
      </c>
    </row>
    <row r="1004" customFormat="false" ht="15" hidden="false" customHeight="false" outlineLevel="0" collapsed="false">
      <c r="A1004" s="12"/>
      <c r="B1004" s="13"/>
      <c r="C1004" s="14"/>
      <c r="D1004" s="14"/>
      <c r="E1004" s="15"/>
      <c r="F1004" s="13"/>
      <c r="G1004" s="16" t="str">
        <f aca="false">IF(OR(B1004="",E1004=""),"",E1004*IFERROR(INDEX(Müşteriler!$B$5:$B$54,MATCH(B1004,Müşteriler!$A$5:$A$54,0)),0))</f>
        <v/>
      </c>
    </row>
    <row r="1005" customFormat="false" ht="15" hidden="false" customHeight="false" outlineLevel="0" collapsed="false">
      <c r="A1005" s="12"/>
      <c r="B1005" s="13"/>
      <c r="C1005" s="14"/>
      <c r="D1005" s="14"/>
      <c r="E1005" s="15"/>
      <c r="F1005" s="13"/>
      <c r="G1005" s="16" t="str">
        <f aca="false">IF(OR(B1005="",E1005=""),"",E1005*IFERROR(INDEX(Müşteriler!$B$5:$B$54,MATCH(B1005,Müşteriler!$A$5:$A$54,0)),0))</f>
        <v/>
      </c>
    </row>
    <row r="1006" customFormat="false" ht="15" hidden="false" customHeight="false" outlineLevel="0" collapsed="false">
      <c r="A1006" s="12"/>
      <c r="B1006" s="13"/>
      <c r="C1006" s="14"/>
      <c r="D1006" s="14"/>
      <c r="E1006" s="15"/>
      <c r="F1006" s="13"/>
      <c r="G1006" s="16" t="str">
        <f aca="false">IF(OR(B1006="",E1006=""),"",E1006*IFERROR(INDEX(Müşteriler!$B$5:$B$54,MATCH(B1006,Müşteriler!$A$5:$A$54,0)),0))</f>
        <v/>
      </c>
    </row>
    <row r="1007" customFormat="false" ht="15" hidden="false" customHeight="false" outlineLevel="0" collapsed="false">
      <c r="A1007" s="12"/>
      <c r="B1007" s="13"/>
      <c r="C1007" s="14"/>
      <c r="D1007" s="14"/>
      <c r="E1007" s="15"/>
      <c r="F1007" s="13"/>
      <c r="G1007" s="16" t="str">
        <f aca="false">IF(OR(B1007="",E1007=""),"",E1007*IFERROR(INDEX(Müşteriler!$B$5:$B$54,MATCH(B1007,Müşteriler!$A$5:$A$54,0)),0))</f>
        <v/>
      </c>
    </row>
    <row r="1008" customFormat="false" ht="15" hidden="false" customHeight="false" outlineLevel="0" collapsed="false">
      <c r="A1008" s="12"/>
      <c r="B1008" s="13"/>
      <c r="C1008" s="14"/>
      <c r="D1008" s="14"/>
      <c r="E1008" s="15"/>
      <c r="F1008" s="13"/>
      <c r="G1008" s="16" t="str">
        <f aca="false">IF(OR(B1008="",E1008=""),"",E1008*IFERROR(INDEX(Müşteriler!$B$5:$B$54,MATCH(B1008,Müşteriler!$A$5:$A$54,0)),0))</f>
        <v/>
      </c>
    </row>
    <row r="1009" customFormat="false" ht="15" hidden="false" customHeight="false" outlineLevel="0" collapsed="false">
      <c r="A1009" s="12"/>
      <c r="B1009" s="13"/>
      <c r="C1009" s="14"/>
      <c r="D1009" s="14"/>
      <c r="E1009" s="15"/>
      <c r="F1009" s="13"/>
      <c r="G1009" s="16" t="str">
        <f aca="false">IF(OR(B1009="",E1009=""),"",E1009*IFERROR(INDEX(Müşteriler!$B$5:$B$54,MATCH(B1009,Müşteriler!$A$5:$A$54,0)),0))</f>
        <v/>
      </c>
    </row>
    <row r="1010" customFormat="false" ht="15" hidden="false" customHeight="false" outlineLevel="0" collapsed="false">
      <c r="A1010" s="12"/>
      <c r="B1010" s="13"/>
      <c r="C1010" s="14"/>
      <c r="D1010" s="14"/>
      <c r="E1010" s="15"/>
      <c r="F1010" s="13"/>
      <c r="G1010" s="16" t="str">
        <f aca="false">IF(OR(B1010="",E1010=""),"",E1010*IFERROR(INDEX(Müşteriler!$B$5:$B$54,MATCH(B1010,Müşteriler!$A$5:$A$54,0)),0))</f>
        <v/>
      </c>
    </row>
    <row r="1011" customFormat="false" ht="15" hidden="false" customHeight="false" outlineLevel="0" collapsed="false">
      <c r="A1011" s="12"/>
      <c r="B1011" s="13"/>
      <c r="C1011" s="14"/>
      <c r="D1011" s="14"/>
      <c r="E1011" s="15"/>
      <c r="F1011" s="13"/>
      <c r="G1011" s="16" t="str">
        <f aca="false">IF(OR(B1011="",E1011=""),"",E1011*IFERROR(INDEX(Müşteriler!$B$5:$B$54,MATCH(B1011,Müşteriler!$A$5:$A$54,0)),0))</f>
        <v/>
      </c>
    </row>
    <row r="1012" customFormat="false" ht="15" hidden="false" customHeight="false" outlineLevel="0" collapsed="false">
      <c r="A1012" s="12"/>
      <c r="B1012" s="13"/>
      <c r="C1012" s="14"/>
      <c r="D1012" s="14"/>
      <c r="E1012" s="15"/>
      <c r="F1012" s="13"/>
      <c r="G1012" s="16" t="str">
        <f aca="false">IF(OR(B1012="",E1012=""),"",E1012*IFERROR(INDEX(Müşteriler!$B$5:$B$54,MATCH(B1012,Müşteriler!$A$5:$A$54,0)),0))</f>
        <v/>
      </c>
    </row>
    <row r="1013" customFormat="false" ht="15" hidden="false" customHeight="false" outlineLevel="0" collapsed="false">
      <c r="A1013" s="12"/>
      <c r="B1013" s="13"/>
      <c r="C1013" s="14"/>
      <c r="D1013" s="14"/>
      <c r="E1013" s="15"/>
      <c r="F1013" s="13"/>
      <c r="G1013" s="16" t="str">
        <f aca="false">IF(OR(B1013="",E1013=""),"",E1013*IFERROR(INDEX(Müşteriler!$B$5:$B$54,MATCH(B1013,Müşteriler!$A$5:$A$54,0)),0))</f>
        <v/>
      </c>
    </row>
    <row r="1014" customFormat="false" ht="15" hidden="false" customHeight="false" outlineLevel="0" collapsed="false">
      <c r="A1014" s="12"/>
      <c r="B1014" s="13"/>
      <c r="C1014" s="14"/>
      <c r="D1014" s="14"/>
      <c r="E1014" s="15"/>
      <c r="F1014" s="13"/>
      <c r="G1014" s="16" t="str">
        <f aca="false">IF(OR(B1014="",E1014=""),"",E1014*IFERROR(INDEX(Müşteriler!$B$5:$B$54,MATCH(B1014,Müşteriler!$A$5:$A$54,0)),0))</f>
        <v/>
      </c>
    </row>
    <row r="1015" customFormat="false" ht="15" hidden="false" customHeight="false" outlineLevel="0" collapsed="false">
      <c r="A1015" s="12"/>
      <c r="B1015" s="13"/>
      <c r="C1015" s="14"/>
      <c r="D1015" s="14"/>
      <c r="E1015" s="15"/>
      <c r="F1015" s="13"/>
      <c r="G1015" s="16" t="str">
        <f aca="false">IF(OR(B1015="",E1015=""),"",E1015*IFERROR(INDEX(Müşteriler!$B$5:$B$54,MATCH(B1015,Müşteriler!$A$5:$A$54,0)),0))</f>
        <v/>
      </c>
    </row>
    <row r="1016" customFormat="false" ht="15" hidden="false" customHeight="false" outlineLevel="0" collapsed="false">
      <c r="A1016" s="12"/>
      <c r="B1016" s="13"/>
      <c r="C1016" s="14"/>
      <c r="D1016" s="14"/>
      <c r="E1016" s="15"/>
      <c r="F1016" s="13"/>
      <c r="G1016" s="16" t="str">
        <f aca="false">IF(OR(B1016="",E1016=""),"",E1016*IFERROR(INDEX(Müşteriler!$B$5:$B$54,MATCH(B1016,Müşteriler!$A$5:$A$54,0)),0))</f>
        <v/>
      </c>
    </row>
    <row r="1017" customFormat="false" ht="15" hidden="false" customHeight="false" outlineLevel="0" collapsed="false">
      <c r="A1017" s="12"/>
      <c r="B1017" s="13"/>
      <c r="C1017" s="14"/>
      <c r="D1017" s="14"/>
      <c r="E1017" s="15"/>
      <c r="F1017" s="13"/>
      <c r="G1017" s="16" t="str">
        <f aca="false">IF(OR(B1017="",E1017=""),"",E1017*IFERROR(INDEX(Müşteriler!$B$5:$B$54,MATCH(B1017,Müşteriler!$A$5:$A$54,0)),0))</f>
        <v/>
      </c>
    </row>
    <row r="1018" customFormat="false" ht="15" hidden="false" customHeight="false" outlineLevel="0" collapsed="false">
      <c r="A1018" s="12"/>
      <c r="B1018" s="13"/>
      <c r="C1018" s="14"/>
      <c r="D1018" s="14"/>
      <c r="E1018" s="15"/>
      <c r="F1018" s="13"/>
      <c r="G1018" s="16" t="str">
        <f aca="false">IF(OR(B1018="",E1018=""),"",E1018*IFERROR(INDEX(Müşteriler!$B$5:$B$54,MATCH(B1018,Müşteriler!$A$5:$A$54,0)),0))</f>
        <v/>
      </c>
    </row>
    <row r="1019" customFormat="false" ht="15" hidden="false" customHeight="false" outlineLevel="0" collapsed="false">
      <c r="A1019" s="12"/>
      <c r="B1019" s="13"/>
      <c r="C1019" s="14"/>
      <c r="D1019" s="14"/>
      <c r="E1019" s="15"/>
      <c r="F1019" s="13"/>
      <c r="G1019" s="16" t="str">
        <f aca="false">IF(OR(B1019="",E1019=""),"",E1019*IFERROR(INDEX(Müşteriler!$B$5:$B$54,MATCH(B1019,Müşteriler!$A$5:$A$54,0)),0))</f>
        <v/>
      </c>
    </row>
    <row r="1020" customFormat="false" ht="15" hidden="false" customHeight="false" outlineLevel="0" collapsed="false">
      <c r="A1020" s="12"/>
      <c r="B1020" s="13"/>
      <c r="C1020" s="14"/>
      <c r="D1020" s="14"/>
      <c r="E1020" s="15"/>
      <c r="F1020" s="13"/>
      <c r="G1020" s="16" t="str">
        <f aca="false">IF(OR(B1020="",E1020=""),"",E1020*IFERROR(INDEX(Müşteriler!$B$5:$B$54,MATCH(B1020,Müşteriler!$A$5:$A$54,0)),0))</f>
        <v/>
      </c>
    </row>
    <row r="1021" customFormat="false" ht="15" hidden="false" customHeight="false" outlineLevel="0" collapsed="false">
      <c r="A1021" s="12"/>
      <c r="B1021" s="13"/>
      <c r="C1021" s="14"/>
      <c r="D1021" s="14"/>
      <c r="E1021" s="15"/>
      <c r="F1021" s="13"/>
      <c r="G1021" s="16" t="str">
        <f aca="false">IF(OR(B1021="",E1021=""),"",E1021*IFERROR(INDEX(Müşteriler!$B$5:$B$54,MATCH(B1021,Müşteriler!$A$5:$A$54,0)),0))</f>
        <v/>
      </c>
    </row>
    <row r="1022" customFormat="false" ht="15" hidden="false" customHeight="false" outlineLevel="0" collapsed="false">
      <c r="A1022" s="12"/>
      <c r="B1022" s="13"/>
      <c r="C1022" s="14"/>
      <c r="D1022" s="14"/>
      <c r="E1022" s="15"/>
      <c r="F1022" s="13"/>
      <c r="G1022" s="16" t="str">
        <f aca="false">IF(OR(B1022="",E1022=""),"",E1022*IFERROR(INDEX(Müşteriler!$B$5:$B$54,MATCH(B1022,Müşteriler!$A$5:$A$54,0)),0))</f>
        <v/>
      </c>
    </row>
    <row r="1023" customFormat="false" ht="15" hidden="false" customHeight="false" outlineLevel="0" collapsed="false">
      <c r="A1023" s="12"/>
      <c r="B1023" s="13"/>
      <c r="C1023" s="14"/>
      <c r="D1023" s="14"/>
      <c r="E1023" s="15"/>
      <c r="F1023" s="13"/>
      <c r="G1023" s="16" t="str">
        <f aca="false">IF(OR(B1023="",E1023=""),"",E1023*IFERROR(INDEX(Müşteriler!$B$5:$B$54,MATCH(B1023,Müşteriler!$A$5:$A$54,0)),0))</f>
        <v/>
      </c>
    </row>
    <row r="1024" customFormat="false" ht="15" hidden="false" customHeight="false" outlineLevel="0" collapsed="false">
      <c r="A1024" s="12"/>
      <c r="B1024" s="13"/>
      <c r="C1024" s="14"/>
      <c r="D1024" s="14"/>
      <c r="E1024" s="15"/>
      <c r="F1024" s="13"/>
      <c r="G1024" s="16" t="str">
        <f aca="false">IF(OR(B1024="",E1024=""),"",E1024*IFERROR(INDEX(Müşteriler!$B$5:$B$54,MATCH(B1024,Müşteriler!$A$5:$A$54,0)),0))</f>
        <v/>
      </c>
    </row>
    <row r="1025" customFormat="false" ht="15" hidden="false" customHeight="false" outlineLevel="0" collapsed="false">
      <c r="A1025" s="12"/>
      <c r="B1025" s="13"/>
      <c r="C1025" s="14"/>
      <c r="D1025" s="14"/>
      <c r="E1025" s="15"/>
      <c r="F1025" s="13"/>
      <c r="G1025" s="16" t="str">
        <f aca="false">IF(OR(B1025="",E1025=""),"",E1025*IFERROR(INDEX(Müşteriler!$B$5:$B$54,MATCH(B1025,Müşteriler!$A$5:$A$54,0)),0))</f>
        <v/>
      </c>
    </row>
    <row r="1026" customFormat="false" ht="15" hidden="false" customHeight="false" outlineLevel="0" collapsed="false">
      <c r="A1026" s="12"/>
      <c r="B1026" s="13"/>
      <c r="C1026" s="14"/>
      <c r="D1026" s="14"/>
      <c r="E1026" s="15"/>
      <c r="F1026" s="13"/>
      <c r="G1026" s="16" t="str">
        <f aca="false">IF(OR(B1026="",E1026=""),"",E1026*IFERROR(INDEX(Müşteriler!$B$5:$B$54,MATCH(B1026,Müşteriler!$A$5:$A$54,0)),0))</f>
        <v/>
      </c>
    </row>
    <row r="1027" customFormat="false" ht="15" hidden="false" customHeight="false" outlineLevel="0" collapsed="false">
      <c r="A1027" s="12"/>
      <c r="B1027" s="13"/>
      <c r="C1027" s="14"/>
      <c r="D1027" s="14"/>
      <c r="E1027" s="15"/>
      <c r="F1027" s="13"/>
      <c r="G1027" s="16" t="str">
        <f aca="false">IF(OR(B1027="",E1027=""),"",E1027*IFERROR(INDEX(Müşteriler!$B$5:$B$54,MATCH(B1027,Müşteriler!$A$5:$A$54,0)),0))</f>
        <v/>
      </c>
    </row>
    <row r="1028" customFormat="false" ht="15" hidden="false" customHeight="false" outlineLevel="0" collapsed="false">
      <c r="A1028" s="12"/>
      <c r="B1028" s="13"/>
      <c r="C1028" s="14"/>
      <c r="D1028" s="14"/>
      <c r="E1028" s="15"/>
      <c r="F1028" s="13"/>
      <c r="G1028" s="16" t="str">
        <f aca="false">IF(OR(B1028="",E1028=""),"",E1028*IFERROR(INDEX(Müşteriler!$B$5:$B$54,MATCH(B1028,Müşteriler!$A$5:$A$54,0)),0))</f>
        <v/>
      </c>
    </row>
    <row r="1029" customFormat="false" ht="15" hidden="false" customHeight="false" outlineLevel="0" collapsed="false">
      <c r="A1029" s="12"/>
      <c r="B1029" s="13"/>
      <c r="C1029" s="14"/>
      <c r="D1029" s="14"/>
      <c r="E1029" s="15"/>
      <c r="F1029" s="13"/>
      <c r="G1029" s="16" t="str">
        <f aca="false">IF(OR(B1029="",E1029=""),"",E1029*IFERROR(INDEX(Müşteriler!$B$5:$B$54,MATCH(B1029,Müşteriler!$A$5:$A$54,0)),0))</f>
        <v/>
      </c>
    </row>
    <row r="1030" customFormat="false" ht="15" hidden="false" customHeight="false" outlineLevel="0" collapsed="false">
      <c r="A1030" s="12"/>
      <c r="B1030" s="13"/>
      <c r="C1030" s="14"/>
      <c r="D1030" s="14"/>
      <c r="E1030" s="15"/>
      <c r="F1030" s="13"/>
      <c r="G1030" s="16" t="str">
        <f aca="false">IF(OR(B1030="",E1030=""),"",E1030*IFERROR(INDEX(Müşteriler!$B$5:$B$54,MATCH(B1030,Müşteriler!$A$5:$A$54,0)),0))</f>
        <v/>
      </c>
    </row>
    <row r="1031" customFormat="false" ht="15" hidden="false" customHeight="false" outlineLevel="0" collapsed="false">
      <c r="A1031" s="12"/>
      <c r="B1031" s="13"/>
      <c r="C1031" s="14"/>
      <c r="D1031" s="14"/>
      <c r="E1031" s="15"/>
      <c r="F1031" s="13"/>
      <c r="G1031" s="16" t="str">
        <f aca="false">IF(OR(B1031="",E1031=""),"",E1031*IFERROR(INDEX(Müşteriler!$B$5:$B$54,MATCH(B1031,Müşteriler!$A$5:$A$54,0)),0))</f>
        <v/>
      </c>
    </row>
    <row r="1032" customFormat="false" ht="15" hidden="false" customHeight="false" outlineLevel="0" collapsed="false">
      <c r="A1032" s="12"/>
      <c r="B1032" s="13"/>
      <c r="C1032" s="14"/>
      <c r="D1032" s="14"/>
      <c r="E1032" s="15"/>
      <c r="F1032" s="13"/>
      <c r="G1032" s="16" t="str">
        <f aca="false">IF(OR(B1032="",E1032=""),"",E1032*IFERROR(INDEX(Müşteriler!$B$5:$B$54,MATCH(B1032,Müşteriler!$A$5:$A$54,0)),0))</f>
        <v/>
      </c>
    </row>
    <row r="1033" customFormat="false" ht="15" hidden="false" customHeight="false" outlineLevel="0" collapsed="false">
      <c r="A1033" s="12"/>
      <c r="B1033" s="13"/>
      <c r="C1033" s="14"/>
      <c r="D1033" s="14"/>
      <c r="E1033" s="15"/>
      <c r="F1033" s="13"/>
      <c r="G1033" s="16" t="str">
        <f aca="false">IF(OR(B1033="",E1033=""),"",E1033*IFERROR(INDEX(Müşteriler!$B$5:$B$54,MATCH(B1033,Müşteriler!$A$5:$A$54,0)),0))</f>
        <v/>
      </c>
    </row>
    <row r="1034" customFormat="false" ht="15" hidden="false" customHeight="false" outlineLevel="0" collapsed="false">
      <c r="A1034" s="12"/>
      <c r="B1034" s="13"/>
      <c r="C1034" s="14"/>
      <c r="D1034" s="14"/>
      <c r="E1034" s="15"/>
      <c r="F1034" s="13"/>
      <c r="G1034" s="16" t="str">
        <f aca="false">IF(OR(B1034="",E1034=""),"",E1034*IFERROR(INDEX(Müşteriler!$B$5:$B$54,MATCH(B1034,Müşteriler!$A$5:$A$54,0)),0))</f>
        <v/>
      </c>
    </row>
    <row r="1035" customFormat="false" ht="15" hidden="false" customHeight="false" outlineLevel="0" collapsed="false">
      <c r="A1035" s="12"/>
      <c r="B1035" s="13"/>
      <c r="C1035" s="14"/>
      <c r="D1035" s="14"/>
      <c r="E1035" s="15"/>
      <c r="F1035" s="13"/>
      <c r="G1035" s="16" t="str">
        <f aca="false">IF(OR(B1035="",E1035=""),"",E1035*IFERROR(INDEX(Müşteriler!$B$5:$B$54,MATCH(B1035,Müşteriler!$A$5:$A$54,0)),0))</f>
        <v/>
      </c>
    </row>
    <row r="1036" customFormat="false" ht="15" hidden="false" customHeight="false" outlineLevel="0" collapsed="false">
      <c r="A1036" s="12"/>
      <c r="B1036" s="13"/>
      <c r="C1036" s="14"/>
      <c r="D1036" s="14"/>
      <c r="E1036" s="15"/>
      <c r="F1036" s="13"/>
      <c r="G1036" s="16" t="str">
        <f aca="false">IF(OR(B1036="",E1036=""),"",E1036*IFERROR(INDEX(Müşteriler!$B$5:$B$54,MATCH(B1036,Müşteriler!$A$5:$A$54,0)),0))</f>
        <v/>
      </c>
    </row>
    <row r="1037" customFormat="false" ht="15" hidden="false" customHeight="false" outlineLevel="0" collapsed="false">
      <c r="A1037" s="12"/>
      <c r="B1037" s="13"/>
      <c r="C1037" s="14"/>
      <c r="D1037" s="14"/>
      <c r="E1037" s="15"/>
      <c r="F1037" s="13"/>
      <c r="G1037" s="16" t="str">
        <f aca="false">IF(OR(B1037="",E1037=""),"",E1037*IFERROR(INDEX(Müşteriler!$B$5:$B$54,MATCH(B1037,Müşteriler!$A$5:$A$54,0)),0))</f>
        <v/>
      </c>
    </row>
    <row r="1038" customFormat="false" ht="15" hidden="false" customHeight="false" outlineLevel="0" collapsed="false">
      <c r="A1038" s="12"/>
      <c r="B1038" s="13"/>
      <c r="C1038" s="14"/>
      <c r="D1038" s="14"/>
      <c r="E1038" s="15"/>
      <c r="F1038" s="13"/>
      <c r="G1038" s="16" t="str">
        <f aca="false">IF(OR(B1038="",E1038=""),"",E1038*IFERROR(INDEX(Müşteriler!$B$5:$B$54,MATCH(B1038,Müşteriler!$A$5:$A$54,0)),0))</f>
        <v/>
      </c>
    </row>
    <row r="1039" customFormat="false" ht="15" hidden="false" customHeight="false" outlineLevel="0" collapsed="false">
      <c r="A1039" s="12"/>
      <c r="B1039" s="13"/>
      <c r="C1039" s="14"/>
      <c r="D1039" s="14"/>
      <c r="E1039" s="15"/>
      <c r="F1039" s="13"/>
      <c r="G1039" s="16" t="str">
        <f aca="false">IF(OR(B1039="",E1039=""),"",E1039*IFERROR(INDEX(Müşteriler!$B$5:$B$54,MATCH(B1039,Müşteriler!$A$5:$A$54,0)),0))</f>
        <v/>
      </c>
    </row>
    <row r="1040" customFormat="false" ht="15" hidden="false" customHeight="false" outlineLevel="0" collapsed="false">
      <c r="A1040" s="12"/>
      <c r="B1040" s="13"/>
      <c r="C1040" s="14"/>
      <c r="D1040" s="14"/>
      <c r="E1040" s="15"/>
      <c r="F1040" s="13"/>
      <c r="G1040" s="16" t="str">
        <f aca="false">IF(OR(B1040="",E1040=""),"",E1040*IFERROR(INDEX(Müşteriler!$B$5:$B$54,MATCH(B1040,Müşteriler!$A$5:$A$54,0)),0))</f>
        <v/>
      </c>
    </row>
    <row r="1041" customFormat="false" ht="15" hidden="false" customHeight="false" outlineLevel="0" collapsed="false">
      <c r="A1041" s="12"/>
      <c r="B1041" s="13"/>
      <c r="C1041" s="14"/>
      <c r="D1041" s="14"/>
      <c r="E1041" s="15"/>
      <c r="F1041" s="13"/>
      <c r="G1041" s="16" t="str">
        <f aca="false">IF(OR(B1041="",E1041=""),"",E1041*IFERROR(INDEX(Müşteriler!$B$5:$B$54,MATCH(B1041,Müşteriler!$A$5:$A$54,0)),0))</f>
        <v/>
      </c>
    </row>
    <row r="1042" customFormat="false" ht="15" hidden="false" customHeight="false" outlineLevel="0" collapsed="false">
      <c r="A1042" s="12"/>
      <c r="B1042" s="13"/>
      <c r="C1042" s="14"/>
      <c r="D1042" s="14"/>
      <c r="E1042" s="15"/>
      <c r="F1042" s="13"/>
      <c r="G1042" s="16" t="str">
        <f aca="false">IF(OR(B1042="",E1042=""),"",E1042*IFERROR(INDEX(Müşteriler!$B$5:$B$54,MATCH(B1042,Müşteriler!$A$5:$A$54,0)),0))</f>
        <v/>
      </c>
    </row>
    <row r="1043" customFormat="false" ht="15" hidden="false" customHeight="false" outlineLevel="0" collapsed="false">
      <c r="A1043" s="12"/>
      <c r="B1043" s="13"/>
      <c r="C1043" s="14"/>
      <c r="D1043" s="14"/>
      <c r="E1043" s="15"/>
      <c r="F1043" s="13"/>
      <c r="G1043" s="16" t="str">
        <f aca="false">IF(OR(B1043="",E1043=""),"",E1043*IFERROR(INDEX(Müşteriler!$B$5:$B$54,MATCH(B1043,Müşteriler!$A$5:$A$54,0)),0))</f>
        <v/>
      </c>
    </row>
    <row r="1044" customFormat="false" ht="15" hidden="false" customHeight="false" outlineLevel="0" collapsed="false">
      <c r="A1044" s="12"/>
      <c r="B1044" s="13"/>
      <c r="C1044" s="14"/>
      <c r="D1044" s="14"/>
      <c r="E1044" s="15"/>
      <c r="F1044" s="13"/>
      <c r="G1044" s="16" t="str">
        <f aca="false">IF(OR(B1044="",E1044=""),"",E1044*IFERROR(INDEX(Müşteriler!$B$5:$B$54,MATCH(B1044,Müşteriler!$A$5:$A$54,0)),0))</f>
        <v/>
      </c>
    </row>
    <row r="1045" customFormat="false" ht="15" hidden="false" customHeight="false" outlineLevel="0" collapsed="false">
      <c r="A1045" s="12"/>
      <c r="B1045" s="13"/>
      <c r="C1045" s="14"/>
      <c r="D1045" s="14"/>
      <c r="E1045" s="15"/>
      <c r="F1045" s="13"/>
      <c r="G1045" s="16" t="str">
        <f aca="false">IF(OR(B1045="",E1045=""),"",E1045*IFERROR(INDEX(Müşteriler!$B$5:$B$54,MATCH(B1045,Müşteriler!$A$5:$A$54,0)),0))</f>
        <v/>
      </c>
    </row>
    <row r="1046" customFormat="false" ht="15" hidden="false" customHeight="false" outlineLevel="0" collapsed="false">
      <c r="A1046" s="12"/>
      <c r="B1046" s="13"/>
      <c r="C1046" s="14"/>
      <c r="D1046" s="14"/>
      <c r="E1046" s="15"/>
      <c r="F1046" s="13"/>
      <c r="G1046" s="16" t="str">
        <f aca="false">IF(OR(B1046="",E1046=""),"",E1046*IFERROR(INDEX(Müşteriler!$B$5:$B$54,MATCH(B1046,Müşteriler!$A$5:$A$54,0)),0))</f>
        <v/>
      </c>
    </row>
    <row r="1047" customFormat="false" ht="15" hidden="false" customHeight="false" outlineLevel="0" collapsed="false">
      <c r="A1047" s="12"/>
      <c r="B1047" s="13"/>
      <c r="C1047" s="14"/>
      <c r="D1047" s="14"/>
      <c r="E1047" s="15"/>
      <c r="F1047" s="13"/>
      <c r="G1047" s="16" t="str">
        <f aca="false">IF(OR(B1047="",E1047=""),"",E1047*IFERROR(INDEX(Müşteriler!$B$5:$B$54,MATCH(B1047,Müşteriler!$A$5:$A$54,0)),0))</f>
        <v/>
      </c>
    </row>
    <row r="1048" customFormat="false" ht="15" hidden="false" customHeight="false" outlineLevel="0" collapsed="false">
      <c r="A1048" s="12"/>
      <c r="B1048" s="13"/>
      <c r="C1048" s="14"/>
      <c r="D1048" s="14"/>
      <c r="E1048" s="15"/>
      <c r="F1048" s="13"/>
      <c r="G1048" s="16" t="str">
        <f aca="false">IF(OR(B1048="",E1048=""),"",E1048*IFERROR(INDEX(Müşteriler!$B$5:$B$54,MATCH(B1048,Müşteriler!$A$5:$A$54,0)),0))</f>
        <v/>
      </c>
    </row>
    <row r="1049" customFormat="false" ht="15" hidden="false" customHeight="false" outlineLevel="0" collapsed="false">
      <c r="A1049" s="12"/>
      <c r="B1049" s="13"/>
      <c r="C1049" s="14"/>
      <c r="D1049" s="14"/>
      <c r="E1049" s="15"/>
      <c r="F1049" s="13"/>
      <c r="G1049" s="16" t="str">
        <f aca="false">IF(OR(B1049="",E1049=""),"",E1049*IFERROR(INDEX(Müşteriler!$B$5:$B$54,MATCH(B1049,Müşteriler!$A$5:$A$54,0)),0))</f>
        <v/>
      </c>
    </row>
    <row r="1050" customFormat="false" ht="15" hidden="false" customHeight="false" outlineLevel="0" collapsed="false">
      <c r="A1050" s="12"/>
      <c r="B1050" s="13"/>
      <c r="C1050" s="14"/>
      <c r="D1050" s="14"/>
      <c r="E1050" s="15"/>
      <c r="F1050" s="13"/>
      <c r="G1050" s="16" t="str">
        <f aca="false">IF(OR(B1050="",E1050=""),"",E1050*IFERROR(INDEX(Müşteriler!$B$5:$B$54,MATCH(B1050,Müşteriler!$A$5:$A$54,0)),0))</f>
        <v/>
      </c>
    </row>
    <row r="1051" customFormat="false" ht="15" hidden="false" customHeight="false" outlineLevel="0" collapsed="false">
      <c r="A1051" s="12"/>
      <c r="B1051" s="13"/>
      <c r="C1051" s="14"/>
      <c r="D1051" s="14"/>
      <c r="E1051" s="15"/>
      <c r="F1051" s="13"/>
      <c r="G1051" s="16" t="str">
        <f aca="false">IF(OR(B1051="",E1051=""),"",E1051*IFERROR(INDEX(Müşteriler!$B$5:$B$54,MATCH(B1051,Müşteriler!$A$5:$A$54,0)),0))</f>
        <v/>
      </c>
    </row>
    <row r="1052" customFormat="false" ht="15" hidden="false" customHeight="false" outlineLevel="0" collapsed="false">
      <c r="A1052" s="12"/>
      <c r="B1052" s="13"/>
      <c r="C1052" s="14"/>
      <c r="D1052" s="14"/>
      <c r="E1052" s="15"/>
      <c r="F1052" s="13"/>
      <c r="G1052" s="16" t="str">
        <f aca="false">IF(OR(B1052="",E1052=""),"",E1052*IFERROR(INDEX(Müşteriler!$B$5:$B$54,MATCH(B1052,Müşteriler!$A$5:$A$54,0)),0))</f>
        <v/>
      </c>
    </row>
    <row r="1053" customFormat="false" ht="15" hidden="false" customHeight="false" outlineLevel="0" collapsed="false">
      <c r="A1053" s="12"/>
      <c r="B1053" s="13"/>
      <c r="C1053" s="14"/>
      <c r="D1053" s="14"/>
      <c r="E1053" s="15"/>
      <c r="F1053" s="13"/>
      <c r="G1053" s="16" t="str">
        <f aca="false">IF(OR(B1053="",E1053=""),"",E1053*IFERROR(INDEX(Müşteriler!$B$5:$B$54,MATCH(B1053,Müşteriler!$A$5:$A$54,0)),0))</f>
        <v/>
      </c>
    </row>
    <row r="1054" customFormat="false" ht="15" hidden="false" customHeight="false" outlineLevel="0" collapsed="false">
      <c r="A1054" s="12"/>
      <c r="B1054" s="13"/>
      <c r="C1054" s="14"/>
      <c r="D1054" s="14"/>
      <c r="E1054" s="15"/>
      <c r="F1054" s="13"/>
      <c r="G1054" s="16" t="str">
        <f aca="false">IF(OR(B1054="",E1054=""),"",E1054*IFERROR(INDEX(Müşteriler!$B$5:$B$54,MATCH(B1054,Müşteriler!$A$5:$A$54,0)),0))</f>
        <v/>
      </c>
    </row>
    <row r="1055" customFormat="false" ht="15" hidden="false" customHeight="false" outlineLevel="0" collapsed="false">
      <c r="A1055" s="12"/>
      <c r="B1055" s="13"/>
      <c r="C1055" s="14"/>
      <c r="D1055" s="14"/>
      <c r="E1055" s="15"/>
      <c r="F1055" s="13"/>
      <c r="G1055" s="16" t="str">
        <f aca="false">IF(OR(B1055="",E1055=""),"",E1055*IFERROR(INDEX(Müşteriler!$B$5:$B$54,MATCH(B1055,Müşteriler!$A$5:$A$54,0)),0))</f>
        <v/>
      </c>
    </row>
    <row r="1056" customFormat="false" ht="15" hidden="false" customHeight="false" outlineLevel="0" collapsed="false">
      <c r="A1056" s="12"/>
      <c r="B1056" s="13"/>
      <c r="C1056" s="14"/>
      <c r="D1056" s="14"/>
      <c r="E1056" s="15"/>
      <c r="F1056" s="13"/>
      <c r="G1056" s="16" t="str">
        <f aca="false">IF(OR(B1056="",E1056=""),"",E1056*IFERROR(INDEX(Müşteriler!$B$5:$B$54,MATCH(B1056,Müşteriler!$A$5:$A$54,0)),0))</f>
        <v/>
      </c>
    </row>
    <row r="1057" customFormat="false" ht="15" hidden="false" customHeight="false" outlineLevel="0" collapsed="false">
      <c r="A1057" s="12"/>
      <c r="B1057" s="13"/>
      <c r="C1057" s="14"/>
      <c r="D1057" s="14"/>
      <c r="E1057" s="15"/>
      <c r="F1057" s="13"/>
      <c r="G1057" s="16" t="str">
        <f aca="false">IF(OR(B1057="",E1057=""),"",E1057*IFERROR(INDEX(Müşteriler!$B$5:$B$54,MATCH(B1057,Müşteriler!$A$5:$A$54,0)),0))</f>
        <v/>
      </c>
    </row>
    <row r="1058" customFormat="false" ht="15" hidden="false" customHeight="false" outlineLevel="0" collapsed="false">
      <c r="A1058" s="12"/>
      <c r="B1058" s="13"/>
      <c r="C1058" s="14"/>
      <c r="D1058" s="14"/>
      <c r="E1058" s="15"/>
      <c r="F1058" s="13"/>
      <c r="G1058" s="16" t="str">
        <f aca="false">IF(OR(B1058="",E1058=""),"",E1058*IFERROR(INDEX(Müşteriler!$B$5:$B$54,MATCH(B1058,Müşteriler!$A$5:$A$54,0)),0))</f>
        <v/>
      </c>
    </row>
    <row r="1059" customFormat="false" ht="15" hidden="false" customHeight="false" outlineLevel="0" collapsed="false">
      <c r="A1059" s="12"/>
      <c r="B1059" s="13"/>
      <c r="C1059" s="14"/>
      <c r="D1059" s="14"/>
      <c r="E1059" s="15"/>
      <c r="F1059" s="13"/>
      <c r="G1059" s="16" t="str">
        <f aca="false">IF(OR(B1059="",E1059=""),"",E1059*IFERROR(INDEX(Müşteriler!$B$5:$B$54,MATCH(B1059,Müşteriler!$A$5:$A$54,0)),0))</f>
        <v/>
      </c>
    </row>
    <row r="1060" customFormat="false" ht="15" hidden="false" customHeight="false" outlineLevel="0" collapsed="false">
      <c r="A1060" s="12"/>
      <c r="B1060" s="13"/>
      <c r="C1060" s="14"/>
      <c r="D1060" s="14"/>
      <c r="E1060" s="15"/>
      <c r="F1060" s="13"/>
      <c r="G1060" s="16" t="str">
        <f aca="false">IF(OR(B1060="",E1060=""),"",E1060*IFERROR(INDEX(Müşteriler!$B$5:$B$54,MATCH(B1060,Müşteriler!$A$5:$A$54,0)),0))</f>
        <v/>
      </c>
    </row>
    <row r="1061" customFormat="false" ht="15" hidden="false" customHeight="false" outlineLevel="0" collapsed="false">
      <c r="A1061" s="12"/>
      <c r="B1061" s="13"/>
      <c r="C1061" s="14"/>
      <c r="D1061" s="14"/>
      <c r="E1061" s="15"/>
      <c r="F1061" s="13"/>
      <c r="G1061" s="16" t="str">
        <f aca="false">IF(OR(B1061="",E1061=""),"",E1061*IFERROR(INDEX(Müşteriler!$B$5:$B$54,MATCH(B1061,Müşteriler!$A$5:$A$54,0)),0))</f>
        <v/>
      </c>
    </row>
    <row r="1062" customFormat="false" ht="15" hidden="false" customHeight="false" outlineLevel="0" collapsed="false">
      <c r="A1062" s="12"/>
      <c r="B1062" s="13"/>
      <c r="C1062" s="14"/>
      <c r="D1062" s="14"/>
      <c r="E1062" s="15"/>
      <c r="F1062" s="13"/>
      <c r="G1062" s="16" t="str">
        <f aca="false">IF(OR(B1062="",E1062=""),"",E1062*IFERROR(INDEX(Müşteriler!$B$5:$B$54,MATCH(B1062,Müşteriler!$A$5:$A$54,0)),0))</f>
        <v/>
      </c>
    </row>
    <row r="1063" customFormat="false" ht="15" hidden="false" customHeight="false" outlineLevel="0" collapsed="false">
      <c r="A1063" s="12"/>
      <c r="B1063" s="13"/>
      <c r="C1063" s="14"/>
      <c r="D1063" s="14"/>
      <c r="E1063" s="15"/>
      <c r="F1063" s="13"/>
      <c r="G1063" s="16" t="str">
        <f aca="false">IF(OR(B1063="",E1063=""),"",E1063*IFERROR(INDEX(Müşteriler!$B$5:$B$54,MATCH(B1063,Müşteriler!$A$5:$A$54,0)),0))</f>
        <v/>
      </c>
    </row>
    <row r="1064" customFormat="false" ht="15" hidden="false" customHeight="false" outlineLevel="0" collapsed="false">
      <c r="A1064" s="12"/>
      <c r="B1064" s="13"/>
      <c r="C1064" s="14"/>
      <c r="D1064" s="14"/>
      <c r="E1064" s="15"/>
      <c r="F1064" s="13"/>
      <c r="G1064" s="16" t="str">
        <f aca="false">IF(OR(B1064="",E1064=""),"",E1064*IFERROR(INDEX(Müşteriler!$B$5:$B$54,MATCH(B1064,Müşteriler!$A$5:$A$54,0)),0))</f>
        <v/>
      </c>
    </row>
    <row r="1065" customFormat="false" ht="15" hidden="false" customHeight="false" outlineLevel="0" collapsed="false">
      <c r="A1065" s="12"/>
      <c r="B1065" s="13"/>
      <c r="C1065" s="14"/>
      <c r="D1065" s="14"/>
      <c r="E1065" s="15"/>
      <c r="F1065" s="13"/>
      <c r="G1065" s="16" t="str">
        <f aca="false">IF(OR(B1065="",E1065=""),"",E1065*IFERROR(INDEX(Müşteriler!$B$5:$B$54,MATCH(B1065,Müşteriler!$A$5:$A$54,0)),0))</f>
        <v/>
      </c>
    </row>
    <row r="1066" customFormat="false" ht="15" hidden="false" customHeight="false" outlineLevel="0" collapsed="false">
      <c r="A1066" s="12"/>
      <c r="B1066" s="13"/>
      <c r="C1066" s="14"/>
      <c r="D1066" s="14"/>
      <c r="E1066" s="15"/>
      <c r="F1066" s="13"/>
      <c r="G1066" s="16" t="str">
        <f aca="false">IF(OR(B1066="",E1066=""),"",E1066*IFERROR(INDEX(Müşteriler!$B$5:$B$54,MATCH(B1066,Müşteriler!$A$5:$A$54,0)),0))</f>
        <v/>
      </c>
    </row>
    <row r="1067" customFormat="false" ht="15" hidden="false" customHeight="false" outlineLevel="0" collapsed="false">
      <c r="A1067" s="12"/>
      <c r="B1067" s="13"/>
      <c r="C1067" s="14"/>
      <c r="D1067" s="14"/>
      <c r="E1067" s="15"/>
      <c r="F1067" s="13"/>
      <c r="G1067" s="16" t="str">
        <f aca="false">IF(OR(B1067="",E1067=""),"",E1067*IFERROR(INDEX(Müşteriler!$B$5:$B$54,MATCH(B1067,Müşteriler!$A$5:$A$54,0)),0))</f>
        <v/>
      </c>
    </row>
    <row r="1068" customFormat="false" ht="15" hidden="false" customHeight="false" outlineLevel="0" collapsed="false">
      <c r="A1068" s="12"/>
      <c r="B1068" s="13"/>
      <c r="C1068" s="14"/>
      <c r="D1068" s="14"/>
      <c r="E1068" s="15"/>
      <c r="F1068" s="13"/>
      <c r="G1068" s="16" t="str">
        <f aca="false">IF(OR(B1068="",E1068=""),"",E1068*IFERROR(INDEX(Müşteriler!$B$5:$B$54,MATCH(B1068,Müşteriler!$A$5:$A$54,0)),0))</f>
        <v/>
      </c>
    </row>
    <row r="1069" customFormat="false" ht="15" hidden="false" customHeight="false" outlineLevel="0" collapsed="false">
      <c r="A1069" s="12"/>
      <c r="B1069" s="13"/>
      <c r="C1069" s="14"/>
      <c r="D1069" s="14"/>
      <c r="E1069" s="15"/>
      <c r="F1069" s="13"/>
      <c r="G1069" s="16" t="str">
        <f aca="false">IF(OR(B1069="",E1069=""),"",E1069*IFERROR(INDEX(Müşteriler!$B$5:$B$54,MATCH(B1069,Müşteriler!$A$5:$A$54,0)),0))</f>
        <v/>
      </c>
    </row>
    <row r="1070" customFormat="false" ht="15" hidden="false" customHeight="false" outlineLevel="0" collapsed="false">
      <c r="A1070" s="12"/>
      <c r="B1070" s="13"/>
      <c r="C1070" s="14"/>
      <c r="D1070" s="14"/>
      <c r="E1070" s="15"/>
      <c r="F1070" s="13"/>
      <c r="G1070" s="16" t="str">
        <f aca="false">IF(OR(B1070="",E1070=""),"",E1070*IFERROR(INDEX(Müşteriler!$B$5:$B$54,MATCH(B1070,Müşteriler!$A$5:$A$54,0)),0))</f>
        <v/>
      </c>
    </row>
    <row r="1071" customFormat="false" ht="15" hidden="false" customHeight="false" outlineLevel="0" collapsed="false">
      <c r="A1071" s="12"/>
      <c r="B1071" s="13"/>
      <c r="C1071" s="14"/>
      <c r="D1071" s="14"/>
      <c r="E1071" s="15"/>
      <c r="F1071" s="13"/>
      <c r="G1071" s="16" t="str">
        <f aca="false">IF(OR(B1071="",E1071=""),"",E1071*IFERROR(INDEX(Müşteriler!$B$5:$B$54,MATCH(B1071,Müşteriler!$A$5:$A$54,0)),0))</f>
        <v/>
      </c>
    </row>
    <row r="1072" customFormat="false" ht="15" hidden="false" customHeight="false" outlineLevel="0" collapsed="false">
      <c r="A1072" s="12"/>
      <c r="B1072" s="13"/>
      <c r="C1072" s="14"/>
      <c r="D1072" s="14"/>
      <c r="E1072" s="15"/>
      <c r="F1072" s="13"/>
      <c r="G1072" s="16" t="str">
        <f aca="false">IF(OR(B1072="",E1072=""),"",E1072*IFERROR(INDEX(Müşteriler!$B$5:$B$54,MATCH(B1072,Müşteriler!$A$5:$A$54,0)),0))</f>
        <v/>
      </c>
    </row>
    <row r="1073" customFormat="false" ht="15" hidden="false" customHeight="false" outlineLevel="0" collapsed="false">
      <c r="A1073" s="12"/>
      <c r="B1073" s="13"/>
      <c r="C1073" s="14"/>
      <c r="D1073" s="14"/>
      <c r="E1073" s="15"/>
      <c r="F1073" s="13"/>
      <c r="G1073" s="16" t="str">
        <f aca="false">IF(OR(B1073="",E1073=""),"",E1073*IFERROR(INDEX(Müşteriler!$B$5:$B$54,MATCH(B1073,Müşteriler!$A$5:$A$54,0)),0))</f>
        <v/>
      </c>
    </row>
    <row r="1074" customFormat="false" ht="15" hidden="false" customHeight="false" outlineLevel="0" collapsed="false">
      <c r="A1074" s="12"/>
      <c r="B1074" s="13"/>
      <c r="C1074" s="14"/>
      <c r="D1074" s="14"/>
      <c r="E1074" s="15"/>
      <c r="F1074" s="13"/>
      <c r="G1074" s="16" t="str">
        <f aca="false">IF(OR(B1074="",E1074=""),"",E1074*IFERROR(INDEX(Müşteriler!$B$5:$B$54,MATCH(B1074,Müşteriler!$A$5:$A$54,0)),0))</f>
        <v/>
      </c>
    </row>
    <row r="1075" customFormat="false" ht="15" hidden="false" customHeight="false" outlineLevel="0" collapsed="false">
      <c r="A1075" s="12"/>
      <c r="B1075" s="13"/>
      <c r="C1075" s="14"/>
      <c r="D1075" s="14"/>
      <c r="E1075" s="15"/>
      <c r="F1075" s="13"/>
      <c r="G1075" s="16" t="str">
        <f aca="false">IF(OR(B1075="",E1075=""),"",E1075*IFERROR(INDEX(Müşteriler!$B$5:$B$54,MATCH(B1075,Müşteriler!$A$5:$A$54,0)),0))</f>
        <v/>
      </c>
    </row>
    <row r="1076" customFormat="false" ht="15" hidden="false" customHeight="false" outlineLevel="0" collapsed="false">
      <c r="A1076" s="12"/>
      <c r="B1076" s="13"/>
      <c r="C1076" s="14"/>
      <c r="D1076" s="14"/>
      <c r="E1076" s="15"/>
      <c r="F1076" s="13"/>
      <c r="G1076" s="16" t="str">
        <f aca="false">IF(OR(B1076="",E1076=""),"",E1076*IFERROR(INDEX(Müşteriler!$B$5:$B$54,MATCH(B1076,Müşteriler!$A$5:$A$54,0)),0))</f>
        <v/>
      </c>
    </row>
    <row r="1077" customFormat="false" ht="15" hidden="false" customHeight="false" outlineLevel="0" collapsed="false">
      <c r="A1077" s="12"/>
      <c r="B1077" s="13"/>
      <c r="C1077" s="14"/>
      <c r="D1077" s="14"/>
      <c r="E1077" s="15"/>
      <c r="F1077" s="13"/>
      <c r="G1077" s="16" t="str">
        <f aca="false">IF(OR(B1077="",E1077=""),"",E1077*IFERROR(INDEX(Müşteriler!$B$5:$B$54,MATCH(B1077,Müşteriler!$A$5:$A$54,0)),0))</f>
        <v/>
      </c>
    </row>
    <row r="1078" customFormat="false" ht="15" hidden="false" customHeight="false" outlineLevel="0" collapsed="false">
      <c r="A1078" s="12"/>
      <c r="B1078" s="13"/>
      <c r="C1078" s="14"/>
      <c r="D1078" s="14"/>
      <c r="E1078" s="15"/>
      <c r="F1078" s="13"/>
      <c r="G1078" s="16" t="str">
        <f aca="false">IF(OR(B1078="",E1078=""),"",E1078*IFERROR(INDEX(Müşteriler!$B$5:$B$54,MATCH(B1078,Müşteriler!$A$5:$A$54,0)),0))</f>
        <v/>
      </c>
    </row>
    <row r="1079" customFormat="false" ht="15" hidden="false" customHeight="false" outlineLevel="0" collapsed="false">
      <c r="A1079" s="12"/>
      <c r="B1079" s="13"/>
      <c r="C1079" s="14"/>
      <c r="D1079" s="14"/>
      <c r="E1079" s="15"/>
      <c r="F1079" s="13"/>
      <c r="G1079" s="16" t="str">
        <f aca="false">IF(OR(B1079="",E1079=""),"",E1079*IFERROR(INDEX(Müşteriler!$B$5:$B$54,MATCH(B1079,Müşteriler!$A$5:$A$54,0)),0))</f>
        <v/>
      </c>
    </row>
    <row r="1080" customFormat="false" ht="15" hidden="false" customHeight="false" outlineLevel="0" collapsed="false">
      <c r="A1080" s="12"/>
      <c r="B1080" s="13"/>
      <c r="C1080" s="14"/>
      <c r="D1080" s="14"/>
      <c r="E1080" s="15"/>
      <c r="F1080" s="13"/>
      <c r="G1080" s="16" t="str">
        <f aca="false">IF(OR(B1080="",E1080=""),"",E1080*IFERROR(INDEX(Müşteriler!$B$5:$B$54,MATCH(B1080,Müşteriler!$A$5:$A$54,0)),0))</f>
        <v/>
      </c>
    </row>
    <row r="1081" customFormat="false" ht="15" hidden="false" customHeight="false" outlineLevel="0" collapsed="false">
      <c r="A1081" s="12"/>
      <c r="B1081" s="13"/>
      <c r="C1081" s="14"/>
      <c r="D1081" s="14"/>
      <c r="E1081" s="15"/>
      <c r="F1081" s="13"/>
      <c r="G1081" s="16" t="str">
        <f aca="false">IF(OR(B1081="",E1081=""),"",E1081*IFERROR(INDEX(Müşteriler!$B$5:$B$54,MATCH(B1081,Müşteriler!$A$5:$A$54,0)),0))</f>
        <v/>
      </c>
    </row>
    <row r="1082" customFormat="false" ht="15" hidden="false" customHeight="false" outlineLevel="0" collapsed="false">
      <c r="A1082" s="12"/>
      <c r="B1082" s="13"/>
      <c r="C1082" s="14"/>
      <c r="D1082" s="14"/>
      <c r="E1082" s="15"/>
      <c r="F1082" s="13"/>
      <c r="G1082" s="16" t="str">
        <f aca="false">IF(OR(B1082="",E1082=""),"",E1082*IFERROR(INDEX(Müşteriler!$B$5:$B$54,MATCH(B1082,Müşteriler!$A$5:$A$54,0)),0))</f>
        <v/>
      </c>
    </row>
    <row r="1083" customFormat="false" ht="15" hidden="false" customHeight="false" outlineLevel="0" collapsed="false">
      <c r="A1083" s="12"/>
      <c r="B1083" s="13"/>
      <c r="C1083" s="14"/>
      <c r="D1083" s="14"/>
      <c r="E1083" s="15"/>
      <c r="F1083" s="13"/>
      <c r="G1083" s="16" t="str">
        <f aca="false">IF(OR(B1083="",E1083=""),"",E1083*IFERROR(INDEX(Müşteriler!$B$5:$B$54,MATCH(B1083,Müşteriler!$A$5:$A$54,0)),0))</f>
        <v/>
      </c>
    </row>
    <row r="1084" customFormat="false" ht="15" hidden="false" customHeight="false" outlineLevel="0" collapsed="false">
      <c r="A1084" s="12"/>
      <c r="B1084" s="13"/>
      <c r="C1084" s="14"/>
      <c r="D1084" s="14"/>
      <c r="E1084" s="15"/>
      <c r="F1084" s="13"/>
      <c r="G1084" s="16" t="str">
        <f aca="false">IF(OR(B1084="",E1084=""),"",E1084*IFERROR(INDEX(Müşteriler!$B$5:$B$54,MATCH(B1084,Müşteriler!$A$5:$A$54,0)),0))</f>
        <v/>
      </c>
    </row>
    <row r="1085" customFormat="false" ht="15" hidden="false" customHeight="false" outlineLevel="0" collapsed="false">
      <c r="A1085" s="12"/>
      <c r="B1085" s="13"/>
      <c r="C1085" s="14"/>
      <c r="D1085" s="14"/>
      <c r="E1085" s="15"/>
      <c r="F1085" s="13"/>
      <c r="G1085" s="16" t="str">
        <f aca="false">IF(OR(B1085="",E1085=""),"",E1085*IFERROR(INDEX(Müşteriler!$B$5:$B$54,MATCH(B1085,Müşteriler!$A$5:$A$54,0)),0))</f>
        <v/>
      </c>
    </row>
    <row r="1086" customFormat="false" ht="15" hidden="false" customHeight="false" outlineLevel="0" collapsed="false">
      <c r="A1086" s="12"/>
      <c r="B1086" s="13"/>
      <c r="C1086" s="14"/>
      <c r="D1086" s="14"/>
      <c r="E1086" s="15"/>
      <c r="F1086" s="13"/>
      <c r="G1086" s="16" t="str">
        <f aca="false">IF(OR(B1086="",E1086=""),"",E1086*IFERROR(INDEX(Müşteriler!$B$5:$B$54,MATCH(B1086,Müşteriler!$A$5:$A$54,0)),0))</f>
        <v/>
      </c>
    </row>
    <row r="1087" customFormat="false" ht="15" hidden="false" customHeight="false" outlineLevel="0" collapsed="false">
      <c r="A1087" s="12"/>
      <c r="B1087" s="13"/>
      <c r="C1087" s="14"/>
      <c r="D1087" s="14"/>
      <c r="E1087" s="15"/>
      <c r="F1087" s="13"/>
      <c r="G1087" s="16" t="str">
        <f aca="false">IF(OR(B1087="",E1087=""),"",E1087*IFERROR(INDEX(Müşteriler!$B$5:$B$54,MATCH(B1087,Müşteriler!$A$5:$A$54,0)),0))</f>
        <v/>
      </c>
    </row>
    <row r="1088" customFormat="false" ht="15" hidden="false" customHeight="false" outlineLevel="0" collapsed="false">
      <c r="A1088" s="12"/>
      <c r="B1088" s="13"/>
      <c r="C1088" s="14"/>
      <c r="D1088" s="14"/>
      <c r="E1088" s="15"/>
      <c r="F1088" s="13"/>
      <c r="G1088" s="16" t="str">
        <f aca="false">IF(OR(B1088="",E1088=""),"",E1088*IFERROR(INDEX(Müşteriler!$B$5:$B$54,MATCH(B1088,Müşteriler!$A$5:$A$54,0)),0))</f>
        <v/>
      </c>
    </row>
    <row r="1089" customFormat="false" ht="15" hidden="false" customHeight="false" outlineLevel="0" collapsed="false">
      <c r="A1089" s="12"/>
      <c r="B1089" s="13"/>
      <c r="C1089" s="14"/>
      <c r="D1089" s="14"/>
      <c r="E1089" s="15"/>
      <c r="F1089" s="13"/>
      <c r="G1089" s="16" t="str">
        <f aca="false">IF(OR(B1089="",E1089=""),"",E1089*IFERROR(INDEX(Müşteriler!$B$5:$B$54,MATCH(B1089,Müşteriler!$A$5:$A$54,0)),0))</f>
        <v/>
      </c>
    </row>
    <row r="1090" customFormat="false" ht="15" hidden="false" customHeight="false" outlineLevel="0" collapsed="false">
      <c r="A1090" s="12"/>
      <c r="B1090" s="13"/>
      <c r="C1090" s="14"/>
      <c r="D1090" s="14"/>
      <c r="E1090" s="15"/>
      <c r="F1090" s="13"/>
      <c r="G1090" s="16" t="str">
        <f aca="false">IF(OR(B1090="",E1090=""),"",E1090*IFERROR(INDEX(Müşteriler!$B$5:$B$54,MATCH(B1090,Müşteriler!$A$5:$A$54,0)),0))</f>
        <v/>
      </c>
    </row>
    <row r="1091" customFormat="false" ht="15" hidden="false" customHeight="false" outlineLevel="0" collapsed="false">
      <c r="A1091" s="12"/>
      <c r="B1091" s="13"/>
      <c r="C1091" s="14"/>
      <c r="D1091" s="14"/>
      <c r="E1091" s="15"/>
      <c r="F1091" s="13"/>
      <c r="G1091" s="16" t="str">
        <f aca="false">IF(OR(B1091="",E1091=""),"",E1091*IFERROR(INDEX(Müşteriler!$B$5:$B$54,MATCH(B1091,Müşteriler!$A$5:$A$54,0)),0))</f>
        <v/>
      </c>
    </row>
    <row r="1092" customFormat="false" ht="15" hidden="false" customHeight="false" outlineLevel="0" collapsed="false">
      <c r="A1092" s="12"/>
      <c r="B1092" s="13"/>
      <c r="C1092" s="14"/>
      <c r="D1092" s="14"/>
      <c r="E1092" s="15"/>
      <c r="F1092" s="13"/>
      <c r="G1092" s="16" t="str">
        <f aca="false">IF(OR(B1092="",E1092=""),"",E1092*IFERROR(INDEX(Müşteriler!$B$5:$B$54,MATCH(B1092,Müşteriler!$A$5:$A$54,0)),0))</f>
        <v/>
      </c>
    </row>
    <row r="1093" customFormat="false" ht="15" hidden="false" customHeight="false" outlineLevel="0" collapsed="false">
      <c r="A1093" s="12"/>
      <c r="B1093" s="13"/>
      <c r="C1093" s="14"/>
      <c r="D1093" s="14"/>
      <c r="E1093" s="15"/>
      <c r="F1093" s="13"/>
      <c r="G1093" s="16" t="str">
        <f aca="false">IF(OR(B1093="",E1093=""),"",E1093*IFERROR(INDEX(Müşteriler!$B$5:$B$54,MATCH(B1093,Müşteriler!$A$5:$A$54,0)),0))</f>
        <v/>
      </c>
    </row>
    <row r="1094" customFormat="false" ht="15" hidden="false" customHeight="false" outlineLevel="0" collapsed="false">
      <c r="A1094" s="12"/>
      <c r="B1094" s="13"/>
      <c r="C1094" s="14"/>
      <c r="D1094" s="14"/>
      <c r="E1094" s="15"/>
      <c r="F1094" s="13"/>
      <c r="G1094" s="16" t="str">
        <f aca="false">IF(OR(B1094="",E1094=""),"",E1094*IFERROR(INDEX(Müşteriler!$B$5:$B$54,MATCH(B1094,Müşteriler!$A$5:$A$54,0)),0))</f>
        <v/>
      </c>
    </row>
    <row r="1095" customFormat="false" ht="15" hidden="false" customHeight="false" outlineLevel="0" collapsed="false">
      <c r="A1095" s="12"/>
      <c r="B1095" s="13"/>
      <c r="C1095" s="14"/>
      <c r="D1095" s="14"/>
      <c r="E1095" s="15"/>
      <c r="F1095" s="13"/>
      <c r="G1095" s="16" t="str">
        <f aca="false">IF(OR(B1095="",E1095=""),"",E1095*IFERROR(INDEX(Müşteriler!$B$5:$B$54,MATCH(B1095,Müşteriler!$A$5:$A$54,0)),0))</f>
        <v/>
      </c>
    </row>
    <row r="1096" customFormat="false" ht="15" hidden="false" customHeight="false" outlineLevel="0" collapsed="false">
      <c r="A1096" s="12"/>
      <c r="B1096" s="13"/>
      <c r="C1096" s="14"/>
      <c r="D1096" s="14"/>
      <c r="E1096" s="15"/>
      <c r="F1096" s="13"/>
      <c r="G1096" s="16" t="str">
        <f aca="false">IF(OR(B1096="",E1096=""),"",E1096*IFERROR(INDEX(Müşteriler!$B$5:$B$54,MATCH(B1096,Müşteriler!$A$5:$A$54,0)),0))</f>
        <v/>
      </c>
    </row>
    <row r="1097" customFormat="false" ht="15" hidden="false" customHeight="false" outlineLevel="0" collapsed="false">
      <c r="A1097" s="12"/>
      <c r="B1097" s="13"/>
      <c r="C1097" s="14"/>
      <c r="D1097" s="14"/>
      <c r="E1097" s="15"/>
      <c r="F1097" s="13"/>
      <c r="G1097" s="16" t="str">
        <f aca="false">IF(OR(B1097="",E1097=""),"",E1097*IFERROR(INDEX(Müşteriler!$B$5:$B$54,MATCH(B1097,Müşteriler!$A$5:$A$54,0)),0))</f>
        <v/>
      </c>
    </row>
    <row r="1098" customFormat="false" ht="15" hidden="false" customHeight="false" outlineLevel="0" collapsed="false">
      <c r="A1098" s="12"/>
      <c r="B1098" s="13"/>
      <c r="C1098" s="14"/>
      <c r="D1098" s="14"/>
      <c r="E1098" s="15"/>
      <c r="F1098" s="13"/>
      <c r="G1098" s="16" t="str">
        <f aca="false">IF(OR(B1098="",E1098=""),"",E1098*IFERROR(INDEX(Müşteriler!$B$5:$B$54,MATCH(B1098,Müşteriler!$A$5:$A$54,0)),0))</f>
        <v/>
      </c>
    </row>
    <row r="1099" customFormat="false" ht="15" hidden="false" customHeight="false" outlineLevel="0" collapsed="false">
      <c r="A1099" s="12"/>
      <c r="B1099" s="13"/>
      <c r="C1099" s="14"/>
      <c r="D1099" s="14"/>
      <c r="E1099" s="15"/>
      <c r="F1099" s="13"/>
      <c r="G1099" s="16" t="str">
        <f aca="false">IF(OR(B1099="",E1099=""),"",E1099*IFERROR(INDEX(Müşteriler!$B$5:$B$54,MATCH(B1099,Müşteriler!$A$5:$A$54,0)),0))</f>
        <v/>
      </c>
    </row>
    <row r="1100" customFormat="false" ht="15" hidden="false" customHeight="false" outlineLevel="0" collapsed="false">
      <c r="A1100" s="12"/>
      <c r="B1100" s="13"/>
      <c r="C1100" s="14"/>
      <c r="D1100" s="14"/>
      <c r="E1100" s="15"/>
      <c r="F1100" s="13"/>
      <c r="G1100" s="16" t="str">
        <f aca="false">IF(OR(B1100="",E1100=""),"",E1100*IFERROR(INDEX(Müşteriler!$B$5:$B$54,MATCH(B1100,Müşteriler!$A$5:$A$54,0)),0))</f>
        <v/>
      </c>
    </row>
    <row r="1101" customFormat="false" ht="15" hidden="false" customHeight="false" outlineLevel="0" collapsed="false">
      <c r="A1101" s="12"/>
      <c r="B1101" s="13"/>
      <c r="C1101" s="14"/>
      <c r="D1101" s="14"/>
      <c r="E1101" s="15"/>
      <c r="F1101" s="13"/>
      <c r="G1101" s="16" t="str">
        <f aca="false">IF(OR(B1101="",E1101=""),"",E1101*IFERROR(INDEX(Müşteriler!$B$5:$B$54,MATCH(B1101,Müşteriler!$A$5:$A$54,0)),0))</f>
        <v/>
      </c>
    </row>
    <row r="1102" customFormat="false" ht="15" hidden="false" customHeight="false" outlineLevel="0" collapsed="false">
      <c r="A1102" s="12"/>
      <c r="B1102" s="13"/>
      <c r="C1102" s="14"/>
      <c r="D1102" s="14"/>
      <c r="E1102" s="15"/>
      <c r="F1102" s="13"/>
      <c r="G1102" s="16" t="str">
        <f aca="false">IF(OR(B1102="",E1102=""),"",E1102*IFERROR(INDEX(Müşteriler!$B$5:$B$54,MATCH(B1102,Müşteriler!$A$5:$A$54,0)),0))</f>
        <v/>
      </c>
    </row>
    <row r="1103" customFormat="false" ht="15" hidden="false" customHeight="false" outlineLevel="0" collapsed="false">
      <c r="A1103" s="12"/>
      <c r="B1103" s="13"/>
      <c r="C1103" s="14"/>
      <c r="D1103" s="14"/>
      <c r="E1103" s="15"/>
      <c r="F1103" s="13"/>
      <c r="G1103" s="16" t="str">
        <f aca="false">IF(OR(B1103="",E1103=""),"",E1103*IFERROR(INDEX(Müşteriler!$B$5:$B$54,MATCH(B1103,Müşteriler!$A$5:$A$54,0)),0))</f>
        <v/>
      </c>
    </row>
    <row r="1104" customFormat="false" ht="15" hidden="false" customHeight="false" outlineLevel="0" collapsed="false">
      <c r="A1104" s="12"/>
      <c r="B1104" s="13"/>
      <c r="C1104" s="14"/>
      <c r="D1104" s="14"/>
      <c r="E1104" s="15"/>
      <c r="F1104" s="13"/>
      <c r="G1104" s="16" t="str">
        <f aca="false">IF(OR(B1104="",E1104=""),"",E1104*IFERROR(INDEX(Müşteriler!$B$5:$B$54,MATCH(B1104,Müşteriler!$A$5:$A$54,0)),0))</f>
        <v/>
      </c>
    </row>
    <row r="1105" customFormat="false" ht="15" hidden="false" customHeight="false" outlineLevel="0" collapsed="false">
      <c r="A1105" s="12"/>
      <c r="B1105" s="13"/>
      <c r="C1105" s="14"/>
      <c r="D1105" s="14"/>
      <c r="E1105" s="15"/>
      <c r="F1105" s="13"/>
      <c r="G1105" s="16" t="str">
        <f aca="false">IF(OR(B1105="",E1105=""),"",E1105*IFERROR(INDEX(Müşteriler!$B$5:$B$54,MATCH(B1105,Müşteriler!$A$5:$A$54,0)),0))</f>
        <v/>
      </c>
    </row>
    <row r="1106" customFormat="false" ht="15" hidden="false" customHeight="false" outlineLevel="0" collapsed="false">
      <c r="A1106" s="12"/>
      <c r="B1106" s="13"/>
      <c r="C1106" s="14"/>
      <c r="D1106" s="14"/>
      <c r="E1106" s="15"/>
      <c r="F1106" s="13"/>
      <c r="G1106" s="16" t="str">
        <f aca="false">IF(OR(B1106="",E1106=""),"",E1106*IFERROR(INDEX(Müşteriler!$B$5:$B$54,MATCH(B1106,Müşteriler!$A$5:$A$54,0)),0))</f>
        <v/>
      </c>
    </row>
    <row r="1107" customFormat="false" ht="15" hidden="false" customHeight="false" outlineLevel="0" collapsed="false">
      <c r="A1107" s="12"/>
      <c r="B1107" s="13"/>
      <c r="C1107" s="14"/>
      <c r="D1107" s="14"/>
      <c r="E1107" s="15"/>
      <c r="F1107" s="13"/>
      <c r="G1107" s="16" t="str">
        <f aca="false">IF(OR(B1107="",E1107=""),"",E1107*IFERROR(INDEX(Müşteriler!$B$5:$B$54,MATCH(B1107,Müşteriler!$A$5:$A$54,0)),0))</f>
        <v/>
      </c>
    </row>
    <row r="1108" customFormat="false" ht="15" hidden="false" customHeight="false" outlineLevel="0" collapsed="false">
      <c r="A1108" s="12"/>
      <c r="B1108" s="13"/>
      <c r="C1108" s="14"/>
      <c r="D1108" s="14"/>
      <c r="E1108" s="15"/>
      <c r="F1108" s="13"/>
      <c r="G1108" s="16" t="str">
        <f aca="false">IF(OR(B1108="",E1108=""),"",E1108*IFERROR(INDEX(Müşteriler!$B$5:$B$54,MATCH(B1108,Müşteriler!$A$5:$A$54,0)),0))</f>
        <v/>
      </c>
    </row>
    <row r="1109" customFormat="false" ht="15" hidden="false" customHeight="false" outlineLevel="0" collapsed="false">
      <c r="A1109" s="12"/>
      <c r="B1109" s="13"/>
      <c r="C1109" s="14"/>
      <c r="D1109" s="14"/>
      <c r="E1109" s="15"/>
      <c r="F1109" s="13"/>
      <c r="G1109" s="16" t="str">
        <f aca="false">IF(OR(B1109="",E1109=""),"",E1109*IFERROR(INDEX(Müşteriler!$B$5:$B$54,MATCH(B1109,Müşteriler!$A$5:$A$54,0)),0))</f>
        <v/>
      </c>
    </row>
    <row r="1110" customFormat="false" ht="15" hidden="false" customHeight="false" outlineLevel="0" collapsed="false">
      <c r="A1110" s="12"/>
      <c r="B1110" s="13"/>
      <c r="C1110" s="14"/>
      <c r="D1110" s="14"/>
      <c r="E1110" s="15"/>
      <c r="F1110" s="13"/>
      <c r="G1110" s="16" t="str">
        <f aca="false">IF(OR(B1110="",E1110=""),"",E1110*IFERROR(INDEX(Müşteriler!$B$5:$B$54,MATCH(B1110,Müşteriler!$A$5:$A$54,0)),0))</f>
        <v/>
      </c>
    </row>
    <row r="1111" customFormat="false" ht="15" hidden="false" customHeight="false" outlineLevel="0" collapsed="false">
      <c r="A1111" s="12"/>
      <c r="B1111" s="13"/>
      <c r="C1111" s="14"/>
      <c r="D1111" s="14"/>
      <c r="E1111" s="15"/>
      <c r="F1111" s="13"/>
      <c r="G1111" s="16" t="str">
        <f aca="false">IF(OR(B1111="",E1111=""),"",E1111*IFERROR(INDEX(Müşteriler!$B$5:$B$54,MATCH(B1111,Müşteriler!$A$5:$A$54,0)),0))</f>
        <v/>
      </c>
    </row>
    <row r="1112" customFormat="false" ht="15" hidden="false" customHeight="false" outlineLevel="0" collapsed="false">
      <c r="A1112" s="12"/>
      <c r="B1112" s="13"/>
      <c r="C1112" s="14"/>
      <c r="D1112" s="14"/>
      <c r="E1112" s="15"/>
      <c r="F1112" s="13"/>
      <c r="G1112" s="16" t="str">
        <f aca="false">IF(OR(B1112="",E1112=""),"",E1112*IFERROR(INDEX(Müşteriler!$B$5:$B$54,MATCH(B1112,Müşteriler!$A$5:$A$54,0)),0))</f>
        <v/>
      </c>
    </row>
    <row r="1113" customFormat="false" ht="15" hidden="false" customHeight="false" outlineLevel="0" collapsed="false">
      <c r="A1113" s="12"/>
      <c r="B1113" s="13"/>
      <c r="C1113" s="14"/>
      <c r="D1113" s="14"/>
      <c r="E1113" s="15"/>
      <c r="F1113" s="13"/>
      <c r="G1113" s="16" t="str">
        <f aca="false">IF(OR(B1113="",E1113=""),"",E1113*IFERROR(INDEX(Müşteriler!$B$5:$B$54,MATCH(B1113,Müşteriler!$A$5:$A$54,0)),0))</f>
        <v/>
      </c>
    </row>
    <row r="1114" customFormat="false" ht="15" hidden="false" customHeight="false" outlineLevel="0" collapsed="false">
      <c r="A1114" s="12"/>
      <c r="B1114" s="13"/>
      <c r="C1114" s="14"/>
      <c r="D1114" s="14"/>
      <c r="E1114" s="15"/>
      <c r="F1114" s="13"/>
      <c r="G1114" s="16" t="str">
        <f aca="false">IF(OR(B1114="",E1114=""),"",E1114*IFERROR(INDEX(Müşteriler!$B$5:$B$54,MATCH(B1114,Müşteriler!$A$5:$A$54,0)),0))</f>
        <v/>
      </c>
    </row>
    <row r="1115" customFormat="false" ht="15" hidden="false" customHeight="false" outlineLevel="0" collapsed="false">
      <c r="A1115" s="12"/>
      <c r="B1115" s="13"/>
      <c r="C1115" s="14"/>
      <c r="D1115" s="14"/>
      <c r="E1115" s="15"/>
      <c r="F1115" s="13"/>
      <c r="G1115" s="16" t="str">
        <f aca="false">IF(OR(B1115="",E1115=""),"",E1115*IFERROR(INDEX(Müşteriler!$B$5:$B$54,MATCH(B1115,Müşteriler!$A$5:$A$54,0)),0))</f>
        <v/>
      </c>
    </row>
    <row r="1116" customFormat="false" ht="15" hidden="false" customHeight="false" outlineLevel="0" collapsed="false">
      <c r="A1116" s="12"/>
      <c r="B1116" s="13"/>
      <c r="C1116" s="14"/>
      <c r="D1116" s="14"/>
      <c r="E1116" s="15"/>
      <c r="F1116" s="13"/>
      <c r="G1116" s="16" t="str">
        <f aca="false">IF(OR(B1116="",E1116=""),"",E1116*IFERROR(INDEX(Müşteriler!$B$5:$B$54,MATCH(B1116,Müşteriler!$A$5:$A$54,0)),0))</f>
        <v/>
      </c>
    </row>
    <row r="1117" customFormat="false" ht="15" hidden="false" customHeight="false" outlineLevel="0" collapsed="false">
      <c r="A1117" s="12"/>
      <c r="B1117" s="13"/>
      <c r="C1117" s="14"/>
      <c r="D1117" s="14"/>
      <c r="E1117" s="15"/>
      <c r="F1117" s="13"/>
      <c r="G1117" s="16" t="str">
        <f aca="false">IF(OR(B1117="",E1117=""),"",E1117*IFERROR(INDEX(Müşteriler!$B$5:$B$54,MATCH(B1117,Müşteriler!$A$5:$A$54,0)),0))</f>
        <v/>
      </c>
    </row>
    <row r="1118" customFormat="false" ht="15" hidden="false" customHeight="false" outlineLevel="0" collapsed="false">
      <c r="A1118" s="12"/>
      <c r="B1118" s="13"/>
      <c r="C1118" s="14"/>
      <c r="D1118" s="14"/>
      <c r="E1118" s="15"/>
      <c r="F1118" s="13"/>
      <c r="G1118" s="16" t="str">
        <f aca="false">IF(OR(B1118="",E1118=""),"",E1118*IFERROR(INDEX(Müşteriler!$B$5:$B$54,MATCH(B1118,Müşteriler!$A$5:$A$54,0)),0))</f>
        <v/>
      </c>
    </row>
    <row r="1119" customFormat="false" ht="15" hidden="false" customHeight="false" outlineLevel="0" collapsed="false">
      <c r="A1119" s="12"/>
      <c r="B1119" s="13"/>
      <c r="C1119" s="14"/>
      <c r="D1119" s="14"/>
      <c r="E1119" s="15"/>
      <c r="F1119" s="13"/>
      <c r="G1119" s="16" t="str">
        <f aca="false">IF(OR(B1119="",E1119=""),"",E1119*IFERROR(INDEX(Müşteriler!$B$5:$B$54,MATCH(B1119,Müşteriler!$A$5:$A$54,0)),0))</f>
        <v/>
      </c>
    </row>
    <row r="1120" customFormat="false" ht="15" hidden="false" customHeight="false" outlineLevel="0" collapsed="false">
      <c r="A1120" s="12"/>
      <c r="B1120" s="13"/>
      <c r="C1120" s="14"/>
      <c r="D1120" s="14"/>
      <c r="E1120" s="15"/>
      <c r="F1120" s="13"/>
      <c r="G1120" s="16" t="str">
        <f aca="false">IF(OR(B1120="",E1120=""),"",E1120*IFERROR(INDEX(Müşteriler!$B$5:$B$54,MATCH(B1120,Müşteriler!$A$5:$A$54,0)),0))</f>
        <v/>
      </c>
    </row>
    <row r="1121" customFormat="false" ht="15" hidden="false" customHeight="false" outlineLevel="0" collapsed="false">
      <c r="A1121" s="12"/>
      <c r="B1121" s="13"/>
      <c r="C1121" s="14"/>
      <c r="D1121" s="14"/>
      <c r="E1121" s="15"/>
      <c r="F1121" s="13"/>
      <c r="G1121" s="16" t="str">
        <f aca="false">IF(OR(B1121="",E1121=""),"",E1121*IFERROR(INDEX(Müşteriler!$B$5:$B$54,MATCH(B1121,Müşteriler!$A$5:$A$54,0)),0))</f>
        <v/>
      </c>
    </row>
    <row r="1122" customFormat="false" ht="15" hidden="false" customHeight="false" outlineLevel="0" collapsed="false">
      <c r="A1122" s="12"/>
      <c r="B1122" s="13"/>
      <c r="C1122" s="14"/>
      <c r="D1122" s="14"/>
      <c r="E1122" s="15"/>
      <c r="F1122" s="13"/>
      <c r="G1122" s="16" t="str">
        <f aca="false">IF(OR(B1122="",E1122=""),"",E1122*IFERROR(INDEX(Müşteriler!$B$5:$B$54,MATCH(B1122,Müşteriler!$A$5:$A$54,0)),0))</f>
        <v/>
      </c>
    </row>
    <row r="1123" customFormat="false" ht="15" hidden="false" customHeight="false" outlineLevel="0" collapsed="false">
      <c r="A1123" s="12"/>
      <c r="B1123" s="13"/>
      <c r="C1123" s="14"/>
      <c r="D1123" s="14"/>
      <c r="E1123" s="15"/>
      <c r="F1123" s="13"/>
      <c r="G1123" s="16" t="str">
        <f aca="false">IF(OR(B1123="",E1123=""),"",E1123*IFERROR(INDEX(Müşteriler!$B$5:$B$54,MATCH(B1123,Müşteriler!$A$5:$A$54,0)),0))</f>
        <v/>
      </c>
    </row>
    <row r="1124" customFormat="false" ht="15" hidden="false" customHeight="false" outlineLevel="0" collapsed="false">
      <c r="A1124" s="12"/>
      <c r="B1124" s="13"/>
      <c r="C1124" s="14"/>
      <c r="D1124" s="14"/>
      <c r="E1124" s="15"/>
      <c r="F1124" s="13"/>
      <c r="G1124" s="16" t="str">
        <f aca="false">IF(OR(B1124="",E1124=""),"",E1124*IFERROR(INDEX(Müşteriler!$B$5:$B$54,MATCH(B1124,Müşteriler!$A$5:$A$54,0)),0))</f>
        <v/>
      </c>
    </row>
    <row r="1125" customFormat="false" ht="15" hidden="false" customHeight="false" outlineLevel="0" collapsed="false">
      <c r="A1125" s="12"/>
      <c r="B1125" s="13"/>
      <c r="C1125" s="14"/>
      <c r="D1125" s="14"/>
      <c r="E1125" s="15"/>
      <c r="F1125" s="13"/>
      <c r="G1125" s="16" t="str">
        <f aca="false">IF(OR(B1125="",E1125=""),"",E1125*IFERROR(INDEX(Müşteriler!$B$5:$B$54,MATCH(B1125,Müşteriler!$A$5:$A$54,0)),0))</f>
        <v/>
      </c>
    </row>
    <row r="1126" customFormat="false" ht="15" hidden="false" customHeight="false" outlineLevel="0" collapsed="false">
      <c r="A1126" s="12"/>
      <c r="B1126" s="13"/>
      <c r="C1126" s="14"/>
      <c r="D1126" s="14"/>
      <c r="E1126" s="15"/>
      <c r="F1126" s="13"/>
      <c r="G1126" s="16" t="str">
        <f aca="false">IF(OR(B1126="",E1126=""),"",E1126*IFERROR(INDEX(Müşteriler!$B$5:$B$54,MATCH(B1126,Müşteriler!$A$5:$A$54,0)),0))</f>
        <v/>
      </c>
    </row>
    <row r="1127" customFormat="false" ht="15" hidden="false" customHeight="false" outlineLevel="0" collapsed="false">
      <c r="A1127" s="12"/>
      <c r="B1127" s="13"/>
      <c r="C1127" s="14"/>
      <c r="D1127" s="14"/>
      <c r="E1127" s="15"/>
      <c r="F1127" s="13"/>
      <c r="G1127" s="16" t="str">
        <f aca="false">IF(OR(B1127="",E1127=""),"",E1127*IFERROR(INDEX(Müşteriler!$B$5:$B$54,MATCH(B1127,Müşteriler!$A$5:$A$54,0)),0))</f>
        <v/>
      </c>
    </row>
    <row r="1128" customFormat="false" ht="15" hidden="false" customHeight="false" outlineLevel="0" collapsed="false">
      <c r="A1128" s="12"/>
      <c r="B1128" s="13"/>
      <c r="C1128" s="14"/>
      <c r="D1128" s="14"/>
      <c r="E1128" s="15"/>
      <c r="F1128" s="13"/>
      <c r="G1128" s="16" t="str">
        <f aca="false">IF(OR(B1128="",E1128=""),"",E1128*IFERROR(INDEX(Müşteriler!$B$5:$B$54,MATCH(B1128,Müşteriler!$A$5:$A$54,0)),0))</f>
        <v/>
      </c>
    </row>
    <row r="1129" customFormat="false" ht="15" hidden="false" customHeight="false" outlineLevel="0" collapsed="false">
      <c r="A1129" s="12"/>
      <c r="B1129" s="13"/>
      <c r="C1129" s="14"/>
      <c r="D1129" s="14"/>
      <c r="E1129" s="15"/>
      <c r="F1129" s="13"/>
      <c r="G1129" s="16" t="str">
        <f aca="false">IF(OR(B1129="",E1129=""),"",E1129*IFERROR(INDEX(Müşteriler!$B$5:$B$54,MATCH(B1129,Müşteriler!$A$5:$A$54,0)),0))</f>
        <v/>
      </c>
    </row>
    <row r="1130" customFormat="false" ht="15" hidden="false" customHeight="false" outlineLevel="0" collapsed="false">
      <c r="A1130" s="12"/>
      <c r="B1130" s="13"/>
      <c r="C1130" s="14"/>
      <c r="D1130" s="14"/>
      <c r="E1130" s="15"/>
      <c r="F1130" s="13"/>
      <c r="G1130" s="16" t="str">
        <f aca="false">IF(OR(B1130="",E1130=""),"",E1130*IFERROR(INDEX(Müşteriler!$B$5:$B$54,MATCH(B1130,Müşteriler!$A$5:$A$54,0)),0))</f>
        <v/>
      </c>
    </row>
    <row r="1131" customFormat="false" ht="15" hidden="false" customHeight="false" outlineLevel="0" collapsed="false">
      <c r="A1131" s="12"/>
      <c r="B1131" s="13"/>
      <c r="C1131" s="14"/>
      <c r="D1131" s="14"/>
      <c r="E1131" s="15"/>
      <c r="F1131" s="13"/>
      <c r="G1131" s="16" t="str">
        <f aca="false">IF(OR(B1131="",E1131=""),"",E1131*IFERROR(INDEX(Müşteriler!$B$5:$B$54,MATCH(B1131,Müşteriler!$A$5:$A$54,0)),0))</f>
        <v/>
      </c>
    </row>
    <row r="1132" customFormat="false" ht="15" hidden="false" customHeight="false" outlineLevel="0" collapsed="false">
      <c r="A1132" s="12"/>
      <c r="B1132" s="13"/>
      <c r="C1132" s="14"/>
      <c r="D1132" s="14"/>
      <c r="E1132" s="15"/>
      <c r="F1132" s="13"/>
      <c r="G1132" s="16" t="str">
        <f aca="false">IF(OR(B1132="",E1132=""),"",E1132*IFERROR(INDEX(Müşteriler!$B$5:$B$54,MATCH(B1132,Müşteriler!$A$5:$A$54,0)),0))</f>
        <v/>
      </c>
    </row>
    <row r="1133" customFormat="false" ht="15" hidden="false" customHeight="false" outlineLevel="0" collapsed="false">
      <c r="A1133" s="12"/>
      <c r="B1133" s="13"/>
      <c r="C1133" s="14"/>
      <c r="D1133" s="14"/>
      <c r="E1133" s="15"/>
      <c r="F1133" s="13"/>
      <c r="G1133" s="16" t="str">
        <f aca="false">IF(OR(B1133="",E1133=""),"",E1133*IFERROR(INDEX(Müşteriler!$B$5:$B$54,MATCH(B1133,Müşteriler!$A$5:$A$54,0)),0))</f>
        <v/>
      </c>
    </row>
    <row r="1134" customFormat="false" ht="15" hidden="false" customHeight="false" outlineLevel="0" collapsed="false">
      <c r="A1134" s="12"/>
      <c r="B1134" s="13"/>
      <c r="C1134" s="14"/>
      <c r="D1134" s="14"/>
      <c r="E1134" s="15"/>
      <c r="F1134" s="13"/>
      <c r="G1134" s="16" t="str">
        <f aca="false">IF(OR(B1134="",E1134=""),"",E1134*IFERROR(INDEX(Müşteriler!$B$5:$B$54,MATCH(B1134,Müşteriler!$A$5:$A$54,0)),0))</f>
        <v/>
      </c>
    </row>
    <row r="1135" customFormat="false" ht="15" hidden="false" customHeight="false" outlineLevel="0" collapsed="false">
      <c r="A1135" s="12"/>
      <c r="B1135" s="13"/>
      <c r="C1135" s="14"/>
      <c r="D1135" s="14"/>
      <c r="E1135" s="15"/>
      <c r="F1135" s="13"/>
      <c r="G1135" s="16" t="str">
        <f aca="false">IF(OR(B1135="",E1135=""),"",E1135*IFERROR(INDEX(Müşteriler!$B$5:$B$54,MATCH(B1135,Müşteriler!$A$5:$A$54,0)),0))</f>
        <v/>
      </c>
    </row>
    <row r="1136" customFormat="false" ht="15" hidden="false" customHeight="false" outlineLevel="0" collapsed="false">
      <c r="A1136" s="12"/>
      <c r="B1136" s="13"/>
      <c r="C1136" s="14"/>
      <c r="D1136" s="14"/>
      <c r="E1136" s="15"/>
      <c r="F1136" s="13"/>
      <c r="G1136" s="16" t="str">
        <f aca="false">IF(OR(B1136="",E1136=""),"",E1136*IFERROR(INDEX(Müşteriler!$B$5:$B$54,MATCH(B1136,Müşteriler!$A$5:$A$54,0)),0))</f>
        <v/>
      </c>
    </row>
    <row r="1137" customFormat="false" ht="15" hidden="false" customHeight="false" outlineLevel="0" collapsed="false">
      <c r="A1137" s="12"/>
      <c r="B1137" s="13"/>
      <c r="C1137" s="14"/>
      <c r="D1137" s="14"/>
      <c r="E1137" s="15"/>
      <c r="F1137" s="13"/>
      <c r="G1137" s="16" t="str">
        <f aca="false">IF(OR(B1137="",E1137=""),"",E1137*IFERROR(INDEX(Müşteriler!$B$5:$B$54,MATCH(B1137,Müşteriler!$A$5:$A$54,0)),0))</f>
        <v/>
      </c>
    </row>
    <row r="1138" customFormat="false" ht="15" hidden="false" customHeight="false" outlineLevel="0" collapsed="false">
      <c r="A1138" s="12"/>
      <c r="B1138" s="13"/>
      <c r="C1138" s="14"/>
      <c r="D1138" s="14"/>
      <c r="E1138" s="15"/>
      <c r="F1138" s="13"/>
      <c r="G1138" s="16" t="str">
        <f aca="false">IF(OR(B1138="",E1138=""),"",E1138*IFERROR(INDEX(Müşteriler!$B$5:$B$54,MATCH(B1138,Müşteriler!$A$5:$A$54,0)),0))</f>
        <v/>
      </c>
    </row>
    <row r="1139" customFormat="false" ht="15" hidden="false" customHeight="false" outlineLevel="0" collapsed="false">
      <c r="A1139" s="12"/>
      <c r="B1139" s="13"/>
      <c r="C1139" s="14"/>
      <c r="D1139" s="14"/>
      <c r="E1139" s="15"/>
      <c r="F1139" s="13"/>
      <c r="G1139" s="16" t="str">
        <f aca="false">IF(OR(B1139="",E1139=""),"",E1139*IFERROR(INDEX(Müşteriler!$B$5:$B$54,MATCH(B1139,Müşteriler!$A$5:$A$54,0)),0))</f>
        <v/>
      </c>
    </row>
    <row r="1140" customFormat="false" ht="15" hidden="false" customHeight="false" outlineLevel="0" collapsed="false">
      <c r="A1140" s="12"/>
      <c r="B1140" s="13"/>
      <c r="C1140" s="14"/>
      <c r="D1140" s="14"/>
      <c r="E1140" s="15"/>
      <c r="F1140" s="13"/>
      <c r="G1140" s="16" t="str">
        <f aca="false">IF(OR(B1140="",E1140=""),"",E1140*IFERROR(INDEX(Müşteriler!$B$5:$B$54,MATCH(B1140,Müşteriler!$A$5:$A$54,0)),0))</f>
        <v/>
      </c>
    </row>
    <row r="1141" customFormat="false" ht="15" hidden="false" customHeight="false" outlineLevel="0" collapsed="false">
      <c r="A1141" s="12"/>
      <c r="B1141" s="13"/>
      <c r="C1141" s="14"/>
      <c r="D1141" s="14"/>
      <c r="E1141" s="15"/>
      <c r="F1141" s="13"/>
      <c r="G1141" s="16" t="str">
        <f aca="false">IF(OR(B1141="",E1141=""),"",E1141*IFERROR(INDEX(Müşteriler!$B$5:$B$54,MATCH(B1141,Müşteriler!$A$5:$A$54,0)),0))</f>
        <v/>
      </c>
    </row>
    <row r="1142" customFormat="false" ht="15" hidden="false" customHeight="false" outlineLevel="0" collapsed="false">
      <c r="A1142" s="12"/>
      <c r="B1142" s="13"/>
      <c r="C1142" s="14"/>
      <c r="D1142" s="14"/>
      <c r="E1142" s="15"/>
      <c r="F1142" s="13"/>
      <c r="G1142" s="16" t="str">
        <f aca="false">IF(OR(B1142="",E1142=""),"",E1142*IFERROR(INDEX(Müşteriler!$B$5:$B$54,MATCH(B1142,Müşteriler!$A$5:$A$54,0)),0))</f>
        <v/>
      </c>
    </row>
    <row r="1143" customFormat="false" ht="15" hidden="false" customHeight="false" outlineLevel="0" collapsed="false">
      <c r="A1143" s="12"/>
      <c r="B1143" s="13"/>
      <c r="C1143" s="14"/>
      <c r="D1143" s="14"/>
      <c r="E1143" s="15"/>
      <c r="F1143" s="13"/>
      <c r="G1143" s="16" t="str">
        <f aca="false">IF(OR(B1143="",E1143=""),"",E1143*IFERROR(INDEX(Müşteriler!$B$5:$B$54,MATCH(B1143,Müşteriler!$A$5:$A$54,0)),0))</f>
        <v/>
      </c>
    </row>
    <row r="1144" customFormat="false" ht="15" hidden="false" customHeight="false" outlineLevel="0" collapsed="false">
      <c r="A1144" s="12"/>
      <c r="B1144" s="13"/>
      <c r="C1144" s="14"/>
      <c r="D1144" s="14"/>
      <c r="E1144" s="15"/>
      <c r="F1144" s="13"/>
      <c r="G1144" s="16" t="str">
        <f aca="false">IF(OR(B1144="",E1144=""),"",E1144*IFERROR(INDEX(Müşteriler!$B$5:$B$54,MATCH(B1144,Müşteriler!$A$5:$A$54,0)),0))</f>
        <v/>
      </c>
    </row>
    <row r="1145" customFormat="false" ht="15" hidden="false" customHeight="false" outlineLevel="0" collapsed="false">
      <c r="A1145" s="12"/>
      <c r="B1145" s="13"/>
      <c r="C1145" s="14"/>
      <c r="D1145" s="14"/>
      <c r="E1145" s="15"/>
      <c r="F1145" s="13"/>
      <c r="G1145" s="16" t="str">
        <f aca="false">IF(OR(B1145="",E1145=""),"",E1145*IFERROR(INDEX(Müşteriler!$B$5:$B$54,MATCH(B1145,Müşteriler!$A$5:$A$54,0)),0))</f>
        <v/>
      </c>
    </row>
    <row r="1146" customFormat="false" ht="15" hidden="false" customHeight="false" outlineLevel="0" collapsed="false">
      <c r="A1146" s="12"/>
      <c r="B1146" s="13"/>
      <c r="C1146" s="14"/>
      <c r="D1146" s="14"/>
      <c r="E1146" s="15"/>
      <c r="F1146" s="13"/>
      <c r="G1146" s="16" t="str">
        <f aca="false">IF(OR(B1146="",E1146=""),"",E1146*IFERROR(INDEX(Müşteriler!$B$5:$B$54,MATCH(B1146,Müşteriler!$A$5:$A$54,0)),0))</f>
        <v/>
      </c>
    </row>
    <row r="1147" customFormat="false" ht="15" hidden="false" customHeight="false" outlineLevel="0" collapsed="false">
      <c r="A1147" s="12"/>
      <c r="B1147" s="13"/>
      <c r="C1147" s="14"/>
      <c r="D1147" s="14"/>
      <c r="E1147" s="15"/>
      <c r="F1147" s="13"/>
      <c r="G1147" s="16" t="str">
        <f aca="false">IF(OR(B1147="",E1147=""),"",E1147*IFERROR(INDEX(Müşteriler!$B$5:$B$54,MATCH(B1147,Müşteriler!$A$5:$A$54,0)),0))</f>
        <v/>
      </c>
    </row>
    <row r="1148" customFormat="false" ht="15" hidden="false" customHeight="false" outlineLevel="0" collapsed="false">
      <c r="A1148" s="12"/>
      <c r="B1148" s="13"/>
      <c r="C1148" s="14"/>
      <c r="D1148" s="14"/>
      <c r="E1148" s="15"/>
      <c r="F1148" s="13"/>
      <c r="G1148" s="16" t="str">
        <f aca="false">IF(OR(B1148="",E1148=""),"",E1148*IFERROR(INDEX(Müşteriler!$B$5:$B$54,MATCH(B1148,Müşteriler!$A$5:$A$54,0)),0))</f>
        <v/>
      </c>
    </row>
    <row r="1149" customFormat="false" ht="15" hidden="false" customHeight="false" outlineLevel="0" collapsed="false">
      <c r="A1149" s="12"/>
      <c r="B1149" s="13"/>
      <c r="C1149" s="14"/>
      <c r="D1149" s="14"/>
      <c r="E1149" s="15"/>
      <c r="F1149" s="13"/>
      <c r="G1149" s="16" t="str">
        <f aca="false">IF(OR(B1149="",E1149=""),"",E1149*IFERROR(INDEX(Müşteriler!$B$5:$B$54,MATCH(B1149,Müşteriler!$A$5:$A$54,0)),0))</f>
        <v/>
      </c>
    </row>
    <row r="1150" customFormat="false" ht="15" hidden="false" customHeight="false" outlineLevel="0" collapsed="false">
      <c r="A1150" s="12"/>
      <c r="B1150" s="13"/>
      <c r="C1150" s="14"/>
      <c r="D1150" s="14"/>
      <c r="E1150" s="15"/>
      <c r="F1150" s="13"/>
      <c r="G1150" s="16" t="str">
        <f aca="false">IF(OR(B1150="",E1150=""),"",E1150*IFERROR(INDEX(Müşteriler!$B$5:$B$54,MATCH(B1150,Müşteriler!$A$5:$A$54,0)),0))</f>
        <v/>
      </c>
    </row>
    <row r="1151" customFormat="false" ht="15" hidden="false" customHeight="false" outlineLevel="0" collapsed="false">
      <c r="A1151" s="12"/>
      <c r="B1151" s="13"/>
      <c r="C1151" s="14"/>
      <c r="D1151" s="14"/>
      <c r="E1151" s="15"/>
      <c r="F1151" s="13"/>
      <c r="G1151" s="16" t="str">
        <f aca="false">IF(OR(B1151="",E1151=""),"",E1151*IFERROR(INDEX(Müşteriler!$B$5:$B$54,MATCH(B1151,Müşteriler!$A$5:$A$54,0)),0))</f>
        <v/>
      </c>
    </row>
    <row r="1152" customFormat="false" ht="15" hidden="false" customHeight="false" outlineLevel="0" collapsed="false">
      <c r="A1152" s="12"/>
      <c r="B1152" s="13"/>
      <c r="C1152" s="14"/>
      <c r="D1152" s="14"/>
      <c r="E1152" s="15"/>
      <c r="F1152" s="13"/>
      <c r="G1152" s="16" t="str">
        <f aca="false">IF(OR(B1152="",E1152=""),"",E1152*IFERROR(INDEX(Müşteriler!$B$5:$B$54,MATCH(B1152,Müşteriler!$A$5:$A$54,0)),0))</f>
        <v/>
      </c>
    </row>
    <row r="1153" customFormat="false" ht="15" hidden="false" customHeight="false" outlineLevel="0" collapsed="false">
      <c r="A1153" s="12"/>
      <c r="B1153" s="13"/>
      <c r="C1153" s="14"/>
      <c r="D1153" s="14"/>
      <c r="E1153" s="15"/>
      <c r="F1153" s="13"/>
      <c r="G1153" s="16" t="str">
        <f aca="false">IF(OR(B1153="",E1153=""),"",E1153*IFERROR(INDEX(Müşteriler!$B$5:$B$54,MATCH(B1153,Müşteriler!$A$5:$A$54,0)),0))</f>
        <v/>
      </c>
    </row>
    <row r="1154" customFormat="false" ht="15" hidden="false" customHeight="false" outlineLevel="0" collapsed="false">
      <c r="A1154" s="12"/>
      <c r="B1154" s="13"/>
      <c r="C1154" s="14"/>
      <c r="D1154" s="14"/>
      <c r="E1154" s="15"/>
      <c r="F1154" s="13"/>
      <c r="G1154" s="16" t="str">
        <f aca="false">IF(OR(B1154="",E1154=""),"",E1154*IFERROR(INDEX(Müşteriler!$B$5:$B$54,MATCH(B1154,Müşteriler!$A$5:$A$54,0)),0))</f>
        <v/>
      </c>
    </row>
    <row r="1155" customFormat="false" ht="15" hidden="false" customHeight="false" outlineLevel="0" collapsed="false">
      <c r="A1155" s="12"/>
      <c r="B1155" s="13"/>
      <c r="C1155" s="14"/>
      <c r="D1155" s="14"/>
      <c r="E1155" s="15"/>
      <c r="F1155" s="13"/>
      <c r="G1155" s="16" t="str">
        <f aca="false">IF(OR(B1155="",E1155=""),"",E1155*IFERROR(INDEX(Müşteriler!$B$5:$B$54,MATCH(B1155,Müşteriler!$A$5:$A$54,0)),0))</f>
        <v/>
      </c>
    </row>
    <row r="1156" customFormat="false" ht="15" hidden="false" customHeight="false" outlineLevel="0" collapsed="false">
      <c r="A1156" s="12"/>
      <c r="B1156" s="13"/>
      <c r="C1156" s="14"/>
      <c r="D1156" s="14"/>
      <c r="E1156" s="15"/>
      <c r="F1156" s="13"/>
      <c r="G1156" s="16" t="str">
        <f aca="false">IF(OR(B1156="",E1156=""),"",E1156*IFERROR(INDEX(Müşteriler!$B$5:$B$54,MATCH(B1156,Müşteriler!$A$5:$A$54,0)),0))</f>
        <v/>
      </c>
    </row>
    <row r="1157" customFormat="false" ht="15" hidden="false" customHeight="false" outlineLevel="0" collapsed="false">
      <c r="A1157" s="12"/>
      <c r="B1157" s="13"/>
      <c r="C1157" s="14"/>
      <c r="D1157" s="14"/>
      <c r="E1157" s="15"/>
      <c r="F1157" s="13"/>
      <c r="G1157" s="16" t="str">
        <f aca="false">IF(OR(B1157="",E1157=""),"",E1157*IFERROR(INDEX(Müşteriler!$B$5:$B$54,MATCH(B1157,Müşteriler!$A$5:$A$54,0)),0))</f>
        <v/>
      </c>
    </row>
    <row r="1158" customFormat="false" ht="15" hidden="false" customHeight="false" outlineLevel="0" collapsed="false">
      <c r="A1158" s="12"/>
      <c r="B1158" s="13"/>
      <c r="C1158" s="14"/>
      <c r="D1158" s="14"/>
      <c r="E1158" s="15"/>
      <c r="F1158" s="13"/>
      <c r="G1158" s="16" t="str">
        <f aca="false">IF(OR(B1158="",E1158=""),"",E1158*IFERROR(INDEX(Müşteriler!$B$5:$B$54,MATCH(B1158,Müşteriler!$A$5:$A$54,0)),0))</f>
        <v/>
      </c>
    </row>
    <row r="1159" customFormat="false" ht="15" hidden="false" customHeight="false" outlineLevel="0" collapsed="false">
      <c r="A1159" s="12"/>
      <c r="B1159" s="13"/>
      <c r="C1159" s="14"/>
      <c r="D1159" s="14"/>
      <c r="E1159" s="15"/>
      <c r="F1159" s="13"/>
      <c r="G1159" s="16" t="str">
        <f aca="false">IF(OR(B1159="",E1159=""),"",E1159*IFERROR(INDEX(Müşteriler!$B$5:$B$54,MATCH(B1159,Müşteriler!$A$5:$A$54,0)),0))</f>
        <v/>
      </c>
    </row>
    <row r="1160" customFormat="false" ht="15" hidden="false" customHeight="false" outlineLevel="0" collapsed="false">
      <c r="A1160" s="12"/>
      <c r="B1160" s="13"/>
      <c r="C1160" s="14"/>
      <c r="D1160" s="14"/>
      <c r="E1160" s="15"/>
      <c r="F1160" s="13"/>
      <c r="G1160" s="16" t="str">
        <f aca="false">IF(OR(B1160="",E1160=""),"",E1160*IFERROR(INDEX(Müşteriler!$B$5:$B$54,MATCH(B1160,Müşteriler!$A$5:$A$54,0)),0))</f>
        <v/>
      </c>
    </row>
    <row r="1161" customFormat="false" ht="15" hidden="false" customHeight="false" outlineLevel="0" collapsed="false">
      <c r="A1161" s="12"/>
      <c r="B1161" s="13"/>
      <c r="C1161" s="14"/>
      <c r="D1161" s="14"/>
      <c r="E1161" s="15"/>
      <c r="F1161" s="13"/>
      <c r="G1161" s="16" t="str">
        <f aca="false">IF(OR(B1161="",E1161=""),"",E1161*IFERROR(INDEX(Müşteriler!$B$5:$B$54,MATCH(B1161,Müşteriler!$A$5:$A$54,0)),0))</f>
        <v/>
      </c>
    </row>
    <row r="1162" customFormat="false" ht="15" hidden="false" customHeight="false" outlineLevel="0" collapsed="false">
      <c r="A1162" s="12"/>
      <c r="B1162" s="13"/>
      <c r="C1162" s="14"/>
      <c r="D1162" s="14"/>
      <c r="E1162" s="15"/>
      <c r="F1162" s="13"/>
      <c r="G1162" s="16" t="str">
        <f aca="false">IF(OR(B1162="",E1162=""),"",E1162*IFERROR(INDEX(Müşteriler!$B$5:$B$54,MATCH(B1162,Müşteriler!$A$5:$A$54,0)),0))</f>
        <v/>
      </c>
    </row>
    <row r="1163" customFormat="false" ht="15" hidden="false" customHeight="false" outlineLevel="0" collapsed="false">
      <c r="A1163" s="12"/>
      <c r="B1163" s="13"/>
      <c r="C1163" s="14"/>
      <c r="D1163" s="14"/>
      <c r="E1163" s="15"/>
      <c r="F1163" s="13"/>
      <c r="G1163" s="16" t="str">
        <f aca="false">IF(OR(B1163="",E1163=""),"",E1163*IFERROR(INDEX(Müşteriler!$B$5:$B$54,MATCH(B1163,Müşteriler!$A$5:$A$54,0)),0))</f>
        <v/>
      </c>
    </row>
    <row r="1164" customFormat="false" ht="15" hidden="false" customHeight="false" outlineLevel="0" collapsed="false">
      <c r="A1164" s="12"/>
      <c r="B1164" s="13"/>
      <c r="C1164" s="14"/>
      <c r="D1164" s="14"/>
      <c r="E1164" s="15"/>
      <c r="F1164" s="13"/>
      <c r="G1164" s="16" t="str">
        <f aca="false">IF(OR(B1164="",E1164=""),"",E1164*IFERROR(INDEX(Müşteriler!$B$5:$B$54,MATCH(B1164,Müşteriler!$A$5:$A$54,0)),0))</f>
        <v/>
      </c>
    </row>
    <row r="1165" customFormat="false" ht="15" hidden="false" customHeight="false" outlineLevel="0" collapsed="false">
      <c r="A1165" s="12"/>
      <c r="B1165" s="13"/>
      <c r="C1165" s="14"/>
      <c r="D1165" s="14"/>
      <c r="E1165" s="15"/>
      <c r="F1165" s="13"/>
      <c r="G1165" s="16" t="str">
        <f aca="false">IF(OR(B1165="",E1165=""),"",E1165*IFERROR(INDEX(Müşteriler!$B$5:$B$54,MATCH(B1165,Müşteriler!$A$5:$A$54,0)),0))</f>
        <v/>
      </c>
    </row>
    <row r="1166" customFormat="false" ht="15" hidden="false" customHeight="false" outlineLevel="0" collapsed="false">
      <c r="A1166" s="12"/>
      <c r="B1166" s="13"/>
      <c r="C1166" s="14"/>
      <c r="D1166" s="14"/>
      <c r="E1166" s="15"/>
      <c r="F1166" s="13"/>
      <c r="G1166" s="16" t="str">
        <f aca="false">IF(OR(B1166="",E1166=""),"",E1166*IFERROR(INDEX(Müşteriler!$B$5:$B$54,MATCH(B1166,Müşteriler!$A$5:$A$54,0)),0))</f>
        <v/>
      </c>
    </row>
    <row r="1167" customFormat="false" ht="15" hidden="false" customHeight="false" outlineLevel="0" collapsed="false">
      <c r="A1167" s="12"/>
      <c r="B1167" s="13"/>
      <c r="C1167" s="14"/>
      <c r="D1167" s="14"/>
      <c r="E1167" s="15"/>
      <c r="F1167" s="13"/>
      <c r="G1167" s="16" t="str">
        <f aca="false">IF(OR(B1167="",E1167=""),"",E1167*IFERROR(INDEX(Müşteriler!$B$5:$B$54,MATCH(B1167,Müşteriler!$A$5:$A$54,0)),0))</f>
        <v/>
      </c>
    </row>
    <row r="1168" customFormat="false" ht="15" hidden="false" customHeight="false" outlineLevel="0" collapsed="false">
      <c r="A1168" s="12"/>
      <c r="B1168" s="13"/>
      <c r="C1168" s="14"/>
      <c r="D1168" s="14"/>
      <c r="E1168" s="15"/>
      <c r="F1168" s="13"/>
      <c r="G1168" s="16" t="str">
        <f aca="false">IF(OR(B1168="",E1168=""),"",E1168*IFERROR(INDEX(Müşteriler!$B$5:$B$54,MATCH(B1168,Müşteriler!$A$5:$A$54,0)),0))</f>
        <v/>
      </c>
    </row>
    <row r="1169" customFormat="false" ht="15" hidden="false" customHeight="false" outlineLevel="0" collapsed="false">
      <c r="A1169" s="12"/>
      <c r="B1169" s="13"/>
      <c r="C1169" s="14"/>
      <c r="D1169" s="14"/>
      <c r="E1169" s="15"/>
      <c r="F1169" s="13"/>
      <c r="G1169" s="16" t="str">
        <f aca="false">IF(OR(B1169="",E1169=""),"",E1169*IFERROR(INDEX(Müşteriler!$B$5:$B$54,MATCH(B1169,Müşteriler!$A$5:$A$54,0)),0))</f>
        <v/>
      </c>
    </row>
    <row r="1170" customFormat="false" ht="15" hidden="false" customHeight="false" outlineLevel="0" collapsed="false">
      <c r="A1170" s="12"/>
      <c r="B1170" s="13"/>
      <c r="C1170" s="14"/>
      <c r="D1170" s="14"/>
      <c r="E1170" s="15"/>
      <c r="F1170" s="13"/>
      <c r="G1170" s="16" t="str">
        <f aca="false">IF(OR(B1170="",E1170=""),"",E1170*IFERROR(INDEX(Müşteriler!$B$5:$B$54,MATCH(B1170,Müşteriler!$A$5:$A$54,0)),0))</f>
        <v/>
      </c>
    </row>
    <row r="1171" customFormat="false" ht="15" hidden="false" customHeight="false" outlineLevel="0" collapsed="false">
      <c r="A1171" s="12"/>
      <c r="B1171" s="13"/>
      <c r="C1171" s="14"/>
      <c r="D1171" s="14"/>
      <c r="E1171" s="15"/>
      <c r="F1171" s="13"/>
      <c r="G1171" s="16" t="str">
        <f aca="false">IF(OR(B1171="",E1171=""),"",E1171*IFERROR(INDEX(Müşteriler!$B$5:$B$54,MATCH(B1171,Müşteriler!$A$5:$A$54,0)),0))</f>
        <v/>
      </c>
    </row>
    <row r="1172" customFormat="false" ht="15" hidden="false" customHeight="false" outlineLevel="0" collapsed="false">
      <c r="A1172" s="12"/>
      <c r="B1172" s="13"/>
      <c r="C1172" s="14"/>
      <c r="D1172" s="14"/>
      <c r="E1172" s="15"/>
      <c r="F1172" s="13"/>
      <c r="G1172" s="16" t="str">
        <f aca="false">IF(OR(B1172="",E1172=""),"",E1172*IFERROR(INDEX(Müşteriler!$B$5:$B$54,MATCH(B1172,Müşteriler!$A$5:$A$54,0)),0))</f>
        <v/>
      </c>
    </row>
    <row r="1173" customFormat="false" ht="15" hidden="false" customHeight="false" outlineLevel="0" collapsed="false">
      <c r="A1173" s="12"/>
      <c r="B1173" s="13"/>
      <c r="C1173" s="14"/>
      <c r="D1173" s="14"/>
      <c r="E1173" s="15"/>
      <c r="F1173" s="13"/>
      <c r="G1173" s="16" t="str">
        <f aca="false">IF(OR(B1173="",E1173=""),"",E1173*IFERROR(INDEX(Müşteriler!$B$5:$B$54,MATCH(B1173,Müşteriler!$A$5:$A$54,0)),0))</f>
        <v/>
      </c>
    </row>
    <row r="1174" customFormat="false" ht="15" hidden="false" customHeight="false" outlineLevel="0" collapsed="false">
      <c r="A1174" s="12"/>
      <c r="B1174" s="13"/>
      <c r="C1174" s="14"/>
      <c r="D1174" s="14"/>
      <c r="E1174" s="15"/>
      <c r="F1174" s="13"/>
      <c r="G1174" s="16" t="str">
        <f aca="false">IF(OR(B1174="",E1174=""),"",E1174*IFERROR(INDEX(Müşteriler!$B$5:$B$54,MATCH(B1174,Müşteriler!$A$5:$A$54,0)),0))</f>
        <v/>
      </c>
    </row>
    <row r="1175" customFormat="false" ht="15" hidden="false" customHeight="false" outlineLevel="0" collapsed="false">
      <c r="A1175" s="12"/>
      <c r="B1175" s="13"/>
      <c r="C1175" s="14"/>
      <c r="D1175" s="14"/>
      <c r="E1175" s="15"/>
      <c r="F1175" s="13"/>
      <c r="G1175" s="16" t="str">
        <f aca="false">IF(OR(B1175="",E1175=""),"",E1175*IFERROR(INDEX(Müşteriler!$B$5:$B$54,MATCH(B1175,Müşteriler!$A$5:$A$54,0)),0))</f>
        <v/>
      </c>
    </row>
    <row r="1176" customFormat="false" ht="15" hidden="false" customHeight="false" outlineLevel="0" collapsed="false">
      <c r="A1176" s="12"/>
      <c r="B1176" s="13"/>
      <c r="C1176" s="14"/>
      <c r="D1176" s="14"/>
      <c r="E1176" s="15"/>
      <c r="F1176" s="13"/>
      <c r="G1176" s="16" t="str">
        <f aca="false">IF(OR(B1176="",E1176=""),"",E1176*IFERROR(INDEX(Müşteriler!$B$5:$B$54,MATCH(B1176,Müşteriler!$A$5:$A$54,0)),0))</f>
        <v/>
      </c>
    </row>
    <row r="1177" customFormat="false" ht="15" hidden="false" customHeight="false" outlineLevel="0" collapsed="false">
      <c r="A1177" s="12"/>
      <c r="B1177" s="13"/>
      <c r="C1177" s="14"/>
      <c r="D1177" s="14"/>
      <c r="E1177" s="15"/>
      <c r="F1177" s="13"/>
      <c r="G1177" s="16" t="str">
        <f aca="false">IF(OR(B1177="",E1177=""),"",E1177*IFERROR(INDEX(Müşteriler!$B$5:$B$54,MATCH(B1177,Müşteriler!$A$5:$A$54,0)),0))</f>
        <v/>
      </c>
    </row>
    <row r="1178" customFormat="false" ht="15" hidden="false" customHeight="false" outlineLevel="0" collapsed="false">
      <c r="A1178" s="12"/>
      <c r="B1178" s="13"/>
      <c r="C1178" s="14"/>
      <c r="D1178" s="14"/>
      <c r="E1178" s="15"/>
      <c r="F1178" s="13"/>
      <c r="G1178" s="16" t="str">
        <f aca="false">IF(OR(B1178="",E1178=""),"",E1178*IFERROR(INDEX(Müşteriler!$B$5:$B$54,MATCH(B1178,Müşteriler!$A$5:$A$54,0)),0))</f>
        <v/>
      </c>
    </row>
    <row r="1179" customFormat="false" ht="15" hidden="false" customHeight="false" outlineLevel="0" collapsed="false">
      <c r="A1179" s="12"/>
      <c r="B1179" s="13"/>
      <c r="C1179" s="14"/>
      <c r="D1179" s="14"/>
      <c r="E1179" s="15"/>
      <c r="F1179" s="13"/>
      <c r="G1179" s="16" t="str">
        <f aca="false">IF(OR(B1179="",E1179=""),"",E1179*IFERROR(INDEX(Müşteriler!$B$5:$B$54,MATCH(B1179,Müşteriler!$A$5:$A$54,0)),0))</f>
        <v/>
      </c>
    </row>
    <row r="1180" customFormat="false" ht="15" hidden="false" customHeight="false" outlineLevel="0" collapsed="false">
      <c r="A1180" s="12"/>
      <c r="B1180" s="13"/>
      <c r="C1180" s="14"/>
      <c r="D1180" s="14"/>
      <c r="E1180" s="15"/>
      <c r="F1180" s="13"/>
      <c r="G1180" s="16" t="str">
        <f aca="false">IF(OR(B1180="",E1180=""),"",E1180*IFERROR(INDEX(Müşteriler!$B$5:$B$54,MATCH(B1180,Müşteriler!$A$5:$A$54,0)),0))</f>
        <v/>
      </c>
    </row>
    <row r="1181" customFormat="false" ht="15" hidden="false" customHeight="false" outlineLevel="0" collapsed="false">
      <c r="A1181" s="12"/>
      <c r="B1181" s="13"/>
      <c r="C1181" s="14"/>
      <c r="D1181" s="14"/>
      <c r="E1181" s="15"/>
      <c r="F1181" s="13"/>
      <c r="G1181" s="16" t="str">
        <f aca="false">IF(OR(B1181="",E1181=""),"",E1181*IFERROR(INDEX(Müşteriler!$B$5:$B$54,MATCH(B1181,Müşteriler!$A$5:$A$54,0)),0))</f>
        <v/>
      </c>
    </row>
    <row r="1182" customFormat="false" ht="15" hidden="false" customHeight="false" outlineLevel="0" collapsed="false">
      <c r="A1182" s="12"/>
      <c r="B1182" s="13"/>
      <c r="C1182" s="14"/>
      <c r="D1182" s="14"/>
      <c r="E1182" s="15"/>
      <c r="F1182" s="13"/>
      <c r="G1182" s="16" t="str">
        <f aca="false">IF(OR(B1182="",E1182=""),"",E1182*IFERROR(INDEX(Müşteriler!$B$5:$B$54,MATCH(B1182,Müşteriler!$A$5:$A$54,0)),0))</f>
        <v/>
      </c>
    </row>
    <row r="1183" customFormat="false" ht="15" hidden="false" customHeight="false" outlineLevel="0" collapsed="false">
      <c r="A1183" s="12"/>
      <c r="B1183" s="13"/>
      <c r="C1183" s="14"/>
      <c r="D1183" s="14"/>
      <c r="E1183" s="15"/>
      <c r="F1183" s="13"/>
      <c r="G1183" s="16" t="str">
        <f aca="false">IF(OR(B1183="",E1183=""),"",E1183*IFERROR(INDEX(Müşteriler!$B$5:$B$54,MATCH(B1183,Müşteriler!$A$5:$A$54,0)),0))</f>
        <v/>
      </c>
    </row>
    <row r="1184" customFormat="false" ht="15" hidden="false" customHeight="false" outlineLevel="0" collapsed="false">
      <c r="A1184" s="12"/>
      <c r="B1184" s="13"/>
      <c r="C1184" s="14"/>
      <c r="D1184" s="14"/>
      <c r="E1184" s="15"/>
      <c r="F1184" s="13"/>
      <c r="G1184" s="16" t="str">
        <f aca="false">IF(OR(B1184="",E1184=""),"",E1184*IFERROR(INDEX(Müşteriler!$B$5:$B$54,MATCH(B1184,Müşteriler!$A$5:$A$54,0)),0))</f>
        <v/>
      </c>
    </row>
    <row r="1185" customFormat="false" ht="15" hidden="false" customHeight="false" outlineLevel="0" collapsed="false">
      <c r="A1185" s="12"/>
      <c r="B1185" s="13"/>
      <c r="C1185" s="14"/>
      <c r="D1185" s="14"/>
      <c r="E1185" s="15"/>
      <c r="F1185" s="13"/>
      <c r="G1185" s="16" t="str">
        <f aca="false">IF(OR(B1185="",E1185=""),"",E1185*IFERROR(INDEX(Müşteriler!$B$5:$B$54,MATCH(B1185,Müşteriler!$A$5:$A$54,0)),0))</f>
        <v/>
      </c>
    </row>
    <row r="1186" customFormat="false" ht="15" hidden="false" customHeight="false" outlineLevel="0" collapsed="false">
      <c r="A1186" s="12"/>
      <c r="B1186" s="13"/>
      <c r="C1186" s="14"/>
      <c r="D1186" s="14"/>
      <c r="E1186" s="15"/>
      <c r="F1186" s="13"/>
      <c r="G1186" s="16" t="str">
        <f aca="false">IF(OR(B1186="",E1186=""),"",E1186*IFERROR(INDEX(Müşteriler!$B$5:$B$54,MATCH(B1186,Müşteriler!$A$5:$A$54,0)),0))</f>
        <v/>
      </c>
    </row>
    <row r="1187" customFormat="false" ht="15" hidden="false" customHeight="false" outlineLevel="0" collapsed="false">
      <c r="A1187" s="12"/>
      <c r="B1187" s="13"/>
      <c r="C1187" s="14"/>
      <c r="D1187" s="14"/>
      <c r="E1187" s="15"/>
      <c r="F1187" s="13"/>
      <c r="G1187" s="16" t="str">
        <f aca="false">IF(OR(B1187="",E1187=""),"",E1187*IFERROR(INDEX(Müşteriler!$B$5:$B$54,MATCH(B1187,Müşteriler!$A$5:$A$54,0)),0))</f>
        <v/>
      </c>
    </row>
    <row r="1188" customFormat="false" ht="15" hidden="false" customHeight="false" outlineLevel="0" collapsed="false">
      <c r="A1188" s="12"/>
      <c r="B1188" s="13"/>
      <c r="C1188" s="14"/>
      <c r="D1188" s="14"/>
      <c r="E1188" s="15"/>
      <c r="F1188" s="13"/>
      <c r="G1188" s="16" t="str">
        <f aca="false">IF(OR(B1188="",E1188=""),"",E1188*IFERROR(INDEX(Müşteriler!$B$5:$B$54,MATCH(B1188,Müşteriler!$A$5:$A$54,0)),0))</f>
        <v/>
      </c>
    </row>
    <row r="1189" customFormat="false" ht="15" hidden="false" customHeight="false" outlineLevel="0" collapsed="false">
      <c r="A1189" s="12"/>
      <c r="B1189" s="13"/>
      <c r="C1189" s="14"/>
      <c r="D1189" s="14"/>
      <c r="E1189" s="15"/>
      <c r="F1189" s="13"/>
      <c r="G1189" s="16" t="str">
        <f aca="false">IF(OR(B1189="",E1189=""),"",E1189*IFERROR(INDEX(Müşteriler!$B$5:$B$54,MATCH(B1189,Müşteriler!$A$5:$A$54,0)),0))</f>
        <v/>
      </c>
    </row>
    <row r="1190" customFormat="false" ht="15" hidden="false" customHeight="false" outlineLevel="0" collapsed="false">
      <c r="A1190" s="12"/>
      <c r="B1190" s="13"/>
      <c r="C1190" s="14"/>
      <c r="D1190" s="14"/>
      <c r="E1190" s="15"/>
      <c r="F1190" s="13"/>
      <c r="G1190" s="16" t="str">
        <f aca="false">IF(OR(B1190="",E1190=""),"",E1190*IFERROR(INDEX(Müşteriler!$B$5:$B$54,MATCH(B1190,Müşteriler!$A$5:$A$54,0)),0))</f>
        <v/>
      </c>
    </row>
    <row r="1191" customFormat="false" ht="15" hidden="false" customHeight="false" outlineLevel="0" collapsed="false">
      <c r="A1191" s="12"/>
      <c r="B1191" s="13"/>
      <c r="C1191" s="14"/>
      <c r="D1191" s="14"/>
      <c r="E1191" s="15"/>
      <c r="F1191" s="13"/>
      <c r="G1191" s="16" t="str">
        <f aca="false">IF(OR(B1191="",E1191=""),"",E1191*IFERROR(INDEX(Müşteriler!$B$5:$B$54,MATCH(B1191,Müşteriler!$A$5:$A$54,0)),0))</f>
        <v/>
      </c>
    </row>
    <row r="1192" customFormat="false" ht="15" hidden="false" customHeight="false" outlineLevel="0" collapsed="false">
      <c r="A1192" s="12"/>
      <c r="B1192" s="13"/>
      <c r="C1192" s="14"/>
      <c r="D1192" s="14"/>
      <c r="E1192" s="15"/>
      <c r="F1192" s="13"/>
      <c r="G1192" s="16" t="str">
        <f aca="false">IF(OR(B1192="",E1192=""),"",E1192*IFERROR(INDEX(Müşteriler!$B$5:$B$54,MATCH(B1192,Müşteriler!$A$5:$A$54,0)),0))</f>
        <v/>
      </c>
    </row>
    <row r="1193" customFormat="false" ht="15" hidden="false" customHeight="false" outlineLevel="0" collapsed="false">
      <c r="A1193" s="12"/>
      <c r="B1193" s="13"/>
      <c r="C1193" s="14"/>
      <c r="D1193" s="14"/>
      <c r="E1193" s="15"/>
      <c r="F1193" s="13"/>
      <c r="G1193" s="16" t="str">
        <f aca="false">IF(OR(B1193="",E1193=""),"",E1193*IFERROR(INDEX(Müşteriler!$B$5:$B$54,MATCH(B1193,Müşteriler!$A$5:$A$54,0)),0))</f>
        <v/>
      </c>
    </row>
    <row r="1194" customFormat="false" ht="15" hidden="false" customHeight="false" outlineLevel="0" collapsed="false">
      <c r="A1194" s="12"/>
      <c r="B1194" s="13"/>
      <c r="C1194" s="14"/>
      <c r="D1194" s="14"/>
      <c r="E1194" s="15"/>
      <c r="F1194" s="13"/>
      <c r="G1194" s="16" t="str">
        <f aca="false">IF(OR(B1194="",E1194=""),"",E1194*IFERROR(INDEX(Müşteriler!$B$5:$B$54,MATCH(B1194,Müşteriler!$A$5:$A$54,0)),0))</f>
        <v/>
      </c>
    </row>
    <row r="1195" customFormat="false" ht="15" hidden="false" customHeight="false" outlineLevel="0" collapsed="false">
      <c r="A1195" s="12"/>
      <c r="B1195" s="13"/>
      <c r="C1195" s="14"/>
      <c r="D1195" s="14"/>
      <c r="E1195" s="15"/>
      <c r="F1195" s="13"/>
      <c r="G1195" s="16" t="str">
        <f aca="false">IF(OR(B1195="",E1195=""),"",E1195*IFERROR(INDEX(Müşteriler!$B$5:$B$54,MATCH(B1195,Müşteriler!$A$5:$A$54,0)),0))</f>
        <v/>
      </c>
    </row>
    <row r="1196" customFormat="false" ht="15" hidden="false" customHeight="false" outlineLevel="0" collapsed="false">
      <c r="A1196" s="12"/>
      <c r="B1196" s="13"/>
      <c r="C1196" s="14"/>
      <c r="D1196" s="14"/>
      <c r="E1196" s="15"/>
      <c r="F1196" s="13"/>
      <c r="G1196" s="16" t="str">
        <f aca="false">IF(OR(B1196="",E1196=""),"",E1196*IFERROR(INDEX(Müşteriler!$B$5:$B$54,MATCH(B1196,Müşteriler!$A$5:$A$54,0)),0))</f>
        <v/>
      </c>
    </row>
    <row r="1197" customFormat="false" ht="15" hidden="false" customHeight="false" outlineLevel="0" collapsed="false">
      <c r="A1197" s="12"/>
      <c r="B1197" s="13"/>
      <c r="C1197" s="14"/>
      <c r="D1197" s="14"/>
      <c r="E1197" s="15"/>
      <c r="F1197" s="13"/>
      <c r="G1197" s="16" t="str">
        <f aca="false">IF(OR(B1197="",E1197=""),"",E1197*IFERROR(INDEX(Müşteriler!$B$5:$B$54,MATCH(B1197,Müşteriler!$A$5:$A$54,0)),0))</f>
        <v/>
      </c>
    </row>
    <row r="1198" customFormat="false" ht="15" hidden="false" customHeight="false" outlineLevel="0" collapsed="false">
      <c r="A1198" s="12"/>
      <c r="B1198" s="13"/>
      <c r="C1198" s="14"/>
      <c r="D1198" s="14"/>
      <c r="E1198" s="15"/>
      <c r="F1198" s="13"/>
      <c r="G1198" s="16" t="str">
        <f aca="false">IF(OR(B1198="",E1198=""),"",E1198*IFERROR(INDEX(Müşteriler!$B$5:$B$54,MATCH(B1198,Müşteriler!$A$5:$A$54,0)),0))</f>
        <v/>
      </c>
    </row>
    <row r="1199" customFormat="false" ht="15" hidden="false" customHeight="false" outlineLevel="0" collapsed="false">
      <c r="A1199" s="12"/>
      <c r="B1199" s="13"/>
      <c r="C1199" s="14"/>
      <c r="D1199" s="14"/>
      <c r="E1199" s="15"/>
      <c r="F1199" s="13"/>
      <c r="G1199" s="16" t="str">
        <f aca="false">IF(OR(B1199="",E1199=""),"",E1199*IFERROR(INDEX(Müşteriler!$B$5:$B$54,MATCH(B1199,Müşteriler!$A$5:$A$54,0)),0))</f>
        <v/>
      </c>
    </row>
    <row r="1200" customFormat="false" ht="15" hidden="false" customHeight="false" outlineLevel="0" collapsed="false">
      <c r="A1200" s="12"/>
      <c r="B1200" s="13"/>
      <c r="C1200" s="14"/>
      <c r="D1200" s="14"/>
      <c r="E1200" s="15"/>
      <c r="F1200" s="13"/>
      <c r="G1200" s="16" t="str">
        <f aca="false">IF(OR(B1200="",E1200=""),"",E1200*IFERROR(INDEX(Müşteriler!$B$5:$B$54,MATCH(B1200,Müşteriler!$A$5:$A$54,0)),0))</f>
        <v/>
      </c>
    </row>
    <row r="1201" customFormat="false" ht="15" hidden="false" customHeight="false" outlineLevel="0" collapsed="false">
      <c r="A1201" s="12"/>
      <c r="B1201" s="13"/>
      <c r="C1201" s="14"/>
      <c r="D1201" s="14"/>
      <c r="E1201" s="15"/>
      <c r="F1201" s="13"/>
      <c r="G1201" s="16" t="str">
        <f aca="false">IF(OR(B1201="",E1201=""),"",E1201*IFERROR(INDEX(Müşteriler!$B$5:$B$54,MATCH(B1201,Müşteriler!$A$5:$A$54,0)),0))</f>
        <v/>
      </c>
    </row>
    <row r="1202" customFormat="false" ht="15" hidden="false" customHeight="false" outlineLevel="0" collapsed="false">
      <c r="A1202" s="12"/>
      <c r="B1202" s="13"/>
      <c r="C1202" s="14"/>
      <c r="D1202" s="14"/>
      <c r="E1202" s="15"/>
      <c r="F1202" s="13"/>
      <c r="G1202" s="16" t="str">
        <f aca="false">IF(OR(B1202="",E1202=""),"",E1202*IFERROR(INDEX(Müşteriler!$B$5:$B$54,MATCH(B1202,Müşteriler!$A$5:$A$54,0)),0))</f>
        <v/>
      </c>
    </row>
    <row r="1203" customFormat="false" ht="15" hidden="false" customHeight="false" outlineLevel="0" collapsed="false">
      <c r="A1203" s="12"/>
      <c r="B1203" s="13"/>
      <c r="C1203" s="14"/>
      <c r="D1203" s="14"/>
      <c r="E1203" s="15"/>
      <c r="F1203" s="13"/>
      <c r="G1203" s="16" t="str">
        <f aca="false">IF(OR(B1203="",E1203=""),"",E1203*IFERROR(INDEX(Müşteriler!$B$5:$B$54,MATCH(B1203,Müşteriler!$A$5:$A$54,0)),0))</f>
        <v/>
      </c>
    </row>
    <row r="1204" customFormat="false" ht="15" hidden="false" customHeight="false" outlineLevel="0" collapsed="false">
      <c r="A1204" s="12"/>
      <c r="B1204" s="13"/>
      <c r="C1204" s="14"/>
      <c r="D1204" s="14"/>
      <c r="E1204" s="15"/>
      <c r="F1204" s="13"/>
      <c r="G1204" s="16" t="str">
        <f aca="false">IF(OR(B1204="",E1204=""),"",E1204*IFERROR(INDEX(Müşteriler!$B$5:$B$54,MATCH(B1204,Müşteriler!$A$5:$A$54,0)),0))</f>
        <v/>
      </c>
    </row>
    <row r="1205" customFormat="false" ht="15" hidden="false" customHeight="false" outlineLevel="0" collapsed="false">
      <c r="A1205" s="12"/>
      <c r="B1205" s="13"/>
      <c r="C1205" s="14"/>
      <c r="D1205" s="14"/>
      <c r="E1205" s="15"/>
      <c r="F1205" s="13"/>
      <c r="G1205" s="16" t="str">
        <f aca="false">IF(OR(B1205="",E1205=""),"",E1205*IFERROR(INDEX(Müşteriler!$B$5:$B$54,MATCH(B1205,Müşteriler!$A$5:$A$54,0)),0))</f>
        <v/>
      </c>
    </row>
    <row r="1206" customFormat="false" ht="15" hidden="false" customHeight="false" outlineLevel="0" collapsed="false">
      <c r="A1206" s="12"/>
      <c r="B1206" s="13"/>
      <c r="C1206" s="14"/>
      <c r="D1206" s="14"/>
      <c r="E1206" s="15"/>
      <c r="F1206" s="13"/>
      <c r="G1206" s="16" t="str">
        <f aca="false">IF(OR(B1206="",E1206=""),"",E1206*IFERROR(INDEX(Müşteriler!$B$5:$B$54,MATCH(B1206,Müşteriler!$A$5:$A$54,0)),0))</f>
        <v/>
      </c>
    </row>
    <row r="1207" customFormat="false" ht="15" hidden="false" customHeight="false" outlineLevel="0" collapsed="false">
      <c r="A1207" s="12"/>
      <c r="B1207" s="13"/>
      <c r="C1207" s="14"/>
      <c r="D1207" s="14"/>
      <c r="E1207" s="15"/>
      <c r="F1207" s="13"/>
      <c r="G1207" s="16" t="str">
        <f aca="false">IF(OR(B1207="",E1207=""),"",E1207*IFERROR(INDEX(Müşteriler!$B$5:$B$54,MATCH(B1207,Müşteriler!$A$5:$A$54,0)),0))</f>
        <v/>
      </c>
    </row>
    <row r="1208" customFormat="false" ht="15" hidden="false" customHeight="false" outlineLevel="0" collapsed="false">
      <c r="A1208" s="12"/>
      <c r="B1208" s="13"/>
      <c r="C1208" s="14"/>
      <c r="D1208" s="14"/>
      <c r="E1208" s="15"/>
      <c r="F1208" s="13"/>
      <c r="G1208" s="16" t="str">
        <f aca="false">IF(OR(B1208="",E1208=""),"",E1208*IFERROR(INDEX(Müşteriler!$B$5:$B$54,MATCH(B1208,Müşteriler!$A$5:$A$54,0)),0))</f>
        <v/>
      </c>
    </row>
    <row r="1209" customFormat="false" ht="15" hidden="false" customHeight="false" outlineLevel="0" collapsed="false">
      <c r="A1209" s="12"/>
      <c r="B1209" s="13"/>
      <c r="C1209" s="14"/>
      <c r="D1209" s="14"/>
      <c r="E1209" s="15"/>
      <c r="F1209" s="13"/>
      <c r="G1209" s="16" t="str">
        <f aca="false">IF(OR(B1209="",E1209=""),"",E1209*IFERROR(INDEX(Müşteriler!$B$5:$B$54,MATCH(B1209,Müşteriler!$A$5:$A$54,0)),0))</f>
        <v/>
      </c>
    </row>
    <row r="1210" customFormat="false" ht="15" hidden="false" customHeight="false" outlineLevel="0" collapsed="false">
      <c r="A1210" s="12"/>
      <c r="B1210" s="13"/>
      <c r="C1210" s="14"/>
      <c r="D1210" s="14"/>
      <c r="E1210" s="15"/>
      <c r="F1210" s="13"/>
      <c r="G1210" s="16" t="str">
        <f aca="false">IF(OR(B1210="",E1210=""),"",E1210*IFERROR(INDEX(Müşteriler!$B$5:$B$54,MATCH(B1210,Müşteriler!$A$5:$A$54,0)),0))</f>
        <v/>
      </c>
    </row>
    <row r="1211" customFormat="false" ht="15" hidden="false" customHeight="false" outlineLevel="0" collapsed="false">
      <c r="A1211" s="12"/>
      <c r="B1211" s="13"/>
      <c r="C1211" s="14"/>
      <c r="D1211" s="14"/>
      <c r="E1211" s="15"/>
      <c r="F1211" s="13"/>
      <c r="G1211" s="16" t="str">
        <f aca="false">IF(OR(B1211="",E1211=""),"",E1211*IFERROR(INDEX(Müşteriler!$B$5:$B$54,MATCH(B1211,Müşteriler!$A$5:$A$54,0)),0))</f>
        <v/>
      </c>
    </row>
    <row r="1212" customFormat="false" ht="15" hidden="false" customHeight="false" outlineLevel="0" collapsed="false">
      <c r="A1212" s="12"/>
      <c r="B1212" s="13"/>
      <c r="C1212" s="14"/>
      <c r="D1212" s="14"/>
      <c r="E1212" s="15"/>
      <c r="F1212" s="13"/>
      <c r="G1212" s="16" t="str">
        <f aca="false">IF(OR(B1212="",E1212=""),"",E1212*IFERROR(INDEX(Müşteriler!$B$5:$B$54,MATCH(B1212,Müşteriler!$A$5:$A$54,0)),0))</f>
        <v/>
      </c>
    </row>
    <row r="1213" customFormat="false" ht="15" hidden="false" customHeight="false" outlineLevel="0" collapsed="false">
      <c r="A1213" s="12"/>
      <c r="B1213" s="13"/>
      <c r="C1213" s="14"/>
      <c r="D1213" s="14"/>
      <c r="E1213" s="15"/>
      <c r="F1213" s="13"/>
      <c r="G1213" s="16" t="str">
        <f aca="false">IF(OR(B1213="",E1213=""),"",E1213*IFERROR(INDEX(Müşteriler!$B$5:$B$54,MATCH(B1213,Müşteriler!$A$5:$A$54,0)),0))</f>
        <v/>
      </c>
    </row>
    <row r="1214" customFormat="false" ht="15" hidden="false" customHeight="false" outlineLevel="0" collapsed="false">
      <c r="A1214" s="12"/>
      <c r="B1214" s="13"/>
      <c r="C1214" s="14"/>
      <c r="D1214" s="14"/>
      <c r="E1214" s="15"/>
      <c r="F1214" s="13"/>
      <c r="G1214" s="16" t="str">
        <f aca="false">IF(OR(B1214="",E1214=""),"",E1214*IFERROR(INDEX(Müşteriler!$B$5:$B$54,MATCH(B1214,Müşteriler!$A$5:$A$54,0)),0))</f>
        <v/>
      </c>
    </row>
    <row r="1215" customFormat="false" ht="15" hidden="false" customHeight="false" outlineLevel="0" collapsed="false">
      <c r="A1215" s="12"/>
      <c r="B1215" s="13"/>
      <c r="C1215" s="14"/>
      <c r="D1215" s="14"/>
      <c r="E1215" s="15"/>
      <c r="F1215" s="13"/>
      <c r="G1215" s="16" t="str">
        <f aca="false">IF(OR(B1215="",E1215=""),"",E1215*IFERROR(INDEX(Müşteriler!$B$5:$B$54,MATCH(B1215,Müşteriler!$A$5:$A$54,0)),0))</f>
        <v/>
      </c>
    </row>
    <row r="1216" customFormat="false" ht="15" hidden="false" customHeight="false" outlineLevel="0" collapsed="false">
      <c r="A1216" s="12"/>
      <c r="B1216" s="13"/>
      <c r="C1216" s="14"/>
      <c r="D1216" s="14"/>
      <c r="E1216" s="15"/>
      <c r="F1216" s="13"/>
      <c r="G1216" s="16" t="str">
        <f aca="false">IF(OR(B1216="",E1216=""),"",E1216*IFERROR(INDEX(Müşteriler!$B$5:$B$54,MATCH(B1216,Müşteriler!$A$5:$A$54,0)),0))</f>
        <v/>
      </c>
    </row>
    <row r="1217" customFormat="false" ht="15" hidden="false" customHeight="false" outlineLevel="0" collapsed="false">
      <c r="A1217" s="12"/>
      <c r="B1217" s="13"/>
      <c r="C1217" s="14"/>
      <c r="D1217" s="14"/>
      <c r="E1217" s="15"/>
      <c r="F1217" s="13"/>
      <c r="G1217" s="16" t="str">
        <f aca="false">IF(OR(B1217="",E1217=""),"",E1217*IFERROR(INDEX(Müşteriler!$B$5:$B$54,MATCH(B1217,Müşteriler!$A$5:$A$54,0)),0))</f>
        <v/>
      </c>
    </row>
    <row r="1218" customFormat="false" ht="15" hidden="false" customHeight="false" outlineLevel="0" collapsed="false">
      <c r="A1218" s="12"/>
      <c r="B1218" s="13"/>
      <c r="C1218" s="14"/>
      <c r="D1218" s="14"/>
      <c r="E1218" s="15"/>
      <c r="F1218" s="13"/>
      <c r="G1218" s="16" t="str">
        <f aca="false">IF(OR(B1218="",E1218=""),"",E1218*IFERROR(INDEX(Müşteriler!$B$5:$B$54,MATCH(B1218,Müşteriler!$A$5:$A$54,0)),0))</f>
        <v/>
      </c>
    </row>
    <row r="1219" customFormat="false" ht="15" hidden="false" customHeight="false" outlineLevel="0" collapsed="false">
      <c r="A1219" s="12"/>
      <c r="B1219" s="13"/>
      <c r="C1219" s="14"/>
      <c r="D1219" s="14"/>
      <c r="E1219" s="15"/>
      <c r="F1219" s="13"/>
      <c r="G1219" s="16" t="str">
        <f aca="false">IF(OR(B1219="",E1219=""),"",E1219*IFERROR(INDEX(Müşteriler!$B$5:$B$54,MATCH(B1219,Müşteriler!$A$5:$A$54,0)),0))</f>
        <v/>
      </c>
    </row>
    <row r="1220" customFormat="false" ht="15" hidden="false" customHeight="false" outlineLevel="0" collapsed="false">
      <c r="A1220" s="12"/>
      <c r="B1220" s="13"/>
      <c r="C1220" s="14"/>
      <c r="D1220" s="14"/>
      <c r="E1220" s="15"/>
      <c r="F1220" s="13"/>
      <c r="G1220" s="16" t="str">
        <f aca="false">IF(OR(B1220="",E1220=""),"",E1220*IFERROR(INDEX(Müşteriler!$B$5:$B$54,MATCH(B1220,Müşteriler!$A$5:$A$54,0)),0))</f>
        <v/>
      </c>
    </row>
    <row r="1221" customFormat="false" ht="15" hidden="false" customHeight="false" outlineLevel="0" collapsed="false">
      <c r="A1221" s="12"/>
      <c r="B1221" s="13"/>
      <c r="C1221" s="14"/>
      <c r="D1221" s="14"/>
      <c r="E1221" s="15"/>
      <c r="F1221" s="13"/>
      <c r="G1221" s="16" t="str">
        <f aca="false">IF(OR(B1221="",E1221=""),"",E1221*IFERROR(INDEX(Müşteriler!$B$5:$B$54,MATCH(B1221,Müşteriler!$A$5:$A$54,0)),0))</f>
        <v/>
      </c>
    </row>
    <row r="1222" customFormat="false" ht="15" hidden="false" customHeight="false" outlineLevel="0" collapsed="false">
      <c r="A1222" s="12"/>
      <c r="B1222" s="13"/>
      <c r="C1222" s="14"/>
      <c r="D1222" s="14"/>
      <c r="E1222" s="15"/>
      <c r="F1222" s="13"/>
      <c r="G1222" s="16" t="str">
        <f aca="false">IF(OR(B1222="",E1222=""),"",E1222*IFERROR(INDEX(Müşteriler!$B$5:$B$54,MATCH(B1222,Müşteriler!$A$5:$A$54,0)),0))</f>
        <v/>
      </c>
    </row>
    <row r="1223" customFormat="false" ht="15" hidden="false" customHeight="false" outlineLevel="0" collapsed="false">
      <c r="A1223" s="12"/>
      <c r="B1223" s="13"/>
      <c r="C1223" s="14"/>
      <c r="D1223" s="14"/>
      <c r="E1223" s="15"/>
      <c r="F1223" s="13"/>
      <c r="G1223" s="16" t="str">
        <f aca="false">IF(OR(B1223="",E1223=""),"",E1223*IFERROR(INDEX(Müşteriler!$B$5:$B$54,MATCH(B1223,Müşteriler!$A$5:$A$54,0)),0))</f>
        <v/>
      </c>
    </row>
    <row r="1224" customFormat="false" ht="15" hidden="false" customHeight="false" outlineLevel="0" collapsed="false">
      <c r="A1224" s="12"/>
      <c r="B1224" s="13"/>
      <c r="C1224" s="14"/>
      <c r="D1224" s="14"/>
      <c r="E1224" s="15"/>
      <c r="F1224" s="13"/>
      <c r="G1224" s="16" t="str">
        <f aca="false">IF(OR(B1224="",E1224=""),"",E1224*IFERROR(INDEX(Müşteriler!$B$5:$B$54,MATCH(B1224,Müşteriler!$A$5:$A$54,0)),0))</f>
        <v/>
      </c>
    </row>
    <row r="1225" customFormat="false" ht="15" hidden="false" customHeight="false" outlineLevel="0" collapsed="false">
      <c r="A1225" s="12"/>
      <c r="B1225" s="13"/>
      <c r="C1225" s="14"/>
      <c r="D1225" s="14"/>
      <c r="E1225" s="15"/>
      <c r="F1225" s="13"/>
      <c r="G1225" s="16" t="str">
        <f aca="false">IF(OR(B1225="",E1225=""),"",E1225*IFERROR(INDEX(Müşteriler!$B$5:$B$54,MATCH(B1225,Müşteriler!$A$5:$A$54,0)),0))</f>
        <v/>
      </c>
    </row>
    <row r="1226" customFormat="false" ht="15" hidden="false" customHeight="false" outlineLevel="0" collapsed="false">
      <c r="A1226" s="12"/>
      <c r="B1226" s="13"/>
      <c r="C1226" s="14"/>
      <c r="D1226" s="14"/>
      <c r="E1226" s="15"/>
      <c r="F1226" s="13"/>
      <c r="G1226" s="16" t="str">
        <f aca="false">IF(OR(B1226="",E1226=""),"",E1226*IFERROR(INDEX(Müşteriler!$B$5:$B$54,MATCH(B1226,Müşteriler!$A$5:$A$54,0)),0))</f>
        <v/>
      </c>
    </row>
    <row r="1227" customFormat="false" ht="15" hidden="false" customHeight="false" outlineLevel="0" collapsed="false">
      <c r="A1227" s="12"/>
      <c r="B1227" s="13"/>
      <c r="C1227" s="14"/>
      <c r="D1227" s="14"/>
      <c r="E1227" s="15"/>
      <c r="F1227" s="13"/>
      <c r="G1227" s="16" t="str">
        <f aca="false">IF(OR(B1227="",E1227=""),"",E1227*IFERROR(INDEX(Müşteriler!$B$5:$B$54,MATCH(B1227,Müşteriler!$A$5:$A$54,0)),0))</f>
        <v/>
      </c>
    </row>
    <row r="1228" customFormat="false" ht="15" hidden="false" customHeight="false" outlineLevel="0" collapsed="false">
      <c r="A1228" s="12"/>
      <c r="B1228" s="13"/>
      <c r="C1228" s="14"/>
      <c r="D1228" s="14"/>
      <c r="E1228" s="15"/>
      <c r="F1228" s="13"/>
      <c r="G1228" s="16" t="str">
        <f aca="false">IF(OR(B1228="",E1228=""),"",E1228*IFERROR(INDEX(Müşteriler!$B$5:$B$54,MATCH(B1228,Müşteriler!$A$5:$A$54,0)),0))</f>
        <v/>
      </c>
    </row>
    <row r="1229" customFormat="false" ht="15" hidden="false" customHeight="false" outlineLevel="0" collapsed="false">
      <c r="A1229" s="12"/>
      <c r="B1229" s="13"/>
      <c r="C1229" s="14"/>
      <c r="D1229" s="14"/>
      <c r="E1229" s="15"/>
      <c r="F1229" s="13"/>
      <c r="G1229" s="16" t="str">
        <f aca="false">IF(OR(B1229="",E1229=""),"",E1229*IFERROR(INDEX(Müşteriler!$B$5:$B$54,MATCH(B1229,Müşteriler!$A$5:$A$54,0)),0))</f>
        <v/>
      </c>
    </row>
    <row r="1230" customFormat="false" ht="15" hidden="false" customHeight="false" outlineLevel="0" collapsed="false">
      <c r="A1230" s="12"/>
      <c r="B1230" s="13"/>
      <c r="C1230" s="14"/>
      <c r="D1230" s="14"/>
      <c r="E1230" s="15"/>
      <c r="F1230" s="13"/>
      <c r="G1230" s="16" t="str">
        <f aca="false">IF(OR(B1230="",E1230=""),"",E1230*IFERROR(INDEX(Müşteriler!$B$5:$B$54,MATCH(B1230,Müşteriler!$A$5:$A$54,0)),0))</f>
        <v/>
      </c>
    </row>
    <row r="1231" customFormat="false" ht="15" hidden="false" customHeight="false" outlineLevel="0" collapsed="false">
      <c r="A1231" s="12"/>
      <c r="B1231" s="13"/>
      <c r="C1231" s="14"/>
      <c r="D1231" s="14"/>
      <c r="E1231" s="15"/>
      <c r="F1231" s="13"/>
      <c r="G1231" s="16" t="str">
        <f aca="false">IF(OR(B1231="",E1231=""),"",E1231*IFERROR(INDEX(Müşteriler!$B$5:$B$54,MATCH(B1231,Müşteriler!$A$5:$A$54,0)),0))</f>
        <v/>
      </c>
    </row>
    <row r="1232" customFormat="false" ht="15" hidden="false" customHeight="false" outlineLevel="0" collapsed="false">
      <c r="A1232" s="12"/>
      <c r="B1232" s="13"/>
      <c r="C1232" s="14"/>
      <c r="D1232" s="14"/>
      <c r="E1232" s="15"/>
      <c r="F1232" s="13"/>
      <c r="G1232" s="16" t="str">
        <f aca="false">IF(OR(B1232="",E1232=""),"",E1232*IFERROR(INDEX(Müşteriler!$B$5:$B$54,MATCH(B1232,Müşteriler!$A$5:$A$54,0)),0))</f>
        <v/>
      </c>
    </row>
    <row r="1233" customFormat="false" ht="15" hidden="false" customHeight="false" outlineLevel="0" collapsed="false">
      <c r="A1233" s="12"/>
      <c r="B1233" s="13"/>
      <c r="C1233" s="14"/>
      <c r="D1233" s="14"/>
      <c r="E1233" s="15"/>
      <c r="F1233" s="13"/>
      <c r="G1233" s="16" t="str">
        <f aca="false">IF(OR(B1233="",E1233=""),"",E1233*IFERROR(INDEX(Müşteriler!$B$5:$B$54,MATCH(B1233,Müşteriler!$A$5:$A$54,0)),0))</f>
        <v/>
      </c>
    </row>
    <row r="1234" customFormat="false" ht="15" hidden="false" customHeight="false" outlineLevel="0" collapsed="false">
      <c r="A1234" s="12"/>
      <c r="B1234" s="13"/>
      <c r="C1234" s="14"/>
      <c r="D1234" s="14"/>
      <c r="E1234" s="15"/>
      <c r="F1234" s="13"/>
      <c r="G1234" s="16" t="str">
        <f aca="false">IF(OR(B1234="",E1234=""),"",E1234*IFERROR(INDEX(Müşteriler!$B$5:$B$54,MATCH(B1234,Müşteriler!$A$5:$A$54,0)),0))</f>
        <v/>
      </c>
    </row>
    <row r="1235" customFormat="false" ht="15" hidden="false" customHeight="false" outlineLevel="0" collapsed="false">
      <c r="A1235" s="12"/>
      <c r="B1235" s="13"/>
      <c r="C1235" s="14"/>
      <c r="D1235" s="14"/>
      <c r="E1235" s="15"/>
      <c r="F1235" s="13"/>
      <c r="G1235" s="16" t="str">
        <f aca="false">IF(OR(B1235="",E1235=""),"",E1235*IFERROR(INDEX(Müşteriler!$B$5:$B$54,MATCH(B1235,Müşteriler!$A$5:$A$54,0)),0))</f>
        <v/>
      </c>
    </row>
    <row r="1236" customFormat="false" ht="15" hidden="false" customHeight="false" outlineLevel="0" collapsed="false">
      <c r="A1236" s="12"/>
      <c r="B1236" s="13"/>
      <c r="C1236" s="14"/>
      <c r="D1236" s="14"/>
      <c r="E1236" s="15"/>
      <c r="F1236" s="13"/>
      <c r="G1236" s="16" t="str">
        <f aca="false">IF(OR(B1236="",E1236=""),"",E1236*IFERROR(INDEX(Müşteriler!$B$5:$B$54,MATCH(B1236,Müşteriler!$A$5:$A$54,0)),0))</f>
        <v/>
      </c>
    </row>
    <row r="1237" customFormat="false" ht="15" hidden="false" customHeight="false" outlineLevel="0" collapsed="false">
      <c r="A1237" s="12"/>
      <c r="B1237" s="13"/>
      <c r="C1237" s="14"/>
      <c r="D1237" s="14"/>
      <c r="E1237" s="15"/>
      <c r="F1237" s="13"/>
      <c r="G1237" s="16" t="str">
        <f aca="false">IF(OR(B1237="",E1237=""),"",E1237*IFERROR(INDEX(Müşteriler!$B$5:$B$54,MATCH(B1237,Müşteriler!$A$5:$A$54,0)),0))</f>
        <v/>
      </c>
    </row>
    <row r="1238" customFormat="false" ht="15" hidden="false" customHeight="false" outlineLevel="0" collapsed="false">
      <c r="A1238" s="12"/>
      <c r="B1238" s="13"/>
      <c r="C1238" s="14"/>
      <c r="D1238" s="14"/>
      <c r="E1238" s="15"/>
      <c r="F1238" s="13"/>
      <c r="G1238" s="16" t="str">
        <f aca="false">IF(OR(B1238="",E1238=""),"",E1238*IFERROR(INDEX(Müşteriler!$B$5:$B$54,MATCH(B1238,Müşteriler!$A$5:$A$54,0)),0))</f>
        <v/>
      </c>
    </row>
    <row r="1239" customFormat="false" ht="15" hidden="false" customHeight="false" outlineLevel="0" collapsed="false">
      <c r="A1239" s="12"/>
      <c r="B1239" s="13"/>
      <c r="C1239" s="14"/>
      <c r="D1239" s="14"/>
      <c r="E1239" s="15"/>
      <c r="F1239" s="13"/>
      <c r="G1239" s="16" t="str">
        <f aca="false">IF(OR(B1239="",E1239=""),"",E1239*IFERROR(INDEX(Müşteriler!$B$5:$B$54,MATCH(B1239,Müşteriler!$A$5:$A$54,0)),0))</f>
        <v/>
      </c>
    </row>
    <row r="1240" customFormat="false" ht="15" hidden="false" customHeight="false" outlineLevel="0" collapsed="false">
      <c r="A1240" s="12"/>
      <c r="B1240" s="13"/>
      <c r="C1240" s="14"/>
      <c r="D1240" s="14"/>
      <c r="E1240" s="15"/>
      <c r="F1240" s="13"/>
      <c r="G1240" s="16" t="str">
        <f aca="false">IF(OR(B1240="",E1240=""),"",E1240*IFERROR(INDEX(Müşteriler!$B$5:$B$54,MATCH(B1240,Müşteriler!$A$5:$A$54,0)),0))</f>
        <v/>
      </c>
    </row>
    <row r="1241" customFormat="false" ht="15" hidden="false" customHeight="false" outlineLevel="0" collapsed="false">
      <c r="A1241" s="12"/>
      <c r="B1241" s="13"/>
      <c r="C1241" s="14"/>
      <c r="D1241" s="14"/>
      <c r="E1241" s="15"/>
      <c r="F1241" s="13"/>
      <c r="G1241" s="16" t="str">
        <f aca="false">IF(OR(B1241="",E1241=""),"",E1241*IFERROR(INDEX(Müşteriler!$B$5:$B$54,MATCH(B1241,Müşteriler!$A$5:$A$54,0)),0))</f>
        <v/>
      </c>
    </row>
    <row r="1242" customFormat="false" ht="15" hidden="false" customHeight="false" outlineLevel="0" collapsed="false">
      <c r="A1242" s="12"/>
      <c r="B1242" s="13"/>
      <c r="C1242" s="14"/>
      <c r="D1242" s="14"/>
      <c r="E1242" s="15"/>
      <c r="F1242" s="13"/>
      <c r="G1242" s="16" t="str">
        <f aca="false">IF(OR(B1242="",E1242=""),"",E1242*IFERROR(INDEX(Müşteriler!$B$5:$B$54,MATCH(B1242,Müşteriler!$A$5:$A$54,0)),0))</f>
        <v/>
      </c>
    </row>
    <row r="1243" customFormat="false" ht="15" hidden="false" customHeight="false" outlineLevel="0" collapsed="false">
      <c r="A1243" s="12"/>
      <c r="B1243" s="13"/>
      <c r="C1243" s="14"/>
      <c r="D1243" s="14"/>
      <c r="E1243" s="15"/>
      <c r="F1243" s="13"/>
      <c r="G1243" s="16" t="str">
        <f aca="false">IF(OR(B1243="",E1243=""),"",E1243*IFERROR(INDEX(Müşteriler!$B$5:$B$54,MATCH(B1243,Müşteriler!$A$5:$A$54,0)),0))</f>
        <v/>
      </c>
    </row>
    <row r="1244" customFormat="false" ht="15" hidden="false" customHeight="false" outlineLevel="0" collapsed="false">
      <c r="A1244" s="12"/>
      <c r="B1244" s="13"/>
      <c r="C1244" s="14"/>
      <c r="D1244" s="14"/>
      <c r="E1244" s="15"/>
      <c r="F1244" s="13"/>
      <c r="G1244" s="16" t="str">
        <f aca="false">IF(OR(B1244="",E1244=""),"",E1244*IFERROR(INDEX(Müşteriler!$B$5:$B$54,MATCH(B1244,Müşteriler!$A$5:$A$54,0)),0))</f>
        <v/>
      </c>
    </row>
    <row r="1245" customFormat="false" ht="15" hidden="false" customHeight="false" outlineLevel="0" collapsed="false">
      <c r="A1245" s="12"/>
      <c r="B1245" s="13"/>
      <c r="C1245" s="14"/>
      <c r="D1245" s="14"/>
      <c r="E1245" s="15"/>
      <c r="F1245" s="13"/>
      <c r="G1245" s="16" t="str">
        <f aca="false">IF(OR(B1245="",E1245=""),"",E1245*IFERROR(INDEX(Müşteriler!$B$5:$B$54,MATCH(B1245,Müşteriler!$A$5:$A$54,0)),0))</f>
        <v/>
      </c>
    </row>
    <row r="1246" customFormat="false" ht="15" hidden="false" customHeight="false" outlineLevel="0" collapsed="false">
      <c r="A1246" s="12"/>
      <c r="B1246" s="13"/>
      <c r="C1246" s="14"/>
      <c r="D1246" s="14"/>
      <c r="E1246" s="15"/>
      <c r="F1246" s="13"/>
      <c r="G1246" s="16" t="str">
        <f aca="false">IF(OR(B1246="",E1246=""),"",E1246*IFERROR(INDEX(Müşteriler!$B$5:$B$54,MATCH(B1246,Müşteriler!$A$5:$A$54,0)),0))</f>
        <v/>
      </c>
    </row>
    <row r="1247" customFormat="false" ht="15" hidden="false" customHeight="false" outlineLevel="0" collapsed="false">
      <c r="A1247" s="12"/>
      <c r="B1247" s="13"/>
      <c r="C1247" s="14"/>
      <c r="D1247" s="14"/>
      <c r="E1247" s="15"/>
      <c r="F1247" s="13"/>
      <c r="G1247" s="16" t="str">
        <f aca="false">IF(OR(B1247="",E1247=""),"",E1247*IFERROR(INDEX(Müşteriler!$B$5:$B$54,MATCH(B1247,Müşteriler!$A$5:$A$54,0)),0))</f>
        <v/>
      </c>
    </row>
    <row r="1248" customFormat="false" ht="15" hidden="false" customHeight="false" outlineLevel="0" collapsed="false">
      <c r="A1248" s="12"/>
      <c r="B1248" s="13"/>
      <c r="C1248" s="14"/>
      <c r="D1248" s="14"/>
      <c r="E1248" s="15"/>
      <c r="F1248" s="13"/>
      <c r="G1248" s="16" t="str">
        <f aca="false">IF(OR(B1248="",E1248=""),"",E1248*IFERROR(INDEX(Müşteriler!$B$5:$B$54,MATCH(B1248,Müşteriler!$A$5:$A$54,0)),0))</f>
        <v/>
      </c>
    </row>
    <row r="1249" customFormat="false" ht="15" hidden="false" customHeight="false" outlineLevel="0" collapsed="false">
      <c r="A1249" s="12"/>
      <c r="B1249" s="13"/>
      <c r="C1249" s="14"/>
      <c r="D1249" s="14"/>
      <c r="E1249" s="15"/>
      <c r="F1249" s="13"/>
      <c r="G1249" s="16" t="str">
        <f aca="false">IF(OR(B1249="",E1249=""),"",E1249*IFERROR(INDEX(Müşteriler!$B$5:$B$54,MATCH(B1249,Müşteriler!$A$5:$A$54,0)),0))</f>
        <v/>
      </c>
    </row>
    <row r="1250" customFormat="false" ht="15" hidden="false" customHeight="false" outlineLevel="0" collapsed="false">
      <c r="A1250" s="12"/>
      <c r="B1250" s="13"/>
      <c r="C1250" s="14"/>
      <c r="D1250" s="14"/>
      <c r="E1250" s="15"/>
      <c r="F1250" s="13"/>
      <c r="G1250" s="16" t="str">
        <f aca="false">IF(OR(B1250="",E1250=""),"",E1250*IFERROR(INDEX(Müşteriler!$B$5:$B$54,MATCH(B1250,Müşteriler!$A$5:$A$54,0)),0))</f>
        <v/>
      </c>
    </row>
    <row r="1251" customFormat="false" ht="15" hidden="false" customHeight="false" outlineLevel="0" collapsed="false">
      <c r="A1251" s="12"/>
      <c r="B1251" s="13"/>
      <c r="C1251" s="14"/>
      <c r="D1251" s="14"/>
      <c r="E1251" s="15"/>
      <c r="F1251" s="13"/>
      <c r="G1251" s="16" t="str">
        <f aca="false">IF(OR(B1251="",E1251=""),"",E1251*IFERROR(INDEX(Müşteriler!$B$5:$B$54,MATCH(B1251,Müşteriler!$A$5:$A$54,0)),0))</f>
        <v/>
      </c>
    </row>
    <row r="1252" customFormat="false" ht="15" hidden="false" customHeight="false" outlineLevel="0" collapsed="false">
      <c r="A1252" s="12"/>
      <c r="B1252" s="13"/>
      <c r="C1252" s="14"/>
      <c r="D1252" s="14"/>
      <c r="E1252" s="15"/>
      <c r="F1252" s="13"/>
      <c r="G1252" s="16" t="str">
        <f aca="false">IF(OR(B1252="",E1252=""),"",E1252*IFERROR(INDEX(Müşteriler!$B$5:$B$54,MATCH(B1252,Müşteriler!$A$5:$A$54,0)),0))</f>
        <v/>
      </c>
    </row>
    <row r="1253" customFormat="false" ht="15" hidden="false" customHeight="false" outlineLevel="0" collapsed="false">
      <c r="A1253" s="12"/>
      <c r="B1253" s="13"/>
      <c r="C1253" s="14"/>
      <c r="D1253" s="14"/>
      <c r="E1253" s="15"/>
      <c r="F1253" s="13"/>
      <c r="G1253" s="16" t="str">
        <f aca="false">IF(OR(B1253="",E1253=""),"",E1253*IFERROR(INDEX(Müşteriler!$B$5:$B$54,MATCH(B1253,Müşteriler!$A$5:$A$54,0)),0))</f>
        <v/>
      </c>
    </row>
    <row r="1254" customFormat="false" ht="15" hidden="false" customHeight="false" outlineLevel="0" collapsed="false">
      <c r="A1254" s="12"/>
      <c r="B1254" s="13"/>
      <c r="C1254" s="14"/>
      <c r="D1254" s="14"/>
      <c r="E1254" s="15"/>
      <c r="F1254" s="13"/>
      <c r="G1254" s="16" t="str">
        <f aca="false">IF(OR(B1254="",E1254=""),"",E1254*IFERROR(INDEX(Müşteriler!$B$5:$B$54,MATCH(B1254,Müşteriler!$A$5:$A$54,0)),0))</f>
        <v/>
      </c>
    </row>
    <row r="1255" customFormat="false" ht="15" hidden="false" customHeight="false" outlineLevel="0" collapsed="false">
      <c r="A1255" s="12"/>
      <c r="B1255" s="13"/>
      <c r="C1255" s="14"/>
      <c r="D1255" s="14"/>
      <c r="E1255" s="15"/>
      <c r="F1255" s="13"/>
      <c r="G1255" s="16" t="str">
        <f aca="false">IF(OR(B1255="",E1255=""),"",E1255*IFERROR(INDEX(Müşteriler!$B$5:$B$54,MATCH(B1255,Müşteriler!$A$5:$A$54,0)),0))</f>
        <v/>
      </c>
    </row>
    <row r="1256" customFormat="false" ht="15" hidden="false" customHeight="false" outlineLevel="0" collapsed="false">
      <c r="A1256" s="12"/>
      <c r="B1256" s="13"/>
      <c r="C1256" s="14"/>
      <c r="D1256" s="14"/>
      <c r="E1256" s="15"/>
      <c r="F1256" s="13"/>
      <c r="G1256" s="16" t="str">
        <f aca="false">IF(OR(B1256="",E1256=""),"",E1256*IFERROR(INDEX(Müşteriler!$B$5:$B$54,MATCH(B1256,Müşteriler!$A$5:$A$54,0)),0))</f>
        <v/>
      </c>
    </row>
    <row r="1257" customFormat="false" ht="15" hidden="false" customHeight="false" outlineLevel="0" collapsed="false">
      <c r="A1257" s="12"/>
      <c r="B1257" s="13"/>
      <c r="C1257" s="14"/>
      <c r="D1257" s="14"/>
      <c r="E1257" s="15"/>
      <c r="F1257" s="13"/>
      <c r="G1257" s="16" t="str">
        <f aca="false">IF(OR(B1257="",E1257=""),"",E1257*IFERROR(INDEX(Müşteriler!$B$5:$B$54,MATCH(B1257,Müşteriler!$A$5:$A$54,0)),0))</f>
        <v/>
      </c>
    </row>
    <row r="1258" customFormat="false" ht="15" hidden="false" customHeight="false" outlineLevel="0" collapsed="false">
      <c r="A1258" s="12"/>
      <c r="B1258" s="13"/>
      <c r="C1258" s="14"/>
      <c r="D1258" s="14"/>
      <c r="E1258" s="15"/>
      <c r="F1258" s="13"/>
      <c r="G1258" s="16" t="str">
        <f aca="false">IF(OR(B1258="",E1258=""),"",E1258*IFERROR(INDEX(Müşteriler!$B$5:$B$54,MATCH(B1258,Müşteriler!$A$5:$A$54,0)),0))</f>
        <v/>
      </c>
    </row>
    <row r="1259" customFormat="false" ht="15" hidden="false" customHeight="false" outlineLevel="0" collapsed="false">
      <c r="A1259" s="12"/>
      <c r="B1259" s="13"/>
      <c r="C1259" s="14"/>
      <c r="D1259" s="14"/>
      <c r="E1259" s="15"/>
      <c r="F1259" s="13"/>
      <c r="G1259" s="16" t="str">
        <f aca="false">IF(OR(B1259="",E1259=""),"",E1259*IFERROR(INDEX(Müşteriler!$B$5:$B$54,MATCH(B1259,Müşteriler!$A$5:$A$54,0)),0))</f>
        <v/>
      </c>
    </row>
    <row r="1260" customFormat="false" ht="15" hidden="false" customHeight="false" outlineLevel="0" collapsed="false">
      <c r="A1260" s="12"/>
      <c r="B1260" s="13"/>
      <c r="C1260" s="14"/>
      <c r="D1260" s="14"/>
      <c r="E1260" s="15"/>
      <c r="F1260" s="13"/>
      <c r="G1260" s="16" t="str">
        <f aca="false">IF(OR(B1260="",E1260=""),"",E1260*IFERROR(INDEX(Müşteriler!$B$5:$B$54,MATCH(B1260,Müşteriler!$A$5:$A$54,0)),0))</f>
        <v/>
      </c>
    </row>
    <row r="1261" customFormat="false" ht="15" hidden="false" customHeight="false" outlineLevel="0" collapsed="false">
      <c r="A1261" s="12"/>
      <c r="B1261" s="13"/>
      <c r="C1261" s="14"/>
      <c r="D1261" s="14"/>
      <c r="E1261" s="15"/>
      <c r="F1261" s="13"/>
      <c r="G1261" s="16" t="str">
        <f aca="false">IF(OR(B1261="",E1261=""),"",E1261*IFERROR(INDEX(Müşteriler!$B$5:$B$54,MATCH(B1261,Müşteriler!$A$5:$A$54,0)),0))</f>
        <v/>
      </c>
    </row>
    <row r="1262" customFormat="false" ht="15" hidden="false" customHeight="false" outlineLevel="0" collapsed="false">
      <c r="A1262" s="12"/>
      <c r="B1262" s="13"/>
      <c r="C1262" s="14"/>
      <c r="D1262" s="14"/>
      <c r="E1262" s="15"/>
      <c r="F1262" s="13"/>
      <c r="G1262" s="16" t="str">
        <f aca="false">IF(OR(B1262="",E1262=""),"",E1262*IFERROR(INDEX(Müşteriler!$B$5:$B$54,MATCH(B1262,Müşteriler!$A$5:$A$54,0)),0))</f>
        <v/>
      </c>
    </row>
    <row r="1263" customFormat="false" ht="15" hidden="false" customHeight="false" outlineLevel="0" collapsed="false">
      <c r="A1263" s="12"/>
      <c r="B1263" s="13"/>
      <c r="C1263" s="14"/>
      <c r="D1263" s="14"/>
      <c r="E1263" s="15"/>
      <c r="F1263" s="13"/>
      <c r="G1263" s="16" t="str">
        <f aca="false">IF(OR(B1263="",E1263=""),"",E1263*IFERROR(INDEX(Müşteriler!$B$5:$B$54,MATCH(B1263,Müşteriler!$A$5:$A$54,0)),0))</f>
        <v/>
      </c>
    </row>
    <row r="1264" customFormat="false" ht="15" hidden="false" customHeight="false" outlineLevel="0" collapsed="false">
      <c r="A1264" s="12"/>
      <c r="B1264" s="13"/>
      <c r="C1264" s="14"/>
      <c r="D1264" s="14"/>
      <c r="E1264" s="15"/>
      <c r="F1264" s="13"/>
      <c r="G1264" s="16" t="str">
        <f aca="false">IF(OR(B1264="",E1264=""),"",E1264*IFERROR(INDEX(Müşteriler!$B$5:$B$54,MATCH(B1264,Müşteriler!$A$5:$A$54,0)),0))</f>
        <v/>
      </c>
    </row>
    <row r="1265" customFormat="false" ht="15" hidden="false" customHeight="false" outlineLevel="0" collapsed="false">
      <c r="A1265" s="12"/>
      <c r="B1265" s="13"/>
      <c r="C1265" s="14"/>
      <c r="D1265" s="14"/>
      <c r="E1265" s="15"/>
      <c r="F1265" s="13"/>
      <c r="G1265" s="16" t="str">
        <f aca="false">IF(OR(B1265="",E1265=""),"",E1265*IFERROR(INDEX(Müşteriler!$B$5:$B$54,MATCH(B1265,Müşteriler!$A$5:$A$54,0)),0))</f>
        <v/>
      </c>
    </row>
    <row r="1266" customFormat="false" ht="15" hidden="false" customHeight="false" outlineLevel="0" collapsed="false">
      <c r="A1266" s="12"/>
      <c r="B1266" s="13"/>
      <c r="C1266" s="14"/>
      <c r="D1266" s="14"/>
      <c r="E1266" s="15"/>
      <c r="F1266" s="13"/>
      <c r="G1266" s="16" t="str">
        <f aca="false">IF(OR(B1266="",E1266=""),"",E1266*IFERROR(INDEX(Müşteriler!$B$5:$B$54,MATCH(B1266,Müşteriler!$A$5:$A$54,0)),0))</f>
        <v/>
      </c>
    </row>
    <row r="1267" customFormat="false" ht="15" hidden="false" customHeight="false" outlineLevel="0" collapsed="false">
      <c r="A1267" s="12"/>
      <c r="B1267" s="13"/>
      <c r="C1267" s="14"/>
      <c r="D1267" s="14"/>
      <c r="E1267" s="15"/>
      <c r="F1267" s="13"/>
      <c r="G1267" s="16" t="str">
        <f aca="false">IF(OR(B1267="",E1267=""),"",E1267*IFERROR(INDEX(Müşteriler!$B$5:$B$54,MATCH(B1267,Müşteriler!$A$5:$A$54,0)),0))</f>
        <v/>
      </c>
    </row>
    <row r="1268" customFormat="false" ht="15" hidden="false" customHeight="false" outlineLevel="0" collapsed="false">
      <c r="A1268" s="12"/>
      <c r="B1268" s="13"/>
      <c r="C1268" s="14"/>
      <c r="D1268" s="14"/>
      <c r="E1268" s="15"/>
      <c r="F1268" s="13"/>
      <c r="G1268" s="16" t="str">
        <f aca="false">IF(OR(B1268="",E1268=""),"",E1268*IFERROR(INDEX(Müşteriler!$B$5:$B$54,MATCH(B1268,Müşteriler!$A$5:$A$54,0)),0))</f>
        <v/>
      </c>
    </row>
    <row r="1269" customFormat="false" ht="15" hidden="false" customHeight="false" outlineLevel="0" collapsed="false">
      <c r="A1269" s="12"/>
      <c r="B1269" s="13"/>
      <c r="C1269" s="14"/>
      <c r="D1269" s="14"/>
      <c r="E1269" s="15"/>
      <c r="F1269" s="13"/>
      <c r="G1269" s="16" t="str">
        <f aca="false">IF(OR(B1269="",E1269=""),"",E1269*IFERROR(INDEX(Müşteriler!$B$5:$B$54,MATCH(B1269,Müşteriler!$A$5:$A$54,0)),0))</f>
        <v/>
      </c>
    </row>
    <row r="1270" customFormat="false" ht="15" hidden="false" customHeight="false" outlineLevel="0" collapsed="false">
      <c r="A1270" s="12"/>
      <c r="B1270" s="13"/>
      <c r="C1270" s="14"/>
      <c r="D1270" s="14"/>
      <c r="E1270" s="15"/>
      <c r="F1270" s="13"/>
      <c r="G1270" s="16" t="str">
        <f aca="false">IF(OR(B1270="",E1270=""),"",E1270*IFERROR(INDEX(Müşteriler!$B$5:$B$54,MATCH(B1270,Müşteriler!$A$5:$A$54,0)),0))</f>
        <v/>
      </c>
    </row>
    <row r="1271" customFormat="false" ht="15" hidden="false" customHeight="false" outlineLevel="0" collapsed="false">
      <c r="A1271" s="12"/>
      <c r="B1271" s="13"/>
      <c r="C1271" s="14"/>
      <c r="D1271" s="14"/>
      <c r="E1271" s="15"/>
      <c r="F1271" s="13"/>
      <c r="G1271" s="16" t="str">
        <f aca="false">IF(OR(B1271="",E1271=""),"",E1271*IFERROR(INDEX(Müşteriler!$B$5:$B$54,MATCH(B1271,Müşteriler!$A$5:$A$54,0)),0))</f>
        <v/>
      </c>
    </row>
    <row r="1272" customFormat="false" ht="15" hidden="false" customHeight="false" outlineLevel="0" collapsed="false">
      <c r="A1272" s="12"/>
      <c r="B1272" s="13"/>
      <c r="C1272" s="14"/>
      <c r="D1272" s="14"/>
      <c r="E1272" s="15"/>
      <c r="F1272" s="13"/>
      <c r="G1272" s="16" t="str">
        <f aca="false">IF(OR(B1272="",E1272=""),"",E1272*IFERROR(INDEX(Müşteriler!$B$5:$B$54,MATCH(B1272,Müşteriler!$A$5:$A$54,0)),0))</f>
        <v/>
      </c>
    </row>
    <row r="1273" customFormat="false" ht="15" hidden="false" customHeight="false" outlineLevel="0" collapsed="false">
      <c r="A1273" s="12"/>
      <c r="B1273" s="13"/>
      <c r="C1273" s="14"/>
      <c r="D1273" s="14"/>
      <c r="E1273" s="15"/>
      <c r="F1273" s="13"/>
      <c r="G1273" s="16" t="str">
        <f aca="false">IF(OR(B1273="",E1273=""),"",E1273*IFERROR(INDEX(Müşteriler!$B$5:$B$54,MATCH(B1273,Müşteriler!$A$5:$A$54,0)),0))</f>
        <v/>
      </c>
    </row>
    <row r="1274" customFormat="false" ht="15" hidden="false" customHeight="false" outlineLevel="0" collapsed="false">
      <c r="A1274" s="12"/>
      <c r="B1274" s="13"/>
      <c r="C1274" s="14"/>
      <c r="D1274" s="14"/>
      <c r="E1274" s="15"/>
      <c r="F1274" s="13"/>
      <c r="G1274" s="16" t="str">
        <f aca="false">IF(OR(B1274="",E1274=""),"",E1274*IFERROR(INDEX(Müşteriler!$B$5:$B$54,MATCH(B1274,Müşteriler!$A$5:$A$54,0)),0))</f>
        <v/>
      </c>
    </row>
    <row r="1275" customFormat="false" ht="15" hidden="false" customHeight="false" outlineLevel="0" collapsed="false">
      <c r="A1275" s="12"/>
      <c r="B1275" s="13"/>
      <c r="C1275" s="14"/>
      <c r="D1275" s="14"/>
      <c r="E1275" s="15"/>
      <c r="F1275" s="13"/>
      <c r="G1275" s="16" t="str">
        <f aca="false">IF(OR(B1275="",E1275=""),"",E1275*IFERROR(INDEX(Müşteriler!$B$5:$B$54,MATCH(B1275,Müşteriler!$A$5:$A$54,0)),0))</f>
        <v/>
      </c>
    </row>
    <row r="1276" customFormat="false" ht="15" hidden="false" customHeight="false" outlineLevel="0" collapsed="false">
      <c r="A1276" s="12"/>
      <c r="B1276" s="13"/>
      <c r="C1276" s="14"/>
      <c r="D1276" s="14"/>
      <c r="E1276" s="15"/>
      <c r="F1276" s="13"/>
      <c r="G1276" s="16" t="str">
        <f aca="false">IF(OR(B1276="",E1276=""),"",E1276*IFERROR(INDEX(Müşteriler!$B$5:$B$54,MATCH(B1276,Müşteriler!$A$5:$A$54,0)),0))</f>
        <v/>
      </c>
    </row>
    <row r="1277" customFormat="false" ht="15" hidden="false" customHeight="false" outlineLevel="0" collapsed="false">
      <c r="A1277" s="12"/>
      <c r="B1277" s="13"/>
      <c r="C1277" s="14"/>
      <c r="D1277" s="14"/>
      <c r="E1277" s="15"/>
      <c r="F1277" s="13"/>
      <c r="G1277" s="16" t="str">
        <f aca="false">IF(OR(B1277="",E1277=""),"",E1277*IFERROR(INDEX(Müşteriler!$B$5:$B$54,MATCH(B1277,Müşteriler!$A$5:$A$54,0)),0))</f>
        <v/>
      </c>
    </row>
    <row r="1278" customFormat="false" ht="15" hidden="false" customHeight="false" outlineLevel="0" collapsed="false">
      <c r="A1278" s="12"/>
      <c r="B1278" s="13"/>
      <c r="C1278" s="14"/>
      <c r="D1278" s="14"/>
      <c r="E1278" s="15"/>
      <c r="F1278" s="13"/>
      <c r="G1278" s="16" t="str">
        <f aca="false">IF(OR(B1278="",E1278=""),"",E1278*IFERROR(INDEX(Müşteriler!$B$5:$B$54,MATCH(B1278,Müşteriler!$A$5:$A$54,0)),0))</f>
        <v/>
      </c>
    </row>
    <row r="1279" customFormat="false" ht="15" hidden="false" customHeight="false" outlineLevel="0" collapsed="false">
      <c r="A1279" s="12"/>
      <c r="B1279" s="13"/>
      <c r="C1279" s="14"/>
      <c r="D1279" s="14"/>
      <c r="E1279" s="15"/>
      <c r="F1279" s="13"/>
      <c r="G1279" s="16" t="str">
        <f aca="false">IF(OR(B1279="",E1279=""),"",E1279*IFERROR(INDEX(Müşteriler!$B$5:$B$54,MATCH(B1279,Müşteriler!$A$5:$A$54,0)),0))</f>
        <v/>
      </c>
    </row>
    <row r="1280" customFormat="false" ht="15" hidden="false" customHeight="false" outlineLevel="0" collapsed="false">
      <c r="A1280" s="12"/>
      <c r="B1280" s="13"/>
      <c r="C1280" s="14"/>
      <c r="D1280" s="14"/>
      <c r="E1280" s="15"/>
      <c r="F1280" s="13"/>
      <c r="G1280" s="16" t="str">
        <f aca="false">IF(OR(B1280="",E1280=""),"",E1280*IFERROR(INDEX(Müşteriler!$B$5:$B$54,MATCH(B1280,Müşteriler!$A$5:$A$54,0)),0))</f>
        <v/>
      </c>
    </row>
    <row r="1281" customFormat="false" ht="15" hidden="false" customHeight="false" outlineLevel="0" collapsed="false">
      <c r="A1281" s="12"/>
      <c r="B1281" s="13"/>
      <c r="C1281" s="14"/>
      <c r="D1281" s="14"/>
      <c r="E1281" s="15"/>
      <c r="F1281" s="13"/>
      <c r="G1281" s="16" t="str">
        <f aca="false">IF(OR(B1281="",E1281=""),"",E1281*IFERROR(INDEX(Müşteriler!$B$5:$B$54,MATCH(B1281,Müşteriler!$A$5:$A$54,0)),0))</f>
        <v/>
      </c>
    </row>
    <row r="1282" customFormat="false" ht="15" hidden="false" customHeight="false" outlineLevel="0" collapsed="false">
      <c r="A1282" s="12"/>
      <c r="B1282" s="13"/>
      <c r="C1282" s="14"/>
      <c r="D1282" s="14"/>
      <c r="E1282" s="15"/>
      <c r="F1282" s="13"/>
      <c r="G1282" s="16" t="str">
        <f aca="false">IF(OR(B1282="",E1282=""),"",E1282*IFERROR(INDEX(Müşteriler!$B$5:$B$54,MATCH(B1282,Müşteriler!$A$5:$A$54,0)),0))</f>
        <v/>
      </c>
    </row>
    <row r="1283" customFormat="false" ht="15" hidden="false" customHeight="false" outlineLevel="0" collapsed="false">
      <c r="A1283" s="12"/>
      <c r="B1283" s="13"/>
      <c r="C1283" s="14"/>
      <c r="D1283" s="14"/>
      <c r="E1283" s="15"/>
      <c r="F1283" s="13"/>
      <c r="G1283" s="16" t="str">
        <f aca="false">IF(OR(B1283="",E1283=""),"",E1283*IFERROR(INDEX(Müşteriler!$B$5:$B$54,MATCH(B1283,Müşteriler!$A$5:$A$54,0)),0))</f>
        <v/>
      </c>
    </row>
    <row r="1284" customFormat="false" ht="15" hidden="false" customHeight="false" outlineLevel="0" collapsed="false">
      <c r="A1284" s="12"/>
      <c r="B1284" s="13"/>
      <c r="C1284" s="14"/>
      <c r="D1284" s="14"/>
      <c r="E1284" s="15"/>
      <c r="F1284" s="13"/>
      <c r="G1284" s="16" t="str">
        <f aca="false">IF(OR(B1284="",E1284=""),"",E1284*IFERROR(INDEX(Müşteriler!$B$5:$B$54,MATCH(B1284,Müşteriler!$A$5:$A$54,0)),0))</f>
        <v/>
      </c>
    </row>
    <row r="1285" customFormat="false" ht="15" hidden="false" customHeight="false" outlineLevel="0" collapsed="false">
      <c r="A1285" s="12"/>
      <c r="B1285" s="13"/>
      <c r="C1285" s="14"/>
      <c r="D1285" s="14"/>
      <c r="E1285" s="15"/>
      <c r="F1285" s="13"/>
      <c r="G1285" s="16" t="str">
        <f aca="false">IF(OR(B1285="",E1285=""),"",E1285*IFERROR(INDEX(Müşteriler!$B$5:$B$54,MATCH(B1285,Müşteriler!$A$5:$A$54,0)),0))</f>
        <v/>
      </c>
    </row>
    <row r="1286" customFormat="false" ht="15" hidden="false" customHeight="false" outlineLevel="0" collapsed="false">
      <c r="A1286" s="12"/>
      <c r="B1286" s="13"/>
      <c r="C1286" s="14"/>
      <c r="D1286" s="14"/>
      <c r="E1286" s="15"/>
      <c r="F1286" s="13"/>
      <c r="G1286" s="16" t="str">
        <f aca="false">IF(OR(B1286="",E1286=""),"",E1286*IFERROR(INDEX(Müşteriler!$B$5:$B$54,MATCH(B1286,Müşteriler!$A$5:$A$54,0)),0))</f>
        <v/>
      </c>
    </row>
    <row r="1287" customFormat="false" ht="15" hidden="false" customHeight="false" outlineLevel="0" collapsed="false">
      <c r="A1287" s="12"/>
      <c r="B1287" s="13"/>
      <c r="C1287" s="14"/>
      <c r="D1287" s="14"/>
      <c r="E1287" s="15"/>
      <c r="F1287" s="13"/>
      <c r="G1287" s="16" t="str">
        <f aca="false">IF(OR(B1287="",E1287=""),"",E1287*IFERROR(INDEX(Müşteriler!$B$5:$B$54,MATCH(B1287,Müşteriler!$A$5:$A$54,0)),0))</f>
        <v/>
      </c>
    </row>
    <row r="1288" customFormat="false" ht="15" hidden="false" customHeight="false" outlineLevel="0" collapsed="false">
      <c r="A1288" s="12"/>
      <c r="B1288" s="13"/>
      <c r="C1288" s="14"/>
      <c r="D1288" s="14"/>
      <c r="E1288" s="15"/>
      <c r="F1288" s="13"/>
      <c r="G1288" s="16" t="str">
        <f aca="false">IF(OR(B1288="",E1288=""),"",E1288*IFERROR(INDEX(Müşteriler!$B$5:$B$54,MATCH(B1288,Müşteriler!$A$5:$A$54,0)),0))</f>
        <v/>
      </c>
    </row>
    <row r="1289" customFormat="false" ht="15" hidden="false" customHeight="false" outlineLevel="0" collapsed="false">
      <c r="A1289" s="12"/>
      <c r="B1289" s="13"/>
      <c r="C1289" s="14"/>
      <c r="D1289" s="14"/>
      <c r="E1289" s="15"/>
      <c r="F1289" s="13"/>
      <c r="G1289" s="16" t="str">
        <f aca="false">IF(OR(B1289="",E1289=""),"",E1289*IFERROR(INDEX(Müşteriler!$B$5:$B$54,MATCH(B1289,Müşteriler!$A$5:$A$54,0)),0))</f>
        <v/>
      </c>
    </row>
    <row r="1290" customFormat="false" ht="15" hidden="false" customHeight="false" outlineLevel="0" collapsed="false">
      <c r="A1290" s="12"/>
      <c r="B1290" s="13"/>
      <c r="C1290" s="14"/>
      <c r="D1290" s="14"/>
      <c r="E1290" s="15"/>
      <c r="F1290" s="13"/>
      <c r="G1290" s="16" t="str">
        <f aca="false">IF(OR(B1290="",E1290=""),"",E1290*IFERROR(INDEX(Müşteriler!$B$5:$B$54,MATCH(B1290,Müşteriler!$A$5:$A$54,0)),0))</f>
        <v/>
      </c>
    </row>
    <row r="1291" customFormat="false" ht="15" hidden="false" customHeight="false" outlineLevel="0" collapsed="false">
      <c r="A1291" s="12"/>
      <c r="B1291" s="13"/>
      <c r="C1291" s="14"/>
      <c r="D1291" s="14"/>
      <c r="E1291" s="15"/>
      <c r="F1291" s="13"/>
      <c r="G1291" s="16" t="str">
        <f aca="false">IF(OR(B1291="",E1291=""),"",E1291*IFERROR(INDEX(Müşteriler!$B$5:$B$54,MATCH(B1291,Müşteriler!$A$5:$A$54,0)),0))</f>
        <v/>
      </c>
    </row>
    <row r="1292" customFormat="false" ht="15" hidden="false" customHeight="false" outlineLevel="0" collapsed="false">
      <c r="A1292" s="12"/>
      <c r="B1292" s="13"/>
      <c r="C1292" s="14"/>
      <c r="D1292" s="14"/>
      <c r="E1292" s="15"/>
      <c r="F1292" s="13"/>
      <c r="G1292" s="16" t="str">
        <f aca="false">IF(OR(B1292="",E1292=""),"",E1292*IFERROR(INDEX(Müşteriler!$B$5:$B$54,MATCH(B1292,Müşteriler!$A$5:$A$54,0)),0))</f>
        <v/>
      </c>
    </row>
    <row r="1293" customFormat="false" ht="15" hidden="false" customHeight="false" outlineLevel="0" collapsed="false">
      <c r="A1293" s="12"/>
      <c r="B1293" s="13"/>
      <c r="C1293" s="14"/>
      <c r="D1293" s="14"/>
      <c r="E1293" s="15"/>
      <c r="F1293" s="13"/>
      <c r="G1293" s="16" t="str">
        <f aca="false">IF(OR(B1293="",E1293=""),"",E1293*IFERROR(INDEX(Müşteriler!$B$5:$B$54,MATCH(B1293,Müşteriler!$A$5:$A$54,0)),0))</f>
        <v/>
      </c>
    </row>
    <row r="1294" customFormat="false" ht="15" hidden="false" customHeight="false" outlineLevel="0" collapsed="false">
      <c r="A1294" s="12"/>
      <c r="B1294" s="13"/>
      <c r="C1294" s="14"/>
      <c r="D1294" s="14"/>
      <c r="E1294" s="15"/>
      <c r="F1294" s="13"/>
      <c r="G1294" s="16" t="str">
        <f aca="false">IF(OR(B1294="",E1294=""),"",E1294*IFERROR(INDEX(Müşteriler!$B$5:$B$54,MATCH(B1294,Müşteriler!$A$5:$A$54,0)),0))</f>
        <v/>
      </c>
    </row>
    <row r="1295" customFormat="false" ht="15" hidden="false" customHeight="false" outlineLevel="0" collapsed="false">
      <c r="A1295" s="12"/>
      <c r="B1295" s="13"/>
      <c r="C1295" s="14"/>
      <c r="D1295" s="14"/>
      <c r="E1295" s="15"/>
      <c r="F1295" s="13"/>
      <c r="G1295" s="16" t="str">
        <f aca="false">IF(OR(B1295="",E1295=""),"",E1295*IFERROR(INDEX(Müşteriler!$B$5:$B$54,MATCH(B1295,Müşteriler!$A$5:$A$54,0)),0))</f>
        <v/>
      </c>
    </row>
    <row r="1296" customFormat="false" ht="15" hidden="false" customHeight="false" outlineLevel="0" collapsed="false">
      <c r="A1296" s="12"/>
      <c r="B1296" s="13"/>
      <c r="C1296" s="14"/>
      <c r="D1296" s="14"/>
      <c r="E1296" s="15"/>
      <c r="F1296" s="13"/>
      <c r="G1296" s="16" t="str">
        <f aca="false">IF(OR(B1296="",E1296=""),"",E1296*IFERROR(INDEX(Müşteriler!$B$5:$B$54,MATCH(B1296,Müşteriler!$A$5:$A$54,0)),0))</f>
        <v/>
      </c>
    </row>
    <row r="1297" customFormat="false" ht="15" hidden="false" customHeight="false" outlineLevel="0" collapsed="false">
      <c r="A1297" s="12"/>
      <c r="B1297" s="13"/>
      <c r="C1297" s="14"/>
      <c r="D1297" s="14"/>
      <c r="E1297" s="15"/>
      <c r="F1297" s="13"/>
      <c r="G1297" s="16" t="str">
        <f aca="false">IF(OR(B1297="",E1297=""),"",E1297*IFERROR(INDEX(Müşteriler!$B$5:$B$54,MATCH(B1297,Müşteriler!$A$5:$A$54,0)),0))</f>
        <v/>
      </c>
    </row>
    <row r="1298" customFormat="false" ht="15" hidden="false" customHeight="false" outlineLevel="0" collapsed="false">
      <c r="A1298" s="12"/>
      <c r="B1298" s="13"/>
      <c r="C1298" s="14"/>
      <c r="D1298" s="14"/>
      <c r="E1298" s="15"/>
      <c r="F1298" s="13"/>
      <c r="G1298" s="16" t="str">
        <f aca="false">IF(OR(B1298="",E1298=""),"",E1298*IFERROR(INDEX(Müşteriler!$B$5:$B$54,MATCH(B1298,Müşteriler!$A$5:$A$54,0)),0))</f>
        <v/>
      </c>
    </row>
    <row r="1299" customFormat="false" ht="15" hidden="false" customHeight="false" outlineLevel="0" collapsed="false">
      <c r="A1299" s="12"/>
      <c r="B1299" s="13"/>
      <c r="C1299" s="14"/>
      <c r="D1299" s="14"/>
      <c r="E1299" s="15"/>
      <c r="F1299" s="13"/>
      <c r="G1299" s="16" t="str">
        <f aca="false">IF(OR(B1299="",E1299=""),"",E1299*IFERROR(INDEX(Müşteriler!$B$5:$B$54,MATCH(B1299,Müşteriler!$A$5:$A$54,0)),0))</f>
        <v/>
      </c>
    </row>
    <row r="1300" customFormat="false" ht="15" hidden="false" customHeight="false" outlineLevel="0" collapsed="false">
      <c r="A1300" s="12"/>
      <c r="B1300" s="13"/>
      <c r="C1300" s="14"/>
      <c r="D1300" s="14"/>
      <c r="E1300" s="15"/>
      <c r="F1300" s="13"/>
      <c r="G1300" s="16" t="str">
        <f aca="false">IF(OR(B1300="",E1300=""),"",E1300*IFERROR(INDEX(Müşteriler!$B$5:$B$54,MATCH(B1300,Müşteriler!$A$5:$A$54,0)),0))</f>
        <v/>
      </c>
    </row>
    <row r="1301" customFormat="false" ht="15" hidden="false" customHeight="false" outlineLevel="0" collapsed="false">
      <c r="A1301" s="12"/>
      <c r="B1301" s="13"/>
      <c r="C1301" s="14"/>
      <c r="D1301" s="14"/>
      <c r="E1301" s="15"/>
      <c r="F1301" s="13"/>
      <c r="G1301" s="16" t="str">
        <f aca="false">IF(OR(B1301="",E1301=""),"",E1301*IFERROR(INDEX(Müşteriler!$B$5:$B$54,MATCH(B1301,Müşteriler!$A$5:$A$54,0)),0))</f>
        <v/>
      </c>
    </row>
    <row r="1302" customFormat="false" ht="15" hidden="false" customHeight="false" outlineLevel="0" collapsed="false">
      <c r="A1302" s="12"/>
      <c r="B1302" s="13"/>
      <c r="C1302" s="14"/>
      <c r="D1302" s="14"/>
      <c r="E1302" s="15"/>
      <c r="F1302" s="13"/>
      <c r="G1302" s="16" t="str">
        <f aca="false">IF(OR(B1302="",E1302=""),"",E1302*IFERROR(INDEX(Müşteriler!$B$5:$B$54,MATCH(B1302,Müşteriler!$A$5:$A$54,0)),0))</f>
        <v/>
      </c>
    </row>
    <row r="1303" customFormat="false" ht="15" hidden="false" customHeight="false" outlineLevel="0" collapsed="false">
      <c r="A1303" s="12"/>
      <c r="B1303" s="13"/>
      <c r="C1303" s="14"/>
      <c r="D1303" s="14"/>
      <c r="E1303" s="15"/>
      <c r="F1303" s="13"/>
      <c r="G1303" s="16" t="str">
        <f aca="false">IF(OR(B1303="",E1303=""),"",E1303*IFERROR(INDEX(Müşteriler!$B$5:$B$54,MATCH(B1303,Müşteriler!$A$5:$A$54,0)),0))</f>
        <v/>
      </c>
    </row>
    <row r="1304" customFormat="false" ht="15" hidden="false" customHeight="false" outlineLevel="0" collapsed="false">
      <c r="A1304" s="12"/>
      <c r="B1304" s="13"/>
      <c r="C1304" s="14"/>
      <c r="D1304" s="14"/>
      <c r="E1304" s="15"/>
      <c r="F1304" s="13"/>
      <c r="G1304" s="16" t="str">
        <f aca="false">IF(OR(B1304="",E1304=""),"",E1304*IFERROR(INDEX(Müşteriler!$B$5:$B$54,MATCH(B1304,Müşteriler!$A$5:$A$54,0)),0))</f>
        <v/>
      </c>
    </row>
    <row r="1305" customFormat="false" ht="15" hidden="false" customHeight="false" outlineLevel="0" collapsed="false">
      <c r="A1305" s="12"/>
      <c r="B1305" s="13"/>
      <c r="C1305" s="14"/>
      <c r="D1305" s="14"/>
      <c r="E1305" s="15"/>
      <c r="F1305" s="13"/>
      <c r="G1305" s="16" t="str">
        <f aca="false">IF(OR(B1305="",E1305=""),"",E1305*IFERROR(INDEX(Müşteriler!$B$5:$B$54,MATCH(B1305,Müşteriler!$A$5:$A$54,0)),0))</f>
        <v/>
      </c>
    </row>
    <row r="1306" customFormat="false" ht="15" hidden="false" customHeight="false" outlineLevel="0" collapsed="false">
      <c r="A1306" s="12"/>
      <c r="B1306" s="13"/>
      <c r="C1306" s="14"/>
      <c r="D1306" s="14"/>
      <c r="E1306" s="15"/>
      <c r="F1306" s="13"/>
      <c r="G1306" s="16" t="str">
        <f aca="false">IF(OR(B1306="",E1306=""),"",E1306*IFERROR(INDEX(Müşteriler!$B$5:$B$54,MATCH(B1306,Müşteriler!$A$5:$A$54,0)),0))</f>
        <v/>
      </c>
    </row>
    <row r="1307" customFormat="false" ht="15" hidden="false" customHeight="false" outlineLevel="0" collapsed="false">
      <c r="A1307" s="12"/>
      <c r="B1307" s="13"/>
      <c r="C1307" s="14"/>
      <c r="D1307" s="14"/>
      <c r="E1307" s="15"/>
      <c r="F1307" s="13"/>
      <c r="G1307" s="16" t="str">
        <f aca="false">IF(OR(B1307="",E1307=""),"",E1307*IFERROR(INDEX(Müşteriler!$B$5:$B$54,MATCH(B1307,Müşteriler!$A$5:$A$54,0)),0))</f>
        <v/>
      </c>
    </row>
    <row r="1308" customFormat="false" ht="15" hidden="false" customHeight="false" outlineLevel="0" collapsed="false">
      <c r="A1308" s="12"/>
      <c r="B1308" s="13"/>
      <c r="C1308" s="14"/>
      <c r="D1308" s="14"/>
      <c r="E1308" s="15"/>
      <c r="F1308" s="13"/>
      <c r="G1308" s="16" t="str">
        <f aca="false">IF(OR(B1308="",E1308=""),"",E1308*IFERROR(INDEX(Müşteriler!$B$5:$B$54,MATCH(B1308,Müşteriler!$A$5:$A$54,0)),0))</f>
        <v/>
      </c>
    </row>
    <row r="1309" customFormat="false" ht="15" hidden="false" customHeight="false" outlineLevel="0" collapsed="false">
      <c r="A1309" s="12"/>
      <c r="B1309" s="13"/>
      <c r="C1309" s="14"/>
      <c r="D1309" s="14"/>
      <c r="E1309" s="15"/>
      <c r="F1309" s="13"/>
      <c r="G1309" s="16" t="str">
        <f aca="false">IF(OR(B1309="",E1309=""),"",E1309*IFERROR(INDEX(Müşteriler!$B$5:$B$54,MATCH(B1309,Müşteriler!$A$5:$A$54,0)),0))</f>
        <v/>
      </c>
    </row>
    <row r="1310" customFormat="false" ht="15" hidden="false" customHeight="false" outlineLevel="0" collapsed="false">
      <c r="A1310" s="12"/>
      <c r="B1310" s="13"/>
      <c r="C1310" s="14"/>
      <c r="D1310" s="14"/>
      <c r="E1310" s="15"/>
      <c r="F1310" s="13"/>
      <c r="G1310" s="16" t="str">
        <f aca="false">IF(OR(B1310="",E1310=""),"",E1310*IFERROR(INDEX(Müşteriler!$B$5:$B$54,MATCH(B1310,Müşteriler!$A$5:$A$54,0)),0))</f>
        <v/>
      </c>
    </row>
    <row r="1311" customFormat="false" ht="15" hidden="false" customHeight="false" outlineLevel="0" collapsed="false">
      <c r="A1311" s="12"/>
      <c r="B1311" s="13"/>
      <c r="C1311" s="14"/>
      <c r="D1311" s="14"/>
      <c r="E1311" s="15"/>
      <c r="F1311" s="13"/>
      <c r="G1311" s="16" t="str">
        <f aca="false">IF(OR(B1311="",E1311=""),"",E1311*IFERROR(INDEX(Müşteriler!$B$5:$B$54,MATCH(B1311,Müşteriler!$A$5:$A$54,0)),0))</f>
        <v/>
      </c>
    </row>
    <row r="1312" customFormat="false" ht="15" hidden="false" customHeight="false" outlineLevel="0" collapsed="false">
      <c r="A1312" s="12"/>
      <c r="B1312" s="13"/>
      <c r="C1312" s="14"/>
      <c r="D1312" s="14"/>
      <c r="E1312" s="15"/>
      <c r="F1312" s="13"/>
      <c r="G1312" s="16" t="str">
        <f aca="false">IF(OR(B1312="",E1312=""),"",E1312*IFERROR(INDEX(Müşteriler!$B$5:$B$54,MATCH(B1312,Müşteriler!$A$5:$A$54,0)),0))</f>
        <v/>
      </c>
    </row>
    <row r="1313" customFormat="false" ht="15" hidden="false" customHeight="false" outlineLevel="0" collapsed="false">
      <c r="A1313" s="12"/>
      <c r="B1313" s="13"/>
      <c r="C1313" s="14"/>
      <c r="D1313" s="14"/>
      <c r="E1313" s="15"/>
      <c r="F1313" s="13"/>
      <c r="G1313" s="16" t="str">
        <f aca="false">IF(OR(B1313="",E1313=""),"",E1313*IFERROR(INDEX(Müşteriler!$B$5:$B$54,MATCH(B1313,Müşteriler!$A$5:$A$54,0)),0))</f>
        <v/>
      </c>
    </row>
    <row r="1314" customFormat="false" ht="15" hidden="false" customHeight="false" outlineLevel="0" collapsed="false">
      <c r="A1314" s="12"/>
      <c r="B1314" s="13"/>
      <c r="C1314" s="14"/>
      <c r="D1314" s="14"/>
      <c r="E1314" s="15"/>
      <c r="F1314" s="13"/>
      <c r="G1314" s="16" t="str">
        <f aca="false">IF(OR(B1314="",E1314=""),"",E1314*IFERROR(INDEX(Müşteriler!$B$5:$B$54,MATCH(B1314,Müşteriler!$A$5:$A$54,0)),0))</f>
        <v/>
      </c>
    </row>
    <row r="1315" customFormat="false" ht="15" hidden="false" customHeight="false" outlineLevel="0" collapsed="false">
      <c r="A1315" s="12"/>
      <c r="B1315" s="13"/>
      <c r="C1315" s="14"/>
      <c r="D1315" s="14"/>
      <c r="E1315" s="15"/>
      <c r="F1315" s="13"/>
      <c r="G1315" s="16" t="str">
        <f aca="false">IF(OR(B1315="",E1315=""),"",E1315*IFERROR(INDEX(Müşteriler!$B$5:$B$54,MATCH(B1315,Müşteriler!$A$5:$A$54,0)),0))</f>
        <v/>
      </c>
    </row>
    <row r="1316" customFormat="false" ht="15" hidden="false" customHeight="false" outlineLevel="0" collapsed="false">
      <c r="A1316" s="12"/>
      <c r="B1316" s="13"/>
      <c r="C1316" s="14"/>
      <c r="D1316" s="14"/>
      <c r="E1316" s="15"/>
      <c r="F1316" s="13"/>
      <c r="G1316" s="16" t="str">
        <f aca="false">IF(OR(B1316="",E1316=""),"",E1316*IFERROR(INDEX(Müşteriler!$B$5:$B$54,MATCH(B1316,Müşteriler!$A$5:$A$54,0)),0))</f>
        <v/>
      </c>
    </row>
    <row r="1317" customFormat="false" ht="15" hidden="false" customHeight="false" outlineLevel="0" collapsed="false">
      <c r="A1317" s="12"/>
      <c r="B1317" s="13"/>
      <c r="C1317" s="14"/>
      <c r="D1317" s="14"/>
      <c r="E1317" s="15"/>
      <c r="F1317" s="13"/>
      <c r="G1317" s="16" t="str">
        <f aca="false">IF(OR(B1317="",E1317=""),"",E1317*IFERROR(INDEX(Müşteriler!$B$5:$B$54,MATCH(B1317,Müşteriler!$A$5:$A$54,0)),0))</f>
        <v/>
      </c>
    </row>
    <row r="1318" customFormat="false" ht="15" hidden="false" customHeight="false" outlineLevel="0" collapsed="false">
      <c r="A1318" s="12"/>
      <c r="B1318" s="13"/>
      <c r="C1318" s="14"/>
      <c r="D1318" s="14"/>
      <c r="E1318" s="15"/>
      <c r="F1318" s="13"/>
      <c r="G1318" s="16" t="str">
        <f aca="false">IF(OR(B1318="",E1318=""),"",E1318*IFERROR(INDEX(Müşteriler!$B$5:$B$54,MATCH(B1318,Müşteriler!$A$5:$A$54,0)),0))</f>
        <v/>
      </c>
    </row>
    <row r="1319" customFormat="false" ht="15" hidden="false" customHeight="false" outlineLevel="0" collapsed="false">
      <c r="A1319" s="12"/>
      <c r="B1319" s="13"/>
      <c r="C1319" s="14"/>
      <c r="D1319" s="14"/>
      <c r="E1319" s="15"/>
      <c r="F1319" s="13"/>
      <c r="G1319" s="16" t="str">
        <f aca="false">IF(OR(B1319="",E1319=""),"",E1319*IFERROR(INDEX(Müşteriler!$B$5:$B$54,MATCH(B1319,Müşteriler!$A$5:$A$54,0)),0))</f>
        <v/>
      </c>
    </row>
    <row r="1320" customFormat="false" ht="15" hidden="false" customHeight="false" outlineLevel="0" collapsed="false">
      <c r="A1320" s="12"/>
      <c r="B1320" s="13"/>
      <c r="C1320" s="14"/>
      <c r="D1320" s="14"/>
      <c r="E1320" s="15"/>
      <c r="F1320" s="13"/>
      <c r="G1320" s="16" t="str">
        <f aca="false">IF(OR(B1320="",E1320=""),"",E1320*IFERROR(INDEX(Müşteriler!$B$5:$B$54,MATCH(B1320,Müşteriler!$A$5:$A$54,0)),0))</f>
        <v/>
      </c>
    </row>
    <row r="1321" customFormat="false" ht="15" hidden="false" customHeight="false" outlineLevel="0" collapsed="false">
      <c r="A1321" s="12"/>
      <c r="B1321" s="13"/>
      <c r="C1321" s="14"/>
      <c r="D1321" s="14"/>
      <c r="E1321" s="15"/>
      <c r="F1321" s="13"/>
      <c r="G1321" s="16" t="str">
        <f aca="false">IF(OR(B1321="",E1321=""),"",E1321*IFERROR(INDEX(Müşteriler!$B$5:$B$54,MATCH(B1321,Müşteriler!$A$5:$A$54,0)),0))</f>
        <v/>
      </c>
    </row>
    <row r="1322" customFormat="false" ht="15" hidden="false" customHeight="false" outlineLevel="0" collapsed="false">
      <c r="A1322" s="12"/>
      <c r="B1322" s="13"/>
      <c r="C1322" s="14"/>
      <c r="D1322" s="14"/>
      <c r="E1322" s="15"/>
      <c r="F1322" s="13"/>
      <c r="G1322" s="16" t="str">
        <f aca="false">IF(OR(B1322="",E1322=""),"",E1322*IFERROR(INDEX(Müşteriler!$B$5:$B$54,MATCH(B1322,Müşteriler!$A$5:$A$54,0)),0))</f>
        <v/>
      </c>
    </row>
    <row r="1323" customFormat="false" ht="15" hidden="false" customHeight="false" outlineLevel="0" collapsed="false">
      <c r="A1323" s="12"/>
      <c r="B1323" s="13"/>
      <c r="C1323" s="14"/>
      <c r="D1323" s="14"/>
      <c r="E1323" s="15"/>
      <c r="F1323" s="13"/>
      <c r="G1323" s="16" t="str">
        <f aca="false">IF(OR(B1323="",E1323=""),"",E1323*IFERROR(INDEX(Müşteriler!$B$5:$B$54,MATCH(B1323,Müşteriler!$A$5:$A$54,0)),0))</f>
        <v/>
      </c>
    </row>
    <row r="1324" customFormat="false" ht="15" hidden="false" customHeight="false" outlineLevel="0" collapsed="false">
      <c r="A1324" s="12"/>
      <c r="B1324" s="13"/>
      <c r="C1324" s="14"/>
      <c r="D1324" s="14"/>
      <c r="E1324" s="15"/>
      <c r="F1324" s="13"/>
      <c r="G1324" s="16" t="str">
        <f aca="false">IF(OR(B1324="",E1324=""),"",E1324*IFERROR(INDEX(Müşteriler!$B$5:$B$54,MATCH(B1324,Müşteriler!$A$5:$A$54,0)),0))</f>
        <v/>
      </c>
    </row>
    <row r="1325" customFormat="false" ht="15" hidden="false" customHeight="false" outlineLevel="0" collapsed="false">
      <c r="A1325" s="12"/>
      <c r="B1325" s="13"/>
      <c r="C1325" s="14"/>
      <c r="D1325" s="14"/>
      <c r="E1325" s="15"/>
      <c r="F1325" s="13"/>
      <c r="G1325" s="16" t="str">
        <f aca="false">IF(OR(B1325="",E1325=""),"",E1325*IFERROR(INDEX(Müşteriler!$B$5:$B$54,MATCH(B1325,Müşteriler!$A$5:$A$54,0)),0))</f>
        <v/>
      </c>
    </row>
    <row r="1326" customFormat="false" ht="15" hidden="false" customHeight="false" outlineLevel="0" collapsed="false">
      <c r="A1326" s="12"/>
      <c r="B1326" s="13"/>
      <c r="C1326" s="14"/>
      <c r="D1326" s="14"/>
      <c r="E1326" s="15"/>
      <c r="F1326" s="13"/>
      <c r="G1326" s="16" t="str">
        <f aca="false">IF(OR(B1326="",E1326=""),"",E1326*IFERROR(INDEX(Müşteriler!$B$5:$B$54,MATCH(B1326,Müşteriler!$A$5:$A$54,0)),0))</f>
        <v/>
      </c>
    </row>
    <row r="1327" customFormat="false" ht="15" hidden="false" customHeight="false" outlineLevel="0" collapsed="false">
      <c r="A1327" s="12"/>
      <c r="B1327" s="13"/>
      <c r="C1327" s="14"/>
      <c r="D1327" s="14"/>
      <c r="E1327" s="15"/>
      <c r="F1327" s="13"/>
      <c r="G1327" s="16" t="str">
        <f aca="false">IF(OR(B1327="",E1327=""),"",E1327*IFERROR(INDEX(Müşteriler!$B$5:$B$54,MATCH(B1327,Müşteriler!$A$5:$A$54,0)),0))</f>
        <v/>
      </c>
    </row>
    <row r="1328" customFormat="false" ht="15" hidden="false" customHeight="false" outlineLevel="0" collapsed="false">
      <c r="A1328" s="12"/>
      <c r="B1328" s="13"/>
      <c r="C1328" s="14"/>
      <c r="D1328" s="14"/>
      <c r="E1328" s="15"/>
      <c r="F1328" s="13"/>
      <c r="G1328" s="16" t="str">
        <f aca="false">IF(OR(B1328="",E1328=""),"",E1328*IFERROR(INDEX(Müşteriler!$B$5:$B$54,MATCH(B1328,Müşteriler!$A$5:$A$54,0)),0))</f>
        <v/>
      </c>
    </row>
    <row r="1329" customFormat="false" ht="15" hidden="false" customHeight="false" outlineLevel="0" collapsed="false">
      <c r="A1329" s="12"/>
      <c r="B1329" s="13"/>
      <c r="C1329" s="14"/>
      <c r="D1329" s="14"/>
      <c r="E1329" s="15"/>
      <c r="F1329" s="13"/>
      <c r="G1329" s="16" t="str">
        <f aca="false">IF(OR(B1329="",E1329=""),"",E1329*IFERROR(INDEX(Müşteriler!$B$5:$B$54,MATCH(B1329,Müşteriler!$A$5:$A$54,0)),0))</f>
        <v/>
      </c>
    </row>
    <row r="1330" customFormat="false" ht="15" hidden="false" customHeight="false" outlineLevel="0" collapsed="false">
      <c r="A1330" s="12"/>
      <c r="B1330" s="13"/>
      <c r="C1330" s="14"/>
      <c r="D1330" s="14"/>
      <c r="E1330" s="15"/>
      <c r="F1330" s="13"/>
      <c r="G1330" s="16" t="str">
        <f aca="false">IF(OR(B1330="",E1330=""),"",E1330*IFERROR(INDEX(Müşteriler!$B$5:$B$54,MATCH(B1330,Müşteriler!$A$5:$A$54,0)),0))</f>
        <v/>
      </c>
    </row>
    <row r="1331" customFormat="false" ht="15" hidden="false" customHeight="false" outlineLevel="0" collapsed="false">
      <c r="A1331" s="12"/>
      <c r="B1331" s="13"/>
      <c r="C1331" s="14"/>
      <c r="D1331" s="14"/>
      <c r="E1331" s="15"/>
      <c r="F1331" s="13"/>
      <c r="G1331" s="16" t="str">
        <f aca="false">IF(OR(B1331="",E1331=""),"",E1331*IFERROR(INDEX(Müşteriler!$B$5:$B$54,MATCH(B1331,Müşteriler!$A$5:$A$54,0)),0))</f>
        <v/>
      </c>
    </row>
    <row r="1332" customFormat="false" ht="15" hidden="false" customHeight="false" outlineLevel="0" collapsed="false">
      <c r="A1332" s="12"/>
      <c r="B1332" s="13"/>
      <c r="C1332" s="14"/>
      <c r="D1332" s="14"/>
      <c r="E1332" s="15"/>
      <c r="F1332" s="13"/>
      <c r="G1332" s="16" t="str">
        <f aca="false">IF(OR(B1332="",E1332=""),"",E1332*IFERROR(INDEX(Müşteriler!$B$5:$B$54,MATCH(B1332,Müşteriler!$A$5:$A$54,0)),0))</f>
        <v/>
      </c>
    </row>
    <row r="1333" customFormat="false" ht="15" hidden="false" customHeight="false" outlineLevel="0" collapsed="false">
      <c r="A1333" s="12"/>
      <c r="B1333" s="13"/>
      <c r="C1333" s="14"/>
      <c r="D1333" s="14"/>
      <c r="E1333" s="15"/>
      <c r="F1333" s="13"/>
      <c r="G1333" s="16" t="str">
        <f aca="false">IF(OR(B1333="",E1333=""),"",E1333*IFERROR(INDEX(Müşteriler!$B$5:$B$54,MATCH(B1333,Müşteriler!$A$5:$A$54,0)),0))</f>
        <v/>
      </c>
    </row>
    <row r="1334" customFormat="false" ht="15" hidden="false" customHeight="false" outlineLevel="0" collapsed="false">
      <c r="A1334" s="12"/>
      <c r="B1334" s="13"/>
      <c r="C1334" s="14"/>
      <c r="D1334" s="14"/>
      <c r="E1334" s="15"/>
      <c r="F1334" s="13"/>
      <c r="G1334" s="16" t="str">
        <f aca="false">IF(OR(B1334="",E1334=""),"",E1334*IFERROR(INDEX(Müşteriler!$B$5:$B$54,MATCH(B1334,Müşteriler!$A$5:$A$54,0)),0))</f>
        <v/>
      </c>
    </row>
    <row r="1335" customFormat="false" ht="15" hidden="false" customHeight="false" outlineLevel="0" collapsed="false">
      <c r="A1335" s="12"/>
      <c r="B1335" s="13"/>
      <c r="C1335" s="14"/>
      <c r="D1335" s="14"/>
      <c r="E1335" s="15"/>
      <c r="F1335" s="13"/>
      <c r="G1335" s="16" t="str">
        <f aca="false">IF(OR(B1335="",E1335=""),"",E1335*IFERROR(INDEX(Müşteriler!$B$5:$B$54,MATCH(B1335,Müşteriler!$A$5:$A$54,0)),0))</f>
        <v/>
      </c>
    </row>
    <row r="1336" customFormat="false" ht="15" hidden="false" customHeight="false" outlineLevel="0" collapsed="false">
      <c r="A1336" s="12"/>
      <c r="B1336" s="13"/>
      <c r="C1336" s="14"/>
      <c r="D1336" s="14"/>
      <c r="E1336" s="15"/>
      <c r="F1336" s="13"/>
      <c r="G1336" s="16" t="str">
        <f aca="false">IF(OR(B1336="",E1336=""),"",E1336*IFERROR(INDEX(Müşteriler!$B$5:$B$54,MATCH(B1336,Müşteriler!$A$5:$A$54,0)),0))</f>
        <v/>
      </c>
    </row>
    <row r="1337" customFormat="false" ht="15" hidden="false" customHeight="false" outlineLevel="0" collapsed="false">
      <c r="A1337" s="12"/>
      <c r="B1337" s="13"/>
      <c r="C1337" s="14"/>
      <c r="D1337" s="14"/>
      <c r="E1337" s="15"/>
      <c r="F1337" s="13"/>
      <c r="G1337" s="16" t="str">
        <f aca="false">IF(OR(B1337="",E1337=""),"",E1337*IFERROR(INDEX(Müşteriler!$B$5:$B$54,MATCH(B1337,Müşteriler!$A$5:$A$54,0)),0))</f>
        <v/>
      </c>
    </row>
    <row r="1338" customFormat="false" ht="15" hidden="false" customHeight="false" outlineLevel="0" collapsed="false">
      <c r="A1338" s="12"/>
      <c r="B1338" s="13"/>
      <c r="C1338" s="14"/>
      <c r="D1338" s="14"/>
      <c r="E1338" s="15"/>
      <c r="F1338" s="13"/>
      <c r="G1338" s="16" t="str">
        <f aca="false">IF(OR(B1338="",E1338=""),"",E1338*IFERROR(INDEX(Müşteriler!$B$5:$B$54,MATCH(B1338,Müşteriler!$A$5:$A$54,0)),0))</f>
        <v/>
      </c>
    </row>
    <row r="1339" customFormat="false" ht="15" hidden="false" customHeight="false" outlineLevel="0" collapsed="false">
      <c r="A1339" s="12"/>
      <c r="B1339" s="13"/>
      <c r="C1339" s="14"/>
      <c r="D1339" s="14"/>
      <c r="E1339" s="15"/>
      <c r="F1339" s="13"/>
      <c r="G1339" s="16" t="str">
        <f aca="false">IF(OR(B1339="",E1339=""),"",E1339*IFERROR(INDEX(Müşteriler!$B$5:$B$54,MATCH(B1339,Müşteriler!$A$5:$A$54,0)),0))</f>
        <v/>
      </c>
    </row>
    <row r="1340" customFormat="false" ht="15" hidden="false" customHeight="false" outlineLevel="0" collapsed="false">
      <c r="A1340" s="12"/>
      <c r="B1340" s="13"/>
      <c r="C1340" s="14"/>
      <c r="D1340" s="14"/>
      <c r="E1340" s="15"/>
      <c r="F1340" s="13"/>
      <c r="G1340" s="16" t="str">
        <f aca="false">IF(OR(B1340="",E1340=""),"",E1340*IFERROR(INDEX(Müşteriler!$B$5:$B$54,MATCH(B1340,Müşteriler!$A$5:$A$54,0)),0))</f>
        <v/>
      </c>
    </row>
    <row r="1341" customFormat="false" ht="15" hidden="false" customHeight="false" outlineLevel="0" collapsed="false">
      <c r="A1341" s="12"/>
      <c r="B1341" s="13"/>
      <c r="C1341" s="14"/>
      <c r="D1341" s="14"/>
      <c r="E1341" s="15"/>
      <c r="F1341" s="13"/>
      <c r="G1341" s="16" t="str">
        <f aca="false">IF(OR(B1341="",E1341=""),"",E1341*IFERROR(INDEX(Müşteriler!$B$5:$B$54,MATCH(B1341,Müşteriler!$A$5:$A$54,0)),0))</f>
        <v/>
      </c>
    </row>
    <row r="1342" customFormat="false" ht="15" hidden="false" customHeight="false" outlineLevel="0" collapsed="false">
      <c r="A1342" s="12"/>
      <c r="B1342" s="13"/>
      <c r="C1342" s="14"/>
      <c r="D1342" s="14"/>
      <c r="E1342" s="15"/>
      <c r="F1342" s="13"/>
      <c r="G1342" s="16" t="str">
        <f aca="false">IF(OR(B1342="",E1342=""),"",E1342*IFERROR(INDEX(Müşteriler!$B$5:$B$54,MATCH(B1342,Müşteriler!$A$5:$A$54,0)),0))</f>
        <v/>
      </c>
    </row>
    <row r="1343" customFormat="false" ht="15" hidden="false" customHeight="false" outlineLevel="0" collapsed="false">
      <c r="A1343" s="12"/>
      <c r="B1343" s="13"/>
      <c r="C1343" s="14"/>
      <c r="D1343" s="14"/>
      <c r="E1343" s="15"/>
      <c r="F1343" s="13"/>
      <c r="G1343" s="16" t="str">
        <f aca="false">IF(OR(B1343="",E1343=""),"",E1343*IFERROR(INDEX(Müşteriler!$B$5:$B$54,MATCH(B1343,Müşteriler!$A$5:$A$54,0)),0))</f>
        <v/>
      </c>
    </row>
    <row r="1344" customFormat="false" ht="15" hidden="false" customHeight="false" outlineLevel="0" collapsed="false">
      <c r="A1344" s="12"/>
      <c r="B1344" s="13"/>
      <c r="C1344" s="14"/>
      <c r="D1344" s="14"/>
      <c r="E1344" s="15"/>
      <c r="F1344" s="13"/>
      <c r="G1344" s="16" t="str">
        <f aca="false">IF(OR(B1344="",E1344=""),"",E1344*IFERROR(INDEX(Müşteriler!$B$5:$B$54,MATCH(B1344,Müşteriler!$A$5:$A$54,0)),0))</f>
        <v/>
      </c>
    </row>
    <row r="1345" customFormat="false" ht="15" hidden="false" customHeight="false" outlineLevel="0" collapsed="false">
      <c r="A1345" s="12"/>
      <c r="B1345" s="13"/>
      <c r="C1345" s="14"/>
      <c r="D1345" s="14"/>
      <c r="E1345" s="15"/>
      <c r="F1345" s="13"/>
      <c r="G1345" s="16" t="str">
        <f aca="false">IF(OR(B1345="",E1345=""),"",E1345*IFERROR(INDEX(Müşteriler!$B$5:$B$54,MATCH(B1345,Müşteriler!$A$5:$A$54,0)),0))</f>
        <v/>
      </c>
    </row>
    <row r="1346" customFormat="false" ht="15" hidden="false" customHeight="false" outlineLevel="0" collapsed="false">
      <c r="A1346" s="12"/>
      <c r="B1346" s="13"/>
      <c r="C1346" s="14"/>
      <c r="D1346" s="14"/>
      <c r="E1346" s="15"/>
      <c r="F1346" s="13"/>
      <c r="G1346" s="16" t="str">
        <f aca="false">IF(OR(B1346="",E1346=""),"",E1346*IFERROR(INDEX(Müşteriler!$B$5:$B$54,MATCH(B1346,Müşteriler!$A$5:$A$54,0)),0))</f>
        <v/>
      </c>
    </row>
    <row r="1347" customFormat="false" ht="15" hidden="false" customHeight="false" outlineLevel="0" collapsed="false">
      <c r="A1347" s="12"/>
      <c r="B1347" s="13"/>
      <c r="C1347" s="14"/>
      <c r="D1347" s="14"/>
      <c r="E1347" s="15"/>
      <c r="F1347" s="13"/>
      <c r="G1347" s="16" t="str">
        <f aca="false">IF(OR(B1347="",E1347=""),"",E1347*IFERROR(INDEX(Müşteriler!$B$5:$B$54,MATCH(B1347,Müşteriler!$A$5:$A$54,0)),0))</f>
        <v/>
      </c>
    </row>
    <row r="1348" customFormat="false" ht="15" hidden="false" customHeight="false" outlineLevel="0" collapsed="false">
      <c r="A1348" s="12"/>
      <c r="B1348" s="13"/>
      <c r="C1348" s="14"/>
      <c r="D1348" s="14"/>
      <c r="E1348" s="15"/>
      <c r="F1348" s="13"/>
      <c r="G1348" s="16" t="str">
        <f aca="false">IF(OR(B1348="",E1348=""),"",E1348*IFERROR(INDEX(Müşteriler!$B$5:$B$54,MATCH(B1348,Müşteriler!$A$5:$A$54,0)),0))</f>
        <v/>
      </c>
    </row>
    <row r="1349" customFormat="false" ht="15" hidden="false" customHeight="false" outlineLevel="0" collapsed="false">
      <c r="A1349" s="12"/>
      <c r="B1349" s="13"/>
      <c r="C1349" s="14"/>
      <c r="D1349" s="14"/>
      <c r="E1349" s="15"/>
      <c r="F1349" s="13"/>
      <c r="G1349" s="16" t="str">
        <f aca="false">IF(OR(B1349="",E1349=""),"",E1349*IFERROR(INDEX(Müşteriler!$B$5:$B$54,MATCH(B1349,Müşteriler!$A$5:$A$54,0)),0))</f>
        <v/>
      </c>
    </row>
    <row r="1350" customFormat="false" ht="15" hidden="false" customHeight="false" outlineLevel="0" collapsed="false">
      <c r="A1350" s="12"/>
      <c r="B1350" s="13"/>
      <c r="C1350" s="14"/>
      <c r="D1350" s="14"/>
      <c r="E1350" s="15"/>
      <c r="F1350" s="13"/>
      <c r="G1350" s="16" t="str">
        <f aca="false">IF(OR(B1350="",E1350=""),"",E1350*IFERROR(INDEX(Müşteriler!$B$5:$B$54,MATCH(B1350,Müşteriler!$A$5:$A$54,0)),0))</f>
        <v/>
      </c>
    </row>
    <row r="1351" customFormat="false" ht="15" hidden="false" customHeight="false" outlineLevel="0" collapsed="false">
      <c r="A1351" s="12"/>
      <c r="B1351" s="13"/>
      <c r="C1351" s="14"/>
      <c r="D1351" s="14"/>
      <c r="E1351" s="15"/>
      <c r="F1351" s="13"/>
      <c r="G1351" s="16" t="str">
        <f aca="false">IF(OR(B1351="",E1351=""),"",E1351*IFERROR(INDEX(Müşteriler!$B$5:$B$54,MATCH(B1351,Müşteriler!$A$5:$A$54,0)),0))</f>
        <v/>
      </c>
    </row>
    <row r="1352" customFormat="false" ht="15" hidden="false" customHeight="false" outlineLevel="0" collapsed="false">
      <c r="A1352" s="12"/>
      <c r="B1352" s="13"/>
      <c r="C1352" s="14"/>
      <c r="D1352" s="14"/>
      <c r="E1352" s="15"/>
      <c r="F1352" s="13"/>
      <c r="G1352" s="16" t="str">
        <f aca="false">IF(OR(B1352="",E1352=""),"",E1352*IFERROR(INDEX(Müşteriler!$B$5:$B$54,MATCH(B1352,Müşteriler!$A$5:$A$54,0)),0))</f>
        <v/>
      </c>
    </row>
    <row r="1353" customFormat="false" ht="15" hidden="false" customHeight="false" outlineLevel="0" collapsed="false">
      <c r="A1353" s="12"/>
      <c r="B1353" s="13"/>
      <c r="C1353" s="14"/>
      <c r="D1353" s="14"/>
      <c r="E1353" s="15"/>
      <c r="F1353" s="13"/>
      <c r="G1353" s="16" t="str">
        <f aca="false">IF(OR(B1353="",E1353=""),"",E1353*IFERROR(INDEX(Müşteriler!$B$5:$B$54,MATCH(B1353,Müşteriler!$A$5:$A$54,0)),0))</f>
        <v/>
      </c>
    </row>
    <row r="1354" customFormat="false" ht="15" hidden="false" customHeight="false" outlineLevel="0" collapsed="false">
      <c r="A1354" s="12"/>
      <c r="B1354" s="13"/>
      <c r="C1354" s="14"/>
      <c r="D1354" s="14"/>
      <c r="E1354" s="15"/>
      <c r="F1354" s="13"/>
      <c r="G1354" s="16" t="str">
        <f aca="false">IF(OR(B1354="",E1354=""),"",E1354*IFERROR(INDEX(Müşteriler!$B$5:$B$54,MATCH(B1354,Müşteriler!$A$5:$A$54,0)),0))</f>
        <v/>
      </c>
    </row>
    <row r="1355" customFormat="false" ht="15" hidden="false" customHeight="false" outlineLevel="0" collapsed="false">
      <c r="A1355" s="12"/>
      <c r="B1355" s="13"/>
      <c r="C1355" s="14"/>
      <c r="D1355" s="14"/>
      <c r="E1355" s="15"/>
      <c r="F1355" s="13"/>
      <c r="G1355" s="16" t="str">
        <f aca="false">IF(OR(B1355="",E1355=""),"",E1355*IFERROR(INDEX(Müşteriler!$B$5:$B$54,MATCH(B1355,Müşteriler!$A$5:$A$54,0)),0))</f>
        <v/>
      </c>
    </row>
    <row r="1356" customFormat="false" ht="15" hidden="false" customHeight="false" outlineLevel="0" collapsed="false">
      <c r="A1356" s="12"/>
      <c r="B1356" s="13"/>
      <c r="C1356" s="14"/>
      <c r="D1356" s="14"/>
      <c r="E1356" s="15"/>
      <c r="F1356" s="13"/>
      <c r="G1356" s="16" t="str">
        <f aca="false">IF(OR(B1356="",E1356=""),"",E1356*IFERROR(INDEX(Müşteriler!$B$5:$B$54,MATCH(B1356,Müşteriler!$A$5:$A$54,0)),0))</f>
        <v/>
      </c>
    </row>
    <row r="1357" customFormat="false" ht="15" hidden="false" customHeight="false" outlineLevel="0" collapsed="false">
      <c r="A1357" s="12"/>
      <c r="B1357" s="13"/>
      <c r="C1357" s="14"/>
      <c r="D1357" s="14"/>
      <c r="E1357" s="15"/>
      <c r="F1357" s="13"/>
      <c r="G1357" s="16" t="str">
        <f aca="false">IF(OR(B1357="",E1357=""),"",E1357*IFERROR(INDEX(Müşteriler!$B$5:$B$54,MATCH(B1357,Müşteriler!$A$5:$A$54,0)),0))</f>
        <v/>
      </c>
    </row>
    <row r="1358" customFormat="false" ht="15" hidden="false" customHeight="false" outlineLevel="0" collapsed="false">
      <c r="A1358" s="12"/>
      <c r="B1358" s="13"/>
      <c r="C1358" s="14"/>
      <c r="D1358" s="14"/>
      <c r="E1358" s="15"/>
      <c r="F1358" s="13"/>
      <c r="G1358" s="16" t="str">
        <f aca="false">IF(OR(B1358="",E1358=""),"",E1358*IFERROR(INDEX(Müşteriler!$B$5:$B$54,MATCH(B1358,Müşteriler!$A$5:$A$54,0)),0))</f>
        <v/>
      </c>
    </row>
    <row r="1359" customFormat="false" ht="15" hidden="false" customHeight="false" outlineLevel="0" collapsed="false">
      <c r="A1359" s="12"/>
      <c r="B1359" s="13"/>
      <c r="C1359" s="14"/>
      <c r="D1359" s="14"/>
      <c r="E1359" s="15"/>
      <c r="F1359" s="13"/>
      <c r="G1359" s="16" t="str">
        <f aca="false">IF(OR(B1359="",E1359=""),"",E1359*IFERROR(INDEX(Müşteriler!$B$5:$B$54,MATCH(B1359,Müşteriler!$A$5:$A$54,0)),0))</f>
        <v/>
      </c>
    </row>
    <row r="1360" customFormat="false" ht="15" hidden="false" customHeight="false" outlineLevel="0" collapsed="false">
      <c r="A1360" s="12"/>
      <c r="B1360" s="13"/>
      <c r="C1360" s="14"/>
      <c r="D1360" s="14"/>
      <c r="E1360" s="15"/>
      <c r="F1360" s="13"/>
      <c r="G1360" s="16" t="str">
        <f aca="false">IF(OR(B1360="",E1360=""),"",E1360*IFERROR(INDEX(Müşteriler!$B$5:$B$54,MATCH(B1360,Müşteriler!$A$5:$A$54,0)),0))</f>
        <v/>
      </c>
    </row>
    <row r="1361" customFormat="false" ht="15" hidden="false" customHeight="false" outlineLevel="0" collapsed="false">
      <c r="A1361" s="12"/>
      <c r="B1361" s="13"/>
      <c r="C1361" s="14"/>
      <c r="D1361" s="14"/>
      <c r="E1361" s="15"/>
      <c r="F1361" s="13"/>
      <c r="G1361" s="16" t="str">
        <f aca="false">IF(OR(B1361="",E1361=""),"",E1361*IFERROR(INDEX(Müşteriler!$B$5:$B$54,MATCH(B1361,Müşteriler!$A$5:$A$54,0)),0))</f>
        <v/>
      </c>
    </row>
    <row r="1362" customFormat="false" ht="15" hidden="false" customHeight="false" outlineLevel="0" collapsed="false">
      <c r="A1362" s="12"/>
      <c r="B1362" s="13"/>
      <c r="C1362" s="14"/>
      <c r="D1362" s="14"/>
      <c r="E1362" s="15"/>
      <c r="F1362" s="13"/>
      <c r="G1362" s="16" t="str">
        <f aca="false">IF(OR(B1362="",E1362=""),"",E1362*IFERROR(INDEX(Müşteriler!$B$5:$B$54,MATCH(B1362,Müşteriler!$A$5:$A$54,0)),0))</f>
        <v/>
      </c>
    </row>
    <row r="1363" customFormat="false" ht="15" hidden="false" customHeight="false" outlineLevel="0" collapsed="false">
      <c r="A1363" s="12"/>
      <c r="B1363" s="13"/>
      <c r="C1363" s="14"/>
      <c r="D1363" s="14"/>
      <c r="E1363" s="15"/>
      <c r="F1363" s="13"/>
      <c r="G1363" s="16" t="str">
        <f aca="false">IF(OR(B1363="",E1363=""),"",E1363*IFERROR(INDEX(Müşteriler!$B$5:$B$54,MATCH(B1363,Müşteriler!$A$5:$A$54,0)),0))</f>
        <v/>
      </c>
    </row>
    <row r="1364" customFormat="false" ht="15" hidden="false" customHeight="false" outlineLevel="0" collapsed="false">
      <c r="A1364" s="12"/>
      <c r="B1364" s="13"/>
      <c r="C1364" s="14"/>
      <c r="D1364" s="14"/>
      <c r="E1364" s="15"/>
      <c r="F1364" s="13"/>
      <c r="G1364" s="16" t="str">
        <f aca="false">IF(OR(B1364="",E1364=""),"",E1364*IFERROR(INDEX(Müşteriler!$B$5:$B$54,MATCH(B1364,Müşteriler!$A$5:$A$54,0)),0))</f>
        <v/>
      </c>
    </row>
    <row r="1365" customFormat="false" ht="15" hidden="false" customHeight="false" outlineLevel="0" collapsed="false">
      <c r="A1365" s="12"/>
      <c r="B1365" s="13"/>
      <c r="C1365" s="14"/>
      <c r="D1365" s="14"/>
      <c r="E1365" s="15"/>
      <c r="F1365" s="13"/>
      <c r="G1365" s="16" t="str">
        <f aca="false">IF(OR(B1365="",E1365=""),"",E1365*IFERROR(INDEX(Müşteriler!$B$5:$B$54,MATCH(B1365,Müşteriler!$A$5:$A$54,0)),0))</f>
        <v/>
      </c>
    </row>
    <row r="1366" customFormat="false" ht="15" hidden="false" customHeight="false" outlineLevel="0" collapsed="false">
      <c r="A1366" s="12"/>
      <c r="B1366" s="13"/>
      <c r="C1366" s="14"/>
      <c r="D1366" s="14"/>
      <c r="E1366" s="15"/>
      <c r="F1366" s="13"/>
      <c r="G1366" s="16" t="str">
        <f aca="false">IF(OR(B1366="",E1366=""),"",E1366*IFERROR(INDEX(Müşteriler!$B$5:$B$54,MATCH(B1366,Müşteriler!$A$5:$A$54,0)),0))</f>
        <v/>
      </c>
    </row>
    <row r="1367" customFormat="false" ht="15" hidden="false" customHeight="false" outlineLevel="0" collapsed="false">
      <c r="A1367" s="12"/>
      <c r="B1367" s="13"/>
      <c r="C1367" s="14"/>
      <c r="D1367" s="14"/>
      <c r="E1367" s="15"/>
      <c r="F1367" s="13"/>
      <c r="G1367" s="16" t="str">
        <f aca="false">IF(OR(B1367="",E1367=""),"",E1367*IFERROR(INDEX(Müşteriler!$B$5:$B$54,MATCH(B1367,Müşteriler!$A$5:$A$54,0)),0))</f>
        <v/>
      </c>
    </row>
    <row r="1368" customFormat="false" ht="15" hidden="false" customHeight="false" outlineLevel="0" collapsed="false">
      <c r="A1368" s="12"/>
      <c r="B1368" s="13"/>
      <c r="C1368" s="14"/>
      <c r="D1368" s="14"/>
      <c r="E1368" s="15"/>
      <c r="F1368" s="13"/>
      <c r="G1368" s="16" t="str">
        <f aca="false">IF(OR(B1368="",E1368=""),"",E1368*IFERROR(INDEX(Müşteriler!$B$5:$B$54,MATCH(B1368,Müşteriler!$A$5:$A$54,0)),0))</f>
        <v/>
      </c>
    </row>
    <row r="1369" customFormat="false" ht="15" hidden="false" customHeight="false" outlineLevel="0" collapsed="false">
      <c r="A1369" s="12"/>
      <c r="B1369" s="13"/>
      <c r="C1369" s="14"/>
      <c r="D1369" s="14"/>
      <c r="E1369" s="15"/>
      <c r="F1369" s="13"/>
      <c r="G1369" s="16" t="str">
        <f aca="false">IF(OR(B1369="",E1369=""),"",E1369*IFERROR(INDEX(Müşteriler!$B$5:$B$54,MATCH(B1369,Müşteriler!$A$5:$A$54,0)),0))</f>
        <v/>
      </c>
    </row>
    <row r="1370" customFormat="false" ht="15" hidden="false" customHeight="false" outlineLevel="0" collapsed="false">
      <c r="A1370" s="12"/>
      <c r="B1370" s="13"/>
      <c r="C1370" s="14"/>
      <c r="D1370" s="14"/>
      <c r="E1370" s="15"/>
      <c r="F1370" s="13"/>
      <c r="G1370" s="16" t="str">
        <f aca="false">IF(OR(B1370="",E1370=""),"",E1370*IFERROR(INDEX(Müşteriler!$B$5:$B$54,MATCH(B1370,Müşteriler!$A$5:$A$54,0)),0))</f>
        <v/>
      </c>
    </row>
    <row r="1371" customFormat="false" ht="15" hidden="false" customHeight="false" outlineLevel="0" collapsed="false">
      <c r="A1371" s="12"/>
      <c r="B1371" s="13"/>
      <c r="C1371" s="14"/>
      <c r="D1371" s="14"/>
      <c r="E1371" s="15"/>
      <c r="F1371" s="13"/>
      <c r="G1371" s="16" t="str">
        <f aca="false">IF(OR(B1371="",E1371=""),"",E1371*IFERROR(INDEX(Müşteriler!$B$5:$B$54,MATCH(B1371,Müşteriler!$A$5:$A$54,0)),0))</f>
        <v/>
      </c>
    </row>
    <row r="1372" customFormat="false" ht="15" hidden="false" customHeight="false" outlineLevel="0" collapsed="false">
      <c r="A1372" s="12"/>
      <c r="B1372" s="13"/>
      <c r="C1372" s="14"/>
      <c r="D1372" s="14"/>
      <c r="E1372" s="15"/>
      <c r="F1372" s="13"/>
      <c r="G1372" s="16" t="str">
        <f aca="false">IF(OR(B1372="",E1372=""),"",E1372*IFERROR(INDEX(Müşteriler!$B$5:$B$54,MATCH(B1372,Müşteriler!$A$5:$A$54,0)),0))</f>
        <v/>
      </c>
    </row>
    <row r="1373" customFormat="false" ht="15" hidden="false" customHeight="false" outlineLevel="0" collapsed="false">
      <c r="A1373" s="12"/>
      <c r="B1373" s="13"/>
      <c r="C1373" s="14"/>
      <c r="D1373" s="14"/>
      <c r="E1373" s="15"/>
      <c r="F1373" s="13"/>
      <c r="G1373" s="16" t="str">
        <f aca="false">IF(OR(B1373="",E1373=""),"",E1373*IFERROR(INDEX(Müşteriler!$B$5:$B$54,MATCH(B1373,Müşteriler!$A$5:$A$54,0)),0))</f>
        <v/>
      </c>
    </row>
    <row r="1374" customFormat="false" ht="15" hidden="false" customHeight="false" outlineLevel="0" collapsed="false">
      <c r="A1374" s="12"/>
      <c r="B1374" s="13"/>
      <c r="C1374" s="14"/>
      <c r="D1374" s="14"/>
      <c r="E1374" s="15"/>
      <c r="F1374" s="13"/>
      <c r="G1374" s="16" t="str">
        <f aca="false">IF(OR(B1374="",E1374=""),"",E1374*IFERROR(INDEX(Müşteriler!$B$5:$B$54,MATCH(B1374,Müşteriler!$A$5:$A$54,0)),0))</f>
        <v/>
      </c>
    </row>
    <row r="1375" customFormat="false" ht="15" hidden="false" customHeight="false" outlineLevel="0" collapsed="false">
      <c r="A1375" s="12"/>
      <c r="B1375" s="13"/>
      <c r="C1375" s="14"/>
      <c r="D1375" s="14"/>
      <c r="E1375" s="15"/>
      <c r="F1375" s="13"/>
      <c r="G1375" s="16" t="str">
        <f aca="false">IF(OR(B1375="",E1375=""),"",E1375*IFERROR(INDEX(Müşteriler!$B$5:$B$54,MATCH(B1375,Müşteriler!$A$5:$A$54,0)),0))</f>
        <v/>
      </c>
    </row>
    <row r="1376" customFormat="false" ht="15" hidden="false" customHeight="false" outlineLevel="0" collapsed="false">
      <c r="A1376" s="12"/>
      <c r="B1376" s="13"/>
      <c r="C1376" s="14"/>
      <c r="D1376" s="14"/>
      <c r="E1376" s="15"/>
      <c r="F1376" s="13"/>
      <c r="G1376" s="16" t="str">
        <f aca="false">IF(OR(B1376="",E1376=""),"",E1376*IFERROR(INDEX(Müşteriler!$B$5:$B$54,MATCH(B1376,Müşteriler!$A$5:$A$54,0)),0))</f>
        <v/>
      </c>
    </row>
    <row r="1377" customFormat="false" ht="15" hidden="false" customHeight="false" outlineLevel="0" collapsed="false">
      <c r="A1377" s="12"/>
      <c r="B1377" s="13"/>
      <c r="C1377" s="14"/>
      <c r="D1377" s="14"/>
      <c r="E1377" s="15"/>
      <c r="F1377" s="13"/>
      <c r="G1377" s="16" t="str">
        <f aca="false">IF(OR(B1377="",E1377=""),"",E1377*IFERROR(INDEX(Müşteriler!$B$5:$B$54,MATCH(B1377,Müşteriler!$A$5:$A$54,0)),0))</f>
        <v/>
      </c>
    </row>
    <row r="1378" customFormat="false" ht="15" hidden="false" customHeight="false" outlineLevel="0" collapsed="false">
      <c r="A1378" s="12"/>
      <c r="B1378" s="13"/>
      <c r="C1378" s="14"/>
      <c r="D1378" s="14"/>
      <c r="E1378" s="15"/>
      <c r="F1378" s="13"/>
      <c r="G1378" s="16" t="str">
        <f aca="false">IF(OR(B1378="",E1378=""),"",E1378*IFERROR(INDEX(Müşteriler!$B$5:$B$54,MATCH(B1378,Müşteriler!$A$5:$A$54,0)),0))</f>
        <v/>
      </c>
    </row>
    <row r="1379" customFormat="false" ht="15" hidden="false" customHeight="false" outlineLevel="0" collapsed="false">
      <c r="A1379" s="12"/>
      <c r="B1379" s="13"/>
      <c r="C1379" s="14"/>
      <c r="D1379" s="14"/>
      <c r="E1379" s="15"/>
      <c r="F1379" s="13"/>
      <c r="G1379" s="16" t="str">
        <f aca="false">IF(OR(B1379="",E1379=""),"",E1379*IFERROR(INDEX(Müşteriler!$B$5:$B$54,MATCH(B1379,Müşteriler!$A$5:$A$54,0)),0))</f>
        <v/>
      </c>
    </row>
    <row r="1380" customFormat="false" ht="15" hidden="false" customHeight="false" outlineLevel="0" collapsed="false">
      <c r="A1380" s="12"/>
      <c r="B1380" s="13"/>
      <c r="C1380" s="14"/>
      <c r="D1380" s="14"/>
      <c r="E1380" s="15"/>
      <c r="F1380" s="13"/>
      <c r="G1380" s="16" t="str">
        <f aca="false">IF(OR(B1380="",E1380=""),"",E1380*IFERROR(INDEX(Müşteriler!$B$5:$B$54,MATCH(B1380,Müşteriler!$A$5:$A$54,0)),0))</f>
        <v/>
      </c>
    </row>
    <row r="1381" customFormat="false" ht="15" hidden="false" customHeight="false" outlineLevel="0" collapsed="false">
      <c r="A1381" s="12"/>
      <c r="B1381" s="13"/>
      <c r="C1381" s="14"/>
      <c r="D1381" s="14"/>
      <c r="E1381" s="15"/>
      <c r="F1381" s="13"/>
      <c r="G1381" s="16" t="str">
        <f aca="false">IF(OR(B1381="",E1381=""),"",E1381*IFERROR(INDEX(Müşteriler!$B$5:$B$54,MATCH(B1381,Müşteriler!$A$5:$A$54,0)),0))</f>
        <v/>
      </c>
    </row>
    <row r="1382" customFormat="false" ht="15" hidden="false" customHeight="false" outlineLevel="0" collapsed="false">
      <c r="A1382" s="12"/>
      <c r="B1382" s="13"/>
      <c r="C1382" s="14"/>
      <c r="D1382" s="14"/>
      <c r="E1382" s="15"/>
      <c r="F1382" s="13"/>
      <c r="G1382" s="16" t="str">
        <f aca="false">IF(OR(B1382="",E1382=""),"",E1382*IFERROR(INDEX(Müşteriler!$B$5:$B$54,MATCH(B1382,Müşteriler!$A$5:$A$54,0)),0))</f>
        <v/>
      </c>
    </row>
    <row r="1383" customFormat="false" ht="15" hidden="false" customHeight="false" outlineLevel="0" collapsed="false">
      <c r="A1383" s="12"/>
      <c r="B1383" s="13"/>
      <c r="C1383" s="14"/>
      <c r="D1383" s="14"/>
      <c r="E1383" s="15"/>
      <c r="F1383" s="13"/>
      <c r="G1383" s="16" t="str">
        <f aca="false">IF(OR(B1383="",E1383=""),"",E1383*IFERROR(INDEX(Müşteriler!$B$5:$B$54,MATCH(B1383,Müşteriler!$A$5:$A$54,0)),0))</f>
        <v/>
      </c>
    </row>
    <row r="1384" customFormat="false" ht="15" hidden="false" customHeight="false" outlineLevel="0" collapsed="false">
      <c r="A1384" s="12"/>
      <c r="B1384" s="13"/>
      <c r="C1384" s="14"/>
      <c r="D1384" s="14"/>
      <c r="E1384" s="15"/>
      <c r="F1384" s="13"/>
      <c r="G1384" s="16" t="str">
        <f aca="false">IF(OR(B1384="",E1384=""),"",E1384*IFERROR(INDEX(Müşteriler!$B$5:$B$54,MATCH(B1384,Müşteriler!$A$5:$A$54,0)),0))</f>
        <v/>
      </c>
    </row>
    <row r="1385" customFormat="false" ht="15" hidden="false" customHeight="false" outlineLevel="0" collapsed="false">
      <c r="A1385" s="12"/>
      <c r="B1385" s="13"/>
      <c r="C1385" s="14"/>
      <c r="D1385" s="14"/>
      <c r="E1385" s="15"/>
      <c r="F1385" s="13"/>
      <c r="G1385" s="16" t="str">
        <f aca="false">IF(OR(B1385="",E1385=""),"",E1385*IFERROR(INDEX(Müşteriler!$B$5:$B$54,MATCH(B1385,Müşteriler!$A$5:$A$54,0)),0))</f>
        <v/>
      </c>
    </row>
    <row r="1386" customFormat="false" ht="15" hidden="false" customHeight="false" outlineLevel="0" collapsed="false">
      <c r="A1386" s="12"/>
      <c r="B1386" s="13"/>
      <c r="C1386" s="14"/>
      <c r="D1386" s="14"/>
      <c r="E1386" s="15"/>
      <c r="F1386" s="13"/>
      <c r="G1386" s="16" t="str">
        <f aca="false">IF(OR(B1386="",E1386=""),"",E1386*IFERROR(INDEX(Müşteriler!$B$5:$B$54,MATCH(B1386,Müşteriler!$A$5:$A$54,0)),0))</f>
        <v/>
      </c>
    </row>
    <row r="1387" customFormat="false" ht="15" hidden="false" customHeight="false" outlineLevel="0" collapsed="false">
      <c r="A1387" s="12"/>
      <c r="B1387" s="13"/>
      <c r="C1387" s="14"/>
      <c r="D1387" s="14"/>
      <c r="E1387" s="15"/>
      <c r="F1387" s="13"/>
      <c r="G1387" s="16" t="str">
        <f aca="false">IF(OR(B1387="",E1387=""),"",E1387*IFERROR(INDEX(Müşteriler!$B$5:$B$54,MATCH(B1387,Müşteriler!$A$5:$A$54,0)),0))</f>
        <v/>
      </c>
    </row>
    <row r="1388" customFormat="false" ht="15" hidden="false" customHeight="false" outlineLevel="0" collapsed="false">
      <c r="A1388" s="12"/>
      <c r="B1388" s="13"/>
      <c r="C1388" s="14"/>
      <c r="D1388" s="14"/>
      <c r="E1388" s="15"/>
      <c r="F1388" s="13"/>
      <c r="G1388" s="16" t="str">
        <f aca="false">IF(OR(B1388="",E1388=""),"",E1388*IFERROR(INDEX(Müşteriler!$B$5:$B$54,MATCH(B1388,Müşteriler!$A$5:$A$54,0)),0))</f>
        <v/>
      </c>
    </row>
    <row r="1389" customFormat="false" ht="15" hidden="false" customHeight="false" outlineLevel="0" collapsed="false">
      <c r="A1389" s="12"/>
      <c r="B1389" s="13"/>
      <c r="C1389" s="14"/>
      <c r="D1389" s="14"/>
      <c r="E1389" s="15"/>
      <c r="F1389" s="13"/>
      <c r="G1389" s="16" t="str">
        <f aca="false">IF(OR(B1389="",E1389=""),"",E1389*IFERROR(INDEX(Müşteriler!$B$5:$B$54,MATCH(B1389,Müşteriler!$A$5:$A$54,0)),0))</f>
        <v/>
      </c>
    </row>
    <row r="1390" customFormat="false" ht="15" hidden="false" customHeight="false" outlineLevel="0" collapsed="false">
      <c r="A1390" s="12"/>
      <c r="B1390" s="13"/>
      <c r="C1390" s="14"/>
      <c r="D1390" s="14"/>
      <c r="E1390" s="15"/>
      <c r="F1390" s="13"/>
      <c r="G1390" s="16" t="str">
        <f aca="false">IF(OR(B1390="",E1390=""),"",E1390*IFERROR(INDEX(Müşteriler!$B$5:$B$54,MATCH(B1390,Müşteriler!$A$5:$A$54,0)),0))</f>
        <v/>
      </c>
    </row>
    <row r="1391" customFormat="false" ht="15" hidden="false" customHeight="false" outlineLevel="0" collapsed="false">
      <c r="A1391" s="12"/>
      <c r="B1391" s="13"/>
      <c r="C1391" s="14"/>
      <c r="D1391" s="14"/>
      <c r="E1391" s="15"/>
      <c r="F1391" s="13"/>
      <c r="G1391" s="16" t="str">
        <f aca="false">IF(OR(B1391="",E1391=""),"",E1391*IFERROR(INDEX(Müşteriler!$B$5:$B$54,MATCH(B1391,Müşteriler!$A$5:$A$54,0)),0))</f>
        <v/>
      </c>
    </row>
    <row r="1392" customFormat="false" ht="15" hidden="false" customHeight="false" outlineLevel="0" collapsed="false">
      <c r="A1392" s="12"/>
      <c r="B1392" s="13"/>
      <c r="C1392" s="14"/>
      <c r="D1392" s="14"/>
      <c r="E1392" s="15"/>
      <c r="F1392" s="13"/>
      <c r="G1392" s="16" t="str">
        <f aca="false">IF(OR(B1392="",E1392=""),"",E1392*IFERROR(INDEX(Müşteriler!$B$5:$B$54,MATCH(B1392,Müşteriler!$A$5:$A$54,0)),0))</f>
        <v/>
      </c>
    </row>
    <row r="1393" customFormat="false" ht="15" hidden="false" customHeight="false" outlineLevel="0" collapsed="false">
      <c r="A1393" s="12"/>
      <c r="B1393" s="13"/>
      <c r="C1393" s="14"/>
      <c r="D1393" s="14"/>
      <c r="E1393" s="15"/>
      <c r="F1393" s="13"/>
      <c r="G1393" s="16" t="str">
        <f aca="false">IF(OR(B1393="",E1393=""),"",E1393*IFERROR(INDEX(Müşteriler!$B$5:$B$54,MATCH(B1393,Müşteriler!$A$5:$A$54,0)),0))</f>
        <v/>
      </c>
    </row>
    <row r="1394" customFormat="false" ht="15" hidden="false" customHeight="false" outlineLevel="0" collapsed="false">
      <c r="A1394" s="12"/>
      <c r="B1394" s="13"/>
      <c r="C1394" s="14"/>
      <c r="D1394" s="14"/>
      <c r="E1394" s="15"/>
      <c r="F1394" s="13"/>
      <c r="G1394" s="16" t="str">
        <f aca="false">IF(OR(B1394="",E1394=""),"",E1394*IFERROR(INDEX(Müşteriler!$B$5:$B$54,MATCH(B1394,Müşteriler!$A$5:$A$54,0)),0))</f>
        <v/>
      </c>
    </row>
    <row r="1395" customFormat="false" ht="15" hidden="false" customHeight="false" outlineLevel="0" collapsed="false">
      <c r="A1395" s="12"/>
      <c r="B1395" s="13"/>
      <c r="C1395" s="14"/>
      <c r="D1395" s="14"/>
      <c r="E1395" s="15"/>
      <c r="F1395" s="13"/>
      <c r="G1395" s="16" t="str">
        <f aca="false">IF(OR(B1395="",E1395=""),"",E1395*IFERROR(INDEX(Müşteriler!$B$5:$B$54,MATCH(B1395,Müşteriler!$A$5:$A$54,0)),0))</f>
        <v/>
      </c>
    </row>
    <row r="1396" customFormat="false" ht="15" hidden="false" customHeight="false" outlineLevel="0" collapsed="false">
      <c r="A1396" s="12"/>
      <c r="B1396" s="13"/>
      <c r="C1396" s="14"/>
      <c r="D1396" s="14"/>
      <c r="E1396" s="15"/>
      <c r="F1396" s="13"/>
      <c r="G1396" s="16" t="str">
        <f aca="false">IF(OR(B1396="",E1396=""),"",E1396*IFERROR(INDEX(Müşteriler!$B$5:$B$54,MATCH(B1396,Müşteriler!$A$5:$A$54,0)),0))</f>
        <v/>
      </c>
    </row>
    <row r="1397" customFormat="false" ht="15" hidden="false" customHeight="false" outlineLevel="0" collapsed="false">
      <c r="A1397" s="12"/>
      <c r="B1397" s="13"/>
      <c r="C1397" s="14"/>
      <c r="D1397" s="14"/>
      <c r="E1397" s="15"/>
      <c r="F1397" s="13"/>
      <c r="G1397" s="16" t="str">
        <f aca="false">IF(OR(B1397="",E1397=""),"",E1397*IFERROR(INDEX(Müşteriler!$B$5:$B$54,MATCH(B1397,Müşteriler!$A$5:$A$54,0)),0))</f>
        <v/>
      </c>
    </row>
    <row r="1398" customFormat="false" ht="15" hidden="false" customHeight="false" outlineLevel="0" collapsed="false">
      <c r="A1398" s="12"/>
      <c r="B1398" s="13"/>
      <c r="C1398" s="14"/>
      <c r="D1398" s="14"/>
      <c r="E1398" s="15"/>
      <c r="F1398" s="13"/>
      <c r="G1398" s="16" t="str">
        <f aca="false">IF(OR(B1398="",E1398=""),"",E1398*IFERROR(INDEX(Müşteriler!$B$5:$B$54,MATCH(B1398,Müşteriler!$A$5:$A$54,0)),0))</f>
        <v/>
      </c>
    </row>
    <row r="1399" customFormat="false" ht="15" hidden="false" customHeight="false" outlineLevel="0" collapsed="false">
      <c r="A1399" s="12"/>
      <c r="B1399" s="13"/>
      <c r="C1399" s="14"/>
      <c r="D1399" s="14"/>
      <c r="E1399" s="15"/>
      <c r="F1399" s="13"/>
      <c r="G1399" s="16" t="str">
        <f aca="false">IF(OR(B1399="",E1399=""),"",E1399*IFERROR(INDEX(Müşteriler!$B$5:$B$54,MATCH(B1399,Müşteriler!$A$5:$A$54,0)),0))</f>
        <v/>
      </c>
    </row>
    <row r="1400" customFormat="false" ht="15" hidden="false" customHeight="false" outlineLevel="0" collapsed="false">
      <c r="A1400" s="12"/>
      <c r="B1400" s="13"/>
      <c r="C1400" s="14"/>
      <c r="D1400" s="14"/>
      <c r="E1400" s="15"/>
      <c r="F1400" s="13"/>
      <c r="G1400" s="16" t="str">
        <f aca="false">IF(OR(B1400="",E1400=""),"",E1400*IFERROR(INDEX(Müşteriler!$B$5:$B$54,MATCH(B1400,Müşteriler!$A$5:$A$54,0)),0))</f>
        <v/>
      </c>
    </row>
    <row r="1401" customFormat="false" ht="15" hidden="false" customHeight="false" outlineLevel="0" collapsed="false">
      <c r="A1401" s="12"/>
      <c r="B1401" s="13"/>
      <c r="C1401" s="14"/>
      <c r="D1401" s="14"/>
      <c r="E1401" s="15"/>
      <c r="F1401" s="13"/>
      <c r="G1401" s="16" t="str">
        <f aca="false">IF(OR(B1401="",E1401=""),"",E1401*IFERROR(INDEX(Müşteriler!$B$5:$B$54,MATCH(B1401,Müşteriler!$A$5:$A$54,0)),0))</f>
        <v/>
      </c>
    </row>
    <row r="1402" customFormat="false" ht="15" hidden="false" customHeight="false" outlineLevel="0" collapsed="false">
      <c r="A1402" s="12"/>
      <c r="B1402" s="13"/>
      <c r="C1402" s="14"/>
      <c r="D1402" s="14"/>
      <c r="E1402" s="15"/>
      <c r="F1402" s="13"/>
      <c r="G1402" s="16" t="str">
        <f aca="false">IF(OR(B1402="",E1402=""),"",E1402*IFERROR(INDEX(Müşteriler!$B$5:$B$54,MATCH(B1402,Müşteriler!$A$5:$A$54,0)),0))</f>
        <v/>
      </c>
    </row>
    <row r="1403" customFormat="false" ht="15" hidden="false" customHeight="false" outlineLevel="0" collapsed="false">
      <c r="A1403" s="12"/>
      <c r="B1403" s="13"/>
      <c r="C1403" s="14"/>
      <c r="D1403" s="14"/>
      <c r="E1403" s="15"/>
      <c r="F1403" s="13"/>
      <c r="G1403" s="16" t="str">
        <f aca="false">IF(OR(B1403="",E1403=""),"",E1403*IFERROR(INDEX(Müşteriler!$B$5:$B$54,MATCH(B1403,Müşteriler!$A$5:$A$54,0)),0))</f>
        <v/>
      </c>
    </row>
    <row r="1404" customFormat="false" ht="15" hidden="false" customHeight="false" outlineLevel="0" collapsed="false">
      <c r="A1404" s="12"/>
      <c r="B1404" s="13"/>
      <c r="C1404" s="14"/>
      <c r="D1404" s="14"/>
      <c r="E1404" s="15"/>
      <c r="F1404" s="13"/>
      <c r="G1404" s="16" t="str">
        <f aca="false">IF(OR(B1404="",E1404=""),"",E1404*IFERROR(INDEX(Müşteriler!$B$5:$B$54,MATCH(B1404,Müşteriler!$A$5:$A$54,0)),0))</f>
        <v/>
      </c>
    </row>
    <row r="1405" customFormat="false" ht="15" hidden="false" customHeight="false" outlineLevel="0" collapsed="false">
      <c r="A1405" s="12"/>
      <c r="B1405" s="13"/>
      <c r="C1405" s="14"/>
      <c r="D1405" s="14"/>
      <c r="E1405" s="15"/>
      <c r="F1405" s="13"/>
      <c r="G1405" s="16" t="str">
        <f aca="false">IF(OR(B1405="",E1405=""),"",E1405*IFERROR(INDEX(Müşteriler!$B$5:$B$54,MATCH(B1405,Müşteriler!$A$5:$A$54,0)),0))</f>
        <v/>
      </c>
    </row>
    <row r="1406" customFormat="false" ht="15" hidden="false" customHeight="false" outlineLevel="0" collapsed="false">
      <c r="A1406" s="12"/>
      <c r="B1406" s="13"/>
      <c r="C1406" s="14"/>
      <c r="D1406" s="14"/>
      <c r="E1406" s="15"/>
      <c r="F1406" s="13"/>
      <c r="G1406" s="16" t="str">
        <f aca="false">IF(OR(B1406="",E1406=""),"",E1406*IFERROR(INDEX(Müşteriler!$B$5:$B$54,MATCH(B1406,Müşteriler!$A$5:$A$54,0)),0))</f>
        <v/>
      </c>
    </row>
    <row r="1407" customFormat="false" ht="15" hidden="false" customHeight="false" outlineLevel="0" collapsed="false">
      <c r="A1407" s="12"/>
      <c r="B1407" s="13"/>
      <c r="C1407" s="14"/>
      <c r="D1407" s="14"/>
      <c r="E1407" s="15"/>
      <c r="F1407" s="13"/>
      <c r="G1407" s="16" t="str">
        <f aca="false">IF(OR(B1407="",E1407=""),"",E1407*IFERROR(INDEX(Müşteriler!$B$5:$B$54,MATCH(B1407,Müşteriler!$A$5:$A$54,0)),0))</f>
        <v/>
      </c>
    </row>
    <row r="1408" customFormat="false" ht="15" hidden="false" customHeight="false" outlineLevel="0" collapsed="false">
      <c r="A1408" s="12"/>
      <c r="B1408" s="13"/>
      <c r="C1408" s="14"/>
      <c r="D1408" s="14"/>
      <c r="E1408" s="15"/>
      <c r="F1408" s="13"/>
      <c r="G1408" s="16" t="str">
        <f aca="false">IF(OR(B1408="",E1408=""),"",E1408*IFERROR(INDEX(Müşteriler!$B$5:$B$54,MATCH(B1408,Müşteriler!$A$5:$A$54,0)),0))</f>
        <v/>
      </c>
    </row>
    <row r="1409" customFormat="false" ht="15" hidden="false" customHeight="false" outlineLevel="0" collapsed="false">
      <c r="A1409" s="12"/>
      <c r="B1409" s="13"/>
      <c r="C1409" s="14"/>
      <c r="D1409" s="14"/>
      <c r="E1409" s="15"/>
      <c r="F1409" s="13"/>
      <c r="G1409" s="16" t="str">
        <f aca="false">IF(OR(B1409="",E1409=""),"",E1409*IFERROR(INDEX(Müşteriler!$B$5:$B$54,MATCH(B1409,Müşteriler!$A$5:$A$54,0)),0))</f>
        <v/>
      </c>
    </row>
    <row r="1410" customFormat="false" ht="15" hidden="false" customHeight="false" outlineLevel="0" collapsed="false">
      <c r="A1410" s="12"/>
      <c r="B1410" s="13"/>
      <c r="C1410" s="14"/>
      <c r="D1410" s="14"/>
      <c r="E1410" s="15"/>
      <c r="F1410" s="13"/>
      <c r="G1410" s="16" t="str">
        <f aca="false">IF(OR(B1410="",E1410=""),"",E1410*IFERROR(INDEX(Müşteriler!$B$5:$B$54,MATCH(B1410,Müşteriler!$A$5:$A$54,0)),0))</f>
        <v/>
      </c>
    </row>
    <row r="1411" customFormat="false" ht="15" hidden="false" customHeight="false" outlineLevel="0" collapsed="false">
      <c r="A1411" s="12"/>
      <c r="B1411" s="13"/>
      <c r="C1411" s="14"/>
      <c r="D1411" s="14"/>
      <c r="E1411" s="15"/>
      <c r="F1411" s="13"/>
      <c r="G1411" s="16" t="str">
        <f aca="false">IF(OR(B1411="",E1411=""),"",E1411*IFERROR(INDEX(Müşteriler!$B$5:$B$54,MATCH(B1411,Müşteriler!$A$5:$A$54,0)),0))</f>
        <v/>
      </c>
    </row>
    <row r="1412" customFormat="false" ht="15" hidden="false" customHeight="false" outlineLevel="0" collapsed="false">
      <c r="A1412" s="12"/>
      <c r="B1412" s="13"/>
      <c r="C1412" s="14"/>
      <c r="D1412" s="14"/>
      <c r="E1412" s="15"/>
      <c r="F1412" s="13"/>
      <c r="G1412" s="16" t="str">
        <f aca="false">IF(OR(B1412="",E1412=""),"",E1412*IFERROR(INDEX(Müşteriler!$B$5:$B$54,MATCH(B1412,Müşteriler!$A$5:$A$54,0)),0))</f>
        <v/>
      </c>
    </row>
    <row r="1413" customFormat="false" ht="15" hidden="false" customHeight="false" outlineLevel="0" collapsed="false">
      <c r="A1413" s="12"/>
      <c r="B1413" s="13"/>
      <c r="C1413" s="14"/>
      <c r="D1413" s="14"/>
      <c r="E1413" s="15"/>
      <c r="F1413" s="13"/>
      <c r="G1413" s="16" t="str">
        <f aca="false">IF(OR(B1413="",E1413=""),"",E1413*IFERROR(INDEX(Müşteriler!$B$5:$B$54,MATCH(B1413,Müşteriler!$A$5:$A$54,0)),0))</f>
        <v/>
      </c>
    </row>
    <row r="1414" customFormat="false" ht="15" hidden="false" customHeight="false" outlineLevel="0" collapsed="false">
      <c r="A1414" s="12"/>
      <c r="B1414" s="13"/>
      <c r="C1414" s="14"/>
      <c r="D1414" s="14"/>
      <c r="E1414" s="15"/>
      <c r="F1414" s="13"/>
      <c r="G1414" s="16" t="str">
        <f aca="false">IF(OR(B1414="",E1414=""),"",E1414*IFERROR(INDEX(Müşteriler!$B$5:$B$54,MATCH(B1414,Müşteriler!$A$5:$A$54,0)),0))</f>
        <v/>
      </c>
    </row>
    <row r="1415" customFormat="false" ht="15" hidden="false" customHeight="false" outlineLevel="0" collapsed="false">
      <c r="A1415" s="12"/>
      <c r="B1415" s="13"/>
      <c r="C1415" s="14"/>
      <c r="D1415" s="14"/>
      <c r="E1415" s="15"/>
      <c r="F1415" s="13"/>
      <c r="G1415" s="16" t="str">
        <f aca="false">IF(OR(B1415="",E1415=""),"",E1415*IFERROR(INDEX(Müşteriler!$B$5:$B$54,MATCH(B1415,Müşteriler!$A$5:$A$54,0)),0))</f>
        <v/>
      </c>
    </row>
    <row r="1416" customFormat="false" ht="15" hidden="false" customHeight="false" outlineLevel="0" collapsed="false">
      <c r="A1416" s="12"/>
      <c r="B1416" s="13"/>
      <c r="C1416" s="14"/>
      <c r="D1416" s="14"/>
      <c r="E1416" s="15"/>
      <c r="F1416" s="13"/>
      <c r="G1416" s="16" t="str">
        <f aca="false">IF(OR(B1416="",E1416=""),"",E1416*IFERROR(INDEX(Müşteriler!$B$5:$B$54,MATCH(B1416,Müşteriler!$A$5:$A$54,0)),0))</f>
        <v/>
      </c>
    </row>
    <row r="1417" customFormat="false" ht="15" hidden="false" customHeight="false" outlineLevel="0" collapsed="false">
      <c r="A1417" s="12"/>
      <c r="B1417" s="13"/>
      <c r="C1417" s="14"/>
      <c r="D1417" s="14"/>
      <c r="E1417" s="15"/>
      <c r="F1417" s="13"/>
      <c r="G1417" s="16" t="str">
        <f aca="false">IF(OR(B1417="",E1417=""),"",E1417*IFERROR(INDEX(Müşteriler!$B$5:$B$54,MATCH(B1417,Müşteriler!$A$5:$A$54,0)),0))</f>
        <v/>
      </c>
    </row>
    <row r="1418" customFormat="false" ht="15" hidden="false" customHeight="false" outlineLevel="0" collapsed="false">
      <c r="A1418" s="12"/>
      <c r="B1418" s="13"/>
      <c r="C1418" s="14"/>
      <c r="D1418" s="14"/>
      <c r="E1418" s="15"/>
      <c r="F1418" s="13"/>
      <c r="G1418" s="16" t="str">
        <f aca="false">IF(OR(B1418="",E1418=""),"",E1418*IFERROR(INDEX(Müşteriler!$B$5:$B$54,MATCH(B1418,Müşteriler!$A$5:$A$54,0)),0))</f>
        <v/>
      </c>
    </row>
    <row r="1419" customFormat="false" ht="15" hidden="false" customHeight="false" outlineLevel="0" collapsed="false">
      <c r="A1419" s="12"/>
      <c r="B1419" s="13"/>
      <c r="C1419" s="14"/>
      <c r="D1419" s="14"/>
      <c r="E1419" s="15"/>
      <c r="F1419" s="13"/>
      <c r="G1419" s="16" t="str">
        <f aca="false">IF(OR(B1419="",E1419=""),"",E1419*IFERROR(INDEX(Müşteriler!$B$5:$B$54,MATCH(B1419,Müşteriler!$A$5:$A$54,0)),0))</f>
        <v/>
      </c>
    </row>
    <row r="1420" customFormat="false" ht="15" hidden="false" customHeight="false" outlineLevel="0" collapsed="false">
      <c r="A1420" s="12"/>
      <c r="B1420" s="13"/>
      <c r="C1420" s="14"/>
      <c r="D1420" s="14"/>
      <c r="E1420" s="15"/>
      <c r="F1420" s="13"/>
      <c r="G1420" s="16" t="str">
        <f aca="false">IF(OR(B1420="",E1420=""),"",E1420*IFERROR(INDEX(Müşteriler!$B$5:$B$54,MATCH(B1420,Müşteriler!$A$5:$A$54,0)),0))</f>
        <v/>
      </c>
    </row>
    <row r="1421" customFormat="false" ht="15" hidden="false" customHeight="false" outlineLevel="0" collapsed="false">
      <c r="A1421" s="12"/>
      <c r="B1421" s="13"/>
      <c r="C1421" s="14"/>
      <c r="D1421" s="14"/>
      <c r="E1421" s="15"/>
      <c r="F1421" s="13"/>
      <c r="G1421" s="16" t="str">
        <f aca="false">IF(OR(B1421="",E1421=""),"",E1421*IFERROR(INDEX(Müşteriler!$B$5:$B$54,MATCH(B1421,Müşteriler!$A$5:$A$54,0)),0))</f>
        <v/>
      </c>
    </row>
    <row r="1422" customFormat="false" ht="15" hidden="false" customHeight="false" outlineLevel="0" collapsed="false">
      <c r="A1422" s="12"/>
      <c r="B1422" s="13"/>
      <c r="C1422" s="14"/>
      <c r="D1422" s="14"/>
      <c r="E1422" s="15"/>
      <c r="F1422" s="13"/>
      <c r="G1422" s="16" t="str">
        <f aca="false">IF(OR(B1422="",E1422=""),"",E1422*IFERROR(INDEX(Müşteriler!$B$5:$B$54,MATCH(B1422,Müşteriler!$A$5:$A$54,0)),0))</f>
        <v/>
      </c>
    </row>
    <row r="1423" customFormat="false" ht="15" hidden="false" customHeight="false" outlineLevel="0" collapsed="false">
      <c r="A1423" s="12"/>
      <c r="B1423" s="13"/>
      <c r="C1423" s="14"/>
      <c r="D1423" s="14"/>
      <c r="E1423" s="15"/>
      <c r="F1423" s="13"/>
      <c r="G1423" s="16" t="str">
        <f aca="false">IF(OR(B1423="",E1423=""),"",E1423*IFERROR(INDEX(Müşteriler!$B$5:$B$54,MATCH(B1423,Müşteriler!$A$5:$A$54,0)),0))</f>
        <v/>
      </c>
    </row>
    <row r="1424" customFormat="false" ht="15" hidden="false" customHeight="false" outlineLevel="0" collapsed="false">
      <c r="A1424" s="12"/>
      <c r="B1424" s="13"/>
      <c r="C1424" s="14"/>
      <c r="D1424" s="14"/>
      <c r="E1424" s="15"/>
      <c r="F1424" s="13"/>
      <c r="G1424" s="16" t="str">
        <f aca="false">IF(OR(B1424="",E1424=""),"",E1424*IFERROR(INDEX(Müşteriler!$B$5:$B$54,MATCH(B1424,Müşteriler!$A$5:$A$54,0)),0))</f>
        <v/>
      </c>
    </row>
    <row r="1425" customFormat="false" ht="15" hidden="false" customHeight="false" outlineLevel="0" collapsed="false">
      <c r="A1425" s="12"/>
      <c r="B1425" s="13"/>
      <c r="C1425" s="14"/>
      <c r="D1425" s="14"/>
      <c r="E1425" s="15"/>
      <c r="F1425" s="13"/>
      <c r="G1425" s="16" t="str">
        <f aca="false">IF(OR(B1425="",E1425=""),"",E1425*IFERROR(INDEX(Müşteriler!$B$5:$B$54,MATCH(B1425,Müşteriler!$A$5:$A$54,0)),0))</f>
        <v/>
      </c>
    </row>
    <row r="1426" customFormat="false" ht="15" hidden="false" customHeight="false" outlineLevel="0" collapsed="false">
      <c r="A1426" s="12"/>
      <c r="B1426" s="13"/>
      <c r="C1426" s="14"/>
      <c r="D1426" s="14"/>
      <c r="E1426" s="15"/>
      <c r="F1426" s="13"/>
      <c r="G1426" s="16" t="str">
        <f aca="false">IF(OR(B1426="",E1426=""),"",E1426*IFERROR(INDEX(Müşteriler!$B$5:$B$54,MATCH(B1426,Müşteriler!$A$5:$A$54,0)),0))</f>
        <v/>
      </c>
    </row>
    <row r="1427" customFormat="false" ht="15" hidden="false" customHeight="false" outlineLevel="0" collapsed="false">
      <c r="A1427" s="12"/>
      <c r="B1427" s="13"/>
      <c r="C1427" s="14"/>
      <c r="D1427" s="14"/>
      <c r="E1427" s="15"/>
      <c r="F1427" s="13"/>
      <c r="G1427" s="16" t="str">
        <f aca="false">IF(OR(B1427="",E1427=""),"",E1427*IFERROR(INDEX(Müşteriler!$B$5:$B$54,MATCH(B1427,Müşteriler!$A$5:$A$54,0)),0))</f>
        <v/>
      </c>
    </row>
    <row r="1428" customFormat="false" ht="15" hidden="false" customHeight="false" outlineLevel="0" collapsed="false">
      <c r="A1428" s="12"/>
      <c r="B1428" s="13"/>
      <c r="C1428" s="14"/>
      <c r="D1428" s="14"/>
      <c r="E1428" s="15"/>
      <c r="F1428" s="13"/>
      <c r="G1428" s="16" t="str">
        <f aca="false">IF(OR(B1428="",E1428=""),"",E1428*IFERROR(INDEX(Müşteriler!$B$5:$B$54,MATCH(B1428,Müşteriler!$A$5:$A$54,0)),0))</f>
        <v/>
      </c>
    </row>
    <row r="1429" customFormat="false" ht="15" hidden="false" customHeight="false" outlineLevel="0" collapsed="false">
      <c r="A1429" s="12"/>
      <c r="B1429" s="13"/>
      <c r="C1429" s="14"/>
      <c r="D1429" s="14"/>
      <c r="E1429" s="15"/>
      <c r="F1429" s="13"/>
      <c r="G1429" s="16" t="str">
        <f aca="false">IF(OR(B1429="",E1429=""),"",E1429*IFERROR(INDEX(Müşteriler!$B$5:$B$54,MATCH(B1429,Müşteriler!$A$5:$A$54,0)),0))</f>
        <v/>
      </c>
    </row>
    <row r="1430" customFormat="false" ht="15" hidden="false" customHeight="false" outlineLevel="0" collapsed="false">
      <c r="A1430" s="12"/>
      <c r="B1430" s="13"/>
      <c r="C1430" s="14"/>
      <c r="D1430" s="14"/>
      <c r="E1430" s="15"/>
      <c r="F1430" s="13"/>
      <c r="G1430" s="16" t="str">
        <f aca="false">IF(OR(B1430="",E1430=""),"",E1430*IFERROR(INDEX(Müşteriler!$B$5:$B$54,MATCH(B1430,Müşteriler!$A$5:$A$54,0)),0))</f>
        <v/>
      </c>
    </row>
    <row r="1431" customFormat="false" ht="15" hidden="false" customHeight="false" outlineLevel="0" collapsed="false">
      <c r="A1431" s="12"/>
      <c r="B1431" s="13"/>
      <c r="C1431" s="14"/>
      <c r="D1431" s="14"/>
      <c r="E1431" s="15"/>
      <c r="F1431" s="13"/>
      <c r="G1431" s="16" t="str">
        <f aca="false">IF(OR(B1431="",E1431=""),"",E1431*IFERROR(INDEX(Müşteriler!$B$5:$B$54,MATCH(B1431,Müşteriler!$A$5:$A$54,0)),0))</f>
        <v/>
      </c>
    </row>
    <row r="1432" customFormat="false" ht="15" hidden="false" customHeight="false" outlineLevel="0" collapsed="false">
      <c r="A1432" s="12"/>
      <c r="B1432" s="13"/>
      <c r="C1432" s="14"/>
      <c r="D1432" s="14"/>
      <c r="E1432" s="15"/>
      <c r="F1432" s="13"/>
      <c r="G1432" s="16" t="str">
        <f aca="false">IF(OR(B1432="",E1432=""),"",E1432*IFERROR(INDEX(Müşteriler!$B$5:$B$54,MATCH(B1432,Müşteriler!$A$5:$A$54,0)),0))</f>
        <v/>
      </c>
    </row>
    <row r="1433" customFormat="false" ht="15" hidden="false" customHeight="false" outlineLevel="0" collapsed="false">
      <c r="A1433" s="12"/>
      <c r="B1433" s="13"/>
      <c r="C1433" s="14"/>
      <c r="D1433" s="14"/>
      <c r="E1433" s="15"/>
      <c r="F1433" s="13"/>
      <c r="G1433" s="16" t="str">
        <f aca="false">IF(OR(B1433="",E1433=""),"",E1433*IFERROR(INDEX(Müşteriler!$B$5:$B$54,MATCH(B1433,Müşteriler!$A$5:$A$54,0)),0))</f>
        <v/>
      </c>
    </row>
    <row r="1434" customFormat="false" ht="15" hidden="false" customHeight="false" outlineLevel="0" collapsed="false">
      <c r="A1434" s="12"/>
      <c r="B1434" s="13"/>
      <c r="C1434" s="14"/>
      <c r="D1434" s="14"/>
      <c r="E1434" s="15"/>
      <c r="F1434" s="13"/>
      <c r="G1434" s="16" t="str">
        <f aca="false">IF(OR(B1434="",E1434=""),"",E1434*IFERROR(INDEX(Müşteriler!$B$5:$B$54,MATCH(B1434,Müşteriler!$A$5:$A$54,0)),0))</f>
        <v/>
      </c>
    </row>
    <row r="1435" customFormat="false" ht="15" hidden="false" customHeight="false" outlineLevel="0" collapsed="false">
      <c r="A1435" s="12"/>
      <c r="B1435" s="13"/>
      <c r="C1435" s="14"/>
      <c r="D1435" s="14"/>
      <c r="E1435" s="15"/>
      <c r="F1435" s="13"/>
      <c r="G1435" s="16" t="str">
        <f aca="false">IF(OR(B1435="",E1435=""),"",E1435*IFERROR(INDEX(Müşteriler!$B$5:$B$54,MATCH(B1435,Müşteriler!$A$5:$A$54,0)),0))</f>
        <v/>
      </c>
    </row>
    <row r="1436" customFormat="false" ht="15" hidden="false" customHeight="false" outlineLevel="0" collapsed="false">
      <c r="A1436" s="12"/>
      <c r="B1436" s="13"/>
      <c r="C1436" s="14"/>
      <c r="D1436" s="14"/>
      <c r="E1436" s="15"/>
      <c r="F1436" s="13"/>
      <c r="G1436" s="16" t="str">
        <f aca="false">IF(OR(B1436="",E1436=""),"",E1436*IFERROR(INDEX(Müşteriler!$B$5:$B$54,MATCH(B1436,Müşteriler!$A$5:$A$54,0)),0))</f>
        <v/>
      </c>
    </row>
    <row r="1437" customFormat="false" ht="15" hidden="false" customHeight="false" outlineLevel="0" collapsed="false">
      <c r="A1437" s="12"/>
      <c r="B1437" s="13"/>
      <c r="C1437" s="14"/>
      <c r="D1437" s="14"/>
      <c r="E1437" s="15"/>
      <c r="F1437" s="13"/>
      <c r="G1437" s="16" t="str">
        <f aca="false">IF(OR(B1437="",E1437=""),"",E1437*IFERROR(INDEX(Müşteriler!$B$5:$B$54,MATCH(B1437,Müşteriler!$A$5:$A$54,0)),0))</f>
        <v/>
      </c>
    </row>
    <row r="1438" customFormat="false" ht="15" hidden="false" customHeight="false" outlineLevel="0" collapsed="false">
      <c r="A1438" s="12"/>
      <c r="B1438" s="13"/>
      <c r="C1438" s="14"/>
      <c r="D1438" s="14"/>
      <c r="E1438" s="15"/>
      <c r="F1438" s="13"/>
      <c r="G1438" s="16" t="str">
        <f aca="false">IF(OR(B1438="",E1438=""),"",E1438*IFERROR(INDEX(Müşteriler!$B$5:$B$54,MATCH(B1438,Müşteriler!$A$5:$A$54,0)),0))</f>
        <v/>
      </c>
    </row>
    <row r="1439" customFormat="false" ht="15" hidden="false" customHeight="false" outlineLevel="0" collapsed="false">
      <c r="A1439" s="12"/>
      <c r="B1439" s="13"/>
      <c r="C1439" s="14"/>
      <c r="D1439" s="14"/>
      <c r="E1439" s="15"/>
      <c r="F1439" s="13"/>
      <c r="G1439" s="16" t="str">
        <f aca="false">IF(OR(B1439="",E1439=""),"",E1439*IFERROR(INDEX(Müşteriler!$B$5:$B$54,MATCH(B1439,Müşteriler!$A$5:$A$54,0)),0))</f>
        <v/>
      </c>
    </row>
    <row r="1440" customFormat="false" ht="15" hidden="false" customHeight="false" outlineLevel="0" collapsed="false">
      <c r="A1440" s="12"/>
      <c r="B1440" s="13"/>
      <c r="C1440" s="14"/>
      <c r="D1440" s="14"/>
      <c r="E1440" s="15"/>
      <c r="F1440" s="13"/>
      <c r="G1440" s="16" t="str">
        <f aca="false">IF(OR(B1440="",E1440=""),"",E1440*IFERROR(INDEX(Müşteriler!$B$5:$B$54,MATCH(B1440,Müşteriler!$A$5:$A$54,0)),0))</f>
        <v/>
      </c>
    </row>
    <row r="1441" customFormat="false" ht="15" hidden="false" customHeight="false" outlineLevel="0" collapsed="false">
      <c r="A1441" s="12"/>
      <c r="B1441" s="13"/>
      <c r="C1441" s="14"/>
      <c r="D1441" s="14"/>
      <c r="E1441" s="15"/>
      <c r="F1441" s="13"/>
      <c r="G1441" s="16" t="str">
        <f aca="false">IF(OR(B1441="",E1441=""),"",E1441*IFERROR(INDEX(Müşteriler!$B$5:$B$54,MATCH(B1441,Müşteriler!$A$5:$A$54,0)),0))</f>
        <v/>
      </c>
    </row>
    <row r="1442" customFormat="false" ht="15" hidden="false" customHeight="false" outlineLevel="0" collapsed="false">
      <c r="A1442" s="12"/>
      <c r="B1442" s="13"/>
      <c r="C1442" s="14"/>
      <c r="D1442" s="14"/>
      <c r="E1442" s="15"/>
      <c r="F1442" s="13"/>
      <c r="G1442" s="16" t="str">
        <f aca="false">IF(OR(B1442="",E1442=""),"",E1442*IFERROR(INDEX(Müşteriler!$B$5:$B$54,MATCH(B1442,Müşteriler!$A$5:$A$54,0)),0))</f>
        <v/>
      </c>
    </row>
    <row r="1443" customFormat="false" ht="15" hidden="false" customHeight="false" outlineLevel="0" collapsed="false">
      <c r="A1443" s="12"/>
      <c r="B1443" s="13"/>
      <c r="C1443" s="14"/>
      <c r="D1443" s="14"/>
      <c r="E1443" s="15"/>
      <c r="F1443" s="13"/>
      <c r="G1443" s="16" t="str">
        <f aca="false">IF(OR(B1443="",E1443=""),"",E1443*IFERROR(INDEX(Müşteriler!$B$5:$B$54,MATCH(B1443,Müşteriler!$A$5:$A$54,0)),0))</f>
        <v/>
      </c>
    </row>
    <row r="1444" customFormat="false" ht="15" hidden="false" customHeight="false" outlineLevel="0" collapsed="false">
      <c r="A1444" s="12"/>
      <c r="B1444" s="13"/>
      <c r="C1444" s="14"/>
      <c r="D1444" s="14"/>
      <c r="E1444" s="15"/>
      <c r="F1444" s="13"/>
      <c r="G1444" s="16" t="str">
        <f aca="false">IF(OR(B1444="",E1444=""),"",E1444*IFERROR(INDEX(Müşteriler!$B$5:$B$54,MATCH(B1444,Müşteriler!$A$5:$A$54,0)),0))</f>
        <v/>
      </c>
    </row>
    <row r="1445" customFormat="false" ht="15" hidden="false" customHeight="false" outlineLevel="0" collapsed="false">
      <c r="A1445" s="12"/>
      <c r="B1445" s="13"/>
      <c r="C1445" s="14"/>
      <c r="D1445" s="14"/>
      <c r="E1445" s="15"/>
      <c r="F1445" s="13"/>
      <c r="G1445" s="16" t="str">
        <f aca="false">IF(OR(B1445="",E1445=""),"",E1445*IFERROR(INDEX(Müşteriler!$B$5:$B$54,MATCH(B1445,Müşteriler!$A$5:$A$54,0)),0))</f>
        <v/>
      </c>
    </row>
    <row r="1446" customFormat="false" ht="15" hidden="false" customHeight="false" outlineLevel="0" collapsed="false">
      <c r="A1446" s="12"/>
      <c r="B1446" s="13"/>
      <c r="C1446" s="14"/>
      <c r="D1446" s="14"/>
      <c r="E1446" s="15"/>
      <c r="F1446" s="13"/>
      <c r="G1446" s="16" t="str">
        <f aca="false">IF(OR(B1446="",E1446=""),"",E1446*IFERROR(INDEX(Müşteriler!$B$5:$B$54,MATCH(B1446,Müşteriler!$A$5:$A$54,0)),0))</f>
        <v/>
      </c>
    </row>
    <row r="1447" customFormat="false" ht="15" hidden="false" customHeight="false" outlineLevel="0" collapsed="false">
      <c r="A1447" s="12"/>
      <c r="B1447" s="13"/>
      <c r="C1447" s="14"/>
      <c r="D1447" s="14"/>
      <c r="E1447" s="15"/>
      <c r="F1447" s="13"/>
      <c r="G1447" s="16" t="str">
        <f aca="false">IF(OR(B1447="",E1447=""),"",E1447*IFERROR(INDEX(Müşteriler!$B$5:$B$54,MATCH(B1447,Müşteriler!$A$5:$A$54,0)),0))</f>
        <v/>
      </c>
    </row>
    <row r="1448" customFormat="false" ht="15" hidden="false" customHeight="false" outlineLevel="0" collapsed="false">
      <c r="A1448" s="12"/>
      <c r="B1448" s="13"/>
      <c r="C1448" s="14"/>
      <c r="D1448" s="14"/>
      <c r="E1448" s="15"/>
      <c r="F1448" s="13"/>
      <c r="G1448" s="16" t="str">
        <f aca="false">IF(OR(B1448="",E1448=""),"",E1448*IFERROR(INDEX(Müşteriler!$B$5:$B$54,MATCH(B1448,Müşteriler!$A$5:$A$54,0)),0))</f>
        <v/>
      </c>
    </row>
    <row r="1449" customFormat="false" ht="15" hidden="false" customHeight="false" outlineLevel="0" collapsed="false">
      <c r="A1449" s="12"/>
      <c r="B1449" s="13"/>
      <c r="C1449" s="14"/>
      <c r="D1449" s="14"/>
      <c r="E1449" s="15"/>
      <c r="F1449" s="13"/>
      <c r="G1449" s="16" t="str">
        <f aca="false">IF(OR(B1449="",E1449=""),"",E1449*IFERROR(INDEX(Müşteriler!$B$5:$B$54,MATCH(B1449,Müşteriler!$A$5:$A$54,0)),0))</f>
        <v/>
      </c>
    </row>
    <row r="1450" customFormat="false" ht="15" hidden="false" customHeight="false" outlineLevel="0" collapsed="false">
      <c r="A1450" s="12"/>
      <c r="B1450" s="13"/>
      <c r="C1450" s="14"/>
      <c r="D1450" s="14"/>
      <c r="E1450" s="15"/>
      <c r="F1450" s="13"/>
      <c r="G1450" s="16" t="str">
        <f aca="false">IF(OR(B1450="",E1450=""),"",E1450*IFERROR(INDEX(Müşteriler!$B$5:$B$54,MATCH(B1450,Müşteriler!$A$5:$A$54,0)),0))</f>
        <v/>
      </c>
    </row>
    <row r="1451" customFormat="false" ht="15" hidden="false" customHeight="false" outlineLevel="0" collapsed="false">
      <c r="A1451" s="12"/>
      <c r="B1451" s="13"/>
      <c r="C1451" s="14"/>
      <c r="D1451" s="14"/>
      <c r="E1451" s="15"/>
      <c r="F1451" s="13"/>
      <c r="G1451" s="16" t="str">
        <f aca="false">IF(OR(B1451="",E1451=""),"",E1451*IFERROR(INDEX(Müşteriler!$B$5:$B$54,MATCH(B1451,Müşteriler!$A$5:$A$54,0)),0))</f>
        <v/>
      </c>
    </row>
    <row r="1452" customFormat="false" ht="15" hidden="false" customHeight="false" outlineLevel="0" collapsed="false">
      <c r="A1452" s="12"/>
      <c r="B1452" s="13"/>
      <c r="C1452" s="14"/>
      <c r="D1452" s="14"/>
      <c r="E1452" s="15"/>
      <c r="F1452" s="13"/>
      <c r="G1452" s="16" t="str">
        <f aca="false">IF(OR(B1452="",E1452=""),"",E1452*IFERROR(INDEX(Müşteriler!$B$5:$B$54,MATCH(B1452,Müşteriler!$A$5:$A$54,0)),0))</f>
        <v/>
      </c>
    </row>
    <row r="1453" customFormat="false" ht="15" hidden="false" customHeight="false" outlineLevel="0" collapsed="false">
      <c r="A1453" s="12"/>
      <c r="B1453" s="13"/>
      <c r="C1453" s="14"/>
      <c r="D1453" s="14"/>
      <c r="E1453" s="15"/>
      <c r="F1453" s="13"/>
      <c r="G1453" s="16" t="str">
        <f aca="false">IF(OR(B1453="",E1453=""),"",E1453*IFERROR(INDEX(Müşteriler!$B$5:$B$54,MATCH(B1453,Müşteriler!$A$5:$A$54,0)),0))</f>
        <v/>
      </c>
    </row>
    <row r="1454" customFormat="false" ht="15" hidden="false" customHeight="false" outlineLevel="0" collapsed="false">
      <c r="A1454" s="12"/>
      <c r="B1454" s="13"/>
      <c r="C1454" s="14"/>
      <c r="D1454" s="14"/>
      <c r="E1454" s="15"/>
      <c r="F1454" s="13"/>
      <c r="G1454" s="16" t="str">
        <f aca="false">IF(OR(B1454="",E1454=""),"",E1454*IFERROR(INDEX(Müşteriler!$B$5:$B$54,MATCH(B1454,Müşteriler!$A$5:$A$54,0)),0))</f>
        <v/>
      </c>
    </row>
    <row r="1455" customFormat="false" ht="15" hidden="false" customHeight="false" outlineLevel="0" collapsed="false">
      <c r="A1455" s="12"/>
      <c r="B1455" s="13"/>
      <c r="C1455" s="14"/>
      <c r="D1455" s="14"/>
      <c r="E1455" s="15"/>
      <c r="F1455" s="13"/>
      <c r="G1455" s="16" t="str">
        <f aca="false">IF(OR(B1455="",E1455=""),"",E1455*IFERROR(INDEX(Müşteriler!$B$5:$B$54,MATCH(B1455,Müşteriler!$A$5:$A$54,0)),0))</f>
        <v/>
      </c>
    </row>
    <row r="1456" customFormat="false" ht="15" hidden="false" customHeight="false" outlineLevel="0" collapsed="false">
      <c r="A1456" s="12"/>
      <c r="B1456" s="13"/>
      <c r="C1456" s="14"/>
      <c r="D1456" s="14"/>
      <c r="E1456" s="15"/>
      <c r="F1456" s="13"/>
      <c r="G1456" s="16" t="str">
        <f aca="false">IF(OR(B1456="",E1456=""),"",E1456*IFERROR(INDEX(Müşteriler!$B$5:$B$54,MATCH(B1456,Müşteriler!$A$5:$A$54,0)),0))</f>
        <v/>
      </c>
    </row>
    <row r="1457" customFormat="false" ht="15" hidden="false" customHeight="false" outlineLevel="0" collapsed="false">
      <c r="A1457" s="12"/>
      <c r="B1457" s="13"/>
      <c r="C1457" s="14"/>
      <c r="D1457" s="14"/>
      <c r="E1457" s="15"/>
      <c r="F1457" s="13"/>
      <c r="G1457" s="16" t="str">
        <f aca="false">IF(OR(B1457="",E1457=""),"",E1457*IFERROR(INDEX(Müşteriler!$B$5:$B$54,MATCH(B1457,Müşteriler!$A$5:$A$54,0)),0))</f>
        <v/>
      </c>
    </row>
    <row r="1458" customFormat="false" ht="15" hidden="false" customHeight="false" outlineLevel="0" collapsed="false">
      <c r="A1458" s="12"/>
      <c r="B1458" s="13"/>
      <c r="C1458" s="14"/>
      <c r="D1458" s="14"/>
      <c r="E1458" s="15"/>
      <c r="F1458" s="13"/>
      <c r="G1458" s="16" t="str">
        <f aca="false">IF(OR(B1458="",E1458=""),"",E1458*IFERROR(INDEX(Müşteriler!$B$5:$B$54,MATCH(B1458,Müşteriler!$A$5:$A$54,0)),0))</f>
        <v/>
      </c>
    </row>
    <row r="1459" customFormat="false" ht="15" hidden="false" customHeight="false" outlineLevel="0" collapsed="false">
      <c r="A1459" s="12"/>
      <c r="B1459" s="13"/>
      <c r="C1459" s="14"/>
      <c r="D1459" s="14"/>
      <c r="E1459" s="15"/>
      <c r="F1459" s="13"/>
      <c r="G1459" s="16" t="str">
        <f aca="false">IF(OR(B1459="",E1459=""),"",E1459*IFERROR(INDEX(Müşteriler!$B$5:$B$54,MATCH(B1459,Müşteriler!$A$5:$A$54,0)),0))</f>
        <v/>
      </c>
    </row>
    <row r="1460" customFormat="false" ht="15" hidden="false" customHeight="false" outlineLevel="0" collapsed="false">
      <c r="A1460" s="12"/>
      <c r="B1460" s="13"/>
      <c r="C1460" s="14"/>
      <c r="D1460" s="14"/>
      <c r="E1460" s="15"/>
      <c r="F1460" s="13"/>
      <c r="G1460" s="16" t="str">
        <f aca="false">IF(OR(B1460="",E1460=""),"",E1460*IFERROR(INDEX(Müşteriler!$B$5:$B$54,MATCH(B1460,Müşteriler!$A$5:$A$54,0)),0))</f>
        <v/>
      </c>
    </row>
    <row r="1461" customFormat="false" ht="15" hidden="false" customHeight="false" outlineLevel="0" collapsed="false">
      <c r="A1461" s="12"/>
      <c r="B1461" s="13"/>
      <c r="C1461" s="14"/>
      <c r="D1461" s="14"/>
      <c r="E1461" s="15"/>
      <c r="F1461" s="13"/>
      <c r="G1461" s="16" t="str">
        <f aca="false">IF(OR(B1461="",E1461=""),"",E1461*IFERROR(INDEX(Müşteriler!$B$5:$B$54,MATCH(B1461,Müşteriler!$A$5:$A$54,0)),0))</f>
        <v/>
      </c>
    </row>
    <row r="1462" customFormat="false" ht="15" hidden="false" customHeight="false" outlineLevel="0" collapsed="false">
      <c r="A1462" s="12"/>
      <c r="B1462" s="13"/>
      <c r="C1462" s="14"/>
      <c r="D1462" s="14"/>
      <c r="E1462" s="15"/>
      <c r="F1462" s="13"/>
      <c r="G1462" s="16" t="str">
        <f aca="false">IF(OR(B1462="",E1462=""),"",E1462*IFERROR(INDEX(Müşteriler!$B$5:$B$54,MATCH(B1462,Müşteriler!$A$5:$A$54,0)),0))</f>
        <v/>
      </c>
    </row>
    <row r="1463" customFormat="false" ht="15" hidden="false" customHeight="false" outlineLevel="0" collapsed="false">
      <c r="A1463" s="12"/>
      <c r="B1463" s="13"/>
      <c r="C1463" s="14"/>
      <c r="D1463" s="14"/>
      <c r="E1463" s="15"/>
      <c r="F1463" s="13"/>
      <c r="G1463" s="16" t="str">
        <f aca="false">IF(OR(B1463="",E1463=""),"",E1463*IFERROR(INDEX(Müşteriler!$B$5:$B$54,MATCH(B1463,Müşteriler!$A$5:$A$54,0)),0))</f>
        <v/>
      </c>
    </row>
    <row r="1464" customFormat="false" ht="15" hidden="false" customHeight="false" outlineLevel="0" collapsed="false">
      <c r="A1464" s="12"/>
      <c r="B1464" s="13"/>
      <c r="C1464" s="14"/>
      <c r="D1464" s="14"/>
      <c r="E1464" s="15"/>
      <c r="F1464" s="13"/>
      <c r="G1464" s="16" t="str">
        <f aca="false">IF(OR(B1464="",E1464=""),"",E1464*IFERROR(INDEX(Müşteriler!$B$5:$B$54,MATCH(B1464,Müşteriler!$A$5:$A$54,0)),0))</f>
        <v/>
      </c>
    </row>
    <row r="1465" customFormat="false" ht="15" hidden="false" customHeight="false" outlineLevel="0" collapsed="false">
      <c r="A1465" s="12"/>
      <c r="B1465" s="13"/>
      <c r="C1465" s="14"/>
      <c r="D1465" s="14"/>
      <c r="E1465" s="15"/>
      <c r="F1465" s="13"/>
      <c r="G1465" s="16" t="str">
        <f aca="false">IF(OR(B1465="",E1465=""),"",E1465*IFERROR(INDEX(Müşteriler!$B$5:$B$54,MATCH(B1465,Müşteriler!$A$5:$A$54,0)),0))</f>
        <v/>
      </c>
    </row>
    <row r="1466" customFormat="false" ht="15" hidden="false" customHeight="false" outlineLevel="0" collapsed="false">
      <c r="A1466" s="12"/>
      <c r="B1466" s="13"/>
      <c r="C1466" s="14"/>
      <c r="D1466" s="14"/>
      <c r="E1466" s="15"/>
      <c r="F1466" s="13"/>
      <c r="G1466" s="16" t="str">
        <f aca="false">IF(OR(B1466="",E1466=""),"",E1466*IFERROR(INDEX(Müşteriler!$B$5:$B$54,MATCH(B1466,Müşteriler!$A$5:$A$54,0)),0))</f>
        <v/>
      </c>
    </row>
    <row r="1467" customFormat="false" ht="15" hidden="false" customHeight="false" outlineLevel="0" collapsed="false">
      <c r="A1467" s="12"/>
      <c r="B1467" s="13"/>
      <c r="C1467" s="14"/>
      <c r="D1467" s="14"/>
      <c r="E1467" s="15"/>
      <c r="F1467" s="13"/>
      <c r="G1467" s="16" t="str">
        <f aca="false">IF(OR(B1467="",E1467=""),"",E1467*IFERROR(INDEX(Müşteriler!$B$5:$B$54,MATCH(B1467,Müşteriler!$A$5:$A$54,0)),0))</f>
        <v/>
      </c>
    </row>
    <row r="1468" customFormat="false" ht="15" hidden="false" customHeight="false" outlineLevel="0" collapsed="false">
      <c r="A1468" s="12"/>
      <c r="B1468" s="13"/>
      <c r="C1468" s="14"/>
      <c r="D1468" s="14"/>
      <c r="E1468" s="15"/>
      <c r="F1468" s="13"/>
      <c r="G1468" s="16" t="str">
        <f aca="false">IF(OR(B1468="",E1468=""),"",E1468*IFERROR(INDEX(Müşteriler!$B$5:$B$54,MATCH(B1468,Müşteriler!$A$5:$A$54,0)),0))</f>
        <v/>
      </c>
    </row>
    <row r="1469" customFormat="false" ht="15" hidden="false" customHeight="false" outlineLevel="0" collapsed="false">
      <c r="A1469" s="12"/>
      <c r="B1469" s="13"/>
      <c r="C1469" s="14"/>
      <c r="D1469" s="14"/>
      <c r="E1469" s="15"/>
      <c r="F1469" s="13"/>
      <c r="G1469" s="16" t="str">
        <f aca="false">IF(OR(B1469="",E1469=""),"",E1469*IFERROR(INDEX(Müşteriler!$B$5:$B$54,MATCH(B1469,Müşteriler!$A$5:$A$54,0)),0))</f>
        <v/>
      </c>
    </row>
    <row r="1470" customFormat="false" ht="15" hidden="false" customHeight="false" outlineLevel="0" collapsed="false">
      <c r="A1470" s="12"/>
      <c r="B1470" s="13"/>
      <c r="C1470" s="14"/>
      <c r="D1470" s="14"/>
      <c r="E1470" s="15"/>
      <c r="F1470" s="13"/>
      <c r="G1470" s="16" t="str">
        <f aca="false">IF(OR(B1470="",E1470=""),"",E1470*IFERROR(INDEX(Müşteriler!$B$5:$B$54,MATCH(B1470,Müşteriler!$A$5:$A$54,0)),0))</f>
        <v/>
      </c>
    </row>
    <row r="1471" customFormat="false" ht="15" hidden="false" customHeight="false" outlineLevel="0" collapsed="false">
      <c r="A1471" s="12"/>
      <c r="B1471" s="13"/>
      <c r="C1471" s="14"/>
      <c r="D1471" s="14"/>
      <c r="E1471" s="15"/>
      <c r="F1471" s="13"/>
      <c r="G1471" s="16" t="str">
        <f aca="false">IF(OR(B1471="",E1471=""),"",E1471*IFERROR(INDEX(Müşteriler!$B$5:$B$54,MATCH(B1471,Müşteriler!$A$5:$A$54,0)),0))</f>
        <v/>
      </c>
    </row>
    <row r="1472" customFormat="false" ht="15" hidden="false" customHeight="false" outlineLevel="0" collapsed="false">
      <c r="A1472" s="12"/>
      <c r="B1472" s="13"/>
      <c r="C1472" s="14"/>
      <c r="D1472" s="14"/>
      <c r="E1472" s="15"/>
      <c r="F1472" s="13"/>
      <c r="G1472" s="16" t="str">
        <f aca="false">IF(OR(B1472="",E1472=""),"",E1472*IFERROR(INDEX(Müşteriler!$B$5:$B$54,MATCH(B1472,Müşteriler!$A$5:$A$54,0)),0))</f>
        <v/>
      </c>
    </row>
    <row r="1473" customFormat="false" ht="15" hidden="false" customHeight="false" outlineLevel="0" collapsed="false">
      <c r="A1473" s="12"/>
      <c r="B1473" s="13"/>
      <c r="C1473" s="14"/>
      <c r="D1473" s="14"/>
      <c r="E1473" s="15"/>
      <c r="F1473" s="13"/>
      <c r="G1473" s="16" t="str">
        <f aca="false">IF(OR(B1473="",E1473=""),"",E1473*IFERROR(INDEX(Müşteriler!$B$5:$B$54,MATCH(B1473,Müşteriler!$A$5:$A$54,0)),0))</f>
        <v/>
      </c>
    </row>
    <row r="1474" customFormat="false" ht="15" hidden="false" customHeight="false" outlineLevel="0" collapsed="false">
      <c r="A1474" s="12"/>
      <c r="B1474" s="13"/>
      <c r="C1474" s="14"/>
      <c r="D1474" s="14"/>
      <c r="E1474" s="15"/>
      <c r="F1474" s="13"/>
      <c r="G1474" s="16" t="str">
        <f aca="false">IF(OR(B1474="",E1474=""),"",E1474*IFERROR(INDEX(Müşteriler!$B$5:$B$54,MATCH(B1474,Müşteriler!$A$5:$A$54,0)),0))</f>
        <v/>
      </c>
    </row>
    <row r="1475" customFormat="false" ht="15" hidden="false" customHeight="false" outlineLevel="0" collapsed="false">
      <c r="A1475" s="12"/>
      <c r="B1475" s="13"/>
      <c r="C1475" s="14"/>
      <c r="D1475" s="14"/>
      <c r="E1475" s="15"/>
      <c r="F1475" s="13"/>
      <c r="G1475" s="16" t="str">
        <f aca="false">IF(OR(B1475="",E1475=""),"",E1475*IFERROR(INDEX(Müşteriler!$B$5:$B$54,MATCH(B1475,Müşteriler!$A$5:$A$54,0)),0))</f>
        <v/>
      </c>
    </row>
    <row r="1476" customFormat="false" ht="15" hidden="false" customHeight="false" outlineLevel="0" collapsed="false">
      <c r="A1476" s="12"/>
      <c r="B1476" s="13"/>
      <c r="C1476" s="14"/>
      <c r="D1476" s="14"/>
      <c r="E1476" s="15"/>
      <c r="F1476" s="13"/>
      <c r="G1476" s="16" t="str">
        <f aca="false">IF(OR(B1476="",E1476=""),"",E1476*IFERROR(INDEX(Müşteriler!$B$5:$B$54,MATCH(B1476,Müşteriler!$A$5:$A$54,0)),0))</f>
        <v/>
      </c>
    </row>
    <row r="1477" customFormat="false" ht="15" hidden="false" customHeight="false" outlineLevel="0" collapsed="false">
      <c r="A1477" s="12"/>
      <c r="B1477" s="13"/>
      <c r="C1477" s="14"/>
      <c r="D1477" s="14"/>
      <c r="E1477" s="15"/>
      <c r="F1477" s="13"/>
      <c r="G1477" s="16" t="str">
        <f aca="false">IF(OR(B1477="",E1477=""),"",E1477*IFERROR(INDEX(Müşteriler!$B$5:$B$54,MATCH(B1477,Müşteriler!$A$5:$A$54,0)),0))</f>
        <v/>
      </c>
    </row>
    <row r="1478" customFormat="false" ht="15" hidden="false" customHeight="false" outlineLevel="0" collapsed="false">
      <c r="A1478" s="12"/>
      <c r="B1478" s="13"/>
      <c r="C1478" s="14"/>
      <c r="D1478" s="14"/>
      <c r="E1478" s="15"/>
      <c r="F1478" s="13"/>
      <c r="G1478" s="16" t="str">
        <f aca="false">IF(OR(B1478="",E1478=""),"",E1478*IFERROR(INDEX(Müşteriler!$B$5:$B$54,MATCH(B1478,Müşteriler!$A$5:$A$54,0)),0))</f>
        <v/>
      </c>
    </row>
    <row r="1479" customFormat="false" ht="15" hidden="false" customHeight="false" outlineLevel="0" collapsed="false">
      <c r="A1479" s="12"/>
      <c r="B1479" s="13"/>
      <c r="C1479" s="14"/>
      <c r="D1479" s="14"/>
      <c r="E1479" s="15"/>
      <c r="F1479" s="13"/>
      <c r="G1479" s="16" t="str">
        <f aca="false">IF(OR(B1479="",E1479=""),"",E1479*IFERROR(INDEX(Müşteriler!$B$5:$B$54,MATCH(B1479,Müşteriler!$A$5:$A$54,0)),0))</f>
        <v/>
      </c>
    </row>
    <row r="1480" customFormat="false" ht="15" hidden="false" customHeight="false" outlineLevel="0" collapsed="false">
      <c r="A1480" s="12"/>
      <c r="B1480" s="13"/>
      <c r="C1480" s="14"/>
      <c r="D1480" s="14"/>
      <c r="E1480" s="15"/>
      <c r="F1480" s="13"/>
      <c r="G1480" s="16" t="str">
        <f aca="false">IF(OR(B1480="",E1480=""),"",E1480*IFERROR(INDEX(Müşteriler!$B$5:$B$54,MATCH(B1480,Müşteriler!$A$5:$A$54,0)),0))</f>
        <v/>
      </c>
    </row>
    <row r="1481" customFormat="false" ht="15" hidden="false" customHeight="false" outlineLevel="0" collapsed="false">
      <c r="A1481" s="12"/>
      <c r="B1481" s="13"/>
      <c r="C1481" s="14"/>
      <c r="D1481" s="14"/>
      <c r="E1481" s="15"/>
      <c r="F1481" s="13"/>
      <c r="G1481" s="16" t="str">
        <f aca="false">IF(OR(B1481="",E1481=""),"",E1481*IFERROR(INDEX(Müşteriler!$B$5:$B$54,MATCH(B1481,Müşteriler!$A$5:$A$54,0)),0))</f>
        <v/>
      </c>
    </row>
    <row r="1482" customFormat="false" ht="15" hidden="false" customHeight="false" outlineLevel="0" collapsed="false">
      <c r="A1482" s="12"/>
      <c r="B1482" s="13"/>
      <c r="C1482" s="14"/>
      <c r="D1482" s="14"/>
      <c r="E1482" s="15"/>
      <c r="F1482" s="13"/>
      <c r="G1482" s="16" t="str">
        <f aca="false">IF(OR(B1482="",E1482=""),"",E1482*IFERROR(INDEX(Müşteriler!$B$5:$B$54,MATCH(B1482,Müşteriler!$A$5:$A$54,0)),0))</f>
        <v/>
      </c>
    </row>
    <row r="1483" customFormat="false" ht="15" hidden="false" customHeight="false" outlineLevel="0" collapsed="false">
      <c r="A1483" s="12"/>
      <c r="B1483" s="13"/>
      <c r="C1483" s="14"/>
      <c r="D1483" s="14"/>
      <c r="E1483" s="15"/>
      <c r="F1483" s="13"/>
      <c r="G1483" s="16" t="str">
        <f aca="false">IF(OR(B1483="",E1483=""),"",E1483*IFERROR(INDEX(Müşteriler!$B$5:$B$54,MATCH(B1483,Müşteriler!$A$5:$A$54,0)),0))</f>
        <v/>
      </c>
    </row>
    <row r="1484" customFormat="false" ht="15" hidden="false" customHeight="false" outlineLevel="0" collapsed="false">
      <c r="A1484" s="12"/>
      <c r="B1484" s="13"/>
      <c r="C1484" s="14"/>
      <c r="D1484" s="14"/>
      <c r="E1484" s="15"/>
      <c r="F1484" s="13"/>
      <c r="G1484" s="16" t="str">
        <f aca="false">IF(OR(B1484="",E1484=""),"",E1484*IFERROR(INDEX(Müşteriler!$B$5:$B$54,MATCH(B1484,Müşteriler!$A$5:$A$54,0)),0))</f>
        <v/>
      </c>
    </row>
    <row r="1485" customFormat="false" ht="15" hidden="false" customHeight="false" outlineLevel="0" collapsed="false">
      <c r="A1485" s="12"/>
      <c r="B1485" s="13"/>
      <c r="C1485" s="14"/>
      <c r="D1485" s="14"/>
      <c r="E1485" s="15"/>
      <c r="F1485" s="13"/>
      <c r="G1485" s="16" t="str">
        <f aca="false">IF(OR(B1485="",E1485=""),"",E1485*IFERROR(INDEX(Müşteriler!$B$5:$B$54,MATCH(B1485,Müşteriler!$A$5:$A$54,0)),0))</f>
        <v/>
      </c>
    </row>
    <row r="1486" customFormat="false" ht="15" hidden="false" customHeight="false" outlineLevel="0" collapsed="false">
      <c r="A1486" s="12"/>
      <c r="B1486" s="13"/>
      <c r="C1486" s="14"/>
      <c r="D1486" s="14"/>
      <c r="E1486" s="15"/>
      <c r="F1486" s="13"/>
      <c r="G1486" s="16" t="str">
        <f aca="false">IF(OR(B1486="",E1486=""),"",E1486*IFERROR(INDEX(Müşteriler!$B$5:$B$54,MATCH(B1486,Müşteriler!$A$5:$A$54,0)),0))</f>
        <v/>
      </c>
    </row>
    <row r="1487" customFormat="false" ht="15" hidden="false" customHeight="false" outlineLevel="0" collapsed="false">
      <c r="A1487" s="12"/>
      <c r="B1487" s="13"/>
      <c r="C1487" s="14"/>
      <c r="D1487" s="14"/>
      <c r="E1487" s="15"/>
      <c r="F1487" s="13"/>
      <c r="G1487" s="16" t="str">
        <f aca="false">IF(OR(B1487="",E1487=""),"",E1487*IFERROR(INDEX(Müşteriler!$B$5:$B$54,MATCH(B1487,Müşteriler!$A$5:$A$54,0)),0))</f>
        <v/>
      </c>
    </row>
    <row r="1488" customFormat="false" ht="15" hidden="false" customHeight="false" outlineLevel="0" collapsed="false">
      <c r="A1488" s="12"/>
      <c r="B1488" s="13"/>
      <c r="C1488" s="14"/>
      <c r="D1488" s="14"/>
      <c r="E1488" s="15"/>
      <c r="F1488" s="13"/>
      <c r="G1488" s="16" t="str">
        <f aca="false">IF(OR(B1488="",E1488=""),"",E1488*IFERROR(INDEX(Müşteriler!$B$5:$B$54,MATCH(B1488,Müşteriler!$A$5:$A$54,0)),0))</f>
        <v/>
      </c>
    </row>
    <row r="1489" customFormat="false" ht="15" hidden="false" customHeight="false" outlineLevel="0" collapsed="false">
      <c r="A1489" s="12"/>
      <c r="B1489" s="13"/>
      <c r="C1489" s="14"/>
      <c r="D1489" s="14"/>
      <c r="E1489" s="15"/>
      <c r="F1489" s="13"/>
      <c r="G1489" s="16" t="str">
        <f aca="false">IF(OR(B1489="",E1489=""),"",E1489*IFERROR(INDEX(Müşteriler!$B$5:$B$54,MATCH(B1489,Müşteriler!$A$5:$A$54,0)),0))</f>
        <v/>
      </c>
    </row>
    <row r="1490" customFormat="false" ht="15" hidden="false" customHeight="false" outlineLevel="0" collapsed="false">
      <c r="A1490" s="12"/>
      <c r="B1490" s="13"/>
      <c r="C1490" s="14"/>
      <c r="D1490" s="14"/>
      <c r="E1490" s="15"/>
      <c r="F1490" s="13"/>
      <c r="G1490" s="16" t="str">
        <f aca="false">IF(OR(B1490="",E1490=""),"",E1490*IFERROR(INDEX(Müşteriler!$B$5:$B$54,MATCH(B1490,Müşteriler!$A$5:$A$54,0)),0))</f>
        <v/>
      </c>
    </row>
    <row r="1491" customFormat="false" ht="15" hidden="false" customHeight="false" outlineLevel="0" collapsed="false">
      <c r="A1491" s="12"/>
      <c r="B1491" s="13"/>
      <c r="C1491" s="14"/>
      <c r="D1491" s="14"/>
      <c r="E1491" s="15"/>
      <c r="F1491" s="13"/>
      <c r="G1491" s="16" t="str">
        <f aca="false">IF(OR(B1491="",E1491=""),"",E1491*IFERROR(INDEX(Müşteriler!$B$5:$B$54,MATCH(B1491,Müşteriler!$A$5:$A$54,0)),0))</f>
        <v/>
      </c>
    </row>
    <row r="1492" customFormat="false" ht="15" hidden="false" customHeight="false" outlineLevel="0" collapsed="false">
      <c r="A1492" s="12"/>
      <c r="B1492" s="13"/>
      <c r="C1492" s="14"/>
      <c r="D1492" s="14"/>
      <c r="E1492" s="15"/>
      <c r="F1492" s="13"/>
      <c r="G1492" s="16" t="str">
        <f aca="false">IF(OR(B1492="",E1492=""),"",E1492*IFERROR(INDEX(Müşteriler!$B$5:$B$54,MATCH(B1492,Müşteriler!$A$5:$A$54,0)),0))</f>
        <v/>
      </c>
    </row>
    <row r="1493" customFormat="false" ht="15" hidden="false" customHeight="false" outlineLevel="0" collapsed="false">
      <c r="A1493" s="12"/>
      <c r="B1493" s="13"/>
      <c r="C1493" s="14"/>
      <c r="D1493" s="14"/>
      <c r="E1493" s="15"/>
      <c r="F1493" s="13"/>
      <c r="G1493" s="16" t="str">
        <f aca="false">IF(OR(B1493="",E1493=""),"",E1493*IFERROR(INDEX(Müşteriler!$B$5:$B$54,MATCH(B1493,Müşteriler!$A$5:$A$54,0)),0))</f>
        <v/>
      </c>
    </row>
    <row r="1494" customFormat="false" ht="15" hidden="false" customHeight="false" outlineLevel="0" collapsed="false">
      <c r="A1494" s="12"/>
      <c r="B1494" s="13"/>
      <c r="C1494" s="14"/>
      <c r="D1494" s="14"/>
      <c r="E1494" s="15"/>
      <c r="F1494" s="13"/>
      <c r="G1494" s="16" t="str">
        <f aca="false">IF(OR(B1494="",E1494=""),"",E1494*IFERROR(INDEX(Müşteriler!$B$5:$B$54,MATCH(B1494,Müşteriler!$A$5:$A$54,0)),0))</f>
        <v/>
      </c>
    </row>
    <row r="1495" customFormat="false" ht="15" hidden="false" customHeight="false" outlineLevel="0" collapsed="false">
      <c r="A1495" s="12"/>
      <c r="B1495" s="13"/>
      <c r="C1495" s="14"/>
      <c r="D1495" s="14"/>
      <c r="E1495" s="15"/>
      <c r="F1495" s="13"/>
      <c r="G1495" s="16" t="str">
        <f aca="false">IF(OR(B1495="",E1495=""),"",E1495*IFERROR(INDEX(Müşteriler!$B$5:$B$54,MATCH(B1495,Müşteriler!$A$5:$A$54,0)),0))</f>
        <v/>
      </c>
    </row>
    <row r="1496" customFormat="false" ht="15" hidden="false" customHeight="false" outlineLevel="0" collapsed="false">
      <c r="A1496" s="12"/>
      <c r="B1496" s="13"/>
      <c r="C1496" s="14"/>
      <c r="D1496" s="14"/>
      <c r="E1496" s="15"/>
      <c r="F1496" s="13"/>
      <c r="G1496" s="16" t="str">
        <f aca="false">IF(OR(B1496="",E1496=""),"",E1496*IFERROR(INDEX(Müşteriler!$B$5:$B$54,MATCH(B1496,Müşteriler!$A$5:$A$54,0)),0))</f>
        <v/>
      </c>
    </row>
    <row r="1497" customFormat="false" ht="15" hidden="false" customHeight="false" outlineLevel="0" collapsed="false">
      <c r="A1497" s="12"/>
      <c r="B1497" s="13"/>
      <c r="C1497" s="14"/>
      <c r="D1497" s="14"/>
      <c r="E1497" s="15"/>
      <c r="F1497" s="13"/>
      <c r="G1497" s="16" t="str">
        <f aca="false">IF(OR(B1497="",E1497=""),"",E1497*IFERROR(INDEX(Müşteriler!$B$5:$B$54,MATCH(B1497,Müşteriler!$A$5:$A$54,0)),0))</f>
        <v/>
      </c>
    </row>
    <row r="1498" customFormat="false" ht="15" hidden="false" customHeight="false" outlineLevel="0" collapsed="false">
      <c r="A1498" s="12"/>
      <c r="B1498" s="13"/>
      <c r="C1498" s="14"/>
      <c r="D1498" s="14"/>
      <c r="E1498" s="15"/>
      <c r="F1498" s="13"/>
      <c r="G1498" s="16" t="str">
        <f aca="false">IF(OR(B1498="",E1498=""),"",E1498*IFERROR(INDEX(Müşteriler!$B$5:$B$54,MATCH(B1498,Müşteriler!$A$5:$A$54,0)),0))</f>
        <v/>
      </c>
    </row>
    <row r="1499" customFormat="false" ht="15" hidden="false" customHeight="false" outlineLevel="0" collapsed="false">
      <c r="A1499" s="12"/>
      <c r="B1499" s="13"/>
      <c r="C1499" s="14"/>
      <c r="D1499" s="14"/>
      <c r="E1499" s="15"/>
      <c r="F1499" s="13"/>
      <c r="G1499" s="16" t="str">
        <f aca="false">IF(OR(B1499="",E1499=""),"",E1499*IFERROR(INDEX(Müşteriler!$B$5:$B$54,MATCH(B1499,Müşteriler!$A$5:$A$54,0)),0))</f>
        <v/>
      </c>
    </row>
    <row r="1500" customFormat="false" ht="15" hidden="false" customHeight="false" outlineLevel="0" collapsed="false">
      <c r="A1500" s="12"/>
      <c r="B1500" s="13"/>
      <c r="C1500" s="14"/>
      <c r="D1500" s="14"/>
      <c r="E1500" s="15"/>
      <c r="F1500" s="13"/>
      <c r="G1500" s="16" t="str">
        <f aca="false">IF(OR(B1500="",E1500=""),"",E1500*IFERROR(INDEX(Müşteriler!$B$5:$B$54,MATCH(B1500,Müşteriler!$A$5:$A$54,0)),0))</f>
        <v/>
      </c>
    </row>
    <row r="1501" customFormat="false" ht="15" hidden="false" customHeight="false" outlineLevel="0" collapsed="false">
      <c r="A1501" s="12"/>
      <c r="B1501" s="13"/>
      <c r="C1501" s="14"/>
      <c r="D1501" s="14"/>
      <c r="E1501" s="15"/>
      <c r="F1501" s="13"/>
      <c r="G1501" s="16" t="str">
        <f aca="false">IF(OR(B1501="",E1501=""),"",E1501*IFERROR(INDEX(Müşteriler!$B$5:$B$54,MATCH(B1501,Müşteriler!$A$5:$A$54,0)),0))</f>
        <v/>
      </c>
    </row>
    <row r="1502" customFormat="false" ht="15" hidden="false" customHeight="false" outlineLevel="0" collapsed="false">
      <c r="A1502" s="12"/>
      <c r="B1502" s="13"/>
      <c r="C1502" s="14"/>
      <c r="D1502" s="14"/>
      <c r="E1502" s="15"/>
      <c r="F1502" s="13"/>
      <c r="G1502" s="16" t="str">
        <f aca="false">IF(OR(B1502="",E1502=""),"",E1502*IFERROR(INDEX(Müşteriler!$B$5:$B$54,MATCH(B1502,Müşteriler!$A$5:$A$54,0)),0))</f>
        <v/>
      </c>
    </row>
    <row r="1503" customFormat="false" ht="15" hidden="false" customHeight="false" outlineLevel="0" collapsed="false">
      <c r="A1503" s="12"/>
      <c r="B1503" s="13"/>
      <c r="C1503" s="14"/>
      <c r="D1503" s="14"/>
      <c r="E1503" s="15"/>
      <c r="F1503" s="13"/>
      <c r="G1503" s="16" t="str">
        <f aca="false">IF(OR(B1503="",E1503=""),"",E1503*IFERROR(INDEX(Müşteriler!$B$5:$B$54,MATCH(B1503,Müşteriler!$A$5:$A$54,0)),0))</f>
        <v/>
      </c>
    </row>
    <row r="1504" customFormat="false" ht="15" hidden="false" customHeight="false" outlineLevel="0" collapsed="false">
      <c r="A1504" s="12"/>
      <c r="B1504" s="13"/>
      <c r="C1504" s="14"/>
      <c r="D1504" s="14"/>
      <c r="E1504" s="15"/>
      <c r="F1504" s="13"/>
      <c r="G1504" s="16" t="str">
        <f aca="false">IF(OR(B1504="",E1504=""),"",E1504*IFERROR(INDEX(Müşteriler!$B$5:$B$54,MATCH(B1504,Müşteriler!$A$5:$A$54,0)),0))</f>
        <v/>
      </c>
    </row>
    <row r="1505" customFormat="false" ht="15" hidden="false" customHeight="false" outlineLevel="0" collapsed="false">
      <c r="A1505" s="12"/>
      <c r="B1505" s="13"/>
      <c r="C1505" s="14"/>
      <c r="D1505" s="14"/>
      <c r="E1505" s="15"/>
      <c r="F1505" s="13"/>
      <c r="G1505" s="16" t="str">
        <f aca="false">IF(OR(B1505="",E1505=""),"",E1505*IFERROR(INDEX(Müşteriler!$B$5:$B$54,MATCH(B1505,Müşteriler!$A$5:$A$54,0)),0))</f>
        <v/>
      </c>
    </row>
    <row r="1506" customFormat="false" ht="15" hidden="false" customHeight="false" outlineLevel="0" collapsed="false">
      <c r="A1506" s="12"/>
      <c r="B1506" s="13"/>
      <c r="C1506" s="14"/>
      <c r="D1506" s="14"/>
      <c r="E1506" s="15"/>
      <c r="F1506" s="13"/>
      <c r="G1506" s="16" t="str">
        <f aca="false">IF(OR(B1506="",E1506=""),"",E1506*IFERROR(INDEX(Müşteriler!$B$5:$B$54,MATCH(B1506,Müşteriler!$A$5:$A$54,0)),0))</f>
        <v/>
      </c>
    </row>
    <row r="1507" customFormat="false" ht="15" hidden="false" customHeight="false" outlineLevel="0" collapsed="false">
      <c r="A1507" s="12"/>
      <c r="B1507" s="13"/>
      <c r="C1507" s="14"/>
      <c r="D1507" s="14"/>
      <c r="E1507" s="15"/>
      <c r="F1507" s="13"/>
      <c r="G1507" s="16" t="str">
        <f aca="false">IF(OR(B1507="",E1507=""),"",E1507*IFERROR(INDEX(Müşteriler!$B$5:$B$54,MATCH(B1507,Müşteriler!$A$5:$A$54,0)),0))</f>
        <v/>
      </c>
    </row>
    <row r="1508" customFormat="false" ht="15" hidden="false" customHeight="false" outlineLevel="0" collapsed="false">
      <c r="A1508" s="12"/>
      <c r="B1508" s="13"/>
      <c r="C1508" s="14"/>
      <c r="D1508" s="14"/>
      <c r="E1508" s="15"/>
      <c r="F1508" s="13"/>
      <c r="G1508" s="16" t="str">
        <f aca="false">IF(OR(B1508="",E1508=""),"",E1508*IFERROR(INDEX(Müşteriler!$B$5:$B$54,MATCH(B1508,Müşteriler!$A$5:$A$54,0)),0))</f>
        <v/>
      </c>
    </row>
    <row r="1509" customFormat="false" ht="15" hidden="false" customHeight="false" outlineLevel="0" collapsed="false">
      <c r="A1509" s="12"/>
      <c r="B1509" s="13"/>
      <c r="C1509" s="14"/>
      <c r="D1509" s="14"/>
      <c r="E1509" s="15"/>
      <c r="F1509" s="13"/>
      <c r="G1509" s="16" t="str">
        <f aca="false">IF(OR(B1509="",E1509=""),"",E1509*IFERROR(INDEX(Müşteriler!$B$5:$B$54,MATCH(B1509,Müşteriler!$A$5:$A$54,0)),0))</f>
        <v/>
      </c>
    </row>
    <row r="1510" customFormat="false" ht="15" hidden="false" customHeight="false" outlineLevel="0" collapsed="false">
      <c r="A1510" s="12"/>
      <c r="B1510" s="13"/>
      <c r="C1510" s="14"/>
      <c r="D1510" s="14"/>
      <c r="E1510" s="15"/>
      <c r="F1510" s="13"/>
      <c r="G1510" s="16" t="str">
        <f aca="false">IF(OR(B1510="",E1510=""),"",E1510*IFERROR(INDEX(Müşteriler!$B$5:$B$54,MATCH(B1510,Müşteriler!$A$5:$A$54,0)),0))</f>
        <v/>
      </c>
    </row>
    <row r="1511" customFormat="false" ht="15" hidden="false" customHeight="false" outlineLevel="0" collapsed="false">
      <c r="A1511" s="12"/>
      <c r="B1511" s="13"/>
      <c r="C1511" s="14"/>
      <c r="D1511" s="14"/>
      <c r="E1511" s="15"/>
      <c r="F1511" s="13"/>
      <c r="G1511" s="16" t="str">
        <f aca="false">IF(OR(B1511="",E1511=""),"",E1511*IFERROR(INDEX(Müşteriler!$B$5:$B$54,MATCH(B1511,Müşteriler!$A$5:$A$54,0)),0))</f>
        <v/>
      </c>
    </row>
    <row r="1512" customFormat="false" ht="15" hidden="false" customHeight="false" outlineLevel="0" collapsed="false">
      <c r="A1512" s="12"/>
      <c r="B1512" s="13"/>
      <c r="C1512" s="14"/>
      <c r="D1512" s="14"/>
      <c r="E1512" s="15"/>
      <c r="F1512" s="13"/>
      <c r="G1512" s="16" t="str">
        <f aca="false">IF(OR(B1512="",E1512=""),"",E1512*IFERROR(INDEX(Müşteriler!$B$5:$B$54,MATCH(B1512,Müşteriler!$A$5:$A$54,0)),0))</f>
        <v/>
      </c>
    </row>
    <row r="1513" customFormat="false" ht="15" hidden="false" customHeight="false" outlineLevel="0" collapsed="false">
      <c r="A1513" s="12"/>
      <c r="B1513" s="13"/>
      <c r="C1513" s="14"/>
      <c r="D1513" s="14"/>
      <c r="E1513" s="15"/>
      <c r="F1513" s="13"/>
      <c r="G1513" s="16" t="str">
        <f aca="false">IF(OR(B1513="",E1513=""),"",E1513*IFERROR(INDEX(Müşteriler!$B$5:$B$54,MATCH(B1513,Müşteriler!$A$5:$A$54,0)),0))</f>
        <v/>
      </c>
    </row>
    <row r="1514" customFormat="false" ht="15" hidden="false" customHeight="false" outlineLevel="0" collapsed="false">
      <c r="A1514" s="12"/>
      <c r="B1514" s="13"/>
      <c r="C1514" s="14"/>
      <c r="D1514" s="14"/>
      <c r="E1514" s="15"/>
      <c r="F1514" s="13"/>
      <c r="G1514" s="16" t="str">
        <f aca="false">IF(OR(B1514="",E1514=""),"",E1514*IFERROR(INDEX(Müşteriler!$B$5:$B$54,MATCH(B1514,Müşteriler!$A$5:$A$54,0)),0))</f>
        <v/>
      </c>
    </row>
    <row r="1515" customFormat="false" ht="15" hidden="false" customHeight="false" outlineLevel="0" collapsed="false">
      <c r="A1515" s="12"/>
      <c r="B1515" s="13"/>
      <c r="C1515" s="14"/>
      <c r="D1515" s="14"/>
      <c r="E1515" s="15"/>
      <c r="F1515" s="13"/>
      <c r="G1515" s="16" t="str">
        <f aca="false">IF(OR(B1515="",E1515=""),"",E1515*IFERROR(INDEX(Müşteriler!$B$5:$B$54,MATCH(B1515,Müşteriler!$A$5:$A$54,0)),0))</f>
        <v/>
      </c>
    </row>
    <row r="1516" customFormat="false" ht="15" hidden="false" customHeight="false" outlineLevel="0" collapsed="false">
      <c r="A1516" s="12"/>
      <c r="B1516" s="13"/>
      <c r="C1516" s="14"/>
      <c r="D1516" s="14"/>
      <c r="E1516" s="15"/>
      <c r="F1516" s="13"/>
      <c r="G1516" s="16" t="str">
        <f aca="false">IF(OR(B1516="",E1516=""),"",E1516*IFERROR(INDEX(Müşteriler!$B$5:$B$54,MATCH(B1516,Müşteriler!$A$5:$A$54,0)),0))</f>
        <v/>
      </c>
    </row>
    <row r="1517" customFormat="false" ht="15" hidden="false" customHeight="false" outlineLevel="0" collapsed="false">
      <c r="A1517" s="12"/>
      <c r="B1517" s="13"/>
      <c r="C1517" s="14"/>
      <c r="D1517" s="14"/>
      <c r="E1517" s="15"/>
      <c r="F1517" s="13"/>
      <c r="G1517" s="16" t="str">
        <f aca="false">IF(OR(B1517="",E1517=""),"",E1517*IFERROR(INDEX(Müşteriler!$B$5:$B$54,MATCH(B1517,Müşteriler!$A$5:$A$54,0)),0))</f>
        <v/>
      </c>
    </row>
    <row r="1518" customFormat="false" ht="15" hidden="false" customHeight="false" outlineLevel="0" collapsed="false">
      <c r="A1518" s="12"/>
      <c r="B1518" s="13"/>
      <c r="C1518" s="14"/>
      <c r="D1518" s="14"/>
      <c r="E1518" s="15"/>
      <c r="F1518" s="13"/>
      <c r="G1518" s="16" t="str">
        <f aca="false">IF(OR(B1518="",E1518=""),"",E1518*IFERROR(INDEX(Müşteriler!$B$5:$B$54,MATCH(B1518,Müşteriler!$A$5:$A$54,0)),0))</f>
        <v/>
      </c>
    </row>
    <row r="1519" customFormat="false" ht="15" hidden="false" customHeight="false" outlineLevel="0" collapsed="false">
      <c r="A1519" s="12"/>
      <c r="B1519" s="13"/>
      <c r="C1519" s="14"/>
      <c r="D1519" s="14"/>
      <c r="E1519" s="15"/>
      <c r="F1519" s="13"/>
      <c r="G1519" s="16" t="str">
        <f aca="false">IF(OR(B1519="",E1519=""),"",E1519*IFERROR(INDEX(Müşteriler!$B$5:$B$54,MATCH(B1519,Müşteriler!$A$5:$A$54,0)),0))</f>
        <v/>
      </c>
    </row>
    <row r="1520" customFormat="false" ht="15" hidden="false" customHeight="false" outlineLevel="0" collapsed="false">
      <c r="A1520" s="12"/>
      <c r="B1520" s="13"/>
      <c r="C1520" s="14"/>
      <c r="D1520" s="14"/>
      <c r="E1520" s="15"/>
      <c r="F1520" s="13"/>
      <c r="G1520" s="16" t="str">
        <f aca="false">IF(OR(B1520="",E1520=""),"",E1520*IFERROR(INDEX(Müşteriler!$B$5:$B$54,MATCH(B1520,Müşteriler!$A$5:$A$54,0)),0))</f>
        <v/>
      </c>
    </row>
    <row r="1521" customFormat="false" ht="15" hidden="false" customHeight="false" outlineLevel="0" collapsed="false">
      <c r="A1521" s="12"/>
      <c r="B1521" s="13"/>
      <c r="C1521" s="14"/>
      <c r="D1521" s="14"/>
      <c r="E1521" s="15"/>
      <c r="F1521" s="13"/>
      <c r="G1521" s="16" t="str">
        <f aca="false">IF(OR(B1521="",E1521=""),"",E1521*IFERROR(INDEX(Müşteriler!$B$5:$B$54,MATCH(B1521,Müşteriler!$A$5:$A$54,0)),0))</f>
        <v/>
      </c>
    </row>
    <row r="1522" customFormat="false" ht="15" hidden="false" customHeight="false" outlineLevel="0" collapsed="false">
      <c r="A1522" s="12"/>
      <c r="B1522" s="13"/>
      <c r="C1522" s="14"/>
      <c r="D1522" s="14"/>
      <c r="E1522" s="15"/>
      <c r="F1522" s="13"/>
      <c r="G1522" s="16" t="str">
        <f aca="false">IF(OR(B1522="",E1522=""),"",E1522*IFERROR(INDEX(Müşteriler!$B$5:$B$54,MATCH(B1522,Müşteriler!$A$5:$A$54,0)),0))</f>
        <v/>
      </c>
    </row>
    <row r="1523" customFormat="false" ht="15" hidden="false" customHeight="false" outlineLevel="0" collapsed="false">
      <c r="A1523" s="12"/>
      <c r="B1523" s="13"/>
      <c r="C1523" s="14"/>
      <c r="D1523" s="14"/>
      <c r="E1523" s="15"/>
      <c r="F1523" s="13"/>
      <c r="G1523" s="16" t="str">
        <f aca="false">IF(OR(B1523="",E1523=""),"",E1523*IFERROR(INDEX(Müşteriler!$B$5:$B$54,MATCH(B1523,Müşteriler!$A$5:$A$54,0)),0))</f>
        <v/>
      </c>
    </row>
    <row r="1524" customFormat="false" ht="15" hidden="false" customHeight="false" outlineLevel="0" collapsed="false">
      <c r="A1524" s="12"/>
      <c r="B1524" s="13"/>
      <c r="C1524" s="14"/>
      <c r="D1524" s="14"/>
      <c r="E1524" s="15"/>
      <c r="F1524" s="13"/>
      <c r="G1524" s="16" t="str">
        <f aca="false">IF(OR(B1524="",E1524=""),"",E1524*IFERROR(INDEX(Müşteriler!$B$5:$B$54,MATCH(B1524,Müşteriler!$A$5:$A$54,0)),0))</f>
        <v/>
      </c>
    </row>
    <row r="1525" customFormat="false" ht="15" hidden="false" customHeight="false" outlineLevel="0" collapsed="false">
      <c r="A1525" s="12"/>
      <c r="B1525" s="13"/>
      <c r="C1525" s="14"/>
      <c r="D1525" s="14"/>
      <c r="E1525" s="15"/>
      <c r="F1525" s="13"/>
      <c r="G1525" s="16" t="str">
        <f aca="false">IF(OR(B1525="",E1525=""),"",E1525*IFERROR(INDEX(Müşteriler!$B$5:$B$54,MATCH(B1525,Müşteriler!$A$5:$A$54,0)),0))</f>
        <v/>
      </c>
    </row>
    <row r="1526" customFormat="false" ht="15" hidden="false" customHeight="false" outlineLevel="0" collapsed="false">
      <c r="A1526" s="12"/>
      <c r="B1526" s="13"/>
      <c r="C1526" s="14"/>
      <c r="D1526" s="14"/>
      <c r="E1526" s="15"/>
      <c r="F1526" s="13"/>
      <c r="G1526" s="16" t="str">
        <f aca="false">IF(OR(B1526="",E1526=""),"",E1526*IFERROR(INDEX(Müşteriler!$B$5:$B$54,MATCH(B1526,Müşteriler!$A$5:$A$54,0)),0))</f>
        <v/>
      </c>
    </row>
    <row r="1527" customFormat="false" ht="15" hidden="false" customHeight="false" outlineLevel="0" collapsed="false">
      <c r="A1527" s="12"/>
      <c r="B1527" s="13"/>
      <c r="C1527" s="14"/>
      <c r="D1527" s="14"/>
      <c r="E1527" s="15"/>
      <c r="F1527" s="13"/>
      <c r="G1527" s="16" t="str">
        <f aca="false">IF(OR(B1527="",E1527=""),"",E1527*IFERROR(INDEX(Müşteriler!$B$5:$B$54,MATCH(B1527,Müşteriler!$A$5:$A$54,0)),0))</f>
        <v/>
      </c>
    </row>
    <row r="1528" customFormat="false" ht="15" hidden="false" customHeight="false" outlineLevel="0" collapsed="false">
      <c r="A1528" s="12"/>
      <c r="B1528" s="13"/>
      <c r="C1528" s="14"/>
      <c r="D1528" s="14"/>
      <c r="E1528" s="15"/>
      <c r="F1528" s="13"/>
      <c r="G1528" s="16" t="str">
        <f aca="false">IF(OR(B1528="",E1528=""),"",E1528*IFERROR(INDEX(Müşteriler!$B$5:$B$54,MATCH(B1528,Müşteriler!$A$5:$A$54,0)),0))</f>
        <v/>
      </c>
    </row>
    <row r="1529" customFormat="false" ht="15" hidden="false" customHeight="false" outlineLevel="0" collapsed="false">
      <c r="A1529" s="12"/>
      <c r="B1529" s="13"/>
      <c r="C1529" s="14"/>
      <c r="D1529" s="14"/>
      <c r="E1529" s="15"/>
      <c r="F1529" s="13"/>
      <c r="G1529" s="16" t="str">
        <f aca="false">IF(OR(B1529="",E1529=""),"",E1529*IFERROR(INDEX(Müşteriler!$B$5:$B$54,MATCH(B1529,Müşteriler!$A$5:$A$54,0)),0))</f>
        <v/>
      </c>
    </row>
    <row r="1530" customFormat="false" ht="15" hidden="false" customHeight="false" outlineLevel="0" collapsed="false">
      <c r="A1530" s="12"/>
      <c r="B1530" s="13"/>
      <c r="C1530" s="14"/>
      <c r="D1530" s="14"/>
      <c r="E1530" s="15"/>
      <c r="F1530" s="13"/>
      <c r="G1530" s="16" t="str">
        <f aca="false">IF(OR(B1530="",E1530=""),"",E1530*IFERROR(INDEX(Müşteriler!$B$5:$B$54,MATCH(B1530,Müşteriler!$A$5:$A$54,0)),0))</f>
        <v/>
      </c>
    </row>
    <row r="1531" customFormat="false" ht="15" hidden="false" customHeight="false" outlineLevel="0" collapsed="false">
      <c r="A1531" s="12"/>
      <c r="B1531" s="13"/>
      <c r="C1531" s="14"/>
      <c r="D1531" s="14"/>
      <c r="E1531" s="15"/>
      <c r="F1531" s="13"/>
      <c r="G1531" s="16" t="str">
        <f aca="false">IF(OR(B1531="",E1531=""),"",E1531*IFERROR(INDEX(Müşteriler!$B$5:$B$54,MATCH(B1531,Müşteriler!$A$5:$A$54,0)),0))</f>
        <v/>
      </c>
    </row>
    <row r="1532" customFormat="false" ht="15" hidden="false" customHeight="false" outlineLevel="0" collapsed="false">
      <c r="A1532" s="12"/>
      <c r="B1532" s="13"/>
      <c r="C1532" s="14"/>
      <c r="D1532" s="14"/>
      <c r="E1532" s="15"/>
      <c r="F1532" s="13"/>
      <c r="G1532" s="16" t="str">
        <f aca="false">IF(OR(B1532="",E1532=""),"",E1532*IFERROR(INDEX(Müşteriler!$B$5:$B$54,MATCH(B1532,Müşteriler!$A$5:$A$54,0)),0))</f>
        <v/>
      </c>
    </row>
    <row r="1533" customFormat="false" ht="15" hidden="false" customHeight="false" outlineLevel="0" collapsed="false">
      <c r="A1533" s="12"/>
      <c r="B1533" s="13"/>
      <c r="C1533" s="14"/>
      <c r="D1533" s="14"/>
      <c r="E1533" s="15"/>
      <c r="F1533" s="13"/>
      <c r="G1533" s="16" t="str">
        <f aca="false">IF(OR(B1533="",E1533=""),"",E1533*IFERROR(INDEX(Müşteriler!$B$5:$B$54,MATCH(B1533,Müşteriler!$A$5:$A$54,0)),0))</f>
        <v/>
      </c>
    </row>
    <row r="1534" customFormat="false" ht="15" hidden="false" customHeight="false" outlineLevel="0" collapsed="false">
      <c r="A1534" s="12"/>
      <c r="B1534" s="13"/>
      <c r="C1534" s="14"/>
      <c r="D1534" s="14"/>
      <c r="E1534" s="15"/>
      <c r="F1534" s="13"/>
      <c r="G1534" s="16" t="str">
        <f aca="false">IF(OR(B1534="",E1534=""),"",E1534*IFERROR(INDEX(Müşteriler!$B$5:$B$54,MATCH(B1534,Müşteriler!$A$5:$A$54,0)),0))</f>
        <v/>
      </c>
    </row>
    <row r="1535" customFormat="false" ht="15" hidden="false" customHeight="false" outlineLevel="0" collapsed="false">
      <c r="A1535" s="12"/>
      <c r="B1535" s="13"/>
      <c r="C1535" s="14"/>
      <c r="D1535" s="14"/>
      <c r="E1535" s="15"/>
      <c r="F1535" s="13"/>
      <c r="G1535" s="16" t="str">
        <f aca="false">IF(OR(B1535="",E1535=""),"",E1535*IFERROR(INDEX(Müşteriler!$B$5:$B$54,MATCH(B1535,Müşteriler!$A$5:$A$54,0)),0))</f>
        <v/>
      </c>
    </row>
    <row r="1536" customFormat="false" ht="15" hidden="false" customHeight="false" outlineLevel="0" collapsed="false">
      <c r="A1536" s="12"/>
      <c r="B1536" s="13"/>
      <c r="C1536" s="14"/>
      <c r="D1536" s="14"/>
      <c r="E1536" s="15"/>
      <c r="F1536" s="13"/>
      <c r="G1536" s="16" t="str">
        <f aca="false">IF(OR(B1536="",E1536=""),"",E1536*IFERROR(INDEX(Müşteriler!$B$5:$B$54,MATCH(B1536,Müşteriler!$A$5:$A$54,0)),0))</f>
        <v/>
      </c>
    </row>
    <row r="1537" customFormat="false" ht="15" hidden="false" customHeight="false" outlineLevel="0" collapsed="false">
      <c r="A1537" s="12"/>
      <c r="B1537" s="13"/>
      <c r="C1537" s="14"/>
      <c r="D1537" s="14"/>
      <c r="E1537" s="15"/>
      <c r="F1537" s="13"/>
      <c r="G1537" s="16" t="str">
        <f aca="false">IF(OR(B1537="",E1537=""),"",E1537*IFERROR(INDEX(Müşteriler!$B$5:$B$54,MATCH(B1537,Müşteriler!$A$5:$A$54,0)),0))</f>
        <v/>
      </c>
    </row>
    <row r="1538" customFormat="false" ht="15" hidden="false" customHeight="false" outlineLevel="0" collapsed="false">
      <c r="A1538" s="12"/>
      <c r="B1538" s="13"/>
      <c r="C1538" s="14"/>
      <c r="D1538" s="14"/>
      <c r="E1538" s="15"/>
      <c r="F1538" s="13"/>
      <c r="G1538" s="16" t="str">
        <f aca="false">IF(OR(B1538="",E1538=""),"",E1538*IFERROR(INDEX(Müşteriler!$B$5:$B$54,MATCH(B1538,Müşteriler!$A$5:$A$54,0)),0))</f>
        <v/>
      </c>
    </row>
    <row r="1539" customFormat="false" ht="15" hidden="false" customHeight="false" outlineLevel="0" collapsed="false">
      <c r="A1539" s="12"/>
      <c r="B1539" s="13"/>
      <c r="C1539" s="14"/>
      <c r="D1539" s="14"/>
      <c r="E1539" s="15"/>
      <c r="F1539" s="13"/>
      <c r="G1539" s="16" t="str">
        <f aca="false">IF(OR(B1539="",E1539=""),"",E1539*IFERROR(INDEX(Müşteriler!$B$5:$B$54,MATCH(B1539,Müşteriler!$A$5:$A$54,0)),0))</f>
        <v/>
      </c>
    </row>
    <row r="1540" customFormat="false" ht="15" hidden="false" customHeight="false" outlineLevel="0" collapsed="false">
      <c r="A1540" s="12"/>
      <c r="B1540" s="13"/>
      <c r="C1540" s="14"/>
      <c r="D1540" s="14"/>
      <c r="E1540" s="15"/>
      <c r="F1540" s="13"/>
      <c r="G1540" s="16" t="str">
        <f aca="false">IF(OR(B1540="",E1540=""),"",E1540*IFERROR(INDEX(Müşteriler!$B$5:$B$54,MATCH(B1540,Müşteriler!$A$5:$A$54,0)),0))</f>
        <v/>
      </c>
    </row>
    <row r="1541" customFormat="false" ht="15" hidden="false" customHeight="false" outlineLevel="0" collapsed="false">
      <c r="A1541" s="12"/>
      <c r="B1541" s="13"/>
      <c r="C1541" s="14"/>
      <c r="D1541" s="14"/>
      <c r="E1541" s="15"/>
      <c r="F1541" s="13"/>
      <c r="G1541" s="16" t="str">
        <f aca="false">IF(OR(B1541="",E1541=""),"",E1541*IFERROR(INDEX(Müşteriler!$B$5:$B$54,MATCH(B1541,Müşteriler!$A$5:$A$54,0)),0))</f>
        <v/>
      </c>
    </row>
    <row r="1542" customFormat="false" ht="15" hidden="false" customHeight="false" outlineLevel="0" collapsed="false">
      <c r="A1542" s="12"/>
      <c r="B1542" s="13"/>
      <c r="C1542" s="14"/>
      <c r="D1542" s="14"/>
      <c r="E1542" s="15"/>
      <c r="F1542" s="13"/>
      <c r="G1542" s="16" t="str">
        <f aca="false">IF(OR(B1542="",E1542=""),"",E1542*IFERROR(INDEX(Müşteriler!$B$5:$B$54,MATCH(B1542,Müşteriler!$A$5:$A$54,0)),0))</f>
        <v/>
      </c>
    </row>
    <row r="1543" customFormat="false" ht="15" hidden="false" customHeight="false" outlineLevel="0" collapsed="false">
      <c r="A1543" s="12"/>
      <c r="B1543" s="13"/>
      <c r="C1543" s="14"/>
      <c r="D1543" s="14"/>
      <c r="E1543" s="15"/>
      <c r="F1543" s="13"/>
      <c r="G1543" s="16" t="str">
        <f aca="false">IF(OR(B1543="",E1543=""),"",E1543*IFERROR(INDEX(Müşteriler!$B$5:$B$54,MATCH(B1543,Müşteriler!$A$5:$A$54,0)),0))</f>
        <v/>
      </c>
    </row>
    <row r="1544" customFormat="false" ht="15" hidden="false" customHeight="false" outlineLevel="0" collapsed="false">
      <c r="A1544" s="12"/>
      <c r="B1544" s="13"/>
      <c r="C1544" s="14"/>
      <c r="D1544" s="14"/>
      <c r="E1544" s="15"/>
      <c r="F1544" s="13"/>
      <c r="G1544" s="16" t="str">
        <f aca="false">IF(OR(B1544="",E1544=""),"",E1544*IFERROR(INDEX(Müşteriler!$B$5:$B$54,MATCH(B1544,Müşteriler!$A$5:$A$54,0)),0))</f>
        <v/>
      </c>
    </row>
    <row r="1545" customFormat="false" ht="15" hidden="false" customHeight="false" outlineLevel="0" collapsed="false">
      <c r="A1545" s="12"/>
      <c r="B1545" s="13"/>
      <c r="C1545" s="14"/>
      <c r="D1545" s="14"/>
      <c r="E1545" s="15"/>
      <c r="F1545" s="13"/>
      <c r="G1545" s="16" t="str">
        <f aca="false">IF(OR(B1545="",E1545=""),"",E1545*IFERROR(INDEX(Müşteriler!$B$5:$B$54,MATCH(B1545,Müşteriler!$A$5:$A$54,0)),0))</f>
        <v/>
      </c>
    </row>
    <row r="1546" customFormat="false" ht="15" hidden="false" customHeight="false" outlineLevel="0" collapsed="false">
      <c r="A1546" s="12"/>
      <c r="B1546" s="13"/>
      <c r="C1546" s="14"/>
      <c r="D1546" s="14"/>
      <c r="E1546" s="15"/>
      <c r="F1546" s="13"/>
      <c r="G1546" s="16" t="str">
        <f aca="false">IF(OR(B1546="",E1546=""),"",E1546*IFERROR(INDEX(Müşteriler!$B$5:$B$54,MATCH(B1546,Müşteriler!$A$5:$A$54,0)),0))</f>
        <v/>
      </c>
    </row>
    <row r="1547" customFormat="false" ht="15" hidden="false" customHeight="false" outlineLevel="0" collapsed="false">
      <c r="A1547" s="12"/>
      <c r="B1547" s="13"/>
      <c r="C1547" s="14"/>
      <c r="D1547" s="14"/>
      <c r="E1547" s="15"/>
      <c r="F1547" s="13"/>
      <c r="G1547" s="16" t="str">
        <f aca="false">IF(OR(B1547="",E1547=""),"",E1547*IFERROR(INDEX(Müşteriler!$B$5:$B$54,MATCH(B1547,Müşteriler!$A$5:$A$54,0)),0))</f>
        <v/>
      </c>
    </row>
    <row r="1548" customFormat="false" ht="15" hidden="false" customHeight="false" outlineLevel="0" collapsed="false">
      <c r="A1548" s="12"/>
      <c r="B1548" s="13"/>
      <c r="C1548" s="14"/>
      <c r="D1548" s="14"/>
      <c r="E1548" s="15"/>
      <c r="F1548" s="13"/>
      <c r="G1548" s="16" t="str">
        <f aca="false">IF(OR(B1548="",E1548=""),"",E1548*IFERROR(INDEX(Müşteriler!$B$5:$B$54,MATCH(B1548,Müşteriler!$A$5:$A$54,0)),0))</f>
        <v/>
      </c>
    </row>
    <row r="1549" customFormat="false" ht="15" hidden="false" customHeight="false" outlineLevel="0" collapsed="false">
      <c r="A1549" s="12"/>
      <c r="B1549" s="13"/>
      <c r="C1549" s="14"/>
      <c r="D1549" s="14"/>
      <c r="E1549" s="15"/>
      <c r="F1549" s="13"/>
      <c r="G1549" s="16" t="str">
        <f aca="false">IF(OR(B1549="",E1549=""),"",E1549*IFERROR(INDEX(Müşteriler!$B$5:$B$54,MATCH(B1549,Müşteriler!$A$5:$A$54,0)),0))</f>
        <v/>
      </c>
    </row>
    <row r="1550" customFormat="false" ht="15" hidden="false" customHeight="false" outlineLevel="0" collapsed="false">
      <c r="A1550" s="12"/>
      <c r="B1550" s="13"/>
      <c r="C1550" s="14"/>
      <c r="D1550" s="14"/>
      <c r="E1550" s="15"/>
      <c r="F1550" s="13"/>
      <c r="G1550" s="16" t="str">
        <f aca="false">IF(OR(B1550="",E1550=""),"",E1550*IFERROR(INDEX(Müşteriler!$B$5:$B$54,MATCH(B1550,Müşteriler!$A$5:$A$54,0)),0))</f>
        <v/>
      </c>
    </row>
    <row r="1551" customFormat="false" ht="15" hidden="false" customHeight="false" outlineLevel="0" collapsed="false">
      <c r="A1551" s="12"/>
      <c r="B1551" s="13"/>
      <c r="C1551" s="14"/>
      <c r="D1551" s="14"/>
      <c r="E1551" s="15"/>
      <c r="F1551" s="13"/>
      <c r="G1551" s="16" t="str">
        <f aca="false">IF(OR(B1551="",E1551=""),"",E1551*IFERROR(INDEX(Müşteriler!$B$5:$B$54,MATCH(B1551,Müşteriler!$A$5:$A$54,0)),0))</f>
        <v/>
      </c>
    </row>
    <row r="1552" customFormat="false" ht="15" hidden="false" customHeight="false" outlineLevel="0" collapsed="false">
      <c r="A1552" s="12"/>
      <c r="B1552" s="13"/>
      <c r="C1552" s="14"/>
      <c r="D1552" s="14"/>
      <c r="E1552" s="15"/>
      <c r="F1552" s="13"/>
      <c r="G1552" s="16" t="str">
        <f aca="false">IF(OR(B1552="",E1552=""),"",E1552*IFERROR(INDEX(Müşteriler!$B$5:$B$54,MATCH(B1552,Müşteriler!$A$5:$A$54,0)),0))</f>
        <v/>
      </c>
    </row>
    <row r="1553" customFormat="false" ht="15" hidden="false" customHeight="false" outlineLevel="0" collapsed="false">
      <c r="A1553" s="12"/>
      <c r="B1553" s="13"/>
      <c r="C1553" s="14"/>
      <c r="D1553" s="14"/>
      <c r="E1553" s="15"/>
      <c r="F1553" s="13"/>
      <c r="G1553" s="16" t="str">
        <f aca="false">IF(OR(B1553="",E1553=""),"",E1553*IFERROR(INDEX(Müşteriler!$B$5:$B$54,MATCH(B1553,Müşteriler!$A$5:$A$54,0)),0))</f>
        <v/>
      </c>
    </row>
    <row r="1554" customFormat="false" ht="15" hidden="false" customHeight="false" outlineLevel="0" collapsed="false">
      <c r="A1554" s="12"/>
      <c r="B1554" s="13"/>
      <c r="C1554" s="14"/>
      <c r="D1554" s="14"/>
      <c r="E1554" s="15"/>
      <c r="F1554" s="13"/>
      <c r="G1554" s="16" t="str">
        <f aca="false">IF(OR(B1554="",E1554=""),"",E1554*IFERROR(INDEX(Müşteriler!$B$5:$B$54,MATCH(B1554,Müşteriler!$A$5:$A$54,0)),0))</f>
        <v/>
      </c>
    </row>
    <row r="1555" customFormat="false" ht="15" hidden="false" customHeight="false" outlineLevel="0" collapsed="false">
      <c r="A1555" s="12"/>
      <c r="B1555" s="13"/>
      <c r="C1555" s="14"/>
      <c r="D1555" s="14"/>
      <c r="E1555" s="15"/>
      <c r="F1555" s="13"/>
      <c r="G1555" s="16" t="str">
        <f aca="false">IF(OR(B1555="",E1555=""),"",E1555*IFERROR(INDEX(Müşteriler!$B$5:$B$54,MATCH(B1555,Müşteriler!$A$5:$A$54,0)),0))</f>
        <v/>
      </c>
    </row>
    <row r="1556" customFormat="false" ht="15" hidden="false" customHeight="false" outlineLevel="0" collapsed="false">
      <c r="A1556" s="12"/>
      <c r="B1556" s="13"/>
      <c r="C1556" s="14"/>
      <c r="D1556" s="14"/>
      <c r="E1556" s="15"/>
      <c r="F1556" s="13"/>
      <c r="G1556" s="16" t="str">
        <f aca="false">IF(OR(B1556="",E1556=""),"",E1556*IFERROR(INDEX(Müşteriler!$B$5:$B$54,MATCH(B1556,Müşteriler!$A$5:$A$54,0)),0))</f>
        <v/>
      </c>
    </row>
    <row r="1557" customFormat="false" ht="15" hidden="false" customHeight="false" outlineLevel="0" collapsed="false">
      <c r="A1557" s="12"/>
      <c r="B1557" s="13"/>
      <c r="C1557" s="14"/>
      <c r="D1557" s="14"/>
      <c r="E1557" s="15"/>
      <c r="F1557" s="13"/>
      <c r="G1557" s="16" t="str">
        <f aca="false">IF(OR(B1557="",E1557=""),"",E1557*IFERROR(INDEX(Müşteriler!$B$5:$B$54,MATCH(B1557,Müşteriler!$A$5:$A$54,0)),0))</f>
        <v/>
      </c>
    </row>
    <row r="1558" customFormat="false" ht="15" hidden="false" customHeight="false" outlineLevel="0" collapsed="false">
      <c r="A1558" s="12"/>
      <c r="B1558" s="13"/>
      <c r="C1558" s="14"/>
      <c r="D1558" s="14"/>
      <c r="E1558" s="15"/>
      <c r="F1558" s="13"/>
      <c r="G1558" s="16" t="str">
        <f aca="false">IF(OR(B1558="",E1558=""),"",E1558*IFERROR(INDEX(Müşteriler!$B$5:$B$54,MATCH(B1558,Müşteriler!$A$5:$A$54,0)),0))</f>
        <v/>
      </c>
    </row>
    <row r="1559" customFormat="false" ht="15" hidden="false" customHeight="false" outlineLevel="0" collapsed="false">
      <c r="A1559" s="12"/>
      <c r="B1559" s="13"/>
      <c r="C1559" s="14"/>
      <c r="D1559" s="14"/>
      <c r="E1559" s="15"/>
      <c r="F1559" s="13"/>
      <c r="G1559" s="16" t="str">
        <f aca="false">IF(OR(B1559="",E1559=""),"",E1559*IFERROR(INDEX(Müşteriler!$B$5:$B$54,MATCH(B1559,Müşteriler!$A$5:$A$54,0)),0))</f>
        <v/>
      </c>
    </row>
    <row r="1560" customFormat="false" ht="15" hidden="false" customHeight="false" outlineLevel="0" collapsed="false">
      <c r="A1560" s="12"/>
      <c r="B1560" s="13"/>
      <c r="C1560" s="14"/>
      <c r="D1560" s="14"/>
      <c r="E1560" s="15"/>
      <c r="F1560" s="13"/>
      <c r="G1560" s="16" t="str">
        <f aca="false">IF(OR(B1560="",E1560=""),"",E1560*IFERROR(INDEX(Müşteriler!$B$5:$B$54,MATCH(B1560,Müşteriler!$A$5:$A$54,0)),0))</f>
        <v/>
      </c>
    </row>
    <row r="1561" customFormat="false" ht="15" hidden="false" customHeight="false" outlineLevel="0" collapsed="false">
      <c r="A1561" s="12"/>
      <c r="B1561" s="13"/>
      <c r="C1561" s="14"/>
      <c r="D1561" s="14"/>
      <c r="E1561" s="15"/>
      <c r="F1561" s="13"/>
      <c r="G1561" s="16" t="str">
        <f aca="false">IF(OR(B1561="",E1561=""),"",E1561*IFERROR(INDEX(Müşteriler!$B$5:$B$54,MATCH(B1561,Müşteriler!$A$5:$A$54,0)),0))</f>
        <v/>
      </c>
    </row>
    <row r="1562" customFormat="false" ht="15" hidden="false" customHeight="false" outlineLevel="0" collapsed="false">
      <c r="A1562" s="12"/>
      <c r="B1562" s="13"/>
      <c r="C1562" s="14"/>
      <c r="D1562" s="14"/>
      <c r="E1562" s="15"/>
      <c r="F1562" s="13"/>
      <c r="G1562" s="16" t="str">
        <f aca="false">IF(OR(B1562="",E1562=""),"",E1562*IFERROR(INDEX(Müşteriler!$B$5:$B$54,MATCH(B1562,Müşteriler!$A$5:$A$54,0)),0))</f>
        <v/>
      </c>
    </row>
    <row r="1563" customFormat="false" ht="15" hidden="false" customHeight="false" outlineLevel="0" collapsed="false">
      <c r="A1563" s="12"/>
      <c r="B1563" s="13"/>
      <c r="C1563" s="14"/>
      <c r="D1563" s="14"/>
      <c r="E1563" s="15"/>
      <c r="F1563" s="13"/>
      <c r="G1563" s="16" t="str">
        <f aca="false">IF(OR(B1563="",E1563=""),"",E1563*IFERROR(INDEX(Müşteriler!$B$5:$B$54,MATCH(B1563,Müşteriler!$A$5:$A$54,0)),0))</f>
        <v/>
      </c>
    </row>
    <row r="1564" customFormat="false" ht="15" hidden="false" customHeight="false" outlineLevel="0" collapsed="false">
      <c r="A1564" s="12"/>
      <c r="B1564" s="13"/>
      <c r="C1564" s="14"/>
      <c r="D1564" s="14"/>
      <c r="E1564" s="15"/>
      <c r="F1564" s="13"/>
      <c r="G1564" s="16" t="str">
        <f aca="false">IF(OR(B1564="",E1564=""),"",E1564*IFERROR(INDEX(Müşteriler!$B$5:$B$54,MATCH(B1564,Müşteriler!$A$5:$A$54,0)),0))</f>
        <v/>
      </c>
    </row>
    <row r="1565" customFormat="false" ht="15" hidden="false" customHeight="false" outlineLevel="0" collapsed="false">
      <c r="A1565" s="12"/>
      <c r="B1565" s="13"/>
      <c r="C1565" s="14"/>
      <c r="D1565" s="14"/>
      <c r="E1565" s="15"/>
      <c r="F1565" s="13"/>
      <c r="G1565" s="16" t="str">
        <f aca="false">IF(OR(B1565="",E1565=""),"",E1565*IFERROR(INDEX(Müşteriler!$B$5:$B$54,MATCH(B1565,Müşteriler!$A$5:$A$54,0)),0))</f>
        <v/>
      </c>
    </row>
    <row r="1566" customFormat="false" ht="15" hidden="false" customHeight="false" outlineLevel="0" collapsed="false">
      <c r="A1566" s="12"/>
      <c r="B1566" s="13"/>
      <c r="C1566" s="14"/>
      <c r="D1566" s="14"/>
      <c r="E1566" s="15"/>
      <c r="F1566" s="13"/>
      <c r="G1566" s="16" t="str">
        <f aca="false">IF(OR(B1566="",E1566=""),"",E1566*IFERROR(INDEX(Müşteriler!$B$5:$B$54,MATCH(B1566,Müşteriler!$A$5:$A$54,0)),0))</f>
        <v/>
      </c>
    </row>
    <row r="1567" customFormat="false" ht="15" hidden="false" customHeight="false" outlineLevel="0" collapsed="false">
      <c r="A1567" s="12"/>
      <c r="B1567" s="13"/>
      <c r="C1567" s="14"/>
      <c r="D1567" s="14"/>
      <c r="E1567" s="15"/>
      <c r="F1567" s="13"/>
      <c r="G1567" s="16" t="str">
        <f aca="false">IF(OR(B1567="",E1567=""),"",E1567*IFERROR(INDEX(Müşteriler!$B$5:$B$54,MATCH(B1567,Müşteriler!$A$5:$A$54,0)),0))</f>
        <v/>
      </c>
    </row>
    <row r="1568" customFormat="false" ht="15" hidden="false" customHeight="false" outlineLevel="0" collapsed="false">
      <c r="A1568" s="12"/>
      <c r="B1568" s="13"/>
      <c r="C1568" s="14"/>
      <c r="D1568" s="14"/>
      <c r="E1568" s="15"/>
      <c r="F1568" s="13"/>
      <c r="G1568" s="16" t="str">
        <f aca="false">IF(OR(B1568="",E1568=""),"",E1568*IFERROR(INDEX(Müşteriler!$B$5:$B$54,MATCH(B1568,Müşteriler!$A$5:$A$54,0)),0))</f>
        <v/>
      </c>
    </row>
    <row r="1569" customFormat="false" ht="15" hidden="false" customHeight="false" outlineLevel="0" collapsed="false">
      <c r="A1569" s="12"/>
      <c r="B1569" s="13"/>
      <c r="C1569" s="14"/>
      <c r="D1569" s="14"/>
      <c r="E1569" s="15"/>
      <c r="F1569" s="13"/>
      <c r="G1569" s="16" t="str">
        <f aca="false">IF(OR(B1569="",E1569=""),"",E1569*IFERROR(INDEX(Müşteriler!$B$5:$B$54,MATCH(B1569,Müşteriler!$A$5:$A$54,0)),0))</f>
        <v/>
      </c>
    </row>
    <row r="1570" customFormat="false" ht="15" hidden="false" customHeight="false" outlineLevel="0" collapsed="false">
      <c r="A1570" s="12"/>
      <c r="B1570" s="13"/>
      <c r="C1570" s="14"/>
      <c r="D1570" s="14"/>
      <c r="E1570" s="15"/>
      <c r="F1570" s="13"/>
      <c r="G1570" s="16" t="str">
        <f aca="false">IF(OR(B1570="",E1570=""),"",E1570*IFERROR(INDEX(Müşteriler!$B$5:$B$54,MATCH(B1570,Müşteriler!$A$5:$A$54,0)),0))</f>
        <v/>
      </c>
    </row>
    <row r="1571" customFormat="false" ht="15" hidden="false" customHeight="false" outlineLevel="0" collapsed="false">
      <c r="A1571" s="12"/>
      <c r="B1571" s="13"/>
      <c r="C1571" s="14"/>
      <c r="D1571" s="14"/>
      <c r="E1571" s="15"/>
      <c r="F1571" s="13"/>
      <c r="G1571" s="16" t="str">
        <f aca="false">IF(OR(B1571="",E1571=""),"",E1571*IFERROR(INDEX(Müşteriler!$B$5:$B$54,MATCH(B1571,Müşteriler!$A$5:$A$54,0)),0))</f>
        <v/>
      </c>
    </row>
    <row r="1572" customFormat="false" ht="15" hidden="false" customHeight="false" outlineLevel="0" collapsed="false">
      <c r="A1572" s="12"/>
      <c r="B1572" s="13"/>
      <c r="C1572" s="14"/>
      <c r="D1572" s="14"/>
      <c r="E1572" s="15"/>
      <c r="F1572" s="13"/>
      <c r="G1572" s="16" t="str">
        <f aca="false">IF(OR(B1572="",E1572=""),"",E1572*IFERROR(INDEX(Müşteriler!$B$5:$B$54,MATCH(B1572,Müşteriler!$A$5:$A$54,0)),0))</f>
        <v/>
      </c>
    </row>
    <row r="1573" customFormat="false" ht="15" hidden="false" customHeight="false" outlineLevel="0" collapsed="false">
      <c r="A1573" s="12"/>
      <c r="B1573" s="13"/>
      <c r="C1573" s="14"/>
      <c r="D1573" s="14"/>
      <c r="E1573" s="15"/>
      <c r="F1573" s="13"/>
      <c r="G1573" s="16" t="str">
        <f aca="false">IF(OR(B1573="",E1573=""),"",E1573*IFERROR(INDEX(Müşteriler!$B$5:$B$54,MATCH(B1573,Müşteriler!$A$5:$A$54,0)),0))</f>
        <v/>
      </c>
    </row>
    <row r="1574" customFormat="false" ht="15" hidden="false" customHeight="false" outlineLevel="0" collapsed="false">
      <c r="A1574" s="12"/>
      <c r="B1574" s="13"/>
      <c r="C1574" s="14"/>
      <c r="D1574" s="14"/>
      <c r="E1574" s="15"/>
      <c r="F1574" s="13"/>
      <c r="G1574" s="16" t="str">
        <f aca="false">IF(OR(B1574="",E1574=""),"",E1574*IFERROR(INDEX(Müşteriler!$B$5:$B$54,MATCH(B1574,Müşteriler!$A$5:$A$54,0)),0))</f>
        <v/>
      </c>
    </row>
    <row r="1575" customFormat="false" ht="15" hidden="false" customHeight="false" outlineLevel="0" collapsed="false">
      <c r="A1575" s="12"/>
      <c r="B1575" s="13"/>
      <c r="C1575" s="14"/>
      <c r="D1575" s="14"/>
      <c r="E1575" s="15"/>
      <c r="F1575" s="13"/>
      <c r="G1575" s="16" t="str">
        <f aca="false">IF(OR(B1575="",E1575=""),"",E1575*IFERROR(INDEX(Müşteriler!$B$5:$B$54,MATCH(B1575,Müşteriler!$A$5:$A$54,0)),0))</f>
        <v/>
      </c>
    </row>
    <row r="1576" customFormat="false" ht="15" hidden="false" customHeight="false" outlineLevel="0" collapsed="false">
      <c r="A1576" s="12"/>
      <c r="B1576" s="13"/>
      <c r="C1576" s="14"/>
      <c r="D1576" s="14"/>
      <c r="E1576" s="15"/>
      <c r="F1576" s="13"/>
      <c r="G1576" s="16" t="str">
        <f aca="false">IF(OR(B1576="",E1576=""),"",E1576*IFERROR(INDEX(Müşteriler!$B$5:$B$54,MATCH(B1576,Müşteriler!$A$5:$A$54,0)),0))</f>
        <v/>
      </c>
    </row>
    <row r="1577" customFormat="false" ht="15" hidden="false" customHeight="false" outlineLevel="0" collapsed="false">
      <c r="A1577" s="12"/>
      <c r="B1577" s="13"/>
      <c r="C1577" s="14"/>
      <c r="D1577" s="14"/>
      <c r="E1577" s="15"/>
      <c r="F1577" s="13"/>
      <c r="G1577" s="16" t="str">
        <f aca="false">IF(OR(B1577="",E1577=""),"",E1577*IFERROR(INDEX(Müşteriler!$B$5:$B$54,MATCH(B1577,Müşteriler!$A$5:$A$54,0)),0))</f>
        <v/>
      </c>
    </row>
    <row r="1578" customFormat="false" ht="15" hidden="false" customHeight="false" outlineLevel="0" collapsed="false">
      <c r="A1578" s="12"/>
      <c r="B1578" s="13"/>
      <c r="C1578" s="14"/>
      <c r="D1578" s="14"/>
      <c r="E1578" s="15"/>
      <c r="F1578" s="13"/>
      <c r="G1578" s="16" t="str">
        <f aca="false">IF(OR(B1578="",E1578=""),"",E1578*IFERROR(INDEX(Müşteriler!$B$5:$B$54,MATCH(B1578,Müşteriler!$A$5:$A$54,0)),0))</f>
        <v/>
      </c>
    </row>
    <row r="1579" customFormat="false" ht="15" hidden="false" customHeight="false" outlineLevel="0" collapsed="false">
      <c r="A1579" s="12"/>
      <c r="B1579" s="13"/>
      <c r="C1579" s="14"/>
      <c r="D1579" s="14"/>
      <c r="E1579" s="15"/>
      <c r="F1579" s="13"/>
      <c r="G1579" s="16" t="str">
        <f aca="false">IF(OR(B1579="",E1579=""),"",E1579*IFERROR(INDEX(Müşteriler!$B$5:$B$54,MATCH(B1579,Müşteriler!$A$5:$A$54,0)),0))</f>
        <v/>
      </c>
    </row>
    <row r="1580" customFormat="false" ht="15" hidden="false" customHeight="false" outlineLevel="0" collapsed="false">
      <c r="A1580" s="12"/>
      <c r="B1580" s="13"/>
      <c r="C1580" s="14"/>
      <c r="D1580" s="14"/>
      <c r="E1580" s="15"/>
      <c r="F1580" s="13"/>
      <c r="G1580" s="16" t="str">
        <f aca="false">IF(OR(B1580="",E1580=""),"",E1580*IFERROR(INDEX(Müşteriler!$B$5:$B$54,MATCH(B1580,Müşteriler!$A$5:$A$54,0)),0))</f>
        <v/>
      </c>
    </row>
    <row r="1581" customFormat="false" ht="15" hidden="false" customHeight="false" outlineLevel="0" collapsed="false">
      <c r="A1581" s="12"/>
      <c r="B1581" s="13"/>
      <c r="C1581" s="14"/>
      <c r="D1581" s="14"/>
      <c r="E1581" s="15"/>
      <c r="F1581" s="13"/>
      <c r="G1581" s="16" t="str">
        <f aca="false">IF(OR(B1581="",E1581=""),"",E1581*IFERROR(INDEX(Müşteriler!$B$5:$B$54,MATCH(B1581,Müşteriler!$A$5:$A$54,0)),0))</f>
        <v/>
      </c>
    </row>
    <row r="1582" customFormat="false" ht="15" hidden="false" customHeight="false" outlineLevel="0" collapsed="false">
      <c r="A1582" s="12"/>
      <c r="B1582" s="13"/>
      <c r="C1582" s="14"/>
      <c r="D1582" s="14"/>
      <c r="E1582" s="15"/>
      <c r="F1582" s="13"/>
      <c r="G1582" s="16" t="str">
        <f aca="false">IF(OR(B1582="",E1582=""),"",E1582*IFERROR(INDEX(Müşteriler!$B$5:$B$54,MATCH(B1582,Müşteriler!$A$5:$A$54,0)),0))</f>
        <v/>
      </c>
    </row>
    <row r="1583" customFormat="false" ht="15" hidden="false" customHeight="false" outlineLevel="0" collapsed="false">
      <c r="A1583" s="12"/>
      <c r="B1583" s="13"/>
      <c r="C1583" s="14"/>
      <c r="D1583" s="14"/>
      <c r="E1583" s="15"/>
      <c r="F1583" s="13"/>
      <c r="G1583" s="16" t="str">
        <f aca="false">IF(OR(B1583="",E1583=""),"",E1583*IFERROR(INDEX(Müşteriler!$B$5:$B$54,MATCH(B1583,Müşteriler!$A$5:$A$54,0)),0))</f>
        <v/>
      </c>
    </row>
    <row r="1584" customFormat="false" ht="15" hidden="false" customHeight="false" outlineLevel="0" collapsed="false">
      <c r="A1584" s="12"/>
      <c r="B1584" s="13"/>
      <c r="C1584" s="14"/>
      <c r="D1584" s="14"/>
      <c r="E1584" s="15"/>
      <c r="F1584" s="13"/>
      <c r="G1584" s="16" t="str">
        <f aca="false">IF(OR(B1584="",E1584=""),"",E1584*IFERROR(INDEX(Müşteriler!$B$5:$B$54,MATCH(B1584,Müşteriler!$A$5:$A$54,0)),0))</f>
        <v/>
      </c>
    </row>
    <row r="1585" customFormat="false" ht="15" hidden="false" customHeight="false" outlineLevel="0" collapsed="false">
      <c r="A1585" s="12"/>
      <c r="B1585" s="13"/>
      <c r="C1585" s="14"/>
      <c r="D1585" s="14"/>
      <c r="E1585" s="15"/>
      <c r="F1585" s="13"/>
      <c r="G1585" s="16" t="str">
        <f aca="false">IF(OR(B1585="",E1585=""),"",E1585*IFERROR(INDEX(Müşteriler!$B$5:$B$54,MATCH(B1585,Müşteriler!$A$5:$A$54,0)),0))</f>
        <v/>
      </c>
    </row>
    <row r="1586" customFormat="false" ht="15" hidden="false" customHeight="false" outlineLevel="0" collapsed="false">
      <c r="A1586" s="12"/>
      <c r="B1586" s="13"/>
      <c r="C1586" s="14"/>
      <c r="D1586" s="14"/>
      <c r="E1586" s="15"/>
      <c r="F1586" s="13"/>
      <c r="G1586" s="16" t="str">
        <f aca="false">IF(OR(B1586="",E1586=""),"",E1586*IFERROR(INDEX(Müşteriler!$B$5:$B$54,MATCH(B1586,Müşteriler!$A$5:$A$54,0)),0))</f>
        <v/>
      </c>
    </row>
    <row r="1587" customFormat="false" ht="15" hidden="false" customHeight="false" outlineLevel="0" collapsed="false">
      <c r="A1587" s="12"/>
      <c r="B1587" s="13"/>
      <c r="C1587" s="14"/>
      <c r="D1587" s="14"/>
      <c r="E1587" s="15"/>
      <c r="F1587" s="13"/>
      <c r="G1587" s="16" t="str">
        <f aca="false">IF(OR(B1587="",E1587=""),"",E1587*IFERROR(INDEX(Müşteriler!$B$5:$B$54,MATCH(B1587,Müşteriler!$A$5:$A$54,0)),0))</f>
        <v/>
      </c>
    </row>
    <row r="1588" customFormat="false" ht="15" hidden="false" customHeight="false" outlineLevel="0" collapsed="false">
      <c r="A1588" s="12"/>
      <c r="B1588" s="13"/>
      <c r="C1588" s="14"/>
      <c r="D1588" s="14"/>
      <c r="E1588" s="15"/>
      <c r="F1588" s="13"/>
      <c r="G1588" s="16" t="str">
        <f aca="false">IF(OR(B1588="",E1588=""),"",E1588*IFERROR(INDEX(Müşteriler!$B$5:$B$54,MATCH(B1588,Müşteriler!$A$5:$A$54,0)),0))</f>
        <v/>
      </c>
    </row>
    <row r="1589" customFormat="false" ht="15" hidden="false" customHeight="false" outlineLevel="0" collapsed="false">
      <c r="A1589" s="12"/>
      <c r="B1589" s="13"/>
      <c r="C1589" s="14"/>
      <c r="D1589" s="14"/>
      <c r="E1589" s="15"/>
      <c r="F1589" s="13"/>
      <c r="G1589" s="16" t="str">
        <f aca="false">IF(OR(B1589="",E1589=""),"",E1589*IFERROR(INDEX(Müşteriler!$B$5:$B$54,MATCH(B1589,Müşteriler!$A$5:$A$54,0)),0))</f>
        <v/>
      </c>
    </row>
    <row r="1590" customFormat="false" ht="15" hidden="false" customHeight="false" outlineLevel="0" collapsed="false">
      <c r="A1590" s="12"/>
      <c r="B1590" s="13"/>
      <c r="C1590" s="14"/>
      <c r="D1590" s="14"/>
      <c r="E1590" s="15"/>
      <c r="F1590" s="13"/>
      <c r="G1590" s="16" t="str">
        <f aca="false">IF(OR(B1590="",E1590=""),"",E1590*IFERROR(INDEX(Müşteriler!$B$5:$B$54,MATCH(B1590,Müşteriler!$A$5:$A$54,0)),0))</f>
        <v/>
      </c>
    </row>
    <row r="1591" customFormat="false" ht="15" hidden="false" customHeight="false" outlineLevel="0" collapsed="false">
      <c r="A1591" s="12"/>
      <c r="B1591" s="13"/>
      <c r="C1591" s="14"/>
      <c r="D1591" s="14"/>
      <c r="E1591" s="15"/>
      <c r="F1591" s="13"/>
      <c r="G1591" s="16" t="str">
        <f aca="false">IF(OR(B1591="",E1591=""),"",E1591*IFERROR(INDEX(Müşteriler!$B$5:$B$54,MATCH(B1591,Müşteriler!$A$5:$A$54,0)),0))</f>
        <v/>
      </c>
    </row>
    <row r="1592" customFormat="false" ht="15" hidden="false" customHeight="false" outlineLevel="0" collapsed="false">
      <c r="A1592" s="12"/>
      <c r="B1592" s="13"/>
      <c r="C1592" s="14"/>
      <c r="D1592" s="14"/>
      <c r="E1592" s="15"/>
      <c r="F1592" s="13"/>
      <c r="G1592" s="16" t="str">
        <f aca="false">IF(OR(B1592="",E1592=""),"",E1592*IFERROR(INDEX(Müşteriler!$B$5:$B$54,MATCH(B1592,Müşteriler!$A$5:$A$54,0)),0))</f>
        <v/>
      </c>
    </row>
    <row r="1593" customFormat="false" ht="15" hidden="false" customHeight="false" outlineLevel="0" collapsed="false">
      <c r="A1593" s="12"/>
      <c r="B1593" s="13"/>
      <c r="C1593" s="14"/>
      <c r="D1593" s="14"/>
      <c r="E1593" s="15"/>
      <c r="F1593" s="13"/>
      <c r="G1593" s="16" t="str">
        <f aca="false">IF(OR(B1593="",E1593=""),"",E1593*IFERROR(INDEX(Müşteriler!$B$5:$B$54,MATCH(B1593,Müşteriler!$A$5:$A$54,0)),0))</f>
        <v/>
      </c>
    </row>
    <row r="1594" customFormat="false" ht="15" hidden="false" customHeight="false" outlineLevel="0" collapsed="false">
      <c r="A1594" s="12"/>
      <c r="B1594" s="13"/>
      <c r="C1594" s="14"/>
      <c r="D1594" s="14"/>
      <c r="E1594" s="15"/>
      <c r="F1594" s="13"/>
      <c r="G1594" s="16" t="str">
        <f aca="false">IF(OR(B1594="",E1594=""),"",E1594*IFERROR(INDEX(Müşteriler!$B$5:$B$54,MATCH(B1594,Müşteriler!$A$5:$A$54,0)),0))</f>
        <v/>
      </c>
    </row>
    <row r="1595" customFormat="false" ht="15" hidden="false" customHeight="false" outlineLevel="0" collapsed="false">
      <c r="A1595" s="12"/>
      <c r="B1595" s="13"/>
      <c r="C1595" s="14"/>
      <c r="D1595" s="14"/>
      <c r="E1595" s="15"/>
      <c r="F1595" s="13"/>
      <c r="G1595" s="16" t="str">
        <f aca="false">IF(OR(B1595="",E1595=""),"",E1595*IFERROR(INDEX(Müşteriler!$B$5:$B$54,MATCH(B1595,Müşteriler!$A$5:$A$54,0)),0))</f>
        <v/>
      </c>
    </row>
    <row r="1596" customFormat="false" ht="15" hidden="false" customHeight="false" outlineLevel="0" collapsed="false">
      <c r="A1596" s="12"/>
      <c r="B1596" s="13"/>
      <c r="C1596" s="14"/>
      <c r="D1596" s="14"/>
      <c r="E1596" s="15"/>
      <c r="F1596" s="13"/>
      <c r="G1596" s="16" t="str">
        <f aca="false">IF(OR(B1596="",E1596=""),"",E1596*IFERROR(INDEX(Müşteriler!$B$5:$B$54,MATCH(B1596,Müşteriler!$A$5:$A$54,0)),0))</f>
        <v/>
      </c>
    </row>
    <row r="1597" customFormat="false" ht="15" hidden="false" customHeight="false" outlineLevel="0" collapsed="false">
      <c r="A1597" s="12"/>
      <c r="B1597" s="13"/>
      <c r="C1597" s="14"/>
      <c r="D1597" s="14"/>
      <c r="E1597" s="15"/>
      <c r="F1597" s="13"/>
      <c r="G1597" s="16" t="str">
        <f aca="false">IF(OR(B1597="",E1597=""),"",E1597*IFERROR(INDEX(Müşteriler!$B$5:$B$54,MATCH(B1597,Müşteriler!$A$5:$A$54,0)),0))</f>
        <v/>
      </c>
    </row>
    <row r="1598" customFormat="false" ht="15" hidden="false" customHeight="false" outlineLevel="0" collapsed="false">
      <c r="A1598" s="12"/>
      <c r="B1598" s="13"/>
      <c r="C1598" s="14"/>
      <c r="D1598" s="14"/>
      <c r="E1598" s="15"/>
      <c r="F1598" s="13"/>
      <c r="G1598" s="16" t="str">
        <f aca="false">IF(OR(B1598="",E1598=""),"",E1598*IFERROR(INDEX(Müşteriler!$B$5:$B$54,MATCH(B1598,Müşteriler!$A$5:$A$54,0)),0))</f>
        <v/>
      </c>
    </row>
    <row r="1599" customFormat="false" ht="15" hidden="false" customHeight="false" outlineLevel="0" collapsed="false">
      <c r="A1599" s="12"/>
      <c r="B1599" s="13"/>
      <c r="C1599" s="14"/>
      <c r="D1599" s="14"/>
      <c r="E1599" s="15"/>
      <c r="F1599" s="13"/>
      <c r="G1599" s="16" t="str">
        <f aca="false">IF(OR(B1599="",E1599=""),"",E1599*IFERROR(INDEX(Müşteriler!$B$5:$B$54,MATCH(B1599,Müşteriler!$A$5:$A$54,0)),0))</f>
        <v/>
      </c>
    </row>
    <row r="1600" customFormat="false" ht="15" hidden="false" customHeight="false" outlineLevel="0" collapsed="false">
      <c r="A1600" s="12"/>
      <c r="B1600" s="13"/>
      <c r="C1600" s="14"/>
      <c r="D1600" s="14"/>
      <c r="E1600" s="15"/>
      <c r="F1600" s="13"/>
      <c r="G1600" s="16" t="str">
        <f aca="false">IF(OR(B1600="",E1600=""),"",E1600*IFERROR(INDEX(Müşteriler!$B$5:$B$54,MATCH(B1600,Müşteriler!$A$5:$A$54,0)),0))</f>
        <v/>
      </c>
    </row>
    <row r="1601" customFormat="false" ht="15" hidden="false" customHeight="false" outlineLevel="0" collapsed="false">
      <c r="A1601" s="12"/>
      <c r="B1601" s="13"/>
      <c r="C1601" s="14"/>
      <c r="D1601" s="14"/>
      <c r="E1601" s="15"/>
      <c r="F1601" s="13"/>
      <c r="G1601" s="16" t="str">
        <f aca="false">IF(OR(B1601="",E1601=""),"",E1601*IFERROR(INDEX(Müşteriler!$B$5:$B$54,MATCH(B1601,Müşteriler!$A$5:$A$54,0)),0))</f>
        <v/>
      </c>
    </row>
    <row r="1602" customFormat="false" ht="15" hidden="false" customHeight="false" outlineLevel="0" collapsed="false">
      <c r="A1602" s="12"/>
      <c r="B1602" s="13"/>
      <c r="C1602" s="14"/>
      <c r="D1602" s="14"/>
      <c r="E1602" s="15"/>
      <c r="F1602" s="13"/>
      <c r="G1602" s="16" t="str">
        <f aca="false">IF(OR(B1602="",E1602=""),"",E1602*IFERROR(INDEX(Müşteriler!$B$5:$B$54,MATCH(B1602,Müşteriler!$A$5:$A$54,0)),0))</f>
        <v/>
      </c>
    </row>
    <row r="1603" customFormat="false" ht="15" hidden="false" customHeight="false" outlineLevel="0" collapsed="false">
      <c r="A1603" s="12"/>
      <c r="B1603" s="13"/>
      <c r="C1603" s="14"/>
      <c r="D1603" s="14"/>
      <c r="E1603" s="15"/>
      <c r="F1603" s="13"/>
      <c r="G1603" s="16" t="str">
        <f aca="false">IF(OR(B1603="",E1603=""),"",E1603*IFERROR(INDEX(Müşteriler!$B$5:$B$54,MATCH(B1603,Müşteriler!$A$5:$A$54,0)),0))</f>
        <v/>
      </c>
    </row>
    <row r="1604" customFormat="false" ht="15" hidden="false" customHeight="false" outlineLevel="0" collapsed="false">
      <c r="A1604" s="12"/>
      <c r="B1604" s="13"/>
      <c r="C1604" s="14"/>
      <c r="D1604" s="14"/>
      <c r="E1604" s="15"/>
      <c r="F1604" s="13"/>
      <c r="G1604" s="16" t="str">
        <f aca="false">IF(OR(B1604="",E1604=""),"",E1604*IFERROR(INDEX(Müşteriler!$B$5:$B$54,MATCH(B1604,Müşteriler!$A$5:$A$54,0)),0))</f>
        <v/>
      </c>
    </row>
    <row r="1605" customFormat="false" ht="15" hidden="false" customHeight="false" outlineLevel="0" collapsed="false">
      <c r="A1605" s="12"/>
      <c r="B1605" s="13"/>
      <c r="C1605" s="14"/>
      <c r="D1605" s="14"/>
      <c r="E1605" s="15"/>
      <c r="F1605" s="13"/>
      <c r="G1605" s="16" t="str">
        <f aca="false">IF(OR(B1605="",E1605=""),"",E1605*IFERROR(INDEX(Müşteriler!$B$5:$B$54,MATCH(B1605,Müşteriler!$A$5:$A$54,0)),0))</f>
        <v/>
      </c>
    </row>
    <row r="1606" customFormat="false" ht="15" hidden="false" customHeight="false" outlineLevel="0" collapsed="false">
      <c r="A1606" s="12"/>
      <c r="B1606" s="13"/>
      <c r="C1606" s="14"/>
      <c r="D1606" s="14"/>
      <c r="E1606" s="15"/>
      <c r="F1606" s="13"/>
      <c r="G1606" s="16" t="str">
        <f aca="false">IF(OR(B1606="",E1606=""),"",E1606*IFERROR(INDEX(Müşteriler!$B$5:$B$54,MATCH(B1606,Müşteriler!$A$5:$A$54,0)),0))</f>
        <v/>
      </c>
    </row>
    <row r="1607" customFormat="false" ht="15" hidden="false" customHeight="false" outlineLevel="0" collapsed="false">
      <c r="A1607" s="12"/>
      <c r="B1607" s="13"/>
      <c r="C1607" s="14"/>
      <c r="D1607" s="14"/>
      <c r="E1607" s="15"/>
      <c r="F1607" s="13"/>
      <c r="G1607" s="16" t="str">
        <f aca="false">IF(OR(B1607="",E1607=""),"",E1607*IFERROR(INDEX(Müşteriler!$B$5:$B$54,MATCH(B1607,Müşteriler!$A$5:$A$54,0)),0))</f>
        <v/>
      </c>
    </row>
    <row r="1608" customFormat="false" ht="15" hidden="false" customHeight="false" outlineLevel="0" collapsed="false">
      <c r="A1608" s="12"/>
      <c r="B1608" s="13"/>
      <c r="C1608" s="14"/>
      <c r="D1608" s="14"/>
      <c r="E1608" s="15"/>
      <c r="F1608" s="13"/>
      <c r="G1608" s="16" t="str">
        <f aca="false">IF(OR(B1608="",E1608=""),"",E1608*IFERROR(INDEX(Müşteriler!$B$5:$B$54,MATCH(B1608,Müşteriler!$A$5:$A$54,0)),0))</f>
        <v/>
      </c>
    </row>
    <row r="1609" customFormat="false" ht="15" hidden="false" customHeight="false" outlineLevel="0" collapsed="false">
      <c r="A1609" s="12"/>
      <c r="B1609" s="13"/>
      <c r="C1609" s="14"/>
      <c r="D1609" s="14"/>
      <c r="E1609" s="15"/>
      <c r="F1609" s="13"/>
      <c r="G1609" s="16" t="str">
        <f aca="false">IF(OR(B1609="",E1609=""),"",E1609*IFERROR(INDEX(Müşteriler!$B$5:$B$54,MATCH(B1609,Müşteriler!$A$5:$A$54,0)),0))</f>
        <v/>
      </c>
    </row>
    <row r="1610" customFormat="false" ht="15" hidden="false" customHeight="false" outlineLevel="0" collapsed="false">
      <c r="A1610" s="12"/>
      <c r="B1610" s="13"/>
      <c r="C1610" s="14"/>
      <c r="D1610" s="14"/>
      <c r="E1610" s="15"/>
      <c r="F1610" s="13"/>
      <c r="G1610" s="16" t="str">
        <f aca="false">IF(OR(B1610="",E1610=""),"",E1610*IFERROR(INDEX(Müşteriler!$B$5:$B$54,MATCH(B1610,Müşteriler!$A$5:$A$54,0)),0))</f>
        <v/>
      </c>
    </row>
    <row r="1611" customFormat="false" ht="15" hidden="false" customHeight="false" outlineLevel="0" collapsed="false">
      <c r="A1611" s="12"/>
      <c r="B1611" s="13"/>
      <c r="C1611" s="14"/>
      <c r="D1611" s="14"/>
      <c r="E1611" s="15"/>
      <c r="F1611" s="13"/>
      <c r="G1611" s="16" t="str">
        <f aca="false">IF(OR(B1611="",E1611=""),"",E1611*IFERROR(INDEX(Müşteriler!$B$5:$B$54,MATCH(B1611,Müşteriler!$A$5:$A$54,0)),0))</f>
        <v/>
      </c>
    </row>
    <row r="1612" customFormat="false" ht="15" hidden="false" customHeight="false" outlineLevel="0" collapsed="false">
      <c r="A1612" s="12"/>
      <c r="B1612" s="13"/>
      <c r="C1612" s="14"/>
      <c r="D1612" s="14"/>
      <c r="E1612" s="15"/>
      <c r="F1612" s="13"/>
      <c r="G1612" s="16" t="str">
        <f aca="false">IF(OR(B1612="",E1612=""),"",E1612*IFERROR(INDEX(Müşteriler!$B$5:$B$54,MATCH(B1612,Müşteriler!$A$5:$A$54,0)),0))</f>
        <v/>
      </c>
    </row>
    <row r="1613" customFormat="false" ht="15" hidden="false" customHeight="false" outlineLevel="0" collapsed="false">
      <c r="A1613" s="12"/>
      <c r="B1613" s="13"/>
      <c r="C1613" s="14"/>
      <c r="D1613" s="14"/>
      <c r="E1613" s="15"/>
      <c r="F1613" s="13"/>
      <c r="G1613" s="16" t="str">
        <f aca="false">IF(OR(B1613="",E1613=""),"",E1613*IFERROR(INDEX(Müşteriler!$B$5:$B$54,MATCH(B1613,Müşteriler!$A$5:$A$54,0)),0))</f>
        <v/>
      </c>
    </row>
    <row r="1614" customFormat="false" ht="15" hidden="false" customHeight="false" outlineLevel="0" collapsed="false">
      <c r="A1614" s="12"/>
      <c r="B1614" s="13"/>
      <c r="C1614" s="14"/>
      <c r="D1614" s="14"/>
      <c r="E1614" s="15"/>
      <c r="F1614" s="13"/>
      <c r="G1614" s="16" t="str">
        <f aca="false">IF(OR(B1614="",E1614=""),"",E1614*IFERROR(INDEX(Müşteriler!$B$5:$B$54,MATCH(B1614,Müşteriler!$A$5:$A$54,0)),0))</f>
        <v/>
      </c>
    </row>
    <row r="1615" customFormat="false" ht="15" hidden="false" customHeight="false" outlineLevel="0" collapsed="false">
      <c r="A1615" s="12"/>
      <c r="B1615" s="13"/>
      <c r="C1615" s="14"/>
      <c r="D1615" s="14"/>
      <c r="E1615" s="15"/>
      <c r="F1615" s="13"/>
      <c r="G1615" s="16" t="str">
        <f aca="false">IF(OR(B1615="",E1615=""),"",E1615*IFERROR(INDEX(Müşteriler!$B$5:$B$54,MATCH(B1615,Müşteriler!$A$5:$A$54,0)),0))</f>
        <v/>
      </c>
    </row>
    <row r="1616" customFormat="false" ht="15" hidden="false" customHeight="false" outlineLevel="0" collapsed="false">
      <c r="A1616" s="12"/>
      <c r="B1616" s="13"/>
      <c r="C1616" s="14"/>
      <c r="D1616" s="14"/>
      <c r="E1616" s="15"/>
      <c r="F1616" s="13"/>
      <c r="G1616" s="16" t="str">
        <f aca="false">IF(OR(B1616="",E1616=""),"",E1616*IFERROR(INDEX(Müşteriler!$B$5:$B$54,MATCH(B1616,Müşteriler!$A$5:$A$54,0)),0))</f>
        <v/>
      </c>
    </row>
    <row r="1617" customFormat="false" ht="15" hidden="false" customHeight="false" outlineLevel="0" collapsed="false">
      <c r="A1617" s="12"/>
      <c r="B1617" s="13"/>
      <c r="C1617" s="14"/>
      <c r="D1617" s="14"/>
      <c r="E1617" s="15"/>
      <c r="F1617" s="13"/>
      <c r="G1617" s="16" t="str">
        <f aca="false">IF(OR(B1617="",E1617=""),"",E1617*IFERROR(INDEX(Müşteriler!$B$5:$B$54,MATCH(B1617,Müşteriler!$A$5:$A$54,0)),0))</f>
        <v/>
      </c>
    </row>
    <row r="1618" customFormat="false" ht="15" hidden="false" customHeight="false" outlineLevel="0" collapsed="false">
      <c r="A1618" s="12"/>
      <c r="B1618" s="13"/>
      <c r="C1618" s="14"/>
      <c r="D1618" s="14"/>
      <c r="E1618" s="15"/>
      <c r="F1618" s="13"/>
      <c r="G1618" s="16" t="str">
        <f aca="false">IF(OR(B1618="",E1618=""),"",E1618*IFERROR(INDEX(Müşteriler!$B$5:$B$54,MATCH(B1618,Müşteriler!$A$5:$A$54,0)),0))</f>
        <v/>
      </c>
    </row>
    <row r="1619" customFormat="false" ht="15" hidden="false" customHeight="false" outlineLevel="0" collapsed="false">
      <c r="A1619" s="12"/>
      <c r="B1619" s="13"/>
      <c r="C1619" s="14"/>
      <c r="D1619" s="14"/>
      <c r="E1619" s="15"/>
      <c r="F1619" s="13"/>
      <c r="G1619" s="16" t="str">
        <f aca="false">IF(OR(B1619="",E1619=""),"",E1619*IFERROR(INDEX(Müşteriler!$B$5:$B$54,MATCH(B1619,Müşteriler!$A$5:$A$54,0)),0))</f>
        <v/>
      </c>
    </row>
    <row r="1620" customFormat="false" ht="15" hidden="false" customHeight="false" outlineLevel="0" collapsed="false">
      <c r="A1620" s="12"/>
      <c r="B1620" s="13"/>
      <c r="C1620" s="14"/>
      <c r="D1620" s="14"/>
      <c r="E1620" s="15"/>
      <c r="F1620" s="13"/>
      <c r="G1620" s="16" t="str">
        <f aca="false">IF(OR(B1620="",E1620=""),"",E1620*IFERROR(INDEX(Müşteriler!$B$5:$B$54,MATCH(B1620,Müşteriler!$A$5:$A$54,0)),0))</f>
        <v/>
      </c>
    </row>
    <row r="1621" customFormat="false" ht="15" hidden="false" customHeight="false" outlineLevel="0" collapsed="false">
      <c r="A1621" s="12"/>
      <c r="B1621" s="13"/>
      <c r="C1621" s="14"/>
      <c r="D1621" s="14"/>
      <c r="E1621" s="15"/>
      <c r="F1621" s="13"/>
      <c r="G1621" s="16" t="str">
        <f aca="false">IF(OR(B1621="",E1621=""),"",E1621*IFERROR(INDEX(Müşteriler!$B$5:$B$54,MATCH(B1621,Müşteriler!$A$5:$A$54,0)),0))</f>
        <v/>
      </c>
    </row>
    <row r="1622" customFormat="false" ht="15" hidden="false" customHeight="false" outlineLevel="0" collapsed="false">
      <c r="A1622" s="12"/>
      <c r="B1622" s="13"/>
      <c r="C1622" s="14"/>
      <c r="D1622" s="14"/>
      <c r="E1622" s="15"/>
      <c r="F1622" s="13"/>
      <c r="G1622" s="16" t="str">
        <f aca="false">IF(OR(B1622="",E1622=""),"",E1622*IFERROR(INDEX(Müşteriler!$B$5:$B$54,MATCH(B1622,Müşteriler!$A$5:$A$54,0)),0))</f>
        <v/>
      </c>
    </row>
    <row r="1623" customFormat="false" ht="15" hidden="false" customHeight="false" outlineLevel="0" collapsed="false">
      <c r="A1623" s="12"/>
      <c r="B1623" s="13"/>
      <c r="C1623" s="14"/>
      <c r="D1623" s="14"/>
      <c r="E1623" s="15"/>
      <c r="F1623" s="13"/>
      <c r="G1623" s="16" t="str">
        <f aca="false">IF(OR(B1623="",E1623=""),"",E1623*IFERROR(INDEX(Müşteriler!$B$5:$B$54,MATCH(B1623,Müşteriler!$A$5:$A$54,0)),0))</f>
        <v/>
      </c>
    </row>
    <row r="1624" customFormat="false" ht="15" hidden="false" customHeight="false" outlineLevel="0" collapsed="false">
      <c r="A1624" s="12"/>
      <c r="B1624" s="13"/>
      <c r="C1624" s="14"/>
      <c r="D1624" s="14"/>
      <c r="E1624" s="15"/>
      <c r="F1624" s="13"/>
      <c r="G1624" s="16" t="str">
        <f aca="false">IF(OR(B1624="",E1624=""),"",E1624*IFERROR(INDEX(Müşteriler!$B$5:$B$54,MATCH(B1624,Müşteriler!$A$5:$A$54,0)),0))</f>
        <v/>
      </c>
    </row>
    <row r="1625" customFormat="false" ht="15" hidden="false" customHeight="false" outlineLevel="0" collapsed="false">
      <c r="A1625" s="12"/>
      <c r="B1625" s="13"/>
      <c r="C1625" s="14"/>
      <c r="D1625" s="14"/>
      <c r="E1625" s="15"/>
      <c r="F1625" s="13"/>
      <c r="G1625" s="16" t="str">
        <f aca="false">IF(OR(B1625="",E1625=""),"",E1625*IFERROR(INDEX(Müşteriler!$B$5:$B$54,MATCH(B1625,Müşteriler!$A$5:$A$54,0)),0))</f>
        <v/>
      </c>
    </row>
    <row r="1626" customFormat="false" ht="15" hidden="false" customHeight="false" outlineLevel="0" collapsed="false">
      <c r="A1626" s="12"/>
      <c r="B1626" s="13"/>
      <c r="C1626" s="14"/>
      <c r="D1626" s="14"/>
      <c r="E1626" s="15"/>
      <c r="F1626" s="13"/>
      <c r="G1626" s="16" t="str">
        <f aca="false">IF(OR(B1626="",E1626=""),"",E1626*IFERROR(INDEX(Müşteriler!$B$5:$B$54,MATCH(B1626,Müşteriler!$A$5:$A$54,0)),0))</f>
        <v/>
      </c>
    </row>
    <row r="1627" customFormat="false" ht="15" hidden="false" customHeight="false" outlineLevel="0" collapsed="false">
      <c r="A1627" s="12"/>
      <c r="B1627" s="13"/>
      <c r="C1627" s="14"/>
      <c r="D1627" s="14"/>
      <c r="E1627" s="15"/>
      <c r="F1627" s="13"/>
      <c r="G1627" s="16" t="str">
        <f aca="false">IF(OR(B1627="",E1627=""),"",E1627*IFERROR(INDEX(Müşteriler!$B$5:$B$54,MATCH(B1627,Müşteriler!$A$5:$A$54,0)),0))</f>
        <v/>
      </c>
    </row>
    <row r="1628" customFormat="false" ht="15" hidden="false" customHeight="false" outlineLevel="0" collapsed="false">
      <c r="A1628" s="12"/>
      <c r="B1628" s="13"/>
      <c r="C1628" s="14"/>
      <c r="D1628" s="14"/>
      <c r="E1628" s="15"/>
      <c r="F1628" s="13"/>
      <c r="G1628" s="16" t="str">
        <f aca="false">IF(OR(B1628="",E1628=""),"",E1628*IFERROR(INDEX(Müşteriler!$B$5:$B$54,MATCH(B1628,Müşteriler!$A$5:$A$54,0)),0))</f>
        <v/>
      </c>
    </row>
    <row r="1629" customFormat="false" ht="15" hidden="false" customHeight="false" outlineLevel="0" collapsed="false">
      <c r="A1629" s="12"/>
      <c r="B1629" s="13"/>
      <c r="C1629" s="14"/>
      <c r="D1629" s="14"/>
      <c r="E1629" s="15"/>
      <c r="F1629" s="13"/>
      <c r="G1629" s="16" t="str">
        <f aca="false">IF(OR(B1629="",E1629=""),"",E1629*IFERROR(INDEX(Müşteriler!$B$5:$B$54,MATCH(B1629,Müşteriler!$A$5:$A$54,0)),0))</f>
        <v/>
      </c>
    </row>
    <row r="1630" customFormat="false" ht="15" hidden="false" customHeight="false" outlineLevel="0" collapsed="false">
      <c r="A1630" s="12"/>
      <c r="B1630" s="13"/>
      <c r="C1630" s="14"/>
      <c r="D1630" s="14"/>
      <c r="E1630" s="15"/>
      <c r="F1630" s="13"/>
      <c r="G1630" s="16" t="str">
        <f aca="false">IF(OR(B1630="",E1630=""),"",E1630*IFERROR(INDEX(Müşteriler!$B$5:$B$54,MATCH(B1630,Müşteriler!$A$5:$A$54,0)),0))</f>
        <v/>
      </c>
    </row>
    <row r="1631" customFormat="false" ht="15" hidden="false" customHeight="false" outlineLevel="0" collapsed="false">
      <c r="A1631" s="12"/>
      <c r="B1631" s="13"/>
      <c r="C1631" s="14"/>
      <c r="D1631" s="14"/>
      <c r="E1631" s="15"/>
      <c r="F1631" s="13"/>
      <c r="G1631" s="16" t="str">
        <f aca="false">IF(OR(B1631="",E1631=""),"",E1631*IFERROR(INDEX(Müşteriler!$B$5:$B$54,MATCH(B1631,Müşteriler!$A$5:$A$54,0)),0))</f>
        <v/>
      </c>
    </row>
    <row r="1632" customFormat="false" ht="15" hidden="false" customHeight="false" outlineLevel="0" collapsed="false">
      <c r="A1632" s="12"/>
      <c r="B1632" s="13"/>
      <c r="C1632" s="14"/>
      <c r="D1632" s="14"/>
      <c r="E1632" s="15"/>
      <c r="F1632" s="13"/>
      <c r="G1632" s="16" t="str">
        <f aca="false">IF(OR(B1632="",E1632=""),"",E1632*IFERROR(INDEX(Müşteriler!$B$5:$B$54,MATCH(B1632,Müşteriler!$A$5:$A$54,0)),0))</f>
        <v/>
      </c>
    </row>
    <row r="1633" customFormat="false" ht="15" hidden="false" customHeight="false" outlineLevel="0" collapsed="false">
      <c r="A1633" s="12"/>
      <c r="B1633" s="13"/>
      <c r="C1633" s="14"/>
      <c r="D1633" s="14"/>
      <c r="E1633" s="15"/>
      <c r="F1633" s="13"/>
      <c r="G1633" s="16" t="str">
        <f aca="false">IF(OR(B1633="",E1633=""),"",E1633*IFERROR(INDEX(Müşteriler!$B$5:$B$54,MATCH(B1633,Müşteriler!$A$5:$A$54,0)),0))</f>
        <v/>
      </c>
    </row>
    <row r="1634" customFormat="false" ht="15" hidden="false" customHeight="false" outlineLevel="0" collapsed="false">
      <c r="A1634" s="12"/>
      <c r="B1634" s="13"/>
      <c r="C1634" s="14"/>
      <c r="D1634" s="14"/>
      <c r="E1634" s="15"/>
      <c r="F1634" s="13"/>
      <c r="G1634" s="16" t="str">
        <f aca="false">IF(OR(B1634="",E1634=""),"",E1634*IFERROR(INDEX(Müşteriler!$B$5:$B$54,MATCH(B1634,Müşteriler!$A$5:$A$54,0)),0))</f>
        <v/>
      </c>
    </row>
    <row r="1635" customFormat="false" ht="15" hidden="false" customHeight="false" outlineLevel="0" collapsed="false">
      <c r="A1635" s="12"/>
      <c r="B1635" s="13"/>
      <c r="C1635" s="14"/>
      <c r="D1635" s="14"/>
      <c r="E1635" s="15"/>
      <c r="F1635" s="13"/>
      <c r="G1635" s="16" t="str">
        <f aca="false">IF(OR(B1635="",E1635=""),"",E1635*IFERROR(INDEX(Müşteriler!$B$5:$B$54,MATCH(B1635,Müşteriler!$A$5:$A$54,0)),0))</f>
        <v/>
      </c>
    </row>
    <row r="1636" customFormat="false" ht="15" hidden="false" customHeight="false" outlineLevel="0" collapsed="false">
      <c r="A1636" s="12"/>
      <c r="B1636" s="13"/>
      <c r="C1636" s="14"/>
      <c r="D1636" s="14"/>
      <c r="E1636" s="15"/>
      <c r="F1636" s="13"/>
      <c r="G1636" s="16" t="str">
        <f aca="false">IF(OR(B1636="",E1636=""),"",E1636*IFERROR(INDEX(Müşteriler!$B$5:$B$54,MATCH(B1636,Müşteriler!$A$5:$A$54,0)),0))</f>
        <v/>
      </c>
    </row>
    <row r="1637" customFormat="false" ht="15" hidden="false" customHeight="false" outlineLevel="0" collapsed="false">
      <c r="A1637" s="12"/>
      <c r="B1637" s="13"/>
      <c r="C1637" s="14"/>
      <c r="D1637" s="14"/>
      <c r="E1637" s="15"/>
      <c r="F1637" s="13"/>
      <c r="G1637" s="16" t="str">
        <f aca="false">IF(OR(B1637="",E1637=""),"",E1637*IFERROR(INDEX(Müşteriler!$B$5:$B$54,MATCH(B1637,Müşteriler!$A$5:$A$54,0)),0))</f>
        <v/>
      </c>
    </row>
    <row r="1638" customFormat="false" ht="15" hidden="false" customHeight="false" outlineLevel="0" collapsed="false">
      <c r="A1638" s="12"/>
      <c r="B1638" s="13"/>
      <c r="C1638" s="14"/>
      <c r="D1638" s="14"/>
      <c r="E1638" s="15"/>
      <c r="F1638" s="13"/>
      <c r="G1638" s="16" t="str">
        <f aca="false">IF(OR(B1638="",E1638=""),"",E1638*IFERROR(INDEX(Müşteriler!$B$5:$B$54,MATCH(B1638,Müşteriler!$A$5:$A$54,0)),0))</f>
        <v/>
      </c>
    </row>
    <row r="1639" customFormat="false" ht="15" hidden="false" customHeight="false" outlineLevel="0" collapsed="false">
      <c r="A1639" s="12"/>
      <c r="B1639" s="13"/>
      <c r="C1639" s="14"/>
      <c r="D1639" s="14"/>
      <c r="E1639" s="15"/>
      <c r="F1639" s="13"/>
      <c r="G1639" s="16" t="str">
        <f aca="false">IF(OR(B1639="",E1639=""),"",E1639*IFERROR(INDEX(Müşteriler!$B$5:$B$54,MATCH(B1639,Müşteriler!$A$5:$A$54,0)),0))</f>
        <v/>
      </c>
    </row>
    <row r="1640" customFormat="false" ht="15" hidden="false" customHeight="false" outlineLevel="0" collapsed="false">
      <c r="A1640" s="12"/>
      <c r="B1640" s="13"/>
      <c r="C1640" s="14"/>
      <c r="D1640" s="14"/>
      <c r="E1640" s="15"/>
      <c r="F1640" s="13"/>
      <c r="G1640" s="16" t="str">
        <f aca="false">IF(OR(B1640="",E1640=""),"",E1640*IFERROR(INDEX(Müşteriler!$B$5:$B$54,MATCH(B1640,Müşteriler!$A$5:$A$54,0)),0))</f>
        <v/>
      </c>
    </row>
    <row r="1641" customFormat="false" ht="15" hidden="false" customHeight="false" outlineLevel="0" collapsed="false">
      <c r="A1641" s="12"/>
      <c r="B1641" s="13"/>
      <c r="C1641" s="14"/>
      <c r="D1641" s="14"/>
      <c r="E1641" s="15"/>
      <c r="F1641" s="13"/>
      <c r="G1641" s="16" t="str">
        <f aca="false">IF(OR(B1641="",E1641=""),"",E1641*IFERROR(INDEX(Müşteriler!$B$5:$B$54,MATCH(B1641,Müşteriler!$A$5:$A$54,0)),0))</f>
        <v/>
      </c>
    </row>
    <row r="1642" customFormat="false" ht="15" hidden="false" customHeight="false" outlineLevel="0" collapsed="false">
      <c r="A1642" s="12"/>
      <c r="B1642" s="13"/>
      <c r="C1642" s="14"/>
      <c r="D1642" s="14"/>
      <c r="E1642" s="15"/>
      <c r="F1642" s="13"/>
      <c r="G1642" s="16" t="str">
        <f aca="false">IF(OR(B1642="",E1642=""),"",E1642*IFERROR(INDEX(Müşteriler!$B$5:$B$54,MATCH(B1642,Müşteriler!$A$5:$A$54,0)),0))</f>
        <v/>
      </c>
    </row>
    <row r="1643" customFormat="false" ht="15" hidden="false" customHeight="false" outlineLevel="0" collapsed="false">
      <c r="A1643" s="12"/>
      <c r="B1643" s="13"/>
      <c r="C1643" s="14"/>
      <c r="D1643" s="14"/>
      <c r="E1643" s="15"/>
      <c r="F1643" s="13"/>
      <c r="G1643" s="16" t="str">
        <f aca="false">IF(OR(B1643="",E1643=""),"",E1643*IFERROR(INDEX(Müşteriler!$B$5:$B$54,MATCH(B1643,Müşteriler!$A$5:$A$54,0)),0))</f>
        <v/>
      </c>
    </row>
    <row r="1644" customFormat="false" ht="15" hidden="false" customHeight="false" outlineLevel="0" collapsed="false">
      <c r="A1644" s="12"/>
      <c r="B1644" s="13"/>
      <c r="C1644" s="14"/>
      <c r="D1644" s="14"/>
      <c r="E1644" s="15"/>
      <c r="F1644" s="13"/>
      <c r="G1644" s="16" t="str">
        <f aca="false">IF(OR(B1644="",E1644=""),"",E1644*IFERROR(INDEX(Müşteriler!$B$5:$B$54,MATCH(B1644,Müşteriler!$A$5:$A$54,0)),0))</f>
        <v/>
      </c>
    </row>
    <row r="1645" customFormat="false" ht="15" hidden="false" customHeight="false" outlineLevel="0" collapsed="false">
      <c r="A1645" s="12"/>
      <c r="B1645" s="13"/>
      <c r="C1645" s="14"/>
      <c r="D1645" s="14"/>
      <c r="E1645" s="15"/>
      <c r="F1645" s="13"/>
      <c r="G1645" s="16" t="str">
        <f aca="false">IF(OR(B1645="",E1645=""),"",E1645*IFERROR(INDEX(Müşteriler!$B$5:$B$54,MATCH(B1645,Müşteriler!$A$5:$A$54,0)),0))</f>
        <v/>
      </c>
    </row>
    <row r="1646" customFormat="false" ht="15" hidden="false" customHeight="false" outlineLevel="0" collapsed="false">
      <c r="A1646" s="12"/>
      <c r="B1646" s="13"/>
      <c r="C1646" s="14"/>
      <c r="D1646" s="14"/>
      <c r="E1646" s="15"/>
      <c r="F1646" s="13"/>
      <c r="G1646" s="16" t="str">
        <f aca="false">IF(OR(B1646="",E1646=""),"",E1646*IFERROR(INDEX(Müşteriler!$B$5:$B$54,MATCH(B1646,Müşteriler!$A$5:$A$54,0)),0))</f>
        <v/>
      </c>
    </row>
    <row r="1647" customFormat="false" ht="15" hidden="false" customHeight="false" outlineLevel="0" collapsed="false">
      <c r="A1647" s="12"/>
      <c r="B1647" s="13"/>
      <c r="C1647" s="14"/>
      <c r="D1647" s="14"/>
      <c r="E1647" s="15"/>
      <c r="F1647" s="13"/>
      <c r="G1647" s="16" t="str">
        <f aca="false">IF(OR(B1647="",E1647=""),"",E1647*IFERROR(INDEX(Müşteriler!$B$5:$B$54,MATCH(B1647,Müşteriler!$A$5:$A$54,0)),0))</f>
        <v/>
      </c>
    </row>
    <row r="1648" customFormat="false" ht="15" hidden="false" customHeight="false" outlineLevel="0" collapsed="false">
      <c r="A1648" s="12"/>
      <c r="B1648" s="13"/>
      <c r="C1648" s="14"/>
      <c r="D1648" s="14"/>
      <c r="E1648" s="15"/>
      <c r="F1648" s="13"/>
      <c r="G1648" s="16" t="str">
        <f aca="false">IF(OR(B1648="",E1648=""),"",E1648*IFERROR(INDEX(Müşteriler!$B$5:$B$54,MATCH(B1648,Müşteriler!$A$5:$A$54,0)),0))</f>
        <v/>
      </c>
    </row>
    <row r="1649" customFormat="false" ht="15" hidden="false" customHeight="false" outlineLevel="0" collapsed="false">
      <c r="A1649" s="12"/>
      <c r="B1649" s="13"/>
      <c r="C1649" s="14"/>
      <c r="D1649" s="14"/>
      <c r="E1649" s="15"/>
      <c r="F1649" s="13"/>
      <c r="G1649" s="16" t="str">
        <f aca="false">IF(OR(B1649="",E1649=""),"",E1649*IFERROR(INDEX(Müşteriler!$B$5:$B$54,MATCH(B1649,Müşteriler!$A$5:$A$54,0)),0))</f>
        <v/>
      </c>
    </row>
    <row r="1650" customFormat="false" ht="15" hidden="false" customHeight="false" outlineLevel="0" collapsed="false">
      <c r="A1650" s="12"/>
      <c r="B1650" s="13"/>
      <c r="C1650" s="14"/>
      <c r="D1650" s="14"/>
      <c r="E1650" s="15"/>
      <c r="F1650" s="13"/>
      <c r="G1650" s="16" t="str">
        <f aca="false">IF(OR(B1650="",E1650=""),"",E1650*IFERROR(INDEX(Müşteriler!$B$5:$B$54,MATCH(B1650,Müşteriler!$A$5:$A$54,0)),0))</f>
        <v/>
      </c>
    </row>
    <row r="1651" customFormat="false" ht="15" hidden="false" customHeight="false" outlineLevel="0" collapsed="false">
      <c r="A1651" s="12"/>
      <c r="B1651" s="13"/>
      <c r="C1651" s="14"/>
      <c r="D1651" s="14"/>
      <c r="E1651" s="15"/>
      <c r="F1651" s="13"/>
      <c r="G1651" s="16" t="str">
        <f aca="false">IF(OR(B1651="",E1651=""),"",E1651*IFERROR(INDEX(Müşteriler!$B$5:$B$54,MATCH(B1651,Müşteriler!$A$5:$A$54,0)),0))</f>
        <v/>
      </c>
    </row>
    <row r="1652" customFormat="false" ht="15" hidden="false" customHeight="false" outlineLevel="0" collapsed="false">
      <c r="A1652" s="12"/>
      <c r="B1652" s="13"/>
      <c r="C1652" s="14"/>
      <c r="D1652" s="14"/>
      <c r="E1652" s="15"/>
      <c r="F1652" s="13"/>
      <c r="G1652" s="16" t="str">
        <f aca="false">IF(OR(B1652="",E1652=""),"",E1652*IFERROR(INDEX(Müşteriler!$B$5:$B$54,MATCH(B1652,Müşteriler!$A$5:$A$54,0)),0))</f>
        <v/>
      </c>
    </row>
    <row r="1653" customFormat="false" ht="15" hidden="false" customHeight="false" outlineLevel="0" collapsed="false">
      <c r="A1653" s="12"/>
      <c r="B1653" s="13"/>
      <c r="C1653" s="14"/>
      <c r="D1653" s="14"/>
      <c r="E1653" s="15"/>
      <c r="F1653" s="13"/>
      <c r="G1653" s="16" t="str">
        <f aca="false">IF(OR(B1653="",E1653=""),"",E1653*IFERROR(INDEX(Müşteriler!$B$5:$B$54,MATCH(B1653,Müşteriler!$A$5:$A$54,0)),0))</f>
        <v/>
      </c>
    </row>
    <row r="1654" customFormat="false" ht="15" hidden="false" customHeight="false" outlineLevel="0" collapsed="false">
      <c r="A1654" s="12"/>
      <c r="B1654" s="13"/>
      <c r="C1654" s="14"/>
      <c r="D1654" s="14"/>
      <c r="E1654" s="15"/>
      <c r="F1654" s="13"/>
      <c r="G1654" s="16" t="str">
        <f aca="false">IF(OR(B1654="",E1654=""),"",E1654*IFERROR(INDEX(Müşteriler!$B$5:$B$54,MATCH(B1654,Müşteriler!$A$5:$A$54,0)),0))</f>
        <v/>
      </c>
    </row>
    <row r="1655" customFormat="false" ht="15" hidden="false" customHeight="false" outlineLevel="0" collapsed="false">
      <c r="A1655" s="12"/>
      <c r="B1655" s="13"/>
      <c r="C1655" s="14"/>
      <c r="D1655" s="14"/>
      <c r="E1655" s="15"/>
      <c r="F1655" s="13"/>
      <c r="G1655" s="16" t="str">
        <f aca="false">IF(OR(B1655="",E1655=""),"",E1655*IFERROR(INDEX(Müşteriler!$B$5:$B$54,MATCH(B1655,Müşteriler!$A$5:$A$54,0)),0))</f>
        <v/>
      </c>
    </row>
    <row r="1656" customFormat="false" ht="15" hidden="false" customHeight="false" outlineLevel="0" collapsed="false">
      <c r="A1656" s="12"/>
      <c r="B1656" s="13"/>
      <c r="C1656" s="14"/>
      <c r="D1656" s="14"/>
      <c r="E1656" s="15"/>
      <c r="F1656" s="13"/>
      <c r="G1656" s="16" t="str">
        <f aca="false">IF(OR(B1656="",E1656=""),"",E1656*IFERROR(INDEX(Müşteriler!$B$5:$B$54,MATCH(B1656,Müşteriler!$A$5:$A$54,0)),0))</f>
        <v/>
      </c>
    </row>
    <row r="1657" customFormat="false" ht="15" hidden="false" customHeight="false" outlineLevel="0" collapsed="false">
      <c r="A1657" s="12"/>
      <c r="B1657" s="13"/>
      <c r="C1657" s="14"/>
      <c r="D1657" s="14"/>
      <c r="E1657" s="15"/>
      <c r="F1657" s="13"/>
      <c r="G1657" s="16" t="str">
        <f aca="false">IF(OR(B1657="",E1657=""),"",E1657*IFERROR(INDEX(Müşteriler!$B$5:$B$54,MATCH(B1657,Müşteriler!$A$5:$A$54,0)),0))</f>
        <v/>
      </c>
    </row>
    <row r="1658" customFormat="false" ht="15" hidden="false" customHeight="false" outlineLevel="0" collapsed="false">
      <c r="A1658" s="12"/>
      <c r="B1658" s="13"/>
      <c r="C1658" s="14"/>
      <c r="D1658" s="14"/>
      <c r="E1658" s="15"/>
      <c r="F1658" s="13"/>
      <c r="G1658" s="16" t="str">
        <f aca="false">IF(OR(B1658="",E1658=""),"",E1658*IFERROR(INDEX(Müşteriler!$B$5:$B$54,MATCH(B1658,Müşteriler!$A$5:$A$54,0)),0))</f>
        <v/>
      </c>
    </row>
    <row r="1659" customFormat="false" ht="15" hidden="false" customHeight="false" outlineLevel="0" collapsed="false">
      <c r="A1659" s="12"/>
      <c r="B1659" s="13"/>
      <c r="C1659" s="14"/>
      <c r="D1659" s="14"/>
      <c r="E1659" s="15"/>
      <c r="F1659" s="13"/>
      <c r="G1659" s="16" t="str">
        <f aca="false">IF(OR(B1659="",E1659=""),"",E1659*IFERROR(INDEX(Müşteriler!$B$5:$B$54,MATCH(B1659,Müşteriler!$A$5:$A$54,0)),0))</f>
        <v/>
      </c>
    </row>
    <row r="1660" customFormat="false" ht="15" hidden="false" customHeight="false" outlineLevel="0" collapsed="false">
      <c r="A1660" s="12"/>
      <c r="B1660" s="13"/>
      <c r="C1660" s="14"/>
      <c r="D1660" s="14"/>
      <c r="E1660" s="15"/>
      <c r="F1660" s="13"/>
      <c r="G1660" s="16" t="str">
        <f aca="false">IF(OR(B1660="",E1660=""),"",E1660*IFERROR(INDEX(Müşteriler!$B$5:$B$54,MATCH(B1660,Müşteriler!$A$5:$A$54,0)),0))</f>
        <v/>
      </c>
    </row>
    <row r="1661" customFormat="false" ht="15" hidden="false" customHeight="false" outlineLevel="0" collapsed="false">
      <c r="A1661" s="12"/>
      <c r="B1661" s="13"/>
      <c r="C1661" s="14"/>
      <c r="D1661" s="14"/>
      <c r="E1661" s="15"/>
      <c r="F1661" s="13"/>
      <c r="G1661" s="16" t="str">
        <f aca="false">IF(OR(B1661="",E1661=""),"",E1661*IFERROR(INDEX(Müşteriler!$B$5:$B$54,MATCH(B1661,Müşteriler!$A$5:$A$54,0)),0))</f>
        <v/>
      </c>
    </row>
    <row r="1662" customFormat="false" ht="15" hidden="false" customHeight="false" outlineLevel="0" collapsed="false">
      <c r="A1662" s="12"/>
      <c r="B1662" s="13"/>
      <c r="C1662" s="14"/>
      <c r="D1662" s="14"/>
      <c r="E1662" s="15"/>
      <c r="F1662" s="13"/>
      <c r="G1662" s="16" t="str">
        <f aca="false">IF(OR(B1662="",E1662=""),"",E1662*IFERROR(INDEX(Müşteriler!$B$5:$B$54,MATCH(B1662,Müşteriler!$A$5:$A$54,0)),0))</f>
        <v/>
      </c>
    </row>
    <row r="1663" customFormat="false" ht="15" hidden="false" customHeight="false" outlineLevel="0" collapsed="false">
      <c r="A1663" s="12"/>
      <c r="B1663" s="13"/>
      <c r="C1663" s="14"/>
      <c r="D1663" s="14"/>
      <c r="E1663" s="15"/>
      <c r="F1663" s="13"/>
      <c r="G1663" s="16" t="str">
        <f aca="false">IF(OR(B1663="",E1663=""),"",E1663*IFERROR(INDEX(Müşteriler!$B$5:$B$54,MATCH(B1663,Müşteriler!$A$5:$A$54,0)),0))</f>
        <v/>
      </c>
    </row>
    <row r="1664" customFormat="false" ht="15" hidden="false" customHeight="false" outlineLevel="0" collapsed="false">
      <c r="A1664" s="12"/>
      <c r="B1664" s="13"/>
      <c r="C1664" s="14"/>
      <c r="D1664" s="14"/>
      <c r="E1664" s="15"/>
      <c r="F1664" s="13"/>
      <c r="G1664" s="16" t="str">
        <f aca="false">IF(OR(B1664="",E1664=""),"",E1664*IFERROR(INDEX(Müşteriler!$B$5:$B$54,MATCH(B1664,Müşteriler!$A$5:$A$54,0)),0))</f>
        <v/>
      </c>
    </row>
    <row r="1665" customFormat="false" ht="15" hidden="false" customHeight="false" outlineLevel="0" collapsed="false">
      <c r="A1665" s="12"/>
      <c r="B1665" s="13"/>
      <c r="C1665" s="14"/>
      <c r="D1665" s="14"/>
      <c r="E1665" s="15"/>
      <c r="F1665" s="13"/>
      <c r="G1665" s="16" t="str">
        <f aca="false">IF(OR(B1665="",E1665=""),"",E1665*IFERROR(INDEX(Müşteriler!$B$5:$B$54,MATCH(B1665,Müşteriler!$A$5:$A$54,0)),0))</f>
        <v/>
      </c>
    </row>
    <row r="1666" customFormat="false" ht="15" hidden="false" customHeight="false" outlineLevel="0" collapsed="false">
      <c r="A1666" s="12"/>
      <c r="B1666" s="13"/>
      <c r="C1666" s="14"/>
      <c r="D1666" s="14"/>
      <c r="E1666" s="15"/>
      <c r="F1666" s="13"/>
      <c r="G1666" s="16" t="str">
        <f aca="false">IF(OR(B1666="",E1666=""),"",E1666*IFERROR(INDEX(Müşteriler!$B$5:$B$54,MATCH(B1666,Müşteriler!$A$5:$A$54,0)),0))</f>
        <v/>
      </c>
    </row>
    <row r="1667" customFormat="false" ht="15" hidden="false" customHeight="false" outlineLevel="0" collapsed="false">
      <c r="A1667" s="12"/>
      <c r="B1667" s="13"/>
      <c r="C1667" s="14"/>
      <c r="D1667" s="14"/>
      <c r="E1667" s="15"/>
      <c r="F1667" s="13"/>
      <c r="G1667" s="16" t="str">
        <f aca="false">IF(OR(B1667="",E1667=""),"",E1667*IFERROR(INDEX(Müşteriler!$B$5:$B$54,MATCH(B1667,Müşteriler!$A$5:$A$54,0)),0))</f>
        <v/>
      </c>
    </row>
    <row r="1668" customFormat="false" ht="15" hidden="false" customHeight="false" outlineLevel="0" collapsed="false">
      <c r="A1668" s="12"/>
      <c r="B1668" s="13"/>
      <c r="C1668" s="14"/>
      <c r="D1668" s="14"/>
      <c r="E1668" s="15"/>
      <c r="F1668" s="13"/>
      <c r="G1668" s="16" t="str">
        <f aca="false">IF(OR(B1668="",E1668=""),"",E1668*IFERROR(INDEX(Müşteriler!$B$5:$B$54,MATCH(B1668,Müşteriler!$A$5:$A$54,0)),0))</f>
        <v/>
      </c>
    </row>
    <row r="1669" customFormat="false" ht="15" hidden="false" customHeight="false" outlineLevel="0" collapsed="false">
      <c r="A1669" s="12"/>
      <c r="B1669" s="13"/>
      <c r="C1669" s="14"/>
      <c r="D1669" s="14"/>
      <c r="E1669" s="15"/>
      <c r="F1669" s="13"/>
      <c r="G1669" s="16" t="str">
        <f aca="false">IF(OR(B1669="",E1669=""),"",E1669*IFERROR(INDEX(Müşteriler!$B$5:$B$54,MATCH(B1669,Müşteriler!$A$5:$A$54,0)),0))</f>
        <v/>
      </c>
    </row>
    <row r="1670" customFormat="false" ht="15" hidden="false" customHeight="false" outlineLevel="0" collapsed="false">
      <c r="A1670" s="12"/>
      <c r="B1670" s="13"/>
      <c r="C1670" s="14"/>
      <c r="D1670" s="14"/>
      <c r="E1670" s="15"/>
      <c r="F1670" s="13"/>
      <c r="G1670" s="16" t="str">
        <f aca="false">IF(OR(B1670="",E1670=""),"",E1670*IFERROR(INDEX(Müşteriler!$B$5:$B$54,MATCH(B1670,Müşteriler!$A$5:$A$54,0)),0))</f>
        <v/>
      </c>
    </row>
    <row r="1671" customFormat="false" ht="15" hidden="false" customHeight="false" outlineLevel="0" collapsed="false">
      <c r="A1671" s="12"/>
      <c r="B1671" s="13"/>
      <c r="C1671" s="14"/>
      <c r="D1671" s="14"/>
      <c r="E1671" s="15"/>
      <c r="F1671" s="13"/>
      <c r="G1671" s="16" t="str">
        <f aca="false">IF(OR(B1671="",E1671=""),"",E1671*IFERROR(INDEX(Müşteriler!$B$5:$B$54,MATCH(B1671,Müşteriler!$A$5:$A$54,0)),0))</f>
        <v/>
      </c>
    </row>
    <row r="1672" customFormat="false" ht="15" hidden="false" customHeight="false" outlineLevel="0" collapsed="false">
      <c r="A1672" s="12"/>
      <c r="B1672" s="13"/>
      <c r="C1672" s="14"/>
      <c r="D1672" s="14"/>
      <c r="E1672" s="15"/>
      <c r="F1672" s="13"/>
      <c r="G1672" s="16" t="str">
        <f aca="false">IF(OR(B1672="",E1672=""),"",E1672*IFERROR(INDEX(Müşteriler!$B$5:$B$54,MATCH(B1672,Müşteriler!$A$5:$A$54,0)),0))</f>
        <v/>
      </c>
    </row>
    <row r="1673" customFormat="false" ht="15" hidden="false" customHeight="false" outlineLevel="0" collapsed="false">
      <c r="A1673" s="12"/>
      <c r="B1673" s="13"/>
      <c r="C1673" s="14"/>
      <c r="D1673" s="14"/>
      <c r="E1673" s="15"/>
      <c r="F1673" s="13"/>
      <c r="G1673" s="16" t="str">
        <f aca="false">IF(OR(B1673="",E1673=""),"",E1673*IFERROR(INDEX(Müşteriler!$B$5:$B$54,MATCH(B1673,Müşteriler!$A$5:$A$54,0)),0))</f>
        <v/>
      </c>
    </row>
    <row r="1674" customFormat="false" ht="15" hidden="false" customHeight="false" outlineLevel="0" collapsed="false">
      <c r="A1674" s="12"/>
      <c r="B1674" s="13"/>
      <c r="C1674" s="14"/>
      <c r="D1674" s="14"/>
      <c r="E1674" s="15"/>
      <c r="F1674" s="13"/>
      <c r="G1674" s="16" t="str">
        <f aca="false">IF(OR(B1674="",E1674=""),"",E1674*IFERROR(INDEX(Müşteriler!$B$5:$B$54,MATCH(B1674,Müşteriler!$A$5:$A$54,0)),0))</f>
        <v/>
      </c>
    </row>
    <row r="1675" customFormat="false" ht="15" hidden="false" customHeight="false" outlineLevel="0" collapsed="false">
      <c r="A1675" s="12"/>
      <c r="B1675" s="13"/>
      <c r="C1675" s="14"/>
      <c r="D1675" s="14"/>
      <c r="E1675" s="15"/>
      <c r="F1675" s="13"/>
      <c r="G1675" s="16" t="str">
        <f aca="false">IF(OR(B1675="",E1675=""),"",E1675*IFERROR(INDEX(Müşteriler!$B$5:$B$54,MATCH(B1675,Müşteriler!$A$5:$A$54,0)),0))</f>
        <v/>
      </c>
    </row>
    <row r="1676" customFormat="false" ht="15" hidden="false" customHeight="false" outlineLevel="0" collapsed="false">
      <c r="A1676" s="12"/>
      <c r="B1676" s="13"/>
      <c r="C1676" s="14"/>
      <c r="D1676" s="14"/>
      <c r="E1676" s="15"/>
      <c r="F1676" s="13"/>
      <c r="G1676" s="16" t="str">
        <f aca="false">IF(OR(B1676="",E1676=""),"",E1676*IFERROR(INDEX(Müşteriler!$B$5:$B$54,MATCH(B1676,Müşteriler!$A$5:$A$54,0)),0))</f>
        <v/>
      </c>
    </row>
    <row r="1677" customFormat="false" ht="15" hidden="false" customHeight="false" outlineLevel="0" collapsed="false">
      <c r="A1677" s="12"/>
      <c r="B1677" s="13"/>
      <c r="C1677" s="14"/>
      <c r="D1677" s="14"/>
      <c r="E1677" s="15"/>
      <c r="F1677" s="13"/>
      <c r="G1677" s="16" t="str">
        <f aca="false">IF(OR(B1677="",E1677=""),"",E1677*IFERROR(INDEX(Müşteriler!$B$5:$B$54,MATCH(B1677,Müşteriler!$A$5:$A$54,0)),0))</f>
        <v/>
      </c>
    </row>
    <row r="1678" customFormat="false" ht="15" hidden="false" customHeight="false" outlineLevel="0" collapsed="false">
      <c r="A1678" s="12"/>
      <c r="B1678" s="13"/>
      <c r="C1678" s="14"/>
      <c r="D1678" s="14"/>
      <c r="E1678" s="15"/>
      <c r="F1678" s="13"/>
      <c r="G1678" s="16" t="str">
        <f aca="false">IF(OR(B1678="",E1678=""),"",E1678*IFERROR(INDEX(Müşteriler!$B$5:$B$54,MATCH(B1678,Müşteriler!$A$5:$A$54,0)),0))</f>
        <v/>
      </c>
    </row>
    <row r="1679" customFormat="false" ht="15" hidden="false" customHeight="false" outlineLevel="0" collapsed="false">
      <c r="A1679" s="12"/>
      <c r="B1679" s="13"/>
      <c r="C1679" s="14"/>
      <c r="D1679" s="14"/>
      <c r="E1679" s="15"/>
      <c r="F1679" s="13"/>
      <c r="G1679" s="16" t="str">
        <f aca="false">IF(OR(B1679="",E1679=""),"",E1679*IFERROR(INDEX(Müşteriler!$B$5:$B$54,MATCH(B1679,Müşteriler!$A$5:$A$54,0)),0))</f>
        <v/>
      </c>
    </row>
    <row r="1680" customFormat="false" ht="15" hidden="false" customHeight="false" outlineLevel="0" collapsed="false">
      <c r="A1680" s="12"/>
      <c r="B1680" s="13"/>
      <c r="C1680" s="14"/>
      <c r="D1680" s="14"/>
      <c r="E1680" s="15"/>
      <c r="F1680" s="13"/>
      <c r="G1680" s="16" t="str">
        <f aca="false">IF(OR(B1680="",E1680=""),"",E1680*IFERROR(INDEX(Müşteriler!$B$5:$B$54,MATCH(B1680,Müşteriler!$A$5:$A$54,0)),0))</f>
        <v/>
      </c>
    </row>
    <row r="1681" customFormat="false" ht="15" hidden="false" customHeight="false" outlineLevel="0" collapsed="false">
      <c r="A1681" s="12"/>
      <c r="B1681" s="13"/>
      <c r="C1681" s="14"/>
      <c r="D1681" s="14"/>
      <c r="E1681" s="15"/>
      <c r="F1681" s="13"/>
      <c r="G1681" s="16" t="str">
        <f aca="false">IF(OR(B1681="",E1681=""),"",E1681*IFERROR(INDEX(Müşteriler!$B$5:$B$54,MATCH(B1681,Müşteriler!$A$5:$A$54,0)),0))</f>
        <v/>
      </c>
    </row>
    <row r="1682" customFormat="false" ht="15" hidden="false" customHeight="false" outlineLevel="0" collapsed="false">
      <c r="A1682" s="12"/>
      <c r="B1682" s="13"/>
      <c r="C1682" s="14"/>
      <c r="D1682" s="14"/>
      <c r="E1682" s="15"/>
      <c r="F1682" s="13"/>
      <c r="G1682" s="16" t="str">
        <f aca="false">IF(OR(B1682="",E1682=""),"",E1682*IFERROR(INDEX(Müşteriler!$B$5:$B$54,MATCH(B1682,Müşteriler!$A$5:$A$54,0)),0))</f>
        <v/>
      </c>
    </row>
    <row r="1683" customFormat="false" ht="15" hidden="false" customHeight="false" outlineLevel="0" collapsed="false">
      <c r="A1683" s="12"/>
      <c r="B1683" s="13"/>
      <c r="C1683" s="14"/>
      <c r="D1683" s="14"/>
      <c r="E1683" s="15"/>
      <c r="F1683" s="13"/>
      <c r="G1683" s="16" t="str">
        <f aca="false">IF(OR(B1683="",E1683=""),"",E1683*IFERROR(INDEX(Müşteriler!$B$5:$B$54,MATCH(B1683,Müşteriler!$A$5:$A$54,0)),0))</f>
        <v/>
      </c>
    </row>
    <row r="1684" customFormat="false" ht="15" hidden="false" customHeight="false" outlineLevel="0" collapsed="false">
      <c r="A1684" s="12"/>
      <c r="B1684" s="13"/>
      <c r="C1684" s="14"/>
      <c r="D1684" s="14"/>
      <c r="E1684" s="15"/>
      <c r="F1684" s="13"/>
      <c r="G1684" s="16" t="str">
        <f aca="false">IF(OR(B1684="",E1684=""),"",E1684*IFERROR(INDEX(Müşteriler!$B$5:$B$54,MATCH(B1684,Müşteriler!$A$5:$A$54,0)),0))</f>
        <v/>
      </c>
    </row>
    <row r="1685" customFormat="false" ht="15" hidden="false" customHeight="false" outlineLevel="0" collapsed="false">
      <c r="A1685" s="12"/>
      <c r="B1685" s="13"/>
      <c r="C1685" s="14"/>
      <c r="D1685" s="14"/>
      <c r="E1685" s="15"/>
      <c r="F1685" s="13"/>
      <c r="G1685" s="16" t="str">
        <f aca="false">IF(OR(B1685="",E1685=""),"",E1685*IFERROR(INDEX(Müşteriler!$B$5:$B$54,MATCH(B1685,Müşteriler!$A$5:$A$54,0)),0))</f>
        <v/>
      </c>
    </row>
    <row r="1686" customFormat="false" ht="15" hidden="false" customHeight="false" outlineLevel="0" collapsed="false">
      <c r="A1686" s="12"/>
      <c r="B1686" s="13"/>
      <c r="C1686" s="14"/>
      <c r="D1686" s="14"/>
      <c r="E1686" s="15"/>
      <c r="F1686" s="13"/>
      <c r="G1686" s="16" t="str">
        <f aca="false">IF(OR(B1686="",E1686=""),"",E1686*IFERROR(INDEX(Müşteriler!$B$5:$B$54,MATCH(B1686,Müşteriler!$A$5:$A$54,0)),0))</f>
        <v/>
      </c>
    </row>
    <row r="1687" customFormat="false" ht="15" hidden="false" customHeight="false" outlineLevel="0" collapsed="false">
      <c r="A1687" s="12"/>
      <c r="B1687" s="13"/>
      <c r="C1687" s="14"/>
      <c r="D1687" s="14"/>
      <c r="E1687" s="15"/>
      <c r="F1687" s="13"/>
      <c r="G1687" s="16" t="str">
        <f aca="false">IF(OR(B1687="",E1687=""),"",E1687*IFERROR(INDEX(Müşteriler!$B$5:$B$54,MATCH(B1687,Müşteriler!$A$5:$A$54,0)),0))</f>
        <v/>
      </c>
    </row>
    <row r="1688" customFormat="false" ht="15" hidden="false" customHeight="false" outlineLevel="0" collapsed="false">
      <c r="A1688" s="12"/>
      <c r="B1688" s="13"/>
      <c r="C1688" s="14"/>
      <c r="D1688" s="14"/>
      <c r="E1688" s="15"/>
      <c r="F1688" s="13"/>
      <c r="G1688" s="16" t="str">
        <f aca="false">IF(OR(B1688="",E1688=""),"",E1688*IFERROR(INDEX(Müşteriler!$B$5:$B$54,MATCH(B1688,Müşteriler!$A$5:$A$54,0)),0))</f>
        <v/>
      </c>
    </row>
    <row r="1689" customFormat="false" ht="15" hidden="false" customHeight="false" outlineLevel="0" collapsed="false">
      <c r="A1689" s="12"/>
      <c r="B1689" s="13"/>
      <c r="C1689" s="14"/>
      <c r="D1689" s="14"/>
      <c r="E1689" s="15"/>
      <c r="F1689" s="13"/>
      <c r="G1689" s="16" t="str">
        <f aca="false">IF(OR(B1689="",E1689=""),"",E1689*IFERROR(INDEX(Müşteriler!$B$5:$B$54,MATCH(B1689,Müşteriler!$A$5:$A$54,0)),0))</f>
        <v/>
      </c>
    </row>
    <row r="1690" customFormat="false" ht="15" hidden="false" customHeight="false" outlineLevel="0" collapsed="false">
      <c r="A1690" s="12"/>
      <c r="B1690" s="13"/>
      <c r="C1690" s="14"/>
      <c r="D1690" s="14"/>
      <c r="E1690" s="15"/>
      <c r="F1690" s="13"/>
      <c r="G1690" s="16" t="str">
        <f aca="false">IF(OR(B1690="",E1690=""),"",E1690*IFERROR(INDEX(Müşteriler!$B$5:$B$54,MATCH(B1690,Müşteriler!$A$5:$A$54,0)),0))</f>
        <v/>
      </c>
    </row>
    <row r="1691" customFormat="false" ht="15" hidden="false" customHeight="false" outlineLevel="0" collapsed="false">
      <c r="A1691" s="12"/>
      <c r="B1691" s="13"/>
      <c r="C1691" s="14"/>
      <c r="D1691" s="14"/>
      <c r="E1691" s="15"/>
      <c r="F1691" s="13"/>
      <c r="G1691" s="16" t="str">
        <f aca="false">IF(OR(B1691="",E1691=""),"",E1691*IFERROR(INDEX(Müşteriler!$B$5:$B$54,MATCH(B1691,Müşteriler!$A$5:$A$54,0)),0))</f>
        <v/>
      </c>
    </row>
    <row r="1692" customFormat="false" ht="15" hidden="false" customHeight="false" outlineLevel="0" collapsed="false">
      <c r="A1692" s="12"/>
      <c r="B1692" s="13"/>
      <c r="C1692" s="14"/>
      <c r="D1692" s="14"/>
      <c r="E1692" s="15"/>
      <c r="F1692" s="13"/>
      <c r="G1692" s="16" t="str">
        <f aca="false">IF(OR(B1692="",E1692=""),"",E1692*IFERROR(INDEX(Müşteriler!$B$5:$B$54,MATCH(B1692,Müşteriler!$A$5:$A$54,0)),0))</f>
        <v/>
      </c>
    </row>
    <row r="1693" customFormat="false" ht="15" hidden="false" customHeight="false" outlineLevel="0" collapsed="false">
      <c r="A1693" s="12"/>
      <c r="B1693" s="13"/>
      <c r="C1693" s="14"/>
      <c r="D1693" s="14"/>
      <c r="E1693" s="15"/>
      <c r="F1693" s="13"/>
      <c r="G1693" s="16" t="str">
        <f aca="false">IF(OR(B1693="",E1693=""),"",E1693*IFERROR(INDEX(Müşteriler!$B$5:$B$54,MATCH(B1693,Müşteriler!$A$5:$A$54,0)),0))</f>
        <v/>
      </c>
    </row>
    <row r="1694" customFormat="false" ht="15" hidden="false" customHeight="false" outlineLevel="0" collapsed="false">
      <c r="A1694" s="12"/>
      <c r="B1694" s="13"/>
      <c r="C1694" s="14"/>
      <c r="D1694" s="14"/>
      <c r="E1694" s="15"/>
      <c r="F1694" s="13"/>
      <c r="G1694" s="16" t="str">
        <f aca="false">IF(OR(B1694="",E1694=""),"",E1694*IFERROR(INDEX(Müşteriler!$B$5:$B$54,MATCH(B1694,Müşteriler!$A$5:$A$54,0)),0))</f>
        <v/>
      </c>
    </row>
    <row r="1695" customFormat="false" ht="15" hidden="false" customHeight="false" outlineLevel="0" collapsed="false">
      <c r="A1695" s="12"/>
      <c r="B1695" s="13"/>
      <c r="C1695" s="14"/>
      <c r="D1695" s="14"/>
      <c r="E1695" s="15"/>
      <c r="F1695" s="13"/>
      <c r="G1695" s="16" t="str">
        <f aca="false">IF(OR(B1695="",E1695=""),"",E1695*IFERROR(INDEX(Müşteriler!$B$5:$B$54,MATCH(B1695,Müşteriler!$A$5:$A$54,0)),0))</f>
        <v/>
      </c>
    </row>
    <row r="1696" customFormat="false" ht="15" hidden="false" customHeight="false" outlineLevel="0" collapsed="false">
      <c r="A1696" s="12"/>
      <c r="B1696" s="13"/>
      <c r="C1696" s="14"/>
      <c r="D1696" s="14"/>
      <c r="E1696" s="15"/>
      <c r="F1696" s="13"/>
      <c r="G1696" s="16" t="str">
        <f aca="false">IF(OR(B1696="",E1696=""),"",E1696*IFERROR(INDEX(Müşteriler!$B$5:$B$54,MATCH(B1696,Müşteriler!$A$5:$A$54,0)),0))</f>
        <v/>
      </c>
    </row>
    <row r="1697" customFormat="false" ht="15" hidden="false" customHeight="false" outlineLevel="0" collapsed="false">
      <c r="A1697" s="12"/>
      <c r="B1697" s="13"/>
      <c r="C1697" s="14"/>
      <c r="D1697" s="14"/>
      <c r="E1697" s="15"/>
      <c r="F1697" s="13"/>
      <c r="G1697" s="16" t="str">
        <f aca="false">IF(OR(B1697="",E1697=""),"",E1697*IFERROR(INDEX(Müşteriler!$B$5:$B$54,MATCH(B1697,Müşteriler!$A$5:$A$54,0)),0))</f>
        <v/>
      </c>
    </row>
    <row r="1698" customFormat="false" ht="15" hidden="false" customHeight="false" outlineLevel="0" collapsed="false">
      <c r="A1698" s="12"/>
      <c r="B1698" s="13"/>
      <c r="C1698" s="14"/>
      <c r="D1698" s="14"/>
      <c r="E1698" s="15"/>
      <c r="F1698" s="13"/>
      <c r="G1698" s="16" t="str">
        <f aca="false">IF(OR(B1698="",E1698=""),"",E1698*IFERROR(INDEX(Müşteriler!$B$5:$B$54,MATCH(B1698,Müşteriler!$A$5:$A$54,0)),0))</f>
        <v/>
      </c>
    </row>
    <row r="1699" customFormat="false" ht="15" hidden="false" customHeight="false" outlineLevel="0" collapsed="false">
      <c r="A1699" s="12"/>
      <c r="B1699" s="13"/>
      <c r="C1699" s="14"/>
      <c r="D1699" s="14"/>
      <c r="E1699" s="15"/>
      <c r="F1699" s="13"/>
      <c r="G1699" s="16" t="str">
        <f aca="false">IF(OR(B1699="",E1699=""),"",E1699*IFERROR(INDEX(Müşteriler!$B$5:$B$54,MATCH(B1699,Müşteriler!$A$5:$A$54,0)),0))</f>
        <v/>
      </c>
    </row>
    <row r="1700" customFormat="false" ht="15" hidden="false" customHeight="false" outlineLevel="0" collapsed="false">
      <c r="A1700" s="12"/>
      <c r="B1700" s="13"/>
      <c r="C1700" s="14"/>
      <c r="D1700" s="14"/>
      <c r="E1700" s="15"/>
      <c r="F1700" s="13"/>
      <c r="G1700" s="16" t="str">
        <f aca="false">IF(OR(B1700="",E1700=""),"",E1700*IFERROR(INDEX(Müşteriler!$B$5:$B$54,MATCH(B1700,Müşteriler!$A$5:$A$54,0)),0))</f>
        <v/>
      </c>
    </row>
    <row r="1701" customFormat="false" ht="15" hidden="false" customHeight="false" outlineLevel="0" collapsed="false">
      <c r="A1701" s="12"/>
      <c r="B1701" s="13"/>
      <c r="C1701" s="14"/>
      <c r="D1701" s="14"/>
      <c r="E1701" s="15"/>
      <c r="F1701" s="13"/>
      <c r="G1701" s="16" t="str">
        <f aca="false">IF(OR(B1701="",E1701=""),"",E1701*IFERROR(INDEX(Müşteriler!$B$5:$B$54,MATCH(B1701,Müşteriler!$A$5:$A$54,0)),0))</f>
        <v/>
      </c>
    </row>
    <row r="1702" customFormat="false" ht="15" hidden="false" customHeight="false" outlineLevel="0" collapsed="false">
      <c r="A1702" s="12"/>
      <c r="B1702" s="13"/>
      <c r="C1702" s="14"/>
      <c r="D1702" s="14"/>
      <c r="E1702" s="15"/>
      <c r="F1702" s="13"/>
      <c r="G1702" s="16" t="str">
        <f aca="false">IF(OR(B1702="",E1702=""),"",E1702*IFERROR(INDEX(Müşteriler!$B$5:$B$54,MATCH(B1702,Müşteriler!$A$5:$A$54,0)),0))</f>
        <v/>
      </c>
    </row>
    <row r="1703" customFormat="false" ht="15" hidden="false" customHeight="false" outlineLevel="0" collapsed="false">
      <c r="A1703" s="12"/>
      <c r="B1703" s="13"/>
      <c r="C1703" s="14"/>
      <c r="D1703" s="14"/>
      <c r="E1703" s="15"/>
      <c r="F1703" s="13"/>
      <c r="G1703" s="16" t="str">
        <f aca="false">IF(OR(B1703="",E1703=""),"",E1703*IFERROR(INDEX(Müşteriler!$B$5:$B$54,MATCH(B1703,Müşteriler!$A$5:$A$54,0)),0))</f>
        <v/>
      </c>
    </row>
    <row r="1704" customFormat="false" ht="15" hidden="false" customHeight="false" outlineLevel="0" collapsed="false">
      <c r="A1704" s="12"/>
      <c r="B1704" s="13"/>
      <c r="C1704" s="14"/>
      <c r="D1704" s="14"/>
      <c r="E1704" s="15"/>
      <c r="F1704" s="13"/>
      <c r="G1704" s="16" t="str">
        <f aca="false">IF(OR(B1704="",E1704=""),"",E1704*IFERROR(INDEX(Müşteriler!$B$5:$B$54,MATCH(B1704,Müşteriler!$A$5:$A$54,0)),0))</f>
        <v/>
      </c>
    </row>
    <row r="1705" customFormat="false" ht="15" hidden="false" customHeight="false" outlineLevel="0" collapsed="false">
      <c r="A1705" s="12"/>
      <c r="B1705" s="13"/>
      <c r="C1705" s="14"/>
      <c r="D1705" s="14"/>
      <c r="E1705" s="15"/>
      <c r="F1705" s="13"/>
      <c r="G1705" s="16" t="str">
        <f aca="false">IF(OR(B1705="",E1705=""),"",E1705*IFERROR(INDEX(Müşteriler!$B$5:$B$54,MATCH(B1705,Müşteriler!$A$5:$A$54,0)),0))</f>
        <v/>
      </c>
    </row>
    <row r="1706" customFormat="false" ht="15" hidden="false" customHeight="false" outlineLevel="0" collapsed="false">
      <c r="A1706" s="12"/>
      <c r="B1706" s="13"/>
      <c r="C1706" s="14"/>
      <c r="D1706" s="14"/>
      <c r="E1706" s="15"/>
      <c r="F1706" s="13"/>
      <c r="G1706" s="16" t="str">
        <f aca="false">IF(OR(B1706="",E1706=""),"",E1706*IFERROR(INDEX(Müşteriler!$B$5:$B$54,MATCH(B1706,Müşteriler!$A$5:$A$54,0)),0))</f>
        <v/>
      </c>
    </row>
    <row r="1707" customFormat="false" ht="15" hidden="false" customHeight="false" outlineLevel="0" collapsed="false">
      <c r="A1707" s="12"/>
      <c r="B1707" s="13"/>
      <c r="C1707" s="14"/>
      <c r="D1707" s="14"/>
      <c r="E1707" s="15"/>
      <c r="F1707" s="13"/>
      <c r="G1707" s="16" t="str">
        <f aca="false">IF(OR(B1707="",E1707=""),"",E1707*IFERROR(INDEX(Müşteriler!$B$5:$B$54,MATCH(B1707,Müşteriler!$A$5:$A$54,0)),0))</f>
        <v/>
      </c>
    </row>
    <row r="1708" customFormat="false" ht="15" hidden="false" customHeight="false" outlineLevel="0" collapsed="false">
      <c r="A1708" s="12"/>
      <c r="B1708" s="13"/>
      <c r="C1708" s="14"/>
      <c r="D1708" s="14"/>
      <c r="E1708" s="15"/>
      <c r="F1708" s="13"/>
      <c r="G1708" s="16" t="str">
        <f aca="false">IF(OR(B1708="",E1708=""),"",E1708*IFERROR(INDEX(Müşteriler!$B$5:$B$54,MATCH(B1708,Müşteriler!$A$5:$A$54,0)),0))</f>
        <v/>
      </c>
    </row>
    <row r="1709" customFormat="false" ht="15" hidden="false" customHeight="false" outlineLevel="0" collapsed="false">
      <c r="A1709" s="12"/>
      <c r="B1709" s="13"/>
      <c r="C1709" s="14"/>
      <c r="D1709" s="14"/>
      <c r="E1709" s="15"/>
      <c r="F1709" s="13"/>
      <c r="G1709" s="16" t="str">
        <f aca="false">IF(OR(B1709="",E1709=""),"",E1709*IFERROR(INDEX(Müşteriler!$B$5:$B$54,MATCH(B1709,Müşteriler!$A$5:$A$54,0)),0))</f>
        <v/>
      </c>
    </row>
    <row r="1710" customFormat="false" ht="15" hidden="false" customHeight="false" outlineLevel="0" collapsed="false">
      <c r="A1710" s="12"/>
      <c r="B1710" s="13"/>
      <c r="C1710" s="14"/>
      <c r="D1710" s="14"/>
      <c r="E1710" s="15"/>
      <c r="F1710" s="13"/>
      <c r="G1710" s="16" t="str">
        <f aca="false">IF(OR(B1710="",E1710=""),"",E1710*IFERROR(INDEX(Müşteriler!$B$5:$B$54,MATCH(B1710,Müşteriler!$A$5:$A$54,0)),0))</f>
        <v/>
      </c>
    </row>
    <row r="1711" customFormat="false" ht="15" hidden="false" customHeight="false" outlineLevel="0" collapsed="false">
      <c r="A1711" s="12"/>
      <c r="B1711" s="13"/>
      <c r="C1711" s="14"/>
      <c r="D1711" s="14"/>
      <c r="E1711" s="15"/>
      <c r="F1711" s="13"/>
      <c r="G1711" s="16" t="str">
        <f aca="false">IF(OR(B1711="",E1711=""),"",E1711*IFERROR(INDEX(Müşteriler!$B$5:$B$54,MATCH(B1711,Müşteriler!$A$5:$A$54,0)),0))</f>
        <v/>
      </c>
    </row>
    <row r="1712" customFormat="false" ht="15" hidden="false" customHeight="false" outlineLevel="0" collapsed="false">
      <c r="A1712" s="12"/>
      <c r="B1712" s="13"/>
      <c r="C1712" s="14"/>
      <c r="D1712" s="14"/>
      <c r="E1712" s="15"/>
      <c r="F1712" s="13"/>
      <c r="G1712" s="16" t="str">
        <f aca="false">IF(OR(B1712="",E1712=""),"",E1712*IFERROR(INDEX(Müşteriler!$B$5:$B$54,MATCH(B1712,Müşteriler!$A$5:$A$54,0)),0))</f>
        <v/>
      </c>
    </row>
    <row r="1713" customFormat="false" ht="15" hidden="false" customHeight="false" outlineLevel="0" collapsed="false">
      <c r="A1713" s="12"/>
      <c r="B1713" s="13"/>
      <c r="C1713" s="14"/>
      <c r="D1713" s="14"/>
      <c r="E1713" s="15"/>
      <c r="F1713" s="13"/>
      <c r="G1713" s="16" t="str">
        <f aca="false">IF(OR(B1713="",E1713=""),"",E1713*IFERROR(INDEX(Müşteriler!$B$5:$B$54,MATCH(B1713,Müşteriler!$A$5:$A$54,0)),0))</f>
        <v/>
      </c>
    </row>
    <row r="1714" customFormat="false" ht="15" hidden="false" customHeight="false" outlineLevel="0" collapsed="false">
      <c r="A1714" s="12"/>
      <c r="B1714" s="13"/>
      <c r="C1714" s="14"/>
      <c r="D1714" s="14"/>
      <c r="E1714" s="15"/>
      <c r="F1714" s="13"/>
      <c r="G1714" s="16" t="str">
        <f aca="false">IF(OR(B1714="",E1714=""),"",E1714*IFERROR(INDEX(Müşteriler!$B$5:$B$54,MATCH(B1714,Müşteriler!$A$5:$A$54,0)),0))</f>
        <v/>
      </c>
    </row>
    <row r="1715" customFormat="false" ht="15" hidden="false" customHeight="false" outlineLevel="0" collapsed="false">
      <c r="A1715" s="12"/>
      <c r="B1715" s="13"/>
      <c r="C1715" s="14"/>
      <c r="D1715" s="14"/>
      <c r="E1715" s="15"/>
      <c r="F1715" s="13"/>
      <c r="G1715" s="16" t="str">
        <f aca="false">IF(OR(B1715="",E1715=""),"",E1715*IFERROR(INDEX(Müşteriler!$B$5:$B$54,MATCH(B1715,Müşteriler!$A$5:$A$54,0)),0))</f>
        <v/>
      </c>
    </row>
    <row r="1716" customFormat="false" ht="15" hidden="false" customHeight="false" outlineLevel="0" collapsed="false">
      <c r="A1716" s="12"/>
      <c r="B1716" s="13"/>
      <c r="C1716" s="14"/>
      <c r="D1716" s="14"/>
      <c r="E1716" s="15"/>
      <c r="F1716" s="13"/>
      <c r="G1716" s="16" t="str">
        <f aca="false">IF(OR(B1716="",E1716=""),"",E1716*IFERROR(INDEX(Müşteriler!$B$5:$B$54,MATCH(B1716,Müşteriler!$A$5:$A$54,0)),0))</f>
        <v/>
      </c>
    </row>
    <row r="1717" customFormat="false" ht="15" hidden="false" customHeight="false" outlineLevel="0" collapsed="false">
      <c r="A1717" s="12"/>
      <c r="B1717" s="13"/>
      <c r="C1717" s="14"/>
      <c r="D1717" s="14"/>
      <c r="E1717" s="15"/>
      <c r="F1717" s="13"/>
      <c r="G1717" s="16" t="str">
        <f aca="false">IF(OR(B1717="",E1717=""),"",E1717*IFERROR(INDEX(Müşteriler!$B$5:$B$54,MATCH(B1717,Müşteriler!$A$5:$A$54,0)),0))</f>
        <v/>
      </c>
    </row>
    <row r="1718" customFormat="false" ht="15" hidden="false" customHeight="false" outlineLevel="0" collapsed="false">
      <c r="A1718" s="12"/>
      <c r="B1718" s="13"/>
      <c r="C1718" s="14"/>
      <c r="D1718" s="14"/>
      <c r="E1718" s="15"/>
      <c r="F1718" s="13"/>
      <c r="G1718" s="16" t="str">
        <f aca="false">IF(OR(B1718="",E1718=""),"",E1718*IFERROR(INDEX(Müşteriler!$B$5:$B$54,MATCH(B1718,Müşteriler!$A$5:$A$54,0)),0))</f>
        <v/>
      </c>
    </row>
    <row r="1719" customFormat="false" ht="15" hidden="false" customHeight="false" outlineLevel="0" collapsed="false">
      <c r="A1719" s="12"/>
      <c r="B1719" s="13"/>
      <c r="C1719" s="14"/>
      <c r="D1719" s="14"/>
      <c r="E1719" s="15"/>
      <c r="F1719" s="13"/>
      <c r="G1719" s="16" t="str">
        <f aca="false">IF(OR(B1719="",E1719=""),"",E1719*IFERROR(INDEX(Müşteriler!$B$5:$B$54,MATCH(B1719,Müşteriler!$A$5:$A$54,0)),0))</f>
        <v/>
      </c>
    </row>
    <row r="1720" customFormat="false" ht="15" hidden="false" customHeight="false" outlineLevel="0" collapsed="false">
      <c r="A1720" s="12"/>
      <c r="B1720" s="13"/>
      <c r="C1720" s="14"/>
      <c r="D1720" s="14"/>
      <c r="E1720" s="15"/>
      <c r="F1720" s="13"/>
      <c r="G1720" s="16" t="str">
        <f aca="false">IF(OR(B1720="",E1720=""),"",E1720*IFERROR(INDEX(Müşteriler!$B$5:$B$54,MATCH(B1720,Müşteriler!$A$5:$A$54,0)),0))</f>
        <v/>
      </c>
    </row>
    <row r="1721" customFormat="false" ht="15" hidden="false" customHeight="false" outlineLevel="0" collapsed="false">
      <c r="A1721" s="12"/>
      <c r="B1721" s="13"/>
      <c r="C1721" s="14"/>
      <c r="D1721" s="14"/>
      <c r="E1721" s="15"/>
      <c r="F1721" s="13"/>
      <c r="G1721" s="16" t="str">
        <f aca="false">IF(OR(B1721="",E1721=""),"",E1721*IFERROR(INDEX(Müşteriler!$B$5:$B$54,MATCH(B1721,Müşteriler!$A$5:$A$54,0)),0))</f>
        <v/>
      </c>
    </row>
    <row r="1722" customFormat="false" ht="15" hidden="false" customHeight="false" outlineLevel="0" collapsed="false">
      <c r="A1722" s="12"/>
      <c r="B1722" s="13"/>
      <c r="C1722" s="14"/>
      <c r="D1722" s="14"/>
      <c r="E1722" s="15"/>
      <c r="F1722" s="13"/>
      <c r="G1722" s="16" t="str">
        <f aca="false">IF(OR(B1722="",E1722=""),"",E1722*IFERROR(INDEX(Müşteriler!$B$5:$B$54,MATCH(B1722,Müşteriler!$A$5:$A$54,0)),0))</f>
        <v/>
      </c>
    </row>
    <row r="1723" customFormat="false" ht="15" hidden="false" customHeight="false" outlineLevel="0" collapsed="false">
      <c r="A1723" s="12"/>
      <c r="B1723" s="13"/>
      <c r="C1723" s="14"/>
      <c r="D1723" s="14"/>
      <c r="E1723" s="15"/>
      <c r="F1723" s="13"/>
      <c r="G1723" s="16" t="str">
        <f aca="false">IF(OR(B1723="",E1723=""),"",E1723*IFERROR(INDEX(Müşteriler!$B$5:$B$54,MATCH(B1723,Müşteriler!$A$5:$A$54,0)),0))</f>
        <v/>
      </c>
    </row>
    <row r="1724" customFormat="false" ht="15" hidden="false" customHeight="false" outlineLevel="0" collapsed="false">
      <c r="A1724" s="12"/>
      <c r="B1724" s="13"/>
      <c r="C1724" s="14"/>
      <c r="D1724" s="14"/>
      <c r="E1724" s="15"/>
      <c r="F1724" s="13"/>
      <c r="G1724" s="16" t="str">
        <f aca="false">IF(OR(B1724="",E1724=""),"",E1724*IFERROR(INDEX(Müşteriler!$B$5:$B$54,MATCH(B1724,Müşteriler!$A$5:$A$54,0)),0))</f>
        <v/>
      </c>
    </row>
    <row r="1725" customFormat="false" ht="15" hidden="false" customHeight="false" outlineLevel="0" collapsed="false">
      <c r="A1725" s="12"/>
      <c r="B1725" s="13"/>
      <c r="C1725" s="14"/>
      <c r="D1725" s="14"/>
      <c r="E1725" s="15"/>
      <c r="F1725" s="13"/>
      <c r="G1725" s="16" t="str">
        <f aca="false">IF(OR(B1725="",E1725=""),"",E1725*IFERROR(INDEX(Müşteriler!$B$5:$B$54,MATCH(B1725,Müşteriler!$A$5:$A$54,0)),0))</f>
        <v/>
      </c>
    </row>
    <row r="1726" customFormat="false" ht="15" hidden="false" customHeight="false" outlineLevel="0" collapsed="false">
      <c r="A1726" s="12"/>
      <c r="B1726" s="13"/>
      <c r="C1726" s="14"/>
      <c r="D1726" s="14"/>
      <c r="E1726" s="15"/>
      <c r="F1726" s="13"/>
      <c r="G1726" s="16" t="str">
        <f aca="false">IF(OR(B1726="",E1726=""),"",E1726*IFERROR(INDEX(Müşteriler!$B$5:$B$54,MATCH(B1726,Müşteriler!$A$5:$A$54,0)),0))</f>
        <v/>
      </c>
    </row>
    <row r="1727" customFormat="false" ht="15" hidden="false" customHeight="false" outlineLevel="0" collapsed="false">
      <c r="A1727" s="12"/>
      <c r="B1727" s="13"/>
      <c r="C1727" s="14"/>
      <c r="D1727" s="14"/>
      <c r="E1727" s="15"/>
      <c r="F1727" s="13"/>
      <c r="G1727" s="16" t="str">
        <f aca="false">IF(OR(B1727="",E1727=""),"",E1727*IFERROR(INDEX(Müşteriler!$B$5:$B$54,MATCH(B1727,Müşteriler!$A$5:$A$54,0)),0))</f>
        <v/>
      </c>
    </row>
    <row r="1728" customFormat="false" ht="15" hidden="false" customHeight="false" outlineLevel="0" collapsed="false">
      <c r="A1728" s="12"/>
      <c r="B1728" s="13"/>
      <c r="C1728" s="14"/>
      <c r="D1728" s="14"/>
      <c r="E1728" s="15"/>
      <c r="F1728" s="13"/>
      <c r="G1728" s="16" t="str">
        <f aca="false">IF(OR(B1728="",E1728=""),"",E1728*IFERROR(INDEX(Müşteriler!$B$5:$B$54,MATCH(B1728,Müşteriler!$A$5:$A$54,0)),0))</f>
        <v/>
      </c>
    </row>
    <row r="1729" customFormat="false" ht="15" hidden="false" customHeight="false" outlineLevel="0" collapsed="false">
      <c r="A1729" s="12"/>
      <c r="B1729" s="13"/>
      <c r="C1729" s="14"/>
      <c r="D1729" s="14"/>
      <c r="E1729" s="15"/>
      <c r="F1729" s="13"/>
      <c r="G1729" s="16" t="str">
        <f aca="false">IF(OR(B1729="",E1729=""),"",E1729*IFERROR(INDEX(Müşteriler!$B$5:$B$54,MATCH(B1729,Müşteriler!$A$5:$A$54,0)),0))</f>
        <v/>
      </c>
    </row>
    <row r="1730" customFormat="false" ht="15" hidden="false" customHeight="false" outlineLevel="0" collapsed="false">
      <c r="A1730" s="12"/>
      <c r="B1730" s="13"/>
      <c r="C1730" s="14"/>
      <c r="D1730" s="14"/>
      <c r="E1730" s="15"/>
      <c r="F1730" s="13"/>
      <c r="G1730" s="16" t="str">
        <f aca="false">IF(OR(B1730="",E1730=""),"",E1730*IFERROR(INDEX(Müşteriler!$B$5:$B$54,MATCH(B1730,Müşteriler!$A$5:$A$54,0)),0))</f>
        <v/>
      </c>
    </row>
    <row r="1731" customFormat="false" ht="15" hidden="false" customHeight="false" outlineLevel="0" collapsed="false">
      <c r="A1731" s="12"/>
      <c r="B1731" s="13"/>
      <c r="C1731" s="14"/>
      <c r="D1731" s="14"/>
      <c r="E1731" s="15"/>
      <c r="F1731" s="13"/>
      <c r="G1731" s="16" t="str">
        <f aca="false">IF(OR(B1731="",E1731=""),"",E1731*IFERROR(INDEX(Müşteriler!$B$5:$B$54,MATCH(B1731,Müşteriler!$A$5:$A$54,0)),0))</f>
        <v/>
      </c>
    </row>
    <row r="1732" customFormat="false" ht="15" hidden="false" customHeight="false" outlineLevel="0" collapsed="false">
      <c r="A1732" s="12"/>
      <c r="B1732" s="13"/>
      <c r="C1732" s="14"/>
      <c r="D1732" s="14"/>
      <c r="E1732" s="15"/>
      <c r="F1732" s="13"/>
      <c r="G1732" s="16" t="str">
        <f aca="false">IF(OR(B1732="",E1732=""),"",E1732*IFERROR(INDEX(Müşteriler!$B$5:$B$54,MATCH(B1732,Müşteriler!$A$5:$A$54,0)),0))</f>
        <v/>
      </c>
    </row>
    <row r="1733" customFormat="false" ht="15" hidden="false" customHeight="false" outlineLevel="0" collapsed="false">
      <c r="A1733" s="12"/>
      <c r="B1733" s="13"/>
      <c r="C1733" s="14"/>
      <c r="D1733" s="14"/>
      <c r="E1733" s="15"/>
      <c r="F1733" s="13"/>
      <c r="G1733" s="16" t="str">
        <f aca="false">IF(OR(B1733="",E1733=""),"",E1733*IFERROR(INDEX(Müşteriler!$B$5:$B$54,MATCH(B1733,Müşteriler!$A$5:$A$54,0)),0))</f>
        <v/>
      </c>
    </row>
    <row r="1734" customFormat="false" ht="15" hidden="false" customHeight="false" outlineLevel="0" collapsed="false">
      <c r="A1734" s="12"/>
      <c r="B1734" s="13"/>
      <c r="C1734" s="14"/>
      <c r="D1734" s="14"/>
      <c r="E1734" s="15"/>
      <c r="F1734" s="13"/>
      <c r="G1734" s="16" t="str">
        <f aca="false">IF(OR(B1734="",E1734=""),"",E1734*IFERROR(INDEX(Müşteriler!$B$5:$B$54,MATCH(B1734,Müşteriler!$A$5:$A$54,0)),0))</f>
        <v/>
      </c>
    </row>
    <row r="1735" customFormat="false" ht="15" hidden="false" customHeight="false" outlineLevel="0" collapsed="false">
      <c r="A1735" s="12"/>
      <c r="B1735" s="13"/>
      <c r="C1735" s="14"/>
      <c r="D1735" s="14"/>
      <c r="E1735" s="15"/>
      <c r="F1735" s="13"/>
      <c r="G1735" s="16" t="str">
        <f aca="false">IF(OR(B1735="",E1735=""),"",E1735*IFERROR(INDEX(Müşteriler!$B$5:$B$54,MATCH(B1735,Müşteriler!$A$5:$A$54,0)),0))</f>
        <v/>
      </c>
    </row>
    <row r="1736" customFormat="false" ht="15" hidden="false" customHeight="false" outlineLevel="0" collapsed="false">
      <c r="A1736" s="12"/>
      <c r="B1736" s="13"/>
      <c r="C1736" s="14"/>
      <c r="D1736" s="14"/>
      <c r="E1736" s="15"/>
      <c r="F1736" s="13"/>
      <c r="G1736" s="16" t="str">
        <f aca="false">IF(OR(B1736="",E1736=""),"",E1736*IFERROR(INDEX(Müşteriler!$B$5:$B$54,MATCH(B1736,Müşteriler!$A$5:$A$54,0)),0))</f>
        <v/>
      </c>
    </row>
    <row r="1737" customFormat="false" ht="15" hidden="false" customHeight="false" outlineLevel="0" collapsed="false">
      <c r="A1737" s="12"/>
      <c r="B1737" s="13"/>
      <c r="C1737" s="14"/>
      <c r="D1737" s="14"/>
      <c r="E1737" s="15"/>
      <c r="F1737" s="13"/>
      <c r="G1737" s="16" t="str">
        <f aca="false">IF(OR(B1737="",E1737=""),"",E1737*IFERROR(INDEX(Müşteriler!$B$5:$B$54,MATCH(B1737,Müşteriler!$A$5:$A$54,0)),0))</f>
        <v/>
      </c>
    </row>
    <row r="1738" customFormat="false" ht="15" hidden="false" customHeight="false" outlineLevel="0" collapsed="false">
      <c r="A1738" s="12"/>
      <c r="B1738" s="13"/>
      <c r="C1738" s="14"/>
      <c r="D1738" s="14"/>
      <c r="E1738" s="15"/>
      <c r="F1738" s="13"/>
      <c r="G1738" s="16" t="str">
        <f aca="false">IF(OR(B1738="",E1738=""),"",E1738*IFERROR(INDEX(Müşteriler!$B$5:$B$54,MATCH(B1738,Müşteriler!$A$5:$A$54,0)),0))</f>
        <v/>
      </c>
    </row>
    <row r="1739" customFormat="false" ht="15" hidden="false" customHeight="false" outlineLevel="0" collapsed="false">
      <c r="A1739" s="12"/>
      <c r="B1739" s="13"/>
      <c r="C1739" s="14"/>
      <c r="D1739" s="14"/>
      <c r="E1739" s="15"/>
      <c r="F1739" s="13"/>
      <c r="G1739" s="16" t="str">
        <f aca="false">IF(OR(B1739="",E1739=""),"",E1739*IFERROR(INDEX(Müşteriler!$B$5:$B$54,MATCH(B1739,Müşteriler!$A$5:$A$54,0)),0))</f>
        <v/>
      </c>
    </row>
    <row r="1740" customFormat="false" ht="15" hidden="false" customHeight="false" outlineLevel="0" collapsed="false">
      <c r="A1740" s="12"/>
      <c r="B1740" s="13"/>
      <c r="C1740" s="14"/>
      <c r="D1740" s="14"/>
      <c r="E1740" s="15"/>
      <c r="F1740" s="13"/>
      <c r="G1740" s="16" t="str">
        <f aca="false">IF(OR(B1740="",E1740=""),"",E1740*IFERROR(INDEX(Müşteriler!$B$5:$B$54,MATCH(B1740,Müşteriler!$A$5:$A$54,0)),0))</f>
        <v/>
      </c>
    </row>
    <row r="1741" customFormat="false" ht="15" hidden="false" customHeight="false" outlineLevel="0" collapsed="false">
      <c r="A1741" s="12"/>
      <c r="B1741" s="13"/>
      <c r="C1741" s="14"/>
      <c r="D1741" s="14"/>
      <c r="E1741" s="15"/>
      <c r="F1741" s="13"/>
      <c r="G1741" s="16" t="str">
        <f aca="false">IF(OR(B1741="",E1741=""),"",E1741*IFERROR(INDEX(Müşteriler!$B$5:$B$54,MATCH(B1741,Müşteriler!$A$5:$A$54,0)),0))</f>
        <v/>
      </c>
    </row>
    <row r="1742" customFormat="false" ht="15" hidden="false" customHeight="false" outlineLevel="0" collapsed="false">
      <c r="A1742" s="12"/>
      <c r="B1742" s="13"/>
      <c r="C1742" s="14"/>
      <c r="D1742" s="14"/>
      <c r="E1742" s="15"/>
      <c r="F1742" s="13"/>
      <c r="G1742" s="16" t="str">
        <f aca="false">IF(OR(B1742="",E1742=""),"",E1742*IFERROR(INDEX(Müşteriler!$B$5:$B$54,MATCH(B1742,Müşteriler!$A$5:$A$54,0)),0))</f>
        <v/>
      </c>
    </row>
    <row r="1743" customFormat="false" ht="15" hidden="false" customHeight="false" outlineLevel="0" collapsed="false">
      <c r="A1743" s="12"/>
      <c r="B1743" s="13"/>
      <c r="C1743" s="14"/>
      <c r="D1743" s="14"/>
      <c r="E1743" s="15"/>
      <c r="F1743" s="13"/>
      <c r="G1743" s="16" t="str">
        <f aca="false">IF(OR(B1743="",E1743=""),"",E1743*IFERROR(INDEX(Müşteriler!$B$5:$B$54,MATCH(B1743,Müşteriler!$A$5:$A$54,0)),0))</f>
        <v/>
      </c>
    </row>
    <row r="1744" customFormat="false" ht="15" hidden="false" customHeight="false" outlineLevel="0" collapsed="false">
      <c r="A1744" s="12"/>
      <c r="B1744" s="13"/>
      <c r="C1744" s="14"/>
      <c r="D1744" s="14"/>
      <c r="E1744" s="15"/>
      <c r="F1744" s="13"/>
      <c r="G1744" s="16" t="str">
        <f aca="false">IF(OR(B1744="",E1744=""),"",E1744*IFERROR(INDEX(Müşteriler!$B$5:$B$54,MATCH(B1744,Müşteriler!$A$5:$A$54,0)),0))</f>
        <v/>
      </c>
    </row>
    <row r="1745" customFormat="false" ht="15" hidden="false" customHeight="false" outlineLevel="0" collapsed="false">
      <c r="A1745" s="12"/>
      <c r="B1745" s="13"/>
      <c r="C1745" s="14"/>
      <c r="D1745" s="14"/>
      <c r="E1745" s="15"/>
      <c r="F1745" s="13"/>
      <c r="G1745" s="16" t="str">
        <f aca="false">IF(OR(B1745="",E1745=""),"",E1745*IFERROR(INDEX(Müşteriler!$B$5:$B$54,MATCH(B1745,Müşteriler!$A$5:$A$54,0)),0))</f>
        <v/>
      </c>
    </row>
    <row r="1746" customFormat="false" ht="15" hidden="false" customHeight="false" outlineLevel="0" collapsed="false">
      <c r="A1746" s="12"/>
      <c r="B1746" s="13"/>
      <c r="C1746" s="14"/>
      <c r="D1746" s="14"/>
      <c r="E1746" s="15"/>
      <c r="F1746" s="13"/>
      <c r="G1746" s="16" t="str">
        <f aca="false">IF(OR(B1746="",E1746=""),"",E1746*IFERROR(INDEX(Müşteriler!$B$5:$B$54,MATCH(B1746,Müşteriler!$A$5:$A$54,0)),0))</f>
        <v/>
      </c>
    </row>
    <row r="1747" customFormat="false" ht="15" hidden="false" customHeight="false" outlineLevel="0" collapsed="false">
      <c r="A1747" s="12"/>
      <c r="B1747" s="13"/>
      <c r="C1747" s="14"/>
      <c r="D1747" s="14"/>
      <c r="E1747" s="15"/>
      <c r="F1747" s="13"/>
      <c r="G1747" s="16" t="str">
        <f aca="false">IF(OR(B1747="",E1747=""),"",E1747*IFERROR(INDEX(Müşteriler!$B$5:$B$54,MATCH(B1747,Müşteriler!$A$5:$A$54,0)),0))</f>
        <v/>
      </c>
    </row>
    <row r="1748" customFormat="false" ht="15" hidden="false" customHeight="false" outlineLevel="0" collapsed="false">
      <c r="A1748" s="12"/>
      <c r="B1748" s="13"/>
      <c r="C1748" s="14"/>
      <c r="D1748" s="14"/>
      <c r="E1748" s="15"/>
      <c r="F1748" s="13"/>
      <c r="G1748" s="16" t="str">
        <f aca="false">IF(OR(B1748="",E1748=""),"",E1748*IFERROR(INDEX(Müşteriler!$B$5:$B$54,MATCH(B1748,Müşteriler!$A$5:$A$54,0)),0))</f>
        <v/>
      </c>
    </row>
    <row r="1749" customFormat="false" ht="15" hidden="false" customHeight="false" outlineLevel="0" collapsed="false">
      <c r="A1749" s="12"/>
      <c r="B1749" s="13"/>
      <c r="C1749" s="14"/>
      <c r="D1749" s="14"/>
      <c r="E1749" s="15"/>
      <c r="F1749" s="13"/>
      <c r="G1749" s="16" t="str">
        <f aca="false">IF(OR(B1749="",E1749=""),"",E1749*IFERROR(INDEX(Müşteriler!$B$5:$B$54,MATCH(B1749,Müşteriler!$A$5:$A$54,0)),0))</f>
        <v/>
      </c>
    </row>
    <row r="1750" customFormat="false" ht="15" hidden="false" customHeight="false" outlineLevel="0" collapsed="false">
      <c r="A1750" s="12"/>
      <c r="B1750" s="13"/>
      <c r="C1750" s="14"/>
      <c r="D1750" s="14"/>
      <c r="E1750" s="15"/>
      <c r="F1750" s="13"/>
      <c r="G1750" s="16" t="str">
        <f aca="false">IF(OR(B1750="",E1750=""),"",E1750*IFERROR(INDEX(Müşteriler!$B$5:$B$54,MATCH(B1750,Müşteriler!$A$5:$A$54,0)),0))</f>
        <v/>
      </c>
    </row>
    <row r="1751" customFormat="false" ht="15" hidden="false" customHeight="false" outlineLevel="0" collapsed="false">
      <c r="A1751" s="12"/>
      <c r="B1751" s="13"/>
      <c r="C1751" s="14"/>
      <c r="D1751" s="14"/>
      <c r="E1751" s="15"/>
      <c r="F1751" s="13"/>
      <c r="G1751" s="16" t="str">
        <f aca="false">IF(OR(B1751="",E1751=""),"",E1751*IFERROR(INDEX(Müşteriler!$B$5:$B$54,MATCH(B1751,Müşteriler!$A$5:$A$54,0)),0))</f>
        <v/>
      </c>
    </row>
    <row r="1752" customFormat="false" ht="15" hidden="false" customHeight="false" outlineLevel="0" collapsed="false">
      <c r="A1752" s="12"/>
      <c r="B1752" s="13"/>
      <c r="C1752" s="14"/>
      <c r="D1752" s="14"/>
      <c r="E1752" s="15"/>
      <c r="F1752" s="13"/>
      <c r="G1752" s="16" t="str">
        <f aca="false">IF(OR(B1752="",E1752=""),"",E1752*IFERROR(INDEX(Müşteriler!$B$5:$B$54,MATCH(B1752,Müşteriler!$A$5:$A$54,0)),0))</f>
        <v/>
      </c>
    </row>
    <row r="1753" customFormat="false" ht="15" hidden="false" customHeight="false" outlineLevel="0" collapsed="false">
      <c r="A1753" s="12"/>
      <c r="B1753" s="13"/>
      <c r="C1753" s="14"/>
      <c r="D1753" s="14"/>
      <c r="E1753" s="15"/>
      <c r="F1753" s="13"/>
      <c r="G1753" s="16" t="str">
        <f aca="false">IF(OR(B1753="",E1753=""),"",E1753*IFERROR(INDEX(Müşteriler!$B$5:$B$54,MATCH(B1753,Müşteriler!$A$5:$A$54,0)),0))</f>
        <v/>
      </c>
    </row>
    <row r="1754" customFormat="false" ht="15" hidden="false" customHeight="false" outlineLevel="0" collapsed="false">
      <c r="A1754" s="12"/>
      <c r="B1754" s="13"/>
      <c r="C1754" s="14"/>
      <c r="D1754" s="14"/>
      <c r="E1754" s="15"/>
      <c r="F1754" s="13"/>
      <c r="G1754" s="16" t="str">
        <f aca="false">IF(OR(B1754="",E1754=""),"",E1754*IFERROR(INDEX(Müşteriler!$B$5:$B$54,MATCH(B1754,Müşteriler!$A$5:$A$54,0)),0))</f>
        <v/>
      </c>
    </row>
    <row r="1755" customFormat="false" ht="15" hidden="false" customHeight="false" outlineLevel="0" collapsed="false">
      <c r="A1755" s="12"/>
      <c r="B1755" s="13"/>
      <c r="C1755" s="14"/>
      <c r="D1755" s="14"/>
      <c r="E1755" s="15"/>
      <c r="F1755" s="13"/>
      <c r="G1755" s="16" t="str">
        <f aca="false">IF(OR(B1755="",E1755=""),"",E1755*IFERROR(INDEX(Müşteriler!$B$5:$B$54,MATCH(B1755,Müşteriler!$A$5:$A$54,0)),0))</f>
        <v/>
      </c>
    </row>
    <row r="1756" customFormat="false" ht="15" hidden="false" customHeight="false" outlineLevel="0" collapsed="false">
      <c r="A1756" s="12"/>
      <c r="B1756" s="13"/>
      <c r="C1756" s="14"/>
      <c r="D1756" s="14"/>
      <c r="E1756" s="15"/>
      <c r="F1756" s="13"/>
      <c r="G1756" s="16" t="str">
        <f aca="false">IF(OR(B1756="",E1756=""),"",E1756*IFERROR(INDEX(Müşteriler!$B$5:$B$54,MATCH(B1756,Müşteriler!$A$5:$A$54,0)),0))</f>
        <v/>
      </c>
    </row>
    <row r="1757" customFormat="false" ht="15" hidden="false" customHeight="false" outlineLevel="0" collapsed="false">
      <c r="A1757" s="12"/>
      <c r="B1757" s="13"/>
      <c r="C1757" s="14"/>
      <c r="D1757" s="14"/>
      <c r="E1757" s="15"/>
      <c r="F1757" s="13"/>
      <c r="G1757" s="16" t="str">
        <f aca="false">IF(OR(B1757="",E1757=""),"",E1757*IFERROR(INDEX(Müşteriler!$B$5:$B$54,MATCH(B1757,Müşteriler!$A$5:$A$54,0)),0))</f>
        <v/>
      </c>
    </row>
    <row r="1758" customFormat="false" ht="15" hidden="false" customHeight="false" outlineLevel="0" collapsed="false">
      <c r="A1758" s="12"/>
      <c r="B1758" s="13"/>
      <c r="C1758" s="14"/>
      <c r="D1758" s="14"/>
      <c r="E1758" s="15"/>
      <c r="F1758" s="13"/>
      <c r="G1758" s="16" t="str">
        <f aca="false">IF(OR(B1758="",E1758=""),"",E1758*IFERROR(INDEX(Müşteriler!$B$5:$B$54,MATCH(B1758,Müşteriler!$A$5:$A$54,0)),0))</f>
        <v/>
      </c>
    </row>
    <row r="1759" customFormat="false" ht="15" hidden="false" customHeight="false" outlineLevel="0" collapsed="false">
      <c r="A1759" s="12"/>
      <c r="B1759" s="13"/>
      <c r="C1759" s="14"/>
      <c r="D1759" s="14"/>
      <c r="E1759" s="15"/>
      <c r="F1759" s="13"/>
      <c r="G1759" s="16" t="str">
        <f aca="false">IF(OR(B1759="",E1759=""),"",E1759*IFERROR(INDEX(Müşteriler!$B$5:$B$54,MATCH(B1759,Müşteriler!$A$5:$A$54,0)),0))</f>
        <v/>
      </c>
    </row>
    <row r="1760" customFormat="false" ht="15" hidden="false" customHeight="false" outlineLevel="0" collapsed="false">
      <c r="A1760" s="12"/>
      <c r="B1760" s="13"/>
      <c r="C1760" s="14"/>
      <c r="D1760" s="14"/>
      <c r="E1760" s="15"/>
      <c r="F1760" s="13"/>
      <c r="G1760" s="16" t="str">
        <f aca="false">IF(OR(B1760="",E1760=""),"",E1760*IFERROR(INDEX(Müşteriler!$B$5:$B$54,MATCH(B1760,Müşteriler!$A$5:$A$54,0)),0))</f>
        <v/>
      </c>
    </row>
    <row r="1761" customFormat="false" ht="15" hidden="false" customHeight="false" outlineLevel="0" collapsed="false">
      <c r="A1761" s="12"/>
      <c r="B1761" s="13"/>
      <c r="C1761" s="14"/>
      <c r="D1761" s="14"/>
      <c r="E1761" s="15"/>
      <c r="F1761" s="13"/>
      <c r="G1761" s="16" t="str">
        <f aca="false">IF(OR(B1761="",E1761=""),"",E1761*IFERROR(INDEX(Müşteriler!$B$5:$B$54,MATCH(B1761,Müşteriler!$A$5:$A$54,0)),0))</f>
        <v/>
      </c>
    </row>
    <row r="1762" customFormat="false" ht="15" hidden="false" customHeight="false" outlineLevel="0" collapsed="false">
      <c r="A1762" s="12"/>
      <c r="B1762" s="13"/>
      <c r="C1762" s="14"/>
      <c r="D1762" s="14"/>
      <c r="E1762" s="15"/>
      <c r="F1762" s="13"/>
      <c r="G1762" s="16" t="str">
        <f aca="false">IF(OR(B1762="",E1762=""),"",E1762*IFERROR(INDEX(Müşteriler!$B$5:$B$54,MATCH(B1762,Müşteriler!$A$5:$A$54,0)),0))</f>
        <v/>
      </c>
    </row>
    <row r="1763" customFormat="false" ht="15" hidden="false" customHeight="false" outlineLevel="0" collapsed="false">
      <c r="A1763" s="12"/>
      <c r="B1763" s="13"/>
      <c r="C1763" s="14"/>
      <c r="D1763" s="14"/>
      <c r="E1763" s="15"/>
      <c r="F1763" s="13"/>
      <c r="G1763" s="16" t="str">
        <f aca="false">IF(OR(B1763="",E1763=""),"",E1763*IFERROR(INDEX(Müşteriler!$B$5:$B$54,MATCH(B1763,Müşteriler!$A$5:$A$54,0)),0))</f>
        <v/>
      </c>
    </row>
    <row r="1764" customFormat="false" ht="15" hidden="false" customHeight="false" outlineLevel="0" collapsed="false">
      <c r="A1764" s="12"/>
      <c r="B1764" s="13"/>
      <c r="C1764" s="14"/>
      <c r="D1764" s="14"/>
      <c r="E1764" s="15"/>
      <c r="F1764" s="13"/>
      <c r="G1764" s="16" t="str">
        <f aca="false">IF(OR(B1764="",E1764=""),"",E1764*IFERROR(INDEX(Müşteriler!$B$5:$B$54,MATCH(B1764,Müşteriler!$A$5:$A$54,0)),0))</f>
        <v/>
      </c>
    </row>
    <row r="1765" customFormat="false" ht="15" hidden="false" customHeight="false" outlineLevel="0" collapsed="false">
      <c r="A1765" s="12"/>
      <c r="B1765" s="13"/>
      <c r="C1765" s="14"/>
      <c r="D1765" s="14"/>
      <c r="E1765" s="15"/>
      <c r="F1765" s="13"/>
      <c r="G1765" s="16" t="str">
        <f aca="false">IF(OR(B1765="",E1765=""),"",E1765*IFERROR(INDEX(Müşteriler!$B$5:$B$54,MATCH(B1765,Müşteriler!$A$5:$A$54,0)),0))</f>
        <v/>
      </c>
    </row>
    <row r="1766" customFormat="false" ht="15" hidden="false" customHeight="false" outlineLevel="0" collapsed="false">
      <c r="A1766" s="12"/>
      <c r="B1766" s="13"/>
      <c r="C1766" s="14"/>
      <c r="D1766" s="14"/>
      <c r="E1766" s="15"/>
      <c r="F1766" s="13"/>
      <c r="G1766" s="16" t="str">
        <f aca="false">IF(OR(B1766="",E1766=""),"",E1766*IFERROR(INDEX(Müşteriler!$B$5:$B$54,MATCH(B1766,Müşteriler!$A$5:$A$54,0)),0))</f>
        <v/>
      </c>
    </row>
    <row r="1767" customFormat="false" ht="15" hidden="false" customHeight="false" outlineLevel="0" collapsed="false">
      <c r="A1767" s="12"/>
      <c r="B1767" s="13"/>
      <c r="C1767" s="14"/>
      <c r="D1767" s="14"/>
      <c r="E1767" s="15"/>
      <c r="F1767" s="13"/>
      <c r="G1767" s="16" t="str">
        <f aca="false">IF(OR(B1767="",E1767=""),"",E1767*IFERROR(INDEX(Müşteriler!$B$5:$B$54,MATCH(B1767,Müşteriler!$A$5:$A$54,0)),0))</f>
        <v/>
      </c>
    </row>
    <row r="1768" customFormat="false" ht="15" hidden="false" customHeight="false" outlineLevel="0" collapsed="false">
      <c r="A1768" s="12"/>
      <c r="B1768" s="13"/>
      <c r="C1768" s="14"/>
      <c r="D1768" s="14"/>
      <c r="E1768" s="15"/>
      <c r="F1768" s="13"/>
      <c r="G1768" s="16" t="str">
        <f aca="false">IF(OR(B1768="",E1768=""),"",E1768*IFERROR(INDEX(Müşteriler!$B$5:$B$54,MATCH(B1768,Müşteriler!$A$5:$A$54,0)),0))</f>
        <v/>
      </c>
    </row>
    <row r="1769" customFormat="false" ht="15" hidden="false" customHeight="false" outlineLevel="0" collapsed="false">
      <c r="A1769" s="12"/>
      <c r="B1769" s="13"/>
      <c r="C1769" s="14"/>
      <c r="D1769" s="14"/>
      <c r="E1769" s="15"/>
      <c r="F1769" s="13"/>
      <c r="G1769" s="16" t="str">
        <f aca="false">IF(OR(B1769="",E1769=""),"",E1769*IFERROR(INDEX(Müşteriler!$B$5:$B$54,MATCH(B1769,Müşteriler!$A$5:$A$54,0)),0))</f>
        <v/>
      </c>
    </row>
    <row r="1770" customFormat="false" ht="15" hidden="false" customHeight="false" outlineLevel="0" collapsed="false">
      <c r="A1770" s="12"/>
      <c r="B1770" s="13"/>
      <c r="C1770" s="14"/>
      <c r="D1770" s="14"/>
      <c r="E1770" s="15"/>
      <c r="F1770" s="13"/>
      <c r="G1770" s="16" t="str">
        <f aca="false">IF(OR(B1770="",E1770=""),"",E1770*IFERROR(INDEX(Müşteriler!$B$5:$B$54,MATCH(B1770,Müşteriler!$A$5:$A$54,0)),0))</f>
        <v/>
      </c>
    </row>
    <row r="1771" customFormat="false" ht="15" hidden="false" customHeight="false" outlineLevel="0" collapsed="false">
      <c r="A1771" s="12"/>
      <c r="B1771" s="13"/>
      <c r="C1771" s="14"/>
      <c r="D1771" s="14"/>
      <c r="E1771" s="15"/>
      <c r="F1771" s="13"/>
      <c r="G1771" s="16" t="str">
        <f aca="false">IF(OR(B1771="",E1771=""),"",E1771*IFERROR(INDEX(Müşteriler!$B$5:$B$54,MATCH(B1771,Müşteriler!$A$5:$A$54,0)),0))</f>
        <v/>
      </c>
    </row>
    <row r="1772" customFormat="false" ht="15" hidden="false" customHeight="false" outlineLevel="0" collapsed="false">
      <c r="A1772" s="12"/>
      <c r="B1772" s="13"/>
      <c r="C1772" s="14"/>
      <c r="D1772" s="14"/>
      <c r="E1772" s="15"/>
      <c r="F1772" s="13"/>
      <c r="G1772" s="16" t="str">
        <f aca="false">IF(OR(B1772="",E1772=""),"",E1772*IFERROR(INDEX(Müşteriler!$B$5:$B$54,MATCH(B1772,Müşteriler!$A$5:$A$54,0)),0))</f>
        <v/>
      </c>
    </row>
    <row r="1773" customFormat="false" ht="15" hidden="false" customHeight="false" outlineLevel="0" collapsed="false">
      <c r="A1773" s="12"/>
      <c r="B1773" s="13"/>
      <c r="C1773" s="14"/>
      <c r="D1773" s="14"/>
      <c r="E1773" s="15"/>
      <c r="F1773" s="13"/>
      <c r="G1773" s="16" t="str">
        <f aca="false">IF(OR(B1773="",E1773=""),"",E1773*IFERROR(INDEX(Müşteriler!$B$5:$B$54,MATCH(B1773,Müşteriler!$A$5:$A$54,0)),0))</f>
        <v/>
      </c>
    </row>
    <row r="1774" customFormat="false" ht="15" hidden="false" customHeight="false" outlineLevel="0" collapsed="false">
      <c r="A1774" s="12"/>
      <c r="B1774" s="13"/>
      <c r="C1774" s="14"/>
      <c r="D1774" s="14"/>
      <c r="E1774" s="15"/>
      <c r="F1774" s="13"/>
      <c r="G1774" s="16" t="str">
        <f aca="false">IF(OR(B1774="",E1774=""),"",E1774*IFERROR(INDEX(Müşteriler!$B$5:$B$54,MATCH(B1774,Müşteriler!$A$5:$A$54,0)),0))</f>
        <v/>
      </c>
    </row>
    <row r="1775" customFormat="false" ht="15" hidden="false" customHeight="false" outlineLevel="0" collapsed="false">
      <c r="A1775" s="12"/>
      <c r="B1775" s="13"/>
      <c r="C1775" s="14"/>
      <c r="D1775" s="14"/>
      <c r="E1775" s="15"/>
      <c r="F1775" s="13"/>
      <c r="G1775" s="16" t="str">
        <f aca="false">IF(OR(B1775="",E1775=""),"",E1775*IFERROR(INDEX(Müşteriler!$B$5:$B$54,MATCH(B1775,Müşteriler!$A$5:$A$54,0)),0))</f>
        <v/>
      </c>
    </row>
    <row r="1776" customFormat="false" ht="15" hidden="false" customHeight="false" outlineLevel="0" collapsed="false">
      <c r="A1776" s="12"/>
      <c r="B1776" s="13"/>
      <c r="C1776" s="14"/>
      <c r="D1776" s="14"/>
      <c r="E1776" s="15"/>
      <c r="F1776" s="13"/>
      <c r="G1776" s="16" t="str">
        <f aca="false">IF(OR(B1776="",E1776=""),"",E1776*IFERROR(INDEX(Müşteriler!$B$5:$B$54,MATCH(B1776,Müşteriler!$A$5:$A$54,0)),0))</f>
        <v/>
      </c>
    </row>
    <row r="1777" customFormat="false" ht="15" hidden="false" customHeight="false" outlineLevel="0" collapsed="false">
      <c r="A1777" s="12"/>
      <c r="B1777" s="13"/>
      <c r="C1777" s="14"/>
      <c r="D1777" s="14"/>
      <c r="E1777" s="15"/>
      <c r="F1777" s="13"/>
      <c r="G1777" s="16" t="str">
        <f aca="false">IF(OR(B1777="",E1777=""),"",E1777*IFERROR(INDEX(Müşteriler!$B$5:$B$54,MATCH(B1777,Müşteriler!$A$5:$A$54,0)),0))</f>
        <v/>
      </c>
    </row>
    <row r="1778" customFormat="false" ht="15" hidden="false" customHeight="false" outlineLevel="0" collapsed="false">
      <c r="A1778" s="12"/>
      <c r="B1778" s="13"/>
      <c r="C1778" s="14"/>
      <c r="D1778" s="14"/>
      <c r="E1778" s="15"/>
      <c r="F1778" s="13"/>
      <c r="G1778" s="16" t="str">
        <f aca="false">IF(OR(B1778="",E1778=""),"",E1778*IFERROR(INDEX(Müşteriler!$B$5:$B$54,MATCH(B1778,Müşteriler!$A$5:$A$54,0)),0))</f>
        <v/>
      </c>
    </row>
    <row r="1779" customFormat="false" ht="15" hidden="false" customHeight="false" outlineLevel="0" collapsed="false">
      <c r="A1779" s="12"/>
      <c r="B1779" s="13"/>
      <c r="C1779" s="14"/>
      <c r="D1779" s="14"/>
      <c r="E1779" s="15"/>
      <c r="F1779" s="13"/>
      <c r="G1779" s="16" t="str">
        <f aca="false">IF(OR(B1779="",E1779=""),"",E1779*IFERROR(INDEX(Müşteriler!$B$5:$B$54,MATCH(B1779,Müşteriler!$A$5:$A$54,0)),0))</f>
        <v/>
      </c>
    </row>
    <row r="1780" customFormat="false" ht="15" hidden="false" customHeight="false" outlineLevel="0" collapsed="false">
      <c r="A1780" s="12"/>
      <c r="B1780" s="13"/>
      <c r="C1780" s="14"/>
      <c r="D1780" s="14"/>
      <c r="E1780" s="15"/>
      <c r="F1780" s="13"/>
      <c r="G1780" s="16" t="str">
        <f aca="false">IF(OR(B1780="",E1780=""),"",E1780*IFERROR(INDEX(Müşteriler!$B$5:$B$54,MATCH(B1780,Müşteriler!$A$5:$A$54,0)),0))</f>
        <v/>
      </c>
    </row>
    <row r="1781" customFormat="false" ht="15" hidden="false" customHeight="false" outlineLevel="0" collapsed="false">
      <c r="A1781" s="12"/>
      <c r="B1781" s="13"/>
      <c r="C1781" s="14"/>
      <c r="D1781" s="14"/>
      <c r="E1781" s="15"/>
      <c r="F1781" s="13"/>
      <c r="G1781" s="16" t="str">
        <f aca="false">IF(OR(B1781="",E1781=""),"",E1781*IFERROR(INDEX(Müşteriler!$B$5:$B$54,MATCH(B1781,Müşteriler!$A$5:$A$54,0)),0))</f>
        <v/>
      </c>
    </row>
    <row r="1782" customFormat="false" ht="15" hidden="false" customHeight="false" outlineLevel="0" collapsed="false">
      <c r="A1782" s="12"/>
      <c r="B1782" s="13"/>
      <c r="C1782" s="14"/>
      <c r="D1782" s="14"/>
      <c r="E1782" s="15"/>
      <c r="F1782" s="13"/>
      <c r="G1782" s="16" t="str">
        <f aca="false">IF(OR(B1782="",E1782=""),"",E1782*IFERROR(INDEX(Müşteriler!$B$5:$B$54,MATCH(B1782,Müşteriler!$A$5:$A$54,0)),0))</f>
        <v/>
      </c>
    </row>
    <row r="1783" customFormat="false" ht="15" hidden="false" customHeight="false" outlineLevel="0" collapsed="false">
      <c r="A1783" s="12"/>
      <c r="B1783" s="13"/>
      <c r="C1783" s="14"/>
      <c r="D1783" s="14"/>
      <c r="E1783" s="15"/>
      <c r="F1783" s="13"/>
      <c r="G1783" s="16" t="str">
        <f aca="false">IF(OR(B1783="",E1783=""),"",E1783*IFERROR(INDEX(Müşteriler!$B$5:$B$54,MATCH(B1783,Müşteriler!$A$5:$A$54,0)),0))</f>
        <v/>
      </c>
    </row>
    <row r="1784" customFormat="false" ht="15" hidden="false" customHeight="false" outlineLevel="0" collapsed="false">
      <c r="A1784" s="12"/>
      <c r="B1784" s="13"/>
      <c r="C1784" s="14"/>
      <c r="D1784" s="14"/>
      <c r="E1784" s="15"/>
      <c r="F1784" s="13"/>
      <c r="G1784" s="16" t="str">
        <f aca="false">IF(OR(B1784="",E1784=""),"",E1784*IFERROR(INDEX(Müşteriler!$B$5:$B$54,MATCH(B1784,Müşteriler!$A$5:$A$54,0)),0))</f>
        <v/>
      </c>
    </row>
    <row r="1785" customFormat="false" ht="15" hidden="false" customHeight="false" outlineLevel="0" collapsed="false">
      <c r="A1785" s="12"/>
      <c r="B1785" s="13"/>
      <c r="C1785" s="14"/>
      <c r="D1785" s="14"/>
      <c r="E1785" s="15"/>
      <c r="F1785" s="13"/>
      <c r="G1785" s="16" t="str">
        <f aca="false">IF(OR(B1785="",E1785=""),"",E1785*IFERROR(INDEX(Müşteriler!$B$5:$B$54,MATCH(B1785,Müşteriler!$A$5:$A$54,0)),0))</f>
        <v/>
      </c>
    </row>
    <row r="1786" customFormat="false" ht="15" hidden="false" customHeight="false" outlineLevel="0" collapsed="false">
      <c r="A1786" s="12"/>
      <c r="B1786" s="13"/>
      <c r="C1786" s="14"/>
      <c r="D1786" s="14"/>
      <c r="E1786" s="15"/>
      <c r="F1786" s="13"/>
      <c r="G1786" s="16" t="str">
        <f aca="false">IF(OR(B1786="",E1786=""),"",E1786*IFERROR(INDEX(Müşteriler!$B$5:$B$54,MATCH(B1786,Müşteriler!$A$5:$A$54,0)),0))</f>
        <v/>
      </c>
    </row>
    <row r="1787" customFormat="false" ht="15" hidden="false" customHeight="false" outlineLevel="0" collapsed="false">
      <c r="A1787" s="12"/>
      <c r="B1787" s="13"/>
      <c r="C1787" s="14"/>
      <c r="D1787" s="14"/>
      <c r="E1787" s="15"/>
      <c r="F1787" s="13"/>
      <c r="G1787" s="16" t="str">
        <f aca="false">IF(OR(B1787="",E1787=""),"",E1787*IFERROR(INDEX(Müşteriler!$B$5:$B$54,MATCH(B1787,Müşteriler!$A$5:$A$54,0)),0))</f>
        <v/>
      </c>
    </row>
    <row r="1788" customFormat="false" ht="15" hidden="false" customHeight="false" outlineLevel="0" collapsed="false">
      <c r="A1788" s="12"/>
      <c r="B1788" s="13"/>
      <c r="C1788" s="14"/>
      <c r="D1788" s="14"/>
      <c r="E1788" s="15"/>
      <c r="F1788" s="13"/>
      <c r="G1788" s="16" t="str">
        <f aca="false">IF(OR(B1788="",E1788=""),"",E1788*IFERROR(INDEX(Müşteriler!$B$5:$B$54,MATCH(B1788,Müşteriler!$A$5:$A$54,0)),0))</f>
        <v/>
      </c>
    </row>
    <row r="1789" customFormat="false" ht="15" hidden="false" customHeight="false" outlineLevel="0" collapsed="false">
      <c r="A1789" s="12"/>
      <c r="B1789" s="13"/>
      <c r="C1789" s="14"/>
      <c r="D1789" s="14"/>
      <c r="E1789" s="15"/>
      <c r="F1789" s="13"/>
      <c r="G1789" s="16" t="str">
        <f aca="false">IF(OR(B1789="",E1789=""),"",E1789*IFERROR(INDEX(Müşteriler!$B$5:$B$54,MATCH(B1789,Müşteriler!$A$5:$A$54,0)),0))</f>
        <v/>
      </c>
    </row>
    <row r="1790" customFormat="false" ht="15" hidden="false" customHeight="false" outlineLevel="0" collapsed="false">
      <c r="A1790" s="12"/>
      <c r="B1790" s="13"/>
      <c r="C1790" s="14"/>
      <c r="D1790" s="14"/>
      <c r="E1790" s="15"/>
      <c r="F1790" s="13"/>
      <c r="G1790" s="16" t="str">
        <f aca="false">IF(OR(B1790="",E1790=""),"",E1790*IFERROR(INDEX(Müşteriler!$B$5:$B$54,MATCH(B1790,Müşteriler!$A$5:$A$54,0)),0))</f>
        <v/>
      </c>
    </row>
    <row r="1791" customFormat="false" ht="15" hidden="false" customHeight="false" outlineLevel="0" collapsed="false">
      <c r="A1791" s="12"/>
      <c r="B1791" s="13"/>
      <c r="C1791" s="14"/>
      <c r="D1791" s="14"/>
      <c r="E1791" s="15"/>
      <c r="F1791" s="13"/>
      <c r="G1791" s="16" t="str">
        <f aca="false">IF(OR(B1791="",E1791=""),"",E1791*IFERROR(INDEX(Müşteriler!$B$5:$B$54,MATCH(B1791,Müşteriler!$A$5:$A$54,0)),0))</f>
        <v/>
      </c>
    </row>
    <row r="1792" customFormat="false" ht="15" hidden="false" customHeight="false" outlineLevel="0" collapsed="false">
      <c r="A1792" s="12"/>
      <c r="B1792" s="13"/>
      <c r="C1792" s="14"/>
      <c r="D1792" s="14"/>
      <c r="E1792" s="15"/>
      <c r="F1792" s="13"/>
      <c r="G1792" s="16" t="str">
        <f aca="false">IF(OR(B1792="",E1792=""),"",E1792*IFERROR(INDEX(Müşteriler!$B$5:$B$54,MATCH(B1792,Müşteriler!$A$5:$A$54,0)),0))</f>
        <v/>
      </c>
    </row>
    <row r="1793" customFormat="false" ht="15" hidden="false" customHeight="false" outlineLevel="0" collapsed="false">
      <c r="A1793" s="12"/>
      <c r="B1793" s="13"/>
      <c r="C1793" s="14"/>
      <c r="D1793" s="14"/>
      <c r="E1793" s="15"/>
      <c r="F1793" s="13"/>
      <c r="G1793" s="16" t="str">
        <f aca="false">IF(OR(B1793="",E1793=""),"",E1793*IFERROR(INDEX(Müşteriler!$B$5:$B$54,MATCH(B1793,Müşteriler!$A$5:$A$54,0)),0))</f>
        <v/>
      </c>
    </row>
    <row r="1794" customFormat="false" ht="15" hidden="false" customHeight="false" outlineLevel="0" collapsed="false">
      <c r="A1794" s="12"/>
      <c r="B1794" s="13"/>
      <c r="C1794" s="14"/>
      <c r="D1794" s="14"/>
      <c r="E1794" s="15"/>
      <c r="F1794" s="13"/>
      <c r="G1794" s="16" t="str">
        <f aca="false">IF(OR(B1794="",E1794=""),"",E1794*IFERROR(INDEX(Müşteriler!$B$5:$B$54,MATCH(B1794,Müşteriler!$A$5:$A$54,0)),0))</f>
        <v/>
      </c>
    </row>
    <row r="1795" customFormat="false" ht="15" hidden="false" customHeight="false" outlineLevel="0" collapsed="false">
      <c r="A1795" s="12"/>
      <c r="B1795" s="13"/>
      <c r="C1795" s="14"/>
      <c r="D1795" s="14"/>
      <c r="E1795" s="15"/>
      <c r="F1795" s="13"/>
      <c r="G1795" s="16" t="str">
        <f aca="false">IF(OR(B1795="",E1795=""),"",E1795*IFERROR(INDEX(Müşteriler!$B$5:$B$54,MATCH(B1795,Müşteriler!$A$5:$A$54,0)),0))</f>
        <v/>
      </c>
    </row>
    <row r="1796" customFormat="false" ht="15" hidden="false" customHeight="false" outlineLevel="0" collapsed="false">
      <c r="A1796" s="12"/>
      <c r="B1796" s="13"/>
      <c r="C1796" s="14"/>
      <c r="D1796" s="14"/>
      <c r="E1796" s="15"/>
      <c r="F1796" s="13"/>
      <c r="G1796" s="16" t="str">
        <f aca="false">IF(OR(B1796="",E1796=""),"",E1796*IFERROR(INDEX(Müşteriler!$B$5:$B$54,MATCH(B1796,Müşteriler!$A$5:$A$54,0)),0))</f>
        <v/>
      </c>
    </row>
    <row r="1797" customFormat="false" ht="15" hidden="false" customHeight="false" outlineLevel="0" collapsed="false">
      <c r="A1797" s="12"/>
      <c r="B1797" s="13"/>
      <c r="C1797" s="14"/>
      <c r="D1797" s="14"/>
      <c r="E1797" s="15"/>
      <c r="F1797" s="13"/>
      <c r="G1797" s="16" t="str">
        <f aca="false">IF(OR(B1797="",E1797=""),"",E1797*IFERROR(INDEX(Müşteriler!$B$5:$B$54,MATCH(B1797,Müşteriler!$A$5:$A$54,0)),0))</f>
        <v/>
      </c>
    </row>
    <row r="1798" customFormat="false" ht="15" hidden="false" customHeight="false" outlineLevel="0" collapsed="false">
      <c r="A1798" s="12"/>
      <c r="B1798" s="13"/>
      <c r="C1798" s="14"/>
      <c r="D1798" s="14"/>
      <c r="E1798" s="15"/>
      <c r="F1798" s="13"/>
      <c r="G1798" s="16" t="str">
        <f aca="false">IF(OR(B1798="",E1798=""),"",E1798*IFERROR(INDEX(Müşteriler!$B$5:$B$54,MATCH(B1798,Müşteriler!$A$5:$A$54,0)),0))</f>
        <v/>
      </c>
    </row>
    <row r="1799" customFormat="false" ht="15" hidden="false" customHeight="false" outlineLevel="0" collapsed="false">
      <c r="A1799" s="12"/>
      <c r="B1799" s="13"/>
      <c r="C1799" s="14"/>
      <c r="D1799" s="14"/>
      <c r="E1799" s="15"/>
      <c r="F1799" s="13"/>
      <c r="G1799" s="16" t="str">
        <f aca="false">IF(OR(B1799="",E1799=""),"",E1799*IFERROR(INDEX(Müşteriler!$B$5:$B$54,MATCH(B1799,Müşteriler!$A$5:$A$54,0)),0))</f>
        <v/>
      </c>
    </row>
    <row r="1800" customFormat="false" ht="15" hidden="false" customHeight="false" outlineLevel="0" collapsed="false">
      <c r="A1800" s="12"/>
      <c r="B1800" s="13"/>
      <c r="C1800" s="14"/>
      <c r="D1800" s="14"/>
      <c r="E1800" s="15"/>
      <c r="F1800" s="13"/>
      <c r="G1800" s="16" t="str">
        <f aca="false">IF(OR(B1800="",E1800=""),"",E1800*IFERROR(INDEX(Müşteriler!$B$5:$B$54,MATCH(B1800,Müşteriler!$A$5:$A$54,0)),0))</f>
        <v/>
      </c>
    </row>
    <row r="1801" customFormat="false" ht="15" hidden="false" customHeight="false" outlineLevel="0" collapsed="false">
      <c r="A1801" s="12"/>
      <c r="B1801" s="13"/>
      <c r="C1801" s="14"/>
      <c r="D1801" s="14"/>
      <c r="E1801" s="15"/>
      <c r="F1801" s="13"/>
      <c r="G1801" s="16" t="str">
        <f aca="false">IF(OR(B1801="",E1801=""),"",E1801*IFERROR(INDEX(Müşteriler!$B$5:$B$54,MATCH(B1801,Müşteriler!$A$5:$A$54,0)),0))</f>
        <v/>
      </c>
    </row>
    <row r="1802" customFormat="false" ht="15" hidden="false" customHeight="false" outlineLevel="0" collapsed="false">
      <c r="A1802" s="12"/>
      <c r="B1802" s="13"/>
      <c r="C1802" s="14"/>
      <c r="D1802" s="14"/>
      <c r="E1802" s="15"/>
      <c r="F1802" s="13"/>
      <c r="G1802" s="16" t="str">
        <f aca="false">IF(OR(B1802="",E1802=""),"",E1802*IFERROR(INDEX(Müşteriler!$B$5:$B$54,MATCH(B1802,Müşteriler!$A$5:$A$54,0)),0))</f>
        <v/>
      </c>
    </row>
    <row r="1803" customFormat="false" ht="15" hidden="false" customHeight="false" outlineLevel="0" collapsed="false">
      <c r="A1803" s="12"/>
      <c r="B1803" s="13"/>
      <c r="C1803" s="14"/>
      <c r="D1803" s="14"/>
      <c r="E1803" s="15"/>
      <c r="F1803" s="13"/>
      <c r="G1803" s="16" t="str">
        <f aca="false">IF(OR(B1803="",E1803=""),"",E1803*IFERROR(INDEX(Müşteriler!$B$5:$B$54,MATCH(B1803,Müşteriler!$A$5:$A$54,0)),0))</f>
        <v/>
      </c>
    </row>
    <row r="1804" customFormat="false" ht="15" hidden="false" customHeight="false" outlineLevel="0" collapsed="false">
      <c r="A1804" s="12"/>
      <c r="B1804" s="13"/>
      <c r="C1804" s="14"/>
      <c r="D1804" s="14"/>
      <c r="E1804" s="15"/>
      <c r="F1804" s="13"/>
      <c r="G1804" s="16" t="str">
        <f aca="false">IF(OR(B1804="",E1804=""),"",E1804*IFERROR(INDEX(Müşteriler!$B$5:$B$54,MATCH(B1804,Müşteriler!$A$5:$A$54,0)),0))</f>
        <v/>
      </c>
    </row>
    <row r="1805" customFormat="false" ht="15" hidden="false" customHeight="false" outlineLevel="0" collapsed="false">
      <c r="A1805" s="12"/>
      <c r="B1805" s="13"/>
      <c r="C1805" s="14"/>
      <c r="D1805" s="14"/>
      <c r="E1805" s="15"/>
      <c r="F1805" s="13"/>
      <c r="G1805" s="16" t="str">
        <f aca="false">IF(OR(B1805="",E1805=""),"",E1805*IFERROR(INDEX(Müşteriler!$B$5:$B$54,MATCH(B1805,Müşteriler!$A$5:$A$54,0)),0))</f>
        <v/>
      </c>
    </row>
    <row r="1806" customFormat="false" ht="15" hidden="false" customHeight="false" outlineLevel="0" collapsed="false">
      <c r="A1806" s="12"/>
      <c r="B1806" s="13"/>
      <c r="C1806" s="14"/>
      <c r="D1806" s="14"/>
      <c r="E1806" s="15"/>
      <c r="F1806" s="13"/>
      <c r="G1806" s="16" t="str">
        <f aca="false">IF(OR(B1806="",E1806=""),"",E1806*IFERROR(INDEX(Müşteriler!$B$5:$B$54,MATCH(B1806,Müşteriler!$A$5:$A$54,0)),0))</f>
        <v/>
      </c>
    </row>
    <row r="1807" customFormat="false" ht="15" hidden="false" customHeight="false" outlineLevel="0" collapsed="false">
      <c r="A1807" s="12"/>
      <c r="B1807" s="13"/>
      <c r="C1807" s="14"/>
      <c r="D1807" s="14"/>
      <c r="E1807" s="15"/>
      <c r="F1807" s="13"/>
      <c r="G1807" s="16" t="str">
        <f aca="false">IF(OR(B1807="",E1807=""),"",E1807*IFERROR(INDEX(Müşteriler!$B$5:$B$54,MATCH(B1807,Müşteriler!$A$5:$A$54,0)),0))</f>
        <v/>
      </c>
    </row>
    <row r="1808" customFormat="false" ht="15" hidden="false" customHeight="false" outlineLevel="0" collapsed="false">
      <c r="A1808" s="12"/>
      <c r="B1808" s="13"/>
      <c r="C1808" s="14"/>
      <c r="D1808" s="14"/>
      <c r="E1808" s="15"/>
      <c r="F1808" s="13"/>
      <c r="G1808" s="16" t="str">
        <f aca="false">IF(OR(B1808="",E1808=""),"",E1808*IFERROR(INDEX(Müşteriler!$B$5:$B$54,MATCH(B1808,Müşteriler!$A$5:$A$54,0)),0))</f>
        <v/>
      </c>
    </row>
    <row r="1809" customFormat="false" ht="15" hidden="false" customHeight="false" outlineLevel="0" collapsed="false">
      <c r="A1809" s="12"/>
      <c r="B1809" s="13"/>
      <c r="C1809" s="14"/>
      <c r="D1809" s="14"/>
      <c r="E1809" s="15"/>
      <c r="F1809" s="13"/>
      <c r="G1809" s="16" t="str">
        <f aca="false">IF(OR(B1809="",E1809=""),"",E1809*IFERROR(INDEX(Müşteriler!$B$5:$B$54,MATCH(B1809,Müşteriler!$A$5:$A$54,0)),0))</f>
        <v/>
      </c>
    </row>
    <row r="1810" customFormat="false" ht="15" hidden="false" customHeight="false" outlineLevel="0" collapsed="false">
      <c r="A1810" s="12"/>
      <c r="B1810" s="13"/>
      <c r="C1810" s="14"/>
      <c r="D1810" s="14"/>
      <c r="E1810" s="15"/>
      <c r="F1810" s="13"/>
      <c r="G1810" s="16" t="str">
        <f aca="false">IF(OR(B1810="",E1810=""),"",E1810*IFERROR(INDEX(Müşteriler!$B$5:$B$54,MATCH(B1810,Müşteriler!$A$5:$A$54,0)),0))</f>
        <v/>
      </c>
    </row>
    <row r="1811" customFormat="false" ht="15" hidden="false" customHeight="false" outlineLevel="0" collapsed="false">
      <c r="A1811" s="12"/>
      <c r="B1811" s="13"/>
      <c r="C1811" s="14"/>
      <c r="D1811" s="14"/>
      <c r="E1811" s="15"/>
      <c r="F1811" s="13"/>
      <c r="G1811" s="16" t="str">
        <f aca="false">IF(OR(B1811="",E1811=""),"",E1811*IFERROR(INDEX(Müşteriler!$B$5:$B$54,MATCH(B1811,Müşteriler!$A$5:$A$54,0)),0))</f>
        <v/>
      </c>
    </row>
    <row r="1812" customFormat="false" ht="15" hidden="false" customHeight="false" outlineLevel="0" collapsed="false">
      <c r="A1812" s="12"/>
      <c r="B1812" s="13"/>
      <c r="C1812" s="14"/>
      <c r="D1812" s="14"/>
      <c r="E1812" s="15"/>
      <c r="F1812" s="13"/>
      <c r="G1812" s="16" t="str">
        <f aca="false">IF(OR(B1812="",E1812=""),"",E1812*IFERROR(INDEX(Müşteriler!$B$5:$B$54,MATCH(B1812,Müşteriler!$A$5:$A$54,0)),0))</f>
        <v/>
      </c>
    </row>
    <row r="1813" customFormat="false" ht="15" hidden="false" customHeight="false" outlineLevel="0" collapsed="false">
      <c r="A1813" s="12"/>
      <c r="B1813" s="13"/>
      <c r="C1813" s="14"/>
      <c r="D1813" s="14"/>
      <c r="E1813" s="15"/>
      <c r="F1813" s="13"/>
      <c r="G1813" s="16" t="str">
        <f aca="false">IF(OR(B1813="",E1813=""),"",E1813*IFERROR(INDEX(Müşteriler!$B$5:$B$54,MATCH(B1813,Müşteriler!$A$5:$A$54,0)),0))</f>
        <v/>
      </c>
    </row>
    <row r="1814" customFormat="false" ht="15" hidden="false" customHeight="false" outlineLevel="0" collapsed="false">
      <c r="A1814" s="12"/>
      <c r="B1814" s="13"/>
      <c r="C1814" s="14"/>
      <c r="D1814" s="14"/>
      <c r="E1814" s="15"/>
      <c r="F1814" s="13"/>
      <c r="G1814" s="16" t="str">
        <f aca="false">IF(OR(B1814="",E1814=""),"",E1814*IFERROR(INDEX(Müşteriler!$B$5:$B$54,MATCH(B1814,Müşteriler!$A$5:$A$54,0)),0))</f>
        <v/>
      </c>
    </row>
    <row r="1815" customFormat="false" ht="15" hidden="false" customHeight="false" outlineLevel="0" collapsed="false">
      <c r="A1815" s="12"/>
      <c r="B1815" s="13"/>
      <c r="C1815" s="14"/>
      <c r="D1815" s="14"/>
      <c r="E1815" s="15"/>
      <c r="F1815" s="13"/>
      <c r="G1815" s="16" t="str">
        <f aca="false">IF(OR(B1815="",E1815=""),"",E1815*IFERROR(INDEX(Müşteriler!$B$5:$B$54,MATCH(B1815,Müşteriler!$A$5:$A$54,0)),0))</f>
        <v/>
      </c>
    </row>
    <row r="1816" customFormat="false" ht="15" hidden="false" customHeight="false" outlineLevel="0" collapsed="false">
      <c r="A1816" s="12"/>
      <c r="B1816" s="13"/>
      <c r="C1816" s="14"/>
      <c r="D1816" s="14"/>
      <c r="E1816" s="15"/>
      <c r="F1816" s="13"/>
      <c r="G1816" s="16" t="str">
        <f aca="false">IF(OR(B1816="",E1816=""),"",E1816*IFERROR(INDEX(Müşteriler!$B$5:$B$54,MATCH(B1816,Müşteriler!$A$5:$A$54,0)),0))</f>
        <v/>
      </c>
    </row>
    <row r="1817" customFormat="false" ht="15" hidden="false" customHeight="false" outlineLevel="0" collapsed="false">
      <c r="A1817" s="12"/>
      <c r="B1817" s="13"/>
      <c r="C1817" s="14"/>
      <c r="D1817" s="14"/>
      <c r="E1817" s="15"/>
      <c r="F1817" s="13"/>
      <c r="G1817" s="16" t="str">
        <f aca="false">IF(OR(B1817="",E1817=""),"",E1817*IFERROR(INDEX(Müşteriler!$B$5:$B$54,MATCH(B1817,Müşteriler!$A$5:$A$54,0)),0))</f>
        <v/>
      </c>
    </row>
    <row r="1818" customFormat="false" ht="15" hidden="false" customHeight="false" outlineLevel="0" collapsed="false">
      <c r="A1818" s="12"/>
      <c r="B1818" s="13"/>
      <c r="C1818" s="14"/>
      <c r="D1818" s="14"/>
      <c r="E1818" s="15"/>
      <c r="F1818" s="13"/>
      <c r="G1818" s="16" t="str">
        <f aca="false">IF(OR(B1818="",E1818=""),"",E1818*IFERROR(INDEX(Müşteriler!$B$5:$B$54,MATCH(B1818,Müşteriler!$A$5:$A$54,0)),0))</f>
        <v/>
      </c>
    </row>
    <row r="1819" customFormat="false" ht="15" hidden="false" customHeight="false" outlineLevel="0" collapsed="false">
      <c r="A1819" s="12"/>
      <c r="B1819" s="13"/>
      <c r="C1819" s="14"/>
      <c r="D1819" s="14"/>
      <c r="E1819" s="15"/>
      <c r="F1819" s="13"/>
      <c r="G1819" s="16" t="str">
        <f aca="false">IF(OR(B1819="",E1819=""),"",E1819*IFERROR(INDEX(Müşteriler!$B$5:$B$54,MATCH(B1819,Müşteriler!$A$5:$A$54,0)),0))</f>
        <v/>
      </c>
    </row>
    <row r="1820" customFormat="false" ht="15" hidden="false" customHeight="false" outlineLevel="0" collapsed="false">
      <c r="A1820" s="12"/>
      <c r="B1820" s="13"/>
      <c r="C1820" s="14"/>
      <c r="D1820" s="14"/>
      <c r="E1820" s="15"/>
      <c r="F1820" s="13"/>
      <c r="G1820" s="16" t="str">
        <f aca="false">IF(OR(B1820="",E1820=""),"",E1820*IFERROR(INDEX(Müşteriler!$B$5:$B$54,MATCH(B1820,Müşteriler!$A$5:$A$54,0)),0))</f>
        <v/>
      </c>
    </row>
    <row r="1821" customFormat="false" ht="15" hidden="false" customHeight="false" outlineLevel="0" collapsed="false">
      <c r="A1821" s="12"/>
      <c r="B1821" s="13"/>
      <c r="C1821" s="14"/>
      <c r="D1821" s="14"/>
      <c r="E1821" s="15"/>
      <c r="F1821" s="13"/>
      <c r="G1821" s="16" t="str">
        <f aca="false">IF(OR(B1821="",E1821=""),"",E1821*IFERROR(INDEX(Müşteriler!$B$5:$B$54,MATCH(B1821,Müşteriler!$A$5:$A$54,0)),0))</f>
        <v/>
      </c>
    </row>
    <row r="1822" customFormat="false" ht="15" hidden="false" customHeight="false" outlineLevel="0" collapsed="false">
      <c r="A1822" s="12"/>
      <c r="B1822" s="13"/>
      <c r="C1822" s="14"/>
      <c r="D1822" s="14"/>
      <c r="E1822" s="15"/>
      <c r="F1822" s="13"/>
      <c r="G1822" s="16" t="str">
        <f aca="false">IF(OR(B1822="",E1822=""),"",E1822*IFERROR(INDEX(Müşteriler!$B$5:$B$54,MATCH(B1822,Müşteriler!$A$5:$A$54,0)),0))</f>
        <v/>
      </c>
    </row>
    <row r="1823" customFormat="false" ht="15" hidden="false" customHeight="false" outlineLevel="0" collapsed="false">
      <c r="A1823" s="12"/>
      <c r="B1823" s="13"/>
      <c r="C1823" s="14"/>
      <c r="D1823" s="14"/>
      <c r="E1823" s="15"/>
      <c r="F1823" s="13"/>
      <c r="G1823" s="16" t="str">
        <f aca="false">IF(OR(B1823="",E1823=""),"",E1823*IFERROR(INDEX(Müşteriler!$B$5:$B$54,MATCH(B1823,Müşteriler!$A$5:$A$54,0)),0))</f>
        <v/>
      </c>
    </row>
    <row r="1824" customFormat="false" ht="15" hidden="false" customHeight="false" outlineLevel="0" collapsed="false">
      <c r="A1824" s="12"/>
      <c r="B1824" s="13"/>
      <c r="C1824" s="14"/>
      <c r="D1824" s="14"/>
      <c r="E1824" s="15"/>
      <c r="F1824" s="13"/>
      <c r="G1824" s="16" t="str">
        <f aca="false">IF(OR(B1824="",E1824=""),"",E1824*IFERROR(INDEX(Müşteriler!$B$5:$B$54,MATCH(B1824,Müşteriler!$A$5:$A$54,0)),0))</f>
        <v/>
      </c>
    </row>
    <row r="1825" customFormat="false" ht="15" hidden="false" customHeight="false" outlineLevel="0" collapsed="false">
      <c r="A1825" s="12"/>
      <c r="B1825" s="13"/>
      <c r="C1825" s="14"/>
      <c r="D1825" s="14"/>
      <c r="E1825" s="15"/>
      <c r="F1825" s="13"/>
      <c r="G1825" s="16" t="str">
        <f aca="false">IF(OR(B1825="",E1825=""),"",E1825*IFERROR(INDEX(Müşteriler!$B$5:$B$54,MATCH(B1825,Müşteriler!$A$5:$A$54,0)),0))</f>
        <v/>
      </c>
    </row>
    <row r="1826" customFormat="false" ht="15" hidden="false" customHeight="false" outlineLevel="0" collapsed="false">
      <c r="A1826" s="12"/>
      <c r="B1826" s="13"/>
      <c r="C1826" s="14"/>
      <c r="D1826" s="14"/>
      <c r="E1826" s="15"/>
      <c r="F1826" s="13"/>
      <c r="G1826" s="16" t="str">
        <f aca="false">IF(OR(B1826="",E1826=""),"",E1826*IFERROR(INDEX(Müşteriler!$B$5:$B$54,MATCH(B1826,Müşteriler!$A$5:$A$54,0)),0))</f>
        <v/>
      </c>
    </row>
    <row r="1827" customFormat="false" ht="15" hidden="false" customHeight="false" outlineLevel="0" collapsed="false">
      <c r="A1827" s="12"/>
      <c r="B1827" s="13"/>
      <c r="C1827" s="14"/>
      <c r="D1827" s="14"/>
      <c r="E1827" s="15"/>
      <c r="F1827" s="13"/>
      <c r="G1827" s="16" t="str">
        <f aca="false">IF(OR(B1827="",E1827=""),"",E1827*IFERROR(INDEX(Müşteriler!$B$5:$B$54,MATCH(B1827,Müşteriler!$A$5:$A$54,0)),0))</f>
        <v/>
      </c>
    </row>
    <row r="1828" customFormat="false" ht="15" hidden="false" customHeight="false" outlineLevel="0" collapsed="false">
      <c r="A1828" s="12"/>
      <c r="B1828" s="13"/>
      <c r="C1828" s="14"/>
      <c r="D1828" s="14"/>
      <c r="E1828" s="15"/>
      <c r="F1828" s="13"/>
      <c r="G1828" s="16" t="str">
        <f aca="false">IF(OR(B1828="",E1828=""),"",E1828*IFERROR(INDEX(Müşteriler!$B$5:$B$54,MATCH(B1828,Müşteriler!$A$5:$A$54,0)),0))</f>
        <v/>
      </c>
    </row>
    <row r="1829" customFormat="false" ht="15" hidden="false" customHeight="false" outlineLevel="0" collapsed="false">
      <c r="A1829" s="12"/>
      <c r="B1829" s="13"/>
      <c r="C1829" s="14"/>
      <c r="D1829" s="14"/>
      <c r="E1829" s="15"/>
      <c r="F1829" s="13"/>
      <c r="G1829" s="16" t="str">
        <f aca="false">IF(OR(B1829="",E1829=""),"",E1829*IFERROR(INDEX(Müşteriler!$B$5:$B$54,MATCH(B1829,Müşteriler!$A$5:$A$54,0)),0))</f>
        <v/>
      </c>
    </row>
    <row r="1830" customFormat="false" ht="15" hidden="false" customHeight="false" outlineLevel="0" collapsed="false">
      <c r="A1830" s="12"/>
      <c r="B1830" s="13"/>
      <c r="C1830" s="14"/>
      <c r="D1830" s="14"/>
      <c r="E1830" s="15"/>
      <c r="F1830" s="13"/>
      <c r="G1830" s="16" t="str">
        <f aca="false">IF(OR(B1830="",E1830=""),"",E1830*IFERROR(INDEX(Müşteriler!$B$5:$B$54,MATCH(B1830,Müşteriler!$A$5:$A$54,0)),0))</f>
        <v/>
      </c>
    </row>
    <row r="1831" customFormat="false" ht="15" hidden="false" customHeight="false" outlineLevel="0" collapsed="false">
      <c r="A1831" s="12"/>
      <c r="B1831" s="13"/>
      <c r="C1831" s="14"/>
      <c r="D1831" s="14"/>
      <c r="E1831" s="15"/>
      <c r="F1831" s="13"/>
      <c r="G1831" s="16" t="str">
        <f aca="false">IF(OR(B1831="",E1831=""),"",E1831*IFERROR(INDEX(Müşteriler!$B$5:$B$54,MATCH(B1831,Müşteriler!$A$5:$A$54,0)),0))</f>
        <v/>
      </c>
    </row>
    <row r="1832" customFormat="false" ht="15" hidden="false" customHeight="false" outlineLevel="0" collapsed="false">
      <c r="A1832" s="12"/>
      <c r="B1832" s="13"/>
      <c r="C1832" s="14"/>
      <c r="D1832" s="14"/>
      <c r="E1832" s="15"/>
      <c r="F1832" s="13"/>
      <c r="G1832" s="16" t="str">
        <f aca="false">IF(OR(B1832="",E1832=""),"",E1832*IFERROR(INDEX(Müşteriler!$B$5:$B$54,MATCH(B1832,Müşteriler!$A$5:$A$54,0)),0))</f>
        <v/>
      </c>
    </row>
    <row r="1833" customFormat="false" ht="15" hidden="false" customHeight="false" outlineLevel="0" collapsed="false">
      <c r="A1833" s="12"/>
      <c r="B1833" s="13"/>
      <c r="C1833" s="14"/>
      <c r="D1833" s="14"/>
      <c r="E1833" s="15"/>
      <c r="F1833" s="13"/>
      <c r="G1833" s="16" t="str">
        <f aca="false">IF(OR(B1833="",E1833=""),"",E1833*IFERROR(INDEX(Müşteriler!$B$5:$B$54,MATCH(B1833,Müşteriler!$A$5:$A$54,0)),0))</f>
        <v/>
      </c>
    </row>
    <row r="1834" customFormat="false" ht="15" hidden="false" customHeight="false" outlineLevel="0" collapsed="false">
      <c r="A1834" s="12"/>
      <c r="B1834" s="13"/>
      <c r="C1834" s="14"/>
      <c r="D1834" s="14"/>
      <c r="E1834" s="15"/>
      <c r="F1834" s="13"/>
      <c r="G1834" s="16" t="str">
        <f aca="false">IF(OR(B1834="",E1834=""),"",E1834*IFERROR(INDEX(Müşteriler!$B$5:$B$54,MATCH(B1834,Müşteriler!$A$5:$A$54,0)),0))</f>
        <v/>
      </c>
    </row>
    <row r="1835" customFormat="false" ht="15" hidden="false" customHeight="false" outlineLevel="0" collapsed="false">
      <c r="A1835" s="12"/>
      <c r="B1835" s="13"/>
      <c r="C1835" s="14"/>
      <c r="D1835" s="14"/>
      <c r="E1835" s="15"/>
      <c r="F1835" s="13"/>
      <c r="G1835" s="16" t="str">
        <f aca="false">IF(OR(B1835="",E1835=""),"",E1835*IFERROR(INDEX(Müşteriler!$B$5:$B$54,MATCH(B1835,Müşteriler!$A$5:$A$54,0)),0))</f>
        <v/>
      </c>
    </row>
    <row r="1836" customFormat="false" ht="15" hidden="false" customHeight="false" outlineLevel="0" collapsed="false">
      <c r="A1836" s="12"/>
      <c r="B1836" s="13"/>
      <c r="C1836" s="14"/>
      <c r="D1836" s="14"/>
      <c r="E1836" s="15"/>
      <c r="F1836" s="13"/>
      <c r="G1836" s="16" t="str">
        <f aca="false">IF(OR(B1836="",E1836=""),"",E1836*IFERROR(INDEX(Müşteriler!$B$5:$B$54,MATCH(B1836,Müşteriler!$A$5:$A$54,0)),0))</f>
        <v/>
      </c>
    </row>
    <row r="1837" customFormat="false" ht="15" hidden="false" customHeight="false" outlineLevel="0" collapsed="false">
      <c r="A1837" s="12"/>
      <c r="B1837" s="13"/>
      <c r="C1837" s="14"/>
      <c r="D1837" s="14"/>
      <c r="E1837" s="15"/>
      <c r="F1837" s="13"/>
      <c r="G1837" s="16" t="str">
        <f aca="false">IF(OR(B1837="",E1837=""),"",E1837*IFERROR(INDEX(Müşteriler!$B$5:$B$54,MATCH(B1837,Müşteriler!$A$5:$A$54,0)),0))</f>
        <v/>
      </c>
    </row>
    <row r="1838" customFormat="false" ht="15" hidden="false" customHeight="false" outlineLevel="0" collapsed="false">
      <c r="A1838" s="12"/>
      <c r="B1838" s="13"/>
      <c r="C1838" s="14"/>
      <c r="D1838" s="14"/>
      <c r="E1838" s="15"/>
      <c r="F1838" s="13"/>
      <c r="G1838" s="16" t="str">
        <f aca="false">IF(OR(B1838="",E1838=""),"",E1838*IFERROR(INDEX(Müşteriler!$B$5:$B$54,MATCH(B1838,Müşteriler!$A$5:$A$54,0)),0))</f>
        <v/>
      </c>
    </row>
    <row r="1839" customFormat="false" ht="15" hidden="false" customHeight="false" outlineLevel="0" collapsed="false">
      <c r="A1839" s="12"/>
      <c r="B1839" s="13"/>
      <c r="C1839" s="14"/>
      <c r="D1839" s="14"/>
      <c r="E1839" s="15"/>
      <c r="F1839" s="13"/>
      <c r="G1839" s="16" t="str">
        <f aca="false">IF(OR(B1839="",E1839=""),"",E1839*IFERROR(INDEX(Müşteriler!$B$5:$B$54,MATCH(B1839,Müşteriler!$A$5:$A$54,0)),0))</f>
        <v/>
      </c>
    </row>
    <row r="1840" customFormat="false" ht="15" hidden="false" customHeight="false" outlineLevel="0" collapsed="false">
      <c r="A1840" s="12"/>
      <c r="B1840" s="13"/>
      <c r="C1840" s="14"/>
      <c r="D1840" s="14"/>
      <c r="E1840" s="15"/>
      <c r="F1840" s="13"/>
      <c r="G1840" s="16" t="str">
        <f aca="false">IF(OR(B1840="",E1840=""),"",E1840*IFERROR(INDEX(Müşteriler!$B$5:$B$54,MATCH(B1840,Müşteriler!$A$5:$A$54,0)),0))</f>
        <v/>
      </c>
    </row>
    <row r="1841" customFormat="false" ht="15" hidden="false" customHeight="false" outlineLevel="0" collapsed="false">
      <c r="A1841" s="12"/>
      <c r="B1841" s="13"/>
      <c r="C1841" s="14"/>
      <c r="D1841" s="14"/>
      <c r="E1841" s="15"/>
      <c r="F1841" s="13"/>
      <c r="G1841" s="16" t="str">
        <f aca="false">IF(OR(B1841="",E1841=""),"",E1841*IFERROR(INDEX(Müşteriler!$B$5:$B$54,MATCH(B1841,Müşteriler!$A$5:$A$54,0)),0))</f>
        <v/>
      </c>
    </row>
    <row r="1842" customFormat="false" ht="15" hidden="false" customHeight="false" outlineLevel="0" collapsed="false">
      <c r="A1842" s="12"/>
      <c r="B1842" s="13"/>
      <c r="C1842" s="14"/>
      <c r="D1842" s="14"/>
      <c r="E1842" s="15"/>
      <c r="F1842" s="13"/>
      <c r="G1842" s="16" t="str">
        <f aca="false">IF(OR(B1842="",E1842=""),"",E1842*IFERROR(INDEX(Müşteriler!$B$5:$B$54,MATCH(B1842,Müşteriler!$A$5:$A$54,0)),0))</f>
        <v/>
      </c>
    </row>
    <row r="1843" customFormat="false" ht="15" hidden="false" customHeight="false" outlineLevel="0" collapsed="false">
      <c r="A1843" s="12"/>
      <c r="B1843" s="13"/>
      <c r="C1843" s="14"/>
      <c r="D1843" s="14"/>
      <c r="E1843" s="15"/>
      <c r="F1843" s="13"/>
      <c r="G1843" s="16" t="str">
        <f aca="false">IF(OR(B1843="",E1843=""),"",E1843*IFERROR(INDEX(Müşteriler!$B$5:$B$54,MATCH(B1843,Müşteriler!$A$5:$A$54,0)),0))</f>
        <v/>
      </c>
    </row>
    <row r="1844" customFormat="false" ht="15" hidden="false" customHeight="false" outlineLevel="0" collapsed="false">
      <c r="A1844" s="12"/>
      <c r="B1844" s="13"/>
      <c r="C1844" s="14"/>
      <c r="D1844" s="14"/>
      <c r="E1844" s="15"/>
      <c r="F1844" s="13"/>
      <c r="G1844" s="16" t="str">
        <f aca="false">IF(OR(B1844="",E1844=""),"",E1844*IFERROR(INDEX(Müşteriler!$B$5:$B$54,MATCH(B1844,Müşteriler!$A$5:$A$54,0)),0))</f>
        <v/>
      </c>
    </row>
    <row r="1845" customFormat="false" ht="15" hidden="false" customHeight="false" outlineLevel="0" collapsed="false">
      <c r="A1845" s="12"/>
      <c r="B1845" s="13"/>
      <c r="C1845" s="14"/>
      <c r="D1845" s="14"/>
      <c r="E1845" s="15"/>
      <c r="F1845" s="13"/>
      <c r="G1845" s="16" t="str">
        <f aca="false">IF(OR(B1845="",E1845=""),"",E1845*IFERROR(INDEX(Müşteriler!$B$5:$B$54,MATCH(B1845,Müşteriler!$A$5:$A$54,0)),0))</f>
        <v/>
      </c>
    </row>
    <row r="1846" customFormat="false" ht="15" hidden="false" customHeight="false" outlineLevel="0" collapsed="false">
      <c r="A1846" s="12"/>
      <c r="B1846" s="13"/>
      <c r="C1846" s="14"/>
      <c r="D1846" s="14"/>
      <c r="E1846" s="15"/>
      <c r="F1846" s="13"/>
      <c r="G1846" s="16" t="str">
        <f aca="false">IF(OR(B1846="",E1846=""),"",E1846*IFERROR(INDEX(Müşteriler!$B$5:$B$54,MATCH(B1846,Müşteriler!$A$5:$A$54,0)),0))</f>
        <v/>
      </c>
    </row>
    <row r="1847" customFormat="false" ht="15" hidden="false" customHeight="false" outlineLevel="0" collapsed="false">
      <c r="A1847" s="12"/>
      <c r="B1847" s="13"/>
      <c r="C1847" s="14"/>
      <c r="D1847" s="14"/>
      <c r="E1847" s="15"/>
      <c r="F1847" s="13"/>
      <c r="G1847" s="16" t="str">
        <f aca="false">IF(OR(B1847="",E1847=""),"",E1847*IFERROR(INDEX(Müşteriler!$B$5:$B$54,MATCH(B1847,Müşteriler!$A$5:$A$54,0)),0))</f>
        <v/>
      </c>
    </row>
    <row r="1848" customFormat="false" ht="15" hidden="false" customHeight="false" outlineLevel="0" collapsed="false">
      <c r="A1848" s="12"/>
      <c r="B1848" s="13"/>
      <c r="C1848" s="14"/>
      <c r="D1848" s="14"/>
      <c r="E1848" s="15"/>
      <c r="F1848" s="13"/>
      <c r="G1848" s="16" t="str">
        <f aca="false">IF(OR(B1848="",E1848=""),"",E1848*IFERROR(INDEX(Müşteriler!$B$5:$B$54,MATCH(B1848,Müşteriler!$A$5:$A$54,0)),0))</f>
        <v/>
      </c>
    </row>
    <row r="1849" customFormat="false" ht="15" hidden="false" customHeight="false" outlineLevel="0" collapsed="false">
      <c r="A1849" s="12"/>
      <c r="B1849" s="13"/>
      <c r="C1849" s="14"/>
      <c r="D1849" s="14"/>
      <c r="E1849" s="15"/>
      <c r="F1849" s="13"/>
      <c r="G1849" s="16" t="str">
        <f aca="false">IF(OR(B1849="",E1849=""),"",E1849*IFERROR(INDEX(Müşteriler!$B$5:$B$54,MATCH(B1849,Müşteriler!$A$5:$A$54,0)),0))</f>
        <v/>
      </c>
    </row>
    <row r="1850" customFormat="false" ht="15" hidden="false" customHeight="false" outlineLevel="0" collapsed="false">
      <c r="A1850" s="12"/>
      <c r="B1850" s="13"/>
      <c r="C1850" s="14"/>
      <c r="D1850" s="14"/>
      <c r="E1850" s="15"/>
      <c r="F1850" s="13"/>
      <c r="G1850" s="16" t="str">
        <f aca="false">IF(OR(B1850="",E1850=""),"",E1850*IFERROR(INDEX(Müşteriler!$B$5:$B$54,MATCH(B1850,Müşteriler!$A$5:$A$54,0)),0))</f>
        <v/>
      </c>
    </row>
    <row r="1851" customFormat="false" ht="15" hidden="false" customHeight="false" outlineLevel="0" collapsed="false">
      <c r="A1851" s="12"/>
      <c r="B1851" s="13"/>
      <c r="C1851" s="14"/>
      <c r="D1851" s="14"/>
      <c r="E1851" s="15"/>
      <c r="F1851" s="13"/>
      <c r="G1851" s="16" t="str">
        <f aca="false">IF(OR(B1851="",E1851=""),"",E1851*IFERROR(INDEX(Müşteriler!$B$5:$B$54,MATCH(B1851,Müşteriler!$A$5:$A$54,0)),0))</f>
        <v/>
      </c>
    </row>
    <row r="1852" customFormat="false" ht="15" hidden="false" customHeight="false" outlineLevel="0" collapsed="false">
      <c r="A1852" s="12"/>
      <c r="B1852" s="13"/>
      <c r="C1852" s="14"/>
      <c r="D1852" s="14"/>
      <c r="E1852" s="15"/>
      <c r="F1852" s="13"/>
      <c r="G1852" s="16" t="str">
        <f aca="false">IF(OR(B1852="",E1852=""),"",E1852*IFERROR(INDEX(Müşteriler!$B$5:$B$54,MATCH(B1852,Müşteriler!$A$5:$A$54,0)),0))</f>
        <v/>
      </c>
    </row>
    <row r="1853" customFormat="false" ht="15" hidden="false" customHeight="false" outlineLevel="0" collapsed="false">
      <c r="A1853" s="12"/>
      <c r="B1853" s="13"/>
      <c r="C1853" s="14"/>
      <c r="D1853" s="14"/>
      <c r="E1853" s="15"/>
      <c r="F1853" s="13"/>
      <c r="G1853" s="16" t="str">
        <f aca="false">IF(OR(B1853="",E1853=""),"",E1853*IFERROR(INDEX(Müşteriler!$B$5:$B$54,MATCH(B1853,Müşteriler!$A$5:$A$54,0)),0))</f>
        <v/>
      </c>
    </row>
    <row r="1854" customFormat="false" ht="15" hidden="false" customHeight="false" outlineLevel="0" collapsed="false">
      <c r="A1854" s="12"/>
      <c r="B1854" s="13"/>
      <c r="C1854" s="14"/>
      <c r="D1854" s="14"/>
      <c r="E1854" s="15"/>
      <c r="F1854" s="13"/>
      <c r="G1854" s="16" t="str">
        <f aca="false">IF(OR(B1854="",E1854=""),"",E1854*IFERROR(INDEX(Müşteriler!$B$5:$B$54,MATCH(B1854,Müşteriler!$A$5:$A$54,0)),0))</f>
        <v/>
      </c>
    </row>
    <row r="1855" customFormat="false" ht="15" hidden="false" customHeight="false" outlineLevel="0" collapsed="false">
      <c r="A1855" s="12"/>
      <c r="B1855" s="13"/>
      <c r="C1855" s="14"/>
      <c r="D1855" s="14"/>
      <c r="E1855" s="15"/>
      <c r="F1855" s="13"/>
      <c r="G1855" s="16" t="str">
        <f aca="false">IF(OR(B1855="",E1855=""),"",E1855*IFERROR(INDEX(Müşteriler!$B$5:$B$54,MATCH(B1855,Müşteriler!$A$5:$A$54,0)),0))</f>
        <v/>
      </c>
    </row>
    <row r="1856" customFormat="false" ht="15" hidden="false" customHeight="false" outlineLevel="0" collapsed="false">
      <c r="A1856" s="12"/>
      <c r="B1856" s="13"/>
      <c r="C1856" s="14"/>
      <c r="D1856" s="14"/>
      <c r="E1856" s="15"/>
      <c r="F1856" s="13"/>
      <c r="G1856" s="16" t="str">
        <f aca="false">IF(OR(B1856="",E1856=""),"",E1856*IFERROR(INDEX(Müşteriler!$B$5:$B$54,MATCH(B1856,Müşteriler!$A$5:$A$54,0)),0))</f>
        <v/>
      </c>
    </row>
    <row r="1857" customFormat="false" ht="15" hidden="false" customHeight="false" outlineLevel="0" collapsed="false">
      <c r="A1857" s="12"/>
      <c r="B1857" s="13"/>
      <c r="C1857" s="14"/>
      <c r="D1857" s="14"/>
      <c r="E1857" s="15"/>
      <c r="F1857" s="13"/>
      <c r="G1857" s="16" t="str">
        <f aca="false">IF(OR(B1857="",E1857=""),"",E1857*IFERROR(INDEX(Müşteriler!$B$5:$B$54,MATCH(B1857,Müşteriler!$A$5:$A$54,0)),0))</f>
        <v/>
      </c>
    </row>
    <row r="1858" customFormat="false" ht="15" hidden="false" customHeight="false" outlineLevel="0" collapsed="false">
      <c r="A1858" s="12"/>
      <c r="B1858" s="13"/>
      <c r="C1858" s="14"/>
      <c r="D1858" s="14"/>
      <c r="E1858" s="15"/>
      <c r="F1858" s="13"/>
      <c r="G1858" s="16" t="str">
        <f aca="false">IF(OR(B1858="",E1858=""),"",E1858*IFERROR(INDEX(Müşteriler!$B$5:$B$54,MATCH(B1858,Müşteriler!$A$5:$A$54,0)),0))</f>
        <v/>
      </c>
    </row>
    <row r="1859" customFormat="false" ht="15" hidden="false" customHeight="false" outlineLevel="0" collapsed="false">
      <c r="A1859" s="12"/>
      <c r="B1859" s="13"/>
      <c r="C1859" s="14"/>
      <c r="D1859" s="14"/>
      <c r="E1859" s="15"/>
      <c r="F1859" s="13"/>
      <c r="G1859" s="16" t="str">
        <f aca="false">IF(OR(B1859="",E1859=""),"",E1859*IFERROR(INDEX(Müşteriler!$B$5:$B$54,MATCH(B1859,Müşteriler!$A$5:$A$54,0)),0))</f>
        <v/>
      </c>
    </row>
    <row r="1860" customFormat="false" ht="15" hidden="false" customHeight="false" outlineLevel="0" collapsed="false">
      <c r="A1860" s="12"/>
      <c r="B1860" s="13"/>
      <c r="C1860" s="14"/>
      <c r="D1860" s="14"/>
      <c r="E1860" s="15"/>
      <c r="F1860" s="13"/>
      <c r="G1860" s="16" t="str">
        <f aca="false">IF(OR(B1860="",E1860=""),"",E1860*IFERROR(INDEX(Müşteriler!$B$5:$B$54,MATCH(B1860,Müşteriler!$A$5:$A$54,0)),0))</f>
        <v/>
      </c>
    </row>
    <row r="1861" customFormat="false" ht="15" hidden="false" customHeight="false" outlineLevel="0" collapsed="false">
      <c r="A1861" s="12"/>
      <c r="B1861" s="13"/>
      <c r="C1861" s="14"/>
      <c r="D1861" s="14"/>
      <c r="E1861" s="15"/>
      <c r="F1861" s="13"/>
      <c r="G1861" s="16" t="str">
        <f aca="false">IF(OR(B1861="",E1861=""),"",E1861*IFERROR(INDEX(Müşteriler!$B$5:$B$54,MATCH(B1861,Müşteriler!$A$5:$A$54,0)),0))</f>
        <v/>
      </c>
    </row>
    <row r="1862" customFormat="false" ht="15" hidden="false" customHeight="false" outlineLevel="0" collapsed="false">
      <c r="A1862" s="12"/>
      <c r="B1862" s="13"/>
      <c r="C1862" s="14"/>
      <c r="D1862" s="14"/>
      <c r="E1862" s="15"/>
      <c r="F1862" s="13"/>
      <c r="G1862" s="16" t="str">
        <f aca="false">IF(OR(B1862="",E1862=""),"",E1862*IFERROR(INDEX(Müşteriler!$B$5:$B$54,MATCH(B1862,Müşteriler!$A$5:$A$54,0)),0))</f>
        <v/>
      </c>
    </row>
    <row r="1863" customFormat="false" ht="15" hidden="false" customHeight="false" outlineLevel="0" collapsed="false">
      <c r="A1863" s="12"/>
      <c r="B1863" s="13"/>
      <c r="C1863" s="14"/>
      <c r="D1863" s="14"/>
      <c r="E1863" s="15"/>
      <c r="F1863" s="13"/>
      <c r="G1863" s="16" t="str">
        <f aca="false">IF(OR(B1863="",E1863=""),"",E1863*IFERROR(INDEX(Müşteriler!$B$5:$B$54,MATCH(B1863,Müşteriler!$A$5:$A$54,0)),0))</f>
        <v/>
      </c>
    </row>
    <row r="1864" customFormat="false" ht="15" hidden="false" customHeight="false" outlineLevel="0" collapsed="false">
      <c r="A1864" s="12"/>
      <c r="B1864" s="13"/>
      <c r="C1864" s="14"/>
      <c r="D1864" s="14"/>
      <c r="E1864" s="15"/>
      <c r="F1864" s="13"/>
      <c r="G1864" s="16" t="str">
        <f aca="false">IF(OR(B1864="",E1864=""),"",E1864*IFERROR(INDEX(Müşteriler!$B$5:$B$54,MATCH(B1864,Müşteriler!$A$5:$A$54,0)),0))</f>
        <v/>
      </c>
    </row>
    <row r="1865" customFormat="false" ht="15" hidden="false" customHeight="false" outlineLevel="0" collapsed="false">
      <c r="A1865" s="12"/>
      <c r="B1865" s="13"/>
      <c r="C1865" s="14"/>
      <c r="D1865" s="14"/>
      <c r="E1865" s="15"/>
      <c r="F1865" s="13"/>
      <c r="G1865" s="16" t="str">
        <f aca="false">IF(OR(B1865="",E1865=""),"",E1865*IFERROR(INDEX(Müşteriler!$B$5:$B$54,MATCH(B1865,Müşteriler!$A$5:$A$54,0)),0))</f>
        <v/>
      </c>
    </row>
    <row r="1866" customFormat="false" ht="15" hidden="false" customHeight="false" outlineLevel="0" collapsed="false">
      <c r="A1866" s="12"/>
      <c r="B1866" s="13"/>
      <c r="C1866" s="14"/>
      <c r="D1866" s="14"/>
      <c r="E1866" s="15"/>
      <c r="F1866" s="13"/>
      <c r="G1866" s="16" t="str">
        <f aca="false">IF(OR(B1866="",E1866=""),"",E1866*IFERROR(INDEX(Müşteriler!$B$5:$B$54,MATCH(B1866,Müşteriler!$A$5:$A$54,0)),0))</f>
        <v/>
      </c>
    </row>
    <row r="1867" customFormat="false" ht="15" hidden="false" customHeight="false" outlineLevel="0" collapsed="false">
      <c r="A1867" s="12"/>
      <c r="B1867" s="13"/>
      <c r="C1867" s="14"/>
      <c r="D1867" s="14"/>
      <c r="E1867" s="15"/>
      <c r="F1867" s="13"/>
      <c r="G1867" s="16" t="str">
        <f aca="false">IF(OR(B1867="",E1867=""),"",E1867*IFERROR(INDEX(Müşteriler!$B$5:$B$54,MATCH(B1867,Müşteriler!$A$5:$A$54,0)),0))</f>
        <v/>
      </c>
    </row>
    <row r="1868" customFormat="false" ht="15" hidden="false" customHeight="false" outlineLevel="0" collapsed="false">
      <c r="A1868" s="12"/>
      <c r="B1868" s="13"/>
      <c r="C1868" s="14"/>
      <c r="D1868" s="14"/>
      <c r="E1868" s="15"/>
      <c r="F1868" s="13"/>
      <c r="G1868" s="16" t="str">
        <f aca="false">IF(OR(B1868="",E1868=""),"",E1868*IFERROR(INDEX(Müşteriler!$B$5:$B$54,MATCH(B1868,Müşteriler!$A$5:$A$54,0)),0))</f>
        <v/>
      </c>
    </row>
    <row r="1869" customFormat="false" ht="15" hidden="false" customHeight="false" outlineLevel="0" collapsed="false">
      <c r="A1869" s="12"/>
      <c r="B1869" s="13"/>
      <c r="C1869" s="14"/>
      <c r="D1869" s="14"/>
      <c r="E1869" s="15"/>
      <c r="F1869" s="13"/>
      <c r="G1869" s="16" t="str">
        <f aca="false">IF(OR(B1869="",E1869=""),"",E1869*IFERROR(INDEX(Müşteriler!$B$5:$B$54,MATCH(B1869,Müşteriler!$A$5:$A$54,0)),0))</f>
        <v/>
      </c>
    </row>
    <row r="1870" customFormat="false" ht="15" hidden="false" customHeight="false" outlineLevel="0" collapsed="false">
      <c r="A1870" s="12"/>
      <c r="B1870" s="13"/>
      <c r="C1870" s="14"/>
      <c r="D1870" s="14"/>
      <c r="E1870" s="15"/>
      <c r="F1870" s="13"/>
      <c r="G1870" s="16" t="str">
        <f aca="false">IF(OR(B1870="",E1870=""),"",E1870*IFERROR(INDEX(Müşteriler!$B$5:$B$54,MATCH(B1870,Müşteriler!$A$5:$A$54,0)),0))</f>
        <v/>
      </c>
    </row>
    <row r="1871" customFormat="false" ht="15" hidden="false" customHeight="false" outlineLevel="0" collapsed="false">
      <c r="A1871" s="12"/>
      <c r="B1871" s="13"/>
      <c r="C1871" s="14"/>
      <c r="D1871" s="14"/>
      <c r="E1871" s="15"/>
      <c r="F1871" s="13"/>
      <c r="G1871" s="16" t="str">
        <f aca="false">IF(OR(B1871="",E1871=""),"",E1871*IFERROR(INDEX(Müşteriler!$B$5:$B$54,MATCH(B1871,Müşteriler!$A$5:$A$54,0)),0))</f>
        <v/>
      </c>
    </row>
    <row r="1872" customFormat="false" ht="15" hidden="false" customHeight="false" outlineLevel="0" collapsed="false">
      <c r="A1872" s="12"/>
      <c r="B1872" s="13"/>
      <c r="C1872" s="14"/>
      <c r="D1872" s="14"/>
      <c r="E1872" s="15"/>
      <c r="F1872" s="13"/>
      <c r="G1872" s="16" t="str">
        <f aca="false">IF(OR(B1872="",E1872=""),"",E1872*IFERROR(INDEX(Müşteriler!$B$5:$B$54,MATCH(B1872,Müşteriler!$A$5:$A$54,0)),0))</f>
        <v/>
      </c>
    </row>
    <row r="1873" customFormat="false" ht="15" hidden="false" customHeight="false" outlineLevel="0" collapsed="false">
      <c r="A1873" s="12"/>
      <c r="B1873" s="13"/>
      <c r="C1873" s="14"/>
      <c r="D1873" s="14"/>
      <c r="E1873" s="15"/>
      <c r="F1873" s="13"/>
      <c r="G1873" s="16" t="str">
        <f aca="false">IF(OR(B1873="",E1873=""),"",E1873*IFERROR(INDEX(Müşteriler!$B$5:$B$54,MATCH(B1873,Müşteriler!$A$5:$A$54,0)),0))</f>
        <v/>
      </c>
    </row>
    <row r="1874" customFormat="false" ht="15" hidden="false" customHeight="false" outlineLevel="0" collapsed="false">
      <c r="A1874" s="12"/>
      <c r="B1874" s="13"/>
      <c r="C1874" s="14"/>
      <c r="D1874" s="14"/>
      <c r="E1874" s="15"/>
      <c r="F1874" s="13"/>
      <c r="G1874" s="16" t="str">
        <f aca="false">IF(OR(B1874="",E1874=""),"",E1874*IFERROR(INDEX(Müşteriler!$B$5:$B$54,MATCH(B1874,Müşteriler!$A$5:$A$54,0)),0))</f>
        <v/>
      </c>
    </row>
    <row r="1875" customFormat="false" ht="15" hidden="false" customHeight="false" outlineLevel="0" collapsed="false">
      <c r="A1875" s="12"/>
      <c r="B1875" s="13"/>
      <c r="C1875" s="14"/>
      <c r="D1875" s="14"/>
      <c r="E1875" s="15"/>
      <c r="F1875" s="13"/>
      <c r="G1875" s="16" t="str">
        <f aca="false">IF(OR(B1875="",E1875=""),"",E1875*IFERROR(INDEX(Müşteriler!$B$5:$B$54,MATCH(B1875,Müşteriler!$A$5:$A$54,0)),0))</f>
        <v/>
      </c>
    </row>
    <row r="1876" customFormat="false" ht="15" hidden="false" customHeight="false" outlineLevel="0" collapsed="false">
      <c r="A1876" s="12"/>
      <c r="B1876" s="13"/>
      <c r="C1876" s="14"/>
      <c r="D1876" s="14"/>
      <c r="E1876" s="15"/>
      <c r="F1876" s="13"/>
      <c r="G1876" s="16" t="str">
        <f aca="false">IF(OR(B1876="",E1876=""),"",E1876*IFERROR(INDEX(Müşteriler!$B$5:$B$54,MATCH(B1876,Müşteriler!$A$5:$A$54,0)),0))</f>
        <v/>
      </c>
    </row>
    <row r="1877" customFormat="false" ht="15" hidden="false" customHeight="false" outlineLevel="0" collapsed="false">
      <c r="A1877" s="12"/>
      <c r="B1877" s="13"/>
      <c r="C1877" s="14"/>
      <c r="D1877" s="14"/>
      <c r="E1877" s="15"/>
      <c r="F1877" s="13"/>
      <c r="G1877" s="16" t="str">
        <f aca="false">IF(OR(B1877="",E1877=""),"",E1877*IFERROR(INDEX(Müşteriler!$B$5:$B$54,MATCH(B1877,Müşteriler!$A$5:$A$54,0)),0))</f>
        <v/>
      </c>
    </row>
    <row r="1878" customFormat="false" ht="15" hidden="false" customHeight="false" outlineLevel="0" collapsed="false">
      <c r="A1878" s="12"/>
      <c r="B1878" s="13"/>
      <c r="C1878" s="14"/>
      <c r="D1878" s="14"/>
      <c r="E1878" s="15"/>
      <c r="F1878" s="13"/>
      <c r="G1878" s="16" t="str">
        <f aca="false">IF(OR(B1878="",E1878=""),"",E1878*IFERROR(INDEX(Müşteriler!$B$5:$B$54,MATCH(B1878,Müşteriler!$A$5:$A$54,0)),0))</f>
        <v/>
      </c>
    </row>
    <row r="1879" customFormat="false" ht="15" hidden="false" customHeight="false" outlineLevel="0" collapsed="false">
      <c r="A1879" s="12"/>
      <c r="B1879" s="13"/>
      <c r="C1879" s="14"/>
      <c r="D1879" s="14"/>
      <c r="E1879" s="15"/>
      <c r="F1879" s="13"/>
      <c r="G1879" s="16" t="str">
        <f aca="false">IF(OR(B1879="",E1879=""),"",E1879*IFERROR(INDEX(Müşteriler!$B$5:$B$54,MATCH(B1879,Müşteriler!$A$5:$A$54,0)),0))</f>
        <v/>
      </c>
    </row>
    <row r="1880" customFormat="false" ht="15" hidden="false" customHeight="false" outlineLevel="0" collapsed="false">
      <c r="A1880" s="12"/>
      <c r="B1880" s="13"/>
      <c r="C1880" s="14"/>
      <c r="D1880" s="14"/>
      <c r="E1880" s="15"/>
      <c r="F1880" s="13"/>
      <c r="G1880" s="16" t="str">
        <f aca="false">IF(OR(B1880="",E1880=""),"",E1880*IFERROR(INDEX(Müşteriler!$B$5:$B$54,MATCH(B1880,Müşteriler!$A$5:$A$54,0)),0))</f>
        <v/>
      </c>
    </row>
    <row r="1881" customFormat="false" ht="15" hidden="false" customHeight="false" outlineLevel="0" collapsed="false">
      <c r="A1881" s="12"/>
      <c r="B1881" s="13"/>
      <c r="C1881" s="14"/>
      <c r="D1881" s="14"/>
      <c r="E1881" s="15"/>
      <c r="F1881" s="13"/>
      <c r="G1881" s="16" t="str">
        <f aca="false">IF(OR(B1881="",E1881=""),"",E1881*IFERROR(INDEX(Müşteriler!$B$5:$B$54,MATCH(B1881,Müşteriler!$A$5:$A$54,0)),0))</f>
        <v/>
      </c>
    </row>
    <row r="1882" customFormat="false" ht="15" hidden="false" customHeight="false" outlineLevel="0" collapsed="false">
      <c r="A1882" s="12"/>
      <c r="B1882" s="13"/>
      <c r="C1882" s="14"/>
      <c r="D1882" s="14"/>
      <c r="E1882" s="15"/>
      <c r="F1882" s="13"/>
      <c r="G1882" s="16" t="str">
        <f aca="false">IF(OR(B1882="",E1882=""),"",E1882*IFERROR(INDEX(Müşteriler!$B$5:$B$54,MATCH(B1882,Müşteriler!$A$5:$A$54,0)),0))</f>
        <v/>
      </c>
    </row>
    <row r="1883" customFormat="false" ht="15" hidden="false" customHeight="false" outlineLevel="0" collapsed="false">
      <c r="A1883" s="12"/>
      <c r="B1883" s="13"/>
      <c r="C1883" s="14"/>
      <c r="D1883" s="14"/>
      <c r="E1883" s="15"/>
      <c r="F1883" s="13"/>
      <c r="G1883" s="16" t="str">
        <f aca="false">IF(OR(B1883="",E1883=""),"",E1883*IFERROR(INDEX(Müşteriler!$B$5:$B$54,MATCH(B1883,Müşteriler!$A$5:$A$54,0)),0))</f>
        <v/>
      </c>
    </row>
    <row r="1884" customFormat="false" ht="15" hidden="false" customHeight="false" outlineLevel="0" collapsed="false">
      <c r="A1884" s="12"/>
      <c r="B1884" s="13"/>
      <c r="C1884" s="14"/>
      <c r="D1884" s="14"/>
      <c r="E1884" s="15"/>
      <c r="F1884" s="13"/>
      <c r="G1884" s="16" t="str">
        <f aca="false">IF(OR(B1884="",E1884=""),"",E1884*IFERROR(INDEX(Müşteriler!$B$5:$B$54,MATCH(B1884,Müşteriler!$A$5:$A$54,0)),0))</f>
        <v/>
      </c>
    </row>
    <row r="1885" customFormat="false" ht="15" hidden="false" customHeight="false" outlineLevel="0" collapsed="false">
      <c r="A1885" s="12"/>
      <c r="B1885" s="13"/>
      <c r="C1885" s="14"/>
      <c r="D1885" s="14"/>
      <c r="E1885" s="15"/>
      <c r="F1885" s="13"/>
      <c r="G1885" s="16" t="str">
        <f aca="false">IF(OR(B1885="",E1885=""),"",E1885*IFERROR(INDEX(Müşteriler!$B$5:$B$54,MATCH(B1885,Müşteriler!$A$5:$A$54,0)),0))</f>
        <v/>
      </c>
    </row>
    <row r="1886" customFormat="false" ht="15" hidden="false" customHeight="false" outlineLevel="0" collapsed="false">
      <c r="A1886" s="12"/>
      <c r="B1886" s="13"/>
      <c r="C1886" s="14"/>
      <c r="D1886" s="14"/>
      <c r="E1886" s="15"/>
      <c r="F1886" s="13"/>
      <c r="G1886" s="16" t="str">
        <f aca="false">IF(OR(B1886="",E1886=""),"",E1886*IFERROR(INDEX(Müşteriler!$B$5:$B$54,MATCH(B1886,Müşteriler!$A$5:$A$54,0)),0))</f>
        <v/>
      </c>
    </row>
    <row r="1887" customFormat="false" ht="15" hidden="false" customHeight="false" outlineLevel="0" collapsed="false">
      <c r="A1887" s="12"/>
      <c r="B1887" s="13"/>
      <c r="C1887" s="14"/>
      <c r="D1887" s="14"/>
      <c r="E1887" s="15"/>
      <c r="F1887" s="13"/>
      <c r="G1887" s="16" t="str">
        <f aca="false">IF(OR(B1887="",E1887=""),"",E1887*IFERROR(INDEX(Müşteriler!$B$5:$B$54,MATCH(B1887,Müşteriler!$A$5:$A$54,0)),0))</f>
        <v/>
      </c>
    </row>
    <row r="1888" customFormat="false" ht="15" hidden="false" customHeight="false" outlineLevel="0" collapsed="false">
      <c r="A1888" s="12"/>
      <c r="B1888" s="13"/>
      <c r="C1888" s="14"/>
      <c r="D1888" s="14"/>
      <c r="E1888" s="15"/>
      <c r="F1888" s="13"/>
      <c r="G1888" s="16" t="str">
        <f aca="false">IF(OR(B1888="",E1888=""),"",E1888*IFERROR(INDEX(Müşteriler!$B$5:$B$54,MATCH(B1888,Müşteriler!$A$5:$A$54,0)),0))</f>
        <v/>
      </c>
    </row>
    <row r="1889" customFormat="false" ht="15" hidden="false" customHeight="false" outlineLevel="0" collapsed="false">
      <c r="A1889" s="12"/>
      <c r="B1889" s="13"/>
      <c r="C1889" s="14"/>
      <c r="D1889" s="14"/>
      <c r="E1889" s="15"/>
      <c r="F1889" s="13"/>
      <c r="G1889" s="16" t="str">
        <f aca="false">IF(OR(B1889="",E1889=""),"",E1889*IFERROR(INDEX(Müşteriler!$B$5:$B$54,MATCH(B1889,Müşteriler!$A$5:$A$54,0)),0))</f>
        <v/>
      </c>
    </row>
    <row r="1890" customFormat="false" ht="15" hidden="false" customHeight="false" outlineLevel="0" collapsed="false">
      <c r="A1890" s="12"/>
      <c r="B1890" s="13"/>
      <c r="C1890" s="14"/>
      <c r="D1890" s="14"/>
      <c r="E1890" s="15"/>
      <c r="F1890" s="13"/>
      <c r="G1890" s="16" t="str">
        <f aca="false">IF(OR(B1890="",E1890=""),"",E1890*IFERROR(INDEX(Müşteriler!$B$5:$B$54,MATCH(B1890,Müşteriler!$A$5:$A$54,0)),0))</f>
        <v/>
      </c>
    </row>
    <row r="1891" customFormat="false" ht="15" hidden="false" customHeight="false" outlineLevel="0" collapsed="false">
      <c r="A1891" s="12"/>
      <c r="B1891" s="13"/>
      <c r="C1891" s="14"/>
      <c r="D1891" s="14"/>
      <c r="E1891" s="15"/>
      <c r="F1891" s="13"/>
      <c r="G1891" s="16" t="str">
        <f aca="false">IF(OR(B1891="",E1891=""),"",E1891*IFERROR(INDEX(Müşteriler!$B$5:$B$54,MATCH(B1891,Müşteriler!$A$5:$A$54,0)),0))</f>
        <v/>
      </c>
    </row>
    <row r="1892" customFormat="false" ht="15" hidden="false" customHeight="false" outlineLevel="0" collapsed="false">
      <c r="A1892" s="12"/>
      <c r="B1892" s="13"/>
      <c r="C1892" s="14"/>
      <c r="D1892" s="14"/>
      <c r="E1892" s="15"/>
      <c r="F1892" s="13"/>
      <c r="G1892" s="16" t="str">
        <f aca="false">IF(OR(B1892="",E1892=""),"",E1892*IFERROR(INDEX(Müşteriler!$B$5:$B$54,MATCH(B1892,Müşteriler!$A$5:$A$54,0)),0))</f>
        <v/>
      </c>
    </row>
    <row r="1893" customFormat="false" ht="15" hidden="false" customHeight="false" outlineLevel="0" collapsed="false">
      <c r="A1893" s="12"/>
      <c r="B1893" s="13"/>
      <c r="C1893" s="14"/>
      <c r="D1893" s="14"/>
      <c r="E1893" s="15"/>
      <c r="F1893" s="13"/>
      <c r="G1893" s="16" t="str">
        <f aca="false">IF(OR(B1893="",E1893=""),"",E1893*IFERROR(INDEX(Müşteriler!$B$5:$B$54,MATCH(B1893,Müşteriler!$A$5:$A$54,0)),0))</f>
        <v/>
      </c>
    </row>
    <row r="1894" customFormat="false" ht="15" hidden="false" customHeight="false" outlineLevel="0" collapsed="false">
      <c r="A1894" s="12"/>
      <c r="B1894" s="13"/>
      <c r="C1894" s="14"/>
      <c r="D1894" s="14"/>
      <c r="E1894" s="15"/>
      <c r="F1894" s="13"/>
      <c r="G1894" s="16" t="str">
        <f aca="false">IF(OR(B1894="",E1894=""),"",E1894*IFERROR(INDEX(Müşteriler!$B$5:$B$54,MATCH(B1894,Müşteriler!$A$5:$A$54,0)),0))</f>
        <v/>
      </c>
    </row>
    <row r="1895" customFormat="false" ht="15" hidden="false" customHeight="false" outlineLevel="0" collapsed="false">
      <c r="A1895" s="12"/>
      <c r="B1895" s="13"/>
      <c r="C1895" s="14"/>
      <c r="D1895" s="14"/>
      <c r="E1895" s="15"/>
      <c r="F1895" s="13"/>
      <c r="G1895" s="16" t="str">
        <f aca="false">IF(OR(B1895="",E1895=""),"",E1895*IFERROR(INDEX(Müşteriler!$B$5:$B$54,MATCH(B1895,Müşteriler!$A$5:$A$54,0)),0))</f>
        <v/>
      </c>
    </row>
    <row r="1896" customFormat="false" ht="15" hidden="false" customHeight="false" outlineLevel="0" collapsed="false">
      <c r="A1896" s="12"/>
      <c r="B1896" s="13"/>
      <c r="C1896" s="14"/>
      <c r="D1896" s="14"/>
      <c r="E1896" s="15"/>
      <c r="F1896" s="13"/>
      <c r="G1896" s="16" t="str">
        <f aca="false">IF(OR(B1896="",E1896=""),"",E1896*IFERROR(INDEX(Müşteriler!$B$5:$B$54,MATCH(B1896,Müşteriler!$A$5:$A$54,0)),0))</f>
        <v/>
      </c>
    </row>
    <row r="1897" customFormat="false" ht="15" hidden="false" customHeight="false" outlineLevel="0" collapsed="false">
      <c r="A1897" s="12"/>
      <c r="B1897" s="13"/>
      <c r="C1897" s="14"/>
      <c r="D1897" s="14"/>
      <c r="E1897" s="15"/>
      <c r="F1897" s="13"/>
      <c r="G1897" s="16" t="str">
        <f aca="false">IF(OR(B1897="",E1897=""),"",E1897*IFERROR(INDEX(Müşteriler!$B$5:$B$54,MATCH(B1897,Müşteriler!$A$5:$A$54,0)),0))</f>
        <v/>
      </c>
    </row>
    <row r="1898" customFormat="false" ht="15" hidden="false" customHeight="false" outlineLevel="0" collapsed="false">
      <c r="A1898" s="12"/>
      <c r="B1898" s="13"/>
      <c r="C1898" s="14"/>
      <c r="D1898" s="14"/>
      <c r="E1898" s="15"/>
      <c r="F1898" s="13"/>
      <c r="G1898" s="16" t="str">
        <f aca="false">IF(OR(B1898="",E1898=""),"",E1898*IFERROR(INDEX(Müşteriler!$B$5:$B$54,MATCH(B1898,Müşteriler!$A$5:$A$54,0)),0))</f>
        <v/>
      </c>
    </row>
    <row r="1899" customFormat="false" ht="15" hidden="false" customHeight="false" outlineLevel="0" collapsed="false">
      <c r="A1899" s="12"/>
      <c r="B1899" s="13"/>
      <c r="C1899" s="14"/>
      <c r="D1899" s="14"/>
      <c r="E1899" s="15"/>
      <c r="F1899" s="13"/>
      <c r="G1899" s="16" t="str">
        <f aca="false">IF(OR(B1899="",E1899=""),"",E1899*IFERROR(INDEX(Müşteriler!$B$5:$B$54,MATCH(B1899,Müşteriler!$A$5:$A$54,0)),0))</f>
        <v/>
      </c>
    </row>
    <row r="1900" customFormat="false" ht="15" hidden="false" customHeight="false" outlineLevel="0" collapsed="false">
      <c r="A1900" s="12"/>
      <c r="B1900" s="13"/>
      <c r="C1900" s="14"/>
      <c r="D1900" s="14"/>
      <c r="E1900" s="15"/>
      <c r="F1900" s="13"/>
      <c r="G1900" s="16" t="str">
        <f aca="false">IF(OR(B1900="",E1900=""),"",E1900*IFERROR(INDEX(Müşteriler!$B$5:$B$54,MATCH(B1900,Müşteriler!$A$5:$A$54,0)),0))</f>
        <v/>
      </c>
    </row>
    <row r="1901" customFormat="false" ht="15" hidden="false" customHeight="false" outlineLevel="0" collapsed="false">
      <c r="A1901" s="12"/>
      <c r="B1901" s="13"/>
      <c r="C1901" s="14"/>
      <c r="D1901" s="14"/>
      <c r="E1901" s="15"/>
      <c r="F1901" s="13"/>
      <c r="G1901" s="16" t="str">
        <f aca="false">IF(OR(B1901="",E1901=""),"",E1901*IFERROR(INDEX(Müşteriler!$B$5:$B$54,MATCH(B1901,Müşteriler!$A$5:$A$54,0)),0))</f>
        <v/>
      </c>
    </row>
    <row r="1902" customFormat="false" ht="15" hidden="false" customHeight="false" outlineLevel="0" collapsed="false">
      <c r="A1902" s="12"/>
      <c r="B1902" s="13"/>
      <c r="C1902" s="14"/>
      <c r="D1902" s="14"/>
      <c r="E1902" s="15"/>
      <c r="F1902" s="13"/>
      <c r="G1902" s="16" t="str">
        <f aca="false">IF(OR(B1902="",E1902=""),"",E1902*IFERROR(INDEX(Müşteriler!$B$5:$B$54,MATCH(B1902,Müşteriler!$A$5:$A$54,0)),0))</f>
        <v/>
      </c>
    </row>
    <row r="1903" customFormat="false" ht="15" hidden="false" customHeight="false" outlineLevel="0" collapsed="false">
      <c r="A1903" s="12"/>
      <c r="B1903" s="13"/>
      <c r="C1903" s="14"/>
      <c r="D1903" s="14"/>
      <c r="E1903" s="15"/>
      <c r="F1903" s="13"/>
      <c r="G1903" s="16" t="str">
        <f aca="false">IF(OR(B1903="",E1903=""),"",E1903*IFERROR(INDEX(Müşteriler!$B$5:$B$54,MATCH(B1903,Müşteriler!$A$5:$A$54,0)),0))</f>
        <v/>
      </c>
    </row>
    <row r="1904" customFormat="false" ht="15" hidden="false" customHeight="false" outlineLevel="0" collapsed="false">
      <c r="A1904" s="12"/>
      <c r="B1904" s="13"/>
      <c r="C1904" s="14"/>
      <c r="D1904" s="14"/>
      <c r="E1904" s="15"/>
      <c r="F1904" s="13"/>
      <c r="G1904" s="16" t="str">
        <f aca="false">IF(OR(B1904="",E1904=""),"",E1904*IFERROR(INDEX(Müşteriler!$B$5:$B$54,MATCH(B1904,Müşteriler!$A$5:$A$54,0)),0))</f>
        <v/>
      </c>
    </row>
    <row r="1905" customFormat="false" ht="15" hidden="false" customHeight="false" outlineLevel="0" collapsed="false">
      <c r="A1905" s="12"/>
      <c r="B1905" s="13"/>
      <c r="C1905" s="14"/>
      <c r="D1905" s="14"/>
      <c r="E1905" s="15"/>
      <c r="F1905" s="13"/>
      <c r="G1905" s="16" t="str">
        <f aca="false">IF(OR(B1905="",E1905=""),"",E1905*IFERROR(INDEX(Müşteriler!$B$5:$B$54,MATCH(B1905,Müşteriler!$A$5:$A$54,0)),0))</f>
        <v/>
      </c>
    </row>
    <row r="1906" customFormat="false" ht="15" hidden="false" customHeight="false" outlineLevel="0" collapsed="false">
      <c r="A1906" s="12"/>
      <c r="B1906" s="13"/>
      <c r="C1906" s="14"/>
      <c r="D1906" s="14"/>
      <c r="E1906" s="15"/>
      <c r="F1906" s="13"/>
      <c r="G1906" s="16" t="str">
        <f aca="false">IF(OR(B1906="",E1906=""),"",E1906*IFERROR(INDEX(Müşteriler!$B$5:$B$54,MATCH(B1906,Müşteriler!$A$5:$A$54,0)),0))</f>
        <v/>
      </c>
    </row>
    <row r="1907" customFormat="false" ht="15" hidden="false" customHeight="false" outlineLevel="0" collapsed="false">
      <c r="A1907" s="12"/>
      <c r="B1907" s="13"/>
      <c r="C1907" s="14"/>
      <c r="D1907" s="14"/>
      <c r="E1907" s="15"/>
      <c r="F1907" s="13"/>
      <c r="G1907" s="16" t="str">
        <f aca="false">IF(OR(B1907="",E1907=""),"",E1907*IFERROR(INDEX(Müşteriler!$B$5:$B$54,MATCH(B1907,Müşteriler!$A$5:$A$54,0)),0))</f>
        <v/>
      </c>
    </row>
    <row r="1908" customFormat="false" ht="15" hidden="false" customHeight="false" outlineLevel="0" collapsed="false">
      <c r="A1908" s="12"/>
      <c r="B1908" s="13"/>
      <c r="C1908" s="14"/>
      <c r="D1908" s="14"/>
      <c r="E1908" s="15"/>
      <c r="F1908" s="13"/>
      <c r="G1908" s="16" t="str">
        <f aca="false">IF(OR(B1908="",E1908=""),"",E1908*IFERROR(INDEX(Müşteriler!$B$5:$B$54,MATCH(B1908,Müşteriler!$A$5:$A$54,0)),0))</f>
        <v/>
      </c>
    </row>
    <row r="1909" customFormat="false" ht="15" hidden="false" customHeight="false" outlineLevel="0" collapsed="false">
      <c r="A1909" s="12"/>
      <c r="B1909" s="13"/>
      <c r="C1909" s="14"/>
      <c r="D1909" s="14"/>
      <c r="E1909" s="15"/>
      <c r="F1909" s="13"/>
      <c r="G1909" s="16" t="str">
        <f aca="false">IF(OR(B1909="",E1909=""),"",E1909*IFERROR(INDEX(Müşteriler!$B$5:$B$54,MATCH(B1909,Müşteriler!$A$5:$A$54,0)),0))</f>
        <v/>
      </c>
    </row>
    <row r="1910" customFormat="false" ht="15" hidden="false" customHeight="false" outlineLevel="0" collapsed="false">
      <c r="A1910" s="12"/>
      <c r="B1910" s="13"/>
      <c r="C1910" s="14"/>
      <c r="D1910" s="14"/>
      <c r="E1910" s="15"/>
      <c r="F1910" s="13"/>
      <c r="G1910" s="16" t="str">
        <f aca="false">IF(OR(B1910="",E1910=""),"",E1910*IFERROR(INDEX(Müşteriler!$B$5:$B$54,MATCH(B1910,Müşteriler!$A$5:$A$54,0)),0))</f>
        <v/>
      </c>
    </row>
    <row r="1911" customFormat="false" ht="15" hidden="false" customHeight="false" outlineLevel="0" collapsed="false">
      <c r="A1911" s="12"/>
      <c r="B1911" s="13"/>
      <c r="C1911" s="14"/>
      <c r="D1911" s="14"/>
      <c r="E1911" s="15"/>
      <c r="F1911" s="13"/>
      <c r="G1911" s="16" t="str">
        <f aca="false">IF(OR(B1911="",E1911=""),"",E1911*IFERROR(INDEX(Müşteriler!$B$5:$B$54,MATCH(B1911,Müşteriler!$A$5:$A$54,0)),0))</f>
        <v/>
      </c>
    </row>
    <row r="1912" customFormat="false" ht="15" hidden="false" customHeight="false" outlineLevel="0" collapsed="false">
      <c r="A1912" s="12"/>
      <c r="B1912" s="13"/>
      <c r="C1912" s="14"/>
      <c r="D1912" s="14"/>
      <c r="E1912" s="15"/>
      <c r="F1912" s="13"/>
      <c r="G1912" s="16" t="str">
        <f aca="false">IF(OR(B1912="",E1912=""),"",E1912*IFERROR(INDEX(Müşteriler!$B$5:$B$54,MATCH(B1912,Müşteriler!$A$5:$A$54,0)),0))</f>
        <v/>
      </c>
    </row>
    <row r="1913" customFormat="false" ht="15" hidden="false" customHeight="false" outlineLevel="0" collapsed="false">
      <c r="A1913" s="12"/>
      <c r="B1913" s="13"/>
      <c r="C1913" s="14"/>
      <c r="D1913" s="14"/>
      <c r="E1913" s="15"/>
      <c r="F1913" s="13"/>
      <c r="G1913" s="16" t="str">
        <f aca="false">IF(OR(B1913="",E1913=""),"",E1913*IFERROR(INDEX(Müşteriler!$B$5:$B$54,MATCH(B1913,Müşteriler!$A$5:$A$54,0)),0))</f>
        <v/>
      </c>
    </row>
    <row r="1914" customFormat="false" ht="15" hidden="false" customHeight="false" outlineLevel="0" collapsed="false">
      <c r="A1914" s="12"/>
      <c r="B1914" s="13"/>
      <c r="C1914" s="14"/>
      <c r="D1914" s="14"/>
      <c r="E1914" s="15"/>
      <c r="F1914" s="13"/>
      <c r="G1914" s="16" t="str">
        <f aca="false">IF(OR(B1914="",E1914=""),"",E1914*IFERROR(INDEX(Müşteriler!$B$5:$B$54,MATCH(B1914,Müşteriler!$A$5:$A$54,0)),0))</f>
        <v/>
      </c>
    </row>
    <row r="1915" customFormat="false" ht="15" hidden="false" customHeight="false" outlineLevel="0" collapsed="false">
      <c r="A1915" s="12"/>
      <c r="B1915" s="13"/>
      <c r="C1915" s="14"/>
      <c r="D1915" s="14"/>
      <c r="E1915" s="15"/>
      <c r="F1915" s="13"/>
      <c r="G1915" s="16" t="str">
        <f aca="false">IF(OR(B1915="",E1915=""),"",E1915*IFERROR(INDEX(Müşteriler!$B$5:$B$54,MATCH(B1915,Müşteriler!$A$5:$A$54,0)),0))</f>
        <v/>
      </c>
    </row>
    <row r="1916" customFormat="false" ht="15" hidden="false" customHeight="false" outlineLevel="0" collapsed="false">
      <c r="A1916" s="12"/>
      <c r="B1916" s="13"/>
      <c r="C1916" s="14"/>
      <c r="D1916" s="14"/>
      <c r="E1916" s="15"/>
      <c r="F1916" s="13"/>
      <c r="G1916" s="16" t="str">
        <f aca="false">IF(OR(B1916="",E1916=""),"",E1916*IFERROR(INDEX(Müşteriler!$B$5:$B$54,MATCH(B1916,Müşteriler!$A$5:$A$54,0)),0))</f>
        <v/>
      </c>
    </row>
    <row r="1917" customFormat="false" ht="15" hidden="false" customHeight="false" outlineLevel="0" collapsed="false">
      <c r="A1917" s="12"/>
      <c r="B1917" s="13"/>
      <c r="C1917" s="14"/>
      <c r="D1917" s="14"/>
      <c r="E1917" s="15"/>
      <c r="F1917" s="13"/>
      <c r="G1917" s="16" t="str">
        <f aca="false">IF(OR(B1917="",E1917=""),"",E1917*IFERROR(INDEX(Müşteriler!$B$5:$B$54,MATCH(B1917,Müşteriler!$A$5:$A$54,0)),0))</f>
        <v/>
      </c>
    </row>
    <row r="1918" customFormat="false" ht="15" hidden="false" customHeight="false" outlineLevel="0" collapsed="false">
      <c r="A1918" s="12"/>
      <c r="B1918" s="13"/>
      <c r="C1918" s="14"/>
      <c r="D1918" s="14"/>
      <c r="E1918" s="15"/>
      <c r="F1918" s="13"/>
      <c r="G1918" s="16" t="str">
        <f aca="false">IF(OR(B1918="",E1918=""),"",E1918*IFERROR(INDEX(Müşteriler!$B$5:$B$54,MATCH(B1918,Müşteriler!$A$5:$A$54,0)),0))</f>
        <v/>
      </c>
    </row>
    <row r="1919" customFormat="false" ht="15" hidden="false" customHeight="false" outlineLevel="0" collapsed="false">
      <c r="A1919" s="12"/>
      <c r="B1919" s="13"/>
      <c r="C1919" s="14"/>
      <c r="D1919" s="14"/>
      <c r="E1919" s="15"/>
      <c r="F1919" s="13"/>
      <c r="G1919" s="16" t="str">
        <f aca="false">IF(OR(B1919="",E1919=""),"",E1919*IFERROR(INDEX(Müşteriler!$B$5:$B$54,MATCH(B1919,Müşteriler!$A$5:$A$54,0)),0))</f>
        <v/>
      </c>
    </row>
    <row r="1920" customFormat="false" ht="15" hidden="false" customHeight="false" outlineLevel="0" collapsed="false">
      <c r="A1920" s="12"/>
      <c r="B1920" s="13"/>
      <c r="C1920" s="14"/>
      <c r="D1920" s="14"/>
      <c r="E1920" s="15"/>
      <c r="F1920" s="13"/>
      <c r="G1920" s="16" t="str">
        <f aca="false">IF(OR(B1920="",E1920=""),"",E1920*IFERROR(INDEX(Müşteriler!$B$5:$B$54,MATCH(B1920,Müşteriler!$A$5:$A$54,0)),0))</f>
        <v/>
      </c>
    </row>
    <row r="1921" customFormat="false" ht="15" hidden="false" customHeight="false" outlineLevel="0" collapsed="false">
      <c r="A1921" s="12"/>
      <c r="B1921" s="13"/>
      <c r="C1921" s="14"/>
      <c r="D1921" s="14"/>
      <c r="E1921" s="15"/>
      <c r="F1921" s="13"/>
      <c r="G1921" s="16" t="str">
        <f aca="false">IF(OR(B1921="",E1921=""),"",E1921*IFERROR(INDEX(Müşteriler!$B$5:$B$54,MATCH(B1921,Müşteriler!$A$5:$A$54,0)),0))</f>
        <v/>
      </c>
    </row>
    <row r="1922" customFormat="false" ht="15" hidden="false" customHeight="false" outlineLevel="0" collapsed="false">
      <c r="A1922" s="12"/>
      <c r="B1922" s="13"/>
      <c r="C1922" s="14"/>
      <c r="D1922" s="14"/>
      <c r="E1922" s="15"/>
      <c r="F1922" s="13"/>
      <c r="G1922" s="16" t="str">
        <f aca="false">IF(OR(B1922="",E1922=""),"",E1922*IFERROR(INDEX(Müşteriler!$B$5:$B$54,MATCH(B1922,Müşteriler!$A$5:$A$54,0)),0))</f>
        <v/>
      </c>
    </row>
    <row r="1923" customFormat="false" ht="15" hidden="false" customHeight="false" outlineLevel="0" collapsed="false">
      <c r="A1923" s="12"/>
      <c r="B1923" s="13"/>
      <c r="C1923" s="14"/>
      <c r="D1923" s="14"/>
      <c r="E1923" s="15"/>
      <c r="F1923" s="13"/>
      <c r="G1923" s="16" t="str">
        <f aca="false">IF(OR(B1923="",E1923=""),"",E1923*IFERROR(INDEX(Müşteriler!$B$5:$B$54,MATCH(B1923,Müşteriler!$A$5:$A$54,0)),0))</f>
        <v/>
      </c>
    </row>
    <row r="1924" customFormat="false" ht="15" hidden="false" customHeight="false" outlineLevel="0" collapsed="false">
      <c r="A1924" s="12"/>
      <c r="B1924" s="13"/>
      <c r="C1924" s="14"/>
      <c r="D1924" s="14"/>
      <c r="E1924" s="15"/>
      <c r="F1924" s="13"/>
      <c r="G1924" s="16" t="str">
        <f aca="false">IF(OR(B1924="",E1924=""),"",E1924*IFERROR(INDEX(Müşteriler!$B$5:$B$54,MATCH(B1924,Müşteriler!$A$5:$A$54,0)),0))</f>
        <v/>
      </c>
    </row>
    <row r="1925" customFormat="false" ht="15" hidden="false" customHeight="false" outlineLevel="0" collapsed="false">
      <c r="A1925" s="12"/>
      <c r="B1925" s="13"/>
      <c r="C1925" s="14"/>
      <c r="D1925" s="14"/>
      <c r="E1925" s="15"/>
      <c r="F1925" s="13"/>
      <c r="G1925" s="16" t="str">
        <f aca="false">IF(OR(B1925="",E1925=""),"",E1925*IFERROR(INDEX(Müşteriler!$B$5:$B$54,MATCH(B1925,Müşteriler!$A$5:$A$54,0)),0))</f>
        <v/>
      </c>
    </row>
    <row r="1926" customFormat="false" ht="15" hidden="false" customHeight="false" outlineLevel="0" collapsed="false">
      <c r="A1926" s="12"/>
      <c r="B1926" s="13"/>
      <c r="C1926" s="14"/>
      <c r="D1926" s="14"/>
      <c r="E1926" s="15"/>
      <c r="F1926" s="13"/>
      <c r="G1926" s="16" t="str">
        <f aca="false">IF(OR(B1926="",E1926=""),"",E1926*IFERROR(INDEX(Müşteriler!$B$5:$B$54,MATCH(B1926,Müşteriler!$A$5:$A$54,0)),0))</f>
        <v/>
      </c>
    </row>
    <row r="1927" customFormat="false" ht="15" hidden="false" customHeight="false" outlineLevel="0" collapsed="false">
      <c r="A1927" s="12"/>
      <c r="B1927" s="13"/>
      <c r="C1927" s="14"/>
      <c r="D1927" s="14"/>
      <c r="E1927" s="15"/>
      <c r="F1927" s="13"/>
      <c r="G1927" s="16" t="str">
        <f aca="false">IF(OR(B1927="",E1927=""),"",E1927*IFERROR(INDEX(Müşteriler!$B$5:$B$54,MATCH(B1927,Müşteriler!$A$5:$A$54,0)),0))</f>
        <v/>
      </c>
    </row>
    <row r="1928" customFormat="false" ht="15" hidden="false" customHeight="false" outlineLevel="0" collapsed="false">
      <c r="A1928" s="12"/>
      <c r="B1928" s="13"/>
      <c r="C1928" s="14"/>
      <c r="D1928" s="14"/>
      <c r="E1928" s="15"/>
      <c r="F1928" s="13"/>
      <c r="G1928" s="16" t="str">
        <f aca="false">IF(OR(B1928="",E1928=""),"",E1928*IFERROR(INDEX(Müşteriler!$B$5:$B$54,MATCH(B1928,Müşteriler!$A$5:$A$54,0)),0))</f>
        <v/>
      </c>
    </row>
    <row r="1929" customFormat="false" ht="15" hidden="false" customHeight="false" outlineLevel="0" collapsed="false">
      <c r="A1929" s="12"/>
      <c r="B1929" s="13"/>
      <c r="C1929" s="14"/>
      <c r="D1929" s="14"/>
      <c r="E1929" s="15"/>
      <c r="F1929" s="13"/>
      <c r="G1929" s="16" t="str">
        <f aca="false">IF(OR(B1929="",E1929=""),"",E1929*IFERROR(INDEX(Müşteriler!$B$5:$B$54,MATCH(B1929,Müşteriler!$A$5:$A$54,0)),0))</f>
        <v/>
      </c>
    </row>
    <row r="1930" customFormat="false" ht="15" hidden="false" customHeight="false" outlineLevel="0" collapsed="false">
      <c r="A1930" s="12"/>
      <c r="B1930" s="13"/>
      <c r="C1930" s="14"/>
      <c r="D1930" s="14"/>
      <c r="E1930" s="15"/>
      <c r="F1930" s="13"/>
      <c r="G1930" s="16" t="str">
        <f aca="false">IF(OR(B1930="",E1930=""),"",E1930*IFERROR(INDEX(Müşteriler!$B$5:$B$54,MATCH(B1930,Müşteriler!$A$5:$A$54,0)),0))</f>
        <v/>
      </c>
    </row>
    <row r="1931" customFormat="false" ht="15" hidden="false" customHeight="false" outlineLevel="0" collapsed="false">
      <c r="A1931" s="12"/>
      <c r="B1931" s="13"/>
      <c r="C1931" s="14"/>
      <c r="D1931" s="14"/>
      <c r="E1931" s="15"/>
      <c r="F1931" s="13"/>
      <c r="G1931" s="16" t="str">
        <f aca="false">IF(OR(B1931="",E1931=""),"",E1931*IFERROR(INDEX(Müşteriler!$B$5:$B$54,MATCH(B1931,Müşteriler!$A$5:$A$54,0)),0))</f>
        <v/>
      </c>
    </row>
    <row r="1932" customFormat="false" ht="15" hidden="false" customHeight="false" outlineLevel="0" collapsed="false">
      <c r="A1932" s="12"/>
      <c r="B1932" s="13"/>
      <c r="C1932" s="14"/>
      <c r="D1932" s="14"/>
      <c r="E1932" s="15"/>
      <c r="F1932" s="13"/>
      <c r="G1932" s="16" t="str">
        <f aca="false">IF(OR(B1932="",E1932=""),"",E1932*IFERROR(INDEX(Müşteriler!$B$5:$B$54,MATCH(B1932,Müşteriler!$A$5:$A$54,0)),0))</f>
        <v/>
      </c>
    </row>
    <row r="1933" customFormat="false" ht="15" hidden="false" customHeight="false" outlineLevel="0" collapsed="false">
      <c r="A1933" s="12"/>
      <c r="B1933" s="13"/>
      <c r="C1933" s="14"/>
      <c r="D1933" s="14"/>
      <c r="E1933" s="15"/>
      <c r="F1933" s="13"/>
      <c r="G1933" s="16" t="str">
        <f aca="false">IF(OR(B1933="",E1933=""),"",E1933*IFERROR(INDEX(Müşteriler!$B$5:$B$54,MATCH(B1933,Müşteriler!$A$5:$A$54,0)),0))</f>
        <v/>
      </c>
    </row>
    <row r="1934" customFormat="false" ht="15" hidden="false" customHeight="false" outlineLevel="0" collapsed="false">
      <c r="A1934" s="12"/>
      <c r="B1934" s="13"/>
      <c r="C1934" s="14"/>
      <c r="D1934" s="14"/>
      <c r="E1934" s="15"/>
      <c r="F1934" s="13"/>
      <c r="G1934" s="16" t="str">
        <f aca="false">IF(OR(B1934="",E1934=""),"",E1934*IFERROR(INDEX(Müşteriler!$B$5:$B$54,MATCH(B1934,Müşteriler!$A$5:$A$54,0)),0))</f>
        <v/>
      </c>
    </row>
    <row r="1935" customFormat="false" ht="15" hidden="false" customHeight="false" outlineLevel="0" collapsed="false">
      <c r="A1935" s="12"/>
      <c r="B1935" s="13"/>
      <c r="C1935" s="14"/>
      <c r="D1935" s="14"/>
      <c r="E1935" s="15"/>
      <c r="F1935" s="13"/>
      <c r="G1935" s="16" t="str">
        <f aca="false">IF(OR(B1935="",E1935=""),"",E1935*IFERROR(INDEX(Müşteriler!$B$5:$B$54,MATCH(B1935,Müşteriler!$A$5:$A$54,0)),0))</f>
        <v/>
      </c>
    </row>
    <row r="1936" customFormat="false" ht="15" hidden="false" customHeight="false" outlineLevel="0" collapsed="false">
      <c r="A1936" s="12"/>
      <c r="B1936" s="13"/>
      <c r="C1936" s="14"/>
      <c r="D1936" s="14"/>
      <c r="E1936" s="15"/>
      <c r="F1936" s="13"/>
      <c r="G1936" s="16" t="str">
        <f aca="false">IF(OR(B1936="",E1936=""),"",E1936*IFERROR(INDEX(Müşteriler!$B$5:$B$54,MATCH(B1936,Müşteriler!$A$5:$A$54,0)),0))</f>
        <v/>
      </c>
    </row>
    <row r="1937" customFormat="false" ht="15" hidden="false" customHeight="false" outlineLevel="0" collapsed="false">
      <c r="A1937" s="12"/>
      <c r="B1937" s="13"/>
      <c r="C1937" s="14"/>
      <c r="D1937" s="14"/>
      <c r="E1937" s="15"/>
      <c r="F1937" s="13"/>
      <c r="G1937" s="16" t="str">
        <f aca="false">IF(OR(B1937="",E1937=""),"",E1937*IFERROR(INDEX(Müşteriler!$B$5:$B$54,MATCH(B1937,Müşteriler!$A$5:$A$54,0)),0))</f>
        <v/>
      </c>
    </row>
    <row r="1938" customFormat="false" ht="15" hidden="false" customHeight="false" outlineLevel="0" collapsed="false">
      <c r="A1938" s="12"/>
      <c r="B1938" s="13"/>
      <c r="C1938" s="14"/>
      <c r="D1938" s="14"/>
      <c r="E1938" s="15"/>
      <c r="F1938" s="13"/>
      <c r="G1938" s="16" t="str">
        <f aca="false">IF(OR(B1938="",E1938=""),"",E1938*IFERROR(INDEX(Müşteriler!$B$5:$B$54,MATCH(B1938,Müşteriler!$A$5:$A$54,0)),0))</f>
        <v/>
      </c>
    </row>
    <row r="1939" customFormat="false" ht="15" hidden="false" customHeight="false" outlineLevel="0" collapsed="false">
      <c r="A1939" s="12"/>
      <c r="B1939" s="13"/>
      <c r="C1939" s="14"/>
      <c r="D1939" s="14"/>
      <c r="E1939" s="15"/>
      <c r="F1939" s="13"/>
      <c r="G1939" s="16" t="str">
        <f aca="false">IF(OR(B1939="",E1939=""),"",E1939*IFERROR(INDEX(Müşteriler!$B$5:$B$54,MATCH(B1939,Müşteriler!$A$5:$A$54,0)),0))</f>
        <v/>
      </c>
    </row>
    <row r="1940" customFormat="false" ht="15" hidden="false" customHeight="false" outlineLevel="0" collapsed="false">
      <c r="A1940" s="12"/>
      <c r="B1940" s="13"/>
      <c r="C1940" s="14"/>
      <c r="D1940" s="14"/>
      <c r="E1940" s="15"/>
      <c r="F1940" s="13"/>
      <c r="G1940" s="16" t="str">
        <f aca="false">IF(OR(B1940="",E1940=""),"",E1940*IFERROR(INDEX(Müşteriler!$B$5:$B$54,MATCH(B1940,Müşteriler!$A$5:$A$54,0)),0))</f>
        <v/>
      </c>
    </row>
    <row r="1941" customFormat="false" ht="15" hidden="false" customHeight="false" outlineLevel="0" collapsed="false">
      <c r="A1941" s="12"/>
      <c r="B1941" s="13"/>
      <c r="C1941" s="14"/>
      <c r="D1941" s="14"/>
      <c r="E1941" s="15"/>
      <c r="F1941" s="13"/>
      <c r="G1941" s="16" t="str">
        <f aca="false">IF(OR(B1941="",E1941=""),"",E1941*IFERROR(INDEX(Müşteriler!$B$5:$B$54,MATCH(B1941,Müşteriler!$A$5:$A$54,0)),0))</f>
        <v/>
      </c>
    </row>
    <row r="1942" customFormat="false" ht="15" hidden="false" customHeight="false" outlineLevel="0" collapsed="false">
      <c r="A1942" s="12"/>
      <c r="B1942" s="13"/>
      <c r="C1942" s="14"/>
      <c r="D1942" s="14"/>
      <c r="E1942" s="15"/>
      <c r="F1942" s="13"/>
      <c r="G1942" s="16" t="str">
        <f aca="false">IF(OR(B1942="",E1942=""),"",E1942*IFERROR(INDEX(Müşteriler!$B$5:$B$54,MATCH(B1942,Müşteriler!$A$5:$A$54,0)),0))</f>
        <v/>
      </c>
    </row>
    <row r="1943" customFormat="false" ht="15" hidden="false" customHeight="false" outlineLevel="0" collapsed="false">
      <c r="A1943" s="12"/>
      <c r="B1943" s="13"/>
      <c r="C1943" s="14"/>
      <c r="D1943" s="14"/>
      <c r="E1943" s="15"/>
      <c r="F1943" s="13"/>
      <c r="G1943" s="16" t="str">
        <f aca="false">IF(OR(B1943="",E1943=""),"",E1943*IFERROR(INDEX(Müşteriler!$B$5:$B$54,MATCH(B1943,Müşteriler!$A$5:$A$54,0)),0))</f>
        <v/>
      </c>
    </row>
    <row r="1944" customFormat="false" ht="15" hidden="false" customHeight="false" outlineLevel="0" collapsed="false">
      <c r="A1944" s="12"/>
      <c r="B1944" s="13"/>
      <c r="C1944" s="14"/>
      <c r="D1944" s="14"/>
      <c r="E1944" s="15"/>
      <c r="F1944" s="13"/>
      <c r="G1944" s="16" t="str">
        <f aca="false">IF(OR(B1944="",E1944=""),"",E1944*IFERROR(INDEX(Müşteriler!$B$5:$B$54,MATCH(B1944,Müşteriler!$A$5:$A$54,0)),0))</f>
        <v/>
      </c>
    </row>
    <row r="1945" customFormat="false" ht="15" hidden="false" customHeight="false" outlineLevel="0" collapsed="false">
      <c r="A1945" s="12"/>
      <c r="B1945" s="13"/>
      <c r="C1945" s="14"/>
      <c r="D1945" s="14"/>
      <c r="E1945" s="15"/>
      <c r="F1945" s="13"/>
      <c r="G1945" s="16" t="str">
        <f aca="false">IF(OR(B1945="",E1945=""),"",E1945*IFERROR(INDEX(Müşteriler!$B$5:$B$54,MATCH(B1945,Müşteriler!$A$5:$A$54,0)),0))</f>
        <v/>
      </c>
    </row>
    <row r="1946" customFormat="false" ht="15" hidden="false" customHeight="false" outlineLevel="0" collapsed="false">
      <c r="A1946" s="12"/>
      <c r="B1946" s="13"/>
      <c r="C1946" s="14"/>
      <c r="D1946" s="14"/>
      <c r="E1946" s="15"/>
      <c r="F1946" s="13"/>
      <c r="G1946" s="16" t="str">
        <f aca="false">IF(OR(B1946="",E1946=""),"",E1946*IFERROR(INDEX(Müşteriler!$B$5:$B$54,MATCH(B1946,Müşteriler!$A$5:$A$54,0)),0))</f>
        <v/>
      </c>
    </row>
    <row r="1947" customFormat="false" ht="15" hidden="false" customHeight="false" outlineLevel="0" collapsed="false">
      <c r="A1947" s="12"/>
      <c r="B1947" s="13"/>
      <c r="C1947" s="14"/>
      <c r="D1947" s="14"/>
      <c r="E1947" s="15"/>
      <c r="F1947" s="13"/>
      <c r="G1947" s="16" t="str">
        <f aca="false">IF(OR(B1947="",E1947=""),"",E1947*IFERROR(INDEX(Müşteriler!$B$5:$B$54,MATCH(B1947,Müşteriler!$A$5:$A$54,0)),0))</f>
        <v/>
      </c>
    </row>
    <row r="1948" customFormat="false" ht="15" hidden="false" customHeight="false" outlineLevel="0" collapsed="false">
      <c r="A1948" s="12"/>
      <c r="B1948" s="13"/>
      <c r="C1948" s="14"/>
      <c r="D1948" s="14"/>
      <c r="E1948" s="15"/>
      <c r="F1948" s="13"/>
      <c r="G1948" s="16" t="str">
        <f aca="false">IF(OR(B1948="",E1948=""),"",E1948*IFERROR(INDEX(Müşteriler!$B$5:$B$54,MATCH(B1948,Müşteriler!$A$5:$A$54,0)),0))</f>
        <v/>
      </c>
    </row>
    <row r="1949" customFormat="false" ht="15" hidden="false" customHeight="false" outlineLevel="0" collapsed="false">
      <c r="A1949" s="12"/>
      <c r="B1949" s="13"/>
      <c r="C1949" s="14"/>
      <c r="D1949" s="14"/>
      <c r="E1949" s="15"/>
      <c r="F1949" s="13"/>
      <c r="G1949" s="16" t="str">
        <f aca="false">IF(OR(B1949="",E1949=""),"",E1949*IFERROR(INDEX(Müşteriler!$B$5:$B$54,MATCH(B1949,Müşteriler!$A$5:$A$54,0)),0))</f>
        <v/>
      </c>
    </row>
    <row r="1950" customFormat="false" ht="15" hidden="false" customHeight="false" outlineLevel="0" collapsed="false">
      <c r="A1950" s="12"/>
      <c r="B1950" s="13"/>
      <c r="C1950" s="14"/>
      <c r="D1950" s="14"/>
      <c r="E1950" s="15"/>
      <c r="F1950" s="13"/>
      <c r="G1950" s="16" t="str">
        <f aca="false">IF(OR(B1950="",E1950=""),"",E1950*IFERROR(INDEX(Müşteriler!$B$5:$B$54,MATCH(B1950,Müşteriler!$A$5:$A$54,0)),0))</f>
        <v/>
      </c>
    </row>
    <row r="1951" customFormat="false" ht="15" hidden="false" customHeight="false" outlineLevel="0" collapsed="false">
      <c r="A1951" s="12"/>
      <c r="B1951" s="13"/>
      <c r="C1951" s="14"/>
      <c r="D1951" s="14"/>
      <c r="E1951" s="15"/>
      <c r="F1951" s="13"/>
      <c r="G1951" s="16" t="str">
        <f aca="false">IF(OR(B1951="",E1951=""),"",E1951*IFERROR(INDEX(Müşteriler!$B$5:$B$54,MATCH(B1951,Müşteriler!$A$5:$A$54,0)),0))</f>
        <v/>
      </c>
    </row>
    <row r="1952" customFormat="false" ht="15" hidden="false" customHeight="false" outlineLevel="0" collapsed="false">
      <c r="A1952" s="12"/>
      <c r="B1952" s="13"/>
      <c r="C1952" s="14"/>
      <c r="D1952" s="14"/>
      <c r="E1952" s="15"/>
      <c r="F1952" s="13"/>
      <c r="G1952" s="16" t="str">
        <f aca="false">IF(OR(B1952="",E1952=""),"",E1952*IFERROR(INDEX(Müşteriler!$B$5:$B$54,MATCH(B1952,Müşteriler!$A$5:$A$54,0)),0))</f>
        <v/>
      </c>
    </row>
    <row r="1953" customFormat="false" ht="15" hidden="false" customHeight="false" outlineLevel="0" collapsed="false">
      <c r="A1953" s="12"/>
      <c r="B1953" s="13"/>
      <c r="C1953" s="14"/>
      <c r="D1953" s="14"/>
      <c r="E1953" s="15"/>
      <c r="F1953" s="13"/>
      <c r="G1953" s="16" t="str">
        <f aca="false">IF(OR(B1953="",E1953=""),"",E1953*IFERROR(INDEX(Müşteriler!$B$5:$B$54,MATCH(B1953,Müşteriler!$A$5:$A$54,0)),0))</f>
        <v/>
      </c>
    </row>
    <row r="1954" customFormat="false" ht="15" hidden="false" customHeight="false" outlineLevel="0" collapsed="false">
      <c r="A1954" s="12"/>
      <c r="B1954" s="13"/>
      <c r="C1954" s="14"/>
      <c r="D1954" s="14"/>
      <c r="E1954" s="15"/>
      <c r="F1954" s="13"/>
      <c r="G1954" s="16" t="str">
        <f aca="false">IF(OR(B1954="",E1954=""),"",E1954*IFERROR(INDEX(Müşteriler!$B$5:$B$54,MATCH(B1954,Müşteriler!$A$5:$A$54,0)),0))</f>
        <v/>
      </c>
    </row>
    <row r="1955" customFormat="false" ht="15" hidden="false" customHeight="false" outlineLevel="0" collapsed="false">
      <c r="A1955" s="12"/>
      <c r="B1955" s="13"/>
      <c r="C1955" s="14"/>
      <c r="D1955" s="14"/>
      <c r="E1955" s="15"/>
      <c r="F1955" s="13"/>
      <c r="G1955" s="16" t="str">
        <f aca="false">IF(OR(B1955="",E1955=""),"",E1955*IFERROR(INDEX(Müşteriler!$B$5:$B$54,MATCH(B1955,Müşteriler!$A$5:$A$54,0)),0))</f>
        <v/>
      </c>
    </row>
    <row r="1956" customFormat="false" ht="15" hidden="false" customHeight="false" outlineLevel="0" collapsed="false">
      <c r="A1956" s="12"/>
      <c r="B1956" s="13"/>
      <c r="C1956" s="14"/>
      <c r="D1956" s="14"/>
      <c r="E1956" s="15"/>
      <c r="F1956" s="13"/>
      <c r="G1956" s="16" t="str">
        <f aca="false">IF(OR(B1956="",E1956=""),"",E1956*IFERROR(INDEX(Müşteriler!$B$5:$B$54,MATCH(B1956,Müşteriler!$A$5:$A$54,0)),0))</f>
        <v/>
      </c>
    </row>
    <row r="1957" customFormat="false" ht="15" hidden="false" customHeight="false" outlineLevel="0" collapsed="false">
      <c r="A1957" s="12"/>
      <c r="B1957" s="13"/>
      <c r="C1957" s="14"/>
      <c r="D1957" s="14"/>
      <c r="E1957" s="15"/>
      <c r="F1957" s="13"/>
      <c r="G1957" s="16" t="str">
        <f aca="false">IF(OR(B1957="",E1957=""),"",E1957*IFERROR(INDEX(Müşteriler!$B$5:$B$54,MATCH(B1957,Müşteriler!$A$5:$A$54,0)),0))</f>
        <v/>
      </c>
    </row>
    <row r="1958" customFormat="false" ht="15" hidden="false" customHeight="false" outlineLevel="0" collapsed="false">
      <c r="A1958" s="12"/>
      <c r="B1958" s="13"/>
      <c r="C1958" s="14"/>
      <c r="D1958" s="14"/>
      <c r="E1958" s="15"/>
      <c r="F1958" s="13"/>
      <c r="G1958" s="16" t="str">
        <f aca="false">IF(OR(B1958="",E1958=""),"",E1958*IFERROR(INDEX(Müşteriler!$B$5:$B$54,MATCH(B1958,Müşteriler!$A$5:$A$54,0)),0))</f>
        <v/>
      </c>
    </row>
    <row r="1959" customFormat="false" ht="15" hidden="false" customHeight="false" outlineLevel="0" collapsed="false">
      <c r="A1959" s="12"/>
      <c r="B1959" s="13"/>
      <c r="C1959" s="14"/>
      <c r="D1959" s="14"/>
      <c r="E1959" s="15"/>
      <c r="F1959" s="13"/>
      <c r="G1959" s="16" t="str">
        <f aca="false">IF(OR(B1959="",E1959=""),"",E1959*IFERROR(INDEX(Müşteriler!$B$5:$B$54,MATCH(B1959,Müşteriler!$A$5:$A$54,0)),0))</f>
        <v/>
      </c>
    </row>
    <row r="1960" customFormat="false" ht="15" hidden="false" customHeight="false" outlineLevel="0" collapsed="false">
      <c r="A1960" s="12"/>
      <c r="B1960" s="13"/>
      <c r="C1960" s="14"/>
      <c r="D1960" s="14"/>
      <c r="E1960" s="15"/>
      <c r="F1960" s="13"/>
      <c r="G1960" s="16" t="str">
        <f aca="false">IF(OR(B1960="",E1960=""),"",E1960*IFERROR(INDEX(Müşteriler!$B$5:$B$54,MATCH(B1960,Müşteriler!$A$5:$A$54,0)),0))</f>
        <v/>
      </c>
    </row>
    <row r="1961" customFormat="false" ht="15" hidden="false" customHeight="false" outlineLevel="0" collapsed="false">
      <c r="A1961" s="12"/>
      <c r="B1961" s="13"/>
      <c r="C1961" s="14"/>
      <c r="D1961" s="14"/>
      <c r="E1961" s="15"/>
      <c r="F1961" s="13"/>
      <c r="G1961" s="16" t="str">
        <f aca="false">IF(OR(B1961="",E1961=""),"",E1961*IFERROR(INDEX(Müşteriler!$B$5:$B$54,MATCH(B1961,Müşteriler!$A$5:$A$54,0)),0))</f>
        <v/>
      </c>
    </row>
    <row r="1962" customFormat="false" ht="15" hidden="false" customHeight="false" outlineLevel="0" collapsed="false">
      <c r="A1962" s="12"/>
      <c r="B1962" s="13"/>
      <c r="C1962" s="14"/>
      <c r="D1962" s="14"/>
      <c r="E1962" s="15"/>
      <c r="F1962" s="13"/>
      <c r="G1962" s="16" t="str">
        <f aca="false">IF(OR(B1962="",E1962=""),"",E1962*IFERROR(INDEX(Müşteriler!$B$5:$B$54,MATCH(B1962,Müşteriler!$A$5:$A$54,0)),0))</f>
        <v/>
      </c>
    </row>
    <row r="1963" customFormat="false" ht="15" hidden="false" customHeight="false" outlineLevel="0" collapsed="false">
      <c r="A1963" s="12"/>
      <c r="B1963" s="13"/>
      <c r="C1963" s="14"/>
      <c r="D1963" s="14"/>
      <c r="E1963" s="15"/>
      <c r="F1963" s="13"/>
      <c r="G1963" s="16" t="str">
        <f aca="false">IF(OR(B1963="",E1963=""),"",E1963*IFERROR(INDEX(Müşteriler!$B$5:$B$54,MATCH(B1963,Müşteriler!$A$5:$A$54,0)),0))</f>
        <v/>
      </c>
    </row>
    <row r="1964" customFormat="false" ht="15" hidden="false" customHeight="false" outlineLevel="0" collapsed="false">
      <c r="A1964" s="12"/>
      <c r="B1964" s="13"/>
      <c r="C1964" s="14"/>
      <c r="D1964" s="14"/>
      <c r="E1964" s="15"/>
      <c r="F1964" s="13"/>
      <c r="G1964" s="16" t="str">
        <f aca="false">IF(OR(B1964="",E1964=""),"",E1964*IFERROR(INDEX(Müşteriler!$B$5:$B$54,MATCH(B1964,Müşteriler!$A$5:$A$54,0)),0))</f>
        <v/>
      </c>
    </row>
    <row r="1965" customFormat="false" ht="15" hidden="false" customHeight="false" outlineLevel="0" collapsed="false">
      <c r="A1965" s="12"/>
      <c r="B1965" s="13"/>
      <c r="C1965" s="14"/>
      <c r="D1965" s="14"/>
      <c r="E1965" s="15"/>
      <c r="F1965" s="13"/>
      <c r="G1965" s="16" t="str">
        <f aca="false">IF(OR(B1965="",E1965=""),"",E1965*IFERROR(INDEX(Müşteriler!$B$5:$B$54,MATCH(B1965,Müşteriler!$A$5:$A$54,0)),0))</f>
        <v/>
      </c>
    </row>
    <row r="1966" customFormat="false" ht="15" hidden="false" customHeight="false" outlineLevel="0" collapsed="false">
      <c r="A1966" s="12"/>
      <c r="B1966" s="13"/>
      <c r="C1966" s="14"/>
      <c r="D1966" s="14"/>
      <c r="E1966" s="15"/>
      <c r="F1966" s="13"/>
      <c r="G1966" s="16" t="str">
        <f aca="false">IF(OR(B1966="",E1966=""),"",E1966*IFERROR(INDEX(Müşteriler!$B$5:$B$54,MATCH(B1966,Müşteriler!$A$5:$A$54,0)),0))</f>
        <v/>
      </c>
    </row>
    <row r="1967" customFormat="false" ht="15" hidden="false" customHeight="false" outlineLevel="0" collapsed="false">
      <c r="A1967" s="12"/>
      <c r="B1967" s="13"/>
      <c r="C1967" s="14"/>
      <c r="D1967" s="14"/>
      <c r="E1967" s="15"/>
      <c r="F1967" s="13"/>
      <c r="G1967" s="16" t="str">
        <f aca="false">IF(OR(B1967="",E1967=""),"",E1967*IFERROR(INDEX(Müşteriler!$B$5:$B$54,MATCH(B1967,Müşteriler!$A$5:$A$54,0)),0))</f>
        <v/>
      </c>
    </row>
    <row r="1968" customFormat="false" ht="15" hidden="false" customHeight="false" outlineLevel="0" collapsed="false">
      <c r="A1968" s="12"/>
      <c r="B1968" s="13"/>
      <c r="C1968" s="14"/>
      <c r="D1968" s="14"/>
      <c r="E1968" s="15"/>
      <c r="F1968" s="13"/>
      <c r="G1968" s="16" t="str">
        <f aca="false">IF(OR(B1968="",E1968=""),"",E1968*IFERROR(INDEX(Müşteriler!$B$5:$B$54,MATCH(B1968,Müşteriler!$A$5:$A$54,0)),0))</f>
        <v/>
      </c>
    </row>
    <row r="1969" customFormat="false" ht="15" hidden="false" customHeight="false" outlineLevel="0" collapsed="false">
      <c r="A1969" s="12"/>
      <c r="B1969" s="13"/>
      <c r="C1969" s="14"/>
      <c r="D1969" s="14"/>
      <c r="E1969" s="15"/>
      <c r="F1969" s="13"/>
      <c r="G1969" s="16" t="str">
        <f aca="false">IF(OR(B1969="",E1969=""),"",E1969*IFERROR(INDEX(Müşteriler!$B$5:$B$54,MATCH(B1969,Müşteriler!$A$5:$A$54,0)),0))</f>
        <v/>
      </c>
    </row>
    <row r="1970" customFormat="false" ht="15" hidden="false" customHeight="false" outlineLevel="0" collapsed="false">
      <c r="A1970" s="12"/>
      <c r="B1970" s="13"/>
      <c r="C1970" s="14"/>
      <c r="D1970" s="14"/>
      <c r="E1970" s="15"/>
      <c r="F1970" s="13"/>
      <c r="G1970" s="16" t="str">
        <f aca="false">IF(OR(B1970="",E1970=""),"",E1970*IFERROR(INDEX(Müşteriler!$B$5:$B$54,MATCH(B1970,Müşteriler!$A$5:$A$54,0)),0))</f>
        <v/>
      </c>
    </row>
    <row r="1971" customFormat="false" ht="15" hidden="false" customHeight="false" outlineLevel="0" collapsed="false">
      <c r="A1971" s="12"/>
      <c r="B1971" s="13"/>
      <c r="C1971" s="14"/>
      <c r="D1971" s="14"/>
      <c r="E1971" s="15"/>
      <c r="F1971" s="13"/>
      <c r="G1971" s="16" t="str">
        <f aca="false">IF(OR(B1971="",E1971=""),"",E1971*IFERROR(INDEX(Müşteriler!$B$5:$B$54,MATCH(B1971,Müşteriler!$A$5:$A$54,0)),0))</f>
        <v/>
      </c>
    </row>
    <row r="1972" customFormat="false" ht="15" hidden="false" customHeight="false" outlineLevel="0" collapsed="false">
      <c r="A1972" s="12"/>
      <c r="B1972" s="13"/>
      <c r="C1972" s="14"/>
      <c r="D1972" s="14"/>
      <c r="E1972" s="15"/>
      <c r="F1972" s="13"/>
      <c r="G1972" s="16" t="str">
        <f aca="false">IF(OR(B1972="",E1972=""),"",E1972*IFERROR(INDEX(Müşteriler!$B$5:$B$54,MATCH(B1972,Müşteriler!$A$5:$A$54,0)),0))</f>
        <v/>
      </c>
    </row>
    <row r="1973" customFormat="false" ht="15" hidden="false" customHeight="false" outlineLevel="0" collapsed="false">
      <c r="A1973" s="12"/>
      <c r="B1973" s="13"/>
      <c r="C1973" s="14"/>
      <c r="D1973" s="14"/>
      <c r="E1973" s="15"/>
      <c r="F1973" s="13"/>
      <c r="G1973" s="16" t="str">
        <f aca="false">IF(OR(B1973="",E1973=""),"",E1973*IFERROR(INDEX(Müşteriler!$B$5:$B$54,MATCH(B1973,Müşteriler!$A$5:$A$54,0)),0))</f>
        <v/>
      </c>
    </row>
    <row r="1974" customFormat="false" ht="15" hidden="false" customHeight="false" outlineLevel="0" collapsed="false">
      <c r="A1974" s="12"/>
      <c r="B1974" s="13"/>
      <c r="C1974" s="14"/>
      <c r="D1974" s="14"/>
      <c r="E1974" s="15"/>
      <c r="F1974" s="13"/>
      <c r="G1974" s="16" t="str">
        <f aca="false">IF(OR(B1974="",E1974=""),"",E1974*IFERROR(INDEX(Müşteriler!$B$5:$B$54,MATCH(B1974,Müşteriler!$A$5:$A$54,0)),0))</f>
        <v/>
      </c>
    </row>
    <row r="1975" customFormat="false" ht="15" hidden="false" customHeight="false" outlineLevel="0" collapsed="false">
      <c r="A1975" s="12"/>
      <c r="B1975" s="13"/>
      <c r="C1975" s="14"/>
      <c r="D1975" s="14"/>
      <c r="E1975" s="15"/>
      <c r="F1975" s="13"/>
      <c r="G1975" s="16" t="str">
        <f aca="false">IF(OR(B1975="",E1975=""),"",E1975*IFERROR(INDEX(Müşteriler!$B$5:$B$54,MATCH(B1975,Müşteriler!$A$5:$A$54,0)),0))</f>
        <v/>
      </c>
    </row>
    <row r="1976" customFormat="false" ht="15" hidden="false" customHeight="false" outlineLevel="0" collapsed="false">
      <c r="A1976" s="12"/>
      <c r="B1976" s="13"/>
      <c r="C1976" s="14"/>
      <c r="D1976" s="14"/>
      <c r="E1976" s="15"/>
      <c r="F1976" s="13"/>
      <c r="G1976" s="16" t="str">
        <f aca="false">IF(OR(B1976="",E1976=""),"",E1976*IFERROR(INDEX(Müşteriler!$B$5:$B$54,MATCH(B1976,Müşteriler!$A$5:$A$54,0)),0))</f>
        <v/>
      </c>
    </row>
    <row r="1977" customFormat="false" ht="15" hidden="false" customHeight="false" outlineLevel="0" collapsed="false">
      <c r="A1977" s="12"/>
      <c r="B1977" s="13"/>
      <c r="C1977" s="14"/>
      <c r="D1977" s="14"/>
      <c r="E1977" s="15"/>
      <c r="F1977" s="13"/>
      <c r="G1977" s="16" t="str">
        <f aca="false">IF(OR(B1977="",E1977=""),"",E1977*IFERROR(INDEX(Müşteriler!$B$5:$B$54,MATCH(B1977,Müşteriler!$A$5:$A$54,0)),0))</f>
        <v/>
      </c>
    </row>
    <row r="1978" customFormat="false" ht="15" hidden="false" customHeight="false" outlineLevel="0" collapsed="false">
      <c r="A1978" s="12"/>
      <c r="B1978" s="13"/>
      <c r="C1978" s="14"/>
      <c r="D1978" s="14"/>
      <c r="E1978" s="15"/>
      <c r="F1978" s="13"/>
      <c r="G1978" s="16" t="str">
        <f aca="false">IF(OR(B1978="",E1978=""),"",E1978*IFERROR(INDEX(Müşteriler!$B$5:$B$54,MATCH(B1978,Müşteriler!$A$5:$A$54,0)),0))</f>
        <v/>
      </c>
    </row>
    <row r="1979" customFormat="false" ht="15" hidden="false" customHeight="false" outlineLevel="0" collapsed="false">
      <c r="A1979" s="12"/>
      <c r="B1979" s="13"/>
      <c r="C1979" s="14"/>
      <c r="D1979" s="14"/>
      <c r="E1979" s="15"/>
      <c r="F1979" s="13"/>
      <c r="G1979" s="16" t="str">
        <f aca="false">IF(OR(B1979="",E1979=""),"",E1979*IFERROR(INDEX(Müşteriler!$B$5:$B$54,MATCH(B1979,Müşteriler!$A$5:$A$54,0)),0))</f>
        <v/>
      </c>
    </row>
    <row r="1980" customFormat="false" ht="15" hidden="false" customHeight="false" outlineLevel="0" collapsed="false">
      <c r="A1980" s="12"/>
      <c r="B1980" s="13"/>
      <c r="C1980" s="14"/>
      <c r="D1980" s="14"/>
      <c r="E1980" s="15"/>
      <c r="F1980" s="13"/>
      <c r="G1980" s="16" t="str">
        <f aca="false">IF(OR(B1980="",E1980=""),"",E1980*IFERROR(INDEX(Müşteriler!$B$5:$B$54,MATCH(B1980,Müşteriler!$A$5:$A$54,0)),0))</f>
        <v/>
      </c>
    </row>
    <row r="1981" customFormat="false" ht="15" hidden="false" customHeight="false" outlineLevel="0" collapsed="false">
      <c r="A1981" s="12"/>
      <c r="B1981" s="13"/>
      <c r="C1981" s="14"/>
      <c r="D1981" s="14"/>
      <c r="E1981" s="15"/>
      <c r="F1981" s="13"/>
      <c r="G1981" s="16" t="str">
        <f aca="false">IF(OR(B1981="",E1981=""),"",E1981*IFERROR(INDEX(Müşteriler!$B$5:$B$54,MATCH(B1981,Müşteriler!$A$5:$A$54,0)),0))</f>
        <v/>
      </c>
    </row>
    <row r="1982" customFormat="false" ht="15" hidden="false" customHeight="false" outlineLevel="0" collapsed="false">
      <c r="A1982" s="12"/>
      <c r="B1982" s="13"/>
      <c r="C1982" s="14"/>
      <c r="D1982" s="14"/>
      <c r="E1982" s="15"/>
      <c r="F1982" s="13"/>
      <c r="G1982" s="16" t="str">
        <f aca="false">IF(OR(B1982="",E1982=""),"",E1982*IFERROR(INDEX(Müşteriler!$B$5:$B$54,MATCH(B1982,Müşteriler!$A$5:$A$54,0)),0))</f>
        <v/>
      </c>
    </row>
    <row r="1983" customFormat="false" ht="15" hidden="false" customHeight="false" outlineLevel="0" collapsed="false">
      <c r="A1983" s="12"/>
      <c r="B1983" s="13"/>
      <c r="C1983" s="14"/>
      <c r="D1983" s="14"/>
      <c r="E1983" s="15"/>
      <c r="F1983" s="13"/>
      <c r="G1983" s="16" t="str">
        <f aca="false">IF(OR(B1983="",E1983=""),"",E1983*IFERROR(INDEX(Müşteriler!$B$5:$B$54,MATCH(B1983,Müşteriler!$A$5:$A$54,0)),0))</f>
        <v/>
      </c>
    </row>
    <row r="1984" customFormat="false" ht="15" hidden="false" customHeight="false" outlineLevel="0" collapsed="false">
      <c r="A1984" s="12"/>
      <c r="B1984" s="13"/>
      <c r="C1984" s="14"/>
      <c r="D1984" s="14"/>
      <c r="E1984" s="15"/>
      <c r="F1984" s="13"/>
      <c r="G1984" s="16" t="str">
        <f aca="false">IF(OR(B1984="",E1984=""),"",E1984*IFERROR(INDEX(Müşteriler!$B$5:$B$54,MATCH(B1984,Müşteriler!$A$5:$A$54,0)),0))</f>
        <v/>
      </c>
    </row>
    <row r="1985" customFormat="false" ht="15" hidden="false" customHeight="false" outlineLevel="0" collapsed="false">
      <c r="A1985" s="12"/>
      <c r="B1985" s="13"/>
      <c r="C1985" s="14"/>
      <c r="D1985" s="14"/>
      <c r="E1985" s="15"/>
      <c r="F1985" s="13"/>
      <c r="G1985" s="16" t="str">
        <f aca="false">IF(OR(B1985="",E1985=""),"",E1985*IFERROR(INDEX(Müşteriler!$B$5:$B$54,MATCH(B1985,Müşteriler!$A$5:$A$54,0)),0))</f>
        <v/>
      </c>
    </row>
    <row r="1986" customFormat="false" ht="15" hidden="false" customHeight="false" outlineLevel="0" collapsed="false">
      <c r="A1986" s="12"/>
      <c r="B1986" s="13"/>
      <c r="C1986" s="14"/>
      <c r="D1986" s="14"/>
      <c r="E1986" s="15"/>
      <c r="F1986" s="13"/>
      <c r="G1986" s="16" t="str">
        <f aca="false">IF(OR(B1986="",E1986=""),"",E1986*IFERROR(INDEX(Müşteriler!$B$5:$B$54,MATCH(B1986,Müşteriler!$A$5:$A$54,0)),0))</f>
        <v/>
      </c>
    </row>
    <row r="1987" customFormat="false" ht="15" hidden="false" customHeight="false" outlineLevel="0" collapsed="false">
      <c r="A1987" s="12"/>
      <c r="B1987" s="13"/>
      <c r="C1987" s="14"/>
      <c r="D1987" s="14"/>
      <c r="E1987" s="15"/>
      <c r="F1987" s="13"/>
      <c r="G1987" s="16" t="str">
        <f aca="false">IF(OR(B1987="",E1987=""),"",E1987*IFERROR(INDEX(Müşteriler!$B$5:$B$54,MATCH(B1987,Müşteriler!$A$5:$A$54,0)),0))</f>
        <v/>
      </c>
    </row>
    <row r="1988" customFormat="false" ht="15" hidden="false" customHeight="false" outlineLevel="0" collapsed="false">
      <c r="A1988" s="12"/>
      <c r="B1988" s="13"/>
      <c r="C1988" s="14"/>
      <c r="D1988" s="14"/>
      <c r="E1988" s="15"/>
      <c r="F1988" s="13"/>
      <c r="G1988" s="16" t="str">
        <f aca="false">IF(OR(B1988="",E1988=""),"",E1988*IFERROR(INDEX(Müşteriler!$B$5:$B$54,MATCH(B1988,Müşteriler!$A$5:$A$54,0)),0))</f>
        <v/>
      </c>
    </row>
    <row r="1989" customFormat="false" ht="15" hidden="false" customHeight="false" outlineLevel="0" collapsed="false">
      <c r="A1989" s="12"/>
      <c r="B1989" s="13"/>
      <c r="C1989" s="14"/>
      <c r="D1989" s="14"/>
      <c r="E1989" s="15"/>
      <c r="F1989" s="13"/>
      <c r="G1989" s="16" t="str">
        <f aca="false">IF(OR(B1989="",E1989=""),"",E1989*IFERROR(INDEX(Müşteriler!$B$5:$B$54,MATCH(B1989,Müşteriler!$A$5:$A$54,0)),0))</f>
        <v/>
      </c>
    </row>
    <row r="1990" customFormat="false" ht="15" hidden="false" customHeight="false" outlineLevel="0" collapsed="false">
      <c r="A1990" s="12"/>
      <c r="B1990" s="13"/>
      <c r="C1990" s="14"/>
      <c r="D1990" s="14"/>
      <c r="E1990" s="15"/>
      <c r="F1990" s="13"/>
      <c r="G1990" s="16" t="str">
        <f aca="false">IF(OR(B1990="",E1990=""),"",E1990*IFERROR(INDEX(Müşteriler!$B$5:$B$54,MATCH(B1990,Müşteriler!$A$5:$A$54,0)),0))</f>
        <v/>
      </c>
    </row>
    <row r="1991" customFormat="false" ht="15" hidden="false" customHeight="false" outlineLevel="0" collapsed="false">
      <c r="A1991" s="12"/>
      <c r="B1991" s="13"/>
      <c r="C1991" s="14"/>
      <c r="D1991" s="14"/>
      <c r="E1991" s="15"/>
      <c r="F1991" s="13"/>
      <c r="G1991" s="16" t="str">
        <f aca="false">IF(OR(B1991="",E1991=""),"",E1991*IFERROR(INDEX(Müşteriler!$B$5:$B$54,MATCH(B1991,Müşteriler!$A$5:$A$54,0)),0))</f>
        <v/>
      </c>
    </row>
    <row r="1992" customFormat="false" ht="15" hidden="false" customHeight="false" outlineLevel="0" collapsed="false">
      <c r="A1992" s="12"/>
      <c r="B1992" s="13"/>
      <c r="C1992" s="14"/>
      <c r="D1992" s="14"/>
      <c r="E1992" s="15"/>
      <c r="F1992" s="13"/>
      <c r="G1992" s="16" t="str">
        <f aca="false">IF(OR(B1992="",E1992=""),"",E1992*IFERROR(INDEX(Müşteriler!$B$5:$B$54,MATCH(B1992,Müşteriler!$A$5:$A$54,0)),0))</f>
        <v/>
      </c>
    </row>
    <row r="1993" customFormat="false" ht="15" hidden="false" customHeight="false" outlineLevel="0" collapsed="false">
      <c r="A1993" s="12"/>
      <c r="B1993" s="13"/>
      <c r="C1993" s="14"/>
      <c r="D1993" s="14"/>
      <c r="E1993" s="15"/>
      <c r="F1993" s="13"/>
      <c r="G1993" s="16" t="str">
        <f aca="false">IF(OR(B1993="",E1993=""),"",E1993*IFERROR(INDEX(Müşteriler!$B$5:$B$54,MATCH(B1993,Müşteriler!$A$5:$A$54,0)),0))</f>
        <v/>
      </c>
    </row>
    <row r="1994" customFormat="false" ht="15" hidden="false" customHeight="false" outlineLevel="0" collapsed="false">
      <c r="A1994" s="12"/>
      <c r="B1994" s="13"/>
      <c r="C1994" s="14"/>
      <c r="D1994" s="14"/>
      <c r="E1994" s="15"/>
      <c r="F1994" s="13"/>
      <c r="G1994" s="16" t="str">
        <f aca="false">IF(OR(B1994="",E1994=""),"",E1994*IFERROR(INDEX(Müşteriler!$B$5:$B$54,MATCH(B1994,Müşteriler!$A$5:$A$54,0)),0))</f>
        <v/>
      </c>
    </row>
    <row r="1995" customFormat="false" ht="15" hidden="false" customHeight="false" outlineLevel="0" collapsed="false">
      <c r="A1995" s="12"/>
      <c r="B1995" s="13"/>
      <c r="C1995" s="14"/>
      <c r="D1995" s="14"/>
      <c r="E1995" s="15"/>
      <c r="F1995" s="13"/>
      <c r="G1995" s="16" t="str">
        <f aca="false">IF(OR(B1995="",E1995=""),"",E1995*IFERROR(INDEX(Müşteriler!$B$5:$B$54,MATCH(B1995,Müşteriler!$A$5:$A$54,0)),0))</f>
        <v/>
      </c>
    </row>
    <row r="1996" customFormat="false" ht="15" hidden="false" customHeight="false" outlineLevel="0" collapsed="false">
      <c r="A1996" s="12"/>
      <c r="B1996" s="13"/>
      <c r="C1996" s="14"/>
      <c r="D1996" s="14"/>
      <c r="E1996" s="15"/>
      <c r="F1996" s="13"/>
      <c r="G1996" s="16" t="str">
        <f aca="false">IF(OR(B1996="",E1996=""),"",E1996*IFERROR(INDEX(Müşteriler!$B$5:$B$54,MATCH(B1996,Müşteriler!$A$5:$A$54,0)),0))</f>
        <v/>
      </c>
    </row>
    <row r="1997" customFormat="false" ht="15" hidden="false" customHeight="false" outlineLevel="0" collapsed="false">
      <c r="A1997" s="12"/>
      <c r="B1997" s="13"/>
      <c r="C1997" s="14"/>
      <c r="D1997" s="14"/>
      <c r="E1997" s="15"/>
      <c r="F1997" s="13"/>
      <c r="G1997" s="16" t="str">
        <f aca="false">IF(OR(B1997="",E1997=""),"",E1997*IFERROR(INDEX(Müşteriler!$B$5:$B$54,MATCH(B1997,Müşteriler!$A$5:$A$54,0)),0))</f>
        <v/>
      </c>
    </row>
    <row r="1998" customFormat="false" ht="15" hidden="false" customHeight="false" outlineLevel="0" collapsed="false">
      <c r="A1998" s="12"/>
      <c r="B1998" s="13"/>
      <c r="C1998" s="14"/>
      <c r="D1998" s="14"/>
      <c r="E1998" s="15"/>
      <c r="F1998" s="13"/>
      <c r="G1998" s="16" t="str">
        <f aca="false">IF(OR(B1998="",E1998=""),"",E1998*IFERROR(INDEX(Müşteriler!$B$5:$B$54,MATCH(B1998,Müşteriler!$A$5:$A$54,0)),0))</f>
        <v/>
      </c>
    </row>
    <row r="1999" customFormat="false" ht="15" hidden="false" customHeight="false" outlineLevel="0" collapsed="false">
      <c r="A1999" s="12"/>
      <c r="B1999" s="13"/>
      <c r="C1999" s="14"/>
      <c r="D1999" s="14"/>
      <c r="E1999" s="15"/>
      <c r="F1999" s="13"/>
      <c r="G1999" s="16" t="str">
        <f aca="false">IF(OR(B1999="",E1999=""),"",E1999*IFERROR(INDEX(Müşteriler!$B$5:$B$54,MATCH(B1999,Müşteriler!$A$5:$A$54,0)),0))</f>
        <v/>
      </c>
    </row>
    <row r="2000" customFormat="false" ht="15" hidden="false" customHeight="false" outlineLevel="0" collapsed="false">
      <c r="A2000" s="12"/>
      <c r="B2000" s="13"/>
      <c r="C2000" s="14"/>
      <c r="D2000" s="14"/>
      <c r="E2000" s="15"/>
      <c r="F2000" s="13"/>
      <c r="G2000" s="16" t="str">
        <f aca="false">IF(OR(B2000="",E2000=""),"",E2000*IFERROR(INDEX(Müşteriler!$B$5:$B$54,MATCH(B2000,Müşteriler!$A$5:$A$54,0)),0))</f>
        <v/>
      </c>
    </row>
    <row r="2001" customFormat="false" ht="15" hidden="false" customHeight="false" outlineLevel="0" collapsed="false">
      <c r="A2001" s="12"/>
      <c r="B2001" s="13"/>
      <c r="C2001" s="14"/>
      <c r="D2001" s="14"/>
      <c r="E2001" s="15"/>
      <c r="F2001" s="13"/>
      <c r="G2001" s="16" t="str">
        <f aca="false">IF(OR(B2001="",E2001=""),"",E2001*IFERROR(INDEX(Müşteriler!$B$5:$B$54,MATCH(B2001,Müşteriler!$A$5:$A$54,0)),0))</f>
        <v/>
      </c>
    </row>
    <row r="2002" customFormat="false" ht="15" hidden="false" customHeight="false" outlineLevel="0" collapsed="false">
      <c r="A2002" s="12"/>
      <c r="B2002" s="13"/>
      <c r="C2002" s="14"/>
      <c r="D2002" s="14"/>
      <c r="E2002" s="15"/>
      <c r="F2002" s="13"/>
      <c r="G2002" s="16" t="str">
        <f aca="false">IF(OR(B2002="",E2002=""),"",E2002*IFERROR(INDEX(Müşteriler!$B$5:$B$54,MATCH(B2002,Müşteriler!$A$5:$A$54,0)),0))</f>
        <v/>
      </c>
    </row>
    <row r="2003" customFormat="false" ht="15" hidden="false" customHeight="false" outlineLevel="0" collapsed="false">
      <c r="A2003" s="12"/>
      <c r="B2003" s="13"/>
      <c r="C2003" s="14"/>
      <c r="D2003" s="14"/>
      <c r="E2003" s="15"/>
      <c r="F2003" s="13"/>
      <c r="G2003" s="16" t="str">
        <f aca="false">IF(OR(B2003="",E2003=""),"",E2003*IFERROR(INDEX(Müşteriler!$B$5:$B$54,MATCH(B2003,Müşteriler!$A$5:$A$54,0)),0))</f>
        <v/>
      </c>
    </row>
    <row r="2004" customFormat="false" ht="15" hidden="false" customHeight="false" outlineLevel="0" collapsed="false">
      <c r="A2004" s="12"/>
      <c r="B2004" s="13"/>
      <c r="C2004" s="14"/>
      <c r="D2004" s="14"/>
      <c r="E2004" s="15"/>
      <c r="F2004" s="13"/>
      <c r="G2004" s="16" t="str">
        <f aca="false">IF(OR(B2004="",E2004=""),"",E2004*IFERROR(INDEX(Müşteriler!$B$5:$B$54,MATCH(B2004,Müşteriler!$A$5:$A$54,0)),0))</f>
        <v/>
      </c>
    </row>
  </sheetData>
  <dataValidations count="4">
    <dataValidation allowBlank="true" error="Sıfır ya da daha büyük bir sayı gir." errorStyle="stop" errorTitle="Kontrol" operator="greaterThanOrEqual" showDropDown="false" showErrorMessage="true" showInputMessage="false" sqref="E5:E20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A5:A2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2004" type="list">
      <formula1>Müşteriler!$A$5:$A$54</formula1>
      <formula2>0</formula2>
    </dataValidation>
    <dataValidation allowBlank="true" error="Listeden seç." errorStyle="stop" errorTitle="Kontrol" operator="between" showDropDown="false" showErrorMessage="true" showInputMessage="false" sqref="F5:F2004" type="list">
      <formula1>"Evet,Hayır"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8" t="s">
        <v>41</v>
      </c>
    </row>
    <row r="2" customFormat="false" ht="15" hidden="false" customHeight="false" outlineLevel="0" collapsed="false">
      <c r="A2" s="9" t="s">
        <v>5</v>
      </c>
    </row>
    <row r="4" customFormat="false" ht="27.75" hidden="false" customHeight="true" outlineLevel="0" collapsed="false">
      <c r="A4" s="10" t="s">
        <v>25</v>
      </c>
      <c r="B4" s="10" t="s">
        <v>42</v>
      </c>
      <c r="C4" s="11" t="s">
        <v>28</v>
      </c>
      <c r="D4" s="11" t="s">
        <v>30</v>
      </c>
      <c r="E4" s="11" t="s">
        <v>43</v>
      </c>
    </row>
    <row r="5" customFormat="false" ht="15" hidden="false" customHeight="false" outlineLevel="0" collapsed="false">
      <c r="A5" s="14" t="s">
        <v>31</v>
      </c>
      <c r="B5" s="17" t="n">
        <v>1500</v>
      </c>
      <c r="C5" s="18" t="n">
        <f aca="false">IF(A5="","",SUMIFS(Kayıtlar!$E$5:$E$2004,Kayıtlar!$B$5:$B$2004,A5))</f>
        <v>12.5</v>
      </c>
      <c r="D5" s="16" t="n">
        <f aca="false">IF(A5="","",SUMIFS(Kayıtlar!$G$5:$G$2004,Kayıtlar!$B$5:$B$2004,A5))</f>
        <v>18750</v>
      </c>
      <c r="E5" s="16" t="n">
        <f aca="false">IF(A5="","",SUMIFS(Kayıtlar!$G$5:$G$2004,Kayıtlar!$B$5:$B$2004,A5,Kayıtlar!$F$5:$F$2004,"Hayır"))</f>
        <v>3000</v>
      </c>
    </row>
    <row r="6" customFormat="false" ht="15" hidden="false" customHeight="false" outlineLevel="0" collapsed="false">
      <c r="A6" s="14" t="s">
        <v>36</v>
      </c>
      <c r="B6" s="17" t="n">
        <v>1200</v>
      </c>
      <c r="C6" s="18" t="n">
        <f aca="false">IF(A6="","",SUMIFS(Kayıtlar!$E$5:$E$2004,Kayıtlar!$B$5:$B$2004,A6))</f>
        <v>3</v>
      </c>
      <c r="D6" s="16" t="n">
        <f aca="false">IF(A6="","",SUMIFS(Kayıtlar!$G$5:$G$2004,Kayıtlar!$B$5:$B$2004,A6))</f>
        <v>3600</v>
      </c>
      <c r="E6" s="16" t="n">
        <f aca="false">IF(A6="","",SUMIFS(Kayıtlar!$G$5:$G$2004,Kayıtlar!$B$5:$B$2004,A6,Kayıtlar!$F$5:$F$2004,"Hayır"))</f>
        <v>3600</v>
      </c>
    </row>
    <row r="7" customFormat="false" ht="15" hidden="false" customHeight="false" outlineLevel="0" collapsed="false">
      <c r="A7" s="14"/>
      <c r="B7" s="17"/>
      <c r="C7" s="18" t="str">
        <f aca="false">IF(A7="","",SUMIFS(Kayıtlar!$E$5:$E$2004,Kayıtlar!$B$5:$B$2004,A7))</f>
        <v/>
      </c>
      <c r="D7" s="16" t="str">
        <f aca="false">IF(A7="","",SUMIFS(Kayıtlar!$G$5:$G$2004,Kayıtlar!$B$5:$B$2004,A7))</f>
        <v/>
      </c>
      <c r="E7" s="16" t="str">
        <f aca="false">IF(A7="","",SUMIFS(Kayıtlar!$G$5:$G$2004,Kayıtlar!$B$5:$B$2004,A7,Kayıtlar!$F$5:$F$2004,"Hayır"))</f>
        <v/>
      </c>
    </row>
    <row r="8" customFormat="false" ht="15" hidden="false" customHeight="false" outlineLevel="0" collapsed="false">
      <c r="A8" s="14"/>
      <c r="B8" s="17"/>
      <c r="C8" s="18" t="str">
        <f aca="false">IF(A8="","",SUMIFS(Kayıtlar!$E$5:$E$2004,Kayıtlar!$B$5:$B$2004,A8))</f>
        <v/>
      </c>
      <c r="D8" s="16" t="str">
        <f aca="false">IF(A8="","",SUMIFS(Kayıtlar!$G$5:$G$2004,Kayıtlar!$B$5:$B$2004,A8))</f>
        <v/>
      </c>
      <c r="E8" s="16" t="str">
        <f aca="false">IF(A8="","",SUMIFS(Kayıtlar!$G$5:$G$2004,Kayıtlar!$B$5:$B$2004,A8,Kayıtlar!$F$5:$F$2004,"Hayır"))</f>
        <v/>
      </c>
    </row>
    <row r="9" customFormat="false" ht="15" hidden="false" customHeight="false" outlineLevel="0" collapsed="false">
      <c r="A9" s="14"/>
      <c r="B9" s="17"/>
      <c r="C9" s="18" t="str">
        <f aca="false">IF(A9="","",SUMIFS(Kayıtlar!$E$5:$E$2004,Kayıtlar!$B$5:$B$2004,A9))</f>
        <v/>
      </c>
      <c r="D9" s="16" t="str">
        <f aca="false">IF(A9="","",SUMIFS(Kayıtlar!$G$5:$G$2004,Kayıtlar!$B$5:$B$2004,A9))</f>
        <v/>
      </c>
      <c r="E9" s="16" t="str">
        <f aca="false">IF(A9="","",SUMIFS(Kayıtlar!$G$5:$G$2004,Kayıtlar!$B$5:$B$2004,A9,Kayıtlar!$F$5:$F$2004,"Hayır"))</f>
        <v/>
      </c>
    </row>
    <row r="10" customFormat="false" ht="15" hidden="false" customHeight="false" outlineLevel="0" collapsed="false">
      <c r="A10" s="14"/>
      <c r="B10" s="17"/>
      <c r="C10" s="18" t="str">
        <f aca="false">IF(A10="","",SUMIFS(Kayıtlar!$E$5:$E$2004,Kayıtlar!$B$5:$B$2004,A10))</f>
        <v/>
      </c>
      <c r="D10" s="16" t="str">
        <f aca="false">IF(A10="","",SUMIFS(Kayıtlar!$G$5:$G$2004,Kayıtlar!$B$5:$B$2004,A10))</f>
        <v/>
      </c>
      <c r="E10" s="16" t="str">
        <f aca="false">IF(A10="","",SUMIFS(Kayıtlar!$G$5:$G$2004,Kayıtlar!$B$5:$B$2004,A10,Kayıtlar!$F$5:$F$2004,"Hayır"))</f>
        <v/>
      </c>
    </row>
    <row r="11" customFormat="false" ht="15" hidden="false" customHeight="false" outlineLevel="0" collapsed="false">
      <c r="A11" s="14"/>
      <c r="B11" s="17"/>
      <c r="C11" s="18" t="str">
        <f aca="false">IF(A11="","",SUMIFS(Kayıtlar!$E$5:$E$2004,Kayıtlar!$B$5:$B$2004,A11))</f>
        <v/>
      </c>
      <c r="D11" s="16" t="str">
        <f aca="false">IF(A11="","",SUMIFS(Kayıtlar!$G$5:$G$2004,Kayıtlar!$B$5:$B$2004,A11))</f>
        <v/>
      </c>
      <c r="E11" s="16" t="str">
        <f aca="false">IF(A11="","",SUMIFS(Kayıtlar!$G$5:$G$2004,Kayıtlar!$B$5:$B$2004,A11,Kayıtlar!$F$5:$F$2004,"Hayır"))</f>
        <v/>
      </c>
    </row>
    <row r="12" customFormat="false" ht="15" hidden="false" customHeight="false" outlineLevel="0" collapsed="false">
      <c r="A12" s="14"/>
      <c r="B12" s="17"/>
      <c r="C12" s="18" t="str">
        <f aca="false">IF(A12="","",SUMIFS(Kayıtlar!$E$5:$E$2004,Kayıtlar!$B$5:$B$2004,A12))</f>
        <v/>
      </c>
      <c r="D12" s="16" t="str">
        <f aca="false">IF(A12="","",SUMIFS(Kayıtlar!$G$5:$G$2004,Kayıtlar!$B$5:$B$2004,A12))</f>
        <v/>
      </c>
      <c r="E12" s="16" t="str">
        <f aca="false">IF(A12="","",SUMIFS(Kayıtlar!$G$5:$G$2004,Kayıtlar!$B$5:$B$2004,A12,Kayıtlar!$F$5:$F$2004,"Hayır"))</f>
        <v/>
      </c>
    </row>
    <row r="13" customFormat="false" ht="15" hidden="false" customHeight="false" outlineLevel="0" collapsed="false">
      <c r="A13" s="14"/>
      <c r="B13" s="17"/>
      <c r="C13" s="18" t="str">
        <f aca="false">IF(A13="","",SUMIFS(Kayıtlar!$E$5:$E$2004,Kayıtlar!$B$5:$B$2004,A13))</f>
        <v/>
      </c>
      <c r="D13" s="16" t="str">
        <f aca="false">IF(A13="","",SUMIFS(Kayıtlar!$G$5:$G$2004,Kayıtlar!$B$5:$B$2004,A13))</f>
        <v/>
      </c>
      <c r="E13" s="16" t="str">
        <f aca="false">IF(A13="","",SUMIFS(Kayıtlar!$G$5:$G$2004,Kayıtlar!$B$5:$B$2004,A13,Kayıtlar!$F$5:$F$2004,"Hayır"))</f>
        <v/>
      </c>
    </row>
    <row r="14" customFormat="false" ht="15" hidden="false" customHeight="false" outlineLevel="0" collapsed="false">
      <c r="A14" s="14"/>
      <c r="B14" s="17"/>
      <c r="C14" s="18" t="str">
        <f aca="false">IF(A14="","",SUMIFS(Kayıtlar!$E$5:$E$2004,Kayıtlar!$B$5:$B$2004,A14))</f>
        <v/>
      </c>
      <c r="D14" s="16" t="str">
        <f aca="false">IF(A14="","",SUMIFS(Kayıtlar!$G$5:$G$2004,Kayıtlar!$B$5:$B$2004,A14))</f>
        <v/>
      </c>
      <c r="E14" s="16" t="str">
        <f aca="false">IF(A14="","",SUMIFS(Kayıtlar!$G$5:$G$2004,Kayıtlar!$B$5:$B$2004,A14,Kayıtlar!$F$5:$F$2004,"Hayır"))</f>
        <v/>
      </c>
    </row>
    <row r="15" customFormat="false" ht="15" hidden="false" customHeight="false" outlineLevel="0" collapsed="false">
      <c r="A15" s="14"/>
      <c r="B15" s="17"/>
      <c r="C15" s="18" t="str">
        <f aca="false">IF(A15="","",SUMIFS(Kayıtlar!$E$5:$E$2004,Kayıtlar!$B$5:$B$2004,A15))</f>
        <v/>
      </c>
      <c r="D15" s="16" t="str">
        <f aca="false">IF(A15="","",SUMIFS(Kayıtlar!$G$5:$G$2004,Kayıtlar!$B$5:$B$2004,A15))</f>
        <v/>
      </c>
      <c r="E15" s="16" t="str">
        <f aca="false">IF(A15="","",SUMIFS(Kayıtlar!$G$5:$G$2004,Kayıtlar!$B$5:$B$2004,A15,Kayıtlar!$F$5:$F$2004,"Hayır"))</f>
        <v/>
      </c>
    </row>
    <row r="16" customFormat="false" ht="15" hidden="false" customHeight="false" outlineLevel="0" collapsed="false">
      <c r="A16" s="14"/>
      <c r="B16" s="17"/>
      <c r="C16" s="18" t="str">
        <f aca="false">IF(A16="","",SUMIFS(Kayıtlar!$E$5:$E$2004,Kayıtlar!$B$5:$B$2004,A16))</f>
        <v/>
      </c>
      <c r="D16" s="16" t="str">
        <f aca="false">IF(A16="","",SUMIFS(Kayıtlar!$G$5:$G$2004,Kayıtlar!$B$5:$B$2004,A16))</f>
        <v/>
      </c>
      <c r="E16" s="16" t="str">
        <f aca="false">IF(A16="","",SUMIFS(Kayıtlar!$G$5:$G$2004,Kayıtlar!$B$5:$B$2004,A16,Kayıtlar!$F$5:$F$2004,"Hayır"))</f>
        <v/>
      </c>
    </row>
    <row r="17" customFormat="false" ht="15" hidden="false" customHeight="false" outlineLevel="0" collapsed="false">
      <c r="A17" s="14"/>
      <c r="B17" s="17"/>
      <c r="C17" s="18" t="str">
        <f aca="false">IF(A17="","",SUMIFS(Kayıtlar!$E$5:$E$2004,Kayıtlar!$B$5:$B$2004,A17))</f>
        <v/>
      </c>
      <c r="D17" s="16" t="str">
        <f aca="false">IF(A17="","",SUMIFS(Kayıtlar!$G$5:$G$2004,Kayıtlar!$B$5:$B$2004,A17))</f>
        <v/>
      </c>
      <c r="E17" s="16" t="str">
        <f aca="false">IF(A17="","",SUMIFS(Kayıtlar!$G$5:$G$2004,Kayıtlar!$B$5:$B$2004,A17,Kayıtlar!$F$5:$F$2004,"Hayır"))</f>
        <v/>
      </c>
    </row>
    <row r="18" customFormat="false" ht="15" hidden="false" customHeight="false" outlineLevel="0" collapsed="false">
      <c r="A18" s="14"/>
      <c r="B18" s="17"/>
      <c r="C18" s="18" t="str">
        <f aca="false">IF(A18="","",SUMIFS(Kayıtlar!$E$5:$E$2004,Kayıtlar!$B$5:$B$2004,A18))</f>
        <v/>
      </c>
      <c r="D18" s="16" t="str">
        <f aca="false">IF(A18="","",SUMIFS(Kayıtlar!$G$5:$G$2004,Kayıtlar!$B$5:$B$2004,A18))</f>
        <v/>
      </c>
      <c r="E18" s="16" t="str">
        <f aca="false">IF(A18="","",SUMIFS(Kayıtlar!$G$5:$G$2004,Kayıtlar!$B$5:$B$2004,A18,Kayıtlar!$F$5:$F$2004,"Hayır"))</f>
        <v/>
      </c>
    </row>
    <row r="19" customFormat="false" ht="15" hidden="false" customHeight="false" outlineLevel="0" collapsed="false">
      <c r="A19" s="14"/>
      <c r="B19" s="17"/>
      <c r="C19" s="18" t="str">
        <f aca="false">IF(A19="","",SUMIFS(Kayıtlar!$E$5:$E$2004,Kayıtlar!$B$5:$B$2004,A19))</f>
        <v/>
      </c>
      <c r="D19" s="16" t="str">
        <f aca="false">IF(A19="","",SUMIFS(Kayıtlar!$G$5:$G$2004,Kayıtlar!$B$5:$B$2004,A19))</f>
        <v/>
      </c>
      <c r="E19" s="16" t="str">
        <f aca="false">IF(A19="","",SUMIFS(Kayıtlar!$G$5:$G$2004,Kayıtlar!$B$5:$B$2004,A19,Kayıtlar!$F$5:$F$2004,"Hayır"))</f>
        <v/>
      </c>
    </row>
    <row r="20" customFormat="false" ht="15" hidden="false" customHeight="false" outlineLevel="0" collapsed="false">
      <c r="A20" s="14"/>
      <c r="B20" s="17"/>
      <c r="C20" s="18" t="str">
        <f aca="false">IF(A20="","",SUMIFS(Kayıtlar!$E$5:$E$2004,Kayıtlar!$B$5:$B$2004,A20))</f>
        <v/>
      </c>
      <c r="D20" s="16" t="str">
        <f aca="false">IF(A20="","",SUMIFS(Kayıtlar!$G$5:$G$2004,Kayıtlar!$B$5:$B$2004,A20))</f>
        <v/>
      </c>
      <c r="E20" s="16" t="str">
        <f aca="false">IF(A20="","",SUMIFS(Kayıtlar!$G$5:$G$2004,Kayıtlar!$B$5:$B$2004,A20,Kayıtlar!$F$5:$F$2004,"Hayır"))</f>
        <v/>
      </c>
    </row>
    <row r="21" customFormat="false" ht="15" hidden="false" customHeight="false" outlineLevel="0" collapsed="false">
      <c r="A21" s="14"/>
      <c r="B21" s="17"/>
      <c r="C21" s="18" t="str">
        <f aca="false">IF(A21="","",SUMIFS(Kayıtlar!$E$5:$E$2004,Kayıtlar!$B$5:$B$2004,A21))</f>
        <v/>
      </c>
      <c r="D21" s="16" t="str">
        <f aca="false">IF(A21="","",SUMIFS(Kayıtlar!$G$5:$G$2004,Kayıtlar!$B$5:$B$2004,A21))</f>
        <v/>
      </c>
      <c r="E21" s="16" t="str">
        <f aca="false">IF(A21="","",SUMIFS(Kayıtlar!$G$5:$G$2004,Kayıtlar!$B$5:$B$2004,A21,Kayıtlar!$F$5:$F$2004,"Hayır"))</f>
        <v/>
      </c>
    </row>
    <row r="22" customFormat="false" ht="15" hidden="false" customHeight="false" outlineLevel="0" collapsed="false">
      <c r="A22" s="14"/>
      <c r="B22" s="17"/>
      <c r="C22" s="18" t="str">
        <f aca="false">IF(A22="","",SUMIFS(Kayıtlar!$E$5:$E$2004,Kayıtlar!$B$5:$B$2004,A22))</f>
        <v/>
      </c>
      <c r="D22" s="16" t="str">
        <f aca="false">IF(A22="","",SUMIFS(Kayıtlar!$G$5:$G$2004,Kayıtlar!$B$5:$B$2004,A22))</f>
        <v/>
      </c>
      <c r="E22" s="16" t="str">
        <f aca="false">IF(A22="","",SUMIFS(Kayıtlar!$G$5:$G$2004,Kayıtlar!$B$5:$B$2004,A22,Kayıtlar!$F$5:$F$2004,"Hayır"))</f>
        <v/>
      </c>
    </row>
    <row r="23" customFormat="false" ht="15" hidden="false" customHeight="false" outlineLevel="0" collapsed="false">
      <c r="A23" s="14"/>
      <c r="B23" s="17"/>
      <c r="C23" s="18" t="str">
        <f aca="false">IF(A23="","",SUMIFS(Kayıtlar!$E$5:$E$2004,Kayıtlar!$B$5:$B$2004,A23))</f>
        <v/>
      </c>
      <c r="D23" s="16" t="str">
        <f aca="false">IF(A23="","",SUMIFS(Kayıtlar!$G$5:$G$2004,Kayıtlar!$B$5:$B$2004,A23))</f>
        <v/>
      </c>
      <c r="E23" s="16" t="str">
        <f aca="false">IF(A23="","",SUMIFS(Kayıtlar!$G$5:$G$2004,Kayıtlar!$B$5:$B$2004,A23,Kayıtlar!$F$5:$F$2004,"Hayır"))</f>
        <v/>
      </c>
    </row>
    <row r="24" customFormat="false" ht="15" hidden="false" customHeight="false" outlineLevel="0" collapsed="false">
      <c r="A24" s="14"/>
      <c r="B24" s="17"/>
      <c r="C24" s="18" t="str">
        <f aca="false">IF(A24="","",SUMIFS(Kayıtlar!$E$5:$E$2004,Kayıtlar!$B$5:$B$2004,A24))</f>
        <v/>
      </c>
      <c r="D24" s="16" t="str">
        <f aca="false">IF(A24="","",SUMIFS(Kayıtlar!$G$5:$G$2004,Kayıtlar!$B$5:$B$2004,A24))</f>
        <v/>
      </c>
      <c r="E24" s="16" t="str">
        <f aca="false">IF(A24="","",SUMIFS(Kayıtlar!$G$5:$G$2004,Kayıtlar!$B$5:$B$2004,A24,Kayıtlar!$F$5:$F$2004,"Hayır"))</f>
        <v/>
      </c>
    </row>
    <row r="25" customFormat="false" ht="15" hidden="false" customHeight="false" outlineLevel="0" collapsed="false">
      <c r="A25" s="14"/>
      <c r="B25" s="17"/>
      <c r="C25" s="18" t="str">
        <f aca="false">IF(A25="","",SUMIFS(Kayıtlar!$E$5:$E$2004,Kayıtlar!$B$5:$B$2004,A25))</f>
        <v/>
      </c>
      <c r="D25" s="16" t="str">
        <f aca="false">IF(A25="","",SUMIFS(Kayıtlar!$G$5:$G$2004,Kayıtlar!$B$5:$B$2004,A25))</f>
        <v/>
      </c>
      <c r="E25" s="16" t="str">
        <f aca="false">IF(A25="","",SUMIFS(Kayıtlar!$G$5:$G$2004,Kayıtlar!$B$5:$B$2004,A25,Kayıtlar!$F$5:$F$2004,"Hayır"))</f>
        <v/>
      </c>
    </row>
    <row r="26" customFormat="false" ht="15" hidden="false" customHeight="false" outlineLevel="0" collapsed="false">
      <c r="A26" s="14"/>
      <c r="B26" s="17"/>
      <c r="C26" s="18" t="str">
        <f aca="false">IF(A26="","",SUMIFS(Kayıtlar!$E$5:$E$2004,Kayıtlar!$B$5:$B$2004,A26))</f>
        <v/>
      </c>
      <c r="D26" s="16" t="str">
        <f aca="false">IF(A26="","",SUMIFS(Kayıtlar!$G$5:$G$2004,Kayıtlar!$B$5:$B$2004,A26))</f>
        <v/>
      </c>
      <c r="E26" s="16" t="str">
        <f aca="false">IF(A26="","",SUMIFS(Kayıtlar!$G$5:$G$2004,Kayıtlar!$B$5:$B$2004,A26,Kayıtlar!$F$5:$F$2004,"Hayır"))</f>
        <v/>
      </c>
    </row>
    <row r="27" customFormat="false" ht="15" hidden="false" customHeight="false" outlineLevel="0" collapsed="false">
      <c r="A27" s="14"/>
      <c r="B27" s="17"/>
      <c r="C27" s="18" t="str">
        <f aca="false">IF(A27="","",SUMIFS(Kayıtlar!$E$5:$E$2004,Kayıtlar!$B$5:$B$2004,A27))</f>
        <v/>
      </c>
      <c r="D27" s="16" t="str">
        <f aca="false">IF(A27="","",SUMIFS(Kayıtlar!$G$5:$G$2004,Kayıtlar!$B$5:$B$2004,A27))</f>
        <v/>
      </c>
      <c r="E27" s="16" t="str">
        <f aca="false">IF(A27="","",SUMIFS(Kayıtlar!$G$5:$G$2004,Kayıtlar!$B$5:$B$2004,A27,Kayıtlar!$F$5:$F$2004,"Hayır"))</f>
        <v/>
      </c>
    </row>
    <row r="28" customFormat="false" ht="15" hidden="false" customHeight="false" outlineLevel="0" collapsed="false">
      <c r="A28" s="14"/>
      <c r="B28" s="17"/>
      <c r="C28" s="18" t="str">
        <f aca="false">IF(A28="","",SUMIFS(Kayıtlar!$E$5:$E$2004,Kayıtlar!$B$5:$B$2004,A28))</f>
        <v/>
      </c>
      <c r="D28" s="16" t="str">
        <f aca="false">IF(A28="","",SUMIFS(Kayıtlar!$G$5:$G$2004,Kayıtlar!$B$5:$B$2004,A28))</f>
        <v/>
      </c>
      <c r="E28" s="16" t="str">
        <f aca="false">IF(A28="","",SUMIFS(Kayıtlar!$G$5:$G$2004,Kayıtlar!$B$5:$B$2004,A28,Kayıtlar!$F$5:$F$2004,"Hayır"))</f>
        <v/>
      </c>
    </row>
    <row r="29" customFormat="false" ht="15" hidden="false" customHeight="false" outlineLevel="0" collapsed="false">
      <c r="A29" s="14"/>
      <c r="B29" s="17"/>
      <c r="C29" s="18" t="str">
        <f aca="false">IF(A29="","",SUMIFS(Kayıtlar!$E$5:$E$2004,Kayıtlar!$B$5:$B$2004,A29))</f>
        <v/>
      </c>
      <c r="D29" s="16" t="str">
        <f aca="false">IF(A29="","",SUMIFS(Kayıtlar!$G$5:$G$2004,Kayıtlar!$B$5:$B$2004,A29))</f>
        <v/>
      </c>
      <c r="E29" s="16" t="str">
        <f aca="false">IF(A29="","",SUMIFS(Kayıtlar!$G$5:$G$2004,Kayıtlar!$B$5:$B$2004,A29,Kayıtlar!$F$5:$F$2004,"Hayır"))</f>
        <v/>
      </c>
    </row>
    <row r="30" customFormat="false" ht="15" hidden="false" customHeight="false" outlineLevel="0" collapsed="false">
      <c r="A30" s="14"/>
      <c r="B30" s="17"/>
      <c r="C30" s="18" t="str">
        <f aca="false">IF(A30="","",SUMIFS(Kayıtlar!$E$5:$E$2004,Kayıtlar!$B$5:$B$2004,A30))</f>
        <v/>
      </c>
      <c r="D30" s="16" t="str">
        <f aca="false">IF(A30="","",SUMIFS(Kayıtlar!$G$5:$G$2004,Kayıtlar!$B$5:$B$2004,A30))</f>
        <v/>
      </c>
      <c r="E30" s="16" t="str">
        <f aca="false">IF(A30="","",SUMIFS(Kayıtlar!$G$5:$G$2004,Kayıtlar!$B$5:$B$2004,A30,Kayıtlar!$F$5:$F$2004,"Hayır"))</f>
        <v/>
      </c>
    </row>
    <row r="31" customFormat="false" ht="15" hidden="false" customHeight="false" outlineLevel="0" collapsed="false">
      <c r="A31" s="14"/>
      <c r="B31" s="17"/>
      <c r="C31" s="18" t="str">
        <f aca="false">IF(A31="","",SUMIFS(Kayıtlar!$E$5:$E$2004,Kayıtlar!$B$5:$B$2004,A31))</f>
        <v/>
      </c>
      <c r="D31" s="16" t="str">
        <f aca="false">IF(A31="","",SUMIFS(Kayıtlar!$G$5:$G$2004,Kayıtlar!$B$5:$B$2004,A31))</f>
        <v/>
      </c>
      <c r="E31" s="16" t="str">
        <f aca="false">IF(A31="","",SUMIFS(Kayıtlar!$G$5:$G$2004,Kayıtlar!$B$5:$B$2004,A31,Kayıtlar!$F$5:$F$2004,"Hayır"))</f>
        <v/>
      </c>
    </row>
    <row r="32" customFormat="false" ht="15" hidden="false" customHeight="false" outlineLevel="0" collapsed="false">
      <c r="A32" s="14"/>
      <c r="B32" s="17"/>
      <c r="C32" s="18" t="str">
        <f aca="false">IF(A32="","",SUMIFS(Kayıtlar!$E$5:$E$2004,Kayıtlar!$B$5:$B$2004,A32))</f>
        <v/>
      </c>
      <c r="D32" s="16" t="str">
        <f aca="false">IF(A32="","",SUMIFS(Kayıtlar!$G$5:$G$2004,Kayıtlar!$B$5:$B$2004,A32))</f>
        <v/>
      </c>
      <c r="E32" s="16" t="str">
        <f aca="false">IF(A32="","",SUMIFS(Kayıtlar!$G$5:$G$2004,Kayıtlar!$B$5:$B$2004,A32,Kayıtlar!$F$5:$F$2004,"Hayır"))</f>
        <v/>
      </c>
    </row>
    <row r="33" customFormat="false" ht="15" hidden="false" customHeight="false" outlineLevel="0" collapsed="false">
      <c r="A33" s="14"/>
      <c r="B33" s="17"/>
      <c r="C33" s="18" t="str">
        <f aca="false">IF(A33="","",SUMIFS(Kayıtlar!$E$5:$E$2004,Kayıtlar!$B$5:$B$2004,A33))</f>
        <v/>
      </c>
      <c r="D33" s="16" t="str">
        <f aca="false">IF(A33="","",SUMIFS(Kayıtlar!$G$5:$G$2004,Kayıtlar!$B$5:$B$2004,A33))</f>
        <v/>
      </c>
      <c r="E33" s="16" t="str">
        <f aca="false">IF(A33="","",SUMIFS(Kayıtlar!$G$5:$G$2004,Kayıtlar!$B$5:$B$2004,A33,Kayıtlar!$F$5:$F$2004,"Hayır"))</f>
        <v/>
      </c>
    </row>
    <row r="34" customFormat="false" ht="15" hidden="false" customHeight="false" outlineLevel="0" collapsed="false">
      <c r="A34" s="14"/>
      <c r="B34" s="17"/>
      <c r="C34" s="18" t="str">
        <f aca="false">IF(A34="","",SUMIFS(Kayıtlar!$E$5:$E$2004,Kayıtlar!$B$5:$B$2004,A34))</f>
        <v/>
      </c>
      <c r="D34" s="16" t="str">
        <f aca="false">IF(A34="","",SUMIFS(Kayıtlar!$G$5:$G$2004,Kayıtlar!$B$5:$B$2004,A34))</f>
        <v/>
      </c>
      <c r="E34" s="16" t="str">
        <f aca="false">IF(A34="","",SUMIFS(Kayıtlar!$G$5:$G$2004,Kayıtlar!$B$5:$B$2004,A34,Kayıtlar!$F$5:$F$2004,"Hayır"))</f>
        <v/>
      </c>
    </row>
    <row r="35" customFormat="false" ht="15" hidden="false" customHeight="false" outlineLevel="0" collapsed="false">
      <c r="A35" s="14"/>
      <c r="B35" s="17"/>
      <c r="C35" s="18" t="str">
        <f aca="false">IF(A35="","",SUMIFS(Kayıtlar!$E$5:$E$2004,Kayıtlar!$B$5:$B$2004,A35))</f>
        <v/>
      </c>
      <c r="D35" s="16" t="str">
        <f aca="false">IF(A35="","",SUMIFS(Kayıtlar!$G$5:$G$2004,Kayıtlar!$B$5:$B$2004,A35))</f>
        <v/>
      </c>
      <c r="E35" s="16" t="str">
        <f aca="false">IF(A35="","",SUMIFS(Kayıtlar!$G$5:$G$2004,Kayıtlar!$B$5:$B$2004,A35,Kayıtlar!$F$5:$F$2004,"Hayır"))</f>
        <v/>
      </c>
    </row>
    <row r="36" customFormat="false" ht="15" hidden="false" customHeight="false" outlineLevel="0" collapsed="false">
      <c r="A36" s="14"/>
      <c r="B36" s="17"/>
      <c r="C36" s="18" t="str">
        <f aca="false">IF(A36="","",SUMIFS(Kayıtlar!$E$5:$E$2004,Kayıtlar!$B$5:$B$2004,A36))</f>
        <v/>
      </c>
      <c r="D36" s="16" t="str">
        <f aca="false">IF(A36="","",SUMIFS(Kayıtlar!$G$5:$G$2004,Kayıtlar!$B$5:$B$2004,A36))</f>
        <v/>
      </c>
      <c r="E36" s="16" t="str">
        <f aca="false">IF(A36="","",SUMIFS(Kayıtlar!$G$5:$G$2004,Kayıtlar!$B$5:$B$2004,A36,Kayıtlar!$F$5:$F$2004,"Hayır"))</f>
        <v/>
      </c>
    </row>
    <row r="37" customFormat="false" ht="15" hidden="false" customHeight="false" outlineLevel="0" collapsed="false">
      <c r="A37" s="14"/>
      <c r="B37" s="17"/>
      <c r="C37" s="18" t="str">
        <f aca="false">IF(A37="","",SUMIFS(Kayıtlar!$E$5:$E$2004,Kayıtlar!$B$5:$B$2004,A37))</f>
        <v/>
      </c>
      <c r="D37" s="16" t="str">
        <f aca="false">IF(A37="","",SUMIFS(Kayıtlar!$G$5:$G$2004,Kayıtlar!$B$5:$B$2004,A37))</f>
        <v/>
      </c>
      <c r="E37" s="16" t="str">
        <f aca="false">IF(A37="","",SUMIFS(Kayıtlar!$G$5:$G$2004,Kayıtlar!$B$5:$B$2004,A37,Kayıtlar!$F$5:$F$2004,"Hayır"))</f>
        <v/>
      </c>
    </row>
    <row r="38" customFormat="false" ht="15" hidden="false" customHeight="false" outlineLevel="0" collapsed="false">
      <c r="A38" s="14"/>
      <c r="B38" s="17"/>
      <c r="C38" s="18" t="str">
        <f aca="false">IF(A38="","",SUMIFS(Kayıtlar!$E$5:$E$2004,Kayıtlar!$B$5:$B$2004,A38))</f>
        <v/>
      </c>
      <c r="D38" s="16" t="str">
        <f aca="false">IF(A38="","",SUMIFS(Kayıtlar!$G$5:$G$2004,Kayıtlar!$B$5:$B$2004,A38))</f>
        <v/>
      </c>
      <c r="E38" s="16" t="str">
        <f aca="false">IF(A38="","",SUMIFS(Kayıtlar!$G$5:$G$2004,Kayıtlar!$B$5:$B$2004,A38,Kayıtlar!$F$5:$F$2004,"Hayır"))</f>
        <v/>
      </c>
    </row>
    <row r="39" customFormat="false" ht="15" hidden="false" customHeight="false" outlineLevel="0" collapsed="false">
      <c r="A39" s="14"/>
      <c r="B39" s="17"/>
      <c r="C39" s="18" t="str">
        <f aca="false">IF(A39="","",SUMIFS(Kayıtlar!$E$5:$E$2004,Kayıtlar!$B$5:$B$2004,A39))</f>
        <v/>
      </c>
      <c r="D39" s="16" t="str">
        <f aca="false">IF(A39="","",SUMIFS(Kayıtlar!$G$5:$G$2004,Kayıtlar!$B$5:$B$2004,A39))</f>
        <v/>
      </c>
      <c r="E39" s="16" t="str">
        <f aca="false">IF(A39="","",SUMIFS(Kayıtlar!$G$5:$G$2004,Kayıtlar!$B$5:$B$2004,A39,Kayıtlar!$F$5:$F$2004,"Hayır"))</f>
        <v/>
      </c>
    </row>
    <row r="40" customFormat="false" ht="15" hidden="false" customHeight="false" outlineLevel="0" collapsed="false">
      <c r="A40" s="14"/>
      <c r="B40" s="17"/>
      <c r="C40" s="18" t="str">
        <f aca="false">IF(A40="","",SUMIFS(Kayıtlar!$E$5:$E$2004,Kayıtlar!$B$5:$B$2004,A40))</f>
        <v/>
      </c>
      <c r="D40" s="16" t="str">
        <f aca="false">IF(A40="","",SUMIFS(Kayıtlar!$G$5:$G$2004,Kayıtlar!$B$5:$B$2004,A40))</f>
        <v/>
      </c>
      <c r="E40" s="16" t="str">
        <f aca="false">IF(A40="","",SUMIFS(Kayıtlar!$G$5:$G$2004,Kayıtlar!$B$5:$B$2004,A40,Kayıtlar!$F$5:$F$2004,"Hayır"))</f>
        <v/>
      </c>
    </row>
    <row r="41" customFormat="false" ht="15" hidden="false" customHeight="false" outlineLevel="0" collapsed="false">
      <c r="A41" s="14"/>
      <c r="B41" s="17"/>
      <c r="C41" s="18" t="str">
        <f aca="false">IF(A41="","",SUMIFS(Kayıtlar!$E$5:$E$2004,Kayıtlar!$B$5:$B$2004,A41))</f>
        <v/>
      </c>
      <c r="D41" s="16" t="str">
        <f aca="false">IF(A41="","",SUMIFS(Kayıtlar!$G$5:$G$2004,Kayıtlar!$B$5:$B$2004,A41))</f>
        <v/>
      </c>
      <c r="E41" s="16" t="str">
        <f aca="false">IF(A41="","",SUMIFS(Kayıtlar!$G$5:$G$2004,Kayıtlar!$B$5:$B$2004,A41,Kayıtlar!$F$5:$F$2004,"Hayır"))</f>
        <v/>
      </c>
    </row>
    <row r="42" customFormat="false" ht="15" hidden="false" customHeight="false" outlineLevel="0" collapsed="false">
      <c r="A42" s="14"/>
      <c r="B42" s="17"/>
      <c r="C42" s="18" t="str">
        <f aca="false">IF(A42="","",SUMIFS(Kayıtlar!$E$5:$E$2004,Kayıtlar!$B$5:$B$2004,A42))</f>
        <v/>
      </c>
      <c r="D42" s="16" t="str">
        <f aca="false">IF(A42="","",SUMIFS(Kayıtlar!$G$5:$G$2004,Kayıtlar!$B$5:$B$2004,A42))</f>
        <v/>
      </c>
      <c r="E42" s="16" t="str">
        <f aca="false">IF(A42="","",SUMIFS(Kayıtlar!$G$5:$G$2004,Kayıtlar!$B$5:$B$2004,A42,Kayıtlar!$F$5:$F$2004,"Hayır"))</f>
        <v/>
      </c>
    </row>
    <row r="43" customFormat="false" ht="15" hidden="false" customHeight="false" outlineLevel="0" collapsed="false">
      <c r="A43" s="14"/>
      <c r="B43" s="17"/>
      <c r="C43" s="18" t="str">
        <f aca="false">IF(A43="","",SUMIFS(Kayıtlar!$E$5:$E$2004,Kayıtlar!$B$5:$B$2004,A43))</f>
        <v/>
      </c>
      <c r="D43" s="16" t="str">
        <f aca="false">IF(A43="","",SUMIFS(Kayıtlar!$G$5:$G$2004,Kayıtlar!$B$5:$B$2004,A43))</f>
        <v/>
      </c>
      <c r="E43" s="16" t="str">
        <f aca="false">IF(A43="","",SUMIFS(Kayıtlar!$G$5:$G$2004,Kayıtlar!$B$5:$B$2004,A43,Kayıtlar!$F$5:$F$2004,"Hayır"))</f>
        <v/>
      </c>
    </row>
    <row r="44" customFormat="false" ht="15" hidden="false" customHeight="false" outlineLevel="0" collapsed="false">
      <c r="A44" s="14"/>
      <c r="B44" s="17"/>
      <c r="C44" s="18" t="str">
        <f aca="false">IF(A44="","",SUMIFS(Kayıtlar!$E$5:$E$2004,Kayıtlar!$B$5:$B$2004,A44))</f>
        <v/>
      </c>
      <c r="D44" s="16" t="str">
        <f aca="false">IF(A44="","",SUMIFS(Kayıtlar!$G$5:$G$2004,Kayıtlar!$B$5:$B$2004,A44))</f>
        <v/>
      </c>
      <c r="E44" s="16" t="str">
        <f aca="false">IF(A44="","",SUMIFS(Kayıtlar!$G$5:$G$2004,Kayıtlar!$B$5:$B$2004,A44,Kayıtlar!$F$5:$F$2004,"Hayır"))</f>
        <v/>
      </c>
    </row>
    <row r="45" customFormat="false" ht="15" hidden="false" customHeight="false" outlineLevel="0" collapsed="false">
      <c r="A45" s="14"/>
      <c r="B45" s="17"/>
      <c r="C45" s="18" t="str">
        <f aca="false">IF(A45="","",SUMIFS(Kayıtlar!$E$5:$E$2004,Kayıtlar!$B$5:$B$2004,A45))</f>
        <v/>
      </c>
      <c r="D45" s="16" t="str">
        <f aca="false">IF(A45="","",SUMIFS(Kayıtlar!$G$5:$G$2004,Kayıtlar!$B$5:$B$2004,A45))</f>
        <v/>
      </c>
      <c r="E45" s="16" t="str">
        <f aca="false">IF(A45="","",SUMIFS(Kayıtlar!$G$5:$G$2004,Kayıtlar!$B$5:$B$2004,A45,Kayıtlar!$F$5:$F$2004,"Hayır"))</f>
        <v/>
      </c>
    </row>
    <row r="46" customFormat="false" ht="15" hidden="false" customHeight="false" outlineLevel="0" collapsed="false">
      <c r="A46" s="14"/>
      <c r="B46" s="17"/>
      <c r="C46" s="18" t="str">
        <f aca="false">IF(A46="","",SUMIFS(Kayıtlar!$E$5:$E$2004,Kayıtlar!$B$5:$B$2004,A46))</f>
        <v/>
      </c>
      <c r="D46" s="16" t="str">
        <f aca="false">IF(A46="","",SUMIFS(Kayıtlar!$G$5:$G$2004,Kayıtlar!$B$5:$B$2004,A46))</f>
        <v/>
      </c>
      <c r="E46" s="16" t="str">
        <f aca="false">IF(A46="","",SUMIFS(Kayıtlar!$G$5:$G$2004,Kayıtlar!$B$5:$B$2004,A46,Kayıtlar!$F$5:$F$2004,"Hayır"))</f>
        <v/>
      </c>
    </row>
    <row r="47" customFormat="false" ht="15" hidden="false" customHeight="false" outlineLevel="0" collapsed="false">
      <c r="A47" s="14"/>
      <c r="B47" s="17"/>
      <c r="C47" s="18" t="str">
        <f aca="false">IF(A47="","",SUMIFS(Kayıtlar!$E$5:$E$2004,Kayıtlar!$B$5:$B$2004,A47))</f>
        <v/>
      </c>
      <c r="D47" s="16" t="str">
        <f aca="false">IF(A47="","",SUMIFS(Kayıtlar!$G$5:$G$2004,Kayıtlar!$B$5:$B$2004,A47))</f>
        <v/>
      </c>
      <c r="E47" s="16" t="str">
        <f aca="false">IF(A47="","",SUMIFS(Kayıtlar!$G$5:$G$2004,Kayıtlar!$B$5:$B$2004,A47,Kayıtlar!$F$5:$F$2004,"Hayır"))</f>
        <v/>
      </c>
    </row>
    <row r="48" customFormat="false" ht="15" hidden="false" customHeight="false" outlineLevel="0" collapsed="false">
      <c r="A48" s="14"/>
      <c r="B48" s="17"/>
      <c r="C48" s="18" t="str">
        <f aca="false">IF(A48="","",SUMIFS(Kayıtlar!$E$5:$E$2004,Kayıtlar!$B$5:$B$2004,A48))</f>
        <v/>
      </c>
      <c r="D48" s="16" t="str">
        <f aca="false">IF(A48="","",SUMIFS(Kayıtlar!$G$5:$G$2004,Kayıtlar!$B$5:$B$2004,A48))</f>
        <v/>
      </c>
      <c r="E48" s="16" t="str">
        <f aca="false">IF(A48="","",SUMIFS(Kayıtlar!$G$5:$G$2004,Kayıtlar!$B$5:$B$2004,A48,Kayıtlar!$F$5:$F$2004,"Hayır"))</f>
        <v/>
      </c>
    </row>
    <row r="49" customFormat="false" ht="15" hidden="false" customHeight="false" outlineLevel="0" collapsed="false">
      <c r="A49" s="14"/>
      <c r="B49" s="17"/>
      <c r="C49" s="18" t="str">
        <f aca="false">IF(A49="","",SUMIFS(Kayıtlar!$E$5:$E$2004,Kayıtlar!$B$5:$B$2004,A49))</f>
        <v/>
      </c>
      <c r="D49" s="16" t="str">
        <f aca="false">IF(A49="","",SUMIFS(Kayıtlar!$G$5:$G$2004,Kayıtlar!$B$5:$B$2004,A49))</f>
        <v/>
      </c>
      <c r="E49" s="16" t="str">
        <f aca="false">IF(A49="","",SUMIFS(Kayıtlar!$G$5:$G$2004,Kayıtlar!$B$5:$B$2004,A49,Kayıtlar!$F$5:$F$2004,"Hayır"))</f>
        <v/>
      </c>
    </row>
    <row r="50" customFormat="false" ht="15" hidden="false" customHeight="false" outlineLevel="0" collapsed="false">
      <c r="A50" s="14"/>
      <c r="B50" s="17"/>
      <c r="C50" s="18" t="str">
        <f aca="false">IF(A50="","",SUMIFS(Kayıtlar!$E$5:$E$2004,Kayıtlar!$B$5:$B$2004,A50))</f>
        <v/>
      </c>
      <c r="D50" s="16" t="str">
        <f aca="false">IF(A50="","",SUMIFS(Kayıtlar!$G$5:$G$2004,Kayıtlar!$B$5:$B$2004,A50))</f>
        <v/>
      </c>
      <c r="E50" s="16" t="str">
        <f aca="false">IF(A50="","",SUMIFS(Kayıtlar!$G$5:$G$2004,Kayıtlar!$B$5:$B$2004,A50,Kayıtlar!$F$5:$F$2004,"Hayır"))</f>
        <v/>
      </c>
    </row>
    <row r="51" customFormat="false" ht="15" hidden="false" customHeight="false" outlineLevel="0" collapsed="false">
      <c r="A51" s="14"/>
      <c r="B51" s="17"/>
      <c r="C51" s="18" t="str">
        <f aca="false">IF(A51="","",SUMIFS(Kayıtlar!$E$5:$E$2004,Kayıtlar!$B$5:$B$2004,A51))</f>
        <v/>
      </c>
      <c r="D51" s="16" t="str">
        <f aca="false">IF(A51="","",SUMIFS(Kayıtlar!$G$5:$G$2004,Kayıtlar!$B$5:$B$2004,A51))</f>
        <v/>
      </c>
      <c r="E51" s="16" t="str">
        <f aca="false">IF(A51="","",SUMIFS(Kayıtlar!$G$5:$G$2004,Kayıtlar!$B$5:$B$2004,A51,Kayıtlar!$F$5:$F$2004,"Hayır"))</f>
        <v/>
      </c>
    </row>
    <row r="52" customFormat="false" ht="15" hidden="false" customHeight="false" outlineLevel="0" collapsed="false">
      <c r="A52" s="14"/>
      <c r="B52" s="17"/>
      <c r="C52" s="18" t="str">
        <f aca="false">IF(A52="","",SUMIFS(Kayıtlar!$E$5:$E$2004,Kayıtlar!$B$5:$B$2004,A52))</f>
        <v/>
      </c>
      <c r="D52" s="16" t="str">
        <f aca="false">IF(A52="","",SUMIFS(Kayıtlar!$G$5:$G$2004,Kayıtlar!$B$5:$B$2004,A52))</f>
        <v/>
      </c>
      <c r="E52" s="16" t="str">
        <f aca="false">IF(A52="","",SUMIFS(Kayıtlar!$G$5:$G$2004,Kayıtlar!$B$5:$B$2004,A52,Kayıtlar!$F$5:$F$2004,"Hayır"))</f>
        <v/>
      </c>
    </row>
    <row r="53" customFormat="false" ht="15" hidden="false" customHeight="false" outlineLevel="0" collapsed="false">
      <c r="A53" s="14"/>
      <c r="B53" s="17"/>
      <c r="C53" s="18" t="str">
        <f aca="false">IF(A53="","",SUMIFS(Kayıtlar!$E$5:$E$2004,Kayıtlar!$B$5:$B$2004,A53))</f>
        <v/>
      </c>
      <c r="D53" s="16" t="str">
        <f aca="false">IF(A53="","",SUMIFS(Kayıtlar!$G$5:$G$2004,Kayıtlar!$B$5:$B$2004,A53))</f>
        <v/>
      </c>
      <c r="E53" s="16" t="str">
        <f aca="false">IF(A53="","",SUMIFS(Kayıtlar!$G$5:$G$2004,Kayıtlar!$B$5:$B$2004,A53,Kayıtlar!$F$5:$F$2004,"Hayır"))</f>
        <v/>
      </c>
    </row>
    <row r="54" customFormat="false" ht="15" hidden="false" customHeight="false" outlineLevel="0" collapsed="false">
      <c r="A54" s="14"/>
      <c r="B54" s="17"/>
      <c r="C54" s="18" t="str">
        <f aca="false">IF(A54="","",SUMIFS(Kayıtlar!$E$5:$E$2004,Kayıtlar!$B$5:$B$2004,A54))</f>
        <v/>
      </c>
      <c r="D54" s="16" t="str">
        <f aca="false">IF(A54="","",SUMIFS(Kayıtlar!$G$5:$G$2004,Kayıtlar!$B$5:$B$2004,A54))</f>
        <v/>
      </c>
      <c r="E54" s="16" t="str">
        <f aca="false">IF(A54="","",SUMIFS(Kayıtlar!$G$5:$G$2004,Kayıtlar!$B$5:$B$2004,A54,Kayıtlar!$F$5:$F$2004,"Hayır"))</f>
        <v/>
      </c>
    </row>
  </sheetData>
  <dataValidations count="2">
    <dataValidation allowBlank="true" error="Sıfır ya da daha büyük bir sayı gir." errorStyle="stop" errorTitle="Kontrol" operator="greaterThanOrEqual" showDropDown="false" showErrorMessage="true" showInputMessage="false" sqref="B5:B5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54" type="custom">
      <formula1>COUNTIF($A$5:$A$54,A5)=1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44</v>
      </c>
    </row>
    <row r="2" customFormat="false" ht="15" hidden="false" customHeight="false" outlineLevel="0" collapsed="false">
      <c r="A2" s="9" t="s">
        <v>45</v>
      </c>
    </row>
    <row r="3" customFormat="false" ht="15" hidden="false" customHeight="false" outlineLevel="0" collapsed="false">
      <c r="B3" s="19" t="s">
        <v>46</v>
      </c>
      <c r="C3" s="20" t="n">
        <v>2026</v>
      </c>
    </row>
    <row r="5" customFormat="false" ht="30" hidden="false" customHeight="true" outlineLevel="0" collapsed="false">
      <c r="B5" s="21" t="s">
        <v>47</v>
      </c>
      <c r="C5" s="21" t="s">
        <v>48</v>
      </c>
      <c r="D5" s="21" t="s">
        <v>49</v>
      </c>
      <c r="E5" s="21" t="s">
        <v>50</v>
      </c>
    </row>
    <row r="6" customFormat="false" ht="27.75" hidden="false" customHeight="true" outlineLevel="0" collapsed="false">
      <c r="B6" s="22" t="n">
        <f aca="false">C23</f>
        <v>15.5</v>
      </c>
      <c r="C6" s="23" t="n">
        <f aca="false">D23</f>
        <v>22350</v>
      </c>
      <c r="D6" s="24" t="n">
        <f aca="false">SUMIFS(Kayıtlar!$G$5:$G$2004,Kayıtlar!$F$5:$F$2004,"Hayır")</f>
        <v>6600</v>
      </c>
      <c r="E6" s="23" t="n">
        <f aca="false">IF(C23=0,0,D23/C23)</f>
        <v>1441.93548387097</v>
      </c>
    </row>
    <row r="9" customFormat="false" ht="15" hidden="false" customHeight="false" outlineLevel="0" collapsed="false">
      <c r="B9" s="25" t="s">
        <v>51</v>
      </c>
    </row>
    <row r="10" customFormat="false" ht="21.75" hidden="false" customHeight="true" outlineLevel="0" collapsed="false">
      <c r="B10" s="10" t="s">
        <v>52</v>
      </c>
      <c r="C10" s="10" t="s">
        <v>28</v>
      </c>
      <c r="D10" s="10" t="s">
        <v>30</v>
      </c>
    </row>
    <row r="11" customFormat="false" ht="15" hidden="false" customHeight="false" outlineLevel="0" collapsed="false">
      <c r="B11" s="26" t="s">
        <v>53</v>
      </c>
      <c r="C11" s="27" t="n">
        <f aca="false">SUMIFS(Kayıtlar!$E$5:$E$2004,Kayıtlar!$A$5:$A$2004,"&gt;="&amp;DATE($C$3,1,1),Kayıtlar!$A$5:$A$2004,"&lt;"&amp;DATE($C$3,2,1))</f>
        <v>0</v>
      </c>
      <c r="D11" s="16" t="n">
        <f aca="false">SUMIFS(Kayıtlar!$G$5:$G$2004,Kayıtlar!$A$5:$A$2004,"&gt;="&amp;DATE($C$3,1,1),Kayıtlar!$A$5:$A$2004,"&lt;"&amp;DATE($C$3,2,1))</f>
        <v>0</v>
      </c>
    </row>
    <row r="12" customFormat="false" ht="15" hidden="false" customHeight="false" outlineLevel="0" collapsed="false">
      <c r="B12" s="28" t="s">
        <v>54</v>
      </c>
      <c r="C12" s="29" t="n">
        <f aca="false">SUMIFS(Kayıtlar!$E$5:$E$2004,Kayıtlar!$A$5:$A$2004,"&gt;="&amp;DATE($C$3,2,1),Kayıtlar!$A$5:$A$2004,"&lt;"&amp;DATE($C$3,3,1))</f>
        <v>0</v>
      </c>
      <c r="D12" s="30" t="n">
        <f aca="false">SUMIFS(Kayıtlar!$G$5:$G$2004,Kayıtlar!$A$5:$A$2004,"&gt;="&amp;DATE($C$3,2,1),Kayıtlar!$A$5:$A$2004,"&lt;"&amp;DATE($C$3,3,1))</f>
        <v>0</v>
      </c>
    </row>
    <row r="13" customFormat="false" ht="15" hidden="false" customHeight="false" outlineLevel="0" collapsed="false">
      <c r="B13" s="26" t="s">
        <v>55</v>
      </c>
      <c r="C13" s="27" t="n">
        <f aca="false">SUMIFS(Kayıtlar!$E$5:$E$2004,Kayıtlar!$A$5:$A$2004,"&gt;="&amp;DATE($C$3,3,1),Kayıtlar!$A$5:$A$2004,"&lt;"&amp;DATE($C$3,4,1))</f>
        <v>0</v>
      </c>
      <c r="D13" s="16" t="n">
        <f aca="false">SUMIFS(Kayıtlar!$G$5:$G$2004,Kayıtlar!$A$5:$A$2004,"&gt;="&amp;DATE($C$3,3,1),Kayıtlar!$A$5:$A$2004,"&lt;"&amp;DATE($C$3,4,1))</f>
        <v>0</v>
      </c>
    </row>
    <row r="14" customFormat="false" ht="15" hidden="false" customHeight="false" outlineLevel="0" collapsed="false">
      <c r="B14" s="28" t="s">
        <v>56</v>
      </c>
      <c r="C14" s="29" t="n">
        <f aca="false">SUMIFS(Kayıtlar!$E$5:$E$2004,Kayıtlar!$A$5:$A$2004,"&gt;="&amp;DATE($C$3,4,1),Kayıtlar!$A$5:$A$2004,"&lt;"&amp;DATE($C$3,5,1))</f>
        <v>0</v>
      </c>
      <c r="D14" s="30" t="n">
        <f aca="false">SUMIFS(Kayıtlar!$G$5:$G$2004,Kayıtlar!$A$5:$A$2004,"&gt;="&amp;DATE($C$3,4,1),Kayıtlar!$A$5:$A$2004,"&lt;"&amp;DATE($C$3,5,1))</f>
        <v>0</v>
      </c>
    </row>
    <row r="15" customFormat="false" ht="15" hidden="false" customHeight="false" outlineLevel="0" collapsed="false">
      <c r="B15" s="26" t="s">
        <v>57</v>
      </c>
      <c r="C15" s="27" t="n">
        <f aca="false">SUMIFS(Kayıtlar!$E$5:$E$2004,Kayıtlar!$A$5:$A$2004,"&gt;="&amp;DATE($C$3,5,1),Kayıtlar!$A$5:$A$2004,"&lt;"&amp;DATE($C$3,6,1))</f>
        <v>0</v>
      </c>
      <c r="D15" s="16" t="n">
        <f aca="false">SUMIFS(Kayıtlar!$G$5:$G$2004,Kayıtlar!$A$5:$A$2004,"&gt;="&amp;DATE($C$3,5,1),Kayıtlar!$A$5:$A$2004,"&lt;"&amp;DATE($C$3,6,1))</f>
        <v>0</v>
      </c>
    </row>
    <row r="16" customFormat="false" ht="15" hidden="false" customHeight="false" outlineLevel="0" collapsed="false">
      <c r="B16" s="28" t="s">
        <v>58</v>
      </c>
      <c r="C16" s="29" t="n">
        <f aca="false">SUMIFS(Kayıtlar!$E$5:$E$2004,Kayıtlar!$A$5:$A$2004,"&gt;="&amp;DATE($C$3,6,1),Kayıtlar!$A$5:$A$2004,"&lt;"&amp;DATE($C$3,7,1))</f>
        <v>0</v>
      </c>
      <c r="D16" s="30" t="n">
        <f aca="false">SUMIFS(Kayıtlar!$G$5:$G$2004,Kayıtlar!$A$5:$A$2004,"&gt;="&amp;DATE($C$3,6,1),Kayıtlar!$A$5:$A$2004,"&lt;"&amp;DATE($C$3,7,1))</f>
        <v>0</v>
      </c>
    </row>
    <row r="17" customFormat="false" ht="15" hidden="false" customHeight="false" outlineLevel="0" collapsed="false">
      <c r="B17" s="26" t="s">
        <v>59</v>
      </c>
      <c r="C17" s="27" t="n">
        <f aca="false">SUMIFS(Kayıtlar!$E$5:$E$2004,Kayıtlar!$A$5:$A$2004,"&gt;="&amp;DATE($C$3,7,1),Kayıtlar!$A$5:$A$2004,"&lt;"&amp;DATE($C$3,8,1))</f>
        <v>0</v>
      </c>
      <c r="D17" s="16" t="n">
        <f aca="false">SUMIFS(Kayıtlar!$G$5:$G$2004,Kayıtlar!$A$5:$A$2004,"&gt;="&amp;DATE($C$3,7,1),Kayıtlar!$A$5:$A$2004,"&lt;"&amp;DATE($C$3,8,1))</f>
        <v>0</v>
      </c>
    </row>
    <row r="18" customFormat="false" ht="15" hidden="false" customHeight="false" outlineLevel="0" collapsed="false">
      <c r="B18" s="28" t="s">
        <v>60</v>
      </c>
      <c r="C18" s="29" t="n">
        <f aca="false">SUMIFS(Kayıtlar!$E$5:$E$2004,Kayıtlar!$A$5:$A$2004,"&gt;="&amp;DATE($C$3,8,1),Kayıtlar!$A$5:$A$2004,"&lt;"&amp;DATE($C$3,9,1))</f>
        <v>0</v>
      </c>
      <c r="D18" s="30" t="n">
        <f aca="false">SUMIFS(Kayıtlar!$G$5:$G$2004,Kayıtlar!$A$5:$A$2004,"&gt;="&amp;DATE($C$3,8,1),Kayıtlar!$A$5:$A$2004,"&lt;"&amp;DATE($C$3,9,1))</f>
        <v>0</v>
      </c>
    </row>
    <row r="19" customFormat="false" ht="15" hidden="false" customHeight="false" outlineLevel="0" collapsed="false">
      <c r="B19" s="26" t="s">
        <v>61</v>
      </c>
      <c r="C19" s="27" t="n">
        <f aca="false">SUMIFS(Kayıtlar!$E$5:$E$2004,Kayıtlar!$A$5:$A$2004,"&gt;="&amp;DATE($C$3,9,1),Kayıtlar!$A$5:$A$2004,"&lt;"&amp;DATE($C$3,10,1))</f>
        <v>10.5</v>
      </c>
      <c r="D19" s="16" t="n">
        <f aca="false">SUMIFS(Kayıtlar!$G$5:$G$2004,Kayıtlar!$A$5:$A$2004,"&gt;="&amp;DATE($C$3,9,1),Kayıtlar!$A$5:$A$2004,"&lt;"&amp;DATE($C$3,10,1))</f>
        <v>15750</v>
      </c>
    </row>
    <row r="20" customFormat="false" ht="15" hidden="false" customHeight="false" outlineLevel="0" collapsed="false">
      <c r="B20" s="28" t="s">
        <v>62</v>
      </c>
      <c r="C20" s="29" t="n">
        <f aca="false">SUMIFS(Kayıtlar!$E$5:$E$2004,Kayıtlar!$A$5:$A$2004,"&gt;="&amp;DATE($C$3,10,1),Kayıtlar!$A$5:$A$2004,"&lt;"&amp;DATE($C$3,11,1))</f>
        <v>5</v>
      </c>
      <c r="D20" s="30" t="n">
        <f aca="false">SUMIFS(Kayıtlar!$G$5:$G$2004,Kayıtlar!$A$5:$A$2004,"&gt;="&amp;DATE($C$3,10,1),Kayıtlar!$A$5:$A$2004,"&lt;"&amp;DATE($C$3,11,1))</f>
        <v>6600</v>
      </c>
    </row>
    <row r="21" customFormat="false" ht="15" hidden="false" customHeight="false" outlineLevel="0" collapsed="false">
      <c r="B21" s="26" t="s">
        <v>63</v>
      </c>
      <c r="C21" s="27" t="n">
        <f aca="false">SUMIFS(Kayıtlar!$E$5:$E$2004,Kayıtlar!$A$5:$A$2004,"&gt;="&amp;DATE($C$3,11,1),Kayıtlar!$A$5:$A$2004,"&lt;"&amp;DATE($C$3,12,1))</f>
        <v>0</v>
      </c>
      <c r="D21" s="16" t="n">
        <f aca="false">SUMIFS(Kayıtlar!$G$5:$G$2004,Kayıtlar!$A$5:$A$2004,"&gt;="&amp;DATE($C$3,11,1),Kayıtlar!$A$5:$A$2004,"&lt;"&amp;DATE($C$3,12,1))</f>
        <v>0</v>
      </c>
    </row>
    <row r="22" customFormat="false" ht="15" hidden="false" customHeight="false" outlineLevel="0" collapsed="false">
      <c r="B22" s="28" t="s">
        <v>64</v>
      </c>
      <c r="C22" s="29" t="n">
        <f aca="false">SUMIFS(Kayıtlar!$E$5:$E$2004,Kayıtlar!$A$5:$A$2004,"&gt;="&amp;DATE($C$3,12,1),Kayıtlar!$A$5:$A$2004,"&lt;"&amp;DATE($C$3,13,1))</f>
        <v>0</v>
      </c>
      <c r="D22" s="30" t="n">
        <f aca="false">SUMIFS(Kayıtlar!$G$5:$G$2004,Kayıtlar!$A$5:$A$2004,"&gt;="&amp;DATE($C$3,12,1),Kayıtlar!$A$5:$A$2004,"&lt;"&amp;DATE($C$3,13,1))</f>
        <v>0</v>
      </c>
    </row>
    <row r="23" customFormat="false" ht="15" hidden="false" customHeight="false" outlineLevel="0" collapsed="false">
      <c r="B23" s="31" t="s">
        <v>65</v>
      </c>
      <c r="C23" s="32" t="n">
        <f aca="false">SUM(C11:C22)</f>
        <v>15.5</v>
      </c>
      <c r="D23" s="33" t="n">
        <f aca="false">SUM(D11:D22)</f>
        <v>22350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66</v>
      </c>
    </row>
    <row r="2" customFormat="false" ht="30" hidden="false" customHeight="true" outlineLevel="0" collapsed="false">
      <c r="B2" s="34" t="s">
        <v>67</v>
      </c>
      <c r="C2" s="34"/>
    </row>
    <row r="3" customFormat="false" ht="31.5" hidden="false" customHeight="true" outlineLevel="0" collapsed="false">
      <c r="B3" s="35" t="s">
        <v>68</v>
      </c>
      <c r="C3" s="35"/>
    </row>
    <row r="5" customFormat="false" ht="15" hidden="false" customHeight="false" outlineLevel="0" collapsed="false">
      <c r="B5" s="36" t="s">
        <v>69</v>
      </c>
      <c r="C5" s="36" t="s">
        <v>70</v>
      </c>
    </row>
    <row r="6" customFormat="false" ht="31.5" hidden="false" customHeight="true" outlineLevel="0" collapsed="false">
      <c r="B6" s="37" t="s">
        <v>71</v>
      </c>
      <c r="C6" s="38" t="s">
        <v>72</v>
      </c>
    </row>
    <row r="7" customFormat="false" ht="31.5" hidden="false" customHeight="true" outlineLevel="0" collapsed="false">
      <c r="B7" s="39" t="s">
        <v>73</v>
      </c>
      <c r="C7" s="40" t="s">
        <v>74</v>
      </c>
    </row>
    <row r="8" customFormat="false" ht="31.5" hidden="false" customHeight="true" outlineLevel="0" collapsed="false">
      <c r="B8" s="37" t="s">
        <v>75</v>
      </c>
      <c r="C8" s="38" t="s">
        <v>76</v>
      </c>
    </row>
    <row r="9" customFormat="false" ht="31.5" hidden="false" customHeight="true" outlineLevel="0" collapsed="false">
      <c r="B9" s="39" t="s">
        <v>15</v>
      </c>
      <c r="C9" s="40" t="s">
        <v>77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2026-10-04T22:00:12Z</dcterms:created>
  <dc:creator>openpyxl</dc:creator>
  <dc:description/>
  <dc:language>en-US</dc:language>
  <cp:lastModifiedBy/>
  <dcterms:modified xsi:type="dcterms:W3CDTF">2026-10-04T22:00:13Z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